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Analysis/Schedule Analysis/"/>
    </mc:Choice>
  </mc:AlternateContent>
  <xr:revisionPtr revIDLastSave="771" documentId="8_{998156F5-A360-4FF2-A807-4A68FDF6AD52}" xr6:coauthVersionLast="47" xr6:coauthVersionMax="47" xr10:uidLastSave="{B2622424-43F1-464A-8212-5E453B00CB43}"/>
  <bookViews>
    <workbookView xWindow="19090" yWindow="-110" windowWidth="19420" windowHeight="10300" firstSheet="7" activeTab="8" xr2:uid="{00000000-000D-0000-FFFF-FFFF00000000}"/>
  </bookViews>
  <sheets>
    <sheet name="المدخلات" sheetId="17" r:id="rId1"/>
    <sheet name="الملخص" sheetId="376" r:id="rId2"/>
    <sheet name="6 فرق" sheetId="432" r:id="rId3"/>
    <sheet name="7 فرق" sheetId="433" r:id="rId4"/>
    <sheet name="8 فرق" sheetId="434" r:id="rId5"/>
    <sheet name="9 فرق" sheetId="435" r:id="rId6"/>
    <sheet name="11 فريقًا" sheetId="437" r:id="rId7"/>
    <sheet name="12 فريقًا" sheetId="438" r:id="rId8"/>
    <sheet name="13 فريقًا" sheetId="439" r:id="rId9"/>
    <sheet name="14 فريقًا" sheetId="440" r:id="rId10"/>
    <sheet name="15 فريقًا" sheetId="441" r:id="rId11"/>
    <sheet name="16 فريقًا" sheetId="442" r:id="rId12"/>
    <sheet name="17 فريقًا" sheetId="443" r:id="rId13"/>
    <sheet name="18 فريقًا" sheetId="444" r:id="rId14"/>
    <sheet name="19 فريقًا" sheetId="445" r:id="rId15"/>
    <sheet name="20 فريقًا" sheetId="446" r:id="rId16"/>
    <sheet name="21 فريقًا" sheetId="447" r:id="rId17"/>
    <sheet name="22 فريقًا" sheetId="448" r:id="rId18"/>
    <sheet name="23 فريقًا" sheetId="449" r:id="rId19"/>
    <sheet name="25 فريقًا" sheetId="451" r:id="rId20"/>
    <sheet name="26 فريقًا" sheetId="452" r:id="rId21"/>
    <sheet name="27 فريقًا" sheetId="453" r:id="rId22"/>
    <sheet name="29 فريقًا" sheetId="455" r:id="rId23"/>
    <sheet name="37 فريقًا" sheetId="463" r:id="rId24"/>
    <sheet name="46 فريقًا" sheetId="472" r:id="rId25"/>
    <sheet name="54 فريقًا" sheetId="480" r:id="rId26"/>
    <sheet name="58 فريقًا" sheetId="484" r:id="rId27"/>
    <sheet name="64 فريقًا" sheetId="487" r:id="rId28"/>
    <sheet name="67 فريقًا" sheetId="488" r:id="rId29"/>
    <sheet name="بيانات الفرق" sheetId="49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0" i="488" l="1"/>
  <c r="C680" i="488"/>
  <c r="D680" i="488"/>
  <c r="E680" i="488"/>
  <c r="F680" i="488"/>
  <c r="G680" i="488"/>
  <c r="H680" i="488"/>
  <c r="I680" i="488"/>
  <c r="J680" i="488"/>
  <c r="K680" i="488"/>
  <c r="L680" i="488"/>
  <c r="M680" i="488"/>
  <c r="N680" i="488"/>
  <c r="O680" i="488"/>
  <c r="P680" i="488"/>
  <c r="Q680" i="488"/>
  <c r="R680" i="488"/>
  <c r="S680" i="488"/>
  <c r="T680" i="488"/>
  <c r="U680" i="488"/>
  <c r="V680" i="488"/>
  <c r="W680" i="488"/>
  <c r="X680" i="488"/>
  <c r="Y680" i="488"/>
  <c r="Z680" i="488"/>
  <c r="AA680" i="488"/>
  <c r="AB680" i="488"/>
  <c r="AC680" i="488"/>
  <c r="AD680" i="488"/>
  <c r="AE680" i="488"/>
  <c r="AF680" i="488"/>
  <c r="AG680" i="488"/>
  <c r="AH680" i="488"/>
  <c r="AI680" i="488"/>
  <c r="AJ680" i="488"/>
  <c r="AK680" i="488"/>
  <c r="AL680" i="488"/>
  <c r="AM680" i="488"/>
  <c r="AN680" i="488"/>
  <c r="AO680" i="488"/>
  <c r="AP680" i="488"/>
  <c r="AQ680" i="488"/>
  <c r="AR680" i="488"/>
  <c r="AS680" i="488"/>
  <c r="AT680" i="488"/>
  <c r="AU680" i="488"/>
  <c r="AV680" i="488"/>
  <c r="AW680" i="488"/>
  <c r="AX680" i="488"/>
  <c r="AY680" i="488"/>
  <c r="AZ680" i="488"/>
  <c r="BA680" i="488"/>
  <c r="BB680" i="488"/>
  <c r="BC680" i="488"/>
  <c r="BD680" i="488"/>
  <c r="BE680" i="488"/>
  <c r="BF680" i="488"/>
  <c r="BG680" i="488"/>
  <c r="BH680" i="488"/>
  <c r="BI680" i="488"/>
  <c r="BJ680" i="488"/>
  <c r="BK680" i="488"/>
  <c r="BL680" i="488"/>
  <c r="BM680" i="488"/>
  <c r="BN680" i="488"/>
  <c r="BO680" i="488"/>
  <c r="BP680" i="488"/>
  <c r="B658" i="488"/>
  <c r="C658" i="488"/>
  <c r="D658" i="488"/>
  <c r="E658" i="488"/>
  <c r="F658" i="488"/>
  <c r="G658" i="488"/>
  <c r="H658" i="488"/>
  <c r="I658" i="488"/>
  <c r="J658" i="488"/>
  <c r="K658" i="488"/>
  <c r="L658" i="488"/>
  <c r="M658" i="488"/>
  <c r="N658" i="488"/>
  <c r="O658" i="488"/>
  <c r="P658" i="488"/>
  <c r="Q658" i="488"/>
  <c r="R658" i="488"/>
  <c r="S658" i="488"/>
  <c r="T658" i="488"/>
  <c r="U658" i="488"/>
  <c r="V658" i="488"/>
  <c r="W658" i="488"/>
  <c r="X658" i="488"/>
  <c r="Y658" i="488"/>
  <c r="Z658" i="488"/>
  <c r="AA658" i="488"/>
  <c r="AB658" i="488"/>
  <c r="AC658" i="488"/>
  <c r="AD658" i="488"/>
  <c r="AE658" i="488"/>
  <c r="AF658" i="488"/>
  <c r="AG658" i="488"/>
  <c r="AH658" i="488"/>
  <c r="AI658" i="488"/>
  <c r="AJ658" i="488"/>
  <c r="AK658" i="488"/>
  <c r="AL658" i="488"/>
  <c r="AM658" i="488"/>
  <c r="AN658" i="488"/>
  <c r="AO658" i="488"/>
  <c r="AP658" i="488"/>
  <c r="AQ658" i="488"/>
  <c r="AR658" i="488"/>
  <c r="AS658" i="488"/>
  <c r="AT658" i="488"/>
  <c r="AU658" i="488"/>
  <c r="AV658" i="488"/>
  <c r="AW658" i="488"/>
  <c r="AX658" i="488"/>
  <c r="AY658" i="488"/>
  <c r="AZ658" i="488"/>
  <c r="BA658" i="488"/>
  <c r="BB658" i="488"/>
  <c r="BC658" i="488"/>
  <c r="BD658" i="488"/>
  <c r="BE658" i="488"/>
  <c r="BF658" i="488"/>
  <c r="BG658" i="488"/>
  <c r="BH658" i="488"/>
  <c r="BI658" i="488"/>
  <c r="BJ658" i="488"/>
  <c r="BK658" i="488"/>
  <c r="BL658" i="488"/>
  <c r="BM658" i="488"/>
  <c r="BN658" i="488"/>
  <c r="BO658" i="488"/>
  <c r="BP658" i="488"/>
  <c r="B659" i="488"/>
  <c r="C659" i="488"/>
  <c r="D659" i="488"/>
  <c r="E659" i="488"/>
  <c r="F659" i="488"/>
  <c r="G659" i="488"/>
  <c r="H659" i="488"/>
  <c r="I659" i="488"/>
  <c r="J659" i="488"/>
  <c r="K659" i="488"/>
  <c r="L659" i="488"/>
  <c r="M659" i="488"/>
  <c r="N659" i="488"/>
  <c r="O659" i="488"/>
  <c r="P659" i="488"/>
  <c r="Q659" i="488"/>
  <c r="R659" i="488"/>
  <c r="S659" i="488"/>
  <c r="T659" i="488"/>
  <c r="U659" i="488"/>
  <c r="V659" i="488"/>
  <c r="W659" i="488"/>
  <c r="X659" i="488"/>
  <c r="Y659" i="488"/>
  <c r="Z659" i="488"/>
  <c r="AA659" i="488"/>
  <c r="AB659" i="488"/>
  <c r="AC659" i="488"/>
  <c r="AD659" i="488"/>
  <c r="AE659" i="488"/>
  <c r="AF659" i="488"/>
  <c r="AG659" i="488"/>
  <c r="AH659" i="488"/>
  <c r="AI659" i="488"/>
  <c r="AJ659" i="488"/>
  <c r="AK659" i="488"/>
  <c r="AL659" i="488"/>
  <c r="AM659" i="488"/>
  <c r="AN659" i="488"/>
  <c r="AO659" i="488"/>
  <c r="AP659" i="488"/>
  <c r="AQ659" i="488"/>
  <c r="AR659" i="488"/>
  <c r="AS659" i="488"/>
  <c r="AT659" i="488"/>
  <c r="AU659" i="488"/>
  <c r="AV659" i="488"/>
  <c r="AW659" i="488"/>
  <c r="AX659" i="488"/>
  <c r="AY659" i="488"/>
  <c r="AZ659" i="488"/>
  <c r="BA659" i="488"/>
  <c r="BB659" i="488"/>
  <c r="BC659" i="488"/>
  <c r="BD659" i="488"/>
  <c r="BE659" i="488"/>
  <c r="BF659" i="488"/>
  <c r="BG659" i="488"/>
  <c r="BH659" i="488"/>
  <c r="BI659" i="488"/>
  <c r="BJ659" i="488"/>
  <c r="BK659" i="488"/>
  <c r="BL659" i="488"/>
  <c r="BM659" i="488"/>
  <c r="BN659" i="488"/>
  <c r="BO659" i="488"/>
  <c r="BP659" i="488"/>
  <c r="B660" i="488"/>
  <c r="C660" i="488"/>
  <c r="D660" i="488"/>
  <c r="E660" i="488"/>
  <c r="F660" i="488"/>
  <c r="G660" i="488"/>
  <c r="H660" i="488"/>
  <c r="I660" i="488"/>
  <c r="J660" i="488"/>
  <c r="K660" i="488"/>
  <c r="L660" i="488"/>
  <c r="M660" i="488"/>
  <c r="N660" i="488"/>
  <c r="O660" i="488"/>
  <c r="P660" i="488"/>
  <c r="Q660" i="488"/>
  <c r="R660" i="488"/>
  <c r="S660" i="488"/>
  <c r="T660" i="488"/>
  <c r="U660" i="488"/>
  <c r="V660" i="488"/>
  <c r="W660" i="488"/>
  <c r="X660" i="488"/>
  <c r="Y660" i="488"/>
  <c r="Z660" i="488"/>
  <c r="AA660" i="488"/>
  <c r="AB660" i="488"/>
  <c r="AC660" i="488"/>
  <c r="AD660" i="488"/>
  <c r="AE660" i="488"/>
  <c r="AF660" i="488"/>
  <c r="AG660" i="488"/>
  <c r="AH660" i="488"/>
  <c r="AI660" i="488"/>
  <c r="AJ660" i="488"/>
  <c r="AK660" i="488"/>
  <c r="AL660" i="488"/>
  <c r="AM660" i="488"/>
  <c r="AN660" i="488"/>
  <c r="AO660" i="488"/>
  <c r="AP660" i="488"/>
  <c r="AQ660" i="488"/>
  <c r="AR660" i="488"/>
  <c r="AS660" i="488"/>
  <c r="AT660" i="488"/>
  <c r="AU660" i="488"/>
  <c r="AV660" i="488"/>
  <c r="AW660" i="488"/>
  <c r="AX660" i="488"/>
  <c r="AY660" i="488"/>
  <c r="AZ660" i="488"/>
  <c r="BA660" i="488"/>
  <c r="BB660" i="488"/>
  <c r="BC660" i="488"/>
  <c r="BD660" i="488"/>
  <c r="BE660" i="488"/>
  <c r="BF660" i="488"/>
  <c r="BG660" i="488"/>
  <c r="BH660" i="488"/>
  <c r="BI660" i="488"/>
  <c r="BJ660" i="488"/>
  <c r="BK660" i="488"/>
  <c r="BL660" i="488"/>
  <c r="BM660" i="488"/>
  <c r="BN660" i="488"/>
  <c r="BO660" i="488"/>
  <c r="BP660" i="488"/>
  <c r="B661" i="488"/>
  <c r="C661" i="488"/>
  <c r="D661" i="488"/>
  <c r="E661" i="488"/>
  <c r="F661" i="488"/>
  <c r="G661" i="488"/>
  <c r="H661" i="488"/>
  <c r="I661" i="488"/>
  <c r="J661" i="488"/>
  <c r="K661" i="488"/>
  <c r="L661" i="488"/>
  <c r="M661" i="488"/>
  <c r="N661" i="488"/>
  <c r="O661" i="488"/>
  <c r="P661" i="488"/>
  <c r="Q661" i="488"/>
  <c r="R661" i="488"/>
  <c r="S661" i="488"/>
  <c r="T661" i="488"/>
  <c r="U661" i="488"/>
  <c r="V661" i="488"/>
  <c r="W661" i="488"/>
  <c r="X661" i="488"/>
  <c r="Y661" i="488"/>
  <c r="Z661" i="488"/>
  <c r="AA661" i="488"/>
  <c r="AB661" i="488"/>
  <c r="AC661" i="488"/>
  <c r="AD661" i="488"/>
  <c r="AE661" i="488"/>
  <c r="AF661" i="488"/>
  <c r="AG661" i="488"/>
  <c r="AH661" i="488"/>
  <c r="AI661" i="488"/>
  <c r="AJ661" i="488"/>
  <c r="AK661" i="488"/>
  <c r="AL661" i="488"/>
  <c r="AM661" i="488"/>
  <c r="AN661" i="488"/>
  <c r="AO661" i="488"/>
  <c r="AP661" i="488"/>
  <c r="AQ661" i="488"/>
  <c r="AR661" i="488"/>
  <c r="AS661" i="488"/>
  <c r="AT661" i="488"/>
  <c r="AU661" i="488"/>
  <c r="AV661" i="488"/>
  <c r="AW661" i="488"/>
  <c r="AX661" i="488"/>
  <c r="AY661" i="488"/>
  <c r="AZ661" i="488"/>
  <c r="BA661" i="488"/>
  <c r="BB661" i="488"/>
  <c r="BC661" i="488"/>
  <c r="BD661" i="488"/>
  <c r="BE661" i="488"/>
  <c r="BF661" i="488"/>
  <c r="BG661" i="488"/>
  <c r="BH661" i="488"/>
  <c r="BI661" i="488"/>
  <c r="BJ661" i="488"/>
  <c r="BK661" i="488"/>
  <c r="BL661" i="488"/>
  <c r="BM661" i="488"/>
  <c r="BN661" i="488"/>
  <c r="BO661" i="488"/>
  <c r="BP661" i="488"/>
  <c r="B662" i="488"/>
  <c r="C662" i="488"/>
  <c r="D662" i="488"/>
  <c r="E662" i="488"/>
  <c r="F662" i="488"/>
  <c r="G662" i="488"/>
  <c r="H662" i="488"/>
  <c r="I662" i="488"/>
  <c r="J662" i="488"/>
  <c r="K662" i="488"/>
  <c r="L662" i="488"/>
  <c r="M662" i="488"/>
  <c r="N662" i="488"/>
  <c r="O662" i="488"/>
  <c r="P662" i="488"/>
  <c r="Q662" i="488"/>
  <c r="R662" i="488"/>
  <c r="S662" i="488"/>
  <c r="T662" i="488"/>
  <c r="U662" i="488"/>
  <c r="V662" i="488"/>
  <c r="W662" i="488"/>
  <c r="X662" i="488"/>
  <c r="Y662" i="488"/>
  <c r="Z662" i="488"/>
  <c r="AA662" i="488"/>
  <c r="AB662" i="488"/>
  <c r="AC662" i="488"/>
  <c r="AD662" i="488"/>
  <c r="AE662" i="488"/>
  <c r="AF662" i="488"/>
  <c r="AG662" i="488"/>
  <c r="AH662" i="488"/>
  <c r="AI662" i="488"/>
  <c r="AJ662" i="488"/>
  <c r="AK662" i="488"/>
  <c r="AL662" i="488"/>
  <c r="AM662" i="488"/>
  <c r="AN662" i="488"/>
  <c r="AO662" i="488"/>
  <c r="AP662" i="488"/>
  <c r="AQ662" i="488"/>
  <c r="AR662" i="488"/>
  <c r="AS662" i="488"/>
  <c r="AT662" i="488"/>
  <c r="AU662" i="488"/>
  <c r="AV662" i="488"/>
  <c r="AW662" i="488"/>
  <c r="AX662" i="488"/>
  <c r="AY662" i="488"/>
  <c r="AZ662" i="488"/>
  <c r="BA662" i="488"/>
  <c r="BB662" i="488"/>
  <c r="BC662" i="488"/>
  <c r="BD662" i="488"/>
  <c r="BE662" i="488"/>
  <c r="BF662" i="488"/>
  <c r="BG662" i="488"/>
  <c r="BH662" i="488"/>
  <c r="BI662" i="488"/>
  <c r="BJ662" i="488"/>
  <c r="BK662" i="488"/>
  <c r="BL662" i="488"/>
  <c r="BM662" i="488"/>
  <c r="BN662" i="488"/>
  <c r="BO662" i="488"/>
  <c r="BP662" i="488"/>
  <c r="B663" i="488"/>
  <c r="C663" i="488"/>
  <c r="D663" i="488"/>
  <c r="E663" i="488"/>
  <c r="F663" i="488"/>
  <c r="G663" i="488"/>
  <c r="H663" i="488"/>
  <c r="I663" i="488"/>
  <c r="J663" i="488"/>
  <c r="K663" i="488"/>
  <c r="L663" i="488"/>
  <c r="M663" i="488"/>
  <c r="N663" i="488"/>
  <c r="O663" i="488"/>
  <c r="P663" i="488"/>
  <c r="Q663" i="488"/>
  <c r="R663" i="488"/>
  <c r="S663" i="488"/>
  <c r="T663" i="488"/>
  <c r="U663" i="488"/>
  <c r="V663" i="488"/>
  <c r="W663" i="488"/>
  <c r="X663" i="488"/>
  <c r="Y663" i="488"/>
  <c r="Z663" i="488"/>
  <c r="AA663" i="488"/>
  <c r="AB663" i="488"/>
  <c r="AC663" i="488"/>
  <c r="AD663" i="488"/>
  <c r="AE663" i="488"/>
  <c r="AF663" i="488"/>
  <c r="AG663" i="488"/>
  <c r="AH663" i="488"/>
  <c r="AI663" i="488"/>
  <c r="AJ663" i="488"/>
  <c r="AK663" i="488"/>
  <c r="AL663" i="488"/>
  <c r="AM663" i="488"/>
  <c r="AN663" i="488"/>
  <c r="AO663" i="488"/>
  <c r="AP663" i="488"/>
  <c r="AQ663" i="488"/>
  <c r="AR663" i="488"/>
  <c r="AS663" i="488"/>
  <c r="AT663" i="488"/>
  <c r="AU663" i="488"/>
  <c r="AV663" i="488"/>
  <c r="AW663" i="488"/>
  <c r="AX663" i="488"/>
  <c r="AY663" i="488"/>
  <c r="AZ663" i="488"/>
  <c r="BA663" i="488"/>
  <c r="BB663" i="488"/>
  <c r="BC663" i="488"/>
  <c r="BD663" i="488"/>
  <c r="BE663" i="488"/>
  <c r="BF663" i="488"/>
  <c r="BG663" i="488"/>
  <c r="BH663" i="488"/>
  <c r="BI663" i="488"/>
  <c r="BJ663" i="488"/>
  <c r="BK663" i="488"/>
  <c r="BL663" i="488"/>
  <c r="BM663" i="488"/>
  <c r="BN663" i="488"/>
  <c r="BO663" i="488"/>
  <c r="BP663" i="488"/>
  <c r="B664" i="488"/>
  <c r="C664" i="488"/>
  <c r="D664" i="488"/>
  <c r="E664" i="488"/>
  <c r="F664" i="488"/>
  <c r="G664" i="488"/>
  <c r="H664" i="488"/>
  <c r="I664" i="488"/>
  <c r="J664" i="488"/>
  <c r="K664" i="488"/>
  <c r="L664" i="488"/>
  <c r="M664" i="488"/>
  <c r="N664" i="488"/>
  <c r="O664" i="488"/>
  <c r="P664" i="488"/>
  <c r="Q664" i="488"/>
  <c r="R664" i="488"/>
  <c r="S664" i="488"/>
  <c r="T664" i="488"/>
  <c r="U664" i="488"/>
  <c r="V664" i="488"/>
  <c r="W664" i="488"/>
  <c r="X664" i="488"/>
  <c r="Y664" i="488"/>
  <c r="Z664" i="488"/>
  <c r="AA664" i="488"/>
  <c r="AB664" i="488"/>
  <c r="AC664" i="488"/>
  <c r="AD664" i="488"/>
  <c r="AE664" i="488"/>
  <c r="AF664" i="488"/>
  <c r="AG664" i="488"/>
  <c r="AH664" i="488"/>
  <c r="AI664" i="488"/>
  <c r="AJ664" i="488"/>
  <c r="AK664" i="488"/>
  <c r="AL664" i="488"/>
  <c r="AM664" i="488"/>
  <c r="AN664" i="488"/>
  <c r="AO664" i="488"/>
  <c r="AP664" i="488"/>
  <c r="AQ664" i="488"/>
  <c r="AR664" i="488"/>
  <c r="AS664" i="488"/>
  <c r="AT664" i="488"/>
  <c r="AU664" i="488"/>
  <c r="AV664" i="488"/>
  <c r="AW664" i="488"/>
  <c r="AX664" i="488"/>
  <c r="AY664" i="488"/>
  <c r="AZ664" i="488"/>
  <c r="BA664" i="488"/>
  <c r="BB664" i="488"/>
  <c r="BC664" i="488"/>
  <c r="BD664" i="488"/>
  <c r="BE664" i="488"/>
  <c r="BF664" i="488"/>
  <c r="BG664" i="488"/>
  <c r="BH664" i="488"/>
  <c r="BI664" i="488"/>
  <c r="BJ664" i="488"/>
  <c r="BK664" i="488"/>
  <c r="BL664" i="488"/>
  <c r="BM664" i="488"/>
  <c r="BN664" i="488"/>
  <c r="BO664" i="488"/>
  <c r="BP664" i="488"/>
  <c r="B665" i="488"/>
  <c r="C665" i="488"/>
  <c r="D665" i="488"/>
  <c r="E665" i="488"/>
  <c r="F665" i="488"/>
  <c r="G665" i="488"/>
  <c r="H665" i="488"/>
  <c r="I665" i="488"/>
  <c r="J665" i="488"/>
  <c r="K665" i="488"/>
  <c r="L665" i="488"/>
  <c r="M665" i="488"/>
  <c r="N665" i="488"/>
  <c r="O665" i="488"/>
  <c r="P665" i="488"/>
  <c r="Q665" i="488"/>
  <c r="R665" i="488"/>
  <c r="S665" i="488"/>
  <c r="T665" i="488"/>
  <c r="U665" i="488"/>
  <c r="V665" i="488"/>
  <c r="W665" i="488"/>
  <c r="X665" i="488"/>
  <c r="Y665" i="488"/>
  <c r="Z665" i="488"/>
  <c r="AA665" i="488"/>
  <c r="AB665" i="488"/>
  <c r="AC665" i="488"/>
  <c r="AD665" i="488"/>
  <c r="AE665" i="488"/>
  <c r="AF665" i="488"/>
  <c r="AG665" i="488"/>
  <c r="AH665" i="488"/>
  <c r="AI665" i="488"/>
  <c r="AJ665" i="488"/>
  <c r="AK665" i="488"/>
  <c r="AL665" i="488"/>
  <c r="AM665" i="488"/>
  <c r="AN665" i="488"/>
  <c r="AO665" i="488"/>
  <c r="AP665" i="488"/>
  <c r="AQ665" i="488"/>
  <c r="AR665" i="488"/>
  <c r="AS665" i="488"/>
  <c r="AT665" i="488"/>
  <c r="AU665" i="488"/>
  <c r="AV665" i="488"/>
  <c r="AW665" i="488"/>
  <c r="AX665" i="488"/>
  <c r="AY665" i="488"/>
  <c r="AZ665" i="488"/>
  <c r="BA665" i="488"/>
  <c r="BB665" i="488"/>
  <c r="BC665" i="488"/>
  <c r="BD665" i="488"/>
  <c r="BE665" i="488"/>
  <c r="BF665" i="488"/>
  <c r="BG665" i="488"/>
  <c r="BH665" i="488"/>
  <c r="BI665" i="488"/>
  <c r="BJ665" i="488"/>
  <c r="BK665" i="488"/>
  <c r="BL665" i="488"/>
  <c r="BM665" i="488"/>
  <c r="BN665" i="488"/>
  <c r="BO665" i="488"/>
  <c r="BP665" i="488"/>
  <c r="B666" i="488"/>
  <c r="C666" i="488"/>
  <c r="D666" i="488"/>
  <c r="E666" i="488"/>
  <c r="F666" i="488"/>
  <c r="G666" i="488"/>
  <c r="H666" i="488"/>
  <c r="I666" i="488"/>
  <c r="J666" i="488"/>
  <c r="K666" i="488"/>
  <c r="L666" i="488"/>
  <c r="M666" i="488"/>
  <c r="N666" i="488"/>
  <c r="O666" i="488"/>
  <c r="P666" i="488"/>
  <c r="Q666" i="488"/>
  <c r="R666" i="488"/>
  <c r="S666" i="488"/>
  <c r="T666" i="488"/>
  <c r="U666" i="488"/>
  <c r="V666" i="488"/>
  <c r="W666" i="488"/>
  <c r="X666" i="488"/>
  <c r="Y666" i="488"/>
  <c r="Z666" i="488"/>
  <c r="AA666" i="488"/>
  <c r="AB666" i="488"/>
  <c r="AC666" i="488"/>
  <c r="AD666" i="488"/>
  <c r="AE666" i="488"/>
  <c r="AF666" i="488"/>
  <c r="AG666" i="488"/>
  <c r="AH666" i="488"/>
  <c r="AI666" i="488"/>
  <c r="AJ666" i="488"/>
  <c r="AK666" i="488"/>
  <c r="AL666" i="488"/>
  <c r="AM666" i="488"/>
  <c r="AN666" i="488"/>
  <c r="AO666" i="488"/>
  <c r="AP666" i="488"/>
  <c r="AQ666" i="488"/>
  <c r="AR666" i="488"/>
  <c r="AS666" i="488"/>
  <c r="AT666" i="488"/>
  <c r="AU666" i="488"/>
  <c r="AV666" i="488"/>
  <c r="AW666" i="488"/>
  <c r="AX666" i="488"/>
  <c r="AY666" i="488"/>
  <c r="AZ666" i="488"/>
  <c r="BA666" i="488"/>
  <c r="BB666" i="488"/>
  <c r="BC666" i="488"/>
  <c r="BD666" i="488"/>
  <c r="BE666" i="488"/>
  <c r="BF666" i="488"/>
  <c r="BG666" i="488"/>
  <c r="BH666" i="488"/>
  <c r="BI666" i="488"/>
  <c r="BJ666" i="488"/>
  <c r="BK666" i="488"/>
  <c r="BL666" i="488"/>
  <c r="BM666" i="488"/>
  <c r="BN666" i="488"/>
  <c r="BO666" i="488"/>
  <c r="BP666" i="488"/>
  <c r="B667" i="488"/>
  <c r="C667" i="488"/>
  <c r="D667" i="488"/>
  <c r="E667" i="488"/>
  <c r="F667" i="488"/>
  <c r="G667" i="488"/>
  <c r="H667" i="488"/>
  <c r="I667" i="488"/>
  <c r="J667" i="488"/>
  <c r="K667" i="488"/>
  <c r="L667" i="488"/>
  <c r="M667" i="488"/>
  <c r="N667" i="488"/>
  <c r="O667" i="488"/>
  <c r="P667" i="488"/>
  <c r="Q667" i="488"/>
  <c r="R667" i="488"/>
  <c r="S667" i="488"/>
  <c r="T667" i="488"/>
  <c r="U667" i="488"/>
  <c r="V667" i="488"/>
  <c r="W667" i="488"/>
  <c r="X667" i="488"/>
  <c r="Y667" i="488"/>
  <c r="Z667" i="488"/>
  <c r="AA667" i="488"/>
  <c r="AB667" i="488"/>
  <c r="AC667" i="488"/>
  <c r="AD667" i="488"/>
  <c r="AE667" i="488"/>
  <c r="AF667" i="488"/>
  <c r="AG667" i="488"/>
  <c r="AH667" i="488"/>
  <c r="AI667" i="488"/>
  <c r="AJ667" i="488"/>
  <c r="AK667" i="488"/>
  <c r="AL667" i="488"/>
  <c r="AM667" i="488"/>
  <c r="AN667" i="488"/>
  <c r="AO667" i="488"/>
  <c r="AP667" i="488"/>
  <c r="AQ667" i="488"/>
  <c r="AR667" i="488"/>
  <c r="AS667" i="488"/>
  <c r="AT667" i="488"/>
  <c r="AU667" i="488"/>
  <c r="AV667" i="488"/>
  <c r="AW667" i="488"/>
  <c r="AX667" i="488"/>
  <c r="AY667" i="488"/>
  <c r="AZ667" i="488"/>
  <c r="BA667" i="488"/>
  <c r="BB667" i="488"/>
  <c r="BC667" i="488"/>
  <c r="BD667" i="488"/>
  <c r="BE667" i="488"/>
  <c r="BF667" i="488"/>
  <c r="BG667" i="488"/>
  <c r="BH667" i="488"/>
  <c r="BI667" i="488"/>
  <c r="BJ667" i="488"/>
  <c r="BK667" i="488"/>
  <c r="BL667" i="488"/>
  <c r="BM667" i="488"/>
  <c r="BN667" i="488"/>
  <c r="BO667" i="488"/>
  <c r="BP667" i="488"/>
  <c r="B668" i="488"/>
  <c r="C668" i="488"/>
  <c r="D668" i="488"/>
  <c r="E668" i="488"/>
  <c r="F668" i="488"/>
  <c r="G668" i="488"/>
  <c r="H668" i="488"/>
  <c r="I668" i="488"/>
  <c r="J668" i="488"/>
  <c r="K668" i="488"/>
  <c r="L668" i="488"/>
  <c r="M668" i="488"/>
  <c r="N668" i="488"/>
  <c r="O668" i="488"/>
  <c r="P668" i="488"/>
  <c r="Q668" i="488"/>
  <c r="R668" i="488"/>
  <c r="S668" i="488"/>
  <c r="T668" i="488"/>
  <c r="U668" i="488"/>
  <c r="V668" i="488"/>
  <c r="W668" i="488"/>
  <c r="X668" i="488"/>
  <c r="Y668" i="488"/>
  <c r="Z668" i="488"/>
  <c r="AA668" i="488"/>
  <c r="AB668" i="488"/>
  <c r="AC668" i="488"/>
  <c r="AD668" i="488"/>
  <c r="AE668" i="488"/>
  <c r="AF668" i="488"/>
  <c r="AG668" i="488"/>
  <c r="AH668" i="488"/>
  <c r="AI668" i="488"/>
  <c r="AJ668" i="488"/>
  <c r="AK668" i="488"/>
  <c r="AL668" i="488"/>
  <c r="AM668" i="488"/>
  <c r="AN668" i="488"/>
  <c r="AO668" i="488"/>
  <c r="AP668" i="488"/>
  <c r="AQ668" i="488"/>
  <c r="AR668" i="488"/>
  <c r="AS668" i="488"/>
  <c r="AT668" i="488"/>
  <c r="AU668" i="488"/>
  <c r="AV668" i="488"/>
  <c r="AW668" i="488"/>
  <c r="AX668" i="488"/>
  <c r="AY668" i="488"/>
  <c r="AZ668" i="488"/>
  <c r="BA668" i="488"/>
  <c r="BB668" i="488"/>
  <c r="BC668" i="488"/>
  <c r="BD668" i="488"/>
  <c r="BE668" i="488"/>
  <c r="BF668" i="488"/>
  <c r="BG668" i="488"/>
  <c r="BH668" i="488"/>
  <c r="BI668" i="488"/>
  <c r="BJ668" i="488"/>
  <c r="BK668" i="488"/>
  <c r="BL668" i="488"/>
  <c r="BM668" i="488"/>
  <c r="BN668" i="488"/>
  <c r="BO668" i="488"/>
  <c r="BP668" i="488"/>
  <c r="B669" i="488"/>
  <c r="C669" i="488"/>
  <c r="D669" i="488"/>
  <c r="E669" i="488"/>
  <c r="F669" i="488"/>
  <c r="G669" i="488"/>
  <c r="H669" i="488"/>
  <c r="I669" i="488"/>
  <c r="J669" i="488"/>
  <c r="K669" i="488"/>
  <c r="L669" i="488"/>
  <c r="M669" i="488"/>
  <c r="N669" i="488"/>
  <c r="O669" i="488"/>
  <c r="P669" i="488"/>
  <c r="Q669" i="488"/>
  <c r="R669" i="488"/>
  <c r="S669" i="488"/>
  <c r="T669" i="488"/>
  <c r="U669" i="488"/>
  <c r="V669" i="488"/>
  <c r="W669" i="488"/>
  <c r="X669" i="488"/>
  <c r="Y669" i="488"/>
  <c r="Z669" i="488"/>
  <c r="AA669" i="488"/>
  <c r="AB669" i="488"/>
  <c r="AC669" i="488"/>
  <c r="AD669" i="488"/>
  <c r="AE669" i="488"/>
  <c r="AF669" i="488"/>
  <c r="AG669" i="488"/>
  <c r="AH669" i="488"/>
  <c r="AI669" i="488"/>
  <c r="AJ669" i="488"/>
  <c r="AK669" i="488"/>
  <c r="AL669" i="488"/>
  <c r="AM669" i="488"/>
  <c r="AN669" i="488"/>
  <c r="AO669" i="488"/>
  <c r="AP669" i="488"/>
  <c r="AQ669" i="488"/>
  <c r="AR669" i="488"/>
  <c r="AS669" i="488"/>
  <c r="AT669" i="488"/>
  <c r="AU669" i="488"/>
  <c r="AV669" i="488"/>
  <c r="AW669" i="488"/>
  <c r="AX669" i="488"/>
  <c r="AY669" i="488"/>
  <c r="AZ669" i="488"/>
  <c r="BA669" i="488"/>
  <c r="BB669" i="488"/>
  <c r="BC669" i="488"/>
  <c r="BD669" i="488"/>
  <c r="BE669" i="488"/>
  <c r="BF669" i="488"/>
  <c r="BG669" i="488"/>
  <c r="BH669" i="488"/>
  <c r="BI669" i="488"/>
  <c r="BJ669" i="488"/>
  <c r="BK669" i="488"/>
  <c r="BL669" i="488"/>
  <c r="BM669" i="488"/>
  <c r="BN669" i="488"/>
  <c r="BO669" i="488"/>
  <c r="BP669" i="488"/>
  <c r="B670" i="488"/>
  <c r="C670" i="488"/>
  <c r="D670" i="488"/>
  <c r="E670" i="488"/>
  <c r="F670" i="488"/>
  <c r="G670" i="488"/>
  <c r="H670" i="488"/>
  <c r="I670" i="488"/>
  <c r="J670" i="488"/>
  <c r="K670" i="488"/>
  <c r="L670" i="488"/>
  <c r="M670" i="488"/>
  <c r="N670" i="488"/>
  <c r="O670" i="488"/>
  <c r="P670" i="488"/>
  <c r="Q670" i="488"/>
  <c r="R670" i="488"/>
  <c r="S670" i="488"/>
  <c r="T670" i="488"/>
  <c r="U670" i="488"/>
  <c r="V670" i="488"/>
  <c r="W670" i="488"/>
  <c r="X670" i="488"/>
  <c r="Y670" i="488"/>
  <c r="Z670" i="488"/>
  <c r="AA670" i="488"/>
  <c r="AB670" i="488"/>
  <c r="AC670" i="488"/>
  <c r="AD670" i="488"/>
  <c r="AE670" i="488"/>
  <c r="AF670" i="488"/>
  <c r="AG670" i="488"/>
  <c r="AH670" i="488"/>
  <c r="AI670" i="488"/>
  <c r="AJ670" i="488"/>
  <c r="AK670" i="488"/>
  <c r="AL670" i="488"/>
  <c r="AM670" i="488"/>
  <c r="AN670" i="488"/>
  <c r="AO670" i="488"/>
  <c r="AP670" i="488"/>
  <c r="AQ670" i="488"/>
  <c r="AR670" i="488"/>
  <c r="AS670" i="488"/>
  <c r="AT670" i="488"/>
  <c r="AU670" i="488"/>
  <c r="AV670" i="488"/>
  <c r="AW670" i="488"/>
  <c r="AX670" i="488"/>
  <c r="AY670" i="488"/>
  <c r="AZ670" i="488"/>
  <c r="BA670" i="488"/>
  <c r="BB670" i="488"/>
  <c r="BC670" i="488"/>
  <c r="BD670" i="488"/>
  <c r="BE670" i="488"/>
  <c r="BF670" i="488"/>
  <c r="BG670" i="488"/>
  <c r="BH670" i="488"/>
  <c r="BI670" i="488"/>
  <c r="BJ670" i="488"/>
  <c r="BK670" i="488"/>
  <c r="BL670" i="488"/>
  <c r="BM670" i="488"/>
  <c r="BN670" i="488"/>
  <c r="BO670" i="488"/>
  <c r="BP670" i="488"/>
  <c r="B671" i="488"/>
  <c r="C671" i="488"/>
  <c r="D671" i="488"/>
  <c r="E671" i="488"/>
  <c r="F671" i="488"/>
  <c r="G671" i="488"/>
  <c r="H671" i="488"/>
  <c r="I671" i="488"/>
  <c r="J671" i="488"/>
  <c r="K671" i="488"/>
  <c r="L671" i="488"/>
  <c r="M671" i="488"/>
  <c r="N671" i="488"/>
  <c r="O671" i="488"/>
  <c r="P671" i="488"/>
  <c r="Q671" i="488"/>
  <c r="R671" i="488"/>
  <c r="S671" i="488"/>
  <c r="T671" i="488"/>
  <c r="U671" i="488"/>
  <c r="V671" i="488"/>
  <c r="W671" i="488"/>
  <c r="X671" i="488"/>
  <c r="Y671" i="488"/>
  <c r="Z671" i="488"/>
  <c r="AA671" i="488"/>
  <c r="AB671" i="488"/>
  <c r="AC671" i="488"/>
  <c r="AD671" i="488"/>
  <c r="AE671" i="488"/>
  <c r="AF671" i="488"/>
  <c r="AG671" i="488"/>
  <c r="AH671" i="488"/>
  <c r="AI671" i="488"/>
  <c r="AJ671" i="488"/>
  <c r="AK671" i="488"/>
  <c r="AL671" i="488"/>
  <c r="AM671" i="488"/>
  <c r="AN671" i="488"/>
  <c r="AO671" i="488"/>
  <c r="AP671" i="488"/>
  <c r="AQ671" i="488"/>
  <c r="AR671" i="488"/>
  <c r="AS671" i="488"/>
  <c r="AT671" i="488"/>
  <c r="AU671" i="488"/>
  <c r="AV671" i="488"/>
  <c r="AW671" i="488"/>
  <c r="AX671" i="488"/>
  <c r="AY671" i="488"/>
  <c r="AZ671" i="488"/>
  <c r="BA671" i="488"/>
  <c r="BB671" i="488"/>
  <c r="BC671" i="488"/>
  <c r="BD671" i="488"/>
  <c r="BE671" i="488"/>
  <c r="BF671" i="488"/>
  <c r="BG671" i="488"/>
  <c r="BH671" i="488"/>
  <c r="BI671" i="488"/>
  <c r="BJ671" i="488"/>
  <c r="BK671" i="488"/>
  <c r="BL671" i="488"/>
  <c r="BM671" i="488"/>
  <c r="BN671" i="488"/>
  <c r="BO671" i="488"/>
  <c r="BP671" i="488"/>
  <c r="B672" i="488"/>
  <c r="C672" i="488"/>
  <c r="D672" i="488"/>
  <c r="E672" i="488"/>
  <c r="F672" i="488"/>
  <c r="G672" i="488"/>
  <c r="H672" i="488"/>
  <c r="I672" i="488"/>
  <c r="J672" i="488"/>
  <c r="K672" i="488"/>
  <c r="L672" i="488"/>
  <c r="M672" i="488"/>
  <c r="N672" i="488"/>
  <c r="O672" i="488"/>
  <c r="P672" i="488"/>
  <c r="Q672" i="488"/>
  <c r="R672" i="488"/>
  <c r="S672" i="488"/>
  <c r="T672" i="488"/>
  <c r="U672" i="488"/>
  <c r="V672" i="488"/>
  <c r="W672" i="488"/>
  <c r="X672" i="488"/>
  <c r="Y672" i="488"/>
  <c r="Z672" i="488"/>
  <c r="AA672" i="488"/>
  <c r="AB672" i="488"/>
  <c r="AC672" i="488"/>
  <c r="AD672" i="488"/>
  <c r="AE672" i="488"/>
  <c r="AF672" i="488"/>
  <c r="AG672" i="488"/>
  <c r="AH672" i="488"/>
  <c r="AI672" i="488"/>
  <c r="AJ672" i="488"/>
  <c r="AK672" i="488"/>
  <c r="AL672" i="488"/>
  <c r="AM672" i="488"/>
  <c r="AN672" i="488"/>
  <c r="AO672" i="488"/>
  <c r="AP672" i="488"/>
  <c r="AQ672" i="488"/>
  <c r="AR672" i="488"/>
  <c r="AS672" i="488"/>
  <c r="AT672" i="488"/>
  <c r="AU672" i="488"/>
  <c r="AV672" i="488"/>
  <c r="AW672" i="488"/>
  <c r="AX672" i="488"/>
  <c r="AY672" i="488"/>
  <c r="AZ672" i="488"/>
  <c r="BA672" i="488"/>
  <c r="BB672" i="488"/>
  <c r="BC672" i="488"/>
  <c r="BD672" i="488"/>
  <c r="BE672" i="488"/>
  <c r="BF672" i="488"/>
  <c r="BG672" i="488"/>
  <c r="BH672" i="488"/>
  <c r="BI672" i="488"/>
  <c r="BJ672" i="488"/>
  <c r="BK672" i="488"/>
  <c r="BL672" i="488"/>
  <c r="BM672" i="488"/>
  <c r="BN672" i="488"/>
  <c r="BO672" i="488"/>
  <c r="BP672" i="488"/>
  <c r="B673" i="488"/>
  <c r="C673" i="488"/>
  <c r="D673" i="488"/>
  <c r="E673" i="488"/>
  <c r="F673" i="488"/>
  <c r="G673" i="488"/>
  <c r="H673" i="488"/>
  <c r="I673" i="488"/>
  <c r="J673" i="488"/>
  <c r="K673" i="488"/>
  <c r="L673" i="488"/>
  <c r="M673" i="488"/>
  <c r="N673" i="488"/>
  <c r="O673" i="488"/>
  <c r="P673" i="488"/>
  <c r="Q673" i="488"/>
  <c r="R673" i="488"/>
  <c r="S673" i="488"/>
  <c r="T673" i="488"/>
  <c r="U673" i="488"/>
  <c r="V673" i="488"/>
  <c r="W673" i="488"/>
  <c r="X673" i="488"/>
  <c r="Y673" i="488"/>
  <c r="Z673" i="488"/>
  <c r="AA673" i="488"/>
  <c r="AB673" i="488"/>
  <c r="AC673" i="488"/>
  <c r="AD673" i="488"/>
  <c r="AE673" i="488"/>
  <c r="AF673" i="488"/>
  <c r="AG673" i="488"/>
  <c r="AH673" i="488"/>
  <c r="AI673" i="488"/>
  <c r="AJ673" i="488"/>
  <c r="AK673" i="488"/>
  <c r="AL673" i="488"/>
  <c r="AM673" i="488"/>
  <c r="AN673" i="488"/>
  <c r="AO673" i="488"/>
  <c r="AP673" i="488"/>
  <c r="AQ673" i="488"/>
  <c r="AR673" i="488"/>
  <c r="AS673" i="488"/>
  <c r="AT673" i="488"/>
  <c r="AU673" i="488"/>
  <c r="AV673" i="488"/>
  <c r="AW673" i="488"/>
  <c r="AX673" i="488"/>
  <c r="AY673" i="488"/>
  <c r="AZ673" i="488"/>
  <c r="BA673" i="488"/>
  <c r="BB673" i="488"/>
  <c r="BC673" i="488"/>
  <c r="BD673" i="488"/>
  <c r="BE673" i="488"/>
  <c r="BF673" i="488"/>
  <c r="BG673" i="488"/>
  <c r="BH673" i="488"/>
  <c r="BI673" i="488"/>
  <c r="BJ673" i="488"/>
  <c r="BK673" i="488"/>
  <c r="BL673" i="488"/>
  <c r="BM673" i="488"/>
  <c r="BN673" i="488"/>
  <c r="BO673" i="488"/>
  <c r="BP673" i="488"/>
  <c r="B674" i="488"/>
  <c r="C674" i="488"/>
  <c r="D674" i="488"/>
  <c r="E674" i="488"/>
  <c r="F674" i="488"/>
  <c r="G674" i="488"/>
  <c r="H674" i="488"/>
  <c r="I674" i="488"/>
  <c r="J674" i="488"/>
  <c r="K674" i="488"/>
  <c r="L674" i="488"/>
  <c r="M674" i="488"/>
  <c r="N674" i="488"/>
  <c r="O674" i="488"/>
  <c r="P674" i="488"/>
  <c r="Q674" i="488"/>
  <c r="R674" i="488"/>
  <c r="S674" i="488"/>
  <c r="T674" i="488"/>
  <c r="U674" i="488"/>
  <c r="V674" i="488"/>
  <c r="W674" i="488"/>
  <c r="X674" i="488"/>
  <c r="Y674" i="488"/>
  <c r="Z674" i="488"/>
  <c r="AA674" i="488"/>
  <c r="AB674" i="488"/>
  <c r="AC674" i="488"/>
  <c r="AD674" i="488"/>
  <c r="AE674" i="488"/>
  <c r="AF674" i="488"/>
  <c r="AG674" i="488"/>
  <c r="AH674" i="488"/>
  <c r="AI674" i="488"/>
  <c r="AJ674" i="488"/>
  <c r="AK674" i="488"/>
  <c r="AL674" i="488"/>
  <c r="AM674" i="488"/>
  <c r="AN674" i="488"/>
  <c r="AO674" i="488"/>
  <c r="AP674" i="488"/>
  <c r="AQ674" i="488"/>
  <c r="AR674" i="488"/>
  <c r="AS674" i="488"/>
  <c r="AT674" i="488"/>
  <c r="AU674" i="488"/>
  <c r="AV674" i="488"/>
  <c r="AW674" i="488"/>
  <c r="AX674" i="488"/>
  <c r="AY674" i="488"/>
  <c r="AZ674" i="488"/>
  <c r="BA674" i="488"/>
  <c r="BB674" i="488"/>
  <c r="BC674" i="488"/>
  <c r="BD674" i="488"/>
  <c r="BE674" i="488"/>
  <c r="BF674" i="488"/>
  <c r="BG674" i="488"/>
  <c r="BH674" i="488"/>
  <c r="BI674" i="488"/>
  <c r="BJ674" i="488"/>
  <c r="BK674" i="488"/>
  <c r="BL674" i="488"/>
  <c r="BM674" i="488"/>
  <c r="BN674" i="488"/>
  <c r="BO674" i="488"/>
  <c r="BP674" i="488"/>
  <c r="B675" i="488"/>
  <c r="C675" i="488"/>
  <c r="D675" i="488"/>
  <c r="E675" i="488"/>
  <c r="F675" i="488"/>
  <c r="G675" i="488"/>
  <c r="H675" i="488"/>
  <c r="I675" i="488"/>
  <c r="J675" i="488"/>
  <c r="K675" i="488"/>
  <c r="L675" i="488"/>
  <c r="M675" i="488"/>
  <c r="N675" i="488"/>
  <c r="O675" i="488"/>
  <c r="P675" i="488"/>
  <c r="Q675" i="488"/>
  <c r="R675" i="488"/>
  <c r="S675" i="488"/>
  <c r="T675" i="488"/>
  <c r="U675" i="488"/>
  <c r="V675" i="488"/>
  <c r="W675" i="488"/>
  <c r="X675" i="488"/>
  <c r="Y675" i="488"/>
  <c r="Z675" i="488"/>
  <c r="AA675" i="488"/>
  <c r="AB675" i="488"/>
  <c r="AC675" i="488"/>
  <c r="AD675" i="488"/>
  <c r="AE675" i="488"/>
  <c r="AF675" i="488"/>
  <c r="AG675" i="488"/>
  <c r="AH675" i="488"/>
  <c r="AI675" i="488"/>
  <c r="AJ675" i="488"/>
  <c r="AK675" i="488"/>
  <c r="AL675" i="488"/>
  <c r="AM675" i="488"/>
  <c r="AN675" i="488"/>
  <c r="AO675" i="488"/>
  <c r="AP675" i="488"/>
  <c r="AQ675" i="488"/>
  <c r="AR675" i="488"/>
  <c r="AS675" i="488"/>
  <c r="AT675" i="488"/>
  <c r="AU675" i="488"/>
  <c r="AV675" i="488"/>
  <c r="AW675" i="488"/>
  <c r="AX675" i="488"/>
  <c r="AY675" i="488"/>
  <c r="AZ675" i="488"/>
  <c r="BA675" i="488"/>
  <c r="BB675" i="488"/>
  <c r="BC675" i="488"/>
  <c r="BD675" i="488"/>
  <c r="BE675" i="488"/>
  <c r="BF675" i="488"/>
  <c r="BG675" i="488"/>
  <c r="BH675" i="488"/>
  <c r="BI675" i="488"/>
  <c r="BJ675" i="488"/>
  <c r="BK675" i="488"/>
  <c r="BL675" i="488"/>
  <c r="BM675" i="488"/>
  <c r="BN675" i="488"/>
  <c r="BO675" i="488"/>
  <c r="BP675" i="488"/>
  <c r="B676" i="488"/>
  <c r="C676" i="488"/>
  <c r="D676" i="488"/>
  <c r="E676" i="488"/>
  <c r="F676" i="488"/>
  <c r="G676" i="488"/>
  <c r="H676" i="488"/>
  <c r="I676" i="488"/>
  <c r="J676" i="488"/>
  <c r="K676" i="488"/>
  <c r="L676" i="488"/>
  <c r="M676" i="488"/>
  <c r="N676" i="488"/>
  <c r="O676" i="488"/>
  <c r="P676" i="488"/>
  <c r="Q676" i="488"/>
  <c r="R676" i="488"/>
  <c r="S676" i="488"/>
  <c r="T676" i="488"/>
  <c r="U676" i="488"/>
  <c r="V676" i="488"/>
  <c r="W676" i="488"/>
  <c r="X676" i="488"/>
  <c r="Y676" i="488"/>
  <c r="Z676" i="488"/>
  <c r="AA676" i="488"/>
  <c r="AB676" i="488"/>
  <c r="AC676" i="488"/>
  <c r="AD676" i="488"/>
  <c r="AE676" i="488"/>
  <c r="AF676" i="488"/>
  <c r="AG676" i="488"/>
  <c r="AH676" i="488"/>
  <c r="AI676" i="488"/>
  <c r="AJ676" i="488"/>
  <c r="AK676" i="488"/>
  <c r="AL676" i="488"/>
  <c r="AM676" i="488"/>
  <c r="AN676" i="488"/>
  <c r="AO676" i="488"/>
  <c r="AP676" i="488"/>
  <c r="AQ676" i="488"/>
  <c r="AR676" i="488"/>
  <c r="AS676" i="488"/>
  <c r="AT676" i="488"/>
  <c r="AU676" i="488"/>
  <c r="AV676" i="488"/>
  <c r="AW676" i="488"/>
  <c r="AX676" i="488"/>
  <c r="AY676" i="488"/>
  <c r="AZ676" i="488"/>
  <c r="BA676" i="488"/>
  <c r="BB676" i="488"/>
  <c r="BC676" i="488"/>
  <c r="BD676" i="488"/>
  <c r="BE676" i="488"/>
  <c r="BF676" i="488"/>
  <c r="BG676" i="488"/>
  <c r="BH676" i="488"/>
  <c r="BI676" i="488"/>
  <c r="BJ676" i="488"/>
  <c r="BK676" i="488"/>
  <c r="BL676" i="488"/>
  <c r="BM676" i="488"/>
  <c r="BN676" i="488"/>
  <c r="BO676" i="488"/>
  <c r="BP676" i="488"/>
  <c r="B677" i="488"/>
  <c r="C677" i="488"/>
  <c r="D677" i="488"/>
  <c r="E677" i="488"/>
  <c r="F677" i="488"/>
  <c r="G677" i="488"/>
  <c r="H677" i="488"/>
  <c r="I677" i="488"/>
  <c r="J677" i="488"/>
  <c r="K677" i="488"/>
  <c r="L677" i="488"/>
  <c r="M677" i="488"/>
  <c r="N677" i="488"/>
  <c r="O677" i="488"/>
  <c r="P677" i="488"/>
  <c r="Q677" i="488"/>
  <c r="R677" i="488"/>
  <c r="S677" i="488"/>
  <c r="T677" i="488"/>
  <c r="U677" i="488"/>
  <c r="V677" i="488"/>
  <c r="W677" i="488"/>
  <c r="X677" i="488"/>
  <c r="Y677" i="488"/>
  <c r="Z677" i="488"/>
  <c r="AA677" i="488"/>
  <c r="AB677" i="488"/>
  <c r="AC677" i="488"/>
  <c r="AD677" i="488"/>
  <c r="AE677" i="488"/>
  <c r="AF677" i="488"/>
  <c r="AG677" i="488"/>
  <c r="AH677" i="488"/>
  <c r="AI677" i="488"/>
  <c r="AJ677" i="488"/>
  <c r="AK677" i="488"/>
  <c r="AL677" i="488"/>
  <c r="AM677" i="488"/>
  <c r="AN677" i="488"/>
  <c r="AO677" i="488"/>
  <c r="AP677" i="488"/>
  <c r="AQ677" i="488"/>
  <c r="AR677" i="488"/>
  <c r="AS677" i="488"/>
  <c r="AT677" i="488"/>
  <c r="AU677" i="488"/>
  <c r="AV677" i="488"/>
  <c r="AW677" i="488"/>
  <c r="AX677" i="488"/>
  <c r="AY677" i="488"/>
  <c r="AZ677" i="488"/>
  <c r="BA677" i="488"/>
  <c r="BB677" i="488"/>
  <c r="BC677" i="488"/>
  <c r="BD677" i="488"/>
  <c r="BE677" i="488"/>
  <c r="BF677" i="488"/>
  <c r="BG677" i="488"/>
  <c r="BH677" i="488"/>
  <c r="BI677" i="488"/>
  <c r="BJ677" i="488"/>
  <c r="BK677" i="488"/>
  <c r="BL677" i="488"/>
  <c r="BM677" i="488"/>
  <c r="BN677" i="488"/>
  <c r="BO677" i="488"/>
  <c r="BP677" i="488"/>
  <c r="B678" i="488"/>
  <c r="C678" i="488"/>
  <c r="D678" i="488"/>
  <c r="E678" i="488"/>
  <c r="F678" i="488"/>
  <c r="G678" i="488"/>
  <c r="H678" i="488"/>
  <c r="I678" i="488"/>
  <c r="J678" i="488"/>
  <c r="K678" i="488"/>
  <c r="L678" i="488"/>
  <c r="M678" i="488"/>
  <c r="N678" i="488"/>
  <c r="O678" i="488"/>
  <c r="P678" i="488"/>
  <c r="Q678" i="488"/>
  <c r="R678" i="488"/>
  <c r="S678" i="488"/>
  <c r="T678" i="488"/>
  <c r="U678" i="488"/>
  <c r="V678" i="488"/>
  <c r="W678" i="488"/>
  <c r="X678" i="488"/>
  <c r="Y678" i="488"/>
  <c r="Z678" i="488"/>
  <c r="AA678" i="488"/>
  <c r="AB678" i="488"/>
  <c r="AC678" i="488"/>
  <c r="AD678" i="488"/>
  <c r="AE678" i="488"/>
  <c r="AF678" i="488"/>
  <c r="AG678" i="488"/>
  <c r="AH678" i="488"/>
  <c r="AI678" i="488"/>
  <c r="AJ678" i="488"/>
  <c r="AK678" i="488"/>
  <c r="AL678" i="488"/>
  <c r="AM678" i="488"/>
  <c r="AN678" i="488"/>
  <c r="AO678" i="488"/>
  <c r="AP678" i="488"/>
  <c r="AQ678" i="488"/>
  <c r="AR678" i="488"/>
  <c r="AS678" i="488"/>
  <c r="AT678" i="488"/>
  <c r="AU678" i="488"/>
  <c r="AV678" i="488"/>
  <c r="AW678" i="488"/>
  <c r="AX678" i="488"/>
  <c r="AY678" i="488"/>
  <c r="AZ678" i="488"/>
  <c r="BA678" i="488"/>
  <c r="BB678" i="488"/>
  <c r="BC678" i="488"/>
  <c r="BD678" i="488"/>
  <c r="BE678" i="488"/>
  <c r="BF678" i="488"/>
  <c r="BG678" i="488"/>
  <c r="BH678" i="488"/>
  <c r="BI678" i="488"/>
  <c r="BJ678" i="488"/>
  <c r="BK678" i="488"/>
  <c r="BL678" i="488"/>
  <c r="BM678" i="488"/>
  <c r="BN678" i="488"/>
  <c r="BO678" i="488"/>
  <c r="BP678" i="488"/>
  <c r="B679" i="488"/>
  <c r="C679" i="488"/>
  <c r="D679" i="488"/>
  <c r="E679" i="488"/>
  <c r="F679" i="488"/>
  <c r="G679" i="488"/>
  <c r="H679" i="488"/>
  <c r="I679" i="488"/>
  <c r="J679" i="488"/>
  <c r="K679" i="488"/>
  <c r="L679" i="488"/>
  <c r="M679" i="488"/>
  <c r="N679" i="488"/>
  <c r="O679" i="488"/>
  <c r="P679" i="488"/>
  <c r="Q679" i="488"/>
  <c r="R679" i="488"/>
  <c r="S679" i="488"/>
  <c r="T679" i="488"/>
  <c r="U679" i="488"/>
  <c r="V679" i="488"/>
  <c r="W679" i="488"/>
  <c r="X679" i="488"/>
  <c r="Y679" i="488"/>
  <c r="Z679" i="488"/>
  <c r="AA679" i="488"/>
  <c r="AB679" i="488"/>
  <c r="AC679" i="488"/>
  <c r="AD679" i="488"/>
  <c r="AE679" i="488"/>
  <c r="AF679" i="488"/>
  <c r="AG679" i="488"/>
  <c r="AH679" i="488"/>
  <c r="AI679" i="488"/>
  <c r="AJ679" i="488"/>
  <c r="AK679" i="488"/>
  <c r="AL679" i="488"/>
  <c r="AM679" i="488"/>
  <c r="AN679" i="488"/>
  <c r="AO679" i="488"/>
  <c r="AP679" i="488"/>
  <c r="AQ679" i="488"/>
  <c r="AR679" i="488"/>
  <c r="AS679" i="488"/>
  <c r="AT679" i="488"/>
  <c r="AU679" i="488"/>
  <c r="AV679" i="488"/>
  <c r="AW679" i="488"/>
  <c r="AX679" i="488"/>
  <c r="AY679" i="488"/>
  <c r="AZ679" i="488"/>
  <c r="BA679" i="488"/>
  <c r="BB679" i="488"/>
  <c r="BC679" i="488"/>
  <c r="BD679" i="488"/>
  <c r="BE679" i="488"/>
  <c r="BF679" i="488"/>
  <c r="BG679" i="488"/>
  <c r="BH679" i="488"/>
  <c r="BI679" i="488"/>
  <c r="BJ679" i="488"/>
  <c r="BK679" i="488"/>
  <c r="BL679" i="488"/>
  <c r="BM679" i="488"/>
  <c r="BN679" i="488"/>
  <c r="BO679" i="488"/>
  <c r="BP679" i="488"/>
  <c r="B636" i="488"/>
  <c r="C636" i="488"/>
  <c r="D636" i="488"/>
  <c r="E636" i="488"/>
  <c r="F636" i="488"/>
  <c r="G636" i="488"/>
  <c r="H636" i="488"/>
  <c r="I636" i="488"/>
  <c r="J636" i="488"/>
  <c r="K636" i="488"/>
  <c r="L636" i="488"/>
  <c r="M636" i="488"/>
  <c r="N636" i="488"/>
  <c r="O636" i="488"/>
  <c r="P636" i="488"/>
  <c r="Q636" i="488"/>
  <c r="R636" i="488"/>
  <c r="S636" i="488"/>
  <c r="T636" i="488"/>
  <c r="U636" i="488"/>
  <c r="V636" i="488"/>
  <c r="W636" i="488"/>
  <c r="X636" i="488"/>
  <c r="Y636" i="488"/>
  <c r="Z636" i="488"/>
  <c r="AA636" i="488"/>
  <c r="AB636" i="488"/>
  <c r="AC636" i="488"/>
  <c r="AD636" i="488"/>
  <c r="AE636" i="488"/>
  <c r="AF636" i="488"/>
  <c r="AG636" i="488"/>
  <c r="AH636" i="488"/>
  <c r="AI636" i="488"/>
  <c r="AJ636" i="488"/>
  <c r="AK636" i="488"/>
  <c r="AL636" i="488"/>
  <c r="AM636" i="488"/>
  <c r="AN636" i="488"/>
  <c r="AO636" i="488"/>
  <c r="AP636" i="488"/>
  <c r="AQ636" i="488"/>
  <c r="AR636" i="488"/>
  <c r="AS636" i="488"/>
  <c r="AT636" i="488"/>
  <c r="AU636" i="488"/>
  <c r="AV636" i="488"/>
  <c r="AW636" i="488"/>
  <c r="AX636" i="488"/>
  <c r="AY636" i="488"/>
  <c r="AZ636" i="488"/>
  <c r="BA636" i="488"/>
  <c r="BB636" i="488"/>
  <c r="BC636" i="488"/>
  <c r="BD636" i="488"/>
  <c r="BE636" i="488"/>
  <c r="BF636" i="488"/>
  <c r="BG636" i="488"/>
  <c r="BH636" i="488"/>
  <c r="BI636" i="488"/>
  <c r="BJ636" i="488"/>
  <c r="BK636" i="488"/>
  <c r="BL636" i="488"/>
  <c r="BM636" i="488"/>
  <c r="BN636" i="488"/>
  <c r="BO636" i="488"/>
  <c r="BP636" i="488"/>
  <c r="B637" i="488"/>
  <c r="C637" i="488"/>
  <c r="D637" i="488"/>
  <c r="E637" i="488"/>
  <c r="F637" i="488"/>
  <c r="G637" i="488"/>
  <c r="H637" i="488"/>
  <c r="I637" i="488"/>
  <c r="J637" i="488"/>
  <c r="K637" i="488"/>
  <c r="L637" i="488"/>
  <c r="M637" i="488"/>
  <c r="N637" i="488"/>
  <c r="O637" i="488"/>
  <c r="P637" i="488"/>
  <c r="Q637" i="488"/>
  <c r="R637" i="488"/>
  <c r="S637" i="488"/>
  <c r="T637" i="488"/>
  <c r="U637" i="488"/>
  <c r="V637" i="488"/>
  <c r="W637" i="488"/>
  <c r="X637" i="488"/>
  <c r="Y637" i="488"/>
  <c r="Z637" i="488"/>
  <c r="AA637" i="488"/>
  <c r="AB637" i="488"/>
  <c r="AC637" i="488"/>
  <c r="AD637" i="488"/>
  <c r="AE637" i="488"/>
  <c r="AF637" i="488"/>
  <c r="AG637" i="488"/>
  <c r="AH637" i="488"/>
  <c r="AI637" i="488"/>
  <c r="AJ637" i="488"/>
  <c r="AK637" i="488"/>
  <c r="AL637" i="488"/>
  <c r="AM637" i="488"/>
  <c r="AN637" i="488"/>
  <c r="AO637" i="488"/>
  <c r="AP637" i="488"/>
  <c r="AQ637" i="488"/>
  <c r="AR637" i="488"/>
  <c r="AS637" i="488"/>
  <c r="AT637" i="488"/>
  <c r="AU637" i="488"/>
  <c r="AV637" i="488"/>
  <c r="AW637" i="488"/>
  <c r="AX637" i="488"/>
  <c r="AY637" i="488"/>
  <c r="AZ637" i="488"/>
  <c r="BA637" i="488"/>
  <c r="BB637" i="488"/>
  <c r="BC637" i="488"/>
  <c r="BD637" i="488"/>
  <c r="BE637" i="488"/>
  <c r="BF637" i="488"/>
  <c r="BG637" i="488"/>
  <c r="BH637" i="488"/>
  <c r="BI637" i="488"/>
  <c r="BJ637" i="488"/>
  <c r="BK637" i="488"/>
  <c r="BL637" i="488"/>
  <c r="BM637" i="488"/>
  <c r="BN637" i="488"/>
  <c r="BO637" i="488"/>
  <c r="BP637" i="488"/>
  <c r="B638" i="488"/>
  <c r="C638" i="488"/>
  <c r="D638" i="488"/>
  <c r="E638" i="488"/>
  <c r="F638" i="488"/>
  <c r="G638" i="488"/>
  <c r="H638" i="488"/>
  <c r="I638" i="488"/>
  <c r="J638" i="488"/>
  <c r="K638" i="488"/>
  <c r="L638" i="488"/>
  <c r="M638" i="488"/>
  <c r="N638" i="488"/>
  <c r="O638" i="488"/>
  <c r="P638" i="488"/>
  <c r="Q638" i="488"/>
  <c r="R638" i="488"/>
  <c r="S638" i="488"/>
  <c r="T638" i="488"/>
  <c r="U638" i="488"/>
  <c r="V638" i="488"/>
  <c r="W638" i="488"/>
  <c r="X638" i="488"/>
  <c r="Y638" i="488"/>
  <c r="Z638" i="488"/>
  <c r="AA638" i="488"/>
  <c r="AB638" i="488"/>
  <c r="AC638" i="488"/>
  <c r="AD638" i="488"/>
  <c r="AE638" i="488"/>
  <c r="AF638" i="488"/>
  <c r="AG638" i="488"/>
  <c r="AH638" i="488"/>
  <c r="AI638" i="488"/>
  <c r="AJ638" i="488"/>
  <c r="AK638" i="488"/>
  <c r="AL638" i="488"/>
  <c r="AM638" i="488"/>
  <c r="AN638" i="488"/>
  <c r="AO638" i="488"/>
  <c r="AP638" i="488"/>
  <c r="AQ638" i="488"/>
  <c r="AR638" i="488"/>
  <c r="AS638" i="488"/>
  <c r="AT638" i="488"/>
  <c r="AU638" i="488"/>
  <c r="AV638" i="488"/>
  <c r="AW638" i="488"/>
  <c r="AX638" i="488"/>
  <c r="AY638" i="488"/>
  <c r="AZ638" i="488"/>
  <c r="BA638" i="488"/>
  <c r="BB638" i="488"/>
  <c r="BC638" i="488"/>
  <c r="BD638" i="488"/>
  <c r="BE638" i="488"/>
  <c r="BF638" i="488"/>
  <c r="BG638" i="488"/>
  <c r="BH638" i="488"/>
  <c r="BI638" i="488"/>
  <c r="BJ638" i="488"/>
  <c r="BK638" i="488"/>
  <c r="BL638" i="488"/>
  <c r="BM638" i="488"/>
  <c r="BN638" i="488"/>
  <c r="BO638" i="488"/>
  <c r="BP638" i="488"/>
  <c r="B639" i="488"/>
  <c r="C639" i="488"/>
  <c r="D639" i="488"/>
  <c r="E639" i="488"/>
  <c r="F639" i="488"/>
  <c r="G639" i="488"/>
  <c r="H639" i="488"/>
  <c r="I639" i="488"/>
  <c r="J639" i="488"/>
  <c r="K639" i="488"/>
  <c r="L639" i="488"/>
  <c r="M639" i="488"/>
  <c r="N639" i="488"/>
  <c r="O639" i="488"/>
  <c r="P639" i="488"/>
  <c r="Q639" i="488"/>
  <c r="R639" i="488"/>
  <c r="S639" i="488"/>
  <c r="T639" i="488"/>
  <c r="U639" i="488"/>
  <c r="V639" i="488"/>
  <c r="W639" i="488"/>
  <c r="X639" i="488"/>
  <c r="Y639" i="488"/>
  <c r="Z639" i="488"/>
  <c r="AA639" i="488"/>
  <c r="AB639" i="488"/>
  <c r="AC639" i="488"/>
  <c r="AD639" i="488"/>
  <c r="AE639" i="488"/>
  <c r="AF639" i="488"/>
  <c r="AG639" i="488"/>
  <c r="AH639" i="488"/>
  <c r="AI639" i="488"/>
  <c r="AJ639" i="488"/>
  <c r="AK639" i="488"/>
  <c r="AL639" i="488"/>
  <c r="AM639" i="488"/>
  <c r="AN639" i="488"/>
  <c r="AO639" i="488"/>
  <c r="AP639" i="488"/>
  <c r="AQ639" i="488"/>
  <c r="AR639" i="488"/>
  <c r="AS639" i="488"/>
  <c r="AT639" i="488"/>
  <c r="AU639" i="488"/>
  <c r="AV639" i="488"/>
  <c r="AW639" i="488"/>
  <c r="AX639" i="488"/>
  <c r="AY639" i="488"/>
  <c r="AZ639" i="488"/>
  <c r="BA639" i="488"/>
  <c r="BB639" i="488"/>
  <c r="BC639" i="488"/>
  <c r="BD639" i="488"/>
  <c r="BE639" i="488"/>
  <c r="BF639" i="488"/>
  <c r="BG639" i="488"/>
  <c r="BH639" i="488"/>
  <c r="BI639" i="488"/>
  <c r="BJ639" i="488"/>
  <c r="BK639" i="488"/>
  <c r="BL639" i="488"/>
  <c r="BM639" i="488"/>
  <c r="BN639" i="488"/>
  <c r="BO639" i="488"/>
  <c r="BP639" i="488"/>
  <c r="B640" i="488"/>
  <c r="C640" i="488"/>
  <c r="D640" i="488"/>
  <c r="E640" i="488"/>
  <c r="F640" i="488"/>
  <c r="G640" i="488"/>
  <c r="H640" i="488"/>
  <c r="I640" i="488"/>
  <c r="J640" i="488"/>
  <c r="K640" i="488"/>
  <c r="L640" i="488"/>
  <c r="M640" i="488"/>
  <c r="N640" i="488"/>
  <c r="O640" i="488"/>
  <c r="P640" i="488"/>
  <c r="Q640" i="488"/>
  <c r="R640" i="488"/>
  <c r="S640" i="488"/>
  <c r="T640" i="488"/>
  <c r="U640" i="488"/>
  <c r="V640" i="488"/>
  <c r="W640" i="488"/>
  <c r="X640" i="488"/>
  <c r="Y640" i="488"/>
  <c r="Z640" i="488"/>
  <c r="AA640" i="488"/>
  <c r="AB640" i="488"/>
  <c r="AC640" i="488"/>
  <c r="AD640" i="488"/>
  <c r="AE640" i="488"/>
  <c r="AF640" i="488"/>
  <c r="AG640" i="488"/>
  <c r="AH640" i="488"/>
  <c r="AI640" i="488"/>
  <c r="AJ640" i="488"/>
  <c r="AK640" i="488"/>
  <c r="AL640" i="488"/>
  <c r="AM640" i="488"/>
  <c r="AN640" i="488"/>
  <c r="AO640" i="488"/>
  <c r="AP640" i="488"/>
  <c r="AQ640" i="488"/>
  <c r="AR640" i="488"/>
  <c r="AS640" i="488"/>
  <c r="AT640" i="488"/>
  <c r="AU640" i="488"/>
  <c r="AV640" i="488"/>
  <c r="AW640" i="488"/>
  <c r="AX640" i="488"/>
  <c r="AY640" i="488"/>
  <c r="AZ640" i="488"/>
  <c r="BA640" i="488"/>
  <c r="BB640" i="488"/>
  <c r="BC640" i="488"/>
  <c r="BD640" i="488"/>
  <c r="BE640" i="488"/>
  <c r="BF640" i="488"/>
  <c r="BG640" i="488"/>
  <c r="BH640" i="488"/>
  <c r="BI640" i="488"/>
  <c r="BJ640" i="488"/>
  <c r="BK640" i="488"/>
  <c r="BL640" i="488"/>
  <c r="BM640" i="488"/>
  <c r="BN640" i="488"/>
  <c r="BO640" i="488"/>
  <c r="BP640" i="488"/>
  <c r="B641" i="488"/>
  <c r="C641" i="488"/>
  <c r="D641" i="488"/>
  <c r="E641" i="488"/>
  <c r="F641" i="488"/>
  <c r="G641" i="488"/>
  <c r="H641" i="488"/>
  <c r="I641" i="488"/>
  <c r="J641" i="488"/>
  <c r="K641" i="488"/>
  <c r="L641" i="488"/>
  <c r="M641" i="488"/>
  <c r="N641" i="488"/>
  <c r="O641" i="488"/>
  <c r="P641" i="488"/>
  <c r="Q641" i="488"/>
  <c r="R641" i="488"/>
  <c r="S641" i="488"/>
  <c r="T641" i="488"/>
  <c r="U641" i="488"/>
  <c r="V641" i="488"/>
  <c r="W641" i="488"/>
  <c r="X641" i="488"/>
  <c r="Y641" i="488"/>
  <c r="Z641" i="488"/>
  <c r="AA641" i="488"/>
  <c r="AB641" i="488"/>
  <c r="AC641" i="488"/>
  <c r="AD641" i="488"/>
  <c r="AE641" i="488"/>
  <c r="AF641" i="488"/>
  <c r="AG641" i="488"/>
  <c r="AH641" i="488"/>
  <c r="AI641" i="488"/>
  <c r="AJ641" i="488"/>
  <c r="AK641" i="488"/>
  <c r="AL641" i="488"/>
  <c r="AM641" i="488"/>
  <c r="AN641" i="488"/>
  <c r="AO641" i="488"/>
  <c r="AP641" i="488"/>
  <c r="AQ641" i="488"/>
  <c r="AR641" i="488"/>
  <c r="AS641" i="488"/>
  <c r="AT641" i="488"/>
  <c r="AU641" i="488"/>
  <c r="AV641" i="488"/>
  <c r="AW641" i="488"/>
  <c r="AX641" i="488"/>
  <c r="AY641" i="488"/>
  <c r="AZ641" i="488"/>
  <c r="BA641" i="488"/>
  <c r="BB641" i="488"/>
  <c r="BC641" i="488"/>
  <c r="BD641" i="488"/>
  <c r="BE641" i="488"/>
  <c r="BF641" i="488"/>
  <c r="BG641" i="488"/>
  <c r="BH641" i="488"/>
  <c r="BI641" i="488"/>
  <c r="BJ641" i="488"/>
  <c r="BK641" i="488"/>
  <c r="BL641" i="488"/>
  <c r="BM641" i="488"/>
  <c r="BN641" i="488"/>
  <c r="BO641" i="488"/>
  <c r="BP641" i="488"/>
  <c r="B642" i="488"/>
  <c r="C642" i="488"/>
  <c r="D642" i="488"/>
  <c r="E642" i="488"/>
  <c r="F642" i="488"/>
  <c r="G642" i="488"/>
  <c r="H642" i="488"/>
  <c r="I642" i="488"/>
  <c r="J642" i="488"/>
  <c r="K642" i="488"/>
  <c r="L642" i="488"/>
  <c r="M642" i="488"/>
  <c r="N642" i="488"/>
  <c r="O642" i="488"/>
  <c r="P642" i="488"/>
  <c r="Q642" i="488"/>
  <c r="R642" i="488"/>
  <c r="S642" i="488"/>
  <c r="T642" i="488"/>
  <c r="U642" i="488"/>
  <c r="V642" i="488"/>
  <c r="W642" i="488"/>
  <c r="X642" i="488"/>
  <c r="Y642" i="488"/>
  <c r="Z642" i="488"/>
  <c r="AA642" i="488"/>
  <c r="AB642" i="488"/>
  <c r="AC642" i="488"/>
  <c r="AD642" i="488"/>
  <c r="AE642" i="488"/>
  <c r="AF642" i="488"/>
  <c r="AG642" i="488"/>
  <c r="AH642" i="488"/>
  <c r="AI642" i="488"/>
  <c r="AJ642" i="488"/>
  <c r="AK642" i="488"/>
  <c r="AL642" i="488"/>
  <c r="AM642" i="488"/>
  <c r="AN642" i="488"/>
  <c r="AO642" i="488"/>
  <c r="AP642" i="488"/>
  <c r="AQ642" i="488"/>
  <c r="AR642" i="488"/>
  <c r="AS642" i="488"/>
  <c r="AT642" i="488"/>
  <c r="AU642" i="488"/>
  <c r="AV642" i="488"/>
  <c r="AW642" i="488"/>
  <c r="AX642" i="488"/>
  <c r="AY642" i="488"/>
  <c r="AZ642" i="488"/>
  <c r="BA642" i="488"/>
  <c r="BB642" i="488"/>
  <c r="BC642" i="488"/>
  <c r="BD642" i="488"/>
  <c r="BE642" i="488"/>
  <c r="BF642" i="488"/>
  <c r="BG642" i="488"/>
  <c r="BH642" i="488"/>
  <c r="BI642" i="488"/>
  <c r="BJ642" i="488"/>
  <c r="BK642" i="488"/>
  <c r="BL642" i="488"/>
  <c r="BM642" i="488"/>
  <c r="BN642" i="488"/>
  <c r="BO642" i="488"/>
  <c r="BP642" i="488"/>
  <c r="B643" i="488"/>
  <c r="C643" i="488"/>
  <c r="D643" i="488"/>
  <c r="E643" i="488"/>
  <c r="F643" i="488"/>
  <c r="G643" i="488"/>
  <c r="H643" i="488"/>
  <c r="I643" i="488"/>
  <c r="J643" i="488"/>
  <c r="K643" i="488"/>
  <c r="L643" i="488"/>
  <c r="M643" i="488"/>
  <c r="N643" i="488"/>
  <c r="O643" i="488"/>
  <c r="P643" i="488"/>
  <c r="Q643" i="488"/>
  <c r="R643" i="488"/>
  <c r="S643" i="488"/>
  <c r="T643" i="488"/>
  <c r="U643" i="488"/>
  <c r="V643" i="488"/>
  <c r="W643" i="488"/>
  <c r="X643" i="488"/>
  <c r="Y643" i="488"/>
  <c r="Z643" i="488"/>
  <c r="AA643" i="488"/>
  <c r="AB643" i="488"/>
  <c r="AC643" i="488"/>
  <c r="AD643" i="488"/>
  <c r="AE643" i="488"/>
  <c r="AF643" i="488"/>
  <c r="AG643" i="488"/>
  <c r="AH643" i="488"/>
  <c r="AI643" i="488"/>
  <c r="AJ643" i="488"/>
  <c r="AK643" i="488"/>
  <c r="AL643" i="488"/>
  <c r="AM643" i="488"/>
  <c r="AN643" i="488"/>
  <c r="AO643" i="488"/>
  <c r="AP643" i="488"/>
  <c r="AQ643" i="488"/>
  <c r="AR643" i="488"/>
  <c r="AS643" i="488"/>
  <c r="AT643" i="488"/>
  <c r="AU643" i="488"/>
  <c r="AV643" i="488"/>
  <c r="AW643" i="488"/>
  <c r="AX643" i="488"/>
  <c r="AY643" i="488"/>
  <c r="AZ643" i="488"/>
  <c r="BA643" i="488"/>
  <c r="BB643" i="488"/>
  <c r="BC643" i="488"/>
  <c r="BD643" i="488"/>
  <c r="BE643" i="488"/>
  <c r="BF643" i="488"/>
  <c r="BG643" i="488"/>
  <c r="BH643" i="488"/>
  <c r="BI643" i="488"/>
  <c r="BJ643" i="488"/>
  <c r="BK643" i="488"/>
  <c r="BL643" i="488"/>
  <c r="BM643" i="488"/>
  <c r="BN643" i="488"/>
  <c r="BO643" i="488"/>
  <c r="BP643" i="488"/>
  <c r="B644" i="488"/>
  <c r="C644" i="488"/>
  <c r="D644" i="488"/>
  <c r="E644" i="488"/>
  <c r="F644" i="488"/>
  <c r="G644" i="488"/>
  <c r="H644" i="488"/>
  <c r="I644" i="488"/>
  <c r="J644" i="488"/>
  <c r="K644" i="488"/>
  <c r="L644" i="488"/>
  <c r="M644" i="488"/>
  <c r="N644" i="488"/>
  <c r="O644" i="488"/>
  <c r="P644" i="488"/>
  <c r="Q644" i="488"/>
  <c r="R644" i="488"/>
  <c r="S644" i="488"/>
  <c r="T644" i="488"/>
  <c r="U644" i="488"/>
  <c r="V644" i="488"/>
  <c r="W644" i="488"/>
  <c r="X644" i="488"/>
  <c r="Y644" i="488"/>
  <c r="Z644" i="488"/>
  <c r="AA644" i="488"/>
  <c r="AB644" i="488"/>
  <c r="AC644" i="488"/>
  <c r="AD644" i="488"/>
  <c r="AE644" i="488"/>
  <c r="AF644" i="488"/>
  <c r="AG644" i="488"/>
  <c r="AH644" i="488"/>
  <c r="AI644" i="488"/>
  <c r="AJ644" i="488"/>
  <c r="AK644" i="488"/>
  <c r="AL644" i="488"/>
  <c r="AM644" i="488"/>
  <c r="AN644" i="488"/>
  <c r="AO644" i="488"/>
  <c r="AP644" i="488"/>
  <c r="AQ644" i="488"/>
  <c r="AR644" i="488"/>
  <c r="AS644" i="488"/>
  <c r="AT644" i="488"/>
  <c r="AU644" i="488"/>
  <c r="AV644" i="488"/>
  <c r="AW644" i="488"/>
  <c r="AX644" i="488"/>
  <c r="AY644" i="488"/>
  <c r="AZ644" i="488"/>
  <c r="BA644" i="488"/>
  <c r="BB644" i="488"/>
  <c r="BC644" i="488"/>
  <c r="BD644" i="488"/>
  <c r="BE644" i="488"/>
  <c r="BF644" i="488"/>
  <c r="BG644" i="488"/>
  <c r="BH644" i="488"/>
  <c r="BI644" i="488"/>
  <c r="BJ644" i="488"/>
  <c r="BK644" i="488"/>
  <c r="BL644" i="488"/>
  <c r="BM644" i="488"/>
  <c r="BN644" i="488"/>
  <c r="BO644" i="488"/>
  <c r="BP644" i="488"/>
  <c r="B645" i="488"/>
  <c r="C645" i="488"/>
  <c r="D645" i="488"/>
  <c r="E645" i="488"/>
  <c r="F645" i="488"/>
  <c r="G645" i="488"/>
  <c r="H645" i="488"/>
  <c r="I645" i="488"/>
  <c r="J645" i="488"/>
  <c r="K645" i="488"/>
  <c r="L645" i="488"/>
  <c r="M645" i="488"/>
  <c r="N645" i="488"/>
  <c r="O645" i="488"/>
  <c r="P645" i="488"/>
  <c r="Q645" i="488"/>
  <c r="R645" i="488"/>
  <c r="S645" i="488"/>
  <c r="T645" i="488"/>
  <c r="U645" i="488"/>
  <c r="V645" i="488"/>
  <c r="W645" i="488"/>
  <c r="X645" i="488"/>
  <c r="Y645" i="488"/>
  <c r="Z645" i="488"/>
  <c r="AA645" i="488"/>
  <c r="AB645" i="488"/>
  <c r="AC645" i="488"/>
  <c r="AD645" i="488"/>
  <c r="AE645" i="488"/>
  <c r="AF645" i="488"/>
  <c r="AG645" i="488"/>
  <c r="AH645" i="488"/>
  <c r="AI645" i="488"/>
  <c r="AJ645" i="488"/>
  <c r="AK645" i="488"/>
  <c r="AL645" i="488"/>
  <c r="AM645" i="488"/>
  <c r="AN645" i="488"/>
  <c r="AO645" i="488"/>
  <c r="AP645" i="488"/>
  <c r="AQ645" i="488"/>
  <c r="AR645" i="488"/>
  <c r="AS645" i="488"/>
  <c r="AT645" i="488"/>
  <c r="AU645" i="488"/>
  <c r="AV645" i="488"/>
  <c r="AW645" i="488"/>
  <c r="AX645" i="488"/>
  <c r="AY645" i="488"/>
  <c r="AZ645" i="488"/>
  <c r="BA645" i="488"/>
  <c r="BB645" i="488"/>
  <c r="BC645" i="488"/>
  <c r="BD645" i="488"/>
  <c r="BE645" i="488"/>
  <c r="BF645" i="488"/>
  <c r="BG645" i="488"/>
  <c r="BH645" i="488"/>
  <c r="BI645" i="488"/>
  <c r="BJ645" i="488"/>
  <c r="BK645" i="488"/>
  <c r="BL645" i="488"/>
  <c r="BM645" i="488"/>
  <c r="BN645" i="488"/>
  <c r="BO645" i="488"/>
  <c r="BP645" i="488"/>
  <c r="B646" i="488"/>
  <c r="C646" i="488"/>
  <c r="D646" i="488"/>
  <c r="E646" i="488"/>
  <c r="F646" i="488"/>
  <c r="G646" i="488"/>
  <c r="H646" i="488"/>
  <c r="I646" i="488"/>
  <c r="J646" i="488"/>
  <c r="K646" i="488"/>
  <c r="L646" i="488"/>
  <c r="M646" i="488"/>
  <c r="N646" i="488"/>
  <c r="O646" i="488"/>
  <c r="P646" i="488"/>
  <c r="Q646" i="488"/>
  <c r="R646" i="488"/>
  <c r="S646" i="488"/>
  <c r="T646" i="488"/>
  <c r="U646" i="488"/>
  <c r="V646" i="488"/>
  <c r="W646" i="488"/>
  <c r="X646" i="488"/>
  <c r="Y646" i="488"/>
  <c r="Z646" i="488"/>
  <c r="AA646" i="488"/>
  <c r="AB646" i="488"/>
  <c r="AC646" i="488"/>
  <c r="AD646" i="488"/>
  <c r="AE646" i="488"/>
  <c r="AF646" i="488"/>
  <c r="AG646" i="488"/>
  <c r="AH646" i="488"/>
  <c r="AI646" i="488"/>
  <c r="AJ646" i="488"/>
  <c r="AK646" i="488"/>
  <c r="AL646" i="488"/>
  <c r="AM646" i="488"/>
  <c r="AN646" i="488"/>
  <c r="AO646" i="488"/>
  <c r="AP646" i="488"/>
  <c r="AQ646" i="488"/>
  <c r="AR646" i="488"/>
  <c r="AS646" i="488"/>
  <c r="AT646" i="488"/>
  <c r="AU646" i="488"/>
  <c r="AV646" i="488"/>
  <c r="AW646" i="488"/>
  <c r="AX646" i="488"/>
  <c r="AY646" i="488"/>
  <c r="AZ646" i="488"/>
  <c r="BA646" i="488"/>
  <c r="BB646" i="488"/>
  <c r="BC646" i="488"/>
  <c r="BD646" i="488"/>
  <c r="BE646" i="488"/>
  <c r="BF646" i="488"/>
  <c r="BG646" i="488"/>
  <c r="BH646" i="488"/>
  <c r="BI646" i="488"/>
  <c r="BJ646" i="488"/>
  <c r="BK646" i="488"/>
  <c r="BL646" i="488"/>
  <c r="BM646" i="488"/>
  <c r="BN646" i="488"/>
  <c r="BO646" i="488"/>
  <c r="BP646" i="488"/>
  <c r="B647" i="488"/>
  <c r="C647" i="488"/>
  <c r="D647" i="488"/>
  <c r="E647" i="488"/>
  <c r="F647" i="488"/>
  <c r="G647" i="488"/>
  <c r="H647" i="488"/>
  <c r="I647" i="488"/>
  <c r="J647" i="488"/>
  <c r="K647" i="488"/>
  <c r="L647" i="488"/>
  <c r="M647" i="488"/>
  <c r="N647" i="488"/>
  <c r="O647" i="488"/>
  <c r="P647" i="488"/>
  <c r="Q647" i="488"/>
  <c r="R647" i="488"/>
  <c r="S647" i="488"/>
  <c r="T647" i="488"/>
  <c r="U647" i="488"/>
  <c r="V647" i="488"/>
  <c r="W647" i="488"/>
  <c r="X647" i="488"/>
  <c r="Y647" i="488"/>
  <c r="Z647" i="488"/>
  <c r="AA647" i="488"/>
  <c r="AB647" i="488"/>
  <c r="AC647" i="488"/>
  <c r="AD647" i="488"/>
  <c r="AE647" i="488"/>
  <c r="AF647" i="488"/>
  <c r="AG647" i="488"/>
  <c r="AH647" i="488"/>
  <c r="AI647" i="488"/>
  <c r="AJ647" i="488"/>
  <c r="AK647" i="488"/>
  <c r="AL647" i="488"/>
  <c r="AM647" i="488"/>
  <c r="AN647" i="488"/>
  <c r="AO647" i="488"/>
  <c r="AP647" i="488"/>
  <c r="AQ647" i="488"/>
  <c r="AR647" i="488"/>
  <c r="AS647" i="488"/>
  <c r="AT647" i="488"/>
  <c r="AU647" i="488"/>
  <c r="AV647" i="488"/>
  <c r="AW647" i="488"/>
  <c r="AX647" i="488"/>
  <c r="AY647" i="488"/>
  <c r="AZ647" i="488"/>
  <c r="BA647" i="488"/>
  <c r="BB647" i="488"/>
  <c r="BC647" i="488"/>
  <c r="BD647" i="488"/>
  <c r="BE647" i="488"/>
  <c r="BF647" i="488"/>
  <c r="BG647" i="488"/>
  <c r="BH647" i="488"/>
  <c r="BI647" i="488"/>
  <c r="BJ647" i="488"/>
  <c r="BK647" i="488"/>
  <c r="BL647" i="488"/>
  <c r="BM647" i="488"/>
  <c r="BN647" i="488"/>
  <c r="BO647" i="488"/>
  <c r="BP647" i="488"/>
  <c r="B648" i="488"/>
  <c r="C648" i="488"/>
  <c r="D648" i="488"/>
  <c r="E648" i="488"/>
  <c r="F648" i="488"/>
  <c r="G648" i="488"/>
  <c r="H648" i="488"/>
  <c r="I648" i="488"/>
  <c r="J648" i="488"/>
  <c r="K648" i="488"/>
  <c r="L648" i="488"/>
  <c r="M648" i="488"/>
  <c r="N648" i="488"/>
  <c r="O648" i="488"/>
  <c r="P648" i="488"/>
  <c r="Q648" i="488"/>
  <c r="R648" i="488"/>
  <c r="S648" i="488"/>
  <c r="T648" i="488"/>
  <c r="U648" i="488"/>
  <c r="V648" i="488"/>
  <c r="W648" i="488"/>
  <c r="X648" i="488"/>
  <c r="Y648" i="488"/>
  <c r="Z648" i="488"/>
  <c r="AA648" i="488"/>
  <c r="AB648" i="488"/>
  <c r="AC648" i="488"/>
  <c r="AD648" i="488"/>
  <c r="AE648" i="488"/>
  <c r="AF648" i="488"/>
  <c r="AG648" i="488"/>
  <c r="AH648" i="488"/>
  <c r="AI648" i="488"/>
  <c r="AJ648" i="488"/>
  <c r="AK648" i="488"/>
  <c r="AL648" i="488"/>
  <c r="AM648" i="488"/>
  <c r="AN648" i="488"/>
  <c r="AO648" i="488"/>
  <c r="AP648" i="488"/>
  <c r="AQ648" i="488"/>
  <c r="AR648" i="488"/>
  <c r="AS648" i="488"/>
  <c r="AT648" i="488"/>
  <c r="AU648" i="488"/>
  <c r="AV648" i="488"/>
  <c r="AW648" i="488"/>
  <c r="AX648" i="488"/>
  <c r="AY648" i="488"/>
  <c r="AZ648" i="488"/>
  <c r="BA648" i="488"/>
  <c r="BB648" i="488"/>
  <c r="BC648" i="488"/>
  <c r="BD648" i="488"/>
  <c r="BE648" i="488"/>
  <c r="BF648" i="488"/>
  <c r="BG648" i="488"/>
  <c r="BH648" i="488"/>
  <c r="BI648" i="488"/>
  <c r="BJ648" i="488"/>
  <c r="BK648" i="488"/>
  <c r="BL648" i="488"/>
  <c r="BM648" i="488"/>
  <c r="BN648" i="488"/>
  <c r="BO648" i="488"/>
  <c r="BP648" i="488"/>
  <c r="B649" i="488"/>
  <c r="C649" i="488"/>
  <c r="D649" i="488"/>
  <c r="E649" i="488"/>
  <c r="F649" i="488"/>
  <c r="G649" i="488"/>
  <c r="H649" i="488"/>
  <c r="I649" i="488"/>
  <c r="J649" i="488"/>
  <c r="K649" i="488"/>
  <c r="L649" i="488"/>
  <c r="M649" i="488"/>
  <c r="N649" i="488"/>
  <c r="O649" i="488"/>
  <c r="P649" i="488"/>
  <c r="Q649" i="488"/>
  <c r="R649" i="488"/>
  <c r="S649" i="488"/>
  <c r="T649" i="488"/>
  <c r="U649" i="488"/>
  <c r="V649" i="488"/>
  <c r="W649" i="488"/>
  <c r="X649" i="488"/>
  <c r="Y649" i="488"/>
  <c r="Z649" i="488"/>
  <c r="AA649" i="488"/>
  <c r="AB649" i="488"/>
  <c r="AC649" i="488"/>
  <c r="AD649" i="488"/>
  <c r="AE649" i="488"/>
  <c r="AF649" i="488"/>
  <c r="AG649" i="488"/>
  <c r="AH649" i="488"/>
  <c r="AI649" i="488"/>
  <c r="AJ649" i="488"/>
  <c r="AK649" i="488"/>
  <c r="AL649" i="488"/>
  <c r="AM649" i="488"/>
  <c r="AN649" i="488"/>
  <c r="AO649" i="488"/>
  <c r="AP649" i="488"/>
  <c r="AQ649" i="488"/>
  <c r="AR649" i="488"/>
  <c r="AS649" i="488"/>
  <c r="AT649" i="488"/>
  <c r="AU649" i="488"/>
  <c r="AV649" i="488"/>
  <c r="AW649" i="488"/>
  <c r="AX649" i="488"/>
  <c r="AY649" i="488"/>
  <c r="AZ649" i="488"/>
  <c r="BA649" i="488"/>
  <c r="BB649" i="488"/>
  <c r="BC649" i="488"/>
  <c r="BD649" i="488"/>
  <c r="BE649" i="488"/>
  <c r="BF649" i="488"/>
  <c r="BG649" i="488"/>
  <c r="BH649" i="488"/>
  <c r="BI649" i="488"/>
  <c r="BJ649" i="488"/>
  <c r="BK649" i="488"/>
  <c r="BL649" i="488"/>
  <c r="BM649" i="488"/>
  <c r="BN649" i="488"/>
  <c r="BO649" i="488"/>
  <c r="BP649" i="488"/>
  <c r="B650" i="488"/>
  <c r="C650" i="488"/>
  <c r="D650" i="488"/>
  <c r="E650" i="488"/>
  <c r="F650" i="488"/>
  <c r="G650" i="488"/>
  <c r="H650" i="488"/>
  <c r="I650" i="488"/>
  <c r="J650" i="488"/>
  <c r="K650" i="488"/>
  <c r="L650" i="488"/>
  <c r="M650" i="488"/>
  <c r="N650" i="488"/>
  <c r="O650" i="488"/>
  <c r="P650" i="488"/>
  <c r="Q650" i="488"/>
  <c r="R650" i="488"/>
  <c r="S650" i="488"/>
  <c r="T650" i="488"/>
  <c r="U650" i="488"/>
  <c r="V650" i="488"/>
  <c r="W650" i="488"/>
  <c r="X650" i="488"/>
  <c r="Y650" i="488"/>
  <c r="Z650" i="488"/>
  <c r="AA650" i="488"/>
  <c r="AB650" i="488"/>
  <c r="AC650" i="488"/>
  <c r="AD650" i="488"/>
  <c r="AE650" i="488"/>
  <c r="AF650" i="488"/>
  <c r="AG650" i="488"/>
  <c r="AH650" i="488"/>
  <c r="AI650" i="488"/>
  <c r="AJ650" i="488"/>
  <c r="AK650" i="488"/>
  <c r="AL650" i="488"/>
  <c r="AM650" i="488"/>
  <c r="AN650" i="488"/>
  <c r="AO650" i="488"/>
  <c r="AP650" i="488"/>
  <c r="AQ650" i="488"/>
  <c r="AR650" i="488"/>
  <c r="AS650" i="488"/>
  <c r="AT650" i="488"/>
  <c r="AU650" i="488"/>
  <c r="AV650" i="488"/>
  <c r="AW650" i="488"/>
  <c r="AX650" i="488"/>
  <c r="AY650" i="488"/>
  <c r="AZ650" i="488"/>
  <c r="BA650" i="488"/>
  <c r="BB650" i="488"/>
  <c r="BC650" i="488"/>
  <c r="BD650" i="488"/>
  <c r="BE650" i="488"/>
  <c r="BF650" i="488"/>
  <c r="BG650" i="488"/>
  <c r="BH650" i="488"/>
  <c r="BI650" i="488"/>
  <c r="BJ650" i="488"/>
  <c r="BK650" i="488"/>
  <c r="BL650" i="488"/>
  <c r="BM650" i="488"/>
  <c r="BN650" i="488"/>
  <c r="BO650" i="488"/>
  <c r="BP650" i="488"/>
  <c r="B651" i="488"/>
  <c r="C651" i="488"/>
  <c r="D651" i="488"/>
  <c r="E651" i="488"/>
  <c r="F651" i="488"/>
  <c r="G651" i="488"/>
  <c r="H651" i="488"/>
  <c r="I651" i="488"/>
  <c r="J651" i="488"/>
  <c r="K651" i="488"/>
  <c r="L651" i="488"/>
  <c r="M651" i="488"/>
  <c r="N651" i="488"/>
  <c r="O651" i="488"/>
  <c r="P651" i="488"/>
  <c r="Q651" i="488"/>
  <c r="R651" i="488"/>
  <c r="S651" i="488"/>
  <c r="T651" i="488"/>
  <c r="U651" i="488"/>
  <c r="V651" i="488"/>
  <c r="W651" i="488"/>
  <c r="X651" i="488"/>
  <c r="Y651" i="488"/>
  <c r="Z651" i="488"/>
  <c r="AA651" i="488"/>
  <c r="AB651" i="488"/>
  <c r="AC651" i="488"/>
  <c r="AD651" i="488"/>
  <c r="AE651" i="488"/>
  <c r="AF651" i="488"/>
  <c r="AG651" i="488"/>
  <c r="AH651" i="488"/>
  <c r="AI651" i="488"/>
  <c r="AJ651" i="488"/>
  <c r="AK651" i="488"/>
  <c r="AL651" i="488"/>
  <c r="AM651" i="488"/>
  <c r="AN651" i="488"/>
  <c r="AO651" i="488"/>
  <c r="AP651" i="488"/>
  <c r="AQ651" i="488"/>
  <c r="AR651" i="488"/>
  <c r="AS651" i="488"/>
  <c r="AT651" i="488"/>
  <c r="AU651" i="488"/>
  <c r="AV651" i="488"/>
  <c r="AW651" i="488"/>
  <c r="AX651" i="488"/>
  <c r="AY651" i="488"/>
  <c r="AZ651" i="488"/>
  <c r="BA651" i="488"/>
  <c r="BB651" i="488"/>
  <c r="BC651" i="488"/>
  <c r="BD651" i="488"/>
  <c r="BE651" i="488"/>
  <c r="BF651" i="488"/>
  <c r="BG651" i="488"/>
  <c r="BH651" i="488"/>
  <c r="BI651" i="488"/>
  <c r="BJ651" i="488"/>
  <c r="BK651" i="488"/>
  <c r="BL651" i="488"/>
  <c r="BM651" i="488"/>
  <c r="BN651" i="488"/>
  <c r="BO651" i="488"/>
  <c r="BP651" i="488"/>
  <c r="B652" i="488"/>
  <c r="C652" i="488"/>
  <c r="D652" i="488"/>
  <c r="E652" i="488"/>
  <c r="F652" i="488"/>
  <c r="G652" i="488"/>
  <c r="H652" i="488"/>
  <c r="I652" i="488"/>
  <c r="J652" i="488"/>
  <c r="K652" i="488"/>
  <c r="L652" i="488"/>
  <c r="M652" i="488"/>
  <c r="N652" i="488"/>
  <c r="O652" i="488"/>
  <c r="P652" i="488"/>
  <c r="Q652" i="488"/>
  <c r="R652" i="488"/>
  <c r="S652" i="488"/>
  <c r="T652" i="488"/>
  <c r="U652" i="488"/>
  <c r="V652" i="488"/>
  <c r="W652" i="488"/>
  <c r="X652" i="488"/>
  <c r="Y652" i="488"/>
  <c r="Z652" i="488"/>
  <c r="AA652" i="488"/>
  <c r="AB652" i="488"/>
  <c r="AC652" i="488"/>
  <c r="AD652" i="488"/>
  <c r="AE652" i="488"/>
  <c r="AF652" i="488"/>
  <c r="AG652" i="488"/>
  <c r="AH652" i="488"/>
  <c r="AI652" i="488"/>
  <c r="AJ652" i="488"/>
  <c r="AK652" i="488"/>
  <c r="AL652" i="488"/>
  <c r="AM652" i="488"/>
  <c r="AN652" i="488"/>
  <c r="AO652" i="488"/>
  <c r="AP652" i="488"/>
  <c r="AQ652" i="488"/>
  <c r="AR652" i="488"/>
  <c r="AS652" i="488"/>
  <c r="AT652" i="488"/>
  <c r="AU652" i="488"/>
  <c r="AV652" i="488"/>
  <c r="AW652" i="488"/>
  <c r="AX652" i="488"/>
  <c r="AY652" i="488"/>
  <c r="AZ652" i="488"/>
  <c r="BA652" i="488"/>
  <c r="BB652" i="488"/>
  <c r="BC652" i="488"/>
  <c r="BD652" i="488"/>
  <c r="BE652" i="488"/>
  <c r="BF652" i="488"/>
  <c r="BG652" i="488"/>
  <c r="BH652" i="488"/>
  <c r="BI652" i="488"/>
  <c r="BJ652" i="488"/>
  <c r="BK652" i="488"/>
  <c r="BL652" i="488"/>
  <c r="BM652" i="488"/>
  <c r="BN652" i="488"/>
  <c r="BO652" i="488"/>
  <c r="BP652" i="488"/>
  <c r="B653" i="488"/>
  <c r="C653" i="488"/>
  <c r="D653" i="488"/>
  <c r="E653" i="488"/>
  <c r="F653" i="488"/>
  <c r="G653" i="488"/>
  <c r="H653" i="488"/>
  <c r="I653" i="488"/>
  <c r="J653" i="488"/>
  <c r="K653" i="488"/>
  <c r="L653" i="488"/>
  <c r="M653" i="488"/>
  <c r="N653" i="488"/>
  <c r="O653" i="488"/>
  <c r="P653" i="488"/>
  <c r="Q653" i="488"/>
  <c r="R653" i="488"/>
  <c r="S653" i="488"/>
  <c r="T653" i="488"/>
  <c r="U653" i="488"/>
  <c r="V653" i="488"/>
  <c r="W653" i="488"/>
  <c r="X653" i="488"/>
  <c r="Y653" i="488"/>
  <c r="Z653" i="488"/>
  <c r="AA653" i="488"/>
  <c r="AB653" i="488"/>
  <c r="AC653" i="488"/>
  <c r="AD653" i="488"/>
  <c r="AE653" i="488"/>
  <c r="AF653" i="488"/>
  <c r="AG653" i="488"/>
  <c r="AH653" i="488"/>
  <c r="AI653" i="488"/>
  <c r="AJ653" i="488"/>
  <c r="AK653" i="488"/>
  <c r="AL653" i="488"/>
  <c r="AM653" i="488"/>
  <c r="AN653" i="488"/>
  <c r="AO653" i="488"/>
  <c r="AP653" i="488"/>
  <c r="AQ653" i="488"/>
  <c r="AR653" i="488"/>
  <c r="AS653" i="488"/>
  <c r="AT653" i="488"/>
  <c r="AU653" i="488"/>
  <c r="AV653" i="488"/>
  <c r="AW653" i="488"/>
  <c r="AX653" i="488"/>
  <c r="AY653" i="488"/>
  <c r="AZ653" i="488"/>
  <c r="BA653" i="488"/>
  <c r="BB653" i="488"/>
  <c r="BC653" i="488"/>
  <c r="BD653" i="488"/>
  <c r="BE653" i="488"/>
  <c r="BF653" i="488"/>
  <c r="BG653" i="488"/>
  <c r="BH653" i="488"/>
  <c r="BI653" i="488"/>
  <c r="BJ653" i="488"/>
  <c r="BK653" i="488"/>
  <c r="BL653" i="488"/>
  <c r="BM653" i="488"/>
  <c r="BN653" i="488"/>
  <c r="BO653" i="488"/>
  <c r="BP653" i="488"/>
  <c r="B654" i="488"/>
  <c r="C654" i="488"/>
  <c r="D654" i="488"/>
  <c r="E654" i="488"/>
  <c r="F654" i="488"/>
  <c r="G654" i="488"/>
  <c r="H654" i="488"/>
  <c r="I654" i="488"/>
  <c r="J654" i="488"/>
  <c r="K654" i="488"/>
  <c r="L654" i="488"/>
  <c r="M654" i="488"/>
  <c r="N654" i="488"/>
  <c r="O654" i="488"/>
  <c r="P654" i="488"/>
  <c r="Q654" i="488"/>
  <c r="R654" i="488"/>
  <c r="S654" i="488"/>
  <c r="T654" i="488"/>
  <c r="U654" i="488"/>
  <c r="V654" i="488"/>
  <c r="W654" i="488"/>
  <c r="X654" i="488"/>
  <c r="Y654" i="488"/>
  <c r="Z654" i="488"/>
  <c r="AA654" i="488"/>
  <c r="AB654" i="488"/>
  <c r="AC654" i="488"/>
  <c r="AD654" i="488"/>
  <c r="AE654" i="488"/>
  <c r="AF654" i="488"/>
  <c r="AG654" i="488"/>
  <c r="AH654" i="488"/>
  <c r="AI654" i="488"/>
  <c r="AJ654" i="488"/>
  <c r="AK654" i="488"/>
  <c r="AL654" i="488"/>
  <c r="AM654" i="488"/>
  <c r="AN654" i="488"/>
  <c r="AO654" i="488"/>
  <c r="AP654" i="488"/>
  <c r="AQ654" i="488"/>
  <c r="AR654" i="488"/>
  <c r="AS654" i="488"/>
  <c r="AT654" i="488"/>
  <c r="AU654" i="488"/>
  <c r="AV654" i="488"/>
  <c r="AW654" i="488"/>
  <c r="AX654" i="488"/>
  <c r="AY654" i="488"/>
  <c r="AZ654" i="488"/>
  <c r="BA654" i="488"/>
  <c r="BB654" i="488"/>
  <c r="BC654" i="488"/>
  <c r="BD654" i="488"/>
  <c r="BE654" i="488"/>
  <c r="BF654" i="488"/>
  <c r="BG654" i="488"/>
  <c r="BH654" i="488"/>
  <c r="BI654" i="488"/>
  <c r="BJ654" i="488"/>
  <c r="BK654" i="488"/>
  <c r="BL654" i="488"/>
  <c r="BM654" i="488"/>
  <c r="BN654" i="488"/>
  <c r="BO654" i="488"/>
  <c r="BP654" i="488"/>
  <c r="B655" i="488"/>
  <c r="C655" i="488"/>
  <c r="D655" i="488"/>
  <c r="E655" i="488"/>
  <c r="F655" i="488"/>
  <c r="G655" i="488"/>
  <c r="H655" i="488"/>
  <c r="I655" i="488"/>
  <c r="J655" i="488"/>
  <c r="K655" i="488"/>
  <c r="L655" i="488"/>
  <c r="M655" i="488"/>
  <c r="N655" i="488"/>
  <c r="O655" i="488"/>
  <c r="P655" i="488"/>
  <c r="Q655" i="488"/>
  <c r="R655" i="488"/>
  <c r="S655" i="488"/>
  <c r="T655" i="488"/>
  <c r="U655" i="488"/>
  <c r="V655" i="488"/>
  <c r="W655" i="488"/>
  <c r="X655" i="488"/>
  <c r="Y655" i="488"/>
  <c r="Z655" i="488"/>
  <c r="AA655" i="488"/>
  <c r="AB655" i="488"/>
  <c r="AC655" i="488"/>
  <c r="AD655" i="488"/>
  <c r="AE655" i="488"/>
  <c r="AF655" i="488"/>
  <c r="AG655" i="488"/>
  <c r="AH655" i="488"/>
  <c r="AI655" i="488"/>
  <c r="AJ655" i="488"/>
  <c r="AK655" i="488"/>
  <c r="AL655" i="488"/>
  <c r="AM655" i="488"/>
  <c r="AN655" i="488"/>
  <c r="AO655" i="488"/>
  <c r="AP655" i="488"/>
  <c r="AQ655" i="488"/>
  <c r="AR655" i="488"/>
  <c r="AS655" i="488"/>
  <c r="AT655" i="488"/>
  <c r="AU655" i="488"/>
  <c r="AV655" i="488"/>
  <c r="AW655" i="488"/>
  <c r="AX655" i="488"/>
  <c r="AY655" i="488"/>
  <c r="AZ655" i="488"/>
  <c r="BA655" i="488"/>
  <c r="BB655" i="488"/>
  <c r="BC655" i="488"/>
  <c r="BD655" i="488"/>
  <c r="BE655" i="488"/>
  <c r="BF655" i="488"/>
  <c r="BG655" i="488"/>
  <c r="BH655" i="488"/>
  <c r="BI655" i="488"/>
  <c r="BJ655" i="488"/>
  <c r="BK655" i="488"/>
  <c r="BL655" i="488"/>
  <c r="BM655" i="488"/>
  <c r="BN655" i="488"/>
  <c r="BO655" i="488"/>
  <c r="BP655" i="488"/>
  <c r="B656" i="488"/>
  <c r="C656" i="488"/>
  <c r="D656" i="488"/>
  <c r="E656" i="488"/>
  <c r="F656" i="488"/>
  <c r="G656" i="488"/>
  <c r="H656" i="488"/>
  <c r="I656" i="488"/>
  <c r="J656" i="488"/>
  <c r="K656" i="488"/>
  <c r="L656" i="488"/>
  <c r="M656" i="488"/>
  <c r="N656" i="488"/>
  <c r="O656" i="488"/>
  <c r="P656" i="488"/>
  <c r="Q656" i="488"/>
  <c r="R656" i="488"/>
  <c r="S656" i="488"/>
  <c r="T656" i="488"/>
  <c r="U656" i="488"/>
  <c r="V656" i="488"/>
  <c r="W656" i="488"/>
  <c r="X656" i="488"/>
  <c r="Y656" i="488"/>
  <c r="Z656" i="488"/>
  <c r="AA656" i="488"/>
  <c r="AB656" i="488"/>
  <c r="AC656" i="488"/>
  <c r="AD656" i="488"/>
  <c r="AE656" i="488"/>
  <c r="AF656" i="488"/>
  <c r="AG656" i="488"/>
  <c r="AH656" i="488"/>
  <c r="AI656" i="488"/>
  <c r="AJ656" i="488"/>
  <c r="AK656" i="488"/>
  <c r="AL656" i="488"/>
  <c r="AM656" i="488"/>
  <c r="AN656" i="488"/>
  <c r="AO656" i="488"/>
  <c r="AP656" i="488"/>
  <c r="AQ656" i="488"/>
  <c r="AR656" i="488"/>
  <c r="AS656" i="488"/>
  <c r="AT656" i="488"/>
  <c r="AU656" i="488"/>
  <c r="AV656" i="488"/>
  <c r="AW656" i="488"/>
  <c r="AX656" i="488"/>
  <c r="AY656" i="488"/>
  <c r="AZ656" i="488"/>
  <c r="BA656" i="488"/>
  <c r="BB656" i="488"/>
  <c r="BC656" i="488"/>
  <c r="BD656" i="488"/>
  <c r="BE656" i="488"/>
  <c r="BF656" i="488"/>
  <c r="BG656" i="488"/>
  <c r="BH656" i="488"/>
  <c r="BI656" i="488"/>
  <c r="BJ656" i="488"/>
  <c r="BK656" i="488"/>
  <c r="BL656" i="488"/>
  <c r="BM656" i="488"/>
  <c r="BN656" i="488"/>
  <c r="BO656" i="488"/>
  <c r="BP656" i="488"/>
  <c r="B657" i="488"/>
  <c r="C657" i="488"/>
  <c r="D657" i="488"/>
  <c r="E657" i="488"/>
  <c r="F657" i="488"/>
  <c r="G657" i="488"/>
  <c r="H657" i="488"/>
  <c r="I657" i="488"/>
  <c r="J657" i="488"/>
  <c r="K657" i="488"/>
  <c r="L657" i="488"/>
  <c r="M657" i="488"/>
  <c r="N657" i="488"/>
  <c r="O657" i="488"/>
  <c r="P657" i="488"/>
  <c r="Q657" i="488"/>
  <c r="R657" i="488"/>
  <c r="S657" i="488"/>
  <c r="T657" i="488"/>
  <c r="U657" i="488"/>
  <c r="V657" i="488"/>
  <c r="W657" i="488"/>
  <c r="X657" i="488"/>
  <c r="Y657" i="488"/>
  <c r="Z657" i="488"/>
  <c r="AA657" i="488"/>
  <c r="AB657" i="488"/>
  <c r="AC657" i="488"/>
  <c r="AD657" i="488"/>
  <c r="AE657" i="488"/>
  <c r="AF657" i="488"/>
  <c r="AG657" i="488"/>
  <c r="AH657" i="488"/>
  <c r="AI657" i="488"/>
  <c r="AJ657" i="488"/>
  <c r="AK657" i="488"/>
  <c r="AL657" i="488"/>
  <c r="AM657" i="488"/>
  <c r="AN657" i="488"/>
  <c r="AO657" i="488"/>
  <c r="AP657" i="488"/>
  <c r="AQ657" i="488"/>
  <c r="AR657" i="488"/>
  <c r="AS657" i="488"/>
  <c r="AT657" i="488"/>
  <c r="AU657" i="488"/>
  <c r="AV657" i="488"/>
  <c r="AW657" i="488"/>
  <c r="AX657" i="488"/>
  <c r="AY657" i="488"/>
  <c r="AZ657" i="488"/>
  <c r="BA657" i="488"/>
  <c r="BB657" i="488"/>
  <c r="BC657" i="488"/>
  <c r="BD657" i="488"/>
  <c r="BE657" i="488"/>
  <c r="BF657" i="488"/>
  <c r="BG657" i="488"/>
  <c r="BH657" i="488"/>
  <c r="BI657" i="488"/>
  <c r="BJ657" i="488"/>
  <c r="BK657" i="488"/>
  <c r="BL657" i="488"/>
  <c r="BM657" i="488"/>
  <c r="BN657" i="488"/>
  <c r="BO657" i="488"/>
  <c r="BP657" i="488"/>
  <c r="B614" i="488"/>
  <c r="C614" i="488"/>
  <c r="D614" i="488"/>
  <c r="E614" i="488"/>
  <c r="F614" i="488"/>
  <c r="G614" i="488"/>
  <c r="H614" i="488"/>
  <c r="I614" i="488"/>
  <c r="J614" i="488"/>
  <c r="K614" i="488"/>
  <c r="L614" i="488"/>
  <c r="M614" i="488"/>
  <c r="N614" i="488"/>
  <c r="O614" i="488"/>
  <c r="P614" i="488"/>
  <c r="Q614" i="488"/>
  <c r="R614" i="488"/>
  <c r="S614" i="488"/>
  <c r="T614" i="488"/>
  <c r="U614" i="488"/>
  <c r="V614" i="488"/>
  <c r="W614" i="488"/>
  <c r="X614" i="488"/>
  <c r="Y614" i="488"/>
  <c r="Z614" i="488"/>
  <c r="AA614" i="488"/>
  <c r="AB614" i="488"/>
  <c r="AC614" i="488"/>
  <c r="AD614" i="488"/>
  <c r="AE614" i="488"/>
  <c r="AF614" i="488"/>
  <c r="AG614" i="488"/>
  <c r="AH614" i="488"/>
  <c r="AI614" i="488"/>
  <c r="AJ614" i="488"/>
  <c r="AK614" i="488"/>
  <c r="AL614" i="488"/>
  <c r="AM614" i="488"/>
  <c r="AN614" i="488"/>
  <c r="AO614" i="488"/>
  <c r="AP614" i="488"/>
  <c r="AQ614" i="488"/>
  <c r="AR614" i="488"/>
  <c r="AS614" i="488"/>
  <c r="AT614" i="488"/>
  <c r="AU614" i="488"/>
  <c r="AV614" i="488"/>
  <c r="AW614" i="488"/>
  <c r="AX614" i="488"/>
  <c r="AY614" i="488"/>
  <c r="AZ614" i="488"/>
  <c r="BA614" i="488"/>
  <c r="BB614" i="488"/>
  <c r="BC614" i="488"/>
  <c r="BD614" i="488"/>
  <c r="BE614" i="488"/>
  <c r="BF614" i="488"/>
  <c r="BG614" i="488"/>
  <c r="BH614" i="488"/>
  <c r="BI614" i="488"/>
  <c r="BJ614" i="488"/>
  <c r="BK614" i="488"/>
  <c r="BL614" i="488"/>
  <c r="BM614" i="488"/>
  <c r="BN614" i="488"/>
  <c r="BO614" i="488"/>
  <c r="BP614" i="488"/>
  <c r="B615" i="488"/>
  <c r="C615" i="488"/>
  <c r="D615" i="488"/>
  <c r="E615" i="488"/>
  <c r="F615" i="488"/>
  <c r="G615" i="488"/>
  <c r="H615" i="488"/>
  <c r="I615" i="488"/>
  <c r="J615" i="488"/>
  <c r="K615" i="488"/>
  <c r="L615" i="488"/>
  <c r="M615" i="488"/>
  <c r="N615" i="488"/>
  <c r="O615" i="488"/>
  <c r="P615" i="488"/>
  <c r="Q615" i="488"/>
  <c r="R615" i="488"/>
  <c r="S615" i="488"/>
  <c r="T615" i="488"/>
  <c r="U615" i="488"/>
  <c r="V615" i="488"/>
  <c r="W615" i="488"/>
  <c r="X615" i="488"/>
  <c r="Y615" i="488"/>
  <c r="Z615" i="488"/>
  <c r="AA615" i="488"/>
  <c r="AB615" i="488"/>
  <c r="AC615" i="488"/>
  <c r="AD615" i="488"/>
  <c r="AE615" i="488"/>
  <c r="AF615" i="488"/>
  <c r="AG615" i="488"/>
  <c r="AH615" i="488"/>
  <c r="AI615" i="488"/>
  <c r="AJ615" i="488"/>
  <c r="AK615" i="488"/>
  <c r="AL615" i="488"/>
  <c r="AM615" i="488"/>
  <c r="AN615" i="488"/>
  <c r="AO615" i="488"/>
  <c r="AP615" i="488"/>
  <c r="AQ615" i="488"/>
  <c r="AR615" i="488"/>
  <c r="AS615" i="488"/>
  <c r="AT615" i="488"/>
  <c r="AU615" i="488"/>
  <c r="AV615" i="488"/>
  <c r="AW615" i="488"/>
  <c r="AX615" i="488"/>
  <c r="AY615" i="488"/>
  <c r="AZ615" i="488"/>
  <c r="BA615" i="488"/>
  <c r="BB615" i="488"/>
  <c r="BC615" i="488"/>
  <c r="BD615" i="488"/>
  <c r="BE615" i="488"/>
  <c r="BF615" i="488"/>
  <c r="BG615" i="488"/>
  <c r="BH615" i="488"/>
  <c r="BI615" i="488"/>
  <c r="BJ615" i="488"/>
  <c r="BK615" i="488"/>
  <c r="BL615" i="488"/>
  <c r="BM615" i="488"/>
  <c r="BN615" i="488"/>
  <c r="BO615" i="488"/>
  <c r="BP615" i="488"/>
  <c r="B616" i="488"/>
  <c r="C616" i="488"/>
  <c r="D616" i="488"/>
  <c r="E616" i="488"/>
  <c r="F616" i="488"/>
  <c r="G616" i="488"/>
  <c r="H616" i="488"/>
  <c r="I616" i="488"/>
  <c r="J616" i="488"/>
  <c r="K616" i="488"/>
  <c r="L616" i="488"/>
  <c r="M616" i="488"/>
  <c r="N616" i="488"/>
  <c r="O616" i="488"/>
  <c r="P616" i="488"/>
  <c r="Q616" i="488"/>
  <c r="R616" i="488"/>
  <c r="S616" i="488"/>
  <c r="T616" i="488"/>
  <c r="U616" i="488"/>
  <c r="V616" i="488"/>
  <c r="W616" i="488"/>
  <c r="X616" i="488"/>
  <c r="Y616" i="488"/>
  <c r="Z616" i="488"/>
  <c r="AA616" i="488"/>
  <c r="AB616" i="488"/>
  <c r="AC616" i="488"/>
  <c r="AD616" i="488"/>
  <c r="AE616" i="488"/>
  <c r="AF616" i="488"/>
  <c r="AG616" i="488"/>
  <c r="AH616" i="488"/>
  <c r="AI616" i="488"/>
  <c r="AJ616" i="488"/>
  <c r="AK616" i="488"/>
  <c r="AL616" i="488"/>
  <c r="AM616" i="488"/>
  <c r="AN616" i="488"/>
  <c r="AO616" i="488"/>
  <c r="AP616" i="488"/>
  <c r="AQ616" i="488"/>
  <c r="AR616" i="488"/>
  <c r="AS616" i="488"/>
  <c r="AT616" i="488"/>
  <c r="AU616" i="488"/>
  <c r="AV616" i="488"/>
  <c r="AW616" i="488"/>
  <c r="AX616" i="488"/>
  <c r="AY616" i="488"/>
  <c r="AZ616" i="488"/>
  <c r="BA616" i="488"/>
  <c r="BB616" i="488"/>
  <c r="BC616" i="488"/>
  <c r="BD616" i="488"/>
  <c r="BE616" i="488"/>
  <c r="BF616" i="488"/>
  <c r="BG616" i="488"/>
  <c r="BH616" i="488"/>
  <c r="BI616" i="488"/>
  <c r="BJ616" i="488"/>
  <c r="BK616" i="488"/>
  <c r="BL616" i="488"/>
  <c r="BM616" i="488"/>
  <c r="BN616" i="488"/>
  <c r="BO616" i="488"/>
  <c r="BP616" i="488"/>
  <c r="B617" i="488"/>
  <c r="C617" i="488"/>
  <c r="D617" i="488"/>
  <c r="E617" i="488"/>
  <c r="F617" i="488"/>
  <c r="G617" i="488"/>
  <c r="H617" i="488"/>
  <c r="I617" i="488"/>
  <c r="J617" i="488"/>
  <c r="K617" i="488"/>
  <c r="L617" i="488"/>
  <c r="M617" i="488"/>
  <c r="N617" i="488"/>
  <c r="O617" i="488"/>
  <c r="P617" i="488"/>
  <c r="Q617" i="488"/>
  <c r="R617" i="488"/>
  <c r="S617" i="488"/>
  <c r="T617" i="488"/>
  <c r="U617" i="488"/>
  <c r="V617" i="488"/>
  <c r="W617" i="488"/>
  <c r="X617" i="488"/>
  <c r="Y617" i="488"/>
  <c r="Z617" i="488"/>
  <c r="AA617" i="488"/>
  <c r="AB617" i="488"/>
  <c r="AC617" i="488"/>
  <c r="AD617" i="488"/>
  <c r="AE617" i="488"/>
  <c r="AF617" i="488"/>
  <c r="AG617" i="488"/>
  <c r="AH617" i="488"/>
  <c r="AI617" i="488"/>
  <c r="AJ617" i="488"/>
  <c r="AK617" i="488"/>
  <c r="AL617" i="488"/>
  <c r="AM617" i="488"/>
  <c r="AN617" i="488"/>
  <c r="AO617" i="488"/>
  <c r="AP617" i="488"/>
  <c r="AQ617" i="488"/>
  <c r="AR617" i="488"/>
  <c r="AS617" i="488"/>
  <c r="AT617" i="488"/>
  <c r="AU617" i="488"/>
  <c r="AV617" i="488"/>
  <c r="AW617" i="488"/>
  <c r="AX617" i="488"/>
  <c r="AY617" i="488"/>
  <c r="AZ617" i="488"/>
  <c r="BA617" i="488"/>
  <c r="BB617" i="488"/>
  <c r="BC617" i="488"/>
  <c r="BD617" i="488"/>
  <c r="BE617" i="488"/>
  <c r="BF617" i="488"/>
  <c r="BG617" i="488"/>
  <c r="BH617" i="488"/>
  <c r="BI617" i="488"/>
  <c r="BJ617" i="488"/>
  <c r="BK617" i="488"/>
  <c r="BL617" i="488"/>
  <c r="BM617" i="488"/>
  <c r="BN617" i="488"/>
  <c r="BO617" i="488"/>
  <c r="BP617" i="488"/>
  <c r="B618" i="488"/>
  <c r="C618" i="488"/>
  <c r="D618" i="488"/>
  <c r="E618" i="488"/>
  <c r="F618" i="488"/>
  <c r="G618" i="488"/>
  <c r="H618" i="488"/>
  <c r="I618" i="488"/>
  <c r="J618" i="488"/>
  <c r="K618" i="488"/>
  <c r="L618" i="488"/>
  <c r="M618" i="488"/>
  <c r="N618" i="488"/>
  <c r="O618" i="488"/>
  <c r="P618" i="488"/>
  <c r="Q618" i="488"/>
  <c r="R618" i="488"/>
  <c r="S618" i="488"/>
  <c r="T618" i="488"/>
  <c r="U618" i="488"/>
  <c r="V618" i="488"/>
  <c r="W618" i="488"/>
  <c r="X618" i="488"/>
  <c r="Y618" i="488"/>
  <c r="Z618" i="488"/>
  <c r="AA618" i="488"/>
  <c r="AB618" i="488"/>
  <c r="AC618" i="488"/>
  <c r="AD618" i="488"/>
  <c r="AE618" i="488"/>
  <c r="AF618" i="488"/>
  <c r="AG618" i="488"/>
  <c r="AH618" i="488"/>
  <c r="AI618" i="488"/>
  <c r="AJ618" i="488"/>
  <c r="AK618" i="488"/>
  <c r="AL618" i="488"/>
  <c r="AM618" i="488"/>
  <c r="AN618" i="488"/>
  <c r="AO618" i="488"/>
  <c r="AP618" i="488"/>
  <c r="AQ618" i="488"/>
  <c r="AR618" i="488"/>
  <c r="AS618" i="488"/>
  <c r="AT618" i="488"/>
  <c r="AU618" i="488"/>
  <c r="AV618" i="488"/>
  <c r="AW618" i="488"/>
  <c r="AX618" i="488"/>
  <c r="AY618" i="488"/>
  <c r="AZ618" i="488"/>
  <c r="BA618" i="488"/>
  <c r="BB618" i="488"/>
  <c r="BC618" i="488"/>
  <c r="BD618" i="488"/>
  <c r="BE618" i="488"/>
  <c r="BF618" i="488"/>
  <c r="BG618" i="488"/>
  <c r="BH618" i="488"/>
  <c r="BI618" i="488"/>
  <c r="BJ618" i="488"/>
  <c r="BK618" i="488"/>
  <c r="BL618" i="488"/>
  <c r="BM618" i="488"/>
  <c r="BN618" i="488"/>
  <c r="BO618" i="488"/>
  <c r="BP618" i="488"/>
  <c r="B619" i="488"/>
  <c r="C619" i="488"/>
  <c r="D619" i="488"/>
  <c r="E619" i="488"/>
  <c r="F619" i="488"/>
  <c r="G619" i="488"/>
  <c r="H619" i="488"/>
  <c r="I619" i="488"/>
  <c r="J619" i="488"/>
  <c r="K619" i="488"/>
  <c r="L619" i="488"/>
  <c r="M619" i="488"/>
  <c r="N619" i="488"/>
  <c r="O619" i="488"/>
  <c r="P619" i="488"/>
  <c r="Q619" i="488"/>
  <c r="R619" i="488"/>
  <c r="S619" i="488"/>
  <c r="T619" i="488"/>
  <c r="U619" i="488"/>
  <c r="V619" i="488"/>
  <c r="W619" i="488"/>
  <c r="X619" i="488"/>
  <c r="Y619" i="488"/>
  <c r="Z619" i="488"/>
  <c r="AA619" i="488"/>
  <c r="AB619" i="488"/>
  <c r="AC619" i="488"/>
  <c r="AD619" i="488"/>
  <c r="AE619" i="488"/>
  <c r="AF619" i="488"/>
  <c r="AG619" i="488"/>
  <c r="AH619" i="488"/>
  <c r="AI619" i="488"/>
  <c r="AJ619" i="488"/>
  <c r="AK619" i="488"/>
  <c r="AL619" i="488"/>
  <c r="AM619" i="488"/>
  <c r="AN619" i="488"/>
  <c r="AO619" i="488"/>
  <c r="AP619" i="488"/>
  <c r="AQ619" i="488"/>
  <c r="AR619" i="488"/>
  <c r="AS619" i="488"/>
  <c r="AT619" i="488"/>
  <c r="AU619" i="488"/>
  <c r="AV619" i="488"/>
  <c r="AW619" i="488"/>
  <c r="AX619" i="488"/>
  <c r="AY619" i="488"/>
  <c r="AZ619" i="488"/>
  <c r="BA619" i="488"/>
  <c r="BB619" i="488"/>
  <c r="BC619" i="488"/>
  <c r="BD619" i="488"/>
  <c r="BE619" i="488"/>
  <c r="BF619" i="488"/>
  <c r="BG619" i="488"/>
  <c r="BH619" i="488"/>
  <c r="BI619" i="488"/>
  <c r="BJ619" i="488"/>
  <c r="BK619" i="488"/>
  <c r="BL619" i="488"/>
  <c r="BM619" i="488"/>
  <c r="BN619" i="488"/>
  <c r="BO619" i="488"/>
  <c r="BP619" i="488"/>
  <c r="B620" i="488"/>
  <c r="C620" i="488"/>
  <c r="D620" i="488"/>
  <c r="E620" i="488"/>
  <c r="F620" i="488"/>
  <c r="G620" i="488"/>
  <c r="H620" i="488"/>
  <c r="I620" i="488"/>
  <c r="J620" i="488"/>
  <c r="K620" i="488"/>
  <c r="L620" i="488"/>
  <c r="M620" i="488"/>
  <c r="N620" i="488"/>
  <c r="O620" i="488"/>
  <c r="P620" i="488"/>
  <c r="Q620" i="488"/>
  <c r="R620" i="488"/>
  <c r="S620" i="488"/>
  <c r="T620" i="488"/>
  <c r="U620" i="488"/>
  <c r="V620" i="488"/>
  <c r="W620" i="488"/>
  <c r="X620" i="488"/>
  <c r="Y620" i="488"/>
  <c r="Z620" i="488"/>
  <c r="AA620" i="488"/>
  <c r="AB620" i="488"/>
  <c r="AC620" i="488"/>
  <c r="AD620" i="488"/>
  <c r="AE620" i="488"/>
  <c r="AF620" i="488"/>
  <c r="AG620" i="488"/>
  <c r="AH620" i="488"/>
  <c r="AI620" i="488"/>
  <c r="AJ620" i="488"/>
  <c r="AK620" i="488"/>
  <c r="AL620" i="488"/>
  <c r="AM620" i="488"/>
  <c r="AN620" i="488"/>
  <c r="AO620" i="488"/>
  <c r="AP620" i="488"/>
  <c r="AQ620" i="488"/>
  <c r="AR620" i="488"/>
  <c r="AS620" i="488"/>
  <c r="AT620" i="488"/>
  <c r="AU620" i="488"/>
  <c r="AV620" i="488"/>
  <c r="AW620" i="488"/>
  <c r="AX620" i="488"/>
  <c r="AY620" i="488"/>
  <c r="AZ620" i="488"/>
  <c r="BA620" i="488"/>
  <c r="BB620" i="488"/>
  <c r="BC620" i="488"/>
  <c r="BD620" i="488"/>
  <c r="BE620" i="488"/>
  <c r="BF620" i="488"/>
  <c r="BG620" i="488"/>
  <c r="BH620" i="488"/>
  <c r="BI620" i="488"/>
  <c r="BJ620" i="488"/>
  <c r="BK620" i="488"/>
  <c r="BL620" i="488"/>
  <c r="BM620" i="488"/>
  <c r="BN620" i="488"/>
  <c r="BO620" i="488"/>
  <c r="BP620" i="488"/>
  <c r="B621" i="488"/>
  <c r="C621" i="488"/>
  <c r="D621" i="488"/>
  <c r="E621" i="488"/>
  <c r="F621" i="488"/>
  <c r="G621" i="488"/>
  <c r="H621" i="488"/>
  <c r="I621" i="488"/>
  <c r="J621" i="488"/>
  <c r="K621" i="488"/>
  <c r="L621" i="488"/>
  <c r="M621" i="488"/>
  <c r="N621" i="488"/>
  <c r="O621" i="488"/>
  <c r="P621" i="488"/>
  <c r="Q621" i="488"/>
  <c r="R621" i="488"/>
  <c r="S621" i="488"/>
  <c r="T621" i="488"/>
  <c r="U621" i="488"/>
  <c r="V621" i="488"/>
  <c r="W621" i="488"/>
  <c r="X621" i="488"/>
  <c r="Y621" i="488"/>
  <c r="Z621" i="488"/>
  <c r="AA621" i="488"/>
  <c r="AB621" i="488"/>
  <c r="AC621" i="488"/>
  <c r="AD621" i="488"/>
  <c r="AE621" i="488"/>
  <c r="AF621" i="488"/>
  <c r="AG621" i="488"/>
  <c r="AH621" i="488"/>
  <c r="AI621" i="488"/>
  <c r="AJ621" i="488"/>
  <c r="AK621" i="488"/>
  <c r="AL621" i="488"/>
  <c r="AM621" i="488"/>
  <c r="AN621" i="488"/>
  <c r="AO621" i="488"/>
  <c r="AP621" i="488"/>
  <c r="AQ621" i="488"/>
  <c r="AR621" i="488"/>
  <c r="AS621" i="488"/>
  <c r="AT621" i="488"/>
  <c r="AU621" i="488"/>
  <c r="AV621" i="488"/>
  <c r="AW621" i="488"/>
  <c r="AX621" i="488"/>
  <c r="AY621" i="488"/>
  <c r="AZ621" i="488"/>
  <c r="BA621" i="488"/>
  <c r="BB621" i="488"/>
  <c r="BC621" i="488"/>
  <c r="BD621" i="488"/>
  <c r="BE621" i="488"/>
  <c r="BF621" i="488"/>
  <c r="BG621" i="488"/>
  <c r="BH621" i="488"/>
  <c r="BI621" i="488"/>
  <c r="BJ621" i="488"/>
  <c r="BK621" i="488"/>
  <c r="BL621" i="488"/>
  <c r="BM621" i="488"/>
  <c r="BN621" i="488"/>
  <c r="BO621" i="488"/>
  <c r="BP621" i="488"/>
  <c r="B622" i="488"/>
  <c r="C622" i="488"/>
  <c r="D622" i="488"/>
  <c r="E622" i="488"/>
  <c r="F622" i="488"/>
  <c r="G622" i="488"/>
  <c r="H622" i="488"/>
  <c r="I622" i="488"/>
  <c r="J622" i="488"/>
  <c r="K622" i="488"/>
  <c r="L622" i="488"/>
  <c r="M622" i="488"/>
  <c r="N622" i="488"/>
  <c r="O622" i="488"/>
  <c r="P622" i="488"/>
  <c r="Q622" i="488"/>
  <c r="R622" i="488"/>
  <c r="S622" i="488"/>
  <c r="T622" i="488"/>
  <c r="U622" i="488"/>
  <c r="V622" i="488"/>
  <c r="W622" i="488"/>
  <c r="X622" i="488"/>
  <c r="Y622" i="488"/>
  <c r="Z622" i="488"/>
  <c r="AA622" i="488"/>
  <c r="AB622" i="488"/>
  <c r="AC622" i="488"/>
  <c r="AD622" i="488"/>
  <c r="AE622" i="488"/>
  <c r="AF622" i="488"/>
  <c r="AG622" i="488"/>
  <c r="AH622" i="488"/>
  <c r="AI622" i="488"/>
  <c r="AJ622" i="488"/>
  <c r="AK622" i="488"/>
  <c r="AL622" i="488"/>
  <c r="AM622" i="488"/>
  <c r="AN622" i="488"/>
  <c r="AO622" i="488"/>
  <c r="AP622" i="488"/>
  <c r="AQ622" i="488"/>
  <c r="AR622" i="488"/>
  <c r="AS622" i="488"/>
  <c r="AT622" i="488"/>
  <c r="AU622" i="488"/>
  <c r="AV622" i="488"/>
  <c r="AW622" i="488"/>
  <c r="AX622" i="488"/>
  <c r="AY622" i="488"/>
  <c r="AZ622" i="488"/>
  <c r="BA622" i="488"/>
  <c r="BB622" i="488"/>
  <c r="BC622" i="488"/>
  <c r="BD622" i="488"/>
  <c r="BE622" i="488"/>
  <c r="BF622" i="488"/>
  <c r="BG622" i="488"/>
  <c r="BH622" i="488"/>
  <c r="BI622" i="488"/>
  <c r="BJ622" i="488"/>
  <c r="BK622" i="488"/>
  <c r="BL622" i="488"/>
  <c r="BM622" i="488"/>
  <c r="BN622" i="488"/>
  <c r="BO622" i="488"/>
  <c r="BP622" i="488"/>
  <c r="B623" i="488"/>
  <c r="C623" i="488"/>
  <c r="D623" i="488"/>
  <c r="E623" i="488"/>
  <c r="F623" i="488"/>
  <c r="G623" i="488"/>
  <c r="H623" i="488"/>
  <c r="I623" i="488"/>
  <c r="J623" i="488"/>
  <c r="K623" i="488"/>
  <c r="L623" i="488"/>
  <c r="M623" i="488"/>
  <c r="N623" i="488"/>
  <c r="O623" i="488"/>
  <c r="P623" i="488"/>
  <c r="Q623" i="488"/>
  <c r="R623" i="488"/>
  <c r="S623" i="488"/>
  <c r="T623" i="488"/>
  <c r="U623" i="488"/>
  <c r="V623" i="488"/>
  <c r="W623" i="488"/>
  <c r="X623" i="488"/>
  <c r="Y623" i="488"/>
  <c r="Z623" i="488"/>
  <c r="AA623" i="488"/>
  <c r="AB623" i="488"/>
  <c r="AC623" i="488"/>
  <c r="AD623" i="488"/>
  <c r="AE623" i="488"/>
  <c r="AF623" i="488"/>
  <c r="AG623" i="488"/>
  <c r="AH623" i="488"/>
  <c r="AI623" i="488"/>
  <c r="AJ623" i="488"/>
  <c r="AK623" i="488"/>
  <c r="AL623" i="488"/>
  <c r="AM623" i="488"/>
  <c r="AN623" i="488"/>
  <c r="AO623" i="488"/>
  <c r="AP623" i="488"/>
  <c r="AQ623" i="488"/>
  <c r="AR623" i="488"/>
  <c r="AS623" i="488"/>
  <c r="AT623" i="488"/>
  <c r="AU623" i="488"/>
  <c r="AV623" i="488"/>
  <c r="AW623" i="488"/>
  <c r="AX623" i="488"/>
  <c r="AY623" i="488"/>
  <c r="AZ623" i="488"/>
  <c r="BA623" i="488"/>
  <c r="BB623" i="488"/>
  <c r="BC623" i="488"/>
  <c r="BD623" i="488"/>
  <c r="BE623" i="488"/>
  <c r="BF623" i="488"/>
  <c r="BG623" i="488"/>
  <c r="BH623" i="488"/>
  <c r="BI623" i="488"/>
  <c r="BJ623" i="488"/>
  <c r="BK623" i="488"/>
  <c r="BL623" i="488"/>
  <c r="BM623" i="488"/>
  <c r="BN623" i="488"/>
  <c r="BO623" i="488"/>
  <c r="BP623" i="488"/>
  <c r="B624" i="488"/>
  <c r="C624" i="488"/>
  <c r="D624" i="488"/>
  <c r="E624" i="488"/>
  <c r="F624" i="488"/>
  <c r="G624" i="488"/>
  <c r="H624" i="488"/>
  <c r="I624" i="488"/>
  <c r="J624" i="488"/>
  <c r="K624" i="488"/>
  <c r="L624" i="488"/>
  <c r="M624" i="488"/>
  <c r="N624" i="488"/>
  <c r="O624" i="488"/>
  <c r="P624" i="488"/>
  <c r="Q624" i="488"/>
  <c r="R624" i="488"/>
  <c r="S624" i="488"/>
  <c r="T624" i="488"/>
  <c r="U624" i="488"/>
  <c r="V624" i="488"/>
  <c r="W624" i="488"/>
  <c r="X624" i="488"/>
  <c r="Y624" i="488"/>
  <c r="Z624" i="488"/>
  <c r="AA624" i="488"/>
  <c r="AB624" i="488"/>
  <c r="AC624" i="488"/>
  <c r="AD624" i="488"/>
  <c r="AE624" i="488"/>
  <c r="AF624" i="488"/>
  <c r="AG624" i="488"/>
  <c r="AH624" i="488"/>
  <c r="AI624" i="488"/>
  <c r="AJ624" i="488"/>
  <c r="AK624" i="488"/>
  <c r="AL624" i="488"/>
  <c r="AM624" i="488"/>
  <c r="AN624" i="488"/>
  <c r="AO624" i="488"/>
  <c r="AP624" i="488"/>
  <c r="AQ624" i="488"/>
  <c r="AR624" i="488"/>
  <c r="AS624" i="488"/>
  <c r="AT624" i="488"/>
  <c r="AU624" i="488"/>
  <c r="AV624" i="488"/>
  <c r="AW624" i="488"/>
  <c r="AX624" i="488"/>
  <c r="AY624" i="488"/>
  <c r="AZ624" i="488"/>
  <c r="BA624" i="488"/>
  <c r="BB624" i="488"/>
  <c r="BC624" i="488"/>
  <c r="BD624" i="488"/>
  <c r="BE624" i="488"/>
  <c r="BF624" i="488"/>
  <c r="BG624" i="488"/>
  <c r="BH624" i="488"/>
  <c r="BI624" i="488"/>
  <c r="BJ624" i="488"/>
  <c r="BK624" i="488"/>
  <c r="BL624" i="488"/>
  <c r="BM624" i="488"/>
  <c r="BN624" i="488"/>
  <c r="BO624" i="488"/>
  <c r="BP624" i="488"/>
  <c r="B625" i="488"/>
  <c r="C625" i="488"/>
  <c r="D625" i="488"/>
  <c r="E625" i="488"/>
  <c r="F625" i="488"/>
  <c r="G625" i="488"/>
  <c r="H625" i="488"/>
  <c r="I625" i="488"/>
  <c r="J625" i="488"/>
  <c r="K625" i="488"/>
  <c r="L625" i="488"/>
  <c r="M625" i="488"/>
  <c r="N625" i="488"/>
  <c r="O625" i="488"/>
  <c r="P625" i="488"/>
  <c r="Q625" i="488"/>
  <c r="R625" i="488"/>
  <c r="S625" i="488"/>
  <c r="T625" i="488"/>
  <c r="U625" i="488"/>
  <c r="V625" i="488"/>
  <c r="W625" i="488"/>
  <c r="X625" i="488"/>
  <c r="Y625" i="488"/>
  <c r="Z625" i="488"/>
  <c r="AA625" i="488"/>
  <c r="AB625" i="488"/>
  <c r="AC625" i="488"/>
  <c r="AD625" i="488"/>
  <c r="AE625" i="488"/>
  <c r="AF625" i="488"/>
  <c r="AG625" i="488"/>
  <c r="AH625" i="488"/>
  <c r="AI625" i="488"/>
  <c r="AJ625" i="488"/>
  <c r="AK625" i="488"/>
  <c r="AL625" i="488"/>
  <c r="AM625" i="488"/>
  <c r="AN625" i="488"/>
  <c r="AO625" i="488"/>
  <c r="AP625" i="488"/>
  <c r="AQ625" i="488"/>
  <c r="AR625" i="488"/>
  <c r="AS625" i="488"/>
  <c r="AT625" i="488"/>
  <c r="AU625" i="488"/>
  <c r="AV625" i="488"/>
  <c r="AW625" i="488"/>
  <c r="AX625" i="488"/>
  <c r="AY625" i="488"/>
  <c r="AZ625" i="488"/>
  <c r="BA625" i="488"/>
  <c r="BB625" i="488"/>
  <c r="BC625" i="488"/>
  <c r="BD625" i="488"/>
  <c r="BE625" i="488"/>
  <c r="BF625" i="488"/>
  <c r="BG625" i="488"/>
  <c r="BH625" i="488"/>
  <c r="BI625" i="488"/>
  <c r="BJ625" i="488"/>
  <c r="BK625" i="488"/>
  <c r="BL625" i="488"/>
  <c r="BM625" i="488"/>
  <c r="BN625" i="488"/>
  <c r="BO625" i="488"/>
  <c r="BP625" i="488"/>
  <c r="B626" i="488"/>
  <c r="C626" i="488"/>
  <c r="D626" i="488"/>
  <c r="E626" i="488"/>
  <c r="F626" i="488"/>
  <c r="G626" i="488"/>
  <c r="H626" i="488"/>
  <c r="I626" i="488"/>
  <c r="J626" i="488"/>
  <c r="K626" i="488"/>
  <c r="L626" i="488"/>
  <c r="M626" i="488"/>
  <c r="N626" i="488"/>
  <c r="O626" i="488"/>
  <c r="P626" i="488"/>
  <c r="Q626" i="488"/>
  <c r="R626" i="488"/>
  <c r="S626" i="488"/>
  <c r="T626" i="488"/>
  <c r="U626" i="488"/>
  <c r="V626" i="488"/>
  <c r="W626" i="488"/>
  <c r="X626" i="488"/>
  <c r="Y626" i="488"/>
  <c r="Z626" i="488"/>
  <c r="AA626" i="488"/>
  <c r="AB626" i="488"/>
  <c r="AC626" i="488"/>
  <c r="AD626" i="488"/>
  <c r="AE626" i="488"/>
  <c r="AF626" i="488"/>
  <c r="AG626" i="488"/>
  <c r="AH626" i="488"/>
  <c r="AI626" i="488"/>
  <c r="AJ626" i="488"/>
  <c r="AK626" i="488"/>
  <c r="AL626" i="488"/>
  <c r="AM626" i="488"/>
  <c r="AN626" i="488"/>
  <c r="AO626" i="488"/>
  <c r="AP626" i="488"/>
  <c r="AQ626" i="488"/>
  <c r="AR626" i="488"/>
  <c r="AS626" i="488"/>
  <c r="AT626" i="488"/>
  <c r="AU626" i="488"/>
  <c r="AV626" i="488"/>
  <c r="AW626" i="488"/>
  <c r="AX626" i="488"/>
  <c r="AY626" i="488"/>
  <c r="AZ626" i="488"/>
  <c r="BA626" i="488"/>
  <c r="BB626" i="488"/>
  <c r="BC626" i="488"/>
  <c r="BD626" i="488"/>
  <c r="BE626" i="488"/>
  <c r="BF626" i="488"/>
  <c r="BG626" i="488"/>
  <c r="BH626" i="488"/>
  <c r="BI626" i="488"/>
  <c r="BJ626" i="488"/>
  <c r="BK626" i="488"/>
  <c r="BL626" i="488"/>
  <c r="BM626" i="488"/>
  <c r="BN626" i="488"/>
  <c r="BO626" i="488"/>
  <c r="BP626" i="488"/>
  <c r="B627" i="488"/>
  <c r="C627" i="488"/>
  <c r="D627" i="488"/>
  <c r="E627" i="488"/>
  <c r="F627" i="488"/>
  <c r="G627" i="488"/>
  <c r="H627" i="488"/>
  <c r="I627" i="488"/>
  <c r="J627" i="488"/>
  <c r="K627" i="488"/>
  <c r="L627" i="488"/>
  <c r="M627" i="488"/>
  <c r="N627" i="488"/>
  <c r="O627" i="488"/>
  <c r="P627" i="488"/>
  <c r="Q627" i="488"/>
  <c r="R627" i="488"/>
  <c r="S627" i="488"/>
  <c r="T627" i="488"/>
  <c r="U627" i="488"/>
  <c r="V627" i="488"/>
  <c r="W627" i="488"/>
  <c r="X627" i="488"/>
  <c r="Y627" i="488"/>
  <c r="Z627" i="488"/>
  <c r="AA627" i="488"/>
  <c r="AB627" i="488"/>
  <c r="AC627" i="488"/>
  <c r="AD627" i="488"/>
  <c r="AE627" i="488"/>
  <c r="AF627" i="488"/>
  <c r="AG627" i="488"/>
  <c r="AH627" i="488"/>
  <c r="AI627" i="488"/>
  <c r="AJ627" i="488"/>
  <c r="AK627" i="488"/>
  <c r="AL627" i="488"/>
  <c r="AM627" i="488"/>
  <c r="AN627" i="488"/>
  <c r="AO627" i="488"/>
  <c r="AP627" i="488"/>
  <c r="AQ627" i="488"/>
  <c r="AR627" i="488"/>
  <c r="AS627" i="488"/>
  <c r="AT627" i="488"/>
  <c r="AU627" i="488"/>
  <c r="AV627" i="488"/>
  <c r="AW627" i="488"/>
  <c r="AX627" i="488"/>
  <c r="AY627" i="488"/>
  <c r="AZ627" i="488"/>
  <c r="BA627" i="488"/>
  <c r="BB627" i="488"/>
  <c r="BC627" i="488"/>
  <c r="BD627" i="488"/>
  <c r="BE627" i="488"/>
  <c r="BF627" i="488"/>
  <c r="BG627" i="488"/>
  <c r="BH627" i="488"/>
  <c r="BI627" i="488"/>
  <c r="BJ627" i="488"/>
  <c r="BK627" i="488"/>
  <c r="BL627" i="488"/>
  <c r="BM627" i="488"/>
  <c r="BN627" i="488"/>
  <c r="BO627" i="488"/>
  <c r="BP627" i="488"/>
  <c r="B628" i="488"/>
  <c r="C628" i="488"/>
  <c r="D628" i="488"/>
  <c r="E628" i="488"/>
  <c r="F628" i="488"/>
  <c r="G628" i="488"/>
  <c r="H628" i="488"/>
  <c r="I628" i="488"/>
  <c r="J628" i="488"/>
  <c r="K628" i="488"/>
  <c r="L628" i="488"/>
  <c r="M628" i="488"/>
  <c r="N628" i="488"/>
  <c r="O628" i="488"/>
  <c r="P628" i="488"/>
  <c r="Q628" i="488"/>
  <c r="R628" i="488"/>
  <c r="S628" i="488"/>
  <c r="T628" i="488"/>
  <c r="U628" i="488"/>
  <c r="V628" i="488"/>
  <c r="W628" i="488"/>
  <c r="X628" i="488"/>
  <c r="Y628" i="488"/>
  <c r="Z628" i="488"/>
  <c r="AA628" i="488"/>
  <c r="AB628" i="488"/>
  <c r="AC628" i="488"/>
  <c r="AD628" i="488"/>
  <c r="AE628" i="488"/>
  <c r="AF628" i="488"/>
  <c r="AG628" i="488"/>
  <c r="AH628" i="488"/>
  <c r="AI628" i="488"/>
  <c r="AJ628" i="488"/>
  <c r="AK628" i="488"/>
  <c r="AL628" i="488"/>
  <c r="AM628" i="488"/>
  <c r="AN628" i="488"/>
  <c r="AO628" i="488"/>
  <c r="AP628" i="488"/>
  <c r="AQ628" i="488"/>
  <c r="AR628" i="488"/>
  <c r="AS628" i="488"/>
  <c r="AT628" i="488"/>
  <c r="AU628" i="488"/>
  <c r="AV628" i="488"/>
  <c r="AW628" i="488"/>
  <c r="AX628" i="488"/>
  <c r="AY628" i="488"/>
  <c r="AZ628" i="488"/>
  <c r="BA628" i="488"/>
  <c r="BB628" i="488"/>
  <c r="BC628" i="488"/>
  <c r="BD628" i="488"/>
  <c r="BE628" i="488"/>
  <c r="BF628" i="488"/>
  <c r="BG628" i="488"/>
  <c r="BH628" i="488"/>
  <c r="BI628" i="488"/>
  <c r="BJ628" i="488"/>
  <c r="BK628" i="488"/>
  <c r="BL628" i="488"/>
  <c r="BM628" i="488"/>
  <c r="BN628" i="488"/>
  <c r="BO628" i="488"/>
  <c r="BP628" i="488"/>
  <c r="B629" i="488"/>
  <c r="C629" i="488"/>
  <c r="D629" i="488"/>
  <c r="E629" i="488"/>
  <c r="F629" i="488"/>
  <c r="G629" i="488"/>
  <c r="H629" i="488"/>
  <c r="I629" i="488"/>
  <c r="J629" i="488"/>
  <c r="K629" i="488"/>
  <c r="L629" i="488"/>
  <c r="M629" i="488"/>
  <c r="N629" i="488"/>
  <c r="O629" i="488"/>
  <c r="P629" i="488"/>
  <c r="Q629" i="488"/>
  <c r="R629" i="488"/>
  <c r="S629" i="488"/>
  <c r="T629" i="488"/>
  <c r="U629" i="488"/>
  <c r="V629" i="488"/>
  <c r="W629" i="488"/>
  <c r="X629" i="488"/>
  <c r="Y629" i="488"/>
  <c r="Z629" i="488"/>
  <c r="AA629" i="488"/>
  <c r="AB629" i="488"/>
  <c r="AC629" i="488"/>
  <c r="AD629" i="488"/>
  <c r="AE629" i="488"/>
  <c r="AF629" i="488"/>
  <c r="AG629" i="488"/>
  <c r="AH629" i="488"/>
  <c r="AI629" i="488"/>
  <c r="AJ629" i="488"/>
  <c r="AK629" i="488"/>
  <c r="AL629" i="488"/>
  <c r="AM629" i="488"/>
  <c r="AN629" i="488"/>
  <c r="AO629" i="488"/>
  <c r="AP629" i="488"/>
  <c r="AQ629" i="488"/>
  <c r="AR629" i="488"/>
  <c r="AS629" i="488"/>
  <c r="AT629" i="488"/>
  <c r="AU629" i="488"/>
  <c r="AV629" i="488"/>
  <c r="AW629" i="488"/>
  <c r="AX629" i="488"/>
  <c r="AY629" i="488"/>
  <c r="AZ629" i="488"/>
  <c r="BA629" i="488"/>
  <c r="BB629" i="488"/>
  <c r="BC629" i="488"/>
  <c r="BD629" i="488"/>
  <c r="BE629" i="488"/>
  <c r="BF629" i="488"/>
  <c r="BG629" i="488"/>
  <c r="BH629" i="488"/>
  <c r="BI629" i="488"/>
  <c r="BJ629" i="488"/>
  <c r="BK629" i="488"/>
  <c r="BL629" i="488"/>
  <c r="BM629" i="488"/>
  <c r="BN629" i="488"/>
  <c r="BO629" i="488"/>
  <c r="BP629" i="488"/>
  <c r="B630" i="488"/>
  <c r="C630" i="488"/>
  <c r="D630" i="488"/>
  <c r="E630" i="488"/>
  <c r="F630" i="488"/>
  <c r="G630" i="488"/>
  <c r="H630" i="488"/>
  <c r="I630" i="488"/>
  <c r="J630" i="488"/>
  <c r="K630" i="488"/>
  <c r="L630" i="488"/>
  <c r="M630" i="488"/>
  <c r="N630" i="488"/>
  <c r="O630" i="488"/>
  <c r="P630" i="488"/>
  <c r="Q630" i="488"/>
  <c r="R630" i="488"/>
  <c r="S630" i="488"/>
  <c r="T630" i="488"/>
  <c r="U630" i="488"/>
  <c r="V630" i="488"/>
  <c r="W630" i="488"/>
  <c r="X630" i="488"/>
  <c r="Y630" i="488"/>
  <c r="Z630" i="488"/>
  <c r="AA630" i="488"/>
  <c r="AB630" i="488"/>
  <c r="AC630" i="488"/>
  <c r="AD630" i="488"/>
  <c r="AE630" i="488"/>
  <c r="AF630" i="488"/>
  <c r="AG630" i="488"/>
  <c r="AH630" i="488"/>
  <c r="AI630" i="488"/>
  <c r="AJ630" i="488"/>
  <c r="AK630" i="488"/>
  <c r="AL630" i="488"/>
  <c r="AM630" i="488"/>
  <c r="AN630" i="488"/>
  <c r="AO630" i="488"/>
  <c r="AP630" i="488"/>
  <c r="AQ630" i="488"/>
  <c r="AR630" i="488"/>
  <c r="AS630" i="488"/>
  <c r="AT630" i="488"/>
  <c r="AU630" i="488"/>
  <c r="AV630" i="488"/>
  <c r="AW630" i="488"/>
  <c r="AX630" i="488"/>
  <c r="AY630" i="488"/>
  <c r="AZ630" i="488"/>
  <c r="BA630" i="488"/>
  <c r="BB630" i="488"/>
  <c r="BC630" i="488"/>
  <c r="BD630" i="488"/>
  <c r="BE630" i="488"/>
  <c r="BF630" i="488"/>
  <c r="BG630" i="488"/>
  <c r="BH630" i="488"/>
  <c r="BI630" i="488"/>
  <c r="BJ630" i="488"/>
  <c r="BK630" i="488"/>
  <c r="BL630" i="488"/>
  <c r="BM630" i="488"/>
  <c r="BN630" i="488"/>
  <c r="BO630" i="488"/>
  <c r="BP630" i="488"/>
  <c r="B631" i="488"/>
  <c r="C631" i="488"/>
  <c r="D631" i="488"/>
  <c r="E631" i="488"/>
  <c r="F631" i="488"/>
  <c r="G631" i="488"/>
  <c r="H631" i="488"/>
  <c r="I631" i="488"/>
  <c r="J631" i="488"/>
  <c r="K631" i="488"/>
  <c r="L631" i="488"/>
  <c r="M631" i="488"/>
  <c r="N631" i="488"/>
  <c r="O631" i="488"/>
  <c r="P631" i="488"/>
  <c r="Q631" i="488"/>
  <c r="R631" i="488"/>
  <c r="S631" i="488"/>
  <c r="T631" i="488"/>
  <c r="U631" i="488"/>
  <c r="V631" i="488"/>
  <c r="W631" i="488"/>
  <c r="X631" i="488"/>
  <c r="Y631" i="488"/>
  <c r="Z631" i="488"/>
  <c r="AA631" i="488"/>
  <c r="AB631" i="488"/>
  <c r="AC631" i="488"/>
  <c r="AD631" i="488"/>
  <c r="AE631" i="488"/>
  <c r="AF631" i="488"/>
  <c r="AG631" i="488"/>
  <c r="AH631" i="488"/>
  <c r="AI631" i="488"/>
  <c r="AJ631" i="488"/>
  <c r="AK631" i="488"/>
  <c r="AL631" i="488"/>
  <c r="AM631" i="488"/>
  <c r="AN631" i="488"/>
  <c r="AO631" i="488"/>
  <c r="AP631" i="488"/>
  <c r="AQ631" i="488"/>
  <c r="AR631" i="488"/>
  <c r="AS631" i="488"/>
  <c r="AT631" i="488"/>
  <c r="AU631" i="488"/>
  <c r="AV631" i="488"/>
  <c r="AW631" i="488"/>
  <c r="AX631" i="488"/>
  <c r="AY631" i="488"/>
  <c r="AZ631" i="488"/>
  <c r="BA631" i="488"/>
  <c r="BB631" i="488"/>
  <c r="BC631" i="488"/>
  <c r="BD631" i="488"/>
  <c r="BE631" i="488"/>
  <c r="BF631" i="488"/>
  <c r="BG631" i="488"/>
  <c r="BH631" i="488"/>
  <c r="BI631" i="488"/>
  <c r="BJ631" i="488"/>
  <c r="BK631" i="488"/>
  <c r="BL631" i="488"/>
  <c r="BM631" i="488"/>
  <c r="BN631" i="488"/>
  <c r="BO631" i="488"/>
  <c r="BP631" i="488"/>
  <c r="B632" i="488"/>
  <c r="C632" i="488"/>
  <c r="D632" i="488"/>
  <c r="E632" i="488"/>
  <c r="F632" i="488"/>
  <c r="G632" i="488"/>
  <c r="H632" i="488"/>
  <c r="I632" i="488"/>
  <c r="J632" i="488"/>
  <c r="K632" i="488"/>
  <c r="L632" i="488"/>
  <c r="M632" i="488"/>
  <c r="N632" i="488"/>
  <c r="O632" i="488"/>
  <c r="P632" i="488"/>
  <c r="Q632" i="488"/>
  <c r="R632" i="488"/>
  <c r="S632" i="488"/>
  <c r="T632" i="488"/>
  <c r="U632" i="488"/>
  <c r="V632" i="488"/>
  <c r="W632" i="488"/>
  <c r="X632" i="488"/>
  <c r="Y632" i="488"/>
  <c r="Z632" i="488"/>
  <c r="AA632" i="488"/>
  <c r="AB632" i="488"/>
  <c r="AC632" i="488"/>
  <c r="AD632" i="488"/>
  <c r="AE632" i="488"/>
  <c r="AF632" i="488"/>
  <c r="AG632" i="488"/>
  <c r="AH632" i="488"/>
  <c r="AI632" i="488"/>
  <c r="AJ632" i="488"/>
  <c r="AK632" i="488"/>
  <c r="AL632" i="488"/>
  <c r="AM632" i="488"/>
  <c r="AN632" i="488"/>
  <c r="AO632" i="488"/>
  <c r="AP632" i="488"/>
  <c r="AQ632" i="488"/>
  <c r="AR632" i="488"/>
  <c r="AS632" i="488"/>
  <c r="AT632" i="488"/>
  <c r="AU632" i="488"/>
  <c r="AV632" i="488"/>
  <c r="AW632" i="488"/>
  <c r="AX632" i="488"/>
  <c r="AY632" i="488"/>
  <c r="AZ632" i="488"/>
  <c r="BA632" i="488"/>
  <c r="BB632" i="488"/>
  <c r="BC632" i="488"/>
  <c r="BD632" i="488"/>
  <c r="BE632" i="488"/>
  <c r="BF632" i="488"/>
  <c r="BG632" i="488"/>
  <c r="BH632" i="488"/>
  <c r="BI632" i="488"/>
  <c r="BJ632" i="488"/>
  <c r="BK632" i="488"/>
  <c r="BL632" i="488"/>
  <c r="BM632" i="488"/>
  <c r="BN632" i="488"/>
  <c r="BO632" i="488"/>
  <c r="BP632" i="488"/>
  <c r="B633" i="488"/>
  <c r="C633" i="488"/>
  <c r="D633" i="488"/>
  <c r="E633" i="488"/>
  <c r="F633" i="488"/>
  <c r="G633" i="488"/>
  <c r="H633" i="488"/>
  <c r="I633" i="488"/>
  <c r="J633" i="488"/>
  <c r="K633" i="488"/>
  <c r="L633" i="488"/>
  <c r="M633" i="488"/>
  <c r="N633" i="488"/>
  <c r="O633" i="488"/>
  <c r="P633" i="488"/>
  <c r="Q633" i="488"/>
  <c r="R633" i="488"/>
  <c r="S633" i="488"/>
  <c r="T633" i="488"/>
  <c r="U633" i="488"/>
  <c r="V633" i="488"/>
  <c r="W633" i="488"/>
  <c r="X633" i="488"/>
  <c r="Y633" i="488"/>
  <c r="Z633" i="488"/>
  <c r="AA633" i="488"/>
  <c r="AB633" i="488"/>
  <c r="AC633" i="488"/>
  <c r="AD633" i="488"/>
  <c r="AE633" i="488"/>
  <c r="AF633" i="488"/>
  <c r="AG633" i="488"/>
  <c r="AH633" i="488"/>
  <c r="AI633" i="488"/>
  <c r="AJ633" i="488"/>
  <c r="AK633" i="488"/>
  <c r="AL633" i="488"/>
  <c r="AM633" i="488"/>
  <c r="AN633" i="488"/>
  <c r="AO633" i="488"/>
  <c r="AP633" i="488"/>
  <c r="AQ633" i="488"/>
  <c r="AR633" i="488"/>
  <c r="AS633" i="488"/>
  <c r="AT633" i="488"/>
  <c r="AU633" i="488"/>
  <c r="AV633" i="488"/>
  <c r="AW633" i="488"/>
  <c r="AX633" i="488"/>
  <c r="AY633" i="488"/>
  <c r="AZ633" i="488"/>
  <c r="BA633" i="488"/>
  <c r="BB633" i="488"/>
  <c r="BC633" i="488"/>
  <c r="BD633" i="488"/>
  <c r="BE633" i="488"/>
  <c r="BF633" i="488"/>
  <c r="BG633" i="488"/>
  <c r="BH633" i="488"/>
  <c r="BI633" i="488"/>
  <c r="BJ633" i="488"/>
  <c r="BK633" i="488"/>
  <c r="BL633" i="488"/>
  <c r="BM633" i="488"/>
  <c r="BN633" i="488"/>
  <c r="BO633" i="488"/>
  <c r="BP633" i="488"/>
  <c r="B634" i="488"/>
  <c r="C634" i="488"/>
  <c r="D634" i="488"/>
  <c r="E634" i="488"/>
  <c r="F634" i="488"/>
  <c r="G634" i="488"/>
  <c r="H634" i="488"/>
  <c r="I634" i="488"/>
  <c r="J634" i="488"/>
  <c r="K634" i="488"/>
  <c r="L634" i="488"/>
  <c r="M634" i="488"/>
  <c r="N634" i="488"/>
  <c r="O634" i="488"/>
  <c r="P634" i="488"/>
  <c r="Q634" i="488"/>
  <c r="R634" i="488"/>
  <c r="S634" i="488"/>
  <c r="T634" i="488"/>
  <c r="U634" i="488"/>
  <c r="V634" i="488"/>
  <c r="W634" i="488"/>
  <c r="X634" i="488"/>
  <c r="Y634" i="488"/>
  <c r="Z634" i="488"/>
  <c r="AA634" i="488"/>
  <c r="AB634" i="488"/>
  <c r="AC634" i="488"/>
  <c r="AD634" i="488"/>
  <c r="AE634" i="488"/>
  <c r="AF634" i="488"/>
  <c r="AG634" i="488"/>
  <c r="AH634" i="488"/>
  <c r="AI634" i="488"/>
  <c r="AJ634" i="488"/>
  <c r="AK634" i="488"/>
  <c r="AL634" i="488"/>
  <c r="AM634" i="488"/>
  <c r="AN634" i="488"/>
  <c r="AO634" i="488"/>
  <c r="AP634" i="488"/>
  <c r="AQ634" i="488"/>
  <c r="AR634" i="488"/>
  <c r="AS634" i="488"/>
  <c r="AT634" i="488"/>
  <c r="AU634" i="488"/>
  <c r="AV634" i="488"/>
  <c r="AW634" i="488"/>
  <c r="AX634" i="488"/>
  <c r="AY634" i="488"/>
  <c r="AZ634" i="488"/>
  <c r="BA634" i="488"/>
  <c r="BB634" i="488"/>
  <c r="BC634" i="488"/>
  <c r="BD634" i="488"/>
  <c r="BE634" i="488"/>
  <c r="BF634" i="488"/>
  <c r="BG634" i="488"/>
  <c r="BH634" i="488"/>
  <c r="BI634" i="488"/>
  <c r="BJ634" i="488"/>
  <c r="BK634" i="488"/>
  <c r="BL634" i="488"/>
  <c r="BM634" i="488"/>
  <c r="BN634" i="488"/>
  <c r="BO634" i="488"/>
  <c r="BP634" i="488"/>
  <c r="B635" i="488"/>
  <c r="C635" i="488"/>
  <c r="D635" i="488"/>
  <c r="E635" i="488"/>
  <c r="F635" i="488"/>
  <c r="G635" i="488"/>
  <c r="H635" i="488"/>
  <c r="I635" i="488"/>
  <c r="J635" i="488"/>
  <c r="K635" i="488"/>
  <c r="L635" i="488"/>
  <c r="M635" i="488"/>
  <c r="N635" i="488"/>
  <c r="O635" i="488"/>
  <c r="P635" i="488"/>
  <c r="Q635" i="488"/>
  <c r="R635" i="488"/>
  <c r="S635" i="488"/>
  <c r="T635" i="488"/>
  <c r="U635" i="488"/>
  <c r="V635" i="488"/>
  <c r="W635" i="488"/>
  <c r="X635" i="488"/>
  <c r="Y635" i="488"/>
  <c r="Z635" i="488"/>
  <c r="AA635" i="488"/>
  <c r="AB635" i="488"/>
  <c r="AC635" i="488"/>
  <c r="AD635" i="488"/>
  <c r="AE635" i="488"/>
  <c r="AF635" i="488"/>
  <c r="AG635" i="488"/>
  <c r="AH635" i="488"/>
  <c r="AI635" i="488"/>
  <c r="AJ635" i="488"/>
  <c r="AK635" i="488"/>
  <c r="AL635" i="488"/>
  <c r="AM635" i="488"/>
  <c r="AN635" i="488"/>
  <c r="AO635" i="488"/>
  <c r="AP635" i="488"/>
  <c r="AQ635" i="488"/>
  <c r="AR635" i="488"/>
  <c r="AS635" i="488"/>
  <c r="AT635" i="488"/>
  <c r="AU635" i="488"/>
  <c r="AV635" i="488"/>
  <c r="AW635" i="488"/>
  <c r="AX635" i="488"/>
  <c r="AY635" i="488"/>
  <c r="AZ635" i="488"/>
  <c r="BA635" i="488"/>
  <c r="BB635" i="488"/>
  <c r="BC635" i="488"/>
  <c r="BD635" i="488"/>
  <c r="BE635" i="488"/>
  <c r="BF635" i="488"/>
  <c r="BG635" i="488"/>
  <c r="BH635" i="488"/>
  <c r="BI635" i="488"/>
  <c r="BJ635" i="488"/>
  <c r="BK635" i="488"/>
  <c r="BL635" i="488"/>
  <c r="BM635" i="488"/>
  <c r="BN635" i="488"/>
  <c r="BO635" i="488"/>
  <c r="BP635" i="488"/>
  <c r="B633" i="487"/>
  <c r="C633" i="487"/>
  <c r="D633" i="487"/>
  <c r="E633" i="487"/>
  <c r="F633" i="487"/>
  <c r="G633" i="487"/>
  <c r="H633" i="487"/>
  <c r="I633" i="487"/>
  <c r="J633" i="487"/>
  <c r="K633" i="487"/>
  <c r="L633" i="487"/>
  <c r="M633" i="487"/>
  <c r="N633" i="487"/>
  <c r="O633" i="487"/>
  <c r="P633" i="487"/>
  <c r="Q633" i="487"/>
  <c r="R633" i="487"/>
  <c r="S633" i="487"/>
  <c r="T633" i="487"/>
  <c r="U633" i="487"/>
  <c r="V633" i="487"/>
  <c r="W633" i="487"/>
  <c r="X633" i="487"/>
  <c r="Y633" i="487"/>
  <c r="Z633" i="487"/>
  <c r="AA633" i="487"/>
  <c r="AB633" i="487"/>
  <c r="AC633" i="487"/>
  <c r="AD633" i="487"/>
  <c r="AE633" i="487"/>
  <c r="AF633" i="487"/>
  <c r="AG633" i="487"/>
  <c r="AH633" i="487"/>
  <c r="AI633" i="487"/>
  <c r="AJ633" i="487"/>
  <c r="AK633" i="487"/>
  <c r="AL633" i="487"/>
  <c r="AM633" i="487"/>
  <c r="AN633" i="487"/>
  <c r="AO633" i="487"/>
  <c r="AP633" i="487"/>
  <c r="AQ633" i="487"/>
  <c r="AR633" i="487"/>
  <c r="AS633" i="487"/>
  <c r="AT633" i="487"/>
  <c r="AU633" i="487"/>
  <c r="AV633" i="487"/>
  <c r="AW633" i="487"/>
  <c r="AX633" i="487"/>
  <c r="AY633" i="487"/>
  <c r="AZ633" i="487"/>
  <c r="BA633" i="487"/>
  <c r="BB633" i="487"/>
  <c r="BC633" i="487"/>
  <c r="BD633" i="487"/>
  <c r="BE633" i="487"/>
  <c r="BF633" i="487"/>
  <c r="BG633" i="487"/>
  <c r="BH633" i="487"/>
  <c r="BI633" i="487"/>
  <c r="BJ633" i="487"/>
  <c r="BK633" i="487"/>
  <c r="BL633" i="487"/>
  <c r="BM633" i="487"/>
  <c r="B634" i="487"/>
  <c r="C634" i="487"/>
  <c r="D634" i="487"/>
  <c r="E634" i="487"/>
  <c r="F634" i="487"/>
  <c r="G634" i="487"/>
  <c r="H634" i="487"/>
  <c r="I634" i="487"/>
  <c r="J634" i="487"/>
  <c r="K634" i="487"/>
  <c r="L634" i="487"/>
  <c r="M634" i="487"/>
  <c r="N634" i="487"/>
  <c r="O634" i="487"/>
  <c r="P634" i="487"/>
  <c r="Q634" i="487"/>
  <c r="R634" i="487"/>
  <c r="S634" i="487"/>
  <c r="T634" i="487"/>
  <c r="U634" i="487"/>
  <c r="V634" i="487"/>
  <c r="W634" i="487"/>
  <c r="X634" i="487"/>
  <c r="Y634" i="487"/>
  <c r="Z634" i="487"/>
  <c r="AA634" i="487"/>
  <c r="AB634" i="487"/>
  <c r="AC634" i="487"/>
  <c r="AD634" i="487"/>
  <c r="AE634" i="487"/>
  <c r="AF634" i="487"/>
  <c r="AG634" i="487"/>
  <c r="AH634" i="487"/>
  <c r="AI634" i="487"/>
  <c r="AJ634" i="487"/>
  <c r="AK634" i="487"/>
  <c r="AL634" i="487"/>
  <c r="AM634" i="487"/>
  <c r="AN634" i="487"/>
  <c r="AO634" i="487"/>
  <c r="AP634" i="487"/>
  <c r="AQ634" i="487"/>
  <c r="AR634" i="487"/>
  <c r="AS634" i="487"/>
  <c r="AT634" i="487"/>
  <c r="AU634" i="487"/>
  <c r="AV634" i="487"/>
  <c r="AW634" i="487"/>
  <c r="AX634" i="487"/>
  <c r="AY634" i="487"/>
  <c r="AZ634" i="487"/>
  <c r="BA634" i="487"/>
  <c r="BB634" i="487"/>
  <c r="BC634" i="487"/>
  <c r="BD634" i="487"/>
  <c r="BE634" i="487"/>
  <c r="BF634" i="487"/>
  <c r="BG634" i="487"/>
  <c r="BH634" i="487"/>
  <c r="BI634" i="487"/>
  <c r="BJ634" i="487"/>
  <c r="BK634" i="487"/>
  <c r="BL634" i="487"/>
  <c r="BM634" i="487"/>
  <c r="B635" i="487"/>
  <c r="C635" i="487"/>
  <c r="D635" i="487"/>
  <c r="E635" i="487"/>
  <c r="F635" i="487"/>
  <c r="G635" i="487"/>
  <c r="H635" i="487"/>
  <c r="I635" i="487"/>
  <c r="J635" i="487"/>
  <c r="K635" i="487"/>
  <c r="L635" i="487"/>
  <c r="M635" i="487"/>
  <c r="N635" i="487"/>
  <c r="O635" i="487"/>
  <c r="P635" i="487"/>
  <c r="Q635" i="487"/>
  <c r="R635" i="487"/>
  <c r="S635" i="487"/>
  <c r="T635" i="487"/>
  <c r="U635" i="487"/>
  <c r="V635" i="487"/>
  <c r="W635" i="487"/>
  <c r="X635" i="487"/>
  <c r="Y635" i="487"/>
  <c r="Z635" i="487"/>
  <c r="AA635" i="487"/>
  <c r="AB635" i="487"/>
  <c r="AC635" i="487"/>
  <c r="AD635" i="487"/>
  <c r="AE635" i="487"/>
  <c r="AF635" i="487"/>
  <c r="AG635" i="487"/>
  <c r="AH635" i="487"/>
  <c r="AI635" i="487"/>
  <c r="AJ635" i="487"/>
  <c r="AK635" i="487"/>
  <c r="AL635" i="487"/>
  <c r="AM635" i="487"/>
  <c r="AN635" i="487"/>
  <c r="AO635" i="487"/>
  <c r="AP635" i="487"/>
  <c r="AQ635" i="487"/>
  <c r="AR635" i="487"/>
  <c r="AS635" i="487"/>
  <c r="AT635" i="487"/>
  <c r="AU635" i="487"/>
  <c r="AV635" i="487"/>
  <c r="AW635" i="487"/>
  <c r="AX635" i="487"/>
  <c r="AY635" i="487"/>
  <c r="AZ635" i="487"/>
  <c r="BA635" i="487"/>
  <c r="BB635" i="487"/>
  <c r="BC635" i="487"/>
  <c r="BD635" i="487"/>
  <c r="BE635" i="487"/>
  <c r="BF635" i="487"/>
  <c r="BG635" i="487"/>
  <c r="BH635" i="487"/>
  <c r="BI635" i="487"/>
  <c r="BJ635" i="487"/>
  <c r="BK635" i="487"/>
  <c r="BL635" i="487"/>
  <c r="BM635" i="487"/>
  <c r="B636" i="487"/>
  <c r="C636" i="487"/>
  <c r="D636" i="487"/>
  <c r="E636" i="487"/>
  <c r="F636" i="487"/>
  <c r="G636" i="487"/>
  <c r="H636" i="487"/>
  <c r="I636" i="487"/>
  <c r="J636" i="487"/>
  <c r="K636" i="487"/>
  <c r="L636" i="487"/>
  <c r="M636" i="487"/>
  <c r="N636" i="487"/>
  <c r="O636" i="487"/>
  <c r="P636" i="487"/>
  <c r="Q636" i="487"/>
  <c r="R636" i="487"/>
  <c r="S636" i="487"/>
  <c r="T636" i="487"/>
  <c r="U636" i="487"/>
  <c r="V636" i="487"/>
  <c r="W636" i="487"/>
  <c r="X636" i="487"/>
  <c r="Y636" i="487"/>
  <c r="Z636" i="487"/>
  <c r="AA636" i="487"/>
  <c r="AB636" i="487"/>
  <c r="AC636" i="487"/>
  <c r="AD636" i="487"/>
  <c r="AE636" i="487"/>
  <c r="AF636" i="487"/>
  <c r="AG636" i="487"/>
  <c r="AH636" i="487"/>
  <c r="AI636" i="487"/>
  <c r="AJ636" i="487"/>
  <c r="AK636" i="487"/>
  <c r="AL636" i="487"/>
  <c r="AM636" i="487"/>
  <c r="AN636" i="487"/>
  <c r="AO636" i="487"/>
  <c r="AP636" i="487"/>
  <c r="AQ636" i="487"/>
  <c r="AR636" i="487"/>
  <c r="AS636" i="487"/>
  <c r="AT636" i="487"/>
  <c r="AU636" i="487"/>
  <c r="AV636" i="487"/>
  <c r="AW636" i="487"/>
  <c r="AX636" i="487"/>
  <c r="AY636" i="487"/>
  <c r="AZ636" i="487"/>
  <c r="BA636" i="487"/>
  <c r="BB636" i="487"/>
  <c r="BC636" i="487"/>
  <c r="BD636" i="487"/>
  <c r="BE636" i="487"/>
  <c r="BF636" i="487"/>
  <c r="BG636" i="487"/>
  <c r="BH636" i="487"/>
  <c r="BI636" i="487"/>
  <c r="BJ636" i="487"/>
  <c r="BK636" i="487"/>
  <c r="BL636" i="487"/>
  <c r="BM636" i="487"/>
  <c r="B637" i="487"/>
  <c r="C637" i="487"/>
  <c r="D637" i="487"/>
  <c r="E637" i="487"/>
  <c r="F637" i="487"/>
  <c r="G637" i="487"/>
  <c r="H637" i="487"/>
  <c r="I637" i="487"/>
  <c r="J637" i="487"/>
  <c r="K637" i="487"/>
  <c r="L637" i="487"/>
  <c r="M637" i="487"/>
  <c r="N637" i="487"/>
  <c r="O637" i="487"/>
  <c r="P637" i="487"/>
  <c r="Q637" i="487"/>
  <c r="R637" i="487"/>
  <c r="S637" i="487"/>
  <c r="T637" i="487"/>
  <c r="U637" i="487"/>
  <c r="V637" i="487"/>
  <c r="W637" i="487"/>
  <c r="X637" i="487"/>
  <c r="Y637" i="487"/>
  <c r="Z637" i="487"/>
  <c r="AA637" i="487"/>
  <c r="AB637" i="487"/>
  <c r="AC637" i="487"/>
  <c r="AD637" i="487"/>
  <c r="AE637" i="487"/>
  <c r="AF637" i="487"/>
  <c r="AG637" i="487"/>
  <c r="AH637" i="487"/>
  <c r="AI637" i="487"/>
  <c r="AJ637" i="487"/>
  <c r="AK637" i="487"/>
  <c r="AL637" i="487"/>
  <c r="AM637" i="487"/>
  <c r="AN637" i="487"/>
  <c r="AO637" i="487"/>
  <c r="AP637" i="487"/>
  <c r="AQ637" i="487"/>
  <c r="AR637" i="487"/>
  <c r="AS637" i="487"/>
  <c r="AT637" i="487"/>
  <c r="AU637" i="487"/>
  <c r="AV637" i="487"/>
  <c r="AW637" i="487"/>
  <c r="AX637" i="487"/>
  <c r="AY637" i="487"/>
  <c r="AZ637" i="487"/>
  <c r="BA637" i="487"/>
  <c r="BB637" i="487"/>
  <c r="BC637" i="487"/>
  <c r="BD637" i="487"/>
  <c r="BE637" i="487"/>
  <c r="BF637" i="487"/>
  <c r="BG637" i="487"/>
  <c r="BH637" i="487"/>
  <c r="BI637" i="487"/>
  <c r="BJ637" i="487"/>
  <c r="BK637" i="487"/>
  <c r="BL637" i="487"/>
  <c r="BM637" i="487"/>
  <c r="B638" i="487"/>
  <c r="C638" i="487"/>
  <c r="D638" i="487"/>
  <c r="E638" i="487"/>
  <c r="F638" i="487"/>
  <c r="G638" i="487"/>
  <c r="H638" i="487"/>
  <c r="I638" i="487"/>
  <c r="J638" i="487"/>
  <c r="K638" i="487"/>
  <c r="L638" i="487"/>
  <c r="M638" i="487"/>
  <c r="N638" i="487"/>
  <c r="O638" i="487"/>
  <c r="P638" i="487"/>
  <c r="Q638" i="487"/>
  <c r="R638" i="487"/>
  <c r="S638" i="487"/>
  <c r="T638" i="487"/>
  <c r="U638" i="487"/>
  <c r="V638" i="487"/>
  <c r="W638" i="487"/>
  <c r="X638" i="487"/>
  <c r="Y638" i="487"/>
  <c r="Z638" i="487"/>
  <c r="AA638" i="487"/>
  <c r="AB638" i="487"/>
  <c r="AC638" i="487"/>
  <c r="AD638" i="487"/>
  <c r="AE638" i="487"/>
  <c r="AF638" i="487"/>
  <c r="AG638" i="487"/>
  <c r="AH638" i="487"/>
  <c r="AI638" i="487"/>
  <c r="AJ638" i="487"/>
  <c r="AK638" i="487"/>
  <c r="AL638" i="487"/>
  <c r="AM638" i="487"/>
  <c r="AN638" i="487"/>
  <c r="AO638" i="487"/>
  <c r="AP638" i="487"/>
  <c r="AQ638" i="487"/>
  <c r="AR638" i="487"/>
  <c r="AS638" i="487"/>
  <c r="AT638" i="487"/>
  <c r="AU638" i="487"/>
  <c r="AV638" i="487"/>
  <c r="AW638" i="487"/>
  <c r="AX638" i="487"/>
  <c r="AY638" i="487"/>
  <c r="AZ638" i="487"/>
  <c r="BA638" i="487"/>
  <c r="BB638" i="487"/>
  <c r="BC638" i="487"/>
  <c r="BD638" i="487"/>
  <c r="BE638" i="487"/>
  <c r="BF638" i="487"/>
  <c r="BG638" i="487"/>
  <c r="BH638" i="487"/>
  <c r="BI638" i="487"/>
  <c r="BJ638" i="487"/>
  <c r="BK638" i="487"/>
  <c r="BL638" i="487"/>
  <c r="BM638" i="487"/>
  <c r="B639" i="487"/>
  <c r="C639" i="487"/>
  <c r="D639" i="487"/>
  <c r="E639" i="487"/>
  <c r="F639" i="487"/>
  <c r="G639" i="487"/>
  <c r="H639" i="487"/>
  <c r="I639" i="487"/>
  <c r="J639" i="487"/>
  <c r="K639" i="487"/>
  <c r="L639" i="487"/>
  <c r="M639" i="487"/>
  <c r="N639" i="487"/>
  <c r="O639" i="487"/>
  <c r="P639" i="487"/>
  <c r="Q639" i="487"/>
  <c r="R639" i="487"/>
  <c r="S639" i="487"/>
  <c r="T639" i="487"/>
  <c r="U639" i="487"/>
  <c r="V639" i="487"/>
  <c r="W639" i="487"/>
  <c r="X639" i="487"/>
  <c r="Y639" i="487"/>
  <c r="Z639" i="487"/>
  <c r="AA639" i="487"/>
  <c r="AB639" i="487"/>
  <c r="AC639" i="487"/>
  <c r="AD639" i="487"/>
  <c r="AE639" i="487"/>
  <c r="AF639" i="487"/>
  <c r="AG639" i="487"/>
  <c r="AH639" i="487"/>
  <c r="AI639" i="487"/>
  <c r="AJ639" i="487"/>
  <c r="AK639" i="487"/>
  <c r="AL639" i="487"/>
  <c r="AM639" i="487"/>
  <c r="AN639" i="487"/>
  <c r="AO639" i="487"/>
  <c r="AP639" i="487"/>
  <c r="AQ639" i="487"/>
  <c r="AR639" i="487"/>
  <c r="AS639" i="487"/>
  <c r="AT639" i="487"/>
  <c r="AU639" i="487"/>
  <c r="AV639" i="487"/>
  <c r="AW639" i="487"/>
  <c r="AX639" i="487"/>
  <c r="AY639" i="487"/>
  <c r="AZ639" i="487"/>
  <c r="BA639" i="487"/>
  <c r="BB639" i="487"/>
  <c r="BC639" i="487"/>
  <c r="BD639" i="487"/>
  <c r="BE639" i="487"/>
  <c r="BF639" i="487"/>
  <c r="BG639" i="487"/>
  <c r="BH639" i="487"/>
  <c r="BI639" i="487"/>
  <c r="BJ639" i="487"/>
  <c r="BK639" i="487"/>
  <c r="BL639" i="487"/>
  <c r="BM639" i="487"/>
  <c r="B640" i="487"/>
  <c r="C640" i="487"/>
  <c r="D640" i="487"/>
  <c r="E640" i="487"/>
  <c r="F640" i="487"/>
  <c r="G640" i="487"/>
  <c r="H640" i="487"/>
  <c r="I640" i="487"/>
  <c r="J640" i="487"/>
  <c r="K640" i="487"/>
  <c r="L640" i="487"/>
  <c r="M640" i="487"/>
  <c r="N640" i="487"/>
  <c r="O640" i="487"/>
  <c r="P640" i="487"/>
  <c r="Q640" i="487"/>
  <c r="R640" i="487"/>
  <c r="S640" i="487"/>
  <c r="T640" i="487"/>
  <c r="U640" i="487"/>
  <c r="V640" i="487"/>
  <c r="W640" i="487"/>
  <c r="X640" i="487"/>
  <c r="Y640" i="487"/>
  <c r="Z640" i="487"/>
  <c r="AA640" i="487"/>
  <c r="AB640" i="487"/>
  <c r="AC640" i="487"/>
  <c r="AD640" i="487"/>
  <c r="AE640" i="487"/>
  <c r="AF640" i="487"/>
  <c r="AG640" i="487"/>
  <c r="AH640" i="487"/>
  <c r="AI640" i="487"/>
  <c r="AJ640" i="487"/>
  <c r="AK640" i="487"/>
  <c r="AL640" i="487"/>
  <c r="AM640" i="487"/>
  <c r="AN640" i="487"/>
  <c r="AO640" i="487"/>
  <c r="AP640" i="487"/>
  <c r="AQ640" i="487"/>
  <c r="AR640" i="487"/>
  <c r="AS640" i="487"/>
  <c r="AT640" i="487"/>
  <c r="AU640" i="487"/>
  <c r="AV640" i="487"/>
  <c r="AW640" i="487"/>
  <c r="AX640" i="487"/>
  <c r="AY640" i="487"/>
  <c r="AZ640" i="487"/>
  <c r="BA640" i="487"/>
  <c r="BB640" i="487"/>
  <c r="BC640" i="487"/>
  <c r="BD640" i="487"/>
  <c r="BE640" i="487"/>
  <c r="BF640" i="487"/>
  <c r="BG640" i="487"/>
  <c r="BH640" i="487"/>
  <c r="BI640" i="487"/>
  <c r="BJ640" i="487"/>
  <c r="BK640" i="487"/>
  <c r="BL640" i="487"/>
  <c r="BM640" i="487"/>
  <c r="B641" i="487"/>
  <c r="C641" i="487"/>
  <c r="D641" i="487"/>
  <c r="E641" i="487"/>
  <c r="F641" i="487"/>
  <c r="G641" i="487"/>
  <c r="H641" i="487"/>
  <c r="I641" i="487"/>
  <c r="J641" i="487"/>
  <c r="K641" i="487"/>
  <c r="L641" i="487"/>
  <c r="M641" i="487"/>
  <c r="N641" i="487"/>
  <c r="O641" i="487"/>
  <c r="P641" i="487"/>
  <c r="Q641" i="487"/>
  <c r="R641" i="487"/>
  <c r="S641" i="487"/>
  <c r="T641" i="487"/>
  <c r="U641" i="487"/>
  <c r="V641" i="487"/>
  <c r="W641" i="487"/>
  <c r="X641" i="487"/>
  <c r="Y641" i="487"/>
  <c r="Z641" i="487"/>
  <c r="AA641" i="487"/>
  <c r="AB641" i="487"/>
  <c r="AC641" i="487"/>
  <c r="AD641" i="487"/>
  <c r="AE641" i="487"/>
  <c r="AF641" i="487"/>
  <c r="AG641" i="487"/>
  <c r="AH641" i="487"/>
  <c r="AI641" i="487"/>
  <c r="AJ641" i="487"/>
  <c r="AK641" i="487"/>
  <c r="AL641" i="487"/>
  <c r="AM641" i="487"/>
  <c r="AN641" i="487"/>
  <c r="AO641" i="487"/>
  <c r="AP641" i="487"/>
  <c r="AQ641" i="487"/>
  <c r="AR641" i="487"/>
  <c r="AS641" i="487"/>
  <c r="AT641" i="487"/>
  <c r="AU641" i="487"/>
  <c r="AV641" i="487"/>
  <c r="AW641" i="487"/>
  <c r="AX641" i="487"/>
  <c r="AY641" i="487"/>
  <c r="AZ641" i="487"/>
  <c r="BA641" i="487"/>
  <c r="BB641" i="487"/>
  <c r="BC641" i="487"/>
  <c r="BD641" i="487"/>
  <c r="BE641" i="487"/>
  <c r="BF641" i="487"/>
  <c r="BG641" i="487"/>
  <c r="BH641" i="487"/>
  <c r="BI641" i="487"/>
  <c r="BJ641" i="487"/>
  <c r="BK641" i="487"/>
  <c r="BL641" i="487"/>
  <c r="BM641" i="487"/>
  <c r="B642" i="487"/>
  <c r="C642" i="487"/>
  <c r="D642" i="487"/>
  <c r="E642" i="487"/>
  <c r="F642" i="487"/>
  <c r="G642" i="487"/>
  <c r="H642" i="487"/>
  <c r="I642" i="487"/>
  <c r="J642" i="487"/>
  <c r="K642" i="487"/>
  <c r="L642" i="487"/>
  <c r="M642" i="487"/>
  <c r="N642" i="487"/>
  <c r="O642" i="487"/>
  <c r="P642" i="487"/>
  <c r="Q642" i="487"/>
  <c r="R642" i="487"/>
  <c r="S642" i="487"/>
  <c r="T642" i="487"/>
  <c r="U642" i="487"/>
  <c r="V642" i="487"/>
  <c r="W642" i="487"/>
  <c r="X642" i="487"/>
  <c r="Y642" i="487"/>
  <c r="Z642" i="487"/>
  <c r="AA642" i="487"/>
  <c r="AB642" i="487"/>
  <c r="AC642" i="487"/>
  <c r="AD642" i="487"/>
  <c r="AE642" i="487"/>
  <c r="AF642" i="487"/>
  <c r="AG642" i="487"/>
  <c r="AH642" i="487"/>
  <c r="AI642" i="487"/>
  <c r="AJ642" i="487"/>
  <c r="AK642" i="487"/>
  <c r="AL642" i="487"/>
  <c r="AM642" i="487"/>
  <c r="AN642" i="487"/>
  <c r="AO642" i="487"/>
  <c r="AP642" i="487"/>
  <c r="AQ642" i="487"/>
  <c r="AR642" i="487"/>
  <c r="AS642" i="487"/>
  <c r="AT642" i="487"/>
  <c r="AU642" i="487"/>
  <c r="AV642" i="487"/>
  <c r="AW642" i="487"/>
  <c r="AX642" i="487"/>
  <c r="AY642" i="487"/>
  <c r="AZ642" i="487"/>
  <c r="BA642" i="487"/>
  <c r="BB642" i="487"/>
  <c r="BC642" i="487"/>
  <c r="BD642" i="487"/>
  <c r="BE642" i="487"/>
  <c r="BF642" i="487"/>
  <c r="BG642" i="487"/>
  <c r="BH642" i="487"/>
  <c r="BI642" i="487"/>
  <c r="BJ642" i="487"/>
  <c r="BK642" i="487"/>
  <c r="BL642" i="487"/>
  <c r="BM642" i="487"/>
  <c r="B643" i="487"/>
  <c r="C643" i="487"/>
  <c r="D643" i="487"/>
  <c r="E643" i="487"/>
  <c r="F643" i="487"/>
  <c r="G643" i="487"/>
  <c r="H643" i="487"/>
  <c r="I643" i="487"/>
  <c r="J643" i="487"/>
  <c r="K643" i="487"/>
  <c r="L643" i="487"/>
  <c r="M643" i="487"/>
  <c r="N643" i="487"/>
  <c r="O643" i="487"/>
  <c r="P643" i="487"/>
  <c r="Q643" i="487"/>
  <c r="R643" i="487"/>
  <c r="S643" i="487"/>
  <c r="T643" i="487"/>
  <c r="U643" i="487"/>
  <c r="V643" i="487"/>
  <c r="W643" i="487"/>
  <c r="X643" i="487"/>
  <c r="Y643" i="487"/>
  <c r="Z643" i="487"/>
  <c r="AA643" i="487"/>
  <c r="AB643" i="487"/>
  <c r="AC643" i="487"/>
  <c r="AD643" i="487"/>
  <c r="AE643" i="487"/>
  <c r="AF643" i="487"/>
  <c r="AG643" i="487"/>
  <c r="AH643" i="487"/>
  <c r="AI643" i="487"/>
  <c r="AJ643" i="487"/>
  <c r="AK643" i="487"/>
  <c r="AL643" i="487"/>
  <c r="AM643" i="487"/>
  <c r="AN643" i="487"/>
  <c r="AO643" i="487"/>
  <c r="AP643" i="487"/>
  <c r="AQ643" i="487"/>
  <c r="AR643" i="487"/>
  <c r="AS643" i="487"/>
  <c r="AT643" i="487"/>
  <c r="AU643" i="487"/>
  <c r="AV643" i="487"/>
  <c r="AW643" i="487"/>
  <c r="AX643" i="487"/>
  <c r="AY643" i="487"/>
  <c r="AZ643" i="487"/>
  <c r="BA643" i="487"/>
  <c r="BB643" i="487"/>
  <c r="BC643" i="487"/>
  <c r="BD643" i="487"/>
  <c r="BE643" i="487"/>
  <c r="BF643" i="487"/>
  <c r="BG643" i="487"/>
  <c r="BH643" i="487"/>
  <c r="BI643" i="487"/>
  <c r="BJ643" i="487"/>
  <c r="BK643" i="487"/>
  <c r="BL643" i="487"/>
  <c r="BM643" i="487"/>
  <c r="B644" i="487"/>
  <c r="C644" i="487"/>
  <c r="D644" i="487"/>
  <c r="E644" i="487"/>
  <c r="F644" i="487"/>
  <c r="G644" i="487"/>
  <c r="H644" i="487"/>
  <c r="I644" i="487"/>
  <c r="J644" i="487"/>
  <c r="K644" i="487"/>
  <c r="L644" i="487"/>
  <c r="M644" i="487"/>
  <c r="N644" i="487"/>
  <c r="O644" i="487"/>
  <c r="P644" i="487"/>
  <c r="Q644" i="487"/>
  <c r="R644" i="487"/>
  <c r="S644" i="487"/>
  <c r="T644" i="487"/>
  <c r="U644" i="487"/>
  <c r="V644" i="487"/>
  <c r="W644" i="487"/>
  <c r="X644" i="487"/>
  <c r="Y644" i="487"/>
  <c r="Z644" i="487"/>
  <c r="AA644" i="487"/>
  <c r="AB644" i="487"/>
  <c r="AC644" i="487"/>
  <c r="AD644" i="487"/>
  <c r="AE644" i="487"/>
  <c r="AF644" i="487"/>
  <c r="AG644" i="487"/>
  <c r="AH644" i="487"/>
  <c r="AI644" i="487"/>
  <c r="AJ644" i="487"/>
  <c r="AK644" i="487"/>
  <c r="AL644" i="487"/>
  <c r="AM644" i="487"/>
  <c r="AN644" i="487"/>
  <c r="AO644" i="487"/>
  <c r="AP644" i="487"/>
  <c r="AQ644" i="487"/>
  <c r="AR644" i="487"/>
  <c r="AS644" i="487"/>
  <c r="AT644" i="487"/>
  <c r="AU644" i="487"/>
  <c r="AV644" i="487"/>
  <c r="AW644" i="487"/>
  <c r="AX644" i="487"/>
  <c r="AY644" i="487"/>
  <c r="AZ644" i="487"/>
  <c r="BA644" i="487"/>
  <c r="BB644" i="487"/>
  <c r="BC644" i="487"/>
  <c r="BD644" i="487"/>
  <c r="BE644" i="487"/>
  <c r="BF644" i="487"/>
  <c r="BG644" i="487"/>
  <c r="BH644" i="487"/>
  <c r="BI644" i="487"/>
  <c r="BJ644" i="487"/>
  <c r="BK644" i="487"/>
  <c r="BL644" i="487"/>
  <c r="BM644" i="487"/>
  <c r="B645" i="487"/>
  <c r="C645" i="487"/>
  <c r="D645" i="487"/>
  <c r="E645" i="487"/>
  <c r="F645" i="487"/>
  <c r="G645" i="487"/>
  <c r="H645" i="487"/>
  <c r="I645" i="487"/>
  <c r="J645" i="487"/>
  <c r="K645" i="487"/>
  <c r="L645" i="487"/>
  <c r="M645" i="487"/>
  <c r="N645" i="487"/>
  <c r="O645" i="487"/>
  <c r="P645" i="487"/>
  <c r="Q645" i="487"/>
  <c r="R645" i="487"/>
  <c r="S645" i="487"/>
  <c r="T645" i="487"/>
  <c r="U645" i="487"/>
  <c r="V645" i="487"/>
  <c r="W645" i="487"/>
  <c r="X645" i="487"/>
  <c r="Y645" i="487"/>
  <c r="Z645" i="487"/>
  <c r="AA645" i="487"/>
  <c r="AB645" i="487"/>
  <c r="AC645" i="487"/>
  <c r="AD645" i="487"/>
  <c r="AE645" i="487"/>
  <c r="AF645" i="487"/>
  <c r="AG645" i="487"/>
  <c r="AH645" i="487"/>
  <c r="AI645" i="487"/>
  <c r="AJ645" i="487"/>
  <c r="AK645" i="487"/>
  <c r="AL645" i="487"/>
  <c r="AM645" i="487"/>
  <c r="AN645" i="487"/>
  <c r="AO645" i="487"/>
  <c r="AP645" i="487"/>
  <c r="AQ645" i="487"/>
  <c r="AR645" i="487"/>
  <c r="AS645" i="487"/>
  <c r="AT645" i="487"/>
  <c r="AU645" i="487"/>
  <c r="AV645" i="487"/>
  <c r="AW645" i="487"/>
  <c r="AX645" i="487"/>
  <c r="AY645" i="487"/>
  <c r="AZ645" i="487"/>
  <c r="BA645" i="487"/>
  <c r="BB645" i="487"/>
  <c r="BC645" i="487"/>
  <c r="BD645" i="487"/>
  <c r="BE645" i="487"/>
  <c r="BF645" i="487"/>
  <c r="BG645" i="487"/>
  <c r="BH645" i="487"/>
  <c r="BI645" i="487"/>
  <c r="BJ645" i="487"/>
  <c r="BK645" i="487"/>
  <c r="BL645" i="487"/>
  <c r="BM645" i="487"/>
  <c r="B646" i="487"/>
  <c r="C646" i="487"/>
  <c r="D646" i="487"/>
  <c r="E646" i="487"/>
  <c r="F646" i="487"/>
  <c r="G646" i="487"/>
  <c r="H646" i="487"/>
  <c r="I646" i="487"/>
  <c r="J646" i="487"/>
  <c r="K646" i="487"/>
  <c r="L646" i="487"/>
  <c r="M646" i="487"/>
  <c r="N646" i="487"/>
  <c r="O646" i="487"/>
  <c r="P646" i="487"/>
  <c r="Q646" i="487"/>
  <c r="R646" i="487"/>
  <c r="S646" i="487"/>
  <c r="T646" i="487"/>
  <c r="U646" i="487"/>
  <c r="V646" i="487"/>
  <c r="W646" i="487"/>
  <c r="X646" i="487"/>
  <c r="Y646" i="487"/>
  <c r="Z646" i="487"/>
  <c r="AA646" i="487"/>
  <c r="AB646" i="487"/>
  <c r="AC646" i="487"/>
  <c r="AD646" i="487"/>
  <c r="AE646" i="487"/>
  <c r="AF646" i="487"/>
  <c r="AG646" i="487"/>
  <c r="AH646" i="487"/>
  <c r="AI646" i="487"/>
  <c r="AJ646" i="487"/>
  <c r="AK646" i="487"/>
  <c r="AL646" i="487"/>
  <c r="AM646" i="487"/>
  <c r="AN646" i="487"/>
  <c r="AO646" i="487"/>
  <c r="AP646" i="487"/>
  <c r="AQ646" i="487"/>
  <c r="AR646" i="487"/>
  <c r="AS646" i="487"/>
  <c r="AT646" i="487"/>
  <c r="AU646" i="487"/>
  <c r="AV646" i="487"/>
  <c r="AW646" i="487"/>
  <c r="AX646" i="487"/>
  <c r="AY646" i="487"/>
  <c r="AZ646" i="487"/>
  <c r="BA646" i="487"/>
  <c r="BB646" i="487"/>
  <c r="BC646" i="487"/>
  <c r="BD646" i="487"/>
  <c r="BE646" i="487"/>
  <c r="BF646" i="487"/>
  <c r="BG646" i="487"/>
  <c r="BH646" i="487"/>
  <c r="BI646" i="487"/>
  <c r="BJ646" i="487"/>
  <c r="BK646" i="487"/>
  <c r="BL646" i="487"/>
  <c r="BM646" i="487"/>
  <c r="B647" i="487"/>
  <c r="C647" i="487"/>
  <c r="D647" i="487"/>
  <c r="E647" i="487"/>
  <c r="F647" i="487"/>
  <c r="G647" i="487"/>
  <c r="H647" i="487"/>
  <c r="I647" i="487"/>
  <c r="J647" i="487"/>
  <c r="K647" i="487"/>
  <c r="L647" i="487"/>
  <c r="M647" i="487"/>
  <c r="N647" i="487"/>
  <c r="O647" i="487"/>
  <c r="P647" i="487"/>
  <c r="Q647" i="487"/>
  <c r="R647" i="487"/>
  <c r="S647" i="487"/>
  <c r="T647" i="487"/>
  <c r="U647" i="487"/>
  <c r="V647" i="487"/>
  <c r="W647" i="487"/>
  <c r="X647" i="487"/>
  <c r="Y647" i="487"/>
  <c r="Z647" i="487"/>
  <c r="AA647" i="487"/>
  <c r="AB647" i="487"/>
  <c r="AC647" i="487"/>
  <c r="AD647" i="487"/>
  <c r="AE647" i="487"/>
  <c r="AF647" i="487"/>
  <c r="AG647" i="487"/>
  <c r="AH647" i="487"/>
  <c r="AI647" i="487"/>
  <c r="AJ647" i="487"/>
  <c r="AK647" i="487"/>
  <c r="AL647" i="487"/>
  <c r="AM647" i="487"/>
  <c r="AN647" i="487"/>
  <c r="AO647" i="487"/>
  <c r="AP647" i="487"/>
  <c r="AQ647" i="487"/>
  <c r="AR647" i="487"/>
  <c r="AS647" i="487"/>
  <c r="AT647" i="487"/>
  <c r="AU647" i="487"/>
  <c r="AV647" i="487"/>
  <c r="AW647" i="487"/>
  <c r="AX647" i="487"/>
  <c r="AY647" i="487"/>
  <c r="AZ647" i="487"/>
  <c r="BA647" i="487"/>
  <c r="BB647" i="487"/>
  <c r="BC647" i="487"/>
  <c r="BD647" i="487"/>
  <c r="BE647" i="487"/>
  <c r="BF647" i="487"/>
  <c r="BG647" i="487"/>
  <c r="BH647" i="487"/>
  <c r="BI647" i="487"/>
  <c r="BJ647" i="487"/>
  <c r="BK647" i="487"/>
  <c r="BL647" i="487"/>
  <c r="BM647" i="487"/>
  <c r="B648" i="487"/>
  <c r="C648" i="487"/>
  <c r="D648" i="487"/>
  <c r="E648" i="487"/>
  <c r="F648" i="487"/>
  <c r="G648" i="487"/>
  <c r="H648" i="487"/>
  <c r="I648" i="487"/>
  <c r="J648" i="487"/>
  <c r="K648" i="487"/>
  <c r="L648" i="487"/>
  <c r="M648" i="487"/>
  <c r="N648" i="487"/>
  <c r="O648" i="487"/>
  <c r="P648" i="487"/>
  <c r="Q648" i="487"/>
  <c r="R648" i="487"/>
  <c r="S648" i="487"/>
  <c r="T648" i="487"/>
  <c r="U648" i="487"/>
  <c r="V648" i="487"/>
  <c r="W648" i="487"/>
  <c r="X648" i="487"/>
  <c r="Y648" i="487"/>
  <c r="Z648" i="487"/>
  <c r="AA648" i="487"/>
  <c r="AB648" i="487"/>
  <c r="AC648" i="487"/>
  <c r="AD648" i="487"/>
  <c r="AE648" i="487"/>
  <c r="AF648" i="487"/>
  <c r="AG648" i="487"/>
  <c r="AH648" i="487"/>
  <c r="AI648" i="487"/>
  <c r="AJ648" i="487"/>
  <c r="AK648" i="487"/>
  <c r="AL648" i="487"/>
  <c r="AM648" i="487"/>
  <c r="AN648" i="487"/>
  <c r="AO648" i="487"/>
  <c r="AP648" i="487"/>
  <c r="AQ648" i="487"/>
  <c r="AR648" i="487"/>
  <c r="AS648" i="487"/>
  <c r="AT648" i="487"/>
  <c r="AU648" i="487"/>
  <c r="AV648" i="487"/>
  <c r="AW648" i="487"/>
  <c r="AX648" i="487"/>
  <c r="AY648" i="487"/>
  <c r="AZ648" i="487"/>
  <c r="BA648" i="487"/>
  <c r="BB648" i="487"/>
  <c r="BC648" i="487"/>
  <c r="BD648" i="487"/>
  <c r="BE648" i="487"/>
  <c r="BF648" i="487"/>
  <c r="BG648" i="487"/>
  <c r="BH648" i="487"/>
  <c r="BI648" i="487"/>
  <c r="BJ648" i="487"/>
  <c r="BK648" i="487"/>
  <c r="BL648" i="487"/>
  <c r="BM648" i="487"/>
  <c r="B649" i="487"/>
  <c r="C649" i="487"/>
  <c r="D649" i="487"/>
  <c r="E649" i="487"/>
  <c r="F649" i="487"/>
  <c r="G649" i="487"/>
  <c r="H649" i="487"/>
  <c r="I649" i="487"/>
  <c r="J649" i="487"/>
  <c r="K649" i="487"/>
  <c r="L649" i="487"/>
  <c r="M649" i="487"/>
  <c r="N649" i="487"/>
  <c r="O649" i="487"/>
  <c r="P649" i="487"/>
  <c r="Q649" i="487"/>
  <c r="R649" i="487"/>
  <c r="S649" i="487"/>
  <c r="T649" i="487"/>
  <c r="U649" i="487"/>
  <c r="V649" i="487"/>
  <c r="W649" i="487"/>
  <c r="X649" i="487"/>
  <c r="Y649" i="487"/>
  <c r="Z649" i="487"/>
  <c r="AA649" i="487"/>
  <c r="AB649" i="487"/>
  <c r="AC649" i="487"/>
  <c r="AD649" i="487"/>
  <c r="AE649" i="487"/>
  <c r="AF649" i="487"/>
  <c r="AG649" i="487"/>
  <c r="AH649" i="487"/>
  <c r="AI649" i="487"/>
  <c r="AJ649" i="487"/>
  <c r="AK649" i="487"/>
  <c r="AL649" i="487"/>
  <c r="AM649" i="487"/>
  <c r="AN649" i="487"/>
  <c r="AO649" i="487"/>
  <c r="AP649" i="487"/>
  <c r="AQ649" i="487"/>
  <c r="AR649" i="487"/>
  <c r="AS649" i="487"/>
  <c r="AT649" i="487"/>
  <c r="AU649" i="487"/>
  <c r="AV649" i="487"/>
  <c r="AW649" i="487"/>
  <c r="AX649" i="487"/>
  <c r="AY649" i="487"/>
  <c r="AZ649" i="487"/>
  <c r="BA649" i="487"/>
  <c r="BB649" i="487"/>
  <c r="BC649" i="487"/>
  <c r="BD649" i="487"/>
  <c r="BE649" i="487"/>
  <c r="BF649" i="487"/>
  <c r="BG649" i="487"/>
  <c r="BH649" i="487"/>
  <c r="BI649" i="487"/>
  <c r="BJ649" i="487"/>
  <c r="BK649" i="487"/>
  <c r="BL649" i="487"/>
  <c r="BM649" i="487"/>
  <c r="B650" i="487"/>
  <c r="C650" i="487"/>
  <c r="D650" i="487"/>
  <c r="E650" i="487"/>
  <c r="F650" i="487"/>
  <c r="G650" i="487"/>
  <c r="H650" i="487"/>
  <c r="I650" i="487"/>
  <c r="J650" i="487"/>
  <c r="K650" i="487"/>
  <c r="L650" i="487"/>
  <c r="M650" i="487"/>
  <c r="N650" i="487"/>
  <c r="O650" i="487"/>
  <c r="P650" i="487"/>
  <c r="Q650" i="487"/>
  <c r="R650" i="487"/>
  <c r="S650" i="487"/>
  <c r="T650" i="487"/>
  <c r="U650" i="487"/>
  <c r="V650" i="487"/>
  <c r="W650" i="487"/>
  <c r="X650" i="487"/>
  <c r="Y650" i="487"/>
  <c r="Z650" i="487"/>
  <c r="AA650" i="487"/>
  <c r="AB650" i="487"/>
  <c r="AC650" i="487"/>
  <c r="AD650" i="487"/>
  <c r="AE650" i="487"/>
  <c r="AF650" i="487"/>
  <c r="AG650" i="487"/>
  <c r="AH650" i="487"/>
  <c r="AI650" i="487"/>
  <c r="AJ650" i="487"/>
  <c r="AK650" i="487"/>
  <c r="AL650" i="487"/>
  <c r="AM650" i="487"/>
  <c r="AN650" i="487"/>
  <c r="AO650" i="487"/>
  <c r="AP650" i="487"/>
  <c r="AQ650" i="487"/>
  <c r="AR650" i="487"/>
  <c r="AS650" i="487"/>
  <c r="AT650" i="487"/>
  <c r="AU650" i="487"/>
  <c r="AV650" i="487"/>
  <c r="AW650" i="487"/>
  <c r="AX650" i="487"/>
  <c r="AY650" i="487"/>
  <c r="AZ650" i="487"/>
  <c r="BA650" i="487"/>
  <c r="BB650" i="487"/>
  <c r="BC650" i="487"/>
  <c r="BD650" i="487"/>
  <c r="BE650" i="487"/>
  <c r="BF650" i="487"/>
  <c r="BG650" i="487"/>
  <c r="BH650" i="487"/>
  <c r="BI650" i="487"/>
  <c r="BJ650" i="487"/>
  <c r="BK650" i="487"/>
  <c r="BL650" i="487"/>
  <c r="BM650" i="487"/>
  <c r="B610" i="487"/>
  <c r="C610" i="487"/>
  <c r="D610" i="487"/>
  <c r="E610" i="487"/>
  <c r="F610" i="487"/>
  <c r="G610" i="487"/>
  <c r="H610" i="487"/>
  <c r="I610" i="487"/>
  <c r="J610" i="487"/>
  <c r="K610" i="487"/>
  <c r="L610" i="487"/>
  <c r="M610" i="487"/>
  <c r="N610" i="487"/>
  <c r="O610" i="487"/>
  <c r="P610" i="487"/>
  <c r="Q610" i="487"/>
  <c r="R610" i="487"/>
  <c r="S610" i="487"/>
  <c r="T610" i="487"/>
  <c r="U610" i="487"/>
  <c r="V610" i="487"/>
  <c r="W610" i="487"/>
  <c r="X610" i="487"/>
  <c r="Y610" i="487"/>
  <c r="Z610" i="487"/>
  <c r="AA610" i="487"/>
  <c r="AB610" i="487"/>
  <c r="AC610" i="487"/>
  <c r="AD610" i="487"/>
  <c r="AE610" i="487"/>
  <c r="AF610" i="487"/>
  <c r="AG610" i="487"/>
  <c r="AH610" i="487"/>
  <c r="AI610" i="487"/>
  <c r="AJ610" i="487"/>
  <c r="AK610" i="487"/>
  <c r="AL610" i="487"/>
  <c r="AM610" i="487"/>
  <c r="AN610" i="487"/>
  <c r="AO610" i="487"/>
  <c r="AP610" i="487"/>
  <c r="AQ610" i="487"/>
  <c r="AR610" i="487"/>
  <c r="AS610" i="487"/>
  <c r="AT610" i="487"/>
  <c r="AU610" i="487"/>
  <c r="AV610" i="487"/>
  <c r="AW610" i="487"/>
  <c r="AX610" i="487"/>
  <c r="AY610" i="487"/>
  <c r="AZ610" i="487"/>
  <c r="BA610" i="487"/>
  <c r="BB610" i="487"/>
  <c r="BC610" i="487"/>
  <c r="BD610" i="487"/>
  <c r="BE610" i="487"/>
  <c r="BF610" i="487"/>
  <c r="BG610" i="487"/>
  <c r="BH610" i="487"/>
  <c r="BI610" i="487"/>
  <c r="BJ610" i="487"/>
  <c r="BK610" i="487"/>
  <c r="BL610" i="487"/>
  <c r="BM610" i="487"/>
  <c r="B611" i="487"/>
  <c r="C611" i="487"/>
  <c r="D611" i="487"/>
  <c r="E611" i="487"/>
  <c r="F611" i="487"/>
  <c r="G611" i="487"/>
  <c r="H611" i="487"/>
  <c r="I611" i="487"/>
  <c r="J611" i="487"/>
  <c r="K611" i="487"/>
  <c r="L611" i="487"/>
  <c r="M611" i="487"/>
  <c r="N611" i="487"/>
  <c r="O611" i="487"/>
  <c r="P611" i="487"/>
  <c r="Q611" i="487"/>
  <c r="R611" i="487"/>
  <c r="S611" i="487"/>
  <c r="T611" i="487"/>
  <c r="U611" i="487"/>
  <c r="V611" i="487"/>
  <c r="W611" i="487"/>
  <c r="X611" i="487"/>
  <c r="Y611" i="487"/>
  <c r="Z611" i="487"/>
  <c r="AA611" i="487"/>
  <c r="AB611" i="487"/>
  <c r="AC611" i="487"/>
  <c r="AD611" i="487"/>
  <c r="AE611" i="487"/>
  <c r="AF611" i="487"/>
  <c r="AG611" i="487"/>
  <c r="AH611" i="487"/>
  <c r="AI611" i="487"/>
  <c r="AJ611" i="487"/>
  <c r="AK611" i="487"/>
  <c r="AL611" i="487"/>
  <c r="AM611" i="487"/>
  <c r="AN611" i="487"/>
  <c r="AO611" i="487"/>
  <c r="AP611" i="487"/>
  <c r="AQ611" i="487"/>
  <c r="AR611" i="487"/>
  <c r="AS611" i="487"/>
  <c r="AT611" i="487"/>
  <c r="AU611" i="487"/>
  <c r="AV611" i="487"/>
  <c r="AW611" i="487"/>
  <c r="AX611" i="487"/>
  <c r="AY611" i="487"/>
  <c r="AZ611" i="487"/>
  <c r="BA611" i="487"/>
  <c r="BB611" i="487"/>
  <c r="BC611" i="487"/>
  <c r="BD611" i="487"/>
  <c r="BE611" i="487"/>
  <c r="BF611" i="487"/>
  <c r="BG611" i="487"/>
  <c r="BH611" i="487"/>
  <c r="BI611" i="487"/>
  <c r="BJ611" i="487"/>
  <c r="BK611" i="487"/>
  <c r="BL611" i="487"/>
  <c r="BM611" i="487"/>
  <c r="B612" i="487"/>
  <c r="C612" i="487"/>
  <c r="D612" i="487"/>
  <c r="E612" i="487"/>
  <c r="F612" i="487"/>
  <c r="G612" i="487"/>
  <c r="H612" i="487"/>
  <c r="I612" i="487"/>
  <c r="J612" i="487"/>
  <c r="K612" i="487"/>
  <c r="L612" i="487"/>
  <c r="M612" i="487"/>
  <c r="N612" i="487"/>
  <c r="O612" i="487"/>
  <c r="P612" i="487"/>
  <c r="Q612" i="487"/>
  <c r="R612" i="487"/>
  <c r="S612" i="487"/>
  <c r="T612" i="487"/>
  <c r="U612" i="487"/>
  <c r="V612" i="487"/>
  <c r="W612" i="487"/>
  <c r="X612" i="487"/>
  <c r="Y612" i="487"/>
  <c r="Z612" i="487"/>
  <c r="AA612" i="487"/>
  <c r="AB612" i="487"/>
  <c r="AC612" i="487"/>
  <c r="AD612" i="487"/>
  <c r="AE612" i="487"/>
  <c r="AF612" i="487"/>
  <c r="AG612" i="487"/>
  <c r="AH612" i="487"/>
  <c r="AI612" i="487"/>
  <c r="AJ612" i="487"/>
  <c r="AK612" i="487"/>
  <c r="AL612" i="487"/>
  <c r="AM612" i="487"/>
  <c r="AN612" i="487"/>
  <c r="AO612" i="487"/>
  <c r="AP612" i="487"/>
  <c r="AQ612" i="487"/>
  <c r="AR612" i="487"/>
  <c r="AS612" i="487"/>
  <c r="AT612" i="487"/>
  <c r="AU612" i="487"/>
  <c r="AV612" i="487"/>
  <c r="AW612" i="487"/>
  <c r="AX612" i="487"/>
  <c r="AY612" i="487"/>
  <c r="AZ612" i="487"/>
  <c r="BA612" i="487"/>
  <c r="BB612" i="487"/>
  <c r="BC612" i="487"/>
  <c r="BD612" i="487"/>
  <c r="BE612" i="487"/>
  <c r="BF612" i="487"/>
  <c r="BG612" i="487"/>
  <c r="BH612" i="487"/>
  <c r="BI612" i="487"/>
  <c r="BJ612" i="487"/>
  <c r="BK612" i="487"/>
  <c r="BL612" i="487"/>
  <c r="BM612" i="487"/>
  <c r="B613" i="487"/>
  <c r="C613" i="487"/>
  <c r="D613" i="487"/>
  <c r="E613" i="487"/>
  <c r="F613" i="487"/>
  <c r="G613" i="487"/>
  <c r="H613" i="487"/>
  <c r="I613" i="487"/>
  <c r="J613" i="487"/>
  <c r="K613" i="487"/>
  <c r="L613" i="487"/>
  <c r="M613" i="487"/>
  <c r="N613" i="487"/>
  <c r="O613" i="487"/>
  <c r="P613" i="487"/>
  <c r="Q613" i="487"/>
  <c r="R613" i="487"/>
  <c r="S613" i="487"/>
  <c r="T613" i="487"/>
  <c r="U613" i="487"/>
  <c r="V613" i="487"/>
  <c r="W613" i="487"/>
  <c r="X613" i="487"/>
  <c r="Y613" i="487"/>
  <c r="Z613" i="487"/>
  <c r="AA613" i="487"/>
  <c r="AB613" i="487"/>
  <c r="AC613" i="487"/>
  <c r="AD613" i="487"/>
  <c r="AE613" i="487"/>
  <c r="AF613" i="487"/>
  <c r="AG613" i="487"/>
  <c r="AH613" i="487"/>
  <c r="AI613" i="487"/>
  <c r="AJ613" i="487"/>
  <c r="AK613" i="487"/>
  <c r="AL613" i="487"/>
  <c r="AM613" i="487"/>
  <c r="AN613" i="487"/>
  <c r="AO613" i="487"/>
  <c r="AP613" i="487"/>
  <c r="AQ613" i="487"/>
  <c r="AR613" i="487"/>
  <c r="AS613" i="487"/>
  <c r="AT613" i="487"/>
  <c r="AU613" i="487"/>
  <c r="AV613" i="487"/>
  <c r="AW613" i="487"/>
  <c r="AX613" i="487"/>
  <c r="AY613" i="487"/>
  <c r="AZ613" i="487"/>
  <c r="BA613" i="487"/>
  <c r="BB613" i="487"/>
  <c r="BC613" i="487"/>
  <c r="BD613" i="487"/>
  <c r="BE613" i="487"/>
  <c r="BF613" i="487"/>
  <c r="BG613" i="487"/>
  <c r="BH613" i="487"/>
  <c r="BI613" i="487"/>
  <c r="BJ613" i="487"/>
  <c r="BK613" i="487"/>
  <c r="BL613" i="487"/>
  <c r="BM613" i="487"/>
  <c r="B614" i="487"/>
  <c r="C614" i="487"/>
  <c r="D614" i="487"/>
  <c r="E614" i="487"/>
  <c r="F614" i="487"/>
  <c r="G614" i="487"/>
  <c r="H614" i="487"/>
  <c r="I614" i="487"/>
  <c r="J614" i="487"/>
  <c r="K614" i="487"/>
  <c r="L614" i="487"/>
  <c r="M614" i="487"/>
  <c r="N614" i="487"/>
  <c r="O614" i="487"/>
  <c r="P614" i="487"/>
  <c r="Q614" i="487"/>
  <c r="R614" i="487"/>
  <c r="S614" i="487"/>
  <c r="T614" i="487"/>
  <c r="U614" i="487"/>
  <c r="V614" i="487"/>
  <c r="W614" i="487"/>
  <c r="X614" i="487"/>
  <c r="Y614" i="487"/>
  <c r="Z614" i="487"/>
  <c r="AA614" i="487"/>
  <c r="AB614" i="487"/>
  <c r="AC614" i="487"/>
  <c r="AD614" i="487"/>
  <c r="AE614" i="487"/>
  <c r="AF614" i="487"/>
  <c r="AG614" i="487"/>
  <c r="AH614" i="487"/>
  <c r="AI614" i="487"/>
  <c r="AJ614" i="487"/>
  <c r="AK614" i="487"/>
  <c r="AL614" i="487"/>
  <c r="AM614" i="487"/>
  <c r="AN614" i="487"/>
  <c r="AO614" i="487"/>
  <c r="AP614" i="487"/>
  <c r="AQ614" i="487"/>
  <c r="AR614" i="487"/>
  <c r="AS614" i="487"/>
  <c r="AT614" i="487"/>
  <c r="AU614" i="487"/>
  <c r="AV614" i="487"/>
  <c r="AW614" i="487"/>
  <c r="AX614" i="487"/>
  <c r="AY614" i="487"/>
  <c r="AZ614" i="487"/>
  <c r="BA614" i="487"/>
  <c r="BB614" i="487"/>
  <c r="BC614" i="487"/>
  <c r="BD614" i="487"/>
  <c r="BE614" i="487"/>
  <c r="BF614" i="487"/>
  <c r="BG614" i="487"/>
  <c r="BH614" i="487"/>
  <c r="BI614" i="487"/>
  <c r="BJ614" i="487"/>
  <c r="BK614" i="487"/>
  <c r="BL614" i="487"/>
  <c r="BM614" i="487"/>
  <c r="B615" i="487"/>
  <c r="C615" i="487"/>
  <c r="D615" i="487"/>
  <c r="E615" i="487"/>
  <c r="F615" i="487"/>
  <c r="G615" i="487"/>
  <c r="H615" i="487"/>
  <c r="I615" i="487"/>
  <c r="J615" i="487"/>
  <c r="K615" i="487"/>
  <c r="L615" i="487"/>
  <c r="M615" i="487"/>
  <c r="N615" i="487"/>
  <c r="O615" i="487"/>
  <c r="P615" i="487"/>
  <c r="Q615" i="487"/>
  <c r="R615" i="487"/>
  <c r="S615" i="487"/>
  <c r="T615" i="487"/>
  <c r="U615" i="487"/>
  <c r="V615" i="487"/>
  <c r="W615" i="487"/>
  <c r="X615" i="487"/>
  <c r="Y615" i="487"/>
  <c r="Z615" i="487"/>
  <c r="AA615" i="487"/>
  <c r="AB615" i="487"/>
  <c r="AC615" i="487"/>
  <c r="AD615" i="487"/>
  <c r="AE615" i="487"/>
  <c r="AF615" i="487"/>
  <c r="AG615" i="487"/>
  <c r="AH615" i="487"/>
  <c r="AI615" i="487"/>
  <c r="AJ615" i="487"/>
  <c r="AK615" i="487"/>
  <c r="AL615" i="487"/>
  <c r="AM615" i="487"/>
  <c r="AN615" i="487"/>
  <c r="AO615" i="487"/>
  <c r="AP615" i="487"/>
  <c r="AQ615" i="487"/>
  <c r="AR615" i="487"/>
  <c r="AS615" i="487"/>
  <c r="AT615" i="487"/>
  <c r="AU615" i="487"/>
  <c r="AV615" i="487"/>
  <c r="AW615" i="487"/>
  <c r="AX615" i="487"/>
  <c r="AY615" i="487"/>
  <c r="AZ615" i="487"/>
  <c r="BA615" i="487"/>
  <c r="BB615" i="487"/>
  <c r="BC615" i="487"/>
  <c r="BD615" i="487"/>
  <c r="BE615" i="487"/>
  <c r="BF615" i="487"/>
  <c r="BG615" i="487"/>
  <c r="BH615" i="487"/>
  <c r="BI615" i="487"/>
  <c r="BJ615" i="487"/>
  <c r="BK615" i="487"/>
  <c r="BL615" i="487"/>
  <c r="BM615" i="487"/>
  <c r="B616" i="487"/>
  <c r="C616" i="487"/>
  <c r="D616" i="487"/>
  <c r="E616" i="487"/>
  <c r="F616" i="487"/>
  <c r="G616" i="487"/>
  <c r="H616" i="487"/>
  <c r="I616" i="487"/>
  <c r="J616" i="487"/>
  <c r="K616" i="487"/>
  <c r="L616" i="487"/>
  <c r="M616" i="487"/>
  <c r="N616" i="487"/>
  <c r="O616" i="487"/>
  <c r="P616" i="487"/>
  <c r="Q616" i="487"/>
  <c r="R616" i="487"/>
  <c r="S616" i="487"/>
  <c r="T616" i="487"/>
  <c r="U616" i="487"/>
  <c r="V616" i="487"/>
  <c r="W616" i="487"/>
  <c r="X616" i="487"/>
  <c r="Y616" i="487"/>
  <c r="Z616" i="487"/>
  <c r="AA616" i="487"/>
  <c r="AB616" i="487"/>
  <c r="AC616" i="487"/>
  <c r="AD616" i="487"/>
  <c r="AE616" i="487"/>
  <c r="AF616" i="487"/>
  <c r="AG616" i="487"/>
  <c r="AH616" i="487"/>
  <c r="AI616" i="487"/>
  <c r="AJ616" i="487"/>
  <c r="AK616" i="487"/>
  <c r="AL616" i="487"/>
  <c r="AM616" i="487"/>
  <c r="AN616" i="487"/>
  <c r="AO616" i="487"/>
  <c r="AP616" i="487"/>
  <c r="AQ616" i="487"/>
  <c r="AR616" i="487"/>
  <c r="AS616" i="487"/>
  <c r="AT616" i="487"/>
  <c r="AU616" i="487"/>
  <c r="AV616" i="487"/>
  <c r="AW616" i="487"/>
  <c r="AX616" i="487"/>
  <c r="AY616" i="487"/>
  <c r="AZ616" i="487"/>
  <c r="BA616" i="487"/>
  <c r="BB616" i="487"/>
  <c r="BC616" i="487"/>
  <c r="BD616" i="487"/>
  <c r="BE616" i="487"/>
  <c r="BF616" i="487"/>
  <c r="BG616" i="487"/>
  <c r="BH616" i="487"/>
  <c r="BI616" i="487"/>
  <c r="BJ616" i="487"/>
  <c r="BK616" i="487"/>
  <c r="BL616" i="487"/>
  <c r="BM616" i="487"/>
  <c r="B617" i="487"/>
  <c r="C617" i="487"/>
  <c r="D617" i="487"/>
  <c r="E617" i="487"/>
  <c r="F617" i="487"/>
  <c r="G617" i="487"/>
  <c r="H617" i="487"/>
  <c r="I617" i="487"/>
  <c r="J617" i="487"/>
  <c r="K617" i="487"/>
  <c r="L617" i="487"/>
  <c r="M617" i="487"/>
  <c r="N617" i="487"/>
  <c r="O617" i="487"/>
  <c r="P617" i="487"/>
  <c r="Q617" i="487"/>
  <c r="R617" i="487"/>
  <c r="S617" i="487"/>
  <c r="T617" i="487"/>
  <c r="U617" i="487"/>
  <c r="V617" i="487"/>
  <c r="W617" i="487"/>
  <c r="X617" i="487"/>
  <c r="Y617" i="487"/>
  <c r="Z617" i="487"/>
  <c r="AA617" i="487"/>
  <c r="AB617" i="487"/>
  <c r="AC617" i="487"/>
  <c r="AD617" i="487"/>
  <c r="AE617" i="487"/>
  <c r="AF617" i="487"/>
  <c r="AG617" i="487"/>
  <c r="AH617" i="487"/>
  <c r="AI617" i="487"/>
  <c r="AJ617" i="487"/>
  <c r="AK617" i="487"/>
  <c r="AL617" i="487"/>
  <c r="AM617" i="487"/>
  <c r="AN617" i="487"/>
  <c r="AO617" i="487"/>
  <c r="AP617" i="487"/>
  <c r="AQ617" i="487"/>
  <c r="AR617" i="487"/>
  <c r="AS617" i="487"/>
  <c r="AT617" i="487"/>
  <c r="AU617" i="487"/>
  <c r="AV617" i="487"/>
  <c r="AW617" i="487"/>
  <c r="AX617" i="487"/>
  <c r="AY617" i="487"/>
  <c r="AZ617" i="487"/>
  <c r="BA617" i="487"/>
  <c r="BB617" i="487"/>
  <c r="BC617" i="487"/>
  <c r="BD617" i="487"/>
  <c r="BE617" i="487"/>
  <c r="BF617" i="487"/>
  <c r="BG617" i="487"/>
  <c r="BH617" i="487"/>
  <c r="BI617" i="487"/>
  <c r="BJ617" i="487"/>
  <c r="BK617" i="487"/>
  <c r="BL617" i="487"/>
  <c r="BM617" i="487"/>
  <c r="B618" i="487"/>
  <c r="C618" i="487"/>
  <c r="D618" i="487"/>
  <c r="E618" i="487"/>
  <c r="F618" i="487"/>
  <c r="G618" i="487"/>
  <c r="H618" i="487"/>
  <c r="I618" i="487"/>
  <c r="J618" i="487"/>
  <c r="K618" i="487"/>
  <c r="L618" i="487"/>
  <c r="M618" i="487"/>
  <c r="N618" i="487"/>
  <c r="O618" i="487"/>
  <c r="P618" i="487"/>
  <c r="Q618" i="487"/>
  <c r="R618" i="487"/>
  <c r="S618" i="487"/>
  <c r="T618" i="487"/>
  <c r="U618" i="487"/>
  <c r="V618" i="487"/>
  <c r="W618" i="487"/>
  <c r="X618" i="487"/>
  <c r="Y618" i="487"/>
  <c r="Z618" i="487"/>
  <c r="AA618" i="487"/>
  <c r="AB618" i="487"/>
  <c r="AC618" i="487"/>
  <c r="AD618" i="487"/>
  <c r="AE618" i="487"/>
  <c r="AF618" i="487"/>
  <c r="AG618" i="487"/>
  <c r="AH618" i="487"/>
  <c r="AI618" i="487"/>
  <c r="AJ618" i="487"/>
  <c r="AK618" i="487"/>
  <c r="AL618" i="487"/>
  <c r="AM618" i="487"/>
  <c r="AN618" i="487"/>
  <c r="AO618" i="487"/>
  <c r="AP618" i="487"/>
  <c r="AQ618" i="487"/>
  <c r="AR618" i="487"/>
  <c r="AS618" i="487"/>
  <c r="AT618" i="487"/>
  <c r="AU618" i="487"/>
  <c r="AV618" i="487"/>
  <c r="AW618" i="487"/>
  <c r="AX618" i="487"/>
  <c r="AY618" i="487"/>
  <c r="AZ618" i="487"/>
  <c r="BA618" i="487"/>
  <c r="BB618" i="487"/>
  <c r="BC618" i="487"/>
  <c r="BD618" i="487"/>
  <c r="BE618" i="487"/>
  <c r="BF618" i="487"/>
  <c r="BG618" i="487"/>
  <c r="BH618" i="487"/>
  <c r="BI618" i="487"/>
  <c r="BJ618" i="487"/>
  <c r="BK618" i="487"/>
  <c r="BL618" i="487"/>
  <c r="BM618" i="487"/>
  <c r="B619" i="487"/>
  <c r="C619" i="487"/>
  <c r="D619" i="487"/>
  <c r="E619" i="487"/>
  <c r="F619" i="487"/>
  <c r="G619" i="487"/>
  <c r="H619" i="487"/>
  <c r="I619" i="487"/>
  <c r="J619" i="487"/>
  <c r="K619" i="487"/>
  <c r="L619" i="487"/>
  <c r="M619" i="487"/>
  <c r="N619" i="487"/>
  <c r="O619" i="487"/>
  <c r="P619" i="487"/>
  <c r="Q619" i="487"/>
  <c r="R619" i="487"/>
  <c r="S619" i="487"/>
  <c r="T619" i="487"/>
  <c r="U619" i="487"/>
  <c r="V619" i="487"/>
  <c r="W619" i="487"/>
  <c r="X619" i="487"/>
  <c r="Y619" i="487"/>
  <c r="Z619" i="487"/>
  <c r="AA619" i="487"/>
  <c r="AB619" i="487"/>
  <c r="AC619" i="487"/>
  <c r="AD619" i="487"/>
  <c r="AE619" i="487"/>
  <c r="AF619" i="487"/>
  <c r="AG619" i="487"/>
  <c r="AH619" i="487"/>
  <c r="AI619" i="487"/>
  <c r="AJ619" i="487"/>
  <c r="AK619" i="487"/>
  <c r="AL619" i="487"/>
  <c r="AM619" i="487"/>
  <c r="AN619" i="487"/>
  <c r="AO619" i="487"/>
  <c r="AP619" i="487"/>
  <c r="AQ619" i="487"/>
  <c r="AR619" i="487"/>
  <c r="AS619" i="487"/>
  <c r="AT619" i="487"/>
  <c r="AU619" i="487"/>
  <c r="AV619" i="487"/>
  <c r="AW619" i="487"/>
  <c r="AX619" i="487"/>
  <c r="AY619" i="487"/>
  <c r="AZ619" i="487"/>
  <c r="BA619" i="487"/>
  <c r="BB619" i="487"/>
  <c r="BC619" i="487"/>
  <c r="BD619" i="487"/>
  <c r="BE619" i="487"/>
  <c r="BF619" i="487"/>
  <c r="BG619" i="487"/>
  <c r="BH619" i="487"/>
  <c r="BI619" i="487"/>
  <c r="BJ619" i="487"/>
  <c r="BK619" i="487"/>
  <c r="BL619" i="487"/>
  <c r="BM619" i="487"/>
  <c r="B620" i="487"/>
  <c r="C620" i="487"/>
  <c r="D620" i="487"/>
  <c r="E620" i="487"/>
  <c r="F620" i="487"/>
  <c r="G620" i="487"/>
  <c r="H620" i="487"/>
  <c r="I620" i="487"/>
  <c r="J620" i="487"/>
  <c r="K620" i="487"/>
  <c r="L620" i="487"/>
  <c r="M620" i="487"/>
  <c r="N620" i="487"/>
  <c r="O620" i="487"/>
  <c r="P620" i="487"/>
  <c r="Q620" i="487"/>
  <c r="R620" i="487"/>
  <c r="S620" i="487"/>
  <c r="T620" i="487"/>
  <c r="U620" i="487"/>
  <c r="V620" i="487"/>
  <c r="W620" i="487"/>
  <c r="X620" i="487"/>
  <c r="Y620" i="487"/>
  <c r="Z620" i="487"/>
  <c r="AA620" i="487"/>
  <c r="AB620" i="487"/>
  <c r="AC620" i="487"/>
  <c r="AD620" i="487"/>
  <c r="AE620" i="487"/>
  <c r="AF620" i="487"/>
  <c r="AG620" i="487"/>
  <c r="AH620" i="487"/>
  <c r="AI620" i="487"/>
  <c r="AJ620" i="487"/>
  <c r="AK620" i="487"/>
  <c r="AL620" i="487"/>
  <c r="AM620" i="487"/>
  <c r="AN620" i="487"/>
  <c r="AO620" i="487"/>
  <c r="AP620" i="487"/>
  <c r="AQ620" i="487"/>
  <c r="AR620" i="487"/>
  <c r="AS620" i="487"/>
  <c r="AT620" i="487"/>
  <c r="AU620" i="487"/>
  <c r="AV620" i="487"/>
  <c r="AW620" i="487"/>
  <c r="AX620" i="487"/>
  <c r="AY620" i="487"/>
  <c r="AZ620" i="487"/>
  <c r="BA620" i="487"/>
  <c r="BB620" i="487"/>
  <c r="BC620" i="487"/>
  <c r="BD620" i="487"/>
  <c r="BE620" i="487"/>
  <c r="BF620" i="487"/>
  <c r="BG620" i="487"/>
  <c r="BH620" i="487"/>
  <c r="BI620" i="487"/>
  <c r="BJ620" i="487"/>
  <c r="BK620" i="487"/>
  <c r="BL620" i="487"/>
  <c r="BM620" i="487"/>
  <c r="B621" i="487"/>
  <c r="C621" i="487"/>
  <c r="D621" i="487"/>
  <c r="E621" i="487"/>
  <c r="F621" i="487"/>
  <c r="G621" i="487"/>
  <c r="H621" i="487"/>
  <c r="I621" i="487"/>
  <c r="J621" i="487"/>
  <c r="K621" i="487"/>
  <c r="L621" i="487"/>
  <c r="M621" i="487"/>
  <c r="N621" i="487"/>
  <c r="O621" i="487"/>
  <c r="P621" i="487"/>
  <c r="Q621" i="487"/>
  <c r="R621" i="487"/>
  <c r="S621" i="487"/>
  <c r="T621" i="487"/>
  <c r="U621" i="487"/>
  <c r="V621" i="487"/>
  <c r="W621" i="487"/>
  <c r="X621" i="487"/>
  <c r="Y621" i="487"/>
  <c r="Z621" i="487"/>
  <c r="AA621" i="487"/>
  <c r="AB621" i="487"/>
  <c r="AC621" i="487"/>
  <c r="AD621" i="487"/>
  <c r="AE621" i="487"/>
  <c r="AF621" i="487"/>
  <c r="AG621" i="487"/>
  <c r="AH621" i="487"/>
  <c r="AI621" i="487"/>
  <c r="AJ621" i="487"/>
  <c r="AK621" i="487"/>
  <c r="AL621" i="487"/>
  <c r="AM621" i="487"/>
  <c r="AN621" i="487"/>
  <c r="AO621" i="487"/>
  <c r="AP621" i="487"/>
  <c r="AQ621" i="487"/>
  <c r="AR621" i="487"/>
  <c r="AS621" i="487"/>
  <c r="AT621" i="487"/>
  <c r="AU621" i="487"/>
  <c r="AV621" i="487"/>
  <c r="AW621" i="487"/>
  <c r="AX621" i="487"/>
  <c r="AY621" i="487"/>
  <c r="AZ621" i="487"/>
  <c r="BA621" i="487"/>
  <c r="BB621" i="487"/>
  <c r="BC621" i="487"/>
  <c r="BD621" i="487"/>
  <c r="BE621" i="487"/>
  <c r="BF621" i="487"/>
  <c r="BG621" i="487"/>
  <c r="BH621" i="487"/>
  <c r="BI621" i="487"/>
  <c r="BJ621" i="487"/>
  <c r="BK621" i="487"/>
  <c r="BL621" i="487"/>
  <c r="BM621" i="487"/>
  <c r="B622" i="487"/>
  <c r="C622" i="487"/>
  <c r="D622" i="487"/>
  <c r="E622" i="487"/>
  <c r="F622" i="487"/>
  <c r="G622" i="487"/>
  <c r="H622" i="487"/>
  <c r="I622" i="487"/>
  <c r="J622" i="487"/>
  <c r="K622" i="487"/>
  <c r="L622" i="487"/>
  <c r="M622" i="487"/>
  <c r="N622" i="487"/>
  <c r="O622" i="487"/>
  <c r="P622" i="487"/>
  <c r="Q622" i="487"/>
  <c r="R622" i="487"/>
  <c r="S622" i="487"/>
  <c r="T622" i="487"/>
  <c r="U622" i="487"/>
  <c r="V622" i="487"/>
  <c r="W622" i="487"/>
  <c r="X622" i="487"/>
  <c r="Y622" i="487"/>
  <c r="Z622" i="487"/>
  <c r="AA622" i="487"/>
  <c r="AB622" i="487"/>
  <c r="AC622" i="487"/>
  <c r="AD622" i="487"/>
  <c r="AE622" i="487"/>
  <c r="AF622" i="487"/>
  <c r="AG622" i="487"/>
  <c r="AH622" i="487"/>
  <c r="AI622" i="487"/>
  <c r="AJ622" i="487"/>
  <c r="AK622" i="487"/>
  <c r="AL622" i="487"/>
  <c r="AM622" i="487"/>
  <c r="AN622" i="487"/>
  <c r="AO622" i="487"/>
  <c r="AP622" i="487"/>
  <c r="AQ622" i="487"/>
  <c r="AR622" i="487"/>
  <c r="AS622" i="487"/>
  <c r="AT622" i="487"/>
  <c r="AU622" i="487"/>
  <c r="AV622" i="487"/>
  <c r="AW622" i="487"/>
  <c r="AX622" i="487"/>
  <c r="AY622" i="487"/>
  <c r="AZ622" i="487"/>
  <c r="BA622" i="487"/>
  <c r="BB622" i="487"/>
  <c r="BC622" i="487"/>
  <c r="BD622" i="487"/>
  <c r="BE622" i="487"/>
  <c r="BF622" i="487"/>
  <c r="BG622" i="487"/>
  <c r="BH622" i="487"/>
  <c r="BI622" i="487"/>
  <c r="BJ622" i="487"/>
  <c r="BK622" i="487"/>
  <c r="BL622" i="487"/>
  <c r="BM622" i="487"/>
  <c r="B623" i="487"/>
  <c r="C623" i="487"/>
  <c r="D623" i="487"/>
  <c r="E623" i="487"/>
  <c r="F623" i="487"/>
  <c r="G623" i="487"/>
  <c r="H623" i="487"/>
  <c r="I623" i="487"/>
  <c r="J623" i="487"/>
  <c r="K623" i="487"/>
  <c r="L623" i="487"/>
  <c r="M623" i="487"/>
  <c r="N623" i="487"/>
  <c r="O623" i="487"/>
  <c r="P623" i="487"/>
  <c r="Q623" i="487"/>
  <c r="R623" i="487"/>
  <c r="S623" i="487"/>
  <c r="T623" i="487"/>
  <c r="U623" i="487"/>
  <c r="V623" i="487"/>
  <c r="W623" i="487"/>
  <c r="X623" i="487"/>
  <c r="Y623" i="487"/>
  <c r="Z623" i="487"/>
  <c r="AA623" i="487"/>
  <c r="AB623" i="487"/>
  <c r="AC623" i="487"/>
  <c r="AD623" i="487"/>
  <c r="AE623" i="487"/>
  <c r="AF623" i="487"/>
  <c r="AG623" i="487"/>
  <c r="AH623" i="487"/>
  <c r="AI623" i="487"/>
  <c r="AJ623" i="487"/>
  <c r="AK623" i="487"/>
  <c r="AL623" i="487"/>
  <c r="AM623" i="487"/>
  <c r="AN623" i="487"/>
  <c r="AO623" i="487"/>
  <c r="AP623" i="487"/>
  <c r="AQ623" i="487"/>
  <c r="AR623" i="487"/>
  <c r="AS623" i="487"/>
  <c r="AT623" i="487"/>
  <c r="AU623" i="487"/>
  <c r="AV623" i="487"/>
  <c r="AW623" i="487"/>
  <c r="AX623" i="487"/>
  <c r="AY623" i="487"/>
  <c r="AZ623" i="487"/>
  <c r="BA623" i="487"/>
  <c r="BB623" i="487"/>
  <c r="BC623" i="487"/>
  <c r="BD623" i="487"/>
  <c r="BE623" i="487"/>
  <c r="BF623" i="487"/>
  <c r="BG623" i="487"/>
  <c r="BH623" i="487"/>
  <c r="BI623" i="487"/>
  <c r="BJ623" i="487"/>
  <c r="BK623" i="487"/>
  <c r="BL623" i="487"/>
  <c r="BM623" i="487"/>
  <c r="B624" i="487"/>
  <c r="C624" i="487"/>
  <c r="D624" i="487"/>
  <c r="E624" i="487"/>
  <c r="F624" i="487"/>
  <c r="G624" i="487"/>
  <c r="H624" i="487"/>
  <c r="I624" i="487"/>
  <c r="J624" i="487"/>
  <c r="K624" i="487"/>
  <c r="L624" i="487"/>
  <c r="M624" i="487"/>
  <c r="N624" i="487"/>
  <c r="O624" i="487"/>
  <c r="P624" i="487"/>
  <c r="Q624" i="487"/>
  <c r="R624" i="487"/>
  <c r="S624" i="487"/>
  <c r="T624" i="487"/>
  <c r="U624" i="487"/>
  <c r="V624" i="487"/>
  <c r="W624" i="487"/>
  <c r="X624" i="487"/>
  <c r="Y624" i="487"/>
  <c r="Z624" i="487"/>
  <c r="AA624" i="487"/>
  <c r="AB624" i="487"/>
  <c r="AC624" i="487"/>
  <c r="AD624" i="487"/>
  <c r="AE624" i="487"/>
  <c r="AF624" i="487"/>
  <c r="AG624" i="487"/>
  <c r="AH624" i="487"/>
  <c r="AI624" i="487"/>
  <c r="AJ624" i="487"/>
  <c r="AK624" i="487"/>
  <c r="AL624" i="487"/>
  <c r="AM624" i="487"/>
  <c r="AN624" i="487"/>
  <c r="AO624" i="487"/>
  <c r="AP624" i="487"/>
  <c r="AQ624" i="487"/>
  <c r="AR624" i="487"/>
  <c r="AS624" i="487"/>
  <c r="AT624" i="487"/>
  <c r="AU624" i="487"/>
  <c r="AV624" i="487"/>
  <c r="AW624" i="487"/>
  <c r="AX624" i="487"/>
  <c r="AY624" i="487"/>
  <c r="AZ624" i="487"/>
  <c r="BA624" i="487"/>
  <c r="BB624" i="487"/>
  <c r="BC624" i="487"/>
  <c r="BD624" i="487"/>
  <c r="BE624" i="487"/>
  <c r="BF624" i="487"/>
  <c r="BG624" i="487"/>
  <c r="BH624" i="487"/>
  <c r="BI624" i="487"/>
  <c r="BJ624" i="487"/>
  <c r="BK624" i="487"/>
  <c r="BL624" i="487"/>
  <c r="BM624" i="487"/>
  <c r="B625" i="487"/>
  <c r="C625" i="487"/>
  <c r="D625" i="487"/>
  <c r="E625" i="487"/>
  <c r="F625" i="487"/>
  <c r="G625" i="487"/>
  <c r="H625" i="487"/>
  <c r="I625" i="487"/>
  <c r="J625" i="487"/>
  <c r="K625" i="487"/>
  <c r="L625" i="487"/>
  <c r="M625" i="487"/>
  <c r="N625" i="487"/>
  <c r="O625" i="487"/>
  <c r="P625" i="487"/>
  <c r="Q625" i="487"/>
  <c r="R625" i="487"/>
  <c r="S625" i="487"/>
  <c r="T625" i="487"/>
  <c r="U625" i="487"/>
  <c r="V625" i="487"/>
  <c r="W625" i="487"/>
  <c r="X625" i="487"/>
  <c r="Y625" i="487"/>
  <c r="Z625" i="487"/>
  <c r="AA625" i="487"/>
  <c r="AB625" i="487"/>
  <c r="AC625" i="487"/>
  <c r="AD625" i="487"/>
  <c r="AE625" i="487"/>
  <c r="AF625" i="487"/>
  <c r="AG625" i="487"/>
  <c r="AH625" i="487"/>
  <c r="AI625" i="487"/>
  <c r="AJ625" i="487"/>
  <c r="AK625" i="487"/>
  <c r="AL625" i="487"/>
  <c r="AM625" i="487"/>
  <c r="AN625" i="487"/>
  <c r="AO625" i="487"/>
  <c r="AP625" i="487"/>
  <c r="AQ625" i="487"/>
  <c r="AR625" i="487"/>
  <c r="AS625" i="487"/>
  <c r="AT625" i="487"/>
  <c r="AU625" i="487"/>
  <c r="AV625" i="487"/>
  <c r="AW625" i="487"/>
  <c r="AX625" i="487"/>
  <c r="AY625" i="487"/>
  <c r="AZ625" i="487"/>
  <c r="BA625" i="487"/>
  <c r="BB625" i="487"/>
  <c r="BC625" i="487"/>
  <c r="BD625" i="487"/>
  <c r="BE625" i="487"/>
  <c r="BF625" i="487"/>
  <c r="BG625" i="487"/>
  <c r="BH625" i="487"/>
  <c r="BI625" i="487"/>
  <c r="BJ625" i="487"/>
  <c r="BK625" i="487"/>
  <c r="BL625" i="487"/>
  <c r="BM625" i="487"/>
  <c r="B626" i="487"/>
  <c r="C626" i="487"/>
  <c r="D626" i="487"/>
  <c r="E626" i="487"/>
  <c r="F626" i="487"/>
  <c r="G626" i="487"/>
  <c r="H626" i="487"/>
  <c r="I626" i="487"/>
  <c r="J626" i="487"/>
  <c r="K626" i="487"/>
  <c r="L626" i="487"/>
  <c r="M626" i="487"/>
  <c r="N626" i="487"/>
  <c r="O626" i="487"/>
  <c r="P626" i="487"/>
  <c r="Q626" i="487"/>
  <c r="R626" i="487"/>
  <c r="S626" i="487"/>
  <c r="T626" i="487"/>
  <c r="U626" i="487"/>
  <c r="V626" i="487"/>
  <c r="W626" i="487"/>
  <c r="X626" i="487"/>
  <c r="Y626" i="487"/>
  <c r="Z626" i="487"/>
  <c r="AA626" i="487"/>
  <c r="AB626" i="487"/>
  <c r="AC626" i="487"/>
  <c r="AD626" i="487"/>
  <c r="AE626" i="487"/>
  <c r="AF626" i="487"/>
  <c r="AG626" i="487"/>
  <c r="AH626" i="487"/>
  <c r="AI626" i="487"/>
  <c r="AJ626" i="487"/>
  <c r="AK626" i="487"/>
  <c r="AL626" i="487"/>
  <c r="AM626" i="487"/>
  <c r="AN626" i="487"/>
  <c r="AO626" i="487"/>
  <c r="AP626" i="487"/>
  <c r="AQ626" i="487"/>
  <c r="AR626" i="487"/>
  <c r="AS626" i="487"/>
  <c r="AT626" i="487"/>
  <c r="AU626" i="487"/>
  <c r="AV626" i="487"/>
  <c r="AW626" i="487"/>
  <c r="AX626" i="487"/>
  <c r="AY626" i="487"/>
  <c r="AZ626" i="487"/>
  <c r="BA626" i="487"/>
  <c r="BB626" i="487"/>
  <c r="BC626" i="487"/>
  <c r="BD626" i="487"/>
  <c r="BE626" i="487"/>
  <c r="BF626" i="487"/>
  <c r="BG626" i="487"/>
  <c r="BH626" i="487"/>
  <c r="BI626" i="487"/>
  <c r="BJ626" i="487"/>
  <c r="BK626" i="487"/>
  <c r="BL626" i="487"/>
  <c r="BM626" i="487"/>
  <c r="B627" i="487"/>
  <c r="C627" i="487"/>
  <c r="D627" i="487"/>
  <c r="E627" i="487"/>
  <c r="F627" i="487"/>
  <c r="G627" i="487"/>
  <c r="H627" i="487"/>
  <c r="I627" i="487"/>
  <c r="J627" i="487"/>
  <c r="K627" i="487"/>
  <c r="L627" i="487"/>
  <c r="M627" i="487"/>
  <c r="N627" i="487"/>
  <c r="O627" i="487"/>
  <c r="P627" i="487"/>
  <c r="Q627" i="487"/>
  <c r="R627" i="487"/>
  <c r="S627" i="487"/>
  <c r="T627" i="487"/>
  <c r="U627" i="487"/>
  <c r="V627" i="487"/>
  <c r="W627" i="487"/>
  <c r="X627" i="487"/>
  <c r="Y627" i="487"/>
  <c r="Z627" i="487"/>
  <c r="AA627" i="487"/>
  <c r="AB627" i="487"/>
  <c r="AC627" i="487"/>
  <c r="AD627" i="487"/>
  <c r="AE627" i="487"/>
  <c r="AF627" i="487"/>
  <c r="AG627" i="487"/>
  <c r="AH627" i="487"/>
  <c r="AI627" i="487"/>
  <c r="AJ627" i="487"/>
  <c r="AK627" i="487"/>
  <c r="AL627" i="487"/>
  <c r="AM627" i="487"/>
  <c r="AN627" i="487"/>
  <c r="AO627" i="487"/>
  <c r="AP627" i="487"/>
  <c r="AQ627" i="487"/>
  <c r="AR627" i="487"/>
  <c r="AS627" i="487"/>
  <c r="AT627" i="487"/>
  <c r="AU627" i="487"/>
  <c r="AV627" i="487"/>
  <c r="AW627" i="487"/>
  <c r="AX627" i="487"/>
  <c r="AY627" i="487"/>
  <c r="AZ627" i="487"/>
  <c r="BA627" i="487"/>
  <c r="BB627" i="487"/>
  <c r="BC627" i="487"/>
  <c r="BD627" i="487"/>
  <c r="BE627" i="487"/>
  <c r="BF627" i="487"/>
  <c r="BG627" i="487"/>
  <c r="BH627" i="487"/>
  <c r="BI627" i="487"/>
  <c r="BJ627" i="487"/>
  <c r="BK627" i="487"/>
  <c r="BL627" i="487"/>
  <c r="BM627" i="487"/>
  <c r="B628" i="487"/>
  <c r="C628" i="487"/>
  <c r="D628" i="487"/>
  <c r="E628" i="487"/>
  <c r="F628" i="487"/>
  <c r="G628" i="487"/>
  <c r="H628" i="487"/>
  <c r="I628" i="487"/>
  <c r="J628" i="487"/>
  <c r="K628" i="487"/>
  <c r="L628" i="487"/>
  <c r="M628" i="487"/>
  <c r="N628" i="487"/>
  <c r="O628" i="487"/>
  <c r="P628" i="487"/>
  <c r="Q628" i="487"/>
  <c r="R628" i="487"/>
  <c r="S628" i="487"/>
  <c r="T628" i="487"/>
  <c r="U628" i="487"/>
  <c r="V628" i="487"/>
  <c r="W628" i="487"/>
  <c r="X628" i="487"/>
  <c r="Y628" i="487"/>
  <c r="Z628" i="487"/>
  <c r="AA628" i="487"/>
  <c r="AB628" i="487"/>
  <c r="AC628" i="487"/>
  <c r="AD628" i="487"/>
  <c r="AE628" i="487"/>
  <c r="AF628" i="487"/>
  <c r="AG628" i="487"/>
  <c r="AH628" i="487"/>
  <c r="AI628" i="487"/>
  <c r="AJ628" i="487"/>
  <c r="AK628" i="487"/>
  <c r="AL628" i="487"/>
  <c r="AM628" i="487"/>
  <c r="AN628" i="487"/>
  <c r="AO628" i="487"/>
  <c r="AP628" i="487"/>
  <c r="AQ628" i="487"/>
  <c r="AR628" i="487"/>
  <c r="AS628" i="487"/>
  <c r="AT628" i="487"/>
  <c r="AU628" i="487"/>
  <c r="AV628" i="487"/>
  <c r="AW628" i="487"/>
  <c r="AX628" i="487"/>
  <c r="AY628" i="487"/>
  <c r="AZ628" i="487"/>
  <c r="BA628" i="487"/>
  <c r="BB628" i="487"/>
  <c r="BC628" i="487"/>
  <c r="BD628" i="487"/>
  <c r="BE628" i="487"/>
  <c r="BF628" i="487"/>
  <c r="BG628" i="487"/>
  <c r="BH628" i="487"/>
  <c r="BI628" i="487"/>
  <c r="BJ628" i="487"/>
  <c r="BK628" i="487"/>
  <c r="BL628" i="487"/>
  <c r="BM628" i="487"/>
  <c r="B629" i="487"/>
  <c r="C629" i="487"/>
  <c r="D629" i="487"/>
  <c r="E629" i="487"/>
  <c r="F629" i="487"/>
  <c r="G629" i="487"/>
  <c r="H629" i="487"/>
  <c r="I629" i="487"/>
  <c r="J629" i="487"/>
  <c r="K629" i="487"/>
  <c r="L629" i="487"/>
  <c r="M629" i="487"/>
  <c r="N629" i="487"/>
  <c r="O629" i="487"/>
  <c r="P629" i="487"/>
  <c r="Q629" i="487"/>
  <c r="R629" i="487"/>
  <c r="S629" i="487"/>
  <c r="T629" i="487"/>
  <c r="U629" i="487"/>
  <c r="V629" i="487"/>
  <c r="W629" i="487"/>
  <c r="X629" i="487"/>
  <c r="Y629" i="487"/>
  <c r="Z629" i="487"/>
  <c r="AA629" i="487"/>
  <c r="AB629" i="487"/>
  <c r="AC629" i="487"/>
  <c r="AD629" i="487"/>
  <c r="AE629" i="487"/>
  <c r="AF629" i="487"/>
  <c r="AG629" i="487"/>
  <c r="AH629" i="487"/>
  <c r="AI629" i="487"/>
  <c r="AJ629" i="487"/>
  <c r="AK629" i="487"/>
  <c r="AL629" i="487"/>
  <c r="AM629" i="487"/>
  <c r="AN629" i="487"/>
  <c r="AO629" i="487"/>
  <c r="AP629" i="487"/>
  <c r="AQ629" i="487"/>
  <c r="AR629" i="487"/>
  <c r="AS629" i="487"/>
  <c r="AT629" i="487"/>
  <c r="AU629" i="487"/>
  <c r="AV629" i="487"/>
  <c r="AW629" i="487"/>
  <c r="AX629" i="487"/>
  <c r="AY629" i="487"/>
  <c r="AZ629" i="487"/>
  <c r="BA629" i="487"/>
  <c r="BB629" i="487"/>
  <c r="BC629" i="487"/>
  <c r="BD629" i="487"/>
  <c r="BE629" i="487"/>
  <c r="BF629" i="487"/>
  <c r="BG629" i="487"/>
  <c r="BH629" i="487"/>
  <c r="BI629" i="487"/>
  <c r="BJ629" i="487"/>
  <c r="BK629" i="487"/>
  <c r="BL629" i="487"/>
  <c r="BM629" i="487"/>
  <c r="B630" i="487"/>
  <c r="C630" i="487"/>
  <c r="D630" i="487"/>
  <c r="E630" i="487"/>
  <c r="F630" i="487"/>
  <c r="G630" i="487"/>
  <c r="H630" i="487"/>
  <c r="I630" i="487"/>
  <c r="J630" i="487"/>
  <c r="K630" i="487"/>
  <c r="L630" i="487"/>
  <c r="M630" i="487"/>
  <c r="N630" i="487"/>
  <c r="O630" i="487"/>
  <c r="P630" i="487"/>
  <c r="Q630" i="487"/>
  <c r="R630" i="487"/>
  <c r="S630" i="487"/>
  <c r="T630" i="487"/>
  <c r="U630" i="487"/>
  <c r="V630" i="487"/>
  <c r="W630" i="487"/>
  <c r="X630" i="487"/>
  <c r="Y630" i="487"/>
  <c r="Z630" i="487"/>
  <c r="AA630" i="487"/>
  <c r="AB630" i="487"/>
  <c r="AC630" i="487"/>
  <c r="AD630" i="487"/>
  <c r="AE630" i="487"/>
  <c r="AF630" i="487"/>
  <c r="AG630" i="487"/>
  <c r="AH630" i="487"/>
  <c r="AI630" i="487"/>
  <c r="AJ630" i="487"/>
  <c r="AK630" i="487"/>
  <c r="AL630" i="487"/>
  <c r="AM630" i="487"/>
  <c r="AN630" i="487"/>
  <c r="AO630" i="487"/>
  <c r="AP630" i="487"/>
  <c r="AQ630" i="487"/>
  <c r="AR630" i="487"/>
  <c r="AS630" i="487"/>
  <c r="AT630" i="487"/>
  <c r="AU630" i="487"/>
  <c r="AV630" i="487"/>
  <c r="AW630" i="487"/>
  <c r="AX630" i="487"/>
  <c r="AY630" i="487"/>
  <c r="AZ630" i="487"/>
  <c r="BA630" i="487"/>
  <c r="BB630" i="487"/>
  <c r="BC630" i="487"/>
  <c r="BD630" i="487"/>
  <c r="BE630" i="487"/>
  <c r="BF630" i="487"/>
  <c r="BG630" i="487"/>
  <c r="BH630" i="487"/>
  <c r="BI630" i="487"/>
  <c r="BJ630" i="487"/>
  <c r="BK630" i="487"/>
  <c r="BL630" i="487"/>
  <c r="BM630" i="487"/>
  <c r="B631" i="487"/>
  <c r="C631" i="487"/>
  <c r="D631" i="487"/>
  <c r="E631" i="487"/>
  <c r="F631" i="487"/>
  <c r="G631" i="487"/>
  <c r="H631" i="487"/>
  <c r="I631" i="487"/>
  <c r="J631" i="487"/>
  <c r="K631" i="487"/>
  <c r="L631" i="487"/>
  <c r="M631" i="487"/>
  <c r="N631" i="487"/>
  <c r="O631" i="487"/>
  <c r="P631" i="487"/>
  <c r="Q631" i="487"/>
  <c r="R631" i="487"/>
  <c r="S631" i="487"/>
  <c r="T631" i="487"/>
  <c r="U631" i="487"/>
  <c r="V631" i="487"/>
  <c r="W631" i="487"/>
  <c r="X631" i="487"/>
  <c r="Y631" i="487"/>
  <c r="Z631" i="487"/>
  <c r="AA631" i="487"/>
  <c r="AB631" i="487"/>
  <c r="AC631" i="487"/>
  <c r="AD631" i="487"/>
  <c r="AE631" i="487"/>
  <c r="AF631" i="487"/>
  <c r="AG631" i="487"/>
  <c r="AH631" i="487"/>
  <c r="AI631" i="487"/>
  <c r="AJ631" i="487"/>
  <c r="AK631" i="487"/>
  <c r="AL631" i="487"/>
  <c r="AM631" i="487"/>
  <c r="AN631" i="487"/>
  <c r="AO631" i="487"/>
  <c r="AP631" i="487"/>
  <c r="AQ631" i="487"/>
  <c r="AR631" i="487"/>
  <c r="AS631" i="487"/>
  <c r="AT631" i="487"/>
  <c r="AU631" i="487"/>
  <c r="AV631" i="487"/>
  <c r="AW631" i="487"/>
  <c r="AX631" i="487"/>
  <c r="AY631" i="487"/>
  <c r="AZ631" i="487"/>
  <c r="BA631" i="487"/>
  <c r="BB631" i="487"/>
  <c r="BC631" i="487"/>
  <c r="BD631" i="487"/>
  <c r="BE631" i="487"/>
  <c r="BF631" i="487"/>
  <c r="BG631" i="487"/>
  <c r="BH631" i="487"/>
  <c r="BI631" i="487"/>
  <c r="BJ631" i="487"/>
  <c r="BK631" i="487"/>
  <c r="BL631" i="487"/>
  <c r="BM631" i="487"/>
  <c r="B632" i="487"/>
  <c r="C632" i="487"/>
  <c r="D632" i="487"/>
  <c r="E632" i="487"/>
  <c r="F632" i="487"/>
  <c r="G632" i="487"/>
  <c r="H632" i="487"/>
  <c r="I632" i="487"/>
  <c r="J632" i="487"/>
  <c r="K632" i="487"/>
  <c r="L632" i="487"/>
  <c r="M632" i="487"/>
  <c r="N632" i="487"/>
  <c r="O632" i="487"/>
  <c r="P632" i="487"/>
  <c r="Q632" i="487"/>
  <c r="R632" i="487"/>
  <c r="S632" i="487"/>
  <c r="T632" i="487"/>
  <c r="U632" i="487"/>
  <c r="V632" i="487"/>
  <c r="W632" i="487"/>
  <c r="X632" i="487"/>
  <c r="Y632" i="487"/>
  <c r="Z632" i="487"/>
  <c r="AA632" i="487"/>
  <c r="AB632" i="487"/>
  <c r="AC632" i="487"/>
  <c r="AD632" i="487"/>
  <c r="AE632" i="487"/>
  <c r="AF632" i="487"/>
  <c r="AG632" i="487"/>
  <c r="AH632" i="487"/>
  <c r="AI632" i="487"/>
  <c r="AJ632" i="487"/>
  <c r="AK632" i="487"/>
  <c r="AL632" i="487"/>
  <c r="AM632" i="487"/>
  <c r="AN632" i="487"/>
  <c r="AO632" i="487"/>
  <c r="AP632" i="487"/>
  <c r="AQ632" i="487"/>
  <c r="AR632" i="487"/>
  <c r="AS632" i="487"/>
  <c r="AT632" i="487"/>
  <c r="AU632" i="487"/>
  <c r="AV632" i="487"/>
  <c r="AW632" i="487"/>
  <c r="AX632" i="487"/>
  <c r="AY632" i="487"/>
  <c r="AZ632" i="487"/>
  <c r="BA632" i="487"/>
  <c r="BB632" i="487"/>
  <c r="BC632" i="487"/>
  <c r="BD632" i="487"/>
  <c r="BE632" i="487"/>
  <c r="BF632" i="487"/>
  <c r="BG632" i="487"/>
  <c r="BH632" i="487"/>
  <c r="BI632" i="487"/>
  <c r="BJ632" i="487"/>
  <c r="BK632" i="487"/>
  <c r="BL632" i="487"/>
  <c r="BM632" i="487"/>
  <c r="B587" i="487"/>
  <c r="C587" i="487"/>
  <c r="D587" i="487"/>
  <c r="E587" i="487"/>
  <c r="F587" i="487"/>
  <c r="G587" i="487"/>
  <c r="H587" i="487"/>
  <c r="I587" i="487"/>
  <c r="J587" i="487"/>
  <c r="K587" i="487"/>
  <c r="L587" i="487"/>
  <c r="M587" i="487"/>
  <c r="N587" i="487"/>
  <c r="O587" i="487"/>
  <c r="P587" i="487"/>
  <c r="Q587" i="487"/>
  <c r="R587" i="487"/>
  <c r="S587" i="487"/>
  <c r="T587" i="487"/>
  <c r="U587" i="487"/>
  <c r="V587" i="487"/>
  <c r="W587" i="487"/>
  <c r="X587" i="487"/>
  <c r="Y587" i="487"/>
  <c r="Z587" i="487"/>
  <c r="AA587" i="487"/>
  <c r="AB587" i="487"/>
  <c r="AC587" i="487"/>
  <c r="AD587" i="487"/>
  <c r="AE587" i="487"/>
  <c r="AF587" i="487"/>
  <c r="AG587" i="487"/>
  <c r="AH587" i="487"/>
  <c r="AI587" i="487"/>
  <c r="AJ587" i="487"/>
  <c r="AK587" i="487"/>
  <c r="AL587" i="487"/>
  <c r="AM587" i="487"/>
  <c r="AN587" i="487"/>
  <c r="AO587" i="487"/>
  <c r="AP587" i="487"/>
  <c r="AQ587" i="487"/>
  <c r="AR587" i="487"/>
  <c r="AS587" i="487"/>
  <c r="AT587" i="487"/>
  <c r="AU587" i="487"/>
  <c r="AV587" i="487"/>
  <c r="AW587" i="487"/>
  <c r="AX587" i="487"/>
  <c r="AY587" i="487"/>
  <c r="AZ587" i="487"/>
  <c r="BA587" i="487"/>
  <c r="BB587" i="487"/>
  <c r="BC587" i="487"/>
  <c r="BD587" i="487"/>
  <c r="BE587" i="487"/>
  <c r="BF587" i="487"/>
  <c r="BG587" i="487"/>
  <c r="BH587" i="487"/>
  <c r="BI587" i="487"/>
  <c r="BJ587" i="487"/>
  <c r="BK587" i="487"/>
  <c r="BL587" i="487"/>
  <c r="BM587" i="487"/>
  <c r="B588" i="487"/>
  <c r="C588" i="487"/>
  <c r="D588" i="487"/>
  <c r="E588" i="487"/>
  <c r="F588" i="487"/>
  <c r="G588" i="487"/>
  <c r="H588" i="487"/>
  <c r="I588" i="487"/>
  <c r="J588" i="487"/>
  <c r="K588" i="487"/>
  <c r="L588" i="487"/>
  <c r="M588" i="487"/>
  <c r="N588" i="487"/>
  <c r="O588" i="487"/>
  <c r="P588" i="487"/>
  <c r="Q588" i="487"/>
  <c r="R588" i="487"/>
  <c r="S588" i="487"/>
  <c r="T588" i="487"/>
  <c r="U588" i="487"/>
  <c r="V588" i="487"/>
  <c r="W588" i="487"/>
  <c r="X588" i="487"/>
  <c r="Y588" i="487"/>
  <c r="Z588" i="487"/>
  <c r="AA588" i="487"/>
  <c r="AB588" i="487"/>
  <c r="AC588" i="487"/>
  <c r="AD588" i="487"/>
  <c r="AE588" i="487"/>
  <c r="AF588" i="487"/>
  <c r="AG588" i="487"/>
  <c r="AH588" i="487"/>
  <c r="AI588" i="487"/>
  <c r="AJ588" i="487"/>
  <c r="AK588" i="487"/>
  <c r="AL588" i="487"/>
  <c r="AM588" i="487"/>
  <c r="AN588" i="487"/>
  <c r="AO588" i="487"/>
  <c r="AP588" i="487"/>
  <c r="AQ588" i="487"/>
  <c r="AR588" i="487"/>
  <c r="AS588" i="487"/>
  <c r="AT588" i="487"/>
  <c r="AU588" i="487"/>
  <c r="AV588" i="487"/>
  <c r="AW588" i="487"/>
  <c r="AX588" i="487"/>
  <c r="AY588" i="487"/>
  <c r="AZ588" i="487"/>
  <c r="BA588" i="487"/>
  <c r="BB588" i="487"/>
  <c r="BC588" i="487"/>
  <c r="BD588" i="487"/>
  <c r="BE588" i="487"/>
  <c r="BF588" i="487"/>
  <c r="BG588" i="487"/>
  <c r="BH588" i="487"/>
  <c r="BI588" i="487"/>
  <c r="BJ588" i="487"/>
  <c r="BK588" i="487"/>
  <c r="BL588" i="487"/>
  <c r="BM588" i="487"/>
  <c r="B589" i="487"/>
  <c r="C589" i="487"/>
  <c r="D589" i="487"/>
  <c r="E589" i="487"/>
  <c r="F589" i="487"/>
  <c r="G589" i="487"/>
  <c r="H589" i="487"/>
  <c r="I589" i="487"/>
  <c r="J589" i="487"/>
  <c r="K589" i="487"/>
  <c r="L589" i="487"/>
  <c r="M589" i="487"/>
  <c r="N589" i="487"/>
  <c r="O589" i="487"/>
  <c r="P589" i="487"/>
  <c r="Q589" i="487"/>
  <c r="R589" i="487"/>
  <c r="S589" i="487"/>
  <c r="T589" i="487"/>
  <c r="U589" i="487"/>
  <c r="V589" i="487"/>
  <c r="W589" i="487"/>
  <c r="X589" i="487"/>
  <c r="Y589" i="487"/>
  <c r="Z589" i="487"/>
  <c r="AA589" i="487"/>
  <c r="AB589" i="487"/>
  <c r="AC589" i="487"/>
  <c r="AD589" i="487"/>
  <c r="AE589" i="487"/>
  <c r="AF589" i="487"/>
  <c r="AG589" i="487"/>
  <c r="AH589" i="487"/>
  <c r="AI589" i="487"/>
  <c r="AJ589" i="487"/>
  <c r="AK589" i="487"/>
  <c r="AL589" i="487"/>
  <c r="AM589" i="487"/>
  <c r="AN589" i="487"/>
  <c r="AO589" i="487"/>
  <c r="AP589" i="487"/>
  <c r="AQ589" i="487"/>
  <c r="AR589" i="487"/>
  <c r="AS589" i="487"/>
  <c r="AT589" i="487"/>
  <c r="AU589" i="487"/>
  <c r="AV589" i="487"/>
  <c r="AW589" i="487"/>
  <c r="AX589" i="487"/>
  <c r="AY589" i="487"/>
  <c r="AZ589" i="487"/>
  <c r="BA589" i="487"/>
  <c r="BB589" i="487"/>
  <c r="BC589" i="487"/>
  <c r="BD589" i="487"/>
  <c r="BE589" i="487"/>
  <c r="BF589" i="487"/>
  <c r="BG589" i="487"/>
  <c r="BH589" i="487"/>
  <c r="BI589" i="487"/>
  <c r="BJ589" i="487"/>
  <c r="BK589" i="487"/>
  <c r="BL589" i="487"/>
  <c r="BM589" i="487"/>
  <c r="B590" i="487"/>
  <c r="C590" i="487"/>
  <c r="D590" i="487"/>
  <c r="E590" i="487"/>
  <c r="F590" i="487"/>
  <c r="G590" i="487"/>
  <c r="H590" i="487"/>
  <c r="I590" i="487"/>
  <c r="J590" i="487"/>
  <c r="K590" i="487"/>
  <c r="L590" i="487"/>
  <c r="M590" i="487"/>
  <c r="N590" i="487"/>
  <c r="O590" i="487"/>
  <c r="P590" i="487"/>
  <c r="Q590" i="487"/>
  <c r="R590" i="487"/>
  <c r="S590" i="487"/>
  <c r="T590" i="487"/>
  <c r="U590" i="487"/>
  <c r="V590" i="487"/>
  <c r="W590" i="487"/>
  <c r="X590" i="487"/>
  <c r="Y590" i="487"/>
  <c r="Z590" i="487"/>
  <c r="AA590" i="487"/>
  <c r="AB590" i="487"/>
  <c r="AC590" i="487"/>
  <c r="AD590" i="487"/>
  <c r="AE590" i="487"/>
  <c r="AF590" i="487"/>
  <c r="AG590" i="487"/>
  <c r="AH590" i="487"/>
  <c r="AI590" i="487"/>
  <c r="AJ590" i="487"/>
  <c r="AK590" i="487"/>
  <c r="AL590" i="487"/>
  <c r="AM590" i="487"/>
  <c r="AN590" i="487"/>
  <c r="AO590" i="487"/>
  <c r="AP590" i="487"/>
  <c r="AQ590" i="487"/>
  <c r="AR590" i="487"/>
  <c r="AS590" i="487"/>
  <c r="AT590" i="487"/>
  <c r="AU590" i="487"/>
  <c r="AV590" i="487"/>
  <c r="AW590" i="487"/>
  <c r="AX590" i="487"/>
  <c r="AY590" i="487"/>
  <c r="AZ590" i="487"/>
  <c r="BA590" i="487"/>
  <c r="BB590" i="487"/>
  <c r="BC590" i="487"/>
  <c r="BD590" i="487"/>
  <c r="BE590" i="487"/>
  <c r="BF590" i="487"/>
  <c r="BG590" i="487"/>
  <c r="BH590" i="487"/>
  <c r="BI590" i="487"/>
  <c r="BJ590" i="487"/>
  <c r="BK590" i="487"/>
  <c r="BL590" i="487"/>
  <c r="BM590" i="487"/>
  <c r="B591" i="487"/>
  <c r="C591" i="487"/>
  <c r="D591" i="487"/>
  <c r="E591" i="487"/>
  <c r="F591" i="487"/>
  <c r="G591" i="487"/>
  <c r="H591" i="487"/>
  <c r="I591" i="487"/>
  <c r="J591" i="487"/>
  <c r="K591" i="487"/>
  <c r="L591" i="487"/>
  <c r="M591" i="487"/>
  <c r="N591" i="487"/>
  <c r="O591" i="487"/>
  <c r="P591" i="487"/>
  <c r="Q591" i="487"/>
  <c r="R591" i="487"/>
  <c r="S591" i="487"/>
  <c r="T591" i="487"/>
  <c r="U591" i="487"/>
  <c r="V591" i="487"/>
  <c r="W591" i="487"/>
  <c r="X591" i="487"/>
  <c r="Y591" i="487"/>
  <c r="Z591" i="487"/>
  <c r="AA591" i="487"/>
  <c r="AB591" i="487"/>
  <c r="AC591" i="487"/>
  <c r="AD591" i="487"/>
  <c r="AE591" i="487"/>
  <c r="AF591" i="487"/>
  <c r="AG591" i="487"/>
  <c r="AH591" i="487"/>
  <c r="AI591" i="487"/>
  <c r="AJ591" i="487"/>
  <c r="AK591" i="487"/>
  <c r="AL591" i="487"/>
  <c r="AM591" i="487"/>
  <c r="AN591" i="487"/>
  <c r="AO591" i="487"/>
  <c r="AP591" i="487"/>
  <c r="AQ591" i="487"/>
  <c r="AR591" i="487"/>
  <c r="AS591" i="487"/>
  <c r="AT591" i="487"/>
  <c r="AU591" i="487"/>
  <c r="AV591" i="487"/>
  <c r="AW591" i="487"/>
  <c r="AX591" i="487"/>
  <c r="AY591" i="487"/>
  <c r="AZ591" i="487"/>
  <c r="BA591" i="487"/>
  <c r="BB591" i="487"/>
  <c r="BC591" i="487"/>
  <c r="BD591" i="487"/>
  <c r="BE591" i="487"/>
  <c r="BF591" i="487"/>
  <c r="BG591" i="487"/>
  <c r="BH591" i="487"/>
  <c r="BI591" i="487"/>
  <c r="BJ591" i="487"/>
  <c r="BK591" i="487"/>
  <c r="BL591" i="487"/>
  <c r="BM591" i="487"/>
  <c r="B592" i="487"/>
  <c r="C592" i="487"/>
  <c r="D592" i="487"/>
  <c r="E592" i="487"/>
  <c r="F592" i="487"/>
  <c r="G592" i="487"/>
  <c r="H592" i="487"/>
  <c r="I592" i="487"/>
  <c r="J592" i="487"/>
  <c r="K592" i="487"/>
  <c r="L592" i="487"/>
  <c r="M592" i="487"/>
  <c r="N592" i="487"/>
  <c r="O592" i="487"/>
  <c r="P592" i="487"/>
  <c r="Q592" i="487"/>
  <c r="R592" i="487"/>
  <c r="S592" i="487"/>
  <c r="T592" i="487"/>
  <c r="U592" i="487"/>
  <c r="V592" i="487"/>
  <c r="W592" i="487"/>
  <c r="X592" i="487"/>
  <c r="Y592" i="487"/>
  <c r="Z592" i="487"/>
  <c r="AA592" i="487"/>
  <c r="AB592" i="487"/>
  <c r="AC592" i="487"/>
  <c r="AD592" i="487"/>
  <c r="AE592" i="487"/>
  <c r="AF592" i="487"/>
  <c r="AG592" i="487"/>
  <c r="AH592" i="487"/>
  <c r="AI592" i="487"/>
  <c r="AJ592" i="487"/>
  <c r="AK592" i="487"/>
  <c r="AL592" i="487"/>
  <c r="AM592" i="487"/>
  <c r="AN592" i="487"/>
  <c r="AO592" i="487"/>
  <c r="AP592" i="487"/>
  <c r="AQ592" i="487"/>
  <c r="AR592" i="487"/>
  <c r="AS592" i="487"/>
  <c r="AT592" i="487"/>
  <c r="AU592" i="487"/>
  <c r="AV592" i="487"/>
  <c r="AW592" i="487"/>
  <c r="AX592" i="487"/>
  <c r="AY592" i="487"/>
  <c r="AZ592" i="487"/>
  <c r="BA592" i="487"/>
  <c r="BB592" i="487"/>
  <c r="BC592" i="487"/>
  <c r="BD592" i="487"/>
  <c r="BE592" i="487"/>
  <c r="BF592" i="487"/>
  <c r="BG592" i="487"/>
  <c r="BH592" i="487"/>
  <c r="BI592" i="487"/>
  <c r="BJ592" i="487"/>
  <c r="BK592" i="487"/>
  <c r="BL592" i="487"/>
  <c r="BM592" i="487"/>
  <c r="B593" i="487"/>
  <c r="C593" i="487"/>
  <c r="D593" i="487"/>
  <c r="E593" i="487"/>
  <c r="F593" i="487"/>
  <c r="G593" i="487"/>
  <c r="H593" i="487"/>
  <c r="I593" i="487"/>
  <c r="J593" i="487"/>
  <c r="K593" i="487"/>
  <c r="L593" i="487"/>
  <c r="M593" i="487"/>
  <c r="N593" i="487"/>
  <c r="O593" i="487"/>
  <c r="P593" i="487"/>
  <c r="Q593" i="487"/>
  <c r="R593" i="487"/>
  <c r="S593" i="487"/>
  <c r="T593" i="487"/>
  <c r="U593" i="487"/>
  <c r="V593" i="487"/>
  <c r="W593" i="487"/>
  <c r="X593" i="487"/>
  <c r="Y593" i="487"/>
  <c r="Z593" i="487"/>
  <c r="AA593" i="487"/>
  <c r="AB593" i="487"/>
  <c r="AC593" i="487"/>
  <c r="AD593" i="487"/>
  <c r="AE593" i="487"/>
  <c r="AF593" i="487"/>
  <c r="AG593" i="487"/>
  <c r="AH593" i="487"/>
  <c r="AI593" i="487"/>
  <c r="AJ593" i="487"/>
  <c r="AK593" i="487"/>
  <c r="AL593" i="487"/>
  <c r="AM593" i="487"/>
  <c r="AN593" i="487"/>
  <c r="AO593" i="487"/>
  <c r="AP593" i="487"/>
  <c r="AQ593" i="487"/>
  <c r="AR593" i="487"/>
  <c r="AS593" i="487"/>
  <c r="AT593" i="487"/>
  <c r="AU593" i="487"/>
  <c r="AV593" i="487"/>
  <c r="AW593" i="487"/>
  <c r="AX593" i="487"/>
  <c r="AY593" i="487"/>
  <c r="AZ593" i="487"/>
  <c r="BA593" i="487"/>
  <c r="BB593" i="487"/>
  <c r="BC593" i="487"/>
  <c r="BD593" i="487"/>
  <c r="BE593" i="487"/>
  <c r="BF593" i="487"/>
  <c r="BG593" i="487"/>
  <c r="BH593" i="487"/>
  <c r="BI593" i="487"/>
  <c r="BJ593" i="487"/>
  <c r="BK593" i="487"/>
  <c r="BL593" i="487"/>
  <c r="BM593" i="487"/>
  <c r="B594" i="487"/>
  <c r="C594" i="487"/>
  <c r="D594" i="487"/>
  <c r="E594" i="487"/>
  <c r="F594" i="487"/>
  <c r="G594" i="487"/>
  <c r="H594" i="487"/>
  <c r="I594" i="487"/>
  <c r="J594" i="487"/>
  <c r="K594" i="487"/>
  <c r="L594" i="487"/>
  <c r="M594" i="487"/>
  <c r="N594" i="487"/>
  <c r="O594" i="487"/>
  <c r="P594" i="487"/>
  <c r="Q594" i="487"/>
  <c r="R594" i="487"/>
  <c r="S594" i="487"/>
  <c r="T594" i="487"/>
  <c r="U594" i="487"/>
  <c r="V594" i="487"/>
  <c r="W594" i="487"/>
  <c r="X594" i="487"/>
  <c r="Y594" i="487"/>
  <c r="Z594" i="487"/>
  <c r="AA594" i="487"/>
  <c r="AB594" i="487"/>
  <c r="AC594" i="487"/>
  <c r="AD594" i="487"/>
  <c r="AE594" i="487"/>
  <c r="AF594" i="487"/>
  <c r="AG594" i="487"/>
  <c r="AH594" i="487"/>
  <c r="AI594" i="487"/>
  <c r="AJ594" i="487"/>
  <c r="AK594" i="487"/>
  <c r="AL594" i="487"/>
  <c r="AM594" i="487"/>
  <c r="AN594" i="487"/>
  <c r="AO594" i="487"/>
  <c r="AP594" i="487"/>
  <c r="AQ594" i="487"/>
  <c r="AR594" i="487"/>
  <c r="AS594" i="487"/>
  <c r="AT594" i="487"/>
  <c r="AU594" i="487"/>
  <c r="AV594" i="487"/>
  <c r="AW594" i="487"/>
  <c r="AX594" i="487"/>
  <c r="AY594" i="487"/>
  <c r="AZ594" i="487"/>
  <c r="BA594" i="487"/>
  <c r="BB594" i="487"/>
  <c r="BC594" i="487"/>
  <c r="BD594" i="487"/>
  <c r="BE594" i="487"/>
  <c r="BF594" i="487"/>
  <c r="BG594" i="487"/>
  <c r="BH594" i="487"/>
  <c r="BI594" i="487"/>
  <c r="BJ594" i="487"/>
  <c r="BK594" i="487"/>
  <c r="BL594" i="487"/>
  <c r="BM594" i="487"/>
  <c r="B595" i="487"/>
  <c r="C595" i="487"/>
  <c r="D595" i="487"/>
  <c r="E595" i="487"/>
  <c r="F595" i="487"/>
  <c r="G595" i="487"/>
  <c r="H595" i="487"/>
  <c r="I595" i="487"/>
  <c r="J595" i="487"/>
  <c r="K595" i="487"/>
  <c r="L595" i="487"/>
  <c r="M595" i="487"/>
  <c r="N595" i="487"/>
  <c r="O595" i="487"/>
  <c r="P595" i="487"/>
  <c r="Q595" i="487"/>
  <c r="R595" i="487"/>
  <c r="S595" i="487"/>
  <c r="T595" i="487"/>
  <c r="U595" i="487"/>
  <c r="V595" i="487"/>
  <c r="W595" i="487"/>
  <c r="X595" i="487"/>
  <c r="Y595" i="487"/>
  <c r="Z595" i="487"/>
  <c r="AA595" i="487"/>
  <c r="AB595" i="487"/>
  <c r="AC595" i="487"/>
  <c r="AD595" i="487"/>
  <c r="AE595" i="487"/>
  <c r="AF595" i="487"/>
  <c r="AG595" i="487"/>
  <c r="AH595" i="487"/>
  <c r="AI595" i="487"/>
  <c r="AJ595" i="487"/>
  <c r="AK595" i="487"/>
  <c r="AL595" i="487"/>
  <c r="AM595" i="487"/>
  <c r="AN595" i="487"/>
  <c r="AO595" i="487"/>
  <c r="AP595" i="487"/>
  <c r="AQ595" i="487"/>
  <c r="AR595" i="487"/>
  <c r="AS595" i="487"/>
  <c r="AT595" i="487"/>
  <c r="AU595" i="487"/>
  <c r="AV595" i="487"/>
  <c r="AW595" i="487"/>
  <c r="AX595" i="487"/>
  <c r="AY595" i="487"/>
  <c r="AZ595" i="487"/>
  <c r="BA595" i="487"/>
  <c r="BB595" i="487"/>
  <c r="BC595" i="487"/>
  <c r="BD595" i="487"/>
  <c r="BE595" i="487"/>
  <c r="BF595" i="487"/>
  <c r="BG595" i="487"/>
  <c r="BH595" i="487"/>
  <c r="BI595" i="487"/>
  <c r="BJ595" i="487"/>
  <c r="BK595" i="487"/>
  <c r="BL595" i="487"/>
  <c r="BM595" i="487"/>
  <c r="B596" i="487"/>
  <c r="C596" i="487"/>
  <c r="D596" i="487"/>
  <c r="E596" i="487"/>
  <c r="F596" i="487"/>
  <c r="G596" i="487"/>
  <c r="H596" i="487"/>
  <c r="I596" i="487"/>
  <c r="J596" i="487"/>
  <c r="K596" i="487"/>
  <c r="L596" i="487"/>
  <c r="M596" i="487"/>
  <c r="N596" i="487"/>
  <c r="O596" i="487"/>
  <c r="P596" i="487"/>
  <c r="Q596" i="487"/>
  <c r="R596" i="487"/>
  <c r="S596" i="487"/>
  <c r="T596" i="487"/>
  <c r="U596" i="487"/>
  <c r="V596" i="487"/>
  <c r="W596" i="487"/>
  <c r="X596" i="487"/>
  <c r="Y596" i="487"/>
  <c r="Z596" i="487"/>
  <c r="AA596" i="487"/>
  <c r="AB596" i="487"/>
  <c r="AC596" i="487"/>
  <c r="AD596" i="487"/>
  <c r="AE596" i="487"/>
  <c r="AF596" i="487"/>
  <c r="AG596" i="487"/>
  <c r="AH596" i="487"/>
  <c r="AI596" i="487"/>
  <c r="AJ596" i="487"/>
  <c r="AK596" i="487"/>
  <c r="AL596" i="487"/>
  <c r="AM596" i="487"/>
  <c r="AN596" i="487"/>
  <c r="AO596" i="487"/>
  <c r="AP596" i="487"/>
  <c r="AQ596" i="487"/>
  <c r="AR596" i="487"/>
  <c r="AS596" i="487"/>
  <c r="AT596" i="487"/>
  <c r="AU596" i="487"/>
  <c r="AV596" i="487"/>
  <c r="AW596" i="487"/>
  <c r="AX596" i="487"/>
  <c r="AY596" i="487"/>
  <c r="AZ596" i="487"/>
  <c r="BA596" i="487"/>
  <c r="BB596" i="487"/>
  <c r="BC596" i="487"/>
  <c r="BD596" i="487"/>
  <c r="BE596" i="487"/>
  <c r="BF596" i="487"/>
  <c r="BG596" i="487"/>
  <c r="BH596" i="487"/>
  <c r="BI596" i="487"/>
  <c r="BJ596" i="487"/>
  <c r="BK596" i="487"/>
  <c r="BL596" i="487"/>
  <c r="BM596" i="487"/>
  <c r="B597" i="487"/>
  <c r="C597" i="487"/>
  <c r="D597" i="487"/>
  <c r="E597" i="487"/>
  <c r="F597" i="487"/>
  <c r="G597" i="487"/>
  <c r="H597" i="487"/>
  <c r="I597" i="487"/>
  <c r="J597" i="487"/>
  <c r="K597" i="487"/>
  <c r="L597" i="487"/>
  <c r="M597" i="487"/>
  <c r="N597" i="487"/>
  <c r="O597" i="487"/>
  <c r="P597" i="487"/>
  <c r="Q597" i="487"/>
  <c r="R597" i="487"/>
  <c r="S597" i="487"/>
  <c r="T597" i="487"/>
  <c r="U597" i="487"/>
  <c r="V597" i="487"/>
  <c r="W597" i="487"/>
  <c r="X597" i="487"/>
  <c r="Y597" i="487"/>
  <c r="Z597" i="487"/>
  <c r="AA597" i="487"/>
  <c r="AB597" i="487"/>
  <c r="AC597" i="487"/>
  <c r="AD597" i="487"/>
  <c r="AE597" i="487"/>
  <c r="AF597" i="487"/>
  <c r="AG597" i="487"/>
  <c r="AH597" i="487"/>
  <c r="AI597" i="487"/>
  <c r="AJ597" i="487"/>
  <c r="AK597" i="487"/>
  <c r="AL597" i="487"/>
  <c r="AM597" i="487"/>
  <c r="AN597" i="487"/>
  <c r="AO597" i="487"/>
  <c r="AP597" i="487"/>
  <c r="AQ597" i="487"/>
  <c r="AR597" i="487"/>
  <c r="AS597" i="487"/>
  <c r="AT597" i="487"/>
  <c r="AU597" i="487"/>
  <c r="AV597" i="487"/>
  <c r="AW597" i="487"/>
  <c r="AX597" i="487"/>
  <c r="AY597" i="487"/>
  <c r="AZ597" i="487"/>
  <c r="BA597" i="487"/>
  <c r="BB597" i="487"/>
  <c r="BC597" i="487"/>
  <c r="BD597" i="487"/>
  <c r="BE597" i="487"/>
  <c r="BF597" i="487"/>
  <c r="BG597" i="487"/>
  <c r="BH597" i="487"/>
  <c r="BI597" i="487"/>
  <c r="BJ597" i="487"/>
  <c r="BK597" i="487"/>
  <c r="BL597" i="487"/>
  <c r="BM597" i="487"/>
  <c r="B598" i="487"/>
  <c r="C598" i="487"/>
  <c r="D598" i="487"/>
  <c r="E598" i="487"/>
  <c r="F598" i="487"/>
  <c r="G598" i="487"/>
  <c r="H598" i="487"/>
  <c r="I598" i="487"/>
  <c r="J598" i="487"/>
  <c r="K598" i="487"/>
  <c r="L598" i="487"/>
  <c r="M598" i="487"/>
  <c r="N598" i="487"/>
  <c r="O598" i="487"/>
  <c r="P598" i="487"/>
  <c r="Q598" i="487"/>
  <c r="R598" i="487"/>
  <c r="S598" i="487"/>
  <c r="T598" i="487"/>
  <c r="U598" i="487"/>
  <c r="V598" i="487"/>
  <c r="W598" i="487"/>
  <c r="X598" i="487"/>
  <c r="Y598" i="487"/>
  <c r="Z598" i="487"/>
  <c r="AA598" i="487"/>
  <c r="AB598" i="487"/>
  <c r="AC598" i="487"/>
  <c r="AD598" i="487"/>
  <c r="AE598" i="487"/>
  <c r="AF598" i="487"/>
  <c r="AG598" i="487"/>
  <c r="AH598" i="487"/>
  <c r="AI598" i="487"/>
  <c r="AJ598" i="487"/>
  <c r="AK598" i="487"/>
  <c r="AL598" i="487"/>
  <c r="AM598" i="487"/>
  <c r="AN598" i="487"/>
  <c r="AO598" i="487"/>
  <c r="AP598" i="487"/>
  <c r="AQ598" i="487"/>
  <c r="AR598" i="487"/>
  <c r="AS598" i="487"/>
  <c r="AT598" i="487"/>
  <c r="AU598" i="487"/>
  <c r="AV598" i="487"/>
  <c r="AW598" i="487"/>
  <c r="AX598" i="487"/>
  <c r="AY598" i="487"/>
  <c r="AZ598" i="487"/>
  <c r="BA598" i="487"/>
  <c r="BB598" i="487"/>
  <c r="BC598" i="487"/>
  <c r="BD598" i="487"/>
  <c r="BE598" i="487"/>
  <c r="BF598" i="487"/>
  <c r="BG598" i="487"/>
  <c r="BH598" i="487"/>
  <c r="BI598" i="487"/>
  <c r="BJ598" i="487"/>
  <c r="BK598" i="487"/>
  <c r="BL598" i="487"/>
  <c r="BM598" i="487"/>
  <c r="B599" i="487"/>
  <c r="C599" i="487"/>
  <c r="D599" i="487"/>
  <c r="E599" i="487"/>
  <c r="F599" i="487"/>
  <c r="G599" i="487"/>
  <c r="H599" i="487"/>
  <c r="I599" i="487"/>
  <c r="J599" i="487"/>
  <c r="K599" i="487"/>
  <c r="L599" i="487"/>
  <c r="M599" i="487"/>
  <c r="N599" i="487"/>
  <c r="O599" i="487"/>
  <c r="P599" i="487"/>
  <c r="Q599" i="487"/>
  <c r="R599" i="487"/>
  <c r="S599" i="487"/>
  <c r="T599" i="487"/>
  <c r="U599" i="487"/>
  <c r="V599" i="487"/>
  <c r="W599" i="487"/>
  <c r="X599" i="487"/>
  <c r="Y599" i="487"/>
  <c r="Z599" i="487"/>
  <c r="AA599" i="487"/>
  <c r="AB599" i="487"/>
  <c r="AC599" i="487"/>
  <c r="AD599" i="487"/>
  <c r="AE599" i="487"/>
  <c r="AF599" i="487"/>
  <c r="AG599" i="487"/>
  <c r="AH599" i="487"/>
  <c r="AI599" i="487"/>
  <c r="AJ599" i="487"/>
  <c r="AK599" i="487"/>
  <c r="AL599" i="487"/>
  <c r="AM599" i="487"/>
  <c r="AN599" i="487"/>
  <c r="AO599" i="487"/>
  <c r="AP599" i="487"/>
  <c r="AQ599" i="487"/>
  <c r="AR599" i="487"/>
  <c r="AS599" i="487"/>
  <c r="AT599" i="487"/>
  <c r="AU599" i="487"/>
  <c r="AV599" i="487"/>
  <c r="AW599" i="487"/>
  <c r="AX599" i="487"/>
  <c r="AY599" i="487"/>
  <c r="AZ599" i="487"/>
  <c r="BA599" i="487"/>
  <c r="BB599" i="487"/>
  <c r="BC599" i="487"/>
  <c r="BD599" i="487"/>
  <c r="BE599" i="487"/>
  <c r="BF599" i="487"/>
  <c r="BG599" i="487"/>
  <c r="BH599" i="487"/>
  <c r="BI599" i="487"/>
  <c r="BJ599" i="487"/>
  <c r="BK599" i="487"/>
  <c r="BL599" i="487"/>
  <c r="BM599" i="487"/>
  <c r="B600" i="487"/>
  <c r="C600" i="487"/>
  <c r="D600" i="487"/>
  <c r="E600" i="487"/>
  <c r="F600" i="487"/>
  <c r="G600" i="487"/>
  <c r="H600" i="487"/>
  <c r="I600" i="487"/>
  <c r="J600" i="487"/>
  <c r="K600" i="487"/>
  <c r="L600" i="487"/>
  <c r="M600" i="487"/>
  <c r="N600" i="487"/>
  <c r="O600" i="487"/>
  <c r="P600" i="487"/>
  <c r="Q600" i="487"/>
  <c r="R600" i="487"/>
  <c r="S600" i="487"/>
  <c r="T600" i="487"/>
  <c r="U600" i="487"/>
  <c r="V600" i="487"/>
  <c r="W600" i="487"/>
  <c r="X600" i="487"/>
  <c r="Y600" i="487"/>
  <c r="Z600" i="487"/>
  <c r="AA600" i="487"/>
  <c r="AB600" i="487"/>
  <c r="AC600" i="487"/>
  <c r="AD600" i="487"/>
  <c r="AE600" i="487"/>
  <c r="AF600" i="487"/>
  <c r="AG600" i="487"/>
  <c r="AH600" i="487"/>
  <c r="AI600" i="487"/>
  <c r="AJ600" i="487"/>
  <c r="AK600" i="487"/>
  <c r="AL600" i="487"/>
  <c r="AM600" i="487"/>
  <c r="AN600" i="487"/>
  <c r="AO600" i="487"/>
  <c r="AP600" i="487"/>
  <c r="AQ600" i="487"/>
  <c r="AR600" i="487"/>
  <c r="AS600" i="487"/>
  <c r="AT600" i="487"/>
  <c r="AU600" i="487"/>
  <c r="AV600" i="487"/>
  <c r="AW600" i="487"/>
  <c r="AX600" i="487"/>
  <c r="AY600" i="487"/>
  <c r="AZ600" i="487"/>
  <c r="BA600" i="487"/>
  <c r="BB600" i="487"/>
  <c r="BC600" i="487"/>
  <c r="BD600" i="487"/>
  <c r="BE600" i="487"/>
  <c r="BF600" i="487"/>
  <c r="BG600" i="487"/>
  <c r="BH600" i="487"/>
  <c r="BI600" i="487"/>
  <c r="BJ600" i="487"/>
  <c r="BK600" i="487"/>
  <c r="BL600" i="487"/>
  <c r="BM600" i="487"/>
  <c r="B601" i="487"/>
  <c r="C601" i="487"/>
  <c r="D601" i="487"/>
  <c r="E601" i="487"/>
  <c r="F601" i="487"/>
  <c r="G601" i="487"/>
  <c r="H601" i="487"/>
  <c r="I601" i="487"/>
  <c r="J601" i="487"/>
  <c r="K601" i="487"/>
  <c r="L601" i="487"/>
  <c r="M601" i="487"/>
  <c r="N601" i="487"/>
  <c r="O601" i="487"/>
  <c r="P601" i="487"/>
  <c r="Q601" i="487"/>
  <c r="R601" i="487"/>
  <c r="S601" i="487"/>
  <c r="T601" i="487"/>
  <c r="U601" i="487"/>
  <c r="V601" i="487"/>
  <c r="W601" i="487"/>
  <c r="X601" i="487"/>
  <c r="Y601" i="487"/>
  <c r="Z601" i="487"/>
  <c r="AA601" i="487"/>
  <c r="AB601" i="487"/>
  <c r="AC601" i="487"/>
  <c r="AD601" i="487"/>
  <c r="AE601" i="487"/>
  <c r="AF601" i="487"/>
  <c r="AG601" i="487"/>
  <c r="AH601" i="487"/>
  <c r="AI601" i="487"/>
  <c r="AJ601" i="487"/>
  <c r="AK601" i="487"/>
  <c r="AL601" i="487"/>
  <c r="AM601" i="487"/>
  <c r="AN601" i="487"/>
  <c r="AO601" i="487"/>
  <c r="AP601" i="487"/>
  <c r="AQ601" i="487"/>
  <c r="AR601" i="487"/>
  <c r="AS601" i="487"/>
  <c r="AT601" i="487"/>
  <c r="AU601" i="487"/>
  <c r="AV601" i="487"/>
  <c r="AW601" i="487"/>
  <c r="AX601" i="487"/>
  <c r="AY601" i="487"/>
  <c r="AZ601" i="487"/>
  <c r="BA601" i="487"/>
  <c r="BB601" i="487"/>
  <c r="BC601" i="487"/>
  <c r="BD601" i="487"/>
  <c r="BE601" i="487"/>
  <c r="BF601" i="487"/>
  <c r="BG601" i="487"/>
  <c r="BH601" i="487"/>
  <c r="BI601" i="487"/>
  <c r="BJ601" i="487"/>
  <c r="BK601" i="487"/>
  <c r="BL601" i="487"/>
  <c r="BM601" i="487"/>
  <c r="B602" i="487"/>
  <c r="C602" i="487"/>
  <c r="D602" i="487"/>
  <c r="E602" i="487"/>
  <c r="F602" i="487"/>
  <c r="G602" i="487"/>
  <c r="H602" i="487"/>
  <c r="I602" i="487"/>
  <c r="J602" i="487"/>
  <c r="K602" i="487"/>
  <c r="L602" i="487"/>
  <c r="M602" i="487"/>
  <c r="N602" i="487"/>
  <c r="O602" i="487"/>
  <c r="P602" i="487"/>
  <c r="Q602" i="487"/>
  <c r="R602" i="487"/>
  <c r="S602" i="487"/>
  <c r="T602" i="487"/>
  <c r="U602" i="487"/>
  <c r="V602" i="487"/>
  <c r="W602" i="487"/>
  <c r="X602" i="487"/>
  <c r="Y602" i="487"/>
  <c r="Z602" i="487"/>
  <c r="AA602" i="487"/>
  <c r="AB602" i="487"/>
  <c r="AC602" i="487"/>
  <c r="AD602" i="487"/>
  <c r="AE602" i="487"/>
  <c r="AF602" i="487"/>
  <c r="AG602" i="487"/>
  <c r="AH602" i="487"/>
  <c r="AI602" i="487"/>
  <c r="AJ602" i="487"/>
  <c r="AK602" i="487"/>
  <c r="AL602" i="487"/>
  <c r="AM602" i="487"/>
  <c r="AN602" i="487"/>
  <c r="AO602" i="487"/>
  <c r="AP602" i="487"/>
  <c r="AQ602" i="487"/>
  <c r="AR602" i="487"/>
  <c r="AS602" i="487"/>
  <c r="AT602" i="487"/>
  <c r="AU602" i="487"/>
  <c r="AV602" i="487"/>
  <c r="AW602" i="487"/>
  <c r="AX602" i="487"/>
  <c r="AY602" i="487"/>
  <c r="AZ602" i="487"/>
  <c r="BA602" i="487"/>
  <c r="BB602" i="487"/>
  <c r="BC602" i="487"/>
  <c r="BD602" i="487"/>
  <c r="BE602" i="487"/>
  <c r="BF602" i="487"/>
  <c r="BG602" i="487"/>
  <c r="BH602" i="487"/>
  <c r="BI602" i="487"/>
  <c r="BJ602" i="487"/>
  <c r="BK602" i="487"/>
  <c r="BL602" i="487"/>
  <c r="BM602" i="487"/>
  <c r="B603" i="487"/>
  <c r="C603" i="487"/>
  <c r="D603" i="487"/>
  <c r="E603" i="487"/>
  <c r="F603" i="487"/>
  <c r="G603" i="487"/>
  <c r="H603" i="487"/>
  <c r="I603" i="487"/>
  <c r="J603" i="487"/>
  <c r="K603" i="487"/>
  <c r="L603" i="487"/>
  <c r="M603" i="487"/>
  <c r="N603" i="487"/>
  <c r="O603" i="487"/>
  <c r="P603" i="487"/>
  <c r="Q603" i="487"/>
  <c r="R603" i="487"/>
  <c r="S603" i="487"/>
  <c r="T603" i="487"/>
  <c r="U603" i="487"/>
  <c r="V603" i="487"/>
  <c r="W603" i="487"/>
  <c r="X603" i="487"/>
  <c r="Y603" i="487"/>
  <c r="Z603" i="487"/>
  <c r="AA603" i="487"/>
  <c r="AB603" i="487"/>
  <c r="AC603" i="487"/>
  <c r="AD603" i="487"/>
  <c r="AE603" i="487"/>
  <c r="AF603" i="487"/>
  <c r="AG603" i="487"/>
  <c r="AH603" i="487"/>
  <c r="AI603" i="487"/>
  <c r="AJ603" i="487"/>
  <c r="AK603" i="487"/>
  <c r="AL603" i="487"/>
  <c r="AM603" i="487"/>
  <c r="AN603" i="487"/>
  <c r="AO603" i="487"/>
  <c r="AP603" i="487"/>
  <c r="AQ603" i="487"/>
  <c r="AR603" i="487"/>
  <c r="AS603" i="487"/>
  <c r="AT603" i="487"/>
  <c r="AU603" i="487"/>
  <c r="AV603" i="487"/>
  <c r="AW603" i="487"/>
  <c r="AX603" i="487"/>
  <c r="AY603" i="487"/>
  <c r="AZ603" i="487"/>
  <c r="BA603" i="487"/>
  <c r="BB603" i="487"/>
  <c r="BC603" i="487"/>
  <c r="BD603" i="487"/>
  <c r="BE603" i="487"/>
  <c r="BF603" i="487"/>
  <c r="BG603" i="487"/>
  <c r="BH603" i="487"/>
  <c r="BI603" i="487"/>
  <c r="BJ603" i="487"/>
  <c r="BK603" i="487"/>
  <c r="BL603" i="487"/>
  <c r="BM603" i="487"/>
  <c r="B604" i="487"/>
  <c r="C604" i="487"/>
  <c r="D604" i="487"/>
  <c r="E604" i="487"/>
  <c r="F604" i="487"/>
  <c r="G604" i="487"/>
  <c r="H604" i="487"/>
  <c r="I604" i="487"/>
  <c r="J604" i="487"/>
  <c r="K604" i="487"/>
  <c r="L604" i="487"/>
  <c r="M604" i="487"/>
  <c r="N604" i="487"/>
  <c r="O604" i="487"/>
  <c r="P604" i="487"/>
  <c r="Q604" i="487"/>
  <c r="R604" i="487"/>
  <c r="S604" i="487"/>
  <c r="T604" i="487"/>
  <c r="U604" i="487"/>
  <c r="V604" i="487"/>
  <c r="W604" i="487"/>
  <c r="X604" i="487"/>
  <c r="Y604" i="487"/>
  <c r="Z604" i="487"/>
  <c r="AA604" i="487"/>
  <c r="AB604" i="487"/>
  <c r="AC604" i="487"/>
  <c r="AD604" i="487"/>
  <c r="AE604" i="487"/>
  <c r="AF604" i="487"/>
  <c r="AG604" i="487"/>
  <c r="AH604" i="487"/>
  <c r="AI604" i="487"/>
  <c r="AJ604" i="487"/>
  <c r="AK604" i="487"/>
  <c r="AL604" i="487"/>
  <c r="AM604" i="487"/>
  <c r="AN604" i="487"/>
  <c r="AO604" i="487"/>
  <c r="AP604" i="487"/>
  <c r="AQ604" i="487"/>
  <c r="AR604" i="487"/>
  <c r="AS604" i="487"/>
  <c r="AT604" i="487"/>
  <c r="AU604" i="487"/>
  <c r="AV604" i="487"/>
  <c r="AW604" i="487"/>
  <c r="AX604" i="487"/>
  <c r="AY604" i="487"/>
  <c r="AZ604" i="487"/>
  <c r="BA604" i="487"/>
  <c r="BB604" i="487"/>
  <c r="BC604" i="487"/>
  <c r="BD604" i="487"/>
  <c r="BE604" i="487"/>
  <c r="BF604" i="487"/>
  <c r="BG604" i="487"/>
  <c r="BH604" i="487"/>
  <c r="BI604" i="487"/>
  <c r="BJ604" i="487"/>
  <c r="BK604" i="487"/>
  <c r="BL604" i="487"/>
  <c r="BM604" i="487"/>
  <c r="B605" i="487"/>
  <c r="C605" i="487"/>
  <c r="D605" i="487"/>
  <c r="E605" i="487"/>
  <c r="F605" i="487"/>
  <c r="G605" i="487"/>
  <c r="H605" i="487"/>
  <c r="I605" i="487"/>
  <c r="J605" i="487"/>
  <c r="K605" i="487"/>
  <c r="L605" i="487"/>
  <c r="M605" i="487"/>
  <c r="N605" i="487"/>
  <c r="O605" i="487"/>
  <c r="P605" i="487"/>
  <c r="Q605" i="487"/>
  <c r="R605" i="487"/>
  <c r="S605" i="487"/>
  <c r="T605" i="487"/>
  <c r="U605" i="487"/>
  <c r="V605" i="487"/>
  <c r="W605" i="487"/>
  <c r="X605" i="487"/>
  <c r="Y605" i="487"/>
  <c r="Z605" i="487"/>
  <c r="AA605" i="487"/>
  <c r="AB605" i="487"/>
  <c r="AC605" i="487"/>
  <c r="AD605" i="487"/>
  <c r="AE605" i="487"/>
  <c r="AF605" i="487"/>
  <c r="AG605" i="487"/>
  <c r="AH605" i="487"/>
  <c r="AI605" i="487"/>
  <c r="AJ605" i="487"/>
  <c r="AK605" i="487"/>
  <c r="AL605" i="487"/>
  <c r="AM605" i="487"/>
  <c r="AN605" i="487"/>
  <c r="AO605" i="487"/>
  <c r="AP605" i="487"/>
  <c r="AQ605" i="487"/>
  <c r="AR605" i="487"/>
  <c r="AS605" i="487"/>
  <c r="AT605" i="487"/>
  <c r="AU605" i="487"/>
  <c r="AV605" i="487"/>
  <c r="AW605" i="487"/>
  <c r="AX605" i="487"/>
  <c r="AY605" i="487"/>
  <c r="AZ605" i="487"/>
  <c r="BA605" i="487"/>
  <c r="BB605" i="487"/>
  <c r="BC605" i="487"/>
  <c r="BD605" i="487"/>
  <c r="BE605" i="487"/>
  <c r="BF605" i="487"/>
  <c r="BG605" i="487"/>
  <c r="BH605" i="487"/>
  <c r="BI605" i="487"/>
  <c r="BJ605" i="487"/>
  <c r="BK605" i="487"/>
  <c r="BL605" i="487"/>
  <c r="BM605" i="487"/>
  <c r="B606" i="487"/>
  <c r="C606" i="487"/>
  <c r="D606" i="487"/>
  <c r="E606" i="487"/>
  <c r="F606" i="487"/>
  <c r="G606" i="487"/>
  <c r="H606" i="487"/>
  <c r="I606" i="487"/>
  <c r="J606" i="487"/>
  <c r="K606" i="487"/>
  <c r="L606" i="487"/>
  <c r="M606" i="487"/>
  <c r="N606" i="487"/>
  <c r="O606" i="487"/>
  <c r="P606" i="487"/>
  <c r="Q606" i="487"/>
  <c r="R606" i="487"/>
  <c r="S606" i="487"/>
  <c r="T606" i="487"/>
  <c r="U606" i="487"/>
  <c r="V606" i="487"/>
  <c r="W606" i="487"/>
  <c r="X606" i="487"/>
  <c r="Y606" i="487"/>
  <c r="Z606" i="487"/>
  <c r="AA606" i="487"/>
  <c r="AB606" i="487"/>
  <c r="AC606" i="487"/>
  <c r="AD606" i="487"/>
  <c r="AE606" i="487"/>
  <c r="AF606" i="487"/>
  <c r="AG606" i="487"/>
  <c r="AH606" i="487"/>
  <c r="AI606" i="487"/>
  <c r="AJ606" i="487"/>
  <c r="AK606" i="487"/>
  <c r="AL606" i="487"/>
  <c r="AM606" i="487"/>
  <c r="AN606" i="487"/>
  <c r="AO606" i="487"/>
  <c r="AP606" i="487"/>
  <c r="AQ606" i="487"/>
  <c r="AR606" i="487"/>
  <c r="AS606" i="487"/>
  <c r="AT606" i="487"/>
  <c r="AU606" i="487"/>
  <c r="AV606" i="487"/>
  <c r="AW606" i="487"/>
  <c r="AX606" i="487"/>
  <c r="AY606" i="487"/>
  <c r="AZ606" i="487"/>
  <c r="BA606" i="487"/>
  <c r="BB606" i="487"/>
  <c r="BC606" i="487"/>
  <c r="BD606" i="487"/>
  <c r="BE606" i="487"/>
  <c r="BF606" i="487"/>
  <c r="BG606" i="487"/>
  <c r="BH606" i="487"/>
  <c r="BI606" i="487"/>
  <c r="BJ606" i="487"/>
  <c r="BK606" i="487"/>
  <c r="BL606" i="487"/>
  <c r="BM606" i="487"/>
  <c r="B607" i="487"/>
  <c r="C607" i="487"/>
  <c r="D607" i="487"/>
  <c r="E607" i="487"/>
  <c r="F607" i="487"/>
  <c r="G607" i="487"/>
  <c r="H607" i="487"/>
  <c r="I607" i="487"/>
  <c r="J607" i="487"/>
  <c r="K607" i="487"/>
  <c r="L607" i="487"/>
  <c r="M607" i="487"/>
  <c r="N607" i="487"/>
  <c r="O607" i="487"/>
  <c r="P607" i="487"/>
  <c r="Q607" i="487"/>
  <c r="R607" i="487"/>
  <c r="S607" i="487"/>
  <c r="T607" i="487"/>
  <c r="U607" i="487"/>
  <c r="V607" i="487"/>
  <c r="W607" i="487"/>
  <c r="X607" i="487"/>
  <c r="Y607" i="487"/>
  <c r="Z607" i="487"/>
  <c r="AA607" i="487"/>
  <c r="AB607" i="487"/>
  <c r="AC607" i="487"/>
  <c r="AD607" i="487"/>
  <c r="AE607" i="487"/>
  <c r="AF607" i="487"/>
  <c r="AG607" i="487"/>
  <c r="AH607" i="487"/>
  <c r="AI607" i="487"/>
  <c r="AJ607" i="487"/>
  <c r="AK607" i="487"/>
  <c r="AL607" i="487"/>
  <c r="AM607" i="487"/>
  <c r="AN607" i="487"/>
  <c r="AO607" i="487"/>
  <c r="AP607" i="487"/>
  <c r="AQ607" i="487"/>
  <c r="AR607" i="487"/>
  <c r="AS607" i="487"/>
  <c r="AT607" i="487"/>
  <c r="AU607" i="487"/>
  <c r="AV607" i="487"/>
  <c r="AW607" i="487"/>
  <c r="AX607" i="487"/>
  <c r="AY607" i="487"/>
  <c r="AZ607" i="487"/>
  <c r="BA607" i="487"/>
  <c r="BB607" i="487"/>
  <c r="BC607" i="487"/>
  <c r="BD607" i="487"/>
  <c r="BE607" i="487"/>
  <c r="BF607" i="487"/>
  <c r="BG607" i="487"/>
  <c r="BH607" i="487"/>
  <c r="BI607" i="487"/>
  <c r="BJ607" i="487"/>
  <c r="BK607" i="487"/>
  <c r="BL607" i="487"/>
  <c r="BM607" i="487"/>
  <c r="B608" i="487"/>
  <c r="C608" i="487"/>
  <c r="D608" i="487"/>
  <c r="E608" i="487"/>
  <c r="F608" i="487"/>
  <c r="G608" i="487"/>
  <c r="H608" i="487"/>
  <c r="I608" i="487"/>
  <c r="J608" i="487"/>
  <c r="K608" i="487"/>
  <c r="L608" i="487"/>
  <c r="M608" i="487"/>
  <c r="N608" i="487"/>
  <c r="O608" i="487"/>
  <c r="P608" i="487"/>
  <c r="Q608" i="487"/>
  <c r="R608" i="487"/>
  <c r="S608" i="487"/>
  <c r="T608" i="487"/>
  <c r="U608" i="487"/>
  <c r="V608" i="487"/>
  <c r="W608" i="487"/>
  <c r="X608" i="487"/>
  <c r="Y608" i="487"/>
  <c r="Z608" i="487"/>
  <c r="AA608" i="487"/>
  <c r="AB608" i="487"/>
  <c r="AC608" i="487"/>
  <c r="AD608" i="487"/>
  <c r="AE608" i="487"/>
  <c r="AF608" i="487"/>
  <c r="AG608" i="487"/>
  <c r="AH608" i="487"/>
  <c r="AI608" i="487"/>
  <c r="AJ608" i="487"/>
  <c r="AK608" i="487"/>
  <c r="AL608" i="487"/>
  <c r="AM608" i="487"/>
  <c r="AN608" i="487"/>
  <c r="AO608" i="487"/>
  <c r="AP608" i="487"/>
  <c r="AQ608" i="487"/>
  <c r="AR608" i="487"/>
  <c r="AS608" i="487"/>
  <c r="AT608" i="487"/>
  <c r="AU608" i="487"/>
  <c r="AV608" i="487"/>
  <c r="AW608" i="487"/>
  <c r="AX608" i="487"/>
  <c r="AY608" i="487"/>
  <c r="AZ608" i="487"/>
  <c r="BA608" i="487"/>
  <c r="BB608" i="487"/>
  <c r="BC608" i="487"/>
  <c r="BD608" i="487"/>
  <c r="BE608" i="487"/>
  <c r="BF608" i="487"/>
  <c r="BG608" i="487"/>
  <c r="BH608" i="487"/>
  <c r="BI608" i="487"/>
  <c r="BJ608" i="487"/>
  <c r="BK608" i="487"/>
  <c r="BL608" i="487"/>
  <c r="BM608" i="487"/>
  <c r="B609" i="487"/>
  <c r="C609" i="487"/>
  <c r="D609" i="487"/>
  <c r="E609" i="487"/>
  <c r="F609" i="487"/>
  <c r="G609" i="487"/>
  <c r="H609" i="487"/>
  <c r="I609" i="487"/>
  <c r="J609" i="487"/>
  <c r="K609" i="487"/>
  <c r="L609" i="487"/>
  <c r="M609" i="487"/>
  <c r="N609" i="487"/>
  <c r="O609" i="487"/>
  <c r="P609" i="487"/>
  <c r="Q609" i="487"/>
  <c r="R609" i="487"/>
  <c r="S609" i="487"/>
  <c r="T609" i="487"/>
  <c r="U609" i="487"/>
  <c r="V609" i="487"/>
  <c r="W609" i="487"/>
  <c r="X609" i="487"/>
  <c r="Y609" i="487"/>
  <c r="Z609" i="487"/>
  <c r="AA609" i="487"/>
  <c r="AB609" i="487"/>
  <c r="AC609" i="487"/>
  <c r="AD609" i="487"/>
  <c r="AE609" i="487"/>
  <c r="AF609" i="487"/>
  <c r="AG609" i="487"/>
  <c r="AH609" i="487"/>
  <c r="AI609" i="487"/>
  <c r="AJ609" i="487"/>
  <c r="AK609" i="487"/>
  <c r="AL609" i="487"/>
  <c r="AM609" i="487"/>
  <c r="AN609" i="487"/>
  <c r="AO609" i="487"/>
  <c r="AP609" i="487"/>
  <c r="AQ609" i="487"/>
  <c r="AR609" i="487"/>
  <c r="AS609" i="487"/>
  <c r="AT609" i="487"/>
  <c r="AU609" i="487"/>
  <c r="AV609" i="487"/>
  <c r="AW609" i="487"/>
  <c r="AX609" i="487"/>
  <c r="AY609" i="487"/>
  <c r="AZ609" i="487"/>
  <c r="BA609" i="487"/>
  <c r="BB609" i="487"/>
  <c r="BC609" i="487"/>
  <c r="BD609" i="487"/>
  <c r="BE609" i="487"/>
  <c r="BF609" i="487"/>
  <c r="BG609" i="487"/>
  <c r="BH609" i="487"/>
  <c r="BI609" i="487"/>
  <c r="BJ609" i="487"/>
  <c r="BK609" i="487"/>
  <c r="BL609" i="487"/>
  <c r="BM609" i="487"/>
  <c r="B595" i="484"/>
  <c r="C595" i="484"/>
  <c r="D595" i="484"/>
  <c r="E595" i="484"/>
  <c r="F595" i="484"/>
  <c r="G595" i="484"/>
  <c r="H595" i="484"/>
  <c r="I595" i="484"/>
  <c r="J595" i="484"/>
  <c r="K595" i="484"/>
  <c r="L595" i="484"/>
  <c r="M595" i="484"/>
  <c r="N595" i="484"/>
  <c r="O595" i="484"/>
  <c r="P595" i="484"/>
  <c r="Q595" i="484"/>
  <c r="R595" i="484"/>
  <c r="S595" i="484"/>
  <c r="T595" i="484"/>
  <c r="U595" i="484"/>
  <c r="V595" i="484"/>
  <c r="W595" i="484"/>
  <c r="X595" i="484"/>
  <c r="Y595" i="484"/>
  <c r="Z595" i="484"/>
  <c r="AA595" i="484"/>
  <c r="AB595" i="484"/>
  <c r="AC595" i="484"/>
  <c r="AD595" i="484"/>
  <c r="AE595" i="484"/>
  <c r="AF595" i="484"/>
  <c r="AG595" i="484"/>
  <c r="AH595" i="484"/>
  <c r="AI595" i="484"/>
  <c r="AJ595" i="484"/>
  <c r="AK595" i="484"/>
  <c r="AL595" i="484"/>
  <c r="AM595" i="484"/>
  <c r="AN595" i="484"/>
  <c r="AO595" i="484"/>
  <c r="AP595" i="484"/>
  <c r="AQ595" i="484"/>
  <c r="AR595" i="484"/>
  <c r="AS595" i="484"/>
  <c r="AT595" i="484"/>
  <c r="AU595" i="484"/>
  <c r="AV595" i="484"/>
  <c r="AW595" i="484"/>
  <c r="AX595" i="484"/>
  <c r="AY595" i="484"/>
  <c r="AZ595" i="484"/>
  <c r="BA595" i="484"/>
  <c r="BB595" i="484"/>
  <c r="BC595" i="484"/>
  <c r="BD595" i="484"/>
  <c r="BE595" i="484"/>
  <c r="BF595" i="484"/>
  <c r="BG595" i="484"/>
  <c r="B596" i="484"/>
  <c r="C596" i="484"/>
  <c r="D596" i="484"/>
  <c r="E596" i="484"/>
  <c r="F596" i="484"/>
  <c r="G596" i="484"/>
  <c r="H596" i="484"/>
  <c r="I596" i="484"/>
  <c r="J596" i="484"/>
  <c r="K596" i="484"/>
  <c r="L596" i="484"/>
  <c r="M596" i="484"/>
  <c r="N596" i="484"/>
  <c r="O596" i="484"/>
  <c r="P596" i="484"/>
  <c r="Q596" i="484"/>
  <c r="R596" i="484"/>
  <c r="S596" i="484"/>
  <c r="T596" i="484"/>
  <c r="U596" i="484"/>
  <c r="V596" i="484"/>
  <c r="W596" i="484"/>
  <c r="X596" i="484"/>
  <c r="Y596" i="484"/>
  <c r="Z596" i="484"/>
  <c r="AA596" i="484"/>
  <c r="AB596" i="484"/>
  <c r="AC596" i="484"/>
  <c r="AD596" i="484"/>
  <c r="AE596" i="484"/>
  <c r="AF596" i="484"/>
  <c r="AG596" i="484"/>
  <c r="AH596" i="484"/>
  <c r="AI596" i="484"/>
  <c r="AJ596" i="484"/>
  <c r="AK596" i="484"/>
  <c r="AL596" i="484"/>
  <c r="AM596" i="484"/>
  <c r="AN596" i="484"/>
  <c r="AO596" i="484"/>
  <c r="AP596" i="484"/>
  <c r="AQ596" i="484"/>
  <c r="AR596" i="484"/>
  <c r="AS596" i="484"/>
  <c r="AT596" i="484"/>
  <c r="AU596" i="484"/>
  <c r="AV596" i="484"/>
  <c r="AW596" i="484"/>
  <c r="AX596" i="484"/>
  <c r="AY596" i="484"/>
  <c r="AZ596" i="484"/>
  <c r="BA596" i="484"/>
  <c r="BB596" i="484"/>
  <c r="BC596" i="484"/>
  <c r="BD596" i="484"/>
  <c r="BE596" i="484"/>
  <c r="BF596" i="484"/>
  <c r="BG596" i="484"/>
  <c r="B597" i="484"/>
  <c r="C597" i="484"/>
  <c r="D597" i="484"/>
  <c r="E597" i="484"/>
  <c r="F597" i="484"/>
  <c r="G597" i="484"/>
  <c r="H597" i="484"/>
  <c r="I597" i="484"/>
  <c r="J597" i="484"/>
  <c r="K597" i="484"/>
  <c r="L597" i="484"/>
  <c r="M597" i="484"/>
  <c r="N597" i="484"/>
  <c r="O597" i="484"/>
  <c r="P597" i="484"/>
  <c r="Q597" i="484"/>
  <c r="R597" i="484"/>
  <c r="S597" i="484"/>
  <c r="T597" i="484"/>
  <c r="U597" i="484"/>
  <c r="V597" i="484"/>
  <c r="W597" i="484"/>
  <c r="X597" i="484"/>
  <c r="Y597" i="484"/>
  <c r="Z597" i="484"/>
  <c r="AA597" i="484"/>
  <c r="AB597" i="484"/>
  <c r="AC597" i="484"/>
  <c r="AD597" i="484"/>
  <c r="AE597" i="484"/>
  <c r="AF597" i="484"/>
  <c r="AG597" i="484"/>
  <c r="AH597" i="484"/>
  <c r="AI597" i="484"/>
  <c r="AJ597" i="484"/>
  <c r="AK597" i="484"/>
  <c r="AL597" i="484"/>
  <c r="AM597" i="484"/>
  <c r="AN597" i="484"/>
  <c r="AO597" i="484"/>
  <c r="AP597" i="484"/>
  <c r="AQ597" i="484"/>
  <c r="AR597" i="484"/>
  <c r="AS597" i="484"/>
  <c r="AT597" i="484"/>
  <c r="AU597" i="484"/>
  <c r="AV597" i="484"/>
  <c r="AW597" i="484"/>
  <c r="AX597" i="484"/>
  <c r="AY597" i="484"/>
  <c r="AZ597" i="484"/>
  <c r="BA597" i="484"/>
  <c r="BB597" i="484"/>
  <c r="BC597" i="484"/>
  <c r="BD597" i="484"/>
  <c r="BE597" i="484"/>
  <c r="BF597" i="484"/>
  <c r="BG597" i="484"/>
  <c r="B598" i="484"/>
  <c r="C598" i="484"/>
  <c r="D598" i="484"/>
  <c r="E598" i="484"/>
  <c r="F598" i="484"/>
  <c r="G598" i="484"/>
  <c r="H598" i="484"/>
  <c r="I598" i="484"/>
  <c r="J598" i="484"/>
  <c r="K598" i="484"/>
  <c r="L598" i="484"/>
  <c r="M598" i="484"/>
  <c r="N598" i="484"/>
  <c r="O598" i="484"/>
  <c r="P598" i="484"/>
  <c r="Q598" i="484"/>
  <c r="R598" i="484"/>
  <c r="S598" i="484"/>
  <c r="T598" i="484"/>
  <c r="U598" i="484"/>
  <c r="V598" i="484"/>
  <c r="W598" i="484"/>
  <c r="X598" i="484"/>
  <c r="Y598" i="484"/>
  <c r="Z598" i="484"/>
  <c r="AA598" i="484"/>
  <c r="AB598" i="484"/>
  <c r="AC598" i="484"/>
  <c r="AD598" i="484"/>
  <c r="AE598" i="484"/>
  <c r="AF598" i="484"/>
  <c r="AG598" i="484"/>
  <c r="AH598" i="484"/>
  <c r="AI598" i="484"/>
  <c r="AJ598" i="484"/>
  <c r="AK598" i="484"/>
  <c r="AL598" i="484"/>
  <c r="AM598" i="484"/>
  <c r="AN598" i="484"/>
  <c r="AO598" i="484"/>
  <c r="AP598" i="484"/>
  <c r="AQ598" i="484"/>
  <c r="AR598" i="484"/>
  <c r="AS598" i="484"/>
  <c r="AT598" i="484"/>
  <c r="AU598" i="484"/>
  <c r="AV598" i="484"/>
  <c r="AW598" i="484"/>
  <c r="AX598" i="484"/>
  <c r="AY598" i="484"/>
  <c r="AZ598" i="484"/>
  <c r="BA598" i="484"/>
  <c r="BB598" i="484"/>
  <c r="BC598" i="484"/>
  <c r="BD598" i="484"/>
  <c r="BE598" i="484"/>
  <c r="BF598" i="484"/>
  <c r="BG598" i="484"/>
  <c r="B599" i="484"/>
  <c r="C599" i="484"/>
  <c r="D599" i="484"/>
  <c r="E599" i="484"/>
  <c r="F599" i="484"/>
  <c r="G599" i="484"/>
  <c r="H599" i="484"/>
  <c r="I599" i="484"/>
  <c r="J599" i="484"/>
  <c r="K599" i="484"/>
  <c r="L599" i="484"/>
  <c r="M599" i="484"/>
  <c r="N599" i="484"/>
  <c r="O599" i="484"/>
  <c r="P599" i="484"/>
  <c r="Q599" i="484"/>
  <c r="R599" i="484"/>
  <c r="S599" i="484"/>
  <c r="T599" i="484"/>
  <c r="U599" i="484"/>
  <c r="V599" i="484"/>
  <c r="W599" i="484"/>
  <c r="X599" i="484"/>
  <c r="Y599" i="484"/>
  <c r="Z599" i="484"/>
  <c r="AA599" i="484"/>
  <c r="AB599" i="484"/>
  <c r="AC599" i="484"/>
  <c r="AD599" i="484"/>
  <c r="AE599" i="484"/>
  <c r="AF599" i="484"/>
  <c r="AG599" i="484"/>
  <c r="AH599" i="484"/>
  <c r="AI599" i="484"/>
  <c r="AJ599" i="484"/>
  <c r="AK599" i="484"/>
  <c r="AL599" i="484"/>
  <c r="AM599" i="484"/>
  <c r="AN599" i="484"/>
  <c r="AO599" i="484"/>
  <c r="AP599" i="484"/>
  <c r="AQ599" i="484"/>
  <c r="AR599" i="484"/>
  <c r="AS599" i="484"/>
  <c r="AT599" i="484"/>
  <c r="AU599" i="484"/>
  <c r="AV599" i="484"/>
  <c r="AW599" i="484"/>
  <c r="AX599" i="484"/>
  <c r="AY599" i="484"/>
  <c r="AZ599" i="484"/>
  <c r="BA599" i="484"/>
  <c r="BB599" i="484"/>
  <c r="BC599" i="484"/>
  <c r="BD599" i="484"/>
  <c r="BE599" i="484"/>
  <c r="BF599" i="484"/>
  <c r="BG599" i="484"/>
  <c r="B600" i="484"/>
  <c r="C600" i="484"/>
  <c r="D600" i="484"/>
  <c r="E600" i="484"/>
  <c r="F600" i="484"/>
  <c r="G600" i="484"/>
  <c r="H600" i="484"/>
  <c r="I600" i="484"/>
  <c r="J600" i="484"/>
  <c r="K600" i="484"/>
  <c r="L600" i="484"/>
  <c r="M600" i="484"/>
  <c r="N600" i="484"/>
  <c r="O600" i="484"/>
  <c r="P600" i="484"/>
  <c r="Q600" i="484"/>
  <c r="R600" i="484"/>
  <c r="S600" i="484"/>
  <c r="T600" i="484"/>
  <c r="U600" i="484"/>
  <c r="V600" i="484"/>
  <c r="W600" i="484"/>
  <c r="X600" i="484"/>
  <c r="Y600" i="484"/>
  <c r="Z600" i="484"/>
  <c r="AA600" i="484"/>
  <c r="AB600" i="484"/>
  <c r="AC600" i="484"/>
  <c r="AD600" i="484"/>
  <c r="AE600" i="484"/>
  <c r="AF600" i="484"/>
  <c r="AG600" i="484"/>
  <c r="AH600" i="484"/>
  <c r="AI600" i="484"/>
  <c r="AJ600" i="484"/>
  <c r="AK600" i="484"/>
  <c r="AL600" i="484"/>
  <c r="AM600" i="484"/>
  <c r="AN600" i="484"/>
  <c r="AO600" i="484"/>
  <c r="AP600" i="484"/>
  <c r="AQ600" i="484"/>
  <c r="AR600" i="484"/>
  <c r="AS600" i="484"/>
  <c r="AT600" i="484"/>
  <c r="AU600" i="484"/>
  <c r="AV600" i="484"/>
  <c r="AW600" i="484"/>
  <c r="AX600" i="484"/>
  <c r="AY600" i="484"/>
  <c r="AZ600" i="484"/>
  <c r="BA600" i="484"/>
  <c r="BB600" i="484"/>
  <c r="BC600" i="484"/>
  <c r="BD600" i="484"/>
  <c r="BE600" i="484"/>
  <c r="BF600" i="484"/>
  <c r="BG600" i="484"/>
  <c r="B569" i="484"/>
  <c r="C569" i="484"/>
  <c r="D569" i="484"/>
  <c r="E569" i="484"/>
  <c r="F569" i="484"/>
  <c r="G569" i="484"/>
  <c r="H569" i="484"/>
  <c r="I569" i="484"/>
  <c r="J569" i="484"/>
  <c r="K569" i="484"/>
  <c r="L569" i="484"/>
  <c r="M569" i="484"/>
  <c r="N569" i="484"/>
  <c r="O569" i="484"/>
  <c r="P569" i="484"/>
  <c r="Q569" i="484"/>
  <c r="R569" i="484"/>
  <c r="S569" i="484"/>
  <c r="T569" i="484"/>
  <c r="U569" i="484"/>
  <c r="V569" i="484"/>
  <c r="W569" i="484"/>
  <c r="X569" i="484"/>
  <c r="Y569" i="484"/>
  <c r="Z569" i="484"/>
  <c r="AA569" i="484"/>
  <c r="AB569" i="484"/>
  <c r="AC569" i="484"/>
  <c r="AD569" i="484"/>
  <c r="AE569" i="484"/>
  <c r="AF569" i="484"/>
  <c r="AG569" i="484"/>
  <c r="AH569" i="484"/>
  <c r="AI569" i="484"/>
  <c r="AJ569" i="484"/>
  <c r="AK569" i="484"/>
  <c r="AL569" i="484"/>
  <c r="AM569" i="484"/>
  <c r="AN569" i="484"/>
  <c r="AO569" i="484"/>
  <c r="AP569" i="484"/>
  <c r="AQ569" i="484"/>
  <c r="AR569" i="484"/>
  <c r="AS569" i="484"/>
  <c r="AT569" i="484"/>
  <c r="AU569" i="484"/>
  <c r="AV569" i="484"/>
  <c r="AW569" i="484"/>
  <c r="AX569" i="484"/>
  <c r="AY569" i="484"/>
  <c r="AZ569" i="484"/>
  <c r="BA569" i="484"/>
  <c r="BB569" i="484"/>
  <c r="BC569" i="484"/>
  <c r="BD569" i="484"/>
  <c r="BE569" i="484"/>
  <c r="BF569" i="484"/>
  <c r="BG569" i="484"/>
  <c r="B570" i="484"/>
  <c r="C570" i="484"/>
  <c r="D570" i="484"/>
  <c r="E570" i="484"/>
  <c r="F570" i="484"/>
  <c r="G570" i="484"/>
  <c r="H570" i="484"/>
  <c r="I570" i="484"/>
  <c r="J570" i="484"/>
  <c r="K570" i="484"/>
  <c r="L570" i="484"/>
  <c r="M570" i="484"/>
  <c r="N570" i="484"/>
  <c r="O570" i="484"/>
  <c r="P570" i="484"/>
  <c r="Q570" i="484"/>
  <c r="R570" i="484"/>
  <c r="S570" i="484"/>
  <c r="T570" i="484"/>
  <c r="U570" i="484"/>
  <c r="V570" i="484"/>
  <c r="W570" i="484"/>
  <c r="X570" i="484"/>
  <c r="Y570" i="484"/>
  <c r="Z570" i="484"/>
  <c r="AA570" i="484"/>
  <c r="AB570" i="484"/>
  <c r="AC570" i="484"/>
  <c r="AD570" i="484"/>
  <c r="AE570" i="484"/>
  <c r="AF570" i="484"/>
  <c r="AG570" i="484"/>
  <c r="AH570" i="484"/>
  <c r="AI570" i="484"/>
  <c r="AJ570" i="484"/>
  <c r="AK570" i="484"/>
  <c r="AL570" i="484"/>
  <c r="AM570" i="484"/>
  <c r="AN570" i="484"/>
  <c r="AO570" i="484"/>
  <c r="AP570" i="484"/>
  <c r="AQ570" i="484"/>
  <c r="AR570" i="484"/>
  <c r="AS570" i="484"/>
  <c r="AT570" i="484"/>
  <c r="AU570" i="484"/>
  <c r="AV570" i="484"/>
  <c r="AW570" i="484"/>
  <c r="AX570" i="484"/>
  <c r="AY570" i="484"/>
  <c r="AZ570" i="484"/>
  <c r="BA570" i="484"/>
  <c r="BB570" i="484"/>
  <c r="BC570" i="484"/>
  <c r="BD570" i="484"/>
  <c r="BE570" i="484"/>
  <c r="BF570" i="484"/>
  <c r="BG570" i="484"/>
  <c r="B571" i="484"/>
  <c r="C571" i="484"/>
  <c r="D571" i="484"/>
  <c r="E571" i="484"/>
  <c r="F571" i="484"/>
  <c r="G571" i="484"/>
  <c r="H571" i="484"/>
  <c r="I571" i="484"/>
  <c r="J571" i="484"/>
  <c r="K571" i="484"/>
  <c r="L571" i="484"/>
  <c r="M571" i="484"/>
  <c r="N571" i="484"/>
  <c r="O571" i="484"/>
  <c r="P571" i="484"/>
  <c r="Q571" i="484"/>
  <c r="R571" i="484"/>
  <c r="S571" i="484"/>
  <c r="T571" i="484"/>
  <c r="U571" i="484"/>
  <c r="V571" i="484"/>
  <c r="W571" i="484"/>
  <c r="X571" i="484"/>
  <c r="Y571" i="484"/>
  <c r="Z571" i="484"/>
  <c r="AA571" i="484"/>
  <c r="AB571" i="484"/>
  <c r="AC571" i="484"/>
  <c r="AD571" i="484"/>
  <c r="AE571" i="484"/>
  <c r="AF571" i="484"/>
  <c r="AG571" i="484"/>
  <c r="AH571" i="484"/>
  <c r="AI571" i="484"/>
  <c r="AJ571" i="484"/>
  <c r="AK571" i="484"/>
  <c r="AL571" i="484"/>
  <c r="AM571" i="484"/>
  <c r="AN571" i="484"/>
  <c r="AO571" i="484"/>
  <c r="AP571" i="484"/>
  <c r="AQ571" i="484"/>
  <c r="AR571" i="484"/>
  <c r="AS571" i="484"/>
  <c r="AT571" i="484"/>
  <c r="AU571" i="484"/>
  <c r="AV571" i="484"/>
  <c r="AW571" i="484"/>
  <c r="AX571" i="484"/>
  <c r="AY571" i="484"/>
  <c r="AZ571" i="484"/>
  <c r="BA571" i="484"/>
  <c r="BB571" i="484"/>
  <c r="BC571" i="484"/>
  <c r="BD571" i="484"/>
  <c r="BE571" i="484"/>
  <c r="BF571" i="484"/>
  <c r="BG571" i="484"/>
  <c r="B572" i="484"/>
  <c r="C572" i="484"/>
  <c r="D572" i="484"/>
  <c r="E572" i="484"/>
  <c r="F572" i="484"/>
  <c r="G572" i="484"/>
  <c r="H572" i="484"/>
  <c r="I572" i="484"/>
  <c r="J572" i="484"/>
  <c r="K572" i="484"/>
  <c r="L572" i="484"/>
  <c r="M572" i="484"/>
  <c r="N572" i="484"/>
  <c r="O572" i="484"/>
  <c r="P572" i="484"/>
  <c r="Q572" i="484"/>
  <c r="R572" i="484"/>
  <c r="S572" i="484"/>
  <c r="T572" i="484"/>
  <c r="U572" i="484"/>
  <c r="V572" i="484"/>
  <c r="W572" i="484"/>
  <c r="X572" i="484"/>
  <c r="Y572" i="484"/>
  <c r="Z572" i="484"/>
  <c r="AA572" i="484"/>
  <c r="AB572" i="484"/>
  <c r="AC572" i="484"/>
  <c r="AD572" i="484"/>
  <c r="AE572" i="484"/>
  <c r="AF572" i="484"/>
  <c r="AG572" i="484"/>
  <c r="AH572" i="484"/>
  <c r="AI572" i="484"/>
  <c r="AJ572" i="484"/>
  <c r="AK572" i="484"/>
  <c r="AL572" i="484"/>
  <c r="AM572" i="484"/>
  <c r="AN572" i="484"/>
  <c r="AO572" i="484"/>
  <c r="AP572" i="484"/>
  <c r="AQ572" i="484"/>
  <c r="AR572" i="484"/>
  <c r="AS572" i="484"/>
  <c r="AT572" i="484"/>
  <c r="AU572" i="484"/>
  <c r="AV572" i="484"/>
  <c r="AW572" i="484"/>
  <c r="AX572" i="484"/>
  <c r="AY572" i="484"/>
  <c r="AZ572" i="484"/>
  <c r="BA572" i="484"/>
  <c r="BB572" i="484"/>
  <c r="BC572" i="484"/>
  <c r="BD572" i="484"/>
  <c r="BE572" i="484"/>
  <c r="BF572" i="484"/>
  <c r="BG572" i="484"/>
  <c r="B573" i="484"/>
  <c r="C573" i="484"/>
  <c r="D573" i="484"/>
  <c r="E573" i="484"/>
  <c r="F573" i="484"/>
  <c r="G573" i="484"/>
  <c r="H573" i="484"/>
  <c r="I573" i="484"/>
  <c r="J573" i="484"/>
  <c r="K573" i="484"/>
  <c r="L573" i="484"/>
  <c r="M573" i="484"/>
  <c r="N573" i="484"/>
  <c r="O573" i="484"/>
  <c r="P573" i="484"/>
  <c r="Q573" i="484"/>
  <c r="R573" i="484"/>
  <c r="S573" i="484"/>
  <c r="T573" i="484"/>
  <c r="U573" i="484"/>
  <c r="V573" i="484"/>
  <c r="W573" i="484"/>
  <c r="X573" i="484"/>
  <c r="Y573" i="484"/>
  <c r="Z573" i="484"/>
  <c r="AA573" i="484"/>
  <c r="AB573" i="484"/>
  <c r="AC573" i="484"/>
  <c r="AD573" i="484"/>
  <c r="AE573" i="484"/>
  <c r="AF573" i="484"/>
  <c r="AG573" i="484"/>
  <c r="AH573" i="484"/>
  <c r="AI573" i="484"/>
  <c r="AJ573" i="484"/>
  <c r="AK573" i="484"/>
  <c r="AL573" i="484"/>
  <c r="AM573" i="484"/>
  <c r="AN573" i="484"/>
  <c r="AO573" i="484"/>
  <c r="AP573" i="484"/>
  <c r="AQ573" i="484"/>
  <c r="AR573" i="484"/>
  <c r="AS573" i="484"/>
  <c r="AT573" i="484"/>
  <c r="AU573" i="484"/>
  <c r="AV573" i="484"/>
  <c r="AW573" i="484"/>
  <c r="AX573" i="484"/>
  <c r="AY573" i="484"/>
  <c r="AZ573" i="484"/>
  <c r="BA573" i="484"/>
  <c r="BB573" i="484"/>
  <c r="BC573" i="484"/>
  <c r="BD573" i="484"/>
  <c r="BE573" i="484"/>
  <c r="BF573" i="484"/>
  <c r="BG573" i="484"/>
  <c r="B574" i="484"/>
  <c r="C574" i="484"/>
  <c r="D574" i="484"/>
  <c r="E574" i="484"/>
  <c r="F574" i="484"/>
  <c r="G574" i="484"/>
  <c r="H574" i="484"/>
  <c r="I574" i="484"/>
  <c r="J574" i="484"/>
  <c r="K574" i="484"/>
  <c r="L574" i="484"/>
  <c r="M574" i="484"/>
  <c r="N574" i="484"/>
  <c r="O574" i="484"/>
  <c r="P574" i="484"/>
  <c r="Q574" i="484"/>
  <c r="R574" i="484"/>
  <c r="S574" i="484"/>
  <c r="T574" i="484"/>
  <c r="U574" i="484"/>
  <c r="V574" i="484"/>
  <c r="W574" i="484"/>
  <c r="X574" i="484"/>
  <c r="Y574" i="484"/>
  <c r="Z574" i="484"/>
  <c r="AA574" i="484"/>
  <c r="AB574" i="484"/>
  <c r="AC574" i="484"/>
  <c r="AD574" i="484"/>
  <c r="AE574" i="484"/>
  <c r="AF574" i="484"/>
  <c r="AG574" i="484"/>
  <c r="AH574" i="484"/>
  <c r="AI574" i="484"/>
  <c r="AJ574" i="484"/>
  <c r="AK574" i="484"/>
  <c r="AL574" i="484"/>
  <c r="AM574" i="484"/>
  <c r="AN574" i="484"/>
  <c r="AO574" i="484"/>
  <c r="AP574" i="484"/>
  <c r="AQ574" i="484"/>
  <c r="AR574" i="484"/>
  <c r="AS574" i="484"/>
  <c r="AT574" i="484"/>
  <c r="AU574" i="484"/>
  <c r="AV574" i="484"/>
  <c r="AW574" i="484"/>
  <c r="AX574" i="484"/>
  <c r="AY574" i="484"/>
  <c r="AZ574" i="484"/>
  <c r="BA574" i="484"/>
  <c r="BB574" i="484"/>
  <c r="BC574" i="484"/>
  <c r="BD574" i="484"/>
  <c r="BE574" i="484"/>
  <c r="BF574" i="484"/>
  <c r="BG574" i="484"/>
  <c r="B575" i="484"/>
  <c r="C575" i="484"/>
  <c r="D575" i="484"/>
  <c r="E575" i="484"/>
  <c r="F575" i="484"/>
  <c r="G575" i="484"/>
  <c r="H575" i="484"/>
  <c r="I575" i="484"/>
  <c r="J575" i="484"/>
  <c r="K575" i="484"/>
  <c r="L575" i="484"/>
  <c r="M575" i="484"/>
  <c r="N575" i="484"/>
  <c r="O575" i="484"/>
  <c r="P575" i="484"/>
  <c r="Q575" i="484"/>
  <c r="R575" i="484"/>
  <c r="S575" i="484"/>
  <c r="T575" i="484"/>
  <c r="U575" i="484"/>
  <c r="V575" i="484"/>
  <c r="W575" i="484"/>
  <c r="X575" i="484"/>
  <c r="Y575" i="484"/>
  <c r="Z575" i="484"/>
  <c r="AA575" i="484"/>
  <c r="AB575" i="484"/>
  <c r="AC575" i="484"/>
  <c r="AD575" i="484"/>
  <c r="AE575" i="484"/>
  <c r="AF575" i="484"/>
  <c r="AG575" i="484"/>
  <c r="AH575" i="484"/>
  <c r="AI575" i="484"/>
  <c r="AJ575" i="484"/>
  <c r="AK575" i="484"/>
  <c r="AL575" i="484"/>
  <c r="AM575" i="484"/>
  <c r="AN575" i="484"/>
  <c r="AO575" i="484"/>
  <c r="AP575" i="484"/>
  <c r="AQ575" i="484"/>
  <c r="AR575" i="484"/>
  <c r="AS575" i="484"/>
  <c r="AT575" i="484"/>
  <c r="AU575" i="484"/>
  <c r="AV575" i="484"/>
  <c r="AW575" i="484"/>
  <c r="AX575" i="484"/>
  <c r="AY575" i="484"/>
  <c r="AZ575" i="484"/>
  <c r="BA575" i="484"/>
  <c r="BB575" i="484"/>
  <c r="BC575" i="484"/>
  <c r="BD575" i="484"/>
  <c r="BE575" i="484"/>
  <c r="BF575" i="484"/>
  <c r="BG575" i="484"/>
  <c r="B576" i="484"/>
  <c r="C576" i="484"/>
  <c r="D576" i="484"/>
  <c r="E576" i="484"/>
  <c r="F576" i="484"/>
  <c r="G576" i="484"/>
  <c r="H576" i="484"/>
  <c r="I576" i="484"/>
  <c r="J576" i="484"/>
  <c r="K576" i="484"/>
  <c r="L576" i="484"/>
  <c r="M576" i="484"/>
  <c r="N576" i="484"/>
  <c r="O576" i="484"/>
  <c r="P576" i="484"/>
  <c r="Q576" i="484"/>
  <c r="R576" i="484"/>
  <c r="S576" i="484"/>
  <c r="T576" i="484"/>
  <c r="U576" i="484"/>
  <c r="V576" i="484"/>
  <c r="W576" i="484"/>
  <c r="X576" i="484"/>
  <c r="Y576" i="484"/>
  <c r="Z576" i="484"/>
  <c r="AA576" i="484"/>
  <c r="AB576" i="484"/>
  <c r="AC576" i="484"/>
  <c r="AD576" i="484"/>
  <c r="AE576" i="484"/>
  <c r="AF576" i="484"/>
  <c r="AG576" i="484"/>
  <c r="AH576" i="484"/>
  <c r="AI576" i="484"/>
  <c r="AJ576" i="484"/>
  <c r="AK576" i="484"/>
  <c r="AL576" i="484"/>
  <c r="AM576" i="484"/>
  <c r="AN576" i="484"/>
  <c r="AO576" i="484"/>
  <c r="AP576" i="484"/>
  <c r="AQ576" i="484"/>
  <c r="AR576" i="484"/>
  <c r="AS576" i="484"/>
  <c r="AT576" i="484"/>
  <c r="AU576" i="484"/>
  <c r="AV576" i="484"/>
  <c r="AW576" i="484"/>
  <c r="AX576" i="484"/>
  <c r="AY576" i="484"/>
  <c r="AZ576" i="484"/>
  <c r="BA576" i="484"/>
  <c r="BB576" i="484"/>
  <c r="BC576" i="484"/>
  <c r="BD576" i="484"/>
  <c r="BE576" i="484"/>
  <c r="BF576" i="484"/>
  <c r="BG576" i="484"/>
  <c r="B577" i="484"/>
  <c r="C577" i="484"/>
  <c r="D577" i="484"/>
  <c r="E577" i="484"/>
  <c r="F577" i="484"/>
  <c r="G577" i="484"/>
  <c r="H577" i="484"/>
  <c r="I577" i="484"/>
  <c r="J577" i="484"/>
  <c r="K577" i="484"/>
  <c r="L577" i="484"/>
  <c r="M577" i="484"/>
  <c r="N577" i="484"/>
  <c r="O577" i="484"/>
  <c r="P577" i="484"/>
  <c r="Q577" i="484"/>
  <c r="R577" i="484"/>
  <c r="S577" i="484"/>
  <c r="T577" i="484"/>
  <c r="U577" i="484"/>
  <c r="V577" i="484"/>
  <c r="W577" i="484"/>
  <c r="X577" i="484"/>
  <c r="Y577" i="484"/>
  <c r="Z577" i="484"/>
  <c r="AA577" i="484"/>
  <c r="AB577" i="484"/>
  <c r="AC577" i="484"/>
  <c r="AD577" i="484"/>
  <c r="AE577" i="484"/>
  <c r="AF577" i="484"/>
  <c r="AG577" i="484"/>
  <c r="AH577" i="484"/>
  <c r="AI577" i="484"/>
  <c r="AJ577" i="484"/>
  <c r="AK577" i="484"/>
  <c r="AL577" i="484"/>
  <c r="AM577" i="484"/>
  <c r="AN577" i="484"/>
  <c r="AO577" i="484"/>
  <c r="AP577" i="484"/>
  <c r="AQ577" i="484"/>
  <c r="AR577" i="484"/>
  <c r="AS577" i="484"/>
  <c r="AT577" i="484"/>
  <c r="AU577" i="484"/>
  <c r="AV577" i="484"/>
  <c r="AW577" i="484"/>
  <c r="AX577" i="484"/>
  <c r="AY577" i="484"/>
  <c r="AZ577" i="484"/>
  <c r="BA577" i="484"/>
  <c r="BB577" i="484"/>
  <c r="BC577" i="484"/>
  <c r="BD577" i="484"/>
  <c r="BE577" i="484"/>
  <c r="BF577" i="484"/>
  <c r="BG577" i="484"/>
  <c r="B578" i="484"/>
  <c r="C578" i="484"/>
  <c r="D578" i="484"/>
  <c r="E578" i="484"/>
  <c r="F578" i="484"/>
  <c r="G578" i="484"/>
  <c r="H578" i="484"/>
  <c r="I578" i="484"/>
  <c r="J578" i="484"/>
  <c r="K578" i="484"/>
  <c r="L578" i="484"/>
  <c r="M578" i="484"/>
  <c r="N578" i="484"/>
  <c r="O578" i="484"/>
  <c r="P578" i="484"/>
  <c r="Q578" i="484"/>
  <c r="R578" i="484"/>
  <c r="S578" i="484"/>
  <c r="T578" i="484"/>
  <c r="U578" i="484"/>
  <c r="V578" i="484"/>
  <c r="W578" i="484"/>
  <c r="X578" i="484"/>
  <c r="Y578" i="484"/>
  <c r="Z578" i="484"/>
  <c r="AA578" i="484"/>
  <c r="AB578" i="484"/>
  <c r="AC578" i="484"/>
  <c r="AD578" i="484"/>
  <c r="AE578" i="484"/>
  <c r="AF578" i="484"/>
  <c r="AG578" i="484"/>
  <c r="AH578" i="484"/>
  <c r="AI578" i="484"/>
  <c r="AJ578" i="484"/>
  <c r="AK578" i="484"/>
  <c r="AL578" i="484"/>
  <c r="AM578" i="484"/>
  <c r="AN578" i="484"/>
  <c r="AO578" i="484"/>
  <c r="AP578" i="484"/>
  <c r="AQ578" i="484"/>
  <c r="AR578" i="484"/>
  <c r="AS578" i="484"/>
  <c r="AT578" i="484"/>
  <c r="AU578" i="484"/>
  <c r="AV578" i="484"/>
  <c r="AW578" i="484"/>
  <c r="AX578" i="484"/>
  <c r="AY578" i="484"/>
  <c r="AZ578" i="484"/>
  <c r="BA578" i="484"/>
  <c r="BB578" i="484"/>
  <c r="BC578" i="484"/>
  <c r="BD578" i="484"/>
  <c r="BE578" i="484"/>
  <c r="BF578" i="484"/>
  <c r="BG578" i="484"/>
  <c r="B579" i="484"/>
  <c r="C579" i="484"/>
  <c r="D579" i="484"/>
  <c r="E579" i="484"/>
  <c r="F579" i="484"/>
  <c r="G579" i="484"/>
  <c r="H579" i="484"/>
  <c r="I579" i="484"/>
  <c r="J579" i="484"/>
  <c r="K579" i="484"/>
  <c r="L579" i="484"/>
  <c r="M579" i="484"/>
  <c r="N579" i="484"/>
  <c r="O579" i="484"/>
  <c r="P579" i="484"/>
  <c r="Q579" i="484"/>
  <c r="R579" i="484"/>
  <c r="S579" i="484"/>
  <c r="T579" i="484"/>
  <c r="U579" i="484"/>
  <c r="V579" i="484"/>
  <c r="W579" i="484"/>
  <c r="X579" i="484"/>
  <c r="Y579" i="484"/>
  <c r="Z579" i="484"/>
  <c r="AA579" i="484"/>
  <c r="AB579" i="484"/>
  <c r="AC579" i="484"/>
  <c r="AD579" i="484"/>
  <c r="AE579" i="484"/>
  <c r="AF579" i="484"/>
  <c r="AG579" i="484"/>
  <c r="AH579" i="484"/>
  <c r="AI579" i="484"/>
  <c r="AJ579" i="484"/>
  <c r="AK579" i="484"/>
  <c r="AL579" i="484"/>
  <c r="AM579" i="484"/>
  <c r="AN579" i="484"/>
  <c r="AO579" i="484"/>
  <c r="AP579" i="484"/>
  <c r="AQ579" i="484"/>
  <c r="AR579" i="484"/>
  <c r="AS579" i="484"/>
  <c r="AT579" i="484"/>
  <c r="AU579" i="484"/>
  <c r="AV579" i="484"/>
  <c r="AW579" i="484"/>
  <c r="AX579" i="484"/>
  <c r="AY579" i="484"/>
  <c r="AZ579" i="484"/>
  <c r="BA579" i="484"/>
  <c r="BB579" i="484"/>
  <c r="BC579" i="484"/>
  <c r="BD579" i="484"/>
  <c r="BE579" i="484"/>
  <c r="BF579" i="484"/>
  <c r="BG579" i="484"/>
  <c r="B580" i="484"/>
  <c r="C580" i="484"/>
  <c r="D580" i="484"/>
  <c r="E580" i="484"/>
  <c r="F580" i="484"/>
  <c r="G580" i="484"/>
  <c r="H580" i="484"/>
  <c r="I580" i="484"/>
  <c r="J580" i="484"/>
  <c r="K580" i="484"/>
  <c r="L580" i="484"/>
  <c r="M580" i="484"/>
  <c r="N580" i="484"/>
  <c r="O580" i="484"/>
  <c r="P580" i="484"/>
  <c r="Q580" i="484"/>
  <c r="R580" i="484"/>
  <c r="S580" i="484"/>
  <c r="T580" i="484"/>
  <c r="U580" i="484"/>
  <c r="V580" i="484"/>
  <c r="W580" i="484"/>
  <c r="X580" i="484"/>
  <c r="Y580" i="484"/>
  <c r="Z580" i="484"/>
  <c r="AA580" i="484"/>
  <c r="AB580" i="484"/>
  <c r="AC580" i="484"/>
  <c r="AD580" i="484"/>
  <c r="AE580" i="484"/>
  <c r="AF580" i="484"/>
  <c r="AG580" i="484"/>
  <c r="AH580" i="484"/>
  <c r="AI580" i="484"/>
  <c r="AJ580" i="484"/>
  <c r="AK580" i="484"/>
  <c r="AL580" i="484"/>
  <c r="AM580" i="484"/>
  <c r="AN580" i="484"/>
  <c r="AO580" i="484"/>
  <c r="AP580" i="484"/>
  <c r="AQ580" i="484"/>
  <c r="AR580" i="484"/>
  <c r="AS580" i="484"/>
  <c r="AT580" i="484"/>
  <c r="AU580" i="484"/>
  <c r="AV580" i="484"/>
  <c r="AW580" i="484"/>
  <c r="AX580" i="484"/>
  <c r="AY580" i="484"/>
  <c r="AZ580" i="484"/>
  <c r="BA580" i="484"/>
  <c r="BB580" i="484"/>
  <c r="BC580" i="484"/>
  <c r="BD580" i="484"/>
  <c r="BE580" i="484"/>
  <c r="BF580" i="484"/>
  <c r="BG580" i="484"/>
  <c r="B581" i="484"/>
  <c r="C581" i="484"/>
  <c r="D581" i="484"/>
  <c r="E581" i="484"/>
  <c r="F581" i="484"/>
  <c r="G581" i="484"/>
  <c r="H581" i="484"/>
  <c r="I581" i="484"/>
  <c r="J581" i="484"/>
  <c r="K581" i="484"/>
  <c r="L581" i="484"/>
  <c r="M581" i="484"/>
  <c r="N581" i="484"/>
  <c r="O581" i="484"/>
  <c r="P581" i="484"/>
  <c r="Q581" i="484"/>
  <c r="R581" i="484"/>
  <c r="S581" i="484"/>
  <c r="T581" i="484"/>
  <c r="U581" i="484"/>
  <c r="V581" i="484"/>
  <c r="W581" i="484"/>
  <c r="X581" i="484"/>
  <c r="Y581" i="484"/>
  <c r="Z581" i="484"/>
  <c r="AA581" i="484"/>
  <c r="AB581" i="484"/>
  <c r="AC581" i="484"/>
  <c r="AD581" i="484"/>
  <c r="AE581" i="484"/>
  <c r="AF581" i="484"/>
  <c r="AG581" i="484"/>
  <c r="AH581" i="484"/>
  <c r="AI581" i="484"/>
  <c r="AJ581" i="484"/>
  <c r="AK581" i="484"/>
  <c r="AL581" i="484"/>
  <c r="AM581" i="484"/>
  <c r="AN581" i="484"/>
  <c r="AO581" i="484"/>
  <c r="AP581" i="484"/>
  <c r="AQ581" i="484"/>
  <c r="AR581" i="484"/>
  <c r="AS581" i="484"/>
  <c r="AT581" i="484"/>
  <c r="AU581" i="484"/>
  <c r="AV581" i="484"/>
  <c r="AW581" i="484"/>
  <c r="AX581" i="484"/>
  <c r="AY581" i="484"/>
  <c r="AZ581" i="484"/>
  <c r="BA581" i="484"/>
  <c r="BB581" i="484"/>
  <c r="BC581" i="484"/>
  <c r="BD581" i="484"/>
  <c r="BE581" i="484"/>
  <c r="BF581" i="484"/>
  <c r="BG581" i="484"/>
  <c r="B582" i="484"/>
  <c r="C582" i="484"/>
  <c r="D582" i="484"/>
  <c r="E582" i="484"/>
  <c r="F582" i="484"/>
  <c r="G582" i="484"/>
  <c r="H582" i="484"/>
  <c r="I582" i="484"/>
  <c r="J582" i="484"/>
  <c r="K582" i="484"/>
  <c r="L582" i="484"/>
  <c r="M582" i="484"/>
  <c r="N582" i="484"/>
  <c r="O582" i="484"/>
  <c r="P582" i="484"/>
  <c r="Q582" i="484"/>
  <c r="R582" i="484"/>
  <c r="S582" i="484"/>
  <c r="T582" i="484"/>
  <c r="U582" i="484"/>
  <c r="V582" i="484"/>
  <c r="W582" i="484"/>
  <c r="X582" i="484"/>
  <c r="Y582" i="484"/>
  <c r="Z582" i="484"/>
  <c r="AA582" i="484"/>
  <c r="AB582" i="484"/>
  <c r="AC582" i="484"/>
  <c r="AD582" i="484"/>
  <c r="AE582" i="484"/>
  <c r="AF582" i="484"/>
  <c r="AG582" i="484"/>
  <c r="AH582" i="484"/>
  <c r="AI582" i="484"/>
  <c r="AJ582" i="484"/>
  <c r="AK582" i="484"/>
  <c r="AL582" i="484"/>
  <c r="AM582" i="484"/>
  <c r="AN582" i="484"/>
  <c r="AO582" i="484"/>
  <c r="AP582" i="484"/>
  <c r="AQ582" i="484"/>
  <c r="AR582" i="484"/>
  <c r="AS582" i="484"/>
  <c r="AT582" i="484"/>
  <c r="AU582" i="484"/>
  <c r="AV582" i="484"/>
  <c r="AW582" i="484"/>
  <c r="AX582" i="484"/>
  <c r="AY582" i="484"/>
  <c r="AZ582" i="484"/>
  <c r="BA582" i="484"/>
  <c r="BB582" i="484"/>
  <c r="BC582" i="484"/>
  <c r="BD582" i="484"/>
  <c r="BE582" i="484"/>
  <c r="BF582" i="484"/>
  <c r="BG582" i="484"/>
  <c r="B583" i="484"/>
  <c r="C583" i="484"/>
  <c r="D583" i="484"/>
  <c r="E583" i="484"/>
  <c r="F583" i="484"/>
  <c r="G583" i="484"/>
  <c r="H583" i="484"/>
  <c r="I583" i="484"/>
  <c r="J583" i="484"/>
  <c r="K583" i="484"/>
  <c r="L583" i="484"/>
  <c r="M583" i="484"/>
  <c r="N583" i="484"/>
  <c r="O583" i="484"/>
  <c r="P583" i="484"/>
  <c r="Q583" i="484"/>
  <c r="R583" i="484"/>
  <c r="S583" i="484"/>
  <c r="T583" i="484"/>
  <c r="U583" i="484"/>
  <c r="V583" i="484"/>
  <c r="W583" i="484"/>
  <c r="X583" i="484"/>
  <c r="Y583" i="484"/>
  <c r="Z583" i="484"/>
  <c r="AA583" i="484"/>
  <c r="AB583" i="484"/>
  <c r="AC583" i="484"/>
  <c r="AD583" i="484"/>
  <c r="AE583" i="484"/>
  <c r="AF583" i="484"/>
  <c r="AG583" i="484"/>
  <c r="AH583" i="484"/>
  <c r="AI583" i="484"/>
  <c r="AJ583" i="484"/>
  <c r="AK583" i="484"/>
  <c r="AL583" i="484"/>
  <c r="AM583" i="484"/>
  <c r="AN583" i="484"/>
  <c r="AO583" i="484"/>
  <c r="AP583" i="484"/>
  <c r="AQ583" i="484"/>
  <c r="AR583" i="484"/>
  <c r="AS583" i="484"/>
  <c r="AT583" i="484"/>
  <c r="AU583" i="484"/>
  <c r="AV583" i="484"/>
  <c r="AW583" i="484"/>
  <c r="AX583" i="484"/>
  <c r="AY583" i="484"/>
  <c r="AZ583" i="484"/>
  <c r="BA583" i="484"/>
  <c r="BB583" i="484"/>
  <c r="BC583" i="484"/>
  <c r="BD583" i="484"/>
  <c r="BE583" i="484"/>
  <c r="BF583" i="484"/>
  <c r="BG583" i="484"/>
  <c r="B584" i="484"/>
  <c r="C584" i="484"/>
  <c r="D584" i="484"/>
  <c r="E584" i="484"/>
  <c r="F584" i="484"/>
  <c r="G584" i="484"/>
  <c r="H584" i="484"/>
  <c r="I584" i="484"/>
  <c r="J584" i="484"/>
  <c r="K584" i="484"/>
  <c r="L584" i="484"/>
  <c r="M584" i="484"/>
  <c r="N584" i="484"/>
  <c r="O584" i="484"/>
  <c r="P584" i="484"/>
  <c r="Q584" i="484"/>
  <c r="R584" i="484"/>
  <c r="S584" i="484"/>
  <c r="T584" i="484"/>
  <c r="U584" i="484"/>
  <c r="V584" i="484"/>
  <c r="W584" i="484"/>
  <c r="X584" i="484"/>
  <c r="Y584" i="484"/>
  <c r="Z584" i="484"/>
  <c r="AA584" i="484"/>
  <c r="AB584" i="484"/>
  <c r="AC584" i="484"/>
  <c r="AD584" i="484"/>
  <c r="AE584" i="484"/>
  <c r="AF584" i="484"/>
  <c r="AG584" i="484"/>
  <c r="AH584" i="484"/>
  <c r="AI584" i="484"/>
  <c r="AJ584" i="484"/>
  <c r="AK584" i="484"/>
  <c r="AL584" i="484"/>
  <c r="AM584" i="484"/>
  <c r="AN584" i="484"/>
  <c r="AO584" i="484"/>
  <c r="AP584" i="484"/>
  <c r="AQ584" i="484"/>
  <c r="AR584" i="484"/>
  <c r="AS584" i="484"/>
  <c r="AT584" i="484"/>
  <c r="AU584" i="484"/>
  <c r="AV584" i="484"/>
  <c r="AW584" i="484"/>
  <c r="AX584" i="484"/>
  <c r="AY584" i="484"/>
  <c r="AZ584" i="484"/>
  <c r="BA584" i="484"/>
  <c r="BB584" i="484"/>
  <c r="BC584" i="484"/>
  <c r="BD584" i="484"/>
  <c r="BE584" i="484"/>
  <c r="BF584" i="484"/>
  <c r="BG584" i="484"/>
  <c r="B585" i="484"/>
  <c r="C585" i="484"/>
  <c r="D585" i="484"/>
  <c r="E585" i="484"/>
  <c r="F585" i="484"/>
  <c r="G585" i="484"/>
  <c r="H585" i="484"/>
  <c r="I585" i="484"/>
  <c r="J585" i="484"/>
  <c r="K585" i="484"/>
  <c r="L585" i="484"/>
  <c r="M585" i="484"/>
  <c r="N585" i="484"/>
  <c r="O585" i="484"/>
  <c r="P585" i="484"/>
  <c r="Q585" i="484"/>
  <c r="R585" i="484"/>
  <c r="S585" i="484"/>
  <c r="T585" i="484"/>
  <c r="U585" i="484"/>
  <c r="V585" i="484"/>
  <c r="W585" i="484"/>
  <c r="X585" i="484"/>
  <c r="Y585" i="484"/>
  <c r="Z585" i="484"/>
  <c r="AA585" i="484"/>
  <c r="AB585" i="484"/>
  <c r="AC585" i="484"/>
  <c r="AD585" i="484"/>
  <c r="AE585" i="484"/>
  <c r="AF585" i="484"/>
  <c r="AG585" i="484"/>
  <c r="AH585" i="484"/>
  <c r="AI585" i="484"/>
  <c r="AJ585" i="484"/>
  <c r="AK585" i="484"/>
  <c r="AL585" i="484"/>
  <c r="AM585" i="484"/>
  <c r="AN585" i="484"/>
  <c r="AO585" i="484"/>
  <c r="AP585" i="484"/>
  <c r="AQ585" i="484"/>
  <c r="AR585" i="484"/>
  <c r="AS585" i="484"/>
  <c r="AT585" i="484"/>
  <c r="AU585" i="484"/>
  <c r="AV585" i="484"/>
  <c r="AW585" i="484"/>
  <c r="AX585" i="484"/>
  <c r="AY585" i="484"/>
  <c r="AZ585" i="484"/>
  <c r="BA585" i="484"/>
  <c r="BB585" i="484"/>
  <c r="BC585" i="484"/>
  <c r="BD585" i="484"/>
  <c r="BE585" i="484"/>
  <c r="BF585" i="484"/>
  <c r="BG585" i="484"/>
  <c r="B586" i="484"/>
  <c r="C586" i="484"/>
  <c r="D586" i="484"/>
  <c r="E586" i="484"/>
  <c r="F586" i="484"/>
  <c r="G586" i="484"/>
  <c r="H586" i="484"/>
  <c r="I586" i="484"/>
  <c r="J586" i="484"/>
  <c r="K586" i="484"/>
  <c r="L586" i="484"/>
  <c r="M586" i="484"/>
  <c r="N586" i="484"/>
  <c r="O586" i="484"/>
  <c r="P586" i="484"/>
  <c r="Q586" i="484"/>
  <c r="R586" i="484"/>
  <c r="S586" i="484"/>
  <c r="T586" i="484"/>
  <c r="U586" i="484"/>
  <c r="V586" i="484"/>
  <c r="W586" i="484"/>
  <c r="X586" i="484"/>
  <c r="Y586" i="484"/>
  <c r="Z586" i="484"/>
  <c r="AA586" i="484"/>
  <c r="AB586" i="484"/>
  <c r="AC586" i="484"/>
  <c r="AD586" i="484"/>
  <c r="AE586" i="484"/>
  <c r="AF586" i="484"/>
  <c r="AG586" i="484"/>
  <c r="AH586" i="484"/>
  <c r="AI586" i="484"/>
  <c r="AJ586" i="484"/>
  <c r="AK586" i="484"/>
  <c r="AL586" i="484"/>
  <c r="AM586" i="484"/>
  <c r="AN586" i="484"/>
  <c r="AO586" i="484"/>
  <c r="AP586" i="484"/>
  <c r="AQ586" i="484"/>
  <c r="AR586" i="484"/>
  <c r="AS586" i="484"/>
  <c r="AT586" i="484"/>
  <c r="AU586" i="484"/>
  <c r="AV586" i="484"/>
  <c r="AW586" i="484"/>
  <c r="AX586" i="484"/>
  <c r="AY586" i="484"/>
  <c r="AZ586" i="484"/>
  <c r="BA586" i="484"/>
  <c r="BB586" i="484"/>
  <c r="BC586" i="484"/>
  <c r="BD586" i="484"/>
  <c r="BE586" i="484"/>
  <c r="BF586" i="484"/>
  <c r="BG586" i="484"/>
  <c r="B587" i="484"/>
  <c r="C587" i="484"/>
  <c r="D587" i="484"/>
  <c r="E587" i="484"/>
  <c r="F587" i="484"/>
  <c r="G587" i="484"/>
  <c r="H587" i="484"/>
  <c r="I587" i="484"/>
  <c r="J587" i="484"/>
  <c r="K587" i="484"/>
  <c r="L587" i="484"/>
  <c r="M587" i="484"/>
  <c r="N587" i="484"/>
  <c r="O587" i="484"/>
  <c r="P587" i="484"/>
  <c r="Q587" i="484"/>
  <c r="R587" i="484"/>
  <c r="S587" i="484"/>
  <c r="T587" i="484"/>
  <c r="U587" i="484"/>
  <c r="V587" i="484"/>
  <c r="W587" i="484"/>
  <c r="X587" i="484"/>
  <c r="Y587" i="484"/>
  <c r="Z587" i="484"/>
  <c r="AA587" i="484"/>
  <c r="AB587" i="484"/>
  <c r="AC587" i="484"/>
  <c r="AD587" i="484"/>
  <c r="AE587" i="484"/>
  <c r="AF587" i="484"/>
  <c r="AG587" i="484"/>
  <c r="AH587" i="484"/>
  <c r="AI587" i="484"/>
  <c r="AJ587" i="484"/>
  <c r="AK587" i="484"/>
  <c r="AL587" i="484"/>
  <c r="AM587" i="484"/>
  <c r="AN587" i="484"/>
  <c r="AO587" i="484"/>
  <c r="AP587" i="484"/>
  <c r="AQ587" i="484"/>
  <c r="AR587" i="484"/>
  <c r="AS587" i="484"/>
  <c r="AT587" i="484"/>
  <c r="AU587" i="484"/>
  <c r="AV587" i="484"/>
  <c r="AW587" i="484"/>
  <c r="AX587" i="484"/>
  <c r="AY587" i="484"/>
  <c r="AZ587" i="484"/>
  <c r="BA587" i="484"/>
  <c r="BB587" i="484"/>
  <c r="BC587" i="484"/>
  <c r="BD587" i="484"/>
  <c r="BE587" i="484"/>
  <c r="BF587" i="484"/>
  <c r="BG587" i="484"/>
  <c r="B588" i="484"/>
  <c r="C588" i="484"/>
  <c r="D588" i="484"/>
  <c r="E588" i="484"/>
  <c r="F588" i="484"/>
  <c r="G588" i="484"/>
  <c r="H588" i="484"/>
  <c r="I588" i="484"/>
  <c r="J588" i="484"/>
  <c r="K588" i="484"/>
  <c r="L588" i="484"/>
  <c r="M588" i="484"/>
  <c r="N588" i="484"/>
  <c r="O588" i="484"/>
  <c r="P588" i="484"/>
  <c r="Q588" i="484"/>
  <c r="R588" i="484"/>
  <c r="S588" i="484"/>
  <c r="T588" i="484"/>
  <c r="U588" i="484"/>
  <c r="V588" i="484"/>
  <c r="W588" i="484"/>
  <c r="X588" i="484"/>
  <c r="Y588" i="484"/>
  <c r="Z588" i="484"/>
  <c r="AA588" i="484"/>
  <c r="AB588" i="484"/>
  <c r="AC588" i="484"/>
  <c r="AD588" i="484"/>
  <c r="AE588" i="484"/>
  <c r="AF588" i="484"/>
  <c r="AG588" i="484"/>
  <c r="AH588" i="484"/>
  <c r="AI588" i="484"/>
  <c r="AJ588" i="484"/>
  <c r="AK588" i="484"/>
  <c r="AL588" i="484"/>
  <c r="AM588" i="484"/>
  <c r="AN588" i="484"/>
  <c r="AO588" i="484"/>
  <c r="AP588" i="484"/>
  <c r="AQ588" i="484"/>
  <c r="AR588" i="484"/>
  <c r="AS588" i="484"/>
  <c r="AT588" i="484"/>
  <c r="AU588" i="484"/>
  <c r="AV588" i="484"/>
  <c r="AW588" i="484"/>
  <c r="AX588" i="484"/>
  <c r="AY588" i="484"/>
  <c r="AZ588" i="484"/>
  <c r="BA588" i="484"/>
  <c r="BB588" i="484"/>
  <c r="BC588" i="484"/>
  <c r="BD588" i="484"/>
  <c r="BE588" i="484"/>
  <c r="BF588" i="484"/>
  <c r="BG588" i="484"/>
  <c r="B589" i="484"/>
  <c r="C589" i="484"/>
  <c r="D589" i="484"/>
  <c r="E589" i="484"/>
  <c r="F589" i="484"/>
  <c r="G589" i="484"/>
  <c r="H589" i="484"/>
  <c r="I589" i="484"/>
  <c r="J589" i="484"/>
  <c r="K589" i="484"/>
  <c r="L589" i="484"/>
  <c r="M589" i="484"/>
  <c r="N589" i="484"/>
  <c r="O589" i="484"/>
  <c r="P589" i="484"/>
  <c r="Q589" i="484"/>
  <c r="R589" i="484"/>
  <c r="S589" i="484"/>
  <c r="T589" i="484"/>
  <c r="U589" i="484"/>
  <c r="V589" i="484"/>
  <c r="W589" i="484"/>
  <c r="X589" i="484"/>
  <c r="Y589" i="484"/>
  <c r="Z589" i="484"/>
  <c r="AA589" i="484"/>
  <c r="AB589" i="484"/>
  <c r="AC589" i="484"/>
  <c r="AD589" i="484"/>
  <c r="AE589" i="484"/>
  <c r="AF589" i="484"/>
  <c r="AG589" i="484"/>
  <c r="AH589" i="484"/>
  <c r="AI589" i="484"/>
  <c r="AJ589" i="484"/>
  <c r="AK589" i="484"/>
  <c r="AL589" i="484"/>
  <c r="AM589" i="484"/>
  <c r="AN589" i="484"/>
  <c r="AO589" i="484"/>
  <c r="AP589" i="484"/>
  <c r="AQ589" i="484"/>
  <c r="AR589" i="484"/>
  <c r="AS589" i="484"/>
  <c r="AT589" i="484"/>
  <c r="AU589" i="484"/>
  <c r="AV589" i="484"/>
  <c r="AW589" i="484"/>
  <c r="AX589" i="484"/>
  <c r="AY589" i="484"/>
  <c r="AZ589" i="484"/>
  <c r="BA589" i="484"/>
  <c r="BB589" i="484"/>
  <c r="BC589" i="484"/>
  <c r="BD589" i="484"/>
  <c r="BE589" i="484"/>
  <c r="BF589" i="484"/>
  <c r="BG589" i="484"/>
  <c r="B590" i="484"/>
  <c r="C590" i="484"/>
  <c r="D590" i="484"/>
  <c r="E590" i="484"/>
  <c r="F590" i="484"/>
  <c r="G590" i="484"/>
  <c r="H590" i="484"/>
  <c r="I590" i="484"/>
  <c r="J590" i="484"/>
  <c r="K590" i="484"/>
  <c r="L590" i="484"/>
  <c r="M590" i="484"/>
  <c r="N590" i="484"/>
  <c r="O590" i="484"/>
  <c r="P590" i="484"/>
  <c r="Q590" i="484"/>
  <c r="R590" i="484"/>
  <c r="S590" i="484"/>
  <c r="T590" i="484"/>
  <c r="U590" i="484"/>
  <c r="V590" i="484"/>
  <c r="W590" i="484"/>
  <c r="X590" i="484"/>
  <c r="Y590" i="484"/>
  <c r="Z590" i="484"/>
  <c r="AA590" i="484"/>
  <c r="AB590" i="484"/>
  <c r="AC590" i="484"/>
  <c r="AD590" i="484"/>
  <c r="AE590" i="484"/>
  <c r="AF590" i="484"/>
  <c r="AG590" i="484"/>
  <c r="AH590" i="484"/>
  <c r="AI590" i="484"/>
  <c r="AJ590" i="484"/>
  <c r="AK590" i="484"/>
  <c r="AL590" i="484"/>
  <c r="AM590" i="484"/>
  <c r="AN590" i="484"/>
  <c r="AO590" i="484"/>
  <c r="AP590" i="484"/>
  <c r="AQ590" i="484"/>
  <c r="AR590" i="484"/>
  <c r="AS590" i="484"/>
  <c r="AT590" i="484"/>
  <c r="AU590" i="484"/>
  <c r="AV590" i="484"/>
  <c r="AW590" i="484"/>
  <c r="AX590" i="484"/>
  <c r="AY590" i="484"/>
  <c r="AZ590" i="484"/>
  <c r="BA590" i="484"/>
  <c r="BB590" i="484"/>
  <c r="BC590" i="484"/>
  <c r="BD590" i="484"/>
  <c r="BE590" i="484"/>
  <c r="BF590" i="484"/>
  <c r="BG590" i="484"/>
  <c r="B591" i="484"/>
  <c r="C591" i="484"/>
  <c r="D591" i="484"/>
  <c r="E591" i="484"/>
  <c r="F591" i="484"/>
  <c r="G591" i="484"/>
  <c r="H591" i="484"/>
  <c r="I591" i="484"/>
  <c r="J591" i="484"/>
  <c r="K591" i="484"/>
  <c r="L591" i="484"/>
  <c r="M591" i="484"/>
  <c r="N591" i="484"/>
  <c r="O591" i="484"/>
  <c r="P591" i="484"/>
  <c r="Q591" i="484"/>
  <c r="R591" i="484"/>
  <c r="S591" i="484"/>
  <c r="T591" i="484"/>
  <c r="U591" i="484"/>
  <c r="V591" i="484"/>
  <c r="W591" i="484"/>
  <c r="X591" i="484"/>
  <c r="Y591" i="484"/>
  <c r="Z591" i="484"/>
  <c r="AA591" i="484"/>
  <c r="AB591" i="484"/>
  <c r="AC591" i="484"/>
  <c r="AD591" i="484"/>
  <c r="AE591" i="484"/>
  <c r="AF591" i="484"/>
  <c r="AG591" i="484"/>
  <c r="AH591" i="484"/>
  <c r="AI591" i="484"/>
  <c r="AJ591" i="484"/>
  <c r="AK591" i="484"/>
  <c r="AL591" i="484"/>
  <c r="AM591" i="484"/>
  <c r="AN591" i="484"/>
  <c r="AO591" i="484"/>
  <c r="AP591" i="484"/>
  <c r="AQ591" i="484"/>
  <c r="AR591" i="484"/>
  <c r="AS591" i="484"/>
  <c r="AT591" i="484"/>
  <c r="AU591" i="484"/>
  <c r="AV591" i="484"/>
  <c r="AW591" i="484"/>
  <c r="AX591" i="484"/>
  <c r="AY591" i="484"/>
  <c r="AZ591" i="484"/>
  <c r="BA591" i="484"/>
  <c r="BB591" i="484"/>
  <c r="BC591" i="484"/>
  <c r="BD591" i="484"/>
  <c r="BE591" i="484"/>
  <c r="BF591" i="484"/>
  <c r="BG591" i="484"/>
  <c r="B592" i="484"/>
  <c r="C592" i="484"/>
  <c r="D592" i="484"/>
  <c r="E592" i="484"/>
  <c r="F592" i="484"/>
  <c r="G592" i="484"/>
  <c r="H592" i="484"/>
  <c r="I592" i="484"/>
  <c r="J592" i="484"/>
  <c r="K592" i="484"/>
  <c r="L592" i="484"/>
  <c r="M592" i="484"/>
  <c r="N592" i="484"/>
  <c r="O592" i="484"/>
  <c r="P592" i="484"/>
  <c r="Q592" i="484"/>
  <c r="R592" i="484"/>
  <c r="S592" i="484"/>
  <c r="T592" i="484"/>
  <c r="U592" i="484"/>
  <c r="V592" i="484"/>
  <c r="W592" i="484"/>
  <c r="X592" i="484"/>
  <c r="Y592" i="484"/>
  <c r="Z592" i="484"/>
  <c r="AA592" i="484"/>
  <c r="AB592" i="484"/>
  <c r="AC592" i="484"/>
  <c r="AD592" i="484"/>
  <c r="AE592" i="484"/>
  <c r="AF592" i="484"/>
  <c r="AG592" i="484"/>
  <c r="AH592" i="484"/>
  <c r="AI592" i="484"/>
  <c r="AJ592" i="484"/>
  <c r="AK592" i="484"/>
  <c r="AL592" i="484"/>
  <c r="AM592" i="484"/>
  <c r="AN592" i="484"/>
  <c r="AO592" i="484"/>
  <c r="AP592" i="484"/>
  <c r="AQ592" i="484"/>
  <c r="AR592" i="484"/>
  <c r="AS592" i="484"/>
  <c r="AT592" i="484"/>
  <c r="AU592" i="484"/>
  <c r="AV592" i="484"/>
  <c r="AW592" i="484"/>
  <c r="AX592" i="484"/>
  <c r="AY592" i="484"/>
  <c r="AZ592" i="484"/>
  <c r="BA592" i="484"/>
  <c r="BB592" i="484"/>
  <c r="BC592" i="484"/>
  <c r="BD592" i="484"/>
  <c r="BE592" i="484"/>
  <c r="BF592" i="484"/>
  <c r="BG592" i="484"/>
  <c r="B593" i="484"/>
  <c r="C593" i="484"/>
  <c r="D593" i="484"/>
  <c r="E593" i="484"/>
  <c r="F593" i="484"/>
  <c r="G593" i="484"/>
  <c r="H593" i="484"/>
  <c r="I593" i="484"/>
  <c r="J593" i="484"/>
  <c r="K593" i="484"/>
  <c r="L593" i="484"/>
  <c r="M593" i="484"/>
  <c r="N593" i="484"/>
  <c r="O593" i="484"/>
  <c r="P593" i="484"/>
  <c r="Q593" i="484"/>
  <c r="R593" i="484"/>
  <c r="S593" i="484"/>
  <c r="T593" i="484"/>
  <c r="U593" i="484"/>
  <c r="V593" i="484"/>
  <c r="W593" i="484"/>
  <c r="X593" i="484"/>
  <c r="Y593" i="484"/>
  <c r="Z593" i="484"/>
  <c r="AA593" i="484"/>
  <c r="AB593" i="484"/>
  <c r="AC593" i="484"/>
  <c r="AD593" i="484"/>
  <c r="AE593" i="484"/>
  <c r="AF593" i="484"/>
  <c r="AG593" i="484"/>
  <c r="AH593" i="484"/>
  <c r="AI593" i="484"/>
  <c r="AJ593" i="484"/>
  <c r="AK593" i="484"/>
  <c r="AL593" i="484"/>
  <c r="AM593" i="484"/>
  <c r="AN593" i="484"/>
  <c r="AO593" i="484"/>
  <c r="AP593" i="484"/>
  <c r="AQ593" i="484"/>
  <c r="AR593" i="484"/>
  <c r="AS593" i="484"/>
  <c r="AT593" i="484"/>
  <c r="AU593" i="484"/>
  <c r="AV593" i="484"/>
  <c r="AW593" i="484"/>
  <c r="AX593" i="484"/>
  <c r="AY593" i="484"/>
  <c r="AZ593" i="484"/>
  <c r="BA593" i="484"/>
  <c r="BB593" i="484"/>
  <c r="BC593" i="484"/>
  <c r="BD593" i="484"/>
  <c r="BE593" i="484"/>
  <c r="BF593" i="484"/>
  <c r="BG593" i="484"/>
  <c r="B594" i="484"/>
  <c r="C594" i="484"/>
  <c r="D594" i="484"/>
  <c r="E594" i="484"/>
  <c r="F594" i="484"/>
  <c r="G594" i="484"/>
  <c r="H594" i="484"/>
  <c r="I594" i="484"/>
  <c r="J594" i="484"/>
  <c r="K594" i="484"/>
  <c r="L594" i="484"/>
  <c r="M594" i="484"/>
  <c r="N594" i="484"/>
  <c r="O594" i="484"/>
  <c r="P594" i="484"/>
  <c r="Q594" i="484"/>
  <c r="R594" i="484"/>
  <c r="S594" i="484"/>
  <c r="T594" i="484"/>
  <c r="U594" i="484"/>
  <c r="V594" i="484"/>
  <c r="W594" i="484"/>
  <c r="X594" i="484"/>
  <c r="Y594" i="484"/>
  <c r="Z594" i="484"/>
  <c r="AA594" i="484"/>
  <c r="AB594" i="484"/>
  <c r="AC594" i="484"/>
  <c r="AD594" i="484"/>
  <c r="AE594" i="484"/>
  <c r="AF594" i="484"/>
  <c r="AG594" i="484"/>
  <c r="AH594" i="484"/>
  <c r="AI594" i="484"/>
  <c r="AJ594" i="484"/>
  <c r="AK594" i="484"/>
  <c r="AL594" i="484"/>
  <c r="AM594" i="484"/>
  <c r="AN594" i="484"/>
  <c r="AO594" i="484"/>
  <c r="AP594" i="484"/>
  <c r="AQ594" i="484"/>
  <c r="AR594" i="484"/>
  <c r="AS594" i="484"/>
  <c r="AT594" i="484"/>
  <c r="AU594" i="484"/>
  <c r="AV594" i="484"/>
  <c r="AW594" i="484"/>
  <c r="AX594" i="484"/>
  <c r="AY594" i="484"/>
  <c r="AZ594" i="484"/>
  <c r="BA594" i="484"/>
  <c r="BB594" i="484"/>
  <c r="BC594" i="484"/>
  <c r="BD594" i="484"/>
  <c r="BE594" i="484"/>
  <c r="BF594" i="484"/>
  <c r="BG594" i="484"/>
  <c r="B543" i="484"/>
  <c r="C543" i="484"/>
  <c r="D543" i="484"/>
  <c r="E543" i="484"/>
  <c r="F543" i="484"/>
  <c r="G543" i="484"/>
  <c r="H543" i="484"/>
  <c r="I543" i="484"/>
  <c r="J543" i="484"/>
  <c r="K543" i="484"/>
  <c r="L543" i="484"/>
  <c r="M543" i="484"/>
  <c r="N543" i="484"/>
  <c r="O543" i="484"/>
  <c r="P543" i="484"/>
  <c r="Q543" i="484"/>
  <c r="R543" i="484"/>
  <c r="S543" i="484"/>
  <c r="T543" i="484"/>
  <c r="U543" i="484"/>
  <c r="V543" i="484"/>
  <c r="W543" i="484"/>
  <c r="X543" i="484"/>
  <c r="Y543" i="484"/>
  <c r="Z543" i="484"/>
  <c r="AA543" i="484"/>
  <c r="AB543" i="484"/>
  <c r="AC543" i="484"/>
  <c r="AD543" i="484"/>
  <c r="AE543" i="484"/>
  <c r="AF543" i="484"/>
  <c r="AG543" i="484"/>
  <c r="AH543" i="484"/>
  <c r="AI543" i="484"/>
  <c r="AJ543" i="484"/>
  <c r="AK543" i="484"/>
  <c r="AL543" i="484"/>
  <c r="AM543" i="484"/>
  <c r="AN543" i="484"/>
  <c r="AO543" i="484"/>
  <c r="AP543" i="484"/>
  <c r="AQ543" i="484"/>
  <c r="AR543" i="484"/>
  <c r="AS543" i="484"/>
  <c r="AT543" i="484"/>
  <c r="AU543" i="484"/>
  <c r="AV543" i="484"/>
  <c r="AW543" i="484"/>
  <c r="AX543" i="484"/>
  <c r="AY543" i="484"/>
  <c r="AZ543" i="484"/>
  <c r="BA543" i="484"/>
  <c r="BB543" i="484"/>
  <c r="BC543" i="484"/>
  <c r="BD543" i="484"/>
  <c r="BE543" i="484"/>
  <c r="BF543" i="484"/>
  <c r="BG543" i="484"/>
  <c r="B544" i="484"/>
  <c r="C544" i="484"/>
  <c r="D544" i="484"/>
  <c r="E544" i="484"/>
  <c r="F544" i="484"/>
  <c r="G544" i="484"/>
  <c r="H544" i="484"/>
  <c r="I544" i="484"/>
  <c r="J544" i="484"/>
  <c r="K544" i="484"/>
  <c r="L544" i="484"/>
  <c r="M544" i="484"/>
  <c r="N544" i="484"/>
  <c r="O544" i="484"/>
  <c r="P544" i="484"/>
  <c r="Q544" i="484"/>
  <c r="R544" i="484"/>
  <c r="S544" i="484"/>
  <c r="T544" i="484"/>
  <c r="U544" i="484"/>
  <c r="V544" i="484"/>
  <c r="W544" i="484"/>
  <c r="X544" i="484"/>
  <c r="Y544" i="484"/>
  <c r="Z544" i="484"/>
  <c r="AA544" i="484"/>
  <c r="AB544" i="484"/>
  <c r="AC544" i="484"/>
  <c r="AD544" i="484"/>
  <c r="AE544" i="484"/>
  <c r="AF544" i="484"/>
  <c r="AG544" i="484"/>
  <c r="AH544" i="484"/>
  <c r="AI544" i="484"/>
  <c r="AJ544" i="484"/>
  <c r="AK544" i="484"/>
  <c r="AL544" i="484"/>
  <c r="AM544" i="484"/>
  <c r="AN544" i="484"/>
  <c r="AO544" i="484"/>
  <c r="AP544" i="484"/>
  <c r="AQ544" i="484"/>
  <c r="AR544" i="484"/>
  <c r="AS544" i="484"/>
  <c r="AT544" i="484"/>
  <c r="AU544" i="484"/>
  <c r="AV544" i="484"/>
  <c r="AW544" i="484"/>
  <c r="AX544" i="484"/>
  <c r="AY544" i="484"/>
  <c r="AZ544" i="484"/>
  <c r="BA544" i="484"/>
  <c r="BB544" i="484"/>
  <c r="BC544" i="484"/>
  <c r="BD544" i="484"/>
  <c r="BE544" i="484"/>
  <c r="BF544" i="484"/>
  <c r="BG544" i="484"/>
  <c r="B545" i="484"/>
  <c r="C545" i="484"/>
  <c r="D545" i="484"/>
  <c r="E545" i="484"/>
  <c r="F545" i="484"/>
  <c r="G545" i="484"/>
  <c r="H545" i="484"/>
  <c r="I545" i="484"/>
  <c r="J545" i="484"/>
  <c r="K545" i="484"/>
  <c r="L545" i="484"/>
  <c r="M545" i="484"/>
  <c r="N545" i="484"/>
  <c r="O545" i="484"/>
  <c r="P545" i="484"/>
  <c r="Q545" i="484"/>
  <c r="R545" i="484"/>
  <c r="S545" i="484"/>
  <c r="T545" i="484"/>
  <c r="U545" i="484"/>
  <c r="V545" i="484"/>
  <c r="W545" i="484"/>
  <c r="X545" i="484"/>
  <c r="Y545" i="484"/>
  <c r="Z545" i="484"/>
  <c r="AA545" i="484"/>
  <c r="AB545" i="484"/>
  <c r="AC545" i="484"/>
  <c r="AD545" i="484"/>
  <c r="AE545" i="484"/>
  <c r="AF545" i="484"/>
  <c r="AG545" i="484"/>
  <c r="AH545" i="484"/>
  <c r="AI545" i="484"/>
  <c r="AJ545" i="484"/>
  <c r="AK545" i="484"/>
  <c r="AL545" i="484"/>
  <c r="AM545" i="484"/>
  <c r="AN545" i="484"/>
  <c r="AO545" i="484"/>
  <c r="AP545" i="484"/>
  <c r="AQ545" i="484"/>
  <c r="AR545" i="484"/>
  <c r="AS545" i="484"/>
  <c r="AT545" i="484"/>
  <c r="AU545" i="484"/>
  <c r="AV545" i="484"/>
  <c r="AW545" i="484"/>
  <c r="AX545" i="484"/>
  <c r="AY545" i="484"/>
  <c r="AZ545" i="484"/>
  <c r="BA545" i="484"/>
  <c r="BB545" i="484"/>
  <c r="BC545" i="484"/>
  <c r="BD545" i="484"/>
  <c r="BE545" i="484"/>
  <c r="BF545" i="484"/>
  <c r="BG545" i="484"/>
  <c r="B546" i="484"/>
  <c r="C546" i="484"/>
  <c r="D546" i="484"/>
  <c r="E546" i="484"/>
  <c r="F546" i="484"/>
  <c r="G546" i="484"/>
  <c r="H546" i="484"/>
  <c r="I546" i="484"/>
  <c r="J546" i="484"/>
  <c r="K546" i="484"/>
  <c r="L546" i="484"/>
  <c r="M546" i="484"/>
  <c r="N546" i="484"/>
  <c r="O546" i="484"/>
  <c r="P546" i="484"/>
  <c r="Q546" i="484"/>
  <c r="R546" i="484"/>
  <c r="S546" i="484"/>
  <c r="T546" i="484"/>
  <c r="U546" i="484"/>
  <c r="V546" i="484"/>
  <c r="W546" i="484"/>
  <c r="X546" i="484"/>
  <c r="Y546" i="484"/>
  <c r="Z546" i="484"/>
  <c r="AA546" i="484"/>
  <c r="AB546" i="484"/>
  <c r="AC546" i="484"/>
  <c r="AD546" i="484"/>
  <c r="AE546" i="484"/>
  <c r="AF546" i="484"/>
  <c r="AG546" i="484"/>
  <c r="AH546" i="484"/>
  <c r="AI546" i="484"/>
  <c r="AJ546" i="484"/>
  <c r="AK546" i="484"/>
  <c r="AL546" i="484"/>
  <c r="AM546" i="484"/>
  <c r="AN546" i="484"/>
  <c r="AO546" i="484"/>
  <c r="AP546" i="484"/>
  <c r="AQ546" i="484"/>
  <c r="AR546" i="484"/>
  <c r="AS546" i="484"/>
  <c r="AT546" i="484"/>
  <c r="AU546" i="484"/>
  <c r="AV546" i="484"/>
  <c r="AW546" i="484"/>
  <c r="AX546" i="484"/>
  <c r="AY546" i="484"/>
  <c r="AZ546" i="484"/>
  <c r="BA546" i="484"/>
  <c r="BB546" i="484"/>
  <c r="BC546" i="484"/>
  <c r="BD546" i="484"/>
  <c r="BE546" i="484"/>
  <c r="BF546" i="484"/>
  <c r="BG546" i="484"/>
  <c r="B547" i="484"/>
  <c r="C547" i="484"/>
  <c r="D547" i="484"/>
  <c r="E547" i="484"/>
  <c r="F547" i="484"/>
  <c r="G547" i="484"/>
  <c r="H547" i="484"/>
  <c r="I547" i="484"/>
  <c r="J547" i="484"/>
  <c r="K547" i="484"/>
  <c r="L547" i="484"/>
  <c r="M547" i="484"/>
  <c r="N547" i="484"/>
  <c r="O547" i="484"/>
  <c r="P547" i="484"/>
  <c r="Q547" i="484"/>
  <c r="R547" i="484"/>
  <c r="S547" i="484"/>
  <c r="T547" i="484"/>
  <c r="U547" i="484"/>
  <c r="V547" i="484"/>
  <c r="W547" i="484"/>
  <c r="X547" i="484"/>
  <c r="Y547" i="484"/>
  <c r="Z547" i="484"/>
  <c r="AA547" i="484"/>
  <c r="AB547" i="484"/>
  <c r="AC547" i="484"/>
  <c r="AD547" i="484"/>
  <c r="AE547" i="484"/>
  <c r="AF547" i="484"/>
  <c r="AG547" i="484"/>
  <c r="AH547" i="484"/>
  <c r="AI547" i="484"/>
  <c r="AJ547" i="484"/>
  <c r="AK547" i="484"/>
  <c r="AL547" i="484"/>
  <c r="AM547" i="484"/>
  <c r="AN547" i="484"/>
  <c r="AO547" i="484"/>
  <c r="AP547" i="484"/>
  <c r="AQ547" i="484"/>
  <c r="AR547" i="484"/>
  <c r="AS547" i="484"/>
  <c r="AT547" i="484"/>
  <c r="AU547" i="484"/>
  <c r="AV547" i="484"/>
  <c r="AW547" i="484"/>
  <c r="AX547" i="484"/>
  <c r="AY547" i="484"/>
  <c r="AZ547" i="484"/>
  <c r="BA547" i="484"/>
  <c r="BB547" i="484"/>
  <c r="BC547" i="484"/>
  <c r="BD547" i="484"/>
  <c r="BE547" i="484"/>
  <c r="BF547" i="484"/>
  <c r="BG547" i="484"/>
  <c r="B548" i="484"/>
  <c r="C548" i="484"/>
  <c r="D548" i="484"/>
  <c r="E548" i="484"/>
  <c r="F548" i="484"/>
  <c r="G548" i="484"/>
  <c r="H548" i="484"/>
  <c r="I548" i="484"/>
  <c r="J548" i="484"/>
  <c r="K548" i="484"/>
  <c r="L548" i="484"/>
  <c r="M548" i="484"/>
  <c r="N548" i="484"/>
  <c r="O548" i="484"/>
  <c r="P548" i="484"/>
  <c r="Q548" i="484"/>
  <c r="R548" i="484"/>
  <c r="S548" i="484"/>
  <c r="T548" i="484"/>
  <c r="U548" i="484"/>
  <c r="V548" i="484"/>
  <c r="W548" i="484"/>
  <c r="X548" i="484"/>
  <c r="Y548" i="484"/>
  <c r="Z548" i="484"/>
  <c r="AA548" i="484"/>
  <c r="AB548" i="484"/>
  <c r="AC548" i="484"/>
  <c r="AD548" i="484"/>
  <c r="AE548" i="484"/>
  <c r="AF548" i="484"/>
  <c r="AG548" i="484"/>
  <c r="AH548" i="484"/>
  <c r="AI548" i="484"/>
  <c r="AJ548" i="484"/>
  <c r="AK548" i="484"/>
  <c r="AL548" i="484"/>
  <c r="AM548" i="484"/>
  <c r="AN548" i="484"/>
  <c r="AO548" i="484"/>
  <c r="AP548" i="484"/>
  <c r="AQ548" i="484"/>
  <c r="AR548" i="484"/>
  <c r="AS548" i="484"/>
  <c r="AT548" i="484"/>
  <c r="AU548" i="484"/>
  <c r="AV548" i="484"/>
  <c r="AW548" i="484"/>
  <c r="AX548" i="484"/>
  <c r="AY548" i="484"/>
  <c r="AZ548" i="484"/>
  <c r="BA548" i="484"/>
  <c r="BB548" i="484"/>
  <c r="BC548" i="484"/>
  <c r="BD548" i="484"/>
  <c r="BE548" i="484"/>
  <c r="BF548" i="484"/>
  <c r="BG548" i="484"/>
  <c r="B549" i="484"/>
  <c r="C549" i="484"/>
  <c r="D549" i="484"/>
  <c r="E549" i="484"/>
  <c r="F549" i="484"/>
  <c r="G549" i="484"/>
  <c r="H549" i="484"/>
  <c r="I549" i="484"/>
  <c r="J549" i="484"/>
  <c r="K549" i="484"/>
  <c r="L549" i="484"/>
  <c r="M549" i="484"/>
  <c r="N549" i="484"/>
  <c r="O549" i="484"/>
  <c r="P549" i="484"/>
  <c r="Q549" i="484"/>
  <c r="R549" i="484"/>
  <c r="S549" i="484"/>
  <c r="T549" i="484"/>
  <c r="U549" i="484"/>
  <c r="V549" i="484"/>
  <c r="W549" i="484"/>
  <c r="X549" i="484"/>
  <c r="Y549" i="484"/>
  <c r="Z549" i="484"/>
  <c r="AA549" i="484"/>
  <c r="AB549" i="484"/>
  <c r="AC549" i="484"/>
  <c r="AD549" i="484"/>
  <c r="AE549" i="484"/>
  <c r="AF549" i="484"/>
  <c r="AG549" i="484"/>
  <c r="AH549" i="484"/>
  <c r="AI549" i="484"/>
  <c r="AJ549" i="484"/>
  <c r="AK549" i="484"/>
  <c r="AL549" i="484"/>
  <c r="AM549" i="484"/>
  <c r="AN549" i="484"/>
  <c r="AO549" i="484"/>
  <c r="AP549" i="484"/>
  <c r="AQ549" i="484"/>
  <c r="AR549" i="484"/>
  <c r="AS549" i="484"/>
  <c r="AT549" i="484"/>
  <c r="AU549" i="484"/>
  <c r="AV549" i="484"/>
  <c r="AW549" i="484"/>
  <c r="AX549" i="484"/>
  <c r="AY549" i="484"/>
  <c r="AZ549" i="484"/>
  <c r="BA549" i="484"/>
  <c r="BB549" i="484"/>
  <c r="BC549" i="484"/>
  <c r="BD549" i="484"/>
  <c r="BE549" i="484"/>
  <c r="BF549" i="484"/>
  <c r="BG549" i="484"/>
  <c r="B550" i="484"/>
  <c r="C550" i="484"/>
  <c r="D550" i="484"/>
  <c r="E550" i="484"/>
  <c r="F550" i="484"/>
  <c r="G550" i="484"/>
  <c r="H550" i="484"/>
  <c r="I550" i="484"/>
  <c r="J550" i="484"/>
  <c r="K550" i="484"/>
  <c r="L550" i="484"/>
  <c r="M550" i="484"/>
  <c r="N550" i="484"/>
  <c r="O550" i="484"/>
  <c r="P550" i="484"/>
  <c r="Q550" i="484"/>
  <c r="R550" i="484"/>
  <c r="S550" i="484"/>
  <c r="T550" i="484"/>
  <c r="U550" i="484"/>
  <c r="V550" i="484"/>
  <c r="W550" i="484"/>
  <c r="X550" i="484"/>
  <c r="Y550" i="484"/>
  <c r="Z550" i="484"/>
  <c r="AA550" i="484"/>
  <c r="AB550" i="484"/>
  <c r="AC550" i="484"/>
  <c r="AD550" i="484"/>
  <c r="AE550" i="484"/>
  <c r="AF550" i="484"/>
  <c r="AG550" i="484"/>
  <c r="AH550" i="484"/>
  <c r="AI550" i="484"/>
  <c r="AJ550" i="484"/>
  <c r="AK550" i="484"/>
  <c r="AL550" i="484"/>
  <c r="AM550" i="484"/>
  <c r="AN550" i="484"/>
  <c r="AO550" i="484"/>
  <c r="AP550" i="484"/>
  <c r="AQ550" i="484"/>
  <c r="AR550" i="484"/>
  <c r="AS550" i="484"/>
  <c r="AT550" i="484"/>
  <c r="AU550" i="484"/>
  <c r="AV550" i="484"/>
  <c r="AW550" i="484"/>
  <c r="AX550" i="484"/>
  <c r="AY550" i="484"/>
  <c r="AZ550" i="484"/>
  <c r="BA550" i="484"/>
  <c r="BB550" i="484"/>
  <c r="BC550" i="484"/>
  <c r="BD550" i="484"/>
  <c r="BE550" i="484"/>
  <c r="BF550" i="484"/>
  <c r="BG550" i="484"/>
  <c r="B551" i="484"/>
  <c r="C551" i="484"/>
  <c r="D551" i="484"/>
  <c r="E551" i="484"/>
  <c r="F551" i="484"/>
  <c r="G551" i="484"/>
  <c r="H551" i="484"/>
  <c r="I551" i="484"/>
  <c r="J551" i="484"/>
  <c r="K551" i="484"/>
  <c r="L551" i="484"/>
  <c r="M551" i="484"/>
  <c r="N551" i="484"/>
  <c r="O551" i="484"/>
  <c r="P551" i="484"/>
  <c r="Q551" i="484"/>
  <c r="R551" i="484"/>
  <c r="S551" i="484"/>
  <c r="T551" i="484"/>
  <c r="U551" i="484"/>
  <c r="V551" i="484"/>
  <c r="W551" i="484"/>
  <c r="X551" i="484"/>
  <c r="Y551" i="484"/>
  <c r="Z551" i="484"/>
  <c r="AA551" i="484"/>
  <c r="AB551" i="484"/>
  <c r="AC551" i="484"/>
  <c r="AD551" i="484"/>
  <c r="AE551" i="484"/>
  <c r="AF551" i="484"/>
  <c r="AG551" i="484"/>
  <c r="AH551" i="484"/>
  <c r="AI551" i="484"/>
  <c r="AJ551" i="484"/>
  <c r="AK551" i="484"/>
  <c r="AL551" i="484"/>
  <c r="AM551" i="484"/>
  <c r="AN551" i="484"/>
  <c r="AO551" i="484"/>
  <c r="AP551" i="484"/>
  <c r="AQ551" i="484"/>
  <c r="AR551" i="484"/>
  <c r="AS551" i="484"/>
  <c r="AT551" i="484"/>
  <c r="AU551" i="484"/>
  <c r="AV551" i="484"/>
  <c r="AW551" i="484"/>
  <c r="AX551" i="484"/>
  <c r="AY551" i="484"/>
  <c r="AZ551" i="484"/>
  <c r="BA551" i="484"/>
  <c r="BB551" i="484"/>
  <c r="BC551" i="484"/>
  <c r="BD551" i="484"/>
  <c r="BE551" i="484"/>
  <c r="BF551" i="484"/>
  <c r="BG551" i="484"/>
  <c r="B552" i="484"/>
  <c r="C552" i="484"/>
  <c r="D552" i="484"/>
  <c r="E552" i="484"/>
  <c r="F552" i="484"/>
  <c r="G552" i="484"/>
  <c r="H552" i="484"/>
  <c r="I552" i="484"/>
  <c r="J552" i="484"/>
  <c r="K552" i="484"/>
  <c r="L552" i="484"/>
  <c r="M552" i="484"/>
  <c r="N552" i="484"/>
  <c r="O552" i="484"/>
  <c r="P552" i="484"/>
  <c r="Q552" i="484"/>
  <c r="R552" i="484"/>
  <c r="S552" i="484"/>
  <c r="T552" i="484"/>
  <c r="U552" i="484"/>
  <c r="V552" i="484"/>
  <c r="W552" i="484"/>
  <c r="X552" i="484"/>
  <c r="Y552" i="484"/>
  <c r="Z552" i="484"/>
  <c r="AA552" i="484"/>
  <c r="AB552" i="484"/>
  <c r="AC552" i="484"/>
  <c r="AD552" i="484"/>
  <c r="AE552" i="484"/>
  <c r="AF552" i="484"/>
  <c r="AG552" i="484"/>
  <c r="AH552" i="484"/>
  <c r="AI552" i="484"/>
  <c r="AJ552" i="484"/>
  <c r="AK552" i="484"/>
  <c r="AL552" i="484"/>
  <c r="AM552" i="484"/>
  <c r="AN552" i="484"/>
  <c r="AO552" i="484"/>
  <c r="AP552" i="484"/>
  <c r="AQ552" i="484"/>
  <c r="AR552" i="484"/>
  <c r="AS552" i="484"/>
  <c r="AT552" i="484"/>
  <c r="AU552" i="484"/>
  <c r="AV552" i="484"/>
  <c r="AW552" i="484"/>
  <c r="AX552" i="484"/>
  <c r="AY552" i="484"/>
  <c r="AZ552" i="484"/>
  <c r="BA552" i="484"/>
  <c r="BB552" i="484"/>
  <c r="BC552" i="484"/>
  <c r="BD552" i="484"/>
  <c r="BE552" i="484"/>
  <c r="BF552" i="484"/>
  <c r="BG552" i="484"/>
  <c r="B553" i="484"/>
  <c r="C553" i="484"/>
  <c r="D553" i="484"/>
  <c r="E553" i="484"/>
  <c r="F553" i="484"/>
  <c r="G553" i="484"/>
  <c r="H553" i="484"/>
  <c r="I553" i="484"/>
  <c r="J553" i="484"/>
  <c r="K553" i="484"/>
  <c r="L553" i="484"/>
  <c r="M553" i="484"/>
  <c r="N553" i="484"/>
  <c r="O553" i="484"/>
  <c r="P553" i="484"/>
  <c r="Q553" i="484"/>
  <c r="R553" i="484"/>
  <c r="S553" i="484"/>
  <c r="T553" i="484"/>
  <c r="U553" i="484"/>
  <c r="V553" i="484"/>
  <c r="W553" i="484"/>
  <c r="X553" i="484"/>
  <c r="Y553" i="484"/>
  <c r="Z553" i="484"/>
  <c r="AA553" i="484"/>
  <c r="AB553" i="484"/>
  <c r="AC553" i="484"/>
  <c r="AD553" i="484"/>
  <c r="AE553" i="484"/>
  <c r="AF553" i="484"/>
  <c r="AG553" i="484"/>
  <c r="AH553" i="484"/>
  <c r="AI553" i="484"/>
  <c r="AJ553" i="484"/>
  <c r="AK553" i="484"/>
  <c r="AL553" i="484"/>
  <c r="AM553" i="484"/>
  <c r="AN553" i="484"/>
  <c r="AO553" i="484"/>
  <c r="AP553" i="484"/>
  <c r="AQ553" i="484"/>
  <c r="AR553" i="484"/>
  <c r="AS553" i="484"/>
  <c r="AT553" i="484"/>
  <c r="AU553" i="484"/>
  <c r="AV553" i="484"/>
  <c r="AW553" i="484"/>
  <c r="AX553" i="484"/>
  <c r="AY553" i="484"/>
  <c r="AZ553" i="484"/>
  <c r="BA553" i="484"/>
  <c r="BB553" i="484"/>
  <c r="BC553" i="484"/>
  <c r="BD553" i="484"/>
  <c r="BE553" i="484"/>
  <c r="BF553" i="484"/>
  <c r="BG553" i="484"/>
  <c r="B554" i="484"/>
  <c r="C554" i="484"/>
  <c r="D554" i="484"/>
  <c r="E554" i="484"/>
  <c r="F554" i="484"/>
  <c r="G554" i="484"/>
  <c r="H554" i="484"/>
  <c r="I554" i="484"/>
  <c r="J554" i="484"/>
  <c r="K554" i="484"/>
  <c r="L554" i="484"/>
  <c r="M554" i="484"/>
  <c r="N554" i="484"/>
  <c r="O554" i="484"/>
  <c r="P554" i="484"/>
  <c r="Q554" i="484"/>
  <c r="R554" i="484"/>
  <c r="S554" i="484"/>
  <c r="T554" i="484"/>
  <c r="U554" i="484"/>
  <c r="V554" i="484"/>
  <c r="W554" i="484"/>
  <c r="X554" i="484"/>
  <c r="Y554" i="484"/>
  <c r="Z554" i="484"/>
  <c r="AA554" i="484"/>
  <c r="AB554" i="484"/>
  <c r="AC554" i="484"/>
  <c r="AD554" i="484"/>
  <c r="AE554" i="484"/>
  <c r="AF554" i="484"/>
  <c r="AG554" i="484"/>
  <c r="AH554" i="484"/>
  <c r="AI554" i="484"/>
  <c r="AJ554" i="484"/>
  <c r="AK554" i="484"/>
  <c r="AL554" i="484"/>
  <c r="AM554" i="484"/>
  <c r="AN554" i="484"/>
  <c r="AO554" i="484"/>
  <c r="AP554" i="484"/>
  <c r="AQ554" i="484"/>
  <c r="AR554" i="484"/>
  <c r="AS554" i="484"/>
  <c r="AT554" i="484"/>
  <c r="AU554" i="484"/>
  <c r="AV554" i="484"/>
  <c r="AW554" i="484"/>
  <c r="AX554" i="484"/>
  <c r="AY554" i="484"/>
  <c r="AZ554" i="484"/>
  <c r="BA554" i="484"/>
  <c r="BB554" i="484"/>
  <c r="BC554" i="484"/>
  <c r="BD554" i="484"/>
  <c r="BE554" i="484"/>
  <c r="BF554" i="484"/>
  <c r="BG554" i="484"/>
  <c r="B555" i="484"/>
  <c r="C555" i="484"/>
  <c r="D555" i="484"/>
  <c r="E555" i="484"/>
  <c r="F555" i="484"/>
  <c r="G555" i="484"/>
  <c r="H555" i="484"/>
  <c r="I555" i="484"/>
  <c r="J555" i="484"/>
  <c r="K555" i="484"/>
  <c r="L555" i="484"/>
  <c r="M555" i="484"/>
  <c r="N555" i="484"/>
  <c r="O555" i="484"/>
  <c r="P555" i="484"/>
  <c r="Q555" i="484"/>
  <c r="R555" i="484"/>
  <c r="S555" i="484"/>
  <c r="T555" i="484"/>
  <c r="U555" i="484"/>
  <c r="V555" i="484"/>
  <c r="W555" i="484"/>
  <c r="X555" i="484"/>
  <c r="Y555" i="484"/>
  <c r="Z555" i="484"/>
  <c r="AA555" i="484"/>
  <c r="AB555" i="484"/>
  <c r="AC555" i="484"/>
  <c r="AD555" i="484"/>
  <c r="AE555" i="484"/>
  <c r="AF555" i="484"/>
  <c r="AG555" i="484"/>
  <c r="AH555" i="484"/>
  <c r="AI555" i="484"/>
  <c r="AJ555" i="484"/>
  <c r="AK555" i="484"/>
  <c r="AL555" i="484"/>
  <c r="AM555" i="484"/>
  <c r="AN555" i="484"/>
  <c r="AO555" i="484"/>
  <c r="AP555" i="484"/>
  <c r="AQ555" i="484"/>
  <c r="AR555" i="484"/>
  <c r="AS555" i="484"/>
  <c r="AT555" i="484"/>
  <c r="AU555" i="484"/>
  <c r="AV555" i="484"/>
  <c r="AW555" i="484"/>
  <c r="AX555" i="484"/>
  <c r="AY555" i="484"/>
  <c r="AZ555" i="484"/>
  <c r="BA555" i="484"/>
  <c r="BB555" i="484"/>
  <c r="BC555" i="484"/>
  <c r="BD555" i="484"/>
  <c r="BE555" i="484"/>
  <c r="BF555" i="484"/>
  <c r="BG555" i="484"/>
  <c r="B556" i="484"/>
  <c r="C556" i="484"/>
  <c r="D556" i="484"/>
  <c r="E556" i="484"/>
  <c r="F556" i="484"/>
  <c r="G556" i="484"/>
  <c r="H556" i="484"/>
  <c r="I556" i="484"/>
  <c r="J556" i="484"/>
  <c r="K556" i="484"/>
  <c r="L556" i="484"/>
  <c r="M556" i="484"/>
  <c r="N556" i="484"/>
  <c r="O556" i="484"/>
  <c r="P556" i="484"/>
  <c r="Q556" i="484"/>
  <c r="R556" i="484"/>
  <c r="S556" i="484"/>
  <c r="T556" i="484"/>
  <c r="U556" i="484"/>
  <c r="V556" i="484"/>
  <c r="W556" i="484"/>
  <c r="X556" i="484"/>
  <c r="Y556" i="484"/>
  <c r="Z556" i="484"/>
  <c r="AA556" i="484"/>
  <c r="AB556" i="484"/>
  <c r="AC556" i="484"/>
  <c r="AD556" i="484"/>
  <c r="AE556" i="484"/>
  <c r="AF556" i="484"/>
  <c r="AG556" i="484"/>
  <c r="AH556" i="484"/>
  <c r="AI556" i="484"/>
  <c r="AJ556" i="484"/>
  <c r="AK556" i="484"/>
  <c r="AL556" i="484"/>
  <c r="AM556" i="484"/>
  <c r="AN556" i="484"/>
  <c r="AO556" i="484"/>
  <c r="AP556" i="484"/>
  <c r="AQ556" i="484"/>
  <c r="AR556" i="484"/>
  <c r="AS556" i="484"/>
  <c r="AT556" i="484"/>
  <c r="AU556" i="484"/>
  <c r="AV556" i="484"/>
  <c r="AW556" i="484"/>
  <c r="AX556" i="484"/>
  <c r="AY556" i="484"/>
  <c r="AZ556" i="484"/>
  <c r="BA556" i="484"/>
  <c r="BB556" i="484"/>
  <c r="BC556" i="484"/>
  <c r="BD556" i="484"/>
  <c r="BE556" i="484"/>
  <c r="BF556" i="484"/>
  <c r="BG556" i="484"/>
  <c r="B557" i="484"/>
  <c r="C557" i="484"/>
  <c r="D557" i="484"/>
  <c r="E557" i="484"/>
  <c r="F557" i="484"/>
  <c r="G557" i="484"/>
  <c r="H557" i="484"/>
  <c r="I557" i="484"/>
  <c r="J557" i="484"/>
  <c r="K557" i="484"/>
  <c r="L557" i="484"/>
  <c r="M557" i="484"/>
  <c r="N557" i="484"/>
  <c r="O557" i="484"/>
  <c r="P557" i="484"/>
  <c r="Q557" i="484"/>
  <c r="R557" i="484"/>
  <c r="S557" i="484"/>
  <c r="T557" i="484"/>
  <c r="U557" i="484"/>
  <c r="V557" i="484"/>
  <c r="W557" i="484"/>
  <c r="X557" i="484"/>
  <c r="Y557" i="484"/>
  <c r="Z557" i="484"/>
  <c r="AA557" i="484"/>
  <c r="AB557" i="484"/>
  <c r="AC557" i="484"/>
  <c r="AD557" i="484"/>
  <c r="AE557" i="484"/>
  <c r="AF557" i="484"/>
  <c r="AG557" i="484"/>
  <c r="AH557" i="484"/>
  <c r="AI557" i="484"/>
  <c r="AJ557" i="484"/>
  <c r="AK557" i="484"/>
  <c r="AL557" i="484"/>
  <c r="AM557" i="484"/>
  <c r="AN557" i="484"/>
  <c r="AO557" i="484"/>
  <c r="AP557" i="484"/>
  <c r="AQ557" i="484"/>
  <c r="AR557" i="484"/>
  <c r="AS557" i="484"/>
  <c r="AT557" i="484"/>
  <c r="AU557" i="484"/>
  <c r="AV557" i="484"/>
  <c r="AW557" i="484"/>
  <c r="AX557" i="484"/>
  <c r="AY557" i="484"/>
  <c r="AZ557" i="484"/>
  <c r="BA557" i="484"/>
  <c r="BB557" i="484"/>
  <c r="BC557" i="484"/>
  <c r="BD557" i="484"/>
  <c r="BE557" i="484"/>
  <c r="BF557" i="484"/>
  <c r="BG557" i="484"/>
  <c r="B558" i="484"/>
  <c r="C558" i="484"/>
  <c r="D558" i="484"/>
  <c r="E558" i="484"/>
  <c r="F558" i="484"/>
  <c r="G558" i="484"/>
  <c r="H558" i="484"/>
  <c r="I558" i="484"/>
  <c r="J558" i="484"/>
  <c r="K558" i="484"/>
  <c r="L558" i="484"/>
  <c r="M558" i="484"/>
  <c r="N558" i="484"/>
  <c r="O558" i="484"/>
  <c r="P558" i="484"/>
  <c r="Q558" i="484"/>
  <c r="R558" i="484"/>
  <c r="S558" i="484"/>
  <c r="T558" i="484"/>
  <c r="U558" i="484"/>
  <c r="V558" i="484"/>
  <c r="W558" i="484"/>
  <c r="X558" i="484"/>
  <c r="Y558" i="484"/>
  <c r="Z558" i="484"/>
  <c r="AA558" i="484"/>
  <c r="AB558" i="484"/>
  <c r="AC558" i="484"/>
  <c r="AD558" i="484"/>
  <c r="AE558" i="484"/>
  <c r="AF558" i="484"/>
  <c r="AG558" i="484"/>
  <c r="AH558" i="484"/>
  <c r="AI558" i="484"/>
  <c r="AJ558" i="484"/>
  <c r="AK558" i="484"/>
  <c r="AL558" i="484"/>
  <c r="AM558" i="484"/>
  <c r="AN558" i="484"/>
  <c r="AO558" i="484"/>
  <c r="AP558" i="484"/>
  <c r="AQ558" i="484"/>
  <c r="AR558" i="484"/>
  <c r="AS558" i="484"/>
  <c r="AT558" i="484"/>
  <c r="AU558" i="484"/>
  <c r="AV558" i="484"/>
  <c r="AW558" i="484"/>
  <c r="AX558" i="484"/>
  <c r="AY558" i="484"/>
  <c r="AZ558" i="484"/>
  <c r="BA558" i="484"/>
  <c r="BB558" i="484"/>
  <c r="BC558" i="484"/>
  <c r="BD558" i="484"/>
  <c r="BE558" i="484"/>
  <c r="BF558" i="484"/>
  <c r="BG558" i="484"/>
  <c r="B559" i="484"/>
  <c r="C559" i="484"/>
  <c r="D559" i="484"/>
  <c r="E559" i="484"/>
  <c r="F559" i="484"/>
  <c r="G559" i="484"/>
  <c r="H559" i="484"/>
  <c r="I559" i="484"/>
  <c r="J559" i="484"/>
  <c r="K559" i="484"/>
  <c r="L559" i="484"/>
  <c r="M559" i="484"/>
  <c r="N559" i="484"/>
  <c r="O559" i="484"/>
  <c r="P559" i="484"/>
  <c r="Q559" i="484"/>
  <c r="R559" i="484"/>
  <c r="S559" i="484"/>
  <c r="T559" i="484"/>
  <c r="U559" i="484"/>
  <c r="V559" i="484"/>
  <c r="W559" i="484"/>
  <c r="X559" i="484"/>
  <c r="Y559" i="484"/>
  <c r="Z559" i="484"/>
  <c r="AA559" i="484"/>
  <c r="AB559" i="484"/>
  <c r="AC559" i="484"/>
  <c r="AD559" i="484"/>
  <c r="AE559" i="484"/>
  <c r="AF559" i="484"/>
  <c r="AG559" i="484"/>
  <c r="AH559" i="484"/>
  <c r="AI559" i="484"/>
  <c r="AJ559" i="484"/>
  <c r="AK559" i="484"/>
  <c r="AL559" i="484"/>
  <c r="AM559" i="484"/>
  <c r="AN559" i="484"/>
  <c r="AO559" i="484"/>
  <c r="AP559" i="484"/>
  <c r="AQ559" i="484"/>
  <c r="AR559" i="484"/>
  <c r="AS559" i="484"/>
  <c r="AT559" i="484"/>
  <c r="AU559" i="484"/>
  <c r="AV559" i="484"/>
  <c r="AW559" i="484"/>
  <c r="AX559" i="484"/>
  <c r="AY559" i="484"/>
  <c r="AZ559" i="484"/>
  <c r="BA559" i="484"/>
  <c r="BB559" i="484"/>
  <c r="BC559" i="484"/>
  <c r="BD559" i="484"/>
  <c r="BE559" i="484"/>
  <c r="BF559" i="484"/>
  <c r="BG559" i="484"/>
  <c r="B560" i="484"/>
  <c r="C560" i="484"/>
  <c r="D560" i="484"/>
  <c r="E560" i="484"/>
  <c r="F560" i="484"/>
  <c r="G560" i="484"/>
  <c r="H560" i="484"/>
  <c r="I560" i="484"/>
  <c r="J560" i="484"/>
  <c r="K560" i="484"/>
  <c r="L560" i="484"/>
  <c r="M560" i="484"/>
  <c r="N560" i="484"/>
  <c r="O560" i="484"/>
  <c r="P560" i="484"/>
  <c r="Q560" i="484"/>
  <c r="R560" i="484"/>
  <c r="S560" i="484"/>
  <c r="T560" i="484"/>
  <c r="U560" i="484"/>
  <c r="V560" i="484"/>
  <c r="W560" i="484"/>
  <c r="X560" i="484"/>
  <c r="Y560" i="484"/>
  <c r="Z560" i="484"/>
  <c r="AA560" i="484"/>
  <c r="AB560" i="484"/>
  <c r="AC560" i="484"/>
  <c r="AD560" i="484"/>
  <c r="AE560" i="484"/>
  <c r="AF560" i="484"/>
  <c r="AG560" i="484"/>
  <c r="AH560" i="484"/>
  <c r="AI560" i="484"/>
  <c r="AJ560" i="484"/>
  <c r="AK560" i="484"/>
  <c r="AL560" i="484"/>
  <c r="AM560" i="484"/>
  <c r="AN560" i="484"/>
  <c r="AO560" i="484"/>
  <c r="AP560" i="484"/>
  <c r="AQ560" i="484"/>
  <c r="AR560" i="484"/>
  <c r="AS560" i="484"/>
  <c r="AT560" i="484"/>
  <c r="AU560" i="484"/>
  <c r="AV560" i="484"/>
  <c r="AW560" i="484"/>
  <c r="AX560" i="484"/>
  <c r="AY560" i="484"/>
  <c r="AZ560" i="484"/>
  <c r="BA560" i="484"/>
  <c r="BB560" i="484"/>
  <c r="BC560" i="484"/>
  <c r="BD560" i="484"/>
  <c r="BE560" i="484"/>
  <c r="BF560" i="484"/>
  <c r="BG560" i="484"/>
  <c r="B561" i="484"/>
  <c r="C561" i="484"/>
  <c r="D561" i="484"/>
  <c r="E561" i="484"/>
  <c r="F561" i="484"/>
  <c r="G561" i="484"/>
  <c r="H561" i="484"/>
  <c r="I561" i="484"/>
  <c r="J561" i="484"/>
  <c r="K561" i="484"/>
  <c r="L561" i="484"/>
  <c r="M561" i="484"/>
  <c r="N561" i="484"/>
  <c r="O561" i="484"/>
  <c r="P561" i="484"/>
  <c r="Q561" i="484"/>
  <c r="R561" i="484"/>
  <c r="S561" i="484"/>
  <c r="T561" i="484"/>
  <c r="U561" i="484"/>
  <c r="V561" i="484"/>
  <c r="W561" i="484"/>
  <c r="X561" i="484"/>
  <c r="Y561" i="484"/>
  <c r="Z561" i="484"/>
  <c r="AA561" i="484"/>
  <c r="AB561" i="484"/>
  <c r="AC561" i="484"/>
  <c r="AD561" i="484"/>
  <c r="AE561" i="484"/>
  <c r="AF561" i="484"/>
  <c r="AG561" i="484"/>
  <c r="AH561" i="484"/>
  <c r="AI561" i="484"/>
  <c r="AJ561" i="484"/>
  <c r="AK561" i="484"/>
  <c r="AL561" i="484"/>
  <c r="AM561" i="484"/>
  <c r="AN561" i="484"/>
  <c r="AO561" i="484"/>
  <c r="AP561" i="484"/>
  <c r="AQ561" i="484"/>
  <c r="AR561" i="484"/>
  <c r="AS561" i="484"/>
  <c r="AT561" i="484"/>
  <c r="AU561" i="484"/>
  <c r="AV561" i="484"/>
  <c r="AW561" i="484"/>
  <c r="AX561" i="484"/>
  <c r="AY561" i="484"/>
  <c r="AZ561" i="484"/>
  <c r="BA561" i="484"/>
  <c r="BB561" i="484"/>
  <c r="BC561" i="484"/>
  <c r="BD561" i="484"/>
  <c r="BE561" i="484"/>
  <c r="BF561" i="484"/>
  <c r="BG561" i="484"/>
  <c r="B562" i="484"/>
  <c r="C562" i="484"/>
  <c r="D562" i="484"/>
  <c r="E562" i="484"/>
  <c r="F562" i="484"/>
  <c r="G562" i="484"/>
  <c r="H562" i="484"/>
  <c r="I562" i="484"/>
  <c r="J562" i="484"/>
  <c r="K562" i="484"/>
  <c r="L562" i="484"/>
  <c r="M562" i="484"/>
  <c r="N562" i="484"/>
  <c r="O562" i="484"/>
  <c r="P562" i="484"/>
  <c r="Q562" i="484"/>
  <c r="R562" i="484"/>
  <c r="S562" i="484"/>
  <c r="T562" i="484"/>
  <c r="U562" i="484"/>
  <c r="V562" i="484"/>
  <c r="W562" i="484"/>
  <c r="X562" i="484"/>
  <c r="Y562" i="484"/>
  <c r="Z562" i="484"/>
  <c r="AA562" i="484"/>
  <c r="AB562" i="484"/>
  <c r="AC562" i="484"/>
  <c r="AD562" i="484"/>
  <c r="AE562" i="484"/>
  <c r="AF562" i="484"/>
  <c r="AG562" i="484"/>
  <c r="AH562" i="484"/>
  <c r="AI562" i="484"/>
  <c r="AJ562" i="484"/>
  <c r="AK562" i="484"/>
  <c r="AL562" i="484"/>
  <c r="AM562" i="484"/>
  <c r="AN562" i="484"/>
  <c r="AO562" i="484"/>
  <c r="AP562" i="484"/>
  <c r="AQ562" i="484"/>
  <c r="AR562" i="484"/>
  <c r="AS562" i="484"/>
  <c r="AT562" i="484"/>
  <c r="AU562" i="484"/>
  <c r="AV562" i="484"/>
  <c r="AW562" i="484"/>
  <c r="AX562" i="484"/>
  <c r="AY562" i="484"/>
  <c r="AZ562" i="484"/>
  <c r="BA562" i="484"/>
  <c r="BB562" i="484"/>
  <c r="BC562" i="484"/>
  <c r="BD562" i="484"/>
  <c r="BE562" i="484"/>
  <c r="BF562" i="484"/>
  <c r="BG562" i="484"/>
  <c r="B563" i="484"/>
  <c r="C563" i="484"/>
  <c r="D563" i="484"/>
  <c r="E563" i="484"/>
  <c r="F563" i="484"/>
  <c r="G563" i="484"/>
  <c r="H563" i="484"/>
  <c r="I563" i="484"/>
  <c r="J563" i="484"/>
  <c r="K563" i="484"/>
  <c r="L563" i="484"/>
  <c r="M563" i="484"/>
  <c r="N563" i="484"/>
  <c r="O563" i="484"/>
  <c r="P563" i="484"/>
  <c r="Q563" i="484"/>
  <c r="R563" i="484"/>
  <c r="S563" i="484"/>
  <c r="T563" i="484"/>
  <c r="U563" i="484"/>
  <c r="V563" i="484"/>
  <c r="W563" i="484"/>
  <c r="X563" i="484"/>
  <c r="Y563" i="484"/>
  <c r="Z563" i="484"/>
  <c r="AA563" i="484"/>
  <c r="AB563" i="484"/>
  <c r="AC563" i="484"/>
  <c r="AD563" i="484"/>
  <c r="AE563" i="484"/>
  <c r="AF563" i="484"/>
  <c r="AG563" i="484"/>
  <c r="AH563" i="484"/>
  <c r="AI563" i="484"/>
  <c r="AJ563" i="484"/>
  <c r="AK563" i="484"/>
  <c r="AL563" i="484"/>
  <c r="AM563" i="484"/>
  <c r="AN563" i="484"/>
  <c r="AO563" i="484"/>
  <c r="AP563" i="484"/>
  <c r="AQ563" i="484"/>
  <c r="AR563" i="484"/>
  <c r="AS563" i="484"/>
  <c r="AT563" i="484"/>
  <c r="AU563" i="484"/>
  <c r="AV563" i="484"/>
  <c r="AW563" i="484"/>
  <c r="AX563" i="484"/>
  <c r="AY563" i="484"/>
  <c r="AZ563" i="484"/>
  <c r="BA563" i="484"/>
  <c r="BB563" i="484"/>
  <c r="BC563" i="484"/>
  <c r="BD563" i="484"/>
  <c r="BE563" i="484"/>
  <c r="BF563" i="484"/>
  <c r="BG563" i="484"/>
  <c r="B564" i="484"/>
  <c r="C564" i="484"/>
  <c r="D564" i="484"/>
  <c r="E564" i="484"/>
  <c r="F564" i="484"/>
  <c r="G564" i="484"/>
  <c r="H564" i="484"/>
  <c r="I564" i="484"/>
  <c r="J564" i="484"/>
  <c r="K564" i="484"/>
  <c r="L564" i="484"/>
  <c r="M564" i="484"/>
  <c r="N564" i="484"/>
  <c r="O564" i="484"/>
  <c r="P564" i="484"/>
  <c r="Q564" i="484"/>
  <c r="R564" i="484"/>
  <c r="S564" i="484"/>
  <c r="T564" i="484"/>
  <c r="U564" i="484"/>
  <c r="V564" i="484"/>
  <c r="W564" i="484"/>
  <c r="X564" i="484"/>
  <c r="Y564" i="484"/>
  <c r="Z564" i="484"/>
  <c r="AA564" i="484"/>
  <c r="AB564" i="484"/>
  <c r="AC564" i="484"/>
  <c r="AD564" i="484"/>
  <c r="AE564" i="484"/>
  <c r="AF564" i="484"/>
  <c r="AG564" i="484"/>
  <c r="AH564" i="484"/>
  <c r="AI564" i="484"/>
  <c r="AJ564" i="484"/>
  <c r="AK564" i="484"/>
  <c r="AL564" i="484"/>
  <c r="AM564" i="484"/>
  <c r="AN564" i="484"/>
  <c r="AO564" i="484"/>
  <c r="AP564" i="484"/>
  <c r="AQ564" i="484"/>
  <c r="AR564" i="484"/>
  <c r="AS564" i="484"/>
  <c r="AT564" i="484"/>
  <c r="AU564" i="484"/>
  <c r="AV564" i="484"/>
  <c r="AW564" i="484"/>
  <c r="AX564" i="484"/>
  <c r="AY564" i="484"/>
  <c r="AZ564" i="484"/>
  <c r="BA564" i="484"/>
  <c r="BB564" i="484"/>
  <c r="BC564" i="484"/>
  <c r="BD564" i="484"/>
  <c r="BE564" i="484"/>
  <c r="BF564" i="484"/>
  <c r="BG564" i="484"/>
  <c r="B565" i="484"/>
  <c r="C565" i="484"/>
  <c r="D565" i="484"/>
  <c r="E565" i="484"/>
  <c r="F565" i="484"/>
  <c r="G565" i="484"/>
  <c r="H565" i="484"/>
  <c r="I565" i="484"/>
  <c r="J565" i="484"/>
  <c r="K565" i="484"/>
  <c r="L565" i="484"/>
  <c r="M565" i="484"/>
  <c r="N565" i="484"/>
  <c r="O565" i="484"/>
  <c r="P565" i="484"/>
  <c r="Q565" i="484"/>
  <c r="R565" i="484"/>
  <c r="S565" i="484"/>
  <c r="T565" i="484"/>
  <c r="U565" i="484"/>
  <c r="V565" i="484"/>
  <c r="W565" i="484"/>
  <c r="X565" i="484"/>
  <c r="Y565" i="484"/>
  <c r="Z565" i="484"/>
  <c r="AA565" i="484"/>
  <c r="AB565" i="484"/>
  <c r="AC565" i="484"/>
  <c r="AD565" i="484"/>
  <c r="AE565" i="484"/>
  <c r="AF565" i="484"/>
  <c r="AG565" i="484"/>
  <c r="AH565" i="484"/>
  <c r="AI565" i="484"/>
  <c r="AJ565" i="484"/>
  <c r="AK565" i="484"/>
  <c r="AL565" i="484"/>
  <c r="AM565" i="484"/>
  <c r="AN565" i="484"/>
  <c r="AO565" i="484"/>
  <c r="AP565" i="484"/>
  <c r="AQ565" i="484"/>
  <c r="AR565" i="484"/>
  <c r="AS565" i="484"/>
  <c r="AT565" i="484"/>
  <c r="AU565" i="484"/>
  <c r="AV565" i="484"/>
  <c r="AW565" i="484"/>
  <c r="AX565" i="484"/>
  <c r="AY565" i="484"/>
  <c r="AZ565" i="484"/>
  <c r="BA565" i="484"/>
  <c r="BB565" i="484"/>
  <c r="BC565" i="484"/>
  <c r="BD565" i="484"/>
  <c r="BE565" i="484"/>
  <c r="BF565" i="484"/>
  <c r="BG565" i="484"/>
  <c r="B566" i="484"/>
  <c r="C566" i="484"/>
  <c r="D566" i="484"/>
  <c r="E566" i="484"/>
  <c r="F566" i="484"/>
  <c r="G566" i="484"/>
  <c r="H566" i="484"/>
  <c r="I566" i="484"/>
  <c r="J566" i="484"/>
  <c r="K566" i="484"/>
  <c r="L566" i="484"/>
  <c r="M566" i="484"/>
  <c r="N566" i="484"/>
  <c r="O566" i="484"/>
  <c r="P566" i="484"/>
  <c r="Q566" i="484"/>
  <c r="R566" i="484"/>
  <c r="S566" i="484"/>
  <c r="T566" i="484"/>
  <c r="U566" i="484"/>
  <c r="V566" i="484"/>
  <c r="W566" i="484"/>
  <c r="X566" i="484"/>
  <c r="Y566" i="484"/>
  <c r="Z566" i="484"/>
  <c r="AA566" i="484"/>
  <c r="AB566" i="484"/>
  <c r="AC566" i="484"/>
  <c r="AD566" i="484"/>
  <c r="AE566" i="484"/>
  <c r="AF566" i="484"/>
  <c r="AG566" i="484"/>
  <c r="AH566" i="484"/>
  <c r="AI566" i="484"/>
  <c r="AJ566" i="484"/>
  <c r="AK566" i="484"/>
  <c r="AL566" i="484"/>
  <c r="AM566" i="484"/>
  <c r="AN566" i="484"/>
  <c r="AO566" i="484"/>
  <c r="AP566" i="484"/>
  <c r="AQ566" i="484"/>
  <c r="AR566" i="484"/>
  <c r="AS566" i="484"/>
  <c r="AT566" i="484"/>
  <c r="AU566" i="484"/>
  <c r="AV566" i="484"/>
  <c r="AW566" i="484"/>
  <c r="AX566" i="484"/>
  <c r="AY566" i="484"/>
  <c r="AZ566" i="484"/>
  <c r="BA566" i="484"/>
  <c r="BB566" i="484"/>
  <c r="BC566" i="484"/>
  <c r="BD566" i="484"/>
  <c r="BE566" i="484"/>
  <c r="BF566" i="484"/>
  <c r="BG566" i="484"/>
  <c r="B567" i="484"/>
  <c r="C567" i="484"/>
  <c r="D567" i="484"/>
  <c r="E567" i="484"/>
  <c r="F567" i="484"/>
  <c r="G567" i="484"/>
  <c r="H567" i="484"/>
  <c r="I567" i="484"/>
  <c r="J567" i="484"/>
  <c r="K567" i="484"/>
  <c r="L567" i="484"/>
  <c r="M567" i="484"/>
  <c r="N567" i="484"/>
  <c r="O567" i="484"/>
  <c r="P567" i="484"/>
  <c r="Q567" i="484"/>
  <c r="R567" i="484"/>
  <c r="S567" i="484"/>
  <c r="T567" i="484"/>
  <c r="U567" i="484"/>
  <c r="V567" i="484"/>
  <c r="W567" i="484"/>
  <c r="X567" i="484"/>
  <c r="Y567" i="484"/>
  <c r="Z567" i="484"/>
  <c r="AA567" i="484"/>
  <c r="AB567" i="484"/>
  <c r="AC567" i="484"/>
  <c r="AD567" i="484"/>
  <c r="AE567" i="484"/>
  <c r="AF567" i="484"/>
  <c r="AG567" i="484"/>
  <c r="AH567" i="484"/>
  <c r="AI567" i="484"/>
  <c r="AJ567" i="484"/>
  <c r="AK567" i="484"/>
  <c r="AL567" i="484"/>
  <c r="AM567" i="484"/>
  <c r="AN567" i="484"/>
  <c r="AO567" i="484"/>
  <c r="AP567" i="484"/>
  <c r="AQ567" i="484"/>
  <c r="AR567" i="484"/>
  <c r="AS567" i="484"/>
  <c r="AT567" i="484"/>
  <c r="AU567" i="484"/>
  <c r="AV567" i="484"/>
  <c r="AW567" i="484"/>
  <c r="AX567" i="484"/>
  <c r="AY567" i="484"/>
  <c r="AZ567" i="484"/>
  <c r="BA567" i="484"/>
  <c r="BB567" i="484"/>
  <c r="BC567" i="484"/>
  <c r="BD567" i="484"/>
  <c r="BE567" i="484"/>
  <c r="BF567" i="484"/>
  <c r="BG567" i="484"/>
  <c r="B568" i="484"/>
  <c r="C568" i="484"/>
  <c r="D568" i="484"/>
  <c r="E568" i="484"/>
  <c r="F568" i="484"/>
  <c r="G568" i="484"/>
  <c r="H568" i="484"/>
  <c r="I568" i="484"/>
  <c r="J568" i="484"/>
  <c r="K568" i="484"/>
  <c r="L568" i="484"/>
  <c r="M568" i="484"/>
  <c r="N568" i="484"/>
  <c r="O568" i="484"/>
  <c r="P568" i="484"/>
  <c r="Q568" i="484"/>
  <c r="R568" i="484"/>
  <c r="S568" i="484"/>
  <c r="T568" i="484"/>
  <c r="U568" i="484"/>
  <c r="V568" i="484"/>
  <c r="W568" i="484"/>
  <c r="X568" i="484"/>
  <c r="Y568" i="484"/>
  <c r="Z568" i="484"/>
  <c r="AA568" i="484"/>
  <c r="AB568" i="484"/>
  <c r="AC568" i="484"/>
  <c r="AD568" i="484"/>
  <c r="AE568" i="484"/>
  <c r="AF568" i="484"/>
  <c r="AG568" i="484"/>
  <c r="AH568" i="484"/>
  <c r="AI568" i="484"/>
  <c r="AJ568" i="484"/>
  <c r="AK568" i="484"/>
  <c r="AL568" i="484"/>
  <c r="AM568" i="484"/>
  <c r="AN568" i="484"/>
  <c r="AO568" i="484"/>
  <c r="AP568" i="484"/>
  <c r="AQ568" i="484"/>
  <c r="AR568" i="484"/>
  <c r="AS568" i="484"/>
  <c r="AT568" i="484"/>
  <c r="AU568" i="484"/>
  <c r="AV568" i="484"/>
  <c r="AW568" i="484"/>
  <c r="AX568" i="484"/>
  <c r="AY568" i="484"/>
  <c r="AZ568" i="484"/>
  <c r="BA568" i="484"/>
  <c r="BB568" i="484"/>
  <c r="BC568" i="484"/>
  <c r="BD568" i="484"/>
  <c r="BE568" i="484"/>
  <c r="BF568" i="484"/>
  <c r="BG568" i="484"/>
  <c r="B525" i="480"/>
  <c r="C525" i="480"/>
  <c r="D525" i="480"/>
  <c r="E525" i="480"/>
  <c r="F525" i="480"/>
  <c r="G525" i="480"/>
  <c r="H525" i="480"/>
  <c r="I525" i="480"/>
  <c r="J525" i="480"/>
  <c r="K525" i="480"/>
  <c r="L525" i="480"/>
  <c r="M525" i="480"/>
  <c r="N525" i="480"/>
  <c r="O525" i="480"/>
  <c r="P525" i="480"/>
  <c r="Q525" i="480"/>
  <c r="R525" i="480"/>
  <c r="S525" i="480"/>
  <c r="T525" i="480"/>
  <c r="U525" i="480"/>
  <c r="V525" i="480"/>
  <c r="W525" i="480"/>
  <c r="X525" i="480"/>
  <c r="Y525" i="480"/>
  <c r="Z525" i="480"/>
  <c r="AA525" i="480"/>
  <c r="AB525" i="480"/>
  <c r="AC525" i="480"/>
  <c r="AD525" i="480"/>
  <c r="AE525" i="480"/>
  <c r="AF525" i="480"/>
  <c r="AG525" i="480"/>
  <c r="AH525" i="480"/>
  <c r="AI525" i="480"/>
  <c r="AJ525" i="480"/>
  <c r="AK525" i="480"/>
  <c r="AL525" i="480"/>
  <c r="AM525" i="480"/>
  <c r="AN525" i="480"/>
  <c r="AO525" i="480"/>
  <c r="AP525" i="480"/>
  <c r="AQ525" i="480"/>
  <c r="AR525" i="480"/>
  <c r="AS525" i="480"/>
  <c r="AT525" i="480"/>
  <c r="AU525" i="480"/>
  <c r="AV525" i="480"/>
  <c r="AW525" i="480"/>
  <c r="AX525" i="480"/>
  <c r="AY525" i="480"/>
  <c r="AZ525" i="480"/>
  <c r="BA525" i="480"/>
  <c r="BB525" i="480"/>
  <c r="BC525" i="480"/>
  <c r="B526" i="480"/>
  <c r="C526" i="480"/>
  <c r="D526" i="480"/>
  <c r="E526" i="480"/>
  <c r="F526" i="480"/>
  <c r="G526" i="480"/>
  <c r="H526" i="480"/>
  <c r="I526" i="480"/>
  <c r="J526" i="480"/>
  <c r="K526" i="480"/>
  <c r="L526" i="480"/>
  <c r="M526" i="480"/>
  <c r="N526" i="480"/>
  <c r="O526" i="480"/>
  <c r="P526" i="480"/>
  <c r="Q526" i="480"/>
  <c r="R526" i="480"/>
  <c r="S526" i="480"/>
  <c r="T526" i="480"/>
  <c r="U526" i="480"/>
  <c r="V526" i="480"/>
  <c r="W526" i="480"/>
  <c r="X526" i="480"/>
  <c r="Y526" i="480"/>
  <c r="Z526" i="480"/>
  <c r="AA526" i="480"/>
  <c r="AB526" i="480"/>
  <c r="AC526" i="480"/>
  <c r="AD526" i="480"/>
  <c r="AE526" i="480"/>
  <c r="AF526" i="480"/>
  <c r="AG526" i="480"/>
  <c r="AH526" i="480"/>
  <c r="AI526" i="480"/>
  <c r="AJ526" i="480"/>
  <c r="AK526" i="480"/>
  <c r="AL526" i="480"/>
  <c r="AM526" i="480"/>
  <c r="AN526" i="480"/>
  <c r="AO526" i="480"/>
  <c r="AP526" i="480"/>
  <c r="AQ526" i="480"/>
  <c r="AR526" i="480"/>
  <c r="AS526" i="480"/>
  <c r="AT526" i="480"/>
  <c r="AU526" i="480"/>
  <c r="AV526" i="480"/>
  <c r="AW526" i="480"/>
  <c r="AX526" i="480"/>
  <c r="AY526" i="480"/>
  <c r="AZ526" i="480"/>
  <c r="BA526" i="480"/>
  <c r="BB526" i="480"/>
  <c r="BC526" i="480"/>
  <c r="B527" i="480"/>
  <c r="C527" i="480"/>
  <c r="D527" i="480"/>
  <c r="E527" i="480"/>
  <c r="F527" i="480"/>
  <c r="G527" i="480"/>
  <c r="H527" i="480"/>
  <c r="I527" i="480"/>
  <c r="J527" i="480"/>
  <c r="K527" i="480"/>
  <c r="L527" i="480"/>
  <c r="M527" i="480"/>
  <c r="N527" i="480"/>
  <c r="O527" i="480"/>
  <c r="P527" i="480"/>
  <c r="Q527" i="480"/>
  <c r="R527" i="480"/>
  <c r="S527" i="480"/>
  <c r="T527" i="480"/>
  <c r="U527" i="480"/>
  <c r="V527" i="480"/>
  <c r="W527" i="480"/>
  <c r="X527" i="480"/>
  <c r="Y527" i="480"/>
  <c r="Z527" i="480"/>
  <c r="AA527" i="480"/>
  <c r="AB527" i="480"/>
  <c r="AC527" i="480"/>
  <c r="AD527" i="480"/>
  <c r="AE527" i="480"/>
  <c r="AF527" i="480"/>
  <c r="AG527" i="480"/>
  <c r="AH527" i="480"/>
  <c r="AI527" i="480"/>
  <c r="AJ527" i="480"/>
  <c r="AK527" i="480"/>
  <c r="AL527" i="480"/>
  <c r="AM527" i="480"/>
  <c r="AN527" i="480"/>
  <c r="AO527" i="480"/>
  <c r="AP527" i="480"/>
  <c r="AQ527" i="480"/>
  <c r="AR527" i="480"/>
  <c r="AS527" i="480"/>
  <c r="AT527" i="480"/>
  <c r="AU527" i="480"/>
  <c r="AV527" i="480"/>
  <c r="AW527" i="480"/>
  <c r="AX527" i="480"/>
  <c r="AY527" i="480"/>
  <c r="AZ527" i="480"/>
  <c r="BA527" i="480"/>
  <c r="BB527" i="480"/>
  <c r="BC527" i="480"/>
  <c r="B528" i="480"/>
  <c r="C528" i="480"/>
  <c r="D528" i="480"/>
  <c r="E528" i="480"/>
  <c r="F528" i="480"/>
  <c r="G528" i="480"/>
  <c r="H528" i="480"/>
  <c r="I528" i="480"/>
  <c r="J528" i="480"/>
  <c r="K528" i="480"/>
  <c r="L528" i="480"/>
  <c r="M528" i="480"/>
  <c r="N528" i="480"/>
  <c r="O528" i="480"/>
  <c r="P528" i="480"/>
  <c r="Q528" i="480"/>
  <c r="R528" i="480"/>
  <c r="S528" i="480"/>
  <c r="T528" i="480"/>
  <c r="U528" i="480"/>
  <c r="V528" i="480"/>
  <c r="W528" i="480"/>
  <c r="X528" i="480"/>
  <c r="Y528" i="480"/>
  <c r="Z528" i="480"/>
  <c r="AA528" i="480"/>
  <c r="AB528" i="480"/>
  <c r="AC528" i="480"/>
  <c r="AD528" i="480"/>
  <c r="AE528" i="480"/>
  <c r="AF528" i="480"/>
  <c r="AG528" i="480"/>
  <c r="AH528" i="480"/>
  <c r="AI528" i="480"/>
  <c r="AJ528" i="480"/>
  <c r="AK528" i="480"/>
  <c r="AL528" i="480"/>
  <c r="AM528" i="480"/>
  <c r="AN528" i="480"/>
  <c r="AO528" i="480"/>
  <c r="AP528" i="480"/>
  <c r="AQ528" i="480"/>
  <c r="AR528" i="480"/>
  <c r="AS528" i="480"/>
  <c r="AT528" i="480"/>
  <c r="AU528" i="480"/>
  <c r="AV528" i="480"/>
  <c r="AW528" i="480"/>
  <c r="AX528" i="480"/>
  <c r="AY528" i="480"/>
  <c r="AZ528" i="480"/>
  <c r="BA528" i="480"/>
  <c r="BB528" i="480"/>
  <c r="BC528" i="480"/>
  <c r="B529" i="480"/>
  <c r="C529" i="480"/>
  <c r="D529" i="480"/>
  <c r="E529" i="480"/>
  <c r="F529" i="480"/>
  <c r="G529" i="480"/>
  <c r="H529" i="480"/>
  <c r="I529" i="480"/>
  <c r="J529" i="480"/>
  <c r="K529" i="480"/>
  <c r="L529" i="480"/>
  <c r="M529" i="480"/>
  <c r="N529" i="480"/>
  <c r="O529" i="480"/>
  <c r="P529" i="480"/>
  <c r="Q529" i="480"/>
  <c r="R529" i="480"/>
  <c r="S529" i="480"/>
  <c r="T529" i="480"/>
  <c r="U529" i="480"/>
  <c r="V529" i="480"/>
  <c r="W529" i="480"/>
  <c r="X529" i="480"/>
  <c r="Y529" i="480"/>
  <c r="Z529" i="480"/>
  <c r="AA529" i="480"/>
  <c r="AB529" i="480"/>
  <c r="AC529" i="480"/>
  <c r="AD529" i="480"/>
  <c r="AE529" i="480"/>
  <c r="AF529" i="480"/>
  <c r="AG529" i="480"/>
  <c r="AH529" i="480"/>
  <c r="AI529" i="480"/>
  <c r="AJ529" i="480"/>
  <c r="AK529" i="480"/>
  <c r="AL529" i="480"/>
  <c r="AM529" i="480"/>
  <c r="AN529" i="480"/>
  <c r="AO529" i="480"/>
  <c r="AP529" i="480"/>
  <c r="AQ529" i="480"/>
  <c r="AR529" i="480"/>
  <c r="AS529" i="480"/>
  <c r="AT529" i="480"/>
  <c r="AU529" i="480"/>
  <c r="AV529" i="480"/>
  <c r="AW529" i="480"/>
  <c r="AX529" i="480"/>
  <c r="AY529" i="480"/>
  <c r="AZ529" i="480"/>
  <c r="BA529" i="480"/>
  <c r="BB529" i="480"/>
  <c r="BC529" i="480"/>
  <c r="B530" i="480"/>
  <c r="C530" i="480"/>
  <c r="D530" i="480"/>
  <c r="E530" i="480"/>
  <c r="F530" i="480"/>
  <c r="G530" i="480"/>
  <c r="H530" i="480"/>
  <c r="I530" i="480"/>
  <c r="J530" i="480"/>
  <c r="K530" i="480"/>
  <c r="L530" i="480"/>
  <c r="M530" i="480"/>
  <c r="N530" i="480"/>
  <c r="O530" i="480"/>
  <c r="P530" i="480"/>
  <c r="Q530" i="480"/>
  <c r="R530" i="480"/>
  <c r="S530" i="480"/>
  <c r="T530" i="480"/>
  <c r="U530" i="480"/>
  <c r="V530" i="480"/>
  <c r="W530" i="480"/>
  <c r="X530" i="480"/>
  <c r="Y530" i="480"/>
  <c r="Z530" i="480"/>
  <c r="AA530" i="480"/>
  <c r="AB530" i="480"/>
  <c r="AC530" i="480"/>
  <c r="AD530" i="480"/>
  <c r="AE530" i="480"/>
  <c r="AF530" i="480"/>
  <c r="AG530" i="480"/>
  <c r="AH530" i="480"/>
  <c r="AI530" i="480"/>
  <c r="AJ530" i="480"/>
  <c r="AK530" i="480"/>
  <c r="AL530" i="480"/>
  <c r="AM530" i="480"/>
  <c r="AN530" i="480"/>
  <c r="AO530" i="480"/>
  <c r="AP530" i="480"/>
  <c r="AQ530" i="480"/>
  <c r="AR530" i="480"/>
  <c r="AS530" i="480"/>
  <c r="AT530" i="480"/>
  <c r="AU530" i="480"/>
  <c r="AV530" i="480"/>
  <c r="AW530" i="480"/>
  <c r="AX530" i="480"/>
  <c r="AY530" i="480"/>
  <c r="AZ530" i="480"/>
  <c r="BA530" i="480"/>
  <c r="BB530" i="480"/>
  <c r="BC530" i="480"/>
  <c r="B531" i="480"/>
  <c r="C531" i="480"/>
  <c r="D531" i="480"/>
  <c r="E531" i="480"/>
  <c r="F531" i="480"/>
  <c r="G531" i="480"/>
  <c r="H531" i="480"/>
  <c r="I531" i="480"/>
  <c r="J531" i="480"/>
  <c r="K531" i="480"/>
  <c r="L531" i="480"/>
  <c r="M531" i="480"/>
  <c r="N531" i="480"/>
  <c r="O531" i="480"/>
  <c r="P531" i="480"/>
  <c r="Q531" i="480"/>
  <c r="R531" i="480"/>
  <c r="S531" i="480"/>
  <c r="T531" i="480"/>
  <c r="U531" i="480"/>
  <c r="V531" i="480"/>
  <c r="W531" i="480"/>
  <c r="X531" i="480"/>
  <c r="Y531" i="480"/>
  <c r="Z531" i="480"/>
  <c r="AA531" i="480"/>
  <c r="AB531" i="480"/>
  <c r="AC531" i="480"/>
  <c r="AD531" i="480"/>
  <c r="AE531" i="480"/>
  <c r="AF531" i="480"/>
  <c r="AG531" i="480"/>
  <c r="AH531" i="480"/>
  <c r="AI531" i="480"/>
  <c r="AJ531" i="480"/>
  <c r="AK531" i="480"/>
  <c r="AL531" i="480"/>
  <c r="AM531" i="480"/>
  <c r="AN531" i="480"/>
  <c r="AO531" i="480"/>
  <c r="AP531" i="480"/>
  <c r="AQ531" i="480"/>
  <c r="AR531" i="480"/>
  <c r="AS531" i="480"/>
  <c r="AT531" i="480"/>
  <c r="AU531" i="480"/>
  <c r="AV531" i="480"/>
  <c r="AW531" i="480"/>
  <c r="AX531" i="480"/>
  <c r="AY531" i="480"/>
  <c r="AZ531" i="480"/>
  <c r="BA531" i="480"/>
  <c r="BB531" i="480"/>
  <c r="BC531" i="480"/>
  <c r="B532" i="480"/>
  <c r="C532" i="480"/>
  <c r="D532" i="480"/>
  <c r="E532" i="480"/>
  <c r="F532" i="480"/>
  <c r="G532" i="480"/>
  <c r="H532" i="480"/>
  <c r="I532" i="480"/>
  <c r="J532" i="480"/>
  <c r="K532" i="480"/>
  <c r="L532" i="480"/>
  <c r="M532" i="480"/>
  <c r="N532" i="480"/>
  <c r="O532" i="480"/>
  <c r="P532" i="480"/>
  <c r="Q532" i="480"/>
  <c r="R532" i="480"/>
  <c r="S532" i="480"/>
  <c r="T532" i="480"/>
  <c r="U532" i="480"/>
  <c r="V532" i="480"/>
  <c r="W532" i="480"/>
  <c r="X532" i="480"/>
  <c r="Y532" i="480"/>
  <c r="Z532" i="480"/>
  <c r="AA532" i="480"/>
  <c r="AB532" i="480"/>
  <c r="AC532" i="480"/>
  <c r="AD532" i="480"/>
  <c r="AE532" i="480"/>
  <c r="AF532" i="480"/>
  <c r="AG532" i="480"/>
  <c r="AH532" i="480"/>
  <c r="AI532" i="480"/>
  <c r="AJ532" i="480"/>
  <c r="AK532" i="480"/>
  <c r="AL532" i="480"/>
  <c r="AM532" i="480"/>
  <c r="AN532" i="480"/>
  <c r="AO532" i="480"/>
  <c r="AP532" i="480"/>
  <c r="AQ532" i="480"/>
  <c r="AR532" i="480"/>
  <c r="AS532" i="480"/>
  <c r="AT532" i="480"/>
  <c r="AU532" i="480"/>
  <c r="AV532" i="480"/>
  <c r="AW532" i="480"/>
  <c r="AX532" i="480"/>
  <c r="AY532" i="480"/>
  <c r="AZ532" i="480"/>
  <c r="BA532" i="480"/>
  <c r="BB532" i="480"/>
  <c r="BC532" i="480"/>
  <c r="B533" i="480"/>
  <c r="C533" i="480"/>
  <c r="D533" i="480"/>
  <c r="E533" i="480"/>
  <c r="F533" i="480"/>
  <c r="G533" i="480"/>
  <c r="H533" i="480"/>
  <c r="I533" i="480"/>
  <c r="J533" i="480"/>
  <c r="K533" i="480"/>
  <c r="L533" i="480"/>
  <c r="M533" i="480"/>
  <c r="N533" i="480"/>
  <c r="O533" i="480"/>
  <c r="P533" i="480"/>
  <c r="Q533" i="480"/>
  <c r="R533" i="480"/>
  <c r="S533" i="480"/>
  <c r="T533" i="480"/>
  <c r="U533" i="480"/>
  <c r="V533" i="480"/>
  <c r="W533" i="480"/>
  <c r="X533" i="480"/>
  <c r="Y533" i="480"/>
  <c r="Z533" i="480"/>
  <c r="AA533" i="480"/>
  <c r="AB533" i="480"/>
  <c r="AC533" i="480"/>
  <c r="AD533" i="480"/>
  <c r="AE533" i="480"/>
  <c r="AF533" i="480"/>
  <c r="AG533" i="480"/>
  <c r="AH533" i="480"/>
  <c r="AI533" i="480"/>
  <c r="AJ533" i="480"/>
  <c r="AK533" i="480"/>
  <c r="AL533" i="480"/>
  <c r="AM533" i="480"/>
  <c r="AN533" i="480"/>
  <c r="AO533" i="480"/>
  <c r="AP533" i="480"/>
  <c r="AQ533" i="480"/>
  <c r="AR533" i="480"/>
  <c r="AS533" i="480"/>
  <c r="AT533" i="480"/>
  <c r="AU533" i="480"/>
  <c r="AV533" i="480"/>
  <c r="AW533" i="480"/>
  <c r="AX533" i="480"/>
  <c r="AY533" i="480"/>
  <c r="AZ533" i="480"/>
  <c r="BA533" i="480"/>
  <c r="BB533" i="480"/>
  <c r="BC533" i="480"/>
  <c r="B534" i="480"/>
  <c r="C534" i="480"/>
  <c r="D534" i="480"/>
  <c r="E534" i="480"/>
  <c r="F534" i="480"/>
  <c r="G534" i="480"/>
  <c r="H534" i="480"/>
  <c r="I534" i="480"/>
  <c r="J534" i="480"/>
  <c r="K534" i="480"/>
  <c r="L534" i="480"/>
  <c r="M534" i="480"/>
  <c r="N534" i="480"/>
  <c r="O534" i="480"/>
  <c r="P534" i="480"/>
  <c r="Q534" i="480"/>
  <c r="R534" i="480"/>
  <c r="S534" i="480"/>
  <c r="T534" i="480"/>
  <c r="U534" i="480"/>
  <c r="V534" i="480"/>
  <c r="W534" i="480"/>
  <c r="X534" i="480"/>
  <c r="Y534" i="480"/>
  <c r="Z534" i="480"/>
  <c r="AA534" i="480"/>
  <c r="AB534" i="480"/>
  <c r="AC534" i="480"/>
  <c r="AD534" i="480"/>
  <c r="AE534" i="480"/>
  <c r="AF534" i="480"/>
  <c r="AG534" i="480"/>
  <c r="AH534" i="480"/>
  <c r="AI534" i="480"/>
  <c r="AJ534" i="480"/>
  <c r="AK534" i="480"/>
  <c r="AL534" i="480"/>
  <c r="AM534" i="480"/>
  <c r="AN534" i="480"/>
  <c r="AO534" i="480"/>
  <c r="AP534" i="480"/>
  <c r="AQ534" i="480"/>
  <c r="AR534" i="480"/>
  <c r="AS534" i="480"/>
  <c r="AT534" i="480"/>
  <c r="AU534" i="480"/>
  <c r="AV534" i="480"/>
  <c r="AW534" i="480"/>
  <c r="AX534" i="480"/>
  <c r="AY534" i="480"/>
  <c r="AZ534" i="480"/>
  <c r="BA534" i="480"/>
  <c r="BB534" i="480"/>
  <c r="BC534" i="480"/>
  <c r="B535" i="480"/>
  <c r="C535" i="480"/>
  <c r="D535" i="480"/>
  <c r="E535" i="480"/>
  <c r="F535" i="480"/>
  <c r="G535" i="480"/>
  <c r="H535" i="480"/>
  <c r="I535" i="480"/>
  <c r="J535" i="480"/>
  <c r="K535" i="480"/>
  <c r="L535" i="480"/>
  <c r="M535" i="480"/>
  <c r="N535" i="480"/>
  <c r="O535" i="480"/>
  <c r="P535" i="480"/>
  <c r="Q535" i="480"/>
  <c r="R535" i="480"/>
  <c r="S535" i="480"/>
  <c r="T535" i="480"/>
  <c r="U535" i="480"/>
  <c r="V535" i="480"/>
  <c r="W535" i="480"/>
  <c r="X535" i="480"/>
  <c r="Y535" i="480"/>
  <c r="Z535" i="480"/>
  <c r="AA535" i="480"/>
  <c r="AB535" i="480"/>
  <c r="AC535" i="480"/>
  <c r="AD535" i="480"/>
  <c r="AE535" i="480"/>
  <c r="AF535" i="480"/>
  <c r="AG535" i="480"/>
  <c r="AH535" i="480"/>
  <c r="AI535" i="480"/>
  <c r="AJ535" i="480"/>
  <c r="AK535" i="480"/>
  <c r="AL535" i="480"/>
  <c r="AM535" i="480"/>
  <c r="AN535" i="480"/>
  <c r="AO535" i="480"/>
  <c r="AP535" i="480"/>
  <c r="AQ535" i="480"/>
  <c r="AR535" i="480"/>
  <c r="AS535" i="480"/>
  <c r="AT535" i="480"/>
  <c r="AU535" i="480"/>
  <c r="AV535" i="480"/>
  <c r="AW535" i="480"/>
  <c r="AX535" i="480"/>
  <c r="AY535" i="480"/>
  <c r="AZ535" i="480"/>
  <c r="BA535" i="480"/>
  <c r="BB535" i="480"/>
  <c r="BC535" i="480"/>
  <c r="B536" i="480"/>
  <c r="C536" i="480"/>
  <c r="D536" i="480"/>
  <c r="E536" i="480"/>
  <c r="F536" i="480"/>
  <c r="G536" i="480"/>
  <c r="H536" i="480"/>
  <c r="I536" i="480"/>
  <c r="J536" i="480"/>
  <c r="K536" i="480"/>
  <c r="L536" i="480"/>
  <c r="M536" i="480"/>
  <c r="N536" i="480"/>
  <c r="O536" i="480"/>
  <c r="P536" i="480"/>
  <c r="Q536" i="480"/>
  <c r="R536" i="480"/>
  <c r="S536" i="480"/>
  <c r="T536" i="480"/>
  <c r="U536" i="480"/>
  <c r="V536" i="480"/>
  <c r="W536" i="480"/>
  <c r="X536" i="480"/>
  <c r="Y536" i="480"/>
  <c r="Z536" i="480"/>
  <c r="AA536" i="480"/>
  <c r="AB536" i="480"/>
  <c r="AC536" i="480"/>
  <c r="AD536" i="480"/>
  <c r="AE536" i="480"/>
  <c r="AF536" i="480"/>
  <c r="AG536" i="480"/>
  <c r="AH536" i="480"/>
  <c r="AI536" i="480"/>
  <c r="AJ536" i="480"/>
  <c r="AK536" i="480"/>
  <c r="AL536" i="480"/>
  <c r="AM536" i="480"/>
  <c r="AN536" i="480"/>
  <c r="AO536" i="480"/>
  <c r="AP536" i="480"/>
  <c r="AQ536" i="480"/>
  <c r="AR536" i="480"/>
  <c r="AS536" i="480"/>
  <c r="AT536" i="480"/>
  <c r="AU536" i="480"/>
  <c r="AV536" i="480"/>
  <c r="AW536" i="480"/>
  <c r="AX536" i="480"/>
  <c r="AY536" i="480"/>
  <c r="AZ536" i="480"/>
  <c r="BA536" i="480"/>
  <c r="BB536" i="480"/>
  <c r="BC536" i="480"/>
  <c r="B537" i="480"/>
  <c r="C537" i="480"/>
  <c r="D537" i="480"/>
  <c r="E537" i="480"/>
  <c r="F537" i="480"/>
  <c r="G537" i="480"/>
  <c r="H537" i="480"/>
  <c r="I537" i="480"/>
  <c r="J537" i="480"/>
  <c r="K537" i="480"/>
  <c r="L537" i="480"/>
  <c r="M537" i="480"/>
  <c r="N537" i="480"/>
  <c r="O537" i="480"/>
  <c r="P537" i="480"/>
  <c r="Q537" i="480"/>
  <c r="R537" i="480"/>
  <c r="S537" i="480"/>
  <c r="T537" i="480"/>
  <c r="U537" i="480"/>
  <c r="V537" i="480"/>
  <c r="W537" i="480"/>
  <c r="X537" i="480"/>
  <c r="Y537" i="480"/>
  <c r="Z537" i="480"/>
  <c r="AA537" i="480"/>
  <c r="AB537" i="480"/>
  <c r="AC537" i="480"/>
  <c r="AD537" i="480"/>
  <c r="AE537" i="480"/>
  <c r="AF537" i="480"/>
  <c r="AG537" i="480"/>
  <c r="AH537" i="480"/>
  <c r="AI537" i="480"/>
  <c r="AJ537" i="480"/>
  <c r="AK537" i="480"/>
  <c r="AL537" i="480"/>
  <c r="AM537" i="480"/>
  <c r="AN537" i="480"/>
  <c r="AO537" i="480"/>
  <c r="AP537" i="480"/>
  <c r="AQ537" i="480"/>
  <c r="AR537" i="480"/>
  <c r="AS537" i="480"/>
  <c r="AT537" i="480"/>
  <c r="AU537" i="480"/>
  <c r="AV537" i="480"/>
  <c r="AW537" i="480"/>
  <c r="AX537" i="480"/>
  <c r="AY537" i="480"/>
  <c r="AZ537" i="480"/>
  <c r="BA537" i="480"/>
  <c r="BB537" i="480"/>
  <c r="BC537" i="480"/>
  <c r="B538" i="480"/>
  <c r="C538" i="480"/>
  <c r="D538" i="480"/>
  <c r="E538" i="480"/>
  <c r="F538" i="480"/>
  <c r="G538" i="480"/>
  <c r="H538" i="480"/>
  <c r="I538" i="480"/>
  <c r="J538" i="480"/>
  <c r="K538" i="480"/>
  <c r="L538" i="480"/>
  <c r="M538" i="480"/>
  <c r="N538" i="480"/>
  <c r="O538" i="480"/>
  <c r="P538" i="480"/>
  <c r="Q538" i="480"/>
  <c r="R538" i="480"/>
  <c r="S538" i="480"/>
  <c r="T538" i="480"/>
  <c r="U538" i="480"/>
  <c r="V538" i="480"/>
  <c r="W538" i="480"/>
  <c r="X538" i="480"/>
  <c r="Y538" i="480"/>
  <c r="Z538" i="480"/>
  <c r="AA538" i="480"/>
  <c r="AB538" i="480"/>
  <c r="AC538" i="480"/>
  <c r="AD538" i="480"/>
  <c r="AE538" i="480"/>
  <c r="AF538" i="480"/>
  <c r="AG538" i="480"/>
  <c r="AH538" i="480"/>
  <c r="AI538" i="480"/>
  <c r="AJ538" i="480"/>
  <c r="AK538" i="480"/>
  <c r="AL538" i="480"/>
  <c r="AM538" i="480"/>
  <c r="AN538" i="480"/>
  <c r="AO538" i="480"/>
  <c r="AP538" i="480"/>
  <c r="AQ538" i="480"/>
  <c r="AR538" i="480"/>
  <c r="AS538" i="480"/>
  <c r="AT538" i="480"/>
  <c r="AU538" i="480"/>
  <c r="AV538" i="480"/>
  <c r="AW538" i="480"/>
  <c r="AX538" i="480"/>
  <c r="AY538" i="480"/>
  <c r="AZ538" i="480"/>
  <c r="BA538" i="480"/>
  <c r="BB538" i="480"/>
  <c r="BC538" i="480"/>
  <c r="B539" i="480"/>
  <c r="C539" i="480"/>
  <c r="D539" i="480"/>
  <c r="E539" i="480"/>
  <c r="F539" i="480"/>
  <c r="G539" i="480"/>
  <c r="H539" i="480"/>
  <c r="I539" i="480"/>
  <c r="J539" i="480"/>
  <c r="K539" i="480"/>
  <c r="L539" i="480"/>
  <c r="M539" i="480"/>
  <c r="N539" i="480"/>
  <c r="O539" i="480"/>
  <c r="P539" i="480"/>
  <c r="Q539" i="480"/>
  <c r="R539" i="480"/>
  <c r="S539" i="480"/>
  <c r="T539" i="480"/>
  <c r="U539" i="480"/>
  <c r="V539" i="480"/>
  <c r="W539" i="480"/>
  <c r="X539" i="480"/>
  <c r="Y539" i="480"/>
  <c r="Z539" i="480"/>
  <c r="AA539" i="480"/>
  <c r="AB539" i="480"/>
  <c r="AC539" i="480"/>
  <c r="AD539" i="480"/>
  <c r="AE539" i="480"/>
  <c r="AF539" i="480"/>
  <c r="AG539" i="480"/>
  <c r="AH539" i="480"/>
  <c r="AI539" i="480"/>
  <c r="AJ539" i="480"/>
  <c r="AK539" i="480"/>
  <c r="AL539" i="480"/>
  <c r="AM539" i="480"/>
  <c r="AN539" i="480"/>
  <c r="AO539" i="480"/>
  <c r="AP539" i="480"/>
  <c r="AQ539" i="480"/>
  <c r="AR539" i="480"/>
  <c r="AS539" i="480"/>
  <c r="AT539" i="480"/>
  <c r="AU539" i="480"/>
  <c r="AV539" i="480"/>
  <c r="AW539" i="480"/>
  <c r="AX539" i="480"/>
  <c r="AY539" i="480"/>
  <c r="AZ539" i="480"/>
  <c r="BA539" i="480"/>
  <c r="BB539" i="480"/>
  <c r="BC539" i="480"/>
  <c r="B540" i="480"/>
  <c r="C540" i="480"/>
  <c r="D540" i="480"/>
  <c r="E540" i="480"/>
  <c r="F540" i="480"/>
  <c r="G540" i="480"/>
  <c r="H540" i="480"/>
  <c r="I540" i="480"/>
  <c r="J540" i="480"/>
  <c r="K540" i="480"/>
  <c r="L540" i="480"/>
  <c r="M540" i="480"/>
  <c r="N540" i="480"/>
  <c r="O540" i="480"/>
  <c r="P540" i="480"/>
  <c r="Q540" i="480"/>
  <c r="R540" i="480"/>
  <c r="S540" i="480"/>
  <c r="T540" i="480"/>
  <c r="U540" i="480"/>
  <c r="V540" i="480"/>
  <c r="W540" i="480"/>
  <c r="X540" i="480"/>
  <c r="Y540" i="480"/>
  <c r="Z540" i="480"/>
  <c r="AA540" i="480"/>
  <c r="AB540" i="480"/>
  <c r="AC540" i="480"/>
  <c r="AD540" i="480"/>
  <c r="AE540" i="480"/>
  <c r="AF540" i="480"/>
  <c r="AG540" i="480"/>
  <c r="AH540" i="480"/>
  <c r="AI540" i="480"/>
  <c r="AJ540" i="480"/>
  <c r="AK540" i="480"/>
  <c r="AL540" i="480"/>
  <c r="AM540" i="480"/>
  <c r="AN540" i="480"/>
  <c r="AO540" i="480"/>
  <c r="AP540" i="480"/>
  <c r="AQ540" i="480"/>
  <c r="AR540" i="480"/>
  <c r="AS540" i="480"/>
  <c r="AT540" i="480"/>
  <c r="AU540" i="480"/>
  <c r="AV540" i="480"/>
  <c r="AW540" i="480"/>
  <c r="AX540" i="480"/>
  <c r="AY540" i="480"/>
  <c r="AZ540" i="480"/>
  <c r="BA540" i="480"/>
  <c r="BB540" i="480"/>
  <c r="BC540" i="480"/>
  <c r="B541" i="480"/>
  <c r="C541" i="480"/>
  <c r="D541" i="480"/>
  <c r="E541" i="480"/>
  <c r="F541" i="480"/>
  <c r="G541" i="480"/>
  <c r="H541" i="480"/>
  <c r="I541" i="480"/>
  <c r="J541" i="480"/>
  <c r="K541" i="480"/>
  <c r="L541" i="480"/>
  <c r="M541" i="480"/>
  <c r="N541" i="480"/>
  <c r="O541" i="480"/>
  <c r="P541" i="480"/>
  <c r="Q541" i="480"/>
  <c r="R541" i="480"/>
  <c r="S541" i="480"/>
  <c r="T541" i="480"/>
  <c r="U541" i="480"/>
  <c r="V541" i="480"/>
  <c r="W541" i="480"/>
  <c r="X541" i="480"/>
  <c r="Y541" i="480"/>
  <c r="Z541" i="480"/>
  <c r="AA541" i="480"/>
  <c r="AB541" i="480"/>
  <c r="AC541" i="480"/>
  <c r="AD541" i="480"/>
  <c r="AE541" i="480"/>
  <c r="AF541" i="480"/>
  <c r="AG541" i="480"/>
  <c r="AH541" i="480"/>
  <c r="AI541" i="480"/>
  <c r="AJ541" i="480"/>
  <c r="AK541" i="480"/>
  <c r="AL541" i="480"/>
  <c r="AM541" i="480"/>
  <c r="AN541" i="480"/>
  <c r="AO541" i="480"/>
  <c r="AP541" i="480"/>
  <c r="AQ541" i="480"/>
  <c r="AR541" i="480"/>
  <c r="AS541" i="480"/>
  <c r="AT541" i="480"/>
  <c r="AU541" i="480"/>
  <c r="AV541" i="480"/>
  <c r="AW541" i="480"/>
  <c r="AX541" i="480"/>
  <c r="AY541" i="480"/>
  <c r="AZ541" i="480"/>
  <c r="BA541" i="480"/>
  <c r="BB541" i="480"/>
  <c r="BC541" i="480"/>
  <c r="B542" i="480"/>
  <c r="C542" i="480"/>
  <c r="D542" i="480"/>
  <c r="E542" i="480"/>
  <c r="F542" i="480"/>
  <c r="G542" i="480"/>
  <c r="H542" i="480"/>
  <c r="I542" i="480"/>
  <c r="J542" i="480"/>
  <c r="K542" i="480"/>
  <c r="L542" i="480"/>
  <c r="M542" i="480"/>
  <c r="N542" i="480"/>
  <c r="O542" i="480"/>
  <c r="P542" i="480"/>
  <c r="Q542" i="480"/>
  <c r="R542" i="480"/>
  <c r="S542" i="480"/>
  <c r="T542" i="480"/>
  <c r="U542" i="480"/>
  <c r="V542" i="480"/>
  <c r="W542" i="480"/>
  <c r="X542" i="480"/>
  <c r="Y542" i="480"/>
  <c r="Z542" i="480"/>
  <c r="AA542" i="480"/>
  <c r="AB542" i="480"/>
  <c r="AC542" i="480"/>
  <c r="AD542" i="480"/>
  <c r="AE542" i="480"/>
  <c r="AF542" i="480"/>
  <c r="AG542" i="480"/>
  <c r="AH542" i="480"/>
  <c r="AI542" i="480"/>
  <c r="AJ542" i="480"/>
  <c r="AK542" i="480"/>
  <c r="AL542" i="480"/>
  <c r="AM542" i="480"/>
  <c r="AN542" i="480"/>
  <c r="AO542" i="480"/>
  <c r="AP542" i="480"/>
  <c r="AQ542" i="480"/>
  <c r="AR542" i="480"/>
  <c r="AS542" i="480"/>
  <c r="AT542" i="480"/>
  <c r="AU542" i="480"/>
  <c r="AV542" i="480"/>
  <c r="AW542" i="480"/>
  <c r="AX542" i="480"/>
  <c r="AY542" i="480"/>
  <c r="AZ542" i="480"/>
  <c r="BA542" i="480"/>
  <c r="BB542" i="480"/>
  <c r="BC542" i="480"/>
  <c r="B543" i="480"/>
  <c r="C543" i="480"/>
  <c r="D543" i="480"/>
  <c r="E543" i="480"/>
  <c r="F543" i="480"/>
  <c r="G543" i="480"/>
  <c r="H543" i="480"/>
  <c r="I543" i="480"/>
  <c r="J543" i="480"/>
  <c r="K543" i="480"/>
  <c r="L543" i="480"/>
  <c r="M543" i="480"/>
  <c r="N543" i="480"/>
  <c r="O543" i="480"/>
  <c r="P543" i="480"/>
  <c r="Q543" i="480"/>
  <c r="R543" i="480"/>
  <c r="S543" i="480"/>
  <c r="T543" i="480"/>
  <c r="U543" i="480"/>
  <c r="V543" i="480"/>
  <c r="W543" i="480"/>
  <c r="X543" i="480"/>
  <c r="Y543" i="480"/>
  <c r="Z543" i="480"/>
  <c r="AA543" i="480"/>
  <c r="AB543" i="480"/>
  <c r="AC543" i="480"/>
  <c r="AD543" i="480"/>
  <c r="AE543" i="480"/>
  <c r="AF543" i="480"/>
  <c r="AG543" i="480"/>
  <c r="AH543" i="480"/>
  <c r="AI543" i="480"/>
  <c r="AJ543" i="480"/>
  <c r="AK543" i="480"/>
  <c r="AL543" i="480"/>
  <c r="AM543" i="480"/>
  <c r="AN543" i="480"/>
  <c r="AO543" i="480"/>
  <c r="AP543" i="480"/>
  <c r="AQ543" i="480"/>
  <c r="AR543" i="480"/>
  <c r="AS543" i="480"/>
  <c r="AT543" i="480"/>
  <c r="AU543" i="480"/>
  <c r="AV543" i="480"/>
  <c r="AW543" i="480"/>
  <c r="AX543" i="480"/>
  <c r="AY543" i="480"/>
  <c r="AZ543" i="480"/>
  <c r="BA543" i="480"/>
  <c r="BB543" i="480"/>
  <c r="BC543" i="480"/>
  <c r="B544" i="480"/>
  <c r="C544" i="480"/>
  <c r="D544" i="480"/>
  <c r="E544" i="480"/>
  <c r="F544" i="480"/>
  <c r="G544" i="480"/>
  <c r="H544" i="480"/>
  <c r="I544" i="480"/>
  <c r="J544" i="480"/>
  <c r="K544" i="480"/>
  <c r="L544" i="480"/>
  <c r="M544" i="480"/>
  <c r="N544" i="480"/>
  <c r="O544" i="480"/>
  <c r="P544" i="480"/>
  <c r="Q544" i="480"/>
  <c r="R544" i="480"/>
  <c r="S544" i="480"/>
  <c r="T544" i="480"/>
  <c r="U544" i="480"/>
  <c r="V544" i="480"/>
  <c r="W544" i="480"/>
  <c r="X544" i="480"/>
  <c r="Y544" i="480"/>
  <c r="Z544" i="480"/>
  <c r="AA544" i="480"/>
  <c r="AB544" i="480"/>
  <c r="AC544" i="480"/>
  <c r="AD544" i="480"/>
  <c r="AE544" i="480"/>
  <c r="AF544" i="480"/>
  <c r="AG544" i="480"/>
  <c r="AH544" i="480"/>
  <c r="AI544" i="480"/>
  <c r="AJ544" i="480"/>
  <c r="AK544" i="480"/>
  <c r="AL544" i="480"/>
  <c r="AM544" i="480"/>
  <c r="AN544" i="480"/>
  <c r="AO544" i="480"/>
  <c r="AP544" i="480"/>
  <c r="AQ544" i="480"/>
  <c r="AR544" i="480"/>
  <c r="AS544" i="480"/>
  <c r="AT544" i="480"/>
  <c r="AU544" i="480"/>
  <c r="AV544" i="480"/>
  <c r="AW544" i="480"/>
  <c r="AX544" i="480"/>
  <c r="AY544" i="480"/>
  <c r="AZ544" i="480"/>
  <c r="BA544" i="480"/>
  <c r="BB544" i="480"/>
  <c r="BC544" i="480"/>
  <c r="B545" i="480"/>
  <c r="C545" i="480"/>
  <c r="D545" i="480"/>
  <c r="E545" i="480"/>
  <c r="F545" i="480"/>
  <c r="G545" i="480"/>
  <c r="H545" i="480"/>
  <c r="I545" i="480"/>
  <c r="J545" i="480"/>
  <c r="K545" i="480"/>
  <c r="L545" i="480"/>
  <c r="M545" i="480"/>
  <c r="N545" i="480"/>
  <c r="O545" i="480"/>
  <c r="P545" i="480"/>
  <c r="Q545" i="480"/>
  <c r="R545" i="480"/>
  <c r="S545" i="480"/>
  <c r="T545" i="480"/>
  <c r="U545" i="480"/>
  <c r="V545" i="480"/>
  <c r="W545" i="480"/>
  <c r="X545" i="480"/>
  <c r="Y545" i="480"/>
  <c r="Z545" i="480"/>
  <c r="AA545" i="480"/>
  <c r="AB545" i="480"/>
  <c r="AC545" i="480"/>
  <c r="AD545" i="480"/>
  <c r="AE545" i="480"/>
  <c r="AF545" i="480"/>
  <c r="AG545" i="480"/>
  <c r="AH545" i="480"/>
  <c r="AI545" i="480"/>
  <c r="AJ545" i="480"/>
  <c r="AK545" i="480"/>
  <c r="AL545" i="480"/>
  <c r="AM545" i="480"/>
  <c r="AN545" i="480"/>
  <c r="AO545" i="480"/>
  <c r="AP545" i="480"/>
  <c r="AQ545" i="480"/>
  <c r="AR545" i="480"/>
  <c r="AS545" i="480"/>
  <c r="AT545" i="480"/>
  <c r="AU545" i="480"/>
  <c r="AV545" i="480"/>
  <c r="AW545" i="480"/>
  <c r="AX545" i="480"/>
  <c r="AY545" i="480"/>
  <c r="AZ545" i="480"/>
  <c r="BA545" i="480"/>
  <c r="BB545" i="480"/>
  <c r="BC545" i="480"/>
  <c r="B546" i="480"/>
  <c r="C546" i="480"/>
  <c r="D546" i="480"/>
  <c r="E546" i="480"/>
  <c r="F546" i="480"/>
  <c r="G546" i="480"/>
  <c r="H546" i="480"/>
  <c r="I546" i="480"/>
  <c r="J546" i="480"/>
  <c r="K546" i="480"/>
  <c r="L546" i="480"/>
  <c r="M546" i="480"/>
  <c r="N546" i="480"/>
  <c r="O546" i="480"/>
  <c r="P546" i="480"/>
  <c r="Q546" i="480"/>
  <c r="R546" i="480"/>
  <c r="S546" i="480"/>
  <c r="T546" i="480"/>
  <c r="U546" i="480"/>
  <c r="V546" i="480"/>
  <c r="W546" i="480"/>
  <c r="X546" i="480"/>
  <c r="Y546" i="480"/>
  <c r="Z546" i="480"/>
  <c r="AA546" i="480"/>
  <c r="AB546" i="480"/>
  <c r="AC546" i="480"/>
  <c r="AD546" i="480"/>
  <c r="AE546" i="480"/>
  <c r="AF546" i="480"/>
  <c r="AG546" i="480"/>
  <c r="AH546" i="480"/>
  <c r="AI546" i="480"/>
  <c r="AJ546" i="480"/>
  <c r="AK546" i="480"/>
  <c r="AL546" i="480"/>
  <c r="AM546" i="480"/>
  <c r="AN546" i="480"/>
  <c r="AO546" i="480"/>
  <c r="AP546" i="480"/>
  <c r="AQ546" i="480"/>
  <c r="AR546" i="480"/>
  <c r="AS546" i="480"/>
  <c r="AT546" i="480"/>
  <c r="AU546" i="480"/>
  <c r="AV546" i="480"/>
  <c r="AW546" i="480"/>
  <c r="AX546" i="480"/>
  <c r="AY546" i="480"/>
  <c r="AZ546" i="480"/>
  <c r="BA546" i="480"/>
  <c r="BB546" i="480"/>
  <c r="BC546" i="480"/>
  <c r="B547" i="480"/>
  <c r="C547" i="480"/>
  <c r="D547" i="480"/>
  <c r="E547" i="480"/>
  <c r="F547" i="480"/>
  <c r="G547" i="480"/>
  <c r="H547" i="480"/>
  <c r="I547" i="480"/>
  <c r="J547" i="480"/>
  <c r="K547" i="480"/>
  <c r="L547" i="480"/>
  <c r="M547" i="480"/>
  <c r="N547" i="480"/>
  <c r="O547" i="480"/>
  <c r="P547" i="480"/>
  <c r="Q547" i="480"/>
  <c r="R547" i="480"/>
  <c r="S547" i="480"/>
  <c r="T547" i="480"/>
  <c r="U547" i="480"/>
  <c r="V547" i="480"/>
  <c r="W547" i="480"/>
  <c r="X547" i="480"/>
  <c r="Y547" i="480"/>
  <c r="Z547" i="480"/>
  <c r="AA547" i="480"/>
  <c r="AB547" i="480"/>
  <c r="AC547" i="480"/>
  <c r="AD547" i="480"/>
  <c r="AE547" i="480"/>
  <c r="AF547" i="480"/>
  <c r="AG547" i="480"/>
  <c r="AH547" i="480"/>
  <c r="AI547" i="480"/>
  <c r="AJ547" i="480"/>
  <c r="AK547" i="480"/>
  <c r="AL547" i="480"/>
  <c r="AM547" i="480"/>
  <c r="AN547" i="480"/>
  <c r="AO547" i="480"/>
  <c r="AP547" i="480"/>
  <c r="AQ547" i="480"/>
  <c r="AR547" i="480"/>
  <c r="AS547" i="480"/>
  <c r="AT547" i="480"/>
  <c r="AU547" i="480"/>
  <c r="AV547" i="480"/>
  <c r="AW547" i="480"/>
  <c r="AX547" i="480"/>
  <c r="AY547" i="480"/>
  <c r="AZ547" i="480"/>
  <c r="BA547" i="480"/>
  <c r="BB547" i="480"/>
  <c r="BC547" i="480"/>
  <c r="B548" i="480"/>
  <c r="C548" i="480"/>
  <c r="D548" i="480"/>
  <c r="E548" i="480"/>
  <c r="F548" i="480"/>
  <c r="G548" i="480"/>
  <c r="H548" i="480"/>
  <c r="I548" i="480"/>
  <c r="J548" i="480"/>
  <c r="K548" i="480"/>
  <c r="L548" i="480"/>
  <c r="M548" i="480"/>
  <c r="N548" i="480"/>
  <c r="O548" i="480"/>
  <c r="P548" i="480"/>
  <c r="Q548" i="480"/>
  <c r="R548" i="480"/>
  <c r="S548" i="480"/>
  <c r="T548" i="480"/>
  <c r="U548" i="480"/>
  <c r="V548" i="480"/>
  <c r="W548" i="480"/>
  <c r="X548" i="480"/>
  <c r="Y548" i="480"/>
  <c r="Z548" i="480"/>
  <c r="AA548" i="480"/>
  <c r="AB548" i="480"/>
  <c r="AC548" i="480"/>
  <c r="AD548" i="480"/>
  <c r="AE548" i="480"/>
  <c r="AF548" i="480"/>
  <c r="AG548" i="480"/>
  <c r="AH548" i="480"/>
  <c r="AI548" i="480"/>
  <c r="AJ548" i="480"/>
  <c r="AK548" i="480"/>
  <c r="AL548" i="480"/>
  <c r="AM548" i="480"/>
  <c r="AN548" i="480"/>
  <c r="AO548" i="480"/>
  <c r="AP548" i="480"/>
  <c r="AQ548" i="480"/>
  <c r="AR548" i="480"/>
  <c r="AS548" i="480"/>
  <c r="AT548" i="480"/>
  <c r="AU548" i="480"/>
  <c r="AV548" i="480"/>
  <c r="AW548" i="480"/>
  <c r="AX548" i="480"/>
  <c r="AY548" i="480"/>
  <c r="AZ548" i="480"/>
  <c r="BA548" i="480"/>
  <c r="BB548" i="480"/>
  <c r="BC548" i="480"/>
  <c r="B549" i="480"/>
  <c r="C549" i="480"/>
  <c r="D549" i="480"/>
  <c r="E549" i="480"/>
  <c r="F549" i="480"/>
  <c r="G549" i="480"/>
  <c r="H549" i="480"/>
  <c r="I549" i="480"/>
  <c r="J549" i="480"/>
  <c r="K549" i="480"/>
  <c r="L549" i="480"/>
  <c r="M549" i="480"/>
  <c r="N549" i="480"/>
  <c r="O549" i="480"/>
  <c r="P549" i="480"/>
  <c r="Q549" i="480"/>
  <c r="R549" i="480"/>
  <c r="S549" i="480"/>
  <c r="T549" i="480"/>
  <c r="U549" i="480"/>
  <c r="V549" i="480"/>
  <c r="W549" i="480"/>
  <c r="X549" i="480"/>
  <c r="Y549" i="480"/>
  <c r="Z549" i="480"/>
  <c r="AA549" i="480"/>
  <c r="AB549" i="480"/>
  <c r="AC549" i="480"/>
  <c r="AD549" i="480"/>
  <c r="AE549" i="480"/>
  <c r="AF549" i="480"/>
  <c r="AG549" i="480"/>
  <c r="AH549" i="480"/>
  <c r="AI549" i="480"/>
  <c r="AJ549" i="480"/>
  <c r="AK549" i="480"/>
  <c r="AL549" i="480"/>
  <c r="AM549" i="480"/>
  <c r="AN549" i="480"/>
  <c r="AO549" i="480"/>
  <c r="AP549" i="480"/>
  <c r="AQ549" i="480"/>
  <c r="AR549" i="480"/>
  <c r="AS549" i="480"/>
  <c r="AT549" i="480"/>
  <c r="AU549" i="480"/>
  <c r="AV549" i="480"/>
  <c r="AW549" i="480"/>
  <c r="AX549" i="480"/>
  <c r="AY549" i="480"/>
  <c r="AZ549" i="480"/>
  <c r="BA549" i="480"/>
  <c r="BB549" i="480"/>
  <c r="BC549" i="480"/>
  <c r="B550" i="480"/>
  <c r="C550" i="480"/>
  <c r="D550" i="480"/>
  <c r="E550" i="480"/>
  <c r="F550" i="480"/>
  <c r="G550" i="480"/>
  <c r="H550" i="480"/>
  <c r="I550" i="480"/>
  <c r="J550" i="480"/>
  <c r="K550" i="480"/>
  <c r="L550" i="480"/>
  <c r="M550" i="480"/>
  <c r="N550" i="480"/>
  <c r="O550" i="480"/>
  <c r="P550" i="480"/>
  <c r="Q550" i="480"/>
  <c r="R550" i="480"/>
  <c r="S550" i="480"/>
  <c r="T550" i="480"/>
  <c r="U550" i="480"/>
  <c r="V550" i="480"/>
  <c r="W550" i="480"/>
  <c r="X550" i="480"/>
  <c r="Y550" i="480"/>
  <c r="Z550" i="480"/>
  <c r="AA550" i="480"/>
  <c r="AB550" i="480"/>
  <c r="AC550" i="480"/>
  <c r="AD550" i="480"/>
  <c r="AE550" i="480"/>
  <c r="AF550" i="480"/>
  <c r="AG550" i="480"/>
  <c r="AH550" i="480"/>
  <c r="AI550" i="480"/>
  <c r="AJ550" i="480"/>
  <c r="AK550" i="480"/>
  <c r="AL550" i="480"/>
  <c r="AM550" i="480"/>
  <c r="AN550" i="480"/>
  <c r="AO550" i="480"/>
  <c r="AP550" i="480"/>
  <c r="AQ550" i="480"/>
  <c r="AR550" i="480"/>
  <c r="AS550" i="480"/>
  <c r="AT550" i="480"/>
  <c r="AU550" i="480"/>
  <c r="AV550" i="480"/>
  <c r="AW550" i="480"/>
  <c r="AX550" i="480"/>
  <c r="AY550" i="480"/>
  <c r="AZ550" i="480"/>
  <c r="BA550" i="480"/>
  <c r="BB550" i="480"/>
  <c r="BC550" i="480"/>
  <c r="B497" i="480"/>
  <c r="C497" i="480"/>
  <c r="D497" i="480"/>
  <c r="E497" i="480"/>
  <c r="F497" i="480"/>
  <c r="G497" i="480"/>
  <c r="H497" i="480"/>
  <c r="I497" i="480"/>
  <c r="J497" i="480"/>
  <c r="K497" i="480"/>
  <c r="L497" i="480"/>
  <c r="M497" i="480"/>
  <c r="N497" i="480"/>
  <c r="O497" i="480"/>
  <c r="P497" i="480"/>
  <c r="Q497" i="480"/>
  <c r="R497" i="480"/>
  <c r="S497" i="480"/>
  <c r="T497" i="480"/>
  <c r="U497" i="480"/>
  <c r="V497" i="480"/>
  <c r="W497" i="480"/>
  <c r="X497" i="480"/>
  <c r="Y497" i="480"/>
  <c r="Z497" i="480"/>
  <c r="AA497" i="480"/>
  <c r="AB497" i="480"/>
  <c r="AC497" i="480"/>
  <c r="AD497" i="480"/>
  <c r="AE497" i="480"/>
  <c r="AF497" i="480"/>
  <c r="AG497" i="480"/>
  <c r="AH497" i="480"/>
  <c r="AI497" i="480"/>
  <c r="AJ497" i="480"/>
  <c r="AK497" i="480"/>
  <c r="AL497" i="480"/>
  <c r="AM497" i="480"/>
  <c r="AN497" i="480"/>
  <c r="AO497" i="480"/>
  <c r="AP497" i="480"/>
  <c r="AQ497" i="480"/>
  <c r="AR497" i="480"/>
  <c r="AS497" i="480"/>
  <c r="AT497" i="480"/>
  <c r="AU497" i="480"/>
  <c r="AV497" i="480"/>
  <c r="AW497" i="480"/>
  <c r="AX497" i="480"/>
  <c r="AY497" i="480"/>
  <c r="AZ497" i="480"/>
  <c r="BA497" i="480"/>
  <c r="BB497" i="480"/>
  <c r="BC497" i="480"/>
  <c r="B498" i="480"/>
  <c r="C498" i="480"/>
  <c r="D498" i="480"/>
  <c r="E498" i="480"/>
  <c r="F498" i="480"/>
  <c r="G498" i="480"/>
  <c r="H498" i="480"/>
  <c r="I498" i="480"/>
  <c r="J498" i="480"/>
  <c r="K498" i="480"/>
  <c r="L498" i="480"/>
  <c r="M498" i="480"/>
  <c r="N498" i="480"/>
  <c r="O498" i="480"/>
  <c r="P498" i="480"/>
  <c r="Q498" i="480"/>
  <c r="R498" i="480"/>
  <c r="S498" i="480"/>
  <c r="T498" i="480"/>
  <c r="U498" i="480"/>
  <c r="V498" i="480"/>
  <c r="W498" i="480"/>
  <c r="X498" i="480"/>
  <c r="Y498" i="480"/>
  <c r="Z498" i="480"/>
  <c r="AA498" i="480"/>
  <c r="AB498" i="480"/>
  <c r="AC498" i="480"/>
  <c r="AD498" i="480"/>
  <c r="AE498" i="480"/>
  <c r="AF498" i="480"/>
  <c r="AG498" i="480"/>
  <c r="AH498" i="480"/>
  <c r="AI498" i="480"/>
  <c r="AJ498" i="480"/>
  <c r="AK498" i="480"/>
  <c r="AL498" i="480"/>
  <c r="AM498" i="480"/>
  <c r="AN498" i="480"/>
  <c r="AO498" i="480"/>
  <c r="AP498" i="480"/>
  <c r="AQ498" i="480"/>
  <c r="AR498" i="480"/>
  <c r="AS498" i="480"/>
  <c r="AT498" i="480"/>
  <c r="AU498" i="480"/>
  <c r="AV498" i="480"/>
  <c r="AW498" i="480"/>
  <c r="AX498" i="480"/>
  <c r="AY498" i="480"/>
  <c r="AZ498" i="480"/>
  <c r="BA498" i="480"/>
  <c r="BB498" i="480"/>
  <c r="BC498" i="480"/>
  <c r="B499" i="480"/>
  <c r="C499" i="480"/>
  <c r="D499" i="480"/>
  <c r="E499" i="480"/>
  <c r="F499" i="480"/>
  <c r="G499" i="480"/>
  <c r="H499" i="480"/>
  <c r="I499" i="480"/>
  <c r="J499" i="480"/>
  <c r="K499" i="480"/>
  <c r="L499" i="480"/>
  <c r="M499" i="480"/>
  <c r="N499" i="480"/>
  <c r="O499" i="480"/>
  <c r="P499" i="480"/>
  <c r="Q499" i="480"/>
  <c r="R499" i="480"/>
  <c r="S499" i="480"/>
  <c r="T499" i="480"/>
  <c r="U499" i="480"/>
  <c r="V499" i="480"/>
  <c r="W499" i="480"/>
  <c r="X499" i="480"/>
  <c r="Y499" i="480"/>
  <c r="Z499" i="480"/>
  <c r="AA499" i="480"/>
  <c r="AB499" i="480"/>
  <c r="AC499" i="480"/>
  <c r="AD499" i="480"/>
  <c r="AE499" i="480"/>
  <c r="AF499" i="480"/>
  <c r="AG499" i="480"/>
  <c r="AH499" i="480"/>
  <c r="AI499" i="480"/>
  <c r="AJ499" i="480"/>
  <c r="AK499" i="480"/>
  <c r="AL499" i="480"/>
  <c r="AM499" i="480"/>
  <c r="AN499" i="480"/>
  <c r="AO499" i="480"/>
  <c r="AP499" i="480"/>
  <c r="AQ499" i="480"/>
  <c r="AR499" i="480"/>
  <c r="AS499" i="480"/>
  <c r="AT499" i="480"/>
  <c r="AU499" i="480"/>
  <c r="AV499" i="480"/>
  <c r="AW499" i="480"/>
  <c r="AX499" i="480"/>
  <c r="AY499" i="480"/>
  <c r="AZ499" i="480"/>
  <c r="BA499" i="480"/>
  <c r="BB499" i="480"/>
  <c r="BC499" i="480"/>
  <c r="B500" i="480"/>
  <c r="C500" i="480"/>
  <c r="D500" i="480"/>
  <c r="E500" i="480"/>
  <c r="F500" i="480"/>
  <c r="G500" i="480"/>
  <c r="H500" i="480"/>
  <c r="I500" i="480"/>
  <c r="J500" i="480"/>
  <c r="K500" i="480"/>
  <c r="L500" i="480"/>
  <c r="M500" i="480"/>
  <c r="N500" i="480"/>
  <c r="O500" i="480"/>
  <c r="P500" i="480"/>
  <c r="Q500" i="480"/>
  <c r="R500" i="480"/>
  <c r="S500" i="480"/>
  <c r="T500" i="480"/>
  <c r="U500" i="480"/>
  <c r="V500" i="480"/>
  <c r="W500" i="480"/>
  <c r="X500" i="480"/>
  <c r="Y500" i="480"/>
  <c r="Z500" i="480"/>
  <c r="AA500" i="480"/>
  <c r="AB500" i="480"/>
  <c r="AC500" i="480"/>
  <c r="AD500" i="480"/>
  <c r="AE500" i="480"/>
  <c r="AF500" i="480"/>
  <c r="AG500" i="480"/>
  <c r="AH500" i="480"/>
  <c r="AI500" i="480"/>
  <c r="AJ500" i="480"/>
  <c r="AK500" i="480"/>
  <c r="AL500" i="480"/>
  <c r="AM500" i="480"/>
  <c r="AN500" i="480"/>
  <c r="AO500" i="480"/>
  <c r="AP500" i="480"/>
  <c r="AQ500" i="480"/>
  <c r="AR500" i="480"/>
  <c r="AS500" i="480"/>
  <c r="AT500" i="480"/>
  <c r="AU500" i="480"/>
  <c r="AV500" i="480"/>
  <c r="AW500" i="480"/>
  <c r="AX500" i="480"/>
  <c r="AY500" i="480"/>
  <c r="AZ500" i="480"/>
  <c r="BA500" i="480"/>
  <c r="BB500" i="480"/>
  <c r="BC500" i="480"/>
  <c r="B501" i="480"/>
  <c r="C501" i="480"/>
  <c r="D501" i="480"/>
  <c r="E501" i="480"/>
  <c r="F501" i="480"/>
  <c r="G501" i="480"/>
  <c r="H501" i="480"/>
  <c r="I501" i="480"/>
  <c r="J501" i="480"/>
  <c r="K501" i="480"/>
  <c r="L501" i="480"/>
  <c r="M501" i="480"/>
  <c r="N501" i="480"/>
  <c r="O501" i="480"/>
  <c r="P501" i="480"/>
  <c r="Q501" i="480"/>
  <c r="R501" i="480"/>
  <c r="S501" i="480"/>
  <c r="T501" i="480"/>
  <c r="U501" i="480"/>
  <c r="V501" i="480"/>
  <c r="W501" i="480"/>
  <c r="X501" i="480"/>
  <c r="Y501" i="480"/>
  <c r="Z501" i="480"/>
  <c r="AA501" i="480"/>
  <c r="AB501" i="480"/>
  <c r="AC501" i="480"/>
  <c r="AD501" i="480"/>
  <c r="AE501" i="480"/>
  <c r="AF501" i="480"/>
  <c r="AG501" i="480"/>
  <c r="AH501" i="480"/>
  <c r="AI501" i="480"/>
  <c r="AJ501" i="480"/>
  <c r="AK501" i="480"/>
  <c r="AL501" i="480"/>
  <c r="AM501" i="480"/>
  <c r="AN501" i="480"/>
  <c r="AO501" i="480"/>
  <c r="AP501" i="480"/>
  <c r="AQ501" i="480"/>
  <c r="AR501" i="480"/>
  <c r="AS501" i="480"/>
  <c r="AT501" i="480"/>
  <c r="AU501" i="480"/>
  <c r="AV501" i="480"/>
  <c r="AW501" i="480"/>
  <c r="AX501" i="480"/>
  <c r="AY501" i="480"/>
  <c r="AZ501" i="480"/>
  <c r="BA501" i="480"/>
  <c r="BB501" i="480"/>
  <c r="BC501" i="480"/>
  <c r="B502" i="480"/>
  <c r="C502" i="480"/>
  <c r="D502" i="480"/>
  <c r="E502" i="480"/>
  <c r="F502" i="480"/>
  <c r="G502" i="480"/>
  <c r="H502" i="480"/>
  <c r="I502" i="480"/>
  <c r="J502" i="480"/>
  <c r="K502" i="480"/>
  <c r="L502" i="480"/>
  <c r="M502" i="480"/>
  <c r="N502" i="480"/>
  <c r="O502" i="480"/>
  <c r="P502" i="480"/>
  <c r="Q502" i="480"/>
  <c r="R502" i="480"/>
  <c r="S502" i="480"/>
  <c r="T502" i="480"/>
  <c r="U502" i="480"/>
  <c r="V502" i="480"/>
  <c r="W502" i="480"/>
  <c r="X502" i="480"/>
  <c r="Y502" i="480"/>
  <c r="Z502" i="480"/>
  <c r="AA502" i="480"/>
  <c r="AB502" i="480"/>
  <c r="AC502" i="480"/>
  <c r="AD502" i="480"/>
  <c r="AE502" i="480"/>
  <c r="AF502" i="480"/>
  <c r="AG502" i="480"/>
  <c r="AH502" i="480"/>
  <c r="AI502" i="480"/>
  <c r="AJ502" i="480"/>
  <c r="AK502" i="480"/>
  <c r="AL502" i="480"/>
  <c r="AM502" i="480"/>
  <c r="AN502" i="480"/>
  <c r="AO502" i="480"/>
  <c r="AP502" i="480"/>
  <c r="AQ502" i="480"/>
  <c r="AR502" i="480"/>
  <c r="AS502" i="480"/>
  <c r="AT502" i="480"/>
  <c r="AU502" i="480"/>
  <c r="AV502" i="480"/>
  <c r="AW502" i="480"/>
  <c r="AX502" i="480"/>
  <c r="AY502" i="480"/>
  <c r="AZ502" i="480"/>
  <c r="BA502" i="480"/>
  <c r="BB502" i="480"/>
  <c r="BC502" i="480"/>
  <c r="B503" i="480"/>
  <c r="C503" i="480"/>
  <c r="D503" i="480"/>
  <c r="E503" i="480"/>
  <c r="F503" i="480"/>
  <c r="G503" i="480"/>
  <c r="H503" i="480"/>
  <c r="I503" i="480"/>
  <c r="J503" i="480"/>
  <c r="K503" i="480"/>
  <c r="L503" i="480"/>
  <c r="M503" i="480"/>
  <c r="N503" i="480"/>
  <c r="O503" i="480"/>
  <c r="P503" i="480"/>
  <c r="Q503" i="480"/>
  <c r="R503" i="480"/>
  <c r="S503" i="480"/>
  <c r="T503" i="480"/>
  <c r="U503" i="480"/>
  <c r="V503" i="480"/>
  <c r="W503" i="480"/>
  <c r="X503" i="480"/>
  <c r="Y503" i="480"/>
  <c r="Z503" i="480"/>
  <c r="AA503" i="480"/>
  <c r="AB503" i="480"/>
  <c r="AC503" i="480"/>
  <c r="AD503" i="480"/>
  <c r="AE503" i="480"/>
  <c r="AF503" i="480"/>
  <c r="AG503" i="480"/>
  <c r="AH503" i="480"/>
  <c r="AI503" i="480"/>
  <c r="AJ503" i="480"/>
  <c r="AK503" i="480"/>
  <c r="AL503" i="480"/>
  <c r="AM503" i="480"/>
  <c r="AN503" i="480"/>
  <c r="AO503" i="480"/>
  <c r="AP503" i="480"/>
  <c r="AQ503" i="480"/>
  <c r="AR503" i="480"/>
  <c r="AS503" i="480"/>
  <c r="AT503" i="480"/>
  <c r="AU503" i="480"/>
  <c r="AV503" i="480"/>
  <c r="AW503" i="480"/>
  <c r="AX503" i="480"/>
  <c r="AY503" i="480"/>
  <c r="AZ503" i="480"/>
  <c r="BA503" i="480"/>
  <c r="BB503" i="480"/>
  <c r="BC503" i="480"/>
  <c r="B504" i="480"/>
  <c r="C504" i="480"/>
  <c r="D504" i="480"/>
  <c r="E504" i="480"/>
  <c r="F504" i="480"/>
  <c r="G504" i="480"/>
  <c r="H504" i="480"/>
  <c r="I504" i="480"/>
  <c r="J504" i="480"/>
  <c r="K504" i="480"/>
  <c r="L504" i="480"/>
  <c r="M504" i="480"/>
  <c r="N504" i="480"/>
  <c r="O504" i="480"/>
  <c r="P504" i="480"/>
  <c r="Q504" i="480"/>
  <c r="R504" i="480"/>
  <c r="S504" i="480"/>
  <c r="T504" i="480"/>
  <c r="U504" i="480"/>
  <c r="V504" i="480"/>
  <c r="W504" i="480"/>
  <c r="X504" i="480"/>
  <c r="Y504" i="480"/>
  <c r="Z504" i="480"/>
  <c r="AA504" i="480"/>
  <c r="AB504" i="480"/>
  <c r="AC504" i="480"/>
  <c r="AD504" i="480"/>
  <c r="AE504" i="480"/>
  <c r="AF504" i="480"/>
  <c r="AG504" i="480"/>
  <c r="AH504" i="480"/>
  <c r="AI504" i="480"/>
  <c r="AJ504" i="480"/>
  <c r="AK504" i="480"/>
  <c r="AL504" i="480"/>
  <c r="AM504" i="480"/>
  <c r="AN504" i="480"/>
  <c r="AO504" i="480"/>
  <c r="AP504" i="480"/>
  <c r="AQ504" i="480"/>
  <c r="AR504" i="480"/>
  <c r="AS504" i="480"/>
  <c r="AT504" i="480"/>
  <c r="AU504" i="480"/>
  <c r="AV504" i="480"/>
  <c r="AW504" i="480"/>
  <c r="AX504" i="480"/>
  <c r="AY504" i="480"/>
  <c r="AZ504" i="480"/>
  <c r="BA504" i="480"/>
  <c r="BB504" i="480"/>
  <c r="BC504" i="480"/>
  <c r="B505" i="480"/>
  <c r="C505" i="480"/>
  <c r="D505" i="480"/>
  <c r="E505" i="480"/>
  <c r="F505" i="480"/>
  <c r="G505" i="480"/>
  <c r="H505" i="480"/>
  <c r="I505" i="480"/>
  <c r="J505" i="480"/>
  <c r="K505" i="480"/>
  <c r="L505" i="480"/>
  <c r="M505" i="480"/>
  <c r="N505" i="480"/>
  <c r="O505" i="480"/>
  <c r="P505" i="480"/>
  <c r="Q505" i="480"/>
  <c r="R505" i="480"/>
  <c r="S505" i="480"/>
  <c r="T505" i="480"/>
  <c r="U505" i="480"/>
  <c r="V505" i="480"/>
  <c r="W505" i="480"/>
  <c r="X505" i="480"/>
  <c r="Y505" i="480"/>
  <c r="Z505" i="480"/>
  <c r="AA505" i="480"/>
  <c r="AB505" i="480"/>
  <c r="AC505" i="480"/>
  <c r="AD505" i="480"/>
  <c r="AE505" i="480"/>
  <c r="AF505" i="480"/>
  <c r="AG505" i="480"/>
  <c r="AH505" i="480"/>
  <c r="AI505" i="480"/>
  <c r="AJ505" i="480"/>
  <c r="AK505" i="480"/>
  <c r="AL505" i="480"/>
  <c r="AM505" i="480"/>
  <c r="AN505" i="480"/>
  <c r="AO505" i="480"/>
  <c r="AP505" i="480"/>
  <c r="AQ505" i="480"/>
  <c r="AR505" i="480"/>
  <c r="AS505" i="480"/>
  <c r="AT505" i="480"/>
  <c r="AU505" i="480"/>
  <c r="AV505" i="480"/>
  <c r="AW505" i="480"/>
  <c r="AX505" i="480"/>
  <c r="AY505" i="480"/>
  <c r="AZ505" i="480"/>
  <c r="BA505" i="480"/>
  <c r="BB505" i="480"/>
  <c r="BC505" i="480"/>
  <c r="B506" i="480"/>
  <c r="C506" i="480"/>
  <c r="D506" i="480"/>
  <c r="E506" i="480"/>
  <c r="F506" i="480"/>
  <c r="G506" i="480"/>
  <c r="H506" i="480"/>
  <c r="I506" i="480"/>
  <c r="J506" i="480"/>
  <c r="K506" i="480"/>
  <c r="L506" i="480"/>
  <c r="M506" i="480"/>
  <c r="N506" i="480"/>
  <c r="O506" i="480"/>
  <c r="P506" i="480"/>
  <c r="Q506" i="480"/>
  <c r="R506" i="480"/>
  <c r="S506" i="480"/>
  <c r="T506" i="480"/>
  <c r="U506" i="480"/>
  <c r="V506" i="480"/>
  <c r="W506" i="480"/>
  <c r="X506" i="480"/>
  <c r="Y506" i="480"/>
  <c r="Z506" i="480"/>
  <c r="AA506" i="480"/>
  <c r="AB506" i="480"/>
  <c r="AC506" i="480"/>
  <c r="AD506" i="480"/>
  <c r="AE506" i="480"/>
  <c r="AF506" i="480"/>
  <c r="AG506" i="480"/>
  <c r="AH506" i="480"/>
  <c r="AI506" i="480"/>
  <c r="AJ506" i="480"/>
  <c r="AK506" i="480"/>
  <c r="AL506" i="480"/>
  <c r="AM506" i="480"/>
  <c r="AN506" i="480"/>
  <c r="AO506" i="480"/>
  <c r="AP506" i="480"/>
  <c r="AQ506" i="480"/>
  <c r="AR506" i="480"/>
  <c r="AS506" i="480"/>
  <c r="AT506" i="480"/>
  <c r="AU506" i="480"/>
  <c r="AV506" i="480"/>
  <c r="AW506" i="480"/>
  <c r="AX506" i="480"/>
  <c r="AY506" i="480"/>
  <c r="AZ506" i="480"/>
  <c r="BA506" i="480"/>
  <c r="BB506" i="480"/>
  <c r="BC506" i="480"/>
  <c r="B507" i="480"/>
  <c r="C507" i="480"/>
  <c r="D507" i="480"/>
  <c r="E507" i="480"/>
  <c r="F507" i="480"/>
  <c r="G507" i="480"/>
  <c r="H507" i="480"/>
  <c r="I507" i="480"/>
  <c r="J507" i="480"/>
  <c r="K507" i="480"/>
  <c r="L507" i="480"/>
  <c r="M507" i="480"/>
  <c r="N507" i="480"/>
  <c r="O507" i="480"/>
  <c r="P507" i="480"/>
  <c r="Q507" i="480"/>
  <c r="R507" i="480"/>
  <c r="S507" i="480"/>
  <c r="T507" i="480"/>
  <c r="U507" i="480"/>
  <c r="V507" i="480"/>
  <c r="W507" i="480"/>
  <c r="X507" i="480"/>
  <c r="Y507" i="480"/>
  <c r="Z507" i="480"/>
  <c r="AA507" i="480"/>
  <c r="AB507" i="480"/>
  <c r="AC507" i="480"/>
  <c r="AD507" i="480"/>
  <c r="AE507" i="480"/>
  <c r="AF507" i="480"/>
  <c r="AG507" i="480"/>
  <c r="AH507" i="480"/>
  <c r="AI507" i="480"/>
  <c r="AJ507" i="480"/>
  <c r="AK507" i="480"/>
  <c r="AL507" i="480"/>
  <c r="AM507" i="480"/>
  <c r="AN507" i="480"/>
  <c r="AO507" i="480"/>
  <c r="AP507" i="480"/>
  <c r="AQ507" i="480"/>
  <c r="AR507" i="480"/>
  <c r="AS507" i="480"/>
  <c r="AT507" i="480"/>
  <c r="AU507" i="480"/>
  <c r="AV507" i="480"/>
  <c r="AW507" i="480"/>
  <c r="AX507" i="480"/>
  <c r="AY507" i="480"/>
  <c r="AZ507" i="480"/>
  <c r="BA507" i="480"/>
  <c r="BB507" i="480"/>
  <c r="BC507" i="480"/>
  <c r="B508" i="480"/>
  <c r="C508" i="480"/>
  <c r="D508" i="480"/>
  <c r="E508" i="480"/>
  <c r="F508" i="480"/>
  <c r="G508" i="480"/>
  <c r="H508" i="480"/>
  <c r="I508" i="480"/>
  <c r="J508" i="480"/>
  <c r="K508" i="480"/>
  <c r="L508" i="480"/>
  <c r="M508" i="480"/>
  <c r="N508" i="480"/>
  <c r="O508" i="480"/>
  <c r="P508" i="480"/>
  <c r="Q508" i="480"/>
  <c r="R508" i="480"/>
  <c r="S508" i="480"/>
  <c r="T508" i="480"/>
  <c r="U508" i="480"/>
  <c r="V508" i="480"/>
  <c r="W508" i="480"/>
  <c r="X508" i="480"/>
  <c r="Y508" i="480"/>
  <c r="Z508" i="480"/>
  <c r="AA508" i="480"/>
  <c r="AB508" i="480"/>
  <c r="AC508" i="480"/>
  <c r="AD508" i="480"/>
  <c r="AE508" i="480"/>
  <c r="AF508" i="480"/>
  <c r="AG508" i="480"/>
  <c r="AH508" i="480"/>
  <c r="AI508" i="480"/>
  <c r="AJ508" i="480"/>
  <c r="AK508" i="480"/>
  <c r="AL508" i="480"/>
  <c r="AM508" i="480"/>
  <c r="AN508" i="480"/>
  <c r="AO508" i="480"/>
  <c r="AP508" i="480"/>
  <c r="AQ508" i="480"/>
  <c r="AR508" i="480"/>
  <c r="AS508" i="480"/>
  <c r="AT508" i="480"/>
  <c r="AU508" i="480"/>
  <c r="AV508" i="480"/>
  <c r="AW508" i="480"/>
  <c r="AX508" i="480"/>
  <c r="AY508" i="480"/>
  <c r="AZ508" i="480"/>
  <c r="BA508" i="480"/>
  <c r="BB508" i="480"/>
  <c r="BC508" i="480"/>
  <c r="B509" i="480"/>
  <c r="C509" i="480"/>
  <c r="D509" i="480"/>
  <c r="E509" i="480"/>
  <c r="F509" i="480"/>
  <c r="G509" i="480"/>
  <c r="H509" i="480"/>
  <c r="I509" i="480"/>
  <c r="J509" i="480"/>
  <c r="K509" i="480"/>
  <c r="L509" i="480"/>
  <c r="M509" i="480"/>
  <c r="N509" i="480"/>
  <c r="O509" i="480"/>
  <c r="P509" i="480"/>
  <c r="Q509" i="480"/>
  <c r="R509" i="480"/>
  <c r="S509" i="480"/>
  <c r="T509" i="480"/>
  <c r="U509" i="480"/>
  <c r="V509" i="480"/>
  <c r="W509" i="480"/>
  <c r="X509" i="480"/>
  <c r="Y509" i="480"/>
  <c r="Z509" i="480"/>
  <c r="AA509" i="480"/>
  <c r="AB509" i="480"/>
  <c r="AC509" i="480"/>
  <c r="AD509" i="480"/>
  <c r="AE509" i="480"/>
  <c r="AF509" i="480"/>
  <c r="AG509" i="480"/>
  <c r="AH509" i="480"/>
  <c r="AI509" i="480"/>
  <c r="AJ509" i="480"/>
  <c r="AK509" i="480"/>
  <c r="AL509" i="480"/>
  <c r="AM509" i="480"/>
  <c r="AN509" i="480"/>
  <c r="AO509" i="480"/>
  <c r="AP509" i="480"/>
  <c r="AQ509" i="480"/>
  <c r="AR509" i="480"/>
  <c r="AS509" i="480"/>
  <c r="AT509" i="480"/>
  <c r="AU509" i="480"/>
  <c r="AV509" i="480"/>
  <c r="AW509" i="480"/>
  <c r="AX509" i="480"/>
  <c r="AY509" i="480"/>
  <c r="AZ509" i="480"/>
  <c r="BA509" i="480"/>
  <c r="BB509" i="480"/>
  <c r="BC509" i="480"/>
  <c r="B510" i="480"/>
  <c r="C510" i="480"/>
  <c r="D510" i="480"/>
  <c r="E510" i="480"/>
  <c r="F510" i="480"/>
  <c r="G510" i="480"/>
  <c r="H510" i="480"/>
  <c r="I510" i="480"/>
  <c r="J510" i="480"/>
  <c r="K510" i="480"/>
  <c r="L510" i="480"/>
  <c r="M510" i="480"/>
  <c r="N510" i="480"/>
  <c r="O510" i="480"/>
  <c r="P510" i="480"/>
  <c r="Q510" i="480"/>
  <c r="R510" i="480"/>
  <c r="S510" i="480"/>
  <c r="T510" i="480"/>
  <c r="U510" i="480"/>
  <c r="V510" i="480"/>
  <c r="W510" i="480"/>
  <c r="X510" i="480"/>
  <c r="Y510" i="480"/>
  <c r="Z510" i="480"/>
  <c r="AA510" i="480"/>
  <c r="AB510" i="480"/>
  <c r="AC510" i="480"/>
  <c r="AD510" i="480"/>
  <c r="AE510" i="480"/>
  <c r="AF510" i="480"/>
  <c r="AG510" i="480"/>
  <c r="AH510" i="480"/>
  <c r="AI510" i="480"/>
  <c r="AJ510" i="480"/>
  <c r="AK510" i="480"/>
  <c r="AL510" i="480"/>
  <c r="AM510" i="480"/>
  <c r="AN510" i="480"/>
  <c r="AO510" i="480"/>
  <c r="AP510" i="480"/>
  <c r="AQ510" i="480"/>
  <c r="AR510" i="480"/>
  <c r="AS510" i="480"/>
  <c r="AT510" i="480"/>
  <c r="AU510" i="480"/>
  <c r="AV510" i="480"/>
  <c r="AW510" i="480"/>
  <c r="AX510" i="480"/>
  <c r="AY510" i="480"/>
  <c r="AZ510" i="480"/>
  <c r="BA510" i="480"/>
  <c r="BB510" i="480"/>
  <c r="BC510" i="480"/>
  <c r="B511" i="480"/>
  <c r="C511" i="480"/>
  <c r="D511" i="480"/>
  <c r="E511" i="480"/>
  <c r="F511" i="480"/>
  <c r="G511" i="480"/>
  <c r="H511" i="480"/>
  <c r="I511" i="480"/>
  <c r="J511" i="480"/>
  <c r="K511" i="480"/>
  <c r="L511" i="480"/>
  <c r="M511" i="480"/>
  <c r="N511" i="480"/>
  <c r="O511" i="480"/>
  <c r="P511" i="480"/>
  <c r="Q511" i="480"/>
  <c r="R511" i="480"/>
  <c r="S511" i="480"/>
  <c r="T511" i="480"/>
  <c r="U511" i="480"/>
  <c r="V511" i="480"/>
  <c r="W511" i="480"/>
  <c r="X511" i="480"/>
  <c r="Y511" i="480"/>
  <c r="Z511" i="480"/>
  <c r="AA511" i="480"/>
  <c r="AB511" i="480"/>
  <c r="AC511" i="480"/>
  <c r="AD511" i="480"/>
  <c r="AE511" i="480"/>
  <c r="AF511" i="480"/>
  <c r="AG511" i="480"/>
  <c r="AH511" i="480"/>
  <c r="AI511" i="480"/>
  <c r="AJ511" i="480"/>
  <c r="AK511" i="480"/>
  <c r="AL511" i="480"/>
  <c r="AM511" i="480"/>
  <c r="AN511" i="480"/>
  <c r="AO511" i="480"/>
  <c r="AP511" i="480"/>
  <c r="AQ511" i="480"/>
  <c r="AR511" i="480"/>
  <c r="AS511" i="480"/>
  <c r="AT511" i="480"/>
  <c r="AU511" i="480"/>
  <c r="AV511" i="480"/>
  <c r="AW511" i="480"/>
  <c r="AX511" i="480"/>
  <c r="AY511" i="480"/>
  <c r="AZ511" i="480"/>
  <c r="BA511" i="480"/>
  <c r="BB511" i="480"/>
  <c r="BC511" i="480"/>
  <c r="B512" i="480"/>
  <c r="C512" i="480"/>
  <c r="D512" i="480"/>
  <c r="E512" i="480"/>
  <c r="F512" i="480"/>
  <c r="G512" i="480"/>
  <c r="H512" i="480"/>
  <c r="I512" i="480"/>
  <c r="J512" i="480"/>
  <c r="K512" i="480"/>
  <c r="L512" i="480"/>
  <c r="M512" i="480"/>
  <c r="N512" i="480"/>
  <c r="O512" i="480"/>
  <c r="P512" i="480"/>
  <c r="Q512" i="480"/>
  <c r="R512" i="480"/>
  <c r="S512" i="480"/>
  <c r="T512" i="480"/>
  <c r="U512" i="480"/>
  <c r="V512" i="480"/>
  <c r="W512" i="480"/>
  <c r="X512" i="480"/>
  <c r="Y512" i="480"/>
  <c r="Z512" i="480"/>
  <c r="AA512" i="480"/>
  <c r="AB512" i="480"/>
  <c r="AC512" i="480"/>
  <c r="AD512" i="480"/>
  <c r="AE512" i="480"/>
  <c r="AF512" i="480"/>
  <c r="AG512" i="480"/>
  <c r="AH512" i="480"/>
  <c r="AI512" i="480"/>
  <c r="AJ512" i="480"/>
  <c r="AK512" i="480"/>
  <c r="AL512" i="480"/>
  <c r="AM512" i="480"/>
  <c r="AN512" i="480"/>
  <c r="AO512" i="480"/>
  <c r="AP512" i="480"/>
  <c r="AQ512" i="480"/>
  <c r="AR512" i="480"/>
  <c r="AS512" i="480"/>
  <c r="AT512" i="480"/>
  <c r="AU512" i="480"/>
  <c r="AV512" i="480"/>
  <c r="AW512" i="480"/>
  <c r="AX512" i="480"/>
  <c r="AY512" i="480"/>
  <c r="AZ512" i="480"/>
  <c r="BA512" i="480"/>
  <c r="BB512" i="480"/>
  <c r="BC512" i="480"/>
  <c r="B513" i="480"/>
  <c r="C513" i="480"/>
  <c r="D513" i="480"/>
  <c r="E513" i="480"/>
  <c r="F513" i="480"/>
  <c r="G513" i="480"/>
  <c r="H513" i="480"/>
  <c r="I513" i="480"/>
  <c r="J513" i="480"/>
  <c r="K513" i="480"/>
  <c r="L513" i="480"/>
  <c r="M513" i="480"/>
  <c r="N513" i="480"/>
  <c r="O513" i="480"/>
  <c r="P513" i="480"/>
  <c r="Q513" i="480"/>
  <c r="R513" i="480"/>
  <c r="S513" i="480"/>
  <c r="T513" i="480"/>
  <c r="U513" i="480"/>
  <c r="V513" i="480"/>
  <c r="W513" i="480"/>
  <c r="X513" i="480"/>
  <c r="Y513" i="480"/>
  <c r="Z513" i="480"/>
  <c r="AA513" i="480"/>
  <c r="AB513" i="480"/>
  <c r="AC513" i="480"/>
  <c r="AD513" i="480"/>
  <c r="AE513" i="480"/>
  <c r="AF513" i="480"/>
  <c r="AG513" i="480"/>
  <c r="AH513" i="480"/>
  <c r="AI513" i="480"/>
  <c r="AJ513" i="480"/>
  <c r="AK513" i="480"/>
  <c r="AL513" i="480"/>
  <c r="AM513" i="480"/>
  <c r="AN513" i="480"/>
  <c r="AO513" i="480"/>
  <c r="AP513" i="480"/>
  <c r="AQ513" i="480"/>
  <c r="AR513" i="480"/>
  <c r="AS513" i="480"/>
  <c r="AT513" i="480"/>
  <c r="AU513" i="480"/>
  <c r="AV513" i="480"/>
  <c r="AW513" i="480"/>
  <c r="AX513" i="480"/>
  <c r="AY513" i="480"/>
  <c r="AZ513" i="480"/>
  <c r="BA513" i="480"/>
  <c r="BB513" i="480"/>
  <c r="BC513" i="480"/>
  <c r="B514" i="480"/>
  <c r="C514" i="480"/>
  <c r="D514" i="480"/>
  <c r="E514" i="480"/>
  <c r="F514" i="480"/>
  <c r="G514" i="480"/>
  <c r="H514" i="480"/>
  <c r="I514" i="480"/>
  <c r="J514" i="480"/>
  <c r="K514" i="480"/>
  <c r="L514" i="480"/>
  <c r="M514" i="480"/>
  <c r="N514" i="480"/>
  <c r="O514" i="480"/>
  <c r="P514" i="480"/>
  <c r="Q514" i="480"/>
  <c r="R514" i="480"/>
  <c r="S514" i="480"/>
  <c r="T514" i="480"/>
  <c r="U514" i="480"/>
  <c r="V514" i="480"/>
  <c r="W514" i="480"/>
  <c r="X514" i="480"/>
  <c r="Y514" i="480"/>
  <c r="Z514" i="480"/>
  <c r="AA514" i="480"/>
  <c r="AB514" i="480"/>
  <c r="AC514" i="480"/>
  <c r="AD514" i="480"/>
  <c r="AE514" i="480"/>
  <c r="AF514" i="480"/>
  <c r="AG514" i="480"/>
  <c r="AH514" i="480"/>
  <c r="AI514" i="480"/>
  <c r="AJ514" i="480"/>
  <c r="AK514" i="480"/>
  <c r="AL514" i="480"/>
  <c r="AM514" i="480"/>
  <c r="AN514" i="480"/>
  <c r="AO514" i="480"/>
  <c r="AP514" i="480"/>
  <c r="AQ514" i="480"/>
  <c r="AR514" i="480"/>
  <c r="AS514" i="480"/>
  <c r="AT514" i="480"/>
  <c r="AU514" i="480"/>
  <c r="AV514" i="480"/>
  <c r="AW514" i="480"/>
  <c r="AX514" i="480"/>
  <c r="AY514" i="480"/>
  <c r="AZ514" i="480"/>
  <c r="BA514" i="480"/>
  <c r="BB514" i="480"/>
  <c r="BC514" i="480"/>
  <c r="B515" i="480"/>
  <c r="C515" i="480"/>
  <c r="D515" i="480"/>
  <c r="E515" i="480"/>
  <c r="F515" i="480"/>
  <c r="G515" i="480"/>
  <c r="H515" i="480"/>
  <c r="I515" i="480"/>
  <c r="J515" i="480"/>
  <c r="K515" i="480"/>
  <c r="L515" i="480"/>
  <c r="M515" i="480"/>
  <c r="N515" i="480"/>
  <c r="O515" i="480"/>
  <c r="P515" i="480"/>
  <c r="Q515" i="480"/>
  <c r="R515" i="480"/>
  <c r="S515" i="480"/>
  <c r="T515" i="480"/>
  <c r="U515" i="480"/>
  <c r="V515" i="480"/>
  <c r="W515" i="480"/>
  <c r="X515" i="480"/>
  <c r="Y515" i="480"/>
  <c r="Z515" i="480"/>
  <c r="AA515" i="480"/>
  <c r="AB515" i="480"/>
  <c r="AC515" i="480"/>
  <c r="AD515" i="480"/>
  <c r="AE515" i="480"/>
  <c r="AF515" i="480"/>
  <c r="AG515" i="480"/>
  <c r="AH515" i="480"/>
  <c r="AI515" i="480"/>
  <c r="AJ515" i="480"/>
  <c r="AK515" i="480"/>
  <c r="AL515" i="480"/>
  <c r="AM515" i="480"/>
  <c r="AN515" i="480"/>
  <c r="AO515" i="480"/>
  <c r="AP515" i="480"/>
  <c r="AQ515" i="480"/>
  <c r="AR515" i="480"/>
  <c r="AS515" i="480"/>
  <c r="AT515" i="480"/>
  <c r="AU515" i="480"/>
  <c r="AV515" i="480"/>
  <c r="AW515" i="480"/>
  <c r="AX515" i="480"/>
  <c r="AY515" i="480"/>
  <c r="AZ515" i="480"/>
  <c r="BA515" i="480"/>
  <c r="BB515" i="480"/>
  <c r="BC515" i="480"/>
  <c r="B516" i="480"/>
  <c r="C516" i="480"/>
  <c r="D516" i="480"/>
  <c r="E516" i="480"/>
  <c r="F516" i="480"/>
  <c r="G516" i="480"/>
  <c r="H516" i="480"/>
  <c r="I516" i="480"/>
  <c r="J516" i="480"/>
  <c r="K516" i="480"/>
  <c r="L516" i="480"/>
  <c r="M516" i="480"/>
  <c r="N516" i="480"/>
  <c r="O516" i="480"/>
  <c r="P516" i="480"/>
  <c r="Q516" i="480"/>
  <c r="R516" i="480"/>
  <c r="S516" i="480"/>
  <c r="T516" i="480"/>
  <c r="U516" i="480"/>
  <c r="V516" i="480"/>
  <c r="W516" i="480"/>
  <c r="X516" i="480"/>
  <c r="Y516" i="480"/>
  <c r="Z516" i="480"/>
  <c r="AA516" i="480"/>
  <c r="AB516" i="480"/>
  <c r="AC516" i="480"/>
  <c r="AD516" i="480"/>
  <c r="AE516" i="480"/>
  <c r="AF516" i="480"/>
  <c r="AG516" i="480"/>
  <c r="AH516" i="480"/>
  <c r="AI516" i="480"/>
  <c r="AJ516" i="480"/>
  <c r="AK516" i="480"/>
  <c r="AL516" i="480"/>
  <c r="AM516" i="480"/>
  <c r="AN516" i="480"/>
  <c r="AO516" i="480"/>
  <c r="AP516" i="480"/>
  <c r="AQ516" i="480"/>
  <c r="AR516" i="480"/>
  <c r="AS516" i="480"/>
  <c r="AT516" i="480"/>
  <c r="AU516" i="480"/>
  <c r="AV516" i="480"/>
  <c r="AW516" i="480"/>
  <c r="AX516" i="480"/>
  <c r="AY516" i="480"/>
  <c r="AZ516" i="480"/>
  <c r="BA516" i="480"/>
  <c r="BB516" i="480"/>
  <c r="BC516" i="480"/>
  <c r="B517" i="480"/>
  <c r="C517" i="480"/>
  <c r="D517" i="480"/>
  <c r="E517" i="480"/>
  <c r="F517" i="480"/>
  <c r="G517" i="480"/>
  <c r="H517" i="480"/>
  <c r="I517" i="480"/>
  <c r="J517" i="480"/>
  <c r="K517" i="480"/>
  <c r="L517" i="480"/>
  <c r="M517" i="480"/>
  <c r="N517" i="480"/>
  <c r="O517" i="480"/>
  <c r="P517" i="480"/>
  <c r="Q517" i="480"/>
  <c r="R517" i="480"/>
  <c r="S517" i="480"/>
  <c r="T517" i="480"/>
  <c r="U517" i="480"/>
  <c r="V517" i="480"/>
  <c r="W517" i="480"/>
  <c r="X517" i="480"/>
  <c r="Y517" i="480"/>
  <c r="Z517" i="480"/>
  <c r="AA517" i="480"/>
  <c r="AB517" i="480"/>
  <c r="AC517" i="480"/>
  <c r="AD517" i="480"/>
  <c r="AE517" i="480"/>
  <c r="AF517" i="480"/>
  <c r="AG517" i="480"/>
  <c r="AH517" i="480"/>
  <c r="AI517" i="480"/>
  <c r="AJ517" i="480"/>
  <c r="AK517" i="480"/>
  <c r="AL517" i="480"/>
  <c r="AM517" i="480"/>
  <c r="AN517" i="480"/>
  <c r="AO517" i="480"/>
  <c r="AP517" i="480"/>
  <c r="AQ517" i="480"/>
  <c r="AR517" i="480"/>
  <c r="AS517" i="480"/>
  <c r="AT517" i="480"/>
  <c r="AU517" i="480"/>
  <c r="AV517" i="480"/>
  <c r="AW517" i="480"/>
  <c r="AX517" i="480"/>
  <c r="AY517" i="480"/>
  <c r="AZ517" i="480"/>
  <c r="BA517" i="480"/>
  <c r="BB517" i="480"/>
  <c r="BC517" i="480"/>
  <c r="B518" i="480"/>
  <c r="C518" i="480"/>
  <c r="D518" i="480"/>
  <c r="E518" i="480"/>
  <c r="F518" i="480"/>
  <c r="G518" i="480"/>
  <c r="H518" i="480"/>
  <c r="I518" i="480"/>
  <c r="J518" i="480"/>
  <c r="K518" i="480"/>
  <c r="L518" i="480"/>
  <c r="M518" i="480"/>
  <c r="N518" i="480"/>
  <c r="O518" i="480"/>
  <c r="P518" i="480"/>
  <c r="Q518" i="480"/>
  <c r="R518" i="480"/>
  <c r="S518" i="480"/>
  <c r="T518" i="480"/>
  <c r="U518" i="480"/>
  <c r="V518" i="480"/>
  <c r="W518" i="480"/>
  <c r="X518" i="480"/>
  <c r="Y518" i="480"/>
  <c r="Z518" i="480"/>
  <c r="AA518" i="480"/>
  <c r="AB518" i="480"/>
  <c r="AC518" i="480"/>
  <c r="AD518" i="480"/>
  <c r="AE518" i="480"/>
  <c r="AF518" i="480"/>
  <c r="AG518" i="480"/>
  <c r="AH518" i="480"/>
  <c r="AI518" i="480"/>
  <c r="AJ518" i="480"/>
  <c r="AK518" i="480"/>
  <c r="AL518" i="480"/>
  <c r="AM518" i="480"/>
  <c r="AN518" i="480"/>
  <c r="AO518" i="480"/>
  <c r="AP518" i="480"/>
  <c r="AQ518" i="480"/>
  <c r="AR518" i="480"/>
  <c r="AS518" i="480"/>
  <c r="AT518" i="480"/>
  <c r="AU518" i="480"/>
  <c r="AV518" i="480"/>
  <c r="AW518" i="480"/>
  <c r="AX518" i="480"/>
  <c r="AY518" i="480"/>
  <c r="AZ518" i="480"/>
  <c r="BA518" i="480"/>
  <c r="BB518" i="480"/>
  <c r="BC518" i="480"/>
  <c r="B519" i="480"/>
  <c r="C519" i="480"/>
  <c r="D519" i="480"/>
  <c r="E519" i="480"/>
  <c r="F519" i="480"/>
  <c r="G519" i="480"/>
  <c r="H519" i="480"/>
  <c r="I519" i="480"/>
  <c r="J519" i="480"/>
  <c r="K519" i="480"/>
  <c r="L519" i="480"/>
  <c r="M519" i="480"/>
  <c r="N519" i="480"/>
  <c r="O519" i="480"/>
  <c r="P519" i="480"/>
  <c r="Q519" i="480"/>
  <c r="R519" i="480"/>
  <c r="S519" i="480"/>
  <c r="T519" i="480"/>
  <c r="U519" i="480"/>
  <c r="V519" i="480"/>
  <c r="W519" i="480"/>
  <c r="X519" i="480"/>
  <c r="Y519" i="480"/>
  <c r="Z519" i="480"/>
  <c r="AA519" i="480"/>
  <c r="AB519" i="480"/>
  <c r="AC519" i="480"/>
  <c r="AD519" i="480"/>
  <c r="AE519" i="480"/>
  <c r="AF519" i="480"/>
  <c r="AG519" i="480"/>
  <c r="AH519" i="480"/>
  <c r="AI519" i="480"/>
  <c r="AJ519" i="480"/>
  <c r="AK519" i="480"/>
  <c r="AL519" i="480"/>
  <c r="AM519" i="480"/>
  <c r="AN519" i="480"/>
  <c r="AO519" i="480"/>
  <c r="AP519" i="480"/>
  <c r="AQ519" i="480"/>
  <c r="AR519" i="480"/>
  <c r="AS519" i="480"/>
  <c r="AT519" i="480"/>
  <c r="AU519" i="480"/>
  <c r="AV519" i="480"/>
  <c r="AW519" i="480"/>
  <c r="AX519" i="480"/>
  <c r="AY519" i="480"/>
  <c r="AZ519" i="480"/>
  <c r="BA519" i="480"/>
  <c r="BB519" i="480"/>
  <c r="BC519" i="480"/>
  <c r="B520" i="480"/>
  <c r="C520" i="480"/>
  <c r="D520" i="480"/>
  <c r="E520" i="480"/>
  <c r="F520" i="480"/>
  <c r="G520" i="480"/>
  <c r="H520" i="480"/>
  <c r="I520" i="480"/>
  <c r="J520" i="480"/>
  <c r="K520" i="480"/>
  <c r="L520" i="480"/>
  <c r="M520" i="480"/>
  <c r="N520" i="480"/>
  <c r="O520" i="480"/>
  <c r="P520" i="480"/>
  <c r="Q520" i="480"/>
  <c r="R520" i="480"/>
  <c r="S520" i="480"/>
  <c r="T520" i="480"/>
  <c r="U520" i="480"/>
  <c r="V520" i="480"/>
  <c r="W520" i="480"/>
  <c r="X520" i="480"/>
  <c r="Y520" i="480"/>
  <c r="Z520" i="480"/>
  <c r="AA520" i="480"/>
  <c r="AB520" i="480"/>
  <c r="AC520" i="480"/>
  <c r="AD520" i="480"/>
  <c r="AE520" i="480"/>
  <c r="AF520" i="480"/>
  <c r="AG520" i="480"/>
  <c r="AH520" i="480"/>
  <c r="AI520" i="480"/>
  <c r="AJ520" i="480"/>
  <c r="AK520" i="480"/>
  <c r="AL520" i="480"/>
  <c r="AM520" i="480"/>
  <c r="AN520" i="480"/>
  <c r="AO520" i="480"/>
  <c r="AP520" i="480"/>
  <c r="AQ520" i="480"/>
  <c r="AR520" i="480"/>
  <c r="AS520" i="480"/>
  <c r="AT520" i="480"/>
  <c r="AU520" i="480"/>
  <c r="AV520" i="480"/>
  <c r="AW520" i="480"/>
  <c r="AX520" i="480"/>
  <c r="AY520" i="480"/>
  <c r="AZ520" i="480"/>
  <c r="BA520" i="480"/>
  <c r="BB520" i="480"/>
  <c r="BC520" i="480"/>
  <c r="B521" i="480"/>
  <c r="C521" i="480"/>
  <c r="D521" i="480"/>
  <c r="E521" i="480"/>
  <c r="F521" i="480"/>
  <c r="G521" i="480"/>
  <c r="H521" i="480"/>
  <c r="I521" i="480"/>
  <c r="J521" i="480"/>
  <c r="K521" i="480"/>
  <c r="L521" i="480"/>
  <c r="M521" i="480"/>
  <c r="N521" i="480"/>
  <c r="O521" i="480"/>
  <c r="P521" i="480"/>
  <c r="Q521" i="480"/>
  <c r="R521" i="480"/>
  <c r="S521" i="480"/>
  <c r="T521" i="480"/>
  <c r="U521" i="480"/>
  <c r="V521" i="480"/>
  <c r="W521" i="480"/>
  <c r="X521" i="480"/>
  <c r="Y521" i="480"/>
  <c r="Z521" i="480"/>
  <c r="AA521" i="480"/>
  <c r="AB521" i="480"/>
  <c r="AC521" i="480"/>
  <c r="AD521" i="480"/>
  <c r="AE521" i="480"/>
  <c r="AF521" i="480"/>
  <c r="AG521" i="480"/>
  <c r="AH521" i="480"/>
  <c r="AI521" i="480"/>
  <c r="AJ521" i="480"/>
  <c r="AK521" i="480"/>
  <c r="AL521" i="480"/>
  <c r="AM521" i="480"/>
  <c r="AN521" i="480"/>
  <c r="AO521" i="480"/>
  <c r="AP521" i="480"/>
  <c r="AQ521" i="480"/>
  <c r="AR521" i="480"/>
  <c r="AS521" i="480"/>
  <c r="AT521" i="480"/>
  <c r="AU521" i="480"/>
  <c r="AV521" i="480"/>
  <c r="AW521" i="480"/>
  <c r="AX521" i="480"/>
  <c r="AY521" i="480"/>
  <c r="AZ521" i="480"/>
  <c r="BA521" i="480"/>
  <c r="BB521" i="480"/>
  <c r="BC521" i="480"/>
  <c r="B522" i="480"/>
  <c r="C522" i="480"/>
  <c r="D522" i="480"/>
  <c r="E522" i="480"/>
  <c r="F522" i="480"/>
  <c r="G522" i="480"/>
  <c r="H522" i="480"/>
  <c r="I522" i="480"/>
  <c r="J522" i="480"/>
  <c r="K522" i="480"/>
  <c r="L522" i="480"/>
  <c r="M522" i="480"/>
  <c r="N522" i="480"/>
  <c r="O522" i="480"/>
  <c r="P522" i="480"/>
  <c r="Q522" i="480"/>
  <c r="R522" i="480"/>
  <c r="S522" i="480"/>
  <c r="T522" i="480"/>
  <c r="U522" i="480"/>
  <c r="V522" i="480"/>
  <c r="W522" i="480"/>
  <c r="X522" i="480"/>
  <c r="Y522" i="480"/>
  <c r="Z522" i="480"/>
  <c r="AA522" i="480"/>
  <c r="AB522" i="480"/>
  <c r="AC522" i="480"/>
  <c r="AD522" i="480"/>
  <c r="AE522" i="480"/>
  <c r="AF522" i="480"/>
  <c r="AG522" i="480"/>
  <c r="AH522" i="480"/>
  <c r="AI522" i="480"/>
  <c r="AJ522" i="480"/>
  <c r="AK522" i="480"/>
  <c r="AL522" i="480"/>
  <c r="AM522" i="480"/>
  <c r="AN522" i="480"/>
  <c r="AO522" i="480"/>
  <c r="AP522" i="480"/>
  <c r="AQ522" i="480"/>
  <c r="AR522" i="480"/>
  <c r="AS522" i="480"/>
  <c r="AT522" i="480"/>
  <c r="AU522" i="480"/>
  <c r="AV522" i="480"/>
  <c r="AW522" i="480"/>
  <c r="AX522" i="480"/>
  <c r="AY522" i="480"/>
  <c r="AZ522" i="480"/>
  <c r="BA522" i="480"/>
  <c r="BB522" i="480"/>
  <c r="BC522" i="480"/>
  <c r="B523" i="480"/>
  <c r="C523" i="480"/>
  <c r="D523" i="480"/>
  <c r="E523" i="480"/>
  <c r="F523" i="480"/>
  <c r="G523" i="480"/>
  <c r="H523" i="480"/>
  <c r="I523" i="480"/>
  <c r="J523" i="480"/>
  <c r="K523" i="480"/>
  <c r="L523" i="480"/>
  <c r="M523" i="480"/>
  <c r="N523" i="480"/>
  <c r="O523" i="480"/>
  <c r="P523" i="480"/>
  <c r="Q523" i="480"/>
  <c r="R523" i="480"/>
  <c r="S523" i="480"/>
  <c r="T523" i="480"/>
  <c r="U523" i="480"/>
  <c r="V523" i="480"/>
  <c r="W523" i="480"/>
  <c r="X523" i="480"/>
  <c r="Y523" i="480"/>
  <c r="Z523" i="480"/>
  <c r="AA523" i="480"/>
  <c r="AB523" i="480"/>
  <c r="AC523" i="480"/>
  <c r="AD523" i="480"/>
  <c r="AE523" i="480"/>
  <c r="AF523" i="480"/>
  <c r="AG523" i="480"/>
  <c r="AH523" i="480"/>
  <c r="AI523" i="480"/>
  <c r="AJ523" i="480"/>
  <c r="AK523" i="480"/>
  <c r="AL523" i="480"/>
  <c r="AM523" i="480"/>
  <c r="AN523" i="480"/>
  <c r="AO523" i="480"/>
  <c r="AP523" i="480"/>
  <c r="AQ523" i="480"/>
  <c r="AR523" i="480"/>
  <c r="AS523" i="480"/>
  <c r="AT523" i="480"/>
  <c r="AU523" i="480"/>
  <c r="AV523" i="480"/>
  <c r="AW523" i="480"/>
  <c r="AX523" i="480"/>
  <c r="AY523" i="480"/>
  <c r="AZ523" i="480"/>
  <c r="BA523" i="480"/>
  <c r="BB523" i="480"/>
  <c r="BC523" i="480"/>
  <c r="B524" i="480"/>
  <c r="C524" i="480"/>
  <c r="D524" i="480"/>
  <c r="E524" i="480"/>
  <c r="F524" i="480"/>
  <c r="G524" i="480"/>
  <c r="H524" i="480"/>
  <c r="I524" i="480"/>
  <c r="J524" i="480"/>
  <c r="K524" i="480"/>
  <c r="L524" i="480"/>
  <c r="M524" i="480"/>
  <c r="N524" i="480"/>
  <c r="O524" i="480"/>
  <c r="P524" i="480"/>
  <c r="Q524" i="480"/>
  <c r="R524" i="480"/>
  <c r="S524" i="480"/>
  <c r="T524" i="480"/>
  <c r="U524" i="480"/>
  <c r="V524" i="480"/>
  <c r="W524" i="480"/>
  <c r="X524" i="480"/>
  <c r="Y524" i="480"/>
  <c r="Z524" i="480"/>
  <c r="AA524" i="480"/>
  <c r="AB524" i="480"/>
  <c r="AC524" i="480"/>
  <c r="AD524" i="480"/>
  <c r="AE524" i="480"/>
  <c r="AF524" i="480"/>
  <c r="AG524" i="480"/>
  <c r="AH524" i="480"/>
  <c r="AI524" i="480"/>
  <c r="AJ524" i="480"/>
  <c r="AK524" i="480"/>
  <c r="AL524" i="480"/>
  <c r="AM524" i="480"/>
  <c r="AN524" i="480"/>
  <c r="AO524" i="480"/>
  <c r="AP524" i="480"/>
  <c r="AQ524" i="480"/>
  <c r="AR524" i="480"/>
  <c r="AS524" i="480"/>
  <c r="AT524" i="480"/>
  <c r="AU524" i="480"/>
  <c r="AV524" i="480"/>
  <c r="AW524" i="480"/>
  <c r="AX524" i="480"/>
  <c r="AY524" i="480"/>
  <c r="AZ524" i="480"/>
  <c r="BA524" i="480"/>
  <c r="BB524" i="480"/>
  <c r="BC524" i="480"/>
  <c r="B458" i="472"/>
  <c r="C458" i="472"/>
  <c r="D458" i="472"/>
  <c r="E458" i="472"/>
  <c r="F458" i="472"/>
  <c r="G458" i="472"/>
  <c r="H458" i="472"/>
  <c r="I458" i="472"/>
  <c r="J458" i="472"/>
  <c r="K458" i="472"/>
  <c r="L458" i="472"/>
  <c r="M458" i="472"/>
  <c r="N458" i="472"/>
  <c r="O458" i="472"/>
  <c r="P458" i="472"/>
  <c r="Q458" i="472"/>
  <c r="R458" i="472"/>
  <c r="S458" i="472"/>
  <c r="T458" i="472"/>
  <c r="U458" i="472"/>
  <c r="V458" i="472"/>
  <c r="W458" i="472"/>
  <c r="X458" i="472"/>
  <c r="Y458" i="472"/>
  <c r="Z458" i="472"/>
  <c r="AA458" i="472"/>
  <c r="AB458" i="472"/>
  <c r="AC458" i="472"/>
  <c r="AD458" i="472"/>
  <c r="AE458" i="472"/>
  <c r="AF458" i="472"/>
  <c r="AG458" i="472"/>
  <c r="AH458" i="472"/>
  <c r="AI458" i="472"/>
  <c r="AJ458" i="472"/>
  <c r="AK458" i="472"/>
  <c r="AL458" i="472"/>
  <c r="AM458" i="472"/>
  <c r="AN458" i="472"/>
  <c r="AO458" i="472"/>
  <c r="AP458" i="472"/>
  <c r="AQ458" i="472"/>
  <c r="AR458" i="472"/>
  <c r="AS458" i="472"/>
  <c r="AT458" i="472"/>
  <c r="AU458" i="472"/>
  <c r="B459" i="472"/>
  <c r="C459" i="472"/>
  <c r="D459" i="472"/>
  <c r="E459" i="472"/>
  <c r="F459" i="472"/>
  <c r="G459" i="472"/>
  <c r="H459" i="472"/>
  <c r="I459" i="472"/>
  <c r="J459" i="472"/>
  <c r="K459" i="472"/>
  <c r="L459" i="472"/>
  <c r="M459" i="472"/>
  <c r="N459" i="472"/>
  <c r="O459" i="472"/>
  <c r="P459" i="472"/>
  <c r="Q459" i="472"/>
  <c r="R459" i="472"/>
  <c r="S459" i="472"/>
  <c r="T459" i="472"/>
  <c r="U459" i="472"/>
  <c r="V459" i="472"/>
  <c r="W459" i="472"/>
  <c r="X459" i="472"/>
  <c r="Y459" i="472"/>
  <c r="Z459" i="472"/>
  <c r="AA459" i="472"/>
  <c r="AB459" i="472"/>
  <c r="AC459" i="472"/>
  <c r="AD459" i="472"/>
  <c r="AE459" i="472"/>
  <c r="AF459" i="472"/>
  <c r="AG459" i="472"/>
  <c r="AH459" i="472"/>
  <c r="AI459" i="472"/>
  <c r="AJ459" i="472"/>
  <c r="AK459" i="472"/>
  <c r="AL459" i="472"/>
  <c r="AM459" i="472"/>
  <c r="AN459" i="472"/>
  <c r="AO459" i="472"/>
  <c r="AP459" i="472"/>
  <c r="AQ459" i="472"/>
  <c r="AR459" i="472"/>
  <c r="AS459" i="472"/>
  <c r="AT459" i="472"/>
  <c r="AU459" i="472"/>
  <c r="B460" i="472"/>
  <c r="C460" i="472"/>
  <c r="D460" i="472"/>
  <c r="E460" i="472"/>
  <c r="F460" i="472"/>
  <c r="G460" i="472"/>
  <c r="H460" i="472"/>
  <c r="I460" i="472"/>
  <c r="J460" i="472"/>
  <c r="K460" i="472"/>
  <c r="L460" i="472"/>
  <c r="M460" i="472"/>
  <c r="N460" i="472"/>
  <c r="O460" i="472"/>
  <c r="P460" i="472"/>
  <c r="Q460" i="472"/>
  <c r="R460" i="472"/>
  <c r="S460" i="472"/>
  <c r="T460" i="472"/>
  <c r="U460" i="472"/>
  <c r="V460" i="472"/>
  <c r="W460" i="472"/>
  <c r="X460" i="472"/>
  <c r="Y460" i="472"/>
  <c r="Z460" i="472"/>
  <c r="AA460" i="472"/>
  <c r="AB460" i="472"/>
  <c r="AC460" i="472"/>
  <c r="AD460" i="472"/>
  <c r="AE460" i="472"/>
  <c r="AF460" i="472"/>
  <c r="AG460" i="472"/>
  <c r="AH460" i="472"/>
  <c r="AI460" i="472"/>
  <c r="AJ460" i="472"/>
  <c r="AK460" i="472"/>
  <c r="AL460" i="472"/>
  <c r="AM460" i="472"/>
  <c r="AN460" i="472"/>
  <c r="AO460" i="472"/>
  <c r="AP460" i="472"/>
  <c r="AQ460" i="472"/>
  <c r="AR460" i="472"/>
  <c r="AS460" i="472"/>
  <c r="AT460" i="472"/>
  <c r="AU460" i="472"/>
  <c r="B461" i="472"/>
  <c r="C461" i="472"/>
  <c r="D461" i="472"/>
  <c r="E461" i="472"/>
  <c r="F461" i="472"/>
  <c r="G461" i="472"/>
  <c r="H461" i="472"/>
  <c r="I461" i="472"/>
  <c r="J461" i="472"/>
  <c r="K461" i="472"/>
  <c r="L461" i="472"/>
  <c r="M461" i="472"/>
  <c r="N461" i="472"/>
  <c r="O461" i="472"/>
  <c r="P461" i="472"/>
  <c r="Q461" i="472"/>
  <c r="R461" i="472"/>
  <c r="S461" i="472"/>
  <c r="T461" i="472"/>
  <c r="U461" i="472"/>
  <c r="V461" i="472"/>
  <c r="W461" i="472"/>
  <c r="X461" i="472"/>
  <c r="Y461" i="472"/>
  <c r="Z461" i="472"/>
  <c r="AA461" i="472"/>
  <c r="AB461" i="472"/>
  <c r="AC461" i="472"/>
  <c r="AD461" i="472"/>
  <c r="AE461" i="472"/>
  <c r="AF461" i="472"/>
  <c r="AG461" i="472"/>
  <c r="AH461" i="472"/>
  <c r="AI461" i="472"/>
  <c r="AJ461" i="472"/>
  <c r="AK461" i="472"/>
  <c r="AL461" i="472"/>
  <c r="AM461" i="472"/>
  <c r="AN461" i="472"/>
  <c r="AO461" i="472"/>
  <c r="AP461" i="472"/>
  <c r="AQ461" i="472"/>
  <c r="AR461" i="472"/>
  <c r="AS461" i="472"/>
  <c r="AT461" i="472"/>
  <c r="AU461" i="472"/>
  <c r="B462" i="472"/>
  <c r="C462" i="472"/>
  <c r="D462" i="472"/>
  <c r="E462" i="472"/>
  <c r="F462" i="472"/>
  <c r="G462" i="472"/>
  <c r="H462" i="472"/>
  <c r="I462" i="472"/>
  <c r="J462" i="472"/>
  <c r="K462" i="472"/>
  <c r="L462" i="472"/>
  <c r="M462" i="472"/>
  <c r="N462" i="472"/>
  <c r="O462" i="472"/>
  <c r="P462" i="472"/>
  <c r="Q462" i="472"/>
  <c r="R462" i="472"/>
  <c r="S462" i="472"/>
  <c r="T462" i="472"/>
  <c r="U462" i="472"/>
  <c r="V462" i="472"/>
  <c r="W462" i="472"/>
  <c r="X462" i="472"/>
  <c r="Y462" i="472"/>
  <c r="Z462" i="472"/>
  <c r="AA462" i="472"/>
  <c r="AB462" i="472"/>
  <c r="AC462" i="472"/>
  <c r="AD462" i="472"/>
  <c r="AE462" i="472"/>
  <c r="AF462" i="472"/>
  <c r="AG462" i="472"/>
  <c r="AH462" i="472"/>
  <c r="AI462" i="472"/>
  <c r="AJ462" i="472"/>
  <c r="AK462" i="472"/>
  <c r="AL462" i="472"/>
  <c r="AM462" i="472"/>
  <c r="AN462" i="472"/>
  <c r="AO462" i="472"/>
  <c r="AP462" i="472"/>
  <c r="AQ462" i="472"/>
  <c r="AR462" i="472"/>
  <c r="AS462" i="472"/>
  <c r="AT462" i="472"/>
  <c r="AU462" i="472"/>
  <c r="B463" i="472"/>
  <c r="C463" i="472"/>
  <c r="D463" i="472"/>
  <c r="E463" i="472"/>
  <c r="F463" i="472"/>
  <c r="G463" i="472"/>
  <c r="H463" i="472"/>
  <c r="I463" i="472"/>
  <c r="J463" i="472"/>
  <c r="K463" i="472"/>
  <c r="L463" i="472"/>
  <c r="M463" i="472"/>
  <c r="N463" i="472"/>
  <c r="O463" i="472"/>
  <c r="P463" i="472"/>
  <c r="Q463" i="472"/>
  <c r="R463" i="472"/>
  <c r="S463" i="472"/>
  <c r="T463" i="472"/>
  <c r="U463" i="472"/>
  <c r="V463" i="472"/>
  <c r="W463" i="472"/>
  <c r="X463" i="472"/>
  <c r="Y463" i="472"/>
  <c r="Z463" i="472"/>
  <c r="AA463" i="472"/>
  <c r="AB463" i="472"/>
  <c r="AC463" i="472"/>
  <c r="AD463" i="472"/>
  <c r="AE463" i="472"/>
  <c r="AF463" i="472"/>
  <c r="AG463" i="472"/>
  <c r="AH463" i="472"/>
  <c r="AI463" i="472"/>
  <c r="AJ463" i="472"/>
  <c r="AK463" i="472"/>
  <c r="AL463" i="472"/>
  <c r="AM463" i="472"/>
  <c r="AN463" i="472"/>
  <c r="AO463" i="472"/>
  <c r="AP463" i="472"/>
  <c r="AQ463" i="472"/>
  <c r="AR463" i="472"/>
  <c r="AS463" i="472"/>
  <c r="AT463" i="472"/>
  <c r="AU463" i="472"/>
  <c r="B464" i="472"/>
  <c r="C464" i="472"/>
  <c r="D464" i="472"/>
  <c r="E464" i="472"/>
  <c r="F464" i="472"/>
  <c r="G464" i="472"/>
  <c r="H464" i="472"/>
  <c r="I464" i="472"/>
  <c r="J464" i="472"/>
  <c r="K464" i="472"/>
  <c r="L464" i="472"/>
  <c r="M464" i="472"/>
  <c r="N464" i="472"/>
  <c r="O464" i="472"/>
  <c r="P464" i="472"/>
  <c r="Q464" i="472"/>
  <c r="R464" i="472"/>
  <c r="S464" i="472"/>
  <c r="T464" i="472"/>
  <c r="U464" i="472"/>
  <c r="V464" i="472"/>
  <c r="W464" i="472"/>
  <c r="X464" i="472"/>
  <c r="Y464" i="472"/>
  <c r="Z464" i="472"/>
  <c r="AA464" i="472"/>
  <c r="AB464" i="472"/>
  <c r="AC464" i="472"/>
  <c r="AD464" i="472"/>
  <c r="AE464" i="472"/>
  <c r="AF464" i="472"/>
  <c r="AG464" i="472"/>
  <c r="AH464" i="472"/>
  <c r="AI464" i="472"/>
  <c r="AJ464" i="472"/>
  <c r="AK464" i="472"/>
  <c r="AL464" i="472"/>
  <c r="AM464" i="472"/>
  <c r="AN464" i="472"/>
  <c r="AO464" i="472"/>
  <c r="AP464" i="472"/>
  <c r="AQ464" i="472"/>
  <c r="AR464" i="472"/>
  <c r="AS464" i="472"/>
  <c r="AT464" i="472"/>
  <c r="AU464" i="472"/>
  <c r="B465" i="472"/>
  <c r="C465" i="472"/>
  <c r="D465" i="472"/>
  <c r="E465" i="472"/>
  <c r="F465" i="472"/>
  <c r="G465" i="472"/>
  <c r="H465" i="472"/>
  <c r="I465" i="472"/>
  <c r="J465" i="472"/>
  <c r="K465" i="472"/>
  <c r="L465" i="472"/>
  <c r="M465" i="472"/>
  <c r="N465" i="472"/>
  <c r="O465" i="472"/>
  <c r="P465" i="472"/>
  <c r="Q465" i="472"/>
  <c r="R465" i="472"/>
  <c r="S465" i="472"/>
  <c r="T465" i="472"/>
  <c r="U465" i="472"/>
  <c r="V465" i="472"/>
  <c r="W465" i="472"/>
  <c r="X465" i="472"/>
  <c r="Y465" i="472"/>
  <c r="Z465" i="472"/>
  <c r="AA465" i="472"/>
  <c r="AB465" i="472"/>
  <c r="AC465" i="472"/>
  <c r="AD465" i="472"/>
  <c r="AE465" i="472"/>
  <c r="AF465" i="472"/>
  <c r="AG465" i="472"/>
  <c r="AH465" i="472"/>
  <c r="AI465" i="472"/>
  <c r="AJ465" i="472"/>
  <c r="AK465" i="472"/>
  <c r="AL465" i="472"/>
  <c r="AM465" i="472"/>
  <c r="AN465" i="472"/>
  <c r="AO465" i="472"/>
  <c r="AP465" i="472"/>
  <c r="AQ465" i="472"/>
  <c r="AR465" i="472"/>
  <c r="AS465" i="472"/>
  <c r="AT465" i="472"/>
  <c r="AU465" i="472"/>
  <c r="B466" i="472"/>
  <c r="C466" i="472"/>
  <c r="D466" i="472"/>
  <c r="E466" i="472"/>
  <c r="F466" i="472"/>
  <c r="G466" i="472"/>
  <c r="H466" i="472"/>
  <c r="I466" i="472"/>
  <c r="J466" i="472"/>
  <c r="K466" i="472"/>
  <c r="L466" i="472"/>
  <c r="M466" i="472"/>
  <c r="N466" i="472"/>
  <c r="O466" i="472"/>
  <c r="P466" i="472"/>
  <c r="Q466" i="472"/>
  <c r="R466" i="472"/>
  <c r="S466" i="472"/>
  <c r="T466" i="472"/>
  <c r="U466" i="472"/>
  <c r="V466" i="472"/>
  <c r="W466" i="472"/>
  <c r="X466" i="472"/>
  <c r="Y466" i="472"/>
  <c r="Z466" i="472"/>
  <c r="AA466" i="472"/>
  <c r="AB466" i="472"/>
  <c r="AC466" i="472"/>
  <c r="AD466" i="472"/>
  <c r="AE466" i="472"/>
  <c r="AF466" i="472"/>
  <c r="AG466" i="472"/>
  <c r="AH466" i="472"/>
  <c r="AI466" i="472"/>
  <c r="AJ466" i="472"/>
  <c r="AK466" i="472"/>
  <c r="AL466" i="472"/>
  <c r="AM466" i="472"/>
  <c r="AN466" i="472"/>
  <c r="AO466" i="472"/>
  <c r="AP466" i="472"/>
  <c r="AQ466" i="472"/>
  <c r="AR466" i="472"/>
  <c r="AS466" i="472"/>
  <c r="AT466" i="472"/>
  <c r="AU466" i="472"/>
  <c r="B467" i="472"/>
  <c r="C467" i="472"/>
  <c r="D467" i="472"/>
  <c r="E467" i="472"/>
  <c r="F467" i="472"/>
  <c r="G467" i="472"/>
  <c r="H467" i="472"/>
  <c r="I467" i="472"/>
  <c r="J467" i="472"/>
  <c r="K467" i="472"/>
  <c r="L467" i="472"/>
  <c r="M467" i="472"/>
  <c r="N467" i="472"/>
  <c r="O467" i="472"/>
  <c r="P467" i="472"/>
  <c r="Q467" i="472"/>
  <c r="R467" i="472"/>
  <c r="S467" i="472"/>
  <c r="T467" i="472"/>
  <c r="U467" i="472"/>
  <c r="V467" i="472"/>
  <c r="W467" i="472"/>
  <c r="X467" i="472"/>
  <c r="Y467" i="472"/>
  <c r="Z467" i="472"/>
  <c r="AA467" i="472"/>
  <c r="AB467" i="472"/>
  <c r="AC467" i="472"/>
  <c r="AD467" i="472"/>
  <c r="AE467" i="472"/>
  <c r="AF467" i="472"/>
  <c r="AG467" i="472"/>
  <c r="AH467" i="472"/>
  <c r="AI467" i="472"/>
  <c r="AJ467" i="472"/>
  <c r="AK467" i="472"/>
  <c r="AL467" i="472"/>
  <c r="AM467" i="472"/>
  <c r="AN467" i="472"/>
  <c r="AO467" i="472"/>
  <c r="AP467" i="472"/>
  <c r="AQ467" i="472"/>
  <c r="AR467" i="472"/>
  <c r="AS467" i="472"/>
  <c r="AT467" i="472"/>
  <c r="AU467" i="472"/>
  <c r="B468" i="472"/>
  <c r="C468" i="472"/>
  <c r="D468" i="472"/>
  <c r="E468" i="472"/>
  <c r="F468" i="472"/>
  <c r="G468" i="472"/>
  <c r="H468" i="472"/>
  <c r="I468" i="472"/>
  <c r="J468" i="472"/>
  <c r="K468" i="472"/>
  <c r="L468" i="472"/>
  <c r="M468" i="472"/>
  <c r="N468" i="472"/>
  <c r="O468" i="472"/>
  <c r="P468" i="472"/>
  <c r="Q468" i="472"/>
  <c r="R468" i="472"/>
  <c r="S468" i="472"/>
  <c r="T468" i="472"/>
  <c r="U468" i="472"/>
  <c r="V468" i="472"/>
  <c r="W468" i="472"/>
  <c r="X468" i="472"/>
  <c r="Y468" i="472"/>
  <c r="Z468" i="472"/>
  <c r="AA468" i="472"/>
  <c r="AB468" i="472"/>
  <c r="AC468" i="472"/>
  <c r="AD468" i="472"/>
  <c r="AE468" i="472"/>
  <c r="AF468" i="472"/>
  <c r="AG468" i="472"/>
  <c r="AH468" i="472"/>
  <c r="AI468" i="472"/>
  <c r="AJ468" i="472"/>
  <c r="AK468" i="472"/>
  <c r="AL468" i="472"/>
  <c r="AM468" i="472"/>
  <c r="AN468" i="472"/>
  <c r="AO468" i="472"/>
  <c r="AP468" i="472"/>
  <c r="AQ468" i="472"/>
  <c r="AR468" i="472"/>
  <c r="AS468" i="472"/>
  <c r="AT468" i="472"/>
  <c r="AU468" i="472"/>
  <c r="B469" i="472"/>
  <c r="C469" i="472"/>
  <c r="D469" i="472"/>
  <c r="E469" i="472"/>
  <c r="F469" i="472"/>
  <c r="G469" i="472"/>
  <c r="H469" i="472"/>
  <c r="I469" i="472"/>
  <c r="J469" i="472"/>
  <c r="K469" i="472"/>
  <c r="L469" i="472"/>
  <c r="M469" i="472"/>
  <c r="N469" i="472"/>
  <c r="O469" i="472"/>
  <c r="P469" i="472"/>
  <c r="Q469" i="472"/>
  <c r="R469" i="472"/>
  <c r="S469" i="472"/>
  <c r="T469" i="472"/>
  <c r="U469" i="472"/>
  <c r="V469" i="472"/>
  <c r="W469" i="472"/>
  <c r="X469" i="472"/>
  <c r="Y469" i="472"/>
  <c r="Z469" i="472"/>
  <c r="AA469" i="472"/>
  <c r="AB469" i="472"/>
  <c r="AC469" i="472"/>
  <c r="AD469" i="472"/>
  <c r="AE469" i="472"/>
  <c r="AF469" i="472"/>
  <c r="AG469" i="472"/>
  <c r="AH469" i="472"/>
  <c r="AI469" i="472"/>
  <c r="AJ469" i="472"/>
  <c r="AK469" i="472"/>
  <c r="AL469" i="472"/>
  <c r="AM469" i="472"/>
  <c r="AN469" i="472"/>
  <c r="AO469" i="472"/>
  <c r="AP469" i="472"/>
  <c r="AQ469" i="472"/>
  <c r="AR469" i="472"/>
  <c r="AS469" i="472"/>
  <c r="AT469" i="472"/>
  <c r="AU469" i="472"/>
  <c r="B470" i="472"/>
  <c r="C470" i="472"/>
  <c r="D470" i="472"/>
  <c r="E470" i="472"/>
  <c r="F470" i="472"/>
  <c r="G470" i="472"/>
  <c r="H470" i="472"/>
  <c r="I470" i="472"/>
  <c r="J470" i="472"/>
  <c r="K470" i="472"/>
  <c r="L470" i="472"/>
  <c r="M470" i="472"/>
  <c r="N470" i="472"/>
  <c r="O470" i="472"/>
  <c r="P470" i="472"/>
  <c r="Q470" i="472"/>
  <c r="R470" i="472"/>
  <c r="S470" i="472"/>
  <c r="T470" i="472"/>
  <c r="U470" i="472"/>
  <c r="V470" i="472"/>
  <c r="W470" i="472"/>
  <c r="X470" i="472"/>
  <c r="Y470" i="472"/>
  <c r="Z470" i="472"/>
  <c r="AA470" i="472"/>
  <c r="AB470" i="472"/>
  <c r="AC470" i="472"/>
  <c r="AD470" i="472"/>
  <c r="AE470" i="472"/>
  <c r="AF470" i="472"/>
  <c r="AG470" i="472"/>
  <c r="AH470" i="472"/>
  <c r="AI470" i="472"/>
  <c r="AJ470" i="472"/>
  <c r="AK470" i="472"/>
  <c r="AL470" i="472"/>
  <c r="AM470" i="472"/>
  <c r="AN470" i="472"/>
  <c r="AO470" i="472"/>
  <c r="AP470" i="472"/>
  <c r="AQ470" i="472"/>
  <c r="AR470" i="472"/>
  <c r="AS470" i="472"/>
  <c r="AT470" i="472"/>
  <c r="AU470" i="472"/>
  <c r="B425" i="472"/>
  <c r="C425" i="472"/>
  <c r="D425" i="472"/>
  <c r="E425" i="472"/>
  <c r="F425" i="472"/>
  <c r="G425" i="472"/>
  <c r="H425" i="472"/>
  <c r="I425" i="472"/>
  <c r="J425" i="472"/>
  <c r="K425" i="472"/>
  <c r="L425" i="472"/>
  <c r="M425" i="472"/>
  <c r="N425" i="472"/>
  <c r="O425" i="472"/>
  <c r="P425" i="472"/>
  <c r="Q425" i="472"/>
  <c r="R425" i="472"/>
  <c r="S425" i="472"/>
  <c r="T425" i="472"/>
  <c r="U425" i="472"/>
  <c r="V425" i="472"/>
  <c r="W425" i="472"/>
  <c r="X425" i="472"/>
  <c r="Y425" i="472"/>
  <c r="Z425" i="472"/>
  <c r="AA425" i="472"/>
  <c r="AB425" i="472"/>
  <c r="AC425" i="472"/>
  <c r="AD425" i="472"/>
  <c r="AE425" i="472"/>
  <c r="AF425" i="472"/>
  <c r="AG425" i="472"/>
  <c r="AH425" i="472"/>
  <c r="AI425" i="472"/>
  <c r="AJ425" i="472"/>
  <c r="AK425" i="472"/>
  <c r="AL425" i="472"/>
  <c r="AM425" i="472"/>
  <c r="AN425" i="472"/>
  <c r="AO425" i="472"/>
  <c r="AP425" i="472"/>
  <c r="AQ425" i="472"/>
  <c r="AR425" i="472"/>
  <c r="AS425" i="472"/>
  <c r="AT425" i="472"/>
  <c r="AU425" i="472"/>
  <c r="B426" i="472"/>
  <c r="C426" i="472"/>
  <c r="D426" i="472"/>
  <c r="E426" i="472"/>
  <c r="F426" i="472"/>
  <c r="G426" i="472"/>
  <c r="H426" i="472"/>
  <c r="I426" i="472"/>
  <c r="J426" i="472"/>
  <c r="K426" i="472"/>
  <c r="L426" i="472"/>
  <c r="M426" i="472"/>
  <c r="N426" i="472"/>
  <c r="O426" i="472"/>
  <c r="P426" i="472"/>
  <c r="Q426" i="472"/>
  <c r="R426" i="472"/>
  <c r="S426" i="472"/>
  <c r="T426" i="472"/>
  <c r="U426" i="472"/>
  <c r="V426" i="472"/>
  <c r="W426" i="472"/>
  <c r="X426" i="472"/>
  <c r="Y426" i="472"/>
  <c r="Z426" i="472"/>
  <c r="AA426" i="472"/>
  <c r="AB426" i="472"/>
  <c r="AC426" i="472"/>
  <c r="AD426" i="472"/>
  <c r="AE426" i="472"/>
  <c r="AF426" i="472"/>
  <c r="AG426" i="472"/>
  <c r="AH426" i="472"/>
  <c r="AI426" i="472"/>
  <c r="AJ426" i="472"/>
  <c r="AK426" i="472"/>
  <c r="AL426" i="472"/>
  <c r="AM426" i="472"/>
  <c r="AN426" i="472"/>
  <c r="AO426" i="472"/>
  <c r="AP426" i="472"/>
  <c r="AQ426" i="472"/>
  <c r="AR426" i="472"/>
  <c r="AS426" i="472"/>
  <c r="AT426" i="472"/>
  <c r="AU426" i="472"/>
  <c r="B427" i="472"/>
  <c r="C427" i="472"/>
  <c r="D427" i="472"/>
  <c r="E427" i="472"/>
  <c r="F427" i="472"/>
  <c r="G427" i="472"/>
  <c r="H427" i="472"/>
  <c r="I427" i="472"/>
  <c r="J427" i="472"/>
  <c r="K427" i="472"/>
  <c r="L427" i="472"/>
  <c r="M427" i="472"/>
  <c r="N427" i="472"/>
  <c r="O427" i="472"/>
  <c r="P427" i="472"/>
  <c r="Q427" i="472"/>
  <c r="R427" i="472"/>
  <c r="S427" i="472"/>
  <c r="T427" i="472"/>
  <c r="U427" i="472"/>
  <c r="V427" i="472"/>
  <c r="W427" i="472"/>
  <c r="X427" i="472"/>
  <c r="Y427" i="472"/>
  <c r="Z427" i="472"/>
  <c r="AA427" i="472"/>
  <c r="AB427" i="472"/>
  <c r="AC427" i="472"/>
  <c r="AD427" i="472"/>
  <c r="AE427" i="472"/>
  <c r="AF427" i="472"/>
  <c r="AG427" i="472"/>
  <c r="AH427" i="472"/>
  <c r="AI427" i="472"/>
  <c r="AJ427" i="472"/>
  <c r="AK427" i="472"/>
  <c r="AL427" i="472"/>
  <c r="AM427" i="472"/>
  <c r="AN427" i="472"/>
  <c r="AO427" i="472"/>
  <c r="AP427" i="472"/>
  <c r="AQ427" i="472"/>
  <c r="AR427" i="472"/>
  <c r="AS427" i="472"/>
  <c r="AT427" i="472"/>
  <c r="AU427" i="472"/>
  <c r="B428" i="472"/>
  <c r="C428" i="472"/>
  <c r="D428" i="472"/>
  <c r="E428" i="472"/>
  <c r="F428" i="472"/>
  <c r="G428" i="472"/>
  <c r="H428" i="472"/>
  <c r="I428" i="472"/>
  <c r="J428" i="472"/>
  <c r="K428" i="472"/>
  <c r="L428" i="472"/>
  <c r="M428" i="472"/>
  <c r="N428" i="472"/>
  <c r="O428" i="472"/>
  <c r="P428" i="472"/>
  <c r="Q428" i="472"/>
  <c r="R428" i="472"/>
  <c r="S428" i="472"/>
  <c r="T428" i="472"/>
  <c r="U428" i="472"/>
  <c r="V428" i="472"/>
  <c r="W428" i="472"/>
  <c r="X428" i="472"/>
  <c r="Y428" i="472"/>
  <c r="Z428" i="472"/>
  <c r="AA428" i="472"/>
  <c r="AB428" i="472"/>
  <c r="AC428" i="472"/>
  <c r="AD428" i="472"/>
  <c r="AE428" i="472"/>
  <c r="AF428" i="472"/>
  <c r="AG428" i="472"/>
  <c r="AH428" i="472"/>
  <c r="AI428" i="472"/>
  <c r="AJ428" i="472"/>
  <c r="AK428" i="472"/>
  <c r="AL428" i="472"/>
  <c r="AM428" i="472"/>
  <c r="AN428" i="472"/>
  <c r="AO428" i="472"/>
  <c r="AP428" i="472"/>
  <c r="AQ428" i="472"/>
  <c r="AR428" i="472"/>
  <c r="AS428" i="472"/>
  <c r="AT428" i="472"/>
  <c r="AU428" i="472"/>
  <c r="B429" i="472"/>
  <c r="C429" i="472"/>
  <c r="D429" i="472"/>
  <c r="E429" i="472"/>
  <c r="F429" i="472"/>
  <c r="G429" i="472"/>
  <c r="H429" i="472"/>
  <c r="I429" i="472"/>
  <c r="J429" i="472"/>
  <c r="K429" i="472"/>
  <c r="L429" i="472"/>
  <c r="M429" i="472"/>
  <c r="N429" i="472"/>
  <c r="O429" i="472"/>
  <c r="P429" i="472"/>
  <c r="Q429" i="472"/>
  <c r="R429" i="472"/>
  <c r="S429" i="472"/>
  <c r="T429" i="472"/>
  <c r="U429" i="472"/>
  <c r="V429" i="472"/>
  <c r="W429" i="472"/>
  <c r="X429" i="472"/>
  <c r="Y429" i="472"/>
  <c r="Z429" i="472"/>
  <c r="AA429" i="472"/>
  <c r="AB429" i="472"/>
  <c r="AC429" i="472"/>
  <c r="AD429" i="472"/>
  <c r="AE429" i="472"/>
  <c r="AF429" i="472"/>
  <c r="AG429" i="472"/>
  <c r="AH429" i="472"/>
  <c r="AI429" i="472"/>
  <c r="AJ429" i="472"/>
  <c r="AK429" i="472"/>
  <c r="AL429" i="472"/>
  <c r="AM429" i="472"/>
  <c r="AN429" i="472"/>
  <c r="AO429" i="472"/>
  <c r="AP429" i="472"/>
  <c r="AQ429" i="472"/>
  <c r="AR429" i="472"/>
  <c r="AS429" i="472"/>
  <c r="AT429" i="472"/>
  <c r="AU429" i="472"/>
  <c r="B430" i="472"/>
  <c r="C430" i="472"/>
  <c r="D430" i="472"/>
  <c r="E430" i="472"/>
  <c r="F430" i="472"/>
  <c r="G430" i="472"/>
  <c r="H430" i="472"/>
  <c r="I430" i="472"/>
  <c r="J430" i="472"/>
  <c r="K430" i="472"/>
  <c r="L430" i="472"/>
  <c r="M430" i="472"/>
  <c r="N430" i="472"/>
  <c r="O430" i="472"/>
  <c r="P430" i="472"/>
  <c r="Q430" i="472"/>
  <c r="R430" i="472"/>
  <c r="S430" i="472"/>
  <c r="T430" i="472"/>
  <c r="U430" i="472"/>
  <c r="V430" i="472"/>
  <c r="W430" i="472"/>
  <c r="X430" i="472"/>
  <c r="Y430" i="472"/>
  <c r="Z430" i="472"/>
  <c r="AA430" i="472"/>
  <c r="AB430" i="472"/>
  <c r="AC430" i="472"/>
  <c r="AD430" i="472"/>
  <c r="AE430" i="472"/>
  <c r="AF430" i="472"/>
  <c r="AG430" i="472"/>
  <c r="AH430" i="472"/>
  <c r="AI430" i="472"/>
  <c r="AJ430" i="472"/>
  <c r="AK430" i="472"/>
  <c r="AL430" i="472"/>
  <c r="AM430" i="472"/>
  <c r="AN430" i="472"/>
  <c r="AO430" i="472"/>
  <c r="AP430" i="472"/>
  <c r="AQ430" i="472"/>
  <c r="AR430" i="472"/>
  <c r="AS430" i="472"/>
  <c r="AT430" i="472"/>
  <c r="AU430" i="472"/>
  <c r="B431" i="472"/>
  <c r="C431" i="472"/>
  <c r="D431" i="472"/>
  <c r="E431" i="472"/>
  <c r="F431" i="472"/>
  <c r="G431" i="472"/>
  <c r="H431" i="472"/>
  <c r="I431" i="472"/>
  <c r="J431" i="472"/>
  <c r="K431" i="472"/>
  <c r="L431" i="472"/>
  <c r="M431" i="472"/>
  <c r="N431" i="472"/>
  <c r="O431" i="472"/>
  <c r="P431" i="472"/>
  <c r="Q431" i="472"/>
  <c r="R431" i="472"/>
  <c r="S431" i="472"/>
  <c r="T431" i="472"/>
  <c r="U431" i="472"/>
  <c r="V431" i="472"/>
  <c r="W431" i="472"/>
  <c r="X431" i="472"/>
  <c r="Y431" i="472"/>
  <c r="Z431" i="472"/>
  <c r="AA431" i="472"/>
  <c r="AB431" i="472"/>
  <c r="AC431" i="472"/>
  <c r="AD431" i="472"/>
  <c r="AE431" i="472"/>
  <c r="AF431" i="472"/>
  <c r="AG431" i="472"/>
  <c r="AH431" i="472"/>
  <c r="AI431" i="472"/>
  <c r="AJ431" i="472"/>
  <c r="AK431" i="472"/>
  <c r="AL431" i="472"/>
  <c r="AM431" i="472"/>
  <c r="AN431" i="472"/>
  <c r="AO431" i="472"/>
  <c r="AP431" i="472"/>
  <c r="AQ431" i="472"/>
  <c r="AR431" i="472"/>
  <c r="AS431" i="472"/>
  <c r="AT431" i="472"/>
  <c r="AU431" i="472"/>
  <c r="B432" i="472"/>
  <c r="C432" i="472"/>
  <c r="D432" i="472"/>
  <c r="E432" i="472"/>
  <c r="F432" i="472"/>
  <c r="G432" i="472"/>
  <c r="H432" i="472"/>
  <c r="I432" i="472"/>
  <c r="J432" i="472"/>
  <c r="K432" i="472"/>
  <c r="L432" i="472"/>
  <c r="M432" i="472"/>
  <c r="N432" i="472"/>
  <c r="O432" i="472"/>
  <c r="P432" i="472"/>
  <c r="Q432" i="472"/>
  <c r="R432" i="472"/>
  <c r="S432" i="472"/>
  <c r="T432" i="472"/>
  <c r="U432" i="472"/>
  <c r="V432" i="472"/>
  <c r="W432" i="472"/>
  <c r="X432" i="472"/>
  <c r="Y432" i="472"/>
  <c r="Z432" i="472"/>
  <c r="AA432" i="472"/>
  <c r="AB432" i="472"/>
  <c r="AC432" i="472"/>
  <c r="AD432" i="472"/>
  <c r="AE432" i="472"/>
  <c r="AF432" i="472"/>
  <c r="AG432" i="472"/>
  <c r="AH432" i="472"/>
  <c r="AI432" i="472"/>
  <c r="AJ432" i="472"/>
  <c r="AK432" i="472"/>
  <c r="AL432" i="472"/>
  <c r="AM432" i="472"/>
  <c r="AN432" i="472"/>
  <c r="AO432" i="472"/>
  <c r="AP432" i="472"/>
  <c r="AQ432" i="472"/>
  <c r="AR432" i="472"/>
  <c r="AS432" i="472"/>
  <c r="AT432" i="472"/>
  <c r="AU432" i="472"/>
  <c r="B433" i="472"/>
  <c r="C433" i="472"/>
  <c r="D433" i="472"/>
  <c r="E433" i="472"/>
  <c r="F433" i="472"/>
  <c r="G433" i="472"/>
  <c r="H433" i="472"/>
  <c r="I433" i="472"/>
  <c r="J433" i="472"/>
  <c r="K433" i="472"/>
  <c r="L433" i="472"/>
  <c r="M433" i="472"/>
  <c r="N433" i="472"/>
  <c r="O433" i="472"/>
  <c r="P433" i="472"/>
  <c r="Q433" i="472"/>
  <c r="R433" i="472"/>
  <c r="S433" i="472"/>
  <c r="T433" i="472"/>
  <c r="U433" i="472"/>
  <c r="V433" i="472"/>
  <c r="W433" i="472"/>
  <c r="X433" i="472"/>
  <c r="Y433" i="472"/>
  <c r="Z433" i="472"/>
  <c r="AA433" i="472"/>
  <c r="AB433" i="472"/>
  <c r="AC433" i="472"/>
  <c r="AD433" i="472"/>
  <c r="AE433" i="472"/>
  <c r="AF433" i="472"/>
  <c r="AG433" i="472"/>
  <c r="AH433" i="472"/>
  <c r="AI433" i="472"/>
  <c r="AJ433" i="472"/>
  <c r="AK433" i="472"/>
  <c r="AL433" i="472"/>
  <c r="AM433" i="472"/>
  <c r="AN433" i="472"/>
  <c r="AO433" i="472"/>
  <c r="AP433" i="472"/>
  <c r="AQ433" i="472"/>
  <c r="AR433" i="472"/>
  <c r="AS433" i="472"/>
  <c r="AT433" i="472"/>
  <c r="AU433" i="472"/>
  <c r="B434" i="472"/>
  <c r="C434" i="472"/>
  <c r="D434" i="472"/>
  <c r="E434" i="472"/>
  <c r="F434" i="472"/>
  <c r="G434" i="472"/>
  <c r="H434" i="472"/>
  <c r="I434" i="472"/>
  <c r="J434" i="472"/>
  <c r="K434" i="472"/>
  <c r="L434" i="472"/>
  <c r="M434" i="472"/>
  <c r="N434" i="472"/>
  <c r="O434" i="472"/>
  <c r="P434" i="472"/>
  <c r="Q434" i="472"/>
  <c r="R434" i="472"/>
  <c r="S434" i="472"/>
  <c r="T434" i="472"/>
  <c r="U434" i="472"/>
  <c r="V434" i="472"/>
  <c r="W434" i="472"/>
  <c r="X434" i="472"/>
  <c r="Y434" i="472"/>
  <c r="Z434" i="472"/>
  <c r="AA434" i="472"/>
  <c r="AB434" i="472"/>
  <c r="AC434" i="472"/>
  <c r="AD434" i="472"/>
  <c r="AE434" i="472"/>
  <c r="AF434" i="472"/>
  <c r="AG434" i="472"/>
  <c r="AH434" i="472"/>
  <c r="AI434" i="472"/>
  <c r="AJ434" i="472"/>
  <c r="AK434" i="472"/>
  <c r="AL434" i="472"/>
  <c r="AM434" i="472"/>
  <c r="AN434" i="472"/>
  <c r="AO434" i="472"/>
  <c r="AP434" i="472"/>
  <c r="AQ434" i="472"/>
  <c r="AR434" i="472"/>
  <c r="AS434" i="472"/>
  <c r="AT434" i="472"/>
  <c r="AU434" i="472"/>
  <c r="B435" i="472"/>
  <c r="C435" i="472"/>
  <c r="D435" i="472"/>
  <c r="E435" i="472"/>
  <c r="F435" i="472"/>
  <c r="G435" i="472"/>
  <c r="H435" i="472"/>
  <c r="I435" i="472"/>
  <c r="J435" i="472"/>
  <c r="K435" i="472"/>
  <c r="L435" i="472"/>
  <c r="M435" i="472"/>
  <c r="N435" i="472"/>
  <c r="O435" i="472"/>
  <c r="P435" i="472"/>
  <c r="Q435" i="472"/>
  <c r="R435" i="472"/>
  <c r="S435" i="472"/>
  <c r="T435" i="472"/>
  <c r="U435" i="472"/>
  <c r="V435" i="472"/>
  <c r="W435" i="472"/>
  <c r="X435" i="472"/>
  <c r="Y435" i="472"/>
  <c r="Z435" i="472"/>
  <c r="AA435" i="472"/>
  <c r="AB435" i="472"/>
  <c r="AC435" i="472"/>
  <c r="AD435" i="472"/>
  <c r="AE435" i="472"/>
  <c r="AF435" i="472"/>
  <c r="AG435" i="472"/>
  <c r="AH435" i="472"/>
  <c r="AI435" i="472"/>
  <c r="AJ435" i="472"/>
  <c r="AK435" i="472"/>
  <c r="AL435" i="472"/>
  <c r="AM435" i="472"/>
  <c r="AN435" i="472"/>
  <c r="AO435" i="472"/>
  <c r="AP435" i="472"/>
  <c r="AQ435" i="472"/>
  <c r="AR435" i="472"/>
  <c r="AS435" i="472"/>
  <c r="AT435" i="472"/>
  <c r="AU435" i="472"/>
  <c r="B436" i="472"/>
  <c r="C436" i="472"/>
  <c r="D436" i="472"/>
  <c r="E436" i="472"/>
  <c r="F436" i="472"/>
  <c r="G436" i="472"/>
  <c r="H436" i="472"/>
  <c r="I436" i="472"/>
  <c r="J436" i="472"/>
  <c r="K436" i="472"/>
  <c r="L436" i="472"/>
  <c r="M436" i="472"/>
  <c r="N436" i="472"/>
  <c r="O436" i="472"/>
  <c r="P436" i="472"/>
  <c r="Q436" i="472"/>
  <c r="R436" i="472"/>
  <c r="S436" i="472"/>
  <c r="T436" i="472"/>
  <c r="U436" i="472"/>
  <c r="V436" i="472"/>
  <c r="W436" i="472"/>
  <c r="X436" i="472"/>
  <c r="Y436" i="472"/>
  <c r="Z436" i="472"/>
  <c r="AA436" i="472"/>
  <c r="AB436" i="472"/>
  <c r="AC436" i="472"/>
  <c r="AD436" i="472"/>
  <c r="AE436" i="472"/>
  <c r="AF436" i="472"/>
  <c r="AG436" i="472"/>
  <c r="AH436" i="472"/>
  <c r="AI436" i="472"/>
  <c r="AJ436" i="472"/>
  <c r="AK436" i="472"/>
  <c r="AL436" i="472"/>
  <c r="AM436" i="472"/>
  <c r="AN436" i="472"/>
  <c r="AO436" i="472"/>
  <c r="AP436" i="472"/>
  <c r="AQ436" i="472"/>
  <c r="AR436" i="472"/>
  <c r="AS436" i="472"/>
  <c r="AT436" i="472"/>
  <c r="AU436" i="472"/>
  <c r="B437" i="472"/>
  <c r="C437" i="472"/>
  <c r="D437" i="472"/>
  <c r="E437" i="472"/>
  <c r="F437" i="472"/>
  <c r="G437" i="472"/>
  <c r="H437" i="472"/>
  <c r="I437" i="472"/>
  <c r="J437" i="472"/>
  <c r="K437" i="472"/>
  <c r="L437" i="472"/>
  <c r="M437" i="472"/>
  <c r="N437" i="472"/>
  <c r="O437" i="472"/>
  <c r="P437" i="472"/>
  <c r="Q437" i="472"/>
  <c r="R437" i="472"/>
  <c r="S437" i="472"/>
  <c r="T437" i="472"/>
  <c r="U437" i="472"/>
  <c r="V437" i="472"/>
  <c r="W437" i="472"/>
  <c r="X437" i="472"/>
  <c r="Y437" i="472"/>
  <c r="Z437" i="472"/>
  <c r="AA437" i="472"/>
  <c r="AB437" i="472"/>
  <c r="AC437" i="472"/>
  <c r="AD437" i="472"/>
  <c r="AE437" i="472"/>
  <c r="AF437" i="472"/>
  <c r="AG437" i="472"/>
  <c r="AH437" i="472"/>
  <c r="AI437" i="472"/>
  <c r="AJ437" i="472"/>
  <c r="AK437" i="472"/>
  <c r="AL437" i="472"/>
  <c r="AM437" i="472"/>
  <c r="AN437" i="472"/>
  <c r="AO437" i="472"/>
  <c r="AP437" i="472"/>
  <c r="AQ437" i="472"/>
  <c r="AR437" i="472"/>
  <c r="AS437" i="472"/>
  <c r="AT437" i="472"/>
  <c r="AU437" i="472"/>
  <c r="B438" i="472"/>
  <c r="C438" i="472"/>
  <c r="D438" i="472"/>
  <c r="E438" i="472"/>
  <c r="F438" i="472"/>
  <c r="G438" i="472"/>
  <c r="H438" i="472"/>
  <c r="I438" i="472"/>
  <c r="J438" i="472"/>
  <c r="K438" i="472"/>
  <c r="L438" i="472"/>
  <c r="M438" i="472"/>
  <c r="N438" i="472"/>
  <c r="O438" i="472"/>
  <c r="P438" i="472"/>
  <c r="Q438" i="472"/>
  <c r="R438" i="472"/>
  <c r="S438" i="472"/>
  <c r="T438" i="472"/>
  <c r="U438" i="472"/>
  <c r="V438" i="472"/>
  <c r="W438" i="472"/>
  <c r="X438" i="472"/>
  <c r="Y438" i="472"/>
  <c r="Z438" i="472"/>
  <c r="AA438" i="472"/>
  <c r="AB438" i="472"/>
  <c r="AC438" i="472"/>
  <c r="AD438" i="472"/>
  <c r="AE438" i="472"/>
  <c r="AF438" i="472"/>
  <c r="AG438" i="472"/>
  <c r="AH438" i="472"/>
  <c r="AI438" i="472"/>
  <c r="AJ438" i="472"/>
  <c r="AK438" i="472"/>
  <c r="AL438" i="472"/>
  <c r="AM438" i="472"/>
  <c r="AN438" i="472"/>
  <c r="AO438" i="472"/>
  <c r="AP438" i="472"/>
  <c r="AQ438" i="472"/>
  <c r="AR438" i="472"/>
  <c r="AS438" i="472"/>
  <c r="AT438" i="472"/>
  <c r="AU438" i="472"/>
  <c r="B439" i="472"/>
  <c r="C439" i="472"/>
  <c r="D439" i="472"/>
  <c r="E439" i="472"/>
  <c r="F439" i="472"/>
  <c r="G439" i="472"/>
  <c r="H439" i="472"/>
  <c r="I439" i="472"/>
  <c r="J439" i="472"/>
  <c r="K439" i="472"/>
  <c r="L439" i="472"/>
  <c r="M439" i="472"/>
  <c r="N439" i="472"/>
  <c r="O439" i="472"/>
  <c r="P439" i="472"/>
  <c r="Q439" i="472"/>
  <c r="R439" i="472"/>
  <c r="S439" i="472"/>
  <c r="T439" i="472"/>
  <c r="U439" i="472"/>
  <c r="V439" i="472"/>
  <c r="W439" i="472"/>
  <c r="X439" i="472"/>
  <c r="Y439" i="472"/>
  <c r="Z439" i="472"/>
  <c r="AA439" i="472"/>
  <c r="AB439" i="472"/>
  <c r="AC439" i="472"/>
  <c r="AD439" i="472"/>
  <c r="AE439" i="472"/>
  <c r="AF439" i="472"/>
  <c r="AG439" i="472"/>
  <c r="AH439" i="472"/>
  <c r="AI439" i="472"/>
  <c r="AJ439" i="472"/>
  <c r="AK439" i="472"/>
  <c r="AL439" i="472"/>
  <c r="AM439" i="472"/>
  <c r="AN439" i="472"/>
  <c r="AO439" i="472"/>
  <c r="AP439" i="472"/>
  <c r="AQ439" i="472"/>
  <c r="AR439" i="472"/>
  <c r="AS439" i="472"/>
  <c r="AT439" i="472"/>
  <c r="AU439" i="472"/>
  <c r="B440" i="472"/>
  <c r="C440" i="472"/>
  <c r="D440" i="472"/>
  <c r="E440" i="472"/>
  <c r="F440" i="472"/>
  <c r="G440" i="472"/>
  <c r="H440" i="472"/>
  <c r="I440" i="472"/>
  <c r="J440" i="472"/>
  <c r="K440" i="472"/>
  <c r="L440" i="472"/>
  <c r="M440" i="472"/>
  <c r="N440" i="472"/>
  <c r="O440" i="472"/>
  <c r="P440" i="472"/>
  <c r="Q440" i="472"/>
  <c r="R440" i="472"/>
  <c r="S440" i="472"/>
  <c r="T440" i="472"/>
  <c r="U440" i="472"/>
  <c r="V440" i="472"/>
  <c r="W440" i="472"/>
  <c r="X440" i="472"/>
  <c r="Y440" i="472"/>
  <c r="Z440" i="472"/>
  <c r="AA440" i="472"/>
  <c r="AB440" i="472"/>
  <c r="AC440" i="472"/>
  <c r="AD440" i="472"/>
  <c r="AE440" i="472"/>
  <c r="AF440" i="472"/>
  <c r="AG440" i="472"/>
  <c r="AH440" i="472"/>
  <c r="AI440" i="472"/>
  <c r="AJ440" i="472"/>
  <c r="AK440" i="472"/>
  <c r="AL440" i="472"/>
  <c r="AM440" i="472"/>
  <c r="AN440" i="472"/>
  <c r="AO440" i="472"/>
  <c r="AP440" i="472"/>
  <c r="AQ440" i="472"/>
  <c r="AR440" i="472"/>
  <c r="AS440" i="472"/>
  <c r="AT440" i="472"/>
  <c r="AU440" i="472"/>
  <c r="B441" i="472"/>
  <c r="C441" i="472"/>
  <c r="D441" i="472"/>
  <c r="E441" i="472"/>
  <c r="F441" i="472"/>
  <c r="G441" i="472"/>
  <c r="H441" i="472"/>
  <c r="I441" i="472"/>
  <c r="J441" i="472"/>
  <c r="K441" i="472"/>
  <c r="L441" i="472"/>
  <c r="M441" i="472"/>
  <c r="N441" i="472"/>
  <c r="O441" i="472"/>
  <c r="P441" i="472"/>
  <c r="Q441" i="472"/>
  <c r="R441" i="472"/>
  <c r="S441" i="472"/>
  <c r="T441" i="472"/>
  <c r="U441" i="472"/>
  <c r="V441" i="472"/>
  <c r="W441" i="472"/>
  <c r="X441" i="472"/>
  <c r="Y441" i="472"/>
  <c r="Z441" i="472"/>
  <c r="AA441" i="472"/>
  <c r="AB441" i="472"/>
  <c r="AC441" i="472"/>
  <c r="AD441" i="472"/>
  <c r="AE441" i="472"/>
  <c r="AF441" i="472"/>
  <c r="AG441" i="472"/>
  <c r="AH441" i="472"/>
  <c r="AI441" i="472"/>
  <c r="AJ441" i="472"/>
  <c r="AK441" i="472"/>
  <c r="AL441" i="472"/>
  <c r="AM441" i="472"/>
  <c r="AN441" i="472"/>
  <c r="AO441" i="472"/>
  <c r="AP441" i="472"/>
  <c r="AQ441" i="472"/>
  <c r="AR441" i="472"/>
  <c r="AS441" i="472"/>
  <c r="AT441" i="472"/>
  <c r="AU441" i="472"/>
  <c r="B442" i="472"/>
  <c r="C442" i="472"/>
  <c r="D442" i="472"/>
  <c r="E442" i="472"/>
  <c r="F442" i="472"/>
  <c r="G442" i="472"/>
  <c r="H442" i="472"/>
  <c r="I442" i="472"/>
  <c r="J442" i="472"/>
  <c r="K442" i="472"/>
  <c r="L442" i="472"/>
  <c r="M442" i="472"/>
  <c r="N442" i="472"/>
  <c r="O442" i="472"/>
  <c r="P442" i="472"/>
  <c r="Q442" i="472"/>
  <c r="R442" i="472"/>
  <c r="S442" i="472"/>
  <c r="T442" i="472"/>
  <c r="U442" i="472"/>
  <c r="V442" i="472"/>
  <c r="W442" i="472"/>
  <c r="X442" i="472"/>
  <c r="Y442" i="472"/>
  <c r="Z442" i="472"/>
  <c r="AA442" i="472"/>
  <c r="AB442" i="472"/>
  <c r="AC442" i="472"/>
  <c r="AD442" i="472"/>
  <c r="AE442" i="472"/>
  <c r="AF442" i="472"/>
  <c r="AG442" i="472"/>
  <c r="AH442" i="472"/>
  <c r="AI442" i="472"/>
  <c r="AJ442" i="472"/>
  <c r="AK442" i="472"/>
  <c r="AL442" i="472"/>
  <c r="AM442" i="472"/>
  <c r="AN442" i="472"/>
  <c r="AO442" i="472"/>
  <c r="AP442" i="472"/>
  <c r="AQ442" i="472"/>
  <c r="AR442" i="472"/>
  <c r="AS442" i="472"/>
  <c r="AT442" i="472"/>
  <c r="AU442" i="472"/>
  <c r="B443" i="472"/>
  <c r="C443" i="472"/>
  <c r="D443" i="472"/>
  <c r="E443" i="472"/>
  <c r="F443" i="472"/>
  <c r="G443" i="472"/>
  <c r="H443" i="472"/>
  <c r="I443" i="472"/>
  <c r="J443" i="472"/>
  <c r="K443" i="472"/>
  <c r="L443" i="472"/>
  <c r="M443" i="472"/>
  <c r="N443" i="472"/>
  <c r="O443" i="472"/>
  <c r="P443" i="472"/>
  <c r="Q443" i="472"/>
  <c r="R443" i="472"/>
  <c r="S443" i="472"/>
  <c r="T443" i="472"/>
  <c r="U443" i="472"/>
  <c r="V443" i="472"/>
  <c r="W443" i="472"/>
  <c r="X443" i="472"/>
  <c r="Y443" i="472"/>
  <c r="Z443" i="472"/>
  <c r="AA443" i="472"/>
  <c r="AB443" i="472"/>
  <c r="AC443" i="472"/>
  <c r="AD443" i="472"/>
  <c r="AE443" i="472"/>
  <c r="AF443" i="472"/>
  <c r="AG443" i="472"/>
  <c r="AH443" i="472"/>
  <c r="AI443" i="472"/>
  <c r="AJ443" i="472"/>
  <c r="AK443" i="472"/>
  <c r="AL443" i="472"/>
  <c r="AM443" i="472"/>
  <c r="AN443" i="472"/>
  <c r="AO443" i="472"/>
  <c r="AP443" i="472"/>
  <c r="AQ443" i="472"/>
  <c r="AR443" i="472"/>
  <c r="AS443" i="472"/>
  <c r="AT443" i="472"/>
  <c r="AU443" i="472"/>
  <c r="B444" i="472"/>
  <c r="C444" i="472"/>
  <c r="D444" i="472"/>
  <c r="E444" i="472"/>
  <c r="F444" i="472"/>
  <c r="G444" i="472"/>
  <c r="H444" i="472"/>
  <c r="I444" i="472"/>
  <c r="J444" i="472"/>
  <c r="K444" i="472"/>
  <c r="L444" i="472"/>
  <c r="M444" i="472"/>
  <c r="N444" i="472"/>
  <c r="O444" i="472"/>
  <c r="P444" i="472"/>
  <c r="Q444" i="472"/>
  <c r="R444" i="472"/>
  <c r="S444" i="472"/>
  <c r="T444" i="472"/>
  <c r="U444" i="472"/>
  <c r="V444" i="472"/>
  <c r="W444" i="472"/>
  <c r="X444" i="472"/>
  <c r="Y444" i="472"/>
  <c r="Z444" i="472"/>
  <c r="AA444" i="472"/>
  <c r="AB444" i="472"/>
  <c r="AC444" i="472"/>
  <c r="AD444" i="472"/>
  <c r="AE444" i="472"/>
  <c r="AF444" i="472"/>
  <c r="AG444" i="472"/>
  <c r="AH444" i="472"/>
  <c r="AI444" i="472"/>
  <c r="AJ444" i="472"/>
  <c r="AK444" i="472"/>
  <c r="AL444" i="472"/>
  <c r="AM444" i="472"/>
  <c r="AN444" i="472"/>
  <c r="AO444" i="472"/>
  <c r="AP444" i="472"/>
  <c r="AQ444" i="472"/>
  <c r="AR444" i="472"/>
  <c r="AS444" i="472"/>
  <c r="AT444" i="472"/>
  <c r="AU444" i="472"/>
  <c r="B445" i="472"/>
  <c r="C445" i="472"/>
  <c r="D445" i="472"/>
  <c r="E445" i="472"/>
  <c r="F445" i="472"/>
  <c r="G445" i="472"/>
  <c r="H445" i="472"/>
  <c r="I445" i="472"/>
  <c r="J445" i="472"/>
  <c r="K445" i="472"/>
  <c r="L445" i="472"/>
  <c r="M445" i="472"/>
  <c r="N445" i="472"/>
  <c r="O445" i="472"/>
  <c r="P445" i="472"/>
  <c r="Q445" i="472"/>
  <c r="R445" i="472"/>
  <c r="S445" i="472"/>
  <c r="T445" i="472"/>
  <c r="U445" i="472"/>
  <c r="V445" i="472"/>
  <c r="W445" i="472"/>
  <c r="X445" i="472"/>
  <c r="Y445" i="472"/>
  <c r="Z445" i="472"/>
  <c r="AA445" i="472"/>
  <c r="AB445" i="472"/>
  <c r="AC445" i="472"/>
  <c r="AD445" i="472"/>
  <c r="AE445" i="472"/>
  <c r="AF445" i="472"/>
  <c r="AG445" i="472"/>
  <c r="AH445" i="472"/>
  <c r="AI445" i="472"/>
  <c r="AJ445" i="472"/>
  <c r="AK445" i="472"/>
  <c r="AL445" i="472"/>
  <c r="AM445" i="472"/>
  <c r="AN445" i="472"/>
  <c r="AO445" i="472"/>
  <c r="AP445" i="472"/>
  <c r="AQ445" i="472"/>
  <c r="AR445" i="472"/>
  <c r="AS445" i="472"/>
  <c r="AT445" i="472"/>
  <c r="AU445" i="472"/>
  <c r="B446" i="472"/>
  <c r="C446" i="472"/>
  <c r="D446" i="472"/>
  <c r="E446" i="472"/>
  <c r="F446" i="472"/>
  <c r="G446" i="472"/>
  <c r="H446" i="472"/>
  <c r="I446" i="472"/>
  <c r="J446" i="472"/>
  <c r="K446" i="472"/>
  <c r="L446" i="472"/>
  <c r="M446" i="472"/>
  <c r="N446" i="472"/>
  <c r="O446" i="472"/>
  <c r="P446" i="472"/>
  <c r="Q446" i="472"/>
  <c r="R446" i="472"/>
  <c r="S446" i="472"/>
  <c r="T446" i="472"/>
  <c r="U446" i="472"/>
  <c r="V446" i="472"/>
  <c r="W446" i="472"/>
  <c r="X446" i="472"/>
  <c r="Y446" i="472"/>
  <c r="Z446" i="472"/>
  <c r="AA446" i="472"/>
  <c r="AB446" i="472"/>
  <c r="AC446" i="472"/>
  <c r="AD446" i="472"/>
  <c r="AE446" i="472"/>
  <c r="AF446" i="472"/>
  <c r="AG446" i="472"/>
  <c r="AH446" i="472"/>
  <c r="AI446" i="472"/>
  <c r="AJ446" i="472"/>
  <c r="AK446" i="472"/>
  <c r="AL446" i="472"/>
  <c r="AM446" i="472"/>
  <c r="AN446" i="472"/>
  <c r="AO446" i="472"/>
  <c r="AP446" i="472"/>
  <c r="AQ446" i="472"/>
  <c r="AR446" i="472"/>
  <c r="AS446" i="472"/>
  <c r="AT446" i="472"/>
  <c r="AU446" i="472"/>
  <c r="B447" i="472"/>
  <c r="C447" i="472"/>
  <c r="D447" i="472"/>
  <c r="E447" i="472"/>
  <c r="F447" i="472"/>
  <c r="G447" i="472"/>
  <c r="H447" i="472"/>
  <c r="I447" i="472"/>
  <c r="J447" i="472"/>
  <c r="K447" i="472"/>
  <c r="L447" i="472"/>
  <c r="M447" i="472"/>
  <c r="N447" i="472"/>
  <c r="O447" i="472"/>
  <c r="P447" i="472"/>
  <c r="Q447" i="472"/>
  <c r="R447" i="472"/>
  <c r="S447" i="472"/>
  <c r="T447" i="472"/>
  <c r="U447" i="472"/>
  <c r="V447" i="472"/>
  <c r="W447" i="472"/>
  <c r="X447" i="472"/>
  <c r="Y447" i="472"/>
  <c r="Z447" i="472"/>
  <c r="AA447" i="472"/>
  <c r="AB447" i="472"/>
  <c r="AC447" i="472"/>
  <c r="AD447" i="472"/>
  <c r="AE447" i="472"/>
  <c r="AF447" i="472"/>
  <c r="AG447" i="472"/>
  <c r="AH447" i="472"/>
  <c r="AI447" i="472"/>
  <c r="AJ447" i="472"/>
  <c r="AK447" i="472"/>
  <c r="AL447" i="472"/>
  <c r="AM447" i="472"/>
  <c r="AN447" i="472"/>
  <c r="AO447" i="472"/>
  <c r="AP447" i="472"/>
  <c r="AQ447" i="472"/>
  <c r="AR447" i="472"/>
  <c r="AS447" i="472"/>
  <c r="AT447" i="472"/>
  <c r="AU447" i="472"/>
  <c r="B448" i="472"/>
  <c r="C448" i="472"/>
  <c r="D448" i="472"/>
  <c r="E448" i="472"/>
  <c r="F448" i="472"/>
  <c r="G448" i="472"/>
  <c r="H448" i="472"/>
  <c r="I448" i="472"/>
  <c r="J448" i="472"/>
  <c r="K448" i="472"/>
  <c r="L448" i="472"/>
  <c r="M448" i="472"/>
  <c r="N448" i="472"/>
  <c r="O448" i="472"/>
  <c r="P448" i="472"/>
  <c r="Q448" i="472"/>
  <c r="R448" i="472"/>
  <c r="S448" i="472"/>
  <c r="T448" i="472"/>
  <c r="U448" i="472"/>
  <c r="V448" i="472"/>
  <c r="W448" i="472"/>
  <c r="X448" i="472"/>
  <c r="Y448" i="472"/>
  <c r="Z448" i="472"/>
  <c r="AA448" i="472"/>
  <c r="AB448" i="472"/>
  <c r="AC448" i="472"/>
  <c r="AD448" i="472"/>
  <c r="AE448" i="472"/>
  <c r="AF448" i="472"/>
  <c r="AG448" i="472"/>
  <c r="AH448" i="472"/>
  <c r="AI448" i="472"/>
  <c r="AJ448" i="472"/>
  <c r="AK448" i="472"/>
  <c r="AL448" i="472"/>
  <c r="AM448" i="472"/>
  <c r="AN448" i="472"/>
  <c r="AO448" i="472"/>
  <c r="AP448" i="472"/>
  <c r="AQ448" i="472"/>
  <c r="AR448" i="472"/>
  <c r="AS448" i="472"/>
  <c r="AT448" i="472"/>
  <c r="AU448" i="472"/>
  <c r="B449" i="472"/>
  <c r="C449" i="472"/>
  <c r="D449" i="472"/>
  <c r="E449" i="472"/>
  <c r="F449" i="472"/>
  <c r="G449" i="472"/>
  <c r="H449" i="472"/>
  <c r="I449" i="472"/>
  <c r="J449" i="472"/>
  <c r="K449" i="472"/>
  <c r="L449" i="472"/>
  <c r="M449" i="472"/>
  <c r="N449" i="472"/>
  <c r="O449" i="472"/>
  <c r="P449" i="472"/>
  <c r="Q449" i="472"/>
  <c r="R449" i="472"/>
  <c r="S449" i="472"/>
  <c r="T449" i="472"/>
  <c r="U449" i="472"/>
  <c r="V449" i="472"/>
  <c r="W449" i="472"/>
  <c r="X449" i="472"/>
  <c r="Y449" i="472"/>
  <c r="Z449" i="472"/>
  <c r="AA449" i="472"/>
  <c r="AB449" i="472"/>
  <c r="AC449" i="472"/>
  <c r="AD449" i="472"/>
  <c r="AE449" i="472"/>
  <c r="AF449" i="472"/>
  <c r="AG449" i="472"/>
  <c r="AH449" i="472"/>
  <c r="AI449" i="472"/>
  <c r="AJ449" i="472"/>
  <c r="AK449" i="472"/>
  <c r="AL449" i="472"/>
  <c r="AM449" i="472"/>
  <c r="AN449" i="472"/>
  <c r="AO449" i="472"/>
  <c r="AP449" i="472"/>
  <c r="AQ449" i="472"/>
  <c r="AR449" i="472"/>
  <c r="AS449" i="472"/>
  <c r="AT449" i="472"/>
  <c r="AU449" i="472"/>
  <c r="B450" i="472"/>
  <c r="C450" i="472"/>
  <c r="D450" i="472"/>
  <c r="E450" i="472"/>
  <c r="F450" i="472"/>
  <c r="G450" i="472"/>
  <c r="H450" i="472"/>
  <c r="I450" i="472"/>
  <c r="J450" i="472"/>
  <c r="K450" i="472"/>
  <c r="L450" i="472"/>
  <c r="M450" i="472"/>
  <c r="N450" i="472"/>
  <c r="O450" i="472"/>
  <c r="P450" i="472"/>
  <c r="Q450" i="472"/>
  <c r="R450" i="472"/>
  <c r="S450" i="472"/>
  <c r="T450" i="472"/>
  <c r="U450" i="472"/>
  <c r="V450" i="472"/>
  <c r="W450" i="472"/>
  <c r="X450" i="472"/>
  <c r="Y450" i="472"/>
  <c r="Z450" i="472"/>
  <c r="AA450" i="472"/>
  <c r="AB450" i="472"/>
  <c r="AC450" i="472"/>
  <c r="AD450" i="472"/>
  <c r="AE450" i="472"/>
  <c r="AF450" i="472"/>
  <c r="AG450" i="472"/>
  <c r="AH450" i="472"/>
  <c r="AI450" i="472"/>
  <c r="AJ450" i="472"/>
  <c r="AK450" i="472"/>
  <c r="AL450" i="472"/>
  <c r="AM450" i="472"/>
  <c r="AN450" i="472"/>
  <c r="AO450" i="472"/>
  <c r="AP450" i="472"/>
  <c r="AQ450" i="472"/>
  <c r="AR450" i="472"/>
  <c r="AS450" i="472"/>
  <c r="AT450" i="472"/>
  <c r="AU450" i="472"/>
  <c r="B451" i="472"/>
  <c r="C451" i="472"/>
  <c r="D451" i="472"/>
  <c r="E451" i="472"/>
  <c r="F451" i="472"/>
  <c r="G451" i="472"/>
  <c r="H451" i="472"/>
  <c r="I451" i="472"/>
  <c r="J451" i="472"/>
  <c r="K451" i="472"/>
  <c r="L451" i="472"/>
  <c r="M451" i="472"/>
  <c r="N451" i="472"/>
  <c r="O451" i="472"/>
  <c r="P451" i="472"/>
  <c r="Q451" i="472"/>
  <c r="R451" i="472"/>
  <c r="S451" i="472"/>
  <c r="T451" i="472"/>
  <c r="U451" i="472"/>
  <c r="V451" i="472"/>
  <c r="W451" i="472"/>
  <c r="X451" i="472"/>
  <c r="Y451" i="472"/>
  <c r="Z451" i="472"/>
  <c r="AA451" i="472"/>
  <c r="AB451" i="472"/>
  <c r="AC451" i="472"/>
  <c r="AD451" i="472"/>
  <c r="AE451" i="472"/>
  <c r="AF451" i="472"/>
  <c r="AG451" i="472"/>
  <c r="AH451" i="472"/>
  <c r="AI451" i="472"/>
  <c r="AJ451" i="472"/>
  <c r="AK451" i="472"/>
  <c r="AL451" i="472"/>
  <c r="AM451" i="472"/>
  <c r="AN451" i="472"/>
  <c r="AO451" i="472"/>
  <c r="AP451" i="472"/>
  <c r="AQ451" i="472"/>
  <c r="AR451" i="472"/>
  <c r="AS451" i="472"/>
  <c r="AT451" i="472"/>
  <c r="AU451" i="472"/>
  <c r="B452" i="472"/>
  <c r="C452" i="472"/>
  <c r="D452" i="472"/>
  <c r="E452" i="472"/>
  <c r="F452" i="472"/>
  <c r="G452" i="472"/>
  <c r="H452" i="472"/>
  <c r="I452" i="472"/>
  <c r="J452" i="472"/>
  <c r="K452" i="472"/>
  <c r="L452" i="472"/>
  <c r="M452" i="472"/>
  <c r="N452" i="472"/>
  <c r="O452" i="472"/>
  <c r="P452" i="472"/>
  <c r="Q452" i="472"/>
  <c r="R452" i="472"/>
  <c r="S452" i="472"/>
  <c r="T452" i="472"/>
  <c r="U452" i="472"/>
  <c r="V452" i="472"/>
  <c r="W452" i="472"/>
  <c r="X452" i="472"/>
  <c r="Y452" i="472"/>
  <c r="Z452" i="472"/>
  <c r="AA452" i="472"/>
  <c r="AB452" i="472"/>
  <c r="AC452" i="472"/>
  <c r="AD452" i="472"/>
  <c r="AE452" i="472"/>
  <c r="AF452" i="472"/>
  <c r="AG452" i="472"/>
  <c r="AH452" i="472"/>
  <c r="AI452" i="472"/>
  <c r="AJ452" i="472"/>
  <c r="AK452" i="472"/>
  <c r="AL452" i="472"/>
  <c r="AM452" i="472"/>
  <c r="AN452" i="472"/>
  <c r="AO452" i="472"/>
  <c r="AP452" i="472"/>
  <c r="AQ452" i="472"/>
  <c r="AR452" i="472"/>
  <c r="AS452" i="472"/>
  <c r="AT452" i="472"/>
  <c r="AU452" i="472"/>
  <c r="B453" i="472"/>
  <c r="C453" i="472"/>
  <c r="D453" i="472"/>
  <c r="E453" i="472"/>
  <c r="F453" i="472"/>
  <c r="G453" i="472"/>
  <c r="H453" i="472"/>
  <c r="I453" i="472"/>
  <c r="J453" i="472"/>
  <c r="K453" i="472"/>
  <c r="L453" i="472"/>
  <c r="M453" i="472"/>
  <c r="N453" i="472"/>
  <c r="O453" i="472"/>
  <c r="P453" i="472"/>
  <c r="Q453" i="472"/>
  <c r="R453" i="472"/>
  <c r="S453" i="472"/>
  <c r="T453" i="472"/>
  <c r="U453" i="472"/>
  <c r="V453" i="472"/>
  <c r="W453" i="472"/>
  <c r="X453" i="472"/>
  <c r="Y453" i="472"/>
  <c r="Z453" i="472"/>
  <c r="AA453" i="472"/>
  <c r="AB453" i="472"/>
  <c r="AC453" i="472"/>
  <c r="AD453" i="472"/>
  <c r="AE453" i="472"/>
  <c r="AF453" i="472"/>
  <c r="AG453" i="472"/>
  <c r="AH453" i="472"/>
  <c r="AI453" i="472"/>
  <c r="AJ453" i="472"/>
  <c r="AK453" i="472"/>
  <c r="AL453" i="472"/>
  <c r="AM453" i="472"/>
  <c r="AN453" i="472"/>
  <c r="AO453" i="472"/>
  <c r="AP453" i="472"/>
  <c r="AQ453" i="472"/>
  <c r="AR453" i="472"/>
  <c r="AS453" i="472"/>
  <c r="AT453" i="472"/>
  <c r="AU453" i="472"/>
  <c r="B454" i="472"/>
  <c r="C454" i="472"/>
  <c r="D454" i="472"/>
  <c r="E454" i="472"/>
  <c r="F454" i="472"/>
  <c r="G454" i="472"/>
  <c r="H454" i="472"/>
  <c r="I454" i="472"/>
  <c r="J454" i="472"/>
  <c r="K454" i="472"/>
  <c r="L454" i="472"/>
  <c r="M454" i="472"/>
  <c r="N454" i="472"/>
  <c r="O454" i="472"/>
  <c r="P454" i="472"/>
  <c r="Q454" i="472"/>
  <c r="R454" i="472"/>
  <c r="S454" i="472"/>
  <c r="T454" i="472"/>
  <c r="U454" i="472"/>
  <c r="V454" i="472"/>
  <c r="W454" i="472"/>
  <c r="X454" i="472"/>
  <c r="Y454" i="472"/>
  <c r="Z454" i="472"/>
  <c r="AA454" i="472"/>
  <c r="AB454" i="472"/>
  <c r="AC454" i="472"/>
  <c r="AD454" i="472"/>
  <c r="AE454" i="472"/>
  <c r="AF454" i="472"/>
  <c r="AG454" i="472"/>
  <c r="AH454" i="472"/>
  <c r="AI454" i="472"/>
  <c r="AJ454" i="472"/>
  <c r="AK454" i="472"/>
  <c r="AL454" i="472"/>
  <c r="AM454" i="472"/>
  <c r="AN454" i="472"/>
  <c r="AO454" i="472"/>
  <c r="AP454" i="472"/>
  <c r="AQ454" i="472"/>
  <c r="AR454" i="472"/>
  <c r="AS454" i="472"/>
  <c r="AT454" i="472"/>
  <c r="AU454" i="472"/>
  <c r="B455" i="472"/>
  <c r="C455" i="472"/>
  <c r="D455" i="472"/>
  <c r="E455" i="472"/>
  <c r="F455" i="472"/>
  <c r="G455" i="472"/>
  <c r="H455" i="472"/>
  <c r="I455" i="472"/>
  <c r="J455" i="472"/>
  <c r="K455" i="472"/>
  <c r="L455" i="472"/>
  <c r="M455" i="472"/>
  <c r="N455" i="472"/>
  <c r="O455" i="472"/>
  <c r="P455" i="472"/>
  <c r="Q455" i="472"/>
  <c r="R455" i="472"/>
  <c r="S455" i="472"/>
  <c r="T455" i="472"/>
  <c r="U455" i="472"/>
  <c r="V455" i="472"/>
  <c r="W455" i="472"/>
  <c r="X455" i="472"/>
  <c r="Y455" i="472"/>
  <c r="Z455" i="472"/>
  <c r="AA455" i="472"/>
  <c r="AB455" i="472"/>
  <c r="AC455" i="472"/>
  <c r="AD455" i="472"/>
  <c r="AE455" i="472"/>
  <c r="AF455" i="472"/>
  <c r="AG455" i="472"/>
  <c r="AH455" i="472"/>
  <c r="AI455" i="472"/>
  <c r="AJ455" i="472"/>
  <c r="AK455" i="472"/>
  <c r="AL455" i="472"/>
  <c r="AM455" i="472"/>
  <c r="AN455" i="472"/>
  <c r="AO455" i="472"/>
  <c r="AP455" i="472"/>
  <c r="AQ455" i="472"/>
  <c r="AR455" i="472"/>
  <c r="AS455" i="472"/>
  <c r="AT455" i="472"/>
  <c r="AU455" i="472"/>
  <c r="B456" i="472"/>
  <c r="C456" i="472"/>
  <c r="D456" i="472"/>
  <c r="E456" i="472"/>
  <c r="F456" i="472"/>
  <c r="G456" i="472"/>
  <c r="H456" i="472"/>
  <c r="I456" i="472"/>
  <c r="J456" i="472"/>
  <c r="K456" i="472"/>
  <c r="L456" i="472"/>
  <c r="M456" i="472"/>
  <c r="N456" i="472"/>
  <c r="O456" i="472"/>
  <c r="P456" i="472"/>
  <c r="Q456" i="472"/>
  <c r="R456" i="472"/>
  <c r="S456" i="472"/>
  <c r="T456" i="472"/>
  <c r="U456" i="472"/>
  <c r="V456" i="472"/>
  <c r="W456" i="472"/>
  <c r="X456" i="472"/>
  <c r="Y456" i="472"/>
  <c r="Z456" i="472"/>
  <c r="AA456" i="472"/>
  <c r="AB456" i="472"/>
  <c r="AC456" i="472"/>
  <c r="AD456" i="472"/>
  <c r="AE456" i="472"/>
  <c r="AF456" i="472"/>
  <c r="AG456" i="472"/>
  <c r="AH456" i="472"/>
  <c r="AI456" i="472"/>
  <c r="AJ456" i="472"/>
  <c r="AK456" i="472"/>
  <c r="AL456" i="472"/>
  <c r="AM456" i="472"/>
  <c r="AN456" i="472"/>
  <c r="AO456" i="472"/>
  <c r="AP456" i="472"/>
  <c r="AQ456" i="472"/>
  <c r="AR456" i="472"/>
  <c r="AS456" i="472"/>
  <c r="AT456" i="472"/>
  <c r="AU456" i="472"/>
  <c r="B457" i="472"/>
  <c r="C457" i="472"/>
  <c r="D457" i="472"/>
  <c r="E457" i="472"/>
  <c r="F457" i="472"/>
  <c r="G457" i="472"/>
  <c r="H457" i="472"/>
  <c r="I457" i="472"/>
  <c r="J457" i="472"/>
  <c r="K457" i="472"/>
  <c r="L457" i="472"/>
  <c r="M457" i="472"/>
  <c r="N457" i="472"/>
  <c r="O457" i="472"/>
  <c r="P457" i="472"/>
  <c r="Q457" i="472"/>
  <c r="R457" i="472"/>
  <c r="S457" i="472"/>
  <c r="T457" i="472"/>
  <c r="U457" i="472"/>
  <c r="V457" i="472"/>
  <c r="W457" i="472"/>
  <c r="X457" i="472"/>
  <c r="Y457" i="472"/>
  <c r="Z457" i="472"/>
  <c r="AA457" i="472"/>
  <c r="AB457" i="472"/>
  <c r="AC457" i="472"/>
  <c r="AD457" i="472"/>
  <c r="AE457" i="472"/>
  <c r="AF457" i="472"/>
  <c r="AG457" i="472"/>
  <c r="AH457" i="472"/>
  <c r="AI457" i="472"/>
  <c r="AJ457" i="472"/>
  <c r="AK457" i="472"/>
  <c r="AL457" i="472"/>
  <c r="AM457" i="472"/>
  <c r="AN457" i="472"/>
  <c r="AO457" i="472"/>
  <c r="AP457" i="472"/>
  <c r="AQ457" i="472"/>
  <c r="AR457" i="472"/>
  <c r="AS457" i="472"/>
  <c r="AT457" i="472"/>
  <c r="AU457" i="472"/>
  <c r="B342" i="463"/>
  <c r="C342" i="463"/>
  <c r="D342" i="463"/>
  <c r="E342" i="463"/>
  <c r="F342" i="463"/>
  <c r="G342" i="463"/>
  <c r="H342" i="463"/>
  <c r="I342" i="463"/>
  <c r="J342" i="463"/>
  <c r="K342" i="463"/>
  <c r="L342" i="463"/>
  <c r="M342" i="463"/>
  <c r="N342" i="463"/>
  <c r="O342" i="463"/>
  <c r="P342" i="463"/>
  <c r="Q342" i="463"/>
  <c r="R342" i="463"/>
  <c r="S342" i="463"/>
  <c r="T342" i="463"/>
  <c r="U342" i="463"/>
  <c r="V342" i="463"/>
  <c r="W342" i="463"/>
  <c r="X342" i="463"/>
  <c r="Y342" i="463"/>
  <c r="Z342" i="463"/>
  <c r="AA342" i="463"/>
  <c r="AB342" i="463"/>
  <c r="AC342" i="463"/>
  <c r="AD342" i="463"/>
  <c r="AE342" i="463"/>
  <c r="AF342" i="463"/>
  <c r="AG342" i="463"/>
  <c r="AH342" i="463"/>
  <c r="AI342" i="463"/>
  <c r="AJ342" i="463"/>
  <c r="AK342" i="463"/>
  <c r="AL342" i="463"/>
  <c r="B343" i="463"/>
  <c r="C343" i="463"/>
  <c r="D343" i="463"/>
  <c r="E343" i="463"/>
  <c r="F343" i="463"/>
  <c r="G343" i="463"/>
  <c r="H343" i="463"/>
  <c r="I343" i="463"/>
  <c r="J343" i="463"/>
  <c r="K343" i="463"/>
  <c r="L343" i="463"/>
  <c r="M343" i="463"/>
  <c r="N343" i="463"/>
  <c r="O343" i="463"/>
  <c r="P343" i="463"/>
  <c r="Q343" i="463"/>
  <c r="R343" i="463"/>
  <c r="S343" i="463"/>
  <c r="T343" i="463"/>
  <c r="U343" i="463"/>
  <c r="V343" i="463"/>
  <c r="W343" i="463"/>
  <c r="X343" i="463"/>
  <c r="Y343" i="463"/>
  <c r="Z343" i="463"/>
  <c r="AA343" i="463"/>
  <c r="AB343" i="463"/>
  <c r="AC343" i="463"/>
  <c r="AD343" i="463"/>
  <c r="AE343" i="463"/>
  <c r="AF343" i="463"/>
  <c r="AG343" i="463"/>
  <c r="AH343" i="463"/>
  <c r="AI343" i="463"/>
  <c r="AJ343" i="463"/>
  <c r="AK343" i="463"/>
  <c r="AL343" i="463"/>
  <c r="B344" i="463"/>
  <c r="C344" i="463"/>
  <c r="D344" i="463"/>
  <c r="E344" i="463"/>
  <c r="F344" i="463"/>
  <c r="G344" i="463"/>
  <c r="H344" i="463"/>
  <c r="I344" i="463"/>
  <c r="J344" i="463"/>
  <c r="K344" i="463"/>
  <c r="L344" i="463"/>
  <c r="M344" i="463"/>
  <c r="N344" i="463"/>
  <c r="O344" i="463"/>
  <c r="P344" i="463"/>
  <c r="Q344" i="463"/>
  <c r="R344" i="463"/>
  <c r="S344" i="463"/>
  <c r="T344" i="463"/>
  <c r="U344" i="463"/>
  <c r="V344" i="463"/>
  <c r="W344" i="463"/>
  <c r="X344" i="463"/>
  <c r="Y344" i="463"/>
  <c r="Z344" i="463"/>
  <c r="AA344" i="463"/>
  <c r="AB344" i="463"/>
  <c r="AC344" i="463"/>
  <c r="AD344" i="463"/>
  <c r="AE344" i="463"/>
  <c r="AF344" i="463"/>
  <c r="AG344" i="463"/>
  <c r="AH344" i="463"/>
  <c r="AI344" i="463"/>
  <c r="AJ344" i="463"/>
  <c r="AK344" i="463"/>
  <c r="AL344" i="463"/>
  <c r="B345" i="463"/>
  <c r="C345" i="463"/>
  <c r="D345" i="463"/>
  <c r="E345" i="463"/>
  <c r="F345" i="463"/>
  <c r="G345" i="463"/>
  <c r="H345" i="463"/>
  <c r="I345" i="463"/>
  <c r="J345" i="463"/>
  <c r="K345" i="463"/>
  <c r="L345" i="463"/>
  <c r="M345" i="463"/>
  <c r="N345" i="463"/>
  <c r="O345" i="463"/>
  <c r="P345" i="463"/>
  <c r="Q345" i="463"/>
  <c r="R345" i="463"/>
  <c r="S345" i="463"/>
  <c r="T345" i="463"/>
  <c r="U345" i="463"/>
  <c r="V345" i="463"/>
  <c r="W345" i="463"/>
  <c r="X345" i="463"/>
  <c r="Y345" i="463"/>
  <c r="Z345" i="463"/>
  <c r="AA345" i="463"/>
  <c r="AB345" i="463"/>
  <c r="AC345" i="463"/>
  <c r="AD345" i="463"/>
  <c r="AE345" i="463"/>
  <c r="AF345" i="463"/>
  <c r="AG345" i="463"/>
  <c r="AH345" i="463"/>
  <c r="AI345" i="463"/>
  <c r="AJ345" i="463"/>
  <c r="AK345" i="463"/>
  <c r="AL345" i="463"/>
  <c r="B346" i="463"/>
  <c r="C346" i="463"/>
  <c r="D346" i="463"/>
  <c r="E346" i="463"/>
  <c r="F346" i="463"/>
  <c r="G346" i="463"/>
  <c r="H346" i="463"/>
  <c r="I346" i="463"/>
  <c r="J346" i="463"/>
  <c r="K346" i="463"/>
  <c r="L346" i="463"/>
  <c r="M346" i="463"/>
  <c r="N346" i="463"/>
  <c r="O346" i="463"/>
  <c r="P346" i="463"/>
  <c r="Q346" i="463"/>
  <c r="R346" i="463"/>
  <c r="S346" i="463"/>
  <c r="T346" i="463"/>
  <c r="U346" i="463"/>
  <c r="V346" i="463"/>
  <c r="W346" i="463"/>
  <c r="X346" i="463"/>
  <c r="Y346" i="463"/>
  <c r="Z346" i="463"/>
  <c r="AA346" i="463"/>
  <c r="AB346" i="463"/>
  <c r="AC346" i="463"/>
  <c r="AD346" i="463"/>
  <c r="AE346" i="463"/>
  <c r="AF346" i="463"/>
  <c r="AG346" i="463"/>
  <c r="AH346" i="463"/>
  <c r="AI346" i="463"/>
  <c r="AJ346" i="463"/>
  <c r="AK346" i="463"/>
  <c r="AL346" i="463"/>
  <c r="B347" i="463"/>
  <c r="C347" i="463"/>
  <c r="D347" i="463"/>
  <c r="E347" i="463"/>
  <c r="F347" i="463"/>
  <c r="G347" i="463"/>
  <c r="H347" i="463"/>
  <c r="I347" i="463"/>
  <c r="J347" i="463"/>
  <c r="K347" i="463"/>
  <c r="L347" i="463"/>
  <c r="M347" i="463"/>
  <c r="N347" i="463"/>
  <c r="O347" i="463"/>
  <c r="P347" i="463"/>
  <c r="Q347" i="463"/>
  <c r="R347" i="463"/>
  <c r="S347" i="463"/>
  <c r="T347" i="463"/>
  <c r="U347" i="463"/>
  <c r="V347" i="463"/>
  <c r="W347" i="463"/>
  <c r="X347" i="463"/>
  <c r="Y347" i="463"/>
  <c r="Z347" i="463"/>
  <c r="AA347" i="463"/>
  <c r="AB347" i="463"/>
  <c r="AC347" i="463"/>
  <c r="AD347" i="463"/>
  <c r="AE347" i="463"/>
  <c r="AF347" i="463"/>
  <c r="AG347" i="463"/>
  <c r="AH347" i="463"/>
  <c r="AI347" i="463"/>
  <c r="AJ347" i="463"/>
  <c r="AK347" i="463"/>
  <c r="AL347" i="463"/>
  <c r="B348" i="463"/>
  <c r="C348" i="463"/>
  <c r="D348" i="463"/>
  <c r="E348" i="463"/>
  <c r="F348" i="463"/>
  <c r="G348" i="463"/>
  <c r="H348" i="463"/>
  <c r="I348" i="463"/>
  <c r="J348" i="463"/>
  <c r="K348" i="463"/>
  <c r="L348" i="463"/>
  <c r="M348" i="463"/>
  <c r="N348" i="463"/>
  <c r="O348" i="463"/>
  <c r="P348" i="463"/>
  <c r="Q348" i="463"/>
  <c r="R348" i="463"/>
  <c r="S348" i="463"/>
  <c r="T348" i="463"/>
  <c r="U348" i="463"/>
  <c r="V348" i="463"/>
  <c r="W348" i="463"/>
  <c r="X348" i="463"/>
  <c r="Y348" i="463"/>
  <c r="Z348" i="463"/>
  <c r="AA348" i="463"/>
  <c r="AB348" i="463"/>
  <c r="AC348" i="463"/>
  <c r="AD348" i="463"/>
  <c r="AE348" i="463"/>
  <c r="AF348" i="463"/>
  <c r="AG348" i="463"/>
  <c r="AH348" i="463"/>
  <c r="AI348" i="463"/>
  <c r="AJ348" i="463"/>
  <c r="AK348" i="463"/>
  <c r="AL348" i="463"/>
  <c r="B349" i="463"/>
  <c r="C349" i="463"/>
  <c r="D349" i="463"/>
  <c r="E349" i="463"/>
  <c r="F349" i="463"/>
  <c r="G349" i="463"/>
  <c r="H349" i="463"/>
  <c r="I349" i="463"/>
  <c r="J349" i="463"/>
  <c r="K349" i="463"/>
  <c r="L349" i="463"/>
  <c r="M349" i="463"/>
  <c r="N349" i="463"/>
  <c r="O349" i="463"/>
  <c r="P349" i="463"/>
  <c r="Q349" i="463"/>
  <c r="R349" i="463"/>
  <c r="S349" i="463"/>
  <c r="T349" i="463"/>
  <c r="U349" i="463"/>
  <c r="V349" i="463"/>
  <c r="W349" i="463"/>
  <c r="X349" i="463"/>
  <c r="Y349" i="463"/>
  <c r="Z349" i="463"/>
  <c r="AA349" i="463"/>
  <c r="AB349" i="463"/>
  <c r="AC349" i="463"/>
  <c r="AD349" i="463"/>
  <c r="AE349" i="463"/>
  <c r="AF349" i="463"/>
  <c r="AG349" i="463"/>
  <c r="AH349" i="463"/>
  <c r="AI349" i="463"/>
  <c r="AJ349" i="463"/>
  <c r="AK349" i="463"/>
  <c r="AL349" i="463"/>
  <c r="B350" i="463"/>
  <c r="C350" i="463"/>
  <c r="D350" i="463"/>
  <c r="E350" i="463"/>
  <c r="F350" i="463"/>
  <c r="G350" i="463"/>
  <c r="H350" i="463"/>
  <c r="I350" i="463"/>
  <c r="J350" i="463"/>
  <c r="K350" i="463"/>
  <c r="L350" i="463"/>
  <c r="M350" i="463"/>
  <c r="N350" i="463"/>
  <c r="O350" i="463"/>
  <c r="P350" i="463"/>
  <c r="Q350" i="463"/>
  <c r="R350" i="463"/>
  <c r="S350" i="463"/>
  <c r="T350" i="463"/>
  <c r="U350" i="463"/>
  <c r="V350" i="463"/>
  <c r="W350" i="463"/>
  <c r="X350" i="463"/>
  <c r="Y350" i="463"/>
  <c r="Z350" i="463"/>
  <c r="AA350" i="463"/>
  <c r="AB350" i="463"/>
  <c r="AC350" i="463"/>
  <c r="AD350" i="463"/>
  <c r="AE350" i="463"/>
  <c r="AF350" i="463"/>
  <c r="AG350" i="463"/>
  <c r="AH350" i="463"/>
  <c r="AI350" i="463"/>
  <c r="AJ350" i="463"/>
  <c r="AK350" i="463"/>
  <c r="AL350" i="463"/>
  <c r="B351" i="463"/>
  <c r="C351" i="463"/>
  <c r="D351" i="463"/>
  <c r="E351" i="463"/>
  <c r="F351" i="463"/>
  <c r="G351" i="463"/>
  <c r="H351" i="463"/>
  <c r="I351" i="463"/>
  <c r="J351" i="463"/>
  <c r="K351" i="463"/>
  <c r="L351" i="463"/>
  <c r="M351" i="463"/>
  <c r="N351" i="463"/>
  <c r="O351" i="463"/>
  <c r="P351" i="463"/>
  <c r="Q351" i="463"/>
  <c r="R351" i="463"/>
  <c r="S351" i="463"/>
  <c r="T351" i="463"/>
  <c r="U351" i="463"/>
  <c r="V351" i="463"/>
  <c r="W351" i="463"/>
  <c r="X351" i="463"/>
  <c r="Y351" i="463"/>
  <c r="Z351" i="463"/>
  <c r="AA351" i="463"/>
  <c r="AB351" i="463"/>
  <c r="AC351" i="463"/>
  <c r="AD351" i="463"/>
  <c r="AE351" i="463"/>
  <c r="AF351" i="463"/>
  <c r="AG351" i="463"/>
  <c r="AH351" i="463"/>
  <c r="AI351" i="463"/>
  <c r="AJ351" i="463"/>
  <c r="AK351" i="463"/>
  <c r="AL351" i="463"/>
  <c r="B352" i="463"/>
  <c r="C352" i="463"/>
  <c r="D352" i="463"/>
  <c r="E352" i="463"/>
  <c r="F352" i="463"/>
  <c r="G352" i="463"/>
  <c r="H352" i="463"/>
  <c r="I352" i="463"/>
  <c r="J352" i="463"/>
  <c r="K352" i="463"/>
  <c r="L352" i="463"/>
  <c r="M352" i="463"/>
  <c r="N352" i="463"/>
  <c r="O352" i="463"/>
  <c r="P352" i="463"/>
  <c r="Q352" i="463"/>
  <c r="R352" i="463"/>
  <c r="S352" i="463"/>
  <c r="T352" i="463"/>
  <c r="U352" i="463"/>
  <c r="V352" i="463"/>
  <c r="W352" i="463"/>
  <c r="X352" i="463"/>
  <c r="Y352" i="463"/>
  <c r="Z352" i="463"/>
  <c r="AA352" i="463"/>
  <c r="AB352" i="463"/>
  <c r="AC352" i="463"/>
  <c r="AD352" i="463"/>
  <c r="AE352" i="463"/>
  <c r="AF352" i="463"/>
  <c r="AG352" i="463"/>
  <c r="AH352" i="463"/>
  <c r="AI352" i="463"/>
  <c r="AJ352" i="463"/>
  <c r="AK352" i="463"/>
  <c r="AL352" i="463"/>
  <c r="B353" i="463"/>
  <c r="C353" i="463"/>
  <c r="D353" i="463"/>
  <c r="E353" i="463"/>
  <c r="F353" i="463"/>
  <c r="G353" i="463"/>
  <c r="H353" i="463"/>
  <c r="I353" i="463"/>
  <c r="J353" i="463"/>
  <c r="K353" i="463"/>
  <c r="L353" i="463"/>
  <c r="M353" i="463"/>
  <c r="N353" i="463"/>
  <c r="O353" i="463"/>
  <c r="P353" i="463"/>
  <c r="Q353" i="463"/>
  <c r="R353" i="463"/>
  <c r="S353" i="463"/>
  <c r="T353" i="463"/>
  <c r="U353" i="463"/>
  <c r="V353" i="463"/>
  <c r="W353" i="463"/>
  <c r="X353" i="463"/>
  <c r="Y353" i="463"/>
  <c r="Z353" i="463"/>
  <c r="AA353" i="463"/>
  <c r="AB353" i="463"/>
  <c r="AC353" i="463"/>
  <c r="AD353" i="463"/>
  <c r="AE353" i="463"/>
  <c r="AF353" i="463"/>
  <c r="AG353" i="463"/>
  <c r="AH353" i="463"/>
  <c r="AI353" i="463"/>
  <c r="AJ353" i="463"/>
  <c r="AK353" i="463"/>
  <c r="AL353" i="463"/>
  <c r="B354" i="463"/>
  <c r="C354" i="463"/>
  <c r="D354" i="463"/>
  <c r="E354" i="463"/>
  <c r="F354" i="463"/>
  <c r="G354" i="463"/>
  <c r="H354" i="463"/>
  <c r="I354" i="463"/>
  <c r="J354" i="463"/>
  <c r="K354" i="463"/>
  <c r="L354" i="463"/>
  <c r="M354" i="463"/>
  <c r="N354" i="463"/>
  <c r="O354" i="463"/>
  <c r="P354" i="463"/>
  <c r="Q354" i="463"/>
  <c r="R354" i="463"/>
  <c r="S354" i="463"/>
  <c r="T354" i="463"/>
  <c r="U354" i="463"/>
  <c r="V354" i="463"/>
  <c r="W354" i="463"/>
  <c r="X354" i="463"/>
  <c r="Y354" i="463"/>
  <c r="Z354" i="463"/>
  <c r="AA354" i="463"/>
  <c r="AB354" i="463"/>
  <c r="AC354" i="463"/>
  <c r="AD354" i="463"/>
  <c r="AE354" i="463"/>
  <c r="AF354" i="463"/>
  <c r="AG354" i="463"/>
  <c r="AH354" i="463"/>
  <c r="AI354" i="463"/>
  <c r="AJ354" i="463"/>
  <c r="AK354" i="463"/>
  <c r="AL354" i="463"/>
  <c r="B355" i="463"/>
  <c r="C355" i="463"/>
  <c r="D355" i="463"/>
  <c r="E355" i="463"/>
  <c r="F355" i="463"/>
  <c r="G355" i="463"/>
  <c r="H355" i="463"/>
  <c r="I355" i="463"/>
  <c r="J355" i="463"/>
  <c r="K355" i="463"/>
  <c r="L355" i="463"/>
  <c r="M355" i="463"/>
  <c r="N355" i="463"/>
  <c r="O355" i="463"/>
  <c r="P355" i="463"/>
  <c r="Q355" i="463"/>
  <c r="R355" i="463"/>
  <c r="S355" i="463"/>
  <c r="T355" i="463"/>
  <c r="U355" i="463"/>
  <c r="V355" i="463"/>
  <c r="W355" i="463"/>
  <c r="X355" i="463"/>
  <c r="Y355" i="463"/>
  <c r="Z355" i="463"/>
  <c r="AA355" i="463"/>
  <c r="AB355" i="463"/>
  <c r="AC355" i="463"/>
  <c r="AD355" i="463"/>
  <c r="AE355" i="463"/>
  <c r="AF355" i="463"/>
  <c r="AG355" i="463"/>
  <c r="AH355" i="463"/>
  <c r="AI355" i="463"/>
  <c r="AJ355" i="463"/>
  <c r="AK355" i="463"/>
  <c r="AL355" i="463"/>
  <c r="B356" i="463"/>
  <c r="C356" i="463"/>
  <c r="D356" i="463"/>
  <c r="E356" i="463"/>
  <c r="F356" i="463"/>
  <c r="G356" i="463"/>
  <c r="H356" i="463"/>
  <c r="I356" i="463"/>
  <c r="J356" i="463"/>
  <c r="K356" i="463"/>
  <c r="L356" i="463"/>
  <c r="M356" i="463"/>
  <c r="N356" i="463"/>
  <c r="O356" i="463"/>
  <c r="P356" i="463"/>
  <c r="Q356" i="463"/>
  <c r="R356" i="463"/>
  <c r="S356" i="463"/>
  <c r="T356" i="463"/>
  <c r="U356" i="463"/>
  <c r="V356" i="463"/>
  <c r="W356" i="463"/>
  <c r="X356" i="463"/>
  <c r="Y356" i="463"/>
  <c r="Z356" i="463"/>
  <c r="AA356" i="463"/>
  <c r="AB356" i="463"/>
  <c r="AC356" i="463"/>
  <c r="AD356" i="463"/>
  <c r="AE356" i="463"/>
  <c r="AF356" i="463"/>
  <c r="AG356" i="463"/>
  <c r="AH356" i="463"/>
  <c r="AI356" i="463"/>
  <c r="AJ356" i="463"/>
  <c r="AK356" i="463"/>
  <c r="AL356" i="463"/>
  <c r="B357" i="463"/>
  <c r="C357" i="463"/>
  <c r="D357" i="463"/>
  <c r="E357" i="463"/>
  <c r="F357" i="463"/>
  <c r="G357" i="463"/>
  <c r="H357" i="463"/>
  <c r="I357" i="463"/>
  <c r="J357" i="463"/>
  <c r="K357" i="463"/>
  <c r="L357" i="463"/>
  <c r="M357" i="463"/>
  <c r="N357" i="463"/>
  <c r="O357" i="463"/>
  <c r="P357" i="463"/>
  <c r="Q357" i="463"/>
  <c r="R357" i="463"/>
  <c r="S357" i="463"/>
  <c r="T357" i="463"/>
  <c r="U357" i="463"/>
  <c r="V357" i="463"/>
  <c r="W357" i="463"/>
  <c r="X357" i="463"/>
  <c r="Y357" i="463"/>
  <c r="Z357" i="463"/>
  <c r="AA357" i="463"/>
  <c r="AB357" i="463"/>
  <c r="AC357" i="463"/>
  <c r="AD357" i="463"/>
  <c r="AE357" i="463"/>
  <c r="AF357" i="463"/>
  <c r="AG357" i="463"/>
  <c r="AH357" i="463"/>
  <c r="AI357" i="463"/>
  <c r="AJ357" i="463"/>
  <c r="AK357" i="463"/>
  <c r="AL357" i="463"/>
  <c r="B358" i="463"/>
  <c r="C358" i="463"/>
  <c r="D358" i="463"/>
  <c r="E358" i="463"/>
  <c r="F358" i="463"/>
  <c r="G358" i="463"/>
  <c r="H358" i="463"/>
  <c r="I358" i="463"/>
  <c r="J358" i="463"/>
  <c r="K358" i="463"/>
  <c r="L358" i="463"/>
  <c r="M358" i="463"/>
  <c r="N358" i="463"/>
  <c r="O358" i="463"/>
  <c r="P358" i="463"/>
  <c r="Q358" i="463"/>
  <c r="R358" i="463"/>
  <c r="S358" i="463"/>
  <c r="T358" i="463"/>
  <c r="U358" i="463"/>
  <c r="V358" i="463"/>
  <c r="W358" i="463"/>
  <c r="X358" i="463"/>
  <c r="Y358" i="463"/>
  <c r="Z358" i="463"/>
  <c r="AA358" i="463"/>
  <c r="AB358" i="463"/>
  <c r="AC358" i="463"/>
  <c r="AD358" i="463"/>
  <c r="AE358" i="463"/>
  <c r="AF358" i="463"/>
  <c r="AG358" i="463"/>
  <c r="AH358" i="463"/>
  <c r="AI358" i="463"/>
  <c r="AJ358" i="463"/>
  <c r="AK358" i="463"/>
  <c r="AL358" i="463"/>
  <c r="B359" i="463"/>
  <c r="C359" i="463"/>
  <c r="D359" i="463"/>
  <c r="E359" i="463"/>
  <c r="F359" i="463"/>
  <c r="G359" i="463"/>
  <c r="H359" i="463"/>
  <c r="I359" i="463"/>
  <c r="J359" i="463"/>
  <c r="K359" i="463"/>
  <c r="L359" i="463"/>
  <c r="M359" i="463"/>
  <c r="N359" i="463"/>
  <c r="O359" i="463"/>
  <c r="P359" i="463"/>
  <c r="Q359" i="463"/>
  <c r="R359" i="463"/>
  <c r="S359" i="463"/>
  <c r="T359" i="463"/>
  <c r="U359" i="463"/>
  <c r="V359" i="463"/>
  <c r="W359" i="463"/>
  <c r="X359" i="463"/>
  <c r="Y359" i="463"/>
  <c r="Z359" i="463"/>
  <c r="AA359" i="463"/>
  <c r="AB359" i="463"/>
  <c r="AC359" i="463"/>
  <c r="AD359" i="463"/>
  <c r="AE359" i="463"/>
  <c r="AF359" i="463"/>
  <c r="AG359" i="463"/>
  <c r="AH359" i="463"/>
  <c r="AI359" i="463"/>
  <c r="AJ359" i="463"/>
  <c r="AK359" i="463"/>
  <c r="AL359" i="463"/>
  <c r="B360" i="463"/>
  <c r="C360" i="463"/>
  <c r="D360" i="463"/>
  <c r="E360" i="463"/>
  <c r="F360" i="463"/>
  <c r="G360" i="463"/>
  <c r="H360" i="463"/>
  <c r="I360" i="463"/>
  <c r="J360" i="463"/>
  <c r="K360" i="463"/>
  <c r="L360" i="463"/>
  <c r="M360" i="463"/>
  <c r="N360" i="463"/>
  <c r="O360" i="463"/>
  <c r="P360" i="463"/>
  <c r="Q360" i="463"/>
  <c r="R360" i="463"/>
  <c r="S360" i="463"/>
  <c r="T360" i="463"/>
  <c r="U360" i="463"/>
  <c r="V360" i="463"/>
  <c r="W360" i="463"/>
  <c r="X360" i="463"/>
  <c r="Y360" i="463"/>
  <c r="Z360" i="463"/>
  <c r="AA360" i="463"/>
  <c r="AB360" i="463"/>
  <c r="AC360" i="463"/>
  <c r="AD360" i="463"/>
  <c r="AE360" i="463"/>
  <c r="AF360" i="463"/>
  <c r="AG360" i="463"/>
  <c r="AH360" i="463"/>
  <c r="AI360" i="463"/>
  <c r="AJ360" i="463"/>
  <c r="AK360" i="463"/>
  <c r="AL360" i="463"/>
  <c r="B361" i="463"/>
  <c r="C361" i="463"/>
  <c r="D361" i="463"/>
  <c r="E361" i="463"/>
  <c r="F361" i="463"/>
  <c r="G361" i="463"/>
  <c r="H361" i="463"/>
  <c r="I361" i="463"/>
  <c r="J361" i="463"/>
  <c r="K361" i="463"/>
  <c r="L361" i="463"/>
  <c r="M361" i="463"/>
  <c r="N361" i="463"/>
  <c r="O361" i="463"/>
  <c r="P361" i="463"/>
  <c r="Q361" i="463"/>
  <c r="R361" i="463"/>
  <c r="S361" i="463"/>
  <c r="T361" i="463"/>
  <c r="U361" i="463"/>
  <c r="V361" i="463"/>
  <c r="W361" i="463"/>
  <c r="X361" i="463"/>
  <c r="Y361" i="463"/>
  <c r="Z361" i="463"/>
  <c r="AA361" i="463"/>
  <c r="AB361" i="463"/>
  <c r="AC361" i="463"/>
  <c r="AD361" i="463"/>
  <c r="AE361" i="463"/>
  <c r="AF361" i="463"/>
  <c r="AG361" i="463"/>
  <c r="AH361" i="463"/>
  <c r="AI361" i="463"/>
  <c r="AJ361" i="463"/>
  <c r="AK361" i="463"/>
  <c r="AL361" i="463"/>
  <c r="B362" i="463"/>
  <c r="C362" i="463"/>
  <c r="D362" i="463"/>
  <c r="E362" i="463"/>
  <c r="F362" i="463"/>
  <c r="G362" i="463"/>
  <c r="H362" i="463"/>
  <c r="I362" i="463"/>
  <c r="J362" i="463"/>
  <c r="K362" i="463"/>
  <c r="L362" i="463"/>
  <c r="M362" i="463"/>
  <c r="N362" i="463"/>
  <c r="O362" i="463"/>
  <c r="P362" i="463"/>
  <c r="Q362" i="463"/>
  <c r="R362" i="463"/>
  <c r="S362" i="463"/>
  <c r="T362" i="463"/>
  <c r="U362" i="463"/>
  <c r="V362" i="463"/>
  <c r="W362" i="463"/>
  <c r="X362" i="463"/>
  <c r="Y362" i="463"/>
  <c r="Z362" i="463"/>
  <c r="AA362" i="463"/>
  <c r="AB362" i="463"/>
  <c r="AC362" i="463"/>
  <c r="AD362" i="463"/>
  <c r="AE362" i="463"/>
  <c r="AF362" i="463"/>
  <c r="AG362" i="463"/>
  <c r="AH362" i="463"/>
  <c r="AI362" i="463"/>
  <c r="AJ362" i="463"/>
  <c r="AK362" i="463"/>
  <c r="AL362" i="463"/>
  <c r="B363" i="463"/>
  <c r="C363" i="463"/>
  <c r="D363" i="463"/>
  <c r="E363" i="463"/>
  <c r="F363" i="463"/>
  <c r="G363" i="463"/>
  <c r="H363" i="463"/>
  <c r="I363" i="463"/>
  <c r="J363" i="463"/>
  <c r="K363" i="463"/>
  <c r="L363" i="463"/>
  <c r="M363" i="463"/>
  <c r="N363" i="463"/>
  <c r="O363" i="463"/>
  <c r="P363" i="463"/>
  <c r="Q363" i="463"/>
  <c r="R363" i="463"/>
  <c r="S363" i="463"/>
  <c r="T363" i="463"/>
  <c r="U363" i="463"/>
  <c r="V363" i="463"/>
  <c r="W363" i="463"/>
  <c r="X363" i="463"/>
  <c r="Y363" i="463"/>
  <c r="Z363" i="463"/>
  <c r="AA363" i="463"/>
  <c r="AB363" i="463"/>
  <c r="AC363" i="463"/>
  <c r="AD363" i="463"/>
  <c r="AE363" i="463"/>
  <c r="AF363" i="463"/>
  <c r="AG363" i="463"/>
  <c r="AH363" i="463"/>
  <c r="AI363" i="463"/>
  <c r="AJ363" i="463"/>
  <c r="AK363" i="463"/>
  <c r="AL363" i="463"/>
  <c r="B364" i="463"/>
  <c r="C364" i="463"/>
  <c r="D364" i="463"/>
  <c r="E364" i="463"/>
  <c r="F364" i="463"/>
  <c r="G364" i="463"/>
  <c r="H364" i="463"/>
  <c r="I364" i="463"/>
  <c r="J364" i="463"/>
  <c r="K364" i="463"/>
  <c r="L364" i="463"/>
  <c r="M364" i="463"/>
  <c r="N364" i="463"/>
  <c r="O364" i="463"/>
  <c r="P364" i="463"/>
  <c r="Q364" i="463"/>
  <c r="R364" i="463"/>
  <c r="S364" i="463"/>
  <c r="T364" i="463"/>
  <c r="U364" i="463"/>
  <c r="V364" i="463"/>
  <c r="W364" i="463"/>
  <c r="X364" i="463"/>
  <c r="Y364" i="463"/>
  <c r="Z364" i="463"/>
  <c r="AA364" i="463"/>
  <c r="AB364" i="463"/>
  <c r="AC364" i="463"/>
  <c r="AD364" i="463"/>
  <c r="AE364" i="463"/>
  <c r="AF364" i="463"/>
  <c r="AG364" i="463"/>
  <c r="AH364" i="463"/>
  <c r="AI364" i="463"/>
  <c r="AJ364" i="463"/>
  <c r="AK364" i="463"/>
  <c r="AL364" i="463"/>
  <c r="B365" i="463"/>
  <c r="C365" i="463"/>
  <c r="D365" i="463"/>
  <c r="E365" i="463"/>
  <c r="F365" i="463"/>
  <c r="G365" i="463"/>
  <c r="H365" i="463"/>
  <c r="I365" i="463"/>
  <c r="J365" i="463"/>
  <c r="K365" i="463"/>
  <c r="L365" i="463"/>
  <c r="M365" i="463"/>
  <c r="N365" i="463"/>
  <c r="O365" i="463"/>
  <c r="P365" i="463"/>
  <c r="Q365" i="463"/>
  <c r="R365" i="463"/>
  <c r="S365" i="463"/>
  <c r="T365" i="463"/>
  <c r="U365" i="463"/>
  <c r="V365" i="463"/>
  <c r="W365" i="463"/>
  <c r="X365" i="463"/>
  <c r="Y365" i="463"/>
  <c r="Z365" i="463"/>
  <c r="AA365" i="463"/>
  <c r="AB365" i="463"/>
  <c r="AC365" i="463"/>
  <c r="AD365" i="463"/>
  <c r="AE365" i="463"/>
  <c r="AF365" i="463"/>
  <c r="AG365" i="463"/>
  <c r="AH365" i="463"/>
  <c r="AI365" i="463"/>
  <c r="AJ365" i="463"/>
  <c r="AK365" i="463"/>
  <c r="AL365" i="463"/>
  <c r="B366" i="463"/>
  <c r="C366" i="463"/>
  <c r="D366" i="463"/>
  <c r="E366" i="463"/>
  <c r="F366" i="463"/>
  <c r="G366" i="463"/>
  <c r="H366" i="463"/>
  <c r="I366" i="463"/>
  <c r="J366" i="463"/>
  <c r="K366" i="463"/>
  <c r="L366" i="463"/>
  <c r="M366" i="463"/>
  <c r="N366" i="463"/>
  <c r="O366" i="463"/>
  <c r="P366" i="463"/>
  <c r="Q366" i="463"/>
  <c r="R366" i="463"/>
  <c r="S366" i="463"/>
  <c r="T366" i="463"/>
  <c r="U366" i="463"/>
  <c r="V366" i="463"/>
  <c r="W366" i="463"/>
  <c r="X366" i="463"/>
  <c r="Y366" i="463"/>
  <c r="Z366" i="463"/>
  <c r="AA366" i="463"/>
  <c r="AB366" i="463"/>
  <c r="AC366" i="463"/>
  <c r="AD366" i="463"/>
  <c r="AE366" i="463"/>
  <c r="AF366" i="463"/>
  <c r="AG366" i="463"/>
  <c r="AH366" i="463"/>
  <c r="AI366" i="463"/>
  <c r="AJ366" i="463"/>
  <c r="AK366" i="463"/>
  <c r="AL366" i="463"/>
  <c r="B367" i="463"/>
  <c r="C367" i="463"/>
  <c r="D367" i="463"/>
  <c r="E367" i="463"/>
  <c r="F367" i="463"/>
  <c r="G367" i="463"/>
  <c r="H367" i="463"/>
  <c r="I367" i="463"/>
  <c r="J367" i="463"/>
  <c r="K367" i="463"/>
  <c r="L367" i="463"/>
  <c r="M367" i="463"/>
  <c r="N367" i="463"/>
  <c r="O367" i="463"/>
  <c r="P367" i="463"/>
  <c r="Q367" i="463"/>
  <c r="R367" i="463"/>
  <c r="S367" i="463"/>
  <c r="T367" i="463"/>
  <c r="U367" i="463"/>
  <c r="V367" i="463"/>
  <c r="W367" i="463"/>
  <c r="X367" i="463"/>
  <c r="Y367" i="463"/>
  <c r="Z367" i="463"/>
  <c r="AA367" i="463"/>
  <c r="AB367" i="463"/>
  <c r="AC367" i="463"/>
  <c r="AD367" i="463"/>
  <c r="AE367" i="463"/>
  <c r="AF367" i="463"/>
  <c r="AG367" i="463"/>
  <c r="AH367" i="463"/>
  <c r="AI367" i="463"/>
  <c r="AJ367" i="463"/>
  <c r="AK367" i="463"/>
  <c r="AL367" i="463"/>
  <c r="B368" i="463"/>
  <c r="C368" i="463"/>
  <c r="D368" i="463"/>
  <c r="E368" i="463"/>
  <c r="F368" i="463"/>
  <c r="G368" i="463"/>
  <c r="H368" i="463"/>
  <c r="I368" i="463"/>
  <c r="J368" i="463"/>
  <c r="K368" i="463"/>
  <c r="L368" i="463"/>
  <c r="M368" i="463"/>
  <c r="N368" i="463"/>
  <c r="O368" i="463"/>
  <c r="P368" i="463"/>
  <c r="Q368" i="463"/>
  <c r="R368" i="463"/>
  <c r="S368" i="463"/>
  <c r="T368" i="463"/>
  <c r="U368" i="463"/>
  <c r="V368" i="463"/>
  <c r="W368" i="463"/>
  <c r="X368" i="463"/>
  <c r="Y368" i="463"/>
  <c r="Z368" i="463"/>
  <c r="AA368" i="463"/>
  <c r="AB368" i="463"/>
  <c r="AC368" i="463"/>
  <c r="AD368" i="463"/>
  <c r="AE368" i="463"/>
  <c r="AF368" i="463"/>
  <c r="AG368" i="463"/>
  <c r="AH368" i="463"/>
  <c r="AI368" i="463"/>
  <c r="AJ368" i="463"/>
  <c r="AK368" i="463"/>
  <c r="AL368" i="463"/>
  <c r="B369" i="463"/>
  <c r="C369" i="463"/>
  <c r="D369" i="463"/>
  <c r="E369" i="463"/>
  <c r="F369" i="463"/>
  <c r="G369" i="463"/>
  <c r="H369" i="463"/>
  <c r="I369" i="463"/>
  <c r="J369" i="463"/>
  <c r="K369" i="463"/>
  <c r="L369" i="463"/>
  <c r="M369" i="463"/>
  <c r="N369" i="463"/>
  <c r="O369" i="463"/>
  <c r="P369" i="463"/>
  <c r="Q369" i="463"/>
  <c r="R369" i="463"/>
  <c r="S369" i="463"/>
  <c r="T369" i="463"/>
  <c r="U369" i="463"/>
  <c r="V369" i="463"/>
  <c r="W369" i="463"/>
  <c r="X369" i="463"/>
  <c r="Y369" i="463"/>
  <c r="Z369" i="463"/>
  <c r="AA369" i="463"/>
  <c r="AB369" i="463"/>
  <c r="AC369" i="463"/>
  <c r="AD369" i="463"/>
  <c r="AE369" i="463"/>
  <c r="AF369" i="463"/>
  <c r="AG369" i="463"/>
  <c r="AH369" i="463"/>
  <c r="AI369" i="463"/>
  <c r="AJ369" i="463"/>
  <c r="AK369" i="463"/>
  <c r="AL369" i="463"/>
  <c r="B370" i="463"/>
  <c r="C370" i="463"/>
  <c r="D370" i="463"/>
  <c r="E370" i="463"/>
  <c r="F370" i="463"/>
  <c r="G370" i="463"/>
  <c r="H370" i="463"/>
  <c r="I370" i="463"/>
  <c r="J370" i="463"/>
  <c r="K370" i="463"/>
  <c r="L370" i="463"/>
  <c r="M370" i="463"/>
  <c r="N370" i="463"/>
  <c r="O370" i="463"/>
  <c r="P370" i="463"/>
  <c r="Q370" i="463"/>
  <c r="R370" i="463"/>
  <c r="S370" i="463"/>
  <c r="T370" i="463"/>
  <c r="U370" i="463"/>
  <c r="V370" i="463"/>
  <c r="W370" i="463"/>
  <c r="X370" i="463"/>
  <c r="Y370" i="463"/>
  <c r="Z370" i="463"/>
  <c r="AA370" i="463"/>
  <c r="AB370" i="463"/>
  <c r="AC370" i="463"/>
  <c r="AD370" i="463"/>
  <c r="AE370" i="463"/>
  <c r="AF370" i="463"/>
  <c r="AG370" i="463"/>
  <c r="AH370" i="463"/>
  <c r="AI370" i="463"/>
  <c r="AJ370" i="463"/>
  <c r="AK370" i="463"/>
  <c r="AL370" i="463"/>
  <c r="B371" i="463"/>
  <c r="C371" i="463"/>
  <c r="D371" i="463"/>
  <c r="E371" i="463"/>
  <c r="F371" i="463"/>
  <c r="G371" i="463"/>
  <c r="H371" i="463"/>
  <c r="I371" i="463"/>
  <c r="J371" i="463"/>
  <c r="K371" i="463"/>
  <c r="L371" i="463"/>
  <c r="M371" i="463"/>
  <c r="N371" i="463"/>
  <c r="O371" i="463"/>
  <c r="P371" i="463"/>
  <c r="Q371" i="463"/>
  <c r="R371" i="463"/>
  <c r="S371" i="463"/>
  <c r="T371" i="463"/>
  <c r="U371" i="463"/>
  <c r="V371" i="463"/>
  <c r="W371" i="463"/>
  <c r="X371" i="463"/>
  <c r="Y371" i="463"/>
  <c r="Z371" i="463"/>
  <c r="AA371" i="463"/>
  <c r="AB371" i="463"/>
  <c r="AC371" i="463"/>
  <c r="AD371" i="463"/>
  <c r="AE371" i="463"/>
  <c r="AF371" i="463"/>
  <c r="AG371" i="463"/>
  <c r="AH371" i="463"/>
  <c r="AI371" i="463"/>
  <c r="AJ371" i="463"/>
  <c r="AK371" i="463"/>
  <c r="AL371" i="463"/>
  <c r="B372" i="463"/>
  <c r="C372" i="463"/>
  <c r="D372" i="463"/>
  <c r="E372" i="463"/>
  <c r="F372" i="463"/>
  <c r="G372" i="463"/>
  <c r="H372" i="463"/>
  <c r="I372" i="463"/>
  <c r="J372" i="463"/>
  <c r="K372" i="463"/>
  <c r="L372" i="463"/>
  <c r="M372" i="463"/>
  <c r="N372" i="463"/>
  <c r="O372" i="463"/>
  <c r="P372" i="463"/>
  <c r="Q372" i="463"/>
  <c r="R372" i="463"/>
  <c r="S372" i="463"/>
  <c r="T372" i="463"/>
  <c r="U372" i="463"/>
  <c r="V372" i="463"/>
  <c r="W372" i="463"/>
  <c r="X372" i="463"/>
  <c r="Y372" i="463"/>
  <c r="Z372" i="463"/>
  <c r="AA372" i="463"/>
  <c r="AB372" i="463"/>
  <c r="AC372" i="463"/>
  <c r="AD372" i="463"/>
  <c r="AE372" i="463"/>
  <c r="AF372" i="463"/>
  <c r="AG372" i="463"/>
  <c r="AH372" i="463"/>
  <c r="AI372" i="463"/>
  <c r="AJ372" i="463"/>
  <c r="AK372" i="463"/>
  <c r="AL372" i="463"/>
  <c r="B373" i="463"/>
  <c r="C373" i="463"/>
  <c r="D373" i="463"/>
  <c r="E373" i="463"/>
  <c r="F373" i="463"/>
  <c r="G373" i="463"/>
  <c r="H373" i="463"/>
  <c r="I373" i="463"/>
  <c r="J373" i="463"/>
  <c r="K373" i="463"/>
  <c r="L373" i="463"/>
  <c r="M373" i="463"/>
  <c r="N373" i="463"/>
  <c r="O373" i="463"/>
  <c r="P373" i="463"/>
  <c r="Q373" i="463"/>
  <c r="R373" i="463"/>
  <c r="S373" i="463"/>
  <c r="T373" i="463"/>
  <c r="U373" i="463"/>
  <c r="V373" i="463"/>
  <c r="W373" i="463"/>
  <c r="X373" i="463"/>
  <c r="Y373" i="463"/>
  <c r="Z373" i="463"/>
  <c r="AA373" i="463"/>
  <c r="AB373" i="463"/>
  <c r="AC373" i="463"/>
  <c r="AD373" i="463"/>
  <c r="AE373" i="463"/>
  <c r="AF373" i="463"/>
  <c r="AG373" i="463"/>
  <c r="AH373" i="463"/>
  <c r="AI373" i="463"/>
  <c r="AJ373" i="463"/>
  <c r="AK373" i="463"/>
  <c r="AL373" i="463"/>
  <c r="B374" i="463"/>
  <c r="C374" i="463"/>
  <c r="D374" i="463"/>
  <c r="E374" i="463"/>
  <c r="F374" i="463"/>
  <c r="G374" i="463"/>
  <c r="H374" i="463"/>
  <c r="I374" i="463"/>
  <c r="J374" i="463"/>
  <c r="K374" i="463"/>
  <c r="L374" i="463"/>
  <c r="M374" i="463"/>
  <c r="N374" i="463"/>
  <c r="O374" i="463"/>
  <c r="P374" i="463"/>
  <c r="Q374" i="463"/>
  <c r="R374" i="463"/>
  <c r="S374" i="463"/>
  <c r="T374" i="463"/>
  <c r="U374" i="463"/>
  <c r="V374" i="463"/>
  <c r="W374" i="463"/>
  <c r="X374" i="463"/>
  <c r="Y374" i="463"/>
  <c r="Z374" i="463"/>
  <c r="AA374" i="463"/>
  <c r="AB374" i="463"/>
  <c r="AC374" i="463"/>
  <c r="AD374" i="463"/>
  <c r="AE374" i="463"/>
  <c r="AF374" i="463"/>
  <c r="AG374" i="463"/>
  <c r="AH374" i="463"/>
  <c r="AI374" i="463"/>
  <c r="AJ374" i="463"/>
  <c r="AK374" i="463"/>
  <c r="AL374" i="463"/>
  <c r="B375" i="463"/>
  <c r="C375" i="463"/>
  <c r="D375" i="463"/>
  <c r="E375" i="463"/>
  <c r="F375" i="463"/>
  <c r="G375" i="463"/>
  <c r="H375" i="463"/>
  <c r="I375" i="463"/>
  <c r="J375" i="463"/>
  <c r="K375" i="463"/>
  <c r="L375" i="463"/>
  <c r="M375" i="463"/>
  <c r="N375" i="463"/>
  <c r="O375" i="463"/>
  <c r="P375" i="463"/>
  <c r="Q375" i="463"/>
  <c r="R375" i="463"/>
  <c r="S375" i="463"/>
  <c r="T375" i="463"/>
  <c r="U375" i="463"/>
  <c r="V375" i="463"/>
  <c r="W375" i="463"/>
  <c r="X375" i="463"/>
  <c r="Y375" i="463"/>
  <c r="Z375" i="463"/>
  <c r="AA375" i="463"/>
  <c r="AB375" i="463"/>
  <c r="AC375" i="463"/>
  <c r="AD375" i="463"/>
  <c r="AE375" i="463"/>
  <c r="AF375" i="463"/>
  <c r="AG375" i="463"/>
  <c r="AH375" i="463"/>
  <c r="AI375" i="463"/>
  <c r="AJ375" i="463"/>
  <c r="AK375" i="463"/>
  <c r="AL375" i="463"/>
  <c r="B376" i="463"/>
  <c r="C376" i="463"/>
  <c r="D376" i="463"/>
  <c r="E376" i="463"/>
  <c r="F376" i="463"/>
  <c r="G376" i="463"/>
  <c r="H376" i="463"/>
  <c r="I376" i="463"/>
  <c r="J376" i="463"/>
  <c r="K376" i="463"/>
  <c r="L376" i="463"/>
  <c r="M376" i="463"/>
  <c r="N376" i="463"/>
  <c r="O376" i="463"/>
  <c r="P376" i="463"/>
  <c r="Q376" i="463"/>
  <c r="R376" i="463"/>
  <c r="S376" i="463"/>
  <c r="T376" i="463"/>
  <c r="U376" i="463"/>
  <c r="V376" i="463"/>
  <c r="W376" i="463"/>
  <c r="X376" i="463"/>
  <c r="Y376" i="463"/>
  <c r="Z376" i="463"/>
  <c r="AA376" i="463"/>
  <c r="AB376" i="463"/>
  <c r="AC376" i="463"/>
  <c r="AD376" i="463"/>
  <c r="AE376" i="463"/>
  <c r="AF376" i="463"/>
  <c r="AG376" i="463"/>
  <c r="AH376" i="463"/>
  <c r="AI376" i="463"/>
  <c r="AJ376" i="463"/>
  <c r="AK376" i="463"/>
  <c r="AL376" i="463"/>
  <c r="B377" i="463"/>
  <c r="C377" i="463"/>
  <c r="D377" i="463"/>
  <c r="E377" i="463"/>
  <c r="F377" i="463"/>
  <c r="G377" i="463"/>
  <c r="H377" i="463"/>
  <c r="I377" i="463"/>
  <c r="J377" i="463"/>
  <c r="K377" i="463"/>
  <c r="L377" i="463"/>
  <c r="M377" i="463"/>
  <c r="N377" i="463"/>
  <c r="O377" i="463"/>
  <c r="P377" i="463"/>
  <c r="Q377" i="463"/>
  <c r="R377" i="463"/>
  <c r="S377" i="463"/>
  <c r="T377" i="463"/>
  <c r="U377" i="463"/>
  <c r="V377" i="463"/>
  <c r="W377" i="463"/>
  <c r="X377" i="463"/>
  <c r="Y377" i="463"/>
  <c r="Z377" i="463"/>
  <c r="AA377" i="463"/>
  <c r="AB377" i="463"/>
  <c r="AC377" i="463"/>
  <c r="AD377" i="463"/>
  <c r="AE377" i="463"/>
  <c r="AF377" i="463"/>
  <c r="AG377" i="463"/>
  <c r="AH377" i="463"/>
  <c r="AI377" i="463"/>
  <c r="AJ377" i="463"/>
  <c r="AK377" i="463"/>
  <c r="AL377" i="463"/>
  <c r="B378" i="463"/>
  <c r="C378" i="463"/>
  <c r="D378" i="463"/>
  <c r="E378" i="463"/>
  <c r="F378" i="463"/>
  <c r="G378" i="463"/>
  <c r="H378" i="463"/>
  <c r="I378" i="463"/>
  <c r="J378" i="463"/>
  <c r="K378" i="463"/>
  <c r="L378" i="463"/>
  <c r="M378" i="463"/>
  <c r="N378" i="463"/>
  <c r="O378" i="463"/>
  <c r="P378" i="463"/>
  <c r="Q378" i="463"/>
  <c r="R378" i="463"/>
  <c r="S378" i="463"/>
  <c r="T378" i="463"/>
  <c r="U378" i="463"/>
  <c r="V378" i="463"/>
  <c r="W378" i="463"/>
  <c r="X378" i="463"/>
  <c r="Y378" i="463"/>
  <c r="Z378" i="463"/>
  <c r="AA378" i="463"/>
  <c r="AB378" i="463"/>
  <c r="AC378" i="463"/>
  <c r="AD378" i="463"/>
  <c r="AE378" i="463"/>
  <c r="AF378" i="463"/>
  <c r="AG378" i="463"/>
  <c r="AH378" i="463"/>
  <c r="AI378" i="463"/>
  <c r="AJ378" i="463"/>
  <c r="AK378" i="463"/>
  <c r="AL378" i="463"/>
  <c r="B270" i="455"/>
  <c r="C270" i="455"/>
  <c r="D270" i="455"/>
  <c r="E270" i="455"/>
  <c r="F270" i="455"/>
  <c r="G270" i="455"/>
  <c r="H270" i="455"/>
  <c r="I270" i="455"/>
  <c r="J270" i="455"/>
  <c r="K270" i="455"/>
  <c r="L270" i="455"/>
  <c r="M270" i="455"/>
  <c r="N270" i="455"/>
  <c r="O270" i="455"/>
  <c r="P270" i="455"/>
  <c r="Q270" i="455"/>
  <c r="R270" i="455"/>
  <c r="S270" i="455"/>
  <c r="T270" i="455"/>
  <c r="U270" i="455"/>
  <c r="V270" i="455"/>
  <c r="W270" i="455"/>
  <c r="X270" i="455"/>
  <c r="Y270" i="455"/>
  <c r="Z270" i="455"/>
  <c r="AA270" i="455"/>
  <c r="AB270" i="455"/>
  <c r="AC270" i="455"/>
  <c r="AD270" i="455"/>
  <c r="B271" i="455"/>
  <c r="C271" i="455"/>
  <c r="D271" i="455"/>
  <c r="E271" i="455"/>
  <c r="F271" i="455"/>
  <c r="G271" i="455"/>
  <c r="H271" i="455"/>
  <c r="I271" i="455"/>
  <c r="J271" i="455"/>
  <c r="K271" i="455"/>
  <c r="L271" i="455"/>
  <c r="M271" i="455"/>
  <c r="N271" i="455"/>
  <c r="O271" i="455"/>
  <c r="P271" i="455"/>
  <c r="Q271" i="455"/>
  <c r="R271" i="455"/>
  <c r="S271" i="455"/>
  <c r="T271" i="455"/>
  <c r="U271" i="455"/>
  <c r="V271" i="455"/>
  <c r="W271" i="455"/>
  <c r="X271" i="455"/>
  <c r="Y271" i="455"/>
  <c r="Z271" i="455"/>
  <c r="AA271" i="455"/>
  <c r="AB271" i="455"/>
  <c r="AC271" i="455"/>
  <c r="AD271" i="455"/>
  <c r="B272" i="455"/>
  <c r="C272" i="455"/>
  <c r="D272" i="455"/>
  <c r="E272" i="455"/>
  <c r="F272" i="455"/>
  <c r="G272" i="455"/>
  <c r="H272" i="455"/>
  <c r="I272" i="455"/>
  <c r="J272" i="455"/>
  <c r="K272" i="455"/>
  <c r="L272" i="455"/>
  <c r="M272" i="455"/>
  <c r="N272" i="455"/>
  <c r="O272" i="455"/>
  <c r="P272" i="455"/>
  <c r="Q272" i="455"/>
  <c r="R272" i="455"/>
  <c r="S272" i="455"/>
  <c r="T272" i="455"/>
  <c r="U272" i="455"/>
  <c r="V272" i="455"/>
  <c r="W272" i="455"/>
  <c r="X272" i="455"/>
  <c r="Y272" i="455"/>
  <c r="Z272" i="455"/>
  <c r="AA272" i="455"/>
  <c r="AB272" i="455"/>
  <c r="AC272" i="455"/>
  <c r="AD272" i="455"/>
  <c r="B273" i="455"/>
  <c r="C273" i="455"/>
  <c r="D273" i="455"/>
  <c r="E273" i="455"/>
  <c r="F273" i="455"/>
  <c r="G273" i="455"/>
  <c r="H273" i="455"/>
  <c r="I273" i="455"/>
  <c r="J273" i="455"/>
  <c r="K273" i="455"/>
  <c r="L273" i="455"/>
  <c r="M273" i="455"/>
  <c r="N273" i="455"/>
  <c r="O273" i="455"/>
  <c r="P273" i="455"/>
  <c r="Q273" i="455"/>
  <c r="R273" i="455"/>
  <c r="S273" i="455"/>
  <c r="T273" i="455"/>
  <c r="U273" i="455"/>
  <c r="V273" i="455"/>
  <c r="W273" i="455"/>
  <c r="X273" i="455"/>
  <c r="Y273" i="455"/>
  <c r="Z273" i="455"/>
  <c r="AA273" i="455"/>
  <c r="AB273" i="455"/>
  <c r="AC273" i="455"/>
  <c r="AD273" i="455"/>
  <c r="B274" i="455"/>
  <c r="C274" i="455"/>
  <c r="D274" i="455"/>
  <c r="E274" i="455"/>
  <c r="F274" i="455"/>
  <c r="G274" i="455"/>
  <c r="H274" i="455"/>
  <c r="I274" i="455"/>
  <c r="J274" i="455"/>
  <c r="K274" i="455"/>
  <c r="L274" i="455"/>
  <c r="M274" i="455"/>
  <c r="N274" i="455"/>
  <c r="O274" i="455"/>
  <c r="P274" i="455"/>
  <c r="Q274" i="455"/>
  <c r="R274" i="455"/>
  <c r="S274" i="455"/>
  <c r="T274" i="455"/>
  <c r="U274" i="455"/>
  <c r="V274" i="455"/>
  <c r="W274" i="455"/>
  <c r="X274" i="455"/>
  <c r="Y274" i="455"/>
  <c r="Z274" i="455"/>
  <c r="AA274" i="455"/>
  <c r="AB274" i="455"/>
  <c r="AC274" i="455"/>
  <c r="AD274" i="455"/>
  <c r="B275" i="455"/>
  <c r="C275" i="455"/>
  <c r="D275" i="455"/>
  <c r="E275" i="455"/>
  <c r="F275" i="455"/>
  <c r="G275" i="455"/>
  <c r="H275" i="455"/>
  <c r="I275" i="455"/>
  <c r="J275" i="455"/>
  <c r="K275" i="455"/>
  <c r="L275" i="455"/>
  <c r="M275" i="455"/>
  <c r="N275" i="455"/>
  <c r="O275" i="455"/>
  <c r="P275" i="455"/>
  <c r="Q275" i="455"/>
  <c r="R275" i="455"/>
  <c r="S275" i="455"/>
  <c r="T275" i="455"/>
  <c r="U275" i="455"/>
  <c r="V275" i="455"/>
  <c r="W275" i="455"/>
  <c r="X275" i="455"/>
  <c r="Y275" i="455"/>
  <c r="Z275" i="455"/>
  <c r="AA275" i="455"/>
  <c r="AB275" i="455"/>
  <c r="AC275" i="455"/>
  <c r="AD275" i="455"/>
  <c r="B276" i="455"/>
  <c r="C276" i="455"/>
  <c r="D276" i="455"/>
  <c r="E276" i="455"/>
  <c r="F276" i="455"/>
  <c r="G276" i="455"/>
  <c r="H276" i="455"/>
  <c r="I276" i="455"/>
  <c r="J276" i="455"/>
  <c r="K276" i="455"/>
  <c r="L276" i="455"/>
  <c r="M276" i="455"/>
  <c r="N276" i="455"/>
  <c r="O276" i="455"/>
  <c r="P276" i="455"/>
  <c r="Q276" i="455"/>
  <c r="R276" i="455"/>
  <c r="S276" i="455"/>
  <c r="T276" i="455"/>
  <c r="U276" i="455"/>
  <c r="V276" i="455"/>
  <c r="W276" i="455"/>
  <c r="X276" i="455"/>
  <c r="Y276" i="455"/>
  <c r="Z276" i="455"/>
  <c r="AA276" i="455"/>
  <c r="AB276" i="455"/>
  <c r="AC276" i="455"/>
  <c r="AD276" i="455"/>
  <c r="B277" i="455"/>
  <c r="C277" i="455"/>
  <c r="D277" i="455"/>
  <c r="E277" i="455"/>
  <c r="F277" i="455"/>
  <c r="G277" i="455"/>
  <c r="H277" i="455"/>
  <c r="I277" i="455"/>
  <c r="J277" i="455"/>
  <c r="K277" i="455"/>
  <c r="L277" i="455"/>
  <c r="M277" i="455"/>
  <c r="N277" i="455"/>
  <c r="O277" i="455"/>
  <c r="P277" i="455"/>
  <c r="Q277" i="455"/>
  <c r="R277" i="455"/>
  <c r="S277" i="455"/>
  <c r="T277" i="455"/>
  <c r="U277" i="455"/>
  <c r="V277" i="455"/>
  <c r="W277" i="455"/>
  <c r="X277" i="455"/>
  <c r="Y277" i="455"/>
  <c r="Z277" i="455"/>
  <c r="AA277" i="455"/>
  <c r="AB277" i="455"/>
  <c r="AC277" i="455"/>
  <c r="AD277" i="455"/>
  <c r="B278" i="455"/>
  <c r="C278" i="455"/>
  <c r="D278" i="455"/>
  <c r="E278" i="455"/>
  <c r="F278" i="455"/>
  <c r="G278" i="455"/>
  <c r="H278" i="455"/>
  <c r="I278" i="455"/>
  <c r="J278" i="455"/>
  <c r="K278" i="455"/>
  <c r="L278" i="455"/>
  <c r="M278" i="455"/>
  <c r="N278" i="455"/>
  <c r="O278" i="455"/>
  <c r="P278" i="455"/>
  <c r="Q278" i="455"/>
  <c r="R278" i="455"/>
  <c r="S278" i="455"/>
  <c r="T278" i="455"/>
  <c r="U278" i="455"/>
  <c r="V278" i="455"/>
  <c r="W278" i="455"/>
  <c r="X278" i="455"/>
  <c r="Y278" i="455"/>
  <c r="Z278" i="455"/>
  <c r="AA278" i="455"/>
  <c r="AB278" i="455"/>
  <c r="AC278" i="455"/>
  <c r="AD278" i="455"/>
  <c r="B279" i="455"/>
  <c r="C279" i="455"/>
  <c r="D279" i="455"/>
  <c r="E279" i="455"/>
  <c r="F279" i="455"/>
  <c r="G279" i="455"/>
  <c r="H279" i="455"/>
  <c r="I279" i="455"/>
  <c r="J279" i="455"/>
  <c r="K279" i="455"/>
  <c r="L279" i="455"/>
  <c r="M279" i="455"/>
  <c r="N279" i="455"/>
  <c r="O279" i="455"/>
  <c r="P279" i="455"/>
  <c r="Q279" i="455"/>
  <c r="R279" i="455"/>
  <c r="S279" i="455"/>
  <c r="T279" i="455"/>
  <c r="U279" i="455"/>
  <c r="V279" i="455"/>
  <c r="W279" i="455"/>
  <c r="X279" i="455"/>
  <c r="Y279" i="455"/>
  <c r="Z279" i="455"/>
  <c r="AA279" i="455"/>
  <c r="AB279" i="455"/>
  <c r="AC279" i="455"/>
  <c r="AD279" i="455"/>
  <c r="B280" i="455"/>
  <c r="C280" i="455"/>
  <c r="D280" i="455"/>
  <c r="E280" i="455"/>
  <c r="F280" i="455"/>
  <c r="G280" i="455"/>
  <c r="H280" i="455"/>
  <c r="I280" i="455"/>
  <c r="J280" i="455"/>
  <c r="K280" i="455"/>
  <c r="L280" i="455"/>
  <c r="M280" i="455"/>
  <c r="N280" i="455"/>
  <c r="O280" i="455"/>
  <c r="P280" i="455"/>
  <c r="Q280" i="455"/>
  <c r="R280" i="455"/>
  <c r="S280" i="455"/>
  <c r="T280" i="455"/>
  <c r="U280" i="455"/>
  <c r="V280" i="455"/>
  <c r="W280" i="455"/>
  <c r="X280" i="455"/>
  <c r="Y280" i="455"/>
  <c r="Z280" i="455"/>
  <c r="AA280" i="455"/>
  <c r="AB280" i="455"/>
  <c r="AC280" i="455"/>
  <c r="AD280" i="455"/>
  <c r="B281" i="455"/>
  <c r="C281" i="455"/>
  <c r="D281" i="455"/>
  <c r="E281" i="455"/>
  <c r="F281" i="455"/>
  <c r="G281" i="455"/>
  <c r="H281" i="455"/>
  <c r="I281" i="455"/>
  <c r="J281" i="455"/>
  <c r="K281" i="455"/>
  <c r="L281" i="455"/>
  <c r="M281" i="455"/>
  <c r="N281" i="455"/>
  <c r="O281" i="455"/>
  <c r="P281" i="455"/>
  <c r="Q281" i="455"/>
  <c r="R281" i="455"/>
  <c r="S281" i="455"/>
  <c r="T281" i="455"/>
  <c r="U281" i="455"/>
  <c r="V281" i="455"/>
  <c r="W281" i="455"/>
  <c r="X281" i="455"/>
  <c r="Y281" i="455"/>
  <c r="Z281" i="455"/>
  <c r="AA281" i="455"/>
  <c r="AB281" i="455"/>
  <c r="AC281" i="455"/>
  <c r="AD281" i="455"/>
  <c r="B282" i="455"/>
  <c r="C282" i="455"/>
  <c r="D282" i="455"/>
  <c r="E282" i="455"/>
  <c r="F282" i="455"/>
  <c r="G282" i="455"/>
  <c r="H282" i="455"/>
  <c r="I282" i="455"/>
  <c r="J282" i="455"/>
  <c r="K282" i="455"/>
  <c r="L282" i="455"/>
  <c r="M282" i="455"/>
  <c r="N282" i="455"/>
  <c r="O282" i="455"/>
  <c r="P282" i="455"/>
  <c r="Q282" i="455"/>
  <c r="R282" i="455"/>
  <c r="S282" i="455"/>
  <c r="T282" i="455"/>
  <c r="U282" i="455"/>
  <c r="V282" i="455"/>
  <c r="W282" i="455"/>
  <c r="X282" i="455"/>
  <c r="Y282" i="455"/>
  <c r="Z282" i="455"/>
  <c r="AA282" i="455"/>
  <c r="AB282" i="455"/>
  <c r="AC282" i="455"/>
  <c r="AD282" i="455"/>
  <c r="B283" i="455"/>
  <c r="C283" i="455"/>
  <c r="D283" i="455"/>
  <c r="E283" i="455"/>
  <c r="F283" i="455"/>
  <c r="G283" i="455"/>
  <c r="H283" i="455"/>
  <c r="I283" i="455"/>
  <c r="J283" i="455"/>
  <c r="K283" i="455"/>
  <c r="L283" i="455"/>
  <c r="M283" i="455"/>
  <c r="N283" i="455"/>
  <c r="O283" i="455"/>
  <c r="P283" i="455"/>
  <c r="Q283" i="455"/>
  <c r="R283" i="455"/>
  <c r="S283" i="455"/>
  <c r="T283" i="455"/>
  <c r="U283" i="455"/>
  <c r="V283" i="455"/>
  <c r="W283" i="455"/>
  <c r="X283" i="455"/>
  <c r="Y283" i="455"/>
  <c r="Z283" i="455"/>
  <c r="AA283" i="455"/>
  <c r="AB283" i="455"/>
  <c r="AC283" i="455"/>
  <c r="AD283" i="455"/>
  <c r="B284" i="455"/>
  <c r="C284" i="455"/>
  <c r="D284" i="455"/>
  <c r="E284" i="455"/>
  <c r="F284" i="455"/>
  <c r="G284" i="455"/>
  <c r="H284" i="455"/>
  <c r="I284" i="455"/>
  <c r="J284" i="455"/>
  <c r="K284" i="455"/>
  <c r="L284" i="455"/>
  <c r="M284" i="455"/>
  <c r="N284" i="455"/>
  <c r="O284" i="455"/>
  <c r="P284" i="455"/>
  <c r="Q284" i="455"/>
  <c r="R284" i="455"/>
  <c r="S284" i="455"/>
  <c r="T284" i="455"/>
  <c r="U284" i="455"/>
  <c r="V284" i="455"/>
  <c r="W284" i="455"/>
  <c r="X284" i="455"/>
  <c r="Y284" i="455"/>
  <c r="Z284" i="455"/>
  <c r="AA284" i="455"/>
  <c r="AB284" i="455"/>
  <c r="AC284" i="455"/>
  <c r="AD284" i="455"/>
  <c r="B285" i="455"/>
  <c r="C285" i="455"/>
  <c r="D285" i="455"/>
  <c r="E285" i="455"/>
  <c r="F285" i="455"/>
  <c r="G285" i="455"/>
  <c r="H285" i="455"/>
  <c r="I285" i="455"/>
  <c r="J285" i="455"/>
  <c r="K285" i="455"/>
  <c r="L285" i="455"/>
  <c r="M285" i="455"/>
  <c r="N285" i="455"/>
  <c r="O285" i="455"/>
  <c r="P285" i="455"/>
  <c r="Q285" i="455"/>
  <c r="R285" i="455"/>
  <c r="S285" i="455"/>
  <c r="T285" i="455"/>
  <c r="U285" i="455"/>
  <c r="V285" i="455"/>
  <c r="W285" i="455"/>
  <c r="X285" i="455"/>
  <c r="Y285" i="455"/>
  <c r="Z285" i="455"/>
  <c r="AA285" i="455"/>
  <c r="AB285" i="455"/>
  <c r="AC285" i="455"/>
  <c r="AD285" i="455"/>
  <c r="B286" i="455"/>
  <c r="C286" i="455"/>
  <c r="D286" i="455"/>
  <c r="E286" i="455"/>
  <c r="F286" i="455"/>
  <c r="G286" i="455"/>
  <c r="H286" i="455"/>
  <c r="I286" i="455"/>
  <c r="J286" i="455"/>
  <c r="K286" i="455"/>
  <c r="L286" i="455"/>
  <c r="M286" i="455"/>
  <c r="N286" i="455"/>
  <c r="O286" i="455"/>
  <c r="P286" i="455"/>
  <c r="Q286" i="455"/>
  <c r="R286" i="455"/>
  <c r="S286" i="455"/>
  <c r="T286" i="455"/>
  <c r="U286" i="455"/>
  <c r="V286" i="455"/>
  <c r="W286" i="455"/>
  <c r="X286" i="455"/>
  <c r="Y286" i="455"/>
  <c r="Z286" i="455"/>
  <c r="AA286" i="455"/>
  <c r="AB286" i="455"/>
  <c r="AC286" i="455"/>
  <c r="AD286" i="455"/>
  <c r="B287" i="455"/>
  <c r="C287" i="455"/>
  <c r="D287" i="455"/>
  <c r="E287" i="455"/>
  <c r="F287" i="455"/>
  <c r="G287" i="455"/>
  <c r="H287" i="455"/>
  <c r="I287" i="455"/>
  <c r="J287" i="455"/>
  <c r="K287" i="455"/>
  <c r="L287" i="455"/>
  <c r="M287" i="455"/>
  <c r="N287" i="455"/>
  <c r="O287" i="455"/>
  <c r="P287" i="455"/>
  <c r="Q287" i="455"/>
  <c r="R287" i="455"/>
  <c r="S287" i="455"/>
  <c r="T287" i="455"/>
  <c r="U287" i="455"/>
  <c r="V287" i="455"/>
  <c r="W287" i="455"/>
  <c r="X287" i="455"/>
  <c r="Y287" i="455"/>
  <c r="Z287" i="455"/>
  <c r="AA287" i="455"/>
  <c r="AB287" i="455"/>
  <c r="AC287" i="455"/>
  <c r="AD287" i="455"/>
  <c r="B288" i="455"/>
  <c r="C288" i="455"/>
  <c r="D288" i="455"/>
  <c r="E288" i="455"/>
  <c r="F288" i="455"/>
  <c r="G288" i="455"/>
  <c r="H288" i="455"/>
  <c r="I288" i="455"/>
  <c r="J288" i="455"/>
  <c r="K288" i="455"/>
  <c r="L288" i="455"/>
  <c r="M288" i="455"/>
  <c r="N288" i="455"/>
  <c r="O288" i="455"/>
  <c r="P288" i="455"/>
  <c r="Q288" i="455"/>
  <c r="R288" i="455"/>
  <c r="S288" i="455"/>
  <c r="T288" i="455"/>
  <c r="U288" i="455"/>
  <c r="V288" i="455"/>
  <c r="W288" i="455"/>
  <c r="X288" i="455"/>
  <c r="Y288" i="455"/>
  <c r="Z288" i="455"/>
  <c r="AA288" i="455"/>
  <c r="AB288" i="455"/>
  <c r="AC288" i="455"/>
  <c r="AD288" i="455"/>
  <c r="B289" i="455"/>
  <c r="C289" i="455"/>
  <c r="D289" i="455"/>
  <c r="E289" i="455"/>
  <c r="F289" i="455"/>
  <c r="G289" i="455"/>
  <c r="H289" i="455"/>
  <c r="I289" i="455"/>
  <c r="J289" i="455"/>
  <c r="K289" i="455"/>
  <c r="L289" i="455"/>
  <c r="M289" i="455"/>
  <c r="N289" i="455"/>
  <c r="O289" i="455"/>
  <c r="P289" i="455"/>
  <c r="Q289" i="455"/>
  <c r="R289" i="455"/>
  <c r="S289" i="455"/>
  <c r="T289" i="455"/>
  <c r="U289" i="455"/>
  <c r="V289" i="455"/>
  <c r="W289" i="455"/>
  <c r="X289" i="455"/>
  <c r="Y289" i="455"/>
  <c r="Z289" i="455"/>
  <c r="AA289" i="455"/>
  <c r="AB289" i="455"/>
  <c r="AC289" i="455"/>
  <c r="AD289" i="455"/>
  <c r="B290" i="455"/>
  <c r="C290" i="455"/>
  <c r="D290" i="455"/>
  <c r="E290" i="455"/>
  <c r="F290" i="455"/>
  <c r="G290" i="455"/>
  <c r="H290" i="455"/>
  <c r="I290" i="455"/>
  <c r="J290" i="455"/>
  <c r="K290" i="455"/>
  <c r="L290" i="455"/>
  <c r="M290" i="455"/>
  <c r="N290" i="455"/>
  <c r="O290" i="455"/>
  <c r="P290" i="455"/>
  <c r="Q290" i="455"/>
  <c r="R290" i="455"/>
  <c r="S290" i="455"/>
  <c r="T290" i="455"/>
  <c r="U290" i="455"/>
  <c r="V290" i="455"/>
  <c r="W290" i="455"/>
  <c r="X290" i="455"/>
  <c r="Y290" i="455"/>
  <c r="Z290" i="455"/>
  <c r="AA290" i="455"/>
  <c r="AB290" i="455"/>
  <c r="AC290" i="455"/>
  <c r="AD290" i="455"/>
  <c r="B291" i="455"/>
  <c r="C291" i="455"/>
  <c r="D291" i="455"/>
  <c r="E291" i="455"/>
  <c r="F291" i="455"/>
  <c r="G291" i="455"/>
  <c r="H291" i="455"/>
  <c r="I291" i="455"/>
  <c r="J291" i="455"/>
  <c r="K291" i="455"/>
  <c r="L291" i="455"/>
  <c r="M291" i="455"/>
  <c r="N291" i="455"/>
  <c r="O291" i="455"/>
  <c r="P291" i="455"/>
  <c r="Q291" i="455"/>
  <c r="R291" i="455"/>
  <c r="S291" i="455"/>
  <c r="T291" i="455"/>
  <c r="U291" i="455"/>
  <c r="V291" i="455"/>
  <c r="W291" i="455"/>
  <c r="X291" i="455"/>
  <c r="Y291" i="455"/>
  <c r="Z291" i="455"/>
  <c r="AA291" i="455"/>
  <c r="AB291" i="455"/>
  <c r="AC291" i="455"/>
  <c r="AD291" i="455"/>
  <c r="B292" i="455"/>
  <c r="C292" i="455"/>
  <c r="D292" i="455"/>
  <c r="E292" i="455"/>
  <c r="F292" i="455"/>
  <c r="G292" i="455"/>
  <c r="H292" i="455"/>
  <c r="I292" i="455"/>
  <c r="J292" i="455"/>
  <c r="K292" i="455"/>
  <c r="L292" i="455"/>
  <c r="M292" i="455"/>
  <c r="N292" i="455"/>
  <c r="O292" i="455"/>
  <c r="P292" i="455"/>
  <c r="Q292" i="455"/>
  <c r="R292" i="455"/>
  <c r="S292" i="455"/>
  <c r="T292" i="455"/>
  <c r="U292" i="455"/>
  <c r="V292" i="455"/>
  <c r="W292" i="455"/>
  <c r="X292" i="455"/>
  <c r="Y292" i="455"/>
  <c r="Z292" i="455"/>
  <c r="AA292" i="455"/>
  <c r="AB292" i="455"/>
  <c r="AC292" i="455"/>
  <c r="AD292" i="455"/>
  <c r="B293" i="455"/>
  <c r="C293" i="455"/>
  <c r="D293" i="455"/>
  <c r="E293" i="455"/>
  <c r="F293" i="455"/>
  <c r="G293" i="455"/>
  <c r="H293" i="455"/>
  <c r="I293" i="455"/>
  <c r="J293" i="455"/>
  <c r="K293" i="455"/>
  <c r="L293" i="455"/>
  <c r="M293" i="455"/>
  <c r="N293" i="455"/>
  <c r="O293" i="455"/>
  <c r="P293" i="455"/>
  <c r="Q293" i="455"/>
  <c r="R293" i="455"/>
  <c r="S293" i="455"/>
  <c r="T293" i="455"/>
  <c r="U293" i="455"/>
  <c r="V293" i="455"/>
  <c r="W293" i="455"/>
  <c r="X293" i="455"/>
  <c r="Y293" i="455"/>
  <c r="Z293" i="455"/>
  <c r="AA293" i="455"/>
  <c r="AB293" i="455"/>
  <c r="AC293" i="455"/>
  <c r="AD293" i="455"/>
  <c r="B294" i="455"/>
  <c r="C294" i="455"/>
  <c r="D294" i="455"/>
  <c r="E294" i="455"/>
  <c r="F294" i="455"/>
  <c r="G294" i="455"/>
  <c r="H294" i="455"/>
  <c r="I294" i="455"/>
  <c r="J294" i="455"/>
  <c r="K294" i="455"/>
  <c r="L294" i="455"/>
  <c r="M294" i="455"/>
  <c r="N294" i="455"/>
  <c r="O294" i="455"/>
  <c r="P294" i="455"/>
  <c r="Q294" i="455"/>
  <c r="R294" i="455"/>
  <c r="S294" i="455"/>
  <c r="T294" i="455"/>
  <c r="U294" i="455"/>
  <c r="V294" i="455"/>
  <c r="W294" i="455"/>
  <c r="X294" i="455"/>
  <c r="Y294" i="455"/>
  <c r="Z294" i="455"/>
  <c r="AA294" i="455"/>
  <c r="AB294" i="455"/>
  <c r="AC294" i="455"/>
  <c r="AD294" i="455"/>
  <c r="B295" i="455"/>
  <c r="C295" i="455"/>
  <c r="D295" i="455"/>
  <c r="E295" i="455"/>
  <c r="F295" i="455"/>
  <c r="G295" i="455"/>
  <c r="H295" i="455"/>
  <c r="I295" i="455"/>
  <c r="J295" i="455"/>
  <c r="K295" i="455"/>
  <c r="L295" i="455"/>
  <c r="M295" i="455"/>
  <c r="N295" i="455"/>
  <c r="O295" i="455"/>
  <c r="P295" i="455"/>
  <c r="Q295" i="455"/>
  <c r="R295" i="455"/>
  <c r="S295" i="455"/>
  <c r="T295" i="455"/>
  <c r="U295" i="455"/>
  <c r="V295" i="455"/>
  <c r="W295" i="455"/>
  <c r="X295" i="455"/>
  <c r="Y295" i="455"/>
  <c r="Z295" i="455"/>
  <c r="AA295" i="455"/>
  <c r="AB295" i="455"/>
  <c r="AC295" i="455"/>
  <c r="AD295" i="455"/>
  <c r="B296" i="455"/>
  <c r="C296" i="455"/>
  <c r="D296" i="455"/>
  <c r="E296" i="455"/>
  <c r="F296" i="455"/>
  <c r="G296" i="455"/>
  <c r="H296" i="455"/>
  <c r="I296" i="455"/>
  <c r="J296" i="455"/>
  <c r="K296" i="455"/>
  <c r="L296" i="455"/>
  <c r="M296" i="455"/>
  <c r="N296" i="455"/>
  <c r="O296" i="455"/>
  <c r="P296" i="455"/>
  <c r="Q296" i="455"/>
  <c r="R296" i="455"/>
  <c r="S296" i="455"/>
  <c r="T296" i="455"/>
  <c r="U296" i="455"/>
  <c r="V296" i="455"/>
  <c r="W296" i="455"/>
  <c r="X296" i="455"/>
  <c r="Y296" i="455"/>
  <c r="Z296" i="455"/>
  <c r="AA296" i="455"/>
  <c r="AB296" i="455"/>
  <c r="AC296" i="455"/>
  <c r="AD296" i="455"/>
  <c r="B297" i="455"/>
  <c r="C297" i="455"/>
  <c r="D297" i="455"/>
  <c r="E297" i="455"/>
  <c r="F297" i="455"/>
  <c r="G297" i="455"/>
  <c r="H297" i="455"/>
  <c r="I297" i="455"/>
  <c r="J297" i="455"/>
  <c r="K297" i="455"/>
  <c r="L297" i="455"/>
  <c r="M297" i="455"/>
  <c r="N297" i="455"/>
  <c r="O297" i="455"/>
  <c r="P297" i="455"/>
  <c r="Q297" i="455"/>
  <c r="R297" i="455"/>
  <c r="S297" i="455"/>
  <c r="T297" i="455"/>
  <c r="U297" i="455"/>
  <c r="V297" i="455"/>
  <c r="W297" i="455"/>
  <c r="X297" i="455"/>
  <c r="Y297" i="455"/>
  <c r="Z297" i="455"/>
  <c r="AA297" i="455"/>
  <c r="AB297" i="455"/>
  <c r="AC297" i="455"/>
  <c r="AD297" i="455"/>
  <c r="B298" i="455"/>
  <c r="C298" i="455"/>
  <c r="D298" i="455"/>
  <c r="E298" i="455"/>
  <c r="F298" i="455"/>
  <c r="G298" i="455"/>
  <c r="H298" i="455"/>
  <c r="I298" i="455"/>
  <c r="J298" i="455"/>
  <c r="K298" i="455"/>
  <c r="L298" i="455"/>
  <c r="M298" i="455"/>
  <c r="N298" i="455"/>
  <c r="O298" i="455"/>
  <c r="P298" i="455"/>
  <c r="Q298" i="455"/>
  <c r="R298" i="455"/>
  <c r="S298" i="455"/>
  <c r="T298" i="455"/>
  <c r="U298" i="455"/>
  <c r="V298" i="455"/>
  <c r="W298" i="455"/>
  <c r="X298" i="455"/>
  <c r="Y298" i="455"/>
  <c r="Z298" i="455"/>
  <c r="AA298" i="455"/>
  <c r="AB298" i="455"/>
  <c r="AC298" i="455"/>
  <c r="AD298" i="455"/>
  <c r="B252" i="453"/>
  <c r="C252" i="453"/>
  <c r="D252" i="453"/>
  <c r="E252" i="453"/>
  <c r="F252" i="453"/>
  <c r="G252" i="453"/>
  <c r="H252" i="453"/>
  <c r="I252" i="453"/>
  <c r="J252" i="453"/>
  <c r="K252" i="453"/>
  <c r="L252" i="453"/>
  <c r="M252" i="453"/>
  <c r="N252" i="453"/>
  <c r="O252" i="453"/>
  <c r="P252" i="453"/>
  <c r="Q252" i="453"/>
  <c r="R252" i="453"/>
  <c r="S252" i="453"/>
  <c r="T252" i="453"/>
  <c r="U252" i="453"/>
  <c r="V252" i="453"/>
  <c r="W252" i="453"/>
  <c r="X252" i="453"/>
  <c r="Y252" i="453"/>
  <c r="Z252" i="453"/>
  <c r="AA252" i="453"/>
  <c r="AB252" i="453"/>
  <c r="B253" i="453"/>
  <c r="C253" i="453"/>
  <c r="D253" i="453"/>
  <c r="E253" i="453"/>
  <c r="F253" i="453"/>
  <c r="G253" i="453"/>
  <c r="H253" i="453"/>
  <c r="I253" i="453"/>
  <c r="J253" i="453"/>
  <c r="K253" i="453"/>
  <c r="L253" i="453"/>
  <c r="M253" i="453"/>
  <c r="N253" i="453"/>
  <c r="O253" i="453"/>
  <c r="P253" i="453"/>
  <c r="Q253" i="453"/>
  <c r="R253" i="453"/>
  <c r="S253" i="453"/>
  <c r="T253" i="453"/>
  <c r="U253" i="453"/>
  <c r="V253" i="453"/>
  <c r="W253" i="453"/>
  <c r="X253" i="453"/>
  <c r="Y253" i="453"/>
  <c r="Z253" i="453"/>
  <c r="AA253" i="453"/>
  <c r="AB253" i="453"/>
  <c r="B254" i="453"/>
  <c r="C254" i="453"/>
  <c r="D254" i="453"/>
  <c r="E254" i="453"/>
  <c r="F254" i="453"/>
  <c r="G254" i="453"/>
  <c r="H254" i="453"/>
  <c r="I254" i="453"/>
  <c r="J254" i="453"/>
  <c r="K254" i="453"/>
  <c r="L254" i="453"/>
  <c r="M254" i="453"/>
  <c r="N254" i="453"/>
  <c r="O254" i="453"/>
  <c r="P254" i="453"/>
  <c r="Q254" i="453"/>
  <c r="R254" i="453"/>
  <c r="S254" i="453"/>
  <c r="T254" i="453"/>
  <c r="U254" i="453"/>
  <c r="V254" i="453"/>
  <c r="W254" i="453"/>
  <c r="X254" i="453"/>
  <c r="Y254" i="453"/>
  <c r="Z254" i="453"/>
  <c r="AA254" i="453"/>
  <c r="AB254" i="453"/>
  <c r="B255" i="453"/>
  <c r="C255" i="453"/>
  <c r="D255" i="453"/>
  <c r="E255" i="453"/>
  <c r="F255" i="453"/>
  <c r="G255" i="453"/>
  <c r="H255" i="453"/>
  <c r="I255" i="453"/>
  <c r="J255" i="453"/>
  <c r="K255" i="453"/>
  <c r="L255" i="453"/>
  <c r="M255" i="453"/>
  <c r="N255" i="453"/>
  <c r="O255" i="453"/>
  <c r="P255" i="453"/>
  <c r="Q255" i="453"/>
  <c r="R255" i="453"/>
  <c r="S255" i="453"/>
  <c r="T255" i="453"/>
  <c r="U255" i="453"/>
  <c r="V255" i="453"/>
  <c r="W255" i="453"/>
  <c r="X255" i="453"/>
  <c r="Y255" i="453"/>
  <c r="Z255" i="453"/>
  <c r="AA255" i="453"/>
  <c r="AB255" i="453"/>
  <c r="B256" i="453"/>
  <c r="C256" i="453"/>
  <c r="D256" i="453"/>
  <c r="E256" i="453"/>
  <c r="F256" i="453"/>
  <c r="G256" i="453"/>
  <c r="H256" i="453"/>
  <c r="I256" i="453"/>
  <c r="J256" i="453"/>
  <c r="K256" i="453"/>
  <c r="L256" i="453"/>
  <c r="M256" i="453"/>
  <c r="N256" i="453"/>
  <c r="O256" i="453"/>
  <c r="P256" i="453"/>
  <c r="Q256" i="453"/>
  <c r="R256" i="453"/>
  <c r="S256" i="453"/>
  <c r="T256" i="453"/>
  <c r="U256" i="453"/>
  <c r="V256" i="453"/>
  <c r="W256" i="453"/>
  <c r="X256" i="453"/>
  <c r="Y256" i="453"/>
  <c r="Z256" i="453"/>
  <c r="AA256" i="453"/>
  <c r="AB256" i="453"/>
  <c r="B257" i="453"/>
  <c r="C257" i="453"/>
  <c r="D257" i="453"/>
  <c r="E257" i="453"/>
  <c r="F257" i="453"/>
  <c r="G257" i="453"/>
  <c r="H257" i="453"/>
  <c r="I257" i="453"/>
  <c r="J257" i="453"/>
  <c r="K257" i="453"/>
  <c r="L257" i="453"/>
  <c r="M257" i="453"/>
  <c r="N257" i="453"/>
  <c r="O257" i="453"/>
  <c r="P257" i="453"/>
  <c r="Q257" i="453"/>
  <c r="R257" i="453"/>
  <c r="S257" i="453"/>
  <c r="T257" i="453"/>
  <c r="U257" i="453"/>
  <c r="V257" i="453"/>
  <c r="W257" i="453"/>
  <c r="X257" i="453"/>
  <c r="Y257" i="453"/>
  <c r="Z257" i="453"/>
  <c r="AA257" i="453"/>
  <c r="AB257" i="453"/>
  <c r="B258" i="453"/>
  <c r="C258" i="453"/>
  <c r="D258" i="453"/>
  <c r="E258" i="453"/>
  <c r="F258" i="453"/>
  <c r="G258" i="453"/>
  <c r="H258" i="453"/>
  <c r="I258" i="453"/>
  <c r="J258" i="453"/>
  <c r="K258" i="453"/>
  <c r="L258" i="453"/>
  <c r="M258" i="453"/>
  <c r="N258" i="453"/>
  <c r="O258" i="453"/>
  <c r="P258" i="453"/>
  <c r="Q258" i="453"/>
  <c r="R258" i="453"/>
  <c r="S258" i="453"/>
  <c r="T258" i="453"/>
  <c r="U258" i="453"/>
  <c r="V258" i="453"/>
  <c r="W258" i="453"/>
  <c r="X258" i="453"/>
  <c r="Y258" i="453"/>
  <c r="Z258" i="453"/>
  <c r="AA258" i="453"/>
  <c r="AB258" i="453"/>
  <c r="B259" i="453"/>
  <c r="C259" i="453"/>
  <c r="D259" i="453"/>
  <c r="E259" i="453"/>
  <c r="F259" i="453"/>
  <c r="G259" i="453"/>
  <c r="H259" i="453"/>
  <c r="I259" i="453"/>
  <c r="J259" i="453"/>
  <c r="K259" i="453"/>
  <c r="L259" i="453"/>
  <c r="M259" i="453"/>
  <c r="N259" i="453"/>
  <c r="O259" i="453"/>
  <c r="P259" i="453"/>
  <c r="Q259" i="453"/>
  <c r="R259" i="453"/>
  <c r="S259" i="453"/>
  <c r="T259" i="453"/>
  <c r="U259" i="453"/>
  <c r="V259" i="453"/>
  <c r="W259" i="453"/>
  <c r="X259" i="453"/>
  <c r="Y259" i="453"/>
  <c r="Z259" i="453"/>
  <c r="AA259" i="453"/>
  <c r="AB259" i="453"/>
  <c r="B260" i="453"/>
  <c r="C260" i="453"/>
  <c r="D260" i="453"/>
  <c r="E260" i="453"/>
  <c r="F260" i="453"/>
  <c r="G260" i="453"/>
  <c r="H260" i="453"/>
  <c r="I260" i="453"/>
  <c r="J260" i="453"/>
  <c r="K260" i="453"/>
  <c r="L260" i="453"/>
  <c r="M260" i="453"/>
  <c r="N260" i="453"/>
  <c r="O260" i="453"/>
  <c r="P260" i="453"/>
  <c r="Q260" i="453"/>
  <c r="R260" i="453"/>
  <c r="S260" i="453"/>
  <c r="T260" i="453"/>
  <c r="U260" i="453"/>
  <c r="V260" i="453"/>
  <c r="W260" i="453"/>
  <c r="X260" i="453"/>
  <c r="Y260" i="453"/>
  <c r="Z260" i="453"/>
  <c r="AA260" i="453"/>
  <c r="AB260" i="453"/>
  <c r="B261" i="453"/>
  <c r="C261" i="453"/>
  <c r="D261" i="453"/>
  <c r="E261" i="453"/>
  <c r="F261" i="453"/>
  <c r="G261" i="453"/>
  <c r="H261" i="453"/>
  <c r="I261" i="453"/>
  <c r="J261" i="453"/>
  <c r="K261" i="453"/>
  <c r="L261" i="453"/>
  <c r="M261" i="453"/>
  <c r="N261" i="453"/>
  <c r="O261" i="453"/>
  <c r="P261" i="453"/>
  <c r="Q261" i="453"/>
  <c r="R261" i="453"/>
  <c r="S261" i="453"/>
  <c r="T261" i="453"/>
  <c r="U261" i="453"/>
  <c r="V261" i="453"/>
  <c r="W261" i="453"/>
  <c r="X261" i="453"/>
  <c r="Y261" i="453"/>
  <c r="Z261" i="453"/>
  <c r="AA261" i="453"/>
  <c r="AB261" i="453"/>
  <c r="B262" i="453"/>
  <c r="C262" i="453"/>
  <c r="D262" i="453"/>
  <c r="E262" i="453"/>
  <c r="F262" i="453"/>
  <c r="G262" i="453"/>
  <c r="H262" i="453"/>
  <c r="I262" i="453"/>
  <c r="J262" i="453"/>
  <c r="K262" i="453"/>
  <c r="L262" i="453"/>
  <c r="M262" i="453"/>
  <c r="N262" i="453"/>
  <c r="O262" i="453"/>
  <c r="P262" i="453"/>
  <c r="Q262" i="453"/>
  <c r="R262" i="453"/>
  <c r="S262" i="453"/>
  <c r="T262" i="453"/>
  <c r="U262" i="453"/>
  <c r="V262" i="453"/>
  <c r="W262" i="453"/>
  <c r="X262" i="453"/>
  <c r="Y262" i="453"/>
  <c r="Z262" i="453"/>
  <c r="AA262" i="453"/>
  <c r="AB262" i="453"/>
  <c r="B263" i="453"/>
  <c r="C263" i="453"/>
  <c r="D263" i="453"/>
  <c r="E263" i="453"/>
  <c r="F263" i="453"/>
  <c r="G263" i="453"/>
  <c r="H263" i="453"/>
  <c r="I263" i="453"/>
  <c r="J263" i="453"/>
  <c r="K263" i="453"/>
  <c r="L263" i="453"/>
  <c r="M263" i="453"/>
  <c r="N263" i="453"/>
  <c r="O263" i="453"/>
  <c r="P263" i="453"/>
  <c r="Q263" i="453"/>
  <c r="R263" i="453"/>
  <c r="S263" i="453"/>
  <c r="T263" i="453"/>
  <c r="U263" i="453"/>
  <c r="V263" i="453"/>
  <c r="W263" i="453"/>
  <c r="X263" i="453"/>
  <c r="Y263" i="453"/>
  <c r="Z263" i="453"/>
  <c r="AA263" i="453"/>
  <c r="AB263" i="453"/>
  <c r="B264" i="453"/>
  <c r="C264" i="453"/>
  <c r="D264" i="453"/>
  <c r="E264" i="453"/>
  <c r="F264" i="453"/>
  <c r="G264" i="453"/>
  <c r="H264" i="453"/>
  <c r="I264" i="453"/>
  <c r="J264" i="453"/>
  <c r="K264" i="453"/>
  <c r="L264" i="453"/>
  <c r="M264" i="453"/>
  <c r="N264" i="453"/>
  <c r="O264" i="453"/>
  <c r="P264" i="453"/>
  <c r="Q264" i="453"/>
  <c r="R264" i="453"/>
  <c r="S264" i="453"/>
  <c r="T264" i="453"/>
  <c r="U264" i="453"/>
  <c r="V264" i="453"/>
  <c r="W264" i="453"/>
  <c r="X264" i="453"/>
  <c r="Y264" i="453"/>
  <c r="Z264" i="453"/>
  <c r="AA264" i="453"/>
  <c r="AB264" i="453"/>
  <c r="B265" i="453"/>
  <c r="C265" i="453"/>
  <c r="D265" i="453"/>
  <c r="E265" i="453"/>
  <c r="F265" i="453"/>
  <c r="G265" i="453"/>
  <c r="H265" i="453"/>
  <c r="I265" i="453"/>
  <c r="J265" i="453"/>
  <c r="K265" i="453"/>
  <c r="L265" i="453"/>
  <c r="M265" i="453"/>
  <c r="N265" i="453"/>
  <c r="O265" i="453"/>
  <c r="P265" i="453"/>
  <c r="Q265" i="453"/>
  <c r="R265" i="453"/>
  <c r="S265" i="453"/>
  <c r="T265" i="453"/>
  <c r="U265" i="453"/>
  <c r="V265" i="453"/>
  <c r="W265" i="453"/>
  <c r="X265" i="453"/>
  <c r="Y265" i="453"/>
  <c r="Z265" i="453"/>
  <c r="AA265" i="453"/>
  <c r="AB265" i="453"/>
  <c r="B266" i="453"/>
  <c r="C266" i="453"/>
  <c r="D266" i="453"/>
  <c r="E266" i="453"/>
  <c r="F266" i="453"/>
  <c r="G266" i="453"/>
  <c r="H266" i="453"/>
  <c r="I266" i="453"/>
  <c r="J266" i="453"/>
  <c r="K266" i="453"/>
  <c r="L266" i="453"/>
  <c r="M266" i="453"/>
  <c r="N266" i="453"/>
  <c r="O266" i="453"/>
  <c r="P266" i="453"/>
  <c r="Q266" i="453"/>
  <c r="R266" i="453"/>
  <c r="S266" i="453"/>
  <c r="T266" i="453"/>
  <c r="U266" i="453"/>
  <c r="V266" i="453"/>
  <c r="W266" i="453"/>
  <c r="X266" i="453"/>
  <c r="Y266" i="453"/>
  <c r="Z266" i="453"/>
  <c r="AA266" i="453"/>
  <c r="AB266" i="453"/>
  <c r="B267" i="453"/>
  <c r="C267" i="453"/>
  <c r="D267" i="453"/>
  <c r="E267" i="453"/>
  <c r="F267" i="453"/>
  <c r="G267" i="453"/>
  <c r="H267" i="453"/>
  <c r="I267" i="453"/>
  <c r="J267" i="453"/>
  <c r="K267" i="453"/>
  <c r="L267" i="453"/>
  <c r="M267" i="453"/>
  <c r="N267" i="453"/>
  <c r="O267" i="453"/>
  <c r="P267" i="453"/>
  <c r="Q267" i="453"/>
  <c r="R267" i="453"/>
  <c r="S267" i="453"/>
  <c r="T267" i="453"/>
  <c r="U267" i="453"/>
  <c r="V267" i="453"/>
  <c r="W267" i="453"/>
  <c r="X267" i="453"/>
  <c r="Y267" i="453"/>
  <c r="Z267" i="453"/>
  <c r="AA267" i="453"/>
  <c r="AB267" i="453"/>
  <c r="B268" i="453"/>
  <c r="C268" i="453"/>
  <c r="D268" i="453"/>
  <c r="E268" i="453"/>
  <c r="F268" i="453"/>
  <c r="G268" i="453"/>
  <c r="H268" i="453"/>
  <c r="I268" i="453"/>
  <c r="J268" i="453"/>
  <c r="K268" i="453"/>
  <c r="L268" i="453"/>
  <c r="M268" i="453"/>
  <c r="N268" i="453"/>
  <c r="O268" i="453"/>
  <c r="P268" i="453"/>
  <c r="Q268" i="453"/>
  <c r="R268" i="453"/>
  <c r="S268" i="453"/>
  <c r="T268" i="453"/>
  <c r="U268" i="453"/>
  <c r="V268" i="453"/>
  <c r="W268" i="453"/>
  <c r="X268" i="453"/>
  <c r="Y268" i="453"/>
  <c r="Z268" i="453"/>
  <c r="AA268" i="453"/>
  <c r="AB268" i="453"/>
  <c r="B269" i="453"/>
  <c r="C269" i="453"/>
  <c r="D269" i="453"/>
  <c r="E269" i="453"/>
  <c r="F269" i="453"/>
  <c r="G269" i="453"/>
  <c r="H269" i="453"/>
  <c r="I269" i="453"/>
  <c r="J269" i="453"/>
  <c r="K269" i="453"/>
  <c r="L269" i="453"/>
  <c r="M269" i="453"/>
  <c r="N269" i="453"/>
  <c r="O269" i="453"/>
  <c r="P269" i="453"/>
  <c r="Q269" i="453"/>
  <c r="R269" i="453"/>
  <c r="S269" i="453"/>
  <c r="T269" i="453"/>
  <c r="U269" i="453"/>
  <c r="V269" i="453"/>
  <c r="W269" i="453"/>
  <c r="X269" i="453"/>
  <c r="Y269" i="453"/>
  <c r="Z269" i="453"/>
  <c r="AA269" i="453"/>
  <c r="AB269" i="453"/>
  <c r="B270" i="453"/>
  <c r="C270" i="453"/>
  <c r="D270" i="453"/>
  <c r="E270" i="453"/>
  <c r="F270" i="453"/>
  <c r="G270" i="453"/>
  <c r="H270" i="453"/>
  <c r="I270" i="453"/>
  <c r="J270" i="453"/>
  <c r="K270" i="453"/>
  <c r="L270" i="453"/>
  <c r="M270" i="453"/>
  <c r="N270" i="453"/>
  <c r="O270" i="453"/>
  <c r="P270" i="453"/>
  <c r="Q270" i="453"/>
  <c r="R270" i="453"/>
  <c r="S270" i="453"/>
  <c r="T270" i="453"/>
  <c r="U270" i="453"/>
  <c r="V270" i="453"/>
  <c r="W270" i="453"/>
  <c r="X270" i="453"/>
  <c r="Y270" i="453"/>
  <c r="Z270" i="453"/>
  <c r="AA270" i="453"/>
  <c r="AB270" i="453"/>
  <c r="B271" i="453"/>
  <c r="C271" i="453"/>
  <c r="D271" i="453"/>
  <c r="E271" i="453"/>
  <c r="F271" i="453"/>
  <c r="G271" i="453"/>
  <c r="H271" i="453"/>
  <c r="I271" i="453"/>
  <c r="J271" i="453"/>
  <c r="K271" i="453"/>
  <c r="L271" i="453"/>
  <c r="M271" i="453"/>
  <c r="N271" i="453"/>
  <c r="O271" i="453"/>
  <c r="P271" i="453"/>
  <c r="Q271" i="453"/>
  <c r="R271" i="453"/>
  <c r="S271" i="453"/>
  <c r="T271" i="453"/>
  <c r="U271" i="453"/>
  <c r="V271" i="453"/>
  <c r="W271" i="453"/>
  <c r="X271" i="453"/>
  <c r="Y271" i="453"/>
  <c r="Z271" i="453"/>
  <c r="AA271" i="453"/>
  <c r="AB271" i="453"/>
  <c r="B272" i="453"/>
  <c r="C272" i="453"/>
  <c r="D272" i="453"/>
  <c r="E272" i="453"/>
  <c r="F272" i="453"/>
  <c r="G272" i="453"/>
  <c r="H272" i="453"/>
  <c r="I272" i="453"/>
  <c r="J272" i="453"/>
  <c r="K272" i="453"/>
  <c r="L272" i="453"/>
  <c r="M272" i="453"/>
  <c r="N272" i="453"/>
  <c r="O272" i="453"/>
  <c r="P272" i="453"/>
  <c r="Q272" i="453"/>
  <c r="R272" i="453"/>
  <c r="S272" i="453"/>
  <c r="T272" i="453"/>
  <c r="U272" i="453"/>
  <c r="V272" i="453"/>
  <c r="W272" i="453"/>
  <c r="X272" i="453"/>
  <c r="Y272" i="453"/>
  <c r="Z272" i="453"/>
  <c r="AA272" i="453"/>
  <c r="AB272" i="453"/>
  <c r="B273" i="453"/>
  <c r="C273" i="453"/>
  <c r="D273" i="453"/>
  <c r="E273" i="453"/>
  <c r="F273" i="453"/>
  <c r="G273" i="453"/>
  <c r="H273" i="453"/>
  <c r="I273" i="453"/>
  <c r="J273" i="453"/>
  <c r="K273" i="453"/>
  <c r="L273" i="453"/>
  <c r="M273" i="453"/>
  <c r="N273" i="453"/>
  <c r="O273" i="453"/>
  <c r="P273" i="453"/>
  <c r="Q273" i="453"/>
  <c r="R273" i="453"/>
  <c r="S273" i="453"/>
  <c r="T273" i="453"/>
  <c r="U273" i="453"/>
  <c r="V273" i="453"/>
  <c r="W273" i="453"/>
  <c r="X273" i="453"/>
  <c r="Y273" i="453"/>
  <c r="Z273" i="453"/>
  <c r="AA273" i="453"/>
  <c r="AB273" i="453"/>
  <c r="B274" i="453"/>
  <c r="C274" i="453"/>
  <c r="D274" i="453"/>
  <c r="E274" i="453"/>
  <c r="F274" i="453"/>
  <c r="G274" i="453"/>
  <c r="H274" i="453"/>
  <c r="I274" i="453"/>
  <c r="J274" i="453"/>
  <c r="K274" i="453"/>
  <c r="L274" i="453"/>
  <c r="M274" i="453"/>
  <c r="N274" i="453"/>
  <c r="O274" i="453"/>
  <c r="P274" i="453"/>
  <c r="Q274" i="453"/>
  <c r="R274" i="453"/>
  <c r="S274" i="453"/>
  <c r="T274" i="453"/>
  <c r="U274" i="453"/>
  <c r="V274" i="453"/>
  <c r="W274" i="453"/>
  <c r="X274" i="453"/>
  <c r="Y274" i="453"/>
  <c r="Z274" i="453"/>
  <c r="AA274" i="453"/>
  <c r="AB274" i="453"/>
  <c r="B275" i="453"/>
  <c r="C275" i="453"/>
  <c r="D275" i="453"/>
  <c r="E275" i="453"/>
  <c r="F275" i="453"/>
  <c r="G275" i="453"/>
  <c r="H275" i="453"/>
  <c r="I275" i="453"/>
  <c r="J275" i="453"/>
  <c r="K275" i="453"/>
  <c r="L275" i="453"/>
  <c r="M275" i="453"/>
  <c r="N275" i="453"/>
  <c r="O275" i="453"/>
  <c r="P275" i="453"/>
  <c r="Q275" i="453"/>
  <c r="R275" i="453"/>
  <c r="S275" i="453"/>
  <c r="T275" i="453"/>
  <c r="U275" i="453"/>
  <c r="V275" i="453"/>
  <c r="W275" i="453"/>
  <c r="X275" i="453"/>
  <c r="Y275" i="453"/>
  <c r="Z275" i="453"/>
  <c r="AA275" i="453"/>
  <c r="AB275" i="453"/>
  <c r="B276" i="453"/>
  <c r="C276" i="453"/>
  <c r="D276" i="453"/>
  <c r="E276" i="453"/>
  <c r="F276" i="453"/>
  <c r="G276" i="453"/>
  <c r="H276" i="453"/>
  <c r="I276" i="453"/>
  <c r="J276" i="453"/>
  <c r="K276" i="453"/>
  <c r="L276" i="453"/>
  <c r="M276" i="453"/>
  <c r="N276" i="453"/>
  <c r="O276" i="453"/>
  <c r="P276" i="453"/>
  <c r="Q276" i="453"/>
  <c r="R276" i="453"/>
  <c r="S276" i="453"/>
  <c r="T276" i="453"/>
  <c r="U276" i="453"/>
  <c r="V276" i="453"/>
  <c r="W276" i="453"/>
  <c r="X276" i="453"/>
  <c r="Y276" i="453"/>
  <c r="Z276" i="453"/>
  <c r="AA276" i="453"/>
  <c r="AB276" i="453"/>
  <c r="B277" i="453"/>
  <c r="C277" i="453"/>
  <c r="D277" i="453"/>
  <c r="E277" i="453"/>
  <c r="F277" i="453"/>
  <c r="G277" i="453"/>
  <c r="H277" i="453"/>
  <c r="I277" i="453"/>
  <c r="J277" i="453"/>
  <c r="K277" i="453"/>
  <c r="L277" i="453"/>
  <c r="M277" i="453"/>
  <c r="N277" i="453"/>
  <c r="O277" i="453"/>
  <c r="P277" i="453"/>
  <c r="Q277" i="453"/>
  <c r="R277" i="453"/>
  <c r="S277" i="453"/>
  <c r="T277" i="453"/>
  <c r="U277" i="453"/>
  <c r="V277" i="453"/>
  <c r="W277" i="453"/>
  <c r="X277" i="453"/>
  <c r="Y277" i="453"/>
  <c r="Z277" i="453"/>
  <c r="AA277" i="453"/>
  <c r="AB277" i="453"/>
  <c r="B278" i="453"/>
  <c r="C278" i="453"/>
  <c r="D278" i="453"/>
  <c r="E278" i="453"/>
  <c r="F278" i="453"/>
  <c r="G278" i="453"/>
  <c r="H278" i="453"/>
  <c r="I278" i="453"/>
  <c r="J278" i="453"/>
  <c r="K278" i="453"/>
  <c r="L278" i="453"/>
  <c r="M278" i="453"/>
  <c r="N278" i="453"/>
  <c r="O278" i="453"/>
  <c r="P278" i="453"/>
  <c r="Q278" i="453"/>
  <c r="R278" i="453"/>
  <c r="S278" i="453"/>
  <c r="T278" i="453"/>
  <c r="U278" i="453"/>
  <c r="V278" i="453"/>
  <c r="W278" i="453"/>
  <c r="X278" i="453"/>
  <c r="Y278" i="453"/>
  <c r="Z278" i="453"/>
  <c r="AA278" i="453"/>
  <c r="AB278" i="453"/>
  <c r="B243" i="452"/>
  <c r="C243" i="452"/>
  <c r="D243" i="452"/>
  <c r="E243" i="452"/>
  <c r="F243" i="452"/>
  <c r="G243" i="452"/>
  <c r="H243" i="452"/>
  <c r="I243" i="452"/>
  <c r="J243" i="452"/>
  <c r="K243" i="452"/>
  <c r="L243" i="452"/>
  <c r="M243" i="452"/>
  <c r="N243" i="452"/>
  <c r="O243" i="452"/>
  <c r="P243" i="452"/>
  <c r="Q243" i="452"/>
  <c r="R243" i="452"/>
  <c r="S243" i="452"/>
  <c r="T243" i="452"/>
  <c r="U243" i="452"/>
  <c r="V243" i="452"/>
  <c r="W243" i="452"/>
  <c r="X243" i="452"/>
  <c r="Y243" i="452"/>
  <c r="Z243" i="452"/>
  <c r="AA243" i="452"/>
  <c r="B244" i="452"/>
  <c r="C244" i="452"/>
  <c r="D244" i="452"/>
  <c r="E244" i="452"/>
  <c r="F244" i="452"/>
  <c r="G244" i="452"/>
  <c r="H244" i="452"/>
  <c r="I244" i="452"/>
  <c r="J244" i="452"/>
  <c r="K244" i="452"/>
  <c r="L244" i="452"/>
  <c r="M244" i="452"/>
  <c r="N244" i="452"/>
  <c r="O244" i="452"/>
  <c r="P244" i="452"/>
  <c r="Q244" i="452"/>
  <c r="R244" i="452"/>
  <c r="S244" i="452"/>
  <c r="T244" i="452"/>
  <c r="U244" i="452"/>
  <c r="V244" i="452"/>
  <c r="W244" i="452"/>
  <c r="X244" i="452"/>
  <c r="Y244" i="452"/>
  <c r="Z244" i="452"/>
  <c r="AA244" i="452"/>
  <c r="B245" i="452"/>
  <c r="C245" i="452"/>
  <c r="D245" i="452"/>
  <c r="E245" i="452"/>
  <c r="F245" i="452"/>
  <c r="G245" i="452"/>
  <c r="H245" i="452"/>
  <c r="I245" i="452"/>
  <c r="J245" i="452"/>
  <c r="K245" i="452"/>
  <c r="L245" i="452"/>
  <c r="M245" i="452"/>
  <c r="N245" i="452"/>
  <c r="O245" i="452"/>
  <c r="P245" i="452"/>
  <c r="Q245" i="452"/>
  <c r="R245" i="452"/>
  <c r="S245" i="452"/>
  <c r="T245" i="452"/>
  <c r="U245" i="452"/>
  <c r="V245" i="452"/>
  <c r="W245" i="452"/>
  <c r="X245" i="452"/>
  <c r="Y245" i="452"/>
  <c r="Z245" i="452"/>
  <c r="AA245" i="452"/>
  <c r="B246" i="452"/>
  <c r="C246" i="452"/>
  <c r="D246" i="452"/>
  <c r="E246" i="452"/>
  <c r="F246" i="452"/>
  <c r="G246" i="452"/>
  <c r="H246" i="452"/>
  <c r="I246" i="452"/>
  <c r="J246" i="452"/>
  <c r="K246" i="452"/>
  <c r="L246" i="452"/>
  <c r="M246" i="452"/>
  <c r="N246" i="452"/>
  <c r="O246" i="452"/>
  <c r="P246" i="452"/>
  <c r="Q246" i="452"/>
  <c r="R246" i="452"/>
  <c r="S246" i="452"/>
  <c r="T246" i="452"/>
  <c r="U246" i="452"/>
  <c r="V246" i="452"/>
  <c r="W246" i="452"/>
  <c r="X246" i="452"/>
  <c r="Y246" i="452"/>
  <c r="Z246" i="452"/>
  <c r="AA246" i="452"/>
  <c r="B247" i="452"/>
  <c r="C247" i="452"/>
  <c r="D247" i="452"/>
  <c r="E247" i="452"/>
  <c r="F247" i="452"/>
  <c r="G247" i="452"/>
  <c r="H247" i="452"/>
  <c r="I247" i="452"/>
  <c r="J247" i="452"/>
  <c r="K247" i="452"/>
  <c r="L247" i="452"/>
  <c r="M247" i="452"/>
  <c r="N247" i="452"/>
  <c r="O247" i="452"/>
  <c r="P247" i="452"/>
  <c r="Q247" i="452"/>
  <c r="R247" i="452"/>
  <c r="S247" i="452"/>
  <c r="T247" i="452"/>
  <c r="U247" i="452"/>
  <c r="V247" i="452"/>
  <c r="W247" i="452"/>
  <c r="X247" i="452"/>
  <c r="Y247" i="452"/>
  <c r="Z247" i="452"/>
  <c r="AA247" i="452"/>
  <c r="B248" i="452"/>
  <c r="C248" i="452"/>
  <c r="D248" i="452"/>
  <c r="E248" i="452"/>
  <c r="F248" i="452"/>
  <c r="G248" i="452"/>
  <c r="H248" i="452"/>
  <c r="I248" i="452"/>
  <c r="J248" i="452"/>
  <c r="K248" i="452"/>
  <c r="L248" i="452"/>
  <c r="M248" i="452"/>
  <c r="N248" i="452"/>
  <c r="O248" i="452"/>
  <c r="P248" i="452"/>
  <c r="Q248" i="452"/>
  <c r="R248" i="452"/>
  <c r="S248" i="452"/>
  <c r="T248" i="452"/>
  <c r="U248" i="452"/>
  <c r="V248" i="452"/>
  <c r="W248" i="452"/>
  <c r="X248" i="452"/>
  <c r="Y248" i="452"/>
  <c r="Z248" i="452"/>
  <c r="AA248" i="452"/>
  <c r="B249" i="452"/>
  <c r="C249" i="452"/>
  <c r="D249" i="452"/>
  <c r="E249" i="452"/>
  <c r="F249" i="452"/>
  <c r="G249" i="452"/>
  <c r="H249" i="452"/>
  <c r="I249" i="452"/>
  <c r="J249" i="452"/>
  <c r="K249" i="452"/>
  <c r="L249" i="452"/>
  <c r="M249" i="452"/>
  <c r="N249" i="452"/>
  <c r="O249" i="452"/>
  <c r="P249" i="452"/>
  <c r="Q249" i="452"/>
  <c r="R249" i="452"/>
  <c r="S249" i="452"/>
  <c r="T249" i="452"/>
  <c r="U249" i="452"/>
  <c r="V249" i="452"/>
  <c r="W249" i="452"/>
  <c r="X249" i="452"/>
  <c r="Y249" i="452"/>
  <c r="Z249" i="452"/>
  <c r="AA249" i="452"/>
  <c r="B250" i="452"/>
  <c r="C250" i="452"/>
  <c r="D250" i="452"/>
  <c r="E250" i="452"/>
  <c r="F250" i="452"/>
  <c r="G250" i="452"/>
  <c r="H250" i="452"/>
  <c r="I250" i="452"/>
  <c r="J250" i="452"/>
  <c r="K250" i="452"/>
  <c r="L250" i="452"/>
  <c r="M250" i="452"/>
  <c r="N250" i="452"/>
  <c r="O250" i="452"/>
  <c r="P250" i="452"/>
  <c r="Q250" i="452"/>
  <c r="R250" i="452"/>
  <c r="S250" i="452"/>
  <c r="T250" i="452"/>
  <c r="U250" i="452"/>
  <c r="V250" i="452"/>
  <c r="W250" i="452"/>
  <c r="X250" i="452"/>
  <c r="Y250" i="452"/>
  <c r="Z250" i="452"/>
  <c r="AA250" i="452"/>
  <c r="B251" i="452"/>
  <c r="C251" i="452"/>
  <c r="D251" i="452"/>
  <c r="E251" i="452"/>
  <c r="F251" i="452"/>
  <c r="G251" i="452"/>
  <c r="H251" i="452"/>
  <c r="I251" i="452"/>
  <c r="J251" i="452"/>
  <c r="K251" i="452"/>
  <c r="L251" i="452"/>
  <c r="M251" i="452"/>
  <c r="N251" i="452"/>
  <c r="O251" i="452"/>
  <c r="P251" i="452"/>
  <c r="Q251" i="452"/>
  <c r="R251" i="452"/>
  <c r="S251" i="452"/>
  <c r="T251" i="452"/>
  <c r="U251" i="452"/>
  <c r="V251" i="452"/>
  <c r="W251" i="452"/>
  <c r="X251" i="452"/>
  <c r="Y251" i="452"/>
  <c r="Z251" i="452"/>
  <c r="AA251" i="452"/>
  <c r="B252" i="452"/>
  <c r="C252" i="452"/>
  <c r="D252" i="452"/>
  <c r="E252" i="452"/>
  <c r="F252" i="452"/>
  <c r="G252" i="452"/>
  <c r="H252" i="452"/>
  <c r="I252" i="452"/>
  <c r="J252" i="452"/>
  <c r="K252" i="452"/>
  <c r="L252" i="452"/>
  <c r="M252" i="452"/>
  <c r="N252" i="452"/>
  <c r="O252" i="452"/>
  <c r="P252" i="452"/>
  <c r="Q252" i="452"/>
  <c r="R252" i="452"/>
  <c r="S252" i="452"/>
  <c r="T252" i="452"/>
  <c r="U252" i="452"/>
  <c r="V252" i="452"/>
  <c r="W252" i="452"/>
  <c r="X252" i="452"/>
  <c r="Y252" i="452"/>
  <c r="Z252" i="452"/>
  <c r="AA252" i="452"/>
  <c r="B253" i="452"/>
  <c r="C253" i="452"/>
  <c r="D253" i="452"/>
  <c r="E253" i="452"/>
  <c r="F253" i="452"/>
  <c r="G253" i="452"/>
  <c r="H253" i="452"/>
  <c r="I253" i="452"/>
  <c r="J253" i="452"/>
  <c r="K253" i="452"/>
  <c r="L253" i="452"/>
  <c r="M253" i="452"/>
  <c r="N253" i="452"/>
  <c r="O253" i="452"/>
  <c r="P253" i="452"/>
  <c r="Q253" i="452"/>
  <c r="R253" i="452"/>
  <c r="S253" i="452"/>
  <c r="T253" i="452"/>
  <c r="U253" i="452"/>
  <c r="V253" i="452"/>
  <c r="W253" i="452"/>
  <c r="X253" i="452"/>
  <c r="Y253" i="452"/>
  <c r="Z253" i="452"/>
  <c r="AA253" i="452"/>
  <c r="B254" i="452"/>
  <c r="C254" i="452"/>
  <c r="D254" i="452"/>
  <c r="E254" i="452"/>
  <c r="F254" i="452"/>
  <c r="G254" i="452"/>
  <c r="H254" i="452"/>
  <c r="I254" i="452"/>
  <c r="J254" i="452"/>
  <c r="K254" i="452"/>
  <c r="L254" i="452"/>
  <c r="M254" i="452"/>
  <c r="N254" i="452"/>
  <c r="O254" i="452"/>
  <c r="P254" i="452"/>
  <c r="Q254" i="452"/>
  <c r="R254" i="452"/>
  <c r="S254" i="452"/>
  <c r="T254" i="452"/>
  <c r="U254" i="452"/>
  <c r="V254" i="452"/>
  <c r="W254" i="452"/>
  <c r="X254" i="452"/>
  <c r="Y254" i="452"/>
  <c r="Z254" i="452"/>
  <c r="AA254" i="452"/>
  <c r="B255" i="452"/>
  <c r="C255" i="452"/>
  <c r="D255" i="452"/>
  <c r="E255" i="452"/>
  <c r="F255" i="452"/>
  <c r="G255" i="452"/>
  <c r="H255" i="452"/>
  <c r="I255" i="452"/>
  <c r="J255" i="452"/>
  <c r="K255" i="452"/>
  <c r="L255" i="452"/>
  <c r="M255" i="452"/>
  <c r="N255" i="452"/>
  <c r="O255" i="452"/>
  <c r="P255" i="452"/>
  <c r="Q255" i="452"/>
  <c r="R255" i="452"/>
  <c r="S255" i="452"/>
  <c r="T255" i="452"/>
  <c r="U255" i="452"/>
  <c r="V255" i="452"/>
  <c r="W255" i="452"/>
  <c r="X255" i="452"/>
  <c r="Y255" i="452"/>
  <c r="Z255" i="452"/>
  <c r="AA255" i="452"/>
  <c r="B256" i="452"/>
  <c r="C256" i="452"/>
  <c r="D256" i="452"/>
  <c r="E256" i="452"/>
  <c r="F256" i="452"/>
  <c r="G256" i="452"/>
  <c r="H256" i="452"/>
  <c r="I256" i="452"/>
  <c r="J256" i="452"/>
  <c r="K256" i="452"/>
  <c r="L256" i="452"/>
  <c r="M256" i="452"/>
  <c r="N256" i="452"/>
  <c r="O256" i="452"/>
  <c r="P256" i="452"/>
  <c r="Q256" i="452"/>
  <c r="R256" i="452"/>
  <c r="S256" i="452"/>
  <c r="T256" i="452"/>
  <c r="U256" i="452"/>
  <c r="V256" i="452"/>
  <c r="W256" i="452"/>
  <c r="X256" i="452"/>
  <c r="Y256" i="452"/>
  <c r="Z256" i="452"/>
  <c r="AA256" i="452"/>
  <c r="B257" i="452"/>
  <c r="C257" i="452"/>
  <c r="D257" i="452"/>
  <c r="E257" i="452"/>
  <c r="F257" i="452"/>
  <c r="G257" i="452"/>
  <c r="H257" i="452"/>
  <c r="I257" i="452"/>
  <c r="J257" i="452"/>
  <c r="K257" i="452"/>
  <c r="L257" i="452"/>
  <c r="M257" i="452"/>
  <c r="N257" i="452"/>
  <c r="O257" i="452"/>
  <c r="P257" i="452"/>
  <c r="Q257" i="452"/>
  <c r="R257" i="452"/>
  <c r="S257" i="452"/>
  <c r="T257" i="452"/>
  <c r="U257" i="452"/>
  <c r="V257" i="452"/>
  <c r="W257" i="452"/>
  <c r="X257" i="452"/>
  <c r="Y257" i="452"/>
  <c r="Z257" i="452"/>
  <c r="AA257" i="452"/>
  <c r="B258" i="452"/>
  <c r="C258" i="452"/>
  <c r="D258" i="452"/>
  <c r="E258" i="452"/>
  <c r="F258" i="452"/>
  <c r="G258" i="452"/>
  <c r="H258" i="452"/>
  <c r="I258" i="452"/>
  <c r="J258" i="452"/>
  <c r="K258" i="452"/>
  <c r="L258" i="452"/>
  <c r="M258" i="452"/>
  <c r="N258" i="452"/>
  <c r="O258" i="452"/>
  <c r="P258" i="452"/>
  <c r="Q258" i="452"/>
  <c r="R258" i="452"/>
  <c r="S258" i="452"/>
  <c r="T258" i="452"/>
  <c r="U258" i="452"/>
  <c r="V258" i="452"/>
  <c r="W258" i="452"/>
  <c r="X258" i="452"/>
  <c r="Y258" i="452"/>
  <c r="Z258" i="452"/>
  <c r="AA258" i="452"/>
  <c r="B259" i="452"/>
  <c r="C259" i="452"/>
  <c r="D259" i="452"/>
  <c r="E259" i="452"/>
  <c r="F259" i="452"/>
  <c r="G259" i="452"/>
  <c r="H259" i="452"/>
  <c r="I259" i="452"/>
  <c r="J259" i="452"/>
  <c r="K259" i="452"/>
  <c r="L259" i="452"/>
  <c r="M259" i="452"/>
  <c r="N259" i="452"/>
  <c r="O259" i="452"/>
  <c r="P259" i="452"/>
  <c r="Q259" i="452"/>
  <c r="R259" i="452"/>
  <c r="S259" i="452"/>
  <c r="T259" i="452"/>
  <c r="U259" i="452"/>
  <c r="V259" i="452"/>
  <c r="W259" i="452"/>
  <c r="X259" i="452"/>
  <c r="Y259" i="452"/>
  <c r="Z259" i="452"/>
  <c r="AA259" i="452"/>
  <c r="B260" i="452"/>
  <c r="C260" i="452"/>
  <c r="D260" i="452"/>
  <c r="E260" i="452"/>
  <c r="F260" i="452"/>
  <c r="G260" i="452"/>
  <c r="H260" i="452"/>
  <c r="I260" i="452"/>
  <c r="J260" i="452"/>
  <c r="K260" i="452"/>
  <c r="L260" i="452"/>
  <c r="M260" i="452"/>
  <c r="N260" i="452"/>
  <c r="O260" i="452"/>
  <c r="P260" i="452"/>
  <c r="Q260" i="452"/>
  <c r="R260" i="452"/>
  <c r="S260" i="452"/>
  <c r="T260" i="452"/>
  <c r="U260" i="452"/>
  <c r="V260" i="452"/>
  <c r="W260" i="452"/>
  <c r="X260" i="452"/>
  <c r="Y260" i="452"/>
  <c r="Z260" i="452"/>
  <c r="AA260" i="452"/>
  <c r="B261" i="452"/>
  <c r="C261" i="452"/>
  <c r="D261" i="452"/>
  <c r="E261" i="452"/>
  <c r="F261" i="452"/>
  <c r="G261" i="452"/>
  <c r="H261" i="452"/>
  <c r="I261" i="452"/>
  <c r="J261" i="452"/>
  <c r="K261" i="452"/>
  <c r="L261" i="452"/>
  <c r="M261" i="452"/>
  <c r="N261" i="452"/>
  <c r="O261" i="452"/>
  <c r="P261" i="452"/>
  <c r="Q261" i="452"/>
  <c r="R261" i="452"/>
  <c r="S261" i="452"/>
  <c r="T261" i="452"/>
  <c r="U261" i="452"/>
  <c r="V261" i="452"/>
  <c r="W261" i="452"/>
  <c r="X261" i="452"/>
  <c r="Y261" i="452"/>
  <c r="Z261" i="452"/>
  <c r="AA261" i="452"/>
  <c r="B262" i="452"/>
  <c r="C262" i="452"/>
  <c r="D262" i="452"/>
  <c r="E262" i="452"/>
  <c r="F262" i="452"/>
  <c r="G262" i="452"/>
  <c r="H262" i="452"/>
  <c r="I262" i="452"/>
  <c r="J262" i="452"/>
  <c r="K262" i="452"/>
  <c r="L262" i="452"/>
  <c r="M262" i="452"/>
  <c r="N262" i="452"/>
  <c r="O262" i="452"/>
  <c r="P262" i="452"/>
  <c r="Q262" i="452"/>
  <c r="R262" i="452"/>
  <c r="S262" i="452"/>
  <c r="T262" i="452"/>
  <c r="U262" i="452"/>
  <c r="V262" i="452"/>
  <c r="W262" i="452"/>
  <c r="X262" i="452"/>
  <c r="Y262" i="452"/>
  <c r="Z262" i="452"/>
  <c r="AA262" i="452"/>
  <c r="B263" i="452"/>
  <c r="C263" i="452"/>
  <c r="D263" i="452"/>
  <c r="E263" i="452"/>
  <c r="F263" i="452"/>
  <c r="G263" i="452"/>
  <c r="H263" i="452"/>
  <c r="I263" i="452"/>
  <c r="J263" i="452"/>
  <c r="K263" i="452"/>
  <c r="L263" i="452"/>
  <c r="M263" i="452"/>
  <c r="N263" i="452"/>
  <c r="O263" i="452"/>
  <c r="P263" i="452"/>
  <c r="Q263" i="452"/>
  <c r="R263" i="452"/>
  <c r="S263" i="452"/>
  <c r="T263" i="452"/>
  <c r="U263" i="452"/>
  <c r="V263" i="452"/>
  <c r="W263" i="452"/>
  <c r="X263" i="452"/>
  <c r="Y263" i="452"/>
  <c r="Z263" i="452"/>
  <c r="AA263" i="452"/>
  <c r="B264" i="452"/>
  <c r="C264" i="452"/>
  <c r="D264" i="452"/>
  <c r="E264" i="452"/>
  <c r="F264" i="452"/>
  <c r="G264" i="452"/>
  <c r="H264" i="452"/>
  <c r="I264" i="452"/>
  <c r="J264" i="452"/>
  <c r="K264" i="452"/>
  <c r="L264" i="452"/>
  <c r="M264" i="452"/>
  <c r="N264" i="452"/>
  <c r="O264" i="452"/>
  <c r="P264" i="452"/>
  <c r="Q264" i="452"/>
  <c r="R264" i="452"/>
  <c r="S264" i="452"/>
  <c r="T264" i="452"/>
  <c r="U264" i="452"/>
  <c r="V264" i="452"/>
  <c r="W264" i="452"/>
  <c r="X264" i="452"/>
  <c r="Y264" i="452"/>
  <c r="Z264" i="452"/>
  <c r="AA264" i="452"/>
  <c r="B265" i="452"/>
  <c r="C265" i="452"/>
  <c r="D265" i="452"/>
  <c r="E265" i="452"/>
  <c r="F265" i="452"/>
  <c r="G265" i="452"/>
  <c r="H265" i="452"/>
  <c r="I265" i="452"/>
  <c r="J265" i="452"/>
  <c r="K265" i="452"/>
  <c r="L265" i="452"/>
  <c r="M265" i="452"/>
  <c r="N265" i="452"/>
  <c r="O265" i="452"/>
  <c r="P265" i="452"/>
  <c r="Q265" i="452"/>
  <c r="R265" i="452"/>
  <c r="S265" i="452"/>
  <c r="T265" i="452"/>
  <c r="U265" i="452"/>
  <c r="V265" i="452"/>
  <c r="W265" i="452"/>
  <c r="X265" i="452"/>
  <c r="Y265" i="452"/>
  <c r="Z265" i="452"/>
  <c r="AA265" i="452"/>
  <c r="B266" i="452"/>
  <c r="C266" i="452"/>
  <c r="D266" i="452"/>
  <c r="E266" i="452"/>
  <c r="F266" i="452"/>
  <c r="G266" i="452"/>
  <c r="H266" i="452"/>
  <c r="I266" i="452"/>
  <c r="J266" i="452"/>
  <c r="K266" i="452"/>
  <c r="L266" i="452"/>
  <c r="M266" i="452"/>
  <c r="N266" i="452"/>
  <c r="O266" i="452"/>
  <c r="P266" i="452"/>
  <c r="Q266" i="452"/>
  <c r="R266" i="452"/>
  <c r="S266" i="452"/>
  <c r="T266" i="452"/>
  <c r="U266" i="452"/>
  <c r="V266" i="452"/>
  <c r="W266" i="452"/>
  <c r="X266" i="452"/>
  <c r="Y266" i="452"/>
  <c r="Z266" i="452"/>
  <c r="AA266" i="452"/>
  <c r="B267" i="452"/>
  <c r="C267" i="452"/>
  <c r="D267" i="452"/>
  <c r="E267" i="452"/>
  <c r="F267" i="452"/>
  <c r="G267" i="452"/>
  <c r="H267" i="452"/>
  <c r="I267" i="452"/>
  <c r="J267" i="452"/>
  <c r="K267" i="452"/>
  <c r="L267" i="452"/>
  <c r="M267" i="452"/>
  <c r="N267" i="452"/>
  <c r="O267" i="452"/>
  <c r="P267" i="452"/>
  <c r="Q267" i="452"/>
  <c r="R267" i="452"/>
  <c r="S267" i="452"/>
  <c r="T267" i="452"/>
  <c r="U267" i="452"/>
  <c r="V267" i="452"/>
  <c r="W267" i="452"/>
  <c r="X267" i="452"/>
  <c r="Y267" i="452"/>
  <c r="Z267" i="452"/>
  <c r="AA267" i="452"/>
  <c r="B268" i="452"/>
  <c r="C268" i="452"/>
  <c r="D268" i="452"/>
  <c r="E268" i="452"/>
  <c r="F268" i="452"/>
  <c r="G268" i="452"/>
  <c r="H268" i="452"/>
  <c r="I268" i="452"/>
  <c r="J268" i="452"/>
  <c r="K268" i="452"/>
  <c r="L268" i="452"/>
  <c r="M268" i="452"/>
  <c r="N268" i="452"/>
  <c r="O268" i="452"/>
  <c r="P268" i="452"/>
  <c r="Q268" i="452"/>
  <c r="R268" i="452"/>
  <c r="S268" i="452"/>
  <c r="T268" i="452"/>
  <c r="U268" i="452"/>
  <c r="V268" i="452"/>
  <c r="W268" i="452"/>
  <c r="X268" i="452"/>
  <c r="Y268" i="452"/>
  <c r="Z268" i="452"/>
  <c r="AA268" i="452"/>
  <c r="B234" i="451"/>
  <c r="C234" i="451"/>
  <c r="D234" i="451"/>
  <c r="E234" i="451"/>
  <c r="F234" i="451"/>
  <c r="G234" i="451"/>
  <c r="H234" i="451"/>
  <c r="I234" i="451"/>
  <c r="J234" i="451"/>
  <c r="K234" i="451"/>
  <c r="L234" i="451"/>
  <c r="M234" i="451"/>
  <c r="N234" i="451"/>
  <c r="O234" i="451"/>
  <c r="P234" i="451"/>
  <c r="Q234" i="451"/>
  <c r="R234" i="451"/>
  <c r="S234" i="451"/>
  <c r="T234" i="451"/>
  <c r="U234" i="451"/>
  <c r="V234" i="451"/>
  <c r="W234" i="451"/>
  <c r="X234" i="451"/>
  <c r="Y234" i="451"/>
  <c r="Z234" i="451"/>
  <c r="B235" i="451"/>
  <c r="C235" i="451"/>
  <c r="D235" i="451"/>
  <c r="E235" i="451"/>
  <c r="F235" i="451"/>
  <c r="G235" i="451"/>
  <c r="H235" i="451"/>
  <c r="I235" i="451"/>
  <c r="J235" i="451"/>
  <c r="K235" i="451"/>
  <c r="L235" i="451"/>
  <c r="M235" i="451"/>
  <c r="N235" i="451"/>
  <c r="O235" i="451"/>
  <c r="P235" i="451"/>
  <c r="Q235" i="451"/>
  <c r="R235" i="451"/>
  <c r="S235" i="451"/>
  <c r="T235" i="451"/>
  <c r="U235" i="451"/>
  <c r="V235" i="451"/>
  <c r="W235" i="451"/>
  <c r="X235" i="451"/>
  <c r="Y235" i="451"/>
  <c r="Z235" i="451"/>
  <c r="B236" i="451"/>
  <c r="C236" i="451"/>
  <c r="D236" i="451"/>
  <c r="E236" i="451"/>
  <c r="F236" i="451"/>
  <c r="G236" i="451"/>
  <c r="H236" i="451"/>
  <c r="I236" i="451"/>
  <c r="J236" i="451"/>
  <c r="K236" i="451"/>
  <c r="L236" i="451"/>
  <c r="M236" i="451"/>
  <c r="N236" i="451"/>
  <c r="O236" i="451"/>
  <c r="P236" i="451"/>
  <c r="Q236" i="451"/>
  <c r="R236" i="451"/>
  <c r="S236" i="451"/>
  <c r="T236" i="451"/>
  <c r="U236" i="451"/>
  <c r="V236" i="451"/>
  <c r="W236" i="451"/>
  <c r="X236" i="451"/>
  <c r="Y236" i="451"/>
  <c r="Z236" i="451"/>
  <c r="B237" i="451"/>
  <c r="C237" i="451"/>
  <c r="D237" i="451"/>
  <c r="E237" i="451"/>
  <c r="F237" i="451"/>
  <c r="G237" i="451"/>
  <c r="H237" i="451"/>
  <c r="I237" i="451"/>
  <c r="J237" i="451"/>
  <c r="K237" i="451"/>
  <c r="L237" i="451"/>
  <c r="M237" i="451"/>
  <c r="N237" i="451"/>
  <c r="O237" i="451"/>
  <c r="P237" i="451"/>
  <c r="Q237" i="451"/>
  <c r="R237" i="451"/>
  <c r="S237" i="451"/>
  <c r="T237" i="451"/>
  <c r="U237" i="451"/>
  <c r="V237" i="451"/>
  <c r="W237" i="451"/>
  <c r="X237" i="451"/>
  <c r="Y237" i="451"/>
  <c r="Z237" i="451"/>
  <c r="B238" i="451"/>
  <c r="C238" i="451"/>
  <c r="D238" i="451"/>
  <c r="E238" i="451"/>
  <c r="F238" i="451"/>
  <c r="G238" i="451"/>
  <c r="H238" i="451"/>
  <c r="I238" i="451"/>
  <c r="J238" i="451"/>
  <c r="K238" i="451"/>
  <c r="L238" i="451"/>
  <c r="M238" i="451"/>
  <c r="N238" i="451"/>
  <c r="O238" i="451"/>
  <c r="P238" i="451"/>
  <c r="Q238" i="451"/>
  <c r="R238" i="451"/>
  <c r="S238" i="451"/>
  <c r="T238" i="451"/>
  <c r="U238" i="451"/>
  <c r="V238" i="451"/>
  <c r="W238" i="451"/>
  <c r="X238" i="451"/>
  <c r="Y238" i="451"/>
  <c r="Z238" i="451"/>
  <c r="B239" i="451"/>
  <c r="C239" i="451"/>
  <c r="D239" i="451"/>
  <c r="E239" i="451"/>
  <c r="F239" i="451"/>
  <c r="G239" i="451"/>
  <c r="H239" i="451"/>
  <c r="I239" i="451"/>
  <c r="J239" i="451"/>
  <c r="K239" i="451"/>
  <c r="L239" i="451"/>
  <c r="M239" i="451"/>
  <c r="N239" i="451"/>
  <c r="O239" i="451"/>
  <c r="P239" i="451"/>
  <c r="Q239" i="451"/>
  <c r="R239" i="451"/>
  <c r="S239" i="451"/>
  <c r="T239" i="451"/>
  <c r="U239" i="451"/>
  <c r="V239" i="451"/>
  <c r="W239" i="451"/>
  <c r="X239" i="451"/>
  <c r="Y239" i="451"/>
  <c r="Z239" i="451"/>
  <c r="B240" i="451"/>
  <c r="C240" i="451"/>
  <c r="D240" i="451"/>
  <c r="E240" i="451"/>
  <c r="F240" i="451"/>
  <c r="G240" i="451"/>
  <c r="H240" i="451"/>
  <c r="I240" i="451"/>
  <c r="J240" i="451"/>
  <c r="K240" i="451"/>
  <c r="L240" i="451"/>
  <c r="M240" i="451"/>
  <c r="N240" i="451"/>
  <c r="O240" i="451"/>
  <c r="P240" i="451"/>
  <c r="Q240" i="451"/>
  <c r="R240" i="451"/>
  <c r="S240" i="451"/>
  <c r="T240" i="451"/>
  <c r="U240" i="451"/>
  <c r="V240" i="451"/>
  <c r="W240" i="451"/>
  <c r="X240" i="451"/>
  <c r="Y240" i="451"/>
  <c r="Z240" i="451"/>
  <c r="B241" i="451"/>
  <c r="C241" i="451"/>
  <c r="D241" i="451"/>
  <c r="E241" i="451"/>
  <c r="F241" i="451"/>
  <c r="G241" i="451"/>
  <c r="H241" i="451"/>
  <c r="I241" i="451"/>
  <c r="J241" i="451"/>
  <c r="K241" i="451"/>
  <c r="L241" i="451"/>
  <c r="M241" i="451"/>
  <c r="N241" i="451"/>
  <c r="O241" i="451"/>
  <c r="P241" i="451"/>
  <c r="Q241" i="451"/>
  <c r="R241" i="451"/>
  <c r="S241" i="451"/>
  <c r="T241" i="451"/>
  <c r="U241" i="451"/>
  <c r="V241" i="451"/>
  <c r="W241" i="451"/>
  <c r="X241" i="451"/>
  <c r="Y241" i="451"/>
  <c r="Z241" i="451"/>
  <c r="B242" i="451"/>
  <c r="C242" i="451"/>
  <c r="D242" i="451"/>
  <c r="E242" i="451"/>
  <c r="F242" i="451"/>
  <c r="G242" i="451"/>
  <c r="H242" i="451"/>
  <c r="I242" i="451"/>
  <c r="J242" i="451"/>
  <c r="K242" i="451"/>
  <c r="L242" i="451"/>
  <c r="M242" i="451"/>
  <c r="N242" i="451"/>
  <c r="O242" i="451"/>
  <c r="P242" i="451"/>
  <c r="Q242" i="451"/>
  <c r="R242" i="451"/>
  <c r="S242" i="451"/>
  <c r="T242" i="451"/>
  <c r="U242" i="451"/>
  <c r="V242" i="451"/>
  <c r="W242" i="451"/>
  <c r="X242" i="451"/>
  <c r="Y242" i="451"/>
  <c r="Z242" i="451"/>
  <c r="B243" i="451"/>
  <c r="C243" i="451"/>
  <c r="D243" i="451"/>
  <c r="E243" i="451"/>
  <c r="F243" i="451"/>
  <c r="G243" i="451"/>
  <c r="H243" i="451"/>
  <c r="I243" i="451"/>
  <c r="J243" i="451"/>
  <c r="K243" i="451"/>
  <c r="L243" i="451"/>
  <c r="M243" i="451"/>
  <c r="N243" i="451"/>
  <c r="O243" i="451"/>
  <c r="P243" i="451"/>
  <c r="Q243" i="451"/>
  <c r="R243" i="451"/>
  <c r="S243" i="451"/>
  <c r="T243" i="451"/>
  <c r="U243" i="451"/>
  <c r="V243" i="451"/>
  <c r="W243" i="451"/>
  <c r="X243" i="451"/>
  <c r="Y243" i="451"/>
  <c r="Z243" i="451"/>
  <c r="B244" i="451"/>
  <c r="C244" i="451"/>
  <c r="D244" i="451"/>
  <c r="E244" i="451"/>
  <c r="F244" i="451"/>
  <c r="G244" i="451"/>
  <c r="H244" i="451"/>
  <c r="I244" i="451"/>
  <c r="J244" i="451"/>
  <c r="K244" i="451"/>
  <c r="L244" i="451"/>
  <c r="M244" i="451"/>
  <c r="N244" i="451"/>
  <c r="O244" i="451"/>
  <c r="P244" i="451"/>
  <c r="Q244" i="451"/>
  <c r="R244" i="451"/>
  <c r="S244" i="451"/>
  <c r="T244" i="451"/>
  <c r="U244" i="451"/>
  <c r="V244" i="451"/>
  <c r="W244" i="451"/>
  <c r="X244" i="451"/>
  <c r="Y244" i="451"/>
  <c r="Z244" i="451"/>
  <c r="B245" i="451"/>
  <c r="C245" i="451"/>
  <c r="D245" i="451"/>
  <c r="E245" i="451"/>
  <c r="F245" i="451"/>
  <c r="G245" i="451"/>
  <c r="H245" i="451"/>
  <c r="I245" i="451"/>
  <c r="J245" i="451"/>
  <c r="K245" i="451"/>
  <c r="L245" i="451"/>
  <c r="M245" i="451"/>
  <c r="N245" i="451"/>
  <c r="O245" i="451"/>
  <c r="P245" i="451"/>
  <c r="Q245" i="451"/>
  <c r="R245" i="451"/>
  <c r="S245" i="451"/>
  <c r="T245" i="451"/>
  <c r="U245" i="451"/>
  <c r="V245" i="451"/>
  <c r="W245" i="451"/>
  <c r="X245" i="451"/>
  <c r="Y245" i="451"/>
  <c r="Z245" i="451"/>
  <c r="B246" i="451"/>
  <c r="C246" i="451"/>
  <c r="D246" i="451"/>
  <c r="E246" i="451"/>
  <c r="F246" i="451"/>
  <c r="G246" i="451"/>
  <c r="H246" i="451"/>
  <c r="I246" i="451"/>
  <c r="J246" i="451"/>
  <c r="K246" i="451"/>
  <c r="L246" i="451"/>
  <c r="M246" i="451"/>
  <c r="N246" i="451"/>
  <c r="O246" i="451"/>
  <c r="P246" i="451"/>
  <c r="Q246" i="451"/>
  <c r="R246" i="451"/>
  <c r="S246" i="451"/>
  <c r="T246" i="451"/>
  <c r="U246" i="451"/>
  <c r="V246" i="451"/>
  <c r="W246" i="451"/>
  <c r="X246" i="451"/>
  <c r="Y246" i="451"/>
  <c r="Z246" i="451"/>
  <c r="B247" i="451"/>
  <c r="C247" i="451"/>
  <c r="D247" i="451"/>
  <c r="E247" i="451"/>
  <c r="F247" i="451"/>
  <c r="G247" i="451"/>
  <c r="H247" i="451"/>
  <c r="I247" i="451"/>
  <c r="J247" i="451"/>
  <c r="K247" i="451"/>
  <c r="L247" i="451"/>
  <c r="M247" i="451"/>
  <c r="N247" i="451"/>
  <c r="O247" i="451"/>
  <c r="P247" i="451"/>
  <c r="Q247" i="451"/>
  <c r="R247" i="451"/>
  <c r="S247" i="451"/>
  <c r="T247" i="451"/>
  <c r="U247" i="451"/>
  <c r="V247" i="451"/>
  <c r="W247" i="451"/>
  <c r="X247" i="451"/>
  <c r="Y247" i="451"/>
  <c r="Z247" i="451"/>
  <c r="B248" i="451"/>
  <c r="C248" i="451"/>
  <c r="D248" i="451"/>
  <c r="E248" i="451"/>
  <c r="F248" i="451"/>
  <c r="G248" i="451"/>
  <c r="H248" i="451"/>
  <c r="I248" i="451"/>
  <c r="J248" i="451"/>
  <c r="K248" i="451"/>
  <c r="L248" i="451"/>
  <c r="M248" i="451"/>
  <c r="N248" i="451"/>
  <c r="O248" i="451"/>
  <c r="P248" i="451"/>
  <c r="Q248" i="451"/>
  <c r="R248" i="451"/>
  <c r="S248" i="451"/>
  <c r="T248" i="451"/>
  <c r="U248" i="451"/>
  <c r="V248" i="451"/>
  <c r="W248" i="451"/>
  <c r="X248" i="451"/>
  <c r="Y248" i="451"/>
  <c r="Z248" i="451"/>
  <c r="B249" i="451"/>
  <c r="C249" i="451"/>
  <c r="D249" i="451"/>
  <c r="E249" i="451"/>
  <c r="F249" i="451"/>
  <c r="G249" i="451"/>
  <c r="H249" i="451"/>
  <c r="I249" i="451"/>
  <c r="J249" i="451"/>
  <c r="K249" i="451"/>
  <c r="L249" i="451"/>
  <c r="M249" i="451"/>
  <c r="N249" i="451"/>
  <c r="O249" i="451"/>
  <c r="P249" i="451"/>
  <c r="Q249" i="451"/>
  <c r="R249" i="451"/>
  <c r="S249" i="451"/>
  <c r="T249" i="451"/>
  <c r="U249" i="451"/>
  <c r="V249" i="451"/>
  <c r="W249" i="451"/>
  <c r="X249" i="451"/>
  <c r="Y249" i="451"/>
  <c r="Z249" i="451"/>
  <c r="B250" i="451"/>
  <c r="C250" i="451"/>
  <c r="D250" i="451"/>
  <c r="E250" i="451"/>
  <c r="F250" i="451"/>
  <c r="G250" i="451"/>
  <c r="H250" i="451"/>
  <c r="I250" i="451"/>
  <c r="J250" i="451"/>
  <c r="K250" i="451"/>
  <c r="L250" i="451"/>
  <c r="M250" i="451"/>
  <c r="N250" i="451"/>
  <c r="O250" i="451"/>
  <c r="P250" i="451"/>
  <c r="Q250" i="451"/>
  <c r="R250" i="451"/>
  <c r="S250" i="451"/>
  <c r="T250" i="451"/>
  <c r="U250" i="451"/>
  <c r="V250" i="451"/>
  <c r="W250" i="451"/>
  <c r="X250" i="451"/>
  <c r="Y250" i="451"/>
  <c r="Z250" i="451"/>
  <c r="B251" i="451"/>
  <c r="C251" i="451"/>
  <c r="D251" i="451"/>
  <c r="E251" i="451"/>
  <c r="F251" i="451"/>
  <c r="G251" i="451"/>
  <c r="H251" i="451"/>
  <c r="I251" i="451"/>
  <c r="J251" i="451"/>
  <c r="K251" i="451"/>
  <c r="L251" i="451"/>
  <c r="M251" i="451"/>
  <c r="N251" i="451"/>
  <c r="O251" i="451"/>
  <c r="P251" i="451"/>
  <c r="Q251" i="451"/>
  <c r="R251" i="451"/>
  <c r="S251" i="451"/>
  <c r="T251" i="451"/>
  <c r="U251" i="451"/>
  <c r="V251" i="451"/>
  <c r="W251" i="451"/>
  <c r="X251" i="451"/>
  <c r="Y251" i="451"/>
  <c r="Z251" i="451"/>
  <c r="B252" i="451"/>
  <c r="C252" i="451"/>
  <c r="D252" i="451"/>
  <c r="E252" i="451"/>
  <c r="F252" i="451"/>
  <c r="G252" i="451"/>
  <c r="H252" i="451"/>
  <c r="I252" i="451"/>
  <c r="J252" i="451"/>
  <c r="K252" i="451"/>
  <c r="L252" i="451"/>
  <c r="M252" i="451"/>
  <c r="N252" i="451"/>
  <c r="O252" i="451"/>
  <c r="P252" i="451"/>
  <c r="Q252" i="451"/>
  <c r="R252" i="451"/>
  <c r="S252" i="451"/>
  <c r="T252" i="451"/>
  <c r="U252" i="451"/>
  <c r="V252" i="451"/>
  <c r="W252" i="451"/>
  <c r="X252" i="451"/>
  <c r="Y252" i="451"/>
  <c r="Z252" i="451"/>
  <c r="B253" i="451"/>
  <c r="C253" i="451"/>
  <c r="D253" i="451"/>
  <c r="E253" i="451"/>
  <c r="F253" i="451"/>
  <c r="G253" i="451"/>
  <c r="H253" i="451"/>
  <c r="I253" i="451"/>
  <c r="J253" i="451"/>
  <c r="K253" i="451"/>
  <c r="L253" i="451"/>
  <c r="M253" i="451"/>
  <c r="N253" i="451"/>
  <c r="O253" i="451"/>
  <c r="P253" i="451"/>
  <c r="Q253" i="451"/>
  <c r="R253" i="451"/>
  <c r="S253" i="451"/>
  <c r="T253" i="451"/>
  <c r="U253" i="451"/>
  <c r="V253" i="451"/>
  <c r="W253" i="451"/>
  <c r="X253" i="451"/>
  <c r="Y253" i="451"/>
  <c r="Z253" i="451"/>
  <c r="B254" i="451"/>
  <c r="C254" i="451"/>
  <c r="D254" i="451"/>
  <c r="E254" i="451"/>
  <c r="F254" i="451"/>
  <c r="G254" i="451"/>
  <c r="H254" i="451"/>
  <c r="I254" i="451"/>
  <c r="J254" i="451"/>
  <c r="K254" i="451"/>
  <c r="L254" i="451"/>
  <c r="M254" i="451"/>
  <c r="N254" i="451"/>
  <c r="O254" i="451"/>
  <c r="P254" i="451"/>
  <c r="Q254" i="451"/>
  <c r="R254" i="451"/>
  <c r="S254" i="451"/>
  <c r="T254" i="451"/>
  <c r="U254" i="451"/>
  <c r="V254" i="451"/>
  <c r="W254" i="451"/>
  <c r="X254" i="451"/>
  <c r="Y254" i="451"/>
  <c r="Z254" i="451"/>
  <c r="B255" i="451"/>
  <c r="C255" i="451"/>
  <c r="D255" i="451"/>
  <c r="E255" i="451"/>
  <c r="F255" i="451"/>
  <c r="G255" i="451"/>
  <c r="H255" i="451"/>
  <c r="I255" i="451"/>
  <c r="J255" i="451"/>
  <c r="K255" i="451"/>
  <c r="L255" i="451"/>
  <c r="M255" i="451"/>
  <c r="N255" i="451"/>
  <c r="O255" i="451"/>
  <c r="P255" i="451"/>
  <c r="Q255" i="451"/>
  <c r="R255" i="451"/>
  <c r="S255" i="451"/>
  <c r="T255" i="451"/>
  <c r="U255" i="451"/>
  <c r="V255" i="451"/>
  <c r="W255" i="451"/>
  <c r="X255" i="451"/>
  <c r="Y255" i="451"/>
  <c r="Z255" i="451"/>
  <c r="B256" i="451"/>
  <c r="C256" i="451"/>
  <c r="D256" i="451"/>
  <c r="E256" i="451"/>
  <c r="F256" i="451"/>
  <c r="G256" i="451"/>
  <c r="H256" i="451"/>
  <c r="I256" i="451"/>
  <c r="J256" i="451"/>
  <c r="K256" i="451"/>
  <c r="L256" i="451"/>
  <c r="M256" i="451"/>
  <c r="N256" i="451"/>
  <c r="O256" i="451"/>
  <c r="P256" i="451"/>
  <c r="Q256" i="451"/>
  <c r="R256" i="451"/>
  <c r="S256" i="451"/>
  <c r="T256" i="451"/>
  <c r="U256" i="451"/>
  <c r="V256" i="451"/>
  <c r="W256" i="451"/>
  <c r="X256" i="451"/>
  <c r="Y256" i="451"/>
  <c r="Z256" i="451"/>
  <c r="B257" i="451"/>
  <c r="C257" i="451"/>
  <c r="D257" i="451"/>
  <c r="E257" i="451"/>
  <c r="F257" i="451"/>
  <c r="G257" i="451"/>
  <c r="H257" i="451"/>
  <c r="I257" i="451"/>
  <c r="J257" i="451"/>
  <c r="K257" i="451"/>
  <c r="L257" i="451"/>
  <c r="M257" i="451"/>
  <c r="N257" i="451"/>
  <c r="O257" i="451"/>
  <c r="P257" i="451"/>
  <c r="Q257" i="451"/>
  <c r="R257" i="451"/>
  <c r="S257" i="451"/>
  <c r="T257" i="451"/>
  <c r="U257" i="451"/>
  <c r="V257" i="451"/>
  <c r="W257" i="451"/>
  <c r="X257" i="451"/>
  <c r="Y257" i="451"/>
  <c r="Z257" i="451"/>
  <c r="B258" i="451"/>
  <c r="C258" i="451"/>
  <c r="D258" i="451"/>
  <c r="E258" i="451"/>
  <c r="F258" i="451"/>
  <c r="G258" i="451"/>
  <c r="H258" i="451"/>
  <c r="I258" i="451"/>
  <c r="J258" i="451"/>
  <c r="K258" i="451"/>
  <c r="L258" i="451"/>
  <c r="M258" i="451"/>
  <c r="N258" i="451"/>
  <c r="O258" i="451"/>
  <c r="P258" i="451"/>
  <c r="Q258" i="451"/>
  <c r="R258" i="451"/>
  <c r="S258" i="451"/>
  <c r="T258" i="451"/>
  <c r="U258" i="451"/>
  <c r="V258" i="451"/>
  <c r="W258" i="451"/>
  <c r="X258" i="451"/>
  <c r="Y258" i="451"/>
  <c r="Z258" i="451"/>
  <c r="B216" i="449"/>
  <c r="C216" i="449"/>
  <c r="D216" i="449"/>
  <c r="E216" i="449"/>
  <c r="F216" i="449"/>
  <c r="G216" i="449"/>
  <c r="H216" i="449"/>
  <c r="I216" i="449"/>
  <c r="J216" i="449"/>
  <c r="K216" i="449"/>
  <c r="L216" i="449"/>
  <c r="M216" i="449"/>
  <c r="N216" i="449"/>
  <c r="O216" i="449"/>
  <c r="P216" i="449"/>
  <c r="Q216" i="449"/>
  <c r="R216" i="449"/>
  <c r="S216" i="449"/>
  <c r="T216" i="449"/>
  <c r="U216" i="449"/>
  <c r="V216" i="449"/>
  <c r="W216" i="449"/>
  <c r="X216" i="449"/>
  <c r="B217" i="449"/>
  <c r="C217" i="449"/>
  <c r="D217" i="449"/>
  <c r="E217" i="449"/>
  <c r="F217" i="449"/>
  <c r="G217" i="449"/>
  <c r="H217" i="449"/>
  <c r="I217" i="449"/>
  <c r="J217" i="449"/>
  <c r="K217" i="449"/>
  <c r="L217" i="449"/>
  <c r="M217" i="449"/>
  <c r="N217" i="449"/>
  <c r="O217" i="449"/>
  <c r="P217" i="449"/>
  <c r="Q217" i="449"/>
  <c r="R217" i="449"/>
  <c r="S217" i="449"/>
  <c r="T217" i="449"/>
  <c r="U217" i="449"/>
  <c r="V217" i="449"/>
  <c r="W217" i="449"/>
  <c r="X217" i="449"/>
  <c r="B218" i="449"/>
  <c r="C218" i="449"/>
  <c r="D218" i="449"/>
  <c r="E218" i="449"/>
  <c r="F218" i="449"/>
  <c r="G218" i="449"/>
  <c r="H218" i="449"/>
  <c r="I218" i="449"/>
  <c r="J218" i="449"/>
  <c r="K218" i="449"/>
  <c r="L218" i="449"/>
  <c r="M218" i="449"/>
  <c r="N218" i="449"/>
  <c r="O218" i="449"/>
  <c r="P218" i="449"/>
  <c r="Q218" i="449"/>
  <c r="R218" i="449"/>
  <c r="S218" i="449"/>
  <c r="T218" i="449"/>
  <c r="U218" i="449"/>
  <c r="V218" i="449"/>
  <c r="W218" i="449"/>
  <c r="X218" i="449"/>
  <c r="B219" i="449"/>
  <c r="C219" i="449"/>
  <c r="D219" i="449"/>
  <c r="E219" i="449"/>
  <c r="F219" i="449"/>
  <c r="G219" i="449"/>
  <c r="H219" i="449"/>
  <c r="I219" i="449"/>
  <c r="J219" i="449"/>
  <c r="K219" i="449"/>
  <c r="L219" i="449"/>
  <c r="M219" i="449"/>
  <c r="N219" i="449"/>
  <c r="O219" i="449"/>
  <c r="P219" i="449"/>
  <c r="Q219" i="449"/>
  <c r="R219" i="449"/>
  <c r="S219" i="449"/>
  <c r="T219" i="449"/>
  <c r="U219" i="449"/>
  <c r="V219" i="449"/>
  <c r="W219" i="449"/>
  <c r="X219" i="449"/>
  <c r="B220" i="449"/>
  <c r="C220" i="449"/>
  <c r="D220" i="449"/>
  <c r="E220" i="449"/>
  <c r="F220" i="449"/>
  <c r="G220" i="449"/>
  <c r="H220" i="449"/>
  <c r="I220" i="449"/>
  <c r="J220" i="449"/>
  <c r="K220" i="449"/>
  <c r="L220" i="449"/>
  <c r="M220" i="449"/>
  <c r="N220" i="449"/>
  <c r="O220" i="449"/>
  <c r="P220" i="449"/>
  <c r="Q220" i="449"/>
  <c r="R220" i="449"/>
  <c r="S220" i="449"/>
  <c r="T220" i="449"/>
  <c r="U220" i="449"/>
  <c r="V220" i="449"/>
  <c r="W220" i="449"/>
  <c r="X220" i="449"/>
  <c r="B221" i="449"/>
  <c r="C221" i="449"/>
  <c r="D221" i="449"/>
  <c r="E221" i="449"/>
  <c r="F221" i="449"/>
  <c r="G221" i="449"/>
  <c r="H221" i="449"/>
  <c r="I221" i="449"/>
  <c r="J221" i="449"/>
  <c r="K221" i="449"/>
  <c r="L221" i="449"/>
  <c r="M221" i="449"/>
  <c r="N221" i="449"/>
  <c r="O221" i="449"/>
  <c r="P221" i="449"/>
  <c r="Q221" i="449"/>
  <c r="R221" i="449"/>
  <c r="S221" i="449"/>
  <c r="T221" i="449"/>
  <c r="U221" i="449"/>
  <c r="V221" i="449"/>
  <c r="W221" i="449"/>
  <c r="X221" i="449"/>
  <c r="B222" i="449"/>
  <c r="C222" i="449"/>
  <c r="D222" i="449"/>
  <c r="E222" i="449"/>
  <c r="F222" i="449"/>
  <c r="G222" i="449"/>
  <c r="H222" i="449"/>
  <c r="I222" i="449"/>
  <c r="J222" i="449"/>
  <c r="K222" i="449"/>
  <c r="L222" i="449"/>
  <c r="M222" i="449"/>
  <c r="N222" i="449"/>
  <c r="O222" i="449"/>
  <c r="P222" i="449"/>
  <c r="Q222" i="449"/>
  <c r="R222" i="449"/>
  <c r="S222" i="449"/>
  <c r="T222" i="449"/>
  <c r="U222" i="449"/>
  <c r="V222" i="449"/>
  <c r="W222" i="449"/>
  <c r="X222" i="449"/>
  <c r="B223" i="449"/>
  <c r="C223" i="449"/>
  <c r="D223" i="449"/>
  <c r="E223" i="449"/>
  <c r="F223" i="449"/>
  <c r="G223" i="449"/>
  <c r="H223" i="449"/>
  <c r="I223" i="449"/>
  <c r="J223" i="449"/>
  <c r="K223" i="449"/>
  <c r="L223" i="449"/>
  <c r="M223" i="449"/>
  <c r="N223" i="449"/>
  <c r="O223" i="449"/>
  <c r="P223" i="449"/>
  <c r="Q223" i="449"/>
  <c r="R223" i="449"/>
  <c r="S223" i="449"/>
  <c r="T223" i="449"/>
  <c r="U223" i="449"/>
  <c r="V223" i="449"/>
  <c r="W223" i="449"/>
  <c r="X223" i="449"/>
  <c r="B224" i="449"/>
  <c r="C224" i="449"/>
  <c r="D224" i="449"/>
  <c r="E224" i="449"/>
  <c r="F224" i="449"/>
  <c r="G224" i="449"/>
  <c r="H224" i="449"/>
  <c r="I224" i="449"/>
  <c r="J224" i="449"/>
  <c r="K224" i="449"/>
  <c r="L224" i="449"/>
  <c r="M224" i="449"/>
  <c r="N224" i="449"/>
  <c r="O224" i="449"/>
  <c r="P224" i="449"/>
  <c r="Q224" i="449"/>
  <c r="R224" i="449"/>
  <c r="S224" i="449"/>
  <c r="T224" i="449"/>
  <c r="U224" i="449"/>
  <c r="V224" i="449"/>
  <c r="W224" i="449"/>
  <c r="X224" i="449"/>
  <c r="B225" i="449"/>
  <c r="C225" i="449"/>
  <c r="D225" i="449"/>
  <c r="E225" i="449"/>
  <c r="F225" i="449"/>
  <c r="G225" i="449"/>
  <c r="H225" i="449"/>
  <c r="I225" i="449"/>
  <c r="J225" i="449"/>
  <c r="K225" i="449"/>
  <c r="L225" i="449"/>
  <c r="M225" i="449"/>
  <c r="N225" i="449"/>
  <c r="O225" i="449"/>
  <c r="P225" i="449"/>
  <c r="Q225" i="449"/>
  <c r="R225" i="449"/>
  <c r="S225" i="449"/>
  <c r="T225" i="449"/>
  <c r="U225" i="449"/>
  <c r="V225" i="449"/>
  <c r="W225" i="449"/>
  <c r="X225" i="449"/>
  <c r="B226" i="449"/>
  <c r="C226" i="449"/>
  <c r="D226" i="449"/>
  <c r="E226" i="449"/>
  <c r="F226" i="449"/>
  <c r="G226" i="449"/>
  <c r="H226" i="449"/>
  <c r="I226" i="449"/>
  <c r="J226" i="449"/>
  <c r="K226" i="449"/>
  <c r="L226" i="449"/>
  <c r="M226" i="449"/>
  <c r="N226" i="449"/>
  <c r="O226" i="449"/>
  <c r="P226" i="449"/>
  <c r="Q226" i="449"/>
  <c r="R226" i="449"/>
  <c r="S226" i="449"/>
  <c r="T226" i="449"/>
  <c r="U226" i="449"/>
  <c r="V226" i="449"/>
  <c r="W226" i="449"/>
  <c r="X226" i="449"/>
  <c r="B227" i="449"/>
  <c r="C227" i="449"/>
  <c r="D227" i="449"/>
  <c r="E227" i="449"/>
  <c r="F227" i="449"/>
  <c r="G227" i="449"/>
  <c r="H227" i="449"/>
  <c r="I227" i="449"/>
  <c r="J227" i="449"/>
  <c r="K227" i="449"/>
  <c r="L227" i="449"/>
  <c r="M227" i="449"/>
  <c r="N227" i="449"/>
  <c r="O227" i="449"/>
  <c r="P227" i="449"/>
  <c r="Q227" i="449"/>
  <c r="R227" i="449"/>
  <c r="S227" i="449"/>
  <c r="T227" i="449"/>
  <c r="U227" i="449"/>
  <c r="V227" i="449"/>
  <c r="W227" i="449"/>
  <c r="X227" i="449"/>
  <c r="B228" i="449"/>
  <c r="C228" i="449"/>
  <c r="D228" i="449"/>
  <c r="E228" i="449"/>
  <c r="F228" i="449"/>
  <c r="G228" i="449"/>
  <c r="H228" i="449"/>
  <c r="I228" i="449"/>
  <c r="J228" i="449"/>
  <c r="K228" i="449"/>
  <c r="L228" i="449"/>
  <c r="M228" i="449"/>
  <c r="N228" i="449"/>
  <c r="O228" i="449"/>
  <c r="P228" i="449"/>
  <c r="Q228" i="449"/>
  <c r="R228" i="449"/>
  <c r="S228" i="449"/>
  <c r="T228" i="449"/>
  <c r="U228" i="449"/>
  <c r="V228" i="449"/>
  <c r="W228" i="449"/>
  <c r="X228" i="449"/>
  <c r="B229" i="449"/>
  <c r="C229" i="449"/>
  <c r="D229" i="449"/>
  <c r="E229" i="449"/>
  <c r="F229" i="449"/>
  <c r="G229" i="449"/>
  <c r="H229" i="449"/>
  <c r="I229" i="449"/>
  <c r="J229" i="449"/>
  <c r="K229" i="449"/>
  <c r="L229" i="449"/>
  <c r="M229" i="449"/>
  <c r="N229" i="449"/>
  <c r="O229" i="449"/>
  <c r="P229" i="449"/>
  <c r="Q229" i="449"/>
  <c r="R229" i="449"/>
  <c r="S229" i="449"/>
  <c r="T229" i="449"/>
  <c r="U229" i="449"/>
  <c r="V229" i="449"/>
  <c r="W229" i="449"/>
  <c r="X229" i="449"/>
  <c r="B230" i="449"/>
  <c r="C230" i="449"/>
  <c r="D230" i="449"/>
  <c r="E230" i="449"/>
  <c r="F230" i="449"/>
  <c r="G230" i="449"/>
  <c r="H230" i="449"/>
  <c r="I230" i="449"/>
  <c r="J230" i="449"/>
  <c r="K230" i="449"/>
  <c r="L230" i="449"/>
  <c r="M230" i="449"/>
  <c r="N230" i="449"/>
  <c r="O230" i="449"/>
  <c r="P230" i="449"/>
  <c r="Q230" i="449"/>
  <c r="R230" i="449"/>
  <c r="S230" i="449"/>
  <c r="T230" i="449"/>
  <c r="U230" i="449"/>
  <c r="V230" i="449"/>
  <c r="W230" i="449"/>
  <c r="X230" i="449"/>
  <c r="B231" i="449"/>
  <c r="C231" i="449"/>
  <c r="D231" i="449"/>
  <c r="E231" i="449"/>
  <c r="F231" i="449"/>
  <c r="G231" i="449"/>
  <c r="H231" i="449"/>
  <c r="I231" i="449"/>
  <c r="J231" i="449"/>
  <c r="K231" i="449"/>
  <c r="L231" i="449"/>
  <c r="M231" i="449"/>
  <c r="N231" i="449"/>
  <c r="O231" i="449"/>
  <c r="P231" i="449"/>
  <c r="Q231" i="449"/>
  <c r="R231" i="449"/>
  <c r="S231" i="449"/>
  <c r="T231" i="449"/>
  <c r="U231" i="449"/>
  <c r="V231" i="449"/>
  <c r="W231" i="449"/>
  <c r="X231" i="449"/>
  <c r="B232" i="449"/>
  <c r="C232" i="449"/>
  <c r="D232" i="449"/>
  <c r="E232" i="449"/>
  <c r="F232" i="449"/>
  <c r="G232" i="449"/>
  <c r="H232" i="449"/>
  <c r="I232" i="449"/>
  <c r="J232" i="449"/>
  <c r="K232" i="449"/>
  <c r="L232" i="449"/>
  <c r="M232" i="449"/>
  <c r="N232" i="449"/>
  <c r="O232" i="449"/>
  <c r="P232" i="449"/>
  <c r="Q232" i="449"/>
  <c r="R232" i="449"/>
  <c r="S232" i="449"/>
  <c r="T232" i="449"/>
  <c r="U232" i="449"/>
  <c r="V232" i="449"/>
  <c r="W232" i="449"/>
  <c r="X232" i="449"/>
  <c r="B233" i="449"/>
  <c r="C233" i="449"/>
  <c r="D233" i="449"/>
  <c r="E233" i="449"/>
  <c r="F233" i="449"/>
  <c r="G233" i="449"/>
  <c r="H233" i="449"/>
  <c r="I233" i="449"/>
  <c r="J233" i="449"/>
  <c r="K233" i="449"/>
  <c r="L233" i="449"/>
  <c r="M233" i="449"/>
  <c r="N233" i="449"/>
  <c r="O233" i="449"/>
  <c r="P233" i="449"/>
  <c r="Q233" i="449"/>
  <c r="R233" i="449"/>
  <c r="S233" i="449"/>
  <c r="T233" i="449"/>
  <c r="U233" i="449"/>
  <c r="V233" i="449"/>
  <c r="W233" i="449"/>
  <c r="X233" i="449"/>
  <c r="B234" i="449"/>
  <c r="C234" i="449"/>
  <c r="D234" i="449"/>
  <c r="E234" i="449"/>
  <c r="F234" i="449"/>
  <c r="G234" i="449"/>
  <c r="H234" i="449"/>
  <c r="I234" i="449"/>
  <c r="J234" i="449"/>
  <c r="K234" i="449"/>
  <c r="L234" i="449"/>
  <c r="M234" i="449"/>
  <c r="N234" i="449"/>
  <c r="O234" i="449"/>
  <c r="P234" i="449"/>
  <c r="Q234" i="449"/>
  <c r="R234" i="449"/>
  <c r="S234" i="449"/>
  <c r="T234" i="449"/>
  <c r="U234" i="449"/>
  <c r="V234" i="449"/>
  <c r="W234" i="449"/>
  <c r="X234" i="449"/>
  <c r="B235" i="449"/>
  <c r="C235" i="449"/>
  <c r="D235" i="449"/>
  <c r="E235" i="449"/>
  <c r="F235" i="449"/>
  <c r="G235" i="449"/>
  <c r="H235" i="449"/>
  <c r="I235" i="449"/>
  <c r="J235" i="449"/>
  <c r="K235" i="449"/>
  <c r="L235" i="449"/>
  <c r="M235" i="449"/>
  <c r="N235" i="449"/>
  <c r="O235" i="449"/>
  <c r="P235" i="449"/>
  <c r="Q235" i="449"/>
  <c r="R235" i="449"/>
  <c r="S235" i="449"/>
  <c r="T235" i="449"/>
  <c r="U235" i="449"/>
  <c r="V235" i="449"/>
  <c r="W235" i="449"/>
  <c r="X235" i="449"/>
  <c r="B236" i="449"/>
  <c r="C236" i="449"/>
  <c r="D236" i="449"/>
  <c r="E236" i="449"/>
  <c r="F236" i="449"/>
  <c r="G236" i="449"/>
  <c r="H236" i="449"/>
  <c r="I236" i="449"/>
  <c r="J236" i="449"/>
  <c r="K236" i="449"/>
  <c r="L236" i="449"/>
  <c r="M236" i="449"/>
  <c r="N236" i="449"/>
  <c r="O236" i="449"/>
  <c r="P236" i="449"/>
  <c r="Q236" i="449"/>
  <c r="R236" i="449"/>
  <c r="S236" i="449"/>
  <c r="T236" i="449"/>
  <c r="U236" i="449"/>
  <c r="V236" i="449"/>
  <c r="W236" i="449"/>
  <c r="X236" i="449"/>
  <c r="B237" i="449"/>
  <c r="C237" i="449"/>
  <c r="D237" i="449"/>
  <c r="E237" i="449"/>
  <c r="F237" i="449"/>
  <c r="G237" i="449"/>
  <c r="H237" i="449"/>
  <c r="I237" i="449"/>
  <c r="J237" i="449"/>
  <c r="K237" i="449"/>
  <c r="L237" i="449"/>
  <c r="M237" i="449"/>
  <c r="N237" i="449"/>
  <c r="O237" i="449"/>
  <c r="P237" i="449"/>
  <c r="Q237" i="449"/>
  <c r="R237" i="449"/>
  <c r="S237" i="449"/>
  <c r="T237" i="449"/>
  <c r="U237" i="449"/>
  <c r="V237" i="449"/>
  <c r="W237" i="449"/>
  <c r="X237" i="449"/>
  <c r="B238" i="449"/>
  <c r="C238" i="449"/>
  <c r="D238" i="449"/>
  <c r="E238" i="449"/>
  <c r="F238" i="449"/>
  <c r="G238" i="449"/>
  <c r="H238" i="449"/>
  <c r="I238" i="449"/>
  <c r="J238" i="449"/>
  <c r="K238" i="449"/>
  <c r="L238" i="449"/>
  <c r="M238" i="449"/>
  <c r="N238" i="449"/>
  <c r="O238" i="449"/>
  <c r="P238" i="449"/>
  <c r="Q238" i="449"/>
  <c r="R238" i="449"/>
  <c r="S238" i="449"/>
  <c r="T238" i="449"/>
  <c r="U238" i="449"/>
  <c r="V238" i="449"/>
  <c r="W238" i="449"/>
  <c r="X238" i="449"/>
  <c r="B239" i="448"/>
  <c r="C239" i="448"/>
  <c r="D239" i="448"/>
  <c r="E239" i="448"/>
  <c r="F239" i="448"/>
  <c r="G239" i="448"/>
  <c r="H239" i="448"/>
  <c r="I239" i="448"/>
  <c r="J239" i="448"/>
  <c r="K239" i="448"/>
  <c r="L239" i="448"/>
  <c r="M239" i="448"/>
  <c r="N239" i="448"/>
  <c r="O239" i="448"/>
  <c r="P239" i="448"/>
  <c r="Q239" i="448"/>
  <c r="R239" i="448"/>
  <c r="S239" i="448"/>
  <c r="T239" i="448"/>
  <c r="U239" i="448"/>
  <c r="V239" i="448"/>
  <c r="W239" i="448"/>
  <c r="B240" i="448"/>
  <c r="C240" i="448"/>
  <c r="D240" i="448"/>
  <c r="E240" i="448"/>
  <c r="F240" i="448"/>
  <c r="G240" i="448"/>
  <c r="H240" i="448"/>
  <c r="I240" i="448"/>
  <c r="J240" i="448"/>
  <c r="K240" i="448"/>
  <c r="L240" i="448"/>
  <c r="M240" i="448"/>
  <c r="N240" i="448"/>
  <c r="O240" i="448"/>
  <c r="P240" i="448"/>
  <c r="Q240" i="448"/>
  <c r="R240" i="448"/>
  <c r="S240" i="448"/>
  <c r="T240" i="448"/>
  <c r="U240" i="448"/>
  <c r="V240" i="448"/>
  <c r="W240" i="448"/>
  <c r="B241" i="448"/>
  <c r="C241" i="448"/>
  <c r="D241" i="448"/>
  <c r="E241" i="448"/>
  <c r="F241" i="448"/>
  <c r="G241" i="448"/>
  <c r="H241" i="448"/>
  <c r="I241" i="448"/>
  <c r="J241" i="448"/>
  <c r="K241" i="448"/>
  <c r="L241" i="448"/>
  <c r="M241" i="448"/>
  <c r="N241" i="448"/>
  <c r="O241" i="448"/>
  <c r="P241" i="448"/>
  <c r="Q241" i="448"/>
  <c r="R241" i="448"/>
  <c r="S241" i="448"/>
  <c r="T241" i="448"/>
  <c r="U241" i="448"/>
  <c r="V241" i="448"/>
  <c r="W241" i="448"/>
  <c r="B242" i="448"/>
  <c r="C242" i="448"/>
  <c r="D242" i="448"/>
  <c r="E242" i="448"/>
  <c r="F242" i="448"/>
  <c r="G242" i="448"/>
  <c r="H242" i="448"/>
  <c r="I242" i="448"/>
  <c r="J242" i="448"/>
  <c r="K242" i="448"/>
  <c r="L242" i="448"/>
  <c r="M242" i="448"/>
  <c r="N242" i="448"/>
  <c r="O242" i="448"/>
  <c r="P242" i="448"/>
  <c r="Q242" i="448"/>
  <c r="R242" i="448"/>
  <c r="S242" i="448"/>
  <c r="T242" i="448"/>
  <c r="U242" i="448"/>
  <c r="V242" i="448"/>
  <c r="W242" i="448"/>
  <c r="B243" i="448"/>
  <c r="C243" i="448"/>
  <c r="D243" i="448"/>
  <c r="E243" i="448"/>
  <c r="F243" i="448"/>
  <c r="G243" i="448"/>
  <c r="H243" i="448"/>
  <c r="I243" i="448"/>
  <c r="J243" i="448"/>
  <c r="K243" i="448"/>
  <c r="L243" i="448"/>
  <c r="M243" i="448"/>
  <c r="N243" i="448"/>
  <c r="O243" i="448"/>
  <c r="P243" i="448"/>
  <c r="Q243" i="448"/>
  <c r="R243" i="448"/>
  <c r="S243" i="448"/>
  <c r="T243" i="448"/>
  <c r="U243" i="448"/>
  <c r="V243" i="448"/>
  <c r="W243" i="448"/>
  <c r="B244" i="448"/>
  <c r="C244" i="448"/>
  <c r="D244" i="448"/>
  <c r="E244" i="448"/>
  <c r="F244" i="448"/>
  <c r="G244" i="448"/>
  <c r="H244" i="448"/>
  <c r="I244" i="448"/>
  <c r="J244" i="448"/>
  <c r="K244" i="448"/>
  <c r="L244" i="448"/>
  <c r="M244" i="448"/>
  <c r="N244" i="448"/>
  <c r="O244" i="448"/>
  <c r="P244" i="448"/>
  <c r="Q244" i="448"/>
  <c r="R244" i="448"/>
  <c r="S244" i="448"/>
  <c r="T244" i="448"/>
  <c r="U244" i="448"/>
  <c r="V244" i="448"/>
  <c r="W244" i="448"/>
  <c r="B245" i="448"/>
  <c r="C245" i="448"/>
  <c r="D245" i="448"/>
  <c r="E245" i="448"/>
  <c r="F245" i="448"/>
  <c r="G245" i="448"/>
  <c r="H245" i="448"/>
  <c r="I245" i="448"/>
  <c r="J245" i="448"/>
  <c r="K245" i="448"/>
  <c r="L245" i="448"/>
  <c r="M245" i="448"/>
  <c r="N245" i="448"/>
  <c r="O245" i="448"/>
  <c r="P245" i="448"/>
  <c r="Q245" i="448"/>
  <c r="R245" i="448"/>
  <c r="S245" i="448"/>
  <c r="T245" i="448"/>
  <c r="U245" i="448"/>
  <c r="V245" i="448"/>
  <c r="W245" i="448"/>
  <c r="B246" i="448"/>
  <c r="C246" i="448"/>
  <c r="D246" i="448"/>
  <c r="E246" i="448"/>
  <c r="F246" i="448"/>
  <c r="G246" i="448"/>
  <c r="H246" i="448"/>
  <c r="I246" i="448"/>
  <c r="J246" i="448"/>
  <c r="K246" i="448"/>
  <c r="L246" i="448"/>
  <c r="M246" i="448"/>
  <c r="N246" i="448"/>
  <c r="O246" i="448"/>
  <c r="P246" i="448"/>
  <c r="Q246" i="448"/>
  <c r="R246" i="448"/>
  <c r="S246" i="448"/>
  <c r="T246" i="448"/>
  <c r="U246" i="448"/>
  <c r="V246" i="448"/>
  <c r="W246" i="448"/>
  <c r="B247" i="448"/>
  <c r="C247" i="448"/>
  <c r="D247" i="448"/>
  <c r="E247" i="448"/>
  <c r="F247" i="448"/>
  <c r="G247" i="448"/>
  <c r="H247" i="448"/>
  <c r="I247" i="448"/>
  <c r="J247" i="448"/>
  <c r="K247" i="448"/>
  <c r="L247" i="448"/>
  <c r="M247" i="448"/>
  <c r="N247" i="448"/>
  <c r="O247" i="448"/>
  <c r="P247" i="448"/>
  <c r="Q247" i="448"/>
  <c r="R247" i="448"/>
  <c r="S247" i="448"/>
  <c r="T247" i="448"/>
  <c r="U247" i="448"/>
  <c r="V247" i="448"/>
  <c r="W247" i="448"/>
  <c r="B248" i="448"/>
  <c r="C248" i="448"/>
  <c r="D248" i="448"/>
  <c r="E248" i="448"/>
  <c r="F248" i="448"/>
  <c r="G248" i="448"/>
  <c r="H248" i="448"/>
  <c r="I248" i="448"/>
  <c r="J248" i="448"/>
  <c r="K248" i="448"/>
  <c r="L248" i="448"/>
  <c r="M248" i="448"/>
  <c r="N248" i="448"/>
  <c r="O248" i="448"/>
  <c r="P248" i="448"/>
  <c r="Q248" i="448"/>
  <c r="R248" i="448"/>
  <c r="S248" i="448"/>
  <c r="T248" i="448"/>
  <c r="U248" i="448"/>
  <c r="V248" i="448"/>
  <c r="W248" i="448"/>
  <c r="B249" i="448"/>
  <c r="C249" i="448"/>
  <c r="D249" i="448"/>
  <c r="E249" i="448"/>
  <c r="F249" i="448"/>
  <c r="G249" i="448"/>
  <c r="H249" i="448"/>
  <c r="I249" i="448"/>
  <c r="J249" i="448"/>
  <c r="K249" i="448"/>
  <c r="L249" i="448"/>
  <c r="M249" i="448"/>
  <c r="N249" i="448"/>
  <c r="O249" i="448"/>
  <c r="P249" i="448"/>
  <c r="Q249" i="448"/>
  <c r="R249" i="448"/>
  <c r="S249" i="448"/>
  <c r="T249" i="448"/>
  <c r="U249" i="448"/>
  <c r="V249" i="448"/>
  <c r="W249" i="448"/>
  <c r="B250" i="448"/>
  <c r="C250" i="448"/>
  <c r="D250" i="448"/>
  <c r="E250" i="448"/>
  <c r="F250" i="448"/>
  <c r="G250" i="448"/>
  <c r="H250" i="448"/>
  <c r="I250" i="448"/>
  <c r="J250" i="448"/>
  <c r="K250" i="448"/>
  <c r="L250" i="448"/>
  <c r="M250" i="448"/>
  <c r="N250" i="448"/>
  <c r="O250" i="448"/>
  <c r="P250" i="448"/>
  <c r="Q250" i="448"/>
  <c r="R250" i="448"/>
  <c r="S250" i="448"/>
  <c r="T250" i="448"/>
  <c r="U250" i="448"/>
  <c r="V250" i="448"/>
  <c r="W250" i="448"/>
  <c r="B251" i="448"/>
  <c r="C251" i="448"/>
  <c r="D251" i="448"/>
  <c r="E251" i="448"/>
  <c r="F251" i="448"/>
  <c r="G251" i="448"/>
  <c r="H251" i="448"/>
  <c r="I251" i="448"/>
  <c r="J251" i="448"/>
  <c r="K251" i="448"/>
  <c r="L251" i="448"/>
  <c r="M251" i="448"/>
  <c r="N251" i="448"/>
  <c r="O251" i="448"/>
  <c r="P251" i="448"/>
  <c r="Q251" i="448"/>
  <c r="R251" i="448"/>
  <c r="S251" i="448"/>
  <c r="T251" i="448"/>
  <c r="U251" i="448"/>
  <c r="V251" i="448"/>
  <c r="W251" i="448"/>
  <c r="B252" i="448"/>
  <c r="C252" i="448"/>
  <c r="D252" i="448"/>
  <c r="E252" i="448"/>
  <c r="F252" i="448"/>
  <c r="G252" i="448"/>
  <c r="H252" i="448"/>
  <c r="I252" i="448"/>
  <c r="J252" i="448"/>
  <c r="K252" i="448"/>
  <c r="L252" i="448"/>
  <c r="M252" i="448"/>
  <c r="N252" i="448"/>
  <c r="O252" i="448"/>
  <c r="P252" i="448"/>
  <c r="Q252" i="448"/>
  <c r="R252" i="448"/>
  <c r="S252" i="448"/>
  <c r="T252" i="448"/>
  <c r="U252" i="448"/>
  <c r="V252" i="448"/>
  <c r="W252" i="448"/>
  <c r="B253" i="448"/>
  <c r="C253" i="448"/>
  <c r="D253" i="448"/>
  <c r="E253" i="448"/>
  <c r="F253" i="448"/>
  <c r="G253" i="448"/>
  <c r="H253" i="448"/>
  <c r="I253" i="448"/>
  <c r="J253" i="448"/>
  <c r="K253" i="448"/>
  <c r="L253" i="448"/>
  <c r="M253" i="448"/>
  <c r="N253" i="448"/>
  <c r="O253" i="448"/>
  <c r="P253" i="448"/>
  <c r="Q253" i="448"/>
  <c r="R253" i="448"/>
  <c r="S253" i="448"/>
  <c r="T253" i="448"/>
  <c r="U253" i="448"/>
  <c r="V253" i="448"/>
  <c r="W253" i="448"/>
  <c r="B254" i="448"/>
  <c r="C254" i="448"/>
  <c r="D254" i="448"/>
  <c r="E254" i="448"/>
  <c r="F254" i="448"/>
  <c r="G254" i="448"/>
  <c r="H254" i="448"/>
  <c r="I254" i="448"/>
  <c r="J254" i="448"/>
  <c r="K254" i="448"/>
  <c r="L254" i="448"/>
  <c r="M254" i="448"/>
  <c r="N254" i="448"/>
  <c r="O254" i="448"/>
  <c r="P254" i="448"/>
  <c r="Q254" i="448"/>
  <c r="R254" i="448"/>
  <c r="S254" i="448"/>
  <c r="T254" i="448"/>
  <c r="U254" i="448"/>
  <c r="V254" i="448"/>
  <c r="W254" i="448"/>
  <c r="B255" i="448"/>
  <c r="C255" i="448"/>
  <c r="D255" i="448"/>
  <c r="E255" i="448"/>
  <c r="F255" i="448"/>
  <c r="G255" i="448"/>
  <c r="H255" i="448"/>
  <c r="I255" i="448"/>
  <c r="J255" i="448"/>
  <c r="K255" i="448"/>
  <c r="L255" i="448"/>
  <c r="M255" i="448"/>
  <c r="N255" i="448"/>
  <c r="O255" i="448"/>
  <c r="P255" i="448"/>
  <c r="Q255" i="448"/>
  <c r="R255" i="448"/>
  <c r="S255" i="448"/>
  <c r="T255" i="448"/>
  <c r="U255" i="448"/>
  <c r="V255" i="448"/>
  <c r="W255" i="448"/>
  <c r="B256" i="448"/>
  <c r="C256" i="448"/>
  <c r="D256" i="448"/>
  <c r="E256" i="448"/>
  <c r="F256" i="448"/>
  <c r="G256" i="448"/>
  <c r="H256" i="448"/>
  <c r="I256" i="448"/>
  <c r="J256" i="448"/>
  <c r="K256" i="448"/>
  <c r="L256" i="448"/>
  <c r="M256" i="448"/>
  <c r="N256" i="448"/>
  <c r="O256" i="448"/>
  <c r="P256" i="448"/>
  <c r="Q256" i="448"/>
  <c r="R256" i="448"/>
  <c r="S256" i="448"/>
  <c r="T256" i="448"/>
  <c r="U256" i="448"/>
  <c r="V256" i="448"/>
  <c r="W256" i="448"/>
  <c r="B257" i="448"/>
  <c r="C257" i="448"/>
  <c r="D257" i="448"/>
  <c r="E257" i="448"/>
  <c r="F257" i="448"/>
  <c r="G257" i="448"/>
  <c r="H257" i="448"/>
  <c r="I257" i="448"/>
  <c r="J257" i="448"/>
  <c r="K257" i="448"/>
  <c r="L257" i="448"/>
  <c r="M257" i="448"/>
  <c r="N257" i="448"/>
  <c r="O257" i="448"/>
  <c r="P257" i="448"/>
  <c r="Q257" i="448"/>
  <c r="R257" i="448"/>
  <c r="S257" i="448"/>
  <c r="T257" i="448"/>
  <c r="U257" i="448"/>
  <c r="V257" i="448"/>
  <c r="W257" i="448"/>
  <c r="B258" i="448"/>
  <c r="C258" i="448"/>
  <c r="D258" i="448"/>
  <c r="E258" i="448"/>
  <c r="F258" i="448"/>
  <c r="G258" i="448"/>
  <c r="H258" i="448"/>
  <c r="I258" i="448"/>
  <c r="J258" i="448"/>
  <c r="K258" i="448"/>
  <c r="L258" i="448"/>
  <c r="M258" i="448"/>
  <c r="N258" i="448"/>
  <c r="O258" i="448"/>
  <c r="P258" i="448"/>
  <c r="Q258" i="448"/>
  <c r="R258" i="448"/>
  <c r="S258" i="448"/>
  <c r="T258" i="448"/>
  <c r="U258" i="448"/>
  <c r="V258" i="448"/>
  <c r="W258" i="448"/>
  <c r="B259" i="448"/>
  <c r="C259" i="448"/>
  <c r="D259" i="448"/>
  <c r="E259" i="448"/>
  <c r="F259" i="448"/>
  <c r="G259" i="448"/>
  <c r="H259" i="448"/>
  <c r="I259" i="448"/>
  <c r="J259" i="448"/>
  <c r="K259" i="448"/>
  <c r="L259" i="448"/>
  <c r="M259" i="448"/>
  <c r="N259" i="448"/>
  <c r="O259" i="448"/>
  <c r="P259" i="448"/>
  <c r="Q259" i="448"/>
  <c r="R259" i="448"/>
  <c r="S259" i="448"/>
  <c r="T259" i="448"/>
  <c r="U259" i="448"/>
  <c r="V259" i="448"/>
  <c r="W259" i="448"/>
  <c r="B260" i="448"/>
  <c r="C260" i="448"/>
  <c r="D260" i="448"/>
  <c r="E260" i="448"/>
  <c r="F260" i="448"/>
  <c r="G260" i="448"/>
  <c r="H260" i="448"/>
  <c r="I260" i="448"/>
  <c r="J260" i="448"/>
  <c r="K260" i="448"/>
  <c r="L260" i="448"/>
  <c r="M260" i="448"/>
  <c r="N260" i="448"/>
  <c r="O260" i="448"/>
  <c r="P260" i="448"/>
  <c r="Q260" i="448"/>
  <c r="R260" i="448"/>
  <c r="S260" i="448"/>
  <c r="T260" i="448"/>
  <c r="U260" i="448"/>
  <c r="V260" i="448"/>
  <c r="W260" i="448"/>
  <c r="B218" i="447"/>
  <c r="C218" i="447"/>
  <c r="D218" i="447"/>
  <c r="E218" i="447"/>
  <c r="F218" i="447"/>
  <c r="G218" i="447"/>
  <c r="H218" i="447"/>
  <c r="I218" i="447"/>
  <c r="J218" i="447"/>
  <c r="K218" i="447"/>
  <c r="L218" i="447"/>
  <c r="M218" i="447"/>
  <c r="N218" i="447"/>
  <c r="O218" i="447"/>
  <c r="P218" i="447"/>
  <c r="Q218" i="447"/>
  <c r="R218" i="447"/>
  <c r="S218" i="447"/>
  <c r="T218" i="447"/>
  <c r="U218" i="447"/>
  <c r="V218" i="447"/>
  <c r="B219" i="447"/>
  <c r="C219" i="447"/>
  <c r="D219" i="447"/>
  <c r="E219" i="447"/>
  <c r="F219" i="447"/>
  <c r="G219" i="447"/>
  <c r="H219" i="447"/>
  <c r="I219" i="447"/>
  <c r="J219" i="447"/>
  <c r="K219" i="447"/>
  <c r="L219" i="447"/>
  <c r="M219" i="447"/>
  <c r="N219" i="447"/>
  <c r="O219" i="447"/>
  <c r="P219" i="447"/>
  <c r="Q219" i="447"/>
  <c r="R219" i="447"/>
  <c r="S219" i="447"/>
  <c r="T219" i="447"/>
  <c r="U219" i="447"/>
  <c r="V219" i="447"/>
  <c r="B220" i="447"/>
  <c r="C220" i="447"/>
  <c r="D220" i="447"/>
  <c r="E220" i="447"/>
  <c r="F220" i="447"/>
  <c r="G220" i="447"/>
  <c r="H220" i="447"/>
  <c r="I220" i="447"/>
  <c r="J220" i="447"/>
  <c r="K220" i="447"/>
  <c r="L220" i="447"/>
  <c r="M220" i="447"/>
  <c r="N220" i="447"/>
  <c r="O220" i="447"/>
  <c r="P220" i="447"/>
  <c r="Q220" i="447"/>
  <c r="R220" i="447"/>
  <c r="S220" i="447"/>
  <c r="T220" i="447"/>
  <c r="U220" i="447"/>
  <c r="V220" i="447"/>
  <c r="B221" i="447"/>
  <c r="C221" i="447"/>
  <c r="D221" i="447"/>
  <c r="E221" i="447"/>
  <c r="F221" i="447"/>
  <c r="G221" i="447"/>
  <c r="H221" i="447"/>
  <c r="I221" i="447"/>
  <c r="J221" i="447"/>
  <c r="K221" i="447"/>
  <c r="L221" i="447"/>
  <c r="M221" i="447"/>
  <c r="N221" i="447"/>
  <c r="O221" i="447"/>
  <c r="P221" i="447"/>
  <c r="Q221" i="447"/>
  <c r="R221" i="447"/>
  <c r="S221" i="447"/>
  <c r="T221" i="447"/>
  <c r="U221" i="447"/>
  <c r="V221" i="447"/>
  <c r="B222" i="447"/>
  <c r="C222" i="447"/>
  <c r="D222" i="447"/>
  <c r="E222" i="447"/>
  <c r="F222" i="447"/>
  <c r="G222" i="447"/>
  <c r="H222" i="447"/>
  <c r="I222" i="447"/>
  <c r="J222" i="447"/>
  <c r="K222" i="447"/>
  <c r="L222" i="447"/>
  <c r="M222" i="447"/>
  <c r="N222" i="447"/>
  <c r="O222" i="447"/>
  <c r="P222" i="447"/>
  <c r="Q222" i="447"/>
  <c r="R222" i="447"/>
  <c r="S222" i="447"/>
  <c r="T222" i="447"/>
  <c r="U222" i="447"/>
  <c r="V222" i="447"/>
  <c r="B223" i="447"/>
  <c r="C223" i="447"/>
  <c r="D223" i="447"/>
  <c r="E223" i="447"/>
  <c r="F223" i="447"/>
  <c r="G223" i="447"/>
  <c r="H223" i="447"/>
  <c r="I223" i="447"/>
  <c r="J223" i="447"/>
  <c r="K223" i="447"/>
  <c r="L223" i="447"/>
  <c r="M223" i="447"/>
  <c r="N223" i="447"/>
  <c r="O223" i="447"/>
  <c r="P223" i="447"/>
  <c r="Q223" i="447"/>
  <c r="R223" i="447"/>
  <c r="S223" i="447"/>
  <c r="T223" i="447"/>
  <c r="U223" i="447"/>
  <c r="V223" i="447"/>
  <c r="B224" i="447"/>
  <c r="C224" i="447"/>
  <c r="D224" i="447"/>
  <c r="E224" i="447"/>
  <c r="F224" i="447"/>
  <c r="G224" i="447"/>
  <c r="H224" i="447"/>
  <c r="I224" i="447"/>
  <c r="J224" i="447"/>
  <c r="K224" i="447"/>
  <c r="L224" i="447"/>
  <c r="M224" i="447"/>
  <c r="N224" i="447"/>
  <c r="O224" i="447"/>
  <c r="P224" i="447"/>
  <c r="Q224" i="447"/>
  <c r="R224" i="447"/>
  <c r="S224" i="447"/>
  <c r="T224" i="447"/>
  <c r="U224" i="447"/>
  <c r="V224" i="447"/>
  <c r="B225" i="447"/>
  <c r="C225" i="447"/>
  <c r="D225" i="447"/>
  <c r="E225" i="447"/>
  <c r="F225" i="447"/>
  <c r="G225" i="447"/>
  <c r="H225" i="447"/>
  <c r="I225" i="447"/>
  <c r="J225" i="447"/>
  <c r="K225" i="447"/>
  <c r="L225" i="447"/>
  <c r="M225" i="447"/>
  <c r="N225" i="447"/>
  <c r="O225" i="447"/>
  <c r="P225" i="447"/>
  <c r="Q225" i="447"/>
  <c r="R225" i="447"/>
  <c r="S225" i="447"/>
  <c r="T225" i="447"/>
  <c r="U225" i="447"/>
  <c r="V225" i="447"/>
  <c r="B226" i="447"/>
  <c r="C226" i="447"/>
  <c r="D226" i="447"/>
  <c r="E226" i="447"/>
  <c r="F226" i="447"/>
  <c r="G226" i="447"/>
  <c r="H226" i="447"/>
  <c r="I226" i="447"/>
  <c r="J226" i="447"/>
  <c r="K226" i="447"/>
  <c r="L226" i="447"/>
  <c r="M226" i="447"/>
  <c r="N226" i="447"/>
  <c r="O226" i="447"/>
  <c r="P226" i="447"/>
  <c r="Q226" i="447"/>
  <c r="R226" i="447"/>
  <c r="S226" i="447"/>
  <c r="T226" i="447"/>
  <c r="U226" i="447"/>
  <c r="V226" i="447"/>
  <c r="B227" i="447"/>
  <c r="C227" i="447"/>
  <c r="D227" i="447"/>
  <c r="E227" i="447"/>
  <c r="F227" i="447"/>
  <c r="G227" i="447"/>
  <c r="H227" i="447"/>
  <c r="I227" i="447"/>
  <c r="J227" i="447"/>
  <c r="K227" i="447"/>
  <c r="L227" i="447"/>
  <c r="M227" i="447"/>
  <c r="N227" i="447"/>
  <c r="O227" i="447"/>
  <c r="P227" i="447"/>
  <c r="Q227" i="447"/>
  <c r="R227" i="447"/>
  <c r="S227" i="447"/>
  <c r="T227" i="447"/>
  <c r="U227" i="447"/>
  <c r="V227" i="447"/>
  <c r="B228" i="447"/>
  <c r="C228" i="447"/>
  <c r="D228" i="447"/>
  <c r="E228" i="447"/>
  <c r="F228" i="447"/>
  <c r="G228" i="447"/>
  <c r="H228" i="447"/>
  <c r="I228" i="447"/>
  <c r="J228" i="447"/>
  <c r="K228" i="447"/>
  <c r="L228" i="447"/>
  <c r="M228" i="447"/>
  <c r="N228" i="447"/>
  <c r="O228" i="447"/>
  <c r="P228" i="447"/>
  <c r="Q228" i="447"/>
  <c r="R228" i="447"/>
  <c r="S228" i="447"/>
  <c r="T228" i="447"/>
  <c r="U228" i="447"/>
  <c r="V228" i="447"/>
  <c r="B229" i="447"/>
  <c r="C229" i="447"/>
  <c r="D229" i="447"/>
  <c r="E229" i="447"/>
  <c r="F229" i="447"/>
  <c r="G229" i="447"/>
  <c r="H229" i="447"/>
  <c r="I229" i="447"/>
  <c r="J229" i="447"/>
  <c r="K229" i="447"/>
  <c r="L229" i="447"/>
  <c r="M229" i="447"/>
  <c r="N229" i="447"/>
  <c r="O229" i="447"/>
  <c r="P229" i="447"/>
  <c r="Q229" i="447"/>
  <c r="R229" i="447"/>
  <c r="S229" i="447"/>
  <c r="T229" i="447"/>
  <c r="U229" i="447"/>
  <c r="V229" i="447"/>
  <c r="B230" i="447"/>
  <c r="C230" i="447"/>
  <c r="D230" i="447"/>
  <c r="E230" i="447"/>
  <c r="F230" i="447"/>
  <c r="G230" i="447"/>
  <c r="H230" i="447"/>
  <c r="I230" i="447"/>
  <c r="J230" i="447"/>
  <c r="K230" i="447"/>
  <c r="L230" i="447"/>
  <c r="M230" i="447"/>
  <c r="N230" i="447"/>
  <c r="O230" i="447"/>
  <c r="P230" i="447"/>
  <c r="Q230" i="447"/>
  <c r="R230" i="447"/>
  <c r="S230" i="447"/>
  <c r="T230" i="447"/>
  <c r="U230" i="447"/>
  <c r="V230" i="447"/>
  <c r="B231" i="447"/>
  <c r="C231" i="447"/>
  <c r="D231" i="447"/>
  <c r="E231" i="447"/>
  <c r="F231" i="447"/>
  <c r="G231" i="447"/>
  <c r="H231" i="447"/>
  <c r="I231" i="447"/>
  <c r="J231" i="447"/>
  <c r="K231" i="447"/>
  <c r="L231" i="447"/>
  <c r="M231" i="447"/>
  <c r="N231" i="447"/>
  <c r="O231" i="447"/>
  <c r="P231" i="447"/>
  <c r="Q231" i="447"/>
  <c r="R231" i="447"/>
  <c r="S231" i="447"/>
  <c r="T231" i="447"/>
  <c r="U231" i="447"/>
  <c r="V231" i="447"/>
  <c r="B232" i="447"/>
  <c r="C232" i="447"/>
  <c r="D232" i="447"/>
  <c r="E232" i="447"/>
  <c r="F232" i="447"/>
  <c r="G232" i="447"/>
  <c r="H232" i="447"/>
  <c r="I232" i="447"/>
  <c r="J232" i="447"/>
  <c r="K232" i="447"/>
  <c r="L232" i="447"/>
  <c r="M232" i="447"/>
  <c r="N232" i="447"/>
  <c r="O232" i="447"/>
  <c r="P232" i="447"/>
  <c r="Q232" i="447"/>
  <c r="R232" i="447"/>
  <c r="S232" i="447"/>
  <c r="T232" i="447"/>
  <c r="U232" i="447"/>
  <c r="V232" i="447"/>
  <c r="B233" i="447"/>
  <c r="C233" i="447"/>
  <c r="D233" i="447"/>
  <c r="E233" i="447"/>
  <c r="F233" i="447"/>
  <c r="G233" i="447"/>
  <c r="H233" i="447"/>
  <c r="I233" i="447"/>
  <c r="J233" i="447"/>
  <c r="K233" i="447"/>
  <c r="L233" i="447"/>
  <c r="M233" i="447"/>
  <c r="N233" i="447"/>
  <c r="O233" i="447"/>
  <c r="P233" i="447"/>
  <c r="Q233" i="447"/>
  <c r="R233" i="447"/>
  <c r="S233" i="447"/>
  <c r="T233" i="447"/>
  <c r="U233" i="447"/>
  <c r="V233" i="447"/>
  <c r="B234" i="447"/>
  <c r="C234" i="447"/>
  <c r="D234" i="447"/>
  <c r="E234" i="447"/>
  <c r="F234" i="447"/>
  <c r="G234" i="447"/>
  <c r="H234" i="447"/>
  <c r="I234" i="447"/>
  <c r="J234" i="447"/>
  <c r="K234" i="447"/>
  <c r="L234" i="447"/>
  <c r="M234" i="447"/>
  <c r="N234" i="447"/>
  <c r="O234" i="447"/>
  <c r="P234" i="447"/>
  <c r="Q234" i="447"/>
  <c r="R234" i="447"/>
  <c r="S234" i="447"/>
  <c r="T234" i="447"/>
  <c r="U234" i="447"/>
  <c r="V234" i="447"/>
  <c r="B235" i="447"/>
  <c r="C235" i="447"/>
  <c r="D235" i="447"/>
  <c r="E235" i="447"/>
  <c r="F235" i="447"/>
  <c r="G235" i="447"/>
  <c r="H235" i="447"/>
  <c r="I235" i="447"/>
  <c r="J235" i="447"/>
  <c r="K235" i="447"/>
  <c r="L235" i="447"/>
  <c r="M235" i="447"/>
  <c r="N235" i="447"/>
  <c r="O235" i="447"/>
  <c r="P235" i="447"/>
  <c r="Q235" i="447"/>
  <c r="R235" i="447"/>
  <c r="S235" i="447"/>
  <c r="T235" i="447"/>
  <c r="U235" i="447"/>
  <c r="V235" i="447"/>
  <c r="B236" i="447"/>
  <c r="C236" i="447"/>
  <c r="D236" i="447"/>
  <c r="E236" i="447"/>
  <c r="F236" i="447"/>
  <c r="G236" i="447"/>
  <c r="H236" i="447"/>
  <c r="I236" i="447"/>
  <c r="J236" i="447"/>
  <c r="K236" i="447"/>
  <c r="L236" i="447"/>
  <c r="M236" i="447"/>
  <c r="N236" i="447"/>
  <c r="O236" i="447"/>
  <c r="P236" i="447"/>
  <c r="Q236" i="447"/>
  <c r="R236" i="447"/>
  <c r="S236" i="447"/>
  <c r="T236" i="447"/>
  <c r="U236" i="447"/>
  <c r="V236" i="447"/>
  <c r="B237" i="447"/>
  <c r="C237" i="447"/>
  <c r="D237" i="447"/>
  <c r="E237" i="447"/>
  <c r="F237" i="447"/>
  <c r="G237" i="447"/>
  <c r="H237" i="447"/>
  <c r="I237" i="447"/>
  <c r="J237" i="447"/>
  <c r="K237" i="447"/>
  <c r="L237" i="447"/>
  <c r="M237" i="447"/>
  <c r="N237" i="447"/>
  <c r="O237" i="447"/>
  <c r="P237" i="447"/>
  <c r="Q237" i="447"/>
  <c r="R237" i="447"/>
  <c r="S237" i="447"/>
  <c r="T237" i="447"/>
  <c r="U237" i="447"/>
  <c r="V237" i="447"/>
  <c r="B238" i="447"/>
  <c r="C238" i="447"/>
  <c r="D238" i="447"/>
  <c r="E238" i="447"/>
  <c r="F238" i="447"/>
  <c r="G238" i="447"/>
  <c r="H238" i="447"/>
  <c r="I238" i="447"/>
  <c r="J238" i="447"/>
  <c r="K238" i="447"/>
  <c r="L238" i="447"/>
  <c r="M238" i="447"/>
  <c r="N238" i="447"/>
  <c r="O238" i="447"/>
  <c r="P238" i="447"/>
  <c r="Q238" i="447"/>
  <c r="R238" i="447"/>
  <c r="S238" i="447"/>
  <c r="T238" i="447"/>
  <c r="U238" i="447"/>
  <c r="V238" i="447"/>
  <c r="B198" i="446"/>
  <c r="C198" i="446"/>
  <c r="D198" i="446"/>
  <c r="E198" i="446"/>
  <c r="F198" i="446"/>
  <c r="G198" i="446"/>
  <c r="H198" i="446"/>
  <c r="I198" i="446"/>
  <c r="J198" i="446"/>
  <c r="K198" i="446"/>
  <c r="L198" i="446"/>
  <c r="M198" i="446"/>
  <c r="N198" i="446"/>
  <c r="O198" i="446"/>
  <c r="P198" i="446"/>
  <c r="Q198" i="446"/>
  <c r="R198" i="446"/>
  <c r="S198" i="446"/>
  <c r="T198" i="446"/>
  <c r="U198" i="446"/>
  <c r="B199" i="446"/>
  <c r="C199" i="446"/>
  <c r="D199" i="446"/>
  <c r="E199" i="446"/>
  <c r="F199" i="446"/>
  <c r="G199" i="446"/>
  <c r="H199" i="446"/>
  <c r="I199" i="446"/>
  <c r="J199" i="446"/>
  <c r="K199" i="446"/>
  <c r="L199" i="446"/>
  <c r="M199" i="446"/>
  <c r="N199" i="446"/>
  <c r="O199" i="446"/>
  <c r="P199" i="446"/>
  <c r="Q199" i="446"/>
  <c r="R199" i="446"/>
  <c r="S199" i="446"/>
  <c r="T199" i="446"/>
  <c r="U199" i="446"/>
  <c r="B200" i="446"/>
  <c r="C200" i="446"/>
  <c r="D200" i="446"/>
  <c r="E200" i="446"/>
  <c r="F200" i="446"/>
  <c r="G200" i="446"/>
  <c r="H200" i="446"/>
  <c r="I200" i="446"/>
  <c r="J200" i="446"/>
  <c r="K200" i="446"/>
  <c r="L200" i="446"/>
  <c r="M200" i="446"/>
  <c r="N200" i="446"/>
  <c r="O200" i="446"/>
  <c r="P200" i="446"/>
  <c r="Q200" i="446"/>
  <c r="R200" i="446"/>
  <c r="S200" i="446"/>
  <c r="T200" i="446"/>
  <c r="U200" i="446"/>
  <c r="B201" i="446"/>
  <c r="C201" i="446"/>
  <c r="D201" i="446"/>
  <c r="E201" i="446"/>
  <c r="F201" i="446"/>
  <c r="G201" i="446"/>
  <c r="H201" i="446"/>
  <c r="I201" i="446"/>
  <c r="J201" i="446"/>
  <c r="K201" i="446"/>
  <c r="L201" i="446"/>
  <c r="M201" i="446"/>
  <c r="N201" i="446"/>
  <c r="O201" i="446"/>
  <c r="P201" i="446"/>
  <c r="Q201" i="446"/>
  <c r="R201" i="446"/>
  <c r="S201" i="446"/>
  <c r="T201" i="446"/>
  <c r="U201" i="446"/>
  <c r="B202" i="446"/>
  <c r="C202" i="446"/>
  <c r="D202" i="446"/>
  <c r="E202" i="446"/>
  <c r="F202" i="446"/>
  <c r="G202" i="446"/>
  <c r="H202" i="446"/>
  <c r="I202" i="446"/>
  <c r="J202" i="446"/>
  <c r="K202" i="446"/>
  <c r="L202" i="446"/>
  <c r="M202" i="446"/>
  <c r="N202" i="446"/>
  <c r="O202" i="446"/>
  <c r="P202" i="446"/>
  <c r="Q202" i="446"/>
  <c r="R202" i="446"/>
  <c r="S202" i="446"/>
  <c r="T202" i="446"/>
  <c r="U202" i="446"/>
  <c r="B203" i="446"/>
  <c r="C203" i="446"/>
  <c r="D203" i="446"/>
  <c r="E203" i="446"/>
  <c r="F203" i="446"/>
  <c r="G203" i="446"/>
  <c r="H203" i="446"/>
  <c r="I203" i="446"/>
  <c r="J203" i="446"/>
  <c r="K203" i="446"/>
  <c r="L203" i="446"/>
  <c r="M203" i="446"/>
  <c r="N203" i="446"/>
  <c r="O203" i="446"/>
  <c r="P203" i="446"/>
  <c r="Q203" i="446"/>
  <c r="R203" i="446"/>
  <c r="S203" i="446"/>
  <c r="T203" i="446"/>
  <c r="U203" i="446"/>
  <c r="B204" i="446"/>
  <c r="C204" i="446"/>
  <c r="D204" i="446"/>
  <c r="E204" i="446"/>
  <c r="F204" i="446"/>
  <c r="G204" i="446"/>
  <c r="H204" i="446"/>
  <c r="I204" i="446"/>
  <c r="J204" i="446"/>
  <c r="K204" i="446"/>
  <c r="L204" i="446"/>
  <c r="M204" i="446"/>
  <c r="N204" i="446"/>
  <c r="O204" i="446"/>
  <c r="P204" i="446"/>
  <c r="Q204" i="446"/>
  <c r="R204" i="446"/>
  <c r="S204" i="446"/>
  <c r="T204" i="446"/>
  <c r="U204" i="446"/>
  <c r="B205" i="446"/>
  <c r="C205" i="446"/>
  <c r="D205" i="446"/>
  <c r="E205" i="446"/>
  <c r="F205" i="446"/>
  <c r="G205" i="446"/>
  <c r="H205" i="446"/>
  <c r="I205" i="446"/>
  <c r="J205" i="446"/>
  <c r="K205" i="446"/>
  <c r="L205" i="446"/>
  <c r="M205" i="446"/>
  <c r="N205" i="446"/>
  <c r="O205" i="446"/>
  <c r="P205" i="446"/>
  <c r="Q205" i="446"/>
  <c r="R205" i="446"/>
  <c r="S205" i="446"/>
  <c r="T205" i="446"/>
  <c r="U205" i="446"/>
  <c r="B206" i="446"/>
  <c r="C206" i="446"/>
  <c r="D206" i="446"/>
  <c r="E206" i="446"/>
  <c r="F206" i="446"/>
  <c r="G206" i="446"/>
  <c r="H206" i="446"/>
  <c r="I206" i="446"/>
  <c r="J206" i="446"/>
  <c r="K206" i="446"/>
  <c r="L206" i="446"/>
  <c r="M206" i="446"/>
  <c r="N206" i="446"/>
  <c r="O206" i="446"/>
  <c r="P206" i="446"/>
  <c r="Q206" i="446"/>
  <c r="R206" i="446"/>
  <c r="S206" i="446"/>
  <c r="T206" i="446"/>
  <c r="U206" i="446"/>
  <c r="B207" i="446"/>
  <c r="C207" i="446"/>
  <c r="D207" i="446"/>
  <c r="E207" i="446"/>
  <c r="F207" i="446"/>
  <c r="G207" i="446"/>
  <c r="H207" i="446"/>
  <c r="I207" i="446"/>
  <c r="J207" i="446"/>
  <c r="K207" i="446"/>
  <c r="L207" i="446"/>
  <c r="M207" i="446"/>
  <c r="N207" i="446"/>
  <c r="O207" i="446"/>
  <c r="P207" i="446"/>
  <c r="Q207" i="446"/>
  <c r="R207" i="446"/>
  <c r="S207" i="446"/>
  <c r="T207" i="446"/>
  <c r="U207" i="446"/>
  <c r="B208" i="446"/>
  <c r="C208" i="446"/>
  <c r="D208" i="446"/>
  <c r="E208" i="446"/>
  <c r="F208" i="446"/>
  <c r="G208" i="446"/>
  <c r="H208" i="446"/>
  <c r="I208" i="446"/>
  <c r="J208" i="446"/>
  <c r="K208" i="446"/>
  <c r="L208" i="446"/>
  <c r="M208" i="446"/>
  <c r="N208" i="446"/>
  <c r="O208" i="446"/>
  <c r="P208" i="446"/>
  <c r="Q208" i="446"/>
  <c r="R208" i="446"/>
  <c r="S208" i="446"/>
  <c r="T208" i="446"/>
  <c r="U208" i="446"/>
  <c r="B209" i="446"/>
  <c r="C209" i="446"/>
  <c r="D209" i="446"/>
  <c r="E209" i="446"/>
  <c r="F209" i="446"/>
  <c r="G209" i="446"/>
  <c r="H209" i="446"/>
  <c r="I209" i="446"/>
  <c r="J209" i="446"/>
  <c r="K209" i="446"/>
  <c r="L209" i="446"/>
  <c r="M209" i="446"/>
  <c r="N209" i="446"/>
  <c r="O209" i="446"/>
  <c r="P209" i="446"/>
  <c r="Q209" i="446"/>
  <c r="R209" i="446"/>
  <c r="S209" i="446"/>
  <c r="T209" i="446"/>
  <c r="U209" i="446"/>
  <c r="B210" i="446"/>
  <c r="C210" i="446"/>
  <c r="D210" i="446"/>
  <c r="E210" i="446"/>
  <c r="F210" i="446"/>
  <c r="G210" i="446"/>
  <c r="H210" i="446"/>
  <c r="I210" i="446"/>
  <c r="J210" i="446"/>
  <c r="K210" i="446"/>
  <c r="L210" i="446"/>
  <c r="M210" i="446"/>
  <c r="N210" i="446"/>
  <c r="O210" i="446"/>
  <c r="P210" i="446"/>
  <c r="Q210" i="446"/>
  <c r="R210" i="446"/>
  <c r="S210" i="446"/>
  <c r="T210" i="446"/>
  <c r="U210" i="446"/>
  <c r="B211" i="446"/>
  <c r="C211" i="446"/>
  <c r="D211" i="446"/>
  <c r="E211" i="446"/>
  <c r="F211" i="446"/>
  <c r="G211" i="446"/>
  <c r="H211" i="446"/>
  <c r="I211" i="446"/>
  <c r="J211" i="446"/>
  <c r="K211" i="446"/>
  <c r="L211" i="446"/>
  <c r="M211" i="446"/>
  <c r="N211" i="446"/>
  <c r="O211" i="446"/>
  <c r="P211" i="446"/>
  <c r="Q211" i="446"/>
  <c r="R211" i="446"/>
  <c r="S211" i="446"/>
  <c r="T211" i="446"/>
  <c r="U211" i="446"/>
  <c r="B212" i="446"/>
  <c r="C212" i="446"/>
  <c r="D212" i="446"/>
  <c r="E212" i="446"/>
  <c r="F212" i="446"/>
  <c r="G212" i="446"/>
  <c r="H212" i="446"/>
  <c r="I212" i="446"/>
  <c r="J212" i="446"/>
  <c r="K212" i="446"/>
  <c r="L212" i="446"/>
  <c r="M212" i="446"/>
  <c r="N212" i="446"/>
  <c r="O212" i="446"/>
  <c r="P212" i="446"/>
  <c r="Q212" i="446"/>
  <c r="R212" i="446"/>
  <c r="S212" i="446"/>
  <c r="T212" i="446"/>
  <c r="U212" i="446"/>
  <c r="B213" i="446"/>
  <c r="C213" i="446"/>
  <c r="D213" i="446"/>
  <c r="E213" i="446"/>
  <c r="F213" i="446"/>
  <c r="G213" i="446"/>
  <c r="H213" i="446"/>
  <c r="I213" i="446"/>
  <c r="J213" i="446"/>
  <c r="K213" i="446"/>
  <c r="L213" i="446"/>
  <c r="M213" i="446"/>
  <c r="N213" i="446"/>
  <c r="O213" i="446"/>
  <c r="P213" i="446"/>
  <c r="Q213" i="446"/>
  <c r="R213" i="446"/>
  <c r="S213" i="446"/>
  <c r="T213" i="446"/>
  <c r="U213" i="446"/>
  <c r="B214" i="446"/>
  <c r="C214" i="446"/>
  <c r="D214" i="446"/>
  <c r="E214" i="446"/>
  <c r="F214" i="446"/>
  <c r="G214" i="446"/>
  <c r="H214" i="446"/>
  <c r="I214" i="446"/>
  <c r="J214" i="446"/>
  <c r="K214" i="446"/>
  <c r="L214" i="446"/>
  <c r="M214" i="446"/>
  <c r="N214" i="446"/>
  <c r="O214" i="446"/>
  <c r="P214" i="446"/>
  <c r="Q214" i="446"/>
  <c r="R214" i="446"/>
  <c r="S214" i="446"/>
  <c r="T214" i="446"/>
  <c r="U214" i="446"/>
  <c r="B215" i="446"/>
  <c r="C215" i="446"/>
  <c r="D215" i="446"/>
  <c r="E215" i="446"/>
  <c r="F215" i="446"/>
  <c r="G215" i="446"/>
  <c r="H215" i="446"/>
  <c r="I215" i="446"/>
  <c r="J215" i="446"/>
  <c r="K215" i="446"/>
  <c r="L215" i="446"/>
  <c r="M215" i="446"/>
  <c r="N215" i="446"/>
  <c r="O215" i="446"/>
  <c r="P215" i="446"/>
  <c r="Q215" i="446"/>
  <c r="R215" i="446"/>
  <c r="S215" i="446"/>
  <c r="T215" i="446"/>
  <c r="U215" i="446"/>
  <c r="B216" i="446"/>
  <c r="C216" i="446"/>
  <c r="D216" i="446"/>
  <c r="E216" i="446"/>
  <c r="F216" i="446"/>
  <c r="G216" i="446"/>
  <c r="H216" i="446"/>
  <c r="I216" i="446"/>
  <c r="J216" i="446"/>
  <c r="K216" i="446"/>
  <c r="L216" i="446"/>
  <c r="M216" i="446"/>
  <c r="N216" i="446"/>
  <c r="O216" i="446"/>
  <c r="P216" i="446"/>
  <c r="Q216" i="446"/>
  <c r="R216" i="446"/>
  <c r="S216" i="446"/>
  <c r="T216" i="446"/>
  <c r="U216" i="446"/>
  <c r="B217" i="446"/>
  <c r="C217" i="446"/>
  <c r="D217" i="446"/>
  <c r="E217" i="446"/>
  <c r="F217" i="446"/>
  <c r="G217" i="446"/>
  <c r="H217" i="446"/>
  <c r="I217" i="446"/>
  <c r="J217" i="446"/>
  <c r="K217" i="446"/>
  <c r="L217" i="446"/>
  <c r="M217" i="446"/>
  <c r="N217" i="446"/>
  <c r="O217" i="446"/>
  <c r="P217" i="446"/>
  <c r="Q217" i="446"/>
  <c r="R217" i="446"/>
  <c r="S217" i="446"/>
  <c r="T217" i="446"/>
  <c r="U217" i="446"/>
  <c r="B179" i="445"/>
  <c r="C179" i="445"/>
  <c r="D179" i="445"/>
  <c r="E179" i="445"/>
  <c r="F179" i="445"/>
  <c r="G179" i="445"/>
  <c r="H179" i="445"/>
  <c r="I179" i="445"/>
  <c r="J179" i="445"/>
  <c r="K179" i="445"/>
  <c r="L179" i="445"/>
  <c r="M179" i="445"/>
  <c r="N179" i="445"/>
  <c r="O179" i="445"/>
  <c r="P179" i="445"/>
  <c r="Q179" i="445"/>
  <c r="R179" i="445"/>
  <c r="S179" i="445"/>
  <c r="T179" i="445"/>
  <c r="B180" i="445"/>
  <c r="C180" i="445"/>
  <c r="D180" i="445"/>
  <c r="E180" i="445"/>
  <c r="F180" i="445"/>
  <c r="G180" i="445"/>
  <c r="H180" i="445"/>
  <c r="I180" i="445"/>
  <c r="J180" i="445"/>
  <c r="K180" i="445"/>
  <c r="L180" i="445"/>
  <c r="M180" i="445"/>
  <c r="N180" i="445"/>
  <c r="O180" i="445"/>
  <c r="P180" i="445"/>
  <c r="Q180" i="445"/>
  <c r="R180" i="445"/>
  <c r="S180" i="445"/>
  <c r="T180" i="445"/>
  <c r="B181" i="445"/>
  <c r="C181" i="445"/>
  <c r="D181" i="445"/>
  <c r="E181" i="445"/>
  <c r="F181" i="445"/>
  <c r="G181" i="445"/>
  <c r="H181" i="445"/>
  <c r="I181" i="445"/>
  <c r="J181" i="445"/>
  <c r="K181" i="445"/>
  <c r="L181" i="445"/>
  <c r="M181" i="445"/>
  <c r="N181" i="445"/>
  <c r="O181" i="445"/>
  <c r="P181" i="445"/>
  <c r="Q181" i="445"/>
  <c r="R181" i="445"/>
  <c r="S181" i="445"/>
  <c r="T181" i="445"/>
  <c r="B182" i="445"/>
  <c r="C182" i="445"/>
  <c r="D182" i="445"/>
  <c r="E182" i="445"/>
  <c r="F182" i="445"/>
  <c r="G182" i="445"/>
  <c r="H182" i="445"/>
  <c r="I182" i="445"/>
  <c r="J182" i="445"/>
  <c r="K182" i="445"/>
  <c r="L182" i="445"/>
  <c r="M182" i="445"/>
  <c r="N182" i="445"/>
  <c r="O182" i="445"/>
  <c r="P182" i="445"/>
  <c r="Q182" i="445"/>
  <c r="R182" i="445"/>
  <c r="S182" i="445"/>
  <c r="T182" i="445"/>
  <c r="B183" i="445"/>
  <c r="C183" i="445"/>
  <c r="D183" i="445"/>
  <c r="E183" i="445"/>
  <c r="F183" i="445"/>
  <c r="G183" i="445"/>
  <c r="H183" i="445"/>
  <c r="I183" i="445"/>
  <c r="J183" i="445"/>
  <c r="K183" i="445"/>
  <c r="L183" i="445"/>
  <c r="M183" i="445"/>
  <c r="N183" i="445"/>
  <c r="O183" i="445"/>
  <c r="P183" i="445"/>
  <c r="Q183" i="445"/>
  <c r="R183" i="445"/>
  <c r="S183" i="445"/>
  <c r="T183" i="445"/>
  <c r="B184" i="445"/>
  <c r="C184" i="445"/>
  <c r="D184" i="445"/>
  <c r="E184" i="445"/>
  <c r="F184" i="445"/>
  <c r="G184" i="445"/>
  <c r="H184" i="445"/>
  <c r="I184" i="445"/>
  <c r="J184" i="445"/>
  <c r="K184" i="445"/>
  <c r="L184" i="445"/>
  <c r="M184" i="445"/>
  <c r="N184" i="445"/>
  <c r="O184" i="445"/>
  <c r="P184" i="445"/>
  <c r="Q184" i="445"/>
  <c r="R184" i="445"/>
  <c r="S184" i="445"/>
  <c r="T184" i="445"/>
  <c r="B185" i="445"/>
  <c r="C185" i="445"/>
  <c r="D185" i="445"/>
  <c r="E185" i="445"/>
  <c r="F185" i="445"/>
  <c r="G185" i="445"/>
  <c r="H185" i="445"/>
  <c r="I185" i="445"/>
  <c r="J185" i="445"/>
  <c r="K185" i="445"/>
  <c r="L185" i="445"/>
  <c r="M185" i="445"/>
  <c r="N185" i="445"/>
  <c r="O185" i="445"/>
  <c r="P185" i="445"/>
  <c r="Q185" i="445"/>
  <c r="R185" i="445"/>
  <c r="S185" i="445"/>
  <c r="T185" i="445"/>
  <c r="B186" i="445"/>
  <c r="C186" i="445"/>
  <c r="D186" i="445"/>
  <c r="E186" i="445"/>
  <c r="F186" i="445"/>
  <c r="G186" i="445"/>
  <c r="H186" i="445"/>
  <c r="I186" i="445"/>
  <c r="J186" i="445"/>
  <c r="K186" i="445"/>
  <c r="L186" i="445"/>
  <c r="M186" i="445"/>
  <c r="N186" i="445"/>
  <c r="O186" i="445"/>
  <c r="P186" i="445"/>
  <c r="Q186" i="445"/>
  <c r="R186" i="445"/>
  <c r="S186" i="445"/>
  <c r="T186" i="445"/>
  <c r="B187" i="445"/>
  <c r="C187" i="445"/>
  <c r="D187" i="445"/>
  <c r="E187" i="445"/>
  <c r="F187" i="445"/>
  <c r="G187" i="445"/>
  <c r="H187" i="445"/>
  <c r="I187" i="445"/>
  <c r="J187" i="445"/>
  <c r="K187" i="445"/>
  <c r="L187" i="445"/>
  <c r="M187" i="445"/>
  <c r="N187" i="445"/>
  <c r="O187" i="445"/>
  <c r="P187" i="445"/>
  <c r="Q187" i="445"/>
  <c r="R187" i="445"/>
  <c r="S187" i="445"/>
  <c r="T187" i="445"/>
  <c r="B188" i="445"/>
  <c r="C188" i="445"/>
  <c r="D188" i="445"/>
  <c r="E188" i="445"/>
  <c r="F188" i="445"/>
  <c r="G188" i="445"/>
  <c r="H188" i="445"/>
  <c r="I188" i="445"/>
  <c r="J188" i="445"/>
  <c r="K188" i="445"/>
  <c r="L188" i="445"/>
  <c r="M188" i="445"/>
  <c r="N188" i="445"/>
  <c r="O188" i="445"/>
  <c r="P188" i="445"/>
  <c r="Q188" i="445"/>
  <c r="R188" i="445"/>
  <c r="S188" i="445"/>
  <c r="T188" i="445"/>
  <c r="B189" i="445"/>
  <c r="C189" i="445"/>
  <c r="D189" i="445"/>
  <c r="E189" i="445"/>
  <c r="F189" i="445"/>
  <c r="G189" i="445"/>
  <c r="H189" i="445"/>
  <c r="I189" i="445"/>
  <c r="J189" i="445"/>
  <c r="K189" i="445"/>
  <c r="L189" i="445"/>
  <c r="M189" i="445"/>
  <c r="N189" i="445"/>
  <c r="O189" i="445"/>
  <c r="P189" i="445"/>
  <c r="Q189" i="445"/>
  <c r="R189" i="445"/>
  <c r="S189" i="445"/>
  <c r="T189" i="445"/>
  <c r="B190" i="445"/>
  <c r="C190" i="445"/>
  <c r="D190" i="445"/>
  <c r="E190" i="445"/>
  <c r="F190" i="445"/>
  <c r="G190" i="445"/>
  <c r="H190" i="445"/>
  <c r="I190" i="445"/>
  <c r="J190" i="445"/>
  <c r="K190" i="445"/>
  <c r="L190" i="445"/>
  <c r="M190" i="445"/>
  <c r="N190" i="445"/>
  <c r="O190" i="445"/>
  <c r="P190" i="445"/>
  <c r="Q190" i="445"/>
  <c r="R190" i="445"/>
  <c r="S190" i="445"/>
  <c r="T190" i="445"/>
  <c r="B191" i="445"/>
  <c r="C191" i="445"/>
  <c r="D191" i="445"/>
  <c r="E191" i="445"/>
  <c r="F191" i="445"/>
  <c r="G191" i="445"/>
  <c r="H191" i="445"/>
  <c r="I191" i="445"/>
  <c r="J191" i="445"/>
  <c r="K191" i="445"/>
  <c r="L191" i="445"/>
  <c r="M191" i="445"/>
  <c r="N191" i="445"/>
  <c r="O191" i="445"/>
  <c r="P191" i="445"/>
  <c r="Q191" i="445"/>
  <c r="R191" i="445"/>
  <c r="S191" i="445"/>
  <c r="T191" i="445"/>
  <c r="B192" i="445"/>
  <c r="C192" i="445"/>
  <c r="D192" i="445"/>
  <c r="E192" i="445"/>
  <c r="F192" i="445"/>
  <c r="G192" i="445"/>
  <c r="H192" i="445"/>
  <c r="I192" i="445"/>
  <c r="J192" i="445"/>
  <c r="K192" i="445"/>
  <c r="L192" i="445"/>
  <c r="M192" i="445"/>
  <c r="N192" i="445"/>
  <c r="O192" i="445"/>
  <c r="P192" i="445"/>
  <c r="Q192" i="445"/>
  <c r="R192" i="445"/>
  <c r="S192" i="445"/>
  <c r="T192" i="445"/>
  <c r="B193" i="445"/>
  <c r="C193" i="445"/>
  <c r="D193" i="445"/>
  <c r="E193" i="445"/>
  <c r="F193" i="445"/>
  <c r="G193" i="445"/>
  <c r="H193" i="445"/>
  <c r="I193" i="445"/>
  <c r="J193" i="445"/>
  <c r="K193" i="445"/>
  <c r="L193" i="445"/>
  <c r="M193" i="445"/>
  <c r="N193" i="445"/>
  <c r="O193" i="445"/>
  <c r="P193" i="445"/>
  <c r="Q193" i="445"/>
  <c r="R193" i="445"/>
  <c r="S193" i="445"/>
  <c r="T193" i="445"/>
  <c r="B194" i="445"/>
  <c r="C194" i="445"/>
  <c r="D194" i="445"/>
  <c r="E194" i="445"/>
  <c r="F194" i="445"/>
  <c r="G194" i="445"/>
  <c r="H194" i="445"/>
  <c r="I194" i="445"/>
  <c r="J194" i="445"/>
  <c r="K194" i="445"/>
  <c r="L194" i="445"/>
  <c r="M194" i="445"/>
  <c r="N194" i="445"/>
  <c r="O194" i="445"/>
  <c r="P194" i="445"/>
  <c r="Q194" i="445"/>
  <c r="R194" i="445"/>
  <c r="S194" i="445"/>
  <c r="T194" i="445"/>
  <c r="B195" i="445"/>
  <c r="C195" i="445"/>
  <c r="D195" i="445"/>
  <c r="E195" i="445"/>
  <c r="F195" i="445"/>
  <c r="G195" i="445"/>
  <c r="H195" i="445"/>
  <c r="I195" i="445"/>
  <c r="J195" i="445"/>
  <c r="K195" i="445"/>
  <c r="L195" i="445"/>
  <c r="M195" i="445"/>
  <c r="N195" i="445"/>
  <c r="O195" i="445"/>
  <c r="P195" i="445"/>
  <c r="Q195" i="445"/>
  <c r="R195" i="445"/>
  <c r="S195" i="445"/>
  <c r="T195" i="445"/>
  <c r="B196" i="445"/>
  <c r="C196" i="445"/>
  <c r="D196" i="445"/>
  <c r="E196" i="445"/>
  <c r="F196" i="445"/>
  <c r="G196" i="445"/>
  <c r="H196" i="445"/>
  <c r="I196" i="445"/>
  <c r="J196" i="445"/>
  <c r="K196" i="445"/>
  <c r="L196" i="445"/>
  <c r="M196" i="445"/>
  <c r="N196" i="445"/>
  <c r="O196" i="445"/>
  <c r="P196" i="445"/>
  <c r="Q196" i="445"/>
  <c r="R196" i="445"/>
  <c r="S196" i="445"/>
  <c r="T196" i="445"/>
  <c r="B197" i="445"/>
  <c r="C197" i="445"/>
  <c r="D197" i="445"/>
  <c r="E197" i="445"/>
  <c r="F197" i="445"/>
  <c r="G197" i="445"/>
  <c r="H197" i="445"/>
  <c r="I197" i="445"/>
  <c r="J197" i="445"/>
  <c r="K197" i="445"/>
  <c r="L197" i="445"/>
  <c r="M197" i="445"/>
  <c r="N197" i="445"/>
  <c r="O197" i="445"/>
  <c r="P197" i="445"/>
  <c r="Q197" i="445"/>
  <c r="R197" i="445"/>
  <c r="S197" i="445"/>
  <c r="T197" i="445"/>
  <c r="B191" i="444"/>
  <c r="C191" i="444"/>
  <c r="D191" i="444"/>
  <c r="E191" i="444"/>
  <c r="F191" i="444"/>
  <c r="G191" i="444"/>
  <c r="H191" i="444"/>
  <c r="I191" i="444"/>
  <c r="J191" i="444"/>
  <c r="K191" i="444"/>
  <c r="L191" i="444"/>
  <c r="M191" i="444"/>
  <c r="N191" i="444"/>
  <c r="O191" i="444"/>
  <c r="P191" i="444"/>
  <c r="Q191" i="444"/>
  <c r="R191" i="444"/>
  <c r="S191" i="444"/>
  <c r="B192" i="444"/>
  <c r="C192" i="444"/>
  <c r="D192" i="444"/>
  <c r="E192" i="444"/>
  <c r="F192" i="444"/>
  <c r="G192" i="444"/>
  <c r="H192" i="444"/>
  <c r="I192" i="444"/>
  <c r="J192" i="444"/>
  <c r="K192" i="444"/>
  <c r="L192" i="444"/>
  <c r="M192" i="444"/>
  <c r="N192" i="444"/>
  <c r="O192" i="444"/>
  <c r="P192" i="444"/>
  <c r="Q192" i="444"/>
  <c r="R192" i="444"/>
  <c r="S192" i="444"/>
  <c r="B193" i="444"/>
  <c r="C193" i="444"/>
  <c r="D193" i="444"/>
  <c r="E193" i="444"/>
  <c r="F193" i="444"/>
  <c r="G193" i="444"/>
  <c r="H193" i="444"/>
  <c r="I193" i="444"/>
  <c r="J193" i="444"/>
  <c r="K193" i="444"/>
  <c r="L193" i="444"/>
  <c r="M193" i="444"/>
  <c r="N193" i="444"/>
  <c r="O193" i="444"/>
  <c r="P193" i="444"/>
  <c r="Q193" i="444"/>
  <c r="R193" i="444"/>
  <c r="S193" i="444"/>
  <c r="B194" i="444"/>
  <c r="C194" i="444"/>
  <c r="D194" i="444"/>
  <c r="E194" i="444"/>
  <c r="F194" i="444"/>
  <c r="G194" i="444"/>
  <c r="H194" i="444"/>
  <c r="I194" i="444"/>
  <c r="J194" i="444"/>
  <c r="K194" i="444"/>
  <c r="L194" i="444"/>
  <c r="M194" i="444"/>
  <c r="N194" i="444"/>
  <c r="O194" i="444"/>
  <c r="P194" i="444"/>
  <c r="Q194" i="444"/>
  <c r="R194" i="444"/>
  <c r="S194" i="444"/>
  <c r="B195" i="444"/>
  <c r="C195" i="444"/>
  <c r="D195" i="444"/>
  <c r="E195" i="444"/>
  <c r="F195" i="444"/>
  <c r="G195" i="444"/>
  <c r="H195" i="444"/>
  <c r="I195" i="444"/>
  <c r="J195" i="444"/>
  <c r="K195" i="444"/>
  <c r="L195" i="444"/>
  <c r="M195" i="444"/>
  <c r="N195" i="444"/>
  <c r="O195" i="444"/>
  <c r="P195" i="444"/>
  <c r="Q195" i="444"/>
  <c r="R195" i="444"/>
  <c r="S195" i="444"/>
  <c r="B196" i="444"/>
  <c r="C196" i="444"/>
  <c r="D196" i="444"/>
  <c r="E196" i="444"/>
  <c r="F196" i="444"/>
  <c r="G196" i="444"/>
  <c r="H196" i="444"/>
  <c r="I196" i="444"/>
  <c r="J196" i="444"/>
  <c r="K196" i="444"/>
  <c r="L196" i="444"/>
  <c r="M196" i="444"/>
  <c r="N196" i="444"/>
  <c r="O196" i="444"/>
  <c r="P196" i="444"/>
  <c r="Q196" i="444"/>
  <c r="R196" i="444"/>
  <c r="S196" i="444"/>
  <c r="B197" i="444"/>
  <c r="C197" i="444"/>
  <c r="D197" i="444"/>
  <c r="E197" i="444"/>
  <c r="F197" i="444"/>
  <c r="G197" i="444"/>
  <c r="H197" i="444"/>
  <c r="I197" i="444"/>
  <c r="J197" i="444"/>
  <c r="K197" i="444"/>
  <c r="L197" i="444"/>
  <c r="M197" i="444"/>
  <c r="N197" i="444"/>
  <c r="O197" i="444"/>
  <c r="P197" i="444"/>
  <c r="Q197" i="444"/>
  <c r="R197" i="444"/>
  <c r="S197" i="444"/>
  <c r="B198" i="444"/>
  <c r="C198" i="444"/>
  <c r="D198" i="444"/>
  <c r="E198" i="444"/>
  <c r="F198" i="444"/>
  <c r="G198" i="444"/>
  <c r="H198" i="444"/>
  <c r="I198" i="444"/>
  <c r="J198" i="444"/>
  <c r="K198" i="444"/>
  <c r="L198" i="444"/>
  <c r="M198" i="444"/>
  <c r="N198" i="444"/>
  <c r="O198" i="444"/>
  <c r="P198" i="444"/>
  <c r="Q198" i="444"/>
  <c r="R198" i="444"/>
  <c r="S198" i="444"/>
  <c r="B199" i="444"/>
  <c r="C199" i="444"/>
  <c r="D199" i="444"/>
  <c r="E199" i="444"/>
  <c r="F199" i="444"/>
  <c r="G199" i="444"/>
  <c r="H199" i="444"/>
  <c r="I199" i="444"/>
  <c r="J199" i="444"/>
  <c r="K199" i="444"/>
  <c r="L199" i="444"/>
  <c r="M199" i="444"/>
  <c r="N199" i="444"/>
  <c r="O199" i="444"/>
  <c r="P199" i="444"/>
  <c r="Q199" i="444"/>
  <c r="R199" i="444"/>
  <c r="S199" i="444"/>
  <c r="B200" i="444"/>
  <c r="C200" i="444"/>
  <c r="D200" i="444"/>
  <c r="E200" i="444"/>
  <c r="F200" i="444"/>
  <c r="G200" i="444"/>
  <c r="H200" i="444"/>
  <c r="I200" i="444"/>
  <c r="J200" i="444"/>
  <c r="K200" i="444"/>
  <c r="L200" i="444"/>
  <c r="M200" i="444"/>
  <c r="N200" i="444"/>
  <c r="O200" i="444"/>
  <c r="P200" i="444"/>
  <c r="Q200" i="444"/>
  <c r="R200" i="444"/>
  <c r="S200" i="444"/>
  <c r="B201" i="444"/>
  <c r="C201" i="444"/>
  <c r="D201" i="444"/>
  <c r="E201" i="444"/>
  <c r="F201" i="444"/>
  <c r="G201" i="444"/>
  <c r="H201" i="444"/>
  <c r="I201" i="444"/>
  <c r="J201" i="444"/>
  <c r="K201" i="444"/>
  <c r="L201" i="444"/>
  <c r="M201" i="444"/>
  <c r="N201" i="444"/>
  <c r="O201" i="444"/>
  <c r="P201" i="444"/>
  <c r="Q201" i="444"/>
  <c r="R201" i="444"/>
  <c r="S201" i="444"/>
  <c r="B202" i="444"/>
  <c r="C202" i="444"/>
  <c r="D202" i="444"/>
  <c r="E202" i="444"/>
  <c r="F202" i="444"/>
  <c r="G202" i="444"/>
  <c r="H202" i="444"/>
  <c r="I202" i="444"/>
  <c r="J202" i="444"/>
  <c r="K202" i="444"/>
  <c r="L202" i="444"/>
  <c r="M202" i="444"/>
  <c r="N202" i="444"/>
  <c r="O202" i="444"/>
  <c r="P202" i="444"/>
  <c r="Q202" i="444"/>
  <c r="R202" i="444"/>
  <c r="S202" i="444"/>
  <c r="B203" i="444"/>
  <c r="C203" i="444"/>
  <c r="D203" i="444"/>
  <c r="E203" i="444"/>
  <c r="F203" i="444"/>
  <c r="G203" i="444"/>
  <c r="H203" i="444"/>
  <c r="I203" i="444"/>
  <c r="J203" i="444"/>
  <c r="K203" i="444"/>
  <c r="L203" i="444"/>
  <c r="M203" i="444"/>
  <c r="N203" i="444"/>
  <c r="O203" i="444"/>
  <c r="P203" i="444"/>
  <c r="Q203" i="444"/>
  <c r="R203" i="444"/>
  <c r="S203" i="444"/>
  <c r="B204" i="444"/>
  <c r="C204" i="444"/>
  <c r="D204" i="444"/>
  <c r="E204" i="444"/>
  <c r="F204" i="444"/>
  <c r="G204" i="444"/>
  <c r="H204" i="444"/>
  <c r="I204" i="444"/>
  <c r="J204" i="444"/>
  <c r="K204" i="444"/>
  <c r="L204" i="444"/>
  <c r="M204" i="444"/>
  <c r="N204" i="444"/>
  <c r="O204" i="444"/>
  <c r="P204" i="444"/>
  <c r="Q204" i="444"/>
  <c r="R204" i="444"/>
  <c r="S204" i="444"/>
  <c r="B205" i="444"/>
  <c r="C205" i="444"/>
  <c r="D205" i="444"/>
  <c r="E205" i="444"/>
  <c r="F205" i="444"/>
  <c r="G205" i="444"/>
  <c r="H205" i="444"/>
  <c r="I205" i="444"/>
  <c r="J205" i="444"/>
  <c r="K205" i="444"/>
  <c r="L205" i="444"/>
  <c r="M205" i="444"/>
  <c r="N205" i="444"/>
  <c r="O205" i="444"/>
  <c r="P205" i="444"/>
  <c r="Q205" i="444"/>
  <c r="R205" i="444"/>
  <c r="S205" i="444"/>
  <c r="B206" i="444"/>
  <c r="C206" i="444"/>
  <c r="D206" i="444"/>
  <c r="E206" i="444"/>
  <c r="F206" i="444"/>
  <c r="G206" i="444"/>
  <c r="H206" i="444"/>
  <c r="I206" i="444"/>
  <c r="J206" i="444"/>
  <c r="K206" i="444"/>
  <c r="L206" i="444"/>
  <c r="M206" i="444"/>
  <c r="N206" i="444"/>
  <c r="O206" i="444"/>
  <c r="P206" i="444"/>
  <c r="Q206" i="444"/>
  <c r="R206" i="444"/>
  <c r="S206" i="444"/>
  <c r="B207" i="444"/>
  <c r="C207" i="444"/>
  <c r="D207" i="444"/>
  <c r="E207" i="444"/>
  <c r="F207" i="444"/>
  <c r="G207" i="444"/>
  <c r="H207" i="444"/>
  <c r="I207" i="444"/>
  <c r="J207" i="444"/>
  <c r="K207" i="444"/>
  <c r="L207" i="444"/>
  <c r="M207" i="444"/>
  <c r="N207" i="444"/>
  <c r="O207" i="444"/>
  <c r="P207" i="444"/>
  <c r="Q207" i="444"/>
  <c r="R207" i="444"/>
  <c r="S207" i="444"/>
  <c r="B208" i="444"/>
  <c r="C208" i="444"/>
  <c r="D208" i="444"/>
  <c r="E208" i="444"/>
  <c r="F208" i="444"/>
  <c r="G208" i="444"/>
  <c r="H208" i="444"/>
  <c r="I208" i="444"/>
  <c r="J208" i="444"/>
  <c r="K208" i="444"/>
  <c r="L208" i="444"/>
  <c r="M208" i="444"/>
  <c r="N208" i="444"/>
  <c r="O208" i="444"/>
  <c r="P208" i="444"/>
  <c r="Q208" i="444"/>
  <c r="R208" i="444"/>
  <c r="S208" i="444"/>
  <c r="B161" i="443"/>
  <c r="C161" i="443"/>
  <c r="D161" i="443"/>
  <c r="E161" i="443"/>
  <c r="F161" i="443"/>
  <c r="G161" i="443"/>
  <c r="H161" i="443"/>
  <c r="I161" i="443"/>
  <c r="J161" i="443"/>
  <c r="K161" i="443"/>
  <c r="L161" i="443"/>
  <c r="M161" i="443"/>
  <c r="N161" i="443"/>
  <c r="O161" i="443"/>
  <c r="P161" i="443"/>
  <c r="Q161" i="443"/>
  <c r="R161" i="443"/>
  <c r="B162" i="443"/>
  <c r="C162" i="443"/>
  <c r="D162" i="443"/>
  <c r="E162" i="443"/>
  <c r="F162" i="443"/>
  <c r="G162" i="443"/>
  <c r="H162" i="443"/>
  <c r="I162" i="443"/>
  <c r="J162" i="443"/>
  <c r="K162" i="443"/>
  <c r="L162" i="443"/>
  <c r="M162" i="443"/>
  <c r="N162" i="443"/>
  <c r="O162" i="443"/>
  <c r="P162" i="443"/>
  <c r="Q162" i="443"/>
  <c r="R162" i="443"/>
  <c r="B163" i="443"/>
  <c r="C163" i="443"/>
  <c r="D163" i="443"/>
  <c r="E163" i="443"/>
  <c r="F163" i="443"/>
  <c r="G163" i="443"/>
  <c r="H163" i="443"/>
  <c r="I163" i="443"/>
  <c r="J163" i="443"/>
  <c r="K163" i="443"/>
  <c r="L163" i="443"/>
  <c r="M163" i="443"/>
  <c r="N163" i="443"/>
  <c r="O163" i="443"/>
  <c r="P163" i="443"/>
  <c r="Q163" i="443"/>
  <c r="R163" i="443"/>
  <c r="B164" i="443"/>
  <c r="C164" i="443"/>
  <c r="D164" i="443"/>
  <c r="E164" i="443"/>
  <c r="F164" i="443"/>
  <c r="G164" i="443"/>
  <c r="H164" i="443"/>
  <c r="I164" i="443"/>
  <c r="J164" i="443"/>
  <c r="K164" i="443"/>
  <c r="L164" i="443"/>
  <c r="M164" i="443"/>
  <c r="N164" i="443"/>
  <c r="O164" i="443"/>
  <c r="P164" i="443"/>
  <c r="Q164" i="443"/>
  <c r="R164" i="443"/>
  <c r="B165" i="443"/>
  <c r="C165" i="443"/>
  <c r="D165" i="443"/>
  <c r="E165" i="443"/>
  <c r="F165" i="443"/>
  <c r="G165" i="443"/>
  <c r="H165" i="443"/>
  <c r="I165" i="443"/>
  <c r="J165" i="443"/>
  <c r="K165" i="443"/>
  <c r="L165" i="443"/>
  <c r="M165" i="443"/>
  <c r="N165" i="443"/>
  <c r="O165" i="443"/>
  <c r="P165" i="443"/>
  <c r="Q165" i="443"/>
  <c r="R165" i="443"/>
  <c r="B166" i="443"/>
  <c r="C166" i="443"/>
  <c r="D166" i="443"/>
  <c r="E166" i="443"/>
  <c r="F166" i="443"/>
  <c r="G166" i="443"/>
  <c r="H166" i="443"/>
  <c r="I166" i="443"/>
  <c r="J166" i="443"/>
  <c r="K166" i="443"/>
  <c r="L166" i="443"/>
  <c r="M166" i="443"/>
  <c r="N166" i="443"/>
  <c r="O166" i="443"/>
  <c r="P166" i="443"/>
  <c r="Q166" i="443"/>
  <c r="R166" i="443"/>
  <c r="B167" i="443"/>
  <c r="C167" i="443"/>
  <c r="D167" i="443"/>
  <c r="E167" i="443"/>
  <c r="F167" i="443"/>
  <c r="G167" i="443"/>
  <c r="H167" i="443"/>
  <c r="I167" i="443"/>
  <c r="J167" i="443"/>
  <c r="K167" i="443"/>
  <c r="L167" i="443"/>
  <c r="M167" i="443"/>
  <c r="N167" i="443"/>
  <c r="O167" i="443"/>
  <c r="P167" i="443"/>
  <c r="Q167" i="443"/>
  <c r="R167" i="443"/>
  <c r="B168" i="443"/>
  <c r="C168" i="443"/>
  <c r="D168" i="443"/>
  <c r="E168" i="443"/>
  <c r="F168" i="443"/>
  <c r="G168" i="443"/>
  <c r="H168" i="443"/>
  <c r="I168" i="443"/>
  <c r="J168" i="443"/>
  <c r="K168" i="443"/>
  <c r="L168" i="443"/>
  <c r="M168" i="443"/>
  <c r="N168" i="443"/>
  <c r="O168" i="443"/>
  <c r="P168" i="443"/>
  <c r="Q168" i="443"/>
  <c r="R168" i="443"/>
  <c r="B169" i="443"/>
  <c r="C169" i="443"/>
  <c r="D169" i="443"/>
  <c r="E169" i="443"/>
  <c r="F169" i="443"/>
  <c r="G169" i="443"/>
  <c r="H169" i="443"/>
  <c r="I169" i="443"/>
  <c r="J169" i="443"/>
  <c r="K169" i="443"/>
  <c r="L169" i="443"/>
  <c r="M169" i="443"/>
  <c r="N169" i="443"/>
  <c r="O169" i="443"/>
  <c r="P169" i="443"/>
  <c r="Q169" i="443"/>
  <c r="R169" i="443"/>
  <c r="B170" i="443"/>
  <c r="C170" i="443"/>
  <c r="D170" i="443"/>
  <c r="E170" i="443"/>
  <c r="F170" i="443"/>
  <c r="G170" i="443"/>
  <c r="H170" i="443"/>
  <c r="I170" i="443"/>
  <c r="J170" i="443"/>
  <c r="K170" i="443"/>
  <c r="L170" i="443"/>
  <c r="M170" i="443"/>
  <c r="N170" i="443"/>
  <c r="O170" i="443"/>
  <c r="P170" i="443"/>
  <c r="Q170" i="443"/>
  <c r="R170" i="443"/>
  <c r="B171" i="443"/>
  <c r="C171" i="443"/>
  <c r="D171" i="443"/>
  <c r="E171" i="443"/>
  <c r="F171" i="443"/>
  <c r="G171" i="443"/>
  <c r="H171" i="443"/>
  <c r="I171" i="443"/>
  <c r="J171" i="443"/>
  <c r="K171" i="443"/>
  <c r="L171" i="443"/>
  <c r="M171" i="443"/>
  <c r="N171" i="443"/>
  <c r="O171" i="443"/>
  <c r="P171" i="443"/>
  <c r="Q171" i="443"/>
  <c r="R171" i="443"/>
  <c r="B172" i="443"/>
  <c r="C172" i="443"/>
  <c r="D172" i="443"/>
  <c r="E172" i="443"/>
  <c r="F172" i="443"/>
  <c r="G172" i="443"/>
  <c r="H172" i="443"/>
  <c r="I172" i="443"/>
  <c r="J172" i="443"/>
  <c r="K172" i="443"/>
  <c r="L172" i="443"/>
  <c r="M172" i="443"/>
  <c r="N172" i="443"/>
  <c r="O172" i="443"/>
  <c r="P172" i="443"/>
  <c r="Q172" i="443"/>
  <c r="R172" i="443"/>
  <c r="B173" i="443"/>
  <c r="C173" i="443"/>
  <c r="D173" i="443"/>
  <c r="E173" i="443"/>
  <c r="F173" i="443"/>
  <c r="G173" i="443"/>
  <c r="H173" i="443"/>
  <c r="I173" i="443"/>
  <c r="J173" i="443"/>
  <c r="K173" i="443"/>
  <c r="L173" i="443"/>
  <c r="M173" i="443"/>
  <c r="N173" i="443"/>
  <c r="O173" i="443"/>
  <c r="P173" i="443"/>
  <c r="Q173" i="443"/>
  <c r="R173" i="443"/>
  <c r="B174" i="443"/>
  <c r="C174" i="443"/>
  <c r="D174" i="443"/>
  <c r="E174" i="443"/>
  <c r="F174" i="443"/>
  <c r="G174" i="443"/>
  <c r="H174" i="443"/>
  <c r="I174" i="443"/>
  <c r="J174" i="443"/>
  <c r="K174" i="443"/>
  <c r="L174" i="443"/>
  <c r="M174" i="443"/>
  <c r="N174" i="443"/>
  <c r="O174" i="443"/>
  <c r="P174" i="443"/>
  <c r="Q174" i="443"/>
  <c r="R174" i="443"/>
  <c r="B175" i="443"/>
  <c r="C175" i="443"/>
  <c r="D175" i="443"/>
  <c r="E175" i="443"/>
  <c r="F175" i="443"/>
  <c r="G175" i="443"/>
  <c r="H175" i="443"/>
  <c r="I175" i="443"/>
  <c r="J175" i="443"/>
  <c r="K175" i="443"/>
  <c r="L175" i="443"/>
  <c r="M175" i="443"/>
  <c r="N175" i="443"/>
  <c r="O175" i="443"/>
  <c r="P175" i="443"/>
  <c r="Q175" i="443"/>
  <c r="R175" i="443"/>
  <c r="B176" i="443"/>
  <c r="C176" i="443"/>
  <c r="D176" i="443"/>
  <c r="E176" i="443"/>
  <c r="F176" i="443"/>
  <c r="G176" i="443"/>
  <c r="H176" i="443"/>
  <c r="I176" i="443"/>
  <c r="J176" i="443"/>
  <c r="K176" i="443"/>
  <c r="L176" i="443"/>
  <c r="M176" i="443"/>
  <c r="N176" i="443"/>
  <c r="O176" i="443"/>
  <c r="P176" i="443"/>
  <c r="Q176" i="443"/>
  <c r="R176" i="443"/>
  <c r="B177" i="443"/>
  <c r="C177" i="443"/>
  <c r="D177" i="443"/>
  <c r="E177" i="443"/>
  <c r="F177" i="443"/>
  <c r="G177" i="443"/>
  <c r="H177" i="443"/>
  <c r="I177" i="443"/>
  <c r="J177" i="443"/>
  <c r="K177" i="443"/>
  <c r="L177" i="443"/>
  <c r="M177" i="443"/>
  <c r="N177" i="443"/>
  <c r="O177" i="443"/>
  <c r="P177" i="443"/>
  <c r="Q177" i="443"/>
  <c r="R177" i="443"/>
  <c r="B177" i="442"/>
  <c r="C177" i="442"/>
  <c r="D177" i="442"/>
  <c r="E177" i="442"/>
  <c r="F177" i="442"/>
  <c r="G177" i="442"/>
  <c r="H177" i="442"/>
  <c r="I177" i="442"/>
  <c r="J177" i="442"/>
  <c r="K177" i="442"/>
  <c r="L177" i="442"/>
  <c r="M177" i="442"/>
  <c r="N177" i="442"/>
  <c r="O177" i="442"/>
  <c r="P177" i="442"/>
  <c r="Q177" i="442"/>
  <c r="B178" i="442"/>
  <c r="C178" i="442"/>
  <c r="D178" i="442"/>
  <c r="E178" i="442"/>
  <c r="F178" i="442"/>
  <c r="G178" i="442"/>
  <c r="H178" i="442"/>
  <c r="I178" i="442"/>
  <c r="J178" i="442"/>
  <c r="K178" i="442"/>
  <c r="L178" i="442"/>
  <c r="M178" i="442"/>
  <c r="N178" i="442"/>
  <c r="O178" i="442"/>
  <c r="P178" i="442"/>
  <c r="Q178" i="442"/>
  <c r="B179" i="442"/>
  <c r="C179" i="442"/>
  <c r="D179" i="442"/>
  <c r="E179" i="442"/>
  <c r="F179" i="442"/>
  <c r="G179" i="442"/>
  <c r="H179" i="442"/>
  <c r="I179" i="442"/>
  <c r="J179" i="442"/>
  <c r="K179" i="442"/>
  <c r="L179" i="442"/>
  <c r="M179" i="442"/>
  <c r="N179" i="442"/>
  <c r="O179" i="442"/>
  <c r="P179" i="442"/>
  <c r="Q179" i="442"/>
  <c r="B180" i="442"/>
  <c r="C180" i="442"/>
  <c r="D180" i="442"/>
  <c r="E180" i="442"/>
  <c r="F180" i="442"/>
  <c r="G180" i="442"/>
  <c r="H180" i="442"/>
  <c r="I180" i="442"/>
  <c r="J180" i="442"/>
  <c r="K180" i="442"/>
  <c r="L180" i="442"/>
  <c r="M180" i="442"/>
  <c r="N180" i="442"/>
  <c r="O180" i="442"/>
  <c r="P180" i="442"/>
  <c r="Q180" i="442"/>
  <c r="B181" i="442"/>
  <c r="C181" i="442"/>
  <c r="D181" i="442"/>
  <c r="E181" i="442"/>
  <c r="F181" i="442"/>
  <c r="G181" i="442"/>
  <c r="H181" i="442"/>
  <c r="I181" i="442"/>
  <c r="J181" i="442"/>
  <c r="K181" i="442"/>
  <c r="L181" i="442"/>
  <c r="M181" i="442"/>
  <c r="N181" i="442"/>
  <c r="O181" i="442"/>
  <c r="P181" i="442"/>
  <c r="Q181" i="442"/>
  <c r="B182" i="442"/>
  <c r="C182" i="442"/>
  <c r="D182" i="442"/>
  <c r="E182" i="442"/>
  <c r="F182" i="442"/>
  <c r="G182" i="442"/>
  <c r="H182" i="442"/>
  <c r="I182" i="442"/>
  <c r="J182" i="442"/>
  <c r="K182" i="442"/>
  <c r="L182" i="442"/>
  <c r="M182" i="442"/>
  <c r="N182" i="442"/>
  <c r="O182" i="442"/>
  <c r="P182" i="442"/>
  <c r="Q182" i="442"/>
  <c r="B183" i="442"/>
  <c r="C183" i="442"/>
  <c r="D183" i="442"/>
  <c r="E183" i="442"/>
  <c r="F183" i="442"/>
  <c r="G183" i="442"/>
  <c r="H183" i="442"/>
  <c r="I183" i="442"/>
  <c r="J183" i="442"/>
  <c r="K183" i="442"/>
  <c r="L183" i="442"/>
  <c r="M183" i="442"/>
  <c r="N183" i="442"/>
  <c r="O183" i="442"/>
  <c r="P183" i="442"/>
  <c r="Q183" i="442"/>
  <c r="B184" i="442"/>
  <c r="C184" i="442"/>
  <c r="D184" i="442"/>
  <c r="E184" i="442"/>
  <c r="F184" i="442"/>
  <c r="G184" i="442"/>
  <c r="H184" i="442"/>
  <c r="I184" i="442"/>
  <c r="J184" i="442"/>
  <c r="K184" i="442"/>
  <c r="L184" i="442"/>
  <c r="M184" i="442"/>
  <c r="N184" i="442"/>
  <c r="O184" i="442"/>
  <c r="P184" i="442"/>
  <c r="Q184" i="442"/>
  <c r="B185" i="442"/>
  <c r="C185" i="442"/>
  <c r="D185" i="442"/>
  <c r="E185" i="442"/>
  <c r="F185" i="442"/>
  <c r="G185" i="442"/>
  <c r="H185" i="442"/>
  <c r="I185" i="442"/>
  <c r="J185" i="442"/>
  <c r="K185" i="442"/>
  <c r="L185" i="442"/>
  <c r="M185" i="442"/>
  <c r="N185" i="442"/>
  <c r="O185" i="442"/>
  <c r="P185" i="442"/>
  <c r="Q185" i="442"/>
  <c r="B186" i="442"/>
  <c r="C186" i="442"/>
  <c r="D186" i="442"/>
  <c r="E186" i="442"/>
  <c r="F186" i="442"/>
  <c r="G186" i="442"/>
  <c r="H186" i="442"/>
  <c r="I186" i="442"/>
  <c r="J186" i="442"/>
  <c r="K186" i="442"/>
  <c r="L186" i="442"/>
  <c r="M186" i="442"/>
  <c r="N186" i="442"/>
  <c r="O186" i="442"/>
  <c r="P186" i="442"/>
  <c r="Q186" i="442"/>
  <c r="B187" i="442"/>
  <c r="C187" i="442"/>
  <c r="D187" i="442"/>
  <c r="E187" i="442"/>
  <c r="F187" i="442"/>
  <c r="G187" i="442"/>
  <c r="H187" i="442"/>
  <c r="I187" i="442"/>
  <c r="J187" i="442"/>
  <c r="K187" i="442"/>
  <c r="L187" i="442"/>
  <c r="M187" i="442"/>
  <c r="N187" i="442"/>
  <c r="O187" i="442"/>
  <c r="P187" i="442"/>
  <c r="Q187" i="442"/>
  <c r="B188" i="442"/>
  <c r="C188" i="442"/>
  <c r="D188" i="442"/>
  <c r="E188" i="442"/>
  <c r="F188" i="442"/>
  <c r="G188" i="442"/>
  <c r="H188" i="442"/>
  <c r="I188" i="442"/>
  <c r="J188" i="442"/>
  <c r="K188" i="442"/>
  <c r="L188" i="442"/>
  <c r="M188" i="442"/>
  <c r="N188" i="442"/>
  <c r="O188" i="442"/>
  <c r="P188" i="442"/>
  <c r="Q188" i="442"/>
  <c r="B189" i="442"/>
  <c r="C189" i="442"/>
  <c r="D189" i="442"/>
  <c r="E189" i="442"/>
  <c r="F189" i="442"/>
  <c r="G189" i="442"/>
  <c r="H189" i="442"/>
  <c r="I189" i="442"/>
  <c r="J189" i="442"/>
  <c r="K189" i="442"/>
  <c r="L189" i="442"/>
  <c r="M189" i="442"/>
  <c r="N189" i="442"/>
  <c r="O189" i="442"/>
  <c r="P189" i="442"/>
  <c r="Q189" i="442"/>
  <c r="B190" i="442"/>
  <c r="C190" i="442"/>
  <c r="D190" i="442"/>
  <c r="E190" i="442"/>
  <c r="F190" i="442"/>
  <c r="G190" i="442"/>
  <c r="H190" i="442"/>
  <c r="I190" i="442"/>
  <c r="J190" i="442"/>
  <c r="K190" i="442"/>
  <c r="L190" i="442"/>
  <c r="M190" i="442"/>
  <c r="N190" i="442"/>
  <c r="O190" i="442"/>
  <c r="P190" i="442"/>
  <c r="Q190" i="442"/>
  <c r="B191" i="442"/>
  <c r="C191" i="442"/>
  <c r="D191" i="442"/>
  <c r="E191" i="442"/>
  <c r="F191" i="442"/>
  <c r="G191" i="442"/>
  <c r="H191" i="442"/>
  <c r="I191" i="442"/>
  <c r="J191" i="442"/>
  <c r="K191" i="442"/>
  <c r="L191" i="442"/>
  <c r="M191" i="442"/>
  <c r="N191" i="442"/>
  <c r="O191" i="442"/>
  <c r="P191" i="442"/>
  <c r="Q191" i="442"/>
  <c r="B192" i="442"/>
  <c r="C192" i="442"/>
  <c r="D192" i="442"/>
  <c r="E192" i="442"/>
  <c r="F192" i="442"/>
  <c r="G192" i="442"/>
  <c r="H192" i="442"/>
  <c r="I192" i="442"/>
  <c r="J192" i="442"/>
  <c r="K192" i="442"/>
  <c r="L192" i="442"/>
  <c r="M192" i="442"/>
  <c r="N192" i="442"/>
  <c r="O192" i="442"/>
  <c r="P192" i="442"/>
  <c r="Q192" i="442"/>
  <c r="B156" i="441"/>
  <c r="C156" i="441"/>
  <c r="D156" i="441"/>
  <c r="E156" i="441"/>
  <c r="F156" i="441"/>
  <c r="G156" i="441"/>
  <c r="H156" i="441"/>
  <c r="I156" i="441"/>
  <c r="J156" i="441"/>
  <c r="K156" i="441"/>
  <c r="L156" i="441"/>
  <c r="M156" i="441"/>
  <c r="N156" i="441"/>
  <c r="O156" i="441"/>
  <c r="P156" i="441"/>
  <c r="B157" i="441"/>
  <c r="C157" i="441"/>
  <c r="D157" i="441"/>
  <c r="E157" i="441"/>
  <c r="F157" i="441"/>
  <c r="G157" i="441"/>
  <c r="H157" i="441"/>
  <c r="I157" i="441"/>
  <c r="J157" i="441"/>
  <c r="K157" i="441"/>
  <c r="L157" i="441"/>
  <c r="M157" i="441"/>
  <c r="N157" i="441"/>
  <c r="O157" i="441"/>
  <c r="P157" i="441"/>
  <c r="B158" i="441"/>
  <c r="C158" i="441"/>
  <c r="D158" i="441"/>
  <c r="E158" i="441"/>
  <c r="F158" i="441"/>
  <c r="G158" i="441"/>
  <c r="H158" i="441"/>
  <c r="I158" i="441"/>
  <c r="J158" i="441"/>
  <c r="K158" i="441"/>
  <c r="L158" i="441"/>
  <c r="M158" i="441"/>
  <c r="N158" i="441"/>
  <c r="O158" i="441"/>
  <c r="P158" i="441"/>
  <c r="B159" i="441"/>
  <c r="C159" i="441"/>
  <c r="D159" i="441"/>
  <c r="E159" i="441"/>
  <c r="F159" i="441"/>
  <c r="G159" i="441"/>
  <c r="H159" i="441"/>
  <c r="I159" i="441"/>
  <c r="J159" i="441"/>
  <c r="K159" i="441"/>
  <c r="L159" i="441"/>
  <c r="M159" i="441"/>
  <c r="N159" i="441"/>
  <c r="O159" i="441"/>
  <c r="P159" i="441"/>
  <c r="B160" i="441"/>
  <c r="C160" i="441"/>
  <c r="D160" i="441"/>
  <c r="E160" i="441"/>
  <c r="F160" i="441"/>
  <c r="G160" i="441"/>
  <c r="H160" i="441"/>
  <c r="I160" i="441"/>
  <c r="J160" i="441"/>
  <c r="K160" i="441"/>
  <c r="L160" i="441"/>
  <c r="M160" i="441"/>
  <c r="N160" i="441"/>
  <c r="O160" i="441"/>
  <c r="P160" i="441"/>
  <c r="B161" i="441"/>
  <c r="C161" i="441"/>
  <c r="D161" i="441"/>
  <c r="E161" i="441"/>
  <c r="F161" i="441"/>
  <c r="G161" i="441"/>
  <c r="H161" i="441"/>
  <c r="I161" i="441"/>
  <c r="J161" i="441"/>
  <c r="K161" i="441"/>
  <c r="L161" i="441"/>
  <c r="M161" i="441"/>
  <c r="N161" i="441"/>
  <c r="O161" i="441"/>
  <c r="P161" i="441"/>
  <c r="B162" i="441"/>
  <c r="C162" i="441"/>
  <c r="D162" i="441"/>
  <c r="E162" i="441"/>
  <c r="F162" i="441"/>
  <c r="G162" i="441"/>
  <c r="H162" i="441"/>
  <c r="I162" i="441"/>
  <c r="J162" i="441"/>
  <c r="K162" i="441"/>
  <c r="L162" i="441"/>
  <c r="M162" i="441"/>
  <c r="N162" i="441"/>
  <c r="O162" i="441"/>
  <c r="P162" i="441"/>
  <c r="B163" i="441"/>
  <c r="C163" i="441"/>
  <c r="D163" i="441"/>
  <c r="E163" i="441"/>
  <c r="F163" i="441"/>
  <c r="G163" i="441"/>
  <c r="H163" i="441"/>
  <c r="I163" i="441"/>
  <c r="J163" i="441"/>
  <c r="K163" i="441"/>
  <c r="L163" i="441"/>
  <c r="M163" i="441"/>
  <c r="N163" i="441"/>
  <c r="O163" i="441"/>
  <c r="P163" i="441"/>
  <c r="B164" i="441"/>
  <c r="C164" i="441"/>
  <c r="D164" i="441"/>
  <c r="E164" i="441"/>
  <c r="F164" i="441"/>
  <c r="G164" i="441"/>
  <c r="H164" i="441"/>
  <c r="I164" i="441"/>
  <c r="J164" i="441"/>
  <c r="K164" i="441"/>
  <c r="L164" i="441"/>
  <c r="M164" i="441"/>
  <c r="N164" i="441"/>
  <c r="O164" i="441"/>
  <c r="P164" i="441"/>
  <c r="B165" i="441"/>
  <c r="C165" i="441"/>
  <c r="D165" i="441"/>
  <c r="E165" i="441"/>
  <c r="F165" i="441"/>
  <c r="G165" i="441"/>
  <c r="H165" i="441"/>
  <c r="I165" i="441"/>
  <c r="J165" i="441"/>
  <c r="K165" i="441"/>
  <c r="L165" i="441"/>
  <c r="M165" i="441"/>
  <c r="N165" i="441"/>
  <c r="O165" i="441"/>
  <c r="P165" i="441"/>
  <c r="B166" i="441"/>
  <c r="C166" i="441"/>
  <c r="D166" i="441"/>
  <c r="E166" i="441"/>
  <c r="F166" i="441"/>
  <c r="G166" i="441"/>
  <c r="H166" i="441"/>
  <c r="I166" i="441"/>
  <c r="J166" i="441"/>
  <c r="K166" i="441"/>
  <c r="L166" i="441"/>
  <c r="M166" i="441"/>
  <c r="N166" i="441"/>
  <c r="O166" i="441"/>
  <c r="P166" i="441"/>
  <c r="B167" i="441"/>
  <c r="C167" i="441"/>
  <c r="D167" i="441"/>
  <c r="E167" i="441"/>
  <c r="F167" i="441"/>
  <c r="G167" i="441"/>
  <c r="H167" i="441"/>
  <c r="I167" i="441"/>
  <c r="J167" i="441"/>
  <c r="K167" i="441"/>
  <c r="L167" i="441"/>
  <c r="M167" i="441"/>
  <c r="N167" i="441"/>
  <c r="O167" i="441"/>
  <c r="P167" i="441"/>
  <c r="B168" i="441"/>
  <c r="C168" i="441"/>
  <c r="D168" i="441"/>
  <c r="E168" i="441"/>
  <c r="F168" i="441"/>
  <c r="G168" i="441"/>
  <c r="H168" i="441"/>
  <c r="I168" i="441"/>
  <c r="J168" i="441"/>
  <c r="K168" i="441"/>
  <c r="L168" i="441"/>
  <c r="M168" i="441"/>
  <c r="N168" i="441"/>
  <c r="O168" i="441"/>
  <c r="P168" i="441"/>
  <c r="B169" i="441"/>
  <c r="C169" i="441"/>
  <c r="D169" i="441"/>
  <c r="E169" i="441"/>
  <c r="F169" i="441"/>
  <c r="G169" i="441"/>
  <c r="H169" i="441"/>
  <c r="I169" i="441"/>
  <c r="J169" i="441"/>
  <c r="K169" i="441"/>
  <c r="L169" i="441"/>
  <c r="M169" i="441"/>
  <c r="N169" i="441"/>
  <c r="O169" i="441"/>
  <c r="P169" i="441"/>
  <c r="B170" i="441"/>
  <c r="C170" i="441"/>
  <c r="D170" i="441"/>
  <c r="E170" i="441"/>
  <c r="F170" i="441"/>
  <c r="G170" i="441"/>
  <c r="H170" i="441"/>
  <c r="I170" i="441"/>
  <c r="J170" i="441"/>
  <c r="K170" i="441"/>
  <c r="L170" i="441"/>
  <c r="M170" i="441"/>
  <c r="N170" i="441"/>
  <c r="O170" i="441"/>
  <c r="P170" i="441"/>
  <c r="B135" i="440"/>
  <c r="C135" i="440"/>
  <c r="D135" i="440"/>
  <c r="E135" i="440"/>
  <c r="F135" i="440"/>
  <c r="G135" i="440"/>
  <c r="H135" i="440"/>
  <c r="I135" i="440"/>
  <c r="J135" i="440"/>
  <c r="K135" i="440"/>
  <c r="L135" i="440"/>
  <c r="M135" i="440"/>
  <c r="N135" i="440"/>
  <c r="O135" i="440"/>
  <c r="B136" i="440"/>
  <c r="C136" i="440"/>
  <c r="D136" i="440"/>
  <c r="E136" i="440"/>
  <c r="F136" i="440"/>
  <c r="G136" i="440"/>
  <c r="H136" i="440"/>
  <c r="I136" i="440"/>
  <c r="J136" i="440"/>
  <c r="K136" i="440"/>
  <c r="L136" i="440"/>
  <c r="M136" i="440"/>
  <c r="N136" i="440"/>
  <c r="O136" i="440"/>
  <c r="B137" i="440"/>
  <c r="C137" i="440"/>
  <c r="D137" i="440"/>
  <c r="E137" i="440"/>
  <c r="F137" i="440"/>
  <c r="G137" i="440"/>
  <c r="H137" i="440"/>
  <c r="I137" i="440"/>
  <c r="J137" i="440"/>
  <c r="K137" i="440"/>
  <c r="L137" i="440"/>
  <c r="M137" i="440"/>
  <c r="N137" i="440"/>
  <c r="O137" i="440"/>
  <c r="B138" i="440"/>
  <c r="C138" i="440"/>
  <c r="D138" i="440"/>
  <c r="E138" i="440"/>
  <c r="F138" i="440"/>
  <c r="G138" i="440"/>
  <c r="H138" i="440"/>
  <c r="I138" i="440"/>
  <c r="J138" i="440"/>
  <c r="K138" i="440"/>
  <c r="L138" i="440"/>
  <c r="M138" i="440"/>
  <c r="N138" i="440"/>
  <c r="O138" i="440"/>
  <c r="B139" i="440"/>
  <c r="C139" i="440"/>
  <c r="D139" i="440"/>
  <c r="E139" i="440"/>
  <c r="F139" i="440"/>
  <c r="G139" i="440"/>
  <c r="H139" i="440"/>
  <c r="I139" i="440"/>
  <c r="J139" i="440"/>
  <c r="K139" i="440"/>
  <c r="L139" i="440"/>
  <c r="M139" i="440"/>
  <c r="N139" i="440"/>
  <c r="O139" i="440"/>
  <c r="B140" i="440"/>
  <c r="C140" i="440"/>
  <c r="D140" i="440"/>
  <c r="E140" i="440"/>
  <c r="F140" i="440"/>
  <c r="G140" i="440"/>
  <c r="H140" i="440"/>
  <c r="I140" i="440"/>
  <c r="J140" i="440"/>
  <c r="K140" i="440"/>
  <c r="L140" i="440"/>
  <c r="M140" i="440"/>
  <c r="N140" i="440"/>
  <c r="O140" i="440"/>
  <c r="B141" i="440"/>
  <c r="C141" i="440"/>
  <c r="D141" i="440"/>
  <c r="E141" i="440"/>
  <c r="F141" i="440"/>
  <c r="G141" i="440"/>
  <c r="H141" i="440"/>
  <c r="I141" i="440"/>
  <c r="J141" i="440"/>
  <c r="K141" i="440"/>
  <c r="L141" i="440"/>
  <c r="M141" i="440"/>
  <c r="N141" i="440"/>
  <c r="O141" i="440"/>
  <c r="B142" i="440"/>
  <c r="C142" i="440"/>
  <c r="D142" i="440"/>
  <c r="E142" i="440"/>
  <c r="F142" i="440"/>
  <c r="G142" i="440"/>
  <c r="H142" i="440"/>
  <c r="I142" i="440"/>
  <c r="J142" i="440"/>
  <c r="K142" i="440"/>
  <c r="L142" i="440"/>
  <c r="M142" i="440"/>
  <c r="N142" i="440"/>
  <c r="O142" i="440"/>
  <c r="B143" i="440"/>
  <c r="C143" i="440"/>
  <c r="D143" i="440"/>
  <c r="E143" i="440"/>
  <c r="F143" i="440"/>
  <c r="G143" i="440"/>
  <c r="H143" i="440"/>
  <c r="I143" i="440"/>
  <c r="J143" i="440"/>
  <c r="K143" i="440"/>
  <c r="L143" i="440"/>
  <c r="M143" i="440"/>
  <c r="N143" i="440"/>
  <c r="O143" i="440"/>
  <c r="B144" i="440"/>
  <c r="C144" i="440"/>
  <c r="D144" i="440"/>
  <c r="E144" i="440"/>
  <c r="F144" i="440"/>
  <c r="G144" i="440"/>
  <c r="H144" i="440"/>
  <c r="I144" i="440"/>
  <c r="J144" i="440"/>
  <c r="K144" i="440"/>
  <c r="L144" i="440"/>
  <c r="M144" i="440"/>
  <c r="N144" i="440"/>
  <c r="O144" i="440"/>
  <c r="B145" i="440"/>
  <c r="C145" i="440"/>
  <c r="D145" i="440"/>
  <c r="E145" i="440"/>
  <c r="F145" i="440"/>
  <c r="G145" i="440"/>
  <c r="H145" i="440"/>
  <c r="I145" i="440"/>
  <c r="J145" i="440"/>
  <c r="K145" i="440"/>
  <c r="L145" i="440"/>
  <c r="M145" i="440"/>
  <c r="N145" i="440"/>
  <c r="O145" i="440"/>
  <c r="B146" i="440"/>
  <c r="C146" i="440"/>
  <c r="D146" i="440"/>
  <c r="E146" i="440"/>
  <c r="F146" i="440"/>
  <c r="G146" i="440"/>
  <c r="H146" i="440"/>
  <c r="I146" i="440"/>
  <c r="J146" i="440"/>
  <c r="K146" i="440"/>
  <c r="L146" i="440"/>
  <c r="M146" i="440"/>
  <c r="N146" i="440"/>
  <c r="O146" i="440"/>
  <c r="B147" i="440"/>
  <c r="C147" i="440"/>
  <c r="D147" i="440"/>
  <c r="E147" i="440"/>
  <c r="F147" i="440"/>
  <c r="G147" i="440"/>
  <c r="H147" i="440"/>
  <c r="I147" i="440"/>
  <c r="J147" i="440"/>
  <c r="K147" i="440"/>
  <c r="L147" i="440"/>
  <c r="M147" i="440"/>
  <c r="N147" i="440"/>
  <c r="O147" i="440"/>
  <c r="B148" i="440"/>
  <c r="C148" i="440"/>
  <c r="D148" i="440"/>
  <c r="E148" i="440"/>
  <c r="F148" i="440"/>
  <c r="G148" i="440"/>
  <c r="H148" i="440"/>
  <c r="I148" i="440"/>
  <c r="J148" i="440"/>
  <c r="K148" i="440"/>
  <c r="L148" i="440"/>
  <c r="M148" i="440"/>
  <c r="N148" i="440"/>
  <c r="O148" i="440"/>
  <c r="B132" i="439"/>
  <c r="C132" i="439"/>
  <c r="D132" i="439"/>
  <c r="E132" i="439"/>
  <c r="F132" i="439"/>
  <c r="G132" i="439"/>
  <c r="H132" i="439"/>
  <c r="I132" i="439"/>
  <c r="J132" i="439"/>
  <c r="K132" i="439"/>
  <c r="L132" i="439"/>
  <c r="M132" i="439"/>
  <c r="N132" i="439"/>
  <c r="B133" i="439"/>
  <c r="C133" i="439"/>
  <c r="D133" i="439"/>
  <c r="E133" i="439"/>
  <c r="F133" i="439"/>
  <c r="G133" i="439"/>
  <c r="H133" i="439"/>
  <c r="I133" i="439"/>
  <c r="J133" i="439"/>
  <c r="K133" i="439"/>
  <c r="L133" i="439"/>
  <c r="M133" i="439"/>
  <c r="N133" i="439"/>
  <c r="B134" i="439"/>
  <c r="C134" i="439"/>
  <c r="D134" i="439"/>
  <c r="E134" i="439"/>
  <c r="F134" i="439"/>
  <c r="G134" i="439"/>
  <c r="H134" i="439"/>
  <c r="I134" i="439"/>
  <c r="J134" i="439"/>
  <c r="K134" i="439"/>
  <c r="L134" i="439"/>
  <c r="M134" i="439"/>
  <c r="N134" i="439"/>
  <c r="B135" i="439"/>
  <c r="C135" i="439"/>
  <c r="D135" i="439"/>
  <c r="E135" i="439"/>
  <c r="F135" i="439"/>
  <c r="G135" i="439"/>
  <c r="H135" i="439"/>
  <c r="I135" i="439"/>
  <c r="J135" i="439"/>
  <c r="K135" i="439"/>
  <c r="L135" i="439"/>
  <c r="M135" i="439"/>
  <c r="N135" i="439"/>
  <c r="B136" i="439"/>
  <c r="C136" i="439"/>
  <c r="D136" i="439"/>
  <c r="E136" i="439"/>
  <c r="F136" i="439"/>
  <c r="G136" i="439"/>
  <c r="H136" i="439"/>
  <c r="I136" i="439"/>
  <c r="J136" i="439"/>
  <c r="K136" i="439"/>
  <c r="L136" i="439"/>
  <c r="M136" i="439"/>
  <c r="N136" i="439"/>
  <c r="B137" i="439"/>
  <c r="C137" i="439"/>
  <c r="D137" i="439"/>
  <c r="E137" i="439"/>
  <c r="F137" i="439"/>
  <c r="G137" i="439"/>
  <c r="H137" i="439"/>
  <c r="I137" i="439"/>
  <c r="J137" i="439"/>
  <c r="K137" i="439"/>
  <c r="L137" i="439"/>
  <c r="M137" i="439"/>
  <c r="N137" i="439"/>
  <c r="B138" i="439"/>
  <c r="C138" i="439"/>
  <c r="D138" i="439"/>
  <c r="E138" i="439"/>
  <c r="F138" i="439"/>
  <c r="G138" i="439"/>
  <c r="H138" i="439"/>
  <c r="I138" i="439"/>
  <c r="J138" i="439"/>
  <c r="K138" i="439"/>
  <c r="L138" i="439"/>
  <c r="M138" i="439"/>
  <c r="N138" i="439"/>
  <c r="B139" i="439"/>
  <c r="C139" i="439"/>
  <c r="D139" i="439"/>
  <c r="E139" i="439"/>
  <c r="F139" i="439"/>
  <c r="G139" i="439"/>
  <c r="H139" i="439"/>
  <c r="I139" i="439"/>
  <c r="J139" i="439"/>
  <c r="K139" i="439"/>
  <c r="L139" i="439"/>
  <c r="M139" i="439"/>
  <c r="N139" i="439"/>
  <c r="B140" i="439"/>
  <c r="C140" i="439"/>
  <c r="D140" i="439"/>
  <c r="E140" i="439"/>
  <c r="F140" i="439"/>
  <c r="G140" i="439"/>
  <c r="H140" i="439"/>
  <c r="I140" i="439"/>
  <c r="J140" i="439"/>
  <c r="K140" i="439"/>
  <c r="L140" i="439"/>
  <c r="M140" i="439"/>
  <c r="N140" i="439"/>
  <c r="B141" i="439"/>
  <c r="C141" i="439"/>
  <c r="D141" i="439"/>
  <c r="E141" i="439"/>
  <c r="F141" i="439"/>
  <c r="G141" i="439"/>
  <c r="H141" i="439"/>
  <c r="I141" i="439"/>
  <c r="J141" i="439"/>
  <c r="K141" i="439"/>
  <c r="L141" i="439"/>
  <c r="M141" i="439"/>
  <c r="N141" i="439"/>
  <c r="B142" i="439"/>
  <c r="C142" i="439"/>
  <c r="D142" i="439"/>
  <c r="E142" i="439"/>
  <c r="F142" i="439"/>
  <c r="G142" i="439"/>
  <c r="H142" i="439"/>
  <c r="I142" i="439"/>
  <c r="J142" i="439"/>
  <c r="K142" i="439"/>
  <c r="L142" i="439"/>
  <c r="M142" i="439"/>
  <c r="N142" i="439"/>
  <c r="B143" i="439"/>
  <c r="C143" i="439"/>
  <c r="D143" i="439"/>
  <c r="E143" i="439"/>
  <c r="F143" i="439"/>
  <c r="G143" i="439"/>
  <c r="H143" i="439"/>
  <c r="I143" i="439"/>
  <c r="J143" i="439"/>
  <c r="K143" i="439"/>
  <c r="L143" i="439"/>
  <c r="M143" i="439"/>
  <c r="N143" i="439"/>
  <c r="B144" i="439"/>
  <c r="C144" i="439"/>
  <c r="D144" i="439"/>
  <c r="E144" i="439"/>
  <c r="F144" i="439"/>
  <c r="G144" i="439"/>
  <c r="H144" i="439"/>
  <c r="I144" i="439"/>
  <c r="J144" i="439"/>
  <c r="K144" i="439"/>
  <c r="L144" i="439"/>
  <c r="M144" i="439"/>
  <c r="N144" i="439"/>
  <c r="B140" i="438"/>
  <c r="C140" i="438"/>
  <c r="D140" i="438"/>
  <c r="E140" i="438"/>
  <c r="F140" i="438"/>
  <c r="G140" i="438"/>
  <c r="H140" i="438"/>
  <c r="I140" i="438"/>
  <c r="J140" i="438"/>
  <c r="K140" i="438"/>
  <c r="L140" i="438"/>
  <c r="M140" i="438"/>
  <c r="B141" i="438"/>
  <c r="C141" i="438"/>
  <c r="D141" i="438"/>
  <c r="E141" i="438"/>
  <c r="F141" i="438"/>
  <c r="G141" i="438"/>
  <c r="H141" i="438"/>
  <c r="I141" i="438"/>
  <c r="J141" i="438"/>
  <c r="K141" i="438"/>
  <c r="L141" i="438"/>
  <c r="M141" i="438"/>
  <c r="B142" i="438"/>
  <c r="C142" i="438"/>
  <c r="D142" i="438"/>
  <c r="E142" i="438"/>
  <c r="F142" i="438"/>
  <c r="G142" i="438"/>
  <c r="H142" i="438"/>
  <c r="I142" i="438"/>
  <c r="J142" i="438"/>
  <c r="K142" i="438"/>
  <c r="L142" i="438"/>
  <c r="M142" i="438"/>
  <c r="B143" i="438"/>
  <c r="C143" i="438"/>
  <c r="D143" i="438"/>
  <c r="E143" i="438"/>
  <c r="F143" i="438"/>
  <c r="G143" i="438"/>
  <c r="H143" i="438"/>
  <c r="I143" i="438"/>
  <c r="J143" i="438"/>
  <c r="K143" i="438"/>
  <c r="L143" i="438"/>
  <c r="M143" i="438"/>
  <c r="B144" i="438"/>
  <c r="C144" i="438"/>
  <c r="D144" i="438"/>
  <c r="E144" i="438"/>
  <c r="F144" i="438"/>
  <c r="G144" i="438"/>
  <c r="H144" i="438"/>
  <c r="I144" i="438"/>
  <c r="J144" i="438"/>
  <c r="K144" i="438"/>
  <c r="L144" i="438"/>
  <c r="M144" i="438"/>
  <c r="B145" i="438"/>
  <c r="C145" i="438"/>
  <c r="D145" i="438"/>
  <c r="E145" i="438"/>
  <c r="F145" i="438"/>
  <c r="G145" i="438"/>
  <c r="H145" i="438"/>
  <c r="I145" i="438"/>
  <c r="J145" i="438"/>
  <c r="K145" i="438"/>
  <c r="L145" i="438"/>
  <c r="M145" i="438"/>
  <c r="B146" i="438"/>
  <c r="C146" i="438"/>
  <c r="D146" i="438"/>
  <c r="E146" i="438"/>
  <c r="F146" i="438"/>
  <c r="G146" i="438"/>
  <c r="H146" i="438"/>
  <c r="I146" i="438"/>
  <c r="J146" i="438"/>
  <c r="K146" i="438"/>
  <c r="L146" i="438"/>
  <c r="M146" i="438"/>
  <c r="B147" i="438"/>
  <c r="C147" i="438"/>
  <c r="D147" i="438"/>
  <c r="E147" i="438"/>
  <c r="F147" i="438"/>
  <c r="G147" i="438"/>
  <c r="H147" i="438"/>
  <c r="I147" i="438"/>
  <c r="J147" i="438"/>
  <c r="K147" i="438"/>
  <c r="L147" i="438"/>
  <c r="M147" i="438"/>
  <c r="B148" i="438"/>
  <c r="C148" i="438"/>
  <c r="D148" i="438"/>
  <c r="E148" i="438"/>
  <c r="F148" i="438"/>
  <c r="G148" i="438"/>
  <c r="H148" i="438"/>
  <c r="I148" i="438"/>
  <c r="J148" i="438"/>
  <c r="K148" i="438"/>
  <c r="L148" i="438"/>
  <c r="M148" i="438"/>
  <c r="B149" i="438"/>
  <c r="C149" i="438"/>
  <c r="D149" i="438"/>
  <c r="E149" i="438"/>
  <c r="F149" i="438"/>
  <c r="G149" i="438"/>
  <c r="H149" i="438"/>
  <c r="I149" i="438"/>
  <c r="J149" i="438"/>
  <c r="K149" i="438"/>
  <c r="L149" i="438"/>
  <c r="M149" i="438"/>
  <c r="B150" i="438"/>
  <c r="C150" i="438"/>
  <c r="D150" i="438"/>
  <c r="E150" i="438"/>
  <c r="F150" i="438"/>
  <c r="G150" i="438"/>
  <c r="H150" i="438"/>
  <c r="I150" i="438"/>
  <c r="J150" i="438"/>
  <c r="K150" i="438"/>
  <c r="L150" i="438"/>
  <c r="M150" i="438"/>
  <c r="B151" i="438"/>
  <c r="C151" i="438"/>
  <c r="D151" i="438"/>
  <c r="E151" i="438"/>
  <c r="F151" i="438"/>
  <c r="G151" i="438"/>
  <c r="H151" i="438"/>
  <c r="I151" i="438"/>
  <c r="J151" i="438"/>
  <c r="K151" i="438"/>
  <c r="L151" i="438"/>
  <c r="M151" i="438"/>
  <c r="B118" i="437"/>
  <c r="C118" i="437"/>
  <c r="D118" i="437"/>
  <c r="E118" i="437"/>
  <c r="F118" i="437"/>
  <c r="G118" i="437"/>
  <c r="H118" i="437"/>
  <c r="I118" i="437"/>
  <c r="J118" i="437"/>
  <c r="K118" i="437"/>
  <c r="L118" i="437"/>
  <c r="B119" i="437"/>
  <c r="C119" i="437"/>
  <c r="D119" i="437"/>
  <c r="E119" i="437"/>
  <c r="F119" i="437"/>
  <c r="G119" i="437"/>
  <c r="H119" i="437"/>
  <c r="I119" i="437"/>
  <c r="J119" i="437"/>
  <c r="K119" i="437"/>
  <c r="L119" i="437"/>
  <c r="B120" i="437"/>
  <c r="C120" i="437"/>
  <c r="D120" i="437"/>
  <c r="E120" i="437"/>
  <c r="F120" i="437"/>
  <c r="G120" i="437"/>
  <c r="H120" i="437"/>
  <c r="I120" i="437"/>
  <c r="J120" i="437"/>
  <c r="K120" i="437"/>
  <c r="L120" i="437"/>
  <c r="B121" i="437"/>
  <c r="C121" i="437"/>
  <c r="D121" i="437"/>
  <c r="E121" i="437"/>
  <c r="F121" i="437"/>
  <c r="G121" i="437"/>
  <c r="H121" i="437"/>
  <c r="I121" i="437"/>
  <c r="J121" i="437"/>
  <c r="K121" i="437"/>
  <c r="L121" i="437"/>
  <c r="B122" i="437"/>
  <c r="C122" i="437"/>
  <c r="D122" i="437"/>
  <c r="E122" i="437"/>
  <c r="F122" i="437"/>
  <c r="G122" i="437"/>
  <c r="H122" i="437"/>
  <c r="I122" i="437"/>
  <c r="J122" i="437"/>
  <c r="K122" i="437"/>
  <c r="L122" i="437"/>
  <c r="B123" i="437"/>
  <c r="C123" i="437"/>
  <c r="D123" i="437"/>
  <c r="E123" i="437"/>
  <c r="F123" i="437"/>
  <c r="G123" i="437"/>
  <c r="H123" i="437"/>
  <c r="I123" i="437"/>
  <c r="J123" i="437"/>
  <c r="K123" i="437"/>
  <c r="L123" i="437"/>
  <c r="B124" i="437"/>
  <c r="C124" i="437"/>
  <c r="D124" i="437"/>
  <c r="E124" i="437"/>
  <c r="F124" i="437"/>
  <c r="G124" i="437"/>
  <c r="H124" i="437"/>
  <c r="I124" i="437"/>
  <c r="J124" i="437"/>
  <c r="K124" i="437"/>
  <c r="L124" i="437"/>
  <c r="B125" i="437"/>
  <c r="C125" i="437"/>
  <c r="D125" i="437"/>
  <c r="E125" i="437"/>
  <c r="F125" i="437"/>
  <c r="G125" i="437"/>
  <c r="H125" i="437"/>
  <c r="I125" i="437"/>
  <c r="J125" i="437"/>
  <c r="K125" i="437"/>
  <c r="L125" i="437"/>
  <c r="B126" i="437"/>
  <c r="C126" i="437"/>
  <c r="D126" i="437"/>
  <c r="E126" i="437"/>
  <c r="F126" i="437"/>
  <c r="G126" i="437"/>
  <c r="H126" i="437"/>
  <c r="I126" i="437"/>
  <c r="J126" i="437"/>
  <c r="K126" i="437"/>
  <c r="L126" i="437"/>
  <c r="B127" i="437"/>
  <c r="C127" i="437"/>
  <c r="D127" i="437"/>
  <c r="E127" i="437"/>
  <c r="F127" i="437"/>
  <c r="G127" i="437"/>
  <c r="H127" i="437"/>
  <c r="I127" i="437"/>
  <c r="J127" i="437"/>
  <c r="K127" i="437"/>
  <c r="L127" i="437"/>
  <c r="B128" i="437"/>
  <c r="C128" i="437"/>
  <c r="D128" i="437"/>
  <c r="E128" i="437"/>
  <c r="F128" i="437"/>
  <c r="G128" i="437"/>
  <c r="H128" i="437"/>
  <c r="I128" i="437"/>
  <c r="J128" i="437"/>
  <c r="K128" i="437"/>
  <c r="L128" i="437"/>
  <c r="B89" i="435"/>
  <c r="C89" i="435"/>
  <c r="D89" i="435"/>
  <c r="E89" i="435"/>
  <c r="F89" i="435"/>
  <c r="G89" i="435"/>
  <c r="H89" i="435"/>
  <c r="I89" i="435"/>
  <c r="J89" i="435"/>
  <c r="B90" i="435"/>
  <c r="C90" i="435"/>
  <c r="D90" i="435"/>
  <c r="E90" i="435"/>
  <c r="F90" i="435"/>
  <c r="G90" i="435"/>
  <c r="H90" i="435"/>
  <c r="I90" i="435"/>
  <c r="J90" i="435"/>
  <c r="B91" i="435"/>
  <c r="C91" i="435"/>
  <c r="D91" i="435"/>
  <c r="E91" i="435"/>
  <c r="F91" i="435"/>
  <c r="G91" i="435"/>
  <c r="H91" i="435"/>
  <c r="I91" i="435"/>
  <c r="J91" i="435"/>
  <c r="B92" i="435"/>
  <c r="C92" i="435"/>
  <c r="D92" i="435"/>
  <c r="E92" i="435"/>
  <c r="F92" i="435"/>
  <c r="G92" i="435"/>
  <c r="H92" i="435"/>
  <c r="I92" i="435"/>
  <c r="J92" i="435"/>
  <c r="B93" i="435"/>
  <c r="C93" i="435"/>
  <c r="D93" i="435"/>
  <c r="E93" i="435"/>
  <c r="F93" i="435"/>
  <c r="G93" i="435"/>
  <c r="H93" i="435"/>
  <c r="I93" i="435"/>
  <c r="J93" i="435"/>
  <c r="B94" i="435"/>
  <c r="C94" i="435"/>
  <c r="D94" i="435"/>
  <c r="E94" i="435"/>
  <c r="F94" i="435"/>
  <c r="G94" i="435"/>
  <c r="H94" i="435"/>
  <c r="I94" i="435"/>
  <c r="J94" i="435"/>
  <c r="B95" i="435"/>
  <c r="C95" i="435"/>
  <c r="D95" i="435"/>
  <c r="E95" i="435"/>
  <c r="F95" i="435"/>
  <c r="G95" i="435"/>
  <c r="H95" i="435"/>
  <c r="I95" i="435"/>
  <c r="J95" i="435"/>
  <c r="B96" i="435"/>
  <c r="C96" i="435"/>
  <c r="D96" i="435"/>
  <c r="E96" i="435"/>
  <c r="F96" i="435"/>
  <c r="G96" i="435"/>
  <c r="H96" i="435"/>
  <c r="I96" i="435"/>
  <c r="J96" i="435"/>
  <c r="B97" i="435"/>
  <c r="C97" i="435"/>
  <c r="D97" i="435"/>
  <c r="E97" i="435"/>
  <c r="F97" i="435"/>
  <c r="G97" i="435"/>
  <c r="H97" i="435"/>
  <c r="I97" i="435"/>
  <c r="J97" i="435"/>
  <c r="B92" i="434"/>
  <c r="C92" i="434"/>
  <c r="D92" i="434"/>
  <c r="E92" i="434"/>
  <c r="F92" i="434"/>
  <c r="G92" i="434"/>
  <c r="H92" i="434"/>
  <c r="I92" i="434"/>
  <c r="B93" i="434"/>
  <c r="C93" i="434"/>
  <c r="D93" i="434"/>
  <c r="E93" i="434"/>
  <c r="F93" i="434"/>
  <c r="G93" i="434"/>
  <c r="H93" i="434"/>
  <c r="I93" i="434"/>
  <c r="B94" i="434"/>
  <c r="C94" i="434"/>
  <c r="D94" i="434"/>
  <c r="E94" i="434"/>
  <c r="F94" i="434"/>
  <c r="G94" i="434"/>
  <c r="H94" i="434"/>
  <c r="I94" i="434"/>
  <c r="B95" i="434"/>
  <c r="C95" i="434"/>
  <c r="D95" i="434"/>
  <c r="E95" i="434"/>
  <c r="F95" i="434"/>
  <c r="G95" i="434"/>
  <c r="H95" i="434"/>
  <c r="I95" i="434"/>
  <c r="B96" i="434"/>
  <c r="C96" i="434"/>
  <c r="D96" i="434"/>
  <c r="E96" i="434"/>
  <c r="F96" i="434"/>
  <c r="G96" i="434"/>
  <c r="H96" i="434"/>
  <c r="I96" i="434"/>
  <c r="B97" i="434"/>
  <c r="C97" i="434"/>
  <c r="D97" i="434"/>
  <c r="E97" i="434"/>
  <c r="F97" i="434"/>
  <c r="G97" i="434"/>
  <c r="H97" i="434"/>
  <c r="I97" i="434"/>
  <c r="B98" i="434"/>
  <c r="C98" i="434"/>
  <c r="D98" i="434"/>
  <c r="E98" i="434"/>
  <c r="F98" i="434"/>
  <c r="G98" i="434"/>
  <c r="H98" i="434"/>
  <c r="I98" i="434"/>
  <c r="B99" i="434"/>
  <c r="C99" i="434"/>
  <c r="D99" i="434"/>
  <c r="E99" i="434"/>
  <c r="F99" i="434"/>
  <c r="G99" i="434"/>
  <c r="H99" i="434"/>
  <c r="I99" i="434"/>
  <c r="B71" i="433"/>
  <c r="C71" i="433"/>
  <c r="D71" i="433"/>
  <c r="E71" i="433"/>
  <c r="F71" i="433"/>
  <c r="G71" i="433"/>
  <c r="H71" i="433"/>
  <c r="B72" i="433"/>
  <c r="C72" i="433"/>
  <c r="D72" i="433"/>
  <c r="E72" i="433"/>
  <c r="F72" i="433"/>
  <c r="G72" i="433"/>
  <c r="H72" i="433"/>
  <c r="B73" i="433"/>
  <c r="C73" i="433"/>
  <c r="D73" i="433"/>
  <c r="E73" i="433"/>
  <c r="F73" i="433"/>
  <c r="G73" i="433"/>
  <c r="H73" i="433"/>
  <c r="B74" i="433"/>
  <c r="C74" i="433"/>
  <c r="D74" i="433"/>
  <c r="E74" i="433"/>
  <c r="F74" i="433"/>
  <c r="G74" i="433"/>
  <c r="H74" i="433"/>
  <c r="B75" i="433"/>
  <c r="C75" i="433"/>
  <c r="D75" i="433"/>
  <c r="E75" i="433"/>
  <c r="F75" i="433"/>
  <c r="G75" i="433"/>
  <c r="H75" i="433"/>
  <c r="B76" i="433"/>
  <c r="C76" i="433"/>
  <c r="D76" i="433"/>
  <c r="E76" i="433"/>
  <c r="F76" i="433"/>
  <c r="G76" i="433"/>
  <c r="H76" i="433"/>
  <c r="B77" i="433"/>
  <c r="C77" i="433"/>
  <c r="D77" i="433"/>
  <c r="E77" i="433"/>
  <c r="F77" i="433"/>
  <c r="G77" i="433"/>
  <c r="H77" i="433"/>
  <c r="B68" i="432"/>
  <c r="C68" i="432"/>
  <c r="D68" i="432"/>
  <c r="E68" i="432"/>
  <c r="F68" i="432"/>
  <c r="G68" i="432"/>
  <c r="B69" i="432"/>
  <c r="C69" i="432"/>
  <c r="D69" i="432"/>
  <c r="E69" i="432"/>
  <c r="F69" i="432"/>
  <c r="G69" i="432"/>
  <c r="B70" i="432"/>
  <c r="C70" i="432"/>
  <c r="D70" i="432"/>
  <c r="E70" i="432"/>
  <c r="F70" i="432"/>
  <c r="G70" i="432"/>
  <c r="B71" i="432"/>
  <c r="C71" i="432"/>
  <c r="D71" i="432"/>
  <c r="E71" i="432"/>
  <c r="F71" i="432"/>
  <c r="G71" i="432"/>
  <c r="B72" i="432"/>
  <c r="C72" i="432"/>
  <c r="D72" i="432"/>
  <c r="E72" i="432"/>
  <c r="F72" i="432"/>
  <c r="G72" i="432"/>
  <c r="B73" i="432"/>
  <c r="C73" i="432"/>
  <c r="D73" i="432"/>
  <c r="E73" i="432"/>
  <c r="F73" i="432"/>
  <c r="G73" i="432"/>
  <c r="J30" i="376" l="1"/>
  <c r="B30" i="376" a="1"/>
  <c r="B30" i="376" s="1"/>
  <c r="J29" i="376"/>
  <c r="B29" i="376" a="1"/>
  <c r="B29" i="376" s="1"/>
  <c r="J28" i="376"/>
  <c r="B28" i="376" a="1"/>
  <c r="B28" i="376" s="1"/>
  <c r="J27" i="376"/>
  <c r="B27" i="376" a="1"/>
  <c r="B27" i="376" s="1"/>
  <c r="C27" i="376" s="1" a="1"/>
  <c r="C27" i="376" s="1"/>
  <c r="J26" i="376"/>
  <c r="B26" i="376" a="1"/>
  <c r="B26" i="376" s="1"/>
  <c r="C26" i="376" s="1" a="1"/>
  <c r="C26" i="376" s="1"/>
  <c r="J25" i="376"/>
  <c r="B25" i="376" a="1"/>
  <c r="B25" i="376" s="1"/>
  <c r="J24" i="376"/>
  <c r="B24" i="376" a="1"/>
  <c r="B24" i="376" s="1"/>
  <c r="C24" i="376" s="1" a="1"/>
  <c r="C24" i="376" s="1"/>
  <c r="J23" i="376"/>
  <c r="B23" i="376" a="1"/>
  <c r="B23" i="376" s="1"/>
  <c r="J22" i="376"/>
  <c r="B22" i="376" a="1"/>
  <c r="B22" i="376" s="1"/>
  <c r="J21" i="376"/>
  <c r="B21" i="376" a="1"/>
  <c r="B21" i="376" s="1"/>
  <c r="C21" i="376" s="1" a="1"/>
  <c r="C21" i="376" s="1"/>
  <c r="J20" i="376"/>
  <c r="B20" i="376" a="1"/>
  <c r="B20" i="376" s="1"/>
  <c r="J19" i="376"/>
  <c r="B19" i="376" a="1"/>
  <c r="B19" i="376" s="1"/>
  <c r="J18" i="376"/>
  <c r="B18" i="376" a="1"/>
  <c r="B18" i="376" s="1"/>
  <c r="J17" i="376"/>
  <c r="B17" i="376" a="1"/>
  <c r="B17" i="376" s="1"/>
  <c r="J16" i="376"/>
  <c r="B16" i="376" a="1"/>
  <c r="B16" i="376" s="1"/>
  <c r="J15" i="376"/>
  <c r="B15" i="376" a="1"/>
  <c r="B15" i="376" s="1"/>
  <c r="J14" i="376"/>
  <c r="B14" i="376" a="1"/>
  <c r="B14" i="376" s="1"/>
  <c r="J13" i="376"/>
  <c r="B13" i="376" a="1"/>
  <c r="B13" i="376" s="1"/>
  <c r="C13" i="376" s="1" a="1"/>
  <c r="C13" i="376" s="1"/>
  <c r="J12" i="376"/>
  <c r="B12" i="376" a="1"/>
  <c r="B12" i="376" s="1"/>
  <c r="C12" i="376" s="1" a="1"/>
  <c r="C12" i="376" s="1"/>
  <c r="J11" i="376"/>
  <c r="B11" i="376" a="1"/>
  <c r="B11" i="376" s="1"/>
  <c r="J10" i="376"/>
  <c r="B10" i="376" a="1"/>
  <c r="B10" i="376" s="1"/>
  <c r="J9" i="376"/>
  <c r="B9" i="376" a="1"/>
  <c r="B9" i="376" s="1"/>
  <c r="J8" i="376"/>
  <c r="B8" i="376" a="1"/>
  <c r="B8" i="376" s="1"/>
  <c r="J7" i="376"/>
  <c r="B7" i="376" a="1"/>
  <c r="B7" i="376" s="1"/>
  <c r="J6" i="376"/>
  <c r="B6" i="376" a="1"/>
  <c r="B6" i="376" s="1"/>
  <c r="J5" i="376"/>
  <c r="B5" i="376" a="1"/>
  <c r="B5" i="376" s="1"/>
  <c r="J4" i="376"/>
  <c r="B4" i="376" a="1"/>
  <c r="B4" i="376" s="1"/>
  <c r="F7" i="17"/>
  <c r="E4" i="17"/>
  <c r="E5" i="17"/>
  <c r="E6" i="17"/>
  <c r="E7" i="17"/>
  <c r="ED3" i="498"/>
  <c r="ED4" i="498"/>
  <c r="ED5" i="498"/>
  <c r="ED6" i="498"/>
  <c r="ED7" i="498"/>
  <c r="ED8" i="498"/>
  <c r="ED9" i="498"/>
  <c r="ED10" i="498"/>
  <c r="ED11" i="498"/>
  <c r="ED12" i="498"/>
  <c r="ED13" i="498"/>
  <c r="ED14" i="498"/>
  <c r="ED15" i="498"/>
  <c r="ED16" i="498"/>
  <c r="ED17" i="498"/>
  <c r="ED18" i="498"/>
  <c r="ED19" i="498"/>
  <c r="ED20" i="498"/>
  <c r="ED21" i="498"/>
  <c r="ED22" i="498"/>
  <c r="ED23" i="498"/>
  <c r="ED24" i="498"/>
  <c r="ED25" i="498"/>
  <c r="ED26" i="498"/>
  <c r="ED27" i="498"/>
  <c r="ED28" i="498"/>
  <c r="ED29" i="498"/>
  <c r="ED30" i="498"/>
  <c r="ED31" i="498"/>
  <c r="ED32" i="498"/>
  <c r="ED33" i="498"/>
  <c r="ED34" i="498"/>
  <c r="ED35" i="498"/>
  <c r="ED36" i="498"/>
  <c r="ED37" i="498"/>
  <c r="ED38" i="498"/>
  <c r="ED39" i="498"/>
  <c r="ED40" i="498"/>
  <c r="ED41" i="498"/>
  <c r="ED42" i="498"/>
  <c r="ED43" i="498"/>
  <c r="ED44" i="498"/>
  <c r="ED45" i="498"/>
  <c r="ED46" i="498"/>
  <c r="ED47" i="498"/>
  <c r="ED48" i="498"/>
  <c r="ED49" i="498"/>
  <c r="ED50" i="498"/>
  <c r="ED51" i="498"/>
  <c r="ED52" i="498"/>
  <c r="ED53" i="498"/>
  <c r="ED54" i="498"/>
  <c r="ED55" i="498"/>
  <c r="ED56" i="498"/>
  <c r="ED57" i="498"/>
  <c r="ED58" i="498"/>
  <c r="ED59" i="498"/>
  <c r="ED60" i="498"/>
  <c r="ED61" i="498"/>
  <c r="ED62" i="498"/>
  <c r="ED63" i="498"/>
  <c r="ED64" i="498"/>
  <c r="ED65" i="498"/>
  <c r="ED66" i="498"/>
  <c r="ED67" i="498"/>
  <c r="ED68" i="498"/>
  <c r="ED69" i="498"/>
  <c r="DY3" i="498"/>
  <c r="DY4" i="498"/>
  <c r="DY5" i="498"/>
  <c r="DY6" i="498"/>
  <c r="DY7" i="498"/>
  <c r="DY8" i="498"/>
  <c r="DY9" i="498"/>
  <c r="DY10" i="498"/>
  <c r="DY11" i="498"/>
  <c r="DY12" i="498"/>
  <c r="DY13" i="498"/>
  <c r="DY14" i="498"/>
  <c r="DY15" i="498"/>
  <c r="DY16" i="498"/>
  <c r="DY17" i="498"/>
  <c r="DY18" i="498"/>
  <c r="DY19" i="498"/>
  <c r="DY20" i="498"/>
  <c r="DY21" i="498"/>
  <c r="DY22" i="498"/>
  <c r="DY23" i="498"/>
  <c r="DY24" i="498"/>
  <c r="DY25" i="498"/>
  <c r="DY26" i="498"/>
  <c r="DY27" i="498"/>
  <c r="DY28" i="498"/>
  <c r="DY29" i="498"/>
  <c r="DY30" i="498"/>
  <c r="DY31" i="498"/>
  <c r="DY32" i="498"/>
  <c r="DY33" i="498"/>
  <c r="DY34" i="498"/>
  <c r="DY35" i="498"/>
  <c r="DY36" i="498"/>
  <c r="DY37" i="498"/>
  <c r="DY38" i="498"/>
  <c r="DY39" i="498"/>
  <c r="DY40" i="498"/>
  <c r="DY41" i="498"/>
  <c r="DY42" i="498"/>
  <c r="DY43" i="498"/>
  <c r="DY44" i="498"/>
  <c r="DY45" i="498"/>
  <c r="DY46" i="498"/>
  <c r="DY47" i="498"/>
  <c r="DY48" i="498"/>
  <c r="DY49" i="498"/>
  <c r="DY50" i="498"/>
  <c r="DY51" i="498"/>
  <c r="DY52" i="498"/>
  <c r="DY53" i="498"/>
  <c r="DY54" i="498"/>
  <c r="DY55" i="498"/>
  <c r="DY56" i="498"/>
  <c r="DY57" i="498"/>
  <c r="DY58" i="498"/>
  <c r="DY59" i="498"/>
  <c r="DY60" i="498"/>
  <c r="DY61" i="498"/>
  <c r="DY62" i="498"/>
  <c r="DY63" i="498"/>
  <c r="DY64" i="498"/>
  <c r="DY65" i="498"/>
  <c r="DY66" i="498"/>
  <c r="DT3" i="498"/>
  <c r="DT4" i="498"/>
  <c r="DT5" i="498"/>
  <c r="DT6" i="498"/>
  <c r="DT7" i="498"/>
  <c r="DT8" i="498"/>
  <c r="DT9" i="498"/>
  <c r="DT10" i="498"/>
  <c r="DT11" i="498"/>
  <c r="DT12" i="498"/>
  <c r="DT13" i="498"/>
  <c r="DT14" i="498"/>
  <c r="DT15" i="498"/>
  <c r="DT16" i="498"/>
  <c r="DT17" i="498"/>
  <c r="DT18" i="498"/>
  <c r="DT19" i="498"/>
  <c r="DT20" i="498"/>
  <c r="DT21" i="498"/>
  <c r="DT22" i="498"/>
  <c r="DT23" i="498"/>
  <c r="DT24" i="498"/>
  <c r="DT25" i="498"/>
  <c r="DT26" i="498"/>
  <c r="DT27" i="498"/>
  <c r="DT28" i="498"/>
  <c r="DT29" i="498"/>
  <c r="DT30" i="498"/>
  <c r="DT31" i="498"/>
  <c r="DT32" i="498"/>
  <c r="DT33" i="498"/>
  <c r="DT34" i="498"/>
  <c r="DT35" i="498"/>
  <c r="DT36" i="498"/>
  <c r="DT37" i="498"/>
  <c r="DT38" i="498"/>
  <c r="DT39" i="498"/>
  <c r="DT40" i="498"/>
  <c r="DT41" i="498"/>
  <c r="DT42" i="498"/>
  <c r="DT43" i="498"/>
  <c r="DT44" i="498"/>
  <c r="DT45" i="498"/>
  <c r="DT46" i="498"/>
  <c r="DT47" i="498"/>
  <c r="DT48" i="498"/>
  <c r="DT49" i="498"/>
  <c r="DT50" i="498"/>
  <c r="DT51" i="498"/>
  <c r="DT52" i="498"/>
  <c r="DT53" i="498"/>
  <c r="DT54" i="498"/>
  <c r="DT55" i="498"/>
  <c r="DT56" i="498"/>
  <c r="DT57" i="498"/>
  <c r="DT58" i="498"/>
  <c r="DT59" i="498"/>
  <c r="DT60" i="498"/>
  <c r="DO3" i="498"/>
  <c r="DO4" i="498"/>
  <c r="DO5" i="498"/>
  <c r="DO6" i="498"/>
  <c r="DO7" i="498"/>
  <c r="DO8" i="498"/>
  <c r="DO9" i="498"/>
  <c r="DO10" i="498"/>
  <c r="DO11" i="498"/>
  <c r="DO12" i="498"/>
  <c r="DO13" i="498"/>
  <c r="DO14" i="498"/>
  <c r="DO15" i="498"/>
  <c r="DO16" i="498"/>
  <c r="DO17" i="498"/>
  <c r="DO18" i="498"/>
  <c r="DO19" i="498"/>
  <c r="DO20" i="498"/>
  <c r="DO21" i="498"/>
  <c r="DO22" i="498"/>
  <c r="DO23" i="498"/>
  <c r="DO24" i="498"/>
  <c r="DO25" i="498"/>
  <c r="DO26" i="498"/>
  <c r="DO27" i="498"/>
  <c r="DO28" i="498"/>
  <c r="DO29" i="498"/>
  <c r="DO30" i="498"/>
  <c r="DO31" i="498"/>
  <c r="DO32" i="498"/>
  <c r="DO33" i="498"/>
  <c r="DO34" i="498"/>
  <c r="DO35" i="498"/>
  <c r="DO36" i="498"/>
  <c r="DO37" i="498"/>
  <c r="DO38" i="498"/>
  <c r="DO39" i="498"/>
  <c r="DO40" i="498"/>
  <c r="DO41" i="498"/>
  <c r="DO42" i="498"/>
  <c r="DO43" i="498"/>
  <c r="DO44" i="498"/>
  <c r="DO45" i="498"/>
  <c r="DO46" i="498"/>
  <c r="DO47" i="498"/>
  <c r="DO48" i="498"/>
  <c r="DO49" i="498"/>
  <c r="DO50" i="498"/>
  <c r="DO51" i="498"/>
  <c r="DO52" i="498"/>
  <c r="DO53" i="498"/>
  <c r="DO54" i="498"/>
  <c r="DO55" i="498"/>
  <c r="DO56" i="498"/>
  <c r="DJ3" i="498"/>
  <c r="DJ4" i="498"/>
  <c r="DJ5" i="498"/>
  <c r="DJ6" i="498"/>
  <c r="DJ7" i="498"/>
  <c r="DJ8" i="498"/>
  <c r="DJ9" i="498"/>
  <c r="DJ10" i="498"/>
  <c r="DJ11" i="498"/>
  <c r="DJ12" i="498"/>
  <c r="DJ13" i="498"/>
  <c r="DJ14" i="498"/>
  <c r="DJ15" i="498"/>
  <c r="DJ16" i="498"/>
  <c r="DJ17" i="498"/>
  <c r="DJ18" i="498"/>
  <c r="DJ19" i="498"/>
  <c r="DJ20" i="498"/>
  <c r="DJ21" i="498"/>
  <c r="DJ22" i="498"/>
  <c r="DJ23" i="498"/>
  <c r="DJ24" i="498"/>
  <c r="DJ25" i="498"/>
  <c r="DJ26" i="498"/>
  <c r="DJ27" i="498"/>
  <c r="DJ28" i="498"/>
  <c r="DJ29" i="498"/>
  <c r="DJ30" i="498"/>
  <c r="DJ31" i="498"/>
  <c r="DJ32" i="498"/>
  <c r="DJ33" i="498"/>
  <c r="DJ34" i="498"/>
  <c r="DJ35" i="498"/>
  <c r="DJ36" i="498"/>
  <c r="DJ37" i="498"/>
  <c r="DJ38" i="498"/>
  <c r="DJ39" i="498"/>
  <c r="DJ40" i="498"/>
  <c r="DJ41" i="498"/>
  <c r="DJ42" i="498"/>
  <c r="DJ43" i="498"/>
  <c r="DJ44" i="498"/>
  <c r="DJ45" i="498"/>
  <c r="DJ46" i="498"/>
  <c r="DJ47" i="498"/>
  <c r="DJ48" i="498"/>
  <c r="DE3" i="498"/>
  <c r="DE4" i="498"/>
  <c r="DE5" i="498"/>
  <c r="DE6" i="498"/>
  <c r="DE7" i="498"/>
  <c r="DE8" i="498"/>
  <c r="DE9" i="498"/>
  <c r="DE10" i="498"/>
  <c r="DE11" i="498"/>
  <c r="DE12" i="498"/>
  <c r="DE13" i="498"/>
  <c r="DE14" i="498"/>
  <c r="DE15" i="498"/>
  <c r="DE16" i="498"/>
  <c r="DE17" i="498"/>
  <c r="DE18" i="498"/>
  <c r="DE19" i="498"/>
  <c r="DE20" i="498"/>
  <c r="DE21" i="498"/>
  <c r="DE22" i="498"/>
  <c r="DE23" i="498"/>
  <c r="DE24" i="498"/>
  <c r="DE25" i="498"/>
  <c r="DE26" i="498"/>
  <c r="DE27" i="498"/>
  <c r="DE28" i="498"/>
  <c r="DE29" i="498"/>
  <c r="DE30" i="498"/>
  <c r="DE31" i="498"/>
  <c r="DE32" i="498"/>
  <c r="DE33" i="498"/>
  <c r="DE34" i="498"/>
  <c r="DE35" i="498"/>
  <c r="DE36" i="498"/>
  <c r="DE37" i="498"/>
  <c r="DE38" i="498"/>
  <c r="DE39" i="498"/>
  <c r="CZ3" i="498"/>
  <c r="CZ4" i="498"/>
  <c r="CZ5" i="498"/>
  <c r="CZ6" i="498"/>
  <c r="CZ7" i="498"/>
  <c r="CZ8" i="498"/>
  <c r="CZ9" i="498"/>
  <c r="CZ10" i="498"/>
  <c r="CZ11" i="498"/>
  <c r="CZ12" i="498"/>
  <c r="CZ13" i="498"/>
  <c r="CZ14" i="498"/>
  <c r="CZ15" i="498"/>
  <c r="CZ16" i="498"/>
  <c r="CZ17" i="498"/>
  <c r="CZ18" i="498"/>
  <c r="CZ19" i="498"/>
  <c r="CZ20" i="498"/>
  <c r="CZ21" i="498"/>
  <c r="CZ22" i="498"/>
  <c r="CZ23" i="498"/>
  <c r="CZ24" i="498"/>
  <c r="CZ25" i="498"/>
  <c r="CZ26" i="498"/>
  <c r="CZ27" i="498"/>
  <c r="CZ28" i="498"/>
  <c r="CZ29" i="498"/>
  <c r="CZ30" i="498"/>
  <c r="CZ31" i="498"/>
  <c r="CU3" i="498"/>
  <c r="CU4" i="498"/>
  <c r="CU5" i="498"/>
  <c r="CU6" i="498"/>
  <c r="CU7" i="498"/>
  <c r="CU8" i="498"/>
  <c r="CU9" i="498"/>
  <c r="CU10" i="498"/>
  <c r="CU11" i="498"/>
  <c r="CU12" i="498"/>
  <c r="CU13" i="498"/>
  <c r="CU14" i="498"/>
  <c r="CU15" i="498"/>
  <c r="CU16" i="498"/>
  <c r="CU17" i="498"/>
  <c r="CU18" i="498"/>
  <c r="CU19" i="498"/>
  <c r="CU20" i="498"/>
  <c r="CU21" i="498"/>
  <c r="CU22" i="498"/>
  <c r="CU23" i="498"/>
  <c r="CU24" i="498"/>
  <c r="CU25" i="498"/>
  <c r="CU26" i="498"/>
  <c r="CU27" i="498"/>
  <c r="CU28" i="498"/>
  <c r="CU29" i="498"/>
  <c r="CP3" i="498"/>
  <c r="CP4" i="498"/>
  <c r="CP5" i="498"/>
  <c r="CP6" i="498"/>
  <c r="CP7" i="498"/>
  <c r="CP8" i="498"/>
  <c r="CP9" i="498"/>
  <c r="CP10" i="498"/>
  <c r="CP11" i="498"/>
  <c r="CP12" i="498"/>
  <c r="CP13" i="498"/>
  <c r="CP14" i="498"/>
  <c r="CP15" i="498"/>
  <c r="CP16" i="498"/>
  <c r="CP17" i="498"/>
  <c r="CP18" i="498"/>
  <c r="CP19" i="498"/>
  <c r="CP20" i="498"/>
  <c r="CP21" i="498"/>
  <c r="CP22" i="498"/>
  <c r="CP23" i="498"/>
  <c r="CP24" i="498"/>
  <c r="CP25" i="498"/>
  <c r="CP26" i="498"/>
  <c r="CP27" i="498"/>
  <c r="CP28" i="498"/>
  <c r="CK3" i="498"/>
  <c r="CK4" i="498"/>
  <c r="CK5" i="498"/>
  <c r="CK6" i="498"/>
  <c r="CK7" i="498"/>
  <c r="CK8" i="498"/>
  <c r="CK9" i="498"/>
  <c r="CK10" i="498"/>
  <c r="CK11" i="498"/>
  <c r="CK12" i="498"/>
  <c r="CK13" i="498"/>
  <c r="CK14" i="498"/>
  <c r="CK15" i="498"/>
  <c r="CK16" i="498"/>
  <c r="CK17" i="498"/>
  <c r="CK18" i="498"/>
  <c r="CK19" i="498"/>
  <c r="CK20" i="498"/>
  <c r="CK21" i="498"/>
  <c r="CK22" i="498"/>
  <c r="CK23" i="498"/>
  <c r="CK24" i="498"/>
  <c r="CK25" i="498"/>
  <c r="CK26" i="498"/>
  <c r="CK27" i="498"/>
  <c r="CF3" i="498"/>
  <c r="CF4" i="498"/>
  <c r="CF5" i="498"/>
  <c r="CF6" i="498"/>
  <c r="CF7" i="498"/>
  <c r="CF8" i="498"/>
  <c r="CF9" i="498"/>
  <c r="CF10" i="498"/>
  <c r="CF11" i="498"/>
  <c r="CF12" i="498"/>
  <c r="CF13" i="498"/>
  <c r="CF14" i="498"/>
  <c r="CF15" i="498"/>
  <c r="CF16" i="498"/>
  <c r="CF17" i="498"/>
  <c r="CF18" i="498"/>
  <c r="CF19" i="498"/>
  <c r="CF20" i="498"/>
  <c r="CF21" i="498"/>
  <c r="CF22" i="498"/>
  <c r="CF23" i="498"/>
  <c r="CF24" i="498"/>
  <c r="CF25" i="498"/>
  <c r="CA3" i="498"/>
  <c r="CA4" i="498"/>
  <c r="CA5" i="498"/>
  <c r="CA6" i="498"/>
  <c r="CA7" i="498"/>
  <c r="CA8" i="498"/>
  <c r="CA9" i="498"/>
  <c r="CA10" i="498"/>
  <c r="CA11" i="498"/>
  <c r="CA12" i="498"/>
  <c r="CA13" i="498"/>
  <c r="CA14" i="498"/>
  <c r="CA15" i="498"/>
  <c r="CA16" i="498"/>
  <c r="CA17" i="498"/>
  <c r="CA18" i="498"/>
  <c r="CA19" i="498"/>
  <c r="CA20" i="498"/>
  <c r="CA21" i="498"/>
  <c r="CA22" i="498"/>
  <c r="CA23" i="498"/>
  <c r="CA24" i="498"/>
  <c r="BV3" i="498"/>
  <c r="BV4" i="498"/>
  <c r="BV5" i="498"/>
  <c r="BV6" i="498"/>
  <c r="BV7" i="498"/>
  <c r="BV8" i="498"/>
  <c r="BV9" i="498"/>
  <c r="BV10" i="498"/>
  <c r="BV11" i="498"/>
  <c r="BV12" i="498"/>
  <c r="BV13" i="498"/>
  <c r="BV14" i="498"/>
  <c r="BV15" i="498"/>
  <c r="BV16" i="498"/>
  <c r="BV17" i="498"/>
  <c r="BV18" i="498"/>
  <c r="BV19" i="498"/>
  <c r="BV20" i="498"/>
  <c r="BV21" i="498"/>
  <c r="BV22" i="498"/>
  <c r="BV23" i="498"/>
  <c r="BQ3" i="498"/>
  <c r="BQ4" i="498"/>
  <c r="BQ5" i="498"/>
  <c r="BQ6" i="498"/>
  <c r="BQ7" i="498"/>
  <c r="BQ8" i="498"/>
  <c r="BQ9" i="498"/>
  <c r="BQ10" i="498"/>
  <c r="BQ11" i="498"/>
  <c r="BQ12" i="498"/>
  <c r="BQ13" i="498"/>
  <c r="BQ14" i="498"/>
  <c r="BQ15" i="498"/>
  <c r="BQ16" i="498"/>
  <c r="BQ17" i="498"/>
  <c r="BQ18" i="498"/>
  <c r="BQ19" i="498"/>
  <c r="BQ20" i="498"/>
  <c r="BQ21" i="498"/>
  <c r="BQ22" i="498"/>
  <c r="BL3" i="498"/>
  <c r="BL4" i="498"/>
  <c r="BL5" i="498"/>
  <c r="BL6" i="498"/>
  <c r="BL7" i="498"/>
  <c r="BL8" i="498"/>
  <c r="BL9" i="498"/>
  <c r="BL10" i="498"/>
  <c r="BL11" i="498"/>
  <c r="BL12" i="498"/>
  <c r="BL13" i="498"/>
  <c r="BL14" i="498"/>
  <c r="BL15" i="498"/>
  <c r="BL16" i="498"/>
  <c r="BL17" i="498"/>
  <c r="BL18" i="498"/>
  <c r="BL19" i="498"/>
  <c r="BL20" i="498"/>
  <c r="BL21" i="498"/>
  <c r="BG3" i="498"/>
  <c r="BG4" i="498"/>
  <c r="BG5" i="498"/>
  <c r="BG6" i="498"/>
  <c r="BG7" i="498"/>
  <c r="BG8" i="498"/>
  <c r="BG9" i="498"/>
  <c r="BG10" i="498"/>
  <c r="BG11" i="498"/>
  <c r="BG12" i="498"/>
  <c r="BG13" i="498"/>
  <c r="BG14" i="498"/>
  <c r="BG15" i="498"/>
  <c r="BG16" i="498"/>
  <c r="BG17" i="498"/>
  <c r="BG18" i="498"/>
  <c r="BG19" i="498"/>
  <c r="BG20" i="498"/>
  <c r="BB3" i="498"/>
  <c r="BB4" i="498"/>
  <c r="BB5" i="498"/>
  <c r="BB6" i="498"/>
  <c r="BB7" i="498"/>
  <c r="BB8" i="498"/>
  <c r="BB9" i="498"/>
  <c r="BB10" i="498"/>
  <c r="BB11" i="498"/>
  <c r="BB12" i="498"/>
  <c r="BB13" i="498"/>
  <c r="BB14" i="498"/>
  <c r="BB15" i="498"/>
  <c r="BB16" i="498"/>
  <c r="BB17" i="498"/>
  <c r="BB18" i="498"/>
  <c r="BB19" i="498"/>
  <c r="AW3" i="498"/>
  <c r="AW4" i="498"/>
  <c r="AW5" i="498"/>
  <c r="AW6" i="498"/>
  <c r="AW7" i="498"/>
  <c r="AW8" i="498"/>
  <c r="AW9" i="498"/>
  <c r="AW10" i="498"/>
  <c r="AW11" i="498"/>
  <c r="AW12" i="498"/>
  <c r="AW13" i="498"/>
  <c r="AW14" i="498"/>
  <c r="AW15" i="498"/>
  <c r="AW16" i="498"/>
  <c r="AW17" i="498"/>
  <c r="AW18" i="498"/>
  <c r="AR3" i="498"/>
  <c r="AR4" i="498"/>
  <c r="AR5" i="498"/>
  <c r="AR6" i="498"/>
  <c r="AR7" i="498"/>
  <c r="AR8" i="498"/>
  <c r="AR9" i="498"/>
  <c r="AR10" i="498"/>
  <c r="AR11" i="498"/>
  <c r="AR12" i="498"/>
  <c r="AR13" i="498"/>
  <c r="AR14" i="498"/>
  <c r="AR15" i="498"/>
  <c r="AR16" i="498"/>
  <c r="AR17" i="498"/>
  <c r="AM3" i="498"/>
  <c r="AM4" i="498"/>
  <c r="AM5" i="498"/>
  <c r="AM6" i="498"/>
  <c r="AM7" i="498"/>
  <c r="AM8" i="498"/>
  <c r="AM9" i="498"/>
  <c r="AM10" i="498"/>
  <c r="AM11" i="498"/>
  <c r="AM12" i="498"/>
  <c r="AM13" i="498"/>
  <c r="AM14" i="498"/>
  <c r="AM15" i="498"/>
  <c r="AM16" i="498"/>
  <c r="AH3" i="498"/>
  <c r="AH4" i="498"/>
  <c r="AH5" i="498"/>
  <c r="AH6" i="498"/>
  <c r="AH7" i="498"/>
  <c r="AH8" i="498"/>
  <c r="AH9" i="498"/>
  <c r="AH10" i="498"/>
  <c r="AH11" i="498"/>
  <c r="AH12" i="498"/>
  <c r="AH13" i="498"/>
  <c r="AH14" i="498"/>
  <c r="AH15" i="498"/>
  <c r="AC3" i="498"/>
  <c r="AC4" i="498"/>
  <c r="AC5" i="498"/>
  <c r="AC6" i="498"/>
  <c r="AC7" i="498"/>
  <c r="AC8" i="498"/>
  <c r="AC9" i="498"/>
  <c r="AC10" i="498"/>
  <c r="AC11" i="498"/>
  <c r="AC12" i="498"/>
  <c r="AC13" i="498"/>
  <c r="AC14" i="498"/>
  <c r="X3" i="498"/>
  <c r="X4" i="498"/>
  <c r="X5" i="498"/>
  <c r="X6" i="498"/>
  <c r="X7" i="498"/>
  <c r="X8" i="498"/>
  <c r="X9" i="498"/>
  <c r="X10" i="498"/>
  <c r="X11" i="498"/>
  <c r="X12" i="498"/>
  <c r="X13" i="498"/>
  <c r="S3" i="498"/>
  <c r="S4" i="498"/>
  <c r="S5" i="498"/>
  <c r="S6" i="498"/>
  <c r="S7" i="498"/>
  <c r="S8" i="498"/>
  <c r="S9" i="498"/>
  <c r="S10" i="498"/>
  <c r="S11" i="498"/>
  <c r="N3" i="498"/>
  <c r="N4" i="498"/>
  <c r="N5" i="498"/>
  <c r="N6" i="498"/>
  <c r="N7" i="498"/>
  <c r="N8" i="498"/>
  <c r="N9" i="498"/>
  <c r="N10" i="498"/>
  <c r="I3" i="498"/>
  <c r="I4" i="498"/>
  <c r="I5" i="498"/>
  <c r="I6" i="498"/>
  <c r="I7" i="498"/>
  <c r="I8" i="498"/>
  <c r="I9" i="498"/>
  <c r="D3" i="498"/>
  <c r="D4" i="498"/>
  <c r="D5" i="498"/>
  <c r="D6" i="498"/>
  <c r="D7" i="498"/>
  <c r="D8" i="498"/>
  <c r="C17" i="376" l="1" a="1"/>
  <c r="C17" i="376" s="1"/>
  <c r="C14" i="376" a="1"/>
  <c r="C14" i="376" s="1"/>
  <c r="C11" i="376" a="1"/>
  <c r="C11" i="376" s="1"/>
  <c r="C16" i="376" a="1"/>
  <c r="C16" i="376" s="1"/>
  <c r="C8" i="376" a="1"/>
  <c r="C8" i="376" s="1"/>
  <c r="C5" i="376" a="1"/>
  <c r="C5" i="376" s="1"/>
  <c r="C4" i="376" a="1"/>
  <c r="C4" i="376" s="1"/>
  <c r="C7" i="376" a="1"/>
  <c r="C7" i="376" s="1"/>
  <c r="C20" i="376" a="1"/>
  <c r="C20" i="376" s="1"/>
  <c r="C25" i="376" a="1"/>
  <c r="C25" i="376" s="1"/>
  <c r="C6" i="376" a="1"/>
  <c r="C6" i="376" s="1"/>
  <c r="C9" i="376" a="1"/>
  <c r="C9" i="376" s="1"/>
  <c r="C23" i="376" a="1"/>
  <c r="C23" i="376" s="1"/>
  <c r="C15" i="376" a="1"/>
  <c r="C15" i="376" s="1"/>
  <c r="C18" i="376" a="1"/>
  <c r="C18" i="376" s="1"/>
  <c r="C19" i="376" a="1"/>
  <c r="C19" i="376" s="1"/>
  <c r="C10" i="376" a="1"/>
  <c r="C10" i="376" s="1"/>
  <c r="C30" i="376" a="1"/>
  <c r="C30" i="376" s="1"/>
  <c r="C22" i="376" a="1"/>
  <c r="C22" i="376" s="1"/>
  <c r="C29" i="376" a="1"/>
  <c r="C29" i="376" s="1"/>
  <c r="C28" i="376" a="1"/>
  <c r="C28" i="376" s="1"/>
  <c r="B7" i="17" l="1"/>
  <c r="F4" i="17" l="1"/>
  <c r="F5" i="17"/>
  <c r="F6" i="17"/>
  <c r="B6" i="488" l="1"/>
  <c r="B20" i="488"/>
  <c r="B62" i="488"/>
  <c r="B76" i="488"/>
  <c r="B118" i="488"/>
  <c r="B132" i="488"/>
  <c r="B174" i="488"/>
  <c r="B188" i="488"/>
  <c r="B230" i="488"/>
  <c r="B244" i="488"/>
  <c r="B286" i="488"/>
  <c r="B300" i="488"/>
  <c r="B342" i="488"/>
  <c r="B356" i="488"/>
  <c r="B398" i="488"/>
  <c r="B412" i="488"/>
  <c r="B454" i="488"/>
  <c r="B468" i="488"/>
  <c r="B510" i="488"/>
  <c r="B524" i="488"/>
  <c r="B78" i="488"/>
  <c r="B93" i="488"/>
  <c r="B108" i="488"/>
  <c r="B198" i="488"/>
  <c r="B213" i="488"/>
  <c r="B228" i="488"/>
  <c r="B334" i="488"/>
  <c r="B349" i="488"/>
  <c r="B364" i="488"/>
  <c r="B470" i="488"/>
  <c r="B485" i="488"/>
  <c r="B500" i="488"/>
  <c r="B574" i="488"/>
  <c r="B588" i="488"/>
  <c r="B38" i="487"/>
  <c r="B52" i="487"/>
  <c r="B94" i="487"/>
  <c r="B108" i="487"/>
  <c r="B150" i="487"/>
  <c r="B164" i="487"/>
  <c r="B206" i="487"/>
  <c r="B220" i="487"/>
  <c r="B262" i="487"/>
  <c r="B276" i="487"/>
  <c r="B318" i="487"/>
  <c r="B332" i="487"/>
  <c r="B374" i="487"/>
  <c r="B388" i="487"/>
  <c r="B430" i="487"/>
  <c r="B444" i="487"/>
  <c r="B486" i="487"/>
  <c r="B500" i="487"/>
  <c r="B542" i="487"/>
  <c r="B556" i="487"/>
  <c r="B5" i="484"/>
  <c r="B33" i="484"/>
  <c r="B61" i="484"/>
  <c r="B89" i="484"/>
  <c r="B117" i="484"/>
  <c r="B145" i="484"/>
  <c r="B173" i="484"/>
  <c r="B5" i="488"/>
  <c r="B22" i="488"/>
  <c r="B38" i="488"/>
  <c r="B54" i="488"/>
  <c r="B70" i="488"/>
  <c r="B86" i="488"/>
  <c r="B102" i="488"/>
  <c r="B21" i="488"/>
  <c r="B109" i="488"/>
  <c r="B126" i="488"/>
  <c r="B212" i="488"/>
  <c r="B301" i="488"/>
  <c r="B318" i="488"/>
  <c r="B388" i="488"/>
  <c r="B404" i="488"/>
  <c r="B420" i="488"/>
  <c r="B436" i="488"/>
  <c r="B452" i="488"/>
  <c r="B469" i="488"/>
  <c r="B486" i="488"/>
  <c r="B502" i="488"/>
  <c r="B518" i="488"/>
  <c r="B534" i="488"/>
  <c r="B550" i="488"/>
  <c r="B566" i="488"/>
  <c r="B581" i="488"/>
  <c r="B596" i="488"/>
  <c r="B5" i="487"/>
  <c r="B20" i="487"/>
  <c r="B126" i="487"/>
  <c r="B141" i="487"/>
  <c r="B156" i="487"/>
  <c r="B246" i="487"/>
  <c r="B261" i="487"/>
  <c r="B277" i="487"/>
  <c r="B292" i="487"/>
  <c r="B382" i="487"/>
  <c r="B397" i="487"/>
  <c r="B412" i="487"/>
  <c r="B518" i="487"/>
  <c r="B533" i="487"/>
  <c r="B548" i="487"/>
  <c r="B14" i="484"/>
  <c r="B44" i="484"/>
  <c r="B90" i="484"/>
  <c r="B135" i="484"/>
  <c r="B165" i="484"/>
  <c r="B65" i="480"/>
  <c r="B79" i="480"/>
  <c r="B93" i="480"/>
  <c r="B107" i="480"/>
  <c r="B121" i="480"/>
  <c r="B247" i="480"/>
  <c r="B261" i="480"/>
  <c r="B275" i="480"/>
  <c r="B289" i="480"/>
  <c r="B303" i="480"/>
  <c r="B317" i="480"/>
  <c r="B443" i="480"/>
  <c r="B457" i="480"/>
  <c r="B471" i="480"/>
  <c r="B485" i="480"/>
  <c r="B10" i="472"/>
  <c r="B80" i="472"/>
  <c r="B108" i="472"/>
  <c r="B178" i="472"/>
  <c r="B206" i="472"/>
  <c r="B234" i="472"/>
  <c r="B276" i="472"/>
  <c r="B304" i="472"/>
  <c r="B332" i="472"/>
  <c r="B28" i="488"/>
  <c r="B45" i="488"/>
  <c r="B133" i="488"/>
  <c r="B150" i="488"/>
  <c r="B204" i="488"/>
  <c r="B221" i="488"/>
  <c r="B238" i="488"/>
  <c r="B308" i="488"/>
  <c r="B325" i="488"/>
  <c r="B428" i="488"/>
  <c r="B444" i="488"/>
  <c r="B460" i="488"/>
  <c r="B476" i="488"/>
  <c r="B492" i="488"/>
  <c r="B508" i="488"/>
  <c r="B525" i="488"/>
  <c r="B541" i="488"/>
  <c r="B557" i="488"/>
  <c r="B572" i="488"/>
  <c r="B12" i="487"/>
  <c r="B102" i="487"/>
  <c r="B117" i="487"/>
  <c r="B132" i="487"/>
  <c r="B238" i="487"/>
  <c r="B253" i="487"/>
  <c r="B268" i="487"/>
  <c r="B358" i="487"/>
  <c r="B373" i="487"/>
  <c r="B389" i="487"/>
  <c r="B404" i="487"/>
  <c r="B494" i="487"/>
  <c r="B509" i="487"/>
  <c r="B524" i="487"/>
  <c r="B6" i="484"/>
  <c r="B51" i="484"/>
  <c r="B81" i="484"/>
  <c r="B126" i="484"/>
  <c r="B156" i="484"/>
  <c r="B200" i="484"/>
  <c r="B228" i="484"/>
  <c r="B256" i="484"/>
  <c r="B284" i="484"/>
  <c r="B312" i="484"/>
  <c r="B340" i="484"/>
  <c r="B368" i="484"/>
  <c r="B396" i="484"/>
  <c r="B424" i="484"/>
  <c r="B452" i="484"/>
  <c r="B480" i="484"/>
  <c r="B508" i="484"/>
  <c r="B536" i="484"/>
  <c r="B85" i="480"/>
  <c r="B99" i="480"/>
  <c r="B113" i="480"/>
  <c r="B127" i="480"/>
  <c r="B141" i="480"/>
  <c r="B12" i="488"/>
  <c r="B52" i="488"/>
  <c r="B94" i="488"/>
  <c r="B134" i="488"/>
  <c r="B236" i="488"/>
  <c r="B277" i="488"/>
  <c r="B317" i="488"/>
  <c r="B358" i="488"/>
  <c r="B380" i="488"/>
  <c r="B493" i="488"/>
  <c r="B549" i="488"/>
  <c r="B604" i="488"/>
  <c r="B68" i="487"/>
  <c r="B85" i="487"/>
  <c r="B173" i="487"/>
  <c r="B190" i="487"/>
  <c r="B260" i="487"/>
  <c r="B349" i="487"/>
  <c r="B366" i="487"/>
  <c r="B420" i="487"/>
  <c r="B437" i="487"/>
  <c r="B454" i="487"/>
  <c r="B525" i="487"/>
  <c r="B16" i="484"/>
  <c r="B34" i="484"/>
  <c r="B52" i="484"/>
  <c r="B175" i="484"/>
  <c r="B191" i="484"/>
  <c r="B240" i="484"/>
  <c r="B257" i="484"/>
  <c r="B305" i="484"/>
  <c r="B322" i="484"/>
  <c r="B371" i="484"/>
  <c r="B387" i="484"/>
  <c r="B436" i="484"/>
  <c r="B453" i="484"/>
  <c r="B501" i="484"/>
  <c r="B518" i="484"/>
  <c r="B32" i="480"/>
  <c r="B114" i="480"/>
  <c r="B146" i="480"/>
  <c r="B161" i="480"/>
  <c r="B207" i="480"/>
  <c r="B222" i="480"/>
  <c r="B282" i="480"/>
  <c r="B342" i="480"/>
  <c r="B357" i="480"/>
  <c r="B403" i="480"/>
  <c r="B418" i="480"/>
  <c r="B463" i="480"/>
  <c r="B478" i="480"/>
  <c r="B4" i="472"/>
  <c r="B34" i="472"/>
  <c r="B79" i="472"/>
  <c r="B110" i="488"/>
  <c r="B197" i="488"/>
  <c r="B220" i="488"/>
  <c r="B285" i="488"/>
  <c r="B373" i="488"/>
  <c r="B477" i="488"/>
  <c r="B517" i="488"/>
  <c r="B558" i="488"/>
  <c r="B28" i="487"/>
  <c r="B46" i="487"/>
  <c r="B84" i="487"/>
  <c r="B142" i="487"/>
  <c r="B180" i="487"/>
  <c r="B198" i="487"/>
  <c r="B236" i="487"/>
  <c r="B293" i="487"/>
  <c r="B350" i="487"/>
  <c r="B445" i="487"/>
  <c r="B501" i="487"/>
  <c r="B558" i="487"/>
  <c r="B221" i="484"/>
  <c r="B239" i="484"/>
  <c r="B258" i="484"/>
  <c r="B275" i="484"/>
  <c r="B380" i="484"/>
  <c r="B398" i="484"/>
  <c r="B415" i="484"/>
  <c r="B4" i="480"/>
  <c r="B39" i="480"/>
  <c r="B74" i="480"/>
  <c r="B126" i="480"/>
  <c r="B160" i="480"/>
  <c r="B194" i="480"/>
  <c r="B242" i="480"/>
  <c r="B274" i="480"/>
  <c r="B323" i="480"/>
  <c r="B355" i="480"/>
  <c r="B371" i="480"/>
  <c r="B389" i="480"/>
  <c r="B437" i="480"/>
  <c r="B45" i="472"/>
  <c r="B126" i="472"/>
  <c r="B171" i="472"/>
  <c r="B201" i="472"/>
  <c r="B246" i="472"/>
  <c r="B292" i="472"/>
  <c r="B322" i="472"/>
  <c r="B367" i="472"/>
  <c r="B395" i="472"/>
  <c r="B6" i="463"/>
  <c r="B76" i="463"/>
  <c r="B104" i="463"/>
  <c r="B132" i="463"/>
  <c r="B202" i="463"/>
  <c r="B230" i="463"/>
  <c r="B258" i="463"/>
  <c r="B328" i="463"/>
  <c r="B12" i="453"/>
  <c r="B82" i="453"/>
  <c r="B96" i="453"/>
  <c r="B110" i="453"/>
  <c r="B180" i="453"/>
  <c r="B194" i="453"/>
  <c r="B6" i="452"/>
  <c r="B76" i="452"/>
  <c r="B90" i="452"/>
  <c r="B160" i="452"/>
  <c r="B174" i="452"/>
  <c r="B188" i="452"/>
  <c r="B23" i="451"/>
  <c r="B65" i="451"/>
  <c r="B107" i="451"/>
  <c r="B149" i="451"/>
  <c r="B191" i="451"/>
  <c r="B219" i="451"/>
  <c r="B29" i="488"/>
  <c r="B117" i="488"/>
  <c r="B140" i="488"/>
  <c r="B182" i="488"/>
  <c r="B206" i="488"/>
  <c r="B270" i="488"/>
  <c r="B293" i="488"/>
  <c r="B382" i="488"/>
  <c r="B422" i="488"/>
  <c r="B564" i="488"/>
  <c r="B54" i="487"/>
  <c r="B110" i="487"/>
  <c r="B148" i="487"/>
  <c r="B204" i="487"/>
  <c r="B300" i="487"/>
  <c r="B356" i="487"/>
  <c r="B413" i="487"/>
  <c r="B469" i="487"/>
  <c r="B508" i="487"/>
  <c r="B100" i="488"/>
  <c r="B125" i="488"/>
  <c r="B149" i="488"/>
  <c r="B253" i="488"/>
  <c r="B406" i="488"/>
  <c r="B430" i="488"/>
  <c r="B478" i="488"/>
  <c r="B501" i="488"/>
  <c r="B526" i="488"/>
  <c r="B548" i="488"/>
  <c r="B76" i="487"/>
  <c r="B165" i="487"/>
  <c r="B230" i="487"/>
  <c r="B252" i="487"/>
  <c r="B341" i="487"/>
  <c r="B429" i="487"/>
  <c r="B452" i="487"/>
  <c r="B517" i="487"/>
  <c r="B580" i="487"/>
  <c r="B62" i="484"/>
  <c r="B163" i="484"/>
  <c r="B183" i="484"/>
  <c r="B202" i="484"/>
  <c r="B220" i="484"/>
  <c r="B46" i="480"/>
  <c r="B66" i="480"/>
  <c r="B140" i="480"/>
  <c r="B175" i="480"/>
  <c r="B195" i="480"/>
  <c r="B229" i="480"/>
  <c r="B281" i="480"/>
  <c r="B316" i="480"/>
  <c r="B404" i="480"/>
  <c r="B491" i="480"/>
  <c r="B189" i="472"/>
  <c r="B270" i="472"/>
  <c r="B286" i="472"/>
  <c r="B368" i="472"/>
  <c r="B413" i="472"/>
  <c r="B41" i="463"/>
  <c r="B86" i="463"/>
  <c r="B131" i="463"/>
  <c r="B177" i="463"/>
  <c r="B222" i="463"/>
  <c r="B267" i="463"/>
  <c r="B312" i="463"/>
  <c r="B39" i="455"/>
  <c r="B54" i="455"/>
  <c r="B69" i="455"/>
  <c r="B144" i="455"/>
  <c r="B159" i="455"/>
  <c r="B174" i="455"/>
  <c r="B235" i="455"/>
  <c r="B250" i="455"/>
  <c r="B265" i="455"/>
  <c r="B18" i="453"/>
  <c r="B63" i="453"/>
  <c r="B108" i="453"/>
  <c r="B123" i="453"/>
  <c r="B154" i="453"/>
  <c r="B199" i="453"/>
  <c r="B214" i="453"/>
  <c r="B244" i="453"/>
  <c r="B30" i="452"/>
  <c r="B45" i="452"/>
  <c r="B121" i="452"/>
  <c r="B136" i="452"/>
  <c r="B181" i="452"/>
  <c r="B226" i="452"/>
  <c r="B52" i="451"/>
  <c r="B82" i="451"/>
  <c r="B112" i="451"/>
  <c r="B142" i="451"/>
  <c r="B172" i="451"/>
  <c r="B202" i="451"/>
  <c r="B21" i="449"/>
  <c r="B49" i="449"/>
  <c r="B77" i="449"/>
  <c r="B147" i="449"/>
  <c r="B175" i="449"/>
  <c r="B37" i="444"/>
  <c r="B79" i="444"/>
  <c r="B121" i="444"/>
  <c r="B163" i="444"/>
  <c r="B8" i="442"/>
  <c r="B36" i="442"/>
  <c r="B64" i="442"/>
  <c r="B92" i="442"/>
  <c r="B120" i="442"/>
  <c r="B148" i="442"/>
  <c r="B53" i="488"/>
  <c r="B156" i="488"/>
  <c r="B180" i="488"/>
  <c r="B309" i="488"/>
  <c r="B333" i="488"/>
  <c r="B597" i="488"/>
  <c r="B13" i="487"/>
  <c r="B36" i="487"/>
  <c r="B78" i="487"/>
  <c r="B100" i="487"/>
  <c r="B124" i="487"/>
  <c r="B189" i="487"/>
  <c r="B212" i="487"/>
  <c r="B278" i="487"/>
  <c r="B301" i="487"/>
  <c r="B365" i="487"/>
  <c r="B390" i="487"/>
  <c r="B477" i="487"/>
  <c r="B541" i="487"/>
  <c r="B582" i="487"/>
  <c r="B24" i="484"/>
  <c r="B43" i="484"/>
  <c r="B146" i="484"/>
  <c r="B471" i="484"/>
  <c r="B490" i="484"/>
  <c r="B509" i="484"/>
  <c r="B527" i="484"/>
  <c r="B11" i="480"/>
  <c r="B87" i="480"/>
  <c r="B180" i="480"/>
  <c r="B214" i="480"/>
  <c r="B249" i="480"/>
  <c r="B301" i="480"/>
  <c r="B336" i="480"/>
  <c r="B370" i="480"/>
  <c r="B390" i="480"/>
  <c r="B424" i="480"/>
  <c r="B5" i="472"/>
  <c r="B22" i="472"/>
  <c r="B40" i="472"/>
  <c r="B57" i="472"/>
  <c r="B74" i="472"/>
  <c r="B91" i="472"/>
  <c r="B109" i="472"/>
  <c r="B143" i="472"/>
  <c r="B224" i="472"/>
  <c r="B240" i="472"/>
  <c r="B321" i="472"/>
  <c r="B338" i="472"/>
  <c r="B385" i="472"/>
  <c r="B13" i="463"/>
  <c r="B58" i="463"/>
  <c r="B103" i="463"/>
  <c r="B149" i="463"/>
  <c r="B194" i="463"/>
  <c r="B239" i="463"/>
  <c r="B284" i="463"/>
  <c r="B330" i="463"/>
  <c r="B11" i="455"/>
  <c r="B26" i="455"/>
  <c r="B41" i="455"/>
  <c r="B116" i="455"/>
  <c r="B131" i="455"/>
  <c r="B146" i="455"/>
  <c r="B207" i="455"/>
  <c r="B222" i="455"/>
  <c r="B237" i="455"/>
  <c r="B5" i="453"/>
  <c r="B50" i="453"/>
  <c r="B95" i="453"/>
  <c r="B141" i="453"/>
  <c r="B186" i="453"/>
  <c r="B201" i="453"/>
  <c r="B246" i="453"/>
  <c r="B17" i="452"/>
  <c r="B32" i="452"/>
  <c r="B63" i="452"/>
  <c r="B108" i="452"/>
  <c r="B123" i="452"/>
  <c r="B168" i="452"/>
  <c r="B213" i="452"/>
  <c r="B220" i="451"/>
  <c r="B157" i="488"/>
  <c r="B181" i="488"/>
  <c r="B260" i="488"/>
  <c r="B284" i="488"/>
  <c r="B310" i="488"/>
  <c r="B598" i="488"/>
  <c r="B14" i="487"/>
  <c r="B37" i="487"/>
  <c r="B101" i="487"/>
  <c r="B125" i="487"/>
  <c r="B213" i="487"/>
  <c r="B302" i="487"/>
  <c r="B324" i="487"/>
  <c r="B478" i="487"/>
  <c r="B564" i="487"/>
  <c r="B4" i="484"/>
  <c r="B25" i="484"/>
  <c r="B107" i="484"/>
  <c r="B127" i="484"/>
  <c r="B147" i="484"/>
  <c r="B4" i="488"/>
  <c r="B36" i="488"/>
  <c r="B165" i="488"/>
  <c r="B196" i="488"/>
  <c r="B229" i="488"/>
  <c r="B326" i="488"/>
  <c r="B365" i="488"/>
  <c r="B573" i="488"/>
  <c r="B605" i="488"/>
  <c r="B109" i="487"/>
  <c r="B221" i="487"/>
  <c r="B334" i="487"/>
  <c r="B446" i="487"/>
  <c r="B581" i="487"/>
  <c r="B79" i="484"/>
  <c r="B108" i="484"/>
  <c r="B182" i="484"/>
  <c r="B210" i="484"/>
  <c r="B304" i="484"/>
  <c r="B350" i="484"/>
  <c r="B417" i="484"/>
  <c r="B482" i="484"/>
  <c r="B528" i="484"/>
  <c r="B59" i="480"/>
  <c r="B80" i="480"/>
  <c r="B148" i="480"/>
  <c r="B168" i="480"/>
  <c r="B187" i="480"/>
  <c r="B208" i="480"/>
  <c r="B228" i="480"/>
  <c r="B290" i="480"/>
  <c r="B310" i="480"/>
  <c r="B330" i="480"/>
  <c r="B350" i="480"/>
  <c r="B452" i="480"/>
  <c r="B46" i="472"/>
  <c r="B86" i="472"/>
  <c r="B165" i="472"/>
  <c r="B183" i="472"/>
  <c r="B241" i="472"/>
  <c r="B315" i="472"/>
  <c r="B355" i="472"/>
  <c r="B373" i="472"/>
  <c r="B390" i="472"/>
  <c r="B407" i="472"/>
  <c r="B96" i="463"/>
  <c r="B113" i="463"/>
  <c r="B130" i="463"/>
  <c r="B150" i="463"/>
  <c r="B167" i="463"/>
  <c r="B184" i="463"/>
  <c r="B27" i="455"/>
  <c r="B61" i="455"/>
  <c r="B96" i="455"/>
  <c r="B132" i="455"/>
  <c r="B167" i="455"/>
  <c r="B201" i="455"/>
  <c r="B45" i="453"/>
  <c r="B116" i="453"/>
  <c r="B168" i="453"/>
  <c r="B187" i="453"/>
  <c r="B12" i="452"/>
  <c r="B83" i="452"/>
  <c r="B135" i="452"/>
  <c r="B154" i="452"/>
  <c r="B206" i="452"/>
  <c r="B5" i="451"/>
  <c r="B59" i="451"/>
  <c r="B76" i="451"/>
  <c r="B94" i="451"/>
  <c r="B130" i="451"/>
  <c r="B10" i="449"/>
  <c r="B26" i="449"/>
  <c r="B71" i="449"/>
  <c r="B131" i="449"/>
  <c r="B192" i="449"/>
  <c r="B12" i="442"/>
  <c r="B57" i="442"/>
  <c r="B72" i="442"/>
  <c r="B117" i="442"/>
  <c r="B132" i="442"/>
  <c r="B69" i="488"/>
  <c r="B237" i="488"/>
  <c r="B268" i="488"/>
  <c r="B332" i="488"/>
  <c r="B397" i="488"/>
  <c r="B461" i="488"/>
  <c r="B607" i="488"/>
  <c r="B86" i="487"/>
  <c r="B197" i="487"/>
  <c r="B284" i="487"/>
  <c r="B309" i="487"/>
  <c r="B364" i="487"/>
  <c r="B422" i="487"/>
  <c r="B532" i="487"/>
  <c r="B557" i="487"/>
  <c r="B136" i="484"/>
  <c r="B212" i="484"/>
  <c r="B259" i="484"/>
  <c r="B285" i="484"/>
  <c r="B331" i="484"/>
  <c r="B352" i="484"/>
  <c r="B399" i="484"/>
  <c r="B463" i="484"/>
  <c r="B510" i="484"/>
  <c r="B18" i="480"/>
  <c r="B40" i="480"/>
  <c r="B106" i="480"/>
  <c r="B376" i="480"/>
  <c r="B477" i="480"/>
  <c r="B28" i="472"/>
  <c r="B69" i="472"/>
  <c r="B148" i="472"/>
  <c r="B263" i="472"/>
  <c r="B281" i="472"/>
  <c r="B299" i="472"/>
  <c r="B339" i="472"/>
  <c r="B186" i="463"/>
  <c r="B204" i="463"/>
  <c r="B221" i="463"/>
  <c r="B240" i="463"/>
  <c r="B257" i="463"/>
  <c r="B275" i="463"/>
  <c r="B292" i="463"/>
  <c r="B12" i="455"/>
  <c r="B46" i="455"/>
  <c r="B81" i="455"/>
  <c r="B117" i="455"/>
  <c r="B152" i="455"/>
  <c r="B186" i="455"/>
  <c r="B223" i="455"/>
  <c r="B257" i="455"/>
  <c r="B30" i="453"/>
  <c r="B84" i="453"/>
  <c r="B135" i="453"/>
  <c r="B206" i="453"/>
  <c r="B51" i="452"/>
  <c r="B102" i="452"/>
  <c r="B173" i="452"/>
  <c r="B225" i="452"/>
  <c r="B10" i="451"/>
  <c r="B167" i="451"/>
  <c r="B184" i="451"/>
  <c r="B43" i="449"/>
  <c r="B88" i="449"/>
  <c r="B103" i="449"/>
  <c r="B164" i="449"/>
  <c r="B209" i="449"/>
  <c r="B16" i="444"/>
  <c r="B31" i="444"/>
  <c r="B46" i="444"/>
  <c r="B61" i="444"/>
  <c r="B76" i="444"/>
  <c r="B91" i="444"/>
  <c r="B106" i="444"/>
  <c r="B29" i="442"/>
  <c r="B44" i="442"/>
  <c r="B89" i="442"/>
  <c r="B104" i="442"/>
  <c r="B165" i="442"/>
  <c r="B141" i="488"/>
  <c r="B205" i="488"/>
  <c r="B269" i="488"/>
  <c r="B302" i="488"/>
  <c r="B429" i="488"/>
  <c r="B462" i="488"/>
  <c r="B580" i="488"/>
  <c r="B608" i="488"/>
  <c r="B29" i="487"/>
  <c r="B60" i="487"/>
  <c r="B140" i="487"/>
  <c r="B172" i="487"/>
  <c r="B254" i="487"/>
  <c r="B285" i="487"/>
  <c r="B310" i="487"/>
  <c r="B396" i="487"/>
  <c r="B510" i="487"/>
  <c r="B534" i="487"/>
  <c r="B32" i="484"/>
  <c r="B137" i="484"/>
  <c r="B286" i="484"/>
  <c r="B332" i="484"/>
  <c r="B378" i="484"/>
  <c r="B443" i="484"/>
  <c r="B464" i="484"/>
  <c r="B511" i="484"/>
  <c r="B19" i="480"/>
  <c r="B86" i="480"/>
  <c r="B234" i="480"/>
  <c r="B254" i="480"/>
  <c r="B335" i="480"/>
  <c r="B356" i="480"/>
  <c r="B377" i="480"/>
  <c r="B396" i="480"/>
  <c r="B416" i="480"/>
  <c r="B436" i="480"/>
  <c r="B458" i="480"/>
  <c r="B479" i="480"/>
  <c r="B50" i="472"/>
  <c r="B131" i="472"/>
  <c r="B149" i="472"/>
  <c r="B207" i="472"/>
  <c r="B264" i="472"/>
  <c r="B276" i="463"/>
  <c r="B293" i="463"/>
  <c r="B310" i="463"/>
  <c r="B329" i="463"/>
  <c r="B13" i="455"/>
  <c r="B47" i="455"/>
  <c r="B82" i="455"/>
  <c r="B118" i="455"/>
  <c r="B153" i="455"/>
  <c r="B187" i="455"/>
  <c r="B258" i="455"/>
  <c r="B31" i="453"/>
  <c r="B102" i="453"/>
  <c r="B136" i="453"/>
  <c r="B155" i="453"/>
  <c r="B173" i="453"/>
  <c r="B207" i="453"/>
  <c r="B225" i="453"/>
  <c r="B14" i="488"/>
  <c r="B92" i="488"/>
  <c r="B261" i="488"/>
  <c r="B421" i="488"/>
  <c r="B6" i="487"/>
  <c r="B438" i="487"/>
  <c r="B468" i="487"/>
  <c r="B573" i="487"/>
  <c r="B63" i="484"/>
  <c r="B128" i="484"/>
  <c r="B287" i="484"/>
  <c r="B315" i="484"/>
  <c r="B370" i="484"/>
  <c r="B483" i="484"/>
  <c r="B6" i="480"/>
  <c r="B92" i="480"/>
  <c r="B147" i="480"/>
  <c r="B173" i="480"/>
  <c r="B200" i="480"/>
  <c r="B328" i="480"/>
  <c r="B431" i="480"/>
  <c r="B484" i="480"/>
  <c r="B247" i="472"/>
  <c r="B269" i="472"/>
  <c r="B316" i="472"/>
  <c r="B60" i="463"/>
  <c r="B285" i="463"/>
  <c r="B18" i="455"/>
  <c r="B40" i="455"/>
  <c r="B62" i="455"/>
  <c r="B243" i="455"/>
  <c r="B264" i="455"/>
  <c r="B24" i="453"/>
  <c r="B71" i="453"/>
  <c r="B160" i="453"/>
  <c r="B181" i="453"/>
  <c r="B227" i="453"/>
  <c r="B4" i="452"/>
  <c r="B24" i="452"/>
  <c r="B43" i="452"/>
  <c r="B147" i="452"/>
  <c r="B167" i="452"/>
  <c r="B187" i="452"/>
  <c r="B34" i="451"/>
  <c r="B118" i="451"/>
  <c r="B179" i="451"/>
  <c r="B15" i="449"/>
  <c r="B33" i="449"/>
  <c r="B104" i="449"/>
  <c r="B191" i="449"/>
  <c r="B210" i="449"/>
  <c r="B19" i="444"/>
  <c r="B88" i="444"/>
  <c r="B142" i="444"/>
  <c r="B65" i="442"/>
  <c r="B116" i="442"/>
  <c r="B136" i="442"/>
  <c r="B153" i="442"/>
  <c r="B142" i="488"/>
  <c r="B222" i="488"/>
  <c r="B262" i="488"/>
  <c r="B389" i="488"/>
  <c r="B540" i="488"/>
  <c r="B582" i="488"/>
  <c r="B44" i="487"/>
  <c r="B77" i="487"/>
  <c r="B116" i="487"/>
  <c r="B222" i="487"/>
  <c r="B294" i="487"/>
  <c r="B470" i="487"/>
  <c r="B574" i="487"/>
  <c r="B164" i="484"/>
  <c r="B491" i="484"/>
  <c r="B67" i="480"/>
  <c r="B94" i="480"/>
  <c r="B119" i="480"/>
  <c r="B174" i="480"/>
  <c r="B201" i="480"/>
  <c r="B255" i="480"/>
  <c r="B329" i="480"/>
  <c r="B382" i="480"/>
  <c r="B409" i="480"/>
  <c r="B23" i="472"/>
  <c r="B51" i="472"/>
  <c r="B125" i="472"/>
  <c r="B223" i="472"/>
  <c r="B344" i="472"/>
  <c r="B414" i="472"/>
  <c r="B85" i="463"/>
  <c r="B175" i="463"/>
  <c r="B19" i="455"/>
  <c r="B88" i="455"/>
  <c r="B109" i="455"/>
  <c r="B130" i="455"/>
  <c r="B221" i="455"/>
  <c r="B244" i="455"/>
  <c r="B4" i="453"/>
  <c r="B25" i="453"/>
  <c r="B51" i="453"/>
  <c r="B115" i="453"/>
  <c r="B161" i="453"/>
  <c r="B5" i="452"/>
  <c r="B25" i="452"/>
  <c r="B44" i="452"/>
  <c r="B109" i="452"/>
  <c r="B128" i="452"/>
  <c r="B148" i="452"/>
  <c r="B232" i="452"/>
  <c r="B16" i="451"/>
  <c r="B35" i="451"/>
  <c r="B77" i="451"/>
  <c r="B100" i="451"/>
  <c r="B119" i="451"/>
  <c r="B160" i="451"/>
  <c r="B16" i="449"/>
  <c r="B87" i="449"/>
  <c r="B211" i="449"/>
  <c r="B55" i="444"/>
  <c r="B109" i="444"/>
  <c r="B160" i="444"/>
  <c r="B178" i="444"/>
  <c r="B13" i="442"/>
  <c r="B48" i="442"/>
  <c r="B100" i="442"/>
  <c r="B137" i="442"/>
  <c r="B348" i="488"/>
  <c r="B390" i="488"/>
  <c r="B542" i="488"/>
  <c r="B45" i="487"/>
  <c r="B118" i="487"/>
  <c r="B188" i="487"/>
  <c r="B228" i="487"/>
  <c r="B333" i="487"/>
  <c r="B372" i="487"/>
  <c r="B405" i="487"/>
  <c r="B476" i="487"/>
  <c r="B35" i="484"/>
  <c r="B98" i="484"/>
  <c r="B229" i="484"/>
  <c r="B379" i="484"/>
  <c r="B406" i="484"/>
  <c r="B434" i="484"/>
  <c r="B492" i="484"/>
  <c r="B38" i="480"/>
  <c r="B120" i="480"/>
  <c r="B153" i="480"/>
  <c r="B202" i="480"/>
  <c r="B227" i="480"/>
  <c r="B256" i="480"/>
  <c r="B383" i="480"/>
  <c r="B410" i="480"/>
  <c r="B438" i="480"/>
  <c r="B464" i="480"/>
  <c r="B102" i="472"/>
  <c r="B177" i="472"/>
  <c r="B345" i="472"/>
  <c r="B391" i="472"/>
  <c r="B40" i="463"/>
  <c r="B87" i="463"/>
  <c r="B176" i="463"/>
  <c r="B220" i="463"/>
  <c r="B265" i="463"/>
  <c r="B311" i="463"/>
  <c r="B20" i="455"/>
  <c r="B67" i="455"/>
  <c r="B89" i="455"/>
  <c r="B110" i="455"/>
  <c r="B179" i="455"/>
  <c r="B6" i="453"/>
  <c r="B142" i="453"/>
  <c r="B162" i="453"/>
  <c r="B69" i="452"/>
  <c r="B110" i="452"/>
  <c r="B129" i="452"/>
  <c r="B149" i="452"/>
  <c r="B212" i="452"/>
  <c r="B233" i="452"/>
  <c r="B17" i="451"/>
  <c r="B58" i="451"/>
  <c r="B101" i="451"/>
  <c r="B161" i="451"/>
  <c r="B203" i="451"/>
  <c r="B70" i="449"/>
  <c r="B158" i="449"/>
  <c r="B176" i="449"/>
  <c r="B4" i="444"/>
  <c r="B73" i="444"/>
  <c r="B127" i="444"/>
  <c r="B32" i="442"/>
  <c r="B49" i="442"/>
  <c r="B84" i="442"/>
  <c r="B101" i="442"/>
  <c r="B121" i="442"/>
  <c r="B172" i="442"/>
  <c r="B60" i="488"/>
  <c r="B101" i="488"/>
  <c r="B189" i="488"/>
  <c r="B350" i="488"/>
  <c r="B437" i="488"/>
  <c r="B509" i="488"/>
  <c r="B157" i="487"/>
  <c r="B229" i="487"/>
  <c r="B406" i="487"/>
  <c r="B549" i="487"/>
  <c r="B70" i="484"/>
  <c r="B99" i="484"/>
  <c r="B230" i="484"/>
  <c r="B323" i="484"/>
  <c r="B407" i="484"/>
  <c r="B435" i="484"/>
  <c r="B462" i="484"/>
  <c r="B519" i="484"/>
  <c r="B12" i="480"/>
  <c r="B154" i="480"/>
  <c r="B181" i="480"/>
  <c r="B283" i="480"/>
  <c r="B308" i="480"/>
  <c r="B337" i="480"/>
  <c r="B362" i="480"/>
  <c r="B384" i="480"/>
  <c r="B411" i="480"/>
  <c r="B465" i="480"/>
  <c r="B27" i="472"/>
  <c r="B103" i="472"/>
  <c r="B132" i="472"/>
  <c r="B154" i="472"/>
  <c r="B200" i="472"/>
  <c r="B298" i="472"/>
  <c r="B42" i="463"/>
  <c r="B67" i="463"/>
  <c r="B266" i="463"/>
  <c r="B68" i="455"/>
  <c r="B90" i="455"/>
  <c r="B111" i="455"/>
  <c r="B137" i="455"/>
  <c r="B180" i="455"/>
  <c r="B200" i="455"/>
  <c r="B97" i="453"/>
  <c r="B232" i="453"/>
  <c r="B50" i="452"/>
  <c r="B70" i="452"/>
  <c r="B89" i="452"/>
  <c r="B193" i="452"/>
  <c r="B214" i="452"/>
  <c r="B40" i="451"/>
  <c r="B225" i="451"/>
  <c r="B37" i="449"/>
  <c r="B54" i="449"/>
  <c r="B125" i="449"/>
  <c r="B142" i="449"/>
  <c r="B159" i="449"/>
  <c r="B22" i="444"/>
  <c r="B40" i="444"/>
  <c r="B94" i="444"/>
  <c r="B145" i="444"/>
  <c r="B181" i="444"/>
  <c r="B16" i="442"/>
  <c r="B33" i="442"/>
  <c r="B68" i="442"/>
  <c r="B85" i="442"/>
  <c r="B156" i="442"/>
  <c r="B61" i="488"/>
  <c r="B190" i="488"/>
  <c r="B316" i="488"/>
  <c r="B396" i="488"/>
  <c r="B438" i="488"/>
  <c r="B589" i="488"/>
  <c r="B158" i="487"/>
  <c r="B196" i="487"/>
  <c r="B340" i="487"/>
  <c r="B484" i="487"/>
  <c r="B516" i="487"/>
  <c r="B550" i="487"/>
  <c r="B7" i="484"/>
  <c r="B71" i="484"/>
  <c r="B100" i="484"/>
  <c r="B172" i="484"/>
  <c r="B231" i="484"/>
  <c r="B266" i="484"/>
  <c r="B294" i="484"/>
  <c r="B324" i="484"/>
  <c r="B351" i="484"/>
  <c r="B408" i="484"/>
  <c r="B520" i="484"/>
  <c r="B13" i="480"/>
  <c r="B72" i="480"/>
  <c r="B128" i="480"/>
  <c r="B155" i="480"/>
  <c r="B182" i="480"/>
  <c r="B235" i="480"/>
  <c r="B309" i="480"/>
  <c r="B363" i="480"/>
  <c r="B490" i="480"/>
  <c r="B56" i="472"/>
  <c r="B30" i="488"/>
  <c r="B68" i="488"/>
  <c r="B278" i="488"/>
  <c r="B357" i="488"/>
  <c r="B516" i="488"/>
  <c r="B21" i="487"/>
  <c r="B61" i="487"/>
  <c r="B93" i="487"/>
  <c r="B270" i="487"/>
  <c r="B308" i="487"/>
  <c r="B453" i="487"/>
  <c r="B42" i="484"/>
  <c r="B109" i="484"/>
  <c r="B203" i="484"/>
  <c r="B268" i="484"/>
  <c r="B296" i="484"/>
  <c r="B359" i="484"/>
  <c r="B472" i="484"/>
  <c r="B20" i="480"/>
  <c r="B47" i="480"/>
  <c r="B101" i="480"/>
  <c r="B133" i="480"/>
  <c r="B209" i="480"/>
  <c r="B262" i="480"/>
  <c r="B315" i="480"/>
  <c r="B445" i="480"/>
  <c r="B33" i="472"/>
  <c r="B114" i="472"/>
  <c r="B160" i="472"/>
  <c r="B280" i="472"/>
  <c r="B350" i="472"/>
  <c r="B420" i="472"/>
  <c r="B24" i="463"/>
  <c r="B50" i="463"/>
  <c r="B114" i="463"/>
  <c r="B139" i="463"/>
  <c r="B159" i="463"/>
  <c r="B249" i="463"/>
  <c r="B4" i="455"/>
  <c r="B209" i="455"/>
  <c r="B229" i="455"/>
  <c r="B251" i="455"/>
  <c r="B11" i="453"/>
  <c r="B57" i="453"/>
  <c r="B77" i="453"/>
  <c r="B103" i="453"/>
  <c r="B167" i="453"/>
  <c r="B213" i="453"/>
  <c r="B11" i="452"/>
  <c r="B95" i="452"/>
  <c r="B134" i="452"/>
  <c r="B22" i="451"/>
  <c r="B64" i="451"/>
  <c r="B125" i="451"/>
  <c r="B209" i="451"/>
  <c r="B228" i="451"/>
  <c r="B22" i="449"/>
  <c r="B59" i="449"/>
  <c r="B76" i="449"/>
  <c r="B165" i="449"/>
  <c r="B43" i="444"/>
  <c r="B97" i="444"/>
  <c r="B148" i="444"/>
  <c r="B185" i="444"/>
  <c r="B37" i="442"/>
  <c r="B108" i="442"/>
  <c r="B125" i="442"/>
  <c r="B124" i="488"/>
  <c r="B4" i="487"/>
  <c r="B70" i="487"/>
  <c r="B134" i="487"/>
  <c r="B155" i="484"/>
  <c r="B369" i="484"/>
  <c r="B425" i="484"/>
  <c r="B33" i="480"/>
  <c r="B451" i="480"/>
  <c r="B184" i="472"/>
  <c r="B217" i="472"/>
  <c r="B258" i="472"/>
  <c r="B293" i="472"/>
  <c r="B372" i="472"/>
  <c r="B23" i="463"/>
  <c r="B94" i="463"/>
  <c r="B195" i="463"/>
  <c r="B302" i="463"/>
  <c r="B337" i="463"/>
  <c r="B74" i="455"/>
  <c r="B173" i="455"/>
  <c r="B19" i="453"/>
  <c r="B56" i="453"/>
  <c r="B226" i="453"/>
  <c r="B18" i="452"/>
  <c r="B4" i="451"/>
  <c r="B70" i="451"/>
  <c r="B166" i="451"/>
  <c r="B229" i="451"/>
  <c r="B114" i="449"/>
  <c r="B143" i="449"/>
  <c r="B169" i="449"/>
  <c r="B198" i="449"/>
  <c r="B124" i="444"/>
  <c r="B154" i="444"/>
  <c r="B24" i="442"/>
  <c r="B53" i="442"/>
  <c r="B109" i="442"/>
  <c r="B161" i="442"/>
  <c r="B205" i="487"/>
  <c r="B269" i="487"/>
  <c r="B325" i="487"/>
  <c r="B460" i="487"/>
  <c r="B174" i="484"/>
  <c r="B333" i="484"/>
  <c r="B426" i="484"/>
  <c r="B529" i="484"/>
  <c r="B45" i="480"/>
  <c r="B236" i="480"/>
  <c r="B276" i="480"/>
  <c r="B322" i="480"/>
  <c r="B417" i="480"/>
  <c r="B62" i="472"/>
  <c r="B188" i="472"/>
  <c r="B218" i="472"/>
  <c r="B333" i="472"/>
  <c r="B95" i="463"/>
  <c r="B303" i="463"/>
  <c r="B5" i="455"/>
  <c r="B75" i="455"/>
  <c r="B181" i="455"/>
  <c r="B249" i="455"/>
  <c r="B58" i="453"/>
  <c r="B89" i="453"/>
  <c r="B128" i="453"/>
  <c r="B233" i="453"/>
  <c r="B19" i="452"/>
  <c r="B115" i="452"/>
  <c r="B207" i="452"/>
  <c r="B41" i="451"/>
  <c r="B71" i="451"/>
  <c r="B196" i="451"/>
  <c r="B4" i="449"/>
  <c r="B32" i="449"/>
  <c r="B92" i="449"/>
  <c r="B115" i="449"/>
  <c r="B170" i="449"/>
  <c r="B70" i="444"/>
  <c r="B100" i="444"/>
  <c r="B184" i="444"/>
  <c r="B25" i="442"/>
  <c r="B80" i="442"/>
  <c r="B133" i="442"/>
  <c r="B164" i="442"/>
  <c r="B148" i="488"/>
  <c r="B214" i="488"/>
  <c r="B565" i="488"/>
  <c r="B92" i="487"/>
  <c r="B149" i="487"/>
  <c r="B342" i="487"/>
  <c r="B398" i="487"/>
  <c r="B462" i="487"/>
  <c r="B118" i="484"/>
  <c r="B277" i="484"/>
  <c r="B388" i="484"/>
  <c r="B52" i="480"/>
  <c r="B100" i="480"/>
  <c r="B193" i="480"/>
  <c r="B423" i="480"/>
  <c r="B17" i="472"/>
  <c r="B155" i="472"/>
  <c r="B230" i="472"/>
  <c r="B379" i="472"/>
  <c r="B408" i="472"/>
  <c r="B32" i="463"/>
  <c r="B68" i="463"/>
  <c r="B168" i="463"/>
  <c r="B48" i="455"/>
  <c r="B215" i="455"/>
  <c r="B237" i="453"/>
  <c r="B56" i="452"/>
  <c r="B84" i="452"/>
  <c r="B46" i="451"/>
  <c r="B137" i="451"/>
  <c r="B65" i="449"/>
  <c r="B120" i="449"/>
  <c r="B202" i="449"/>
  <c r="B49" i="444"/>
  <c r="B157" i="444"/>
  <c r="B4" i="442"/>
  <c r="B28" i="442"/>
  <c r="B112" i="442"/>
  <c r="B141" i="442"/>
  <c r="B84" i="488"/>
  <c r="B294" i="488"/>
  <c r="B374" i="488"/>
  <c r="B446" i="488"/>
  <c r="B286" i="487"/>
  <c r="B414" i="487"/>
  <c r="B72" i="484"/>
  <c r="B295" i="484"/>
  <c r="B342" i="484"/>
  <c r="B445" i="484"/>
  <c r="B538" i="484"/>
  <c r="B472" i="480"/>
  <c r="B161" i="472"/>
  <c r="B195" i="472"/>
  <c r="B235" i="472"/>
  <c r="B310" i="472"/>
  <c r="B419" i="472"/>
  <c r="B105" i="463"/>
  <c r="B141" i="463"/>
  <c r="B211" i="463"/>
  <c r="B247" i="463"/>
  <c r="B83" i="455"/>
  <c r="B151" i="455"/>
  <c r="B64" i="453"/>
  <c r="B174" i="453"/>
  <c r="B58" i="452"/>
  <c r="B13" i="488"/>
  <c r="B85" i="488"/>
  <c r="B166" i="487"/>
  <c r="B15" i="484"/>
  <c r="B184" i="484"/>
  <c r="B343" i="484"/>
  <c r="B5" i="480"/>
  <c r="B295" i="480"/>
  <c r="B343" i="480"/>
  <c r="B73" i="472"/>
  <c r="B119" i="472"/>
  <c r="B275" i="472"/>
  <c r="B349" i="472"/>
  <c r="B384" i="472"/>
  <c r="B4" i="463"/>
  <c r="B212" i="463"/>
  <c r="B248" i="463"/>
  <c r="B319" i="463"/>
  <c r="B53" i="455"/>
  <c r="B123" i="455"/>
  <c r="B158" i="455"/>
  <c r="B193" i="455"/>
  <c r="B228" i="455"/>
  <c r="B37" i="453"/>
  <c r="B69" i="453"/>
  <c r="B134" i="453"/>
  <c r="B175" i="453"/>
  <c r="B31" i="452"/>
  <c r="B96" i="452"/>
  <c r="B186" i="452"/>
  <c r="B113" i="451"/>
  <c r="B148" i="451"/>
  <c r="B98" i="449"/>
  <c r="B153" i="449"/>
  <c r="B206" i="449"/>
  <c r="B28" i="444"/>
  <c r="B112" i="444"/>
  <c r="B166" i="444"/>
  <c r="B93" i="442"/>
  <c r="B145" i="442"/>
  <c r="B164" i="488"/>
  <c r="B245" i="488"/>
  <c r="B590" i="488"/>
  <c r="B174" i="487"/>
  <c r="B237" i="487"/>
  <c r="B421" i="487"/>
  <c r="B485" i="487"/>
  <c r="B192" i="484"/>
  <c r="B247" i="484"/>
  <c r="B397" i="484"/>
  <c r="B499" i="484"/>
  <c r="B58" i="480"/>
  <c r="B112" i="480"/>
  <c r="B296" i="480"/>
  <c r="B344" i="480"/>
  <c r="B391" i="480"/>
  <c r="B120" i="472"/>
  <c r="B5" i="463"/>
  <c r="B213" i="463"/>
  <c r="B320" i="463"/>
  <c r="B55" i="455"/>
  <c r="B124" i="455"/>
  <c r="B160" i="455"/>
  <c r="B194" i="455"/>
  <c r="B230" i="455"/>
  <c r="B38" i="453"/>
  <c r="B70" i="453"/>
  <c r="B212" i="453"/>
  <c r="B243" i="453"/>
  <c r="B97" i="452"/>
  <c r="B161" i="452"/>
  <c r="B194" i="452"/>
  <c r="B178" i="451"/>
  <c r="B99" i="449"/>
  <c r="B154" i="449"/>
  <c r="B58" i="444"/>
  <c r="B139" i="444"/>
  <c r="B169" i="444"/>
  <c r="B9" i="442"/>
  <c r="B46" i="488"/>
  <c r="B445" i="488"/>
  <c r="B556" i="488"/>
  <c r="B381" i="487"/>
  <c r="B23" i="484"/>
  <c r="B119" i="484"/>
  <c r="B313" i="484"/>
  <c r="B481" i="484"/>
  <c r="B31" i="480"/>
  <c r="B288" i="480"/>
  <c r="B364" i="480"/>
  <c r="B252" i="472"/>
  <c r="B22" i="463"/>
  <c r="B172" i="455"/>
  <c r="B236" i="455"/>
  <c r="B219" i="453"/>
  <c r="B38" i="452"/>
  <c r="B142" i="452"/>
  <c r="B201" i="452"/>
  <c r="B214" i="451"/>
  <c r="B38" i="449"/>
  <c r="B121" i="449"/>
  <c r="B205" i="449"/>
  <c r="B85" i="444"/>
  <c r="B73" i="442"/>
  <c r="B113" i="442"/>
  <c r="B157" i="442"/>
  <c r="B77" i="488"/>
  <c r="B324" i="488"/>
  <c r="B144" i="484"/>
  <c r="B219" i="484"/>
  <c r="B314" i="484"/>
  <c r="B500" i="484"/>
  <c r="B134" i="480"/>
  <c r="B369" i="480"/>
  <c r="B253" i="472"/>
  <c r="B326" i="472"/>
  <c r="B31" i="463"/>
  <c r="B148" i="463"/>
  <c r="B274" i="463"/>
  <c r="B125" i="455"/>
  <c r="B220" i="453"/>
  <c r="B81" i="449"/>
  <c r="B126" i="449"/>
  <c r="B130" i="444"/>
  <c r="B172" i="444"/>
  <c r="B453" i="488"/>
  <c r="B69" i="487"/>
  <c r="B181" i="487"/>
  <c r="B502" i="487"/>
  <c r="B238" i="484"/>
  <c r="B416" i="484"/>
  <c r="B53" i="480"/>
  <c r="B450" i="480"/>
  <c r="B194" i="472"/>
  <c r="B257" i="472"/>
  <c r="B327" i="472"/>
  <c r="B396" i="472"/>
  <c r="B33" i="463"/>
  <c r="B157" i="463"/>
  <c r="B60" i="455"/>
  <c r="B188" i="455"/>
  <c r="B242" i="455"/>
  <c r="B43" i="453"/>
  <c r="B109" i="453"/>
  <c r="B155" i="452"/>
  <c r="B28" i="451"/>
  <c r="B124" i="451"/>
  <c r="B173" i="451"/>
  <c r="B44" i="449"/>
  <c r="B82" i="449"/>
  <c r="B7" i="444"/>
  <c r="B133" i="444"/>
  <c r="B76" i="442"/>
  <c r="B124" i="442"/>
  <c r="B160" i="442"/>
  <c r="B340" i="488"/>
  <c r="B182" i="487"/>
  <c r="B526" i="487"/>
  <c r="B248" i="484"/>
  <c r="B60" i="480"/>
  <c r="B139" i="480"/>
  <c r="B220" i="480"/>
  <c r="B302" i="480"/>
  <c r="B137" i="472"/>
  <c r="B158" i="463"/>
  <c r="B283" i="463"/>
  <c r="B6" i="455"/>
  <c r="B195" i="455"/>
  <c r="B44" i="453"/>
  <c r="B162" i="452"/>
  <c r="B29" i="451"/>
  <c r="B226" i="451"/>
  <c r="B132" i="449"/>
  <c r="B10" i="444"/>
  <c r="B136" i="444"/>
  <c r="B40" i="442"/>
  <c r="B77" i="442"/>
  <c r="B341" i="488"/>
  <c r="B249" i="484"/>
  <c r="B341" i="484"/>
  <c r="B73" i="480"/>
  <c r="B221" i="480"/>
  <c r="B397" i="480"/>
  <c r="B470" i="480"/>
  <c r="B138" i="472"/>
  <c r="B211" i="472"/>
  <c r="B401" i="472"/>
  <c r="B49" i="463"/>
  <c r="B138" i="455"/>
  <c r="B256" i="455"/>
  <c r="B238" i="453"/>
  <c r="B103" i="452"/>
  <c r="B219" i="452"/>
  <c r="B83" i="451"/>
  <c r="B185" i="451"/>
  <c r="B48" i="449"/>
  <c r="B93" i="449"/>
  <c r="B180" i="449"/>
  <c r="B52" i="444"/>
  <c r="B175" i="444"/>
  <c r="B41" i="442"/>
  <c r="B81" i="442"/>
  <c r="B168" i="442"/>
  <c r="B116" i="488"/>
  <c r="B246" i="488"/>
  <c r="B366" i="488"/>
  <c r="B316" i="487"/>
  <c r="B428" i="487"/>
  <c r="B540" i="487"/>
  <c r="B53" i="484"/>
  <c r="B360" i="484"/>
  <c r="B427" i="484"/>
  <c r="B398" i="480"/>
  <c r="B63" i="472"/>
  <c r="B212" i="472"/>
  <c r="B402" i="472"/>
  <c r="B51" i="463"/>
  <c r="B112" i="463"/>
  <c r="B166" i="463"/>
  <c r="B229" i="463"/>
  <c r="B294" i="463"/>
  <c r="B76" i="455"/>
  <c r="B139" i="455"/>
  <c r="B202" i="455"/>
  <c r="B263" i="455"/>
  <c r="B121" i="453"/>
  <c r="B220" i="452"/>
  <c r="B88" i="451"/>
  <c r="B131" i="451"/>
  <c r="B5" i="449"/>
  <c r="B136" i="449"/>
  <c r="B181" i="449"/>
  <c r="B186" i="444"/>
  <c r="B88" i="442"/>
  <c r="B128" i="442"/>
  <c r="B169" i="442"/>
  <c r="B372" i="488"/>
  <c r="B484" i="488"/>
  <c r="B214" i="487"/>
  <c r="B317" i="487"/>
  <c r="B60" i="484"/>
  <c r="B154" i="484"/>
  <c r="B267" i="484"/>
  <c r="B361" i="484"/>
  <c r="B444" i="484"/>
  <c r="B166" i="480"/>
  <c r="B241" i="480"/>
  <c r="B68" i="472"/>
  <c r="B142" i="472"/>
  <c r="B231" i="463"/>
  <c r="B25" i="455"/>
  <c r="B208" i="455"/>
  <c r="B122" i="453"/>
  <c r="B188" i="453"/>
  <c r="B247" i="453"/>
  <c r="B57" i="452"/>
  <c r="B89" i="451"/>
  <c r="B136" i="451"/>
  <c r="B190" i="451"/>
  <c r="B11" i="449"/>
  <c r="B55" i="449"/>
  <c r="B137" i="449"/>
  <c r="B13" i="444"/>
  <c r="B5" i="442"/>
  <c r="B45" i="442"/>
  <c r="B129" i="442"/>
  <c r="B381" i="488"/>
  <c r="B494" i="488"/>
  <c r="B606" i="488"/>
  <c r="B326" i="487"/>
  <c r="B436" i="487"/>
  <c r="B80" i="484"/>
  <c r="B454" i="484"/>
  <c r="B167" i="480"/>
  <c r="B248" i="480"/>
  <c r="B85" i="472"/>
  <c r="B356" i="472"/>
  <c r="B121" i="463"/>
  <c r="B145" i="455"/>
  <c r="B129" i="453"/>
  <c r="B64" i="452"/>
  <c r="B116" i="452"/>
  <c r="B175" i="452"/>
  <c r="B227" i="452"/>
  <c r="B143" i="451"/>
  <c r="B186" i="449"/>
  <c r="B64" i="444"/>
  <c r="B103" i="444"/>
  <c r="B252" i="488"/>
  <c r="B609" i="488"/>
  <c r="B348" i="487"/>
  <c r="B565" i="487"/>
  <c r="B88" i="484"/>
  <c r="B455" i="484"/>
  <c r="B537" i="484"/>
  <c r="B492" i="480"/>
  <c r="B287" i="472"/>
  <c r="B418" i="472"/>
  <c r="B122" i="463"/>
  <c r="B185" i="463"/>
  <c r="B238" i="463"/>
  <c r="B301" i="463"/>
  <c r="B32" i="455"/>
  <c r="B95" i="455"/>
  <c r="B76" i="453"/>
  <c r="B193" i="453"/>
  <c r="B71" i="452"/>
  <c r="B122" i="452"/>
  <c r="B47" i="451"/>
  <c r="B60" i="449"/>
  <c r="B148" i="449"/>
  <c r="B187" i="449"/>
  <c r="B25" i="444"/>
  <c r="B151" i="444"/>
  <c r="B52" i="442"/>
  <c r="B96" i="442"/>
  <c r="B140" i="442"/>
  <c r="B254" i="488"/>
  <c r="B405" i="488"/>
  <c r="B22" i="487"/>
  <c r="B244" i="487"/>
  <c r="B461" i="487"/>
  <c r="B566" i="487"/>
  <c r="B91" i="484"/>
  <c r="B193" i="484"/>
  <c r="B276" i="484"/>
  <c r="B263" i="480"/>
  <c r="B11" i="472"/>
  <c r="B92" i="472"/>
  <c r="B166" i="472"/>
  <c r="B229" i="472"/>
  <c r="B361" i="472"/>
  <c r="B59" i="463"/>
  <c r="B123" i="463"/>
  <c r="B33" i="455"/>
  <c r="B97" i="455"/>
  <c r="B214" i="455"/>
  <c r="B180" i="452"/>
  <c r="B109" i="449"/>
  <c r="B67" i="444"/>
  <c r="B115" i="444"/>
  <c r="B17" i="442"/>
  <c r="B56" i="442"/>
  <c r="B97" i="442"/>
  <c r="B158" i="488"/>
  <c r="B276" i="488"/>
  <c r="B532" i="488"/>
  <c r="B30" i="487"/>
  <c r="B133" i="487"/>
  <c r="B245" i="487"/>
  <c r="B357" i="487"/>
  <c r="B201" i="484"/>
  <c r="B425" i="480"/>
  <c r="B96" i="472"/>
  <c r="B362" i="472"/>
  <c r="B69" i="463"/>
  <c r="B34" i="455"/>
  <c r="B102" i="455"/>
  <c r="B165" i="455"/>
  <c r="B216" i="455"/>
  <c r="B17" i="453"/>
  <c r="B83" i="453"/>
  <c r="B147" i="453"/>
  <c r="B200" i="453"/>
  <c r="B53" i="451"/>
  <c r="B95" i="451"/>
  <c r="B197" i="451"/>
  <c r="B66" i="449"/>
  <c r="B110" i="449"/>
  <c r="B60" i="442"/>
  <c r="B144" i="442"/>
  <c r="B37" i="488"/>
  <c r="B166" i="488"/>
  <c r="B413" i="488"/>
  <c r="B533" i="488"/>
  <c r="B572" i="487"/>
  <c r="B303" i="484"/>
  <c r="B473" i="484"/>
  <c r="B25" i="480"/>
  <c r="B188" i="480"/>
  <c r="B268" i="480"/>
  <c r="B430" i="480"/>
  <c r="B16" i="472"/>
  <c r="B97" i="472"/>
  <c r="B303" i="472"/>
  <c r="B14" i="463"/>
  <c r="B77" i="463"/>
  <c r="B256" i="463"/>
  <c r="B321" i="463"/>
  <c r="B103" i="455"/>
  <c r="B166" i="455"/>
  <c r="B148" i="453"/>
  <c r="B77" i="452"/>
  <c r="B238" i="452"/>
  <c r="B106" i="451"/>
  <c r="B154" i="451"/>
  <c r="B208" i="451"/>
  <c r="B27" i="449"/>
  <c r="B197" i="449"/>
  <c r="B20" i="442"/>
  <c r="B61" i="442"/>
  <c r="B105" i="442"/>
  <c r="B149" i="442"/>
  <c r="B172" i="488"/>
  <c r="B292" i="488"/>
  <c r="B414" i="488"/>
  <c r="B53" i="487"/>
  <c r="B492" i="487"/>
  <c r="B211" i="484"/>
  <c r="B389" i="484"/>
  <c r="B26" i="480"/>
  <c r="B269" i="480"/>
  <c r="B349" i="480"/>
  <c r="B444" i="480"/>
  <c r="B172" i="472"/>
  <c r="B309" i="472"/>
  <c r="B15" i="463"/>
  <c r="B78" i="463"/>
  <c r="B140" i="463"/>
  <c r="B193" i="463"/>
  <c r="B104" i="455"/>
  <c r="B32" i="453"/>
  <c r="B149" i="453"/>
  <c r="B199" i="452"/>
  <c r="B11" i="451"/>
  <c r="B155" i="451"/>
  <c r="B201" i="449"/>
  <c r="B34" i="444"/>
  <c r="B118" i="444"/>
  <c r="B21" i="442"/>
  <c r="B69" i="442"/>
  <c r="B44" i="488"/>
  <c r="B173" i="488"/>
  <c r="B62" i="487"/>
  <c r="B380" i="487"/>
  <c r="B493" i="487"/>
  <c r="B116" i="484"/>
  <c r="B215" i="480"/>
  <c r="B39" i="472"/>
  <c r="B115" i="472"/>
  <c r="B378" i="472"/>
  <c r="B203" i="463"/>
  <c r="B90" i="453"/>
  <c r="B37" i="452"/>
  <c r="B82" i="452"/>
  <c r="B141" i="452"/>
  <c r="B200" i="452"/>
  <c r="B213" i="451"/>
  <c r="B82" i="444"/>
  <c r="B152" i="442"/>
  <c r="B34" i="488"/>
  <c r="B90" i="488"/>
  <c r="B146" i="488"/>
  <c r="B202" i="488"/>
  <c r="B258" i="488"/>
  <c r="B314" i="488"/>
  <c r="B370" i="488"/>
  <c r="B426" i="488"/>
  <c r="B482" i="488"/>
  <c r="B538" i="488"/>
  <c r="B123" i="488"/>
  <c r="B138" i="488"/>
  <c r="B243" i="488"/>
  <c r="B259" i="488"/>
  <c r="B274" i="488"/>
  <c r="B379" i="488"/>
  <c r="B394" i="488"/>
  <c r="B515" i="488"/>
  <c r="B530" i="488"/>
  <c r="B602" i="488"/>
  <c r="B10" i="487"/>
  <c r="B66" i="487"/>
  <c r="B122" i="487"/>
  <c r="B178" i="487"/>
  <c r="B234" i="487"/>
  <c r="B290" i="487"/>
  <c r="B346" i="487"/>
  <c r="B402" i="487"/>
  <c r="B458" i="487"/>
  <c r="B514" i="487"/>
  <c r="B570" i="487"/>
  <c r="B330" i="488"/>
  <c r="B346" i="488"/>
  <c r="B362" i="488"/>
  <c r="B378" i="488"/>
  <c r="B91" i="488"/>
  <c r="B178" i="488"/>
  <c r="B195" i="488"/>
  <c r="B266" i="488"/>
  <c r="B283" i="488"/>
  <c r="B371" i="488"/>
  <c r="B35" i="487"/>
  <c r="B50" i="487"/>
  <c r="B171" i="487"/>
  <c r="B186" i="487"/>
  <c r="B307" i="487"/>
  <c r="B322" i="487"/>
  <c r="B427" i="487"/>
  <c r="B442" i="487"/>
  <c r="B563" i="487"/>
  <c r="B578" i="487"/>
  <c r="B29" i="484"/>
  <c r="B59" i="484"/>
  <c r="B105" i="484"/>
  <c r="B180" i="484"/>
  <c r="B208" i="484"/>
  <c r="B236" i="484"/>
  <c r="B264" i="484"/>
  <c r="B292" i="484"/>
  <c r="B320" i="484"/>
  <c r="B348" i="484"/>
  <c r="B376" i="484"/>
  <c r="B404" i="484"/>
  <c r="B432" i="484"/>
  <c r="B460" i="484"/>
  <c r="B488" i="484"/>
  <c r="B516" i="484"/>
  <c r="B37" i="480"/>
  <c r="B51" i="480"/>
  <c r="B191" i="480"/>
  <c r="B219" i="480"/>
  <c r="B233" i="480"/>
  <c r="B415" i="480"/>
  <c r="B429" i="480"/>
  <c r="B38" i="472"/>
  <c r="B66" i="472"/>
  <c r="B136" i="472"/>
  <c r="B164" i="472"/>
  <c r="B192" i="472"/>
  <c r="B262" i="472"/>
  <c r="B290" i="472"/>
  <c r="B360" i="472"/>
  <c r="B11" i="488"/>
  <c r="B98" i="488"/>
  <c r="B115" i="488"/>
  <c r="B186" i="488"/>
  <c r="B291" i="488"/>
  <c r="B395" i="488"/>
  <c r="B411" i="488"/>
  <c r="B587" i="488"/>
  <c r="B603" i="488"/>
  <c r="B27" i="487"/>
  <c r="B42" i="487"/>
  <c r="B147" i="487"/>
  <c r="B162" i="487"/>
  <c r="B283" i="487"/>
  <c r="B298" i="487"/>
  <c r="B419" i="487"/>
  <c r="B434" i="487"/>
  <c r="B539" i="487"/>
  <c r="B554" i="487"/>
  <c r="B21" i="484"/>
  <c r="B96" i="484"/>
  <c r="B141" i="484"/>
  <c r="B171" i="484"/>
  <c r="B29" i="480"/>
  <c r="B57" i="480"/>
  <c r="B71" i="480"/>
  <c r="B155" i="488"/>
  <c r="B194" i="488"/>
  <c r="B338" i="488"/>
  <c r="B435" i="488"/>
  <c r="B474" i="488"/>
  <c r="B531" i="488"/>
  <c r="B138" i="487"/>
  <c r="B155" i="487"/>
  <c r="B226" i="487"/>
  <c r="B243" i="487"/>
  <c r="B314" i="487"/>
  <c r="B331" i="487"/>
  <c r="B490" i="487"/>
  <c r="B507" i="487"/>
  <c r="B69" i="484"/>
  <c r="B86" i="484"/>
  <c r="B104" i="484"/>
  <c r="B273" i="484"/>
  <c r="B338" i="484"/>
  <c r="B469" i="484"/>
  <c r="B534" i="484"/>
  <c r="B64" i="480"/>
  <c r="B192" i="480"/>
  <c r="B267" i="480"/>
  <c r="B327" i="480"/>
  <c r="B388" i="480"/>
  <c r="B49" i="472"/>
  <c r="B95" i="472"/>
  <c r="B43" i="488"/>
  <c r="B66" i="488"/>
  <c r="B130" i="488"/>
  <c r="B154" i="488"/>
  <c r="B307" i="488"/>
  <c r="B434" i="488"/>
  <c r="B595" i="488"/>
  <c r="B123" i="487"/>
  <c r="B330" i="487"/>
  <c r="B387" i="487"/>
  <c r="B482" i="487"/>
  <c r="B538" i="487"/>
  <c r="B293" i="484"/>
  <c r="B310" i="484"/>
  <c r="B328" i="484"/>
  <c r="B433" i="484"/>
  <c r="B450" i="484"/>
  <c r="B468" i="484"/>
  <c r="B56" i="480"/>
  <c r="B91" i="480"/>
  <c r="B226" i="480"/>
  <c r="B307" i="480"/>
  <c r="B469" i="480"/>
  <c r="B61" i="472"/>
  <c r="B77" i="472"/>
  <c r="B141" i="472"/>
  <c r="B216" i="472"/>
  <c r="B261" i="472"/>
  <c r="B307" i="472"/>
  <c r="B337" i="472"/>
  <c r="B20" i="463"/>
  <c r="B48" i="463"/>
  <c r="B118" i="463"/>
  <c r="B146" i="463"/>
  <c r="B174" i="463"/>
  <c r="B244" i="463"/>
  <c r="B272" i="463"/>
  <c r="B300" i="463"/>
  <c r="B54" i="453"/>
  <c r="B68" i="453"/>
  <c r="B166" i="453"/>
  <c r="B236" i="453"/>
  <c r="B62" i="452"/>
  <c r="B132" i="452"/>
  <c r="B146" i="452"/>
  <c r="B9" i="451"/>
  <c r="B51" i="451"/>
  <c r="B93" i="451"/>
  <c r="B135" i="451"/>
  <c r="B177" i="451"/>
  <c r="B51" i="488"/>
  <c r="B74" i="488"/>
  <c r="B162" i="488"/>
  <c r="B226" i="488"/>
  <c r="B250" i="488"/>
  <c r="B315" i="488"/>
  <c r="B402" i="488"/>
  <c r="B443" i="488"/>
  <c r="B483" i="488"/>
  <c r="B523" i="488"/>
  <c r="B34" i="487"/>
  <c r="B91" i="487"/>
  <c r="B242" i="487"/>
  <c r="B338" i="487"/>
  <c r="B394" i="487"/>
  <c r="B451" i="487"/>
  <c r="B75" i="488"/>
  <c r="B203" i="488"/>
  <c r="B227" i="488"/>
  <c r="B331" i="488"/>
  <c r="B355" i="488"/>
  <c r="B451" i="488"/>
  <c r="B571" i="488"/>
  <c r="B98" i="487"/>
  <c r="B187" i="487"/>
  <c r="B210" i="487"/>
  <c r="B274" i="487"/>
  <c r="B363" i="487"/>
  <c r="B475" i="487"/>
  <c r="B22" i="484"/>
  <c r="B41" i="484"/>
  <c r="B143" i="484"/>
  <c r="B506" i="484"/>
  <c r="B525" i="484"/>
  <c r="B84" i="480"/>
  <c r="B246" i="480"/>
  <c r="B299" i="480"/>
  <c r="B334" i="480"/>
  <c r="B368" i="480"/>
  <c r="B422" i="480"/>
  <c r="B456" i="480"/>
  <c r="B20" i="472"/>
  <c r="B37" i="472"/>
  <c r="B55" i="472"/>
  <c r="B72" i="472"/>
  <c r="B89" i="472"/>
  <c r="B106" i="472"/>
  <c r="B124" i="472"/>
  <c r="B205" i="472"/>
  <c r="B222" i="472"/>
  <c r="B238" i="472"/>
  <c r="B302" i="472"/>
  <c r="B319" i="472"/>
  <c r="B383" i="472"/>
  <c r="B11" i="463"/>
  <c r="B56" i="463"/>
  <c r="B101" i="463"/>
  <c r="B147" i="463"/>
  <c r="B192" i="463"/>
  <c r="B237" i="463"/>
  <c r="B282" i="463"/>
  <c r="B327" i="463"/>
  <c r="B24" i="455"/>
  <c r="B129" i="455"/>
  <c r="B220" i="455"/>
  <c r="B93" i="453"/>
  <c r="B184" i="453"/>
  <c r="B15" i="452"/>
  <c r="B75" i="452"/>
  <c r="B106" i="452"/>
  <c r="B166" i="452"/>
  <c r="B211" i="452"/>
  <c r="B21" i="451"/>
  <c r="B217" i="451"/>
  <c r="B63" i="449"/>
  <c r="B91" i="449"/>
  <c r="B119" i="449"/>
  <c r="B9" i="444"/>
  <c r="B51" i="444"/>
  <c r="B93" i="444"/>
  <c r="B135" i="444"/>
  <c r="B177" i="444"/>
  <c r="B26" i="488"/>
  <c r="B282" i="488"/>
  <c r="B386" i="488"/>
  <c r="B458" i="488"/>
  <c r="B58" i="487"/>
  <c r="B323" i="487"/>
  <c r="B410" i="487"/>
  <c r="B498" i="487"/>
  <c r="B562" i="487"/>
  <c r="B106" i="484"/>
  <c r="B125" i="484"/>
  <c r="B225" i="484"/>
  <c r="B244" i="484"/>
  <c r="B281" i="484"/>
  <c r="B300" i="484"/>
  <c r="B337" i="484"/>
  <c r="B357" i="484"/>
  <c r="B394" i="484"/>
  <c r="B413" i="484"/>
  <c r="B451" i="484"/>
  <c r="B30" i="480"/>
  <c r="B105" i="480"/>
  <c r="B353" i="480"/>
  <c r="B407" i="480"/>
  <c r="B476" i="480"/>
  <c r="B159" i="472"/>
  <c r="B175" i="472"/>
  <c r="B256" i="472"/>
  <c r="B354" i="472"/>
  <c r="B400" i="472"/>
  <c r="B28" i="463"/>
  <c r="B73" i="463"/>
  <c r="B119" i="463"/>
  <c r="B164" i="463"/>
  <c r="B209" i="463"/>
  <c r="B254" i="463"/>
  <c r="B299" i="463"/>
  <c r="B101" i="455"/>
  <c r="B192" i="455"/>
  <c r="B80" i="453"/>
  <c r="B171" i="453"/>
  <c r="B231" i="453"/>
  <c r="B93" i="452"/>
  <c r="B153" i="452"/>
  <c r="B198" i="452"/>
  <c r="B8" i="451"/>
  <c r="B39" i="451"/>
  <c r="B69" i="451"/>
  <c r="B99" i="451"/>
  <c r="B129" i="451"/>
  <c r="B159" i="451"/>
  <c r="B189" i="451"/>
  <c r="B9" i="449"/>
  <c r="B27" i="488"/>
  <c r="B234" i="488"/>
  <c r="B363" i="488"/>
  <c r="B387" i="488"/>
  <c r="B410" i="488"/>
  <c r="B459" i="488"/>
  <c r="B506" i="488"/>
  <c r="B554" i="488"/>
  <c r="B59" i="487"/>
  <c r="B146" i="487"/>
  <c r="B235" i="487"/>
  <c r="B411" i="487"/>
  <c r="B435" i="487"/>
  <c r="B499" i="487"/>
  <c r="B522" i="487"/>
  <c r="B85" i="484"/>
  <c r="B188" i="484"/>
  <c r="B226" i="484"/>
  <c r="B245" i="484"/>
  <c r="B282" i="484"/>
  <c r="B301" i="484"/>
  <c r="B67" i="488"/>
  <c r="B99" i="488"/>
  <c r="B450" i="488"/>
  <c r="B514" i="488"/>
  <c r="B51" i="487"/>
  <c r="B82" i="487"/>
  <c r="B163" i="487"/>
  <c r="B195" i="487"/>
  <c r="B275" i="487"/>
  <c r="B306" i="487"/>
  <c r="B418" i="487"/>
  <c r="B474" i="487"/>
  <c r="B530" i="487"/>
  <c r="B133" i="484"/>
  <c r="B254" i="484"/>
  <c r="B329" i="484"/>
  <c r="B395" i="484"/>
  <c r="B440" i="484"/>
  <c r="B461" i="484"/>
  <c r="B505" i="484"/>
  <c r="B125" i="480"/>
  <c r="B26" i="472"/>
  <c r="B67" i="472"/>
  <c r="B146" i="472"/>
  <c r="B221" i="472"/>
  <c r="B279" i="472"/>
  <c r="B297" i="472"/>
  <c r="B201" i="463"/>
  <c r="B219" i="463"/>
  <c r="B236" i="463"/>
  <c r="B255" i="463"/>
  <c r="B273" i="463"/>
  <c r="B290" i="463"/>
  <c r="B307" i="463"/>
  <c r="B150" i="455"/>
  <c r="B255" i="455"/>
  <c r="B10" i="453"/>
  <c r="B28" i="453"/>
  <c r="B62" i="453"/>
  <c r="B81" i="453"/>
  <c r="B133" i="453"/>
  <c r="B29" i="452"/>
  <c r="B49" i="452"/>
  <c r="B171" i="452"/>
  <c r="B223" i="452"/>
  <c r="B111" i="451"/>
  <c r="B147" i="451"/>
  <c r="B165" i="451"/>
  <c r="B182" i="451"/>
  <c r="B41" i="449"/>
  <c r="B86" i="449"/>
  <c r="B146" i="449"/>
  <c r="B162" i="449"/>
  <c r="B150" i="444"/>
  <c r="B165" i="444"/>
  <c r="B180" i="444"/>
  <c r="B106" i="488"/>
  <c r="B139" i="488"/>
  <c r="B170" i="488"/>
  <c r="B299" i="488"/>
  <c r="B427" i="488"/>
  <c r="B547" i="488"/>
  <c r="B579" i="488"/>
  <c r="B26" i="487"/>
  <c r="B139" i="487"/>
  <c r="B170" i="487"/>
  <c r="B251" i="487"/>
  <c r="B395" i="487"/>
  <c r="B506" i="487"/>
  <c r="B31" i="484"/>
  <c r="B57" i="484"/>
  <c r="B161" i="484"/>
  <c r="B189" i="484"/>
  <c r="B377" i="484"/>
  <c r="B421" i="484"/>
  <c r="B442" i="484"/>
  <c r="B83" i="480"/>
  <c r="B253" i="480"/>
  <c r="B272" i="480"/>
  <c r="B354" i="480"/>
  <c r="B395" i="480"/>
  <c r="B435" i="480"/>
  <c r="B8" i="472"/>
  <c r="B112" i="472"/>
  <c r="B130" i="472"/>
  <c r="B204" i="472"/>
  <c r="B10" i="463"/>
  <c r="B29" i="463"/>
  <c r="B46" i="463"/>
  <c r="B64" i="463"/>
  <c r="B309" i="463"/>
  <c r="B326" i="463"/>
  <c r="B101" i="453"/>
  <c r="B153" i="453"/>
  <c r="B172" i="453"/>
  <c r="B224" i="453"/>
  <c r="B241" i="453"/>
  <c r="B68" i="452"/>
  <c r="B120" i="452"/>
  <c r="B27" i="451"/>
  <c r="B44" i="451"/>
  <c r="B201" i="451"/>
  <c r="B58" i="449"/>
  <c r="B118" i="449"/>
  <c r="B179" i="449"/>
  <c r="B10" i="488"/>
  <c r="B107" i="488"/>
  <c r="B171" i="488"/>
  <c r="B339" i="488"/>
  <c r="B490" i="488"/>
  <c r="B114" i="487"/>
  <c r="B227" i="487"/>
  <c r="B339" i="487"/>
  <c r="B370" i="487"/>
  <c r="B450" i="487"/>
  <c r="B58" i="484"/>
  <c r="B87" i="484"/>
  <c r="B113" i="484"/>
  <c r="B162" i="484"/>
  <c r="B190" i="484"/>
  <c r="B309" i="484"/>
  <c r="B356" i="484"/>
  <c r="B422" i="484"/>
  <c r="B489" i="484"/>
  <c r="B152" i="480"/>
  <c r="B213" i="480"/>
  <c r="B273" i="480"/>
  <c r="B294" i="480"/>
  <c r="B314" i="480"/>
  <c r="B9" i="472"/>
  <c r="B90" i="472"/>
  <c r="B113" i="472"/>
  <c r="B187" i="472"/>
  <c r="B244" i="472"/>
  <c r="B320" i="472"/>
  <c r="B376" i="472"/>
  <c r="B411" i="472"/>
  <c r="B12" i="463"/>
  <c r="B30" i="463"/>
  <c r="B47" i="463"/>
  <c r="B65" i="463"/>
  <c r="B82" i="463"/>
  <c r="B136" i="463"/>
  <c r="B136" i="455"/>
  <c r="B206" i="455"/>
  <c r="B241" i="455"/>
  <c r="B49" i="453"/>
  <c r="B67" i="453"/>
  <c r="B119" i="453"/>
  <c r="B179" i="488"/>
  <c r="B219" i="488"/>
  <c r="B499" i="488"/>
  <c r="B539" i="488"/>
  <c r="B578" i="488"/>
  <c r="B43" i="487"/>
  <c r="B75" i="487"/>
  <c r="B115" i="487"/>
  <c r="B219" i="487"/>
  <c r="B259" i="487"/>
  <c r="B291" i="487"/>
  <c r="B362" i="487"/>
  <c r="B160" i="484"/>
  <c r="B118" i="480"/>
  <c r="B381" i="480"/>
  <c r="B408" i="480"/>
  <c r="B461" i="480"/>
  <c r="B21" i="472"/>
  <c r="B100" i="472"/>
  <c r="B123" i="472"/>
  <c r="B343" i="472"/>
  <c r="B365" i="472"/>
  <c r="B388" i="472"/>
  <c r="B412" i="472"/>
  <c r="B38" i="463"/>
  <c r="B84" i="463"/>
  <c r="B127" i="463"/>
  <c r="B173" i="463"/>
  <c r="B217" i="463"/>
  <c r="B263" i="463"/>
  <c r="B87" i="455"/>
  <c r="B108" i="455"/>
  <c r="B114" i="453"/>
  <c r="B107" i="452"/>
  <c r="B127" i="452"/>
  <c r="B231" i="452"/>
  <c r="B15" i="451"/>
  <c r="B56" i="451"/>
  <c r="B75" i="451"/>
  <c r="B98" i="451"/>
  <c r="B158" i="451"/>
  <c r="B85" i="449"/>
  <c r="B173" i="449"/>
  <c r="B36" i="444"/>
  <c r="B54" i="444"/>
  <c r="B108" i="444"/>
  <c r="B159" i="444"/>
  <c r="B58" i="488"/>
  <c r="B306" i="488"/>
  <c r="B347" i="488"/>
  <c r="B466" i="488"/>
  <c r="B371" i="487"/>
  <c r="B403" i="487"/>
  <c r="B546" i="487"/>
  <c r="B30" i="484"/>
  <c r="B97" i="484"/>
  <c r="B227" i="484"/>
  <c r="B253" i="484"/>
  <c r="B405" i="484"/>
  <c r="B434" i="480"/>
  <c r="B462" i="480"/>
  <c r="B101" i="472"/>
  <c r="B152" i="472"/>
  <c r="B176" i="472"/>
  <c r="B198" i="472"/>
  <c r="B366" i="472"/>
  <c r="B389" i="472"/>
  <c r="B39" i="463"/>
  <c r="B128" i="463"/>
  <c r="B154" i="463"/>
  <c r="B218" i="463"/>
  <c r="B264" i="463"/>
  <c r="B308" i="463"/>
  <c r="B66" i="455"/>
  <c r="B178" i="455"/>
  <c r="B140" i="453"/>
  <c r="B205" i="453"/>
  <c r="B67" i="452"/>
  <c r="B210" i="452"/>
  <c r="B57" i="451"/>
  <c r="B200" i="451"/>
  <c r="B223" i="451"/>
  <c r="B52" i="449"/>
  <c r="B69" i="449"/>
  <c r="B140" i="449"/>
  <c r="B157" i="449"/>
  <c r="B174" i="449"/>
  <c r="B72" i="444"/>
  <c r="B90" i="444"/>
  <c r="B126" i="444"/>
  <c r="B59" i="488"/>
  <c r="B187" i="488"/>
  <c r="B267" i="488"/>
  <c r="B467" i="488"/>
  <c r="B507" i="488"/>
  <c r="B11" i="487"/>
  <c r="B83" i="487"/>
  <c r="B154" i="487"/>
  <c r="B547" i="487"/>
  <c r="B68" i="484"/>
  <c r="B132" i="484"/>
  <c r="B169" i="484"/>
  <c r="B197" i="484"/>
  <c r="B255" i="484"/>
  <c r="B321" i="484"/>
  <c r="B517" i="484"/>
  <c r="B10" i="480"/>
  <c r="B179" i="480"/>
  <c r="B280" i="480"/>
  <c r="B361" i="480"/>
  <c r="B488" i="480"/>
  <c r="B78" i="472"/>
  <c r="B129" i="472"/>
  <c r="B153" i="472"/>
  <c r="B199" i="472"/>
  <c r="B227" i="472"/>
  <c r="B250" i="472"/>
  <c r="B273" i="472"/>
  <c r="B296" i="472"/>
  <c r="B19" i="463"/>
  <c r="B66" i="463"/>
  <c r="B109" i="463"/>
  <c r="B129" i="463"/>
  <c r="B155" i="463"/>
  <c r="B245" i="463"/>
  <c r="B334" i="463"/>
  <c r="B199" i="455"/>
  <c r="B94" i="453"/>
  <c r="B88" i="452"/>
  <c r="B192" i="452"/>
  <c r="B38" i="451"/>
  <c r="B80" i="451"/>
  <c r="B140" i="451"/>
  <c r="B224" i="451"/>
  <c r="B36" i="449"/>
  <c r="B53" i="449"/>
  <c r="B107" i="449"/>
  <c r="B124" i="449"/>
  <c r="B141" i="449"/>
  <c r="B195" i="449"/>
  <c r="B21" i="444"/>
  <c r="B39" i="444"/>
  <c r="B144" i="444"/>
  <c r="B18" i="488"/>
  <c r="B546" i="488"/>
  <c r="B586" i="488"/>
  <c r="B194" i="487"/>
  <c r="B266" i="487"/>
  <c r="B299" i="487"/>
  <c r="B483" i="487"/>
  <c r="B515" i="487"/>
  <c r="B579" i="487"/>
  <c r="B134" i="484"/>
  <c r="B170" i="484"/>
  <c r="B198" i="484"/>
  <c r="B265" i="484"/>
  <c r="B349" i="484"/>
  <c r="B489" i="480"/>
  <c r="B54" i="472"/>
  <c r="B228" i="472"/>
  <c r="B251" i="472"/>
  <c r="B274" i="472"/>
  <c r="B325" i="472"/>
  <c r="B371" i="472"/>
  <c r="B394" i="472"/>
  <c r="B417" i="472"/>
  <c r="B21" i="463"/>
  <c r="B110" i="463"/>
  <c r="B156" i="463"/>
  <c r="B199" i="463"/>
  <c r="B246" i="463"/>
  <c r="B289" i="463"/>
  <c r="B335" i="463"/>
  <c r="B45" i="455"/>
  <c r="B157" i="455"/>
  <c r="B29" i="453"/>
  <c r="B120" i="453"/>
  <c r="B185" i="453"/>
  <c r="B210" i="453"/>
  <c r="B172" i="452"/>
  <c r="B81" i="451"/>
  <c r="B122" i="451"/>
  <c r="B141" i="451"/>
  <c r="B183" i="451"/>
  <c r="B206" i="451"/>
  <c r="B108" i="449"/>
  <c r="B196" i="449"/>
  <c r="B57" i="444"/>
  <c r="B75" i="444"/>
  <c r="B111" i="444"/>
  <c r="B162" i="444"/>
  <c r="B19" i="488"/>
  <c r="B147" i="488"/>
  <c r="B275" i="488"/>
  <c r="B555" i="488"/>
  <c r="B18" i="487"/>
  <c r="B90" i="487"/>
  <c r="B267" i="487"/>
  <c r="B443" i="487"/>
  <c r="B199" i="484"/>
  <c r="B44" i="480"/>
  <c r="B98" i="480"/>
  <c r="B442" i="480"/>
  <c r="B31" i="472"/>
  <c r="B114" i="488"/>
  <c r="B403" i="488"/>
  <c r="B442" i="488"/>
  <c r="B475" i="488"/>
  <c r="B130" i="487"/>
  <c r="B202" i="487"/>
  <c r="B347" i="487"/>
  <c r="B379" i="487"/>
  <c r="B523" i="487"/>
  <c r="B76" i="484"/>
  <c r="B142" i="484"/>
  <c r="B237" i="484"/>
  <c r="B385" i="484"/>
  <c r="B412" i="484"/>
  <c r="B441" i="484"/>
  <c r="B497" i="484"/>
  <c r="B524" i="484"/>
  <c r="B287" i="480"/>
  <c r="B341" i="480"/>
  <c r="B84" i="472"/>
  <c r="B135" i="472"/>
  <c r="B182" i="472"/>
  <c r="B210" i="472"/>
  <c r="B377" i="472"/>
  <c r="B399" i="472"/>
  <c r="B93" i="463"/>
  <c r="B182" i="463"/>
  <c r="B228" i="463"/>
  <c r="B271" i="463"/>
  <c r="B318" i="463"/>
  <c r="B73" i="455"/>
  <c r="B94" i="455"/>
  <c r="B36" i="453"/>
  <c r="B146" i="453"/>
  <c r="B192" i="453"/>
  <c r="B54" i="452"/>
  <c r="B114" i="452"/>
  <c r="B197" i="452"/>
  <c r="B218" i="452"/>
  <c r="B237" i="452"/>
  <c r="B45" i="451"/>
  <c r="B86" i="451"/>
  <c r="B105" i="451"/>
  <c r="B146" i="451"/>
  <c r="B188" i="451"/>
  <c r="B114" i="444"/>
  <c r="B168" i="444"/>
  <c r="B50" i="488"/>
  <c r="B203" i="487"/>
  <c r="B258" i="487"/>
  <c r="B459" i="487"/>
  <c r="B49" i="484"/>
  <c r="B114" i="484"/>
  <c r="B217" i="484"/>
  <c r="B272" i="484"/>
  <c r="B330" i="484"/>
  <c r="B526" i="484"/>
  <c r="B137" i="480"/>
  <c r="B321" i="480"/>
  <c r="B14" i="472"/>
  <c r="B60" i="472"/>
  <c r="B331" i="472"/>
  <c r="B55" i="463"/>
  <c r="B163" i="463"/>
  <c r="B248" i="455"/>
  <c r="B88" i="453"/>
  <c r="B127" i="453"/>
  <c r="B158" i="453"/>
  <c r="B80" i="452"/>
  <c r="B205" i="452"/>
  <c r="B33" i="451"/>
  <c r="B195" i="451"/>
  <c r="B31" i="449"/>
  <c r="B15" i="444"/>
  <c r="B45" i="444"/>
  <c r="B69" i="444"/>
  <c r="B99" i="444"/>
  <c r="B183" i="444"/>
  <c r="B210" i="488"/>
  <c r="B354" i="488"/>
  <c r="B418" i="488"/>
  <c r="B491" i="488"/>
  <c r="B562" i="488"/>
  <c r="B19" i="487"/>
  <c r="B386" i="487"/>
  <c r="B571" i="487"/>
  <c r="B50" i="484"/>
  <c r="B115" i="484"/>
  <c r="B218" i="484"/>
  <c r="B274" i="484"/>
  <c r="B384" i="484"/>
  <c r="B477" i="484"/>
  <c r="B138" i="480"/>
  <c r="B186" i="480"/>
  <c r="B15" i="472"/>
  <c r="B107" i="472"/>
  <c r="B405" i="472"/>
  <c r="B57" i="463"/>
  <c r="B165" i="463"/>
  <c r="B200" i="463"/>
  <c r="B143" i="455"/>
  <c r="B213" i="455"/>
  <c r="B159" i="453"/>
  <c r="B81" i="452"/>
  <c r="B179" i="452"/>
  <c r="B104" i="451"/>
  <c r="B134" i="451"/>
  <c r="B129" i="444"/>
  <c r="B82" i="488"/>
  <c r="B290" i="488"/>
  <c r="B211" i="487"/>
  <c r="B339" i="484"/>
  <c r="B479" i="484"/>
  <c r="B535" i="484"/>
  <c r="B240" i="480"/>
  <c r="B375" i="480"/>
  <c r="B193" i="472"/>
  <c r="B308" i="472"/>
  <c r="B100" i="463"/>
  <c r="B138" i="463"/>
  <c r="B208" i="463"/>
  <c r="B235" i="463"/>
  <c r="B10" i="455"/>
  <c r="B115" i="455"/>
  <c r="B185" i="455"/>
  <c r="B23" i="453"/>
  <c r="B198" i="453"/>
  <c r="B119" i="452"/>
  <c r="B171" i="451"/>
  <c r="B207" i="451"/>
  <c r="B8" i="449"/>
  <c r="B24" i="444"/>
  <c r="B78" i="444"/>
  <c r="B102" i="444"/>
  <c r="B132" i="444"/>
  <c r="B235" i="488"/>
  <c r="B466" i="487"/>
  <c r="B531" i="487"/>
  <c r="B13" i="484"/>
  <c r="B181" i="484"/>
  <c r="B496" i="484"/>
  <c r="B110" i="480"/>
  <c r="B32" i="472"/>
  <c r="B118" i="472"/>
  <c r="B268" i="472"/>
  <c r="B348" i="472"/>
  <c r="B382" i="472"/>
  <c r="B172" i="463"/>
  <c r="B317" i="463"/>
  <c r="B52" i="455"/>
  <c r="B122" i="455"/>
  <c r="B227" i="455"/>
  <c r="B132" i="453"/>
  <c r="B28" i="452"/>
  <c r="B94" i="452"/>
  <c r="B158" i="452"/>
  <c r="B185" i="452"/>
  <c r="B163" i="488"/>
  <c r="B242" i="488"/>
  <c r="B298" i="488"/>
  <c r="B570" i="488"/>
  <c r="B99" i="487"/>
  <c r="B218" i="487"/>
  <c r="B467" i="487"/>
  <c r="B77" i="484"/>
  <c r="B124" i="484"/>
  <c r="B246" i="484"/>
  <c r="B393" i="484"/>
  <c r="B498" i="484"/>
  <c r="B111" i="480"/>
  <c r="B159" i="480"/>
  <c r="B199" i="480"/>
  <c r="B380" i="480"/>
  <c r="B74" i="463"/>
  <c r="B280" i="463"/>
  <c r="B211" i="453"/>
  <c r="B242" i="453"/>
  <c r="B159" i="452"/>
  <c r="B176" i="451"/>
  <c r="B14" i="449"/>
  <c r="B74" i="449"/>
  <c r="B138" i="444"/>
  <c r="B522" i="488"/>
  <c r="B354" i="487"/>
  <c r="B78" i="484"/>
  <c r="B302" i="484"/>
  <c r="B358" i="484"/>
  <c r="B449" i="484"/>
  <c r="B17" i="480"/>
  <c r="B164" i="480"/>
  <c r="B206" i="480"/>
  <c r="B245" i="480"/>
  <c r="B83" i="472"/>
  <c r="B353" i="472"/>
  <c r="B37" i="463"/>
  <c r="B75" i="463"/>
  <c r="B111" i="463"/>
  <c r="B181" i="463"/>
  <c r="B281" i="463"/>
  <c r="B17" i="455"/>
  <c r="B262" i="455"/>
  <c r="B106" i="453"/>
  <c r="B36" i="452"/>
  <c r="B20" i="451"/>
  <c r="B50" i="451"/>
  <c r="B87" i="451"/>
  <c r="B116" i="451"/>
  <c r="B212" i="451"/>
  <c r="B19" i="449"/>
  <c r="B75" i="449"/>
  <c r="B129" i="449"/>
  <c r="B184" i="449"/>
  <c r="B30" i="444"/>
  <c r="B84" i="444"/>
  <c r="B323" i="488"/>
  <c r="B282" i="487"/>
  <c r="B216" i="484"/>
  <c r="B132" i="480"/>
  <c r="B181" i="472"/>
  <c r="B314" i="472"/>
  <c r="B83" i="463"/>
  <c r="B145" i="463"/>
  <c r="B210" i="463"/>
  <c r="B262" i="463"/>
  <c r="B325" i="463"/>
  <c r="B41" i="453"/>
  <c r="B14" i="451"/>
  <c r="B117" i="451"/>
  <c r="B164" i="451"/>
  <c r="B80" i="449"/>
  <c r="B123" i="444"/>
  <c r="B171" i="444"/>
  <c r="B563" i="488"/>
  <c r="B67" i="487"/>
  <c r="B179" i="487"/>
  <c r="B414" i="484"/>
  <c r="B449" i="480"/>
  <c r="B91" i="463"/>
  <c r="B59" i="455"/>
  <c r="B42" i="453"/>
  <c r="B107" i="453"/>
  <c r="B145" i="452"/>
  <c r="B26" i="451"/>
  <c r="B68" i="451"/>
  <c r="B123" i="451"/>
  <c r="B170" i="451"/>
  <c r="B42" i="449"/>
  <c r="B6" i="444"/>
  <c r="B42" i="444"/>
  <c r="B83" i="488"/>
  <c r="B40" i="484"/>
  <c r="B218" i="480"/>
  <c r="B300" i="480"/>
  <c r="B43" i="472"/>
  <c r="B92" i="463"/>
  <c r="B336" i="463"/>
  <c r="B223" i="453"/>
  <c r="B218" i="451"/>
  <c r="B130" i="449"/>
  <c r="B168" i="449"/>
  <c r="B48" i="444"/>
  <c r="B87" i="444"/>
  <c r="B211" i="488"/>
  <c r="B74" i="487"/>
  <c r="B507" i="484"/>
  <c r="B44" i="472"/>
  <c r="B226" i="463"/>
  <c r="B41" i="452"/>
  <c r="B101" i="452"/>
  <c r="B74" i="451"/>
  <c r="B47" i="449"/>
  <c r="B174" i="444"/>
  <c r="B218" i="488"/>
  <c r="B594" i="488"/>
  <c r="B315" i="487"/>
  <c r="B426" i="487"/>
  <c r="B48" i="484"/>
  <c r="B152" i="484"/>
  <c r="B423" i="484"/>
  <c r="B145" i="480"/>
  <c r="B267" i="472"/>
  <c r="B330" i="472"/>
  <c r="B102" i="463"/>
  <c r="B227" i="463"/>
  <c r="B291" i="463"/>
  <c r="B55" i="453"/>
  <c r="B42" i="452"/>
  <c r="B128" i="451"/>
  <c r="B135" i="449"/>
  <c r="B96" i="444"/>
  <c r="B106" i="487"/>
  <c r="B153" i="484"/>
  <c r="B165" i="480"/>
  <c r="B336" i="472"/>
  <c r="B179" i="453"/>
  <c r="B55" i="452"/>
  <c r="B96" i="449"/>
  <c r="B12" i="444"/>
  <c r="B60" i="444"/>
  <c r="B141" i="444"/>
  <c r="B107" i="487"/>
  <c r="B284" i="472"/>
  <c r="B342" i="472"/>
  <c r="B120" i="463"/>
  <c r="B80" i="455"/>
  <c r="B224" i="452"/>
  <c r="B32" i="451"/>
  <c r="B97" i="449"/>
  <c r="B185" i="449"/>
  <c r="B63" i="444"/>
  <c r="B251" i="488"/>
  <c r="B555" i="487"/>
  <c r="B533" i="484"/>
  <c r="B78" i="480"/>
  <c r="B483" i="480"/>
  <c r="B147" i="472"/>
  <c r="B285" i="472"/>
  <c r="B406" i="472"/>
  <c r="B183" i="463"/>
  <c r="B298" i="463"/>
  <c r="B31" i="455"/>
  <c r="B75" i="453"/>
  <c r="B18" i="444"/>
  <c r="B147" i="444"/>
  <c r="B122" i="488"/>
  <c r="B498" i="488"/>
  <c r="B365" i="484"/>
  <c r="B260" i="480"/>
  <c r="B326" i="480"/>
  <c r="B402" i="480"/>
  <c r="B158" i="472"/>
  <c r="B215" i="472"/>
  <c r="B359" i="472"/>
  <c r="B15" i="453"/>
  <c r="B10" i="452"/>
  <c r="B20" i="449"/>
  <c r="B102" i="449"/>
  <c r="B66" i="444"/>
  <c r="B105" i="444"/>
  <c r="B131" i="488"/>
  <c r="B131" i="487"/>
  <c r="B355" i="487"/>
  <c r="B366" i="484"/>
  <c r="B172" i="480"/>
  <c r="B164" i="455"/>
  <c r="B16" i="453"/>
  <c r="B145" i="453"/>
  <c r="B197" i="453"/>
  <c r="B92" i="451"/>
  <c r="B152" i="451"/>
  <c r="B194" i="451"/>
  <c r="B64" i="449"/>
  <c r="B151" i="449"/>
  <c r="B27" i="444"/>
  <c r="B153" i="444"/>
  <c r="B35" i="488"/>
  <c r="B283" i="484"/>
  <c r="B367" i="484"/>
  <c r="B470" i="484"/>
  <c r="B24" i="480"/>
  <c r="B169" i="472"/>
  <c r="B233" i="472"/>
  <c r="B291" i="472"/>
  <c r="B190" i="463"/>
  <c r="B253" i="463"/>
  <c r="B316" i="463"/>
  <c r="B16" i="452"/>
  <c r="B133" i="452"/>
  <c r="B184" i="452"/>
  <c r="B236" i="452"/>
  <c r="B153" i="451"/>
  <c r="B25" i="449"/>
  <c r="B152" i="449"/>
  <c r="B190" i="449"/>
  <c r="B156" i="444"/>
  <c r="B491" i="487"/>
  <c r="B209" i="484"/>
  <c r="B386" i="484"/>
  <c r="B348" i="480"/>
  <c r="B170" i="472"/>
  <c r="B239" i="472"/>
  <c r="B137" i="463"/>
  <c r="B191" i="463"/>
  <c r="B38" i="455"/>
  <c r="B33" i="444"/>
  <c r="B117" i="444"/>
  <c r="B42" i="488"/>
  <c r="B250" i="487"/>
  <c r="B378" i="487"/>
  <c r="B12" i="484"/>
  <c r="B23" i="452"/>
  <c r="B140" i="452"/>
  <c r="B62" i="451"/>
  <c r="B113" i="449"/>
  <c r="B81" i="444"/>
  <c r="B322" i="488"/>
  <c r="B419" i="488"/>
  <c r="B20" i="484"/>
  <c r="B311" i="484"/>
  <c r="B478" i="484"/>
  <c r="B245" i="472"/>
  <c r="B313" i="472"/>
  <c r="B171" i="455"/>
  <c r="B234" i="455"/>
  <c r="B218" i="453"/>
  <c r="B63" i="451"/>
  <c r="B110" i="451"/>
  <c r="B30" i="449"/>
  <c r="B163" i="449"/>
  <c r="B120" i="444"/>
  <c r="B48" i="488"/>
  <c r="B104" i="488"/>
  <c r="B160" i="488"/>
  <c r="B216" i="488"/>
  <c r="B272" i="488"/>
  <c r="B328" i="488"/>
  <c r="B384" i="488"/>
  <c r="B440" i="488"/>
  <c r="B496" i="488"/>
  <c r="B552" i="488"/>
  <c r="B17" i="488"/>
  <c r="B32" i="488"/>
  <c r="B47" i="488"/>
  <c r="B63" i="488"/>
  <c r="B153" i="488"/>
  <c r="B168" i="488"/>
  <c r="B183" i="488"/>
  <c r="B289" i="488"/>
  <c r="B304" i="488"/>
  <c r="B319" i="488"/>
  <c r="B409" i="488"/>
  <c r="B424" i="488"/>
  <c r="B439" i="488"/>
  <c r="B455" i="488"/>
  <c r="B545" i="488"/>
  <c r="B560" i="488"/>
  <c r="B24" i="487"/>
  <c r="B80" i="487"/>
  <c r="B136" i="487"/>
  <c r="B192" i="487"/>
  <c r="B248" i="487"/>
  <c r="B304" i="487"/>
  <c r="B360" i="487"/>
  <c r="B416" i="487"/>
  <c r="B472" i="487"/>
  <c r="B528" i="487"/>
  <c r="B19" i="484"/>
  <c r="B47" i="484"/>
  <c r="B75" i="484"/>
  <c r="B103" i="484"/>
  <c r="B131" i="484"/>
  <c r="B159" i="484"/>
  <c r="B119" i="488"/>
  <c r="B135" i="488"/>
  <c r="B151" i="488"/>
  <c r="B167" i="488"/>
  <c r="B184" i="488"/>
  <c r="B200" i="488"/>
  <c r="B217" i="488"/>
  <c r="B233" i="488"/>
  <c r="B249" i="488"/>
  <c r="B265" i="488"/>
  <c r="B281" i="488"/>
  <c r="B297" i="488"/>
  <c r="B313" i="488"/>
  <c r="B39" i="488"/>
  <c r="B56" i="488"/>
  <c r="B73" i="488"/>
  <c r="B143" i="488"/>
  <c r="B161" i="488"/>
  <c r="B231" i="488"/>
  <c r="B248" i="488"/>
  <c r="B336" i="488"/>
  <c r="B353" i="488"/>
  <c r="B65" i="487"/>
  <c r="B81" i="487"/>
  <c r="B96" i="487"/>
  <c r="B111" i="487"/>
  <c r="B201" i="487"/>
  <c r="B216" i="487"/>
  <c r="B231" i="487"/>
  <c r="B337" i="487"/>
  <c r="B352" i="487"/>
  <c r="B367" i="487"/>
  <c r="B457" i="487"/>
  <c r="B473" i="487"/>
  <c r="B488" i="487"/>
  <c r="B503" i="487"/>
  <c r="B74" i="484"/>
  <c r="B120" i="484"/>
  <c r="B150" i="484"/>
  <c r="B194" i="484"/>
  <c r="B222" i="484"/>
  <c r="B250" i="484"/>
  <c r="B278" i="484"/>
  <c r="B306" i="484"/>
  <c r="B334" i="484"/>
  <c r="B362" i="484"/>
  <c r="B390" i="484"/>
  <c r="B418" i="484"/>
  <c r="B446" i="484"/>
  <c r="B474" i="484"/>
  <c r="B502" i="484"/>
  <c r="B530" i="484"/>
  <c r="B9" i="480"/>
  <c r="B23" i="480"/>
  <c r="B135" i="480"/>
  <c r="B149" i="480"/>
  <c r="B163" i="480"/>
  <c r="B177" i="480"/>
  <c r="B205" i="480"/>
  <c r="B331" i="480"/>
  <c r="B345" i="480"/>
  <c r="B359" i="480"/>
  <c r="B373" i="480"/>
  <c r="B387" i="480"/>
  <c r="B401" i="480"/>
  <c r="B24" i="472"/>
  <c r="B52" i="472"/>
  <c r="B94" i="472"/>
  <c r="B122" i="472"/>
  <c r="B150" i="472"/>
  <c r="B220" i="472"/>
  <c r="B248" i="472"/>
  <c r="B318" i="472"/>
  <c r="B346" i="472"/>
  <c r="B64" i="488"/>
  <c r="B81" i="488"/>
  <c r="B169" i="488"/>
  <c r="B255" i="488"/>
  <c r="B273" i="488"/>
  <c r="B343" i="488"/>
  <c r="B360" i="488"/>
  <c r="B377" i="488"/>
  <c r="B57" i="487"/>
  <c r="B72" i="487"/>
  <c r="B87" i="487"/>
  <c r="B177" i="487"/>
  <c r="B193" i="487"/>
  <c r="B208" i="487"/>
  <c r="B223" i="487"/>
  <c r="B313" i="487"/>
  <c r="B328" i="487"/>
  <c r="B343" i="487"/>
  <c r="B449" i="487"/>
  <c r="B464" i="487"/>
  <c r="B479" i="487"/>
  <c r="B569" i="487"/>
  <c r="B36" i="484"/>
  <c r="B66" i="484"/>
  <c r="B111" i="484"/>
  <c r="B186" i="484"/>
  <c r="B214" i="484"/>
  <c r="B242" i="484"/>
  <c r="B270" i="484"/>
  <c r="B298" i="484"/>
  <c r="B326" i="484"/>
  <c r="B354" i="484"/>
  <c r="B382" i="484"/>
  <c r="B410" i="484"/>
  <c r="B438" i="484"/>
  <c r="B466" i="484"/>
  <c r="B494" i="484"/>
  <c r="B522" i="484"/>
  <c r="B15" i="480"/>
  <c r="B43" i="480"/>
  <c r="B31" i="488"/>
  <c r="B72" i="488"/>
  <c r="B113" i="488"/>
  <c r="B175" i="488"/>
  <c r="B215" i="488"/>
  <c r="B256" i="488"/>
  <c r="B296" i="488"/>
  <c r="B399" i="488"/>
  <c r="B417" i="488"/>
  <c r="B456" i="488"/>
  <c r="B512" i="488"/>
  <c r="B568" i="488"/>
  <c r="B585" i="488"/>
  <c r="B15" i="487"/>
  <c r="B32" i="487"/>
  <c r="B49" i="487"/>
  <c r="B103" i="487"/>
  <c r="B120" i="487"/>
  <c r="B209" i="487"/>
  <c r="B279" i="487"/>
  <c r="B296" i="487"/>
  <c r="B384" i="487"/>
  <c r="B401" i="487"/>
  <c r="B471" i="487"/>
  <c r="B543" i="487"/>
  <c r="B560" i="487"/>
  <c r="B577" i="487"/>
  <c r="B122" i="484"/>
  <c r="B139" i="484"/>
  <c r="B157" i="484"/>
  <c r="B207" i="484"/>
  <c r="B224" i="484"/>
  <c r="B289" i="484"/>
  <c r="B355" i="484"/>
  <c r="B403" i="484"/>
  <c r="B420" i="484"/>
  <c r="B485" i="484"/>
  <c r="B16" i="480"/>
  <c r="B48" i="480"/>
  <c r="B81" i="480"/>
  <c r="B97" i="480"/>
  <c r="B130" i="480"/>
  <c r="B176" i="480"/>
  <c r="B237" i="480"/>
  <c r="B252" i="480"/>
  <c r="B297" i="480"/>
  <c r="B312" i="480"/>
  <c r="B372" i="480"/>
  <c r="B433" i="480"/>
  <c r="B448" i="480"/>
  <c r="B19" i="472"/>
  <c r="B64" i="472"/>
  <c r="B110" i="472"/>
  <c r="B23" i="488"/>
  <c r="B87" i="488"/>
  <c r="B176" i="488"/>
  <c r="B241" i="488"/>
  <c r="B263" i="488"/>
  <c r="B329" i="488"/>
  <c r="B351" i="488"/>
  <c r="B393" i="488"/>
  <c r="B415" i="488"/>
  <c r="B457" i="488"/>
  <c r="B497" i="488"/>
  <c r="B537" i="488"/>
  <c r="B577" i="488"/>
  <c r="B8" i="487"/>
  <c r="B64" i="487"/>
  <c r="B104" i="487"/>
  <c r="B160" i="487"/>
  <c r="B217" i="487"/>
  <c r="B255" i="487"/>
  <c r="B273" i="487"/>
  <c r="B311" i="487"/>
  <c r="B369" i="487"/>
  <c r="B407" i="487"/>
  <c r="B425" i="487"/>
  <c r="B463" i="487"/>
  <c r="B520" i="487"/>
  <c r="B576" i="487"/>
  <c r="B17" i="484"/>
  <c r="B37" i="484"/>
  <c r="B55" i="484"/>
  <c r="B73" i="484"/>
  <c r="B93" i="484"/>
  <c r="B112" i="484"/>
  <c r="B130" i="484"/>
  <c r="B149" i="484"/>
  <c r="B168" i="484"/>
  <c r="B187" i="484"/>
  <c r="B204" i="484"/>
  <c r="B345" i="484"/>
  <c r="B363" i="484"/>
  <c r="B486" i="484"/>
  <c r="B504" i="484"/>
  <c r="B521" i="484"/>
  <c r="B21" i="480"/>
  <c r="B109" i="480"/>
  <c r="B144" i="480"/>
  <c r="B178" i="480"/>
  <c r="B210" i="480"/>
  <c r="B258" i="480"/>
  <c r="B291" i="480"/>
  <c r="B339" i="480"/>
  <c r="B405" i="480"/>
  <c r="B421" i="480"/>
  <c r="B453" i="480"/>
  <c r="B486" i="480"/>
  <c r="B13" i="472"/>
  <c r="B29" i="472"/>
  <c r="B93" i="472"/>
  <c r="B111" i="472"/>
  <c r="B156" i="472"/>
  <c r="B186" i="472"/>
  <c r="B231" i="472"/>
  <c r="B277" i="472"/>
  <c r="B352" i="472"/>
  <c r="B381" i="472"/>
  <c r="B409" i="472"/>
  <c r="B34" i="463"/>
  <c r="B62" i="463"/>
  <c r="B90" i="463"/>
  <c r="B160" i="463"/>
  <c r="B188" i="463"/>
  <c r="B216" i="463"/>
  <c r="B286" i="463"/>
  <c r="B314" i="463"/>
  <c r="B8" i="455"/>
  <c r="B22" i="455"/>
  <c r="B36" i="455"/>
  <c r="B50" i="455"/>
  <c r="B64" i="455"/>
  <c r="B78" i="455"/>
  <c r="B92" i="455"/>
  <c r="B106" i="455"/>
  <c r="B120" i="455"/>
  <c r="B134" i="455"/>
  <c r="B148" i="455"/>
  <c r="B162" i="455"/>
  <c r="B176" i="455"/>
  <c r="B190" i="455"/>
  <c r="B204" i="455"/>
  <c r="B218" i="455"/>
  <c r="B232" i="455"/>
  <c r="B246" i="455"/>
  <c r="B260" i="455"/>
  <c r="B26" i="453"/>
  <c r="B40" i="453"/>
  <c r="B124" i="453"/>
  <c r="B138" i="453"/>
  <c r="B152" i="453"/>
  <c r="B208" i="453"/>
  <c r="B222" i="453"/>
  <c r="B20" i="452"/>
  <c r="B34" i="452"/>
  <c r="B48" i="452"/>
  <c r="B104" i="452"/>
  <c r="B118" i="452"/>
  <c r="B202" i="452"/>
  <c r="B216" i="452"/>
  <c r="B230" i="452"/>
  <c r="B37" i="451"/>
  <c r="B79" i="451"/>
  <c r="B121" i="451"/>
  <c r="B163" i="451"/>
  <c r="B205" i="451"/>
  <c r="B7" i="449"/>
  <c r="B8" i="488"/>
  <c r="B96" i="488"/>
  <c r="B337" i="488"/>
  <c r="B359" i="488"/>
  <c r="B463" i="488"/>
  <c r="B504" i="488"/>
  <c r="B544" i="488"/>
  <c r="B583" i="488"/>
  <c r="B601" i="488"/>
  <c r="B16" i="487"/>
  <c r="B73" i="487"/>
  <c r="B129" i="487"/>
  <c r="B167" i="487"/>
  <c r="B185" i="487"/>
  <c r="B224" i="487"/>
  <c r="B263" i="487"/>
  <c r="B281" i="487"/>
  <c r="B319" i="487"/>
  <c r="B376" i="487"/>
  <c r="B432" i="487"/>
  <c r="B489" i="487"/>
  <c r="B24" i="488"/>
  <c r="B49" i="488"/>
  <c r="B177" i="488"/>
  <c r="B279" i="488"/>
  <c r="B305" i="488"/>
  <c r="B383" i="488"/>
  <c r="B593" i="488"/>
  <c r="B9" i="487"/>
  <c r="B31" i="487"/>
  <c r="B55" i="487"/>
  <c r="B119" i="487"/>
  <c r="B143" i="487"/>
  <c r="B297" i="487"/>
  <c r="B320" i="487"/>
  <c r="B385" i="487"/>
  <c r="B408" i="487"/>
  <c r="B496" i="487"/>
  <c r="B537" i="487"/>
  <c r="B559" i="487"/>
  <c r="B82" i="484"/>
  <c r="B101" i="484"/>
  <c r="B123" i="484"/>
  <c r="B241" i="484"/>
  <c r="B260" i="484"/>
  <c r="B279" i="484"/>
  <c r="B297" i="484"/>
  <c r="B316" i="484"/>
  <c r="B335" i="484"/>
  <c r="B353" i="484"/>
  <c r="B373" i="484"/>
  <c r="B392" i="484"/>
  <c r="B411" i="484"/>
  <c r="B429" i="484"/>
  <c r="B448" i="484"/>
  <c r="B467" i="484"/>
  <c r="B487" i="484"/>
  <c r="B8" i="480"/>
  <c r="B27" i="480"/>
  <c r="B103" i="480"/>
  <c r="B122" i="480"/>
  <c r="B158" i="480"/>
  <c r="B212" i="480"/>
  <c r="B264" i="480"/>
  <c r="B351" i="480"/>
  <c r="B385" i="480"/>
  <c r="B439" i="480"/>
  <c r="B474" i="480"/>
  <c r="B140" i="472"/>
  <c r="B157" i="472"/>
  <c r="B173" i="472"/>
  <c r="B254" i="472"/>
  <c r="B335" i="472"/>
  <c r="B351" i="472"/>
  <c r="B398" i="472"/>
  <c r="B26" i="463"/>
  <c r="B71" i="463"/>
  <c r="B116" i="463"/>
  <c r="B162" i="463"/>
  <c r="B207" i="463"/>
  <c r="B252" i="463"/>
  <c r="B297" i="463"/>
  <c r="B9" i="455"/>
  <c r="B84" i="455"/>
  <c r="B99" i="455"/>
  <c r="B114" i="455"/>
  <c r="B189" i="455"/>
  <c r="B205" i="455"/>
  <c r="B33" i="453"/>
  <c r="B48" i="453"/>
  <c r="B78" i="453"/>
  <c r="B139" i="453"/>
  <c r="B169" i="453"/>
  <c r="B229" i="453"/>
  <c r="B60" i="452"/>
  <c r="B91" i="452"/>
  <c r="B151" i="452"/>
  <c r="B196" i="452"/>
  <c r="B6" i="451"/>
  <c r="B36" i="451"/>
  <c r="B67" i="451"/>
  <c r="B97" i="451"/>
  <c r="B127" i="451"/>
  <c r="B157" i="451"/>
  <c r="B187" i="451"/>
  <c r="B6" i="449"/>
  <c r="B35" i="449"/>
  <c r="B105" i="449"/>
  <c r="B133" i="449"/>
  <c r="B161" i="449"/>
  <c r="B189" i="449"/>
  <c r="B203" i="449"/>
  <c r="B23" i="444"/>
  <c r="B65" i="444"/>
  <c r="B107" i="444"/>
  <c r="B149" i="444"/>
  <c r="B22" i="442"/>
  <c r="B50" i="442"/>
  <c r="B78" i="442"/>
  <c r="B106" i="442"/>
  <c r="B134" i="442"/>
  <c r="B162" i="442"/>
  <c r="B79" i="488"/>
  <c r="B103" i="488"/>
  <c r="B128" i="488"/>
  <c r="B207" i="488"/>
  <c r="B232" i="488"/>
  <c r="B257" i="488"/>
  <c r="B361" i="488"/>
  <c r="B408" i="488"/>
  <c r="B432" i="488"/>
  <c r="B480" i="488"/>
  <c r="B505" i="488"/>
  <c r="B528" i="488"/>
  <c r="B553" i="488"/>
  <c r="B575" i="488"/>
  <c r="B145" i="487"/>
  <c r="B168" i="487"/>
  <c r="B233" i="487"/>
  <c r="B256" i="487"/>
  <c r="B344" i="487"/>
  <c r="B433" i="487"/>
  <c r="B455" i="487"/>
  <c r="B521" i="487"/>
  <c r="B64" i="484"/>
  <c r="B84" i="484"/>
  <c r="B166" i="484"/>
  <c r="B185" i="484"/>
  <c r="B205" i="484"/>
  <c r="B262" i="484"/>
  <c r="B318" i="484"/>
  <c r="B375" i="484"/>
  <c r="B431" i="484"/>
  <c r="B49" i="480"/>
  <c r="B68" i="480"/>
  <c r="B124" i="480"/>
  <c r="B143" i="480"/>
  <c r="B162" i="480"/>
  <c r="B197" i="480"/>
  <c r="B231" i="480"/>
  <c r="B266" i="480"/>
  <c r="B284" i="480"/>
  <c r="B319" i="480"/>
  <c r="B441" i="480"/>
  <c r="B459" i="480"/>
  <c r="B127" i="472"/>
  <c r="B191" i="472"/>
  <c r="B208" i="472"/>
  <c r="B272" i="472"/>
  <c r="B288" i="472"/>
  <c r="B305" i="472"/>
  <c r="B370" i="472"/>
  <c r="B415" i="472"/>
  <c r="B43" i="463"/>
  <c r="B88" i="463"/>
  <c r="B134" i="463"/>
  <c r="B179" i="463"/>
  <c r="B224" i="463"/>
  <c r="B269" i="463"/>
  <c r="B315" i="463"/>
  <c r="B56" i="455"/>
  <c r="B71" i="455"/>
  <c r="B86" i="455"/>
  <c r="B161" i="455"/>
  <c r="B177" i="455"/>
  <c r="B252" i="455"/>
  <c r="B20" i="453"/>
  <c r="B35" i="453"/>
  <c r="B65" i="453"/>
  <c r="B111" i="453"/>
  <c r="B126" i="453"/>
  <c r="B156" i="453"/>
  <c r="B216" i="453"/>
  <c r="B47" i="452"/>
  <c r="B78" i="452"/>
  <c r="B138" i="452"/>
  <c r="B183" i="452"/>
  <c r="B228" i="452"/>
  <c r="B24" i="451"/>
  <c r="B54" i="451"/>
  <c r="B84" i="451"/>
  <c r="B114" i="451"/>
  <c r="B144" i="451"/>
  <c r="B174" i="451"/>
  <c r="B204" i="451"/>
  <c r="B23" i="449"/>
  <c r="B55" i="488"/>
  <c r="B80" i="488"/>
  <c r="B105" i="488"/>
  <c r="B129" i="488"/>
  <c r="B208" i="488"/>
  <c r="B335" i="488"/>
  <c r="B433" i="488"/>
  <c r="B481" i="488"/>
  <c r="B529" i="488"/>
  <c r="B576" i="488"/>
  <c r="B79" i="487"/>
  <c r="B169" i="487"/>
  <c r="B191" i="487"/>
  <c r="B257" i="487"/>
  <c r="B280" i="487"/>
  <c r="B345" i="487"/>
  <c r="B368" i="487"/>
  <c r="B391" i="487"/>
  <c r="B456" i="487"/>
  <c r="B544" i="487"/>
  <c r="B45" i="484"/>
  <c r="B65" i="484"/>
  <c r="B167" i="484"/>
  <c r="B206" i="484"/>
  <c r="B263" i="484"/>
  <c r="B319" i="484"/>
  <c r="B136" i="488"/>
  <c r="B264" i="488"/>
  <c r="B295" i="488"/>
  <c r="B392" i="488"/>
  <c r="B423" i="488"/>
  <c r="B487" i="488"/>
  <c r="B543" i="488"/>
  <c r="B23" i="487"/>
  <c r="B135" i="487"/>
  <c r="B249" i="487"/>
  <c r="B361" i="487"/>
  <c r="B392" i="487"/>
  <c r="B504" i="487"/>
  <c r="B553" i="487"/>
  <c r="B28" i="484"/>
  <c r="B54" i="484"/>
  <c r="B158" i="484"/>
  <c r="B232" i="484"/>
  <c r="B280" i="484"/>
  <c r="B372" i="484"/>
  <c r="B14" i="480"/>
  <c r="B36" i="480"/>
  <c r="B102" i="480"/>
  <c r="B250" i="480"/>
  <c r="B270" i="480"/>
  <c r="B374" i="480"/>
  <c r="B393" i="480"/>
  <c r="B412" i="480"/>
  <c r="B432" i="480"/>
  <c r="B473" i="480"/>
  <c r="B6" i="472"/>
  <c r="B105" i="472"/>
  <c r="B128" i="472"/>
  <c r="B202" i="472"/>
  <c r="B259" i="472"/>
  <c r="B334" i="472"/>
  <c r="B8" i="463"/>
  <c r="B25" i="463"/>
  <c r="B44" i="463"/>
  <c r="B61" i="463"/>
  <c r="B79" i="463"/>
  <c r="B324" i="463"/>
  <c r="B7" i="455"/>
  <c r="B44" i="455"/>
  <c r="B79" i="455"/>
  <c r="B113" i="455"/>
  <c r="B184" i="455"/>
  <c r="B219" i="455"/>
  <c r="B238" i="455"/>
  <c r="B99" i="453"/>
  <c r="B150" i="453"/>
  <c r="B204" i="453"/>
  <c r="B221" i="453"/>
  <c r="B239" i="453"/>
  <c r="B66" i="452"/>
  <c r="B100" i="452"/>
  <c r="B117" i="452"/>
  <c r="B189" i="452"/>
  <c r="B25" i="451"/>
  <c r="B42" i="451"/>
  <c r="B199" i="451"/>
  <c r="B216" i="451"/>
  <c r="B56" i="449"/>
  <c r="B101" i="449"/>
  <c r="B116" i="449"/>
  <c r="B177" i="449"/>
  <c r="B207" i="449"/>
  <c r="B14" i="444"/>
  <c r="B29" i="444"/>
  <c r="B44" i="444"/>
  <c r="B59" i="444"/>
  <c r="B74" i="444"/>
  <c r="B89" i="444"/>
  <c r="B104" i="444"/>
  <c r="B119" i="444"/>
  <c r="B134" i="444"/>
  <c r="B27" i="442"/>
  <c r="B42" i="442"/>
  <c r="B87" i="442"/>
  <c r="B102" i="442"/>
  <c r="B147" i="442"/>
  <c r="B163" i="442"/>
  <c r="B9" i="488"/>
  <c r="B40" i="488"/>
  <c r="B201" i="488"/>
  <c r="B367" i="488"/>
  <c r="B489" i="488"/>
  <c r="B519" i="488"/>
  <c r="B56" i="487"/>
  <c r="B113" i="487"/>
  <c r="B225" i="487"/>
  <c r="B336" i="487"/>
  <c r="B448" i="487"/>
  <c r="B480" i="487"/>
  <c r="B8" i="484"/>
  <c r="B83" i="484"/>
  <c r="B110" i="484"/>
  <c r="B234" i="484"/>
  <c r="B308" i="484"/>
  <c r="B484" i="484"/>
  <c r="B531" i="484"/>
  <c r="B61" i="480"/>
  <c r="B129" i="480"/>
  <c r="B151" i="480"/>
  <c r="B170" i="480"/>
  <c r="B189" i="480"/>
  <c r="B211" i="480"/>
  <c r="B232" i="480"/>
  <c r="B293" i="480"/>
  <c r="B313" i="480"/>
  <c r="B333" i="480"/>
  <c r="B414" i="480"/>
  <c r="B455" i="480"/>
  <c r="B48" i="472"/>
  <c r="B88" i="472"/>
  <c r="B167" i="472"/>
  <c r="B185" i="472"/>
  <c r="B225" i="472"/>
  <c r="B243" i="472"/>
  <c r="B317" i="472"/>
  <c r="B357" i="472"/>
  <c r="B375" i="472"/>
  <c r="B392" i="472"/>
  <c r="B410" i="472"/>
  <c r="B81" i="463"/>
  <c r="B98" i="463"/>
  <c r="B115" i="463"/>
  <c r="B135" i="463"/>
  <c r="B152" i="463"/>
  <c r="B169" i="463"/>
  <c r="B29" i="455"/>
  <c r="B63" i="455"/>
  <c r="B98" i="455"/>
  <c r="B135" i="455"/>
  <c r="B169" i="455"/>
  <c r="B203" i="455"/>
  <c r="B240" i="455"/>
  <c r="B13" i="453"/>
  <c r="B47" i="453"/>
  <c r="B66" i="453"/>
  <c r="B118" i="453"/>
  <c r="B189" i="453"/>
  <c r="B14" i="452"/>
  <c r="B33" i="452"/>
  <c r="B85" i="452"/>
  <c r="B139" i="452"/>
  <c r="B156" i="452"/>
  <c r="B191" i="452"/>
  <c r="B208" i="452"/>
  <c r="B61" i="451"/>
  <c r="B78" i="451"/>
  <c r="B96" i="451"/>
  <c r="B115" i="451"/>
  <c r="B132" i="451"/>
  <c r="B150" i="451"/>
  <c r="B221" i="451"/>
  <c r="B12" i="449"/>
  <c r="B28" i="449"/>
  <c r="B73" i="449"/>
  <c r="B134" i="449"/>
  <c r="B149" i="449"/>
  <c r="B194" i="449"/>
  <c r="B122" i="444"/>
  <c r="B137" i="444"/>
  <c r="B152" i="444"/>
  <c r="B167" i="444"/>
  <c r="B182" i="444"/>
  <c r="B14" i="442"/>
  <c r="B59" i="442"/>
  <c r="B74" i="442"/>
  <c r="B119" i="442"/>
  <c r="B135" i="442"/>
  <c r="B150" i="442"/>
  <c r="B41" i="488"/>
  <c r="B71" i="488"/>
  <c r="B239" i="488"/>
  <c r="B368" i="488"/>
  <c r="B400" i="488"/>
  <c r="B520" i="488"/>
  <c r="B551" i="488"/>
  <c r="B88" i="487"/>
  <c r="B199" i="487"/>
  <c r="B423" i="487"/>
  <c r="B481" i="487"/>
  <c r="B561" i="487"/>
  <c r="B9" i="484"/>
  <c r="B213" i="484"/>
  <c r="B235" i="484"/>
  <c r="B261" i="484"/>
  <c r="B400" i="484"/>
  <c r="B532" i="484"/>
  <c r="B41" i="480"/>
  <c r="B62" i="480"/>
  <c r="B108" i="480"/>
  <c r="B131" i="480"/>
  <c r="B171" i="480"/>
  <c r="B190" i="480"/>
  <c r="B30" i="472"/>
  <c r="B70" i="472"/>
  <c r="B168" i="472"/>
  <c r="B226" i="472"/>
  <c r="B282" i="472"/>
  <c r="B300" i="472"/>
  <c r="B340" i="472"/>
  <c r="B358" i="472"/>
  <c r="B393" i="472"/>
  <c r="B99" i="463"/>
  <c r="B117" i="463"/>
  <c r="B153" i="463"/>
  <c r="B170" i="463"/>
  <c r="B187" i="463"/>
  <c r="B205" i="463"/>
  <c r="B223" i="463"/>
  <c r="B241" i="463"/>
  <c r="B259" i="463"/>
  <c r="B30" i="455"/>
  <c r="B65" i="455"/>
  <c r="B100" i="455"/>
  <c r="B170" i="455"/>
  <c r="B224" i="455"/>
  <c r="B14" i="453"/>
  <c r="B85" i="453"/>
  <c r="B190" i="453"/>
  <c r="B57" i="488"/>
  <c r="B137" i="488"/>
  <c r="B303" i="488"/>
  <c r="B345" i="488"/>
  <c r="B385" i="488"/>
  <c r="B465" i="488"/>
  <c r="B152" i="487"/>
  <c r="B183" i="487"/>
  <c r="B327" i="487"/>
  <c r="B400" i="487"/>
  <c r="B511" i="487"/>
  <c r="B545" i="487"/>
  <c r="B27" i="484"/>
  <c r="B95" i="484"/>
  <c r="B195" i="484"/>
  <c r="B223" i="484"/>
  <c r="B252" i="484"/>
  <c r="B344" i="484"/>
  <c r="B402" i="484"/>
  <c r="B428" i="484"/>
  <c r="B457" i="484"/>
  <c r="B514" i="484"/>
  <c r="B34" i="480"/>
  <c r="B63" i="480"/>
  <c r="B224" i="480"/>
  <c r="B251" i="480"/>
  <c r="B278" i="480"/>
  <c r="B304" i="480"/>
  <c r="B358" i="480"/>
  <c r="B47" i="472"/>
  <c r="B75" i="472"/>
  <c r="B151" i="472"/>
  <c r="B174" i="472"/>
  <c r="B197" i="472"/>
  <c r="B219" i="472"/>
  <c r="B294" i="472"/>
  <c r="B17" i="463"/>
  <c r="B107" i="463"/>
  <c r="B151" i="463"/>
  <c r="B196" i="463"/>
  <c r="B242" i="463"/>
  <c r="B306" i="463"/>
  <c r="B332" i="463"/>
  <c r="B128" i="455"/>
  <c r="B154" i="455"/>
  <c r="B175" i="455"/>
  <c r="B197" i="455"/>
  <c r="B217" i="455"/>
  <c r="B46" i="453"/>
  <c r="B91" i="453"/>
  <c r="B137" i="453"/>
  <c r="B203" i="453"/>
  <c r="B65" i="452"/>
  <c r="B86" i="452"/>
  <c r="B209" i="452"/>
  <c r="B138" i="451"/>
  <c r="B198" i="451"/>
  <c r="B222" i="451"/>
  <c r="B51" i="449"/>
  <c r="B68" i="449"/>
  <c r="B122" i="449"/>
  <c r="B139" i="449"/>
  <c r="B156" i="449"/>
  <c r="B71" i="444"/>
  <c r="B125" i="444"/>
  <c r="B176" i="444"/>
  <c r="B11" i="442"/>
  <c r="B30" i="442"/>
  <c r="B47" i="442"/>
  <c r="B82" i="442"/>
  <c r="B99" i="442"/>
  <c r="B170" i="442"/>
  <c r="B15" i="488"/>
  <c r="B95" i="488"/>
  <c r="B185" i="488"/>
  <c r="B425" i="488"/>
  <c r="B503" i="488"/>
  <c r="B7" i="487"/>
  <c r="B153" i="487"/>
  <c r="B184" i="487"/>
  <c r="B264" i="487"/>
  <c r="B329" i="487"/>
  <c r="B439" i="487"/>
  <c r="B512" i="487"/>
  <c r="B67" i="484"/>
  <c r="B129" i="484"/>
  <c r="B196" i="484"/>
  <c r="B288" i="484"/>
  <c r="B317" i="484"/>
  <c r="B346" i="484"/>
  <c r="B374" i="484"/>
  <c r="B430" i="484"/>
  <c r="B458" i="484"/>
  <c r="B515" i="484"/>
  <c r="B7" i="480"/>
  <c r="B35" i="480"/>
  <c r="B150" i="480"/>
  <c r="B225" i="480"/>
  <c r="B279" i="480"/>
  <c r="B305" i="480"/>
  <c r="B360" i="480"/>
  <c r="B487" i="480"/>
  <c r="B76" i="472"/>
  <c r="B249" i="472"/>
  <c r="B271" i="472"/>
  <c r="B295" i="472"/>
  <c r="B323" i="472"/>
  <c r="B18" i="463"/>
  <c r="B63" i="463"/>
  <c r="B108" i="463"/>
  <c r="B197" i="463"/>
  <c r="B243" i="463"/>
  <c r="B287" i="463"/>
  <c r="B333" i="463"/>
  <c r="B42" i="455"/>
  <c r="B155" i="455"/>
  <c r="B198" i="455"/>
  <c r="B72" i="453"/>
  <c r="B92" i="453"/>
  <c r="B182" i="453"/>
  <c r="B228" i="453"/>
  <c r="B87" i="452"/>
  <c r="B169" i="452"/>
  <c r="B190" i="452"/>
  <c r="B139" i="451"/>
  <c r="B180" i="451"/>
  <c r="B34" i="449"/>
  <c r="B106" i="449"/>
  <c r="B123" i="449"/>
  <c r="B193" i="449"/>
  <c r="B20" i="444"/>
  <c r="B38" i="444"/>
  <c r="B143" i="444"/>
  <c r="B31" i="442"/>
  <c r="B66" i="442"/>
  <c r="B83" i="442"/>
  <c r="B118" i="442"/>
  <c r="B154" i="442"/>
  <c r="B171" i="442"/>
  <c r="B16" i="488"/>
  <c r="B97" i="488"/>
  <c r="B144" i="488"/>
  <c r="B223" i="488"/>
  <c r="B311" i="488"/>
  <c r="B431" i="488"/>
  <c r="B584" i="488"/>
  <c r="B265" i="487"/>
  <c r="B295" i="487"/>
  <c r="B440" i="487"/>
  <c r="B513" i="487"/>
  <c r="B575" i="487"/>
  <c r="B290" i="484"/>
  <c r="B347" i="484"/>
  <c r="B459" i="484"/>
  <c r="B69" i="480"/>
  <c r="B95" i="480"/>
  <c r="B306" i="480"/>
  <c r="B332" i="480"/>
  <c r="B25" i="472"/>
  <c r="B53" i="472"/>
  <c r="B324" i="472"/>
  <c r="B369" i="472"/>
  <c r="B416" i="472"/>
  <c r="B198" i="463"/>
  <c r="B288" i="463"/>
  <c r="B43" i="455"/>
  <c r="B133" i="455"/>
  <c r="B156" i="455"/>
  <c r="B225" i="455"/>
  <c r="B245" i="455"/>
  <c r="B27" i="453"/>
  <c r="B52" i="453"/>
  <c r="B73" i="453"/>
  <c r="B117" i="453"/>
  <c r="B183" i="453"/>
  <c r="B209" i="453"/>
  <c r="B230" i="453"/>
  <c r="B7" i="452"/>
  <c r="B26" i="452"/>
  <c r="B46" i="452"/>
  <c r="B170" i="452"/>
  <c r="B120" i="451"/>
  <c r="B181" i="451"/>
  <c r="B17" i="449"/>
  <c r="B89" i="449"/>
  <c r="B56" i="444"/>
  <c r="B92" i="444"/>
  <c r="B110" i="444"/>
  <c r="B161" i="444"/>
  <c r="B179" i="444"/>
  <c r="B15" i="442"/>
  <c r="B67" i="442"/>
  <c r="B138" i="442"/>
  <c r="B155" i="442"/>
  <c r="B145" i="488"/>
  <c r="B224" i="488"/>
  <c r="B271" i="488"/>
  <c r="B312" i="488"/>
  <c r="B391" i="488"/>
  <c r="B471" i="488"/>
  <c r="B17" i="487"/>
  <c r="B47" i="487"/>
  <c r="B89" i="487"/>
  <c r="B121" i="487"/>
  <c r="B335" i="487"/>
  <c r="B375" i="487"/>
  <c r="B441" i="487"/>
  <c r="B38" i="484"/>
  <c r="B291" i="484"/>
  <c r="B381" i="484"/>
  <c r="B493" i="484"/>
  <c r="B42" i="480"/>
  <c r="B70" i="480"/>
  <c r="B96" i="480"/>
  <c r="B123" i="480"/>
  <c r="B203" i="480"/>
  <c r="B230" i="480"/>
  <c r="B257" i="480"/>
  <c r="B440" i="480"/>
  <c r="B81" i="472"/>
  <c r="B179" i="472"/>
  <c r="B347" i="472"/>
  <c r="B89" i="463"/>
  <c r="B133" i="463"/>
  <c r="B178" i="463"/>
  <c r="B225" i="463"/>
  <c r="B313" i="463"/>
  <c r="B21" i="455"/>
  <c r="B226" i="455"/>
  <c r="B247" i="455"/>
  <c r="B7" i="453"/>
  <c r="B53" i="453"/>
  <c r="B74" i="453"/>
  <c r="B143" i="453"/>
  <c r="B163" i="453"/>
  <c r="B8" i="452"/>
  <c r="B27" i="452"/>
  <c r="B111" i="452"/>
  <c r="B130" i="452"/>
  <c r="B150" i="452"/>
  <c r="B234" i="452"/>
  <c r="B18" i="451"/>
  <c r="B60" i="451"/>
  <c r="B102" i="451"/>
  <c r="B162" i="451"/>
  <c r="B18" i="449"/>
  <c r="B72" i="449"/>
  <c r="B90" i="449"/>
  <c r="B178" i="449"/>
  <c r="B5" i="444"/>
  <c r="B128" i="444"/>
  <c r="B51" i="442"/>
  <c r="B103" i="442"/>
  <c r="B122" i="442"/>
  <c r="B139" i="442"/>
  <c r="B111" i="488"/>
  <c r="B225" i="488"/>
  <c r="B352" i="488"/>
  <c r="B472" i="488"/>
  <c r="B511" i="488"/>
  <c r="B48" i="487"/>
  <c r="B127" i="487"/>
  <c r="B232" i="487"/>
  <c r="B303" i="487"/>
  <c r="B377" i="487"/>
  <c r="B409" i="487"/>
  <c r="B39" i="484"/>
  <c r="B138" i="484"/>
  <c r="B383" i="484"/>
  <c r="B437" i="484"/>
  <c r="B465" i="484"/>
  <c r="B495" i="484"/>
  <c r="B204" i="480"/>
  <c r="B259" i="480"/>
  <c r="B285" i="480"/>
  <c r="B338" i="480"/>
  <c r="B386" i="480"/>
  <c r="B413" i="480"/>
  <c r="B466" i="480"/>
  <c r="B82" i="472"/>
  <c r="B104" i="472"/>
  <c r="B133" i="472"/>
  <c r="B152" i="488"/>
  <c r="B192" i="488"/>
  <c r="B240" i="488"/>
  <c r="B321" i="488"/>
  <c r="B559" i="488"/>
  <c r="B591" i="488"/>
  <c r="B161" i="487"/>
  <c r="B239" i="487"/>
  <c r="B415" i="487"/>
  <c r="B487" i="487"/>
  <c r="B552" i="487"/>
  <c r="B11" i="484"/>
  <c r="B176" i="484"/>
  <c r="B327" i="484"/>
  <c r="B75" i="480"/>
  <c r="B157" i="480"/>
  <c r="B184" i="480"/>
  <c r="B238" i="480"/>
  <c r="B365" i="480"/>
  <c r="B392" i="480"/>
  <c r="B419" i="480"/>
  <c r="B468" i="480"/>
  <c r="B7" i="472"/>
  <c r="B59" i="472"/>
  <c r="B232" i="472"/>
  <c r="B255" i="472"/>
  <c r="B306" i="472"/>
  <c r="B328" i="472"/>
  <c r="B70" i="463"/>
  <c r="B206" i="463"/>
  <c r="B295" i="463"/>
  <c r="B28" i="455"/>
  <c r="B51" i="455"/>
  <c r="B119" i="455"/>
  <c r="B140" i="455"/>
  <c r="B163" i="455"/>
  <c r="B183" i="455"/>
  <c r="B125" i="453"/>
  <c r="B235" i="453"/>
  <c r="B35" i="452"/>
  <c r="B73" i="452"/>
  <c r="B157" i="452"/>
  <c r="B177" i="452"/>
  <c r="B168" i="451"/>
  <c r="B40" i="449"/>
  <c r="B94" i="449"/>
  <c r="B111" i="449"/>
  <c r="B128" i="449"/>
  <c r="B145" i="449"/>
  <c r="B182" i="449"/>
  <c r="B199" i="449"/>
  <c r="B8" i="444"/>
  <c r="B26" i="444"/>
  <c r="B62" i="444"/>
  <c r="B80" i="444"/>
  <c r="B131" i="444"/>
  <c r="B19" i="442"/>
  <c r="B54" i="442"/>
  <c r="B71" i="442"/>
  <c r="B90" i="442"/>
  <c r="B142" i="442"/>
  <c r="B159" i="442"/>
  <c r="B209" i="488"/>
  <c r="B280" i="488"/>
  <c r="B344" i="488"/>
  <c r="B416" i="488"/>
  <c r="B488" i="488"/>
  <c r="B561" i="488"/>
  <c r="B321" i="487"/>
  <c r="B383" i="487"/>
  <c r="B505" i="487"/>
  <c r="B568" i="487"/>
  <c r="B476" i="484"/>
  <c r="B88" i="480"/>
  <c r="B185" i="480"/>
  <c r="B223" i="480"/>
  <c r="B271" i="480"/>
  <c r="B366" i="480"/>
  <c r="B406" i="480"/>
  <c r="B99" i="472"/>
  <c r="B144" i="472"/>
  <c r="B404" i="472"/>
  <c r="B125" i="463"/>
  <c r="B232" i="463"/>
  <c r="B268" i="463"/>
  <c r="B35" i="455"/>
  <c r="B105" i="455"/>
  <c r="B142" i="455"/>
  <c r="B212" i="455"/>
  <c r="B195" i="453"/>
  <c r="B52" i="452"/>
  <c r="B113" i="452"/>
  <c r="B143" i="452"/>
  <c r="B178" i="452"/>
  <c r="B103" i="451"/>
  <c r="B133" i="451"/>
  <c r="B61" i="449"/>
  <c r="B84" i="449"/>
  <c r="B79" i="442"/>
  <c r="B131" i="442"/>
  <c r="B65" i="488"/>
  <c r="B127" i="488"/>
  <c r="B287" i="488"/>
  <c r="B71" i="487"/>
  <c r="B137" i="487"/>
  <c r="B519" i="487"/>
  <c r="B89" i="480"/>
  <c r="B367" i="480"/>
  <c r="B454" i="480"/>
  <c r="B145" i="472"/>
  <c r="B260" i="472"/>
  <c r="B301" i="472"/>
  <c r="B374" i="472"/>
  <c r="B27" i="463"/>
  <c r="B126" i="463"/>
  <c r="B233" i="463"/>
  <c r="B270" i="463"/>
  <c r="B37" i="455"/>
  <c r="B107" i="455"/>
  <c r="B21" i="453"/>
  <c r="B196" i="453"/>
  <c r="B53" i="452"/>
  <c r="B144" i="452"/>
  <c r="B7" i="451"/>
  <c r="B169" i="451"/>
  <c r="B62" i="449"/>
  <c r="B144" i="449"/>
  <c r="B200" i="449"/>
  <c r="B17" i="444"/>
  <c r="B47" i="444"/>
  <c r="B155" i="444"/>
  <c r="B55" i="442"/>
  <c r="B110" i="442"/>
  <c r="B369" i="488"/>
  <c r="B441" i="488"/>
  <c r="B495" i="488"/>
  <c r="B25" i="487"/>
  <c r="B272" i="487"/>
  <c r="B527" i="487"/>
  <c r="B10" i="484"/>
  <c r="B56" i="484"/>
  <c r="B178" i="484"/>
  <c r="B233" i="484"/>
  <c r="B439" i="484"/>
  <c r="B142" i="480"/>
  <c r="B286" i="480"/>
  <c r="B325" i="480"/>
  <c r="B467" i="480"/>
  <c r="B65" i="472"/>
  <c r="B116" i="472"/>
  <c r="B266" i="472"/>
  <c r="B341" i="472"/>
  <c r="B277" i="463"/>
  <c r="B305" i="463"/>
  <c r="B77" i="455"/>
  <c r="B147" i="455"/>
  <c r="B254" i="455"/>
  <c r="B60" i="453"/>
  <c r="B98" i="453"/>
  <c r="B130" i="453"/>
  <c r="B165" i="453"/>
  <c r="B22" i="452"/>
  <c r="B152" i="452"/>
  <c r="B182" i="452"/>
  <c r="B217" i="452"/>
  <c r="B12" i="451"/>
  <c r="B73" i="451"/>
  <c r="B108" i="451"/>
  <c r="B39" i="449"/>
  <c r="B95" i="449"/>
  <c r="B150" i="449"/>
  <c r="B172" i="449"/>
  <c r="B58" i="442"/>
  <c r="B86" i="442"/>
  <c r="B167" i="442"/>
  <c r="B7" i="488"/>
  <c r="B159" i="488"/>
  <c r="B513" i="488"/>
  <c r="B569" i="488"/>
  <c r="B33" i="487"/>
  <c r="B97" i="487"/>
  <c r="B159" i="487"/>
  <c r="B215" i="487"/>
  <c r="B351" i="487"/>
  <c r="B121" i="484"/>
  <c r="B243" i="484"/>
  <c r="B391" i="484"/>
  <c r="B54" i="480"/>
  <c r="B156" i="480"/>
  <c r="B198" i="480"/>
  <c r="B243" i="480"/>
  <c r="B292" i="480"/>
  <c r="B340" i="480"/>
  <c r="B379" i="480"/>
  <c r="B426" i="480"/>
  <c r="B71" i="472"/>
  <c r="B35" i="463"/>
  <c r="B72" i="463"/>
  <c r="B279" i="463"/>
  <c r="B15" i="455"/>
  <c r="B191" i="455"/>
  <c r="B259" i="455"/>
  <c r="B34" i="453"/>
  <c r="B104" i="453"/>
  <c r="B202" i="453"/>
  <c r="B240" i="453"/>
  <c r="B124" i="452"/>
  <c r="B375" i="488"/>
  <c r="B447" i="488"/>
  <c r="B521" i="488"/>
  <c r="B39" i="487"/>
  <c r="B287" i="487"/>
  <c r="B353" i="487"/>
  <c r="B417" i="487"/>
  <c r="B535" i="487"/>
  <c r="B299" i="484"/>
  <c r="B447" i="484"/>
  <c r="B55" i="480"/>
  <c r="B244" i="480"/>
  <c r="B427" i="480"/>
  <c r="B475" i="480"/>
  <c r="B35" i="472"/>
  <c r="B162" i="472"/>
  <c r="B196" i="472"/>
  <c r="B236" i="472"/>
  <c r="B311" i="472"/>
  <c r="B36" i="463"/>
  <c r="B106" i="463"/>
  <c r="B142" i="463"/>
  <c r="B180" i="463"/>
  <c r="B16" i="455"/>
  <c r="B85" i="455"/>
  <c r="B261" i="455"/>
  <c r="B105" i="453"/>
  <c r="B59" i="452"/>
  <c r="B125" i="452"/>
  <c r="B221" i="452"/>
  <c r="B19" i="451"/>
  <c r="B49" i="451"/>
  <c r="B85" i="451"/>
  <c r="B211" i="451"/>
  <c r="B45" i="449"/>
  <c r="B127" i="449"/>
  <c r="B183" i="449"/>
  <c r="B53" i="444"/>
  <c r="B83" i="444"/>
  <c r="B7" i="442"/>
  <c r="B38" i="442"/>
  <c r="B62" i="442"/>
  <c r="B115" i="442"/>
  <c r="B25" i="488"/>
  <c r="B88" i="488"/>
  <c r="B320" i="488"/>
  <c r="B376" i="488"/>
  <c r="B448" i="488"/>
  <c r="B40" i="487"/>
  <c r="B105" i="487"/>
  <c r="B288" i="487"/>
  <c r="B536" i="487"/>
  <c r="B18" i="484"/>
  <c r="B140" i="484"/>
  <c r="B428" i="480"/>
  <c r="B480" i="480"/>
  <c r="B36" i="472"/>
  <c r="B163" i="472"/>
  <c r="B203" i="472"/>
  <c r="B237" i="472"/>
  <c r="B278" i="472"/>
  <c r="B312" i="472"/>
  <c r="B386" i="472"/>
  <c r="B143" i="463"/>
  <c r="B250" i="463"/>
  <c r="B91" i="455"/>
  <c r="B144" i="453"/>
  <c r="B176" i="453"/>
  <c r="B61" i="452"/>
  <c r="B126" i="452"/>
  <c r="B222" i="452"/>
  <c r="B151" i="451"/>
  <c r="B46" i="449"/>
  <c r="B208" i="449"/>
  <c r="B113" i="444"/>
  <c r="B39" i="442"/>
  <c r="B63" i="442"/>
  <c r="B94" i="442"/>
  <c r="B123" i="442"/>
  <c r="B146" i="442"/>
  <c r="B191" i="488"/>
  <c r="B63" i="487"/>
  <c r="B176" i="487"/>
  <c r="B495" i="487"/>
  <c r="B409" i="484"/>
  <c r="B216" i="480"/>
  <c r="B447" i="480"/>
  <c r="B41" i="472"/>
  <c r="B117" i="472"/>
  <c r="B380" i="472"/>
  <c r="B58" i="455"/>
  <c r="B121" i="455"/>
  <c r="B100" i="453"/>
  <c r="B157" i="453"/>
  <c r="B92" i="452"/>
  <c r="B66" i="451"/>
  <c r="B166" i="449"/>
  <c r="B41" i="444"/>
  <c r="B26" i="442"/>
  <c r="B193" i="488"/>
  <c r="B449" i="488"/>
  <c r="B289" i="487"/>
  <c r="B393" i="487"/>
  <c r="B497" i="487"/>
  <c r="B26" i="484"/>
  <c r="B50" i="480"/>
  <c r="B217" i="480"/>
  <c r="B298" i="480"/>
  <c r="B42" i="472"/>
  <c r="B121" i="472"/>
  <c r="B190" i="472"/>
  <c r="B387" i="472"/>
  <c r="B214" i="463"/>
  <c r="B331" i="463"/>
  <c r="B182" i="455"/>
  <c r="B239" i="455"/>
  <c r="B164" i="453"/>
  <c r="B39" i="452"/>
  <c r="B98" i="452"/>
  <c r="B203" i="452"/>
  <c r="B215" i="451"/>
  <c r="B167" i="449"/>
  <c r="B86" i="444"/>
  <c r="B34" i="442"/>
  <c r="B75" i="442"/>
  <c r="B114" i="442"/>
  <c r="B158" i="442"/>
  <c r="B199" i="488"/>
  <c r="B327" i="488"/>
  <c r="B567" i="488"/>
  <c r="B305" i="487"/>
  <c r="B399" i="487"/>
  <c r="B148" i="484"/>
  <c r="B325" i="484"/>
  <c r="B503" i="484"/>
  <c r="B136" i="480"/>
  <c r="B378" i="480"/>
  <c r="B134" i="472"/>
  <c r="B215" i="463"/>
  <c r="B278" i="463"/>
  <c r="B126" i="455"/>
  <c r="B170" i="453"/>
  <c r="B40" i="452"/>
  <c r="B99" i="452"/>
  <c r="B204" i="452"/>
  <c r="B72" i="451"/>
  <c r="B173" i="444"/>
  <c r="B35" i="442"/>
  <c r="B89" i="488"/>
  <c r="B464" i="488"/>
  <c r="B592" i="488"/>
  <c r="B312" i="487"/>
  <c r="B424" i="487"/>
  <c r="B46" i="484"/>
  <c r="B151" i="484"/>
  <c r="B336" i="484"/>
  <c r="B419" i="484"/>
  <c r="B394" i="480"/>
  <c r="B460" i="480"/>
  <c r="B209" i="472"/>
  <c r="B265" i="472"/>
  <c r="B329" i="472"/>
  <c r="B397" i="472"/>
  <c r="B45" i="463"/>
  <c r="B97" i="463"/>
  <c r="B70" i="455"/>
  <c r="B127" i="455"/>
  <c r="B253" i="455"/>
  <c r="B112" i="453"/>
  <c r="B177" i="453"/>
  <c r="B234" i="453"/>
  <c r="B215" i="452"/>
  <c r="B126" i="451"/>
  <c r="B175" i="451"/>
  <c r="B83" i="449"/>
  <c r="B171" i="449"/>
  <c r="B50" i="444"/>
  <c r="B95" i="444"/>
  <c r="B126" i="442"/>
  <c r="B166" i="442"/>
  <c r="B112" i="488"/>
  <c r="B473" i="488"/>
  <c r="B95" i="487"/>
  <c r="B200" i="487"/>
  <c r="B529" i="487"/>
  <c r="B512" i="484"/>
  <c r="B311" i="480"/>
  <c r="B58" i="472"/>
  <c r="B161" i="463"/>
  <c r="B14" i="455"/>
  <c r="B72" i="455"/>
  <c r="B196" i="455"/>
  <c r="B113" i="453"/>
  <c r="B178" i="453"/>
  <c r="B163" i="452"/>
  <c r="B30" i="451"/>
  <c r="B227" i="451"/>
  <c r="B11" i="444"/>
  <c r="B140" i="444"/>
  <c r="B127" i="442"/>
  <c r="B479" i="488"/>
  <c r="B599" i="488"/>
  <c r="B207" i="487"/>
  <c r="B251" i="484"/>
  <c r="B513" i="484"/>
  <c r="B76" i="480"/>
  <c r="B239" i="480"/>
  <c r="B318" i="480"/>
  <c r="B481" i="480"/>
  <c r="B139" i="472"/>
  <c r="B283" i="472"/>
  <c r="B23" i="455"/>
  <c r="B59" i="453"/>
  <c r="B245" i="453"/>
  <c r="B105" i="452"/>
  <c r="B164" i="452"/>
  <c r="B31" i="451"/>
  <c r="B186" i="451"/>
  <c r="B50" i="449"/>
  <c r="B98" i="444"/>
  <c r="B43" i="442"/>
  <c r="B120" i="488"/>
  <c r="B247" i="488"/>
  <c r="B600" i="488"/>
  <c r="B431" i="487"/>
  <c r="B551" i="487"/>
  <c r="B523" i="484"/>
  <c r="B77" i="480"/>
  <c r="B320" i="480"/>
  <c r="B399" i="480"/>
  <c r="B482" i="480"/>
  <c r="B213" i="472"/>
  <c r="B403" i="472"/>
  <c r="B52" i="463"/>
  <c r="B171" i="463"/>
  <c r="B296" i="463"/>
  <c r="B141" i="455"/>
  <c r="B8" i="453"/>
  <c r="B61" i="453"/>
  <c r="B112" i="452"/>
  <c r="B165" i="452"/>
  <c r="B101" i="444"/>
  <c r="B146" i="444"/>
  <c r="B91" i="442"/>
  <c r="B121" i="488"/>
  <c r="B112" i="487"/>
  <c r="B240" i="487"/>
  <c r="B177" i="484"/>
  <c r="B269" i="484"/>
  <c r="B364" i="484"/>
  <c r="B324" i="480"/>
  <c r="B400" i="480"/>
  <c r="B214" i="472"/>
  <c r="B53" i="463"/>
  <c r="B234" i="463"/>
  <c r="B93" i="455"/>
  <c r="B210" i="455"/>
  <c r="B9" i="453"/>
  <c r="B191" i="453"/>
  <c r="B9" i="452"/>
  <c r="B43" i="451"/>
  <c r="B90" i="451"/>
  <c r="B192" i="451"/>
  <c r="B13" i="449"/>
  <c r="B57" i="449"/>
  <c r="B100" i="449"/>
  <c r="B138" i="449"/>
  <c r="B6" i="442"/>
  <c r="B46" i="442"/>
  <c r="B95" i="442"/>
  <c r="B130" i="442"/>
  <c r="B401" i="488"/>
  <c r="B128" i="487"/>
  <c r="B241" i="487"/>
  <c r="B447" i="487"/>
  <c r="B179" i="484"/>
  <c r="B271" i="484"/>
  <c r="B82" i="480"/>
  <c r="B169" i="480"/>
  <c r="B87" i="472"/>
  <c r="B54" i="463"/>
  <c r="B149" i="455"/>
  <c r="B211" i="455"/>
  <c r="B131" i="453"/>
  <c r="B176" i="452"/>
  <c r="B229" i="452"/>
  <c r="B91" i="451"/>
  <c r="B145" i="451"/>
  <c r="B193" i="451"/>
  <c r="B10" i="442"/>
  <c r="B33" i="488"/>
  <c r="B527" i="488"/>
  <c r="B456" i="484"/>
  <c r="B22" i="480"/>
  <c r="B90" i="480"/>
  <c r="B346" i="480"/>
  <c r="B420" i="480"/>
  <c r="B289" i="472"/>
  <c r="B7" i="463"/>
  <c r="B189" i="463"/>
  <c r="B251" i="463"/>
  <c r="B304" i="463"/>
  <c r="B79" i="453"/>
  <c r="B13" i="452"/>
  <c r="B72" i="452"/>
  <c r="B131" i="452"/>
  <c r="B235" i="452"/>
  <c r="B48" i="451"/>
  <c r="B24" i="449"/>
  <c r="B188" i="449"/>
  <c r="B143" i="442"/>
  <c r="B407" i="488"/>
  <c r="B465" i="487"/>
  <c r="B567" i="487"/>
  <c r="B92" i="484"/>
  <c r="B104" i="480"/>
  <c r="B183" i="480"/>
  <c r="B265" i="480"/>
  <c r="B347" i="480"/>
  <c r="B12" i="472"/>
  <c r="B9" i="463"/>
  <c r="B124" i="463"/>
  <c r="B74" i="452"/>
  <c r="B32" i="444"/>
  <c r="B68" i="444"/>
  <c r="B116" i="444"/>
  <c r="B18" i="442"/>
  <c r="B98" i="442"/>
  <c r="B288" i="488"/>
  <c r="B41" i="487"/>
  <c r="B144" i="487"/>
  <c r="B247" i="487"/>
  <c r="B359" i="487"/>
  <c r="B94" i="484"/>
  <c r="B115" i="480"/>
  <c r="B363" i="472"/>
  <c r="B231" i="455"/>
  <c r="B22" i="453"/>
  <c r="B86" i="453"/>
  <c r="B215" i="453"/>
  <c r="B21" i="452"/>
  <c r="B137" i="452"/>
  <c r="B195" i="452"/>
  <c r="B55" i="451"/>
  <c r="B67" i="449"/>
  <c r="B112" i="449"/>
  <c r="B155" i="449"/>
  <c r="B77" i="444"/>
  <c r="B158" i="444"/>
  <c r="B535" i="488"/>
  <c r="B151" i="487"/>
  <c r="B102" i="484"/>
  <c r="B307" i="484"/>
  <c r="B475" i="484"/>
  <c r="B116" i="480"/>
  <c r="B196" i="480"/>
  <c r="B18" i="472"/>
  <c r="B98" i="472"/>
  <c r="B242" i="472"/>
  <c r="B364" i="472"/>
  <c r="B260" i="463"/>
  <c r="B322" i="463"/>
  <c r="B49" i="455"/>
  <c r="B168" i="455"/>
  <c r="B233" i="455"/>
  <c r="B87" i="453"/>
  <c r="B217" i="453"/>
  <c r="B79" i="452"/>
  <c r="B109" i="451"/>
  <c r="B210" i="451"/>
  <c r="B29" i="449"/>
  <c r="B78" i="449"/>
  <c r="B160" i="449"/>
  <c r="B164" i="444"/>
  <c r="B107" i="442"/>
  <c r="B151" i="442"/>
  <c r="B536" i="488"/>
  <c r="B175" i="487"/>
  <c r="B271" i="487"/>
  <c r="B215" i="484"/>
  <c r="B401" i="484"/>
  <c r="B28" i="480"/>
  <c r="B117" i="480"/>
  <c r="B277" i="480"/>
  <c r="B352" i="480"/>
  <c r="B446" i="480"/>
  <c r="B180" i="472"/>
  <c r="B16" i="463"/>
  <c r="B80" i="463"/>
  <c r="B144" i="463"/>
  <c r="B261" i="463"/>
  <c r="B323" i="463"/>
  <c r="B57" i="455"/>
  <c r="B112" i="455"/>
  <c r="B39" i="453"/>
  <c r="B151" i="453"/>
  <c r="B13" i="451"/>
  <c r="B156" i="451"/>
  <c r="B79" i="449"/>
  <c r="B117" i="449"/>
  <c r="B204" i="449"/>
  <c r="B35" i="444"/>
  <c r="B170" i="444"/>
  <c r="B23" i="442"/>
  <c r="B70" i="442"/>
  <c r="B111" i="442"/>
  <c r="B7" i="441"/>
  <c r="B21" i="441"/>
  <c r="B35" i="441"/>
  <c r="B49" i="441"/>
  <c r="B63" i="441"/>
  <c r="B77" i="441"/>
  <c r="B91" i="441"/>
  <c r="B105" i="441"/>
  <c r="B119" i="441"/>
  <c r="B133" i="441"/>
  <c r="B147" i="441"/>
  <c r="B41" i="440"/>
  <c r="B83" i="440"/>
  <c r="B125" i="440"/>
  <c r="B26" i="439"/>
  <c r="B68" i="439"/>
  <c r="B110" i="439"/>
  <c r="B27" i="441"/>
  <c r="B42" i="441"/>
  <c r="B72" i="441"/>
  <c r="B132" i="441"/>
  <c r="B8" i="439"/>
  <c r="B23" i="439"/>
  <c r="B38" i="439"/>
  <c r="B53" i="439"/>
  <c r="B20" i="448"/>
  <c r="B76" i="448"/>
  <c r="B118" i="448"/>
  <c r="B132" i="448"/>
  <c r="B174" i="448"/>
  <c r="B230" i="448"/>
  <c r="B13" i="441"/>
  <c r="B28" i="441"/>
  <c r="B58" i="441"/>
  <c r="B118" i="441"/>
  <c r="B149" i="441"/>
  <c r="B21" i="448"/>
  <c r="B63" i="448"/>
  <c r="B77" i="448"/>
  <c r="B119" i="448"/>
  <c r="B175" i="448"/>
  <c r="B217" i="448"/>
  <c r="B231" i="448"/>
  <c r="B28" i="447"/>
  <c r="B14" i="441"/>
  <c r="B44" i="441"/>
  <c r="B104" i="441"/>
  <c r="B135" i="441"/>
  <c r="B17" i="440"/>
  <c r="B32" i="440"/>
  <c r="B47" i="440"/>
  <c r="B62" i="440"/>
  <c r="B77" i="440"/>
  <c r="B92" i="440"/>
  <c r="B107" i="440"/>
  <c r="B122" i="440"/>
  <c r="B41" i="439"/>
  <c r="B56" i="439"/>
  <c r="B71" i="439"/>
  <c r="B86" i="439"/>
  <c r="B101" i="439"/>
  <c r="B116" i="439"/>
  <c r="B22" i="448"/>
  <c r="B64" i="448"/>
  <c r="B120" i="448"/>
  <c r="B162" i="448"/>
  <c r="B176" i="448"/>
  <c r="B218" i="448"/>
  <c r="B86" i="441"/>
  <c r="B126" i="441"/>
  <c r="B113" i="440"/>
  <c r="B70" i="441"/>
  <c r="B128" i="441"/>
  <c r="B146" i="441"/>
  <c r="B20" i="440"/>
  <c r="B38" i="440"/>
  <c r="B83" i="439"/>
  <c r="B104" i="439"/>
  <c r="B122" i="439"/>
  <c r="B54" i="448"/>
  <c r="B88" i="448"/>
  <c r="B108" i="448"/>
  <c r="B142" i="448"/>
  <c r="B196" i="448"/>
  <c r="B19" i="447"/>
  <c r="B49" i="447"/>
  <c r="B91" i="447"/>
  <c r="B119" i="447"/>
  <c r="B161" i="447"/>
  <c r="B189" i="447"/>
  <c r="B21" i="446"/>
  <c r="B49" i="446"/>
  <c r="B91" i="446"/>
  <c r="B119" i="446"/>
  <c r="B48" i="441"/>
  <c r="B139" i="441"/>
  <c r="B11" i="440"/>
  <c r="B35" i="440"/>
  <c r="B75" i="448"/>
  <c r="B96" i="448"/>
  <c r="B153" i="448"/>
  <c r="B228" i="448"/>
  <c r="B18" i="447"/>
  <c r="B51" i="447"/>
  <c r="B81" i="447"/>
  <c r="B111" i="447"/>
  <c r="B141" i="447"/>
  <c r="B171" i="447"/>
  <c r="B201" i="447"/>
  <c r="B141" i="446"/>
  <c r="B169" i="446"/>
  <c r="B7" i="445"/>
  <c r="B35" i="445"/>
  <c r="B20" i="441"/>
  <c r="B11" i="439"/>
  <c r="B32" i="439"/>
  <c r="B19" i="448"/>
  <c r="B41" i="448"/>
  <c r="B143" i="448"/>
  <c r="B165" i="448"/>
  <c r="B184" i="448"/>
  <c r="B206" i="448"/>
  <c r="B68" i="447"/>
  <c r="B100" i="447"/>
  <c r="B149" i="447"/>
  <c r="B181" i="447"/>
  <c r="B19" i="446"/>
  <c r="B69" i="446"/>
  <c r="B101" i="446"/>
  <c r="B148" i="446"/>
  <c r="B178" i="446"/>
  <c r="B18" i="445"/>
  <c r="B63" i="445"/>
  <c r="B133" i="445"/>
  <c r="B161" i="445"/>
  <c r="B32" i="443"/>
  <c r="B88" i="443"/>
  <c r="B144" i="443"/>
  <c r="B9" i="441"/>
  <c r="B107" i="441"/>
  <c r="B29" i="440"/>
  <c r="B53" i="440"/>
  <c r="B80" i="440"/>
  <c r="B128" i="440"/>
  <c r="B10" i="448"/>
  <c r="B30" i="448"/>
  <c r="B52" i="448"/>
  <c r="B197" i="448"/>
  <c r="B219" i="448"/>
  <c r="B60" i="447"/>
  <c r="B109" i="447"/>
  <c r="B158" i="447"/>
  <c r="B191" i="447"/>
  <c r="B29" i="446"/>
  <c r="B61" i="446"/>
  <c r="B78" i="446"/>
  <c r="B110" i="446"/>
  <c r="B27" i="445"/>
  <c r="B71" i="445"/>
  <c r="B99" i="445"/>
  <c r="B169" i="445"/>
  <c r="B40" i="443"/>
  <c r="B97" i="441"/>
  <c r="B5" i="440"/>
  <c r="B119" i="439"/>
  <c r="B141" i="448"/>
  <c r="B8" i="447"/>
  <c r="B31" i="447"/>
  <c r="B50" i="447"/>
  <c r="B70" i="447"/>
  <c r="B88" i="447"/>
  <c r="B11" i="446"/>
  <c r="B30" i="446"/>
  <c r="B48" i="446"/>
  <c r="B68" i="446"/>
  <c r="B160" i="446"/>
  <c r="B90" i="445"/>
  <c r="B107" i="445"/>
  <c r="B17" i="443"/>
  <c r="B81" i="443"/>
  <c r="B96" i="443"/>
  <c r="B111" i="443"/>
  <c r="B18" i="438"/>
  <c r="B60" i="438"/>
  <c r="B102" i="438"/>
  <c r="B12" i="437"/>
  <c r="B26" i="437"/>
  <c r="B82" i="437"/>
  <c r="B96" i="437"/>
  <c r="B14" i="435"/>
  <c r="B42" i="435"/>
  <c r="B70" i="435"/>
  <c r="B31" i="434"/>
  <c r="B59" i="434"/>
  <c r="B87" i="434"/>
  <c r="B17" i="433"/>
  <c r="B59" i="433"/>
  <c r="B38" i="432"/>
  <c r="B16" i="441"/>
  <c r="B69" i="441"/>
  <c r="B98" i="441"/>
  <c r="B125" i="441"/>
  <c r="B89" i="440"/>
  <c r="B17" i="439"/>
  <c r="B44" i="439"/>
  <c r="B97" i="448"/>
  <c r="B121" i="448"/>
  <c r="B9" i="447"/>
  <c r="B71" i="447"/>
  <c r="B89" i="447"/>
  <c r="B108" i="447"/>
  <c r="B128" i="447"/>
  <c r="B31" i="446"/>
  <c r="B50" i="446"/>
  <c r="B70" i="446"/>
  <c r="B88" i="446"/>
  <c r="B161" i="446"/>
  <c r="B179" i="446"/>
  <c r="B108" i="445"/>
  <c r="B124" i="445"/>
  <c r="B97" i="443"/>
  <c r="B112" i="443"/>
  <c r="B127" i="443"/>
  <c r="B19" i="438"/>
  <c r="B61" i="438"/>
  <c r="B103" i="438"/>
  <c r="B27" i="437"/>
  <c r="B41" i="437"/>
  <c r="B97" i="437"/>
  <c r="B111" i="437"/>
  <c r="B15" i="435"/>
  <c r="B43" i="435"/>
  <c r="B71" i="435"/>
  <c r="B18" i="434"/>
  <c r="B46" i="434"/>
  <c r="B74" i="434"/>
  <c r="B32" i="433"/>
  <c r="B11" i="432"/>
  <c r="B53" i="432"/>
  <c r="B41" i="441"/>
  <c r="B8" i="440"/>
  <c r="B65" i="440"/>
  <c r="B119" i="440"/>
  <c r="B47" i="439"/>
  <c r="B95" i="439"/>
  <c r="B125" i="439"/>
  <c r="B98" i="448"/>
  <c r="B220" i="448"/>
  <c r="B10" i="447"/>
  <c r="B90" i="447"/>
  <c r="B110" i="447"/>
  <c r="B129" i="447"/>
  <c r="B148" i="447"/>
  <c r="B51" i="446"/>
  <c r="B71" i="446"/>
  <c r="B89" i="446"/>
  <c r="B108" i="446"/>
  <c r="B128" i="446"/>
  <c r="B180" i="446"/>
  <c r="B8" i="445"/>
  <c r="B25" i="445"/>
  <c r="B43" i="445"/>
  <c r="B125" i="445"/>
  <c r="B142" i="445"/>
  <c r="B113" i="443"/>
  <c r="B128" i="443"/>
  <c r="B143" i="443"/>
  <c r="B6" i="438"/>
  <c r="B48" i="438"/>
  <c r="B90" i="438"/>
  <c r="B132" i="438"/>
  <c r="B42" i="437"/>
  <c r="B56" i="437"/>
  <c r="B112" i="437"/>
  <c r="B30" i="435"/>
  <c r="B58" i="435"/>
  <c r="B19" i="434"/>
  <c r="B47" i="434"/>
  <c r="B75" i="434"/>
  <c r="B5" i="433"/>
  <c r="B47" i="433"/>
  <c r="B26" i="432"/>
  <c r="B76" i="441"/>
  <c r="B100" i="441"/>
  <c r="B95" i="440"/>
  <c r="B20" i="439"/>
  <c r="B74" i="439"/>
  <c r="B98" i="439"/>
  <c r="B74" i="448"/>
  <c r="B99" i="448"/>
  <c r="B195" i="448"/>
  <c r="B11" i="447"/>
  <c r="B130" i="447"/>
  <c r="B150" i="447"/>
  <c r="B168" i="447"/>
  <c r="B90" i="446"/>
  <c r="B109" i="446"/>
  <c r="B129" i="446"/>
  <c r="B181" i="446"/>
  <c r="B9" i="445"/>
  <c r="B26" i="445"/>
  <c r="B44" i="445"/>
  <c r="B61" i="445"/>
  <c r="B126" i="445"/>
  <c r="B143" i="445"/>
  <c r="B129" i="443"/>
  <c r="B145" i="443"/>
  <c r="B7" i="438"/>
  <c r="B49" i="438"/>
  <c r="B91" i="438"/>
  <c r="B133" i="438"/>
  <c r="B57" i="437"/>
  <c r="B71" i="437"/>
  <c r="B31" i="435"/>
  <c r="B59" i="435"/>
  <c r="B6" i="434"/>
  <c r="B34" i="434"/>
  <c r="B62" i="434"/>
  <c r="B20" i="433"/>
  <c r="B62" i="433"/>
  <c r="B41" i="432"/>
  <c r="B68" i="440"/>
  <c r="B98" i="440"/>
  <c r="B53" i="448"/>
  <c r="B198" i="448"/>
  <c r="B38" i="447"/>
  <c r="B131" i="447"/>
  <c r="B151" i="447"/>
  <c r="B169" i="447"/>
  <c r="B188" i="447"/>
  <c r="B208" i="447"/>
  <c r="B111" i="446"/>
  <c r="B130" i="446"/>
  <c r="B45" i="445"/>
  <c r="B62" i="445"/>
  <c r="B79" i="445"/>
  <c r="B144" i="445"/>
  <c r="B160" i="445"/>
  <c r="B55" i="443"/>
  <c r="B36" i="438"/>
  <c r="B78" i="438"/>
  <c r="B30" i="441"/>
  <c r="B56" i="441"/>
  <c r="B84" i="441"/>
  <c r="B142" i="441"/>
  <c r="B23" i="440"/>
  <c r="B50" i="440"/>
  <c r="B5" i="439"/>
  <c r="B59" i="439"/>
  <c r="B85" i="448"/>
  <c r="B110" i="448"/>
  <c r="B131" i="448"/>
  <c r="B207" i="448"/>
  <c r="B229" i="448"/>
  <c r="B101" i="447"/>
  <c r="B120" i="447"/>
  <c r="B138" i="447"/>
  <c r="B60" i="446"/>
  <c r="B80" i="446"/>
  <c r="B99" i="446"/>
  <c r="B118" i="446"/>
  <c r="B171" i="446"/>
  <c r="B189" i="446"/>
  <c r="B16" i="445"/>
  <c r="B34" i="445"/>
  <c r="B52" i="445"/>
  <c r="B117" i="445"/>
  <c r="B134" i="445"/>
  <c r="B121" i="443"/>
  <c r="B136" i="443"/>
  <c r="B151" i="443"/>
  <c r="B13" i="438"/>
  <c r="B55" i="438"/>
  <c r="B97" i="438"/>
  <c r="B7" i="437"/>
  <c r="B21" i="437"/>
  <c r="B77" i="437"/>
  <c r="B91" i="437"/>
  <c r="B23" i="435"/>
  <c r="B51" i="435"/>
  <c r="B79" i="435"/>
  <c r="B26" i="434"/>
  <c r="B54" i="434"/>
  <c r="B82" i="434"/>
  <c r="B26" i="433"/>
  <c r="B5" i="432"/>
  <c r="B47" i="432"/>
  <c r="B23" i="441"/>
  <c r="B65" i="441"/>
  <c r="B121" i="441"/>
  <c r="B71" i="440"/>
  <c r="B116" i="440"/>
  <c r="B35" i="439"/>
  <c r="B8" i="448"/>
  <c r="B44" i="448"/>
  <c r="B87" i="448"/>
  <c r="B130" i="448"/>
  <c r="B61" i="447"/>
  <c r="B160" i="447"/>
  <c r="B18" i="446"/>
  <c r="B150" i="446"/>
  <c r="B81" i="445"/>
  <c r="B106" i="445"/>
  <c r="B24" i="443"/>
  <c r="B49" i="443"/>
  <c r="B105" i="443"/>
  <c r="B54" i="438"/>
  <c r="B126" i="438"/>
  <c r="B17" i="437"/>
  <c r="B37" i="437"/>
  <c r="B22" i="434"/>
  <c r="B42" i="434"/>
  <c r="B44" i="433"/>
  <c r="B79" i="441"/>
  <c r="B9" i="448"/>
  <c r="B55" i="448"/>
  <c r="B29" i="447"/>
  <c r="B98" i="447"/>
  <c r="B20" i="446"/>
  <c r="B120" i="446"/>
  <c r="B151" i="446"/>
  <c r="B53" i="445"/>
  <c r="B25" i="443"/>
  <c r="B56" i="443"/>
  <c r="B79" i="443"/>
  <c r="B30" i="438"/>
  <c r="B127" i="438"/>
  <c r="B61" i="437"/>
  <c r="B81" i="437"/>
  <c r="B18" i="435"/>
  <c r="B38" i="435"/>
  <c r="B23" i="434"/>
  <c r="B43" i="434"/>
  <c r="B66" i="434"/>
  <c r="B86" i="434"/>
  <c r="B29" i="432"/>
  <c r="B74" i="440"/>
  <c r="B89" i="439"/>
  <c r="B11" i="448"/>
  <c r="B30" i="447"/>
  <c r="B99" i="447"/>
  <c r="B198" i="447"/>
  <c r="B121" i="446"/>
  <c r="B54" i="445"/>
  <c r="B57" i="443"/>
  <c r="B80" i="443"/>
  <c r="B135" i="443"/>
  <c r="B31" i="438"/>
  <c r="B108" i="438"/>
  <c r="B62" i="437"/>
  <c r="B86" i="437"/>
  <c r="B106" i="437"/>
  <c r="B19" i="435"/>
  <c r="B39" i="435"/>
  <c r="B62" i="435"/>
  <c r="B82" i="435"/>
  <c r="B67" i="434"/>
  <c r="B50" i="433"/>
  <c r="B50" i="432"/>
  <c r="B26" i="440"/>
  <c r="B50" i="439"/>
  <c r="B39" i="447"/>
  <c r="B170" i="447"/>
  <c r="B199" i="447"/>
  <c r="B58" i="446"/>
  <c r="B115" i="445"/>
  <c r="B170" i="445"/>
  <c r="B137" i="443"/>
  <c r="B37" i="438"/>
  <c r="B84" i="438"/>
  <c r="B109" i="438"/>
  <c r="B87" i="437"/>
  <c r="B107" i="437"/>
  <c r="B63" i="435"/>
  <c r="B83" i="435"/>
  <c r="B8" i="433"/>
  <c r="B8" i="432"/>
  <c r="B34" i="441"/>
  <c r="B83" i="441"/>
  <c r="B92" i="439"/>
  <c r="B140" i="448"/>
  <c r="B185" i="448"/>
  <c r="B40" i="447"/>
  <c r="B69" i="447"/>
  <c r="B200" i="447"/>
  <c r="B59" i="446"/>
  <c r="B188" i="446"/>
  <c r="B116" i="445"/>
  <c r="B171" i="445"/>
  <c r="B87" i="443"/>
  <c r="B12" i="438"/>
  <c r="B85" i="438"/>
  <c r="B22" i="437"/>
  <c r="B7" i="434"/>
  <c r="B27" i="434"/>
  <c r="B50" i="434"/>
  <c r="B70" i="434"/>
  <c r="B29" i="433"/>
  <c r="B32" i="432"/>
  <c r="B56" i="432"/>
  <c r="B37" i="441"/>
  <c r="B65" i="448"/>
  <c r="B107" i="448"/>
  <c r="B151" i="448"/>
  <c r="B186" i="448"/>
  <c r="B41" i="447"/>
  <c r="B139" i="447"/>
  <c r="B209" i="447"/>
  <c r="B131" i="446"/>
  <c r="B158" i="446"/>
  <c r="B190" i="446"/>
  <c r="B88" i="445"/>
  <c r="B7" i="443"/>
  <c r="B31" i="443"/>
  <c r="B89" i="443"/>
  <c r="B46" i="437"/>
  <c r="B66" i="437"/>
  <c r="B22" i="435"/>
  <c r="B46" i="435"/>
  <c r="B66" i="435"/>
  <c r="B51" i="434"/>
  <c r="B71" i="434"/>
  <c r="B53" i="433"/>
  <c r="B14" i="432"/>
  <c r="B90" i="441"/>
  <c r="B140" i="441"/>
  <c r="B44" i="440"/>
  <c r="B86" i="440"/>
  <c r="B66" i="448"/>
  <c r="B109" i="448"/>
  <c r="B152" i="448"/>
  <c r="B187" i="448"/>
  <c r="B78" i="447"/>
  <c r="B140" i="447"/>
  <c r="B210" i="447"/>
  <c r="B28" i="446"/>
  <c r="B98" i="446"/>
  <c r="B159" i="446"/>
  <c r="B191" i="446"/>
  <c r="B89" i="445"/>
  <c r="B8" i="443"/>
  <c r="B33" i="443"/>
  <c r="B63" i="443"/>
  <c r="B66" i="438"/>
  <c r="B47" i="437"/>
  <c r="B67" i="437"/>
  <c r="B47" i="435"/>
  <c r="B67" i="435"/>
  <c r="B11" i="433"/>
  <c r="B35" i="433"/>
  <c r="B35" i="432"/>
  <c r="B51" i="441"/>
  <c r="B93" i="441"/>
  <c r="B14" i="439"/>
  <c r="B107" i="439"/>
  <c r="B154" i="448"/>
  <c r="B79" i="447"/>
  <c r="B178" i="447"/>
  <c r="B211" i="447"/>
  <c r="B38" i="446"/>
  <c r="B100" i="446"/>
  <c r="B36" i="445"/>
  <c r="B151" i="445"/>
  <c r="B9" i="443"/>
  <c r="B39" i="443"/>
  <c r="B64" i="443"/>
  <c r="B119" i="443"/>
  <c r="B42" i="438"/>
  <c r="B67" i="438"/>
  <c r="B114" i="438"/>
  <c r="B72" i="437"/>
  <c r="B92" i="437"/>
  <c r="B10" i="434"/>
  <c r="B30" i="434"/>
  <c r="B56" i="433"/>
  <c r="B59" i="432"/>
  <c r="B62" i="439"/>
  <c r="B31" i="448"/>
  <c r="B80" i="447"/>
  <c r="B179" i="447"/>
  <c r="B39" i="446"/>
  <c r="B97" i="445"/>
  <c r="B152" i="445"/>
  <c r="B41" i="443"/>
  <c r="B65" i="443"/>
  <c r="B120" i="443"/>
  <c r="B43" i="438"/>
  <c r="B115" i="438"/>
  <c r="B6" i="437"/>
  <c r="B6" i="435"/>
  <c r="B26" i="435"/>
  <c r="B11" i="434"/>
  <c r="B35" i="434"/>
  <c r="B55" i="434"/>
  <c r="B78" i="434"/>
  <c r="B14" i="433"/>
  <c r="B17" i="432"/>
  <c r="B101" i="440"/>
  <c r="B32" i="448"/>
  <c r="B180" i="447"/>
  <c r="B40" i="446"/>
  <c r="B168" i="446"/>
  <c r="B98" i="445"/>
  <c r="B153" i="445"/>
  <c r="B71" i="443"/>
  <c r="B120" i="438"/>
  <c r="B31" i="437"/>
  <c r="B51" i="437"/>
  <c r="B7" i="435"/>
  <c r="B27" i="435"/>
  <c r="B50" i="435"/>
  <c r="B74" i="435"/>
  <c r="B79" i="434"/>
  <c r="B38" i="433"/>
  <c r="B62" i="432"/>
  <c r="B55" i="441"/>
  <c r="B104" i="440"/>
  <c r="B29" i="439"/>
  <c r="B65" i="439"/>
  <c r="B113" i="439"/>
  <c r="B33" i="448"/>
  <c r="B163" i="448"/>
  <c r="B20" i="447"/>
  <c r="B48" i="447"/>
  <c r="B118" i="447"/>
  <c r="B8" i="446"/>
  <c r="B41" i="446"/>
  <c r="B138" i="446"/>
  <c r="B170" i="446"/>
  <c r="B70" i="445"/>
  <c r="B72" i="443"/>
  <c r="B95" i="443"/>
  <c r="B24" i="438"/>
  <c r="B96" i="438"/>
  <c r="B121" i="438"/>
  <c r="B32" i="437"/>
  <c r="B52" i="437"/>
  <c r="B75" i="435"/>
  <c r="B14" i="434"/>
  <c r="B20" i="432"/>
  <c r="B6" i="441"/>
  <c r="B111" i="441"/>
  <c r="B56" i="440"/>
  <c r="B77" i="439"/>
  <c r="B164" i="448"/>
  <c r="B208" i="448"/>
  <c r="B21" i="447"/>
  <c r="B121" i="447"/>
  <c r="B190" i="447"/>
  <c r="B9" i="446"/>
  <c r="B139" i="446"/>
  <c r="B72" i="445"/>
  <c r="B162" i="445"/>
  <c r="B15" i="443"/>
  <c r="B73" i="443"/>
  <c r="B152" i="443"/>
  <c r="B25" i="438"/>
  <c r="B72" i="438"/>
  <c r="B76" i="437"/>
  <c r="B10" i="435"/>
  <c r="B15" i="434"/>
  <c r="B38" i="434"/>
  <c r="B58" i="434"/>
  <c r="B41" i="433"/>
  <c r="B44" i="432"/>
  <c r="B62" i="441"/>
  <c r="B112" i="441"/>
  <c r="B14" i="440"/>
  <c r="B59" i="440"/>
  <c r="B110" i="440"/>
  <c r="B42" i="448"/>
  <c r="B209" i="448"/>
  <c r="B58" i="447"/>
  <c r="B10" i="446"/>
  <c r="B79" i="446"/>
  <c r="B140" i="446"/>
  <c r="B16" i="443"/>
  <c r="B47" i="443"/>
  <c r="B103" i="443"/>
  <c r="B153" i="443"/>
  <c r="B73" i="438"/>
  <c r="B11" i="437"/>
  <c r="B101" i="437"/>
  <c r="B11" i="435"/>
  <c r="B34" i="435"/>
  <c r="B54" i="435"/>
  <c r="B39" i="434"/>
  <c r="B63" i="434"/>
  <c r="B83" i="434"/>
  <c r="B65" i="433"/>
  <c r="B114" i="441"/>
  <c r="B80" i="439"/>
  <c r="B43" i="448"/>
  <c r="B86" i="448"/>
  <c r="B129" i="448"/>
  <c r="B173" i="448"/>
  <c r="B59" i="447"/>
  <c r="B159" i="447"/>
  <c r="B81" i="446"/>
  <c r="B149" i="446"/>
  <c r="B17" i="445"/>
  <c r="B80" i="445"/>
  <c r="B135" i="445"/>
  <c r="B23" i="443"/>
  <c r="B48" i="443"/>
  <c r="B104" i="443"/>
  <c r="B79" i="438"/>
  <c r="B16" i="437"/>
  <c r="B36" i="437"/>
  <c r="B102" i="437"/>
  <c r="B35" i="435"/>
  <c r="B55" i="435"/>
  <c r="B78" i="435"/>
  <c r="B23" i="433"/>
  <c r="B23" i="432"/>
  <c r="B27" i="440"/>
  <c r="B69" i="440"/>
  <c r="B111" i="440"/>
  <c r="B12" i="439"/>
  <c r="B54" i="439"/>
  <c r="B96" i="439"/>
  <c r="B14" i="448"/>
  <c r="B87" i="441"/>
  <c r="B15" i="440"/>
  <c r="B30" i="440"/>
  <c r="B45" i="440"/>
  <c r="B60" i="440"/>
  <c r="B75" i="440"/>
  <c r="B90" i="440"/>
  <c r="B105" i="440"/>
  <c r="B120" i="440"/>
  <c r="B69" i="439"/>
  <c r="B84" i="439"/>
  <c r="B99" i="439"/>
  <c r="B114" i="439"/>
  <c r="B34" i="448"/>
  <c r="B90" i="448"/>
  <c r="B146" i="448"/>
  <c r="B188" i="448"/>
  <c r="B13" i="447"/>
  <c r="B73" i="441"/>
  <c r="B9" i="439"/>
  <c r="B24" i="439"/>
  <c r="B39" i="439"/>
  <c r="B35" i="448"/>
  <c r="B91" i="448"/>
  <c r="B133" i="448"/>
  <c r="B189" i="448"/>
  <c r="B59" i="441"/>
  <c r="B150" i="441"/>
  <c r="B36" i="448"/>
  <c r="B78" i="448"/>
  <c r="B134" i="448"/>
  <c r="B190" i="448"/>
  <c r="B232" i="448"/>
  <c r="B10" i="441"/>
  <c r="B31" i="441"/>
  <c r="B108" i="441"/>
  <c r="B18" i="440"/>
  <c r="B36" i="440"/>
  <c r="B54" i="440"/>
  <c r="B52" i="441"/>
  <c r="B57" i="440"/>
  <c r="B78" i="440"/>
  <c r="B96" i="440"/>
  <c r="B6" i="439"/>
  <c r="B179" i="448"/>
  <c r="B233" i="448"/>
  <c r="B63" i="447"/>
  <c r="B133" i="447"/>
  <c r="B203" i="447"/>
  <c r="B63" i="446"/>
  <c r="B115" i="441"/>
  <c r="B81" i="440"/>
  <c r="B102" i="440"/>
  <c r="B126" i="440"/>
  <c r="B18" i="439"/>
  <c r="B60" i="439"/>
  <c r="B102" i="439"/>
  <c r="B57" i="448"/>
  <c r="B135" i="448"/>
  <c r="B210" i="448"/>
  <c r="B22" i="446"/>
  <c r="B52" i="446"/>
  <c r="B82" i="446"/>
  <c r="B112" i="446"/>
  <c r="B183" i="446"/>
  <c r="B21" i="445"/>
  <c r="B45" i="441"/>
  <c r="B94" i="441"/>
  <c r="B42" i="440"/>
  <c r="B66" i="440"/>
  <c r="B114" i="440"/>
  <c r="B120" i="439"/>
  <c r="B101" i="448"/>
  <c r="B123" i="448"/>
  <c r="B52" i="447"/>
  <c r="B132" i="447"/>
  <c r="B213" i="447"/>
  <c r="B53" i="446"/>
  <c r="B133" i="446"/>
  <c r="B163" i="446"/>
  <c r="B193" i="446"/>
  <c r="B48" i="445"/>
  <c r="B91" i="445"/>
  <c r="B119" i="445"/>
  <c r="B147" i="445"/>
  <c r="B18" i="443"/>
  <c r="B74" i="443"/>
  <c r="B130" i="443"/>
  <c r="B21" i="439"/>
  <c r="B45" i="439"/>
  <c r="B66" i="439"/>
  <c r="B90" i="439"/>
  <c r="B111" i="439"/>
  <c r="B113" i="448"/>
  <c r="B155" i="448"/>
  <c r="B177" i="448"/>
  <c r="B93" i="447"/>
  <c r="B142" i="447"/>
  <c r="B13" i="446"/>
  <c r="B142" i="446"/>
  <c r="B172" i="446"/>
  <c r="B12" i="445"/>
  <c r="B57" i="445"/>
  <c r="B127" i="445"/>
  <c r="B155" i="445"/>
  <c r="B26" i="443"/>
  <c r="B66" i="441"/>
  <c r="B33" i="440"/>
  <c r="B63" i="440"/>
  <c r="B87" i="440"/>
  <c r="B117" i="440"/>
  <c r="B93" i="439"/>
  <c r="B24" i="448"/>
  <c r="B45" i="448"/>
  <c r="B69" i="448"/>
  <c r="B167" i="448"/>
  <c r="B183" i="447"/>
  <c r="B202" i="447"/>
  <c r="B143" i="446"/>
  <c r="B74" i="445"/>
  <c r="B156" i="445"/>
  <c r="B172" i="445"/>
  <c r="B34" i="443"/>
  <c r="B50" i="443"/>
  <c r="B66" i="443"/>
  <c r="B32" i="438"/>
  <c r="B74" i="438"/>
  <c r="B116" i="438"/>
  <c r="B68" i="437"/>
  <c r="B45" i="433"/>
  <c r="B24" i="432"/>
  <c r="B6" i="440"/>
  <c r="B72" i="439"/>
  <c r="B123" i="439"/>
  <c r="B25" i="448"/>
  <c r="B46" i="448"/>
  <c r="B144" i="448"/>
  <c r="B168" i="448"/>
  <c r="B32" i="447"/>
  <c r="B53" i="447"/>
  <c r="B12" i="446"/>
  <c r="B75" i="445"/>
  <c r="B92" i="445"/>
  <c r="B173" i="445"/>
  <c r="B19" i="443"/>
  <c r="B35" i="443"/>
  <c r="B51" i="443"/>
  <c r="B67" i="443"/>
  <c r="B82" i="443"/>
  <c r="B33" i="438"/>
  <c r="B75" i="438"/>
  <c r="B117" i="438"/>
  <c r="B13" i="437"/>
  <c r="B83" i="437"/>
  <c r="B18" i="433"/>
  <c r="B60" i="433"/>
  <c r="B39" i="432"/>
  <c r="B17" i="441"/>
  <c r="B93" i="440"/>
  <c r="B47" i="448"/>
  <c r="B122" i="448"/>
  <c r="B145" i="448"/>
  <c r="B33" i="447"/>
  <c r="B72" i="447"/>
  <c r="B32" i="446"/>
  <c r="B162" i="446"/>
  <c r="B93" i="445"/>
  <c r="B109" i="445"/>
  <c r="B174" i="445"/>
  <c r="B83" i="443"/>
  <c r="B98" i="443"/>
  <c r="B20" i="438"/>
  <c r="B62" i="438"/>
  <c r="B104" i="438"/>
  <c r="B28" i="437"/>
  <c r="B98" i="437"/>
  <c r="B33" i="433"/>
  <c r="B12" i="432"/>
  <c r="B54" i="432"/>
  <c r="B129" i="441"/>
  <c r="B9" i="440"/>
  <c r="B39" i="440"/>
  <c r="B123" i="440"/>
  <c r="B48" i="439"/>
  <c r="B126" i="439"/>
  <c r="B124" i="448"/>
  <c r="B221" i="448"/>
  <c r="B73" i="447"/>
  <c r="B92" i="447"/>
  <c r="B112" i="447"/>
  <c r="B33" i="446"/>
  <c r="B72" i="446"/>
  <c r="B110" i="445"/>
  <c r="B99" i="443"/>
  <c r="B114" i="443"/>
  <c r="B21" i="438"/>
  <c r="B63" i="438"/>
  <c r="B105" i="438"/>
  <c r="B43" i="437"/>
  <c r="B113" i="437"/>
  <c r="B6" i="433"/>
  <c r="B48" i="433"/>
  <c r="B27" i="432"/>
  <c r="B101" i="441"/>
  <c r="B75" i="439"/>
  <c r="B79" i="448"/>
  <c r="B100" i="448"/>
  <c r="B222" i="448"/>
  <c r="B12" i="447"/>
  <c r="B113" i="447"/>
  <c r="B73" i="446"/>
  <c r="B92" i="446"/>
  <c r="B182" i="446"/>
  <c r="B10" i="445"/>
  <c r="B28" i="445"/>
  <c r="B111" i="445"/>
  <c r="B128" i="445"/>
  <c r="B115" i="443"/>
  <c r="B131" i="443"/>
  <c r="B146" i="443"/>
  <c r="B8" i="438"/>
  <c r="B50" i="438"/>
  <c r="B92" i="438"/>
  <c r="B108" i="440"/>
  <c r="B33" i="439"/>
  <c r="B87" i="439"/>
  <c r="B12" i="448"/>
  <c r="B157" i="448"/>
  <c r="B23" i="447"/>
  <c r="B43" i="447"/>
  <c r="B62" i="447"/>
  <c r="B82" i="447"/>
  <c r="B42" i="446"/>
  <c r="B153" i="446"/>
  <c r="B84" i="445"/>
  <c r="B101" i="445"/>
  <c r="B11" i="443"/>
  <c r="B91" i="443"/>
  <c r="B106" i="443"/>
  <c r="B27" i="438"/>
  <c r="B69" i="438"/>
  <c r="B111" i="438"/>
  <c r="B63" i="437"/>
  <c r="B12" i="433"/>
  <c r="B54" i="433"/>
  <c r="B33" i="432"/>
  <c r="B81" i="439"/>
  <c r="B178" i="448"/>
  <c r="B212" i="448"/>
  <c r="B83" i="446"/>
  <c r="B19" i="445"/>
  <c r="B136" i="445"/>
  <c r="B165" i="445"/>
  <c r="B155" i="443"/>
  <c r="B80" i="438"/>
  <c r="B103" i="437"/>
  <c r="B24" i="433"/>
  <c r="B48" i="432"/>
  <c r="B24" i="441"/>
  <c r="B122" i="441"/>
  <c r="B24" i="440"/>
  <c r="B72" i="440"/>
  <c r="B36" i="439"/>
  <c r="B89" i="448"/>
  <c r="B223" i="448"/>
  <c r="B162" i="447"/>
  <c r="B20" i="445"/>
  <c r="B82" i="445"/>
  <c r="B137" i="445"/>
  <c r="B107" i="443"/>
  <c r="B9" i="438"/>
  <c r="B56" i="438"/>
  <c r="B81" i="438"/>
  <c r="B18" i="437"/>
  <c r="B38" i="437"/>
  <c r="B6" i="432"/>
  <c r="B80" i="441"/>
  <c r="B129" i="440"/>
  <c r="B42" i="439"/>
  <c r="B56" i="448"/>
  <c r="B163" i="447"/>
  <c r="B23" i="446"/>
  <c r="B152" i="446"/>
  <c r="B83" i="445"/>
  <c r="B138" i="445"/>
  <c r="B27" i="443"/>
  <c r="B57" i="438"/>
  <c r="B128" i="438"/>
  <c r="B27" i="433"/>
  <c r="B30" i="432"/>
  <c r="B136" i="441"/>
  <c r="B13" i="448"/>
  <c r="B58" i="448"/>
  <c r="B102" i="448"/>
  <c r="B102" i="447"/>
  <c r="B93" i="446"/>
  <c r="B122" i="446"/>
  <c r="B29" i="445"/>
  <c r="B55" i="445"/>
  <c r="B145" i="445"/>
  <c r="B58" i="443"/>
  <c r="B129" i="438"/>
  <c r="B51" i="433"/>
  <c r="B51" i="432"/>
  <c r="B84" i="440"/>
  <c r="B51" i="439"/>
  <c r="B103" i="447"/>
  <c r="B172" i="447"/>
  <c r="B123" i="446"/>
  <c r="B30" i="445"/>
  <c r="B56" i="445"/>
  <c r="B146" i="445"/>
  <c r="B59" i="443"/>
  <c r="B138" i="443"/>
  <c r="B38" i="438"/>
  <c r="B110" i="438"/>
  <c r="B134" i="438"/>
  <c r="B88" i="437"/>
  <c r="B108" i="437"/>
  <c r="B9" i="433"/>
  <c r="B9" i="432"/>
  <c r="B57" i="439"/>
  <c r="B105" i="439"/>
  <c r="B234" i="448"/>
  <c r="B173" i="447"/>
  <c r="B62" i="446"/>
  <c r="B64" i="445"/>
  <c r="B118" i="445"/>
  <c r="B139" i="443"/>
  <c r="B14" i="438"/>
  <c r="B39" i="438"/>
  <c r="B86" i="438"/>
  <c r="B135" i="438"/>
  <c r="B23" i="437"/>
  <c r="B30" i="433"/>
  <c r="B57" i="432"/>
  <c r="B38" i="441"/>
  <c r="B23" i="448"/>
  <c r="B42" i="447"/>
  <c r="B132" i="446"/>
  <c r="B65" i="445"/>
  <c r="B120" i="445"/>
  <c r="B90" i="443"/>
  <c r="B15" i="438"/>
  <c r="B87" i="438"/>
  <c r="B15" i="432"/>
  <c r="B143" i="441"/>
  <c r="B48" i="440"/>
  <c r="B99" i="440"/>
  <c r="B67" i="448"/>
  <c r="B111" i="448"/>
  <c r="B199" i="448"/>
  <c r="B143" i="447"/>
  <c r="B192" i="446"/>
  <c r="B66" i="445"/>
  <c r="B147" i="443"/>
  <c r="B93" i="438"/>
  <c r="B48" i="437"/>
  <c r="B36" i="433"/>
  <c r="B36" i="432"/>
  <c r="B15" i="439"/>
  <c r="B108" i="439"/>
  <c r="B68" i="448"/>
  <c r="B112" i="448"/>
  <c r="B156" i="448"/>
  <c r="B200" i="448"/>
  <c r="B212" i="447"/>
  <c r="B102" i="446"/>
  <c r="B37" i="445"/>
  <c r="B10" i="443"/>
  <c r="B68" i="438"/>
  <c r="B73" i="437"/>
  <c r="B93" i="437"/>
  <c r="B57" i="433"/>
  <c r="B60" i="432"/>
  <c r="B51" i="440"/>
  <c r="B27" i="439"/>
  <c r="B63" i="439"/>
  <c r="B80" i="448"/>
  <c r="B201" i="448"/>
  <c r="B83" i="447"/>
  <c r="B152" i="447"/>
  <c r="B103" i="446"/>
  <c r="B11" i="445"/>
  <c r="B38" i="445"/>
  <c r="B129" i="445"/>
  <c r="B42" i="443"/>
  <c r="B122" i="443"/>
  <c r="B44" i="438"/>
  <c r="B8" i="437"/>
  <c r="B15" i="433"/>
  <c r="B18" i="432"/>
  <c r="B42" i="432"/>
  <c r="B153" i="447"/>
  <c r="B182" i="447"/>
  <c r="B39" i="445"/>
  <c r="B100" i="445"/>
  <c r="B154" i="445"/>
  <c r="B43" i="443"/>
  <c r="B123" i="443"/>
  <c r="B45" i="438"/>
  <c r="B39" i="433"/>
  <c r="B63" i="433"/>
  <c r="B63" i="432"/>
  <c r="B12" i="440"/>
  <c r="B30" i="439"/>
  <c r="B117" i="439"/>
  <c r="B43" i="446"/>
  <c r="B113" i="446"/>
  <c r="B173" i="446"/>
  <c r="B46" i="445"/>
  <c r="B102" i="445"/>
  <c r="B51" i="438"/>
  <c r="B98" i="438"/>
  <c r="B122" i="438"/>
  <c r="B33" i="437"/>
  <c r="B53" i="437"/>
  <c r="B21" i="433"/>
  <c r="B21" i="432"/>
  <c r="B78" i="439"/>
  <c r="B166" i="448"/>
  <c r="B22" i="447"/>
  <c r="B122" i="447"/>
  <c r="B192" i="447"/>
  <c r="B47" i="445"/>
  <c r="B73" i="445"/>
  <c r="B163" i="445"/>
  <c r="B75" i="443"/>
  <c r="B26" i="438"/>
  <c r="B99" i="438"/>
  <c r="B123" i="438"/>
  <c r="B58" i="437"/>
  <c r="B78" i="437"/>
  <c r="B42" i="433"/>
  <c r="B45" i="432"/>
  <c r="B21" i="440"/>
  <c r="B211" i="448"/>
  <c r="B123" i="447"/>
  <c r="B193" i="447"/>
  <c r="B164" i="445"/>
  <c r="B154" i="443"/>
  <c r="B66" i="433"/>
  <c r="B13" i="440"/>
  <c r="B55" i="440"/>
  <c r="B97" i="440"/>
  <c r="B40" i="439"/>
  <c r="B82" i="439"/>
  <c r="B124" i="439"/>
  <c r="B12" i="441"/>
  <c r="B57" i="441"/>
  <c r="B102" i="441"/>
  <c r="B117" i="441"/>
  <c r="B148" i="441"/>
  <c r="B5" i="448"/>
  <c r="B48" i="448"/>
  <c r="B62" i="448"/>
  <c r="B104" i="448"/>
  <c r="B160" i="448"/>
  <c r="B202" i="448"/>
  <c r="B216" i="448"/>
  <c r="B27" i="447"/>
  <c r="B43" i="441"/>
  <c r="B88" i="441"/>
  <c r="B103" i="441"/>
  <c r="B134" i="441"/>
  <c r="B16" i="440"/>
  <c r="B31" i="440"/>
  <c r="B46" i="440"/>
  <c r="B61" i="440"/>
  <c r="B76" i="440"/>
  <c r="B91" i="440"/>
  <c r="B106" i="440"/>
  <c r="B121" i="440"/>
  <c r="B55" i="439"/>
  <c r="B70" i="439"/>
  <c r="B85" i="439"/>
  <c r="B100" i="439"/>
  <c r="B115" i="439"/>
  <c r="B6" i="448"/>
  <c r="B49" i="448"/>
  <c r="B105" i="448"/>
  <c r="B147" i="448"/>
  <c r="B161" i="448"/>
  <c r="B203" i="448"/>
  <c r="B14" i="447"/>
  <c r="B29" i="441"/>
  <c r="B74" i="441"/>
  <c r="B89" i="441"/>
  <c r="B120" i="441"/>
  <c r="B10" i="439"/>
  <c r="B25" i="439"/>
  <c r="B7" i="448"/>
  <c r="B50" i="448"/>
  <c r="B92" i="448"/>
  <c r="B106" i="448"/>
  <c r="B148" i="448"/>
  <c r="B204" i="448"/>
  <c r="B15" i="447"/>
  <c r="B50" i="441"/>
  <c r="B68" i="441"/>
  <c r="B144" i="441"/>
  <c r="B73" i="440"/>
  <c r="B94" i="440"/>
  <c r="B15" i="441"/>
  <c r="B33" i="441"/>
  <c r="B92" i="441"/>
  <c r="B110" i="441"/>
  <c r="B115" i="440"/>
  <c r="B28" i="439"/>
  <c r="B46" i="439"/>
  <c r="B64" i="439"/>
  <c r="B17" i="448"/>
  <c r="B37" i="448"/>
  <c r="B71" i="448"/>
  <c r="B125" i="448"/>
  <c r="B159" i="448"/>
  <c r="B213" i="448"/>
  <c r="B35" i="447"/>
  <c r="B77" i="447"/>
  <c r="B105" i="447"/>
  <c r="B147" i="447"/>
  <c r="B175" i="447"/>
  <c r="B7" i="446"/>
  <c r="B35" i="446"/>
  <c r="B77" i="446"/>
  <c r="B105" i="446"/>
  <c r="B4" i="441"/>
  <c r="B25" i="441"/>
  <c r="B71" i="441"/>
  <c r="B95" i="441"/>
  <c r="B58" i="440"/>
  <c r="B37" i="439"/>
  <c r="B79" i="439"/>
  <c r="B121" i="439"/>
  <c r="B18" i="448"/>
  <c r="B39" i="448"/>
  <c r="B114" i="448"/>
  <c r="B171" i="448"/>
  <c r="B192" i="448"/>
  <c r="B36" i="447"/>
  <c r="B66" i="447"/>
  <c r="B96" i="447"/>
  <c r="B126" i="447"/>
  <c r="B156" i="447"/>
  <c r="B186" i="447"/>
  <c r="B6" i="446"/>
  <c r="B37" i="446"/>
  <c r="B67" i="446"/>
  <c r="B97" i="446"/>
  <c r="B127" i="446"/>
  <c r="B155" i="446"/>
  <c r="B49" i="445"/>
  <c r="B67" i="441"/>
  <c r="B116" i="441"/>
  <c r="B141" i="441"/>
  <c r="B19" i="440"/>
  <c r="B88" i="440"/>
  <c r="B52" i="439"/>
  <c r="B76" i="439"/>
  <c r="B97" i="439"/>
  <c r="B60" i="448"/>
  <c r="B82" i="448"/>
  <c r="B225" i="448"/>
  <c r="B16" i="447"/>
  <c r="B34" i="447"/>
  <c r="B84" i="447"/>
  <c r="B116" i="447"/>
  <c r="B165" i="447"/>
  <c r="B197" i="447"/>
  <c r="B36" i="446"/>
  <c r="B85" i="446"/>
  <c r="B117" i="446"/>
  <c r="B33" i="445"/>
  <c r="B77" i="445"/>
  <c r="B105" i="445"/>
  <c r="B4" i="443"/>
  <c r="B46" i="443"/>
  <c r="B60" i="443"/>
  <c r="B102" i="443"/>
  <c r="B116" i="443"/>
  <c r="B5" i="438"/>
  <c r="B36" i="441"/>
  <c r="B60" i="441"/>
  <c r="B82" i="441"/>
  <c r="B130" i="441"/>
  <c r="B7" i="440"/>
  <c r="B103" i="440"/>
  <c r="B72" i="448"/>
  <c r="B94" i="448"/>
  <c r="B136" i="448"/>
  <c r="B7" i="447"/>
  <c r="B26" i="447"/>
  <c r="B44" i="447"/>
  <c r="B76" i="447"/>
  <c r="B125" i="447"/>
  <c r="B174" i="447"/>
  <c r="B207" i="447"/>
  <c r="B45" i="446"/>
  <c r="B94" i="446"/>
  <c r="B126" i="446"/>
  <c r="B157" i="446"/>
  <c r="B187" i="446"/>
  <c r="B42" i="445"/>
  <c r="B85" i="445"/>
  <c r="B113" i="445"/>
  <c r="B141" i="445"/>
  <c r="B12" i="443"/>
  <c r="B54" i="443"/>
  <c r="B11" i="441"/>
  <c r="B39" i="441"/>
  <c r="B124" i="441"/>
  <c r="B16" i="439"/>
  <c r="B43" i="439"/>
  <c r="B67" i="439"/>
  <c r="B95" i="448"/>
  <c r="B117" i="448"/>
  <c r="B191" i="448"/>
  <c r="B214" i="448"/>
  <c r="B107" i="447"/>
  <c r="B127" i="447"/>
  <c r="B145" i="447"/>
  <c r="B164" i="447"/>
  <c r="B87" i="446"/>
  <c r="B106" i="446"/>
  <c r="B124" i="446"/>
  <c r="B177" i="446"/>
  <c r="B5" i="445"/>
  <c r="B23" i="445"/>
  <c r="B40" i="445"/>
  <c r="B58" i="445"/>
  <c r="B123" i="445"/>
  <c r="B139" i="445"/>
  <c r="B126" i="443"/>
  <c r="B141" i="443"/>
  <c r="B156" i="443"/>
  <c r="B46" i="438"/>
  <c r="B88" i="438"/>
  <c r="B130" i="438"/>
  <c r="B40" i="437"/>
  <c r="B54" i="437"/>
  <c r="B110" i="437"/>
  <c r="B28" i="435"/>
  <c r="B56" i="435"/>
  <c r="B84" i="435"/>
  <c r="B17" i="434"/>
  <c r="B45" i="434"/>
  <c r="B73" i="434"/>
  <c r="B31" i="433"/>
  <c r="B10" i="432"/>
  <c r="B52" i="432"/>
  <c r="B40" i="441"/>
  <c r="B34" i="440"/>
  <c r="B64" i="440"/>
  <c r="B118" i="440"/>
  <c r="B94" i="439"/>
  <c r="B70" i="448"/>
  <c r="B193" i="448"/>
  <c r="B215" i="448"/>
  <c r="B146" i="447"/>
  <c r="B166" i="447"/>
  <c r="B184" i="447"/>
  <c r="B204" i="447"/>
  <c r="B107" i="446"/>
  <c r="B125" i="446"/>
  <c r="B144" i="446"/>
  <c r="B6" i="445"/>
  <c r="B24" i="445"/>
  <c r="B41" i="445"/>
  <c r="B59" i="445"/>
  <c r="B140" i="445"/>
  <c r="B157" i="445"/>
  <c r="B142" i="443"/>
  <c r="B4" i="438"/>
  <c r="B47" i="438"/>
  <c r="B89" i="438"/>
  <c r="B131" i="438"/>
  <c r="B55" i="437"/>
  <c r="B69" i="437"/>
  <c r="B29" i="435"/>
  <c r="B57" i="435"/>
  <c r="B4" i="434"/>
  <c r="B32" i="434"/>
  <c r="B60" i="434"/>
  <c r="B4" i="433"/>
  <c r="B46" i="433"/>
  <c r="B25" i="432"/>
  <c r="B75" i="441"/>
  <c r="B99" i="441"/>
  <c r="B127" i="441"/>
  <c r="B37" i="440"/>
  <c r="B19" i="439"/>
  <c r="B73" i="439"/>
  <c r="B26" i="448"/>
  <c r="B73" i="448"/>
  <c r="B169" i="448"/>
  <c r="B194" i="448"/>
  <c r="B54" i="447"/>
  <c r="B167" i="447"/>
  <c r="B185" i="447"/>
  <c r="B205" i="447"/>
  <c r="B14" i="446"/>
  <c r="B145" i="446"/>
  <c r="B60" i="445"/>
  <c r="B76" i="445"/>
  <c r="B158" i="445"/>
  <c r="B20" i="443"/>
  <c r="B36" i="443"/>
  <c r="B52" i="443"/>
  <c r="B68" i="443"/>
  <c r="B34" i="438"/>
  <c r="B76" i="438"/>
  <c r="B118" i="438"/>
  <c r="B14" i="437"/>
  <c r="B70" i="437"/>
  <c r="B84" i="437"/>
  <c r="B16" i="435"/>
  <c r="B44" i="435"/>
  <c r="B72" i="435"/>
  <c r="B5" i="434"/>
  <c r="B33" i="434"/>
  <c r="B61" i="434"/>
  <c r="B19" i="433"/>
  <c r="B61" i="433"/>
  <c r="B40" i="432"/>
  <c r="B18" i="441"/>
  <c r="B46" i="441"/>
  <c r="B67" i="440"/>
  <c r="B27" i="448"/>
  <c r="B51" i="448"/>
  <c r="B149" i="448"/>
  <c r="B170" i="448"/>
  <c r="B37" i="447"/>
  <c r="B55" i="447"/>
  <c r="B187" i="447"/>
  <c r="B206" i="447"/>
  <c r="B15" i="446"/>
  <c r="B54" i="446"/>
  <c r="B146" i="446"/>
  <c r="B164" i="446"/>
  <c r="B78" i="445"/>
  <c r="B94" i="445"/>
  <c r="B159" i="445"/>
  <c r="B5" i="443"/>
  <c r="B21" i="443"/>
  <c r="B37" i="443"/>
  <c r="B53" i="443"/>
  <c r="B69" i="443"/>
  <c r="B84" i="443"/>
  <c r="B35" i="438"/>
  <c r="B77" i="438"/>
  <c r="B119" i="438"/>
  <c r="B15" i="437"/>
  <c r="B29" i="437"/>
  <c r="B85" i="437"/>
  <c r="B99" i="437"/>
  <c r="B17" i="435"/>
  <c r="B45" i="435"/>
  <c r="B73" i="435"/>
  <c r="B20" i="434"/>
  <c r="B48" i="434"/>
  <c r="B76" i="434"/>
  <c r="B34" i="433"/>
  <c r="B13" i="432"/>
  <c r="B55" i="432"/>
  <c r="B19" i="441"/>
  <c r="B47" i="441"/>
  <c r="B78" i="441"/>
  <c r="B131" i="441"/>
  <c r="B10" i="440"/>
  <c r="B40" i="440"/>
  <c r="B124" i="440"/>
  <c r="B22" i="439"/>
  <c r="B49" i="439"/>
  <c r="B103" i="439"/>
  <c r="B127" i="439"/>
  <c r="B28" i="448"/>
  <c r="B126" i="448"/>
  <c r="B150" i="448"/>
  <c r="B172" i="448"/>
  <c r="B56" i="447"/>
  <c r="B74" i="447"/>
  <c r="B94" i="447"/>
  <c r="B16" i="446"/>
  <c r="B34" i="446"/>
  <c r="B55" i="446"/>
  <c r="B147" i="446"/>
  <c r="B165" i="446"/>
  <c r="B95" i="445"/>
  <c r="B6" i="443"/>
  <c r="B22" i="443"/>
  <c r="B38" i="443"/>
  <c r="B70" i="443"/>
  <c r="B85" i="443"/>
  <c r="B100" i="443"/>
  <c r="B22" i="438"/>
  <c r="B64" i="438"/>
  <c r="B106" i="438"/>
  <c r="B113" i="441"/>
  <c r="B79" i="440"/>
  <c r="B109" i="439"/>
  <c r="B38" i="448"/>
  <c r="B61" i="448"/>
  <c r="B182" i="448"/>
  <c r="B157" i="447"/>
  <c r="B177" i="447"/>
  <c r="B195" i="447"/>
  <c r="B4" i="446"/>
  <c r="B24" i="446"/>
  <c r="B136" i="446"/>
  <c r="B68" i="445"/>
  <c r="B150" i="445"/>
  <c r="B166" i="445"/>
  <c r="B28" i="443"/>
  <c r="B44" i="443"/>
  <c r="B61" i="443"/>
  <c r="B76" i="443"/>
  <c r="B41" i="438"/>
  <c r="B83" i="438"/>
  <c r="B125" i="438"/>
  <c r="B35" i="437"/>
  <c r="B49" i="437"/>
  <c r="B105" i="437"/>
  <c r="B9" i="435"/>
  <c r="B37" i="435"/>
  <c r="B65" i="435"/>
  <c r="B12" i="434"/>
  <c r="B40" i="434"/>
  <c r="B68" i="434"/>
  <c r="B40" i="433"/>
  <c r="B19" i="432"/>
  <c r="B61" i="432"/>
  <c r="B22" i="440"/>
  <c r="B25" i="447"/>
  <c r="B97" i="447"/>
  <c r="B124" i="447"/>
  <c r="B194" i="447"/>
  <c r="B47" i="446"/>
  <c r="B116" i="446"/>
  <c r="B176" i="446"/>
  <c r="B51" i="445"/>
  <c r="B78" i="443"/>
  <c r="B133" i="443"/>
  <c r="B29" i="438"/>
  <c r="B101" i="438"/>
  <c r="B60" i="437"/>
  <c r="B80" i="437"/>
  <c r="B13" i="435"/>
  <c r="B36" i="435"/>
  <c r="B60" i="435"/>
  <c r="B80" i="435"/>
  <c r="B65" i="434"/>
  <c r="B85" i="434"/>
  <c r="B4" i="432"/>
  <c r="B28" i="432"/>
  <c r="B127" i="440"/>
  <c r="B88" i="439"/>
  <c r="B137" i="448"/>
  <c r="B180" i="448"/>
  <c r="B64" i="447"/>
  <c r="B134" i="447"/>
  <c r="B196" i="447"/>
  <c r="B56" i="446"/>
  <c r="B84" i="446"/>
  <c r="B184" i="446"/>
  <c r="B112" i="445"/>
  <c r="B167" i="445"/>
  <c r="B134" i="443"/>
  <c r="B107" i="438"/>
  <c r="B104" i="437"/>
  <c r="B61" i="435"/>
  <c r="B81" i="435"/>
  <c r="B25" i="433"/>
  <c r="B49" i="433"/>
  <c r="B49" i="432"/>
  <c r="B26" i="441"/>
  <c r="B123" i="441"/>
  <c r="B25" i="440"/>
  <c r="B93" i="448"/>
  <c r="B138" i="448"/>
  <c r="B181" i="448"/>
  <c r="B224" i="448"/>
  <c r="B65" i="447"/>
  <c r="B135" i="447"/>
  <c r="B57" i="446"/>
  <c r="B86" i="446"/>
  <c r="B185" i="446"/>
  <c r="B22" i="445"/>
  <c r="B114" i="445"/>
  <c r="B168" i="445"/>
  <c r="B108" i="443"/>
  <c r="B10" i="438"/>
  <c r="B82" i="438"/>
  <c r="B19" i="437"/>
  <c r="B39" i="437"/>
  <c r="B24" i="434"/>
  <c r="B44" i="434"/>
  <c r="B7" i="433"/>
  <c r="B7" i="432"/>
  <c r="B32" i="441"/>
  <c r="B81" i="441"/>
  <c r="B82" i="440"/>
  <c r="B130" i="440"/>
  <c r="B91" i="439"/>
  <c r="B139" i="448"/>
  <c r="B183" i="448"/>
  <c r="B226" i="448"/>
  <c r="B67" i="447"/>
  <c r="B136" i="447"/>
  <c r="B25" i="446"/>
  <c r="B154" i="446"/>
  <c r="B186" i="446"/>
  <c r="B86" i="445"/>
  <c r="B29" i="443"/>
  <c r="B86" i="443"/>
  <c r="B109" i="443"/>
  <c r="B11" i="438"/>
  <c r="B58" i="438"/>
  <c r="B20" i="437"/>
  <c r="B44" i="437"/>
  <c r="B64" i="437"/>
  <c r="B20" i="435"/>
  <c r="B40" i="435"/>
  <c r="B25" i="434"/>
  <c r="B49" i="434"/>
  <c r="B69" i="434"/>
  <c r="B28" i="433"/>
  <c r="B31" i="432"/>
  <c r="B137" i="441"/>
  <c r="B28" i="440"/>
  <c r="B4" i="439"/>
  <c r="B15" i="448"/>
  <c r="B59" i="448"/>
  <c r="B103" i="448"/>
  <c r="B227" i="448"/>
  <c r="B137" i="447"/>
  <c r="B26" i="446"/>
  <c r="B95" i="446"/>
  <c r="B156" i="446"/>
  <c r="B87" i="445"/>
  <c r="B30" i="443"/>
  <c r="B110" i="443"/>
  <c r="B59" i="438"/>
  <c r="B45" i="437"/>
  <c r="B65" i="437"/>
  <c r="B21" i="435"/>
  <c r="B41" i="435"/>
  <c r="B64" i="435"/>
  <c r="B52" i="433"/>
  <c r="B85" i="441"/>
  <c r="B138" i="441"/>
  <c r="B43" i="440"/>
  <c r="B85" i="440"/>
  <c r="B7" i="439"/>
  <c r="B16" i="448"/>
  <c r="B75" i="447"/>
  <c r="B104" i="447"/>
  <c r="B27" i="446"/>
  <c r="B96" i="446"/>
  <c r="B31" i="445"/>
  <c r="B148" i="445"/>
  <c r="B62" i="443"/>
  <c r="B117" i="443"/>
  <c r="B65" i="438"/>
  <c r="B112" i="438"/>
  <c r="B89" i="437"/>
  <c r="B109" i="437"/>
  <c r="B8" i="434"/>
  <c r="B28" i="434"/>
  <c r="B10" i="433"/>
  <c r="B34" i="432"/>
  <c r="B13" i="439"/>
  <c r="B58" i="439"/>
  <c r="B106" i="439"/>
  <c r="B4" i="447"/>
  <c r="B106" i="447"/>
  <c r="B176" i="447"/>
  <c r="B64" i="446"/>
  <c r="B32" i="445"/>
  <c r="B149" i="445"/>
  <c r="B118" i="443"/>
  <c r="B140" i="443"/>
  <c r="B40" i="438"/>
  <c r="B113" i="438"/>
  <c r="B4" i="437"/>
  <c r="B24" i="437"/>
  <c r="B90" i="437"/>
  <c r="B4" i="435"/>
  <c r="B24" i="435"/>
  <c r="B9" i="434"/>
  <c r="B29" i="434"/>
  <c r="B52" i="434"/>
  <c r="B72" i="434"/>
  <c r="B55" i="433"/>
  <c r="B58" i="432"/>
  <c r="B61" i="439"/>
  <c r="B29" i="448"/>
  <c r="B5" i="447"/>
  <c r="B45" i="447"/>
  <c r="B114" i="447"/>
  <c r="B65" i="446"/>
  <c r="B134" i="446"/>
  <c r="B166" i="446"/>
  <c r="B96" i="445"/>
  <c r="B121" i="445"/>
  <c r="B92" i="443"/>
  <c r="B16" i="438"/>
  <c r="B5" i="437"/>
  <c r="B25" i="437"/>
  <c r="B5" i="435"/>
  <c r="B25" i="435"/>
  <c r="B48" i="435"/>
  <c r="B68" i="435"/>
  <c r="B53" i="434"/>
  <c r="B77" i="434"/>
  <c r="B13" i="433"/>
  <c r="B16" i="432"/>
  <c r="B53" i="441"/>
  <c r="B96" i="441"/>
  <c r="B145" i="441"/>
  <c r="B49" i="440"/>
  <c r="B100" i="440"/>
  <c r="B6" i="447"/>
  <c r="B46" i="447"/>
  <c r="B115" i="447"/>
  <c r="B144" i="447"/>
  <c r="B66" i="446"/>
  <c r="B135" i="446"/>
  <c r="B167" i="446"/>
  <c r="B4" i="445"/>
  <c r="B67" i="445"/>
  <c r="B122" i="445"/>
  <c r="B93" i="443"/>
  <c r="B148" i="443"/>
  <c r="B17" i="438"/>
  <c r="B94" i="438"/>
  <c r="B30" i="437"/>
  <c r="B50" i="437"/>
  <c r="B49" i="435"/>
  <c r="B69" i="435"/>
  <c r="B37" i="433"/>
  <c r="B37" i="432"/>
  <c r="B54" i="441"/>
  <c r="B106" i="441"/>
  <c r="B151" i="441"/>
  <c r="B112" i="439"/>
  <c r="B115" i="448"/>
  <c r="B158" i="448"/>
  <c r="B17" i="447"/>
  <c r="B47" i="447"/>
  <c r="B117" i="447"/>
  <c r="B5" i="446"/>
  <c r="B74" i="446"/>
  <c r="B137" i="446"/>
  <c r="B69" i="445"/>
  <c r="B13" i="443"/>
  <c r="B94" i="443"/>
  <c r="B149" i="443"/>
  <c r="B23" i="438"/>
  <c r="B70" i="438"/>
  <c r="B95" i="438"/>
  <c r="B74" i="437"/>
  <c r="B94" i="437"/>
  <c r="B13" i="434"/>
  <c r="B36" i="434"/>
  <c r="B56" i="434"/>
  <c r="B58" i="433"/>
  <c r="B5" i="441"/>
  <c r="B109" i="441"/>
  <c r="B4" i="440"/>
  <c r="B52" i="440"/>
  <c r="B81" i="448"/>
  <c r="B116" i="448"/>
  <c r="B205" i="448"/>
  <c r="B85" i="447"/>
  <c r="B75" i="446"/>
  <c r="B104" i="446"/>
  <c r="B13" i="445"/>
  <c r="B130" i="445"/>
  <c r="B14" i="443"/>
  <c r="B150" i="443"/>
  <c r="B71" i="438"/>
  <c r="B9" i="437"/>
  <c r="B75" i="437"/>
  <c r="B95" i="437"/>
  <c r="B8" i="435"/>
  <c r="B32" i="435"/>
  <c r="B52" i="435"/>
  <c r="B37" i="434"/>
  <c r="B57" i="434"/>
  <c r="B80" i="434"/>
  <c r="B16" i="433"/>
  <c r="B43" i="432"/>
  <c r="B61" i="441"/>
  <c r="B109" i="440"/>
  <c r="B40" i="448"/>
  <c r="B83" i="448"/>
  <c r="B127" i="448"/>
  <c r="B57" i="447"/>
  <c r="B86" i="447"/>
  <c r="B154" i="447"/>
  <c r="B76" i="446"/>
  <c r="B14" i="445"/>
  <c r="B131" i="445"/>
  <c r="B45" i="443"/>
  <c r="B101" i="443"/>
  <c r="B124" i="443"/>
  <c r="B10" i="437"/>
  <c r="B100" i="437"/>
  <c r="B33" i="435"/>
  <c r="B53" i="435"/>
  <c r="B76" i="435"/>
  <c r="B81" i="434"/>
  <c r="B64" i="433"/>
  <c r="B8" i="441"/>
  <c r="B31" i="439"/>
  <c r="B118" i="439"/>
  <c r="B84" i="448"/>
  <c r="B128" i="448"/>
  <c r="B87" i="447"/>
  <c r="B155" i="447"/>
  <c r="B44" i="446"/>
  <c r="B114" i="446"/>
  <c r="B174" i="446"/>
  <c r="B15" i="445"/>
  <c r="B103" i="445"/>
  <c r="B132" i="445"/>
  <c r="B125" i="443"/>
  <c r="B52" i="438"/>
  <c r="B34" i="437"/>
  <c r="B77" i="435"/>
  <c r="B16" i="434"/>
  <c r="B22" i="433"/>
  <c r="B22" i="432"/>
  <c r="B22" i="441"/>
  <c r="B64" i="441"/>
  <c r="B70" i="440"/>
  <c r="B112" i="440"/>
  <c r="B34" i="439"/>
  <c r="B4" i="448"/>
  <c r="B24" i="447"/>
  <c r="B95" i="447"/>
  <c r="B17" i="446"/>
  <c r="B46" i="446"/>
  <c r="B115" i="446"/>
  <c r="B175" i="446"/>
  <c r="B50" i="445"/>
  <c r="B104" i="445"/>
  <c r="B77" i="443"/>
  <c r="B132" i="443"/>
  <c r="B28" i="438"/>
  <c r="B53" i="438"/>
  <c r="B100" i="438"/>
  <c r="B124" i="438"/>
  <c r="B59" i="437"/>
  <c r="B79" i="437"/>
  <c r="B12" i="435"/>
  <c r="B21" i="434"/>
  <c r="B41" i="434"/>
  <c r="B64" i="434"/>
  <c r="B84" i="434"/>
  <c r="B43" i="433"/>
  <c r="B46" i="432"/>
  <c r="L19" i="376" l="1"/>
  <c r="M19" i="376" s="1"/>
  <c r="I12" i="376"/>
  <c r="I10" i="376"/>
  <c r="L14" i="376"/>
  <c r="M14" i="376" s="1"/>
  <c r="B149" i="440" a="1"/>
  <c r="B149" i="440" s="1"/>
  <c r="B150" i="440"/>
  <c r="L6" i="376"/>
  <c r="M6" i="376" s="1"/>
  <c r="L7" i="376"/>
  <c r="M7" i="376" s="1"/>
  <c r="I8" i="376"/>
  <c r="B146" i="439"/>
  <c r="B145" i="439" a="1"/>
  <c r="B145" i="439" s="1"/>
  <c r="B379" i="463" a="1"/>
  <c r="B379" i="463" s="1"/>
  <c r="K25" i="376" s="1" a="1"/>
  <c r="K25" i="376" s="1"/>
  <c r="B380" i="463"/>
  <c r="I9" i="376"/>
  <c r="B152" i="438" a="1"/>
  <c r="B152" i="438" s="1"/>
  <c r="K9" i="376" s="1" a="1"/>
  <c r="K9" i="376" s="1"/>
  <c r="B153" i="438"/>
  <c r="B98" i="435" a="1"/>
  <c r="B98" i="435" s="1"/>
  <c r="K7" i="376" s="1" a="1"/>
  <c r="K7" i="376" s="1"/>
  <c r="B99" i="435"/>
  <c r="I26" i="376"/>
  <c r="L29" i="376"/>
  <c r="M29" i="376" s="1"/>
  <c r="L21" i="376"/>
  <c r="M21" i="376" s="1"/>
  <c r="B471" i="472"/>
  <c r="K26" i="376" s="1" a="1"/>
  <c r="K26" i="376" s="1"/>
  <c r="B471" i="472" a="1"/>
  <c r="B472" i="472"/>
  <c r="B239" i="447" a="1"/>
  <c r="B239" i="447" s="1"/>
  <c r="B240" i="447"/>
  <c r="L16" i="376"/>
  <c r="M16" i="376" s="1"/>
  <c r="L15" i="376"/>
  <c r="M15" i="376" s="1"/>
  <c r="AB12" i="498"/>
  <c r="AB6" i="498"/>
  <c r="AB11" i="498"/>
  <c r="F9" i="376"/>
  <c r="G9" i="376"/>
  <c r="AB5" i="498"/>
  <c r="AB8" i="498"/>
  <c r="AB13" i="498"/>
  <c r="AB14" i="498"/>
  <c r="AB9" i="498"/>
  <c r="AB7" i="498"/>
  <c r="AB10" i="498"/>
  <c r="AB4" i="498"/>
  <c r="AB3" i="498"/>
  <c r="L9" i="376"/>
  <c r="M9" i="376" s="1"/>
  <c r="I13" i="376"/>
  <c r="B601" i="484" a="1"/>
  <c r="B601" i="484" s="1"/>
  <c r="K28" i="376" s="1" a="1"/>
  <c r="K28" i="376" s="1"/>
  <c r="B602" i="484"/>
  <c r="B299" i="455" a="1"/>
  <c r="B299" i="455" s="1"/>
  <c r="K24" i="376" s="1" a="1"/>
  <c r="K24" i="376" s="1"/>
  <c r="B300" i="455"/>
  <c r="B79" i="433"/>
  <c r="B78" i="433" a="1"/>
  <c r="B78" i="433" s="1"/>
  <c r="B681" i="488" a="1"/>
  <c r="B681" i="488" s="1"/>
  <c r="B682" i="488"/>
  <c r="B130" i="437"/>
  <c r="B129" i="437" a="1"/>
  <c r="B129" i="437" s="1"/>
  <c r="I18" i="376"/>
  <c r="B210" i="444"/>
  <c r="B209" i="444" a="1"/>
  <c r="B209" i="444" s="1"/>
  <c r="K15" i="376" s="1" a="1"/>
  <c r="K15" i="376" s="1"/>
  <c r="I22" i="376"/>
  <c r="I27" i="376"/>
  <c r="L30" i="376"/>
  <c r="M30" i="376" s="1"/>
  <c r="I11" i="376"/>
  <c r="L11" i="376"/>
  <c r="M11" i="376" s="1"/>
  <c r="L13" i="376"/>
  <c r="M13" i="376" s="1"/>
  <c r="L4" i="376"/>
  <c r="M4" i="376" s="1"/>
  <c r="W10" i="498"/>
  <c r="W5" i="498"/>
  <c r="W4" i="498"/>
  <c r="W9" i="498"/>
  <c r="G8" i="376"/>
  <c r="W6" i="498"/>
  <c r="W8" i="498"/>
  <c r="W12" i="498"/>
  <c r="W7" i="498"/>
  <c r="W3" i="498"/>
  <c r="W13" i="498"/>
  <c r="F8" i="376"/>
  <c r="W11" i="498"/>
  <c r="L8" i="376"/>
  <c r="M8" i="376" s="1"/>
  <c r="L24" i="376"/>
  <c r="M24" i="376" s="1"/>
  <c r="B652" i="487"/>
  <c r="B651" i="487" a="1"/>
  <c r="B651" i="487" s="1"/>
  <c r="CY24" i="498"/>
  <c r="CY6" i="498"/>
  <c r="CY16" i="498"/>
  <c r="CY12" i="498"/>
  <c r="CY17" i="498"/>
  <c r="CY8" i="498"/>
  <c r="CY13" i="498"/>
  <c r="CY9" i="498"/>
  <c r="CY5" i="498"/>
  <c r="CY31" i="498"/>
  <c r="CY19" i="498"/>
  <c r="CY27" i="498"/>
  <c r="CY7" i="498"/>
  <c r="CY26" i="498"/>
  <c r="F24" i="376"/>
  <c r="CY29" i="498"/>
  <c r="CY28" i="498"/>
  <c r="CY15" i="498"/>
  <c r="CY3" i="498"/>
  <c r="CY10" i="498"/>
  <c r="CY18" i="498"/>
  <c r="CY11" i="498"/>
  <c r="CY22" i="498"/>
  <c r="G24" i="376"/>
  <c r="CY20" i="498"/>
  <c r="CY30" i="498"/>
  <c r="CY14" i="498"/>
  <c r="CY4" i="498"/>
  <c r="CY21" i="498"/>
  <c r="CY23" i="498"/>
  <c r="CY25" i="498"/>
  <c r="L25" i="376"/>
  <c r="M25" i="376" s="1"/>
  <c r="L5" i="376"/>
  <c r="M5" i="376" s="1"/>
  <c r="B259" i="451" a="1"/>
  <c r="B259" i="451" s="1"/>
  <c r="B260" i="451"/>
  <c r="AV11" i="498"/>
  <c r="AV6" i="498"/>
  <c r="AV5" i="498"/>
  <c r="AV16" i="498"/>
  <c r="AV12" i="498"/>
  <c r="AV8" i="498"/>
  <c r="AV9" i="498"/>
  <c r="AV17" i="498"/>
  <c r="AV10" i="498"/>
  <c r="AV18" i="498"/>
  <c r="AV3" i="498"/>
  <c r="AV13" i="498"/>
  <c r="AV4" i="498"/>
  <c r="F13" i="376"/>
  <c r="AV14" i="498"/>
  <c r="AV7" i="498"/>
  <c r="AV15" i="498"/>
  <c r="G13" i="376"/>
  <c r="L12" i="376"/>
  <c r="M12" i="376" s="1"/>
  <c r="BF8" i="498"/>
  <c r="BF15" i="498"/>
  <c r="BF11" i="498"/>
  <c r="BF10" i="498"/>
  <c r="G15" i="376"/>
  <c r="BF12" i="498"/>
  <c r="F15" i="376"/>
  <c r="BF14" i="498"/>
  <c r="BF19" i="498"/>
  <c r="BF18" i="498"/>
  <c r="BF3" i="498"/>
  <c r="BF9" i="498"/>
  <c r="BF4" i="498"/>
  <c r="BF16" i="498"/>
  <c r="BF20" i="498"/>
  <c r="BF17" i="498"/>
  <c r="BF13" i="498"/>
  <c r="BF6" i="498"/>
  <c r="BF7" i="498"/>
  <c r="BF5" i="498"/>
  <c r="B262" i="448"/>
  <c r="B261" i="448" a="1"/>
  <c r="B261" i="448" s="1"/>
  <c r="B280" i="453"/>
  <c r="B279" i="453" a="1"/>
  <c r="B279" i="453" s="1"/>
  <c r="K23" i="376" s="1" a="1"/>
  <c r="K23" i="376" s="1"/>
  <c r="AG15" i="498"/>
  <c r="AG11" i="498"/>
  <c r="AG12" i="498"/>
  <c r="AG8" i="498"/>
  <c r="AG13" i="498"/>
  <c r="F10" i="376"/>
  <c r="AG3" i="498"/>
  <c r="AG7" i="498"/>
  <c r="AG5" i="498"/>
  <c r="AG14" i="498"/>
  <c r="AG10" i="498"/>
  <c r="G10" i="376"/>
  <c r="AG4" i="498"/>
  <c r="AG9" i="498"/>
  <c r="AG6" i="498"/>
  <c r="I15" i="376"/>
  <c r="H15" i="376" s="1"/>
  <c r="I25" i="376"/>
  <c r="L10" i="376"/>
  <c r="M10" i="376" s="1"/>
  <c r="AQ10" i="498"/>
  <c r="AQ5" i="498"/>
  <c r="AQ14" i="498"/>
  <c r="AQ9" i="498"/>
  <c r="F12" i="376"/>
  <c r="AQ6" i="498"/>
  <c r="AQ12" i="498"/>
  <c r="AQ16" i="498"/>
  <c r="AQ7" i="498"/>
  <c r="G12" i="376"/>
  <c r="AQ3" i="498"/>
  <c r="AQ15" i="498"/>
  <c r="AQ13" i="498"/>
  <c r="AQ11" i="498"/>
  <c r="AQ4" i="498"/>
  <c r="AQ17" i="498"/>
  <c r="AQ8" i="498"/>
  <c r="B193" i="442" a="1"/>
  <c r="B193" i="442" s="1"/>
  <c r="B194" i="442"/>
  <c r="I24" i="376"/>
  <c r="DI9" i="498"/>
  <c r="DI43" i="498"/>
  <c r="DI30" i="498"/>
  <c r="DI31" i="498"/>
  <c r="DI7" i="498"/>
  <c r="DI35" i="498"/>
  <c r="DI38" i="498"/>
  <c r="DI41" i="498"/>
  <c r="DI10" i="498"/>
  <c r="DI25" i="498"/>
  <c r="DI34" i="498"/>
  <c r="DI15" i="498"/>
  <c r="DI45" i="498"/>
  <c r="DI21" i="498"/>
  <c r="DI48" i="498"/>
  <c r="DI4" i="498"/>
  <c r="DI20" i="498"/>
  <c r="DI26" i="498"/>
  <c r="DI39" i="498"/>
  <c r="DI6" i="498"/>
  <c r="DI47" i="498"/>
  <c r="DI16" i="498"/>
  <c r="DI24" i="498"/>
  <c r="DI8" i="498"/>
  <c r="DI32" i="498"/>
  <c r="DI36" i="498"/>
  <c r="DI42" i="498"/>
  <c r="DI23" i="498"/>
  <c r="DI3" i="498"/>
  <c r="DI27" i="498"/>
  <c r="DI29" i="498"/>
  <c r="DI22" i="498"/>
  <c r="DI44" i="498"/>
  <c r="DI12" i="498"/>
  <c r="DI14" i="498"/>
  <c r="DI40" i="498"/>
  <c r="DI37" i="498"/>
  <c r="DI19" i="498"/>
  <c r="DI11" i="498"/>
  <c r="F26" i="376"/>
  <c r="DI18" i="498"/>
  <c r="DI46" i="498"/>
  <c r="DI33" i="498"/>
  <c r="DI5" i="498"/>
  <c r="DI17" i="498"/>
  <c r="DI13" i="498"/>
  <c r="DI28" i="498"/>
  <c r="G26" i="376"/>
  <c r="B172" i="441"/>
  <c r="B171" i="441" a="1"/>
  <c r="B171" i="441" s="1"/>
  <c r="DX27" i="498"/>
  <c r="DX21" i="498"/>
  <c r="DX66" i="498"/>
  <c r="DX35" i="498"/>
  <c r="DX43" i="498"/>
  <c r="DX56" i="498"/>
  <c r="DX16" i="498"/>
  <c r="DX61" i="498"/>
  <c r="DX41" i="498"/>
  <c r="DX37" i="498"/>
  <c r="F29" i="376"/>
  <c r="DX42" i="498"/>
  <c r="DX28" i="498"/>
  <c r="DX50" i="498"/>
  <c r="G29" i="376"/>
  <c r="DX30" i="498"/>
  <c r="DX40" i="498"/>
  <c r="DX11" i="498"/>
  <c r="DX57" i="498"/>
  <c r="DX45" i="498"/>
  <c r="DX48" i="498"/>
  <c r="DX29" i="498"/>
  <c r="DX36" i="498"/>
  <c r="DX46" i="498"/>
  <c r="DX3" i="498"/>
  <c r="DX14" i="498"/>
  <c r="DX58" i="498"/>
  <c r="DX8" i="498"/>
  <c r="DX63" i="498"/>
  <c r="DX13" i="498"/>
  <c r="DX24" i="498"/>
  <c r="DX31" i="498"/>
  <c r="DX53" i="498"/>
  <c r="DX64" i="498"/>
  <c r="DX39" i="498"/>
  <c r="DX33" i="498"/>
  <c r="DX17" i="498"/>
  <c r="DX59" i="498"/>
  <c r="DX18" i="498"/>
  <c r="DX10" i="498"/>
  <c r="DX25" i="498"/>
  <c r="DX32" i="498"/>
  <c r="DX5" i="498"/>
  <c r="DX26" i="498"/>
  <c r="DX55" i="498"/>
  <c r="DX6" i="498"/>
  <c r="DX44" i="498"/>
  <c r="DX23" i="498"/>
  <c r="DX47" i="498"/>
  <c r="DX19" i="498"/>
  <c r="DX60" i="498"/>
  <c r="DX62" i="498"/>
  <c r="DX20" i="498"/>
  <c r="DX12" i="498"/>
  <c r="DX65" i="498"/>
  <c r="DX15" i="498"/>
  <c r="DX4" i="498"/>
  <c r="DX9" i="498"/>
  <c r="DX38" i="498"/>
  <c r="DX7" i="498"/>
  <c r="DX52" i="498"/>
  <c r="DX51" i="498"/>
  <c r="DX34" i="498"/>
  <c r="DX49" i="498"/>
  <c r="DX22" i="498"/>
  <c r="DX54" i="498"/>
  <c r="I20" i="376"/>
  <c r="L23" i="376"/>
  <c r="M23" i="376" s="1"/>
  <c r="B100" i="434" a="1"/>
  <c r="B100" i="434" s="1"/>
  <c r="B101" i="434"/>
  <c r="L26" i="376"/>
  <c r="M26" i="376" s="1"/>
  <c r="L28" i="376"/>
  <c r="M28" i="376" s="1"/>
  <c r="I29" i="376"/>
  <c r="B240" i="449"/>
  <c r="B239" i="449" a="1"/>
  <c r="B239" i="449" s="1"/>
  <c r="DS5" i="498"/>
  <c r="DS12" i="498"/>
  <c r="DS16" i="498"/>
  <c r="DS51" i="498"/>
  <c r="DS10" i="498"/>
  <c r="DS38" i="498"/>
  <c r="DS53" i="498"/>
  <c r="DS56" i="498"/>
  <c r="DS28" i="498"/>
  <c r="DS21" i="498"/>
  <c r="DS15" i="498"/>
  <c r="DS60" i="498"/>
  <c r="DS27" i="498"/>
  <c r="DS40" i="498"/>
  <c r="DS49" i="498"/>
  <c r="DS32" i="498"/>
  <c r="DS6" i="498"/>
  <c r="DS36" i="498"/>
  <c r="DS23" i="498"/>
  <c r="DS26" i="498"/>
  <c r="DS52" i="498"/>
  <c r="DS14" i="498"/>
  <c r="DS30" i="498"/>
  <c r="DS57" i="498"/>
  <c r="DS19" i="498"/>
  <c r="DS45" i="498"/>
  <c r="DS47" i="498"/>
  <c r="DS54" i="498"/>
  <c r="DS55" i="498"/>
  <c r="F28" i="376"/>
  <c r="DS46" i="498"/>
  <c r="DS7" i="498"/>
  <c r="DS35" i="498"/>
  <c r="DS37" i="498"/>
  <c r="DS44" i="498"/>
  <c r="DS58" i="498"/>
  <c r="DS34" i="498"/>
  <c r="DS42" i="498"/>
  <c r="DS48" i="498"/>
  <c r="DS22" i="498"/>
  <c r="DS31" i="498"/>
  <c r="G28" i="376"/>
  <c r="DS11" i="498"/>
  <c r="DS59" i="498"/>
  <c r="DS33" i="498"/>
  <c r="DS29" i="498"/>
  <c r="DS3" i="498"/>
  <c r="DS4" i="498"/>
  <c r="DS13" i="498"/>
  <c r="DS41" i="498"/>
  <c r="DS50" i="498"/>
  <c r="DS24" i="498"/>
  <c r="DS8" i="498"/>
  <c r="DS9" i="498"/>
  <c r="DS20" i="498"/>
  <c r="DS17" i="498"/>
  <c r="DS43" i="498"/>
  <c r="DS25" i="498"/>
  <c r="DS39" i="498"/>
  <c r="DS18" i="498"/>
  <c r="CJ4" i="498"/>
  <c r="CJ24" i="498"/>
  <c r="CJ13" i="498"/>
  <c r="CJ14" i="498"/>
  <c r="CJ3" i="498"/>
  <c r="CJ21" i="498"/>
  <c r="F21" i="376"/>
  <c r="CJ23" i="498"/>
  <c r="CJ19" i="498"/>
  <c r="CJ18" i="498"/>
  <c r="CJ6" i="498"/>
  <c r="CJ8" i="498"/>
  <c r="CJ7" i="498"/>
  <c r="CJ10" i="498"/>
  <c r="CJ25" i="498"/>
  <c r="CJ9" i="498"/>
  <c r="CJ26" i="498"/>
  <c r="CJ27" i="498"/>
  <c r="CJ20" i="498"/>
  <c r="CJ17" i="498"/>
  <c r="CJ15" i="498"/>
  <c r="CJ22" i="498"/>
  <c r="CJ11" i="498"/>
  <c r="G21" i="376"/>
  <c r="CJ12" i="498"/>
  <c r="CJ16" i="498"/>
  <c r="CJ5" i="498"/>
  <c r="EC53" i="498"/>
  <c r="EC51" i="498"/>
  <c r="EC45" i="498"/>
  <c r="EC65" i="498"/>
  <c r="EC33" i="498"/>
  <c r="EC34" i="498"/>
  <c r="EC36" i="498"/>
  <c r="EC20" i="498"/>
  <c r="EC49" i="498"/>
  <c r="EC43" i="498"/>
  <c r="EC3" i="498"/>
  <c r="EC68" i="498"/>
  <c r="EC40" i="498"/>
  <c r="EC18" i="498"/>
  <c r="EC30" i="498"/>
  <c r="EC5" i="498"/>
  <c r="EC28" i="498"/>
  <c r="EC14" i="498"/>
  <c r="EC63" i="498"/>
  <c r="EC54" i="498"/>
  <c r="EC25" i="498"/>
  <c r="EC7" i="498"/>
  <c r="EC12" i="498"/>
  <c r="EC22" i="498"/>
  <c r="EC21" i="498"/>
  <c r="EC23" i="498"/>
  <c r="EC66" i="498"/>
  <c r="EC60" i="498"/>
  <c r="EC52" i="498"/>
  <c r="EC61" i="498"/>
  <c r="F30" i="376"/>
  <c r="EC13" i="498"/>
  <c r="EC56" i="498"/>
  <c r="EC48" i="498"/>
  <c r="EC37" i="498"/>
  <c r="EC27" i="498"/>
  <c r="EC4" i="498"/>
  <c r="EC17" i="498"/>
  <c r="EC59" i="498"/>
  <c r="EC46" i="498"/>
  <c r="EC41" i="498"/>
  <c r="EC32" i="498"/>
  <c r="G30" i="376"/>
  <c r="EC9" i="498"/>
  <c r="EC55" i="498"/>
  <c r="EC64" i="498"/>
  <c r="EC15" i="498"/>
  <c r="EC19" i="498"/>
  <c r="EC35" i="498"/>
  <c r="EC62" i="498"/>
  <c r="EC50" i="498"/>
  <c r="EC58" i="498"/>
  <c r="EC29" i="498"/>
  <c r="EC38" i="498"/>
  <c r="EC16" i="498"/>
  <c r="EC47" i="498"/>
  <c r="EC69" i="498"/>
  <c r="EC11" i="498"/>
  <c r="EC57" i="498"/>
  <c r="EC8" i="498"/>
  <c r="EC6" i="498"/>
  <c r="EC42" i="498"/>
  <c r="EC67" i="498"/>
  <c r="EC26" i="498"/>
  <c r="EC44" i="498"/>
  <c r="EC39" i="498"/>
  <c r="EC31" i="498"/>
  <c r="EC24" i="498"/>
  <c r="EC10" i="498"/>
  <c r="DN50" i="498"/>
  <c r="DN53" i="498"/>
  <c r="G27" i="376"/>
  <c r="DN36" i="498"/>
  <c r="DN4" i="498"/>
  <c r="DN24" i="498"/>
  <c r="DN51" i="498"/>
  <c r="DN55" i="498"/>
  <c r="DN12" i="498"/>
  <c r="DN8" i="498"/>
  <c r="DN21" i="498"/>
  <c r="DN5" i="498"/>
  <c r="DN19" i="498"/>
  <c r="DN35" i="498"/>
  <c r="DN26" i="498"/>
  <c r="DN10" i="498"/>
  <c r="DN43" i="498"/>
  <c r="DN39" i="498"/>
  <c r="DN9" i="498"/>
  <c r="DN30" i="498"/>
  <c r="DN20" i="498"/>
  <c r="DN56" i="498"/>
  <c r="DN37" i="498"/>
  <c r="DN17" i="498"/>
  <c r="DN34" i="498"/>
  <c r="DN25" i="498"/>
  <c r="DN27" i="498"/>
  <c r="DN16" i="498"/>
  <c r="DN11" i="498"/>
  <c r="DN52" i="498"/>
  <c r="DN28" i="498"/>
  <c r="DN14" i="498"/>
  <c r="DN32" i="498"/>
  <c r="DN29" i="498"/>
  <c r="DN23" i="498"/>
  <c r="DN42" i="498"/>
  <c r="DN18" i="498"/>
  <c r="DN22" i="498"/>
  <c r="DN13" i="498"/>
  <c r="DN31" i="498"/>
  <c r="DN54" i="498"/>
  <c r="DN45" i="498"/>
  <c r="DN41" i="498"/>
  <c r="DN40" i="498"/>
  <c r="DN33" i="498"/>
  <c r="DN47" i="498"/>
  <c r="F27" i="376"/>
  <c r="DN38" i="498"/>
  <c r="DN3" i="498"/>
  <c r="DN44" i="498"/>
  <c r="DN6" i="498"/>
  <c r="DN46" i="498"/>
  <c r="DN7" i="498"/>
  <c r="DN48" i="498"/>
  <c r="DN49" i="498"/>
  <c r="DN15" i="498"/>
  <c r="B75" i="432"/>
  <c r="B74" i="432" a="1"/>
  <c r="B74" i="432" s="1"/>
  <c r="K4" i="376" s="1" a="1"/>
  <c r="K4" i="376" s="1"/>
  <c r="I23" i="376"/>
  <c r="L27" i="376"/>
  <c r="M27" i="376" s="1"/>
  <c r="M10" i="498"/>
  <c r="M4" i="498"/>
  <c r="M3" i="498"/>
  <c r="M9" i="498"/>
  <c r="G6" i="376"/>
  <c r="H6" i="376" s="1"/>
  <c r="F6" i="376"/>
  <c r="M6" i="498"/>
  <c r="M7" i="498"/>
  <c r="M8" i="498"/>
  <c r="M5" i="498"/>
  <c r="I28" i="376"/>
  <c r="I21" i="376"/>
  <c r="H21" i="376"/>
  <c r="I30" i="376"/>
  <c r="I14" i="376"/>
  <c r="I4" i="376"/>
  <c r="L17" i="376"/>
  <c r="M17" i="376" s="1"/>
  <c r="B552" i="480"/>
  <c r="B551" i="480" a="1"/>
  <c r="B551" i="480" s="1"/>
  <c r="R6" i="498"/>
  <c r="R3" i="498"/>
  <c r="G7" i="376"/>
  <c r="F7" i="376"/>
  <c r="R9" i="498"/>
  <c r="R4" i="498"/>
  <c r="R11" i="498"/>
  <c r="R7" i="498"/>
  <c r="R5" i="498"/>
  <c r="R10" i="498"/>
  <c r="R8" i="498"/>
  <c r="I6" i="376"/>
  <c r="H5" i="498"/>
  <c r="H6" i="498"/>
  <c r="G5" i="376"/>
  <c r="F5" i="376"/>
  <c r="H7" i="498"/>
  <c r="H8" i="498"/>
  <c r="H4" i="498"/>
  <c r="H9" i="498"/>
  <c r="H3" i="498"/>
  <c r="CE7" i="498"/>
  <c r="CE20" i="498"/>
  <c r="CE14" i="498"/>
  <c r="CE8" i="498"/>
  <c r="CE13" i="498"/>
  <c r="CE15" i="498"/>
  <c r="CE9" i="498"/>
  <c r="CE3" i="498"/>
  <c r="CE24" i="498"/>
  <c r="CE25" i="498"/>
  <c r="CE23" i="498"/>
  <c r="CE5" i="498"/>
  <c r="CE11" i="498"/>
  <c r="CE16" i="498"/>
  <c r="CE4" i="498"/>
  <c r="F20" i="376"/>
  <c r="CE19" i="498"/>
  <c r="CE17" i="498"/>
  <c r="CE12" i="498"/>
  <c r="CE22" i="498"/>
  <c r="CE18" i="498"/>
  <c r="CE10" i="498"/>
  <c r="CE6" i="498"/>
  <c r="G20" i="376"/>
  <c r="CE21" i="498"/>
  <c r="AL6" i="498"/>
  <c r="AL7" i="498"/>
  <c r="AL16" i="498"/>
  <c r="AL4" i="498"/>
  <c r="AL3" i="498"/>
  <c r="AL12" i="498"/>
  <c r="AL14" i="498"/>
  <c r="AL9" i="498"/>
  <c r="AL8" i="498"/>
  <c r="AL15" i="498"/>
  <c r="AL13" i="498"/>
  <c r="F11" i="376"/>
  <c r="G11" i="376"/>
  <c r="AL11" i="498"/>
  <c r="AL10" i="498"/>
  <c r="AL5" i="498"/>
  <c r="C8" i="498"/>
  <c r="C3" i="498"/>
  <c r="G4" i="376"/>
  <c r="C5" i="498"/>
  <c r="C6" i="498"/>
  <c r="C4" i="498"/>
  <c r="F4" i="376"/>
  <c r="C7" i="498"/>
  <c r="I7" i="376"/>
  <c r="I17" i="376"/>
  <c r="CO8" i="498"/>
  <c r="CO13" i="498"/>
  <c r="CO3" i="498"/>
  <c r="CO19" i="498"/>
  <c r="CO25" i="498"/>
  <c r="CO11" i="498"/>
  <c r="CO17" i="498"/>
  <c r="CO5" i="498"/>
  <c r="CO24" i="498"/>
  <c r="CO23" i="498"/>
  <c r="CO20" i="498"/>
  <c r="CO6" i="498"/>
  <c r="CO14" i="498"/>
  <c r="CO7" i="498"/>
  <c r="CO15" i="498"/>
  <c r="CO21" i="498"/>
  <c r="F22" i="376"/>
  <c r="CO22" i="498"/>
  <c r="CO12" i="498"/>
  <c r="CO16" i="498"/>
  <c r="CO26" i="498"/>
  <c r="G22" i="376"/>
  <c r="CO9" i="498"/>
  <c r="CO10" i="498"/>
  <c r="CO27" i="498"/>
  <c r="CO4" i="498"/>
  <c r="CO18" i="498"/>
  <c r="CO28" i="498"/>
  <c r="L22" i="376"/>
  <c r="M22" i="376" s="1"/>
  <c r="I5" i="376"/>
  <c r="L20" i="376"/>
  <c r="M20" i="376" s="1"/>
  <c r="BK15" i="498"/>
  <c r="G16" i="376"/>
  <c r="BK4" i="498"/>
  <c r="BK20" i="498"/>
  <c r="BK3" i="498"/>
  <c r="BK17" i="498"/>
  <c r="BK8" i="498"/>
  <c r="BK14" i="498"/>
  <c r="BK7" i="498"/>
  <c r="BK21" i="498"/>
  <c r="BK16" i="498"/>
  <c r="BK13" i="498"/>
  <c r="BK5" i="498"/>
  <c r="BK19" i="498"/>
  <c r="BK6" i="498"/>
  <c r="BK11" i="498"/>
  <c r="BK18" i="498"/>
  <c r="BK12" i="498"/>
  <c r="BK10" i="498"/>
  <c r="BK9" i="498"/>
  <c r="F16" i="376"/>
  <c r="I16" i="376"/>
  <c r="DD33" i="498"/>
  <c r="DD32" i="498"/>
  <c r="F25" i="376"/>
  <c r="DD15" i="498"/>
  <c r="DD30" i="498"/>
  <c r="DD16" i="498"/>
  <c r="G25" i="376"/>
  <c r="DD12" i="498"/>
  <c r="DD23" i="498"/>
  <c r="DD9" i="498"/>
  <c r="DD11" i="498"/>
  <c r="DD5" i="498"/>
  <c r="DD38" i="498"/>
  <c r="DD25" i="498"/>
  <c r="DD14" i="498"/>
  <c r="DD4" i="498"/>
  <c r="DD19" i="498"/>
  <c r="DD10" i="498"/>
  <c r="DD27" i="498"/>
  <c r="DD18" i="498"/>
  <c r="DD29" i="498"/>
  <c r="DD26" i="498"/>
  <c r="DD22" i="498"/>
  <c r="DD20" i="498"/>
  <c r="DD21" i="498"/>
  <c r="DD13" i="498"/>
  <c r="DD17" i="498"/>
  <c r="DD31" i="498"/>
  <c r="DD36" i="498"/>
  <c r="DD35" i="498"/>
  <c r="DD3" i="498"/>
  <c r="DD6" i="498"/>
  <c r="DD7" i="498"/>
  <c r="DD24" i="498"/>
  <c r="DD39" i="498"/>
  <c r="DD37" i="498"/>
  <c r="DD8" i="498"/>
  <c r="DD34" i="498"/>
  <c r="DD28" i="498"/>
  <c r="BZ8" i="498"/>
  <c r="BZ18" i="498"/>
  <c r="BZ10" i="498"/>
  <c r="BZ3" i="498"/>
  <c r="BZ13" i="498"/>
  <c r="BZ6" i="498"/>
  <c r="BZ16" i="498"/>
  <c r="BZ4" i="498"/>
  <c r="BZ14" i="498"/>
  <c r="BZ11" i="498"/>
  <c r="BZ15" i="498"/>
  <c r="BZ22" i="498"/>
  <c r="G19" i="376"/>
  <c r="BZ12" i="498"/>
  <c r="BZ5" i="498"/>
  <c r="BZ19" i="498"/>
  <c r="BZ24" i="498"/>
  <c r="BZ7" i="498"/>
  <c r="BZ20" i="498"/>
  <c r="BZ23" i="498"/>
  <c r="F19" i="376"/>
  <c r="BZ21" i="498"/>
  <c r="BZ9" i="498"/>
  <c r="BZ17" i="498"/>
  <c r="BU15" i="498"/>
  <c r="BU16" i="498"/>
  <c r="G18" i="376"/>
  <c r="H18" i="376" s="1"/>
  <c r="BU6" i="498"/>
  <c r="BU22" i="498"/>
  <c r="BU21" i="498"/>
  <c r="BU5" i="498"/>
  <c r="BU10" i="498"/>
  <c r="BU12" i="498"/>
  <c r="BU7" i="498"/>
  <c r="BU8" i="498"/>
  <c r="BU19" i="498"/>
  <c r="BU23" i="498"/>
  <c r="BU9" i="498"/>
  <c r="BU20" i="498"/>
  <c r="F18" i="376"/>
  <c r="BU17" i="498"/>
  <c r="BU14" i="498"/>
  <c r="BU18" i="498"/>
  <c r="BU3" i="498"/>
  <c r="BU4" i="498"/>
  <c r="BU11" i="498"/>
  <c r="BU13" i="498"/>
  <c r="B179" i="443"/>
  <c r="B178" i="443" a="1"/>
  <c r="B178" i="443" s="1"/>
  <c r="K14" i="376" s="1" a="1"/>
  <c r="K14" i="376" s="1"/>
  <c r="B219" i="446"/>
  <c r="B218" i="446" a="1"/>
  <c r="B218" i="446" s="1"/>
  <c r="K17" i="376" s="1" a="1"/>
  <c r="K17" i="376" s="1"/>
  <c r="CT5" i="498"/>
  <c r="CT24" i="498"/>
  <c r="CT18" i="498"/>
  <c r="CT8" i="498"/>
  <c r="F23" i="376"/>
  <c r="CT25" i="498"/>
  <c r="CT14" i="498"/>
  <c r="CT20" i="498"/>
  <c r="CT9" i="498"/>
  <c r="CT21" i="498"/>
  <c r="G23" i="376"/>
  <c r="CT4" i="498"/>
  <c r="CT10" i="498"/>
  <c r="CT16" i="498"/>
  <c r="CT23" i="498"/>
  <c r="CT6" i="498"/>
  <c r="CT3" i="498"/>
  <c r="CT28" i="498"/>
  <c r="CT29" i="498"/>
  <c r="CT7" i="498"/>
  <c r="CT13" i="498"/>
  <c r="CT17" i="498"/>
  <c r="CT19" i="498"/>
  <c r="CT12" i="498"/>
  <c r="CT11" i="498"/>
  <c r="CT15" i="498"/>
  <c r="CT26" i="498"/>
  <c r="CT22" i="498"/>
  <c r="CT27" i="498"/>
  <c r="I19" i="376"/>
  <c r="B269" i="452" a="1"/>
  <c r="B269" i="452" s="1"/>
  <c r="B270" i="452"/>
  <c r="L18" i="376"/>
  <c r="M18" i="376" s="1"/>
  <c r="BA5" i="498"/>
  <c r="BA3" i="498"/>
  <c r="BA15" i="498"/>
  <c r="BA11" i="498"/>
  <c r="BA10" i="498"/>
  <c r="BA8" i="498"/>
  <c r="BA19" i="498"/>
  <c r="BA9" i="498"/>
  <c r="BA18" i="498"/>
  <c r="BA14" i="498"/>
  <c r="BA7" i="498"/>
  <c r="G14" i="376"/>
  <c r="BA16" i="498"/>
  <c r="BA6" i="498"/>
  <c r="BA13" i="498"/>
  <c r="BA17" i="498"/>
  <c r="BA4" i="498"/>
  <c r="BA12" i="498"/>
  <c r="F14" i="376"/>
  <c r="B198" i="445" a="1"/>
  <c r="B198" i="445" s="1"/>
  <c r="B199" i="445"/>
  <c r="F17" i="376"/>
  <c r="BP7" i="498"/>
  <c r="BP6" i="498"/>
  <c r="BP21" i="498"/>
  <c r="BP4" i="498"/>
  <c r="BP3" i="498"/>
  <c r="BP10" i="498"/>
  <c r="BP9" i="498"/>
  <c r="BP19" i="498"/>
  <c r="BP13" i="498"/>
  <c r="BP20" i="498"/>
  <c r="G17" i="376"/>
  <c r="BP15" i="498"/>
  <c r="BP12" i="498"/>
  <c r="BP18" i="498"/>
  <c r="BP22" i="498"/>
  <c r="BP5" i="498"/>
  <c r="BP14" i="498"/>
  <c r="BP8" i="498"/>
  <c r="BP16" i="498"/>
  <c r="BP17" i="498"/>
  <c r="BP11" i="498"/>
  <c r="K12" i="376" l="1" a="1"/>
  <c r="K12" i="376" s="1"/>
  <c r="K30" i="376" a="1"/>
  <c r="K30" i="376" s="1"/>
  <c r="H16" i="376"/>
  <c r="H25" i="376"/>
  <c r="K27" i="376" a="1"/>
  <c r="K27" i="376" s="1"/>
  <c r="K29" i="376" a="1"/>
  <c r="K29" i="376" s="1"/>
  <c r="K10" i="376" a="1"/>
  <c r="K10" i="376" s="1"/>
  <c r="E14" i="376" a="1"/>
  <c r="E14" i="376" s="1"/>
  <c r="K6" i="376" a="1"/>
  <c r="K6" i="376" s="1"/>
  <c r="K5" i="376" a="1"/>
  <c r="K5" i="376" s="1"/>
  <c r="K22" i="376" a="1"/>
  <c r="K22" i="376" s="1"/>
  <c r="K11" i="376" a="1"/>
  <c r="K11" i="376" s="1"/>
  <c r="D7" i="376" a="1"/>
  <c r="D7" i="376" s="1"/>
  <c r="E28" i="376" a="1"/>
  <c r="E28" i="376" s="1"/>
  <c r="K19" i="376" a="1"/>
  <c r="K19" i="376" s="1"/>
  <c r="K21" i="376" a="1"/>
  <c r="K21" i="376" s="1"/>
  <c r="E6" i="376" a="1"/>
  <c r="E6" i="376" s="1"/>
  <c r="K20" i="376" a="1"/>
  <c r="K20" i="376" s="1"/>
  <c r="D29" i="376" a="1"/>
  <c r="D29" i="376" s="1"/>
  <c r="K13" i="376" a="1"/>
  <c r="K13" i="376" s="1"/>
  <c r="K8" i="376" a="1"/>
  <c r="K8" i="376" s="1"/>
  <c r="K16" i="376" a="1"/>
  <c r="K16" i="376" s="1"/>
  <c r="D15" i="376" a="1"/>
  <c r="D15" i="376" s="1"/>
  <c r="K18" i="376" a="1"/>
  <c r="K18" i="376" s="1"/>
  <c r="H19" i="376"/>
  <c r="H28" i="376"/>
  <c r="H8" i="376"/>
  <c r="H20" i="376"/>
  <c r="H24" i="376"/>
  <c r="H23" i="376"/>
  <c r="H14" i="376"/>
  <c r="H30" i="376"/>
  <c r="E19" i="376" a="1"/>
  <c r="E19" i="376" s="1"/>
  <c r="H17" i="376"/>
  <c r="E7" i="376" a="1"/>
  <c r="E7" i="376" s="1"/>
  <c r="D12" i="376" a="1"/>
  <c r="D12" i="376" s="1"/>
  <c r="H22" i="376"/>
  <c r="D30" i="376" a="1"/>
  <c r="D30" i="376" s="1"/>
  <c r="H26" i="376"/>
  <c r="D17" i="376" a="1"/>
  <c r="D17" i="376" s="1"/>
  <c r="E18" i="376" a="1"/>
  <c r="E18" i="376" s="1"/>
  <c r="D22" i="376" a="1"/>
  <c r="D22" i="376" s="1"/>
  <c r="H29" i="376"/>
  <c r="E26" i="376" a="1"/>
  <c r="E26" i="376" s="1"/>
  <c r="H7" i="376"/>
  <c r="D16" i="376" a="1"/>
  <c r="D16" i="376" s="1"/>
  <c r="H13" i="376"/>
  <c r="E4" i="376" a="1"/>
  <c r="E4" i="376" s="1"/>
  <c r="E23" i="376" a="1"/>
  <c r="E23" i="376" s="1"/>
  <c r="H4" i="376"/>
  <c r="D6" i="376" a="1"/>
  <c r="D6" i="376" s="1"/>
  <c r="E21" i="376" a="1"/>
  <c r="E21" i="376" s="1"/>
  <c r="H10" i="376"/>
  <c r="D11" i="376" a="1"/>
  <c r="D11" i="376" s="1"/>
  <c r="E27" i="376" a="1"/>
  <c r="E27" i="376" s="1"/>
  <c r="D13" i="376" a="1"/>
  <c r="D13" i="376" s="1"/>
  <c r="H12" i="376"/>
  <c r="D21" i="376" a="1"/>
  <c r="D21" i="376" s="1"/>
  <c r="D4" i="376" a="1"/>
  <c r="D4" i="376" s="1"/>
  <c r="D20" i="376" a="1"/>
  <c r="D20" i="376" s="1"/>
  <c r="H9" i="376"/>
  <c r="E5" i="376" a="1"/>
  <c r="E5" i="376" s="1"/>
  <c r="E10" i="376" a="1"/>
  <c r="E10" i="376" s="1"/>
  <c r="H11" i="376"/>
  <c r="E12" i="376" a="1"/>
  <c r="E12" i="376" s="1"/>
  <c r="D24" i="376" a="1"/>
  <c r="D24" i="376" s="1"/>
  <c r="E8" i="376" a="1"/>
  <c r="E8" i="376" s="1"/>
  <c r="D9" i="376" a="1"/>
  <c r="D9" i="376" s="1"/>
  <c r="H5" i="376"/>
  <c r="E22" i="376" a="1"/>
  <c r="E22" i="376" s="1"/>
  <c r="D5" i="376" a="1"/>
  <c r="D5" i="376" s="1"/>
  <c r="H27" i="376"/>
  <c r="D28" i="376" a="1"/>
  <c r="D28" i="376" s="1"/>
  <c r="D25" i="376" a="1"/>
  <c r="D25" i="376" s="1"/>
  <c r="D18" i="376" a="1"/>
  <c r="D18" i="376" s="1"/>
  <c r="D23" i="376" a="1"/>
  <c r="D23" i="376" s="1"/>
  <c r="D26" i="376" a="1"/>
  <c r="D26" i="376" s="1"/>
  <c r="D27" i="376" a="1"/>
  <c r="D27" i="376" s="1"/>
  <c r="E24" i="376" a="1"/>
  <c r="E24" i="376" s="1"/>
  <c r="E25" i="376" a="1"/>
  <c r="E25" i="376" s="1"/>
  <c r="D19" i="376" a="1"/>
  <c r="D19" i="376" s="1"/>
  <c r="D8" i="376" a="1"/>
  <c r="D8" i="376" s="1"/>
  <c r="E11" i="376" a="1"/>
  <c r="E11" i="376" s="1"/>
  <c r="E30" i="376" a="1"/>
  <c r="E30" i="376" s="1"/>
  <c r="E29" i="376" a="1"/>
  <c r="E29" i="376" s="1"/>
  <c r="E20" i="376" a="1"/>
  <c r="E20" i="376" s="1"/>
  <c r="D14" i="376" a="1"/>
  <c r="D14" i="376" s="1"/>
  <c r="E16" i="376" a="1"/>
  <c r="E16" i="376" s="1"/>
  <c r="E13" i="376" a="1"/>
  <c r="E13" i="376" s="1"/>
  <c r="E17" i="376" a="1"/>
  <c r="E17" i="376" s="1"/>
  <c r="D10" i="376" a="1"/>
  <c r="D10" i="376" s="1"/>
  <c r="E15" i="376" a="1"/>
  <c r="E15" i="376" s="1"/>
  <c r="E9" i="376" a="1"/>
  <c r="E9" i="37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</authors>
  <commentList>
    <comment ref="E184" authorId="0" shapeId="0" xr:uid="{1B60AD7D-A2F6-4277-8697-BD28BF48FD5D}">
      <text>
        <r>
          <rPr>
            <b/>
            <sz val="9"/>
            <color indexed="81"/>
            <rFont val="Tahoma"/>
          </rPr>
          <t>Mohammed Alnajjar:</t>
        </r>
        <r>
          <rPr>
            <sz val="9"/>
            <color indexed="81"/>
            <rFont val="Tahoma"/>
          </rPr>
          <t xml:space="preserve">
المتأهلون الأربعة: أول كل مجموعة (3 فرق) + أفضل فريق ثانٍ بين المجموعات الثلاث. ترتيب أفضل ثانٍ: النقاط، ثم فارق الأهداف، ثم الأهداف المسجلة، ثم القرعة.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</authors>
  <commentList>
    <comment ref="E536" authorId="0" shapeId="0" xr:uid="{61268D76-46D4-470A-82D2-C9EEB3915C3B}">
      <text>
        <r>
          <rPr>
            <b/>
            <sz val="9"/>
            <color indexed="81"/>
            <rFont val="Tahoma"/>
          </rPr>
          <t>Mohammed Alnajjar:</t>
        </r>
        <r>
          <rPr>
            <sz val="9"/>
            <color indexed="81"/>
            <rFont val="Tahoma"/>
          </rPr>
          <t xml:space="preserve">
المتأهلون الأربعة: أول كل مجموعة (3 فرق) + أفضل فريق ثانٍ بين المجموعات الثلاث. ترتيب أفضل ثانٍ: النقاط، ثم فارق الأهداف، ثم الأهداف المسجلة، ثم القرعة.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<sst xmlns="http://schemas.openxmlformats.org/spreadsheetml/2006/main" count="12367" uniqueCount="1444">
  <si>
    <t>البند</t>
  </si>
  <si>
    <t>القيمة</t>
  </si>
  <si>
    <t>ملاحظة</t>
  </si>
  <si>
    <t>وقت بداية اليوم</t>
  </si>
  <si>
    <t>مدة المباراة (دقيقة)</t>
  </si>
  <si>
    <t>طول الفترة الكاملة (دقيقة)</t>
  </si>
  <si>
    <t>الوقت</t>
  </si>
  <si>
    <t>2 ضد 5</t>
  </si>
  <si>
    <t>1 ضد 3</t>
  </si>
  <si>
    <t>4 ضد 6</t>
  </si>
  <si>
    <t>4 ضد 5</t>
  </si>
  <si>
    <t>1 ضد 2</t>
  </si>
  <si>
    <t>3 ضد 6</t>
  </si>
  <si>
    <t>3 ضد 5</t>
  </si>
  <si>
    <t>2 ضد 4</t>
  </si>
  <si>
    <t>1 ضد 6</t>
  </si>
  <si>
    <t>5 ضد 6</t>
  </si>
  <si>
    <t>2 ضد 3</t>
  </si>
  <si>
    <t>1 ضد 4</t>
  </si>
  <si>
    <t>3 ضد 4</t>
  </si>
  <si>
    <t>1 ضد 5</t>
  </si>
  <si>
    <t>2 ضد 6</t>
  </si>
  <si>
    <t>2 ضد 7</t>
  </si>
  <si>
    <t>6 ضد 7</t>
  </si>
  <si>
    <t>5 ضد 7</t>
  </si>
  <si>
    <t>1 ضد 7</t>
  </si>
  <si>
    <t>4 ضد 7</t>
  </si>
  <si>
    <t>3 ضد 7</t>
  </si>
  <si>
    <t>6 ضد 8</t>
  </si>
  <si>
    <t>1 ضد 8</t>
  </si>
  <si>
    <t>7 ضد 8</t>
  </si>
  <si>
    <t>2 ضد 8</t>
  </si>
  <si>
    <t>4 ضد 8</t>
  </si>
  <si>
    <t>3 ضد 8</t>
  </si>
  <si>
    <t>5 ضد 8</t>
  </si>
  <si>
    <t>4 ضد 9</t>
  </si>
  <si>
    <t>1 ضد 9</t>
  </si>
  <si>
    <t>6 ضد 9</t>
  </si>
  <si>
    <t>5 ضد 9</t>
  </si>
  <si>
    <t>3 ضد 9</t>
  </si>
  <si>
    <t>2 ضد 9</t>
  </si>
  <si>
    <t>8 ضد 9</t>
  </si>
  <si>
    <t>7 ضد 9</t>
  </si>
  <si>
    <t>1 ضد 10</t>
  </si>
  <si>
    <t>2 ضد 10</t>
  </si>
  <si>
    <t>8 ضد 10</t>
  </si>
  <si>
    <t>9 ضد 10</t>
  </si>
  <si>
    <t>5 ضد 10</t>
  </si>
  <si>
    <t>4 ضد 10</t>
  </si>
  <si>
    <t>7 ضد 10</t>
  </si>
  <si>
    <t>3 ضد 10</t>
  </si>
  <si>
    <t>6 ضد 10</t>
  </si>
  <si>
    <t>9 ضد 11</t>
  </si>
  <si>
    <t>8 ضد 11</t>
  </si>
  <si>
    <t>1 ضد 11</t>
  </si>
  <si>
    <t>2 ضد 11</t>
  </si>
  <si>
    <t>10 ضد 11</t>
  </si>
  <si>
    <t>6 ضد 11</t>
  </si>
  <si>
    <t>4 ضد 11</t>
  </si>
  <si>
    <t>3 ضد 11</t>
  </si>
  <si>
    <t>7 ضد 11</t>
  </si>
  <si>
    <t>5 ضد 11</t>
  </si>
  <si>
    <t>1 ضد 12</t>
  </si>
  <si>
    <t>7 ضد 12</t>
  </si>
  <si>
    <t>10 ضد 12</t>
  </si>
  <si>
    <t>3 ضد 12</t>
  </si>
  <si>
    <t>2 ضد 12</t>
  </si>
  <si>
    <t>9 ضد 12</t>
  </si>
  <si>
    <t>8 ضد 12</t>
  </si>
  <si>
    <t>6 ضد 12</t>
  </si>
  <si>
    <t>5 ضد 12</t>
  </si>
  <si>
    <t>4 ضد 12</t>
  </si>
  <si>
    <t>11 ضد 12</t>
  </si>
  <si>
    <t>عدد الفرق</t>
  </si>
  <si>
    <t>صفحة المدخلات – بطولات تحت 11 / تحت 12</t>
  </si>
  <si>
    <t>الفاصل/ترتيب الملعب (دقيقة)</t>
  </si>
  <si>
    <t>أقصى عدد فترات في اليوم</t>
  </si>
  <si>
    <t>مشترك لكل البطولات</t>
  </si>
  <si>
    <t>زمن المباراة الفعلي</t>
  </si>
  <si>
    <t>راحة وترتيب الملعب بين المباريات</t>
  </si>
  <si>
    <t>محسوبة = مدة + فاصل</t>
  </si>
  <si>
    <t>يحدد عدد الملاعب المطلوبة</t>
  </si>
  <si>
    <t>الفترة</t>
  </si>
  <si>
    <t>الملعب</t>
  </si>
  <si>
    <t>المجموعة</t>
  </si>
  <si>
    <t>المباراة</t>
  </si>
  <si>
    <t>التوقيت</t>
  </si>
  <si>
    <t>الفريق</t>
  </si>
  <si>
    <t>عدد الخصوم</t>
  </si>
  <si>
    <t>8 ضد 13</t>
  </si>
  <si>
    <t>11 ضد 13</t>
  </si>
  <si>
    <t>9 ضد 13</t>
  </si>
  <si>
    <t>12 ضد 13</t>
  </si>
  <si>
    <t>10 ضد 13</t>
  </si>
  <si>
    <t>9 ضد 14</t>
  </si>
  <si>
    <t>8 ضد 14</t>
  </si>
  <si>
    <t>12 ضد 14</t>
  </si>
  <si>
    <t>10 ضد 14</t>
  </si>
  <si>
    <t>13 ضد 14</t>
  </si>
  <si>
    <t>11 ضد 14</t>
  </si>
  <si>
    <t>12 ضد 15</t>
  </si>
  <si>
    <t>11 ضد 15</t>
  </si>
  <si>
    <t>13 ضد 15</t>
  </si>
  <si>
    <t>14 ضد 15</t>
  </si>
  <si>
    <t>1 ضد 16</t>
  </si>
  <si>
    <t>2 ضد 15</t>
  </si>
  <si>
    <t>3 ضد 14</t>
  </si>
  <si>
    <t>4 ضد 13</t>
  </si>
  <si>
    <t>1 ضد 15</t>
  </si>
  <si>
    <t>14 ضد 16</t>
  </si>
  <si>
    <t>2 ضد 13</t>
  </si>
  <si>
    <t>1 ضد 14</t>
  </si>
  <si>
    <t>12 ضد 16</t>
  </si>
  <si>
    <t>1 ضد 13</t>
  </si>
  <si>
    <t>10 ضد 16</t>
  </si>
  <si>
    <t>9 ضد 15</t>
  </si>
  <si>
    <t>8 ضد 16</t>
  </si>
  <si>
    <t>7 ضد 15</t>
  </si>
  <si>
    <t>6 ضد 16</t>
  </si>
  <si>
    <t>7 ضد 13</t>
  </si>
  <si>
    <t>6 ضد 14</t>
  </si>
  <si>
    <t>5 ضد 15</t>
  </si>
  <si>
    <t>4 ضد 16</t>
  </si>
  <si>
    <t>5 ضد 13</t>
  </si>
  <si>
    <t>4 ضد 14</t>
  </si>
  <si>
    <t>3 ضد 15</t>
  </si>
  <si>
    <t>2 ضد 16</t>
  </si>
  <si>
    <t>3 ضد 13</t>
  </si>
  <si>
    <t>2 ضد 14</t>
  </si>
  <si>
    <t>15 ضد 16</t>
  </si>
  <si>
    <t>13 ضد 16</t>
  </si>
  <si>
    <t>11 ضد 16</t>
  </si>
  <si>
    <t>9 ضد 16</t>
  </si>
  <si>
    <t>10 ضد 15</t>
  </si>
  <si>
    <t>7 ضد 16</t>
  </si>
  <si>
    <t>8 ضد 15</t>
  </si>
  <si>
    <t>5 ضد 16</t>
  </si>
  <si>
    <t>6 ضد 15</t>
  </si>
  <si>
    <t>7 ضد 14</t>
  </si>
  <si>
    <t>3 ضد 16</t>
  </si>
  <si>
    <t>4 ضد 15</t>
  </si>
  <si>
    <t>5 ضد 14</t>
  </si>
  <si>
    <t>6 ضد 13</t>
  </si>
  <si>
    <t>2 ضد 17</t>
  </si>
  <si>
    <t>1 ضد 17</t>
  </si>
  <si>
    <t>15 ضد 17</t>
  </si>
  <si>
    <t>13 ضد 17</t>
  </si>
  <si>
    <t>9 ضد 17</t>
  </si>
  <si>
    <t>7 ضد 17</t>
  </si>
  <si>
    <t>5 ضد 17</t>
  </si>
  <si>
    <t>3 ضد 17</t>
  </si>
  <si>
    <t>16 ضد 17</t>
  </si>
  <si>
    <t>14 ضد 17</t>
  </si>
  <si>
    <t>12 ضد 17</t>
  </si>
  <si>
    <t>10 ضد 17</t>
  </si>
  <si>
    <t>8 ضد 17</t>
  </si>
  <si>
    <t>6 ضد 17</t>
  </si>
  <si>
    <t>4 ضد 17</t>
  </si>
  <si>
    <t>13 ضد 18</t>
  </si>
  <si>
    <t>16 ضد 18</t>
  </si>
  <si>
    <t>14 ضد 18</t>
  </si>
  <si>
    <t>17 ضد 18</t>
  </si>
  <si>
    <t>15 ضد 18</t>
  </si>
  <si>
    <t>2 ضد 19</t>
  </si>
  <si>
    <t>3 ضد 18</t>
  </si>
  <si>
    <t>1 ضد 19</t>
  </si>
  <si>
    <t>1 ضد 18</t>
  </si>
  <si>
    <t>17 ضد 19</t>
  </si>
  <si>
    <t>15 ضد 19</t>
  </si>
  <si>
    <t>13 ضد 19</t>
  </si>
  <si>
    <t>12 ضد 18</t>
  </si>
  <si>
    <t>11 ضد 19</t>
  </si>
  <si>
    <t>10 ضد 18</t>
  </si>
  <si>
    <t>8 ضد 18</t>
  </si>
  <si>
    <t>7 ضد 19</t>
  </si>
  <si>
    <t>6 ضد 18</t>
  </si>
  <si>
    <t>4 ضد 18</t>
  </si>
  <si>
    <t>18 ضد 19</t>
  </si>
  <si>
    <t>16 ضد 19</t>
  </si>
  <si>
    <t>14 ضد 19</t>
  </si>
  <si>
    <t>12 ضد 19</t>
  </si>
  <si>
    <t>10 ضد 19</t>
  </si>
  <si>
    <t>11 ضد 18</t>
  </si>
  <si>
    <t>8 ضد 19</t>
  </si>
  <si>
    <t>9 ضد 18</t>
  </si>
  <si>
    <t>7 ضد 18</t>
  </si>
  <si>
    <t>4 ضد 19</t>
  </si>
  <si>
    <t>5 ضد 18</t>
  </si>
  <si>
    <t>1 ضد 20</t>
  </si>
  <si>
    <t>18 ضد 20</t>
  </si>
  <si>
    <t>16 ضد 20</t>
  </si>
  <si>
    <t>14 ضد 20</t>
  </si>
  <si>
    <t>12 ضد 20</t>
  </si>
  <si>
    <t>10 ضد 20</t>
  </si>
  <si>
    <t>8 ضد 20</t>
  </si>
  <si>
    <t>6 ضد 20</t>
  </si>
  <si>
    <t>19 ضد 20</t>
  </si>
  <si>
    <t>17 ضد 20</t>
  </si>
  <si>
    <t>15 ضد 20</t>
  </si>
  <si>
    <t>13 ضد 20</t>
  </si>
  <si>
    <t>11 ضد 20</t>
  </si>
  <si>
    <t>9 ضد 20</t>
  </si>
  <si>
    <t>3 ضد 20</t>
  </si>
  <si>
    <t>2 ضد 21</t>
  </si>
  <si>
    <t>1 ضد 21</t>
  </si>
  <si>
    <t>19 ضد 21</t>
  </si>
  <si>
    <t>17 ضد 21</t>
  </si>
  <si>
    <t>15 ضد 21</t>
  </si>
  <si>
    <t>13 ضد 21</t>
  </si>
  <si>
    <t>9 ضد 21</t>
  </si>
  <si>
    <t>20 ضد 21</t>
  </si>
  <si>
    <t>18 ضد 21</t>
  </si>
  <si>
    <t>16 ضد 21</t>
  </si>
  <si>
    <t>14 ضد 21</t>
  </si>
  <si>
    <t>12 ضد 21</t>
  </si>
  <si>
    <t>10 ضد 21</t>
  </si>
  <si>
    <t>8 ضد 21</t>
  </si>
  <si>
    <t>13 ضد 22</t>
  </si>
  <si>
    <t>12 ضد 22</t>
  </si>
  <si>
    <t>20 ضد 22</t>
  </si>
  <si>
    <t>18 ضد 22</t>
  </si>
  <si>
    <t>16 ضد 22</t>
  </si>
  <si>
    <t>14 ضد 22</t>
  </si>
  <si>
    <t>21 ضد 22</t>
  </si>
  <si>
    <t>19 ضد 22</t>
  </si>
  <si>
    <t>17 ضد 22</t>
  </si>
  <si>
    <t>15 ضد 22</t>
  </si>
  <si>
    <t>20 ضد 23</t>
  </si>
  <si>
    <t>19 ضد 23</t>
  </si>
  <si>
    <t>21 ضد 23</t>
  </si>
  <si>
    <t>22 ضد 23</t>
  </si>
  <si>
    <t>19 ضد 24</t>
  </si>
  <si>
    <t>22 ضد 24</t>
  </si>
  <si>
    <t>20 ضد 24</t>
  </si>
  <si>
    <t>23 ضد 24</t>
  </si>
  <si>
    <t>21 ضد 24</t>
  </si>
  <si>
    <t>22 ضد 25</t>
  </si>
  <si>
    <t>21 ضد 25</t>
  </si>
  <si>
    <t>23 ضد 25</t>
  </si>
  <si>
    <t>24 ضد 25</t>
  </si>
  <si>
    <t>21 ضد 26</t>
  </si>
  <si>
    <t>24 ضد 26</t>
  </si>
  <si>
    <t>22 ضد 26</t>
  </si>
  <si>
    <t>25 ضد 26</t>
  </si>
  <si>
    <t>23 ضد 26</t>
  </si>
  <si>
    <t>20 ضد 27</t>
  </si>
  <si>
    <t>20 ضد 25</t>
  </si>
  <si>
    <t>19 ضد 26</t>
  </si>
  <si>
    <t>25 ضد 27</t>
  </si>
  <si>
    <t>23 ضد 27</t>
  </si>
  <si>
    <t>21 ضد 27</t>
  </si>
  <si>
    <t>20 ضد 26</t>
  </si>
  <si>
    <t>26 ضد 27</t>
  </si>
  <si>
    <t>24 ضد 27</t>
  </si>
  <si>
    <t>22 ضد 27</t>
  </si>
  <si>
    <t>23 ضد 28</t>
  </si>
  <si>
    <t>22 ضد 28</t>
  </si>
  <si>
    <t>26 ضد 28</t>
  </si>
  <si>
    <t>24 ضد 28</t>
  </si>
  <si>
    <t>27 ضد 28</t>
  </si>
  <si>
    <t>25 ضد 28</t>
  </si>
  <si>
    <t>22 ضد 29</t>
  </si>
  <si>
    <t>21 ضد 29</t>
  </si>
  <si>
    <t>21 ضد 28</t>
  </si>
  <si>
    <t>27 ضد 29</t>
  </si>
  <si>
    <t>25 ضد 29</t>
  </si>
  <si>
    <t>23 ضد 29</t>
  </si>
  <si>
    <t>28 ضد 29</t>
  </si>
  <si>
    <t>26 ضد 29</t>
  </si>
  <si>
    <t>24 ضد 29</t>
  </si>
  <si>
    <t>25 ضد 30</t>
  </si>
  <si>
    <t>28 ضد 30</t>
  </si>
  <si>
    <t>26 ضد 30</t>
  </si>
  <si>
    <t>29 ضد 30</t>
  </si>
  <si>
    <t>27 ضد 30</t>
  </si>
  <si>
    <t>22 ضد 31</t>
  </si>
  <si>
    <t>23 ضد 30</t>
  </si>
  <si>
    <t>22 ضد 30</t>
  </si>
  <si>
    <t>29 ضد 31</t>
  </si>
  <si>
    <t>27 ضد 31</t>
  </si>
  <si>
    <t>25 ضد 31</t>
  </si>
  <si>
    <t>24 ضد 30</t>
  </si>
  <si>
    <t>23 ضد 31</t>
  </si>
  <si>
    <t>30 ضد 31</t>
  </si>
  <si>
    <t>28 ضد 31</t>
  </si>
  <si>
    <t>26 ضد 31</t>
  </si>
  <si>
    <t>24 ضد 31</t>
  </si>
  <si>
    <t>30 ضد 32</t>
  </si>
  <si>
    <t>28 ضد 32</t>
  </si>
  <si>
    <t>26 ضد 32</t>
  </si>
  <si>
    <t>24 ضد 32</t>
  </si>
  <si>
    <t>31 ضد 32</t>
  </si>
  <si>
    <t>29 ضد 32</t>
  </si>
  <si>
    <t>27 ضد 32</t>
  </si>
  <si>
    <t>25 ضد 32</t>
  </si>
  <si>
    <t>24 ضد 33</t>
  </si>
  <si>
    <t>23 ضد 33</t>
  </si>
  <si>
    <t>31 ضد 33</t>
  </si>
  <si>
    <t>29 ضد 33</t>
  </si>
  <si>
    <t>27 ضد 33</t>
  </si>
  <si>
    <t>25 ضد 33</t>
  </si>
  <si>
    <t>32 ضد 33</t>
  </si>
  <si>
    <t>30 ضد 33</t>
  </si>
  <si>
    <t>28 ضد 33</t>
  </si>
  <si>
    <t>26 ضد 33</t>
  </si>
  <si>
    <t>21 ضد 32</t>
  </si>
  <si>
    <t>19 ضد 32</t>
  </si>
  <si>
    <t>21 ضد 30</t>
  </si>
  <si>
    <t>32 ضد 34</t>
  </si>
  <si>
    <t>19 ضد 30</t>
  </si>
  <si>
    <t>20 ضد 29</t>
  </si>
  <si>
    <t>30 ضد 34</t>
  </si>
  <si>
    <t>18 ضد 31</t>
  </si>
  <si>
    <t>28 ضد 34</t>
  </si>
  <si>
    <t>26 ضد 34</t>
  </si>
  <si>
    <t>22 ضد 34</t>
  </si>
  <si>
    <t>18 ضد 27</t>
  </si>
  <si>
    <t>22 ضد 32</t>
  </si>
  <si>
    <t>21 ضد 33</t>
  </si>
  <si>
    <t>20 ضد 34</t>
  </si>
  <si>
    <t>21 ضد 31</t>
  </si>
  <si>
    <t>20 ضد 32</t>
  </si>
  <si>
    <t>18 ضد 25</t>
  </si>
  <si>
    <t>20 ضد 30</t>
  </si>
  <si>
    <t>33 ضد 34</t>
  </si>
  <si>
    <t>18 ضد 24</t>
  </si>
  <si>
    <t>20 ضد 28</t>
  </si>
  <si>
    <t>31 ضد 34</t>
  </si>
  <si>
    <t>18 ضد 23</t>
  </si>
  <si>
    <t>29 ضد 34</t>
  </si>
  <si>
    <t>27 ضد 34</t>
  </si>
  <si>
    <t>25 ضد 34</t>
  </si>
  <si>
    <t>23 ضد 34</t>
  </si>
  <si>
    <t>21 ضد 34</t>
  </si>
  <si>
    <t>22 ضد 33</t>
  </si>
  <si>
    <t>30 ضد 35</t>
  </si>
  <si>
    <t>29 ضد 35</t>
  </si>
  <si>
    <t>33 ضد 35</t>
  </si>
  <si>
    <t>31 ضد 35</t>
  </si>
  <si>
    <t>34 ضد 35</t>
  </si>
  <si>
    <t>32 ضد 35</t>
  </si>
  <si>
    <t>31 ضد 36</t>
  </si>
  <si>
    <t>34 ضد 36</t>
  </si>
  <si>
    <t>32 ضد 36</t>
  </si>
  <si>
    <t>35 ضد 36</t>
  </si>
  <si>
    <t>33 ضد 36</t>
  </si>
  <si>
    <t>20 ضد 37</t>
  </si>
  <si>
    <t>21 ضد 36</t>
  </si>
  <si>
    <t>22 ضد 35</t>
  </si>
  <si>
    <t>35 ضد 37</t>
  </si>
  <si>
    <t>20 ضد 35</t>
  </si>
  <si>
    <t>33 ضد 37</t>
  </si>
  <si>
    <t>31 ضد 37</t>
  </si>
  <si>
    <t>30 ضد 36</t>
  </si>
  <si>
    <t>29 ضد 37</t>
  </si>
  <si>
    <t>28 ضد 36</t>
  </si>
  <si>
    <t>27 ضد 37</t>
  </si>
  <si>
    <t>27 ضد 35</t>
  </si>
  <si>
    <t>25 ضد 37</t>
  </si>
  <si>
    <t>25 ضد 35</t>
  </si>
  <si>
    <t>23 ضد 35</t>
  </si>
  <si>
    <t>21 ضد 37</t>
  </si>
  <si>
    <t>36 ضد 37</t>
  </si>
  <si>
    <t>34 ضد 37</t>
  </si>
  <si>
    <t>32 ضد 37</t>
  </si>
  <si>
    <t>30 ضد 37</t>
  </si>
  <si>
    <t>28 ضد 37</t>
  </si>
  <si>
    <t>29 ضد 36</t>
  </si>
  <si>
    <t>27 ضد 36</t>
  </si>
  <si>
    <t>28 ضد 35</t>
  </si>
  <si>
    <t>24 ضد 37</t>
  </si>
  <si>
    <t>25 ضد 36</t>
  </si>
  <si>
    <t>26 ضد 35</t>
  </si>
  <si>
    <t>36 ضد 38</t>
  </si>
  <si>
    <t>34 ضد 38</t>
  </si>
  <si>
    <t>32 ضد 38</t>
  </si>
  <si>
    <t>30 ضد 38</t>
  </si>
  <si>
    <t>37 ضد 38</t>
  </si>
  <si>
    <t>35 ضد 38</t>
  </si>
  <si>
    <t>33 ضد 38</t>
  </si>
  <si>
    <t>31 ضد 38</t>
  </si>
  <si>
    <t>29 ضد 38</t>
  </si>
  <si>
    <t>27 ضد 38</t>
  </si>
  <si>
    <t>23 ضد 38</t>
  </si>
  <si>
    <t>22 ضد 39</t>
  </si>
  <si>
    <t>21 ضد 39</t>
  </si>
  <si>
    <t>37 ضد 39</t>
  </si>
  <si>
    <t>35 ضد 39</t>
  </si>
  <si>
    <t>31 ضد 39</t>
  </si>
  <si>
    <t>29 ضد 39</t>
  </si>
  <si>
    <t>27 ضد 39</t>
  </si>
  <si>
    <t>38 ضد 39</t>
  </si>
  <si>
    <t>36 ضد 39</t>
  </si>
  <si>
    <t>34 ضد 39</t>
  </si>
  <si>
    <t>32 ضد 39</t>
  </si>
  <si>
    <t>30 ضد 39</t>
  </si>
  <si>
    <t>39 ضد 40</t>
  </si>
  <si>
    <t>37 ضد 40</t>
  </si>
  <si>
    <t>35 ضد 40</t>
  </si>
  <si>
    <t>33 ضد 40</t>
  </si>
  <si>
    <t>31 ضد 40</t>
  </si>
  <si>
    <t>29 ضد 40</t>
  </si>
  <si>
    <t>37 ضد 41</t>
  </si>
  <si>
    <t>35 ضد 41</t>
  </si>
  <si>
    <t>33 ضد 41</t>
  </si>
  <si>
    <t>40 ضد 41</t>
  </si>
  <si>
    <t>38 ضد 41</t>
  </si>
  <si>
    <t>36 ضد 41</t>
  </si>
  <si>
    <t>30 ضد 41</t>
  </si>
  <si>
    <t>40 ضد 42</t>
  </si>
  <si>
    <t>41 ضد 42</t>
  </si>
  <si>
    <t>39 ضد 42</t>
  </si>
  <si>
    <t>37 ضد 42</t>
  </si>
  <si>
    <t>35 ضد 42</t>
  </si>
  <si>
    <t>29 ضد 42</t>
  </si>
  <si>
    <t>34 ضد 43</t>
  </si>
  <si>
    <t>41 ضد 43</t>
  </si>
  <si>
    <t>37 ضد 43</t>
  </si>
  <si>
    <t>35 ضد 43</t>
  </si>
  <si>
    <t>42 ضد 43</t>
  </si>
  <si>
    <t>40 ضد 43</t>
  </si>
  <si>
    <t>38 ضد 43</t>
  </si>
  <si>
    <t>36 ضد 43</t>
  </si>
  <si>
    <t>35 ضد 44</t>
  </si>
  <si>
    <t>42 ضد 44</t>
  </si>
  <si>
    <t>40 ضد 44</t>
  </si>
  <si>
    <t>43 ضد 44</t>
  </si>
  <si>
    <t>41 ضد 44</t>
  </si>
  <si>
    <t>39 ضد 44</t>
  </si>
  <si>
    <t>37 ضد 44</t>
  </si>
  <si>
    <t>38 ضد 45</t>
  </si>
  <si>
    <t>37 ضد 45</t>
  </si>
  <si>
    <t>43 ضد 45</t>
  </si>
  <si>
    <t>41 ضد 45</t>
  </si>
  <si>
    <t>44 ضد 45</t>
  </si>
  <si>
    <t>42 ضد 45</t>
  </si>
  <si>
    <t>40 ضد 45</t>
  </si>
  <si>
    <t>41 ضد 46</t>
  </si>
  <si>
    <t>44 ضد 46</t>
  </si>
  <si>
    <t>42 ضد 46</t>
  </si>
  <si>
    <t>45 ضد 46</t>
  </si>
  <si>
    <t>43 ضد 46</t>
  </si>
  <si>
    <t>42 ضد 47</t>
  </si>
  <si>
    <t>45 ضد 47</t>
  </si>
  <si>
    <t>43 ضد 47</t>
  </si>
  <si>
    <t>46 ضد 47</t>
  </si>
  <si>
    <t>44 ضد 47</t>
  </si>
  <si>
    <t>43 ضد 48</t>
  </si>
  <si>
    <t>46 ضد 48</t>
  </si>
  <si>
    <t>44 ضد 48</t>
  </si>
  <si>
    <t>47 ضد 48</t>
  </si>
  <si>
    <t>45 ضد 48</t>
  </si>
  <si>
    <t>44 ضد 49</t>
  </si>
  <si>
    <t>43 ضد 49</t>
  </si>
  <si>
    <t>47 ضد 49</t>
  </si>
  <si>
    <t>45 ضد 49</t>
  </si>
  <si>
    <t>48 ضد 49</t>
  </si>
  <si>
    <t>46 ضد 49</t>
  </si>
  <si>
    <t>41 ضد 50</t>
  </si>
  <si>
    <t>42 ضد 49</t>
  </si>
  <si>
    <t>41 ضد 49</t>
  </si>
  <si>
    <t>48 ضد 50</t>
  </si>
  <si>
    <t>46 ضد 50</t>
  </si>
  <si>
    <t>41 ضد 47</t>
  </si>
  <si>
    <t>44 ضد 50</t>
  </si>
  <si>
    <t>42 ضد 50</t>
  </si>
  <si>
    <t>42 ضد 48</t>
  </si>
  <si>
    <t>49 ضد 50</t>
  </si>
  <si>
    <t>47 ضد 50</t>
  </si>
  <si>
    <t>45 ضد 50</t>
  </si>
  <si>
    <t>43 ضد 50</t>
  </si>
  <si>
    <t>39 ضد 48</t>
  </si>
  <si>
    <t>40 ضد 47</t>
  </si>
  <si>
    <t>36 ضد 49</t>
  </si>
  <si>
    <t>38 ضد 47</t>
  </si>
  <si>
    <t>39 ضد 46</t>
  </si>
  <si>
    <t>49 ضد 51</t>
  </si>
  <si>
    <t>37 ضد 46</t>
  </si>
  <si>
    <t>47 ضد 51</t>
  </si>
  <si>
    <t>36 ضد 45</t>
  </si>
  <si>
    <t>35 ضد 48</t>
  </si>
  <si>
    <t>45 ضد 51</t>
  </si>
  <si>
    <t>43 ضد 51</t>
  </si>
  <si>
    <t>35 ضد 46</t>
  </si>
  <si>
    <t>40 ضد 50</t>
  </si>
  <si>
    <t>40 ضد 48</t>
  </si>
  <si>
    <t>40 ضد 46</t>
  </si>
  <si>
    <t>50 ضد 51</t>
  </si>
  <si>
    <t>48 ضد 51</t>
  </si>
  <si>
    <t>46 ضد 51</t>
  </si>
  <si>
    <t>44 ضد 51</t>
  </si>
  <si>
    <t>40 ضد 51</t>
  </si>
  <si>
    <t>38 ضد 51</t>
  </si>
  <si>
    <t>39 ضد 50</t>
  </si>
  <si>
    <t>50 ضد 52</t>
  </si>
  <si>
    <t>48 ضد 52</t>
  </si>
  <si>
    <t>46 ضد 52</t>
  </si>
  <si>
    <t>44 ضد 52</t>
  </si>
  <si>
    <t>40 ضد 52</t>
  </si>
  <si>
    <t>51 ضد 52</t>
  </si>
  <si>
    <t>49 ضد 52</t>
  </si>
  <si>
    <t>47 ضد 52</t>
  </si>
  <si>
    <t>45 ضد 52</t>
  </si>
  <si>
    <t>43 ضد 52</t>
  </si>
  <si>
    <t>51 ضد 53</t>
  </si>
  <si>
    <t>49 ضد 53</t>
  </si>
  <si>
    <t>47 ضد 53</t>
  </si>
  <si>
    <t>45 ضد 53</t>
  </si>
  <si>
    <t>52 ضد 53</t>
  </si>
  <si>
    <t>50 ضد 53</t>
  </si>
  <si>
    <t>48 ضد 53</t>
  </si>
  <si>
    <t>46 ضد 53</t>
  </si>
  <si>
    <t>44 ضد 53</t>
  </si>
  <si>
    <t>42 ضد 53</t>
  </si>
  <si>
    <t>40 ضد 53</t>
  </si>
  <si>
    <t>49 ضد 54</t>
  </si>
  <si>
    <t>52 ضد 54</t>
  </si>
  <si>
    <t>50 ضد 54</t>
  </si>
  <si>
    <t>53 ضد 54</t>
  </si>
  <si>
    <t>51 ضد 54</t>
  </si>
  <si>
    <t>47 ضد 54</t>
  </si>
  <si>
    <t>45 ضد 54</t>
  </si>
  <si>
    <t>53 ضد 55</t>
  </si>
  <si>
    <t>51 ضد 55</t>
  </si>
  <si>
    <t>48 ضد 54</t>
  </si>
  <si>
    <t>47 ضد 55</t>
  </si>
  <si>
    <t>46 ضد 54</t>
  </si>
  <si>
    <t>54 ضد 55</t>
  </si>
  <si>
    <t>52 ضد 55</t>
  </si>
  <si>
    <t>50 ضد 55</t>
  </si>
  <si>
    <t>48 ضد 55</t>
  </si>
  <si>
    <t>51 ضد 56</t>
  </si>
  <si>
    <t>50 ضد 56</t>
  </si>
  <si>
    <t>54 ضد 56</t>
  </si>
  <si>
    <t>52 ضد 56</t>
  </si>
  <si>
    <t>55 ضد 56</t>
  </si>
  <si>
    <t>53 ضد 56</t>
  </si>
  <si>
    <t>43 ضد 54</t>
  </si>
  <si>
    <t>40 ضد 55</t>
  </si>
  <si>
    <t>41 ضد 54</t>
  </si>
  <si>
    <t>55 ضد 57</t>
  </si>
  <si>
    <t>53 ضد 57</t>
  </si>
  <si>
    <t>49 ضد 57</t>
  </si>
  <si>
    <t>48 ضد 56</t>
  </si>
  <si>
    <t>44 ضد 56</t>
  </si>
  <si>
    <t>42 ضد 54</t>
  </si>
  <si>
    <t>40 ضد 56</t>
  </si>
  <si>
    <t>56 ضد 57</t>
  </si>
  <si>
    <t>54 ضد 57</t>
  </si>
  <si>
    <t>52 ضد 57</t>
  </si>
  <si>
    <t>50 ضد 57</t>
  </si>
  <si>
    <t>49 ضد 56</t>
  </si>
  <si>
    <t>46 ضد 57</t>
  </si>
  <si>
    <t>47 ضد 56</t>
  </si>
  <si>
    <t>42 ضد 57</t>
  </si>
  <si>
    <t>43 ضد 56</t>
  </si>
  <si>
    <t>44 ضد 55</t>
  </si>
  <si>
    <t>41 ضد 58</t>
  </si>
  <si>
    <t>40 ضد 58</t>
  </si>
  <si>
    <t>56 ضد 58</t>
  </si>
  <si>
    <t>54 ضد 58</t>
  </si>
  <si>
    <t>52 ضد 58</t>
  </si>
  <si>
    <t>50 ضد 58</t>
  </si>
  <si>
    <t>46 ضد 58</t>
  </si>
  <si>
    <t>57 ضد 58</t>
  </si>
  <si>
    <t>55 ضد 58</t>
  </si>
  <si>
    <t>53 ضد 58</t>
  </si>
  <si>
    <t>51 ضد 58</t>
  </si>
  <si>
    <t>49 ضد 58</t>
  </si>
  <si>
    <t>49 ضد 59</t>
  </si>
  <si>
    <t>58 ضد 59</t>
  </si>
  <si>
    <t>56 ضد 59</t>
  </si>
  <si>
    <t>54 ضد 59</t>
  </si>
  <si>
    <t>52 ضد 59</t>
  </si>
  <si>
    <t>50 ضد 59</t>
  </si>
  <si>
    <t>55 ضد 60</t>
  </si>
  <si>
    <t>59 ضد 60</t>
  </si>
  <si>
    <t>57 ضد 60</t>
  </si>
  <si>
    <t>عدد المجموعات</t>
  </si>
  <si>
    <t>مباريات الدوري</t>
  </si>
  <si>
    <t>نصف نهائي</t>
  </si>
  <si>
    <t>نهائي</t>
  </si>
  <si>
    <t>فائز ن1 ضد فائز ن2</t>
  </si>
  <si>
    <t>نظام الإقصاء</t>
  </si>
  <si>
    <t>أيام الدوري</t>
  </si>
  <si>
    <t>أيام الإقصاء</t>
  </si>
  <si>
    <t>إجمالي الأيام</t>
  </si>
  <si>
    <t>17 ضد 23</t>
  </si>
  <si>
    <t>17 ضد 24</t>
  </si>
  <si>
    <t>1 ضد 22</t>
  </si>
  <si>
    <t>8 ضد 22</t>
  </si>
  <si>
    <t>11 ضد 22</t>
  </si>
  <si>
    <t>33 ضد 43</t>
  </si>
  <si>
    <t>المجموعة 1</t>
  </si>
  <si>
    <t>المجموعة 2</t>
  </si>
  <si>
    <t>المجموعة 3</t>
  </si>
  <si>
    <t>المجموعة 4</t>
  </si>
  <si>
    <t>أول المجموعة 1 ضد أول المجموعة 2</t>
  </si>
  <si>
    <t>57 ضد 64</t>
  </si>
  <si>
    <t>58 ضد 63</t>
  </si>
  <si>
    <t>59 ضد 62</t>
  </si>
  <si>
    <t>60 ضد 61</t>
  </si>
  <si>
    <t>16 ضد 14</t>
  </si>
  <si>
    <t>24 ضد 22</t>
  </si>
  <si>
    <t>48 ضد 46</t>
  </si>
  <si>
    <t>56 ضد 54</t>
  </si>
  <si>
    <t>58 ضد 61</t>
  </si>
  <si>
    <t>7 ضد 5</t>
  </si>
  <si>
    <t>8 ضد 4</t>
  </si>
  <si>
    <t>15 ضد 13</t>
  </si>
  <si>
    <t>16 ضد 12</t>
  </si>
  <si>
    <t>23 ضد 21</t>
  </si>
  <si>
    <t>24 ضد 20</t>
  </si>
  <si>
    <t>31 ضد 29</t>
  </si>
  <si>
    <t>32 ضد 28</t>
  </si>
  <si>
    <t>39 ضد 37</t>
  </si>
  <si>
    <t>40 ضد 36</t>
  </si>
  <si>
    <t>48 ضد 44</t>
  </si>
  <si>
    <t>57 ضد 62</t>
  </si>
  <si>
    <t>63 ضد 61</t>
  </si>
  <si>
    <t>64 ضد 60</t>
  </si>
  <si>
    <t>6 ضد 4</t>
  </si>
  <si>
    <t>7 ضد 3</t>
  </si>
  <si>
    <t>8 ضد 2</t>
  </si>
  <si>
    <t>14 ضد 12</t>
  </si>
  <si>
    <t>15 ضد 11</t>
  </si>
  <si>
    <t>16 ضد 10</t>
  </si>
  <si>
    <t>22 ضد 20</t>
  </si>
  <si>
    <t>23 ضد 19</t>
  </si>
  <si>
    <t>24 ضد 18</t>
  </si>
  <si>
    <t>32 ضد 26</t>
  </si>
  <si>
    <t>48 ضد 42</t>
  </si>
  <si>
    <t>56 ضد 50</t>
  </si>
  <si>
    <t>5 ضد 3</t>
  </si>
  <si>
    <t>6 ضد 2</t>
  </si>
  <si>
    <t>13 ضد 11</t>
  </si>
  <si>
    <t>14 ضد 10</t>
  </si>
  <si>
    <t>21 ضد 19</t>
  </si>
  <si>
    <t>22 ضد 18</t>
  </si>
  <si>
    <t>30 ضد 26</t>
  </si>
  <si>
    <t>37 ضد 35</t>
  </si>
  <si>
    <t>45 ضد 43</t>
  </si>
  <si>
    <t>46 ضد 42</t>
  </si>
  <si>
    <t>54 ضد 50</t>
  </si>
  <si>
    <t>61 ضد 59</t>
  </si>
  <si>
    <t>62 ضد 58</t>
  </si>
  <si>
    <t>63 ضد 64</t>
  </si>
  <si>
    <t>4 ضد 2</t>
  </si>
  <si>
    <t>12 ضد 10</t>
  </si>
  <si>
    <t>20 ضد 18</t>
  </si>
  <si>
    <t>61 ضد 64</t>
  </si>
  <si>
    <t>62 ضد 63</t>
  </si>
  <si>
    <t>59 ضد 64</t>
  </si>
  <si>
    <t>60 ضد 63</t>
  </si>
  <si>
    <t>61 ضد 62</t>
  </si>
  <si>
    <t>نصف النهائي</t>
  </si>
  <si>
    <t>النهائي</t>
  </si>
  <si>
    <t>فائز نصف 1 ضد فائز نصف 2</t>
  </si>
  <si>
    <t>52 ضد 67</t>
  </si>
  <si>
    <t>53 ضد 66</t>
  </si>
  <si>
    <t>54 ضد 65</t>
  </si>
  <si>
    <t>55 ضد 64</t>
  </si>
  <si>
    <t>56 ضد 63</t>
  </si>
  <si>
    <t>52 ضد 66</t>
  </si>
  <si>
    <t>67 ضد 65</t>
  </si>
  <si>
    <t>53 ضد 64</t>
  </si>
  <si>
    <t>54 ضد 63</t>
  </si>
  <si>
    <t>55 ضد 62</t>
  </si>
  <si>
    <t>56 ضد 61</t>
  </si>
  <si>
    <t>17 ضد 15</t>
  </si>
  <si>
    <t>51 ضد 49</t>
  </si>
  <si>
    <t>52 ضد 65</t>
  </si>
  <si>
    <t>66 ضد 64</t>
  </si>
  <si>
    <t>54 ضد 61</t>
  </si>
  <si>
    <t>17 ضد 13</t>
  </si>
  <si>
    <t>33 ضد 31</t>
  </si>
  <si>
    <t>34 ضد 30</t>
  </si>
  <si>
    <t>50 ضد 48</t>
  </si>
  <si>
    <t>51 ضد 47</t>
  </si>
  <si>
    <t>66 ضد 62</t>
  </si>
  <si>
    <t>53 ضد 60</t>
  </si>
  <si>
    <t>17 ضد 11</t>
  </si>
  <si>
    <t>33 ضد 29</t>
  </si>
  <si>
    <t>34 ضد 28</t>
  </si>
  <si>
    <t>51 ضد 45</t>
  </si>
  <si>
    <t>52 ضد 63</t>
  </si>
  <si>
    <t>65 ضد 61</t>
  </si>
  <si>
    <t>66 ضد 60</t>
  </si>
  <si>
    <t>17 ضد 9</t>
  </si>
  <si>
    <t>33 ضد 27</t>
  </si>
  <si>
    <t>34 ضد 26</t>
  </si>
  <si>
    <t>49 ضد 45</t>
  </si>
  <si>
    <t>50 ضد 44</t>
  </si>
  <si>
    <t>51 ضد 43</t>
  </si>
  <si>
    <t>66 ضد 58</t>
  </si>
  <si>
    <t>67 ضد 57</t>
  </si>
  <si>
    <t>15 ضد 9</t>
  </si>
  <si>
    <t>16 ضد 8</t>
  </si>
  <si>
    <t>17 ضد 7</t>
  </si>
  <si>
    <t>33 ضد 25</t>
  </si>
  <si>
    <t>34 ضد 24</t>
  </si>
  <si>
    <t>49 ضد 43</t>
  </si>
  <si>
    <t>51 ضد 41</t>
  </si>
  <si>
    <t>52 ضد 61</t>
  </si>
  <si>
    <t>66 ضد 56</t>
  </si>
  <si>
    <t>67 ضد 55</t>
  </si>
  <si>
    <t>13 ضد 9</t>
  </si>
  <si>
    <t>14 ضد 8</t>
  </si>
  <si>
    <t>16 ضد 6</t>
  </si>
  <si>
    <t>17 ضد 5</t>
  </si>
  <si>
    <t>31 ضد 25</t>
  </si>
  <si>
    <t>32 ضد 24</t>
  </si>
  <si>
    <t>33 ضد 23</t>
  </si>
  <si>
    <t>34 ضد 22</t>
  </si>
  <si>
    <t>50 ضد 40</t>
  </si>
  <si>
    <t>52 ضد 60</t>
  </si>
  <si>
    <t>63 ضد 57</t>
  </si>
  <si>
    <t>64 ضد 56</t>
  </si>
  <si>
    <t>65 ضد 55</t>
  </si>
  <si>
    <t>66 ضد 54</t>
  </si>
  <si>
    <t>67 ضد 53</t>
  </si>
  <si>
    <t>11 ضد 9</t>
  </si>
  <si>
    <t>12 ضد 8</t>
  </si>
  <si>
    <t>13 ضد 7</t>
  </si>
  <si>
    <t>14 ضد 6</t>
  </si>
  <si>
    <t>15 ضد 5</t>
  </si>
  <si>
    <t>16 ضد 4</t>
  </si>
  <si>
    <t>17 ضد 3</t>
  </si>
  <si>
    <t>29 ضد 25</t>
  </si>
  <si>
    <t>30 ضد 24</t>
  </si>
  <si>
    <t>31 ضد 23</t>
  </si>
  <si>
    <t>32 ضد 22</t>
  </si>
  <si>
    <t>33 ضد 21</t>
  </si>
  <si>
    <t>47 ضد 41</t>
  </si>
  <si>
    <t>48 ضد 40</t>
  </si>
  <si>
    <t>49 ضد 39</t>
  </si>
  <si>
    <t>50 ضد 38</t>
  </si>
  <si>
    <t>63 ضد 55</t>
  </si>
  <si>
    <t>64 ضد 54</t>
  </si>
  <si>
    <t>65 ضد 53</t>
  </si>
  <si>
    <t>10 ضد 8</t>
  </si>
  <si>
    <t>11 ضد 7</t>
  </si>
  <si>
    <t>12 ضد 6</t>
  </si>
  <si>
    <t>13 ضد 5</t>
  </si>
  <si>
    <t>14 ضد 4</t>
  </si>
  <si>
    <t>15 ضد 3</t>
  </si>
  <si>
    <t>16 ضد 2</t>
  </si>
  <si>
    <t>27 ضد 25</t>
  </si>
  <si>
    <t>28 ضد 24</t>
  </si>
  <si>
    <t>29 ضد 23</t>
  </si>
  <si>
    <t>30 ضد 22</t>
  </si>
  <si>
    <t>31 ضد 21</t>
  </si>
  <si>
    <t>32 ضد 20</t>
  </si>
  <si>
    <t>33 ضد 19</t>
  </si>
  <si>
    <t>45 ضد 41</t>
  </si>
  <si>
    <t>46 ضد 40</t>
  </si>
  <si>
    <t>47 ضد 39</t>
  </si>
  <si>
    <t>50 ضد 36</t>
  </si>
  <si>
    <t>60 ضد 56</t>
  </si>
  <si>
    <t>61 ضد 55</t>
  </si>
  <si>
    <t>62 ضد 54</t>
  </si>
  <si>
    <t>63 ضد 53</t>
  </si>
  <si>
    <t>64 ضد 67</t>
  </si>
  <si>
    <t>65 ضد 66</t>
  </si>
  <si>
    <t>9 ضد 7</t>
  </si>
  <si>
    <t>10 ضد 6</t>
  </si>
  <si>
    <t>11 ضد 5</t>
  </si>
  <si>
    <t>12 ضد 4</t>
  </si>
  <si>
    <t>13 ضد 3</t>
  </si>
  <si>
    <t>14 ضد 2</t>
  </si>
  <si>
    <t>26 ضد 24</t>
  </si>
  <si>
    <t>27 ضد 23</t>
  </si>
  <si>
    <t>28 ضد 22</t>
  </si>
  <si>
    <t>29 ضد 21</t>
  </si>
  <si>
    <t>30 ضد 20</t>
  </si>
  <si>
    <t>31 ضد 19</t>
  </si>
  <si>
    <t>43 ضد 41</t>
  </si>
  <si>
    <t>44 ضد 40</t>
  </si>
  <si>
    <t>45 ضد 39</t>
  </si>
  <si>
    <t>46 ضد 38</t>
  </si>
  <si>
    <t>47 ضد 37</t>
  </si>
  <si>
    <t>48 ضد 36</t>
  </si>
  <si>
    <t>58 ضد 56</t>
  </si>
  <si>
    <t>59 ضد 55</t>
  </si>
  <si>
    <t>60 ضد 54</t>
  </si>
  <si>
    <t>61 ضد 53</t>
  </si>
  <si>
    <t>62 ضد 67</t>
  </si>
  <si>
    <t>63 ضد 66</t>
  </si>
  <si>
    <t>64 ضد 65</t>
  </si>
  <si>
    <t>9 ضد 5</t>
  </si>
  <si>
    <t>10 ضد 4</t>
  </si>
  <si>
    <t>11 ضد 3</t>
  </si>
  <si>
    <t>12 ضد 2</t>
  </si>
  <si>
    <t>25 ضد 23</t>
  </si>
  <si>
    <t>26 ضد 22</t>
  </si>
  <si>
    <t>27 ضد 21</t>
  </si>
  <si>
    <t>28 ضد 20</t>
  </si>
  <si>
    <t>29 ضد 19</t>
  </si>
  <si>
    <t>42 ضد 40</t>
  </si>
  <si>
    <t>44 ضد 38</t>
  </si>
  <si>
    <t>45 ضد 37</t>
  </si>
  <si>
    <t>46 ضد 36</t>
  </si>
  <si>
    <t>59 ضد 53</t>
  </si>
  <si>
    <t>62 ضد 65</t>
  </si>
  <si>
    <t>9 ضد 3</t>
  </si>
  <si>
    <t>10 ضد 2</t>
  </si>
  <si>
    <t>25 ضد 21</t>
  </si>
  <si>
    <t>26 ضد 20</t>
  </si>
  <si>
    <t>27 ضد 19</t>
  </si>
  <si>
    <t>42 ضد 38</t>
  </si>
  <si>
    <t>43 ضد 37</t>
  </si>
  <si>
    <t>44 ضد 36</t>
  </si>
  <si>
    <t>58 ضد 67</t>
  </si>
  <si>
    <t>59 ضد 66</t>
  </si>
  <si>
    <t>60 ضد 65</t>
  </si>
  <si>
    <t>25 ضد 19</t>
  </si>
  <si>
    <t>41 ضد 37</t>
  </si>
  <si>
    <t>57 ضد 66</t>
  </si>
  <si>
    <t>54 ضد 67</t>
  </si>
  <si>
    <t>55 ضد 66</t>
  </si>
  <si>
    <t>أول المجموعة 1 ضد أول المجموعة 4</t>
  </si>
  <si>
    <t>أول المجموعة 2 ضد أول المجموعة 3</t>
  </si>
  <si>
    <t>توزيع الفرق في المجموعات</t>
  </si>
  <si>
    <t>مباريات كل فريق في الموسم</t>
  </si>
  <si>
    <t>وقت البداية</t>
  </si>
  <si>
    <t>وقت النهاية</t>
  </si>
  <si>
    <t>عدد الملاعب القانونية</t>
  </si>
  <si>
    <t>اليوم</t>
  </si>
  <si>
    <t>جدول تكرار لقاء الأزواج — كم مرة يلتقي كل فريقين خلال الموسم</t>
  </si>
  <si>
    <t>فريق \ فريق</t>
  </si>
  <si>
    <t>أعلى تكرار</t>
  </si>
  <si>
    <t>عدد الملاعب (7 ضد 7)</t>
  </si>
  <si>
    <t>9 ضد 1</t>
  </si>
  <si>
    <t>17 ضد 1</t>
  </si>
  <si>
    <t>14 ضد 23</t>
  </si>
  <si>
    <t>13 ضد 23</t>
  </si>
  <si>
    <t>23 ضد 17</t>
  </si>
  <si>
    <t>21 ضد 17</t>
  </si>
  <si>
    <t>22 ضد 16</t>
  </si>
  <si>
    <t>23 ضد 15</t>
  </si>
  <si>
    <t>19 ضد 17</t>
  </si>
  <si>
    <t>20 ضد 16</t>
  </si>
  <si>
    <t>21 ضد 15</t>
  </si>
  <si>
    <t>22 ضد 14</t>
  </si>
  <si>
    <t>18 ضد 16</t>
  </si>
  <si>
    <t>19 ضد 15</t>
  </si>
  <si>
    <t>20 ضد 14</t>
  </si>
  <si>
    <t>18 ضد 14</t>
  </si>
  <si>
    <t>16 ضد 23</t>
  </si>
  <si>
    <t>23 ضد 13</t>
  </si>
  <si>
    <t>22 ضد 13</t>
  </si>
  <si>
    <t>23 ضد 14</t>
  </si>
  <si>
    <t>21 ضد 13</t>
  </si>
  <si>
    <t>23 ضد 16</t>
  </si>
  <si>
    <t>20 ضد 13</t>
  </si>
  <si>
    <t>21 ضد 14</t>
  </si>
  <si>
    <t>22 ضد 15</t>
  </si>
  <si>
    <t>14 ضد 25</t>
  </si>
  <si>
    <t>15 ضد 24</t>
  </si>
  <si>
    <t>25 ضد 17</t>
  </si>
  <si>
    <t>24 ضد 16</t>
  </si>
  <si>
    <t>25 ضد 15</t>
  </si>
  <si>
    <t>16 ضد 25</t>
  </si>
  <si>
    <t>13 ضد 1</t>
  </si>
  <si>
    <t>13 ضد 2</t>
  </si>
  <si>
    <t>12 ضد 1</t>
  </si>
  <si>
    <t>11 ضد 1</t>
  </si>
  <si>
    <t>15 ضد 26</t>
  </si>
  <si>
    <t>15 ضد 25</t>
  </si>
  <si>
    <t>15 ضد 23</t>
  </si>
  <si>
    <t>26 ضد 18</t>
  </si>
  <si>
    <t>26 ضد 16</t>
  </si>
  <si>
    <t>17 ضد 26</t>
  </si>
  <si>
    <t>16 ضد 27</t>
  </si>
  <si>
    <t>15 ضد 27</t>
  </si>
  <si>
    <t>27 ضد 17</t>
  </si>
  <si>
    <t>27 ضد 15</t>
  </si>
  <si>
    <t>27 ضد 16</t>
  </si>
  <si>
    <t>26 ضد 15</t>
  </si>
  <si>
    <t>16 ضد 29</t>
  </si>
  <si>
    <t>17 ضد 28</t>
  </si>
  <si>
    <t>16 ضد 26</t>
  </si>
  <si>
    <t>16 ضد 24</t>
  </si>
  <si>
    <t>28 ضد 18</t>
  </si>
  <si>
    <t>29 ضد 17</t>
  </si>
  <si>
    <t>15 ضد 1</t>
  </si>
  <si>
    <t>14 ضد 1</t>
  </si>
  <si>
    <t>15 ضد 2</t>
  </si>
  <si>
    <t>37 ضد 33</t>
  </si>
  <si>
    <t>35 ضد 33</t>
  </si>
  <si>
    <t>36 ضد 32</t>
  </si>
  <si>
    <t>37 ضد 31</t>
  </si>
  <si>
    <t>19 ضد 13</t>
  </si>
  <si>
    <t>35 ضد 31</t>
  </si>
  <si>
    <t>36 ضد 30</t>
  </si>
  <si>
    <t>37 ضد 29</t>
  </si>
  <si>
    <t>18 ضد 12</t>
  </si>
  <si>
    <t>35 ضد 29</t>
  </si>
  <si>
    <t>36 ضد 28</t>
  </si>
  <si>
    <t>37 ضد 27</t>
  </si>
  <si>
    <t>18 ضد 10</t>
  </si>
  <si>
    <t>19 ضد 9</t>
  </si>
  <si>
    <t>35 ضد 27</t>
  </si>
  <si>
    <t>36 ضد 26</t>
  </si>
  <si>
    <t>37 ضد 25</t>
  </si>
  <si>
    <t>18 ضد 8</t>
  </si>
  <si>
    <t>35 ضد 25</t>
  </si>
  <si>
    <t>36 ضد 24</t>
  </si>
  <si>
    <t>37 ضد 23</t>
  </si>
  <si>
    <t>18 ضد 6</t>
  </si>
  <si>
    <t>19 ضد 5</t>
  </si>
  <si>
    <t>35 ضد 23</t>
  </si>
  <si>
    <t>36 ضد 22</t>
  </si>
  <si>
    <t>37 ضد 21</t>
  </si>
  <si>
    <t>18 ضد 4</t>
  </si>
  <si>
    <t>19 ضد 3</t>
  </si>
  <si>
    <t>35 ضد 21</t>
  </si>
  <si>
    <t>18 ضد 2</t>
  </si>
  <si>
    <t>13 ضد 24</t>
  </si>
  <si>
    <t>24 ضد 14</t>
  </si>
  <si>
    <t>15 ضد 28</t>
  </si>
  <si>
    <t>53 ضد 49</t>
  </si>
  <si>
    <t>54 ضد 48</t>
  </si>
  <si>
    <t>41 ضد 35</t>
  </si>
  <si>
    <t>42 ضد 34</t>
  </si>
  <si>
    <t>52 ضد 48</t>
  </si>
  <si>
    <t>53 ضد 47</t>
  </si>
  <si>
    <t>54 ضد 46</t>
  </si>
  <si>
    <t>42 ضد 32</t>
  </si>
  <si>
    <t>52 ضد 46</t>
  </si>
  <si>
    <t>53 ضد 45</t>
  </si>
  <si>
    <t>54 ضد 44</t>
  </si>
  <si>
    <t>28 ضد 16</t>
  </si>
  <si>
    <t>39 ضد 33</t>
  </si>
  <si>
    <t>40 ضد 32</t>
  </si>
  <si>
    <t>41 ضد 31</t>
  </si>
  <si>
    <t>42 ضد 30</t>
  </si>
  <si>
    <t>52 ضد 44</t>
  </si>
  <si>
    <t>38 ضد 32</t>
  </si>
  <si>
    <t>39 ضد 31</t>
  </si>
  <si>
    <t>40 ضد 30</t>
  </si>
  <si>
    <t>38 ضد 30</t>
  </si>
  <si>
    <t>17 ضد 32</t>
  </si>
  <si>
    <t>33 ضد 48</t>
  </si>
  <si>
    <t>34 ضد 47</t>
  </si>
  <si>
    <t>49 ضد 64</t>
  </si>
  <si>
    <t>50 ضد 63</t>
  </si>
  <si>
    <t>51 ضد 62</t>
  </si>
  <si>
    <t>17 ضد 30</t>
  </si>
  <si>
    <t>33 ضد 46</t>
  </si>
  <si>
    <t>49 ضد 62</t>
  </si>
  <si>
    <t>17 ضد 29</t>
  </si>
  <si>
    <t>33 ضد 45</t>
  </si>
  <si>
    <t>49 ضد 61</t>
  </si>
  <si>
    <t>17 ضد 27</t>
  </si>
  <si>
    <t>64 ضد 52</t>
  </si>
  <si>
    <t>17 ضد 25</t>
  </si>
  <si>
    <t>32 ضد 18</t>
  </si>
  <si>
    <t>47 ضد 35</t>
  </si>
  <si>
    <t>48 ضد 34</t>
  </si>
  <si>
    <t>62 ضد 52</t>
  </si>
  <si>
    <t>63 ضد 51</t>
  </si>
  <si>
    <t>64 ضد 50</t>
  </si>
  <si>
    <t>30 ضد 18</t>
  </si>
  <si>
    <t>45 ضد 35</t>
  </si>
  <si>
    <t>46 ضد 34</t>
  </si>
  <si>
    <t>60 ضد 52</t>
  </si>
  <si>
    <t>61 ضد 51</t>
  </si>
  <si>
    <t>62 ضد 50</t>
  </si>
  <si>
    <t>43 ضد 35</t>
  </si>
  <si>
    <t>44 ضد 34</t>
  </si>
  <si>
    <t>58 ضد 52</t>
  </si>
  <si>
    <t>60 ضد 50</t>
  </si>
  <si>
    <t>57 ضد 51</t>
  </si>
  <si>
    <t>58 ضد 50</t>
  </si>
  <si>
    <t>34 ضد 18</t>
  </si>
  <si>
    <t>51 ضد 35</t>
  </si>
  <si>
    <t>لقاءات كل خصم</t>
  </si>
  <si>
    <t>ملخص بطولات تحت 11 / تحت 12 — الأعداد المطلوبة</t>
  </si>
  <si>
    <t>بطولة 6 فرق – تحت 11 / تحت 12</t>
  </si>
  <si>
    <t>بطولة 7 فرق – تحت 11 / تحت 12</t>
  </si>
  <si>
    <t>بطولة 8 فرق – تحت 11 / تحت 12</t>
  </si>
  <si>
    <t>بطولة 9 فرق – تحت 11 / تحت 12</t>
  </si>
  <si>
    <t>بطولة 11 فريقًا – تحت 11 / تحت 12</t>
  </si>
  <si>
    <t>بطولة 12 فريقًا – تحت 11 / تحت 12</t>
  </si>
  <si>
    <t>بطولة 13 فريقًا – تحت 11 / تحت 12</t>
  </si>
  <si>
    <t>بطولة 14 فريقًا – تحت 11 / تحت 12</t>
  </si>
  <si>
    <t>بطولة 15 فريقًا – تحت 11 / تحت 12</t>
  </si>
  <si>
    <t>بطولة 16 فريقًا – تحت 11 / تحت 12</t>
  </si>
  <si>
    <t>بطولة 17 فريقًا – تحت 11 / تحت 12</t>
  </si>
  <si>
    <t>بطولة 18 فريقًا – تحت 11 / تحت 12</t>
  </si>
  <si>
    <t>بطولة 19 فريقًا – تحت 11 / تحت 12</t>
  </si>
  <si>
    <t>بطولة 20 فريقًا – تحت 11 / تحت 12</t>
  </si>
  <si>
    <t>بطولة 21 فريقًا – تحت 11 / تحت 12</t>
  </si>
  <si>
    <t>بطولة 22 فريقًا – تحت 11 / تحت 12</t>
  </si>
  <si>
    <t>بطولة 23 فريقًا – تحت 11 / تحت 12</t>
  </si>
  <si>
    <t>بطولة 25 فريقًا – تحت 11 / تحت 12</t>
  </si>
  <si>
    <t>بطولة 26 فريقًا – تحت 11 / تحت 12</t>
  </si>
  <si>
    <t>بطولة 27 فريقًا – تحت 11 / تحت 12</t>
  </si>
  <si>
    <t>بطولة 29 فريقًا – تحت 11 / تحت 12</t>
  </si>
  <si>
    <t>بطولة 37 فريقًا – تحت 11 / تحت 12</t>
  </si>
  <si>
    <t>بطولة 46 فريقًا – تحت 11 / تحت 12</t>
  </si>
  <si>
    <t>بطولة 54 فريقًا – تحت 11 / تحت 12</t>
  </si>
  <si>
    <t>بطولة 58 فريقًا – تحت 11 / تحت 12</t>
  </si>
  <si>
    <t>بطولة 64 فريقًا – تحت 11 / تحت 12</t>
  </si>
  <si>
    <t>بطولة 67 فريقًا – تحت 11 / تحت 12</t>
  </si>
  <si>
    <t>6 فرق</t>
  </si>
  <si>
    <t>7 فرق</t>
  </si>
  <si>
    <t>8 فرق</t>
  </si>
  <si>
    <t>9 فرق</t>
  </si>
  <si>
    <t>11 فريقًا</t>
  </si>
  <si>
    <t>12 فريقًا</t>
  </si>
  <si>
    <t>13 فريقًا</t>
  </si>
  <si>
    <t>14 فريقًا</t>
  </si>
  <si>
    <t>15 فريقًا</t>
  </si>
  <si>
    <t>16 فريقًا</t>
  </si>
  <si>
    <t>17 فريقًا</t>
  </si>
  <si>
    <t>18 فريقًا</t>
  </si>
  <si>
    <t>19 فريقًا</t>
  </si>
  <si>
    <t>20 فريقًا</t>
  </si>
  <si>
    <t>21 فريقًا</t>
  </si>
  <si>
    <t>22 فريقًا</t>
  </si>
  <si>
    <t>23 فريقًا</t>
  </si>
  <si>
    <t>25 فريقًا</t>
  </si>
  <si>
    <t>26 فريقًا</t>
  </si>
  <si>
    <t>27 فريقًا</t>
  </si>
  <si>
    <t>29 فريقًا</t>
  </si>
  <si>
    <t>37 فريقًا</t>
  </si>
  <si>
    <t>46 فريقًا</t>
  </si>
  <si>
    <t>54 فريقًا</t>
  </si>
  <si>
    <t>58 فريقًا</t>
  </si>
  <si>
    <t>64 فريقًا</t>
  </si>
  <si>
    <t>67 فريقًا</t>
  </si>
  <si>
    <t>أقل تكرار (داخل المجموعة)</t>
  </si>
  <si>
    <t>أول المجموعة 1 ضد أفضل ثانٍ</t>
  </si>
  <si>
    <t>5 ضد 1</t>
  </si>
  <si>
    <t>6 ضد 3</t>
  </si>
  <si>
    <t>2 ضد 1</t>
  </si>
  <si>
    <t>5 ضد 4</t>
  </si>
  <si>
    <t>6 ضد 1</t>
  </si>
  <si>
    <t>3 ضد 1</t>
  </si>
  <si>
    <t>6 ضد 5</t>
  </si>
  <si>
    <t>5 ضد 2</t>
  </si>
  <si>
    <t>4 ضد 1</t>
  </si>
  <si>
    <t>7 ضد 4</t>
  </si>
  <si>
    <t>7 ضد 2</t>
  </si>
  <si>
    <t>7 ضد 6</t>
  </si>
  <si>
    <t>7 ضد 1</t>
  </si>
  <si>
    <t>8 ضد 3</t>
  </si>
  <si>
    <t>8 ضد 1</t>
  </si>
  <si>
    <t>8 ضد 5</t>
  </si>
  <si>
    <t>9 ضد 8</t>
  </si>
  <si>
    <t>9 ضد 2</t>
  </si>
  <si>
    <t>8 ضد 7</t>
  </si>
  <si>
    <t>10 ضد 1</t>
  </si>
  <si>
    <t>11 ضد 6</t>
  </si>
  <si>
    <t>11 ضد 4</t>
  </si>
  <si>
    <t>9 ضد 6</t>
  </si>
  <si>
    <t>10 ضد 5</t>
  </si>
  <si>
    <t>9 ضد 4</t>
  </si>
  <si>
    <t>11 ضد 2</t>
  </si>
  <si>
    <t>11 ضد 8</t>
  </si>
  <si>
    <t>12 ضد 5</t>
  </si>
  <si>
    <t>12 ضد 3</t>
  </si>
  <si>
    <t>10 ضد 3</t>
  </si>
  <si>
    <t>13 ضد 10</t>
  </si>
  <si>
    <t>13 ضد 8</t>
  </si>
  <si>
    <t>13 ضد 12</t>
  </si>
  <si>
    <t>12 ضد 9</t>
  </si>
  <si>
    <t>14 ضد 11</t>
  </si>
  <si>
    <t>14 ضد 9</t>
  </si>
  <si>
    <t>14 ضد 13</t>
  </si>
  <si>
    <t>10 ضد 9</t>
  </si>
  <si>
    <t>15 ضد 12</t>
  </si>
  <si>
    <t>15 ضد 10</t>
  </si>
  <si>
    <t>15 ضد 14</t>
  </si>
  <si>
    <t>16 ضد 11</t>
  </si>
  <si>
    <t>16 ضد 9</t>
  </si>
  <si>
    <t>16 ضد 13</t>
  </si>
  <si>
    <t>14 ضد 3</t>
  </si>
  <si>
    <t>10 ضد 7</t>
  </si>
  <si>
    <t>13 ضد 4</t>
  </si>
  <si>
    <t>16 ضد 1</t>
  </si>
  <si>
    <t>17 ضد 8</t>
  </si>
  <si>
    <t>17 ضد 6</t>
  </si>
  <si>
    <t>17 ضد 4</t>
  </si>
  <si>
    <t>16 ضد 5</t>
  </si>
  <si>
    <t>15 ضد 6</t>
  </si>
  <si>
    <t>4 ضد 3</t>
  </si>
  <si>
    <t>3 ضد 2</t>
  </si>
  <si>
    <t>18 ضد 15</t>
  </si>
  <si>
    <t>17 ضد 16</t>
  </si>
  <si>
    <t>12 ضد 7</t>
  </si>
  <si>
    <t>18 ضد 13</t>
  </si>
  <si>
    <t>17 ضد 14</t>
  </si>
  <si>
    <t>16 ضد 3</t>
  </si>
  <si>
    <t>15 ضد 4</t>
  </si>
  <si>
    <t>17 ضد 2</t>
  </si>
  <si>
    <t>14 ضد 5</t>
  </si>
  <si>
    <t>13 ضد 6</t>
  </si>
  <si>
    <t>18 ضد 1</t>
  </si>
  <si>
    <t>19 ضد 18</t>
  </si>
  <si>
    <t>18 ضد 9</t>
  </si>
  <si>
    <t>19 ضد 8</t>
  </si>
  <si>
    <t>19 ضد 6</t>
  </si>
  <si>
    <t>18 ضد 5</t>
  </si>
  <si>
    <t>19 ضد 4</t>
  </si>
  <si>
    <t>16 ضد 7</t>
  </si>
  <si>
    <t>19 ضد 1</t>
  </si>
  <si>
    <t>20 ضد 12</t>
  </si>
  <si>
    <t>20 ضد 8</t>
  </si>
  <si>
    <t>20 ضد 6</t>
  </si>
  <si>
    <t>20 ضد 4</t>
  </si>
  <si>
    <t>20 ضد 2</t>
  </si>
  <si>
    <t>19 ضد 10</t>
  </si>
  <si>
    <t>20 ضد 9</t>
  </si>
  <si>
    <t>20 ضد 7</t>
  </si>
  <si>
    <t>20 ضد 5</t>
  </si>
  <si>
    <t>18 ضد 7</t>
  </si>
  <si>
    <t>20 ضد 3</t>
  </si>
  <si>
    <t>19 ضد 2</t>
  </si>
  <si>
    <t>18 ضد 3</t>
  </si>
  <si>
    <t>14 ضد 7</t>
  </si>
  <si>
    <t>20 ضد 1</t>
  </si>
  <si>
    <t>21 ضد 11</t>
  </si>
  <si>
    <t>20 ضد 10</t>
  </si>
  <si>
    <t>21 ضد 7</t>
  </si>
  <si>
    <t>21 ضد 5</t>
  </si>
  <si>
    <t>21 ضد 3</t>
  </si>
  <si>
    <t>19 ضد 12</t>
  </si>
  <si>
    <t>21 ضد 8</t>
  </si>
  <si>
    <t>21 ضد 6</t>
  </si>
  <si>
    <t>17 ضد 10</t>
  </si>
  <si>
    <t>21 ضد 4</t>
  </si>
  <si>
    <t>21 ضد 1</t>
  </si>
  <si>
    <t>22 ضد 10</t>
  </si>
  <si>
    <t>22 ضد 6</t>
  </si>
  <si>
    <t>22 ضد 4</t>
  </si>
  <si>
    <t>22 ضد 2</t>
  </si>
  <si>
    <t>20 ضد 11</t>
  </si>
  <si>
    <t>22 ضد 9</t>
  </si>
  <si>
    <t>21 ضد 10</t>
  </si>
  <si>
    <t>22 ضد 7</t>
  </si>
  <si>
    <t>22 ضد 5</t>
  </si>
  <si>
    <t>22 ضد 3</t>
  </si>
  <si>
    <t>19 ضد 16</t>
  </si>
  <si>
    <t>20 ضد 15</t>
  </si>
  <si>
    <t>23 ضد 18</t>
  </si>
  <si>
    <t>20 ضد 17</t>
  </si>
  <si>
    <t>21 ضد 16</t>
  </si>
  <si>
    <t>19 ضد 25</t>
  </si>
  <si>
    <t>19 ضد 14</t>
  </si>
  <si>
    <t>25 ضد 18</t>
  </si>
  <si>
    <t>24 ضد 17</t>
  </si>
  <si>
    <t>25 ضد 16</t>
  </si>
  <si>
    <t>24 ضد 15</t>
  </si>
  <si>
    <t>25 ضد 14</t>
  </si>
  <si>
    <t>22 ضد 17</t>
  </si>
  <si>
    <t>21 ضد 18</t>
  </si>
  <si>
    <t>26 ضد 19</t>
  </si>
  <si>
    <t>26 ضد 17</t>
  </si>
  <si>
    <t>22 ضد 19</t>
  </si>
  <si>
    <t>19 ضد 27</t>
  </si>
  <si>
    <t>27 ضد 26</t>
  </si>
  <si>
    <t>27 ضد 20</t>
  </si>
  <si>
    <t>16 ضد 15</t>
  </si>
  <si>
    <t>27 ضد 18</t>
  </si>
  <si>
    <t>23 ضد 20</t>
  </si>
  <si>
    <t>24 ضد 21</t>
  </si>
  <si>
    <t>24 ضد 19</t>
  </si>
  <si>
    <t>28 ضد 21</t>
  </si>
  <si>
    <t>29 ضد 20</t>
  </si>
  <si>
    <t>29 ضد 18</t>
  </si>
  <si>
    <t>28 ضد 19</t>
  </si>
  <si>
    <t>29 ضد 16</t>
  </si>
  <si>
    <t>28 ضد 17</t>
  </si>
  <si>
    <t>34 ضد 21</t>
  </si>
  <si>
    <t>33 ضد 22</t>
  </si>
  <si>
    <t>36 ضد 20</t>
  </si>
  <si>
    <t>29 ضد 26</t>
  </si>
  <si>
    <t>32 ضد 23</t>
  </si>
  <si>
    <t>31 ضد 24</t>
  </si>
  <si>
    <t>30 ضد 25</t>
  </si>
  <si>
    <t>30 ضد 21</t>
  </si>
  <si>
    <t>29 ضد 22</t>
  </si>
  <si>
    <t>28 ضد 23</t>
  </si>
  <si>
    <t>33 ضد 20</t>
  </si>
  <si>
    <t>26 ضد 21</t>
  </si>
  <si>
    <t>31 ضد 20</t>
  </si>
  <si>
    <t>37 ضد 28</t>
  </si>
  <si>
    <t>37 ضد 26</t>
  </si>
  <si>
    <t>36 ضد 25</t>
  </si>
  <si>
    <t>37 ضد 24</t>
  </si>
  <si>
    <t>35 ضد 26</t>
  </si>
  <si>
    <t>21 ضد 20</t>
  </si>
  <si>
    <t>35 ضد 24</t>
  </si>
  <si>
    <t>37 ضد 22</t>
  </si>
  <si>
    <t>36 ضد 23</t>
  </si>
  <si>
    <t>34 ضد 23</t>
  </si>
  <si>
    <t>33 ضد 24</t>
  </si>
  <si>
    <t>37 ضد 20</t>
  </si>
  <si>
    <t>36 ضد 21</t>
  </si>
  <si>
    <t>35 ضد 22</t>
  </si>
  <si>
    <t>33 ضد 26</t>
  </si>
  <si>
    <t>32 ضد 27</t>
  </si>
  <si>
    <t>31 ضد 28</t>
  </si>
  <si>
    <t>42 ضد 39</t>
  </si>
  <si>
    <t>43 ضد 38</t>
  </si>
  <si>
    <t>32 ضد 25</t>
  </si>
  <si>
    <t>42 ضد 37</t>
  </si>
  <si>
    <t>39 ضد 43</t>
  </si>
  <si>
    <t>39 ضد 41</t>
  </si>
  <si>
    <t>38 ضد 42</t>
  </si>
  <si>
    <t>40 ضد 37</t>
  </si>
  <si>
    <t>38 ضد 40</t>
  </si>
  <si>
    <t>46 ضد 39</t>
  </si>
  <si>
    <t>45 ضد 40</t>
  </si>
  <si>
    <t>36 ضد 29</t>
  </si>
  <si>
    <t>46 ضد 37</t>
  </si>
  <si>
    <t>45 ضد 38</t>
  </si>
  <si>
    <t>35 ضد 28</t>
  </si>
  <si>
    <t>36 ضد 27</t>
  </si>
  <si>
    <t>24 ضد 13</t>
  </si>
  <si>
    <t>34 ضد 27</t>
  </si>
  <si>
    <t>44 ضد 37</t>
  </si>
  <si>
    <t>34 ضد 25</t>
  </si>
  <si>
    <t>46 ضد 41</t>
  </si>
  <si>
    <t>38 ضد 37</t>
  </si>
  <si>
    <t>38 ضد 31</t>
  </si>
  <si>
    <t>37 ضد 32</t>
  </si>
  <si>
    <t>36 ضد 33</t>
  </si>
  <si>
    <t>41 ضد 29</t>
  </si>
  <si>
    <t>39 ضد 30</t>
  </si>
  <si>
    <t>51 ضد 44</t>
  </si>
  <si>
    <t>53 ضد 43</t>
  </si>
  <si>
    <t>50 ضد 45</t>
  </si>
  <si>
    <t>49 ضد 46</t>
  </si>
  <si>
    <t>35 ضد 30</t>
  </si>
  <si>
    <t>36 ضد 42</t>
  </si>
  <si>
    <t>38 ضد 29</t>
  </si>
  <si>
    <t>50 ضد 43</t>
  </si>
  <si>
    <t>34 ضد 40</t>
  </si>
  <si>
    <t>48 ضد 43</t>
  </si>
  <si>
    <t>54 ضد 47</t>
  </si>
  <si>
    <t>53 ضد 46</t>
  </si>
  <si>
    <t>54 ضد 45</t>
  </si>
  <si>
    <t>41 ضد 34</t>
  </si>
  <si>
    <t>42 ضد 33</t>
  </si>
  <si>
    <t>52 ضد 45</t>
  </si>
  <si>
    <t>53 ضد 44</t>
  </si>
  <si>
    <t>54 ضد 43</t>
  </si>
  <si>
    <t>40 ضد 33</t>
  </si>
  <si>
    <t>42 ضد 31</t>
  </si>
  <si>
    <t>41 ضد 32</t>
  </si>
  <si>
    <t>28 ضد 15</t>
  </si>
  <si>
    <t>42 ضد 29</t>
  </si>
  <si>
    <t>40 ضد 31</t>
  </si>
  <si>
    <t>41 ضد 30</t>
  </si>
  <si>
    <t>52 ضد 43</t>
  </si>
  <si>
    <t>39 ضد 29</t>
  </si>
  <si>
    <t>36 ضد 40</t>
  </si>
  <si>
    <t>55 ضد 42</t>
  </si>
  <si>
    <t>56 ضد 41</t>
  </si>
  <si>
    <t>50 ضد 47</t>
  </si>
  <si>
    <t>51 ضد 46</t>
  </si>
  <si>
    <t>38 ضد 21</t>
  </si>
  <si>
    <t>57 ضد 40</t>
  </si>
  <si>
    <t>52 ضد 41</t>
  </si>
  <si>
    <t>51 ضد 42</t>
  </si>
  <si>
    <t>49 ضد 44</t>
  </si>
  <si>
    <t>54 ضد 40</t>
  </si>
  <si>
    <t>48 ضد 41</t>
  </si>
  <si>
    <t>47 ضد 42</t>
  </si>
  <si>
    <t>58 ضد 48</t>
  </si>
  <si>
    <t>38 ضد 28</t>
  </si>
  <si>
    <t>55 ضد 49</t>
  </si>
  <si>
    <t>57 ضد 47</t>
  </si>
  <si>
    <t>38 ضد 26</t>
  </si>
  <si>
    <t>39 ضد 25</t>
  </si>
  <si>
    <t>32 ضد 21</t>
  </si>
  <si>
    <t>57 ضد 45</t>
  </si>
  <si>
    <t>56 ضد 46</t>
  </si>
  <si>
    <t>58 ضد 44</t>
  </si>
  <si>
    <t>51 ضد 40</t>
  </si>
  <si>
    <t>39 ضد 23</t>
  </si>
  <si>
    <t>38 ضد 24</t>
  </si>
  <si>
    <t>58 ضد 42</t>
  </si>
  <si>
    <t>55 ضد 45</t>
  </si>
  <si>
    <t>57 ضد 43</t>
  </si>
  <si>
    <t>38 ضد 22</t>
  </si>
  <si>
    <t>55 ضد 43</t>
  </si>
  <si>
    <t>57 ضد 41</t>
  </si>
  <si>
    <t>56 ضد 42</t>
  </si>
  <si>
    <t>49 ضد 40</t>
  </si>
  <si>
    <t>39 ضد 38</t>
  </si>
  <si>
    <t>55 ضد 41</t>
  </si>
  <si>
    <t>58 ضد 57</t>
  </si>
  <si>
    <t>53 ضد 41</t>
  </si>
  <si>
    <t>47 ضد 40</t>
  </si>
  <si>
    <t>52 ضد 42</t>
  </si>
  <si>
    <t>37 ضد 36</t>
  </si>
  <si>
    <t>56 ضد 55</t>
  </si>
  <si>
    <t>35 ضد 34</t>
  </si>
  <si>
    <t>54 ضد 53</t>
  </si>
  <si>
    <t>39 ضد 28</t>
  </si>
  <si>
    <t>57 ضد 48</t>
  </si>
  <si>
    <t>58 ضد 47</t>
  </si>
  <si>
    <t>39 ضد 26</t>
  </si>
  <si>
    <t>58 ضد 45</t>
  </si>
  <si>
    <t>38 ضد 25</t>
  </si>
  <si>
    <t>39 ضد 24</t>
  </si>
  <si>
    <t>57 ضد 44</t>
  </si>
  <si>
    <t>56 ضد 45</t>
  </si>
  <si>
    <t>58 ضد 43</t>
  </si>
  <si>
    <t>55 ضد 46</t>
  </si>
  <si>
    <t>31 ضد 17</t>
  </si>
  <si>
    <t>25 ضد 22</t>
  </si>
  <si>
    <t>45 ضد 34</t>
  </si>
  <si>
    <t>47 ضد 33</t>
  </si>
  <si>
    <t>41 ضد 38</t>
  </si>
  <si>
    <t>44 ضد 35</t>
  </si>
  <si>
    <t>43 ضد 36</t>
  </si>
  <si>
    <t>62 ضد 64</t>
  </si>
  <si>
    <t>61 ضد 50</t>
  </si>
  <si>
    <t>58 ضد 53</t>
  </si>
  <si>
    <t>63 ضد 49</t>
  </si>
  <si>
    <t>57 ضد 54</t>
  </si>
  <si>
    <t>60 ضد 51</t>
  </si>
  <si>
    <t>59 ضد 52</t>
  </si>
  <si>
    <t>61 ضد 63</t>
  </si>
  <si>
    <t>40 ضد 35</t>
  </si>
  <si>
    <t>56 ضد 51</t>
  </si>
  <si>
    <t>59 ضد 63</t>
  </si>
  <si>
    <t>58 ضد 64</t>
  </si>
  <si>
    <t>57 ضد 50</t>
  </si>
  <si>
    <t>60 ضد 62</t>
  </si>
  <si>
    <t>44 ضد 33</t>
  </si>
  <si>
    <t>60 ضد 49</t>
  </si>
  <si>
    <t>59 ضد 61</t>
  </si>
  <si>
    <t>39 ضد 47</t>
  </si>
  <si>
    <t>38 ضد 48</t>
  </si>
  <si>
    <t>58 ضد 60</t>
  </si>
  <si>
    <t>56 ضد 62</t>
  </si>
  <si>
    <t>55 ضد 63</t>
  </si>
  <si>
    <t>57 ضد 61</t>
  </si>
  <si>
    <t>54 ضد 64</t>
  </si>
  <si>
    <t>57 ضد 59</t>
  </si>
  <si>
    <t>56 ضد 60</t>
  </si>
  <si>
    <t>58 ضد 49</t>
  </si>
  <si>
    <t>38 ضد 44</t>
  </si>
  <si>
    <t>53 ضد 61</t>
  </si>
  <si>
    <t>54 ضد 60</t>
  </si>
  <si>
    <t>55 ضد 59</t>
  </si>
  <si>
    <t>51 ضد 59</t>
  </si>
  <si>
    <t>64 ضد 57</t>
  </si>
  <si>
    <t>48 ضد 39</t>
  </si>
  <si>
    <t>64 ضد 55</t>
  </si>
  <si>
    <t>31 ضد 22</t>
  </si>
  <si>
    <t>47 ضد 38</t>
  </si>
  <si>
    <t>48 ضد 37</t>
  </si>
  <si>
    <t>63 ضد 54</t>
  </si>
  <si>
    <t>64 ضد 53</t>
  </si>
  <si>
    <t>32 ضد 19</t>
  </si>
  <si>
    <t>47 ضد 36</t>
  </si>
  <si>
    <t>48 ضد 35</t>
  </si>
  <si>
    <t>63 ضد 52</t>
  </si>
  <si>
    <t>62 ضد 53</t>
  </si>
  <si>
    <t>64 ضد 51</t>
  </si>
  <si>
    <t>32 ضد 17</t>
  </si>
  <si>
    <t>31 ضد 18</t>
  </si>
  <si>
    <t>30 ضد 19</t>
  </si>
  <si>
    <t>48 ضد 33</t>
  </si>
  <si>
    <t>45 ضد 36</t>
  </si>
  <si>
    <t>47 ضد 34</t>
  </si>
  <si>
    <t>46 ضد 35</t>
  </si>
  <si>
    <t>64 ضد 49</t>
  </si>
  <si>
    <t>61 ضد 52</t>
  </si>
  <si>
    <t>63 ضد 50</t>
  </si>
  <si>
    <t>62 ضد 51</t>
  </si>
  <si>
    <t>43 ضد 34</t>
  </si>
  <si>
    <t>60 ضد 64</t>
  </si>
  <si>
    <t>59 ضد 50</t>
  </si>
  <si>
    <t>27 ضد 24</t>
  </si>
  <si>
    <t>44 ضد 41</t>
  </si>
  <si>
    <t>65 ضد 67</t>
  </si>
  <si>
    <t>61 ضد 56</t>
  </si>
  <si>
    <t>66 ضد 52</t>
  </si>
  <si>
    <t>60 ضد 57</t>
  </si>
  <si>
    <t>62 ضد 55</t>
  </si>
  <si>
    <t>33 ضد 18</t>
  </si>
  <si>
    <t>50 ضد 35</t>
  </si>
  <si>
    <t>64 ضد 66</t>
  </si>
  <si>
    <t>61 ضد 67</t>
  </si>
  <si>
    <t>63 ضد 65</t>
  </si>
  <si>
    <t>41 ضد 36</t>
  </si>
  <si>
    <t>59 ضد 65</t>
  </si>
  <si>
    <t>56 ضد 64</t>
  </si>
  <si>
    <t>54 ضد 62</t>
  </si>
  <si>
    <t>67 ضد 60</t>
  </si>
  <si>
    <t>53 ضد 59</t>
  </si>
  <si>
    <t>36 ضد 44</t>
  </si>
  <si>
    <t>67 ضد 56</t>
  </si>
  <si>
    <t>65 ضد 56</t>
  </si>
  <si>
    <t>67 ضد 52</t>
  </si>
  <si>
    <t>66 ضد 53</t>
  </si>
  <si>
    <t>65 ضد 54</t>
  </si>
  <si>
    <t>63 ضد 67</t>
  </si>
  <si>
    <t>20 ضد 19</t>
  </si>
  <si>
    <t>عدد ملاعب 7×7 داخل الملعب القانوني</t>
  </si>
  <si>
    <t>يُستخدم لحساب عدد الملاعب القانونية في الملخص</t>
  </si>
  <si>
    <t>61 ضد 54</t>
  </si>
  <si>
    <t>60 ضد 55</t>
  </si>
  <si>
    <t>65 ضد 52</t>
  </si>
  <si>
    <t>59 ضد 67</t>
  </si>
  <si>
    <t>49 ضد 38</t>
  </si>
  <si>
    <t>50 ضد 37</t>
  </si>
  <si>
    <t>37 ضد 51</t>
  </si>
  <si>
    <t>67 ضد 66</t>
  </si>
  <si>
    <t>19 ضد 31</t>
  </si>
  <si>
    <t>39 ضد 45</t>
  </si>
  <si>
    <t>36 ضد 48</t>
  </si>
  <si>
    <t>66 ضد 61</t>
  </si>
  <si>
    <t>53 ضد 63</t>
  </si>
  <si>
    <t>56 ضد 53</t>
  </si>
  <si>
    <t>48 ضد 45</t>
  </si>
  <si>
    <t>17 ضد 12</t>
  </si>
  <si>
    <t>34 ضد 29</t>
  </si>
  <si>
    <t>55 ضد 52</t>
  </si>
  <si>
    <t>49 ضد 35</t>
  </si>
  <si>
    <t>33 ضد 28</t>
  </si>
  <si>
    <t>65 ضد 58</t>
  </si>
  <si>
    <t>19 ضد 29</t>
  </si>
  <si>
    <t>36 ضد 46</t>
  </si>
  <si>
    <t>37 ضد 49</t>
  </si>
  <si>
    <t>57 ضد 65</t>
  </si>
  <si>
    <t>55 ضد 54</t>
  </si>
  <si>
    <t>39 ضد 51</t>
  </si>
  <si>
    <t>64 ضد 61</t>
  </si>
  <si>
    <t>31 ضد 30</t>
  </si>
  <si>
    <t>48 ضد 47</t>
  </si>
  <si>
    <t>34 ضد 19</t>
  </si>
  <si>
    <t>51 ضد 36</t>
  </si>
  <si>
    <t>23 ضد 22</t>
  </si>
  <si>
    <t>40 ضد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</si>
</sst>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1]h:mm\ AM/PM"/>
  </numFmts>
  <fonts count="15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9"/>
      <color indexed="81"/>
      <name val="Tahoma"/>
    </font>
    <font>
      <b/>
      <sz val="9"/>
      <color indexed="81"/>
      <name val="Tahoma"/>
    </font>
    <font>
      <sz val="11"/>
      <color rgb="FF0000FF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</borders>
  <cellStyleXfs count="5">
    <xf numFmtId="0" fontId="0" fillId="0" borderId="0"/>
    <xf numFmtId="0" fontId="3" fillId="0" borderId="1"/>
    <xf numFmtId="0" fontId="3" fillId="0" borderId="1"/>
    <xf numFmtId="0" fontId="2" fillId="0" borderId="1"/>
    <xf numFmtId="0" fontId="1" fillId="0" borderId="1"/>
  </cellStyleXfs>
  <cellXfs count="35">
    <xf numFmtId="0" fontId="0" fillId="0" borderId="0" xfId="0"/>
    <xf numFmtId="0" fontId="0" fillId="0" borderId="1" xfId="0" applyBorder="1" applyAlignment="1">
      <alignment readingOrder="2"/>
    </xf>
    <xf numFmtId="0" fontId="0" fillId="0" borderId="0" xfId="0" applyAlignment="1">
      <alignment readingOrder="2"/>
    </xf>
    <xf numFmtId="0" fontId="6" fillId="0" borderId="3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7" fillId="0" borderId="0" xfId="0" applyFont="1" applyAlignment="1">
      <alignment vertical="center" readingOrder="2"/>
    </xf>
    <xf numFmtId="0" fontId="6" fillId="3" borderId="3" xfId="0" applyFont="1" applyFill="1" applyBorder="1" applyAlignment="1">
      <alignment horizontal="center" vertical="center" readingOrder="2"/>
    </xf>
    <xf numFmtId="0" fontId="8" fillId="0" borderId="3" xfId="0" applyFont="1" applyBorder="1" applyAlignment="1">
      <alignment horizontal="center" vertical="center" readingOrder="2"/>
    </xf>
    <xf numFmtId="0" fontId="10" fillId="4" borderId="3" xfId="0" applyFont="1" applyFill="1" applyBorder="1" applyAlignment="1">
      <alignment horizontal="center" vertical="center" readingOrder="2"/>
    </xf>
    <xf numFmtId="0" fontId="7" fillId="0" borderId="1" xfId="0" applyFont="1" applyBorder="1" applyAlignment="1">
      <alignment vertical="center" readingOrder="2"/>
    </xf>
    <xf numFmtId="0" fontId="0" fillId="0" borderId="1" xfId="0" applyBorder="1"/>
    <xf numFmtId="0" fontId="4" fillId="0" borderId="1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right" vertical="center" readingOrder="2"/>
    </xf>
    <xf numFmtId="0" fontId="9" fillId="0" borderId="1" xfId="0" applyFont="1" applyBorder="1" applyAlignment="1">
      <alignment vertical="center" readingOrder="2"/>
    </xf>
    <xf numFmtId="0" fontId="9" fillId="2" borderId="1" xfId="0" applyFont="1" applyFill="1" applyBorder="1" applyAlignment="1">
      <alignment horizontal="center" vertical="center" readingOrder="2"/>
    </xf>
    <xf numFmtId="0" fontId="7" fillId="0" borderId="3" xfId="0" applyFont="1" applyFill="1" applyBorder="1" applyAlignment="1">
      <alignment horizontal="center" vertical="center" wrapText="1" readingOrder="2"/>
    </xf>
    <xf numFmtId="0" fontId="6" fillId="3" borderId="2" xfId="0" applyFont="1" applyFill="1" applyBorder="1" applyAlignment="1">
      <alignment vertical="center" readingOrder="2"/>
    </xf>
    <xf numFmtId="0" fontId="13" fillId="0" borderId="2" xfId="0" applyFont="1" applyBorder="1" applyAlignment="1">
      <alignment horizontal="center" vertical="center" readingOrder="2"/>
    </xf>
    <xf numFmtId="0" fontId="7" fillId="0" borderId="2" xfId="0" applyFont="1" applyBorder="1" applyAlignment="1">
      <alignment horizontal="center" vertical="center" readingOrder="2"/>
    </xf>
    <xf numFmtId="0" fontId="7" fillId="0" borderId="0" xfId="0" applyFont="1" applyAlignment="1">
      <alignment vertical="center"/>
    </xf>
    <xf numFmtId="165" fontId="13" fillId="0" borderId="2" xfId="0" applyNumberFormat="1" applyFont="1" applyBorder="1" applyAlignment="1">
      <alignment horizontal="center" vertical="center" readingOrder="2"/>
    </xf>
    <xf numFmtId="0" fontId="14" fillId="2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 readingOrder="2"/>
    </xf>
    <xf numFmtId="0" fontId="7" fillId="0" borderId="2" xfId="0" applyFont="1" applyBorder="1" applyAlignment="1">
      <alignment horizontal="right" vertical="center" readingOrder="2"/>
    </xf>
    <xf numFmtId="0" fontId="7" fillId="0" borderId="5" xfId="0" applyFont="1" applyBorder="1" applyAlignment="1">
      <alignment horizontal="right" vertical="center" readingOrder="2"/>
    </xf>
    <xf numFmtId="0" fontId="7" fillId="0" borderId="6" xfId="0" applyFont="1" applyFill="1" applyBorder="1" applyAlignment="1">
      <alignment horizontal="right" vertical="center" readingOrder="2"/>
    </xf>
    <xf numFmtId="0" fontId="7" fillId="0" borderId="7" xfId="0" applyFont="1" applyFill="1" applyBorder="1" applyAlignment="1">
      <alignment horizontal="right" vertical="center" readingOrder="2"/>
    </xf>
    <xf numFmtId="0" fontId="13" fillId="0" borderId="5" xfId="0" applyFont="1" applyBorder="1" applyAlignment="1">
      <alignment horizontal="center" vertical="center" readingOrder="2"/>
    </xf>
    <xf numFmtId="0" fontId="13" fillId="0" borderId="7" xfId="0" applyFont="1" applyFill="1" applyBorder="1" applyAlignment="1">
      <alignment horizontal="center" vertical="center" readingOrder="2"/>
    </xf>
  </cellXfs>
  <cellStyles count="5">
    <cellStyle name="Normal" xfId="0" builtinId="0"/>
    <cellStyle name="Normal 2" xfId="1" xr:uid="{B3EC81B0-A1B7-4040-B4C5-836931BF7552}"/>
    <cellStyle name="Normal 3" xfId="3" xr:uid="{FE637EB3-337F-4FEB-B0B0-A4345BC63289}"/>
    <cellStyle name="Normal 4" xfId="4" xr:uid="{44220BFE-71A7-4179-99FE-7FB85111B05A}"/>
    <cellStyle name="عادي 2" xfId="2" xr:uid="{D97B2111-34D1-45F2-89F0-25E11C807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98B38D-C3BB-40B9-9F79-267FCA0D517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e904d28-99ab-4b23-83af-d24150723da1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46BB-8270-4AC8-A067-4E0936E10282}">
  <dimension ref="A1:P13"/>
  <sheetViews>
    <sheetView rightToLeft="1" workbookViewId="0">
      <selection activeCell="B9" sqref="B9"/>
    </sheetView>
  </sheetViews>
  <sheetFormatPr defaultRowHeight="14"/>
  <cols>
    <col min="1" max="1" width="33.33203125" customWidth="1"/>
    <col min="2" max="2" width="15" customWidth="1"/>
    <col min="3" max="3" width="40" customWidth="1"/>
  </cols>
  <sheetData>
    <row r="1" spans="1:16" ht="18.5">
      <c r="A1" s="28" t="s">
        <v>74</v>
      </c>
      <c r="B1" s="28"/>
      <c r="C1" s="28"/>
      <c r="D1" s="28"/>
      <c r="E1" s="28"/>
      <c r="F1" s="28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5">
      <c r="A2" s="5"/>
      <c r="B2" s="5"/>
      <c r="C2" s="5"/>
      <c r="D2" s="5"/>
      <c r="E2" s="9"/>
      <c r="F2" s="9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4.5">
      <c r="A3" s="19" t="s">
        <v>0</v>
      </c>
      <c r="B3" s="19" t="s">
        <v>1</v>
      </c>
      <c r="C3" s="19" t="s">
        <v>2</v>
      </c>
      <c r="D3" s="9"/>
      <c r="E3" s="19" t="s">
        <v>82</v>
      </c>
      <c r="F3" s="19" t="s">
        <v>86</v>
      </c>
      <c r="G3" s="1"/>
      <c r="H3" s="2"/>
      <c r="I3" s="2"/>
      <c r="J3" s="2"/>
      <c r="K3" s="2"/>
      <c r="L3" s="2"/>
      <c r="M3" s="2"/>
      <c r="N3" s="2"/>
      <c r="O3" s="2"/>
      <c r="P3" s="2"/>
    </row>
    <row r="4" spans="1:16" ht="14.5">
      <c r="A4" s="29" t="s">
        <v>3</v>
      </c>
      <c r="B4" s="23">
        <v>0.66666666666666663</v>
      </c>
      <c r="C4" s="29" t="s">
        <v>77</v>
      </c>
      <c r="D4" s="9"/>
      <c r="E4" s="4">
        <f>IF(1&lt;=$B$8,1,"")</f>
        <v>1</v>
      </c>
      <c r="F4" s="4" t="str">
        <f>IF(1&gt;$B$8,"",MOD(HOUR($B$4+0*$B$7/1440)-1,12)+1&amp;":"&amp;TEXT(MINUTE($B$4+0*$B$7/1440),"00")&amp;"–"&amp;MOD(HOUR($B$4+0*$B$7/1440+$B$5/1440)-1,12)+1&amp;":"&amp;TEXT(MINUTE($B$4+0*$B$7/1440+$B$5/1440),"00")&amp;IF(HOUR($B$4+0*$B$7/1440)&lt;12," ص"," م"))</f>
        <v>4:00–5:10 م</v>
      </c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ht="14.5">
      <c r="A5" s="29" t="s">
        <v>4</v>
      </c>
      <c r="B5" s="20">
        <v>70</v>
      </c>
      <c r="C5" s="29" t="s">
        <v>78</v>
      </c>
      <c r="D5" s="9"/>
      <c r="E5" s="4">
        <f>IF(2&lt;=$B$8,2,"")</f>
        <v>2</v>
      </c>
      <c r="F5" s="4" t="str">
        <f>IF(2&gt;$B$8,"",MOD(HOUR($B$4+1*$B$7/1440)-1,12)+1&amp;":"&amp;TEXT(MINUTE($B$4+1*$B$7/1440),"00")&amp;"–"&amp;MOD(HOUR($B$4+1*$B$7/1440+$B$5/1440)-1,12)+1&amp;":"&amp;TEXT(MINUTE($B$4+1*$B$7/1440+$B$5/1440),"00")&amp;IF(HOUR($B$4+1*$B$7/1440)&lt;12," ص"," م"))</f>
        <v>5:20–6:30 م</v>
      </c>
      <c r="G5" s="1"/>
      <c r="H5" s="2"/>
      <c r="I5" s="2"/>
      <c r="J5" s="2"/>
      <c r="K5" s="2"/>
      <c r="L5" s="2"/>
      <c r="M5" s="2"/>
      <c r="N5" s="2"/>
      <c r="O5" s="2"/>
      <c r="P5" s="2"/>
    </row>
    <row r="6" spans="1:16" ht="14.5">
      <c r="A6" s="29" t="s">
        <v>75</v>
      </c>
      <c r="B6" s="20">
        <v>10</v>
      </c>
      <c r="C6" s="29" t="s">
        <v>79</v>
      </c>
      <c r="D6" s="9"/>
      <c r="E6" s="4">
        <f>IF(3&lt;=$B$8,3,"")</f>
        <v>3</v>
      </c>
      <c r="F6" s="4" t="str">
        <f>IF(3&gt;$B$8,"",MOD(HOUR($B$4+2*$B$7/1440)-1,12)+1&amp;":"&amp;TEXT(MINUTE($B$4+2*$B$7/1440),"00")&amp;"–"&amp;MOD(HOUR($B$4+2*$B$7/1440+$B$5/1440)-1,12)+1&amp;":"&amp;TEXT(MINUTE($B$4+2*$B$7/1440+$B$5/1440),"00")&amp;IF(HOUR($B$4+2*$B$7/1440)&lt;12," ص"," م"))</f>
        <v>6:40–7:50 م</v>
      </c>
      <c r="G6" s="1"/>
      <c r="H6" s="2"/>
      <c r="I6" s="2"/>
      <c r="J6" s="2"/>
      <c r="K6" s="2"/>
      <c r="L6" s="2"/>
      <c r="M6" s="2"/>
      <c r="N6" s="2"/>
      <c r="O6" s="2"/>
      <c r="P6" s="2"/>
    </row>
    <row r="7" spans="1:16" ht="14.5">
      <c r="A7" s="29" t="s">
        <v>5</v>
      </c>
      <c r="B7" s="21">
        <f>B5+B6</f>
        <v>80</v>
      </c>
      <c r="C7" s="29" t="s">
        <v>80</v>
      </c>
      <c r="D7" s="9"/>
      <c r="E7" s="4" t="str">
        <f>IF(4&lt;=$B$8,4,"")</f>
        <v/>
      </c>
      <c r="F7" s="4" t="str">
        <f>IF(4&gt;$B$8,"",MOD(HOUR($B$4+3*$B$7/1440)-1,12)+1&amp;":"&amp;TEXT(MINUTE($B$4+3*$B$7/1440),"00")&amp;"–"&amp;MOD(HOUR($B$4+3*$B$7/1440+$B$5/1440)-1,12)+1&amp;":"&amp;TEXT(MINUTE($B$4+3*$B$7/1440+$B$5/1440),"00")&amp;IF(HOUR($B$4+3*$B$7/1440)&lt;12," ص"," م"))</f>
        <v/>
      </c>
      <c r="G7" s="1"/>
      <c r="H7" s="2"/>
      <c r="I7" s="2"/>
      <c r="J7" s="2"/>
      <c r="K7" s="2"/>
      <c r="L7" s="2"/>
      <c r="M7" s="2"/>
      <c r="N7" s="2"/>
      <c r="O7" s="2"/>
      <c r="P7" s="2"/>
    </row>
    <row r="8" spans="1:16" ht="14.5">
      <c r="A8" s="30" t="s">
        <v>76</v>
      </c>
      <c r="B8" s="33">
        <v>3</v>
      </c>
      <c r="C8" s="30" t="s">
        <v>81</v>
      </c>
      <c r="D8" s="5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4.5">
      <c r="A9" s="32" t="s">
        <v>1408</v>
      </c>
      <c r="B9" s="34">
        <v>2</v>
      </c>
      <c r="C9" s="31" t="s">
        <v>1409</v>
      </c>
      <c r="D9" s="5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</sheetData>
  <mergeCells count="1">
    <mergeCell ref="A1:F1"/>
  </mergeCells>
  <dataValidations count="1">
    <dataValidation type="whole" allowBlank="1" showInputMessage="1" showErrorMessage="1" errorTitle="قيمة غير مسموحة" error="عدد الفترات المسموح 1 إلى 3. زيادته إلى 4 تتطلب إعادة بناء جداول الأيام لإضافة فترة رابعة." promptTitle="أقصى عدد فترات" prompt="من 1 إلى 3. الجداول الحالية مبنية على 3 فترات كحد أقصى." sqref="B8" xr:uid="{3DC0E994-5968-4775-AE32-1F5ECDBD9075}">
      <formula1>1</formula1>
      <formula2>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143E-625A-42E5-A70E-6EA3D34CFC2F}">
  <dimension ref="A1:P40"/>
  <sheetViews>
    <sheetView rightToLeft="1" zoomScale="78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2" sqref="B32"/>
    </sheetView>
  </sheetViews>
  <sheetFormatPr defaultRowHeight="14"/>
  <cols>
    <col min="1" max="1" width="7" bestFit="1" customWidth="1"/>
    <col min="2" max="2" width="10.4140625" bestFit="1" customWidth="1"/>
    <col min="3" max="3" width="29.1640625" customWidth="1"/>
    <col min="4" max="4" width="22.5" customWidth="1"/>
    <col min="5" max="5" width="29.1640625" customWidth="1"/>
    <col min="6" max="6" width="21.58203125" bestFit="1" customWidth="1"/>
    <col min="7" max="7" width="7.75" bestFit="1" customWidth="1"/>
    <col min="8" max="8" width="8" bestFit="1" customWidth="1"/>
    <col min="9" max="9" width="8.4140625" bestFit="1" customWidth="1"/>
    <col min="10" max="10" width="7.75" bestFit="1" customWidth="1"/>
    <col min="11" max="11" width="8" bestFit="1" customWidth="1"/>
    <col min="12" max="12" width="15.33203125" bestFit="1" customWidth="1"/>
    <col min="13" max="13" width="14.1640625" bestFit="1" customWidth="1"/>
    <col min="14" max="14" width="10" customWidth="1"/>
    <col min="15" max="15" width="13.33203125" customWidth="1"/>
  </cols>
  <sheetData>
    <row r="1" spans="1:16" ht="18.5">
      <c r="A1" s="15" t="s">
        <v>978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16"/>
      <c r="P1" s="10"/>
    </row>
    <row r="2" spans="1:16" ht="14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0"/>
    </row>
    <row r="3" spans="1:16" ht="14.5">
      <c r="A3" s="3" t="s">
        <v>73</v>
      </c>
      <c r="B3" s="3" t="s">
        <v>578</v>
      </c>
      <c r="C3" s="12" t="s">
        <v>822</v>
      </c>
      <c r="D3" s="12" t="s">
        <v>977</v>
      </c>
      <c r="E3" s="12" t="s">
        <v>823</v>
      </c>
      <c r="F3" s="3" t="s">
        <v>583</v>
      </c>
      <c r="G3" s="3" t="s">
        <v>584</v>
      </c>
      <c r="H3" s="3" t="s">
        <v>585</v>
      </c>
      <c r="I3" s="3" t="s">
        <v>586</v>
      </c>
      <c r="J3" s="3" t="s">
        <v>824</v>
      </c>
      <c r="K3" s="3" t="s">
        <v>825</v>
      </c>
      <c r="L3" s="3" t="s">
        <v>831</v>
      </c>
      <c r="M3" s="3" t="s">
        <v>826</v>
      </c>
      <c r="N3" s="11"/>
      <c r="O3" s="1"/>
      <c r="P3" s="10"/>
    </row>
    <row r="4" spans="1:16" ht="14.5">
      <c r="A4" s="14">
        <v>6</v>
      </c>
      <c r="B4" s="4" cm="1">
        <f t="array" ref="B4">ROUND(SUMPRODUCT(1/COUNTIF('بيانات الفرق'!$B$3:$B$8,'بيانات الفرق'!$B$3:$B$8)),0)</f>
        <v>1</v>
      </c>
      <c r="C4" s="13" t="str" cm="1">
        <f t="array" ref="C4">_xlfn.TEXTJOIN(" + ",TRUE,COUNTIF('بيانات الفرق'!$B$3:$B$8,"المجموعة "&amp;_xlfn.SEQUENCE($B4)))</f>
        <v>6</v>
      </c>
      <c r="D4" s="13" t="str" cm="1">
        <f t="array" ref="D4">_xlfn.TEXTJOIN(" + ",TRUE,IF(ROUNDDOWN(_xlfn.MINIFS('بيانات الفرق'!$C$3:$C$8,'بيانات الفرق'!$B$3:$B$8,"المجموعة "&amp;_xlfn.SEQUENCE($B4))/_xlfn.MINIFS('بيانات الفرق'!$D$3:$D$8,'بيانات الفرق'!$B$3:$B$8,"المجموعة "&amp;_xlfn.SEQUENCE($B4)),0)=ROUNDUP(_xlfn.MAXIFS('بيانات الفرق'!$C$3:$C$8,'بيانات الفرق'!$B$3:$B$8,"المجموعة "&amp;_xlfn.SEQUENCE($B4))/_xlfn.MINIFS('بيانات الفرق'!$D$3:$D$8,'بيانات الفرق'!$B$3:$B$8,"المجموعة "&amp;_xlfn.SEQUENCE($B4)),0),ROUNDDOWN(_xlfn.MINIFS('بيانات الفرق'!$C$3:$C$8,'بيانات الفرق'!$B$3:$B$8,"المجموعة "&amp;_xlfn.SEQUENCE($B4))/_xlfn.MINIFS('بيانات الفرق'!$D$3:$D$8,'بيانات الفرق'!$B$3:$B$8,"المجموعة "&amp;_xlfn.SEQUENCE($B4)),0),ROUNDDOWN(_xlfn.MINIFS('بيانات الفرق'!$C$3:$C$8,'بيانات الفرق'!$B$3:$B$8,"المجموعة "&amp;_xlfn.SEQUENCE($B4))/_xlfn.MINIFS('بيانات الفرق'!$D$3:$D$8,'بيانات الفرق'!$B$3:$B$8,"المجموعة "&amp;_xlfn.SEQUENCE($B4)),0)&amp;"–"&amp;ROUNDUP(_xlfn.MAXIFS('بيانات الفرق'!$C$3:$C$8,'بيانات الفرق'!$B$3:$B$8,"المجموعة "&amp;_xlfn.SEQUENCE($B4))/_xlfn.MINIFS('بيانات الفرق'!$D$3:$D$8,'بيانات الفرق'!$B$3:$B$8,"المجموعة "&amp;_xlfn.SEQUENCE($B4)),0)))</f>
        <v>4</v>
      </c>
      <c r="E4" s="13" t="str" cm="1">
        <f t="array" ref="E4">_xlfn.TEXTJOIN(" + ",TRUE,IF(_xlfn.MINIFS('بيانات الفرق'!$C$3:$C$8,'بيانات الفرق'!$B$3:$B$8,"المجموعة "&amp;_xlfn.SEQUENCE($B4))=_xlfn.MAXIFS('بيانات الفرق'!$C$3:$C$8,'بيانات الفرق'!$B$3:$B$8,"المجموعة "&amp;_xlfn.SEQUENCE($B4)),_xlfn.MINIFS('بيانات الفرق'!$C$3:$C$8,'بيانات الفرق'!$B$3:$B$8,"المجموعة "&amp;_xlfn.SEQUENCE($B4)),_xlfn.MINIFS('بيانات الفرق'!$C$3:$C$8,'بيانات الفرق'!$B$3:$B$8,"المجموعة "&amp;_xlfn.SEQUENCE($B4))&amp;"–"&amp;_xlfn.MAXIFS('بيانات الفرق'!$C$3:$C$8,'بيانات الفرق'!$B$3:$B$8,"المجموعة "&amp;_xlfn.SEQUENCE($B4))))</f>
        <v>20</v>
      </c>
      <c r="F4" s="4" t="str">
        <f>IF(COUNTIF('6 فرق'!$D$4:$D$1999,"*فائز ر*")&gt;0,"ربع نهائي ثم نصف نهائي ثم نهائي",IF(COUNTIF('6 فرق'!$D$4:$D$1999,"*فائز*")&gt;0,"نصف نهائي ثم نهائي",IF(COUNTIF('6 فرق'!$D$4:$D$1999,"*أول المجموعة*")&gt;0,"نهائي مباشر","—")))</f>
        <v>—</v>
      </c>
      <c r="G4" s="4">
        <f>_xlfn.MAXIFS('6 فرق'!$A$4:$A$1999,'6 فرق'!$D$4:$D$1999,"* ضد *",'6 فرق'!$D$4:$D$1999,"&lt;&gt;*فائز*",'6 فرق'!$D$4:$D$1999,"&lt;&gt;*أول المجموعة*",'6 فرق'!$D$4:$D$1999,"&lt;&gt;*المتأهل*")</f>
        <v>20</v>
      </c>
      <c r="H4" s="4">
        <f>$I4-$G4</f>
        <v>0</v>
      </c>
      <c r="I4" s="3">
        <f>_xlfn.MAXIFS('6 فرق'!$A$4:$A$1999,'6 فرق'!$D$4:$D$1999,"* ضد *")</f>
        <v>20</v>
      </c>
      <c r="J4" s="4" t="str">
        <f>MOD(HOUR(المدخلات!$B$4)-1,12)+1&amp;":"&amp;TEXT(MINUTE(المدخلات!$B$4),"00")&amp;IF(HOUR(المدخلات!$B$4)&lt;12," ص"," م")</f>
        <v>4:00 م</v>
      </c>
      <c r="K4" s="4" t="str" cm="1">
        <f t="array" ref="K4">_xlfn.LET(_xlpm.p,SUMPRODUCT(MAX((COUNTIF('6 فرق'!$B$4:$B$1999,المدخلات!$F$4:$F$7)&gt;0)*(المدخلات!$F$4:$F$7&lt;&gt;"")*ROW(المدخلات!$F$4:$F$7)))-3,_xlpm.t,INDEX(المدخلات!$F$4:$F$7,_xlpm.p),TRIM(MID(_xlpm.t,FIND("–",_xlpm.t)+1,20)))</f>
        <v>7:50 م</v>
      </c>
      <c r="L4" s="4">
        <f>_xlfn.MAXIFS('6 فرق'!$C$4:$C$1999,'6 فرق'!$D$4:$D$1999,"* ضد *")</f>
        <v>1</v>
      </c>
      <c r="M4" s="4">
        <f>ROUNDUP($L4/المدخلات!$B$9,0)</f>
        <v>1</v>
      </c>
      <c r="N4" s="1"/>
      <c r="O4" s="1"/>
      <c r="P4" s="10"/>
    </row>
    <row r="5" spans="1:16" ht="14.5">
      <c r="A5" s="14">
        <v>7</v>
      </c>
      <c r="B5" s="4" cm="1">
        <f t="array" ref="B5">ROUND(SUMPRODUCT(1/COUNTIF('بيانات الفرق'!$G$3:$G$9,'بيانات الفرق'!$G$3:$G$9)),0)</f>
        <v>1</v>
      </c>
      <c r="C5" s="13" t="str" cm="1">
        <f t="array" ref="C5">_xlfn.TEXTJOIN(" + ",TRUE,COUNTIF('بيانات الفرق'!$G$3:$G$9,"المجموعة "&amp;_xlfn.SEQUENCE($B5)))</f>
        <v>7</v>
      </c>
      <c r="D5" s="13" t="str" cm="1">
        <f t="array" ref="D5">_xlfn.TEXTJOIN(" + ",TRUE,IF(ROUNDDOWN(_xlfn.MINIFS('بيانات الفرق'!$H$3:$H$9,'بيانات الفرق'!$G$3:$G$9,"المجموعة "&amp;_xlfn.SEQUENCE($B5))/_xlfn.MINIFS('بيانات الفرق'!$I$3:$I$9,'بيانات الفرق'!$G$3:$G$9,"المجموعة "&amp;_xlfn.SEQUENCE($B5)),0)=ROUNDUP(_xlfn.MAXIFS('بيانات الفرق'!$H$3:$H$9,'بيانات الفرق'!$G$3:$G$9,"المجموعة "&amp;_xlfn.SEQUENCE($B5))/_xlfn.MINIFS('بيانات الفرق'!$I$3:$I$9,'بيانات الفرق'!$G$3:$G$9,"المجموعة "&amp;_xlfn.SEQUENCE($B5)),0),ROUNDDOWN(_xlfn.MINIFS('بيانات الفرق'!$H$3:$H$9,'بيانات الفرق'!$G$3:$G$9,"المجموعة "&amp;_xlfn.SEQUENCE($B5))/_xlfn.MINIFS('بيانات الفرق'!$I$3:$I$9,'بيانات الفرق'!$G$3:$G$9,"المجموعة "&amp;_xlfn.SEQUENCE($B5)),0),ROUNDDOWN(_xlfn.MINIFS('بيانات الفرق'!$H$3:$H$9,'بيانات الفرق'!$G$3:$G$9,"المجموعة "&amp;_xlfn.SEQUENCE($B5))/_xlfn.MINIFS('بيانات الفرق'!$I$3:$I$9,'بيانات الفرق'!$G$3:$G$9,"المجموعة "&amp;_xlfn.SEQUENCE($B5)),0)&amp;"–"&amp;ROUNDUP(_xlfn.MAXIFS('بيانات الفرق'!$H$3:$H$9,'بيانات الفرق'!$G$3:$G$9,"المجموعة "&amp;_xlfn.SEQUENCE($B5))/_xlfn.MINIFS('بيانات الفرق'!$I$3:$I$9,'بيانات الفرق'!$G$3:$G$9,"المجموعة "&amp;_xlfn.SEQUENCE($B5)),0)))</f>
        <v>3</v>
      </c>
      <c r="E5" s="13" t="str" cm="1">
        <f t="array" ref="E5">_xlfn.TEXTJOIN(" + ",TRUE,IF(_xlfn.MINIFS('بيانات الفرق'!$H$3:$H$9,'بيانات الفرق'!$G$3:$G$9,"المجموعة "&amp;_xlfn.SEQUENCE($B5))=_xlfn.MAXIFS('بيانات الفرق'!$H$3:$H$9,'بيانات الفرق'!$G$3:$G$9,"المجموعة "&amp;_xlfn.SEQUENCE($B5)),_xlfn.MINIFS('بيانات الفرق'!$H$3:$H$9,'بيانات الفرق'!$G$3:$G$9,"المجموعة "&amp;_xlfn.SEQUENCE($B5)),_xlfn.MINIFS('بيانات الفرق'!$H$3:$H$9,'بيانات الفرق'!$G$3:$G$9,"المجموعة "&amp;_xlfn.SEQUENCE($B5))&amp;"–"&amp;_xlfn.MAXIFS('بيانات الفرق'!$H$3:$H$9,'بيانات الفرق'!$G$3:$G$9,"المجموعة "&amp;_xlfn.SEQUENCE($B5))))</f>
        <v>18</v>
      </c>
      <c r="F5" s="4" t="str">
        <f>IF(COUNTIF('7 فرق'!$D$4:$D$1999,"*فائز ر*")&gt;0,"ربع نهائي ثم نصف نهائي ثم نهائي",IF(COUNTIF('7 فرق'!$D$4:$D$1999,"*فائز*")&gt;0,"نصف نهائي ثم نهائي",IF(COUNTIF('7 فرق'!$D$4:$D$1999,"*أول المجموعة*")&gt;0,"نهائي مباشر","—")))</f>
        <v>—</v>
      </c>
      <c r="G5" s="4">
        <f>_xlfn.MAXIFS('7 فرق'!$A$4:$A$1999,'7 فرق'!$D$4:$D$1999,"* ضد *",'7 فرق'!$D$4:$D$1999,"&lt;&gt;*فائز*",'7 فرق'!$D$4:$D$1999,"&lt;&gt;*أول المجموعة*",'7 فرق'!$D$4:$D$1999,"&lt;&gt;*المتأهل*")</f>
        <v>21</v>
      </c>
      <c r="H5" s="4">
        <f>$I5-$G5</f>
        <v>0</v>
      </c>
      <c r="I5" s="3">
        <f>_xlfn.MAXIFS('7 فرق'!$A$4:$A$1999,'7 فرق'!$D$4:$D$1999,"* ضد *")</f>
        <v>21</v>
      </c>
      <c r="J5" s="4" t="str">
        <f>MOD(HOUR(المدخلات!$B$4)-1,12)+1&amp;":"&amp;TEXT(MINUTE(المدخلات!$B$4),"00")&amp;IF(HOUR(المدخلات!$B$4)&lt;12," ص"," م")</f>
        <v>4:00 م</v>
      </c>
      <c r="K5" s="4" t="str" cm="1">
        <f t="array" ref="K5">_xlfn.LET(_xlpm.p,SUMPRODUCT(MAX((COUNTIF('7 فرق'!$B$4:$B$1999,المدخلات!$F$4:$F$7)&gt;0)*(المدخلات!$F$4:$F$7&lt;&gt;"")*ROW(المدخلات!$F$4:$F$7)))-3,_xlpm.t,INDEX(المدخلات!$F$4:$F$7,_xlpm.p),TRIM(MID(_xlpm.t,FIND("–",_xlpm.t)+1,20)))</f>
        <v>7:50 م</v>
      </c>
      <c r="L5" s="4">
        <f>_xlfn.MAXIFS('7 فرق'!$C$4:$C$1999,'7 فرق'!$D$4:$D$1999,"* ضد *")</f>
        <v>1</v>
      </c>
      <c r="M5" s="4">
        <f>ROUNDUP($L5/المدخلات!$B$9,0)</f>
        <v>1</v>
      </c>
      <c r="N5" s="1"/>
      <c r="O5" s="1"/>
      <c r="P5" s="10"/>
    </row>
    <row r="6" spans="1:16" ht="14.5">
      <c r="A6" s="14">
        <v>8</v>
      </c>
      <c r="B6" s="4" cm="1">
        <f t="array" ref="B6">ROUND(SUMPRODUCT(1/COUNTIF('بيانات الفرق'!$L$3:$L$10,'بيانات الفرق'!$L$3:$L$10)),0)</f>
        <v>1</v>
      </c>
      <c r="C6" s="13" t="str" cm="1">
        <f t="array" ref="C6">_xlfn.TEXTJOIN(" + ",TRUE,COUNTIF('بيانات الفرق'!$L$3:$L$10,"المجموعة "&amp;_xlfn.SEQUENCE($B6)))</f>
        <v>8</v>
      </c>
      <c r="D6" s="13" t="str" cm="1">
        <f t="array" ref="D6">_xlfn.TEXTJOIN(" + ",TRUE,IF(ROUNDDOWN(_xlfn.MINIFS('بيانات الفرق'!$M$3:$M$10,'بيانات الفرق'!$L$3:$L$10,"المجموعة "&amp;_xlfn.SEQUENCE($B6))/_xlfn.MINIFS('بيانات الفرق'!$N$3:$N$10,'بيانات الفرق'!$L$3:$L$10,"المجموعة "&amp;_xlfn.SEQUENCE($B6)),0)=ROUNDUP(_xlfn.MAXIFS('بيانات الفرق'!$M$3:$M$10,'بيانات الفرق'!$L$3:$L$10,"المجموعة "&amp;_xlfn.SEQUENCE($B6))/_xlfn.MINIFS('بيانات الفرق'!$N$3:$N$10,'بيانات الفرق'!$L$3:$L$10,"المجموعة "&amp;_xlfn.SEQUENCE($B6)),0),ROUNDDOWN(_xlfn.MINIFS('بيانات الفرق'!$M$3:$M$10,'بيانات الفرق'!$L$3:$L$10,"المجموعة "&amp;_xlfn.SEQUENCE($B6))/_xlfn.MINIFS('بيانات الفرق'!$N$3:$N$10,'بيانات الفرق'!$L$3:$L$10,"المجموعة "&amp;_xlfn.SEQUENCE($B6)),0),ROUNDDOWN(_xlfn.MINIFS('بيانات الفرق'!$M$3:$M$10,'بيانات الفرق'!$L$3:$L$10,"المجموعة "&amp;_xlfn.SEQUENCE($B6))/_xlfn.MINIFS('بيانات الفرق'!$N$3:$N$10,'بيانات الفرق'!$L$3:$L$10,"المجموعة "&amp;_xlfn.SEQUENCE($B6)),0)&amp;"–"&amp;ROUNDUP(_xlfn.MAXIFS('بيانات الفرق'!$M$3:$M$10,'بيانات الفرق'!$L$3:$L$10,"المجموعة "&amp;_xlfn.SEQUENCE($B6))/_xlfn.MINIFS('بيانات الفرق'!$N$3:$N$10,'بيانات الفرق'!$L$3:$L$10,"المجموعة "&amp;_xlfn.SEQUENCE($B6)),0)))</f>
        <v>3</v>
      </c>
      <c r="E6" s="13" t="str" cm="1">
        <f t="array" ref="E6">_xlfn.TEXTJOIN(" + ",TRUE,IF(_xlfn.MINIFS('بيانات الفرق'!$M$3:$M$10,'بيانات الفرق'!$L$3:$L$10,"المجموعة "&amp;_xlfn.SEQUENCE($B6))=_xlfn.MAXIFS('بيانات الفرق'!$M$3:$M$10,'بيانات الفرق'!$L$3:$L$10,"المجموعة "&amp;_xlfn.SEQUENCE($B6)),_xlfn.MINIFS('بيانات الفرق'!$M$3:$M$10,'بيانات الفرق'!$L$3:$L$10,"المجموعة "&amp;_xlfn.SEQUENCE($B6)),_xlfn.MINIFS('بيانات الفرق'!$M$3:$M$10,'بيانات الفرق'!$L$3:$L$10,"المجموعة "&amp;_xlfn.SEQUENCE($B6))&amp;"–"&amp;_xlfn.MAXIFS('بيانات الفرق'!$M$3:$M$10,'بيانات الفرق'!$L$3:$L$10,"المجموعة "&amp;_xlfn.SEQUENCE($B6))))</f>
        <v>21</v>
      </c>
      <c r="F6" s="4" t="str">
        <f>IF(COUNTIF('8 فرق'!$D$4:$D$1999,"*فائز ر*")&gt;0,"ربع نهائي ثم نصف نهائي ثم نهائي",IF(COUNTIF('8 فرق'!$D$4:$D$1999,"*فائز*")&gt;0,"نصف نهائي ثم نهائي",IF(COUNTIF('8 فرق'!$D$4:$D$1999,"*أول المجموعة*")&gt;0,"نهائي مباشر","—")))</f>
        <v>—</v>
      </c>
      <c r="G6" s="4">
        <f>_xlfn.MAXIFS('8 فرق'!$A$4:$A$1999,'8 فرق'!$D$4:$D$1999,"* ضد *",'8 فرق'!$D$4:$D$1999,"&lt;&gt;*فائز*",'8 فرق'!$D$4:$D$1999,"&lt;&gt;*أول المجموعة*",'8 فرق'!$D$4:$D$1999,"&lt;&gt;*المتأهل*")</f>
        <v>21</v>
      </c>
      <c r="H6" s="4">
        <f>$I6-$G6</f>
        <v>0</v>
      </c>
      <c r="I6" s="3">
        <f>_xlfn.MAXIFS('8 فرق'!$A$4:$A$1999,'8 فرق'!$D$4:$D$1999,"* ضد *")</f>
        <v>21</v>
      </c>
      <c r="J6" s="4" t="str">
        <f>MOD(HOUR(المدخلات!$B$4)-1,12)+1&amp;":"&amp;TEXT(MINUTE(المدخلات!$B$4),"00")&amp;IF(HOUR(المدخلات!$B$4)&lt;12," ص"," م")</f>
        <v>4:00 م</v>
      </c>
      <c r="K6" s="4" t="str" cm="1">
        <f t="array" ref="K6">_xlfn.LET(_xlpm.p,SUMPRODUCT(MAX((COUNTIF('8 فرق'!$B$4:$B$1999,المدخلات!$F$4:$F$7)&gt;0)*(المدخلات!$F$4:$F$7&lt;&gt;"")*ROW(المدخلات!$F$4:$F$7)))-3,_xlpm.t,INDEX(المدخلات!$F$4:$F$7,_xlpm.p),TRIM(MID(_xlpm.t,FIND("–",_xlpm.t)+1,20)))</f>
        <v>6:30 م</v>
      </c>
      <c r="L6" s="4">
        <f>_xlfn.MAXIFS('8 فرق'!$C$4:$C$1999,'8 فرق'!$D$4:$D$1999,"* ضد *")</f>
        <v>2</v>
      </c>
      <c r="M6" s="4">
        <f>ROUNDUP($L6/المدخلات!$B$9,0)</f>
        <v>1</v>
      </c>
      <c r="N6" s="1"/>
      <c r="O6" s="1"/>
      <c r="P6" s="10"/>
    </row>
    <row r="7" spans="1:16" ht="14.5">
      <c r="A7" s="14">
        <v>9</v>
      </c>
      <c r="B7" s="4" cm="1">
        <f t="array" ref="B7">ROUND(SUMPRODUCT(1/COUNTIF('بيانات الفرق'!$Q$3:$Q$11,'بيانات الفرق'!$Q$3:$Q$11)),0)</f>
        <v>1</v>
      </c>
      <c r="C7" s="13" t="str" cm="1">
        <f t="array" ref="C7">_xlfn.TEXTJOIN(" + ",TRUE,COUNTIF('بيانات الفرق'!$Q$3:$Q$11,"المجموعة "&amp;_xlfn.SEQUENCE($B7)))</f>
        <v>9</v>
      </c>
      <c r="D7" s="13" t="str" cm="1">
        <f t="array" ref="D7">_xlfn.TEXTJOIN(" + ",TRUE,IF(ROUNDDOWN(_xlfn.MINIFS('بيانات الفرق'!$R$3:$R$11,'بيانات الفرق'!$Q$3:$Q$11,"المجموعة "&amp;_xlfn.SEQUENCE($B7))/_xlfn.MINIFS('بيانات الفرق'!$S$3:$S$11,'بيانات الفرق'!$Q$3:$Q$11,"المجموعة "&amp;_xlfn.SEQUENCE($B7)),0)=ROUNDUP(_xlfn.MAXIFS('بيانات الفرق'!$R$3:$R$11,'بيانات الفرق'!$Q$3:$Q$11,"المجموعة "&amp;_xlfn.SEQUENCE($B7))/_xlfn.MINIFS('بيانات الفرق'!$S$3:$S$11,'بيانات الفرق'!$Q$3:$Q$11,"المجموعة "&amp;_xlfn.SEQUENCE($B7)),0),ROUNDDOWN(_xlfn.MINIFS('بيانات الفرق'!$R$3:$R$11,'بيانات الفرق'!$Q$3:$Q$11,"المجموعة "&amp;_xlfn.SEQUENCE($B7))/_xlfn.MINIFS('بيانات الفرق'!$S$3:$S$11,'بيانات الفرق'!$Q$3:$Q$11,"المجموعة "&amp;_xlfn.SEQUENCE($B7)),0),ROUNDDOWN(_xlfn.MINIFS('بيانات الفرق'!$R$3:$R$11,'بيانات الفرق'!$Q$3:$Q$11,"المجموعة "&amp;_xlfn.SEQUENCE($B7))/_xlfn.MINIFS('بيانات الفرق'!$S$3:$S$11,'بيانات الفرق'!$Q$3:$Q$11,"المجموعة "&amp;_xlfn.SEQUENCE($B7)),0)&amp;"–"&amp;ROUNDUP(_xlfn.MAXIFS('بيانات الفرق'!$R$3:$R$11,'بيانات الفرق'!$Q$3:$Q$11,"المجموعة "&amp;_xlfn.SEQUENCE($B7))/_xlfn.MINIFS('بيانات الفرق'!$S$3:$S$11,'بيانات الفرق'!$Q$3:$Q$11,"المجموعة "&amp;_xlfn.SEQUENCE($B7)),0)))</f>
        <v>2–3</v>
      </c>
      <c r="E7" s="13" t="str" cm="1">
        <f t="array" ref="E7">_xlfn.TEXTJOIN(" + ",TRUE,IF(_xlfn.MINIFS('بيانات الفرق'!$R$3:$R$11,'بيانات الفرق'!$Q$3:$Q$11,"المجموعة "&amp;_xlfn.SEQUENCE($B7))=_xlfn.MAXIFS('بيانات الفرق'!$R$3:$R$11,'بيانات الفرق'!$Q$3:$Q$11,"المجموعة "&amp;_xlfn.SEQUENCE($B7)),_xlfn.MINIFS('بيانات الفرق'!$R$3:$R$11,'بيانات الفرق'!$Q$3:$Q$11,"المجموعة "&amp;_xlfn.SEQUENCE($B7)),_xlfn.MINIFS('بيانات الفرق'!$R$3:$R$11,'بيانات الفرق'!$Q$3:$Q$11,"المجموعة "&amp;_xlfn.SEQUENCE($B7))&amp;"–"&amp;_xlfn.MAXIFS('بيانات الفرق'!$R$3:$R$11,'بيانات الفرق'!$Q$3:$Q$11,"المجموعة "&amp;_xlfn.SEQUENCE($B7))))</f>
        <v>18</v>
      </c>
      <c r="F7" s="4" t="str">
        <f>IF(COUNTIF('9 فرق'!$D$4:$D$1999,"*فائز ر*")&gt;0,"ربع نهائي ثم نصف نهائي ثم نهائي",IF(COUNTIF('9 فرق'!$D$4:$D$1999,"*فائز*")&gt;0,"نصف نهائي ثم نهائي",IF(COUNTIF('9 فرق'!$D$4:$D$1999,"*أول المجموعة*")&gt;0,"نهائي مباشر","—")))</f>
        <v>—</v>
      </c>
      <c r="G7" s="4">
        <f>_xlfn.MAXIFS('9 فرق'!$A$4:$A$1999,'9 فرق'!$D$4:$D$1999,"* ضد *",'9 فرق'!$D$4:$D$1999,"&lt;&gt;*فائز*",'9 فرق'!$D$4:$D$1999,"&lt;&gt;*أول المجموعة*",'9 فرق'!$D$4:$D$1999,"&lt;&gt;*المتأهل*")</f>
        <v>21</v>
      </c>
      <c r="H7" s="4">
        <f>$I7-$G7</f>
        <v>0</v>
      </c>
      <c r="I7" s="3">
        <f>_xlfn.MAXIFS('9 فرق'!$A$4:$A$1999,'9 فرق'!$D$4:$D$1999,"* ضد *")</f>
        <v>21</v>
      </c>
      <c r="J7" s="4" t="str">
        <f>MOD(HOUR(المدخلات!$B$4)-1,12)+1&amp;":"&amp;TEXT(MINUTE(المدخلات!$B$4),"00")&amp;IF(HOUR(المدخلات!$B$4)&lt;12," ص"," م")</f>
        <v>4:00 م</v>
      </c>
      <c r="K7" s="4" t="str" cm="1">
        <f t="array" ref="K7">_xlfn.LET(_xlpm.p,SUMPRODUCT(MAX((COUNTIF('9 فرق'!$B$4:$B$1999,المدخلات!$F$4:$F$7)&gt;0)*(المدخلات!$F$4:$F$7&lt;&gt;"")*ROW(المدخلات!$F$4:$F$7)))-3,_xlpm.t,INDEX(المدخلات!$F$4:$F$7,_xlpm.p),TRIM(MID(_xlpm.t,FIND("–",_xlpm.t)+1,20)))</f>
        <v>6:30 م</v>
      </c>
      <c r="L7" s="4">
        <f>_xlfn.MAXIFS('9 فرق'!$C$4:$C$1999,'9 فرق'!$D$4:$D$1999,"* ضد *")</f>
        <v>2</v>
      </c>
      <c r="M7" s="4">
        <f>ROUNDUP($L7/المدخلات!$B$9,0)</f>
        <v>1</v>
      </c>
      <c r="N7" s="1"/>
      <c r="O7" s="1"/>
      <c r="P7" s="10"/>
    </row>
    <row r="8" spans="1:16" ht="14.5">
      <c r="A8" s="14">
        <v>11</v>
      </c>
      <c r="B8" s="4" cm="1">
        <f t="array" ref="B8">ROUND(SUMPRODUCT(1/COUNTIF('بيانات الفرق'!$V$3:$V$13,'بيانات الفرق'!$V$3:$V$13)),0)</f>
        <v>1</v>
      </c>
      <c r="C8" s="13" t="str" cm="1">
        <f t="array" ref="C8">_xlfn.TEXTJOIN(" + ",TRUE,COUNTIF('بيانات الفرق'!$V$3:$V$13,"المجموعة "&amp;_xlfn.SEQUENCE($B8)))</f>
        <v>11</v>
      </c>
      <c r="D8" s="13" t="str" cm="1">
        <f t="array" ref="D8">_xlfn.TEXTJOIN(" + ",TRUE,IF(ROUNDDOWN(_xlfn.MINIFS('بيانات الفرق'!$W$3:$W$13,'بيانات الفرق'!$V$3:$V$13,"المجموعة "&amp;_xlfn.SEQUENCE($B8))/_xlfn.MINIFS('بيانات الفرق'!$X$3:$X$13,'بيانات الفرق'!$V$3:$V$13,"المجموعة "&amp;_xlfn.SEQUENCE($B8)),0)=ROUNDUP(_xlfn.MAXIFS('بيانات الفرق'!$W$3:$W$13,'بيانات الفرق'!$V$3:$V$13,"المجموعة "&amp;_xlfn.SEQUENCE($B8))/_xlfn.MINIFS('بيانات الفرق'!$X$3:$X$13,'بيانات الفرق'!$V$3:$V$13,"المجموعة "&amp;_xlfn.SEQUENCE($B8)),0),ROUNDDOWN(_xlfn.MINIFS('بيانات الفرق'!$W$3:$W$13,'بيانات الفرق'!$V$3:$V$13,"المجموعة "&amp;_xlfn.SEQUENCE($B8))/_xlfn.MINIFS('بيانات الفرق'!$X$3:$X$13,'بيانات الفرق'!$V$3:$V$13,"المجموعة "&amp;_xlfn.SEQUENCE($B8)),0),ROUNDDOWN(_xlfn.MINIFS('بيانات الفرق'!$W$3:$W$13,'بيانات الفرق'!$V$3:$V$13,"المجموعة "&amp;_xlfn.SEQUENCE($B8))/_xlfn.MINIFS('بيانات الفرق'!$X$3:$X$13,'بيانات الفرق'!$V$3:$V$13,"المجموعة "&amp;_xlfn.SEQUENCE($B8)),0)&amp;"–"&amp;ROUNDUP(_xlfn.MAXIFS('بيانات الفرق'!$W$3:$W$13,'بيانات الفرق'!$V$3:$V$13,"المجموعة "&amp;_xlfn.SEQUENCE($B8))/_xlfn.MINIFS('بيانات الفرق'!$X$3:$X$13,'بيانات الفرق'!$V$3:$V$13,"المجموعة "&amp;_xlfn.SEQUENCE($B8)),0)))</f>
        <v>2</v>
      </c>
      <c r="E8" s="13" t="str" cm="1">
        <f t="array" ref="E8">_xlfn.TEXTJOIN(" + ",TRUE,IF(_xlfn.MINIFS('بيانات الفرق'!$W$3:$W$13,'بيانات الفرق'!$V$3:$V$13,"المجموعة "&amp;_xlfn.SEQUENCE($B8))=_xlfn.MAXIFS('بيانات الفرق'!$W$3:$W$13,'بيانات الفرق'!$V$3:$V$13,"المجموعة "&amp;_xlfn.SEQUENCE($B8)),_xlfn.MINIFS('بيانات الفرق'!$W$3:$W$13,'بيانات الفرق'!$V$3:$V$13,"المجموعة "&amp;_xlfn.SEQUENCE($B8)),_xlfn.MINIFS('بيانات الفرق'!$W$3:$W$13,'بيانات الفرق'!$V$3:$V$13,"المجموعة "&amp;_xlfn.SEQUENCE($B8))&amp;"–"&amp;_xlfn.MAXIFS('بيانات الفرق'!$W$3:$W$13,'بيانات الفرق'!$V$3:$V$13,"المجموعة "&amp;_xlfn.SEQUENCE($B8))))</f>
        <v>20</v>
      </c>
      <c r="F8" s="4" t="str">
        <f>IF(COUNTIF('11 فريقًا'!$D$4:$D$1999,"*فائز ر*")&gt;0,"ربع نهائي ثم نصف نهائي ثم نهائي",IF(COUNTIF('11 فريقًا'!$D$4:$D$1999,"*فائز*")&gt;0,"نصف نهائي ثم نهائي",IF(COUNTIF('11 فريقًا'!$D$4:$D$1999,"*أول المجموعة*")&gt;0,"نهائي مباشر","—")))</f>
        <v>—</v>
      </c>
      <c r="G8" s="4">
        <f>_xlfn.MAXIFS('11 فريقًا'!$A$4:$A$1999,'11 فريقًا'!$D$4:$D$1999,"* ضد *",'11 فريقًا'!$D$4:$D$1999,"&lt;&gt;*فائز*",'11 فريقًا'!$D$4:$D$1999,"&lt;&gt;*أول المجموعة*",'11 فريقًا'!$D$4:$D$1999,"&lt;&gt;*المتأهل*")</f>
        <v>22</v>
      </c>
      <c r="H8" s="4">
        <f>$I8-$G8</f>
        <v>0</v>
      </c>
      <c r="I8" s="3">
        <f>_xlfn.MAXIFS('11 فريقًا'!$A$4:$A$1999,'11 فريقًا'!$D$4:$D$1999,"* ضد *")</f>
        <v>22</v>
      </c>
      <c r="J8" s="4" t="str">
        <f>MOD(HOUR(المدخلات!$B$4)-1,12)+1&amp;":"&amp;TEXT(MINUTE(المدخلات!$B$4),"00")&amp;IF(HOUR(المدخلات!$B$4)&lt;12," ص"," م")</f>
        <v>4:00 م</v>
      </c>
      <c r="K8" s="4" t="str" cm="1">
        <f t="array" ref="K8">_xlfn.LET(_xlpm.p,SUMPRODUCT(MAX((COUNTIF('11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8" s="4">
        <f>_xlfn.MAXIFS('11 فريقًا'!$C$4:$C$1999,'11 فريقًا'!$D$4:$D$1999,"* ضد *")</f>
        <v>2</v>
      </c>
      <c r="M8" s="4">
        <f>ROUNDUP($L8/المدخلات!$B$9,0)</f>
        <v>1</v>
      </c>
      <c r="N8" s="1"/>
      <c r="O8" s="1"/>
      <c r="P8" s="10"/>
    </row>
    <row r="9" spans="1:16" ht="14.5">
      <c r="A9" s="14">
        <v>12</v>
      </c>
      <c r="B9" s="4" cm="1">
        <f t="array" ref="B9">ROUND(SUMPRODUCT(1/COUNTIF('بيانات الفرق'!$AA$3:$AA$14,'بيانات الفرق'!$AA$3:$AA$14)),0)</f>
        <v>1</v>
      </c>
      <c r="C9" s="13" t="str" cm="1">
        <f t="array" ref="C9">_xlfn.TEXTJOIN(" + ",TRUE,COUNTIF('بيانات الفرق'!$AA$3:$AA$14,"المجموعة "&amp;_xlfn.SEQUENCE($B9)))</f>
        <v>12</v>
      </c>
      <c r="D9" s="13" t="str" cm="1">
        <f t="array" ref="D9">_xlfn.TEXTJOIN(" + ",TRUE,IF(ROUNDDOWN(_xlfn.MINIFS('بيانات الفرق'!$AB$3:$AB$14,'بيانات الفرق'!$AA$3:$AA$14,"المجموعة "&amp;_xlfn.SEQUENCE($B9))/_xlfn.MINIFS('بيانات الفرق'!$AC$3:$AC$14,'بيانات الفرق'!$AA$3:$AA$14,"المجموعة "&amp;_xlfn.SEQUENCE($B9)),0)=ROUNDUP(_xlfn.MAXIFS('بيانات الفرق'!$AB$3:$AB$14,'بيانات الفرق'!$AA$3:$AA$14,"المجموعة "&amp;_xlfn.SEQUENCE($B9))/_xlfn.MINIFS('بيانات الفرق'!$AC$3:$AC$14,'بيانات الفرق'!$AA$3:$AA$14,"المجموعة "&amp;_xlfn.SEQUENCE($B9)),0),ROUNDDOWN(_xlfn.MINIFS('بيانات الفرق'!$AB$3:$AB$14,'بيانات الفرق'!$AA$3:$AA$14,"المجموعة "&amp;_xlfn.SEQUENCE($B9))/_xlfn.MINIFS('بيانات الفرق'!$AC$3:$AC$14,'بيانات الفرق'!$AA$3:$AA$14,"المجموعة "&amp;_xlfn.SEQUENCE($B9)),0),ROUNDDOWN(_xlfn.MINIFS('بيانات الفرق'!$AB$3:$AB$14,'بيانات الفرق'!$AA$3:$AA$14,"المجموعة "&amp;_xlfn.SEQUENCE($B9))/_xlfn.MINIFS('بيانات الفرق'!$AC$3:$AC$14,'بيانات الفرق'!$AA$3:$AA$14,"المجموعة "&amp;_xlfn.SEQUENCE($B9)),0)&amp;"–"&amp;ROUNDUP(_xlfn.MAXIFS('بيانات الفرق'!$AB$3:$AB$14,'بيانات الفرق'!$AA$3:$AA$14,"المجموعة "&amp;_xlfn.SEQUENCE($B9))/_xlfn.MINIFS('بيانات الفرق'!$AC$3:$AC$14,'بيانات الفرق'!$AA$3:$AA$14,"المجموعة "&amp;_xlfn.SEQUENCE($B9)),0)))</f>
        <v>2</v>
      </c>
      <c r="E9" s="13" t="str" cm="1">
        <f t="array" ref="E9">_xlfn.TEXTJOIN(" + ",TRUE,IF(_xlfn.MINIFS('بيانات الفرق'!$AB$3:$AB$14,'بيانات الفرق'!$AA$3:$AA$14,"المجموعة "&amp;_xlfn.SEQUENCE($B9))=_xlfn.MAXIFS('بيانات الفرق'!$AB$3:$AB$14,'بيانات الفرق'!$AA$3:$AA$14,"المجموعة "&amp;_xlfn.SEQUENCE($B9)),_xlfn.MINIFS('بيانات الفرق'!$AB$3:$AB$14,'بيانات الفرق'!$AA$3:$AA$14,"المجموعة "&amp;_xlfn.SEQUENCE($B9)),_xlfn.MINIFS('بيانات الفرق'!$AB$3:$AB$14,'بيانات الفرق'!$AA$3:$AA$14,"المجموعة "&amp;_xlfn.SEQUENCE($B9))&amp;"–"&amp;_xlfn.MAXIFS('بيانات الفرق'!$AB$3:$AB$14,'بيانات الفرق'!$AA$3:$AA$14,"المجموعة "&amp;_xlfn.SEQUENCE($B9))))</f>
        <v>22</v>
      </c>
      <c r="F9" s="4" t="str">
        <f>IF(COUNTIF('12 فريقًا'!$D$4:$D$1999,"*فائز ر*")&gt;0,"ربع نهائي ثم نصف نهائي ثم نهائي",IF(COUNTIF('12 فريقًا'!$D$4:$D$1999,"*فائز*")&gt;0,"نصف نهائي ثم نهائي",IF(COUNTIF('12 فريقًا'!$D$4:$D$1999,"*أول المجموعة*")&gt;0,"نهائي مباشر","—")))</f>
        <v>—</v>
      </c>
      <c r="G9" s="4">
        <f>_xlfn.MAXIFS('12 فريقًا'!$A$4:$A$1999,'12 فريقًا'!$D$4:$D$1999,"* ضد *",'12 فريقًا'!$D$4:$D$1999,"&lt;&gt;*فائز*",'12 فريقًا'!$D$4:$D$1999,"&lt;&gt;*أول المجموعة*",'12 فريقًا'!$D$4:$D$1999,"&lt;&gt;*المتأهل*")</f>
        <v>22</v>
      </c>
      <c r="H9" s="4">
        <f>$I9-$G9</f>
        <v>0</v>
      </c>
      <c r="I9" s="3">
        <f>_xlfn.MAXIFS('12 فريقًا'!$A$4:$A$1999,'12 فريقًا'!$D$4:$D$1999,"* ضد *")</f>
        <v>22</v>
      </c>
      <c r="J9" s="4" t="str">
        <f>MOD(HOUR(المدخلات!$B$4)-1,12)+1&amp;":"&amp;TEXT(MINUTE(المدخلات!$B$4),"00")&amp;IF(HOUR(المدخلات!$B$4)&lt;12," ص"," م")</f>
        <v>4:00 م</v>
      </c>
      <c r="K9" s="4" t="str" cm="1">
        <f t="array" ref="K9">_xlfn.LET(_xlpm.p,SUMPRODUCT(MAX((COUNTIF('12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9" s="4">
        <f>_xlfn.MAXIFS('12 فريقًا'!$C$4:$C$1999,'12 فريقًا'!$D$4:$D$1999,"* ضد *")</f>
        <v>2</v>
      </c>
      <c r="M9" s="4">
        <f>ROUNDUP($L9/المدخلات!$B$9,0)</f>
        <v>1</v>
      </c>
      <c r="N9" s="1"/>
      <c r="O9" s="1"/>
      <c r="P9" s="10"/>
    </row>
    <row r="10" spans="1:16" ht="14.5">
      <c r="A10" s="14">
        <v>13</v>
      </c>
      <c r="B10" s="4" cm="1">
        <f t="array" ref="B10">ROUND(SUMPRODUCT(1/COUNTIF('بيانات الفرق'!$AF$3:$AF$15,'بيانات الفرق'!$AF$3:$AF$15)),0)</f>
        <v>2</v>
      </c>
      <c r="C10" s="13" t="str" cm="1">
        <f t="array" ref="C10">_xlfn.TEXTJOIN(" + ",TRUE,COUNTIF('بيانات الفرق'!$AF$3:$AF$15,"المجموعة "&amp;_xlfn.SEQUENCE($B10)))</f>
        <v>7 + 6</v>
      </c>
      <c r="D10" s="13" t="str" cm="1">
        <f t="array" ref="D10">_xlfn.TEXTJOIN(" + ",TRUE,IF(ROUNDDOWN(_xlfn.MINIFS('بيانات الفرق'!$AG$3:$AG$15,'بيانات الفرق'!$AF$3:$AF$15,"المجموعة "&amp;_xlfn.SEQUENCE($B10))/_xlfn.MINIFS('بيانات الفرق'!$AH$3:$AH$15,'بيانات الفرق'!$AF$3:$AF$15,"المجموعة "&amp;_xlfn.SEQUENCE($B10)),0)=ROUNDUP(_xlfn.MAXIFS('بيانات الفرق'!$AG$3:$AG$15,'بيانات الفرق'!$AF$3:$AF$15,"المجموعة "&amp;_xlfn.SEQUENCE($B10))/_xlfn.MINIFS('بيانات الفرق'!$AH$3:$AH$15,'بيانات الفرق'!$AF$3:$AF$15,"المجموعة "&amp;_xlfn.SEQUENCE($B10)),0),ROUNDDOWN(_xlfn.MINIFS('بيانات الفرق'!$AG$3:$AG$15,'بيانات الفرق'!$AF$3:$AF$15,"المجموعة "&amp;_xlfn.SEQUENCE($B10))/_xlfn.MINIFS('بيانات الفرق'!$AH$3:$AH$15,'بيانات الفرق'!$AF$3:$AF$15,"المجموعة "&amp;_xlfn.SEQUENCE($B10)),0),ROUNDDOWN(_xlfn.MINIFS('بيانات الفرق'!$AG$3:$AG$15,'بيانات الفرق'!$AF$3:$AF$15,"المجموعة "&amp;_xlfn.SEQUENCE($B10))/_xlfn.MINIFS('بيانات الفرق'!$AH$3:$AH$15,'بيانات الفرق'!$AF$3:$AF$15,"المجموعة "&amp;_xlfn.SEQUENCE($B10)),0)&amp;"–"&amp;ROUNDUP(_xlfn.MAXIFS('بيانات الفرق'!$AG$3:$AG$15,'بيانات الفرق'!$AF$3:$AF$15,"المجموعة "&amp;_xlfn.SEQUENCE($B10))/_xlfn.MINIFS('بيانات الفرق'!$AH$3:$AH$15,'بيانات الفرق'!$AF$3:$AF$15,"المجموعة "&amp;_xlfn.SEQUENCE($B10)),0)))</f>
        <v>3 + 4</v>
      </c>
      <c r="E10" s="13" t="str" cm="1">
        <f t="array" ref="E10">_xlfn.TEXTJOIN(" + ",TRUE,IF(_xlfn.MINIFS('بيانات الفرق'!$AG$3:$AG$15,'بيانات الفرق'!$AF$3:$AF$15,"المجموعة "&amp;_xlfn.SEQUENCE($B10))=_xlfn.MAXIFS('بيانات الفرق'!$AG$3:$AG$15,'بيانات الفرق'!$AF$3:$AF$15,"المجموعة "&amp;_xlfn.SEQUENCE($B10)),_xlfn.MINIFS('بيانات الفرق'!$AG$3:$AG$15,'بيانات الفرق'!$AF$3:$AF$15,"المجموعة "&amp;_xlfn.SEQUENCE($B10)),_xlfn.MINIFS('بيانات الفرق'!$AG$3:$AG$15,'بيانات الفرق'!$AF$3:$AF$15,"المجموعة "&amp;_xlfn.SEQUENCE($B10))&amp;"–"&amp;_xlfn.MAXIFS('بيانات الفرق'!$AG$3:$AG$15,'بيانات الفرق'!$AF$3:$AF$15,"المجموعة "&amp;_xlfn.SEQUENCE($B10))))</f>
        <v>18 + 20</v>
      </c>
      <c r="F10" s="4" t="str">
        <f>IF(COUNTIF('13 فريقًا'!$E$4:$E$1999,"*فائز ر*")&gt;0,"ربع نهائي ثم نصف نهائي ثم نهائي",IF(COUNTIF('13 فريقًا'!$E$4:$E$1999,"*فائز*")&gt;0,"نصف نهائي ثم نهائي",IF(COUNTIF('13 فريقًا'!$E$4:$E$1999,"*أول المجموعة*")&gt;0,"نهائي مباشر","—")))</f>
        <v>نهائي مباشر</v>
      </c>
      <c r="G10" s="4">
        <f>_xlfn.MAXIFS('13 فريقًا'!$A$4:$A$1999,'13 فريقًا'!$E$4:$E$1999,"* ضد *",'13 فريقًا'!$E$4:$E$1999,"&lt;&gt;*فائز*",'13 فريقًا'!$E$4:$E$1999,"&lt;&gt;*أول المجموعة*",'13 فريقًا'!$E$4:$E$1999,"&lt;&gt;*المتأهل*")</f>
        <v>21</v>
      </c>
      <c r="H10" s="4">
        <f>$I10-$G10</f>
        <v>1</v>
      </c>
      <c r="I10" s="3">
        <f>_xlfn.MAXIFS('13 فريقًا'!$A$4:$A$1999,'13 فريقًا'!$E$4:$E$1999,"* ضد *")</f>
        <v>22</v>
      </c>
      <c r="J10" s="4" t="str">
        <f>MOD(HOUR(المدخلات!$B$4)-1,12)+1&amp;":"&amp;TEXT(MINUTE(المدخلات!$B$4),"00")&amp;IF(HOUR(المدخلات!$B$4)&lt;12," ص"," م")</f>
        <v>4:00 م</v>
      </c>
      <c r="K10" s="4" t="str" cm="1">
        <f t="array" ref="K10">_xlfn.LET(_xlpm.p,SUMPRODUCT(MAX((COUNTIF('13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0" s="4">
        <f>_xlfn.MAXIFS('13 فريقًا'!$C$4:$C$1999,'13 فريقًا'!$E$4:$E$1999,"* ضد *")</f>
        <v>2</v>
      </c>
      <c r="M10" s="4">
        <f>ROUNDUP($L10/المدخلات!$B$9,0)</f>
        <v>1</v>
      </c>
      <c r="N10" s="1"/>
      <c r="O10" s="1"/>
      <c r="P10" s="10"/>
    </row>
    <row r="11" spans="1:16" ht="14.5">
      <c r="A11" s="14">
        <v>14</v>
      </c>
      <c r="B11" s="4" cm="1">
        <f t="array" ref="B11">ROUND(SUMPRODUCT(1/COUNTIF('بيانات الفرق'!$AK$3:$AK$16,'بيانات الفرق'!$AK$3:$AK$16)),0)</f>
        <v>2</v>
      </c>
      <c r="C11" s="13" t="str" cm="1">
        <f t="array" ref="C11">_xlfn.TEXTJOIN(" + ",TRUE,COUNTIF('بيانات الفرق'!$AK$3:$AK$16,"المجموعة "&amp;_xlfn.SEQUENCE($B11)))</f>
        <v>7 + 7</v>
      </c>
      <c r="D11" s="13" t="str" cm="1">
        <f t="array" ref="D11">_xlfn.TEXTJOIN(" + ",TRUE,IF(ROUNDDOWN(_xlfn.MINIFS('بيانات الفرق'!$AL$3:$AL$16,'بيانات الفرق'!$AK$3:$AK$16,"المجموعة "&amp;_xlfn.SEQUENCE($B11))/_xlfn.MINIFS('بيانات الفرق'!$AM$3:$AM$16,'بيانات الفرق'!$AK$3:$AK$16,"المجموعة "&amp;_xlfn.SEQUENCE($B11)),0)=ROUNDUP(_xlfn.MAXIFS('بيانات الفرق'!$AL$3:$AL$16,'بيانات الفرق'!$AK$3:$AK$16,"المجموعة "&amp;_xlfn.SEQUENCE($B11))/_xlfn.MINIFS('بيانات الفرق'!$AM$3:$AM$16,'بيانات الفرق'!$AK$3:$AK$16,"المجموعة "&amp;_xlfn.SEQUENCE($B11)),0),ROUNDDOWN(_xlfn.MINIFS('بيانات الفرق'!$AL$3:$AL$16,'بيانات الفرق'!$AK$3:$AK$16,"المجموعة "&amp;_xlfn.SEQUENCE($B11))/_xlfn.MINIFS('بيانات الفرق'!$AM$3:$AM$16,'بيانات الفرق'!$AK$3:$AK$16,"المجموعة "&amp;_xlfn.SEQUENCE($B11)),0),ROUNDDOWN(_xlfn.MINIFS('بيانات الفرق'!$AL$3:$AL$16,'بيانات الفرق'!$AK$3:$AK$16,"المجموعة "&amp;_xlfn.SEQUENCE($B11))/_xlfn.MINIFS('بيانات الفرق'!$AM$3:$AM$16,'بيانات الفرق'!$AK$3:$AK$16,"المجموعة "&amp;_xlfn.SEQUENCE($B11)),0)&amp;"–"&amp;ROUNDUP(_xlfn.MAXIFS('بيانات الفرق'!$AL$3:$AL$16,'بيانات الفرق'!$AK$3:$AK$16,"المجموعة "&amp;_xlfn.SEQUENCE($B11))/_xlfn.MINIFS('بيانات الفرق'!$AM$3:$AM$16,'بيانات الفرق'!$AK$3:$AK$16,"المجموعة "&amp;_xlfn.SEQUENCE($B11)),0)))</f>
        <v>3 + 3</v>
      </c>
      <c r="E11" s="13" t="str" cm="1">
        <f t="array" ref="E11">_xlfn.TEXTJOIN(" + ",TRUE,IF(_xlfn.MINIFS('بيانات الفرق'!$AL$3:$AL$16,'بيانات الفرق'!$AK$3:$AK$16,"المجموعة "&amp;_xlfn.SEQUENCE($B11))=_xlfn.MAXIFS('بيانات الفرق'!$AL$3:$AL$16,'بيانات الفرق'!$AK$3:$AK$16,"المجموعة "&amp;_xlfn.SEQUENCE($B11)),_xlfn.MINIFS('بيانات الفرق'!$AL$3:$AL$16,'بيانات الفرق'!$AK$3:$AK$16,"المجموعة "&amp;_xlfn.SEQUENCE($B11)),_xlfn.MINIFS('بيانات الفرق'!$AL$3:$AL$16,'بيانات الفرق'!$AK$3:$AK$16,"المجموعة "&amp;_xlfn.SEQUENCE($B11))&amp;"–"&amp;_xlfn.MAXIFS('بيانات الفرق'!$AL$3:$AL$16,'بيانات الفرق'!$AK$3:$AK$16,"المجموعة "&amp;_xlfn.SEQUENCE($B11))))</f>
        <v>18 + 18</v>
      </c>
      <c r="F11" s="4" t="str">
        <f>IF(COUNTIF('14 فريقًا'!$E$4:$E$1999,"*فائز ر*")&gt;0,"ربع نهائي ثم نصف نهائي ثم نهائي",IF(COUNTIF('14 فريقًا'!$E$4:$E$1999,"*فائز*")&gt;0,"نصف نهائي ثم نهائي",IF(COUNTIF('14 فريقًا'!$E$4:$E$1999,"*أول المجموعة*")&gt;0,"نهائي مباشر","—")))</f>
        <v>نهائي مباشر</v>
      </c>
      <c r="G11" s="4">
        <f>_xlfn.MAXIFS('14 فريقًا'!$A$4:$A$1999,'14 فريقًا'!$E$4:$E$1999,"* ضد *",'14 فريقًا'!$E$4:$E$1999,"&lt;&gt;*فائز*",'14 فريقًا'!$E$4:$E$1999,"&lt;&gt;*أول المجموعة*",'14 فريقًا'!$E$4:$E$1999,"&lt;&gt;*المتأهل*")</f>
        <v>21</v>
      </c>
      <c r="H11" s="4">
        <f>$I11-$G11</f>
        <v>1</v>
      </c>
      <c r="I11" s="3">
        <f>_xlfn.MAXIFS('14 فريقًا'!$A$4:$A$1999,'14 فريقًا'!$E$4:$E$1999,"* ضد *")</f>
        <v>22</v>
      </c>
      <c r="J11" s="4" t="str">
        <f>MOD(HOUR(المدخلات!$B$4)-1,12)+1&amp;":"&amp;TEXT(MINUTE(المدخلات!$B$4),"00")&amp;IF(HOUR(المدخلات!$B$4)&lt;12," ص"," م")</f>
        <v>4:00 م</v>
      </c>
      <c r="K11" s="4" t="str" cm="1">
        <f t="array" ref="K11">_xlfn.LET(_xlpm.p,SUMPRODUCT(MAX((COUNTIF('14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1" s="4">
        <f>_xlfn.MAXIFS('14 فريقًا'!$C$4:$C$1999,'14 فريقًا'!$E$4:$E$1999,"* ضد *")</f>
        <v>2</v>
      </c>
      <c r="M11" s="4">
        <f>ROUNDUP($L11/المدخلات!$B$9,0)</f>
        <v>1</v>
      </c>
      <c r="N11" s="1"/>
      <c r="O11" s="1"/>
      <c r="P11" s="10"/>
    </row>
    <row r="12" spans="1:16" ht="14.5">
      <c r="A12" s="14">
        <v>15</v>
      </c>
      <c r="B12" s="4" cm="1">
        <f t="array" ref="B12">ROUND(SUMPRODUCT(1/COUNTIF('بيانات الفرق'!$AP$3:$AP$17,'بيانات الفرق'!$AP$3:$AP$17)),0)</f>
        <v>2</v>
      </c>
      <c r="C12" s="13" t="str" cm="1">
        <f t="array" ref="C12">_xlfn.TEXTJOIN(" + ",TRUE,COUNTIF('بيانات الفرق'!$AP$3:$AP$17,"المجموعة "&amp;_xlfn.SEQUENCE($B12)))</f>
        <v>8 + 7</v>
      </c>
      <c r="D12" s="18" t="str" cm="1">
        <f t="array" ref="D12">_xlfn.TEXTJOIN(" + ",TRUE,IF(ROUNDDOWN(_xlfn.MINIFS('بيانات الفرق'!$AQ$3:$AQ$17,'بيانات الفرق'!$AP$3:$AP$17,"المجموعة "&amp;_xlfn.SEQUENCE($B12))/_xlfn.MINIFS('بيانات الفرق'!$AR$3:$AR$17,'بيانات الفرق'!$AP$3:$AP$17,"المجموعة "&amp;_xlfn.SEQUENCE($B12)),0)=ROUNDUP(_xlfn.MAXIFS('بيانات الفرق'!$AQ$3:$AQ$17,'بيانات الفرق'!$AP$3:$AP$17,"المجموعة "&amp;_xlfn.SEQUENCE($B12))/_xlfn.MINIFS('بيانات الفرق'!$AR$3:$AR$17,'بيانات الفرق'!$AP$3:$AP$17,"المجموعة "&amp;_xlfn.SEQUENCE($B12)),0),ROUNDDOWN(_xlfn.MINIFS('بيانات الفرق'!$AQ$3:$AQ$17,'بيانات الفرق'!$AP$3:$AP$17,"المجموعة "&amp;_xlfn.SEQUENCE($B12))/_xlfn.MINIFS('بيانات الفرق'!$AR$3:$AR$17,'بيانات الفرق'!$AP$3:$AP$17,"المجموعة "&amp;_xlfn.SEQUENCE($B12)),0),ROUNDDOWN(_xlfn.MINIFS('بيانات الفرق'!$AQ$3:$AQ$17,'بيانات الفرق'!$AP$3:$AP$17,"المجموعة "&amp;_xlfn.SEQUENCE($B12))/_xlfn.MINIFS('بيانات الفرق'!$AR$3:$AR$17,'بيانات الفرق'!$AP$3:$AP$17,"المجموعة "&amp;_xlfn.SEQUENCE($B12)),0)&amp;"–"&amp;ROUNDUP(_xlfn.MAXIFS('بيانات الفرق'!$AQ$3:$AQ$17,'بيانات الفرق'!$AP$3:$AP$17,"المجموعة "&amp;_xlfn.SEQUENCE($B12))/_xlfn.MINIFS('بيانات الفرق'!$AR$3:$AR$17,'بيانات الفرق'!$AP$3:$AP$17,"المجموعة "&amp;_xlfn.SEQUENCE($B12)),0)))</f>
        <v>3 + 3</v>
      </c>
      <c r="E12" s="13" t="str" cm="1">
        <f t="array" ref="E12">_xlfn.TEXTJOIN(" + ",TRUE,IF(_xlfn.MINIFS('بيانات الفرق'!$AQ$3:$AQ$17,'بيانات الفرق'!$AP$3:$AP$17,"المجموعة "&amp;_xlfn.SEQUENCE($B12))=_xlfn.MAXIFS('بيانات الفرق'!$AQ$3:$AQ$17,'بيانات الفرق'!$AP$3:$AP$17,"المجموعة "&amp;_xlfn.SEQUENCE($B12)),_xlfn.MINIFS('بيانات الفرق'!$AQ$3:$AQ$17,'بيانات الفرق'!$AP$3:$AP$17,"المجموعة "&amp;_xlfn.SEQUENCE($B12)),_xlfn.MINIFS('بيانات الفرق'!$AQ$3:$AQ$17,'بيانات الفرق'!$AP$3:$AP$17,"المجموعة "&amp;_xlfn.SEQUENCE($B12))&amp;"–"&amp;_xlfn.MAXIFS('بيانات الفرق'!$AQ$3:$AQ$17,'بيانات الفرق'!$AP$3:$AP$17,"المجموعة "&amp;_xlfn.SEQUENCE($B12))))</f>
        <v>21 + 18</v>
      </c>
      <c r="F12" s="4" t="str">
        <f>IF(COUNTIF('15 فريقًا'!$E$4:$E$1999,"*فائز ر*")&gt;0,"ربع نهائي ثم نصف نهائي ثم نهائي",IF(COUNTIF('15 فريقًا'!$E$4:$E$1999,"*فائز*")&gt;0,"نصف نهائي ثم نهائي",IF(COUNTIF('15 فريقًا'!$E$4:$E$1999,"*أول المجموعة*")&gt;0,"نهائي مباشر","—")))</f>
        <v>نهائي مباشر</v>
      </c>
      <c r="G12" s="4">
        <f>_xlfn.MAXIFS('15 فريقًا'!$A$4:$A$1999,'15 فريقًا'!$E$4:$E$1999,"* ضد *",'15 فريقًا'!$E$4:$E$1999,"&lt;&gt;*فائز*",'15 فريقًا'!$E$4:$E$1999,"&lt;&gt;*أول المجموعة*",'15 فريقًا'!$E$4:$E$1999,"&lt;&gt;*المتأهل*")</f>
        <v>21</v>
      </c>
      <c r="H12" s="4">
        <f>$I12-$G12</f>
        <v>1</v>
      </c>
      <c r="I12" s="3">
        <f>_xlfn.MAXIFS('15 فريقًا'!$A$4:$A$1999,'15 فريقًا'!$E$4:$E$1999,"* ضد *")</f>
        <v>22</v>
      </c>
      <c r="J12" s="4" t="str">
        <f>MOD(HOUR(المدخلات!$B$4)-1,12)+1&amp;":"&amp;TEXT(MINUTE(المدخلات!$B$4),"00")&amp;IF(HOUR(المدخلات!$B$4)&lt;12," ص"," م")</f>
        <v>4:00 م</v>
      </c>
      <c r="K12" s="4" t="str" cm="1">
        <f t="array" ref="K12">_xlfn.LET(_xlpm.p,SUMPRODUCT(MAX((COUNTIF('15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2" s="4">
        <f>_xlfn.MAXIFS('15 فريقًا'!$C$4:$C$1999,'15 فريقًا'!$E$4:$E$1999,"* ضد *")</f>
        <v>3</v>
      </c>
      <c r="M12" s="4">
        <f>ROUNDUP($L12/المدخلات!$B$9,0)</f>
        <v>2</v>
      </c>
      <c r="N12" s="1"/>
      <c r="O12" s="1"/>
      <c r="P12" s="10"/>
    </row>
    <row r="13" spans="1:16" ht="14.5">
      <c r="A13" s="14">
        <v>16</v>
      </c>
      <c r="B13" s="4" cm="1">
        <f t="array" ref="B13">ROUND(SUMPRODUCT(1/COUNTIF('بيانات الفرق'!$AU$3:$AU$18,'بيانات الفرق'!$AU$3:$AU$18)),0)</f>
        <v>2</v>
      </c>
      <c r="C13" s="13" t="str" cm="1">
        <f t="array" ref="C13">_xlfn.TEXTJOIN(" + ",TRUE,COUNTIF('بيانات الفرق'!$AU$3:$AU$18,"المجموعة "&amp;_xlfn.SEQUENCE($B13)))</f>
        <v>8 + 8</v>
      </c>
      <c r="D13" s="18" t="str" cm="1">
        <f t="array" ref="D13">_xlfn.TEXTJOIN(" + ",TRUE,IF(ROUNDDOWN(_xlfn.MINIFS('بيانات الفرق'!$AV$3:$AV$18,'بيانات الفرق'!$AU$3:$AU$18,"المجموعة "&amp;_xlfn.SEQUENCE($B13))/_xlfn.MINIFS('بيانات الفرق'!$AW$3:$AW$18,'بيانات الفرق'!$AU$3:$AU$18,"المجموعة "&amp;_xlfn.SEQUENCE($B13)),0)=ROUNDUP(_xlfn.MAXIFS('بيانات الفرق'!$AV$3:$AV$18,'بيانات الفرق'!$AU$3:$AU$18,"المجموعة "&amp;_xlfn.SEQUENCE($B13))/_xlfn.MINIFS('بيانات الفرق'!$AW$3:$AW$18,'بيانات الفرق'!$AU$3:$AU$18,"المجموعة "&amp;_xlfn.SEQUENCE($B13)),0),ROUNDDOWN(_xlfn.MINIFS('بيانات الفرق'!$AV$3:$AV$18,'بيانات الفرق'!$AU$3:$AU$18,"المجموعة "&amp;_xlfn.SEQUENCE($B13))/_xlfn.MINIFS('بيانات الفرق'!$AW$3:$AW$18,'بيانات الفرق'!$AU$3:$AU$18,"المجموعة "&amp;_xlfn.SEQUENCE($B13)),0),ROUNDDOWN(_xlfn.MINIFS('بيانات الفرق'!$AV$3:$AV$18,'بيانات الفرق'!$AU$3:$AU$18,"المجموعة "&amp;_xlfn.SEQUENCE($B13))/_xlfn.MINIFS('بيانات الفرق'!$AW$3:$AW$18,'بيانات الفرق'!$AU$3:$AU$18,"المجموعة "&amp;_xlfn.SEQUENCE($B13)),0)&amp;"–"&amp;ROUNDUP(_xlfn.MAXIFS('بيانات الفرق'!$AV$3:$AV$18,'بيانات الفرق'!$AU$3:$AU$18,"المجموعة "&amp;_xlfn.SEQUENCE($B13))/_xlfn.MINIFS('بيانات الفرق'!$AW$3:$AW$18,'بيانات الفرق'!$AU$3:$AU$18,"المجموعة "&amp;_xlfn.SEQUENCE($B13)),0)))</f>
        <v>3 + 3</v>
      </c>
      <c r="E13" s="13" t="str" cm="1">
        <f t="array" ref="E13">_xlfn.TEXTJOIN(" + ",TRUE,IF(_xlfn.MINIFS('بيانات الفرق'!$AV$3:$AV$18,'بيانات الفرق'!$AU$3:$AU$18,"المجموعة "&amp;_xlfn.SEQUENCE($B13))=_xlfn.MAXIFS('بيانات الفرق'!$AV$3:$AV$18,'بيانات الفرق'!$AU$3:$AU$18,"المجموعة "&amp;_xlfn.SEQUENCE($B13)),_xlfn.MINIFS('بيانات الفرق'!$AV$3:$AV$18,'بيانات الفرق'!$AU$3:$AU$18,"المجموعة "&amp;_xlfn.SEQUENCE($B13)),_xlfn.MINIFS('بيانات الفرق'!$AV$3:$AV$18,'بيانات الفرق'!$AU$3:$AU$18,"المجموعة "&amp;_xlfn.SEQUENCE($B13))&amp;"–"&amp;_xlfn.MAXIFS('بيانات الفرق'!$AV$3:$AV$18,'بيانات الفرق'!$AU$3:$AU$18,"المجموعة "&amp;_xlfn.SEQUENCE($B13))))</f>
        <v>21 + 21</v>
      </c>
      <c r="F13" s="4" t="str">
        <f>IF(COUNTIF('16 فريقًا'!$E$4:$E$1999,"*فائز ر*")&gt;0,"ربع نهائي ثم نصف نهائي ثم نهائي",IF(COUNTIF('16 فريقًا'!$E$4:$E$1999,"*فائز*")&gt;0,"نصف نهائي ثم نهائي",IF(COUNTIF('16 فريقًا'!$E$4:$E$1999,"*أول المجموعة*")&gt;0,"نهائي مباشر","—")))</f>
        <v>نهائي مباشر</v>
      </c>
      <c r="G13" s="4">
        <f>_xlfn.MAXIFS('16 فريقًا'!$A$4:$A$1999,'16 فريقًا'!$E$4:$E$1999,"* ضد *",'16 فريقًا'!$E$4:$E$1999,"&lt;&gt;*فائز*",'16 فريقًا'!$E$4:$E$1999,"&lt;&gt;*أول المجموعة*",'16 فريقًا'!$E$4:$E$1999,"&lt;&gt;*المتأهل*")</f>
        <v>21</v>
      </c>
      <c r="H13" s="4">
        <f>$I13-$G13</f>
        <v>1</v>
      </c>
      <c r="I13" s="3">
        <f>_xlfn.MAXIFS('16 فريقًا'!$A$4:$A$1999,'16 فريقًا'!$E$4:$E$1999,"* ضد *")</f>
        <v>22</v>
      </c>
      <c r="J13" s="4" t="str">
        <f>MOD(HOUR(المدخلات!$B$4)-1,12)+1&amp;":"&amp;TEXT(MINUTE(المدخلات!$B$4),"00")&amp;IF(HOUR(المدخلات!$B$4)&lt;12," ص"," م")</f>
        <v>4:00 م</v>
      </c>
      <c r="K13" s="4" t="str" cm="1">
        <f t="array" ref="K13">_xlfn.LET(_xlpm.p,SUMPRODUCT(MAX((COUNTIF('16 فريقًا'!$B$4:$B$1999,المدخلات!$F$4:$F$7)&gt;0)*(المدخلات!$F$4:$F$7&lt;&gt;"")*ROW(المدخلات!$F$4:$F$7)))-3,_xlpm.t,INDEX(المدخلات!$F$4:$F$7,_xlpm.p),TRIM(MID(_xlpm.t,FIND("–",_xlpm.t)+1,20)))</f>
        <v>6:30 م</v>
      </c>
      <c r="L13" s="4">
        <f>_xlfn.MAXIFS('16 فريقًا'!$C$4:$C$1999,'16 فريقًا'!$E$4:$E$1999,"* ضد *")</f>
        <v>4</v>
      </c>
      <c r="M13" s="4">
        <f>ROUNDUP($L13/المدخلات!$B$9,0)</f>
        <v>2</v>
      </c>
      <c r="N13" s="1"/>
      <c r="O13" s="1"/>
      <c r="P13" s="10"/>
    </row>
    <row r="14" spans="1:16" ht="14.5">
      <c r="A14" s="14">
        <v>17</v>
      </c>
      <c r="B14" s="4" cm="1">
        <f t="array" ref="B14">ROUND(SUMPRODUCT(1/COUNTIF('بيانات الفرق'!$AZ$3:$AZ$19,'بيانات الفرق'!$AZ$3:$AZ$19)),0)</f>
        <v>1</v>
      </c>
      <c r="C14" s="13" t="str" cm="1">
        <f t="array" ref="C14">_xlfn.TEXTJOIN(" + ",TRUE,COUNTIF('بيانات الفرق'!$AZ$3:$AZ$19,"المجموعة "&amp;_xlfn.SEQUENCE($B14)))</f>
        <v>17</v>
      </c>
      <c r="D14" s="18" t="str" cm="1">
        <f t="array" ref="D14">_xlfn.TEXTJOIN(" + ",TRUE,IF(ROUNDDOWN(_xlfn.MINIFS('بيانات الفرق'!$BA$3:$BA$19,'بيانات الفرق'!$AZ$3:$AZ$19,"المجموعة "&amp;_xlfn.SEQUENCE($B14))/_xlfn.MINIFS('بيانات الفرق'!$BB$3:$BB$19,'بيانات الفرق'!$AZ$3:$AZ$19,"المجموعة "&amp;_xlfn.SEQUENCE($B14)),0)=ROUNDUP(_xlfn.MAXIFS('بيانات الفرق'!$BA$3:$BA$19,'بيانات الفرق'!$AZ$3:$AZ$19,"المجموعة "&amp;_xlfn.SEQUENCE($B14))/_xlfn.MINIFS('بيانات الفرق'!$BB$3:$BB$19,'بيانات الفرق'!$AZ$3:$AZ$19,"المجموعة "&amp;_xlfn.SEQUENCE($B14)),0),ROUNDDOWN(_xlfn.MINIFS('بيانات الفرق'!$BA$3:$BA$19,'بيانات الفرق'!$AZ$3:$AZ$19,"المجموعة "&amp;_xlfn.SEQUENCE($B14))/_xlfn.MINIFS('بيانات الفرق'!$BB$3:$BB$19,'بيانات الفرق'!$AZ$3:$AZ$19,"المجموعة "&amp;_xlfn.SEQUENCE($B14)),0),ROUNDDOWN(_xlfn.MINIFS('بيانات الفرق'!$BA$3:$BA$19,'بيانات الفرق'!$AZ$3:$AZ$19,"المجموعة "&amp;_xlfn.SEQUENCE($B14))/_xlfn.MINIFS('بيانات الفرق'!$BB$3:$BB$19,'بيانات الفرق'!$AZ$3:$AZ$19,"المجموعة "&amp;_xlfn.SEQUENCE($B14)),0)&amp;"–"&amp;ROUNDUP(_xlfn.MAXIFS('بيانات الفرق'!$BA$3:$BA$19,'بيانات الفرق'!$AZ$3:$AZ$19,"المجموعة "&amp;_xlfn.SEQUENCE($B14))/_xlfn.MINIFS('بيانات الفرق'!$BB$3:$BB$19,'بيانات الفرق'!$AZ$3:$AZ$19,"المجموعة "&amp;_xlfn.SEQUENCE($B14)),0)))</f>
        <v>1–2</v>
      </c>
      <c r="E14" s="13" t="str" cm="1">
        <f t="array" ref="E14">_xlfn.TEXTJOIN(" + ",TRUE,IF(_xlfn.MINIFS('بيانات الفرق'!$BA$3:$BA$19,'بيانات الفرق'!$AZ$3:$AZ$19,"المجموعة "&amp;_xlfn.SEQUENCE($B14))=_xlfn.MAXIFS('بيانات الفرق'!$BA$3:$BA$19,'بيانات الفرق'!$AZ$3:$AZ$19,"المجموعة "&amp;_xlfn.SEQUENCE($B14)),_xlfn.MINIFS('بيانات الفرق'!$BA$3:$BA$19,'بيانات الفرق'!$AZ$3:$AZ$19,"المجموعة "&amp;_xlfn.SEQUENCE($B14)),_xlfn.MINIFS('بيانات الفرق'!$BA$3:$BA$19,'بيانات الفرق'!$AZ$3:$AZ$19,"المجموعة "&amp;_xlfn.SEQUENCE($B14))&amp;"–"&amp;_xlfn.MAXIFS('بيانات الفرق'!$BA$3:$BA$19,'بيانات الفرق'!$AZ$3:$AZ$19,"المجموعة "&amp;_xlfn.SEQUENCE($B14))))</f>
        <v>18</v>
      </c>
      <c r="F14" s="4" t="str">
        <f>IF(COUNTIF('17 فريقًا'!$D$4:$D$1999,"*فائز ر*")&gt;0,"ربع نهائي ثم نصف نهائي ثم نهائي",IF(COUNTIF('17 فريقًا'!$D$4:$D$1999,"*فائز*")&gt;0,"نصف نهائي ثم نهائي",IF(COUNTIF('17 فريقًا'!$D$4:$D$1999,"*أول المجموعة*")&gt;0,"نهائي مباشر","—")))</f>
        <v>—</v>
      </c>
      <c r="G14" s="4">
        <f>_xlfn.MAXIFS('17 فريقًا'!$A$4:$A$1999,'17 فريقًا'!$D$4:$D$1999,"* ضد *",'17 فريقًا'!$D$4:$D$1999,"&lt;&gt;*فائز*",'17 فريقًا'!$D$4:$D$1999,"&lt;&gt;*أول المجموعة*",'17 فريقًا'!$D$4:$D$1999,"&lt;&gt;*المتأهل*")</f>
        <v>20</v>
      </c>
      <c r="H14" s="4">
        <f>$I14-$G14</f>
        <v>0</v>
      </c>
      <c r="I14" s="3">
        <f>_xlfn.MAXIFS('17 فريقًا'!$A$4:$A$1999,'17 فريقًا'!$D$4:$D$1999,"* ضد *")</f>
        <v>20</v>
      </c>
      <c r="J14" s="4" t="str">
        <f>MOD(HOUR(المدخلات!$B$4)-1,12)+1&amp;":"&amp;TEXT(MINUTE(المدخلات!$B$4),"00")&amp;IF(HOUR(المدخلات!$B$4)&lt;12," ص"," م")</f>
        <v>4:00 م</v>
      </c>
      <c r="K14" s="4" t="str" cm="1">
        <f t="array" ref="K14">_xlfn.LET(_xlpm.p,SUMPRODUCT(MAX((COUNTIF('17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4" s="4">
        <f>_xlfn.MAXIFS('17 فريقًا'!$C$4:$C$1999,'17 فريقًا'!$D$4:$D$1999,"* ضد *")</f>
        <v>3</v>
      </c>
      <c r="M14" s="4">
        <f>ROUNDUP($L14/المدخلات!$B$9,0)</f>
        <v>2</v>
      </c>
      <c r="N14" s="1"/>
      <c r="O14" s="1"/>
      <c r="P14" s="10"/>
    </row>
    <row r="15" spans="1:16" ht="14.5">
      <c r="A15" s="14">
        <v>18</v>
      </c>
      <c r="B15" s="4" cm="1">
        <f t="array" ref="B15">ROUND(SUMPRODUCT(1/COUNTIF('بيانات الفرق'!$BE$3:$BE$20,'بيانات الفرق'!$BE$3:$BE$20)),0)</f>
        <v>3</v>
      </c>
      <c r="C15" s="13" t="str" cm="1">
        <f t="array" ref="C15">_xlfn.TEXTJOIN(" + ",TRUE,COUNTIF('بيانات الفرق'!$BE$3:$BE$20,"المجموعة "&amp;_xlfn.SEQUENCE($B15)))</f>
        <v>6 + 6 + 6</v>
      </c>
      <c r="D15" s="18" t="str" cm="1">
        <f t="array" ref="D15">_xlfn.TEXTJOIN(" + ",TRUE,IF(ROUNDDOWN(_xlfn.MINIFS('بيانات الفرق'!$BF$3:$BF$20,'بيانات الفرق'!$BE$3:$BE$20,"المجموعة "&amp;_xlfn.SEQUENCE($B15))/_xlfn.MINIFS('بيانات الفرق'!$BG$3:$BG$20,'بيانات الفرق'!$BE$3:$BE$20,"المجموعة "&amp;_xlfn.SEQUENCE($B15)),0)=ROUNDUP(_xlfn.MAXIFS('بيانات الفرق'!$BF$3:$BF$20,'بيانات الفرق'!$BE$3:$BE$20,"المجموعة "&amp;_xlfn.SEQUENCE($B15))/_xlfn.MINIFS('بيانات الفرق'!$BG$3:$BG$20,'بيانات الفرق'!$BE$3:$BE$20,"المجموعة "&amp;_xlfn.SEQUENCE($B15)),0),ROUNDDOWN(_xlfn.MINIFS('بيانات الفرق'!$BF$3:$BF$20,'بيانات الفرق'!$BE$3:$BE$20,"المجموعة "&amp;_xlfn.SEQUENCE($B15))/_xlfn.MINIFS('بيانات الفرق'!$BG$3:$BG$20,'بيانات الفرق'!$BE$3:$BE$20,"المجموعة "&amp;_xlfn.SEQUENCE($B15)),0),ROUNDDOWN(_xlfn.MINIFS('بيانات الفرق'!$BF$3:$BF$20,'بيانات الفرق'!$BE$3:$BE$20,"المجموعة "&amp;_xlfn.SEQUENCE($B15))/_xlfn.MINIFS('بيانات الفرق'!$BG$3:$BG$20,'بيانات الفرق'!$BE$3:$BE$20,"المجموعة "&amp;_xlfn.SEQUENCE($B15)),0)&amp;"–"&amp;ROUNDUP(_xlfn.MAXIFS('بيانات الفرق'!$BF$3:$BF$20,'بيانات الفرق'!$BE$3:$BE$20,"المجموعة "&amp;_xlfn.SEQUENCE($B15))/_xlfn.MINIFS('بيانات الفرق'!$BG$3:$BG$20,'بيانات الفرق'!$BE$3:$BE$20,"المجموعة "&amp;_xlfn.SEQUENCE($B15)),0)))</f>
        <v>4 + 4 + 4</v>
      </c>
      <c r="E15" s="13" t="str" cm="1">
        <f t="array" ref="E15">_xlfn.TEXTJOIN(" + ",TRUE,IF(_xlfn.MINIFS('بيانات الفرق'!$BF$3:$BF$20,'بيانات الفرق'!$BE$3:$BE$20,"المجموعة "&amp;_xlfn.SEQUENCE($B15))=_xlfn.MAXIFS('بيانات الفرق'!$BF$3:$BF$20,'بيانات الفرق'!$BE$3:$BE$20,"المجموعة "&amp;_xlfn.SEQUENCE($B15)),_xlfn.MINIFS('بيانات الفرق'!$BF$3:$BF$20,'بيانات الفرق'!$BE$3:$BE$20,"المجموعة "&amp;_xlfn.SEQUENCE($B15)),_xlfn.MINIFS('بيانات الفرق'!$BF$3:$BF$20,'بيانات الفرق'!$BE$3:$BE$20,"المجموعة "&amp;_xlfn.SEQUENCE($B15))&amp;"–"&amp;_xlfn.MAXIFS('بيانات الفرق'!$BF$3:$BF$20,'بيانات الفرق'!$BE$3:$BE$20,"المجموعة "&amp;_xlfn.SEQUENCE($B15))))</f>
        <v>20 + 20 + 20</v>
      </c>
      <c r="F15" s="4" t="str">
        <f>IF(COUNTIF('18 فريقًا'!$E$4:$E$1999,"*فائز ر*")&gt;0,"ربع نهائي ثم نصف نهائي ثم نهائي",IF(COUNTIF('18 فريقًا'!$E$4:$E$1999,"*فائز*")&gt;0,"نصف نهائي ثم نهائي",IF(COUNTIF('18 فريقًا'!$E$4:$E$1999,"*أول المجموعة*")&gt;0,"نهائي مباشر","—")))</f>
        <v>نصف نهائي ثم نهائي</v>
      </c>
      <c r="G15" s="4">
        <f>_xlfn.MAXIFS('18 فريقًا'!$A$4:$A$1999,'18 فريقًا'!$E$4:$E$1999,"* ضد *",'18 فريقًا'!$E$4:$E$1999,"&lt;&gt;*فائز*",'18 فريقًا'!$E$4:$E$1999,"&lt;&gt;*أول المجموعة*",'18 فريقًا'!$E$4:$E$1999,"&lt;&gt;*المتأهل*")</f>
        <v>20</v>
      </c>
      <c r="H15" s="4">
        <f>$I15-$G15</f>
        <v>2</v>
      </c>
      <c r="I15" s="3">
        <f>_xlfn.MAXIFS('18 فريقًا'!$A$4:$A$1999,'18 فريقًا'!$E$4:$E$1999,"* ضد *")</f>
        <v>22</v>
      </c>
      <c r="J15" s="4" t="str">
        <f>MOD(HOUR(المدخلات!$B$4)-1,12)+1&amp;":"&amp;TEXT(MINUTE(المدخلات!$B$4),"00")&amp;IF(HOUR(المدخلات!$B$4)&lt;12," ص"," م")</f>
        <v>4:00 م</v>
      </c>
      <c r="K15" s="4" t="str" cm="1">
        <f t="array" ref="K15">_xlfn.LET(_xlpm.p,SUMPRODUCT(MAX((COUNTIF('18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5" s="4">
        <f>_xlfn.MAXIFS('18 فريقًا'!$C$4:$C$1999,'18 فريقًا'!$E$4:$E$1999,"* ضد *")</f>
        <v>3</v>
      </c>
      <c r="M15" s="4">
        <f>ROUNDUP($L15/المدخلات!$B$9,0)</f>
        <v>2</v>
      </c>
      <c r="N15" s="1"/>
      <c r="O15" s="1"/>
      <c r="P15" s="10"/>
    </row>
    <row r="16" spans="1:16" ht="14.5">
      <c r="A16" s="14">
        <v>19</v>
      </c>
      <c r="B16" s="4" cm="1">
        <f t="array" ref="B16">ROUND(SUMPRODUCT(1/COUNTIF('بيانات الفرق'!$BJ$3:$BJ$21,'بيانات الفرق'!$BJ$3:$BJ$21)),0)</f>
        <v>1</v>
      </c>
      <c r="C16" s="13" t="str" cm="1">
        <f t="array" ref="C16">_xlfn.TEXTJOIN(" + ",TRUE,COUNTIF('بيانات الفرق'!$BJ$3:$BJ$21,"المجموعة "&amp;_xlfn.SEQUENCE($B16)))</f>
        <v>19</v>
      </c>
      <c r="D16" s="18" t="str" cm="1">
        <f t="array" ref="D16">_xlfn.TEXTJOIN(" + ",TRUE,IF(ROUNDDOWN(_xlfn.MINIFS('بيانات الفرق'!$BK$3:$BK$21,'بيانات الفرق'!$BJ$3:$BJ$21,"المجموعة "&amp;_xlfn.SEQUENCE($B16))/_xlfn.MINIFS('بيانات الفرق'!$BL$3:$BL$21,'بيانات الفرق'!$BJ$3:$BJ$21,"المجموعة "&amp;_xlfn.SEQUENCE($B16)),0)=ROUNDUP(_xlfn.MAXIFS('بيانات الفرق'!$BK$3:$BK$21,'بيانات الفرق'!$BJ$3:$BJ$21,"المجموعة "&amp;_xlfn.SEQUENCE($B16))/_xlfn.MINIFS('بيانات الفرق'!$BL$3:$BL$21,'بيانات الفرق'!$BJ$3:$BJ$21,"المجموعة "&amp;_xlfn.SEQUENCE($B16)),0),ROUNDDOWN(_xlfn.MINIFS('بيانات الفرق'!$BK$3:$BK$21,'بيانات الفرق'!$BJ$3:$BJ$21,"المجموعة "&amp;_xlfn.SEQUENCE($B16))/_xlfn.MINIFS('بيانات الفرق'!$BL$3:$BL$21,'بيانات الفرق'!$BJ$3:$BJ$21,"المجموعة "&amp;_xlfn.SEQUENCE($B16)),0),ROUNDDOWN(_xlfn.MINIFS('بيانات الفرق'!$BK$3:$BK$21,'بيانات الفرق'!$BJ$3:$BJ$21,"المجموعة "&amp;_xlfn.SEQUENCE($B16))/_xlfn.MINIFS('بيانات الفرق'!$BL$3:$BL$21,'بيانات الفرق'!$BJ$3:$BJ$21,"المجموعة "&amp;_xlfn.SEQUENCE($B16)),0)&amp;"–"&amp;ROUNDUP(_xlfn.MAXIFS('بيانات الفرق'!$BK$3:$BK$21,'بيانات الفرق'!$BJ$3:$BJ$21,"المجموعة "&amp;_xlfn.SEQUENCE($B16))/_xlfn.MINIFS('بيانات الفرق'!$BL$3:$BL$21,'بيانات الفرق'!$BJ$3:$BJ$21,"المجموعة "&amp;_xlfn.SEQUENCE($B16)),0)))</f>
        <v>1</v>
      </c>
      <c r="E16" s="13" t="str" cm="1">
        <f t="array" ref="E16">_xlfn.TEXTJOIN(" + ",TRUE,IF(_xlfn.MINIFS('بيانات الفرق'!$BK$3:$BK$21,'بيانات الفرق'!$BJ$3:$BJ$21,"المجموعة "&amp;_xlfn.SEQUENCE($B16))=_xlfn.MAXIFS('بيانات الفرق'!$BK$3:$BK$21,'بيانات الفرق'!$BJ$3:$BJ$21,"المجموعة "&amp;_xlfn.SEQUENCE($B16)),_xlfn.MINIFS('بيانات الفرق'!$BK$3:$BK$21,'بيانات الفرق'!$BJ$3:$BJ$21,"المجموعة "&amp;_xlfn.SEQUENCE($B16)),_xlfn.MINIFS('بيانات الفرق'!$BK$3:$BK$21,'بيانات الفرق'!$BJ$3:$BJ$21,"المجموعة "&amp;_xlfn.SEQUENCE($B16))&amp;"–"&amp;_xlfn.MAXIFS('بيانات الفرق'!$BK$3:$BK$21,'بيانات الفرق'!$BJ$3:$BJ$21,"المجموعة "&amp;_xlfn.SEQUENCE($B16))))</f>
        <v>18</v>
      </c>
      <c r="F16" s="4" t="str">
        <f>IF(COUNTIF('19 فريقًا'!$D$4:$D$1999,"*فائز ر*")&gt;0,"ربع نهائي ثم نصف نهائي ثم نهائي",IF(COUNTIF('19 فريقًا'!$D$4:$D$1999,"*فائز*")&gt;0,"نصف نهائي ثم نهائي",IF(COUNTIF('19 فريقًا'!$D$4:$D$1999,"*أول المجموعة*")&gt;0,"نهائي مباشر","—")))</f>
        <v>—</v>
      </c>
      <c r="G16" s="4">
        <f>_xlfn.MAXIFS('19 فريقًا'!$A$4:$A$1999,'19 فريقًا'!$D$4:$D$1999,"* ضد *",'19 فريقًا'!$D$4:$D$1999,"&lt;&gt;*فائز*",'19 فريقًا'!$D$4:$D$1999,"&lt;&gt;*أول المجموعة*",'19 فريقًا'!$D$4:$D$1999,"&lt;&gt;*المتأهل*")</f>
        <v>19</v>
      </c>
      <c r="H16" s="4">
        <f>$I16-$G16</f>
        <v>0</v>
      </c>
      <c r="I16" s="3">
        <f>_xlfn.MAXIFS('19 فريقًا'!$A$4:$A$1999,'19 فريقًا'!$D$4:$D$1999,"* ضد *")</f>
        <v>19</v>
      </c>
      <c r="J16" s="4" t="str">
        <f>MOD(HOUR(المدخلات!$B$4)-1,12)+1&amp;":"&amp;TEXT(MINUTE(المدخلات!$B$4),"00")&amp;IF(HOUR(المدخلات!$B$4)&lt;12," ص"," م")</f>
        <v>4:00 م</v>
      </c>
      <c r="K16" s="4" t="str" cm="1">
        <f t="array" ref="K16">_xlfn.LET(_xlpm.p,SUMPRODUCT(MAX((COUNTIF('19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6" s="4">
        <f>_xlfn.MAXIFS('19 فريقًا'!$C$4:$C$1999,'19 فريقًا'!$D$4:$D$1999,"* ضد *")</f>
        <v>3</v>
      </c>
      <c r="M16" s="4">
        <f>ROUNDUP($L16/المدخلات!$B$9,0)</f>
        <v>2</v>
      </c>
      <c r="N16" s="1"/>
      <c r="O16" s="1"/>
      <c r="P16" s="10"/>
    </row>
    <row r="17" spans="1:16" ht="14.5">
      <c r="A17" s="14">
        <v>20</v>
      </c>
      <c r="B17" s="4" cm="1">
        <f t="array" ref="B17">ROUND(SUMPRODUCT(1/COUNTIF('بيانات الفرق'!$BO$3:$BO$22,'بيانات الفرق'!$BO$3:$BO$22)),0)</f>
        <v>1</v>
      </c>
      <c r="C17" s="13" t="str" cm="1">
        <f t="array" ref="C17">_xlfn.TEXTJOIN(" + ",TRUE,COUNTIF('بيانات الفرق'!$BO$3:$BO$22,"المجموعة "&amp;_xlfn.SEQUENCE($B17)))</f>
        <v>20</v>
      </c>
      <c r="D17" s="18" t="str" cm="1">
        <f t="array" ref="D17">_xlfn.TEXTJOIN(" + ",TRUE,IF(ROUNDDOWN(_xlfn.MINIFS('بيانات الفرق'!$BP$3:$BP$22,'بيانات الفرق'!$BO$3:$BO$22,"المجموعة "&amp;_xlfn.SEQUENCE($B17))/_xlfn.MINIFS('بيانات الفرق'!$BQ$3:$BQ$22,'بيانات الفرق'!$BO$3:$BO$22,"المجموعة "&amp;_xlfn.SEQUENCE($B17)),0)=ROUNDUP(_xlfn.MAXIFS('بيانات الفرق'!$BP$3:$BP$22,'بيانات الفرق'!$BO$3:$BO$22,"المجموعة "&amp;_xlfn.SEQUENCE($B17))/_xlfn.MINIFS('بيانات الفرق'!$BQ$3:$BQ$22,'بيانات الفرق'!$BO$3:$BO$22,"المجموعة "&amp;_xlfn.SEQUENCE($B17)),0),ROUNDDOWN(_xlfn.MINIFS('بيانات الفرق'!$BP$3:$BP$22,'بيانات الفرق'!$BO$3:$BO$22,"المجموعة "&amp;_xlfn.SEQUENCE($B17))/_xlfn.MINIFS('بيانات الفرق'!$BQ$3:$BQ$22,'بيانات الفرق'!$BO$3:$BO$22,"المجموعة "&amp;_xlfn.SEQUENCE($B17)),0),ROUNDDOWN(_xlfn.MINIFS('بيانات الفرق'!$BP$3:$BP$22,'بيانات الفرق'!$BO$3:$BO$22,"المجموعة "&amp;_xlfn.SEQUENCE($B17))/_xlfn.MINIFS('بيانات الفرق'!$BQ$3:$BQ$22,'بيانات الفرق'!$BO$3:$BO$22,"المجموعة "&amp;_xlfn.SEQUENCE($B17)),0)&amp;"–"&amp;ROUNDUP(_xlfn.MAXIFS('بيانات الفرق'!$BP$3:$BP$22,'بيانات الفرق'!$BO$3:$BO$22,"المجموعة "&amp;_xlfn.SEQUENCE($B17))/_xlfn.MINIFS('بيانات الفرق'!$BQ$3:$BQ$22,'بيانات الفرق'!$BO$3:$BO$22,"المجموعة "&amp;_xlfn.SEQUENCE($B17)),0)))</f>
        <v>1</v>
      </c>
      <c r="E17" s="13" t="str" cm="1">
        <f t="array" ref="E17">_xlfn.TEXTJOIN(" + ",TRUE,IF(_xlfn.MINIFS('بيانات الفرق'!$BP$3:$BP$22,'بيانات الفرق'!$BO$3:$BO$22,"المجموعة "&amp;_xlfn.SEQUENCE($B17))=_xlfn.MAXIFS('بيانات الفرق'!$BP$3:$BP$22,'بيانات الفرق'!$BO$3:$BO$22,"المجموعة "&amp;_xlfn.SEQUENCE($B17)),_xlfn.MINIFS('بيانات الفرق'!$BP$3:$BP$22,'بيانات الفرق'!$BO$3:$BO$22,"المجموعة "&amp;_xlfn.SEQUENCE($B17)),_xlfn.MINIFS('بيانات الفرق'!$BP$3:$BP$22,'بيانات الفرق'!$BO$3:$BO$22,"المجموعة "&amp;_xlfn.SEQUENCE($B17))&amp;"–"&amp;_xlfn.MAXIFS('بيانات الفرق'!$BP$3:$BP$22,'بيانات الفرق'!$BO$3:$BO$22,"المجموعة "&amp;_xlfn.SEQUENCE($B17))))</f>
        <v>19</v>
      </c>
      <c r="F17" s="4" t="str">
        <f>IF(COUNTIF('20 فريقًا'!$D$4:$D$1999,"*فائز ر*")&gt;0,"ربع نهائي ثم نصف نهائي ثم نهائي",IF(COUNTIF('20 فريقًا'!$D$4:$D$1999,"*فائز*")&gt;0,"نصف نهائي ثم نهائي",IF(COUNTIF('20 فريقًا'!$D$4:$D$1999,"*أول المجموعة*")&gt;0,"نهائي مباشر","—")))</f>
        <v>—</v>
      </c>
      <c r="G17" s="4">
        <f>_xlfn.MAXIFS('20 فريقًا'!$A$4:$A$1999,'20 فريقًا'!$D$4:$D$1999,"* ضد *",'20 فريقًا'!$D$4:$D$1999,"&lt;&gt;*فائز*",'20 فريقًا'!$D$4:$D$1999,"&lt;&gt;*أول المجموعة*",'20 فريقًا'!$D$4:$D$1999,"&lt;&gt;*المتأهل*")</f>
        <v>19</v>
      </c>
      <c r="H17" s="4">
        <f>$I17-$G17</f>
        <v>0</v>
      </c>
      <c r="I17" s="3">
        <f>_xlfn.MAXIFS('20 فريقًا'!$A$4:$A$1999,'20 فريقًا'!$D$4:$D$1999,"* ضد *")</f>
        <v>19</v>
      </c>
      <c r="J17" s="4" t="str">
        <f>MOD(HOUR(المدخلات!$B$4)-1,12)+1&amp;":"&amp;TEXT(MINUTE(المدخلات!$B$4),"00")&amp;IF(HOUR(المدخلات!$B$4)&lt;12," ص"," م")</f>
        <v>4:00 م</v>
      </c>
      <c r="K17" s="4" t="str" cm="1">
        <f t="array" ref="K17">_xlfn.LET(_xlpm.p,SUMPRODUCT(MAX((COUNTIF('20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7" s="4">
        <f>_xlfn.MAXIFS('20 فريقًا'!$C$4:$C$1999,'20 فريقًا'!$D$4:$D$1999,"* ضد *")</f>
        <v>4</v>
      </c>
      <c r="M17" s="4">
        <f>ROUNDUP($L17/المدخلات!$B$9,0)</f>
        <v>2</v>
      </c>
      <c r="N17" s="1"/>
      <c r="O17" s="1"/>
      <c r="P17" s="10"/>
    </row>
    <row r="18" spans="1:16" ht="14.5">
      <c r="A18" s="14">
        <v>21</v>
      </c>
      <c r="B18" s="4" cm="1">
        <f t="array" ref="B18">ROUND(SUMPRODUCT(1/COUNTIF('بيانات الفرق'!$BT$3:$BT$23,'بيانات الفرق'!$BT$3:$BT$23)),0)</f>
        <v>1</v>
      </c>
      <c r="C18" s="13" t="str" cm="1">
        <f t="array" ref="C18">_xlfn.TEXTJOIN(" + ",TRUE,COUNTIF('بيانات الفرق'!$BT$3:$BT$23,"المجموعة "&amp;_xlfn.SEQUENCE($B18)))</f>
        <v>21</v>
      </c>
      <c r="D18" s="18" t="str" cm="1">
        <f t="array" ref="D18">_xlfn.TEXTJOIN(" + ",TRUE,IF(ROUNDDOWN(_xlfn.MINIFS('بيانات الفرق'!$BU$3:$BU$23,'بيانات الفرق'!$BT$3:$BT$23,"المجموعة "&amp;_xlfn.SEQUENCE($B18))/_xlfn.MINIFS('بيانات الفرق'!$BV$3:$BV$23,'بيانات الفرق'!$BT$3:$BT$23,"المجموعة "&amp;_xlfn.SEQUENCE($B18)),0)=ROUNDUP(_xlfn.MAXIFS('بيانات الفرق'!$BU$3:$BU$23,'بيانات الفرق'!$BT$3:$BT$23,"المجموعة "&amp;_xlfn.SEQUENCE($B18))/_xlfn.MINIFS('بيانات الفرق'!$BV$3:$BV$23,'بيانات الفرق'!$BT$3:$BT$23,"المجموعة "&amp;_xlfn.SEQUENCE($B18)),0),ROUNDDOWN(_xlfn.MINIFS('بيانات الفرق'!$BU$3:$BU$23,'بيانات الفرق'!$BT$3:$BT$23,"المجموعة "&amp;_xlfn.SEQUENCE($B18))/_xlfn.MINIFS('بيانات الفرق'!$BV$3:$BV$23,'بيانات الفرق'!$BT$3:$BT$23,"المجموعة "&amp;_xlfn.SEQUENCE($B18)),0),ROUNDDOWN(_xlfn.MINIFS('بيانات الفرق'!$BU$3:$BU$23,'بيانات الفرق'!$BT$3:$BT$23,"المجموعة "&amp;_xlfn.SEQUENCE($B18))/_xlfn.MINIFS('بيانات الفرق'!$BV$3:$BV$23,'بيانات الفرق'!$BT$3:$BT$23,"المجموعة "&amp;_xlfn.SEQUENCE($B18)),0)&amp;"–"&amp;ROUNDUP(_xlfn.MAXIFS('بيانات الفرق'!$BU$3:$BU$23,'بيانات الفرق'!$BT$3:$BT$23,"المجموعة "&amp;_xlfn.SEQUENCE($B18))/_xlfn.MINIFS('بيانات الفرق'!$BV$3:$BV$23,'بيانات الفرق'!$BT$3:$BT$23,"المجموعة "&amp;_xlfn.SEQUENCE($B18)),0)))</f>
        <v>1</v>
      </c>
      <c r="E18" s="13" t="str" cm="1">
        <f t="array" ref="E18">_xlfn.TEXTJOIN(" + ",TRUE,IF(_xlfn.MINIFS('بيانات الفرق'!$BU$3:$BU$23,'بيانات الفرق'!$BT$3:$BT$23,"المجموعة "&amp;_xlfn.SEQUENCE($B18))=_xlfn.MAXIFS('بيانات الفرق'!$BU$3:$BU$23,'بيانات الفرق'!$BT$3:$BT$23,"المجموعة "&amp;_xlfn.SEQUENCE($B18)),_xlfn.MINIFS('بيانات الفرق'!$BU$3:$BU$23,'بيانات الفرق'!$BT$3:$BT$23,"المجموعة "&amp;_xlfn.SEQUENCE($B18)),_xlfn.MINIFS('بيانات الفرق'!$BU$3:$BU$23,'بيانات الفرق'!$BT$3:$BT$23,"المجموعة "&amp;_xlfn.SEQUENCE($B18))&amp;"–"&amp;_xlfn.MAXIFS('بيانات الفرق'!$BU$3:$BU$23,'بيانات الفرق'!$BT$3:$BT$23,"المجموعة "&amp;_xlfn.SEQUENCE($B18))))</f>
        <v>20</v>
      </c>
      <c r="F18" s="4" t="str">
        <f>IF(COUNTIF('21 فريقًا'!$D$4:$D$1999,"*فائز ر*")&gt;0,"ربع نهائي ثم نصف نهائي ثم نهائي",IF(COUNTIF('21 فريقًا'!$D$4:$D$1999,"*فائز*")&gt;0,"نصف نهائي ثم نهائي",IF(COUNTIF('21 فريقًا'!$D$4:$D$1999,"*أول المجموعة*")&gt;0,"نهائي مباشر","—")))</f>
        <v>—</v>
      </c>
      <c r="G18" s="4">
        <f>_xlfn.MAXIFS('21 فريقًا'!$A$4:$A$1999,'21 فريقًا'!$D$4:$D$1999,"* ضد *",'21 فريقًا'!$D$4:$D$1999,"&lt;&gt;*فائز*",'21 فريقًا'!$D$4:$D$1999,"&lt;&gt;*أول المجموعة*",'21 فريقًا'!$D$4:$D$1999,"&lt;&gt;*المتأهل*")</f>
        <v>21</v>
      </c>
      <c r="H18" s="4">
        <f>$I18-$G18</f>
        <v>0</v>
      </c>
      <c r="I18" s="3">
        <f>_xlfn.MAXIFS('21 فريقًا'!$A$4:$A$1999,'21 فريقًا'!$D$4:$D$1999,"* ضد *")</f>
        <v>21</v>
      </c>
      <c r="J18" s="4" t="str">
        <f>MOD(HOUR(المدخلات!$B$4)-1,12)+1&amp;":"&amp;TEXT(MINUTE(المدخلات!$B$4),"00")&amp;IF(HOUR(المدخلات!$B$4)&lt;12," ص"," م")</f>
        <v>4:00 م</v>
      </c>
      <c r="K18" s="4" t="str" cm="1">
        <f t="array" ref="K18">_xlfn.LET(_xlpm.p,SUMPRODUCT(MAX((COUNTIF('21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8" s="4">
        <f>_xlfn.MAXIFS('21 فريقًا'!$C$4:$C$1999,'21 فريقًا'!$D$4:$D$1999,"* ضد *")</f>
        <v>4</v>
      </c>
      <c r="M18" s="4">
        <f>ROUNDUP($L18/المدخلات!$B$9,0)</f>
        <v>2</v>
      </c>
      <c r="N18" s="1"/>
      <c r="O18" s="1"/>
      <c r="P18" s="10"/>
    </row>
    <row r="19" spans="1:16" ht="14.5">
      <c r="A19" s="14">
        <v>22</v>
      </c>
      <c r="B19" s="4" cm="1">
        <f t="array" ref="B19">ROUND(SUMPRODUCT(1/COUNTIF('بيانات الفرق'!$BY$3:$BY$24,'بيانات الفرق'!$BY$3:$BY$24)),0)</f>
        <v>1</v>
      </c>
      <c r="C19" s="13" t="str" cm="1">
        <f t="array" ref="C19">_xlfn.TEXTJOIN(" + ",TRUE,COUNTIF('بيانات الفرق'!$BY$3:$BY$24,"المجموعة "&amp;_xlfn.SEQUENCE($B19)))</f>
        <v>22</v>
      </c>
      <c r="D19" s="18" t="str" cm="1">
        <f t="array" ref="D19">_xlfn.TEXTJOIN(" + ",TRUE,IF(ROUNDDOWN(_xlfn.MINIFS('بيانات الفرق'!$BZ$3:$BZ$24,'بيانات الفرق'!$BY$3:$BY$24,"المجموعة "&amp;_xlfn.SEQUENCE($B19))/_xlfn.MINIFS('بيانات الفرق'!$CA$3:$CA$24,'بيانات الفرق'!$BY$3:$BY$24,"المجموعة "&amp;_xlfn.SEQUENCE($B19)),0)=ROUNDUP(_xlfn.MAXIFS('بيانات الفرق'!$BZ$3:$BZ$24,'بيانات الفرق'!$BY$3:$BY$24,"المجموعة "&amp;_xlfn.SEQUENCE($B19))/_xlfn.MINIFS('بيانات الفرق'!$CA$3:$CA$24,'بيانات الفرق'!$BY$3:$BY$24,"المجموعة "&amp;_xlfn.SEQUENCE($B19)),0),ROUNDDOWN(_xlfn.MINIFS('بيانات الفرق'!$BZ$3:$BZ$24,'بيانات الفرق'!$BY$3:$BY$24,"المجموعة "&amp;_xlfn.SEQUENCE($B19))/_xlfn.MINIFS('بيانات الفرق'!$CA$3:$CA$24,'بيانات الفرق'!$BY$3:$BY$24,"المجموعة "&amp;_xlfn.SEQUENCE($B19)),0),ROUNDDOWN(_xlfn.MINIFS('بيانات الفرق'!$BZ$3:$BZ$24,'بيانات الفرق'!$BY$3:$BY$24,"المجموعة "&amp;_xlfn.SEQUENCE($B19))/_xlfn.MINIFS('بيانات الفرق'!$CA$3:$CA$24,'بيانات الفرق'!$BY$3:$BY$24,"المجموعة "&amp;_xlfn.SEQUENCE($B19)),0)&amp;"–"&amp;ROUNDUP(_xlfn.MAXIFS('بيانات الفرق'!$BZ$3:$BZ$24,'بيانات الفرق'!$BY$3:$BY$24,"المجموعة "&amp;_xlfn.SEQUENCE($B19))/_xlfn.MINIFS('بيانات الفرق'!$CA$3:$CA$24,'بيانات الفرق'!$BY$3:$BY$24,"المجموعة "&amp;_xlfn.SEQUENCE($B19)),0)))</f>
        <v>1</v>
      </c>
      <c r="E19" s="13" t="str" cm="1">
        <f t="array" ref="E19">_xlfn.TEXTJOIN(" + ",TRUE,IF(_xlfn.MINIFS('بيانات الفرق'!$BZ$3:$BZ$24,'بيانات الفرق'!$BY$3:$BY$24,"المجموعة "&amp;_xlfn.SEQUENCE($B19))=_xlfn.MAXIFS('بيانات الفرق'!$BZ$3:$BZ$24,'بيانات الفرق'!$BY$3:$BY$24,"المجموعة "&amp;_xlfn.SEQUENCE($B19)),_xlfn.MINIFS('بيانات الفرق'!$BZ$3:$BZ$24,'بيانات الفرق'!$BY$3:$BY$24,"المجموعة "&amp;_xlfn.SEQUENCE($B19)),_xlfn.MINIFS('بيانات الفرق'!$BZ$3:$BZ$24,'بيانات الفرق'!$BY$3:$BY$24,"المجموعة "&amp;_xlfn.SEQUENCE($B19))&amp;"–"&amp;_xlfn.MAXIFS('بيانات الفرق'!$BZ$3:$BZ$24,'بيانات الفرق'!$BY$3:$BY$24,"المجموعة "&amp;_xlfn.SEQUENCE($B19))))</f>
        <v>21</v>
      </c>
      <c r="F19" s="4" t="str">
        <f>IF(COUNTIF('22 فريقًا'!$D$4:$D$1999,"*فائز ر*")&gt;0,"ربع نهائي ثم نصف نهائي ثم نهائي",IF(COUNTIF('22 فريقًا'!$D$4:$D$1999,"*فائز*")&gt;0,"نصف نهائي ثم نهائي",IF(COUNTIF('22 فريقًا'!$D$4:$D$1999,"*أول المجموعة*")&gt;0,"نهائي مباشر","—")))</f>
        <v>—</v>
      </c>
      <c r="G19" s="4">
        <f>_xlfn.MAXIFS('22 فريقًا'!$A$4:$A$1999,'22 فريقًا'!$D$4:$D$1999,"* ضد *",'22 فريقًا'!$D$4:$D$1999,"&lt;&gt;*فائز*",'22 فريقًا'!$D$4:$D$1999,"&lt;&gt;*أول المجموعة*",'22 فريقًا'!$D$4:$D$1999,"&lt;&gt;*المتأهل*")</f>
        <v>21</v>
      </c>
      <c r="H19" s="4">
        <f>$I19-$G19</f>
        <v>0</v>
      </c>
      <c r="I19" s="3">
        <f>_xlfn.MAXIFS('22 فريقًا'!$A$4:$A$1999,'22 فريقًا'!$D$4:$D$1999,"* ضد *")</f>
        <v>21</v>
      </c>
      <c r="J19" s="4" t="str">
        <f>MOD(HOUR(المدخلات!$B$4)-1,12)+1&amp;":"&amp;TEXT(MINUTE(المدخلات!$B$4),"00")&amp;IF(HOUR(المدخلات!$B$4)&lt;12," ص"," م")</f>
        <v>4:00 م</v>
      </c>
      <c r="K19" s="4" t="str" cm="1">
        <f t="array" ref="K19">_xlfn.LET(_xlpm.p,SUMPRODUCT(MAX((COUNTIF('22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19" s="4">
        <f>_xlfn.MAXIFS('22 فريقًا'!$C$4:$C$1999,'22 فريقًا'!$D$4:$D$1999,"* ضد *")</f>
        <v>4</v>
      </c>
      <c r="M19" s="4">
        <f>ROUNDUP($L19/المدخلات!$B$9,0)</f>
        <v>2</v>
      </c>
      <c r="N19" s="1"/>
      <c r="O19" s="1"/>
      <c r="P19" s="10"/>
    </row>
    <row r="20" spans="1:16" ht="14.5">
      <c r="A20" s="14">
        <v>23</v>
      </c>
      <c r="B20" s="4" cm="1">
        <f t="array" ref="B20">ROUND(SUMPRODUCT(1/COUNTIF('بيانات الفرق'!$CD$3:$CD$25,'بيانات الفرق'!$CD$3:$CD$25)),0)</f>
        <v>2</v>
      </c>
      <c r="C20" s="13" t="str" cm="1">
        <f t="array" ref="C20">_xlfn.TEXTJOIN(" + ",TRUE,COUNTIF('بيانات الفرق'!$CD$3:$CD$25,"المجموعة "&amp;_xlfn.SEQUENCE($B20)))</f>
        <v>12 + 11</v>
      </c>
      <c r="D20" s="18" t="str" cm="1">
        <f t="array" ref="D20">_xlfn.TEXTJOIN(" + ",TRUE,IF(ROUNDDOWN(_xlfn.MINIFS('بيانات الفرق'!$CE$3:$CE$25,'بيانات الفرق'!$CD$3:$CD$25,"المجموعة "&amp;_xlfn.SEQUENCE($B20))/_xlfn.MINIFS('بيانات الفرق'!$CF$3:$CF$25,'بيانات الفرق'!$CD$3:$CD$25,"المجموعة "&amp;_xlfn.SEQUENCE($B20)),0)=ROUNDUP(_xlfn.MAXIFS('بيانات الفرق'!$CE$3:$CE$25,'بيانات الفرق'!$CD$3:$CD$25,"المجموعة "&amp;_xlfn.SEQUENCE($B20))/_xlfn.MINIFS('بيانات الفرق'!$CF$3:$CF$25,'بيانات الفرق'!$CD$3:$CD$25,"المجموعة "&amp;_xlfn.SEQUENCE($B20)),0),ROUNDDOWN(_xlfn.MINIFS('بيانات الفرق'!$CE$3:$CE$25,'بيانات الفرق'!$CD$3:$CD$25,"المجموعة "&amp;_xlfn.SEQUENCE($B20))/_xlfn.MINIFS('بيانات الفرق'!$CF$3:$CF$25,'بيانات الفرق'!$CD$3:$CD$25,"المجموعة "&amp;_xlfn.SEQUENCE($B20)),0),ROUNDDOWN(_xlfn.MINIFS('بيانات الفرق'!$CE$3:$CE$25,'بيانات الفرق'!$CD$3:$CD$25,"المجموعة "&amp;_xlfn.SEQUENCE($B20))/_xlfn.MINIFS('بيانات الفرق'!$CF$3:$CF$25,'بيانات الفرق'!$CD$3:$CD$25,"المجموعة "&amp;_xlfn.SEQUENCE($B20)),0)&amp;"–"&amp;ROUNDUP(_xlfn.MAXIFS('بيانات الفرق'!$CE$3:$CE$25,'بيانات الفرق'!$CD$3:$CD$25,"المجموعة "&amp;_xlfn.SEQUENCE($B20))/_xlfn.MINIFS('بيانات الفرق'!$CF$3:$CF$25,'بيانات الفرق'!$CD$3:$CD$25,"المجموعة "&amp;_xlfn.SEQUENCE($B20)),0)))</f>
        <v>1–2 + 1–2</v>
      </c>
      <c r="E20" s="13" t="str" cm="1">
        <f t="array" ref="E20">_xlfn.TEXTJOIN(" + ",TRUE,IF(_xlfn.MINIFS('بيانات الفرق'!$CE$3:$CE$25,'بيانات الفرق'!$CD$3:$CD$25,"المجموعة "&amp;_xlfn.SEQUENCE($B20))=_xlfn.MAXIFS('بيانات الفرق'!$CE$3:$CE$25,'بيانات الفرق'!$CD$3:$CD$25,"المجموعة "&amp;_xlfn.SEQUENCE($B20)),_xlfn.MINIFS('بيانات الفرق'!$CE$3:$CE$25,'بيانات الفرق'!$CD$3:$CD$25,"المجموعة "&amp;_xlfn.SEQUENCE($B20)),_xlfn.MINIFS('بيانات الفرق'!$CE$3:$CE$25,'بيانات الفرق'!$CD$3:$CD$25,"المجموعة "&amp;_xlfn.SEQUENCE($B20))&amp;"–"&amp;_xlfn.MAXIFS('بيانات الفرق'!$CE$3:$CE$25,'بيانات الفرق'!$CD$3:$CD$25,"المجموعة "&amp;_xlfn.SEQUENCE($B20))))</f>
        <v>18 + 18</v>
      </c>
      <c r="F20" s="4" t="str">
        <f>IF(COUNTIF('23 فريقًا'!$E$4:$E$1999,"*فائز ر*")&gt;0,"ربع نهائي ثم نصف نهائي ثم نهائي",IF(COUNTIF('23 فريقًا'!$E$4:$E$1999,"*فائز*")&gt;0,"نصف نهائي ثم نهائي",IF(COUNTIF('23 فريقًا'!$E$4:$E$1999,"*أول المجموعة*")&gt;0,"نهائي مباشر","—")))</f>
        <v>نهائي مباشر</v>
      </c>
      <c r="G20" s="4">
        <f>_xlfn.MAXIFS('23 فريقًا'!$A$4:$A$1999,'23 فريقًا'!$E$4:$E$1999,"* ضد *",'23 فريقًا'!$E$4:$E$1999,"&lt;&gt;*فائز*",'23 فريقًا'!$E$4:$E$1999,"&lt;&gt;*أول المجموعة*",'23 فريقًا'!$E$4:$E$1999,"&lt;&gt;*المتأهل*")</f>
        <v>21</v>
      </c>
      <c r="H20" s="4">
        <f>$I20-$G20</f>
        <v>1</v>
      </c>
      <c r="I20" s="3">
        <f>_xlfn.MAXIFS('23 فريقًا'!$A$4:$A$1999,'23 فريقًا'!$E$4:$E$1999,"* ضد *")</f>
        <v>22</v>
      </c>
      <c r="J20" s="4" t="str">
        <f>MOD(HOUR(المدخلات!$B$4)-1,12)+1&amp;":"&amp;TEXT(MINUTE(المدخلات!$B$4),"00")&amp;IF(HOUR(المدخلات!$B$4)&lt;12," ص"," م")</f>
        <v>4:00 م</v>
      </c>
      <c r="K20" s="4" t="str" cm="1">
        <f t="array" ref="K20">_xlfn.LET(_xlpm.p,SUMPRODUCT(MAX((COUNTIF('23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0" s="4">
        <f>_xlfn.MAXIFS('23 فريقًا'!$C$4:$C$1999,'23 فريقًا'!$E$4:$E$1999,"* ضد *")</f>
        <v>4</v>
      </c>
      <c r="M20" s="4">
        <f>ROUNDUP($L20/المدخلات!$B$9,0)</f>
        <v>2</v>
      </c>
      <c r="N20" s="1"/>
      <c r="O20" s="1"/>
      <c r="P20" s="10"/>
    </row>
    <row r="21" spans="1:16" ht="14.5">
      <c r="A21" s="14">
        <v>25</v>
      </c>
      <c r="B21" s="4" cm="1">
        <f t="array" ref="B21">ROUND(SUMPRODUCT(1/COUNTIF('بيانات الفرق'!$CI$3:$CI$27,'بيانات الفرق'!$CI$3:$CI$27)),0)</f>
        <v>2</v>
      </c>
      <c r="C21" s="13" t="str" cm="1">
        <f t="array" ref="C21">_xlfn.TEXTJOIN(" + ",TRUE,COUNTIF('بيانات الفرق'!$CI$3:$CI$27,"المجموعة "&amp;_xlfn.SEQUENCE($B21)))</f>
        <v>13 + 12</v>
      </c>
      <c r="D21" s="18" t="str" cm="1">
        <f t="array" ref="D21">_xlfn.TEXTJOIN(" + ",TRUE,IF(ROUNDDOWN(_xlfn.MINIFS('بيانات الفرق'!$CJ$3:$CJ$27,'بيانات الفرق'!$CI$3:$CI$27,"المجموعة "&amp;_xlfn.SEQUENCE($B21))/_xlfn.MINIFS('بيانات الفرق'!$CK$3:$CK$27,'بيانات الفرق'!$CI$3:$CI$27,"المجموعة "&amp;_xlfn.SEQUENCE($B21)),0)=ROUNDUP(_xlfn.MAXIFS('بيانات الفرق'!$CJ$3:$CJ$27,'بيانات الفرق'!$CI$3:$CI$27,"المجموعة "&amp;_xlfn.SEQUENCE($B21))/_xlfn.MINIFS('بيانات الفرق'!$CK$3:$CK$27,'بيانات الفرق'!$CI$3:$CI$27,"المجموعة "&amp;_xlfn.SEQUENCE($B21)),0),ROUNDDOWN(_xlfn.MINIFS('بيانات الفرق'!$CJ$3:$CJ$27,'بيانات الفرق'!$CI$3:$CI$27,"المجموعة "&amp;_xlfn.SEQUENCE($B21))/_xlfn.MINIFS('بيانات الفرق'!$CK$3:$CK$27,'بيانات الفرق'!$CI$3:$CI$27,"المجموعة "&amp;_xlfn.SEQUENCE($B21)),0),ROUNDDOWN(_xlfn.MINIFS('بيانات الفرق'!$CJ$3:$CJ$27,'بيانات الفرق'!$CI$3:$CI$27,"المجموعة "&amp;_xlfn.SEQUENCE($B21))/_xlfn.MINIFS('بيانات الفرق'!$CK$3:$CK$27,'بيانات الفرق'!$CI$3:$CI$27,"المجموعة "&amp;_xlfn.SEQUENCE($B21)),0)&amp;"–"&amp;ROUNDUP(_xlfn.MAXIFS('بيانات الفرق'!$CJ$3:$CJ$27,'بيانات الفرق'!$CI$3:$CI$27,"المجموعة "&amp;_xlfn.SEQUENCE($B21))/_xlfn.MINIFS('بيانات الفرق'!$CK$3:$CK$27,'بيانات الفرق'!$CI$3:$CI$27,"المجموعة "&amp;_xlfn.SEQUENCE($B21)),0)))</f>
        <v>1–2 + 1–2</v>
      </c>
      <c r="E21" s="13" t="str" cm="1">
        <f t="array" ref="E21">_xlfn.TEXTJOIN(" + ",TRUE,IF(_xlfn.MINIFS('بيانات الفرق'!$CJ$3:$CJ$27,'بيانات الفرق'!$CI$3:$CI$27,"المجموعة "&amp;_xlfn.SEQUENCE($B21))=_xlfn.MAXIFS('بيانات الفرق'!$CJ$3:$CJ$27,'بيانات الفرق'!$CI$3:$CI$27,"المجموعة "&amp;_xlfn.SEQUENCE($B21)),_xlfn.MINIFS('بيانات الفرق'!$CJ$3:$CJ$27,'بيانات الفرق'!$CI$3:$CI$27,"المجموعة "&amp;_xlfn.SEQUENCE($B21)),_xlfn.MINIFS('بيانات الفرق'!$CJ$3:$CJ$27,'بيانات الفرق'!$CI$3:$CI$27,"المجموعة "&amp;_xlfn.SEQUENCE($B21))&amp;"–"&amp;_xlfn.MAXIFS('بيانات الفرق'!$CJ$3:$CJ$27,'بيانات الفرق'!$CI$3:$CI$27,"المجموعة "&amp;_xlfn.SEQUENCE($B21))))</f>
        <v>18 + 18</v>
      </c>
      <c r="F21" s="4" t="str">
        <f>IF(COUNTIF('25 فريقًا'!$E$4:$E$1999,"*فائز ر*")&gt;0,"ربع نهائي ثم نصف نهائي ثم نهائي",IF(COUNTIF('25 فريقًا'!$E$4:$E$1999,"*فائز*")&gt;0,"نصف نهائي ثم نهائي",IF(COUNTIF('25 فريقًا'!$E$4:$E$1999,"*أول المجموعة*")&gt;0,"نهائي مباشر","—")))</f>
        <v>نهائي مباشر</v>
      </c>
      <c r="G21" s="4">
        <f>_xlfn.MAXIFS('25 فريقًا'!$A$4:$A$1999,'25 فريقًا'!$E$4:$E$1999,"* ضد *",'25 فريقًا'!$E$4:$E$1999,"&lt;&gt;*فائز*",'25 فريقًا'!$E$4:$E$1999,"&lt;&gt;*أول المجموعة*",'25 فريقًا'!$E$4:$E$1999,"&lt;&gt;*المتأهل*")</f>
        <v>21</v>
      </c>
      <c r="H21" s="4">
        <f>$I21-$G21</f>
        <v>1</v>
      </c>
      <c r="I21" s="3">
        <f>_xlfn.MAXIFS('25 فريقًا'!$A$4:$A$1999,'25 فريقًا'!$E$4:$E$1999,"* ضد *")</f>
        <v>22</v>
      </c>
      <c r="J21" s="4" t="str">
        <f>MOD(HOUR(المدخلات!$B$4)-1,12)+1&amp;":"&amp;TEXT(MINUTE(المدخلات!$B$4),"00")&amp;IF(HOUR(المدخلات!$B$4)&lt;12," ص"," م")</f>
        <v>4:00 م</v>
      </c>
      <c r="K21" s="4" t="str" cm="1">
        <f t="array" ref="K21">_xlfn.LET(_xlpm.p,SUMPRODUCT(MAX((COUNTIF('25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1" s="4">
        <f>_xlfn.MAXIFS('25 فريقًا'!$C$4:$C$1999,'25 فريقًا'!$E$4:$E$1999,"* ضد *")</f>
        <v>4</v>
      </c>
      <c r="M21" s="4">
        <f>ROUNDUP($L21/المدخلات!$B$9,0)</f>
        <v>2</v>
      </c>
      <c r="N21" s="1"/>
      <c r="O21" s="1"/>
      <c r="P21" s="10"/>
    </row>
    <row r="22" spans="1:16" ht="14.5">
      <c r="A22" s="14">
        <v>26</v>
      </c>
      <c r="B22" s="4" cm="1">
        <f t="array" ref="B22">ROUND(SUMPRODUCT(1/COUNTIF('بيانات الفرق'!$CN$3:$CN$28,'بيانات الفرق'!$CN$3:$CN$28)),0)</f>
        <v>2</v>
      </c>
      <c r="C22" s="13" t="str" cm="1">
        <f t="array" ref="C22">_xlfn.TEXTJOIN(" + ",TRUE,COUNTIF('بيانات الفرق'!$CN$3:$CN$28,"المجموعة "&amp;_xlfn.SEQUENCE($B22)))</f>
        <v>14 + 12</v>
      </c>
      <c r="D22" s="18" t="str" cm="1">
        <f t="array" ref="D22">_xlfn.TEXTJOIN(" + ",TRUE,IF(ROUNDDOWN(_xlfn.MINIFS('بيانات الفرق'!$CO$3:$CO$28,'بيانات الفرق'!$CN$3:$CN$28,"المجموعة "&amp;_xlfn.SEQUENCE($B22))/_xlfn.MINIFS('بيانات الفرق'!$CP$3:$CP$28,'بيانات الفرق'!$CN$3:$CN$28,"المجموعة "&amp;_xlfn.SEQUENCE($B22)),0)=ROUNDUP(_xlfn.MAXIFS('بيانات الفرق'!$CO$3:$CO$28,'بيانات الفرق'!$CN$3:$CN$28,"المجموعة "&amp;_xlfn.SEQUENCE($B22))/_xlfn.MINIFS('بيانات الفرق'!$CP$3:$CP$28,'بيانات الفرق'!$CN$3:$CN$28,"المجموعة "&amp;_xlfn.SEQUENCE($B22)),0),ROUNDDOWN(_xlfn.MINIFS('بيانات الفرق'!$CO$3:$CO$28,'بيانات الفرق'!$CN$3:$CN$28,"المجموعة "&amp;_xlfn.SEQUENCE($B22))/_xlfn.MINIFS('بيانات الفرق'!$CP$3:$CP$28,'بيانات الفرق'!$CN$3:$CN$28,"المجموعة "&amp;_xlfn.SEQUENCE($B22)),0),ROUNDDOWN(_xlfn.MINIFS('بيانات الفرق'!$CO$3:$CO$28,'بيانات الفرق'!$CN$3:$CN$28,"المجموعة "&amp;_xlfn.SEQUENCE($B22))/_xlfn.MINIFS('بيانات الفرق'!$CP$3:$CP$28,'بيانات الفرق'!$CN$3:$CN$28,"المجموعة "&amp;_xlfn.SEQUENCE($B22)),0)&amp;"–"&amp;ROUNDUP(_xlfn.MAXIFS('بيانات الفرق'!$CO$3:$CO$28,'بيانات الفرق'!$CN$3:$CN$28,"المجموعة "&amp;_xlfn.SEQUENCE($B22))/_xlfn.MINIFS('بيانات الفرق'!$CP$3:$CP$28,'بيانات الفرق'!$CN$3:$CN$28,"المجموعة "&amp;_xlfn.SEQUENCE($B22)),0)))</f>
        <v>1–2 + 1–2</v>
      </c>
      <c r="E22" s="13" t="str" cm="1">
        <f t="array" ref="E22">_xlfn.TEXTJOIN(" + ",TRUE,IF(_xlfn.MINIFS('بيانات الفرق'!$CO$3:$CO$28,'بيانات الفرق'!$CN$3:$CN$28,"المجموعة "&amp;_xlfn.SEQUENCE($B22))=_xlfn.MAXIFS('بيانات الفرق'!$CO$3:$CO$28,'بيانات الفرق'!$CN$3:$CN$28,"المجموعة "&amp;_xlfn.SEQUENCE($B22)),_xlfn.MINIFS('بيانات الفرق'!$CO$3:$CO$28,'بيانات الفرق'!$CN$3:$CN$28,"المجموعة "&amp;_xlfn.SEQUENCE($B22)),_xlfn.MINIFS('بيانات الفرق'!$CO$3:$CO$28,'بيانات الفرق'!$CN$3:$CN$28,"المجموعة "&amp;_xlfn.SEQUENCE($B22))&amp;"–"&amp;_xlfn.MAXIFS('بيانات الفرق'!$CO$3:$CO$28,'بيانات الفرق'!$CN$3:$CN$28,"المجموعة "&amp;_xlfn.SEQUENCE($B22))))</f>
        <v>18 + 18</v>
      </c>
      <c r="F22" s="4" t="str">
        <f>IF(COUNTIF('26 فريقًا'!$E$4:$E$1999,"*فائز ر*")&gt;0,"ربع نهائي ثم نصف نهائي ثم نهائي",IF(COUNTIF('26 فريقًا'!$E$4:$E$1999,"*فائز*")&gt;0,"نصف نهائي ثم نهائي",IF(COUNTIF('26 فريقًا'!$E$4:$E$1999,"*أول المجموعة*")&gt;0,"نهائي مباشر","—")))</f>
        <v>نهائي مباشر</v>
      </c>
      <c r="G22" s="4">
        <f>_xlfn.MAXIFS('26 فريقًا'!$A$4:$A$1999,'26 فريقًا'!$E$4:$E$1999,"* ضد *",'26 فريقًا'!$E$4:$E$1999,"&lt;&gt;*فائز*",'26 فريقًا'!$E$4:$E$1999,"&lt;&gt;*أول المجموعة*",'26 فريقًا'!$E$4:$E$1999,"&lt;&gt;*المتأهل*")</f>
        <v>18</v>
      </c>
      <c r="H22" s="4">
        <f>$I22-$G22</f>
        <v>1</v>
      </c>
      <c r="I22" s="3">
        <f>_xlfn.MAXIFS('26 فريقًا'!$A$4:$A$1999,'26 فريقًا'!$E$4:$E$1999,"* ضد *")</f>
        <v>19</v>
      </c>
      <c r="J22" s="4" t="str">
        <f>MOD(HOUR(المدخلات!$B$4)-1,12)+1&amp;":"&amp;TEXT(MINUTE(المدخلات!$B$4),"00")&amp;IF(HOUR(المدخلات!$B$4)&lt;12," ص"," م")</f>
        <v>4:00 م</v>
      </c>
      <c r="K22" s="4" t="str" cm="1">
        <f t="array" ref="K22">_xlfn.LET(_xlpm.p,SUMPRODUCT(MAX((COUNTIF('26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2" s="4">
        <f>_xlfn.MAXIFS('26 فريقًا'!$C$4:$C$1999,'26 فريقًا'!$E$4:$E$1999,"* ضد *")</f>
        <v>5</v>
      </c>
      <c r="M22" s="4">
        <f>ROUNDUP($L22/المدخلات!$B$9,0)</f>
        <v>3</v>
      </c>
      <c r="N22" s="1"/>
      <c r="O22" s="1"/>
      <c r="P22" s="10"/>
    </row>
    <row r="23" spans="1:16" ht="14.5">
      <c r="A23" s="14">
        <v>27</v>
      </c>
      <c r="B23" s="4" cm="1">
        <f t="array" ref="B23">ROUND(SUMPRODUCT(1/COUNTIF('بيانات الفرق'!$CS$3:$CS$29,'بيانات الفرق'!$CS$3:$CS$29)),0)</f>
        <v>2</v>
      </c>
      <c r="C23" s="13" t="str" cm="1">
        <f t="array" ref="C23">_xlfn.TEXTJOIN(" + ",TRUE,COUNTIF('بيانات الفرق'!$CS$3:$CS$29,"المجموعة "&amp;_xlfn.SEQUENCE($B23)))</f>
        <v>14 + 13</v>
      </c>
      <c r="D23" s="18" t="str" cm="1">
        <f t="array" ref="D23">_xlfn.TEXTJOIN(" + ",TRUE,IF(ROUNDDOWN(_xlfn.MINIFS('بيانات الفرق'!$CT$3:$CT$29,'بيانات الفرق'!$CS$3:$CS$29,"المجموعة "&amp;_xlfn.SEQUENCE($B23))/_xlfn.MINIFS('بيانات الفرق'!$CU$3:$CU$29,'بيانات الفرق'!$CS$3:$CS$29,"المجموعة "&amp;_xlfn.SEQUENCE($B23)),0)=ROUNDUP(_xlfn.MAXIFS('بيانات الفرق'!$CT$3:$CT$29,'بيانات الفرق'!$CS$3:$CS$29,"المجموعة "&amp;_xlfn.SEQUENCE($B23))/_xlfn.MINIFS('بيانات الفرق'!$CU$3:$CU$29,'بيانات الفرق'!$CS$3:$CS$29,"المجموعة "&amp;_xlfn.SEQUENCE($B23)),0),ROUNDDOWN(_xlfn.MINIFS('بيانات الفرق'!$CT$3:$CT$29,'بيانات الفرق'!$CS$3:$CS$29,"المجموعة "&amp;_xlfn.SEQUENCE($B23))/_xlfn.MINIFS('بيانات الفرق'!$CU$3:$CU$29,'بيانات الفرق'!$CS$3:$CS$29,"المجموعة "&amp;_xlfn.SEQUENCE($B23)),0),ROUNDDOWN(_xlfn.MINIFS('بيانات الفرق'!$CT$3:$CT$29,'بيانات الفرق'!$CS$3:$CS$29,"المجموعة "&amp;_xlfn.SEQUENCE($B23))/_xlfn.MINIFS('بيانات الفرق'!$CU$3:$CU$29,'بيانات الفرق'!$CS$3:$CS$29,"المجموعة "&amp;_xlfn.SEQUENCE($B23)),0)&amp;"–"&amp;ROUNDUP(_xlfn.MAXIFS('بيانات الفرق'!$CT$3:$CT$29,'بيانات الفرق'!$CS$3:$CS$29,"المجموعة "&amp;_xlfn.SEQUENCE($B23))/_xlfn.MINIFS('بيانات الفرق'!$CU$3:$CU$29,'بيانات الفرق'!$CS$3:$CS$29,"المجموعة "&amp;_xlfn.SEQUENCE($B23)),0)))</f>
        <v>1–2 + 1–2</v>
      </c>
      <c r="E23" s="13" t="str" cm="1">
        <f t="array" ref="E23">_xlfn.TEXTJOIN(" + ",TRUE,IF(_xlfn.MINIFS('بيانات الفرق'!$CT$3:$CT$29,'بيانات الفرق'!$CS$3:$CS$29,"المجموعة "&amp;_xlfn.SEQUENCE($B23))=_xlfn.MAXIFS('بيانات الفرق'!$CT$3:$CT$29,'بيانات الفرق'!$CS$3:$CS$29,"المجموعة "&amp;_xlfn.SEQUENCE($B23)),_xlfn.MINIFS('بيانات الفرق'!$CT$3:$CT$29,'بيانات الفرق'!$CS$3:$CS$29,"المجموعة "&amp;_xlfn.SEQUENCE($B23)),_xlfn.MINIFS('بيانات الفرق'!$CT$3:$CT$29,'بيانات الفرق'!$CS$3:$CS$29,"المجموعة "&amp;_xlfn.SEQUENCE($B23))&amp;"–"&amp;_xlfn.MAXIFS('بيانات الفرق'!$CT$3:$CT$29,'بيانات الفرق'!$CS$3:$CS$29,"المجموعة "&amp;_xlfn.SEQUENCE($B23))))</f>
        <v>18 + 18</v>
      </c>
      <c r="F23" s="4" t="str">
        <f>IF(COUNTIF('27 فريقًا'!$E$4:$E$1999,"*فائز ر*")&gt;0,"ربع نهائي ثم نصف نهائي ثم نهائي",IF(COUNTIF('27 فريقًا'!$E$4:$E$1999,"*فائز*")&gt;0,"نصف نهائي ثم نهائي",IF(COUNTIF('27 فريقًا'!$E$4:$E$1999,"*أول المجموعة*")&gt;0,"نهائي مباشر","—")))</f>
        <v>نهائي مباشر</v>
      </c>
      <c r="G23" s="4">
        <f>_xlfn.MAXIFS('27 فريقًا'!$A$4:$A$1999,'27 فريقًا'!$E$4:$E$1999,"* ضد *",'27 فريقًا'!$E$4:$E$1999,"&lt;&gt;*فائز*",'27 فريقًا'!$E$4:$E$1999,"&lt;&gt;*أول المجموعة*",'27 فريقًا'!$E$4:$E$1999,"&lt;&gt;*المتأهل*")</f>
        <v>21</v>
      </c>
      <c r="H23" s="4">
        <f>$I23-$G23</f>
        <v>1</v>
      </c>
      <c r="I23" s="3">
        <f>_xlfn.MAXIFS('27 فريقًا'!$A$4:$A$1999,'27 فريقًا'!$E$4:$E$1999,"* ضد *")</f>
        <v>22</v>
      </c>
      <c r="J23" s="4" t="str">
        <f>MOD(HOUR(المدخلات!$B$4)-1,12)+1&amp;":"&amp;TEXT(MINUTE(المدخلات!$B$4),"00")&amp;IF(HOUR(المدخلات!$B$4)&lt;12," ص"," م")</f>
        <v>4:00 م</v>
      </c>
      <c r="K23" s="4" t="str" cm="1">
        <f t="array" ref="K23">_xlfn.LET(_xlpm.p,SUMPRODUCT(MAX((COUNTIF('27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3" s="4">
        <f>_xlfn.MAXIFS('27 فريقًا'!$C$4:$C$1999,'27 فريقًا'!$E$4:$E$1999,"* ضد *")</f>
        <v>5</v>
      </c>
      <c r="M23" s="4">
        <f>ROUNDUP($L23/المدخلات!$B$9,0)</f>
        <v>3</v>
      </c>
      <c r="N23" s="1"/>
      <c r="O23" s="1"/>
      <c r="P23" s="10"/>
    </row>
    <row r="24" spans="1:16" ht="14.5">
      <c r="A24" s="14">
        <v>29</v>
      </c>
      <c r="B24" s="4" cm="1">
        <f t="array" ref="B24">ROUND(SUMPRODUCT(1/COUNTIF('بيانات الفرق'!$CX$3:$CX$31,'بيانات الفرق'!$CX$3:$CX$31)),0)</f>
        <v>2</v>
      </c>
      <c r="C24" s="13" t="str" cm="1">
        <f t="array" ref="C24">_xlfn.TEXTJOIN(" + ",TRUE,COUNTIF('بيانات الفرق'!$CX$3:$CX$31,"المجموعة "&amp;_xlfn.SEQUENCE($B24)))</f>
        <v>15 + 14</v>
      </c>
      <c r="D24" s="18" t="str" cm="1">
        <f t="array" ref="D24">_xlfn.TEXTJOIN(" + ",TRUE,IF(ROUNDDOWN(_xlfn.MINIFS('بيانات الفرق'!$CY$3:$CY$31,'بيانات الفرق'!$CX$3:$CX$31,"المجموعة "&amp;_xlfn.SEQUENCE($B24))/_xlfn.MINIFS('بيانات الفرق'!$CZ$3:$CZ$31,'بيانات الفرق'!$CX$3:$CX$31,"المجموعة "&amp;_xlfn.SEQUENCE($B24)),0)=ROUNDUP(_xlfn.MAXIFS('بيانات الفرق'!$CY$3:$CY$31,'بيانات الفرق'!$CX$3:$CX$31,"المجموعة "&amp;_xlfn.SEQUENCE($B24))/_xlfn.MINIFS('بيانات الفرق'!$CZ$3:$CZ$31,'بيانات الفرق'!$CX$3:$CX$31,"المجموعة "&amp;_xlfn.SEQUENCE($B24)),0),ROUNDDOWN(_xlfn.MINIFS('بيانات الفرق'!$CY$3:$CY$31,'بيانات الفرق'!$CX$3:$CX$31,"المجموعة "&amp;_xlfn.SEQUENCE($B24))/_xlfn.MINIFS('بيانات الفرق'!$CZ$3:$CZ$31,'بيانات الفرق'!$CX$3:$CX$31,"المجموعة "&amp;_xlfn.SEQUENCE($B24)),0),ROUNDDOWN(_xlfn.MINIFS('بيانات الفرق'!$CY$3:$CY$31,'بيانات الفرق'!$CX$3:$CX$31,"المجموعة "&amp;_xlfn.SEQUENCE($B24))/_xlfn.MINIFS('بيانات الفرق'!$CZ$3:$CZ$31,'بيانات الفرق'!$CX$3:$CX$31,"المجموعة "&amp;_xlfn.SEQUENCE($B24)),0)&amp;"–"&amp;ROUNDUP(_xlfn.MAXIFS('بيانات الفرق'!$CY$3:$CY$31,'بيانات الفرق'!$CX$3:$CX$31,"المجموعة "&amp;_xlfn.SEQUENCE($B24))/_xlfn.MINIFS('بيانات الفرق'!$CZ$3:$CZ$31,'بيانات الفرق'!$CX$3:$CX$31,"المجموعة "&amp;_xlfn.SEQUENCE($B24)),0)))</f>
        <v>1–2 + 1–2</v>
      </c>
      <c r="E24" s="13" t="str" cm="1">
        <f t="array" ref="E24">_xlfn.TEXTJOIN(" + ",TRUE,IF(_xlfn.MINIFS('بيانات الفرق'!$CY$3:$CY$31,'بيانات الفرق'!$CX$3:$CX$31,"المجموعة "&amp;_xlfn.SEQUENCE($B24))=_xlfn.MAXIFS('بيانات الفرق'!$CY$3:$CY$31,'بيانات الفرق'!$CX$3:$CX$31,"المجموعة "&amp;_xlfn.SEQUENCE($B24)),_xlfn.MINIFS('بيانات الفرق'!$CY$3:$CY$31,'بيانات الفرق'!$CX$3:$CX$31,"المجموعة "&amp;_xlfn.SEQUENCE($B24)),_xlfn.MINIFS('بيانات الفرق'!$CY$3:$CY$31,'بيانات الفرق'!$CX$3:$CX$31,"المجموعة "&amp;_xlfn.SEQUENCE($B24))&amp;"–"&amp;_xlfn.MAXIFS('بيانات الفرق'!$CY$3:$CY$31,'بيانات الفرق'!$CX$3:$CX$31,"المجموعة "&amp;_xlfn.SEQUENCE($B24))))</f>
        <v>18 + 18</v>
      </c>
      <c r="F24" s="4" t="str">
        <f>IF(COUNTIF('29 فريقًا'!$E$4:$E$1999,"*فائز ر*")&gt;0,"ربع نهائي ثم نصف نهائي ثم نهائي",IF(COUNTIF('29 فريقًا'!$E$4:$E$1999,"*فائز*")&gt;0,"نصف نهائي ثم نهائي",IF(COUNTIF('29 فريقًا'!$E$4:$E$1999,"*أول المجموعة*")&gt;0,"نهائي مباشر","—")))</f>
        <v>نهائي مباشر</v>
      </c>
      <c r="G24" s="4">
        <f>_xlfn.MAXIFS('29 فريقًا'!$A$4:$A$1999,'29 فريقًا'!$E$4:$E$1999,"* ضد *",'29 فريقًا'!$E$4:$E$1999,"&lt;&gt;*فائز*",'29 فريقًا'!$E$4:$E$1999,"&lt;&gt;*أول المجموعة*",'29 فريقًا'!$E$4:$E$1999,"&lt;&gt;*المتأهل*")</f>
        <v>20</v>
      </c>
      <c r="H24" s="4">
        <f>$I24-$G24</f>
        <v>1</v>
      </c>
      <c r="I24" s="3">
        <f>_xlfn.MAXIFS('29 فريقًا'!$A$4:$A$1999,'29 فريقًا'!$E$4:$E$1999,"* ضد *")</f>
        <v>21</v>
      </c>
      <c r="J24" s="4" t="str">
        <f>MOD(HOUR(المدخلات!$B$4)-1,12)+1&amp;":"&amp;TEXT(MINUTE(المدخلات!$B$4),"00")&amp;IF(HOUR(المدخلات!$B$4)&lt;12," ص"," م")</f>
        <v>4:00 م</v>
      </c>
      <c r="K24" s="4" t="str" cm="1">
        <f t="array" ref="K24">_xlfn.LET(_xlpm.p,SUMPRODUCT(MAX((COUNTIF('29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4" s="4">
        <f>_xlfn.MAXIFS('29 فريقًا'!$C$4:$C$1999,'29 فريقًا'!$E$4:$E$1999,"* ضد *")</f>
        <v>6</v>
      </c>
      <c r="M24" s="4">
        <f>ROUNDUP($L24/المدخلات!$B$9,0)</f>
        <v>3</v>
      </c>
      <c r="N24" s="1"/>
      <c r="O24" s="1"/>
      <c r="P24" s="10"/>
    </row>
    <row r="25" spans="1:16" ht="14.5">
      <c r="A25" s="14">
        <v>37</v>
      </c>
      <c r="B25" s="4" cm="1">
        <f t="array" ref="B25">ROUND(SUMPRODUCT(1/COUNTIF('بيانات الفرق'!$DC$3:$DC$39,'بيانات الفرق'!$DC$3:$DC$39)),0)</f>
        <v>2</v>
      </c>
      <c r="C25" s="13" t="str" cm="1">
        <f t="array" ref="C25">_xlfn.TEXTJOIN(" + ",TRUE,COUNTIF('بيانات الفرق'!$DC$3:$DC$39,"المجموعة "&amp;_xlfn.SEQUENCE($B25)))</f>
        <v>19 + 18</v>
      </c>
      <c r="D25" s="18" t="str" cm="1">
        <f t="array" ref="D25">_xlfn.TEXTJOIN(" + ",TRUE,IF(ROUNDDOWN(_xlfn.MINIFS('بيانات الفرق'!$DD$3:$DD$39,'بيانات الفرق'!$DC$3:$DC$39,"المجموعة "&amp;_xlfn.SEQUENCE($B25))/_xlfn.MINIFS('بيانات الفرق'!$DE$3:$DE$39,'بيانات الفرق'!$DC$3:$DC$39,"المجموعة "&amp;_xlfn.SEQUENCE($B25)),0)=ROUNDUP(_xlfn.MAXIFS('بيانات الفرق'!$DD$3:$DD$39,'بيانات الفرق'!$DC$3:$DC$39,"المجموعة "&amp;_xlfn.SEQUENCE($B25))/_xlfn.MINIFS('بيانات الفرق'!$DE$3:$DE$39,'بيانات الفرق'!$DC$3:$DC$39,"المجموعة "&amp;_xlfn.SEQUENCE($B25)),0),ROUNDDOWN(_xlfn.MINIFS('بيانات الفرق'!$DD$3:$DD$39,'بيانات الفرق'!$DC$3:$DC$39,"المجموعة "&amp;_xlfn.SEQUENCE($B25))/_xlfn.MINIFS('بيانات الفرق'!$DE$3:$DE$39,'بيانات الفرق'!$DC$3:$DC$39,"المجموعة "&amp;_xlfn.SEQUENCE($B25)),0),ROUNDDOWN(_xlfn.MINIFS('بيانات الفرق'!$DD$3:$DD$39,'بيانات الفرق'!$DC$3:$DC$39,"المجموعة "&amp;_xlfn.SEQUENCE($B25))/_xlfn.MINIFS('بيانات الفرق'!$DE$3:$DE$39,'بيانات الفرق'!$DC$3:$DC$39,"المجموعة "&amp;_xlfn.SEQUENCE($B25)),0)&amp;"–"&amp;ROUNDUP(_xlfn.MAXIFS('بيانات الفرق'!$DD$3:$DD$39,'بيانات الفرق'!$DC$3:$DC$39,"المجموعة "&amp;_xlfn.SEQUENCE($B25))/_xlfn.MINIFS('بيانات الفرق'!$DE$3:$DE$39,'بيانات الفرق'!$DC$3:$DC$39,"المجموعة "&amp;_xlfn.SEQUENCE($B25)),0)))</f>
        <v>1 + 1–2</v>
      </c>
      <c r="E25" s="13" t="str" cm="1">
        <f t="array" ref="E25">_xlfn.TEXTJOIN(" + ",TRUE,IF(_xlfn.MINIFS('بيانات الفرق'!$DD$3:$DD$39,'بيانات الفرق'!$DC$3:$DC$39,"المجموعة "&amp;_xlfn.SEQUENCE($B25))=_xlfn.MAXIFS('بيانات الفرق'!$DD$3:$DD$39,'بيانات الفرق'!$DC$3:$DC$39,"المجموعة "&amp;_xlfn.SEQUENCE($B25)),_xlfn.MINIFS('بيانات الفرق'!$DD$3:$DD$39,'بيانات الفرق'!$DC$3:$DC$39,"المجموعة "&amp;_xlfn.SEQUENCE($B25)),_xlfn.MINIFS('بيانات الفرق'!$DD$3:$DD$39,'بيانات الفرق'!$DC$3:$DC$39,"المجموعة "&amp;_xlfn.SEQUENCE($B25))&amp;"–"&amp;_xlfn.MAXIFS('بيانات الفرق'!$DD$3:$DD$39,'بيانات الفرق'!$DC$3:$DC$39,"المجموعة "&amp;_xlfn.SEQUENCE($B25))))</f>
        <v>18 + 18</v>
      </c>
      <c r="F25" s="4" t="str">
        <f>IF(COUNTIF('37 فريقًا'!$E$4:$E$1999,"*فائز ر*")&gt;0,"ربع نهائي ثم نصف نهائي ثم نهائي",IF(COUNTIF('37 فريقًا'!$E$4:$E$1999,"*فائز*")&gt;0,"نصف نهائي ثم نهائي",IF(COUNTIF('37 فريقًا'!$E$4:$E$1999,"*أول المجموعة*")&gt;0,"نهائي مباشر","—")))</f>
        <v>نهائي مباشر</v>
      </c>
      <c r="G25" s="4">
        <f>_xlfn.MAXIFS('37 فريقًا'!$A$4:$A$1999,'37 فريقًا'!$E$4:$E$1999,"* ضد *",'37 فريقًا'!$E$4:$E$1999,"&lt;&gt;*فائز*",'37 فريقًا'!$E$4:$E$1999,"&lt;&gt;*أول المجموعة*",'37 فريقًا'!$E$4:$E$1999,"&lt;&gt;*المتأهل*")</f>
        <v>19</v>
      </c>
      <c r="H25" s="4">
        <f>$I25-$G25</f>
        <v>1</v>
      </c>
      <c r="I25" s="3">
        <f>_xlfn.MAXIFS('37 فريقًا'!$A$4:$A$1999,'37 فريقًا'!$E$4:$E$1999,"* ضد *")</f>
        <v>20</v>
      </c>
      <c r="J25" s="4" t="str">
        <f>MOD(HOUR(المدخلات!$B$4)-1,12)+1&amp;":"&amp;TEXT(MINUTE(المدخلات!$B$4),"00")&amp;IF(HOUR(المدخلات!$B$4)&lt;12," ص"," م")</f>
        <v>4:00 م</v>
      </c>
      <c r="K25" s="4" t="str" cm="1">
        <f t="array" ref="K25">_xlfn.LET(_xlpm.p,SUMPRODUCT(MAX((COUNTIF('37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5" s="4">
        <f>_xlfn.MAXIFS('37 فريقًا'!$C$4:$C$1999,'37 فريقًا'!$E$4:$E$1999,"* ضد *")</f>
        <v>6</v>
      </c>
      <c r="M25" s="4">
        <f>ROUNDUP($L25/المدخلات!$B$9,0)</f>
        <v>3</v>
      </c>
      <c r="N25" s="1"/>
      <c r="O25" s="1"/>
      <c r="P25" s="10"/>
    </row>
    <row r="26" spans="1:16" ht="14.5">
      <c r="A26" s="14">
        <v>46</v>
      </c>
      <c r="B26" s="4" cm="1">
        <f t="array" ref="B26">ROUND(SUMPRODUCT(1/COUNTIF('بيانات الفرق'!$DH$3:$DH$48,'بيانات الفرق'!$DH$3:$DH$48)),0)</f>
        <v>4</v>
      </c>
      <c r="C26" s="13" t="str" cm="1">
        <f t="array" ref="C26">_xlfn.TEXTJOIN(" + ",TRUE,COUNTIF('بيانات الفرق'!$DH$3:$DH$48,"المجموعة "&amp;_xlfn.SEQUENCE($B26)))</f>
        <v>12 + 12 + 12 + 10</v>
      </c>
      <c r="D26" s="18" t="str" cm="1">
        <f t="array" ref="D26">_xlfn.TEXTJOIN(" + ",TRUE,IF(ROUNDDOWN(_xlfn.MINIFS('بيانات الفرق'!$DI$3:$DI$48,'بيانات الفرق'!$DH$3:$DH$48,"المجموعة "&amp;_xlfn.SEQUENCE($B26))/_xlfn.MINIFS('بيانات الفرق'!$DJ$3:$DJ$48,'بيانات الفرق'!$DH$3:$DH$48,"المجموعة "&amp;_xlfn.SEQUENCE($B26)),0)=ROUNDUP(_xlfn.MAXIFS('بيانات الفرق'!$DI$3:$DI$48,'بيانات الفرق'!$DH$3:$DH$48,"المجموعة "&amp;_xlfn.SEQUENCE($B26))/_xlfn.MINIFS('بيانات الفرق'!$DJ$3:$DJ$48,'بيانات الفرق'!$DH$3:$DH$48,"المجموعة "&amp;_xlfn.SEQUENCE($B26)),0),ROUNDDOWN(_xlfn.MINIFS('بيانات الفرق'!$DI$3:$DI$48,'بيانات الفرق'!$DH$3:$DH$48,"المجموعة "&amp;_xlfn.SEQUENCE($B26))/_xlfn.MINIFS('بيانات الفرق'!$DJ$3:$DJ$48,'بيانات الفرق'!$DH$3:$DH$48,"المجموعة "&amp;_xlfn.SEQUENCE($B26)),0),ROUNDDOWN(_xlfn.MINIFS('بيانات الفرق'!$DI$3:$DI$48,'بيانات الفرق'!$DH$3:$DH$48,"المجموعة "&amp;_xlfn.SEQUENCE($B26))/_xlfn.MINIFS('بيانات الفرق'!$DJ$3:$DJ$48,'بيانات الفرق'!$DH$3:$DH$48,"المجموعة "&amp;_xlfn.SEQUENCE($B26)),0)&amp;"–"&amp;ROUNDUP(_xlfn.MAXIFS('بيانات الفرق'!$DI$3:$DI$48,'بيانات الفرق'!$DH$3:$DH$48,"المجموعة "&amp;_xlfn.SEQUENCE($B26))/_xlfn.MINIFS('بيانات الفرق'!$DJ$3:$DJ$48,'بيانات الفرق'!$DH$3:$DH$48,"المجموعة "&amp;_xlfn.SEQUENCE($B26)),0)))</f>
        <v>1–2 + 1–2 + 1–2 + 2</v>
      </c>
      <c r="E26" s="13" t="str" cm="1">
        <f t="array" ref="E26">_xlfn.TEXTJOIN(" + ",TRUE,IF(_xlfn.MINIFS('بيانات الفرق'!$DI$3:$DI$48,'بيانات الفرق'!$DH$3:$DH$48,"المجموعة "&amp;_xlfn.SEQUENCE($B26))=_xlfn.MAXIFS('بيانات الفرق'!$DI$3:$DI$48,'بيانات الفرق'!$DH$3:$DH$48,"المجموعة "&amp;_xlfn.SEQUENCE($B26)),_xlfn.MINIFS('بيانات الفرق'!$DI$3:$DI$48,'بيانات الفرق'!$DH$3:$DH$48,"المجموعة "&amp;_xlfn.SEQUENCE($B26)),_xlfn.MINIFS('بيانات الفرق'!$DI$3:$DI$48,'بيانات الفرق'!$DH$3:$DH$48,"المجموعة "&amp;_xlfn.SEQUENCE($B26))&amp;"–"&amp;_xlfn.MAXIFS('بيانات الفرق'!$DI$3:$DI$48,'بيانات الفرق'!$DH$3:$DH$48,"المجموعة "&amp;_xlfn.SEQUENCE($B26))))</f>
        <v>18 + 18 + 18 + 18</v>
      </c>
      <c r="F26" s="4" t="str">
        <f>IF(COUNTIF('46 فريقًا'!$E$4:$E$1999,"*فائز ر*")&gt;0,"ربع نهائي ثم نصف نهائي ثم نهائي",IF(COUNTIF('46 فريقًا'!$E$4:$E$1999,"*فائز*")&gt;0,"نصف نهائي ثم نهائي",IF(COUNTIF('46 فريقًا'!$E$4:$E$1999,"*أول المجموعة*")&gt;0,"نهائي مباشر","—")))</f>
        <v>نصف نهائي ثم نهائي</v>
      </c>
      <c r="G26" s="4">
        <f>_xlfn.MAXIFS('46 فريقًا'!$A$4:$A$1999,'46 فريقًا'!$E$4:$E$1999,"* ضد *",'46 فريقًا'!$E$4:$E$1999,"&lt;&gt;*فائز*",'46 فريقًا'!$E$4:$E$1999,"&lt;&gt;*أول المجموعة*",'46 فريقًا'!$E$4:$E$1999,"&lt;&gt;*المتأهل*")</f>
        <v>18</v>
      </c>
      <c r="H26" s="4">
        <f>$I26-$G26</f>
        <v>2</v>
      </c>
      <c r="I26" s="3">
        <f>_xlfn.MAXIFS('46 فريقًا'!$A$4:$A$1999,'46 فريقًا'!$E$4:$E$1999,"* ضد *")</f>
        <v>20</v>
      </c>
      <c r="J26" s="4" t="str">
        <f>MOD(HOUR(المدخلات!$B$4)-1,12)+1&amp;":"&amp;TEXT(MINUTE(المدخلات!$B$4),"00")&amp;IF(HOUR(المدخلات!$B$4)&lt;12," ص"," م")</f>
        <v>4:00 م</v>
      </c>
      <c r="K26" s="4" t="str" cm="1">
        <f t="array" ref="K26">_xlfn.LET(_xlpm.p,SUMPRODUCT(MAX((COUNTIF('46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6" s="4">
        <f>_xlfn.MAXIFS('46 فريقًا'!$C$4:$C$1999,'46 فريقًا'!$E$4:$E$1999,"* ضد *")</f>
        <v>8</v>
      </c>
      <c r="M26" s="4">
        <f>ROUNDUP($L26/المدخلات!$B$9,0)</f>
        <v>4</v>
      </c>
      <c r="N26" s="1"/>
      <c r="O26" s="1"/>
      <c r="P26" s="10"/>
    </row>
    <row r="27" spans="1:16" ht="14.5">
      <c r="A27" s="14">
        <v>54</v>
      </c>
      <c r="B27" s="4" cm="1">
        <f t="array" ref="B27">ROUND(SUMPRODUCT(1/COUNTIF('بيانات الفرق'!$DM$3:$DM$56,'بيانات الفرق'!$DM$3:$DM$56)),0)</f>
        <v>4</v>
      </c>
      <c r="C27" s="13" t="str" cm="1">
        <f t="array" ref="C27">_xlfn.TEXTJOIN(" + ",TRUE,COUNTIF('بيانات الفرق'!$DM$3:$DM$56,"المجموعة "&amp;_xlfn.SEQUENCE($B27)))</f>
        <v>14 + 14 + 14 + 12</v>
      </c>
      <c r="D27" s="18" t="str" cm="1">
        <f t="array" ref="D27">_xlfn.TEXTJOIN(" + ",TRUE,IF(ROUNDDOWN(_xlfn.MINIFS('بيانات الفرق'!$DN$3:$DN$56,'بيانات الفرق'!$DM$3:$DM$56,"المجموعة "&amp;_xlfn.SEQUENCE($B27))/_xlfn.MINIFS('بيانات الفرق'!$DO$3:$DO$56,'بيانات الفرق'!$DM$3:$DM$56,"المجموعة "&amp;_xlfn.SEQUENCE($B27)),0)=ROUNDUP(_xlfn.MAXIFS('بيانات الفرق'!$DN$3:$DN$56,'بيانات الفرق'!$DM$3:$DM$56,"المجموعة "&amp;_xlfn.SEQUENCE($B27))/_xlfn.MINIFS('بيانات الفرق'!$DO$3:$DO$56,'بيانات الفرق'!$DM$3:$DM$56,"المجموعة "&amp;_xlfn.SEQUENCE($B27)),0),ROUNDDOWN(_xlfn.MINIFS('بيانات الفرق'!$DN$3:$DN$56,'بيانات الفرق'!$DM$3:$DM$56,"المجموعة "&amp;_xlfn.SEQUENCE($B27))/_xlfn.MINIFS('بيانات الفرق'!$DO$3:$DO$56,'بيانات الفرق'!$DM$3:$DM$56,"المجموعة "&amp;_xlfn.SEQUENCE($B27)),0),ROUNDDOWN(_xlfn.MINIFS('بيانات الفرق'!$DN$3:$DN$56,'بيانات الفرق'!$DM$3:$DM$56,"المجموعة "&amp;_xlfn.SEQUENCE($B27))/_xlfn.MINIFS('بيانات الفرق'!$DO$3:$DO$56,'بيانات الفرق'!$DM$3:$DM$56,"المجموعة "&amp;_xlfn.SEQUENCE($B27)),0)&amp;"–"&amp;ROUNDUP(_xlfn.MAXIFS('بيانات الفرق'!$DN$3:$DN$56,'بيانات الفرق'!$DM$3:$DM$56,"المجموعة "&amp;_xlfn.SEQUENCE($B27))/_xlfn.MINIFS('بيانات الفرق'!$DO$3:$DO$56,'بيانات الفرق'!$DM$3:$DM$56,"المجموعة "&amp;_xlfn.SEQUENCE($B27)),0)))</f>
        <v>1–2 + 1–2 + 1–2 + 1–2</v>
      </c>
      <c r="E27" s="13" t="str" cm="1">
        <f t="array" ref="E27">_xlfn.TEXTJOIN(" + ",TRUE,IF(_xlfn.MINIFS('بيانات الفرق'!$DN$3:$DN$56,'بيانات الفرق'!$DM$3:$DM$56,"المجموعة "&amp;_xlfn.SEQUENCE($B27))=_xlfn.MAXIFS('بيانات الفرق'!$DN$3:$DN$56,'بيانات الفرق'!$DM$3:$DM$56,"المجموعة "&amp;_xlfn.SEQUENCE($B27)),_xlfn.MINIFS('بيانات الفرق'!$DN$3:$DN$56,'بيانات الفرق'!$DM$3:$DM$56,"المجموعة "&amp;_xlfn.SEQUENCE($B27)),_xlfn.MINIFS('بيانات الفرق'!$DN$3:$DN$56,'بيانات الفرق'!$DM$3:$DM$56,"المجموعة "&amp;_xlfn.SEQUENCE($B27))&amp;"–"&amp;_xlfn.MAXIFS('بيانات الفرق'!$DN$3:$DN$56,'بيانات الفرق'!$DM$3:$DM$56,"المجموعة "&amp;_xlfn.SEQUENCE($B27))))</f>
        <v>18 + 18 + 18 + 18</v>
      </c>
      <c r="F27" s="4" t="str">
        <f>IF(COUNTIF('54 فريقًا'!$E$4:$E$1999,"*فائز ر*")&gt;0,"ربع نهائي ثم نصف نهائي ثم نهائي",IF(COUNTIF('54 فريقًا'!$E$4:$E$1999,"*فائز*")&gt;0,"نصف نهائي ثم نهائي",IF(COUNTIF('54 فريقًا'!$E$4:$E$1999,"*أول المجموعة*")&gt;0,"نهائي مباشر","—")))</f>
        <v>نصف نهائي ثم نهائي</v>
      </c>
      <c r="G27" s="4">
        <f>_xlfn.MAXIFS('54 فريقًا'!$A$4:$A$1999,'54 فريقًا'!$E$4:$E$1999,"* ضد *",'54 فريقًا'!$E$4:$E$1999,"&lt;&gt;*فائز*",'54 فريقًا'!$E$4:$E$1999,"&lt;&gt;*أول المجموعة*",'54 فريقًا'!$E$4:$E$1999,"&lt;&gt;*المتأهل*")</f>
        <v>18</v>
      </c>
      <c r="H27" s="4">
        <f>$I27-$G27</f>
        <v>2</v>
      </c>
      <c r="I27" s="3">
        <f>_xlfn.MAXIFS('54 فريقًا'!$A$4:$A$1999,'54 فريقًا'!$E$4:$E$1999,"* ضد *")</f>
        <v>20</v>
      </c>
      <c r="J27" s="4" t="str">
        <f>MOD(HOUR(المدخلات!$B$4)-1,12)+1&amp;":"&amp;TEXT(MINUTE(المدخلات!$B$4),"00")&amp;IF(HOUR(المدخلات!$B$4)&lt;12," ص"," م")</f>
        <v>4:00 م</v>
      </c>
      <c r="K27" s="4" t="str" cm="1">
        <f t="array" ref="K27">_xlfn.LET(_xlpm.p,SUMPRODUCT(MAX((COUNTIF('54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7" s="4">
        <f>_xlfn.MAXIFS('54 فريقًا'!$C$4:$C$1999,'54 فريقًا'!$E$4:$E$1999,"* ضد *")</f>
        <v>11</v>
      </c>
      <c r="M27" s="4">
        <f>ROUNDUP($L27/المدخلات!$B$9,0)</f>
        <v>6</v>
      </c>
      <c r="N27" s="1"/>
      <c r="O27" s="1"/>
      <c r="P27" s="10"/>
    </row>
    <row r="28" spans="1:16" ht="14.5">
      <c r="A28" s="14">
        <v>58</v>
      </c>
      <c r="B28" s="4" cm="1">
        <f t="array" ref="B28">ROUND(SUMPRODUCT(1/COUNTIF('بيانات الفرق'!$DR$3:$DR$60,'بيانات الفرق'!$DR$3:$DR$60)),0)</f>
        <v>3</v>
      </c>
      <c r="C28" s="13" t="str" cm="1">
        <f t="array" ref="C28">_xlfn.TEXTJOIN(" + ",TRUE,COUNTIF('بيانات الفرق'!$DR$3:$DR$60,"المجموعة "&amp;_xlfn.SEQUENCE($B28)))</f>
        <v>20 + 19 + 19</v>
      </c>
      <c r="D28" s="18" t="str" cm="1">
        <f t="array" ref="D28">_xlfn.TEXTJOIN(" + ",TRUE,IF(ROUNDDOWN(_xlfn.MINIFS('بيانات الفرق'!$DS$3:$DS$60,'بيانات الفرق'!$DR$3:$DR$60,"المجموعة "&amp;_xlfn.SEQUENCE($B28))/_xlfn.MINIFS('بيانات الفرق'!$DT$3:$DT$60,'بيانات الفرق'!$DR$3:$DR$60,"المجموعة "&amp;_xlfn.SEQUENCE($B28)),0)=ROUNDUP(_xlfn.MAXIFS('بيانات الفرق'!$DS$3:$DS$60,'بيانات الفرق'!$DR$3:$DR$60,"المجموعة "&amp;_xlfn.SEQUENCE($B28))/_xlfn.MINIFS('بيانات الفرق'!$DT$3:$DT$60,'بيانات الفرق'!$DR$3:$DR$60,"المجموعة "&amp;_xlfn.SEQUENCE($B28)),0),ROUNDDOWN(_xlfn.MINIFS('بيانات الفرق'!$DS$3:$DS$60,'بيانات الفرق'!$DR$3:$DR$60,"المجموعة "&amp;_xlfn.SEQUENCE($B28))/_xlfn.MINIFS('بيانات الفرق'!$DT$3:$DT$60,'بيانات الفرق'!$DR$3:$DR$60,"المجموعة "&amp;_xlfn.SEQUENCE($B28)),0),ROUNDDOWN(_xlfn.MINIFS('بيانات الفرق'!$DS$3:$DS$60,'بيانات الفرق'!$DR$3:$DR$60,"المجموعة "&amp;_xlfn.SEQUENCE($B28))/_xlfn.MINIFS('بيانات الفرق'!$DT$3:$DT$60,'بيانات الفرق'!$DR$3:$DR$60,"المجموعة "&amp;_xlfn.SEQUENCE($B28)),0)&amp;"–"&amp;ROUNDUP(_xlfn.MAXIFS('بيانات الفرق'!$DS$3:$DS$60,'بيانات الفرق'!$DR$3:$DR$60,"المجموعة "&amp;_xlfn.SEQUENCE($B28))/_xlfn.MINIFS('بيانات الفرق'!$DT$3:$DT$60,'بيانات الفرق'!$DR$3:$DR$60,"المجموعة "&amp;_xlfn.SEQUENCE($B28)),0)))</f>
        <v>1 + 1 + 1</v>
      </c>
      <c r="E28" s="13" t="str" cm="1">
        <f t="array" ref="E28">_xlfn.TEXTJOIN(" + ",TRUE,IF(_xlfn.MINIFS('بيانات الفرق'!$DS$3:$DS$60,'بيانات الفرق'!$DR$3:$DR$60,"المجموعة "&amp;_xlfn.SEQUENCE($B28))=_xlfn.MAXIFS('بيانات الفرق'!$DS$3:$DS$60,'بيانات الفرق'!$DR$3:$DR$60,"المجموعة "&amp;_xlfn.SEQUENCE($B28)),_xlfn.MINIFS('بيانات الفرق'!$DS$3:$DS$60,'بيانات الفرق'!$DR$3:$DR$60,"المجموعة "&amp;_xlfn.SEQUENCE($B28)),_xlfn.MINIFS('بيانات الفرق'!$DS$3:$DS$60,'بيانات الفرق'!$DR$3:$DR$60,"المجموعة "&amp;_xlfn.SEQUENCE($B28))&amp;"–"&amp;_xlfn.MAXIFS('بيانات الفرق'!$DS$3:$DS$60,'بيانات الفرق'!$DR$3:$DR$60,"المجموعة "&amp;_xlfn.SEQUENCE($B28))))</f>
        <v>19 + 18 + 18</v>
      </c>
      <c r="F28" s="4" t="str">
        <f>IF(COUNTIF('58 فريقًا'!$E$4:$E$1999,"*فائز ر*")&gt;0,"ربع نهائي ثم نصف نهائي ثم نهائي",IF(COUNTIF('58 فريقًا'!$E$4:$E$1999,"*فائز*")&gt;0,"نصف نهائي ثم نهائي",IF(COUNTIF('58 فريقًا'!$E$4:$E$1999,"*أول المجموعة*")&gt;0,"نهائي مباشر","—")))</f>
        <v>نصف نهائي ثم نهائي</v>
      </c>
      <c r="G28" s="4">
        <f>_xlfn.MAXIFS('58 فريقًا'!$A$4:$A$1999,'58 فريقًا'!$E$4:$E$1999,"* ضد *",'58 فريقًا'!$E$4:$E$1999,"&lt;&gt;*فائز*",'58 فريقًا'!$E$4:$E$1999,"&lt;&gt;*أول المجموعة*",'58 فريقًا'!$E$4:$E$1999,"&lt;&gt;*المتأهل*")</f>
        <v>19</v>
      </c>
      <c r="H28" s="4">
        <f>$I28-$G28</f>
        <v>2</v>
      </c>
      <c r="I28" s="3">
        <f>_xlfn.MAXIFS('58 فريقًا'!$A$4:$A$1999,'58 فريقًا'!$E$4:$E$1999,"* ضد *")</f>
        <v>21</v>
      </c>
      <c r="J28" s="4" t="str">
        <f>MOD(HOUR(المدخلات!$B$4)-1,12)+1&amp;":"&amp;TEXT(MINUTE(المدخلات!$B$4),"00")&amp;IF(HOUR(المدخلات!$B$4)&lt;12," ص"," م")</f>
        <v>4:00 م</v>
      </c>
      <c r="K28" s="4" t="str" cm="1">
        <f t="array" ref="K28">_xlfn.LET(_xlpm.p,SUMPRODUCT(MAX((COUNTIF('58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8" s="4">
        <f>_xlfn.MAXIFS('58 فريقًا'!$C$4:$C$1999,'58 فريقًا'!$E$4:$E$1999,"* ضد *")</f>
        <v>10</v>
      </c>
      <c r="M28" s="4">
        <f>ROUNDUP($L28/المدخلات!$B$9,0)</f>
        <v>5</v>
      </c>
      <c r="N28" s="1"/>
      <c r="O28" s="1"/>
      <c r="P28" s="10"/>
    </row>
    <row r="29" spans="1:16" ht="14.5">
      <c r="A29" s="14">
        <v>64</v>
      </c>
      <c r="B29" s="4" cm="1">
        <f t="array" ref="B29">ROUND(SUMPRODUCT(1/COUNTIF('بيانات الفرق'!$DW$3:$DW$66,'بيانات الفرق'!$DW$3:$DW$66)),0)</f>
        <v>4</v>
      </c>
      <c r="C29" s="13" t="str" cm="1">
        <f t="array" ref="C29">_xlfn.TEXTJOIN(" + ",TRUE,COUNTIF('بيانات الفرق'!$DW$3:$DW$66,"المجموعة "&amp;_xlfn.SEQUENCE($B29)))</f>
        <v>16 + 16 + 16 + 16</v>
      </c>
      <c r="D29" s="18" t="str" cm="1">
        <f t="array" ref="D29">_xlfn.TEXTJOIN(" + ",TRUE,IF(ROUNDDOWN(_xlfn.MINIFS('بيانات الفرق'!$DX$3:$DX$66,'بيانات الفرق'!$DW$3:$DW$66,"المجموعة "&amp;_xlfn.SEQUENCE($B29))/_xlfn.MINIFS('بيانات الفرق'!$DY$3:$DY$66,'بيانات الفرق'!$DW$3:$DW$66,"المجموعة "&amp;_xlfn.SEQUENCE($B29)),0)=ROUNDUP(_xlfn.MAXIFS('بيانات الفرق'!$DX$3:$DX$66,'بيانات الفرق'!$DW$3:$DW$66,"المجموعة "&amp;_xlfn.SEQUENCE($B29))/_xlfn.MINIFS('بيانات الفرق'!$DY$3:$DY$66,'بيانات الفرق'!$DW$3:$DW$66,"المجموعة "&amp;_xlfn.SEQUENCE($B29)),0),ROUNDDOWN(_xlfn.MINIFS('بيانات الفرق'!$DX$3:$DX$66,'بيانات الفرق'!$DW$3:$DW$66,"المجموعة "&amp;_xlfn.SEQUENCE($B29))/_xlfn.MINIFS('بيانات الفرق'!$DY$3:$DY$66,'بيانات الفرق'!$DW$3:$DW$66,"المجموعة "&amp;_xlfn.SEQUENCE($B29)),0),ROUNDDOWN(_xlfn.MINIFS('بيانات الفرق'!$DX$3:$DX$66,'بيانات الفرق'!$DW$3:$DW$66,"المجموعة "&amp;_xlfn.SEQUENCE($B29))/_xlfn.MINIFS('بيانات الفرق'!$DY$3:$DY$66,'بيانات الفرق'!$DW$3:$DW$66,"المجموعة "&amp;_xlfn.SEQUENCE($B29)),0)&amp;"–"&amp;ROUNDUP(_xlfn.MAXIFS('بيانات الفرق'!$DX$3:$DX$66,'بيانات الفرق'!$DW$3:$DW$66,"المجموعة "&amp;_xlfn.SEQUENCE($B29))/_xlfn.MINIFS('بيانات الفرق'!$DY$3:$DY$66,'بيانات الفرق'!$DW$3:$DW$66,"المجموعة "&amp;_xlfn.SEQUENCE($B29)),0)))</f>
        <v>1–2 + 1–2 + 1–2 + 1–2</v>
      </c>
      <c r="E29" s="13" t="str" cm="1">
        <f t="array" ref="E29">_xlfn.TEXTJOIN(" + ",TRUE,IF(_xlfn.MINIFS('بيانات الفرق'!$DX$3:$DX$66,'بيانات الفرق'!$DW$3:$DW$66,"المجموعة "&amp;_xlfn.SEQUENCE($B29))=_xlfn.MAXIFS('بيانات الفرق'!$DX$3:$DX$66,'بيانات الفرق'!$DW$3:$DW$66,"المجموعة "&amp;_xlfn.SEQUENCE($B29)),_xlfn.MINIFS('بيانات الفرق'!$DX$3:$DX$66,'بيانات الفرق'!$DW$3:$DW$66,"المجموعة "&amp;_xlfn.SEQUENCE($B29)),_xlfn.MINIFS('بيانات الفرق'!$DX$3:$DX$66,'بيانات الفرق'!$DW$3:$DW$66,"المجموعة "&amp;_xlfn.SEQUENCE($B29))&amp;"–"&amp;_xlfn.MAXIFS('بيانات الفرق'!$DX$3:$DX$66,'بيانات الفرق'!$DW$3:$DW$66,"المجموعة "&amp;_xlfn.SEQUENCE($B29))))</f>
        <v>18 + 18 + 18 + 18</v>
      </c>
      <c r="F29" s="4" t="str">
        <f>IF(COUNTIF('64 فريقًا'!$E$4:$E$1999,"*فائز ر*")&gt;0,"ربع نهائي ثم نصف نهائي ثم نهائي",IF(COUNTIF('64 فريقًا'!$E$4:$E$1999,"*فائز*")&gt;0,"نصف نهائي ثم نهائي",IF(COUNTIF('64 فريقًا'!$E$4:$E$1999,"*أول المجموعة*")&gt;0,"نهائي مباشر","—")))</f>
        <v>نصف نهائي ثم نهائي</v>
      </c>
      <c r="G29" s="4">
        <f>_xlfn.MAXIFS('64 فريقًا'!$A$4:$A$1999,'64 فريقًا'!$E$4:$E$1999,"* ضد *",'64 فريقًا'!$E$4:$E$1999,"&lt;&gt;*فائز*",'64 فريقًا'!$E$4:$E$1999,"&lt;&gt;*أول المجموعة*",'64 فريقًا'!$E$4:$E$1999,"&lt;&gt;*المتأهل*")</f>
        <v>18</v>
      </c>
      <c r="H29" s="4">
        <f>$I29-$G29</f>
        <v>2</v>
      </c>
      <c r="I29" s="3">
        <f>_xlfn.MAXIFS('64 فريقًا'!$A$4:$A$1999,'64 فريقًا'!$E$4:$E$1999,"* ضد *")</f>
        <v>20</v>
      </c>
      <c r="J29" s="4" t="str">
        <f>MOD(HOUR(المدخلات!$B$4)-1,12)+1&amp;":"&amp;TEXT(MINUTE(المدخلات!$B$4),"00")&amp;IF(HOUR(المدخلات!$B$4)&lt;12," ص"," م")</f>
        <v>4:00 م</v>
      </c>
      <c r="K29" s="4" t="str" cm="1">
        <f t="array" ref="K29">_xlfn.LET(_xlpm.p,SUMPRODUCT(MAX((COUNTIF('64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29" s="4">
        <f>_xlfn.MAXIFS('64 فريقًا'!$C$4:$C$1999,'64 فريقًا'!$E$4:$E$1999,"* ضد *")</f>
        <v>12</v>
      </c>
      <c r="M29" s="4">
        <f>ROUNDUP($L29/المدخلات!$B$9,0)</f>
        <v>6</v>
      </c>
      <c r="N29" s="1"/>
      <c r="O29" s="1"/>
      <c r="P29" s="10"/>
    </row>
    <row r="30" spans="1:16" ht="14.5">
      <c r="A30" s="14">
        <v>67</v>
      </c>
      <c r="B30" s="4" cm="1">
        <f t="array" ref="B30">ROUND(SUMPRODUCT(1/COUNTIF('بيانات الفرق'!$EB$3:$EB$69,'بيانات الفرق'!$EB$3:$EB$69)),0)</f>
        <v>4</v>
      </c>
      <c r="C30" s="13" t="str" cm="1">
        <f t="array" ref="C30">_xlfn.TEXTJOIN(" + ",TRUE,COUNTIF('بيانات الفرق'!$EB$3:$EB$69,"المجموعة "&amp;_xlfn.SEQUENCE($B30)))</f>
        <v>17 + 17 + 17 + 16</v>
      </c>
      <c r="D30" s="18" t="str" cm="1">
        <f t="array" ref="D30">_xlfn.TEXTJOIN(" + ",TRUE,IF(ROUNDDOWN(_xlfn.MINIFS('بيانات الفرق'!$EC$3:$EC$69,'بيانات الفرق'!$EB$3:$EB$69,"المجموعة "&amp;_xlfn.SEQUENCE($B30))/_xlfn.MINIFS('بيانات الفرق'!$ED$3:$ED$69,'بيانات الفرق'!$EB$3:$EB$69,"المجموعة "&amp;_xlfn.SEQUENCE($B30)),0)=ROUNDUP(_xlfn.MAXIFS('بيانات الفرق'!$EC$3:$EC$69,'بيانات الفرق'!$EB$3:$EB$69,"المجموعة "&amp;_xlfn.SEQUENCE($B30))/_xlfn.MINIFS('بيانات الفرق'!$ED$3:$ED$69,'بيانات الفرق'!$EB$3:$EB$69,"المجموعة "&amp;_xlfn.SEQUENCE($B30)),0),ROUNDDOWN(_xlfn.MINIFS('بيانات الفرق'!$EC$3:$EC$69,'بيانات الفرق'!$EB$3:$EB$69,"المجموعة "&amp;_xlfn.SEQUENCE($B30))/_xlfn.MINIFS('بيانات الفرق'!$ED$3:$ED$69,'بيانات الفرق'!$EB$3:$EB$69,"المجموعة "&amp;_xlfn.SEQUENCE($B30)),0),ROUNDDOWN(_xlfn.MINIFS('بيانات الفرق'!$EC$3:$EC$69,'بيانات الفرق'!$EB$3:$EB$69,"المجموعة "&amp;_xlfn.SEQUENCE($B30))/_xlfn.MINIFS('بيانات الفرق'!$ED$3:$ED$69,'بيانات الفرق'!$EB$3:$EB$69,"المجموعة "&amp;_xlfn.SEQUENCE($B30)),0)&amp;"–"&amp;ROUNDUP(_xlfn.MAXIFS('بيانات الفرق'!$EC$3:$EC$69,'بيانات الفرق'!$EB$3:$EB$69,"المجموعة "&amp;_xlfn.SEQUENCE($B30))/_xlfn.MINIFS('بيانات الفرق'!$ED$3:$ED$69,'بيانات الفرق'!$EB$3:$EB$69,"المجموعة "&amp;_xlfn.SEQUENCE($B30)),0)))</f>
        <v>1–2 + 1–2 + 1–2 + 1–2</v>
      </c>
      <c r="E30" s="13" t="str" cm="1">
        <f t="array" ref="E30">_xlfn.TEXTJOIN(" + ",TRUE,IF(_xlfn.MINIFS('بيانات الفرق'!$EC$3:$EC$69,'بيانات الفرق'!$EB$3:$EB$69,"المجموعة "&amp;_xlfn.SEQUENCE($B30))=_xlfn.MAXIFS('بيانات الفرق'!$EC$3:$EC$69,'بيانات الفرق'!$EB$3:$EB$69,"المجموعة "&amp;_xlfn.SEQUENCE($B30)),_xlfn.MINIFS('بيانات الفرق'!$EC$3:$EC$69,'بيانات الفرق'!$EB$3:$EB$69,"المجموعة "&amp;_xlfn.SEQUENCE($B30)),_xlfn.MINIFS('بيانات الفرق'!$EC$3:$EC$69,'بيانات الفرق'!$EB$3:$EB$69,"المجموعة "&amp;_xlfn.SEQUENCE($B30))&amp;"–"&amp;_xlfn.MAXIFS('بيانات الفرق'!$EC$3:$EC$69,'بيانات الفرق'!$EB$3:$EB$69,"المجموعة "&amp;_xlfn.SEQUENCE($B30))))</f>
        <v>18 + 18 + 18 + 18</v>
      </c>
      <c r="F30" s="4" t="str">
        <f>IF(COUNTIF('67 فريقًا'!$E$4:$E$1999,"*فائز ر*")&gt;0,"ربع نهائي ثم نصف نهائي ثم نهائي",IF(COUNTIF('67 فريقًا'!$E$4:$E$1999,"*فائز*")&gt;0,"نصف نهائي ثم نهائي",IF(COUNTIF('67 فريقًا'!$E$4:$E$1999,"*أول المجموعة*")&gt;0,"نهائي مباشر","—")))</f>
        <v>نصف نهائي ثم نهائي</v>
      </c>
      <c r="G30" s="4">
        <f>_xlfn.MAXIFS('67 فريقًا'!$A$4:$A$1999,'67 فريقًا'!$E$4:$E$1999,"* ضد *",'67 فريقًا'!$E$4:$E$1999,"&lt;&gt;*فائز*",'67 فريقًا'!$E$4:$E$1999,"&lt;&gt;*أول المجموعة*",'67 فريقًا'!$E$4:$E$1999,"&lt;&gt;*المتأهل*")</f>
        <v>20</v>
      </c>
      <c r="H30" s="4">
        <f>$I30-$G30</f>
        <v>2</v>
      </c>
      <c r="I30" s="3">
        <f>_xlfn.MAXIFS('67 فريقًا'!$A$4:$A$1999,'67 فريقًا'!$E$4:$E$1999,"* ضد *")</f>
        <v>22</v>
      </c>
      <c r="J30" s="4" t="str">
        <f>MOD(HOUR(المدخلات!$B$4)-1,12)+1&amp;":"&amp;TEXT(MINUTE(المدخلات!$B$4),"00")&amp;IF(HOUR(المدخلات!$B$4)&lt;12," ص"," م")</f>
        <v>4:00 م</v>
      </c>
      <c r="K30" s="4" t="str" cm="1">
        <f t="array" ref="K30">_xlfn.LET(_xlpm.p,SUMPRODUCT(MAX((COUNTIF('67 فريقًا'!$B$4:$B$1999,المدخلات!$F$4:$F$7)&gt;0)*(المدخلات!$F$4:$F$7&lt;&gt;"")*ROW(المدخلات!$F$4:$F$7)))-3,_xlpm.t,INDEX(المدخلات!$F$4:$F$7,_xlpm.p),TRIM(MID(_xlpm.t,FIND("–",_xlpm.t)+1,20)))</f>
        <v>7:50 م</v>
      </c>
      <c r="L30" s="4">
        <f>_xlfn.MAXIFS('67 فريقًا'!$C$4:$C$1999,'67 فريقًا'!$E$4:$E$1999,"* ضد *")</f>
        <v>12</v>
      </c>
      <c r="M30" s="4">
        <f>ROUNDUP($L30/المدخلات!$B$9,0)</f>
        <v>6</v>
      </c>
      <c r="N30" s="1"/>
      <c r="O30" s="1"/>
      <c r="P30" s="10"/>
    </row>
    <row r="31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10"/>
    </row>
    <row r="32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0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0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0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0"/>
    </row>
    <row r="36" spans="1:16">
      <c r="N36" s="10"/>
      <c r="O36" s="10"/>
      <c r="P36" s="10"/>
    </row>
    <row r="37" spans="1:16">
      <c r="N37" s="10"/>
      <c r="O37" s="10"/>
      <c r="P37" s="10"/>
    </row>
    <row r="38" spans="1:16">
      <c r="N38" s="10"/>
      <c r="O38" s="10"/>
      <c r="P38" s="10"/>
    </row>
    <row r="39" spans="1:16">
      <c r="N39" s="10"/>
      <c r="O39" s="10"/>
      <c r="P39" s="10"/>
    </row>
    <row r="40" spans="1:16">
      <c r="N40" s="10"/>
      <c r="O40" s="10"/>
      <c r="P40" s="10"/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2396-2A11-48BD-B461-25653C857C07}">
  <dimension ref="A1:G75"/>
  <sheetViews>
    <sheetView rightToLeft="1" zoomScale="63" workbookViewId="0">
      <pane ySplit="3" topLeftCell="A57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979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19</v>
      </c>
      <c r="E4" s="2"/>
      <c r="F4" s="2"/>
    </row>
    <row r="5" spans="1:6" ht="14" customHeight="1">
      <c r="A5" s="8">
        <v>1</v>
      </c>
      <c r="B5" s="7" t="str">
        <f>المدخلات!$F$5</f>
        <v>5:20–6:30 م</v>
      </c>
      <c r="C5" s="7">
        <v>1</v>
      </c>
      <c r="D5" s="7" t="s">
        <v>7</v>
      </c>
      <c r="E5" s="2"/>
      <c r="F5" s="2"/>
    </row>
    <row r="6" spans="1:6" ht="14" customHeight="1">
      <c r="A6" s="8">
        <v>1</v>
      </c>
      <c r="B6" s="7" t="str">
        <f>المدخلات!$F$6</f>
        <v>6:40–7:50 م</v>
      </c>
      <c r="C6" s="7">
        <v>1</v>
      </c>
      <c r="D6" s="7" t="s">
        <v>15</v>
      </c>
      <c r="E6" s="2"/>
      <c r="F6" s="2"/>
    </row>
    <row r="7" spans="1:6" ht="14" customHeight="1">
      <c r="A7" s="8">
        <v>2</v>
      </c>
      <c r="B7" s="7" t="str">
        <f>المدخلات!$F$4</f>
        <v>4:00–5:10 م</v>
      </c>
      <c r="C7" s="7">
        <v>1</v>
      </c>
      <c r="D7" s="7" t="s">
        <v>1035</v>
      </c>
      <c r="E7" s="2"/>
      <c r="F7" s="2"/>
    </row>
    <row r="8" spans="1:6" ht="14" customHeight="1">
      <c r="A8" s="8">
        <v>2</v>
      </c>
      <c r="B8" s="7" t="str">
        <f>المدخلات!$F$5</f>
        <v>5:20–6:30 م</v>
      </c>
      <c r="C8" s="7">
        <v>1</v>
      </c>
      <c r="D8" s="7" t="s">
        <v>9</v>
      </c>
      <c r="E8" s="2"/>
      <c r="F8" s="2"/>
    </row>
    <row r="9" spans="1:6" ht="14" customHeight="1">
      <c r="A9" s="8">
        <v>2</v>
      </c>
      <c r="B9" s="7" t="str">
        <f>المدخلات!$F$6</f>
        <v>6:40–7:50 م</v>
      </c>
      <c r="C9" s="7">
        <v>1</v>
      </c>
      <c r="D9" s="7" t="s">
        <v>17</v>
      </c>
      <c r="E9" s="2"/>
      <c r="F9" s="2"/>
    </row>
    <row r="10" spans="1:6" ht="14" customHeight="1">
      <c r="A10" s="8">
        <v>3</v>
      </c>
      <c r="B10" s="7" t="str">
        <f>المدخلات!$F$4</f>
        <v>4:00–5:10 م</v>
      </c>
      <c r="C10" s="7">
        <v>1</v>
      </c>
      <c r="D10" s="7" t="s">
        <v>634</v>
      </c>
      <c r="E10" s="2"/>
      <c r="F10" s="2"/>
    </row>
    <row r="11" spans="1:6" ht="14" customHeight="1">
      <c r="A11" s="8">
        <v>3</v>
      </c>
      <c r="B11" s="7" t="str">
        <f>المدخلات!$F$5</f>
        <v>5:20–6:30 م</v>
      </c>
      <c r="C11" s="7">
        <v>1</v>
      </c>
      <c r="D11" s="7" t="s">
        <v>13</v>
      </c>
      <c r="E11" s="2"/>
      <c r="F11" s="2"/>
    </row>
    <row r="12" spans="1:6" ht="14" customHeight="1">
      <c r="A12" s="8">
        <v>3</v>
      </c>
      <c r="B12" s="7" t="str">
        <f>المدخلات!$F$6</f>
        <v>6:40–7:50 م</v>
      </c>
      <c r="C12" s="7">
        <v>1</v>
      </c>
      <c r="D12" s="7" t="s">
        <v>18</v>
      </c>
      <c r="E12" s="2"/>
      <c r="F12" s="2"/>
    </row>
    <row r="13" spans="1:6" ht="14" customHeight="1">
      <c r="A13" s="8">
        <v>4</v>
      </c>
      <c r="B13" s="7" t="str">
        <f>المدخلات!$F$4</f>
        <v>4:00–5:10 م</v>
      </c>
      <c r="C13" s="7">
        <v>1</v>
      </c>
      <c r="D13" s="7" t="s">
        <v>647</v>
      </c>
      <c r="E13" s="2"/>
      <c r="F13" s="2"/>
    </row>
    <row r="14" spans="1:6" ht="14" customHeight="1">
      <c r="A14" s="8">
        <v>4</v>
      </c>
      <c r="B14" s="7" t="str">
        <f>المدخلات!$F$5</f>
        <v>5:20–6:30 م</v>
      </c>
      <c r="C14" s="7">
        <v>1</v>
      </c>
      <c r="D14" s="7" t="s">
        <v>8</v>
      </c>
      <c r="E14" s="2"/>
      <c r="F14" s="2"/>
    </row>
    <row r="15" spans="1:6" ht="14" customHeight="1">
      <c r="A15" s="8">
        <v>4</v>
      </c>
      <c r="B15" s="7" t="str">
        <f>المدخلات!$F$6</f>
        <v>6:40–7:50 م</v>
      </c>
      <c r="C15" s="7">
        <v>1</v>
      </c>
      <c r="D15" s="7" t="s">
        <v>16</v>
      </c>
      <c r="E15" s="2"/>
      <c r="F15" s="2"/>
    </row>
    <row r="16" spans="1:6" ht="14" customHeight="1">
      <c r="A16" s="8">
        <v>5</v>
      </c>
      <c r="B16" s="7" t="str">
        <f>المدخلات!$F$4</f>
        <v>4:00–5:10 م</v>
      </c>
      <c r="C16" s="7">
        <v>1</v>
      </c>
      <c r="D16" s="7" t="s">
        <v>1036</v>
      </c>
      <c r="E16" s="2"/>
      <c r="F16" s="2"/>
    </row>
    <row r="17" spans="1:6" ht="14" customHeight="1">
      <c r="A17" s="8">
        <v>5</v>
      </c>
      <c r="B17" s="7" t="str">
        <f>المدخلات!$F$5</f>
        <v>5:20–6:30 م</v>
      </c>
      <c r="C17" s="7">
        <v>1</v>
      </c>
      <c r="D17" s="7" t="s">
        <v>1037</v>
      </c>
      <c r="E17" s="2"/>
      <c r="F17" s="2"/>
    </row>
    <row r="18" spans="1:6" ht="14" customHeight="1">
      <c r="A18" s="8">
        <v>5</v>
      </c>
      <c r="B18" s="7" t="str">
        <f>المدخلات!$F$6</f>
        <v>6:40–7:50 م</v>
      </c>
      <c r="C18" s="7">
        <v>1</v>
      </c>
      <c r="D18" s="7" t="s">
        <v>10</v>
      </c>
      <c r="E18" s="2"/>
      <c r="F18" s="2"/>
    </row>
    <row r="19" spans="1:6" ht="14" customHeight="1">
      <c r="A19" s="8">
        <v>6</v>
      </c>
      <c r="B19" s="7" t="str">
        <f>المدخلات!$F$4</f>
        <v>4:00–5:10 م</v>
      </c>
      <c r="C19" s="7">
        <v>1</v>
      </c>
      <c r="D19" s="7" t="s">
        <v>1042</v>
      </c>
      <c r="E19" s="2"/>
      <c r="F19" s="2"/>
    </row>
    <row r="20" spans="1:6" ht="14" customHeight="1">
      <c r="A20" s="8">
        <v>6</v>
      </c>
      <c r="B20" s="7" t="str">
        <f>المدخلات!$F$5</f>
        <v>5:20–6:30 م</v>
      </c>
      <c r="C20" s="7">
        <v>1</v>
      </c>
      <c r="D20" s="7" t="s">
        <v>1039</v>
      </c>
      <c r="E20" s="2"/>
      <c r="F20" s="2"/>
    </row>
    <row r="21" spans="1:6" ht="14" customHeight="1">
      <c r="A21" s="8">
        <v>6</v>
      </c>
      <c r="B21" s="7" t="str">
        <f>المدخلات!$F$6</f>
        <v>6:40–7:50 م</v>
      </c>
      <c r="C21" s="7">
        <v>1</v>
      </c>
      <c r="D21" s="7" t="s">
        <v>19</v>
      </c>
      <c r="E21" s="2"/>
      <c r="F21" s="2"/>
    </row>
    <row r="22" spans="1:6" ht="14" customHeight="1">
      <c r="A22" s="8">
        <v>7</v>
      </c>
      <c r="B22" s="7" t="str">
        <f>المدخلات!$F$4</f>
        <v>4:00–5:10 م</v>
      </c>
      <c r="C22" s="7">
        <v>1</v>
      </c>
      <c r="D22" s="7" t="s">
        <v>20</v>
      </c>
      <c r="E22" s="2"/>
      <c r="F22" s="2"/>
    </row>
    <row r="23" spans="1:6" ht="14" customHeight="1">
      <c r="A23" s="8">
        <v>7</v>
      </c>
      <c r="B23" s="7" t="str">
        <f>المدخلات!$F$5</f>
        <v>5:20–6:30 م</v>
      </c>
      <c r="C23" s="7">
        <v>1</v>
      </c>
      <c r="D23" s="7" t="s">
        <v>9</v>
      </c>
      <c r="E23" s="2"/>
      <c r="F23" s="2"/>
    </row>
    <row r="24" spans="1:6" ht="14" customHeight="1">
      <c r="A24" s="8">
        <v>7</v>
      </c>
      <c r="B24" s="7" t="str">
        <f>المدخلات!$F$6</f>
        <v>6:40–7:50 م</v>
      </c>
      <c r="C24" s="7">
        <v>1</v>
      </c>
      <c r="D24" s="7" t="s">
        <v>17</v>
      </c>
      <c r="E24" s="2"/>
      <c r="F24" s="2"/>
    </row>
    <row r="25" spans="1:6" ht="14" customHeight="1">
      <c r="A25" s="8">
        <v>8</v>
      </c>
      <c r="B25" s="7" t="str">
        <f>المدخلات!$F$4</f>
        <v>4:00–5:10 م</v>
      </c>
      <c r="C25" s="7">
        <v>1</v>
      </c>
      <c r="D25" s="7" t="s">
        <v>18</v>
      </c>
      <c r="E25" s="2"/>
      <c r="F25" s="2"/>
    </row>
    <row r="26" spans="1:6" ht="14" customHeight="1">
      <c r="A26" s="8">
        <v>8</v>
      </c>
      <c r="B26" s="7" t="str">
        <f>المدخلات!$F$5</f>
        <v>5:20–6:30 م</v>
      </c>
      <c r="C26" s="7">
        <v>1</v>
      </c>
      <c r="D26" s="7" t="s">
        <v>13</v>
      </c>
      <c r="E26" s="2"/>
      <c r="F26" s="2"/>
    </row>
    <row r="27" spans="1:6" ht="14" customHeight="1">
      <c r="A27" s="8">
        <v>8</v>
      </c>
      <c r="B27" s="7" t="str">
        <f>المدخلات!$F$6</f>
        <v>6:40–7:50 م</v>
      </c>
      <c r="C27" s="7">
        <v>1</v>
      </c>
      <c r="D27" s="7" t="s">
        <v>634</v>
      </c>
      <c r="E27" s="2"/>
      <c r="F27" s="2"/>
    </row>
    <row r="28" spans="1:6" ht="14" customHeight="1">
      <c r="A28" s="8">
        <v>9</v>
      </c>
      <c r="B28" s="7" t="str">
        <f>المدخلات!$F$4</f>
        <v>4:00–5:10 م</v>
      </c>
      <c r="C28" s="7">
        <v>1</v>
      </c>
      <c r="D28" s="7" t="s">
        <v>16</v>
      </c>
      <c r="E28" s="2"/>
      <c r="F28" s="2"/>
    </row>
    <row r="29" spans="1:6" ht="14" customHeight="1">
      <c r="A29" s="8">
        <v>9</v>
      </c>
      <c r="B29" s="7" t="str">
        <f>المدخلات!$F$5</f>
        <v>5:20–6:30 م</v>
      </c>
      <c r="C29" s="7">
        <v>1</v>
      </c>
      <c r="D29" s="7" t="s">
        <v>14</v>
      </c>
      <c r="E29" s="2"/>
      <c r="F29" s="2"/>
    </row>
    <row r="30" spans="1:6" ht="14" customHeight="1">
      <c r="A30" s="8">
        <v>9</v>
      </c>
      <c r="B30" s="7" t="str">
        <f>المدخلات!$F$6</f>
        <v>6:40–7:50 م</v>
      </c>
      <c r="C30" s="7">
        <v>1</v>
      </c>
      <c r="D30" s="7" t="s">
        <v>1040</v>
      </c>
      <c r="E30" s="2"/>
      <c r="F30" s="2"/>
    </row>
    <row r="31" spans="1:6" ht="14" customHeight="1">
      <c r="A31" s="8">
        <v>10</v>
      </c>
      <c r="B31" s="7" t="str">
        <f>المدخلات!$F$4</f>
        <v>4:00–5:10 م</v>
      </c>
      <c r="C31" s="7">
        <v>1</v>
      </c>
      <c r="D31" s="7" t="s">
        <v>11</v>
      </c>
      <c r="E31" s="2"/>
      <c r="F31" s="2"/>
    </row>
    <row r="32" spans="1:6" ht="14" customHeight="1">
      <c r="A32" s="8">
        <v>10</v>
      </c>
      <c r="B32" s="7" t="str">
        <f>المدخلات!$F$5</f>
        <v>5:20–6:30 م</v>
      </c>
      <c r="C32" s="7">
        <v>1</v>
      </c>
      <c r="D32" s="7" t="s">
        <v>1036</v>
      </c>
      <c r="E32" s="2"/>
      <c r="F32" s="2"/>
    </row>
    <row r="33" spans="1:6" ht="14" customHeight="1">
      <c r="A33" s="8">
        <v>10</v>
      </c>
      <c r="B33" s="7" t="str">
        <f>المدخلات!$F$6</f>
        <v>6:40–7:50 م</v>
      </c>
      <c r="C33" s="7">
        <v>1</v>
      </c>
      <c r="D33" s="7" t="s">
        <v>10</v>
      </c>
      <c r="E33" s="2"/>
      <c r="F33" s="2"/>
    </row>
    <row r="34" spans="1:6" ht="14" customHeight="1">
      <c r="A34" s="8">
        <v>11</v>
      </c>
      <c r="B34" s="7" t="str">
        <f>المدخلات!$F$4</f>
        <v>4:00–5:10 م</v>
      </c>
      <c r="C34" s="7">
        <v>1</v>
      </c>
      <c r="D34" s="7" t="s">
        <v>19</v>
      </c>
      <c r="E34" s="2"/>
      <c r="F34" s="2"/>
    </row>
    <row r="35" spans="1:6" ht="14" customHeight="1">
      <c r="A35" s="8">
        <v>11</v>
      </c>
      <c r="B35" s="7" t="str">
        <f>المدخلات!$F$5</f>
        <v>5:20–6:30 م</v>
      </c>
      <c r="C35" s="7">
        <v>1</v>
      </c>
      <c r="D35" s="7" t="s">
        <v>1042</v>
      </c>
      <c r="E35" s="2"/>
      <c r="F35" s="2"/>
    </row>
    <row r="36" spans="1:6" ht="14" customHeight="1">
      <c r="A36" s="8">
        <v>11</v>
      </c>
      <c r="B36" s="7" t="str">
        <f>المدخلات!$F$6</f>
        <v>6:40–7:50 م</v>
      </c>
      <c r="C36" s="7">
        <v>1</v>
      </c>
      <c r="D36" s="7" t="s">
        <v>1039</v>
      </c>
      <c r="E36" s="2"/>
      <c r="F36" s="2"/>
    </row>
    <row r="37" spans="1:6" ht="14" customHeight="1">
      <c r="A37" s="8">
        <v>12</v>
      </c>
      <c r="B37" s="7" t="str">
        <f>المدخلات!$F$4</f>
        <v>4:00–5:10 م</v>
      </c>
      <c r="C37" s="7">
        <v>1</v>
      </c>
      <c r="D37" s="7" t="s">
        <v>1035</v>
      </c>
      <c r="E37" s="2"/>
      <c r="F37" s="2"/>
    </row>
    <row r="38" spans="1:6" ht="14" customHeight="1">
      <c r="A38" s="8">
        <v>12</v>
      </c>
      <c r="B38" s="7" t="str">
        <f>المدخلات!$F$5</f>
        <v>5:20–6:30 م</v>
      </c>
      <c r="C38" s="7">
        <v>1</v>
      </c>
      <c r="D38" s="7" t="s">
        <v>9</v>
      </c>
      <c r="E38" s="2"/>
      <c r="F38" s="2"/>
    </row>
    <row r="39" spans="1:6" ht="14" customHeight="1">
      <c r="A39" s="8">
        <v>12</v>
      </c>
      <c r="B39" s="7" t="str">
        <f>المدخلات!$F$6</f>
        <v>6:40–7:50 م</v>
      </c>
      <c r="C39" s="7">
        <v>1</v>
      </c>
      <c r="D39" s="7" t="s">
        <v>17</v>
      </c>
      <c r="E39" s="2"/>
      <c r="F39" s="2"/>
    </row>
    <row r="40" spans="1:6" ht="14" customHeight="1">
      <c r="A40" s="8">
        <v>13</v>
      </c>
      <c r="B40" s="7" t="str">
        <f>المدخلات!$F$4</f>
        <v>4:00–5:10 م</v>
      </c>
      <c r="C40" s="7">
        <v>1</v>
      </c>
      <c r="D40" s="7" t="s">
        <v>21</v>
      </c>
      <c r="E40" s="2"/>
      <c r="F40" s="2"/>
    </row>
    <row r="41" spans="1:6" ht="14" customHeight="1">
      <c r="A41" s="8">
        <v>13</v>
      </c>
      <c r="B41" s="7" t="str">
        <f>المدخلات!$F$5</f>
        <v>5:20–6:30 م</v>
      </c>
      <c r="C41" s="7">
        <v>1</v>
      </c>
      <c r="D41" s="7" t="s">
        <v>13</v>
      </c>
      <c r="E41" s="2"/>
      <c r="F41" s="2"/>
    </row>
    <row r="42" spans="1:6" ht="14" customHeight="1">
      <c r="A42" s="8">
        <v>13</v>
      </c>
      <c r="B42" s="7" t="str">
        <f>المدخلات!$F$6</f>
        <v>6:40–7:50 م</v>
      </c>
      <c r="C42" s="7">
        <v>1</v>
      </c>
      <c r="D42" s="7" t="s">
        <v>18</v>
      </c>
      <c r="E42" s="2"/>
      <c r="F42" s="2"/>
    </row>
    <row r="43" spans="1:6" ht="14" customHeight="1">
      <c r="A43" s="8">
        <v>14</v>
      </c>
      <c r="B43" s="7" t="str">
        <f>المدخلات!$F$4</f>
        <v>4:00–5:10 م</v>
      </c>
      <c r="C43" s="7">
        <v>1</v>
      </c>
      <c r="D43" s="7" t="s">
        <v>8</v>
      </c>
      <c r="E43" s="2"/>
      <c r="F43" s="2"/>
    </row>
    <row r="44" spans="1:6" ht="14" customHeight="1">
      <c r="A44" s="8">
        <v>14</v>
      </c>
      <c r="B44" s="7" t="str">
        <f>المدخلات!$F$5</f>
        <v>5:20–6:30 م</v>
      </c>
      <c r="C44" s="7">
        <v>1</v>
      </c>
      <c r="D44" s="7" t="s">
        <v>647</v>
      </c>
      <c r="E44" s="2"/>
      <c r="F44" s="2"/>
    </row>
    <row r="45" spans="1:6" ht="14" customHeight="1">
      <c r="A45" s="8">
        <v>14</v>
      </c>
      <c r="B45" s="7" t="str">
        <f>المدخلات!$F$6</f>
        <v>6:40–7:50 م</v>
      </c>
      <c r="C45" s="7">
        <v>1</v>
      </c>
      <c r="D45" s="7" t="s">
        <v>16</v>
      </c>
      <c r="E45" s="2"/>
      <c r="F45" s="2"/>
    </row>
    <row r="46" spans="1:6" ht="14" customHeight="1">
      <c r="A46" s="8">
        <v>15</v>
      </c>
      <c r="B46" s="7" t="str">
        <f>المدخلات!$F$4</f>
        <v>4:00–5:10 م</v>
      </c>
      <c r="C46" s="7">
        <v>1</v>
      </c>
      <c r="D46" s="7" t="s">
        <v>10</v>
      </c>
      <c r="E46" s="2"/>
      <c r="F46" s="2"/>
    </row>
    <row r="47" spans="1:6" ht="14" customHeight="1">
      <c r="A47" s="8">
        <v>15</v>
      </c>
      <c r="B47" s="7" t="str">
        <f>المدخلات!$F$5</f>
        <v>5:20–6:30 م</v>
      </c>
      <c r="C47" s="7">
        <v>1</v>
      </c>
      <c r="D47" s="7" t="s">
        <v>1036</v>
      </c>
      <c r="E47" s="2"/>
      <c r="F47" s="2"/>
    </row>
    <row r="48" spans="1:6" ht="14" customHeight="1">
      <c r="A48" s="8">
        <v>15</v>
      </c>
      <c r="B48" s="7" t="str">
        <f>المدخلات!$F$6</f>
        <v>6:40–7:50 م</v>
      </c>
      <c r="C48" s="7">
        <v>1</v>
      </c>
      <c r="D48" s="7" t="s">
        <v>1037</v>
      </c>
      <c r="E48" s="2"/>
      <c r="F48" s="2"/>
    </row>
    <row r="49" spans="1:6" ht="14" customHeight="1">
      <c r="A49" s="8">
        <v>16</v>
      </c>
      <c r="B49" s="7" t="str">
        <f>المدخلات!$F$4</f>
        <v>4:00–5:10 م</v>
      </c>
      <c r="C49" s="7">
        <v>1</v>
      </c>
      <c r="D49" s="7" t="s">
        <v>19</v>
      </c>
      <c r="E49" s="2"/>
      <c r="F49" s="2"/>
    </row>
    <row r="50" spans="1:6" ht="14" customHeight="1">
      <c r="A50" s="8">
        <v>16</v>
      </c>
      <c r="B50" s="7" t="str">
        <f>المدخلات!$F$5</f>
        <v>5:20–6:30 م</v>
      </c>
      <c r="C50" s="7">
        <v>1</v>
      </c>
      <c r="D50" s="7" t="s">
        <v>1039</v>
      </c>
      <c r="E50" s="2"/>
      <c r="F50" s="2"/>
    </row>
    <row r="51" spans="1:6" ht="14" customHeight="1">
      <c r="A51" s="8">
        <v>16</v>
      </c>
      <c r="B51" s="7" t="str">
        <f>المدخلات!$F$6</f>
        <v>6:40–7:50 م</v>
      </c>
      <c r="C51" s="7">
        <v>1</v>
      </c>
      <c r="D51" s="7" t="s">
        <v>1042</v>
      </c>
      <c r="E51" s="2"/>
      <c r="F51" s="2"/>
    </row>
    <row r="52" spans="1:6" ht="14" customHeight="1">
      <c r="A52" s="8">
        <v>17</v>
      </c>
      <c r="B52" s="7" t="str">
        <f>المدخلات!$F$4</f>
        <v>4:00–5:10 م</v>
      </c>
      <c r="C52" s="7">
        <v>1</v>
      </c>
      <c r="D52" s="7" t="s">
        <v>17</v>
      </c>
      <c r="E52" s="2"/>
      <c r="F52" s="2"/>
    </row>
    <row r="53" spans="1:6" ht="14" customHeight="1">
      <c r="A53" s="8">
        <v>17</v>
      </c>
      <c r="B53" s="7" t="str">
        <f>المدخلات!$F$5</f>
        <v>5:20–6:30 م</v>
      </c>
      <c r="C53" s="7">
        <v>1</v>
      </c>
      <c r="D53" s="7" t="s">
        <v>20</v>
      </c>
      <c r="E53" s="2"/>
      <c r="F53" s="2"/>
    </row>
    <row r="54" spans="1:6" ht="14" customHeight="1">
      <c r="A54" s="8">
        <v>17</v>
      </c>
      <c r="B54" s="7" t="str">
        <f>المدخلات!$F$6</f>
        <v>6:40–7:50 م</v>
      </c>
      <c r="C54" s="7">
        <v>1</v>
      </c>
      <c r="D54" s="7" t="s">
        <v>9</v>
      </c>
      <c r="E54" s="2"/>
      <c r="F54" s="2"/>
    </row>
    <row r="55" spans="1:6" ht="14" customHeight="1">
      <c r="A55" s="8">
        <v>18</v>
      </c>
      <c r="B55" s="7" t="str">
        <f>المدخلات!$F$4</f>
        <v>4:00–5:10 م</v>
      </c>
      <c r="C55" s="7">
        <v>1</v>
      </c>
      <c r="D55" s="7" t="s">
        <v>634</v>
      </c>
      <c r="E55" s="2"/>
      <c r="F55" s="2"/>
    </row>
    <row r="56" spans="1:6" ht="14" customHeight="1">
      <c r="A56" s="8">
        <v>18</v>
      </c>
      <c r="B56" s="7" t="str">
        <f>المدخلات!$F$5</f>
        <v>5:20–6:30 م</v>
      </c>
      <c r="C56" s="7">
        <v>1</v>
      </c>
      <c r="D56" s="7" t="s">
        <v>18</v>
      </c>
      <c r="E56" s="2"/>
      <c r="F56" s="2"/>
    </row>
    <row r="57" spans="1:6" ht="14" customHeight="1">
      <c r="A57" s="8">
        <v>18</v>
      </c>
      <c r="B57" s="7" t="str">
        <f>المدخلات!$F$6</f>
        <v>6:40–7:50 م</v>
      </c>
      <c r="C57" s="7">
        <v>1</v>
      </c>
      <c r="D57" s="7" t="s">
        <v>13</v>
      </c>
      <c r="E57" s="2"/>
      <c r="F57" s="2"/>
    </row>
    <row r="58" spans="1:6" ht="14" customHeight="1">
      <c r="A58" s="8">
        <v>19</v>
      </c>
      <c r="B58" s="7" t="str">
        <f>المدخلات!$F$4</f>
        <v>4:00–5:10 م</v>
      </c>
      <c r="C58" s="7">
        <v>1</v>
      </c>
      <c r="D58" s="7" t="s">
        <v>16</v>
      </c>
      <c r="E58" s="2"/>
      <c r="F58" s="2"/>
    </row>
    <row r="59" spans="1:6" ht="14" customHeight="1">
      <c r="A59" s="8">
        <v>19</v>
      </c>
      <c r="B59" s="7" t="str">
        <f>المدخلات!$F$5</f>
        <v>5:20–6:30 م</v>
      </c>
      <c r="C59" s="7">
        <v>1</v>
      </c>
      <c r="D59" s="7" t="s">
        <v>1040</v>
      </c>
      <c r="E59" s="2"/>
      <c r="F59" s="2"/>
    </row>
    <row r="60" spans="1:6" ht="14" customHeight="1">
      <c r="A60" s="8">
        <v>19</v>
      </c>
      <c r="B60" s="7" t="str">
        <f>المدخلات!$F$6</f>
        <v>6:40–7:50 م</v>
      </c>
      <c r="C60" s="7">
        <v>1</v>
      </c>
      <c r="D60" s="7" t="s">
        <v>14</v>
      </c>
      <c r="E60" s="2"/>
      <c r="F60" s="2"/>
    </row>
    <row r="61" spans="1:6" ht="14" customHeight="1">
      <c r="A61" s="8">
        <v>20</v>
      </c>
      <c r="B61" s="7" t="str">
        <f>المدخلات!$F$4</f>
        <v>4:00–5:10 م</v>
      </c>
      <c r="C61" s="7">
        <v>1</v>
      </c>
      <c r="D61" s="7" t="s">
        <v>11</v>
      </c>
      <c r="E61" s="2"/>
      <c r="F61" s="2"/>
    </row>
    <row r="62" spans="1:6" ht="14" customHeight="1">
      <c r="A62" s="8">
        <v>20</v>
      </c>
      <c r="B62" s="7" t="str">
        <f>المدخلات!$F$5</f>
        <v>5:20–6:30 م</v>
      </c>
      <c r="C62" s="7">
        <v>1</v>
      </c>
      <c r="D62" s="7" t="s">
        <v>10</v>
      </c>
      <c r="E62" s="2"/>
      <c r="F62" s="2"/>
    </row>
    <row r="63" spans="1:6" ht="14" customHeight="1">
      <c r="A63" s="8">
        <v>20</v>
      </c>
      <c r="B63" s="7" t="str">
        <f>المدخلات!$F$6</f>
        <v>6:40–7:50 م</v>
      </c>
      <c r="C63" s="7">
        <v>1</v>
      </c>
      <c r="D63" s="7" t="s">
        <v>1036</v>
      </c>
      <c r="E63" s="2"/>
      <c r="F63" s="2"/>
    </row>
    <row r="64" spans="1:6">
      <c r="A64" s="2"/>
      <c r="B64" s="2"/>
      <c r="C64" s="2"/>
      <c r="D64" s="2"/>
    </row>
    <row r="65" spans="1:7">
      <c r="A65" s="2"/>
      <c r="B65" s="2"/>
      <c r="C65" s="2"/>
      <c r="D65" s="2"/>
    </row>
    <row r="66" spans="1:7" ht="14.5">
      <c r="A66" s="17" t="s">
        <v>828</v>
      </c>
      <c r="B66" s="17"/>
      <c r="C66" s="17"/>
      <c r="D66" s="17"/>
      <c r="E66" s="17"/>
      <c r="F66" s="17"/>
      <c r="G66" s="17"/>
    </row>
    <row r="67" spans="1:7" ht="14.5">
      <c r="A67" s="6" t="s">
        <v>829</v>
      </c>
      <c r="B67" s="6">
        <v>1</v>
      </c>
      <c r="C67" s="6">
        <v>2</v>
      </c>
      <c r="D67" s="6">
        <v>3</v>
      </c>
      <c r="E67" s="6">
        <v>4</v>
      </c>
      <c r="F67" s="6">
        <v>5</v>
      </c>
      <c r="G67" s="6">
        <v>6</v>
      </c>
    </row>
    <row r="68" spans="1:7" ht="14.5">
      <c r="A68" s="14">
        <v>1</v>
      </c>
      <c r="B68" s="4" t="str">
        <f>IF($A68=B$67,"",COUNTIF($D$4:$D$63,$A68&amp;" ضد "&amp;B$67)+COUNTIF($D$4:$D$63,B$67&amp;" ضد "&amp;$A68))</f>
        <v/>
      </c>
      <c r="C68" s="4">
        <f>IF($A68=C$67,"",COUNTIF($D$4:$D$63,$A68&amp;" ضد "&amp;C$67)+COUNTIF($D$4:$D$63,C$67&amp;" ضد "&amp;$A68))</f>
        <v>4</v>
      </c>
      <c r="D68" s="4">
        <f>IF($A68=D$67,"",COUNTIF($D$4:$D$63,$A68&amp;" ضد "&amp;D$67)+COUNTIF($D$4:$D$63,D$67&amp;" ضد "&amp;$A68))</f>
        <v>4</v>
      </c>
      <c r="E68" s="4">
        <f>IF($A68=E$67,"",COUNTIF($D$4:$D$63,$A68&amp;" ضد "&amp;E$67)+COUNTIF($D$4:$D$63,E$67&amp;" ضد "&amp;$A68))</f>
        <v>4</v>
      </c>
      <c r="F68" s="4">
        <f>IF($A68=F$67,"",COUNTIF($D$4:$D$63,$A68&amp;" ضد "&amp;F$67)+COUNTIF($D$4:$D$63,F$67&amp;" ضد "&amp;$A68))</f>
        <v>4</v>
      </c>
      <c r="G68" s="4">
        <f>IF($A68=G$67,"",COUNTIF($D$4:$D$63,$A68&amp;" ضد "&amp;G$67)+COUNTIF($D$4:$D$63,G$67&amp;" ضد "&amp;$A68))</f>
        <v>4</v>
      </c>
    </row>
    <row r="69" spans="1:7" ht="14.5">
      <c r="A69" s="14">
        <v>2</v>
      </c>
      <c r="B69" s="4">
        <f>IF($A69=B$67,"",COUNTIF($D$4:$D$63,$A69&amp;" ضد "&amp;B$67)+COUNTIF($D$4:$D$63,B$67&amp;" ضد "&amp;$A69))</f>
        <v>4</v>
      </c>
      <c r="C69" s="4" t="str">
        <f>IF($A69=C$67,"",COUNTIF($D$4:$D$63,$A69&amp;" ضد "&amp;C$67)+COUNTIF($D$4:$D$63,C$67&amp;" ضد "&amp;$A69))</f>
        <v/>
      </c>
      <c r="D69" s="4">
        <f>IF($A69=D$67,"",COUNTIF($D$4:$D$63,$A69&amp;" ضد "&amp;D$67)+COUNTIF($D$4:$D$63,D$67&amp;" ضد "&amp;$A69))</f>
        <v>4</v>
      </c>
      <c r="E69" s="4">
        <f>IF($A69=E$67,"",COUNTIF($D$4:$D$63,$A69&amp;" ضد "&amp;E$67)+COUNTIF($D$4:$D$63,E$67&amp;" ضد "&amp;$A69))</f>
        <v>4</v>
      </c>
      <c r="F69" s="4">
        <f>IF($A69=F$67,"",COUNTIF($D$4:$D$63,$A69&amp;" ضد "&amp;F$67)+COUNTIF($D$4:$D$63,F$67&amp;" ضد "&amp;$A69))</f>
        <v>4</v>
      </c>
      <c r="G69" s="4">
        <f>IF($A69=G$67,"",COUNTIF($D$4:$D$63,$A69&amp;" ضد "&amp;G$67)+COUNTIF($D$4:$D$63,G$67&amp;" ضد "&amp;$A69))</f>
        <v>4</v>
      </c>
    </row>
    <row r="70" spans="1:7" ht="14.5">
      <c r="A70" s="14">
        <v>3</v>
      </c>
      <c r="B70" s="4">
        <f>IF($A70=B$67,"",COUNTIF($D$4:$D$63,$A70&amp;" ضد "&amp;B$67)+COUNTIF($D$4:$D$63,B$67&amp;" ضد "&amp;$A70))</f>
        <v>4</v>
      </c>
      <c r="C70" s="4">
        <f>IF($A70=C$67,"",COUNTIF($D$4:$D$63,$A70&amp;" ضد "&amp;C$67)+COUNTIF($D$4:$D$63,C$67&amp;" ضد "&amp;$A70))</f>
        <v>4</v>
      </c>
      <c r="D70" s="4" t="str">
        <f>IF($A70=D$67,"",COUNTIF($D$4:$D$63,$A70&amp;" ضد "&amp;D$67)+COUNTIF($D$4:$D$63,D$67&amp;" ضد "&amp;$A70))</f>
        <v/>
      </c>
      <c r="E70" s="4">
        <f>IF($A70=E$67,"",COUNTIF($D$4:$D$63,$A70&amp;" ضد "&amp;E$67)+COUNTIF($D$4:$D$63,E$67&amp;" ضد "&amp;$A70))</f>
        <v>4</v>
      </c>
      <c r="F70" s="4">
        <f>IF($A70=F$67,"",COUNTIF($D$4:$D$63,$A70&amp;" ضد "&amp;F$67)+COUNTIF($D$4:$D$63,F$67&amp;" ضد "&amp;$A70))</f>
        <v>4</v>
      </c>
      <c r="G70" s="4">
        <f>IF($A70=G$67,"",COUNTIF($D$4:$D$63,$A70&amp;" ضد "&amp;G$67)+COUNTIF($D$4:$D$63,G$67&amp;" ضد "&amp;$A70))</f>
        <v>4</v>
      </c>
    </row>
    <row r="71" spans="1:7" ht="14.5">
      <c r="A71" s="14">
        <v>4</v>
      </c>
      <c r="B71" s="4">
        <f>IF($A71=B$67,"",COUNTIF($D$4:$D$63,$A71&amp;" ضد "&amp;B$67)+COUNTIF($D$4:$D$63,B$67&amp;" ضد "&amp;$A71))</f>
        <v>4</v>
      </c>
      <c r="C71" s="4">
        <f>IF($A71=C$67,"",COUNTIF($D$4:$D$63,$A71&amp;" ضد "&amp;C$67)+COUNTIF($D$4:$D$63,C$67&amp;" ضد "&amp;$A71))</f>
        <v>4</v>
      </c>
      <c r="D71" s="4">
        <f>IF($A71=D$67,"",COUNTIF($D$4:$D$63,$A71&amp;" ضد "&amp;D$67)+COUNTIF($D$4:$D$63,D$67&amp;" ضد "&amp;$A71))</f>
        <v>4</v>
      </c>
      <c r="E71" s="4" t="str">
        <f>IF($A71=E$67,"",COUNTIF($D$4:$D$63,$A71&amp;" ضد "&amp;E$67)+COUNTIF($D$4:$D$63,E$67&amp;" ضد "&amp;$A71))</f>
        <v/>
      </c>
      <c r="F71" s="4">
        <f>IF($A71=F$67,"",COUNTIF($D$4:$D$63,$A71&amp;" ضد "&amp;F$67)+COUNTIF($D$4:$D$63,F$67&amp;" ضد "&amp;$A71))</f>
        <v>4</v>
      </c>
      <c r="G71" s="4">
        <f>IF($A71=G$67,"",COUNTIF($D$4:$D$63,$A71&amp;" ضد "&amp;G$67)+COUNTIF($D$4:$D$63,G$67&amp;" ضد "&amp;$A71))</f>
        <v>4</v>
      </c>
    </row>
    <row r="72" spans="1:7" ht="14.5">
      <c r="A72" s="14">
        <v>5</v>
      </c>
      <c r="B72" s="4">
        <f>IF($A72=B$67,"",COUNTIF($D$4:$D$63,$A72&amp;" ضد "&amp;B$67)+COUNTIF($D$4:$D$63,B$67&amp;" ضد "&amp;$A72))</f>
        <v>4</v>
      </c>
      <c r="C72" s="4">
        <f>IF($A72=C$67,"",COUNTIF($D$4:$D$63,$A72&amp;" ضد "&amp;C$67)+COUNTIF($D$4:$D$63,C$67&amp;" ضد "&amp;$A72))</f>
        <v>4</v>
      </c>
      <c r="D72" s="4">
        <f>IF($A72=D$67,"",COUNTIF($D$4:$D$63,$A72&amp;" ضد "&amp;D$67)+COUNTIF($D$4:$D$63,D$67&amp;" ضد "&amp;$A72))</f>
        <v>4</v>
      </c>
      <c r="E72" s="4">
        <f>IF($A72=E$67,"",COUNTIF($D$4:$D$63,$A72&amp;" ضد "&amp;E$67)+COUNTIF($D$4:$D$63,E$67&amp;" ضد "&amp;$A72))</f>
        <v>4</v>
      </c>
      <c r="F72" s="4" t="str">
        <f>IF($A72=F$67,"",COUNTIF($D$4:$D$63,$A72&amp;" ضد "&amp;F$67)+COUNTIF($D$4:$D$63,F$67&amp;" ضد "&amp;$A72))</f>
        <v/>
      </c>
      <c r="G72" s="4">
        <f>IF($A72=G$67,"",COUNTIF($D$4:$D$63,$A72&amp;" ضد "&amp;G$67)+COUNTIF($D$4:$D$63,G$67&amp;" ضد "&amp;$A72))</f>
        <v>4</v>
      </c>
    </row>
    <row r="73" spans="1:7" ht="14.5">
      <c r="A73" s="14">
        <v>6</v>
      </c>
      <c r="B73" s="4">
        <f>IF($A73=B$67,"",COUNTIF($D$4:$D$63,$A73&amp;" ضد "&amp;B$67)+COUNTIF($D$4:$D$63,B$67&amp;" ضد "&amp;$A73))</f>
        <v>4</v>
      </c>
      <c r="C73" s="4">
        <f>IF($A73=C$67,"",COUNTIF($D$4:$D$63,$A73&amp;" ضد "&amp;C$67)+COUNTIF($D$4:$D$63,C$67&amp;" ضد "&amp;$A73))</f>
        <v>4</v>
      </c>
      <c r="D73" s="4">
        <f>IF($A73=D$67,"",COUNTIF($D$4:$D$63,$A73&amp;" ضد "&amp;D$67)+COUNTIF($D$4:$D$63,D$67&amp;" ضد "&amp;$A73))</f>
        <v>4</v>
      </c>
      <c r="E73" s="4">
        <f>IF($A73=E$67,"",COUNTIF($D$4:$D$63,$A73&amp;" ضد "&amp;E$67)+COUNTIF($D$4:$D$63,E$67&amp;" ضد "&amp;$A73))</f>
        <v>4</v>
      </c>
      <c r="F73" s="4">
        <f>IF($A73=F$67,"",COUNTIF($D$4:$D$63,$A73&amp;" ضد "&amp;F$67)+COUNTIF($D$4:$D$63,F$67&amp;" ضد "&amp;$A73))</f>
        <v>4</v>
      </c>
      <c r="G73" s="4" t="str">
        <f>IF($A73=G$67,"",COUNTIF($D$4:$D$63,$A73&amp;" ضد "&amp;G$67)+COUNTIF($D$4:$D$63,G$67&amp;" ضد "&amp;$A73))</f>
        <v/>
      </c>
    </row>
    <row r="74" spans="1:7" ht="14.5">
      <c r="A74" s="14" t="s">
        <v>1033</v>
      </c>
      <c r="B74" s="4" cm="1">
        <f t="array" ref="B74">MIN(IF(B68:G73&gt;0,B68:G73))</f>
        <v>4</v>
      </c>
      <c r="C74" s="4"/>
      <c r="D74" s="4"/>
      <c r="E74" s="4"/>
      <c r="F74" s="4"/>
      <c r="G74" s="4"/>
    </row>
    <row r="75" spans="1:7" ht="14.5">
      <c r="A75" s="14" t="s">
        <v>830</v>
      </c>
      <c r="B75" s="4">
        <f>MAX(B68:G73)</f>
        <v>4</v>
      </c>
      <c r="C75" s="4"/>
      <c r="D75" s="4"/>
      <c r="E75" s="4"/>
      <c r="F75" s="4"/>
      <c r="G75" s="4"/>
    </row>
  </sheetData>
  <mergeCells count="2">
    <mergeCell ref="A1:D1"/>
    <mergeCell ref="A66:G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4AC4-79A6-4990-B679-DA69F3022B23}">
  <dimension ref="A1:H79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980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10</v>
      </c>
      <c r="E4" s="2"/>
      <c r="F4" s="2"/>
    </row>
    <row r="5" spans="1:6" ht="14" customHeight="1">
      <c r="A5" s="8">
        <v>1</v>
      </c>
      <c r="B5" s="7" t="str">
        <f>المدخلات!$F$5</f>
        <v>5:20–6:30 م</v>
      </c>
      <c r="C5" s="7">
        <v>1</v>
      </c>
      <c r="D5" s="7" t="s">
        <v>12</v>
      </c>
      <c r="E5" s="2"/>
      <c r="F5" s="2"/>
    </row>
    <row r="6" spans="1:6" ht="14" customHeight="1">
      <c r="A6" s="8">
        <v>1</v>
      </c>
      <c r="B6" s="7" t="str">
        <f>المدخلات!$F$6</f>
        <v>6:40–7:50 م</v>
      </c>
      <c r="C6" s="7">
        <v>1</v>
      </c>
      <c r="D6" s="7" t="s">
        <v>22</v>
      </c>
      <c r="E6" s="2"/>
      <c r="F6" s="2"/>
    </row>
    <row r="7" spans="1:6" ht="14" customHeight="1">
      <c r="A7" s="8">
        <v>2</v>
      </c>
      <c r="B7" s="7" t="str">
        <f>المدخلات!$F$4</f>
        <v>4:00–5:10 م</v>
      </c>
      <c r="C7" s="7">
        <v>1</v>
      </c>
      <c r="D7" s="7" t="s">
        <v>25</v>
      </c>
      <c r="E7" s="2"/>
      <c r="F7" s="2"/>
    </row>
    <row r="8" spans="1:6" ht="14" customHeight="1">
      <c r="A8" s="8">
        <v>2</v>
      </c>
      <c r="B8" s="7" t="str">
        <f>المدخلات!$F$5</f>
        <v>5:20–6:30 م</v>
      </c>
      <c r="C8" s="7">
        <v>1</v>
      </c>
      <c r="D8" s="7" t="s">
        <v>1042</v>
      </c>
      <c r="E8" s="2"/>
      <c r="F8" s="2"/>
    </row>
    <row r="9" spans="1:6" ht="14" customHeight="1">
      <c r="A9" s="8">
        <v>2</v>
      </c>
      <c r="B9" s="7" t="str">
        <f>المدخلات!$F$6</f>
        <v>6:40–7:50 م</v>
      </c>
      <c r="C9" s="7">
        <v>1</v>
      </c>
      <c r="D9" s="7" t="s">
        <v>19</v>
      </c>
      <c r="E9" s="2"/>
      <c r="F9" s="2"/>
    </row>
    <row r="10" spans="1:6" ht="14" customHeight="1">
      <c r="A10" s="8">
        <v>3</v>
      </c>
      <c r="B10" s="7" t="str">
        <f>المدخلات!$F$4</f>
        <v>4:00–5:10 م</v>
      </c>
      <c r="C10" s="7">
        <v>1</v>
      </c>
      <c r="D10" s="7" t="s">
        <v>17</v>
      </c>
      <c r="E10" s="2"/>
      <c r="F10" s="2"/>
    </row>
    <row r="11" spans="1:6" ht="14" customHeight="1">
      <c r="A11" s="8">
        <v>3</v>
      </c>
      <c r="B11" s="7" t="str">
        <f>المدخلات!$F$5</f>
        <v>5:20–6:30 م</v>
      </c>
      <c r="C11" s="7">
        <v>1</v>
      </c>
      <c r="D11" s="7" t="s">
        <v>607</v>
      </c>
      <c r="E11" s="2"/>
      <c r="F11" s="2"/>
    </row>
    <row r="12" spans="1:6" ht="14" customHeight="1">
      <c r="A12" s="8">
        <v>3</v>
      </c>
      <c r="B12" s="7" t="str">
        <f>المدخلات!$F$6</f>
        <v>6:40–7:50 م</v>
      </c>
      <c r="C12" s="7">
        <v>1</v>
      </c>
      <c r="D12" s="7" t="s">
        <v>1039</v>
      </c>
      <c r="E12" s="2"/>
      <c r="F12" s="2"/>
    </row>
    <row r="13" spans="1:6" ht="14" customHeight="1">
      <c r="A13" s="8">
        <v>4</v>
      </c>
      <c r="B13" s="7" t="str">
        <f>المدخلات!$F$4</f>
        <v>4:00–5:10 م</v>
      </c>
      <c r="C13" s="7">
        <v>1</v>
      </c>
      <c r="D13" s="7" t="s">
        <v>622</v>
      </c>
      <c r="E13" s="2"/>
      <c r="F13" s="2"/>
    </row>
    <row r="14" spans="1:6" ht="14" customHeight="1">
      <c r="A14" s="8">
        <v>4</v>
      </c>
      <c r="B14" s="7" t="str">
        <f>المدخلات!$F$5</f>
        <v>5:20–6:30 م</v>
      </c>
      <c r="C14" s="7">
        <v>1</v>
      </c>
      <c r="D14" s="7" t="s">
        <v>9</v>
      </c>
      <c r="E14" s="2"/>
      <c r="F14" s="2"/>
    </row>
    <row r="15" spans="1:6" ht="14" customHeight="1">
      <c r="A15" s="8">
        <v>4</v>
      </c>
      <c r="B15" s="7" t="str">
        <f>المدخلات!$F$6</f>
        <v>6:40–7:50 م</v>
      </c>
      <c r="C15" s="7">
        <v>1</v>
      </c>
      <c r="D15" s="7" t="s">
        <v>20</v>
      </c>
      <c r="E15" s="2"/>
      <c r="F15" s="2"/>
    </row>
    <row r="16" spans="1:6" ht="14" customHeight="1">
      <c r="A16" s="8">
        <v>5</v>
      </c>
      <c r="B16" s="7" t="str">
        <f>المدخلات!$F$4</f>
        <v>4:00–5:10 م</v>
      </c>
      <c r="C16" s="7">
        <v>1</v>
      </c>
      <c r="D16" s="7" t="s">
        <v>633</v>
      </c>
      <c r="E16" s="2"/>
      <c r="F16" s="2"/>
    </row>
    <row r="17" spans="1:6" ht="14" customHeight="1">
      <c r="A17" s="8">
        <v>5</v>
      </c>
      <c r="B17" s="7" t="str">
        <f>المدخلات!$F$5</f>
        <v>5:20–6:30 م</v>
      </c>
      <c r="C17" s="7">
        <v>1</v>
      </c>
      <c r="D17" s="7" t="s">
        <v>18</v>
      </c>
      <c r="E17" s="2"/>
      <c r="F17" s="2"/>
    </row>
    <row r="18" spans="1:6" ht="14" customHeight="1">
      <c r="A18" s="8">
        <v>5</v>
      </c>
      <c r="B18" s="7" t="str">
        <f>المدخلات!$F$6</f>
        <v>6:40–7:50 م</v>
      </c>
      <c r="C18" s="7">
        <v>1</v>
      </c>
      <c r="D18" s="7" t="s">
        <v>634</v>
      </c>
      <c r="E18" s="2"/>
      <c r="F18" s="2"/>
    </row>
    <row r="19" spans="1:6" ht="14" customHeight="1">
      <c r="A19" s="8">
        <v>6</v>
      </c>
      <c r="B19" s="7" t="str">
        <f>المدخلات!$F$4</f>
        <v>4:00–5:10 م</v>
      </c>
      <c r="C19" s="7">
        <v>1</v>
      </c>
      <c r="D19" s="7" t="s">
        <v>23</v>
      </c>
      <c r="E19" s="2"/>
      <c r="F19" s="2"/>
    </row>
    <row r="20" spans="1:6" ht="14" customHeight="1">
      <c r="A20" s="8">
        <v>6</v>
      </c>
      <c r="B20" s="7" t="str">
        <f>المدخلات!$F$5</f>
        <v>5:20–6:30 م</v>
      </c>
      <c r="C20" s="7">
        <v>1</v>
      </c>
      <c r="D20" s="7" t="s">
        <v>14</v>
      </c>
      <c r="E20" s="2"/>
      <c r="F20" s="2"/>
    </row>
    <row r="21" spans="1:6" ht="14" customHeight="1">
      <c r="A21" s="8">
        <v>6</v>
      </c>
      <c r="B21" s="7" t="str">
        <f>المدخلات!$F$6</f>
        <v>6:40–7:50 م</v>
      </c>
      <c r="C21" s="7">
        <v>1</v>
      </c>
      <c r="D21" s="7" t="s">
        <v>1040</v>
      </c>
      <c r="E21" s="2"/>
      <c r="F21" s="2"/>
    </row>
    <row r="22" spans="1:6" ht="14" customHeight="1">
      <c r="A22" s="8">
        <v>7</v>
      </c>
      <c r="B22" s="7" t="str">
        <f>المدخلات!$F$4</f>
        <v>4:00–5:10 م</v>
      </c>
      <c r="C22" s="7">
        <v>1</v>
      </c>
      <c r="D22" s="7" t="s">
        <v>16</v>
      </c>
      <c r="E22" s="2"/>
      <c r="F22" s="2"/>
    </row>
    <row r="23" spans="1:6" ht="14" customHeight="1">
      <c r="A23" s="8">
        <v>7</v>
      </c>
      <c r="B23" s="7" t="str">
        <f>المدخلات!$F$5</f>
        <v>5:20–6:30 م</v>
      </c>
      <c r="C23" s="7">
        <v>1</v>
      </c>
      <c r="D23" s="7" t="s">
        <v>11</v>
      </c>
      <c r="E23" s="2"/>
      <c r="F23" s="2"/>
    </row>
    <row r="24" spans="1:6" ht="14" customHeight="1">
      <c r="A24" s="8">
        <v>7</v>
      </c>
      <c r="B24" s="7" t="str">
        <f>المدخلات!$F$6</f>
        <v>6:40–7:50 م</v>
      </c>
      <c r="C24" s="7">
        <v>1</v>
      </c>
      <c r="D24" s="7" t="s">
        <v>26</v>
      </c>
      <c r="E24" s="2"/>
      <c r="F24" s="2"/>
    </row>
    <row r="25" spans="1:6" ht="14" customHeight="1">
      <c r="A25" s="8">
        <v>8</v>
      </c>
      <c r="B25" s="7" t="str">
        <f>المدخلات!$F$4</f>
        <v>4:00–5:10 م</v>
      </c>
      <c r="C25" s="7">
        <v>1</v>
      </c>
      <c r="D25" s="7" t="s">
        <v>1045</v>
      </c>
      <c r="E25" s="2"/>
      <c r="F25" s="2"/>
    </row>
    <row r="26" spans="1:6" ht="14" customHeight="1">
      <c r="A26" s="8">
        <v>8</v>
      </c>
      <c r="B26" s="7" t="str">
        <f>المدخلات!$F$5</f>
        <v>5:20–6:30 م</v>
      </c>
      <c r="C26" s="7">
        <v>1</v>
      </c>
      <c r="D26" s="7" t="s">
        <v>12</v>
      </c>
      <c r="E26" s="2"/>
      <c r="F26" s="2"/>
    </row>
    <row r="27" spans="1:6" ht="14" customHeight="1">
      <c r="A27" s="8">
        <v>8</v>
      </c>
      <c r="B27" s="7" t="str">
        <f>المدخلات!$F$6</f>
        <v>6:40–7:50 م</v>
      </c>
      <c r="C27" s="7">
        <v>1</v>
      </c>
      <c r="D27" s="7" t="s">
        <v>10</v>
      </c>
      <c r="E27" s="2"/>
      <c r="F27" s="2"/>
    </row>
    <row r="28" spans="1:6" ht="14" customHeight="1">
      <c r="A28" s="8">
        <v>9</v>
      </c>
      <c r="B28" s="7" t="str">
        <f>المدخلات!$F$4</f>
        <v>4:00–5:10 م</v>
      </c>
      <c r="C28" s="7">
        <v>1</v>
      </c>
      <c r="D28" s="7" t="s">
        <v>19</v>
      </c>
      <c r="E28" s="2"/>
      <c r="F28" s="2"/>
    </row>
    <row r="29" spans="1:6" ht="14" customHeight="1">
      <c r="A29" s="8">
        <v>9</v>
      </c>
      <c r="B29" s="7" t="str">
        <f>المدخلات!$F$5</f>
        <v>5:20–6:30 م</v>
      </c>
      <c r="C29" s="7">
        <v>1</v>
      </c>
      <c r="D29" s="7" t="s">
        <v>1047</v>
      </c>
      <c r="E29" s="2"/>
      <c r="F29" s="2"/>
    </row>
    <row r="30" spans="1:6" ht="14" customHeight="1">
      <c r="A30" s="8">
        <v>9</v>
      </c>
      <c r="B30" s="7" t="str">
        <f>المدخلات!$F$6</f>
        <v>6:40–7:50 م</v>
      </c>
      <c r="C30" s="7">
        <v>1</v>
      </c>
      <c r="D30" s="7" t="s">
        <v>7</v>
      </c>
      <c r="E30" s="2"/>
      <c r="F30" s="2"/>
    </row>
    <row r="31" spans="1:6" ht="14" customHeight="1">
      <c r="A31" s="8">
        <v>10</v>
      </c>
      <c r="B31" s="7" t="str">
        <f>المدخلات!$F$4</f>
        <v>4:00–5:10 م</v>
      </c>
      <c r="C31" s="7">
        <v>1</v>
      </c>
      <c r="D31" s="7" t="s">
        <v>17</v>
      </c>
      <c r="E31" s="2"/>
      <c r="F31" s="2"/>
    </row>
    <row r="32" spans="1:6" ht="14" customHeight="1">
      <c r="A32" s="8">
        <v>10</v>
      </c>
      <c r="B32" s="7" t="str">
        <f>المدخلات!$F$5</f>
        <v>5:20–6:30 م</v>
      </c>
      <c r="C32" s="7">
        <v>1</v>
      </c>
      <c r="D32" s="7" t="s">
        <v>24</v>
      </c>
      <c r="E32" s="2"/>
      <c r="F32" s="2"/>
    </row>
    <row r="33" spans="1:6" ht="14" customHeight="1">
      <c r="A33" s="8">
        <v>10</v>
      </c>
      <c r="B33" s="7" t="str">
        <f>المدخلات!$F$6</f>
        <v>6:40–7:50 م</v>
      </c>
      <c r="C33" s="7">
        <v>1</v>
      </c>
      <c r="D33" s="7" t="s">
        <v>1039</v>
      </c>
      <c r="E33" s="2"/>
      <c r="F33" s="2"/>
    </row>
    <row r="34" spans="1:6" ht="14" customHeight="1">
      <c r="A34" s="8">
        <v>11</v>
      </c>
      <c r="B34" s="7" t="str">
        <f>المدخلات!$F$4</f>
        <v>4:00–5:10 م</v>
      </c>
      <c r="C34" s="7">
        <v>1</v>
      </c>
      <c r="D34" s="7" t="s">
        <v>9</v>
      </c>
      <c r="E34" s="2"/>
      <c r="F34" s="2"/>
    </row>
    <row r="35" spans="1:6" ht="14" customHeight="1">
      <c r="A35" s="8">
        <v>11</v>
      </c>
      <c r="B35" s="7" t="str">
        <f>المدخلات!$F$5</f>
        <v>5:20–6:30 م</v>
      </c>
      <c r="C35" s="7">
        <v>1</v>
      </c>
      <c r="D35" s="7" t="s">
        <v>20</v>
      </c>
      <c r="E35" s="2"/>
      <c r="F35" s="2"/>
    </row>
    <row r="36" spans="1:6" ht="14" customHeight="1">
      <c r="A36" s="8">
        <v>11</v>
      </c>
      <c r="B36" s="7" t="str">
        <f>المدخلات!$F$6</f>
        <v>6:40–7:50 م</v>
      </c>
      <c r="C36" s="7">
        <v>1</v>
      </c>
      <c r="D36" s="7" t="s">
        <v>622</v>
      </c>
      <c r="E36" s="2"/>
      <c r="F36" s="2"/>
    </row>
    <row r="37" spans="1:6" ht="14" customHeight="1">
      <c r="A37" s="8">
        <v>12</v>
      </c>
      <c r="B37" s="7" t="str">
        <f>المدخلات!$F$4</f>
        <v>4:00–5:10 م</v>
      </c>
      <c r="C37" s="7">
        <v>1</v>
      </c>
      <c r="D37" s="7" t="s">
        <v>18</v>
      </c>
      <c r="E37" s="2"/>
      <c r="F37" s="2"/>
    </row>
    <row r="38" spans="1:6" ht="14" customHeight="1">
      <c r="A38" s="8">
        <v>12</v>
      </c>
      <c r="B38" s="7" t="str">
        <f>المدخلات!$F$5</f>
        <v>5:20–6:30 م</v>
      </c>
      <c r="C38" s="7">
        <v>1</v>
      </c>
      <c r="D38" s="7" t="s">
        <v>633</v>
      </c>
      <c r="E38" s="2"/>
      <c r="F38" s="2"/>
    </row>
    <row r="39" spans="1:6" ht="14" customHeight="1">
      <c r="A39" s="8">
        <v>12</v>
      </c>
      <c r="B39" s="7" t="str">
        <f>المدخلات!$F$6</f>
        <v>6:40–7:50 م</v>
      </c>
      <c r="C39" s="7">
        <v>1</v>
      </c>
      <c r="D39" s="7" t="s">
        <v>634</v>
      </c>
      <c r="E39" s="2"/>
      <c r="F39" s="2"/>
    </row>
    <row r="40" spans="1:6" ht="14" customHeight="1">
      <c r="A40" s="8">
        <v>13</v>
      </c>
      <c r="B40" s="7" t="str">
        <f>المدخلات!$F$4</f>
        <v>4:00–5:10 م</v>
      </c>
      <c r="C40" s="7">
        <v>1</v>
      </c>
      <c r="D40" s="7" t="s">
        <v>23</v>
      </c>
      <c r="E40" s="2"/>
      <c r="F40" s="2"/>
    </row>
    <row r="41" spans="1:6" ht="14" customHeight="1">
      <c r="A41" s="8">
        <v>13</v>
      </c>
      <c r="B41" s="7" t="str">
        <f>المدخلات!$F$5</f>
        <v>5:20–6:30 م</v>
      </c>
      <c r="C41" s="7">
        <v>1</v>
      </c>
      <c r="D41" s="7" t="s">
        <v>14</v>
      </c>
      <c r="E41" s="2"/>
      <c r="F41" s="2"/>
    </row>
    <row r="42" spans="1:6" ht="14" customHeight="1">
      <c r="A42" s="8">
        <v>13</v>
      </c>
      <c r="B42" s="7" t="str">
        <f>المدخلات!$F$6</f>
        <v>6:40–7:50 م</v>
      </c>
      <c r="C42" s="7">
        <v>1</v>
      </c>
      <c r="D42" s="7" t="s">
        <v>1040</v>
      </c>
      <c r="E42" s="2"/>
      <c r="F42" s="2"/>
    </row>
    <row r="43" spans="1:6" ht="14" customHeight="1">
      <c r="A43" s="8">
        <v>14</v>
      </c>
      <c r="B43" s="7" t="str">
        <f>المدخلات!$F$4</f>
        <v>4:00–5:10 م</v>
      </c>
      <c r="C43" s="7">
        <v>1</v>
      </c>
      <c r="D43" s="7" t="s">
        <v>11</v>
      </c>
      <c r="E43" s="2"/>
      <c r="F43" s="2"/>
    </row>
    <row r="44" spans="1:6" ht="14" customHeight="1">
      <c r="A44" s="8">
        <v>14</v>
      </c>
      <c r="B44" s="7" t="str">
        <f>المدخلات!$F$5</f>
        <v>5:20–6:30 م</v>
      </c>
      <c r="C44" s="7">
        <v>1</v>
      </c>
      <c r="D44" s="7" t="s">
        <v>16</v>
      </c>
      <c r="E44" s="2"/>
      <c r="F44" s="2"/>
    </row>
    <row r="45" spans="1:6" ht="14" customHeight="1">
      <c r="A45" s="8">
        <v>14</v>
      </c>
      <c r="B45" s="7" t="str">
        <f>المدخلات!$F$6</f>
        <v>6:40–7:50 م</v>
      </c>
      <c r="C45" s="7">
        <v>1</v>
      </c>
      <c r="D45" s="7" t="s">
        <v>26</v>
      </c>
      <c r="E45" s="2"/>
      <c r="F45" s="2"/>
    </row>
    <row r="46" spans="1:6" ht="14" customHeight="1">
      <c r="A46" s="8">
        <v>15</v>
      </c>
      <c r="B46" s="7" t="str">
        <f>المدخلات!$F$4</f>
        <v>4:00–5:10 م</v>
      </c>
      <c r="C46" s="7">
        <v>1</v>
      </c>
      <c r="D46" s="7" t="s">
        <v>1045</v>
      </c>
      <c r="E46" s="2"/>
      <c r="F46" s="2"/>
    </row>
    <row r="47" spans="1:6" ht="14" customHeight="1">
      <c r="A47" s="8">
        <v>15</v>
      </c>
      <c r="B47" s="7" t="str">
        <f>المدخلات!$F$5</f>
        <v>5:20–6:30 م</v>
      </c>
      <c r="C47" s="7">
        <v>1</v>
      </c>
      <c r="D47" s="7" t="s">
        <v>12</v>
      </c>
      <c r="E47" s="2"/>
      <c r="F47" s="2"/>
    </row>
    <row r="48" spans="1:6" ht="14" customHeight="1">
      <c r="A48" s="8">
        <v>15</v>
      </c>
      <c r="B48" s="7" t="str">
        <f>المدخلات!$F$6</f>
        <v>6:40–7:50 م</v>
      </c>
      <c r="C48" s="7">
        <v>1</v>
      </c>
      <c r="D48" s="7" t="s">
        <v>10</v>
      </c>
      <c r="E48" s="2"/>
      <c r="F48" s="2"/>
    </row>
    <row r="49" spans="1:6" ht="14" customHeight="1">
      <c r="A49" s="8">
        <v>16</v>
      </c>
      <c r="B49" s="7" t="str">
        <f>المدخلات!$F$4</f>
        <v>4:00–5:10 م</v>
      </c>
      <c r="C49" s="7">
        <v>1</v>
      </c>
      <c r="D49" s="7" t="s">
        <v>19</v>
      </c>
      <c r="E49" s="2"/>
      <c r="F49" s="2"/>
    </row>
    <row r="50" spans="1:6" ht="14" customHeight="1">
      <c r="A50" s="8">
        <v>16</v>
      </c>
      <c r="B50" s="7" t="str">
        <f>المدخلات!$F$5</f>
        <v>5:20–6:30 م</v>
      </c>
      <c r="C50" s="7">
        <v>1</v>
      </c>
      <c r="D50" s="7" t="s">
        <v>1047</v>
      </c>
      <c r="E50" s="2"/>
      <c r="F50" s="2"/>
    </row>
    <row r="51" spans="1:6" ht="14" customHeight="1">
      <c r="A51" s="8">
        <v>16</v>
      </c>
      <c r="B51" s="7" t="str">
        <f>المدخلات!$F$6</f>
        <v>6:40–7:50 م</v>
      </c>
      <c r="C51" s="7">
        <v>1</v>
      </c>
      <c r="D51" s="7" t="s">
        <v>7</v>
      </c>
      <c r="E51" s="2"/>
      <c r="F51" s="2"/>
    </row>
    <row r="52" spans="1:6" ht="14" customHeight="1">
      <c r="A52" s="8">
        <v>17</v>
      </c>
      <c r="B52" s="7" t="str">
        <f>المدخلات!$F$4</f>
        <v>4:00–5:10 م</v>
      </c>
      <c r="C52" s="7">
        <v>1</v>
      </c>
      <c r="D52" s="7" t="s">
        <v>24</v>
      </c>
      <c r="E52" s="2"/>
      <c r="F52" s="2"/>
    </row>
    <row r="53" spans="1:6" ht="14" customHeight="1">
      <c r="A53" s="8">
        <v>17</v>
      </c>
      <c r="B53" s="7" t="str">
        <f>المدخلات!$F$5</f>
        <v>5:20–6:30 م</v>
      </c>
      <c r="C53" s="7">
        <v>1</v>
      </c>
      <c r="D53" s="7" t="s">
        <v>17</v>
      </c>
      <c r="E53" s="2"/>
      <c r="F53" s="2"/>
    </row>
    <row r="54" spans="1:6" ht="14" customHeight="1">
      <c r="A54" s="8">
        <v>17</v>
      </c>
      <c r="B54" s="7" t="str">
        <f>المدخلات!$F$6</f>
        <v>6:40–7:50 م</v>
      </c>
      <c r="C54" s="7">
        <v>1</v>
      </c>
      <c r="D54" s="7" t="s">
        <v>1039</v>
      </c>
      <c r="E54" s="2"/>
      <c r="F54" s="2"/>
    </row>
    <row r="55" spans="1:6" ht="14" customHeight="1">
      <c r="A55" s="8">
        <v>18</v>
      </c>
      <c r="B55" s="7" t="str">
        <f>المدخلات!$F$4</f>
        <v>4:00–5:10 م</v>
      </c>
      <c r="C55" s="7">
        <v>1</v>
      </c>
      <c r="D55" s="7" t="s">
        <v>20</v>
      </c>
      <c r="E55" s="2"/>
      <c r="F55" s="2"/>
    </row>
    <row r="56" spans="1:6" ht="14" customHeight="1">
      <c r="A56" s="8">
        <v>18</v>
      </c>
      <c r="B56" s="7" t="str">
        <f>المدخلات!$F$5</f>
        <v>5:20–6:30 م</v>
      </c>
      <c r="C56" s="7">
        <v>1</v>
      </c>
      <c r="D56" s="7" t="s">
        <v>9</v>
      </c>
      <c r="E56" s="2"/>
      <c r="F56" s="2"/>
    </row>
    <row r="57" spans="1:6" ht="14" customHeight="1">
      <c r="A57" s="8">
        <v>18</v>
      </c>
      <c r="B57" s="7" t="str">
        <f>المدخلات!$F$6</f>
        <v>6:40–7:50 م</v>
      </c>
      <c r="C57" s="7">
        <v>1</v>
      </c>
      <c r="D57" s="7" t="s">
        <v>622</v>
      </c>
      <c r="E57" s="2"/>
      <c r="F57" s="2"/>
    </row>
    <row r="58" spans="1:6" ht="14" customHeight="1">
      <c r="A58" s="8">
        <v>19</v>
      </c>
      <c r="B58" s="7" t="str">
        <f>المدخلات!$F$4</f>
        <v>4:00–5:10 م</v>
      </c>
      <c r="C58" s="7">
        <v>1</v>
      </c>
      <c r="D58" s="7" t="s">
        <v>633</v>
      </c>
      <c r="E58" s="2"/>
      <c r="F58" s="2"/>
    </row>
    <row r="59" spans="1:6" ht="14" customHeight="1">
      <c r="A59" s="8">
        <v>19</v>
      </c>
      <c r="B59" s="7" t="str">
        <f>المدخلات!$F$5</f>
        <v>5:20–6:30 م</v>
      </c>
      <c r="C59" s="7">
        <v>1</v>
      </c>
      <c r="D59" s="7" t="s">
        <v>18</v>
      </c>
      <c r="E59" s="2"/>
      <c r="F59" s="2"/>
    </row>
    <row r="60" spans="1:6" ht="14" customHeight="1">
      <c r="A60" s="8">
        <v>19</v>
      </c>
      <c r="B60" s="7" t="str">
        <f>المدخلات!$F$6</f>
        <v>6:40–7:50 م</v>
      </c>
      <c r="C60" s="7">
        <v>1</v>
      </c>
      <c r="D60" s="7" t="s">
        <v>634</v>
      </c>
      <c r="E60" s="2"/>
      <c r="F60" s="2"/>
    </row>
    <row r="61" spans="1:6" ht="14" customHeight="1">
      <c r="A61" s="8">
        <v>20</v>
      </c>
      <c r="B61" s="7" t="str">
        <f>المدخلات!$F$4</f>
        <v>4:00–5:10 م</v>
      </c>
      <c r="C61" s="7">
        <v>1</v>
      </c>
      <c r="D61" s="7" t="s">
        <v>14</v>
      </c>
      <c r="E61" s="2"/>
      <c r="F61" s="2"/>
    </row>
    <row r="62" spans="1:6" ht="14" customHeight="1">
      <c r="A62" s="8">
        <v>20</v>
      </c>
      <c r="B62" s="7" t="str">
        <f>المدخلات!$F$5</f>
        <v>5:20–6:30 م</v>
      </c>
      <c r="C62" s="7">
        <v>1</v>
      </c>
      <c r="D62" s="7" t="s">
        <v>23</v>
      </c>
      <c r="E62" s="2"/>
      <c r="F62" s="2"/>
    </row>
    <row r="63" spans="1:6" ht="14" customHeight="1">
      <c r="A63" s="8">
        <v>20</v>
      </c>
      <c r="B63" s="7" t="str">
        <f>المدخلات!$F$6</f>
        <v>6:40–7:50 م</v>
      </c>
      <c r="C63" s="7">
        <v>1</v>
      </c>
      <c r="D63" s="7" t="s">
        <v>1040</v>
      </c>
      <c r="E63" s="2"/>
      <c r="F63" s="2"/>
    </row>
    <row r="64" spans="1:6" ht="14" customHeight="1">
      <c r="A64" s="8">
        <v>21</v>
      </c>
      <c r="B64" s="7" t="str">
        <f>المدخلات!$F$4</f>
        <v>4:00–5:10 م</v>
      </c>
      <c r="C64" s="7">
        <v>1</v>
      </c>
      <c r="D64" s="7" t="s">
        <v>16</v>
      </c>
      <c r="E64" s="2"/>
      <c r="F64" s="2"/>
    </row>
    <row r="65" spans="1:8" ht="14" customHeight="1">
      <c r="A65" s="8">
        <v>21</v>
      </c>
      <c r="B65" s="7" t="str">
        <f>المدخلات!$F$5</f>
        <v>5:20–6:30 م</v>
      </c>
      <c r="C65" s="7">
        <v>1</v>
      </c>
      <c r="D65" s="7" t="s">
        <v>11</v>
      </c>
      <c r="E65" s="2"/>
      <c r="F65" s="2"/>
    </row>
    <row r="66" spans="1:8" ht="14" customHeight="1">
      <c r="A66" s="8">
        <v>21</v>
      </c>
      <c r="B66" s="7" t="str">
        <f>المدخلات!$F$6</f>
        <v>6:40–7:50 م</v>
      </c>
      <c r="C66" s="7">
        <v>1</v>
      </c>
      <c r="D66" s="7" t="s">
        <v>26</v>
      </c>
      <c r="E66" s="2"/>
      <c r="F66" s="2"/>
    </row>
    <row r="67" spans="1:8">
      <c r="A67" s="2"/>
      <c r="B67" s="2"/>
      <c r="C67" s="2"/>
      <c r="D67" s="2"/>
    </row>
    <row r="68" spans="1:8">
      <c r="A68" s="2"/>
      <c r="B68" s="2"/>
      <c r="C68" s="2"/>
      <c r="D68" s="2"/>
    </row>
    <row r="69" spans="1:8" ht="14.5">
      <c r="A69" s="17" t="s">
        <v>828</v>
      </c>
      <c r="B69" s="17"/>
      <c r="C69" s="17"/>
      <c r="D69" s="17"/>
      <c r="E69" s="17"/>
      <c r="F69" s="17"/>
      <c r="G69" s="17"/>
      <c r="H69" s="17"/>
    </row>
    <row r="70" spans="1:8" ht="14.5">
      <c r="A70" s="6" t="s">
        <v>829</v>
      </c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</row>
    <row r="71" spans="1:8" ht="14.5">
      <c r="A71" s="14">
        <v>1</v>
      </c>
      <c r="B71" s="4" t="str">
        <f>IF($A71=B$70,"",COUNTIF($D$4:$D$66,$A71&amp;" ضد "&amp;B$70)+COUNTIF($D$4:$D$66,B$70&amp;" ضد "&amp;$A71))</f>
        <v/>
      </c>
      <c r="C71" s="4">
        <f>IF($A71=C$70,"",COUNTIF($D$4:$D$66,$A71&amp;" ضد "&amp;C$70)+COUNTIF($D$4:$D$66,C$70&amp;" ضد "&amp;$A71))</f>
        <v>3</v>
      </c>
      <c r="D71" s="4">
        <f>IF($A71=D$70,"",COUNTIF($D$4:$D$66,$A71&amp;" ضد "&amp;D$70)+COUNTIF($D$4:$D$66,D$70&amp;" ضد "&amp;$A71))</f>
        <v>3</v>
      </c>
      <c r="E71" s="4">
        <f>IF($A71=E$70,"",COUNTIF($D$4:$D$66,$A71&amp;" ضد "&amp;E$70)+COUNTIF($D$4:$D$66,E$70&amp;" ضد "&amp;$A71))</f>
        <v>3</v>
      </c>
      <c r="F71" s="4">
        <f>IF($A71=F$70,"",COUNTIF($D$4:$D$66,$A71&amp;" ضد "&amp;F$70)+COUNTIF($D$4:$D$66,F$70&amp;" ضد "&amp;$A71))</f>
        <v>3</v>
      </c>
      <c r="G71" s="4">
        <f>IF($A71=G$70,"",COUNTIF($D$4:$D$66,$A71&amp;" ضد "&amp;G$70)+COUNTIF($D$4:$D$66,G$70&amp;" ضد "&amp;$A71))</f>
        <v>3</v>
      </c>
      <c r="H71" s="4">
        <f>IF($A71=H$70,"",COUNTIF($D$4:$D$66,$A71&amp;" ضد "&amp;H$70)+COUNTIF($D$4:$D$66,H$70&amp;" ضد "&amp;$A71))</f>
        <v>3</v>
      </c>
    </row>
    <row r="72" spans="1:8" ht="14.5">
      <c r="A72" s="14">
        <v>2</v>
      </c>
      <c r="B72" s="4">
        <f>IF($A72=B$70,"",COUNTIF($D$4:$D$66,$A72&amp;" ضد "&amp;B$70)+COUNTIF($D$4:$D$66,B$70&amp;" ضد "&amp;$A72))</f>
        <v>3</v>
      </c>
      <c r="C72" s="4" t="str">
        <f>IF($A72=C$70,"",COUNTIF($D$4:$D$66,$A72&amp;" ضد "&amp;C$70)+COUNTIF($D$4:$D$66,C$70&amp;" ضد "&amp;$A72))</f>
        <v/>
      </c>
      <c r="D72" s="4">
        <f>IF($A72=D$70,"",COUNTIF($D$4:$D$66,$A72&amp;" ضد "&amp;D$70)+COUNTIF($D$4:$D$66,D$70&amp;" ضد "&amp;$A72))</f>
        <v>3</v>
      </c>
      <c r="E72" s="4">
        <f>IF($A72=E$70,"",COUNTIF($D$4:$D$66,$A72&amp;" ضد "&amp;E$70)+COUNTIF($D$4:$D$66,E$70&amp;" ضد "&amp;$A72))</f>
        <v>3</v>
      </c>
      <c r="F72" s="4">
        <f>IF($A72=F$70,"",COUNTIF($D$4:$D$66,$A72&amp;" ضد "&amp;F$70)+COUNTIF($D$4:$D$66,F$70&amp;" ضد "&amp;$A72))</f>
        <v>3</v>
      </c>
      <c r="G72" s="4">
        <f>IF($A72=G$70,"",COUNTIF($D$4:$D$66,$A72&amp;" ضد "&amp;G$70)+COUNTIF($D$4:$D$66,G$70&amp;" ضد "&amp;$A72))</f>
        <v>3</v>
      </c>
      <c r="H72" s="4">
        <f>IF($A72=H$70,"",COUNTIF($D$4:$D$66,$A72&amp;" ضد "&amp;H$70)+COUNTIF($D$4:$D$66,H$70&amp;" ضد "&amp;$A72))</f>
        <v>3</v>
      </c>
    </row>
    <row r="73" spans="1:8" ht="14.5">
      <c r="A73" s="14">
        <v>3</v>
      </c>
      <c r="B73" s="4">
        <f>IF($A73=B$70,"",COUNTIF($D$4:$D$66,$A73&amp;" ضد "&amp;B$70)+COUNTIF($D$4:$D$66,B$70&amp;" ضد "&amp;$A73))</f>
        <v>3</v>
      </c>
      <c r="C73" s="4">
        <f>IF($A73=C$70,"",COUNTIF($D$4:$D$66,$A73&amp;" ضد "&amp;C$70)+COUNTIF($D$4:$D$66,C$70&amp;" ضد "&amp;$A73))</f>
        <v>3</v>
      </c>
      <c r="D73" s="4" t="str">
        <f>IF($A73=D$70,"",COUNTIF($D$4:$D$66,$A73&amp;" ضد "&amp;D$70)+COUNTIF($D$4:$D$66,D$70&amp;" ضد "&amp;$A73))</f>
        <v/>
      </c>
      <c r="E73" s="4">
        <f>IF($A73=E$70,"",COUNTIF($D$4:$D$66,$A73&amp;" ضد "&amp;E$70)+COUNTIF($D$4:$D$66,E$70&amp;" ضد "&amp;$A73))</f>
        <v>3</v>
      </c>
      <c r="F73" s="4">
        <f>IF($A73=F$70,"",COUNTIF($D$4:$D$66,$A73&amp;" ضد "&amp;F$70)+COUNTIF($D$4:$D$66,F$70&amp;" ضد "&amp;$A73))</f>
        <v>3</v>
      </c>
      <c r="G73" s="4">
        <f>IF($A73=G$70,"",COUNTIF($D$4:$D$66,$A73&amp;" ضد "&amp;G$70)+COUNTIF($D$4:$D$66,G$70&amp;" ضد "&amp;$A73))</f>
        <v>3</v>
      </c>
      <c r="H73" s="4">
        <f>IF($A73=H$70,"",COUNTIF($D$4:$D$66,$A73&amp;" ضد "&amp;H$70)+COUNTIF($D$4:$D$66,H$70&amp;" ضد "&amp;$A73))</f>
        <v>3</v>
      </c>
    </row>
    <row r="74" spans="1:8" ht="14.5">
      <c r="A74" s="14">
        <v>4</v>
      </c>
      <c r="B74" s="4">
        <f>IF($A74=B$70,"",COUNTIF($D$4:$D$66,$A74&amp;" ضد "&amp;B$70)+COUNTIF($D$4:$D$66,B$70&amp;" ضد "&amp;$A74))</f>
        <v>3</v>
      </c>
      <c r="C74" s="4">
        <f>IF($A74=C$70,"",COUNTIF($D$4:$D$66,$A74&amp;" ضد "&amp;C$70)+COUNTIF($D$4:$D$66,C$70&amp;" ضد "&amp;$A74))</f>
        <v>3</v>
      </c>
      <c r="D74" s="4">
        <f>IF($A74=D$70,"",COUNTIF($D$4:$D$66,$A74&amp;" ضد "&amp;D$70)+COUNTIF($D$4:$D$66,D$70&amp;" ضد "&amp;$A74))</f>
        <v>3</v>
      </c>
      <c r="E74" s="4" t="str">
        <f>IF($A74=E$70,"",COUNTIF($D$4:$D$66,$A74&amp;" ضد "&amp;E$70)+COUNTIF($D$4:$D$66,E$70&amp;" ضد "&amp;$A74))</f>
        <v/>
      </c>
      <c r="F74" s="4">
        <f>IF($A74=F$70,"",COUNTIF($D$4:$D$66,$A74&amp;" ضد "&amp;F$70)+COUNTIF($D$4:$D$66,F$70&amp;" ضد "&amp;$A74))</f>
        <v>3</v>
      </c>
      <c r="G74" s="4">
        <f>IF($A74=G$70,"",COUNTIF($D$4:$D$66,$A74&amp;" ضد "&amp;G$70)+COUNTIF($D$4:$D$66,G$70&amp;" ضد "&amp;$A74))</f>
        <v>3</v>
      </c>
      <c r="H74" s="4">
        <f>IF($A74=H$70,"",COUNTIF($D$4:$D$66,$A74&amp;" ضد "&amp;H$70)+COUNTIF($D$4:$D$66,H$70&amp;" ضد "&amp;$A74))</f>
        <v>3</v>
      </c>
    </row>
    <row r="75" spans="1:8" ht="14.5">
      <c r="A75" s="14">
        <v>5</v>
      </c>
      <c r="B75" s="4">
        <f>IF($A75=B$70,"",COUNTIF($D$4:$D$66,$A75&amp;" ضد "&amp;B$70)+COUNTIF($D$4:$D$66,B$70&amp;" ضد "&amp;$A75))</f>
        <v>3</v>
      </c>
      <c r="C75" s="4">
        <f>IF($A75=C$70,"",COUNTIF($D$4:$D$66,$A75&amp;" ضد "&amp;C$70)+COUNTIF($D$4:$D$66,C$70&amp;" ضد "&amp;$A75))</f>
        <v>3</v>
      </c>
      <c r="D75" s="4">
        <f>IF($A75=D$70,"",COUNTIF($D$4:$D$66,$A75&amp;" ضد "&amp;D$70)+COUNTIF($D$4:$D$66,D$70&amp;" ضد "&amp;$A75))</f>
        <v>3</v>
      </c>
      <c r="E75" s="4">
        <f>IF($A75=E$70,"",COUNTIF($D$4:$D$66,$A75&amp;" ضد "&amp;E$70)+COUNTIF($D$4:$D$66,E$70&amp;" ضد "&amp;$A75))</f>
        <v>3</v>
      </c>
      <c r="F75" s="4" t="str">
        <f>IF($A75=F$70,"",COUNTIF($D$4:$D$66,$A75&amp;" ضد "&amp;F$70)+COUNTIF($D$4:$D$66,F$70&amp;" ضد "&amp;$A75))</f>
        <v/>
      </c>
      <c r="G75" s="4">
        <f>IF($A75=G$70,"",COUNTIF($D$4:$D$66,$A75&amp;" ضد "&amp;G$70)+COUNTIF($D$4:$D$66,G$70&amp;" ضد "&amp;$A75))</f>
        <v>3</v>
      </c>
      <c r="H75" s="4">
        <f>IF($A75=H$70,"",COUNTIF($D$4:$D$66,$A75&amp;" ضد "&amp;H$70)+COUNTIF($D$4:$D$66,H$70&amp;" ضد "&amp;$A75))</f>
        <v>3</v>
      </c>
    </row>
    <row r="76" spans="1:8" ht="14.5">
      <c r="A76" s="14">
        <v>6</v>
      </c>
      <c r="B76" s="4">
        <f>IF($A76=B$70,"",COUNTIF($D$4:$D$66,$A76&amp;" ضد "&amp;B$70)+COUNTIF($D$4:$D$66,B$70&amp;" ضد "&amp;$A76))</f>
        <v>3</v>
      </c>
      <c r="C76" s="4">
        <f>IF($A76=C$70,"",COUNTIF($D$4:$D$66,$A76&amp;" ضد "&amp;C$70)+COUNTIF($D$4:$D$66,C$70&amp;" ضد "&amp;$A76))</f>
        <v>3</v>
      </c>
      <c r="D76" s="4">
        <f>IF($A76=D$70,"",COUNTIF($D$4:$D$66,$A76&amp;" ضد "&amp;D$70)+COUNTIF($D$4:$D$66,D$70&amp;" ضد "&amp;$A76))</f>
        <v>3</v>
      </c>
      <c r="E76" s="4">
        <f>IF($A76=E$70,"",COUNTIF($D$4:$D$66,$A76&amp;" ضد "&amp;E$70)+COUNTIF($D$4:$D$66,E$70&amp;" ضد "&amp;$A76))</f>
        <v>3</v>
      </c>
      <c r="F76" s="4">
        <f>IF($A76=F$70,"",COUNTIF($D$4:$D$66,$A76&amp;" ضد "&amp;F$70)+COUNTIF($D$4:$D$66,F$70&amp;" ضد "&amp;$A76))</f>
        <v>3</v>
      </c>
      <c r="G76" s="4" t="str">
        <f>IF($A76=G$70,"",COUNTIF($D$4:$D$66,$A76&amp;" ضد "&amp;G$70)+COUNTIF($D$4:$D$66,G$70&amp;" ضد "&amp;$A76))</f>
        <v/>
      </c>
      <c r="H76" s="4">
        <f>IF($A76=H$70,"",COUNTIF($D$4:$D$66,$A76&amp;" ضد "&amp;H$70)+COUNTIF($D$4:$D$66,H$70&amp;" ضد "&amp;$A76))</f>
        <v>3</v>
      </c>
    </row>
    <row r="77" spans="1:8" ht="14.5">
      <c r="A77" s="14">
        <v>7</v>
      </c>
      <c r="B77" s="4">
        <f>IF($A77=B$70,"",COUNTIF($D$4:$D$66,$A77&amp;" ضد "&amp;B$70)+COUNTIF($D$4:$D$66,B$70&amp;" ضد "&amp;$A77))</f>
        <v>3</v>
      </c>
      <c r="C77" s="4">
        <f>IF($A77=C$70,"",COUNTIF($D$4:$D$66,$A77&amp;" ضد "&amp;C$70)+COUNTIF($D$4:$D$66,C$70&amp;" ضد "&amp;$A77))</f>
        <v>3</v>
      </c>
      <c r="D77" s="4">
        <f>IF($A77=D$70,"",COUNTIF($D$4:$D$66,$A77&amp;" ضد "&amp;D$70)+COUNTIF($D$4:$D$66,D$70&amp;" ضد "&amp;$A77))</f>
        <v>3</v>
      </c>
      <c r="E77" s="4">
        <f>IF($A77=E$70,"",COUNTIF($D$4:$D$66,$A77&amp;" ضد "&amp;E$70)+COUNTIF($D$4:$D$66,E$70&amp;" ضد "&amp;$A77))</f>
        <v>3</v>
      </c>
      <c r="F77" s="4">
        <f>IF($A77=F$70,"",COUNTIF($D$4:$D$66,$A77&amp;" ضد "&amp;F$70)+COUNTIF($D$4:$D$66,F$70&amp;" ضد "&amp;$A77))</f>
        <v>3</v>
      </c>
      <c r="G77" s="4">
        <f>IF($A77=G$70,"",COUNTIF($D$4:$D$66,$A77&amp;" ضد "&amp;G$70)+COUNTIF($D$4:$D$66,G$70&amp;" ضد "&amp;$A77))</f>
        <v>3</v>
      </c>
      <c r="H77" s="4" t="str">
        <f>IF($A77=H$70,"",COUNTIF($D$4:$D$66,$A77&amp;" ضد "&amp;H$70)+COUNTIF($D$4:$D$66,H$70&amp;" ضد "&amp;$A77))</f>
        <v/>
      </c>
    </row>
    <row r="78" spans="1:8" ht="14.5">
      <c r="A78" s="14" t="s">
        <v>1033</v>
      </c>
      <c r="B78" s="4" cm="1">
        <f t="array" ref="B78">MIN(IF(B71:H77&gt;0,B71:H77))</f>
        <v>3</v>
      </c>
      <c r="C78" s="4"/>
      <c r="D78" s="4"/>
      <c r="E78" s="4"/>
      <c r="F78" s="4"/>
      <c r="G78" s="4"/>
      <c r="H78" s="4"/>
    </row>
    <row r="79" spans="1:8" ht="14.5">
      <c r="A79" s="14" t="s">
        <v>830</v>
      </c>
      <c r="B79" s="4">
        <f>MAX(B71:H77)</f>
        <v>3</v>
      </c>
      <c r="C79" s="4"/>
      <c r="D79" s="4"/>
      <c r="E79" s="4"/>
      <c r="F79" s="4"/>
      <c r="G79" s="4"/>
      <c r="H79" s="4"/>
    </row>
  </sheetData>
  <mergeCells count="2">
    <mergeCell ref="A1:D1"/>
    <mergeCell ref="A69:H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A55B-5FB3-4606-939B-394E305F6E25}">
  <dimension ref="A1:I101"/>
  <sheetViews>
    <sheetView rightToLeft="1" workbookViewId="0">
      <pane ySplit="3" topLeftCell="A58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981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29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22</v>
      </c>
      <c r="E5" s="2"/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12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10</v>
      </c>
      <c r="E7" s="2"/>
      <c r="F7" s="2"/>
    </row>
    <row r="8" spans="1:6" ht="14" customHeight="1">
      <c r="A8" s="8">
        <v>2</v>
      </c>
      <c r="B8" s="7" t="str">
        <f>المدخلات!$F$4</f>
        <v>4:00–5:10 م</v>
      </c>
      <c r="C8" s="7">
        <v>1</v>
      </c>
      <c r="D8" s="7" t="s">
        <v>19</v>
      </c>
      <c r="E8" s="2"/>
      <c r="F8" s="2"/>
    </row>
    <row r="9" spans="1:6" ht="14" customHeight="1">
      <c r="A9" s="8">
        <v>2</v>
      </c>
      <c r="B9" s="7" t="str">
        <f>المدخلات!$F$4</f>
        <v>4:00–5:10 م</v>
      </c>
      <c r="C9" s="7">
        <v>2</v>
      </c>
      <c r="D9" s="7" t="s">
        <v>28</v>
      </c>
      <c r="E9" s="2"/>
      <c r="F9" s="2"/>
    </row>
    <row r="10" spans="1:6" ht="14" customHeight="1">
      <c r="A10" s="8">
        <v>2</v>
      </c>
      <c r="B10" s="7" t="str">
        <f>المدخلات!$F$5</f>
        <v>5:20–6:30 م</v>
      </c>
      <c r="C10" s="7">
        <v>1</v>
      </c>
      <c r="D10" s="7" t="s">
        <v>1047</v>
      </c>
      <c r="E10" s="2"/>
      <c r="F10" s="2"/>
    </row>
    <row r="11" spans="1:6" ht="14" customHeight="1">
      <c r="A11" s="8">
        <v>2</v>
      </c>
      <c r="B11" s="7" t="str">
        <f>المدخلات!$F$5</f>
        <v>5:20–6:30 م</v>
      </c>
      <c r="C11" s="7">
        <v>2</v>
      </c>
      <c r="D11" s="7" t="s">
        <v>1042</v>
      </c>
      <c r="E11" s="2"/>
      <c r="F11" s="2"/>
    </row>
    <row r="12" spans="1:6" ht="14" customHeight="1">
      <c r="A12" s="8">
        <v>3</v>
      </c>
      <c r="B12" s="7" t="str">
        <f>المدخلات!$F$4</f>
        <v>4:00–5:10 م</v>
      </c>
      <c r="C12" s="7">
        <v>1</v>
      </c>
      <c r="D12" s="7" t="s">
        <v>24</v>
      </c>
      <c r="E12" s="2"/>
      <c r="F12" s="2"/>
    </row>
    <row r="13" spans="1:6" ht="14" customHeight="1">
      <c r="A13" s="8">
        <v>3</v>
      </c>
      <c r="B13" s="7" t="str">
        <f>المدخلات!$F$4</f>
        <v>4:00–5:10 م</v>
      </c>
      <c r="C13" s="7">
        <v>2</v>
      </c>
      <c r="D13" s="7" t="s">
        <v>15</v>
      </c>
      <c r="E13" s="2"/>
      <c r="F13" s="2"/>
    </row>
    <row r="14" spans="1:6" ht="14" customHeight="1">
      <c r="A14" s="8">
        <v>3</v>
      </c>
      <c r="B14" s="7" t="str">
        <f>المدخلات!$F$5</f>
        <v>5:20–6:30 م</v>
      </c>
      <c r="C14" s="7">
        <v>1</v>
      </c>
      <c r="D14" s="7" t="s">
        <v>608</v>
      </c>
      <c r="E14" s="2"/>
      <c r="F14" s="2"/>
    </row>
    <row r="15" spans="1:6" ht="14" customHeight="1">
      <c r="A15" s="8">
        <v>3</v>
      </c>
      <c r="B15" s="7" t="str">
        <f>المدخلات!$F$5</f>
        <v>5:20–6:30 م</v>
      </c>
      <c r="C15" s="7">
        <v>2</v>
      </c>
      <c r="D15" s="7" t="s">
        <v>17</v>
      </c>
      <c r="E15" s="2"/>
      <c r="F15" s="2"/>
    </row>
    <row r="16" spans="1:6" ht="14" customHeight="1">
      <c r="A16" s="8">
        <v>4</v>
      </c>
      <c r="B16" s="7" t="str">
        <f>المدخلات!$F$4</f>
        <v>4:00–5:10 م</v>
      </c>
      <c r="C16" s="7">
        <v>1</v>
      </c>
      <c r="D16" s="7" t="s">
        <v>622</v>
      </c>
      <c r="E16" s="2"/>
      <c r="F16" s="2"/>
    </row>
    <row r="17" spans="1:6" ht="14" customHeight="1">
      <c r="A17" s="8">
        <v>4</v>
      </c>
      <c r="B17" s="7" t="str">
        <f>المدخلات!$F$4</f>
        <v>4:00–5:10 م</v>
      </c>
      <c r="C17" s="7">
        <v>2</v>
      </c>
      <c r="D17" s="7" t="s">
        <v>623</v>
      </c>
      <c r="E17" s="2"/>
      <c r="F17" s="2"/>
    </row>
    <row r="18" spans="1:6" ht="14" customHeight="1">
      <c r="A18" s="8">
        <v>4</v>
      </c>
      <c r="B18" s="7" t="str">
        <f>المدخلات!$F$5</f>
        <v>5:20–6:30 م</v>
      </c>
      <c r="C18" s="7">
        <v>1</v>
      </c>
      <c r="D18" s="7" t="s">
        <v>20</v>
      </c>
      <c r="E18" s="2"/>
      <c r="F18" s="2"/>
    </row>
    <row r="19" spans="1:6" ht="14" customHeight="1">
      <c r="A19" s="8">
        <v>4</v>
      </c>
      <c r="B19" s="7" t="str">
        <f>المدخلات!$F$5</f>
        <v>5:20–6:30 م</v>
      </c>
      <c r="C19" s="7">
        <v>2</v>
      </c>
      <c r="D19" s="7" t="s">
        <v>9</v>
      </c>
      <c r="E19" s="2"/>
      <c r="F19" s="2"/>
    </row>
    <row r="20" spans="1:6" ht="14" customHeight="1">
      <c r="A20" s="8">
        <v>5</v>
      </c>
      <c r="B20" s="7" t="str">
        <f>المدخلات!$F$4</f>
        <v>4:00–5:10 م</v>
      </c>
      <c r="C20" s="7">
        <v>1</v>
      </c>
      <c r="D20" s="7" t="s">
        <v>1043</v>
      </c>
      <c r="E20" s="2"/>
      <c r="F20" s="2"/>
    </row>
    <row r="21" spans="1:6" ht="14" customHeight="1">
      <c r="A21" s="8">
        <v>5</v>
      </c>
      <c r="B21" s="7" t="str">
        <f>المدخلات!$F$4</f>
        <v>4:00–5:10 م</v>
      </c>
      <c r="C21" s="7">
        <v>2</v>
      </c>
      <c r="D21" s="7" t="s">
        <v>13</v>
      </c>
      <c r="E21" s="2"/>
      <c r="F21" s="2"/>
    </row>
    <row r="22" spans="1:6" ht="14" customHeight="1">
      <c r="A22" s="8">
        <v>5</v>
      </c>
      <c r="B22" s="7" t="str">
        <f>المدخلات!$F$5</f>
        <v>5:20–6:30 م</v>
      </c>
      <c r="C22" s="7">
        <v>1</v>
      </c>
      <c r="D22" s="7" t="s">
        <v>30</v>
      </c>
      <c r="E22" s="2"/>
      <c r="F22" s="2"/>
    </row>
    <row r="23" spans="1:6" ht="14" customHeight="1">
      <c r="A23" s="8">
        <v>5</v>
      </c>
      <c r="B23" s="7" t="str">
        <f>المدخلات!$F$5</f>
        <v>5:20–6:30 م</v>
      </c>
      <c r="C23" s="7">
        <v>2</v>
      </c>
      <c r="D23" s="7" t="s">
        <v>634</v>
      </c>
      <c r="E23" s="2"/>
      <c r="F23" s="2"/>
    </row>
    <row r="24" spans="1:6" ht="14" customHeight="1">
      <c r="A24" s="8">
        <v>6</v>
      </c>
      <c r="B24" s="7" t="str">
        <f>المدخلات!$F$4</f>
        <v>4:00–5:10 م</v>
      </c>
      <c r="C24" s="7">
        <v>1</v>
      </c>
      <c r="D24" s="7" t="s">
        <v>14</v>
      </c>
      <c r="E24" s="2"/>
      <c r="F24" s="2"/>
    </row>
    <row r="25" spans="1:6" ht="14" customHeight="1">
      <c r="A25" s="8">
        <v>6</v>
      </c>
      <c r="B25" s="7" t="str">
        <f>المدخلات!$F$4</f>
        <v>4:00–5:10 م</v>
      </c>
      <c r="C25" s="7">
        <v>2</v>
      </c>
      <c r="D25" s="7" t="s">
        <v>23</v>
      </c>
      <c r="E25" s="2"/>
      <c r="F25" s="2"/>
    </row>
    <row r="26" spans="1:6" ht="14" customHeight="1">
      <c r="A26" s="8">
        <v>6</v>
      </c>
      <c r="B26" s="7" t="str">
        <f>المدخلات!$F$5</f>
        <v>5:20–6:30 م</v>
      </c>
      <c r="C26" s="7">
        <v>1</v>
      </c>
      <c r="D26" s="7" t="s">
        <v>8</v>
      </c>
      <c r="E26" s="2"/>
      <c r="F26" s="2"/>
    </row>
    <row r="27" spans="1:6" ht="14" customHeight="1">
      <c r="A27" s="8">
        <v>6</v>
      </c>
      <c r="B27" s="7" t="str">
        <f>المدخلات!$F$5</f>
        <v>5:20–6:30 م</v>
      </c>
      <c r="C27" s="7">
        <v>2</v>
      </c>
      <c r="D27" s="7" t="s">
        <v>34</v>
      </c>
      <c r="E27" s="2"/>
      <c r="F27" s="2"/>
    </row>
    <row r="28" spans="1:6" ht="14" customHeight="1">
      <c r="A28" s="8">
        <v>7</v>
      </c>
      <c r="B28" s="7" t="str">
        <f>المدخلات!$F$4</f>
        <v>4:00–5:10 م</v>
      </c>
      <c r="C28" s="7">
        <v>1</v>
      </c>
      <c r="D28" s="7" t="s">
        <v>16</v>
      </c>
      <c r="E28" s="2"/>
      <c r="F28" s="2"/>
    </row>
    <row r="29" spans="1:6" ht="14" customHeight="1">
      <c r="A29" s="8">
        <v>7</v>
      </c>
      <c r="B29" s="7" t="str">
        <f>المدخلات!$F$4</f>
        <v>4:00–5:10 م</v>
      </c>
      <c r="C29" s="7">
        <v>2</v>
      </c>
      <c r="D29" s="7" t="s">
        <v>1048</v>
      </c>
      <c r="E29" s="2"/>
      <c r="F29" s="2"/>
    </row>
    <row r="30" spans="1:6" ht="14" customHeight="1">
      <c r="A30" s="8">
        <v>7</v>
      </c>
      <c r="B30" s="7" t="str">
        <f>المدخلات!$F$5</f>
        <v>5:20–6:30 م</v>
      </c>
      <c r="C30" s="7">
        <v>1</v>
      </c>
      <c r="D30" s="7" t="s">
        <v>26</v>
      </c>
      <c r="E30" s="2"/>
      <c r="F30" s="2"/>
    </row>
    <row r="31" spans="1:6" ht="14" customHeight="1">
      <c r="A31" s="8">
        <v>7</v>
      </c>
      <c r="B31" s="7" t="str">
        <f>المدخلات!$F$5</f>
        <v>5:20–6:30 م</v>
      </c>
      <c r="C31" s="7">
        <v>2</v>
      </c>
      <c r="D31" s="7" t="s">
        <v>1037</v>
      </c>
      <c r="E31" s="2"/>
      <c r="F31" s="2"/>
    </row>
    <row r="32" spans="1:6" ht="14" customHeight="1">
      <c r="A32" s="8">
        <v>8</v>
      </c>
      <c r="B32" s="7" t="str">
        <f>المدخلات!$F$4</f>
        <v>4:00–5:10 م</v>
      </c>
      <c r="C32" s="7">
        <v>1</v>
      </c>
      <c r="D32" s="7" t="s">
        <v>1049</v>
      </c>
      <c r="E32" s="2"/>
      <c r="F32" s="2"/>
    </row>
    <row r="33" spans="1:6" ht="14" customHeight="1">
      <c r="A33" s="8">
        <v>8</v>
      </c>
      <c r="B33" s="7" t="str">
        <f>المدخلات!$F$4</f>
        <v>4:00–5:10 م</v>
      </c>
      <c r="C33" s="7">
        <v>2</v>
      </c>
      <c r="D33" s="7" t="s">
        <v>1045</v>
      </c>
      <c r="E33" s="2"/>
      <c r="F33" s="2"/>
    </row>
    <row r="34" spans="1:6" ht="14" customHeight="1">
      <c r="A34" s="8">
        <v>8</v>
      </c>
      <c r="B34" s="7" t="str">
        <f>المدخلات!$F$5</f>
        <v>5:20–6:30 م</v>
      </c>
      <c r="C34" s="7">
        <v>1</v>
      </c>
      <c r="D34" s="7" t="s">
        <v>12</v>
      </c>
      <c r="E34" s="2"/>
      <c r="F34" s="2"/>
    </row>
    <row r="35" spans="1:6" ht="14" customHeight="1">
      <c r="A35" s="8">
        <v>8</v>
      </c>
      <c r="B35" s="7" t="str">
        <f>المدخلات!$F$5</f>
        <v>5:20–6:30 م</v>
      </c>
      <c r="C35" s="7">
        <v>2</v>
      </c>
      <c r="D35" s="7" t="s">
        <v>10</v>
      </c>
      <c r="E35" s="2"/>
      <c r="F35" s="2"/>
    </row>
    <row r="36" spans="1:6" ht="14" customHeight="1">
      <c r="A36" s="8">
        <v>9</v>
      </c>
      <c r="B36" s="7" t="str">
        <f>المدخلات!$F$4</f>
        <v>4:00–5:10 م</v>
      </c>
      <c r="C36" s="7">
        <v>1</v>
      </c>
      <c r="D36" s="7" t="s">
        <v>19</v>
      </c>
      <c r="E36" s="2"/>
      <c r="F36" s="2"/>
    </row>
    <row r="37" spans="1:6" ht="14" customHeight="1">
      <c r="A37" s="8">
        <v>9</v>
      </c>
      <c r="B37" s="7" t="str">
        <f>المدخلات!$F$4</f>
        <v>4:00–5:10 م</v>
      </c>
      <c r="C37" s="7">
        <v>2</v>
      </c>
      <c r="D37" s="7" t="s">
        <v>7</v>
      </c>
      <c r="E37" s="2"/>
      <c r="F37" s="2"/>
    </row>
    <row r="38" spans="1:6" ht="14" customHeight="1">
      <c r="A38" s="8">
        <v>9</v>
      </c>
      <c r="B38" s="7" t="str">
        <f>المدخلات!$F$5</f>
        <v>5:20–6:30 م</v>
      </c>
      <c r="C38" s="7">
        <v>1</v>
      </c>
      <c r="D38" s="7" t="s">
        <v>25</v>
      </c>
      <c r="E38" s="2"/>
      <c r="F38" s="2"/>
    </row>
    <row r="39" spans="1:6" ht="14" customHeight="1">
      <c r="A39" s="8">
        <v>9</v>
      </c>
      <c r="B39" s="7" t="str">
        <f>المدخلات!$F$5</f>
        <v>5:20–6:30 م</v>
      </c>
      <c r="C39" s="7">
        <v>2</v>
      </c>
      <c r="D39" s="7" t="s">
        <v>28</v>
      </c>
      <c r="E39" s="2"/>
      <c r="F39" s="2"/>
    </row>
    <row r="40" spans="1:6" ht="14" customHeight="1">
      <c r="A40" s="8">
        <v>10</v>
      </c>
      <c r="B40" s="7" t="str">
        <f>المدخلات!$F$4</f>
        <v>4:00–5:10 م</v>
      </c>
      <c r="C40" s="7">
        <v>1</v>
      </c>
      <c r="D40" s="7" t="s">
        <v>1039</v>
      </c>
      <c r="E40" s="2"/>
      <c r="F40" s="2"/>
    </row>
    <row r="41" spans="1:6" ht="14" customHeight="1">
      <c r="A41" s="8">
        <v>10</v>
      </c>
      <c r="B41" s="7" t="str">
        <f>المدخلات!$F$4</f>
        <v>4:00–5:10 م</v>
      </c>
      <c r="C41" s="7">
        <v>2</v>
      </c>
      <c r="D41" s="7" t="s">
        <v>608</v>
      </c>
      <c r="E41" s="2"/>
      <c r="F41" s="2"/>
    </row>
    <row r="42" spans="1:6" ht="14" customHeight="1">
      <c r="A42" s="8">
        <v>10</v>
      </c>
      <c r="B42" s="7" t="str">
        <f>المدخلات!$F$5</f>
        <v>5:20–6:30 م</v>
      </c>
      <c r="C42" s="7">
        <v>1</v>
      </c>
      <c r="D42" s="7" t="s">
        <v>17</v>
      </c>
      <c r="E42" s="2"/>
      <c r="F42" s="2"/>
    </row>
    <row r="43" spans="1:6" ht="14" customHeight="1">
      <c r="A43" s="8">
        <v>10</v>
      </c>
      <c r="B43" s="7" t="str">
        <f>المدخلات!$F$5</f>
        <v>5:20–6:30 م</v>
      </c>
      <c r="C43" s="7">
        <v>2</v>
      </c>
      <c r="D43" s="7" t="s">
        <v>24</v>
      </c>
      <c r="E43" s="2"/>
      <c r="F43" s="2"/>
    </row>
    <row r="44" spans="1:6" ht="14" customHeight="1">
      <c r="A44" s="8">
        <v>11</v>
      </c>
      <c r="B44" s="7" t="str">
        <f>المدخلات!$F$4</f>
        <v>4:00–5:10 م</v>
      </c>
      <c r="C44" s="7">
        <v>1</v>
      </c>
      <c r="D44" s="7" t="s">
        <v>20</v>
      </c>
      <c r="E44" s="2"/>
      <c r="F44" s="2"/>
    </row>
    <row r="45" spans="1:6" ht="14" customHeight="1">
      <c r="A45" s="8">
        <v>11</v>
      </c>
      <c r="B45" s="7" t="str">
        <f>المدخلات!$F$4</f>
        <v>4:00–5:10 م</v>
      </c>
      <c r="C45" s="7">
        <v>2</v>
      </c>
      <c r="D45" s="7" t="s">
        <v>622</v>
      </c>
      <c r="E45" s="2"/>
      <c r="F45" s="2"/>
    </row>
    <row r="46" spans="1:6" ht="14" customHeight="1">
      <c r="A46" s="8">
        <v>11</v>
      </c>
      <c r="B46" s="7" t="str">
        <f>المدخلات!$F$5</f>
        <v>5:20–6:30 م</v>
      </c>
      <c r="C46" s="7">
        <v>1</v>
      </c>
      <c r="D46" s="7" t="s">
        <v>9</v>
      </c>
      <c r="E46" s="2"/>
      <c r="F46" s="2"/>
    </row>
    <row r="47" spans="1:6" ht="14" customHeight="1">
      <c r="A47" s="8">
        <v>11</v>
      </c>
      <c r="B47" s="7" t="str">
        <f>المدخلات!$F$5</f>
        <v>5:20–6:30 م</v>
      </c>
      <c r="C47" s="7">
        <v>2</v>
      </c>
      <c r="D47" s="7" t="s">
        <v>623</v>
      </c>
      <c r="E47" s="2"/>
      <c r="F47" s="2"/>
    </row>
    <row r="48" spans="1:6" ht="14" customHeight="1">
      <c r="A48" s="8">
        <v>12</v>
      </c>
      <c r="B48" s="7" t="str">
        <f>المدخلات!$F$4</f>
        <v>4:00–5:10 م</v>
      </c>
      <c r="C48" s="7">
        <v>1</v>
      </c>
      <c r="D48" s="7" t="s">
        <v>634</v>
      </c>
      <c r="E48" s="2"/>
      <c r="F48" s="2"/>
    </row>
    <row r="49" spans="1:6" ht="14" customHeight="1">
      <c r="A49" s="8">
        <v>12</v>
      </c>
      <c r="B49" s="7" t="str">
        <f>المدخلات!$F$4</f>
        <v>4:00–5:10 م</v>
      </c>
      <c r="C49" s="7">
        <v>2</v>
      </c>
      <c r="D49" s="7" t="s">
        <v>30</v>
      </c>
      <c r="E49" s="2"/>
      <c r="F49" s="2"/>
    </row>
    <row r="50" spans="1:6" ht="14" customHeight="1">
      <c r="A50" s="8">
        <v>12</v>
      </c>
      <c r="B50" s="7" t="str">
        <f>المدخلات!$F$5</f>
        <v>5:20–6:30 م</v>
      </c>
      <c r="C50" s="7">
        <v>1</v>
      </c>
      <c r="D50" s="7" t="s">
        <v>13</v>
      </c>
      <c r="E50" s="2"/>
      <c r="F50" s="2"/>
    </row>
    <row r="51" spans="1:6" ht="14" customHeight="1">
      <c r="A51" s="8">
        <v>12</v>
      </c>
      <c r="B51" s="7" t="str">
        <f>المدخلات!$F$5</f>
        <v>5:20–6:30 م</v>
      </c>
      <c r="C51" s="7">
        <v>2</v>
      </c>
      <c r="D51" s="7" t="s">
        <v>18</v>
      </c>
      <c r="E51" s="2"/>
      <c r="F51" s="2"/>
    </row>
    <row r="52" spans="1:6" ht="14" customHeight="1">
      <c r="A52" s="8">
        <v>13</v>
      </c>
      <c r="B52" s="7" t="str">
        <f>المدخلات!$F$4</f>
        <v>4:00–5:10 م</v>
      </c>
      <c r="C52" s="7">
        <v>1</v>
      </c>
      <c r="D52" s="7" t="s">
        <v>14</v>
      </c>
      <c r="E52" s="2"/>
      <c r="F52" s="2"/>
    </row>
    <row r="53" spans="1:6" ht="14" customHeight="1">
      <c r="A53" s="8">
        <v>13</v>
      </c>
      <c r="B53" s="7" t="str">
        <f>المدخلات!$F$4</f>
        <v>4:00–5:10 م</v>
      </c>
      <c r="C53" s="7">
        <v>2</v>
      </c>
      <c r="D53" s="7" t="s">
        <v>1040</v>
      </c>
      <c r="E53" s="2"/>
      <c r="F53" s="2"/>
    </row>
    <row r="54" spans="1:6" ht="14" customHeight="1">
      <c r="A54" s="8">
        <v>13</v>
      </c>
      <c r="B54" s="7" t="str">
        <f>المدخلات!$F$5</f>
        <v>5:20–6:30 م</v>
      </c>
      <c r="C54" s="7">
        <v>1</v>
      </c>
      <c r="D54" s="7" t="s">
        <v>23</v>
      </c>
      <c r="E54" s="2"/>
      <c r="F54" s="2"/>
    </row>
    <row r="55" spans="1:6" ht="14" customHeight="1">
      <c r="A55" s="8">
        <v>13</v>
      </c>
      <c r="B55" s="7" t="str">
        <f>المدخلات!$F$5</f>
        <v>5:20–6:30 م</v>
      </c>
      <c r="C55" s="7">
        <v>2</v>
      </c>
      <c r="D55" s="7" t="s">
        <v>34</v>
      </c>
      <c r="E55" s="2"/>
      <c r="F55" s="2"/>
    </row>
    <row r="56" spans="1:6" ht="14" customHeight="1">
      <c r="A56" s="8">
        <v>14</v>
      </c>
      <c r="B56" s="7" t="str">
        <f>المدخلات!$F$4</f>
        <v>4:00–5:10 م</v>
      </c>
      <c r="C56" s="7">
        <v>1</v>
      </c>
      <c r="D56" s="7" t="s">
        <v>16</v>
      </c>
      <c r="E56" s="2"/>
      <c r="F56" s="2"/>
    </row>
    <row r="57" spans="1:6" ht="14" customHeight="1">
      <c r="A57" s="8">
        <v>14</v>
      </c>
      <c r="B57" s="7" t="str">
        <f>المدخلات!$F$4</f>
        <v>4:00–5:10 م</v>
      </c>
      <c r="C57" s="7">
        <v>2</v>
      </c>
      <c r="D57" s="7" t="s">
        <v>26</v>
      </c>
      <c r="E57" s="2"/>
      <c r="F57" s="2"/>
    </row>
    <row r="58" spans="1:6" ht="14" customHeight="1">
      <c r="A58" s="8">
        <v>14</v>
      </c>
      <c r="B58" s="7" t="str">
        <f>المدخلات!$F$5</f>
        <v>5:20–6:30 م</v>
      </c>
      <c r="C58" s="7">
        <v>1</v>
      </c>
      <c r="D58" s="7" t="s">
        <v>11</v>
      </c>
      <c r="E58" s="2"/>
      <c r="F58" s="2"/>
    </row>
    <row r="59" spans="1:6" ht="14" customHeight="1">
      <c r="A59" s="8">
        <v>14</v>
      </c>
      <c r="B59" s="7" t="str">
        <f>المدخلات!$F$5</f>
        <v>5:20–6:30 م</v>
      </c>
      <c r="C59" s="7">
        <v>2</v>
      </c>
      <c r="D59" s="7" t="s">
        <v>1048</v>
      </c>
      <c r="E59" s="2"/>
      <c r="F59" s="2"/>
    </row>
    <row r="60" spans="1:6" ht="14" customHeight="1">
      <c r="A60" s="8">
        <v>15</v>
      </c>
      <c r="B60" s="7" t="str">
        <f>المدخلات!$F$4</f>
        <v>4:00–5:10 م</v>
      </c>
      <c r="C60" s="7">
        <v>1</v>
      </c>
      <c r="D60" s="7" t="s">
        <v>12</v>
      </c>
      <c r="E60" s="2"/>
      <c r="F60" s="2"/>
    </row>
    <row r="61" spans="1:6" ht="14" customHeight="1">
      <c r="A61" s="8">
        <v>15</v>
      </c>
      <c r="B61" s="7" t="str">
        <f>المدخلات!$F$4</f>
        <v>4:00–5:10 م</v>
      </c>
      <c r="C61" s="7">
        <v>2</v>
      </c>
      <c r="D61" s="7" t="s">
        <v>1049</v>
      </c>
      <c r="E61" s="2"/>
      <c r="F61" s="2"/>
    </row>
    <row r="62" spans="1:6" ht="14" customHeight="1">
      <c r="A62" s="8">
        <v>15</v>
      </c>
      <c r="B62" s="7" t="str">
        <f>المدخلات!$F$5</f>
        <v>5:20–6:30 م</v>
      </c>
      <c r="C62" s="7">
        <v>1</v>
      </c>
      <c r="D62" s="7" t="s">
        <v>10</v>
      </c>
      <c r="E62" s="2"/>
      <c r="F62" s="2"/>
    </row>
    <row r="63" spans="1:6" ht="14" customHeight="1">
      <c r="A63" s="8">
        <v>15</v>
      </c>
      <c r="B63" s="7" t="str">
        <f>المدخلات!$F$5</f>
        <v>5:20–6:30 م</v>
      </c>
      <c r="C63" s="7">
        <v>2</v>
      </c>
      <c r="D63" s="7" t="s">
        <v>1045</v>
      </c>
      <c r="E63" s="2"/>
      <c r="F63" s="2"/>
    </row>
    <row r="64" spans="1:6" ht="14" customHeight="1">
      <c r="A64" s="8">
        <v>16</v>
      </c>
      <c r="B64" s="7" t="str">
        <f>المدخلات!$F$4</f>
        <v>4:00–5:10 م</v>
      </c>
      <c r="C64" s="7">
        <v>1</v>
      </c>
      <c r="D64" s="7" t="s">
        <v>7</v>
      </c>
      <c r="E64" s="2"/>
      <c r="F64" s="2"/>
    </row>
    <row r="65" spans="1:6" ht="14" customHeight="1">
      <c r="A65" s="8">
        <v>16</v>
      </c>
      <c r="B65" s="7" t="str">
        <f>المدخلات!$F$4</f>
        <v>4:00–5:10 م</v>
      </c>
      <c r="C65" s="7">
        <v>2</v>
      </c>
      <c r="D65" s="7" t="s">
        <v>19</v>
      </c>
      <c r="E65" s="2"/>
      <c r="F65" s="2"/>
    </row>
    <row r="66" spans="1:6" ht="14" customHeight="1">
      <c r="A66" s="8">
        <v>16</v>
      </c>
      <c r="B66" s="7" t="str">
        <f>المدخلات!$F$5</f>
        <v>5:20–6:30 م</v>
      </c>
      <c r="C66" s="7">
        <v>1</v>
      </c>
      <c r="D66" s="7" t="s">
        <v>28</v>
      </c>
      <c r="E66" s="2"/>
      <c r="F66" s="2"/>
    </row>
    <row r="67" spans="1:6" ht="14" customHeight="1">
      <c r="A67" s="8">
        <v>16</v>
      </c>
      <c r="B67" s="7" t="str">
        <f>المدخلات!$F$5</f>
        <v>5:20–6:30 م</v>
      </c>
      <c r="C67" s="7">
        <v>2</v>
      </c>
      <c r="D67" s="7" t="s">
        <v>1047</v>
      </c>
      <c r="E67" s="2"/>
      <c r="F67" s="2"/>
    </row>
    <row r="68" spans="1:6" ht="14" customHeight="1">
      <c r="A68" s="8">
        <v>17</v>
      </c>
      <c r="B68" s="7" t="str">
        <f>المدخلات!$F$4</f>
        <v>4:00–5:10 م</v>
      </c>
      <c r="C68" s="7">
        <v>1</v>
      </c>
      <c r="D68" s="7" t="s">
        <v>24</v>
      </c>
      <c r="E68" s="2"/>
      <c r="F68" s="2"/>
    </row>
    <row r="69" spans="1:6" ht="14" customHeight="1">
      <c r="A69" s="8">
        <v>17</v>
      </c>
      <c r="B69" s="7" t="str">
        <f>المدخلات!$F$4</f>
        <v>4:00–5:10 م</v>
      </c>
      <c r="C69" s="7">
        <v>2</v>
      </c>
      <c r="D69" s="7" t="s">
        <v>15</v>
      </c>
      <c r="E69" s="2"/>
      <c r="F69" s="2"/>
    </row>
    <row r="70" spans="1:6" ht="14" customHeight="1">
      <c r="A70" s="8">
        <v>17</v>
      </c>
      <c r="B70" s="7" t="str">
        <f>المدخلات!$F$5</f>
        <v>5:20–6:30 م</v>
      </c>
      <c r="C70" s="7">
        <v>1</v>
      </c>
      <c r="D70" s="7" t="s">
        <v>17</v>
      </c>
      <c r="E70" s="2"/>
      <c r="F70" s="2"/>
    </row>
    <row r="71" spans="1:6" ht="14" customHeight="1">
      <c r="A71" s="8">
        <v>17</v>
      </c>
      <c r="B71" s="7" t="str">
        <f>المدخلات!$F$5</f>
        <v>5:20–6:30 م</v>
      </c>
      <c r="C71" s="7">
        <v>2</v>
      </c>
      <c r="D71" s="7" t="s">
        <v>32</v>
      </c>
      <c r="E71" s="2"/>
      <c r="F71" s="2"/>
    </row>
    <row r="72" spans="1:6" ht="14" customHeight="1">
      <c r="A72" s="8">
        <v>18</v>
      </c>
      <c r="B72" s="7" t="str">
        <f>المدخلات!$F$4</f>
        <v>4:00–5:10 م</v>
      </c>
      <c r="C72" s="7">
        <v>1</v>
      </c>
      <c r="D72" s="7" t="s">
        <v>623</v>
      </c>
      <c r="E72" s="2"/>
      <c r="F72" s="2"/>
    </row>
    <row r="73" spans="1:6" ht="14" customHeight="1">
      <c r="A73" s="8">
        <v>18</v>
      </c>
      <c r="B73" s="7" t="str">
        <f>المدخلات!$F$4</f>
        <v>4:00–5:10 م</v>
      </c>
      <c r="C73" s="7">
        <v>2</v>
      </c>
      <c r="D73" s="7" t="s">
        <v>621</v>
      </c>
      <c r="E73" s="2"/>
      <c r="F73" s="2"/>
    </row>
    <row r="74" spans="1:6" ht="14" customHeight="1">
      <c r="A74" s="8">
        <v>18</v>
      </c>
      <c r="B74" s="7" t="str">
        <f>المدخلات!$F$5</f>
        <v>5:20–6:30 م</v>
      </c>
      <c r="C74" s="7">
        <v>1</v>
      </c>
      <c r="D74" s="7" t="s">
        <v>1035</v>
      </c>
      <c r="E74" s="2"/>
      <c r="F74" s="2"/>
    </row>
    <row r="75" spans="1:6" ht="14" customHeight="1">
      <c r="A75" s="8">
        <v>18</v>
      </c>
      <c r="B75" s="7" t="str">
        <f>المدخلات!$F$5</f>
        <v>5:20–6:30 م</v>
      </c>
      <c r="C75" s="7">
        <v>2</v>
      </c>
      <c r="D75" s="7" t="s">
        <v>622</v>
      </c>
      <c r="E75" s="2"/>
      <c r="F75" s="2"/>
    </row>
    <row r="76" spans="1:6" ht="14" customHeight="1">
      <c r="A76" s="8">
        <v>19</v>
      </c>
      <c r="B76" s="7" t="str">
        <f>المدخلات!$F$4</f>
        <v>4:00–5:10 م</v>
      </c>
      <c r="C76" s="7">
        <v>1</v>
      </c>
      <c r="D76" s="7" t="s">
        <v>13</v>
      </c>
      <c r="E76" s="2"/>
      <c r="F76" s="2"/>
    </row>
    <row r="77" spans="1:6" ht="14" customHeight="1">
      <c r="A77" s="8">
        <v>19</v>
      </c>
      <c r="B77" s="7" t="str">
        <f>المدخلات!$F$4</f>
        <v>4:00–5:10 م</v>
      </c>
      <c r="C77" s="7">
        <v>2</v>
      </c>
      <c r="D77" s="7" t="s">
        <v>30</v>
      </c>
      <c r="E77" s="2"/>
      <c r="F77" s="2"/>
    </row>
    <row r="78" spans="1:6" ht="14" customHeight="1">
      <c r="A78" s="8">
        <v>19</v>
      </c>
      <c r="B78" s="7" t="str">
        <f>المدخلات!$F$5</f>
        <v>5:20–6:30 م</v>
      </c>
      <c r="C78" s="7">
        <v>1</v>
      </c>
      <c r="D78" s="7" t="s">
        <v>21</v>
      </c>
      <c r="E78" s="2"/>
      <c r="F78" s="2"/>
    </row>
    <row r="79" spans="1:6" ht="14" customHeight="1">
      <c r="A79" s="8">
        <v>19</v>
      </c>
      <c r="B79" s="7" t="str">
        <f>المدخلات!$F$5</f>
        <v>5:20–6:30 م</v>
      </c>
      <c r="C79" s="7">
        <v>2</v>
      </c>
      <c r="D79" s="7" t="s">
        <v>18</v>
      </c>
      <c r="E79" s="2"/>
      <c r="F79" s="2"/>
    </row>
    <row r="80" spans="1:6" ht="14" customHeight="1">
      <c r="A80" s="8">
        <v>20</v>
      </c>
      <c r="B80" s="7" t="str">
        <f>المدخلات!$F$4</f>
        <v>4:00–5:10 م</v>
      </c>
      <c r="C80" s="7">
        <v>1</v>
      </c>
      <c r="D80" s="7" t="s">
        <v>647</v>
      </c>
      <c r="E80" s="2"/>
      <c r="F80" s="2"/>
    </row>
    <row r="81" spans="1:9" ht="14" customHeight="1">
      <c r="A81" s="8">
        <v>20</v>
      </c>
      <c r="B81" s="7" t="str">
        <f>المدخلات!$F$4</f>
        <v>4:00–5:10 م</v>
      </c>
      <c r="C81" s="7">
        <v>2</v>
      </c>
      <c r="D81" s="7" t="s">
        <v>8</v>
      </c>
      <c r="E81" s="2"/>
      <c r="F81" s="2"/>
    </row>
    <row r="82" spans="1:9" ht="14" customHeight="1">
      <c r="A82" s="8">
        <v>20</v>
      </c>
      <c r="B82" s="7" t="str">
        <f>المدخلات!$F$5</f>
        <v>5:20–6:30 م</v>
      </c>
      <c r="C82" s="7">
        <v>1</v>
      </c>
      <c r="D82" s="7" t="s">
        <v>34</v>
      </c>
      <c r="E82" s="2"/>
      <c r="F82" s="2"/>
    </row>
    <row r="83" spans="1:9" ht="14" customHeight="1">
      <c r="A83" s="8">
        <v>20</v>
      </c>
      <c r="B83" s="7" t="str">
        <f>المدخلات!$F$5</f>
        <v>5:20–6:30 م</v>
      </c>
      <c r="C83" s="7">
        <v>2</v>
      </c>
      <c r="D83" s="7" t="s">
        <v>23</v>
      </c>
      <c r="E83" s="2"/>
      <c r="F83" s="2"/>
    </row>
    <row r="84" spans="1:9" ht="14" customHeight="1">
      <c r="A84" s="8">
        <v>21</v>
      </c>
      <c r="B84" s="7" t="str">
        <f>المدخلات!$F$4</f>
        <v>4:00–5:10 م</v>
      </c>
      <c r="C84" s="7">
        <v>1</v>
      </c>
      <c r="D84" s="7" t="s">
        <v>16</v>
      </c>
      <c r="E84" s="2"/>
      <c r="F84" s="2"/>
    </row>
    <row r="85" spans="1:9" ht="14" customHeight="1">
      <c r="A85" s="8">
        <v>21</v>
      </c>
      <c r="B85" s="7" t="str">
        <f>المدخلات!$F$4</f>
        <v>4:00–5:10 م</v>
      </c>
      <c r="C85" s="7">
        <v>2</v>
      </c>
      <c r="D85" s="7" t="s">
        <v>26</v>
      </c>
      <c r="E85" s="2"/>
      <c r="F85" s="2"/>
    </row>
    <row r="86" spans="1:9" ht="14" customHeight="1">
      <c r="A86" s="8">
        <v>21</v>
      </c>
      <c r="B86" s="7" t="str">
        <f>المدخلات!$F$5</f>
        <v>5:20–6:30 م</v>
      </c>
      <c r="C86" s="7">
        <v>1</v>
      </c>
      <c r="D86" s="7" t="s">
        <v>1037</v>
      </c>
      <c r="E86" s="2"/>
      <c r="F86" s="2"/>
    </row>
    <row r="87" spans="1:9" ht="14" customHeight="1">
      <c r="A87" s="8">
        <v>21</v>
      </c>
      <c r="B87" s="7" t="str">
        <f>المدخلات!$F$5</f>
        <v>5:20–6:30 م</v>
      </c>
      <c r="C87" s="7">
        <v>2</v>
      </c>
      <c r="D87" s="7" t="s">
        <v>1048</v>
      </c>
      <c r="E87" s="2"/>
      <c r="F87" s="2"/>
    </row>
    <row r="88" spans="1:9">
      <c r="A88" s="2"/>
      <c r="B88" s="2"/>
      <c r="C88" s="2"/>
      <c r="D88" s="2"/>
    </row>
    <row r="89" spans="1:9">
      <c r="A89" s="2"/>
      <c r="B89" s="2"/>
      <c r="C89" s="2"/>
      <c r="D89" s="2"/>
    </row>
    <row r="90" spans="1:9" ht="14.5">
      <c r="A90" s="17" t="s">
        <v>828</v>
      </c>
      <c r="B90" s="17"/>
      <c r="C90" s="17"/>
      <c r="D90" s="17"/>
      <c r="E90" s="17"/>
      <c r="F90" s="17"/>
      <c r="G90" s="17"/>
      <c r="H90" s="17"/>
      <c r="I90" s="17"/>
    </row>
    <row r="91" spans="1:9" ht="14.5">
      <c r="A91" s="6" t="s">
        <v>829</v>
      </c>
      <c r="B91" s="6">
        <v>1</v>
      </c>
      <c r="C91" s="6">
        <v>2</v>
      </c>
      <c r="D91" s="6">
        <v>3</v>
      </c>
      <c r="E91" s="6">
        <v>4</v>
      </c>
      <c r="F91" s="6">
        <v>5</v>
      </c>
      <c r="G91" s="6">
        <v>6</v>
      </c>
      <c r="H91" s="6">
        <v>7</v>
      </c>
      <c r="I91" s="6">
        <v>8</v>
      </c>
    </row>
    <row r="92" spans="1:9" ht="14.5">
      <c r="A92" s="14">
        <v>1</v>
      </c>
      <c r="B92" s="4" t="str">
        <f>IF($A92=B$91,"",COUNTIF($D$4:$D$87,$A92&amp;" ضد "&amp;B$91)+COUNTIF($D$4:$D$87,B$91&amp;" ضد "&amp;$A92))</f>
        <v/>
      </c>
      <c r="C92" s="4">
        <f>IF($A92=C$91,"",COUNTIF($D$4:$D$87,$A92&amp;" ضد "&amp;C$91)+COUNTIF($D$4:$D$87,C$91&amp;" ضد "&amp;$A92))</f>
        <v>3</v>
      </c>
      <c r="D92" s="4">
        <f>IF($A92=D$91,"",COUNTIF($D$4:$D$87,$A92&amp;" ضد "&amp;D$91)+COUNTIF($D$4:$D$87,D$91&amp;" ضد "&amp;$A92))</f>
        <v>3</v>
      </c>
      <c r="E92" s="4">
        <f>IF($A92=E$91,"",COUNTIF($D$4:$D$87,$A92&amp;" ضد "&amp;E$91)+COUNTIF($D$4:$D$87,E$91&amp;" ضد "&amp;$A92))</f>
        <v>3</v>
      </c>
      <c r="F92" s="4">
        <f>IF($A92=F$91,"",COUNTIF($D$4:$D$87,$A92&amp;" ضد "&amp;F$91)+COUNTIF($D$4:$D$87,F$91&amp;" ضد "&amp;$A92))</f>
        <v>3</v>
      </c>
      <c r="G92" s="4">
        <f>IF($A92=G$91,"",COUNTIF($D$4:$D$87,$A92&amp;" ضد "&amp;G$91)+COUNTIF($D$4:$D$87,G$91&amp;" ضد "&amp;$A92))</f>
        <v>3</v>
      </c>
      <c r="H92" s="4">
        <f>IF($A92=H$91,"",COUNTIF($D$4:$D$87,$A92&amp;" ضد "&amp;H$91)+COUNTIF($D$4:$D$87,H$91&amp;" ضد "&amp;$A92))</f>
        <v>3</v>
      </c>
      <c r="I92" s="4">
        <f>IF($A92=I$91,"",COUNTIF($D$4:$D$87,$A92&amp;" ضد "&amp;I$91)+COUNTIF($D$4:$D$87,I$91&amp;" ضد "&amp;$A92))</f>
        <v>3</v>
      </c>
    </row>
    <row r="93" spans="1:9" ht="14.5">
      <c r="A93" s="14">
        <v>2</v>
      </c>
      <c r="B93" s="4">
        <f>IF($A93=B$91,"",COUNTIF($D$4:$D$87,$A93&amp;" ضد "&amp;B$91)+COUNTIF($D$4:$D$87,B$91&amp;" ضد "&amp;$A93))</f>
        <v>3</v>
      </c>
      <c r="C93" s="4" t="str">
        <f>IF($A93=C$91,"",COUNTIF($D$4:$D$87,$A93&amp;" ضد "&amp;C$91)+COUNTIF($D$4:$D$87,C$91&amp;" ضد "&amp;$A93))</f>
        <v/>
      </c>
      <c r="D93" s="4">
        <f>IF($A93=D$91,"",COUNTIF($D$4:$D$87,$A93&amp;" ضد "&amp;D$91)+COUNTIF($D$4:$D$87,D$91&amp;" ضد "&amp;$A93))</f>
        <v>3</v>
      </c>
      <c r="E93" s="4">
        <f>IF($A93=E$91,"",COUNTIF($D$4:$D$87,$A93&amp;" ضد "&amp;E$91)+COUNTIF($D$4:$D$87,E$91&amp;" ضد "&amp;$A93))</f>
        <v>3</v>
      </c>
      <c r="F93" s="4">
        <f>IF($A93=F$91,"",COUNTIF($D$4:$D$87,$A93&amp;" ضد "&amp;F$91)+COUNTIF($D$4:$D$87,F$91&amp;" ضد "&amp;$A93))</f>
        <v>3</v>
      </c>
      <c r="G93" s="4">
        <f>IF($A93=G$91,"",COUNTIF($D$4:$D$87,$A93&amp;" ضد "&amp;G$91)+COUNTIF($D$4:$D$87,G$91&amp;" ضد "&amp;$A93))</f>
        <v>3</v>
      </c>
      <c r="H93" s="4">
        <f>IF($A93=H$91,"",COUNTIF($D$4:$D$87,$A93&amp;" ضد "&amp;H$91)+COUNTIF($D$4:$D$87,H$91&amp;" ضد "&amp;$A93))</f>
        <v>3</v>
      </c>
      <c r="I93" s="4">
        <f>IF($A93=I$91,"",COUNTIF($D$4:$D$87,$A93&amp;" ضد "&amp;I$91)+COUNTIF($D$4:$D$87,I$91&amp;" ضد "&amp;$A93))</f>
        <v>3</v>
      </c>
    </row>
    <row r="94" spans="1:9" ht="14.5">
      <c r="A94" s="14">
        <v>3</v>
      </c>
      <c r="B94" s="4">
        <f>IF($A94=B$91,"",COUNTIF($D$4:$D$87,$A94&amp;" ضد "&amp;B$91)+COUNTIF($D$4:$D$87,B$91&amp;" ضد "&amp;$A94))</f>
        <v>3</v>
      </c>
      <c r="C94" s="4">
        <f>IF($A94=C$91,"",COUNTIF($D$4:$D$87,$A94&amp;" ضد "&amp;C$91)+COUNTIF($D$4:$D$87,C$91&amp;" ضد "&amp;$A94))</f>
        <v>3</v>
      </c>
      <c r="D94" s="4" t="str">
        <f>IF($A94=D$91,"",COUNTIF($D$4:$D$87,$A94&amp;" ضد "&amp;D$91)+COUNTIF($D$4:$D$87,D$91&amp;" ضد "&amp;$A94))</f>
        <v/>
      </c>
      <c r="E94" s="4">
        <f>IF($A94=E$91,"",COUNTIF($D$4:$D$87,$A94&amp;" ضد "&amp;E$91)+COUNTIF($D$4:$D$87,E$91&amp;" ضد "&amp;$A94))</f>
        <v>3</v>
      </c>
      <c r="F94" s="4">
        <f>IF($A94=F$91,"",COUNTIF($D$4:$D$87,$A94&amp;" ضد "&amp;F$91)+COUNTIF($D$4:$D$87,F$91&amp;" ضد "&amp;$A94))</f>
        <v>3</v>
      </c>
      <c r="G94" s="4">
        <f>IF($A94=G$91,"",COUNTIF($D$4:$D$87,$A94&amp;" ضد "&amp;G$91)+COUNTIF($D$4:$D$87,G$91&amp;" ضد "&amp;$A94))</f>
        <v>3</v>
      </c>
      <c r="H94" s="4">
        <f>IF($A94=H$91,"",COUNTIF($D$4:$D$87,$A94&amp;" ضد "&amp;H$91)+COUNTIF($D$4:$D$87,H$91&amp;" ضد "&amp;$A94))</f>
        <v>3</v>
      </c>
      <c r="I94" s="4">
        <f>IF($A94=I$91,"",COUNTIF($D$4:$D$87,$A94&amp;" ضد "&amp;I$91)+COUNTIF($D$4:$D$87,I$91&amp;" ضد "&amp;$A94))</f>
        <v>3</v>
      </c>
    </row>
    <row r="95" spans="1:9" ht="14.5">
      <c r="A95" s="14">
        <v>4</v>
      </c>
      <c r="B95" s="4">
        <f>IF($A95=B$91,"",COUNTIF($D$4:$D$87,$A95&amp;" ضد "&amp;B$91)+COUNTIF($D$4:$D$87,B$91&amp;" ضد "&amp;$A95))</f>
        <v>3</v>
      </c>
      <c r="C95" s="4">
        <f>IF($A95=C$91,"",COUNTIF($D$4:$D$87,$A95&amp;" ضد "&amp;C$91)+COUNTIF($D$4:$D$87,C$91&amp;" ضد "&amp;$A95))</f>
        <v>3</v>
      </c>
      <c r="D95" s="4">
        <f>IF($A95=D$91,"",COUNTIF($D$4:$D$87,$A95&amp;" ضد "&amp;D$91)+COUNTIF($D$4:$D$87,D$91&amp;" ضد "&amp;$A95))</f>
        <v>3</v>
      </c>
      <c r="E95" s="4" t="str">
        <f>IF($A95=E$91,"",COUNTIF($D$4:$D$87,$A95&amp;" ضد "&amp;E$91)+COUNTIF($D$4:$D$87,E$91&amp;" ضد "&amp;$A95))</f>
        <v/>
      </c>
      <c r="F95" s="4">
        <f>IF($A95=F$91,"",COUNTIF($D$4:$D$87,$A95&amp;" ضد "&amp;F$91)+COUNTIF($D$4:$D$87,F$91&amp;" ضد "&amp;$A95))</f>
        <v>3</v>
      </c>
      <c r="G95" s="4">
        <f>IF($A95=G$91,"",COUNTIF($D$4:$D$87,$A95&amp;" ضد "&amp;G$91)+COUNTIF($D$4:$D$87,G$91&amp;" ضد "&amp;$A95))</f>
        <v>3</v>
      </c>
      <c r="H95" s="4">
        <f>IF($A95=H$91,"",COUNTIF($D$4:$D$87,$A95&amp;" ضد "&amp;H$91)+COUNTIF($D$4:$D$87,H$91&amp;" ضد "&amp;$A95))</f>
        <v>3</v>
      </c>
      <c r="I95" s="4">
        <f>IF($A95=I$91,"",COUNTIF($D$4:$D$87,$A95&amp;" ضد "&amp;I$91)+COUNTIF($D$4:$D$87,I$91&amp;" ضد "&amp;$A95))</f>
        <v>3</v>
      </c>
    </row>
    <row r="96" spans="1:9" ht="14.5">
      <c r="A96" s="14">
        <v>5</v>
      </c>
      <c r="B96" s="4">
        <f>IF($A96=B$91,"",COUNTIF($D$4:$D$87,$A96&amp;" ضد "&amp;B$91)+COUNTIF($D$4:$D$87,B$91&amp;" ضد "&amp;$A96))</f>
        <v>3</v>
      </c>
      <c r="C96" s="4">
        <f>IF($A96=C$91,"",COUNTIF($D$4:$D$87,$A96&amp;" ضد "&amp;C$91)+COUNTIF($D$4:$D$87,C$91&amp;" ضد "&amp;$A96))</f>
        <v>3</v>
      </c>
      <c r="D96" s="4">
        <f>IF($A96=D$91,"",COUNTIF($D$4:$D$87,$A96&amp;" ضد "&amp;D$91)+COUNTIF($D$4:$D$87,D$91&amp;" ضد "&amp;$A96))</f>
        <v>3</v>
      </c>
      <c r="E96" s="4">
        <f>IF($A96=E$91,"",COUNTIF($D$4:$D$87,$A96&amp;" ضد "&amp;E$91)+COUNTIF($D$4:$D$87,E$91&amp;" ضد "&amp;$A96))</f>
        <v>3</v>
      </c>
      <c r="F96" s="4" t="str">
        <f>IF($A96=F$91,"",COUNTIF($D$4:$D$87,$A96&amp;" ضد "&amp;F$91)+COUNTIF($D$4:$D$87,F$91&amp;" ضد "&amp;$A96))</f>
        <v/>
      </c>
      <c r="G96" s="4">
        <f>IF($A96=G$91,"",COUNTIF($D$4:$D$87,$A96&amp;" ضد "&amp;G$91)+COUNTIF($D$4:$D$87,G$91&amp;" ضد "&amp;$A96))</f>
        <v>3</v>
      </c>
      <c r="H96" s="4">
        <f>IF($A96=H$91,"",COUNTIF($D$4:$D$87,$A96&amp;" ضد "&amp;H$91)+COUNTIF($D$4:$D$87,H$91&amp;" ضد "&amp;$A96))</f>
        <v>3</v>
      </c>
      <c r="I96" s="4">
        <f>IF($A96=I$91,"",COUNTIF($D$4:$D$87,$A96&amp;" ضد "&amp;I$91)+COUNTIF($D$4:$D$87,I$91&amp;" ضد "&amp;$A96))</f>
        <v>3</v>
      </c>
    </row>
    <row r="97" spans="1:9" ht="14.5">
      <c r="A97" s="14">
        <v>6</v>
      </c>
      <c r="B97" s="4">
        <f>IF($A97=B$91,"",COUNTIF($D$4:$D$87,$A97&amp;" ضد "&amp;B$91)+COUNTIF($D$4:$D$87,B$91&amp;" ضد "&amp;$A97))</f>
        <v>3</v>
      </c>
      <c r="C97" s="4">
        <f>IF($A97=C$91,"",COUNTIF($D$4:$D$87,$A97&amp;" ضد "&amp;C$91)+COUNTIF($D$4:$D$87,C$91&amp;" ضد "&amp;$A97))</f>
        <v>3</v>
      </c>
      <c r="D97" s="4">
        <f>IF($A97=D$91,"",COUNTIF($D$4:$D$87,$A97&amp;" ضد "&amp;D$91)+COUNTIF($D$4:$D$87,D$91&amp;" ضد "&amp;$A97))</f>
        <v>3</v>
      </c>
      <c r="E97" s="4">
        <f>IF($A97=E$91,"",COUNTIF($D$4:$D$87,$A97&amp;" ضد "&amp;E$91)+COUNTIF($D$4:$D$87,E$91&amp;" ضد "&amp;$A97))</f>
        <v>3</v>
      </c>
      <c r="F97" s="4">
        <f>IF($A97=F$91,"",COUNTIF($D$4:$D$87,$A97&amp;" ضد "&amp;F$91)+COUNTIF($D$4:$D$87,F$91&amp;" ضد "&amp;$A97))</f>
        <v>3</v>
      </c>
      <c r="G97" s="4" t="str">
        <f>IF($A97=G$91,"",COUNTIF($D$4:$D$87,$A97&amp;" ضد "&amp;G$91)+COUNTIF($D$4:$D$87,G$91&amp;" ضد "&amp;$A97))</f>
        <v/>
      </c>
      <c r="H97" s="4">
        <f>IF($A97=H$91,"",COUNTIF($D$4:$D$87,$A97&amp;" ضد "&amp;H$91)+COUNTIF($D$4:$D$87,H$91&amp;" ضد "&amp;$A97))</f>
        <v>3</v>
      </c>
      <c r="I97" s="4">
        <f>IF($A97=I$91,"",COUNTIF($D$4:$D$87,$A97&amp;" ضد "&amp;I$91)+COUNTIF($D$4:$D$87,I$91&amp;" ضد "&amp;$A97))</f>
        <v>3</v>
      </c>
    </row>
    <row r="98" spans="1:9" ht="14.5">
      <c r="A98" s="14">
        <v>7</v>
      </c>
      <c r="B98" s="4">
        <f>IF($A98=B$91,"",COUNTIF($D$4:$D$87,$A98&amp;" ضد "&amp;B$91)+COUNTIF($D$4:$D$87,B$91&amp;" ضد "&amp;$A98))</f>
        <v>3</v>
      </c>
      <c r="C98" s="4">
        <f>IF($A98=C$91,"",COUNTIF($D$4:$D$87,$A98&amp;" ضد "&amp;C$91)+COUNTIF($D$4:$D$87,C$91&amp;" ضد "&amp;$A98))</f>
        <v>3</v>
      </c>
      <c r="D98" s="4">
        <f>IF($A98=D$91,"",COUNTIF($D$4:$D$87,$A98&amp;" ضد "&amp;D$91)+COUNTIF($D$4:$D$87,D$91&amp;" ضد "&amp;$A98))</f>
        <v>3</v>
      </c>
      <c r="E98" s="4">
        <f>IF($A98=E$91,"",COUNTIF($D$4:$D$87,$A98&amp;" ضد "&amp;E$91)+COUNTIF($D$4:$D$87,E$91&amp;" ضد "&amp;$A98))</f>
        <v>3</v>
      </c>
      <c r="F98" s="4">
        <f>IF($A98=F$91,"",COUNTIF($D$4:$D$87,$A98&amp;" ضد "&amp;F$91)+COUNTIF($D$4:$D$87,F$91&amp;" ضد "&amp;$A98))</f>
        <v>3</v>
      </c>
      <c r="G98" s="4">
        <f>IF($A98=G$91,"",COUNTIF($D$4:$D$87,$A98&amp;" ضد "&amp;G$91)+COUNTIF($D$4:$D$87,G$91&amp;" ضد "&amp;$A98))</f>
        <v>3</v>
      </c>
      <c r="H98" s="4" t="str">
        <f>IF($A98=H$91,"",COUNTIF($D$4:$D$87,$A98&amp;" ضد "&amp;H$91)+COUNTIF($D$4:$D$87,H$91&amp;" ضد "&amp;$A98))</f>
        <v/>
      </c>
      <c r="I98" s="4">
        <f>IF($A98=I$91,"",COUNTIF($D$4:$D$87,$A98&amp;" ضد "&amp;I$91)+COUNTIF($D$4:$D$87,I$91&amp;" ضد "&amp;$A98))</f>
        <v>3</v>
      </c>
    </row>
    <row r="99" spans="1:9" ht="14.5">
      <c r="A99" s="14">
        <v>8</v>
      </c>
      <c r="B99" s="4">
        <f>IF($A99=B$91,"",COUNTIF($D$4:$D$87,$A99&amp;" ضد "&amp;B$91)+COUNTIF($D$4:$D$87,B$91&amp;" ضد "&amp;$A99))</f>
        <v>3</v>
      </c>
      <c r="C99" s="4">
        <f>IF($A99=C$91,"",COUNTIF($D$4:$D$87,$A99&amp;" ضد "&amp;C$91)+COUNTIF($D$4:$D$87,C$91&amp;" ضد "&amp;$A99))</f>
        <v>3</v>
      </c>
      <c r="D99" s="4">
        <f>IF($A99=D$91,"",COUNTIF($D$4:$D$87,$A99&amp;" ضد "&amp;D$91)+COUNTIF($D$4:$D$87,D$91&amp;" ضد "&amp;$A99))</f>
        <v>3</v>
      </c>
      <c r="E99" s="4">
        <f>IF($A99=E$91,"",COUNTIF($D$4:$D$87,$A99&amp;" ضد "&amp;E$91)+COUNTIF($D$4:$D$87,E$91&amp;" ضد "&amp;$A99))</f>
        <v>3</v>
      </c>
      <c r="F99" s="4">
        <f>IF($A99=F$91,"",COUNTIF($D$4:$D$87,$A99&amp;" ضد "&amp;F$91)+COUNTIF($D$4:$D$87,F$91&amp;" ضد "&amp;$A99))</f>
        <v>3</v>
      </c>
      <c r="G99" s="4">
        <f>IF($A99=G$91,"",COUNTIF($D$4:$D$87,$A99&amp;" ضد "&amp;G$91)+COUNTIF($D$4:$D$87,G$91&amp;" ضد "&amp;$A99))</f>
        <v>3</v>
      </c>
      <c r="H99" s="4">
        <f>IF($A99=H$91,"",COUNTIF($D$4:$D$87,$A99&amp;" ضد "&amp;H$91)+COUNTIF($D$4:$D$87,H$91&amp;" ضد "&amp;$A99))</f>
        <v>3</v>
      </c>
      <c r="I99" s="4" t="str">
        <f>IF($A99=I$91,"",COUNTIF($D$4:$D$87,$A99&amp;" ضد "&amp;I$91)+COUNTIF($D$4:$D$87,I$91&amp;" ضد "&amp;$A99))</f>
        <v/>
      </c>
    </row>
    <row r="100" spans="1:9" ht="14.5">
      <c r="A100" s="14" t="s">
        <v>1033</v>
      </c>
      <c r="B100" s="4" cm="1">
        <f t="array" ref="B100">MIN(IF(B92:I99&gt;0,B92:I99))</f>
        <v>3</v>
      </c>
      <c r="C100" s="4"/>
      <c r="D100" s="4"/>
      <c r="E100" s="4"/>
      <c r="F100" s="4"/>
      <c r="G100" s="4"/>
      <c r="H100" s="4"/>
      <c r="I100" s="4"/>
    </row>
    <row r="101" spans="1:9" ht="14.5">
      <c r="A101" s="14" t="s">
        <v>830</v>
      </c>
      <c r="B101" s="4">
        <f>MAX(B92:I99)</f>
        <v>3</v>
      </c>
      <c r="C101" s="4"/>
      <c r="D101" s="4"/>
      <c r="E101" s="4"/>
      <c r="F101" s="4"/>
      <c r="G101" s="4"/>
      <c r="H101" s="4"/>
      <c r="I101" s="4"/>
    </row>
  </sheetData>
  <mergeCells count="2">
    <mergeCell ref="A1:D1"/>
    <mergeCell ref="A90:I9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2176-1258-4998-A550-FF0A4220F454}">
  <dimension ref="A1:J99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982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9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31</v>
      </c>
      <c r="E5" s="2"/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20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27</v>
      </c>
      <c r="E7" s="2"/>
      <c r="F7" s="2"/>
    </row>
    <row r="8" spans="1:6" ht="14" customHeight="1">
      <c r="A8" s="8">
        <v>2</v>
      </c>
      <c r="B8" s="7" t="str">
        <f>المدخلات!$F$4</f>
        <v>4:00–5:10 م</v>
      </c>
      <c r="C8" s="7">
        <v>1</v>
      </c>
      <c r="D8" s="7" t="s">
        <v>34</v>
      </c>
      <c r="E8" s="2"/>
      <c r="F8" s="2"/>
    </row>
    <row r="9" spans="1:6" ht="14" customHeight="1">
      <c r="A9" s="8">
        <v>2</v>
      </c>
      <c r="B9" s="7" t="str">
        <f>المدخلات!$F$4</f>
        <v>4:00–5:10 م</v>
      </c>
      <c r="C9" s="7">
        <v>2</v>
      </c>
      <c r="D9" s="7" t="s">
        <v>11</v>
      </c>
      <c r="E9" s="2"/>
      <c r="F9" s="2"/>
    </row>
    <row r="10" spans="1:6" ht="14" customHeight="1">
      <c r="A10" s="8">
        <v>2</v>
      </c>
      <c r="B10" s="7" t="str">
        <f>المدخلات!$F$5</f>
        <v>5:20–6:30 م</v>
      </c>
      <c r="C10" s="7">
        <v>1</v>
      </c>
      <c r="D10" s="7" t="s">
        <v>1059</v>
      </c>
      <c r="E10" s="2"/>
      <c r="F10" s="2"/>
    </row>
    <row r="11" spans="1:6" ht="14" customHeight="1">
      <c r="A11" s="8">
        <v>2</v>
      </c>
      <c r="B11" s="7" t="str">
        <f>المدخلات!$F$5</f>
        <v>5:20–6:30 م</v>
      </c>
      <c r="C11" s="7">
        <v>2</v>
      </c>
      <c r="D11" s="7" t="s">
        <v>23</v>
      </c>
      <c r="E11" s="2"/>
      <c r="F11" s="2"/>
    </row>
    <row r="12" spans="1:6" ht="14" customHeight="1">
      <c r="A12" s="8">
        <v>3</v>
      </c>
      <c r="B12" s="7" t="str">
        <f>المدخلات!$F$4</f>
        <v>4:00–5:10 م</v>
      </c>
      <c r="C12" s="7">
        <v>1</v>
      </c>
      <c r="D12" s="7" t="s">
        <v>39</v>
      </c>
      <c r="E12" s="2"/>
      <c r="F12" s="2"/>
    </row>
    <row r="13" spans="1:6" ht="14" customHeight="1">
      <c r="A13" s="8">
        <v>3</v>
      </c>
      <c r="B13" s="7" t="str">
        <f>المدخلات!$F$4</f>
        <v>4:00–5:10 م</v>
      </c>
      <c r="C13" s="7">
        <v>2</v>
      </c>
      <c r="D13" s="7" t="s">
        <v>607</v>
      </c>
      <c r="E13" s="2"/>
      <c r="F13" s="2"/>
    </row>
    <row r="14" spans="1:6" ht="14" customHeight="1">
      <c r="A14" s="8">
        <v>3</v>
      </c>
      <c r="B14" s="7" t="str">
        <f>المدخلات!$F$5</f>
        <v>5:20–6:30 م</v>
      </c>
      <c r="C14" s="7">
        <v>1</v>
      </c>
      <c r="D14" s="7" t="s">
        <v>608</v>
      </c>
      <c r="E14" s="2"/>
      <c r="F14" s="2"/>
    </row>
    <row r="15" spans="1:6" ht="14" customHeight="1">
      <c r="A15" s="8">
        <v>3</v>
      </c>
      <c r="B15" s="7" t="str">
        <f>المدخلات!$F$5</f>
        <v>5:20–6:30 م</v>
      </c>
      <c r="C15" s="7">
        <v>2</v>
      </c>
      <c r="D15" s="7" t="s">
        <v>1039</v>
      </c>
      <c r="E15" s="2"/>
      <c r="F15" s="2"/>
    </row>
    <row r="16" spans="1:6" ht="14" customHeight="1">
      <c r="A16" s="8">
        <v>4</v>
      </c>
      <c r="B16" s="7" t="str">
        <f>المدخلات!$F$4</f>
        <v>4:00–5:10 م</v>
      </c>
      <c r="C16" s="7">
        <v>1</v>
      </c>
      <c r="D16" s="7" t="s">
        <v>12</v>
      </c>
      <c r="E16" s="2"/>
      <c r="F16" s="2"/>
    </row>
    <row r="17" spans="1:6" ht="14" customHeight="1">
      <c r="A17" s="8">
        <v>4</v>
      </c>
      <c r="B17" s="7" t="str">
        <f>المدخلات!$F$4</f>
        <v>4:00–5:10 م</v>
      </c>
      <c r="C17" s="7">
        <v>2</v>
      </c>
      <c r="D17" s="7" t="s">
        <v>832</v>
      </c>
      <c r="E17" s="2"/>
      <c r="F17" s="2"/>
    </row>
    <row r="18" spans="1:6" ht="14" customHeight="1">
      <c r="A18" s="8">
        <v>4</v>
      </c>
      <c r="B18" s="7" t="str">
        <f>المدخلات!$F$5</f>
        <v>5:20–6:30 م</v>
      </c>
      <c r="C18" s="7">
        <v>1</v>
      </c>
      <c r="D18" s="7" t="s">
        <v>22</v>
      </c>
      <c r="E18" s="2"/>
      <c r="F18" s="2"/>
    </row>
    <row r="19" spans="1:6" ht="14" customHeight="1">
      <c r="A19" s="8">
        <v>4</v>
      </c>
      <c r="B19" s="7" t="str">
        <f>المدخلات!$F$5</f>
        <v>5:20–6:30 م</v>
      </c>
      <c r="C19" s="7">
        <v>2</v>
      </c>
      <c r="D19" s="7" t="s">
        <v>10</v>
      </c>
      <c r="E19" s="2"/>
      <c r="F19" s="2"/>
    </row>
    <row r="20" spans="1:6" ht="14" customHeight="1">
      <c r="A20" s="8">
        <v>5</v>
      </c>
      <c r="B20" s="7" t="str">
        <f>المدخلات!$F$4</f>
        <v>4:00–5:10 م</v>
      </c>
      <c r="C20" s="7">
        <v>1</v>
      </c>
      <c r="D20" s="7" t="s">
        <v>1088</v>
      </c>
      <c r="E20" s="2"/>
      <c r="F20" s="2"/>
    </row>
    <row r="21" spans="1:6" ht="14" customHeight="1">
      <c r="A21" s="8">
        <v>5</v>
      </c>
      <c r="B21" s="7" t="str">
        <f>المدخلات!$F$4</f>
        <v>4:00–5:10 م</v>
      </c>
      <c r="C21" s="7">
        <v>2</v>
      </c>
      <c r="D21" s="7" t="s">
        <v>1042</v>
      </c>
      <c r="E21" s="2"/>
      <c r="F21" s="2"/>
    </row>
    <row r="22" spans="1:6" ht="14" customHeight="1">
      <c r="A22" s="8">
        <v>5</v>
      </c>
      <c r="B22" s="7" t="str">
        <f>المدخلات!$F$5</f>
        <v>5:20–6:30 م</v>
      </c>
      <c r="C22" s="7">
        <v>1</v>
      </c>
      <c r="D22" s="7" t="s">
        <v>1049</v>
      </c>
      <c r="E22" s="2"/>
      <c r="F22" s="2"/>
    </row>
    <row r="23" spans="1:6" ht="14" customHeight="1">
      <c r="A23" s="8">
        <v>5</v>
      </c>
      <c r="B23" s="7" t="str">
        <f>المدخلات!$F$5</f>
        <v>5:20–6:30 م</v>
      </c>
      <c r="C23" s="7">
        <v>2</v>
      </c>
      <c r="D23" s="7" t="s">
        <v>42</v>
      </c>
      <c r="E23" s="2"/>
      <c r="F23" s="2"/>
    </row>
    <row r="24" spans="1:6" ht="14" customHeight="1">
      <c r="A24" s="8">
        <v>6</v>
      </c>
      <c r="B24" s="7" t="str">
        <f>المدخلات!$F$4</f>
        <v>4:00–5:10 م</v>
      </c>
      <c r="C24" s="7">
        <v>1</v>
      </c>
      <c r="D24" s="7" t="s">
        <v>1044</v>
      </c>
      <c r="E24" s="2"/>
      <c r="F24" s="2"/>
    </row>
    <row r="25" spans="1:6" ht="14" customHeight="1">
      <c r="A25" s="8">
        <v>6</v>
      </c>
      <c r="B25" s="7" t="str">
        <f>المدخلات!$F$4</f>
        <v>4:00–5:10 م</v>
      </c>
      <c r="C25" s="7">
        <v>2</v>
      </c>
      <c r="D25" s="7" t="s">
        <v>40</v>
      </c>
      <c r="E25" s="2"/>
      <c r="F25" s="2"/>
    </row>
    <row r="26" spans="1:6" ht="14" customHeight="1">
      <c r="A26" s="8">
        <v>6</v>
      </c>
      <c r="B26" s="7" t="str">
        <f>المدخلات!$F$5</f>
        <v>5:20–6:30 م</v>
      </c>
      <c r="C26" s="7">
        <v>1</v>
      </c>
      <c r="D26" s="7" t="s">
        <v>16</v>
      </c>
      <c r="E26" s="2"/>
      <c r="F26" s="2"/>
    </row>
    <row r="27" spans="1:6" ht="14" customHeight="1">
      <c r="A27" s="8">
        <v>6</v>
      </c>
      <c r="B27" s="7" t="str">
        <f>المدخلات!$F$5</f>
        <v>5:20–6:30 م</v>
      </c>
      <c r="C27" s="7">
        <v>2</v>
      </c>
      <c r="D27" s="7" t="s">
        <v>1048</v>
      </c>
      <c r="E27" s="2"/>
      <c r="F27" s="2"/>
    </row>
    <row r="28" spans="1:6" ht="14" customHeight="1">
      <c r="A28" s="8">
        <v>7</v>
      </c>
      <c r="B28" s="7" t="str">
        <f>المدخلات!$F$4</f>
        <v>4:00–5:10 م</v>
      </c>
      <c r="C28" s="7">
        <v>1</v>
      </c>
      <c r="D28" s="7" t="s">
        <v>1051</v>
      </c>
      <c r="E28" s="2"/>
      <c r="F28" s="2"/>
    </row>
    <row r="29" spans="1:6" ht="14" customHeight="1">
      <c r="A29" s="8">
        <v>7</v>
      </c>
      <c r="B29" s="7" t="str">
        <f>المدخلات!$F$4</f>
        <v>4:00–5:10 م</v>
      </c>
      <c r="C29" s="7">
        <v>2</v>
      </c>
      <c r="D29" s="7" t="s">
        <v>13</v>
      </c>
      <c r="E29" s="2"/>
      <c r="F29" s="2"/>
    </row>
    <row r="30" spans="1:6" ht="14" customHeight="1">
      <c r="A30" s="8">
        <v>7</v>
      </c>
      <c r="B30" s="7" t="str">
        <f>المدخلات!$F$5</f>
        <v>5:20–6:30 م</v>
      </c>
      <c r="C30" s="7">
        <v>1</v>
      </c>
      <c r="D30" s="7" t="s">
        <v>18</v>
      </c>
      <c r="E30" s="2"/>
      <c r="F30" s="2"/>
    </row>
    <row r="31" spans="1:6" ht="14" customHeight="1">
      <c r="A31" s="8">
        <v>7</v>
      </c>
      <c r="B31" s="7" t="str">
        <f>المدخلات!$F$5</f>
        <v>5:20–6:30 م</v>
      </c>
      <c r="C31" s="7">
        <v>2</v>
      </c>
      <c r="D31" s="7" t="s">
        <v>634</v>
      </c>
      <c r="E31" s="2"/>
      <c r="F31" s="2"/>
    </row>
    <row r="32" spans="1:6" ht="14" customHeight="1">
      <c r="A32" s="8">
        <v>8</v>
      </c>
      <c r="B32" s="7" t="str">
        <f>المدخلات!$F$4</f>
        <v>4:00–5:10 م</v>
      </c>
      <c r="C32" s="7">
        <v>1</v>
      </c>
      <c r="D32" s="7" t="s">
        <v>28</v>
      </c>
      <c r="E32" s="2"/>
      <c r="F32" s="2"/>
    </row>
    <row r="33" spans="1:6" ht="14" customHeight="1">
      <c r="A33" s="8">
        <v>8</v>
      </c>
      <c r="B33" s="7" t="str">
        <f>المدخلات!$F$4</f>
        <v>4:00–5:10 م</v>
      </c>
      <c r="C33" s="7">
        <v>2</v>
      </c>
      <c r="D33" s="7" t="s">
        <v>17</v>
      </c>
      <c r="E33" s="2"/>
      <c r="F33" s="2"/>
    </row>
    <row r="34" spans="1:6" ht="14" customHeight="1">
      <c r="A34" s="8">
        <v>8</v>
      </c>
      <c r="B34" s="7" t="str">
        <f>المدخلات!$F$5</f>
        <v>5:20–6:30 م</v>
      </c>
      <c r="C34" s="7">
        <v>1</v>
      </c>
      <c r="D34" s="7" t="s">
        <v>38</v>
      </c>
      <c r="E34" s="2"/>
      <c r="F34" s="2"/>
    </row>
    <row r="35" spans="1:6" ht="14" customHeight="1">
      <c r="A35" s="8">
        <v>8</v>
      </c>
      <c r="B35" s="7" t="str">
        <f>المدخلات!$F$5</f>
        <v>5:20–6:30 م</v>
      </c>
      <c r="C35" s="7">
        <v>2</v>
      </c>
      <c r="D35" s="7" t="s">
        <v>25</v>
      </c>
      <c r="E35" s="2"/>
      <c r="F35" s="2"/>
    </row>
    <row r="36" spans="1:6" ht="14" customHeight="1">
      <c r="A36" s="8">
        <v>9</v>
      </c>
      <c r="B36" s="7" t="str">
        <f>المدخلات!$F$4</f>
        <v>4:00–5:10 م</v>
      </c>
      <c r="C36" s="7">
        <v>1</v>
      </c>
      <c r="D36" s="7" t="s">
        <v>8</v>
      </c>
      <c r="E36" s="2"/>
      <c r="F36" s="2"/>
    </row>
    <row r="37" spans="1:6" ht="14" customHeight="1">
      <c r="A37" s="8">
        <v>9</v>
      </c>
      <c r="B37" s="7" t="str">
        <f>المدخلات!$F$4</f>
        <v>4:00–5:10 م</v>
      </c>
      <c r="C37" s="7">
        <v>2</v>
      </c>
      <c r="D37" s="7" t="s">
        <v>1057</v>
      </c>
      <c r="E37" s="2"/>
      <c r="F37" s="2"/>
    </row>
    <row r="38" spans="1:6" ht="14" customHeight="1">
      <c r="A38" s="8">
        <v>9</v>
      </c>
      <c r="B38" s="7" t="str">
        <f>المدخلات!$F$5</f>
        <v>5:20–6:30 م</v>
      </c>
      <c r="C38" s="7">
        <v>1</v>
      </c>
      <c r="D38" s="7" t="s">
        <v>647</v>
      </c>
      <c r="E38" s="2"/>
      <c r="F38" s="2"/>
    </row>
    <row r="39" spans="1:6" ht="14" customHeight="1">
      <c r="A39" s="8">
        <v>9</v>
      </c>
      <c r="B39" s="7" t="str">
        <f>المدخلات!$F$5</f>
        <v>5:20–6:30 م</v>
      </c>
      <c r="C39" s="7">
        <v>2</v>
      </c>
      <c r="D39" s="7" t="s">
        <v>30</v>
      </c>
      <c r="E39" s="2"/>
      <c r="F39" s="2"/>
    </row>
    <row r="40" spans="1:6" ht="14" customHeight="1">
      <c r="A40" s="8">
        <v>10</v>
      </c>
      <c r="B40" s="7" t="str">
        <f>المدخلات!$F$4</f>
        <v>4:00–5:10 م</v>
      </c>
      <c r="C40" s="7">
        <v>1</v>
      </c>
      <c r="D40" s="7" t="s">
        <v>27</v>
      </c>
      <c r="E40" s="2"/>
      <c r="F40" s="2"/>
    </row>
    <row r="41" spans="1:6" ht="14" customHeight="1">
      <c r="A41" s="8">
        <v>10</v>
      </c>
      <c r="B41" s="7" t="str">
        <f>المدخلات!$F$4</f>
        <v>4:00–5:10 م</v>
      </c>
      <c r="C41" s="7">
        <v>2</v>
      </c>
      <c r="D41" s="7" t="s">
        <v>623</v>
      </c>
      <c r="E41" s="2"/>
      <c r="F41" s="2"/>
    </row>
    <row r="42" spans="1:6" ht="14" customHeight="1">
      <c r="A42" s="8">
        <v>10</v>
      </c>
      <c r="B42" s="7" t="str">
        <f>المدخلات!$F$5</f>
        <v>5:20–6:30 م</v>
      </c>
      <c r="C42" s="7">
        <v>1</v>
      </c>
      <c r="D42" s="7" t="s">
        <v>1035</v>
      </c>
      <c r="E42" s="2"/>
      <c r="F42" s="2"/>
    </row>
    <row r="43" spans="1:6" ht="14" customHeight="1">
      <c r="A43" s="8">
        <v>10</v>
      </c>
      <c r="B43" s="7" t="str">
        <f>المدخلات!$F$5</f>
        <v>5:20–6:30 م</v>
      </c>
      <c r="C43" s="7">
        <v>2</v>
      </c>
      <c r="D43" s="7" t="s">
        <v>9</v>
      </c>
      <c r="E43" s="2"/>
      <c r="F43" s="2"/>
    </row>
    <row r="44" spans="1:6" ht="14" customHeight="1">
      <c r="A44" s="8">
        <v>11</v>
      </c>
      <c r="B44" s="7" t="str">
        <f>المدخلات!$F$4</f>
        <v>4:00–5:10 م</v>
      </c>
      <c r="C44" s="7">
        <v>1</v>
      </c>
      <c r="D44" s="7" t="s">
        <v>23</v>
      </c>
      <c r="E44" s="2"/>
      <c r="F44" s="2"/>
    </row>
    <row r="45" spans="1:6" ht="14" customHeight="1">
      <c r="A45" s="8">
        <v>11</v>
      </c>
      <c r="B45" s="7" t="str">
        <f>المدخلات!$F$4</f>
        <v>4:00–5:10 م</v>
      </c>
      <c r="C45" s="7">
        <v>2</v>
      </c>
      <c r="D45" s="7" t="s">
        <v>1050</v>
      </c>
      <c r="E45" s="2"/>
      <c r="F45" s="2"/>
    </row>
    <row r="46" spans="1:6" ht="14" customHeight="1">
      <c r="A46" s="8">
        <v>11</v>
      </c>
      <c r="B46" s="7" t="str">
        <f>المدخلات!$F$5</f>
        <v>5:20–6:30 م</v>
      </c>
      <c r="C46" s="7">
        <v>1</v>
      </c>
      <c r="D46" s="7" t="s">
        <v>1037</v>
      </c>
      <c r="E46" s="2"/>
      <c r="F46" s="2"/>
    </row>
    <row r="47" spans="1:6" ht="14" customHeight="1">
      <c r="A47" s="8">
        <v>11</v>
      </c>
      <c r="B47" s="7" t="str">
        <f>المدخلات!$F$5</f>
        <v>5:20–6:30 م</v>
      </c>
      <c r="C47" s="7">
        <v>2</v>
      </c>
      <c r="D47" s="7" t="s">
        <v>1059</v>
      </c>
      <c r="E47" s="2"/>
      <c r="F47" s="2"/>
    </row>
    <row r="48" spans="1:6" ht="14" customHeight="1">
      <c r="A48" s="8">
        <v>12</v>
      </c>
      <c r="B48" s="7" t="str">
        <f>المدخلات!$F$4</f>
        <v>4:00–5:10 م</v>
      </c>
      <c r="C48" s="7">
        <v>1</v>
      </c>
      <c r="D48" s="7" t="s">
        <v>15</v>
      </c>
      <c r="E48" s="2"/>
      <c r="F48" s="2"/>
    </row>
    <row r="49" spans="1:6" ht="14" customHeight="1">
      <c r="A49" s="8">
        <v>12</v>
      </c>
      <c r="B49" s="7" t="str">
        <f>المدخلات!$F$4</f>
        <v>4:00–5:10 م</v>
      </c>
      <c r="C49" s="7">
        <v>2</v>
      </c>
      <c r="D49" s="7" t="s">
        <v>32</v>
      </c>
      <c r="E49" s="2"/>
      <c r="F49" s="2"/>
    </row>
    <row r="50" spans="1:6" ht="14" customHeight="1">
      <c r="A50" s="8">
        <v>12</v>
      </c>
      <c r="B50" s="7" t="str">
        <f>المدخلات!$F$5</f>
        <v>5:20–6:30 م</v>
      </c>
      <c r="C50" s="7">
        <v>1</v>
      </c>
      <c r="D50" s="7" t="s">
        <v>607</v>
      </c>
      <c r="E50" s="2"/>
      <c r="F50" s="2"/>
    </row>
    <row r="51" spans="1:6" ht="14" customHeight="1">
      <c r="A51" s="8">
        <v>12</v>
      </c>
      <c r="B51" s="7" t="str">
        <f>المدخلات!$F$5</f>
        <v>5:20–6:30 م</v>
      </c>
      <c r="C51" s="7">
        <v>2</v>
      </c>
      <c r="D51" s="7" t="s">
        <v>39</v>
      </c>
      <c r="E51" s="2"/>
      <c r="F51" s="2"/>
    </row>
    <row r="52" spans="1:6" ht="14" customHeight="1">
      <c r="A52" s="8">
        <v>13</v>
      </c>
      <c r="B52" s="7" t="str">
        <f>المدخلات!$F$4</f>
        <v>4:00–5:10 م</v>
      </c>
      <c r="C52" s="7">
        <v>1</v>
      </c>
      <c r="D52" s="7" t="s">
        <v>832</v>
      </c>
      <c r="E52" s="2"/>
      <c r="F52" s="2"/>
    </row>
    <row r="53" spans="1:6" ht="14" customHeight="1">
      <c r="A53" s="8">
        <v>13</v>
      </c>
      <c r="B53" s="7" t="str">
        <f>المدخلات!$F$4</f>
        <v>4:00–5:10 م</v>
      </c>
      <c r="C53" s="7">
        <v>2</v>
      </c>
      <c r="D53" s="7" t="s">
        <v>1038</v>
      </c>
      <c r="E53" s="2"/>
      <c r="F53" s="2"/>
    </row>
    <row r="54" spans="1:6" ht="14" customHeight="1">
      <c r="A54" s="8">
        <v>13</v>
      </c>
      <c r="B54" s="7" t="str">
        <f>المدخلات!$F$5</f>
        <v>5:20–6:30 م</v>
      </c>
      <c r="C54" s="7">
        <v>1</v>
      </c>
      <c r="D54" s="7" t="s">
        <v>1036</v>
      </c>
      <c r="E54" s="2"/>
      <c r="F54" s="2"/>
    </row>
    <row r="55" spans="1:6" ht="14" customHeight="1">
      <c r="A55" s="8">
        <v>13</v>
      </c>
      <c r="B55" s="7" t="str">
        <f>المدخلات!$F$5</f>
        <v>5:20–6:30 م</v>
      </c>
      <c r="C55" s="7">
        <v>2</v>
      </c>
      <c r="D55" s="7" t="s">
        <v>22</v>
      </c>
      <c r="E55" s="2"/>
      <c r="F55" s="2"/>
    </row>
    <row r="56" spans="1:6" ht="14" customHeight="1">
      <c r="A56" s="8">
        <v>14</v>
      </c>
      <c r="B56" s="7" t="str">
        <f>المدخلات!$F$4</f>
        <v>4:00–5:10 م</v>
      </c>
      <c r="C56" s="7">
        <v>1</v>
      </c>
      <c r="D56" s="7" t="s">
        <v>42</v>
      </c>
      <c r="E56" s="2"/>
      <c r="F56" s="2"/>
    </row>
    <row r="57" spans="1:6" ht="14" customHeight="1">
      <c r="A57" s="8">
        <v>14</v>
      </c>
      <c r="B57" s="7" t="str">
        <f>المدخلات!$F$4</f>
        <v>4:00–5:10 م</v>
      </c>
      <c r="C57" s="7">
        <v>2</v>
      </c>
      <c r="D57" s="7" t="s">
        <v>19</v>
      </c>
      <c r="E57" s="2"/>
      <c r="F57" s="2"/>
    </row>
    <row r="58" spans="1:6" ht="14" customHeight="1">
      <c r="A58" s="8">
        <v>14</v>
      </c>
      <c r="B58" s="7" t="str">
        <f>المدخلات!$F$5</f>
        <v>5:20–6:30 م</v>
      </c>
      <c r="C58" s="7">
        <v>1</v>
      </c>
      <c r="D58" s="7" t="s">
        <v>1049</v>
      </c>
      <c r="E58" s="2"/>
      <c r="F58" s="2"/>
    </row>
    <row r="59" spans="1:6" ht="14" customHeight="1">
      <c r="A59" s="8">
        <v>14</v>
      </c>
      <c r="B59" s="7" t="str">
        <f>المدخلات!$F$5</f>
        <v>5:20–6:30 م</v>
      </c>
      <c r="C59" s="7">
        <v>2</v>
      </c>
      <c r="D59" s="7" t="s">
        <v>7</v>
      </c>
      <c r="E59" s="2"/>
      <c r="F59" s="2"/>
    </row>
    <row r="60" spans="1:6" ht="14" customHeight="1">
      <c r="A60" s="8">
        <v>15</v>
      </c>
      <c r="B60" s="7" t="str">
        <f>المدخلات!$F$4</f>
        <v>4:00–5:10 م</v>
      </c>
      <c r="C60" s="7">
        <v>1</v>
      </c>
      <c r="D60" s="7" t="s">
        <v>16</v>
      </c>
      <c r="E60" s="2"/>
      <c r="F60" s="2"/>
    </row>
    <row r="61" spans="1:6" ht="14" customHeight="1">
      <c r="A61" s="8">
        <v>15</v>
      </c>
      <c r="B61" s="7" t="str">
        <f>المدخلات!$F$4</f>
        <v>4:00–5:10 م</v>
      </c>
      <c r="C61" s="7">
        <v>2</v>
      </c>
      <c r="D61" s="7" t="s">
        <v>1052</v>
      </c>
      <c r="E61" s="2"/>
      <c r="F61" s="2"/>
    </row>
    <row r="62" spans="1:6" ht="14" customHeight="1">
      <c r="A62" s="8">
        <v>15</v>
      </c>
      <c r="B62" s="7" t="str">
        <f>المدخلات!$F$5</f>
        <v>5:20–6:30 م</v>
      </c>
      <c r="C62" s="7">
        <v>1</v>
      </c>
      <c r="D62" s="7" t="s">
        <v>26</v>
      </c>
      <c r="E62" s="2"/>
      <c r="F62" s="2"/>
    </row>
    <row r="63" spans="1:6" ht="14" customHeight="1">
      <c r="A63" s="8">
        <v>15</v>
      </c>
      <c r="B63" s="7" t="str">
        <f>المدخلات!$F$5</f>
        <v>5:20–6:30 م</v>
      </c>
      <c r="C63" s="7">
        <v>2</v>
      </c>
      <c r="D63" s="7" t="s">
        <v>1048</v>
      </c>
      <c r="E63" s="2"/>
      <c r="F63" s="2"/>
    </row>
    <row r="64" spans="1:6" ht="14" customHeight="1">
      <c r="A64" s="8">
        <v>16</v>
      </c>
      <c r="B64" s="7" t="str">
        <f>المدخلات!$F$4</f>
        <v>4:00–5:10 م</v>
      </c>
      <c r="C64" s="7">
        <v>1</v>
      </c>
      <c r="D64" s="7" t="s">
        <v>18</v>
      </c>
      <c r="E64" s="2"/>
      <c r="F64" s="2"/>
    </row>
    <row r="65" spans="1:6" ht="14" customHeight="1">
      <c r="A65" s="8">
        <v>16</v>
      </c>
      <c r="B65" s="7" t="str">
        <f>المدخلات!$F$4</f>
        <v>4:00–5:10 م</v>
      </c>
      <c r="C65" s="7">
        <v>2</v>
      </c>
      <c r="D65" s="7" t="s">
        <v>13</v>
      </c>
      <c r="E65" s="2"/>
      <c r="F65" s="2"/>
    </row>
    <row r="66" spans="1:6" ht="14" customHeight="1">
      <c r="A66" s="8">
        <v>16</v>
      </c>
      <c r="B66" s="7" t="str">
        <f>المدخلات!$F$5</f>
        <v>5:20–6:30 م</v>
      </c>
      <c r="C66" s="7">
        <v>1</v>
      </c>
      <c r="D66" s="7" t="s">
        <v>634</v>
      </c>
      <c r="E66" s="2"/>
      <c r="F66" s="2"/>
    </row>
    <row r="67" spans="1:6" ht="14" customHeight="1">
      <c r="A67" s="8">
        <v>16</v>
      </c>
      <c r="B67" s="7" t="str">
        <f>المدخلات!$F$5</f>
        <v>5:20–6:30 م</v>
      </c>
      <c r="C67" s="7">
        <v>2</v>
      </c>
      <c r="D67" s="7" t="s">
        <v>41</v>
      </c>
      <c r="E67" s="2"/>
      <c r="F67" s="2"/>
    </row>
    <row r="68" spans="1:6" ht="14" customHeight="1">
      <c r="A68" s="8">
        <v>17</v>
      </c>
      <c r="B68" s="7" t="str">
        <f>المدخلات!$F$4</f>
        <v>4:00–5:10 م</v>
      </c>
      <c r="C68" s="7">
        <v>1</v>
      </c>
      <c r="D68" s="7" t="s">
        <v>28</v>
      </c>
      <c r="E68" s="2"/>
      <c r="F68" s="2"/>
    </row>
    <row r="69" spans="1:6" ht="14" customHeight="1">
      <c r="A69" s="8">
        <v>17</v>
      </c>
      <c r="B69" s="7" t="str">
        <f>المدخلات!$F$4</f>
        <v>4:00–5:10 م</v>
      </c>
      <c r="C69" s="7">
        <v>2</v>
      </c>
      <c r="D69" s="7" t="s">
        <v>17</v>
      </c>
      <c r="E69" s="2"/>
      <c r="F69" s="2"/>
    </row>
    <row r="70" spans="1:6" ht="14" customHeight="1">
      <c r="A70" s="8">
        <v>17</v>
      </c>
      <c r="B70" s="7" t="str">
        <f>المدخلات!$F$5</f>
        <v>5:20–6:30 م</v>
      </c>
      <c r="C70" s="7">
        <v>1</v>
      </c>
      <c r="D70" s="7" t="s">
        <v>1047</v>
      </c>
      <c r="E70" s="2"/>
      <c r="F70" s="2"/>
    </row>
    <row r="71" spans="1:6" ht="14" customHeight="1">
      <c r="A71" s="8">
        <v>17</v>
      </c>
      <c r="B71" s="7" t="str">
        <f>المدخلات!$F$5</f>
        <v>5:20–6:30 م</v>
      </c>
      <c r="C71" s="7">
        <v>2</v>
      </c>
      <c r="D71" s="7" t="s">
        <v>38</v>
      </c>
      <c r="E71" s="2"/>
      <c r="F71" s="2"/>
    </row>
    <row r="72" spans="1:6" ht="14" customHeight="1">
      <c r="A72" s="8">
        <v>18</v>
      </c>
      <c r="B72" s="7" t="str">
        <f>المدخلات!$F$4</f>
        <v>4:00–5:10 م</v>
      </c>
      <c r="C72" s="7">
        <v>1</v>
      </c>
      <c r="D72" s="7" t="s">
        <v>30</v>
      </c>
      <c r="E72" s="2"/>
      <c r="F72" s="2"/>
    </row>
    <row r="73" spans="1:6" ht="14" customHeight="1">
      <c r="A73" s="8">
        <v>18</v>
      </c>
      <c r="B73" s="7" t="str">
        <f>المدخلات!$F$4</f>
        <v>4:00–5:10 م</v>
      </c>
      <c r="C73" s="7">
        <v>2</v>
      </c>
      <c r="D73" s="7" t="s">
        <v>1057</v>
      </c>
      <c r="E73" s="2"/>
      <c r="F73" s="2"/>
    </row>
    <row r="74" spans="1:6" ht="14" customHeight="1">
      <c r="A74" s="8">
        <v>18</v>
      </c>
      <c r="B74" s="7" t="str">
        <f>المدخلات!$F$5</f>
        <v>5:20–6:30 م</v>
      </c>
      <c r="C74" s="7">
        <v>1</v>
      </c>
      <c r="D74" s="7" t="s">
        <v>647</v>
      </c>
      <c r="E74" s="2"/>
      <c r="F74" s="2"/>
    </row>
    <row r="75" spans="1:6" ht="14" customHeight="1">
      <c r="A75" s="8">
        <v>18</v>
      </c>
      <c r="B75" s="7" t="str">
        <f>المدخلات!$F$5</f>
        <v>5:20–6:30 م</v>
      </c>
      <c r="C75" s="7">
        <v>2</v>
      </c>
      <c r="D75" s="7" t="s">
        <v>8</v>
      </c>
      <c r="E75" s="2"/>
      <c r="F75" s="2"/>
    </row>
    <row r="76" spans="1:6" ht="14" customHeight="1">
      <c r="A76" s="8">
        <v>19</v>
      </c>
      <c r="B76" s="7" t="str">
        <f>المدخلات!$F$4</f>
        <v>4:00–5:10 م</v>
      </c>
      <c r="C76" s="7">
        <v>1</v>
      </c>
      <c r="D76" s="7" t="s">
        <v>10</v>
      </c>
      <c r="E76" s="2"/>
      <c r="F76" s="2"/>
    </row>
    <row r="77" spans="1:6" ht="14" customHeight="1">
      <c r="A77" s="8">
        <v>19</v>
      </c>
      <c r="B77" s="7" t="str">
        <f>المدخلات!$F$4</f>
        <v>4:00–5:10 م</v>
      </c>
      <c r="C77" s="7">
        <v>2</v>
      </c>
      <c r="D77" s="7" t="s">
        <v>17</v>
      </c>
      <c r="E77" s="2"/>
      <c r="F77" s="2"/>
    </row>
    <row r="78" spans="1:6" ht="14" customHeight="1">
      <c r="A78" s="8">
        <v>19</v>
      </c>
      <c r="B78" s="7" t="str">
        <f>المدخلات!$F$5</f>
        <v>5:20–6:30 م</v>
      </c>
      <c r="C78" s="7">
        <v>1</v>
      </c>
      <c r="D78" s="7" t="s">
        <v>41</v>
      </c>
      <c r="E78" s="2"/>
      <c r="F78" s="2"/>
    </row>
    <row r="79" spans="1:6" ht="14" customHeight="1">
      <c r="A79" s="8">
        <v>19</v>
      </c>
      <c r="B79" s="7" t="str">
        <f>المدخلات!$F$5</f>
        <v>5:20–6:30 م</v>
      </c>
      <c r="C79" s="7">
        <v>2</v>
      </c>
      <c r="D79" s="7" t="s">
        <v>23</v>
      </c>
      <c r="E79" s="2"/>
      <c r="F79" s="2"/>
    </row>
    <row r="80" spans="1:6" ht="14" customHeight="1">
      <c r="A80" s="8">
        <v>20</v>
      </c>
      <c r="B80" s="7" t="str">
        <f>المدخلات!$F$4</f>
        <v>4:00–5:10 م</v>
      </c>
      <c r="C80" s="7">
        <v>1</v>
      </c>
      <c r="D80" s="7" t="s">
        <v>30</v>
      </c>
      <c r="E80" s="2"/>
      <c r="F80" s="2"/>
    </row>
    <row r="81" spans="1:10" ht="14" customHeight="1">
      <c r="A81" s="8">
        <v>20</v>
      </c>
      <c r="B81" s="7" t="str">
        <f>المدخلات!$F$4</f>
        <v>4:00–5:10 م</v>
      </c>
      <c r="C81" s="7">
        <v>2</v>
      </c>
      <c r="D81" s="7" t="s">
        <v>16</v>
      </c>
      <c r="E81" s="2"/>
      <c r="F81" s="2"/>
    </row>
    <row r="82" spans="1:10" ht="14" customHeight="1">
      <c r="A82" s="8">
        <v>20</v>
      </c>
      <c r="B82" s="7" t="str">
        <f>المدخلات!$F$5</f>
        <v>5:20–6:30 م</v>
      </c>
      <c r="C82" s="7">
        <v>1</v>
      </c>
      <c r="D82" s="7" t="s">
        <v>19</v>
      </c>
      <c r="E82" s="2"/>
      <c r="F82" s="2"/>
    </row>
    <row r="83" spans="1:10" ht="14" customHeight="1">
      <c r="A83" s="8">
        <v>20</v>
      </c>
      <c r="B83" s="7" t="str">
        <f>المدخلات!$F$5</f>
        <v>5:20–6:30 م</v>
      </c>
      <c r="C83" s="7">
        <v>2</v>
      </c>
      <c r="D83" s="7" t="s">
        <v>11</v>
      </c>
      <c r="E83" s="2"/>
      <c r="F83" s="2"/>
    </row>
    <row r="84" spans="1:10" ht="14" customHeight="1">
      <c r="A84" s="8">
        <v>21</v>
      </c>
      <c r="B84" s="7" t="str">
        <f>المدخلات!$F$4</f>
        <v>4:00–5:10 م</v>
      </c>
      <c r="C84" s="7">
        <v>1</v>
      </c>
      <c r="D84" s="7" t="s">
        <v>832</v>
      </c>
      <c r="E84" s="2"/>
      <c r="F84" s="2"/>
    </row>
    <row r="85" spans="1:10">
      <c r="A85" s="2"/>
      <c r="B85" s="2"/>
      <c r="C85" s="2"/>
      <c r="D85" s="2"/>
    </row>
    <row r="86" spans="1:10">
      <c r="A86" s="2"/>
      <c r="B86" s="2"/>
      <c r="C86" s="2"/>
      <c r="D86" s="2"/>
    </row>
    <row r="87" spans="1:10" ht="14.5">
      <c r="A87" s="17" t="s">
        <v>828</v>
      </c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14.5">
      <c r="A88" s="6" t="s">
        <v>829</v>
      </c>
      <c r="B88" s="6">
        <v>1</v>
      </c>
      <c r="C88" s="6">
        <v>2</v>
      </c>
      <c r="D88" s="6">
        <v>3</v>
      </c>
      <c r="E88" s="6">
        <v>4</v>
      </c>
      <c r="F88" s="6">
        <v>5</v>
      </c>
      <c r="G88" s="6">
        <v>6</v>
      </c>
      <c r="H88" s="6">
        <v>7</v>
      </c>
      <c r="I88" s="6">
        <v>8</v>
      </c>
      <c r="J88" s="6">
        <v>9</v>
      </c>
    </row>
    <row r="89" spans="1:10" ht="14.5">
      <c r="A89" s="14">
        <v>1</v>
      </c>
      <c r="B89" s="4" t="str">
        <f>IF($A89=B$88,"",COUNTIF($D$4:$D$84,$A89&amp;" ضد "&amp;B$88)+COUNTIF($D$4:$D$84,B$88&amp;" ضد "&amp;$A89))</f>
        <v/>
      </c>
      <c r="C89" s="4">
        <f>IF($A89=C$88,"",COUNTIF($D$4:$D$84,$A89&amp;" ضد "&amp;C$88)+COUNTIF($D$4:$D$84,C$88&amp;" ضد "&amp;$A89))</f>
        <v>3</v>
      </c>
      <c r="D89" s="4">
        <f>IF($A89=D$88,"",COUNTIF($D$4:$D$84,$A89&amp;" ضد "&amp;D$88)+COUNTIF($D$4:$D$84,D$88&amp;" ضد "&amp;$A89))</f>
        <v>2</v>
      </c>
      <c r="E89" s="4">
        <f>IF($A89=E$88,"",COUNTIF($D$4:$D$84,$A89&amp;" ضد "&amp;E$88)+COUNTIF($D$4:$D$84,E$88&amp;" ضد "&amp;$A89))</f>
        <v>2</v>
      </c>
      <c r="F89" s="4">
        <f>IF($A89=F$88,"",COUNTIF($D$4:$D$84,$A89&amp;" ضد "&amp;F$88)+COUNTIF($D$4:$D$84,F$88&amp;" ضد "&amp;$A89))</f>
        <v>2</v>
      </c>
      <c r="G89" s="4">
        <f>IF($A89=G$88,"",COUNTIF($D$4:$D$84,$A89&amp;" ضد "&amp;G$88)+COUNTIF($D$4:$D$84,G$88&amp;" ضد "&amp;$A89))</f>
        <v>2</v>
      </c>
      <c r="H89" s="4">
        <f>IF($A89=H$88,"",COUNTIF($D$4:$D$84,$A89&amp;" ضد "&amp;H$88)+COUNTIF($D$4:$D$84,H$88&amp;" ضد "&amp;$A89))</f>
        <v>2</v>
      </c>
      <c r="I89" s="4">
        <f>IF($A89=I$88,"",COUNTIF($D$4:$D$84,$A89&amp;" ضد "&amp;I$88)+COUNTIF($D$4:$D$84,I$88&amp;" ضد "&amp;$A89))</f>
        <v>2</v>
      </c>
      <c r="J89" s="4">
        <f>IF($A89=J$88,"",COUNTIF($D$4:$D$84,$A89&amp;" ضد "&amp;J$88)+COUNTIF($D$4:$D$84,J$88&amp;" ضد "&amp;$A89))</f>
        <v>3</v>
      </c>
    </row>
    <row r="90" spans="1:10" ht="14.5">
      <c r="A90" s="14">
        <v>2</v>
      </c>
      <c r="B90" s="4">
        <f>IF($A90=B$88,"",COUNTIF($D$4:$D$84,$A90&amp;" ضد "&amp;B$88)+COUNTIF($D$4:$D$84,B$88&amp;" ضد "&amp;$A90))</f>
        <v>3</v>
      </c>
      <c r="C90" s="4" t="str">
        <f>IF($A90=C$88,"",COUNTIF($D$4:$D$84,$A90&amp;" ضد "&amp;C$88)+COUNTIF($D$4:$D$84,C$88&amp;" ضد "&amp;$A90))</f>
        <v/>
      </c>
      <c r="D90" s="4">
        <f>IF($A90=D$88,"",COUNTIF($D$4:$D$84,$A90&amp;" ضد "&amp;D$88)+COUNTIF($D$4:$D$84,D$88&amp;" ضد "&amp;$A90))</f>
        <v>3</v>
      </c>
      <c r="E90" s="4">
        <f>IF($A90=E$88,"",COUNTIF($D$4:$D$84,$A90&amp;" ضد "&amp;E$88)+COUNTIF($D$4:$D$84,E$88&amp;" ضد "&amp;$A90))</f>
        <v>2</v>
      </c>
      <c r="F90" s="4">
        <f>IF($A90=F$88,"",COUNTIF($D$4:$D$84,$A90&amp;" ضد "&amp;F$88)+COUNTIF($D$4:$D$84,F$88&amp;" ضد "&amp;$A90))</f>
        <v>2</v>
      </c>
      <c r="G90" s="4">
        <f>IF($A90=G$88,"",COUNTIF($D$4:$D$84,$A90&amp;" ضد "&amp;G$88)+COUNTIF($D$4:$D$84,G$88&amp;" ضد "&amp;$A90))</f>
        <v>2</v>
      </c>
      <c r="H90" s="4">
        <f>IF($A90=H$88,"",COUNTIF($D$4:$D$84,$A90&amp;" ضد "&amp;H$88)+COUNTIF($D$4:$D$84,H$88&amp;" ضد "&amp;$A90))</f>
        <v>2</v>
      </c>
      <c r="I90" s="4">
        <f>IF($A90=I$88,"",COUNTIF($D$4:$D$84,$A90&amp;" ضد "&amp;I$88)+COUNTIF($D$4:$D$84,I$88&amp;" ضد "&amp;$A90))</f>
        <v>2</v>
      </c>
      <c r="J90" s="4">
        <f>IF($A90=J$88,"",COUNTIF($D$4:$D$84,$A90&amp;" ضد "&amp;J$88)+COUNTIF($D$4:$D$84,J$88&amp;" ضد "&amp;$A90))</f>
        <v>2</v>
      </c>
    </row>
    <row r="91" spans="1:10" ht="14.5">
      <c r="A91" s="14">
        <v>3</v>
      </c>
      <c r="B91" s="4">
        <f>IF($A91=B$88,"",COUNTIF($D$4:$D$84,$A91&amp;" ضد "&amp;B$88)+COUNTIF($D$4:$D$84,B$88&amp;" ضد "&amp;$A91))</f>
        <v>2</v>
      </c>
      <c r="C91" s="4">
        <f>IF($A91=C$88,"",COUNTIF($D$4:$D$84,$A91&amp;" ضد "&amp;C$88)+COUNTIF($D$4:$D$84,C$88&amp;" ضد "&amp;$A91))</f>
        <v>3</v>
      </c>
      <c r="D91" s="4" t="str">
        <f>IF($A91=D$88,"",COUNTIF($D$4:$D$84,$A91&amp;" ضد "&amp;D$88)+COUNTIF($D$4:$D$84,D$88&amp;" ضد "&amp;$A91))</f>
        <v/>
      </c>
      <c r="E91" s="4">
        <f>IF($A91=E$88,"",COUNTIF($D$4:$D$84,$A91&amp;" ضد "&amp;E$88)+COUNTIF($D$4:$D$84,E$88&amp;" ضد "&amp;$A91))</f>
        <v>3</v>
      </c>
      <c r="F91" s="4">
        <f>IF($A91=F$88,"",COUNTIF($D$4:$D$84,$A91&amp;" ضد "&amp;F$88)+COUNTIF($D$4:$D$84,F$88&amp;" ضد "&amp;$A91))</f>
        <v>2</v>
      </c>
      <c r="G91" s="4">
        <f>IF($A91=G$88,"",COUNTIF($D$4:$D$84,$A91&amp;" ضد "&amp;G$88)+COUNTIF($D$4:$D$84,G$88&amp;" ضد "&amp;$A91))</f>
        <v>2</v>
      </c>
      <c r="H91" s="4">
        <f>IF($A91=H$88,"",COUNTIF($D$4:$D$84,$A91&amp;" ضد "&amp;H$88)+COUNTIF($D$4:$D$84,H$88&amp;" ضد "&amp;$A91))</f>
        <v>2</v>
      </c>
      <c r="I91" s="4">
        <f>IF($A91=I$88,"",COUNTIF($D$4:$D$84,$A91&amp;" ضد "&amp;I$88)+COUNTIF($D$4:$D$84,I$88&amp;" ضد "&amp;$A91))</f>
        <v>2</v>
      </c>
      <c r="J91" s="4">
        <f>IF($A91=J$88,"",COUNTIF($D$4:$D$84,$A91&amp;" ضد "&amp;J$88)+COUNTIF($D$4:$D$84,J$88&amp;" ضد "&amp;$A91))</f>
        <v>2</v>
      </c>
    </row>
    <row r="92" spans="1:10" ht="14.5">
      <c r="A92" s="14">
        <v>4</v>
      </c>
      <c r="B92" s="4">
        <f>IF($A92=B$88,"",COUNTIF($D$4:$D$84,$A92&amp;" ضد "&amp;B$88)+COUNTIF($D$4:$D$84,B$88&amp;" ضد "&amp;$A92))</f>
        <v>2</v>
      </c>
      <c r="C92" s="4">
        <f>IF($A92=C$88,"",COUNTIF($D$4:$D$84,$A92&amp;" ضد "&amp;C$88)+COUNTIF($D$4:$D$84,C$88&amp;" ضد "&amp;$A92))</f>
        <v>2</v>
      </c>
      <c r="D92" s="4">
        <f>IF($A92=D$88,"",COUNTIF($D$4:$D$84,$A92&amp;" ضد "&amp;D$88)+COUNTIF($D$4:$D$84,D$88&amp;" ضد "&amp;$A92))</f>
        <v>3</v>
      </c>
      <c r="E92" s="4" t="str">
        <f>IF($A92=E$88,"",COUNTIF($D$4:$D$84,$A92&amp;" ضد "&amp;E$88)+COUNTIF($D$4:$D$84,E$88&amp;" ضد "&amp;$A92))</f>
        <v/>
      </c>
      <c r="F92" s="4">
        <f>IF($A92=F$88,"",COUNTIF($D$4:$D$84,$A92&amp;" ضد "&amp;F$88)+COUNTIF($D$4:$D$84,F$88&amp;" ضد "&amp;$A92))</f>
        <v>3</v>
      </c>
      <c r="G92" s="4">
        <f>IF($A92=G$88,"",COUNTIF($D$4:$D$84,$A92&amp;" ضد "&amp;G$88)+COUNTIF($D$4:$D$84,G$88&amp;" ضد "&amp;$A92))</f>
        <v>2</v>
      </c>
      <c r="H92" s="4">
        <f>IF($A92=H$88,"",COUNTIF($D$4:$D$84,$A92&amp;" ضد "&amp;H$88)+COUNTIF($D$4:$D$84,H$88&amp;" ضد "&amp;$A92))</f>
        <v>2</v>
      </c>
      <c r="I92" s="4">
        <f>IF($A92=I$88,"",COUNTIF($D$4:$D$84,$A92&amp;" ضد "&amp;I$88)+COUNTIF($D$4:$D$84,I$88&amp;" ضد "&amp;$A92))</f>
        <v>2</v>
      </c>
      <c r="J92" s="4">
        <f>IF($A92=J$88,"",COUNTIF($D$4:$D$84,$A92&amp;" ضد "&amp;J$88)+COUNTIF($D$4:$D$84,J$88&amp;" ضد "&amp;$A92))</f>
        <v>2</v>
      </c>
    </row>
    <row r="93" spans="1:10" ht="14.5">
      <c r="A93" s="14">
        <v>5</v>
      </c>
      <c r="B93" s="4">
        <f>IF($A93=B$88,"",COUNTIF($D$4:$D$84,$A93&amp;" ضد "&amp;B$88)+COUNTIF($D$4:$D$84,B$88&amp;" ضد "&amp;$A93))</f>
        <v>2</v>
      </c>
      <c r="C93" s="4">
        <f>IF($A93=C$88,"",COUNTIF($D$4:$D$84,$A93&amp;" ضد "&amp;C$88)+COUNTIF($D$4:$D$84,C$88&amp;" ضد "&amp;$A93))</f>
        <v>2</v>
      </c>
      <c r="D93" s="4">
        <f>IF($A93=D$88,"",COUNTIF($D$4:$D$84,$A93&amp;" ضد "&amp;D$88)+COUNTIF($D$4:$D$84,D$88&amp;" ضد "&amp;$A93))</f>
        <v>2</v>
      </c>
      <c r="E93" s="4">
        <f>IF($A93=E$88,"",COUNTIF($D$4:$D$84,$A93&amp;" ضد "&amp;E$88)+COUNTIF($D$4:$D$84,E$88&amp;" ضد "&amp;$A93))</f>
        <v>3</v>
      </c>
      <c r="F93" s="4" t="str">
        <f>IF($A93=F$88,"",COUNTIF($D$4:$D$84,$A93&amp;" ضد "&amp;F$88)+COUNTIF($D$4:$D$84,F$88&amp;" ضد "&amp;$A93))</f>
        <v/>
      </c>
      <c r="G93" s="4">
        <f>IF($A93=G$88,"",COUNTIF($D$4:$D$84,$A93&amp;" ضد "&amp;G$88)+COUNTIF($D$4:$D$84,G$88&amp;" ضد "&amp;$A93))</f>
        <v>3</v>
      </c>
      <c r="H93" s="4">
        <f>IF($A93=H$88,"",COUNTIF($D$4:$D$84,$A93&amp;" ضد "&amp;H$88)+COUNTIF($D$4:$D$84,H$88&amp;" ضد "&amp;$A93))</f>
        <v>2</v>
      </c>
      <c r="I93" s="4">
        <f>IF($A93=I$88,"",COUNTIF($D$4:$D$84,$A93&amp;" ضد "&amp;I$88)+COUNTIF($D$4:$D$84,I$88&amp;" ضد "&amp;$A93))</f>
        <v>2</v>
      </c>
      <c r="J93" s="4">
        <f>IF($A93=J$88,"",COUNTIF($D$4:$D$84,$A93&amp;" ضد "&amp;J$88)+COUNTIF($D$4:$D$84,J$88&amp;" ضد "&amp;$A93))</f>
        <v>2</v>
      </c>
    </row>
    <row r="94" spans="1:10" ht="14.5">
      <c r="A94" s="14">
        <v>6</v>
      </c>
      <c r="B94" s="4">
        <f>IF($A94=B$88,"",COUNTIF($D$4:$D$84,$A94&amp;" ضد "&amp;B$88)+COUNTIF($D$4:$D$84,B$88&amp;" ضد "&amp;$A94))</f>
        <v>2</v>
      </c>
      <c r="C94" s="4">
        <f>IF($A94=C$88,"",COUNTIF($D$4:$D$84,$A94&amp;" ضد "&amp;C$88)+COUNTIF($D$4:$D$84,C$88&amp;" ضد "&amp;$A94))</f>
        <v>2</v>
      </c>
      <c r="D94" s="4">
        <f>IF($A94=D$88,"",COUNTIF($D$4:$D$84,$A94&amp;" ضد "&amp;D$88)+COUNTIF($D$4:$D$84,D$88&amp;" ضد "&amp;$A94))</f>
        <v>2</v>
      </c>
      <c r="E94" s="4">
        <f>IF($A94=E$88,"",COUNTIF($D$4:$D$84,$A94&amp;" ضد "&amp;E$88)+COUNTIF($D$4:$D$84,E$88&amp;" ضد "&amp;$A94))</f>
        <v>2</v>
      </c>
      <c r="F94" s="4">
        <f>IF($A94=F$88,"",COUNTIF($D$4:$D$84,$A94&amp;" ضد "&amp;F$88)+COUNTIF($D$4:$D$84,F$88&amp;" ضد "&amp;$A94))</f>
        <v>3</v>
      </c>
      <c r="G94" s="4" t="str">
        <f>IF($A94=G$88,"",COUNTIF($D$4:$D$84,$A94&amp;" ضد "&amp;G$88)+COUNTIF($D$4:$D$84,G$88&amp;" ضد "&amp;$A94))</f>
        <v/>
      </c>
      <c r="H94" s="4">
        <f>IF($A94=H$88,"",COUNTIF($D$4:$D$84,$A94&amp;" ضد "&amp;H$88)+COUNTIF($D$4:$D$84,H$88&amp;" ضد "&amp;$A94))</f>
        <v>3</v>
      </c>
      <c r="I94" s="4">
        <f>IF($A94=I$88,"",COUNTIF($D$4:$D$84,$A94&amp;" ضد "&amp;I$88)+COUNTIF($D$4:$D$84,I$88&amp;" ضد "&amp;$A94))</f>
        <v>2</v>
      </c>
      <c r="J94" s="4">
        <f>IF($A94=J$88,"",COUNTIF($D$4:$D$84,$A94&amp;" ضد "&amp;J$88)+COUNTIF($D$4:$D$84,J$88&amp;" ضد "&amp;$A94))</f>
        <v>2</v>
      </c>
    </row>
    <row r="95" spans="1:10" ht="14.5">
      <c r="A95" s="14">
        <v>7</v>
      </c>
      <c r="B95" s="4">
        <f>IF($A95=B$88,"",COUNTIF($D$4:$D$84,$A95&amp;" ضد "&amp;B$88)+COUNTIF($D$4:$D$84,B$88&amp;" ضد "&amp;$A95))</f>
        <v>2</v>
      </c>
      <c r="C95" s="4">
        <f>IF($A95=C$88,"",COUNTIF($D$4:$D$84,$A95&amp;" ضد "&amp;C$88)+COUNTIF($D$4:$D$84,C$88&amp;" ضد "&amp;$A95))</f>
        <v>2</v>
      </c>
      <c r="D95" s="4">
        <f>IF($A95=D$88,"",COUNTIF($D$4:$D$84,$A95&amp;" ضد "&amp;D$88)+COUNTIF($D$4:$D$84,D$88&amp;" ضد "&amp;$A95))</f>
        <v>2</v>
      </c>
      <c r="E95" s="4">
        <f>IF($A95=E$88,"",COUNTIF($D$4:$D$84,$A95&amp;" ضد "&amp;E$88)+COUNTIF($D$4:$D$84,E$88&amp;" ضد "&amp;$A95))</f>
        <v>2</v>
      </c>
      <c r="F95" s="4">
        <f>IF($A95=F$88,"",COUNTIF($D$4:$D$84,$A95&amp;" ضد "&amp;F$88)+COUNTIF($D$4:$D$84,F$88&amp;" ضد "&amp;$A95))</f>
        <v>2</v>
      </c>
      <c r="G95" s="4">
        <f>IF($A95=G$88,"",COUNTIF($D$4:$D$84,$A95&amp;" ضد "&amp;G$88)+COUNTIF($D$4:$D$84,G$88&amp;" ضد "&amp;$A95))</f>
        <v>3</v>
      </c>
      <c r="H95" s="4" t="str">
        <f>IF($A95=H$88,"",COUNTIF($D$4:$D$84,$A95&amp;" ضد "&amp;H$88)+COUNTIF($D$4:$D$84,H$88&amp;" ضد "&amp;$A95))</f>
        <v/>
      </c>
      <c r="I95" s="4">
        <f>IF($A95=I$88,"",COUNTIF($D$4:$D$84,$A95&amp;" ضد "&amp;I$88)+COUNTIF($D$4:$D$84,I$88&amp;" ضد "&amp;$A95))</f>
        <v>3</v>
      </c>
      <c r="J95" s="4">
        <f>IF($A95=J$88,"",COUNTIF($D$4:$D$84,$A95&amp;" ضد "&amp;J$88)+COUNTIF($D$4:$D$84,J$88&amp;" ضد "&amp;$A95))</f>
        <v>2</v>
      </c>
    </row>
    <row r="96" spans="1:10" ht="14.5">
      <c r="A96" s="14">
        <v>8</v>
      </c>
      <c r="B96" s="4">
        <f>IF($A96=B$88,"",COUNTIF($D$4:$D$84,$A96&amp;" ضد "&amp;B$88)+COUNTIF($D$4:$D$84,B$88&amp;" ضد "&amp;$A96))</f>
        <v>2</v>
      </c>
      <c r="C96" s="4">
        <f>IF($A96=C$88,"",COUNTIF($D$4:$D$84,$A96&amp;" ضد "&amp;C$88)+COUNTIF($D$4:$D$84,C$88&amp;" ضد "&amp;$A96))</f>
        <v>2</v>
      </c>
      <c r="D96" s="4">
        <f>IF($A96=D$88,"",COUNTIF($D$4:$D$84,$A96&amp;" ضد "&amp;D$88)+COUNTIF($D$4:$D$84,D$88&amp;" ضد "&amp;$A96))</f>
        <v>2</v>
      </c>
      <c r="E96" s="4">
        <f>IF($A96=E$88,"",COUNTIF($D$4:$D$84,$A96&amp;" ضد "&amp;E$88)+COUNTIF($D$4:$D$84,E$88&amp;" ضد "&amp;$A96))</f>
        <v>2</v>
      </c>
      <c r="F96" s="4">
        <f>IF($A96=F$88,"",COUNTIF($D$4:$D$84,$A96&amp;" ضد "&amp;F$88)+COUNTIF($D$4:$D$84,F$88&amp;" ضد "&amp;$A96))</f>
        <v>2</v>
      </c>
      <c r="G96" s="4">
        <f>IF($A96=G$88,"",COUNTIF($D$4:$D$84,$A96&amp;" ضد "&amp;G$88)+COUNTIF($D$4:$D$84,G$88&amp;" ضد "&amp;$A96))</f>
        <v>2</v>
      </c>
      <c r="H96" s="4">
        <f>IF($A96=H$88,"",COUNTIF($D$4:$D$84,$A96&amp;" ضد "&amp;H$88)+COUNTIF($D$4:$D$84,H$88&amp;" ضد "&amp;$A96))</f>
        <v>3</v>
      </c>
      <c r="I96" s="4" t="str">
        <f>IF($A96=I$88,"",COUNTIF($D$4:$D$84,$A96&amp;" ضد "&amp;I$88)+COUNTIF($D$4:$D$84,I$88&amp;" ضد "&amp;$A96))</f>
        <v/>
      </c>
      <c r="J96" s="4">
        <f>IF($A96=J$88,"",COUNTIF($D$4:$D$84,$A96&amp;" ضد "&amp;J$88)+COUNTIF($D$4:$D$84,J$88&amp;" ضد "&amp;$A96))</f>
        <v>3</v>
      </c>
    </row>
    <row r="97" spans="1:10" ht="14.5">
      <c r="A97" s="14">
        <v>9</v>
      </c>
      <c r="B97" s="4">
        <f>IF($A97=B$88,"",COUNTIF($D$4:$D$84,$A97&amp;" ضد "&amp;B$88)+COUNTIF($D$4:$D$84,B$88&amp;" ضد "&amp;$A97))</f>
        <v>3</v>
      </c>
      <c r="C97" s="4">
        <f>IF($A97=C$88,"",COUNTIF($D$4:$D$84,$A97&amp;" ضد "&amp;C$88)+COUNTIF($D$4:$D$84,C$88&amp;" ضد "&amp;$A97))</f>
        <v>2</v>
      </c>
      <c r="D97" s="4">
        <f>IF($A97=D$88,"",COUNTIF($D$4:$D$84,$A97&amp;" ضد "&amp;D$88)+COUNTIF($D$4:$D$84,D$88&amp;" ضد "&amp;$A97))</f>
        <v>2</v>
      </c>
      <c r="E97" s="4">
        <f>IF($A97=E$88,"",COUNTIF($D$4:$D$84,$A97&amp;" ضد "&amp;E$88)+COUNTIF($D$4:$D$84,E$88&amp;" ضد "&amp;$A97))</f>
        <v>2</v>
      </c>
      <c r="F97" s="4">
        <f>IF($A97=F$88,"",COUNTIF($D$4:$D$84,$A97&amp;" ضد "&amp;F$88)+COUNTIF($D$4:$D$84,F$88&amp;" ضد "&amp;$A97))</f>
        <v>2</v>
      </c>
      <c r="G97" s="4">
        <f>IF($A97=G$88,"",COUNTIF($D$4:$D$84,$A97&amp;" ضد "&amp;G$88)+COUNTIF($D$4:$D$84,G$88&amp;" ضد "&amp;$A97))</f>
        <v>2</v>
      </c>
      <c r="H97" s="4">
        <f>IF($A97=H$88,"",COUNTIF($D$4:$D$84,$A97&amp;" ضد "&amp;H$88)+COUNTIF($D$4:$D$84,H$88&amp;" ضد "&amp;$A97))</f>
        <v>2</v>
      </c>
      <c r="I97" s="4">
        <f>IF($A97=I$88,"",COUNTIF($D$4:$D$84,$A97&amp;" ضد "&amp;I$88)+COUNTIF($D$4:$D$84,I$88&amp;" ضد "&amp;$A97))</f>
        <v>3</v>
      </c>
      <c r="J97" s="4" t="str">
        <f>IF($A97=J$88,"",COUNTIF($D$4:$D$84,$A97&amp;" ضد "&amp;J$88)+COUNTIF($D$4:$D$84,J$88&amp;" ضد "&amp;$A97))</f>
        <v/>
      </c>
    </row>
    <row r="98" spans="1:10" ht="14.5">
      <c r="A98" s="14" t="s">
        <v>1033</v>
      </c>
      <c r="B98" s="4" cm="1">
        <f t="array" ref="B98">MIN(IF(B89:J97&gt;0,B89:J97))</f>
        <v>2</v>
      </c>
      <c r="C98" s="4"/>
      <c r="D98" s="4"/>
      <c r="E98" s="4"/>
      <c r="F98" s="4"/>
      <c r="G98" s="4"/>
      <c r="H98" s="4"/>
      <c r="I98" s="4"/>
      <c r="J98" s="4"/>
    </row>
    <row r="99" spans="1:10" ht="14.5">
      <c r="A99" s="14" t="s">
        <v>830</v>
      </c>
      <c r="B99" s="4">
        <f>MAX(B89:J97)</f>
        <v>3</v>
      </c>
      <c r="C99" s="4"/>
      <c r="D99" s="4"/>
      <c r="E99" s="4"/>
      <c r="F99" s="4"/>
      <c r="G99" s="4"/>
      <c r="H99" s="4"/>
      <c r="I99" s="4"/>
      <c r="J99" s="4"/>
    </row>
  </sheetData>
  <mergeCells count="2">
    <mergeCell ref="A1:D1"/>
    <mergeCell ref="A87:J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C6E2-A65A-499E-8073-81829CA7D737}">
  <dimension ref="A1:L130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983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50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34</v>
      </c>
      <c r="E5" s="2"/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55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23</v>
      </c>
      <c r="E7" s="2"/>
      <c r="F7" s="2"/>
    </row>
    <row r="8" spans="1:6" ht="14" customHeight="1">
      <c r="A8" s="8">
        <v>1</v>
      </c>
      <c r="B8" s="7" t="str">
        <f>المدخلات!$F$6</f>
        <v>6:40–7:50 م</v>
      </c>
      <c r="C8" s="7">
        <v>1</v>
      </c>
      <c r="D8" s="7" t="s">
        <v>35</v>
      </c>
      <c r="E8" s="2"/>
      <c r="F8" s="2"/>
    </row>
    <row r="9" spans="1:6" ht="14" customHeight="1">
      <c r="A9" s="8">
        <v>2</v>
      </c>
      <c r="B9" s="7" t="str">
        <f>المدخلات!$F$4</f>
        <v>4:00–5:10 م</v>
      </c>
      <c r="C9" s="7">
        <v>1</v>
      </c>
      <c r="D9" s="7" t="s">
        <v>1044</v>
      </c>
      <c r="E9" s="2"/>
      <c r="F9" s="2"/>
    </row>
    <row r="10" spans="1:6" ht="14" customHeight="1">
      <c r="A10" s="8">
        <v>2</v>
      </c>
      <c r="B10" s="7" t="str">
        <f>المدخلات!$F$4</f>
        <v>4:00–5:10 م</v>
      </c>
      <c r="C10" s="7">
        <v>2</v>
      </c>
      <c r="D10" s="7" t="s">
        <v>1052</v>
      </c>
      <c r="E10" s="2"/>
      <c r="F10" s="2"/>
    </row>
    <row r="11" spans="1:6" ht="14" customHeight="1">
      <c r="A11" s="8">
        <v>2</v>
      </c>
      <c r="B11" s="7" t="str">
        <f>المدخلات!$F$5</f>
        <v>5:20–6:30 م</v>
      </c>
      <c r="C11" s="7">
        <v>1</v>
      </c>
      <c r="D11" s="7" t="s">
        <v>1048</v>
      </c>
      <c r="E11" s="2"/>
      <c r="F11" s="2"/>
    </row>
    <row r="12" spans="1:6" ht="14" customHeight="1">
      <c r="A12" s="8">
        <v>2</v>
      </c>
      <c r="B12" s="7" t="str">
        <f>المدخلات!$F$5</f>
        <v>5:20–6:30 م</v>
      </c>
      <c r="C12" s="7">
        <v>2</v>
      </c>
      <c r="D12" s="7" t="s">
        <v>54</v>
      </c>
      <c r="E12" s="2"/>
      <c r="F12" s="2"/>
    </row>
    <row r="13" spans="1:6" ht="14" customHeight="1">
      <c r="A13" s="8">
        <v>2</v>
      </c>
      <c r="B13" s="7" t="str">
        <f>المدخلات!$F$6</f>
        <v>6:40–7:50 م</v>
      </c>
      <c r="C13" s="7">
        <v>1</v>
      </c>
      <c r="D13" s="7" t="s">
        <v>16</v>
      </c>
      <c r="E13" s="2"/>
      <c r="F13" s="2"/>
    </row>
    <row r="14" spans="1:6" ht="14" customHeight="1">
      <c r="A14" s="8">
        <v>3</v>
      </c>
      <c r="B14" s="7" t="str">
        <f>المدخلات!$F$4</f>
        <v>4:00–5:10 م</v>
      </c>
      <c r="C14" s="7">
        <v>1</v>
      </c>
      <c r="D14" s="7" t="s">
        <v>721</v>
      </c>
      <c r="E14" s="2"/>
      <c r="F14" s="2"/>
    </row>
    <row r="15" spans="1:6" ht="14" customHeight="1">
      <c r="A15" s="8">
        <v>3</v>
      </c>
      <c r="B15" s="7" t="str">
        <f>المدخلات!$F$4</f>
        <v>4:00–5:10 م</v>
      </c>
      <c r="C15" s="7">
        <v>2</v>
      </c>
      <c r="D15" s="7" t="s">
        <v>12</v>
      </c>
      <c r="E15" s="2"/>
      <c r="F15" s="2"/>
    </row>
    <row r="16" spans="1:6" ht="14" customHeight="1">
      <c r="A16" s="8">
        <v>3</v>
      </c>
      <c r="B16" s="7" t="str">
        <f>المدخلات!$F$5</f>
        <v>5:20–6:30 م</v>
      </c>
      <c r="C16" s="7">
        <v>1</v>
      </c>
      <c r="D16" s="7" t="s">
        <v>10</v>
      </c>
      <c r="E16" s="2"/>
      <c r="F16" s="2"/>
    </row>
    <row r="17" spans="1:6" ht="14" customHeight="1">
      <c r="A17" s="8">
        <v>3</v>
      </c>
      <c r="B17" s="7" t="str">
        <f>المدخلات!$F$5</f>
        <v>5:20–6:30 م</v>
      </c>
      <c r="C17" s="7">
        <v>2</v>
      </c>
      <c r="D17" s="7" t="s">
        <v>22</v>
      </c>
      <c r="E17" s="2"/>
      <c r="F17" s="2"/>
    </row>
    <row r="18" spans="1:6" ht="14" customHeight="1">
      <c r="A18" s="8">
        <v>3</v>
      </c>
      <c r="B18" s="7" t="str">
        <f>المدخلات!$F$6</f>
        <v>6:40–7:50 م</v>
      </c>
      <c r="C18" s="7">
        <v>1</v>
      </c>
      <c r="D18" s="7" t="s">
        <v>1054</v>
      </c>
      <c r="E18" s="2"/>
      <c r="F18" s="2"/>
    </row>
    <row r="19" spans="1:6" ht="14" customHeight="1">
      <c r="A19" s="8">
        <v>4</v>
      </c>
      <c r="B19" s="7" t="str">
        <f>المدخلات!$F$4</f>
        <v>4:00–5:10 م</v>
      </c>
      <c r="C19" s="7">
        <v>1</v>
      </c>
      <c r="D19" s="7" t="s">
        <v>7</v>
      </c>
      <c r="E19" s="2"/>
      <c r="F19" s="2"/>
    </row>
    <row r="20" spans="1:6" ht="14" customHeight="1">
      <c r="A20" s="8">
        <v>4</v>
      </c>
      <c r="B20" s="7" t="str">
        <f>المدخلات!$F$4</f>
        <v>4:00–5:10 م</v>
      </c>
      <c r="C20" s="7">
        <v>2</v>
      </c>
      <c r="D20" s="7" t="s">
        <v>19</v>
      </c>
      <c r="E20" s="2"/>
      <c r="F20" s="2"/>
    </row>
    <row r="21" spans="1:6" ht="14" customHeight="1">
      <c r="A21" s="8">
        <v>4</v>
      </c>
      <c r="B21" s="7" t="str">
        <f>المدخلات!$F$5</f>
        <v>5:20–6:30 م</v>
      </c>
      <c r="C21" s="7">
        <v>1</v>
      </c>
      <c r="D21" s="7" t="s">
        <v>36</v>
      </c>
      <c r="E21" s="2"/>
      <c r="F21" s="2"/>
    </row>
    <row r="22" spans="1:6" ht="14" customHeight="1">
      <c r="A22" s="8">
        <v>4</v>
      </c>
      <c r="B22" s="7" t="str">
        <f>المدخلات!$F$5</f>
        <v>5:20–6:30 م</v>
      </c>
      <c r="C22" s="7">
        <v>2</v>
      </c>
      <c r="D22" s="7" t="s">
        <v>45</v>
      </c>
      <c r="E22" s="2"/>
      <c r="F22" s="2"/>
    </row>
    <row r="23" spans="1:6" ht="14" customHeight="1">
      <c r="A23" s="8">
        <v>4</v>
      </c>
      <c r="B23" s="7" t="str">
        <f>المدخلات!$F$6</f>
        <v>6:40–7:50 م</v>
      </c>
      <c r="C23" s="7">
        <v>1</v>
      </c>
      <c r="D23" s="7" t="s">
        <v>60</v>
      </c>
      <c r="E23" s="2"/>
      <c r="F23" s="2"/>
    </row>
    <row r="24" spans="1:6" ht="14" customHeight="1">
      <c r="A24" s="8">
        <v>5</v>
      </c>
      <c r="B24" s="7" t="str">
        <f>المدخلات!$F$4</f>
        <v>4:00–5:10 م</v>
      </c>
      <c r="C24" s="7">
        <v>1</v>
      </c>
      <c r="D24" s="7" t="s">
        <v>29</v>
      </c>
      <c r="E24" s="2"/>
      <c r="F24" s="2"/>
    </row>
    <row r="25" spans="1:6" ht="14" customHeight="1">
      <c r="A25" s="8">
        <v>5</v>
      </c>
      <c r="B25" s="7" t="str">
        <f>المدخلات!$F$4</f>
        <v>4:00–5:10 م</v>
      </c>
      <c r="C25" s="7">
        <v>2</v>
      </c>
      <c r="D25" s="7" t="s">
        <v>764</v>
      </c>
      <c r="E25" s="2"/>
      <c r="F25" s="2"/>
    </row>
    <row r="26" spans="1:6" ht="14" customHeight="1">
      <c r="A26" s="8">
        <v>5</v>
      </c>
      <c r="B26" s="7" t="str">
        <f>المدخلات!$F$5</f>
        <v>5:20–6:30 م</v>
      </c>
      <c r="C26" s="7">
        <v>1</v>
      </c>
      <c r="D26" s="7" t="s">
        <v>51</v>
      </c>
      <c r="E26" s="2"/>
      <c r="F26" s="2"/>
    </row>
    <row r="27" spans="1:6" ht="14" customHeight="1">
      <c r="A27" s="8">
        <v>5</v>
      </c>
      <c r="B27" s="7" t="str">
        <f>المدخلات!$F$5</f>
        <v>5:20–6:30 م</v>
      </c>
      <c r="C27" s="7">
        <v>2</v>
      </c>
      <c r="D27" s="7" t="s">
        <v>766</v>
      </c>
      <c r="E27" s="2"/>
      <c r="F27" s="2"/>
    </row>
    <row r="28" spans="1:6" ht="14" customHeight="1">
      <c r="A28" s="8">
        <v>5</v>
      </c>
      <c r="B28" s="7" t="str">
        <f>المدخلات!$F$6</f>
        <v>6:40–7:50 م</v>
      </c>
      <c r="C28" s="7">
        <v>1</v>
      </c>
      <c r="D28" s="7" t="s">
        <v>17</v>
      </c>
      <c r="E28" s="2"/>
      <c r="F28" s="2"/>
    </row>
    <row r="29" spans="1:6" ht="14" customHeight="1">
      <c r="A29" s="8">
        <v>6</v>
      </c>
      <c r="B29" s="7" t="str">
        <f>المدخلات!$F$4</f>
        <v>4:00–5:10 م</v>
      </c>
      <c r="C29" s="7">
        <v>1</v>
      </c>
      <c r="D29" s="7" t="s">
        <v>1047</v>
      </c>
      <c r="E29" s="2"/>
      <c r="F29" s="2"/>
    </row>
    <row r="30" spans="1:6" ht="14" customHeight="1">
      <c r="A30" s="8">
        <v>6</v>
      </c>
      <c r="B30" s="7" t="str">
        <f>المدخلات!$F$4</f>
        <v>4:00–5:10 م</v>
      </c>
      <c r="C30" s="7">
        <v>2</v>
      </c>
      <c r="D30" s="7" t="s">
        <v>791</v>
      </c>
      <c r="E30" s="2"/>
      <c r="F30" s="2"/>
    </row>
    <row r="31" spans="1:6" ht="14" customHeight="1">
      <c r="A31" s="8">
        <v>6</v>
      </c>
      <c r="B31" s="7" t="str">
        <f>المدخلات!$F$5</f>
        <v>5:20–6:30 م</v>
      </c>
      <c r="C31" s="7">
        <v>1</v>
      </c>
      <c r="D31" s="7" t="s">
        <v>38</v>
      </c>
      <c r="E31" s="2"/>
      <c r="F31" s="2"/>
    </row>
    <row r="32" spans="1:6" ht="14" customHeight="1">
      <c r="A32" s="8">
        <v>6</v>
      </c>
      <c r="B32" s="7" t="str">
        <f>المدخلات!$F$5</f>
        <v>5:20–6:30 م</v>
      </c>
      <c r="C32" s="7">
        <v>2</v>
      </c>
      <c r="D32" s="7" t="s">
        <v>790</v>
      </c>
      <c r="E32" s="2"/>
      <c r="F32" s="2"/>
    </row>
    <row r="33" spans="1:6" ht="14" customHeight="1">
      <c r="A33" s="8">
        <v>6</v>
      </c>
      <c r="B33" s="7" t="str">
        <f>المدخلات!$F$6</f>
        <v>6:40–7:50 م</v>
      </c>
      <c r="C33" s="7">
        <v>1</v>
      </c>
      <c r="D33" s="7" t="s">
        <v>28</v>
      </c>
      <c r="E33" s="2"/>
      <c r="F33" s="2"/>
    </row>
    <row r="34" spans="1:6" ht="14" customHeight="1">
      <c r="A34" s="8">
        <v>7</v>
      </c>
      <c r="B34" s="7" t="str">
        <f>المدخلات!$F$4</f>
        <v>4:00–5:10 م</v>
      </c>
      <c r="C34" s="7">
        <v>1</v>
      </c>
      <c r="D34" s="7" t="s">
        <v>15</v>
      </c>
      <c r="E34" s="2"/>
      <c r="F34" s="2"/>
    </row>
    <row r="35" spans="1:6" ht="14" customHeight="1">
      <c r="A35" s="8">
        <v>7</v>
      </c>
      <c r="B35" s="7" t="str">
        <f>المدخلات!$F$4</f>
        <v>4:00–5:10 م</v>
      </c>
      <c r="C35" s="7">
        <v>2</v>
      </c>
      <c r="D35" s="7" t="s">
        <v>24</v>
      </c>
      <c r="E35" s="2"/>
      <c r="F35" s="2"/>
    </row>
    <row r="36" spans="1:6" ht="14" customHeight="1">
      <c r="A36" s="8">
        <v>7</v>
      </c>
      <c r="B36" s="7" t="str">
        <f>المدخلات!$F$5</f>
        <v>5:20–6:30 م</v>
      </c>
      <c r="C36" s="7">
        <v>1</v>
      </c>
      <c r="D36" s="7" t="s">
        <v>804</v>
      </c>
      <c r="E36" s="2"/>
      <c r="F36" s="2"/>
    </row>
    <row r="37" spans="1:6" ht="14" customHeight="1">
      <c r="A37" s="8">
        <v>7</v>
      </c>
      <c r="B37" s="7" t="str">
        <f>المدخلات!$F$5</f>
        <v>5:20–6:30 م</v>
      </c>
      <c r="C37" s="7">
        <v>2</v>
      </c>
      <c r="D37" s="7" t="s">
        <v>32</v>
      </c>
      <c r="E37" s="2"/>
      <c r="F37" s="2"/>
    </row>
    <row r="38" spans="1:6" ht="14" customHeight="1">
      <c r="A38" s="8">
        <v>7</v>
      </c>
      <c r="B38" s="7" t="str">
        <f>المدخلات!$F$6</f>
        <v>6:40–7:50 م</v>
      </c>
      <c r="C38" s="7">
        <v>1</v>
      </c>
      <c r="D38" s="7" t="s">
        <v>805</v>
      </c>
      <c r="E38" s="2"/>
      <c r="F38" s="2"/>
    </row>
    <row r="39" spans="1:6" ht="14" customHeight="1">
      <c r="A39" s="8">
        <v>8</v>
      </c>
      <c r="B39" s="7" t="str">
        <f>المدخلات!$F$4</f>
        <v>4:00–5:10 م</v>
      </c>
      <c r="C39" s="7">
        <v>1</v>
      </c>
      <c r="D39" s="7" t="s">
        <v>56</v>
      </c>
      <c r="E39" s="2"/>
      <c r="F39" s="2"/>
    </row>
    <row r="40" spans="1:6" ht="14" customHeight="1">
      <c r="A40" s="8">
        <v>8</v>
      </c>
      <c r="B40" s="7" t="str">
        <f>المدخلات!$F$4</f>
        <v>4:00–5:10 م</v>
      </c>
      <c r="C40" s="7">
        <v>2</v>
      </c>
      <c r="D40" s="7" t="s">
        <v>20</v>
      </c>
      <c r="E40" s="2"/>
      <c r="F40" s="2"/>
    </row>
    <row r="41" spans="1:6" ht="14" customHeight="1">
      <c r="A41" s="8">
        <v>8</v>
      </c>
      <c r="B41" s="7" t="str">
        <f>المدخلات!$F$5</f>
        <v>5:20–6:30 م</v>
      </c>
      <c r="C41" s="7">
        <v>1</v>
      </c>
      <c r="D41" s="7" t="s">
        <v>9</v>
      </c>
      <c r="E41" s="2"/>
      <c r="F41" s="2"/>
    </row>
    <row r="42" spans="1:6" ht="14" customHeight="1">
      <c r="A42" s="8">
        <v>8</v>
      </c>
      <c r="B42" s="7" t="str">
        <f>المدخلات!$F$5</f>
        <v>5:20–6:30 م</v>
      </c>
      <c r="C42" s="7">
        <v>2</v>
      </c>
      <c r="D42" s="7" t="s">
        <v>623</v>
      </c>
      <c r="E42" s="2"/>
      <c r="F42" s="2"/>
    </row>
    <row r="43" spans="1:6" ht="14" customHeight="1">
      <c r="A43" s="8">
        <v>8</v>
      </c>
      <c r="B43" s="7" t="str">
        <f>المدخلات!$F$6</f>
        <v>6:40–7:50 م</v>
      </c>
      <c r="C43" s="7">
        <v>1</v>
      </c>
      <c r="D43" s="7" t="s">
        <v>27</v>
      </c>
      <c r="E43" s="2"/>
      <c r="F43" s="2"/>
    </row>
    <row r="44" spans="1:6" ht="14" customHeight="1">
      <c r="A44" s="8">
        <v>9</v>
      </c>
      <c r="B44" s="7" t="str">
        <f>المدخلات!$F$4</f>
        <v>4:00–5:10 م</v>
      </c>
      <c r="C44" s="7">
        <v>1</v>
      </c>
      <c r="D44" s="7" t="s">
        <v>634</v>
      </c>
      <c r="E44" s="2"/>
      <c r="F44" s="2"/>
    </row>
    <row r="45" spans="1:6" ht="14" customHeight="1">
      <c r="A45" s="8">
        <v>9</v>
      </c>
      <c r="B45" s="7" t="str">
        <f>المدخلات!$F$4</f>
        <v>4:00–5:10 م</v>
      </c>
      <c r="C45" s="7">
        <v>2</v>
      </c>
      <c r="D45" s="7" t="s">
        <v>53</v>
      </c>
      <c r="E45" s="2"/>
      <c r="F45" s="2"/>
    </row>
    <row r="46" spans="1:6" ht="14" customHeight="1">
      <c r="A46" s="8">
        <v>9</v>
      </c>
      <c r="B46" s="7" t="str">
        <f>المدخلات!$F$5</f>
        <v>5:20–6:30 م</v>
      </c>
      <c r="C46" s="7">
        <v>1</v>
      </c>
      <c r="D46" s="7" t="s">
        <v>13</v>
      </c>
      <c r="E46" s="2"/>
      <c r="F46" s="2"/>
    </row>
    <row r="47" spans="1:6" ht="14" customHeight="1">
      <c r="A47" s="8">
        <v>9</v>
      </c>
      <c r="B47" s="7" t="str">
        <f>المدخلات!$F$5</f>
        <v>5:20–6:30 م</v>
      </c>
      <c r="C47" s="7">
        <v>2</v>
      </c>
      <c r="D47" s="7" t="s">
        <v>46</v>
      </c>
      <c r="E47" s="2"/>
      <c r="F47" s="2"/>
    </row>
    <row r="48" spans="1:6" ht="14" customHeight="1">
      <c r="A48" s="8">
        <v>9</v>
      </c>
      <c r="B48" s="7" t="str">
        <f>المدخلات!$F$6</f>
        <v>6:40–7:50 م</v>
      </c>
      <c r="C48" s="7">
        <v>1</v>
      </c>
      <c r="D48" s="7" t="s">
        <v>1043</v>
      </c>
      <c r="E48" s="2"/>
      <c r="F48" s="2"/>
    </row>
    <row r="49" spans="1:6" ht="14" customHeight="1">
      <c r="A49" s="8">
        <v>10</v>
      </c>
      <c r="B49" s="7" t="str">
        <f>المدخلات!$F$4</f>
        <v>4:00–5:10 م</v>
      </c>
      <c r="C49" s="7">
        <v>1</v>
      </c>
      <c r="D49" s="7" t="s">
        <v>14</v>
      </c>
      <c r="E49" s="2"/>
      <c r="F49" s="2"/>
    </row>
    <row r="50" spans="1:6" ht="14" customHeight="1">
      <c r="A50" s="8">
        <v>10</v>
      </c>
      <c r="B50" s="7" t="str">
        <f>المدخلات!$F$4</f>
        <v>4:00–5:10 م</v>
      </c>
      <c r="C50" s="7">
        <v>2</v>
      </c>
      <c r="D50" s="7" t="s">
        <v>1055</v>
      </c>
      <c r="E50" s="2"/>
      <c r="F50" s="2"/>
    </row>
    <row r="51" spans="1:6" ht="14" customHeight="1">
      <c r="A51" s="8">
        <v>10</v>
      </c>
      <c r="B51" s="7" t="str">
        <f>المدخلات!$F$5</f>
        <v>5:20–6:30 م</v>
      </c>
      <c r="C51" s="7">
        <v>1</v>
      </c>
      <c r="D51" s="7" t="s">
        <v>8</v>
      </c>
      <c r="E51" s="2"/>
      <c r="F51" s="2"/>
    </row>
    <row r="52" spans="1:6" ht="14" customHeight="1">
      <c r="A52" s="8">
        <v>10</v>
      </c>
      <c r="B52" s="7" t="str">
        <f>المدخلات!$F$5</f>
        <v>5:20–6:30 م</v>
      </c>
      <c r="C52" s="7">
        <v>2</v>
      </c>
      <c r="D52" s="7" t="s">
        <v>49</v>
      </c>
      <c r="E52" s="2"/>
      <c r="F52" s="2"/>
    </row>
    <row r="53" spans="1:6" ht="14" customHeight="1">
      <c r="A53" s="8">
        <v>10</v>
      </c>
      <c r="B53" s="7" t="str">
        <f>المدخلات!$F$6</f>
        <v>6:40–7:50 م</v>
      </c>
      <c r="C53" s="7">
        <v>1</v>
      </c>
      <c r="D53" s="7" t="s">
        <v>41</v>
      </c>
      <c r="E53" s="2"/>
      <c r="F53" s="2"/>
    </row>
    <row r="54" spans="1:6" ht="14" customHeight="1">
      <c r="A54" s="8">
        <v>11</v>
      </c>
      <c r="B54" s="7" t="str">
        <f>المدخلات!$F$4</f>
        <v>4:00–5:10 م</v>
      </c>
      <c r="C54" s="7">
        <v>1</v>
      </c>
      <c r="D54" s="7" t="s">
        <v>47</v>
      </c>
      <c r="E54" s="2"/>
      <c r="F54" s="2"/>
    </row>
    <row r="55" spans="1:6" ht="14" customHeight="1">
      <c r="A55" s="8">
        <v>11</v>
      </c>
      <c r="B55" s="7" t="str">
        <f>المدخلات!$F$4</f>
        <v>4:00–5:10 م</v>
      </c>
      <c r="C55" s="7">
        <v>2</v>
      </c>
      <c r="D55" s="7" t="s">
        <v>30</v>
      </c>
      <c r="E55" s="2"/>
      <c r="F55" s="2"/>
    </row>
    <row r="56" spans="1:6" ht="14" customHeight="1">
      <c r="A56" s="8">
        <v>11</v>
      </c>
      <c r="B56" s="7" t="str">
        <f>المدخلات!$F$5</f>
        <v>5:20–6:30 م</v>
      </c>
      <c r="C56" s="7">
        <v>1</v>
      </c>
      <c r="D56" s="7" t="s">
        <v>1037</v>
      </c>
      <c r="E56" s="2"/>
      <c r="F56" s="2"/>
    </row>
    <row r="57" spans="1:6" ht="14" customHeight="1">
      <c r="A57" s="8">
        <v>11</v>
      </c>
      <c r="B57" s="7" t="str">
        <f>المدخلات!$F$5</f>
        <v>5:20–6:30 م</v>
      </c>
      <c r="C57" s="7">
        <v>2</v>
      </c>
      <c r="D57" s="7" t="s">
        <v>37</v>
      </c>
      <c r="E57" s="2"/>
      <c r="F57" s="2"/>
    </row>
    <row r="58" spans="1:6" ht="14" customHeight="1">
      <c r="A58" s="8">
        <v>11</v>
      </c>
      <c r="B58" s="7" t="str">
        <f>المدخلات!$F$6</f>
        <v>6:40–7:50 م</v>
      </c>
      <c r="C58" s="7">
        <v>1</v>
      </c>
      <c r="D58" s="7" t="s">
        <v>1056</v>
      </c>
      <c r="E58" s="2"/>
      <c r="F58" s="2"/>
    </row>
    <row r="59" spans="1:6" ht="14" customHeight="1">
      <c r="A59" s="8">
        <v>12</v>
      </c>
      <c r="B59" s="7" t="str">
        <f>المدخلات!$F$4</f>
        <v>4:00–5:10 م</v>
      </c>
      <c r="C59" s="7">
        <v>1</v>
      </c>
      <c r="D59" s="7" t="s">
        <v>1059</v>
      </c>
      <c r="E59" s="2"/>
      <c r="F59" s="2"/>
    </row>
    <row r="60" spans="1:6" ht="14" customHeight="1">
      <c r="A60" s="8">
        <v>12</v>
      </c>
      <c r="B60" s="7" t="str">
        <f>المدخلات!$F$4</f>
        <v>4:00–5:10 م</v>
      </c>
      <c r="C60" s="7">
        <v>2</v>
      </c>
      <c r="D60" s="7" t="s">
        <v>1064</v>
      </c>
      <c r="E60" s="2"/>
      <c r="F60" s="2"/>
    </row>
    <row r="61" spans="1:6" ht="14" customHeight="1">
      <c r="A61" s="8">
        <v>12</v>
      </c>
      <c r="B61" s="7" t="str">
        <f>المدخلات!$F$5</f>
        <v>5:20–6:30 م</v>
      </c>
      <c r="C61" s="7">
        <v>1</v>
      </c>
      <c r="D61" s="7" t="s">
        <v>1060</v>
      </c>
      <c r="E61" s="2"/>
      <c r="F61" s="2"/>
    </row>
    <row r="62" spans="1:6" ht="14" customHeight="1">
      <c r="A62" s="8">
        <v>12</v>
      </c>
      <c r="B62" s="7" t="str">
        <f>المدخلات!$F$5</f>
        <v>5:20–6:30 م</v>
      </c>
      <c r="C62" s="7">
        <v>2</v>
      </c>
      <c r="D62" s="7" t="s">
        <v>23</v>
      </c>
      <c r="E62" s="2"/>
      <c r="F62" s="2"/>
    </row>
    <row r="63" spans="1:6" ht="14" customHeight="1">
      <c r="A63" s="8">
        <v>12</v>
      </c>
      <c r="B63" s="7" t="str">
        <f>المدخلات!$F$6</f>
        <v>6:40–7:50 م</v>
      </c>
      <c r="C63" s="7">
        <v>1</v>
      </c>
      <c r="D63" s="7" t="s">
        <v>34</v>
      </c>
      <c r="E63" s="2"/>
      <c r="F63" s="2"/>
    </row>
    <row r="64" spans="1:6" ht="14" customHeight="1">
      <c r="A64" s="8">
        <v>13</v>
      </c>
      <c r="B64" s="7" t="str">
        <f>المدخلات!$F$4</f>
        <v>4:00–5:10 م</v>
      </c>
      <c r="C64" s="7">
        <v>1</v>
      </c>
      <c r="D64" s="7" t="s">
        <v>1052</v>
      </c>
      <c r="E64" s="2"/>
      <c r="F64" s="2"/>
    </row>
    <row r="65" spans="1:6" ht="14" customHeight="1">
      <c r="A65" s="8">
        <v>13</v>
      </c>
      <c r="B65" s="7" t="str">
        <f>المدخلات!$F$4</f>
        <v>4:00–5:10 م</v>
      </c>
      <c r="C65" s="7">
        <v>2</v>
      </c>
      <c r="D65" s="7" t="s">
        <v>16</v>
      </c>
      <c r="E65" s="2"/>
      <c r="F65" s="2"/>
    </row>
    <row r="66" spans="1:6" ht="14" customHeight="1">
      <c r="A66" s="8">
        <v>13</v>
      </c>
      <c r="B66" s="7" t="str">
        <f>المدخلات!$F$5</f>
        <v>5:20–6:30 م</v>
      </c>
      <c r="C66" s="7">
        <v>1</v>
      </c>
      <c r="D66" s="7" t="s">
        <v>33</v>
      </c>
      <c r="E66" s="2"/>
      <c r="F66" s="2"/>
    </row>
    <row r="67" spans="1:6" ht="14" customHeight="1">
      <c r="A67" s="8">
        <v>13</v>
      </c>
      <c r="B67" s="7" t="str">
        <f>المدخلات!$F$5</f>
        <v>5:20–6:30 م</v>
      </c>
      <c r="C67" s="7">
        <v>2</v>
      </c>
      <c r="D67" s="7" t="s">
        <v>26</v>
      </c>
      <c r="E67" s="2"/>
      <c r="F67" s="2"/>
    </row>
    <row r="68" spans="1:6" ht="14" customHeight="1">
      <c r="A68" s="8">
        <v>13</v>
      </c>
      <c r="B68" s="7" t="str">
        <f>المدخلات!$F$6</f>
        <v>6:40–7:50 م</v>
      </c>
      <c r="C68" s="7">
        <v>1</v>
      </c>
      <c r="D68" s="7" t="s">
        <v>54</v>
      </c>
      <c r="E68" s="2"/>
      <c r="F68" s="2"/>
    </row>
    <row r="69" spans="1:6" ht="14" customHeight="1">
      <c r="A69" s="8">
        <v>14</v>
      </c>
      <c r="B69" s="7" t="str">
        <f>المدخلات!$F$4</f>
        <v>4:00–5:10 م</v>
      </c>
      <c r="C69" s="7">
        <v>1</v>
      </c>
      <c r="D69" s="7" t="s">
        <v>1045</v>
      </c>
      <c r="E69" s="2"/>
      <c r="F69" s="2"/>
    </row>
    <row r="70" spans="1:6" ht="14" customHeight="1">
      <c r="A70" s="8">
        <v>14</v>
      </c>
      <c r="B70" s="7" t="str">
        <f>المدخلات!$F$4</f>
        <v>4:00–5:10 م</v>
      </c>
      <c r="C70" s="7">
        <v>2</v>
      </c>
      <c r="D70" s="7" t="s">
        <v>52</v>
      </c>
      <c r="E70" s="2"/>
      <c r="F70" s="2"/>
    </row>
    <row r="71" spans="1:6" ht="14" customHeight="1">
      <c r="A71" s="8">
        <v>14</v>
      </c>
      <c r="B71" s="7" t="str">
        <f>المدخلات!$F$5</f>
        <v>5:20–6:30 م</v>
      </c>
      <c r="C71" s="7">
        <v>1</v>
      </c>
      <c r="D71" s="7" t="s">
        <v>10</v>
      </c>
      <c r="E71" s="2"/>
      <c r="F71" s="2"/>
    </row>
    <row r="72" spans="1:6" ht="14" customHeight="1">
      <c r="A72" s="8">
        <v>14</v>
      </c>
      <c r="B72" s="7" t="str">
        <f>المدخلات!$F$5</f>
        <v>5:20–6:30 م</v>
      </c>
      <c r="C72" s="7">
        <v>2</v>
      </c>
      <c r="D72" s="7" t="s">
        <v>1054</v>
      </c>
      <c r="E72" s="2"/>
      <c r="F72" s="2"/>
    </row>
    <row r="73" spans="1:6" ht="14" customHeight="1">
      <c r="A73" s="8">
        <v>14</v>
      </c>
      <c r="B73" s="7" t="str">
        <f>المدخلات!$F$6</f>
        <v>6:40–7:50 م</v>
      </c>
      <c r="C73" s="7">
        <v>1</v>
      </c>
      <c r="D73" s="7" t="s">
        <v>12</v>
      </c>
      <c r="E73" s="2"/>
      <c r="F73" s="2"/>
    </row>
    <row r="74" spans="1:6" ht="14" customHeight="1">
      <c r="A74" s="8">
        <v>15</v>
      </c>
      <c r="B74" s="7" t="str">
        <f>المدخلات!$F$4</f>
        <v>4:00–5:10 م</v>
      </c>
      <c r="C74" s="7">
        <v>1</v>
      </c>
      <c r="D74" s="7" t="s">
        <v>45</v>
      </c>
      <c r="E74" s="2"/>
      <c r="F74" s="2"/>
    </row>
    <row r="75" spans="1:6" ht="14" customHeight="1">
      <c r="A75" s="8">
        <v>15</v>
      </c>
      <c r="B75" s="7" t="str">
        <f>المدخلات!$F$4</f>
        <v>4:00–5:10 م</v>
      </c>
      <c r="C75" s="7">
        <v>2</v>
      </c>
      <c r="D75" s="7" t="s">
        <v>19</v>
      </c>
      <c r="E75" s="2"/>
      <c r="F75" s="2"/>
    </row>
    <row r="76" spans="1:6" ht="14" customHeight="1">
      <c r="A76" s="8">
        <v>15</v>
      </c>
      <c r="B76" s="7" t="str">
        <f>المدخلات!$F$5</f>
        <v>5:20–6:30 م</v>
      </c>
      <c r="C76" s="7">
        <v>1</v>
      </c>
      <c r="D76" s="7" t="s">
        <v>60</v>
      </c>
      <c r="E76" s="2"/>
      <c r="F76" s="2"/>
    </row>
    <row r="77" spans="1:6" ht="14" customHeight="1">
      <c r="A77" s="8">
        <v>15</v>
      </c>
      <c r="B77" s="7" t="str">
        <f>المدخلات!$F$5</f>
        <v>5:20–6:30 م</v>
      </c>
      <c r="C77" s="7">
        <v>2</v>
      </c>
      <c r="D77" s="7" t="s">
        <v>36</v>
      </c>
      <c r="E77" s="2"/>
      <c r="F77" s="2"/>
    </row>
    <row r="78" spans="1:6" ht="14" customHeight="1">
      <c r="A78" s="8">
        <v>15</v>
      </c>
      <c r="B78" s="7" t="str">
        <f>المدخلات!$F$6</f>
        <v>6:40–7:50 م</v>
      </c>
      <c r="C78" s="7">
        <v>1</v>
      </c>
      <c r="D78" s="7" t="s">
        <v>7</v>
      </c>
      <c r="E78" s="2"/>
      <c r="F78" s="2"/>
    </row>
    <row r="79" spans="1:6" ht="14" customHeight="1">
      <c r="A79" s="8">
        <v>16</v>
      </c>
      <c r="B79" s="7" t="str">
        <f>المدخلات!$F$4</f>
        <v>4:00–5:10 م</v>
      </c>
      <c r="C79" s="7">
        <v>1</v>
      </c>
      <c r="D79" s="7" t="s">
        <v>1049</v>
      </c>
      <c r="E79" s="2"/>
      <c r="F79" s="2"/>
    </row>
    <row r="80" spans="1:6" ht="14" customHeight="1">
      <c r="A80" s="8">
        <v>16</v>
      </c>
      <c r="B80" s="7" t="str">
        <f>المدخلات!$F$4</f>
        <v>4:00–5:10 م</v>
      </c>
      <c r="C80" s="7">
        <v>2</v>
      </c>
      <c r="D80" s="7" t="s">
        <v>51</v>
      </c>
      <c r="E80" s="2"/>
      <c r="F80" s="2"/>
    </row>
    <row r="81" spans="1:6" ht="14" customHeight="1">
      <c r="A81" s="8">
        <v>16</v>
      </c>
      <c r="B81" s="7" t="str">
        <f>المدخلات!$F$5</f>
        <v>5:20–6:30 م</v>
      </c>
      <c r="C81" s="7">
        <v>1</v>
      </c>
      <c r="D81" s="7" t="s">
        <v>766</v>
      </c>
      <c r="E81" s="2"/>
      <c r="F81" s="2"/>
    </row>
    <row r="82" spans="1:6" ht="14" customHeight="1">
      <c r="A82" s="8">
        <v>16</v>
      </c>
      <c r="B82" s="7" t="str">
        <f>المدخلات!$F$5</f>
        <v>5:20–6:30 م</v>
      </c>
      <c r="C82" s="7">
        <v>2</v>
      </c>
      <c r="D82" s="7" t="s">
        <v>17</v>
      </c>
      <c r="E82" s="2"/>
      <c r="F82" s="2"/>
    </row>
    <row r="83" spans="1:6" ht="14" customHeight="1">
      <c r="A83" s="8">
        <v>16</v>
      </c>
      <c r="B83" s="7" t="str">
        <f>المدخلات!$F$6</f>
        <v>6:40–7:50 م</v>
      </c>
      <c r="C83" s="7">
        <v>1</v>
      </c>
      <c r="D83" s="7" t="s">
        <v>42</v>
      </c>
      <c r="E83" s="2"/>
      <c r="F83" s="2"/>
    </row>
    <row r="84" spans="1:6" ht="14" customHeight="1">
      <c r="A84" s="8">
        <v>17</v>
      </c>
      <c r="B84" s="7" t="str">
        <f>المدخلات!$F$4</f>
        <v>4:00–5:10 م</v>
      </c>
      <c r="C84" s="7">
        <v>1</v>
      </c>
      <c r="D84" s="7" t="s">
        <v>25</v>
      </c>
      <c r="E84" s="2"/>
      <c r="F84" s="2"/>
    </row>
    <row r="85" spans="1:6" ht="14" customHeight="1">
      <c r="A85" s="8">
        <v>17</v>
      </c>
      <c r="B85" s="7" t="str">
        <f>المدخلات!$F$4</f>
        <v>4:00–5:10 م</v>
      </c>
      <c r="C85" s="7">
        <v>2</v>
      </c>
      <c r="D85" s="7" t="s">
        <v>38</v>
      </c>
      <c r="E85" s="2"/>
      <c r="F85" s="2"/>
    </row>
    <row r="86" spans="1:6" ht="14" customHeight="1">
      <c r="A86" s="8">
        <v>17</v>
      </c>
      <c r="B86" s="7" t="str">
        <f>المدخلات!$F$5</f>
        <v>5:20–6:30 م</v>
      </c>
      <c r="C86" s="7">
        <v>1</v>
      </c>
      <c r="D86" s="7" t="s">
        <v>28</v>
      </c>
      <c r="E86" s="2"/>
      <c r="F86" s="2"/>
    </row>
    <row r="87" spans="1:6" ht="14" customHeight="1">
      <c r="A87" s="8">
        <v>17</v>
      </c>
      <c r="B87" s="7" t="str">
        <f>المدخلات!$F$5</f>
        <v>5:20–6:30 م</v>
      </c>
      <c r="C87" s="7">
        <v>2</v>
      </c>
      <c r="D87" s="7" t="s">
        <v>791</v>
      </c>
      <c r="E87" s="2"/>
      <c r="F87" s="2"/>
    </row>
    <row r="88" spans="1:6" ht="14" customHeight="1">
      <c r="A88" s="8">
        <v>17</v>
      </c>
      <c r="B88" s="7" t="str">
        <f>المدخلات!$F$6</f>
        <v>6:40–7:50 م</v>
      </c>
      <c r="C88" s="7">
        <v>1</v>
      </c>
      <c r="D88" s="7" t="s">
        <v>790</v>
      </c>
      <c r="E88" s="2"/>
      <c r="F88" s="2"/>
    </row>
    <row r="89" spans="1:6" ht="14" customHeight="1">
      <c r="A89" s="8">
        <v>18</v>
      </c>
      <c r="B89" s="7" t="str">
        <f>المدخلات!$F$4</f>
        <v>4:00–5:10 م</v>
      </c>
      <c r="C89" s="7">
        <v>1</v>
      </c>
      <c r="D89" s="7" t="s">
        <v>1039</v>
      </c>
      <c r="E89" s="2"/>
      <c r="F89" s="2"/>
    </row>
    <row r="90" spans="1:6" ht="14" customHeight="1">
      <c r="A90" s="8">
        <v>18</v>
      </c>
      <c r="B90" s="7" t="str">
        <f>المدخلات!$F$4</f>
        <v>4:00–5:10 م</v>
      </c>
      <c r="C90" s="7">
        <v>2</v>
      </c>
      <c r="D90" s="7" t="s">
        <v>805</v>
      </c>
      <c r="E90" s="2"/>
      <c r="F90" s="2"/>
    </row>
    <row r="91" spans="1:6" ht="14" customHeight="1">
      <c r="A91" s="8">
        <v>18</v>
      </c>
      <c r="B91" s="7" t="str">
        <f>المدخلات!$F$5</f>
        <v>5:20–6:30 م</v>
      </c>
      <c r="C91" s="7">
        <v>1</v>
      </c>
      <c r="D91" s="7" t="s">
        <v>24</v>
      </c>
      <c r="E91" s="2"/>
      <c r="F91" s="2"/>
    </row>
    <row r="92" spans="1:6" ht="14" customHeight="1">
      <c r="A92" s="8">
        <v>18</v>
      </c>
      <c r="B92" s="7" t="str">
        <f>المدخلات!$F$5</f>
        <v>5:20–6:30 م</v>
      </c>
      <c r="C92" s="7">
        <v>2</v>
      </c>
      <c r="D92" s="7" t="s">
        <v>32</v>
      </c>
      <c r="E92" s="2"/>
      <c r="F92" s="2"/>
    </row>
    <row r="93" spans="1:6" ht="14" customHeight="1">
      <c r="A93" s="8">
        <v>18</v>
      </c>
      <c r="B93" s="7" t="str">
        <f>المدخلات!$F$6</f>
        <v>6:40–7:50 م</v>
      </c>
      <c r="C93" s="7">
        <v>1</v>
      </c>
      <c r="D93" s="7" t="s">
        <v>804</v>
      </c>
      <c r="E93" s="2"/>
      <c r="F93" s="2"/>
    </row>
    <row r="94" spans="1:6" ht="14" customHeight="1">
      <c r="A94" s="8">
        <v>19</v>
      </c>
      <c r="B94" s="7" t="str">
        <f>المدخلات!$F$4</f>
        <v>4:00–5:10 م</v>
      </c>
      <c r="C94" s="7">
        <v>1</v>
      </c>
      <c r="D94" s="7" t="s">
        <v>27</v>
      </c>
      <c r="E94" s="2"/>
      <c r="F94" s="2"/>
    </row>
    <row r="95" spans="1:6" ht="14" customHeight="1">
      <c r="A95" s="8">
        <v>19</v>
      </c>
      <c r="B95" s="7" t="str">
        <f>المدخلات!$F$4</f>
        <v>4:00–5:10 م</v>
      </c>
      <c r="C95" s="7">
        <v>2</v>
      </c>
      <c r="D95" s="7" t="s">
        <v>20</v>
      </c>
      <c r="E95" s="2"/>
      <c r="F95" s="2"/>
    </row>
    <row r="96" spans="1:6" ht="14" customHeight="1">
      <c r="A96" s="8">
        <v>19</v>
      </c>
      <c r="B96" s="7" t="str">
        <f>المدخلات!$F$5</f>
        <v>5:20–6:30 م</v>
      </c>
      <c r="C96" s="7">
        <v>1</v>
      </c>
      <c r="D96" s="7" t="s">
        <v>9</v>
      </c>
      <c r="E96" s="2"/>
      <c r="F96" s="2"/>
    </row>
    <row r="97" spans="1:6" ht="14" customHeight="1">
      <c r="A97" s="8">
        <v>19</v>
      </c>
      <c r="B97" s="7" t="str">
        <f>المدخلات!$F$5</f>
        <v>5:20–6:30 م</v>
      </c>
      <c r="C97" s="7">
        <v>2</v>
      </c>
      <c r="D97" s="7" t="s">
        <v>623</v>
      </c>
      <c r="E97" s="2"/>
      <c r="F97" s="2"/>
    </row>
    <row r="98" spans="1:6" ht="14" customHeight="1">
      <c r="A98" s="8">
        <v>19</v>
      </c>
      <c r="B98" s="7" t="str">
        <f>المدخلات!$F$6</f>
        <v>6:40–7:50 م</v>
      </c>
      <c r="C98" s="7">
        <v>1</v>
      </c>
      <c r="D98" s="7" t="s">
        <v>56</v>
      </c>
      <c r="E98" s="2"/>
      <c r="F98" s="2"/>
    </row>
    <row r="99" spans="1:6" ht="14" customHeight="1">
      <c r="A99" s="8">
        <v>20</v>
      </c>
      <c r="B99" s="7" t="str">
        <f>المدخلات!$F$4</f>
        <v>4:00–5:10 م</v>
      </c>
      <c r="C99" s="7">
        <v>1</v>
      </c>
      <c r="D99" s="7" t="s">
        <v>53</v>
      </c>
      <c r="E99" s="2"/>
      <c r="F99" s="2"/>
    </row>
    <row r="100" spans="1:6" ht="14" customHeight="1">
      <c r="A100" s="8">
        <v>20</v>
      </c>
      <c r="B100" s="7" t="str">
        <f>المدخلات!$F$4</f>
        <v>4:00–5:10 م</v>
      </c>
      <c r="C100" s="7">
        <v>2</v>
      </c>
      <c r="D100" s="7" t="s">
        <v>1043</v>
      </c>
      <c r="E100" s="2"/>
      <c r="F100" s="2"/>
    </row>
    <row r="101" spans="1:6" ht="14" customHeight="1">
      <c r="A101" s="8">
        <v>20</v>
      </c>
      <c r="B101" s="7" t="str">
        <f>المدخلات!$F$5</f>
        <v>5:20–6:30 م</v>
      </c>
      <c r="C101" s="7">
        <v>1</v>
      </c>
      <c r="D101" s="7" t="s">
        <v>46</v>
      </c>
      <c r="E101" s="2"/>
      <c r="F101" s="2"/>
    </row>
    <row r="102" spans="1:6" ht="14" customHeight="1">
      <c r="A102" s="8">
        <v>20</v>
      </c>
      <c r="B102" s="7" t="str">
        <f>المدخلات!$F$5</f>
        <v>5:20–6:30 م</v>
      </c>
      <c r="C102" s="7">
        <v>2</v>
      </c>
      <c r="D102" s="7" t="s">
        <v>13</v>
      </c>
      <c r="E102" s="2"/>
      <c r="F102" s="2"/>
    </row>
    <row r="103" spans="1:6" ht="14" customHeight="1">
      <c r="A103" s="8">
        <v>20</v>
      </c>
      <c r="B103" s="7" t="str">
        <f>المدخلات!$F$6</f>
        <v>6:40–7:50 م</v>
      </c>
      <c r="C103" s="7">
        <v>1</v>
      </c>
      <c r="D103" s="7" t="s">
        <v>21</v>
      </c>
      <c r="E103" s="2"/>
      <c r="F103" s="2"/>
    </row>
    <row r="104" spans="1:6" ht="14" customHeight="1">
      <c r="A104" s="8">
        <v>21</v>
      </c>
      <c r="B104" s="7" t="str">
        <f>المدخلات!$F$4</f>
        <v>4:00–5:10 م</v>
      </c>
      <c r="C104" s="7">
        <v>1</v>
      </c>
      <c r="D104" s="7" t="s">
        <v>14</v>
      </c>
      <c r="E104" s="2"/>
      <c r="F104" s="2"/>
    </row>
    <row r="105" spans="1:6" ht="14" customHeight="1">
      <c r="A105" s="8">
        <v>21</v>
      </c>
      <c r="B105" s="7" t="str">
        <f>المدخلات!$F$4</f>
        <v>4:00–5:10 م</v>
      </c>
      <c r="C105" s="7">
        <v>2</v>
      </c>
      <c r="D105" s="7" t="s">
        <v>8</v>
      </c>
      <c r="E105" s="2"/>
      <c r="F105" s="2"/>
    </row>
    <row r="106" spans="1:6" ht="14" customHeight="1">
      <c r="A106" s="8">
        <v>21</v>
      </c>
      <c r="B106" s="7" t="str">
        <f>المدخلات!$F$5</f>
        <v>5:20–6:30 م</v>
      </c>
      <c r="C106" s="7">
        <v>1</v>
      </c>
      <c r="D106" s="7" t="s">
        <v>49</v>
      </c>
      <c r="E106" s="2"/>
      <c r="F106" s="2"/>
    </row>
    <row r="107" spans="1:6" ht="14" customHeight="1">
      <c r="A107" s="8">
        <v>21</v>
      </c>
      <c r="B107" s="7" t="str">
        <f>المدخلات!$F$5</f>
        <v>5:20–6:30 م</v>
      </c>
      <c r="C107" s="7">
        <v>2</v>
      </c>
      <c r="D107" s="7" t="s">
        <v>1055</v>
      </c>
      <c r="E107" s="2"/>
      <c r="F107" s="2"/>
    </row>
    <row r="108" spans="1:6" ht="14" customHeight="1">
      <c r="A108" s="8">
        <v>21</v>
      </c>
      <c r="B108" s="7" t="str">
        <f>المدخلات!$F$6</f>
        <v>6:40–7:50 م</v>
      </c>
      <c r="C108" s="7">
        <v>1</v>
      </c>
      <c r="D108" s="7" t="s">
        <v>41</v>
      </c>
      <c r="E108" s="2"/>
      <c r="F108" s="2"/>
    </row>
    <row r="109" spans="1:6" ht="14" customHeight="1">
      <c r="A109" s="8">
        <v>22</v>
      </c>
      <c r="B109" s="7" t="str">
        <f>المدخلات!$F$4</f>
        <v>4:00–5:10 م</v>
      </c>
      <c r="C109" s="7">
        <v>1</v>
      </c>
      <c r="D109" s="7" t="s">
        <v>1056</v>
      </c>
      <c r="E109" s="2"/>
      <c r="F109" s="2"/>
    </row>
    <row r="110" spans="1:6" ht="14" customHeight="1">
      <c r="A110" s="8">
        <v>22</v>
      </c>
      <c r="B110" s="7" t="str">
        <f>المدخلات!$F$4</f>
        <v>4:00–5:10 م</v>
      </c>
      <c r="C110" s="7">
        <v>2</v>
      </c>
      <c r="D110" s="7" t="s">
        <v>30</v>
      </c>
      <c r="E110" s="2"/>
      <c r="F110" s="2"/>
    </row>
    <row r="111" spans="1:6" ht="14" customHeight="1">
      <c r="A111" s="8">
        <v>22</v>
      </c>
      <c r="B111" s="7" t="str">
        <f>المدخلات!$F$5</f>
        <v>5:20–6:30 م</v>
      </c>
      <c r="C111" s="7">
        <v>1</v>
      </c>
      <c r="D111" s="7" t="s">
        <v>37</v>
      </c>
      <c r="E111" s="2"/>
      <c r="F111" s="2"/>
    </row>
    <row r="112" spans="1:6" ht="14" customHeight="1">
      <c r="A112" s="8">
        <v>22</v>
      </c>
      <c r="B112" s="7" t="str">
        <f>المدخلات!$F$5</f>
        <v>5:20–6:30 م</v>
      </c>
      <c r="C112" s="7">
        <v>2</v>
      </c>
      <c r="D112" s="7" t="s">
        <v>47</v>
      </c>
      <c r="E112" s="2"/>
      <c r="F112" s="2"/>
    </row>
    <row r="113" spans="1:12" ht="14" customHeight="1">
      <c r="A113" s="8">
        <v>22</v>
      </c>
      <c r="B113" s="7" t="str">
        <f>المدخلات!$F$6</f>
        <v>6:40–7:50 م</v>
      </c>
      <c r="C113" s="7">
        <v>1</v>
      </c>
      <c r="D113" s="7" t="s">
        <v>1037</v>
      </c>
      <c r="E113" s="2"/>
      <c r="F113" s="2"/>
    </row>
    <row r="114" spans="1:12">
      <c r="A114" s="2"/>
      <c r="B114" s="2"/>
      <c r="C114" s="2"/>
      <c r="D114" s="2"/>
    </row>
    <row r="115" spans="1:12">
      <c r="A115" s="2"/>
      <c r="B115" s="2"/>
      <c r="C115" s="2"/>
      <c r="D115" s="2"/>
    </row>
    <row r="116" spans="1:12" ht="14.5">
      <c r="A116" s="17" t="s">
        <v>828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 ht="14.5">
      <c r="A117" s="6" t="s">
        <v>829</v>
      </c>
      <c r="B117" s="6">
        <v>1</v>
      </c>
      <c r="C117" s="6">
        <v>2</v>
      </c>
      <c r="D117" s="6">
        <v>3</v>
      </c>
      <c r="E117" s="6">
        <v>4</v>
      </c>
      <c r="F117" s="6">
        <v>5</v>
      </c>
      <c r="G117" s="6">
        <v>6</v>
      </c>
      <c r="H117" s="6">
        <v>7</v>
      </c>
      <c r="I117" s="6">
        <v>8</v>
      </c>
      <c r="J117" s="6">
        <v>9</v>
      </c>
      <c r="K117" s="6">
        <v>10</v>
      </c>
      <c r="L117" s="6">
        <v>11</v>
      </c>
    </row>
    <row r="118" spans="1:12" ht="14.5">
      <c r="A118" s="14">
        <v>1</v>
      </c>
      <c r="B118" s="4" t="str">
        <f>IF($A118=B$117,"",COUNTIF($D$4:$D$113,$A118&amp;" ضد "&amp;B$117)+COUNTIF($D$4:$D$113,B$117&amp;" ضد "&amp;$A118))</f>
        <v/>
      </c>
      <c r="C118" s="4">
        <f>IF($A118=C$117,"",COUNTIF($D$4:$D$113,$A118&amp;" ضد "&amp;C$117)+COUNTIF($D$4:$D$113,C$117&amp;" ضد "&amp;$A118))</f>
        <v>2</v>
      </c>
      <c r="D118" s="4">
        <f>IF($A118=D$117,"",COUNTIF($D$4:$D$113,$A118&amp;" ضد "&amp;D$117)+COUNTIF($D$4:$D$113,D$117&amp;" ضد "&amp;$A118))</f>
        <v>2</v>
      </c>
      <c r="E118" s="4">
        <f>IF($A118=E$117,"",COUNTIF($D$4:$D$113,$A118&amp;" ضد "&amp;E$117)+COUNTIF($D$4:$D$113,E$117&amp;" ضد "&amp;$A118))</f>
        <v>2</v>
      </c>
      <c r="F118" s="4">
        <f>IF($A118=F$117,"",COUNTIF($D$4:$D$113,$A118&amp;" ضد "&amp;F$117)+COUNTIF($D$4:$D$113,F$117&amp;" ضد "&amp;$A118))</f>
        <v>2</v>
      </c>
      <c r="G118" s="4">
        <f>IF($A118=G$117,"",COUNTIF($D$4:$D$113,$A118&amp;" ضد "&amp;G$117)+COUNTIF($D$4:$D$113,G$117&amp;" ضد "&amp;$A118))</f>
        <v>2</v>
      </c>
      <c r="H118" s="4">
        <f>IF($A118=H$117,"",COUNTIF($D$4:$D$113,$A118&amp;" ضد "&amp;H$117)+COUNTIF($D$4:$D$113,H$117&amp;" ضد "&amp;$A118))</f>
        <v>2</v>
      </c>
      <c r="I118" s="4">
        <f>IF($A118=I$117,"",COUNTIF($D$4:$D$113,$A118&amp;" ضد "&amp;I$117)+COUNTIF($D$4:$D$113,I$117&amp;" ضد "&amp;$A118))</f>
        <v>2</v>
      </c>
      <c r="J118" s="4">
        <f>IF($A118=J$117,"",COUNTIF($D$4:$D$113,$A118&amp;" ضد "&amp;J$117)+COUNTIF($D$4:$D$113,J$117&amp;" ضد "&amp;$A118))</f>
        <v>2</v>
      </c>
      <c r="K118" s="4">
        <f>IF($A118=K$117,"",COUNTIF($D$4:$D$113,$A118&amp;" ضد "&amp;K$117)+COUNTIF($D$4:$D$113,K$117&amp;" ضد "&amp;$A118))</f>
        <v>2</v>
      </c>
      <c r="L118" s="4">
        <f>IF($A118=L$117,"",COUNTIF($D$4:$D$113,$A118&amp;" ضد "&amp;L$117)+COUNTIF($D$4:$D$113,L$117&amp;" ضد "&amp;$A118))</f>
        <v>2</v>
      </c>
    </row>
    <row r="119" spans="1:12" ht="14.5">
      <c r="A119" s="14">
        <v>2</v>
      </c>
      <c r="B119" s="4">
        <f>IF($A119=B$117,"",COUNTIF($D$4:$D$113,$A119&amp;" ضد "&amp;B$117)+COUNTIF($D$4:$D$113,B$117&amp;" ضد "&amp;$A119))</f>
        <v>2</v>
      </c>
      <c r="C119" s="4" t="str">
        <f>IF($A119=C$117,"",COUNTIF($D$4:$D$113,$A119&amp;" ضد "&amp;C$117)+COUNTIF($D$4:$D$113,C$117&amp;" ضد "&amp;$A119))</f>
        <v/>
      </c>
      <c r="D119" s="4">
        <f>IF($A119=D$117,"",COUNTIF($D$4:$D$113,$A119&amp;" ضد "&amp;D$117)+COUNTIF($D$4:$D$113,D$117&amp;" ضد "&amp;$A119))</f>
        <v>2</v>
      </c>
      <c r="E119" s="4">
        <f>IF($A119=E$117,"",COUNTIF($D$4:$D$113,$A119&amp;" ضد "&amp;E$117)+COUNTIF($D$4:$D$113,E$117&amp;" ضد "&amp;$A119))</f>
        <v>2</v>
      </c>
      <c r="F119" s="4">
        <f>IF($A119=F$117,"",COUNTIF($D$4:$D$113,$A119&amp;" ضد "&amp;F$117)+COUNTIF($D$4:$D$113,F$117&amp;" ضد "&amp;$A119))</f>
        <v>2</v>
      </c>
      <c r="G119" s="4">
        <f>IF($A119=G$117,"",COUNTIF($D$4:$D$113,$A119&amp;" ضد "&amp;G$117)+COUNTIF($D$4:$D$113,G$117&amp;" ضد "&amp;$A119))</f>
        <v>2</v>
      </c>
      <c r="H119" s="4">
        <f>IF($A119=H$117,"",COUNTIF($D$4:$D$113,$A119&amp;" ضد "&amp;H$117)+COUNTIF($D$4:$D$113,H$117&amp;" ضد "&amp;$A119))</f>
        <v>2</v>
      </c>
      <c r="I119" s="4">
        <f>IF($A119=I$117,"",COUNTIF($D$4:$D$113,$A119&amp;" ضد "&amp;I$117)+COUNTIF($D$4:$D$113,I$117&amp;" ضد "&amp;$A119))</f>
        <v>2</v>
      </c>
      <c r="J119" s="4">
        <f>IF($A119=J$117,"",COUNTIF($D$4:$D$113,$A119&amp;" ضد "&amp;J$117)+COUNTIF($D$4:$D$113,J$117&amp;" ضد "&amp;$A119))</f>
        <v>2</v>
      </c>
      <c r="K119" s="4">
        <f>IF($A119=K$117,"",COUNTIF($D$4:$D$113,$A119&amp;" ضد "&amp;K$117)+COUNTIF($D$4:$D$113,K$117&amp;" ضد "&amp;$A119))</f>
        <v>2</v>
      </c>
      <c r="L119" s="4">
        <f>IF($A119=L$117,"",COUNTIF($D$4:$D$113,$A119&amp;" ضد "&amp;L$117)+COUNTIF($D$4:$D$113,L$117&amp;" ضد "&amp;$A119))</f>
        <v>2</v>
      </c>
    </row>
    <row r="120" spans="1:12" ht="14.5">
      <c r="A120" s="14">
        <v>3</v>
      </c>
      <c r="B120" s="4">
        <f>IF($A120=B$117,"",COUNTIF($D$4:$D$113,$A120&amp;" ضد "&amp;B$117)+COUNTIF($D$4:$D$113,B$117&amp;" ضد "&amp;$A120))</f>
        <v>2</v>
      </c>
      <c r="C120" s="4">
        <f>IF($A120=C$117,"",COUNTIF($D$4:$D$113,$A120&amp;" ضد "&amp;C$117)+COUNTIF($D$4:$D$113,C$117&amp;" ضد "&amp;$A120))</f>
        <v>2</v>
      </c>
      <c r="D120" s="4" t="str">
        <f>IF($A120=D$117,"",COUNTIF($D$4:$D$113,$A120&amp;" ضد "&amp;D$117)+COUNTIF($D$4:$D$113,D$117&amp;" ضد "&amp;$A120))</f>
        <v/>
      </c>
      <c r="E120" s="4">
        <f>IF($A120=E$117,"",COUNTIF($D$4:$D$113,$A120&amp;" ضد "&amp;E$117)+COUNTIF($D$4:$D$113,E$117&amp;" ضد "&amp;$A120))</f>
        <v>2</v>
      </c>
      <c r="F120" s="4">
        <f>IF($A120=F$117,"",COUNTIF($D$4:$D$113,$A120&amp;" ضد "&amp;F$117)+COUNTIF($D$4:$D$113,F$117&amp;" ضد "&amp;$A120))</f>
        <v>2</v>
      </c>
      <c r="G120" s="4">
        <f>IF($A120=G$117,"",COUNTIF($D$4:$D$113,$A120&amp;" ضد "&amp;G$117)+COUNTIF($D$4:$D$113,G$117&amp;" ضد "&amp;$A120))</f>
        <v>2</v>
      </c>
      <c r="H120" s="4">
        <f>IF($A120=H$117,"",COUNTIF($D$4:$D$113,$A120&amp;" ضد "&amp;H$117)+COUNTIF($D$4:$D$113,H$117&amp;" ضد "&amp;$A120))</f>
        <v>2</v>
      </c>
      <c r="I120" s="4">
        <f>IF($A120=I$117,"",COUNTIF($D$4:$D$113,$A120&amp;" ضد "&amp;I$117)+COUNTIF($D$4:$D$113,I$117&amp;" ضد "&amp;$A120))</f>
        <v>2</v>
      </c>
      <c r="J120" s="4">
        <f>IF($A120=J$117,"",COUNTIF($D$4:$D$113,$A120&amp;" ضد "&amp;J$117)+COUNTIF($D$4:$D$113,J$117&amp;" ضد "&amp;$A120))</f>
        <v>2</v>
      </c>
      <c r="K120" s="4">
        <f>IF($A120=K$117,"",COUNTIF($D$4:$D$113,$A120&amp;" ضد "&amp;K$117)+COUNTIF($D$4:$D$113,K$117&amp;" ضد "&amp;$A120))</f>
        <v>2</v>
      </c>
      <c r="L120" s="4">
        <f>IF($A120=L$117,"",COUNTIF($D$4:$D$113,$A120&amp;" ضد "&amp;L$117)+COUNTIF($D$4:$D$113,L$117&amp;" ضد "&amp;$A120))</f>
        <v>2</v>
      </c>
    </row>
    <row r="121" spans="1:12" ht="14.5">
      <c r="A121" s="14">
        <v>4</v>
      </c>
      <c r="B121" s="4">
        <f>IF($A121=B$117,"",COUNTIF($D$4:$D$113,$A121&amp;" ضد "&amp;B$117)+COUNTIF($D$4:$D$113,B$117&amp;" ضد "&amp;$A121))</f>
        <v>2</v>
      </c>
      <c r="C121" s="4">
        <f>IF($A121=C$117,"",COUNTIF($D$4:$D$113,$A121&amp;" ضد "&amp;C$117)+COUNTIF($D$4:$D$113,C$117&amp;" ضد "&amp;$A121))</f>
        <v>2</v>
      </c>
      <c r="D121" s="4">
        <f>IF($A121=D$117,"",COUNTIF($D$4:$D$113,$A121&amp;" ضد "&amp;D$117)+COUNTIF($D$4:$D$113,D$117&amp;" ضد "&amp;$A121))</f>
        <v>2</v>
      </c>
      <c r="E121" s="4" t="str">
        <f>IF($A121=E$117,"",COUNTIF($D$4:$D$113,$A121&amp;" ضد "&amp;E$117)+COUNTIF($D$4:$D$113,E$117&amp;" ضد "&amp;$A121))</f>
        <v/>
      </c>
      <c r="F121" s="4">
        <f>IF($A121=F$117,"",COUNTIF($D$4:$D$113,$A121&amp;" ضد "&amp;F$117)+COUNTIF($D$4:$D$113,F$117&amp;" ضد "&amp;$A121))</f>
        <v>2</v>
      </c>
      <c r="G121" s="4">
        <f>IF($A121=G$117,"",COUNTIF($D$4:$D$113,$A121&amp;" ضد "&amp;G$117)+COUNTIF($D$4:$D$113,G$117&amp;" ضد "&amp;$A121))</f>
        <v>2</v>
      </c>
      <c r="H121" s="4">
        <f>IF($A121=H$117,"",COUNTIF($D$4:$D$113,$A121&amp;" ضد "&amp;H$117)+COUNTIF($D$4:$D$113,H$117&amp;" ضد "&amp;$A121))</f>
        <v>2</v>
      </c>
      <c r="I121" s="4">
        <f>IF($A121=I$117,"",COUNTIF($D$4:$D$113,$A121&amp;" ضد "&amp;I$117)+COUNTIF($D$4:$D$113,I$117&amp;" ضد "&amp;$A121))</f>
        <v>2</v>
      </c>
      <c r="J121" s="4">
        <f>IF($A121=J$117,"",COUNTIF($D$4:$D$113,$A121&amp;" ضد "&amp;J$117)+COUNTIF($D$4:$D$113,J$117&amp;" ضد "&amp;$A121))</f>
        <v>2</v>
      </c>
      <c r="K121" s="4">
        <f>IF($A121=K$117,"",COUNTIF($D$4:$D$113,$A121&amp;" ضد "&amp;K$117)+COUNTIF($D$4:$D$113,K$117&amp;" ضد "&amp;$A121))</f>
        <v>2</v>
      </c>
      <c r="L121" s="4">
        <f>IF($A121=L$117,"",COUNTIF($D$4:$D$113,$A121&amp;" ضد "&amp;L$117)+COUNTIF($D$4:$D$113,L$117&amp;" ضد "&amp;$A121))</f>
        <v>2</v>
      </c>
    </row>
    <row r="122" spans="1:12" ht="14.5">
      <c r="A122" s="14">
        <v>5</v>
      </c>
      <c r="B122" s="4">
        <f>IF($A122=B$117,"",COUNTIF($D$4:$D$113,$A122&amp;" ضد "&amp;B$117)+COUNTIF($D$4:$D$113,B$117&amp;" ضد "&amp;$A122))</f>
        <v>2</v>
      </c>
      <c r="C122" s="4">
        <f>IF($A122=C$117,"",COUNTIF($D$4:$D$113,$A122&amp;" ضد "&amp;C$117)+COUNTIF($D$4:$D$113,C$117&amp;" ضد "&amp;$A122))</f>
        <v>2</v>
      </c>
      <c r="D122" s="4">
        <f>IF($A122=D$117,"",COUNTIF($D$4:$D$113,$A122&amp;" ضد "&amp;D$117)+COUNTIF($D$4:$D$113,D$117&amp;" ضد "&amp;$A122))</f>
        <v>2</v>
      </c>
      <c r="E122" s="4">
        <f>IF($A122=E$117,"",COUNTIF($D$4:$D$113,$A122&amp;" ضد "&amp;E$117)+COUNTIF($D$4:$D$113,E$117&amp;" ضد "&amp;$A122))</f>
        <v>2</v>
      </c>
      <c r="F122" s="4" t="str">
        <f>IF($A122=F$117,"",COUNTIF($D$4:$D$113,$A122&amp;" ضد "&amp;F$117)+COUNTIF($D$4:$D$113,F$117&amp;" ضد "&amp;$A122))</f>
        <v/>
      </c>
      <c r="G122" s="4">
        <f>IF($A122=G$117,"",COUNTIF($D$4:$D$113,$A122&amp;" ضد "&amp;G$117)+COUNTIF($D$4:$D$113,G$117&amp;" ضد "&amp;$A122))</f>
        <v>2</v>
      </c>
      <c r="H122" s="4">
        <f>IF($A122=H$117,"",COUNTIF($D$4:$D$113,$A122&amp;" ضد "&amp;H$117)+COUNTIF($D$4:$D$113,H$117&amp;" ضد "&amp;$A122))</f>
        <v>2</v>
      </c>
      <c r="I122" s="4">
        <f>IF($A122=I$117,"",COUNTIF($D$4:$D$113,$A122&amp;" ضد "&amp;I$117)+COUNTIF($D$4:$D$113,I$117&amp;" ضد "&amp;$A122))</f>
        <v>2</v>
      </c>
      <c r="J122" s="4">
        <f>IF($A122=J$117,"",COUNTIF($D$4:$D$113,$A122&amp;" ضد "&amp;J$117)+COUNTIF($D$4:$D$113,J$117&amp;" ضد "&amp;$A122))</f>
        <v>2</v>
      </c>
      <c r="K122" s="4">
        <f>IF($A122=K$117,"",COUNTIF($D$4:$D$113,$A122&amp;" ضد "&amp;K$117)+COUNTIF($D$4:$D$113,K$117&amp;" ضد "&amp;$A122))</f>
        <v>2</v>
      </c>
      <c r="L122" s="4">
        <f>IF($A122=L$117,"",COUNTIF($D$4:$D$113,$A122&amp;" ضد "&amp;L$117)+COUNTIF($D$4:$D$113,L$117&amp;" ضد "&amp;$A122))</f>
        <v>2</v>
      </c>
    </row>
    <row r="123" spans="1:12" ht="14.5">
      <c r="A123" s="14">
        <v>6</v>
      </c>
      <c r="B123" s="4">
        <f>IF($A123=B$117,"",COUNTIF($D$4:$D$113,$A123&amp;" ضد "&amp;B$117)+COUNTIF($D$4:$D$113,B$117&amp;" ضد "&amp;$A123))</f>
        <v>2</v>
      </c>
      <c r="C123" s="4">
        <f>IF($A123=C$117,"",COUNTIF($D$4:$D$113,$A123&amp;" ضد "&amp;C$117)+COUNTIF($D$4:$D$113,C$117&amp;" ضد "&amp;$A123))</f>
        <v>2</v>
      </c>
      <c r="D123" s="4">
        <f>IF($A123=D$117,"",COUNTIF($D$4:$D$113,$A123&amp;" ضد "&amp;D$117)+COUNTIF($D$4:$D$113,D$117&amp;" ضد "&amp;$A123))</f>
        <v>2</v>
      </c>
      <c r="E123" s="4">
        <f>IF($A123=E$117,"",COUNTIF($D$4:$D$113,$A123&amp;" ضد "&amp;E$117)+COUNTIF($D$4:$D$113,E$117&amp;" ضد "&amp;$A123))</f>
        <v>2</v>
      </c>
      <c r="F123" s="4">
        <f>IF($A123=F$117,"",COUNTIF($D$4:$D$113,$A123&amp;" ضد "&amp;F$117)+COUNTIF($D$4:$D$113,F$117&amp;" ضد "&amp;$A123))</f>
        <v>2</v>
      </c>
      <c r="G123" s="4" t="str">
        <f>IF($A123=G$117,"",COUNTIF($D$4:$D$113,$A123&amp;" ضد "&amp;G$117)+COUNTIF($D$4:$D$113,G$117&amp;" ضد "&amp;$A123))</f>
        <v/>
      </c>
      <c r="H123" s="4">
        <f>IF($A123=H$117,"",COUNTIF($D$4:$D$113,$A123&amp;" ضد "&amp;H$117)+COUNTIF($D$4:$D$113,H$117&amp;" ضد "&amp;$A123))</f>
        <v>2</v>
      </c>
      <c r="I123" s="4">
        <f>IF($A123=I$117,"",COUNTIF($D$4:$D$113,$A123&amp;" ضد "&amp;I$117)+COUNTIF($D$4:$D$113,I$117&amp;" ضد "&amp;$A123))</f>
        <v>2</v>
      </c>
      <c r="J123" s="4">
        <f>IF($A123=J$117,"",COUNTIF($D$4:$D$113,$A123&amp;" ضد "&amp;J$117)+COUNTIF($D$4:$D$113,J$117&amp;" ضد "&amp;$A123))</f>
        <v>2</v>
      </c>
      <c r="K123" s="4">
        <f>IF($A123=K$117,"",COUNTIF($D$4:$D$113,$A123&amp;" ضد "&amp;K$117)+COUNTIF($D$4:$D$113,K$117&amp;" ضد "&amp;$A123))</f>
        <v>2</v>
      </c>
      <c r="L123" s="4">
        <f>IF($A123=L$117,"",COUNTIF($D$4:$D$113,$A123&amp;" ضد "&amp;L$117)+COUNTIF($D$4:$D$113,L$117&amp;" ضد "&amp;$A123))</f>
        <v>2</v>
      </c>
    </row>
    <row r="124" spans="1:12" ht="14.5">
      <c r="A124" s="14">
        <v>7</v>
      </c>
      <c r="B124" s="4">
        <f>IF($A124=B$117,"",COUNTIF($D$4:$D$113,$A124&amp;" ضد "&amp;B$117)+COUNTIF($D$4:$D$113,B$117&amp;" ضد "&amp;$A124))</f>
        <v>2</v>
      </c>
      <c r="C124" s="4">
        <f>IF($A124=C$117,"",COUNTIF($D$4:$D$113,$A124&amp;" ضد "&amp;C$117)+COUNTIF($D$4:$D$113,C$117&amp;" ضد "&amp;$A124))</f>
        <v>2</v>
      </c>
      <c r="D124" s="4">
        <f>IF($A124=D$117,"",COUNTIF($D$4:$D$113,$A124&amp;" ضد "&amp;D$117)+COUNTIF($D$4:$D$113,D$117&amp;" ضد "&amp;$A124))</f>
        <v>2</v>
      </c>
      <c r="E124" s="4">
        <f>IF($A124=E$117,"",COUNTIF($D$4:$D$113,$A124&amp;" ضد "&amp;E$117)+COUNTIF($D$4:$D$113,E$117&amp;" ضد "&amp;$A124))</f>
        <v>2</v>
      </c>
      <c r="F124" s="4">
        <f>IF($A124=F$117,"",COUNTIF($D$4:$D$113,$A124&amp;" ضد "&amp;F$117)+COUNTIF($D$4:$D$113,F$117&amp;" ضد "&amp;$A124))</f>
        <v>2</v>
      </c>
      <c r="G124" s="4">
        <f>IF($A124=G$117,"",COUNTIF($D$4:$D$113,$A124&amp;" ضد "&amp;G$117)+COUNTIF($D$4:$D$113,G$117&amp;" ضد "&amp;$A124))</f>
        <v>2</v>
      </c>
      <c r="H124" s="4" t="str">
        <f>IF($A124=H$117,"",COUNTIF($D$4:$D$113,$A124&amp;" ضد "&amp;H$117)+COUNTIF($D$4:$D$113,H$117&amp;" ضد "&amp;$A124))</f>
        <v/>
      </c>
      <c r="I124" s="4">
        <f>IF($A124=I$117,"",COUNTIF($D$4:$D$113,$A124&amp;" ضد "&amp;I$117)+COUNTIF($D$4:$D$113,I$117&amp;" ضد "&amp;$A124))</f>
        <v>2</v>
      </c>
      <c r="J124" s="4">
        <f>IF($A124=J$117,"",COUNTIF($D$4:$D$113,$A124&amp;" ضد "&amp;J$117)+COUNTIF($D$4:$D$113,J$117&amp;" ضد "&amp;$A124))</f>
        <v>2</v>
      </c>
      <c r="K124" s="4">
        <f>IF($A124=K$117,"",COUNTIF($D$4:$D$113,$A124&amp;" ضد "&amp;K$117)+COUNTIF($D$4:$D$113,K$117&amp;" ضد "&amp;$A124))</f>
        <v>2</v>
      </c>
      <c r="L124" s="4">
        <f>IF($A124=L$117,"",COUNTIF($D$4:$D$113,$A124&amp;" ضد "&amp;L$117)+COUNTIF($D$4:$D$113,L$117&amp;" ضد "&amp;$A124))</f>
        <v>2</v>
      </c>
    </row>
    <row r="125" spans="1:12" ht="14.5">
      <c r="A125" s="14">
        <v>8</v>
      </c>
      <c r="B125" s="4">
        <f>IF($A125=B$117,"",COUNTIF($D$4:$D$113,$A125&amp;" ضد "&amp;B$117)+COUNTIF($D$4:$D$113,B$117&amp;" ضد "&amp;$A125))</f>
        <v>2</v>
      </c>
      <c r="C125" s="4">
        <f>IF($A125=C$117,"",COUNTIF($D$4:$D$113,$A125&amp;" ضد "&amp;C$117)+COUNTIF($D$4:$D$113,C$117&amp;" ضد "&amp;$A125))</f>
        <v>2</v>
      </c>
      <c r="D125" s="4">
        <f>IF($A125=D$117,"",COUNTIF($D$4:$D$113,$A125&amp;" ضد "&amp;D$117)+COUNTIF($D$4:$D$113,D$117&amp;" ضد "&amp;$A125))</f>
        <v>2</v>
      </c>
      <c r="E125" s="4">
        <f>IF($A125=E$117,"",COUNTIF($D$4:$D$113,$A125&amp;" ضد "&amp;E$117)+COUNTIF($D$4:$D$113,E$117&amp;" ضد "&amp;$A125))</f>
        <v>2</v>
      </c>
      <c r="F125" s="4">
        <f>IF($A125=F$117,"",COUNTIF($D$4:$D$113,$A125&amp;" ضد "&amp;F$117)+COUNTIF($D$4:$D$113,F$117&amp;" ضد "&amp;$A125))</f>
        <v>2</v>
      </c>
      <c r="G125" s="4">
        <f>IF($A125=G$117,"",COUNTIF($D$4:$D$113,$A125&amp;" ضد "&amp;G$117)+COUNTIF($D$4:$D$113,G$117&amp;" ضد "&amp;$A125))</f>
        <v>2</v>
      </c>
      <c r="H125" s="4">
        <f>IF($A125=H$117,"",COUNTIF($D$4:$D$113,$A125&amp;" ضد "&amp;H$117)+COUNTIF($D$4:$D$113,H$117&amp;" ضد "&amp;$A125))</f>
        <v>2</v>
      </c>
      <c r="I125" s="4" t="str">
        <f>IF($A125=I$117,"",COUNTIF($D$4:$D$113,$A125&amp;" ضد "&amp;I$117)+COUNTIF($D$4:$D$113,I$117&amp;" ضد "&amp;$A125))</f>
        <v/>
      </c>
      <c r="J125" s="4">
        <f>IF($A125=J$117,"",COUNTIF($D$4:$D$113,$A125&amp;" ضد "&amp;J$117)+COUNTIF($D$4:$D$113,J$117&amp;" ضد "&amp;$A125))</f>
        <v>2</v>
      </c>
      <c r="K125" s="4">
        <f>IF($A125=K$117,"",COUNTIF($D$4:$D$113,$A125&amp;" ضد "&amp;K$117)+COUNTIF($D$4:$D$113,K$117&amp;" ضد "&amp;$A125))</f>
        <v>2</v>
      </c>
      <c r="L125" s="4">
        <f>IF($A125=L$117,"",COUNTIF($D$4:$D$113,$A125&amp;" ضد "&amp;L$117)+COUNTIF($D$4:$D$113,L$117&amp;" ضد "&amp;$A125))</f>
        <v>2</v>
      </c>
    </row>
    <row r="126" spans="1:12" ht="14.5">
      <c r="A126" s="14">
        <v>9</v>
      </c>
      <c r="B126" s="4">
        <f>IF($A126=B$117,"",COUNTIF($D$4:$D$113,$A126&amp;" ضد "&amp;B$117)+COUNTIF($D$4:$D$113,B$117&amp;" ضد "&amp;$A126))</f>
        <v>2</v>
      </c>
      <c r="C126" s="4">
        <f>IF($A126=C$117,"",COUNTIF($D$4:$D$113,$A126&amp;" ضد "&amp;C$117)+COUNTIF($D$4:$D$113,C$117&amp;" ضد "&amp;$A126))</f>
        <v>2</v>
      </c>
      <c r="D126" s="4">
        <f>IF($A126=D$117,"",COUNTIF($D$4:$D$113,$A126&amp;" ضد "&amp;D$117)+COUNTIF($D$4:$D$113,D$117&amp;" ضد "&amp;$A126))</f>
        <v>2</v>
      </c>
      <c r="E126" s="4">
        <f>IF($A126=E$117,"",COUNTIF($D$4:$D$113,$A126&amp;" ضد "&amp;E$117)+COUNTIF($D$4:$D$113,E$117&amp;" ضد "&amp;$A126))</f>
        <v>2</v>
      </c>
      <c r="F126" s="4">
        <f>IF($A126=F$117,"",COUNTIF($D$4:$D$113,$A126&amp;" ضد "&amp;F$117)+COUNTIF($D$4:$D$113,F$117&amp;" ضد "&amp;$A126))</f>
        <v>2</v>
      </c>
      <c r="G126" s="4">
        <f>IF($A126=G$117,"",COUNTIF($D$4:$D$113,$A126&amp;" ضد "&amp;G$117)+COUNTIF($D$4:$D$113,G$117&amp;" ضد "&amp;$A126))</f>
        <v>2</v>
      </c>
      <c r="H126" s="4">
        <f>IF($A126=H$117,"",COUNTIF($D$4:$D$113,$A126&amp;" ضد "&amp;H$117)+COUNTIF($D$4:$D$113,H$117&amp;" ضد "&amp;$A126))</f>
        <v>2</v>
      </c>
      <c r="I126" s="4">
        <f>IF($A126=I$117,"",COUNTIF($D$4:$D$113,$A126&amp;" ضد "&amp;I$117)+COUNTIF($D$4:$D$113,I$117&amp;" ضد "&amp;$A126))</f>
        <v>2</v>
      </c>
      <c r="J126" s="4" t="str">
        <f>IF($A126=J$117,"",COUNTIF($D$4:$D$113,$A126&amp;" ضد "&amp;J$117)+COUNTIF($D$4:$D$113,J$117&amp;" ضد "&amp;$A126))</f>
        <v/>
      </c>
      <c r="K126" s="4">
        <f>IF($A126=K$117,"",COUNTIF($D$4:$D$113,$A126&amp;" ضد "&amp;K$117)+COUNTIF($D$4:$D$113,K$117&amp;" ضد "&amp;$A126))</f>
        <v>2</v>
      </c>
      <c r="L126" s="4">
        <f>IF($A126=L$117,"",COUNTIF($D$4:$D$113,$A126&amp;" ضد "&amp;L$117)+COUNTIF($D$4:$D$113,L$117&amp;" ضد "&amp;$A126))</f>
        <v>2</v>
      </c>
    </row>
    <row r="127" spans="1:12" ht="14.5">
      <c r="A127" s="14">
        <v>10</v>
      </c>
      <c r="B127" s="4">
        <f>IF($A127=B$117,"",COUNTIF($D$4:$D$113,$A127&amp;" ضد "&amp;B$117)+COUNTIF($D$4:$D$113,B$117&amp;" ضد "&amp;$A127))</f>
        <v>2</v>
      </c>
      <c r="C127" s="4">
        <f>IF($A127=C$117,"",COUNTIF($D$4:$D$113,$A127&amp;" ضد "&amp;C$117)+COUNTIF($D$4:$D$113,C$117&amp;" ضد "&amp;$A127))</f>
        <v>2</v>
      </c>
      <c r="D127" s="4">
        <f>IF($A127=D$117,"",COUNTIF($D$4:$D$113,$A127&amp;" ضد "&amp;D$117)+COUNTIF($D$4:$D$113,D$117&amp;" ضد "&amp;$A127))</f>
        <v>2</v>
      </c>
      <c r="E127" s="4">
        <f>IF($A127=E$117,"",COUNTIF($D$4:$D$113,$A127&amp;" ضد "&amp;E$117)+COUNTIF($D$4:$D$113,E$117&amp;" ضد "&amp;$A127))</f>
        <v>2</v>
      </c>
      <c r="F127" s="4">
        <f>IF($A127=F$117,"",COUNTIF($D$4:$D$113,$A127&amp;" ضد "&amp;F$117)+COUNTIF($D$4:$D$113,F$117&amp;" ضد "&amp;$A127))</f>
        <v>2</v>
      </c>
      <c r="G127" s="4">
        <f>IF($A127=G$117,"",COUNTIF($D$4:$D$113,$A127&amp;" ضد "&amp;G$117)+COUNTIF($D$4:$D$113,G$117&amp;" ضد "&amp;$A127))</f>
        <v>2</v>
      </c>
      <c r="H127" s="4">
        <f>IF($A127=H$117,"",COUNTIF($D$4:$D$113,$A127&amp;" ضد "&amp;H$117)+COUNTIF($D$4:$D$113,H$117&amp;" ضد "&amp;$A127))</f>
        <v>2</v>
      </c>
      <c r="I127" s="4">
        <f>IF($A127=I$117,"",COUNTIF($D$4:$D$113,$A127&amp;" ضد "&amp;I$117)+COUNTIF($D$4:$D$113,I$117&amp;" ضد "&amp;$A127))</f>
        <v>2</v>
      </c>
      <c r="J127" s="4">
        <f>IF($A127=J$117,"",COUNTIF($D$4:$D$113,$A127&amp;" ضد "&amp;J$117)+COUNTIF($D$4:$D$113,J$117&amp;" ضد "&amp;$A127))</f>
        <v>2</v>
      </c>
      <c r="K127" s="4" t="str">
        <f>IF($A127=K$117,"",COUNTIF($D$4:$D$113,$A127&amp;" ضد "&amp;K$117)+COUNTIF($D$4:$D$113,K$117&amp;" ضد "&amp;$A127))</f>
        <v/>
      </c>
      <c r="L127" s="4">
        <f>IF($A127=L$117,"",COUNTIF($D$4:$D$113,$A127&amp;" ضد "&amp;L$117)+COUNTIF($D$4:$D$113,L$117&amp;" ضد "&amp;$A127))</f>
        <v>2</v>
      </c>
    </row>
    <row r="128" spans="1:12" ht="14.5">
      <c r="A128" s="14">
        <v>11</v>
      </c>
      <c r="B128" s="4">
        <f>IF($A128=B$117,"",COUNTIF($D$4:$D$113,$A128&amp;" ضد "&amp;B$117)+COUNTIF($D$4:$D$113,B$117&amp;" ضد "&amp;$A128))</f>
        <v>2</v>
      </c>
      <c r="C128" s="4">
        <f>IF($A128=C$117,"",COUNTIF($D$4:$D$113,$A128&amp;" ضد "&amp;C$117)+COUNTIF($D$4:$D$113,C$117&amp;" ضد "&amp;$A128))</f>
        <v>2</v>
      </c>
      <c r="D128" s="4">
        <f>IF($A128=D$117,"",COUNTIF($D$4:$D$113,$A128&amp;" ضد "&amp;D$117)+COUNTIF($D$4:$D$113,D$117&amp;" ضد "&amp;$A128))</f>
        <v>2</v>
      </c>
      <c r="E128" s="4">
        <f>IF($A128=E$117,"",COUNTIF($D$4:$D$113,$A128&amp;" ضد "&amp;E$117)+COUNTIF($D$4:$D$113,E$117&amp;" ضد "&amp;$A128))</f>
        <v>2</v>
      </c>
      <c r="F128" s="4">
        <f>IF($A128=F$117,"",COUNTIF($D$4:$D$113,$A128&amp;" ضد "&amp;F$117)+COUNTIF($D$4:$D$113,F$117&amp;" ضد "&amp;$A128))</f>
        <v>2</v>
      </c>
      <c r="G128" s="4">
        <f>IF($A128=G$117,"",COUNTIF($D$4:$D$113,$A128&amp;" ضد "&amp;G$117)+COUNTIF($D$4:$D$113,G$117&amp;" ضد "&amp;$A128))</f>
        <v>2</v>
      </c>
      <c r="H128" s="4">
        <f>IF($A128=H$117,"",COUNTIF($D$4:$D$113,$A128&amp;" ضد "&amp;H$117)+COUNTIF($D$4:$D$113,H$117&amp;" ضد "&amp;$A128))</f>
        <v>2</v>
      </c>
      <c r="I128" s="4">
        <f>IF($A128=I$117,"",COUNTIF($D$4:$D$113,$A128&amp;" ضد "&amp;I$117)+COUNTIF($D$4:$D$113,I$117&amp;" ضد "&amp;$A128))</f>
        <v>2</v>
      </c>
      <c r="J128" s="4">
        <f>IF($A128=J$117,"",COUNTIF($D$4:$D$113,$A128&amp;" ضد "&amp;J$117)+COUNTIF($D$4:$D$113,J$117&amp;" ضد "&amp;$A128))</f>
        <v>2</v>
      </c>
      <c r="K128" s="4">
        <f>IF($A128=K$117,"",COUNTIF($D$4:$D$113,$A128&amp;" ضد "&amp;K$117)+COUNTIF($D$4:$D$113,K$117&amp;" ضد "&amp;$A128))</f>
        <v>2</v>
      </c>
      <c r="L128" s="4" t="str">
        <f>IF($A128=L$117,"",COUNTIF($D$4:$D$113,$A128&amp;" ضد "&amp;L$117)+COUNTIF($D$4:$D$113,L$117&amp;" ضد "&amp;$A128))</f>
        <v/>
      </c>
    </row>
    <row r="129" spans="1:12" ht="14.5">
      <c r="A129" s="14" t="s">
        <v>1033</v>
      </c>
      <c r="B129" s="4" cm="1">
        <f t="array" ref="B129">MIN(IF(B118:L128&gt;0,B118:L128))</f>
        <v>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4.5">
      <c r="A130" s="14" t="s">
        <v>830</v>
      </c>
      <c r="B130" s="4">
        <f>MAX(B118:L128)</f>
        <v>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</row>
  </sheetData>
  <mergeCells count="2">
    <mergeCell ref="A1:D1"/>
    <mergeCell ref="A116:L1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9FF8-75D8-42D3-AB2E-5FE5EBB8D44C}">
  <dimension ref="A1:M153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984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34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23</v>
      </c>
      <c r="E5" s="2"/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50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35</v>
      </c>
      <c r="E7" s="2"/>
      <c r="F7" s="2"/>
    </row>
    <row r="8" spans="1:6" ht="14" customHeight="1">
      <c r="A8" s="8">
        <v>1</v>
      </c>
      <c r="B8" s="7" t="str">
        <f>المدخلات!$F$6</f>
        <v>6:40–7:50 م</v>
      </c>
      <c r="C8" s="7">
        <v>1</v>
      </c>
      <c r="D8" s="7" t="s">
        <v>62</v>
      </c>
      <c r="E8" s="2"/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55</v>
      </c>
      <c r="E9" s="2"/>
      <c r="F9" s="2"/>
    </row>
    <row r="10" spans="1:6" ht="14" customHeight="1">
      <c r="A10" s="8">
        <v>2</v>
      </c>
      <c r="B10" s="7" t="str">
        <f>المدخلات!$F$4</f>
        <v>4:00–5:10 م</v>
      </c>
      <c r="C10" s="7">
        <v>1</v>
      </c>
      <c r="D10" s="7" t="s">
        <v>64</v>
      </c>
      <c r="E10" s="2"/>
      <c r="F10" s="2"/>
    </row>
    <row r="11" spans="1:6" ht="14" customHeight="1">
      <c r="A11" s="8">
        <v>2</v>
      </c>
      <c r="B11" s="7" t="str">
        <f>المدخلات!$F$4</f>
        <v>4:00–5:10 م</v>
      </c>
      <c r="C11" s="7">
        <v>2</v>
      </c>
      <c r="D11" s="7" t="s">
        <v>1052</v>
      </c>
      <c r="E11" s="2"/>
      <c r="F11" s="2"/>
    </row>
    <row r="12" spans="1:6" ht="14" customHeight="1">
      <c r="A12" s="8">
        <v>2</v>
      </c>
      <c r="B12" s="7" t="str">
        <f>المدخلات!$F$5</f>
        <v>5:20–6:30 م</v>
      </c>
      <c r="C12" s="7">
        <v>1</v>
      </c>
      <c r="D12" s="7" t="s">
        <v>866</v>
      </c>
      <c r="E12" s="2"/>
      <c r="F12" s="2"/>
    </row>
    <row r="13" spans="1:6" ht="14" customHeight="1">
      <c r="A13" s="8">
        <v>2</v>
      </c>
      <c r="B13" s="7" t="str">
        <f>المدخلات!$F$5</f>
        <v>5:20–6:30 م</v>
      </c>
      <c r="C13" s="7">
        <v>2</v>
      </c>
      <c r="D13" s="7" t="s">
        <v>16</v>
      </c>
      <c r="E13" s="2"/>
      <c r="F13" s="2"/>
    </row>
    <row r="14" spans="1:6" ht="14" customHeight="1">
      <c r="A14" s="8">
        <v>2</v>
      </c>
      <c r="B14" s="7" t="str">
        <f>المدخلات!$F$6</f>
        <v>6:40–7:50 م</v>
      </c>
      <c r="C14" s="7">
        <v>1</v>
      </c>
      <c r="D14" s="7" t="s">
        <v>1048</v>
      </c>
      <c r="E14" s="2"/>
      <c r="F14" s="2"/>
    </row>
    <row r="15" spans="1:6" ht="14" customHeight="1">
      <c r="A15" s="8">
        <v>2</v>
      </c>
      <c r="B15" s="7" t="str">
        <f>المدخلات!$F$6</f>
        <v>6:40–7:50 م</v>
      </c>
      <c r="C15" s="7">
        <v>2</v>
      </c>
      <c r="D15" s="7" t="s">
        <v>1044</v>
      </c>
      <c r="E15" s="2"/>
      <c r="F15" s="2"/>
    </row>
    <row r="16" spans="1:6" ht="14" customHeight="1">
      <c r="A16" s="8">
        <v>3</v>
      </c>
      <c r="B16" s="7" t="str">
        <f>المدخلات!$F$4</f>
        <v>4:00–5:10 م</v>
      </c>
      <c r="C16" s="7">
        <v>1</v>
      </c>
      <c r="D16" s="7" t="s">
        <v>12</v>
      </c>
      <c r="E16" s="2"/>
      <c r="F16" s="2"/>
    </row>
    <row r="17" spans="1:6" ht="14" customHeight="1">
      <c r="A17" s="8">
        <v>3</v>
      </c>
      <c r="B17" s="7" t="str">
        <f>المدخلات!$F$4</f>
        <v>4:00–5:10 م</v>
      </c>
      <c r="C17" s="7">
        <v>2</v>
      </c>
      <c r="D17" s="7" t="s">
        <v>10</v>
      </c>
      <c r="E17" s="2"/>
      <c r="F17" s="2"/>
    </row>
    <row r="18" spans="1:6" ht="14" customHeight="1">
      <c r="A18" s="8">
        <v>3</v>
      </c>
      <c r="B18" s="7" t="str">
        <f>المدخلات!$F$5</f>
        <v>5:20–6:30 م</v>
      </c>
      <c r="C18" s="7">
        <v>1</v>
      </c>
      <c r="D18" s="7" t="s">
        <v>722</v>
      </c>
      <c r="E18" s="2"/>
      <c r="F18" s="2"/>
    </row>
    <row r="19" spans="1:6" ht="14" customHeight="1">
      <c r="A19" s="8">
        <v>3</v>
      </c>
      <c r="B19" s="7" t="str">
        <f>المدخلات!$F$5</f>
        <v>5:20–6:30 م</v>
      </c>
      <c r="C19" s="7">
        <v>2</v>
      </c>
      <c r="D19" s="7" t="s">
        <v>22</v>
      </c>
      <c r="E19" s="2"/>
      <c r="F19" s="2"/>
    </row>
    <row r="20" spans="1:6" ht="14" customHeight="1">
      <c r="A20" s="8">
        <v>3</v>
      </c>
      <c r="B20" s="7" t="str">
        <f>المدخلات!$F$6</f>
        <v>6:40–7:50 م</v>
      </c>
      <c r="C20" s="7">
        <v>1</v>
      </c>
      <c r="D20" s="7" t="s">
        <v>43</v>
      </c>
      <c r="E20" s="2"/>
      <c r="F20" s="2"/>
    </row>
    <row r="21" spans="1:6" ht="14" customHeight="1">
      <c r="A21" s="8">
        <v>3</v>
      </c>
      <c r="B21" s="7" t="str">
        <f>المدخلات!$F$6</f>
        <v>6:40–7:50 م</v>
      </c>
      <c r="C21" s="7">
        <v>2</v>
      </c>
      <c r="D21" s="7" t="s">
        <v>52</v>
      </c>
      <c r="E21" s="2"/>
      <c r="F21" s="2"/>
    </row>
    <row r="22" spans="1:6" ht="14" customHeight="1">
      <c r="A22" s="8">
        <v>4</v>
      </c>
      <c r="B22" s="7" t="str">
        <f>المدخلات!$F$4</f>
        <v>4:00–5:10 م</v>
      </c>
      <c r="C22" s="7">
        <v>1</v>
      </c>
      <c r="D22" s="7" t="s">
        <v>60</v>
      </c>
      <c r="E22" s="2"/>
      <c r="F22" s="2"/>
    </row>
    <row r="23" spans="1:6" ht="14" customHeight="1">
      <c r="A23" s="8">
        <v>4</v>
      </c>
      <c r="B23" s="7" t="str">
        <f>المدخلات!$F$4</f>
        <v>4:00–5:10 م</v>
      </c>
      <c r="C23" s="7">
        <v>2</v>
      </c>
      <c r="D23" s="7" t="s">
        <v>36</v>
      </c>
      <c r="E23" s="2"/>
      <c r="F23" s="2"/>
    </row>
    <row r="24" spans="1:6" ht="14" customHeight="1">
      <c r="A24" s="8">
        <v>4</v>
      </c>
      <c r="B24" s="7" t="str">
        <f>المدخلات!$F$5</f>
        <v>5:20–6:30 م</v>
      </c>
      <c r="C24" s="7">
        <v>1</v>
      </c>
      <c r="D24" s="7" t="s">
        <v>19</v>
      </c>
      <c r="E24" s="2"/>
      <c r="F24" s="2"/>
    </row>
    <row r="25" spans="1:6" ht="14" customHeight="1">
      <c r="A25" s="8">
        <v>4</v>
      </c>
      <c r="B25" s="7" t="str">
        <f>المدخلات!$F$5</f>
        <v>5:20–6:30 م</v>
      </c>
      <c r="C25" s="7">
        <v>2</v>
      </c>
      <c r="D25" s="7" t="s">
        <v>45</v>
      </c>
      <c r="E25" s="2"/>
      <c r="F25" s="2"/>
    </row>
    <row r="26" spans="1:6" ht="14" customHeight="1">
      <c r="A26" s="8">
        <v>4</v>
      </c>
      <c r="B26" s="7" t="str">
        <f>المدخلات!$F$6</f>
        <v>6:40–7:50 م</v>
      </c>
      <c r="C26" s="7">
        <v>1</v>
      </c>
      <c r="D26" s="7" t="s">
        <v>69</v>
      </c>
      <c r="E26" s="2"/>
      <c r="F26" s="2"/>
    </row>
    <row r="27" spans="1:6" ht="14" customHeight="1">
      <c r="A27" s="8">
        <v>4</v>
      </c>
      <c r="B27" s="7" t="str">
        <f>المدخلات!$F$6</f>
        <v>6:40–7:50 م</v>
      </c>
      <c r="C27" s="7">
        <v>2</v>
      </c>
      <c r="D27" s="7" t="s">
        <v>7</v>
      </c>
      <c r="E27" s="2"/>
      <c r="F27" s="2"/>
    </row>
    <row r="28" spans="1:6" ht="14" customHeight="1">
      <c r="A28" s="8">
        <v>5</v>
      </c>
      <c r="B28" s="7" t="str">
        <f>المدخلات!$F$4</f>
        <v>4:00–5:10 م</v>
      </c>
      <c r="C28" s="7">
        <v>1</v>
      </c>
      <c r="D28" s="7" t="s">
        <v>17</v>
      </c>
      <c r="E28" s="2"/>
      <c r="F28" s="2"/>
    </row>
    <row r="29" spans="1:6" ht="14" customHeight="1">
      <c r="A29" s="8">
        <v>5</v>
      </c>
      <c r="B29" s="7" t="str">
        <f>المدخلات!$F$4</f>
        <v>4:00–5:10 م</v>
      </c>
      <c r="C29" s="7">
        <v>2</v>
      </c>
      <c r="D29" s="7" t="s">
        <v>767</v>
      </c>
      <c r="E29" s="2"/>
      <c r="F29" s="2"/>
    </row>
    <row r="30" spans="1:6" ht="14" customHeight="1">
      <c r="A30" s="8">
        <v>5</v>
      </c>
      <c r="B30" s="7" t="str">
        <f>المدخلات!$F$5</f>
        <v>5:20–6:30 م</v>
      </c>
      <c r="C30" s="7">
        <v>1</v>
      </c>
      <c r="D30" s="7" t="s">
        <v>766</v>
      </c>
      <c r="E30" s="2"/>
      <c r="F30" s="2"/>
    </row>
    <row r="31" spans="1:6" ht="14" customHeight="1">
      <c r="A31" s="8">
        <v>5</v>
      </c>
      <c r="B31" s="7" t="str">
        <f>المدخلات!$F$5</f>
        <v>5:20–6:30 م</v>
      </c>
      <c r="C31" s="7">
        <v>2</v>
      </c>
      <c r="D31" s="7" t="s">
        <v>1049</v>
      </c>
      <c r="E31" s="2"/>
      <c r="F31" s="2"/>
    </row>
    <row r="32" spans="1:6" ht="14" customHeight="1">
      <c r="A32" s="8">
        <v>5</v>
      </c>
      <c r="B32" s="7" t="str">
        <f>المدخلات!$F$6</f>
        <v>6:40–7:50 م</v>
      </c>
      <c r="C32" s="7">
        <v>1</v>
      </c>
      <c r="D32" s="7" t="s">
        <v>42</v>
      </c>
      <c r="E32" s="2"/>
      <c r="F32" s="2"/>
    </row>
    <row r="33" spans="1:6" ht="14" customHeight="1">
      <c r="A33" s="8">
        <v>5</v>
      </c>
      <c r="B33" s="7" t="str">
        <f>المدخلات!$F$6</f>
        <v>6:40–7:50 م</v>
      </c>
      <c r="C33" s="7">
        <v>2</v>
      </c>
      <c r="D33" s="7" t="s">
        <v>765</v>
      </c>
      <c r="E33" s="2"/>
      <c r="F33" s="2"/>
    </row>
    <row r="34" spans="1:6" ht="14" customHeight="1">
      <c r="A34" s="8">
        <v>6</v>
      </c>
      <c r="B34" s="7" t="str">
        <f>المدخلات!$F$4</f>
        <v>4:00–5:10 م</v>
      </c>
      <c r="C34" s="7">
        <v>1</v>
      </c>
      <c r="D34" s="7" t="s">
        <v>48</v>
      </c>
      <c r="E34" s="2"/>
      <c r="F34" s="2"/>
    </row>
    <row r="35" spans="1:6" ht="14" customHeight="1">
      <c r="A35" s="8">
        <v>6</v>
      </c>
      <c r="B35" s="7" t="str">
        <f>المدخلات!$F$4</f>
        <v>4:00–5:10 م</v>
      </c>
      <c r="C35" s="7">
        <v>2</v>
      </c>
      <c r="D35" s="7" t="s">
        <v>28</v>
      </c>
      <c r="E35" s="2"/>
      <c r="F35" s="2"/>
    </row>
    <row r="36" spans="1:6" ht="14" customHeight="1">
      <c r="A36" s="8">
        <v>6</v>
      </c>
      <c r="B36" s="7" t="str">
        <f>المدخلات!$F$5</f>
        <v>5:20–6:30 م</v>
      </c>
      <c r="C36" s="7">
        <v>1</v>
      </c>
      <c r="D36" s="7" t="s">
        <v>792</v>
      </c>
      <c r="E36" s="2"/>
      <c r="F36" s="2"/>
    </row>
    <row r="37" spans="1:6" ht="14" customHeight="1">
      <c r="A37" s="8">
        <v>6</v>
      </c>
      <c r="B37" s="7" t="str">
        <f>المدخلات!$F$5</f>
        <v>5:20–6:30 م</v>
      </c>
      <c r="C37" s="7">
        <v>2</v>
      </c>
      <c r="D37" s="7" t="s">
        <v>25</v>
      </c>
      <c r="E37" s="2"/>
      <c r="F37" s="2"/>
    </row>
    <row r="38" spans="1:6" ht="14" customHeight="1">
      <c r="A38" s="8">
        <v>6</v>
      </c>
      <c r="B38" s="7" t="str">
        <f>المدخلات!$F$6</f>
        <v>6:40–7:50 م</v>
      </c>
      <c r="C38" s="7">
        <v>1</v>
      </c>
      <c r="D38" s="7" t="s">
        <v>791</v>
      </c>
      <c r="E38" s="2"/>
      <c r="F38" s="2"/>
    </row>
    <row r="39" spans="1:6" ht="14" customHeight="1">
      <c r="A39" s="8">
        <v>6</v>
      </c>
      <c r="B39" s="7" t="str">
        <f>المدخلات!$F$6</f>
        <v>6:40–7:50 م</v>
      </c>
      <c r="C39" s="7">
        <v>2</v>
      </c>
      <c r="D39" s="7" t="s">
        <v>38</v>
      </c>
      <c r="E39" s="2"/>
      <c r="F39" s="2"/>
    </row>
    <row r="40" spans="1:6" ht="14" customHeight="1">
      <c r="A40" s="8">
        <v>7</v>
      </c>
      <c r="B40" s="7" t="str">
        <f>المدخلات!$F$4</f>
        <v>4:00–5:10 م</v>
      </c>
      <c r="C40" s="7">
        <v>1</v>
      </c>
      <c r="D40" s="7" t="s">
        <v>72</v>
      </c>
      <c r="E40" s="2"/>
      <c r="F40" s="2"/>
    </row>
    <row r="41" spans="1:6" ht="14" customHeight="1">
      <c r="A41" s="8">
        <v>7</v>
      </c>
      <c r="B41" s="7" t="str">
        <f>المدخلات!$F$4</f>
        <v>4:00–5:10 م</v>
      </c>
      <c r="C41" s="7">
        <v>2</v>
      </c>
      <c r="D41" s="7" t="s">
        <v>805</v>
      </c>
      <c r="E41" s="2"/>
      <c r="F41" s="2"/>
    </row>
    <row r="42" spans="1:6" ht="14" customHeight="1">
      <c r="A42" s="8">
        <v>7</v>
      </c>
      <c r="B42" s="7" t="str">
        <f>المدخلات!$F$5</f>
        <v>5:20–6:30 م</v>
      </c>
      <c r="C42" s="7">
        <v>1</v>
      </c>
      <c r="D42" s="7" t="s">
        <v>804</v>
      </c>
      <c r="E42" s="2"/>
      <c r="F42" s="2"/>
    </row>
    <row r="43" spans="1:6" ht="14" customHeight="1">
      <c r="A43" s="8">
        <v>7</v>
      </c>
      <c r="B43" s="7" t="str">
        <f>المدخلات!$F$5</f>
        <v>5:20–6:30 م</v>
      </c>
      <c r="C43" s="7">
        <v>2</v>
      </c>
      <c r="D43" s="7" t="s">
        <v>24</v>
      </c>
      <c r="E43" s="2"/>
      <c r="F43" s="2"/>
    </row>
    <row r="44" spans="1:6" ht="14" customHeight="1">
      <c r="A44" s="8">
        <v>7</v>
      </c>
      <c r="B44" s="7" t="str">
        <f>المدخلات!$F$6</f>
        <v>6:40–7:50 م</v>
      </c>
      <c r="C44" s="7">
        <v>1</v>
      </c>
      <c r="D44" s="7" t="s">
        <v>32</v>
      </c>
      <c r="E44" s="2"/>
      <c r="F44" s="2"/>
    </row>
    <row r="45" spans="1:6" ht="14" customHeight="1">
      <c r="A45" s="8">
        <v>7</v>
      </c>
      <c r="B45" s="7" t="str">
        <f>المدخلات!$F$6</f>
        <v>6:40–7:50 م</v>
      </c>
      <c r="C45" s="7">
        <v>2</v>
      </c>
      <c r="D45" s="7" t="s">
        <v>1039</v>
      </c>
      <c r="E45" s="2"/>
      <c r="F45" s="2"/>
    </row>
    <row r="46" spans="1:6" ht="14" customHeight="1">
      <c r="A46" s="8">
        <v>8</v>
      </c>
      <c r="B46" s="7" t="str">
        <f>المدخلات!$F$4</f>
        <v>4:00–5:10 م</v>
      </c>
      <c r="C46" s="7">
        <v>1</v>
      </c>
      <c r="D46" s="7" t="s">
        <v>20</v>
      </c>
      <c r="E46" s="2"/>
      <c r="F46" s="2"/>
    </row>
    <row r="47" spans="1:6" ht="14" customHeight="1">
      <c r="A47" s="8">
        <v>8</v>
      </c>
      <c r="B47" s="7" t="str">
        <f>المدخلات!$F$4</f>
        <v>4:00–5:10 م</v>
      </c>
      <c r="C47" s="7">
        <v>2</v>
      </c>
      <c r="D47" s="7" t="s">
        <v>67</v>
      </c>
      <c r="E47" s="2"/>
      <c r="F47" s="2"/>
    </row>
    <row r="48" spans="1:6" ht="14" customHeight="1">
      <c r="A48" s="8">
        <v>8</v>
      </c>
      <c r="B48" s="7" t="str">
        <f>المدخلات!$F$5</f>
        <v>5:20–6:30 م</v>
      </c>
      <c r="C48" s="7">
        <v>1</v>
      </c>
      <c r="D48" s="7" t="s">
        <v>9</v>
      </c>
      <c r="E48" s="2"/>
      <c r="F48" s="2"/>
    </row>
    <row r="49" spans="1:6" ht="14" customHeight="1">
      <c r="A49" s="8">
        <v>8</v>
      </c>
      <c r="B49" s="7" t="str">
        <f>المدخلات!$F$5</f>
        <v>5:20–6:30 م</v>
      </c>
      <c r="C49" s="7">
        <v>2</v>
      </c>
      <c r="D49" s="7" t="s">
        <v>56</v>
      </c>
      <c r="E49" s="2"/>
      <c r="F49" s="2"/>
    </row>
    <row r="50" spans="1:6" ht="14" customHeight="1">
      <c r="A50" s="8">
        <v>8</v>
      </c>
      <c r="B50" s="7" t="str">
        <f>المدخلات!$F$6</f>
        <v>6:40–7:50 م</v>
      </c>
      <c r="C50" s="7">
        <v>1</v>
      </c>
      <c r="D50" s="7" t="s">
        <v>27</v>
      </c>
      <c r="E50" s="2"/>
      <c r="F50" s="2"/>
    </row>
    <row r="51" spans="1:6" ht="14" customHeight="1">
      <c r="A51" s="8">
        <v>8</v>
      </c>
      <c r="B51" s="7" t="str">
        <f>المدخلات!$F$6</f>
        <v>6:40–7:50 م</v>
      </c>
      <c r="C51" s="7">
        <v>2</v>
      </c>
      <c r="D51" s="7" t="s">
        <v>623</v>
      </c>
      <c r="E51" s="2"/>
      <c r="F51" s="2"/>
    </row>
    <row r="52" spans="1:6" ht="14" customHeight="1">
      <c r="A52" s="8">
        <v>9</v>
      </c>
      <c r="B52" s="7" t="str">
        <f>المدخلات!$F$4</f>
        <v>4:00–5:10 م</v>
      </c>
      <c r="C52" s="7">
        <v>1</v>
      </c>
      <c r="D52" s="7" t="s">
        <v>53</v>
      </c>
      <c r="E52" s="2"/>
      <c r="F52" s="2"/>
    </row>
    <row r="53" spans="1:6" ht="14" customHeight="1">
      <c r="A53" s="8">
        <v>9</v>
      </c>
      <c r="B53" s="7" t="str">
        <f>المدخلات!$F$4</f>
        <v>4:00–5:10 م</v>
      </c>
      <c r="C53" s="7">
        <v>2</v>
      </c>
      <c r="D53" s="7" t="s">
        <v>13</v>
      </c>
      <c r="E53" s="2"/>
      <c r="F53" s="2"/>
    </row>
    <row r="54" spans="1:6" ht="14" customHeight="1">
      <c r="A54" s="8">
        <v>9</v>
      </c>
      <c r="B54" s="7" t="str">
        <f>المدخلات!$F$5</f>
        <v>5:20–6:30 م</v>
      </c>
      <c r="C54" s="7">
        <v>1</v>
      </c>
      <c r="D54" s="7" t="s">
        <v>21</v>
      </c>
      <c r="E54" s="2"/>
      <c r="F54" s="2"/>
    </row>
    <row r="55" spans="1:6" ht="14" customHeight="1">
      <c r="A55" s="8">
        <v>9</v>
      </c>
      <c r="B55" s="7" t="str">
        <f>المدخلات!$F$5</f>
        <v>5:20–6:30 م</v>
      </c>
      <c r="C55" s="7">
        <v>2</v>
      </c>
      <c r="D55" s="7" t="s">
        <v>63</v>
      </c>
      <c r="E55" s="2"/>
      <c r="F55" s="2"/>
    </row>
    <row r="56" spans="1:6" ht="14" customHeight="1">
      <c r="A56" s="8">
        <v>9</v>
      </c>
      <c r="B56" s="7" t="str">
        <f>المدخلات!$F$6</f>
        <v>6:40–7:50 م</v>
      </c>
      <c r="C56" s="7">
        <v>1</v>
      </c>
      <c r="D56" s="7" t="s">
        <v>18</v>
      </c>
      <c r="E56" s="2"/>
      <c r="F56" s="2"/>
    </row>
    <row r="57" spans="1:6" ht="14" customHeight="1">
      <c r="A57" s="8">
        <v>9</v>
      </c>
      <c r="B57" s="7" t="str">
        <f>المدخلات!$F$6</f>
        <v>6:40–7:50 م</v>
      </c>
      <c r="C57" s="7">
        <v>2</v>
      </c>
      <c r="D57" s="7" t="s">
        <v>46</v>
      </c>
      <c r="E57" s="2"/>
      <c r="F57" s="2"/>
    </row>
    <row r="58" spans="1:6" ht="14" customHeight="1">
      <c r="A58" s="8">
        <v>10</v>
      </c>
      <c r="B58" s="7" t="str">
        <f>المدخلات!$F$4</f>
        <v>4:00–5:10 م</v>
      </c>
      <c r="C58" s="7">
        <v>1</v>
      </c>
      <c r="D58" s="7" t="s">
        <v>49</v>
      </c>
      <c r="E58" s="2"/>
      <c r="F58" s="2"/>
    </row>
    <row r="59" spans="1:6" ht="14" customHeight="1">
      <c r="A59" s="8">
        <v>10</v>
      </c>
      <c r="B59" s="7" t="str">
        <f>المدخلات!$F$4</f>
        <v>4:00–5:10 م</v>
      </c>
      <c r="C59" s="7">
        <v>2</v>
      </c>
      <c r="D59" s="7" t="s">
        <v>1040</v>
      </c>
      <c r="E59" s="2"/>
      <c r="F59" s="2"/>
    </row>
    <row r="60" spans="1:6" ht="14" customHeight="1">
      <c r="A60" s="8">
        <v>10</v>
      </c>
      <c r="B60" s="7" t="str">
        <f>المدخلات!$F$5</f>
        <v>5:20–6:30 م</v>
      </c>
      <c r="C60" s="7">
        <v>1</v>
      </c>
      <c r="D60" s="7" t="s">
        <v>41</v>
      </c>
      <c r="E60" s="2"/>
      <c r="F60" s="2"/>
    </row>
    <row r="61" spans="1:6" ht="14" customHeight="1">
      <c r="A61" s="8">
        <v>10</v>
      </c>
      <c r="B61" s="7" t="str">
        <f>المدخلات!$F$5</f>
        <v>5:20–6:30 م</v>
      </c>
      <c r="C61" s="7">
        <v>2</v>
      </c>
      <c r="D61" s="7" t="s">
        <v>14</v>
      </c>
      <c r="E61" s="2"/>
      <c r="F61" s="2"/>
    </row>
    <row r="62" spans="1:6" ht="14" customHeight="1">
      <c r="A62" s="8">
        <v>10</v>
      </c>
      <c r="B62" s="7" t="str">
        <f>المدخلات!$F$6</f>
        <v>6:40–7:50 م</v>
      </c>
      <c r="C62" s="7">
        <v>1</v>
      </c>
      <c r="D62" s="7" t="s">
        <v>1062</v>
      </c>
      <c r="E62" s="2"/>
      <c r="F62" s="2"/>
    </row>
    <row r="63" spans="1:6" ht="14" customHeight="1">
      <c r="A63" s="8">
        <v>10</v>
      </c>
      <c r="B63" s="7" t="str">
        <f>المدخلات!$F$6</f>
        <v>6:40–7:50 م</v>
      </c>
      <c r="C63" s="7">
        <v>2</v>
      </c>
      <c r="D63" s="7" t="s">
        <v>57</v>
      </c>
      <c r="E63" s="2"/>
      <c r="F63" s="2"/>
    </row>
    <row r="64" spans="1:6" ht="14" customHeight="1">
      <c r="A64" s="8">
        <v>11</v>
      </c>
      <c r="B64" s="7" t="str">
        <f>المدخلات!$F$4</f>
        <v>4:00–5:10 م</v>
      </c>
      <c r="C64" s="7">
        <v>1</v>
      </c>
      <c r="D64" s="7" t="s">
        <v>11</v>
      </c>
      <c r="E64" s="2"/>
      <c r="F64" s="2"/>
    </row>
    <row r="65" spans="1:6" ht="14" customHeight="1">
      <c r="A65" s="8">
        <v>11</v>
      </c>
      <c r="B65" s="7" t="str">
        <f>المدخلات!$F$4</f>
        <v>4:00–5:10 م</v>
      </c>
      <c r="C65" s="7">
        <v>2</v>
      </c>
      <c r="D65" s="7" t="s">
        <v>1056</v>
      </c>
      <c r="E65" s="2"/>
      <c r="F65" s="2"/>
    </row>
    <row r="66" spans="1:6" ht="14" customHeight="1">
      <c r="A66" s="8">
        <v>11</v>
      </c>
      <c r="B66" s="7" t="str">
        <f>المدخلات!$F$5</f>
        <v>5:20–6:30 م</v>
      </c>
      <c r="C66" s="7">
        <v>1</v>
      </c>
      <c r="D66" s="7" t="s">
        <v>37</v>
      </c>
      <c r="E66" s="2"/>
      <c r="F66" s="2"/>
    </row>
    <row r="67" spans="1:6" ht="14" customHeight="1">
      <c r="A67" s="8">
        <v>11</v>
      </c>
      <c r="B67" s="7" t="str">
        <f>المدخلات!$F$5</f>
        <v>5:20–6:30 م</v>
      </c>
      <c r="C67" s="7">
        <v>2</v>
      </c>
      <c r="D67" s="7" t="s">
        <v>47</v>
      </c>
      <c r="E67" s="2"/>
      <c r="F67" s="2"/>
    </row>
    <row r="68" spans="1:6" ht="14" customHeight="1">
      <c r="A68" s="8">
        <v>11</v>
      </c>
      <c r="B68" s="7" t="str">
        <f>المدخلات!$F$6</f>
        <v>6:40–7:50 م</v>
      </c>
      <c r="C68" s="7">
        <v>1</v>
      </c>
      <c r="D68" s="7" t="s">
        <v>30</v>
      </c>
      <c r="E68" s="2"/>
      <c r="F68" s="2"/>
    </row>
    <row r="69" spans="1:6" ht="14" customHeight="1">
      <c r="A69" s="8">
        <v>11</v>
      </c>
      <c r="B69" s="7" t="str">
        <f>المدخلات!$F$6</f>
        <v>6:40–7:50 م</v>
      </c>
      <c r="C69" s="7">
        <v>2</v>
      </c>
      <c r="D69" s="7" t="s">
        <v>1063</v>
      </c>
      <c r="E69" s="2"/>
      <c r="F69" s="2"/>
    </row>
    <row r="70" spans="1:6" ht="14" customHeight="1">
      <c r="A70" s="8">
        <v>12</v>
      </c>
      <c r="B70" s="7" t="str">
        <f>المدخلات!$F$4</f>
        <v>4:00–5:10 م</v>
      </c>
      <c r="C70" s="7">
        <v>1</v>
      </c>
      <c r="D70" s="7" t="s">
        <v>23</v>
      </c>
      <c r="E70" s="2"/>
      <c r="F70" s="2"/>
    </row>
    <row r="71" spans="1:6" ht="14" customHeight="1">
      <c r="A71" s="8">
        <v>12</v>
      </c>
      <c r="B71" s="7" t="str">
        <f>المدخلات!$F$4</f>
        <v>4:00–5:10 م</v>
      </c>
      <c r="C71" s="7">
        <v>2</v>
      </c>
      <c r="D71" s="7" t="s">
        <v>34</v>
      </c>
      <c r="E71" s="2"/>
      <c r="F71" s="2"/>
    </row>
    <row r="72" spans="1:6" ht="14" customHeight="1">
      <c r="A72" s="8">
        <v>12</v>
      </c>
      <c r="B72" s="7" t="str">
        <f>المدخلات!$F$5</f>
        <v>5:20–6:30 م</v>
      </c>
      <c r="C72" s="7">
        <v>1</v>
      </c>
      <c r="D72" s="7" t="s">
        <v>865</v>
      </c>
      <c r="E72" s="2"/>
      <c r="F72" s="2"/>
    </row>
    <row r="73" spans="1:6" ht="14" customHeight="1">
      <c r="A73" s="8">
        <v>12</v>
      </c>
      <c r="B73" s="7" t="str">
        <f>المدخلات!$F$5</f>
        <v>5:20–6:30 م</v>
      </c>
      <c r="C73" s="7">
        <v>2</v>
      </c>
      <c r="D73" s="7" t="s">
        <v>1064</v>
      </c>
      <c r="E73" s="2"/>
      <c r="F73" s="2"/>
    </row>
    <row r="74" spans="1:6" ht="14" customHeight="1">
      <c r="A74" s="8">
        <v>12</v>
      </c>
      <c r="B74" s="7" t="str">
        <f>المدخلات!$F$6</f>
        <v>6:40–7:50 م</v>
      </c>
      <c r="C74" s="7">
        <v>1</v>
      </c>
      <c r="D74" s="7" t="s">
        <v>1060</v>
      </c>
      <c r="E74" s="2"/>
      <c r="F74" s="2"/>
    </row>
    <row r="75" spans="1:6" ht="14" customHeight="1">
      <c r="A75" s="8">
        <v>12</v>
      </c>
      <c r="B75" s="7" t="str">
        <f>المدخلات!$F$6</f>
        <v>6:40–7:50 م</v>
      </c>
      <c r="C75" s="7">
        <v>2</v>
      </c>
      <c r="D75" s="7" t="s">
        <v>35</v>
      </c>
      <c r="E75" s="2"/>
      <c r="F75" s="2"/>
    </row>
    <row r="76" spans="1:6" ht="14" customHeight="1">
      <c r="A76" s="8">
        <v>13</v>
      </c>
      <c r="B76" s="7" t="str">
        <f>المدخلات!$F$4</f>
        <v>4:00–5:10 م</v>
      </c>
      <c r="C76" s="7">
        <v>1</v>
      </c>
      <c r="D76" s="7" t="s">
        <v>1052</v>
      </c>
      <c r="E76" s="2"/>
      <c r="F76" s="2"/>
    </row>
    <row r="77" spans="1:6" ht="14" customHeight="1">
      <c r="A77" s="8">
        <v>13</v>
      </c>
      <c r="B77" s="7" t="str">
        <f>المدخلات!$F$4</f>
        <v>4:00–5:10 م</v>
      </c>
      <c r="C77" s="7">
        <v>2</v>
      </c>
      <c r="D77" s="7" t="s">
        <v>33</v>
      </c>
      <c r="E77" s="2"/>
      <c r="F77" s="2"/>
    </row>
    <row r="78" spans="1:6" ht="14" customHeight="1">
      <c r="A78" s="8">
        <v>13</v>
      </c>
      <c r="B78" s="7" t="str">
        <f>المدخلات!$F$5</f>
        <v>5:20–6:30 م</v>
      </c>
      <c r="C78" s="7">
        <v>1</v>
      </c>
      <c r="D78" s="7" t="s">
        <v>866</v>
      </c>
      <c r="E78" s="2"/>
      <c r="F78" s="2"/>
    </row>
    <row r="79" spans="1:6" ht="14" customHeight="1">
      <c r="A79" s="8">
        <v>13</v>
      </c>
      <c r="B79" s="7" t="str">
        <f>المدخلات!$F$5</f>
        <v>5:20–6:30 م</v>
      </c>
      <c r="C79" s="7">
        <v>2</v>
      </c>
      <c r="D79" s="7" t="s">
        <v>26</v>
      </c>
      <c r="E79" s="2"/>
      <c r="F79" s="2"/>
    </row>
    <row r="80" spans="1:6" ht="14" customHeight="1">
      <c r="A80" s="8">
        <v>13</v>
      </c>
      <c r="B80" s="7" t="str">
        <f>المدخلات!$F$6</f>
        <v>6:40–7:50 م</v>
      </c>
      <c r="C80" s="7">
        <v>1</v>
      </c>
      <c r="D80" s="7" t="s">
        <v>64</v>
      </c>
      <c r="E80" s="2"/>
      <c r="F80" s="2"/>
    </row>
    <row r="81" spans="1:6" ht="14" customHeight="1">
      <c r="A81" s="8">
        <v>13</v>
      </c>
      <c r="B81" s="7" t="str">
        <f>المدخلات!$F$6</f>
        <v>6:40–7:50 م</v>
      </c>
      <c r="C81" s="7">
        <v>2</v>
      </c>
      <c r="D81" s="7" t="s">
        <v>16</v>
      </c>
      <c r="E81" s="2"/>
      <c r="F81" s="2"/>
    </row>
    <row r="82" spans="1:6" ht="14" customHeight="1">
      <c r="A82" s="8">
        <v>14</v>
      </c>
      <c r="B82" s="7" t="str">
        <f>المدخلات!$F$4</f>
        <v>4:00–5:10 م</v>
      </c>
      <c r="C82" s="7">
        <v>1</v>
      </c>
      <c r="D82" s="7" t="s">
        <v>1054</v>
      </c>
      <c r="E82" s="2"/>
      <c r="F82" s="2"/>
    </row>
    <row r="83" spans="1:6" ht="14" customHeight="1">
      <c r="A83" s="8">
        <v>14</v>
      </c>
      <c r="B83" s="7" t="str">
        <f>المدخلات!$F$4</f>
        <v>4:00–5:10 م</v>
      </c>
      <c r="C83" s="7">
        <v>2</v>
      </c>
      <c r="D83" s="7" t="s">
        <v>68</v>
      </c>
      <c r="E83" s="2"/>
      <c r="F83" s="2"/>
    </row>
    <row r="84" spans="1:6" ht="14" customHeight="1">
      <c r="A84" s="8">
        <v>14</v>
      </c>
      <c r="B84" s="7" t="str">
        <f>المدخلات!$F$5</f>
        <v>5:20–6:30 م</v>
      </c>
      <c r="C84" s="7">
        <v>1</v>
      </c>
      <c r="D84" s="7" t="s">
        <v>52</v>
      </c>
      <c r="E84" s="2"/>
      <c r="F84" s="2"/>
    </row>
    <row r="85" spans="1:6" ht="14" customHeight="1">
      <c r="A85" s="8">
        <v>14</v>
      </c>
      <c r="B85" s="7" t="str">
        <f>المدخلات!$F$5</f>
        <v>5:20–6:30 م</v>
      </c>
      <c r="C85" s="7">
        <v>2</v>
      </c>
      <c r="D85" s="7" t="s">
        <v>12</v>
      </c>
      <c r="E85" s="2"/>
      <c r="F85" s="2"/>
    </row>
    <row r="86" spans="1:6" ht="14" customHeight="1">
      <c r="A86" s="8">
        <v>14</v>
      </c>
      <c r="B86" s="7" t="str">
        <f>المدخلات!$F$6</f>
        <v>6:40–7:50 م</v>
      </c>
      <c r="C86" s="7">
        <v>1</v>
      </c>
      <c r="D86" s="7" t="s">
        <v>22</v>
      </c>
      <c r="E86" s="2"/>
      <c r="F86" s="2"/>
    </row>
    <row r="87" spans="1:6" ht="14" customHeight="1">
      <c r="A87" s="8">
        <v>14</v>
      </c>
      <c r="B87" s="7" t="str">
        <f>المدخلات!$F$6</f>
        <v>6:40–7:50 م</v>
      </c>
      <c r="C87" s="7">
        <v>2</v>
      </c>
      <c r="D87" s="7" t="s">
        <v>10</v>
      </c>
      <c r="E87" s="2"/>
      <c r="F87" s="2"/>
    </row>
    <row r="88" spans="1:6" ht="14" customHeight="1">
      <c r="A88" s="8">
        <v>15</v>
      </c>
      <c r="B88" s="7" t="str">
        <f>المدخلات!$F$4</f>
        <v>4:00–5:10 م</v>
      </c>
      <c r="C88" s="7">
        <v>1</v>
      </c>
      <c r="D88" s="7" t="s">
        <v>60</v>
      </c>
      <c r="E88" s="2"/>
      <c r="F88" s="2"/>
    </row>
    <row r="89" spans="1:6" ht="14" customHeight="1">
      <c r="A89" s="8">
        <v>15</v>
      </c>
      <c r="B89" s="7" t="str">
        <f>المدخلات!$F$4</f>
        <v>4:00–5:10 م</v>
      </c>
      <c r="C89" s="7">
        <v>2</v>
      </c>
      <c r="D89" s="7" t="s">
        <v>19</v>
      </c>
      <c r="E89" s="2"/>
      <c r="F89" s="2"/>
    </row>
    <row r="90" spans="1:6" ht="14" customHeight="1">
      <c r="A90" s="8">
        <v>15</v>
      </c>
      <c r="B90" s="7" t="str">
        <f>المدخلات!$F$5</f>
        <v>5:20–6:30 م</v>
      </c>
      <c r="C90" s="7">
        <v>1</v>
      </c>
      <c r="D90" s="7" t="s">
        <v>7</v>
      </c>
      <c r="E90" s="2"/>
      <c r="F90" s="2"/>
    </row>
    <row r="91" spans="1:6" ht="14" customHeight="1">
      <c r="A91" s="8">
        <v>15</v>
      </c>
      <c r="B91" s="7" t="str">
        <f>المدخلات!$F$5</f>
        <v>5:20–6:30 م</v>
      </c>
      <c r="C91" s="7">
        <v>2</v>
      </c>
      <c r="D91" s="7" t="s">
        <v>742</v>
      </c>
      <c r="E91" s="2"/>
      <c r="F91" s="2"/>
    </row>
    <row r="92" spans="1:6" ht="14" customHeight="1">
      <c r="A92" s="8">
        <v>15</v>
      </c>
      <c r="B92" s="7" t="str">
        <f>المدخلات!$F$6</f>
        <v>6:40–7:50 م</v>
      </c>
      <c r="C92" s="7">
        <v>1</v>
      </c>
      <c r="D92" s="7" t="s">
        <v>45</v>
      </c>
      <c r="E92" s="2"/>
      <c r="F92" s="2"/>
    </row>
    <row r="93" spans="1:6" ht="14" customHeight="1">
      <c r="A93" s="8">
        <v>15</v>
      </c>
      <c r="B93" s="7" t="str">
        <f>المدخلات!$F$6</f>
        <v>6:40–7:50 م</v>
      </c>
      <c r="C93" s="7">
        <v>2</v>
      </c>
      <c r="D93" s="7" t="s">
        <v>36</v>
      </c>
      <c r="E93" s="2"/>
      <c r="F93" s="2"/>
    </row>
    <row r="94" spans="1:6" ht="14" customHeight="1">
      <c r="A94" s="8">
        <v>16</v>
      </c>
      <c r="B94" s="7" t="str">
        <f>المدخلات!$F$4</f>
        <v>4:00–5:10 م</v>
      </c>
      <c r="C94" s="7">
        <v>1</v>
      </c>
      <c r="D94" s="7" t="s">
        <v>51</v>
      </c>
      <c r="E94" s="2"/>
      <c r="F94" s="2"/>
    </row>
    <row r="95" spans="1:6" ht="14" customHeight="1">
      <c r="A95" s="8">
        <v>16</v>
      </c>
      <c r="B95" s="7" t="str">
        <f>المدخلات!$F$4</f>
        <v>4:00–5:10 م</v>
      </c>
      <c r="C95" s="7">
        <v>2</v>
      </c>
      <c r="D95" s="7" t="s">
        <v>767</v>
      </c>
      <c r="E95" s="2"/>
      <c r="F95" s="2"/>
    </row>
    <row r="96" spans="1:6" ht="14" customHeight="1">
      <c r="A96" s="8">
        <v>16</v>
      </c>
      <c r="B96" s="7" t="str">
        <f>المدخلات!$F$5</f>
        <v>5:20–6:30 م</v>
      </c>
      <c r="C96" s="7">
        <v>1</v>
      </c>
      <c r="D96" s="7" t="s">
        <v>29</v>
      </c>
      <c r="E96" s="2"/>
      <c r="F96" s="2"/>
    </row>
    <row r="97" spans="1:6" ht="14" customHeight="1">
      <c r="A97" s="8">
        <v>16</v>
      </c>
      <c r="B97" s="7" t="str">
        <f>المدخلات!$F$5</f>
        <v>5:20–6:30 م</v>
      </c>
      <c r="C97" s="7">
        <v>2</v>
      </c>
      <c r="D97" s="7" t="s">
        <v>42</v>
      </c>
      <c r="E97" s="2"/>
      <c r="F97" s="2"/>
    </row>
    <row r="98" spans="1:6" ht="14" customHeight="1">
      <c r="A98" s="8">
        <v>16</v>
      </c>
      <c r="B98" s="7" t="str">
        <f>المدخلات!$F$6</f>
        <v>6:40–7:50 م</v>
      </c>
      <c r="C98" s="7">
        <v>1</v>
      </c>
      <c r="D98" s="7" t="s">
        <v>17</v>
      </c>
      <c r="E98" s="2"/>
      <c r="F98" s="2"/>
    </row>
    <row r="99" spans="1:6" ht="14" customHeight="1">
      <c r="A99" s="8">
        <v>16</v>
      </c>
      <c r="B99" s="7" t="str">
        <f>المدخلات!$F$6</f>
        <v>6:40–7:50 م</v>
      </c>
      <c r="C99" s="7">
        <v>2</v>
      </c>
      <c r="D99" s="7" t="s">
        <v>61</v>
      </c>
      <c r="E99" s="2"/>
      <c r="F99" s="2"/>
    </row>
    <row r="100" spans="1:6" ht="14" customHeight="1">
      <c r="A100" s="8">
        <v>17</v>
      </c>
      <c r="B100" s="7" t="str">
        <f>المدخلات!$F$4</f>
        <v>4:00–5:10 م</v>
      </c>
      <c r="C100" s="7">
        <v>1</v>
      </c>
      <c r="D100" s="7" t="s">
        <v>789</v>
      </c>
      <c r="E100" s="2"/>
      <c r="F100" s="2"/>
    </row>
    <row r="101" spans="1:6" ht="14" customHeight="1">
      <c r="A101" s="8">
        <v>17</v>
      </c>
      <c r="B101" s="7" t="str">
        <f>المدخلات!$F$4</f>
        <v>4:00–5:10 م</v>
      </c>
      <c r="C101" s="7">
        <v>2</v>
      </c>
      <c r="D101" s="7" t="s">
        <v>1047</v>
      </c>
      <c r="E101" s="2"/>
      <c r="F101" s="2"/>
    </row>
    <row r="102" spans="1:6" ht="14" customHeight="1">
      <c r="A102" s="8">
        <v>17</v>
      </c>
      <c r="B102" s="7" t="str">
        <f>المدخلات!$F$5</f>
        <v>5:20–6:30 م</v>
      </c>
      <c r="C102" s="7">
        <v>1</v>
      </c>
      <c r="D102" s="7" t="s">
        <v>791</v>
      </c>
      <c r="E102" s="2"/>
      <c r="F102" s="2"/>
    </row>
    <row r="103" spans="1:6" ht="14" customHeight="1">
      <c r="A103" s="8">
        <v>17</v>
      </c>
      <c r="B103" s="7" t="str">
        <f>المدخلات!$F$5</f>
        <v>5:20–6:30 م</v>
      </c>
      <c r="C103" s="7">
        <v>2</v>
      </c>
      <c r="D103" s="7" t="s">
        <v>792</v>
      </c>
      <c r="E103" s="2"/>
      <c r="F103" s="2"/>
    </row>
    <row r="104" spans="1:6" ht="14" customHeight="1">
      <c r="A104" s="8">
        <v>17</v>
      </c>
      <c r="B104" s="7" t="str">
        <f>المدخلات!$F$6</f>
        <v>6:40–7:50 م</v>
      </c>
      <c r="C104" s="7">
        <v>1</v>
      </c>
      <c r="D104" s="7" t="s">
        <v>28</v>
      </c>
      <c r="E104" s="2"/>
      <c r="F104" s="2"/>
    </row>
    <row r="105" spans="1:6" ht="14" customHeight="1">
      <c r="A105" s="8">
        <v>17</v>
      </c>
      <c r="B105" s="7" t="str">
        <f>المدخلات!$F$6</f>
        <v>6:40–7:50 م</v>
      </c>
      <c r="C105" s="7">
        <v>2</v>
      </c>
      <c r="D105" s="7" t="s">
        <v>790</v>
      </c>
      <c r="E105" s="2"/>
      <c r="F105" s="2"/>
    </row>
    <row r="106" spans="1:6" ht="14" customHeight="1">
      <c r="A106" s="8">
        <v>18</v>
      </c>
      <c r="B106" s="7" t="str">
        <f>المدخلات!$F$4</f>
        <v>4:00–5:10 م</v>
      </c>
      <c r="C106" s="7">
        <v>1</v>
      </c>
      <c r="D106" s="7" t="s">
        <v>15</v>
      </c>
      <c r="E106" s="2"/>
      <c r="F106" s="2"/>
    </row>
    <row r="107" spans="1:6" ht="14" customHeight="1">
      <c r="A107" s="8">
        <v>18</v>
      </c>
      <c r="B107" s="7" t="str">
        <f>المدخلات!$F$4</f>
        <v>4:00–5:10 م</v>
      </c>
      <c r="C107" s="7">
        <v>2</v>
      </c>
      <c r="D107" s="7" t="s">
        <v>24</v>
      </c>
      <c r="E107" s="2"/>
      <c r="F107" s="2"/>
    </row>
    <row r="108" spans="1:6" ht="14" customHeight="1">
      <c r="A108" s="8">
        <v>18</v>
      </c>
      <c r="B108" s="7" t="str">
        <f>المدخلات!$F$5</f>
        <v>5:20–6:30 م</v>
      </c>
      <c r="C108" s="7">
        <v>1</v>
      </c>
      <c r="D108" s="7" t="s">
        <v>32</v>
      </c>
      <c r="E108" s="2"/>
      <c r="F108" s="2"/>
    </row>
    <row r="109" spans="1:6" ht="14" customHeight="1">
      <c r="A109" s="8">
        <v>18</v>
      </c>
      <c r="B109" s="7" t="str">
        <f>المدخلات!$F$5</f>
        <v>5:20–6:30 م</v>
      </c>
      <c r="C109" s="7">
        <v>2</v>
      </c>
      <c r="D109" s="7" t="s">
        <v>805</v>
      </c>
      <c r="E109" s="2"/>
      <c r="F109" s="2"/>
    </row>
    <row r="110" spans="1:6" ht="14" customHeight="1">
      <c r="A110" s="8">
        <v>18</v>
      </c>
      <c r="B110" s="7" t="str">
        <f>المدخلات!$F$6</f>
        <v>6:40–7:50 م</v>
      </c>
      <c r="C110" s="7">
        <v>1</v>
      </c>
      <c r="D110" s="7" t="s">
        <v>72</v>
      </c>
      <c r="E110" s="2"/>
      <c r="F110" s="2"/>
    </row>
    <row r="111" spans="1:6" ht="14" customHeight="1">
      <c r="A111" s="8">
        <v>18</v>
      </c>
      <c r="B111" s="7" t="str">
        <f>المدخلات!$F$6</f>
        <v>6:40–7:50 م</v>
      </c>
      <c r="C111" s="7">
        <v>2</v>
      </c>
      <c r="D111" s="7" t="s">
        <v>804</v>
      </c>
      <c r="E111" s="2"/>
      <c r="F111" s="2"/>
    </row>
    <row r="112" spans="1:6" ht="14" customHeight="1">
      <c r="A112" s="8">
        <v>19</v>
      </c>
      <c r="B112" s="7" t="str">
        <f>المدخلات!$F$4</f>
        <v>4:00–5:10 م</v>
      </c>
      <c r="C112" s="7">
        <v>1</v>
      </c>
      <c r="D112" s="7" t="s">
        <v>623</v>
      </c>
      <c r="E112" s="2"/>
      <c r="F112" s="2"/>
    </row>
    <row r="113" spans="1:6" ht="14" customHeight="1">
      <c r="A113" s="8">
        <v>19</v>
      </c>
      <c r="B113" s="7" t="str">
        <f>المدخلات!$F$4</f>
        <v>4:00–5:10 م</v>
      </c>
      <c r="C113" s="7">
        <v>2</v>
      </c>
      <c r="D113" s="7" t="s">
        <v>56</v>
      </c>
      <c r="E113" s="2"/>
      <c r="F113" s="2"/>
    </row>
    <row r="114" spans="1:6" ht="14" customHeight="1">
      <c r="A114" s="8">
        <v>19</v>
      </c>
      <c r="B114" s="7" t="str">
        <f>المدخلات!$F$5</f>
        <v>5:20–6:30 م</v>
      </c>
      <c r="C114" s="7">
        <v>1</v>
      </c>
      <c r="D114" s="7" t="s">
        <v>67</v>
      </c>
      <c r="E114" s="2"/>
      <c r="F114" s="2"/>
    </row>
    <row r="115" spans="1:6" ht="14" customHeight="1">
      <c r="A115" s="8">
        <v>19</v>
      </c>
      <c r="B115" s="7" t="str">
        <f>المدخلات!$F$5</f>
        <v>5:20–6:30 م</v>
      </c>
      <c r="C115" s="7">
        <v>2</v>
      </c>
      <c r="D115" s="7" t="s">
        <v>9</v>
      </c>
      <c r="E115" s="2"/>
      <c r="F115" s="2"/>
    </row>
    <row r="116" spans="1:6" ht="14" customHeight="1">
      <c r="A116" s="8">
        <v>19</v>
      </c>
      <c r="B116" s="7" t="str">
        <f>المدخلات!$F$6</f>
        <v>6:40–7:50 م</v>
      </c>
      <c r="C116" s="7">
        <v>1</v>
      </c>
      <c r="D116" s="7" t="s">
        <v>1035</v>
      </c>
      <c r="E116" s="2"/>
      <c r="F116" s="2"/>
    </row>
    <row r="117" spans="1:6" ht="14" customHeight="1">
      <c r="A117" s="8">
        <v>19</v>
      </c>
      <c r="B117" s="7" t="str">
        <f>المدخلات!$F$6</f>
        <v>6:40–7:50 م</v>
      </c>
      <c r="C117" s="7">
        <v>2</v>
      </c>
      <c r="D117" s="7" t="s">
        <v>27</v>
      </c>
      <c r="E117" s="2"/>
      <c r="F117" s="2"/>
    </row>
    <row r="118" spans="1:6" ht="14" customHeight="1">
      <c r="A118" s="8">
        <v>20</v>
      </c>
      <c r="B118" s="7" t="str">
        <f>المدخلات!$F$4</f>
        <v>4:00–5:10 م</v>
      </c>
      <c r="C118" s="7">
        <v>1</v>
      </c>
      <c r="D118" s="7" t="s">
        <v>46</v>
      </c>
      <c r="E118" s="2"/>
      <c r="F118" s="2"/>
    </row>
    <row r="119" spans="1:6" ht="14" customHeight="1">
      <c r="A119" s="8">
        <v>20</v>
      </c>
      <c r="B119" s="7" t="str">
        <f>المدخلات!$F$4</f>
        <v>4:00–5:10 م</v>
      </c>
      <c r="C119" s="7">
        <v>2</v>
      </c>
      <c r="D119" s="7" t="s">
        <v>18</v>
      </c>
      <c r="E119" s="2"/>
      <c r="F119" s="2"/>
    </row>
    <row r="120" spans="1:6" ht="14" customHeight="1">
      <c r="A120" s="8">
        <v>20</v>
      </c>
      <c r="B120" s="7" t="str">
        <f>المدخلات!$F$5</f>
        <v>5:20–6:30 م</v>
      </c>
      <c r="C120" s="7">
        <v>1</v>
      </c>
      <c r="D120" s="7" t="s">
        <v>13</v>
      </c>
      <c r="E120" s="2"/>
      <c r="F120" s="2"/>
    </row>
    <row r="121" spans="1:6" ht="14" customHeight="1">
      <c r="A121" s="8">
        <v>20</v>
      </c>
      <c r="B121" s="7" t="str">
        <f>المدخلات!$F$5</f>
        <v>5:20–6:30 م</v>
      </c>
      <c r="C121" s="7">
        <v>2</v>
      </c>
      <c r="D121" s="7" t="s">
        <v>53</v>
      </c>
      <c r="E121" s="2"/>
      <c r="F121" s="2"/>
    </row>
    <row r="122" spans="1:6" ht="14" customHeight="1">
      <c r="A122" s="8">
        <v>20</v>
      </c>
      <c r="B122" s="7" t="str">
        <f>المدخلات!$F$6</f>
        <v>6:40–7:50 م</v>
      </c>
      <c r="C122" s="7">
        <v>1</v>
      </c>
      <c r="D122" s="7" t="s">
        <v>21</v>
      </c>
      <c r="E122" s="2"/>
      <c r="F122" s="2"/>
    </row>
    <row r="123" spans="1:6" ht="14" customHeight="1">
      <c r="A123" s="8">
        <v>20</v>
      </c>
      <c r="B123" s="7" t="str">
        <f>المدخلات!$F$6</f>
        <v>6:40–7:50 م</v>
      </c>
      <c r="C123" s="7">
        <v>2</v>
      </c>
      <c r="D123" s="7" t="s">
        <v>63</v>
      </c>
      <c r="E123" s="2"/>
      <c r="F123" s="2"/>
    </row>
    <row r="124" spans="1:6" ht="14" customHeight="1">
      <c r="A124" s="8">
        <v>21</v>
      </c>
      <c r="B124" s="7" t="str">
        <f>المدخلات!$F$4</f>
        <v>4:00–5:10 م</v>
      </c>
      <c r="C124" s="7">
        <v>1</v>
      </c>
      <c r="D124" s="7" t="s">
        <v>57</v>
      </c>
      <c r="E124" s="2"/>
      <c r="F124" s="2"/>
    </row>
    <row r="125" spans="1:6" ht="14" customHeight="1">
      <c r="A125" s="8">
        <v>21</v>
      </c>
      <c r="B125" s="7" t="str">
        <f>المدخلات!$F$4</f>
        <v>4:00–5:10 م</v>
      </c>
      <c r="C125" s="7">
        <v>2</v>
      </c>
      <c r="D125" s="7" t="s">
        <v>14</v>
      </c>
      <c r="E125" s="2"/>
      <c r="F125" s="2"/>
    </row>
    <row r="126" spans="1:6" ht="14" customHeight="1">
      <c r="A126" s="8">
        <v>21</v>
      </c>
      <c r="B126" s="7" t="str">
        <f>المدخلات!$F$5</f>
        <v>5:20–6:30 م</v>
      </c>
      <c r="C126" s="7">
        <v>1</v>
      </c>
      <c r="D126" s="7" t="s">
        <v>49</v>
      </c>
      <c r="E126" s="2"/>
      <c r="F126" s="2"/>
    </row>
    <row r="127" spans="1:6" ht="14" customHeight="1">
      <c r="A127" s="8">
        <v>21</v>
      </c>
      <c r="B127" s="7" t="str">
        <f>المدخلات!$F$5</f>
        <v>5:20–6:30 م</v>
      </c>
      <c r="C127" s="7">
        <v>2</v>
      </c>
      <c r="D127" s="7" t="s">
        <v>1062</v>
      </c>
      <c r="E127" s="2"/>
      <c r="F127" s="2"/>
    </row>
    <row r="128" spans="1:6" ht="14" customHeight="1">
      <c r="A128" s="8">
        <v>21</v>
      </c>
      <c r="B128" s="7" t="str">
        <f>المدخلات!$F$6</f>
        <v>6:40–7:50 م</v>
      </c>
      <c r="C128" s="7">
        <v>1</v>
      </c>
      <c r="D128" s="7" t="s">
        <v>8</v>
      </c>
      <c r="E128" s="2"/>
      <c r="F128" s="2"/>
    </row>
    <row r="129" spans="1:13" ht="14" customHeight="1">
      <c r="A129" s="8">
        <v>21</v>
      </c>
      <c r="B129" s="7" t="str">
        <f>المدخلات!$F$6</f>
        <v>6:40–7:50 م</v>
      </c>
      <c r="C129" s="7">
        <v>2</v>
      </c>
      <c r="D129" s="7" t="s">
        <v>41</v>
      </c>
      <c r="E129" s="2"/>
      <c r="F129" s="2"/>
    </row>
    <row r="130" spans="1:13" ht="14" customHeight="1">
      <c r="A130" s="8">
        <v>22</v>
      </c>
      <c r="B130" s="7" t="str">
        <f>المدخلات!$F$4</f>
        <v>4:00–5:10 م</v>
      </c>
      <c r="C130" s="7">
        <v>1</v>
      </c>
      <c r="D130" s="7" t="s">
        <v>1063</v>
      </c>
      <c r="E130" s="2"/>
      <c r="F130" s="2"/>
    </row>
    <row r="131" spans="1:13" ht="14" customHeight="1">
      <c r="A131" s="8">
        <v>22</v>
      </c>
      <c r="B131" s="7" t="str">
        <f>المدخلات!$F$4</f>
        <v>4:00–5:10 م</v>
      </c>
      <c r="C131" s="7">
        <v>2</v>
      </c>
      <c r="D131" s="7" t="s">
        <v>30</v>
      </c>
      <c r="E131" s="2"/>
      <c r="F131" s="2"/>
    </row>
    <row r="132" spans="1:13" ht="14" customHeight="1">
      <c r="A132" s="8">
        <v>22</v>
      </c>
      <c r="B132" s="7" t="str">
        <f>المدخلات!$F$5</f>
        <v>5:20–6:30 م</v>
      </c>
      <c r="C132" s="7">
        <v>1</v>
      </c>
      <c r="D132" s="7" t="s">
        <v>1037</v>
      </c>
      <c r="E132" s="2"/>
      <c r="F132" s="2"/>
    </row>
    <row r="133" spans="1:13" ht="14" customHeight="1">
      <c r="A133" s="8">
        <v>22</v>
      </c>
      <c r="B133" s="7" t="str">
        <f>المدخلات!$F$5</f>
        <v>5:20–6:30 م</v>
      </c>
      <c r="C133" s="7">
        <v>2</v>
      </c>
      <c r="D133" s="7" t="s">
        <v>37</v>
      </c>
      <c r="E133" s="2"/>
      <c r="F133" s="2"/>
    </row>
    <row r="134" spans="1:13" ht="14" customHeight="1">
      <c r="A134" s="8">
        <v>22</v>
      </c>
      <c r="B134" s="7" t="str">
        <f>المدخلات!$F$6</f>
        <v>6:40–7:50 م</v>
      </c>
      <c r="C134" s="7">
        <v>1</v>
      </c>
      <c r="D134" s="7" t="s">
        <v>47</v>
      </c>
      <c r="E134" s="2"/>
      <c r="F134" s="2"/>
    </row>
    <row r="135" spans="1:13" ht="14" customHeight="1">
      <c r="A135" s="8">
        <v>22</v>
      </c>
      <c r="B135" s="7" t="str">
        <f>المدخلات!$F$6</f>
        <v>6:40–7:50 م</v>
      </c>
      <c r="C135" s="7">
        <v>2</v>
      </c>
      <c r="D135" s="7" t="s">
        <v>1056</v>
      </c>
      <c r="E135" s="2"/>
      <c r="F135" s="2"/>
    </row>
    <row r="136" spans="1:13">
      <c r="A136" s="2"/>
      <c r="B136" s="2"/>
      <c r="C136" s="2"/>
      <c r="D136" s="2"/>
    </row>
    <row r="137" spans="1:13">
      <c r="A137" s="2"/>
      <c r="B137" s="2"/>
      <c r="C137" s="2"/>
      <c r="D137" s="2"/>
    </row>
    <row r="138" spans="1:13" ht="14.5">
      <c r="A138" s="17" t="s">
        <v>828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4.5">
      <c r="A139" s="6" t="s">
        <v>829</v>
      </c>
      <c r="B139" s="6">
        <v>1</v>
      </c>
      <c r="C139" s="6">
        <v>2</v>
      </c>
      <c r="D139" s="6">
        <v>3</v>
      </c>
      <c r="E139" s="6">
        <v>4</v>
      </c>
      <c r="F139" s="6">
        <v>5</v>
      </c>
      <c r="G139" s="6">
        <v>6</v>
      </c>
      <c r="H139" s="6">
        <v>7</v>
      </c>
      <c r="I139" s="6">
        <v>8</v>
      </c>
      <c r="J139" s="6">
        <v>9</v>
      </c>
      <c r="K139" s="6">
        <v>10</v>
      </c>
      <c r="L139" s="6">
        <v>11</v>
      </c>
      <c r="M139" s="6">
        <v>12</v>
      </c>
    </row>
    <row r="140" spans="1:13" ht="14.5">
      <c r="A140" s="14">
        <v>1</v>
      </c>
      <c r="B140" s="4" t="str">
        <f>IF($A140=B$139,"",COUNTIF($D$4:$D$135,$A140&amp;" ضد "&amp;B$139)+COUNTIF($D$4:$D$135,B$139&amp;" ضد "&amp;$A140))</f>
        <v/>
      </c>
      <c r="C140" s="4">
        <f>IF($A140=C$139,"",COUNTIF($D$4:$D$135,$A140&amp;" ضد "&amp;C$139)+COUNTIF($D$4:$D$135,C$139&amp;" ضد "&amp;$A140))</f>
        <v>2</v>
      </c>
      <c r="D140" s="4">
        <f>IF($A140=D$139,"",COUNTIF($D$4:$D$135,$A140&amp;" ضد "&amp;D$139)+COUNTIF($D$4:$D$135,D$139&amp;" ضد "&amp;$A140))</f>
        <v>2</v>
      </c>
      <c r="E140" s="4">
        <f>IF($A140=E$139,"",COUNTIF($D$4:$D$135,$A140&amp;" ضد "&amp;E$139)+COUNTIF($D$4:$D$135,E$139&amp;" ضد "&amp;$A140))</f>
        <v>2</v>
      </c>
      <c r="F140" s="4">
        <f>IF($A140=F$139,"",COUNTIF($D$4:$D$135,$A140&amp;" ضد "&amp;F$139)+COUNTIF($D$4:$D$135,F$139&amp;" ضد "&amp;$A140))</f>
        <v>2</v>
      </c>
      <c r="G140" s="4">
        <f>IF($A140=G$139,"",COUNTIF($D$4:$D$135,$A140&amp;" ضد "&amp;G$139)+COUNTIF($D$4:$D$135,G$139&amp;" ضد "&amp;$A140))</f>
        <v>2</v>
      </c>
      <c r="H140" s="4">
        <f>IF($A140=H$139,"",COUNTIF($D$4:$D$135,$A140&amp;" ضد "&amp;H$139)+COUNTIF($D$4:$D$135,H$139&amp;" ضد "&amp;$A140))</f>
        <v>2</v>
      </c>
      <c r="I140" s="4">
        <f>IF($A140=I$139,"",COUNTIF($D$4:$D$135,$A140&amp;" ضد "&amp;I$139)+COUNTIF($D$4:$D$135,I$139&amp;" ضد "&amp;$A140))</f>
        <v>2</v>
      </c>
      <c r="J140" s="4">
        <f>IF($A140=J$139,"",COUNTIF($D$4:$D$135,$A140&amp;" ضد "&amp;J$139)+COUNTIF($D$4:$D$135,J$139&amp;" ضد "&amp;$A140))</f>
        <v>2</v>
      </c>
      <c r="K140" s="4">
        <f>IF($A140=K$139,"",COUNTIF($D$4:$D$135,$A140&amp;" ضد "&amp;K$139)+COUNTIF($D$4:$D$135,K$139&amp;" ضد "&amp;$A140))</f>
        <v>2</v>
      </c>
      <c r="L140" s="4">
        <f>IF($A140=L$139,"",COUNTIF($D$4:$D$135,$A140&amp;" ضد "&amp;L$139)+COUNTIF($D$4:$D$135,L$139&amp;" ضد "&amp;$A140))</f>
        <v>2</v>
      </c>
      <c r="M140" s="4">
        <f>IF($A140=M$139,"",COUNTIF($D$4:$D$135,$A140&amp;" ضد "&amp;M$139)+COUNTIF($D$4:$D$135,M$139&amp;" ضد "&amp;$A140))</f>
        <v>2</v>
      </c>
    </row>
    <row r="141" spans="1:13" ht="14.5">
      <c r="A141" s="14">
        <v>2</v>
      </c>
      <c r="B141" s="4">
        <f>IF($A141=B$139,"",COUNTIF($D$4:$D$135,$A141&amp;" ضد "&amp;B$139)+COUNTIF($D$4:$D$135,B$139&amp;" ضد "&amp;$A141))</f>
        <v>2</v>
      </c>
      <c r="C141" s="4" t="str">
        <f>IF($A141=C$139,"",COUNTIF($D$4:$D$135,$A141&amp;" ضد "&amp;C$139)+COUNTIF($D$4:$D$135,C$139&amp;" ضد "&amp;$A141))</f>
        <v/>
      </c>
      <c r="D141" s="4">
        <f>IF($A141=D$139,"",COUNTIF($D$4:$D$135,$A141&amp;" ضد "&amp;D$139)+COUNTIF($D$4:$D$135,D$139&amp;" ضد "&amp;$A141))</f>
        <v>2</v>
      </c>
      <c r="E141" s="4">
        <f>IF($A141=E$139,"",COUNTIF($D$4:$D$135,$A141&amp;" ضد "&amp;E$139)+COUNTIF($D$4:$D$135,E$139&amp;" ضد "&amp;$A141))</f>
        <v>2</v>
      </c>
      <c r="F141" s="4">
        <f>IF($A141=F$139,"",COUNTIF($D$4:$D$135,$A141&amp;" ضد "&amp;F$139)+COUNTIF($D$4:$D$135,F$139&amp;" ضد "&amp;$A141))</f>
        <v>2</v>
      </c>
      <c r="G141" s="4">
        <f>IF($A141=G$139,"",COUNTIF($D$4:$D$135,$A141&amp;" ضد "&amp;G$139)+COUNTIF($D$4:$D$135,G$139&amp;" ضد "&amp;$A141))</f>
        <v>2</v>
      </c>
      <c r="H141" s="4">
        <f>IF($A141=H$139,"",COUNTIF($D$4:$D$135,$A141&amp;" ضد "&amp;H$139)+COUNTIF($D$4:$D$135,H$139&amp;" ضد "&amp;$A141))</f>
        <v>2</v>
      </c>
      <c r="I141" s="4">
        <f>IF($A141=I$139,"",COUNTIF($D$4:$D$135,$A141&amp;" ضد "&amp;I$139)+COUNTIF($D$4:$D$135,I$139&amp;" ضد "&amp;$A141))</f>
        <v>2</v>
      </c>
      <c r="J141" s="4">
        <f>IF($A141=J$139,"",COUNTIF($D$4:$D$135,$A141&amp;" ضد "&amp;J$139)+COUNTIF($D$4:$D$135,J$139&amp;" ضد "&amp;$A141))</f>
        <v>2</v>
      </c>
      <c r="K141" s="4">
        <f>IF($A141=K$139,"",COUNTIF($D$4:$D$135,$A141&amp;" ضد "&amp;K$139)+COUNTIF($D$4:$D$135,K$139&amp;" ضد "&amp;$A141))</f>
        <v>2</v>
      </c>
      <c r="L141" s="4">
        <f>IF($A141=L$139,"",COUNTIF($D$4:$D$135,$A141&amp;" ضد "&amp;L$139)+COUNTIF($D$4:$D$135,L$139&amp;" ضد "&amp;$A141))</f>
        <v>2</v>
      </c>
      <c r="M141" s="4">
        <f>IF($A141=M$139,"",COUNTIF($D$4:$D$135,$A141&amp;" ضد "&amp;M$139)+COUNTIF($D$4:$D$135,M$139&amp;" ضد "&amp;$A141))</f>
        <v>2</v>
      </c>
    </row>
    <row r="142" spans="1:13" ht="14.5">
      <c r="A142" s="14">
        <v>3</v>
      </c>
      <c r="B142" s="4">
        <f>IF($A142=B$139,"",COUNTIF($D$4:$D$135,$A142&amp;" ضد "&amp;B$139)+COUNTIF($D$4:$D$135,B$139&amp;" ضد "&amp;$A142))</f>
        <v>2</v>
      </c>
      <c r="C142" s="4">
        <f>IF($A142=C$139,"",COUNTIF($D$4:$D$135,$A142&amp;" ضد "&amp;C$139)+COUNTIF($D$4:$D$135,C$139&amp;" ضد "&amp;$A142))</f>
        <v>2</v>
      </c>
      <c r="D142" s="4" t="str">
        <f>IF($A142=D$139,"",COUNTIF($D$4:$D$135,$A142&amp;" ضد "&amp;D$139)+COUNTIF($D$4:$D$135,D$139&amp;" ضد "&amp;$A142))</f>
        <v/>
      </c>
      <c r="E142" s="4">
        <f>IF($A142=E$139,"",COUNTIF($D$4:$D$135,$A142&amp;" ضد "&amp;E$139)+COUNTIF($D$4:$D$135,E$139&amp;" ضد "&amp;$A142))</f>
        <v>2</v>
      </c>
      <c r="F142" s="4">
        <f>IF($A142=F$139,"",COUNTIF($D$4:$D$135,$A142&amp;" ضد "&amp;F$139)+COUNTIF($D$4:$D$135,F$139&amp;" ضد "&amp;$A142))</f>
        <v>2</v>
      </c>
      <c r="G142" s="4">
        <f>IF($A142=G$139,"",COUNTIF($D$4:$D$135,$A142&amp;" ضد "&amp;G$139)+COUNTIF($D$4:$D$135,G$139&amp;" ضد "&amp;$A142))</f>
        <v>2</v>
      </c>
      <c r="H142" s="4">
        <f>IF($A142=H$139,"",COUNTIF($D$4:$D$135,$A142&amp;" ضد "&amp;H$139)+COUNTIF($D$4:$D$135,H$139&amp;" ضد "&amp;$A142))</f>
        <v>2</v>
      </c>
      <c r="I142" s="4">
        <f>IF($A142=I$139,"",COUNTIF($D$4:$D$135,$A142&amp;" ضد "&amp;I$139)+COUNTIF($D$4:$D$135,I$139&amp;" ضد "&amp;$A142))</f>
        <v>2</v>
      </c>
      <c r="J142" s="4">
        <f>IF($A142=J$139,"",COUNTIF($D$4:$D$135,$A142&amp;" ضد "&amp;J$139)+COUNTIF($D$4:$D$135,J$139&amp;" ضد "&amp;$A142))</f>
        <v>2</v>
      </c>
      <c r="K142" s="4">
        <f>IF($A142=K$139,"",COUNTIF($D$4:$D$135,$A142&amp;" ضد "&amp;K$139)+COUNTIF($D$4:$D$135,K$139&amp;" ضد "&amp;$A142))</f>
        <v>2</v>
      </c>
      <c r="L142" s="4">
        <f>IF($A142=L$139,"",COUNTIF($D$4:$D$135,$A142&amp;" ضد "&amp;L$139)+COUNTIF($D$4:$D$135,L$139&amp;" ضد "&amp;$A142))</f>
        <v>2</v>
      </c>
      <c r="M142" s="4">
        <f>IF($A142=M$139,"",COUNTIF($D$4:$D$135,$A142&amp;" ضد "&amp;M$139)+COUNTIF($D$4:$D$135,M$139&amp;" ضد "&amp;$A142))</f>
        <v>2</v>
      </c>
    </row>
    <row r="143" spans="1:13" ht="14.5">
      <c r="A143" s="14">
        <v>4</v>
      </c>
      <c r="B143" s="4">
        <f>IF($A143=B$139,"",COUNTIF($D$4:$D$135,$A143&amp;" ضد "&amp;B$139)+COUNTIF($D$4:$D$135,B$139&amp;" ضد "&amp;$A143))</f>
        <v>2</v>
      </c>
      <c r="C143" s="4">
        <f>IF($A143=C$139,"",COUNTIF($D$4:$D$135,$A143&amp;" ضد "&amp;C$139)+COUNTIF($D$4:$D$135,C$139&amp;" ضد "&amp;$A143))</f>
        <v>2</v>
      </c>
      <c r="D143" s="4">
        <f>IF($A143=D$139,"",COUNTIF($D$4:$D$135,$A143&amp;" ضد "&amp;D$139)+COUNTIF($D$4:$D$135,D$139&amp;" ضد "&amp;$A143))</f>
        <v>2</v>
      </c>
      <c r="E143" s="4" t="str">
        <f>IF($A143=E$139,"",COUNTIF($D$4:$D$135,$A143&amp;" ضد "&amp;E$139)+COUNTIF($D$4:$D$135,E$139&amp;" ضد "&amp;$A143))</f>
        <v/>
      </c>
      <c r="F143" s="4">
        <f>IF($A143=F$139,"",COUNTIF($D$4:$D$135,$A143&amp;" ضد "&amp;F$139)+COUNTIF($D$4:$D$135,F$139&amp;" ضد "&amp;$A143))</f>
        <v>2</v>
      </c>
      <c r="G143" s="4">
        <f>IF($A143=G$139,"",COUNTIF($D$4:$D$135,$A143&amp;" ضد "&amp;G$139)+COUNTIF($D$4:$D$135,G$139&amp;" ضد "&amp;$A143))</f>
        <v>2</v>
      </c>
      <c r="H143" s="4">
        <f>IF($A143=H$139,"",COUNTIF($D$4:$D$135,$A143&amp;" ضد "&amp;H$139)+COUNTIF($D$4:$D$135,H$139&amp;" ضد "&amp;$A143))</f>
        <v>2</v>
      </c>
      <c r="I143" s="4">
        <f>IF($A143=I$139,"",COUNTIF($D$4:$D$135,$A143&amp;" ضد "&amp;I$139)+COUNTIF($D$4:$D$135,I$139&amp;" ضد "&amp;$A143))</f>
        <v>2</v>
      </c>
      <c r="J143" s="4">
        <f>IF($A143=J$139,"",COUNTIF($D$4:$D$135,$A143&amp;" ضد "&amp;J$139)+COUNTIF($D$4:$D$135,J$139&amp;" ضد "&amp;$A143))</f>
        <v>2</v>
      </c>
      <c r="K143" s="4">
        <f>IF($A143=K$139,"",COUNTIF($D$4:$D$135,$A143&amp;" ضد "&amp;K$139)+COUNTIF($D$4:$D$135,K$139&amp;" ضد "&amp;$A143))</f>
        <v>2</v>
      </c>
      <c r="L143" s="4">
        <f>IF($A143=L$139,"",COUNTIF($D$4:$D$135,$A143&amp;" ضد "&amp;L$139)+COUNTIF($D$4:$D$135,L$139&amp;" ضد "&amp;$A143))</f>
        <v>2</v>
      </c>
      <c r="M143" s="4">
        <f>IF($A143=M$139,"",COUNTIF($D$4:$D$135,$A143&amp;" ضد "&amp;M$139)+COUNTIF($D$4:$D$135,M$139&amp;" ضد "&amp;$A143))</f>
        <v>2</v>
      </c>
    </row>
    <row r="144" spans="1:13" ht="14.5">
      <c r="A144" s="14">
        <v>5</v>
      </c>
      <c r="B144" s="4">
        <f>IF($A144=B$139,"",COUNTIF($D$4:$D$135,$A144&amp;" ضد "&amp;B$139)+COUNTIF($D$4:$D$135,B$139&amp;" ضد "&amp;$A144))</f>
        <v>2</v>
      </c>
      <c r="C144" s="4">
        <f>IF($A144=C$139,"",COUNTIF($D$4:$D$135,$A144&amp;" ضد "&amp;C$139)+COUNTIF($D$4:$D$135,C$139&amp;" ضد "&amp;$A144))</f>
        <v>2</v>
      </c>
      <c r="D144" s="4">
        <f>IF($A144=D$139,"",COUNTIF($D$4:$D$135,$A144&amp;" ضد "&amp;D$139)+COUNTIF($D$4:$D$135,D$139&amp;" ضد "&amp;$A144))</f>
        <v>2</v>
      </c>
      <c r="E144" s="4">
        <f>IF($A144=E$139,"",COUNTIF($D$4:$D$135,$A144&amp;" ضد "&amp;E$139)+COUNTIF($D$4:$D$135,E$139&amp;" ضد "&amp;$A144))</f>
        <v>2</v>
      </c>
      <c r="F144" s="4" t="str">
        <f>IF($A144=F$139,"",COUNTIF($D$4:$D$135,$A144&amp;" ضد "&amp;F$139)+COUNTIF($D$4:$D$135,F$139&amp;" ضد "&amp;$A144))</f>
        <v/>
      </c>
      <c r="G144" s="4">
        <f>IF($A144=G$139,"",COUNTIF($D$4:$D$135,$A144&amp;" ضد "&amp;G$139)+COUNTIF($D$4:$D$135,G$139&amp;" ضد "&amp;$A144))</f>
        <v>2</v>
      </c>
      <c r="H144" s="4">
        <f>IF($A144=H$139,"",COUNTIF($D$4:$D$135,$A144&amp;" ضد "&amp;H$139)+COUNTIF($D$4:$D$135,H$139&amp;" ضد "&amp;$A144))</f>
        <v>2</v>
      </c>
      <c r="I144" s="4">
        <f>IF($A144=I$139,"",COUNTIF($D$4:$D$135,$A144&amp;" ضد "&amp;I$139)+COUNTIF($D$4:$D$135,I$139&amp;" ضد "&amp;$A144))</f>
        <v>2</v>
      </c>
      <c r="J144" s="4">
        <f>IF($A144=J$139,"",COUNTIF($D$4:$D$135,$A144&amp;" ضد "&amp;J$139)+COUNTIF($D$4:$D$135,J$139&amp;" ضد "&amp;$A144))</f>
        <v>2</v>
      </c>
      <c r="K144" s="4">
        <f>IF($A144=K$139,"",COUNTIF($D$4:$D$135,$A144&amp;" ضد "&amp;K$139)+COUNTIF($D$4:$D$135,K$139&amp;" ضد "&amp;$A144))</f>
        <v>2</v>
      </c>
      <c r="L144" s="4">
        <f>IF($A144=L$139,"",COUNTIF($D$4:$D$135,$A144&amp;" ضد "&amp;L$139)+COUNTIF($D$4:$D$135,L$139&amp;" ضد "&amp;$A144))</f>
        <v>2</v>
      </c>
      <c r="M144" s="4">
        <f>IF($A144=M$139,"",COUNTIF($D$4:$D$135,$A144&amp;" ضد "&amp;M$139)+COUNTIF($D$4:$D$135,M$139&amp;" ضد "&amp;$A144))</f>
        <v>2</v>
      </c>
    </row>
    <row r="145" spans="1:13" ht="14.5">
      <c r="A145" s="14">
        <v>6</v>
      </c>
      <c r="B145" s="4">
        <f>IF($A145=B$139,"",COUNTIF($D$4:$D$135,$A145&amp;" ضد "&amp;B$139)+COUNTIF($D$4:$D$135,B$139&amp;" ضد "&amp;$A145))</f>
        <v>2</v>
      </c>
      <c r="C145" s="4">
        <f>IF($A145=C$139,"",COUNTIF($D$4:$D$135,$A145&amp;" ضد "&amp;C$139)+COUNTIF($D$4:$D$135,C$139&amp;" ضد "&amp;$A145))</f>
        <v>2</v>
      </c>
      <c r="D145" s="4">
        <f>IF($A145=D$139,"",COUNTIF($D$4:$D$135,$A145&amp;" ضد "&amp;D$139)+COUNTIF($D$4:$D$135,D$139&amp;" ضد "&amp;$A145))</f>
        <v>2</v>
      </c>
      <c r="E145" s="4">
        <f>IF($A145=E$139,"",COUNTIF($D$4:$D$135,$A145&amp;" ضد "&amp;E$139)+COUNTIF($D$4:$D$135,E$139&amp;" ضد "&amp;$A145))</f>
        <v>2</v>
      </c>
      <c r="F145" s="4">
        <f>IF($A145=F$139,"",COUNTIF($D$4:$D$135,$A145&amp;" ضد "&amp;F$139)+COUNTIF($D$4:$D$135,F$139&amp;" ضد "&amp;$A145))</f>
        <v>2</v>
      </c>
      <c r="G145" s="4" t="str">
        <f>IF($A145=G$139,"",COUNTIF($D$4:$D$135,$A145&amp;" ضد "&amp;G$139)+COUNTIF($D$4:$D$135,G$139&amp;" ضد "&amp;$A145))</f>
        <v/>
      </c>
      <c r="H145" s="4">
        <f>IF($A145=H$139,"",COUNTIF($D$4:$D$135,$A145&amp;" ضد "&amp;H$139)+COUNTIF($D$4:$D$135,H$139&amp;" ضد "&amp;$A145))</f>
        <v>2</v>
      </c>
      <c r="I145" s="4">
        <f>IF($A145=I$139,"",COUNTIF($D$4:$D$135,$A145&amp;" ضد "&amp;I$139)+COUNTIF($D$4:$D$135,I$139&amp;" ضد "&amp;$A145))</f>
        <v>2</v>
      </c>
      <c r="J145" s="4">
        <f>IF($A145=J$139,"",COUNTIF($D$4:$D$135,$A145&amp;" ضد "&amp;J$139)+COUNTIF($D$4:$D$135,J$139&amp;" ضد "&amp;$A145))</f>
        <v>2</v>
      </c>
      <c r="K145" s="4">
        <f>IF($A145=K$139,"",COUNTIF($D$4:$D$135,$A145&amp;" ضد "&amp;K$139)+COUNTIF($D$4:$D$135,K$139&amp;" ضد "&amp;$A145))</f>
        <v>2</v>
      </c>
      <c r="L145" s="4">
        <f>IF($A145=L$139,"",COUNTIF($D$4:$D$135,$A145&amp;" ضد "&amp;L$139)+COUNTIF($D$4:$D$135,L$139&amp;" ضد "&amp;$A145))</f>
        <v>2</v>
      </c>
      <c r="M145" s="4">
        <f>IF($A145=M$139,"",COUNTIF($D$4:$D$135,$A145&amp;" ضد "&amp;M$139)+COUNTIF($D$4:$D$135,M$139&amp;" ضد "&amp;$A145))</f>
        <v>2</v>
      </c>
    </row>
    <row r="146" spans="1:13" ht="14.5">
      <c r="A146" s="14">
        <v>7</v>
      </c>
      <c r="B146" s="4">
        <f>IF($A146=B$139,"",COUNTIF($D$4:$D$135,$A146&amp;" ضد "&amp;B$139)+COUNTIF($D$4:$D$135,B$139&amp;" ضد "&amp;$A146))</f>
        <v>2</v>
      </c>
      <c r="C146" s="4">
        <f>IF($A146=C$139,"",COUNTIF($D$4:$D$135,$A146&amp;" ضد "&amp;C$139)+COUNTIF($D$4:$D$135,C$139&amp;" ضد "&amp;$A146))</f>
        <v>2</v>
      </c>
      <c r="D146" s="4">
        <f>IF($A146=D$139,"",COUNTIF($D$4:$D$135,$A146&amp;" ضد "&amp;D$139)+COUNTIF($D$4:$D$135,D$139&amp;" ضد "&amp;$A146))</f>
        <v>2</v>
      </c>
      <c r="E146" s="4">
        <f>IF($A146=E$139,"",COUNTIF($D$4:$D$135,$A146&amp;" ضد "&amp;E$139)+COUNTIF($D$4:$D$135,E$139&amp;" ضد "&amp;$A146))</f>
        <v>2</v>
      </c>
      <c r="F146" s="4">
        <f>IF($A146=F$139,"",COUNTIF($D$4:$D$135,$A146&amp;" ضد "&amp;F$139)+COUNTIF($D$4:$D$135,F$139&amp;" ضد "&amp;$A146))</f>
        <v>2</v>
      </c>
      <c r="G146" s="4">
        <f>IF($A146=G$139,"",COUNTIF($D$4:$D$135,$A146&amp;" ضد "&amp;G$139)+COUNTIF($D$4:$D$135,G$139&amp;" ضد "&amp;$A146))</f>
        <v>2</v>
      </c>
      <c r="H146" s="4" t="str">
        <f>IF($A146=H$139,"",COUNTIF($D$4:$D$135,$A146&amp;" ضد "&amp;H$139)+COUNTIF($D$4:$D$135,H$139&amp;" ضد "&amp;$A146))</f>
        <v/>
      </c>
      <c r="I146" s="4">
        <f>IF($A146=I$139,"",COUNTIF($D$4:$D$135,$A146&amp;" ضد "&amp;I$139)+COUNTIF($D$4:$D$135,I$139&amp;" ضد "&amp;$A146))</f>
        <v>2</v>
      </c>
      <c r="J146" s="4">
        <f>IF($A146=J$139,"",COUNTIF($D$4:$D$135,$A146&amp;" ضد "&amp;J$139)+COUNTIF($D$4:$D$135,J$139&amp;" ضد "&amp;$A146))</f>
        <v>2</v>
      </c>
      <c r="K146" s="4">
        <f>IF($A146=K$139,"",COUNTIF($D$4:$D$135,$A146&amp;" ضد "&amp;K$139)+COUNTIF($D$4:$D$135,K$139&amp;" ضد "&amp;$A146))</f>
        <v>2</v>
      </c>
      <c r="L146" s="4">
        <f>IF($A146=L$139,"",COUNTIF($D$4:$D$135,$A146&amp;" ضد "&amp;L$139)+COUNTIF($D$4:$D$135,L$139&amp;" ضد "&amp;$A146))</f>
        <v>2</v>
      </c>
      <c r="M146" s="4">
        <f>IF($A146=M$139,"",COUNTIF($D$4:$D$135,$A146&amp;" ضد "&amp;M$139)+COUNTIF($D$4:$D$135,M$139&amp;" ضد "&amp;$A146))</f>
        <v>2</v>
      </c>
    </row>
    <row r="147" spans="1:13" ht="14.5">
      <c r="A147" s="14">
        <v>8</v>
      </c>
      <c r="B147" s="4">
        <f>IF($A147=B$139,"",COUNTIF($D$4:$D$135,$A147&amp;" ضد "&amp;B$139)+COUNTIF($D$4:$D$135,B$139&amp;" ضد "&amp;$A147))</f>
        <v>2</v>
      </c>
      <c r="C147" s="4">
        <f>IF($A147=C$139,"",COUNTIF($D$4:$D$135,$A147&amp;" ضد "&amp;C$139)+COUNTIF($D$4:$D$135,C$139&amp;" ضد "&amp;$A147))</f>
        <v>2</v>
      </c>
      <c r="D147" s="4">
        <f>IF($A147=D$139,"",COUNTIF($D$4:$D$135,$A147&amp;" ضد "&amp;D$139)+COUNTIF($D$4:$D$135,D$139&amp;" ضد "&amp;$A147))</f>
        <v>2</v>
      </c>
      <c r="E147" s="4">
        <f>IF($A147=E$139,"",COUNTIF($D$4:$D$135,$A147&amp;" ضد "&amp;E$139)+COUNTIF($D$4:$D$135,E$139&amp;" ضد "&amp;$A147))</f>
        <v>2</v>
      </c>
      <c r="F147" s="4">
        <f>IF($A147=F$139,"",COUNTIF($D$4:$D$135,$A147&amp;" ضد "&amp;F$139)+COUNTIF($D$4:$D$135,F$139&amp;" ضد "&amp;$A147))</f>
        <v>2</v>
      </c>
      <c r="G147" s="4">
        <f>IF($A147=G$139,"",COUNTIF($D$4:$D$135,$A147&amp;" ضد "&amp;G$139)+COUNTIF($D$4:$D$135,G$139&amp;" ضد "&amp;$A147))</f>
        <v>2</v>
      </c>
      <c r="H147" s="4">
        <f>IF($A147=H$139,"",COUNTIF($D$4:$D$135,$A147&amp;" ضد "&amp;H$139)+COUNTIF($D$4:$D$135,H$139&amp;" ضد "&amp;$A147))</f>
        <v>2</v>
      </c>
      <c r="I147" s="4" t="str">
        <f>IF($A147=I$139,"",COUNTIF($D$4:$D$135,$A147&amp;" ضد "&amp;I$139)+COUNTIF($D$4:$D$135,I$139&amp;" ضد "&amp;$A147))</f>
        <v/>
      </c>
      <c r="J147" s="4">
        <f>IF($A147=J$139,"",COUNTIF($D$4:$D$135,$A147&amp;" ضد "&amp;J$139)+COUNTIF($D$4:$D$135,J$139&amp;" ضد "&amp;$A147))</f>
        <v>2</v>
      </c>
      <c r="K147" s="4">
        <f>IF($A147=K$139,"",COUNTIF($D$4:$D$135,$A147&amp;" ضد "&amp;K$139)+COUNTIF($D$4:$D$135,K$139&amp;" ضد "&amp;$A147))</f>
        <v>2</v>
      </c>
      <c r="L147" s="4">
        <f>IF($A147=L$139,"",COUNTIF($D$4:$D$135,$A147&amp;" ضد "&amp;L$139)+COUNTIF($D$4:$D$135,L$139&amp;" ضد "&amp;$A147))</f>
        <v>2</v>
      </c>
      <c r="M147" s="4">
        <f>IF($A147=M$139,"",COUNTIF($D$4:$D$135,$A147&amp;" ضد "&amp;M$139)+COUNTIF($D$4:$D$135,M$139&amp;" ضد "&amp;$A147))</f>
        <v>2</v>
      </c>
    </row>
    <row r="148" spans="1:13" ht="14.5">
      <c r="A148" s="14">
        <v>9</v>
      </c>
      <c r="B148" s="4">
        <f>IF($A148=B$139,"",COUNTIF($D$4:$D$135,$A148&amp;" ضد "&amp;B$139)+COUNTIF($D$4:$D$135,B$139&amp;" ضد "&amp;$A148))</f>
        <v>2</v>
      </c>
      <c r="C148" s="4">
        <f>IF($A148=C$139,"",COUNTIF($D$4:$D$135,$A148&amp;" ضد "&amp;C$139)+COUNTIF($D$4:$D$135,C$139&amp;" ضد "&amp;$A148))</f>
        <v>2</v>
      </c>
      <c r="D148" s="4">
        <f>IF($A148=D$139,"",COUNTIF($D$4:$D$135,$A148&amp;" ضد "&amp;D$139)+COUNTIF($D$4:$D$135,D$139&amp;" ضد "&amp;$A148))</f>
        <v>2</v>
      </c>
      <c r="E148" s="4">
        <f>IF($A148=E$139,"",COUNTIF($D$4:$D$135,$A148&amp;" ضد "&amp;E$139)+COUNTIF($D$4:$D$135,E$139&amp;" ضد "&amp;$A148))</f>
        <v>2</v>
      </c>
      <c r="F148" s="4">
        <f>IF($A148=F$139,"",COUNTIF($D$4:$D$135,$A148&amp;" ضد "&amp;F$139)+COUNTIF($D$4:$D$135,F$139&amp;" ضد "&amp;$A148))</f>
        <v>2</v>
      </c>
      <c r="G148" s="4">
        <f>IF($A148=G$139,"",COUNTIF($D$4:$D$135,$A148&amp;" ضد "&amp;G$139)+COUNTIF($D$4:$D$135,G$139&amp;" ضد "&amp;$A148))</f>
        <v>2</v>
      </c>
      <c r="H148" s="4">
        <f>IF($A148=H$139,"",COUNTIF($D$4:$D$135,$A148&amp;" ضد "&amp;H$139)+COUNTIF($D$4:$D$135,H$139&amp;" ضد "&amp;$A148))</f>
        <v>2</v>
      </c>
      <c r="I148" s="4">
        <f>IF($A148=I$139,"",COUNTIF($D$4:$D$135,$A148&amp;" ضد "&amp;I$139)+COUNTIF($D$4:$D$135,I$139&amp;" ضد "&amp;$A148))</f>
        <v>2</v>
      </c>
      <c r="J148" s="4" t="str">
        <f>IF($A148=J$139,"",COUNTIF($D$4:$D$135,$A148&amp;" ضد "&amp;J$139)+COUNTIF($D$4:$D$135,J$139&amp;" ضد "&amp;$A148))</f>
        <v/>
      </c>
      <c r="K148" s="4">
        <f>IF($A148=K$139,"",COUNTIF($D$4:$D$135,$A148&amp;" ضد "&amp;K$139)+COUNTIF($D$4:$D$135,K$139&amp;" ضد "&amp;$A148))</f>
        <v>2</v>
      </c>
      <c r="L148" s="4">
        <f>IF($A148=L$139,"",COUNTIF($D$4:$D$135,$A148&amp;" ضد "&amp;L$139)+COUNTIF($D$4:$D$135,L$139&amp;" ضد "&amp;$A148))</f>
        <v>2</v>
      </c>
      <c r="M148" s="4">
        <f>IF($A148=M$139,"",COUNTIF($D$4:$D$135,$A148&amp;" ضد "&amp;M$139)+COUNTIF($D$4:$D$135,M$139&amp;" ضد "&amp;$A148))</f>
        <v>2</v>
      </c>
    </row>
    <row r="149" spans="1:13" ht="14.5">
      <c r="A149" s="14">
        <v>10</v>
      </c>
      <c r="B149" s="4">
        <f>IF($A149=B$139,"",COUNTIF($D$4:$D$135,$A149&amp;" ضد "&amp;B$139)+COUNTIF($D$4:$D$135,B$139&amp;" ضد "&amp;$A149))</f>
        <v>2</v>
      </c>
      <c r="C149" s="4">
        <f>IF($A149=C$139,"",COUNTIF($D$4:$D$135,$A149&amp;" ضد "&amp;C$139)+COUNTIF($D$4:$D$135,C$139&amp;" ضد "&amp;$A149))</f>
        <v>2</v>
      </c>
      <c r="D149" s="4">
        <f>IF($A149=D$139,"",COUNTIF($D$4:$D$135,$A149&amp;" ضد "&amp;D$139)+COUNTIF($D$4:$D$135,D$139&amp;" ضد "&amp;$A149))</f>
        <v>2</v>
      </c>
      <c r="E149" s="4">
        <f>IF($A149=E$139,"",COUNTIF($D$4:$D$135,$A149&amp;" ضد "&amp;E$139)+COUNTIF($D$4:$D$135,E$139&amp;" ضد "&amp;$A149))</f>
        <v>2</v>
      </c>
      <c r="F149" s="4">
        <f>IF($A149=F$139,"",COUNTIF($D$4:$D$135,$A149&amp;" ضد "&amp;F$139)+COUNTIF($D$4:$D$135,F$139&amp;" ضد "&amp;$A149))</f>
        <v>2</v>
      </c>
      <c r="G149" s="4">
        <f>IF($A149=G$139,"",COUNTIF($D$4:$D$135,$A149&amp;" ضد "&amp;G$139)+COUNTIF($D$4:$D$135,G$139&amp;" ضد "&amp;$A149))</f>
        <v>2</v>
      </c>
      <c r="H149" s="4">
        <f>IF($A149=H$139,"",COUNTIF($D$4:$D$135,$A149&amp;" ضد "&amp;H$139)+COUNTIF($D$4:$D$135,H$139&amp;" ضد "&amp;$A149))</f>
        <v>2</v>
      </c>
      <c r="I149" s="4">
        <f>IF($A149=I$139,"",COUNTIF($D$4:$D$135,$A149&amp;" ضد "&amp;I$139)+COUNTIF($D$4:$D$135,I$139&amp;" ضد "&amp;$A149))</f>
        <v>2</v>
      </c>
      <c r="J149" s="4">
        <f>IF($A149=J$139,"",COUNTIF($D$4:$D$135,$A149&amp;" ضد "&amp;J$139)+COUNTIF($D$4:$D$135,J$139&amp;" ضد "&amp;$A149))</f>
        <v>2</v>
      </c>
      <c r="K149" s="4" t="str">
        <f>IF($A149=K$139,"",COUNTIF($D$4:$D$135,$A149&amp;" ضد "&amp;K$139)+COUNTIF($D$4:$D$135,K$139&amp;" ضد "&amp;$A149))</f>
        <v/>
      </c>
      <c r="L149" s="4">
        <f>IF($A149=L$139,"",COUNTIF($D$4:$D$135,$A149&amp;" ضد "&amp;L$139)+COUNTIF($D$4:$D$135,L$139&amp;" ضد "&amp;$A149))</f>
        <v>2</v>
      </c>
      <c r="M149" s="4">
        <f>IF($A149=M$139,"",COUNTIF($D$4:$D$135,$A149&amp;" ضد "&amp;M$139)+COUNTIF($D$4:$D$135,M$139&amp;" ضد "&amp;$A149))</f>
        <v>2</v>
      </c>
    </row>
    <row r="150" spans="1:13" ht="14.5">
      <c r="A150" s="14">
        <v>11</v>
      </c>
      <c r="B150" s="4">
        <f>IF($A150=B$139,"",COUNTIF($D$4:$D$135,$A150&amp;" ضد "&amp;B$139)+COUNTIF($D$4:$D$135,B$139&amp;" ضد "&amp;$A150))</f>
        <v>2</v>
      </c>
      <c r="C150" s="4">
        <f>IF($A150=C$139,"",COUNTIF($D$4:$D$135,$A150&amp;" ضد "&amp;C$139)+COUNTIF($D$4:$D$135,C$139&amp;" ضد "&amp;$A150))</f>
        <v>2</v>
      </c>
      <c r="D150" s="4">
        <f>IF($A150=D$139,"",COUNTIF($D$4:$D$135,$A150&amp;" ضد "&amp;D$139)+COUNTIF($D$4:$D$135,D$139&amp;" ضد "&amp;$A150))</f>
        <v>2</v>
      </c>
      <c r="E150" s="4">
        <f>IF($A150=E$139,"",COUNTIF($D$4:$D$135,$A150&amp;" ضد "&amp;E$139)+COUNTIF($D$4:$D$135,E$139&amp;" ضد "&amp;$A150))</f>
        <v>2</v>
      </c>
      <c r="F150" s="4">
        <f>IF($A150=F$139,"",COUNTIF($D$4:$D$135,$A150&amp;" ضد "&amp;F$139)+COUNTIF($D$4:$D$135,F$139&amp;" ضد "&amp;$A150))</f>
        <v>2</v>
      </c>
      <c r="G150" s="4">
        <f>IF($A150=G$139,"",COUNTIF($D$4:$D$135,$A150&amp;" ضد "&amp;G$139)+COUNTIF($D$4:$D$135,G$139&amp;" ضد "&amp;$A150))</f>
        <v>2</v>
      </c>
      <c r="H150" s="4">
        <f>IF($A150=H$139,"",COUNTIF($D$4:$D$135,$A150&amp;" ضد "&amp;H$139)+COUNTIF($D$4:$D$135,H$139&amp;" ضد "&amp;$A150))</f>
        <v>2</v>
      </c>
      <c r="I150" s="4">
        <f>IF($A150=I$139,"",COUNTIF($D$4:$D$135,$A150&amp;" ضد "&amp;I$139)+COUNTIF($D$4:$D$135,I$139&amp;" ضد "&amp;$A150))</f>
        <v>2</v>
      </c>
      <c r="J150" s="4">
        <f>IF($A150=J$139,"",COUNTIF($D$4:$D$135,$A150&amp;" ضد "&amp;J$139)+COUNTIF($D$4:$D$135,J$139&amp;" ضد "&amp;$A150))</f>
        <v>2</v>
      </c>
      <c r="K150" s="4">
        <f>IF($A150=K$139,"",COUNTIF($D$4:$D$135,$A150&amp;" ضد "&amp;K$139)+COUNTIF($D$4:$D$135,K$139&amp;" ضد "&amp;$A150))</f>
        <v>2</v>
      </c>
      <c r="L150" s="4" t="str">
        <f>IF($A150=L$139,"",COUNTIF($D$4:$D$135,$A150&amp;" ضد "&amp;L$139)+COUNTIF($D$4:$D$135,L$139&amp;" ضد "&amp;$A150))</f>
        <v/>
      </c>
      <c r="M150" s="4">
        <f>IF($A150=M$139,"",COUNTIF($D$4:$D$135,$A150&amp;" ضد "&amp;M$139)+COUNTIF($D$4:$D$135,M$139&amp;" ضد "&amp;$A150))</f>
        <v>2</v>
      </c>
    </row>
    <row r="151" spans="1:13" ht="14.5">
      <c r="A151" s="14">
        <v>12</v>
      </c>
      <c r="B151" s="4">
        <f>IF($A151=B$139,"",COUNTIF($D$4:$D$135,$A151&amp;" ضد "&amp;B$139)+COUNTIF($D$4:$D$135,B$139&amp;" ضد "&amp;$A151))</f>
        <v>2</v>
      </c>
      <c r="C151" s="4">
        <f>IF($A151=C$139,"",COUNTIF($D$4:$D$135,$A151&amp;" ضد "&amp;C$139)+COUNTIF($D$4:$D$135,C$139&amp;" ضد "&amp;$A151))</f>
        <v>2</v>
      </c>
      <c r="D151" s="4">
        <f>IF($A151=D$139,"",COUNTIF($D$4:$D$135,$A151&amp;" ضد "&amp;D$139)+COUNTIF($D$4:$D$135,D$139&amp;" ضد "&amp;$A151))</f>
        <v>2</v>
      </c>
      <c r="E151" s="4">
        <f>IF($A151=E$139,"",COUNTIF($D$4:$D$135,$A151&amp;" ضد "&amp;E$139)+COUNTIF($D$4:$D$135,E$139&amp;" ضد "&amp;$A151))</f>
        <v>2</v>
      </c>
      <c r="F151" s="4">
        <f>IF($A151=F$139,"",COUNTIF($D$4:$D$135,$A151&amp;" ضد "&amp;F$139)+COUNTIF($D$4:$D$135,F$139&amp;" ضد "&amp;$A151))</f>
        <v>2</v>
      </c>
      <c r="G151" s="4">
        <f>IF($A151=G$139,"",COUNTIF($D$4:$D$135,$A151&amp;" ضد "&amp;G$139)+COUNTIF($D$4:$D$135,G$139&amp;" ضد "&amp;$A151))</f>
        <v>2</v>
      </c>
      <c r="H151" s="4">
        <f>IF($A151=H$139,"",COUNTIF($D$4:$D$135,$A151&amp;" ضد "&amp;H$139)+COUNTIF($D$4:$D$135,H$139&amp;" ضد "&amp;$A151))</f>
        <v>2</v>
      </c>
      <c r="I151" s="4">
        <f>IF($A151=I$139,"",COUNTIF($D$4:$D$135,$A151&amp;" ضد "&amp;I$139)+COUNTIF($D$4:$D$135,I$139&amp;" ضد "&amp;$A151))</f>
        <v>2</v>
      </c>
      <c r="J151" s="4">
        <f>IF($A151=J$139,"",COUNTIF($D$4:$D$135,$A151&amp;" ضد "&amp;J$139)+COUNTIF($D$4:$D$135,J$139&amp;" ضد "&amp;$A151))</f>
        <v>2</v>
      </c>
      <c r="K151" s="4">
        <f>IF($A151=K$139,"",COUNTIF($D$4:$D$135,$A151&amp;" ضد "&amp;K$139)+COUNTIF($D$4:$D$135,K$139&amp;" ضد "&amp;$A151))</f>
        <v>2</v>
      </c>
      <c r="L151" s="4">
        <f>IF($A151=L$139,"",COUNTIF($D$4:$D$135,$A151&amp;" ضد "&amp;L$139)+COUNTIF($D$4:$D$135,L$139&amp;" ضد "&amp;$A151))</f>
        <v>2</v>
      </c>
      <c r="M151" s="4" t="str">
        <f>IF($A151=M$139,"",COUNTIF($D$4:$D$135,$A151&amp;" ضد "&amp;M$139)+COUNTIF($D$4:$D$135,M$139&amp;" ضد "&amp;$A151))</f>
        <v/>
      </c>
    </row>
    <row r="152" spans="1:13" ht="14.5">
      <c r="A152" s="14" t="s">
        <v>1033</v>
      </c>
      <c r="B152" s="4" cm="1">
        <f t="array" ref="B152">MIN(IF(B140:M151&gt;0,B140:M151))</f>
        <v>2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4.5">
      <c r="A153" s="14" t="s">
        <v>830</v>
      </c>
      <c r="B153" s="4">
        <f>MAX(B140:M151)</f>
        <v>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</sheetData>
  <mergeCells count="2">
    <mergeCell ref="A1:D1"/>
    <mergeCell ref="A138:M1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30D1-8D41-4724-A2D5-5C3026057C82}">
  <dimension ref="A1:N146"/>
  <sheetViews>
    <sheetView rightToLeft="1" tabSelected="1" topLeftCell="B1" workbookViewId="0">
      <pane ySplit="3" topLeftCell="A111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985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10</v>
      </c>
      <c r="F4" s="2"/>
    </row>
    <row r="5" spans="1:6" ht="14" customHeight="1">
      <c r="A5" s="8">
        <v>1</v>
      </c>
      <c r="B5" s="7" t="str">
        <f>المدخلات!$F$5</f>
        <v>5:20–6:30 م</v>
      </c>
      <c r="C5" s="7">
        <v>1</v>
      </c>
      <c r="D5" s="7" t="s">
        <v>593</v>
      </c>
      <c r="E5" s="7" t="s">
        <v>12</v>
      </c>
      <c r="F5" s="2"/>
    </row>
    <row r="6" spans="1:6" ht="14" customHeight="1">
      <c r="A6" s="8">
        <v>1</v>
      </c>
      <c r="B6" s="7" t="str">
        <f>المدخلات!$F$6</f>
        <v>6:40–7:50 م</v>
      </c>
      <c r="C6" s="7">
        <v>1</v>
      </c>
      <c r="D6" s="7" t="s">
        <v>593</v>
      </c>
      <c r="E6" s="7" t="s">
        <v>22</v>
      </c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2</v>
      </c>
      <c r="D7" s="7" t="s">
        <v>594</v>
      </c>
      <c r="E7" s="7" t="s">
        <v>56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594</v>
      </c>
      <c r="E8" s="7" t="s">
        <v>67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594</v>
      </c>
      <c r="E9" s="7" t="s">
        <v>89</v>
      </c>
      <c r="F9" s="2"/>
    </row>
    <row r="10" spans="1:6" ht="14" customHeight="1">
      <c r="A10" s="8">
        <v>2</v>
      </c>
      <c r="B10" s="7" t="str">
        <f>المدخلات!$F$4</f>
        <v>4:00–5:10 م</v>
      </c>
      <c r="C10" s="7">
        <v>1</v>
      </c>
      <c r="D10" s="7" t="s">
        <v>593</v>
      </c>
      <c r="E10" s="7" t="s">
        <v>25</v>
      </c>
      <c r="F10" s="2"/>
    </row>
    <row r="11" spans="1:6" ht="14" customHeight="1">
      <c r="A11" s="8">
        <v>2</v>
      </c>
      <c r="B11" s="7" t="str">
        <f>المدخلات!$F$5</f>
        <v>5:20–6:30 م</v>
      </c>
      <c r="C11" s="7">
        <v>1</v>
      </c>
      <c r="D11" s="7" t="s">
        <v>593</v>
      </c>
      <c r="E11" s="7" t="s">
        <v>1042</v>
      </c>
      <c r="F11" s="2"/>
    </row>
    <row r="12" spans="1:6" ht="14" customHeight="1">
      <c r="A12" s="8">
        <v>2</v>
      </c>
      <c r="B12" s="7" t="str">
        <f>المدخلات!$F$6</f>
        <v>6:40–7:50 م</v>
      </c>
      <c r="C12" s="7">
        <v>1</v>
      </c>
      <c r="D12" s="7" t="s">
        <v>593</v>
      </c>
      <c r="E12" s="7" t="s">
        <v>19</v>
      </c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2</v>
      </c>
      <c r="D13" s="7" t="s">
        <v>594</v>
      </c>
      <c r="E13" s="7" t="s">
        <v>722</v>
      </c>
      <c r="F13" s="2"/>
    </row>
    <row r="14" spans="1:6" ht="14" customHeight="1">
      <c r="A14" s="8">
        <v>2</v>
      </c>
      <c r="B14" s="7" t="str">
        <f>المدخلات!$F$5</f>
        <v>5:20–6:30 م</v>
      </c>
      <c r="C14" s="7">
        <v>2</v>
      </c>
      <c r="D14" s="7" t="s">
        <v>594</v>
      </c>
      <c r="E14" s="7" t="s">
        <v>90</v>
      </c>
      <c r="F14" s="2"/>
    </row>
    <row r="15" spans="1:6" ht="14" customHeight="1">
      <c r="A15" s="8">
        <v>2</v>
      </c>
      <c r="B15" s="7" t="str">
        <f>المدخلات!$F$6</f>
        <v>6:40–7:50 م</v>
      </c>
      <c r="C15" s="7">
        <v>2</v>
      </c>
      <c r="D15" s="7" t="s">
        <v>594</v>
      </c>
      <c r="E15" s="7" t="s">
        <v>46</v>
      </c>
      <c r="F15" s="2"/>
    </row>
    <row r="16" spans="1:6" ht="14" customHeight="1">
      <c r="A16" s="8">
        <v>3</v>
      </c>
      <c r="B16" s="7" t="str">
        <f>المدخلات!$F$4</f>
        <v>4:00–5:10 م</v>
      </c>
      <c r="C16" s="7">
        <v>1</v>
      </c>
      <c r="D16" s="7" t="s">
        <v>593</v>
      </c>
      <c r="E16" s="7" t="s">
        <v>17</v>
      </c>
      <c r="F16" s="2"/>
    </row>
    <row r="17" spans="1:6" ht="14" customHeight="1">
      <c r="A17" s="8">
        <v>3</v>
      </c>
      <c r="B17" s="7" t="str">
        <f>المدخلات!$F$5</f>
        <v>5:20–6:30 م</v>
      </c>
      <c r="C17" s="7">
        <v>1</v>
      </c>
      <c r="D17" s="7" t="s">
        <v>593</v>
      </c>
      <c r="E17" s="7" t="s">
        <v>607</v>
      </c>
      <c r="F17" s="2"/>
    </row>
    <row r="18" spans="1:6" ht="14" customHeight="1">
      <c r="A18" s="8">
        <v>3</v>
      </c>
      <c r="B18" s="7" t="str">
        <f>المدخلات!$F$6</f>
        <v>6:40–7:50 م</v>
      </c>
      <c r="C18" s="7">
        <v>1</v>
      </c>
      <c r="D18" s="7" t="s">
        <v>593</v>
      </c>
      <c r="E18" s="7" t="s">
        <v>1039</v>
      </c>
      <c r="F18" s="2"/>
    </row>
    <row r="19" spans="1:6" ht="14" customHeight="1">
      <c r="A19" s="8">
        <v>3</v>
      </c>
      <c r="B19" s="7" t="str">
        <f>المدخلات!$F$4</f>
        <v>4:00–5:10 م</v>
      </c>
      <c r="C19" s="7">
        <v>2</v>
      </c>
      <c r="D19" s="7" t="s">
        <v>594</v>
      </c>
      <c r="E19" s="7" t="s">
        <v>706</v>
      </c>
      <c r="F19" s="2"/>
    </row>
    <row r="20" spans="1:6" ht="14" customHeight="1">
      <c r="A20" s="8">
        <v>3</v>
      </c>
      <c r="B20" s="7" t="str">
        <f>المدخلات!$F$5</f>
        <v>5:20–6:30 م</v>
      </c>
      <c r="C20" s="7">
        <v>2</v>
      </c>
      <c r="D20" s="7" t="s">
        <v>594</v>
      </c>
      <c r="E20" s="7" t="s">
        <v>64</v>
      </c>
      <c r="F20" s="2"/>
    </row>
    <row r="21" spans="1:6" ht="14" customHeight="1">
      <c r="A21" s="8">
        <v>3</v>
      </c>
      <c r="B21" s="7" t="str">
        <f>المدخلات!$F$6</f>
        <v>6:40–7:50 م</v>
      </c>
      <c r="C21" s="7">
        <v>2</v>
      </c>
      <c r="D21" s="7" t="s">
        <v>594</v>
      </c>
      <c r="E21" s="7" t="s">
        <v>53</v>
      </c>
      <c r="F21" s="2"/>
    </row>
    <row r="22" spans="1:6" ht="14" customHeight="1">
      <c r="A22" s="8">
        <v>4</v>
      </c>
      <c r="B22" s="7" t="str">
        <f>المدخلات!$F$4</f>
        <v>4:00–5:10 م</v>
      </c>
      <c r="C22" s="7">
        <v>1</v>
      </c>
      <c r="D22" s="7" t="s">
        <v>593</v>
      </c>
      <c r="E22" s="7" t="s">
        <v>622</v>
      </c>
      <c r="F22" s="2"/>
    </row>
    <row r="23" spans="1:6" ht="14" customHeight="1">
      <c r="A23" s="8">
        <v>4</v>
      </c>
      <c r="B23" s="7" t="str">
        <f>المدخلات!$F$5</f>
        <v>5:20–6:30 م</v>
      </c>
      <c r="C23" s="7">
        <v>1</v>
      </c>
      <c r="D23" s="7" t="s">
        <v>593</v>
      </c>
      <c r="E23" s="7" t="s">
        <v>9</v>
      </c>
      <c r="F23" s="2"/>
    </row>
    <row r="24" spans="1:6" ht="14" customHeight="1">
      <c r="A24" s="8">
        <v>4</v>
      </c>
      <c r="B24" s="7" t="str">
        <f>المدخلات!$F$6</f>
        <v>6:40–7:50 م</v>
      </c>
      <c r="C24" s="7">
        <v>1</v>
      </c>
      <c r="D24" s="7" t="s">
        <v>593</v>
      </c>
      <c r="E24" s="7" t="s">
        <v>20</v>
      </c>
      <c r="F24" s="2"/>
    </row>
    <row r="25" spans="1:6" ht="14" customHeight="1">
      <c r="A25" s="8">
        <v>4</v>
      </c>
      <c r="B25" s="7" t="str">
        <f>المدخلات!$F$4</f>
        <v>4:00–5:10 م</v>
      </c>
      <c r="C25" s="7">
        <v>2</v>
      </c>
      <c r="D25" s="7" t="s">
        <v>594</v>
      </c>
      <c r="E25" s="7" t="s">
        <v>721</v>
      </c>
      <c r="F25" s="2"/>
    </row>
    <row r="26" spans="1:6" ht="14" customHeight="1">
      <c r="A26" s="8">
        <v>4</v>
      </c>
      <c r="B26" s="7" t="str">
        <f>المدخلات!$F$5</f>
        <v>5:20–6:30 م</v>
      </c>
      <c r="C26" s="7">
        <v>2</v>
      </c>
      <c r="D26" s="7" t="s">
        <v>594</v>
      </c>
      <c r="E26" s="7" t="s">
        <v>45</v>
      </c>
      <c r="F26" s="2"/>
    </row>
    <row r="27" spans="1:6" ht="14" customHeight="1">
      <c r="A27" s="8">
        <v>4</v>
      </c>
      <c r="B27" s="7" t="str">
        <f>المدخلات!$F$6</f>
        <v>6:40–7:50 م</v>
      </c>
      <c r="C27" s="7">
        <v>2</v>
      </c>
      <c r="D27" s="7" t="s">
        <v>594</v>
      </c>
      <c r="E27" s="7" t="s">
        <v>92</v>
      </c>
      <c r="F27" s="2"/>
    </row>
    <row r="28" spans="1:6" ht="14" customHeight="1">
      <c r="A28" s="8">
        <v>5</v>
      </c>
      <c r="B28" s="7" t="str">
        <f>المدخلات!$F$4</f>
        <v>4:00–5:10 م</v>
      </c>
      <c r="C28" s="7">
        <v>1</v>
      </c>
      <c r="D28" s="7" t="s">
        <v>593</v>
      </c>
      <c r="E28" s="7" t="s">
        <v>633</v>
      </c>
      <c r="F28" s="2"/>
    </row>
    <row r="29" spans="1:6" ht="14" customHeight="1">
      <c r="A29" s="8">
        <v>5</v>
      </c>
      <c r="B29" s="7" t="str">
        <f>المدخلات!$F$5</f>
        <v>5:20–6:30 م</v>
      </c>
      <c r="C29" s="7">
        <v>1</v>
      </c>
      <c r="D29" s="7" t="s">
        <v>593</v>
      </c>
      <c r="E29" s="7" t="s">
        <v>18</v>
      </c>
      <c r="F29" s="2"/>
    </row>
    <row r="30" spans="1:6" ht="14" customHeight="1">
      <c r="A30" s="8">
        <v>5</v>
      </c>
      <c r="B30" s="7" t="str">
        <f>المدخلات!$F$6</f>
        <v>6:40–7:50 م</v>
      </c>
      <c r="C30" s="7">
        <v>1</v>
      </c>
      <c r="D30" s="7" t="s">
        <v>593</v>
      </c>
      <c r="E30" s="7" t="s">
        <v>634</v>
      </c>
      <c r="F30" s="2"/>
    </row>
    <row r="31" spans="1:6" ht="14" customHeight="1">
      <c r="A31" s="8">
        <v>5</v>
      </c>
      <c r="B31" s="7" t="str">
        <f>المدخلات!$F$4</f>
        <v>4:00–5:10 م</v>
      </c>
      <c r="C31" s="7">
        <v>2</v>
      </c>
      <c r="D31" s="7" t="s">
        <v>594</v>
      </c>
      <c r="E31" s="7" t="s">
        <v>1065</v>
      </c>
      <c r="F31" s="2"/>
    </row>
    <row r="32" spans="1:6" ht="14" customHeight="1">
      <c r="A32" s="8">
        <v>5</v>
      </c>
      <c r="B32" s="7" t="str">
        <f>المدخلات!$F$5</f>
        <v>5:20–6:30 م</v>
      </c>
      <c r="C32" s="7">
        <v>2</v>
      </c>
      <c r="D32" s="7" t="s">
        <v>594</v>
      </c>
      <c r="E32" s="7" t="s">
        <v>1051</v>
      </c>
      <c r="F32" s="2"/>
    </row>
    <row r="33" spans="1:6" ht="14" customHeight="1">
      <c r="A33" s="8">
        <v>5</v>
      </c>
      <c r="B33" s="7" t="str">
        <f>المدخلات!$F$6</f>
        <v>6:40–7:50 م</v>
      </c>
      <c r="C33" s="7">
        <v>2</v>
      </c>
      <c r="D33" s="7" t="s">
        <v>594</v>
      </c>
      <c r="E33" s="7" t="s">
        <v>72</v>
      </c>
      <c r="F33" s="2"/>
    </row>
    <row r="34" spans="1:6" ht="14" customHeight="1">
      <c r="A34" s="8">
        <v>6</v>
      </c>
      <c r="B34" s="7" t="str">
        <f>المدخلات!$F$4</f>
        <v>4:00–5:10 م</v>
      </c>
      <c r="C34" s="7">
        <v>1</v>
      </c>
      <c r="D34" s="7" t="s">
        <v>593</v>
      </c>
      <c r="E34" s="7" t="s">
        <v>16</v>
      </c>
      <c r="F34" s="2"/>
    </row>
    <row r="35" spans="1:6" ht="14" customHeight="1">
      <c r="A35" s="8">
        <v>6</v>
      </c>
      <c r="B35" s="7" t="str">
        <f>المدخلات!$F$5</f>
        <v>5:20–6:30 م</v>
      </c>
      <c r="C35" s="7">
        <v>1</v>
      </c>
      <c r="D35" s="7" t="s">
        <v>593</v>
      </c>
      <c r="E35" s="7" t="s">
        <v>1037</v>
      </c>
      <c r="F35" s="2"/>
    </row>
    <row r="36" spans="1:6" ht="14" customHeight="1">
      <c r="A36" s="8">
        <v>6</v>
      </c>
      <c r="B36" s="7" t="str">
        <f>المدخلات!$F$6</f>
        <v>6:40–7:50 م</v>
      </c>
      <c r="C36" s="7">
        <v>1</v>
      </c>
      <c r="D36" s="7" t="s">
        <v>593</v>
      </c>
      <c r="E36" s="7" t="s">
        <v>26</v>
      </c>
      <c r="F36" s="2"/>
    </row>
    <row r="37" spans="1:6" ht="14" customHeight="1">
      <c r="A37" s="8">
        <v>6</v>
      </c>
      <c r="B37" s="7" t="str">
        <f>المدخلات!$F$4</f>
        <v>4:00–5:10 م</v>
      </c>
      <c r="C37" s="7">
        <v>2</v>
      </c>
      <c r="D37" s="7" t="s">
        <v>594</v>
      </c>
      <c r="E37" s="7" t="s">
        <v>1068</v>
      </c>
      <c r="F37" s="2"/>
    </row>
    <row r="38" spans="1:6" ht="14" customHeight="1">
      <c r="A38" s="8">
        <v>6</v>
      </c>
      <c r="B38" s="7" t="str">
        <f>المدخلات!$F$5</f>
        <v>5:20–6:30 م</v>
      </c>
      <c r="C38" s="7">
        <v>2</v>
      </c>
      <c r="D38" s="7" t="s">
        <v>594</v>
      </c>
      <c r="E38" s="7" t="s">
        <v>1066</v>
      </c>
      <c r="F38" s="2"/>
    </row>
    <row r="39" spans="1:6" ht="14" customHeight="1">
      <c r="A39" s="8">
        <v>6</v>
      </c>
      <c r="B39" s="7" t="str">
        <f>المدخلات!$F$6</f>
        <v>6:40–7:50 م</v>
      </c>
      <c r="C39" s="7">
        <v>2</v>
      </c>
      <c r="D39" s="7" t="s">
        <v>594</v>
      </c>
      <c r="E39" s="7" t="s">
        <v>56</v>
      </c>
      <c r="F39" s="2"/>
    </row>
    <row r="40" spans="1:6" ht="14" customHeight="1">
      <c r="A40" s="8">
        <v>7</v>
      </c>
      <c r="B40" s="7" t="str">
        <f>المدخلات!$F$4</f>
        <v>4:00–5:10 م</v>
      </c>
      <c r="C40" s="7">
        <v>1</v>
      </c>
      <c r="D40" s="7" t="s">
        <v>593</v>
      </c>
      <c r="E40" s="7" t="s">
        <v>14</v>
      </c>
      <c r="F40" s="2"/>
    </row>
    <row r="41" spans="1:6" ht="14" customHeight="1">
      <c r="A41" s="8">
        <v>7</v>
      </c>
      <c r="B41" s="7" t="str">
        <f>المدخلات!$F$5</f>
        <v>5:20–6:30 م</v>
      </c>
      <c r="C41" s="7">
        <v>1</v>
      </c>
      <c r="D41" s="7" t="s">
        <v>593</v>
      </c>
      <c r="E41" s="7" t="s">
        <v>23</v>
      </c>
      <c r="F41" s="2"/>
    </row>
    <row r="42" spans="1:6" ht="14" customHeight="1">
      <c r="A42" s="8">
        <v>7</v>
      </c>
      <c r="B42" s="7" t="str">
        <f>المدخلات!$F$6</f>
        <v>6:40–7:50 م</v>
      </c>
      <c r="C42" s="7">
        <v>1</v>
      </c>
      <c r="D42" s="7" t="s">
        <v>593</v>
      </c>
      <c r="E42" s="7" t="s">
        <v>1040</v>
      </c>
      <c r="F42" s="2"/>
    </row>
    <row r="43" spans="1:6" ht="14" customHeight="1">
      <c r="A43" s="8">
        <v>7</v>
      </c>
      <c r="B43" s="7" t="str">
        <f>المدخلات!$F$4</f>
        <v>4:00–5:10 م</v>
      </c>
      <c r="C43" s="7">
        <v>2</v>
      </c>
      <c r="D43" s="7" t="s">
        <v>594</v>
      </c>
      <c r="E43" s="7" t="s">
        <v>68</v>
      </c>
      <c r="F43" s="2"/>
    </row>
    <row r="44" spans="1:6" ht="14" customHeight="1">
      <c r="A44" s="8">
        <v>7</v>
      </c>
      <c r="B44" s="7" t="str">
        <f>المدخلات!$F$5</f>
        <v>5:20–6:30 م</v>
      </c>
      <c r="C44" s="7">
        <v>2</v>
      </c>
      <c r="D44" s="7" t="s">
        <v>594</v>
      </c>
      <c r="E44" s="7" t="s">
        <v>90</v>
      </c>
      <c r="F44" s="2"/>
    </row>
    <row r="45" spans="1:6" ht="14" customHeight="1">
      <c r="A45" s="8">
        <v>7</v>
      </c>
      <c r="B45" s="7" t="str">
        <f>المدخلات!$F$6</f>
        <v>6:40–7:50 م</v>
      </c>
      <c r="C45" s="7">
        <v>2</v>
      </c>
      <c r="D45" s="7" t="s">
        <v>594</v>
      </c>
      <c r="E45" s="7" t="s">
        <v>46</v>
      </c>
      <c r="F45" s="2"/>
    </row>
    <row r="46" spans="1:6" ht="14" customHeight="1">
      <c r="A46" s="8">
        <v>8</v>
      </c>
      <c r="B46" s="7" t="str">
        <f>المدخلات!$F$4</f>
        <v>4:00–5:10 م</v>
      </c>
      <c r="C46" s="7">
        <v>1</v>
      </c>
      <c r="D46" s="7" t="s">
        <v>593</v>
      </c>
      <c r="E46" s="7" t="s">
        <v>12</v>
      </c>
      <c r="F46" s="2"/>
    </row>
    <row r="47" spans="1:6" ht="14" customHeight="1">
      <c r="A47" s="8">
        <v>8</v>
      </c>
      <c r="B47" s="7" t="str">
        <f>المدخلات!$F$5</f>
        <v>5:20–6:30 م</v>
      </c>
      <c r="C47" s="7">
        <v>1</v>
      </c>
      <c r="D47" s="7" t="s">
        <v>593</v>
      </c>
      <c r="E47" s="7" t="s">
        <v>1045</v>
      </c>
      <c r="F47" s="2"/>
    </row>
    <row r="48" spans="1:6" ht="14" customHeight="1">
      <c r="A48" s="8">
        <v>8</v>
      </c>
      <c r="B48" s="7" t="str">
        <f>المدخلات!$F$6</f>
        <v>6:40–7:50 م</v>
      </c>
      <c r="C48" s="7">
        <v>1</v>
      </c>
      <c r="D48" s="7" t="s">
        <v>593</v>
      </c>
      <c r="E48" s="7" t="s">
        <v>10</v>
      </c>
      <c r="F48" s="2"/>
    </row>
    <row r="49" spans="1:6" ht="14" customHeight="1">
      <c r="A49" s="8">
        <v>8</v>
      </c>
      <c r="B49" s="7" t="str">
        <f>المدخلات!$F$4</f>
        <v>4:00–5:10 م</v>
      </c>
      <c r="C49" s="7">
        <v>2</v>
      </c>
      <c r="D49" s="7" t="s">
        <v>594</v>
      </c>
      <c r="E49" s="7" t="s">
        <v>53</v>
      </c>
      <c r="F49" s="2"/>
    </row>
    <row r="50" spans="1:6" ht="14" customHeight="1">
      <c r="A50" s="8">
        <v>8</v>
      </c>
      <c r="B50" s="7" t="str">
        <f>المدخلات!$F$5</f>
        <v>5:20–6:30 م</v>
      </c>
      <c r="C50" s="7">
        <v>2</v>
      </c>
      <c r="D50" s="7" t="s">
        <v>594</v>
      </c>
      <c r="E50" s="7" t="s">
        <v>64</v>
      </c>
      <c r="F50" s="2"/>
    </row>
    <row r="51" spans="1:6" ht="14" customHeight="1">
      <c r="A51" s="8">
        <v>8</v>
      </c>
      <c r="B51" s="7" t="str">
        <f>المدخلات!$F$6</f>
        <v>6:40–7:50 م</v>
      </c>
      <c r="C51" s="7">
        <v>2</v>
      </c>
      <c r="D51" s="7" t="s">
        <v>594</v>
      </c>
      <c r="E51" s="7" t="s">
        <v>706</v>
      </c>
      <c r="F51" s="2"/>
    </row>
    <row r="52" spans="1:6" ht="14" customHeight="1">
      <c r="A52" s="8">
        <v>9</v>
      </c>
      <c r="B52" s="7" t="str">
        <f>المدخلات!$F$4</f>
        <v>4:00–5:10 م</v>
      </c>
      <c r="C52" s="7">
        <v>1</v>
      </c>
      <c r="D52" s="7" t="s">
        <v>593</v>
      </c>
      <c r="E52" s="7" t="s">
        <v>25</v>
      </c>
      <c r="F52" s="2"/>
    </row>
    <row r="53" spans="1:6" ht="14" customHeight="1">
      <c r="A53" s="8">
        <v>9</v>
      </c>
      <c r="B53" s="7" t="str">
        <f>المدخلات!$F$5</f>
        <v>5:20–6:30 م</v>
      </c>
      <c r="C53" s="7">
        <v>1</v>
      </c>
      <c r="D53" s="7" t="s">
        <v>593</v>
      </c>
      <c r="E53" s="7" t="s">
        <v>19</v>
      </c>
      <c r="F53" s="2"/>
    </row>
    <row r="54" spans="1:6" ht="14" customHeight="1">
      <c r="A54" s="8">
        <v>9</v>
      </c>
      <c r="B54" s="7" t="str">
        <f>المدخلات!$F$6</f>
        <v>6:40–7:50 م</v>
      </c>
      <c r="C54" s="7">
        <v>1</v>
      </c>
      <c r="D54" s="7" t="s">
        <v>593</v>
      </c>
      <c r="E54" s="7" t="s">
        <v>1042</v>
      </c>
      <c r="F54" s="2"/>
    </row>
    <row r="55" spans="1:6" ht="14" customHeight="1">
      <c r="A55" s="8">
        <v>9</v>
      </c>
      <c r="B55" s="7" t="str">
        <f>المدخلات!$F$4</f>
        <v>4:00–5:10 م</v>
      </c>
      <c r="C55" s="7">
        <v>2</v>
      </c>
      <c r="D55" s="7" t="s">
        <v>594</v>
      </c>
      <c r="E55" s="7" t="s">
        <v>92</v>
      </c>
      <c r="F55" s="2"/>
    </row>
    <row r="56" spans="1:6" ht="14" customHeight="1">
      <c r="A56" s="8">
        <v>9</v>
      </c>
      <c r="B56" s="7" t="str">
        <f>المدخلات!$F$5</f>
        <v>5:20–6:30 م</v>
      </c>
      <c r="C56" s="7">
        <v>2</v>
      </c>
      <c r="D56" s="7" t="s">
        <v>594</v>
      </c>
      <c r="E56" s="7" t="s">
        <v>52</v>
      </c>
      <c r="F56" s="2"/>
    </row>
    <row r="57" spans="1:6" ht="14" customHeight="1">
      <c r="A57" s="8">
        <v>9</v>
      </c>
      <c r="B57" s="7" t="str">
        <f>المدخلات!$F$6</f>
        <v>6:40–7:50 م</v>
      </c>
      <c r="C57" s="7">
        <v>2</v>
      </c>
      <c r="D57" s="7" t="s">
        <v>594</v>
      </c>
      <c r="E57" s="7" t="s">
        <v>740</v>
      </c>
      <c r="F57" s="2"/>
    </row>
    <row r="58" spans="1:6" ht="14" customHeight="1">
      <c r="A58" s="8">
        <v>10</v>
      </c>
      <c r="B58" s="7" t="str">
        <f>المدخلات!$F$4</f>
        <v>4:00–5:10 م</v>
      </c>
      <c r="C58" s="7">
        <v>1</v>
      </c>
      <c r="D58" s="7" t="s">
        <v>593</v>
      </c>
      <c r="E58" s="7" t="s">
        <v>621</v>
      </c>
      <c r="F58" s="2"/>
    </row>
    <row r="59" spans="1:6" ht="14" customHeight="1">
      <c r="A59" s="8">
        <v>10</v>
      </c>
      <c r="B59" s="7" t="str">
        <f>المدخلات!$F$5</f>
        <v>5:20–6:30 م</v>
      </c>
      <c r="C59" s="7">
        <v>1</v>
      </c>
      <c r="D59" s="7" t="s">
        <v>593</v>
      </c>
      <c r="E59" s="7" t="s">
        <v>20</v>
      </c>
      <c r="F59" s="2"/>
    </row>
    <row r="60" spans="1:6" ht="14" customHeight="1">
      <c r="A60" s="8">
        <v>10</v>
      </c>
      <c r="B60" s="7" t="str">
        <f>المدخلات!$F$6</f>
        <v>6:40–7:50 م</v>
      </c>
      <c r="C60" s="7">
        <v>1</v>
      </c>
      <c r="D60" s="7" t="s">
        <v>593</v>
      </c>
      <c r="E60" s="7" t="s">
        <v>622</v>
      </c>
      <c r="F60" s="2"/>
    </row>
    <row r="61" spans="1:6" ht="14" customHeight="1">
      <c r="A61" s="8">
        <v>10</v>
      </c>
      <c r="B61" s="7" t="str">
        <f>المدخلات!$F$4</f>
        <v>4:00–5:10 م</v>
      </c>
      <c r="C61" s="7">
        <v>2</v>
      </c>
      <c r="D61" s="7" t="s">
        <v>594</v>
      </c>
      <c r="E61" s="7" t="s">
        <v>41</v>
      </c>
      <c r="F61" s="2"/>
    </row>
    <row r="62" spans="1:6" ht="14" customHeight="1">
      <c r="A62" s="8">
        <v>10</v>
      </c>
      <c r="B62" s="7" t="str">
        <f>المدخلات!$F$5</f>
        <v>5:20–6:30 م</v>
      </c>
      <c r="C62" s="7">
        <v>2</v>
      </c>
      <c r="D62" s="7" t="s">
        <v>594</v>
      </c>
      <c r="E62" s="7" t="s">
        <v>1065</v>
      </c>
      <c r="F62" s="2"/>
    </row>
    <row r="63" spans="1:6" ht="14" customHeight="1">
      <c r="A63" s="8">
        <v>10</v>
      </c>
      <c r="B63" s="7" t="str">
        <f>المدخلات!$F$6</f>
        <v>6:40–7:50 م</v>
      </c>
      <c r="C63" s="7">
        <v>2</v>
      </c>
      <c r="D63" s="7" t="s">
        <v>594</v>
      </c>
      <c r="E63" s="7" t="s">
        <v>72</v>
      </c>
      <c r="F63" s="2"/>
    </row>
    <row r="64" spans="1:6" ht="14" customHeight="1">
      <c r="A64" s="8">
        <v>11</v>
      </c>
      <c r="B64" s="7" t="str">
        <f>المدخلات!$F$4</f>
        <v>4:00–5:10 م</v>
      </c>
      <c r="C64" s="7">
        <v>1</v>
      </c>
      <c r="D64" s="7" t="s">
        <v>593</v>
      </c>
      <c r="E64" s="7" t="s">
        <v>1043</v>
      </c>
      <c r="F64" s="2"/>
    </row>
    <row r="65" spans="1:6" ht="14" customHeight="1">
      <c r="A65" s="8">
        <v>11</v>
      </c>
      <c r="B65" s="7" t="str">
        <f>المدخلات!$F$5</f>
        <v>5:20–6:30 م</v>
      </c>
      <c r="C65" s="7">
        <v>1</v>
      </c>
      <c r="D65" s="7" t="s">
        <v>593</v>
      </c>
      <c r="E65" s="7" t="s">
        <v>633</v>
      </c>
      <c r="F65" s="2"/>
    </row>
    <row r="66" spans="1:6" ht="14" customHeight="1">
      <c r="A66" s="8">
        <v>11</v>
      </c>
      <c r="B66" s="7" t="str">
        <f>المدخلات!$F$6</f>
        <v>6:40–7:50 م</v>
      </c>
      <c r="C66" s="7">
        <v>1</v>
      </c>
      <c r="D66" s="7" t="s">
        <v>593</v>
      </c>
      <c r="E66" s="7" t="s">
        <v>21</v>
      </c>
      <c r="F66" s="2"/>
    </row>
    <row r="67" spans="1:6" ht="14" customHeight="1">
      <c r="A67" s="8">
        <v>11</v>
      </c>
      <c r="B67" s="7" t="str">
        <f>المدخلات!$F$4</f>
        <v>4:00–5:10 م</v>
      </c>
      <c r="C67" s="7">
        <v>2</v>
      </c>
      <c r="D67" s="7" t="s">
        <v>594</v>
      </c>
      <c r="E67" s="7" t="s">
        <v>56</v>
      </c>
      <c r="F67" s="2"/>
    </row>
    <row r="68" spans="1:6" ht="14" customHeight="1">
      <c r="A68" s="8">
        <v>11</v>
      </c>
      <c r="B68" s="7" t="str">
        <f>المدخلات!$F$5</f>
        <v>5:20–6:30 م</v>
      </c>
      <c r="C68" s="7">
        <v>2</v>
      </c>
      <c r="D68" s="7" t="s">
        <v>594</v>
      </c>
      <c r="E68" s="7" t="s">
        <v>1068</v>
      </c>
      <c r="F68" s="2"/>
    </row>
    <row r="69" spans="1:6" ht="14" customHeight="1">
      <c r="A69" s="8">
        <v>11</v>
      </c>
      <c r="B69" s="7" t="str">
        <f>المدخلات!$F$6</f>
        <v>6:40–7:50 م</v>
      </c>
      <c r="C69" s="7">
        <v>2</v>
      </c>
      <c r="D69" s="7" t="s">
        <v>594</v>
      </c>
      <c r="E69" s="7" t="s">
        <v>1066</v>
      </c>
      <c r="F69" s="2"/>
    </row>
    <row r="70" spans="1:6" ht="14" customHeight="1">
      <c r="A70" s="8">
        <v>12</v>
      </c>
      <c r="B70" s="7" t="str">
        <f>المدخلات!$F$4</f>
        <v>4:00–5:10 م</v>
      </c>
      <c r="C70" s="7">
        <v>1</v>
      </c>
      <c r="D70" s="7" t="s">
        <v>593</v>
      </c>
      <c r="E70" s="7" t="s">
        <v>1041</v>
      </c>
      <c r="F70" s="2"/>
    </row>
    <row r="71" spans="1:6" ht="14" customHeight="1">
      <c r="A71" s="8">
        <v>12</v>
      </c>
      <c r="B71" s="7" t="str">
        <f>المدخلات!$F$5</f>
        <v>5:20–6:30 م</v>
      </c>
      <c r="C71" s="7">
        <v>1</v>
      </c>
      <c r="D71" s="7" t="s">
        <v>593</v>
      </c>
      <c r="E71" s="7" t="s">
        <v>11</v>
      </c>
      <c r="F71" s="2"/>
    </row>
    <row r="72" spans="1:6" ht="14" customHeight="1">
      <c r="A72" s="8">
        <v>12</v>
      </c>
      <c r="B72" s="7" t="str">
        <f>المدخلات!$F$6</f>
        <v>6:40–7:50 م</v>
      </c>
      <c r="C72" s="7">
        <v>1</v>
      </c>
      <c r="D72" s="7" t="s">
        <v>593</v>
      </c>
      <c r="E72" s="7" t="s">
        <v>1044</v>
      </c>
      <c r="F72" s="2"/>
    </row>
    <row r="73" spans="1:6" ht="14" customHeight="1">
      <c r="A73" s="8">
        <v>12</v>
      </c>
      <c r="B73" s="7" t="str">
        <f>المدخلات!$F$4</f>
        <v>4:00–5:10 م</v>
      </c>
      <c r="C73" s="7">
        <v>2</v>
      </c>
      <c r="D73" s="7" t="s">
        <v>594</v>
      </c>
      <c r="E73" s="7" t="s">
        <v>722</v>
      </c>
      <c r="F73" s="2"/>
    </row>
    <row r="74" spans="1:6" ht="14" customHeight="1">
      <c r="A74" s="8">
        <v>12</v>
      </c>
      <c r="B74" s="7" t="str">
        <f>المدخلات!$F$5</f>
        <v>5:20–6:30 م</v>
      </c>
      <c r="C74" s="7">
        <v>2</v>
      </c>
      <c r="D74" s="7" t="s">
        <v>594</v>
      </c>
      <c r="E74" s="7" t="s">
        <v>90</v>
      </c>
      <c r="F74" s="2"/>
    </row>
    <row r="75" spans="1:6" ht="14" customHeight="1">
      <c r="A75" s="8">
        <v>12</v>
      </c>
      <c r="B75" s="7" t="str">
        <f>المدخلات!$F$6</f>
        <v>6:40–7:50 م</v>
      </c>
      <c r="C75" s="7">
        <v>2</v>
      </c>
      <c r="D75" s="7" t="s">
        <v>594</v>
      </c>
      <c r="E75" s="7" t="s">
        <v>46</v>
      </c>
      <c r="F75" s="2"/>
    </row>
    <row r="76" spans="1:6" ht="14" customHeight="1">
      <c r="A76" s="8">
        <v>13</v>
      </c>
      <c r="B76" s="7" t="str">
        <f>المدخلات!$F$4</f>
        <v>4:00–5:10 م</v>
      </c>
      <c r="C76" s="7">
        <v>1</v>
      </c>
      <c r="D76" s="7" t="s">
        <v>593</v>
      </c>
      <c r="E76" s="7" t="s">
        <v>14</v>
      </c>
      <c r="F76" s="2"/>
    </row>
    <row r="77" spans="1:6" ht="14" customHeight="1">
      <c r="A77" s="8">
        <v>13</v>
      </c>
      <c r="B77" s="7" t="str">
        <f>المدخلات!$F$5</f>
        <v>5:20–6:30 م</v>
      </c>
      <c r="C77" s="7">
        <v>1</v>
      </c>
      <c r="D77" s="7" t="s">
        <v>593</v>
      </c>
      <c r="E77" s="7" t="s">
        <v>23</v>
      </c>
      <c r="F77" s="2"/>
    </row>
    <row r="78" spans="1:6" ht="14" customHeight="1">
      <c r="A78" s="8">
        <v>13</v>
      </c>
      <c r="B78" s="7" t="str">
        <f>المدخلات!$F$6</f>
        <v>6:40–7:50 م</v>
      </c>
      <c r="C78" s="7">
        <v>1</v>
      </c>
      <c r="D78" s="7" t="s">
        <v>593</v>
      </c>
      <c r="E78" s="7" t="s">
        <v>1040</v>
      </c>
      <c r="F78" s="2"/>
    </row>
    <row r="79" spans="1:6" ht="14" customHeight="1">
      <c r="A79" s="8">
        <v>13</v>
      </c>
      <c r="B79" s="7" t="str">
        <f>المدخلات!$F$4</f>
        <v>4:00–5:10 م</v>
      </c>
      <c r="C79" s="7">
        <v>2</v>
      </c>
      <c r="D79" s="7" t="s">
        <v>594</v>
      </c>
      <c r="E79" s="7" t="s">
        <v>91</v>
      </c>
      <c r="F79" s="2"/>
    </row>
    <row r="80" spans="1:6" ht="14" customHeight="1">
      <c r="A80" s="8">
        <v>13</v>
      </c>
      <c r="B80" s="7" t="str">
        <f>المدخلات!$F$5</f>
        <v>5:20–6:30 م</v>
      </c>
      <c r="C80" s="7">
        <v>2</v>
      </c>
      <c r="D80" s="7" t="s">
        <v>594</v>
      </c>
      <c r="E80" s="7" t="s">
        <v>64</v>
      </c>
      <c r="F80" s="2"/>
    </row>
    <row r="81" spans="1:6" ht="14" customHeight="1">
      <c r="A81" s="8">
        <v>13</v>
      </c>
      <c r="B81" s="7" t="str">
        <f>المدخلات!$F$6</f>
        <v>6:40–7:50 م</v>
      </c>
      <c r="C81" s="7">
        <v>2</v>
      </c>
      <c r="D81" s="7" t="s">
        <v>594</v>
      </c>
      <c r="E81" s="7" t="s">
        <v>53</v>
      </c>
      <c r="F81" s="2"/>
    </row>
    <row r="82" spans="1:6" ht="14" customHeight="1">
      <c r="A82" s="8">
        <v>14</v>
      </c>
      <c r="B82" s="7" t="str">
        <f>المدخلات!$F$4</f>
        <v>4:00–5:10 م</v>
      </c>
      <c r="C82" s="7">
        <v>1</v>
      </c>
      <c r="D82" s="7" t="s">
        <v>593</v>
      </c>
      <c r="E82" s="7" t="s">
        <v>15</v>
      </c>
      <c r="F82" s="2"/>
    </row>
    <row r="83" spans="1:6" ht="14" customHeight="1">
      <c r="A83" s="8">
        <v>14</v>
      </c>
      <c r="B83" s="7" t="str">
        <f>المدخلات!$F$5</f>
        <v>5:20–6:30 م</v>
      </c>
      <c r="C83" s="7">
        <v>1</v>
      </c>
      <c r="D83" s="7" t="s">
        <v>593</v>
      </c>
      <c r="E83" s="7" t="s">
        <v>17</v>
      </c>
      <c r="F83" s="2"/>
    </row>
    <row r="84" spans="1:6" ht="14" customHeight="1">
      <c r="A84" s="8">
        <v>14</v>
      </c>
      <c r="B84" s="7" t="str">
        <f>المدخلات!$F$6</f>
        <v>6:40–7:50 م</v>
      </c>
      <c r="C84" s="7">
        <v>1</v>
      </c>
      <c r="D84" s="7" t="s">
        <v>593</v>
      </c>
      <c r="E84" s="7" t="s">
        <v>24</v>
      </c>
      <c r="F84" s="2"/>
    </row>
    <row r="85" spans="1:6" ht="14" customHeight="1">
      <c r="A85" s="8">
        <v>14</v>
      </c>
      <c r="B85" s="7" t="str">
        <f>المدخلات!$F$4</f>
        <v>4:00–5:10 م</v>
      </c>
      <c r="C85" s="7">
        <v>2</v>
      </c>
      <c r="D85" s="7" t="s">
        <v>594</v>
      </c>
      <c r="E85" s="7" t="s">
        <v>45</v>
      </c>
      <c r="F85" s="2"/>
    </row>
    <row r="86" spans="1:6" ht="14" customHeight="1">
      <c r="A86" s="8">
        <v>14</v>
      </c>
      <c r="B86" s="7" t="str">
        <f>المدخلات!$F$5</f>
        <v>5:20–6:30 م</v>
      </c>
      <c r="C86" s="7">
        <v>2</v>
      </c>
      <c r="D86" s="7" t="s">
        <v>594</v>
      </c>
      <c r="E86" s="7" t="s">
        <v>721</v>
      </c>
      <c r="F86" s="2"/>
    </row>
    <row r="87" spans="1:6" ht="14" customHeight="1">
      <c r="A87" s="8">
        <v>14</v>
      </c>
      <c r="B87" s="7" t="str">
        <f>المدخلات!$F$6</f>
        <v>6:40–7:50 م</v>
      </c>
      <c r="C87" s="7">
        <v>2</v>
      </c>
      <c r="D87" s="7" t="s">
        <v>594</v>
      </c>
      <c r="E87" s="7" t="s">
        <v>92</v>
      </c>
      <c r="F87" s="2"/>
    </row>
    <row r="88" spans="1:6" ht="14" customHeight="1">
      <c r="A88" s="8">
        <v>15</v>
      </c>
      <c r="B88" s="7" t="str">
        <f>المدخلات!$F$4</f>
        <v>4:00–5:10 م</v>
      </c>
      <c r="C88" s="7">
        <v>1</v>
      </c>
      <c r="D88" s="7" t="s">
        <v>593</v>
      </c>
      <c r="E88" s="7" t="s">
        <v>1042</v>
      </c>
      <c r="F88" s="2"/>
    </row>
    <row r="89" spans="1:6" ht="14" customHeight="1">
      <c r="A89" s="8">
        <v>15</v>
      </c>
      <c r="B89" s="7" t="str">
        <f>المدخلات!$F$5</f>
        <v>5:20–6:30 م</v>
      </c>
      <c r="C89" s="7">
        <v>1</v>
      </c>
      <c r="D89" s="7" t="s">
        <v>593</v>
      </c>
      <c r="E89" s="7" t="s">
        <v>1047</v>
      </c>
      <c r="F89" s="2"/>
    </row>
    <row r="90" spans="1:6" ht="14" customHeight="1">
      <c r="A90" s="8">
        <v>15</v>
      </c>
      <c r="B90" s="7" t="str">
        <f>المدخلات!$F$6</f>
        <v>6:40–7:50 م</v>
      </c>
      <c r="C90" s="7">
        <v>1</v>
      </c>
      <c r="D90" s="7" t="s">
        <v>593</v>
      </c>
      <c r="E90" s="7" t="s">
        <v>1088</v>
      </c>
      <c r="F90" s="2"/>
    </row>
    <row r="91" spans="1:6" ht="14" customHeight="1">
      <c r="A91" s="8">
        <v>15</v>
      </c>
      <c r="B91" s="7" t="str">
        <f>المدخلات!$F$4</f>
        <v>4:00–5:10 م</v>
      </c>
      <c r="C91" s="7">
        <v>2</v>
      </c>
      <c r="D91" s="7" t="s">
        <v>594</v>
      </c>
      <c r="E91" s="7" t="s">
        <v>72</v>
      </c>
      <c r="F91" s="2"/>
    </row>
    <row r="92" spans="1:6" ht="14" customHeight="1">
      <c r="A92" s="8">
        <v>15</v>
      </c>
      <c r="B92" s="7" t="str">
        <f>المدخلات!$F$5</f>
        <v>5:20–6:30 م</v>
      </c>
      <c r="C92" s="7">
        <v>2</v>
      </c>
      <c r="D92" s="7" t="s">
        <v>594</v>
      </c>
      <c r="E92" s="7" t="s">
        <v>1065</v>
      </c>
      <c r="F92" s="2"/>
    </row>
    <row r="93" spans="1:6" ht="14" customHeight="1">
      <c r="A93" s="8">
        <v>15</v>
      </c>
      <c r="B93" s="7" t="str">
        <f>المدخلات!$F$6</f>
        <v>6:40–7:50 م</v>
      </c>
      <c r="C93" s="7">
        <v>2</v>
      </c>
      <c r="D93" s="7" t="s">
        <v>594</v>
      </c>
      <c r="E93" s="7" t="s">
        <v>1051</v>
      </c>
      <c r="F93" s="2"/>
    </row>
    <row r="94" spans="1:6" ht="14" customHeight="1">
      <c r="A94" s="8">
        <v>16</v>
      </c>
      <c r="B94" s="7" t="str">
        <f>المدخلات!$F$4</f>
        <v>4:00–5:10 م</v>
      </c>
      <c r="C94" s="7">
        <v>1</v>
      </c>
      <c r="D94" s="7" t="s">
        <v>593</v>
      </c>
      <c r="E94" s="7" t="s">
        <v>27</v>
      </c>
      <c r="F94" s="2"/>
    </row>
    <row r="95" spans="1:6" ht="14" customHeight="1">
      <c r="A95" s="8">
        <v>16</v>
      </c>
      <c r="B95" s="7" t="str">
        <f>المدخلات!$F$5</f>
        <v>5:20–6:30 م</v>
      </c>
      <c r="C95" s="7">
        <v>1</v>
      </c>
      <c r="D95" s="7" t="s">
        <v>593</v>
      </c>
      <c r="E95" s="7" t="s">
        <v>9</v>
      </c>
      <c r="F95" s="2"/>
    </row>
    <row r="96" spans="1:6" ht="14" customHeight="1">
      <c r="A96" s="8">
        <v>16</v>
      </c>
      <c r="B96" s="7" t="str">
        <f>المدخلات!$F$6</f>
        <v>6:40–7:50 م</v>
      </c>
      <c r="C96" s="7">
        <v>1</v>
      </c>
      <c r="D96" s="7" t="s">
        <v>593</v>
      </c>
      <c r="E96" s="7" t="s">
        <v>20</v>
      </c>
      <c r="F96" s="2"/>
    </row>
    <row r="97" spans="1:6" ht="14" customHeight="1">
      <c r="A97" s="8">
        <v>16</v>
      </c>
      <c r="B97" s="7" t="str">
        <f>المدخلات!$F$4</f>
        <v>4:00–5:10 م</v>
      </c>
      <c r="C97" s="7">
        <v>2</v>
      </c>
      <c r="D97" s="7" t="s">
        <v>594</v>
      </c>
      <c r="E97" s="7" t="s">
        <v>1072</v>
      </c>
      <c r="F97" s="2"/>
    </row>
    <row r="98" spans="1:6" ht="14" customHeight="1">
      <c r="A98" s="8">
        <v>16</v>
      </c>
      <c r="B98" s="7" t="str">
        <f>المدخلات!$F$5</f>
        <v>5:20–6:30 م</v>
      </c>
      <c r="C98" s="7">
        <v>2</v>
      </c>
      <c r="D98" s="7" t="s">
        <v>594</v>
      </c>
      <c r="E98" s="7" t="s">
        <v>722</v>
      </c>
      <c r="F98" s="2"/>
    </row>
    <row r="99" spans="1:6" ht="14" customHeight="1">
      <c r="A99" s="8">
        <v>16</v>
      </c>
      <c r="B99" s="7" t="str">
        <f>المدخلات!$F$6</f>
        <v>6:40–7:50 م</v>
      </c>
      <c r="C99" s="7">
        <v>2</v>
      </c>
      <c r="D99" s="7" t="s">
        <v>594</v>
      </c>
      <c r="E99" s="7" t="s">
        <v>635</v>
      </c>
      <c r="F99" s="2"/>
    </row>
    <row r="100" spans="1:6" ht="14" customHeight="1">
      <c r="A100" s="8">
        <v>17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1037</v>
      </c>
      <c r="F100" s="2"/>
    </row>
    <row r="101" spans="1:6" ht="14" customHeight="1">
      <c r="A101" s="8">
        <v>17</v>
      </c>
      <c r="B101" s="7" t="str">
        <f>المدخلات!$F$5</f>
        <v>5:20–6:30 م</v>
      </c>
      <c r="C101" s="7">
        <v>1</v>
      </c>
      <c r="D101" s="7" t="s">
        <v>593</v>
      </c>
      <c r="E101" s="7" t="s">
        <v>1044</v>
      </c>
      <c r="F101" s="2"/>
    </row>
    <row r="102" spans="1:6" ht="14" customHeight="1">
      <c r="A102" s="8">
        <v>17</v>
      </c>
      <c r="B102" s="7" t="str">
        <f>المدخلات!$F$6</f>
        <v>6:40–7:50 م</v>
      </c>
      <c r="C102" s="7">
        <v>1</v>
      </c>
      <c r="D102" s="7" t="s">
        <v>593</v>
      </c>
      <c r="E102" s="7" t="s">
        <v>1041</v>
      </c>
      <c r="F102" s="2"/>
    </row>
    <row r="103" spans="1:6" ht="14" customHeight="1">
      <c r="A103" s="8">
        <v>17</v>
      </c>
      <c r="B103" s="7" t="str">
        <f>المدخلات!$F$4</f>
        <v>4:00–5:10 م</v>
      </c>
      <c r="C103" s="7">
        <v>2</v>
      </c>
      <c r="D103" s="7" t="s">
        <v>594</v>
      </c>
      <c r="E103" s="7" t="s">
        <v>91</v>
      </c>
      <c r="F103" s="2"/>
    </row>
    <row r="104" spans="1:6" ht="14" customHeight="1">
      <c r="A104" s="8">
        <v>17</v>
      </c>
      <c r="B104" s="7" t="str">
        <f>المدخلات!$F$5</f>
        <v>5:20–6:30 م</v>
      </c>
      <c r="C104" s="7">
        <v>2</v>
      </c>
      <c r="D104" s="7" t="s">
        <v>594</v>
      </c>
      <c r="E104" s="7" t="s">
        <v>53</v>
      </c>
      <c r="F104" s="2"/>
    </row>
    <row r="105" spans="1:6" ht="14" customHeight="1">
      <c r="A105" s="8">
        <v>17</v>
      </c>
      <c r="B105" s="7" t="str">
        <f>المدخلات!$F$6</f>
        <v>6:40–7:50 م</v>
      </c>
      <c r="C105" s="7">
        <v>2</v>
      </c>
      <c r="D105" s="7" t="s">
        <v>594</v>
      </c>
      <c r="E105" s="7" t="s">
        <v>64</v>
      </c>
      <c r="F105" s="2"/>
    </row>
    <row r="106" spans="1:6" ht="14" customHeight="1">
      <c r="A106" s="8">
        <v>18</v>
      </c>
      <c r="B106" s="7" t="str">
        <f>المدخلات!$F$4</f>
        <v>4:00–5:10 م</v>
      </c>
      <c r="C106" s="7">
        <v>1</v>
      </c>
      <c r="D106" s="7" t="s">
        <v>593</v>
      </c>
      <c r="E106" s="7" t="s">
        <v>10</v>
      </c>
      <c r="F106" s="2"/>
    </row>
    <row r="107" spans="1:6" ht="14" customHeight="1">
      <c r="A107" s="8">
        <v>18</v>
      </c>
      <c r="B107" s="7" t="str">
        <f>المدخلات!$F$5</f>
        <v>5:20–6:30 م</v>
      </c>
      <c r="C107" s="7">
        <v>1</v>
      </c>
      <c r="D107" s="7" t="s">
        <v>593</v>
      </c>
      <c r="E107" s="7" t="s">
        <v>12</v>
      </c>
      <c r="F107" s="2"/>
    </row>
    <row r="108" spans="1:6" ht="14" customHeight="1">
      <c r="A108" s="8">
        <v>18</v>
      </c>
      <c r="B108" s="7" t="str">
        <f>المدخلات!$F$6</f>
        <v>6:40–7:50 م</v>
      </c>
      <c r="C108" s="7">
        <v>1</v>
      </c>
      <c r="D108" s="7" t="s">
        <v>593</v>
      </c>
      <c r="E108" s="7" t="s">
        <v>1045</v>
      </c>
      <c r="F108" s="2"/>
    </row>
    <row r="109" spans="1:6" ht="14" customHeight="1">
      <c r="A109" s="8">
        <v>18</v>
      </c>
      <c r="B109" s="7" t="str">
        <f>المدخلات!$F$4</f>
        <v>4:00–5:10 م</v>
      </c>
      <c r="C109" s="7">
        <v>2</v>
      </c>
      <c r="D109" s="7" t="s">
        <v>594</v>
      </c>
      <c r="E109" s="7" t="s">
        <v>92</v>
      </c>
      <c r="F109" s="2"/>
    </row>
    <row r="110" spans="1:6" ht="14" customHeight="1">
      <c r="A110" s="8">
        <v>18</v>
      </c>
      <c r="B110" s="7" t="str">
        <f>المدخلات!$F$5</f>
        <v>5:20–6:30 م</v>
      </c>
      <c r="C110" s="7">
        <v>2</v>
      </c>
      <c r="D110" s="7" t="s">
        <v>594</v>
      </c>
      <c r="E110" s="7" t="s">
        <v>45</v>
      </c>
      <c r="F110" s="2"/>
    </row>
    <row r="111" spans="1:6" ht="14" customHeight="1">
      <c r="A111" s="8">
        <v>18</v>
      </c>
      <c r="B111" s="7" t="str">
        <f>المدخلات!$F$6</f>
        <v>6:40–7:50 م</v>
      </c>
      <c r="C111" s="7">
        <v>2</v>
      </c>
      <c r="D111" s="7" t="s">
        <v>594</v>
      </c>
      <c r="E111" s="7" t="s">
        <v>721</v>
      </c>
      <c r="F111" s="2"/>
    </row>
    <row r="112" spans="1:6" ht="14" customHeight="1">
      <c r="A112" s="8">
        <v>19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17</v>
      </c>
      <c r="F112" s="2"/>
    </row>
    <row r="113" spans="1:6" ht="14" customHeight="1">
      <c r="A113" s="8">
        <v>19</v>
      </c>
      <c r="B113" s="7" t="str">
        <f>المدخلات!$F$5</f>
        <v>5:20–6:30 م</v>
      </c>
      <c r="C113" s="7">
        <v>1</v>
      </c>
      <c r="D113" s="7" t="s">
        <v>593</v>
      </c>
      <c r="E113" s="7" t="s">
        <v>24</v>
      </c>
      <c r="F113" s="2"/>
    </row>
    <row r="114" spans="1:6" ht="14" customHeight="1">
      <c r="A114" s="8">
        <v>19</v>
      </c>
      <c r="B114" s="7" t="str">
        <f>المدخلات!$F$6</f>
        <v>6:40–7:50 م</v>
      </c>
      <c r="C114" s="7">
        <v>1</v>
      </c>
      <c r="D114" s="7" t="s">
        <v>593</v>
      </c>
      <c r="E114" s="7" t="s">
        <v>1039</v>
      </c>
      <c r="F114" s="2"/>
    </row>
    <row r="115" spans="1:6" ht="14" customHeight="1">
      <c r="A115" s="8">
        <v>19</v>
      </c>
      <c r="B115" s="7" t="str">
        <f>المدخلات!$F$4</f>
        <v>4:00–5:10 م</v>
      </c>
      <c r="C115" s="7">
        <v>2</v>
      </c>
      <c r="D115" s="7" t="s">
        <v>594</v>
      </c>
      <c r="E115" s="7" t="s">
        <v>56</v>
      </c>
      <c r="F115" s="2"/>
    </row>
    <row r="116" spans="1:6" ht="14" customHeight="1">
      <c r="A116" s="8">
        <v>19</v>
      </c>
      <c r="B116" s="7" t="str">
        <f>المدخلات!$F$5</f>
        <v>5:20–6:30 م</v>
      </c>
      <c r="C116" s="7">
        <v>2</v>
      </c>
      <c r="D116" s="7" t="s">
        <v>594</v>
      </c>
      <c r="E116" s="7" t="s">
        <v>1066</v>
      </c>
      <c r="F116" s="2"/>
    </row>
    <row r="117" spans="1:6" ht="14" customHeight="1">
      <c r="A117" s="8">
        <v>19</v>
      </c>
      <c r="B117" s="7" t="str">
        <f>المدخلات!$F$6</f>
        <v>6:40–7:50 م</v>
      </c>
      <c r="C117" s="7">
        <v>2</v>
      </c>
      <c r="D117" s="7" t="s">
        <v>594</v>
      </c>
      <c r="E117" s="7" t="s">
        <v>67</v>
      </c>
      <c r="F117" s="2"/>
    </row>
    <row r="118" spans="1:6" ht="14" customHeight="1">
      <c r="A118" s="8">
        <v>20</v>
      </c>
      <c r="B118" s="7" t="str">
        <f>المدخلات!$F$4</f>
        <v>4:00–5:10 م</v>
      </c>
      <c r="C118" s="7">
        <v>1</v>
      </c>
      <c r="D118" s="7" t="s">
        <v>593</v>
      </c>
      <c r="E118" s="7" t="s">
        <v>23</v>
      </c>
      <c r="F118" s="2"/>
    </row>
    <row r="119" spans="1:6" ht="14" customHeight="1">
      <c r="A119" s="8">
        <v>20</v>
      </c>
      <c r="B119" s="7" t="str">
        <f>المدخلات!$F$5</f>
        <v>5:20–6:30 م</v>
      </c>
      <c r="C119" s="7">
        <v>1</v>
      </c>
      <c r="D119" s="7" t="s">
        <v>593</v>
      </c>
      <c r="E119" s="7" t="s">
        <v>8</v>
      </c>
      <c r="F119" s="2"/>
    </row>
    <row r="120" spans="1:6" ht="14" customHeight="1">
      <c r="A120" s="8">
        <v>20</v>
      </c>
      <c r="B120" s="7" t="str">
        <f>المدخلات!$F$6</f>
        <v>6:40–7:50 م</v>
      </c>
      <c r="C120" s="7">
        <v>1</v>
      </c>
      <c r="D120" s="7" t="s">
        <v>593</v>
      </c>
      <c r="E120" s="7" t="s">
        <v>647</v>
      </c>
      <c r="F120" s="2"/>
    </row>
    <row r="121" spans="1:6" ht="14" customHeight="1">
      <c r="A121" s="8">
        <v>20</v>
      </c>
      <c r="B121" s="7" t="str">
        <f>المدخلات!$F$4</f>
        <v>4:00–5:10 م</v>
      </c>
      <c r="C121" s="7">
        <v>2</v>
      </c>
      <c r="D121" s="7" t="s">
        <v>594</v>
      </c>
      <c r="E121" s="7" t="s">
        <v>41</v>
      </c>
      <c r="F121" s="2"/>
    </row>
    <row r="122" spans="1:6" ht="14" customHeight="1">
      <c r="A122" s="8">
        <v>20</v>
      </c>
      <c r="B122" s="7" t="str">
        <f>المدخلات!$F$5</f>
        <v>5:20–6:30 م</v>
      </c>
      <c r="C122" s="7">
        <v>2</v>
      </c>
      <c r="D122" s="7" t="s">
        <v>594</v>
      </c>
      <c r="E122" s="7" t="s">
        <v>72</v>
      </c>
      <c r="F122" s="2"/>
    </row>
    <row r="123" spans="1:6" ht="14" customHeight="1">
      <c r="A123" s="8">
        <v>20</v>
      </c>
      <c r="B123" s="7" t="str">
        <f>المدخلات!$F$6</f>
        <v>6:40–7:50 م</v>
      </c>
      <c r="C123" s="7">
        <v>2</v>
      </c>
      <c r="D123" s="7" t="s">
        <v>594</v>
      </c>
      <c r="E123" s="7" t="s">
        <v>1065</v>
      </c>
      <c r="F123" s="2"/>
    </row>
    <row r="124" spans="1:6" ht="14" customHeight="1">
      <c r="A124" s="8">
        <v>21</v>
      </c>
      <c r="B124" s="7" t="str">
        <f>المدخلات!$F$4</f>
        <v>4:00–5:10 م</v>
      </c>
      <c r="C124" s="7">
        <v>1</v>
      </c>
      <c r="D124" s="7" t="s">
        <v>593</v>
      </c>
      <c r="E124" s="7" t="s">
        <v>21</v>
      </c>
      <c r="F124" s="2"/>
    </row>
    <row r="125" spans="1:6" ht="14" customHeight="1">
      <c r="A125" s="8">
        <v>21</v>
      </c>
      <c r="B125" s="7" t="str">
        <f>المدخلات!$F$5</f>
        <v>5:20–6:30 م</v>
      </c>
      <c r="C125" s="7">
        <v>1</v>
      </c>
      <c r="D125" s="7" t="s">
        <v>593</v>
      </c>
      <c r="E125" s="7" t="s">
        <v>18</v>
      </c>
      <c r="F125" s="2"/>
    </row>
    <row r="126" spans="1:6" ht="14" customHeight="1">
      <c r="A126" s="8">
        <v>21</v>
      </c>
      <c r="B126" s="7" t="str">
        <f>المدخلات!$F$6</f>
        <v>6:40–7:50 م</v>
      </c>
      <c r="C126" s="7">
        <v>1</v>
      </c>
      <c r="D126" s="7" t="s">
        <v>593</v>
      </c>
      <c r="E126" s="7" t="s">
        <v>13</v>
      </c>
      <c r="F126" s="2"/>
    </row>
    <row r="127" spans="1:6" ht="14" customHeight="1">
      <c r="A127" s="8">
        <v>22</v>
      </c>
      <c r="B127" s="7" t="str">
        <f>المدخلات!$F$4</f>
        <v>4:00–5:10 م</v>
      </c>
      <c r="C127" s="7">
        <v>1</v>
      </c>
      <c r="D127" s="7" t="s">
        <v>581</v>
      </c>
      <c r="E127" s="7" t="s">
        <v>597</v>
      </c>
      <c r="F127" s="2"/>
    </row>
    <row r="128" spans="1:6">
      <c r="A128" s="2"/>
      <c r="B128" s="2"/>
      <c r="C128" s="2"/>
      <c r="D128" s="2"/>
      <c r="E128" s="2"/>
    </row>
    <row r="129" spans="1:14">
      <c r="A129" s="2"/>
      <c r="B129" s="2"/>
      <c r="C129" s="2"/>
      <c r="D129" s="2"/>
      <c r="E129" s="2"/>
    </row>
    <row r="130" spans="1:14" ht="14.5">
      <c r="A130" s="17" t="s">
        <v>828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ht="14.5">
      <c r="A131" s="6" t="s">
        <v>829</v>
      </c>
      <c r="B131" s="6">
        <v>1</v>
      </c>
      <c r="C131" s="6">
        <v>2</v>
      </c>
      <c r="D131" s="6">
        <v>3</v>
      </c>
      <c r="E131" s="6">
        <v>4</v>
      </c>
      <c r="F131" s="6">
        <v>5</v>
      </c>
      <c r="G131" s="6">
        <v>6</v>
      </c>
      <c r="H131" s="6">
        <v>7</v>
      </c>
      <c r="I131" s="6">
        <v>8</v>
      </c>
      <c r="J131" s="6">
        <v>9</v>
      </c>
      <c r="K131" s="6">
        <v>10</v>
      </c>
      <c r="L131" s="6">
        <v>11</v>
      </c>
      <c r="M131" s="6">
        <v>12</v>
      </c>
      <c r="N131" s="6">
        <v>13</v>
      </c>
    </row>
    <row r="132" spans="1:14" ht="14.5">
      <c r="A132" s="14">
        <v>1</v>
      </c>
      <c r="B132" s="4" t="str">
        <f>IF($A132=B$131,"",COUNTIF($E$4:$E$127,$A132&amp;" ضد "&amp;B$131)+COUNTIF($E$4:$E$127,B$131&amp;" ضد "&amp;$A132))</f>
        <v/>
      </c>
      <c r="C132" s="4">
        <f>IF($A132=C$131,"",COUNTIF($E$4:$E$127,$A132&amp;" ضد "&amp;C$131)+COUNTIF($E$4:$E$127,C$131&amp;" ضد "&amp;$A132))</f>
        <v>3</v>
      </c>
      <c r="D132" s="4">
        <f>IF($A132=D$131,"",COUNTIF($E$4:$E$127,$A132&amp;" ضد "&amp;D$131)+COUNTIF($E$4:$E$127,D$131&amp;" ضد "&amp;$A132))</f>
        <v>3</v>
      </c>
      <c r="E132" s="4">
        <f>IF($A132=E$131,"",COUNTIF($E$4:$E$127,$A132&amp;" ضد "&amp;E$131)+COUNTIF($E$4:$E$127,E$131&amp;" ضد "&amp;$A132))</f>
        <v>3</v>
      </c>
      <c r="F132" s="4">
        <f>IF($A132=F$131,"",COUNTIF($E$4:$E$127,$A132&amp;" ضد "&amp;F$131)+COUNTIF($E$4:$E$127,F$131&amp;" ضد "&amp;$A132))</f>
        <v>3</v>
      </c>
      <c r="G132" s="4">
        <f>IF($A132=G$131,"",COUNTIF($E$4:$E$127,$A132&amp;" ضد "&amp;G$131)+COUNTIF($E$4:$E$127,G$131&amp;" ضد "&amp;$A132))</f>
        <v>3</v>
      </c>
      <c r="H132" s="4">
        <f>IF($A132=H$131,"",COUNTIF($E$4:$E$127,$A132&amp;" ضد "&amp;H$131)+COUNTIF($E$4:$E$127,H$131&amp;" ضد "&amp;$A132))</f>
        <v>3</v>
      </c>
      <c r="I132" s="4">
        <f>IF($A132=I$131,"",COUNTIF($E$4:$E$127,$A132&amp;" ضد "&amp;I$131)+COUNTIF($E$4:$E$127,I$131&amp;" ضد "&amp;$A132))</f>
        <v>0</v>
      </c>
      <c r="J132" s="4">
        <f>IF($A132=J$131,"",COUNTIF($E$4:$E$127,$A132&amp;" ضد "&amp;J$131)+COUNTIF($E$4:$E$127,J$131&amp;" ضد "&amp;$A132))</f>
        <v>0</v>
      </c>
      <c r="K132" s="4">
        <f>IF($A132=K$131,"",COUNTIF($E$4:$E$127,$A132&amp;" ضد "&amp;K$131)+COUNTIF($E$4:$E$127,K$131&amp;" ضد "&amp;$A132))</f>
        <v>0</v>
      </c>
      <c r="L132" s="4">
        <f>IF($A132=L$131,"",COUNTIF($E$4:$E$127,$A132&amp;" ضد "&amp;L$131)+COUNTIF($E$4:$E$127,L$131&amp;" ضد "&amp;$A132))</f>
        <v>0</v>
      </c>
      <c r="M132" s="4">
        <f>IF($A132=M$131,"",COUNTIF($E$4:$E$127,$A132&amp;" ضد "&amp;M$131)+COUNTIF($E$4:$E$127,M$131&amp;" ضد "&amp;$A132))</f>
        <v>0</v>
      </c>
      <c r="N132" s="4">
        <f>IF($A132=N$131,"",COUNTIF($E$4:$E$127,$A132&amp;" ضد "&amp;N$131)+COUNTIF($E$4:$E$127,N$131&amp;" ضد "&amp;$A132))</f>
        <v>0</v>
      </c>
    </row>
    <row r="133" spans="1:14" ht="14.5">
      <c r="A133" s="14">
        <v>2</v>
      </c>
      <c r="B133" s="4">
        <f>IF($A133=B$131,"",COUNTIF($E$4:$E$127,$A133&amp;" ضد "&amp;B$131)+COUNTIF($E$4:$E$127,B$131&amp;" ضد "&amp;$A133))</f>
        <v>3</v>
      </c>
      <c r="C133" s="4" t="str">
        <f>IF($A133=C$131,"",COUNTIF($E$4:$E$127,$A133&amp;" ضد "&amp;C$131)+COUNTIF($E$4:$E$127,C$131&amp;" ضد "&amp;$A133))</f>
        <v/>
      </c>
      <c r="D133" s="4">
        <f>IF($A133=D$131,"",COUNTIF($E$4:$E$127,$A133&amp;" ضد "&amp;D$131)+COUNTIF($E$4:$E$127,D$131&amp;" ضد "&amp;$A133))</f>
        <v>3</v>
      </c>
      <c r="E133" s="4">
        <f>IF($A133=E$131,"",COUNTIF($E$4:$E$127,$A133&amp;" ضد "&amp;E$131)+COUNTIF($E$4:$E$127,E$131&amp;" ضد "&amp;$A133))</f>
        <v>3</v>
      </c>
      <c r="F133" s="4">
        <f>IF($A133=F$131,"",COUNTIF($E$4:$E$127,$A133&amp;" ضد "&amp;F$131)+COUNTIF($E$4:$E$127,F$131&amp;" ضد "&amp;$A133))</f>
        <v>3</v>
      </c>
      <c r="G133" s="4">
        <f>IF($A133=G$131,"",COUNTIF($E$4:$E$127,$A133&amp;" ضد "&amp;G$131)+COUNTIF($E$4:$E$127,G$131&amp;" ضد "&amp;$A133))</f>
        <v>3</v>
      </c>
      <c r="H133" s="4">
        <f>IF($A133=H$131,"",COUNTIF($E$4:$E$127,$A133&amp;" ضد "&amp;H$131)+COUNTIF($E$4:$E$127,H$131&amp;" ضد "&amp;$A133))</f>
        <v>3</v>
      </c>
      <c r="I133" s="4">
        <f>IF($A133=I$131,"",COUNTIF($E$4:$E$127,$A133&amp;" ضد "&amp;I$131)+COUNTIF($E$4:$E$127,I$131&amp;" ضد "&amp;$A133))</f>
        <v>0</v>
      </c>
      <c r="J133" s="4">
        <f>IF($A133=J$131,"",COUNTIF($E$4:$E$127,$A133&amp;" ضد "&amp;J$131)+COUNTIF($E$4:$E$127,J$131&amp;" ضد "&amp;$A133))</f>
        <v>0</v>
      </c>
      <c r="K133" s="4">
        <f>IF($A133=K$131,"",COUNTIF($E$4:$E$127,$A133&amp;" ضد "&amp;K$131)+COUNTIF($E$4:$E$127,K$131&amp;" ضد "&amp;$A133))</f>
        <v>0</v>
      </c>
      <c r="L133" s="4">
        <f>IF($A133=L$131,"",COUNTIF($E$4:$E$127,$A133&amp;" ضد "&amp;L$131)+COUNTIF($E$4:$E$127,L$131&amp;" ضد "&amp;$A133))</f>
        <v>0</v>
      </c>
      <c r="M133" s="4">
        <f>IF($A133=M$131,"",COUNTIF($E$4:$E$127,$A133&amp;" ضد "&amp;M$131)+COUNTIF($E$4:$E$127,M$131&amp;" ضد "&amp;$A133))</f>
        <v>0</v>
      </c>
      <c r="N133" s="4">
        <f>IF($A133=N$131,"",COUNTIF($E$4:$E$127,$A133&amp;" ضد "&amp;N$131)+COUNTIF($E$4:$E$127,N$131&amp;" ضد "&amp;$A133))</f>
        <v>0</v>
      </c>
    </row>
    <row r="134" spans="1:14" ht="14.5">
      <c r="A134" s="14">
        <v>3</v>
      </c>
      <c r="B134" s="4">
        <f>IF($A134=B$131,"",COUNTIF($E$4:$E$127,$A134&amp;" ضد "&amp;B$131)+COUNTIF($E$4:$E$127,B$131&amp;" ضد "&amp;$A134))</f>
        <v>3</v>
      </c>
      <c r="C134" s="4">
        <f>IF($A134=C$131,"",COUNTIF($E$4:$E$127,$A134&amp;" ضد "&amp;C$131)+COUNTIF($E$4:$E$127,C$131&amp;" ضد "&amp;$A134))</f>
        <v>3</v>
      </c>
      <c r="D134" s="4" t="str">
        <f>IF($A134=D$131,"",COUNTIF($E$4:$E$127,$A134&amp;" ضد "&amp;D$131)+COUNTIF($E$4:$E$127,D$131&amp;" ضد "&amp;$A134))</f>
        <v/>
      </c>
      <c r="E134" s="4">
        <f>IF($A134=E$131,"",COUNTIF($E$4:$E$127,$A134&amp;" ضد "&amp;E$131)+COUNTIF($E$4:$E$127,E$131&amp;" ضد "&amp;$A134))</f>
        <v>3</v>
      </c>
      <c r="F134" s="4">
        <f>IF($A134=F$131,"",COUNTIF($E$4:$E$127,$A134&amp;" ضد "&amp;F$131)+COUNTIF($E$4:$E$127,F$131&amp;" ضد "&amp;$A134))</f>
        <v>3</v>
      </c>
      <c r="G134" s="4">
        <f>IF($A134=G$131,"",COUNTIF($E$4:$E$127,$A134&amp;" ضد "&amp;G$131)+COUNTIF($E$4:$E$127,G$131&amp;" ضد "&amp;$A134))</f>
        <v>3</v>
      </c>
      <c r="H134" s="4">
        <f>IF($A134=H$131,"",COUNTIF($E$4:$E$127,$A134&amp;" ضد "&amp;H$131)+COUNTIF($E$4:$E$127,H$131&amp;" ضد "&amp;$A134))</f>
        <v>3</v>
      </c>
      <c r="I134" s="4">
        <f>IF($A134=I$131,"",COUNTIF($E$4:$E$127,$A134&amp;" ضد "&amp;I$131)+COUNTIF($E$4:$E$127,I$131&amp;" ضد "&amp;$A134))</f>
        <v>0</v>
      </c>
      <c r="J134" s="4">
        <f>IF($A134=J$131,"",COUNTIF($E$4:$E$127,$A134&amp;" ضد "&amp;J$131)+COUNTIF($E$4:$E$127,J$131&amp;" ضد "&amp;$A134))</f>
        <v>0</v>
      </c>
      <c r="K134" s="4">
        <f>IF($A134=K$131,"",COUNTIF($E$4:$E$127,$A134&amp;" ضد "&amp;K$131)+COUNTIF($E$4:$E$127,K$131&amp;" ضد "&amp;$A134))</f>
        <v>0</v>
      </c>
      <c r="L134" s="4">
        <f>IF($A134=L$131,"",COUNTIF($E$4:$E$127,$A134&amp;" ضد "&amp;L$131)+COUNTIF($E$4:$E$127,L$131&amp;" ضد "&amp;$A134))</f>
        <v>0</v>
      </c>
      <c r="M134" s="4">
        <f>IF($A134=M$131,"",COUNTIF($E$4:$E$127,$A134&amp;" ضد "&amp;M$131)+COUNTIF($E$4:$E$127,M$131&amp;" ضد "&amp;$A134))</f>
        <v>0</v>
      </c>
      <c r="N134" s="4">
        <f>IF($A134=N$131,"",COUNTIF($E$4:$E$127,$A134&amp;" ضد "&amp;N$131)+COUNTIF($E$4:$E$127,N$131&amp;" ضد "&amp;$A134))</f>
        <v>0</v>
      </c>
    </row>
    <row r="135" spans="1:14" ht="14.5">
      <c r="A135" s="14">
        <v>4</v>
      </c>
      <c r="B135" s="4">
        <f>IF($A135=B$131,"",COUNTIF($E$4:$E$127,$A135&amp;" ضد "&amp;B$131)+COUNTIF($E$4:$E$127,B$131&amp;" ضد "&amp;$A135))</f>
        <v>3</v>
      </c>
      <c r="C135" s="4">
        <f>IF($A135=C$131,"",COUNTIF($E$4:$E$127,$A135&amp;" ضد "&amp;C$131)+COUNTIF($E$4:$E$127,C$131&amp;" ضد "&amp;$A135))</f>
        <v>3</v>
      </c>
      <c r="D135" s="4">
        <f>IF($A135=D$131,"",COUNTIF($E$4:$E$127,$A135&amp;" ضد "&amp;D$131)+COUNTIF($E$4:$E$127,D$131&amp;" ضد "&amp;$A135))</f>
        <v>3</v>
      </c>
      <c r="E135" s="4" t="str">
        <f>IF($A135=E$131,"",COUNTIF($E$4:$E$127,$A135&amp;" ضد "&amp;E$131)+COUNTIF($E$4:$E$127,E$131&amp;" ضد "&amp;$A135))</f>
        <v/>
      </c>
      <c r="F135" s="4">
        <f>IF($A135=F$131,"",COUNTIF($E$4:$E$127,$A135&amp;" ضد "&amp;F$131)+COUNTIF($E$4:$E$127,F$131&amp;" ضد "&amp;$A135))</f>
        <v>3</v>
      </c>
      <c r="G135" s="4">
        <f>IF($A135=G$131,"",COUNTIF($E$4:$E$127,$A135&amp;" ضد "&amp;G$131)+COUNTIF($E$4:$E$127,G$131&amp;" ضد "&amp;$A135))</f>
        <v>3</v>
      </c>
      <c r="H135" s="4">
        <f>IF($A135=H$131,"",COUNTIF($E$4:$E$127,$A135&amp;" ضد "&amp;H$131)+COUNTIF($E$4:$E$127,H$131&amp;" ضد "&amp;$A135))</f>
        <v>3</v>
      </c>
      <c r="I135" s="4">
        <f>IF($A135=I$131,"",COUNTIF($E$4:$E$127,$A135&amp;" ضد "&amp;I$131)+COUNTIF($E$4:$E$127,I$131&amp;" ضد "&amp;$A135))</f>
        <v>0</v>
      </c>
      <c r="J135" s="4">
        <f>IF($A135=J$131,"",COUNTIF($E$4:$E$127,$A135&amp;" ضد "&amp;J$131)+COUNTIF($E$4:$E$127,J$131&amp;" ضد "&amp;$A135))</f>
        <v>0</v>
      </c>
      <c r="K135" s="4">
        <f>IF($A135=K$131,"",COUNTIF($E$4:$E$127,$A135&amp;" ضد "&amp;K$131)+COUNTIF($E$4:$E$127,K$131&amp;" ضد "&amp;$A135))</f>
        <v>0</v>
      </c>
      <c r="L135" s="4">
        <f>IF($A135=L$131,"",COUNTIF($E$4:$E$127,$A135&amp;" ضد "&amp;L$131)+COUNTIF($E$4:$E$127,L$131&amp;" ضد "&amp;$A135))</f>
        <v>0</v>
      </c>
      <c r="M135" s="4">
        <f>IF($A135=M$131,"",COUNTIF($E$4:$E$127,$A135&amp;" ضد "&amp;M$131)+COUNTIF($E$4:$E$127,M$131&amp;" ضد "&amp;$A135))</f>
        <v>0</v>
      </c>
      <c r="N135" s="4">
        <f>IF($A135=N$131,"",COUNTIF($E$4:$E$127,$A135&amp;" ضد "&amp;N$131)+COUNTIF($E$4:$E$127,N$131&amp;" ضد "&amp;$A135))</f>
        <v>0</v>
      </c>
    </row>
    <row r="136" spans="1:14" ht="14.5">
      <c r="A136" s="14">
        <v>5</v>
      </c>
      <c r="B136" s="4">
        <f>IF($A136=B$131,"",COUNTIF($E$4:$E$127,$A136&amp;" ضد "&amp;B$131)+COUNTIF($E$4:$E$127,B$131&amp;" ضد "&amp;$A136))</f>
        <v>3</v>
      </c>
      <c r="C136" s="4">
        <f>IF($A136=C$131,"",COUNTIF($E$4:$E$127,$A136&amp;" ضد "&amp;C$131)+COUNTIF($E$4:$E$127,C$131&amp;" ضد "&amp;$A136))</f>
        <v>3</v>
      </c>
      <c r="D136" s="4">
        <f>IF($A136=D$131,"",COUNTIF($E$4:$E$127,$A136&amp;" ضد "&amp;D$131)+COUNTIF($E$4:$E$127,D$131&amp;" ضد "&amp;$A136))</f>
        <v>3</v>
      </c>
      <c r="E136" s="4">
        <f>IF($A136=E$131,"",COUNTIF($E$4:$E$127,$A136&amp;" ضد "&amp;E$131)+COUNTIF($E$4:$E$127,E$131&amp;" ضد "&amp;$A136))</f>
        <v>3</v>
      </c>
      <c r="F136" s="4" t="str">
        <f>IF($A136=F$131,"",COUNTIF($E$4:$E$127,$A136&amp;" ضد "&amp;F$131)+COUNTIF($E$4:$E$127,F$131&amp;" ضد "&amp;$A136))</f>
        <v/>
      </c>
      <c r="G136" s="4">
        <f>IF($A136=G$131,"",COUNTIF($E$4:$E$127,$A136&amp;" ضد "&amp;G$131)+COUNTIF($E$4:$E$127,G$131&amp;" ضد "&amp;$A136))</f>
        <v>3</v>
      </c>
      <c r="H136" s="4">
        <f>IF($A136=H$131,"",COUNTIF($E$4:$E$127,$A136&amp;" ضد "&amp;H$131)+COUNTIF($E$4:$E$127,H$131&amp;" ضد "&amp;$A136))</f>
        <v>3</v>
      </c>
      <c r="I136" s="4">
        <f>IF($A136=I$131,"",COUNTIF($E$4:$E$127,$A136&amp;" ضد "&amp;I$131)+COUNTIF($E$4:$E$127,I$131&amp;" ضد "&amp;$A136))</f>
        <v>0</v>
      </c>
      <c r="J136" s="4">
        <f>IF($A136=J$131,"",COUNTIF($E$4:$E$127,$A136&amp;" ضد "&amp;J$131)+COUNTIF($E$4:$E$127,J$131&amp;" ضد "&amp;$A136))</f>
        <v>0</v>
      </c>
      <c r="K136" s="4">
        <f>IF($A136=K$131,"",COUNTIF($E$4:$E$127,$A136&amp;" ضد "&amp;K$131)+COUNTIF($E$4:$E$127,K$131&amp;" ضد "&amp;$A136))</f>
        <v>0</v>
      </c>
      <c r="L136" s="4">
        <f>IF($A136=L$131,"",COUNTIF($E$4:$E$127,$A136&amp;" ضد "&amp;L$131)+COUNTIF($E$4:$E$127,L$131&amp;" ضد "&amp;$A136))</f>
        <v>0</v>
      </c>
      <c r="M136" s="4">
        <f>IF($A136=M$131,"",COUNTIF($E$4:$E$127,$A136&amp;" ضد "&amp;M$131)+COUNTIF($E$4:$E$127,M$131&amp;" ضد "&amp;$A136))</f>
        <v>0</v>
      </c>
      <c r="N136" s="4">
        <f>IF($A136=N$131,"",COUNTIF($E$4:$E$127,$A136&amp;" ضد "&amp;N$131)+COUNTIF($E$4:$E$127,N$131&amp;" ضد "&amp;$A136))</f>
        <v>0</v>
      </c>
    </row>
    <row r="137" spans="1:14" ht="14.5">
      <c r="A137" s="14">
        <v>6</v>
      </c>
      <c r="B137" s="4">
        <f>IF($A137=B$131,"",COUNTIF($E$4:$E$127,$A137&amp;" ضد "&amp;B$131)+COUNTIF($E$4:$E$127,B$131&amp;" ضد "&amp;$A137))</f>
        <v>3</v>
      </c>
      <c r="C137" s="4">
        <f>IF($A137=C$131,"",COUNTIF($E$4:$E$127,$A137&amp;" ضد "&amp;C$131)+COUNTIF($E$4:$E$127,C$131&amp;" ضد "&amp;$A137))</f>
        <v>3</v>
      </c>
      <c r="D137" s="4">
        <f>IF($A137=D$131,"",COUNTIF($E$4:$E$127,$A137&amp;" ضد "&amp;D$131)+COUNTIF($E$4:$E$127,D$131&amp;" ضد "&amp;$A137))</f>
        <v>3</v>
      </c>
      <c r="E137" s="4">
        <f>IF($A137=E$131,"",COUNTIF($E$4:$E$127,$A137&amp;" ضد "&amp;E$131)+COUNTIF($E$4:$E$127,E$131&amp;" ضد "&amp;$A137))</f>
        <v>3</v>
      </c>
      <c r="F137" s="4">
        <f>IF($A137=F$131,"",COUNTIF($E$4:$E$127,$A137&amp;" ضد "&amp;F$131)+COUNTIF($E$4:$E$127,F$131&amp;" ضد "&amp;$A137))</f>
        <v>3</v>
      </c>
      <c r="G137" s="4" t="str">
        <f>IF($A137=G$131,"",COUNTIF($E$4:$E$127,$A137&amp;" ضد "&amp;G$131)+COUNTIF($E$4:$E$127,G$131&amp;" ضد "&amp;$A137))</f>
        <v/>
      </c>
      <c r="H137" s="4">
        <f>IF($A137=H$131,"",COUNTIF($E$4:$E$127,$A137&amp;" ضد "&amp;H$131)+COUNTIF($E$4:$E$127,H$131&amp;" ضد "&amp;$A137))</f>
        <v>3</v>
      </c>
      <c r="I137" s="4">
        <f>IF($A137=I$131,"",COUNTIF($E$4:$E$127,$A137&amp;" ضد "&amp;I$131)+COUNTIF($E$4:$E$127,I$131&amp;" ضد "&amp;$A137))</f>
        <v>0</v>
      </c>
      <c r="J137" s="4">
        <f>IF($A137=J$131,"",COUNTIF($E$4:$E$127,$A137&amp;" ضد "&amp;J$131)+COUNTIF($E$4:$E$127,J$131&amp;" ضد "&amp;$A137))</f>
        <v>0</v>
      </c>
      <c r="K137" s="4">
        <f>IF($A137=K$131,"",COUNTIF($E$4:$E$127,$A137&amp;" ضد "&amp;K$131)+COUNTIF($E$4:$E$127,K$131&amp;" ضد "&amp;$A137))</f>
        <v>0</v>
      </c>
      <c r="L137" s="4">
        <f>IF($A137=L$131,"",COUNTIF($E$4:$E$127,$A137&amp;" ضد "&amp;L$131)+COUNTIF($E$4:$E$127,L$131&amp;" ضد "&amp;$A137))</f>
        <v>0</v>
      </c>
      <c r="M137" s="4">
        <f>IF($A137=M$131,"",COUNTIF($E$4:$E$127,$A137&amp;" ضد "&amp;M$131)+COUNTIF($E$4:$E$127,M$131&amp;" ضد "&amp;$A137))</f>
        <v>0</v>
      </c>
      <c r="N137" s="4">
        <f>IF($A137=N$131,"",COUNTIF($E$4:$E$127,$A137&amp;" ضد "&amp;N$131)+COUNTIF($E$4:$E$127,N$131&amp;" ضد "&amp;$A137))</f>
        <v>0</v>
      </c>
    </row>
    <row r="138" spans="1:14" ht="14.5">
      <c r="A138" s="14">
        <v>7</v>
      </c>
      <c r="B138" s="4">
        <f>IF($A138=B$131,"",COUNTIF($E$4:$E$127,$A138&amp;" ضد "&amp;B$131)+COUNTIF($E$4:$E$127,B$131&amp;" ضد "&amp;$A138))</f>
        <v>3</v>
      </c>
      <c r="C138" s="4">
        <f>IF($A138=C$131,"",COUNTIF($E$4:$E$127,$A138&amp;" ضد "&amp;C$131)+COUNTIF($E$4:$E$127,C$131&amp;" ضد "&amp;$A138))</f>
        <v>3</v>
      </c>
      <c r="D138" s="4">
        <f>IF($A138=D$131,"",COUNTIF($E$4:$E$127,$A138&amp;" ضد "&amp;D$131)+COUNTIF($E$4:$E$127,D$131&amp;" ضد "&amp;$A138))</f>
        <v>3</v>
      </c>
      <c r="E138" s="4">
        <f>IF($A138=E$131,"",COUNTIF($E$4:$E$127,$A138&amp;" ضد "&amp;E$131)+COUNTIF($E$4:$E$127,E$131&amp;" ضد "&amp;$A138))</f>
        <v>3</v>
      </c>
      <c r="F138" s="4">
        <f>IF($A138=F$131,"",COUNTIF($E$4:$E$127,$A138&amp;" ضد "&amp;F$131)+COUNTIF($E$4:$E$127,F$131&amp;" ضد "&amp;$A138))</f>
        <v>3</v>
      </c>
      <c r="G138" s="4">
        <f>IF($A138=G$131,"",COUNTIF($E$4:$E$127,$A138&amp;" ضد "&amp;G$131)+COUNTIF($E$4:$E$127,G$131&amp;" ضد "&amp;$A138))</f>
        <v>3</v>
      </c>
      <c r="H138" s="4" t="str">
        <f>IF($A138=H$131,"",COUNTIF($E$4:$E$127,$A138&amp;" ضد "&amp;H$131)+COUNTIF($E$4:$E$127,H$131&amp;" ضد "&amp;$A138))</f>
        <v/>
      </c>
      <c r="I138" s="4">
        <f>IF($A138=I$131,"",COUNTIF($E$4:$E$127,$A138&amp;" ضد "&amp;I$131)+COUNTIF($E$4:$E$127,I$131&amp;" ضد "&amp;$A138))</f>
        <v>0</v>
      </c>
      <c r="J138" s="4">
        <f>IF($A138=J$131,"",COUNTIF($E$4:$E$127,$A138&amp;" ضد "&amp;J$131)+COUNTIF($E$4:$E$127,J$131&amp;" ضد "&amp;$A138))</f>
        <v>0</v>
      </c>
      <c r="K138" s="4">
        <f>IF($A138=K$131,"",COUNTIF($E$4:$E$127,$A138&amp;" ضد "&amp;K$131)+COUNTIF($E$4:$E$127,K$131&amp;" ضد "&amp;$A138))</f>
        <v>0</v>
      </c>
      <c r="L138" s="4">
        <f>IF($A138=L$131,"",COUNTIF($E$4:$E$127,$A138&amp;" ضد "&amp;L$131)+COUNTIF($E$4:$E$127,L$131&amp;" ضد "&amp;$A138))</f>
        <v>0</v>
      </c>
      <c r="M138" s="4">
        <f>IF($A138=M$131,"",COUNTIF($E$4:$E$127,$A138&amp;" ضد "&amp;M$131)+COUNTIF($E$4:$E$127,M$131&amp;" ضد "&amp;$A138))</f>
        <v>0</v>
      </c>
      <c r="N138" s="4">
        <f>IF($A138=N$131,"",COUNTIF($E$4:$E$127,$A138&amp;" ضد "&amp;N$131)+COUNTIF($E$4:$E$127,N$131&amp;" ضد "&amp;$A138))</f>
        <v>0</v>
      </c>
    </row>
    <row r="139" spans="1:14" ht="14.5">
      <c r="A139" s="14">
        <v>8</v>
      </c>
      <c r="B139" s="4">
        <f>IF($A139=B$131,"",COUNTIF($E$4:$E$127,$A139&amp;" ضد "&amp;B$131)+COUNTIF($E$4:$E$127,B$131&amp;" ضد "&amp;$A139))</f>
        <v>0</v>
      </c>
      <c r="C139" s="4">
        <f>IF($A139=C$131,"",COUNTIF($E$4:$E$127,$A139&amp;" ضد "&amp;C$131)+COUNTIF($E$4:$E$127,C$131&amp;" ضد "&amp;$A139))</f>
        <v>0</v>
      </c>
      <c r="D139" s="4">
        <f>IF($A139=D$131,"",COUNTIF($E$4:$E$127,$A139&amp;" ضد "&amp;D$131)+COUNTIF($E$4:$E$127,D$131&amp;" ضد "&amp;$A139))</f>
        <v>0</v>
      </c>
      <c r="E139" s="4">
        <f>IF($A139=E$131,"",COUNTIF($E$4:$E$127,$A139&amp;" ضد "&amp;E$131)+COUNTIF($E$4:$E$127,E$131&amp;" ضد "&amp;$A139))</f>
        <v>0</v>
      </c>
      <c r="F139" s="4">
        <f>IF($A139=F$131,"",COUNTIF($E$4:$E$127,$A139&amp;" ضد "&amp;F$131)+COUNTIF($E$4:$E$127,F$131&amp;" ضد "&amp;$A139))</f>
        <v>0</v>
      </c>
      <c r="G139" s="4">
        <f>IF($A139=G$131,"",COUNTIF($E$4:$E$127,$A139&amp;" ضد "&amp;G$131)+COUNTIF($E$4:$E$127,G$131&amp;" ضد "&amp;$A139))</f>
        <v>0</v>
      </c>
      <c r="H139" s="4">
        <f>IF($A139=H$131,"",COUNTIF($E$4:$E$127,$A139&amp;" ضد "&amp;H$131)+COUNTIF($E$4:$E$127,H$131&amp;" ضد "&amp;$A139))</f>
        <v>0</v>
      </c>
      <c r="I139" s="4" t="str">
        <f>IF($A139=I$131,"",COUNTIF($E$4:$E$127,$A139&amp;" ضد "&amp;I$131)+COUNTIF($E$4:$E$127,I$131&amp;" ضد "&amp;$A139))</f>
        <v/>
      </c>
      <c r="J139" s="4">
        <f>IF($A139=J$131,"",COUNTIF($E$4:$E$127,$A139&amp;" ضد "&amp;J$131)+COUNTIF($E$4:$E$127,J$131&amp;" ضد "&amp;$A139))</f>
        <v>4</v>
      </c>
      <c r="K139" s="4">
        <f>IF($A139=K$131,"",COUNTIF($E$4:$E$127,$A139&amp;" ضد "&amp;K$131)+COUNTIF($E$4:$E$127,K$131&amp;" ضد "&amp;$A139))</f>
        <v>4</v>
      </c>
      <c r="L139" s="4">
        <f>IF($A139=L$131,"",COUNTIF($E$4:$E$127,$A139&amp;" ضد "&amp;L$131)+COUNTIF($E$4:$E$127,L$131&amp;" ضد "&amp;$A139))</f>
        <v>4</v>
      </c>
      <c r="M139" s="4">
        <f>IF($A139=M$131,"",COUNTIF($E$4:$E$127,$A139&amp;" ضد "&amp;M$131)+COUNTIF($E$4:$E$127,M$131&amp;" ضد "&amp;$A139))</f>
        <v>4</v>
      </c>
      <c r="N139" s="4">
        <f>IF($A139=N$131,"",COUNTIF($E$4:$E$127,$A139&amp;" ضد "&amp;N$131)+COUNTIF($E$4:$E$127,N$131&amp;" ضد "&amp;$A139))</f>
        <v>4</v>
      </c>
    </row>
    <row r="140" spans="1:14" ht="14.5">
      <c r="A140" s="14">
        <v>9</v>
      </c>
      <c r="B140" s="4">
        <f>IF($A140=B$131,"",COUNTIF($E$4:$E$127,$A140&amp;" ضد "&amp;B$131)+COUNTIF($E$4:$E$127,B$131&amp;" ضد "&amp;$A140))</f>
        <v>0</v>
      </c>
      <c r="C140" s="4">
        <f>IF($A140=C$131,"",COUNTIF($E$4:$E$127,$A140&amp;" ضد "&amp;C$131)+COUNTIF($E$4:$E$127,C$131&amp;" ضد "&amp;$A140))</f>
        <v>0</v>
      </c>
      <c r="D140" s="4">
        <f>IF($A140=D$131,"",COUNTIF($E$4:$E$127,$A140&amp;" ضد "&amp;D$131)+COUNTIF($E$4:$E$127,D$131&amp;" ضد "&amp;$A140))</f>
        <v>0</v>
      </c>
      <c r="E140" s="4">
        <f>IF($A140=E$131,"",COUNTIF($E$4:$E$127,$A140&amp;" ضد "&amp;E$131)+COUNTIF($E$4:$E$127,E$131&amp;" ضد "&amp;$A140))</f>
        <v>0</v>
      </c>
      <c r="F140" s="4">
        <f>IF($A140=F$131,"",COUNTIF($E$4:$E$127,$A140&amp;" ضد "&amp;F$131)+COUNTIF($E$4:$E$127,F$131&amp;" ضد "&amp;$A140))</f>
        <v>0</v>
      </c>
      <c r="G140" s="4">
        <f>IF($A140=G$131,"",COUNTIF($E$4:$E$127,$A140&amp;" ضد "&amp;G$131)+COUNTIF($E$4:$E$127,G$131&amp;" ضد "&amp;$A140))</f>
        <v>0</v>
      </c>
      <c r="H140" s="4">
        <f>IF($A140=H$131,"",COUNTIF($E$4:$E$127,$A140&amp;" ضد "&amp;H$131)+COUNTIF($E$4:$E$127,H$131&amp;" ضد "&amp;$A140))</f>
        <v>0</v>
      </c>
      <c r="I140" s="4">
        <f>IF($A140=I$131,"",COUNTIF($E$4:$E$127,$A140&amp;" ضد "&amp;I$131)+COUNTIF($E$4:$E$127,I$131&amp;" ضد "&amp;$A140))</f>
        <v>4</v>
      </c>
      <c r="J140" s="4" t="str">
        <f>IF($A140=J$131,"",COUNTIF($E$4:$E$127,$A140&amp;" ضد "&amp;J$131)+COUNTIF($E$4:$E$127,J$131&amp;" ضد "&amp;$A140))</f>
        <v/>
      </c>
      <c r="K140" s="4">
        <f>IF($A140=K$131,"",COUNTIF($E$4:$E$127,$A140&amp;" ضد "&amp;K$131)+COUNTIF($E$4:$E$127,K$131&amp;" ضد "&amp;$A140))</f>
        <v>4</v>
      </c>
      <c r="L140" s="4">
        <f>IF($A140=L$131,"",COUNTIF($E$4:$E$127,$A140&amp;" ضد "&amp;L$131)+COUNTIF($E$4:$E$127,L$131&amp;" ضد "&amp;$A140))</f>
        <v>4</v>
      </c>
      <c r="M140" s="4">
        <f>IF($A140=M$131,"",COUNTIF($E$4:$E$127,$A140&amp;" ضد "&amp;M$131)+COUNTIF($E$4:$E$127,M$131&amp;" ضد "&amp;$A140))</f>
        <v>4</v>
      </c>
      <c r="N140" s="4">
        <f>IF($A140=N$131,"",COUNTIF($E$4:$E$127,$A140&amp;" ضد "&amp;N$131)+COUNTIF($E$4:$E$127,N$131&amp;" ضد "&amp;$A140))</f>
        <v>4</v>
      </c>
    </row>
    <row r="141" spans="1:14" ht="14.5">
      <c r="A141" s="14">
        <v>10</v>
      </c>
      <c r="B141" s="4">
        <f>IF($A141=B$131,"",COUNTIF($E$4:$E$127,$A141&amp;" ضد "&amp;B$131)+COUNTIF($E$4:$E$127,B$131&amp;" ضد "&amp;$A141))</f>
        <v>0</v>
      </c>
      <c r="C141" s="4">
        <f>IF($A141=C$131,"",COUNTIF($E$4:$E$127,$A141&amp;" ضد "&amp;C$131)+COUNTIF($E$4:$E$127,C$131&amp;" ضد "&amp;$A141))</f>
        <v>0</v>
      </c>
      <c r="D141" s="4">
        <f>IF($A141=D$131,"",COUNTIF($E$4:$E$127,$A141&amp;" ضد "&amp;D$131)+COUNTIF($E$4:$E$127,D$131&amp;" ضد "&amp;$A141))</f>
        <v>0</v>
      </c>
      <c r="E141" s="4">
        <f>IF($A141=E$131,"",COUNTIF($E$4:$E$127,$A141&amp;" ضد "&amp;E$131)+COUNTIF($E$4:$E$127,E$131&amp;" ضد "&amp;$A141))</f>
        <v>0</v>
      </c>
      <c r="F141" s="4">
        <f>IF($A141=F$131,"",COUNTIF($E$4:$E$127,$A141&amp;" ضد "&amp;F$131)+COUNTIF($E$4:$E$127,F$131&amp;" ضد "&amp;$A141))</f>
        <v>0</v>
      </c>
      <c r="G141" s="4">
        <f>IF($A141=G$131,"",COUNTIF($E$4:$E$127,$A141&amp;" ضد "&amp;G$131)+COUNTIF($E$4:$E$127,G$131&amp;" ضد "&amp;$A141))</f>
        <v>0</v>
      </c>
      <c r="H141" s="4">
        <f>IF($A141=H$131,"",COUNTIF($E$4:$E$127,$A141&amp;" ضد "&amp;H$131)+COUNTIF($E$4:$E$127,H$131&amp;" ضد "&amp;$A141))</f>
        <v>0</v>
      </c>
      <c r="I141" s="4">
        <f>IF($A141=I$131,"",COUNTIF($E$4:$E$127,$A141&amp;" ضد "&amp;I$131)+COUNTIF($E$4:$E$127,I$131&amp;" ضد "&amp;$A141))</f>
        <v>4</v>
      </c>
      <c r="J141" s="4">
        <f>IF($A141=J$131,"",COUNTIF($E$4:$E$127,$A141&amp;" ضد "&amp;J$131)+COUNTIF($E$4:$E$127,J$131&amp;" ضد "&amp;$A141))</f>
        <v>4</v>
      </c>
      <c r="K141" s="4" t="str">
        <f>IF($A141=K$131,"",COUNTIF($E$4:$E$127,$A141&amp;" ضد "&amp;K$131)+COUNTIF($E$4:$E$127,K$131&amp;" ضد "&amp;$A141))</f>
        <v/>
      </c>
      <c r="L141" s="4">
        <f>IF($A141=L$131,"",COUNTIF($E$4:$E$127,$A141&amp;" ضد "&amp;L$131)+COUNTIF($E$4:$E$127,L$131&amp;" ضد "&amp;$A141))</f>
        <v>4</v>
      </c>
      <c r="M141" s="4">
        <f>IF($A141=M$131,"",COUNTIF($E$4:$E$127,$A141&amp;" ضد "&amp;M$131)+COUNTIF($E$4:$E$127,M$131&amp;" ضد "&amp;$A141))</f>
        <v>4</v>
      </c>
      <c r="N141" s="4">
        <f>IF($A141=N$131,"",COUNTIF($E$4:$E$127,$A141&amp;" ضد "&amp;N$131)+COUNTIF($E$4:$E$127,N$131&amp;" ضد "&amp;$A141))</f>
        <v>4</v>
      </c>
    </row>
    <row r="142" spans="1:14" ht="14.5">
      <c r="A142" s="14">
        <v>11</v>
      </c>
      <c r="B142" s="4">
        <f>IF($A142=B$131,"",COUNTIF($E$4:$E$127,$A142&amp;" ضد "&amp;B$131)+COUNTIF($E$4:$E$127,B$131&amp;" ضد "&amp;$A142))</f>
        <v>0</v>
      </c>
      <c r="C142" s="4">
        <f>IF($A142=C$131,"",COUNTIF($E$4:$E$127,$A142&amp;" ضد "&amp;C$131)+COUNTIF($E$4:$E$127,C$131&amp;" ضد "&amp;$A142))</f>
        <v>0</v>
      </c>
      <c r="D142" s="4">
        <f>IF($A142=D$131,"",COUNTIF($E$4:$E$127,$A142&amp;" ضد "&amp;D$131)+COUNTIF($E$4:$E$127,D$131&amp;" ضد "&amp;$A142))</f>
        <v>0</v>
      </c>
      <c r="E142" s="4">
        <f>IF($A142=E$131,"",COUNTIF($E$4:$E$127,$A142&amp;" ضد "&amp;E$131)+COUNTIF($E$4:$E$127,E$131&amp;" ضد "&amp;$A142))</f>
        <v>0</v>
      </c>
      <c r="F142" s="4">
        <f>IF($A142=F$131,"",COUNTIF($E$4:$E$127,$A142&amp;" ضد "&amp;F$131)+COUNTIF($E$4:$E$127,F$131&amp;" ضد "&amp;$A142))</f>
        <v>0</v>
      </c>
      <c r="G142" s="4">
        <f>IF($A142=G$131,"",COUNTIF($E$4:$E$127,$A142&amp;" ضد "&amp;G$131)+COUNTIF($E$4:$E$127,G$131&amp;" ضد "&amp;$A142))</f>
        <v>0</v>
      </c>
      <c r="H142" s="4">
        <f>IF($A142=H$131,"",COUNTIF($E$4:$E$127,$A142&amp;" ضد "&amp;H$131)+COUNTIF($E$4:$E$127,H$131&amp;" ضد "&amp;$A142))</f>
        <v>0</v>
      </c>
      <c r="I142" s="4">
        <f>IF($A142=I$131,"",COUNTIF($E$4:$E$127,$A142&amp;" ضد "&amp;I$131)+COUNTIF($E$4:$E$127,I$131&amp;" ضد "&amp;$A142))</f>
        <v>4</v>
      </c>
      <c r="J142" s="4">
        <f>IF($A142=J$131,"",COUNTIF($E$4:$E$127,$A142&amp;" ضد "&amp;J$131)+COUNTIF($E$4:$E$127,J$131&amp;" ضد "&amp;$A142))</f>
        <v>4</v>
      </c>
      <c r="K142" s="4">
        <f>IF($A142=K$131,"",COUNTIF($E$4:$E$127,$A142&amp;" ضد "&amp;K$131)+COUNTIF($E$4:$E$127,K$131&amp;" ضد "&amp;$A142))</f>
        <v>4</v>
      </c>
      <c r="L142" s="4" t="str">
        <f>IF($A142=L$131,"",COUNTIF($E$4:$E$127,$A142&amp;" ضد "&amp;L$131)+COUNTIF($E$4:$E$127,L$131&amp;" ضد "&amp;$A142))</f>
        <v/>
      </c>
      <c r="M142" s="4">
        <f>IF($A142=M$131,"",COUNTIF($E$4:$E$127,$A142&amp;" ضد "&amp;M$131)+COUNTIF($E$4:$E$127,M$131&amp;" ضد "&amp;$A142))</f>
        <v>4</v>
      </c>
      <c r="N142" s="4">
        <f>IF($A142=N$131,"",COUNTIF($E$4:$E$127,$A142&amp;" ضد "&amp;N$131)+COUNTIF($E$4:$E$127,N$131&amp;" ضد "&amp;$A142))</f>
        <v>4</v>
      </c>
    </row>
    <row r="143" spans="1:14" ht="14.5">
      <c r="A143" s="14">
        <v>12</v>
      </c>
      <c r="B143" s="4">
        <f>IF($A143=B$131,"",COUNTIF($E$4:$E$127,$A143&amp;" ضد "&amp;B$131)+COUNTIF($E$4:$E$127,B$131&amp;" ضد "&amp;$A143))</f>
        <v>0</v>
      </c>
      <c r="C143" s="4">
        <f>IF($A143=C$131,"",COUNTIF($E$4:$E$127,$A143&amp;" ضد "&amp;C$131)+COUNTIF($E$4:$E$127,C$131&amp;" ضد "&amp;$A143))</f>
        <v>0</v>
      </c>
      <c r="D143" s="4">
        <f>IF($A143=D$131,"",COUNTIF($E$4:$E$127,$A143&amp;" ضد "&amp;D$131)+COUNTIF($E$4:$E$127,D$131&amp;" ضد "&amp;$A143))</f>
        <v>0</v>
      </c>
      <c r="E143" s="4">
        <f>IF($A143=E$131,"",COUNTIF($E$4:$E$127,$A143&amp;" ضد "&amp;E$131)+COUNTIF($E$4:$E$127,E$131&amp;" ضد "&amp;$A143))</f>
        <v>0</v>
      </c>
      <c r="F143" s="4">
        <f>IF($A143=F$131,"",COUNTIF($E$4:$E$127,$A143&amp;" ضد "&amp;F$131)+COUNTIF($E$4:$E$127,F$131&amp;" ضد "&amp;$A143))</f>
        <v>0</v>
      </c>
      <c r="G143" s="4">
        <f>IF($A143=G$131,"",COUNTIF($E$4:$E$127,$A143&amp;" ضد "&amp;G$131)+COUNTIF($E$4:$E$127,G$131&amp;" ضد "&amp;$A143))</f>
        <v>0</v>
      </c>
      <c r="H143" s="4">
        <f>IF($A143=H$131,"",COUNTIF($E$4:$E$127,$A143&amp;" ضد "&amp;H$131)+COUNTIF($E$4:$E$127,H$131&amp;" ضد "&amp;$A143))</f>
        <v>0</v>
      </c>
      <c r="I143" s="4">
        <f>IF($A143=I$131,"",COUNTIF($E$4:$E$127,$A143&amp;" ضد "&amp;I$131)+COUNTIF($E$4:$E$127,I$131&amp;" ضد "&amp;$A143))</f>
        <v>4</v>
      </c>
      <c r="J143" s="4">
        <f>IF($A143=J$131,"",COUNTIF($E$4:$E$127,$A143&amp;" ضد "&amp;J$131)+COUNTIF($E$4:$E$127,J$131&amp;" ضد "&amp;$A143))</f>
        <v>4</v>
      </c>
      <c r="K143" s="4">
        <f>IF($A143=K$131,"",COUNTIF($E$4:$E$127,$A143&amp;" ضد "&amp;K$131)+COUNTIF($E$4:$E$127,K$131&amp;" ضد "&amp;$A143))</f>
        <v>4</v>
      </c>
      <c r="L143" s="4">
        <f>IF($A143=L$131,"",COUNTIF($E$4:$E$127,$A143&amp;" ضد "&amp;L$131)+COUNTIF($E$4:$E$127,L$131&amp;" ضد "&amp;$A143))</f>
        <v>4</v>
      </c>
      <c r="M143" s="4" t="str">
        <f>IF($A143=M$131,"",COUNTIF($E$4:$E$127,$A143&amp;" ضد "&amp;M$131)+COUNTIF($E$4:$E$127,M$131&amp;" ضد "&amp;$A143))</f>
        <v/>
      </c>
      <c r="N143" s="4">
        <f>IF($A143=N$131,"",COUNTIF($E$4:$E$127,$A143&amp;" ضد "&amp;N$131)+COUNTIF($E$4:$E$127,N$131&amp;" ضد "&amp;$A143))</f>
        <v>4</v>
      </c>
    </row>
    <row r="144" spans="1:14" ht="14.5">
      <c r="A144" s="14">
        <v>13</v>
      </c>
      <c r="B144" s="4">
        <f>IF($A144=B$131,"",COUNTIF($E$4:$E$127,$A144&amp;" ضد "&amp;B$131)+COUNTIF($E$4:$E$127,B$131&amp;" ضد "&amp;$A144))</f>
        <v>0</v>
      </c>
      <c r="C144" s="4">
        <f>IF($A144=C$131,"",COUNTIF($E$4:$E$127,$A144&amp;" ضد "&amp;C$131)+COUNTIF($E$4:$E$127,C$131&amp;" ضد "&amp;$A144))</f>
        <v>0</v>
      </c>
      <c r="D144" s="4">
        <f>IF($A144=D$131,"",COUNTIF($E$4:$E$127,$A144&amp;" ضد "&amp;D$131)+COUNTIF($E$4:$E$127,D$131&amp;" ضد "&amp;$A144))</f>
        <v>0</v>
      </c>
      <c r="E144" s="4">
        <f>IF($A144=E$131,"",COUNTIF($E$4:$E$127,$A144&amp;" ضد "&amp;E$131)+COUNTIF($E$4:$E$127,E$131&amp;" ضد "&amp;$A144))</f>
        <v>0</v>
      </c>
      <c r="F144" s="4">
        <f>IF($A144=F$131,"",COUNTIF($E$4:$E$127,$A144&amp;" ضد "&amp;F$131)+COUNTIF($E$4:$E$127,F$131&amp;" ضد "&amp;$A144))</f>
        <v>0</v>
      </c>
      <c r="G144" s="4">
        <f>IF($A144=G$131,"",COUNTIF($E$4:$E$127,$A144&amp;" ضد "&amp;G$131)+COUNTIF($E$4:$E$127,G$131&amp;" ضد "&amp;$A144))</f>
        <v>0</v>
      </c>
      <c r="H144" s="4">
        <f>IF($A144=H$131,"",COUNTIF($E$4:$E$127,$A144&amp;" ضد "&amp;H$131)+COUNTIF($E$4:$E$127,H$131&amp;" ضد "&amp;$A144))</f>
        <v>0</v>
      </c>
      <c r="I144" s="4">
        <f>IF($A144=I$131,"",COUNTIF($E$4:$E$127,$A144&amp;" ضد "&amp;I$131)+COUNTIF($E$4:$E$127,I$131&amp;" ضد "&amp;$A144))</f>
        <v>4</v>
      </c>
      <c r="J144" s="4">
        <f>IF($A144=J$131,"",COUNTIF($E$4:$E$127,$A144&amp;" ضد "&amp;J$131)+COUNTIF($E$4:$E$127,J$131&amp;" ضد "&amp;$A144))</f>
        <v>4</v>
      </c>
      <c r="K144" s="4">
        <f>IF($A144=K$131,"",COUNTIF($E$4:$E$127,$A144&amp;" ضد "&amp;K$131)+COUNTIF($E$4:$E$127,K$131&amp;" ضد "&amp;$A144))</f>
        <v>4</v>
      </c>
      <c r="L144" s="4">
        <f>IF($A144=L$131,"",COUNTIF($E$4:$E$127,$A144&amp;" ضد "&amp;L$131)+COUNTIF($E$4:$E$127,L$131&amp;" ضد "&amp;$A144))</f>
        <v>4</v>
      </c>
      <c r="M144" s="4">
        <f>IF($A144=M$131,"",COUNTIF($E$4:$E$127,$A144&amp;" ضد "&amp;M$131)+COUNTIF($E$4:$E$127,M$131&amp;" ضد "&amp;$A144))</f>
        <v>4</v>
      </c>
      <c r="N144" s="4" t="str">
        <f>IF($A144=N$131,"",COUNTIF($E$4:$E$127,$A144&amp;" ضد "&amp;N$131)+COUNTIF($E$4:$E$127,N$131&amp;" ضد "&amp;$A144))</f>
        <v/>
      </c>
    </row>
    <row r="145" spans="1:14" ht="14.5">
      <c r="A145" s="14" t="s">
        <v>1033</v>
      </c>
      <c r="B145" s="4" cm="1">
        <f t="array" ref="B145">MIN(IF(B132:N144&gt;0,B132:N144))</f>
        <v>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4.5">
      <c r="A146" s="14" t="s">
        <v>830</v>
      </c>
      <c r="B146" s="4">
        <f>MAX(B132:N144)</f>
        <v>4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</sheetData>
  <mergeCells count="2">
    <mergeCell ref="A1:E1"/>
    <mergeCell ref="A130:N1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1232-7D50-4C46-AACD-26237930EA56}">
  <dimension ref="A1:O150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986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10</v>
      </c>
      <c r="F4" s="2"/>
    </row>
    <row r="5" spans="1:6" ht="14" customHeight="1">
      <c r="A5" s="8">
        <v>1</v>
      </c>
      <c r="B5" s="7" t="str">
        <f>المدخلات!$F$5</f>
        <v>5:20–6:30 م</v>
      </c>
      <c r="C5" s="7">
        <v>1</v>
      </c>
      <c r="D5" s="7" t="s">
        <v>593</v>
      </c>
      <c r="E5" s="7" t="s">
        <v>12</v>
      </c>
      <c r="F5" s="2"/>
    </row>
    <row r="6" spans="1:6" ht="14" customHeight="1">
      <c r="A6" s="8">
        <v>1</v>
      </c>
      <c r="B6" s="7" t="str">
        <f>المدخلات!$F$6</f>
        <v>6:40–7:50 م</v>
      </c>
      <c r="C6" s="7">
        <v>1</v>
      </c>
      <c r="D6" s="7" t="s">
        <v>593</v>
      </c>
      <c r="E6" s="7" t="s">
        <v>22</v>
      </c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2</v>
      </c>
      <c r="D7" s="7" t="s">
        <v>594</v>
      </c>
      <c r="E7" s="7" t="s">
        <v>72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594</v>
      </c>
      <c r="E8" s="7" t="s">
        <v>93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594</v>
      </c>
      <c r="E9" s="7" t="s">
        <v>94</v>
      </c>
      <c r="F9" s="2"/>
    </row>
    <row r="10" spans="1:6" ht="14" customHeight="1">
      <c r="A10" s="8">
        <v>2</v>
      </c>
      <c r="B10" s="7" t="str">
        <f>المدخلات!$F$4</f>
        <v>4:00–5:10 م</v>
      </c>
      <c r="C10" s="7">
        <v>1</v>
      </c>
      <c r="D10" s="7" t="s">
        <v>593</v>
      </c>
      <c r="E10" s="7" t="s">
        <v>25</v>
      </c>
      <c r="F10" s="2"/>
    </row>
    <row r="11" spans="1:6" ht="14" customHeight="1">
      <c r="A11" s="8">
        <v>2</v>
      </c>
      <c r="B11" s="7" t="str">
        <f>المدخلات!$F$5</f>
        <v>5:20–6:30 م</v>
      </c>
      <c r="C11" s="7">
        <v>1</v>
      </c>
      <c r="D11" s="7" t="s">
        <v>593</v>
      </c>
      <c r="E11" s="7" t="s">
        <v>1042</v>
      </c>
      <c r="F11" s="2"/>
    </row>
    <row r="12" spans="1:6" ht="14" customHeight="1">
      <c r="A12" s="8">
        <v>2</v>
      </c>
      <c r="B12" s="7" t="str">
        <f>المدخلات!$F$6</f>
        <v>6:40–7:50 م</v>
      </c>
      <c r="C12" s="7">
        <v>1</v>
      </c>
      <c r="D12" s="7" t="s">
        <v>593</v>
      </c>
      <c r="E12" s="7" t="s">
        <v>19</v>
      </c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2</v>
      </c>
      <c r="D13" s="7" t="s">
        <v>594</v>
      </c>
      <c r="E13" s="7" t="s">
        <v>95</v>
      </c>
      <c r="F13" s="2"/>
    </row>
    <row r="14" spans="1:6" ht="14" customHeight="1">
      <c r="A14" s="8">
        <v>2</v>
      </c>
      <c r="B14" s="7" t="str">
        <f>المدخلات!$F$5</f>
        <v>5:20–6:30 م</v>
      </c>
      <c r="C14" s="7">
        <v>2</v>
      </c>
      <c r="D14" s="7" t="s">
        <v>594</v>
      </c>
      <c r="E14" s="7" t="s">
        <v>1068</v>
      </c>
      <c r="F14" s="2"/>
    </row>
    <row r="15" spans="1:6" ht="14" customHeight="1">
      <c r="A15" s="8">
        <v>2</v>
      </c>
      <c r="B15" s="7" t="str">
        <f>المدخلات!$F$6</f>
        <v>6:40–7:50 م</v>
      </c>
      <c r="C15" s="7">
        <v>2</v>
      </c>
      <c r="D15" s="7" t="s">
        <v>594</v>
      </c>
      <c r="E15" s="7" t="s">
        <v>56</v>
      </c>
      <c r="F15" s="2"/>
    </row>
    <row r="16" spans="1:6" ht="14" customHeight="1">
      <c r="A16" s="8">
        <v>3</v>
      </c>
      <c r="B16" s="7" t="str">
        <f>المدخلات!$F$4</f>
        <v>4:00–5:10 م</v>
      </c>
      <c r="C16" s="7">
        <v>1</v>
      </c>
      <c r="D16" s="7" t="s">
        <v>593</v>
      </c>
      <c r="E16" s="7" t="s">
        <v>17</v>
      </c>
      <c r="F16" s="2"/>
    </row>
    <row r="17" spans="1:6" ht="14" customHeight="1">
      <c r="A17" s="8">
        <v>3</v>
      </c>
      <c r="B17" s="7" t="str">
        <f>المدخلات!$F$5</f>
        <v>5:20–6:30 م</v>
      </c>
      <c r="C17" s="7">
        <v>1</v>
      </c>
      <c r="D17" s="7" t="s">
        <v>593</v>
      </c>
      <c r="E17" s="7" t="s">
        <v>607</v>
      </c>
      <c r="F17" s="2"/>
    </row>
    <row r="18" spans="1:6" ht="14" customHeight="1">
      <c r="A18" s="8">
        <v>3</v>
      </c>
      <c r="B18" s="7" t="str">
        <f>المدخلات!$F$6</f>
        <v>6:40–7:50 م</v>
      </c>
      <c r="C18" s="7">
        <v>1</v>
      </c>
      <c r="D18" s="7" t="s">
        <v>593</v>
      </c>
      <c r="E18" s="7" t="s">
        <v>1039</v>
      </c>
      <c r="F18" s="2"/>
    </row>
    <row r="19" spans="1:6" ht="14" customHeight="1">
      <c r="A19" s="8">
        <v>3</v>
      </c>
      <c r="B19" s="7" t="str">
        <f>المدخلات!$F$4</f>
        <v>4:00–5:10 م</v>
      </c>
      <c r="C19" s="7">
        <v>2</v>
      </c>
      <c r="D19" s="7" t="s">
        <v>594</v>
      </c>
      <c r="E19" s="7" t="s">
        <v>46</v>
      </c>
      <c r="F19" s="2"/>
    </row>
    <row r="20" spans="1:6" ht="14" customHeight="1">
      <c r="A20" s="8">
        <v>3</v>
      </c>
      <c r="B20" s="7" t="str">
        <f>المدخلات!$F$5</f>
        <v>5:20–6:30 م</v>
      </c>
      <c r="C20" s="7">
        <v>2</v>
      </c>
      <c r="D20" s="7" t="s">
        <v>594</v>
      </c>
      <c r="E20" s="7" t="s">
        <v>624</v>
      </c>
      <c r="F20" s="2"/>
    </row>
    <row r="21" spans="1:6" ht="14" customHeight="1">
      <c r="A21" s="8">
        <v>3</v>
      </c>
      <c r="B21" s="7" t="str">
        <f>المدخلات!$F$6</f>
        <v>6:40–7:50 م</v>
      </c>
      <c r="C21" s="7">
        <v>2</v>
      </c>
      <c r="D21" s="7" t="s">
        <v>594</v>
      </c>
      <c r="E21" s="7" t="s">
        <v>1066</v>
      </c>
      <c r="F21" s="2"/>
    </row>
    <row r="22" spans="1:6" ht="14" customHeight="1">
      <c r="A22" s="8">
        <v>4</v>
      </c>
      <c r="B22" s="7" t="str">
        <f>المدخلات!$F$4</f>
        <v>4:00–5:10 م</v>
      </c>
      <c r="C22" s="7">
        <v>1</v>
      </c>
      <c r="D22" s="7" t="s">
        <v>593</v>
      </c>
      <c r="E22" s="7" t="s">
        <v>622</v>
      </c>
      <c r="F22" s="2"/>
    </row>
    <row r="23" spans="1:6" ht="14" customHeight="1">
      <c r="A23" s="8">
        <v>4</v>
      </c>
      <c r="B23" s="7" t="str">
        <f>المدخلات!$F$5</f>
        <v>5:20–6:30 م</v>
      </c>
      <c r="C23" s="7">
        <v>1</v>
      </c>
      <c r="D23" s="7" t="s">
        <v>593</v>
      </c>
      <c r="E23" s="7" t="s">
        <v>9</v>
      </c>
      <c r="F23" s="2"/>
    </row>
    <row r="24" spans="1:6" ht="14" customHeight="1">
      <c r="A24" s="8">
        <v>4</v>
      </c>
      <c r="B24" s="7" t="str">
        <f>المدخلات!$F$6</f>
        <v>6:40–7:50 م</v>
      </c>
      <c r="C24" s="7">
        <v>1</v>
      </c>
      <c r="D24" s="7" t="s">
        <v>593</v>
      </c>
      <c r="E24" s="7" t="s">
        <v>20</v>
      </c>
      <c r="F24" s="2"/>
    </row>
    <row r="25" spans="1:6" ht="14" customHeight="1">
      <c r="A25" s="8">
        <v>4</v>
      </c>
      <c r="B25" s="7" t="str">
        <f>المدخلات!$F$4</f>
        <v>4:00–5:10 م</v>
      </c>
      <c r="C25" s="7">
        <v>2</v>
      </c>
      <c r="D25" s="7" t="s">
        <v>594</v>
      </c>
      <c r="E25" s="7" t="s">
        <v>636</v>
      </c>
      <c r="F25" s="2"/>
    </row>
    <row r="26" spans="1:6" ht="14" customHeight="1">
      <c r="A26" s="8">
        <v>4</v>
      </c>
      <c r="B26" s="7" t="str">
        <f>المدخلات!$F$5</f>
        <v>5:20–6:30 م</v>
      </c>
      <c r="C26" s="7">
        <v>2</v>
      </c>
      <c r="D26" s="7" t="s">
        <v>594</v>
      </c>
      <c r="E26" s="7" t="s">
        <v>90</v>
      </c>
      <c r="F26" s="2"/>
    </row>
    <row r="27" spans="1:6" ht="14" customHeight="1">
      <c r="A27" s="8">
        <v>4</v>
      </c>
      <c r="B27" s="7" t="str">
        <f>المدخلات!$F$6</f>
        <v>6:40–7:50 م</v>
      </c>
      <c r="C27" s="7">
        <v>2</v>
      </c>
      <c r="D27" s="7" t="s">
        <v>594</v>
      </c>
      <c r="E27" s="7" t="s">
        <v>68</v>
      </c>
      <c r="F27" s="2"/>
    </row>
    <row r="28" spans="1:6" ht="14" customHeight="1">
      <c r="A28" s="8">
        <v>5</v>
      </c>
      <c r="B28" s="7" t="str">
        <f>المدخلات!$F$4</f>
        <v>4:00–5:10 م</v>
      </c>
      <c r="C28" s="7">
        <v>1</v>
      </c>
      <c r="D28" s="7" t="s">
        <v>593</v>
      </c>
      <c r="E28" s="7" t="s">
        <v>633</v>
      </c>
      <c r="F28" s="2"/>
    </row>
    <row r="29" spans="1:6" ht="14" customHeight="1">
      <c r="A29" s="8">
        <v>5</v>
      </c>
      <c r="B29" s="7" t="str">
        <f>المدخلات!$F$5</f>
        <v>5:20–6:30 م</v>
      </c>
      <c r="C29" s="7">
        <v>1</v>
      </c>
      <c r="D29" s="7" t="s">
        <v>593</v>
      </c>
      <c r="E29" s="7" t="s">
        <v>18</v>
      </c>
      <c r="F29" s="2"/>
    </row>
    <row r="30" spans="1:6" ht="14" customHeight="1">
      <c r="A30" s="8">
        <v>5</v>
      </c>
      <c r="B30" s="7" t="str">
        <f>المدخلات!$F$6</f>
        <v>6:40–7:50 م</v>
      </c>
      <c r="C30" s="7">
        <v>1</v>
      </c>
      <c r="D30" s="7" t="s">
        <v>593</v>
      </c>
      <c r="E30" s="7" t="s">
        <v>634</v>
      </c>
      <c r="F30" s="2"/>
    </row>
    <row r="31" spans="1:6" ht="14" customHeight="1">
      <c r="A31" s="8">
        <v>5</v>
      </c>
      <c r="B31" s="7" t="str">
        <f>المدخلات!$F$4</f>
        <v>4:00–5:10 م</v>
      </c>
      <c r="C31" s="7">
        <v>2</v>
      </c>
      <c r="D31" s="7" t="s">
        <v>594</v>
      </c>
      <c r="E31" s="7" t="s">
        <v>648</v>
      </c>
      <c r="F31" s="2"/>
    </row>
    <row r="32" spans="1:6" ht="14" customHeight="1">
      <c r="A32" s="8">
        <v>5</v>
      </c>
      <c r="B32" s="7" t="str">
        <f>المدخلات!$F$5</f>
        <v>5:20–6:30 م</v>
      </c>
      <c r="C32" s="7">
        <v>2</v>
      </c>
      <c r="D32" s="7" t="s">
        <v>594</v>
      </c>
      <c r="E32" s="7" t="s">
        <v>53</v>
      </c>
      <c r="F32" s="2"/>
    </row>
    <row r="33" spans="1:6" ht="14" customHeight="1">
      <c r="A33" s="8">
        <v>5</v>
      </c>
      <c r="B33" s="7" t="str">
        <f>المدخلات!$F$6</f>
        <v>6:40–7:50 م</v>
      </c>
      <c r="C33" s="7">
        <v>2</v>
      </c>
      <c r="D33" s="7" t="s">
        <v>594</v>
      </c>
      <c r="E33" s="7" t="s">
        <v>706</v>
      </c>
      <c r="F33" s="2"/>
    </row>
    <row r="34" spans="1:6" ht="14" customHeight="1">
      <c r="A34" s="8">
        <v>6</v>
      </c>
      <c r="B34" s="7" t="str">
        <f>المدخلات!$F$4</f>
        <v>4:00–5:10 م</v>
      </c>
      <c r="C34" s="7">
        <v>1</v>
      </c>
      <c r="D34" s="7" t="s">
        <v>593</v>
      </c>
      <c r="E34" s="7" t="s">
        <v>23</v>
      </c>
      <c r="F34" s="2"/>
    </row>
    <row r="35" spans="1:6" ht="14" customHeight="1">
      <c r="A35" s="8">
        <v>6</v>
      </c>
      <c r="B35" s="7" t="str">
        <f>المدخلات!$F$5</f>
        <v>5:20–6:30 م</v>
      </c>
      <c r="C35" s="7">
        <v>1</v>
      </c>
      <c r="D35" s="7" t="s">
        <v>593</v>
      </c>
      <c r="E35" s="7" t="s">
        <v>14</v>
      </c>
      <c r="F35" s="2"/>
    </row>
    <row r="36" spans="1:6" ht="14" customHeight="1">
      <c r="A36" s="8">
        <v>6</v>
      </c>
      <c r="B36" s="7" t="str">
        <f>المدخلات!$F$6</f>
        <v>6:40–7:50 م</v>
      </c>
      <c r="C36" s="7">
        <v>1</v>
      </c>
      <c r="D36" s="7" t="s">
        <v>593</v>
      </c>
      <c r="E36" s="7" t="s">
        <v>1040</v>
      </c>
      <c r="F36" s="2"/>
    </row>
    <row r="37" spans="1:6" ht="14" customHeight="1">
      <c r="A37" s="8">
        <v>6</v>
      </c>
      <c r="B37" s="7" t="str">
        <f>المدخلات!$F$4</f>
        <v>4:00–5:10 م</v>
      </c>
      <c r="C37" s="7">
        <v>2</v>
      </c>
      <c r="D37" s="7" t="s">
        <v>594</v>
      </c>
      <c r="E37" s="7" t="s">
        <v>98</v>
      </c>
      <c r="F37" s="2"/>
    </row>
    <row r="38" spans="1:6" ht="14" customHeight="1">
      <c r="A38" s="8">
        <v>6</v>
      </c>
      <c r="B38" s="7" t="str">
        <f>المدخلات!$F$5</f>
        <v>5:20–6:30 م</v>
      </c>
      <c r="C38" s="7">
        <v>2</v>
      </c>
      <c r="D38" s="7" t="s">
        <v>594</v>
      </c>
      <c r="E38" s="7" t="s">
        <v>52</v>
      </c>
      <c r="F38" s="2"/>
    </row>
    <row r="39" spans="1:6" ht="14" customHeight="1">
      <c r="A39" s="8">
        <v>6</v>
      </c>
      <c r="B39" s="7" t="str">
        <f>المدخلات!$F$6</f>
        <v>6:40–7:50 م</v>
      </c>
      <c r="C39" s="7">
        <v>2</v>
      </c>
      <c r="D39" s="7" t="s">
        <v>594</v>
      </c>
      <c r="E39" s="7" t="s">
        <v>740</v>
      </c>
      <c r="F39" s="2"/>
    </row>
    <row r="40" spans="1:6" ht="14" customHeight="1">
      <c r="A40" s="8">
        <v>7</v>
      </c>
      <c r="B40" s="7" t="str">
        <f>المدخلات!$F$4</f>
        <v>4:00–5:10 م</v>
      </c>
      <c r="C40" s="7">
        <v>1</v>
      </c>
      <c r="D40" s="7" t="s">
        <v>593</v>
      </c>
      <c r="E40" s="7" t="s">
        <v>16</v>
      </c>
      <c r="F40" s="2"/>
    </row>
    <row r="41" spans="1:6" ht="14" customHeight="1">
      <c r="A41" s="8">
        <v>7</v>
      </c>
      <c r="B41" s="7" t="str">
        <f>المدخلات!$F$5</f>
        <v>5:20–6:30 م</v>
      </c>
      <c r="C41" s="7">
        <v>1</v>
      </c>
      <c r="D41" s="7" t="s">
        <v>593</v>
      </c>
      <c r="E41" s="7" t="s">
        <v>11</v>
      </c>
      <c r="F41" s="2"/>
    </row>
    <row r="42" spans="1:6" ht="14" customHeight="1">
      <c r="A42" s="8">
        <v>7</v>
      </c>
      <c r="B42" s="7" t="str">
        <f>المدخلات!$F$6</f>
        <v>6:40–7:50 م</v>
      </c>
      <c r="C42" s="7">
        <v>1</v>
      </c>
      <c r="D42" s="7" t="s">
        <v>593</v>
      </c>
      <c r="E42" s="7" t="s">
        <v>26</v>
      </c>
      <c r="F42" s="2"/>
    </row>
    <row r="43" spans="1:6" ht="14" customHeight="1">
      <c r="A43" s="8">
        <v>7</v>
      </c>
      <c r="B43" s="7" t="str">
        <f>المدخلات!$F$4</f>
        <v>4:00–5:10 م</v>
      </c>
      <c r="C43" s="7">
        <v>2</v>
      </c>
      <c r="D43" s="7" t="s">
        <v>594</v>
      </c>
      <c r="E43" s="7" t="s">
        <v>92</v>
      </c>
      <c r="F43" s="2"/>
    </row>
    <row r="44" spans="1:6" ht="14" customHeight="1">
      <c r="A44" s="8">
        <v>7</v>
      </c>
      <c r="B44" s="7" t="str">
        <f>المدخلات!$F$5</f>
        <v>5:20–6:30 م</v>
      </c>
      <c r="C44" s="7">
        <v>2</v>
      </c>
      <c r="D44" s="7" t="s">
        <v>594</v>
      </c>
      <c r="E44" s="7" t="s">
        <v>41</v>
      </c>
      <c r="F44" s="2"/>
    </row>
    <row r="45" spans="1:6" ht="14" customHeight="1">
      <c r="A45" s="8">
        <v>7</v>
      </c>
      <c r="B45" s="7" t="str">
        <f>المدخلات!$F$6</f>
        <v>6:40–7:50 م</v>
      </c>
      <c r="C45" s="7">
        <v>2</v>
      </c>
      <c r="D45" s="7" t="s">
        <v>594</v>
      </c>
      <c r="E45" s="7" t="s">
        <v>99</v>
      </c>
      <c r="F45" s="2"/>
    </row>
    <row r="46" spans="1:6" ht="14" customHeight="1">
      <c r="A46" s="8">
        <v>8</v>
      </c>
      <c r="B46" s="7" t="str">
        <f>المدخلات!$F$4</f>
        <v>4:00–5:10 م</v>
      </c>
      <c r="C46" s="7">
        <v>1</v>
      </c>
      <c r="D46" s="7" t="s">
        <v>593</v>
      </c>
      <c r="E46" s="7" t="s">
        <v>1045</v>
      </c>
      <c r="F46" s="2"/>
    </row>
    <row r="47" spans="1:6" ht="14" customHeight="1">
      <c r="A47" s="8">
        <v>8</v>
      </c>
      <c r="B47" s="7" t="str">
        <f>المدخلات!$F$5</f>
        <v>5:20–6:30 م</v>
      </c>
      <c r="C47" s="7">
        <v>1</v>
      </c>
      <c r="D47" s="7" t="s">
        <v>593</v>
      </c>
      <c r="E47" s="7" t="s">
        <v>12</v>
      </c>
      <c r="F47" s="2"/>
    </row>
    <row r="48" spans="1:6" ht="14" customHeight="1">
      <c r="A48" s="8">
        <v>8</v>
      </c>
      <c r="B48" s="7" t="str">
        <f>المدخلات!$F$6</f>
        <v>6:40–7:50 م</v>
      </c>
      <c r="C48" s="7">
        <v>1</v>
      </c>
      <c r="D48" s="7" t="s">
        <v>593</v>
      </c>
      <c r="E48" s="7" t="s">
        <v>10</v>
      </c>
      <c r="F48" s="2"/>
    </row>
    <row r="49" spans="1:6" ht="14" customHeight="1">
      <c r="A49" s="8">
        <v>8</v>
      </c>
      <c r="B49" s="7" t="str">
        <f>المدخلات!$F$4</f>
        <v>4:00–5:10 م</v>
      </c>
      <c r="C49" s="7">
        <v>2</v>
      </c>
      <c r="D49" s="7" t="s">
        <v>594</v>
      </c>
      <c r="E49" s="7" t="s">
        <v>1070</v>
      </c>
      <c r="F49" s="2"/>
    </row>
    <row r="50" spans="1:6" ht="14" customHeight="1">
      <c r="A50" s="8">
        <v>8</v>
      </c>
      <c r="B50" s="7" t="str">
        <f>المدخلات!$F$5</f>
        <v>5:20–6:30 م</v>
      </c>
      <c r="C50" s="7">
        <v>2</v>
      </c>
      <c r="D50" s="7" t="s">
        <v>594</v>
      </c>
      <c r="E50" s="7" t="s">
        <v>93</v>
      </c>
      <c r="F50" s="2"/>
    </row>
    <row r="51" spans="1:6" ht="14" customHeight="1">
      <c r="A51" s="8">
        <v>8</v>
      </c>
      <c r="B51" s="7" t="str">
        <f>المدخلات!$F$6</f>
        <v>6:40–7:50 م</v>
      </c>
      <c r="C51" s="7">
        <v>2</v>
      </c>
      <c r="D51" s="7" t="s">
        <v>594</v>
      </c>
      <c r="E51" s="7" t="s">
        <v>72</v>
      </c>
      <c r="F51" s="2"/>
    </row>
    <row r="52" spans="1:6" ht="14" customHeight="1">
      <c r="A52" s="8">
        <v>9</v>
      </c>
      <c r="B52" s="7" t="str">
        <f>المدخلات!$F$4</f>
        <v>4:00–5:10 م</v>
      </c>
      <c r="C52" s="7">
        <v>1</v>
      </c>
      <c r="D52" s="7" t="s">
        <v>593</v>
      </c>
      <c r="E52" s="7" t="s">
        <v>19</v>
      </c>
      <c r="F52" s="2"/>
    </row>
    <row r="53" spans="1:6" ht="14" customHeight="1">
      <c r="A53" s="8">
        <v>9</v>
      </c>
      <c r="B53" s="7" t="str">
        <f>المدخلات!$F$5</f>
        <v>5:20–6:30 م</v>
      </c>
      <c r="C53" s="7">
        <v>1</v>
      </c>
      <c r="D53" s="7" t="s">
        <v>593</v>
      </c>
      <c r="E53" s="7" t="s">
        <v>1047</v>
      </c>
      <c r="F53" s="2"/>
    </row>
    <row r="54" spans="1:6" ht="14" customHeight="1">
      <c r="A54" s="8">
        <v>9</v>
      </c>
      <c r="B54" s="7" t="str">
        <f>المدخلات!$F$6</f>
        <v>6:40–7:50 م</v>
      </c>
      <c r="C54" s="7">
        <v>1</v>
      </c>
      <c r="D54" s="7" t="s">
        <v>593</v>
      </c>
      <c r="E54" s="7" t="s">
        <v>7</v>
      </c>
      <c r="F54" s="2"/>
    </row>
    <row r="55" spans="1:6" ht="14" customHeight="1">
      <c r="A55" s="8">
        <v>9</v>
      </c>
      <c r="B55" s="7" t="str">
        <f>المدخلات!$F$4</f>
        <v>4:00–5:10 م</v>
      </c>
      <c r="C55" s="7">
        <v>2</v>
      </c>
      <c r="D55" s="7" t="s">
        <v>594</v>
      </c>
      <c r="E55" s="7" t="s">
        <v>56</v>
      </c>
      <c r="F55" s="2"/>
    </row>
    <row r="56" spans="1:6" ht="14" customHeight="1">
      <c r="A56" s="8">
        <v>9</v>
      </c>
      <c r="B56" s="7" t="str">
        <f>المدخلات!$F$5</f>
        <v>5:20–6:30 م</v>
      </c>
      <c r="C56" s="7">
        <v>2</v>
      </c>
      <c r="D56" s="7" t="s">
        <v>594</v>
      </c>
      <c r="E56" s="7" t="s">
        <v>707</v>
      </c>
      <c r="F56" s="2"/>
    </row>
    <row r="57" spans="1:6" ht="14" customHeight="1">
      <c r="A57" s="8">
        <v>9</v>
      </c>
      <c r="B57" s="7" t="str">
        <f>المدخلات!$F$6</f>
        <v>6:40–7:50 م</v>
      </c>
      <c r="C57" s="7">
        <v>2</v>
      </c>
      <c r="D57" s="7" t="s">
        <v>594</v>
      </c>
      <c r="E57" s="7" t="s">
        <v>67</v>
      </c>
      <c r="F57" s="2"/>
    </row>
    <row r="58" spans="1:6" ht="14" customHeight="1">
      <c r="A58" s="8">
        <v>10</v>
      </c>
      <c r="B58" s="7" t="str">
        <f>المدخلات!$F$4</f>
        <v>4:00–5:10 م</v>
      </c>
      <c r="C58" s="7">
        <v>1</v>
      </c>
      <c r="D58" s="7" t="s">
        <v>593</v>
      </c>
      <c r="E58" s="7" t="s">
        <v>17</v>
      </c>
      <c r="F58" s="2"/>
    </row>
    <row r="59" spans="1:6" ht="14" customHeight="1">
      <c r="A59" s="8">
        <v>10</v>
      </c>
      <c r="B59" s="7" t="str">
        <f>المدخلات!$F$5</f>
        <v>5:20–6:30 م</v>
      </c>
      <c r="C59" s="7">
        <v>1</v>
      </c>
      <c r="D59" s="7" t="s">
        <v>593</v>
      </c>
      <c r="E59" s="7" t="s">
        <v>24</v>
      </c>
      <c r="F59" s="2"/>
    </row>
    <row r="60" spans="1:6" ht="14" customHeight="1">
      <c r="A60" s="8">
        <v>10</v>
      </c>
      <c r="B60" s="7" t="str">
        <f>المدخلات!$F$6</f>
        <v>6:40–7:50 م</v>
      </c>
      <c r="C60" s="7">
        <v>1</v>
      </c>
      <c r="D60" s="7" t="s">
        <v>593</v>
      </c>
      <c r="E60" s="7" t="s">
        <v>1039</v>
      </c>
      <c r="F60" s="2"/>
    </row>
    <row r="61" spans="1:6" ht="14" customHeight="1">
      <c r="A61" s="8">
        <v>10</v>
      </c>
      <c r="B61" s="7" t="str">
        <f>المدخلات!$F$4</f>
        <v>4:00–5:10 م</v>
      </c>
      <c r="C61" s="7">
        <v>2</v>
      </c>
      <c r="D61" s="7" t="s">
        <v>594</v>
      </c>
      <c r="E61" s="7" t="s">
        <v>46</v>
      </c>
      <c r="F61" s="2"/>
    </row>
    <row r="62" spans="1:6" ht="14" customHeight="1">
      <c r="A62" s="8">
        <v>10</v>
      </c>
      <c r="B62" s="7" t="str">
        <f>المدخلات!$F$5</f>
        <v>5:20–6:30 م</v>
      </c>
      <c r="C62" s="7">
        <v>2</v>
      </c>
      <c r="D62" s="7" t="s">
        <v>594</v>
      </c>
      <c r="E62" s="7" t="s">
        <v>96</v>
      </c>
      <c r="F62" s="2"/>
    </row>
    <row r="63" spans="1:6" ht="14" customHeight="1">
      <c r="A63" s="8">
        <v>10</v>
      </c>
      <c r="B63" s="7" t="str">
        <f>المدخلات!$F$6</f>
        <v>6:40–7:50 م</v>
      </c>
      <c r="C63" s="7">
        <v>2</v>
      </c>
      <c r="D63" s="7" t="s">
        <v>594</v>
      </c>
      <c r="E63" s="7" t="s">
        <v>1066</v>
      </c>
      <c r="F63" s="2"/>
    </row>
    <row r="64" spans="1:6" ht="14" customHeight="1">
      <c r="A64" s="8">
        <v>11</v>
      </c>
      <c r="B64" s="7" t="str">
        <f>المدخلات!$F$4</f>
        <v>4:00–5:10 م</v>
      </c>
      <c r="C64" s="7">
        <v>1</v>
      </c>
      <c r="D64" s="7" t="s">
        <v>593</v>
      </c>
      <c r="E64" s="7" t="s">
        <v>9</v>
      </c>
      <c r="F64" s="2"/>
    </row>
    <row r="65" spans="1:6" ht="14" customHeight="1">
      <c r="A65" s="8">
        <v>11</v>
      </c>
      <c r="B65" s="7" t="str">
        <f>المدخلات!$F$5</f>
        <v>5:20–6:30 م</v>
      </c>
      <c r="C65" s="7">
        <v>1</v>
      </c>
      <c r="D65" s="7" t="s">
        <v>593</v>
      </c>
      <c r="E65" s="7" t="s">
        <v>20</v>
      </c>
      <c r="F65" s="2"/>
    </row>
    <row r="66" spans="1:6" ht="14" customHeight="1">
      <c r="A66" s="8">
        <v>11</v>
      </c>
      <c r="B66" s="7" t="str">
        <f>المدخلات!$F$6</f>
        <v>6:40–7:50 م</v>
      </c>
      <c r="C66" s="7">
        <v>1</v>
      </c>
      <c r="D66" s="7" t="s">
        <v>593</v>
      </c>
      <c r="E66" s="7" t="s">
        <v>622</v>
      </c>
      <c r="F66" s="2"/>
    </row>
    <row r="67" spans="1:6" ht="14" customHeight="1">
      <c r="A67" s="8">
        <v>11</v>
      </c>
      <c r="B67" s="7" t="str">
        <f>المدخلات!$F$4</f>
        <v>4:00–5:10 م</v>
      </c>
      <c r="C67" s="7">
        <v>2</v>
      </c>
      <c r="D67" s="7" t="s">
        <v>594</v>
      </c>
      <c r="E67" s="7" t="s">
        <v>90</v>
      </c>
      <c r="F67" s="2"/>
    </row>
    <row r="68" spans="1:6" ht="14" customHeight="1">
      <c r="A68" s="8">
        <v>11</v>
      </c>
      <c r="B68" s="7" t="str">
        <f>المدخلات!$F$5</f>
        <v>5:20–6:30 م</v>
      </c>
      <c r="C68" s="7">
        <v>2</v>
      </c>
      <c r="D68" s="7" t="s">
        <v>594</v>
      </c>
      <c r="E68" s="7" t="s">
        <v>68</v>
      </c>
      <c r="F68" s="2"/>
    </row>
    <row r="69" spans="1:6" ht="14" customHeight="1">
      <c r="A69" s="8">
        <v>11</v>
      </c>
      <c r="B69" s="7" t="str">
        <f>المدخلات!$F$6</f>
        <v>6:40–7:50 م</v>
      </c>
      <c r="C69" s="7">
        <v>2</v>
      </c>
      <c r="D69" s="7" t="s">
        <v>594</v>
      </c>
      <c r="E69" s="7" t="s">
        <v>636</v>
      </c>
      <c r="F69" s="2"/>
    </row>
    <row r="70" spans="1:6" ht="14" customHeight="1">
      <c r="A70" s="8">
        <v>12</v>
      </c>
      <c r="B70" s="7" t="str">
        <f>المدخلات!$F$4</f>
        <v>4:00–5:10 م</v>
      </c>
      <c r="C70" s="7">
        <v>1</v>
      </c>
      <c r="D70" s="7" t="s">
        <v>593</v>
      </c>
      <c r="E70" s="7" t="s">
        <v>18</v>
      </c>
      <c r="F70" s="2"/>
    </row>
    <row r="71" spans="1:6" ht="14" customHeight="1">
      <c r="A71" s="8">
        <v>12</v>
      </c>
      <c r="B71" s="7" t="str">
        <f>المدخلات!$F$5</f>
        <v>5:20–6:30 م</v>
      </c>
      <c r="C71" s="7">
        <v>1</v>
      </c>
      <c r="D71" s="7" t="s">
        <v>593</v>
      </c>
      <c r="E71" s="7" t="s">
        <v>633</v>
      </c>
      <c r="F71" s="2"/>
    </row>
    <row r="72" spans="1:6" ht="14" customHeight="1">
      <c r="A72" s="8">
        <v>12</v>
      </c>
      <c r="B72" s="7" t="str">
        <f>المدخلات!$F$6</f>
        <v>6:40–7:50 م</v>
      </c>
      <c r="C72" s="7">
        <v>1</v>
      </c>
      <c r="D72" s="7" t="s">
        <v>593</v>
      </c>
      <c r="E72" s="7" t="s">
        <v>634</v>
      </c>
      <c r="F72" s="2"/>
    </row>
    <row r="73" spans="1:6" ht="14" customHeight="1">
      <c r="A73" s="8">
        <v>12</v>
      </c>
      <c r="B73" s="7" t="str">
        <f>المدخلات!$F$4</f>
        <v>4:00–5:10 م</v>
      </c>
      <c r="C73" s="7">
        <v>2</v>
      </c>
      <c r="D73" s="7" t="s">
        <v>594</v>
      </c>
      <c r="E73" s="7" t="s">
        <v>53</v>
      </c>
      <c r="F73" s="2"/>
    </row>
    <row r="74" spans="1:6" ht="14" customHeight="1">
      <c r="A74" s="8">
        <v>12</v>
      </c>
      <c r="B74" s="7" t="str">
        <f>المدخلات!$F$5</f>
        <v>5:20–6:30 م</v>
      </c>
      <c r="C74" s="7">
        <v>2</v>
      </c>
      <c r="D74" s="7" t="s">
        <v>594</v>
      </c>
      <c r="E74" s="7" t="s">
        <v>648</v>
      </c>
      <c r="F74" s="2"/>
    </row>
    <row r="75" spans="1:6" ht="14" customHeight="1">
      <c r="A75" s="8">
        <v>12</v>
      </c>
      <c r="B75" s="7" t="str">
        <f>المدخلات!$F$6</f>
        <v>6:40–7:50 م</v>
      </c>
      <c r="C75" s="7">
        <v>2</v>
      </c>
      <c r="D75" s="7" t="s">
        <v>594</v>
      </c>
      <c r="E75" s="7" t="s">
        <v>706</v>
      </c>
      <c r="F75" s="2"/>
    </row>
    <row r="76" spans="1:6" ht="14" customHeight="1">
      <c r="A76" s="8">
        <v>13</v>
      </c>
      <c r="B76" s="7" t="str">
        <f>المدخلات!$F$4</f>
        <v>4:00–5:10 م</v>
      </c>
      <c r="C76" s="7">
        <v>1</v>
      </c>
      <c r="D76" s="7" t="s">
        <v>593</v>
      </c>
      <c r="E76" s="7" t="s">
        <v>23</v>
      </c>
      <c r="F76" s="2"/>
    </row>
    <row r="77" spans="1:6" ht="14" customHeight="1">
      <c r="A77" s="8">
        <v>13</v>
      </c>
      <c r="B77" s="7" t="str">
        <f>المدخلات!$F$5</f>
        <v>5:20–6:30 م</v>
      </c>
      <c r="C77" s="7">
        <v>1</v>
      </c>
      <c r="D77" s="7" t="s">
        <v>593</v>
      </c>
      <c r="E77" s="7" t="s">
        <v>14</v>
      </c>
      <c r="F77" s="2"/>
    </row>
    <row r="78" spans="1:6" ht="14" customHeight="1">
      <c r="A78" s="8">
        <v>13</v>
      </c>
      <c r="B78" s="7" t="str">
        <f>المدخلات!$F$6</f>
        <v>6:40–7:50 م</v>
      </c>
      <c r="C78" s="7">
        <v>1</v>
      </c>
      <c r="D78" s="7" t="s">
        <v>593</v>
      </c>
      <c r="E78" s="7" t="s">
        <v>1040</v>
      </c>
      <c r="F78" s="2"/>
    </row>
    <row r="79" spans="1:6" ht="14" customHeight="1">
      <c r="A79" s="8">
        <v>13</v>
      </c>
      <c r="B79" s="7" t="str">
        <f>المدخلات!$F$4</f>
        <v>4:00–5:10 م</v>
      </c>
      <c r="C79" s="7">
        <v>2</v>
      </c>
      <c r="D79" s="7" t="s">
        <v>594</v>
      </c>
      <c r="E79" s="7" t="s">
        <v>98</v>
      </c>
      <c r="F79" s="2"/>
    </row>
    <row r="80" spans="1:6" ht="14" customHeight="1">
      <c r="A80" s="8">
        <v>13</v>
      </c>
      <c r="B80" s="7" t="str">
        <f>المدخلات!$F$5</f>
        <v>5:20–6:30 م</v>
      </c>
      <c r="C80" s="7">
        <v>2</v>
      </c>
      <c r="D80" s="7" t="s">
        <v>594</v>
      </c>
      <c r="E80" s="7" t="s">
        <v>52</v>
      </c>
      <c r="F80" s="2"/>
    </row>
    <row r="81" spans="1:6" ht="14" customHeight="1">
      <c r="A81" s="8">
        <v>13</v>
      </c>
      <c r="B81" s="7" t="str">
        <f>المدخلات!$F$6</f>
        <v>6:40–7:50 م</v>
      </c>
      <c r="C81" s="7">
        <v>2</v>
      </c>
      <c r="D81" s="7" t="s">
        <v>594</v>
      </c>
      <c r="E81" s="7" t="s">
        <v>740</v>
      </c>
      <c r="F81" s="2"/>
    </row>
    <row r="82" spans="1:6" ht="14" customHeight="1">
      <c r="A82" s="8">
        <v>14</v>
      </c>
      <c r="B82" s="7" t="str">
        <f>المدخلات!$F$4</f>
        <v>4:00–5:10 م</v>
      </c>
      <c r="C82" s="7">
        <v>1</v>
      </c>
      <c r="D82" s="7" t="s">
        <v>593</v>
      </c>
      <c r="E82" s="7" t="s">
        <v>11</v>
      </c>
      <c r="F82" s="2"/>
    </row>
    <row r="83" spans="1:6" ht="14" customHeight="1">
      <c r="A83" s="8">
        <v>14</v>
      </c>
      <c r="B83" s="7" t="str">
        <f>المدخلات!$F$5</f>
        <v>5:20–6:30 م</v>
      </c>
      <c r="C83" s="7">
        <v>1</v>
      </c>
      <c r="D83" s="7" t="s">
        <v>593</v>
      </c>
      <c r="E83" s="7" t="s">
        <v>16</v>
      </c>
      <c r="F83" s="2"/>
    </row>
    <row r="84" spans="1:6" ht="14" customHeight="1">
      <c r="A84" s="8">
        <v>14</v>
      </c>
      <c r="B84" s="7" t="str">
        <f>المدخلات!$F$6</f>
        <v>6:40–7:50 م</v>
      </c>
      <c r="C84" s="7">
        <v>1</v>
      </c>
      <c r="D84" s="7" t="s">
        <v>593</v>
      </c>
      <c r="E84" s="7" t="s">
        <v>26</v>
      </c>
      <c r="F84" s="2"/>
    </row>
    <row r="85" spans="1:6" ht="14" customHeight="1">
      <c r="A85" s="8">
        <v>14</v>
      </c>
      <c r="B85" s="7" t="str">
        <f>المدخلات!$F$4</f>
        <v>4:00–5:10 م</v>
      </c>
      <c r="C85" s="7">
        <v>2</v>
      </c>
      <c r="D85" s="7" t="s">
        <v>594</v>
      </c>
      <c r="E85" s="7" t="s">
        <v>41</v>
      </c>
      <c r="F85" s="2"/>
    </row>
    <row r="86" spans="1:6" ht="14" customHeight="1">
      <c r="A86" s="8">
        <v>14</v>
      </c>
      <c r="B86" s="7" t="str">
        <f>المدخلات!$F$5</f>
        <v>5:20–6:30 م</v>
      </c>
      <c r="C86" s="7">
        <v>2</v>
      </c>
      <c r="D86" s="7" t="s">
        <v>594</v>
      </c>
      <c r="E86" s="7" t="s">
        <v>92</v>
      </c>
      <c r="F86" s="2"/>
    </row>
    <row r="87" spans="1:6" ht="14" customHeight="1">
      <c r="A87" s="8">
        <v>14</v>
      </c>
      <c r="B87" s="7" t="str">
        <f>المدخلات!$F$6</f>
        <v>6:40–7:50 م</v>
      </c>
      <c r="C87" s="7">
        <v>2</v>
      </c>
      <c r="D87" s="7" t="s">
        <v>594</v>
      </c>
      <c r="E87" s="7" t="s">
        <v>99</v>
      </c>
      <c r="F87" s="2"/>
    </row>
    <row r="88" spans="1:6" ht="14" customHeight="1">
      <c r="A88" s="8">
        <v>15</v>
      </c>
      <c r="B88" s="7" t="str">
        <f>المدخلات!$F$4</f>
        <v>4:00–5:10 م</v>
      </c>
      <c r="C88" s="7">
        <v>1</v>
      </c>
      <c r="D88" s="7" t="s">
        <v>593</v>
      </c>
      <c r="E88" s="7" t="s">
        <v>1045</v>
      </c>
      <c r="F88" s="2"/>
    </row>
    <row r="89" spans="1:6" ht="14" customHeight="1">
      <c r="A89" s="8">
        <v>15</v>
      </c>
      <c r="B89" s="7" t="str">
        <f>المدخلات!$F$5</f>
        <v>5:20–6:30 م</v>
      </c>
      <c r="C89" s="7">
        <v>1</v>
      </c>
      <c r="D89" s="7" t="s">
        <v>593</v>
      </c>
      <c r="E89" s="7" t="s">
        <v>12</v>
      </c>
      <c r="F89" s="2"/>
    </row>
    <row r="90" spans="1:6" ht="14" customHeight="1">
      <c r="A90" s="8">
        <v>15</v>
      </c>
      <c r="B90" s="7" t="str">
        <f>المدخلات!$F$6</f>
        <v>6:40–7:50 م</v>
      </c>
      <c r="C90" s="7">
        <v>1</v>
      </c>
      <c r="D90" s="7" t="s">
        <v>593</v>
      </c>
      <c r="E90" s="7" t="s">
        <v>10</v>
      </c>
      <c r="F90" s="2"/>
    </row>
    <row r="91" spans="1:6" ht="14" customHeight="1">
      <c r="A91" s="8">
        <v>15</v>
      </c>
      <c r="B91" s="7" t="str">
        <f>المدخلات!$F$4</f>
        <v>4:00–5:10 م</v>
      </c>
      <c r="C91" s="7">
        <v>2</v>
      </c>
      <c r="D91" s="7" t="s">
        <v>594</v>
      </c>
      <c r="E91" s="7" t="s">
        <v>1070</v>
      </c>
      <c r="F91" s="2"/>
    </row>
    <row r="92" spans="1:6" ht="14" customHeight="1">
      <c r="A92" s="8">
        <v>15</v>
      </c>
      <c r="B92" s="7" t="str">
        <f>المدخلات!$F$5</f>
        <v>5:20–6:30 م</v>
      </c>
      <c r="C92" s="7">
        <v>2</v>
      </c>
      <c r="D92" s="7" t="s">
        <v>594</v>
      </c>
      <c r="E92" s="7" t="s">
        <v>93</v>
      </c>
      <c r="F92" s="2"/>
    </row>
    <row r="93" spans="1:6" ht="14" customHeight="1">
      <c r="A93" s="8">
        <v>15</v>
      </c>
      <c r="B93" s="7" t="str">
        <f>المدخلات!$F$6</f>
        <v>6:40–7:50 م</v>
      </c>
      <c r="C93" s="7">
        <v>2</v>
      </c>
      <c r="D93" s="7" t="s">
        <v>594</v>
      </c>
      <c r="E93" s="7" t="s">
        <v>72</v>
      </c>
      <c r="F93" s="2"/>
    </row>
    <row r="94" spans="1:6" ht="14" customHeight="1">
      <c r="A94" s="8">
        <v>16</v>
      </c>
      <c r="B94" s="7" t="str">
        <f>المدخلات!$F$4</f>
        <v>4:00–5:10 م</v>
      </c>
      <c r="C94" s="7">
        <v>1</v>
      </c>
      <c r="D94" s="7" t="s">
        <v>593</v>
      </c>
      <c r="E94" s="7" t="s">
        <v>19</v>
      </c>
      <c r="F94" s="2"/>
    </row>
    <row r="95" spans="1:6" ht="14" customHeight="1">
      <c r="A95" s="8">
        <v>16</v>
      </c>
      <c r="B95" s="7" t="str">
        <f>المدخلات!$F$5</f>
        <v>5:20–6:30 م</v>
      </c>
      <c r="C95" s="7">
        <v>1</v>
      </c>
      <c r="D95" s="7" t="s">
        <v>593</v>
      </c>
      <c r="E95" s="7" t="s">
        <v>1047</v>
      </c>
      <c r="F95" s="2"/>
    </row>
    <row r="96" spans="1:6" ht="14" customHeight="1">
      <c r="A96" s="8">
        <v>16</v>
      </c>
      <c r="B96" s="7" t="str">
        <f>المدخلات!$F$6</f>
        <v>6:40–7:50 م</v>
      </c>
      <c r="C96" s="7">
        <v>1</v>
      </c>
      <c r="D96" s="7" t="s">
        <v>593</v>
      </c>
      <c r="E96" s="7" t="s">
        <v>7</v>
      </c>
      <c r="F96" s="2"/>
    </row>
    <row r="97" spans="1:6" ht="14" customHeight="1">
      <c r="A97" s="8">
        <v>16</v>
      </c>
      <c r="B97" s="7" t="str">
        <f>المدخلات!$F$4</f>
        <v>4:00–5:10 م</v>
      </c>
      <c r="C97" s="7">
        <v>2</v>
      </c>
      <c r="D97" s="7" t="s">
        <v>594</v>
      </c>
      <c r="E97" s="7" t="s">
        <v>56</v>
      </c>
      <c r="F97" s="2"/>
    </row>
    <row r="98" spans="1:6" ht="14" customHeight="1">
      <c r="A98" s="8">
        <v>16</v>
      </c>
      <c r="B98" s="7" t="str">
        <f>المدخلات!$F$5</f>
        <v>5:20–6:30 م</v>
      </c>
      <c r="C98" s="7">
        <v>2</v>
      </c>
      <c r="D98" s="7" t="s">
        <v>594</v>
      </c>
      <c r="E98" s="7" t="s">
        <v>707</v>
      </c>
      <c r="F98" s="2"/>
    </row>
    <row r="99" spans="1:6" ht="14" customHeight="1">
      <c r="A99" s="8">
        <v>16</v>
      </c>
      <c r="B99" s="7" t="str">
        <f>المدخلات!$F$6</f>
        <v>6:40–7:50 م</v>
      </c>
      <c r="C99" s="7">
        <v>2</v>
      </c>
      <c r="D99" s="7" t="s">
        <v>594</v>
      </c>
      <c r="E99" s="7" t="s">
        <v>67</v>
      </c>
      <c r="F99" s="2"/>
    </row>
    <row r="100" spans="1:6" ht="14" customHeight="1">
      <c r="A100" s="8">
        <v>17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24</v>
      </c>
      <c r="F100" s="2"/>
    </row>
    <row r="101" spans="1:6" ht="14" customHeight="1">
      <c r="A101" s="8">
        <v>17</v>
      </c>
      <c r="B101" s="7" t="str">
        <f>المدخلات!$F$5</f>
        <v>5:20–6:30 م</v>
      </c>
      <c r="C101" s="7">
        <v>1</v>
      </c>
      <c r="D101" s="7" t="s">
        <v>593</v>
      </c>
      <c r="E101" s="7" t="s">
        <v>17</v>
      </c>
      <c r="F101" s="2"/>
    </row>
    <row r="102" spans="1:6" ht="14" customHeight="1">
      <c r="A102" s="8">
        <v>17</v>
      </c>
      <c r="B102" s="7" t="str">
        <f>المدخلات!$F$6</f>
        <v>6:40–7:50 م</v>
      </c>
      <c r="C102" s="7">
        <v>1</v>
      </c>
      <c r="D102" s="7" t="s">
        <v>593</v>
      </c>
      <c r="E102" s="7" t="s">
        <v>1039</v>
      </c>
      <c r="F102" s="2"/>
    </row>
    <row r="103" spans="1:6" ht="14" customHeight="1">
      <c r="A103" s="8">
        <v>17</v>
      </c>
      <c r="B103" s="7" t="str">
        <f>المدخلات!$F$4</f>
        <v>4:00–5:10 م</v>
      </c>
      <c r="C103" s="7">
        <v>2</v>
      </c>
      <c r="D103" s="7" t="s">
        <v>594</v>
      </c>
      <c r="E103" s="7" t="s">
        <v>96</v>
      </c>
      <c r="F103" s="2"/>
    </row>
    <row r="104" spans="1:6" ht="14" customHeight="1">
      <c r="A104" s="8">
        <v>17</v>
      </c>
      <c r="B104" s="7" t="str">
        <f>المدخلات!$F$5</f>
        <v>5:20–6:30 م</v>
      </c>
      <c r="C104" s="7">
        <v>2</v>
      </c>
      <c r="D104" s="7" t="s">
        <v>594</v>
      </c>
      <c r="E104" s="7" t="s">
        <v>46</v>
      </c>
      <c r="F104" s="2"/>
    </row>
    <row r="105" spans="1:6" ht="14" customHeight="1">
      <c r="A105" s="8">
        <v>17</v>
      </c>
      <c r="B105" s="7" t="str">
        <f>المدخلات!$F$6</f>
        <v>6:40–7:50 م</v>
      </c>
      <c r="C105" s="7">
        <v>2</v>
      </c>
      <c r="D105" s="7" t="s">
        <v>594</v>
      </c>
      <c r="E105" s="7" t="s">
        <v>1066</v>
      </c>
      <c r="F105" s="2"/>
    </row>
    <row r="106" spans="1:6" ht="14" customHeight="1">
      <c r="A106" s="8">
        <v>18</v>
      </c>
      <c r="B106" s="7" t="str">
        <f>المدخلات!$F$4</f>
        <v>4:00–5:10 م</v>
      </c>
      <c r="C106" s="7">
        <v>1</v>
      </c>
      <c r="D106" s="7" t="s">
        <v>593</v>
      </c>
      <c r="E106" s="7" t="s">
        <v>20</v>
      </c>
      <c r="F106" s="2"/>
    </row>
    <row r="107" spans="1:6" ht="14" customHeight="1">
      <c r="A107" s="8">
        <v>18</v>
      </c>
      <c r="B107" s="7" t="str">
        <f>المدخلات!$F$5</f>
        <v>5:20–6:30 م</v>
      </c>
      <c r="C107" s="7">
        <v>1</v>
      </c>
      <c r="D107" s="7" t="s">
        <v>593</v>
      </c>
      <c r="E107" s="7" t="s">
        <v>9</v>
      </c>
      <c r="F107" s="2"/>
    </row>
    <row r="108" spans="1:6" ht="14" customHeight="1">
      <c r="A108" s="8">
        <v>18</v>
      </c>
      <c r="B108" s="7" t="str">
        <f>المدخلات!$F$6</f>
        <v>6:40–7:50 م</v>
      </c>
      <c r="C108" s="7">
        <v>1</v>
      </c>
      <c r="D108" s="7" t="s">
        <v>593</v>
      </c>
      <c r="E108" s="7" t="s">
        <v>622</v>
      </c>
      <c r="F108" s="2"/>
    </row>
    <row r="109" spans="1:6" ht="14" customHeight="1">
      <c r="A109" s="8">
        <v>18</v>
      </c>
      <c r="B109" s="7" t="str">
        <f>المدخلات!$F$4</f>
        <v>4:00–5:10 م</v>
      </c>
      <c r="C109" s="7">
        <v>2</v>
      </c>
      <c r="D109" s="7" t="s">
        <v>594</v>
      </c>
      <c r="E109" s="7" t="s">
        <v>68</v>
      </c>
      <c r="F109" s="2"/>
    </row>
    <row r="110" spans="1:6" ht="14" customHeight="1">
      <c r="A110" s="8">
        <v>18</v>
      </c>
      <c r="B110" s="7" t="str">
        <f>المدخلات!$F$5</f>
        <v>5:20–6:30 م</v>
      </c>
      <c r="C110" s="7">
        <v>2</v>
      </c>
      <c r="D110" s="7" t="s">
        <v>594</v>
      </c>
      <c r="E110" s="7" t="s">
        <v>90</v>
      </c>
      <c r="F110" s="2"/>
    </row>
    <row r="111" spans="1:6" ht="14" customHeight="1">
      <c r="A111" s="8">
        <v>18</v>
      </c>
      <c r="B111" s="7" t="str">
        <f>المدخلات!$F$6</f>
        <v>6:40–7:50 م</v>
      </c>
      <c r="C111" s="7">
        <v>2</v>
      </c>
      <c r="D111" s="7" t="s">
        <v>594</v>
      </c>
      <c r="E111" s="7" t="s">
        <v>636</v>
      </c>
      <c r="F111" s="2"/>
    </row>
    <row r="112" spans="1:6" ht="14" customHeight="1">
      <c r="A112" s="8">
        <v>19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633</v>
      </c>
      <c r="F112" s="2"/>
    </row>
    <row r="113" spans="1:6" ht="14" customHeight="1">
      <c r="A113" s="8">
        <v>19</v>
      </c>
      <c r="B113" s="7" t="str">
        <f>المدخلات!$F$5</f>
        <v>5:20–6:30 م</v>
      </c>
      <c r="C113" s="7">
        <v>1</v>
      </c>
      <c r="D113" s="7" t="s">
        <v>593</v>
      </c>
      <c r="E113" s="7" t="s">
        <v>18</v>
      </c>
      <c r="F113" s="2"/>
    </row>
    <row r="114" spans="1:6" ht="14" customHeight="1">
      <c r="A114" s="8">
        <v>19</v>
      </c>
      <c r="B114" s="7" t="str">
        <f>المدخلات!$F$6</f>
        <v>6:40–7:50 م</v>
      </c>
      <c r="C114" s="7">
        <v>1</v>
      </c>
      <c r="D114" s="7" t="s">
        <v>593</v>
      </c>
      <c r="E114" s="7" t="s">
        <v>634</v>
      </c>
      <c r="F114" s="2"/>
    </row>
    <row r="115" spans="1:6" ht="14" customHeight="1">
      <c r="A115" s="8">
        <v>19</v>
      </c>
      <c r="B115" s="7" t="str">
        <f>المدخلات!$F$4</f>
        <v>4:00–5:10 م</v>
      </c>
      <c r="C115" s="7">
        <v>2</v>
      </c>
      <c r="D115" s="7" t="s">
        <v>594</v>
      </c>
      <c r="E115" s="7" t="s">
        <v>648</v>
      </c>
      <c r="F115" s="2"/>
    </row>
    <row r="116" spans="1:6" ht="14" customHeight="1">
      <c r="A116" s="8">
        <v>19</v>
      </c>
      <c r="B116" s="7" t="str">
        <f>المدخلات!$F$5</f>
        <v>5:20–6:30 م</v>
      </c>
      <c r="C116" s="7">
        <v>2</v>
      </c>
      <c r="D116" s="7" t="s">
        <v>594</v>
      </c>
      <c r="E116" s="7" t="s">
        <v>53</v>
      </c>
      <c r="F116" s="2"/>
    </row>
    <row r="117" spans="1:6" ht="14" customHeight="1">
      <c r="A117" s="8">
        <v>19</v>
      </c>
      <c r="B117" s="7" t="str">
        <f>المدخلات!$F$6</f>
        <v>6:40–7:50 م</v>
      </c>
      <c r="C117" s="7">
        <v>2</v>
      </c>
      <c r="D117" s="7" t="s">
        <v>594</v>
      </c>
      <c r="E117" s="7" t="s">
        <v>706</v>
      </c>
      <c r="F117" s="2"/>
    </row>
    <row r="118" spans="1:6" ht="14" customHeight="1">
      <c r="A118" s="8">
        <v>20</v>
      </c>
      <c r="B118" s="7" t="str">
        <f>المدخلات!$F$4</f>
        <v>4:00–5:10 م</v>
      </c>
      <c r="C118" s="7">
        <v>1</v>
      </c>
      <c r="D118" s="7" t="s">
        <v>593</v>
      </c>
      <c r="E118" s="7" t="s">
        <v>14</v>
      </c>
      <c r="F118" s="2"/>
    </row>
    <row r="119" spans="1:6" ht="14" customHeight="1">
      <c r="A119" s="8">
        <v>20</v>
      </c>
      <c r="B119" s="7" t="str">
        <f>المدخلات!$F$5</f>
        <v>5:20–6:30 م</v>
      </c>
      <c r="C119" s="7">
        <v>1</v>
      </c>
      <c r="D119" s="7" t="s">
        <v>593</v>
      </c>
      <c r="E119" s="7" t="s">
        <v>23</v>
      </c>
      <c r="F119" s="2"/>
    </row>
    <row r="120" spans="1:6" ht="14" customHeight="1">
      <c r="A120" s="8">
        <v>20</v>
      </c>
      <c r="B120" s="7" t="str">
        <f>المدخلات!$F$6</f>
        <v>6:40–7:50 م</v>
      </c>
      <c r="C120" s="7">
        <v>1</v>
      </c>
      <c r="D120" s="7" t="s">
        <v>593</v>
      </c>
      <c r="E120" s="7" t="s">
        <v>1040</v>
      </c>
      <c r="F120" s="2"/>
    </row>
    <row r="121" spans="1:6" ht="14" customHeight="1">
      <c r="A121" s="8">
        <v>20</v>
      </c>
      <c r="B121" s="7" t="str">
        <f>المدخلات!$F$4</f>
        <v>4:00–5:10 م</v>
      </c>
      <c r="C121" s="7">
        <v>2</v>
      </c>
      <c r="D121" s="7" t="s">
        <v>594</v>
      </c>
      <c r="E121" s="7" t="s">
        <v>52</v>
      </c>
      <c r="F121" s="2"/>
    </row>
    <row r="122" spans="1:6" ht="14" customHeight="1">
      <c r="A122" s="8">
        <v>20</v>
      </c>
      <c r="B122" s="7" t="str">
        <f>المدخلات!$F$5</f>
        <v>5:20–6:30 م</v>
      </c>
      <c r="C122" s="7">
        <v>2</v>
      </c>
      <c r="D122" s="7" t="s">
        <v>594</v>
      </c>
      <c r="E122" s="7" t="s">
        <v>98</v>
      </c>
      <c r="F122" s="2"/>
    </row>
    <row r="123" spans="1:6" ht="14" customHeight="1">
      <c r="A123" s="8">
        <v>20</v>
      </c>
      <c r="B123" s="7" t="str">
        <f>المدخلات!$F$6</f>
        <v>6:40–7:50 م</v>
      </c>
      <c r="C123" s="7">
        <v>2</v>
      </c>
      <c r="D123" s="7" t="s">
        <v>594</v>
      </c>
      <c r="E123" s="7" t="s">
        <v>740</v>
      </c>
      <c r="F123" s="2"/>
    </row>
    <row r="124" spans="1:6" ht="14" customHeight="1">
      <c r="A124" s="8">
        <v>21</v>
      </c>
      <c r="B124" s="7" t="str">
        <f>المدخلات!$F$4</f>
        <v>4:00–5:10 م</v>
      </c>
      <c r="C124" s="7">
        <v>1</v>
      </c>
      <c r="D124" s="7" t="s">
        <v>593</v>
      </c>
      <c r="E124" s="7" t="s">
        <v>16</v>
      </c>
      <c r="F124" s="2"/>
    </row>
    <row r="125" spans="1:6" ht="14" customHeight="1">
      <c r="A125" s="8">
        <v>21</v>
      </c>
      <c r="B125" s="7" t="str">
        <f>المدخلات!$F$5</f>
        <v>5:20–6:30 م</v>
      </c>
      <c r="C125" s="7">
        <v>1</v>
      </c>
      <c r="D125" s="7" t="s">
        <v>593</v>
      </c>
      <c r="E125" s="7" t="s">
        <v>11</v>
      </c>
      <c r="F125" s="2"/>
    </row>
    <row r="126" spans="1:6" ht="14" customHeight="1">
      <c r="A126" s="8">
        <v>21</v>
      </c>
      <c r="B126" s="7" t="str">
        <f>المدخلات!$F$6</f>
        <v>6:40–7:50 م</v>
      </c>
      <c r="C126" s="7">
        <v>1</v>
      </c>
      <c r="D126" s="7" t="s">
        <v>593</v>
      </c>
      <c r="E126" s="7" t="s">
        <v>26</v>
      </c>
      <c r="F126" s="2"/>
    </row>
    <row r="127" spans="1:6" ht="14" customHeight="1">
      <c r="A127" s="8">
        <v>21</v>
      </c>
      <c r="B127" s="7" t="str">
        <f>المدخلات!$F$4</f>
        <v>4:00–5:10 م</v>
      </c>
      <c r="C127" s="7">
        <v>2</v>
      </c>
      <c r="D127" s="7" t="s">
        <v>594</v>
      </c>
      <c r="E127" s="7" t="s">
        <v>92</v>
      </c>
      <c r="F127" s="2"/>
    </row>
    <row r="128" spans="1:6" ht="14" customHeight="1">
      <c r="A128" s="8">
        <v>21</v>
      </c>
      <c r="B128" s="7" t="str">
        <f>المدخلات!$F$5</f>
        <v>5:20–6:30 م</v>
      </c>
      <c r="C128" s="7">
        <v>2</v>
      </c>
      <c r="D128" s="7" t="s">
        <v>594</v>
      </c>
      <c r="E128" s="7" t="s">
        <v>41</v>
      </c>
      <c r="F128" s="2"/>
    </row>
    <row r="129" spans="1:15" ht="14" customHeight="1">
      <c r="A129" s="8">
        <v>21</v>
      </c>
      <c r="B129" s="7" t="str">
        <f>المدخلات!$F$6</f>
        <v>6:40–7:50 م</v>
      </c>
      <c r="C129" s="7">
        <v>2</v>
      </c>
      <c r="D129" s="7" t="s">
        <v>594</v>
      </c>
      <c r="E129" s="7" t="s">
        <v>99</v>
      </c>
      <c r="F129" s="2"/>
    </row>
    <row r="130" spans="1:15" ht="14" customHeight="1">
      <c r="A130" s="8">
        <v>22</v>
      </c>
      <c r="B130" s="7" t="str">
        <f>المدخلات!$F$4</f>
        <v>4:00–5:10 م</v>
      </c>
      <c r="C130" s="7">
        <v>1</v>
      </c>
      <c r="D130" s="7" t="s">
        <v>581</v>
      </c>
      <c r="E130" s="7" t="s">
        <v>597</v>
      </c>
      <c r="F130" s="2"/>
    </row>
    <row r="131" spans="1:15">
      <c r="A131" s="2"/>
      <c r="B131" s="2"/>
      <c r="C131" s="2"/>
      <c r="D131" s="2"/>
      <c r="E131" s="2"/>
    </row>
    <row r="132" spans="1:15">
      <c r="A132" s="2"/>
      <c r="B132" s="2"/>
      <c r="C132" s="2"/>
      <c r="D132" s="2"/>
      <c r="E132" s="2"/>
    </row>
    <row r="133" spans="1:15" ht="14.5">
      <c r="A133" s="17" t="s">
        <v>828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4.5">
      <c r="A134" s="6" t="s">
        <v>829</v>
      </c>
      <c r="B134" s="6">
        <v>1</v>
      </c>
      <c r="C134" s="6">
        <v>2</v>
      </c>
      <c r="D134" s="6">
        <v>3</v>
      </c>
      <c r="E134" s="6">
        <v>4</v>
      </c>
      <c r="F134" s="6">
        <v>5</v>
      </c>
      <c r="G134" s="6">
        <v>6</v>
      </c>
      <c r="H134" s="6">
        <v>7</v>
      </c>
      <c r="I134" s="6">
        <v>8</v>
      </c>
      <c r="J134" s="6">
        <v>9</v>
      </c>
      <c r="K134" s="6">
        <v>10</v>
      </c>
      <c r="L134" s="6">
        <v>11</v>
      </c>
      <c r="M134" s="6">
        <v>12</v>
      </c>
      <c r="N134" s="6">
        <v>13</v>
      </c>
      <c r="O134" s="6">
        <v>14</v>
      </c>
    </row>
    <row r="135" spans="1:15" ht="14.5">
      <c r="A135" s="14">
        <v>1</v>
      </c>
      <c r="B135" s="4" t="str">
        <f>IF($A135=B$134,"",COUNTIF($E$4:$E$130,$A135&amp;" ضد "&amp;B$134)+COUNTIF($E$4:$E$130,B$134&amp;" ضد "&amp;$A135))</f>
        <v/>
      </c>
      <c r="C135" s="4">
        <f>IF($A135=C$134,"",COUNTIF($E$4:$E$130,$A135&amp;" ضد "&amp;C$134)+COUNTIF($E$4:$E$130,C$134&amp;" ضد "&amp;$A135))</f>
        <v>3</v>
      </c>
      <c r="D135" s="4">
        <f>IF($A135=D$134,"",COUNTIF($E$4:$E$130,$A135&amp;" ضد "&amp;D$134)+COUNTIF($E$4:$E$130,D$134&amp;" ضد "&amp;$A135))</f>
        <v>3</v>
      </c>
      <c r="E135" s="4">
        <f>IF($A135=E$134,"",COUNTIF($E$4:$E$130,$A135&amp;" ضد "&amp;E$134)+COUNTIF($E$4:$E$130,E$134&amp;" ضد "&amp;$A135))</f>
        <v>3</v>
      </c>
      <c r="F135" s="4">
        <f>IF($A135=F$134,"",COUNTIF($E$4:$E$130,$A135&amp;" ضد "&amp;F$134)+COUNTIF($E$4:$E$130,F$134&amp;" ضد "&amp;$A135))</f>
        <v>3</v>
      </c>
      <c r="G135" s="4">
        <f>IF($A135=G$134,"",COUNTIF($E$4:$E$130,$A135&amp;" ضد "&amp;G$134)+COUNTIF($E$4:$E$130,G$134&amp;" ضد "&amp;$A135))</f>
        <v>3</v>
      </c>
      <c r="H135" s="4">
        <f>IF($A135=H$134,"",COUNTIF($E$4:$E$130,$A135&amp;" ضد "&amp;H$134)+COUNTIF($E$4:$E$130,H$134&amp;" ضد "&amp;$A135))</f>
        <v>3</v>
      </c>
      <c r="I135" s="4">
        <f>IF($A135=I$134,"",COUNTIF($E$4:$E$130,$A135&amp;" ضد "&amp;I$134)+COUNTIF($E$4:$E$130,I$134&amp;" ضد "&amp;$A135))</f>
        <v>0</v>
      </c>
      <c r="J135" s="4">
        <f>IF($A135=J$134,"",COUNTIF($E$4:$E$130,$A135&amp;" ضد "&amp;J$134)+COUNTIF($E$4:$E$130,J$134&amp;" ضد "&amp;$A135))</f>
        <v>0</v>
      </c>
      <c r="K135" s="4">
        <f>IF($A135=K$134,"",COUNTIF($E$4:$E$130,$A135&amp;" ضد "&amp;K$134)+COUNTIF($E$4:$E$130,K$134&amp;" ضد "&amp;$A135))</f>
        <v>0</v>
      </c>
      <c r="L135" s="4">
        <f>IF($A135=L$134,"",COUNTIF($E$4:$E$130,$A135&amp;" ضد "&amp;L$134)+COUNTIF($E$4:$E$130,L$134&amp;" ضد "&amp;$A135))</f>
        <v>0</v>
      </c>
      <c r="M135" s="4">
        <f>IF($A135=M$134,"",COUNTIF($E$4:$E$130,$A135&amp;" ضد "&amp;M$134)+COUNTIF($E$4:$E$130,M$134&amp;" ضد "&amp;$A135))</f>
        <v>0</v>
      </c>
      <c r="N135" s="4">
        <f>IF($A135=N$134,"",COUNTIF($E$4:$E$130,$A135&amp;" ضد "&amp;N$134)+COUNTIF($E$4:$E$130,N$134&amp;" ضد "&amp;$A135))</f>
        <v>0</v>
      </c>
      <c r="O135" s="4">
        <f>IF($A135=O$134,"",COUNTIF($E$4:$E$130,$A135&amp;" ضد "&amp;O$134)+COUNTIF($E$4:$E$130,O$134&amp;" ضد "&amp;$A135))</f>
        <v>0</v>
      </c>
    </row>
    <row r="136" spans="1:15" ht="14.5">
      <c r="A136" s="14">
        <v>2</v>
      </c>
      <c r="B136" s="4">
        <f>IF($A136=B$134,"",COUNTIF($E$4:$E$130,$A136&amp;" ضد "&amp;B$134)+COUNTIF($E$4:$E$130,B$134&amp;" ضد "&amp;$A136))</f>
        <v>3</v>
      </c>
      <c r="C136" s="4" t="str">
        <f>IF($A136=C$134,"",COUNTIF($E$4:$E$130,$A136&amp;" ضد "&amp;C$134)+COUNTIF($E$4:$E$130,C$134&amp;" ضد "&amp;$A136))</f>
        <v/>
      </c>
      <c r="D136" s="4">
        <f>IF($A136=D$134,"",COUNTIF($E$4:$E$130,$A136&amp;" ضد "&amp;D$134)+COUNTIF($E$4:$E$130,D$134&amp;" ضد "&amp;$A136))</f>
        <v>3</v>
      </c>
      <c r="E136" s="4">
        <f>IF($A136=E$134,"",COUNTIF($E$4:$E$130,$A136&amp;" ضد "&amp;E$134)+COUNTIF($E$4:$E$130,E$134&amp;" ضد "&amp;$A136))</f>
        <v>3</v>
      </c>
      <c r="F136" s="4">
        <f>IF($A136=F$134,"",COUNTIF($E$4:$E$130,$A136&amp;" ضد "&amp;F$134)+COUNTIF($E$4:$E$130,F$134&amp;" ضد "&amp;$A136))</f>
        <v>3</v>
      </c>
      <c r="G136" s="4">
        <f>IF($A136=G$134,"",COUNTIF($E$4:$E$130,$A136&amp;" ضد "&amp;G$134)+COUNTIF($E$4:$E$130,G$134&amp;" ضد "&amp;$A136))</f>
        <v>3</v>
      </c>
      <c r="H136" s="4">
        <f>IF($A136=H$134,"",COUNTIF($E$4:$E$130,$A136&amp;" ضد "&amp;H$134)+COUNTIF($E$4:$E$130,H$134&amp;" ضد "&amp;$A136))</f>
        <v>3</v>
      </c>
      <c r="I136" s="4">
        <f>IF($A136=I$134,"",COUNTIF($E$4:$E$130,$A136&amp;" ضد "&amp;I$134)+COUNTIF($E$4:$E$130,I$134&amp;" ضد "&amp;$A136))</f>
        <v>0</v>
      </c>
      <c r="J136" s="4">
        <f>IF($A136=J$134,"",COUNTIF($E$4:$E$130,$A136&amp;" ضد "&amp;J$134)+COUNTIF($E$4:$E$130,J$134&amp;" ضد "&amp;$A136))</f>
        <v>0</v>
      </c>
      <c r="K136" s="4">
        <f>IF($A136=K$134,"",COUNTIF($E$4:$E$130,$A136&amp;" ضد "&amp;K$134)+COUNTIF($E$4:$E$130,K$134&amp;" ضد "&amp;$A136))</f>
        <v>0</v>
      </c>
      <c r="L136" s="4">
        <f>IF($A136=L$134,"",COUNTIF($E$4:$E$130,$A136&amp;" ضد "&amp;L$134)+COUNTIF($E$4:$E$130,L$134&amp;" ضد "&amp;$A136))</f>
        <v>0</v>
      </c>
      <c r="M136" s="4">
        <f>IF($A136=M$134,"",COUNTIF($E$4:$E$130,$A136&amp;" ضد "&amp;M$134)+COUNTIF($E$4:$E$130,M$134&amp;" ضد "&amp;$A136))</f>
        <v>0</v>
      </c>
      <c r="N136" s="4">
        <f>IF($A136=N$134,"",COUNTIF($E$4:$E$130,$A136&amp;" ضد "&amp;N$134)+COUNTIF($E$4:$E$130,N$134&amp;" ضد "&amp;$A136))</f>
        <v>0</v>
      </c>
      <c r="O136" s="4">
        <f>IF($A136=O$134,"",COUNTIF($E$4:$E$130,$A136&amp;" ضد "&amp;O$134)+COUNTIF($E$4:$E$130,O$134&amp;" ضد "&amp;$A136))</f>
        <v>0</v>
      </c>
    </row>
    <row r="137" spans="1:15" ht="14.5">
      <c r="A137" s="14">
        <v>3</v>
      </c>
      <c r="B137" s="4">
        <f>IF($A137=B$134,"",COUNTIF($E$4:$E$130,$A137&amp;" ضد "&amp;B$134)+COUNTIF($E$4:$E$130,B$134&amp;" ضد "&amp;$A137))</f>
        <v>3</v>
      </c>
      <c r="C137" s="4">
        <f>IF($A137=C$134,"",COUNTIF($E$4:$E$130,$A137&amp;" ضد "&amp;C$134)+COUNTIF($E$4:$E$130,C$134&amp;" ضد "&amp;$A137))</f>
        <v>3</v>
      </c>
      <c r="D137" s="4" t="str">
        <f>IF($A137=D$134,"",COUNTIF($E$4:$E$130,$A137&amp;" ضد "&amp;D$134)+COUNTIF($E$4:$E$130,D$134&amp;" ضد "&amp;$A137))</f>
        <v/>
      </c>
      <c r="E137" s="4">
        <f>IF($A137=E$134,"",COUNTIF($E$4:$E$130,$A137&amp;" ضد "&amp;E$134)+COUNTIF($E$4:$E$130,E$134&amp;" ضد "&amp;$A137))</f>
        <v>3</v>
      </c>
      <c r="F137" s="4">
        <f>IF($A137=F$134,"",COUNTIF($E$4:$E$130,$A137&amp;" ضد "&amp;F$134)+COUNTIF($E$4:$E$130,F$134&amp;" ضد "&amp;$A137))</f>
        <v>3</v>
      </c>
      <c r="G137" s="4">
        <f>IF($A137=G$134,"",COUNTIF($E$4:$E$130,$A137&amp;" ضد "&amp;G$134)+COUNTIF($E$4:$E$130,G$134&amp;" ضد "&amp;$A137))</f>
        <v>3</v>
      </c>
      <c r="H137" s="4">
        <f>IF($A137=H$134,"",COUNTIF($E$4:$E$130,$A137&amp;" ضد "&amp;H$134)+COUNTIF($E$4:$E$130,H$134&amp;" ضد "&amp;$A137))</f>
        <v>3</v>
      </c>
      <c r="I137" s="4">
        <f>IF($A137=I$134,"",COUNTIF($E$4:$E$130,$A137&amp;" ضد "&amp;I$134)+COUNTIF($E$4:$E$130,I$134&amp;" ضد "&amp;$A137))</f>
        <v>0</v>
      </c>
      <c r="J137" s="4">
        <f>IF($A137=J$134,"",COUNTIF($E$4:$E$130,$A137&amp;" ضد "&amp;J$134)+COUNTIF($E$4:$E$130,J$134&amp;" ضد "&amp;$A137))</f>
        <v>0</v>
      </c>
      <c r="K137" s="4">
        <f>IF($A137=K$134,"",COUNTIF($E$4:$E$130,$A137&amp;" ضد "&amp;K$134)+COUNTIF($E$4:$E$130,K$134&amp;" ضد "&amp;$A137))</f>
        <v>0</v>
      </c>
      <c r="L137" s="4">
        <f>IF($A137=L$134,"",COUNTIF($E$4:$E$130,$A137&amp;" ضد "&amp;L$134)+COUNTIF($E$4:$E$130,L$134&amp;" ضد "&amp;$A137))</f>
        <v>0</v>
      </c>
      <c r="M137" s="4">
        <f>IF($A137=M$134,"",COUNTIF($E$4:$E$130,$A137&amp;" ضد "&amp;M$134)+COUNTIF($E$4:$E$130,M$134&amp;" ضد "&amp;$A137))</f>
        <v>0</v>
      </c>
      <c r="N137" s="4">
        <f>IF($A137=N$134,"",COUNTIF($E$4:$E$130,$A137&amp;" ضد "&amp;N$134)+COUNTIF($E$4:$E$130,N$134&amp;" ضد "&amp;$A137))</f>
        <v>0</v>
      </c>
      <c r="O137" s="4">
        <f>IF($A137=O$134,"",COUNTIF($E$4:$E$130,$A137&amp;" ضد "&amp;O$134)+COUNTIF($E$4:$E$130,O$134&amp;" ضد "&amp;$A137))</f>
        <v>0</v>
      </c>
    </row>
    <row r="138" spans="1:15" ht="14.5">
      <c r="A138" s="14">
        <v>4</v>
      </c>
      <c r="B138" s="4">
        <f>IF($A138=B$134,"",COUNTIF($E$4:$E$130,$A138&amp;" ضد "&amp;B$134)+COUNTIF($E$4:$E$130,B$134&amp;" ضد "&amp;$A138))</f>
        <v>3</v>
      </c>
      <c r="C138" s="4">
        <f>IF($A138=C$134,"",COUNTIF($E$4:$E$130,$A138&amp;" ضد "&amp;C$134)+COUNTIF($E$4:$E$130,C$134&amp;" ضد "&amp;$A138))</f>
        <v>3</v>
      </c>
      <c r="D138" s="4">
        <f>IF($A138=D$134,"",COUNTIF($E$4:$E$130,$A138&amp;" ضد "&amp;D$134)+COUNTIF($E$4:$E$130,D$134&amp;" ضد "&amp;$A138))</f>
        <v>3</v>
      </c>
      <c r="E138" s="4" t="str">
        <f>IF($A138=E$134,"",COUNTIF($E$4:$E$130,$A138&amp;" ضد "&amp;E$134)+COUNTIF($E$4:$E$130,E$134&amp;" ضد "&amp;$A138))</f>
        <v/>
      </c>
      <c r="F138" s="4">
        <f>IF($A138=F$134,"",COUNTIF($E$4:$E$130,$A138&amp;" ضد "&amp;F$134)+COUNTIF($E$4:$E$130,F$134&amp;" ضد "&amp;$A138))</f>
        <v>3</v>
      </c>
      <c r="G138" s="4">
        <f>IF($A138=G$134,"",COUNTIF($E$4:$E$130,$A138&amp;" ضد "&amp;G$134)+COUNTIF($E$4:$E$130,G$134&amp;" ضد "&amp;$A138))</f>
        <v>3</v>
      </c>
      <c r="H138" s="4">
        <f>IF($A138=H$134,"",COUNTIF($E$4:$E$130,$A138&amp;" ضد "&amp;H$134)+COUNTIF($E$4:$E$130,H$134&amp;" ضد "&amp;$A138))</f>
        <v>3</v>
      </c>
      <c r="I138" s="4">
        <f>IF($A138=I$134,"",COUNTIF($E$4:$E$130,$A138&amp;" ضد "&amp;I$134)+COUNTIF($E$4:$E$130,I$134&amp;" ضد "&amp;$A138))</f>
        <v>0</v>
      </c>
      <c r="J138" s="4">
        <f>IF($A138=J$134,"",COUNTIF($E$4:$E$130,$A138&amp;" ضد "&amp;J$134)+COUNTIF($E$4:$E$130,J$134&amp;" ضد "&amp;$A138))</f>
        <v>0</v>
      </c>
      <c r="K138" s="4">
        <f>IF($A138=K$134,"",COUNTIF($E$4:$E$130,$A138&amp;" ضد "&amp;K$134)+COUNTIF($E$4:$E$130,K$134&amp;" ضد "&amp;$A138))</f>
        <v>0</v>
      </c>
      <c r="L138" s="4">
        <f>IF($A138=L$134,"",COUNTIF($E$4:$E$130,$A138&amp;" ضد "&amp;L$134)+COUNTIF($E$4:$E$130,L$134&amp;" ضد "&amp;$A138))</f>
        <v>0</v>
      </c>
      <c r="M138" s="4">
        <f>IF($A138=M$134,"",COUNTIF($E$4:$E$130,$A138&amp;" ضد "&amp;M$134)+COUNTIF($E$4:$E$130,M$134&amp;" ضد "&amp;$A138))</f>
        <v>0</v>
      </c>
      <c r="N138" s="4">
        <f>IF($A138=N$134,"",COUNTIF($E$4:$E$130,$A138&amp;" ضد "&amp;N$134)+COUNTIF($E$4:$E$130,N$134&amp;" ضد "&amp;$A138))</f>
        <v>0</v>
      </c>
      <c r="O138" s="4">
        <f>IF($A138=O$134,"",COUNTIF($E$4:$E$130,$A138&amp;" ضد "&amp;O$134)+COUNTIF($E$4:$E$130,O$134&amp;" ضد "&amp;$A138))</f>
        <v>0</v>
      </c>
    </row>
    <row r="139" spans="1:15" ht="14.5">
      <c r="A139" s="14">
        <v>5</v>
      </c>
      <c r="B139" s="4">
        <f>IF($A139=B$134,"",COUNTIF($E$4:$E$130,$A139&amp;" ضد "&amp;B$134)+COUNTIF($E$4:$E$130,B$134&amp;" ضد "&amp;$A139))</f>
        <v>3</v>
      </c>
      <c r="C139" s="4">
        <f>IF($A139=C$134,"",COUNTIF($E$4:$E$130,$A139&amp;" ضد "&amp;C$134)+COUNTIF($E$4:$E$130,C$134&amp;" ضد "&amp;$A139))</f>
        <v>3</v>
      </c>
      <c r="D139" s="4">
        <f>IF($A139=D$134,"",COUNTIF($E$4:$E$130,$A139&amp;" ضد "&amp;D$134)+COUNTIF($E$4:$E$130,D$134&amp;" ضد "&amp;$A139))</f>
        <v>3</v>
      </c>
      <c r="E139" s="4">
        <f>IF($A139=E$134,"",COUNTIF($E$4:$E$130,$A139&amp;" ضد "&amp;E$134)+COUNTIF($E$4:$E$130,E$134&amp;" ضد "&amp;$A139))</f>
        <v>3</v>
      </c>
      <c r="F139" s="4" t="str">
        <f>IF($A139=F$134,"",COUNTIF($E$4:$E$130,$A139&amp;" ضد "&amp;F$134)+COUNTIF($E$4:$E$130,F$134&amp;" ضد "&amp;$A139))</f>
        <v/>
      </c>
      <c r="G139" s="4">
        <f>IF($A139=G$134,"",COUNTIF($E$4:$E$130,$A139&amp;" ضد "&amp;G$134)+COUNTIF($E$4:$E$130,G$134&amp;" ضد "&amp;$A139))</f>
        <v>3</v>
      </c>
      <c r="H139" s="4">
        <f>IF($A139=H$134,"",COUNTIF($E$4:$E$130,$A139&amp;" ضد "&amp;H$134)+COUNTIF($E$4:$E$130,H$134&amp;" ضد "&amp;$A139))</f>
        <v>3</v>
      </c>
      <c r="I139" s="4">
        <f>IF($A139=I$134,"",COUNTIF($E$4:$E$130,$A139&amp;" ضد "&amp;I$134)+COUNTIF($E$4:$E$130,I$134&amp;" ضد "&amp;$A139))</f>
        <v>0</v>
      </c>
      <c r="J139" s="4">
        <f>IF($A139=J$134,"",COUNTIF($E$4:$E$130,$A139&amp;" ضد "&amp;J$134)+COUNTIF($E$4:$E$130,J$134&amp;" ضد "&amp;$A139))</f>
        <v>0</v>
      </c>
      <c r="K139" s="4">
        <f>IF($A139=K$134,"",COUNTIF($E$4:$E$130,$A139&amp;" ضد "&amp;K$134)+COUNTIF($E$4:$E$130,K$134&amp;" ضد "&amp;$A139))</f>
        <v>0</v>
      </c>
      <c r="L139" s="4">
        <f>IF($A139=L$134,"",COUNTIF($E$4:$E$130,$A139&amp;" ضد "&amp;L$134)+COUNTIF($E$4:$E$130,L$134&amp;" ضد "&amp;$A139))</f>
        <v>0</v>
      </c>
      <c r="M139" s="4">
        <f>IF($A139=M$134,"",COUNTIF($E$4:$E$130,$A139&amp;" ضد "&amp;M$134)+COUNTIF($E$4:$E$130,M$134&amp;" ضد "&amp;$A139))</f>
        <v>0</v>
      </c>
      <c r="N139" s="4">
        <f>IF($A139=N$134,"",COUNTIF($E$4:$E$130,$A139&amp;" ضد "&amp;N$134)+COUNTIF($E$4:$E$130,N$134&amp;" ضد "&amp;$A139))</f>
        <v>0</v>
      </c>
      <c r="O139" s="4">
        <f>IF($A139=O$134,"",COUNTIF($E$4:$E$130,$A139&amp;" ضد "&amp;O$134)+COUNTIF($E$4:$E$130,O$134&amp;" ضد "&amp;$A139))</f>
        <v>0</v>
      </c>
    </row>
    <row r="140" spans="1:15" ht="14.5">
      <c r="A140" s="14">
        <v>6</v>
      </c>
      <c r="B140" s="4">
        <f>IF($A140=B$134,"",COUNTIF($E$4:$E$130,$A140&amp;" ضد "&amp;B$134)+COUNTIF($E$4:$E$130,B$134&amp;" ضد "&amp;$A140))</f>
        <v>3</v>
      </c>
      <c r="C140" s="4">
        <f>IF($A140=C$134,"",COUNTIF($E$4:$E$130,$A140&amp;" ضد "&amp;C$134)+COUNTIF($E$4:$E$130,C$134&amp;" ضد "&amp;$A140))</f>
        <v>3</v>
      </c>
      <c r="D140" s="4">
        <f>IF($A140=D$134,"",COUNTIF($E$4:$E$130,$A140&amp;" ضد "&amp;D$134)+COUNTIF($E$4:$E$130,D$134&amp;" ضد "&amp;$A140))</f>
        <v>3</v>
      </c>
      <c r="E140" s="4">
        <f>IF($A140=E$134,"",COUNTIF($E$4:$E$130,$A140&amp;" ضد "&amp;E$134)+COUNTIF($E$4:$E$130,E$134&amp;" ضد "&amp;$A140))</f>
        <v>3</v>
      </c>
      <c r="F140" s="4">
        <f>IF($A140=F$134,"",COUNTIF($E$4:$E$130,$A140&amp;" ضد "&amp;F$134)+COUNTIF($E$4:$E$130,F$134&amp;" ضد "&amp;$A140))</f>
        <v>3</v>
      </c>
      <c r="G140" s="4" t="str">
        <f>IF($A140=G$134,"",COUNTIF($E$4:$E$130,$A140&amp;" ضد "&amp;G$134)+COUNTIF($E$4:$E$130,G$134&amp;" ضد "&amp;$A140))</f>
        <v/>
      </c>
      <c r="H140" s="4">
        <f>IF($A140=H$134,"",COUNTIF($E$4:$E$130,$A140&amp;" ضد "&amp;H$134)+COUNTIF($E$4:$E$130,H$134&amp;" ضد "&amp;$A140))</f>
        <v>3</v>
      </c>
      <c r="I140" s="4">
        <f>IF($A140=I$134,"",COUNTIF($E$4:$E$130,$A140&amp;" ضد "&amp;I$134)+COUNTIF($E$4:$E$130,I$134&amp;" ضد "&amp;$A140))</f>
        <v>0</v>
      </c>
      <c r="J140" s="4">
        <f>IF($A140=J$134,"",COUNTIF($E$4:$E$130,$A140&amp;" ضد "&amp;J$134)+COUNTIF($E$4:$E$130,J$134&amp;" ضد "&amp;$A140))</f>
        <v>0</v>
      </c>
      <c r="K140" s="4">
        <f>IF($A140=K$134,"",COUNTIF($E$4:$E$130,$A140&amp;" ضد "&amp;K$134)+COUNTIF($E$4:$E$130,K$134&amp;" ضد "&amp;$A140))</f>
        <v>0</v>
      </c>
      <c r="L140" s="4">
        <f>IF($A140=L$134,"",COUNTIF($E$4:$E$130,$A140&amp;" ضد "&amp;L$134)+COUNTIF($E$4:$E$130,L$134&amp;" ضد "&amp;$A140))</f>
        <v>0</v>
      </c>
      <c r="M140" s="4">
        <f>IF($A140=M$134,"",COUNTIF($E$4:$E$130,$A140&amp;" ضد "&amp;M$134)+COUNTIF($E$4:$E$130,M$134&amp;" ضد "&amp;$A140))</f>
        <v>0</v>
      </c>
      <c r="N140" s="4">
        <f>IF($A140=N$134,"",COUNTIF($E$4:$E$130,$A140&amp;" ضد "&amp;N$134)+COUNTIF($E$4:$E$130,N$134&amp;" ضد "&amp;$A140))</f>
        <v>0</v>
      </c>
      <c r="O140" s="4">
        <f>IF($A140=O$134,"",COUNTIF($E$4:$E$130,$A140&amp;" ضد "&amp;O$134)+COUNTIF($E$4:$E$130,O$134&amp;" ضد "&amp;$A140))</f>
        <v>0</v>
      </c>
    </row>
    <row r="141" spans="1:15" ht="14.5">
      <c r="A141" s="14">
        <v>7</v>
      </c>
      <c r="B141" s="4">
        <f>IF($A141=B$134,"",COUNTIF($E$4:$E$130,$A141&amp;" ضد "&amp;B$134)+COUNTIF($E$4:$E$130,B$134&amp;" ضد "&amp;$A141))</f>
        <v>3</v>
      </c>
      <c r="C141" s="4">
        <f>IF($A141=C$134,"",COUNTIF($E$4:$E$130,$A141&amp;" ضد "&amp;C$134)+COUNTIF($E$4:$E$130,C$134&amp;" ضد "&amp;$A141))</f>
        <v>3</v>
      </c>
      <c r="D141" s="4">
        <f>IF($A141=D$134,"",COUNTIF($E$4:$E$130,$A141&amp;" ضد "&amp;D$134)+COUNTIF($E$4:$E$130,D$134&amp;" ضد "&amp;$A141))</f>
        <v>3</v>
      </c>
      <c r="E141" s="4">
        <f>IF($A141=E$134,"",COUNTIF($E$4:$E$130,$A141&amp;" ضد "&amp;E$134)+COUNTIF($E$4:$E$130,E$134&amp;" ضد "&amp;$A141))</f>
        <v>3</v>
      </c>
      <c r="F141" s="4">
        <f>IF($A141=F$134,"",COUNTIF($E$4:$E$130,$A141&amp;" ضد "&amp;F$134)+COUNTIF($E$4:$E$130,F$134&amp;" ضد "&amp;$A141))</f>
        <v>3</v>
      </c>
      <c r="G141" s="4">
        <f>IF($A141=G$134,"",COUNTIF($E$4:$E$130,$A141&amp;" ضد "&amp;G$134)+COUNTIF($E$4:$E$130,G$134&amp;" ضد "&amp;$A141))</f>
        <v>3</v>
      </c>
      <c r="H141" s="4" t="str">
        <f>IF($A141=H$134,"",COUNTIF($E$4:$E$130,$A141&amp;" ضد "&amp;H$134)+COUNTIF($E$4:$E$130,H$134&amp;" ضد "&amp;$A141))</f>
        <v/>
      </c>
      <c r="I141" s="4">
        <f>IF($A141=I$134,"",COUNTIF($E$4:$E$130,$A141&amp;" ضد "&amp;I$134)+COUNTIF($E$4:$E$130,I$134&amp;" ضد "&amp;$A141))</f>
        <v>0</v>
      </c>
      <c r="J141" s="4">
        <f>IF($A141=J$134,"",COUNTIF($E$4:$E$130,$A141&amp;" ضد "&amp;J$134)+COUNTIF($E$4:$E$130,J$134&amp;" ضد "&amp;$A141))</f>
        <v>0</v>
      </c>
      <c r="K141" s="4">
        <f>IF($A141=K$134,"",COUNTIF($E$4:$E$130,$A141&amp;" ضد "&amp;K$134)+COUNTIF($E$4:$E$130,K$134&amp;" ضد "&amp;$A141))</f>
        <v>0</v>
      </c>
      <c r="L141" s="4">
        <f>IF($A141=L$134,"",COUNTIF($E$4:$E$130,$A141&amp;" ضد "&amp;L$134)+COUNTIF($E$4:$E$130,L$134&amp;" ضد "&amp;$A141))</f>
        <v>0</v>
      </c>
      <c r="M141" s="4">
        <f>IF($A141=M$134,"",COUNTIF($E$4:$E$130,$A141&amp;" ضد "&amp;M$134)+COUNTIF($E$4:$E$130,M$134&amp;" ضد "&amp;$A141))</f>
        <v>0</v>
      </c>
      <c r="N141" s="4">
        <f>IF($A141=N$134,"",COUNTIF($E$4:$E$130,$A141&amp;" ضد "&amp;N$134)+COUNTIF($E$4:$E$130,N$134&amp;" ضد "&amp;$A141))</f>
        <v>0</v>
      </c>
      <c r="O141" s="4">
        <f>IF($A141=O$134,"",COUNTIF($E$4:$E$130,$A141&amp;" ضد "&amp;O$134)+COUNTIF($E$4:$E$130,O$134&amp;" ضد "&amp;$A141))</f>
        <v>0</v>
      </c>
    </row>
    <row r="142" spans="1:15" ht="14.5">
      <c r="A142" s="14">
        <v>8</v>
      </c>
      <c r="B142" s="4">
        <f>IF($A142=B$134,"",COUNTIF($E$4:$E$130,$A142&amp;" ضد "&amp;B$134)+COUNTIF($E$4:$E$130,B$134&amp;" ضد "&amp;$A142))</f>
        <v>0</v>
      </c>
      <c r="C142" s="4">
        <f>IF($A142=C$134,"",COUNTIF($E$4:$E$130,$A142&amp;" ضد "&amp;C$134)+COUNTIF($E$4:$E$130,C$134&amp;" ضد "&amp;$A142))</f>
        <v>0</v>
      </c>
      <c r="D142" s="4">
        <f>IF($A142=D$134,"",COUNTIF($E$4:$E$130,$A142&amp;" ضد "&amp;D$134)+COUNTIF($E$4:$E$130,D$134&amp;" ضد "&amp;$A142))</f>
        <v>0</v>
      </c>
      <c r="E142" s="4">
        <f>IF($A142=E$134,"",COUNTIF($E$4:$E$130,$A142&amp;" ضد "&amp;E$134)+COUNTIF($E$4:$E$130,E$134&amp;" ضد "&amp;$A142))</f>
        <v>0</v>
      </c>
      <c r="F142" s="4">
        <f>IF($A142=F$134,"",COUNTIF($E$4:$E$130,$A142&amp;" ضد "&amp;F$134)+COUNTIF($E$4:$E$130,F$134&amp;" ضد "&amp;$A142))</f>
        <v>0</v>
      </c>
      <c r="G142" s="4">
        <f>IF($A142=G$134,"",COUNTIF($E$4:$E$130,$A142&amp;" ضد "&amp;G$134)+COUNTIF($E$4:$E$130,G$134&amp;" ضد "&amp;$A142))</f>
        <v>0</v>
      </c>
      <c r="H142" s="4">
        <f>IF($A142=H$134,"",COUNTIF($E$4:$E$130,$A142&amp;" ضد "&amp;H$134)+COUNTIF($E$4:$E$130,H$134&amp;" ضد "&amp;$A142))</f>
        <v>0</v>
      </c>
      <c r="I142" s="4" t="str">
        <f>IF($A142=I$134,"",COUNTIF($E$4:$E$130,$A142&amp;" ضد "&amp;I$134)+COUNTIF($E$4:$E$130,I$134&amp;" ضد "&amp;$A142))</f>
        <v/>
      </c>
      <c r="J142" s="4">
        <f>IF($A142=J$134,"",COUNTIF($E$4:$E$130,$A142&amp;" ضد "&amp;J$134)+COUNTIF($E$4:$E$130,J$134&amp;" ضد "&amp;$A142))</f>
        <v>3</v>
      </c>
      <c r="K142" s="4">
        <f>IF($A142=K$134,"",COUNTIF($E$4:$E$130,$A142&amp;" ضد "&amp;K$134)+COUNTIF($E$4:$E$130,K$134&amp;" ضد "&amp;$A142))</f>
        <v>3</v>
      </c>
      <c r="L142" s="4">
        <f>IF($A142=L$134,"",COUNTIF($E$4:$E$130,$A142&amp;" ضد "&amp;L$134)+COUNTIF($E$4:$E$130,L$134&amp;" ضد "&amp;$A142))</f>
        <v>3</v>
      </c>
      <c r="M142" s="4">
        <f>IF($A142=M$134,"",COUNTIF($E$4:$E$130,$A142&amp;" ضد "&amp;M$134)+COUNTIF($E$4:$E$130,M$134&amp;" ضد "&amp;$A142))</f>
        <v>3</v>
      </c>
      <c r="N142" s="4">
        <f>IF($A142=N$134,"",COUNTIF($E$4:$E$130,$A142&amp;" ضد "&amp;N$134)+COUNTIF($E$4:$E$130,N$134&amp;" ضد "&amp;$A142))</f>
        <v>3</v>
      </c>
      <c r="O142" s="4">
        <f>IF($A142=O$134,"",COUNTIF($E$4:$E$130,$A142&amp;" ضد "&amp;O$134)+COUNTIF($E$4:$E$130,O$134&amp;" ضد "&amp;$A142))</f>
        <v>3</v>
      </c>
    </row>
    <row r="143" spans="1:15" ht="14.5">
      <c r="A143" s="14">
        <v>9</v>
      </c>
      <c r="B143" s="4">
        <f>IF($A143=B$134,"",COUNTIF($E$4:$E$130,$A143&amp;" ضد "&amp;B$134)+COUNTIF($E$4:$E$130,B$134&amp;" ضد "&amp;$A143))</f>
        <v>0</v>
      </c>
      <c r="C143" s="4">
        <f>IF($A143=C$134,"",COUNTIF($E$4:$E$130,$A143&amp;" ضد "&amp;C$134)+COUNTIF($E$4:$E$130,C$134&amp;" ضد "&amp;$A143))</f>
        <v>0</v>
      </c>
      <c r="D143" s="4">
        <f>IF($A143=D$134,"",COUNTIF($E$4:$E$130,$A143&amp;" ضد "&amp;D$134)+COUNTIF($E$4:$E$130,D$134&amp;" ضد "&amp;$A143))</f>
        <v>0</v>
      </c>
      <c r="E143" s="4">
        <f>IF($A143=E$134,"",COUNTIF($E$4:$E$130,$A143&amp;" ضد "&amp;E$134)+COUNTIF($E$4:$E$130,E$134&amp;" ضد "&amp;$A143))</f>
        <v>0</v>
      </c>
      <c r="F143" s="4">
        <f>IF($A143=F$134,"",COUNTIF($E$4:$E$130,$A143&amp;" ضد "&amp;F$134)+COUNTIF($E$4:$E$130,F$134&amp;" ضد "&amp;$A143))</f>
        <v>0</v>
      </c>
      <c r="G143" s="4">
        <f>IF($A143=G$134,"",COUNTIF($E$4:$E$130,$A143&amp;" ضد "&amp;G$134)+COUNTIF($E$4:$E$130,G$134&amp;" ضد "&amp;$A143))</f>
        <v>0</v>
      </c>
      <c r="H143" s="4">
        <f>IF($A143=H$134,"",COUNTIF($E$4:$E$130,$A143&amp;" ضد "&amp;H$134)+COUNTIF($E$4:$E$130,H$134&amp;" ضد "&amp;$A143))</f>
        <v>0</v>
      </c>
      <c r="I143" s="4">
        <f>IF($A143=I$134,"",COUNTIF($E$4:$E$130,$A143&amp;" ضد "&amp;I$134)+COUNTIF($E$4:$E$130,I$134&amp;" ضد "&amp;$A143))</f>
        <v>3</v>
      </c>
      <c r="J143" s="4" t="str">
        <f>IF($A143=J$134,"",COUNTIF($E$4:$E$130,$A143&amp;" ضد "&amp;J$134)+COUNTIF($E$4:$E$130,J$134&amp;" ضد "&amp;$A143))</f>
        <v/>
      </c>
      <c r="K143" s="4">
        <f>IF($A143=K$134,"",COUNTIF($E$4:$E$130,$A143&amp;" ضد "&amp;K$134)+COUNTIF($E$4:$E$130,K$134&amp;" ضد "&amp;$A143))</f>
        <v>3</v>
      </c>
      <c r="L143" s="4">
        <f>IF($A143=L$134,"",COUNTIF($E$4:$E$130,$A143&amp;" ضد "&amp;L$134)+COUNTIF($E$4:$E$130,L$134&amp;" ضد "&amp;$A143))</f>
        <v>3</v>
      </c>
      <c r="M143" s="4">
        <f>IF($A143=M$134,"",COUNTIF($E$4:$E$130,$A143&amp;" ضد "&amp;M$134)+COUNTIF($E$4:$E$130,M$134&amp;" ضد "&amp;$A143))</f>
        <v>3</v>
      </c>
      <c r="N143" s="4">
        <f>IF($A143=N$134,"",COUNTIF($E$4:$E$130,$A143&amp;" ضد "&amp;N$134)+COUNTIF($E$4:$E$130,N$134&amp;" ضد "&amp;$A143))</f>
        <v>3</v>
      </c>
      <c r="O143" s="4">
        <f>IF($A143=O$134,"",COUNTIF($E$4:$E$130,$A143&amp;" ضد "&amp;O$134)+COUNTIF($E$4:$E$130,O$134&amp;" ضد "&amp;$A143))</f>
        <v>3</v>
      </c>
    </row>
    <row r="144" spans="1:15" ht="14.5">
      <c r="A144" s="14">
        <v>10</v>
      </c>
      <c r="B144" s="4">
        <f>IF($A144=B$134,"",COUNTIF($E$4:$E$130,$A144&amp;" ضد "&amp;B$134)+COUNTIF($E$4:$E$130,B$134&amp;" ضد "&amp;$A144))</f>
        <v>0</v>
      </c>
      <c r="C144" s="4">
        <f>IF($A144=C$134,"",COUNTIF($E$4:$E$130,$A144&amp;" ضد "&amp;C$134)+COUNTIF($E$4:$E$130,C$134&amp;" ضد "&amp;$A144))</f>
        <v>0</v>
      </c>
      <c r="D144" s="4">
        <f>IF($A144=D$134,"",COUNTIF($E$4:$E$130,$A144&amp;" ضد "&amp;D$134)+COUNTIF($E$4:$E$130,D$134&amp;" ضد "&amp;$A144))</f>
        <v>0</v>
      </c>
      <c r="E144" s="4">
        <f>IF($A144=E$134,"",COUNTIF($E$4:$E$130,$A144&amp;" ضد "&amp;E$134)+COUNTIF($E$4:$E$130,E$134&amp;" ضد "&amp;$A144))</f>
        <v>0</v>
      </c>
      <c r="F144" s="4">
        <f>IF($A144=F$134,"",COUNTIF($E$4:$E$130,$A144&amp;" ضد "&amp;F$134)+COUNTIF($E$4:$E$130,F$134&amp;" ضد "&amp;$A144))</f>
        <v>0</v>
      </c>
      <c r="G144" s="4">
        <f>IF($A144=G$134,"",COUNTIF($E$4:$E$130,$A144&amp;" ضد "&amp;G$134)+COUNTIF($E$4:$E$130,G$134&amp;" ضد "&amp;$A144))</f>
        <v>0</v>
      </c>
      <c r="H144" s="4">
        <f>IF($A144=H$134,"",COUNTIF($E$4:$E$130,$A144&amp;" ضد "&amp;H$134)+COUNTIF($E$4:$E$130,H$134&amp;" ضد "&amp;$A144))</f>
        <v>0</v>
      </c>
      <c r="I144" s="4">
        <f>IF($A144=I$134,"",COUNTIF($E$4:$E$130,$A144&amp;" ضد "&amp;I$134)+COUNTIF($E$4:$E$130,I$134&amp;" ضد "&amp;$A144))</f>
        <v>3</v>
      </c>
      <c r="J144" s="4">
        <f>IF($A144=J$134,"",COUNTIF($E$4:$E$130,$A144&amp;" ضد "&amp;J$134)+COUNTIF($E$4:$E$130,J$134&amp;" ضد "&amp;$A144))</f>
        <v>3</v>
      </c>
      <c r="K144" s="4" t="str">
        <f>IF($A144=K$134,"",COUNTIF($E$4:$E$130,$A144&amp;" ضد "&amp;K$134)+COUNTIF($E$4:$E$130,K$134&amp;" ضد "&amp;$A144))</f>
        <v/>
      </c>
      <c r="L144" s="4">
        <f>IF($A144=L$134,"",COUNTIF($E$4:$E$130,$A144&amp;" ضد "&amp;L$134)+COUNTIF($E$4:$E$130,L$134&amp;" ضد "&amp;$A144))</f>
        <v>3</v>
      </c>
      <c r="M144" s="4">
        <f>IF($A144=M$134,"",COUNTIF($E$4:$E$130,$A144&amp;" ضد "&amp;M$134)+COUNTIF($E$4:$E$130,M$134&amp;" ضد "&amp;$A144))</f>
        <v>3</v>
      </c>
      <c r="N144" s="4">
        <f>IF($A144=N$134,"",COUNTIF($E$4:$E$130,$A144&amp;" ضد "&amp;N$134)+COUNTIF($E$4:$E$130,N$134&amp;" ضد "&amp;$A144))</f>
        <v>3</v>
      </c>
      <c r="O144" s="4">
        <f>IF($A144=O$134,"",COUNTIF($E$4:$E$130,$A144&amp;" ضد "&amp;O$134)+COUNTIF($E$4:$E$130,O$134&amp;" ضد "&amp;$A144))</f>
        <v>3</v>
      </c>
    </row>
    <row r="145" spans="1:15" ht="14.5">
      <c r="A145" s="14">
        <v>11</v>
      </c>
      <c r="B145" s="4">
        <f>IF($A145=B$134,"",COUNTIF($E$4:$E$130,$A145&amp;" ضد "&amp;B$134)+COUNTIF($E$4:$E$130,B$134&amp;" ضد "&amp;$A145))</f>
        <v>0</v>
      </c>
      <c r="C145" s="4">
        <f>IF($A145=C$134,"",COUNTIF($E$4:$E$130,$A145&amp;" ضد "&amp;C$134)+COUNTIF($E$4:$E$130,C$134&amp;" ضد "&amp;$A145))</f>
        <v>0</v>
      </c>
      <c r="D145" s="4">
        <f>IF($A145=D$134,"",COUNTIF($E$4:$E$130,$A145&amp;" ضد "&amp;D$134)+COUNTIF($E$4:$E$130,D$134&amp;" ضد "&amp;$A145))</f>
        <v>0</v>
      </c>
      <c r="E145" s="4">
        <f>IF($A145=E$134,"",COUNTIF($E$4:$E$130,$A145&amp;" ضد "&amp;E$134)+COUNTIF($E$4:$E$130,E$134&amp;" ضد "&amp;$A145))</f>
        <v>0</v>
      </c>
      <c r="F145" s="4">
        <f>IF($A145=F$134,"",COUNTIF($E$4:$E$130,$A145&amp;" ضد "&amp;F$134)+COUNTIF($E$4:$E$130,F$134&amp;" ضد "&amp;$A145))</f>
        <v>0</v>
      </c>
      <c r="G145" s="4">
        <f>IF($A145=G$134,"",COUNTIF($E$4:$E$130,$A145&amp;" ضد "&amp;G$134)+COUNTIF($E$4:$E$130,G$134&amp;" ضد "&amp;$A145))</f>
        <v>0</v>
      </c>
      <c r="H145" s="4">
        <f>IF($A145=H$134,"",COUNTIF($E$4:$E$130,$A145&amp;" ضد "&amp;H$134)+COUNTIF($E$4:$E$130,H$134&amp;" ضد "&amp;$A145))</f>
        <v>0</v>
      </c>
      <c r="I145" s="4">
        <f>IF($A145=I$134,"",COUNTIF($E$4:$E$130,$A145&amp;" ضد "&amp;I$134)+COUNTIF($E$4:$E$130,I$134&amp;" ضد "&amp;$A145))</f>
        <v>3</v>
      </c>
      <c r="J145" s="4">
        <f>IF($A145=J$134,"",COUNTIF($E$4:$E$130,$A145&amp;" ضد "&amp;J$134)+COUNTIF($E$4:$E$130,J$134&amp;" ضد "&amp;$A145))</f>
        <v>3</v>
      </c>
      <c r="K145" s="4">
        <f>IF($A145=K$134,"",COUNTIF($E$4:$E$130,$A145&amp;" ضد "&amp;K$134)+COUNTIF($E$4:$E$130,K$134&amp;" ضد "&amp;$A145))</f>
        <v>3</v>
      </c>
      <c r="L145" s="4" t="str">
        <f>IF($A145=L$134,"",COUNTIF($E$4:$E$130,$A145&amp;" ضد "&amp;L$134)+COUNTIF($E$4:$E$130,L$134&amp;" ضد "&amp;$A145))</f>
        <v/>
      </c>
      <c r="M145" s="4">
        <f>IF($A145=M$134,"",COUNTIF($E$4:$E$130,$A145&amp;" ضد "&amp;M$134)+COUNTIF($E$4:$E$130,M$134&amp;" ضد "&amp;$A145))</f>
        <v>3</v>
      </c>
      <c r="N145" s="4">
        <f>IF($A145=N$134,"",COUNTIF($E$4:$E$130,$A145&amp;" ضد "&amp;N$134)+COUNTIF($E$4:$E$130,N$134&amp;" ضد "&amp;$A145))</f>
        <v>3</v>
      </c>
      <c r="O145" s="4">
        <f>IF($A145=O$134,"",COUNTIF($E$4:$E$130,$A145&amp;" ضد "&amp;O$134)+COUNTIF($E$4:$E$130,O$134&amp;" ضد "&amp;$A145))</f>
        <v>3</v>
      </c>
    </row>
    <row r="146" spans="1:15" ht="14.5">
      <c r="A146" s="14">
        <v>12</v>
      </c>
      <c r="B146" s="4">
        <f>IF($A146=B$134,"",COUNTIF($E$4:$E$130,$A146&amp;" ضد "&amp;B$134)+COUNTIF($E$4:$E$130,B$134&amp;" ضد "&amp;$A146))</f>
        <v>0</v>
      </c>
      <c r="C146" s="4">
        <f>IF($A146=C$134,"",COUNTIF($E$4:$E$130,$A146&amp;" ضد "&amp;C$134)+COUNTIF($E$4:$E$130,C$134&amp;" ضد "&amp;$A146))</f>
        <v>0</v>
      </c>
      <c r="D146" s="4">
        <f>IF($A146=D$134,"",COUNTIF($E$4:$E$130,$A146&amp;" ضد "&amp;D$134)+COUNTIF($E$4:$E$130,D$134&amp;" ضد "&amp;$A146))</f>
        <v>0</v>
      </c>
      <c r="E146" s="4">
        <f>IF($A146=E$134,"",COUNTIF($E$4:$E$130,$A146&amp;" ضد "&amp;E$134)+COUNTIF($E$4:$E$130,E$134&amp;" ضد "&amp;$A146))</f>
        <v>0</v>
      </c>
      <c r="F146" s="4">
        <f>IF($A146=F$134,"",COUNTIF($E$4:$E$130,$A146&amp;" ضد "&amp;F$134)+COUNTIF($E$4:$E$130,F$134&amp;" ضد "&amp;$A146))</f>
        <v>0</v>
      </c>
      <c r="G146" s="4">
        <f>IF($A146=G$134,"",COUNTIF($E$4:$E$130,$A146&amp;" ضد "&amp;G$134)+COUNTIF($E$4:$E$130,G$134&amp;" ضد "&amp;$A146))</f>
        <v>0</v>
      </c>
      <c r="H146" s="4">
        <f>IF($A146=H$134,"",COUNTIF($E$4:$E$130,$A146&amp;" ضد "&amp;H$134)+COUNTIF($E$4:$E$130,H$134&amp;" ضد "&amp;$A146))</f>
        <v>0</v>
      </c>
      <c r="I146" s="4">
        <f>IF($A146=I$134,"",COUNTIF($E$4:$E$130,$A146&amp;" ضد "&amp;I$134)+COUNTIF($E$4:$E$130,I$134&amp;" ضد "&amp;$A146))</f>
        <v>3</v>
      </c>
      <c r="J146" s="4">
        <f>IF($A146=J$134,"",COUNTIF($E$4:$E$130,$A146&amp;" ضد "&amp;J$134)+COUNTIF($E$4:$E$130,J$134&amp;" ضد "&amp;$A146))</f>
        <v>3</v>
      </c>
      <c r="K146" s="4">
        <f>IF($A146=K$134,"",COUNTIF($E$4:$E$130,$A146&amp;" ضد "&amp;K$134)+COUNTIF($E$4:$E$130,K$134&amp;" ضد "&amp;$A146))</f>
        <v>3</v>
      </c>
      <c r="L146" s="4">
        <f>IF($A146=L$134,"",COUNTIF($E$4:$E$130,$A146&amp;" ضد "&amp;L$134)+COUNTIF($E$4:$E$130,L$134&amp;" ضد "&amp;$A146))</f>
        <v>3</v>
      </c>
      <c r="M146" s="4" t="str">
        <f>IF($A146=M$134,"",COUNTIF($E$4:$E$130,$A146&amp;" ضد "&amp;M$134)+COUNTIF($E$4:$E$130,M$134&amp;" ضد "&amp;$A146))</f>
        <v/>
      </c>
      <c r="N146" s="4">
        <f>IF($A146=N$134,"",COUNTIF($E$4:$E$130,$A146&amp;" ضد "&amp;N$134)+COUNTIF($E$4:$E$130,N$134&amp;" ضد "&amp;$A146))</f>
        <v>3</v>
      </c>
      <c r="O146" s="4">
        <f>IF($A146=O$134,"",COUNTIF($E$4:$E$130,$A146&amp;" ضد "&amp;O$134)+COUNTIF($E$4:$E$130,O$134&amp;" ضد "&amp;$A146))</f>
        <v>3</v>
      </c>
    </row>
    <row r="147" spans="1:15" ht="14.5">
      <c r="A147" s="14">
        <v>13</v>
      </c>
      <c r="B147" s="4">
        <f>IF($A147=B$134,"",COUNTIF($E$4:$E$130,$A147&amp;" ضد "&amp;B$134)+COUNTIF($E$4:$E$130,B$134&amp;" ضد "&amp;$A147))</f>
        <v>0</v>
      </c>
      <c r="C147" s="4">
        <f>IF($A147=C$134,"",COUNTIF($E$4:$E$130,$A147&amp;" ضد "&amp;C$134)+COUNTIF($E$4:$E$130,C$134&amp;" ضد "&amp;$A147))</f>
        <v>0</v>
      </c>
      <c r="D147" s="4">
        <f>IF($A147=D$134,"",COUNTIF($E$4:$E$130,$A147&amp;" ضد "&amp;D$134)+COUNTIF($E$4:$E$130,D$134&amp;" ضد "&amp;$A147))</f>
        <v>0</v>
      </c>
      <c r="E147" s="4">
        <f>IF($A147=E$134,"",COUNTIF($E$4:$E$130,$A147&amp;" ضد "&amp;E$134)+COUNTIF($E$4:$E$130,E$134&amp;" ضد "&amp;$A147))</f>
        <v>0</v>
      </c>
      <c r="F147" s="4">
        <f>IF($A147=F$134,"",COUNTIF($E$4:$E$130,$A147&amp;" ضد "&amp;F$134)+COUNTIF($E$4:$E$130,F$134&amp;" ضد "&amp;$A147))</f>
        <v>0</v>
      </c>
      <c r="G147" s="4">
        <f>IF($A147=G$134,"",COUNTIF($E$4:$E$130,$A147&amp;" ضد "&amp;G$134)+COUNTIF($E$4:$E$130,G$134&amp;" ضد "&amp;$A147))</f>
        <v>0</v>
      </c>
      <c r="H147" s="4">
        <f>IF($A147=H$134,"",COUNTIF($E$4:$E$130,$A147&amp;" ضد "&amp;H$134)+COUNTIF($E$4:$E$130,H$134&amp;" ضد "&amp;$A147))</f>
        <v>0</v>
      </c>
      <c r="I147" s="4">
        <f>IF($A147=I$134,"",COUNTIF($E$4:$E$130,$A147&amp;" ضد "&amp;I$134)+COUNTIF($E$4:$E$130,I$134&amp;" ضد "&amp;$A147))</f>
        <v>3</v>
      </c>
      <c r="J147" s="4">
        <f>IF($A147=J$134,"",COUNTIF($E$4:$E$130,$A147&amp;" ضد "&amp;J$134)+COUNTIF($E$4:$E$130,J$134&amp;" ضد "&amp;$A147))</f>
        <v>3</v>
      </c>
      <c r="K147" s="4">
        <f>IF($A147=K$134,"",COUNTIF($E$4:$E$130,$A147&amp;" ضد "&amp;K$134)+COUNTIF($E$4:$E$130,K$134&amp;" ضد "&amp;$A147))</f>
        <v>3</v>
      </c>
      <c r="L147" s="4">
        <f>IF($A147=L$134,"",COUNTIF($E$4:$E$130,$A147&amp;" ضد "&amp;L$134)+COUNTIF($E$4:$E$130,L$134&amp;" ضد "&amp;$A147))</f>
        <v>3</v>
      </c>
      <c r="M147" s="4">
        <f>IF($A147=M$134,"",COUNTIF($E$4:$E$130,$A147&amp;" ضد "&amp;M$134)+COUNTIF($E$4:$E$130,M$134&amp;" ضد "&amp;$A147))</f>
        <v>3</v>
      </c>
      <c r="N147" s="4" t="str">
        <f>IF($A147=N$134,"",COUNTIF($E$4:$E$130,$A147&amp;" ضد "&amp;N$134)+COUNTIF($E$4:$E$130,N$134&amp;" ضد "&amp;$A147))</f>
        <v/>
      </c>
      <c r="O147" s="4">
        <f>IF($A147=O$134,"",COUNTIF($E$4:$E$130,$A147&amp;" ضد "&amp;O$134)+COUNTIF($E$4:$E$130,O$134&amp;" ضد "&amp;$A147))</f>
        <v>3</v>
      </c>
    </row>
    <row r="148" spans="1:15" ht="14.5">
      <c r="A148" s="14">
        <v>14</v>
      </c>
      <c r="B148" s="4">
        <f>IF($A148=B$134,"",COUNTIF($E$4:$E$130,$A148&amp;" ضد "&amp;B$134)+COUNTIF($E$4:$E$130,B$134&amp;" ضد "&amp;$A148))</f>
        <v>0</v>
      </c>
      <c r="C148" s="4">
        <f>IF($A148=C$134,"",COUNTIF($E$4:$E$130,$A148&amp;" ضد "&amp;C$134)+COUNTIF($E$4:$E$130,C$134&amp;" ضد "&amp;$A148))</f>
        <v>0</v>
      </c>
      <c r="D148" s="4">
        <f>IF($A148=D$134,"",COUNTIF($E$4:$E$130,$A148&amp;" ضد "&amp;D$134)+COUNTIF($E$4:$E$130,D$134&amp;" ضد "&amp;$A148))</f>
        <v>0</v>
      </c>
      <c r="E148" s="4">
        <f>IF($A148=E$134,"",COUNTIF($E$4:$E$130,$A148&amp;" ضد "&amp;E$134)+COUNTIF($E$4:$E$130,E$134&amp;" ضد "&amp;$A148))</f>
        <v>0</v>
      </c>
      <c r="F148" s="4">
        <f>IF($A148=F$134,"",COUNTIF($E$4:$E$130,$A148&amp;" ضد "&amp;F$134)+COUNTIF($E$4:$E$130,F$134&amp;" ضد "&amp;$A148))</f>
        <v>0</v>
      </c>
      <c r="G148" s="4">
        <f>IF($A148=G$134,"",COUNTIF($E$4:$E$130,$A148&amp;" ضد "&amp;G$134)+COUNTIF($E$4:$E$130,G$134&amp;" ضد "&amp;$A148))</f>
        <v>0</v>
      </c>
      <c r="H148" s="4">
        <f>IF($A148=H$134,"",COUNTIF($E$4:$E$130,$A148&amp;" ضد "&amp;H$134)+COUNTIF($E$4:$E$130,H$134&amp;" ضد "&amp;$A148))</f>
        <v>0</v>
      </c>
      <c r="I148" s="4">
        <f>IF($A148=I$134,"",COUNTIF($E$4:$E$130,$A148&amp;" ضد "&amp;I$134)+COUNTIF($E$4:$E$130,I$134&amp;" ضد "&amp;$A148))</f>
        <v>3</v>
      </c>
      <c r="J148" s="4">
        <f>IF($A148=J$134,"",COUNTIF($E$4:$E$130,$A148&amp;" ضد "&amp;J$134)+COUNTIF($E$4:$E$130,J$134&amp;" ضد "&amp;$A148))</f>
        <v>3</v>
      </c>
      <c r="K148" s="4">
        <f>IF($A148=K$134,"",COUNTIF($E$4:$E$130,$A148&amp;" ضد "&amp;K$134)+COUNTIF($E$4:$E$130,K$134&amp;" ضد "&amp;$A148))</f>
        <v>3</v>
      </c>
      <c r="L148" s="4">
        <f>IF($A148=L$134,"",COUNTIF($E$4:$E$130,$A148&amp;" ضد "&amp;L$134)+COUNTIF($E$4:$E$130,L$134&amp;" ضد "&amp;$A148))</f>
        <v>3</v>
      </c>
      <c r="M148" s="4">
        <f>IF($A148=M$134,"",COUNTIF($E$4:$E$130,$A148&amp;" ضد "&amp;M$134)+COUNTIF($E$4:$E$130,M$134&amp;" ضد "&amp;$A148))</f>
        <v>3</v>
      </c>
      <c r="N148" s="4">
        <f>IF($A148=N$134,"",COUNTIF($E$4:$E$130,$A148&amp;" ضد "&amp;N$134)+COUNTIF($E$4:$E$130,N$134&amp;" ضد "&amp;$A148))</f>
        <v>3</v>
      </c>
      <c r="O148" s="4" t="str">
        <f>IF($A148=O$134,"",COUNTIF($E$4:$E$130,$A148&amp;" ضد "&amp;O$134)+COUNTIF($E$4:$E$130,O$134&amp;" ضد "&amp;$A148))</f>
        <v/>
      </c>
    </row>
    <row r="149" spans="1:15" ht="14.5">
      <c r="A149" s="14" t="s">
        <v>1033</v>
      </c>
      <c r="B149" s="4" cm="1">
        <f t="array" ref="B149">MIN(IF(B135:O148&gt;0,B135:O148))</f>
        <v>3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4.5">
      <c r="A150" s="14" t="s">
        <v>830</v>
      </c>
      <c r="B150" s="4">
        <f>MAX(B135:O148)</f>
        <v>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</sheetData>
  <mergeCells count="2">
    <mergeCell ref="A1:E1"/>
    <mergeCell ref="A133:O1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BE5-7C94-497A-B239-AFCED5F171C7}">
  <dimension ref="A1:P172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987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12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10</v>
      </c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593</v>
      </c>
      <c r="E6" s="7" t="s">
        <v>29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593</v>
      </c>
      <c r="E7" s="7" t="s">
        <v>22</v>
      </c>
      <c r="F7" s="2"/>
    </row>
    <row r="8" spans="1:6" ht="14" customHeight="1">
      <c r="A8" s="8">
        <v>1</v>
      </c>
      <c r="B8" s="7" t="str">
        <f>المدخلات!$F$4</f>
        <v>4:00–5:10 م</v>
      </c>
      <c r="C8" s="7">
        <v>3</v>
      </c>
      <c r="D8" s="7" t="s">
        <v>594</v>
      </c>
      <c r="E8" s="7" t="s">
        <v>92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594</v>
      </c>
      <c r="E9" s="7" t="s">
        <v>99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3</v>
      </c>
      <c r="D10" s="7" t="s">
        <v>594</v>
      </c>
      <c r="E10" s="7" t="s">
        <v>133</v>
      </c>
      <c r="F10" s="2"/>
    </row>
    <row r="11" spans="1:6" ht="14" customHeight="1">
      <c r="A11" s="8">
        <v>2</v>
      </c>
      <c r="B11" s="7" t="str">
        <f>المدخلات!$F$4</f>
        <v>4:00–5:10 م</v>
      </c>
      <c r="C11" s="7">
        <v>1</v>
      </c>
      <c r="D11" s="7" t="s">
        <v>593</v>
      </c>
      <c r="E11" s="7" t="s">
        <v>1047</v>
      </c>
      <c r="F11" s="2"/>
    </row>
    <row r="12" spans="1:6" ht="14" customHeight="1">
      <c r="A12" s="8">
        <v>2</v>
      </c>
      <c r="B12" s="7" t="str">
        <f>المدخلات!$F$4</f>
        <v>4:00–5:10 م</v>
      </c>
      <c r="C12" s="7">
        <v>2</v>
      </c>
      <c r="D12" s="7" t="s">
        <v>593</v>
      </c>
      <c r="E12" s="7" t="s">
        <v>1042</v>
      </c>
      <c r="F12" s="2"/>
    </row>
    <row r="13" spans="1:6" ht="14" customHeight="1">
      <c r="A13" s="8">
        <v>2</v>
      </c>
      <c r="B13" s="7" t="str">
        <f>المدخلات!$F$5</f>
        <v>5:20–6:30 م</v>
      </c>
      <c r="C13" s="7">
        <v>1</v>
      </c>
      <c r="D13" s="7" t="s">
        <v>593</v>
      </c>
      <c r="E13" s="7" t="s">
        <v>19</v>
      </c>
      <c r="F13" s="2"/>
    </row>
    <row r="14" spans="1:6" ht="14" customHeight="1">
      <c r="A14" s="8">
        <v>2</v>
      </c>
      <c r="B14" s="7" t="str">
        <f>المدخلات!$F$5</f>
        <v>5:20–6:30 م</v>
      </c>
      <c r="C14" s="7">
        <v>2</v>
      </c>
      <c r="D14" s="7" t="s">
        <v>593</v>
      </c>
      <c r="E14" s="7" t="s">
        <v>28</v>
      </c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3</v>
      </c>
      <c r="D15" s="7" t="s">
        <v>594</v>
      </c>
      <c r="E15" s="7" t="s">
        <v>115</v>
      </c>
      <c r="F15" s="2"/>
    </row>
    <row r="16" spans="1:6" ht="14" customHeight="1">
      <c r="A16" s="8">
        <v>2</v>
      </c>
      <c r="B16" s="7" t="str">
        <f>المدخلات!$F$5</f>
        <v>5:20–6:30 م</v>
      </c>
      <c r="C16" s="7">
        <v>3</v>
      </c>
      <c r="D16" s="7" t="s">
        <v>594</v>
      </c>
      <c r="E16" s="7" t="s">
        <v>1065</v>
      </c>
      <c r="F16" s="2"/>
    </row>
    <row r="17" spans="1:6" ht="14" customHeight="1">
      <c r="A17" s="8">
        <v>2</v>
      </c>
      <c r="B17" s="7" t="str">
        <f>المدخلات!$F$6</f>
        <v>6:40–7:50 م</v>
      </c>
      <c r="C17" s="7">
        <v>3</v>
      </c>
      <c r="D17" s="7" t="s">
        <v>594</v>
      </c>
      <c r="E17" s="7" t="s">
        <v>72</v>
      </c>
      <c r="F17" s="2"/>
    </row>
    <row r="18" spans="1:6" ht="14" customHeight="1">
      <c r="A18" s="8">
        <v>3</v>
      </c>
      <c r="B18" s="7" t="str">
        <f>المدخلات!$F$4</f>
        <v>4:00–5:10 م</v>
      </c>
      <c r="C18" s="7">
        <v>1</v>
      </c>
      <c r="D18" s="7" t="s">
        <v>593</v>
      </c>
      <c r="E18" s="7" t="s">
        <v>608</v>
      </c>
      <c r="F18" s="2"/>
    </row>
    <row r="19" spans="1:6" ht="14" customHeight="1">
      <c r="A19" s="8">
        <v>3</v>
      </c>
      <c r="B19" s="7" t="str">
        <f>المدخلات!$F$4</f>
        <v>4:00–5:10 م</v>
      </c>
      <c r="C19" s="7">
        <v>2</v>
      </c>
      <c r="D19" s="7" t="s">
        <v>593</v>
      </c>
      <c r="E19" s="7" t="s">
        <v>17</v>
      </c>
      <c r="F19" s="2"/>
    </row>
    <row r="20" spans="1:6" ht="14" customHeight="1">
      <c r="A20" s="8">
        <v>3</v>
      </c>
      <c r="B20" s="7" t="str">
        <f>المدخلات!$F$5</f>
        <v>5:20–6:30 م</v>
      </c>
      <c r="C20" s="7">
        <v>1</v>
      </c>
      <c r="D20" s="7" t="s">
        <v>593</v>
      </c>
      <c r="E20" s="7" t="s">
        <v>24</v>
      </c>
      <c r="F20" s="2"/>
    </row>
    <row r="21" spans="1:6" ht="14" customHeight="1">
      <c r="A21" s="8">
        <v>3</v>
      </c>
      <c r="B21" s="7" t="str">
        <f>المدخلات!$F$5</f>
        <v>5:20–6:30 م</v>
      </c>
      <c r="C21" s="7">
        <v>2</v>
      </c>
      <c r="D21" s="7" t="s">
        <v>593</v>
      </c>
      <c r="E21" s="7" t="s">
        <v>15</v>
      </c>
      <c r="F21" s="2"/>
    </row>
    <row r="22" spans="1:6" ht="14" customHeight="1">
      <c r="A22" s="8">
        <v>3</v>
      </c>
      <c r="B22" s="7" t="str">
        <f>المدخلات!$F$4</f>
        <v>4:00–5:10 م</v>
      </c>
      <c r="C22" s="7">
        <v>3</v>
      </c>
      <c r="D22" s="7" t="s">
        <v>594</v>
      </c>
      <c r="E22" s="7" t="s">
        <v>56</v>
      </c>
      <c r="F22" s="2"/>
    </row>
    <row r="23" spans="1:6" ht="14" customHeight="1">
      <c r="A23" s="8">
        <v>3</v>
      </c>
      <c r="B23" s="7" t="str">
        <f>المدخلات!$F$5</f>
        <v>5:20–6:30 م</v>
      </c>
      <c r="C23" s="7">
        <v>3</v>
      </c>
      <c r="D23" s="7" t="s">
        <v>594</v>
      </c>
      <c r="E23" s="7" t="s">
        <v>609</v>
      </c>
      <c r="F23" s="2"/>
    </row>
    <row r="24" spans="1:6" ht="14" customHeight="1">
      <c r="A24" s="8">
        <v>3</v>
      </c>
      <c r="B24" s="7" t="str">
        <f>المدخلات!$F$6</f>
        <v>6:40–7:50 م</v>
      </c>
      <c r="C24" s="7">
        <v>3</v>
      </c>
      <c r="D24" s="7" t="s">
        <v>594</v>
      </c>
      <c r="E24" s="7" t="s">
        <v>1070</v>
      </c>
      <c r="F24" s="2"/>
    </row>
    <row r="25" spans="1:6" ht="14" customHeight="1">
      <c r="A25" s="8">
        <v>4</v>
      </c>
      <c r="B25" s="7" t="str">
        <f>المدخلات!$F$4</f>
        <v>4:00–5:10 م</v>
      </c>
      <c r="C25" s="7">
        <v>1</v>
      </c>
      <c r="D25" s="7" t="s">
        <v>593</v>
      </c>
      <c r="E25" s="7" t="s">
        <v>622</v>
      </c>
      <c r="F25" s="2"/>
    </row>
    <row r="26" spans="1:6" ht="14" customHeight="1">
      <c r="A26" s="8">
        <v>4</v>
      </c>
      <c r="B26" s="7" t="str">
        <f>المدخلات!$F$4</f>
        <v>4:00–5:10 م</v>
      </c>
      <c r="C26" s="7">
        <v>2</v>
      </c>
      <c r="D26" s="7" t="s">
        <v>593</v>
      </c>
      <c r="E26" s="7" t="s">
        <v>623</v>
      </c>
      <c r="F26" s="2"/>
    </row>
    <row r="27" spans="1:6" ht="14" customHeight="1">
      <c r="A27" s="8">
        <v>4</v>
      </c>
      <c r="B27" s="7" t="str">
        <f>المدخلات!$F$5</f>
        <v>5:20–6:30 م</v>
      </c>
      <c r="C27" s="7">
        <v>1</v>
      </c>
      <c r="D27" s="7" t="s">
        <v>593</v>
      </c>
      <c r="E27" s="7" t="s">
        <v>20</v>
      </c>
      <c r="F27" s="2"/>
    </row>
    <row r="28" spans="1:6" ht="14" customHeight="1">
      <c r="A28" s="8">
        <v>4</v>
      </c>
      <c r="B28" s="7" t="str">
        <f>المدخلات!$F$5</f>
        <v>5:20–6:30 م</v>
      </c>
      <c r="C28" s="7">
        <v>2</v>
      </c>
      <c r="D28" s="7" t="s">
        <v>593</v>
      </c>
      <c r="E28" s="7" t="s">
        <v>9</v>
      </c>
      <c r="F28" s="2"/>
    </row>
    <row r="29" spans="1:6" ht="14" customHeight="1">
      <c r="A29" s="8">
        <v>4</v>
      </c>
      <c r="B29" s="7" t="str">
        <f>المدخلات!$F$4</f>
        <v>4:00–5:10 م</v>
      </c>
      <c r="C29" s="7">
        <v>3</v>
      </c>
      <c r="D29" s="7" t="s">
        <v>594</v>
      </c>
      <c r="E29" s="7" t="s">
        <v>625</v>
      </c>
      <c r="F29" s="2"/>
    </row>
    <row r="30" spans="1:6" ht="14" customHeight="1">
      <c r="A30" s="8">
        <v>4</v>
      </c>
      <c r="B30" s="7" t="str">
        <f>المدخلات!$F$5</f>
        <v>5:20–6:30 م</v>
      </c>
      <c r="C30" s="7">
        <v>3</v>
      </c>
      <c r="D30" s="7" t="s">
        <v>594</v>
      </c>
      <c r="E30" s="7" t="s">
        <v>96</v>
      </c>
      <c r="F30" s="2"/>
    </row>
    <row r="31" spans="1:6" ht="14" customHeight="1">
      <c r="A31" s="8">
        <v>4</v>
      </c>
      <c r="B31" s="7" t="str">
        <f>المدخلات!$F$6</f>
        <v>6:40–7:50 م</v>
      </c>
      <c r="C31" s="7">
        <v>3</v>
      </c>
      <c r="D31" s="7" t="s">
        <v>594</v>
      </c>
      <c r="E31" s="7" t="s">
        <v>91</v>
      </c>
      <c r="F31" s="2"/>
    </row>
    <row r="32" spans="1:6" ht="14" customHeight="1">
      <c r="A32" s="8">
        <v>5</v>
      </c>
      <c r="B32" s="7" t="str">
        <f>المدخلات!$F$4</f>
        <v>4:00–5:10 م</v>
      </c>
      <c r="C32" s="7">
        <v>1</v>
      </c>
      <c r="D32" s="7" t="s">
        <v>593</v>
      </c>
      <c r="E32" s="7" t="s">
        <v>1043</v>
      </c>
      <c r="F32" s="2"/>
    </row>
    <row r="33" spans="1:6" ht="14" customHeight="1">
      <c r="A33" s="8">
        <v>5</v>
      </c>
      <c r="B33" s="7" t="str">
        <f>المدخلات!$F$4</f>
        <v>4:00–5:10 م</v>
      </c>
      <c r="C33" s="7">
        <v>2</v>
      </c>
      <c r="D33" s="7" t="s">
        <v>593</v>
      </c>
      <c r="E33" s="7" t="s">
        <v>30</v>
      </c>
      <c r="F33" s="2"/>
    </row>
    <row r="34" spans="1:6" ht="14" customHeight="1">
      <c r="A34" s="8">
        <v>5</v>
      </c>
      <c r="B34" s="7" t="str">
        <f>المدخلات!$F$5</f>
        <v>5:20–6:30 م</v>
      </c>
      <c r="C34" s="7">
        <v>1</v>
      </c>
      <c r="D34" s="7" t="s">
        <v>593</v>
      </c>
      <c r="E34" s="7" t="s">
        <v>13</v>
      </c>
      <c r="F34" s="2"/>
    </row>
    <row r="35" spans="1:6" ht="14" customHeight="1">
      <c r="A35" s="8">
        <v>5</v>
      </c>
      <c r="B35" s="7" t="str">
        <f>المدخلات!$F$5</f>
        <v>5:20–6:30 م</v>
      </c>
      <c r="C35" s="7">
        <v>2</v>
      </c>
      <c r="D35" s="7" t="s">
        <v>593</v>
      </c>
      <c r="E35" s="7" t="s">
        <v>634</v>
      </c>
      <c r="F35" s="2"/>
    </row>
    <row r="36" spans="1:6" ht="14" customHeight="1">
      <c r="A36" s="8">
        <v>5</v>
      </c>
      <c r="B36" s="7" t="str">
        <f>المدخلات!$F$4</f>
        <v>4:00–5:10 م</v>
      </c>
      <c r="C36" s="7">
        <v>3</v>
      </c>
      <c r="D36" s="7" t="s">
        <v>594</v>
      </c>
      <c r="E36" s="7" t="s">
        <v>635</v>
      </c>
      <c r="F36" s="2"/>
    </row>
    <row r="37" spans="1:6" ht="14" customHeight="1">
      <c r="A37" s="8">
        <v>5</v>
      </c>
      <c r="B37" s="7" t="str">
        <f>المدخلات!$F$5</f>
        <v>5:20–6:30 م</v>
      </c>
      <c r="C37" s="7">
        <v>3</v>
      </c>
      <c r="D37" s="7" t="s">
        <v>594</v>
      </c>
      <c r="E37" s="7" t="s">
        <v>67</v>
      </c>
      <c r="F37" s="2"/>
    </row>
    <row r="38" spans="1:6" ht="14" customHeight="1">
      <c r="A38" s="8">
        <v>5</v>
      </c>
      <c r="B38" s="7" t="str">
        <f>المدخلات!$F$6</f>
        <v>6:40–7:50 م</v>
      </c>
      <c r="C38" s="7">
        <v>3</v>
      </c>
      <c r="D38" s="7" t="s">
        <v>594</v>
      </c>
      <c r="E38" s="7" t="s">
        <v>636</v>
      </c>
      <c r="F38" s="2"/>
    </row>
    <row r="39" spans="1:6" ht="14" customHeight="1">
      <c r="A39" s="8">
        <v>6</v>
      </c>
      <c r="B39" s="7" t="str">
        <f>المدخلات!$F$4</f>
        <v>4:00–5:10 م</v>
      </c>
      <c r="C39" s="7">
        <v>1</v>
      </c>
      <c r="D39" s="7" t="s">
        <v>593</v>
      </c>
      <c r="E39" s="7" t="s">
        <v>23</v>
      </c>
      <c r="F39" s="2"/>
    </row>
    <row r="40" spans="1:6" ht="14" customHeight="1">
      <c r="A40" s="8">
        <v>6</v>
      </c>
      <c r="B40" s="7" t="str">
        <f>المدخلات!$F$4</f>
        <v>4:00–5:10 م</v>
      </c>
      <c r="C40" s="7">
        <v>2</v>
      </c>
      <c r="D40" s="7" t="s">
        <v>593</v>
      </c>
      <c r="E40" s="7" t="s">
        <v>34</v>
      </c>
      <c r="F40" s="2"/>
    </row>
    <row r="41" spans="1:6" ht="14" customHeight="1">
      <c r="A41" s="8">
        <v>6</v>
      </c>
      <c r="B41" s="7" t="str">
        <f>المدخلات!$F$5</f>
        <v>5:20–6:30 م</v>
      </c>
      <c r="C41" s="7">
        <v>1</v>
      </c>
      <c r="D41" s="7" t="s">
        <v>593</v>
      </c>
      <c r="E41" s="7" t="s">
        <v>14</v>
      </c>
      <c r="F41" s="2"/>
    </row>
    <row r="42" spans="1:6" ht="14" customHeight="1">
      <c r="A42" s="8">
        <v>6</v>
      </c>
      <c r="B42" s="7" t="str">
        <f>المدخلات!$F$5</f>
        <v>5:20–6:30 م</v>
      </c>
      <c r="C42" s="7">
        <v>2</v>
      </c>
      <c r="D42" s="7" t="s">
        <v>593</v>
      </c>
      <c r="E42" s="7" t="s">
        <v>8</v>
      </c>
      <c r="F42" s="2"/>
    </row>
    <row r="43" spans="1:6" ht="14" customHeight="1">
      <c r="A43" s="8">
        <v>6</v>
      </c>
      <c r="B43" s="7" t="str">
        <f>المدخلات!$F$4</f>
        <v>4:00–5:10 م</v>
      </c>
      <c r="C43" s="7">
        <v>3</v>
      </c>
      <c r="D43" s="7" t="s">
        <v>594</v>
      </c>
      <c r="E43" s="7" t="s">
        <v>103</v>
      </c>
      <c r="F43" s="2"/>
    </row>
    <row r="44" spans="1:6" ht="14" customHeight="1">
      <c r="A44" s="8">
        <v>6</v>
      </c>
      <c r="B44" s="7" t="str">
        <f>المدخلات!$F$5</f>
        <v>5:20–6:30 م</v>
      </c>
      <c r="C44" s="7">
        <v>3</v>
      </c>
      <c r="D44" s="7" t="s">
        <v>594</v>
      </c>
      <c r="E44" s="7" t="s">
        <v>64</v>
      </c>
      <c r="F44" s="2"/>
    </row>
    <row r="45" spans="1:6" ht="14" customHeight="1">
      <c r="A45" s="8">
        <v>6</v>
      </c>
      <c r="B45" s="7" t="str">
        <f>المدخلات!$F$6</f>
        <v>6:40–7:50 م</v>
      </c>
      <c r="C45" s="7">
        <v>3</v>
      </c>
      <c r="D45" s="7" t="s">
        <v>594</v>
      </c>
      <c r="E45" s="7" t="s">
        <v>721</v>
      </c>
      <c r="F45" s="2"/>
    </row>
    <row r="46" spans="1:6" ht="14" customHeight="1">
      <c r="A46" s="8">
        <v>7</v>
      </c>
      <c r="B46" s="7" t="str">
        <f>المدخلات!$F$4</f>
        <v>4:00–5:10 م</v>
      </c>
      <c r="C46" s="7">
        <v>1</v>
      </c>
      <c r="D46" s="7" t="s">
        <v>593</v>
      </c>
      <c r="E46" s="7" t="s">
        <v>1037</v>
      </c>
      <c r="F46" s="2"/>
    </row>
    <row r="47" spans="1:6" ht="14" customHeight="1">
      <c r="A47" s="8">
        <v>7</v>
      </c>
      <c r="B47" s="7" t="str">
        <f>المدخلات!$F$4</f>
        <v>4:00–5:10 م</v>
      </c>
      <c r="C47" s="7">
        <v>2</v>
      </c>
      <c r="D47" s="7" t="s">
        <v>593</v>
      </c>
      <c r="E47" s="7" t="s">
        <v>16</v>
      </c>
      <c r="F47" s="2"/>
    </row>
    <row r="48" spans="1:6" ht="14" customHeight="1">
      <c r="A48" s="8">
        <v>7</v>
      </c>
      <c r="B48" s="7" t="str">
        <f>المدخلات!$F$5</f>
        <v>5:20–6:30 م</v>
      </c>
      <c r="C48" s="7">
        <v>1</v>
      </c>
      <c r="D48" s="7" t="s">
        <v>593</v>
      </c>
      <c r="E48" s="7" t="s">
        <v>1048</v>
      </c>
      <c r="F48" s="2"/>
    </row>
    <row r="49" spans="1:6" ht="14" customHeight="1">
      <c r="A49" s="8">
        <v>7</v>
      </c>
      <c r="B49" s="7" t="str">
        <f>المدخلات!$F$5</f>
        <v>5:20–6:30 م</v>
      </c>
      <c r="C49" s="7">
        <v>2</v>
      </c>
      <c r="D49" s="7" t="s">
        <v>593</v>
      </c>
      <c r="E49" s="7" t="s">
        <v>26</v>
      </c>
      <c r="F49" s="2"/>
    </row>
    <row r="50" spans="1:6" ht="14" customHeight="1">
      <c r="A50" s="8">
        <v>7</v>
      </c>
      <c r="B50" s="7" t="str">
        <f>المدخلات!$F$4</f>
        <v>4:00–5:10 م</v>
      </c>
      <c r="C50" s="7">
        <v>3</v>
      </c>
      <c r="D50" s="7" t="s">
        <v>594</v>
      </c>
      <c r="E50" s="7" t="s">
        <v>98</v>
      </c>
      <c r="F50" s="2"/>
    </row>
    <row r="51" spans="1:6" ht="14" customHeight="1">
      <c r="A51" s="8">
        <v>7</v>
      </c>
      <c r="B51" s="7" t="str">
        <f>المدخلات!$F$5</f>
        <v>5:20–6:30 م</v>
      </c>
      <c r="C51" s="7">
        <v>3</v>
      </c>
      <c r="D51" s="7" t="s">
        <v>594</v>
      </c>
      <c r="E51" s="7" t="s">
        <v>46</v>
      </c>
      <c r="F51" s="2"/>
    </row>
    <row r="52" spans="1:6" ht="14" customHeight="1">
      <c r="A52" s="8">
        <v>7</v>
      </c>
      <c r="B52" s="7" t="str">
        <f>المدخلات!$F$6</f>
        <v>6:40–7:50 م</v>
      </c>
      <c r="C52" s="7">
        <v>3</v>
      </c>
      <c r="D52" s="7" t="s">
        <v>594</v>
      </c>
      <c r="E52" s="7" t="s">
        <v>100</v>
      </c>
      <c r="F52" s="2"/>
    </row>
    <row r="53" spans="1:6" ht="14" customHeight="1">
      <c r="A53" s="8">
        <v>8</v>
      </c>
      <c r="B53" s="7" t="str">
        <f>المدخلات!$F$4</f>
        <v>4:00–5:10 م</v>
      </c>
      <c r="C53" s="7">
        <v>1</v>
      </c>
      <c r="D53" s="7" t="s">
        <v>593</v>
      </c>
      <c r="E53" s="7" t="s">
        <v>12</v>
      </c>
      <c r="F53" s="2"/>
    </row>
    <row r="54" spans="1:6" ht="14" customHeight="1">
      <c r="A54" s="8">
        <v>8</v>
      </c>
      <c r="B54" s="7" t="str">
        <f>المدخلات!$F$4</f>
        <v>4:00–5:10 م</v>
      </c>
      <c r="C54" s="7">
        <v>2</v>
      </c>
      <c r="D54" s="7" t="s">
        <v>593</v>
      </c>
      <c r="E54" s="7" t="s">
        <v>1049</v>
      </c>
      <c r="F54" s="2"/>
    </row>
    <row r="55" spans="1:6" ht="14" customHeight="1">
      <c r="A55" s="8">
        <v>8</v>
      </c>
      <c r="B55" s="7" t="str">
        <f>المدخلات!$F$5</f>
        <v>5:20–6:30 م</v>
      </c>
      <c r="C55" s="7">
        <v>1</v>
      </c>
      <c r="D55" s="7" t="s">
        <v>593</v>
      </c>
      <c r="E55" s="7" t="s">
        <v>1045</v>
      </c>
      <c r="F55" s="2"/>
    </row>
    <row r="56" spans="1:6" ht="14" customHeight="1">
      <c r="A56" s="8">
        <v>8</v>
      </c>
      <c r="B56" s="7" t="str">
        <f>المدخلات!$F$5</f>
        <v>5:20–6:30 م</v>
      </c>
      <c r="C56" s="7">
        <v>2</v>
      </c>
      <c r="D56" s="7" t="s">
        <v>593</v>
      </c>
      <c r="E56" s="7" t="s">
        <v>10</v>
      </c>
      <c r="F56" s="2"/>
    </row>
    <row r="57" spans="1:6" ht="14" customHeight="1">
      <c r="A57" s="8">
        <v>8</v>
      </c>
      <c r="B57" s="7" t="str">
        <f>المدخلات!$F$4</f>
        <v>4:00–5:10 م</v>
      </c>
      <c r="C57" s="7">
        <v>3</v>
      </c>
      <c r="D57" s="7" t="s">
        <v>594</v>
      </c>
      <c r="E57" s="7" t="s">
        <v>1074</v>
      </c>
      <c r="F57" s="2"/>
    </row>
    <row r="58" spans="1:6" ht="14" customHeight="1">
      <c r="A58" s="8">
        <v>8</v>
      </c>
      <c r="B58" s="7" t="str">
        <f>المدخلات!$F$5</f>
        <v>5:20–6:30 م</v>
      </c>
      <c r="C58" s="7">
        <v>3</v>
      </c>
      <c r="D58" s="7" t="s">
        <v>594</v>
      </c>
      <c r="E58" s="7" t="s">
        <v>99</v>
      </c>
      <c r="F58" s="2"/>
    </row>
    <row r="59" spans="1:6" ht="14" customHeight="1">
      <c r="A59" s="8">
        <v>8</v>
      </c>
      <c r="B59" s="7" t="str">
        <f>المدخلات!$F$6</f>
        <v>6:40–7:50 م</v>
      </c>
      <c r="C59" s="7">
        <v>3</v>
      </c>
      <c r="D59" s="7" t="s">
        <v>594</v>
      </c>
      <c r="E59" s="7" t="s">
        <v>92</v>
      </c>
      <c r="F59" s="2"/>
    </row>
    <row r="60" spans="1:6" ht="14" customHeight="1">
      <c r="A60" s="8">
        <v>9</v>
      </c>
      <c r="B60" s="7" t="str">
        <f>المدخلات!$F$4</f>
        <v>4:00–5:10 م</v>
      </c>
      <c r="C60" s="7">
        <v>1</v>
      </c>
      <c r="D60" s="7" t="s">
        <v>593</v>
      </c>
      <c r="E60" s="7" t="s">
        <v>19</v>
      </c>
      <c r="F60" s="2"/>
    </row>
    <row r="61" spans="1:6" ht="14" customHeight="1">
      <c r="A61" s="8">
        <v>9</v>
      </c>
      <c r="B61" s="7" t="str">
        <f>المدخلات!$F$4</f>
        <v>4:00–5:10 م</v>
      </c>
      <c r="C61" s="7">
        <v>2</v>
      </c>
      <c r="D61" s="7" t="s">
        <v>593</v>
      </c>
      <c r="E61" s="7" t="s">
        <v>7</v>
      </c>
      <c r="F61" s="2"/>
    </row>
    <row r="62" spans="1:6" ht="14" customHeight="1">
      <c r="A62" s="8">
        <v>9</v>
      </c>
      <c r="B62" s="7" t="str">
        <f>المدخلات!$F$5</f>
        <v>5:20–6:30 م</v>
      </c>
      <c r="C62" s="7">
        <v>1</v>
      </c>
      <c r="D62" s="7" t="s">
        <v>593</v>
      </c>
      <c r="E62" s="7" t="s">
        <v>28</v>
      </c>
      <c r="F62" s="2"/>
    </row>
    <row r="63" spans="1:6" ht="14" customHeight="1">
      <c r="A63" s="8">
        <v>9</v>
      </c>
      <c r="B63" s="7" t="str">
        <f>المدخلات!$F$5</f>
        <v>5:20–6:30 م</v>
      </c>
      <c r="C63" s="7">
        <v>2</v>
      </c>
      <c r="D63" s="7" t="s">
        <v>593</v>
      </c>
      <c r="E63" s="7" t="s">
        <v>25</v>
      </c>
      <c r="F63" s="2"/>
    </row>
    <row r="64" spans="1:6" ht="14" customHeight="1">
      <c r="A64" s="8">
        <v>9</v>
      </c>
      <c r="B64" s="7" t="str">
        <f>المدخلات!$F$4</f>
        <v>4:00–5:10 م</v>
      </c>
      <c r="C64" s="7">
        <v>3</v>
      </c>
      <c r="D64" s="7" t="s">
        <v>594</v>
      </c>
      <c r="E64" s="7" t="s">
        <v>72</v>
      </c>
      <c r="F64" s="2"/>
    </row>
    <row r="65" spans="1:6" ht="14" customHeight="1">
      <c r="A65" s="8">
        <v>9</v>
      </c>
      <c r="B65" s="7" t="str">
        <f>المدخلات!$F$5</f>
        <v>5:20–6:30 م</v>
      </c>
      <c r="C65" s="7">
        <v>3</v>
      </c>
      <c r="D65" s="7" t="s">
        <v>594</v>
      </c>
      <c r="E65" s="7" t="s">
        <v>696</v>
      </c>
      <c r="F65" s="2"/>
    </row>
    <row r="66" spans="1:6" ht="14" customHeight="1">
      <c r="A66" s="8">
        <v>9</v>
      </c>
      <c r="B66" s="7" t="str">
        <f>المدخلات!$F$6</f>
        <v>6:40–7:50 م</v>
      </c>
      <c r="C66" s="7">
        <v>3</v>
      </c>
      <c r="D66" s="7" t="s">
        <v>594</v>
      </c>
      <c r="E66" s="7" t="s">
        <v>93</v>
      </c>
      <c r="F66" s="2"/>
    </row>
    <row r="67" spans="1:6" ht="14" customHeight="1">
      <c r="A67" s="8">
        <v>10</v>
      </c>
      <c r="B67" s="7" t="str">
        <f>المدخلات!$F$4</f>
        <v>4:00–5:10 م</v>
      </c>
      <c r="C67" s="7">
        <v>1</v>
      </c>
      <c r="D67" s="7" t="s">
        <v>593</v>
      </c>
      <c r="E67" s="7" t="s">
        <v>1039</v>
      </c>
      <c r="F67" s="2"/>
    </row>
    <row r="68" spans="1:6" ht="14" customHeight="1">
      <c r="A68" s="8">
        <v>10</v>
      </c>
      <c r="B68" s="7" t="str">
        <f>المدخلات!$F$4</f>
        <v>4:00–5:10 م</v>
      </c>
      <c r="C68" s="7">
        <v>2</v>
      </c>
      <c r="D68" s="7" t="s">
        <v>593</v>
      </c>
      <c r="E68" s="7" t="s">
        <v>24</v>
      </c>
      <c r="F68" s="2"/>
    </row>
    <row r="69" spans="1:6" ht="14" customHeight="1">
      <c r="A69" s="8">
        <v>10</v>
      </c>
      <c r="B69" s="7" t="str">
        <f>المدخلات!$F$5</f>
        <v>5:20–6:30 م</v>
      </c>
      <c r="C69" s="7">
        <v>1</v>
      </c>
      <c r="D69" s="7" t="s">
        <v>593</v>
      </c>
      <c r="E69" s="7" t="s">
        <v>17</v>
      </c>
      <c r="F69" s="2"/>
    </row>
    <row r="70" spans="1:6" ht="14" customHeight="1">
      <c r="A70" s="8">
        <v>10</v>
      </c>
      <c r="B70" s="7" t="str">
        <f>المدخلات!$F$5</f>
        <v>5:20–6:30 م</v>
      </c>
      <c r="C70" s="7">
        <v>2</v>
      </c>
      <c r="D70" s="7" t="s">
        <v>593</v>
      </c>
      <c r="E70" s="7" t="s">
        <v>608</v>
      </c>
      <c r="F70" s="2"/>
    </row>
    <row r="71" spans="1:6" ht="14" customHeight="1">
      <c r="A71" s="8">
        <v>10</v>
      </c>
      <c r="B71" s="7" t="str">
        <f>المدخلات!$F$4</f>
        <v>4:00–5:10 م</v>
      </c>
      <c r="C71" s="7">
        <v>3</v>
      </c>
      <c r="D71" s="7" t="s">
        <v>594</v>
      </c>
      <c r="E71" s="7" t="s">
        <v>56</v>
      </c>
      <c r="F71" s="2"/>
    </row>
    <row r="72" spans="1:6" ht="14" customHeight="1">
      <c r="A72" s="8">
        <v>10</v>
      </c>
      <c r="B72" s="7" t="str">
        <f>المدخلات!$F$5</f>
        <v>5:20–6:30 م</v>
      </c>
      <c r="C72" s="7">
        <v>3</v>
      </c>
      <c r="D72" s="7" t="s">
        <v>594</v>
      </c>
      <c r="E72" s="7" t="s">
        <v>102</v>
      </c>
      <c r="F72" s="2"/>
    </row>
    <row r="73" spans="1:6" ht="14" customHeight="1">
      <c r="A73" s="8">
        <v>10</v>
      </c>
      <c r="B73" s="7" t="str">
        <f>المدخلات!$F$6</f>
        <v>6:40–7:50 م</v>
      </c>
      <c r="C73" s="7">
        <v>3</v>
      </c>
      <c r="D73" s="7" t="s">
        <v>594</v>
      </c>
      <c r="E73" s="7" t="s">
        <v>1070</v>
      </c>
      <c r="F73" s="2"/>
    </row>
    <row r="74" spans="1:6" ht="14" customHeight="1">
      <c r="A74" s="8">
        <v>11</v>
      </c>
      <c r="B74" s="7" t="str">
        <f>المدخلات!$F$4</f>
        <v>4:00–5:10 م</v>
      </c>
      <c r="C74" s="7">
        <v>1</v>
      </c>
      <c r="D74" s="7" t="s">
        <v>593</v>
      </c>
      <c r="E74" s="7" t="s">
        <v>9</v>
      </c>
      <c r="F74" s="2"/>
    </row>
    <row r="75" spans="1:6" ht="14" customHeight="1">
      <c r="A75" s="8">
        <v>11</v>
      </c>
      <c r="B75" s="7" t="str">
        <f>المدخلات!$F$4</f>
        <v>4:00–5:10 م</v>
      </c>
      <c r="C75" s="7">
        <v>2</v>
      </c>
      <c r="D75" s="7" t="s">
        <v>593</v>
      </c>
      <c r="E75" s="7" t="s">
        <v>622</v>
      </c>
      <c r="F75" s="2"/>
    </row>
    <row r="76" spans="1:6" ht="14" customHeight="1">
      <c r="A76" s="8">
        <v>11</v>
      </c>
      <c r="B76" s="7" t="str">
        <f>المدخلات!$F$5</f>
        <v>5:20–6:30 م</v>
      </c>
      <c r="C76" s="7">
        <v>1</v>
      </c>
      <c r="D76" s="7" t="s">
        <v>593</v>
      </c>
      <c r="E76" s="7" t="s">
        <v>20</v>
      </c>
      <c r="F76" s="2"/>
    </row>
    <row r="77" spans="1:6" ht="14" customHeight="1">
      <c r="A77" s="8">
        <v>11</v>
      </c>
      <c r="B77" s="7" t="str">
        <f>المدخلات!$F$5</f>
        <v>5:20–6:30 م</v>
      </c>
      <c r="C77" s="7">
        <v>2</v>
      </c>
      <c r="D77" s="7" t="s">
        <v>593</v>
      </c>
      <c r="E77" s="7" t="s">
        <v>623</v>
      </c>
      <c r="F77" s="2"/>
    </row>
    <row r="78" spans="1:6" ht="14" customHeight="1">
      <c r="A78" s="8">
        <v>11</v>
      </c>
      <c r="B78" s="7" t="str">
        <f>المدخلات!$F$4</f>
        <v>4:00–5:10 م</v>
      </c>
      <c r="C78" s="7">
        <v>3</v>
      </c>
      <c r="D78" s="7" t="s">
        <v>594</v>
      </c>
      <c r="E78" s="7" t="s">
        <v>96</v>
      </c>
      <c r="F78" s="2"/>
    </row>
    <row r="79" spans="1:6" ht="14" customHeight="1">
      <c r="A79" s="8">
        <v>11</v>
      </c>
      <c r="B79" s="7" t="str">
        <f>المدخلات!$F$5</f>
        <v>5:20–6:30 م</v>
      </c>
      <c r="C79" s="7">
        <v>3</v>
      </c>
      <c r="D79" s="7" t="s">
        <v>594</v>
      </c>
      <c r="E79" s="7" t="s">
        <v>91</v>
      </c>
      <c r="F79" s="2"/>
    </row>
    <row r="80" spans="1:6" ht="14" customHeight="1">
      <c r="A80" s="8">
        <v>11</v>
      </c>
      <c r="B80" s="7" t="str">
        <f>المدخلات!$F$6</f>
        <v>6:40–7:50 م</v>
      </c>
      <c r="C80" s="7">
        <v>3</v>
      </c>
      <c r="D80" s="7" t="s">
        <v>594</v>
      </c>
      <c r="E80" s="7" t="s">
        <v>625</v>
      </c>
      <c r="F80" s="2"/>
    </row>
    <row r="81" spans="1:6" ht="14" customHeight="1">
      <c r="A81" s="8">
        <v>12</v>
      </c>
      <c r="B81" s="7" t="str">
        <f>المدخلات!$F$4</f>
        <v>4:00–5:10 م</v>
      </c>
      <c r="C81" s="7">
        <v>1</v>
      </c>
      <c r="D81" s="7" t="s">
        <v>593</v>
      </c>
      <c r="E81" s="7" t="s">
        <v>18</v>
      </c>
      <c r="F81" s="2"/>
    </row>
    <row r="82" spans="1:6" ht="14" customHeight="1">
      <c r="A82" s="8">
        <v>12</v>
      </c>
      <c r="B82" s="7" t="str">
        <f>المدخلات!$F$4</f>
        <v>4:00–5:10 م</v>
      </c>
      <c r="C82" s="7">
        <v>2</v>
      </c>
      <c r="D82" s="7" t="s">
        <v>593</v>
      </c>
      <c r="E82" s="7" t="s">
        <v>30</v>
      </c>
      <c r="F82" s="2"/>
    </row>
    <row r="83" spans="1:6" ht="14" customHeight="1">
      <c r="A83" s="8">
        <v>12</v>
      </c>
      <c r="B83" s="7" t="str">
        <f>المدخلات!$F$5</f>
        <v>5:20–6:30 م</v>
      </c>
      <c r="C83" s="7">
        <v>1</v>
      </c>
      <c r="D83" s="7" t="s">
        <v>593</v>
      </c>
      <c r="E83" s="7" t="s">
        <v>13</v>
      </c>
      <c r="F83" s="2"/>
    </row>
    <row r="84" spans="1:6" ht="14" customHeight="1">
      <c r="A84" s="8">
        <v>12</v>
      </c>
      <c r="B84" s="7" t="str">
        <f>المدخلات!$F$5</f>
        <v>5:20–6:30 م</v>
      </c>
      <c r="C84" s="7">
        <v>2</v>
      </c>
      <c r="D84" s="7" t="s">
        <v>593</v>
      </c>
      <c r="E84" s="7" t="s">
        <v>634</v>
      </c>
      <c r="F84" s="2"/>
    </row>
    <row r="85" spans="1:6" ht="14" customHeight="1">
      <c r="A85" s="8">
        <v>12</v>
      </c>
      <c r="B85" s="7" t="str">
        <f>المدخلات!$F$4</f>
        <v>4:00–5:10 م</v>
      </c>
      <c r="C85" s="7">
        <v>3</v>
      </c>
      <c r="D85" s="7" t="s">
        <v>594</v>
      </c>
      <c r="E85" s="7" t="s">
        <v>67</v>
      </c>
      <c r="F85" s="2"/>
    </row>
    <row r="86" spans="1:6" ht="14" customHeight="1">
      <c r="A86" s="8">
        <v>12</v>
      </c>
      <c r="B86" s="7" t="str">
        <f>المدخلات!$F$5</f>
        <v>5:20–6:30 م</v>
      </c>
      <c r="C86" s="7">
        <v>3</v>
      </c>
      <c r="D86" s="7" t="s">
        <v>594</v>
      </c>
      <c r="E86" s="7" t="s">
        <v>635</v>
      </c>
      <c r="F86" s="2"/>
    </row>
    <row r="87" spans="1:6" ht="14" customHeight="1">
      <c r="A87" s="8">
        <v>12</v>
      </c>
      <c r="B87" s="7" t="str">
        <f>المدخلات!$F$6</f>
        <v>6:40–7:50 م</v>
      </c>
      <c r="C87" s="7">
        <v>3</v>
      </c>
      <c r="D87" s="7" t="s">
        <v>594</v>
      </c>
      <c r="E87" s="7" t="s">
        <v>636</v>
      </c>
      <c r="F87" s="2"/>
    </row>
    <row r="88" spans="1:6" ht="14" customHeight="1">
      <c r="A88" s="8">
        <v>13</v>
      </c>
      <c r="B88" s="7" t="str">
        <f>المدخلات!$F$4</f>
        <v>4:00–5:10 م</v>
      </c>
      <c r="C88" s="7">
        <v>1</v>
      </c>
      <c r="D88" s="7" t="s">
        <v>593</v>
      </c>
      <c r="E88" s="7" t="s">
        <v>14</v>
      </c>
      <c r="F88" s="2"/>
    </row>
    <row r="89" spans="1:6" ht="14" customHeight="1">
      <c r="A89" s="8">
        <v>13</v>
      </c>
      <c r="B89" s="7" t="str">
        <f>المدخلات!$F$4</f>
        <v>4:00–5:10 م</v>
      </c>
      <c r="C89" s="7">
        <v>2</v>
      </c>
      <c r="D89" s="7" t="s">
        <v>593</v>
      </c>
      <c r="E89" s="7" t="s">
        <v>34</v>
      </c>
      <c r="F89" s="2"/>
    </row>
    <row r="90" spans="1:6" ht="14" customHeight="1">
      <c r="A90" s="8">
        <v>13</v>
      </c>
      <c r="B90" s="7" t="str">
        <f>المدخلات!$F$5</f>
        <v>5:20–6:30 م</v>
      </c>
      <c r="C90" s="7">
        <v>1</v>
      </c>
      <c r="D90" s="7" t="s">
        <v>593</v>
      </c>
      <c r="E90" s="7" t="s">
        <v>23</v>
      </c>
      <c r="F90" s="2"/>
    </row>
    <row r="91" spans="1:6" ht="14" customHeight="1">
      <c r="A91" s="8">
        <v>13</v>
      </c>
      <c r="B91" s="7" t="str">
        <f>المدخلات!$F$5</f>
        <v>5:20–6:30 م</v>
      </c>
      <c r="C91" s="7">
        <v>2</v>
      </c>
      <c r="D91" s="7" t="s">
        <v>593</v>
      </c>
      <c r="E91" s="7" t="s">
        <v>1040</v>
      </c>
      <c r="F91" s="2"/>
    </row>
    <row r="92" spans="1:6" ht="14" customHeight="1">
      <c r="A92" s="8">
        <v>13</v>
      </c>
      <c r="B92" s="7" t="str">
        <f>المدخلات!$F$4</f>
        <v>4:00–5:10 م</v>
      </c>
      <c r="C92" s="7">
        <v>3</v>
      </c>
      <c r="D92" s="7" t="s">
        <v>594</v>
      </c>
      <c r="E92" s="7" t="s">
        <v>103</v>
      </c>
      <c r="F92" s="2"/>
    </row>
    <row r="93" spans="1:6" ht="14" customHeight="1">
      <c r="A93" s="8">
        <v>13</v>
      </c>
      <c r="B93" s="7" t="str">
        <f>المدخلات!$F$5</f>
        <v>5:20–6:30 م</v>
      </c>
      <c r="C93" s="7">
        <v>3</v>
      </c>
      <c r="D93" s="7" t="s">
        <v>594</v>
      </c>
      <c r="E93" s="7" t="s">
        <v>64</v>
      </c>
      <c r="F93" s="2"/>
    </row>
    <row r="94" spans="1:6" ht="14" customHeight="1">
      <c r="A94" s="8">
        <v>13</v>
      </c>
      <c r="B94" s="7" t="str">
        <f>المدخلات!$F$6</f>
        <v>6:40–7:50 م</v>
      </c>
      <c r="C94" s="7">
        <v>3</v>
      </c>
      <c r="D94" s="7" t="s">
        <v>594</v>
      </c>
      <c r="E94" s="7" t="s">
        <v>721</v>
      </c>
      <c r="F94" s="2"/>
    </row>
    <row r="95" spans="1:6" ht="14" customHeight="1">
      <c r="A95" s="8">
        <v>14</v>
      </c>
      <c r="B95" s="7" t="str">
        <f>المدخلات!$F$4</f>
        <v>4:00–5:10 م</v>
      </c>
      <c r="C95" s="7">
        <v>1</v>
      </c>
      <c r="D95" s="7" t="s">
        <v>593</v>
      </c>
      <c r="E95" s="7" t="s">
        <v>11</v>
      </c>
      <c r="F95" s="2"/>
    </row>
    <row r="96" spans="1:6" ht="14" customHeight="1">
      <c r="A96" s="8">
        <v>14</v>
      </c>
      <c r="B96" s="7" t="str">
        <f>المدخلات!$F$4</f>
        <v>4:00–5:10 م</v>
      </c>
      <c r="C96" s="7">
        <v>2</v>
      </c>
      <c r="D96" s="7" t="s">
        <v>593</v>
      </c>
      <c r="E96" s="7" t="s">
        <v>16</v>
      </c>
      <c r="F96" s="2"/>
    </row>
    <row r="97" spans="1:6" ht="14" customHeight="1">
      <c r="A97" s="8">
        <v>14</v>
      </c>
      <c r="B97" s="7" t="str">
        <f>المدخلات!$F$5</f>
        <v>5:20–6:30 م</v>
      </c>
      <c r="C97" s="7">
        <v>1</v>
      </c>
      <c r="D97" s="7" t="s">
        <v>593</v>
      </c>
      <c r="E97" s="7" t="s">
        <v>26</v>
      </c>
      <c r="F97" s="2"/>
    </row>
    <row r="98" spans="1:6" ht="14" customHeight="1">
      <c r="A98" s="8">
        <v>14</v>
      </c>
      <c r="B98" s="7" t="str">
        <f>المدخلات!$F$5</f>
        <v>5:20–6:30 م</v>
      </c>
      <c r="C98" s="7">
        <v>2</v>
      </c>
      <c r="D98" s="7" t="s">
        <v>593</v>
      </c>
      <c r="E98" s="7" t="s">
        <v>1048</v>
      </c>
      <c r="F98" s="2"/>
    </row>
    <row r="99" spans="1:6" ht="14" customHeight="1">
      <c r="A99" s="8">
        <v>14</v>
      </c>
      <c r="B99" s="7" t="str">
        <f>المدخلات!$F$4</f>
        <v>4:00–5:10 م</v>
      </c>
      <c r="C99" s="7">
        <v>3</v>
      </c>
      <c r="D99" s="7" t="s">
        <v>594</v>
      </c>
      <c r="E99" s="7" t="s">
        <v>46</v>
      </c>
      <c r="F99" s="2"/>
    </row>
    <row r="100" spans="1:6" ht="14" customHeight="1">
      <c r="A100" s="8">
        <v>14</v>
      </c>
      <c r="B100" s="7" t="str">
        <f>المدخلات!$F$5</f>
        <v>5:20–6:30 م</v>
      </c>
      <c r="C100" s="7">
        <v>3</v>
      </c>
      <c r="D100" s="7" t="s">
        <v>594</v>
      </c>
      <c r="E100" s="7" t="s">
        <v>98</v>
      </c>
      <c r="F100" s="2"/>
    </row>
    <row r="101" spans="1:6" ht="14" customHeight="1">
      <c r="A101" s="8">
        <v>14</v>
      </c>
      <c r="B101" s="7" t="str">
        <f>المدخلات!$F$6</f>
        <v>6:40–7:50 م</v>
      </c>
      <c r="C101" s="7">
        <v>3</v>
      </c>
      <c r="D101" s="7" t="s">
        <v>594</v>
      </c>
      <c r="E101" s="7" t="s">
        <v>100</v>
      </c>
      <c r="F101" s="2"/>
    </row>
    <row r="102" spans="1:6" ht="14" customHeight="1">
      <c r="A102" s="8">
        <v>15</v>
      </c>
      <c r="B102" s="7" t="str">
        <f>المدخلات!$F$4</f>
        <v>4:00–5:10 م</v>
      </c>
      <c r="C102" s="7">
        <v>1</v>
      </c>
      <c r="D102" s="7" t="s">
        <v>593</v>
      </c>
      <c r="E102" s="7" t="s">
        <v>12</v>
      </c>
      <c r="F102" s="2"/>
    </row>
    <row r="103" spans="1:6" ht="14" customHeight="1">
      <c r="A103" s="8">
        <v>15</v>
      </c>
      <c r="B103" s="7" t="str">
        <f>المدخلات!$F$4</f>
        <v>4:00–5:10 م</v>
      </c>
      <c r="C103" s="7">
        <v>2</v>
      </c>
      <c r="D103" s="7" t="s">
        <v>593</v>
      </c>
      <c r="E103" s="7" t="s">
        <v>1049</v>
      </c>
      <c r="F103" s="2"/>
    </row>
    <row r="104" spans="1:6" ht="14" customHeight="1">
      <c r="A104" s="8">
        <v>15</v>
      </c>
      <c r="B104" s="7" t="str">
        <f>المدخلات!$F$5</f>
        <v>5:20–6:30 م</v>
      </c>
      <c r="C104" s="7">
        <v>1</v>
      </c>
      <c r="D104" s="7" t="s">
        <v>593</v>
      </c>
      <c r="E104" s="7" t="s">
        <v>10</v>
      </c>
      <c r="F104" s="2"/>
    </row>
    <row r="105" spans="1:6" ht="14" customHeight="1">
      <c r="A105" s="8">
        <v>15</v>
      </c>
      <c r="B105" s="7" t="str">
        <f>المدخلات!$F$5</f>
        <v>5:20–6:30 م</v>
      </c>
      <c r="C105" s="7">
        <v>2</v>
      </c>
      <c r="D105" s="7" t="s">
        <v>593</v>
      </c>
      <c r="E105" s="7" t="s">
        <v>1045</v>
      </c>
      <c r="F105" s="2"/>
    </row>
    <row r="106" spans="1:6" ht="14" customHeight="1">
      <c r="A106" s="8">
        <v>15</v>
      </c>
      <c r="B106" s="7" t="str">
        <f>المدخلات!$F$4</f>
        <v>4:00–5:10 م</v>
      </c>
      <c r="C106" s="7">
        <v>3</v>
      </c>
      <c r="D106" s="7" t="s">
        <v>594</v>
      </c>
      <c r="E106" s="7" t="s">
        <v>1074</v>
      </c>
      <c r="F106" s="2"/>
    </row>
    <row r="107" spans="1:6" ht="14" customHeight="1">
      <c r="A107" s="8">
        <v>15</v>
      </c>
      <c r="B107" s="7" t="str">
        <f>المدخلات!$F$5</f>
        <v>5:20–6:30 م</v>
      </c>
      <c r="C107" s="7">
        <v>3</v>
      </c>
      <c r="D107" s="7" t="s">
        <v>594</v>
      </c>
      <c r="E107" s="7" t="s">
        <v>99</v>
      </c>
      <c r="F107" s="2"/>
    </row>
    <row r="108" spans="1:6" ht="14" customHeight="1">
      <c r="A108" s="8">
        <v>15</v>
      </c>
      <c r="B108" s="7" t="str">
        <f>المدخلات!$F$6</f>
        <v>6:40–7:50 م</v>
      </c>
      <c r="C108" s="7">
        <v>3</v>
      </c>
      <c r="D108" s="7" t="s">
        <v>594</v>
      </c>
      <c r="E108" s="7" t="s">
        <v>92</v>
      </c>
      <c r="F108" s="2"/>
    </row>
    <row r="109" spans="1:6" ht="14" customHeight="1">
      <c r="A109" s="8">
        <v>16</v>
      </c>
      <c r="B109" s="7" t="str">
        <f>المدخلات!$F$4</f>
        <v>4:00–5:10 م</v>
      </c>
      <c r="C109" s="7">
        <v>1</v>
      </c>
      <c r="D109" s="7" t="s">
        <v>593</v>
      </c>
      <c r="E109" s="7" t="s">
        <v>19</v>
      </c>
      <c r="F109" s="2"/>
    </row>
    <row r="110" spans="1:6" ht="14" customHeight="1">
      <c r="A110" s="8">
        <v>16</v>
      </c>
      <c r="B110" s="7" t="str">
        <f>المدخلات!$F$4</f>
        <v>4:00–5:10 م</v>
      </c>
      <c r="C110" s="7">
        <v>2</v>
      </c>
      <c r="D110" s="7" t="s">
        <v>593</v>
      </c>
      <c r="E110" s="7" t="s">
        <v>7</v>
      </c>
      <c r="F110" s="2"/>
    </row>
    <row r="111" spans="1:6" ht="14" customHeight="1">
      <c r="A111" s="8">
        <v>16</v>
      </c>
      <c r="B111" s="7" t="str">
        <f>المدخلات!$F$5</f>
        <v>5:20–6:30 م</v>
      </c>
      <c r="C111" s="7">
        <v>1</v>
      </c>
      <c r="D111" s="7" t="s">
        <v>593</v>
      </c>
      <c r="E111" s="7" t="s">
        <v>28</v>
      </c>
      <c r="F111" s="2"/>
    </row>
    <row r="112" spans="1:6" ht="14" customHeight="1">
      <c r="A112" s="8">
        <v>16</v>
      </c>
      <c r="B112" s="7" t="str">
        <f>المدخلات!$F$5</f>
        <v>5:20–6:30 م</v>
      </c>
      <c r="C112" s="7">
        <v>2</v>
      </c>
      <c r="D112" s="7" t="s">
        <v>593</v>
      </c>
      <c r="E112" s="7" t="s">
        <v>1047</v>
      </c>
      <c r="F112" s="2"/>
    </row>
    <row r="113" spans="1:6" ht="14" customHeight="1">
      <c r="A113" s="8">
        <v>16</v>
      </c>
      <c r="B113" s="7" t="str">
        <f>المدخلات!$F$4</f>
        <v>4:00–5:10 م</v>
      </c>
      <c r="C113" s="7">
        <v>3</v>
      </c>
      <c r="D113" s="7" t="s">
        <v>594</v>
      </c>
      <c r="E113" s="7" t="s">
        <v>72</v>
      </c>
      <c r="F113" s="2"/>
    </row>
    <row r="114" spans="1:6" ht="14" customHeight="1">
      <c r="A114" s="8">
        <v>16</v>
      </c>
      <c r="B114" s="7" t="str">
        <f>المدخلات!$F$5</f>
        <v>5:20–6:30 م</v>
      </c>
      <c r="C114" s="7">
        <v>3</v>
      </c>
      <c r="D114" s="7" t="s">
        <v>594</v>
      </c>
      <c r="E114" s="7" t="s">
        <v>696</v>
      </c>
      <c r="F114" s="2"/>
    </row>
    <row r="115" spans="1:6" ht="14" customHeight="1">
      <c r="A115" s="8">
        <v>16</v>
      </c>
      <c r="B115" s="7" t="str">
        <f>المدخلات!$F$6</f>
        <v>6:40–7:50 م</v>
      </c>
      <c r="C115" s="7">
        <v>3</v>
      </c>
      <c r="D115" s="7" t="s">
        <v>594</v>
      </c>
      <c r="E115" s="7" t="s">
        <v>93</v>
      </c>
      <c r="F115" s="2"/>
    </row>
    <row r="116" spans="1:6" ht="14" customHeight="1">
      <c r="A116" s="8">
        <v>17</v>
      </c>
      <c r="B116" s="7" t="str">
        <f>المدخلات!$F$4</f>
        <v>4:00–5:10 م</v>
      </c>
      <c r="C116" s="7">
        <v>1</v>
      </c>
      <c r="D116" s="7" t="s">
        <v>593</v>
      </c>
      <c r="E116" s="7" t="s">
        <v>15</v>
      </c>
      <c r="F116" s="2"/>
    </row>
    <row r="117" spans="1:6" ht="14" customHeight="1">
      <c r="A117" s="8">
        <v>17</v>
      </c>
      <c r="B117" s="7" t="str">
        <f>المدخلات!$F$4</f>
        <v>4:00–5:10 م</v>
      </c>
      <c r="C117" s="7">
        <v>2</v>
      </c>
      <c r="D117" s="7" t="s">
        <v>593</v>
      </c>
      <c r="E117" s="7" t="s">
        <v>17</v>
      </c>
      <c r="F117" s="2"/>
    </row>
    <row r="118" spans="1:6" ht="14" customHeight="1">
      <c r="A118" s="8">
        <v>17</v>
      </c>
      <c r="B118" s="7" t="str">
        <f>المدخلات!$F$5</f>
        <v>5:20–6:30 م</v>
      </c>
      <c r="C118" s="7">
        <v>1</v>
      </c>
      <c r="D118" s="7" t="s">
        <v>593</v>
      </c>
      <c r="E118" s="7" t="s">
        <v>24</v>
      </c>
      <c r="F118" s="2"/>
    </row>
    <row r="119" spans="1:6" ht="14" customHeight="1">
      <c r="A119" s="8">
        <v>17</v>
      </c>
      <c r="B119" s="7" t="str">
        <f>المدخلات!$F$5</f>
        <v>5:20–6:30 م</v>
      </c>
      <c r="C119" s="7">
        <v>2</v>
      </c>
      <c r="D119" s="7" t="s">
        <v>593</v>
      </c>
      <c r="E119" s="7" t="s">
        <v>32</v>
      </c>
      <c r="F119" s="2"/>
    </row>
    <row r="120" spans="1:6" ht="14" customHeight="1">
      <c r="A120" s="8">
        <v>17</v>
      </c>
      <c r="B120" s="7" t="str">
        <f>المدخلات!$F$4</f>
        <v>4:00–5:10 م</v>
      </c>
      <c r="C120" s="7">
        <v>3</v>
      </c>
      <c r="D120" s="7" t="s">
        <v>594</v>
      </c>
      <c r="E120" s="7" t="s">
        <v>102</v>
      </c>
      <c r="F120" s="2"/>
    </row>
    <row r="121" spans="1:6" ht="14" customHeight="1">
      <c r="A121" s="8">
        <v>17</v>
      </c>
      <c r="B121" s="7" t="str">
        <f>المدخلات!$F$5</f>
        <v>5:20–6:30 م</v>
      </c>
      <c r="C121" s="7">
        <v>3</v>
      </c>
      <c r="D121" s="7" t="s">
        <v>594</v>
      </c>
      <c r="E121" s="7" t="s">
        <v>56</v>
      </c>
      <c r="F121" s="2"/>
    </row>
    <row r="122" spans="1:6" ht="14" customHeight="1">
      <c r="A122" s="8">
        <v>17</v>
      </c>
      <c r="B122" s="7" t="str">
        <f>المدخلات!$F$6</f>
        <v>6:40–7:50 م</v>
      </c>
      <c r="C122" s="7">
        <v>3</v>
      </c>
      <c r="D122" s="7" t="s">
        <v>594</v>
      </c>
      <c r="E122" s="7" t="s">
        <v>1070</v>
      </c>
      <c r="F122" s="2"/>
    </row>
    <row r="123" spans="1:6" ht="14" customHeight="1">
      <c r="A123" s="8">
        <v>18</v>
      </c>
      <c r="B123" s="7" t="str">
        <f>المدخلات!$F$4</f>
        <v>4:00–5:10 م</v>
      </c>
      <c r="C123" s="7">
        <v>1</v>
      </c>
      <c r="D123" s="7" t="s">
        <v>593</v>
      </c>
      <c r="E123" s="7" t="s">
        <v>622</v>
      </c>
      <c r="F123" s="2"/>
    </row>
    <row r="124" spans="1:6" ht="14" customHeight="1">
      <c r="A124" s="8">
        <v>18</v>
      </c>
      <c r="B124" s="7" t="str">
        <f>المدخلات!$F$4</f>
        <v>4:00–5:10 م</v>
      </c>
      <c r="C124" s="7">
        <v>2</v>
      </c>
      <c r="D124" s="7" t="s">
        <v>593</v>
      </c>
      <c r="E124" s="7" t="s">
        <v>623</v>
      </c>
      <c r="F124" s="2"/>
    </row>
    <row r="125" spans="1:6" ht="14" customHeight="1">
      <c r="A125" s="8">
        <v>18</v>
      </c>
      <c r="B125" s="7" t="str">
        <f>المدخلات!$F$5</f>
        <v>5:20–6:30 م</v>
      </c>
      <c r="C125" s="7">
        <v>1</v>
      </c>
      <c r="D125" s="7" t="s">
        <v>593</v>
      </c>
      <c r="E125" s="7" t="s">
        <v>1035</v>
      </c>
      <c r="F125" s="2"/>
    </row>
    <row r="126" spans="1:6" ht="14" customHeight="1">
      <c r="A126" s="8">
        <v>18</v>
      </c>
      <c r="B126" s="7" t="str">
        <f>المدخلات!$F$5</f>
        <v>5:20–6:30 م</v>
      </c>
      <c r="C126" s="7">
        <v>2</v>
      </c>
      <c r="D126" s="7" t="s">
        <v>593</v>
      </c>
      <c r="E126" s="7" t="s">
        <v>621</v>
      </c>
      <c r="F126" s="2"/>
    </row>
    <row r="127" spans="1:6" ht="14" customHeight="1">
      <c r="A127" s="8">
        <v>18</v>
      </c>
      <c r="B127" s="7" t="str">
        <f>المدخلات!$F$4</f>
        <v>4:00–5:10 م</v>
      </c>
      <c r="C127" s="7">
        <v>3</v>
      </c>
      <c r="D127" s="7" t="s">
        <v>594</v>
      </c>
      <c r="E127" s="7" t="s">
        <v>91</v>
      </c>
      <c r="F127" s="2"/>
    </row>
    <row r="128" spans="1:6" ht="14" customHeight="1">
      <c r="A128" s="8">
        <v>18</v>
      </c>
      <c r="B128" s="7" t="str">
        <f>المدخلات!$F$5</f>
        <v>5:20–6:30 م</v>
      </c>
      <c r="C128" s="7">
        <v>3</v>
      </c>
      <c r="D128" s="7" t="s">
        <v>594</v>
      </c>
      <c r="E128" s="7" t="s">
        <v>96</v>
      </c>
      <c r="F128" s="2"/>
    </row>
    <row r="129" spans="1:6" ht="14" customHeight="1">
      <c r="A129" s="8">
        <v>18</v>
      </c>
      <c r="B129" s="7" t="str">
        <f>المدخلات!$F$6</f>
        <v>6:40–7:50 م</v>
      </c>
      <c r="C129" s="7">
        <v>3</v>
      </c>
      <c r="D129" s="7" t="s">
        <v>594</v>
      </c>
      <c r="E129" s="7" t="s">
        <v>625</v>
      </c>
      <c r="F129" s="2"/>
    </row>
    <row r="130" spans="1:6" ht="14" customHeight="1">
      <c r="A130" s="8">
        <v>19</v>
      </c>
      <c r="B130" s="7" t="str">
        <f>المدخلات!$F$4</f>
        <v>4:00–5:10 م</v>
      </c>
      <c r="C130" s="7">
        <v>1</v>
      </c>
      <c r="D130" s="7" t="s">
        <v>593</v>
      </c>
      <c r="E130" s="7" t="s">
        <v>18</v>
      </c>
      <c r="F130" s="2"/>
    </row>
    <row r="131" spans="1:6" ht="14" customHeight="1">
      <c r="A131" s="8">
        <v>19</v>
      </c>
      <c r="B131" s="7" t="str">
        <f>المدخلات!$F$4</f>
        <v>4:00–5:10 م</v>
      </c>
      <c r="C131" s="7">
        <v>2</v>
      </c>
      <c r="D131" s="7" t="s">
        <v>593</v>
      </c>
      <c r="E131" s="7" t="s">
        <v>30</v>
      </c>
      <c r="F131" s="2"/>
    </row>
    <row r="132" spans="1:6" ht="14" customHeight="1">
      <c r="A132" s="8">
        <v>19</v>
      </c>
      <c r="B132" s="7" t="str">
        <f>المدخلات!$F$5</f>
        <v>5:20–6:30 م</v>
      </c>
      <c r="C132" s="7">
        <v>1</v>
      </c>
      <c r="D132" s="7" t="s">
        <v>593</v>
      </c>
      <c r="E132" s="7" t="s">
        <v>13</v>
      </c>
      <c r="F132" s="2"/>
    </row>
    <row r="133" spans="1:6" ht="14" customHeight="1">
      <c r="A133" s="8">
        <v>19</v>
      </c>
      <c r="B133" s="7" t="str">
        <f>المدخلات!$F$5</f>
        <v>5:20–6:30 م</v>
      </c>
      <c r="C133" s="7">
        <v>2</v>
      </c>
      <c r="D133" s="7" t="s">
        <v>593</v>
      </c>
      <c r="E133" s="7" t="s">
        <v>21</v>
      </c>
      <c r="F133" s="2"/>
    </row>
    <row r="134" spans="1:6" ht="14" customHeight="1">
      <c r="A134" s="8">
        <v>19</v>
      </c>
      <c r="B134" s="7" t="str">
        <f>المدخلات!$F$4</f>
        <v>4:00–5:10 م</v>
      </c>
      <c r="C134" s="7">
        <v>3</v>
      </c>
      <c r="D134" s="7" t="s">
        <v>594</v>
      </c>
      <c r="E134" s="7" t="s">
        <v>635</v>
      </c>
      <c r="F134" s="2"/>
    </row>
    <row r="135" spans="1:6" ht="14" customHeight="1">
      <c r="A135" s="8">
        <v>19</v>
      </c>
      <c r="B135" s="7" t="str">
        <f>المدخلات!$F$5</f>
        <v>5:20–6:30 م</v>
      </c>
      <c r="C135" s="7">
        <v>3</v>
      </c>
      <c r="D135" s="7" t="s">
        <v>594</v>
      </c>
      <c r="E135" s="7" t="s">
        <v>67</v>
      </c>
      <c r="F135" s="2"/>
    </row>
    <row r="136" spans="1:6" ht="14" customHeight="1">
      <c r="A136" s="8">
        <v>19</v>
      </c>
      <c r="B136" s="7" t="str">
        <f>المدخلات!$F$6</f>
        <v>6:40–7:50 م</v>
      </c>
      <c r="C136" s="7">
        <v>3</v>
      </c>
      <c r="D136" s="7" t="s">
        <v>594</v>
      </c>
      <c r="E136" s="7" t="s">
        <v>636</v>
      </c>
      <c r="F136" s="2"/>
    </row>
    <row r="137" spans="1:6" ht="14" customHeight="1">
      <c r="A137" s="8">
        <v>20</v>
      </c>
      <c r="B137" s="7" t="str">
        <f>المدخلات!$F$4</f>
        <v>4:00–5:10 م</v>
      </c>
      <c r="C137" s="7">
        <v>1</v>
      </c>
      <c r="D137" s="7" t="s">
        <v>593</v>
      </c>
      <c r="E137" s="7" t="s">
        <v>23</v>
      </c>
      <c r="F137" s="2"/>
    </row>
    <row r="138" spans="1:6" ht="14" customHeight="1">
      <c r="A138" s="8">
        <v>20</v>
      </c>
      <c r="B138" s="7" t="str">
        <f>المدخلات!$F$4</f>
        <v>4:00–5:10 م</v>
      </c>
      <c r="C138" s="7">
        <v>2</v>
      </c>
      <c r="D138" s="7" t="s">
        <v>593</v>
      </c>
      <c r="E138" s="7" t="s">
        <v>647</v>
      </c>
      <c r="F138" s="2"/>
    </row>
    <row r="139" spans="1:6" ht="14" customHeight="1">
      <c r="A139" s="8">
        <v>20</v>
      </c>
      <c r="B139" s="7" t="str">
        <f>المدخلات!$F$5</f>
        <v>5:20–6:30 م</v>
      </c>
      <c r="C139" s="7">
        <v>1</v>
      </c>
      <c r="D139" s="7" t="s">
        <v>593</v>
      </c>
      <c r="E139" s="7" t="s">
        <v>8</v>
      </c>
      <c r="F139" s="2"/>
    </row>
    <row r="140" spans="1:6" ht="14" customHeight="1">
      <c r="A140" s="8">
        <v>20</v>
      </c>
      <c r="B140" s="7" t="str">
        <f>المدخلات!$F$5</f>
        <v>5:20–6:30 م</v>
      </c>
      <c r="C140" s="7">
        <v>2</v>
      </c>
      <c r="D140" s="7" t="s">
        <v>593</v>
      </c>
      <c r="E140" s="7" t="s">
        <v>34</v>
      </c>
      <c r="F140" s="2"/>
    </row>
    <row r="141" spans="1:6" ht="14" customHeight="1">
      <c r="A141" s="8">
        <v>20</v>
      </c>
      <c r="B141" s="7" t="str">
        <f>المدخلات!$F$4</f>
        <v>4:00–5:10 م</v>
      </c>
      <c r="C141" s="7">
        <v>3</v>
      </c>
      <c r="D141" s="7" t="s">
        <v>594</v>
      </c>
      <c r="E141" s="7" t="s">
        <v>64</v>
      </c>
      <c r="F141" s="2"/>
    </row>
    <row r="142" spans="1:6" ht="14" customHeight="1">
      <c r="A142" s="8">
        <v>20</v>
      </c>
      <c r="B142" s="7" t="str">
        <f>المدخلات!$F$5</f>
        <v>5:20–6:30 م</v>
      </c>
      <c r="C142" s="7">
        <v>3</v>
      </c>
      <c r="D142" s="7" t="s">
        <v>594</v>
      </c>
      <c r="E142" s="7" t="s">
        <v>103</v>
      </c>
      <c r="F142" s="2"/>
    </row>
    <row r="143" spans="1:6" ht="14" customHeight="1">
      <c r="A143" s="8">
        <v>20</v>
      </c>
      <c r="B143" s="7" t="str">
        <f>المدخلات!$F$6</f>
        <v>6:40–7:50 م</v>
      </c>
      <c r="C143" s="7">
        <v>3</v>
      </c>
      <c r="D143" s="7" t="s">
        <v>594</v>
      </c>
      <c r="E143" s="7" t="s">
        <v>721</v>
      </c>
      <c r="F143" s="2"/>
    </row>
    <row r="144" spans="1:6" ht="14" customHeight="1">
      <c r="A144" s="8">
        <v>21</v>
      </c>
      <c r="B144" s="7" t="str">
        <f>المدخلات!$F$4</f>
        <v>4:00–5:10 م</v>
      </c>
      <c r="C144" s="7">
        <v>1</v>
      </c>
      <c r="D144" s="7" t="s">
        <v>593</v>
      </c>
      <c r="E144" s="7" t="s">
        <v>16</v>
      </c>
      <c r="F144" s="2"/>
    </row>
    <row r="145" spans="1:16" ht="14" customHeight="1">
      <c r="A145" s="8">
        <v>21</v>
      </c>
      <c r="B145" s="7" t="str">
        <f>المدخلات!$F$4</f>
        <v>4:00–5:10 م</v>
      </c>
      <c r="C145" s="7">
        <v>2</v>
      </c>
      <c r="D145" s="7" t="s">
        <v>593</v>
      </c>
      <c r="E145" s="7" t="s">
        <v>26</v>
      </c>
      <c r="F145" s="2"/>
    </row>
    <row r="146" spans="1:16" ht="14" customHeight="1">
      <c r="A146" s="8">
        <v>21</v>
      </c>
      <c r="B146" s="7" t="str">
        <f>المدخلات!$F$5</f>
        <v>5:20–6:30 م</v>
      </c>
      <c r="C146" s="7">
        <v>1</v>
      </c>
      <c r="D146" s="7" t="s">
        <v>593</v>
      </c>
      <c r="E146" s="7" t="s">
        <v>1037</v>
      </c>
      <c r="F146" s="2"/>
    </row>
    <row r="147" spans="1:16" ht="14" customHeight="1">
      <c r="A147" s="8">
        <v>21</v>
      </c>
      <c r="B147" s="7" t="str">
        <f>المدخلات!$F$5</f>
        <v>5:20–6:30 م</v>
      </c>
      <c r="C147" s="7">
        <v>2</v>
      </c>
      <c r="D147" s="7" t="s">
        <v>593</v>
      </c>
      <c r="E147" s="7" t="s">
        <v>1048</v>
      </c>
      <c r="F147" s="2"/>
    </row>
    <row r="148" spans="1:16" ht="14" customHeight="1">
      <c r="A148" s="8">
        <v>21</v>
      </c>
      <c r="B148" s="7" t="str">
        <f>المدخلات!$F$4</f>
        <v>4:00–5:10 م</v>
      </c>
      <c r="C148" s="7">
        <v>3</v>
      </c>
      <c r="D148" s="7" t="s">
        <v>594</v>
      </c>
      <c r="E148" s="7" t="s">
        <v>98</v>
      </c>
      <c r="F148" s="2"/>
    </row>
    <row r="149" spans="1:16" ht="14" customHeight="1">
      <c r="A149" s="8">
        <v>21</v>
      </c>
      <c r="B149" s="7" t="str">
        <f>المدخلات!$F$5</f>
        <v>5:20–6:30 م</v>
      </c>
      <c r="C149" s="7">
        <v>3</v>
      </c>
      <c r="D149" s="7" t="s">
        <v>594</v>
      </c>
      <c r="E149" s="7" t="s">
        <v>46</v>
      </c>
      <c r="F149" s="2"/>
    </row>
    <row r="150" spans="1:16" ht="14" customHeight="1">
      <c r="A150" s="8">
        <v>21</v>
      </c>
      <c r="B150" s="7" t="str">
        <f>المدخلات!$F$6</f>
        <v>6:40–7:50 م</v>
      </c>
      <c r="C150" s="7">
        <v>3</v>
      </c>
      <c r="D150" s="7" t="s">
        <v>594</v>
      </c>
      <c r="E150" s="7" t="s">
        <v>100</v>
      </c>
      <c r="F150" s="2"/>
    </row>
    <row r="151" spans="1:16" ht="14" customHeight="1">
      <c r="A151" s="8">
        <v>22</v>
      </c>
      <c r="B151" s="7" t="str">
        <f>المدخلات!$F$4</f>
        <v>4:00–5:10 م</v>
      </c>
      <c r="C151" s="7">
        <v>1</v>
      </c>
      <c r="D151" s="7" t="s">
        <v>581</v>
      </c>
      <c r="E151" s="7" t="s">
        <v>597</v>
      </c>
      <c r="F151" s="2"/>
    </row>
    <row r="152" spans="1:16">
      <c r="A152" s="2"/>
      <c r="B152" s="2"/>
      <c r="C152" s="2"/>
      <c r="D152" s="2"/>
      <c r="E152" s="2"/>
    </row>
    <row r="153" spans="1:16">
      <c r="A153" s="2"/>
      <c r="B153" s="2"/>
      <c r="C153" s="2"/>
      <c r="D153" s="2"/>
      <c r="E153" s="2"/>
    </row>
    <row r="154" spans="1:16" ht="14.5">
      <c r="A154" s="17" t="s">
        <v>828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spans="1:16" ht="14.5">
      <c r="A155" s="6" t="s">
        <v>829</v>
      </c>
      <c r="B155" s="6">
        <v>1</v>
      </c>
      <c r="C155" s="6">
        <v>2</v>
      </c>
      <c r="D155" s="6">
        <v>3</v>
      </c>
      <c r="E155" s="6">
        <v>4</v>
      </c>
      <c r="F155" s="6">
        <v>5</v>
      </c>
      <c r="G155" s="6">
        <v>6</v>
      </c>
      <c r="H155" s="6">
        <v>7</v>
      </c>
      <c r="I155" s="6">
        <v>8</v>
      </c>
      <c r="J155" s="6">
        <v>9</v>
      </c>
      <c r="K155" s="6">
        <v>10</v>
      </c>
      <c r="L155" s="6">
        <v>11</v>
      </c>
      <c r="M155" s="6">
        <v>12</v>
      </c>
      <c r="N155" s="6">
        <v>13</v>
      </c>
      <c r="O155" s="6">
        <v>14</v>
      </c>
      <c r="P155" s="6">
        <v>15</v>
      </c>
    </row>
    <row r="156" spans="1:16" ht="14.5">
      <c r="A156" s="14">
        <v>1</v>
      </c>
      <c r="B156" s="4" t="str">
        <f>IF($A156=B$155,"",COUNTIF($E$4:$E$151,$A156&amp;" ضد "&amp;B$155)+COUNTIF($E$4:$E$151,B$155&amp;" ضد "&amp;$A156))</f>
        <v/>
      </c>
      <c r="C156" s="4">
        <f>IF($A156=C$155,"",COUNTIF($E$4:$E$151,$A156&amp;" ضد "&amp;C$155)+COUNTIF($E$4:$E$151,C$155&amp;" ضد "&amp;$A156))</f>
        <v>3</v>
      </c>
      <c r="D156" s="4">
        <f>IF($A156=D$155,"",COUNTIF($E$4:$E$151,$A156&amp;" ضد "&amp;D$155)+COUNTIF($E$4:$E$151,D$155&amp;" ضد "&amp;$A156))</f>
        <v>3</v>
      </c>
      <c r="E156" s="4">
        <f>IF($A156=E$155,"",COUNTIF($E$4:$E$151,$A156&amp;" ضد "&amp;E$155)+COUNTIF($E$4:$E$151,E$155&amp;" ضد "&amp;$A156))</f>
        <v>3</v>
      </c>
      <c r="F156" s="4">
        <f>IF($A156=F$155,"",COUNTIF($E$4:$E$151,$A156&amp;" ضد "&amp;F$155)+COUNTIF($E$4:$E$151,F$155&amp;" ضد "&amp;$A156))</f>
        <v>3</v>
      </c>
      <c r="G156" s="4">
        <f>IF($A156=G$155,"",COUNTIF($E$4:$E$151,$A156&amp;" ضد "&amp;G$155)+COUNTIF($E$4:$E$151,G$155&amp;" ضد "&amp;$A156))</f>
        <v>3</v>
      </c>
      <c r="H156" s="4">
        <f>IF($A156=H$155,"",COUNTIF($E$4:$E$151,$A156&amp;" ضد "&amp;H$155)+COUNTIF($E$4:$E$151,H$155&amp;" ضد "&amp;$A156))</f>
        <v>3</v>
      </c>
      <c r="I156" s="4">
        <f>IF($A156=I$155,"",COUNTIF($E$4:$E$151,$A156&amp;" ضد "&amp;I$155)+COUNTIF($E$4:$E$151,I$155&amp;" ضد "&amp;$A156))</f>
        <v>3</v>
      </c>
      <c r="J156" s="4">
        <f>IF($A156=J$155,"",COUNTIF($E$4:$E$151,$A156&amp;" ضد "&amp;J$155)+COUNTIF($E$4:$E$151,J$155&amp;" ضد "&amp;$A156))</f>
        <v>0</v>
      </c>
      <c r="K156" s="4">
        <f>IF($A156=K$155,"",COUNTIF($E$4:$E$151,$A156&amp;" ضد "&amp;K$155)+COUNTIF($E$4:$E$151,K$155&amp;" ضد "&amp;$A156))</f>
        <v>0</v>
      </c>
      <c r="L156" s="4">
        <f>IF($A156=L$155,"",COUNTIF($E$4:$E$151,$A156&amp;" ضد "&amp;L$155)+COUNTIF($E$4:$E$151,L$155&amp;" ضد "&amp;$A156))</f>
        <v>0</v>
      </c>
      <c r="M156" s="4">
        <f>IF($A156=M$155,"",COUNTIF($E$4:$E$151,$A156&amp;" ضد "&amp;M$155)+COUNTIF($E$4:$E$151,M$155&amp;" ضد "&amp;$A156))</f>
        <v>0</v>
      </c>
      <c r="N156" s="4">
        <f>IF($A156=N$155,"",COUNTIF($E$4:$E$151,$A156&amp;" ضد "&amp;N$155)+COUNTIF($E$4:$E$151,N$155&amp;" ضد "&amp;$A156))</f>
        <v>0</v>
      </c>
      <c r="O156" s="4">
        <f>IF($A156=O$155,"",COUNTIF($E$4:$E$151,$A156&amp;" ضد "&amp;O$155)+COUNTIF($E$4:$E$151,O$155&amp;" ضد "&amp;$A156))</f>
        <v>0</v>
      </c>
      <c r="P156" s="4">
        <f>IF($A156=P$155,"",COUNTIF($E$4:$E$151,$A156&amp;" ضد "&amp;P$155)+COUNTIF($E$4:$E$151,P$155&amp;" ضد "&amp;$A156))</f>
        <v>0</v>
      </c>
    </row>
    <row r="157" spans="1:16" ht="14.5">
      <c r="A157" s="14">
        <v>2</v>
      </c>
      <c r="B157" s="4">
        <f>IF($A157=B$155,"",COUNTIF($E$4:$E$151,$A157&amp;" ضد "&amp;B$155)+COUNTIF($E$4:$E$151,B$155&amp;" ضد "&amp;$A157))</f>
        <v>3</v>
      </c>
      <c r="C157" s="4" t="str">
        <f>IF($A157=C$155,"",COUNTIF($E$4:$E$151,$A157&amp;" ضد "&amp;C$155)+COUNTIF($E$4:$E$151,C$155&amp;" ضد "&amp;$A157))</f>
        <v/>
      </c>
      <c r="D157" s="4">
        <f>IF($A157=D$155,"",COUNTIF($E$4:$E$151,$A157&amp;" ضد "&amp;D$155)+COUNTIF($E$4:$E$151,D$155&amp;" ضد "&amp;$A157))</f>
        <v>3</v>
      </c>
      <c r="E157" s="4">
        <f>IF($A157=E$155,"",COUNTIF($E$4:$E$151,$A157&amp;" ضد "&amp;E$155)+COUNTIF($E$4:$E$151,E$155&amp;" ضد "&amp;$A157))</f>
        <v>3</v>
      </c>
      <c r="F157" s="4">
        <f>IF($A157=F$155,"",COUNTIF($E$4:$E$151,$A157&amp;" ضد "&amp;F$155)+COUNTIF($E$4:$E$151,F$155&amp;" ضد "&amp;$A157))</f>
        <v>3</v>
      </c>
      <c r="G157" s="4">
        <f>IF($A157=G$155,"",COUNTIF($E$4:$E$151,$A157&amp;" ضد "&amp;G$155)+COUNTIF($E$4:$E$151,G$155&amp;" ضد "&amp;$A157))</f>
        <v>3</v>
      </c>
      <c r="H157" s="4">
        <f>IF($A157=H$155,"",COUNTIF($E$4:$E$151,$A157&amp;" ضد "&amp;H$155)+COUNTIF($E$4:$E$151,H$155&amp;" ضد "&amp;$A157))</f>
        <v>3</v>
      </c>
      <c r="I157" s="4">
        <f>IF($A157=I$155,"",COUNTIF($E$4:$E$151,$A157&amp;" ضد "&amp;I$155)+COUNTIF($E$4:$E$151,I$155&amp;" ضد "&amp;$A157))</f>
        <v>3</v>
      </c>
      <c r="J157" s="4">
        <f>IF($A157=J$155,"",COUNTIF($E$4:$E$151,$A157&amp;" ضد "&amp;J$155)+COUNTIF($E$4:$E$151,J$155&amp;" ضد "&amp;$A157))</f>
        <v>0</v>
      </c>
      <c r="K157" s="4">
        <f>IF($A157=K$155,"",COUNTIF($E$4:$E$151,$A157&amp;" ضد "&amp;K$155)+COUNTIF($E$4:$E$151,K$155&amp;" ضد "&amp;$A157))</f>
        <v>0</v>
      </c>
      <c r="L157" s="4">
        <f>IF($A157=L$155,"",COUNTIF($E$4:$E$151,$A157&amp;" ضد "&amp;L$155)+COUNTIF($E$4:$E$151,L$155&amp;" ضد "&amp;$A157))</f>
        <v>0</v>
      </c>
      <c r="M157" s="4">
        <f>IF($A157=M$155,"",COUNTIF($E$4:$E$151,$A157&amp;" ضد "&amp;M$155)+COUNTIF($E$4:$E$151,M$155&amp;" ضد "&amp;$A157))</f>
        <v>0</v>
      </c>
      <c r="N157" s="4">
        <f>IF($A157=N$155,"",COUNTIF($E$4:$E$151,$A157&amp;" ضد "&amp;N$155)+COUNTIF($E$4:$E$151,N$155&amp;" ضد "&amp;$A157))</f>
        <v>0</v>
      </c>
      <c r="O157" s="4">
        <f>IF($A157=O$155,"",COUNTIF($E$4:$E$151,$A157&amp;" ضد "&amp;O$155)+COUNTIF($E$4:$E$151,O$155&amp;" ضد "&amp;$A157))</f>
        <v>0</v>
      </c>
      <c r="P157" s="4">
        <f>IF($A157=P$155,"",COUNTIF($E$4:$E$151,$A157&amp;" ضد "&amp;P$155)+COUNTIF($E$4:$E$151,P$155&amp;" ضد "&amp;$A157))</f>
        <v>0</v>
      </c>
    </row>
    <row r="158" spans="1:16" ht="14.5">
      <c r="A158" s="14">
        <v>3</v>
      </c>
      <c r="B158" s="4">
        <f>IF($A158=B$155,"",COUNTIF($E$4:$E$151,$A158&amp;" ضد "&amp;B$155)+COUNTIF($E$4:$E$151,B$155&amp;" ضد "&amp;$A158))</f>
        <v>3</v>
      </c>
      <c r="C158" s="4">
        <f>IF($A158=C$155,"",COUNTIF($E$4:$E$151,$A158&amp;" ضد "&amp;C$155)+COUNTIF($E$4:$E$151,C$155&amp;" ضد "&amp;$A158))</f>
        <v>3</v>
      </c>
      <c r="D158" s="4" t="str">
        <f>IF($A158=D$155,"",COUNTIF($E$4:$E$151,$A158&amp;" ضد "&amp;D$155)+COUNTIF($E$4:$E$151,D$155&amp;" ضد "&amp;$A158))</f>
        <v/>
      </c>
      <c r="E158" s="4">
        <f>IF($A158=E$155,"",COUNTIF($E$4:$E$151,$A158&amp;" ضد "&amp;E$155)+COUNTIF($E$4:$E$151,E$155&amp;" ضد "&amp;$A158))</f>
        <v>3</v>
      </c>
      <c r="F158" s="4">
        <f>IF($A158=F$155,"",COUNTIF($E$4:$E$151,$A158&amp;" ضد "&amp;F$155)+COUNTIF($E$4:$E$151,F$155&amp;" ضد "&amp;$A158))</f>
        <v>3</v>
      </c>
      <c r="G158" s="4">
        <f>IF($A158=G$155,"",COUNTIF($E$4:$E$151,$A158&amp;" ضد "&amp;G$155)+COUNTIF($E$4:$E$151,G$155&amp;" ضد "&amp;$A158))</f>
        <v>3</v>
      </c>
      <c r="H158" s="4">
        <f>IF($A158=H$155,"",COUNTIF($E$4:$E$151,$A158&amp;" ضد "&amp;H$155)+COUNTIF($E$4:$E$151,H$155&amp;" ضد "&amp;$A158))</f>
        <v>3</v>
      </c>
      <c r="I158" s="4">
        <f>IF($A158=I$155,"",COUNTIF($E$4:$E$151,$A158&amp;" ضد "&amp;I$155)+COUNTIF($E$4:$E$151,I$155&amp;" ضد "&amp;$A158))</f>
        <v>3</v>
      </c>
      <c r="J158" s="4">
        <f>IF($A158=J$155,"",COUNTIF($E$4:$E$151,$A158&amp;" ضد "&amp;J$155)+COUNTIF($E$4:$E$151,J$155&amp;" ضد "&amp;$A158))</f>
        <v>0</v>
      </c>
      <c r="K158" s="4">
        <f>IF($A158=K$155,"",COUNTIF($E$4:$E$151,$A158&amp;" ضد "&amp;K$155)+COUNTIF($E$4:$E$151,K$155&amp;" ضد "&amp;$A158))</f>
        <v>0</v>
      </c>
      <c r="L158" s="4">
        <f>IF($A158=L$155,"",COUNTIF($E$4:$E$151,$A158&amp;" ضد "&amp;L$155)+COUNTIF($E$4:$E$151,L$155&amp;" ضد "&amp;$A158))</f>
        <v>0</v>
      </c>
      <c r="M158" s="4">
        <f>IF($A158=M$155,"",COUNTIF($E$4:$E$151,$A158&amp;" ضد "&amp;M$155)+COUNTIF($E$4:$E$151,M$155&amp;" ضد "&amp;$A158))</f>
        <v>0</v>
      </c>
      <c r="N158" s="4">
        <f>IF($A158=N$155,"",COUNTIF($E$4:$E$151,$A158&amp;" ضد "&amp;N$155)+COUNTIF($E$4:$E$151,N$155&amp;" ضد "&amp;$A158))</f>
        <v>0</v>
      </c>
      <c r="O158" s="4">
        <f>IF($A158=O$155,"",COUNTIF($E$4:$E$151,$A158&amp;" ضد "&amp;O$155)+COUNTIF($E$4:$E$151,O$155&amp;" ضد "&amp;$A158))</f>
        <v>0</v>
      </c>
      <c r="P158" s="4">
        <f>IF($A158=P$155,"",COUNTIF($E$4:$E$151,$A158&amp;" ضد "&amp;P$155)+COUNTIF($E$4:$E$151,P$155&amp;" ضد "&amp;$A158))</f>
        <v>0</v>
      </c>
    </row>
    <row r="159" spans="1:16" ht="14.5">
      <c r="A159" s="14">
        <v>4</v>
      </c>
      <c r="B159" s="4">
        <f>IF($A159=B$155,"",COUNTIF($E$4:$E$151,$A159&amp;" ضد "&amp;B$155)+COUNTIF($E$4:$E$151,B$155&amp;" ضد "&amp;$A159))</f>
        <v>3</v>
      </c>
      <c r="C159" s="4">
        <f>IF($A159=C$155,"",COUNTIF($E$4:$E$151,$A159&amp;" ضد "&amp;C$155)+COUNTIF($E$4:$E$151,C$155&amp;" ضد "&amp;$A159))</f>
        <v>3</v>
      </c>
      <c r="D159" s="4">
        <f>IF($A159=D$155,"",COUNTIF($E$4:$E$151,$A159&amp;" ضد "&amp;D$155)+COUNTIF($E$4:$E$151,D$155&amp;" ضد "&amp;$A159))</f>
        <v>3</v>
      </c>
      <c r="E159" s="4" t="str">
        <f>IF($A159=E$155,"",COUNTIF($E$4:$E$151,$A159&amp;" ضد "&amp;E$155)+COUNTIF($E$4:$E$151,E$155&amp;" ضد "&amp;$A159))</f>
        <v/>
      </c>
      <c r="F159" s="4">
        <f>IF($A159=F$155,"",COUNTIF($E$4:$E$151,$A159&amp;" ضد "&amp;F$155)+COUNTIF($E$4:$E$151,F$155&amp;" ضد "&amp;$A159))</f>
        <v>3</v>
      </c>
      <c r="G159" s="4">
        <f>IF($A159=G$155,"",COUNTIF($E$4:$E$151,$A159&amp;" ضد "&amp;G$155)+COUNTIF($E$4:$E$151,G$155&amp;" ضد "&amp;$A159))</f>
        <v>3</v>
      </c>
      <c r="H159" s="4">
        <f>IF($A159=H$155,"",COUNTIF($E$4:$E$151,$A159&amp;" ضد "&amp;H$155)+COUNTIF($E$4:$E$151,H$155&amp;" ضد "&amp;$A159))</f>
        <v>3</v>
      </c>
      <c r="I159" s="4">
        <f>IF($A159=I$155,"",COUNTIF($E$4:$E$151,$A159&amp;" ضد "&amp;I$155)+COUNTIF($E$4:$E$151,I$155&amp;" ضد "&amp;$A159))</f>
        <v>3</v>
      </c>
      <c r="J159" s="4">
        <f>IF($A159=J$155,"",COUNTIF($E$4:$E$151,$A159&amp;" ضد "&amp;J$155)+COUNTIF($E$4:$E$151,J$155&amp;" ضد "&amp;$A159))</f>
        <v>0</v>
      </c>
      <c r="K159" s="4">
        <f>IF($A159=K$155,"",COUNTIF($E$4:$E$151,$A159&amp;" ضد "&amp;K$155)+COUNTIF($E$4:$E$151,K$155&amp;" ضد "&amp;$A159))</f>
        <v>0</v>
      </c>
      <c r="L159" s="4">
        <f>IF($A159=L$155,"",COUNTIF($E$4:$E$151,$A159&amp;" ضد "&amp;L$155)+COUNTIF($E$4:$E$151,L$155&amp;" ضد "&amp;$A159))</f>
        <v>0</v>
      </c>
      <c r="M159" s="4">
        <f>IF($A159=M$155,"",COUNTIF($E$4:$E$151,$A159&amp;" ضد "&amp;M$155)+COUNTIF($E$4:$E$151,M$155&amp;" ضد "&amp;$A159))</f>
        <v>0</v>
      </c>
      <c r="N159" s="4">
        <f>IF($A159=N$155,"",COUNTIF($E$4:$E$151,$A159&amp;" ضد "&amp;N$155)+COUNTIF($E$4:$E$151,N$155&amp;" ضد "&amp;$A159))</f>
        <v>0</v>
      </c>
      <c r="O159" s="4">
        <f>IF($A159=O$155,"",COUNTIF($E$4:$E$151,$A159&amp;" ضد "&amp;O$155)+COUNTIF($E$4:$E$151,O$155&amp;" ضد "&amp;$A159))</f>
        <v>0</v>
      </c>
      <c r="P159" s="4">
        <f>IF($A159=P$155,"",COUNTIF($E$4:$E$151,$A159&amp;" ضد "&amp;P$155)+COUNTIF($E$4:$E$151,P$155&amp;" ضد "&amp;$A159))</f>
        <v>0</v>
      </c>
    </row>
    <row r="160" spans="1:16" ht="14.5">
      <c r="A160" s="14">
        <v>5</v>
      </c>
      <c r="B160" s="4">
        <f>IF($A160=B$155,"",COUNTIF($E$4:$E$151,$A160&amp;" ضد "&amp;B$155)+COUNTIF($E$4:$E$151,B$155&amp;" ضد "&amp;$A160))</f>
        <v>3</v>
      </c>
      <c r="C160" s="4">
        <f>IF($A160=C$155,"",COUNTIF($E$4:$E$151,$A160&amp;" ضد "&amp;C$155)+COUNTIF($E$4:$E$151,C$155&amp;" ضد "&amp;$A160))</f>
        <v>3</v>
      </c>
      <c r="D160" s="4">
        <f>IF($A160=D$155,"",COUNTIF($E$4:$E$151,$A160&amp;" ضد "&amp;D$155)+COUNTIF($E$4:$E$151,D$155&amp;" ضد "&amp;$A160))</f>
        <v>3</v>
      </c>
      <c r="E160" s="4">
        <f>IF($A160=E$155,"",COUNTIF($E$4:$E$151,$A160&amp;" ضد "&amp;E$155)+COUNTIF($E$4:$E$151,E$155&amp;" ضد "&amp;$A160))</f>
        <v>3</v>
      </c>
      <c r="F160" s="4" t="str">
        <f>IF($A160=F$155,"",COUNTIF($E$4:$E$151,$A160&amp;" ضد "&amp;F$155)+COUNTIF($E$4:$E$151,F$155&amp;" ضد "&amp;$A160))</f>
        <v/>
      </c>
      <c r="G160" s="4">
        <f>IF($A160=G$155,"",COUNTIF($E$4:$E$151,$A160&amp;" ضد "&amp;G$155)+COUNTIF($E$4:$E$151,G$155&amp;" ضد "&amp;$A160))</f>
        <v>3</v>
      </c>
      <c r="H160" s="4">
        <f>IF($A160=H$155,"",COUNTIF($E$4:$E$151,$A160&amp;" ضد "&amp;H$155)+COUNTIF($E$4:$E$151,H$155&amp;" ضد "&amp;$A160))</f>
        <v>3</v>
      </c>
      <c r="I160" s="4">
        <f>IF($A160=I$155,"",COUNTIF($E$4:$E$151,$A160&amp;" ضد "&amp;I$155)+COUNTIF($E$4:$E$151,I$155&amp;" ضد "&amp;$A160))</f>
        <v>3</v>
      </c>
      <c r="J160" s="4">
        <f>IF($A160=J$155,"",COUNTIF($E$4:$E$151,$A160&amp;" ضد "&amp;J$155)+COUNTIF($E$4:$E$151,J$155&amp;" ضد "&amp;$A160))</f>
        <v>0</v>
      </c>
      <c r="K160" s="4">
        <f>IF($A160=K$155,"",COUNTIF($E$4:$E$151,$A160&amp;" ضد "&amp;K$155)+COUNTIF($E$4:$E$151,K$155&amp;" ضد "&amp;$A160))</f>
        <v>0</v>
      </c>
      <c r="L160" s="4">
        <f>IF($A160=L$155,"",COUNTIF($E$4:$E$151,$A160&amp;" ضد "&amp;L$155)+COUNTIF($E$4:$E$151,L$155&amp;" ضد "&amp;$A160))</f>
        <v>0</v>
      </c>
      <c r="M160" s="4">
        <f>IF($A160=M$155,"",COUNTIF($E$4:$E$151,$A160&amp;" ضد "&amp;M$155)+COUNTIF($E$4:$E$151,M$155&amp;" ضد "&amp;$A160))</f>
        <v>0</v>
      </c>
      <c r="N160" s="4">
        <f>IF($A160=N$155,"",COUNTIF($E$4:$E$151,$A160&amp;" ضد "&amp;N$155)+COUNTIF($E$4:$E$151,N$155&amp;" ضد "&amp;$A160))</f>
        <v>0</v>
      </c>
      <c r="O160" s="4">
        <f>IF($A160=O$155,"",COUNTIF($E$4:$E$151,$A160&amp;" ضد "&amp;O$155)+COUNTIF($E$4:$E$151,O$155&amp;" ضد "&amp;$A160))</f>
        <v>0</v>
      </c>
      <c r="P160" s="4">
        <f>IF($A160=P$155,"",COUNTIF($E$4:$E$151,$A160&amp;" ضد "&amp;P$155)+COUNTIF($E$4:$E$151,P$155&amp;" ضد "&amp;$A160))</f>
        <v>0</v>
      </c>
    </row>
    <row r="161" spans="1:16" ht="14.5">
      <c r="A161" s="14">
        <v>6</v>
      </c>
      <c r="B161" s="4">
        <f>IF($A161=B$155,"",COUNTIF($E$4:$E$151,$A161&amp;" ضد "&amp;B$155)+COUNTIF($E$4:$E$151,B$155&amp;" ضد "&amp;$A161))</f>
        <v>3</v>
      </c>
      <c r="C161" s="4">
        <f>IF($A161=C$155,"",COUNTIF($E$4:$E$151,$A161&amp;" ضد "&amp;C$155)+COUNTIF($E$4:$E$151,C$155&amp;" ضد "&amp;$A161))</f>
        <v>3</v>
      </c>
      <c r="D161" s="4">
        <f>IF($A161=D$155,"",COUNTIF($E$4:$E$151,$A161&amp;" ضد "&amp;D$155)+COUNTIF($E$4:$E$151,D$155&amp;" ضد "&amp;$A161))</f>
        <v>3</v>
      </c>
      <c r="E161" s="4">
        <f>IF($A161=E$155,"",COUNTIF($E$4:$E$151,$A161&amp;" ضد "&amp;E$155)+COUNTIF($E$4:$E$151,E$155&amp;" ضد "&amp;$A161))</f>
        <v>3</v>
      </c>
      <c r="F161" s="4">
        <f>IF($A161=F$155,"",COUNTIF($E$4:$E$151,$A161&amp;" ضد "&amp;F$155)+COUNTIF($E$4:$E$151,F$155&amp;" ضد "&amp;$A161))</f>
        <v>3</v>
      </c>
      <c r="G161" s="4" t="str">
        <f>IF($A161=G$155,"",COUNTIF($E$4:$E$151,$A161&amp;" ضد "&amp;G$155)+COUNTIF($E$4:$E$151,G$155&amp;" ضد "&amp;$A161))</f>
        <v/>
      </c>
      <c r="H161" s="4">
        <f>IF($A161=H$155,"",COUNTIF($E$4:$E$151,$A161&amp;" ضد "&amp;H$155)+COUNTIF($E$4:$E$151,H$155&amp;" ضد "&amp;$A161))</f>
        <v>3</v>
      </c>
      <c r="I161" s="4">
        <f>IF($A161=I$155,"",COUNTIF($E$4:$E$151,$A161&amp;" ضد "&amp;I$155)+COUNTIF($E$4:$E$151,I$155&amp;" ضد "&amp;$A161))</f>
        <v>3</v>
      </c>
      <c r="J161" s="4">
        <f>IF($A161=J$155,"",COUNTIF($E$4:$E$151,$A161&amp;" ضد "&amp;J$155)+COUNTIF($E$4:$E$151,J$155&amp;" ضد "&amp;$A161))</f>
        <v>0</v>
      </c>
      <c r="K161" s="4">
        <f>IF($A161=K$155,"",COUNTIF($E$4:$E$151,$A161&amp;" ضد "&amp;K$155)+COUNTIF($E$4:$E$151,K$155&amp;" ضد "&amp;$A161))</f>
        <v>0</v>
      </c>
      <c r="L161" s="4">
        <f>IF($A161=L$155,"",COUNTIF($E$4:$E$151,$A161&amp;" ضد "&amp;L$155)+COUNTIF($E$4:$E$151,L$155&amp;" ضد "&amp;$A161))</f>
        <v>0</v>
      </c>
      <c r="M161" s="4">
        <f>IF($A161=M$155,"",COUNTIF($E$4:$E$151,$A161&amp;" ضد "&amp;M$155)+COUNTIF($E$4:$E$151,M$155&amp;" ضد "&amp;$A161))</f>
        <v>0</v>
      </c>
      <c r="N161" s="4">
        <f>IF($A161=N$155,"",COUNTIF($E$4:$E$151,$A161&amp;" ضد "&amp;N$155)+COUNTIF($E$4:$E$151,N$155&amp;" ضد "&amp;$A161))</f>
        <v>0</v>
      </c>
      <c r="O161" s="4">
        <f>IF($A161=O$155,"",COUNTIF($E$4:$E$151,$A161&amp;" ضد "&amp;O$155)+COUNTIF($E$4:$E$151,O$155&amp;" ضد "&amp;$A161))</f>
        <v>0</v>
      </c>
      <c r="P161" s="4">
        <f>IF($A161=P$155,"",COUNTIF($E$4:$E$151,$A161&amp;" ضد "&amp;P$155)+COUNTIF($E$4:$E$151,P$155&amp;" ضد "&amp;$A161))</f>
        <v>0</v>
      </c>
    </row>
    <row r="162" spans="1:16" ht="14.5">
      <c r="A162" s="14">
        <v>7</v>
      </c>
      <c r="B162" s="4">
        <f>IF($A162=B$155,"",COUNTIF($E$4:$E$151,$A162&amp;" ضد "&amp;B$155)+COUNTIF($E$4:$E$151,B$155&amp;" ضد "&amp;$A162))</f>
        <v>3</v>
      </c>
      <c r="C162" s="4">
        <f>IF($A162=C$155,"",COUNTIF($E$4:$E$151,$A162&amp;" ضد "&amp;C$155)+COUNTIF($E$4:$E$151,C$155&amp;" ضد "&amp;$A162))</f>
        <v>3</v>
      </c>
      <c r="D162" s="4">
        <f>IF($A162=D$155,"",COUNTIF($E$4:$E$151,$A162&amp;" ضد "&amp;D$155)+COUNTIF($E$4:$E$151,D$155&amp;" ضد "&amp;$A162))</f>
        <v>3</v>
      </c>
      <c r="E162" s="4">
        <f>IF($A162=E$155,"",COUNTIF($E$4:$E$151,$A162&amp;" ضد "&amp;E$155)+COUNTIF($E$4:$E$151,E$155&amp;" ضد "&amp;$A162))</f>
        <v>3</v>
      </c>
      <c r="F162" s="4">
        <f>IF($A162=F$155,"",COUNTIF($E$4:$E$151,$A162&amp;" ضد "&amp;F$155)+COUNTIF($E$4:$E$151,F$155&amp;" ضد "&amp;$A162))</f>
        <v>3</v>
      </c>
      <c r="G162" s="4">
        <f>IF($A162=G$155,"",COUNTIF($E$4:$E$151,$A162&amp;" ضد "&amp;G$155)+COUNTIF($E$4:$E$151,G$155&amp;" ضد "&amp;$A162))</f>
        <v>3</v>
      </c>
      <c r="H162" s="4" t="str">
        <f>IF($A162=H$155,"",COUNTIF($E$4:$E$151,$A162&amp;" ضد "&amp;H$155)+COUNTIF($E$4:$E$151,H$155&amp;" ضد "&amp;$A162))</f>
        <v/>
      </c>
      <c r="I162" s="4">
        <f>IF($A162=I$155,"",COUNTIF($E$4:$E$151,$A162&amp;" ضد "&amp;I$155)+COUNTIF($E$4:$E$151,I$155&amp;" ضد "&amp;$A162))</f>
        <v>3</v>
      </c>
      <c r="J162" s="4">
        <f>IF($A162=J$155,"",COUNTIF($E$4:$E$151,$A162&amp;" ضد "&amp;J$155)+COUNTIF($E$4:$E$151,J$155&amp;" ضد "&amp;$A162))</f>
        <v>0</v>
      </c>
      <c r="K162" s="4">
        <f>IF($A162=K$155,"",COUNTIF($E$4:$E$151,$A162&amp;" ضد "&amp;K$155)+COUNTIF($E$4:$E$151,K$155&amp;" ضد "&amp;$A162))</f>
        <v>0</v>
      </c>
      <c r="L162" s="4">
        <f>IF($A162=L$155,"",COUNTIF($E$4:$E$151,$A162&amp;" ضد "&amp;L$155)+COUNTIF($E$4:$E$151,L$155&amp;" ضد "&amp;$A162))</f>
        <v>0</v>
      </c>
      <c r="M162" s="4">
        <f>IF($A162=M$155,"",COUNTIF($E$4:$E$151,$A162&amp;" ضد "&amp;M$155)+COUNTIF($E$4:$E$151,M$155&amp;" ضد "&amp;$A162))</f>
        <v>0</v>
      </c>
      <c r="N162" s="4">
        <f>IF($A162=N$155,"",COUNTIF($E$4:$E$151,$A162&amp;" ضد "&amp;N$155)+COUNTIF($E$4:$E$151,N$155&amp;" ضد "&amp;$A162))</f>
        <v>0</v>
      </c>
      <c r="O162" s="4">
        <f>IF($A162=O$155,"",COUNTIF($E$4:$E$151,$A162&amp;" ضد "&amp;O$155)+COUNTIF($E$4:$E$151,O$155&amp;" ضد "&amp;$A162))</f>
        <v>0</v>
      </c>
      <c r="P162" s="4">
        <f>IF($A162=P$155,"",COUNTIF($E$4:$E$151,$A162&amp;" ضد "&amp;P$155)+COUNTIF($E$4:$E$151,P$155&amp;" ضد "&amp;$A162))</f>
        <v>0</v>
      </c>
    </row>
    <row r="163" spans="1:16" ht="14.5">
      <c r="A163" s="14">
        <v>8</v>
      </c>
      <c r="B163" s="4">
        <f>IF($A163=B$155,"",COUNTIF($E$4:$E$151,$A163&amp;" ضد "&amp;B$155)+COUNTIF($E$4:$E$151,B$155&amp;" ضد "&amp;$A163))</f>
        <v>3</v>
      </c>
      <c r="C163" s="4">
        <f>IF($A163=C$155,"",COUNTIF($E$4:$E$151,$A163&amp;" ضد "&amp;C$155)+COUNTIF($E$4:$E$151,C$155&amp;" ضد "&amp;$A163))</f>
        <v>3</v>
      </c>
      <c r="D163" s="4">
        <f>IF($A163=D$155,"",COUNTIF($E$4:$E$151,$A163&amp;" ضد "&amp;D$155)+COUNTIF($E$4:$E$151,D$155&amp;" ضد "&amp;$A163))</f>
        <v>3</v>
      </c>
      <c r="E163" s="4">
        <f>IF($A163=E$155,"",COUNTIF($E$4:$E$151,$A163&amp;" ضد "&amp;E$155)+COUNTIF($E$4:$E$151,E$155&amp;" ضد "&amp;$A163))</f>
        <v>3</v>
      </c>
      <c r="F163" s="4">
        <f>IF($A163=F$155,"",COUNTIF($E$4:$E$151,$A163&amp;" ضد "&amp;F$155)+COUNTIF($E$4:$E$151,F$155&amp;" ضد "&amp;$A163))</f>
        <v>3</v>
      </c>
      <c r="G163" s="4">
        <f>IF($A163=G$155,"",COUNTIF($E$4:$E$151,$A163&amp;" ضد "&amp;G$155)+COUNTIF($E$4:$E$151,G$155&amp;" ضد "&amp;$A163))</f>
        <v>3</v>
      </c>
      <c r="H163" s="4">
        <f>IF($A163=H$155,"",COUNTIF($E$4:$E$151,$A163&amp;" ضد "&amp;H$155)+COUNTIF($E$4:$E$151,H$155&amp;" ضد "&amp;$A163))</f>
        <v>3</v>
      </c>
      <c r="I163" s="4" t="str">
        <f>IF($A163=I$155,"",COUNTIF($E$4:$E$151,$A163&amp;" ضد "&amp;I$155)+COUNTIF($E$4:$E$151,I$155&amp;" ضد "&amp;$A163))</f>
        <v/>
      </c>
      <c r="J163" s="4">
        <f>IF($A163=J$155,"",COUNTIF($E$4:$E$151,$A163&amp;" ضد "&amp;J$155)+COUNTIF($E$4:$E$151,J$155&amp;" ضد "&amp;$A163))</f>
        <v>0</v>
      </c>
      <c r="K163" s="4">
        <f>IF($A163=K$155,"",COUNTIF($E$4:$E$151,$A163&amp;" ضد "&amp;K$155)+COUNTIF($E$4:$E$151,K$155&amp;" ضد "&amp;$A163))</f>
        <v>0</v>
      </c>
      <c r="L163" s="4">
        <f>IF($A163=L$155,"",COUNTIF($E$4:$E$151,$A163&amp;" ضد "&amp;L$155)+COUNTIF($E$4:$E$151,L$155&amp;" ضد "&amp;$A163))</f>
        <v>0</v>
      </c>
      <c r="M163" s="4">
        <f>IF($A163=M$155,"",COUNTIF($E$4:$E$151,$A163&amp;" ضد "&amp;M$155)+COUNTIF($E$4:$E$151,M$155&amp;" ضد "&amp;$A163))</f>
        <v>0</v>
      </c>
      <c r="N163" s="4">
        <f>IF($A163=N$155,"",COUNTIF($E$4:$E$151,$A163&amp;" ضد "&amp;N$155)+COUNTIF($E$4:$E$151,N$155&amp;" ضد "&amp;$A163))</f>
        <v>0</v>
      </c>
      <c r="O163" s="4">
        <f>IF($A163=O$155,"",COUNTIF($E$4:$E$151,$A163&amp;" ضد "&amp;O$155)+COUNTIF($E$4:$E$151,O$155&amp;" ضد "&amp;$A163))</f>
        <v>0</v>
      </c>
      <c r="P163" s="4">
        <f>IF($A163=P$155,"",COUNTIF($E$4:$E$151,$A163&amp;" ضد "&amp;P$155)+COUNTIF($E$4:$E$151,P$155&amp;" ضد "&amp;$A163))</f>
        <v>0</v>
      </c>
    </row>
    <row r="164" spans="1:16" ht="14.5">
      <c r="A164" s="14">
        <v>9</v>
      </c>
      <c r="B164" s="4">
        <f>IF($A164=B$155,"",COUNTIF($E$4:$E$151,$A164&amp;" ضد "&amp;B$155)+COUNTIF($E$4:$E$151,B$155&amp;" ضد "&amp;$A164))</f>
        <v>0</v>
      </c>
      <c r="C164" s="4">
        <f>IF($A164=C$155,"",COUNTIF($E$4:$E$151,$A164&amp;" ضد "&amp;C$155)+COUNTIF($E$4:$E$151,C$155&amp;" ضد "&amp;$A164))</f>
        <v>0</v>
      </c>
      <c r="D164" s="4">
        <f>IF($A164=D$155,"",COUNTIF($E$4:$E$151,$A164&amp;" ضد "&amp;D$155)+COUNTIF($E$4:$E$151,D$155&amp;" ضد "&amp;$A164))</f>
        <v>0</v>
      </c>
      <c r="E164" s="4">
        <f>IF($A164=E$155,"",COUNTIF($E$4:$E$151,$A164&amp;" ضد "&amp;E$155)+COUNTIF($E$4:$E$151,E$155&amp;" ضد "&amp;$A164))</f>
        <v>0</v>
      </c>
      <c r="F164" s="4">
        <f>IF($A164=F$155,"",COUNTIF($E$4:$E$151,$A164&amp;" ضد "&amp;F$155)+COUNTIF($E$4:$E$151,F$155&amp;" ضد "&amp;$A164))</f>
        <v>0</v>
      </c>
      <c r="G164" s="4">
        <f>IF($A164=G$155,"",COUNTIF($E$4:$E$151,$A164&amp;" ضد "&amp;G$155)+COUNTIF($E$4:$E$151,G$155&amp;" ضد "&amp;$A164))</f>
        <v>0</v>
      </c>
      <c r="H164" s="4">
        <f>IF($A164=H$155,"",COUNTIF($E$4:$E$151,$A164&amp;" ضد "&amp;H$155)+COUNTIF($E$4:$E$151,H$155&amp;" ضد "&amp;$A164))</f>
        <v>0</v>
      </c>
      <c r="I164" s="4">
        <f>IF($A164=I$155,"",COUNTIF($E$4:$E$151,$A164&amp;" ضد "&amp;I$155)+COUNTIF($E$4:$E$151,I$155&amp;" ضد "&amp;$A164))</f>
        <v>0</v>
      </c>
      <c r="J164" s="4" t="str">
        <f>IF($A164=J$155,"",COUNTIF($E$4:$E$151,$A164&amp;" ضد "&amp;J$155)+COUNTIF($E$4:$E$151,J$155&amp;" ضد "&amp;$A164))</f>
        <v/>
      </c>
      <c r="K164" s="4">
        <f>IF($A164=K$155,"",COUNTIF($E$4:$E$151,$A164&amp;" ضد "&amp;K$155)+COUNTIF($E$4:$E$151,K$155&amp;" ضد "&amp;$A164))</f>
        <v>3</v>
      </c>
      <c r="L164" s="4">
        <f>IF($A164=L$155,"",COUNTIF($E$4:$E$151,$A164&amp;" ضد "&amp;L$155)+COUNTIF($E$4:$E$151,L$155&amp;" ضد "&amp;$A164))</f>
        <v>3</v>
      </c>
      <c r="M164" s="4">
        <f>IF($A164=M$155,"",COUNTIF($E$4:$E$151,$A164&amp;" ضد "&amp;M$155)+COUNTIF($E$4:$E$151,M$155&amp;" ضد "&amp;$A164))</f>
        <v>3</v>
      </c>
      <c r="N164" s="4">
        <f>IF($A164=N$155,"",COUNTIF($E$4:$E$151,$A164&amp;" ضد "&amp;N$155)+COUNTIF($E$4:$E$151,N$155&amp;" ضد "&amp;$A164))</f>
        <v>3</v>
      </c>
      <c r="O164" s="4">
        <f>IF($A164=O$155,"",COUNTIF($E$4:$E$151,$A164&amp;" ضد "&amp;O$155)+COUNTIF($E$4:$E$151,O$155&amp;" ضد "&amp;$A164))</f>
        <v>3</v>
      </c>
      <c r="P164" s="4">
        <f>IF($A164=P$155,"",COUNTIF($E$4:$E$151,$A164&amp;" ضد "&amp;P$155)+COUNTIF($E$4:$E$151,P$155&amp;" ضد "&amp;$A164))</f>
        <v>3</v>
      </c>
    </row>
    <row r="165" spans="1:16" ht="14.5">
      <c r="A165" s="14">
        <v>10</v>
      </c>
      <c r="B165" s="4">
        <f>IF($A165=B$155,"",COUNTIF($E$4:$E$151,$A165&amp;" ضد "&amp;B$155)+COUNTIF($E$4:$E$151,B$155&amp;" ضد "&amp;$A165))</f>
        <v>0</v>
      </c>
      <c r="C165" s="4">
        <f>IF($A165=C$155,"",COUNTIF($E$4:$E$151,$A165&amp;" ضد "&amp;C$155)+COUNTIF($E$4:$E$151,C$155&amp;" ضد "&amp;$A165))</f>
        <v>0</v>
      </c>
      <c r="D165" s="4">
        <f>IF($A165=D$155,"",COUNTIF($E$4:$E$151,$A165&amp;" ضد "&amp;D$155)+COUNTIF($E$4:$E$151,D$155&amp;" ضد "&amp;$A165))</f>
        <v>0</v>
      </c>
      <c r="E165" s="4">
        <f>IF($A165=E$155,"",COUNTIF($E$4:$E$151,$A165&amp;" ضد "&amp;E$155)+COUNTIF($E$4:$E$151,E$155&amp;" ضد "&amp;$A165))</f>
        <v>0</v>
      </c>
      <c r="F165" s="4">
        <f>IF($A165=F$155,"",COUNTIF($E$4:$E$151,$A165&amp;" ضد "&amp;F$155)+COUNTIF($E$4:$E$151,F$155&amp;" ضد "&amp;$A165))</f>
        <v>0</v>
      </c>
      <c r="G165" s="4">
        <f>IF($A165=G$155,"",COUNTIF($E$4:$E$151,$A165&amp;" ضد "&amp;G$155)+COUNTIF($E$4:$E$151,G$155&amp;" ضد "&amp;$A165))</f>
        <v>0</v>
      </c>
      <c r="H165" s="4">
        <f>IF($A165=H$155,"",COUNTIF($E$4:$E$151,$A165&amp;" ضد "&amp;H$155)+COUNTIF($E$4:$E$151,H$155&amp;" ضد "&amp;$A165))</f>
        <v>0</v>
      </c>
      <c r="I165" s="4">
        <f>IF($A165=I$155,"",COUNTIF($E$4:$E$151,$A165&amp;" ضد "&amp;I$155)+COUNTIF($E$4:$E$151,I$155&amp;" ضد "&amp;$A165))</f>
        <v>0</v>
      </c>
      <c r="J165" s="4">
        <f>IF($A165=J$155,"",COUNTIF($E$4:$E$151,$A165&amp;" ضد "&amp;J$155)+COUNTIF($E$4:$E$151,J$155&amp;" ضد "&amp;$A165))</f>
        <v>3</v>
      </c>
      <c r="K165" s="4" t="str">
        <f>IF($A165=K$155,"",COUNTIF($E$4:$E$151,$A165&amp;" ضد "&amp;K$155)+COUNTIF($E$4:$E$151,K$155&amp;" ضد "&amp;$A165))</f>
        <v/>
      </c>
      <c r="L165" s="4">
        <f>IF($A165=L$155,"",COUNTIF($E$4:$E$151,$A165&amp;" ضد "&amp;L$155)+COUNTIF($E$4:$E$151,L$155&amp;" ضد "&amp;$A165))</f>
        <v>3</v>
      </c>
      <c r="M165" s="4">
        <f>IF($A165=M$155,"",COUNTIF($E$4:$E$151,$A165&amp;" ضد "&amp;M$155)+COUNTIF($E$4:$E$151,M$155&amp;" ضد "&amp;$A165))</f>
        <v>3</v>
      </c>
      <c r="N165" s="4">
        <f>IF($A165=N$155,"",COUNTIF($E$4:$E$151,$A165&amp;" ضد "&amp;N$155)+COUNTIF($E$4:$E$151,N$155&amp;" ضد "&amp;$A165))</f>
        <v>3</v>
      </c>
      <c r="O165" s="4">
        <f>IF($A165=O$155,"",COUNTIF($E$4:$E$151,$A165&amp;" ضد "&amp;O$155)+COUNTIF($E$4:$E$151,O$155&amp;" ضد "&amp;$A165))</f>
        <v>3</v>
      </c>
      <c r="P165" s="4">
        <f>IF($A165=P$155,"",COUNTIF($E$4:$E$151,$A165&amp;" ضد "&amp;P$155)+COUNTIF($E$4:$E$151,P$155&amp;" ضد "&amp;$A165))</f>
        <v>3</v>
      </c>
    </row>
    <row r="166" spans="1:16" ht="14.5">
      <c r="A166" s="14">
        <v>11</v>
      </c>
      <c r="B166" s="4">
        <f>IF($A166=B$155,"",COUNTIF($E$4:$E$151,$A166&amp;" ضد "&amp;B$155)+COUNTIF($E$4:$E$151,B$155&amp;" ضد "&amp;$A166))</f>
        <v>0</v>
      </c>
      <c r="C166" s="4">
        <f>IF($A166=C$155,"",COUNTIF($E$4:$E$151,$A166&amp;" ضد "&amp;C$155)+COUNTIF($E$4:$E$151,C$155&amp;" ضد "&amp;$A166))</f>
        <v>0</v>
      </c>
      <c r="D166" s="4">
        <f>IF($A166=D$155,"",COUNTIF($E$4:$E$151,$A166&amp;" ضد "&amp;D$155)+COUNTIF($E$4:$E$151,D$155&amp;" ضد "&amp;$A166))</f>
        <v>0</v>
      </c>
      <c r="E166" s="4">
        <f>IF($A166=E$155,"",COUNTIF($E$4:$E$151,$A166&amp;" ضد "&amp;E$155)+COUNTIF($E$4:$E$151,E$155&amp;" ضد "&amp;$A166))</f>
        <v>0</v>
      </c>
      <c r="F166" s="4">
        <f>IF($A166=F$155,"",COUNTIF($E$4:$E$151,$A166&amp;" ضد "&amp;F$155)+COUNTIF($E$4:$E$151,F$155&amp;" ضد "&amp;$A166))</f>
        <v>0</v>
      </c>
      <c r="G166" s="4">
        <f>IF($A166=G$155,"",COUNTIF($E$4:$E$151,$A166&amp;" ضد "&amp;G$155)+COUNTIF($E$4:$E$151,G$155&amp;" ضد "&amp;$A166))</f>
        <v>0</v>
      </c>
      <c r="H166" s="4">
        <f>IF($A166=H$155,"",COUNTIF($E$4:$E$151,$A166&amp;" ضد "&amp;H$155)+COUNTIF($E$4:$E$151,H$155&amp;" ضد "&amp;$A166))</f>
        <v>0</v>
      </c>
      <c r="I166" s="4">
        <f>IF($A166=I$155,"",COUNTIF($E$4:$E$151,$A166&amp;" ضد "&amp;I$155)+COUNTIF($E$4:$E$151,I$155&amp;" ضد "&amp;$A166))</f>
        <v>0</v>
      </c>
      <c r="J166" s="4">
        <f>IF($A166=J$155,"",COUNTIF($E$4:$E$151,$A166&amp;" ضد "&amp;J$155)+COUNTIF($E$4:$E$151,J$155&amp;" ضد "&amp;$A166))</f>
        <v>3</v>
      </c>
      <c r="K166" s="4">
        <f>IF($A166=K$155,"",COUNTIF($E$4:$E$151,$A166&amp;" ضد "&amp;K$155)+COUNTIF($E$4:$E$151,K$155&amp;" ضد "&amp;$A166))</f>
        <v>3</v>
      </c>
      <c r="L166" s="4" t="str">
        <f>IF($A166=L$155,"",COUNTIF($E$4:$E$151,$A166&amp;" ضد "&amp;L$155)+COUNTIF($E$4:$E$151,L$155&amp;" ضد "&amp;$A166))</f>
        <v/>
      </c>
      <c r="M166" s="4">
        <f>IF($A166=M$155,"",COUNTIF($E$4:$E$151,$A166&amp;" ضد "&amp;M$155)+COUNTIF($E$4:$E$151,M$155&amp;" ضد "&amp;$A166))</f>
        <v>3</v>
      </c>
      <c r="N166" s="4">
        <f>IF($A166=N$155,"",COUNTIF($E$4:$E$151,$A166&amp;" ضد "&amp;N$155)+COUNTIF($E$4:$E$151,N$155&amp;" ضد "&amp;$A166))</f>
        <v>3</v>
      </c>
      <c r="O166" s="4">
        <f>IF($A166=O$155,"",COUNTIF($E$4:$E$151,$A166&amp;" ضد "&amp;O$155)+COUNTIF($E$4:$E$151,O$155&amp;" ضد "&amp;$A166))</f>
        <v>3</v>
      </c>
      <c r="P166" s="4">
        <f>IF($A166=P$155,"",COUNTIF($E$4:$E$151,$A166&amp;" ضد "&amp;P$155)+COUNTIF($E$4:$E$151,P$155&amp;" ضد "&amp;$A166))</f>
        <v>3</v>
      </c>
    </row>
    <row r="167" spans="1:16" ht="14.5">
      <c r="A167" s="14">
        <v>12</v>
      </c>
      <c r="B167" s="4">
        <f>IF($A167=B$155,"",COUNTIF($E$4:$E$151,$A167&amp;" ضد "&amp;B$155)+COUNTIF($E$4:$E$151,B$155&amp;" ضد "&amp;$A167))</f>
        <v>0</v>
      </c>
      <c r="C167" s="4">
        <f>IF($A167=C$155,"",COUNTIF($E$4:$E$151,$A167&amp;" ضد "&amp;C$155)+COUNTIF($E$4:$E$151,C$155&amp;" ضد "&amp;$A167))</f>
        <v>0</v>
      </c>
      <c r="D167" s="4">
        <f>IF($A167=D$155,"",COUNTIF($E$4:$E$151,$A167&amp;" ضد "&amp;D$155)+COUNTIF($E$4:$E$151,D$155&amp;" ضد "&amp;$A167))</f>
        <v>0</v>
      </c>
      <c r="E167" s="4">
        <f>IF($A167=E$155,"",COUNTIF($E$4:$E$151,$A167&amp;" ضد "&amp;E$155)+COUNTIF($E$4:$E$151,E$155&amp;" ضد "&amp;$A167))</f>
        <v>0</v>
      </c>
      <c r="F167" s="4">
        <f>IF($A167=F$155,"",COUNTIF($E$4:$E$151,$A167&amp;" ضد "&amp;F$155)+COUNTIF($E$4:$E$151,F$155&amp;" ضد "&amp;$A167))</f>
        <v>0</v>
      </c>
      <c r="G167" s="4">
        <f>IF($A167=G$155,"",COUNTIF($E$4:$E$151,$A167&amp;" ضد "&amp;G$155)+COUNTIF($E$4:$E$151,G$155&amp;" ضد "&amp;$A167))</f>
        <v>0</v>
      </c>
      <c r="H167" s="4">
        <f>IF($A167=H$155,"",COUNTIF($E$4:$E$151,$A167&amp;" ضد "&amp;H$155)+COUNTIF($E$4:$E$151,H$155&amp;" ضد "&amp;$A167))</f>
        <v>0</v>
      </c>
      <c r="I167" s="4">
        <f>IF($A167=I$155,"",COUNTIF($E$4:$E$151,$A167&amp;" ضد "&amp;I$155)+COUNTIF($E$4:$E$151,I$155&amp;" ضد "&amp;$A167))</f>
        <v>0</v>
      </c>
      <c r="J167" s="4">
        <f>IF($A167=J$155,"",COUNTIF($E$4:$E$151,$A167&amp;" ضد "&amp;J$155)+COUNTIF($E$4:$E$151,J$155&amp;" ضد "&amp;$A167))</f>
        <v>3</v>
      </c>
      <c r="K167" s="4">
        <f>IF($A167=K$155,"",COUNTIF($E$4:$E$151,$A167&amp;" ضد "&amp;K$155)+COUNTIF($E$4:$E$151,K$155&amp;" ضد "&amp;$A167))</f>
        <v>3</v>
      </c>
      <c r="L167" s="4">
        <f>IF($A167=L$155,"",COUNTIF($E$4:$E$151,$A167&amp;" ضد "&amp;L$155)+COUNTIF($E$4:$E$151,L$155&amp;" ضد "&amp;$A167))</f>
        <v>3</v>
      </c>
      <c r="M167" s="4" t="str">
        <f>IF($A167=M$155,"",COUNTIF($E$4:$E$151,$A167&amp;" ضد "&amp;M$155)+COUNTIF($E$4:$E$151,M$155&amp;" ضد "&amp;$A167))</f>
        <v/>
      </c>
      <c r="N167" s="4">
        <f>IF($A167=N$155,"",COUNTIF($E$4:$E$151,$A167&amp;" ضد "&amp;N$155)+COUNTIF($E$4:$E$151,N$155&amp;" ضد "&amp;$A167))</f>
        <v>3</v>
      </c>
      <c r="O167" s="4">
        <f>IF($A167=O$155,"",COUNTIF($E$4:$E$151,$A167&amp;" ضد "&amp;O$155)+COUNTIF($E$4:$E$151,O$155&amp;" ضد "&amp;$A167))</f>
        <v>3</v>
      </c>
      <c r="P167" s="4">
        <f>IF($A167=P$155,"",COUNTIF($E$4:$E$151,$A167&amp;" ضد "&amp;P$155)+COUNTIF($E$4:$E$151,P$155&amp;" ضد "&amp;$A167))</f>
        <v>3</v>
      </c>
    </row>
    <row r="168" spans="1:16" ht="14.5">
      <c r="A168" s="14">
        <v>13</v>
      </c>
      <c r="B168" s="4">
        <f>IF($A168=B$155,"",COUNTIF($E$4:$E$151,$A168&amp;" ضد "&amp;B$155)+COUNTIF($E$4:$E$151,B$155&amp;" ضد "&amp;$A168))</f>
        <v>0</v>
      </c>
      <c r="C168" s="4">
        <f>IF($A168=C$155,"",COUNTIF($E$4:$E$151,$A168&amp;" ضد "&amp;C$155)+COUNTIF($E$4:$E$151,C$155&amp;" ضد "&amp;$A168))</f>
        <v>0</v>
      </c>
      <c r="D168" s="4">
        <f>IF($A168=D$155,"",COUNTIF($E$4:$E$151,$A168&amp;" ضد "&amp;D$155)+COUNTIF($E$4:$E$151,D$155&amp;" ضد "&amp;$A168))</f>
        <v>0</v>
      </c>
      <c r="E168" s="4">
        <f>IF($A168=E$155,"",COUNTIF($E$4:$E$151,$A168&amp;" ضد "&amp;E$155)+COUNTIF($E$4:$E$151,E$155&amp;" ضد "&amp;$A168))</f>
        <v>0</v>
      </c>
      <c r="F168" s="4">
        <f>IF($A168=F$155,"",COUNTIF($E$4:$E$151,$A168&amp;" ضد "&amp;F$155)+COUNTIF($E$4:$E$151,F$155&amp;" ضد "&amp;$A168))</f>
        <v>0</v>
      </c>
      <c r="G168" s="4">
        <f>IF($A168=G$155,"",COUNTIF($E$4:$E$151,$A168&amp;" ضد "&amp;G$155)+COUNTIF($E$4:$E$151,G$155&amp;" ضد "&amp;$A168))</f>
        <v>0</v>
      </c>
      <c r="H168" s="4">
        <f>IF($A168=H$155,"",COUNTIF($E$4:$E$151,$A168&amp;" ضد "&amp;H$155)+COUNTIF($E$4:$E$151,H$155&amp;" ضد "&amp;$A168))</f>
        <v>0</v>
      </c>
      <c r="I168" s="4">
        <f>IF($A168=I$155,"",COUNTIF($E$4:$E$151,$A168&amp;" ضد "&amp;I$155)+COUNTIF($E$4:$E$151,I$155&amp;" ضد "&amp;$A168))</f>
        <v>0</v>
      </c>
      <c r="J168" s="4">
        <f>IF($A168=J$155,"",COUNTIF($E$4:$E$151,$A168&amp;" ضد "&amp;J$155)+COUNTIF($E$4:$E$151,J$155&amp;" ضد "&amp;$A168))</f>
        <v>3</v>
      </c>
      <c r="K168" s="4">
        <f>IF($A168=K$155,"",COUNTIF($E$4:$E$151,$A168&amp;" ضد "&amp;K$155)+COUNTIF($E$4:$E$151,K$155&amp;" ضد "&amp;$A168))</f>
        <v>3</v>
      </c>
      <c r="L168" s="4">
        <f>IF($A168=L$155,"",COUNTIF($E$4:$E$151,$A168&amp;" ضد "&amp;L$155)+COUNTIF($E$4:$E$151,L$155&amp;" ضد "&amp;$A168))</f>
        <v>3</v>
      </c>
      <c r="M168" s="4">
        <f>IF($A168=M$155,"",COUNTIF($E$4:$E$151,$A168&amp;" ضد "&amp;M$155)+COUNTIF($E$4:$E$151,M$155&amp;" ضد "&amp;$A168))</f>
        <v>3</v>
      </c>
      <c r="N168" s="4" t="str">
        <f>IF($A168=N$155,"",COUNTIF($E$4:$E$151,$A168&amp;" ضد "&amp;N$155)+COUNTIF($E$4:$E$151,N$155&amp;" ضد "&amp;$A168))</f>
        <v/>
      </c>
      <c r="O168" s="4">
        <f>IF($A168=O$155,"",COUNTIF($E$4:$E$151,$A168&amp;" ضد "&amp;O$155)+COUNTIF($E$4:$E$151,O$155&amp;" ضد "&amp;$A168))</f>
        <v>3</v>
      </c>
      <c r="P168" s="4">
        <f>IF($A168=P$155,"",COUNTIF($E$4:$E$151,$A168&amp;" ضد "&amp;P$155)+COUNTIF($E$4:$E$151,P$155&amp;" ضد "&amp;$A168))</f>
        <v>3</v>
      </c>
    </row>
    <row r="169" spans="1:16" ht="14.5">
      <c r="A169" s="14">
        <v>14</v>
      </c>
      <c r="B169" s="4">
        <f>IF($A169=B$155,"",COUNTIF($E$4:$E$151,$A169&amp;" ضد "&amp;B$155)+COUNTIF($E$4:$E$151,B$155&amp;" ضد "&amp;$A169))</f>
        <v>0</v>
      </c>
      <c r="C169" s="4">
        <f>IF($A169=C$155,"",COUNTIF($E$4:$E$151,$A169&amp;" ضد "&amp;C$155)+COUNTIF($E$4:$E$151,C$155&amp;" ضد "&amp;$A169))</f>
        <v>0</v>
      </c>
      <c r="D169" s="4">
        <f>IF($A169=D$155,"",COUNTIF($E$4:$E$151,$A169&amp;" ضد "&amp;D$155)+COUNTIF($E$4:$E$151,D$155&amp;" ضد "&amp;$A169))</f>
        <v>0</v>
      </c>
      <c r="E169" s="4">
        <f>IF($A169=E$155,"",COUNTIF($E$4:$E$151,$A169&amp;" ضد "&amp;E$155)+COUNTIF($E$4:$E$151,E$155&amp;" ضد "&amp;$A169))</f>
        <v>0</v>
      </c>
      <c r="F169" s="4">
        <f>IF($A169=F$155,"",COUNTIF($E$4:$E$151,$A169&amp;" ضد "&amp;F$155)+COUNTIF($E$4:$E$151,F$155&amp;" ضد "&amp;$A169))</f>
        <v>0</v>
      </c>
      <c r="G169" s="4">
        <f>IF($A169=G$155,"",COUNTIF($E$4:$E$151,$A169&amp;" ضد "&amp;G$155)+COUNTIF($E$4:$E$151,G$155&amp;" ضد "&amp;$A169))</f>
        <v>0</v>
      </c>
      <c r="H169" s="4">
        <f>IF($A169=H$155,"",COUNTIF($E$4:$E$151,$A169&amp;" ضد "&amp;H$155)+COUNTIF($E$4:$E$151,H$155&amp;" ضد "&amp;$A169))</f>
        <v>0</v>
      </c>
      <c r="I169" s="4">
        <f>IF($A169=I$155,"",COUNTIF($E$4:$E$151,$A169&amp;" ضد "&amp;I$155)+COUNTIF($E$4:$E$151,I$155&amp;" ضد "&amp;$A169))</f>
        <v>0</v>
      </c>
      <c r="J169" s="4">
        <f>IF($A169=J$155,"",COUNTIF($E$4:$E$151,$A169&amp;" ضد "&amp;J$155)+COUNTIF($E$4:$E$151,J$155&amp;" ضد "&amp;$A169))</f>
        <v>3</v>
      </c>
      <c r="K169" s="4">
        <f>IF($A169=K$155,"",COUNTIF($E$4:$E$151,$A169&amp;" ضد "&amp;K$155)+COUNTIF($E$4:$E$151,K$155&amp;" ضد "&amp;$A169))</f>
        <v>3</v>
      </c>
      <c r="L169" s="4">
        <f>IF($A169=L$155,"",COUNTIF($E$4:$E$151,$A169&amp;" ضد "&amp;L$155)+COUNTIF($E$4:$E$151,L$155&amp;" ضد "&amp;$A169))</f>
        <v>3</v>
      </c>
      <c r="M169" s="4">
        <f>IF($A169=M$155,"",COUNTIF($E$4:$E$151,$A169&amp;" ضد "&amp;M$155)+COUNTIF($E$4:$E$151,M$155&amp;" ضد "&amp;$A169))</f>
        <v>3</v>
      </c>
      <c r="N169" s="4">
        <f>IF($A169=N$155,"",COUNTIF($E$4:$E$151,$A169&amp;" ضد "&amp;N$155)+COUNTIF($E$4:$E$151,N$155&amp;" ضد "&amp;$A169))</f>
        <v>3</v>
      </c>
      <c r="O169" s="4" t="str">
        <f>IF($A169=O$155,"",COUNTIF($E$4:$E$151,$A169&amp;" ضد "&amp;O$155)+COUNTIF($E$4:$E$151,O$155&amp;" ضد "&amp;$A169))</f>
        <v/>
      </c>
      <c r="P169" s="4">
        <f>IF($A169=P$155,"",COUNTIF($E$4:$E$151,$A169&amp;" ضد "&amp;P$155)+COUNTIF($E$4:$E$151,P$155&amp;" ضد "&amp;$A169))</f>
        <v>3</v>
      </c>
    </row>
    <row r="170" spans="1:16" ht="14.5">
      <c r="A170" s="14">
        <v>15</v>
      </c>
      <c r="B170" s="4">
        <f>IF($A170=B$155,"",COUNTIF($E$4:$E$151,$A170&amp;" ضد "&amp;B$155)+COUNTIF($E$4:$E$151,B$155&amp;" ضد "&amp;$A170))</f>
        <v>0</v>
      </c>
      <c r="C170" s="4">
        <f>IF($A170=C$155,"",COUNTIF($E$4:$E$151,$A170&amp;" ضد "&amp;C$155)+COUNTIF($E$4:$E$151,C$155&amp;" ضد "&amp;$A170))</f>
        <v>0</v>
      </c>
      <c r="D170" s="4">
        <f>IF($A170=D$155,"",COUNTIF($E$4:$E$151,$A170&amp;" ضد "&amp;D$155)+COUNTIF($E$4:$E$151,D$155&amp;" ضد "&amp;$A170))</f>
        <v>0</v>
      </c>
      <c r="E170" s="4">
        <f>IF($A170=E$155,"",COUNTIF($E$4:$E$151,$A170&amp;" ضد "&amp;E$155)+COUNTIF($E$4:$E$151,E$155&amp;" ضد "&amp;$A170))</f>
        <v>0</v>
      </c>
      <c r="F170" s="4">
        <f>IF($A170=F$155,"",COUNTIF($E$4:$E$151,$A170&amp;" ضد "&amp;F$155)+COUNTIF($E$4:$E$151,F$155&amp;" ضد "&amp;$A170))</f>
        <v>0</v>
      </c>
      <c r="G170" s="4">
        <f>IF($A170=G$155,"",COUNTIF($E$4:$E$151,$A170&amp;" ضد "&amp;G$155)+COUNTIF($E$4:$E$151,G$155&amp;" ضد "&amp;$A170))</f>
        <v>0</v>
      </c>
      <c r="H170" s="4">
        <f>IF($A170=H$155,"",COUNTIF($E$4:$E$151,$A170&amp;" ضد "&amp;H$155)+COUNTIF($E$4:$E$151,H$155&amp;" ضد "&amp;$A170))</f>
        <v>0</v>
      </c>
      <c r="I170" s="4">
        <f>IF($A170=I$155,"",COUNTIF($E$4:$E$151,$A170&amp;" ضد "&amp;I$155)+COUNTIF($E$4:$E$151,I$155&amp;" ضد "&amp;$A170))</f>
        <v>0</v>
      </c>
      <c r="J170" s="4">
        <f>IF($A170=J$155,"",COUNTIF($E$4:$E$151,$A170&amp;" ضد "&amp;J$155)+COUNTIF($E$4:$E$151,J$155&amp;" ضد "&amp;$A170))</f>
        <v>3</v>
      </c>
      <c r="K170" s="4">
        <f>IF($A170=K$155,"",COUNTIF($E$4:$E$151,$A170&amp;" ضد "&amp;K$155)+COUNTIF($E$4:$E$151,K$155&amp;" ضد "&amp;$A170))</f>
        <v>3</v>
      </c>
      <c r="L170" s="4">
        <f>IF($A170=L$155,"",COUNTIF($E$4:$E$151,$A170&amp;" ضد "&amp;L$155)+COUNTIF($E$4:$E$151,L$155&amp;" ضد "&amp;$A170))</f>
        <v>3</v>
      </c>
      <c r="M170" s="4">
        <f>IF($A170=M$155,"",COUNTIF($E$4:$E$151,$A170&amp;" ضد "&amp;M$155)+COUNTIF($E$4:$E$151,M$155&amp;" ضد "&amp;$A170))</f>
        <v>3</v>
      </c>
      <c r="N170" s="4">
        <f>IF($A170=N$155,"",COUNTIF($E$4:$E$151,$A170&amp;" ضد "&amp;N$155)+COUNTIF($E$4:$E$151,N$155&amp;" ضد "&amp;$A170))</f>
        <v>3</v>
      </c>
      <c r="O170" s="4">
        <f>IF($A170=O$155,"",COUNTIF($E$4:$E$151,$A170&amp;" ضد "&amp;O$155)+COUNTIF($E$4:$E$151,O$155&amp;" ضد "&amp;$A170))</f>
        <v>3</v>
      </c>
      <c r="P170" s="4" t="str">
        <f>IF($A170=P$155,"",COUNTIF($E$4:$E$151,$A170&amp;" ضد "&amp;P$155)+COUNTIF($E$4:$E$151,P$155&amp;" ضد "&amp;$A170))</f>
        <v/>
      </c>
    </row>
    <row r="171" spans="1:16" ht="14.5">
      <c r="A171" s="14" t="s">
        <v>1033</v>
      </c>
      <c r="B171" s="4" cm="1">
        <f t="array" ref="B171">MIN(IF(B156:P170&gt;0,B156:P170))</f>
        <v>3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ht="14.5">
      <c r="A172" s="14" t="s">
        <v>830</v>
      </c>
      <c r="B172" s="4">
        <f>MAX(B156:P170)</f>
        <v>3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</sheetData>
  <mergeCells count="2">
    <mergeCell ref="A1:E1"/>
    <mergeCell ref="A154:P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D09-4F70-4037-B081-5F0451CEA76F}">
  <dimension ref="A1:Q194"/>
  <sheetViews>
    <sheetView rightToLeft="1" workbookViewId="0">
      <pane ySplit="3" topLeftCell="A4" activePane="bottomLeft" state="frozen"/>
      <selection pane="bottomLeft" sqref="A1:G1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988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29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22</v>
      </c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593</v>
      </c>
      <c r="E6" s="7" t="s">
        <v>12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593</v>
      </c>
      <c r="E7" s="7" t="s">
        <v>10</v>
      </c>
      <c r="F7" s="2"/>
    </row>
    <row r="8" spans="1:6" ht="14" customHeight="1">
      <c r="A8" s="8">
        <v>1</v>
      </c>
      <c r="B8" s="7" t="str">
        <f>المدخلات!$F$4</f>
        <v>4:00–5:10 م</v>
      </c>
      <c r="C8" s="7">
        <v>3</v>
      </c>
      <c r="D8" s="7" t="s">
        <v>594</v>
      </c>
      <c r="E8" s="7" t="s">
        <v>132</v>
      </c>
      <c r="F8" s="2"/>
    </row>
    <row r="9" spans="1:6" ht="14" customHeight="1">
      <c r="A9" s="8">
        <v>1</v>
      </c>
      <c r="B9" s="7" t="str">
        <f>المدخلات!$F$4</f>
        <v>4:00–5:10 م</v>
      </c>
      <c r="C9" s="7">
        <v>4</v>
      </c>
      <c r="D9" s="7" t="s">
        <v>594</v>
      </c>
      <c r="E9" s="7" t="s">
        <v>133</v>
      </c>
      <c r="F9" s="2"/>
    </row>
    <row r="10" spans="1:6" ht="14" customHeight="1">
      <c r="A10" s="8">
        <v>1</v>
      </c>
      <c r="B10" s="7" t="str">
        <f>المدخلات!$F$5</f>
        <v>5:20–6:30 م</v>
      </c>
      <c r="C10" s="7">
        <v>3</v>
      </c>
      <c r="D10" s="7" t="s">
        <v>594</v>
      </c>
      <c r="E10" s="7" t="s">
        <v>99</v>
      </c>
      <c r="F10" s="2"/>
    </row>
    <row r="11" spans="1:6" ht="14" customHeight="1">
      <c r="A11" s="8">
        <v>1</v>
      </c>
      <c r="B11" s="7" t="str">
        <f>المدخلات!$F$5</f>
        <v>5:20–6:30 م</v>
      </c>
      <c r="C11" s="7">
        <v>4</v>
      </c>
      <c r="D11" s="7" t="s">
        <v>594</v>
      </c>
      <c r="E11" s="7" t="s">
        <v>92</v>
      </c>
      <c r="F11" s="2"/>
    </row>
    <row r="12" spans="1:6" ht="14" customHeight="1">
      <c r="A12" s="8">
        <v>2</v>
      </c>
      <c r="B12" s="7" t="str">
        <f>المدخلات!$F$4</f>
        <v>4:00–5:10 م</v>
      </c>
      <c r="C12" s="7">
        <v>1</v>
      </c>
      <c r="D12" s="7" t="s">
        <v>593</v>
      </c>
      <c r="E12" s="7" t="s">
        <v>19</v>
      </c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2</v>
      </c>
      <c r="D13" s="7" t="s">
        <v>593</v>
      </c>
      <c r="E13" s="7" t="s">
        <v>28</v>
      </c>
      <c r="F13" s="2"/>
    </row>
    <row r="14" spans="1:6" ht="14" customHeight="1">
      <c r="A14" s="8">
        <v>2</v>
      </c>
      <c r="B14" s="7" t="str">
        <f>المدخلات!$F$5</f>
        <v>5:20–6:30 م</v>
      </c>
      <c r="C14" s="7">
        <v>1</v>
      </c>
      <c r="D14" s="7" t="s">
        <v>593</v>
      </c>
      <c r="E14" s="7" t="s">
        <v>1047</v>
      </c>
      <c r="F14" s="2"/>
    </row>
    <row r="15" spans="1:6" ht="14" customHeight="1">
      <c r="A15" s="8">
        <v>2</v>
      </c>
      <c r="B15" s="7" t="str">
        <f>المدخلات!$F$5</f>
        <v>5:20–6:30 م</v>
      </c>
      <c r="C15" s="7">
        <v>2</v>
      </c>
      <c r="D15" s="7" t="s">
        <v>593</v>
      </c>
      <c r="E15" s="7" t="s">
        <v>1042</v>
      </c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3</v>
      </c>
      <c r="D16" s="7" t="s">
        <v>594</v>
      </c>
      <c r="E16" s="7" t="s">
        <v>72</v>
      </c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4</v>
      </c>
      <c r="D17" s="7" t="s">
        <v>594</v>
      </c>
      <c r="E17" s="7" t="s">
        <v>109</v>
      </c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3</v>
      </c>
      <c r="D18" s="7" t="s">
        <v>594</v>
      </c>
      <c r="E18" s="7" t="s">
        <v>696</v>
      </c>
      <c r="F18" s="2"/>
    </row>
    <row r="19" spans="1:6" ht="14" customHeight="1">
      <c r="A19" s="8">
        <v>2</v>
      </c>
      <c r="B19" s="7" t="str">
        <f>المدخلات!$F$5</f>
        <v>5:20–6:30 م</v>
      </c>
      <c r="C19" s="7">
        <v>4</v>
      </c>
      <c r="D19" s="7" t="s">
        <v>594</v>
      </c>
      <c r="E19" s="7" t="s">
        <v>1065</v>
      </c>
      <c r="F19" s="2"/>
    </row>
    <row r="20" spans="1:6" ht="14" customHeight="1">
      <c r="A20" s="8">
        <v>3</v>
      </c>
      <c r="B20" s="7" t="str">
        <f>المدخلات!$F$4</f>
        <v>4:00–5:10 م</v>
      </c>
      <c r="C20" s="7">
        <v>1</v>
      </c>
      <c r="D20" s="7" t="s">
        <v>593</v>
      </c>
      <c r="E20" s="7" t="s">
        <v>24</v>
      </c>
      <c r="F20" s="2"/>
    </row>
    <row r="21" spans="1:6" ht="14" customHeight="1">
      <c r="A21" s="8">
        <v>3</v>
      </c>
      <c r="B21" s="7" t="str">
        <f>المدخلات!$F$4</f>
        <v>4:00–5:10 م</v>
      </c>
      <c r="C21" s="7">
        <v>2</v>
      </c>
      <c r="D21" s="7" t="s">
        <v>593</v>
      </c>
      <c r="E21" s="7" t="s">
        <v>15</v>
      </c>
      <c r="F21" s="2"/>
    </row>
    <row r="22" spans="1:6" ht="14" customHeight="1">
      <c r="A22" s="8">
        <v>3</v>
      </c>
      <c r="B22" s="7" t="str">
        <f>المدخلات!$F$5</f>
        <v>5:20–6:30 م</v>
      </c>
      <c r="C22" s="7">
        <v>1</v>
      </c>
      <c r="D22" s="7" t="s">
        <v>593</v>
      </c>
      <c r="E22" s="7" t="s">
        <v>608</v>
      </c>
      <c r="F22" s="2"/>
    </row>
    <row r="23" spans="1:6" ht="14" customHeight="1">
      <c r="A23" s="8">
        <v>3</v>
      </c>
      <c r="B23" s="7" t="str">
        <f>المدخلات!$F$5</f>
        <v>5:20–6:30 م</v>
      </c>
      <c r="C23" s="7">
        <v>2</v>
      </c>
      <c r="D23" s="7" t="s">
        <v>593</v>
      </c>
      <c r="E23" s="7" t="s">
        <v>17</v>
      </c>
      <c r="F23" s="2"/>
    </row>
    <row r="24" spans="1:6" ht="14" customHeight="1">
      <c r="A24" s="8">
        <v>3</v>
      </c>
      <c r="B24" s="7" t="str">
        <f>المدخلات!$F$4</f>
        <v>4:00–5:10 م</v>
      </c>
      <c r="C24" s="7">
        <v>3</v>
      </c>
      <c r="D24" s="7" t="s">
        <v>594</v>
      </c>
      <c r="E24" s="7" t="s">
        <v>102</v>
      </c>
      <c r="F24" s="2"/>
    </row>
    <row r="25" spans="1:6" ht="14" customHeight="1">
      <c r="A25" s="8">
        <v>3</v>
      </c>
      <c r="B25" s="7" t="str">
        <f>المدخلات!$F$4</f>
        <v>4:00–5:10 م</v>
      </c>
      <c r="C25" s="7">
        <v>4</v>
      </c>
      <c r="D25" s="7" t="s">
        <v>594</v>
      </c>
      <c r="E25" s="7" t="s">
        <v>94</v>
      </c>
      <c r="F25" s="2"/>
    </row>
    <row r="26" spans="1:6" ht="14" customHeight="1">
      <c r="A26" s="8">
        <v>3</v>
      </c>
      <c r="B26" s="7" t="str">
        <f>المدخلات!$F$5</f>
        <v>5:20–6:30 م</v>
      </c>
      <c r="C26" s="7">
        <v>3</v>
      </c>
      <c r="D26" s="7" t="s">
        <v>594</v>
      </c>
      <c r="E26" s="7" t="s">
        <v>610</v>
      </c>
      <c r="F26" s="2"/>
    </row>
    <row r="27" spans="1:6" ht="14" customHeight="1">
      <c r="A27" s="8">
        <v>3</v>
      </c>
      <c r="B27" s="7" t="str">
        <f>المدخلات!$F$5</f>
        <v>5:20–6:30 م</v>
      </c>
      <c r="C27" s="7">
        <v>4</v>
      </c>
      <c r="D27" s="7" t="s">
        <v>594</v>
      </c>
      <c r="E27" s="7" t="s">
        <v>56</v>
      </c>
      <c r="F27" s="2"/>
    </row>
    <row r="28" spans="1:6" ht="14" customHeight="1">
      <c r="A28" s="8">
        <v>4</v>
      </c>
      <c r="B28" s="7" t="str">
        <f>المدخلات!$F$4</f>
        <v>4:00–5:10 م</v>
      </c>
      <c r="C28" s="7">
        <v>1</v>
      </c>
      <c r="D28" s="7" t="s">
        <v>593</v>
      </c>
      <c r="E28" s="7" t="s">
        <v>622</v>
      </c>
      <c r="F28" s="2"/>
    </row>
    <row r="29" spans="1:6" ht="14" customHeight="1">
      <c r="A29" s="8">
        <v>4</v>
      </c>
      <c r="B29" s="7" t="str">
        <f>المدخلات!$F$4</f>
        <v>4:00–5:10 م</v>
      </c>
      <c r="C29" s="7">
        <v>2</v>
      </c>
      <c r="D29" s="7" t="s">
        <v>593</v>
      </c>
      <c r="E29" s="7" t="s">
        <v>623</v>
      </c>
      <c r="F29" s="2"/>
    </row>
    <row r="30" spans="1:6" ht="14" customHeight="1">
      <c r="A30" s="8">
        <v>4</v>
      </c>
      <c r="B30" s="7" t="str">
        <f>المدخلات!$F$5</f>
        <v>5:20–6:30 م</v>
      </c>
      <c r="C30" s="7">
        <v>1</v>
      </c>
      <c r="D30" s="7" t="s">
        <v>593</v>
      </c>
      <c r="E30" s="7" t="s">
        <v>20</v>
      </c>
      <c r="F30" s="2"/>
    </row>
    <row r="31" spans="1:6" ht="14" customHeight="1">
      <c r="A31" s="8">
        <v>4</v>
      </c>
      <c r="B31" s="7" t="str">
        <f>المدخلات!$F$5</f>
        <v>5:20–6:30 م</v>
      </c>
      <c r="C31" s="7">
        <v>2</v>
      </c>
      <c r="D31" s="7" t="s">
        <v>593</v>
      </c>
      <c r="E31" s="7" t="s">
        <v>9</v>
      </c>
      <c r="F31" s="2"/>
    </row>
    <row r="32" spans="1:6" ht="14" customHeight="1">
      <c r="A32" s="8">
        <v>4</v>
      </c>
      <c r="B32" s="7" t="str">
        <f>المدخلات!$F$4</f>
        <v>4:00–5:10 م</v>
      </c>
      <c r="C32" s="7">
        <v>3</v>
      </c>
      <c r="D32" s="7" t="s">
        <v>594</v>
      </c>
      <c r="E32" s="7" t="s">
        <v>625</v>
      </c>
      <c r="F32" s="2"/>
    </row>
    <row r="33" spans="1:6" ht="14" customHeight="1">
      <c r="A33" s="8">
        <v>4</v>
      </c>
      <c r="B33" s="7" t="str">
        <f>المدخلات!$F$4</f>
        <v>4:00–5:10 م</v>
      </c>
      <c r="C33" s="7">
        <v>4</v>
      </c>
      <c r="D33" s="7" t="s">
        <v>594</v>
      </c>
      <c r="E33" s="7" t="s">
        <v>626</v>
      </c>
      <c r="F33" s="2"/>
    </row>
    <row r="34" spans="1:6" ht="14" customHeight="1">
      <c r="A34" s="8">
        <v>4</v>
      </c>
      <c r="B34" s="7" t="str">
        <f>المدخلات!$F$5</f>
        <v>5:20–6:30 م</v>
      </c>
      <c r="C34" s="7">
        <v>3</v>
      </c>
      <c r="D34" s="7" t="s">
        <v>594</v>
      </c>
      <c r="E34" s="7" t="s">
        <v>91</v>
      </c>
      <c r="F34" s="2"/>
    </row>
    <row r="35" spans="1:6" ht="14" customHeight="1">
      <c r="A35" s="8">
        <v>4</v>
      </c>
      <c r="B35" s="7" t="str">
        <f>المدخلات!$F$5</f>
        <v>5:20–6:30 م</v>
      </c>
      <c r="C35" s="7">
        <v>4</v>
      </c>
      <c r="D35" s="7" t="s">
        <v>594</v>
      </c>
      <c r="E35" s="7" t="s">
        <v>96</v>
      </c>
      <c r="F35" s="2"/>
    </row>
    <row r="36" spans="1:6" ht="14" customHeight="1">
      <c r="A36" s="8">
        <v>5</v>
      </c>
      <c r="B36" s="7" t="str">
        <f>المدخلات!$F$4</f>
        <v>4:00–5:10 م</v>
      </c>
      <c r="C36" s="7">
        <v>1</v>
      </c>
      <c r="D36" s="7" t="s">
        <v>593</v>
      </c>
      <c r="E36" s="7" t="s">
        <v>1043</v>
      </c>
      <c r="F36" s="2"/>
    </row>
    <row r="37" spans="1:6" ht="14" customHeight="1">
      <c r="A37" s="8">
        <v>5</v>
      </c>
      <c r="B37" s="7" t="str">
        <f>المدخلات!$F$4</f>
        <v>4:00–5:10 م</v>
      </c>
      <c r="C37" s="7">
        <v>2</v>
      </c>
      <c r="D37" s="7" t="s">
        <v>593</v>
      </c>
      <c r="E37" s="7" t="s">
        <v>13</v>
      </c>
      <c r="F37" s="2"/>
    </row>
    <row r="38" spans="1:6" ht="14" customHeight="1">
      <c r="A38" s="8">
        <v>5</v>
      </c>
      <c r="B38" s="7" t="str">
        <f>المدخلات!$F$5</f>
        <v>5:20–6:30 م</v>
      </c>
      <c r="C38" s="7">
        <v>1</v>
      </c>
      <c r="D38" s="7" t="s">
        <v>593</v>
      </c>
      <c r="E38" s="7" t="s">
        <v>30</v>
      </c>
      <c r="F38" s="2"/>
    </row>
    <row r="39" spans="1:6" ht="14" customHeight="1">
      <c r="A39" s="8">
        <v>5</v>
      </c>
      <c r="B39" s="7" t="str">
        <f>المدخلات!$F$5</f>
        <v>5:20–6:30 م</v>
      </c>
      <c r="C39" s="7">
        <v>2</v>
      </c>
      <c r="D39" s="7" t="s">
        <v>593</v>
      </c>
      <c r="E39" s="7" t="s">
        <v>634</v>
      </c>
      <c r="F39" s="2"/>
    </row>
    <row r="40" spans="1:6" ht="14" customHeight="1">
      <c r="A40" s="8">
        <v>5</v>
      </c>
      <c r="B40" s="7" t="str">
        <f>المدخلات!$F$4</f>
        <v>4:00–5:10 م</v>
      </c>
      <c r="C40" s="7">
        <v>3</v>
      </c>
      <c r="D40" s="7" t="s">
        <v>594</v>
      </c>
      <c r="E40" s="7" t="s">
        <v>1068</v>
      </c>
      <c r="F40" s="2"/>
    </row>
    <row r="41" spans="1:6" ht="14" customHeight="1">
      <c r="A41" s="8">
        <v>5</v>
      </c>
      <c r="B41" s="7" t="str">
        <f>المدخلات!$F$4</f>
        <v>4:00–5:10 م</v>
      </c>
      <c r="C41" s="7">
        <v>4</v>
      </c>
      <c r="D41" s="7" t="s">
        <v>594</v>
      </c>
      <c r="E41" s="7" t="s">
        <v>90</v>
      </c>
      <c r="F41" s="2"/>
    </row>
    <row r="42" spans="1:6" ht="14" customHeight="1">
      <c r="A42" s="8">
        <v>5</v>
      </c>
      <c r="B42" s="7" t="str">
        <f>المدخلات!$F$5</f>
        <v>5:20–6:30 م</v>
      </c>
      <c r="C42" s="7">
        <v>3</v>
      </c>
      <c r="D42" s="7" t="s">
        <v>594</v>
      </c>
      <c r="E42" s="7" t="s">
        <v>129</v>
      </c>
      <c r="F42" s="2"/>
    </row>
    <row r="43" spans="1:6" ht="14" customHeight="1">
      <c r="A43" s="8">
        <v>5</v>
      </c>
      <c r="B43" s="7" t="str">
        <f>المدخلات!$F$5</f>
        <v>5:20–6:30 م</v>
      </c>
      <c r="C43" s="7">
        <v>4</v>
      </c>
      <c r="D43" s="7" t="s">
        <v>594</v>
      </c>
      <c r="E43" s="7" t="s">
        <v>636</v>
      </c>
      <c r="F43" s="2"/>
    </row>
    <row r="44" spans="1:6" ht="14" customHeight="1">
      <c r="A44" s="8">
        <v>6</v>
      </c>
      <c r="B44" s="7" t="str">
        <f>المدخلات!$F$4</f>
        <v>4:00–5:10 م</v>
      </c>
      <c r="C44" s="7">
        <v>1</v>
      </c>
      <c r="D44" s="7" t="s">
        <v>593</v>
      </c>
      <c r="E44" s="7" t="s">
        <v>14</v>
      </c>
      <c r="F44" s="2"/>
    </row>
    <row r="45" spans="1:6" ht="14" customHeight="1">
      <c r="A45" s="8">
        <v>6</v>
      </c>
      <c r="B45" s="7" t="str">
        <f>المدخلات!$F$4</f>
        <v>4:00–5:10 م</v>
      </c>
      <c r="C45" s="7">
        <v>2</v>
      </c>
      <c r="D45" s="7" t="s">
        <v>593</v>
      </c>
      <c r="E45" s="7" t="s">
        <v>23</v>
      </c>
      <c r="F45" s="2"/>
    </row>
    <row r="46" spans="1:6" ht="14" customHeight="1">
      <c r="A46" s="8">
        <v>6</v>
      </c>
      <c r="B46" s="7" t="str">
        <f>المدخلات!$F$5</f>
        <v>5:20–6:30 م</v>
      </c>
      <c r="C46" s="7">
        <v>1</v>
      </c>
      <c r="D46" s="7" t="s">
        <v>593</v>
      </c>
      <c r="E46" s="7" t="s">
        <v>8</v>
      </c>
      <c r="F46" s="2"/>
    </row>
    <row r="47" spans="1:6" ht="14" customHeight="1">
      <c r="A47" s="8">
        <v>6</v>
      </c>
      <c r="B47" s="7" t="str">
        <f>المدخلات!$F$5</f>
        <v>5:20–6:30 م</v>
      </c>
      <c r="C47" s="7">
        <v>2</v>
      </c>
      <c r="D47" s="7" t="s">
        <v>593</v>
      </c>
      <c r="E47" s="7" t="s">
        <v>34</v>
      </c>
      <c r="F47" s="2"/>
    </row>
    <row r="48" spans="1:6" ht="14" customHeight="1">
      <c r="A48" s="8">
        <v>6</v>
      </c>
      <c r="B48" s="7" t="str">
        <f>المدخلات!$F$4</f>
        <v>4:00–5:10 م</v>
      </c>
      <c r="C48" s="7">
        <v>3</v>
      </c>
      <c r="D48" s="7" t="s">
        <v>594</v>
      </c>
      <c r="E48" s="7" t="s">
        <v>64</v>
      </c>
      <c r="F48" s="2"/>
    </row>
    <row r="49" spans="1:6" ht="14" customHeight="1">
      <c r="A49" s="8">
        <v>6</v>
      </c>
      <c r="B49" s="7" t="str">
        <f>المدخلات!$F$4</f>
        <v>4:00–5:10 م</v>
      </c>
      <c r="C49" s="7">
        <v>4</v>
      </c>
      <c r="D49" s="7" t="s">
        <v>594</v>
      </c>
      <c r="E49" s="7" t="s">
        <v>103</v>
      </c>
      <c r="F49" s="2"/>
    </row>
    <row r="50" spans="1:6" ht="14" customHeight="1">
      <c r="A50" s="8">
        <v>6</v>
      </c>
      <c r="B50" s="7" t="str">
        <f>المدخلات!$F$5</f>
        <v>5:20–6:30 م</v>
      </c>
      <c r="C50" s="7">
        <v>3</v>
      </c>
      <c r="D50" s="7" t="s">
        <v>594</v>
      </c>
      <c r="E50" s="7" t="s">
        <v>52</v>
      </c>
      <c r="F50" s="2"/>
    </row>
    <row r="51" spans="1:6" ht="14" customHeight="1">
      <c r="A51" s="8">
        <v>6</v>
      </c>
      <c r="B51" s="7" t="str">
        <f>المدخلات!$F$5</f>
        <v>5:20–6:30 م</v>
      </c>
      <c r="C51" s="7">
        <v>4</v>
      </c>
      <c r="D51" s="7" t="s">
        <v>594</v>
      </c>
      <c r="E51" s="7" t="s">
        <v>130</v>
      </c>
      <c r="F51" s="2"/>
    </row>
    <row r="52" spans="1:6" ht="14" customHeight="1">
      <c r="A52" s="8">
        <v>7</v>
      </c>
      <c r="B52" s="7" t="str">
        <f>المدخلات!$F$4</f>
        <v>4:00–5:10 م</v>
      </c>
      <c r="C52" s="7">
        <v>1</v>
      </c>
      <c r="D52" s="7" t="s">
        <v>593</v>
      </c>
      <c r="E52" s="7" t="s">
        <v>16</v>
      </c>
      <c r="F52" s="2"/>
    </row>
    <row r="53" spans="1:6" ht="14" customHeight="1">
      <c r="A53" s="8">
        <v>7</v>
      </c>
      <c r="B53" s="7" t="str">
        <f>المدخلات!$F$4</f>
        <v>4:00–5:10 م</v>
      </c>
      <c r="C53" s="7">
        <v>2</v>
      </c>
      <c r="D53" s="7" t="s">
        <v>593</v>
      </c>
      <c r="E53" s="7" t="s">
        <v>1048</v>
      </c>
      <c r="F53" s="2"/>
    </row>
    <row r="54" spans="1:6" ht="14" customHeight="1">
      <c r="A54" s="8">
        <v>7</v>
      </c>
      <c r="B54" s="7" t="str">
        <f>المدخلات!$F$5</f>
        <v>5:20–6:30 م</v>
      </c>
      <c r="C54" s="7">
        <v>1</v>
      </c>
      <c r="D54" s="7" t="s">
        <v>593</v>
      </c>
      <c r="E54" s="7" t="s">
        <v>26</v>
      </c>
      <c r="F54" s="2"/>
    </row>
    <row r="55" spans="1:6" ht="14" customHeight="1">
      <c r="A55" s="8">
        <v>7</v>
      </c>
      <c r="B55" s="7" t="str">
        <f>المدخلات!$F$5</f>
        <v>5:20–6:30 م</v>
      </c>
      <c r="C55" s="7">
        <v>2</v>
      </c>
      <c r="D55" s="7" t="s">
        <v>593</v>
      </c>
      <c r="E55" s="7" t="s">
        <v>1037</v>
      </c>
      <c r="F55" s="2"/>
    </row>
    <row r="56" spans="1:6" ht="14" customHeight="1">
      <c r="A56" s="8">
        <v>7</v>
      </c>
      <c r="B56" s="7" t="str">
        <f>المدخلات!$F$4</f>
        <v>4:00–5:10 م</v>
      </c>
      <c r="C56" s="7">
        <v>3</v>
      </c>
      <c r="D56" s="7" t="s">
        <v>594</v>
      </c>
      <c r="E56" s="7" t="s">
        <v>98</v>
      </c>
      <c r="F56" s="2"/>
    </row>
    <row r="57" spans="1:6" ht="14" customHeight="1">
      <c r="A57" s="8">
        <v>7</v>
      </c>
      <c r="B57" s="7" t="str">
        <f>المدخلات!$F$4</f>
        <v>4:00–5:10 م</v>
      </c>
      <c r="C57" s="7">
        <v>4</v>
      </c>
      <c r="D57" s="7" t="s">
        <v>594</v>
      </c>
      <c r="E57" s="7" t="s">
        <v>1076</v>
      </c>
      <c r="F57" s="2"/>
    </row>
    <row r="58" spans="1:6" ht="14" customHeight="1">
      <c r="A58" s="8">
        <v>7</v>
      </c>
      <c r="B58" s="7" t="str">
        <f>المدخلات!$F$5</f>
        <v>5:20–6:30 م</v>
      </c>
      <c r="C58" s="7">
        <v>3</v>
      </c>
      <c r="D58" s="7" t="s">
        <v>594</v>
      </c>
      <c r="E58" s="7" t="s">
        <v>100</v>
      </c>
      <c r="F58" s="2"/>
    </row>
    <row r="59" spans="1:6" ht="14" customHeight="1">
      <c r="A59" s="8">
        <v>7</v>
      </c>
      <c r="B59" s="7" t="str">
        <f>المدخلات!$F$5</f>
        <v>5:20–6:30 م</v>
      </c>
      <c r="C59" s="7">
        <v>4</v>
      </c>
      <c r="D59" s="7" t="s">
        <v>594</v>
      </c>
      <c r="E59" s="7" t="s">
        <v>1072</v>
      </c>
      <c r="F59" s="2"/>
    </row>
    <row r="60" spans="1:6" ht="14" customHeight="1">
      <c r="A60" s="8">
        <v>8</v>
      </c>
      <c r="B60" s="7" t="str">
        <f>المدخلات!$F$4</f>
        <v>4:00–5:10 م</v>
      </c>
      <c r="C60" s="7">
        <v>1</v>
      </c>
      <c r="D60" s="7" t="s">
        <v>593</v>
      </c>
      <c r="E60" s="7" t="s">
        <v>1049</v>
      </c>
      <c r="F60" s="2"/>
    </row>
    <row r="61" spans="1:6" ht="14" customHeight="1">
      <c r="A61" s="8">
        <v>8</v>
      </c>
      <c r="B61" s="7" t="str">
        <f>المدخلات!$F$4</f>
        <v>4:00–5:10 م</v>
      </c>
      <c r="C61" s="7">
        <v>2</v>
      </c>
      <c r="D61" s="7" t="s">
        <v>593</v>
      </c>
      <c r="E61" s="7" t="s">
        <v>1045</v>
      </c>
      <c r="F61" s="2"/>
    </row>
    <row r="62" spans="1:6" ht="14" customHeight="1">
      <c r="A62" s="8">
        <v>8</v>
      </c>
      <c r="B62" s="7" t="str">
        <f>المدخلات!$F$5</f>
        <v>5:20–6:30 م</v>
      </c>
      <c r="C62" s="7">
        <v>1</v>
      </c>
      <c r="D62" s="7" t="s">
        <v>593</v>
      </c>
      <c r="E62" s="7" t="s">
        <v>12</v>
      </c>
      <c r="F62" s="2"/>
    </row>
    <row r="63" spans="1:6" ht="14" customHeight="1">
      <c r="A63" s="8">
        <v>8</v>
      </c>
      <c r="B63" s="7" t="str">
        <f>المدخلات!$F$5</f>
        <v>5:20–6:30 م</v>
      </c>
      <c r="C63" s="7">
        <v>2</v>
      </c>
      <c r="D63" s="7" t="s">
        <v>593</v>
      </c>
      <c r="E63" s="7" t="s">
        <v>10</v>
      </c>
      <c r="F63" s="2"/>
    </row>
    <row r="64" spans="1:6" ht="14" customHeight="1">
      <c r="A64" s="8">
        <v>8</v>
      </c>
      <c r="B64" s="7" t="str">
        <f>المدخلات!$F$4</f>
        <v>4:00–5:10 م</v>
      </c>
      <c r="C64" s="7">
        <v>3</v>
      </c>
      <c r="D64" s="7" t="s">
        <v>594</v>
      </c>
      <c r="E64" s="7" t="s">
        <v>1077</v>
      </c>
      <c r="F64" s="2"/>
    </row>
    <row r="65" spans="1:6" ht="14" customHeight="1">
      <c r="A65" s="8">
        <v>8</v>
      </c>
      <c r="B65" s="7" t="str">
        <f>المدخلات!$F$4</f>
        <v>4:00–5:10 م</v>
      </c>
      <c r="C65" s="7">
        <v>4</v>
      </c>
      <c r="D65" s="7" t="s">
        <v>594</v>
      </c>
      <c r="E65" s="7" t="s">
        <v>1074</v>
      </c>
      <c r="F65" s="2"/>
    </row>
    <row r="66" spans="1:6" ht="14" customHeight="1">
      <c r="A66" s="8">
        <v>8</v>
      </c>
      <c r="B66" s="7" t="str">
        <f>المدخلات!$F$5</f>
        <v>5:20–6:30 م</v>
      </c>
      <c r="C66" s="7">
        <v>3</v>
      </c>
      <c r="D66" s="7" t="s">
        <v>594</v>
      </c>
      <c r="E66" s="7" t="s">
        <v>99</v>
      </c>
      <c r="F66" s="2"/>
    </row>
    <row r="67" spans="1:6" ht="14" customHeight="1">
      <c r="A67" s="8">
        <v>8</v>
      </c>
      <c r="B67" s="7" t="str">
        <f>المدخلات!$F$5</f>
        <v>5:20–6:30 م</v>
      </c>
      <c r="C67" s="7">
        <v>4</v>
      </c>
      <c r="D67" s="7" t="s">
        <v>594</v>
      </c>
      <c r="E67" s="7" t="s">
        <v>92</v>
      </c>
      <c r="F67" s="2"/>
    </row>
    <row r="68" spans="1:6" ht="14" customHeight="1">
      <c r="A68" s="8">
        <v>9</v>
      </c>
      <c r="B68" s="7" t="str">
        <f>المدخلات!$F$4</f>
        <v>4:00–5:10 م</v>
      </c>
      <c r="C68" s="7">
        <v>1</v>
      </c>
      <c r="D68" s="7" t="s">
        <v>593</v>
      </c>
      <c r="E68" s="7" t="s">
        <v>19</v>
      </c>
      <c r="F68" s="2"/>
    </row>
    <row r="69" spans="1:6" ht="14" customHeight="1">
      <c r="A69" s="8">
        <v>9</v>
      </c>
      <c r="B69" s="7" t="str">
        <f>المدخلات!$F$4</f>
        <v>4:00–5:10 م</v>
      </c>
      <c r="C69" s="7">
        <v>2</v>
      </c>
      <c r="D69" s="7" t="s">
        <v>593</v>
      </c>
      <c r="E69" s="7" t="s">
        <v>7</v>
      </c>
      <c r="F69" s="2"/>
    </row>
    <row r="70" spans="1:6" ht="14" customHeight="1">
      <c r="A70" s="8">
        <v>9</v>
      </c>
      <c r="B70" s="7" t="str">
        <f>المدخلات!$F$5</f>
        <v>5:20–6:30 م</v>
      </c>
      <c r="C70" s="7">
        <v>1</v>
      </c>
      <c r="D70" s="7" t="s">
        <v>593</v>
      </c>
      <c r="E70" s="7" t="s">
        <v>25</v>
      </c>
      <c r="F70" s="2"/>
    </row>
    <row r="71" spans="1:6" ht="14" customHeight="1">
      <c r="A71" s="8">
        <v>9</v>
      </c>
      <c r="B71" s="7" t="str">
        <f>المدخلات!$F$5</f>
        <v>5:20–6:30 م</v>
      </c>
      <c r="C71" s="7">
        <v>2</v>
      </c>
      <c r="D71" s="7" t="s">
        <v>593</v>
      </c>
      <c r="E71" s="7" t="s">
        <v>28</v>
      </c>
      <c r="F71" s="2"/>
    </row>
    <row r="72" spans="1:6" ht="14" customHeight="1">
      <c r="A72" s="8">
        <v>9</v>
      </c>
      <c r="B72" s="7" t="str">
        <f>المدخلات!$F$4</f>
        <v>4:00–5:10 م</v>
      </c>
      <c r="C72" s="7">
        <v>3</v>
      </c>
      <c r="D72" s="7" t="s">
        <v>594</v>
      </c>
      <c r="E72" s="7" t="s">
        <v>72</v>
      </c>
      <c r="F72" s="2"/>
    </row>
    <row r="73" spans="1:6" ht="14" customHeight="1">
      <c r="A73" s="8">
        <v>9</v>
      </c>
      <c r="B73" s="7" t="str">
        <f>المدخلات!$F$4</f>
        <v>4:00–5:10 م</v>
      </c>
      <c r="C73" s="7">
        <v>4</v>
      </c>
      <c r="D73" s="7" t="s">
        <v>594</v>
      </c>
      <c r="E73" s="7" t="s">
        <v>93</v>
      </c>
      <c r="F73" s="2"/>
    </row>
    <row r="74" spans="1:6" ht="14" customHeight="1">
      <c r="A74" s="8">
        <v>9</v>
      </c>
      <c r="B74" s="7" t="str">
        <f>المدخلات!$F$5</f>
        <v>5:20–6:30 م</v>
      </c>
      <c r="C74" s="7">
        <v>3</v>
      </c>
      <c r="D74" s="7" t="s">
        <v>594</v>
      </c>
      <c r="E74" s="7" t="s">
        <v>115</v>
      </c>
      <c r="F74" s="2"/>
    </row>
    <row r="75" spans="1:6" ht="14" customHeight="1">
      <c r="A75" s="8">
        <v>9</v>
      </c>
      <c r="B75" s="7" t="str">
        <f>المدخلات!$F$5</f>
        <v>5:20–6:30 م</v>
      </c>
      <c r="C75" s="7">
        <v>4</v>
      </c>
      <c r="D75" s="7" t="s">
        <v>594</v>
      </c>
      <c r="E75" s="7" t="s">
        <v>109</v>
      </c>
      <c r="F75" s="2"/>
    </row>
    <row r="76" spans="1:6" ht="14" customHeight="1">
      <c r="A76" s="8">
        <v>10</v>
      </c>
      <c r="B76" s="7" t="str">
        <f>المدخلات!$F$4</f>
        <v>4:00–5:10 م</v>
      </c>
      <c r="C76" s="7">
        <v>1</v>
      </c>
      <c r="D76" s="7" t="s">
        <v>593</v>
      </c>
      <c r="E76" s="7" t="s">
        <v>1039</v>
      </c>
      <c r="F76" s="2"/>
    </row>
    <row r="77" spans="1:6" ht="14" customHeight="1">
      <c r="A77" s="8">
        <v>10</v>
      </c>
      <c r="B77" s="7" t="str">
        <f>المدخلات!$F$4</f>
        <v>4:00–5:10 م</v>
      </c>
      <c r="C77" s="7">
        <v>2</v>
      </c>
      <c r="D77" s="7" t="s">
        <v>593</v>
      </c>
      <c r="E77" s="7" t="s">
        <v>608</v>
      </c>
      <c r="F77" s="2"/>
    </row>
    <row r="78" spans="1:6" ht="14" customHeight="1">
      <c r="A78" s="8">
        <v>10</v>
      </c>
      <c r="B78" s="7" t="str">
        <f>المدخلات!$F$5</f>
        <v>5:20–6:30 م</v>
      </c>
      <c r="C78" s="7">
        <v>1</v>
      </c>
      <c r="D78" s="7" t="s">
        <v>593</v>
      </c>
      <c r="E78" s="7" t="s">
        <v>17</v>
      </c>
      <c r="F78" s="2"/>
    </row>
    <row r="79" spans="1:6" ht="14" customHeight="1">
      <c r="A79" s="8">
        <v>10</v>
      </c>
      <c r="B79" s="7" t="str">
        <f>المدخلات!$F$5</f>
        <v>5:20–6:30 م</v>
      </c>
      <c r="C79" s="7">
        <v>2</v>
      </c>
      <c r="D79" s="7" t="s">
        <v>593</v>
      </c>
      <c r="E79" s="7" t="s">
        <v>24</v>
      </c>
      <c r="F79" s="2"/>
    </row>
    <row r="80" spans="1:6" ht="14" customHeight="1">
      <c r="A80" s="8">
        <v>10</v>
      </c>
      <c r="B80" s="7" t="str">
        <f>المدخلات!$F$4</f>
        <v>4:00–5:10 م</v>
      </c>
      <c r="C80" s="7">
        <v>3</v>
      </c>
      <c r="D80" s="7" t="s">
        <v>594</v>
      </c>
      <c r="E80" s="7" t="s">
        <v>1070</v>
      </c>
      <c r="F80" s="2"/>
    </row>
    <row r="81" spans="1:6" ht="14" customHeight="1">
      <c r="A81" s="8">
        <v>10</v>
      </c>
      <c r="B81" s="7" t="str">
        <f>المدخلات!$F$4</f>
        <v>4:00–5:10 م</v>
      </c>
      <c r="C81" s="7">
        <v>4</v>
      </c>
      <c r="D81" s="7" t="s">
        <v>594</v>
      </c>
      <c r="E81" s="7" t="s">
        <v>610</v>
      </c>
      <c r="F81" s="2"/>
    </row>
    <row r="82" spans="1:6" ht="14" customHeight="1">
      <c r="A82" s="8">
        <v>10</v>
      </c>
      <c r="B82" s="7" t="str">
        <f>المدخلات!$F$5</f>
        <v>5:20–6:30 م</v>
      </c>
      <c r="C82" s="7">
        <v>3</v>
      </c>
      <c r="D82" s="7" t="s">
        <v>594</v>
      </c>
      <c r="E82" s="7" t="s">
        <v>56</v>
      </c>
      <c r="F82" s="2"/>
    </row>
    <row r="83" spans="1:6" ht="14" customHeight="1">
      <c r="A83" s="8">
        <v>10</v>
      </c>
      <c r="B83" s="7" t="str">
        <f>المدخلات!$F$5</f>
        <v>5:20–6:30 م</v>
      </c>
      <c r="C83" s="7">
        <v>4</v>
      </c>
      <c r="D83" s="7" t="s">
        <v>594</v>
      </c>
      <c r="E83" s="7" t="s">
        <v>102</v>
      </c>
      <c r="F83" s="2"/>
    </row>
    <row r="84" spans="1:6" ht="14" customHeight="1">
      <c r="A84" s="8">
        <v>11</v>
      </c>
      <c r="B84" s="7" t="str">
        <f>المدخلات!$F$4</f>
        <v>4:00–5:10 م</v>
      </c>
      <c r="C84" s="7">
        <v>1</v>
      </c>
      <c r="D84" s="7" t="s">
        <v>593</v>
      </c>
      <c r="E84" s="7" t="s">
        <v>20</v>
      </c>
      <c r="F84" s="2"/>
    </row>
    <row r="85" spans="1:6" ht="14" customHeight="1">
      <c r="A85" s="8">
        <v>11</v>
      </c>
      <c r="B85" s="7" t="str">
        <f>المدخلات!$F$4</f>
        <v>4:00–5:10 م</v>
      </c>
      <c r="C85" s="7">
        <v>2</v>
      </c>
      <c r="D85" s="7" t="s">
        <v>593</v>
      </c>
      <c r="E85" s="7" t="s">
        <v>622</v>
      </c>
      <c r="F85" s="2"/>
    </row>
    <row r="86" spans="1:6" ht="14" customHeight="1">
      <c r="A86" s="8">
        <v>11</v>
      </c>
      <c r="B86" s="7" t="str">
        <f>المدخلات!$F$5</f>
        <v>5:20–6:30 م</v>
      </c>
      <c r="C86" s="7">
        <v>1</v>
      </c>
      <c r="D86" s="7" t="s">
        <v>593</v>
      </c>
      <c r="E86" s="7" t="s">
        <v>9</v>
      </c>
      <c r="F86" s="2"/>
    </row>
    <row r="87" spans="1:6" ht="14" customHeight="1">
      <c r="A87" s="8">
        <v>11</v>
      </c>
      <c r="B87" s="7" t="str">
        <f>المدخلات!$F$5</f>
        <v>5:20–6:30 م</v>
      </c>
      <c r="C87" s="7">
        <v>2</v>
      </c>
      <c r="D87" s="7" t="s">
        <v>593</v>
      </c>
      <c r="E87" s="7" t="s">
        <v>623</v>
      </c>
      <c r="F87" s="2"/>
    </row>
    <row r="88" spans="1:6" ht="14" customHeight="1">
      <c r="A88" s="8">
        <v>11</v>
      </c>
      <c r="B88" s="7" t="str">
        <f>المدخلات!$F$4</f>
        <v>4:00–5:10 م</v>
      </c>
      <c r="C88" s="7">
        <v>3</v>
      </c>
      <c r="D88" s="7" t="s">
        <v>594</v>
      </c>
      <c r="E88" s="7" t="s">
        <v>91</v>
      </c>
      <c r="F88" s="2"/>
    </row>
    <row r="89" spans="1:6" ht="14" customHeight="1">
      <c r="A89" s="8">
        <v>11</v>
      </c>
      <c r="B89" s="7" t="str">
        <f>المدخلات!$F$4</f>
        <v>4:00–5:10 م</v>
      </c>
      <c r="C89" s="7">
        <v>4</v>
      </c>
      <c r="D89" s="7" t="s">
        <v>594</v>
      </c>
      <c r="E89" s="7" t="s">
        <v>625</v>
      </c>
      <c r="F89" s="2"/>
    </row>
    <row r="90" spans="1:6" ht="14" customHeight="1">
      <c r="A90" s="8">
        <v>11</v>
      </c>
      <c r="B90" s="7" t="str">
        <f>المدخلات!$F$5</f>
        <v>5:20–6:30 م</v>
      </c>
      <c r="C90" s="7">
        <v>3</v>
      </c>
      <c r="D90" s="7" t="s">
        <v>594</v>
      </c>
      <c r="E90" s="7" t="s">
        <v>96</v>
      </c>
      <c r="F90" s="2"/>
    </row>
    <row r="91" spans="1:6" ht="14" customHeight="1">
      <c r="A91" s="8">
        <v>11</v>
      </c>
      <c r="B91" s="7" t="str">
        <f>المدخلات!$F$5</f>
        <v>5:20–6:30 م</v>
      </c>
      <c r="C91" s="7">
        <v>4</v>
      </c>
      <c r="D91" s="7" t="s">
        <v>594</v>
      </c>
      <c r="E91" s="7" t="s">
        <v>626</v>
      </c>
      <c r="F91" s="2"/>
    </row>
    <row r="92" spans="1:6" ht="14" customHeight="1">
      <c r="A92" s="8">
        <v>12</v>
      </c>
      <c r="B92" s="7" t="str">
        <f>المدخلات!$F$4</f>
        <v>4:00–5:10 م</v>
      </c>
      <c r="C92" s="7">
        <v>1</v>
      </c>
      <c r="D92" s="7" t="s">
        <v>593</v>
      </c>
      <c r="E92" s="7" t="s">
        <v>634</v>
      </c>
      <c r="F92" s="2"/>
    </row>
    <row r="93" spans="1:6" ht="14" customHeight="1">
      <c r="A93" s="8">
        <v>12</v>
      </c>
      <c r="B93" s="7" t="str">
        <f>المدخلات!$F$4</f>
        <v>4:00–5:10 م</v>
      </c>
      <c r="C93" s="7">
        <v>2</v>
      </c>
      <c r="D93" s="7" t="s">
        <v>593</v>
      </c>
      <c r="E93" s="7" t="s">
        <v>30</v>
      </c>
      <c r="F93" s="2"/>
    </row>
    <row r="94" spans="1:6" ht="14" customHeight="1">
      <c r="A94" s="8">
        <v>12</v>
      </c>
      <c r="B94" s="7" t="str">
        <f>المدخلات!$F$5</f>
        <v>5:20–6:30 م</v>
      </c>
      <c r="C94" s="7">
        <v>1</v>
      </c>
      <c r="D94" s="7" t="s">
        <v>593</v>
      </c>
      <c r="E94" s="7" t="s">
        <v>13</v>
      </c>
      <c r="F94" s="2"/>
    </row>
    <row r="95" spans="1:6" ht="14" customHeight="1">
      <c r="A95" s="8">
        <v>12</v>
      </c>
      <c r="B95" s="7" t="str">
        <f>المدخلات!$F$5</f>
        <v>5:20–6:30 م</v>
      </c>
      <c r="C95" s="7">
        <v>2</v>
      </c>
      <c r="D95" s="7" t="s">
        <v>593</v>
      </c>
      <c r="E95" s="7" t="s">
        <v>18</v>
      </c>
      <c r="F95" s="2"/>
    </row>
    <row r="96" spans="1:6" ht="14" customHeight="1">
      <c r="A96" s="8">
        <v>12</v>
      </c>
      <c r="B96" s="7" t="str">
        <f>المدخلات!$F$4</f>
        <v>4:00–5:10 م</v>
      </c>
      <c r="C96" s="7">
        <v>3</v>
      </c>
      <c r="D96" s="7" t="s">
        <v>594</v>
      </c>
      <c r="E96" s="7" t="s">
        <v>636</v>
      </c>
      <c r="F96" s="2"/>
    </row>
    <row r="97" spans="1:6" ht="14" customHeight="1">
      <c r="A97" s="8">
        <v>12</v>
      </c>
      <c r="B97" s="7" t="str">
        <f>المدخلات!$F$4</f>
        <v>4:00–5:10 م</v>
      </c>
      <c r="C97" s="7">
        <v>4</v>
      </c>
      <c r="D97" s="7" t="s">
        <v>594</v>
      </c>
      <c r="E97" s="7" t="s">
        <v>129</v>
      </c>
      <c r="F97" s="2"/>
    </row>
    <row r="98" spans="1:6" ht="14" customHeight="1">
      <c r="A98" s="8">
        <v>12</v>
      </c>
      <c r="B98" s="7" t="str">
        <f>المدخلات!$F$5</f>
        <v>5:20–6:30 م</v>
      </c>
      <c r="C98" s="7">
        <v>3</v>
      </c>
      <c r="D98" s="7" t="s">
        <v>594</v>
      </c>
      <c r="E98" s="7" t="s">
        <v>90</v>
      </c>
      <c r="F98" s="2"/>
    </row>
    <row r="99" spans="1:6" ht="14" customHeight="1">
      <c r="A99" s="8">
        <v>12</v>
      </c>
      <c r="B99" s="7" t="str">
        <f>المدخلات!$F$5</f>
        <v>5:20–6:30 م</v>
      </c>
      <c r="C99" s="7">
        <v>4</v>
      </c>
      <c r="D99" s="7" t="s">
        <v>594</v>
      </c>
      <c r="E99" s="7" t="s">
        <v>67</v>
      </c>
      <c r="F99" s="2"/>
    </row>
    <row r="100" spans="1:6" ht="14" customHeight="1">
      <c r="A100" s="8">
        <v>13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14</v>
      </c>
      <c r="F100" s="2"/>
    </row>
    <row r="101" spans="1:6" ht="14" customHeight="1">
      <c r="A101" s="8">
        <v>13</v>
      </c>
      <c r="B101" s="7" t="str">
        <f>المدخلات!$F$4</f>
        <v>4:00–5:10 م</v>
      </c>
      <c r="C101" s="7">
        <v>2</v>
      </c>
      <c r="D101" s="7" t="s">
        <v>593</v>
      </c>
      <c r="E101" s="7" t="s">
        <v>1040</v>
      </c>
      <c r="F101" s="2"/>
    </row>
    <row r="102" spans="1:6" ht="14" customHeight="1">
      <c r="A102" s="8">
        <v>13</v>
      </c>
      <c r="B102" s="7" t="str">
        <f>المدخلات!$F$5</f>
        <v>5:20–6:30 م</v>
      </c>
      <c r="C102" s="7">
        <v>1</v>
      </c>
      <c r="D102" s="7" t="s">
        <v>593</v>
      </c>
      <c r="E102" s="7" t="s">
        <v>23</v>
      </c>
      <c r="F102" s="2"/>
    </row>
    <row r="103" spans="1:6" ht="14" customHeight="1">
      <c r="A103" s="8">
        <v>13</v>
      </c>
      <c r="B103" s="7" t="str">
        <f>المدخلات!$F$5</f>
        <v>5:20–6:30 م</v>
      </c>
      <c r="C103" s="7">
        <v>2</v>
      </c>
      <c r="D103" s="7" t="s">
        <v>593</v>
      </c>
      <c r="E103" s="7" t="s">
        <v>34</v>
      </c>
      <c r="F103" s="2"/>
    </row>
    <row r="104" spans="1:6" ht="14" customHeight="1">
      <c r="A104" s="8">
        <v>13</v>
      </c>
      <c r="B104" s="7" t="str">
        <f>المدخلات!$F$4</f>
        <v>4:00–5:10 م</v>
      </c>
      <c r="C104" s="7">
        <v>3</v>
      </c>
      <c r="D104" s="7" t="s">
        <v>594</v>
      </c>
      <c r="E104" s="7" t="s">
        <v>64</v>
      </c>
      <c r="F104" s="2"/>
    </row>
    <row r="105" spans="1:6" ht="14" customHeight="1">
      <c r="A105" s="8">
        <v>13</v>
      </c>
      <c r="B105" s="7" t="str">
        <f>المدخلات!$F$4</f>
        <v>4:00–5:10 م</v>
      </c>
      <c r="C105" s="7">
        <v>4</v>
      </c>
      <c r="D105" s="7" t="s">
        <v>594</v>
      </c>
      <c r="E105" s="7" t="s">
        <v>721</v>
      </c>
      <c r="F105" s="2"/>
    </row>
    <row r="106" spans="1:6" ht="14" customHeight="1">
      <c r="A106" s="8">
        <v>13</v>
      </c>
      <c r="B106" s="7" t="str">
        <f>المدخلات!$F$5</f>
        <v>5:20–6:30 م</v>
      </c>
      <c r="C106" s="7">
        <v>3</v>
      </c>
      <c r="D106" s="7" t="s">
        <v>594</v>
      </c>
      <c r="E106" s="7" t="s">
        <v>103</v>
      </c>
      <c r="F106" s="2"/>
    </row>
    <row r="107" spans="1:6" ht="14" customHeight="1">
      <c r="A107" s="8">
        <v>13</v>
      </c>
      <c r="B107" s="7" t="str">
        <f>المدخلات!$F$5</f>
        <v>5:20–6:30 م</v>
      </c>
      <c r="C107" s="7">
        <v>4</v>
      </c>
      <c r="D107" s="7" t="s">
        <v>594</v>
      </c>
      <c r="E107" s="7" t="s">
        <v>130</v>
      </c>
      <c r="F107" s="2"/>
    </row>
    <row r="108" spans="1:6" ht="14" customHeight="1">
      <c r="A108" s="8">
        <v>14</v>
      </c>
      <c r="B108" s="7" t="str">
        <f>المدخلات!$F$4</f>
        <v>4:00–5:10 م</v>
      </c>
      <c r="C108" s="7">
        <v>1</v>
      </c>
      <c r="D108" s="7" t="s">
        <v>593</v>
      </c>
      <c r="E108" s="7" t="s">
        <v>16</v>
      </c>
      <c r="F108" s="2"/>
    </row>
    <row r="109" spans="1:6" ht="14" customHeight="1">
      <c r="A109" s="8">
        <v>14</v>
      </c>
      <c r="B109" s="7" t="str">
        <f>المدخلات!$F$4</f>
        <v>4:00–5:10 م</v>
      </c>
      <c r="C109" s="7">
        <v>2</v>
      </c>
      <c r="D109" s="7" t="s">
        <v>593</v>
      </c>
      <c r="E109" s="7" t="s">
        <v>26</v>
      </c>
      <c r="F109" s="2"/>
    </row>
    <row r="110" spans="1:6" ht="14" customHeight="1">
      <c r="A110" s="8">
        <v>14</v>
      </c>
      <c r="B110" s="7" t="str">
        <f>المدخلات!$F$5</f>
        <v>5:20–6:30 م</v>
      </c>
      <c r="C110" s="7">
        <v>1</v>
      </c>
      <c r="D110" s="7" t="s">
        <v>593</v>
      </c>
      <c r="E110" s="7" t="s">
        <v>11</v>
      </c>
      <c r="F110" s="2"/>
    </row>
    <row r="111" spans="1:6" ht="14" customHeight="1">
      <c r="A111" s="8">
        <v>14</v>
      </c>
      <c r="B111" s="7" t="str">
        <f>المدخلات!$F$5</f>
        <v>5:20–6:30 م</v>
      </c>
      <c r="C111" s="7">
        <v>2</v>
      </c>
      <c r="D111" s="7" t="s">
        <v>593</v>
      </c>
      <c r="E111" s="7" t="s">
        <v>1048</v>
      </c>
      <c r="F111" s="2"/>
    </row>
    <row r="112" spans="1:6" ht="14" customHeight="1">
      <c r="A112" s="8">
        <v>14</v>
      </c>
      <c r="B112" s="7" t="str">
        <f>المدخلات!$F$4</f>
        <v>4:00–5:10 م</v>
      </c>
      <c r="C112" s="7">
        <v>3</v>
      </c>
      <c r="D112" s="7" t="s">
        <v>594</v>
      </c>
      <c r="E112" s="7" t="s">
        <v>98</v>
      </c>
      <c r="F112" s="2"/>
    </row>
    <row r="113" spans="1:6" ht="14" customHeight="1">
      <c r="A113" s="8">
        <v>14</v>
      </c>
      <c r="B113" s="7" t="str">
        <f>المدخلات!$F$4</f>
        <v>4:00–5:10 م</v>
      </c>
      <c r="C113" s="7">
        <v>4</v>
      </c>
      <c r="D113" s="7" t="s">
        <v>594</v>
      </c>
      <c r="E113" s="7" t="s">
        <v>100</v>
      </c>
      <c r="F113" s="2"/>
    </row>
    <row r="114" spans="1:6" ht="14" customHeight="1">
      <c r="A114" s="8">
        <v>14</v>
      </c>
      <c r="B114" s="7" t="str">
        <f>المدخلات!$F$5</f>
        <v>5:20–6:30 م</v>
      </c>
      <c r="C114" s="7">
        <v>3</v>
      </c>
      <c r="D114" s="7" t="s">
        <v>594</v>
      </c>
      <c r="E114" s="7" t="s">
        <v>46</v>
      </c>
      <c r="F114" s="2"/>
    </row>
    <row r="115" spans="1:6" ht="14" customHeight="1">
      <c r="A115" s="8">
        <v>14</v>
      </c>
      <c r="B115" s="7" t="str">
        <f>المدخلات!$F$5</f>
        <v>5:20–6:30 م</v>
      </c>
      <c r="C115" s="7">
        <v>4</v>
      </c>
      <c r="D115" s="7" t="s">
        <v>594</v>
      </c>
      <c r="E115" s="7" t="s">
        <v>1076</v>
      </c>
      <c r="F115" s="2"/>
    </row>
    <row r="116" spans="1:6" ht="14" customHeight="1">
      <c r="A116" s="8">
        <v>15</v>
      </c>
      <c r="B116" s="7" t="str">
        <f>المدخلات!$F$4</f>
        <v>4:00–5:10 م</v>
      </c>
      <c r="C116" s="7">
        <v>1</v>
      </c>
      <c r="D116" s="7" t="s">
        <v>593</v>
      </c>
      <c r="E116" s="7" t="s">
        <v>12</v>
      </c>
      <c r="F116" s="2"/>
    </row>
    <row r="117" spans="1:6" ht="14" customHeight="1">
      <c r="A117" s="8">
        <v>15</v>
      </c>
      <c r="B117" s="7" t="str">
        <f>المدخلات!$F$4</f>
        <v>4:00–5:10 م</v>
      </c>
      <c r="C117" s="7">
        <v>2</v>
      </c>
      <c r="D117" s="7" t="s">
        <v>593</v>
      </c>
      <c r="E117" s="7" t="s">
        <v>1049</v>
      </c>
      <c r="F117" s="2"/>
    </row>
    <row r="118" spans="1:6" ht="14" customHeight="1">
      <c r="A118" s="8">
        <v>15</v>
      </c>
      <c r="B118" s="7" t="str">
        <f>المدخلات!$F$5</f>
        <v>5:20–6:30 م</v>
      </c>
      <c r="C118" s="7">
        <v>1</v>
      </c>
      <c r="D118" s="7" t="s">
        <v>593</v>
      </c>
      <c r="E118" s="7" t="s">
        <v>10</v>
      </c>
      <c r="F118" s="2"/>
    </row>
    <row r="119" spans="1:6" ht="14" customHeight="1">
      <c r="A119" s="8">
        <v>15</v>
      </c>
      <c r="B119" s="7" t="str">
        <f>المدخلات!$F$5</f>
        <v>5:20–6:30 م</v>
      </c>
      <c r="C119" s="7">
        <v>2</v>
      </c>
      <c r="D119" s="7" t="s">
        <v>593</v>
      </c>
      <c r="E119" s="7" t="s">
        <v>1045</v>
      </c>
      <c r="F119" s="2"/>
    </row>
    <row r="120" spans="1:6" ht="14" customHeight="1">
      <c r="A120" s="8">
        <v>15</v>
      </c>
      <c r="B120" s="7" t="str">
        <f>المدخلات!$F$4</f>
        <v>4:00–5:10 م</v>
      </c>
      <c r="C120" s="7">
        <v>3</v>
      </c>
      <c r="D120" s="7" t="s">
        <v>594</v>
      </c>
      <c r="E120" s="7" t="s">
        <v>99</v>
      </c>
      <c r="F120" s="2"/>
    </row>
    <row r="121" spans="1:6" ht="14" customHeight="1">
      <c r="A121" s="8">
        <v>15</v>
      </c>
      <c r="B121" s="7" t="str">
        <f>المدخلات!$F$4</f>
        <v>4:00–5:10 م</v>
      </c>
      <c r="C121" s="7">
        <v>4</v>
      </c>
      <c r="D121" s="7" t="s">
        <v>594</v>
      </c>
      <c r="E121" s="7" t="s">
        <v>1077</v>
      </c>
      <c r="F121" s="2"/>
    </row>
    <row r="122" spans="1:6" ht="14" customHeight="1">
      <c r="A122" s="8">
        <v>15</v>
      </c>
      <c r="B122" s="7" t="str">
        <f>المدخلات!$F$5</f>
        <v>5:20–6:30 م</v>
      </c>
      <c r="C122" s="7">
        <v>3</v>
      </c>
      <c r="D122" s="7" t="s">
        <v>594</v>
      </c>
      <c r="E122" s="7" t="s">
        <v>92</v>
      </c>
      <c r="F122" s="2"/>
    </row>
    <row r="123" spans="1:6" ht="14" customHeight="1">
      <c r="A123" s="8">
        <v>15</v>
      </c>
      <c r="B123" s="7" t="str">
        <f>المدخلات!$F$5</f>
        <v>5:20–6:30 م</v>
      </c>
      <c r="C123" s="7">
        <v>4</v>
      </c>
      <c r="D123" s="7" t="s">
        <v>594</v>
      </c>
      <c r="E123" s="7" t="s">
        <v>1074</v>
      </c>
      <c r="F123" s="2"/>
    </row>
    <row r="124" spans="1:6" ht="14" customHeight="1">
      <c r="A124" s="8">
        <v>16</v>
      </c>
      <c r="B124" s="7" t="str">
        <f>المدخلات!$F$4</f>
        <v>4:00–5:10 م</v>
      </c>
      <c r="C124" s="7">
        <v>1</v>
      </c>
      <c r="D124" s="7" t="s">
        <v>593</v>
      </c>
      <c r="E124" s="7" t="s">
        <v>7</v>
      </c>
      <c r="F124" s="2"/>
    </row>
    <row r="125" spans="1:6" ht="14" customHeight="1">
      <c r="A125" s="8">
        <v>16</v>
      </c>
      <c r="B125" s="7" t="str">
        <f>المدخلات!$F$4</f>
        <v>4:00–5:10 م</v>
      </c>
      <c r="C125" s="7">
        <v>2</v>
      </c>
      <c r="D125" s="7" t="s">
        <v>593</v>
      </c>
      <c r="E125" s="7" t="s">
        <v>19</v>
      </c>
      <c r="F125" s="2"/>
    </row>
    <row r="126" spans="1:6" ht="14" customHeight="1">
      <c r="A126" s="8">
        <v>16</v>
      </c>
      <c r="B126" s="7" t="str">
        <f>المدخلات!$F$5</f>
        <v>5:20–6:30 م</v>
      </c>
      <c r="C126" s="7">
        <v>1</v>
      </c>
      <c r="D126" s="7" t="s">
        <v>593</v>
      </c>
      <c r="E126" s="7" t="s">
        <v>28</v>
      </c>
      <c r="F126" s="2"/>
    </row>
    <row r="127" spans="1:6" ht="14" customHeight="1">
      <c r="A127" s="8">
        <v>16</v>
      </c>
      <c r="B127" s="7" t="str">
        <f>المدخلات!$F$5</f>
        <v>5:20–6:30 م</v>
      </c>
      <c r="C127" s="7">
        <v>2</v>
      </c>
      <c r="D127" s="7" t="s">
        <v>593</v>
      </c>
      <c r="E127" s="7" t="s">
        <v>1047</v>
      </c>
      <c r="F127" s="2"/>
    </row>
    <row r="128" spans="1:6" ht="14" customHeight="1">
      <c r="A128" s="8">
        <v>16</v>
      </c>
      <c r="B128" s="7" t="str">
        <f>المدخلات!$F$4</f>
        <v>4:00–5:10 م</v>
      </c>
      <c r="C128" s="7">
        <v>3</v>
      </c>
      <c r="D128" s="7" t="s">
        <v>594</v>
      </c>
      <c r="E128" s="7" t="s">
        <v>93</v>
      </c>
      <c r="F128" s="2"/>
    </row>
    <row r="129" spans="1:6" ht="14" customHeight="1">
      <c r="A129" s="8">
        <v>16</v>
      </c>
      <c r="B129" s="7" t="str">
        <f>المدخلات!$F$4</f>
        <v>4:00–5:10 م</v>
      </c>
      <c r="C129" s="7">
        <v>4</v>
      </c>
      <c r="D129" s="7" t="s">
        <v>594</v>
      </c>
      <c r="E129" s="7" t="s">
        <v>72</v>
      </c>
      <c r="F129" s="2"/>
    </row>
    <row r="130" spans="1:6" ht="14" customHeight="1">
      <c r="A130" s="8">
        <v>16</v>
      </c>
      <c r="B130" s="7" t="str">
        <f>المدخلات!$F$5</f>
        <v>5:20–6:30 م</v>
      </c>
      <c r="C130" s="7">
        <v>3</v>
      </c>
      <c r="D130" s="7" t="s">
        <v>594</v>
      </c>
      <c r="E130" s="7" t="s">
        <v>109</v>
      </c>
      <c r="F130" s="2"/>
    </row>
    <row r="131" spans="1:6" ht="14" customHeight="1">
      <c r="A131" s="8">
        <v>16</v>
      </c>
      <c r="B131" s="7" t="str">
        <f>المدخلات!$F$5</f>
        <v>5:20–6:30 م</v>
      </c>
      <c r="C131" s="7">
        <v>4</v>
      </c>
      <c r="D131" s="7" t="s">
        <v>594</v>
      </c>
      <c r="E131" s="7" t="s">
        <v>696</v>
      </c>
      <c r="F131" s="2"/>
    </row>
    <row r="132" spans="1:6" ht="14" customHeight="1">
      <c r="A132" s="8">
        <v>17</v>
      </c>
      <c r="B132" s="7" t="str">
        <f>المدخلات!$F$4</f>
        <v>4:00–5:10 م</v>
      </c>
      <c r="C132" s="7">
        <v>1</v>
      </c>
      <c r="D132" s="7" t="s">
        <v>593</v>
      </c>
      <c r="E132" s="7" t="s">
        <v>24</v>
      </c>
      <c r="F132" s="2"/>
    </row>
    <row r="133" spans="1:6" ht="14" customHeight="1">
      <c r="A133" s="8">
        <v>17</v>
      </c>
      <c r="B133" s="7" t="str">
        <f>المدخلات!$F$4</f>
        <v>4:00–5:10 م</v>
      </c>
      <c r="C133" s="7">
        <v>2</v>
      </c>
      <c r="D133" s="7" t="s">
        <v>593</v>
      </c>
      <c r="E133" s="7" t="s">
        <v>15</v>
      </c>
      <c r="F133" s="2"/>
    </row>
    <row r="134" spans="1:6" ht="14" customHeight="1">
      <c r="A134" s="8">
        <v>17</v>
      </c>
      <c r="B134" s="7" t="str">
        <f>المدخلات!$F$5</f>
        <v>5:20–6:30 م</v>
      </c>
      <c r="C134" s="7">
        <v>1</v>
      </c>
      <c r="D134" s="7" t="s">
        <v>593</v>
      </c>
      <c r="E134" s="7" t="s">
        <v>17</v>
      </c>
      <c r="F134" s="2"/>
    </row>
    <row r="135" spans="1:6" ht="14" customHeight="1">
      <c r="A135" s="8">
        <v>17</v>
      </c>
      <c r="B135" s="7" t="str">
        <f>المدخلات!$F$5</f>
        <v>5:20–6:30 م</v>
      </c>
      <c r="C135" s="7">
        <v>2</v>
      </c>
      <c r="D135" s="7" t="s">
        <v>593</v>
      </c>
      <c r="E135" s="7" t="s">
        <v>32</v>
      </c>
      <c r="F135" s="2"/>
    </row>
    <row r="136" spans="1:6" ht="14" customHeight="1">
      <c r="A136" s="8">
        <v>17</v>
      </c>
      <c r="B136" s="7" t="str">
        <f>المدخلات!$F$4</f>
        <v>4:00–5:10 م</v>
      </c>
      <c r="C136" s="7">
        <v>3</v>
      </c>
      <c r="D136" s="7" t="s">
        <v>594</v>
      </c>
      <c r="E136" s="7" t="s">
        <v>102</v>
      </c>
      <c r="F136" s="2"/>
    </row>
    <row r="137" spans="1:6" ht="14" customHeight="1">
      <c r="A137" s="8">
        <v>17</v>
      </c>
      <c r="B137" s="7" t="str">
        <f>المدخلات!$F$4</f>
        <v>4:00–5:10 م</v>
      </c>
      <c r="C137" s="7">
        <v>4</v>
      </c>
      <c r="D137" s="7" t="s">
        <v>594</v>
      </c>
      <c r="E137" s="7" t="s">
        <v>94</v>
      </c>
      <c r="F137" s="2"/>
    </row>
    <row r="138" spans="1:6" ht="14" customHeight="1">
      <c r="A138" s="8">
        <v>17</v>
      </c>
      <c r="B138" s="7" t="str">
        <f>المدخلات!$F$5</f>
        <v>5:20–6:30 م</v>
      </c>
      <c r="C138" s="7">
        <v>3</v>
      </c>
      <c r="D138" s="7" t="s">
        <v>594</v>
      </c>
      <c r="E138" s="7" t="s">
        <v>56</v>
      </c>
      <c r="F138" s="2"/>
    </row>
    <row r="139" spans="1:6" ht="14" customHeight="1">
      <c r="A139" s="8">
        <v>17</v>
      </c>
      <c r="B139" s="7" t="str">
        <f>المدخلات!$F$5</f>
        <v>5:20–6:30 م</v>
      </c>
      <c r="C139" s="7">
        <v>4</v>
      </c>
      <c r="D139" s="7" t="s">
        <v>594</v>
      </c>
      <c r="E139" s="7" t="s">
        <v>112</v>
      </c>
      <c r="F139" s="2"/>
    </row>
    <row r="140" spans="1:6" ht="14" customHeight="1">
      <c r="A140" s="8">
        <v>18</v>
      </c>
      <c r="B140" s="7" t="str">
        <f>المدخلات!$F$4</f>
        <v>4:00–5:10 م</v>
      </c>
      <c r="C140" s="7">
        <v>1</v>
      </c>
      <c r="D140" s="7" t="s">
        <v>593</v>
      </c>
      <c r="E140" s="7" t="s">
        <v>623</v>
      </c>
      <c r="F140" s="2"/>
    </row>
    <row r="141" spans="1:6" ht="14" customHeight="1">
      <c r="A141" s="8">
        <v>18</v>
      </c>
      <c r="B141" s="7" t="str">
        <f>المدخلات!$F$4</f>
        <v>4:00–5:10 م</v>
      </c>
      <c r="C141" s="7">
        <v>2</v>
      </c>
      <c r="D141" s="7" t="s">
        <v>593</v>
      </c>
      <c r="E141" s="7" t="s">
        <v>621</v>
      </c>
      <c r="F141" s="2"/>
    </row>
    <row r="142" spans="1:6" ht="14" customHeight="1">
      <c r="A142" s="8">
        <v>18</v>
      </c>
      <c r="B142" s="7" t="str">
        <f>المدخلات!$F$5</f>
        <v>5:20–6:30 م</v>
      </c>
      <c r="C142" s="7">
        <v>1</v>
      </c>
      <c r="D142" s="7" t="s">
        <v>593</v>
      </c>
      <c r="E142" s="7" t="s">
        <v>1035</v>
      </c>
      <c r="F142" s="2"/>
    </row>
    <row r="143" spans="1:6" ht="14" customHeight="1">
      <c r="A143" s="8">
        <v>18</v>
      </c>
      <c r="B143" s="7" t="str">
        <f>المدخلات!$F$5</f>
        <v>5:20–6:30 م</v>
      </c>
      <c r="C143" s="7">
        <v>2</v>
      </c>
      <c r="D143" s="7" t="s">
        <v>593</v>
      </c>
      <c r="E143" s="7" t="s">
        <v>622</v>
      </c>
      <c r="F143" s="2"/>
    </row>
    <row r="144" spans="1:6" ht="14" customHeight="1">
      <c r="A144" s="8">
        <v>18</v>
      </c>
      <c r="B144" s="7" t="str">
        <f>المدخلات!$F$4</f>
        <v>4:00–5:10 م</v>
      </c>
      <c r="C144" s="7">
        <v>3</v>
      </c>
      <c r="D144" s="7" t="s">
        <v>594</v>
      </c>
      <c r="E144" s="7" t="s">
        <v>626</v>
      </c>
      <c r="F144" s="2"/>
    </row>
    <row r="145" spans="1:6" ht="14" customHeight="1">
      <c r="A145" s="8">
        <v>18</v>
      </c>
      <c r="B145" s="7" t="str">
        <f>المدخلات!$F$4</f>
        <v>4:00–5:10 م</v>
      </c>
      <c r="C145" s="7">
        <v>4</v>
      </c>
      <c r="D145" s="7" t="s">
        <v>594</v>
      </c>
      <c r="E145" s="7" t="s">
        <v>624</v>
      </c>
      <c r="F145" s="2"/>
    </row>
    <row r="146" spans="1:6" ht="14" customHeight="1">
      <c r="A146" s="8">
        <v>18</v>
      </c>
      <c r="B146" s="7" t="str">
        <f>المدخلات!$F$5</f>
        <v>5:20–6:30 م</v>
      </c>
      <c r="C146" s="7">
        <v>3</v>
      </c>
      <c r="D146" s="7" t="s">
        <v>594</v>
      </c>
      <c r="E146" s="7" t="s">
        <v>706</v>
      </c>
      <c r="F146" s="2"/>
    </row>
    <row r="147" spans="1:6" ht="14" customHeight="1">
      <c r="A147" s="8">
        <v>18</v>
      </c>
      <c r="B147" s="7" t="str">
        <f>المدخلات!$F$5</f>
        <v>5:20–6:30 م</v>
      </c>
      <c r="C147" s="7">
        <v>4</v>
      </c>
      <c r="D147" s="7" t="s">
        <v>594</v>
      </c>
      <c r="E147" s="7" t="s">
        <v>625</v>
      </c>
      <c r="F147" s="2"/>
    </row>
    <row r="148" spans="1:6" ht="14" customHeight="1">
      <c r="A148" s="8">
        <v>19</v>
      </c>
      <c r="B148" s="7" t="str">
        <f>المدخلات!$F$4</f>
        <v>4:00–5:10 م</v>
      </c>
      <c r="C148" s="7">
        <v>1</v>
      </c>
      <c r="D148" s="7" t="s">
        <v>593</v>
      </c>
      <c r="E148" s="7" t="s">
        <v>13</v>
      </c>
      <c r="F148" s="2"/>
    </row>
    <row r="149" spans="1:6" ht="14" customHeight="1">
      <c r="A149" s="8">
        <v>19</v>
      </c>
      <c r="B149" s="7" t="str">
        <f>المدخلات!$F$4</f>
        <v>4:00–5:10 م</v>
      </c>
      <c r="C149" s="7">
        <v>2</v>
      </c>
      <c r="D149" s="7" t="s">
        <v>593</v>
      </c>
      <c r="E149" s="7" t="s">
        <v>30</v>
      </c>
      <c r="F149" s="2"/>
    </row>
    <row r="150" spans="1:6" ht="14" customHeight="1">
      <c r="A150" s="8">
        <v>19</v>
      </c>
      <c r="B150" s="7" t="str">
        <f>المدخلات!$F$5</f>
        <v>5:20–6:30 م</v>
      </c>
      <c r="C150" s="7">
        <v>1</v>
      </c>
      <c r="D150" s="7" t="s">
        <v>593</v>
      </c>
      <c r="E150" s="7" t="s">
        <v>21</v>
      </c>
      <c r="F150" s="2"/>
    </row>
    <row r="151" spans="1:6" ht="14" customHeight="1">
      <c r="A151" s="8">
        <v>19</v>
      </c>
      <c r="B151" s="7" t="str">
        <f>المدخلات!$F$5</f>
        <v>5:20–6:30 م</v>
      </c>
      <c r="C151" s="7">
        <v>2</v>
      </c>
      <c r="D151" s="7" t="s">
        <v>593</v>
      </c>
      <c r="E151" s="7" t="s">
        <v>18</v>
      </c>
      <c r="F151" s="2"/>
    </row>
    <row r="152" spans="1:6" ht="14" customHeight="1">
      <c r="A152" s="8">
        <v>19</v>
      </c>
      <c r="B152" s="7" t="str">
        <f>المدخلات!$F$4</f>
        <v>4:00–5:10 م</v>
      </c>
      <c r="C152" s="7">
        <v>3</v>
      </c>
      <c r="D152" s="7" t="s">
        <v>594</v>
      </c>
      <c r="E152" s="7" t="s">
        <v>90</v>
      </c>
      <c r="F152" s="2"/>
    </row>
    <row r="153" spans="1:6" ht="14" customHeight="1">
      <c r="A153" s="8">
        <v>19</v>
      </c>
      <c r="B153" s="7" t="str">
        <f>المدخلات!$F$4</f>
        <v>4:00–5:10 م</v>
      </c>
      <c r="C153" s="7">
        <v>4</v>
      </c>
      <c r="D153" s="7" t="s">
        <v>594</v>
      </c>
      <c r="E153" s="7" t="s">
        <v>129</v>
      </c>
      <c r="F153" s="2"/>
    </row>
    <row r="154" spans="1:6" ht="14" customHeight="1">
      <c r="A154" s="8">
        <v>19</v>
      </c>
      <c r="B154" s="7" t="str">
        <f>المدخلات!$F$5</f>
        <v>5:20–6:30 م</v>
      </c>
      <c r="C154" s="7">
        <v>3</v>
      </c>
      <c r="D154" s="7" t="s">
        <v>594</v>
      </c>
      <c r="E154" s="7" t="s">
        <v>97</v>
      </c>
      <c r="F154" s="2"/>
    </row>
    <row r="155" spans="1:6" ht="14" customHeight="1">
      <c r="A155" s="8">
        <v>19</v>
      </c>
      <c r="B155" s="7" t="str">
        <f>المدخلات!$F$5</f>
        <v>5:20–6:30 م</v>
      </c>
      <c r="C155" s="7">
        <v>4</v>
      </c>
      <c r="D155" s="7" t="s">
        <v>594</v>
      </c>
      <c r="E155" s="7" t="s">
        <v>67</v>
      </c>
      <c r="F155" s="2"/>
    </row>
    <row r="156" spans="1:6" ht="14" customHeight="1">
      <c r="A156" s="8">
        <v>20</v>
      </c>
      <c r="B156" s="7" t="str">
        <f>المدخلات!$F$4</f>
        <v>4:00–5:10 م</v>
      </c>
      <c r="C156" s="7">
        <v>1</v>
      </c>
      <c r="D156" s="7" t="s">
        <v>593</v>
      </c>
      <c r="E156" s="7" t="s">
        <v>647</v>
      </c>
      <c r="F156" s="2"/>
    </row>
    <row r="157" spans="1:6" ht="14" customHeight="1">
      <c r="A157" s="8">
        <v>20</v>
      </c>
      <c r="B157" s="7" t="str">
        <f>المدخلات!$F$4</f>
        <v>4:00–5:10 م</v>
      </c>
      <c r="C157" s="7">
        <v>2</v>
      </c>
      <c r="D157" s="7" t="s">
        <v>593</v>
      </c>
      <c r="E157" s="7" t="s">
        <v>8</v>
      </c>
      <c r="F157" s="2"/>
    </row>
    <row r="158" spans="1:6" ht="14" customHeight="1">
      <c r="A158" s="8">
        <v>20</v>
      </c>
      <c r="B158" s="7" t="str">
        <f>المدخلات!$F$5</f>
        <v>5:20–6:30 م</v>
      </c>
      <c r="C158" s="7">
        <v>1</v>
      </c>
      <c r="D158" s="7" t="s">
        <v>593</v>
      </c>
      <c r="E158" s="7" t="s">
        <v>34</v>
      </c>
      <c r="F158" s="2"/>
    </row>
    <row r="159" spans="1:6" ht="14" customHeight="1">
      <c r="A159" s="8">
        <v>20</v>
      </c>
      <c r="B159" s="7" t="str">
        <f>المدخلات!$F$5</f>
        <v>5:20–6:30 م</v>
      </c>
      <c r="C159" s="7">
        <v>2</v>
      </c>
      <c r="D159" s="7" t="s">
        <v>593</v>
      </c>
      <c r="E159" s="7" t="s">
        <v>23</v>
      </c>
      <c r="F159" s="2"/>
    </row>
    <row r="160" spans="1:6" ht="14" customHeight="1">
      <c r="A160" s="8">
        <v>20</v>
      </c>
      <c r="B160" s="7" t="str">
        <f>المدخلات!$F$4</f>
        <v>4:00–5:10 م</v>
      </c>
      <c r="C160" s="7">
        <v>3</v>
      </c>
      <c r="D160" s="7" t="s">
        <v>594</v>
      </c>
      <c r="E160" s="7" t="s">
        <v>648</v>
      </c>
      <c r="F160" s="2"/>
    </row>
    <row r="161" spans="1:17" ht="14" customHeight="1">
      <c r="A161" s="8">
        <v>20</v>
      </c>
      <c r="B161" s="7" t="str">
        <f>المدخلات!$F$4</f>
        <v>4:00–5:10 م</v>
      </c>
      <c r="C161" s="7">
        <v>4</v>
      </c>
      <c r="D161" s="7" t="s">
        <v>594</v>
      </c>
      <c r="E161" s="7" t="s">
        <v>52</v>
      </c>
      <c r="F161" s="2"/>
    </row>
    <row r="162" spans="1:17" ht="14" customHeight="1">
      <c r="A162" s="8">
        <v>20</v>
      </c>
      <c r="B162" s="7" t="str">
        <f>المدخلات!$F$5</f>
        <v>5:20–6:30 م</v>
      </c>
      <c r="C162" s="7">
        <v>3</v>
      </c>
      <c r="D162" s="7" t="s">
        <v>594</v>
      </c>
      <c r="E162" s="7" t="s">
        <v>130</v>
      </c>
      <c r="F162" s="2"/>
    </row>
    <row r="163" spans="1:17" ht="14" customHeight="1">
      <c r="A163" s="8">
        <v>20</v>
      </c>
      <c r="B163" s="7" t="str">
        <f>المدخلات!$F$5</f>
        <v>5:20–6:30 م</v>
      </c>
      <c r="C163" s="7">
        <v>4</v>
      </c>
      <c r="D163" s="7" t="s">
        <v>594</v>
      </c>
      <c r="E163" s="7" t="s">
        <v>103</v>
      </c>
      <c r="F163" s="2"/>
    </row>
    <row r="164" spans="1:17" ht="14" customHeight="1">
      <c r="A164" s="8">
        <v>21</v>
      </c>
      <c r="B164" s="7" t="str">
        <f>المدخلات!$F$4</f>
        <v>4:00–5:10 م</v>
      </c>
      <c r="C164" s="7">
        <v>1</v>
      </c>
      <c r="D164" s="7" t="s">
        <v>593</v>
      </c>
      <c r="E164" s="7" t="s">
        <v>16</v>
      </c>
      <c r="F164" s="2"/>
    </row>
    <row r="165" spans="1:17" ht="14" customHeight="1">
      <c r="A165" s="8">
        <v>21</v>
      </c>
      <c r="B165" s="7" t="str">
        <f>المدخلات!$F$4</f>
        <v>4:00–5:10 م</v>
      </c>
      <c r="C165" s="7">
        <v>2</v>
      </c>
      <c r="D165" s="7" t="s">
        <v>593</v>
      </c>
      <c r="E165" s="7" t="s">
        <v>26</v>
      </c>
      <c r="F165" s="2"/>
    </row>
    <row r="166" spans="1:17" ht="14" customHeight="1">
      <c r="A166" s="8">
        <v>21</v>
      </c>
      <c r="B166" s="7" t="str">
        <f>المدخلات!$F$5</f>
        <v>5:20–6:30 م</v>
      </c>
      <c r="C166" s="7">
        <v>1</v>
      </c>
      <c r="D166" s="7" t="s">
        <v>593</v>
      </c>
      <c r="E166" s="7" t="s">
        <v>1037</v>
      </c>
      <c r="F166" s="2"/>
    </row>
    <row r="167" spans="1:17" ht="14" customHeight="1">
      <c r="A167" s="8">
        <v>21</v>
      </c>
      <c r="B167" s="7" t="str">
        <f>المدخلات!$F$5</f>
        <v>5:20–6:30 م</v>
      </c>
      <c r="C167" s="7">
        <v>2</v>
      </c>
      <c r="D167" s="7" t="s">
        <v>593</v>
      </c>
      <c r="E167" s="7" t="s">
        <v>1048</v>
      </c>
      <c r="F167" s="2"/>
    </row>
    <row r="168" spans="1:17" ht="14" customHeight="1">
      <c r="A168" s="8">
        <v>21</v>
      </c>
      <c r="B168" s="7" t="str">
        <f>المدخلات!$F$4</f>
        <v>4:00–5:10 م</v>
      </c>
      <c r="C168" s="7">
        <v>3</v>
      </c>
      <c r="D168" s="7" t="s">
        <v>594</v>
      </c>
      <c r="E168" s="7" t="s">
        <v>98</v>
      </c>
      <c r="F168" s="2"/>
    </row>
    <row r="169" spans="1:17" ht="14" customHeight="1">
      <c r="A169" s="8">
        <v>21</v>
      </c>
      <c r="B169" s="7" t="str">
        <f>المدخلات!$F$4</f>
        <v>4:00–5:10 م</v>
      </c>
      <c r="C169" s="7">
        <v>4</v>
      </c>
      <c r="D169" s="7" t="s">
        <v>594</v>
      </c>
      <c r="E169" s="7" t="s">
        <v>100</v>
      </c>
      <c r="F169" s="2"/>
    </row>
    <row r="170" spans="1:17" ht="14" customHeight="1">
      <c r="A170" s="8">
        <v>21</v>
      </c>
      <c r="B170" s="7" t="str">
        <f>المدخلات!$F$5</f>
        <v>5:20–6:30 م</v>
      </c>
      <c r="C170" s="7">
        <v>3</v>
      </c>
      <c r="D170" s="7" t="s">
        <v>594</v>
      </c>
      <c r="E170" s="7" t="s">
        <v>1072</v>
      </c>
      <c r="F170" s="2"/>
    </row>
    <row r="171" spans="1:17" ht="14" customHeight="1">
      <c r="A171" s="8">
        <v>21</v>
      </c>
      <c r="B171" s="7" t="str">
        <f>المدخلات!$F$5</f>
        <v>5:20–6:30 م</v>
      </c>
      <c r="C171" s="7">
        <v>4</v>
      </c>
      <c r="D171" s="7" t="s">
        <v>594</v>
      </c>
      <c r="E171" s="7" t="s">
        <v>1076</v>
      </c>
      <c r="F171" s="2"/>
    </row>
    <row r="172" spans="1:17" ht="14" customHeight="1">
      <c r="A172" s="8">
        <v>22</v>
      </c>
      <c r="B172" s="7" t="str">
        <f>المدخلات!$F$4</f>
        <v>4:00–5:10 م</v>
      </c>
      <c r="C172" s="7">
        <v>1</v>
      </c>
      <c r="D172" s="7" t="s">
        <v>581</v>
      </c>
      <c r="E172" s="7" t="s">
        <v>597</v>
      </c>
      <c r="F172" s="2"/>
    </row>
    <row r="173" spans="1:17">
      <c r="A173" s="2"/>
      <c r="B173" s="2"/>
      <c r="C173" s="2"/>
      <c r="D173" s="2"/>
      <c r="E173" s="2"/>
    </row>
    <row r="174" spans="1:17">
      <c r="A174" s="2"/>
      <c r="B174" s="2"/>
      <c r="C174" s="2"/>
      <c r="D174" s="2"/>
      <c r="E174" s="2"/>
    </row>
    <row r="175" spans="1:17" ht="14.5">
      <c r="A175" s="17" t="s">
        <v>828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spans="1:17" ht="14.5">
      <c r="A176" s="6" t="s">
        <v>829</v>
      </c>
      <c r="B176" s="6">
        <v>1</v>
      </c>
      <c r="C176" s="6">
        <v>2</v>
      </c>
      <c r="D176" s="6">
        <v>3</v>
      </c>
      <c r="E176" s="6">
        <v>4</v>
      </c>
      <c r="F176" s="6">
        <v>5</v>
      </c>
      <c r="G176" s="6">
        <v>6</v>
      </c>
      <c r="H176" s="6">
        <v>7</v>
      </c>
      <c r="I176" s="6">
        <v>8</v>
      </c>
      <c r="J176" s="6">
        <v>9</v>
      </c>
      <c r="K176" s="6">
        <v>10</v>
      </c>
      <c r="L176" s="6">
        <v>11</v>
      </c>
      <c r="M176" s="6">
        <v>12</v>
      </c>
      <c r="N176" s="6">
        <v>13</v>
      </c>
      <c r="O176" s="6">
        <v>14</v>
      </c>
      <c r="P176" s="6">
        <v>15</v>
      </c>
      <c r="Q176" s="6">
        <v>16</v>
      </c>
    </row>
    <row r="177" spans="1:17" ht="14.5">
      <c r="A177" s="14">
        <v>1</v>
      </c>
      <c r="B177" s="4" t="str">
        <f>IF($A177=B$176,"",COUNTIF($E$4:$E$172,$A177&amp;" ضد "&amp;B$176)+COUNTIF($E$4:$E$172,B$176&amp;" ضد "&amp;$A177))</f>
        <v/>
      </c>
      <c r="C177" s="4">
        <f>IF($A177=C$176,"",COUNTIF($E$4:$E$172,$A177&amp;" ضد "&amp;C$176)+COUNTIF($E$4:$E$172,C$176&amp;" ضد "&amp;$A177))</f>
        <v>3</v>
      </c>
      <c r="D177" s="4">
        <f>IF($A177=D$176,"",COUNTIF($E$4:$E$172,$A177&amp;" ضد "&amp;D$176)+COUNTIF($E$4:$E$172,D$176&amp;" ضد "&amp;$A177))</f>
        <v>3</v>
      </c>
      <c r="E177" s="4">
        <f>IF($A177=E$176,"",COUNTIF($E$4:$E$172,$A177&amp;" ضد "&amp;E$176)+COUNTIF($E$4:$E$172,E$176&amp;" ضد "&amp;$A177))</f>
        <v>3</v>
      </c>
      <c r="F177" s="4">
        <f>IF($A177=F$176,"",COUNTIF($E$4:$E$172,$A177&amp;" ضد "&amp;F$176)+COUNTIF($E$4:$E$172,F$176&amp;" ضد "&amp;$A177))</f>
        <v>3</v>
      </c>
      <c r="G177" s="4">
        <f>IF($A177=G$176,"",COUNTIF($E$4:$E$172,$A177&amp;" ضد "&amp;G$176)+COUNTIF($E$4:$E$172,G$176&amp;" ضد "&amp;$A177))</f>
        <v>3</v>
      </c>
      <c r="H177" s="4">
        <f>IF($A177=H$176,"",COUNTIF($E$4:$E$172,$A177&amp;" ضد "&amp;H$176)+COUNTIF($E$4:$E$172,H$176&amp;" ضد "&amp;$A177))</f>
        <v>3</v>
      </c>
      <c r="I177" s="4">
        <f>IF($A177=I$176,"",COUNTIF($E$4:$E$172,$A177&amp;" ضد "&amp;I$176)+COUNTIF($E$4:$E$172,I$176&amp;" ضد "&amp;$A177))</f>
        <v>3</v>
      </c>
      <c r="J177" s="4">
        <f>IF($A177=J$176,"",COUNTIF($E$4:$E$172,$A177&amp;" ضد "&amp;J$176)+COUNTIF($E$4:$E$172,J$176&amp;" ضد "&amp;$A177))</f>
        <v>0</v>
      </c>
      <c r="K177" s="4">
        <f>IF($A177=K$176,"",COUNTIF($E$4:$E$172,$A177&amp;" ضد "&amp;K$176)+COUNTIF($E$4:$E$172,K$176&amp;" ضد "&amp;$A177))</f>
        <v>0</v>
      </c>
      <c r="L177" s="4">
        <f>IF($A177=L$176,"",COUNTIF($E$4:$E$172,$A177&amp;" ضد "&amp;L$176)+COUNTIF($E$4:$E$172,L$176&amp;" ضد "&amp;$A177))</f>
        <v>0</v>
      </c>
      <c r="M177" s="4">
        <f>IF($A177=M$176,"",COUNTIF($E$4:$E$172,$A177&amp;" ضد "&amp;M$176)+COUNTIF($E$4:$E$172,M$176&amp;" ضد "&amp;$A177))</f>
        <v>0</v>
      </c>
      <c r="N177" s="4">
        <f>IF($A177=N$176,"",COUNTIF($E$4:$E$172,$A177&amp;" ضد "&amp;N$176)+COUNTIF($E$4:$E$172,N$176&amp;" ضد "&amp;$A177))</f>
        <v>0</v>
      </c>
      <c r="O177" s="4">
        <f>IF($A177=O$176,"",COUNTIF($E$4:$E$172,$A177&amp;" ضد "&amp;O$176)+COUNTIF($E$4:$E$172,O$176&amp;" ضد "&amp;$A177))</f>
        <v>0</v>
      </c>
      <c r="P177" s="4">
        <f>IF($A177=P$176,"",COUNTIF($E$4:$E$172,$A177&amp;" ضد "&amp;P$176)+COUNTIF($E$4:$E$172,P$176&amp;" ضد "&amp;$A177))</f>
        <v>0</v>
      </c>
      <c r="Q177" s="4">
        <f>IF($A177=Q$176,"",COUNTIF($E$4:$E$172,$A177&amp;" ضد "&amp;Q$176)+COUNTIF($E$4:$E$172,Q$176&amp;" ضد "&amp;$A177))</f>
        <v>0</v>
      </c>
    </row>
    <row r="178" spans="1:17" ht="14.5">
      <c r="A178" s="14">
        <v>2</v>
      </c>
      <c r="B178" s="4">
        <f>IF($A178=B$176,"",COUNTIF($E$4:$E$172,$A178&amp;" ضد "&amp;B$176)+COUNTIF($E$4:$E$172,B$176&amp;" ضد "&amp;$A178))</f>
        <v>3</v>
      </c>
      <c r="C178" s="4" t="str">
        <f>IF($A178=C$176,"",COUNTIF($E$4:$E$172,$A178&amp;" ضد "&amp;C$176)+COUNTIF($E$4:$E$172,C$176&amp;" ضد "&amp;$A178))</f>
        <v/>
      </c>
      <c r="D178" s="4">
        <f>IF($A178=D$176,"",COUNTIF($E$4:$E$172,$A178&amp;" ضد "&amp;D$176)+COUNTIF($E$4:$E$172,D$176&amp;" ضد "&amp;$A178))</f>
        <v>3</v>
      </c>
      <c r="E178" s="4">
        <f>IF($A178=E$176,"",COUNTIF($E$4:$E$172,$A178&amp;" ضد "&amp;E$176)+COUNTIF($E$4:$E$172,E$176&amp;" ضد "&amp;$A178))</f>
        <v>3</v>
      </c>
      <c r="F178" s="4">
        <f>IF($A178=F$176,"",COUNTIF($E$4:$E$172,$A178&amp;" ضد "&amp;F$176)+COUNTIF($E$4:$E$172,F$176&amp;" ضد "&amp;$A178))</f>
        <v>3</v>
      </c>
      <c r="G178" s="4">
        <f>IF($A178=G$176,"",COUNTIF($E$4:$E$172,$A178&amp;" ضد "&amp;G$176)+COUNTIF($E$4:$E$172,G$176&amp;" ضد "&amp;$A178))</f>
        <v>3</v>
      </c>
      <c r="H178" s="4">
        <f>IF($A178=H$176,"",COUNTIF($E$4:$E$172,$A178&amp;" ضد "&amp;H$176)+COUNTIF($E$4:$E$172,H$176&amp;" ضد "&amp;$A178))</f>
        <v>3</v>
      </c>
      <c r="I178" s="4">
        <f>IF($A178=I$176,"",COUNTIF($E$4:$E$172,$A178&amp;" ضد "&amp;I$176)+COUNTIF($E$4:$E$172,I$176&amp;" ضد "&amp;$A178))</f>
        <v>3</v>
      </c>
      <c r="J178" s="4">
        <f>IF($A178=J$176,"",COUNTIF($E$4:$E$172,$A178&amp;" ضد "&amp;J$176)+COUNTIF($E$4:$E$172,J$176&amp;" ضد "&amp;$A178))</f>
        <v>0</v>
      </c>
      <c r="K178" s="4">
        <f>IF($A178=K$176,"",COUNTIF($E$4:$E$172,$A178&amp;" ضد "&amp;K$176)+COUNTIF($E$4:$E$172,K$176&amp;" ضد "&amp;$A178))</f>
        <v>0</v>
      </c>
      <c r="L178" s="4">
        <f>IF($A178=L$176,"",COUNTIF($E$4:$E$172,$A178&amp;" ضد "&amp;L$176)+COUNTIF($E$4:$E$172,L$176&amp;" ضد "&amp;$A178))</f>
        <v>0</v>
      </c>
      <c r="M178" s="4">
        <f>IF($A178=M$176,"",COUNTIF($E$4:$E$172,$A178&amp;" ضد "&amp;M$176)+COUNTIF($E$4:$E$172,M$176&amp;" ضد "&amp;$A178))</f>
        <v>0</v>
      </c>
      <c r="N178" s="4">
        <f>IF($A178=N$176,"",COUNTIF($E$4:$E$172,$A178&amp;" ضد "&amp;N$176)+COUNTIF($E$4:$E$172,N$176&amp;" ضد "&amp;$A178))</f>
        <v>0</v>
      </c>
      <c r="O178" s="4">
        <f>IF($A178=O$176,"",COUNTIF($E$4:$E$172,$A178&amp;" ضد "&amp;O$176)+COUNTIF($E$4:$E$172,O$176&amp;" ضد "&amp;$A178))</f>
        <v>0</v>
      </c>
      <c r="P178" s="4">
        <f>IF($A178=P$176,"",COUNTIF($E$4:$E$172,$A178&amp;" ضد "&amp;P$176)+COUNTIF($E$4:$E$172,P$176&amp;" ضد "&amp;$A178))</f>
        <v>0</v>
      </c>
      <c r="Q178" s="4">
        <f>IF($A178=Q$176,"",COUNTIF($E$4:$E$172,$A178&amp;" ضد "&amp;Q$176)+COUNTIF($E$4:$E$172,Q$176&amp;" ضد "&amp;$A178))</f>
        <v>0</v>
      </c>
    </row>
    <row r="179" spans="1:17" ht="14.5">
      <c r="A179" s="14">
        <v>3</v>
      </c>
      <c r="B179" s="4">
        <f>IF($A179=B$176,"",COUNTIF($E$4:$E$172,$A179&amp;" ضد "&amp;B$176)+COUNTIF($E$4:$E$172,B$176&amp;" ضد "&amp;$A179))</f>
        <v>3</v>
      </c>
      <c r="C179" s="4">
        <f>IF($A179=C$176,"",COUNTIF($E$4:$E$172,$A179&amp;" ضد "&amp;C$176)+COUNTIF($E$4:$E$172,C$176&amp;" ضد "&amp;$A179))</f>
        <v>3</v>
      </c>
      <c r="D179" s="4" t="str">
        <f>IF($A179=D$176,"",COUNTIF($E$4:$E$172,$A179&amp;" ضد "&amp;D$176)+COUNTIF($E$4:$E$172,D$176&amp;" ضد "&amp;$A179))</f>
        <v/>
      </c>
      <c r="E179" s="4">
        <f>IF($A179=E$176,"",COUNTIF($E$4:$E$172,$A179&amp;" ضد "&amp;E$176)+COUNTIF($E$4:$E$172,E$176&amp;" ضد "&amp;$A179))</f>
        <v>3</v>
      </c>
      <c r="F179" s="4">
        <f>IF($A179=F$176,"",COUNTIF($E$4:$E$172,$A179&amp;" ضد "&amp;F$176)+COUNTIF($E$4:$E$172,F$176&amp;" ضد "&amp;$A179))</f>
        <v>3</v>
      </c>
      <c r="G179" s="4">
        <f>IF($A179=G$176,"",COUNTIF($E$4:$E$172,$A179&amp;" ضد "&amp;G$176)+COUNTIF($E$4:$E$172,G$176&amp;" ضد "&amp;$A179))</f>
        <v>3</v>
      </c>
      <c r="H179" s="4">
        <f>IF($A179=H$176,"",COUNTIF($E$4:$E$172,$A179&amp;" ضد "&amp;H$176)+COUNTIF($E$4:$E$172,H$176&amp;" ضد "&amp;$A179))</f>
        <v>3</v>
      </c>
      <c r="I179" s="4">
        <f>IF($A179=I$176,"",COUNTIF($E$4:$E$172,$A179&amp;" ضد "&amp;I$176)+COUNTIF($E$4:$E$172,I$176&amp;" ضد "&amp;$A179))</f>
        <v>3</v>
      </c>
      <c r="J179" s="4">
        <f>IF($A179=J$176,"",COUNTIF($E$4:$E$172,$A179&amp;" ضد "&amp;J$176)+COUNTIF($E$4:$E$172,J$176&amp;" ضد "&amp;$A179))</f>
        <v>0</v>
      </c>
      <c r="K179" s="4">
        <f>IF($A179=K$176,"",COUNTIF($E$4:$E$172,$A179&amp;" ضد "&amp;K$176)+COUNTIF($E$4:$E$172,K$176&amp;" ضد "&amp;$A179))</f>
        <v>0</v>
      </c>
      <c r="L179" s="4">
        <f>IF($A179=L$176,"",COUNTIF($E$4:$E$172,$A179&amp;" ضد "&amp;L$176)+COUNTIF($E$4:$E$172,L$176&amp;" ضد "&amp;$A179))</f>
        <v>0</v>
      </c>
      <c r="M179" s="4">
        <f>IF($A179=M$176,"",COUNTIF($E$4:$E$172,$A179&amp;" ضد "&amp;M$176)+COUNTIF($E$4:$E$172,M$176&amp;" ضد "&amp;$A179))</f>
        <v>0</v>
      </c>
      <c r="N179" s="4">
        <f>IF($A179=N$176,"",COUNTIF($E$4:$E$172,$A179&amp;" ضد "&amp;N$176)+COUNTIF($E$4:$E$172,N$176&amp;" ضد "&amp;$A179))</f>
        <v>0</v>
      </c>
      <c r="O179" s="4">
        <f>IF($A179=O$176,"",COUNTIF($E$4:$E$172,$A179&amp;" ضد "&amp;O$176)+COUNTIF($E$4:$E$172,O$176&amp;" ضد "&amp;$A179))</f>
        <v>0</v>
      </c>
      <c r="P179" s="4">
        <f>IF($A179=P$176,"",COUNTIF($E$4:$E$172,$A179&amp;" ضد "&amp;P$176)+COUNTIF($E$4:$E$172,P$176&amp;" ضد "&amp;$A179))</f>
        <v>0</v>
      </c>
      <c r="Q179" s="4">
        <f>IF($A179=Q$176,"",COUNTIF($E$4:$E$172,$A179&amp;" ضد "&amp;Q$176)+COUNTIF($E$4:$E$172,Q$176&amp;" ضد "&amp;$A179))</f>
        <v>0</v>
      </c>
    </row>
    <row r="180" spans="1:17" ht="14.5">
      <c r="A180" s="14">
        <v>4</v>
      </c>
      <c r="B180" s="4">
        <f>IF($A180=B$176,"",COUNTIF($E$4:$E$172,$A180&amp;" ضد "&amp;B$176)+COUNTIF($E$4:$E$172,B$176&amp;" ضد "&amp;$A180))</f>
        <v>3</v>
      </c>
      <c r="C180" s="4">
        <f>IF($A180=C$176,"",COUNTIF($E$4:$E$172,$A180&amp;" ضد "&amp;C$176)+COUNTIF($E$4:$E$172,C$176&amp;" ضد "&amp;$A180))</f>
        <v>3</v>
      </c>
      <c r="D180" s="4">
        <f>IF($A180=D$176,"",COUNTIF($E$4:$E$172,$A180&amp;" ضد "&amp;D$176)+COUNTIF($E$4:$E$172,D$176&amp;" ضد "&amp;$A180))</f>
        <v>3</v>
      </c>
      <c r="E180" s="4" t="str">
        <f>IF($A180=E$176,"",COUNTIF($E$4:$E$172,$A180&amp;" ضد "&amp;E$176)+COUNTIF($E$4:$E$172,E$176&amp;" ضد "&amp;$A180))</f>
        <v/>
      </c>
      <c r="F180" s="4">
        <f>IF($A180=F$176,"",COUNTIF($E$4:$E$172,$A180&amp;" ضد "&amp;F$176)+COUNTIF($E$4:$E$172,F$176&amp;" ضد "&amp;$A180))</f>
        <v>3</v>
      </c>
      <c r="G180" s="4">
        <f>IF($A180=G$176,"",COUNTIF($E$4:$E$172,$A180&amp;" ضد "&amp;G$176)+COUNTIF($E$4:$E$172,G$176&amp;" ضد "&amp;$A180))</f>
        <v>3</v>
      </c>
      <c r="H180" s="4">
        <f>IF($A180=H$176,"",COUNTIF($E$4:$E$172,$A180&amp;" ضد "&amp;H$176)+COUNTIF($E$4:$E$172,H$176&amp;" ضد "&amp;$A180))</f>
        <v>3</v>
      </c>
      <c r="I180" s="4">
        <f>IF($A180=I$176,"",COUNTIF($E$4:$E$172,$A180&amp;" ضد "&amp;I$176)+COUNTIF($E$4:$E$172,I$176&amp;" ضد "&amp;$A180))</f>
        <v>3</v>
      </c>
      <c r="J180" s="4">
        <f>IF($A180=J$176,"",COUNTIF($E$4:$E$172,$A180&amp;" ضد "&amp;J$176)+COUNTIF($E$4:$E$172,J$176&amp;" ضد "&amp;$A180))</f>
        <v>0</v>
      </c>
      <c r="K180" s="4">
        <f>IF($A180=K$176,"",COUNTIF($E$4:$E$172,$A180&amp;" ضد "&amp;K$176)+COUNTIF($E$4:$E$172,K$176&amp;" ضد "&amp;$A180))</f>
        <v>0</v>
      </c>
      <c r="L180" s="4">
        <f>IF($A180=L$176,"",COUNTIF($E$4:$E$172,$A180&amp;" ضد "&amp;L$176)+COUNTIF($E$4:$E$172,L$176&amp;" ضد "&amp;$A180))</f>
        <v>0</v>
      </c>
      <c r="M180" s="4">
        <f>IF($A180=M$176,"",COUNTIF($E$4:$E$172,$A180&amp;" ضد "&amp;M$176)+COUNTIF($E$4:$E$172,M$176&amp;" ضد "&amp;$A180))</f>
        <v>0</v>
      </c>
      <c r="N180" s="4">
        <f>IF($A180=N$176,"",COUNTIF($E$4:$E$172,$A180&amp;" ضد "&amp;N$176)+COUNTIF($E$4:$E$172,N$176&amp;" ضد "&amp;$A180))</f>
        <v>0</v>
      </c>
      <c r="O180" s="4">
        <f>IF($A180=O$176,"",COUNTIF($E$4:$E$172,$A180&amp;" ضد "&amp;O$176)+COUNTIF($E$4:$E$172,O$176&amp;" ضد "&amp;$A180))</f>
        <v>0</v>
      </c>
      <c r="P180" s="4">
        <f>IF($A180=P$176,"",COUNTIF($E$4:$E$172,$A180&amp;" ضد "&amp;P$176)+COUNTIF($E$4:$E$172,P$176&amp;" ضد "&amp;$A180))</f>
        <v>0</v>
      </c>
      <c r="Q180" s="4">
        <f>IF($A180=Q$176,"",COUNTIF($E$4:$E$172,$A180&amp;" ضد "&amp;Q$176)+COUNTIF($E$4:$E$172,Q$176&amp;" ضد "&amp;$A180))</f>
        <v>0</v>
      </c>
    </row>
    <row r="181" spans="1:17" ht="14.5">
      <c r="A181" s="14">
        <v>5</v>
      </c>
      <c r="B181" s="4">
        <f>IF($A181=B$176,"",COUNTIF($E$4:$E$172,$A181&amp;" ضد "&amp;B$176)+COUNTIF($E$4:$E$172,B$176&amp;" ضد "&amp;$A181))</f>
        <v>3</v>
      </c>
      <c r="C181" s="4">
        <f>IF($A181=C$176,"",COUNTIF($E$4:$E$172,$A181&amp;" ضد "&amp;C$176)+COUNTIF($E$4:$E$172,C$176&amp;" ضد "&amp;$A181))</f>
        <v>3</v>
      </c>
      <c r="D181" s="4">
        <f>IF($A181=D$176,"",COUNTIF($E$4:$E$172,$A181&amp;" ضد "&amp;D$176)+COUNTIF($E$4:$E$172,D$176&amp;" ضد "&amp;$A181))</f>
        <v>3</v>
      </c>
      <c r="E181" s="4">
        <f>IF($A181=E$176,"",COUNTIF($E$4:$E$172,$A181&amp;" ضد "&amp;E$176)+COUNTIF($E$4:$E$172,E$176&amp;" ضد "&amp;$A181))</f>
        <v>3</v>
      </c>
      <c r="F181" s="4" t="str">
        <f>IF($A181=F$176,"",COUNTIF($E$4:$E$172,$A181&amp;" ضد "&amp;F$176)+COUNTIF($E$4:$E$172,F$176&amp;" ضد "&amp;$A181))</f>
        <v/>
      </c>
      <c r="G181" s="4">
        <f>IF($A181=G$176,"",COUNTIF($E$4:$E$172,$A181&amp;" ضد "&amp;G$176)+COUNTIF($E$4:$E$172,G$176&amp;" ضد "&amp;$A181))</f>
        <v>3</v>
      </c>
      <c r="H181" s="4">
        <f>IF($A181=H$176,"",COUNTIF($E$4:$E$172,$A181&amp;" ضد "&amp;H$176)+COUNTIF($E$4:$E$172,H$176&amp;" ضد "&amp;$A181))</f>
        <v>3</v>
      </c>
      <c r="I181" s="4">
        <f>IF($A181=I$176,"",COUNTIF($E$4:$E$172,$A181&amp;" ضد "&amp;I$176)+COUNTIF($E$4:$E$172,I$176&amp;" ضد "&amp;$A181))</f>
        <v>3</v>
      </c>
      <c r="J181" s="4">
        <f>IF($A181=J$176,"",COUNTIF($E$4:$E$172,$A181&amp;" ضد "&amp;J$176)+COUNTIF($E$4:$E$172,J$176&amp;" ضد "&amp;$A181))</f>
        <v>0</v>
      </c>
      <c r="K181" s="4">
        <f>IF($A181=K$176,"",COUNTIF($E$4:$E$172,$A181&amp;" ضد "&amp;K$176)+COUNTIF($E$4:$E$172,K$176&amp;" ضد "&amp;$A181))</f>
        <v>0</v>
      </c>
      <c r="L181" s="4">
        <f>IF($A181=L$176,"",COUNTIF($E$4:$E$172,$A181&amp;" ضد "&amp;L$176)+COUNTIF($E$4:$E$172,L$176&amp;" ضد "&amp;$A181))</f>
        <v>0</v>
      </c>
      <c r="M181" s="4">
        <f>IF($A181=M$176,"",COUNTIF($E$4:$E$172,$A181&amp;" ضد "&amp;M$176)+COUNTIF($E$4:$E$172,M$176&amp;" ضد "&amp;$A181))</f>
        <v>0</v>
      </c>
      <c r="N181" s="4">
        <f>IF($A181=N$176,"",COUNTIF($E$4:$E$172,$A181&amp;" ضد "&amp;N$176)+COUNTIF($E$4:$E$172,N$176&amp;" ضد "&amp;$A181))</f>
        <v>0</v>
      </c>
      <c r="O181" s="4">
        <f>IF($A181=O$176,"",COUNTIF($E$4:$E$172,$A181&amp;" ضد "&amp;O$176)+COUNTIF($E$4:$E$172,O$176&amp;" ضد "&amp;$A181))</f>
        <v>0</v>
      </c>
      <c r="P181" s="4">
        <f>IF($A181=P$176,"",COUNTIF($E$4:$E$172,$A181&amp;" ضد "&amp;P$176)+COUNTIF($E$4:$E$172,P$176&amp;" ضد "&amp;$A181))</f>
        <v>0</v>
      </c>
      <c r="Q181" s="4">
        <f>IF($A181=Q$176,"",COUNTIF($E$4:$E$172,$A181&amp;" ضد "&amp;Q$176)+COUNTIF($E$4:$E$172,Q$176&amp;" ضد "&amp;$A181))</f>
        <v>0</v>
      </c>
    </row>
    <row r="182" spans="1:17" ht="14.5">
      <c r="A182" s="14">
        <v>6</v>
      </c>
      <c r="B182" s="4">
        <f>IF($A182=B$176,"",COUNTIF($E$4:$E$172,$A182&amp;" ضد "&amp;B$176)+COUNTIF($E$4:$E$172,B$176&amp;" ضد "&amp;$A182))</f>
        <v>3</v>
      </c>
      <c r="C182" s="4">
        <f>IF($A182=C$176,"",COUNTIF($E$4:$E$172,$A182&amp;" ضد "&amp;C$176)+COUNTIF($E$4:$E$172,C$176&amp;" ضد "&amp;$A182))</f>
        <v>3</v>
      </c>
      <c r="D182" s="4">
        <f>IF($A182=D$176,"",COUNTIF($E$4:$E$172,$A182&amp;" ضد "&amp;D$176)+COUNTIF($E$4:$E$172,D$176&amp;" ضد "&amp;$A182))</f>
        <v>3</v>
      </c>
      <c r="E182" s="4">
        <f>IF($A182=E$176,"",COUNTIF($E$4:$E$172,$A182&amp;" ضد "&amp;E$176)+COUNTIF($E$4:$E$172,E$176&amp;" ضد "&amp;$A182))</f>
        <v>3</v>
      </c>
      <c r="F182" s="4">
        <f>IF($A182=F$176,"",COUNTIF($E$4:$E$172,$A182&amp;" ضد "&amp;F$176)+COUNTIF($E$4:$E$172,F$176&amp;" ضد "&amp;$A182))</f>
        <v>3</v>
      </c>
      <c r="G182" s="4" t="str">
        <f>IF($A182=G$176,"",COUNTIF($E$4:$E$172,$A182&amp;" ضد "&amp;G$176)+COUNTIF($E$4:$E$172,G$176&amp;" ضد "&amp;$A182))</f>
        <v/>
      </c>
      <c r="H182" s="4">
        <f>IF($A182=H$176,"",COUNTIF($E$4:$E$172,$A182&amp;" ضد "&amp;H$176)+COUNTIF($E$4:$E$172,H$176&amp;" ضد "&amp;$A182))</f>
        <v>3</v>
      </c>
      <c r="I182" s="4">
        <f>IF($A182=I$176,"",COUNTIF($E$4:$E$172,$A182&amp;" ضد "&amp;I$176)+COUNTIF($E$4:$E$172,I$176&amp;" ضد "&amp;$A182))</f>
        <v>3</v>
      </c>
      <c r="J182" s="4">
        <f>IF($A182=J$176,"",COUNTIF($E$4:$E$172,$A182&amp;" ضد "&amp;J$176)+COUNTIF($E$4:$E$172,J$176&amp;" ضد "&amp;$A182))</f>
        <v>0</v>
      </c>
      <c r="K182" s="4">
        <f>IF($A182=K$176,"",COUNTIF($E$4:$E$172,$A182&amp;" ضد "&amp;K$176)+COUNTIF($E$4:$E$172,K$176&amp;" ضد "&amp;$A182))</f>
        <v>0</v>
      </c>
      <c r="L182" s="4">
        <f>IF($A182=L$176,"",COUNTIF($E$4:$E$172,$A182&amp;" ضد "&amp;L$176)+COUNTIF($E$4:$E$172,L$176&amp;" ضد "&amp;$A182))</f>
        <v>0</v>
      </c>
      <c r="M182" s="4">
        <f>IF($A182=M$176,"",COUNTIF($E$4:$E$172,$A182&amp;" ضد "&amp;M$176)+COUNTIF($E$4:$E$172,M$176&amp;" ضد "&amp;$A182))</f>
        <v>0</v>
      </c>
      <c r="N182" s="4">
        <f>IF($A182=N$176,"",COUNTIF($E$4:$E$172,$A182&amp;" ضد "&amp;N$176)+COUNTIF($E$4:$E$172,N$176&amp;" ضد "&amp;$A182))</f>
        <v>0</v>
      </c>
      <c r="O182" s="4">
        <f>IF($A182=O$176,"",COUNTIF($E$4:$E$172,$A182&amp;" ضد "&amp;O$176)+COUNTIF($E$4:$E$172,O$176&amp;" ضد "&amp;$A182))</f>
        <v>0</v>
      </c>
      <c r="P182" s="4">
        <f>IF($A182=P$176,"",COUNTIF($E$4:$E$172,$A182&amp;" ضد "&amp;P$176)+COUNTIF($E$4:$E$172,P$176&amp;" ضد "&amp;$A182))</f>
        <v>0</v>
      </c>
      <c r="Q182" s="4">
        <f>IF($A182=Q$176,"",COUNTIF($E$4:$E$172,$A182&amp;" ضد "&amp;Q$176)+COUNTIF($E$4:$E$172,Q$176&amp;" ضد "&amp;$A182))</f>
        <v>0</v>
      </c>
    </row>
    <row r="183" spans="1:17" ht="14.5">
      <c r="A183" s="14">
        <v>7</v>
      </c>
      <c r="B183" s="4">
        <f>IF($A183=B$176,"",COUNTIF($E$4:$E$172,$A183&amp;" ضد "&amp;B$176)+COUNTIF($E$4:$E$172,B$176&amp;" ضد "&amp;$A183))</f>
        <v>3</v>
      </c>
      <c r="C183" s="4">
        <f>IF($A183=C$176,"",COUNTIF($E$4:$E$172,$A183&amp;" ضد "&amp;C$176)+COUNTIF($E$4:$E$172,C$176&amp;" ضد "&amp;$A183))</f>
        <v>3</v>
      </c>
      <c r="D183" s="4">
        <f>IF($A183=D$176,"",COUNTIF($E$4:$E$172,$A183&amp;" ضد "&amp;D$176)+COUNTIF($E$4:$E$172,D$176&amp;" ضد "&amp;$A183))</f>
        <v>3</v>
      </c>
      <c r="E183" s="4">
        <f>IF($A183=E$176,"",COUNTIF($E$4:$E$172,$A183&amp;" ضد "&amp;E$176)+COUNTIF($E$4:$E$172,E$176&amp;" ضد "&amp;$A183))</f>
        <v>3</v>
      </c>
      <c r="F183" s="4">
        <f>IF($A183=F$176,"",COUNTIF($E$4:$E$172,$A183&amp;" ضد "&amp;F$176)+COUNTIF($E$4:$E$172,F$176&amp;" ضد "&amp;$A183))</f>
        <v>3</v>
      </c>
      <c r="G183" s="4">
        <f>IF($A183=G$176,"",COUNTIF($E$4:$E$172,$A183&amp;" ضد "&amp;G$176)+COUNTIF($E$4:$E$172,G$176&amp;" ضد "&amp;$A183))</f>
        <v>3</v>
      </c>
      <c r="H183" s="4" t="str">
        <f>IF($A183=H$176,"",COUNTIF($E$4:$E$172,$A183&amp;" ضد "&amp;H$176)+COUNTIF($E$4:$E$172,H$176&amp;" ضد "&amp;$A183))</f>
        <v/>
      </c>
      <c r="I183" s="4">
        <f>IF($A183=I$176,"",COUNTIF($E$4:$E$172,$A183&amp;" ضد "&amp;I$176)+COUNTIF($E$4:$E$172,I$176&amp;" ضد "&amp;$A183))</f>
        <v>3</v>
      </c>
      <c r="J183" s="4">
        <f>IF($A183=J$176,"",COUNTIF($E$4:$E$172,$A183&amp;" ضد "&amp;J$176)+COUNTIF($E$4:$E$172,J$176&amp;" ضد "&amp;$A183))</f>
        <v>0</v>
      </c>
      <c r="K183" s="4">
        <f>IF($A183=K$176,"",COUNTIF($E$4:$E$172,$A183&amp;" ضد "&amp;K$176)+COUNTIF($E$4:$E$172,K$176&amp;" ضد "&amp;$A183))</f>
        <v>0</v>
      </c>
      <c r="L183" s="4">
        <f>IF($A183=L$176,"",COUNTIF($E$4:$E$172,$A183&amp;" ضد "&amp;L$176)+COUNTIF($E$4:$E$172,L$176&amp;" ضد "&amp;$A183))</f>
        <v>0</v>
      </c>
      <c r="M183" s="4">
        <f>IF($A183=M$176,"",COUNTIF($E$4:$E$172,$A183&amp;" ضد "&amp;M$176)+COUNTIF($E$4:$E$172,M$176&amp;" ضد "&amp;$A183))</f>
        <v>0</v>
      </c>
      <c r="N183" s="4">
        <f>IF($A183=N$176,"",COUNTIF($E$4:$E$172,$A183&amp;" ضد "&amp;N$176)+COUNTIF($E$4:$E$172,N$176&amp;" ضد "&amp;$A183))</f>
        <v>0</v>
      </c>
      <c r="O183" s="4">
        <f>IF($A183=O$176,"",COUNTIF($E$4:$E$172,$A183&amp;" ضد "&amp;O$176)+COUNTIF($E$4:$E$172,O$176&amp;" ضد "&amp;$A183))</f>
        <v>0</v>
      </c>
      <c r="P183" s="4">
        <f>IF($A183=P$176,"",COUNTIF($E$4:$E$172,$A183&amp;" ضد "&amp;P$176)+COUNTIF($E$4:$E$172,P$176&amp;" ضد "&amp;$A183))</f>
        <v>0</v>
      </c>
      <c r="Q183" s="4">
        <f>IF($A183=Q$176,"",COUNTIF($E$4:$E$172,$A183&amp;" ضد "&amp;Q$176)+COUNTIF($E$4:$E$172,Q$176&amp;" ضد "&amp;$A183))</f>
        <v>0</v>
      </c>
    </row>
    <row r="184" spans="1:17" ht="14.5">
      <c r="A184" s="14">
        <v>8</v>
      </c>
      <c r="B184" s="4">
        <f>IF($A184=B$176,"",COUNTIF($E$4:$E$172,$A184&amp;" ضد "&amp;B$176)+COUNTIF($E$4:$E$172,B$176&amp;" ضد "&amp;$A184))</f>
        <v>3</v>
      </c>
      <c r="C184" s="4">
        <f>IF($A184=C$176,"",COUNTIF($E$4:$E$172,$A184&amp;" ضد "&amp;C$176)+COUNTIF($E$4:$E$172,C$176&amp;" ضد "&amp;$A184))</f>
        <v>3</v>
      </c>
      <c r="D184" s="4">
        <f>IF($A184=D$176,"",COUNTIF($E$4:$E$172,$A184&amp;" ضد "&amp;D$176)+COUNTIF($E$4:$E$172,D$176&amp;" ضد "&amp;$A184))</f>
        <v>3</v>
      </c>
      <c r="E184" s="4">
        <f>IF($A184=E$176,"",COUNTIF($E$4:$E$172,$A184&amp;" ضد "&amp;E$176)+COUNTIF($E$4:$E$172,E$176&amp;" ضد "&amp;$A184))</f>
        <v>3</v>
      </c>
      <c r="F184" s="4">
        <f>IF($A184=F$176,"",COUNTIF($E$4:$E$172,$A184&amp;" ضد "&amp;F$176)+COUNTIF($E$4:$E$172,F$176&amp;" ضد "&amp;$A184))</f>
        <v>3</v>
      </c>
      <c r="G184" s="4">
        <f>IF($A184=G$176,"",COUNTIF($E$4:$E$172,$A184&amp;" ضد "&amp;G$176)+COUNTIF($E$4:$E$172,G$176&amp;" ضد "&amp;$A184))</f>
        <v>3</v>
      </c>
      <c r="H184" s="4">
        <f>IF($A184=H$176,"",COUNTIF($E$4:$E$172,$A184&amp;" ضد "&amp;H$176)+COUNTIF($E$4:$E$172,H$176&amp;" ضد "&amp;$A184))</f>
        <v>3</v>
      </c>
      <c r="I184" s="4" t="str">
        <f>IF($A184=I$176,"",COUNTIF($E$4:$E$172,$A184&amp;" ضد "&amp;I$176)+COUNTIF($E$4:$E$172,I$176&amp;" ضد "&amp;$A184))</f>
        <v/>
      </c>
      <c r="J184" s="4">
        <f>IF($A184=J$176,"",COUNTIF($E$4:$E$172,$A184&amp;" ضد "&amp;J$176)+COUNTIF($E$4:$E$172,J$176&amp;" ضد "&amp;$A184))</f>
        <v>0</v>
      </c>
      <c r="K184" s="4">
        <f>IF($A184=K$176,"",COUNTIF($E$4:$E$172,$A184&amp;" ضد "&amp;K$176)+COUNTIF($E$4:$E$172,K$176&amp;" ضد "&amp;$A184))</f>
        <v>0</v>
      </c>
      <c r="L184" s="4">
        <f>IF($A184=L$176,"",COUNTIF($E$4:$E$172,$A184&amp;" ضد "&amp;L$176)+COUNTIF($E$4:$E$172,L$176&amp;" ضد "&amp;$A184))</f>
        <v>0</v>
      </c>
      <c r="M184" s="4">
        <f>IF($A184=M$176,"",COUNTIF($E$4:$E$172,$A184&amp;" ضد "&amp;M$176)+COUNTIF($E$4:$E$172,M$176&amp;" ضد "&amp;$A184))</f>
        <v>0</v>
      </c>
      <c r="N184" s="4">
        <f>IF($A184=N$176,"",COUNTIF($E$4:$E$172,$A184&amp;" ضد "&amp;N$176)+COUNTIF($E$4:$E$172,N$176&amp;" ضد "&amp;$A184))</f>
        <v>0</v>
      </c>
      <c r="O184" s="4">
        <f>IF($A184=O$176,"",COUNTIF($E$4:$E$172,$A184&amp;" ضد "&amp;O$176)+COUNTIF($E$4:$E$172,O$176&amp;" ضد "&amp;$A184))</f>
        <v>0</v>
      </c>
      <c r="P184" s="4">
        <f>IF($A184=P$176,"",COUNTIF($E$4:$E$172,$A184&amp;" ضد "&amp;P$176)+COUNTIF($E$4:$E$172,P$176&amp;" ضد "&amp;$A184))</f>
        <v>0</v>
      </c>
      <c r="Q184" s="4">
        <f>IF($A184=Q$176,"",COUNTIF($E$4:$E$172,$A184&amp;" ضد "&amp;Q$176)+COUNTIF($E$4:$E$172,Q$176&amp;" ضد "&amp;$A184))</f>
        <v>0</v>
      </c>
    </row>
    <row r="185" spans="1:17" ht="14.5">
      <c r="A185" s="14">
        <v>9</v>
      </c>
      <c r="B185" s="4">
        <f>IF($A185=B$176,"",COUNTIF($E$4:$E$172,$A185&amp;" ضد "&amp;B$176)+COUNTIF($E$4:$E$172,B$176&amp;" ضد "&amp;$A185))</f>
        <v>0</v>
      </c>
      <c r="C185" s="4">
        <f>IF($A185=C$176,"",COUNTIF($E$4:$E$172,$A185&amp;" ضد "&amp;C$176)+COUNTIF($E$4:$E$172,C$176&amp;" ضد "&amp;$A185))</f>
        <v>0</v>
      </c>
      <c r="D185" s="4">
        <f>IF($A185=D$176,"",COUNTIF($E$4:$E$172,$A185&amp;" ضد "&amp;D$176)+COUNTIF($E$4:$E$172,D$176&amp;" ضد "&amp;$A185))</f>
        <v>0</v>
      </c>
      <c r="E185" s="4">
        <f>IF($A185=E$176,"",COUNTIF($E$4:$E$172,$A185&amp;" ضد "&amp;E$176)+COUNTIF($E$4:$E$172,E$176&amp;" ضد "&amp;$A185))</f>
        <v>0</v>
      </c>
      <c r="F185" s="4">
        <f>IF($A185=F$176,"",COUNTIF($E$4:$E$172,$A185&amp;" ضد "&amp;F$176)+COUNTIF($E$4:$E$172,F$176&amp;" ضد "&amp;$A185))</f>
        <v>0</v>
      </c>
      <c r="G185" s="4">
        <f>IF($A185=G$176,"",COUNTIF($E$4:$E$172,$A185&amp;" ضد "&amp;G$176)+COUNTIF($E$4:$E$172,G$176&amp;" ضد "&amp;$A185))</f>
        <v>0</v>
      </c>
      <c r="H185" s="4">
        <f>IF($A185=H$176,"",COUNTIF($E$4:$E$172,$A185&amp;" ضد "&amp;H$176)+COUNTIF($E$4:$E$172,H$176&amp;" ضد "&amp;$A185))</f>
        <v>0</v>
      </c>
      <c r="I185" s="4">
        <f>IF($A185=I$176,"",COUNTIF($E$4:$E$172,$A185&amp;" ضد "&amp;I$176)+COUNTIF($E$4:$E$172,I$176&amp;" ضد "&amp;$A185))</f>
        <v>0</v>
      </c>
      <c r="J185" s="4" t="str">
        <f>IF($A185=J$176,"",COUNTIF($E$4:$E$172,$A185&amp;" ضد "&amp;J$176)+COUNTIF($E$4:$E$172,J$176&amp;" ضد "&amp;$A185))</f>
        <v/>
      </c>
      <c r="K185" s="4">
        <f>IF($A185=K$176,"",COUNTIF($E$4:$E$172,$A185&amp;" ضد "&amp;K$176)+COUNTIF($E$4:$E$172,K$176&amp;" ضد "&amp;$A185))</f>
        <v>3</v>
      </c>
      <c r="L185" s="4">
        <f>IF($A185=L$176,"",COUNTIF($E$4:$E$172,$A185&amp;" ضد "&amp;L$176)+COUNTIF($E$4:$E$172,L$176&amp;" ضد "&amp;$A185))</f>
        <v>3</v>
      </c>
      <c r="M185" s="4">
        <f>IF($A185=M$176,"",COUNTIF($E$4:$E$172,$A185&amp;" ضد "&amp;M$176)+COUNTIF($E$4:$E$172,M$176&amp;" ضد "&amp;$A185))</f>
        <v>3</v>
      </c>
      <c r="N185" s="4">
        <f>IF($A185=N$176,"",COUNTIF($E$4:$E$172,$A185&amp;" ضد "&amp;N$176)+COUNTIF($E$4:$E$172,N$176&amp;" ضد "&amp;$A185))</f>
        <v>3</v>
      </c>
      <c r="O185" s="4">
        <f>IF($A185=O$176,"",COUNTIF($E$4:$E$172,$A185&amp;" ضد "&amp;O$176)+COUNTIF($E$4:$E$172,O$176&amp;" ضد "&amp;$A185))</f>
        <v>3</v>
      </c>
      <c r="P185" s="4">
        <f>IF($A185=P$176,"",COUNTIF($E$4:$E$172,$A185&amp;" ضد "&amp;P$176)+COUNTIF($E$4:$E$172,P$176&amp;" ضد "&amp;$A185))</f>
        <v>3</v>
      </c>
      <c r="Q185" s="4">
        <f>IF($A185=Q$176,"",COUNTIF($E$4:$E$172,$A185&amp;" ضد "&amp;Q$176)+COUNTIF($E$4:$E$172,Q$176&amp;" ضد "&amp;$A185))</f>
        <v>3</v>
      </c>
    </row>
    <row r="186" spans="1:17" ht="14.5">
      <c r="A186" s="14">
        <v>10</v>
      </c>
      <c r="B186" s="4">
        <f>IF($A186=B$176,"",COUNTIF($E$4:$E$172,$A186&amp;" ضد "&amp;B$176)+COUNTIF($E$4:$E$172,B$176&amp;" ضد "&amp;$A186))</f>
        <v>0</v>
      </c>
      <c r="C186" s="4">
        <f>IF($A186=C$176,"",COUNTIF($E$4:$E$172,$A186&amp;" ضد "&amp;C$176)+COUNTIF($E$4:$E$172,C$176&amp;" ضد "&amp;$A186))</f>
        <v>0</v>
      </c>
      <c r="D186" s="4">
        <f>IF($A186=D$176,"",COUNTIF($E$4:$E$172,$A186&amp;" ضد "&amp;D$176)+COUNTIF($E$4:$E$172,D$176&amp;" ضد "&amp;$A186))</f>
        <v>0</v>
      </c>
      <c r="E186" s="4">
        <f>IF($A186=E$176,"",COUNTIF($E$4:$E$172,$A186&amp;" ضد "&amp;E$176)+COUNTIF($E$4:$E$172,E$176&amp;" ضد "&amp;$A186))</f>
        <v>0</v>
      </c>
      <c r="F186" s="4">
        <f>IF($A186=F$176,"",COUNTIF($E$4:$E$172,$A186&amp;" ضد "&amp;F$176)+COUNTIF($E$4:$E$172,F$176&amp;" ضد "&amp;$A186))</f>
        <v>0</v>
      </c>
      <c r="G186" s="4">
        <f>IF($A186=G$176,"",COUNTIF($E$4:$E$172,$A186&amp;" ضد "&amp;G$176)+COUNTIF($E$4:$E$172,G$176&amp;" ضد "&amp;$A186))</f>
        <v>0</v>
      </c>
      <c r="H186" s="4">
        <f>IF($A186=H$176,"",COUNTIF($E$4:$E$172,$A186&amp;" ضد "&amp;H$176)+COUNTIF($E$4:$E$172,H$176&amp;" ضد "&amp;$A186))</f>
        <v>0</v>
      </c>
      <c r="I186" s="4">
        <f>IF($A186=I$176,"",COUNTIF($E$4:$E$172,$A186&amp;" ضد "&amp;I$176)+COUNTIF($E$4:$E$172,I$176&amp;" ضد "&amp;$A186))</f>
        <v>0</v>
      </c>
      <c r="J186" s="4">
        <f>IF($A186=J$176,"",COUNTIF($E$4:$E$172,$A186&amp;" ضد "&amp;J$176)+COUNTIF($E$4:$E$172,J$176&amp;" ضد "&amp;$A186))</f>
        <v>3</v>
      </c>
      <c r="K186" s="4" t="str">
        <f>IF($A186=K$176,"",COUNTIF($E$4:$E$172,$A186&amp;" ضد "&amp;K$176)+COUNTIF($E$4:$E$172,K$176&amp;" ضد "&amp;$A186))</f>
        <v/>
      </c>
      <c r="L186" s="4">
        <f>IF($A186=L$176,"",COUNTIF($E$4:$E$172,$A186&amp;" ضد "&amp;L$176)+COUNTIF($E$4:$E$172,L$176&amp;" ضد "&amp;$A186))</f>
        <v>3</v>
      </c>
      <c r="M186" s="4">
        <f>IF($A186=M$176,"",COUNTIF($E$4:$E$172,$A186&amp;" ضد "&amp;M$176)+COUNTIF($E$4:$E$172,M$176&amp;" ضد "&amp;$A186))</f>
        <v>3</v>
      </c>
      <c r="N186" s="4">
        <f>IF($A186=N$176,"",COUNTIF($E$4:$E$172,$A186&amp;" ضد "&amp;N$176)+COUNTIF($E$4:$E$172,N$176&amp;" ضد "&amp;$A186))</f>
        <v>3</v>
      </c>
      <c r="O186" s="4">
        <f>IF($A186=O$176,"",COUNTIF($E$4:$E$172,$A186&amp;" ضد "&amp;O$176)+COUNTIF($E$4:$E$172,O$176&amp;" ضد "&amp;$A186))</f>
        <v>3</v>
      </c>
      <c r="P186" s="4">
        <f>IF($A186=P$176,"",COUNTIF($E$4:$E$172,$A186&amp;" ضد "&amp;P$176)+COUNTIF($E$4:$E$172,P$176&amp;" ضد "&amp;$A186))</f>
        <v>3</v>
      </c>
      <c r="Q186" s="4">
        <f>IF($A186=Q$176,"",COUNTIF($E$4:$E$172,$A186&amp;" ضد "&amp;Q$176)+COUNTIF($E$4:$E$172,Q$176&amp;" ضد "&amp;$A186))</f>
        <v>3</v>
      </c>
    </row>
    <row r="187" spans="1:17" ht="14.5">
      <c r="A187" s="14">
        <v>11</v>
      </c>
      <c r="B187" s="4">
        <f>IF($A187=B$176,"",COUNTIF($E$4:$E$172,$A187&amp;" ضد "&amp;B$176)+COUNTIF($E$4:$E$172,B$176&amp;" ضد "&amp;$A187))</f>
        <v>0</v>
      </c>
      <c r="C187" s="4">
        <f>IF($A187=C$176,"",COUNTIF($E$4:$E$172,$A187&amp;" ضد "&amp;C$176)+COUNTIF($E$4:$E$172,C$176&amp;" ضد "&amp;$A187))</f>
        <v>0</v>
      </c>
      <c r="D187" s="4">
        <f>IF($A187=D$176,"",COUNTIF($E$4:$E$172,$A187&amp;" ضد "&amp;D$176)+COUNTIF($E$4:$E$172,D$176&amp;" ضد "&amp;$A187))</f>
        <v>0</v>
      </c>
      <c r="E187" s="4">
        <f>IF($A187=E$176,"",COUNTIF($E$4:$E$172,$A187&amp;" ضد "&amp;E$176)+COUNTIF($E$4:$E$172,E$176&amp;" ضد "&amp;$A187))</f>
        <v>0</v>
      </c>
      <c r="F187" s="4">
        <f>IF($A187=F$176,"",COUNTIF($E$4:$E$172,$A187&amp;" ضد "&amp;F$176)+COUNTIF($E$4:$E$172,F$176&amp;" ضد "&amp;$A187))</f>
        <v>0</v>
      </c>
      <c r="G187" s="4">
        <f>IF($A187=G$176,"",COUNTIF($E$4:$E$172,$A187&amp;" ضد "&amp;G$176)+COUNTIF($E$4:$E$172,G$176&amp;" ضد "&amp;$A187))</f>
        <v>0</v>
      </c>
      <c r="H187" s="4">
        <f>IF($A187=H$176,"",COUNTIF($E$4:$E$172,$A187&amp;" ضد "&amp;H$176)+COUNTIF($E$4:$E$172,H$176&amp;" ضد "&amp;$A187))</f>
        <v>0</v>
      </c>
      <c r="I187" s="4">
        <f>IF($A187=I$176,"",COUNTIF($E$4:$E$172,$A187&amp;" ضد "&amp;I$176)+COUNTIF($E$4:$E$172,I$176&amp;" ضد "&amp;$A187))</f>
        <v>0</v>
      </c>
      <c r="J187" s="4">
        <f>IF($A187=J$176,"",COUNTIF($E$4:$E$172,$A187&amp;" ضد "&amp;J$176)+COUNTIF($E$4:$E$172,J$176&amp;" ضد "&amp;$A187))</f>
        <v>3</v>
      </c>
      <c r="K187" s="4">
        <f>IF($A187=K$176,"",COUNTIF($E$4:$E$172,$A187&amp;" ضد "&amp;K$176)+COUNTIF($E$4:$E$172,K$176&amp;" ضد "&amp;$A187))</f>
        <v>3</v>
      </c>
      <c r="L187" s="4" t="str">
        <f>IF($A187=L$176,"",COUNTIF($E$4:$E$172,$A187&amp;" ضد "&amp;L$176)+COUNTIF($E$4:$E$172,L$176&amp;" ضد "&amp;$A187))</f>
        <v/>
      </c>
      <c r="M187" s="4">
        <f>IF($A187=M$176,"",COUNTIF($E$4:$E$172,$A187&amp;" ضد "&amp;M$176)+COUNTIF($E$4:$E$172,M$176&amp;" ضد "&amp;$A187))</f>
        <v>3</v>
      </c>
      <c r="N187" s="4">
        <f>IF($A187=N$176,"",COUNTIF($E$4:$E$172,$A187&amp;" ضد "&amp;N$176)+COUNTIF($E$4:$E$172,N$176&amp;" ضد "&amp;$A187))</f>
        <v>3</v>
      </c>
      <c r="O187" s="4">
        <f>IF($A187=O$176,"",COUNTIF($E$4:$E$172,$A187&amp;" ضد "&amp;O$176)+COUNTIF($E$4:$E$172,O$176&amp;" ضد "&amp;$A187))</f>
        <v>3</v>
      </c>
      <c r="P187" s="4">
        <f>IF($A187=P$176,"",COUNTIF($E$4:$E$172,$A187&amp;" ضد "&amp;P$176)+COUNTIF($E$4:$E$172,P$176&amp;" ضد "&amp;$A187))</f>
        <v>3</v>
      </c>
      <c r="Q187" s="4">
        <f>IF($A187=Q$176,"",COUNTIF($E$4:$E$172,$A187&amp;" ضد "&amp;Q$176)+COUNTIF($E$4:$E$172,Q$176&amp;" ضد "&amp;$A187))</f>
        <v>3</v>
      </c>
    </row>
    <row r="188" spans="1:17" ht="14.5">
      <c r="A188" s="14">
        <v>12</v>
      </c>
      <c r="B188" s="4">
        <f>IF($A188=B$176,"",COUNTIF($E$4:$E$172,$A188&amp;" ضد "&amp;B$176)+COUNTIF($E$4:$E$172,B$176&amp;" ضد "&amp;$A188))</f>
        <v>0</v>
      </c>
      <c r="C188" s="4">
        <f>IF($A188=C$176,"",COUNTIF($E$4:$E$172,$A188&amp;" ضد "&amp;C$176)+COUNTIF($E$4:$E$172,C$176&amp;" ضد "&amp;$A188))</f>
        <v>0</v>
      </c>
      <c r="D188" s="4">
        <f>IF($A188=D$176,"",COUNTIF($E$4:$E$172,$A188&amp;" ضد "&amp;D$176)+COUNTIF($E$4:$E$172,D$176&amp;" ضد "&amp;$A188))</f>
        <v>0</v>
      </c>
      <c r="E188" s="4">
        <f>IF($A188=E$176,"",COUNTIF($E$4:$E$172,$A188&amp;" ضد "&amp;E$176)+COUNTIF($E$4:$E$172,E$176&amp;" ضد "&amp;$A188))</f>
        <v>0</v>
      </c>
      <c r="F188" s="4">
        <f>IF($A188=F$176,"",COUNTIF($E$4:$E$172,$A188&amp;" ضد "&amp;F$176)+COUNTIF($E$4:$E$172,F$176&amp;" ضد "&amp;$A188))</f>
        <v>0</v>
      </c>
      <c r="G188" s="4">
        <f>IF($A188=G$176,"",COUNTIF($E$4:$E$172,$A188&amp;" ضد "&amp;G$176)+COUNTIF($E$4:$E$172,G$176&amp;" ضد "&amp;$A188))</f>
        <v>0</v>
      </c>
      <c r="H188" s="4">
        <f>IF($A188=H$176,"",COUNTIF($E$4:$E$172,$A188&amp;" ضد "&amp;H$176)+COUNTIF($E$4:$E$172,H$176&amp;" ضد "&amp;$A188))</f>
        <v>0</v>
      </c>
      <c r="I188" s="4">
        <f>IF($A188=I$176,"",COUNTIF($E$4:$E$172,$A188&amp;" ضد "&amp;I$176)+COUNTIF($E$4:$E$172,I$176&amp;" ضد "&amp;$A188))</f>
        <v>0</v>
      </c>
      <c r="J188" s="4">
        <f>IF($A188=J$176,"",COUNTIF($E$4:$E$172,$A188&amp;" ضد "&amp;J$176)+COUNTIF($E$4:$E$172,J$176&amp;" ضد "&amp;$A188))</f>
        <v>3</v>
      </c>
      <c r="K188" s="4">
        <f>IF($A188=K$176,"",COUNTIF($E$4:$E$172,$A188&amp;" ضد "&amp;K$176)+COUNTIF($E$4:$E$172,K$176&amp;" ضد "&amp;$A188))</f>
        <v>3</v>
      </c>
      <c r="L188" s="4">
        <f>IF($A188=L$176,"",COUNTIF($E$4:$E$172,$A188&amp;" ضد "&amp;L$176)+COUNTIF($E$4:$E$172,L$176&amp;" ضد "&amp;$A188))</f>
        <v>3</v>
      </c>
      <c r="M188" s="4" t="str">
        <f>IF($A188=M$176,"",COUNTIF($E$4:$E$172,$A188&amp;" ضد "&amp;M$176)+COUNTIF($E$4:$E$172,M$176&amp;" ضد "&amp;$A188))</f>
        <v/>
      </c>
      <c r="N188" s="4">
        <f>IF($A188=N$176,"",COUNTIF($E$4:$E$172,$A188&amp;" ضد "&amp;N$176)+COUNTIF($E$4:$E$172,N$176&amp;" ضد "&amp;$A188))</f>
        <v>3</v>
      </c>
      <c r="O188" s="4">
        <f>IF($A188=O$176,"",COUNTIF($E$4:$E$172,$A188&amp;" ضد "&amp;O$176)+COUNTIF($E$4:$E$172,O$176&amp;" ضد "&amp;$A188))</f>
        <v>3</v>
      </c>
      <c r="P188" s="4">
        <f>IF($A188=P$176,"",COUNTIF($E$4:$E$172,$A188&amp;" ضد "&amp;P$176)+COUNTIF($E$4:$E$172,P$176&amp;" ضد "&amp;$A188))</f>
        <v>3</v>
      </c>
      <c r="Q188" s="4">
        <f>IF($A188=Q$176,"",COUNTIF($E$4:$E$172,$A188&amp;" ضد "&amp;Q$176)+COUNTIF($E$4:$E$172,Q$176&amp;" ضد "&amp;$A188))</f>
        <v>3</v>
      </c>
    </row>
    <row r="189" spans="1:17" ht="14.5">
      <c r="A189" s="14">
        <v>13</v>
      </c>
      <c r="B189" s="4">
        <f>IF($A189=B$176,"",COUNTIF($E$4:$E$172,$A189&amp;" ضد "&amp;B$176)+COUNTIF($E$4:$E$172,B$176&amp;" ضد "&amp;$A189))</f>
        <v>0</v>
      </c>
      <c r="C189" s="4">
        <f>IF($A189=C$176,"",COUNTIF($E$4:$E$172,$A189&amp;" ضد "&amp;C$176)+COUNTIF($E$4:$E$172,C$176&amp;" ضد "&amp;$A189))</f>
        <v>0</v>
      </c>
      <c r="D189" s="4">
        <f>IF($A189=D$176,"",COUNTIF($E$4:$E$172,$A189&amp;" ضد "&amp;D$176)+COUNTIF($E$4:$E$172,D$176&amp;" ضد "&amp;$A189))</f>
        <v>0</v>
      </c>
      <c r="E189" s="4">
        <f>IF($A189=E$176,"",COUNTIF($E$4:$E$172,$A189&amp;" ضد "&amp;E$176)+COUNTIF($E$4:$E$172,E$176&amp;" ضد "&amp;$A189))</f>
        <v>0</v>
      </c>
      <c r="F189" s="4">
        <f>IF($A189=F$176,"",COUNTIF($E$4:$E$172,$A189&amp;" ضد "&amp;F$176)+COUNTIF($E$4:$E$172,F$176&amp;" ضد "&amp;$A189))</f>
        <v>0</v>
      </c>
      <c r="G189" s="4">
        <f>IF($A189=G$176,"",COUNTIF($E$4:$E$172,$A189&amp;" ضد "&amp;G$176)+COUNTIF($E$4:$E$172,G$176&amp;" ضد "&amp;$A189))</f>
        <v>0</v>
      </c>
      <c r="H189" s="4">
        <f>IF($A189=H$176,"",COUNTIF($E$4:$E$172,$A189&amp;" ضد "&amp;H$176)+COUNTIF($E$4:$E$172,H$176&amp;" ضد "&amp;$A189))</f>
        <v>0</v>
      </c>
      <c r="I189" s="4">
        <f>IF($A189=I$176,"",COUNTIF($E$4:$E$172,$A189&amp;" ضد "&amp;I$176)+COUNTIF($E$4:$E$172,I$176&amp;" ضد "&amp;$A189))</f>
        <v>0</v>
      </c>
      <c r="J189" s="4">
        <f>IF($A189=J$176,"",COUNTIF($E$4:$E$172,$A189&amp;" ضد "&amp;J$176)+COUNTIF($E$4:$E$172,J$176&amp;" ضد "&amp;$A189))</f>
        <v>3</v>
      </c>
      <c r="K189" s="4">
        <f>IF($A189=K$176,"",COUNTIF($E$4:$E$172,$A189&amp;" ضد "&amp;K$176)+COUNTIF($E$4:$E$172,K$176&amp;" ضد "&amp;$A189))</f>
        <v>3</v>
      </c>
      <c r="L189" s="4">
        <f>IF($A189=L$176,"",COUNTIF($E$4:$E$172,$A189&amp;" ضد "&amp;L$176)+COUNTIF($E$4:$E$172,L$176&amp;" ضد "&amp;$A189))</f>
        <v>3</v>
      </c>
      <c r="M189" s="4">
        <f>IF($A189=M$176,"",COUNTIF($E$4:$E$172,$A189&amp;" ضد "&amp;M$176)+COUNTIF($E$4:$E$172,M$176&amp;" ضد "&amp;$A189))</f>
        <v>3</v>
      </c>
      <c r="N189" s="4" t="str">
        <f>IF($A189=N$176,"",COUNTIF($E$4:$E$172,$A189&amp;" ضد "&amp;N$176)+COUNTIF($E$4:$E$172,N$176&amp;" ضد "&amp;$A189))</f>
        <v/>
      </c>
      <c r="O189" s="4">
        <f>IF($A189=O$176,"",COUNTIF($E$4:$E$172,$A189&amp;" ضد "&amp;O$176)+COUNTIF($E$4:$E$172,O$176&amp;" ضد "&amp;$A189))</f>
        <v>3</v>
      </c>
      <c r="P189" s="4">
        <f>IF($A189=P$176,"",COUNTIF($E$4:$E$172,$A189&amp;" ضد "&amp;P$176)+COUNTIF($E$4:$E$172,P$176&amp;" ضد "&amp;$A189))</f>
        <v>3</v>
      </c>
      <c r="Q189" s="4">
        <f>IF($A189=Q$176,"",COUNTIF($E$4:$E$172,$A189&amp;" ضد "&amp;Q$176)+COUNTIF($E$4:$E$172,Q$176&amp;" ضد "&amp;$A189))</f>
        <v>3</v>
      </c>
    </row>
    <row r="190" spans="1:17" ht="14.5">
      <c r="A190" s="14">
        <v>14</v>
      </c>
      <c r="B190" s="4">
        <f>IF($A190=B$176,"",COUNTIF($E$4:$E$172,$A190&amp;" ضد "&amp;B$176)+COUNTIF($E$4:$E$172,B$176&amp;" ضد "&amp;$A190))</f>
        <v>0</v>
      </c>
      <c r="C190" s="4">
        <f>IF($A190=C$176,"",COUNTIF($E$4:$E$172,$A190&amp;" ضد "&amp;C$176)+COUNTIF($E$4:$E$172,C$176&amp;" ضد "&amp;$A190))</f>
        <v>0</v>
      </c>
      <c r="D190" s="4">
        <f>IF($A190=D$176,"",COUNTIF($E$4:$E$172,$A190&amp;" ضد "&amp;D$176)+COUNTIF($E$4:$E$172,D$176&amp;" ضد "&amp;$A190))</f>
        <v>0</v>
      </c>
      <c r="E190" s="4">
        <f>IF($A190=E$176,"",COUNTIF($E$4:$E$172,$A190&amp;" ضد "&amp;E$176)+COUNTIF($E$4:$E$172,E$176&amp;" ضد "&amp;$A190))</f>
        <v>0</v>
      </c>
      <c r="F190" s="4">
        <f>IF($A190=F$176,"",COUNTIF($E$4:$E$172,$A190&amp;" ضد "&amp;F$176)+COUNTIF($E$4:$E$172,F$176&amp;" ضد "&amp;$A190))</f>
        <v>0</v>
      </c>
      <c r="G190" s="4">
        <f>IF($A190=G$176,"",COUNTIF($E$4:$E$172,$A190&amp;" ضد "&amp;G$176)+COUNTIF($E$4:$E$172,G$176&amp;" ضد "&amp;$A190))</f>
        <v>0</v>
      </c>
      <c r="H190" s="4">
        <f>IF($A190=H$176,"",COUNTIF($E$4:$E$172,$A190&amp;" ضد "&amp;H$176)+COUNTIF($E$4:$E$172,H$176&amp;" ضد "&amp;$A190))</f>
        <v>0</v>
      </c>
      <c r="I190" s="4">
        <f>IF($A190=I$176,"",COUNTIF($E$4:$E$172,$A190&amp;" ضد "&amp;I$176)+COUNTIF($E$4:$E$172,I$176&amp;" ضد "&amp;$A190))</f>
        <v>0</v>
      </c>
      <c r="J190" s="4">
        <f>IF($A190=J$176,"",COUNTIF($E$4:$E$172,$A190&amp;" ضد "&amp;J$176)+COUNTIF($E$4:$E$172,J$176&amp;" ضد "&amp;$A190))</f>
        <v>3</v>
      </c>
      <c r="K190" s="4">
        <f>IF($A190=K$176,"",COUNTIF($E$4:$E$172,$A190&amp;" ضد "&amp;K$176)+COUNTIF($E$4:$E$172,K$176&amp;" ضد "&amp;$A190))</f>
        <v>3</v>
      </c>
      <c r="L190" s="4">
        <f>IF($A190=L$176,"",COUNTIF($E$4:$E$172,$A190&amp;" ضد "&amp;L$176)+COUNTIF($E$4:$E$172,L$176&amp;" ضد "&amp;$A190))</f>
        <v>3</v>
      </c>
      <c r="M190" s="4">
        <f>IF($A190=M$176,"",COUNTIF($E$4:$E$172,$A190&amp;" ضد "&amp;M$176)+COUNTIF($E$4:$E$172,M$176&amp;" ضد "&amp;$A190))</f>
        <v>3</v>
      </c>
      <c r="N190" s="4">
        <f>IF($A190=N$176,"",COUNTIF($E$4:$E$172,$A190&amp;" ضد "&amp;N$176)+COUNTIF($E$4:$E$172,N$176&amp;" ضد "&amp;$A190))</f>
        <v>3</v>
      </c>
      <c r="O190" s="4" t="str">
        <f>IF($A190=O$176,"",COUNTIF($E$4:$E$172,$A190&amp;" ضد "&amp;O$176)+COUNTIF($E$4:$E$172,O$176&amp;" ضد "&amp;$A190))</f>
        <v/>
      </c>
      <c r="P190" s="4">
        <f>IF($A190=P$176,"",COUNTIF($E$4:$E$172,$A190&amp;" ضد "&amp;P$176)+COUNTIF($E$4:$E$172,P$176&amp;" ضد "&amp;$A190))</f>
        <v>3</v>
      </c>
      <c r="Q190" s="4">
        <f>IF($A190=Q$176,"",COUNTIF($E$4:$E$172,$A190&amp;" ضد "&amp;Q$176)+COUNTIF($E$4:$E$172,Q$176&amp;" ضد "&amp;$A190))</f>
        <v>3</v>
      </c>
    </row>
    <row r="191" spans="1:17" ht="14.5">
      <c r="A191" s="14">
        <v>15</v>
      </c>
      <c r="B191" s="4">
        <f>IF($A191=B$176,"",COUNTIF($E$4:$E$172,$A191&amp;" ضد "&amp;B$176)+COUNTIF($E$4:$E$172,B$176&amp;" ضد "&amp;$A191))</f>
        <v>0</v>
      </c>
      <c r="C191" s="4">
        <f>IF($A191=C$176,"",COUNTIF($E$4:$E$172,$A191&amp;" ضد "&amp;C$176)+COUNTIF($E$4:$E$172,C$176&amp;" ضد "&amp;$A191))</f>
        <v>0</v>
      </c>
      <c r="D191" s="4">
        <f>IF($A191=D$176,"",COUNTIF($E$4:$E$172,$A191&amp;" ضد "&amp;D$176)+COUNTIF($E$4:$E$172,D$176&amp;" ضد "&amp;$A191))</f>
        <v>0</v>
      </c>
      <c r="E191" s="4">
        <f>IF($A191=E$176,"",COUNTIF($E$4:$E$172,$A191&amp;" ضد "&amp;E$176)+COUNTIF($E$4:$E$172,E$176&amp;" ضد "&amp;$A191))</f>
        <v>0</v>
      </c>
      <c r="F191" s="4">
        <f>IF($A191=F$176,"",COUNTIF($E$4:$E$172,$A191&amp;" ضد "&amp;F$176)+COUNTIF($E$4:$E$172,F$176&amp;" ضد "&amp;$A191))</f>
        <v>0</v>
      </c>
      <c r="G191" s="4">
        <f>IF($A191=G$176,"",COUNTIF($E$4:$E$172,$A191&amp;" ضد "&amp;G$176)+COUNTIF($E$4:$E$172,G$176&amp;" ضد "&amp;$A191))</f>
        <v>0</v>
      </c>
      <c r="H191" s="4">
        <f>IF($A191=H$176,"",COUNTIF($E$4:$E$172,$A191&amp;" ضد "&amp;H$176)+COUNTIF($E$4:$E$172,H$176&amp;" ضد "&amp;$A191))</f>
        <v>0</v>
      </c>
      <c r="I191" s="4">
        <f>IF($A191=I$176,"",COUNTIF($E$4:$E$172,$A191&amp;" ضد "&amp;I$176)+COUNTIF($E$4:$E$172,I$176&amp;" ضد "&amp;$A191))</f>
        <v>0</v>
      </c>
      <c r="J191" s="4">
        <f>IF($A191=J$176,"",COUNTIF($E$4:$E$172,$A191&amp;" ضد "&amp;J$176)+COUNTIF($E$4:$E$172,J$176&amp;" ضد "&amp;$A191))</f>
        <v>3</v>
      </c>
      <c r="K191" s="4">
        <f>IF($A191=K$176,"",COUNTIF($E$4:$E$172,$A191&amp;" ضد "&amp;K$176)+COUNTIF($E$4:$E$172,K$176&amp;" ضد "&amp;$A191))</f>
        <v>3</v>
      </c>
      <c r="L191" s="4">
        <f>IF($A191=L$176,"",COUNTIF($E$4:$E$172,$A191&amp;" ضد "&amp;L$176)+COUNTIF($E$4:$E$172,L$176&amp;" ضد "&amp;$A191))</f>
        <v>3</v>
      </c>
      <c r="M191" s="4">
        <f>IF($A191=M$176,"",COUNTIF($E$4:$E$172,$A191&amp;" ضد "&amp;M$176)+COUNTIF($E$4:$E$172,M$176&amp;" ضد "&amp;$A191))</f>
        <v>3</v>
      </c>
      <c r="N191" s="4">
        <f>IF($A191=N$176,"",COUNTIF($E$4:$E$172,$A191&amp;" ضد "&amp;N$176)+COUNTIF($E$4:$E$172,N$176&amp;" ضد "&amp;$A191))</f>
        <v>3</v>
      </c>
      <c r="O191" s="4">
        <f>IF($A191=O$176,"",COUNTIF($E$4:$E$172,$A191&amp;" ضد "&amp;O$176)+COUNTIF($E$4:$E$172,O$176&amp;" ضد "&amp;$A191))</f>
        <v>3</v>
      </c>
      <c r="P191" s="4" t="str">
        <f>IF($A191=P$176,"",COUNTIF($E$4:$E$172,$A191&amp;" ضد "&amp;P$176)+COUNTIF($E$4:$E$172,P$176&amp;" ضد "&amp;$A191))</f>
        <v/>
      </c>
      <c r="Q191" s="4">
        <f>IF($A191=Q$176,"",COUNTIF($E$4:$E$172,$A191&amp;" ضد "&amp;Q$176)+COUNTIF($E$4:$E$172,Q$176&amp;" ضد "&amp;$A191))</f>
        <v>3</v>
      </c>
    </row>
    <row r="192" spans="1:17" ht="14.5">
      <c r="A192" s="14">
        <v>16</v>
      </c>
      <c r="B192" s="4">
        <f>IF($A192=B$176,"",COUNTIF($E$4:$E$172,$A192&amp;" ضد "&amp;B$176)+COUNTIF($E$4:$E$172,B$176&amp;" ضد "&amp;$A192))</f>
        <v>0</v>
      </c>
      <c r="C192" s="4">
        <f>IF($A192=C$176,"",COUNTIF($E$4:$E$172,$A192&amp;" ضد "&amp;C$176)+COUNTIF($E$4:$E$172,C$176&amp;" ضد "&amp;$A192))</f>
        <v>0</v>
      </c>
      <c r="D192" s="4">
        <f>IF($A192=D$176,"",COUNTIF($E$4:$E$172,$A192&amp;" ضد "&amp;D$176)+COUNTIF($E$4:$E$172,D$176&amp;" ضد "&amp;$A192))</f>
        <v>0</v>
      </c>
      <c r="E192" s="4">
        <f>IF($A192=E$176,"",COUNTIF($E$4:$E$172,$A192&amp;" ضد "&amp;E$176)+COUNTIF($E$4:$E$172,E$176&amp;" ضد "&amp;$A192))</f>
        <v>0</v>
      </c>
      <c r="F192" s="4">
        <f>IF($A192=F$176,"",COUNTIF($E$4:$E$172,$A192&amp;" ضد "&amp;F$176)+COUNTIF($E$4:$E$172,F$176&amp;" ضد "&amp;$A192))</f>
        <v>0</v>
      </c>
      <c r="G192" s="4">
        <f>IF($A192=G$176,"",COUNTIF($E$4:$E$172,$A192&amp;" ضد "&amp;G$176)+COUNTIF($E$4:$E$172,G$176&amp;" ضد "&amp;$A192))</f>
        <v>0</v>
      </c>
      <c r="H192" s="4">
        <f>IF($A192=H$176,"",COUNTIF($E$4:$E$172,$A192&amp;" ضد "&amp;H$176)+COUNTIF($E$4:$E$172,H$176&amp;" ضد "&amp;$A192))</f>
        <v>0</v>
      </c>
      <c r="I192" s="4">
        <f>IF($A192=I$176,"",COUNTIF($E$4:$E$172,$A192&amp;" ضد "&amp;I$176)+COUNTIF($E$4:$E$172,I$176&amp;" ضد "&amp;$A192))</f>
        <v>0</v>
      </c>
      <c r="J192" s="4">
        <f>IF($A192=J$176,"",COUNTIF($E$4:$E$172,$A192&amp;" ضد "&amp;J$176)+COUNTIF($E$4:$E$172,J$176&amp;" ضد "&amp;$A192))</f>
        <v>3</v>
      </c>
      <c r="K192" s="4">
        <f>IF($A192=K$176,"",COUNTIF($E$4:$E$172,$A192&amp;" ضد "&amp;K$176)+COUNTIF($E$4:$E$172,K$176&amp;" ضد "&amp;$A192))</f>
        <v>3</v>
      </c>
      <c r="L192" s="4">
        <f>IF($A192=L$176,"",COUNTIF($E$4:$E$172,$A192&amp;" ضد "&amp;L$176)+COUNTIF($E$4:$E$172,L$176&amp;" ضد "&amp;$A192))</f>
        <v>3</v>
      </c>
      <c r="M192" s="4">
        <f>IF($A192=M$176,"",COUNTIF($E$4:$E$172,$A192&amp;" ضد "&amp;M$176)+COUNTIF($E$4:$E$172,M$176&amp;" ضد "&amp;$A192))</f>
        <v>3</v>
      </c>
      <c r="N192" s="4">
        <f>IF($A192=N$176,"",COUNTIF($E$4:$E$172,$A192&amp;" ضد "&amp;N$176)+COUNTIF($E$4:$E$172,N$176&amp;" ضد "&amp;$A192))</f>
        <v>3</v>
      </c>
      <c r="O192" s="4">
        <f>IF($A192=O$176,"",COUNTIF($E$4:$E$172,$A192&amp;" ضد "&amp;O$176)+COUNTIF($E$4:$E$172,O$176&amp;" ضد "&amp;$A192))</f>
        <v>3</v>
      </c>
      <c r="P192" s="4">
        <f>IF($A192=P$176,"",COUNTIF($E$4:$E$172,$A192&amp;" ضد "&amp;P$176)+COUNTIF($E$4:$E$172,P$176&amp;" ضد "&amp;$A192))</f>
        <v>3</v>
      </c>
      <c r="Q192" s="4" t="str">
        <f>IF($A192=Q$176,"",COUNTIF($E$4:$E$172,$A192&amp;" ضد "&amp;Q$176)+COUNTIF($E$4:$E$172,Q$176&amp;" ضد "&amp;$A192))</f>
        <v/>
      </c>
    </row>
    <row r="193" spans="1:17" ht="14.5">
      <c r="A193" s="14" t="s">
        <v>1033</v>
      </c>
      <c r="B193" s="4" cm="1">
        <f t="array" ref="B193">MIN(IF(B177:Q192&gt;0,B177:Q192))</f>
        <v>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4.5">
      <c r="A194" s="14" t="s">
        <v>830</v>
      </c>
      <c r="B194" s="4">
        <f>MAX(B177:Q192)</f>
        <v>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</sheetData>
  <mergeCells count="2">
    <mergeCell ref="A1:E1"/>
    <mergeCell ref="A175:Q17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EE8C-81F6-4139-9AE7-2592C35A0190}">
  <dimension ref="A1:R179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989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150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43</v>
      </c>
      <c r="E5" s="2"/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120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52</v>
      </c>
      <c r="E7" s="2"/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121</v>
      </c>
      <c r="E8" s="2"/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68</v>
      </c>
      <c r="E9" s="2"/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122</v>
      </c>
      <c r="E10" s="2"/>
      <c r="F10" s="2"/>
    </row>
    <row r="11" spans="1:6" ht="14" customHeight="1">
      <c r="A11" s="8">
        <v>1</v>
      </c>
      <c r="B11" s="7" t="str">
        <f>المدخلات!$F$6</f>
        <v>6:40–7:50 م</v>
      </c>
      <c r="C11" s="7">
        <v>2</v>
      </c>
      <c r="D11" s="7" t="s">
        <v>119</v>
      </c>
      <c r="E11" s="2"/>
      <c r="F11" s="2"/>
    </row>
    <row r="12" spans="1:6" ht="14" customHeight="1">
      <c r="A12" s="8">
        <v>2</v>
      </c>
      <c r="B12" s="7" t="str">
        <f>المدخلات!$F$4</f>
        <v>4:00–5:10 م</v>
      </c>
      <c r="C12" s="7">
        <v>1</v>
      </c>
      <c r="D12" s="7" t="s">
        <v>1056</v>
      </c>
      <c r="E12" s="2"/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2</v>
      </c>
      <c r="D13" s="7" t="s">
        <v>37</v>
      </c>
      <c r="E13" s="2"/>
      <c r="F13" s="2"/>
    </row>
    <row r="14" spans="1:6" ht="14" customHeight="1">
      <c r="A14" s="8">
        <v>2</v>
      </c>
      <c r="B14" s="7" t="str">
        <f>المدخلات!$F$4</f>
        <v>4:00–5:10 م</v>
      </c>
      <c r="C14" s="7">
        <v>3</v>
      </c>
      <c r="D14" s="7" t="s">
        <v>145</v>
      </c>
      <c r="E14" s="2"/>
      <c r="F14" s="2"/>
    </row>
    <row r="15" spans="1:6" ht="14" customHeight="1">
      <c r="A15" s="8">
        <v>2</v>
      </c>
      <c r="B15" s="7" t="str">
        <f>المدخلات!$F$5</f>
        <v>5:20–6:30 م</v>
      </c>
      <c r="C15" s="7">
        <v>1</v>
      </c>
      <c r="D15" s="7" t="s">
        <v>1082</v>
      </c>
      <c r="E15" s="2"/>
      <c r="F15" s="2"/>
    </row>
    <row r="16" spans="1:6" ht="14" customHeight="1">
      <c r="A16" s="8">
        <v>2</v>
      </c>
      <c r="B16" s="7" t="str">
        <f>المدخلات!$F$5</f>
        <v>5:20–6:30 م</v>
      </c>
      <c r="C16" s="7">
        <v>2</v>
      </c>
      <c r="D16" s="7" t="s">
        <v>110</v>
      </c>
      <c r="E16" s="2"/>
      <c r="F16" s="2"/>
    </row>
    <row r="17" spans="1:6" ht="14" customHeight="1">
      <c r="A17" s="8">
        <v>2</v>
      </c>
      <c r="B17" s="7" t="str">
        <f>المدخلات!$F$5</f>
        <v>5:20–6:30 م</v>
      </c>
      <c r="C17" s="7">
        <v>3</v>
      </c>
      <c r="D17" s="7" t="s">
        <v>30</v>
      </c>
      <c r="E17" s="2"/>
      <c r="F17" s="2"/>
    </row>
    <row r="18" spans="1:6" ht="14" customHeight="1">
      <c r="A18" s="8">
        <v>2</v>
      </c>
      <c r="B18" s="7" t="str">
        <f>المدخلات!$F$6</f>
        <v>6:40–7:50 م</v>
      </c>
      <c r="C18" s="7">
        <v>1</v>
      </c>
      <c r="D18" s="7" t="s">
        <v>1063</v>
      </c>
      <c r="E18" s="2"/>
      <c r="F18" s="2"/>
    </row>
    <row r="19" spans="1:6" ht="14" customHeight="1">
      <c r="A19" s="8">
        <v>2</v>
      </c>
      <c r="B19" s="7" t="str">
        <f>المدخلات!$F$6</f>
        <v>6:40–7:50 م</v>
      </c>
      <c r="C19" s="7">
        <v>2</v>
      </c>
      <c r="D19" s="7" t="s">
        <v>1058</v>
      </c>
      <c r="E19" s="2"/>
      <c r="F19" s="2"/>
    </row>
    <row r="20" spans="1:6" ht="14" customHeight="1">
      <c r="A20" s="8">
        <v>3</v>
      </c>
      <c r="B20" s="7" t="str">
        <f>المدخلات!$F$4</f>
        <v>4:00–5:10 م</v>
      </c>
      <c r="C20" s="7">
        <v>1</v>
      </c>
      <c r="D20" s="7" t="s">
        <v>112</v>
      </c>
      <c r="E20" s="2"/>
      <c r="F20" s="2"/>
    </row>
    <row r="21" spans="1:6" ht="14" customHeight="1">
      <c r="A21" s="8">
        <v>3</v>
      </c>
      <c r="B21" s="7" t="str">
        <f>المدخلات!$F$4</f>
        <v>4:00–5:10 م</v>
      </c>
      <c r="C21" s="7">
        <v>2</v>
      </c>
      <c r="D21" s="7" t="s">
        <v>102</v>
      </c>
      <c r="E21" s="2"/>
      <c r="F21" s="2"/>
    </row>
    <row r="22" spans="1:6" ht="14" customHeight="1">
      <c r="A22" s="8">
        <v>3</v>
      </c>
      <c r="B22" s="7" t="str">
        <f>المدخلات!$F$4</f>
        <v>4:00–5:10 م</v>
      </c>
      <c r="C22" s="7">
        <v>3</v>
      </c>
      <c r="D22" s="7" t="s">
        <v>40</v>
      </c>
      <c r="E22" s="2"/>
      <c r="F22" s="2"/>
    </row>
    <row r="23" spans="1:6" ht="14" customHeight="1">
      <c r="A23" s="8">
        <v>3</v>
      </c>
      <c r="B23" s="7" t="str">
        <f>المدخلات!$F$5</f>
        <v>5:20–6:30 م</v>
      </c>
      <c r="C23" s="7">
        <v>1</v>
      </c>
      <c r="D23" s="7" t="s">
        <v>26</v>
      </c>
      <c r="E23" s="2"/>
      <c r="F23" s="2"/>
    </row>
    <row r="24" spans="1:6" ht="14" customHeight="1">
      <c r="A24" s="8">
        <v>3</v>
      </c>
      <c r="B24" s="7" t="str">
        <f>المدخلات!$F$5</f>
        <v>5:20–6:30 م</v>
      </c>
      <c r="C24" s="7">
        <v>2</v>
      </c>
      <c r="D24" s="7" t="s">
        <v>16</v>
      </c>
      <c r="E24" s="2"/>
      <c r="F24" s="2"/>
    </row>
    <row r="25" spans="1:6" ht="14" customHeight="1">
      <c r="A25" s="8">
        <v>3</v>
      </c>
      <c r="B25" s="7" t="str">
        <f>المدخلات!$F$5</f>
        <v>5:20–6:30 م</v>
      </c>
      <c r="C25" s="7">
        <v>3</v>
      </c>
      <c r="D25" s="7" t="s">
        <v>33</v>
      </c>
      <c r="E25" s="2"/>
      <c r="F25" s="2"/>
    </row>
    <row r="26" spans="1:6" ht="14" customHeight="1">
      <c r="A26" s="8">
        <v>3</v>
      </c>
      <c r="B26" s="7" t="str">
        <f>المدخلات!$F$6</f>
        <v>6:40–7:50 م</v>
      </c>
      <c r="C26" s="7">
        <v>1</v>
      </c>
      <c r="D26" s="7" t="s">
        <v>681</v>
      </c>
      <c r="E26" s="2"/>
      <c r="F26" s="2"/>
    </row>
    <row r="27" spans="1:6" ht="14" customHeight="1">
      <c r="A27" s="8">
        <v>3</v>
      </c>
      <c r="B27" s="7" t="str">
        <f>المدخلات!$F$6</f>
        <v>6:40–7:50 م</v>
      </c>
      <c r="C27" s="7">
        <v>2</v>
      </c>
      <c r="D27" s="7" t="s">
        <v>886</v>
      </c>
      <c r="E27" s="2"/>
      <c r="F27" s="2"/>
    </row>
    <row r="28" spans="1:6" ht="14" customHeight="1">
      <c r="A28" s="8">
        <v>4</v>
      </c>
      <c r="B28" s="7" t="str">
        <f>المدخلات!$F$4</f>
        <v>4:00–5:10 م</v>
      </c>
      <c r="C28" s="7">
        <v>1</v>
      </c>
      <c r="D28" s="7" t="s">
        <v>20</v>
      </c>
      <c r="E28" s="2"/>
      <c r="F28" s="2"/>
    </row>
    <row r="29" spans="1:6" ht="14" customHeight="1">
      <c r="A29" s="8">
        <v>4</v>
      </c>
      <c r="B29" s="7" t="str">
        <f>المدخلات!$F$4</f>
        <v>4:00–5:10 م</v>
      </c>
      <c r="C29" s="7">
        <v>2</v>
      </c>
      <c r="D29" s="7" t="s">
        <v>27</v>
      </c>
      <c r="E29" s="2"/>
      <c r="F29" s="2"/>
    </row>
    <row r="30" spans="1:6" ht="14" customHeight="1">
      <c r="A30" s="8">
        <v>4</v>
      </c>
      <c r="B30" s="7" t="str">
        <f>المدخلات!$F$4</f>
        <v>4:00–5:10 م</v>
      </c>
      <c r="C30" s="7">
        <v>3</v>
      </c>
      <c r="D30" s="7" t="s">
        <v>131</v>
      </c>
      <c r="E30" s="2"/>
      <c r="F30" s="2"/>
    </row>
    <row r="31" spans="1:6" ht="14" customHeight="1">
      <c r="A31" s="8">
        <v>4</v>
      </c>
      <c r="B31" s="7" t="str">
        <f>المدخلات!$F$5</f>
        <v>5:20–6:30 م</v>
      </c>
      <c r="C31" s="7">
        <v>1</v>
      </c>
      <c r="D31" s="7" t="s">
        <v>154</v>
      </c>
      <c r="E31" s="2"/>
      <c r="F31" s="2"/>
    </row>
    <row r="32" spans="1:6" ht="14" customHeight="1">
      <c r="A32" s="8">
        <v>4</v>
      </c>
      <c r="B32" s="7" t="str">
        <f>المدخلات!$F$5</f>
        <v>5:20–6:30 م</v>
      </c>
      <c r="C32" s="7">
        <v>2</v>
      </c>
      <c r="D32" s="7" t="s">
        <v>98</v>
      </c>
      <c r="E32" s="2"/>
      <c r="F32" s="2"/>
    </row>
    <row r="33" spans="1:6" ht="14" customHeight="1">
      <c r="A33" s="8">
        <v>4</v>
      </c>
      <c r="B33" s="7" t="str">
        <f>المدخلات!$F$5</f>
        <v>5:20–6:30 م</v>
      </c>
      <c r="C33" s="7">
        <v>3</v>
      </c>
      <c r="D33" s="7" t="s">
        <v>1073</v>
      </c>
      <c r="E33" s="2"/>
      <c r="F33" s="2"/>
    </row>
    <row r="34" spans="1:6" ht="14" customHeight="1">
      <c r="A34" s="8">
        <v>4</v>
      </c>
      <c r="B34" s="7" t="str">
        <f>المدخلات!$F$6</f>
        <v>6:40–7:50 م</v>
      </c>
      <c r="C34" s="7">
        <v>1</v>
      </c>
      <c r="D34" s="7" t="s">
        <v>623</v>
      </c>
      <c r="E34" s="2"/>
      <c r="F34" s="2"/>
    </row>
    <row r="35" spans="1:6" ht="14" customHeight="1">
      <c r="A35" s="8">
        <v>4</v>
      </c>
      <c r="B35" s="7" t="str">
        <f>المدخلات!$F$6</f>
        <v>6:40–7:50 م</v>
      </c>
      <c r="C35" s="7">
        <v>2</v>
      </c>
      <c r="D35" s="7" t="s">
        <v>9</v>
      </c>
      <c r="E35" s="2"/>
      <c r="F35" s="2"/>
    </row>
    <row r="36" spans="1:6" ht="14" customHeight="1">
      <c r="A36" s="8">
        <v>5</v>
      </c>
      <c r="B36" s="7" t="str">
        <f>المدخلات!$F$4</f>
        <v>4:00–5:10 م</v>
      </c>
      <c r="C36" s="7">
        <v>1</v>
      </c>
      <c r="D36" s="7" t="s">
        <v>135</v>
      </c>
      <c r="E36" s="2"/>
      <c r="F36" s="2"/>
    </row>
    <row r="37" spans="1:6" ht="14" customHeight="1">
      <c r="A37" s="8">
        <v>5</v>
      </c>
      <c r="B37" s="7" t="str">
        <f>المدخلات!$F$4</f>
        <v>4:00–5:10 م</v>
      </c>
      <c r="C37" s="7">
        <v>2</v>
      </c>
      <c r="D37" s="7" t="s">
        <v>14</v>
      </c>
      <c r="E37" s="2"/>
      <c r="F37" s="2"/>
    </row>
    <row r="38" spans="1:6" ht="14" customHeight="1">
      <c r="A38" s="8">
        <v>5</v>
      </c>
      <c r="B38" s="7" t="str">
        <f>المدخلات!$F$4</f>
        <v>4:00–5:10 م</v>
      </c>
      <c r="C38" s="7">
        <v>3</v>
      </c>
      <c r="D38" s="7" t="s">
        <v>72</v>
      </c>
      <c r="E38" s="2"/>
      <c r="F38" s="2"/>
    </row>
    <row r="39" spans="1:6" ht="14" customHeight="1">
      <c r="A39" s="8">
        <v>5</v>
      </c>
      <c r="B39" s="7" t="str">
        <f>المدخلات!$F$5</f>
        <v>5:20–6:30 م</v>
      </c>
      <c r="C39" s="7">
        <v>1</v>
      </c>
      <c r="D39" s="7" t="s">
        <v>1084</v>
      </c>
      <c r="E39" s="2"/>
      <c r="F39" s="2"/>
    </row>
    <row r="40" spans="1:6" ht="14" customHeight="1">
      <c r="A40" s="8">
        <v>5</v>
      </c>
      <c r="B40" s="7" t="str">
        <f>المدخلات!$F$5</f>
        <v>5:20–6:30 م</v>
      </c>
      <c r="C40" s="7">
        <v>2</v>
      </c>
      <c r="D40" s="7" t="s">
        <v>8</v>
      </c>
      <c r="E40" s="2"/>
      <c r="F40" s="2"/>
    </row>
    <row r="41" spans="1:6" ht="14" customHeight="1">
      <c r="A41" s="8">
        <v>5</v>
      </c>
      <c r="B41" s="7" t="str">
        <f>المدخلات!$F$5</f>
        <v>5:20–6:30 م</v>
      </c>
      <c r="C41" s="7">
        <v>3</v>
      </c>
      <c r="D41" s="7" t="s">
        <v>94</v>
      </c>
      <c r="E41" s="2"/>
      <c r="F41" s="2"/>
    </row>
    <row r="42" spans="1:6" ht="14" customHeight="1">
      <c r="A42" s="8">
        <v>5</v>
      </c>
      <c r="B42" s="7" t="str">
        <f>المدخلات!$F$6</f>
        <v>6:40–7:50 م</v>
      </c>
      <c r="C42" s="7">
        <v>1</v>
      </c>
      <c r="D42" s="7" t="s">
        <v>1107</v>
      </c>
      <c r="E42" s="2"/>
      <c r="F42" s="2"/>
    </row>
    <row r="43" spans="1:6" ht="14" customHeight="1">
      <c r="A43" s="8">
        <v>5</v>
      </c>
      <c r="B43" s="7" t="str">
        <f>المدخلات!$F$6</f>
        <v>6:40–7:50 م</v>
      </c>
      <c r="C43" s="7">
        <v>2</v>
      </c>
      <c r="D43" s="7" t="s">
        <v>93</v>
      </c>
      <c r="E43" s="2"/>
      <c r="F43" s="2"/>
    </row>
    <row r="44" spans="1:6" ht="14" customHeight="1">
      <c r="A44" s="8">
        <v>6</v>
      </c>
      <c r="B44" s="7" t="str">
        <f>المدخلات!$F$4</f>
        <v>4:00–5:10 م</v>
      </c>
      <c r="C44" s="7">
        <v>1</v>
      </c>
      <c r="D44" s="7" t="s">
        <v>142</v>
      </c>
      <c r="E44" s="2"/>
      <c r="F44" s="2"/>
    </row>
    <row r="45" spans="1:6" ht="14" customHeight="1">
      <c r="A45" s="8">
        <v>6</v>
      </c>
      <c r="B45" s="7" t="str">
        <f>المدخلات!$F$4</f>
        <v>4:00–5:10 م</v>
      </c>
      <c r="C45" s="7">
        <v>2</v>
      </c>
      <c r="D45" s="7" t="s">
        <v>63</v>
      </c>
      <c r="E45" s="2"/>
      <c r="F45" s="2"/>
    </row>
    <row r="46" spans="1:6" ht="14" customHeight="1">
      <c r="A46" s="8">
        <v>6</v>
      </c>
      <c r="B46" s="7" t="str">
        <f>المدخلات!$F$4</f>
        <v>4:00–5:10 م</v>
      </c>
      <c r="C46" s="7">
        <v>3</v>
      </c>
      <c r="D46" s="7" t="s">
        <v>53</v>
      </c>
      <c r="E46" s="2"/>
      <c r="F46" s="2"/>
    </row>
    <row r="47" spans="1:6" ht="14" customHeight="1">
      <c r="A47" s="8">
        <v>6</v>
      </c>
      <c r="B47" s="7" t="str">
        <f>المدخلات!$F$5</f>
        <v>5:20–6:30 م</v>
      </c>
      <c r="C47" s="7">
        <v>1</v>
      </c>
      <c r="D47" s="7" t="s">
        <v>1095</v>
      </c>
      <c r="E47" s="2"/>
      <c r="F47" s="2"/>
    </row>
    <row r="48" spans="1:6" ht="14" customHeight="1">
      <c r="A48" s="8">
        <v>6</v>
      </c>
      <c r="B48" s="7" t="str">
        <f>المدخلات!$F$5</f>
        <v>5:20–6:30 م</v>
      </c>
      <c r="C48" s="7">
        <v>2</v>
      </c>
      <c r="D48" s="7" t="s">
        <v>1096</v>
      </c>
      <c r="E48" s="2"/>
      <c r="F48" s="2"/>
    </row>
    <row r="49" spans="1:6" ht="14" customHeight="1">
      <c r="A49" s="8">
        <v>6</v>
      </c>
      <c r="B49" s="7" t="str">
        <f>المدخلات!$F$5</f>
        <v>5:20–6:30 م</v>
      </c>
      <c r="C49" s="7">
        <v>3</v>
      </c>
      <c r="D49" s="7" t="s">
        <v>46</v>
      </c>
      <c r="E49" s="2"/>
      <c r="F49" s="2"/>
    </row>
    <row r="50" spans="1:6" ht="14" customHeight="1">
      <c r="A50" s="8">
        <v>6</v>
      </c>
      <c r="B50" s="7" t="str">
        <f>المدخلات!$F$6</f>
        <v>6:40–7:50 م</v>
      </c>
      <c r="C50" s="7">
        <v>1</v>
      </c>
      <c r="D50" s="7" t="s">
        <v>1098</v>
      </c>
      <c r="E50" s="2"/>
      <c r="F50" s="2"/>
    </row>
    <row r="51" spans="1:6" ht="14" customHeight="1">
      <c r="A51" s="8">
        <v>6</v>
      </c>
      <c r="B51" s="7" t="str">
        <f>المدخلات!$F$6</f>
        <v>6:40–7:50 م</v>
      </c>
      <c r="C51" s="7">
        <v>2</v>
      </c>
      <c r="D51" s="7" t="s">
        <v>1097</v>
      </c>
      <c r="E51" s="2"/>
      <c r="F51" s="2"/>
    </row>
    <row r="52" spans="1:6" ht="14" customHeight="1">
      <c r="A52" s="8">
        <v>7</v>
      </c>
      <c r="B52" s="7" t="str">
        <f>المدخلات!$F$4</f>
        <v>4:00–5:10 م</v>
      </c>
      <c r="C52" s="7">
        <v>1</v>
      </c>
      <c r="D52" s="7" t="s">
        <v>148</v>
      </c>
      <c r="E52" s="2"/>
      <c r="F52" s="2"/>
    </row>
    <row r="53" spans="1:6" ht="14" customHeight="1">
      <c r="A53" s="8">
        <v>7</v>
      </c>
      <c r="B53" s="7" t="str">
        <f>المدخلات!$F$4</f>
        <v>4:00–5:10 م</v>
      </c>
      <c r="C53" s="7">
        <v>2</v>
      </c>
      <c r="D53" s="7" t="s">
        <v>697</v>
      </c>
      <c r="E53" s="2"/>
      <c r="F53" s="2"/>
    </row>
    <row r="54" spans="1:6" ht="14" customHeight="1">
      <c r="A54" s="8">
        <v>7</v>
      </c>
      <c r="B54" s="7" t="str">
        <f>المدخلات!$F$4</f>
        <v>4:00–5:10 م</v>
      </c>
      <c r="C54" s="7">
        <v>3</v>
      </c>
      <c r="D54" s="7" t="s">
        <v>19</v>
      </c>
      <c r="E54" s="2"/>
      <c r="F54" s="2"/>
    </row>
    <row r="55" spans="1:6" ht="14" customHeight="1">
      <c r="A55" s="8">
        <v>7</v>
      </c>
      <c r="B55" s="7" t="str">
        <f>المدخلات!$F$5</f>
        <v>5:20–6:30 م</v>
      </c>
      <c r="C55" s="7">
        <v>1</v>
      </c>
      <c r="D55" s="7" t="s">
        <v>635</v>
      </c>
      <c r="E55" s="2"/>
      <c r="F55" s="2"/>
    </row>
    <row r="56" spans="1:6" ht="14" customHeight="1">
      <c r="A56" s="8">
        <v>7</v>
      </c>
      <c r="B56" s="7" t="str">
        <f>المدخلات!$F$5</f>
        <v>5:20–6:30 م</v>
      </c>
      <c r="C56" s="7">
        <v>2</v>
      </c>
      <c r="D56" s="7" t="s">
        <v>1042</v>
      </c>
      <c r="E56" s="2"/>
      <c r="F56" s="2"/>
    </row>
    <row r="57" spans="1:6" ht="14" customHeight="1">
      <c r="A57" s="8">
        <v>7</v>
      </c>
      <c r="B57" s="7" t="str">
        <f>المدخلات!$F$5</f>
        <v>5:20–6:30 م</v>
      </c>
      <c r="C57" s="7">
        <v>3</v>
      </c>
      <c r="D57" s="7" t="s">
        <v>636</v>
      </c>
      <c r="E57" s="2"/>
      <c r="F57" s="2"/>
    </row>
    <row r="58" spans="1:6" ht="14" customHeight="1">
      <c r="A58" s="8">
        <v>7</v>
      </c>
      <c r="B58" s="7" t="str">
        <f>المدخلات!$F$6</f>
        <v>6:40–7:50 م</v>
      </c>
      <c r="C58" s="7">
        <v>1</v>
      </c>
      <c r="D58" s="7" t="s">
        <v>115</v>
      </c>
      <c r="E58" s="2"/>
      <c r="F58" s="2"/>
    </row>
    <row r="59" spans="1:6" ht="14" customHeight="1">
      <c r="A59" s="8">
        <v>7</v>
      </c>
      <c r="B59" s="7" t="str">
        <f>المدخلات!$F$6</f>
        <v>6:40–7:50 م</v>
      </c>
      <c r="C59" s="7">
        <v>2</v>
      </c>
      <c r="D59" s="7" t="s">
        <v>865</v>
      </c>
      <c r="E59" s="2"/>
      <c r="F59" s="2"/>
    </row>
    <row r="60" spans="1:6" ht="14" customHeight="1">
      <c r="A60" s="8">
        <v>8</v>
      </c>
      <c r="B60" s="7" t="str">
        <f>المدخلات!$F$4</f>
        <v>4:00–5:10 م</v>
      </c>
      <c r="C60" s="7">
        <v>1</v>
      </c>
      <c r="D60" s="7" t="s">
        <v>123</v>
      </c>
      <c r="E60" s="2"/>
      <c r="F60" s="2"/>
    </row>
    <row r="61" spans="1:6" ht="14" customHeight="1">
      <c r="A61" s="8">
        <v>8</v>
      </c>
      <c r="B61" s="7" t="str">
        <f>المدخلات!$F$4</f>
        <v>4:00–5:10 م</v>
      </c>
      <c r="C61" s="7">
        <v>2</v>
      </c>
      <c r="D61" s="7" t="s">
        <v>124</v>
      </c>
      <c r="E61" s="2"/>
      <c r="F61" s="2"/>
    </row>
    <row r="62" spans="1:6" ht="14" customHeight="1">
      <c r="A62" s="8">
        <v>8</v>
      </c>
      <c r="B62" s="7" t="str">
        <f>المدخلات!$F$4</f>
        <v>4:00–5:10 م</v>
      </c>
      <c r="C62" s="7">
        <v>3</v>
      </c>
      <c r="D62" s="7" t="s">
        <v>745</v>
      </c>
      <c r="E62" s="2"/>
      <c r="F62" s="2"/>
    </row>
    <row r="63" spans="1:6" ht="14" customHeight="1">
      <c r="A63" s="8">
        <v>8</v>
      </c>
      <c r="B63" s="7" t="str">
        <f>المدخلات!$F$5</f>
        <v>5:20–6:30 م</v>
      </c>
      <c r="C63" s="7">
        <v>1</v>
      </c>
      <c r="D63" s="7" t="s">
        <v>126</v>
      </c>
      <c r="E63" s="2"/>
      <c r="F63" s="2"/>
    </row>
    <row r="64" spans="1:6" ht="14" customHeight="1">
      <c r="A64" s="8">
        <v>8</v>
      </c>
      <c r="B64" s="7" t="str">
        <f>المدخلات!$F$5</f>
        <v>5:20–6:30 م</v>
      </c>
      <c r="C64" s="7">
        <v>2</v>
      </c>
      <c r="D64" s="7" t="s">
        <v>69</v>
      </c>
      <c r="E64" s="2"/>
      <c r="F64" s="2"/>
    </row>
    <row r="65" spans="1:6" ht="14" customHeight="1">
      <c r="A65" s="8">
        <v>8</v>
      </c>
      <c r="B65" s="7" t="str">
        <f>المدخلات!$F$5</f>
        <v>5:20–6:30 م</v>
      </c>
      <c r="C65" s="7">
        <v>3</v>
      </c>
      <c r="D65" s="7" t="s">
        <v>36</v>
      </c>
      <c r="E65" s="2"/>
      <c r="F65" s="2"/>
    </row>
    <row r="66" spans="1:6" ht="14" customHeight="1">
      <c r="A66" s="8">
        <v>8</v>
      </c>
      <c r="B66" s="7" t="str">
        <f>المدخلات!$F$6</f>
        <v>6:40–7:50 م</v>
      </c>
      <c r="C66" s="7">
        <v>1</v>
      </c>
      <c r="D66" s="7" t="s">
        <v>740</v>
      </c>
      <c r="E66" s="2"/>
      <c r="F66" s="2"/>
    </row>
    <row r="67" spans="1:6" ht="14" customHeight="1">
      <c r="A67" s="8">
        <v>8</v>
      </c>
      <c r="B67" s="7" t="str">
        <f>المدخلات!$F$6</f>
        <v>6:40–7:50 م</v>
      </c>
      <c r="C67" s="7">
        <v>2</v>
      </c>
      <c r="D67" s="7" t="s">
        <v>741</v>
      </c>
      <c r="E67" s="2"/>
      <c r="F67" s="2"/>
    </row>
    <row r="68" spans="1:6" ht="14" customHeight="1">
      <c r="A68" s="8">
        <v>9</v>
      </c>
      <c r="B68" s="7" t="str">
        <f>المدخلات!$F$4</f>
        <v>4:00–5:10 م</v>
      </c>
      <c r="C68" s="7">
        <v>1</v>
      </c>
      <c r="D68" s="7" t="s">
        <v>792</v>
      </c>
      <c r="E68" s="2"/>
      <c r="F68" s="2"/>
    </row>
    <row r="69" spans="1:6" ht="14" customHeight="1">
      <c r="A69" s="8">
        <v>9</v>
      </c>
      <c r="B69" s="7" t="str">
        <f>المدخلات!$F$4</f>
        <v>4:00–5:10 م</v>
      </c>
      <c r="C69" s="7">
        <v>2</v>
      </c>
      <c r="D69" s="7" t="s">
        <v>28</v>
      </c>
      <c r="E69" s="2"/>
      <c r="F69" s="2"/>
    </row>
    <row r="70" spans="1:6" ht="14" customHeight="1">
      <c r="A70" s="8">
        <v>9</v>
      </c>
      <c r="B70" s="7" t="str">
        <f>المدخلات!$F$4</f>
        <v>4:00–5:10 م</v>
      </c>
      <c r="C70" s="7">
        <v>3</v>
      </c>
      <c r="D70" s="7" t="s">
        <v>129</v>
      </c>
      <c r="E70" s="2"/>
      <c r="F70" s="2"/>
    </row>
    <row r="71" spans="1:6" ht="14" customHeight="1">
      <c r="A71" s="8">
        <v>9</v>
      </c>
      <c r="B71" s="7" t="str">
        <f>المدخلات!$F$5</f>
        <v>5:20–6:30 م</v>
      </c>
      <c r="C71" s="7">
        <v>1</v>
      </c>
      <c r="D71" s="7" t="s">
        <v>48</v>
      </c>
      <c r="E71" s="2"/>
      <c r="F71" s="2"/>
    </row>
    <row r="72" spans="1:6" ht="14" customHeight="1">
      <c r="A72" s="8">
        <v>9</v>
      </c>
      <c r="B72" s="7" t="str">
        <f>المدخلات!$F$5</f>
        <v>5:20–6:30 م</v>
      </c>
      <c r="C72" s="7">
        <v>2</v>
      </c>
      <c r="D72" s="7" t="s">
        <v>59</v>
      </c>
      <c r="E72" s="2"/>
      <c r="F72" s="2"/>
    </row>
    <row r="73" spans="1:6" ht="14" customHeight="1">
      <c r="A73" s="8">
        <v>9</v>
      </c>
      <c r="B73" s="7" t="str">
        <f>المدخلات!$F$5</f>
        <v>5:20–6:30 م</v>
      </c>
      <c r="C73" s="7">
        <v>3</v>
      </c>
      <c r="D73" s="7" t="s">
        <v>25</v>
      </c>
      <c r="E73" s="2"/>
      <c r="F73" s="2"/>
    </row>
    <row r="74" spans="1:6" ht="14" customHeight="1">
      <c r="A74" s="8">
        <v>9</v>
      </c>
      <c r="B74" s="7" t="str">
        <f>المدخلات!$F$6</f>
        <v>6:40–7:50 م</v>
      </c>
      <c r="C74" s="7">
        <v>1</v>
      </c>
      <c r="D74" s="7" t="s">
        <v>152</v>
      </c>
      <c r="E74" s="2"/>
      <c r="F74" s="2"/>
    </row>
    <row r="75" spans="1:6" ht="14" customHeight="1">
      <c r="A75" s="8">
        <v>9</v>
      </c>
      <c r="B75" s="7" t="str">
        <f>المدخلات!$F$6</f>
        <v>6:40–7:50 م</v>
      </c>
      <c r="C75" s="7">
        <v>2</v>
      </c>
      <c r="D75" s="7" t="s">
        <v>38</v>
      </c>
      <c r="E75" s="2"/>
      <c r="F75" s="2"/>
    </row>
    <row r="76" spans="1:6" ht="14" customHeight="1">
      <c r="A76" s="8">
        <v>10</v>
      </c>
      <c r="B76" s="7" t="str">
        <f>المدخلات!$F$4</f>
        <v>4:00–5:10 م</v>
      </c>
      <c r="C76" s="7">
        <v>1</v>
      </c>
      <c r="D76" s="7" t="s">
        <v>1064</v>
      </c>
      <c r="E76" s="2"/>
      <c r="F76" s="2"/>
    </row>
    <row r="77" spans="1:6" ht="14" customHeight="1">
      <c r="A77" s="8">
        <v>10</v>
      </c>
      <c r="B77" s="7" t="str">
        <f>المدخلات!$F$4</f>
        <v>4:00–5:10 م</v>
      </c>
      <c r="C77" s="7">
        <v>2</v>
      </c>
      <c r="D77" s="7" t="s">
        <v>1059</v>
      </c>
      <c r="E77" s="2"/>
      <c r="F77" s="2"/>
    </row>
    <row r="78" spans="1:6" ht="14" customHeight="1">
      <c r="A78" s="8">
        <v>10</v>
      </c>
      <c r="B78" s="7" t="str">
        <f>المدخلات!$F$4</f>
        <v>4:00–5:10 م</v>
      </c>
      <c r="C78" s="7">
        <v>3</v>
      </c>
      <c r="D78" s="7" t="s">
        <v>55</v>
      </c>
      <c r="E78" s="2"/>
      <c r="F78" s="2"/>
    </row>
    <row r="79" spans="1:6" ht="14" customHeight="1">
      <c r="A79" s="8">
        <v>10</v>
      </c>
      <c r="B79" s="7" t="str">
        <f>المدخلات!$F$5</f>
        <v>5:20–6:30 م</v>
      </c>
      <c r="C79" s="7">
        <v>1</v>
      </c>
      <c r="D79" s="7" t="s">
        <v>146</v>
      </c>
      <c r="E79" s="2"/>
      <c r="F79" s="2"/>
    </row>
    <row r="80" spans="1:6" ht="14" customHeight="1">
      <c r="A80" s="8">
        <v>10</v>
      </c>
      <c r="B80" s="7" t="str">
        <f>المدخلات!$F$5</f>
        <v>5:20–6:30 م</v>
      </c>
      <c r="C80" s="7">
        <v>2</v>
      </c>
      <c r="D80" s="7" t="s">
        <v>109</v>
      </c>
      <c r="E80" s="2"/>
      <c r="F80" s="2"/>
    </row>
    <row r="81" spans="1:6" ht="14" customHeight="1">
      <c r="A81" s="8">
        <v>10</v>
      </c>
      <c r="B81" s="7" t="str">
        <f>المدخلات!$F$5</f>
        <v>5:20–6:30 م</v>
      </c>
      <c r="C81" s="7">
        <v>3</v>
      </c>
      <c r="D81" s="7" t="s">
        <v>1050</v>
      </c>
      <c r="E81" s="2"/>
      <c r="F81" s="2"/>
    </row>
    <row r="82" spans="1:6" ht="14" customHeight="1">
      <c r="A82" s="8">
        <v>10</v>
      </c>
      <c r="B82" s="7" t="str">
        <f>المدخلات!$F$6</f>
        <v>6:40–7:50 م</v>
      </c>
      <c r="C82" s="7">
        <v>1</v>
      </c>
      <c r="D82" s="7" t="s">
        <v>108</v>
      </c>
      <c r="E82" s="2"/>
      <c r="F82" s="2"/>
    </row>
    <row r="83" spans="1:6" ht="14" customHeight="1">
      <c r="A83" s="8">
        <v>10</v>
      </c>
      <c r="B83" s="7" t="str">
        <f>المدخلات!$F$6</f>
        <v>6:40–7:50 م</v>
      </c>
      <c r="C83" s="7">
        <v>2</v>
      </c>
      <c r="D83" s="7" t="s">
        <v>1046</v>
      </c>
      <c r="E83" s="2"/>
      <c r="F83" s="2"/>
    </row>
    <row r="84" spans="1:6" ht="14" customHeight="1">
      <c r="A84" s="8">
        <v>11</v>
      </c>
      <c r="B84" s="7" t="str">
        <f>المدخلات!$F$4</f>
        <v>4:00–5:10 م</v>
      </c>
      <c r="C84" s="7">
        <v>1</v>
      </c>
      <c r="D84" s="7" t="s">
        <v>24</v>
      </c>
      <c r="E84" s="2"/>
      <c r="F84" s="2"/>
    </row>
    <row r="85" spans="1:6" ht="14" customHeight="1">
      <c r="A85" s="8">
        <v>11</v>
      </c>
      <c r="B85" s="7" t="str">
        <f>المدخلات!$F$4</f>
        <v>4:00–5:10 م</v>
      </c>
      <c r="C85" s="7">
        <v>2</v>
      </c>
      <c r="D85" s="7" t="s">
        <v>103</v>
      </c>
      <c r="E85" s="2"/>
      <c r="F85" s="2"/>
    </row>
    <row r="86" spans="1:6" ht="14" customHeight="1">
      <c r="A86" s="8">
        <v>11</v>
      </c>
      <c r="B86" s="7" t="str">
        <f>المدخلات!$F$4</f>
        <v>4:00–5:10 م</v>
      </c>
      <c r="C86" s="7">
        <v>3</v>
      </c>
      <c r="D86" s="7" t="s">
        <v>39</v>
      </c>
      <c r="E86" s="2"/>
      <c r="F86" s="2"/>
    </row>
    <row r="87" spans="1:6" ht="14" customHeight="1">
      <c r="A87" s="8">
        <v>11</v>
      </c>
      <c r="B87" s="7" t="str">
        <f>المدخلات!$F$5</f>
        <v>5:20–6:30 م</v>
      </c>
      <c r="C87" s="7">
        <v>1</v>
      </c>
      <c r="D87" s="7" t="s">
        <v>1425</v>
      </c>
      <c r="E87" s="2"/>
      <c r="F87" s="2"/>
    </row>
    <row r="88" spans="1:6" ht="14" customHeight="1">
      <c r="A88" s="8">
        <v>11</v>
      </c>
      <c r="B88" s="7" t="str">
        <f>المدخلات!$F$5</f>
        <v>5:20–6:30 م</v>
      </c>
      <c r="C88" s="7">
        <v>2</v>
      </c>
      <c r="D88" s="7" t="s">
        <v>1039</v>
      </c>
      <c r="E88" s="2"/>
      <c r="F88" s="2"/>
    </row>
    <row r="89" spans="1:6" ht="14" customHeight="1">
      <c r="A89" s="8">
        <v>11</v>
      </c>
      <c r="B89" s="7" t="str">
        <f>المدخلات!$F$5</f>
        <v>5:20–6:30 م</v>
      </c>
      <c r="C89" s="7">
        <v>3</v>
      </c>
      <c r="D89" s="7" t="s">
        <v>44</v>
      </c>
      <c r="E89" s="2"/>
      <c r="F89" s="2"/>
    </row>
    <row r="90" spans="1:6" ht="14" customHeight="1">
      <c r="A90" s="8">
        <v>11</v>
      </c>
      <c r="B90" s="7" t="str">
        <f>المدخلات!$F$6</f>
        <v>6:40–7:50 م</v>
      </c>
      <c r="C90" s="7">
        <v>1</v>
      </c>
      <c r="D90" s="7" t="s">
        <v>130</v>
      </c>
      <c r="E90" s="2"/>
      <c r="F90" s="2"/>
    </row>
    <row r="91" spans="1:6" ht="14" customHeight="1">
      <c r="A91" s="8">
        <v>11</v>
      </c>
      <c r="B91" s="7" t="str">
        <f>المدخلات!$F$6</f>
        <v>6:40–7:50 م</v>
      </c>
      <c r="C91" s="7">
        <v>2</v>
      </c>
      <c r="D91" s="7" t="s">
        <v>32</v>
      </c>
      <c r="E91" s="2"/>
      <c r="F91" s="2"/>
    </row>
    <row r="92" spans="1:6" ht="14" customHeight="1">
      <c r="A92" s="8">
        <v>12</v>
      </c>
      <c r="B92" s="7" t="str">
        <f>المدخلات!$F$4</f>
        <v>4:00–5:10 م</v>
      </c>
      <c r="C92" s="7">
        <v>1</v>
      </c>
      <c r="D92" s="7" t="s">
        <v>18</v>
      </c>
      <c r="E92" s="2"/>
      <c r="F92" s="2"/>
    </row>
    <row r="93" spans="1:6" ht="14" customHeight="1">
      <c r="A93" s="8">
        <v>12</v>
      </c>
      <c r="B93" s="7" t="str">
        <f>المدخلات!$F$4</f>
        <v>4:00–5:10 م</v>
      </c>
      <c r="C93" s="7">
        <v>2</v>
      </c>
      <c r="D93" s="7" t="s">
        <v>92</v>
      </c>
      <c r="E93" s="2"/>
      <c r="F93" s="2"/>
    </row>
    <row r="94" spans="1:6" ht="14" customHeight="1">
      <c r="A94" s="8">
        <v>12</v>
      </c>
      <c r="B94" s="7" t="str">
        <f>المدخلات!$F$4</f>
        <v>4:00–5:10 م</v>
      </c>
      <c r="C94" s="7">
        <v>3</v>
      </c>
      <c r="D94" s="7" t="s">
        <v>21</v>
      </c>
      <c r="E94" s="2"/>
      <c r="F94" s="2"/>
    </row>
    <row r="95" spans="1:6" ht="14" customHeight="1">
      <c r="A95" s="8">
        <v>12</v>
      </c>
      <c r="B95" s="7" t="str">
        <f>المدخلات!$F$5</f>
        <v>5:20–6:30 م</v>
      </c>
      <c r="C95" s="7">
        <v>1</v>
      </c>
      <c r="D95" s="7" t="s">
        <v>133</v>
      </c>
      <c r="E95" s="2"/>
      <c r="F95" s="2"/>
    </row>
    <row r="96" spans="1:6" ht="14" customHeight="1">
      <c r="A96" s="8">
        <v>12</v>
      </c>
      <c r="B96" s="7" t="str">
        <f>المدخلات!$F$5</f>
        <v>5:20–6:30 م</v>
      </c>
      <c r="C96" s="7">
        <v>2</v>
      </c>
      <c r="D96" s="7" t="s">
        <v>1083</v>
      </c>
      <c r="E96" s="2"/>
      <c r="F96" s="2"/>
    </row>
    <row r="97" spans="1:6" ht="14" customHeight="1">
      <c r="A97" s="8">
        <v>12</v>
      </c>
      <c r="B97" s="7" t="str">
        <f>المدخلات!$F$5</f>
        <v>5:20–6:30 م</v>
      </c>
      <c r="C97" s="7">
        <v>3</v>
      </c>
      <c r="D97" s="7" t="s">
        <v>1077</v>
      </c>
      <c r="E97" s="2"/>
      <c r="F97" s="2"/>
    </row>
    <row r="98" spans="1:6" ht="14" customHeight="1">
      <c r="A98" s="8">
        <v>12</v>
      </c>
      <c r="B98" s="7" t="str">
        <f>المدخلات!$F$6</f>
        <v>6:40–7:50 م</v>
      </c>
      <c r="C98" s="7">
        <v>1</v>
      </c>
      <c r="D98" s="7" t="s">
        <v>13</v>
      </c>
      <c r="E98" s="2"/>
      <c r="F98" s="2"/>
    </row>
    <row r="99" spans="1:6" ht="14" customHeight="1">
      <c r="A99" s="8">
        <v>12</v>
      </c>
      <c r="B99" s="7" t="str">
        <f>المدخلات!$F$6</f>
        <v>6:40–7:50 م</v>
      </c>
      <c r="C99" s="7">
        <v>2</v>
      </c>
      <c r="D99" s="7" t="s">
        <v>99</v>
      </c>
      <c r="E99" s="2"/>
      <c r="F99" s="2"/>
    </row>
    <row r="100" spans="1:6" ht="14" customHeight="1">
      <c r="A100" s="8">
        <v>13</v>
      </c>
      <c r="B100" s="7" t="str">
        <f>المدخلات!$F$4</f>
        <v>4:00–5:10 م</v>
      </c>
      <c r="C100" s="7">
        <v>1</v>
      </c>
      <c r="D100" s="7" t="s">
        <v>709</v>
      </c>
      <c r="E100" s="2"/>
      <c r="F100" s="2"/>
    </row>
    <row r="101" spans="1:6" ht="14" customHeight="1">
      <c r="A101" s="8">
        <v>13</v>
      </c>
      <c r="B101" s="7" t="str">
        <f>المدخلات!$F$4</f>
        <v>4:00–5:10 م</v>
      </c>
      <c r="C101" s="7">
        <v>2</v>
      </c>
      <c r="D101" s="7" t="s">
        <v>91</v>
      </c>
      <c r="E101" s="2"/>
      <c r="F101" s="2"/>
    </row>
    <row r="102" spans="1:6" ht="14" customHeight="1">
      <c r="A102" s="8">
        <v>13</v>
      </c>
      <c r="B102" s="7" t="str">
        <f>المدخلات!$F$4</f>
        <v>4:00–5:10 م</v>
      </c>
      <c r="C102" s="7">
        <v>3</v>
      </c>
      <c r="D102" s="7" t="s">
        <v>708</v>
      </c>
      <c r="E102" s="2"/>
      <c r="F102" s="2"/>
    </row>
    <row r="103" spans="1:6" ht="14" customHeight="1">
      <c r="A103" s="8">
        <v>13</v>
      </c>
      <c r="B103" s="7" t="str">
        <f>المدخلات!$F$5</f>
        <v>5:20–6:30 م</v>
      </c>
      <c r="C103" s="7">
        <v>1</v>
      </c>
      <c r="D103" s="7" t="s">
        <v>17</v>
      </c>
      <c r="E103" s="2"/>
      <c r="F103" s="2"/>
    </row>
    <row r="104" spans="1:6" ht="14" customHeight="1">
      <c r="A104" s="8">
        <v>13</v>
      </c>
      <c r="B104" s="7" t="str">
        <f>المدخلات!$F$5</f>
        <v>5:20–6:30 م</v>
      </c>
      <c r="C104" s="7">
        <v>2</v>
      </c>
      <c r="D104" s="7" t="s">
        <v>866</v>
      </c>
      <c r="E104" s="2"/>
      <c r="F104" s="2"/>
    </row>
    <row r="105" spans="1:6" ht="14" customHeight="1">
      <c r="A105" s="8">
        <v>13</v>
      </c>
      <c r="B105" s="7" t="str">
        <f>المدخلات!$F$5</f>
        <v>5:20–6:30 م</v>
      </c>
      <c r="C105" s="7">
        <v>3</v>
      </c>
      <c r="D105" s="7" t="s">
        <v>95</v>
      </c>
      <c r="E105" s="2"/>
      <c r="F105" s="2"/>
    </row>
    <row r="106" spans="1:6" ht="14" customHeight="1">
      <c r="A106" s="8">
        <v>13</v>
      </c>
      <c r="B106" s="7" t="str">
        <f>المدخلات!$F$6</f>
        <v>6:40–7:50 م</v>
      </c>
      <c r="C106" s="7">
        <v>1</v>
      </c>
      <c r="D106" s="7" t="s">
        <v>648</v>
      </c>
      <c r="E106" s="2"/>
      <c r="F106" s="2"/>
    </row>
    <row r="107" spans="1:6" ht="14" customHeight="1">
      <c r="A107" s="8">
        <v>13</v>
      </c>
      <c r="B107" s="7" t="str">
        <f>المدخلات!$F$6</f>
        <v>6:40–7:50 م</v>
      </c>
      <c r="C107" s="7">
        <v>2</v>
      </c>
      <c r="D107" s="7" t="s">
        <v>117</v>
      </c>
      <c r="E107" s="2"/>
      <c r="F107" s="2"/>
    </row>
    <row r="108" spans="1:6" ht="14" customHeight="1">
      <c r="A108" s="8">
        <v>14</v>
      </c>
      <c r="B108" s="7" t="str">
        <f>المدخلات!$F$4</f>
        <v>4:00–5:10 م</v>
      </c>
      <c r="C108" s="7">
        <v>1</v>
      </c>
      <c r="D108" s="7" t="s">
        <v>49</v>
      </c>
      <c r="E108" s="2"/>
      <c r="F108" s="2"/>
    </row>
    <row r="109" spans="1:6" ht="14" customHeight="1">
      <c r="A109" s="8">
        <v>14</v>
      </c>
      <c r="B109" s="7" t="str">
        <f>المدخلات!$F$4</f>
        <v>4:00–5:10 م</v>
      </c>
      <c r="C109" s="7">
        <v>2</v>
      </c>
      <c r="D109" s="7" t="s">
        <v>833</v>
      </c>
      <c r="E109" s="2"/>
      <c r="F109" s="2"/>
    </row>
    <row r="110" spans="1:6" ht="14" customHeight="1">
      <c r="A110" s="8">
        <v>14</v>
      </c>
      <c r="B110" s="7" t="str">
        <f>المدخلات!$F$4</f>
        <v>4:00–5:10 م</v>
      </c>
      <c r="C110" s="7">
        <v>3</v>
      </c>
      <c r="D110" s="7" t="s">
        <v>1079</v>
      </c>
      <c r="E110" s="2"/>
      <c r="F110" s="2"/>
    </row>
    <row r="111" spans="1:6" ht="14" customHeight="1">
      <c r="A111" s="8">
        <v>14</v>
      </c>
      <c r="B111" s="7" t="str">
        <f>المدخلات!$F$5</f>
        <v>5:20–6:30 م</v>
      </c>
      <c r="C111" s="7">
        <v>1</v>
      </c>
      <c r="D111" s="7" t="s">
        <v>70</v>
      </c>
      <c r="E111" s="2"/>
      <c r="F111" s="2"/>
    </row>
    <row r="112" spans="1:6" ht="14" customHeight="1">
      <c r="A112" s="8">
        <v>14</v>
      </c>
      <c r="B112" s="7" t="str">
        <f>المدخلات!$F$5</f>
        <v>5:20–6:30 م</v>
      </c>
      <c r="C112" s="7">
        <v>2</v>
      </c>
      <c r="D112" s="7" t="s">
        <v>57</v>
      </c>
      <c r="E112" s="2"/>
      <c r="F112" s="2"/>
    </row>
    <row r="113" spans="1:6" ht="14" customHeight="1">
      <c r="A113" s="8">
        <v>14</v>
      </c>
      <c r="B113" s="7" t="str">
        <f>المدخلات!$F$5</f>
        <v>5:20–6:30 م</v>
      </c>
      <c r="C113" s="7">
        <v>3</v>
      </c>
      <c r="D113" s="7" t="s">
        <v>887</v>
      </c>
      <c r="E113" s="2"/>
      <c r="F113" s="2"/>
    </row>
    <row r="114" spans="1:6" ht="14" customHeight="1">
      <c r="A114" s="8">
        <v>14</v>
      </c>
      <c r="B114" s="7" t="str">
        <f>المدخلات!$F$6</f>
        <v>6:40–7:50 م</v>
      </c>
      <c r="C114" s="7">
        <v>1</v>
      </c>
      <c r="D114" s="7" t="s">
        <v>41</v>
      </c>
      <c r="E114" s="2"/>
      <c r="F114" s="2"/>
    </row>
    <row r="115" spans="1:6" ht="14" customHeight="1">
      <c r="A115" s="8">
        <v>14</v>
      </c>
      <c r="B115" s="7" t="str">
        <f>المدخلات!$F$6</f>
        <v>6:40–7:50 م</v>
      </c>
      <c r="C115" s="7">
        <v>2</v>
      </c>
      <c r="D115" s="7" t="s">
        <v>1081</v>
      </c>
      <c r="E115" s="2"/>
      <c r="F115" s="2"/>
    </row>
    <row r="116" spans="1:6" ht="14" customHeight="1">
      <c r="A116" s="8">
        <v>15</v>
      </c>
      <c r="B116" s="7" t="str">
        <f>المدخلات!$F$4</f>
        <v>4:00–5:10 م</v>
      </c>
      <c r="C116" s="7">
        <v>1</v>
      </c>
      <c r="D116" s="7" t="s">
        <v>56</v>
      </c>
      <c r="E116" s="2"/>
      <c r="F116" s="2"/>
    </row>
    <row r="117" spans="1:6" ht="14" customHeight="1">
      <c r="A117" s="8">
        <v>15</v>
      </c>
      <c r="B117" s="7" t="str">
        <f>المدخلات!$F$4</f>
        <v>4:00–5:10 م</v>
      </c>
      <c r="C117" s="7">
        <v>2</v>
      </c>
      <c r="D117" s="7" t="s">
        <v>1066</v>
      </c>
      <c r="E117" s="2"/>
      <c r="F117" s="2"/>
    </row>
    <row r="118" spans="1:6" ht="14" customHeight="1">
      <c r="A118" s="8">
        <v>15</v>
      </c>
      <c r="B118" s="7" t="str">
        <f>المدخلات!$F$4</f>
        <v>4:00–5:10 م</v>
      </c>
      <c r="C118" s="7">
        <v>3</v>
      </c>
      <c r="D118" s="7" t="s">
        <v>1087</v>
      </c>
      <c r="E118" s="2"/>
      <c r="F118" s="2"/>
    </row>
    <row r="119" spans="1:6" ht="14" customHeight="1">
      <c r="A119" s="8">
        <v>15</v>
      </c>
      <c r="B119" s="7" t="str">
        <f>المدخلات!$F$5</f>
        <v>5:20–6:30 م</v>
      </c>
      <c r="C119" s="7">
        <v>1</v>
      </c>
      <c r="D119" s="7" t="s">
        <v>138</v>
      </c>
      <c r="E119" s="2"/>
      <c r="F119" s="2"/>
    </row>
    <row r="120" spans="1:6" ht="14" customHeight="1">
      <c r="A120" s="8">
        <v>15</v>
      </c>
      <c r="B120" s="7" t="str">
        <f>المدخلات!$F$5</f>
        <v>5:20–6:30 م</v>
      </c>
      <c r="C120" s="7">
        <v>2</v>
      </c>
      <c r="D120" s="7" t="s">
        <v>157</v>
      </c>
      <c r="E120" s="2"/>
      <c r="F120" s="2"/>
    </row>
    <row r="121" spans="1:6" ht="14" customHeight="1">
      <c r="A121" s="8">
        <v>15</v>
      </c>
      <c r="B121" s="7" t="str">
        <f>المدخلات!$F$5</f>
        <v>5:20–6:30 م</v>
      </c>
      <c r="C121" s="7">
        <v>3</v>
      </c>
      <c r="D121" s="7" t="s">
        <v>67</v>
      </c>
      <c r="E121" s="2"/>
      <c r="F121" s="2"/>
    </row>
    <row r="122" spans="1:6" ht="14" customHeight="1">
      <c r="A122" s="8">
        <v>15</v>
      </c>
      <c r="B122" s="7" t="str">
        <f>المدخلات!$F$6</f>
        <v>6:40–7:50 م</v>
      </c>
      <c r="C122" s="7">
        <v>1</v>
      </c>
      <c r="D122" s="7" t="s">
        <v>11</v>
      </c>
      <c r="E122" s="2"/>
      <c r="F122" s="2"/>
    </row>
    <row r="123" spans="1:6" ht="14" customHeight="1">
      <c r="A123" s="8">
        <v>15</v>
      </c>
      <c r="B123" s="7" t="str">
        <f>المدخلات!$F$6</f>
        <v>6:40–7:50 م</v>
      </c>
      <c r="C123" s="7">
        <v>2</v>
      </c>
      <c r="D123" s="7" t="s">
        <v>1086</v>
      </c>
      <c r="E123" s="2"/>
      <c r="F123" s="2"/>
    </row>
    <row r="124" spans="1:6" ht="14" customHeight="1">
      <c r="A124" s="8">
        <v>16</v>
      </c>
      <c r="B124" s="7" t="str">
        <f>المدخلات!$F$4</f>
        <v>4:00–5:10 م</v>
      </c>
      <c r="C124" s="7">
        <v>1</v>
      </c>
      <c r="D124" s="7" t="s">
        <v>114</v>
      </c>
      <c r="E124" s="2"/>
      <c r="F124" s="2"/>
    </row>
    <row r="125" spans="1:6" ht="14" customHeight="1">
      <c r="A125" s="8">
        <v>16</v>
      </c>
      <c r="B125" s="7" t="str">
        <f>المدخلات!$F$4</f>
        <v>4:00–5:10 م</v>
      </c>
      <c r="C125" s="7">
        <v>2</v>
      </c>
      <c r="D125" s="7" t="s">
        <v>96</v>
      </c>
      <c r="E125" s="2"/>
      <c r="F125" s="2"/>
    </row>
    <row r="126" spans="1:6" ht="14" customHeight="1">
      <c r="A126" s="8">
        <v>16</v>
      </c>
      <c r="B126" s="7" t="str">
        <f>المدخلات!$F$4</f>
        <v>4:00–5:10 م</v>
      </c>
      <c r="C126" s="7">
        <v>3</v>
      </c>
      <c r="D126" s="7" t="s">
        <v>147</v>
      </c>
      <c r="E126" s="2"/>
      <c r="F126" s="2"/>
    </row>
    <row r="127" spans="1:6" ht="14" customHeight="1">
      <c r="A127" s="8">
        <v>16</v>
      </c>
      <c r="B127" s="7" t="str">
        <f>المدخلات!$F$5</f>
        <v>5:20–6:30 م</v>
      </c>
      <c r="C127" s="7">
        <v>1</v>
      </c>
      <c r="D127" s="7" t="s">
        <v>10</v>
      </c>
      <c r="E127" s="2"/>
      <c r="F127" s="2"/>
    </row>
    <row r="128" spans="1:6" ht="14" customHeight="1">
      <c r="A128" s="8">
        <v>16</v>
      </c>
      <c r="B128" s="7" t="str">
        <f>المدخلات!$F$5</f>
        <v>5:20–6:30 م</v>
      </c>
      <c r="C128" s="7">
        <v>2</v>
      </c>
      <c r="D128" s="7" t="s">
        <v>22</v>
      </c>
      <c r="E128" s="2"/>
      <c r="F128" s="2"/>
    </row>
    <row r="129" spans="1:6" ht="14" customHeight="1">
      <c r="A129" s="8">
        <v>16</v>
      </c>
      <c r="B129" s="7" t="str">
        <f>المدخلات!$F$5</f>
        <v>5:20–6:30 م</v>
      </c>
      <c r="C129" s="7">
        <v>3</v>
      </c>
      <c r="D129" s="7" t="s">
        <v>863</v>
      </c>
      <c r="E129" s="2"/>
      <c r="F129" s="2"/>
    </row>
    <row r="130" spans="1:6" ht="14" customHeight="1">
      <c r="A130" s="8">
        <v>16</v>
      </c>
      <c r="B130" s="7" t="str">
        <f>المدخلات!$F$6</f>
        <v>6:40–7:50 م</v>
      </c>
      <c r="C130" s="7">
        <v>1</v>
      </c>
      <c r="D130" s="7" t="s">
        <v>12</v>
      </c>
      <c r="E130" s="2"/>
      <c r="F130" s="2"/>
    </row>
    <row r="131" spans="1:6" ht="14" customHeight="1">
      <c r="A131" s="8">
        <v>16</v>
      </c>
      <c r="B131" s="7" t="str">
        <f>المدخلات!$F$6</f>
        <v>6:40–7:50 م</v>
      </c>
      <c r="C131" s="7">
        <v>2</v>
      </c>
      <c r="D131" s="7" t="s">
        <v>101</v>
      </c>
      <c r="E131" s="2"/>
      <c r="F131" s="2"/>
    </row>
    <row r="132" spans="1:6" ht="14" customHeight="1">
      <c r="A132" s="8">
        <v>17</v>
      </c>
      <c r="B132" s="7" t="str">
        <f>المدخلات!$F$4</f>
        <v>4:00–5:10 م</v>
      </c>
      <c r="C132" s="7">
        <v>1</v>
      </c>
      <c r="D132" s="7" t="s">
        <v>1049</v>
      </c>
      <c r="E132" s="2"/>
      <c r="F132" s="2"/>
    </row>
    <row r="133" spans="1:6" ht="14" customHeight="1">
      <c r="A133" s="8">
        <v>17</v>
      </c>
      <c r="B133" s="7" t="str">
        <f>المدخلات!$F$4</f>
        <v>4:00–5:10 م</v>
      </c>
      <c r="C133" s="7">
        <v>2</v>
      </c>
      <c r="D133" s="7" t="s">
        <v>769</v>
      </c>
      <c r="E133" s="2"/>
      <c r="F133" s="2"/>
    </row>
    <row r="134" spans="1:6" ht="14" customHeight="1">
      <c r="A134" s="8">
        <v>17</v>
      </c>
      <c r="B134" s="7" t="str">
        <f>المدخلات!$F$4</f>
        <v>4:00–5:10 م</v>
      </c>
      <c r="C134" s="7">
        <v>3</v>
      </c>
      <c r="D134" s="7" t="s">
        <v>51</v>
      </c>
      <c r="E134" s="2"/>
      <c r="F134" s="2"/>
    </row>
    <row r="135" spans="1:6" ht="14" customHeight="1">
      <c r="A135" s="8">
        <v>17</v>
      </c>
      <c r="B135" s="7" t="str">
        <f>المدخلات!$F$5</f>
        <v>5:20–6:30 م</v>
      </c>
      <c r="C135" s="7">
        <v>1</v>
      </c>
      <c r="D135" s="7" t="s">
        <v>127</v>
      </c>
      <c r="E135" s="2"/>
      <c r="F135" s="2"/>
    </row>
    <row r="136" spans="1:6" ht="14" customHeight="1">
      <c r="A136" s="8">
        <v>17</v>
      </c>
      <c r="B136" s="7" t="str">
        <f>المدخلات!$F$5</f>
        <v>5:20–6:30 م</v>
      </c>
      <c r="C136" s="7">
        <v>2</v>
      </c>
      <c r="D136" s="7" t="s">
        <v>61</v>
      </c>
      <c r="E136" s="2"/>
      <c r="F136" s="2"/>
    </row>
    <row r="137" spans="1:6" ht="14" customHeight="1">
      <c r="A137" s="8">
        <v>17</v>
      </c>
      <c r="B137" s="7" t="str">
        <f>المدخلات!$F$5</f>
        <v>5:20–6:30 م</v>
      </c>
      <c r="C137" s="7">
        <v>3</v>
      </c>
      <c r="D137" s="7" t="s">
        <v>151</v>
      </c>
      <c r="E137" s="2"/>
      <c r="F137" s="2"/>
    </row>
    <row r="138" spans="1:6" ht="14" customHeight="1">
      <c r="A138" s="8">
        <v>17</v>
      </c>
      <c r="B138" s="7" t="str">
        <f>المدخلات!$F$6</f>
        <v>6:40–7:50 م</v>
      </c>
      <c r="C138" s="7">
        <v>1</v>
      </c>
      <c r="D138" s="7" t="s">
        <v>767</v>
      </c>
      <c r="E138" s="2"/>
      <c r="F138" s="2"/>
    </row>
    <row r="139" spans="1:6" ht="14" customHeight="1">
      <c r="A139" s="8">
        <v>17</v>
      </c>
      <c r="B139" s="7" t="str">
        <f>المدخلات!$F$6</f>
        <v>6:40–7:50 م</v>
      </c>
      <c r="C139" s="7">
        <v>2</v>
      </c>
      <c r="D139" s="7" t="s">
        <v>42</v>
      </c>
      <c r="E139" s="2"/>
      <c r="F139" s="2"/>
    </row>
    <row r="140" spans="1:6" ht="14" customHeight="1">
      <c r="A140" s="8">
        <v>18</v>
      </c>
      <c r="B140" s="7" t="str">
        <f>المدخلات!$F$4</f>
        <v>4:00–5:10 م</v>
      </c>
      <c r="C140" s="7">
        <v>1</v>
      </c>
      <c r="D140" s="7" t="s">
        <v>72</v>
      </c>
      <c r="E140" s="2"/>
      <c r="F140" s="2"/>
    </row>
    <row r="141" spans="1:6" ht="14" customHeight="1">
      <c r="A141" s="8">
        <v>18</v>
      </c>
      <c r="B141" s="7" t="str">
        <f>المدخلات!$F$4</f>
        <v>4:00–5:10 م</v>
      </c>
      <c r="C141" s="7">
        <v>2</v>
      </c>
      <c r="D141" s="7" t="s">
        <v>46</v>
      </c>
      <c r="E141" s="2"/>
      <c r="F141" s="2"/>
    </row>
    <row r="142" spans="1:6" ht="14" customHeight="1">
      <c r="A142" s="8">
        <v>18</v>
      </c>
      <c r="B142" s="7" t="str">
        <f>المدخلات!$F$4</f>
        <v>4:00–5:10 م</v>
      </c>
      <c r="C142" s="7">
        <v>3</v>
      </c>
      <c r="D142" s="7" t="s">
        <v>16</v>
      </c>
      <c r="E142" s="2"/>
      <c r="F142" s="2"/>
    </row>
    <row r="143" spans="1:6" ht="14" customHeight="1">
      <c r="A143" s="8">
        <v>18</v>
      </c>
      <c r="B143" s="7" t="str">
        <f>المدخلات!$F$5</f>
        <v>5:20–6:30 م</v>
      </c>
      <c r="C143" s="7">
        <v>1</v>
      </c>
      <c r="D143" s="7" t="s">
        <v>1053</v>
      </c>
      <c r="E143" s="2"/>
      <c r="F143" s="2"/>
    </row>
    <row r="144" spans="1:6" ht="14" customHeight="1">
      <c r="A144" s="8">
        <v>18</v>
      </c>
      <c r="B144" s="7" t="str">
        <f>المدخلات!$F$5</f>
        <v>5:20–6:30 م</v>
      </c>
      <c r="C144" s="7">
        <v>2</v>
      </c>
      <c r="D144" s="7" t="s">
        <v>129</v>
      </c>
      <c r="E144" s="2"/>
      <c r="F144" s="2"/>
    </row>
    <row r="145" spans="1:18" ht="14" customHeight="1">
      <c r="A145" s="8">
        <v>18</v>
      </c>
      <c r="B145" s="7" t="str">
        <f>المدخلات!$F$5</f>
        <v>5:20–6:30 م</v>
      </c>
      <c r="C145" s="7">
        <v>3</v>
      </c>
      <c r="D145" s="7" t="s">
        <v>1088</v>
      </c>
      <c r="E145" s="2"/>
      <c r="F145" s="2"/>
    </row>
    <row r="146" spans="1:18" ht="14" customHeight="1">
      <c r="A146" s="8">
        <v>18</v>
      </c>
      <c r="B146" s="7" t="str">
        <f>المدخلات!$F$6</f>
        <v>6:40–7:50 م</v>
      </c>
      <c r="C146" s="7">
        <v>1</v>
      </c>
      <c r="D146" s="7" t="s">
        <v>11</v>
      </c>
      <c r="E146" s="2"/>
      <c r="F146" s="2"/>
    </row>
    <row r="147" spans="1:18" ht="14" customHeight="1">
      <c r="A147" s="8">
        <v>18</v>
      </c>
      <c r="B147" s="7" t="str">
        <f>المدخلات!$F$6</f>
        <v>6:40–7:50 م</v>
      </c>
      <c r="C147" s="7">
        <v>2</v>
      </c>
      <c r="D147" s="7" t="s">
        <v>98</v>
      </c>
      <c r="E147" s="2"/>
      <c r="F147" s="2"/>
    </row>
    <row r="148" spans="1:18" ht="14" customHeight="1">
      <c r="A148" s="8">
        <v>19</v>
      </c>
      <c r="B148" s="7" t="str">
        <f>المدخلات!$F$4</f>
        <v>4:00–5:10 م</v>
      </c>
      <c r="C148" s="7">
        <v>1</v>
      </c>
      <c r="D148" s="7" t="s">
        <v>10</v>
      </c>
      <c r="E148" s="2"/>
      <c r="F148" s="2"/>
    </row>
    <row r="149" spans="1:18" ht="14" customHeight="1">
      <c r="A149" s="8">
        <v>19</v>
      </c>
      <c r="B149" s="7" t="str">
        <f>المدخلات!$F$4</f>
        <v>4:00–5:10 م</v>
      </c>
      <c r="C149" s="7">
        <v>2</v>
      </c>
      <c r="D149" s="7" t="s">
        <v>41</v>
      </c>
      <c r="E149" s="2"/>
      <c r="F149" s="2"/>
    </row>
    <row r="150" spans="1:18" ht="14" customHeight="1">
      <c r="A150" s="8">
        <v>19</v>
      </c>
      <c r="B150" s="7" t="str">
        <f>المدخلات!$F$4</f>
        <v>4:00–5:10 م</v>
      </c>
      <c r="C150" s="7">
        <v>3</v>
      </c>
      <c r="D150" s="7" t="s">
        <v>17</v>
      </c>
      <c r="E150" s="2"/>
      <c r="F150" s="2"/>
    </row>
    <row r="151" spans="1:18" ht="14" customHeight="1">
      <c r="A151" s="8">
        <v>19</v>
      </c>
      <c r="B151" s="7" t="str">
        <f>المدخلات!$F$5</f>
        <v>5:20–6:30 م</v>
      </c>
      <c r="C151" s="7">
        <v>1</v>
      </c>
      <c r="D151" s="7" t="s">
        <v>23</v>
      </c>
      <c r="E151" s="2"/>
      <c r="F151" s="2"/>
    </row>
    <row r="152" spans="1:18" ht="14" customHeight="1">
      <c r="A152" s="8">
        <v>19</v>
      </c>
      <c r="B152" s="7" t="str">
        <f>المدخلات!$F$5</f>
        <v>5:20–6:30 م</v>
      </c>
      <c r="C152" s="7">
        <v>2</v>
      </c>
      <c r="D152" s="7" t="s">
        <v>103</v>
      </c>
      <c r="E152" s="2"/>
      <c r="F152" s="2"/>
    </row>
    <row r="153" spans="1:18" ht="14" customHeight="1">
      <c r="A153" s="8">
        <v>19</v>
      </c>
      <c r="B153" s="7" t="str">
        <f>المدخلات!$F$5</f>
        <v>5:20–6:30 م</v>
      </c>
      <c r="C153" s="7">
        <v>3</v>
      </c>
      <c r="D153" s="7" t="s">
        <v>92</v>
      </c>
      <c r="E153" s="2"/>
      <c r="F153" s="2"/>
    </row>
    <row r="154" spans="1:18" ht="14" customHeight="1">
      <c r="A154" s="8">
        <v>19</v>
      </c>
      <c r="B154" s="7" t="str">
        <f>المدخلات!$F$6</f>
        <v>6:40–7:50 م</v>
      </c>
      <c r="C154" s="7">
        <v>1</v>
      </c>
      <c r="D154" s="7" t="s">
        <v>1091</v>
      </c>
      <c r="E154" s="2"/>
      <c r="F154" s="2"/>
    </row>
    <row r="155" spans="1:18" ht="14" customHeight="1">
      <c r="A155" s="8">
        <v>19</v>
      </c>
      <c r="B155" s="7" t="str">
        <f>المدخلات!$F$6</f>
        <v>6:40–7:50 م</v>
      </c>
      <c r="C155" s="7">
        <v>2</v>
      </c>
      <c r="D155" s="7" t="s">
        <v>56</v>
      </c>
      <c r="E155" s="2"/>
      <c r="F155" s="2"/>
    </row>
    <row r="156" spans="1:18" ht="14" customHeight="1">
      <c r="A156" s="8">
        <v>20</v>
      </c>
      <c r="B156" s="7" t="str">
        <f>المدخلات!$F$4</f>
        <v>4:00–5:10 م</v>
      </c>
      <c r="C156" s="7">
        <v>1</v>
      </c>
      <c r="D156" s="7" t="s">
        <v>833</v>
      </c>
      <c r="E156" s="2"/>
      <c r="F156" s="2"/>
    </row>
    <row r="157" spans="1:18">
      <c r="A157" s="2"/>
      <c r="B157" s="2"/>
      <c r="C157" s="2"/>
      <c r="D157" s="2"/>
    </row>
    <row r="158" spans="1:18">
      <c r="A158" s="2"/>
      <c r="B158" s="2"/>
      <c r="C158" s="2"/>
      <c r="D158" s="2"/>
    </row>
    <row r="159" spans="1:18" ht="14.5">
      <c r="A159" s="17" t="s">
        <v>828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spans="1:18" ht="14.5">
      <c r="A160" s="6" t="s">
        <v>829</v>
      </c>
      <c r="B160" s="6">
        <v>1</v>
      </c>
      <c r="C160" s="6">
        <v>2</v>
      </c>
      <c r="D160" s="6">
        <v>3</v>
      </c>
      <c r="E160" s="6">
        <v>4</v>
      </c>
      <c r="F160" s="6">
        <v>5</v>
      </c>
      <c r="G160" s="6">
        <v>6</v>
      </c>
      <c r="H160" s="6">
        <v>7</v>
      </c>
      <c r="I160" s="6">
        <v>8</v>
      </c>
      <c r="J160" s="6">
        <v>9</v>
      </c>
      <c r="K160" s="6">
        <v>10</v>
      </c>
      <c r="L160" s="6">
        <v>11</v>
      </c>
      <c r="M160" s="6">
        <v>12</v>
      </c>
      <c r="N160" s="6">
        <v>13</v>
      </c>
      <c r="O160" s="6">
        <v>14</v>
      </c>
      <c r="P160" s="6">
        <v>15</v>
      </c>
      <c r="Q160" s="6">
        <v>16</v>
      </c>
      <c r="R160" s="6">
        <v>17</v>
      </c>
    </row>
    <row r="161" spans="1:18" ht="14.5">
      <c r="A161" s="14">
        <v>1</v>
      </c>
      <c r="B161" s="4" t="str">
        <f>IF($A161=B$160,"",COUNTIF($D$4:$D$156,$A161&amp;" ضد "&amp;B$160)+COUNTIF($D$4:$D$156,B$160&amp;" ضد "&amp;$A161))</f>
        <v/>
      </c>
      <c r="C161" s="4">
        <f>IF($A161=C$160,"",COUNTIF($D$4:$D$156,$A161&amp;" ضد "&amp;C$160)+COUNTIF($D$4:$D$156,C$160&amp;" ضد "&amp;$A161))</f>
        <v>2</v>
      </c>
      <c r="D161" s="4">
        <f>IF($A161=D$160,"",COUNTIF($D$4:$D$156,$A161&amp;" ضد "&amp;D$160)+COUNTIF($D$4:$D$156,D$160&amp;" ضد "&amp;$A161))</f>
        <v>1</v>
      </c>
      <c r="E161" s="4">
        <f>IF($A161=E$160,"",COUNTIF($D$4:$D$156,$A161&amp;" ضد "&amp;E$160)+COUNTIF($D$4:$D$156,E$160&amp;" ضد "&amp;$A161))</f>
        <v>1</v>
      </c>
      <c r="F161" s="4">
        <f>IF($A161=F$160,"",COUNTIF($D$4:$D$156,$A161&amp;" ضد "&amp;F$160)+COUNTIF($D$4:$D$156,F$160&amp;" ضد "&amp;$A161))</f>
        <v>1</v>
      </c>
      <c r="G161" s="4">
        <f>IF($A161=G$160,"",COUNTIF($D$4:$D$156,$A161&amp;" ضد "&amp;G$160)+COUNTIF($D$4:$D$156,G$160&amp;" ضد "&amp;$A161))</f>
        <v>1</v>
      </c>
      <c r="H161" s="4">
        <f>IF($A161=H$160,"",COUNTIF($D$4:$D$156,$A161&amp;" ضد "&amp;H$160)+COUNTIF($D$4:$D$156,H$160&amp;" ضد "&amp;$A161))</f>
        <v>1</v>
      </c>
      <c r="I161" s="4">
        <f>IF($A161=I$160,"",COUNTIF($D$4:$D$156,$A161&amp;" ضد "&amp;I$160)+COUNTIF($D$4:$D$156,I$160&amp;" ضد "&amp;$A161))</f>
        <v>1</v>
      </c>
      <c r="J161" s="4">
        <f>IF($A161=J$160,"",COUNTIF($D$4:$D$156,$A161&amp;" ضد "&amp;J$160)+COUNTIF($D$4:$D$156,J$160&amp;" ضد "&amp;$A161))</f>
        <v>1</v>
      </c>
      <c r="K161" s="4">
        <f>IF($A161=K$160,"",COUNTIF($D$4:$D$156,$A161&amp;" ضد "&amp;K$160)+COUNTIF($D$4:$D$156,K$160&amp;" ضد "&amp;$A161))</f>
        <v>1</v>
      </c>
      <c r="L161" s="4">
        <f>IF($A161=L$160,"",COUNTIF($D$4:$D$156,$A161&amp;" ضد "&amp;L$160)+COUNTIF($D$4:$D$156,L$160&amp;" ضد "&amp;$A161))</f>
        <v>1</v>
      </c>
      <c r="M161" s="4">
        <f>IF($A161=M$160,"",COUNTIF($D$4:$D$156,$A161&amp;" ضد "&amp;M$160)+COUNTIF($D$4:$D$156,M$160&amp;" ضد "&amp;$A161))</f>
        <v>1</v>
      </c>
      <c r="N161" s="4">
        <f>IF($A161=N$160,"",COUNTIF($D$4:$D$156,$A161&amp;" ضد "&amp;N$160)+COUNTIF($D$4:$D$156,N$160&amp;" ضد "&amp;$A161))</f>
        <v>1</v>
      </c>
      <c r="O161" s="4">
        <f>IF($A161=O$160,"",COUNTIF($D$4:$D$156,$A161&amp;" ضد "&amp;O$160)+COUNTIF($D$4:$D$156,O$160&amp;" ضد "&amp;$A161))</f>
        <v>1</v>
      </c>
      <c r="P161" s="4">
        <f>IF($A161=P$160,"",COUNTIF($D$4:$D$156,$A161&amp;" ضد "&amp;P$160)+COUNTIF($D$4:$D$156,P$160&amp;" ضد "&amp;$A161))</f>
        <v>1</v>
      </c>
      <c r="Q161" s="4">
        <f>IF($A161=Q$160,"",COUNTIF($D$4:$D$156,$A161&amp;" ضد "&amp;Q$160)+COUNTIF($D$4:$D$156,Q$160&amp;" ضد "&amp;$A161))</f>
        <v>1</v>
      </c>
      <c r="R161" s="4">
        <f>IF($A161=R$160,"",COUNTIF($D$4:$D$156,$A161&amp;" ضد "&amp;R$160)+COUNTIF($D$4:$D$156,R$160&amp;" ضد "&amp;$A161))</f>
        <v>2</v>
      </c>
    </row>
    <row r="162" spans="1:18" ht="14.5">
      <c r="A162" s="14">
        <v>2</v>
      </c>
      <c r="B162" s="4">
        <f>IF($A162=B$160,"",COUNTIF($D$4:$D$156,$A162&amp;" ضد "&amp;B$160)+COUNTIF($D$4:$D$156,B$160&amp;" ضد "&amp;$A162))</f>
        <v>2</v>
      </c>
      <c r="C162" s="4" t="str">
        <f>IF($A162=C$160,"",COUNTIF($D$4:$D$156,$A162&amp;" ضد "&amp;C$160)+COUNTIF($D$4:$D$156,C$160&amp;" ضد "&amp;$A162))</f>
        <v/>
      </c>
      <c r="D162" s="4">
        <f>IF($A162=D$160,"",COUNTIF($D$4:$D$156,$A162&amp;" ضد "&amp;D$160)+COUNTIF($D$4:$D$156,D$160&amp;" ضد "&amp;$A162))</f>
        <v>2</v>
      </c>
      <c r="E162" s="4">
        <f>IF($A162=E$160,"",COUNTIF($D$4:$D$156,$A162&amp;" ضد "&amp;E$160)+COUNTIF($D$4:$D$156,E$160&amp;" ضد "&amp;$A162))</f>
        <v>1</v>
      </c>
      <c r="F162" s="4">
        <f>IF($A162=F$160,"",COUNTIF($D$4:$D$156,$A162&amp;" ضد "&amp;F$160)+COUNTIF($D$4:$D$156,F$160&amp;" ضد "&amp;$A162))</f>
        <v>1</v>
      </c>
      <c r="G162" s="4">
        <f>IF($A162=G$160,"",COUNTIF($D$4:$D$156,$A162&amp;" ضد "&amp;G$160)+COUNTIF($D$4:$D$156,G$160&amp;" ضد "&amp;$A162))</f>
        <v>1</v>
      </c>
      <c r="H162" s="4">
        <f>IF($A162=H$160,"",COUNTIF($D$4:$D$156,$A162&amp;" ضد "&amp;H$160)+COUNTIF($D$4:$D$156,H$160&amp;" ضد "&amp;$A162))</f>
        <v>1</v>
      </c>
      <c r="I162" s="4">
        <f>IF($A162=I$160,"",COUNTIF($D$4:$D$156,$A162&amp;" ضد "&amp;I$160)+COUNTIF($D$4:$D$156,I$160&amp;" ضد "&amp;$A162))</f>
        <v>1</v>
      </c>
      <c r="J162" s="4">
        <f>IF($A162=J$160,"",COUNTIF($D$4:$D$156,$A162&amp;" ضد "&amp;J$160)+COUNTIF($D$4:$D$156,J$160&amp;" ضد "&amp;$A162))</f>
        <v>1</v>
      </c>
      <c r="K162" s="4">
        <f>IF($A162=K$160,"",COUNTIF($D$4:$D$156,$A162&amp;" ضد "&amp;K$160)+COUNTIF($D$4:$D$156,K$160&amp;" ضد "&amp;$A162))</f>
        <v>1</v>
      </c>
      <c r="L162" s="4">
        <f>IF($A162=L$160,"",COUNTIF($D$4:$D$156,$A162&amp;" ضد "&amp;L$160)+COUNTIF($D$4:$D$156,L$160&amp;" ضد "&amp;$A162))</f>
        <v>1</v>
      </c>
      <c r="M162" s="4">
        <f>IF($A162=M$160,"",COUNTIF($D$4:$D$156,$A162&amp;" ضد "&amp;M$160)+COUNTIF($D$4:$D$156,M$160&amp;" ضد "&amp;$A162))</f>
        <v>1</v>
      </c>
      <c r="N162" s="4">
        <f>IF($A162=N$160,"",COUNTIF($D$4:$D$156,$A162&amp;" ضد "&amp;N$160)+COUNTIF($D$4:$D$156,N$160&amp;" ضد "&amp;$A162))</f>
        <v>1</v>
      </c>
      <c r="O162" s="4">
        <f>IF($A162=O$160,"",COUNTIF($D$4:$D$156,$A162&amp;" ضد "&amp;O$160)+COUNTIF($D$4:$D$156,O$160&amp;" ضد "&amp;$A162))</f>
        <v>1</v>
      </c>
      <c r="P162" s="4">
        <f>IF($A162=P$160,"",COUNTIF($D$4:$D$156,$A162&amp;" ضد "&amp;P$160)+COUNTIF($D$4:$D$156,P$160&amp;" ضد "&amp;$A162))</f>
        <v>1</v>
      </c>
      <c r="Q162" s="4">
        <f>IF($A162=Q$160,"",COUNTIF($D$4:$D$156,$A162&amp;" ضد "&amp;Q$160)+COUNTIF($D$4:$D$156,Q$160&amp;" ضد "&amp;$A162))</f>
        <v>1</v>
      </c>
      <c r="R162" s="4">
        <f>IF($A162=R$160,"",COUNTIF($D$4:$D$156,$A162&amp;" ضد "&amp;R$160)+COUNTIF($D$4:$D$156,R$160&amp;" ضد "&amp;$A162))</f>
        <v>1</v>
      </c>
    </row>
    <row r="163" spans="1:18" ht="14.5">
      <c r="A163" s="14">
        <v>3</v>
      </c>
      <c r="B163" s="4">
        <f>IF($A163=B$160,"",COUNTIF($D$4:$D$156,$A163&amp;" ضد "&amp;B$160)+COUNTIF($D$4:$D$156,B$160&amp;" ضد "&amp;$A163))</f>
        <v>1</v>
      </c>
      <c r="C163" s="4">
        <f>IF($A163=C$160,"",COUNTIF($D$4:$D$156,$A163&amp;" ضد "&amp;C$160)+COUNTIF($D$4:$D$156,C$160&amp;" ضد "&amp;$A163))</f>
        <v>2</v>
      </c>
      <c r="D163" s="4" t="str">
        <f>IF($A163=D$160,"",COUNTIF($D$4:$D$156,$A163&amp;" ضد "&amp;D$160)+COUNTIF($D$4:$D$156,D$160&amp;" ضد "&amp;$A163))</f>
        <v/>
      </c>
      <c r="E163" s="4">
        <f>IF($A163=E$160,"",COUNTIF($D$4:$D$156,$A163&amp;" ضد "&amp;E$160)+COUNTIF($D$4:$D$156,E$160&amp;" ضد "&amp;$A163))</f>
        <v>2</v>
      </c>
      <c r="F163" s="4">
        <f>IF($A163=F$160,"",COUNTIF($D$4:$D$156,$A163&amp;" ضد "&amp;F$160)+COUNTIF($D$4:$D$156,F$160&amp;" ضد "&amp;$A163))</f>
        <v>1</v>
      </c>
      <c r="G163" s="4">
        <f>IF($A163=G$160,"",COUNTIF($D$4:$D$156,$A163&amp;" ضد "&amp;G$160)+COUNTIF($D$4:$D$156,G$160&amp;" ضد "&amp;$A163))</f>
        <v>1</v>
      </c>
      <c r="H163" s="4">
        <f>IF($A163=H$160,"",COUNTIF($D$4:$D$156,$A163&amp;" ضد "&amp;H$160)+COUNTIF($D$4:$D$156,H$160&amp;" ضد "&amp;$A163))</f>
        <v>1</v>
      </c>
      <c r="I163" s="4">
        <f>IF($A163=I$160,"",COUNTIF($D$4:$D$156,$A163&amp;" ضد "&amp;I$160)+COUNTIF($D$4:$D$156,I$160&amp;" ضد "&amp;$A163))</f>
        <v>1</v>
      </c>
      <c r="J163" s="4">
        <f>IF($A163=J$160,"",COUNTIF($D$4:$D$156,$A163&amp;" ضد "&amp;J$160)+COUNTIF($D$4:$D$156,J$160&amp;" ضد "&amp;$A163))</f>
        <v>1</v>
      </c>
      <c r="K163" s="4">
        <f>IF($A163=K$160,"",COUNTIF($D$4:$D$156,$A163&amp;" ضد "&amp;K$160)+COUNTIF($D$4:$D$156,K$160&amp;" ضد "&amp;$A163))</f>
        <v>1</v>
      </c>
      <c r="L163" s="4">
        <f>IF($A163=L$160,"",COUNTIF($D$4:$D$156,$A163&amp;" ضد "&amp;L$160)+COUNTIF($D$4:$D$156,L$160&amp;" ضد "&amp;$A163))</f>
        <v>1</v>
      </c>
      <c r="M163" s="4">
        <f>IF($A163=M$160,"",COUNTIF($D$4:$D$156,$A163&amp;" ضد "&amp;M$160)+COUNTIF($D$4:$D$156,M$160&amp;" ضد "&amp;$A163))</f>
        <v>1</v>
      </c>
      <c r="N163" s="4">
        <f>IF($A163=N$160,"",COUNTIF($D$4:$D$156,$A163&amp;" ضد "&amp;N$160)+COUNTIF($D$4:$D$156,N$160&amp;" ضد "&amp;$A163))</f>
        <v>1</v>
      </c>
      <c r="O163" s="4">
        <f>IF($A163=O$160,"",COUNTIF($D$4:$D$156,$A163&amp;" ضد "&amp;O$160)+COUNTIF($D$4:$D$156,O$160&amp;" ضد "&amp;$A163))</f>
        <v>1</v>
      </c>
      <c r="P163" s="4">
        <f>IF($A163=P$160,"",COUNTIF($D$4:$D$156,$A163&amp;" ضد "&amp;P$160)+COUNTIF($D$4:$D$156,P$160&amp;" ضد "&amp;$A163))</f>
        <v>1</v>
      </c>
      <c r="Q163" s="4">
        <f>IF($A163=Q$160,"",COUNTIF($D$4:$D$156,$A163&amp;" ضد "&amp;Q$160)+COUNTIF($D$4:$D$156,Q$160&amp;" ضد "&amp;$A163))</f>
        <v>1</v>
      </c>
      <c r="R163" s="4">
        <f>IF($A163=R$160,"",COUNTIF($D$4:$D$156,$A163&amp;" ضد "&amp;R$160)+COUNTIF($D$4:$D$156,R$160&amp;" ضد "&amp;$A163))</f>
        <v>1</v>
      </c>
    </row>
    <row r="164" spans="1:18" ht="14.5">
      <c r="A164" s="14">
        <v>4</v>
      </c>
      <c r="B164" s="4">
        <f>IF($A164=B$160,"",COUNTIF($D$4:$D$156,$A164&amp;" ضد "&amp;B$160)+COUNTIF($D$4:$D$156,B$160&amp;" ضد "&amp;$A164))</f>
        <v>1</v>
      </c>
      <c r="C164" s="4">
        <f>IF($A164=C$160,"",COUNTIF($D$4:$D$156,$A164&amp;" ضد "&amp;C$160)+COUNTIF($D$4:$D$156,C$160&amp;" ضد "&amp;$A164))</f>
        <v>1</v>
      </c>
      <c r="D164" s="4">
        <f>IF($A164=D$160,"",COUNTIF($D$4:$D$156,$A164&amp;" ضد "&amp;D$160)+COUNTIF($D$4:$D$156,D$160&amp;" ضد "&amp;$A164))</f>
        <v>2</v>
      </c>
      <c r="E164" s="4" t="str">
        <f>IF($A164=E$160,"",COUNTIF($D$4:$D$156,$A164&amp;" ضد "&amp;E$160)+COUNTIF($D$4:$D$156,E$160&amp;" ضد "&amp;$A164))</f>
        <v/>
      </c>
      <c r="F164" s="4">
        <f>IF($A164=F$160,"",COUNTIF($D$4:$D$156,$A164&amp;" ضد "&amp;F$160)+COUNTIF($D$4:$D$156,F$160&amp;" ضد "&amp;$A164))</f>
        <v>2</v>
      </c>
      <c r="G164" s="4">
        <f>IF($A164=G$160,"",COUNTIF($D$4:$D$156,$A164&amp;" ضد "&amp;G$160)+COUNTIF($D$4:$D$156,G$160&amp;" ضد "&amp;$A164))</f>
        <v>1</v>
      </c>
      <c r="H164" s="4">
        <f>IF($A164=H$160,"",COUNTIF($D$4:$D$156,$A164&amp;" ضد "&amp;H$160)+COUNTIF($D$4:$D$156,H$160&amp;" ضد "&amp;$A164))</f>
        <v>1</v>
      </c>
      <c r="I164" s="4">
        <f>IF($A164=I$160,"",COUNTIF($D$4:$D$156,$A164&amp;" ضد "&amp;I$160)+COUNTIF($D$4:$D$156,I$160&amp;" ضد "&amp;$A164))</f>
        <v>1</v>
      </c>
      <c r="J164" s="4">
        <f>IF($A164=J$160,"",COUNTIF($D$4:$D$156,$A164&amp;" ضد "&amp;J$160)+COUNTIF($D$4:$D$156,J$160&amp;" ضد "&amp;$A164))</f>
        <v>1</v>
      </c>
      <c r="K164" s="4">
        <f>IF($A164=K$160,"",COUNTIF($D$4:$D$156,$A164&amp;" ضد "&amp;K$160)+COUNTIF($D$4:$D$156,K$160&amp;" ضد "&amp;$A164))</f>
        <v>1</v>
      </c>
      <c r="L164" s="4">
        <f>IF($A164=L$160,"",COUNTIF($D$4:$D$156,$A164&amp;" ضد "&amp;L$160)+COUNTIF($D$4:$D$156,L$160&amp;" ضد "&amp;$A164))</f>
        <v>1</v>
      </c>
      <c r="M164" s="4">
        <f>IF($A164=M$160,"",COUNTIF($D$4:$D$156,$A164&amp;" ضد "&amp;M$160)+COUNTIF($D$4:$D$156,M$160&amp;" ضد "&amp;$A164))</f>
        <v>1</v>
      </c>
      <c r="N164" s="4">
        <f>IF($A164=N$160,"",COUNTIF($D$4:$D$156,$A164&amp;" ضد "&amp;N$160)+COUNTIF($D$4:$D$156,N$160&amp;" ضد "&amp;$A164))</f>
        <v>1</v>
      </c>
      <c r="O164" s="4">
        <f>IF($A164=O$160,"",COUNTIF($D$4:$D$156,$A164&amp;" ضد "&amp;O$160)+COUNTIF($D$4:$D$156,O$160&amp;" ضد "&amp;$A164))</f>
        <v>1</v>
      </c>
      <c r="P164" s="4">
        <f>IF($A164=P$160,"",COUNTIF($D$4:$D$156,$A164&amp;" ضد "&amp;P$160)+COUNTIF($D$4:$D$156,P$160&amp;" ضد "&amp;$A164))</f>
        <v>1</v>
      </c>
      <c r="Q164" s="4">
        <f>IF($A164=Q$160,"",COUNTIF($D$4:$D$156,$A164&amp;" ضد "&amp;Q$160)+COUNTIF($D$4:$D$156,Q$160&amp;" ضد "&amp;$A164))</f>
        <v>1</v>
      </c>
      <c r="R164" s="4">
        <f>IF($A164=R$160,"",COUNTIF($D$4:$D$156,$A164&amp;" ضد "&amp;R$160)+COUNTIF($D$4:$D$156,R$160&amp;" ضد "&amp;$A164))</f>
        <v>1</v>
      </c>
    </row>
    <row r="165" spans="1:18" ht="14.5">
      <c r="A165" s="14">
        <v>5</v>
      </c>
      <c r="B165" s="4">
        <f>IF($A165=B$160,"",COUNTIF($D$4:$D$156,$A165&amp;" ضد "&amp;B$160)+COUNTIF($D$4:$D$156,B$160&amp;" ضد "&amp;$A165))</f>
        <v>1</v>
      </c>
      <c r="C165" s="4">
        <f>IF($A165=C$160,"",COUNTIF($D$4:$D$156,$A165&amp;" ضد "&amp;C$160)+COUNTIF($D$4:$D$156,C$160&amp;" ضد "&amp;$A165))</f>
        <v>1</v>
      </c>
      <c r="D165" s="4">
        <f>IF($A165=D$160,"",COUNTIF($D$4:$D$156,$A165&amp;" ضد "&amp;D$160)+COUNTIF($D$4:$D$156,D$160&amp;" ضد "&amp;$A165))</f>
        <v>1</v>
      </c>
      <c r="E165" s="4">
        <f>IF($A165=E$160,"",COUNTIF($D$4:$D$156,$A165&amp;" ضد "&amp;E$160)+COUNTIF($D$4:$D$156,E$160&amp;" ضد "&amp;$A165))</f>
        <v>2</v>
      </c>
      <c r="F165" s="4" t="str">
        <f>IF($A165=F$160,"",COUNTIF($D$4:$D$156,$A165&amp;" ضد "&amp;F$160)+COUNTIF($D$4:$D$156,F$160&amp;" ضد "&amp;$A165))</f>
        <v/>
      </c>
      <c r="G165" s="4">
        <f>IF($A165=G$160,"",COUNTIF($D$4:$D$156,$A165&amp;" ضد "&amp;G$160)+COUNTIF($D$4:$D$156,G$160&amp;" ضد "&amp;$A165))</f>
        <v>2</v>
      </c>
      <c r="H165" s="4">
        <f>IF($A165=H$160,"",COUNTIF($D$4:$D$156,$A165&amp;" ضد "&amp;H$160)+COUNTIF($D$4:$D$156,H$160&amp;" ضد "&amp;$A165))</f>
        <v>1</v>
      </c>
      <c r="I165" s="4">
        <f>IF($A165=I$160,"",COUNTIF($D$4:$D$156,$A165&amp;" ضد "&amp;I$160)+COUNTIF($D$4:$D$156,I$160&amp;" ضد "&amp;$A165))</f>
        <v>1</v>
      </c>
      <c r="J165" s="4">
        <f>IF($A165=J$160,"",COUNTIF($D$4:$D$156,$A165&amp;" ضد "&amp;J$160)+COUNTIF($D$4:$D$156,J$160&amp;" ضد "&amp;$A165))</f>
        <v>1</v>
      </c>
      <c r="K165" s="4">
        <f>IF($A165=K$160,"",COUNTIF($D$4:$D$156,$A165&amp;" ضد "&amp;K$160)+COUNTIF($D$4:$D$156,K$160&amp;" ضد "&amp;$A165))</f>
        <v>1</v>
      </c>
      <c r="L165" s="4">
        <f>IF($A165=L$160,"",COUNTIF($D$4:$D$156,$A165&amp;" ضد "&amp;L$160)+COUNTIF($D$4:$D$156,L$160&amp;" ضد "&amp;$A165))</f>
        <v>1</v>
      </c>
      <c r="M165" s="4">
        <f>IF($A165=M$160,"",COUNTIF($D$4:$D$156,$A165&amp;" ضد "&amp;M$160)+COUNTIF($D$4:$D$156,M$160&amp;" ضد "&amp;$A165))</f>
        <v>1</v>
      </c>
      <c r="N165" s="4">
        <f>IF($A165=N$160,"",COUNTIF($D$4:$D$156,$A165&amp;" ضد "&amp;N$160)+COUNTIF($D$4:$D$156,N$160&amp;" ضد "&amp;$A165))</f>
        <v>1</v>
      </c>
      <c r="O165" s="4">
        <f>IF($A165=O$160,"",COUNTIF($D$4:$D$156,$A165&amp;" ضد "&amp;O$160)+COUNTIF($D$4:$D$156,O$160&amp;" ضد "&amp;$A165))</f>
        <v>1</v>
      </c>
      <c r="P165" s="4">
        <f>IF($A165=P$160,"",COUNTIF($D$4:$D$156,$A165&amp;" ضد "&amp;P$160)+COUNTIF($D$4:$D$156,P$160&amp;" ضد "&amp;$A165))</f>
        <v>1</v>
      </c>
      <c r="Q165" s="4">
        <f>IF($A165=Q$160,"",COUNTIF($D$4:$D$156,$A165&amp;" ضد "&amp;Q$160)+COUNTIF($D$4:$D$156,Q$160&amp;" ضد "&amp;$A165))</f>
        <v>1</v>
      </c>
      <c r="R165" s="4">
        <f>IF($A165=R$160,"",COUNTIF($D$4:$D$156,$A165&amp;" ضد "&amp;R$160)+COUNTIF($D$4:$D$156,R$160&amp;" ضد "&amp;$A165))</f>
        <v>1</v>
      </c>
    </row>
    <row r="166" spans="1:18" ht="14.5">
      <c r="A166" s="14">
        <v>6</v>
      </c>
      <c r="B166" s="4">
        <f>IF($A166=B$160,"",COUNTIF($D$4:$D$156,$A166&amp;" ضد "&amp;B$160)+COUNTIF($D$4:$D$156,B$160&amp;" ضد "&amp;$A166))</f>
        <v>1</v>
      </c>
      <c r="C166" s="4">
        <f>IF($A166=C$160,"",COUNTIF($D$4:$D$156,$A166&amp;" ضد "&amp;C$160)+COUNTIF($D$4:$D$156,C$160&amp;" ضد "&amp;$A166))</f>
        <v>1</v>
      </c>
      <c r="D166" s="4">
        <f>IF($A166=D$160,"",COUNTIF($D$4:$D$156,$A166&amp;" ضد "&amp;D$160)+COUNTIF($D$4:$D$156,D$160&amp;" ضد "&amp;$A166))</f>
        <v>1</v>
      </c>
      <c r="E166" s="4">
        <f>IF($A166=E$160,"",COUNTIF($D$4:$D$156,$A166&amp;" ضد "&amp;E$160)+COUNTIF($D$4:$D$156,E$160&amp;" ضد "&amp;$A166))</f>
        <v>1</v>
      </c>
      <c r="F166" s="4">
        <f>IF($A166=F$160,"",COUNTIF($D$4:$D$156,$A166&amp;" ضد "&amp;F$160)+COUNTIF($D$4:$D$156,F$160&amp;" ضد "&amp;$A166))</f>
        <v>2</v>
      </c>
      <c r="G166" s="4" t="str">
        <f>IF($A166=G$160,"",COUNTIF($D$4:$D$156,$A166&amp;" ضد "&amp;G$160)+COUNTIF($D$4:$D$156,G$160&amp;" ضد "&amp;$A166))</f>
        <v/>
      </c>
      <c r="H166" s="4">
        <f>IF($A166=H$160,"",COUNTIF($D$4:$D$156,$A166&amp;" ضد "&amp;H$160)+COUNTIF($D$4:$D$156,H$160&amp;" ضد "&amp;$A166))</f>
        <v>2</v>
      </c>
      <c r="I166" s="4">
        <f>IF($A166=I$160,"",COUNTIF($D$4:$D$156,$A166&amp;" ضد "&amp;I$160)+COUNTIF($D$4:$D$156,I$160&amp;" ضد "&amp;$A166))</f>
        <v>1</v>
      </c>
      <c r="J166" s="4">
        <f>IF($A166=J$160,"",COUNTIF($D$4:$D$156,$A166&amp;" ضد "&amp;J$160)+COUNTIF($D$4:$D$156,J$160&amp;" ضد "&amp;$A166))</f>
        <v>1</v>
      </c>
      <c r="K166" s="4">
        <f>IF($A166=K$160,"",COUNTIF($D$4:$D$156,$A166&amp;" ضد "&amp;K$160)+COUNTIF($D$4:$D$156,K$160&amp;" ضد "&amp;$A166))</f>
        <v>1</v>
      </c>
      <c r="L166" s="4">
        <f>IF($A166=L$160,"",COUNTIF($D$4:$D$156,$A166&amp;" ضد "&amp;L$160)+COUNTIF($D$4:$D$156,L$160&amp;" ضد "&amp;$A166))</f>
        <v>1</v>
      </c>
      <c r="M166" s="4">
        <f>IF($A166=M$160,"",COUNTIF($D$4:$D$156,$A166&amp;" ضد "&amp;M$160)+COUNTIF($D$4:$D$156,M$160&amp;" ضد "&amp;$A166))</f>
        <v>1</v>
      </c>
      <c r="N166" s="4">
        <f>IF($A166=N$160,"",COUNTIF($D$4:$D$156,$A166&amp;" ضد "&amp;N$160)+COUNTIF($D$4:$D$156,N$160&amp;" ضد "&amp;$A166))</f>
        <v>1</v>
      </c>
      <c r="O166" s="4">
        <f>IF($A166=O$160,"",COUNTIF($D$4:$D$156,$A166&amp;" ضد "&amp;O$160)+COUNTIF($D$4:$D$156,O$160&amp;" ضد "&amp;$A166))</f>
        <v>1</v>
      </c>
      <c r="P166" s="4">
        <f>IF($A166=P$160,"",COUNTIF($D$4:$D$156,$A166&amp;" ضد "&amp;P$160)+COUNTIF($D$4:$D$156,P$160&amp;" ضد "&amp;$A166))</f>
        <v>1</v>
      </c>
      <c r="Q166" s="4">
        <f>IF($A166=Q$160,"",COUNTIF($D$4:$D$156,$A166&amp;" ضد "&amp;Q$160)+COUNTIF($D$4:$D$156,Q$160&amp;" ضد "&amp;$A166))</f>
        <v>1</v>
      </c>
      <c r="R166" s="4">
        <f>IF($A166=R$160,"",COUNTIF($D$4:$D$156,$A166&amp;" ضد "&amp;R$160)+COUNTIF($D$4:$D$156,R$160&amp;" ضد "&amp;$A166))</f>
        <v>1</v>
      </c>
    </row>
    <row r="167" spans="1:18" ht="14.5">
      <c r="A167" s="14">
        <v>7</v>
      </c>
      <c r="B167" s="4">
        <f>IF($A167=B$160,"",COUNTIF($D$4:$D$156,$A167&amp;" ضد "&amp;B$160)+COUNTIF($D$4:$D$156,B$160&amp;" ضد "&amp;$A167))</f>
        <v>1</v>
      </c>
      <c r="C167" s="4">
        <f>IF($A167=C$160,"",COUNTIF($D$4:$D$156,$A167&amp;" ضد "&amp;C$160)+COUNTIF($D$4:$D$156,C$160&amp;" ضد "&amp;$A167))</f>
        <v>1</v>
      </c>
      <c r="D167" s="4">
        <f>IF($A167=D$160,"",COUNTIF($D$4:$D$156,$A167&amp;" ضد "&amp;D$160)+COUNTIF($D$4:$D$156,D$160&amp;" ضد "&amp;$A167))</f>
        <v>1</v>
      </c>
      <c r="E167" s="4">
        <f>IF($A167=E$160,"",COUNTIF($D$4:$D$156,$A167&amp;" ضد "&amp;E$160)+COUNTIF($D$4:$D$156,E$160&amp;" ضد "&amp;$A167))</f>
        <v>1</v>
      </c>
      <c r="F167" s="4">
        <f>IF($A167=F$160,"",COUNTIF($D$4:$D$156,$A167&amp;" ضد "&amp;F$160)+COUNTIF($D$4:$D$156,F$160&amp;" ضد "&amp;$A167))</f>
        <v>1</v>
      </c>
      <c r="G167" s="4">
        <f>IF($A167=G$160,"",COUNTIF($D$4:$D$156,$A167&amp;" ضد "&amp;G$160)+COUNTIF($D$4:$D$156,G$160&amp;" ضد "&amp;$A167))</f>
        <v>2</v>
      </c>
      <c r="H167" s="4" t="str">
        <f>IF($A167=H$160,"",COUNTIF($D$4:$D$156,$A167&amp;" ضد "&amp;H$160)+COUNTIF($D$4:$D$156,H$160&amp;" ضد "&amp;$A167))</f>
        <v/>
      </c>
      <c r="I167" s="4">
        <f>IF($A167=I$160,"",COUNTIF($D$4:$D$156,$A167&amp;" ضد "&amp;I$160)+COUNTIF($D$4:$D$156,I$160&amp;" ضد "&amp;$A167))</f>
        <v>2</v>
      </c>
      <c r="J167" s="4">
        <f>IF($A167=J$160,"",COUNTIF($D$4:$D$156,$A167&amp;" ضد "&amp;J$160)+COUNTIF($D$4:$D$156,J$160&amp;" ضد "&amp;$A167))</f>
        <v>1</v>
      </c>
      <c r="K167" s="4">
        <f>IF($A167=K$160,"",COUNTIF($D$4:$D$156,$A167&amp;" ضد "&amp;K$160)+COUNTIF($D$4:$D$156,K$160&amp;" ضد "&amp;$A167))</f>
        <v>1</v>
      </c>
      <c r="L167" s="4">
        <f>IF($A167=L$160,"",COUNTIF($D$4:$D$156,$A167&amp;" ضد "&amp;L$160)+COUNTIF($D$4:$D$156,L$160&amp;" ضد "&amp;$A167))</f>
        <v>1</v>
      </c>
      <c r="M167" s="4">
        <f>IF($A167=M$160,"",COUNTIF($D$4:$D$156,$A167&amp;" ضد "&amp;M$160)+COUNTIF($D$4:$D$156,M$160&amp;" ضد "&amp;$A167))</f>
        <v>1</v>
      </c>
      <c r="N167" s="4">
        <f>IF($A167=N$160,"",COUNTIF($D$4:$D$156,$A167&amp;" ضد "&amp;N$160)+COUNTIF($D$4:$D$156,N$160&amp;" ضد "&amp;$A167))</f>
        <v>1</v>
      </c>
      <c r="O167" s="4">
        <f>IF($A167=O$160,"",COUNTIF($D$4:$D$156,$A167&amp;" ضد "&amp;O$160)+COUNTIF($D$4:$D$156,O$160&amp;" ضد "&amp;$A167))</f>
        <v>1</v>
      </c>
      <c r="P167" s="4">
        <f>IF($A167=P$160,"",COUNTIF($D$4:$D$156,$A167&amp;" ضد "&amp;P$160)+COUNTIF($D$4:$D$156,P$160&amp;" ضد "&amp;$A167))</f>
        <v>1</v>
      </c>
      <c r="Q167" s="4">
        <f>IF($A167=Q$160,"",COUNTIF($D$4:$D$156,$A167&amp;" ضد "&amp;Q$160)+COUNTIF($D$4:$D$156,Q$160&amp;" ضد "&amp;$A167))</f>
        <v>1</v>
      </c>
      <c r="R167" s="4">
        <f>IF($A167=R$160,"",COUNTIF($D$4:$D$156,$A167&amp;" ضد "&amp;R$160)+COUNTIF($D$4:$D$156,R$160&amp;" ضد "&amp;$A167))</f>
        <v>1</v>
      </c>
    </row>
    <row r="168" spans="1:18" ht="14.5">
      <c r="A168" s="14">
        <v>8</v>
      </c>
      <c r="B168" s="4">
        <f>IF($A168=B$160,"",COUNTIF($D$4:$D$156,$A168&amp;" ضد "&amp;B$160)+COUNTIF($D$4:$D$156,B$160&amp;" ضد "&amp;$A168))</f>
        <v>1</v>
      </c>
      <c r="C168" s="4">
        <f>IF($A168=C$160,"",COUNTIF($D$4:$D$156,$A168&amp;" ضد "&amp;C$160)+COUNTIF($D$4:$D$156,C$160&amp;" ضد "&amp;$A168))</f>
        <v>1</v>
      </c>
      <c r="D168" s="4">
        <f>IF($A168=D$160,"",COUNTIF($D$4:$D$156,$A168&amp;" ضد "&amp;D$160)+COUNTIF($D$4:$D$156,D$160&amp;" ضد "&amp;$A168))</f>
        <v>1</v>
      </c>
      <c r="E168" s="4">
        <f>IF($A168=E$160,"",COUNTIF($D$4:$D$156,$A168&amp;" ضد "&amp;E$160)+COUNTIF($D$4:$D$156,E$160&amp;" ضد "&amp;$A168))</f>
        <v>1</v>
      </c>
      <c r="F168" s="4">
        <f>IF($A168=F$160,"",COUNTIF($D$4:$D$156,$A168&amp;" ضد "&amp;F$160)+COUNTIF($D$4:$D$156,F$160&amp;" ضد "&amp;$A168))</f>
        <v>1</v>
      </c>
      <c r="G168" s="4">
        <f>IF($A168=G$160,"",COUNTIF($D$4:$D$156,$A168&amp;" ضد "&amp;G$160)+COUNTIF($D$4:$D$156,G$160&amp;" ضد "&amp;$A168))</f>
        <v>1</v>
      </c>
      <c r="H168" s="4">
        <f>IF($A168=H$160,"",COUNTIF($D$4:$D$156,$A168&amp;" ضد "&amp;H$160)+COUNTIF($D$4:$D$156,H$160&amp;" ضد "&amp;$A168))</f>
        <v>2</v>
      </c>
      <c r="I168" s="4" t="str">
        <f>IF($A168=I$160,"",COUNTIF($D$4:$D$156,$A168&amp;" ضد "&amp;I$160)+COUNTIF($D$4:$D$156,I$160&amp;" ضد "&amp;$A168))</f>
        <v/>
      </c>
      <c r="J168" s="4">
        <f>IF($A168=J$160,"",COUNTIF($D$4:$D$156,$A168&amp;" ضد "&amp;J$160)+COUNTIF($D$4:$D$156,J$160&amp;" ضد "&amp;$A168))</f>
        <v>2</v>
      </c>
      <c r="K168" s="4">
        <f>IF($A168=K$160,"",COUNTIF($D$4:$D$156,$A168&amp;" ضد "&amp;K$160)+COUNTIF($D$4:$D$156,K$160&amp;" ضد "&amp;$A168))</f>
        <v>1</v>
      </c>
      <c r="L168" s="4">
        <f>IF($A168=L$160,"",COUNTIF($D$4:$D$156,$A168&amp;" ضد "&amp;L$160)+COUNTIF($D$4:$D$156,L$160&amp;" ضد "&amp;$A168))</f>
        <v>1</v>
      </c>
      <c r="M168" s="4">
        <f>IF($A168=M$160,"",COUNTIF($D$4:$D$156,$A168&amp;" ضد "&amp;M$160)+COUNTIF($D$4:$D$156,M$160&amp;" ضد "&amp;$A168))</f>
        <v>1</v>
      </c>
      <c r="N168" s="4">
        <f>IF($A168=N$160,"",COUNTIF($D$4:$D$156,$A168&amp;" ضد "&amp;N$160)+COUNTIF($D$4:$D$156,N$160&amp;" ضد "&amp;$A168))</f>
        <v>1</v>
      </c>
      <c r="O168" s="4">
        <f>IF($A168=O$160,"",COUNTIF($D$4:$D$156,$A168&amp;" ضد "&amp;O$160)+COUNTIF($D$4:$D$156,O$160&amp;" ضد "&amp;$A168))</f>
        <v>1</v>
      </c>
      <c r="P168" s="4">
        <f>IF($A168=P$160,"",COUNTIF($D$4:$D$156,$A168&amp;" ضد "&amp;P$160)+COUNTIF($D$4:$D$156,P$160&amp;" ضد "&amp;$A168))</f>
        <v>1</v>
      </c>
      <c r="Q168" s="4">
        <f>IF($A168=Q$160,"",COUNTIF($D$4:$D$156,$A168&amp;" ضد "&amp;Q$160)+COUNTIF($D$4:$D$156,Q$160&amp;" ضد "&amp;$A168))</f>
        <v>1</v>
      </c>
      <c r="R168" s="4">
        <f>IF($A168=R$160,"",COUNTIF($D$4:$D$156,$A168&amp;" ضد "&amp;R$160)+COUNTIF($D$4:$D$156,R$160&amp;" ضد "&amp;$A168))</f>
        <v>1</v>
      </c>
    </row>
    <row r="169" spans="1:18" ht="14.5">
      <c r="A169" s="14">
        <v>9</v>
      </c>
      <c r="B169" s="4">
        <f>IF($A169=B$160,"",COUNTIF($D$4:$D$156,$A169&amp;" ضد "&amp;B$160)+COUNTIF($D$4:$D$156,B$160&amp;" ضد "&amp;$A169))</f>
        <v>1</v>
      </c>
      <c r="C169" s="4">
        <f>IF($A169=C$160,"",COUNTIF($D$4:$D$156,$A169&amp;" ضد "&amp;C$160)+COUNTIF($D$4:$D$156,C$160&amp;" ضد "&amp;$A169))</f>
        <v>1</v>
      </c>
      <c r="D169" s="4">
        <f>IF($A169=D$160,"",COUNTIF($D$4:$D$156,$A169&amp;" ضد "&amp;D$160)+COUNTIF($D$4:$D$156,D$160&amp;" ضد "&amp;$A169))</f>
        <v>1</v>
      </c>
      <c r="E169" s="4">
        <f>IF($A169=E$160,"",COUNTIF($D$4:$D$156,$A169&amp;" ضد "&amp;E$160)+COUNTIF($D$4:$D$156,E$160&amp;" ضد "&amp;$A169))</f>
        <v>1</v>
      </c>
      <c r="F169" s="4">
        <f>IF($A169=F$160,"",COUNTIF($D$4:$D$156,$A169&amp;" ضد "&amp;F$160)+COUNTIF($D$4:$D$156,F$160&amp;" ضد "&amp;$A169))</f>
        <v>1</v>
      </c>
      <c r="G169" s="4">
        <f>IF($A169=G$160,"",COUNTIF($D$4:$D$156,$A169&amp;" ضد "&amp;G$160)+COUNTIF($D$4:$D$156,G$160&amp;" ضد "&amp;$A169))</f>
        <v>1</v>
      </c>
      <c r="H169" s="4">
        <f>IF($A169=H$160,"",COUNTIF($D$4:$D$156,$A169&amp;" ضد "&amp;H$160)+COUNTIF($D$4:$D$156,H$160&amp;" ضد "&amp;$A169))</f>
        <v>1</v>
      </c>
      <c r="I169" s="4">
        <f>IF($A169=I$160,"",COUNTIF($D$4:$D$156,$A169&amp;" ضد "&amp;I$160)+COUNTIF($D$4:$D$156,I$160&amp;" ضد "&amp;$A169))</f>
        <v>2</v>
      </c>
      <c r="J169" s="4" t="str">
        <f>IF($A169=J$160,"",COUNTIF($D$4:$D$156,$A169&amp;" ضد "&amp;J$160)+COUNTIF($D$4:$D$156,J$160&amp;" ضد "&amp;$A169))</f>
        <v/>
      </c>
      <c r="K169" s="4">
        <f>IF($A169=K$160,"",COUNTIF($D$4:$D$156,$A169&amp;" ضد "&amp;K$160)+COUNTIF($D$4:$D$156,K$160&amp;" ضد "&amp;$A169))</f>
        <v>2</v>
      </c>
      <c r="L169" s="4">
        <f>IF($A169=L$160,"",COUNTIF($D$4:$D$156,$A169&amp;" ضد "&amp;L$160)+COUNTIF($D$4:$D$156,L$160&amp;" ضد "&amp;$A169))</f>
        <v>1</v>
      </c>
      <c r="M169" s="4">
        <f>IF($A169=M$160,"",COUNTIF($D$4:$D$156,$A169&amp;" ضد "&amp;M$160)+COUNTIF($D$4:$D$156,M$160&amp;" ضد "&amp;$A169))</f>
        <v>1</v>
      </c>
      <c r="N169" s="4">
        <f>IF($A169=N$160,"",COUNTIF($D$4:$D$156,$A169&amp;" ضد "&amp;N$160)+COUNTIF($D$4:$D$156,N$160&amp;" ضد "&amp;$A169))</f>
        <v>1</v>
      </c>
      <c r="O169" s="4">
        <f>IF($A169=O$160,"",COUNTIF($D$4:$D$156,$A169&amp;" ضد "&amp;O$160)+COUNTIF($D$4:$D$156,O$160&amp;" ضد "&amp;$A169))</f>
        <v>1</v>
      </c>
      <c r="P169" s="4">
        <f>IF($A169=P$160,"",COUNTIF($D$4:$D$156,$A169&amp;" ضد "&amp;P$160)+COUNTIF($D$4:$D$156,P$160&amp;" ضد "&amp;$A169))</f>
        <v>1</v>
      </c>
      <c r="Q169" s="4">
        <f>IF($A169=Q$160,"",COUNTIF($D$4:$D$156,$A169&amp;" ضد "&amp;Q$160)+COUNTIF($D$4:$D$156,Q$160&amp;" ضد "&amp;$A169))</f>
        <v>1</v>
      </c>
      <c r="R169" s="4">
        <f>IF($A169=R$160,"",COUNTIF($D$4:$D$156,$A169&amp;" ضد "&amp;R$160)+COUNTIF($D$4:$D$156,R$160&amp;" ضد "&amp;$A169))</f>
        <v>1</v>
      </c>
    </row>
    <row r="170" spans="1:18" ht="14.5">
      <c r="A170" s="14">
        <v>10</v>
      </c>
      <c r="B170" s="4">
        <f>IF($A170=B$160,"",COUNTIF($D$4:$D$156,$A170&amp;" ضد "&amp;B$160)+COUNTIF($D$4:$D$156,B$160&amp;" ضد "&amp;$A170))</f>
        <v>1</v>
      </c>
      <c r="C170" s="4">
        <f>IF($A170=C$160,"",COUNTIF($D$4:$D$156,$A170&amp;" ضد "&amp;C$160)+COUNTIF($D$4:$D$156,C$160&amp;" ضد "&amp;$A170))</f>
        <v>1</v>
      </c>
      <c r="D170" s="4">
        <f>IF($A170=D$160,"",COUNTIF($D$4:$D$156,$A170&amp;" ضد "&amp;D$160)+COUNTIF($D$4:$D$156,D$160&amp;" ضد "&amp;$A170))</f>
        <v>1</v>
      </c>
      <c r="E170" s="4">
        <f>IF($A170=E$160,"",COUNTIF($D$4:$D$156,$A170&amp;" ضد "&amp;E$160)+COUNTIF($D$4:$D$156,E$160&amp;" ضد "&amp;$A170))</f>
        <v>1</v>
      </c>
      <c r="F170" s="4">
        <f>IF($A170=F$160,"",COUNTIF($D$4:$D$156,$A170&amp;" ضد "&amp;F$160)+COUNTIF($D$4:$D$156,F$160&amp;" ضد "&amp;$A170))</f>
        <v>1</v>
      </c>
      <c r="G170" s="4">
        <f>IF($A170=G$160,"",COUNTIF($D$4:$D$156,$A170&amp;" ضد "&amp;G$160)+COUNTIF($D$4:$D$156,G$160&amp;" ضد "&amp;$A170))</f>
        <v>1</v>
      </c>
      <c r="H170" s="4">
        <f>IF($A170=H$160,"",COUNTIF($D$4:$D$156,$A170&amp;" ضد "&amp;H$160)+COUNTIF($D$4:$D$156,H$160&amp;" ضد "&amp;$A170))</f>
        <v>1</v>
      </c>
      <c r="I170" s="4">
        <f>IF($A170=I$160,"",COUNTIF($D$4:$D$156,$A170&amp;" ضد "&amp;I$160)+COUNTIF($D$4:$D$156,I$160&amp;" ضد "&amp;$A170))</f>
        <v>1</v>
      </c>
      <c r="J170" s="4">
        <f>IF($A170=J$160,"",COUNTIF($D$4:$D$156,$A170&amp;" ضد "&amp;J$160)+COUNTIF($D$4:$D$156,J$160&amp;" ضد "&amp;$A170))</f>
        <v>2</v>
      </c>
      <c r="K170" s="4" t="str">
        <f>IF($A170=K$160,"",COUNTIF($D$4:$D$156,$A170&amp;" ضد "&amp;K$160)+COUNTIF($D$4:$D$156,K$160&amp;" ضد "&amp;$A170))</f>
        <v/>
      </c>
      <c r="L170" s="4">
        <f>IF($A170=L$160,"",COUNTIF($D$4:$D$156,$A170&amp;" ضد "&amp;L$160)+COUNTIF($D$4:$D$156,L$160&amp;" ضد "&amp;$A170))</f>
        <v>2</v>
      </c>
      <c r="M170" s="4">
        <f>IF($A170=M$160,"",COUNTIF($D$4:$D$156,$A170&amp;" ضد "&amp;M$160)+COUNTIF($D$4:$D$156,M$160&amp;" ضد "&amp;$A170))</f>
        <v>1</v>
      </c>
      <c r="N170" s="4">
        <f>IF($A170=N$160,"",COUNTIF($D$4:$D$156,$A170&amp;" ضد "&amp;N$160)+COUNTIF($D$4:$D$156,N$160&amp;" ضد "&amp;$A170))</f>
        <v>1</v>
      </c>
      <c r="O170" s="4">
        <f>IF($A170=O$160,"",COUNTIF($D$4:$D$156,$A170&amp;" ضد "&amp;O$160)+COUNTIF($D$4:$D$156,O$160&amp;" ضد "&amp;$A170))</f>
        <v>1</v>
      </c>
      <c r="P170" s="4">
        <f>IF($A170=P$160,"",COUNTIF($D$4:$D$156,$A170&amp;" ضد "&amp;P$160)+COUNTIF($D$4:$D$156,P$160&amp;" ضد "&amp;$A170))</f>
        <v>1</v>
      </c>
      <c r="Q170" s="4">
        <f>IF($A170=Q$160,"",COUNTIF($D$4:$D$156,$A170&amp;" ضد "&amp;Q$160)+COUNTIF($D$4:$D$156,Q$160&amp;" ضد "&amp;$A170))</f>
        <v>1</v>
      </c>
      <c r="R170" s="4">
        <f>IF($A170=R$160,"",COUNTIF($D$4:$D$156,$A170&amp;" ضد "&amp;R$160)+COUNTIF($D$4:$D$156,R$160&amp;" ضد "&amp;$A170))</f>
        <v>1</v>
      </c>
    </row>
    <row r="171" spans="1:18" ht="14.5">
      <c r="A171" s="14">
        <v>11</v>
      </c>
      <c r="B171" s="4">
        <f>IF($A171=B$160,"",COUNTIF($D$4:$D$156,$A171&amp;" ضد "&amp;B$160)+COUNTIF($D$4:$D$156,B$160&amp;" ضد "&amp;$A171))</f>
        <v>1</v>
      </c>
      <c r="C171" s="4">
        <f>IF($A171=C$160,"",COUNTIF($D$4:$D$156,$A171&amp;" ضد "&amp;C$160)+COUNTIF($D$4:$D$156,C$160&amp;" ضد "&amp;$A171))</f>
        <v>1</v>
      </c>
      <c r="D171" s="4">
        <f>IF($A171=D$160,"",COUNTIF($D$4:$D$156,$A171&amp;" ضد "&amp;D$160)+COUNTIF($D$4:$D$156,D$160&amp;" ضد "&amp;$A171))</f>
        <v>1</v>
      </c>
      <c r="E171" s="4">
        <f>IF($A171=E$160,"",COUNTIF($D$4:$D$156,$A171&amp;" ضد "&amp;E$160)+COUNTIF($D$4:$D$156,E$160&amp;" ضد "&amp;$A171))</f>
        <v>1</v>
      </c>
      <c r="F171" s="4">
        <f>IF($A171=F$160,"",COUNTIF($D$4:$D$156,$A171&amp;" ضد "&amp;F$160)+COUNTIF($D$4:$D$156,F$160&amp;" ضد "&amp;$A171))</f>
        <v>1</v>
      </c>
      <c r="G171" s="4">
        <f>IF($A171=G$160,"",COUNTIF($D$4:$D$156,$A171&amp;" ضد "&amp;G$160)+COUNTIF($D$4:$D$156,G$160&amp;" ضد "&amp;$A171))</f>
        <v>1</v>
      </c>
      <c r="H171" s="4">
        <f>IF($A171=H$160,"",COUNTIF($D$4:$D$156,$A171&amp;" ضد "&amp;H$160)+COUNTIF($D$4:$D$156,H$160&amp;" ضد "&amp;$A171))</f>
        <v>1</v>
      </c>
      <c r="I171" s="4">
        <f>IF($A171=I$160,"",COUNTIF($D$4:$D$156,$A171&amp;" ضد "&amp;I$160)+COUNTIF($D$4:$D$156,I$160&amp;" ضد "&amp;$A171))</f>
        <v>1</v>
      </c>
      <c r="J171" s="4">
        <f>IF($A171=J$160,"",COUNTIF($D$4:$D$156,$A171&amp;" ضد "&amp;J$160)+COUNTIF($D$4:$D$156,J$160&amp;" ضد "&amp;$A171))</f>
        <v>1</v>
      </c>
      <c r="K171" s="4">
        <f>IF($A171=K$160,"",COUNTIF($D$4:$D$156,$A171&amp;" ضد "&amp;K$160)+COUNTIF($D$4:$D$156,K$160&amp;" ضد "&amp;$A171))</f>
        <v>2</v>
      </c>
      <c r="L171" s="4" t="str">
        <f>IF($A171=L$160,"",COUNTIF($D$4:$D$156,$A171&amp;" ضد "&amp;L$160)+COUNTIF($D$4:$D$156,L$160&amp;" ضد "&amp;$A171))</f>
        <v/>
      </c>
      <c r="M171" s="4">
        <f>IF($A171=M$160,"",COUNTIF($D$4:$D$156,$A171&amp;" ضد "&amp;M$160)+COUNTIF($D$4:$D$156,M$160&amp;" ضد "&amp;$A171))</f>
        <v>2</v>
      </c>
      <c r="N171" s="4">
        <f>IF($A171=N$160,"",COUNTIF($D$4:$D$156,$A171&amp;" ضد "&amp;N$160)+COUNTIF($D$4:$D$156,N$160&amp;" ضد "&amp;$A171))</f>
        <v>1</v>
      </c>
      <c r="O171" s="4">
        <f>IF($A171=O$160,"",COUNTIF($D$4:$D$156,$A171&amp;" ضد "&amp;O$160)+COUNTIF($D$4:$D$156,O$160&amp;" ضد "&amp;$A171))</f>
        <v>1</v>
      </c>
      <c r="P171" s="4">
        <f>IF($A171=P$160,"",COUNTIF($D$4:$D$156,$A171&amp;" ضد "&amp;P$160)+COUNTIF($D$4:$D$156,P$160&amp;" ضد "&amp;$A171))</f>
        <v>1</v>
      </c>
      <c r="Q171" s="4">
        <f>IF($A171=Q$160,"",COUNTIF($D$4:$D$156,$A171&amp;" ضد "&amp;Q$160)+COUNTIF($D$4:$D$156,Q$160&amp;" ضد "&amp;$A171))</f>
        <v>1</v>
      </c>
      <c r="R171" s="4">
        <f>IF($A171=R$160,"",COUNTIF($D$4:$D$156,$A171&amp;" ضد "&amp;R$160)+COUNTIF($D$4:$D$156,R$160&amp;" ضد "&amp;$A171))</f>
        <v>1</v>
      </c>
    </row>
    <row r="172" spans="1:18" ht="14.5">
      <c r="A172" s="14">
        <v>12</v>
      </c>
      <c r="B172" s="4">
        <f>IF($A172=B$160,"",COUNTIF($D$4:$D$156,$A172&amp;" ضد "&amp;B$160)+COUNTIF($D$4:$D$156,B$160&amp;" ضد "&amp;$A172))</f>
        <v>1</v>
      </c>
      <c r="C172" s="4">
        <f>IF($A172=C$160,"",COUNTIF($D$4:$D$156,$A172&amp;" ضد "&amp;C$160)+COUNTIF($D$4:$D$156,C$160&amp;" ضد "&amp;$A172))</f>
        <v>1</v>
      </c>
      <c r="D172" s="4">
        <f>IF($A172=D$160,"",COUNTIF($D$4:$D$156,$A172&amp;" ضد "&amp;D$160)+COUNTIF($D$4:$D$156,D$160&amp;" ضد "&amp;$A172))</f>
        <v>1</v>
      </c>
      <c r="E172" s="4">
        <f>IF($A172=E$160,"",COUNTIF($D$4:$D$156,$A172&amp;" ضد "&amp;E$160)+COUNTIF($D$4:$D$156,E$160&amp;" ضد "&amp;$A172))</f>
        <v>1</v>
      </c>
      <c r="F172" s="4">
        <f>IF($A172=F$160,"",COUNTIF($D$4:$D$156,$A172&amp;" ضد "&amp;F$160)+COUNTIF($D$4:$D$156,F$160&amp;" ضد "&amp;$A172))</f>
        <v>1</v>
      </c>
      <c r="G172" s="4">
        <f>IF($A172=G$160,"",COUNTIF($D$4:$D$156,$A172&amp;" ضد "&amp;G$160)+COUNTIF($D$4:$D$156,G$160&amp;" ضد "&amp;$A172))</f>
        <v>1</v>
      </c>
      <c r="H172" s="4">
        <f>IF($A172=H$160,"",COUNTIF($D$4:$D$156,$A172&amp;" ضد "&amp;H$160)+COUNTIF($D$4:$D$156,H$160&amp;" ضد "&amp;$A172))</f>
        <v>1</v>
      </c>
      <c r="I172" s="4">
        <f>IF($A172=I$160,"",COUNTIF($D$4:$D$156,$A172&amp;" ضد "&amp;I$160)+COUNTIF($D$4:$D$156,I$160&amp;" ضد "&amp;$A172))</f>
        <v>1</v>
      </c>
      <c r="J172" s="4">
        <f>IF($A172=J$160,"",COUNTIF($D$4:$D$156,$A172&amp;" ضد "&amp;J$160)+COUNTIF($D$4:$D$156,J$160&amp;" ضد "&amp;$A172))</f>
        <v>1</v>
      </c>
      <c r="K172" s="4">
        <f>IF($A172=K$160,"",COUNTIF($D$4:$D$156,$A172&amp;" ضد "&amp;K$160)+COUNTIF($D$4:$D$156,K$160&amp;" ضد "&amp;$A172))</f>
        <v>1</v>
      </c>
      <c r="L172" s="4">
        <f>IF($A172=L$160,"",COUNTIF($D$4:$D$156,$A172&amp;" ضد "&amp;L$160)+COUNTIF($D$4:$D$156,L$160&amp;" ضد "&amp;$A172))</f>
        <v>2</v>
      </c>
      <c r="M172" s="4" t="str">
        <f>IF($A172=M$160,"",COUNTIF($D$4:$D$156,$A172&amp;" ضد "&amp;M$160)+COUNTIF($D$4:$D$156,M$160&amp;" ضد "&amp;$A172))</f>
        <v/>
      </c>
      <c r="N172" s="4">
        <f>IF($A172=N$160,"",COUNTIF($D$4:$D$156,$A172&amp;" ضد "&amp;N$160)+COUNTIF($D$4:$D$156,N$160&amp;" ضد "&amp;$A172))</f>
        <v>2</v>
      </c>
      <c r="O172" s="4">
        <f>IF($A172=O$160,"",COUNTIF($D$4:$D$156,$A172&amp;" ضد "&amp;O$160)+COUNTIF($D$4:$D$156,O$160&amp;" ضد "&amp;$A172))</f>
        <v>1</v>
      </c>
      <c r="P172" s="4">
        <f>IF($A172=P$160,"",COUNTIF($D$4:$D$156,$A172&amp;" ضد "&amp;P$160)+COUNTIF($D$4:$D$156,P$160&amp;" ضد "&amp;$A172))</f>
        <v>1</v>
      </c>
      <c r="Q172" s="4">
        <f>IF($A172=Q$160,"",COUNTIF($D$4:$D$156,$A172&amp;" ضد "&amp;Q$160)+COUNTIF($D$4:$D$156,Q$160&amp;" ضد "&amp;$A172))</f>
        <v>1</v>
      </c>
      <c r="R172" s="4">
        <f>IF($A172=R$160,"",COUNTIF($D$4:$D$156,$A172&amp;" ضد "&amp;R$160)+COUNTIF($D$4:$D$156,R$160&amp;" ضد "&amp;$A172))</f>
        <v>1</v>
      </c>
    </row>
    <row r="173" spans="1:18" ht="14.5">
      <c r="A173" s="14">
        <v>13</v>
      </c>
      <c r="B173" s="4">
        <f>IF($A173=B$160,"",COUNTIF($D$4:$D$156,$A173&amp;" ضد "&amp;B$160)+COUNTIF($D$4:$D$156,B$160&amp;" ضد "&amp;$A173))</f>
        <v>1</v>
      </c>
      <c r="C173" s="4">
        <f>IF($A173=C$160,"",COUNTIF($D$4:$D$156,$A173&amp;" ضد "&amp;C$160)+COUNTIF($D$4:$D$156,C$160&amp;" ضد "&amp;$A173))</f>
        <v>1</v>
      </c>
      <c r="D173" s="4">
        <f>IF($A173=D$160,"",COUNTIF($D$4:$D$156,$A173&amp;" ضد "&amp;D$160)+COUNTIF($D$4:$D$156,D$160&amp;" ضد "&amp;$A173))</f>
        <v>1</v>
      </c>
      <c r="E173" s="4">
        <f>IF($A173=E$160,"",COUNTIF($D$4:$D$156,$A173&amp;" ضد "&amp;E$160)+COUNTIF($D$4:$D$156,E$160&amp;" ضد "&amp;$A173))</f>
        <v>1</v>
      </c>
      <c r="F173" s="4">
        <f>IF($A173=F$160,"",COUNTIF($D$4:$D$156,$A173&amp;" ضد "&amp;F$160)+COUNTIF($D$4:$D$156,F$160&amp;" ضد "&amp;$A173))</f>
        <v>1</v>
      </c>
      <c r="G173" s="4">
        <f>IF($A173=G$160,"",COUNTIF($D$4:$D$156,$A173&amp;" ضد "&amp;G$160)+COUNTIF($D$4:$D$156,G$160&amp;" ضد "&amp;$A173))</f>
        <v>1</v>
      </c>
      <c r="H173" s="4">
        <f>IF($A173=H$160,"",COUNTIF($D$4:$D$156,$A173&amp;" ضد "&amp;H$160)+COUNTIF($D$4:$D$156,H$160&amp;" ضد "&amp;$A173))</f>
        <v>1</v>
      </c>
      <c r="I173" s="4">
        <f>IF($A173=I$160,"",COUNTIF($D$4:$D$156,$A173&amp;" ضد "&amp;I$160)+COUNTIF($D$4:$D$156,I$160&amp;" ضد "&amp;$A173))</f>
        <v>1</v>
      </c>
      <c r="J173" s="4">
        <f>IF($A173=J$160,"",COUNTIF($D$4:$D$156,$A173&amp;" ضد "&amp;J$160)+COUNTIF($D$4:$D$156,J$160&amp;" ضد "&amp;$A173))</f>
        <v>1</v>
      </c>
      <c r="K173" s="4">
        <f>IF($A173=K$160,"",COUNTIF($D$4:$D$156,$A173&amp;" ضد "&amp;K$160)+COUNTIF($D$4:$D$156,K$160&amp;" ضد "&amp;$A173))</f>
        <v>1</v>
      </c>
      <c r="L173" s="4">
        <f>IF($A173=L$160,"",COUNTIF($D$4:$D$156,$A173&amp;" ضد "&amp;L$160)+COUNTIF($D$4:$D$156,L$160&amp;" ضد "&amp;$A173))</f>
        <v>1</v>
      </c>
      <c r="M173" s="4">
        <f>IF($A173=M$160,"",COUNTIF($D$4:$D$156,$A173&amp;" ضد "&amp;M$160)+COUNTIF($D$4:$D$156,M$160&amp;" ضد "&amp;$A173))</f>
        <v>2</v>
      </c>
      <c r="N173" s="4" t="str">
        <f>IF($A173=N$160,"",COUNTIF($D$4:$D$156,$A173&amp;" ضد "&amp;N$160)+COUNTIF($D$4:$D$156,N$160&amp;" ضد "&amp;$A173))</f>
        <v/>
      </c>
      <c r="O173" s="4">
        <f>IF($A173=O$160,"",COUNTIF($D$4:$D$156,$A173&amp;" ضد "&amp;O$160)+COUNTIF($D$4:$D$156,O$160&amp;" ضد "&amp;$A173))</f>
        <v>2</v>
      </c>
      <c r="P173" s="4">
        <f>IF($A173=P$160,"",COUNTIF($D$4:$D$156,$A173&amp;" ضد "&amp;P$160)+COUNTIF($D$4:$D$156,P$160&amp;" ضد "&amp;$A173))</f>
        <v>1</v>
      </c>
      <c r="Q173" s="4">
        <f>IF($A173=Q$160,"",COUNTIF($D$4:$D$156,$A173&amp;" ضد "&amp;Q$160)+COUNTIF($D$4:$D$156,Q$160&amp;" ضد "&amp;$A173))</f>
        <v>1</v>
      </c>
      <c r="R173" s="4">
        <f>IF($A173=R$160,"",COUNTIF($D$4:$D$156,$A173&amp;" ضد "&amp;R$160)+COUNTIF($D$4:$D$156,R$160&amp;" ضد "&amp;$A173))</f>
        <v>1</v>
      </c>
    </row>
    <row r="174" spans="1:18" ht="14.5">
      <c r="A174" s="14">
        <v>14</v>
      </c>
      <c r="B174" s="4">
        <f>IF($A174=B$160,"",COUNTIF($D$4:$D$156,$A174&amp;" ضد "&amp;B$160)+COUNTIF($D$4:$D$156,B$160&amp;" ضد "&amp;$A174))</f>
        <v>1</v>
      </c>
      <c r="C174" s="4">
        <f>IF($A174=C$160,"",COUNTIF($D$4:$D$156,$A174&amp;" ضد "&amp;C$160)+COUNTIF($D$4:$D$156,C$160&amp;" ضد "&amp;$A174))</f>
        <v>1</v>
      </c>
      <c r="D174" s="4">
        <f>IF($A174=D$160,"",COUNTIF($D$4:$D$156,$A174&amp;" ضد "&amp;D$160)+COUNTIF($D$4:$D$156,D$160&amp;" ضد "&amp;$A174))</f>
        <v>1</v>
      </c>
      <c r="E174" s="4">
        <f>IF($A174=E$160,"",COUNTIF($D$4:$D$156,$A174&amp;" ضد "&amp;E$160)+COUNTIF($D$4:$D$156,E$160&amp;" ضد "&amp;$A174))</f>
        <v>1</v>
      </c>
      <c r="F174" s="4">
        <f>IF($A174=F$160,"",COUNTIF($D$4:$D$156,$A174&amp;" ضد "&amp;F$160)+COUNTIF($D$4:$D$156,F$160&amp;" ضد "&amp;$A174))</f>
        <v>1</v>
      </c>
      <c r="G174" s="4">
        <f>IF($A174=G$160,"",COUNTIF($D$4:$D$156,$A174&amp;" ضد "&amp;G$160)+COUNTIF($D$4:$D$156,G$160&amp;" ضد "&amp;$A174))</f>
        <v>1</v>
      </c>
      <c r="H174" s="4">
        <f>IF($A174=H$160,"",COUNTIF($D$4:$D$156,$A174&amp;" ضد "&amp;H$160)+COUNTIF($D$4:$D$156,H$160&amp;" ضد "&amp;$A174))</f>
        <v>1</v>
      </c>
      <c r="I174" s="4">
        <f>IF($A174=I$160,"",COUNTIF($D$4:$D$156,$A174&amp;" ضد "&amp;I$160)+COUNTIF($D$4:$D$156,I$160&amp;" ضد "&amp;$A174))</f>
        <v>1</v>
      </c>
      <c r="J174" s="4">
        <f>IF($A174=J$160,"",COUNTIF($D$4:$D$156,$A174&amp;" ضد "&amp;J$160)+COUNTIF($D$4:$D$156,J$160&amp;" ضد "&amp;$A174))</f>
        <v>1</v>
      </c>
      <c r="K174" s="4">
        <f>IF($A174=K$160,"",COUNTIF($D$4:$D$156,$A174&amp;" ضد "&amp;K$160)+COUNTIF($D$4:$D$156,K$160&amp;" ضد "&amp;$A174))</f>
        <v>1</v>
      </c>
      <c r="L174" s="4">
        <f>IF($A174=L$160,"",COUNTIF($D$4:$D$156,$A174&amp;" ضد "&amp;L$160)+COUNTIF($D$4:$D$156,L$160&amp;" ضد "&amp;$A174))</f>
        <v>1</v>
      </c>
      <c r="M174" s="4">
        <f>IF($A174=M$160,"",COUNTIF($D$4:$D$156,$A174&amp;" ضد "&amp;M$160)+COUNTIF($D$4:$D$156,M$160&amp;" ضد "&amp;$A174))</f>
        <v>1</v>
      </c>
      <c r="N174" s="4">
        <f>IF($A174=N$160,"",COUNTIF($D$4:$D$156,$A174&amp;" ضد "&amp;N$160)+COUNTIF($D$4:$D$156,N$160&amp;" ضد "&amp;$A174))</f>
        <v>2</v>
      </c>
      <c r="O174" s="4" t="str">
        <f>IF($A174=O$160,"",COUNTIF($D$4:$D$156,$A174&amp;" ضد "&amp;O$160)+COUNTIF($D$4:$D$156,O$160&amp;" ضد "&amp;$A174))</f>
        <v/>
      </c>
      <c r="P174" s="4">
        <f>IF($A174=P$160,"",COUNTIF($D$4:$D$156,$A174&amp;" ضد "&amp;P$160)+COUNTIF($D$4:$D$156,P$160&amp;" ضد "&amp;$A174))</f>
        <v>2</v>
      </c>
      <c r="Q174" s="4">
        <f>IF($A174=Q$160,"",COUNTIF($D$4:$D$156,$A174&amp;" ضد "&amp;Q$160)+COUNTIF($D$4:$D$156,Q$160&amp;" ضد "&amp;$A174))</f>
        <v>1</v>
      </c>
      <c r="R174" s="4">
        <f>IF($A174=R$160,"",COUNTIF($D$4:$D$156,$A174&amp;" ضد "&amp;R$160)+COUNTIF($D$4:$D$156,R$160&amp;" ضد "&amp;$A174))</f>
        <v>1</v>
      </c>
    </row>
    <row r="175" spans="1:18" ht="14.5">
      <c r="A175" s="14">
        <v>15</v>
      </c>
      <c r="B175" s="4">
        <f>IF($A175=B$160,"",COUNTIF($D$4:$D$156,$A175&amp;" ضد "&amp;B$160)+COUNTIF($D$4:$D$156,B$160&amp;" ضد "&amp;$A175))</f>
        <v>1</v>
      </c>
      <c r="C175" s="4">
        <f>IF($A175=C$160,"",COUNTIF($D$4:$D$156,$A175&amp;" ضد "&amp;C$160)+COUNTIF($D$4:$D$156,C$160&amp;" ضد "&amp;$A175))</f>
        <v>1</v>
      </c>
      <c r="D175" s="4">
        <f>IF($A175=D$160,"",COUNTIF($D$4:$D$156,$A175&amp;" ضد "&amp;D$160)+COUNTIF($D$4:$D$156,D$160&amp;" ضد "&amp;$A175))</f>
        <v>1</v>
      </c>
      <c r="E175" s="4">
        <f>IF($A175=E$160,"",COUNTIF($D$4:$D$156,$A175&amp;" ضد "&amp;E$160)+COUNTIF($D$4:$D$156,E$160&amp;" ضد "&amp;$A175))</f>
        <v>1</v>
      </c>
      <c r="F175" s="4">
        <f>IF($A175=F$160,"",COUNTIF($D$4:$D$156,$A175&amp;" ضد "&amp;F$160)+COUNTIF($D$4:$D$156,F$160&amp;" ضد "&amp;$A175))</f>
        <v>1</v>
      </c>
      <c r="G175" s="4">
        <f>IF($A175=G$160,"",COUNTIF($D$4:$D$156,$A175&amp;" ضد "&amp;G$160)+COUNTIF($D$4:$D$156,G$160&amp;" ضد "&amp;$A175))</f>
        <v>1</v>
      </c>
      <c r="H175" s="4">
        <f>IF($A175=H$160,"",COUNTIF($D$4:$D$156,$A175&amp;" ضد "&amp;H$160)+COUNTIF($D$4:$D$156,H$160&amp;" ضد "&amp;$A175))</f>
        <v>1</v>
      </c>
      <c r="I175" s="4">
        <f>IF($A175=I$160,"",COUNTIF($D$4:$D$156,$A175&amp;" ضد "&amp;I$160)+COUNTIF($D$4:$D$156,I$160&amp;" ضد "&amp;$A175))</f>
        <v>1</v>
      </c>
      <c r="J175" s="4">
        <f>IF($A175=J$160,"",COUNTIF($D$4:$D$156,$A175&amp;" ضد "&amp;J$160)+COUNTIF($D$4:$D$156,J$160&amp;" ضد "&amp;$A175))</f>
        <v>1</v>
      </c>
      <c r="K175" s="4">
        <f>IF($A175=K$160,"",COUNTIF($D$4:$D$156,$A175&amp;" ضد "&amp;K$160)+COUNTIF($D$4:$D$156,K$160&amp;" ضد "&amp;$A175))</f>
        <v>1</v>
      </c>
      <c r="L175" s="4">
        <f>IF($A175=L$160,"",COUNTIF($D$4:$D$156,$A175&amp;" ضد "&amp;L$160)+COUNTIF($D$4:$D$156,L$160&amp;" ضد "&amp;$A175))</f>
        <v>1</v>
      </c>
      <c r="M175" s="4">
        <f>IF($A175=M$160,"",COUNTIF($D$4:$D$156,$A175&amp;" ضد "&amp;M$160)+COUNTIF($D$4:$D$156,M$160&amp;" ضد "&amp;$A175))</f>
        <v>1</v>
      </c>
      <c r="N175" s="4">
        <f>IF($A175=N$160,"",COUNTIF($D$4:$D$156,$A175&amp;" ضد "&amp;N$160)+COUNTIF($D$4:$D$156,N$160&amp;" ضد "&amp;$A175))</f>
        <v>1</v>
      </c>
      <c r="O175" s="4">
        <f>IF($A175=O$160,"",COUNTIF($D$4:$D$156,$A175&amp;" ضد "&amp;O$160)+COUNTIF($D$4:$D$156,O$160&amp;" ضد "&amp;$A175))</f>
        <v>2</v>
      </c>
      <c r="P175" s="4" t="str">
        <f>IF($A175=P$160,"",COUNTIF($D$4:$D$156,$A175&amp;" ضد "&amp;P$160)+COUNTIF($D$4:$D$156,P$160&amp;" ضد "&amp;$A175))</f>
        <v/>
      </c>
      <c r="Q175" s="4">
        <f>IF($A175=Q$160,"",COUNTIF($D$4:$D$156,$A175&amp;" ضد "&amp;Q$160)+COUNTIF($D$4:$D$156,Q$160&amp;" ضد "&amp;$A175))</f>
        <v>2</v>
      </c>
      <c r="R175" s="4">
        <f>IF($A175=R$160,"",COUNTIF($D$4:$D$156,$A175&amp;" ضد "&amp;R$160)+COUNTIF($D$4:$D$156,R$160&amp;" ضد "&amp;$A175))</f>
        <v>1</v>
      </c>
    </row>
    <row r="176" spans="1:18" ht="14.5">
      <c r="A176" s="14">
        <v>16</v>
      </c>
      <c r="B176" s="4">
        <f>IF($A176=B$160,"",COUNTIF($D$4:$D$156,$A176&amp;" ضد "&amp;B$160)+COUNTIF($D$4:$D$156,B$160&amp;" ضد "&amp;$A176))</f>
        <v>1</v>
      </c>
      <c r="C176" s="4">
        <f>IF($A176=C$160,"",COUNTIF($D$4:$D$156,$A176&amp;" ضد "&amp;C$160)+COUNTIF($D$4:$D$156,C$160&amp;" ضد "&amp;$A176))</f>
        <v>1</v>
      </c>
      <c r="D176" s="4">
        <f>IF($A176=D$160,"",COUNTIF($D$4:$D$156,$A176&amp;" ضد "&amp;D$160)+COUNTIF($D$4:$D$156,D$160&amp;" ضد "&amp;$A176))</f>
        <v>1</v>
      </c>
      <c r="E176" s="4">
        <f>IF($A176=E$160,"",COUNTIF($D$4:$D$156,$A176&amp;" ضد "&amp;E$160)+COUNTIF($D$4:$D$156,E$160&amp;" ضد "&amp;$A176))</f>
        <v>1</v>
      </c>
      <c r="F176" s="4">
        <f>IF($A176=F$160,"",COUNTIF($D$4:$D$156,$A176&amp;" ضد "&amp;F$160)+COUNTIF($D$4:$D$156,F$160&amp;" ضد "&amp;$A176))</f>
        <v>1</v>
      </c>
      <c r="G176" s="4">
        <f>IF($A176=G$160,"",COUNTIF($D$4:$D$156,$A176&amp;" ضد "&amp;G$160)+COUNTIF($D$4:$D$156,G$160&amp;" ضد "&amp;$A176))</f>
        <v>1</v>
      </c>
      <c r="H176" s="4">
        <f>IF($A176=H$160,"",COUNTIF($D$4:$D$156,$A176&amp;" ضد "&amp;H$160)+COUNTIF($D$4:$D$156,H$160&amp;" ضد "&amp;$A176))</f>
        <v>1</v>
      </c>
      <c r="I176" s="4">
        <f>IF($A176=I$160,"",COUNTIF($D$4:$D$156,$A176&amp;" ضد "&amp;I$160)+COUNTIF($D$4:$D$156,I$160&amp;" ضد "&amp;$A176))</f>
        <v>1</v>
      </c>
      <c r="J176" s="4">
        <f>IF($A176=J$160,"",COUNTIF($D$4:$D$156,$A176&amp;" ضد "&amp;J$160)+COUNTIF($D$4:$D$156,J$160&amp;" ضد "&amp;$A176))</f>
        <v>1</v>
      </c>
      <c r="K176" s="4">
        <f>IF($A176=K$160,"",COUNTIF($D$4:$D$156,$A176&amp;" ضد "&amp;K$160)+COUNTIF($D$4:$D$156,K$160&amp;" ضد "&amp;$A176))</f>
        <v>1</v>
      </c>
      <c r="L176" s="4">
        <f>IF($A176=L$160,"",COUNTIF($D$4:$D$156,$A176&amp;" ضد "&amp;L$160)+COUNTIF($D$4:$D$156,L$160&amp;" ضد "&amp;$A176))</f>
        <v>1</v>
      </c>
      <c r="M176" s="4">
        <f>IF($A176=M$160,"",COUNTIF($D$4:$D$156,$A176&amp;" ضد "&amp;M$160)+COUNTIF($D$4:$D$156,M$160&amp;" ضد "&amp;$A176))</f>
        <v>1</v>
      </c>
      <c r="N176" s="4">
        <f>IF($A176=N$160,"",COUNTIF($D$4:$D$156,$A176&amp;" ضد "&amp;N$160)+COUNTIF($D$4:$D$156,N$160&amp;" ضد "&amp;$A176))</f>
        <v>1</v>
      </c>
      <c r="O176" s="4">
        <f>IF($A176=O$160,"",COUNTIF($D$4:$D$156,$A176&amp;" ضد "&amp;O$160)+COUNTIF($D$4:$D$156,O$160&amp;" ضد "&amp;$A176))</f>
        <v>1</v>
      </c>
      <c r="P176" s="4">
        <f>IF($A176=P$160,"",COUNTIF($D$4:$D$156,$A176&amp;" ضد "&amp;P$160)+COUNTIF($D$4:$D$156,P$160&amp;" ضد "&amp;$A176))</f>
        <v>2</v>
      </c>
      <c r="Q176" s="4" t="str">
        <f>IF($A176=Q$160,"",COUNTIF($D$4:$D$156,$A176&amp;" ضد "&amp;Q$160)+COUNTIF($D$4:$D$156,Q$160&amp;" ضد "&amp;$A176))</f>
        <v/>
      </c>
      <c r="R176" s="4">
        <f>IF($A176=R$160,"",COUNTIF($D$4:$D$156,$A176&amp;" ضد "&amp;R$160)+COUNTIF($D$4:$D$156,R$160&amp;" ضد "&amp;$A176))</f>
        <v>2</v>
      </c>
    </row>
    <row r="177" spans="1:18" ht="14.5">
      <c r="A177" s="14">
        <v>17</v>
      </c>
      <c r="B177" s="4">
        <f>IF($A177=B$160,"",COUNTIF($D$4:$D$156,$A177&amp;" ضد "&amp;B$160)+COUNTIF($D$4:$D$156,B$160&amp;" ضد "&amp;$A177))</f>
        <v>2</v>
      </c>
      <c r="C177" s="4">
        <f>IF($A177=C$160,"",COUNTIF($D$4:$D$156,$A177&amp;" ضد "&amp;C$160)+COUNTIF($D$4:$D$156,C$160&amp;" ضد "&amp;$A177))</f>
        <v>1</v>
      </c>
      <c r="D177" s="4">
        <f>IF($A177=D$160,"",COUNTIF($D$4:$D$156,$A177&amp;" ضد "&amp;D$160)+COUNTIF($D$4:$D$156,D$160&amp;" ضد "&amp;$A177))</f>
        <v>1</v>
      </c>
      <c r="E177" s="4">
        <f>IF($A177=E$160,"",COUNTIF($D$4:$D$156,$A177&amp;" ضد "&amp;E$160)+COUNTIF($D$4:$D$156,E$160&amp;" ضد "&amp;$A177))</f>
        <v>1</v>
      </c>
      <c r="F177" s="4">
        <f>IF($A177=F$160,"",COUNTIF($D$4:$D$156,$A177&amp;" ضد "&amp;F$160)+COUNTIF($D$4:$D$156,F$160&amp;" ضد "&amp;$A177))</f>
        <v>1</v>
      </c>
      <c r="G177" s="4">
        <f>IF($A177=G$160,"",COUNTIF($D$4:$D$156,$A177&amp;" ضد "&amp;G$160)+COUNTIF($D$4:$D$156,G$160&amp;" ضد "&amp;$A177))</f>
        <v>1</v>
      </c>
      <c r="H177" s="4">
        <f>IF($A177=H$160,"",COUNTIF($D$4:$D$156,$A177&amp;" ضد "&amp;H$160)+COUNTIF($D$4:$D$156,H$160&amp;" ضد "&amp;$A177))</f>
        <v>1</v>
      </c>
      <c r="I177" s="4">
        <f>IF($A177=I$160,"",COUNTIF($D$4:$D$156,$A177&amp;" ضد "&amp;I$160)+COUNTIF($D$4:$D$156,I$160&amp;" ضد "&amp;$A177))</f>
        <v>1</v>
      </c>
      <c r="J177" s="4">
        <f>IF($A177=J$160,"",COUNTIF($D$4:$D$156,$A177&amp;" ضد "&amp;J$160)+COUNTIF($D$4:$D$156,J$160&amp;" ضد "&amp;$A177))</f>
        <v>1</v>
      </c>
      <c r="K177" s="4">
        <f>IF($A177=K$160,"",COUNTIF($D$4:$D$156,$A177&amp;" ضد "&amp;K$160)+COUNTIF($D$4:$D$156,K$160&amp;" ضد "&amp;$A177))</f>
        <v>1</v>
      </c>
      <c r="L177" s="4">
        <f>IF($A177=L$160,"",COUNTIF($D$4:$D$156,$A177&amp;" ضد "&amp;L$160)+COUNTIF($D$4:$D$156,L$160&amp;" ضد "&amp;$A177))</f>
        <v>1</v>
      </c>
      <c r="M177" s="4">
        <f>IF($A177=M$160,"",COUNTIF($D$4:$D$156,$A177&amp;" ضد "&amp;M$160)+COUNTIF($D$4:$D$156,M$160&amp;" ضد "&amp;$A177))</f>
        <v>1</v>
      </c>
      <c r="N177" s="4">
        <f>IF($A177=N$160,"",COUNTIF($D$4:$D$156,$A177&amp;" ضد "&amp;N$160)+COUNTIF($D$4:$D$156,N$160&amp;" ضد "&amp;$A177))</f>
        <v>1</v>
      </c>
      <c r="O177" s="4">
        <f>IF($A177=O$160,"",COUNTIF($D$4:$D$156,$A177&amp;" ضد "&amp;O$160)+COUNTIF($D$4:$D$156,O$160&amp;" ضد "&amp;$A177))</f>
        <v>1</v>
      </c>
      <c r="P177" s="4">
        <f>IF($A177=P$160,"",COUNTIF($D$4:$D$156,$A177&amp;" ضد "&amp;P$160)+COUNTIF($D$4:$D$156,P$160&amp;" ضد "&amp;$A177))</f>
        <v>1</v>
      </c>
      <c r="Q177" s="4">
        <f>IF($A177=Q$160,"",COUNTIF($D$4:$D$156,$A177&amp;" ضد "&amp;Q$160)+COUNTIF($D$4:$D$156,Q$160&amp;" ضد "&amp;$A177))</f>
        <v>2</v>
      </c>
      <c r="R177" s="4" t="str">
        <f>IF($A177=R$160,"",COUNTIF($D$4:$D$156,$A177&amp;" ضد "&amp;R$160)+COUNTIF($D$4:$D$156,R$160&amp;" ضد "&amp;$A177))</f>
        <v/>
      </c>
    </row>
    <row r="178" spans="1:18" ht="14.5">
      <c r="A178" s="14" t="s">
        <v>1033</v>
      </c>
      <c r="B178" s="4" cm="1">
        <f t="array" ref="B178">MIN(IF(B161:R177&gt;0,B161:R177))</f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4.5">
      <c r="A179" s="14" t="s">
        <v>830</v>
      </c>
      <c r="B179" s="4">
        <f>MAX(B161:R177)</f>
        <v>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</sheetData>
  <mergeCells count="2">
    <mergeCell ref="A1:D1"/>
    <mergeCell ref="A159:R15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054-C7A4-4A61-9B37-1A26B4B37CBE}">
  <dimension ref="A1:S21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990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19</v>
      </c>
      <c r="F4" s="2"/>
    </row>
    <row r="5" spans="1:6" ht="14" customHeight="1">
      <c r="A5" s="8">
        <v>1</v>
      </c>
      <c r="B5" s="7" t="str">
        <f>المدخلات!$F$5</f>
        <v>5:20–6:30 م</v>
      </c>
      <c r="C5" s="7">
        <v>1</v>
      </c>
      <c r="D5" s="7" t="s">
        <v>593</v>
      </c>
      <c r="E5" s="7" t="s">
        <v>7</v>
      </c>
      <c r="F5" s="2"/>
    </row>
    <row r="6" spans="1:6" ht="14" customHeight="1">
      <c r="A6" s="8">
        <v>1</v>
      </c>
      <c r="B6" s="7" t="str">
        <f>المدخلات!$F$6</f>
        <v>6:40–7:50 م</v>
      </c>
      <c r="C6" s="7">
        <v>1</v>
      </c>
      <c r="D6" s="7" t="s">
        <v>593</v>
      </c>
      <c r="E6" s="7" t="s">
        <v>15</v>
      </c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2</v>
      </c>
      <c r="D7" s="7" t="s">
        <v>594</v>
      </c>
      <c r="E7" s="7" t="s">
        <v>46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594</v>
      </c>
      <c r="E8" s="7" t="s">
        <v>53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594</v>
      </c>
      <c r="E9" s="7" t="s">
        <v>63</v>
      </c>
      <c r="F9" s="2"/>
    </row>
    <row r="10" spans="1:6" ht="14" customHeight="1">
      <c r="A10" s="8">
        <v>1</v>
      </c>
      <c r="B10" s="7" t="str">
        <f>المدخلات!$F$4</f>
        <v>4:00–5:10 م</v>
      </c>
      <c r="C10" s="7">
        <v>3</v>
      </c>
      <c r="D10" s="7" t="s">
        <v>595</v>
      </c>
      <c r="E10" s="7" t="s">
        <v>129</v>
      </c>
      <c r="F10" s="2"/>
    </row>
    <row r="11" spans="1:6" ht="14" customHeight="1">
      <c r="A11" s="8">
        <v>1</v>
      </c>
      <c r="B11" s="7" t="str">
        <f>المدخلات!$F$5</f>
        <v>5:20–6:30 م</v>
      </c>
      <c r="C11" s="7">
        <v>3</v>
      </c>
      <c r="D11" s="7" t="s">
        <v>595</v>
      </c>
      <c r="E11" s="7" t="s">
        <v>152</v>
      </c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3</v>
      </c>
      <c r="D12" s="7" t="s">
        <v>595</v>
      </c>
      <c r="E12" s="7" t="s">
        <v>158</v>
      </c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1</v>
      </c>
      <c r="D13" s="7" t="s">
        <v>593</v>
      </c>
      <c r="E13" s="7" t="s">
        <v>1035</v>
      </c>
      <c r="F13" s="2"/>
    </row>
    <row r="14" spans="1:6" ht="14" customHeight="1">
      <c r="A14" s="8">
        <v>2</v>
      </c>
      <c r="B14" s="7" t="str">
        <f>المدخلات!$F$5</f>
        <v>5:20–6:30 م</v>
      </c>
      <c r="C14" s="7">
        <v>1</v>
      </c>
      <c r="D14" s="7" t="s">
        <v>593</v>
      </c>
      <c r="E14" s="7" t="s">
        <v>9</v>
      </c>
      <c r="F14" s="2"/>
    </row>
    <row r="15" spans="1:6" ht="14" customHeight="1">
      <c r="A15" s="8">
        <v>2</v>
      </c>
      <c r="B15" s="7" t="str">
        <f>المدخلات!$F$6</f>
        <v>6:40–7:50 م</v>
      </c>
      <c r="C15" s="7">
        <v>1</v>
      </c>
      <c r="D15" s="7" t="s">
        <v>593</v>
      </c>
      <c r="E15" s="7" t="s">
        <v>17</v>
      </c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2</v>
      </c>
      <c r="D16" s="7" t="s">
        <v>594</v>
      </c>
      <c r="E16" s="7" t="s">
        <v>741</v>
      </c>
      <c r="F16" s="2"/>
    </row>
    <row r="17" spans="1:6" ht="14" customHeight="1">
      <c r="A17" s="8">
        <v>2</v>
      </c>
      <c r="B17" s="7" t="str">
        <f>المدخلات!$F$5</f>
        <v>5:20–6:30 م</v>
      </c>
      <c r="C17" s="7">
        <v>2</v>
      </c>
      <c r="D17" s="7" t="s">
        <v>594</v>
      </c>
      <c r="E17" s="7" t="s">
        <v>64</v>
      </c>
      <c r="F17" s="2"/>
    </row>
    <row r="18" spans="1:6" ht="14" customHeight="1">
      <c r="A18" s="8">
        <v>2</v>
      </c>
      <c r="B18" s="7" t="str">
        <f>المدخلات!$F$6</f>
        <v>6:40–7:50 م</v>
      </c>
      <c r="C18" s="7">
        <v>2</v>
      </c>
      <c r="D18" s="7" t="s">
        <v>594</v>
      </c>
      <c r="E18" s="7" t="s">
        <v>41</v>
      </c>
      <c r="F18" s="2"/>
    </row>
    <row r="19" spans="1:6" ht="14" customHeight="1">
      <c r="A19" s="8">
        <v>2</v>
      </c>
      <c r="B19" s="7" t="str">
        <f>المدخلات!$F$4</f>
        <v>4:00–5:10 م</v>
      </c>
      <c r="C19" s="7">
        <v>3</v>
      </c>
      <c r="D19" s="7" t="s">
        <v>595</v>
      </c>
      <c r="E19" s="7" t="s">
        <v>674</v>
      </c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3</v>
      </c>
      <c r="D20" s="7" t="s">
        <v>595</v>
      </c>
      <c r="E20" s="7" t="s">
        <v>159</v>
      </c>
      <c r="F20" s="2"/>
    </row>
    <row r="21" spans="1:6" ht="14" customHeight="1">
      <c r="A21" s="8">
        <v>2</v>
      </c>
      <c r="B21" s="7" t="str">
        <f>المدخلات!$F$6</f>
        <v>6:40–7:50 م</v>
      </c>
      <c r="C21" s="7">
        <v>3</v>
      </c>
      <c r="D21" s="7" t="s">
        <v>595</v>
      </c>
      <c r="E21" s="7" t="s">
        <v>103</v>
      </c>
      <c r="F21" s="2"/>
    </row>
    <row r="22" spans="1:6" ht="14" customHeight="1">
      <c r="A22" s="8">
        <v>3</v>
      </c>
      <c r="B22" s="7" t="str">
        <f>المدخلات!$F$4</f>
        <v>4:00–5:10 م</v>
      </c>
      <c r="C22" s="7">
        <v>1</v>
      </c>
      <c r="D22" s="7" t="s">
        <v>593</v>
      </c>
      <c r="E22" s="7" t="s">
        <v>634</v>
      </c>
      <c r="F22" s="2"/>
    </row>
    <row r="23" spans="1:6" ht="14" customHeight="1">
      <c r="A23" s="8">
        <v>3</v>
      </c>
      <c r="B23" s="7" t="str">
        <f>المدخلات!$F$5</f>
        <v>5:20–6:30 م</v>
      </c>
      <c r="C23" s="7">
        <v>1</v>
      </c>
      <c r="D23" s="7" t="s">
        <v>593</v>
      </c>
      <c r="E23" s="7" t="s">
        <v>13</v>
      </c>
      <c r="F23" s="2"/>
    </row>
    <row r="24" spans="1:6" ht="14" customHeight="1">
      <c r="A24" s="8">
        <v>3</v>
      </c>
      <c r="B24" s="7" t="str">
        <f>المدخلات!$F$6</f>
        <v>6:40–7:50 م</v>
      </c>
      <c r="C24" s="7">
        <v>1</v>
      </c>
      <c r="D24" s="7" t="s">
        <v>593</v>
      </c>
      <c r="E24" s="7" t="s">
        <v>18</v>
      </c>
      <c r="F24" s="2"/>
    </row>
    <row r="25" spans="1:6" ht="14" customHeight="1">
      <c r="A25" s="8">
        <v>3</v>
      </c>
      <c r="B25" s="7" t="str">
        <f>المدخلات!$F$4</f>
        <v>4:00–5:10 م</v>
      </c>
      <c r="C25" s="7">
        <v>2</v>
      </c>
      <c r="D25" s="7" t="s">
        <v>594</v>
      </c>
      <c r="E25" s="7" t="s">
        <v>722</v>
      </c>
      <c r="F25" s="2"/>
    </row>
    <row r="26" spans="1:6" ht="14" customHeight="1">
      <c r="A26" s="8">
        <v>3</v>
      </c>
      <c r="B26" s="7" t="str">
        <f>المدخلات!$F$5</f>
        <v>5:20–6:30 م</v>
      </c>
      <c r="C26" s="7">
        <v>2</v>
      </c>
      <c r="D26" s="7" t="s">
        <v>594</v>
      </c>
      <c r="E26" s="7" t="s">
        <v>52</v>
      </c>
      <c r="F26" s="2"/>
    </row>
    <row r="27" spans="1:6" ht="14" customHeight="1">
      <c r="A27" s="8">
        <v>3</v>
      </c>
      <c r="B27" s="7" t="str">
        <f>المدخلات!$F$6</f>
        <v>6:40–7:50 م</v>
      </c>
      <c r="C27" s="7">
        <v>2</v>
      </c>
      <c r="D27" s="7" t="s">
        <v>594</v>
      </c>
      <c r="E27" s="7" t="s">
        <v>49</v>
      </c>
      <c r="F27" s="2"/>
    </row>
    <row r="28" spans="1:6" ht="14" customHeight="1">
      <c r="A28" s="8">
        <v>3</v>
      </c>
      <c r="B28" s="7" t="str">
        <f>المدخلات!$F$4</f>
        <v>4:00–5:10 م</v>
      </c>
      <c r="C28" s="7">
        <v>3</v>
      </c>
      <c r="D28" s="7" t="s">
        <v>595</v>
      </c>
      <c r="E28" s="7" t="s">
        <v>847</v>
      </c>
      <c r="F28" s="2"/>
    </row>
    <row r="29" spans="1:6" ht="14" customHeight="1">
      <c r="A29" s="8">
        <v>3</v>
      </c>
      <c r="B29" s="7" t="str">
        <f>المدخلات!$F$5</f>
        <v>5:20–6:30 م</v>
      </c>
      <c r="C29" s="7">
        <v>3</v>
      </c>
      <c r="D29" s="7" t="s">
        <v>595</v>
      </c>
      <c r="E29" s="7" t="s">
        <v>145</v>
      </c>
      <c r="F29" s="2"/>
    </row>
    <row r="30" spans="1:6" ht="14" customHeight="1">
      <c r="A30" s="8">
        <v>3</v>
      </c>
      <c r="B30" s="7" t="str">
        <f>المدخلات!$F$6</f>
        <v>6:40–7:50 م</v>
      </c>
      <c r="C30" s="7">
        <v>3</v>
      </c>
      <c r="D30" s="7" t="s">
        <v>595</v>
      </c>
      <c r="E30" s="7" t="s">
        <v>130</v>
      </c>
      <c r="F30" s="2"/>
    </row>
    <row r="31" spans="1:6" ht="14" customHeight="1">
      <c r="A31" s="8">
        <v>4</v>
      </c>
      <c r="B31" s="7" t="str">
        <f>المدخلات!$F$4</f>
        <v>4:00–5:10 م</v>
      </c>
      <c r="C31" s="7">
        <v>1</v>
      </c>
      <c r="D31" s="7" t="s">
        <v>593</v>
      </c>
      <c r="E31" s="7" t="s">
        <v>647</v>
      </c>
      <c r="F31" s="2"/>
    </row>
    <row r="32" spans="1:6" ht="14" customHeight="1">
      <c r="A32" s="8">
        <v>4</v>
      </c>
      <c r="B32" s="7" t="str">
        <f>المدخلات!$F$5</f>
        <v>5:20–6:30 م</v>
      </c>
      <c r="C32" s="7">
        <v>1</v>
      </c>
      <c r="D32" s="7" t="s">
        <v>593</v>
      </c>
      <c r="E32" s="7" t="s">
        <v>8</v>
      </c>
      <c r="F32" s="2"/>
    </row>
    <row r="33" spans="1:6" ht="14" customHeight="1">
      <c r="A33" s="8">
        <v>4</v>
      </c>
      <c r="B33" s="7" t="str">
        <f>المدخلات!$F$6</f>
        <v>6:40–7:50 م</v>
      </c>
      <c r="C33" s="7">
        <v>1</v>
      </c>
      <c r="D33" s="7" t="s">
        <v>593</v>
      </c>
      <c r="E33" s="7" t="s">
        <v>16</v>
      </c>
      <c r="F33" s="2"/>
    </row>
    <row r="34" spans="1:6" ht="14" customHeight="1">
      <c r="A34" s="8">
        <v>4</v>
      </c>
      <c r="B34" s="7" t="str">
        <f>المدخلات!$F$4</f>
        <v>4:00–5:10 م</v>
      </c>
      <c r="C34" s="7">
        <v>2</v>
      </c>
      <c r="D34" s="7" t="s">
        <v>594</v>
      </c>
      <c r="E34" s="7" t="s">
        <v>740</v>
      </c>
      <c r="F34" s="2"/>
    </row>
    <row r="35" spans="1:6" ht="14" customHeight="1">
      <c r="A35" s="8">
        <v>4</v>
      </c>
      <c r="B35" s="7" t="str">
        <f>المدخلات!$F$5</f>
        <v>5:20–6:30 م</v>
      </c>
      <c r="C35" s="7">
        <v>2</v>
      </c>
      <c r="D35" s="7" t="s">
        <v>594</v>
      </c>
      <c r="E35" s="7" t="s">
        <v>42</v>
      </c>
      <c r="F35" s="2"/>
    </row>
    <row r="36" spans="1:6" ht="14" customHeight="1">
      <c r="A36" s="8">
        <v>4</v>
      </c>
      <c r="B36" s="7" t="str">
        <f>المدخلات!$F$6</f>
        <v>6:40–7:50 م</v>
      </c>
      <c r="C36" s="7">
        <v>2</v>
      </c>
      <c r="D36" s="7" t="s">
        <v>594</v>
      </c>
      <c r="E36" s="7" t="s">
        <v>72</v>
      </c>
      <c r="F36" s="2"/>
    </row>
    <row r="37" spans="1:6" ht="14" customHeight="1">
      <c r="A37" s="8">
        <v>4</v>
      </c>
      <c r="B37" s="7" t="str">
        <f>المدخلات!$F$4</f>
        <v>4:00–5:10 م</v>
      </c>
      <c r="C37" s="7">
        <v>3</v>
      </c>
      <c r="D37" s="7" t="s">
        <v>595</v>
      </c>
      <c r="E37" s="7" t="s">
        <v>602</v>
      </c>
      <c r="F37" s="2"/>
    </row>
    <row r="38" spans="1:6" ht="14" customHeight="1">
      <c r="A38" s="8">
        <v>4</v>
      </c>
      <c r="B38" s="7" t="str">
        <f>المدخلات!$F$5</f>
        <v>5:20–6:30 م</v>
      </c>
      <c r="C38" s="7">
        <v>3</v>
      </c>
      <c r="D38" s="7" t="s">
        <v>595</v>
      </c>
      <c r="E38" s="7" t="s">
        <v>102</v>
      </c>
      <c r="F38" s="2"/>
    </row>
    <row r="39" spans="1:6" ht="14" customHeight="1">
      <c r="A39" s="8">
        <v>4</v>
      </c>
      <c r="B39" s="7" t="str">
        <f>المدخلات!$F$6</f>
        <v>6:40–7:50 م</v>
      </c>
      <c r="C39" s="7">
        <v>3</v>
      </c>
      <c r="D39" s="7" t="s">
        <v>595</v>
      </c>
      <c r="E39" s="7" t="s">
        <v>161</v>
      </c>
      <c r="F39" s="2"/>
    </row>
    <row r="40" spans="1:6" ht="14" customHeight="1">
      <c r="A40" s="8">
        <v>5</v>
      </c>
      <c r="B40" s="7" t="str">
        <f>المدخلات!$F$4</f>
        <v>4:00–5:10 م</v>
      </c>
      <c r="C40" s="7">
        <v>1</v>
      </c>
      <c r="D40" s="7" t="s">
        <v>593</v>
      </c>
      <c r="E40" s="7" t="s">
        <v>1036</v>
      </c>
      <c r="F40" s="2"/>
    </row>
    <row r="41" spans="1:6" ht="14" customHeight="1">
      <c r="A41" s="8">
        <v>5</v>
      </c>
      <c r="B41" s="7" t="str">
        <f>المدخلات!$F$5</f>
        <v>5:20–6:30 م</v>
      </c>
      <c r="C41" s="7">
        <v>1</v>
      </c>
      <c r="D41" s="7" t="s">
        <v>593</v>
      </c>
      <c r="E41" s="7" t="s">
        <v>1037</v>
      </c>
      <c r="F41" s="2"/>
    </row>
    <row r="42" spans="1:6" ht="14" customHeight="1">
      <c r="A42" s="8">
        <v>5</v>
      </c>
      <c r="B42" s="7" t="str">
        <f>المدخلات!$F$6</f>
        <v>6:40–7:50 م</v>
      </c>
      <c r="C42" s="7">
        <v>1</v>
      </c>
      <c r="D42" s="7" t="s">
        <v>593</v>
      </c>
      <c r="E42" s="7" t="s">
        <v>10</v>
      </c>
      <c r="F42" s="2"/>
    </row>
    <row r="43" spans="1:6" ht="14" customHeight="1">
      <c r="A43" s="8">
        <v>5</v>
      </c>
      <c r="B43" s="7" t="str">
        <f>المدخلات!$F$4</f>
        <v>4:00–5:10 م</v>
      </c>
      <c r="C43" s="7">
        <v>2</v>
      </c>
      <c r="D43" s="7" t="s">
        <v>594</v>
      </c>
      <c r="E43" s="7" t="s">
        <v>1068</v>
      </c>
      <c r="F43" s="2"/>
    </row>
    <row r="44" spans="1:6" ht="14" customHeight="1">
      <c r="A44" s="8">
        <v>5</v>
      </c>
      <c r="B44" s="7" t="str">
        <f>المدخلات!$F$5</f>
        <v>5:20–6:30 م</v>
      </c>
      <c r="C44" s="7">
        <v>2</v>
      </c>
      <c r="D44" s="7" t="s">
        <v>594</v>
      </c>
      <c r="E44" s="7" t="s">
        <v>1053</v>
      </c>
      <c r="F44" s="2"/>
    </row>
    <row r="45" spans="1:6" ht="14" customHeight="1">
      <c r="A45" s="8">
        <v>5</v>
      </c>
      <c r="B45" s="7" t="str">
        <f>المدخلات!$F$6</f>
        <v>6:40–7:50 م</v>
      </c>
      <c r="C45" s="7">
        <v>2</v>
      </c>
      <c r="D45" s="7" t="s">
        <v>594</v>
      </c>
      <c r="E45" s="7" t="s">
        <v>56</v>
      </c>
      <c r="F45" s="2"/>
    </row>
    <row r="46" spans="1:6" ht="14" customHeight="1">
      <c r="A46" s="8">
        <v>5</v>
      </c>
      <c r="B46" s="7" t="str">
        <f>المدخلات!$F$4</f>
        <v>4:00–5:10 م</v>
      </c>
      <c r="C46" s="7">
        <v>3</v>
      </c>
      <c r="D46" s="7" t="s">
        <v>595</v>
      </c>
      <c r="E46" s="7" t="s">
        <v>1090</v>
      </c>
      <c r="F46" s="2"/>
    </row>
    <row r="47" spans="1:6" ht="14" customHeight="1">
      <c r="A47" s="8">
        <v>5</v>
      </c>
      <c r="B47" s="7" t="str">
        <f>المدخلات!$F$5</f>
        <v>5:20–6:30 م</v>
      </c>
      <c r="C47" s="7">
        <v>3</v>
      </c>
      <c r="D47" s="7" t="s">
        <v>595</v>
      </c>
      <c r="E47" s="7" t="s">
        <v>1071</v>
      </c>
      <c r="F47" s="2"/>
    </row>
    <row r="48" spans="1:6" ht="14" customHeight="1">
      <c r="A48" s="8">
        <v>5</v>
      </c>
      <c r="B48" s="7" t="str">
        <f>المدخلات!$F$6</f>
        <v>6:40–7:50 م</v>
      </c>
      <c r="C48" s="7">
        <v>3</v>
      </c>
      <c r="D48" s="7" t="s">
        <v>595</v>
      </c>
      <c r="E48" s="7" t="s">
        <v>151</v>
      </c>
      <c r="F48" s="2"/>
    </row>
    <row r="49" spans="1:6" ht="14" customHeight="1">
      <c r="A49" s="8">
        <v>6</v>
      </c>
      <c r="B49" s="7" t="str">
        <f>المدخلات!$F$4</f>
        <v>4:00–5:10 م</v>
      </c>
      <c r="C49" s="7">
        <v>1</v>
      </c>
      <c r="D49" s="7" t="s">
        <v>593</v>
      </c>
      <c r="E49" s="7" t="s">
        <v>1042</v>
      </c>
      <c r="F49" s="2"/>
    </row>
    <row r="50" spans="1:6" ht="14" customHeight="1">
      <c r="A50" s="8">
        <v>6</v>
      </c>
      <c r="B50" s="7" t="str">
        <f>المدخلات!$F$5</f>
        <v>5:20–6:30 م</v>
      </c>
      <c r="C50" s="7">
        <v>1</v>
      </c>
      <c r="D50" s="7" t="s">
        <v>593</v>
      </c>
      <c r="E50" s="7" t="s">
        <v>1039</v>
      </c>
      <c r="F50" s="2"/>
    </row>
    <row r="51" spans="1:6" ht="14" customHeight="1">
      <c r="A51" s="8">
        <v>6</v>
      </c>
      <c r="B51" s="7" t="str">
        <f>المدخلات!$F$6</f>
        <v>6:40–7:50 م</v>
      </c>
      <c r="C51" s="7">
        <v>1</v>
      </c>
      <c r="D51" s="7" t="s">
        <v>593</v>
      </c>
      <c r="E51" s="7" t="s">
        <v>19</v>
      </c>
      <c r="F51" s="2"/>
    </row>
    <row r="52" spans="1:6" ht="14" customHeight="1">
      <c r="A52" s="8">
        <v>6</v>
      </c>
      <c r="B52" s="7" t="str">
        <f>المدخلات!$F$4</f>
        <v>4:00–5:10 م</v>
      </c>
      <c r="C52" s="7">
        <v>2</v>
      </c>
      <c r="D52" s="7" t="s">
        <v>594</v>
      </c>
      <c r="E52" s="7" t="s">
        <v>1061</v>
      </c>
      <c r="F52" s="2"/>
    </row>
    <row r="53" spans="1:6" ht="14" customHeight="1">
      <c r="A53" s="8">
        <v>6</v>
      </c>
      <c r="B53" s="7" t="str">
        <f>المدخلات!$F$5</f>
        <v>5:20–6:30 م</v>
      </c>
      <c r="C53" s="7">
        <v>2</v>
      </c>
      <c r="D53" s="7" t="s">
        <v>594</v>
      </c>
      <c r="E53" s="7" t="s">
        <v>1092</v>
      </c>
      <c r="F53" s="2"/>
    </row>
    <row r="54" spans="1:6" ht="14" customHeight="1">
      <c r="A54" s="8">
        <v>6</v>
      </c>
      <c r="B54" s="7" t="str">
        <f>المدخلات!$F$6</f>
        <v>6:40–7:50 م</v>
      </c>
      <c r="C54" s="7">
        <v>2</v>
      </c>
      <c r="D54" s="7" t="s">
        <v>594</v>
      </c>
      <c r="E54" s="7" t="s">
        <v>46</v>
      </c>
      <c r="F54" s="2"/>
    </row>
    <row r="55" spans="1:6" ht="14" customHeight="1">
      <c r="A55" s="8">
        <v>6</v>
      </c>
      <c r="B55" s="7" t="str">
        <f>المدخلات!$F$4</f>
        <v>4:00–5:10 م</v>
      </c>
      <c r="C55" s="7">
        <v>3</v>
      </c>
      <c r="D55" s="7" t="s">
        <v>595</v>
      </c>
      <c r="E55" s="7" t="s">
        <v>1094</v>
      </c>
      <c r="F55" s="2"/>
    </row>
    <row r="56" spans="1:6" ht="14" customHeight="1">
      <c r="A56" s="8">
        <v>6</v>
      </c>
      <c r="B56" s="7" t="str">
        <f>المدخلات!$F$5</f>
        <v>5:20–6:30 م</v>
      </c>
      <c r="C56" s="7">
        <v>3</v>
      </c>
      <c r="D56" s="7" t="s">
        <v>595</v>
      </c>
      <c r="E56" s="7" t="s">
        <v>1093</v>
      </c>
      <c r="F56" s="2"/>
    </row>
    <row r="57" spans="1:6" ht="14" customHeight="1">
      <c r="A57" s="8">
        <v>6</v>
      </c>
      <c r="B57" s="7" t="str">
        <f>المدخلات!$F$6</f>
        <v>6:40–7:50 م</v>
      </c>
      <c r="C57" s="7">
        <v>3</v>
      </c>
      <c r="D57" s="7" t="s">
        <v>595</v>
      </c>
      <c r="E57" s="7" t="s">
        <v>129</v>
      </c>
      <c r="F57" s="2"/>
    </row>
    <row r="58" spans="1:6" ht="14" customHeight="1">
      <c r="A58" s="8">
        <v>7</v>
      </c>
      <c r="B58" s="7" t="str">
        <f>المدخلات!$F$4</f>
        <v>4:00–5:10 م</v>
      </c>
      <c r="C58" s="7">
        <v>1</v>
      </c>
      <c r="D58" s="7" t="s">
        <v>593</v>
      </c>
      <c r="E58" s="7" t="s">
        <v>20</v>
      </c>
      <c r="F58" s="2"/>
    </row>
    <row r="59" spans="1:6" ht="14" customHeight="1">
      <c r="A59" s="8">
        <v>7</v>
      </c>
      <c r="B59" s="7" t="str">
        <f>المدخلات!$F$5</f>
        <v>5:20–6:30 م</v>
      </c>
      <c r="C59" s="7">
        <v>1</v>
      </c>
      <c r="D59" s="7" t="s">
        <v>593</v>
      </c>
      <c r="E59" s="7" t="s">
        <v>9</v>
      </c>
      <c r="F59" s="2"/>
    </row>
    <row r="60" spans="1:6" ht="14" customHeight="1">
      <c r="A60" s="8">
        <v>7</v>
      </c>
      <c r="B60" s="7" t="str">
        <f>المدخلات!$F$6</f>
        <v>6:40–7:50 م</v>
      </c>
      <c r="C60" s="7">
        <v>1</v>
      </c>
      <c r="D60" s="7" t="s">
        <v>593</v>
      </c>
      <c r="E60" s="7" t="s">
        <v>17</v>
      </c>
      <c r="F60" s="2"/>
    </row>
    <row r="61" spans="1:6" ht="14" customHeight="1">
      <c r="A61" s="8">
        <v>7</v>
      </c>
      <c r="B61" s="7" t="str">
        <f>المدخلات!$F$4</f>
        <v>4:00–5:10 م</v>
      </c>
      <c r="C61" s="7">
        <v>2</v>
      </c>
      <c r="D61" s="7" t="s">
        <v>594</v>
      </c>
      <c r="E61" s="7" t="s">
        <v>60</v>
      </c>
      <c r="F61" s="2"/>
    </row>
    <row r="62" spans="1:6" ht="14" customHeight="1">
      <c r="A62" s="8">
        <v>7</v>
      </c>
      <c r="B62" s="7" t="str">
        <f>المدخلات!$F$5</f>
        <v>5:20–6:30 م</v>
      </c>
      <c r="C62" s="7">
        <v>2</v>
      </c>
      <c r="D62" s="7" t="s">
        <v>594</v>
      </c>
      <c r="E62" s="7" t="s">
        <v>64</v>
      </c>
      <c r="F62" s="2"/>
    </row>
    <row r="63" spans="1:6" ht="14" customHeight="1">
      <c r="A63" s="8">
        <v>7</v>
      </c>
      <c r="B63" s="7" t="str">
        <f>المدخلات!$F$6</f>
        <v>6:40–7:50 م</v>
      </c>
      <c r="C63" s="7">
        <v>2</v>
      </c>
      <c r="D63" s="7" t="s">
        <v>594</v>
      </c>
      <c r="E63" s="7" t="s">
        <v>41</v>
      </c>
      <c r="F63" s="2"/>
    </row>
    <row r="64" spans="1:6" ht="14" customHeight="1">
      <c r="A64" s="8">
        <v>7</v>
      </c>
      <c r="B64" s="7" t="str">
        <f>المدخلات!$F$4</f>
        <v>4:00–5:10 م</v>
      </c>
      <c r="C64" s="7">
        <v>3</v>
      </c>
      <c r="D64" s="7" t="s">
        <v>595</v>
      </c>
      <c r="E64" s="7" t="s">
        <v>146</v>
      </c>
      <c r="F64" s="2"/>
    </row>
    <row r="65" spans="1:6" ht="14" customHeight="1">
      <c r="A65" s="8">
        <v>7</v>
      </c>
      <c r="B65" s="7" t="str">
        <f>المدخلات!$F$5</f>
        <v>5:20–6:30 م</v>
      </c>
      <c r="C65" s="7">
        <v>3</v>
      </c>
      <c r="D65" s="7" t="s">
        <v>595</v>
      </c>
      <c r="E65" s="7" t="s">
        <v>159</v>
      </c>
      <c r="F65" s="2"/>
    </row>
    <row r="66" spans="1:6" ht="14" customHeight="1">
      <c r="A66" s="8">
        <v>7</v>
      </c>
      <c r="B66" s="7" t="str">
        <f>المدخلات!$F$6</f>
        <v>6:40–7:50 م</v>
      </c>
      <c r="C66" s="7">
        <v>3</v>
      </c>
      <c r="D66" s="7" t="s">
        <v>595</v>
      </c>
      <c r="E66" s="7" t="s">
        <v>103</v>
      </c>
      <c r="F66" s="2"/>
    </row>
    <row r="67" spans="1:6" ht="14" customHeight="1">
      <c r="A67" s="8">
        <v>8</v>
      </c>
      <c r="B67" s="7" t="str">
        <f>المدخلات!$F$4</f>
        <v>4:00–5:10 م</v>
      </c>
      <c r="C67" s="7">
        <v>1</v>
      </c>
      <c r="D67" s="7" t="s">
        <v>593</v>
      </c>
      <c r="E67" s="7" t="s">
        <v>18</v>
      </c>
      <c r="F67" s="2"/>
    </row>
    <row r="68" spans="1:6" ht="14" customHeight="1">
      <c r="A68" s="8">
        <v>8</v>
      </c>
      <c r="B68" s="7" t="str">
        <f>المدخلات!$F$5</f>
        <v>5:20–6:30 م</v>
      </c>
      <c r="C68" s="7">
        <v>1</v>
      </c>
      <c r="D68" s="7" t="s">
        <v>593</v>
      </c>
      <c r="E68" s="7" t="s">
        <v>13</v>
      </c>
      <c r="F68" s="2"/>
    </row>
    <row r="69" spans="1:6" ht="14" customHeight="1">
      <c r="A69" s="8">
        <v>8</v>
      </c>
      <c r="B69" s="7" t="str">
        <f>المدخلات!$F$6</f>
        <v>6:40–7:50 م</v>
      </c>
      <c r="C69" s="7">
        <v>1</v>
      </c>
      <c r="D69" s="7" t="s">
        <v>593</v>
      </c>
      <c r="E69" s="7" t="s">
        <v>634</v>
      </c>
      <c r="F69" s="2"/>
    </row>
    <row r="70" spans="1:6" ht="14" customHeight="1">
      <c r="A70" s="8">
        <v>8</v>
      </c>
      <c r="B70" s="7" t="str">
        <f>المدخلات!$F$4</f>
        <v>4:00–5:10 م</v>
      </c>
      <c r="C70" s="7">
        <v>2</v>
      </c>
      <c r="D70" s="7" t="s">
        <v>594</v>
      </c>
      <c r="E70" s="7" t="s">
        <v>49</v>
      </c>
      <c r="F70" s="2"/>
    </row>
    <row r="71" spans="1:6" ht="14" customHeight="1">
      <c r="A71" s="8">
        <v>8</v>
      </c>
      <c r="B71" s="7" t="str">
        <f>المدخلات!$F$5</f>
        <v>5:20–6:30 م</v>
      </c>
      <c r="C71" s="7">
        <v>2</v>
      </c>
      <c r="D71" s="7" t="s">
        <v>594</v>
      </c>
      <c r="E71" s="7" t="s">
        <v>52</v>
      </c>
      <c r="F71" s="2"/>
    </row>
    <row r="72" spans="1:6" ht="14" customHeight="1">
      <c r="A72" s="8">
        <v>8</v>
      </c>
      <c r="B72" s="7" t="str">
        <f>المدخلات!$F$6</f>
        <v>6:40–7:50 م</v>
      </c>
      <c r="C72" s="7">
        <v>2</v>
      </c>
      <c r="D72" s="7" t="s">
        <v>594</v>
      </c>
      <c r="E72" s="7" t="s">
        <v>722</v>
      </c>
      <c r="F72" s="2"/>
    </row>
    <row r="73" spans="1:6" ht="14" customHeight="1">
      <c r="A73" s="8">
        <v>8</v>
      </c>
      <c r="B73" s="7" t="str">
        <f>المدخلات!$F$4</f>
        <v>4:00–5:10 م</v>
      </c>
      <c r="C73" s="7">
        <v>3</v>
      </c>
      <c r="D73" s="7" t="s">
        <v>595</v>
      </c>
      <c r="E73" s="7" t="s">
        <v>130</v>
      </c>
      <c r="F73" s="2"/>
    </row>
    <row r="74" spans="1:6" ht="14" customHeight="1">
      <c r="A74" s="8">
        <v>8</v>
      </c>
      <c r="B74" s="7" t="str">
        <f>المدخلات!$F$5</f>
        <v>5:20–6:30 م</v>
      </c>
      <c r="C74" s="7">
        <v>3</v>
      </c>
      <c r="D74" s="7" t="s">
        <v>595</v>
      </c>
      <c r="E74" s="7" t="s">
        <v>145</v>
      </c>
      <c r="F74" s="2"/>
    </row>
    <row r="75" spans="1:6" ht="14" customHeight="1">
      <c r="A75" s="8">
        <v>8</v>
      </c>
      <c r="B75" s="7" t="str">
        <f>المدخلات!$F$6</f>
        <v>6:40–7:50 م</v>
      </c>
      <c r="C75" s="7">
        <v>3</v>
      </c>
      <c r="D75" s="7" t="s">
        <v>595</v>
      </c>
      <c r="E75" s="7" t="s">
        <v>847</v>
      </c>
      <c r="F75" s="2"/>
    </row>
    <row r="76" spans="1:6" ht="14" customHeight="1">
      <c r="A76" s="8">
        <v>9</v>
      </c>
      <c r="B76" s="7" t="str">
        <f>المدخلات!$F$4</f>
        <v>4:00–5:10 م</v>
      </c>
      <c r="C76" s="7">
        <v>1</v>
      </c>
      <c r="D76" s="7" t="s">
        <v>593</v>
      </c>
      <c r="E76" s="7" t="s">
        <v>16</v>
      </c>
      <c r="F76" s="2"/>
    </row>
    <row r="77" spans="1:6" ht="14" customHeight="1">
      <c r="A77" s="8">
        <v>9</v>
      </c>
      <c r="B77" s="7" t="str">
        <f>المدخلات!$F$5</f>
        <v>5:20–6:30 م</v>
      </c>
      <c r="C77" s="7">
        <v>1</v>
      </c>
      <c r="D77" s="7" t="s">
        <v>593</v>
      </c>
      <c r="E77" s="7" t="s">
        <v>14</v>
      </c>
      <c r="F77" s="2"/>
    </row>
    <row r="78" spans="1:6" ht="14" customHeight="1">
      <c r="A78" s="8">
        <v>9</v>
      </c>
      <c r="B78" s="7" t="str">
        <f>المدخلات!$F$6</f>
        <v>6:40–7:50 م</v>
      </c>
      <c r="C78" s="7">
        <v>1</v>
      </c>
      <c r="D78" s="7" t="s">
        <v>593</v>
      </c>
      <c r="E78" s="7" t="s">
        <v>1040</v>
      </c>
      <c r="F78" s="2"/>
    </row>
    <row r="79" spans="1:6" ht="14" customHeight="1">
      <c r="A79" s="8">
        <v>9</v>
      </c>
      <c r="B79" s="7" t="str">
        <f>المدخلات!$F$4</f>
        <v>4:00–5:10 م</v>
      </c>
      <c r="C79" s="7">
        <v>2</v>
      </c>
      <c r="D79" s="7" t="s">
        <v>594</v>
      </c>
      <c r="E79" s="7" t="s">
        <v>72</v>
      </c>
      <c r="F79" s="2"/>
    </row>
    <row r="80" spans="1:6" ht="14" customHeight="1">
      <c r="A80" s="8">
        <v>9</v>
      </c>
      <c r="B80" s="7" t="str">
        <f>المدخلات!$F$5</f>
        <v>5:20–6:30 م</v>
      </c>
      <c r="C80" s="7">
        <v>2</v>
      </c>
      <c r="D80" s="7" t="s">
        <v>594</v>
      </c>
      <c r="E80" s="7" t="s">
        <v>45</v>
      </c>
      <c r="F80" s="2"/>
    </row>
    <row r="81" spans="1:6" ht="14" customHeight="1">
      <c r="A81" s="8">
        <v>9</v>
      </c>
      <c r="B81" s="7" t="str">
        <f>المدخلات!$F$6</f>
        <v>6:40–7:50 م</v>
      </c>
      <c r="C81" s="7">
        <v>2</v>
      </c>
      <c r="D81" s="7" t="s">
        <v>594</v>
      </c>
      <c r="E81" s="7" t="s">
        <v>764</v>
      </c>
      <c r="F81" s="2"/>
    </row>
    <row r="82" spans="1:6" ht="14" customHeight="1">
      <c r="A82" s="8">
        <v>9</v>
      </c>
      <c r="B82" s="7" t="str">
        <f>المدخلات!$F$4</f>
        <v>4:00–5:10 م</v>
      </c>
      <c r="C82" s="7">
        <v>3</v>
      </c>
      <c r="D82" s="7" t="s">
        <v>595</v>
      </c>
      <c r="E82" s="7" t="s">
        <v>161</v>
      </c>
      <c r="F82" s="2"/>
    </row>
    <row r="83" spans="1:6" ht="14" customHeight="1">
      <c r="A83" s="8">
        <v>9</v>
      </c>
      <c r="B83" s="7" t="str">
        <f>المدخلات!$F$5</f>
        <v>5:20–6:30 م</v>
      </c>
      <c r="C83" s="7">
        <v>3</v>
      </c>
      <c r="D83" s="7" t="s">
        <v>595</v>
      </c>
      <c r="E83" s="7" t="s">
        <v>109</v>
      </c>
      <c r="F83" s="2"/>
    </row>
    <row r="84" spans="1:6" ht="14" customHeight="1">
      <c r="A84" s="8">
        <v>9</v>
      </c>
      <c r="B84" s="7" t="str">
        <f>المدخلات!$F$6</f>
        <v>6:40–7:50 م</v>
      </c>
      <c r="C84" s="7">
        <v>3</v>
      </c>
      <c r="D84" s="7" t="s">
        <v>595</v>
      </c>
      <c r="E84" s="7" t="s">
        <v>609</v>
      </c>
      <c r="F84" s="2"/>
    </row>
    <row r="85" spans="1:6" ht="14" customHeight="1">
      <c r="A85" s="8">
        <v>10</v>
      </c>
      <c r="B85" s="7" t="str">
        <f>المدخلات!$F$4</f>
        <v>4:00–5:10 م</v>
      </c>
      <c r="C85" s="7">
        <v>1</v>
      </c>
      <c r="D85" s="7" t="s">
        <v>593</v>
      </c>
      <c r="E85" s="7" t="s">
        <v>11</v>
      </c>
      <c r="F85" s="2"/>
    </row>
    <row r="86" spans="1:6" ht="14" customHeight="1">
      <c r="A86" s="8">
        <v>10</v>
      </c>
      <c r="B86" s="7" t="str">
        <f>المدخلات!$F$5</f>
        <v>5:20–6:30 م</v>
      </c>
      <c r="C86" s="7">
        <v>1</v>
      </c>
      <c r="D86" s="7" t="s">
        <v>593</v>
      </c>
      <c r="E86" s="7" t="s">
        <v>1036</v>
      </c>
      <c r="F86" s="2"/>
    </row>
    <row r="87" spans="1:6" ht="14" customHeight="1">
      <c r="A87" s="8">
        <v>10</v>
      </c>
      <c r="B87" s="7" t="str">
        <f>المدخلات!$F$6</f>
        <v>6:40–7:50 م</v>
      </c>
      <c r="C87" s="7">
        <v>1</v>
      </c>
      <c r="D87" s="7" t="s">
        <v>593</v>
      </c>
      <c r="E87" s="7" t="s">
        <v>10</v>
      </c>
      <c r="F87" s="2"/>
    </row>
    <row r="88" spans="1:6" ht="14" customHeight="1">
      <c r="A88" s="8">
        <v>10</v>
      </c>
      <c r="B88" s="7" t="str">
        <f>المدخلات!$F$4</f>
        <v>4:00–5:10 م</v>
      </c>
      <c r="C88" s="7">
        <v>2</v>
      </c>
      <c r="D88" s="7" t="s">
        <v>594</v>
      </c>
      <c r="E88" s="7" t="s">
        <v>30</v>
      </c>
      <c r="F88" s="2"/>
    </row>
    <row r="89" spans="1:6" ht="14" customHeight="1">
      <c r="A89" s="8">
        <v>10</v>
      </c>
      <c r="B89" s="7" t="str">
        <f>المدخلات!$F$5</f>
        <v>5:20–6:30 م</v>
      </c>
      <c r="C89" s="7">
        <v>2</v>
      </c>
      <c r="D89" s="7" t="s">
        <v>594</v>
      </c>
      <c r="E89" s="7" t="s">
        <v>1068</v>
      </c>
      <c r="F89" s="2"/>
    </row>
    <row r="90" spans="1:6" ht="14" customHeight="1">
      <c r="A90" s="8">
        <v>10</v>
      </c>
      <c r="B90" s="7" t="str">
        <f>المدخلات!$F$6</f>
        <v>6:40–7:50 م</v>
      </c>
      <c r="C90" s="7">
        <v>2</v>
      </c>
      <c r="D90" s="7" t="s">
        <v>594</v>
      </c>
      <c r="E90" s="7" t="s">
        <v>56</v>
      </c>
      <c r="F90" s="2"/>
    </row>
    <row r="91" spans="1:6" ht="14" customHeight="1">
      <c r="A91" s="8">
        <v>10</v>
      </c>
      <c r="B91" s="7" t="str">
        <f>المدخلات!$F$4</f>
        <v>4:00–5:10 م</v>
      </c>
      <c r="C91" s="7">
        <v>3</v>
      </c>
      <c r="D91" s="7" t="s">
        <v>595</v>
      </c>
      <c r="E91" s="7" t="s">
        <v>98</v>
      </c>
      <c r="F91" s="2"/>
    </row>
    <row r="92" spans="1:6" ht="14" customHeight="1">
      <c r="A92" s="8">
        <v>10</v>
      </c>
      <c r="B92" s="7" t="str">
        <f>المدخلات!$F$5</f>
        <v>5:20–6:30 م</v>
      </c>
      <c r="C92" s="7">
        <v>3</v>
      </c>
      <c r="D92" s="7" t="s">
        <v>595</v>
      </c>
      <c r="E92" s="7" t="s">
        <v>1090</v>
      </c>
      <c r="F92" s="2"/>
    </row>
    <row r="93" spans="1:6" ht="14" customHeight="1">
      <c r="A93" s="8">
        <v>10</v>
      </c>
      <c r="B93" s="7" t="str">
        <f>المدخلات!$F$6</f>
        <v>6:40–7:50 م</v>
      </c>
      <c r="C93" s="7">
        <v>3</v>
      </c>
      <c r="D93" s="7" t="s">
        <v>595</v>
      </c>
      <c r="E93" s="7" t="s">
        <v>151</v>
      </c>
      <c r="F93" s="2"/>
    </row>
    <row r="94" spans="1:6" ht="14" customHeight="1">
      <c r="A94" s="8">
        <v>11</v>
      </c>
      <c r="B94" s="7" t="str">
        <f>المدخلات!$F$4</f>
        <v>4:00–5:10 م</v>
      </c>
      <c r="C94" s="7">
        <v>1</v>
      </c>
      <c r="D94" s="7" t="s">
        <v>593</v>
      </c>
      <c r="E94" s="7" t="s">
        <v>19</v>
      </c>
      <c r="F94" s="2"/>
    </row>
    <row r="95" spans="1:6" ht="14" customHeight="1">
      <c r="A95" s="8">
        <v>11</v>
      </c>
      <c r="B95" s="7" t="str">
        <f>المدخلات!$F$5</f>
        <v>5:20–6:30 م</v>
      </c>
      <c r="C95" s="7">
        <v>1</v>
      </c>
      <c r="D95" s="7" t="s">
        <v>593</v>
      </c>
      <c r="E95" s="7" t="s">
        <v>1042</v>
      </c>
      <c r="F95" s="2"/>
    </row>
    <row r="96" spans="1:6" ht="14" customHeight="1">
      <c r="A96" s="8">
        <v>11</v>
      </c>
      <c r="B96" s="7" t="str">
        <f>المدخلات!$F$6</f>
        <v>6:40–7:50 م</v>
      </c>
      <c r="C96" s="7">
        <v>1</v>
      </c>
      <c r="D96" s="7" t="s">
        <v>593</v>
      </c>
      <c r="E96" s="7" t="s">
        <v>1039</v>
      </c>
      <c r="F96" s="2"/>
    </row>
    <row r="97" spans="1:6" ht="14" customHeight="1">
      <c r="A97" s="8">
        <v>11</v>
      </c>
      <c r="B97" s="7" t="str">
        <f>المدخلات!$F$4</f>
        <v>4:00–5:10 م</v>
      </c>
      <c r="C97" s="7">
        <v>2</v>
      </c>
      <c r="D97" s="7" t="s">
        <v>594</v>
      </c>
      <c r="E97" s="7" t="s">
        <v>46</v>
      </c>
      <c r="F97" s="2"/>
    </row>
    <row r="98" spans="1:6" ht="14" customHeight="1">
      <c r="A98" s="8">
        <v>11</v>
      </c>
      <c r="B98" s="7" t="str">
        <f>المدخلات!$F$5</f>
        <v>5:20–6:30 م</v>
      </c>
      <c r="C98" s="7">
        <v>2</v>
      </c>
      <c r="D98" s="7" t="s">
        <v>594</v>
      </c>
      <c r="E98" s="7" t="s">
        <v>1061</v>
      </c>
      <c r="F98" s="2"/>
    </row>
    <row r="99" spans="1:6" ht="14" customHeight="1">
      <c r="A99" s="8">
        <v>11</v>
      </c>
      <c r="B99" s="7" t="str">
        <f>المدخلات!$F$6</f>
        <v>6:40–7:50 م</v>
      </c>
      <c r="C99" s="7">
        <v>2</v>
      </c>
      <c r="D99" s="7" t="s">
        <v>594</v>
      </c>
      <c r="E99" s="7" t="s">
        <v>1092</v>
      </c>
      <c r="F99" s="2"/>
    </row>
    <row r="100" spans="1:6" ht="14" customHeight="1">
      <c r="A100" s="8">
        <v>11</v>
      </c>
      <c r="B100" s="7" t="str">
        <f>المدخلات!$F$4</f>
        <v>4:00–5:10 م</v>
      </c>
      <c r="C100" s="7">
        <v>3</v>
      </c>
      <c r="D100" s="7" t="s">
        <v>595</v>
      </c>
      <c r="E100" s="7" t="s">
        <v>129</v>
      </c>
      <c r="F100" s="2"/>
    </row>
    <row r="101" spans="1:6" ht="14" customHeight="1">
      <c r="A101" s="8">
        <v>11</v>
      </c>
      <c r="B101" s="7" t="str">
        <f>المدخلات!$F$5</f>
        <v>5:20–6:30 م</v>
      </c>
      <c r="C101" s="7">
        <v>3</v>
      </c>
      <c r="D101" s="7" t="s">
        <v>595</v>
      </c>
      <c r="E101" s="7" t="s">
        <v>1094</v>
      </c>
      <c r="F101" s="2"/>
    </row>
    <row r="102" spans="1:6" ht="14" customHeight="1">
      <c r="A102" s="8">
        <v>11</v>
      </c>
      <c r="B102" s="7" t="str">
        <f>المدخلات!$F$6</f>
        <v>6:40–7:50 م</v>
      </c>
      <c r="C102" s="7">
        <v>3</v>
      </c>
      <c r="D102" s="7" t="s">
        <v>595</v>
      </c>
      <c r="E102" s="7" t="s">
        <v>1093</v>
      </c>
      <c r="F102" s="2"/>
    </row>
    <row r="103" spans="1:6" ht="14" customHeight="1">
      <c r="A103" s="8">
        <v>12</v>
      </c>
      <c r="B103" s="7" t="str">
        <f>المدخلات!$F$4</f>
        <v>4:00–5:10 م</v>
      </c>
      <c r="C103" s="7">
        <v>1</v>
      </c>
      <c r="D103" s="7" t="s">
        <v>593</v>
      </c>
      <c r="E103" s="7" t="s">
        <v>1035</v>
      </c>
      <c r="F103" s="2"/>
    </row>
    <row r="104" spans="1:6" ht="14" customHeight="1">
      <c r="A104" s="8">
        <v>12</v>
      </c>
      <c r="B104" s="7" t="str">
        <f>المدخلات!$F$5</f>
        <v>5:20–6:30 م</v>
      </c>
      <c r="C104" s="7">
        <v>1</v>
      </c>
      <c r="D104" s="7" t="s">
        <v>593</v>
      </c>
      <c r="E104" s="7" t="s">
        <v>9</v>
      </c>
      <c r="F104" s="2"/>
    </row>
    <row r="105" spans="1:6" ht="14" customHeight="1">
      <c r="A105" s="8">
        <v>12</v>
      </c>
      <c r="B105" s="7" t="str">
        <f>المدخلات!$F$6</f>
        <v>6:40–7:50 م</v>
      </c>
      <c r="C105" s="7">
        <v>1</v>
      </c>
      <c r="D105" s="7" t="s">
        <v>593</v>
      </c>
      <c r="E105" s="7" t="s">
        <v>17</v>
      </c>
      <c r="F105" s="2"/>
    </row>
    <row r="106" spans="1:6" ht="14" customHeight="1">
      <c r="A106" s="8">
        <v>12</v>
      </c>
      <c r="B106" s="7" t="str">
        <f>المدخلات!$F$4</f>
        <v>4:00–5:10 م</v>
      </c>
      <c r="C106" s="7">
        <v>2</v>
      </c>
      <c r="D106" s="7" t="s">
        <v>594</v>
      </c>
      <c r="E106" s="7" t="s">
        <v>741</v>
      </c>
      <c r="F106" s="2"/>
    </row>
    <row r="107" spans="1:6" ht="14" customHeight="1">
      <c r="A107" s="8">
        <v>12</v>
      </c>
      <c r="B107" s="7" t="str">
        <f>المدخلات!$F$5</f>
        <v>5:20–6:30 م</v>
      </c>
      <c r="C107" s="7">
        <v>2</v>
      </c>
      <c r="D107" s="7" t="s">
        <v>594</v>
      </c>
      <c r="E107" s="7" t="s">
        <v>64</v>
      </c>
      <c r="F107" s="2"/>
    </row>
    <row r="108" spans="1:6" ht="14" customHeight="1">
      <c r="A108" s="8">
        <v>12</v>
      </c>
      <c r="B108" s="7" t="str">
        <f>المدخلات!$F$6</f>
        <v>6:40–7:50 م</v>
      </c>
      <c r="C108" s="7">
        <v>2</v>
      </c>
      <c r="D108" s="7" t="s">
        <v>594</v>
      </c>
      <c r="E108" s="7" t="s">
        <v>41</v>
      </c>
      <c r="F108" s="2"/>
    </row>
    <row r="109" spans="1:6" ht="14" customHeight="1">
      <c r="A109" s="8">
        <v>12</v>
      </c>
      <c r="B109" s="7" t="str">
        <f>المدخلات!$F$4</f>
        <v>4:00–5:10 م</v>
      </c>
      <c r="C109" s="7">
        <v>3</v>
      </c>
      <c r="D109" s="7" t="s">
        <v>595</v>
      </c>
      <c r="E109" s="7" t="s">
        <v>674</v>
      </c>
      <c r="F109" s="2"/>
    </row>
    <row r="110" spans="1:6" ht="14" customHeight="1">
      <c r="A110" s="8">
        <v>12</v>
      </c>
      <c r="B110" s="7" t="str">
        <f>المدخلات!$F$5</f>
        <v>5:20–6:30 م</v>
      </c>
      <c r="C110" s="7">
        <v>3</v>
      </c>
      <c r="D110" s="7" t="s">
        <v>595</v>
      </c>
      <c r="E110" s="7" t="s">
        <v>159</v>
      </c>
      <c r="F110" s="2"/>
    </row>
    <row r="111" spans="1:6" ht="14" customHeight="1">
      <c r="A111" s="8">
        <v>12</v>
      </c>
      <c r="B111" s="7" t="str">
        <f>المدخلات!$F$6</f>
        <v>6:40–7:50 م</v>
      </c>
      <c r="C111" s="7">
        <v>3</v>
      </c>
      <c r="D111" s="7" t="s">
        <v>595</v>
      </c>
      <c r="E111" s="7" t="s">
        <v>103</v>
      </c>
      <c r="F111" s="2"/>
    </row>
    <row r="112" spans="1:6" ht="14" customHeight="1">
      <c r="A112" s="8">
        <v>13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21</v>
      </c>
      <c r="F112" s="2"/>
    </row>
    <row r="113" spans="1:6" ht="14" customHeight="1">
      <c r="A113" s="8">
        <v>13</v>
      </c>
      <c r="B113" s="7" t="str">
        <f>المدخلات!$F$5</f>
        <v>5:20–6:30 م</v>
      </c>
      <c r="C113" s="7">
        <v>1</v>
      </c>
      <c r="D113" s="7" t="s">
        <v>593</v>
      </c>
      <c r="E113" s="7" t="s">
        <v>13</v>
      </c>
      <c r="F113" s="2"/>
    </row>
    <row r="114" spans="1:6" ht="14" customHeight="1">
      <c r="A114" s="8">
        <v>13</v>
      </c>
      <c r="B114" s="7" t="str">
        <f>المدخلات!$F$6</f>
        <v>6:40–7:50 م</v>
      </c>
      <c r="C114" s="7">
        <v>1</v>
      </c>
      <c r="D114" s="7" t="s">
        <v>593</v>
      </c>
      <c r="E114" s="7" t="s">
        <v>18</v>
      </c>
      <c r="F114" s="2"/>
    </row>
    <row r="115" spans="1:6" ht="14" customHeight="1">
      <c r="A115" s="8">
        <v>13</v>
      </c>
      <c r="B115" s="7" t="str">
        <f>المدخلات!$F$4</f>
        <v>4:00–5:10 م</v>
      </c>
      <c r="C115" s="7">
        <v>2</v>
      </c>
      <c r="D115" s="7" t="s">
        <v>594</v>
      </c>
      <c r="E115" s="7" t="s">
        <v>68</v>
      </c>
      <c r="F115" s="2"/>
    </row>
    <row r="116" spans="1:6" ht="14" customHeight="1">
      <c r="A116" s="8">
        <v>13</v>
      </c>
      <c r="B116" s="7" t="str">
        <f>المدخلات!$F$5</f>
        <v>5:20–6:30 م</v>
      </c>
      <c r="C116" s="7">
        <v>2</v>
      </c>
      <c r="D116" s="7" t="s">
        <v>594</v>
      </c>
      <c r="E116" s="7" t="s">
        <v>52</v>
      </c>
      <c r="F116" s="2"/>
    </row>
    <row r="117" spans="1:6" ht="14" customHeight="1">
      <c r="A117" s="8">
        <v>13</v>
      </c>
      <c r="B117" s="7" t="str">
        <f>المدخلات!$F$6</f>
        <v>6:40–7:50 م</v>
      </c>
      <c r="C117" s="7">
        <v>2</v>
      </c>
      <c r="D117" s="7" t="s">
        <v>594</v>
      </c>
      <c r="E117" s="7" t="s">
        <v>49</v>
      </c>
      <c r="F117" s="2"/>
    </row>
    <row r="118" spans="1:6" ht="14" customHeight="1">
      <c r="A118" s="8">
        <v>13</v>
      </c>
      <c r="B118" s="7" t="str">
        <f>المدخلات!$F$4</f>
        <v>4:00–5:10 م</v>
      </c>
      <c r="C118" s="7">
        <v>3</v>
      </c>
      <c r="D118" s="7" t="s">
        <v>595</v>
      </c>
      <c r="E118" s="7" t="s">
        <v>160</v>
      </c>
      <c r="F118" s="2"/>
    </row>
    <row r="119" spans="1:6" ht="14" customHeight="1">
      <c r="A119" s="8">
        <v>13</v>
      </c>
      <c r="B119" s="7" t="str">
        <f>المدخلات!$F$5</f>
        <v>5:20–6:30 م</v>
      </c>
      <c r="C119" s="7">
        <v>3</v>
      </c>
      <c r="D119" s="7" t="s">
        <v>595</v>
      </c>
      <c r="E119" s="7" t="s">
        <v>145</v>
      </c>
      <c r="F119" s="2"/>
    </row>
    <row r="120" spans="1:6" ht="14" customHeight="1">
      <c r="A120" s="8">
        <v>13</v>
      </c>
      <c r="B120" s="7" t="str">
        <f>المدخلات!$F$6</f>
        <v>6:40–7:50 م</v>
      </c>
      <c r="C120" s="7">
        <v>3</v>
      </c>
      <c r="D120" s="7" t="s">
        <v>595</v>
      </c>
      <c r="E120" s="7" t="s">
        <v>130</v>
      </c>
      <c r="F120" s="2"/>
    </row>
    <row r="121" spans="1:6" ht="14" customHeight="1">
      <c r="A121" s="8">
        <v>14</v>
      </c>
      <c r="B121" s="7" t="str">
        <f>المدخلات!$F$4</f>
        <v>4:00–5:10 م</v>
      </c>
      <c r="C121" s="7">
        <v>1</v>
      </c>
      <c r="D121" s="7" t="s">
        <v>593</v>
      </c>
      <c r="E121" s="7" t="s">
        <v>8</v>
      </c>
      <c r="F121" s="2"/>
    </row>
    <row r="122" spans="1:6" ht="14" customHeight="1">
      <c r="A122" s="8">
        <v>14</v>
      </c>
      <c r="B122" s="7" t="str">
        <f>المدخلات!$F$5</f>
        <v>5:20–6:30 م</v>
      </c>
      <c r="C122" s="7">
        <v>1</v>
      </c>
      <c r="D122" s="7" t="s">
        <v>593</v>
      </c>
      <c r="E122" s="7" t="s">
        <v>647</v>
      </c>
      <c r="F122" s="2"/>
    </row>
    <row r="123" spans="1:6" ht="14" customHeight="1">
      <c r="A123" s="8">
        <v>14</v>
      </c>
      <c r="B123" s="7" t="str">
        <f>المدخلات!$F$6</f>
        <v>6:40–7:50 م</v>
      </c>
      <c r="C123" s="7">
        <v>1</v>
      </c>
      <c r="D123" s="7" t="s">
        <v>593</v>
      </c>
      <c r="E123" s="7" t="s">
        <v>16</v>
      </c>
      <c r="F123" s="2"/>
    </row>
    <row r="124" spans="1:6" ht="14" customHeight="1">
      <c r="A124" s="8">
        <v>14</v>
      </c>
      <c r="B124" s="7" t="str">
        <f>المدخلات!$F$4</f>
        <v>4:00–5:10 م</v>
      </c>
      <c r="C124" s="7">
        <v>2</v>
      </c>
      <c r="D124" s="7" t="s">
        <v>594</v>
      </c>
      <c r="E124" s="7" t="s">
        <v>42</v>
      </c>
      <c r="F124" s="2"/>
    </row>
    <row r="125" spans="1:6" ht="14" customHeight="1">
      <c r="A125" s="8">
        <v>14</v>
      </c>
      <c r="B125" s="7" t="str">
        <f>المدخلات!$F$5</f>
        <v>5:20–6:30 م</v>
      </c>
      <c r="C125" s="7">
        <v>2</v>
      </c>
      <c r="D125" s="7" t="s">
        <v>594</v>
      </c>
      <c r="E125" s="7" t="s">
        <v>740</v>
      </c>
      <c r="F125" s="2"/>
    </row>
    <row r="126" spans="1:6" ht="14" customHeight="1">
      <c r="A126" s="8">
        <v>14</v>
      </c>
      <c r="B126" s="7" t="str">
        <f>المدخلات!$F$6</f>
        <v>6:40–7:50 م</v>
      </c>
      <c r="C126" s="7">
        <v>2</v>
      </c>
      <c r="D126" s="7" t="s">
        <v>594</v>
      </c>
      <c r="E126" s="7" t="s">
        <v>72</v>
      </c>
      <c r="F126" s="2"/>
    </row>
    <row r="127" spans="1:6" ht="14" customHeight="1">
      <c r="A127" s="8">
        <v>14</v>
      </c>
      <c r="B127" s="7" t="str">
        <f>المدخلات!$F$4</f>
        <v>4:00–5:10 م</v>
      </c>
      <c r="C127" s="7">
        <v>3</v>
      </c>
      <c r="D127" s="7" t="s">
        <v>595</v>
      </c>
      <c r="E127" s="7" t="s">
        <v>102</v>
      </c>
      <c r="F127" s="2"/>
    </row>
    <row r="128" spans="1:6" ht="14" customHeight="1">
      <c r="A128" s="8">
        <v>14</v>
      </c>
      <c r="B128" s="7" t="str">
        <f>المدخلات!$F$5</f>
        <v>5:20–6:30 م</v>
      </c>
      <c r="C128" s="7">
        <v>3</v>
      </c>
      <c r="D128" s="7" t="s">
        <v>595</v>
      </c>
      <c r="E128" s="7" t="s">
        <v>602</v>
      </c>
      <c r="F128" s="2"/>
    </row>
    <row r="129" spans="1:6" ht="14" customHeight="1">
      <c r="A129" s="8">
        <v>14</v>
      </c>
      <c r="B129" s="7" t="str">
        <f>المدخلات!$F$6</f>
        <v>6:40–7:50 م</v>
      </c>
      <c r="C129" s="7">
        <v>3</v>
      </c>
      <c r="D129" s="7" t="s">
        <v>595</v>
      </c>
      <c r="E129" s="7" t="s">
        <v>161</v>
      </c>
      <c r="F129" s="2"/>
    </row>
    <row r="130" spans="1:6" ht="14" customHeight="1">
      <c r="A130" s="8">
        <v>15</v>
      </c>
      <c r="B130" s="7" t="str">
        <f>المدخلات!$F$4</f>
        <v>4:00–5:10 م</v>
      </c>
      <c r="C130" s="7">
        <v>1</v>
      </c>
      <c r="D130" s="7" t="s">
        <v>593</v>
      </c>
      <c r="E130" s="7" t="s">
        <v>10</v>
      </c>
      <c r="F130" s="2"/>
    </row>
    <row r="131" spans="1:6" ht="14" customHeight="1">
      <c r="A131" s="8">
        <v>15</v>
      </c>
      <c r="B131" s="7" t="str">
        <f>المدخلات!$F$5</f>
        <v>5:20–6:30 م</v>
      </c>
      <c r="C131" s="7">
        <v>1</v>
      </c>
      <c r="D131" s="7" t="s">
        <v>593</v>
      </c>
      <c r="E131" s="7" t="s">
        <v>1036</v>
      </c>
      <c r="F131" s="2"/>
    </row>
    <row r="132" spans="1:6" ht="14" customHeight="1">
      <c r="A132" s="8">
        <v>15</v>
      </c>
      <c r="B132" s="7" t="str">
        <f>المدخلات!$F$6</f>
        <v>6:40–7:50 م</v>
      </c>
      <c r="C132" s="7">
        <v>1</v>
      </c>
      <c r="D132" s="7" t="s">
        <v>593</v>
      </c>
      <c r="E132" s="7" t="s">
        <v>1037</v>
      </c>
      <c r="F132" s="2"/>
    </row>
    <row r="133" spans="1:6" ht="14" customHeight="1">
      <c r="A133" s="8">
        <v>15</v>
      </c>
      <c r="B133" s="7" t="str">
        <f>المدخلات!$F$4</f>
        <v>4:00–5:10 م</v>
      </c>
      <c r="C133" s="7">
        <v>2</v>
      </c>
      <c r="D133" s="7" t="s">
        <v>594</v>
      </c>
      <c r="E133" s="7" t="s">
        <v>56</v>
      </c>
      <c r="F133" s="2"/>
    </row>
    <row r="134" spans="1:6" ht="14" customHeight="1">
      <c r="A134" s="8">
        <v>15</v>
      </c>
      <c r="B134" s="7" t="str">
        <f>المدخلات!$F$5</f>
        <v>5:20–6:30 م</v>
      </c>
      <c r="C134" s="7">
        <v>2</v>
      </c>
      <c r="D134" s="7" t="s">
        <v>594</v>
      </c>
      <c r="E134" s="7" t="s">
        <v>1068</v>
      </c>
      <c r="F134" s="2"/>
    </row>
    <row r="135" spans="1:6" ht="14" customHeight="1">
      <c r="A135" s="8">
        <v>15</v>
      </c>
      <c r="B135" s="7" t="str">
        <f>المدخلات!$F$6</f>
        <v>6:40–7:50 م</v>
      </c>
      <c r="C135" s="7">
        <v>2</v>
      </c>
      <c r="D135" s="7" t="s">
        <v>594</v>
      </c>
      <c r="E135" s="7" t="s">
        <v>1053</v>
      </c>
      <c r="F135" s="2"/>
    </row>
    <row r="136" spans="1:6" ht="14" customHeight="1">
      <c r="A136" s="8">
        <v>15</v>
      </c>
      <c r="B136" s="7" t="str">
        <f>المدخلات!$F$4</f>
        <v>4:00–5:10 م</v>
      </c>
      <c r="C136" s="7">
        <v>3</v>
      </c>
      <c r="D136" s="7" t="s">
        <v>595</v>
      </c>
      <c r="E136" s="7" t="s">
        <v>151</v>
      </c>
      <c r="F136" s="2"/>
    </row>
    <row r="137" spans="1:6" ht="14" customHeight="1">
      <c r="A137" s="8">
        <v>15</v>
      </c>
      <c r="B137" s="7" t="str">
        <f>المدخلات!$F$5</f>
        <v>5:20–6:30 م</v>
      </c>
      <c r="C137" s="7">
        <v>3</v>
      </c>
      <c r="D137" s="7" t="s">
        <v>595</v>
      </c>
      <c r="E137" s="7" t="s">
        <v>1090</v>
      </c>
      <c r="F137" s="2"/>
    </row>
    <row r="138" spans="1:6" ht="14" customHeight="1">
      <c r="A138" s="8">
        <v>15</v>
      </c>
      <c r="B138" s="7" t="str">
        <f>المدخلات!$F$6</f>
        <v>6:40–7:50 م</v>
      </c>
      <c r="C138" s="7">
        <v>3</v>
      </c>
      <c r="D138" s="7" t="s">
        <v>595</v>
      </c>
      <c r="E138" s="7" t="s">
        <v>1071</v>
      </c>
      <c r="F138" s="2"/>
    </row>
    <row r="139" spans="1:6" ht="14" customHeight="1">
      <c r="A139" s="8">
        <v>16</v>
      </c>
      <c r="B139" s="7" t="str">
        <f>المدخلات!$F$4</f>
        <v>4:00–5:10 م</v>
      </c>
      <c r="C139" s="7">
        <v>1</v>
      </c>
      <c r="D139" s="7" t="s">
        <v>593</v>
      </c>
      <c r="E139" s="7" t="s">
        <v>19</v>
      </c>
      <c r="F139" s="2"/>
    </row>
    <row r="140" spans="1:6" ht="14" customHeight="1">
      <c r="A140" s="8">
        <v>16</v>
      </c>
      <c r="B140" s="7" t="str">
        <f>المدخلات!$F$5</f>
        <v>5:20–6:30 م</v>
      </c>
      <c r="C140" s="7">
        <v>1</v>
      </c>
      <c r="D140" s="7" t="s">
        <v>593</v>
      </c>
      <c r="E140" s="7" t="s">
        <v>1039</v>
      </c>
      <c r="F140" s="2"/>
    </row>
    <row r="141" spans="1:6" ht="14" customHeight="1">
      <c r="A141" s="8">
        <v>16</v>
      </c>
      <c r="B141" s="7" t="str">
        <f>المدخلات!$F$6</f>
        <v>6:40–7:50 م</v>
      </c>
      <c r="C141" s="7">
        <v>1</v>
      </c>
      <c r="D141" s="7" t="s">
        <v>593</v>
      </c>
      <c r="E141" s="7" t="s">
        <v>1042</v>
      </c>
      <c r="F141" s="2"/>
    </row>
    <row r="142" spans="1:6" ht="14" customHeight="1">
      <c r="A142" s="8">
        <v>16</v>
      </c>
      <c r="B142" s="7" t="str">
        <f>المدخلات!$F$4</f>
        <v>4:00–5:10 م</v>
      </c>
      <c r="C142" s="7">
        <v>2</v>
      </c>
      <c r="D142" s="7" t="s">
        <v>594</v>
      </c>
      <c r="E142" s="7" t="s">
        <v>46</v>
      </c>
      <c r="F142" s="2"/>
    </row>
    <row r="143" spans="1:6" ht="14" customHeight="1">
      <c r="A143" s="8">
        <v>16</v>
      </c>
      <c r="B143" s="7" t="str">
        <f>المدخلات!$F$5</f>
        <v>5:20–6:30 م</v>
      </c>
      <c r="C143" s="7">
        <v>2</v>
      </c>
      <c r="D143" s="7" t="s">
        <v>594</v>
      </c>
      <c r="E143" s="7" t="s">
        <v>1092</v>
      </c>
      <c r="F143" s="2"/>
    </row>
    <row r="144" spans="1:6" ht="14" customHeight="1">
      <c r="A144" s="8">
        <v>16</v>
      </c>
      <c r="B144" s="7" t="str">
        <f>المدخلات!$F$6</f>
        <v>6:40–7:50 م</v>
      </c>
      <c r="C144" s="7">
        <v>2</v>
      </c>
      <c r="D144" s="7" t="s">
        <v>594</v>
      </c>
      <c r="E144" s="7" t="s">
        <v>1061</v>
      </c>
      <c r="F144" s="2"/>
    </row>
    <row r="145" spans="1:6" ht="14" customHeight="1">
      <c r="A145" s="8">
        <v>16</v>
      </c>
      <c r="B145" s="7" t="str">
        <f>المدخلات!$F$4</f>
        <v>4:00–5:10 م</v>
      </c>
      <c r="C145" s="7">
        <v>3</v>
      </c>
      <c r="D145" s="7" t="s">
        <v>595</v>
      </c>
      <c r="E145" s="7" t="s">
        <v>129</v>
      </c>
      <c r="F145" s="2"/>
    </row>
    <row r="146" spans="1:6" ht="14" customHeight="1">
      <c r="A146" s="8">
        <v>16</v>
      </c>
      <c r="B146" s="7" t="str">
        <f>المدخلات!$F$5</f>
        <v>5:20–6:30 م</v>
      </c>
      <c r="C146" s="7">
        <v>3</v>
      </c>
      <c r="D146" s="7" t="s">
        <v>595</v>
      </c>
      <c r="E146" s="7" t="s">
        <v>1093</v>
      </c>
      <c r="F146" s="2"/>
    </row>
    <row r="147" spans="1:6" ht="14" customHeight="1">
      <c r="A147" s="8">
        <v>16</v>
      </c>
      <c r="B147" s="7" t="str">
        <f>المدخلات!$F$6</f>
        <v>6:40–7:50 م</v>
      </c>
      <c r="C147" s="7">
        <v>3</v>
      </c>
      <c r="D147" s="7" t="s">
        <v>595</v>
      </c>
      <c r="E147" s="7" t="s">
        <v>1094</v>
      </c>
      <c r="F147" s="2"/>
    </row>
    <row r="148" spans="1:6" ht="14" customHeight="1">
      <c r="A148" s="8">
        <v>17</v>
      </c>
      <c r="B148" s="7" t="str">
        <f>المدخلات!$F$4</f>
        <v>4:00–5:10 م</v>
      </c>
      <c r="C148" s="7">
        <v>1</v>
      </c>
      <c r="D148" s="7" t="s">
        <v>593</v>
      </c>
      <c r="E148" s="7" t="s">
        <v>17</v>
      </c>
      <c r="F148" s="2"/>
    </row>
    <row r="149" spans="1:6" ht="14" customHeight="1">
      <c r="A149" s="8">
        <v>17</v>
      </c>
      <c r="B149" s="7" t="str">
        <f>المدخلات!$F$5</f>
        <v>5:20–6:30 م</v>
      </c>
      <c r="C149" s="7">
        <v>1</v>
      </c>
      <c r="D149" s="7" t="s">
        <v>593</v>
      </c>
      <c r="E149" s="7" t="s">
        <v>20</v>
      </c>
      <c r="F149" s="2"/>
    </row>
    <row r="150" spans="1:6" ht="14" customHeight="1">
      <c r="A150" s="8">
        <v>17</v>
      </c>
      <c r="B150" s="7" t="str">
        <f>المدخلات!$F$6</f>
        <v>6:40–7:50 م</v>
      </c>
      <c r="C150" s="7">
        <v>1</v>
      </c>
      <c r="D150" s="7" t="s">
        <v>593</v>
      </c>
      <c r="E150" s="7" t="s">
        <v>9</v>
      </c>
      <c r="F150" s="2"/>
    </row>
    <row r="151" spans="1:6" ht="14" customHeight="1">
      <c r="A151" s="8">
        <v>17</v>
      </c>
      <c r="B151" s="7" t="str">
        <f>المدخلات!$F$4</f>
        <v>4:00–5:10 م</v>
      </c>
      <c r="C151" s="7">
        <v>2</v>
      </c>
      <c r="D151" s="7" t="s">
        <v>594</v>
      </c>
      <c r="E151" s="7" t="s">
        <v>41</v>
      </c>
      <c r="F151" s="2"/>
    </row>
    <row r="152" spans="1:6" ht="14" customHeight="1">
      <c r="A152" s="8">
        <v>17</v>
      </c>
      <c r="B152" s="7" t="str">
        <f>المدخلات!$F$5</f>
        <v>5:20–6:30 م</v>
      </c>
      <c r="C152" s="7">
        <v>2</v>
      </c>
      <c r="D152" s="7" t="s">
        <v>594</v>
      </c>
      <c r="E152" s="7" t="s">
        <v>60</v>
      </c>
      <c r="F152" s="2"/>
    </row>
    <row r="153" spans="1:6" ht="14" customHeight="1">
      <c r="A153" s="8">
        <v>17</v>
      </c>
      <c r="B153" s="7" t="str">
        <f>المدخلات!$F$6</f>
        <v>6:40–7:50 م</v>
      </c>
      <c r="C153" s="7">
        <v>2</v>
      </c>
      <c r="D153" s="7" t="s">
        <v>594</v>
      </c>
      <c r="E153" s="7" t="s">
        <v>64</v>
      </c>
      <c r="F153" s="2"/>
    </row>
    <row r="154" spans="1:6" ht="14" customHeight="1">
      <c r="A154" s="8">
        <v>17</v>
      </c>
      <c r="B154" s="7" t="str">
        <f>المدخلات!$F$4</f>
        <v>4:00–5:10 م</v>
      </c>
      <c r="C154" s="7">
        <v>3</v>
      </c>
      <c r="D154" s="7" t="s">
        <v>595</v>
      </c>
      <c r="E154" s="7" t="s">
        <v>103</v>
      </c>
      <c r="F154" s="2"/>
    </row>
    <row r="155" spans="1:6" ht="14" customHeight="1">
      <c r="A155" s="8">
        <v>17</v>
      </c>
      <c r="B155" s="7" t="str">
        <f>المدخلات!$F$5</f>
        <v>5:20–6:30 م</v>
      </c>
      <c r="C155" s="7">
        <v>3</v>
      </c>
      <c r="D155" s="7" t="s">
        <v>595</v>
      </c>
      <c r="E155" s="7" t="s">
        <v>146</v>
      </c>
      <c r="F155" s="2"/>
    </row>
    <row r="156" spans="1:6" ht="14" customHeight="1">
      <c r="A156" s="8">
        <v>17</v>
      </c>
      <c r="B156" s="7" t="str">
        <f>المدخلات!$F$6</f>
        <v>6:40–7:50 م</v>
      </c>
      <c r="C156" s="7">
        <v>3</v>
      </c>
      <c r="D156" s="7" t="s">
        <v>595</v>
      </c>
      <c r="E156" s="7" t="s">
        <v>159</v>
      </c>
      <c r="F156" s="2"/>
    </row>
    <row r="157" spans="1:6" ht="14" customHeight="1">
      <c r="A157" s="8">
        <v>18</v>
      </c>
      <c r="B157" s="7" t="str">
        <f>المدخلات!$F$4</f>
        <v>4:00–5:10 م</v>
      </c>
      <c r="C157" s="7">
        <v>1</v>
      </c>
      <c r="D157" s="7" t="s">
        <v>593</v>
      </c>
      <c r="E157" s="7" t="s">
        <v>634</v>
      </c>
      <c r="F157" s="2"/>
    </row>
    <row r="158" spans="1:6" ht="14" customHeight="1">
      <c r="A158" s="8">
        <v>18</v>
      </c>
      <c r="B158" s="7" t="str">
        <f>المدخلات!$F$5</f>
        <v>5:20–6:30 م</v>
      </c>
      <c r="C158" s="7">
        <v>1</v>
      </c>
      <c r="D158" s="7" t="s">
        <v>593</v>
      </c>
      <c r="E158" s="7" t="s">
        <v>18</v>
      </c>
      <c r="F158" s="2"/>
    </row>
    <row r="159" spans="1:6" ht="14" customHeight="1">
      <c r="A159" s="8">
        <v>18</v>
      </c>
      <c r="B159" s="7" t="str">
        <f>المدخلات!$F$6</f>
        <v>6:40–7:50 م</v>
      </c>
      <c r="C159" s="7">
        <v>1</v>
      </c>
      <c r="D159" s="7" t="s">
        <v>593</v>
      </c>
      <c r="E159" s="7" t="s">
        <v>13</v>
      </c>
      <c r="F159" s="2"/>
    </row>
    <row r="160" spans="1:6" ht="14" customHeight="1">
      <c r="A160" s="8">
        <v>18</v>
      </c>
      <c r="B160" s="7" t="str">
        <f>المدخلات!$F$4</f>
        <v>4:00–5:10 م</v>
      </c>
      <c r="C160" s="7">
        <v>2</v>
      </c>
      <c r="D160" s="7" t="s">
        <v>594</v>
      </c>
      <c r="E160" s="7" t="s">
        <v>722</v>
      </c>
      <c r="F160" s="2"/>
    </row>
    <row r="161" spans="1:6" ht="14" customHeight="1">
      <c r="A161" s="8">
        <v>18</v>
      </c>
      <c r="B161" s="7" t="str">
        <f>المدخلات!$F$5</f>
        <v>5:20–6:30 م</v>
      </c>
      <c r="C161" s="7">
        <v>2</v>
      </c>
      <c r="D161" s="7" t="s">
        <v>594</v>
      </c>
      <c r="E161" s="7" t="s">
        <v>49</v>
      </c>
      <c r="F161" s="2"/>
    </row>
    <row r="162" spans="1:6" ht="14" customHeight="1">
      <c r="A162" s="8">
        <v>18</v>
      </c>
      <c r="B162" s="7" t="str">
        <f>المدخلات!$F$6</f>
        <v>6:40–7:50 م</v>
      </c>
      <c r="C162" s="7">
        <v>2</v>
      </c>
      <c r="D162" s="7" t="s">
        <v>594</v>
      </c>
      <c r="E162" s="7" t="s">
        <v>52</v>
      </c>
      <c r="F162" s="2"/>
    </row>
    <row r="163" spans="1:6" ht="14" customHeight="1">
      <c r="A163" s="8">
        <v>18</v>
      </c>
      <c r="B163" s="7" t="str">
        <f>المدخلات!$F$4</f>
        <v>4:00–5:10 م</v>
      </c>
      <c r="C163" s="7">
        <v>3</v>
      </c>
      <c r="D163" s="7" t="s">
        <v>595</v>
      </c>
      <c r="E163" s="7" t="s">
        <v>847</v>
      </c>
      <c r="F163" s="2"/>
    </row>
    <row r="164" spans="1:6" ht="14" customHeight="1">
      <c r="A164" s="8">
        <v>18</v>
      </c>
      <c r="B164" s="7" t="str">
        <f>المدخلات!$F$5</f>
        <v>5:20–6:30 م</v>
      </c>
      <c r="C164" s="7">
        <v>3</v>
      </c>
      <c r="D164" s="7" t="s">
        <v>595</v>
      </c>
      <c r="E164" s="7" t="s">
        <v>130</v>
      </c>
      <c r="F164" s="2"/>
    </row>
    <row r="165" spans="1:6" ht="14" customHeight="1">
      <c r="A165" s="8">
        <v>18</v>
      </c>
      <c r="B165" s="7" t="str">
        <f>المدخلات!$F$6</f>
        <v>6:40–7:50 م</v>
      </c>
      <c r="C165" s="7">
        <v>3</v>
      </c>
      <c r="D165" s="7" t="s">
        <v>595</v>
      </c>
      <c r="E165" s="7" t="s">
        <v>145</v>
      </c>
      <c r="F165" s="2"/>
    </row>
    <row r="166" spans="1:6" ht="14" customHeight="1">
      <c r="A166" s="8">
        <v>19</v>
      </c>
      <c r="B166" s="7" t="str">
        <f>المدخلات!$F$4</f>
        <v>4:00–5:10 م</v>
      </c>
      <c r="C166" s="7">
        <v>1</v>
      </c>
      <c r="D166" s="7" t="s">
        <v>593</v>
      </c>
      <c r="E166" s="7" t="s">
        <v>16</v>
      </c>
      <c r="F166" s="2"/>
    </row>
    <row r="167" spans="1:6" ht="14" customHeight="1">
      <c r="A167" s="8">
        <v>19</v>
      </c>
      <c r="B167" s="7" t="str">
        <f>المدخلات!$F$5</f>
        <v>5:20–6:30 م</v>
      </c>
      <c r="C167" s="7">
        <v>1</v>
      </c>
      <c r="D167" s="7" t="s">
        <v>593</v>
      </c>
      <c r="E167" s="7" t="s">
        <v>1040</v>
      </c>
      <c r="F167" s="2"/>
    </row>
    <row r="168" spans="1:6" ht="14" customHeight="1">
      <c r="A168" s="8">
        <v>19</v>
      </c>
      <c r="B168" s="7" t="str">
        <f>المدخلات!$F$6</f>
        <v>6:40–7:50 م</v>
      </c>
      <c r="C168" s="7">
        <v>1</v>
      </c>
      <c r="D168" s="7" t="s">
        <v>593</v>
      </c>
      <c r="E168" s="7" t="s">
        <v>14</v>
      </c>
      <c r="F168" s="2"/>
    </row>
    <row r="169" spans="1:6" ht="14" customHeight="1">
      <c r="A169" s="8">
        <v>19</v>
      </c>
      <c r="B169" s="7" t="str">
        <f>المدخلات!$F$4</f>
        <v>4:00–5:10 م</v>
      </c>
      <c r="C169" s="7">
        <v>2</v>
      </c>
      <c r="D169" s="7" t="s">
        <v>594</v>
      </c>
      <c r="E169" s="7" t="s">
        <v>72</v>
      </c>
      <c r="F169" s="2"/>
    </row>
    <row r="170" spans="1:6" ht="14" customHeight="1">
      <c r="A170" s="8">
        <v>19</v>
      </c>
      <c r="B170" s="7" t="str">
        <f>المدخلات!$F$5</f>
        <v>5:20–6:30 م</v>
      </c>
      <c r="C170" s="7">
        <v>2</v>
      </c>
      <c r="D170" s="7" t="s">
        <v>594</v>
      </c>
      <c r="E170" s="7" t="s">
        <v>764</v>
      </c>
      <c r="F170" s="2"/>
    </row>
    <row r="171" spans="1:6" ht="14" customHeight="1">
      <c r="A171" s="8">
        <v>19</v>
      </c>
      <c r="B171" s="7" t="str">
        <f>المدخلات!$F$6</f>
        <v>6:40–7:50 م</v>
      </c>
      <c r="C171" s="7">
        <v>2</v>
      </c>
      <c r="D171" s="7" t="s">
        <v>594</v>
      </c>
      <c r="E171" s="7" t="s">
        <v>45</v>
      </c>
      <c r="F171" s="2"/>
    </row>
    <row r="172" spans="1:6" ht="14" customHeight="1">
      <c r="A172" s="8">
        <v>19</v>
      </c>
      <c r="B172" s="7" t="str">
        <f>المدخلات!$F$4</f>
        <v>4:00–5:10 م</v>
      </c>
      <c r="C172" s="7">
        <v>3</v>
      </c>
      <c r="D172" s="7" t="s">
        <v>595</v>
      </c>
      <c r="E172" s="7" t="s">
        <v>161</v>
      </c>
      <c r="F172" s="2"/>
    </row>
    <row r="173" spans="1:6" ht="14" customHeight="1">
      <c r="A173" s="8">
        <v>19</v>
      </c>
      <c r="B173" s="7" t="str">
        <f>المدخلات!$F$5</f>
        <v>5:20–6:30 م</v>
      </c>
      <c r="C173" s="7">
        <v>3</v>
      </c>
      <c r="D173" s="7" t="s">
        <v>595</v>
      </c>
      <c r="E173" s="7" t="s">
        <v>609</v>
      </c>
      <c r="F173" s="2"/>
    </row>
    <row r="174" spans="1:6" ht="14" customHeight="1">
      <c r="A174" s="8">
        <v>19</v>
      </c>
      <c r="B174" s="7" t="str">
        <f>المدخلات!$F$6</f>
        <v>6:40–7:50 م</v>
      </c>
      <c r="C174" s="7">
        <v>3</v>
      </c>
      <c r="D174" s="7" t="s">
        <v>595</v>
      </c>
      <c r="E174" s="7" t="s">
        <v>109</v>
      </c>
      <c r="F174" s="2"/>
    </row>
    <row r="175" spans="1:6" ht="14" customHeight="1">
      <c r="A175" s="8">
        <v>20</v>
      </c>
      <c r="B175" s="7" t="str">
        <f>المدخلات!$F$4</f>
        <v>4:00–5:10 م</v>
      </c>
      <c r="C175" s="7">
        <v>1</v>
      </c>
      <c r="D175" s="7" t="s">
        <v>593</v>
      </c>
      <c r="E175" s="7" t="s">
        <v>11</v>
      </c>
      <c r="F175" s="2"/>
    </row>
    <row r="176" spans="1:6" ht="14" customHeight="1">
      <c r="A176" s="8">
        <v>20</v>
      </c>
      <c r="B176" s="7" t="str">
        <f>المدخلات!$F$5</f>
        <v>5:20–6:30 م</v>
      </c>
      <c r="C176" s="7">
        <v>1</v>
      </c>
      <c r="D176" s="7" t="s">
        <v>593</v>
      </c>
      <c r="E176" s="7" t="s">
        <v>10</v>
      </c>
      <c r="F176" s="2"/>
    </row>
    <row r="177" spans="1:19" ht="14" customHeight="1">
      <c r="A177" s="8">
        <v>20</v>
      </c>
      <c r="B177" s="7" t="str">
        <f>المدخلات!$F$6</f>
        <v>6:40–7:50 م</v>
      </c>
      <c r="C177" s="7">
        <v>1</v>
      </c>
      <c r="D177" s="7" t="s">
        <v>593</v>
      </c>
      <c r="E177" s="7" t="s">
        <v>1036</v>
      </c>
      <c r="F177" s="2"/>
    </row>
    <row r="178" spans="1:19" ht="14" customHeight="1">
      <c r="A178" s="8">
        <v>20</v>
      </c>
      <c r="B178" s="7" t="str">
        <f>المدخلات!$F$4</f>
        <v>4:00–5:10 م</v>
      </c>
      <c r="C178" s="7">
        <v>2</v>
      </c>
      <c r="D178" s="7" t="s">
        <v>594</v>
      </c>
      <c r="E178" s="7" t="s">
        <v>30</v>
      </c>
      <c r="F178" s="2"/>
    </row>
    <row r="179" spans="1:19" ht="14" customHeight="1">
      <c r="A179" s="8">
        <v>20</v>
      </c>
      <c r="B179" s="7" t="str">
        <f>المدخلات!$F$5</f>
        <v>5:20–6:30 م</v>
      </c>
      <c r="C179" s="7">
        <v>2</v>
      </c>
      <c r="D179" s="7" t="s">
        <v>594</v>
      </c>
      <c r="E179" s="7" t="s">
        <v>56</v>
      </c>
      <c r="F179" s="2"/>
    </row>
    <row r="180" spans="1:19" ht="14" customHeight="1">
      <c r="A180" s="8">
        <v>20</v>
      </c>
      <c r="B180" s="7" t="str">
        <f>المدخلات!$F$6</f>
        <v>6:40–7:50 م</v>
      </c>
      <c r="C180" s="7">
        <v>2</v>
      </c>
      <c r="D180" s="7" t="s">
        <v>594</v>
      </c>
      <c r="E180" s="7" t="s">
        <v>1068</v>
      </c>
      <c r="F180" s="2"/>
    </row>
    <row r="181" spans="1:19" ht="14" customHeight="1">
      <c r="A181" s="8">
        <v>20</v>
      </c>
      <c r="B181" s="7" t="str">
        <f>المدخلات!$F$4</f>
        <v>4:00–5:10 م</v>
      </c>
      <c r="C181" s="7">
        <v>3</v>
      </c>
      <c r="D181" s="7" t="s">
        <v>595</v>
      </c>
      <c r="E181" s="7" t="s">
        <v>98</v>
      </c>
      <c r="F181" s="2"/>
    </row>
    <row r="182" spans="1:19" ht="14" customHeight="1">
      <c r="A182" s="8">
        <v>20</v>
      </c>
      <c r="B182" s="7" t="str">
        <f>المدخلات!$F$5</f>
        <v>5:20–6:30 م</v>
      </c>
      <c r="C182" s="7">
        <v>3</v>
      </c>
      <c r="D182" s="7" t="s">
        <v>595</v>
      </c>
      <c r="E182" s="7" t="s">
        <v>151</v>
      </c>
      <c r="F182" s="2"/>
    </row>
    <row r="183" spans="1:19" ht="14" customHeight="1">
      <c r="A183" s="8">
        <v>20</v>
      </c>
      <c r="B183" s="7" t="str">
        <f>المدخلات!$F$6</f>
        <v>6:40–7:50 م</v>
      </c>
      <c r="C183" s="7">
        <v>3</v>
      </c>
      <c r="D183" s="7" t="s">
        <v>595</v>
      </c>
      <c r="E183" s="7" t="s">
        <v>1090</v>
      </c>
      <c r="F183" s="2"/>
    </row>
    <row r="184" spans="1:19" ht="14" customHeight="1">
      <c r="A184" s="8">
        <v>21</v>
      </c>
      <c r="B184" s="7" t="str">
        <f>المدخلات!$F$4</f>
        <v>4:00–5:10 م</v>
      </c>
      <c r="C184" s="7">
        <v>1</v>
      </c>
      <c r="D184" s="7" t="s">
        <v>580</v>
      </c>
      <c r="E184" s="7" t="s">
        <v>1034</v>
      </c>
      <c r="F184" s="2"/>
    </row>
    <row r="185" spans="1:19" ht="14" customHeight="1">
      <c r="A185" s="8">
        <v>21</v>
      </c>
      <c r="B185" s="7" t="str">
        <f>المدخلات!$F$4</f>
        <v>4:00–5:10 م</v>
      </c>
      <c r="C185" s="7">
        <v>2</v>
      </c>
      <c r="D185" s="7" t="s">
        <v>580</v>
      </c>
      <c r="E185" s="7" t="s">
        <v>821</v>
      </c>
      <c r="F185" s="2"/>
    </row>
    <row r="186" spans="1:19" ht="14" customHeight="1">
      <c r="A186" s="8">
        <v>22</v>
      </c>
      <c r="B186" s="7" t="str">
        <f>المدخلات!$F$4</f>
        <v>4:00–5:10 م</v>
      </c>
      <c r="C186" s="7">
        <v>1</v>
      </c>
      <c r="D186" s="7" t="s">
        <v>581</v>
      </c>
      <c r="E186" s="7" t="s">
        <v>582</v>
      </c>
      <c r="F186" s="2"/>
    </row>
    <row r="187" spans="1:19">
      <c r="A187" s="2"/>
      <c r="B187" s="2"/>
      <c r="C187" s="2"/>
      <c r="D187" s="2"/>
      <c r="E187" s="2"/>
    </row>
    <row r="188" spans="1:19">
      <c r="A188" s="2"/>
      <c r="B188" s="2"/>
      <c r="C188" s="2"/>
      <c r="D188" s="2"/>
      <c r="E188" s="2"/>
    </row>
    <row r="189" spans="1:19" ht="14.5">
      <c r="A189" s="17" t="s">
        <v>828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 spans="1:19" ht="14.5">
      <c r="A190" s="6" t="s">
        <v>829</v>
      </c>
      <c r="B190" s="6">
        <v>1</v>
      </c>
      <c r="C190" s="6">
        <v>2</v>
      </c>
      <c r="D190" s="6">
        <v>3</v>
      </c>
      <c r="E190" s="6">
        <v>4</v>
      </c>
      <c r="F190" s="6">
        <v>5</v>
      </c>
      <c r="G190" s="6">
        <v>6</v>
      </c>
      <c r="H190" s="6">
        <v>7</v>
      </c>
      <c r="I190" s="6">
        <v>8</v>
      </c>
      <c r="J190" s="6">
        <v>9</v>
      </c>
      <c r="K190" s="6">
        <v>10</v>
      </c>
      <c r="L190" s="6">
        <v>11</v>
      </c>
      <c r="M190" s="6">
        <v>12</v>
      </c>
      <c r="N190" s="6">
        <v>13</v>
      </c>
      <c r="O190" s="6">
        <v>14</v>
      </c>
      <c r="P190" s="6">
        <v>15</v>
      </c>
      <c r="Q190" s="6">
        <v>16</v>
      </c>
      <c r="R190" s="6">
        <v>17</v>
      </c>
      <c r="S190" s="6">
        <v>18</v>
      </c>
    </row>
    <row r="191" spans="1:19" ht="14.5">
      <c r="A191" s="14">
        <v>1</v>
      </c>
      <c r="B191" s="4" t="str">
        <f>IF($A191=B$190,"",COUNTIF($E$4:$E$186,$A191&amp;" ضد "&amp;B$190)+COUNTIF($E$4:$E$186,B$190&amp;" ضد "&amp;$A191))</f>
        <v/>
      </c>
      <c r="C191" s="4">
        <f>IF($A191=C$190,"",COUNTIF($E$4:$E$186,$A191&amp;" ضد "&amp;C$190)+COUNTIF($E$4:$E$186,C$190&amp;" ضد "&amp;$A191))</f>
        <v>4</v>
      </c>
      <c r="D191" s="4">
        <f>IF($A191=D$190,"",COUNTIF($E$4:$E$186,$A191&amp;" ضد "&amp;D$190)+COUNTIF($E$4:$E$186,D$190&amp;" ضد "&amp;$A191))</f>
        <v>4</v>
      </c>
      <c r="E191" s="4">
        <f>IF($A191=E$190,"",COUNTIF($E$4:$E$186,$A191&amp;" ضد "&amp;E$190)+COUNTIF($E$4:$E$186,E$190&amp;" ضد "&amp;$A191))</f>
        <v>4</v>
      </c>
      <c r="F191" s="4">
        <f>IF($A191=F$190,"",COUNTIF($E$4:$E$186,$A191&amp;" ضد "&amp;F$190)+COUNTIF($E$4:$E$186,F$190&amp;" ضد "&amp;$A191))</f>
        <v>4</v>
      </c>
      <c r="G191" s="4">
        <f>IF($A191=G$190,"",COUNTIF($E$4:$E$186,$A191&amp;" ضد "&amp;G$190)+COUNTIF($E$4:$E$186,G$190&amp;" ضد "&amp;$A191))</f>
        <v>4</v>
      </c>
      <c r="H191" s="4">
        <f>IF($A191=H$190,"",COUNTIF($E$4:$E$186,$A191&amp;" ضد "&amp;H$190)+COUNTIF($E$4:$E$186,H$190&amp;" ضد "&amp;$A191))</f>
        <v>0</v>
      </c>
      <c r="I191" s="4">
        <f>IF($A191=I$190,"",COUNTIF($E$4:$E$186,$A191&amp;" ضد "&amp;I$190)+COUNTIF($E$4:$E$186,I$190&amp;" ضد "&amp;$A191))</f>
        <v>0</v>
      </c>
      <c r="J191" s="4">
        <f>IF($A191=J$190,"",COUNTIF($E$4:$E$186,$A191&amp;" ضد "&amp;J$190)+COUNTIF($E$4:$E$186,J$190&amp;" ضد "&amp;$A191))</f>
        <v>0</v>
      </c>
      <c r="K191" s="4">
        <f>IF($A191=K$190,"",COUNTIF($E$4:$E$186,$A191&amp;" ضد "&amp;K$190)+COUNTIF($E$4:$E$186,K$190&amp;" ضد "&amp;$A191))</f>
        <v>0</v>
      </c>
      <c r="L191" s="4">
        <f>IF($A191=L$190,"",COUNTIF($E$4:$E$186,$A191&amp;" ضد "&amp;L$190)+COUNTIF($E$4:$E$186,L$190&amp;" ضد "&amp;$A191))</f>
        <v>0</v>
      </c>
      <c r="M191" s="4">
        <f>IF($A191=M$190,"",COUNTIF($E$4:$E$186,$A191&amp;" ضد "&amp;M$190)+COUNTIF($E$4:$E$186,M$190&amp;" ضد "&amp;$A191))</f>
        <v>0</v>
      </c>
      <c r="N191" s="4">
        <f>IF($A191=N$190,"",COUNTIF($E$4:$E$186,$A191&amp;" ضد "&amp;N$190)+COUNTIF($E$4:$E$186,N$190&amp;" ضد "&amp;$A191))</f>
        <v>0</v>
      </c>
      <c r="O191" s="4">
        <f>IF($A191=O$190,"",COUNTIF($E$4:$E$186,$A191&amp;" ضد "&amp;O$190)+COUNTIF($E$4:$E$186,O$190&amp;" ضد "&amp;$A191))</f>
        <v>0</v>
      </c>
      <c r="P191" s="4">
        <f>IF($A191=P$190,"",COUNTIF($E$4:$E$186,$A191&amp;" ضد "&amp;P$190)+COUNTIF($E$4:$E$186,P$190&amp;" ضد "&amp;$A191))</f>
        <v>0</v>
      </c>
      <c r="Q191" s="4">
        <f>IF($A191=Q$190,"",COUNTIF($E$4:$E$186,$A191&amp;" ضد "&amp;Q$190)+COUNTIF($E$4:$E$186,Q$190&amp;" ضد "&amp;$A191))</f>
        <v>0</v>
      </c>
      <c r="R191" s="4">
        <f>IF($A191=R$190,"",COUNTIF($E$4:$E$186,$A191&amp;" ضد "&amp;R$190)+COUNTIF($E$4:$E$186,R$190&amp;" ضد "&amp;$A191))</f>
        <v>0</v>
      </c>
      <c r="S191" s="4">
        <f>IF($A191=S$190,"",COUNTIF($E$4:$E$186,$A191&amp;" ضد "&amp;S$190)+COUNTIF($E$4:$E$186,S$190&amp;" ضد "&amp;$A191))</f>
        <v>0</v>
      </c>
    </row>
    <row r="192" spans="1:19" ht="14.5">
      <c r="A192" s="14">
        <v>2</v>
      </c>
      <c r="B192" s="4">
        <f>IF($A192=B$190,"",COUNTIF($E$4:$E$186,$A192&amp;" ضد "&amp;B$190)+COUNTIF($E$4:$E$186,B$190&amp;" ضد "&amp;$A192))</f>
        <v>4</v>
      </c>
      <c r="C192" s="4" t="str">
        <f>IF($A192=C$190,"",COUNTIF($E$4:$E$186,$A192&amp;" ضد "&amp;C$190)+COUNTIF($E$4:$E$186,C$190&amp;" ضد "&amp;$A192))</f>
        <v/>
      </c>
      <c r="D192" s="4">
        <f>IF($A192=D$190,"",COUNTIF($E$4:$E$186,$A192&amp;" ضد "&amp;D$190)+COUNTIF($E$4:$E$186,D$190&amp;" ضد "&amp;$A192))</f>
        <v>4</v>
      </c>
      <c r="E192" s="4">
        <f>IF($A192=E$190,"",COUNTIF($E$4:$E$186,$A192&amp;" ضد "&amp;E$190)+COUNTIF($E$4:$E$186,E$190&amp;" ضد "&amp;$A192))</f>
        <v>4</v>
      </c>
      <c r="F192" s="4">
        <f>IF($A192=F$190,"",COUNTIF($E$4:$E$186,$A192&amp;" ضد "&amp;F$190)+COUNTIF($E$4:$E$186,F$190&amp;" ضد "&amp;$A192))</f>
        <v>4</v>
      </c>
      <c r="G192" s="4">
        <f>IF($A192=G$190,"",COUNTIF($E$4:$E$186,$A192&amp;" ضد "&amp;G$190)+COUNTIF($E$4:$E$186,G$190&amp;" ضد "&amp;$A192))</f>
        <v>4</v>
      </c>
      <c r="H192" s="4">
        <f>IF($A192=H$190,"",COUNTIF($E$4:$E$186,$A192&amp;" ضد "&amp;H$190)+COUNTIF($E$4:$E$186,H$190&amp;" ضد "&amp;$A192))</f>
        <v>0</v>
      </c>
      <c r="I192" s="4">
        <f>IF($A192=I$190,"",COUNTIF($E$4:$E$186,$A192&amp;" ضد "&amp;I$190)+COUNTIF($E$4:$E$186,I$190&amp;" ضد "&amp;$A192))</f>
        <v>0</v>
      </c>
      <c r="J192" s="4">
        <f>IF($A192=J$190,"",COUNTIF($E$4:$E$186,$A192&amp;" ضد "&amp;J$190)+COUNTIF($E$4:$E$186,J$190&amp;" ضد "&amp;$A192))</f>
        <v>0</v>
      </c>
      <c r="K192" s="4">
        <f>IF($A192=K$190,"",COUNTIF($E$4:$E$186,$A192&amp;" ضد "&amp;K$190)+COUNTIF($E$4:$E$186,K$190&amp;" ضد "&amp;$A192))</f>
        <v>0</v>
      </c>
      <c r="L192" s="4">
        <f>IF($A192=L$190,"",COUNTIF($E$4:$E$186,$A192&amp;" ضد "&amp;L$190)+COUNTIF($E$4:$E$186,L$190&amp;" ضد "&amp;$A192))</f>
        <v>0</v>
      </c>
      <c r="M192" s="4">
        <f>IF($A192=M$190,"",COUNTIF($E$4:$E$186,$A192&amp;" ضد "&amp;M$190)+COUNTIF($E$4:$E$186,M$190&amp;" ضد "&amp;$A192))</f>
        <v>0</v>
      </c>
      <c r="N192" s="4">
        <f>IF($A192=N$190,"",COUNTIF($E$4:$E$186,$A192&amp;" ضد "&amp;N$190)+COUNTIF($E$4:$E$186,N$190&amp;" ضد "&amp;$A192))</f>
        <v>0</v>
      </c>
      <c r="O192" s="4">
        <f>IF($A192=O$190,"",COUNTIF($E$4:$E$186,$A192&amp;" ضد "&amp;O$190)+COUNTIF($E$4:$E$186,O$190&amp;" ضد "&amp;$A192))</f>
        <v>0</v>
      </c>
      <c r="P192" s="4">
        <f>IF($A192=P$190,"",COUNTIF($E$4:$E$186,$A192&amp;" ضد "&amp;P$190)+COUNTIF($E$4:$E$186,P$190&amp;" ضد "&amp;$A192))</f>
        <v>0</v>
      </c>
      <c r="Q192" s="4">
        <f>IF($A192=Q$190,"",COUNTIF($E$4:$E$186,$A192&amp;" ضد "&amp;Q$190)+COUNTIF($E$4:$E$186,Q$190&amp;" ضد "&amp;$A192))</f>
        <v>0</v>
      </c>
      <c r="R192" s="4">
        <f>IF($A192=R$190,"",COUNTIF($E$4:$E$186,$A192&amp;" ضد "&amp;R$190)+COUNTIF($E$4:$E$186,R$190&amp;" ضد "&amp;$A192))</f>
        <v>0</v>
      </c>
      <c r="S192" s="4">
        <f>IF($A192=S$190,"",COUNTIF($E$4:$E$186,$A192&amp;" ضد "&amp;S$190)+COUNTIF($E$4:$E$186,S$190&amp;" ضد "&amp;$A192))</f>
        <v>0</v>
      </c>
    </row>
    <row r="193" spans="1:19" ht="14.5">
      <c r="A193" s="14">
        <v>3</v>
      </c>
      <c r="B193" s="4">
        <f>IF($A193=B$190,"",COUNTIF($E$4:$E$186,$A193&amp;" ضد "&amp;B$190)+COUNTIF($E$4:$E$186,B$190&amp;" ضد "&amp;$A193))</f>
        <v>4</v>
      </c>
      <c r="C193" s="4">
        <f>IF($A193=C$190,"",COUNTIF($E$4:$E$186,$A193&amp;" ضد "&amp;C$190)+COUNTIF($E$4:$E$186,C$190&amp;" ضد "&amp;$A193))</f>
        <v>4</v>
      </c>
      <c r="D193" s="4" t="str">
        <f>IF($A193=D$190,"",COUNTIF($E$4:$E$186,$A193&amp;" ضد "&amp;D$190)+COUNTIF($E$4:$E$186,D$190&amp;" ضد "&amp;$A193))</f>
        <v/>
      </c>
      <c r="E193" s="4">
        <f>IF($A193=E$190,"",COUNTIF($E$4:$E$186,$A193&amp;" ضد "&amp;E$190)+COUNTIF($E$4:$E$186,E$190&amp;" ضد "&amp;$A193))</f>
        <v>4</v>
      </c>
      <c r="F193" s="4">
        <f>IF($A193=F$190,"",COUNTIF($E$4:$E$186,$A193&amp;" ضد "&amp;F$190)+COUNTIF($E$4:$E$186,F$190&amp;" ضد "&amp;$A193))</f>
        <v>4</v>
      </c>
      <c r="G193" s="4">
        <f>IF($A193=G$190,"",COUNTIF($E$4:$E$186,$A193&amp;" ضد "&amp;G$190)+COUNTIF($E$4:$E$186,G$190&amp;" ضد "&amp;$A193))</f>
        <v>4</v>
      </c>
      <c r="H193" s="4">
        <f>IF($A193=H$190,"",COUNTIF($E$4:$E$186,$A193&amp;" ضد "&amp;H$190)+COUNTIF($E$4:$E$186,H$190&amp;" ضد "&amp;$A193))</f>
        <v>0</v>
      </c>
      <c r="I193" s="4">
        <f>IF($A193=I$190,"",COUNTIF($E$4:$E$186,$A193&amp;" ضد "&amp;I$190)+COUNTIF($E$4:$E$186,I$190&amp;" ضد "&amp;$A193))</f>
        <v>0</v>
      </c>
      <c r="J193" s="4">
        <f>IF($A193=J$190,"",COUNTIF($E$4:$E$186,$A193&amp;" ضد "&amp;J$190)+COUNTIF($E$4:$E$186,J$190&amp;" ضد "&amp;$A193))</f>
        <v>0</v>
      </c>
      <c r="K193" s="4">
        <f>IF($A193=K$190,"",COUNTIF($E$4:$E$186,$A193&amp;" ضد "&amp;K$190)+COUNTIF($E$4:$E$186,K$190&amp;" ضد "&amp;$A193))</f>
        <v>0</v>
      </c>
      <c r="L193" s="4">
        <f>IF($A193=L$190,"",COUNTIF($E$4:$E$186,$A193&amp;" ضد "&amp;L$190)+COUNTIF($E$4:$E$186,L$190&amp;" ضد "&amp;$A193))</f>
        <v>0</v>
      </c>
      <c r="M193" s="4">
        <f>IF($A193=M$190,"",COUNTIF($E$4:$E$186,$A193&amp;" ضد "&amp;M$190)+COUNTIF($E$4:$E$186,M$190&amp;" ضد "&amp;$A193))</f>
        <v>0</v>
      </c>
      <c r="N193" s="4">
        <f>IF($A193=N$190,"",COUNTIF($E$4:$E$186,$A193&amp;" ضد "&amp;N$190)+COUNTIF($E$4:$E$186,N$190&amp;" ضد "&amp;$A193))</f>
        <v>0</v>
      </c>
      <c r="O193" s="4">
        <f>IF($A193=O$190,"",COUNTIF($E$4:$E$186,$A193&amp;" ضد "&amp;O$190)+COUNTIF($E$4:$E$186,O$190&amp;" ضد "&amp;$A193))</f>
        <v>0</v>
      </c>
      <c r="P193" s="4">
        <f>IF($A193=P$190,"",COUNTIF($E$4:$E$186,$A193&amp;" ضد "&amp;P$190)+COUNTIF($E$4:$E$186,P$190&amp;" ضد "&amp;$A193))</f>
        <v>0</v>
      </c>
      <c r="Q193" s="4">
        <f>IF($A193=Q$190,"",COUNTIF($E$4:$E$186,$A193&amp;" ضد "&amp;Q$190)+COUNTIF($E$4:$E$186,Q$190&amp;" ضد "&amp;$A193))</f>
        <v>0</v>
      </c>
      <c r="R193" s="4">
        <f>IF($A193=R$190,"",COUNTIF($E$4:$E$186,$A193&amp;" ضد "&amp;R$190)+COUNTIF($E$4:$E$186,R$190&amp;" ضد "&amp;$A193))</f>
        <v>0</v>
      </c>
      <c r="S193" s="4">
        <f>IF($A193=S$190,"",COUNTIF($E$4:$E$186,$A193&amp;" ضد "&amp;S$190)+COUNTIF($E$4:$E$186,S$190&amp;" ضد "&amp;$A193))</f>
        <v>0</v>
      </c>
    </row>
    <row r="194" spans="1:19" ht="14.5">
      <c r="A194" s="14">
        <v>4</v>
      </c>
      <c r="B194" s="4">
        <f>IF($A194=B$190,"",COUNTIF($E$4:$E$186,$A194&amp;" ضد "&amp;B$190)+COUNTIF($E$4:$E$186,B$190&amp;" ضد "&amp;$A194))</f>
        <v>4</v>
      </c>
      <c r="C194" s="4">
        <f>IF($A194=C$190,"",COUNTIF($E$4:$E$186,$A194&amp;" ضد "&amp;C$190)+COUNTIF($E$4:$E$186,C$190&amp;" ضد "&amp;$A194))</f>
        <v>4</v>
      </c>
      <c r="D194" s="4">
        <f>IF($A194=D$190,"",COUNTIF($E$4:$E$186,$A194&amp;" ضد "&amp;D$190)+COUNTIF($E$4:$E$186,D$190&amp;" ضد "&amp;$A194))</f>
        <v>4</v>
      </c>
      <c r="E194" s="4" t="str">
        <f>IF($A194=E$190,"",COUNTIF($E$4:$E$186,$A194&amp;" ضد "&amp;E$190)+COUNTIF($E$4:$E$186,E$190&amp;" ضد "&amp;$A194))</f>
        <v/>
      </c>
      <c r="F194" s="4">
        <f>IF($A194=F$190,"",COUNTIF($E$4:$E$186,$A194&amp;" ضد "&amp;F$190)+COUNTIF($E$4:$E$186,F$190&amp;" ضد "&amp;$A194))</f>
        <v>4</v>
      </c>
      <c r="G194" s="4">
        <f>IF($A194=G$190,"",COUNTIF($E$4:$E$186,$A194&amp;" ضد "&amp;G$190)+COUNTIF($E$4:$E$186,G$190&amp;" ضد "&amp;$A194))</f>
        <v>4</v>
      </c>
      <c r="H194" s="4">
        <f>IF($A194=H$190,"",COUNTIF($E$4:$E$186,$A194&amp;" ضد "&amp;H$190)+COUNTIF($E$4:$E$186,H$190&amp;" ضد "&amp;$A194))</f>
        <v>0</v>
      </c>
      <c r="I194" s="4">
        <f>IF($A194=I$190,"",COUNTIF($E$4:$E$186,$A194&amp;" ضد "&amp;I$190)+COUNTIF($E$4:$E$186,I$190&amp;" ضد "&amp;$A194))</f>
        <v>0</v>
      </c>
      <c r="J194" s="4">
        <f>IF($A194=J$190,"",COUNTIF($E$4:$E$186,$A194&amp;" ضد "&amp;J$190)+COUNTIF($E$4:$E$186,J$190&amp;" ضد "&amp;$A194))</f>
        <v>0</v>
      </c>
      <c r="K194" s="4">
        <f>IF($A194=K$190,"",COUNTIF($E$4:$E$186,$A194&amp;" ضد "&amp;K$190)+COUNTIF($E$4:$E$186,K$190&amp;" ضد "&amp;$A194))</f>
        <v>0</v>
      </c>
      <c r="L194" s="4">
        <f>IF($A194=L$190,"",COUNTIF($E$4:$E$186,$A194&amp;" ضد "&amp;L$190)+COUNTIF($E$4:$E$186,L$190&amp;" ضد "&amp;$A194))</f>
        <v>0</v>
      </c>
      <c r="M194" s="4">
        <f>IF($A194=M$190,"",COUNTIF($E$4:$E$186,$A194&amp;" ضد "&amp;M$190)+COUNTIF($E$4:$E$186,M$190&amp;" ضد "&amp;$A194))</f>
        <v>0</v>
      </c>
      <c r="N194" s="4">
        <f>IF($A194=N$190,"",COUNTIF($E$4:$E$186,$A194&amp;" ضد "&amp;N$190)+COUNTIF($E$4:$E$186,N$190&amp;" ضد "&amp;$A194))</f>
        <v>0</v>
      </c>
      <c r="O194" s="4">
        <f>IF($A194=O$190,"",COUNTIF($E$4:$E$186,$A194&amp;" ضد "&amp;O$190)+COUNTIF($E$4:$E$186,O$190&amp;" ضد "&amp;$A194))</f>
        <v>0</v>
      </c>
      <c r="P194" s="4">
        <f>IF($A194=P$190,"",COUNTIF($E$4:$E$186,$A194&amp;" ضد "&amp;P$190)+COUNTIF($E$4:$E$186,P$190&amp;" ضد "&amp;$A194))</f>
        <v>0</v>
      </c>
      <c r="Q194" s="4">
        <f>IF($A194=Q$190,"",COUNTIF($E$4:$E$186,$A194&amp;" ضد "&amp;Q$190)+COUNTIF($E$4:$E$186,Q$190&amp;" ضد "&amp;$A194))</f>
        <v>0</v>
      </c>
      <c r="R194" s="4">
        <f>IF($A194=R$190,"",COUNTIF($E$4:$E$186,$A194&amp;" ضد "&amp;R$190)+COUNTIF($E$4:$E$186,R$190&amp;" ضد "&amp;$A194))</f>
        <v>0</v>
      </c>
      <c r="S194" s="4">
        <f>IF($A194=S$190,"",COUNTIF($E$4:$E$186,$A194&amp;" ضد "&amp;S$190)+COUNTIF($E$4:$E$186,S$190&amp;" ضد "&amp;$A194))</f>
        <v>0</v>
      </c>
    </row>
    <row r="195" spans="1:19" ht="14.5">
      <c r="A195" s="14">
        <v>5</v>
      </c>
      <c r="B195" s="4">
        <f>IF($A195=B$190,"",COUNTIF($E$4:$E$186,$A195&amp;" ضد "&amp;B$190)+COUNTIF($E$4:$E$186,B$190&amp;" ضد "&amp;$A195))</f>
        <v>4</v>
      </c>
      <c r="C195" s="4">
        <f>IF($A195=C$190,"",COUNTIF($E$4:$E$186,$A195&amp;" ضد "&amp;C$190)+COUNTIF($E$4:$E$186,C$190&amp;" ضد "&amp;$A195))</f>
        <v>4</v>
      </c>
      <c r="D195" s="4">
        <f>IF($A195=D$190,"",COUNTIF($E$4:$E$186,$A195&amp;" ضد "&amp;D$190)+COUNTIF($E$4:$E$186,D$190&amp;" ضد "&amp;$A195))</f>
        <v>4</v>
      </c>
      <c r="E195" s="4">
        <f>IF($A195=E$190,"",COUNTIF($E$4:$E$186,$A195&amp;" ضد "&amp;E$190)+COUNTIF($E$4:$E$186,E$190&amp;" ضد "&amp;$A195))</f>
        <v>4</v>
      </c>
      <c r="F195" s="4" t="str">
        <f>IF($A195=F$190,"",COUNTIF($E$4:$E$186,$A195&amp;" ضد "&amp;F$190)+COUNTIF($E$4:$E$186,F$190&amp;" ضد "&amp;$A195))</f>
        <v/>
      </c>
      <c r="G195" s="4">
        <f>IF($A195=G$190,"",COUNTIF($E$4:$E$186,$A195&amp;" ضد "&amp;G$190)+COUNTIF($E$4:$E$186,G$190&amp;" ضد "&amp;$A195))</f>
        <v>4</v>
      </c>
      <c r="H195" s="4">
        <f>IF($A195=H$190,"",COUNTIF($E$4:$E$186,$A195&amp;" ضد "&amp;H$190)+COUNTIF($E$4:$E$186,H$190&amp;" ضد "&amp;$A195))</f>
        <v>0</v>
      </c>
      <c r="I195" s="4">
        <f>IF($A195=I$190,"",COUNTIF($E$4:$E$186,$A195&amp;" ضد "&amp;I$190)+COUNTIF($E$4:$E$186,I$190&amp;" ضد "&amp;$A195))</f>
        <v>0</v>
      </c>
      <c r="J195" s="4">
        <f>IF($A195=J$190,"",COUNTIF($E$4:$E$186,$A195&amp;" ضد "&amp;J$190)+COUNTIF($E$4:$E$186,J$190&amp;" ضد "&amp;$A195))</f>
        <v>0</v>
      </c>
      <c r="K195" s="4">
        <f>IF($A195=K$190,"",COUNTIF($E$4:$E$186,$A195&amp;" ضد "&amp;K$190)+COUNTIF($E$4:$E$186,K$190&amp;" ضد "&amp;$A195))</f>
        <v>0</v>
      </c>
      <c r="L195" s="4">
        <f>IF($A195=L$190,"",COUNTIF($E$4:$E$186,$A195&amp;" ضد "&amp;L$190)+COUNTIF($E$4:$E$186,L$190&amp;" ضد "&amp;$A195))</f>
        <v>0</v>
      </c>
      <c r="M195" s="4">
        <f>IF($A195=M$190,"",COUNTIF($E$4:$E$186,$A195&amp;" ضد "&amp;M$190)+COUNTIF($E$4:$E$186,M$190&amp;" ضد "&amp;$A195))</f>
        <v>0</v>
      </c>
      <c r="N195" s="4">
        <f>IF($A195=N$190,"",COUNTIF($E$4:$E$186,$A195&amp;" ضد "&amp;N$190)+COUNTIF($E$4:$E$186,N$190&amp;" ضد "&amp;$A195))</f>
        <v>0</v>
      </c>
      <c r="O195" s="4">
        <f>IF($A195=O$190,"",COUNTIF($E$4:$E$186,$A195&amp;" ضد "&amp;O$190)+COUNTIF($E$4:$E$186,O$190&amp;" ضد "&amp;$A195))</f>
        <v>0</v>
      </c>
      <c r="P195" s="4">
        <f>IF($A195=P$190,"",COUNTIF($E$4:$E$186,$A195&amp;" ضد "&amp;P$190)+COUNTIF($E$4:$E$186,P$190&amp;" ضد "&amp;$A195))</f>
        <v>0</v>
      </c>
      <c r="Q195" s="4">
        <f>IF($A195=Q$190,"",COUNTIF($E$4:$E$186,$A195&amp;" ضد "&amp;Q$190)+COUNTIF($E$4:$E$186,Q$190&amp;" ضد "&amp;$A195))</f>
        <v>0</v>
      </c>
      <c r="R195" s="4">
        <f>IF($A195=R$190,"",COUNTIF($E$4:$E$186,$A195&amp;" ضد "&amp;R$190)+COUNTIF($E$4:$E$186,R$190&amp;" ضد "&amp;$A195))</f>
        <v>0</v>
      </c>
      <c r="S195" s="4">
        <f>IF($A195=S$190,"",COUNTIF($E$4:$E$186,$A195&amp;" ضد "&amp;S$190)+COUNTIF($E$4:$E$186,S$190&amp;" ضد "&amp;$A195))</f>
        <v>0</v>
      </c>
    </row>
    <row r="196" spans="1:19" ht="14.5">
      <c r="A196" s="14">
        <v>6</v>
      </c>
      <c r="B196" s="4">
        <f>IF($A196=B$190,"",COUNTIF($E$4:$E$186,$A196&amp;" ضد "&amp;B$190)+COUNTIF($E$4:$E$186,B$190&amp;" ضد "&amp;$A196))</f>
        <v>4</v>
      </c>
      <c r="C196" s="4">
        <f>IF($A196=C$190,"",COUNTIF($E$4:$E$186,$A196&amp;" ضد "&amp;C$190)+COUNTIF($E$4:$E$186,C$190&amp;" ضد "&amp;$A196))</f>
        <v>4</v>
      </c>
      <c r="D196" s="4">
        <f>IF($A196=D$190,"",COUNTIF($E$4:$E$186,$A196&amp;" ضد "&amp;D$190)+COUNTIF($E$4:$E$186,D$190&amp;" ضد "&amp;$A196))</f>
        <v>4</v>
      </c>
      <c r="E196" s="4">
        <f>IF($A196=E$190,"",COUNTIF($E$4:$E$186,$A196&amp;" ضد "&amp;E$190)+COUNTIF($E$4:$E$186,E$190&amp;" ضد "&amp;$A196))</f>
        <v>4</v>
      </c>
      <c r="F196" s="4">
        <f>IF($A196=F$190,"",COUNTIF($E$4:$E$186,$A196&amp;" ضد "&amp;F$190)+COUNTIF($E$4:$E$186,F$190&amp;" ضد "&amp;$A196))</f>
        <v>4</v>
      </c>
      <c r="G196" s="4" t="str">
        <f>IF($A196=G$190,"",COUNTIF($E$4:$E$186,$A196&amp;" ضد "&amp;G$190)+COUNTIF($E$4:$E$186,G$190&amp;" ضد "&amp;$A196))</f>
        <v/>
      </c>
      <c r="H196" s="4">
        <f>IF($A196=H$190,"",COUNTIF($E$4:$E$186,$A196&amp;" ضد "&amp;H$190)+COUNTIF($E$4:$E$186,H$190&amp;" ضد "&amp;$A196))</f>
        <v>0</v>
      </c>
      <c r="I196" s="4">
        <f>IF($A196=I$190,"",COUNTIF($E$4:$E$186,$A196&amp;" ضد "&amp;I$190)+COUNTIF($E$4:$E$186,I$190&amp;" ضد "&amp;$A196))</f>
        <v>0</v>
      </c>
      <c r="J196" s="4">
        <f>IF($A196=J$190,"",COUNTIF($E$4:$E$186,$A196&amp;" ضد "&amp;J$190)+COUNTIF($E$4:$E$186,J$190&amp;" ضد "&amp;$A196))</f>
        <v>0</v>
      </c>
      <c r="K196" s="4">
        <f>IF($A196=K$190,"",COUNTIF($E$4:$E$186,$A196&amp;" ضد "&amp;K$190)+COUNTIF($E$4:$E$186,K$190&amp;" ضد "&amp;$A196))</f>
        <v>0</v>
      </c>
      <c r="L196" s="4">
        <f>IF($A196=L$190,"",COUNTIF($E$4:$E$186,$A196&amp;" ضد "&amp;L$190)+COUNTIF($E$4:$E$186,L$190&amp;" ضد "&amp;$A196))</f>
        <v>0</v>
      </c>
      <c r="M196" s="4">
        <f>IF($A196=M$190,"",COUNTIF($E$4:$E$186,$A196&amp;" ضد "&amp;M$190)+COUNTIF($E$4:$E$186,M$190&amp;" ضد "&amp;$A196))</f>
        <v>0</v>
      </c>
      <c r="N196" s="4">
        <f>IF($A196=N$190,"",COUNTIF($E$4:$E$186,$A196&amp;" ضد "&amp;N$190)+COUNTIF($E$4:$E$186,N$190&amp;" ضد "&amp;$A196))</f>
        <v>0</v>
      </c>
      <c r="O196" s="4">
        <f>IF($A196=O$190,"",COUNTIF($E$4:$E$186,$A196&amp;" ضد "&amp;O$190)+COUNTIF($E$4:$E$186,O$190&amp;" ضد "&amp;$A196))</f>
        <v>0</v>
      </c>
      <c r="P196" s="4">
        <f>IF($A196=P$190,"",COUNTIF($E$4:$E$186,$A196&amp;" ضد "&amp;P$190)+COUNTIF($E$4:$E$186,P$190&amp;" ضد "&amp;$A196))</f>
        <v>0</v>
      </c>
      <c r="Q196" s="4">
        <f>IF($A196=Q$190,"",COUNTIF($E$4:$E$186,$A196&amp;" ضد "&amp;Q$190)+COUNTIF($E$4:$E$186,Q$190&amp;" ضد "&amp;$A196))</f>
        <v>0</v>
      </c>
      <c r="R196" s="4">
        <f>IF($A196=R$190,"",COUNTIF($E$4:$E$186,$A196&amp;" ضد "&amp;R$190)+COUNTIF($E$4:$E$186,R$190&amp;" ضد "&amp;$A196))</f>
        <v>0</v>
      </c>
      <c r="S196" s="4">
        <f>IF($A196=S$190,"",COUNTIF($E$4:$E$186,$A196&amp;" ضد "&amp;S$190)+COUNTIF($E$4:$E$186,S$190&amp;" ضد "&amp;$A196))</f>
        <v>0</v>
      </c>
    </row>
    <row r="197" spans="1:19" ht="14.5">
      <c r="A197" s="14">
        <v>7</v>
      </c>
      <c r="B197" s="4">
        <f>IF($A197=B$190,"",COUNTIF($E$4:$E$186,$A197&amp;" ضد "&amp;B$190)+COUNTIF($E$4:$E$186,B$190&amp;" ضد "&amp;$A197))</f>
        <v>0</v>
      </c>
      <c r="C197" s="4">
        <f>IF($A197=C$190,"",COUNTIF($E$4:$E$186,$A197&amp;" ضد "&amp;C$190)+COUNTIF($E$4:$E$186,C$190&amp;" ضد "&amp;$A197))</f>
        <v>0</v>
      </c>
      <c r="D197" s="4">
        <f>IF($A197=D$190,"",COUNTIF($E$4:$E$186,$A197&amp;" ضد "&amp;D$190)+COUNTIF($E$4:$E$186,D$190&amp;" ضد "&amp;$A197))</f>
        <v>0</v>
      </c>
      <c r="E197" s="4">
        <f>IF($A197=E$190,"",COUNTIF($E$4:$E$186,$A197&amp;" ضد "&amp;E$190)+COUNTIF($E$4:$E$186,E$190&amp;" ضد "&amp;$A197))</f>
        <v>0</v>
      </c>
      <c r="F197" s="4">
        <f>IF($A197=F$190,"",COUNTIF($E$4:$E$186,$A197&amp;" ضد "&amp;F$190)+COUNTIF($E$4:$E$186,F$190&amp;" ضد "&amp;$A197))</f>
        <v>0</v>
      </c>
      <c r="G197" s="4">
        <f>IF($A197=G$190,"",COUNTIF($E$4:$E$186,$A197&amp;" ضد "&amp;G$190)+COUNTIF($E$4:$E$186,G$190&amp;" ضد "&amp;$A197))</f>
        <v>0</v>
      </c>
      <c r="H197" s="4" t="str">
        <f>IF($A197=H$190,"",COUNTIF($E$4:$E$186,$A197&amp;" ضد "&amp;H$190)+COUNTIF($E$4:$E$186,H$190&amp;" ضد "&amp;$A197))</f>
        <v/>
      </c>
      <c r="I197" s="4">
        <f>IF($A197=I$190,"",COUNTIF($E$4:$E$186,$A197&amp;" ضد "&amp;I$190)+COUNTIF($E$4:$E$186,I$190&amp;" ضد "&amp;$A197))</f>
        <v>4</v>
      </c>
      <c r="J197" s="4">
        <f>IF($A197=J$190,"",COUNTIF($E$4:$E$186,$A197&amp;" ضد "&amp;J$190)+COUNTIF($E$4:$E$186,J$190&amp;" ضد "&amp;$A197))</f>
        <v>4</v>
      </c>
      <c r="K197" s="4">
        <f>IF($A197=K$190,"",COUNTIF($E$4:$E$186,$A197&amp;" ضد "&amp;K$190)+COUNTIF($E$4:$E$186,K$190&amp;" ضد "&amp;$A197))</f>
        <v>4</v>
      </c>
      <c r="L197" s="4">
        <f>IF($A197=L$190,"",COUNTIF($E$4:$E$186,$A197&amp;" ضد "&amp;L$190)+COUNTIF($E$4:$E$186,L$190&amp;" ضد "&amp;$A197))</f>
        <v>4</v>
      </c>
      <c r="M197" s="4">
        <f>IF($A197=M$190,"",COUNTIF($E$4:$E$186,$A197&amp;" ضد "&amp;M$190)+COUNTIF($E$4:$E$186,M$190&amp;" ضد "&amp;$A197))</f>
        <v>4</v>
      </c>
      <c r="N197" s="4">
        <f>IF($A197=N$190,"",COUNTIF($E$4:$E$186,$A197&amp;" ضد "&amp;N$190)+COUNTIF($E$4:$E$186,N$190&amp;" ضد "&amp;$A197))</f>
        <v>0</v>
      </c>
      <c r="O197" s="4">
        <f>IF($A197=O$190,"",COUNTIF($E$4:$E$186,$A197&amp;" ضد "&amp;O$190)+COUNTIF($E$4:$E$186,O$190&amp;" ضد "&amp;$A197))</f>
        <v>0</v>
      </c>
      <c r="P197" s="4">
        <f>IF($A197=P$190,"",COUNTIF($E$4:$E$186,$A197&amp;" ضد "&amp;P$190)+COUNTIF($E$4:$E$186,P$190&amp;" ضد "&amp;$A197))</f>
        <v>0</v>
      </c>
      <c r="Q197" s="4">
        <f>IF($A197=Q$190,"",COUNTIF($E$4:$E$186,$A197&amp;" ضد "&amp;Q$190)+COUNTIF($E$4:$E$186,Q$190&amp;" ضد "&amp;$A197))</f>
        <v>0</v>
      </c>
      <c r="R197" s="4">
        <f>IF($A197=R$190,"",COUNTIF($E$4:$E$186,$A197&amp;" ضد "&amp;R$190)+COUNTIF($E$4:$E$186,R$190&amp;" ضد "&amp;$A197))</f>
        <v>0</v>
      </c>
      <c r="S197" s="4">
        <f>IF($A197=S$190,"",COUNTIF($E$4:$E$186,$A197&amp;" ضد "&amp;S$190)+COUNTIF($E$4:$E$186,S$190&amp;" ضد "&amp;$A197))</f>
        <v>0</v>
      </c>
    </row>
    <row r="198" spans="1:19" ht="14.5">
      <c r="A198" s="14">
        <v>8</v>
      </c>
      <c r="B198" s="4">
        <f>IF($A198=B$190,"",COUNTIF($E$4:$E$186,$A198&amp;" ضد "&amp;B$190)+COUNTIF($E$4:$E$186,B$190&amp;" ضد "&amp;$A198))</f>
        <v>0</v>
      </c>
      <c r="C198" s="4">
        <f>IF($A198=C$190,"",COUNTIF($E$4:$E$186,$A198&amp;" ضد "&amp;C$190)+COUNTIF($E$4:$E$186,C$190&amp;" ضد "&amp;$A198))</f>
        <v>0</v>
      </c>
      <c r="D198" s="4">
        <f>IF($A198=D$190,"",COUNTIF($E$4:$E$186,$A198&amp;" ضد "&amp;D$190)+COUNTIF($E$4:$E$186,D$190&amp;" ضد "&amp;$A198))</f>
        <v>0</v>
      </c>
      <c r="E198" s="4">
        <f>IF($A198=E$190,"",COUNTIF($E$4:$E$186,$A198&amp;" ضد "&amp;E$190)+COUNTIF($E$4:$E$186,E$190&amp;" ضد "&amp;$A198))</f>
        <v>0</v>
      </c>
      <c r="F198" s="4">
        <f>IF($A198=F$190,"",COUNTIF($E$4:$E$186,$A198&amp;" ضد "&amp;F$190)+COUNTIF($E$4:$E$186,F$190&amp;" ضد "&amp;$A198))</f>
        <v>0</v>
      </c>
      <c r="G198" s="4">
        <f>IF($A198=G$190,"",COUNTIF($E$4:$E$186,$A198&amp;" ضد "&amp;G$190)+COUNTIF($E$4:$E$186,G$190&amp;" ضد "&amp;$A198))</f>
        <v>0</v>
      </c>
      <c r="H198" s="4">
        <f>IF($A198=H$190,"",COUNTIF($E$4:$E$186,$A198&amp;" ضد "&amp;H$190)+COUNTIF($E$4:$E$186,H$190&amp;" ضد "&amp;$A198))</f>
        <v>4</v>
      </c>
      <c r="I198" s="4" t="str">
        <f>IF($A198=I$190,"",COUNTIF($E$4:$E$186,$A198&amp;" ضد "&amp;I$190)+COUNTIF($E$4:$E$186,I$190&amp;" ضد "&amp;$A198))</f>
        <v/>
      </c>
      <c r="J198" s="4">
        <f>IF($A198=J$190,"",COUNTIF($E$4:$E$186,$A198&amp;" ضد "&amp;J$190)+COUNTIF($E$4:$E$186,J$190&amp;" ضد "&amp;$A198))</f>
        <v>4</v>
      </c>
      <c r="K198" s="4">
        <f>IF($A198=K$190,"",COUNTIF($E$4:$E$186,$A198&amp;" ضد "&amp;K$190)+COUNTIF($E$4:$E$186,K$190&amp;" ضد "&amp;$A198))</f>
        <v>4</v>
      </c>
      <c r="L198" s="4">
        <f>IF($A198=L$190,"",COUNTIF($E$4:$E$186,$A198&amp;" ضد "&amp;L$190)+COUNTIF($E$4:$E$186,L$190&amp;" ضد "&amp;$A198))</f>
        <v>4</v>
      </c>
      <c r="M198" s="4">
        <f>IF($A198=M$190,"",COUNTIF($E$4:$E$186,$A198&amp;" ضد "&amp;M$190)+COUNTIF($E$4:$E$186,M$190&amp;" ضد "&amp;$A198))</f>
        <v>4</v>
      </c>
      <c r="N198" s="4">
        <f>IF($A198=N$190,"",COUNTIF($E$4:$E$186,$A198&amp;" ضد "&amp;N$190)+COUNTIF($E$4:$E$186,N$190&amp;" ضد "&amp;$A198))</f>
        <v>0</v>
      </c>
      <c r="O198" s="4">
        <f>IF($A198=O$190,"",COUNTIF($E$4:$E$186,$A198&amp;" ضد "&amp;O$190)+COUNTIF($E$4:$E$186,O$190&amp;" ضد "&amp;$A198))</f>
        <v>0</v>
      </c>
      <c r="P198" s="4">
        <f>IF($A198=P$190,"",COUNTIF($E$4:$E$186,$A198&amp;" ضد "&amp;P$190)+COUNTIF($E$4:$E$186,P$190&amp;" ضد "&amp;$A198))</f>
        <v>0</v>
      </c>
      <c r="Q198" s="4">
        <f>IF($A198=Q$190,"",COUNTIF($E$4:$E$186,$A198&amp;" ضد "&amp;Q$190)+COUNTIF($E$4:$E$186,Q$190&amp;" ضد "&amp;$A198))</f>
        <v>0</v>
      </c>
      <c r="R198" s="4">
        <f>IF($A198=R$190,"",COUNTIF($E$4:$E$186,$A198&amp;" ضد "&amp;R$190)+COUNTIF($E$4:$E$186,R$190&amp;" ضد "&amp;$A198))</f>
        <v>0</v>
      </c>
      <c r="S198" s="4">
        <f>IF($A198=S$190,"",COUNTIF($E$4:$E$186,$A198&amp;" ضد "&amp;S$190)+COUNTIF($E$4:$E$186,S$190&amp;" ضد "&amp;$A198))</f>
        <v>0</v>
      </c>
    </row>
    <row r="199" spans="1:19" ht="14.5">
      <c r="A199" s="14">
        <v>9</v>
      </c>
      <c r="B199" s="4">
        <f>IF($A199=B$190,"",COUNTIF($E$4:$E$186,$A199&amp;" ضد "&amp;B$190)+COUNTIF($E$4:$E$186,B$190&amp;" ضد "&amp;$A199))</f>
        <v>0</v>
      </c>
      <c r="C199" s="4">
        <f>IF($A199=C$190,"",COUNTIF($E$4:$E$186,$A199&amp;" ضد "&amp;C$190)+COUNTIF($E$4:$E$186,C$190&amp;" ضد "&amp;$A199))</f>
        <v>0</v>
      </c>
      <c r="D199" s="4">
        <f>IF($A199=D$190,"",COUNTIF($E$4:$E$186,$A199&amp;" ضد "&amp;D$190)+COUNTIF($E$4:$E$186,D$190&amp;" ضد "&amp;$A199))</f>
        <v>0</v>
      </c>
      <c r="E199" s="4">
        <f>IF($A199=E$190,"",COUNTIF($E$4:$E$186,$A199&amp;" ضد "&amp;E$190)+COUNTIF($E$4:$E$186,E$190&amp;" ضد "&amp;$A199))</f>
        <v>0</v>
      </c>
      <c r="F199" s="4">
        <f>IF($A199=F$190,"",COUNTIF($E$4:$E$186,$A199&amp;" ضد "&amp;F$190)+COUNTIF($E$4:$E$186,F$190&amp;" ضد "&amp;$A199))</f>
        <v>0</v>
      </c>
      <c r="G199" s="4">
        <f>IF($A199=G$190,"",COUNTIF($E$4:$E$186,$A199&amp;" ضد "&amp;G$190)+COUNTIF($E$4:$E$186,G$190&amp;" ضد "&amp;$A199))</f>
        <v>0</v>
      </c>
      <c r="H199" s="4">
        <f>IF($A199=H$190,"",COUNTIF($E$4:$E$186,$A199&amp;" ضد "&amp;H$190)+COUNTIF($E$4:$E$186,H$190&amp;" ضد "&amp;$A199))</f>
        <v>4</v>
      </c>
      <c r="I199" s="4">
        <f>IF($A199=I$190,"",COUNTIF($E$4:$E$186,$A199&amp;" ضد "&amp;I$190)+COUNTIF($E$4:$E$186,I$190&amp;" ضد "&amp;$A199))</f>
        <v>4</v>
      </c>
      <c r="J199" s="4" t="str">
        <f>IF($A199=J$190,"",COUNTIF($E$4:$E$186,$A199&amp;" ضد "&amp;J$190)+COUNTIF($E$4:$E$186,J$190&amp;" ضد "&amp;$A199))</f>
        <v/>
      </c>
      <c r="K199" s="4">
        <f>IF($A199=K$190,"",COUNTIF($E$4:$E$186,$A199&amp;" ضد "&amp;K$190)+COUNTIF($E$4:$E$186,K$190&amp;" ضد "&amp;$A199))</f>
        <v>4</v>
      </c>
      <c r="L199" s="4">
        <f>IF($A199=L$190,"",COUNTIF($E$4:$E$186,$A199&amp;" ضد "&amp;L$190)+COUNTIF($E$4:$E$186,L$190&amp;" ضد "&amp;$A199))</f>
        <v>4</v>
      </c>
      <c r="M199" s="4">
        <f>IF($A199=M$190,"",COUNTIF($E$4:$E$186,$A199&amp;" ضد "&amp;M$190)+COUNTIF($E$4:$E$186,M$190&amp;" ضد "&amp;$A199))</f>
        <v>4</v>
      </c>
      <c r="N199" s="4">
        <f>IF($A199=N$190,"",COUNTIF($E$4:$E$186,$A199&amp;" ضد "&amp;N$190)+COUNTIF($E$4:$E$186,N$190&amp;" ضد "&amp;$A199))</f>
        <v>0</v>
      </c>
      <c r="O199" s="4">
        <f>IF($A199=O$190,"",COUNTIF($E$4:$E$186,$A199&amp;" ضد "&amp;O$190)+COUNTIF($E$4:$E$186,O$190&amp;" ضد "&amp;$A199))</f>
        <v>0</v>
      </c>
      <c r="P199" s="4">
        <f>IF($A199=P$190,"",COUNTIF($E$4:$E$186,$A199&amp;" ضد "&amp;P$190)+COUNTIF($E$4:$E$186,P$190&amp;" ضد "&amp;$A199))</f>
        <v>0</v>
      </c>
      <c r="Q199" s="4">
        <f>IF($A199=Q$190,"",COUNTIF($E$4:$E$186,$A199&amp;" ضد "&amp;Q$190)+COUNTIF($E$4:$E$186,Q$190&amp;" ضد "&amp;$A199))</f>
        <v>0</v>
      </c>
      <c r="R199" s="4">
        <f>IF($A199=R$190,"",COUNTIF($E$4:$E$186,$A199&amp;" ضد "&amp;R$190)+COUNTIF($E$4:$E$186,R$190&amp;" ضد "&amp;$A199))</f>
        <v>0</v>
      </c>
      <c r="S199" s="4">
        <f>IF($A199=S$190,"",COUNTIF($E$4:$E$186,$A199&amp;" ضد "&amp;S$190)+COUNTIF($E$4:$E$186,S$190&amp;" ضد "&amp;$A199))</f>
        <v>0</v>
      </c>
    </row>
    <row r="200" spans="1:19" ht="14.5">
      <c r="A200" s="14">
        <v>10</v>
      </c>
      <c r="B200" s="4">
        <f>IF($A200=B$190,"",COUNTIF($E$4:$E$186,$A200&amp;" ضد "&amp;B$190)+COUNTIF($E$4:$E$186,B$190&amp;" ضد "&amp;$A200))</f>
        <v>0</v>
      </c>
      <c r="C200" s="4">
        <f>IF($A200=C$190,"",COUNTIF($E$4:$E$186,$A200&amp;" ضد "&amp;C$190)+COUNTIF($E$4:$E$186,C$190&amp;" ضد "&amp;$A200))</f>
        <v>0</v>
      </c>
      <c r="D200" s="4">
        <f>IF($A200=D$190,"",COUNTIF($E$4:$E$186,$A200&amp;" ضد "&amp;D$190)+COUNTIF($E$4:$E$186,D$190&amp;" ضد "&amp;$A200))</f>
        <v>0</v>
      </c>
      <c r="E200" s="4">
        <f>IF($A200=E$190,"",COUNTIF($E$4:$E$186,$A200&amp;" ضد "&amp;E$190)+COUNTIF($E$4:$E$186,E$190&amp;" ضد "&amp;$A200))</f>
        <v>0</v>
      </c>
      <c r="F200" s="4">
        <f>IF($A200=F$190,"",COUNTIF($E$4:$E$186,$A200&amp;" ضد "&amp;F$190)+COUNTIF($E$4:$E$186,F$190&amp;" ضد "&amp;$A200))</f>
        <v>0</v>
      </c>
      <c r="G200" s="4">
        <f>IF($A200=G$190,"",COUNTIF($E$4:$E$186,$A200&amp;" ضد "&amp;G$190)+COUNTIF($E$4:$E$186,G$190&amp;" ضد "&amp;$A200))</f>
        <v>0</v>
      </c>
      <c r="H200" s="4">
        <f>IF($A200=H$190,"",COUNTIF($E$4:$E$186,$A200&amp;" ضد "&amp;H$190)+COUNTIF($E$4:$E$186,H$190&amp;" ضد "&amp;$A200))</f>
        <v>4</v>
      </c>
      <c r="I200" s="4">
        <f>IF($A200=I$190,"",COUNTIF($E$4:$E$186,$A200&amp;" ضد "&amp;I$190)+COUNTIF($E$4:$E$186,I$190&amp;" ضد "&amp;$A200))</f>
        <v>4</v>
      </c>
      <c r="J200" s="4">
        <f>IF($A200=J$190,"",COUNTIF($E$4:$E$186,$A200&amp;" ضد "&amp;J$190)+COUNTIF($E$4:$E$186,J$190&amp;" ضد "&amp;$A200))</f>
        <v>4</v>
      </c>
      <c r="K200" s="4" t="str">
        <f>IF($A200=K$190,"",COUNTIF($E$4:$E$186,$A200&amp;" ضد "&amp;K$190)+COUNTIF($E$4:$E$186,K$190&amp;" ضد "&amp;$A200))</f>
        <v/>
      </c>
      <c r="L200" s="4">
        <f>IF($A200=L$190,"",COUNTIF($E$4:$E$186,$A200&amp;" ضد "&amp;L$190)+COUNTIF($E$4:$E$186,L$190&amp;" ضد "&amp;$A200))</f>
        <v>4</v>
      </c>
      <c r="M200" s="4">
        <f>IF($A200=M$190,"",COUNTIF($E$4:$E$186,$A200&amp;" ضد "&amp;M$190)+COUNTIF($E$4:$E$186,M$190&amp;" ضد "&amp;$A200))</f>
        <v>4</v>
      </c>
      <c r="N200" s="4">
        <f>IF($A200=N$190,"",COUNTIF($E$4:$E$186,$A200&amp;" ضد "&amp;N$190)+COUNTIF($E$4:$E$186,N$190&amp;" ضد "&amp;$A200))</f>
        <v>0</v>
      </c>
      <c r="O200" s="4">
        <f>IF($A200=O$190,"",COUNTIF($E$4:$E$186,$A200&amp;" ضد "&amp;O$190)+COUNTIF($E$4:$E$186,O$190&amp;" ضد "&amp;$A200))</f>
        <v>0</v>
      </c>
      <c r="P200" s="4">
        <f>IF($A200=P$190,"",COUNTIF($E$4:$E$186,$A200&amp;" ضد "&amp;P$190)+COUNTIF($E$4:$E$186,P$190&amp;" ضد "&amp;$A200))</f>
        <v>0</v>
      </c>
      <c r="Q200" s="4">
        <f>IF($A200=Q$190,"",COUNTIF($E$4:$E$186,$A200&amp;" ضد "&amp;Q$190)+COUNTIF($E$4:$E$186,Q$190&amp;" ضد "&amp;$A200))</f>
        <v>0</v>
      </c>
      <c r="R200" s="4">
        <f>IF($A200=R$190,"",COUNTIF($E$4:$E$186,$A200&amp;" ضد "&amp;R$190)+COUNTIF($E$4:$E$186,R$190&amp;" ضد "&amp;$A200))</f>
        <v>0</v>
      </c>
      <c r="S200" s="4">
        <f>IF($A200=S$190,"",COUNTIF($E$4:$E$186,$A200&amp;" ضد "&amp;S$190)+COUNTIF($E$4:$E$186,S$190&amp;" ضد "&amp;$A200))</f>
        <v>0</v>
      </c>
    </row>
    <row r="201" spans="1:19" ht="14.5">
      <c r="A201" s="14">
        <v>11</v>
      </c>
      <c r="B201" s="4">
        <f>IF($A201=B$190,"",COUNTIF($E$4:$E$186,$A201&amp;" ضد "&amp;B$190)+COUNTIF($E$4:$E$186,B$190&amp;" ضد "&amp;$A201))</f>
        <v>0</v>
      </c>
      <c r="C201" s="4">
        <f>IF($A201=C$190,"",COUNTIF($E$4:$E$186,$A201&amp;" ضد "&amp;C$190)+COUNTIF($E$4:$E$186,C$190&amp;" ضد "&amp;$A201))</f>
        <v>0</v>
      </c>
      <c r="D201" s="4">
        <f>IF($A201=D$190,"",COUNTIF($E$4:$E$186,$A201&amp;" ضد "&amp;D$190)+COUNTIF($E$4:$E$186,D$190&amp;" ضد "&amp;$A201))</f>
        <v>0</v>
      </c>
      <c r="E201" s="4">
        <f>IF($A201=E$190,"",COUNTIF($E$4:$E$186,$A201&amp;" ضد "&amp;E$190)+COUNTIF($E$4:$E$186,E$190&amp;" ضد "&amp;$A201))</f>
        <v>0</v>
      </c>
      <c r="F201" s="4">
        <f>IF($A201=F$190,"",COUNTIF($E$4:$E$186,$A201&amp;" ضد "&amp;F$190)+COUNTIF($E$4:$E$186,F$190&amp;" ضد "&amp;$A201))</f>
        <v>0</v>
      </c>
      <c r="G201" s="4">
        <f>IF($A201=G$190,"",COUNTIF($E$4:$E$186,$A201&amp;" ضد "&amp;G$190)+COUNTIF($E$4:$E$186,G$190&amp;" ضد "&amp;$A201))</f>
        <v>0</v>
      </c>
      <c r="H201" s="4">
        <f>IF($A201=H$190,"",COUNTIF($E$4:$E$186,$A201&amp;" ضد "&amp;H$190)+COUNTIF($E$4:$E$186,H$190&amp;" ضد "&amp;$A201))</f>
        <v>4</v>
      </c>
      <c r="I201" s="4">
        <f>IF($A201=I$190,"",COUNTIF($E$4:$E$186,$A201&amp;" ضد "&amp;I$190)+COUNTIF($E$4:$E$186,I$190&amp;" ضد "&amp;$A201))</f>
        <v>4</v>
      </c>
      <c r="J201" s="4">
        <f>IF($A201=J$190,"",COUNTIF($E$4:$E$186,$A201&amp;" ضد "&amp;J$190)+COUNTIF($E$4:$E$186,J$190&amp;" ضد "&amp;$A201))</f>
        <v>4</v>
      </c>
      <c r="K201" s="4">
        <f>IF($A201=K$190,"",COUNTIF($E$4:$E$186,$A201&amp;" ضد "&amp;K$190)+COUNTIF($E$4:$E$186,K$190&amp;" ضد "&amp;$A201))</f>
        <v>4</v>
      </c>
      <c r="L201" s="4" t="str">
        <f>IF($A201=L$190,"",COUNTIF($E$4:$E$186,$A201&amp;" ضد "&amp;L$190)+COUNTIF($E$4:$E$186,L$190&amp;" ضد "&amp;$A201))</f>
        <v/>
      </c>
      <c r="M201" s="4">
        <f>IF($A201=M$190,"",COUNTIF($E$4:$E$186,$A201&amp;" ضد "&amp;M$190)+COUNTIF($E$4:$E$186,M$190&amp;" ضد "&amp;$A201))</f>
        <v>4</v>
      </c>
      <c r="N201" s="4">
        <f>IF($A201=N$190,"",COUNTIF($E$4:$E$186,$A201&amp;" ضد "&amp;N$190)+COUNTIF($E$4:$E$186,N$190&amp;" ضد "&amp;$A201))</f>
        <v>0</v>
      </c>
      <c r="O201" s="4">
        <f>IF($A201=O$190,"",COUNTIF($E$4:$E$186,$A201&amp;" ضد "&amp;O$190)+COUNTIF($E$4:$E$186,O$190&amp;" ضد "&amp;$A201))</f>
        <v>0</v>
      </c>
      <c r="P201" s="4">
        <f>IF($A201=P$190,"",COUNTIF($E$4:$E$186,$A201&amp;" ضد "&amp;P$190)+COUNTIF($E$4:$E$186,P$190&amp;" ضد "&amp;$A201))</f>
        <v>0</v>
      </c>
      <c r="Q201" s="4">
        <f>IF($A201=Q$190,"",COUNTIF($E$4:$E$186,$A201&amp;" ضد "&amp;Q$190)+COUNTIF($E$4:$E$186,Q$190&amp;" ضد "&amp;$A201))</f>
        <v>0</v>
      </c>
      <c r="R201" s="4">
        <f>IF($A201=R$190,"",COUNTIF($E$4:$E$186,$A201&amp;" ضد "&amp;R$190)+COUNTIF($E$4:$E$186,R$190&amp;" ضد "&amp;$A201))</f>
        <v>0</v>
      </c>
      <c r="S201" s="4">
        <f>IF($A201=S$190,"",COUNTIF($E$4:$E$186,$A201&amp;" ضد "&amp;S$190)+COUNTIF($E$4:$E$186,S$190&amp;" ضد "&amp;$A201))</f>
        <v>0</v>
      </c>
    </row>
    <row r="202" spans="1:19" ht="14.5">
      <c r="A202" s="14">
        <v>12</v>
      </c>
      <c r="B202" s="4">
        <f>IF($A202=B$190,"",COUNTIF($E$4:$E$186,$A202&amp;" ضد "&amp;B$190)+COUNTIF($E$4:$E$186,B$190&amp;" ضد "&amp;$A202))</f>
        <v>0</v>
      </c>
      <c r="C202" s="4">
        <f>IF($A202=C$190,"",COUNTIF($E$4:$E$186,$A202&amp;" ضد "&amp;C$190)+COUNTIF($E$4:$E$186,C$190&amp;" ضد "&amp;$A202))</f>
        <v>0</v>
      </c>
      <c r="D202" s="4">
        <f>IF($A202=D$190,"",COUNTIF($E$4:$E$186,$A202&amp;" ضد "&amp;D$190)+COUNTIF($E$4:$E$186,D$190&amp;" ضد "&amp;$A202))</f>
        <v>0</v>
      </c>
      <c r="E202" s="4">
        <f>IF($A202=E$190,"",COUNTIF($E$4:$E$186,$A202&amp;" ضد "&amp;E$190)+COUNTIF($E$4:$E$186,E$190&amp;" ضد "&amp;$A202))</f>
        <v>0</v>
      </c>
      <c r="F202" s="4">
        <f>IF($A202=F$190,"",COUNTIF($E$4:$E$186,$A202&amp;" ضد "&amp;F$190)+COUNTIF($E$4:$E$186,F$190&amp;" ضد "&amp;$A202))</f>
        <v>0</v>
      </c>
      <c r="G202" s="4">
        <f>IF($A202=G$190,"",COUNTIF($E$4:$E$186,$A202&amp;" ضد "&amp;G$190)+COUNTIF($E$4:$E$186,G$190&amp;" ضد "&amp;$A202))</f>
        <v>0</v>
      </c>
      <c r="H202" s="4">
        <f>IF($A202=H$190,"",COUNTIF($E$4:$E$186,$A202&amp;" ضد "&amp;H$190)+COUNTIF($E$4:$E$186,H$190&amp;" ضد "&amp;$A202))</f>
        <v>4</v>
      </c>
      <c r="I202" s="4">
        <f>IF($A202=I$190,"",COUNTIF($E$4:$E$186,$A202&amp;" ضد "&amp;I$190)+COUNTIF($E$4:$E$186,I$190&amp;" ضد "&amp;$A202))</f>
        <v>4</v>
      </c>
      <c r="J202" s="4">
        <f>IF($A202=J$190,"",COUNTIF($E$4:$E$186,$A202&amp;" ضد "&amp;J$190)+COUNTIF($E$4:$E$186,J$190&amp;" ضد "&amp;$A202))</f>
        <v>4</v>
      </c>
      <c r="K202" s="4">
        <f>IF($A202=K$190,"",COUNTIF($E$4:$E$186,$A202&amp;" ضد "&amp;K$190)+COUNTIF($E$4:$E$186,K$190&amp;" ضد "&amp;$A202))</f>
        <v>4</v>
      </c>
      <c r="L202" s="4">
        <f>IF($A202=L$190,"",COUNTIF($E$4:$E$186,$A202&amp;" ضد "&amp;L$190)+COUNTIF($E$4:$E$186,L$190&amp;" ضد "&amp;$A202))</f>
        <v>4</v>
      </c>
      <c r="M202" s="4" t="str">
        <f>IF($A202=M$190,"",COUNTIF($E$4:$E$186,$A202&amp;" ضد "&amp;M$190)+COUNTIF($E$4:$E$186,M$190&amp;" ضد "&amp;$A202))</f>
        <v/>
      </c>
      <c r="N202" s="4">
        <f>IF($A202=N$190,"",COUNTIF($E$4:$E$186,$A202&amp;" ضد "&amp;N$190)+COUNTIF($E$4:$E$186,N$190&amp;" ضد "&amp;$A202))</f>
        <v>0</v>
      </c>
      <c r="O202" s="4">
        <f>IF($A202=O$190,"",COUNTIF($E$4:$E$186,$A202&amp;" ضد "&amp;O$190)+COUNTIF($E$4:$E$186,O$190&amp;" ضد "&amp;$A202))</f>
        <v>0</v>
      </c>
      <c r="P202" s="4">
        <f>IF($A202=P$190,"",COUNTIF($E$4:$E$186,$A202&amp;" ضد "&amp;P$190)+COUNTIF($E$4:$E$186,P$190&amp;" ضد "&amp;$A202))</f>
        <v>0</v>
      </c>
      <c r="Q202" s="4">
        <f>IF($A202=Q$190,"",COUNTIF($E$4:$E$186,$A202&amp;" ضد "&amp;Q$190)+COUNTIF($E$4:$E$186,Q$190&amp;" ضد "&amp;$A202))</f>
        <v>0</v>
      </c>
      <c r="R202" s="4">
        <f>IF($A202=R$190,"",COUNTIF($E$4:$E$186,$A202&amp;" ضد "&amp;R$190)+COUNTIF($E$4:$E$186,R$190&amp;" ضد "&amp;$A202))</f>
        <v>0</v>
      </c>
      <c r="S202" s="4">
        <f>IF($A202=S$190,"",COUNTIF($E$4:$E$186,$A202&amp;" ضد "&amp;S$190)+COUNTIF($E$4:$E$186,S$190&amp;" ضد "&amp;$A202))</f>
        <v>0</v>
      </c>
    </row>
    <row r="203" spans="1:19" ht="14.5">
      <c r="A203" s="14">
        <v>13</v>
      </c>
      <c r="B203" s="4">
        <f>IF($A203=B$190,"",COUNTIF($E$4:$E$186,$A203&amp;" ضد "&amp;B$190)+COUNTIF($E$4:$E$186,B$190&amp;" ضد "&amp;$A203))</f>
        <v>0</v>
      </c>
      <c r="C203" s="4">
        <f>IF($A203=C$190,"",COUNTIF($E$4:$E$186,$A203&amp;" ضد "&amp;C$190)+COUNTIF($E$4:$E$186,C$190&amp;" ضد "&amp;$A203))</f>
        <v>0</v>
      </c>
      <c r="D203" s="4">
        <f>IF($A203=D$190,"",COUNTIF($E$4:$E$186,$A203&amp;" ضد "&amp;D$190)+COUNTIF($E$4:$E$186,D$190&amp;" ضد "&amp;$A203))</f>
        <v>0</v>
      </c>
      <c r="E203" s="4">
        <f>IF($A203=E$190,"",COUNTIF($E$4:$E$186,$A203&amp;" ضد "&amp;E$190)+COUNTIF($E$4:$E$186,E$190&amp;" ضد "&amp;$A203))</f>
        <v>0</v>
      </c>
      <c r="F203" s="4">
        <f>IF($A203=F$190,"",COUNTIF($E$4:$E$186,$A203&amp;" ضد "&amp;F$190)+COUNTIF($E$4:$E$186,F$190&amp;" ضد "&amp;$A203))</f>
        <v>0</v>
      </c>
      <c r="G203" s="4">
        <f>IF($A203=G$190,"",COUNTIF($E$4:$E$186,$A203&amp;" ضد "&amp;G$190)+COUNTIF($E$4:$E$186,G$190&amp;" ضد "&amp;$A203))</f>
        <v>0</v>
      </c>
      <c r="H203" s="4">
        <f>IF($A203=H$190,"",COUNTIF($E$4:$E$186,$A203&amp;" ضد "&amp;H$190)+COUNTIF($E$4:$E$186,H$190&amp;" ضد "&amp;$A203))</f>
        <v>0</v>
      </c>
      <c r="I203" s="4">
        <f>IF($A203=I$190,"",COUNTIF($E$4:$E$186,$A203&amp;" ضد "&amp;I$190)+COUNTIF($E$4:$E$186,I$190&amp;" ضد "&amp;$A203))</f>
        <v>0</v>
      </c>
      <c r="J203" s="4">
        <f>IF($A203=J$190,"",COUNTIF($E$4:$E$186,$A203&amp;" ضد "&amp;J$190)+COUNTIF($E$4:$E$186,J$190&amp;" ضد "&amp;$A203))</f>
        <v>0</v>
      </c>
      <c r="K203" s="4">
        <f>IF($A203=K$190,"",COUNTIF($E$4:$E$186,$A203&amp;" ضد "&amp;K$190)+COUNTIF($E$4:$E$186,K$190&amp;" ضد "&amp;$A203))</f>
        <v>0</v>
      </c>
      <c r="L203" s="4">
        <f>IF($A203=L$190,"",COUNTIF($E$4:$E$186,$A203&amp;" ضد "&amp;L$190)+COUNTIF($E$4:$E$186,L$190&amp;" ضد "&amp;$A203))</f>
        <v>0</v>
      </c>
      <c r="M203" s="4">
        <f>IF($A203=M$190,"",COUNTIF($E$4:$E$186,$A203&amp;" ضد "&amp;M$190)+COUNTIF($E$4:$E$186,M$190&amp;" ضد "&amp;$A203))</f>
        <v>0</v>
      </c>
      <c r="N203" s="4" t="str">
        <f>IF($A203=N$190,"",COUNTIF($E$4:$E$186,$A203&amp;" ضد "&amp;N$190)+COUNTIF($E$4:$E$186,N$190&amp;" ضد "&amp;$A203))</f>
        <v/>
      </c>
      <c r="O203" s="4">
        <f>IF($A203=O$190,"",COUNTIF($E$4:$E$186,$A203&amp;" ضد "&amp;O$190)+COUNTIF($E$4:$E$186,O$190&amp;" ضد "&amp;$A203))</f>
        <v>4</v>
      </c>
      <c r="P203" s="4">
        <f>IF($A203=P$190,"",COUNTIF($E$4:$E$186,$A203&amp;" ضد "&amp;P$190)+COUNTIF($E$4:$E$186,P$190&amp;" ضد "&amp;$A203))</f>
        <v>4</v>
      </c>
      <c r="Q203" s="4">
        <f>IF($A203=Q$190,"",COUNTIF($E$4:$E$186,$A203&amp;" ضد "&amp;Q$190)+COUNTIF($E$4:$E$186,Q$190&amp;" ضد "&amp;$A203))</f>
        <v>4</v>
      </c>
      <c r="R203" s="4">
        <f>IF($A203=R$190,"",COUNTIF($E$4:$E$186,$A203&amp;" ضد "&amp;R$190)+COUNTIF($E$4:$E$186,R$190&amp;" ضد "&amp;$A203))</f>
        <v>4</v>
      </c>
      <c r="S203" s="4">
        <f>IF($A203=S$190,"",COUNTIF($E$4:$E$186,$A203&amp;" ضد "&amp;S$190)+COUNTIF($E$4:$E$186,S$190&amp;" ضد "&amp;$A203))</f>
        <v>4</v>
      </c>
    </row>
    <row r="204" spans="1:19" ht="14.5">
      <c r="A204" s="14">
        <v>14</v>
      </c>
      <c r="B204" s="4">
        <f>IF($A204=B$190,"",COUNTIF($E$4:$E$186,$A204&amp;" ضد "&amp;B$190)+COUNTIF($E$4:$E$186,B$190&amp;" ضد "&amp;$A204))</f>
        <v>0</v>
      </c>
      <c r="C204" s="4">
        <f>IF($A204=C$190,"",COUNTIF($E$4:$E$186,$A204&amp;" ضد "&amp;C$190)+COUNTIF($E$4:$E$186,C$190&amp;" ضد "&amp;$A204))</f>
        <v>0</v>
      </c>
      <c r="D204" s="4">
        <f>IF($A204=D$190,"",COUNTIF($E$4:$E$186,$A204&amp;" ضد "&amp;D$190)+COUNTIF($E$4:$E$186,D$190&amp;" ضد "&amp;$A204))</f>
        <v>0</v>
      </c>
      <c r="E204" s="4">
        <f>IF($A204=E$190,"",COUNTIF($E$4:$E$186,$A204&amp;" ضد "&amp;E$190)+COUNTIF($E$4:$E$186,E$190&amp;" ضد "&amp;$A204))</f>
        <v>0</v>
      </c>
      <c r="F204" s="4">
        <f>IF($A204=F$190,"",COUNTIF($E$4:$E$186,$A204&amp;" ضد "&amp;F$190)+COUNTIF($E$4:$E$186,F$190&amp;" ضد "&amp;$A204))</f>
        <v>0</v>
      </c>
      <c r="G204" s="4">
        <f>IF($A204=G$190,"",COUNTIF($E$4:$E$186,$A204&amp;" ضد "&amp;G$190)+COUNTIF($E$4:$E$186,G$190&amp;" ضد "&amp;$A204))</f>
        <v>0</v>
      </c>
      <c r="H204" s="4">
        <f>IF($A204=H$190,"",COUNTIF($E$4:$E$186,$A204&amp;" ضد "&amp;H$190)+COUNTIF($E$4:$E$186,H$190&amp;" ضد "&amp;$A204))</f>
        <v>0</v>
      </c>
      <c r="I204" s="4">
        <f>IF($A204=I$190,"",COUNTIF($E$4:$E$186,$A204&amp;" ضد "&amp;I$190)+COUNTIF($E$4:$E$186,I$190&amp;" ضد "&amp;$A204))</f>
        <v>0</v>
      </c>
      <c r="J204" s="4">
        <f>IF($A204=J$190,"",COUNTIF($E$4:$E$186,$A204&amp;" ضد "&amp;J$190)+COUNTIF($E$4:$E$186,J$190&amp;" ضد "&amp;$A204))</f>
        <v>0</v>
      </c>
      <c r="K204" s="4">
        <f>IF($A204=K$190,"",COUNTIF($E$4:$E$186,$A204&amp;" ضد "&amp;K$190)+COUNTIF($E$4:$E$186,K$190&amp;" ضد "&amp;$A204))</f>
        <v>0</v>
      </c>
      <c r="L204" s="4">
        <f>IF($A204=L$190,"",COUNTIF($E$4:$E$186,$A204&amp;" ضد "&amp;L$190)+COUNTIF($E$4:$E$186,L$190&amp;" ضد "&amp;$A204))</f>
        <v>0</v>
      </c>
      <c r="M204" s="4">
        <f>IF($A204=M$190,"",COUNTIF($E$4:$E$186,$A204&amp;" ضد "&amp;M$190)+COUNTIF($E$4:$E$186,M$190&amp;" ضد "&amp;$A204))</f>
        <v>0</v>
      </c>
      <c r="N204" s="4">
        <f>IF($A204=N$190,"",COUNTIF($E$4:$E$186,$A204&amp;" ضد "&amp;N$190)+COUNTIF($E$4:$E$186,N$190&amp;" ضد "&amp;$A204))</f>
        <v>4</v>
      </c>
      <c r="O204" s="4" t="str">
        <f>IF($A204=O$190,"",COUNTIF($E$4:$E$186,$A204&amp;" ضد "&amp;O$190)+COUNTIF($E$4:$E$186,O$190&amp;" ضد "&amp;$A204))</f>
        <v/>
      </c>
      <c r="P204" s="4">
        <f>IF($A204=P$190,"",COUNTIF($E$4:$E$186,$A204&amp;" ضد "&amp;P$190)+COUNTIF($E$4:$E$186,P$190&amp;" ضد "&amp;$A204))</f>
        <v>4</v>
      </c>
      <c r="Q204" s="4">
        <f>IF($A204=Q$190,"",COUNTIF($E$4:$E$186,$A204&amp;" ضد "&amp;Q$190)+COUNTIF($E$4:$E$186,Q$190&amp;" ضد "&amp;$A204))</f>
        <v>4</v>
      </c>
      <c r="R204" s="4">
        <f>IF($A204=R$190,"",COUNTIF($E$4:$E$186,$A204&amp;" ضد "&amp;R$190)+COUNTIF($E$4:$E$186,R$190&amp;" ضد "&amp;$A204))</f>
        <v>4</v>
      </c>
      <c r="S204" s="4">
        <f>IF($A204=S$190,"",COUNTIF($E$4:$E$186,$A204&amp;" ضد "&amp;S$190)+COUNTIF($E$4:$E$186,S$190&amp;" ضد "&amp;$A204))</f>
        <v>4</v>
      </c>
    </row>
    <row r="205" spans="1:19" ht="14.5">
      <c r="A205" s="14">
        <v>15</v>
      </c>
      <c r="B205" s="4">
        <f>IF($A205=B$190,"",COUNTIF($E$4:$E$186,$A205&amp;" ضد "&amp;B$190)+COUNTIF($E$4:$E$186,B$190&amp;" ضد "&amp;$A205))</f>
        <v>0</v>
      </c>
      <c r="C205" s="4">
        <f>IF($A205=C$190,"",COUNTIF($E$4:$E$186,$A205&amp;" ضد "&amp;C$190)+COUNTIF($E$4:$E$186,C$190&amp;" ضد "&amp;$A205))</f>
        <v>0</v>
      </c>
      <c r="D205" s="4">
        <f>IF($A205=D$190,"",COUNTIF($E$4:$E$186,$A205&amp;" ضد "&amp;D$190)+COUNTIF($E$4:$E$186,D$190&amp;" ضد "&amp;$A205))</f>
        <v>0</v>
      </c>
      <c r="E205" s="4">
        <f>IF($A205=E$190,"",COUNTIF($E$4:$E$186,$A205&amp;" ضد "&amp;E$190)+COUNTIF($E$4:$E$186,E$190&amp;" ضد "&amp;$A205))</f>
        <v>0</v>
      </c>
      <c r="F205" s="4">
        <f>IF($A205=F$190,"",COUNTIF($E$4:$E$186,$A205&amp;" ضد "&amp;F$190)+COUNTIF($E$4:$E$186,F$190&amp;" ضد "&amp;$A205))</f>
        <v>0</v>
      </c>
      <c r="G205" s="4">
        <f>IF($A205=G$190,"",COUNTIF($E$4:$E$186,$A205&amp;" ضد "&amp;G$190)+COUNTIF($E$4:$E$186,G$190&amp;" ضد "&amp;$A205))</f>
        <v>0</v>
      </c>
      <c r="H205" s="4">
        <f>IF($A205=H$190,"",COUNTIF($E$4:$E$186,$A205&amp;" ضد "&amp;H$190)+COUNTIF($E$4:$E$186,H$190&amp;" ضد "&amp;$A205))</f>
        <v>0</v>
      </c>
      <c r="I205" s="4">
        <f>IF($A205=I$190,"",COUNTIF($E$4:$E$186,$A205&amp;" ضد "&amp;I$190)+COUNTIF($E$4:$E$186,I$190&amp;" ضد "&amp;$A205))</f>
        <v>0</v>
      </c>
      <c r="J205" s="4">
        <f>IF($A205=J$190,"",COUNTIF($E$4:$E$186,$A205&amp;" ضد "&amp;J$190)+COUNTIF($E$4:$E$186,J$190&amp;" ضد "&amp;$A205))</f>
        <v>0</v>
      </c>
      <c r="K205" s="4">
        <f>IF($A205=K$190,"",COUNTIF($E$4:$E$186,$A205&amp;" ضد "&amp;K$190)+COUNTIF($E$4:$E$186,K$190&amp;" ضد "&amp;$A205))</f>
        <v>0</v>
      </c>
      <c r="L205" s="4">
        <f>IF($A205=L$190,"",COUNTIF($E$4:$E$186,$A205&amp;" ضد "&amp;L$190)+COUNTIF($E$4:$E$186,L$190&amp;" ضد "&amp;$A205))</f>
        <v>0</v>
      </c>
      <c r="M205" s="4">
        <f>IF($A205=M$190,"",COUNTIF($E$4:$E$186,$A205&amp;" ضد "&amp;M$190)+COUNTIF($E$4:$E$186,M$190&amp;" ضد "&amp;$A205))</f>
        <v>0</v>
      </c>
      <c r="N205" s="4">
        <f>IF($A205=N$190,"",COUNTIF($E$4:$E$186,$A205&amp;" ضد "&amp;N$190)+COUNTIF($E$4:$E$186,N$190&amp;" ضد "&amp;$A205))</f>
        <v>4</v>
      </c>
      <c r="O205" s="4">
        <f>IF($A205=O$190,"",COUNTIF($E$4:$E$186,$A205&amp;" ضد "&amp;O$190)+COUNTIF($E$4:$E$186,O$190&amp;" ضد "&amp;$A205))</f>
        <v>4</v>
      </c>
      <c r="P205" s="4" t="str">
        <f>IF($A205=P$190,"",COUNTIF($E$4:$E$186,$A205&amp;" ضد "&amp;P$190)+COUNTIF($E$4:$E$186,P$190&amp;" ضد "&amp;$A205))</f>
        <v/>
      </c>
      <c r="Q205" s="4">
        <f>IF($A205=Q$190,"",COUNTIF($E$4:$E$186,$A205&amp;" ضد "&amp;Q$190)+COUNTIF($E$4:$E$186,Q$190&amp;" ضد "&amp;$A205))</f>
        <v>4</v>
      </c>
      <c r="R205" s="4">
        <f>IF($A205=R$190,"",COUNTIF($E$4:$E$186,$A205&amp;" ضد "&amp;R$190)+COUNTIF($E$4:$E$186,R$190&amp;" ضد "&amp;$A205))</f>
        <v>4</v>
      </c>
      <c r="S205" s="4">
        <f>IF($A205=S$190,"",COUNTIF($E$4:$E$186,$A205&amp;" ضد "&amp;S$190)+COUNTIF($E$4:$E$186,S$190&amp;" ضد "&amp;$A205))</f>
        <v>4</v>
      </c>
    </row>
    <row r="206" spans="1:19" ht="14.5">
      <c r="A206" s="14">
        <v>16</v>
      </c>
      <c r="B206" s="4">
        <f>IF($A206=B$190,"",COUNTIF($E$4:$E$186,$A206&amp;" ضد "&amp;B$190)+COUNTIF($E$4:$E$186,B$190&amp;" ضد "&amp;$A206))</f>
        <v>0</v>
      </c>
      <c r="C206" s="4">
        <f>IF($A206=C$190,"",COUNTIF($E$4:$E$186,$A206&amp;" ضد "&amp;C$190)+COUNTIF($E$4:$E$186,C$190&amp;" ضد "&amp;$A206))</f>
        <v>0</v>
      </c>
      <c r="D206" s="4">
        <f>IF($A206=D$190,"",COUNTIF($E$4:$E$186,$A206&amp;" ضد "&amp;D$190)+COUNTIF($E$4:$E$186,D$190&amp;" ضد "&amp;$A206))</f>
        <v>0</v>
      </c>
      <c r="E206" s="4">
        <f>IF($A206=E$190,"",COUNTIF($E$4:$E$186,$A206&amp;" ضد "&amp;E$190)+COUNTIF($E$4:$E$186,E$190&amp;" ضد "&amp;$A206))</f>
        <v>0</v>
      </c>
      <c r="F206" s="4">
        <f>IF($A206=F$190,"",COUNTIF($E$4:$E$186,$A206&amp;" ضد "&amp;F$190)+COUNTIF($E$4:$E$186,F$190&amp;" ضد "&amp;$A206))</f>
        <v>0</v>
      </c>
      <c r="G206" s="4">
        <f>IF($A206=G$190,"",COUNTIF($E$4:$E$186,$A206&amp;" ضد "&amp;G$190)+COUNTIF($E$4:$E$186,G$190&amp;" ضد "&amp;$A206))</f>
        <v>0</v>
      </c>
      <c r="H206" s="4">
        <f>IF($A206=H$190,"",COUNTIF($E$4:$E$186,$A206&amp;" ضد "&amp;H$190)+COUNTIF($E$4:$E$186,H$190&amp;" ضد "&amp;$A206))</f>
        <v>0</v>
      </c>
      <c r="I206" s="4">
        <f>IF($A206=I$190,"",COUNTIF($E$4:$E$186,$A206&amp;" ضد "&amp;I$190)+COUNTIF($E$4:$E$186,I$190&amp;" ضد "&amp;$A206))</f>
        <v>0</v>
      </c>
      <c r="J206" s="4">
        <f>IF($A206=J$190,"",COUNTIF($E$4:$E$186,$A206&amp;" ضد "&amp;J$190)+COUNTIF($E$4:$E$186,J$190&amp;" ضد "&amp;$A206))</f>
        <v>0</v>
      </c>
      <c r="K206" s="4">
        <f>IF($A206=K$190,"",COUNTIF($E$4:$E$186,$A206&amp;" ضد "&amp;K$190)+COUNTIF($E$4:$E$186,K$190&amp;" ضد "&amp;$A206))</f>
        <v>0</v>
      </c>
      <c r="L206" s="4">
        <f>IF($A206=L$190,"",COUNTIF($E$4:$E$186,$A206&amp;" ضد "&amp;L$190)+COUNTIF($E$4:$E$186,L$190&amp;" ضد "&amp;$A206))</f>
        <v>0</v>
      </c>
      <c r="M206" s="4">
        <f>IF($A206=M$190,"",COUNTIF($E$4:$E$186,$A206&amp;" ضد "&amp;M$190)+COUNTIF($E$4:$E$186,M$190&amp;" ضد "&amp;$A206))</f>
        <v>0</v>
      </c>
      <c r="N206" s="4">
        <f>IF($A206=N$190,"",COUNTIF($E$4:$E$186,$A206&amp;" ضد "&amp;N$190)+COUNTIF($E$4:$E$186,N$190&amp;" ضد "&amp;$A206))</f>
        <v>4</v>
      </c>
      <c r="O206" s="4">
        <f>IF($A206=O$190,"",COUNTIF($E$4:$E$186,$A206&amp;" ضد "&amp;O$190)+COUNTIF($E$4:$E$186,O$190&amp;" ضد "&amp;$A206))</f>
        <v>4</v>
      </c>
      <c r="P206" s="4">
        <f>IF($A206=P$190,"",COUNTIF($E$4:$E$186,$A206&amp;" ضد "&amp;P$190)+COUNTIF($E$4:$E$186,P$190&amp;" ضد "&amp;$A206))</f>
        <v>4</v>
      </c>
      <c r="Q206" s="4" t="str">
        <f>IF($A206=Q$190,"",COUNTIF($E$4:$E$186,$A206&amp;" ضد "&amp;Q$190)+COUNTIF($E$4:$E$186,Q$190&amp;" ضد "&amp;$A206))</f>
        <v/>
      </c>
      <c r="R206" s="4">
        <f>IF($A206=R$190,"",COUNTIF($E$4:$E$186,$A206&amp;" ضد "&amp;R$190)+COUNTIF($E$4:$E$186,R$190&amp;" ضد "&amp;$A206))</f>
        <v>4</v>
      </c>
      <c r="S206" s="4">
        <f>IF($A206=S$190,"",COUNTIF($E$4:$E$186,$A206&amp;" ضد "&amp;S$190)+COUNTIF($E$4:$E$186,S$190&amp;" ضد "&amp;$A206))</f>
        <v>4</v>
      </c>
    </row>
    <row r="207" spans="1:19" ht="14.5">
      <c r="A207" s="14">
        <v>17</v>
      </c>
      <c r="B207" s="4">
        <f>IF($A207=B$190,"",COUNTIF($E$4:$E$186,$A207&amp;" ضد "&amp;B$190)+COUNTIF($E$4:$E$186,B$190&amp;" ضد "&amp;$A207))</f>
        <v>0</v>
      </c>
      <c r="C207" s="4">
        <f>IF($A207=C$190,"",COUNTIF($E$4:$E$186,$A207&amp;" ضد "&amp;C$190)+COUNTIF($E$4:$E$186,C$190&amp;" ضد "&amp;$A207))</f>
        <v>0</v>
      </c>
      <c r="D207" s="4">
        <f>IF($A207=D$190,"",COUNTIF($E$4:$E$186,$A207&amp;" ضد "&amp;D$190)+COUNTIF($E$4:$E$186,D$190&amp;" ضد "&amp;$A207))</f>
        <v>0</v>
      </c>
      <c r="E207" s="4">
        <f>IF($A207=E$190,"",COUNTIF($E$4:$E$186,$A207&amp;" ضد "&amp;E$190)+COUNTIF($E$4:$E$186,E$190&amp;" ضد "&amp;$A207))</f>
        <v>0</v>
      </c>
      <c r="F207" s="4">
        <f>IF($A207=F$190,"",COUNTIF($E$4:$E$186,$A207&amp;" ضد "&amp;F$190)+COUNTIF($E$4:$E$186,F$190&amp;" ضد "&amp;$A207))</f>
        <v>0</v>
      </c>
      <c r="G207" s="4">
        <f>IF($A207=G$190,"",COUNTIF($E$4:$E$186,$A207&amp;" ضد "&amp;G$190)+COUNTIF($E$4:$E$186,G$190&amp;" ضد "&amp;$A207))</f>
        <v>0</v>
      </c>
      <c r="H207" s="4">
        <f>IF($A207=H$190,"",COUNTIF($E$4:$E$186,$A207&amp;" ضد "&amp;H$190)+COUNTIF($E$4:$E$186,H$190&amp;" ضد "&amp;$A207))</f>
        <v>0</v>
      </c>
      <c r="I207" s="4">
        <f>IF($A207=I$190,"",COUNTIF($E$4:$E$186,$A207&amp;" ضد "&amp;I$190)+COUNTIF($E$4:$E$186,I$190&amp;" ضد "&amp;$A207))</f>
        <v>0</v>
      </c>
      <c r="J207" s="4">
        <f>IF($A207=J$190,"",COUNTIF($E$4:$E$186,$A207&amp;" ضد "&amp;J$190)+COUNTIF($E$4:$E$186,J$190&amp;" ضد "&amp;$A207))</f>
        <v>0</v>
      </c>
      <c r="K207" s="4">
        <f>IF($A207=K$190,"",COUNTIF($E$4:$E$186,$A207&amp;" ضد "&amp;K$190)+COUNTIF($E$4:$E$186,K$190&amp;" ضد "&amp;$A207))</f>
        <v>0</v>
      </c>
      <c r="L207" s="4">
        <f>IF($A207=L$190,"",COUNTIF($E$4:$E$186,$A207&amp;" ضد "&amp;L$190)+COUNTIF($E$4:$E$186,L$190&amp;" ضد "&amp;$A207))</f>
        <v>0</v>
      </c>
      <c r="M207" s="4">
        <f>IF($A207=M$190,"",COUNTIF($E$4:$E$186,$A207&amp;" ضد "&amp;M$190)+COUNTIF($E$4:$E$186,M$190&amp;" ضد "&amp;$A207))</f>
        <v>0</v>
      </c>
      <c r="N207" s="4">
        <f>IF($A207=N$190,"",COUNTIF($E$4:$E$186,$A207&amp;" ضد "&amp;N$190)+COUNTIF($E$4:$E$186,N$190&amp;" ضد "&amp;$A207))</f>
        <v>4</v>
      </c>
      <c r="O207" s="4">
        <f>IF($A207=O$190,"",COUNTIF($E$4:$E$186,$A207&amp;" ضد "&amp;O$190)+COUNTIF($E$4:$E$186,O$190&amp;" ضد "&amp;$A207))</f>
        <v>4</v>
      </c>
      <c r="P207" s="4">
        <f>IF($A207=P$190,"",COUNTIF($E$4:$E$186,$A207&amp;" ضد "&amp;P$190)+COUNTIF($E$4:$E$186,P$190&amp;" ضد "&amp;$A207))</f>
        <v>4</v>
      </c>
      <c r="Q207" s="4">
        <f>IF($A207=Q$190,"",COUNTIF($E$4:$E$186,$A207&amp;" ضد "&amp;Q$190)+COUNTIF($E$4:$E$186,Q$190&amp;" ضد "&amp;$A207))</f>
        <v>4</v>
      </c>
      <c r="R207" s="4" t="str">
        <f>IF($A207=R$190,"",COUNTIF($E$4:$E$186,$A207&amp;" ضد "&amp;R$190)+COUNTIF($E$4:$E$186,R$190&amp;" ضد "&amp;$A207))</f>
        <v/>
      </c>
      <c r="S207" s="4">
        <f>IF($A207=S$190,"",COUNTIF($E$4:$E$186,$A207&amp;" ضد "&amp;S$190)+COUNTIF($E$4:$E$186,S$190&amp;" ضد "&amp;$A207))</f>
        <v>4</v>
      </c>
    </row>
    <row r="208" spans="1:19" ht="14.5">
      <c r="A208" s="14">
        <v>18</v>
      </c>
      <c r="B208" s="4">
        <f>IF($A208=B$190,"",COUNTIF($E$4:$E$186,$A208&amp;" ضد "&amp;B$190)+COUNTIF($E$4:$E$186,B$190&amp;" ضد "&amp;$A208))</f>
        <v>0</v>
      </c>
      <c r="C208" s="4">
        <f>IF($A208=C$190,"",COUNTIF($E$4:$E$186,$A208&amp;" ضد "&amp;C$190)+COUNTIF($E$4:$E$186,C$190&amp;" ضد "&amp;$A208))</f>
        <v>0</v>
      </c>
      <c r="D208" s="4">
        <f>IF($A208=D$190,"",COUNTIF($E$4:$E$186,$A208&amp;" ضد "&amp;D$190)+COUNTIF($E$4:$E$186,D$190&amp;" ضد "&amp;$A208))</f>
        <v>0</v>
      </c>
      <c r="E208" s="4">
        <f>IF($A208=E$190,"",COUNTIF($E$4:$E$186,$A208&amp;" ضد "&amp;E$190)+COUNTIF($E$4:$E$186,E$190&amp;" ضد "&amp;$A208))</f>
        <v>0</v>
      </c>
      <c r="F208" s="4">
        <f>IF($A208=F$190,"",COUNTIF($E$4:$E$186,$A208&amp;" ضد "&amp;F$190)+COUNTIF($E$4:$E$186,F$190&amp;" ضد "&amp;$A208))</f>
        <v>0</v>
      </c>
      <c r="G208" s="4">
        <f>IF($A208=G$190,"",COUNTIF($E$4:$E$186,$A208&amp;" ضد "&amp;G$190)+COUNTIF($E$4:$E$186,G$190&amp;" ضد "&amp;$A208))</f>
        <v>0</v>
      </c>
      <c r="H208" s="4">
        <f>IF($A208=H$190,"",COUNTIF($E$4:$E$186,$A208&amp;" ضد "&amp;H$190)+COUNTIF($E$4:$E$186,H$190&amp;" ضد "&amp;$A208))</f>
        <v>0</v>
      </c>
      <c r="I208" s="4">
        <f>IF($A208=I$190,"",COUNTIF($E$4:$E$186,$A208&amp;" ضد "&amp;I$190)+COUNTIF($E$4:$E$186,I$190&amp;" ضد "&amp;$A208))</f>
        <v>0</v>
      </c>
      <c r="J208" s="4">
        <f>IF($A208=J$190,"",COUNTIF($E$4:$E$186,$A208&amp;" ضد "&amp;J$190)+COUNTIF($E$4:$E$186,J$190&amp;" ضد "&amp;$A208))</f>
        <v>0</v>
      </c>
      <c r="K208" s="4">
        <f>IF($A208=K$190,"",COUNTIF($E$4:$E$186,$A208&amp;" ضد "&amp;K$190)+COUNTIF($E$4:$E$186,K$190&amp;" ضد "&amp;$A208))</f>
        <v>0</v>
      </c>
      <c r="L208" s="4">
        <f>IF($A208=L$190,"",COUNTIF($E$4:$E$186,$A208&amp;" ضد "&amp;L$190)+COUNTIF($E$4:$E$186,L$190&amp;" ضد "&amp;$A208))</f>
        <v>0</v>
      </c>
      <c r="M208" s="4">
        <f>IF($A208=M$190,"",COUNTIF($E$4:$E$186,$A208&amp;" ضد "&amp;M$190)+COUNTIF($E$4:$E$186,M$190&amp;" ضد "&amp;$A208))</f>
        <v>0</v>
      </c>
      <c r="N208" s="4">
        <f>IF($A208=N$190,"",COUNTIF($E$4:$E$186,$A208&amp;" ضد "&amp;N$190)+COUNTIF($E$4:$E$186,N$190&amp;" ضد "&amp;$A208))</f>
        <v>4</v>
      </c>
      <c r="O208" s="4">
        <f>IF($A208=O$190,"",COUNTIF($E$4:$E$186,$A208&amp;" ضد "&amp;O$190)+COUNTIF($E$4:$E$186,O$190&amp;" ضد "&amp;$A208))</f>
        <v>4</v>
      </c>
      <c r="P208" s="4">
        <f>IF($A208=P$190,"",COUNTIF($E$4:$E$186,$A208&amp;" ضد "&amp;P$190)+COUNTIF($E$4:$E$186,P$190&amp;" ضد "&amp;$A208))</f>
        <v>4</v>
      </c>
      <c r="Q208" s="4">
        <f>IF($A208=Q$190,"",COUNTIF($E$4:$E$186,$A208&amp;" ضد "&amp;Q$190)+COUNTIF($E$4:$E$186,Q$190&amp;" ضد "&amp;$A208))</f>
        <v>4</v>
      </c>
      <c r="R208" s="4">
        <f>IF($A208=R$190,"",COUNTIF($E$4:$E$186,$A208&amp;" ضد "&amp;R$190)+COUNTIF($E$4:$E$186,R$190&amp;" ضد "&amp;$A208))</f>
        <v>4</v>
      </c>
      <c r="S208" s="4" t="str">
        <f>IF($A208=S$190,"",COUNTIF($E$4:$E$186,$A208&amp;" ضد "&amp;S$190)+COUNTIF($E$4:$E$186,S$190&amp;" ضد "&amp;$A208))</f>
        <v/>
      </c>
    </row>
    <row r="209" spans="1:19" ht="14.5">
      <c r="A209" s="14" t="s">
        <v>1033</v>
      </c>
      <c r="B209" s="4" cm="1">
        <f t="array" ref="B209">MIN(IF(B191:S208&gt;0,B191:S208))</f>
        <v>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ht="14.5">
      <c r="A210" s="14" t="s">
        <v>830</v>
      </c>
      <c r="B210" s="4">
        <f>MAX(B191:S208)</f>
        <v>4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</sheetData>
  <mergeCells count="2">
    <mergeCell ref="A1:E1"/>
    <mergeCell ref="A189:S18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5C8C-50BA-4DE1-879E-0C69A7350799}">
  <dimension ref="A1:T199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991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89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67</v>
      </c>
      <c r="E5" s="2"/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56</v>
      </c>
      <c r="E6" s="2"/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136</v>
      </c>
      <c r="E7" s="2"/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137</v>
      </c>
      <c r="E8" s="2"/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138</v>
      </c>
      <c r="E9" s="2"/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163</v>
      </c>
      <c r="E10" s="2"/>
      <c r="F10" s="2"/>
    </row>
    <row r="11" spans="1:6" ht="14" customHeight="1">
      <c r="A11" s="8">
        <v>1</v>
      </c>
      <c r="B11" s="7" t="str">
        <f>المدخلات!$F$6</f>
        <v>6:40–7:50 م</v>
      </c>
      <c r="C11" s="7">
        <v>2</v>
      </c>
      <c r="D11" s="7" t="s">
        <v>164</v>
      </c>
      <c r="E11" s="2"/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3</v>
      </c>
      <c r="D12" s="7" t="s">
        <v>157</v>
      </c>
      <c r="E12" s="2"/>
      <c r="F12" s="2"/>
    </row>
    <row r="13" spans="1:6" ht="14" customHeight="1">
      <c r="A13" s="8">
        <v>2</v>
      </c>
      <c r="B13" s="7" t="str">
        <f>المدخلات!$F$4</f>
        <v>4:00–5:10 م</v>
      </c>
      <c r="C13" s="7">
        <v>1</v>
      </c>
      <c r="D13" s="7" t="s">
        <v>1095</v>
      </c>
      <c r="E13" s="2"/>
      <c r="F13" s="2"/>
    </row>
    <row r="14" spans="1:6" ht="14" customHeight="1">
      <c r="A14" s="8">
        <v>2</v>
      </c>
      <c r="B14" s="7" t="str">
        <f>المدخلات!$F$4</f>
        <v>4:00–5:10 م</v>
      </c>
      <c r="C14" s="7">
        <v>2</v>
      </c>
      <c r="D14" s="7" t="s">
        <v>1096</v>
      </c>
      <c r="E14" s="2"/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3</v>
      </c>
      <c r="D15" s="7" t="s">
        <v>165</v>
      </c>
      <c r="E15" s="2"/>
      <c r="F15" s="2"/>
    </row>
    <row r="16" spans="1:6" ht="14" customHeight="1">
      <c r="A16" s="8">
        <v>2</v>
      </c>
      <c r="B16" s="7" t="str">
        <f>المدخلات!$F$5</f>
        <v>5:20–6:30 م</v>
      </c>
      <c r="C16" s="7">
        <v>1</v>
      </c>
      <c r="D16" s="7" t="s">
        <v>46</v>
      </c>
      <c r="E16" s="2"/>
      <c r="F16" s="2"/>
    </row>
    <row r="17" spans="1:6" ht="14" customHeight="1">
      <c r="A17" s="8">
        <v>2</v>
      </c>
      <c r="B17" s="7" t="str">
        <f>المدخلات!$F$5</f>
        <v>5:20–6:30 م</v>
      </c>
      <c r="C17" s="7">
        <v>2</v>
      </c>
      <c r="D17" s="7" t="s">
        <v>1097</v>
      </c>
      <c r="E17" s="2"/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3</v>
      </c>
      <c r="D18" s="7" t="s">
        <v>1061</v>
      </c>
      <c r="E18" s="2"/>
      <c r="F18" s="2"/>
    </row>
    <row r="19" spans="1:6" ht="14" customHeight="1">
      <c r="A19" s="8">
        <v>2</v>
      </c>
      <c r="B19" s="7" t="str">
        <f>المدخلات!$F$6</f>
        <v>6:40–7:50 م</v>
      </c>
      <c r="C19" s="7">
        <v>1</v>
      </c>
      <c r="D19" s="7" t="s">
        <v>1098</v>
      </c>
      <c r="E19" s="2"/>
      <c r="F19" s="2"/>
    </row>
    <row r="20" spans="1:6" ht="14" customHeight="1">
      <c r="A20" s="8">
        <v>2</v>
      </c>
      <c r="B20" s="7" t="str">
        <f>المدخلات!$F$6</f>
        <v>6:40–7:50 م</v>
      </c>
      <c r="C20" s="7">
        <v>2</v>
      </c>
      <c r="D20" s="7" t="s">
        <v>1099</v>
      </c>
      <c r="E20" s="2"/>
      <c r="F20" s="2"/>
    </row>
    <row r="21" spans="1:6" ht="14" customHeight="1">
      <c r="A21" s="8">
        <v>2</v>
      </c>
      <c r="B21" s="7" t="str">
        <f>المدخلات!$F$6</f>
        <v>6:40–7:50 م</v>
      </c>
      <c r="C21" s="7">
        <v>3</v>
      </c>
      <c r="D21" s="7" t="s">
        <v>1092</v>
      </c>
      <c r="E21" s="2"/>
      <c r="F21" s="2"/>
    </row>
    <row r="22" spans="1:6" ht="14" customHeight="1">
      <c r="A22" s="8">
        <v>3</v>
      </c>
      <c r="B22" s="7" t="str">
        <f>المدخلات!$F$4</f>
        <v>4:00–5:10 م</v>
      </c>
      <c r="C22" s="7">
        <v>1</v>
      </c>
      <c r="D22" s="7" t="s">
        <v>57</v>
      </c>
      <c r="E22" s="2"/>
      <c r="F22" s="2"/>
    </row>
    <row r="23" spans="1:6" ht="14" customHeight="1">
      <c r="A23" s="8">
        <v>3</v>
      </c>
      <c r="B23" s="7" t="str">
        <f>المدخلات!$F$4</f>
        <v>4:00–5:10 م</v>
      </c>
      <c r="C23" s="7">
        <v>2</v>
      </c>
      <c r="D23" s="7" t="s">
        <v>49</v>
      </c>
      <c r="E23" s="2"/>
      <c r="F23" s="2"/>
    </row>
    <row r="24" spans="1:6" ht="14" customHeight="1">
      <c r="A24" s="8">
        <v>3</v>
      </c>
      <c r="B24" s="7" t="str">
        <f>المدخلات!$F$4</f>
        <v>4:00–5:10 م</v>
      </c>
      <c r="C24" s="7">
        <v>3</v>
      </c>
      <c r="D24" s="7" t="s">
        <v>70</v>
      </c>
      <c r="E24" s="2"/>
      <c r="F24" s="2"/>
    </row>
    <row r="25" spans="1:6" ht="14" customHeight="1">
      <c r="A25" s="8">
        <v>3</v>
      </c>
      <c r="B25" s="7" t="str">
        <f>المدخلات!$F$5</f>
        <v>5:20–6:30 م</v>
      </c>
      <c r="C25" s="7">
        <v>1</v>
      </c>
      <c r="D25" s="7" t="s">
        <v>107</v>
      </c>
      <c r="E25" s="2"/>
      <c r="F25" s="2"/>
    </row>
    <row r="26" spans="1:6" ht="14" customHeight="1">
      <c r="A26" s="8">
        <v>3</v>
      </c>
      <c r="B26" s="7" t="str">
        <f>المدخلات!$F$5</f>
        <v>5:20–6:30 م</v>
      </c>
      <c r="C26" s="7">
        <v>2</v>
      </c>
      <c r="D26" s="7" t="s">
        <v>106</v>
      </c>
      <c r="E26" s="2"/>
      <c r="F26" s="2"/>
    </row>
    <row r="27" spans="1:6" ht="14" customHeight="1">
      <c r="A27" s="8">
        <v>3</v>
      </c>
      <c r="B27" s="7" t="str">
        <f>المدخلات!$F$5</f>
        <v>5:20–6:30 م</v>
      </c>
      <c r="C27" s="7">
        <v>3</v>
      </c>
      <c r="D27" s="7" t="s">
        <v>840</v>
      </c>
      <c r="E27" s="2"/>
      <c r="F27" s="2"/>
    </row>
    <row r="28" spans="1:6" ht="14" customHeight="1">
      <c r="A28" s="8">
        <v>3</v>
      </c>
      <c r="B28" s="7" t="str">
        <f>المدخلات!$F$6</f>
        <v>6:40–7:50 م</v>
      </c>
      <c r="C28" s="7">
        <v>1</v>
      </c>
      <c r="D28" s="7" t="s">
        <v>41</v>
      </c>
      <c r="E28" s="2"/>
      <c r="F28" s="2"/>
    </row>
    <row r="29" spans="1:6" ht="14" customHeight="1">
      <c r="A29" s="8">
        <v>3</v>
      </c>
      <c r="B29" s="7" t="str">
        <f>المدخلات!$F$6</f>
        <v>6:40–7:50 م</v>
      </c>
      <c r="C29" s="7">
        <v>2</v>
      </c>
      <c r="D29" s="7" t="s">
        <v>105</v>
      </c>
      <c r="E29" s="2"/>
      <c r="F29" s="2"/>
    </row>
    <row r="30" spans="1:6" ht="14" customHeight="1">
      <c r="A30" s="8">
        <v>3</v>
      </c>
      <c r="B30" s="7" t="str">
        <f>المدخلات!$F$6</f>
        <v>6:40–7:50 م</v>
      </c>
      <c r="C30" s="7">
        <v>3</v>
      </c>
      <c r="D30" s="7" t="s">
        <v>1100</v>
      </c>
      <c r="E30" s="2"/>
      <c r="F30" s="2"/>
    </row>
    <row r="31" spans="1:6" ht="14" customHeight="1">
      <c r="A31" s="8">
        <v>4</v>
      </c>
      <c r="B31" s="7" t="str">
        <f>المدخلات!$F$4</f>
        <v>4:00–5:10 م</v>
      </c>
      <c r="C31" s="7">
        <v>1</v>
      </c>
      <c r="D31" s="7" t="s">
        <v>864</v>
      </c>
      <c r="E31" s="2"/>
      <c r="F31" s="2"/>
    </row>
    <row r="32" spans="1:6" ht="14" customHeight="1">
      <c r="A32" s="8">
        <v>4</v>
      </c>
      <c r="B32" s="7" t="str">
        <f>المدخلات!$F$4</f>
        <v>4:00–5:10 م</v>
      </c>
      <c r="C32" s="7">
        <v>2</v>
      </c>
      <c r="D32" s="7" t="s">
        <v>144</v>
      </c>
      <c r="E32" s="2"/>
      <c r="F32" s="2"/>
    </row>
    <row r="33" spans="1:6" ht="14" customHeight="1">
      <c r="A33" s="8">
        <v>4</v>
      </c>
      <c r="B33" s="7" t="str">
        <f>المدخلات!$F$4</f>
        <v>4:00–5:10 م</v>
      </c>
      <c r="C33" s="7">
        <v>3</v>
      </c>
      <c r="D33" s="7" t="s">
        <v>37</v>
      </c>
      <c r="E33" s="2"/>
      <c r="F33" s="2"/>
    </row>
    <row r="34" spans="1:6" ht="14" customHeight="1">
      <c r="A34" s="8">
        <v>4</v>
      </c>
      <c r="B34" s="7" t="str">
        <f>المدخلات!$F$5</f>
        <v>5:20–6:30 م</v>
      </c>
      <c r="C34" s="7">
        <v>1</v>
      </c>
      <c r="D34" s="7" t="s">
        <v>159</v>
      </c>
      <c r="E34" s="2"/>
      <c r="F34" s="2"/>
    </row>
    <row r="35" spans="1:6" ht="14" customHeight="1">
      <c r="A35" s="8">
        <v>4</v>
      </c>
      <c r="B35" s="7" t="str">
        <f>المدخلات!$F$5</f>
        <v>5:20–6:30 م</v>
      </c>
      <c r="C35" s="7">
        <v>2</v>
      </c>
      <c r="D35" s="7" t="s">
        <v>168</v>
      </c>
      <c r="E35" s="2"/>
      <c r="F35" s="2"/>
    </row>
    <row r="36" spans="1:6" ht="14" customHeight="1">
      <c r="A36" s="8">
        <v>4</v>
      </c>
      <c r="B36" s="7" t="str">
        <f>المدخلات!$F$5</f>
        <v>5:20–6:30 م</v>
      </c>
      <c r="C36" s="7">
        <v>3</v>
      </c>
      <c r="D36" s="7" t="s">
        <v>30</v>
      </c>
      <c r="E36" s="2"/>
      <c r="F36" s="2"/>
    </row>
    <row r="37" spans="1:6" ht="14" customHeight="1">
      <c r="A37" s="8">
        <v>4</v>
      </c>
      <c r="B37" s="7" t="str">
        <f>المدخلات!$F$6</f>
        <v>6:40–7:50 م</v>
      </c>
      <c r="C37" s="7">
        <v>1</v>
      </c>
      <c r="D37" s="7" t="s">
        <v>1056</v>
      </c>
      <c r="E37" s="2"/>
      <c r="F37" s="2"/>
    </row>
    <row r="38" spans="1:6" ht="14" customHeight="1">
      <c r="A38" s="8">
        <v>4</v>
      </c>
      <c r="B38" s="7" t="str">
        <f>المدخلات!$F$6</f>
        <v>6:40–7:50 م</v>
      </c>
      <c r="C38" s="7">
        <v>2</v>
      </c>
      <c r="D38" s="7" t="s">
        <v>1058</v>
      </c>
      <c r="E38" s="2"/>
      <c r="F38" s="2"/>
    </row>
    <row r="39" spans="1:6" ht="14" customHeight="1">
      <c r="A39" s="8">
        <v>4</v>
      </c>
      <c r="B39" s="7" t="str">
        <f>المدخلات!$F$6</f>
        <v>6:40–7:50 م</v>
      </c>
      <c r="C39" s="7">
        <v>3</v>
      </c>
      <c r="D39" s="7" t="s">
        <v>1063</v>
      </c>
      <c r="E39" s="2"/>
      <c r="F39" s="2"/>
    </row>
    <row r="40" spans="1:6" ht="14" customHeight="1">
      <c r="A40" s="8">
        <v>5</v>
      </c>
      <c r="B40" s="7" t="str">
        <f>المدخلات!$F$4</f>
        <v>4:00–5:10 م</v>
      </c>
      <c r="C40" s="7">
        <v>1</v>
      </c>
      <c r="D40" s="7" t="s">
        <v>160</v>
      </c>
      <c r="E40" s="2"/>
      <c r="F40" s="2"/>
    </row>
    <row r="41" spans="1:6" ht="14" customHeight="1">
      <c r="A41" s="8">
        <v>5</v>
      </c>
      <c r="B41" s="7" t="str">
        <f>المدخلات!$F$4</f>
        <v>4:00–5:10 م</v>
      </c>
      <c r="C41" s="7">
        <v>2</v>
      </c>
      <c r="D41" s="7" t="s">
        <v>34</v>
      </c>
      <c r="E41" s="2"/>
      <c r="F41" s="2"/>
    </row>
    <row r="42" spans="1:6" ht="14" customHeight="1">
      <c r="A42" s="8">
        <v>5</v>
      </c>
      <c r="B42" s="7" t="str">
        <f>المدخلات!$F$4</f>
        <v>4:00–5:10 م</v>
      </c>
      <c r="C42" s="7">
        <v>3</v>
      </c>
      <c r="D42" s="7" t="s">
        <v>23</v>
      </c>
      <c r="E42" s="2"/>
      <c r="F42" s="2"/>
    </row>
    <row r="43" spans="1:6" ht="14" customHeight="1">
      <c r="A43" s="8">
        <v>5</v>
      </c>
      <c r="B43" s="7" t="str">
        <f>المدخلات!$F$5</f>
        <v>5:20–6:30 م</v>
      </c>
      <c r="C43" s="7">
        <v>1</v>
      </c>
      <c r="D43" s="7" t="s">
        <v>50</v>
      </c>
      <c r="E43" s="2"/>
      <c r="F43" s="2"/>
    </row>
    <row r="44" spans="1:6" ht="14" customHeight="1">
      <c r="A44" s="8">
        <v>5</v>
      </c>
      <c r="B44" s="7" t="str">
        <f>المدخلات!$F$5</f>
        <v>5:20–6:30 م</v>
      </c>
      <c r="C44" s="7">
        <v>2</v>
      </c>
      <c r="D44" s="7" t="s">
        <v>55</v>
      </c>
      <c r="E44" s="2"/>
      <c r="F44" s="2"/>
    </row>
    <row r="45" spans="1:6" ht="14" customHeight="1">
      <c r="A45" s="8">
        <v>5</v>
      </c>
      <c r="B45" s="7" t="str">
        <f>المدخلات!$F$5</f>
        <v>5:20–6:30 م</v>
      </c>
      <c r="C45" s="7">
        <v>3</v>
      </c>
      <c r="D45" s="7" t="s">
        <v>35</v>
      </c>
      <c r="E45" s="2"/>
      <c r="F45" s="2"/>
    </row>
    <row r="46" spans="1:6" ht="14" customHeight="1">
      <c r="A46" s="8">
        <v>5</v>
      </c>
      <c r="B46" s="7" t="str">
        <f>المدخلات!$F$6</f>
        <v>6:40–7:50 م</v>
      </c>
      <c r="C46" s="7">
        <v>1</v>
      </c>
      <c r="D46" s="7" t="s">
        <v>104</v>
      </c>
      <c r="E46" s="2"/>
      <c r="F46" s="2"/>
    </row>
    <row r="47" spans="1:6" ht="14" customHeight="1">
      <c r="A47" s="8">
        <v>5</v>
      </c>
      <c r="B47" s="7" t="str">
        <f>المدخلات!$F$6</f>
        <v>6:40–7:50 م</v>
      </c>
      <c r="C47" s="7">
        <v>2</v>
      </c>
      <c r="D47" s="7" t="s">
        <v>669</v>
      </c>
      <c r="E47" s="2"/>
      <c r="F47" s="2"/>
    </row>
    <row r="48" spans="1:6" ht="14" customHeight="1">
      <c r="A48" s="8">
        <v>5</v>
      </c>
      <c r="B48" s="7" t="str">
        <f>المدخلات!$F$6</f>
        <v>6:40–7:50 م</v>
      </c>
      <c r="C48" s="7">
        <v>3</v>
      </c>
      <c r="D48" s="7" t="s">
        <v>892</v>
      </c>
      <c r="E48" s="2"/>
      <c r="F48" s="2"/>
    </row>
    <row r="49" spans="1:6" ht="14" customHeight="1">
      <c r="A49" s="8">
        <v>6</v>
      </c>
      <c r="B49" s="7" t="str">
        <f>المدخلات!$F$4</f>
        <v>4:00–5:10 م</v>
      </c>
      <c r="C49" s="7">
        <v>1</v>
      </c>
      <c r="D49" s="7" t="s">
        <v>171</v>
      </c>
      <c r="E49" s="2"/>
      <c r="F49" s="2"/>
    </row>
    <row r="50" spans="1:6" ht="14" customHeight="1">
      <c r="A50" s="8">
        <v>6</v>
      </c>
      <c r="B50" s="7" t="str">
        <f>المدخلات!$F$4</f>
        <v>4:00–5:10 م</v>
      </c>
      <c r="C50" s="7">
        <v>2</v>
      </c>
      <c r="D50" s="7" t="s">
        <v>1048</v>
      </c>
      <c r="E50" s="2"/>
      <c r="F50" s="2"/>
    </row>
    <row r="51" spans="1:6" ht="14" customHeight="1">
      <c r="A51" s="8">
        <v>6</v>
      </c>
      <c r="B51" s="7" t="str">
        <f>المدخلات!$F$4</f>
        <v>4:00–5:10 م</v>
      </c>
      <c r="C51" s="7">
        <v>3</v>
      </c>
      <c r="D51" s="7" t="s">
        <v>26</v>
      </c>
      <c r="E51" s="2"/>
      <c r="F51" s="2"/>
    </row>
    <row r="52" spans="1:6" ht="14" customHeight="1">
      <c r="A52" s="8">
        <v>6</v>
      </c>
      <c r="B52" s="7" t="str">
        <f>المدخلات!$F$5</f>
        <v>5:20–6:30 م</v>
      </c>
      <c r="C52" s="7">
        <v>1</v>
      </c>
      <c r="D52" s="7" t="s">
        <v>896</v>
      </c>
      <c r="E52" s="2"/>
      <c r="F52" s="2"/>
    </row>
    <row r="53" spans="1:6" ht="14" customHeight="1">
      <c r="A53" s="8">
        <v>6</v>
      </c>
      <c r="B53" s="7" t="str">
        <f>المدخلات!$F$5</f>
        <v>5:20–6:30 م</v>
      </c>
      <c r="C53" s="7">
        <v>2</v>
      </c>
      <c r="D53" s="7" t="s">
        <v>885</v>
      </c>
      <c r="E53" s="2"/>
      <c r="F53" s="2"/>
    </row>
    <row r="54" spans="1:6" ht="14" customHeight="1">
      <c r="A54" s="8">
        <v>6</v>
      </c>
      <c r="B54" s="7" t="str">
        <f>المدخلات!$F$5</f>
        <v>5:20–6:30 م</v>
      </c>
      <c r="C54" s="7">
        <v>3</v>
      </c>
      <c r="D54" s="7" t="s">
        <v>146</v>
      </c>
      <c r="E54" s="2"/>
      <c r="F54" s="2"/>
    </row>
    <row r="55" spans="1:6" ht="14" customHeight="1">
      <c r="A55" s="8">
        <v>6</v>
      </c>
      <c r="B55" s="7" t="str">
        <f>المدخلات!$F$6</f>
        <v>6:40–7:50 م</v>
      </c>
      <c r="C55" s="7">
        <v>1</v>
      </c>
      <c r="D55" s="7" t="s">
        <v>109</v>
      </c>
      <c r="E55" s="2"/>
      <c r="F55" s="2"/>
    </row>
    <row r="56" spans="1:6" ht="14" customHeight="1">
      <c r="A56" s="8">
        <v>6</v>
      </c>
      <c r="B56" s="7" t="str">
        <f>المدخلات!$F$6</f>
        <v>6:40–7:50 م</v>
      </c>
      <c r="C56" s="7">
        <v>2</v>
      </c>
      <c r="D56" s="7" t="s">
        <v>1052</v>
      </c>
      <c r="E56" s="2"/>
      <c r="F56" s="2"/>
    </row>
    <row r="57" spans="1:6" ht="14" customHeight="1">
      <c r="A57" s="8">
        <v>6</v>
      </c>
      <c r="B57" s="7" t="str">
        <f>المدخلات!$F$6</f>
        <v>6:40–7:50 م</v>
      </c>
      <c r="C57" s="7">
        <v>3</v>
      </c>
      <c r="D57" s="7" t="s">
        <v>16</v>
      </c>
      <c r="E57" s="2"/>
      <c r="F57" s="2"/>
    </row>
    <row r="58" spans="1:6" ht="14" customHeight="1">
      <c r="A58" s="8">
        <v>7</v>
      </c>
      <c r="B58" s="7" t="str">
        <f>المدخلات!$F$4</f>
        <v>4:00–5:10 م</v>
      </c>
      <c r="C58" s="7">
        <v>1</v>
      </c>
      <c r="D58" s="7" t="s">
        <v>112</v>
      </c>
      <c r="E58" s="2"/>
      <c r="F58" s="2"/>
    </row>
    <row r="59" spans="1:6" ht="14" customHeight="1">
      <c r="A59" s="8">
        <v>7</v>
      </c>
      <c r="B59" s="7" t="str">
        <f>المدخلات!$F$4</f>
        <v>4:00–5:10 م</v>
      </c>
      <c r="C59" s="7">
        <v>2</v>
      </c>
      <c r="D59" s="7" t="s">
        <v>901</v>
      </c>
      <c r="E59" s="2"/>
      <c r="F59" s="2"/>
    </row>
    <row r="60" spans="1:6" ht="14" customHeight="1">
      <c r="A60" s="8">
        <v>7</v>
      </c>
      <c r="B60" s="7" t="str">
        <f>المدخلات!$F$4</f>
        <v>4:00–5:10 م</v>
      </c>
      <c r="C60" s="7">
        <v>3</v>
      </c>
      <c r="D60" s="7" t="s">
        <v>22</v>
      </c>
      <c r="E60" s="2"/>
      <c r="F60" s="2"/>
    </row>
    <row r="61" spans="1:6" ht="14" customHeight="1">
      <c r="A61" s="8">
        <v>7</v>
      </c>
      <c r="B61" s="7" t="str">
        <f>المدخلات!$F$5</f>
        <v>5:20–6:30 م</v>
      </c>
      <c r="C61" s="7">
        <v>1</v>
      </c>
      <c r="D61" s="7" t="s">
        <v>111</v>
      </c>
      <c r="E61" s="2"/>
      <c r="F61" s="2"/>
    </row>
    <row r="62" spans="1:6" ht="14" customHeight="1">
      <c r="A62" s="8">
        <v>7</v>
      </c>
      <c r="B62" s="7" t="str">
        <f>المدخلات!$F$5</f>
        <v>5:20–6:30 م</v>
      </c>
      <c r="C62" s="7">
        <v>2</v>
      </c>
      <c r="D62" s="7" t="s">
        <v>10</v>
      </c>
      <c r="E62" s="2"/>
      <c r="F62" s="2"/>
    </row>
    <row r="63" spans="1:6" ht="14" customHeight="1">
      <c r="A63" s="8">
        <v>7</v>
      </c>
      <c r="B63" s="7" t="str">
        <f>المدخلات!$F$5</f>
        <v>5:20–6:30 م</v>
      </c>
      <c r="C63" s="7">
        <v>3</v>
      </c>
      <c r="D63" s="7" t="s">
        <v>12</v>
      </c>
      <c r="E63" s="2"/>
      <c r="F63" s="2"/>
    </row>
    <row r="64" spans="1:6" ht="14" customHeight="1">
      <c r="A64" s="8">
        <v>7</v>
      </c>
      <c r="B64" s="7" t="str">
        <f>المدخلات!$F$6</f>
        <v>6:40–7:50 م</v>
      </c>
      <c r="C64" s="7">
        <v>1</v>
      </c>
      <c r="D64" s="7" t="s">
        <v>681</v>
      </c>
      <c r="E64" s="2"/>
      <c r="F64" s="2"/>
    </row>
    <row r="65" spans="1:6" ht="14" customHeight="1">
      <c r="A65" s="8">
        <v>7</v>
      </c>
      <c r="B65" s="7" t="str">
        <f>المدخلات!$F$6</f>
        <v>6:40–7:50 م</v>
      </c>
      <c r="C65" s="7">
        <v>2</v>
      </c>
      <c r="D65" s="7" t="s">
        <v>172</v>
      </c>
      <c r="E65" s="2"/>
      <c r="F65" s="2"/>
    </row>
    <row r="66" spans="1:6" ht="14" customHeight="1">
      <c r="A66" s="8">
        <v>7</v>
      </c>
      <c r="B66" s="7" t="str">
        <f>المدخلات!$F$6</f>
        <v>6:40–7:50 م</v>
      </c>
      <c r="C66" s="7">
        <v>3</v>
      </c>
      <c r="D66" s="7" t="s">
        <v>102</v>
      </c>
      <c r="E66" s="2"/>
      <c r="F66" s="2"/>
    </row>
    <row r="67" spans="1:6" ht="14" customHeight="1">
      <c r="A67" s="8">
        <v>8</v>
      </c>
      <c r="B67" s="7" t="str">
        <f>المدخلات!$F$4</f>
        <v>4:00–5:10 م</v>
      </c>
      <c r="C67" s="7">
        <v>1</v>
      </c>
      <c r="D67" s="7" t="s">
        <v>147</v>
      </c>
      <c r="E67" s="2"/>
      <c r="F67" s="2"/>
    </row>
    <row r="68" spans="1:6" ht="14" customHeight="1">
      <c r="A68" s="8">
        <v>8</v>
      </c>
      <c r="B68" s="7" t="str">
        <f>المدخلات!$F$4</f>
        <v>4:00–5:10 م</v>
      </c>
      <c r="C68" s="7">
        <v>2</v>
      </c>
      <c r="D68" s="7" t="s">
        <v>113</v>
      </c>
      <c r="E68" s="2"/>
      <c r="F68" s="2"/>
    </row>
    <row r="69" spans="1:6" ht="14" customHeight="1">
      <c r="A69" s="8">
        <v>8</v>
      </c>
      <c r="B69" s="7" t="str">
        <f>المدخلات!$F$4</f>
        <v>4:00–5:10 م</v>
      </c>
      <c r="C69" s="7">
        <v>3</v>
      </c>
      <c r="D69" s="7" t="s">
        <v>101</v>
      </c>
      <c r="E69" s="2"/>
      <c r="F69" s="2"/>
    </row>
    <row r="70" spans="1:6" ht="14" customHeight="1">
      <c r="A70" s="8">
        <v>8</v>
      </c>
      <c r="B70" s="7" t="str">
        <f>المدخلات!$F$5</f>
        <v>5:20–6:30 م</v>
      </c>
      <c r="C70" s="7">
        <v>1</v>
      </c>
      <c r="D70" s="7" t="s">
        <v>626</v>
      </c>
      <c r="E70" s="2"/>
      <c r="F70" s="2"/>
    </row>
    <row r="71" spans="1:6" ht="14" customHeight="1">
      <c r="A71" s="8">
        <v>8</v>
      </c>
      <c r="B71" s="7" t="str">
        <f>المدخلات!$F$5</f>
        <v>5:20–6:30 م</v>
      </c>
      <c r="C71" s="7">
        <v>2</v>
      </c>
      <c r="D71" s="7" t="s">
        <v>905</v>
      </c>
      <c r="E71" s="2"/>
      <c r="F71" s="2"/>
    </row>
    <row r="72" spans="1:6" ht="14" customHeight="1">
      <c r="A72" s="8">
        <v>8</v>
      </c>
      <c r="B72" s="7" t="str">
        <f>المدخلات!$F$5</f>
        <v>5:20–6:30 م</v>
      </c>
      <c r="C72" s="7">
        <v>3</v>
      </c>
      <c r="D72" s="7" t="s">
        <v>7</v>
      </c>
      <c r="E72" s="2"/>
      <c r="F72" s="2"/>
    </row>
    <row r="73" spans="1:6" ht="14" customHeight="1">
      <c r="A73" s="8">
        <v>8</v>
      </c>
      <c r="B73" s="7" t="str">
        <f>المدخلات!$F$6</f>
        <v>6:40–7:50 م</v>
      </c>
      <c r="C73" s="7">
        <v>1</v>
      </c>
      <c r="D73" s="7" t="s">
        <v>174</v>
      </c>
      <c r="E73" s="2"/>
      <c r="F73" s="2"/>
    </row>
    <row r="74" spans="1:6" ht="14" customHeight="1">
      <c r="A74" s="8">
        <v>8</v>
      </c>
      <c r="B74" s="7" t="str">
        <f>المدخلات!$F$6</f>
        <v>6:40–7:50 م</v>
      </c>
      <c r="C74" s="7">
        <v>2</v>
      </c>
      <c r="D74" s="7" t="s">
        <v>19</v>
      </c>
      <c r="E74" s="2"/>
      <c r="F74" s="2"/>
    </row>
    <row r="75" spans="1:6" ht="14" customHeight="1">
      <c r="A75" s="8">
        <v>8</v>
      </c>
      <c r="B75" s="7" t="str">
        <f>المدخلات!$F$6</f>
        <v>6:40–7:50 م</v>
      </c>
      <c r="C75" s="7">
        <v>3</v>
      </c>
      <c r="D75" s="7" t="s">
        <v>96</v>
      </c>
      <c r="E75" s="2"/>
      <c r="F75" s="2"/>
    </row>
    <row r="76" spans="1:6" ht="14" customHeight="1">
      <c r="A76" s="8">
        <v>9</v>
      </c>
      <c r="B76" s="7" t="str">
        <f>المدخلات!$F$4</f>
        <v>4:00–5:10 م</v>
      </c>
      <c r="C76" s="7">
        <v>1</v>
      </c>
      <c r="D76" s="7" t="s">
        <v>97</v>
      </c>
      <c r="E76" s="2"/>
      <c r="F76" s="2"/>
    </row>
    <row r="77" spans="1:6" ht="14" customHeight="1">
      <c r="A77" s="8">
        <v>9</v>
      </c>
      <c r="B77" s="7" t="str">
        <f>المدخلات!$F$4</f>
        <v>4:00–5:10 م</v>
      </c>
      <c r="C77" s="7">
        <v>2</v>
      </c>
      <c r="D77" s="7" t="s">
        <v>17</v>
      </c>
      <c r="E77" s="2"/>
      <c r="F77" s="2"/>
    </row>
    <row r="78" spans="1:6" ht="14" customHeight="1">
      <c r="A78" s="8">
        <v>9</v>
      </c>
      <c r="B78" s="7" t="str">
        <f>المدخلات!$F$4</f>
        <v>4:00–5:10 م</v>
      </c>
      <c r="C78" s="7">
        <v>3</v>
      </c>
      <c r="D78" s="7" t="s">
        <v>698</v>
      </c>
      <c r="E78" s="2"/>
      <c r="F78" s="2"/>
    </row>
    <row r="79" spans="1:6" ht="14" customHeight="1">
      <c r="A79" s="8">
        <v>9</v>
      </c>
      <c r="B79" s="7" t="str">
        <f>المدخلات!$F$5</f>
        <v>5:20–6:30 م</v>
      </c>
      <c r="C79" s="7">
        <v>1</v>
      </c>
      <c r="D79" s="7" t="s">
        <v>865</v>
      </c>
      <c r="E79" s="2"/>
      <c r="F79" s="2"/>
    </row>
    <row r="80" spans="1:6" ht="14" customHeight="1">
      <c r="A80" s="8">
        <v>9</v>
      </c>
      <c r="B80" s="7" t="str">
        <f>المدخلات!$F$5</f>
        <v>5:20–6:30 م</v>
      </c>
      <c r="C80" s="7">
        <v>2</v>
      </c>
      <c r="D80" s="7" t="s">
        <v>909</v>
      </c>
      <c r="E80" s="2"/>
      <c r="F80" s="2"/>
    </row>
    <row r="81" spans="1:6" ht="14" customHeight="1">
      <c r="A81" s="8">
        <v>9</v>
      </c>
      <c r="B81" s="7" t="str">
        <f>المدخلات!$F$5</f>
        <v>5:20–6:30 م</v>
      </c>
      <c r="C81" s="7">
        <v>3</v>
      </c>
      <c r="D81" s="7" t="s">
        <v>910</v>
      </c>
      <c r="E81" s="2"/>
      <c r="F81" s="2"/>
    </row>
    <row r="82" spans="1:6" ht="14" customHeight="1">
      <c r="A82" s="8">
        <v>9</v>
      </c>
      <c r="B82" s="7" t="str">
        <f>المدخلات!$F$6</f>
        <v>6:40–7:50 م</v>
      </c>
      <c r="C82" s="7">
        <v>1</v>
      </c>
      <c r="D82" s="7" t="s">
        <v>116</v>
      </c>
      <c r="E82" s="2"/>
      <c r="F82" s="2"/>
    </row>
    <row r="83" spans="1:6" ht="14" customHeight="1">
      <c r="A83" s="8">
        <v>9</v>
      </c>
      <c r="B83" s="7" t="str">
        <f>المدخلات!$F$6</f>
        <v>6:40–7:50 م</v>
      </c>
      <c r="C83" s="7">
        <v>2</v>
      </c>
      <c r="D83" s="7" t="s">
        <v>90</v>
      </c>
      <c r="E83" s="2"/>
      <c r="F83" s="2"/>
    </row>
    <row r="84" spans="1:6" ht="14" customHeight="1">
      <c r="A84" s="8">
        <v>9</v>
      </c>
      <c r="B84" s="7" t="str">
        <f>المدخلات!$F$6</f>
        <v>6:40–7:50 م</v>
      </c>
      <c r="C84" s="7">
        <v>3</v>
      </c>
      <c r="D84" s="7" t="s">
        <v>696</v>
      </c>
      <c r="E84" s="2"/>
      <c r="F84" s="2"/>
    </row>
    <row r="85" spans="1:6" ht="14" customHeight="1">
      <c r="A85" s="8">
        <v>10</v>
      </c>
      <c r="B85" s="7" t="str">
        <f>المدخلات!$F$4</f>
        <v>4:00–5:10 م</v>
      </c>
      <c r="C85" s="7">
        <v>1</v>
      </c>
      <c r="D85" s="7" t="s">
        <v>914</v>
      </c>
      <c r="E85" s="2"/>
      <c r="F85" s="2"/>
    </row>
    <row r="86" spans="1:6" ht="14" customHeight="1">
      <c r="A86" s="8">
        <v>10</v>
      </c>
      <c r="B86" s="7" t="str">
        <f>المدخلات!$F$4</f>
        <v>4:00–5:10 م</v>
      </c>
      <c r="C86" s="7">
        <v>2</v>
      </c>
      <c r="D86" s="7" t="s">
        <v>149</v>
      </c>
      <c r="E86" s="2"/>
      <c r="F86" s="2"/>
    </row>
    <row r="87" spans="1:6" ht="14" customHeight="1">
      <c r="A87" s="8">
        <v>10</v>
      </c>
      <c r="B87" s="7" t="str">
        <f>المدخلات!$F$4</f>
        <v>4:00–5:10 م</v>
      </c>
      <c r="C87" s="7">
        <v>3</v>
      </c>
      <c r="D87" s="7" t="s">
        <v>915</v>
      </c>
      <c r="E87" s="2"/>
      <c r="F87" s="2"/>
    </row>
    <row r="88" spans="1:6" ht="14" customHeight="1">
      <c r="A88" s="8">
        <v>10</v>
      </c>
      <c r="B88" s="7" t="str">
        <f>المدخلات!$F$5</f>
        <v>5:20–6:30 م</v>
      </c>
      <c r="C88" s="7">
        <v>1</v>
      </c>
      <c r="D88" s="7" t="s">
        <v>91</v>
      </c>
      <c r="E88" s="2"/>
      <c r="F88" s="2"/>
    </row>
    <row r="89" spans="1:6" ht="14" customHeight="1">
      <c r="A89" s="8">
        <v>10</v>
      </c>
      <c r="B89" s="7" t="str">
        <f>المدخلات!$F$5</f>
        <v>5:20–6:30 م</v>
      </c>
      <c r="C89" s="7">
        <v>2</v>
      </c>
      <c r="D89" s="7" t="s">
        <v>117</v>
      </c>
      <c r="E89" s="2"/>
      <c r="F89" s="2"/>
    </row>
    <row r="90" spans="1:6" ht="14" customHeight="1">
      <c r="A90" s="8">
        <v>10</v>
      </c>
      <c r="B90" s="7" t="str">
        <f>المدخلات!$F$5</f>
        <v>5:20–6:30 م</v>
      </c>
      <c r="C90" s="7">
        <v>3</v>
      </c>
      <c r="D90" s="7" t="s">
        <v>54</v>
      </c>
      <c r="E90" s="2"/>
      <c r="F90" s="2"/>
    </row>
    <row r="91" spans="1:6" ht="14" customHeight="1">
      <c r="A91" s="8">
        <v>10</v>
      </c>
      <c r="B91" s="7" t="str">
        <f>المدخلات!$F$6</f>
        <v>6:40–7:50 م</v>
      </c>
      <c r="C91" s="7">
        <v>1</v>
      </c>
      <c r="D91" s="7" t="s">
        <v>64</v>
      </c>
      <c r="E91" s="2"/>
      <c r="F91" s="2"/>
    </row>
    <row r="92" spans="1:6" ht="14" customHeight="1">
      <c r="A92" s="8">
        <v>10</v>
      </c>
      <c r="B92" s="7" t="str">
        <f>المدخلات!$F$6</f>
        <v>6:40–7:50 م</v>
      </c>
      <c r="C92" s="7">
        <v>2</v>
      </c>
      <c r="D92" s="7" t="s">
        <v>708</v>
      </c>
      <c r="E92" s="2"/>
      <c r="F92" s="2"/>
    </row>
    <row r="93" spans="1:6" ht="14" customHeight="1">
      <c r="A93" s="8">
        <v>10</v>
      </c>
      <c r="B93" s="7" t="str">
        <f>المدخلات!$F$6</f>
        <v>6:40–7:50 م</v>
      </c>
      <c r="C93" s="7">
        <v>3</v>
      </c>
      <c r="D93" s="7" t="s">
        <v>707</v>
      </c>
      <c r="E93" s="2"/>
      <c r="F93" s="2"/>
    </row>
    <row r="94" spans="1:6" ht="14" customHeight="1">
      <c r="A94" s="8">
        <v>11</v>
      </c>
      <c r="B94" s="7" t="str">
        <f>المدخلات!$F$4</f>
        <v>4:00–5:10 م</v>
      </c>
      <c r="C94" s="7">
        <v>1</v>
      </c>
      <c r="D94" s="7" t="s">
        <v>725</v>
      </c>
      <c r="E94" s="2"/>
      <c r="F94" s="2"/>
    </row>
    <row r="95" spans="1:6" ht="14" customHeight="1">
      <c r="A95" s="8">
        <v>11</v>
      </c>
      <c r="B95" s="7" t="str">
        <f>المدخلات!$F$4</f>
        <v>4:00–5:10 م</v>
      </c>
      <c r="C95" s="7">
        <v>2</v>
      </c>
      <c r="D95" s="7" t="s">
        <v>917</v>
      </c>
      <c r="E95" s="2"/>
      <c r="F95" s="2"/>
    </row>
    <row r="96" spans="1:6" ht="14" customHeight="1">
      <c r="A96" s="8">
        <v>11</v>
      </c>
      <c r="B96" s="7" t="str">
        <f>المدخلات!$F$4</f>
        <v>4:00–5:10 م</v>
      </c>
      <c r="C96" s="7">
        <v>3</v>
      </c>
      <c r="D96" s="7" t="s">
        <v>726</v>
      </c>
      <c r="E96" s="2"/>
      <c r="F96" s="2"/>
    </row>
    <row r="97" spans="1:6" ht="14" customHeight="1">
      <c r="A97" s="8">
        <v>11</v>
      </c>
      <c r="B97" s="7" t="str">
        <f>المدخلات!$F$5</f>
        <v>5:20–6:30 م</v>
      </c>
      <c r="C97" s="7">
        <v>1</v>
      </c>
      <c r="D97" s="7" t="s">
        <v>68</v>
      </c>
      <c r="E97" s="2"/>
      <c r="F97" s="2"/>
    </row>
    <row r="98" spans="1:6" ht="14" customHeight="1">
      <c r="A98" s="8">
        <v>11</v>
      </c>
      <c r="B98" s="7" t="str">
        <f>المدخلات!$F$5</f>
        <v>5:20–6:30 م</v>
      </c>
      <c r="C98" s="7">
        <v>2</v>
      </c>
      <c r="D98" s="7" t="s">
        <v>120</v>
      </c>
      <c r="E98" s="2"/>
      <c r="F98" s="2"/>
    </row>
    <row r="99" spans="1:6" ht="14" customHeight="1">
      <c r="A99" s="8">
        <v>11</v>
      </c>
      <c r="B99" s="7" t="str">
        <f>المدخلات!$F$5</f>
        <v>5:20–6:30 م</v>
      </c>
      <c r="C99" s="7">
        <v>3</v>
      </c>
      <c r="D99" s="7" t="s">
        <v>727</v>
      </c>
      <c r="E99" s="2"/>
      <c r="F99" s="2"/>
    </row>
    <row r="100" spans="1:6" ht="14" customHeight="1">
      <c r="A100" s="8">
        <v>11</v>
      </c>
      <c r="B100" s="7" t="str">
        <f>المدخلات!$F$6</f>
        <v>6:40–7:50 م</v>
      </c>
      <c r="C100" s="7">
        <v>1</v>
      </c>
      <c r="D100" s="7" t="s">
        <v>1054</v>
      </c>
      <c r="E100" s="2"/>
      <c r="F100" s="2"/>
    </row>
    <row r="101" spans="1:6" ht="14" customHeight="1">
      <c r="A101" s="8">
        <v>11</v>
      </c>
      <c r="B101" s="7" t="str">
        <f>المدخلات!$F$6</f>
        <v>6:40–7:50 م</v>
      </c>
      <c r="C101" s="7">
        <v>2</v>
      </c>
      <c r="D101" s="7" t="s">
        <v>723</v>
      </c>
      <c r="E101" s="2"/>
      <c r="F101" s="2"/>
    </row>
    <row r="102" spans="1:6" ht="14" customHeight="1">
      <c r="A102" s="8">
        <v>11</v>
      </c>
      <c r="B102" s="7" t="str">
        <f>المدخلات!$F$6</f>
        <v>6:40–7:50 م</v>
      </c>
      <c r="C102" s="7">
        <v>3</v>
      </c>
      <c r="D102" s="7" t="s">
        <v>52</v>
      </c>
      <c r="E102" s="2"/>
      <c r="F102" s="2"/>
    </row>
    <row r="103" spans="1:6" ht="14" customHeight="1">
      <c r="A103" s="8">
        <v>12</v>
      </c>
      <c r="B103" s="7" t="str">
        <f>المدخلات!$F$4</f>
        <v>4:00–5:10 م</v>
      </c>
      <c r="C103" s="7">
        <v>1</v>
      </c>
      <c r="D103" s="7" t="s">
        <v>69</v>
      </c>
      <c r="E103" s="2"/>
      <c r="F103" s="2"/>
    </row>
    <row r="104" spans="1:6" ht="14" customHeight="1">
      <c r="A104" s="8">
        <v>12</v>
      </c>
      <c r="B104" s="7" t="str">
        <f>المدخلات!$F$4</f>
        <v>4:00–5:10 م</v>
      </c>
      <c r="C104" s="7">
        <v>2</v>
      </c>
      <c r="D104" s="7" t="s">
        <v>123</v>
      </c>
      <c r="E104" s="2"/>
      <c r="F104" s="2"/>
    </row>
    <row r="105" spans="1:6" ht="14" customHeight="1">
      <c r="A105" s="8">
        <v>12</v>
      </c>
      <c r="B105" s="7" t="str">
        <f>المدخلات!$F$4</f>
        <v>4:00–5:10 م</v>
      </c>
      <c r="C105" s="7">
        <v>3</v>
      </c>
      <c r="D105" s="7" t="s">
        <v>36</v>
      </c>
      <c r="E105" s="2"/>
      <c r="F105" s="2"/>
    </row>
    <row r="106" spans="1:6" ht="14" customHeight="1">
      <c r="A106" s="8">
        <v>12</v>
      </c>
      <c r="B106" s="7" t="str">
        <f>المدخلات!$F$5</f>
        <v>5:20–6:30 م</v>
      </c>
      <c r="C106" s="7">
        <v>1</v>
      </c>
      <c r="D106" s="7" t="s">
        <v>60</v>
      </c>
      <c r="E106" s="2"/>
      <c r="F106" s="2"/>
    </row>
    <row r="107" spans="1:6" ht="14" customHeight="1">
      <c r="A107" s="8">
        <v>12</v>
      </c>
      <c r="B107" s="7" t="str">
        <f>المدخلات!$F$5</f>
        <v>5:20–6:30 م</v>
      </c>
      <c r="C107" s="7">
        <v>2</v>
      </c>
      <c r="D107" s="7" t="s">
        <v>746</v>
      </c>
      <c r="E107" s="2"/>
      <c r="F107" s="2"/>
    </row>
    <row r="108" spans="1:6" ht="14" customHeight="1">
      <c r="A108" s="8">
        <v>12</v>
      </c>
      <c r="B108" s="7" t="str">
        <f>المدخلات!$F$5</f>
        <v>5:20–6:30 م</v>
      </c>
      <c r="C108" s="7">
        <v>3</v>
      </c>
      <c r="D108" s="7" t="s">
        <v>45</v>
      </c>
      <c r="E108" s="2"/>
      <c r="F108" s="2"/>
    </row>
    <row r="109" spans="1:6" ht="14" customHeight="1">
      <c r="A109" s="8">
        <v>12</v>
      </c>
      <c r="B109" s="7" t="str">
        <f>المدخلات!$F$6</f>
        <v>6:40–7:50 م</v>
      </c>
      <c r="C109" s="7">
        <v>1</v>
      </c>
      <c r="D109" s="7" t="s">
        <v>1101</v>
      </c>
      <c r="E109" s="2"/>
      <c r="F109" s="2"/>
    </row>
    <row r="110" spans="1:6" ht="14" customHeight="1">
      <c r="A110" s="8">
        <v>12</v>
      </c>
      <c r="B110" s="7" t="str">
        <f>المدخلات!$F$6</f>
        <v>6:40–7:50 م</v>
      </c>
      <c r="C110" s="7">
        <v>2</v>
      </c>
      <c r="D110" s="7" t="s">
        <v>125</v>
      </c>
      <c r="E110" s="2"/>
      <c r="F110" s="2"/>
    </row>
    <row r="111" spans="1:6" ht="14" customHeight="1">
      <c r="A111" s="8">
        <v>12</v>
      </c>
      <c r="B111" s="7" t="str">
        <f>المدخلات!$F$6</f>
        <v>6:40–7:50 م</v>
      </c>
      <c r="C111" s="7">
        <v>3</v>
      </c>
      <c r="D111" s="7" t="s">
        <v>744</v>
      </c>
      <c r="E111" s="2"/>
      <c r="F111" s="2"/>
    </row>
    <row r="112" spans="1:6" ht="14" customHeight="1">
      <c r="A112" s="8">
        <v>13</v>
      </c>
      <c r="B112" s="7" t="str">
        <f>المدخلات!$F$4</f>
        <v>4:00–5:10 م</v>
      </c>
      <c r="C112" s="7">
        <v>1</v>
      </c>
      <c r="D112" s="7" t="s">
        <v>769</v>
      </c>
      <c r="E112" s="2"/>
      <c r="F112" s="2"/>
    </row>
    <row r="113" spans="1:6" ht="14" customHeight="1">
      <c r="A113" s="8">
        <v>13</v>
      </c>
      <c r="B113" s="7" t="str">
        <f>المدخلات!$F$4</f>
        <v>4:00–5:10 م</v>
      </c>
      <c r="C113" s="7">
        <v>2</v>
      </c>
      <c r="D113" s="7" t="s">
        <v>161</v>
      </c>
      <c r="E113" s="2"/>
      <c r="F113" s="2"/>
    </row>
    <row r="114" spans="1:6" ht="14" customHeight="1">
      <c r="A114" s="8">
        <v>13</v>
      </c>
      <c r="B114" s="7" t="str">
        <f>المدخلات!$F$4</f>
        <v>4:00–5:10 م</v>
      </c>
      <c r="C114" s="7">
        <v>3</v>
      </c>
      <c r="D114" s="7" t="s">
        <v>766</v>
      </c>
      <c r="E114" s="2"/>
      <c r="F114" s="2"/>
    </row>
    <row r="115" spans="1:6" ht="14" customHeight="1">
      <c r="A115" s="8">
        <v>13</v>
      </c>
      <c r="B115" s="7" t="str">
        <f>المدخلات!$F$5</f>
        <v>5:20–6:30 م</v>
      </c>
      <c r="C115" s="7">
        <v>1</v>
      </c>
      <c r="D115" s="7" t="s">
        <v>71</v>
      </c>
      <c r="E115" s="2"/>
      <c r="F115" s="2"/>
    </row>
    <row r="116" spans="1:6" ht="14" customHeight="1">
      <c r="A116" s="8">
        <v>13</v>
      </c>
      <c r="B116" s="7" t="str">
        <f>المدخلات!$F$5</f>
        <v>5:20–6:30 م</v>
      </c>
      <c r="C116" s="7">
        <v>2</v>
      </c>
      <c r="D116" s="7" t="s">
        <v>768</v>
      </c>
      <c r="E116" s="2"/>
      <c r="F116" s="2"/>
    </row>
    <row r="117" spans="1:6" ht="14" customHeight="1">
      <c r="A117" s="8">
        <v>13</v>
      </c>
      <c r="B117" s="7" t="str">
        <f>المدخلات!$F$5</f>
        <v>5:20–6:30 م</v>
      </c>
      <c r="C117" s="7">
        <v>3</v>
      </c>
      <c r="D117" s="7" t="s">
        <v>178</v>
      </c>
      <c r="E117" s="2"/>
      <c r="F117" s="2"/>
    </row>
    <row r="118" spans="1:6" ht="14" customHeight="1">
      <c r="A118" s="8">
        <v>13</v>
      </c>
      <c r="B118" s="7" t="str">
        <f>المدخلات!$F$6</f>
        <v>6:40–7:50 م</v>
      </c>
      <c r="C118" s="7">
        <v>1</v>
      </c>
      <c r="D118" s="7" t="s">
        <v>1049</v>
      </c>
      <c r="E118" s="2"/>
      <c r="F118" s="2"/>
    </row>
    <row r="119" spans="1:6" ht="14" customHeight="1">
      <c r="A119" s="8">
        <v>13</v>
      </c>
      <c r="B119" s="7" t="str">
        <f>المدخلات!$F$6</f>
        <v>6:40–7:50 م</v>
      </c>
      <c r="C119" s="7">
        <v>2</v>
      </c>
      <c r="D119" s="7" t="s">
        <v>42</v>
      </c>
      <c r="E119" s="2"/>
      <c r="F119" s="2"/>
    </row>
    <row r="120" spans="1:6" ht="14" customHeight="1">
      <c r="A120" s="8">
        <v>13</v>
      </c>
      <c r="B120" s="7" t="str">
        <f>المدخلات!$F$6</f>
        <v>6:40–7:50 م</v>
      </c>
      <c r="C120" s="7">
        <v>3</v>
      </c>
      <c r="D120" s="7" t="s">
        <v>51</v>
      </c>
      <c r="E120" s="2"/>
      <c r="F120" s="2"/>
    </row>
    <row r="121" spans="1:6" ht="14" customHeight="1">
      <c r="A121" s="8">
        <v>14</v>
      </c>
      <c r="B121" s="7" t="str">
        <f>المدخلات!$F$4</f>
        <v>4:00–5:10 م</v>
      </c>
      <c r="C121" s="7">
        <v>1</v>
      </c>
      <c r="D121" s="7" t="s">
        <v>162</v>
      </c>
      <c r="E121" s="2"/>
      <c r="F121" s="2"/>
    </row>
    <row r="122" spans="1:6" ht="14" customHeight="1">
      <c r="A122" s="8">
        <v>14</v>
      </c>
      <c r="B122" s="7" t="str">
        <f>المدخلات!$F$4</f>
        <v>4:00–5:10 م</v>
      </c>
      <c r="C122" s="7">
        <v>2</v>
      </c>
      <c r="D122" s="7" t="s">
        <v>28</v>
      </c>
      <c r="E122" s="2"/>
      <c r="F122" s="2"/>
    </row>
    <row r="123" spans="1:6" ht="14" customHeight="1">
      <c r="A123" s="8">
        <v>14</v>
      </c>
      <c r="B123" s="7" t="str">
        <f>المدخلات!$F$4</f>
        <v>4:00–5:10 م</v>
      </c>
      <c r="C123" s="7">
        <v>3</v>
      </c>
      <c r="D123" s="7" t="s">
        <v>48</v>
      </c>
      <c r="E123" s="2"/>
      <c r="F123" s="2"/>
    </row>
    <row r="124" spans="1:6" ht="14" customHeight="1">
      <c r="A124" s="8">
        <v>14</v>
      </c>
      <c r="B124" s="7" t="str">
        <f>المدخلات!$F$5</f>
        <v>5:20–6:30 م</v>
      </c>
      <c r="C124" s="7">
        <v>1</v>
      </c>
      <c r="D124" s="7" t="s">
        <v>38</v>
      </c>
      <c r="E124" s="2"/>
      <c r="F124" s="2"/>
    </row>
    <row r="125" spans="1:6" ht="14" customHeight="1">
      <c r="A125" s="8">
        <v>14</v>
      </c>
      <c r="B125" s="7" t="str">
        <f>المدخلات!$F$5</f>
        <v>5:20–6:30 م</v>
      </c>
      <c r="C125" s="7">
        <v>2</v>
      </c>
      <c r="D125" s="7" t="s">
        <v>179</v>
      </c>
      <c r="E125" s="2"/>
      <c r="F125" s="2"/>
    </row>
    <row r="126" spans="1:6" ht="14" customHeight="1">
      <c r="A126" s="8">
        <v>14</v>
      </c>
      <c r="B126" s="7" t="str">
        <f>المدخلات!$F$5</f>
        <v>5:20–6:30 م</v>
      </c>
      <c r="C126" s="7">
        <v>3</v>
      </c>
      <c r="D126" s="7" t="s">
        <v>25</v>
      </c>
      <c r="E126" s="2"/>
      <c r="F126" s="2"/>
    </row>
    <row r="127" spans="1:6" ht="14" customHeight="1">
      <c r="A127" s="8">
        <v>14</v>
      </c>
      <c r="B127" s="7" t="str">
        <f>المدخلات!$F$6</f>
        <v>6:40–7:50 م</v>
      </c>
      <c r="C127" s="7">
        <v>1</v>
      </c>
      <c r="D127" s="7" t="s">
        <v>792</v>
      </c>
      <c r="E127" s="2"/>
      <c r="F127" s="2"/>
    </row>
    <row r="128" spans="1:6" ht="14" customHeight="1">
      <c r="A128" s="8">
        <v>14</v>
      </c>
      <c r="B128" s="7" t="str">
        <f>المدخلات!$F$6</f>
        <v>6:40–7:50 م</v>
      </c>
      <c r="C128" s="7">
        <v>2</v>
      </c>
      <c r="D128" s="7" t="s">
        <v>1091</v>
      </c>
      <c r="E128" s="2"/>
      <c r="F128" s="2"/>
    </row>
    <row r="129" spans="1:6" ht="14" customHeight="1">
      <c r="A129" s="8">
        <v>14</v>
      </c>
      <c r="B129" s="7" t="str">
        <f>المدخلات!$F$6</f>
        <v>6:40–7:50 م</v>
      </c>
      <c r="C129" s="7">
        <v>3</v>
      </c>
      <c r="D129" s="7" t="s">
        <v>59</v>
      </c>
      <c r="E129" s="2"/>
      <c r="F129" s="2"/>
    </row>
    <row r="130" spans="1:6" ht="14" customHeight="1">
      <c r="A130" s="8">
        <v>15</v>
      </c>
      <c r="B130" s="7" t="str">
        <f>المدخلات!$F$4</f>
        <v>4:00–5:10 م</v>
      </c>
      <c r="C130" s="7">
        <v>1</v>
      </c>
      <c r="D130" s="7" t="s">
        <v>129</v>
      </c>
      <c r="E130" s="2"/>
      <c r="F130" s="2"/>
    </row>
    <row r="131" spans="1:6" ht="14" customHeight="1">
      <c r="A131" s="8">
        <v>15</v>
      </c>
      <c r="B131" s="7" t="str">
        <f>المدخلات!$F$4</f>
        <v>4:00–5:10 م</v>
      </c>
      <c r="C131" s="7">
        <v>2</v>
      </c>
      <c r="D131" s="7" t="s">
        <v>152</v>
      </c>
      <c r="E131" s="2"/>
      <c r="F131" s="2"/>
    </row>
    <row r="132" spans="1:6" ht="14" customHeight="1">
      <c r="A132" s="8">
        <v>15</v>
      </c>
      <c r="B132" s="7" t="str">
        <f>المدخلات!$F$4</f>
        <v>4:00–5:10 م</v>
      </c>
      <c r="C132" s="7">
        <v>3</v>
      </c>
      <c r="D132" s="7" t="s">
        <v>180</v>
      </c>
      <c r="E132" s="2"/>
      <c r="F132" s="2"/>
    </row>
    <row r="133" spans="1:6" ht="14" customHeight="1">
      <c r="A133" s="8">
        <v>15</v>
      </c>
      <c r="B133" s="7" t="str">
        <f>المدخلات!$F$5</f>
        <v>5:20–6:30 م</v>
      </c>
      <c r="C133" s="7">
        <v>1</v>
      </c>
      <c r="D133" s="7" t="s">
        <v>44</v>
      </c>
      <c r="E133" s="2"/>
      <c r="F133" s="2"/>
    </row>
    <row r="134" spans="1:6" ht="14" customHeight="1">
      <c r="A134" s="8">
        <v>15</v>
      </c>
      <c r="B134" s="7" t="str">
        <f>المدخلات!$F$5</f>
        <v>5:20–6:30 م</v>
      </c>
      <c r="C134" s="7">
        <v>2</v>
      </c>
      <c r="D134" s="7" t="s">
        <v>158</v>
      </c>
      <c r="E134" s="2"/>
      <c r="F134" s="2"/>
    </row>
    <row r="135" spans="1:6" ht="14" customHeight="1">
      <c r="A135" s="8">
        <v>15</v>
      </c>
      <c r="B135" s="7" t="str">
        <f>المدخلات!$F$5</f>
        <v>5:20–6:30 م</v>
      </c>
      <c r="C135" s="7">
        <v>3</v>
      </c>
      <c r="D135" s="7" t="s">
        <v>804</v>
      </c>
      <c r="E135" s="2"/>
      <c r="F135" s="2"/>
    </row>
    <row r="136" spans="1:6" ht="14" customHeight="1">
      <c r="A136" s="8">
        <v>15</v>
      </c>
      <c r="B136" s="7" t="str">
        <f>المدخلات!$F$6</f>
        <v>6:40–7:50 م</v>
      </c>
      <c r="C136" s="7">
        <v>1</v>
      </c>
      <c r="D136" s="7" t="s">
        <v>24</v>
      </c>
      <c r="E136" s="2"/>
      <c r="F136" s="2"/>
    </row>
    <row r="137" spans="1:6" ht="14" customHeight="1">
      <c r="A137" s="8">
        <v>15</v>
      </c>
      <c r="B137" s="7" t="str">
        <f>المدخلات!$F$6</f>
        <v>6:40–7:50 م</v>
      </c>
      <c r="C137" s="7">
        <v>2</v>
      </c>
      <c r="D137" s="7" t="s">
        <v>15</v>
      </c>
      <c r="E137" s="2"/>
      <c r="F137" s="2"/>
    </row>
    <row r="138" spans="1:6" ht="14" customHeight="1">
      <c r="A138" s="8">
        <v>15</v>
      </c>
      <c r="B138" s="7" t="str">
        <f>المدخلات!$F$6</f>
        <v>6:40–7:50 م</v>
      </c>
      <c r="C138" s="7">
        <v>3</v>
      </c>
      <c r="D138" s="7" t="s">
        <v>32</v>
      </c>
      <c r="E138" s="2"/>
      <c r="F138" s="2"/>
    </row>
    <row r="139" spans="1:6" ht="14" customHeight="1">
      <c r="A139" s="8">
        <v>16</v>
      </c>
      <c r="B139" s="7" t="str">
        <f>المدخلات!$F$4</f>
        <v>4:00–5:10 م</v>
      </c>
      <c r="C139" s="7">
        <v>1</v>
      </c>
      <c r="D139" s="7" t="s">
        <v>27</v>
      </c>
      <c r="E139" s="2"/>
      <c r="F139" s="2"/>
    </row>
    <row r="140" spans="1:6" ht="14" customHeight="1">
      <c r="A140" s="8">
        <v>16</v>
      </c>
      <c r="B140" s="7" t="str">
        <f>المدخلات!$F$4</f>
        <v>4:00–5:10 م</v>
      </c>
      <c r="C140" s="7">
        <v>2</v>
      </c>
      <c r="D140" s="7" t="s">
        <v>31</v>
      </c>
      <c r="E140" s="2"/>
      <c r="F140" s="2"/>
    </row>
    <row r="141" spans="1:6" ht="14" customHeight="1">
      <c r="A141" s="8">
        <v>16</v>
      </c>
      <c r="B141" s="7" t="str">
        <f>المدخلات!$F$4</f>
        <v>4:00–5:10 م</v>
      </c>
      <c r="C141" s="7">
        <v>3</v>
      </c>
      <c r="D141" s="7" t="s">
        <v>1035</v>
      </c>
      <c r="E141" s="2"/>
      <c r="F141" s="2"/>
    </row>
    <row r="142" spans="1:6" ht="14" customHeight="1">
      <c r="A142" s="8">
        <v>16</v>
      </c>
      <c r="B142" s="7" t="str">
        <f>المدخلات!$F$5</f>
        <v>5:20–6:30 م</v>
      </c>
      <c r="C142" s="7">
        <v>1</v>
      </c>
      <c r="D142" s="7" t="s">
        <v>9</v>
      </c>
      <c r="E142" s="2"/>
      <c r="F142" s="2"/>
    </row>
    <row r="143" spans="1:6" ht="14" customHeight="1">
      <c r="A143" s="8">
        <v>16</v>
      </c>
      <c r="B143" s="7" t="str">
        <f>المدخلات!$F$5</f>
        <v>5:20–6:30 م</v>
      </c>
      <c r="C143" s="7">
        <v>2</v>
      </c>
      <c r="D143" s="7" t="s">
        <v>1075</v>
      </c>
      <c r="E143" s="2"/>
      <c r="F143" s="2"/>
    </row>
    <row r="144" spans="1:6" ht="14" customHeight="1">
      <c r="A144" s="8">
        <v>16</v>
      </c>
      <c r="B144" s="7" t="str">
        <f>المدخلات!$F$5</f>
        <v>5:20–6:30 م</v>
      </c>
      <c r="C144" s="7">
        <v>3</v>
      </c>
      <c r="D144" s="7" t="s">
        <v>130</v>
      </c>
      <c r="E144" s="2"/>
      <c r="F144" s="2"/>
    </row>
    <row r="145" spans="1:6" ht="14" customHeight="1">
      <c r="A145" s="8">
        <v>16</v>
      </c>
      <c r="B145" s="7" t="str">
        <f>المدخلات!$F$6</f>
        <v>6:40–7:50 م</v>
      </c>
      <c r="C145" s="7">
        <v>1</v>
      </c>
      <c r="D145" s="7" t="s">
        <v>181</v>
      </c>
      <c r="E145" s="2"/>
      <c r="F145" s="2"/>
    </row>
    <row r="146" spans="1:6" ht="14" customHeight="1">
      <c r="A146" s="8">
        <v>16</v>
      </c>
      <c r="B146" s="7" t="str">
        <f>المدخلات!$F$6</f>
        <v>6:40–7:50 م</v>
      </c>
      <c r="C146" s="7">
        <v>2</v>
      </c>
      <c r="D146" s="7" t="s">
        <v>153</v>
      </c>
      <c r="E146" s="2"/>
      <c r="F146" s="2"/>
    </row>
    <row r="147" spans="1:6" ht="14" customHeight="1">
      <c r="A147" s="8">
        <v>16</v>
      </c>
      <c r="B147" s="7" t="str">
        <f>المدخلات!$F$6</f>
        <v>6:40–7:50 م</v>
      </c>
      <c r="C147" s="7">
        <v>3</v>
      </c>
      <c r="D147" s="7" t="s">
        <v>182</v>
      </c>
      <c r="E147" s="2"/>
      <c r="F147" s="2"/>
    </row>
    <row r="148" spans="1:6" ht="14" customHeight="1">
      <c r="A148" s="8">
        <v>17</v>
      </c>
      <c r="B148" s="7" t="str">
        <f>المدخلات!$F$4</f>
        <v>4:00–5:10 م</v>
      </c>
      <c r="C148" s="7">
        <v>1</v>
      </c>
      <c r="D148" s="7" t="s">
        <v>98</v>
      </c>
      <c r="E148" s="2"/>
      <c r="F148" s="2"/>
    </row>
    <row r="149" spans="1:6" ht="14" customHeight="1">
      <c r="A149" s="8">
        <v>17</v>
      </c>
      <c r="B149" s="7" t="str">
        <f>المدخلات!$F$4</f>
        <v>4:00–5:10 م</v>
      </c>
      <c r="C149" s="7">
        <v>2</v>
      </c>
      <c r="D149" s="7" t="s">
        <v>131</v>
      </c>
      <c r="E149" s="2"/>
      <c r="F149" s="2"/>
    </row>
    <row r="150" spans="1:6" ht="14" customHeight="1">
      <c r="A150" s="8">
        <v>17</v>
      </c>
      <c r="B150" s="7" t="str">
        <f>المدخلات!$F$4</f>
        <v>4:00–5:10 م</v>
      </c>
      <c r="C150" s="7">
        <v>3</v>
      </c>
      <c r="D150" s="7" t="s">
        <v>1103</v>
      </c>
      <c r="E150" s="2"/>
      <c r="F150" s="2"/>
    </row>
    <row r="151" spans="1:6" ht="14" customHeight="1">
      <c r="A151" s="8">
        <v>17</v>
      </c>
      <c r="B151" s="7" t="str">
        <f>المدخلات!$F$5</f>
        <v>5:20–6:30 م</v>
      </c>
      <c r="C151" s="7">
        <v>1</v>
      </c>
      <c r="D151" s="7" t="s">
        <v>100</v>
      </c>
      <c r="E151" s="2"/>
      <c r="F151" s="2"/>
    </row>
    <row r="152" spans="1:6" ht="14" customHeight="1">
      <c r="A152" s="8">
        <v>17</v>
      </c>
      <c r="B152" s="7" t="str">
        <f>المدخلات!$F$5</f>
        <v>5:20–6:30 م</v>
      </c>
      <c r="C152" s="7">
        <v>2</v>
      </c>
      <c r="D152" s="7" t="s">
        <v>154</v>
      </c>
      <c r="E152" s="2"/>
      <c r="F152" s="2"/>
    </row>
    <row r="153" spans="1:6" ht="14" customHeight="1">
      <c r="A153" s="8">
        <v>17</v>
      </c>
      <c r="B153" s="7" t="str">
        <f>المدخلات!$F$5</f>
        <v>5:20–6:30 م</v>
      </c>
      <c r="C153" s="7">
        <v>3</v>
      </c>
      <c r="D153" s="7" t="s">
        <v>1102</v>
      </c>
      <c r="E153" s="2"/>
      <c r="F153" s="2"/>
    </row>
    <row r="154" spans="1:6" ht="14" customHeight="1">
      <c r="A154" s="8">
        <v>17</v>
      </c>
      <c r="B154" s="7" t="str">
        <f>المدخلات!$F$6</f>
        <v>6:40–7:50 م</v>
      </c>
      <c r="C154" s="7">
        <v>1</v>
      </c>
      <c r="D154" s="7" t="s">
        <v>21</v>
      </c>
      <c r="E154" s="2"/>
      <c r="F154" s="2"/>
    </row>
    <row r="155" spans="1:6" ht="14" customHeight="1">
      <c r="A155" s="8">
        <v>17</v>
      </c>
      <c r="B155" s="7" t="str">
        <f>المدخلات!$F$6</f>
        <v>6:40–7:50 م</v>
      </c>
      <c r="C155" s="7">
        <v>2</v>
      </c>
      <c r="D155" s="7" t="s">
        <v>13</v>
      </c>
      <c r="E155" s="2"/>
      <c r="F155" s="2"/>
    </row>
    <row r="156" spans="1:6" ht="14" customHeight="1">
      <c r="A156" s="8">
        <v>17</v>
      </c>
      <c r="B156" s="7" t="str">
        <f>المدخلات!$F$6</f>
        <v>6:40–7:50 م</v>
      </c>
      <c r="C156" s="7">
        <v>3</v>
      </c>
      <c r="D156" s="7" t="s">
        <v>18</v>
      </c>
      <c r="E156" s="2"/>
      <c r="F156" s="2"/>
    </row>
    <row r="157" spans="1:6" ht="14" customHeight="1">
      <c r="A157" s="8">
        <v>18</v>
      </c>
      <c r="B157" s="7" t="str">
        <f>المدخلات!$F$4</f>
        <v>4:00–5:10 م</v>
      </c>
      <c r="C157" s="7">
        <v>1</v>
      </c>
      <c r="D157" s="7" t="s">
        <v>133</v>
      </c>
      <c r="E157" s="2"/>
      <c r="F157" s="2"/>
    </row>
    <row r="158" spans="1:6" ht="14" customHeight="1">
      <c r="A158" s="8">
        <v>18</v>
      </c>
      <c r="B158" s="7" t="str">
        <f>المدخلات!$F$4</f>
        <v>4:00–5:10 م</v>
      </c>
      <c r="C158" s="7">
        <v>2</v>
      </c>
      <c r="D158" s="7" t="s">
        <v>1040</v>
      </c>
      <c r="E158" s="2"/>
      <c r="F158" s="2"/>
    </row>
    <row r="159" spans="1:6" ht="14" customHeight="1">
      <c r="A159" s="8">
        <v>18</v>
      </c>
      <c r="B159" s="7" t="str">
        <f>المدخلات!$F$4</f>
        <v>4:00–5:10 م</v>
      </c>
      <c r="C159" s="7">
        <v>3</v>
      </c>
      <c r="D159" s="7" t="s">
        <v>92</v>
      </c>
      <c r="E159" s="2"/>
      <c r="F159" s="2"/>
    </row>
    <row r="160" spans="1:6" ht="14" customHeight="1">
      <c r="A160" s="8">
        <v>18</v>
      </c>
      <c r="B160" s="7" t="str">
        <f>المدخلات!$F$5</f>
        <v>5:20–6:30 م</v>
      </c>
      <c r="C160" s="7">
        <v>1</v>
      </c>
      <c r="D160" s="7" t="s">
        <v>99</v>
      </c>
      <c r="E160" s="2"/>
      <c r="F160" s="2"/>
    </row>
    <row r="161" spans="1:6" ht="14" customHeight="1">
      <c r="A161" s="8">
        <v>18</v>
      </c>
      <c r="B161" s="7" t="str">
        <f>المدخلات!$F$5</f>
        <v>5:20–6:30 م</v>
      </c>
      <c r="C161" s="7">
        <v>2</v>
      </c>
      <c r="D161" s="7" t="s">
        <v>1104</v>
      </c>
      <c r="E161" s="2"/>
      <c r="F161" s="2"/>
    </row>
    <row r="162" spans="1:6" ht="14" customHeight="1">
      <c r="A162" s="8">
        <v>18</v>
      </c>
      <c r="B162" s="7" t="str">
        <f>المدخلات!$F$5</f>
        <v>5:20–6:30 م</v>
      </c>
      <c r="C162" s="7">
        <v>3</v>
      </c>
      <c r="D162" s="7" t="s">
        <v>14</v>
      </c>
      <c r="E162" s="2"/>
      <c r="F162" s="2"/>
    </row>
    <row r="163" spans="1:6" ht="14" customHeight="1">
      <c r="A163" s="8">
        <v>18</v>
      </c>
      <c r="B163" s="7" t="str">
        <f>المدخلات!$F$6</f>
        <v>6:40–7:50 م</v>
      </c>
      <c r="C163" s="7">
        <v>1</v>
      </c>
      <c r="D163" s="7" t="s">
        <v>155</v>
      </c>
      <c r="E163" s="2"/>
      <c r="F163" s="2"/>
    </row>
    <row r="164" spans="1:6" ht="14" customHeight="1">
      <c r="A164" s="8">
        <v>18</v>
      </c>
      <c r="B164" s="7" t="str">
        <f>المدخلات!$F$6</f>
        <v>6:40–7:50 م</v>
      </c>
      <c r="C164" s="7">
        <v>2</v>
      </c>
      <c r="D164" s="7" t="s">
        <v>185</v>
      </c>
      <c r="E164" s="2"/>
      <c r="F164" s="2"/>
    </row>
    <row r="165" spans="1:6" ht="14" customHeight="1">
      <c r="A165" s="8">
        <v>18</v>
      </c>
      <c r="B165" s="7" t="str">
        <f>المدخلات!$F$6</f>
        <v>6:40–7:50 م</v>
      </c>
      <c r="C165" s="7">
        <v>3</v>
      </c>
      <c r="D165" s="7" t="s">
        <v>132</v>
      </c>
      <c r="E165" s="2"/>
      <c r="F165" s="2"/>
    </row>
    <row r="166" spans="1:6" ht="14" customHeight="1">
      <c r="A166" s="8">
        <v>19</v>
      </c>
      <c r="B166" s="7" t="str">
        <f>المدخلات!$F$4</f>
        <v>4:00–5:10 م</v>
      </c>
      <c r="C166" s="7">
        <v>1</v>
      </c>
      <c r="D166" s="7" t="s">
        <v>94</v>
      </c>
      <c r="E166" s="2"/>
      <c r="F166" s="2"/>
    </row>
    <row r="167" spans="1:6" ht="14" customHeight="1">
      <c r="A167" s="8">
        <v>19</v>
      </c>
      <c r="B167" s="7" t="str">
        <f>المدخلات!$F$4</f>
        <v>4:00–5:10 م</v>
      </c>
      <c r="C167" s="7">
        <v>2</v>
      </c>
      <c r="D167" s="7" t="s">
        <v>1084</v>
      </c>
      <c r="E167" s="2"/>
      <c r="F167" s="2"/>
    </row>
    <row r="168" spans="1:6" ht="14" customHeight="1">
      <c r="A168" s="8">
        <v>19</v>
      </c>
      <c r="B168" s="7" t="str">
        <f>المدخلات!$F$4</f>
        <v>4:00–5:10 م</v>
      </c>
      <c r="C168" s="7">
        <v>3</v>
      </c>
      <c r="D168" s="7" t="s">
        <v>135</v>
      </c>
      <c r="E168" s="2"/>
      <c r="F168" s="2"/>
    </row>
    <row r="169" spans="1:6" ht="14" customHeight="1">
      <c r="A169" s="8">
        <v>19</v>
      </c>
      <c r="B169" s="7" t="str">
        <f>المدخلات!$F$5</f>
        <v>5:20–6:30 م</v>
      </c>
      <c r="C169" s="7">
        <v>1</v>
      </c>
      <c r="D169" s="7" t="s">
        <v>72</v>
      </c>
      <c r="E169" s="2"/>
      <c r="F169" s="2"/>
    </row>
    <row r="170" spans="1:6" ht="14" customHeight="1">
      <c r="A170" s="8">
        <v>19</v>
      </c>
      <c r="B170" s="7" t="str">
        <f>المدخلات!$F$5</f>
        <v>5:20–6:30 م</v>
      </c>
      <c r="C170" s="7">
        <v>2</v>
      </c>
      <c r="D170" s="7" t="s">
        <v>1105</v>
      </c>
      <c r="E170" s="2"/>
      <c r="F170" s="2"/>
    </row>
    <row r="171" spans="1:6" ht="14" customHeight="1">
      <c r="A171" s="8">
        <v>19</v>
      </c>
      <c r="B171" s="7" t="str">
        <f>المدخلات!$F$5</f>
        <v>5:20–6:30 م</v>
      </c>
      <c r="C171" s="7">
        <v>3</v>
      </c>
      <c r="D171" s="7" t="s">
        <v>1107</v>
      </c>
      <c r="E171" s="2"/>
      <c r="F171" s="2"/>
    </row>
    <row r="172" spans="1:6" ht="14" customHeight="1">
      <c r="A172" s="8">
        <v>19</v>
      </c>
      <c r="B172" s="7" t="str">
        <f>المدخلات!$F$6</f>
        <v>6:40–7:50 م</v>
      </c>
      <c r="C172" s="7">
        <v>1</v>
      </c>
      <c r="D172" s="7" t="s">
        <v>11</v>
      </c>
      <c r="E172" s="2"/>
      <c r="F172" s="2"/>
    </row>
    <row r="173" spans="1:6" ht="14" customHeight="1">
      <c r="A173" s="8">
        <v>19</v>
      </c>
      <c r="B173" s="7" t="str">
        <f>المدخلات!$F$6</f>
        <v>6:40–7:50 م</v>
      </c>
      <c r="C173" s="7">
        <v>2</v>
      </c>
      <c r="D173" s="7" t="s">
        <v>1106</v>
      </c>
      <c r="E173" s="2"/>
      <c r="F173" s="2"/>
    </row>
    <row r="174" spans="1:6" ht="14" customHeight="1">
      <c r="A174" s="8">
        <v>19</v>
      </c>
      <c r="B174" s="7" t="str">
        <f>المدخلات!$F$6</f>
        <v>6:40–7:50 م</v>
      </c>
      <c r="C174" s="7">
        <v>3</v>
      </c>
      <c r="D174" s="7" t="s">
        <v>93</v>
      </c>
      <c r="E174" s="2"/>
      <c r="F174" s="2"/>
    </row>
    <row r="175" spans="1:6">
      <c r="A175" s="2"/>
      <c r="B175" s="2"/>
      <c r="C175" s="2"/>
      <c r="D175" s="2"/>
    </row>
    <row r="176" spans="1:6">
      <c r="A176" s="2"/>
      <c r="B176" s="2"/>
      <c r="C176" s="2"/>
      <c r="D176" s="2"/>
    </row>
    <row r="177" spans="1:20" ht="14.5">
      <c r="A177" s="17" t="s">
        <v>828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 ht="14.5">
      <c r="A178" s="6" t="s">
        <v>829</v>
      </c>
      <c r="B178" s="6">
        <v>1</v>
      </c>
      <c r="C178" s="6">
        <v>2</v>
      </c>
      <c r="D178" s="6">
        <v>3</v>
      </c>
      <c r="E178" s="6">
        <v>4</v>
      </c>
      <c r="F178" s="6">
        <v>5</v>
      </c>
      <c r="G178" s="6">
        <v>6</v>
      </c>
      <c r="H178" s="6">
        <v>7</v>
      </c>
      <c r="I178" s="6">
        <v>8</v>
      </c>
      <c r="J178" s="6">
        <v>9</v>
      </c>
      <c r="K178" s="6">
        <v>10</v>
      </c>
      <c r="L178" s="6">
        <v>11</v>
      </c>
      <c r="M178" s="6">
        <v>12</v>
      </c>
      <c r="N178" s="6">
        <v>13</v>
      </c>
      <c r="O178" s="6">
        <v>14</v>
      </c>
      <c r="P178" s="6">
        <v>15</v>
      </c>
      <c r="Q178" s="6">
        <v>16</v>
      </c>
      <c r="R178" s="6">
        <v>17</v>
      </c>
      <c r="S178" s="6">
        <v>18</v>
      </c>
      <c r="T178" s="6">
        <v>19</v>
      </c>
    </row>
    <row r="179" spans="1:20" ht="14.5">
      <c r="A179" s="14">
        <v>1</v>
      </c>
      <c r="B179" s="4" t="str">
        <f>IF($A179=B$178,"",COUNTIF($D$4:$D$174,$A179&amp;" ضد "&amp;B$178)+COUNTIF($D$4:$D$174,B$178&amp;" ضد "&amp;$A179))</f>
        <v/>
      </c>
      <c r="C179" s="4">
        <f>IF($A179=C$178,"",COUNTIF($D$4:$D$174,$A179&amp;" ضد "&amp;C$178)+COUNTIF($D$4:$D$174,C$178&amp;" ضد "&amp;$A179))</f>
        <v>1</v>
      </c>
      <c r="D179" s="4">
        <f>IF($A179=D$178,"",COUNTIF($D$4:$D$174,$A179&amp;" ضد "&amp;D$178)+COUNTIF($D$4:$D$174,D$178&amp;" ضد "&amp;$A179))</f>
        <v>1</v>
      </c>
      <c r="E179" s="4">
        <f>IF($A179=E$178,"",COUNTIF($D$4:$D$174,$A179&amp;" ضد "&amp;E$178)+COUNTIF($D$4:$D$174,E$178&amp;" ضد "&amp;$A179))</f>
        <v>1</v>
      </c>
      <c r="F179" s="4">
        <f>IF($A179=F$178,"",COUNTIF($D$4:$D$174,$A179&amp;" ضد "&amp;F$178)+COUNTIF($D$4:$D$174,F$178&amp;" ضد "&amp;$A179))</f>
        <v>1</v>
      </c>
      <c r="G179" s="4">
        <f>IF($A179=G$178,"",COUNTIF($D$4:$D$174,$A179&amp;" ضد "&amp;G$178)+COUNTIF($D$4:$D$174,G$178&amp;" ضد "&amp;$A179))</f>
        <v>1</v>
      </c>
      <c r="H179" s="4">
        <f>IF($A179=H$178,"",COUNTIF($D$4:$D$174,$A179&amp;" ضد "&amp;H$178)+COUNTIF($D$4:$D$174,H$178&amp;" ضد "&amp;$A179))</f>
        <v>1</v>
      </c>
      <c r="I179" s="4">
        <f>IF($A179=I$178,"",COUNTIF($D$4:$D$174,$A179&amp;" ضد "&amp;I$178)+COUNTIF($D$4:$D$174,I$178&amp;" ضد "&amp;$A179))</f>
        <v>1</v>
      </c>
      <c r="J179" s="4">
        <f>IF($A179=J$178,"",COUNTIF($D$4:$D$174,$A179&amp;" ضد "&amp;J$178)+COUNTIF($D$4:$D$174,J$178&amp;" ضد "&amp;$A179))</f>
        <v>1</v>
      </c>
      <c r="K179" s="4">
        <f>IF($A179=K$178,"",COUNTIF($D$4:$D$174,$A179&amp;" ضد "&amp;K$178)+COUNTIF($D$4:$D$174,K$178&amp;" ضد "&amp;$A179))</f>
        <v>1</v>
      </c>
      <c r="L179" s="4">
        <f>IF($A179=L$178,"",COUNTIF($D$4:$D$174,$A179&amp;" ضد "&amp;L$178)+COUNTIF($D$4:$D$174,L$178&amp;" ضد "&amp;$A179))</f>
        <v>1</v>
      </c>
      <c r="M179" s="4">
        <f>IF($A179=M$178,"",COUNTIF($D$4:$D$174,$A179&amp;" ضد "&amp;M$178)+COUNTIF($D$4:$D$174,M$178&amp;" ضد "&amp;$A179))</f>
        <v>1</v>
      </c>
      <c r="N179" s="4">
        <f>IF($A179=N$178,"",COUNTIF($D$4:$D$174,$A179&amp;" ضد "&amp;N$178)+COUNTIF($D$4:$D$174,N$178&amp;" ضد "&amp;$A179))</f>
        <v>1</v>
      </c>
      <c r="O179" s="4">
        <f>IF($A179=O$178,"",COUNTIF($D$4:$D$174,$A179&amp;" ضد "&amp;O$178)+COUNTIF($D$4:$D$174,O$178&amp;" ضد "&amp;$A179))</f>
        <v>1</v>
      </c>
      <c r="P179" s="4">
        <f>IF($A179=P$178,"",COUNTIF($D$4:$D$174,$A179&amp;" ضد "&amp;P$178)+COUNTIF($D$4:$D$174,P$178&amp;" ضد "&amp;$A179))</f>
        <v>1</v>
      </c>
      <c r="Q179" s="4">
        <f>IF($A179=Q$178,"",COUNTIF($D$4:$D$174,$A179&amp;" ضد "&amp;Q$178)+COUNTIF($D$4:$D$174,Q$178&amp;" ضد "&amp;$A179))</f>
        <v>1</v>
      </c>
      <c r="R179" s="4">
        <f>IF($A179=R$178,"",COUNTIF($D$4:$D$174,$A179&amp;" ضد "&amp;R$178)+COUNTIF($D$4:$D$174,R$178&amp;" ضد "&amp;$A179))</f>
        <v>1</v>
      </c>
      <c r="S179" s="4">
        <f>IF($A179=S$178,"",COUNTIF($D$4:$D$174,$A179&amp;" ضد "&amp;S$178)+COUNTIF($D$4:$D$174,S$178&amp;" ضد "&amp;$A179))</f>
        <v>1</v>
      </c>
      <c r="T179" s="4">
        <f>IF($A179=T$178,"",COUNTIF($D$4:$D$174,$A179&amp;" ضد "&amp;T$178)+COUNTIF($D$4:$D$174,T$178&amp;" ضد "&amp;$A179))</f>
        <v>1</v>
      </c>
    </row>
    <row r="180" spans="1:20" ht="14.5">
      <c r="A180" s="14">
        <v>2</v>
      </c>
      <c r="B180" s="4">
        <f>IF($A180=B$178,"",COUNTIF($D$4:$D$174,$A180&amp;" ضد "&amp;B$178)+COUNTIF($D$4:$D$174,B$178&amp;" ضد "&amp;$A180))</f>
        <v>1</v>
      </c>
      <c r="C180" s="4" t="str">
        <f>IF($A180=C$178,"",COUNTIF($D$4:$D$174,$A180&amp;" ضد "&amp;C$178)+COUNTIF($D$4:$D$174,C$178&amp;" ضد "&amp;$A180))</f>
        <v/>
      </c>
      <c r="D180" s="4">
        <f>IF($A180=D$178,"",COUNTIF($D$4:$D$174,$A180&amp;" ضد "&amp;D$178)+COUNTIF($D$4:$D$174,D$178&amp;" ضد "&amp;$A180))</f>
        <v>1</v>
      </c>
      <c r="E180" s="4">
        <f>IF($A180=E$178,"",COUNTIF($D$4:$D$174,$A180&amp;" ضد "&amp;E$178)+COUNTIF($D$4:$D$174,E$178&amp;" ضد "&amp;$A180))</f>
        <v>1</v>
      </c>
      <c r="F180" s="4">
        <f>IF($A180=F$178,"",COUNTIF($D$4:$D$174,$A180&amp;" ضد "&amp;F$178)+COUNTIF($D$4:$D$174,F$178&amp;" ضد "&amp;$A180))</f>
        <v>1</v>
      </c>
      <c r="G180" s="4">
        <f>IF($A180=G$178,"",COUNTIF($D$4:$D$174,$A180&amp;" ضد "&amp;G$178)+COUNTIF($D$4:$D$174,G$178&amp;" ضد "&amp;$A180))</f>
        <v>1</v>
      </c>
      <c r="H180" s="4">
        <f>IF($A180=H$178,"",COUNTIF($D$4:$D$174,$A180&amp;" ضد "&amp;H$178)+COUNTIF($D$4:$D$174,H$178&amp;" ضد "&amp;$A180))</f>
        <v>1</v>
      </c>
      <c r="I180" s="4">
        <f>IF($A180=I$178,"",COUNTIF($D$4:$D$174,$A180&amp;" ضد "&amp;I$178)+COUNTIF($D$4:$D$174,I$178&amp;" ضد "&amp;$A180))</f>
        <v>1</v>
      </c>
      <c r="J180" s="4">
        <f>IF($A180=J$178,"",COUNTIF($D$4:$D$174,$A180&amp;" ضد "&amp;J$178)+COUNTIF($D$4:$D$174,J$178&amp;" ضد "&amp;$A180))</f>
        <v>1</v>
      </c>
      <c r="K180" s="4">
        <f>IF($A180=K$178,"",COUNTIF($D$4:$D$174,$A180&amp;" ضد "&amp;K$178)+COUNTIF($D$4:$D$174,K$178&amp;" ضد "&amp;$A180))</f>
        <v>1</v>
      </c>
      <c r="L180" s="4">
        <f>IF($A180=L$178,"",COUNTIF($D$4:$D$174,$A180&amp;" ضد "&amp;L$178)+COUNTIF($D$4:$D$174,L$178&amp;" ضد "&amp;$A180))</f>
        <v>1</v>
      </c>
      <c r="M180" s="4">
        <f>IF($A180=M$178,"",COUNTIF($D$4:$D$174,$A180&amp;" ضد "&amp;M$178)+COUNTIF($D$4:$D$174,M$178&amp;" ضد "&amp;$A180))</f>
        <v>1</v>
      </c>
      <c r="N180" s="4">
        <f>IF($A180=N$178,"",COUNTIF($D$4:$D$174,$A180&amp;" ضد "&amp;N$178)+COUNTIF($D$4:$D$174,N$178&amp;" ضد "&amp;$A180))</f>
        <v>1</v>
      </c>
      <c r="O180" s="4">
        <f>IF($A180=O$178,"",COUNTIF($D$4:$D$174,$A180&amp;" ضد "&amp;O$178)+COUNTIF($D$4:$D$174,O$178&amp;" ضد "&amp;$A180))</f>
        <v>1</v>
      </c>
      <c r="P180" s="4">
        <f>IF($A180=P$178,"",COUNTIF($D$4:$D$174,$A180&amp;" ضد "&amp;P$178)+COUNTIF($D$4:$D$174,P$178&amp;" ضد "&amp;$A180))</f>
        <v>1</v>
      </c>
      <c r="Q180" s="4">
        <f>IF($A180=Q$178,"",COUNTIF($D$4:$D$174,$A180&amp;" ضد "&amp;Q$178)+COUNTIF($D$4:$D$174,Q$178&amp;" ضد "&amp;$A180))</f>
        <v>1</v>
      </c>
      <c r="R180" s="4">
        <f>IF($A180=R$178,"",COUNTIF($D$4:$D$174,$A180&amp;" ضد "&amp;R$178)+COUNTIF($D$4:$D$174,R$178&amp;" ضد "&amp;$A180))</f>
        <v>1</v>
      </c>
      <c r="S180" s="4">
        <f>IF($A180=S$178,"",COUNTIF($D$4:$D$174,$A180&amp;" ضد "&amp;S$178)+COUNTIF($D$4:$D$174,S$178&amp;" ضد "&amp;$A180))</f>
        <v>1</v>
      </c>
      <c r="T180" s="4">
        <f>IF($A180=T$178,"",COUNTIF($D$4:$D$174,$A180&amp;" ضد "&amp;T$178)+COUNTIF($D$4:$D$174,T$178&amp;" ضد "&amp;$A180))</f>
        <v>1</v>
      </c>
    </row>
    <row r="181" spans="1:20" ht="14.5">
      <c r="A181" s="14">
        <v>3</v>
      </c>
      <c r="B181" s="4">
        <f>IF($A181=B$178,"",COUNTIF($D$4:$D$174,$A181&amp;" ضد "&amp;B$178)+COUNTIF($D$4:$D$174,B$178&amp;" ضد "&amp;$A181))</f>
        <v>1</v>
      </c>
      <c r="C181" s="4">
        <f>IF($A181=C$178,"",COUNTIF($D$4:$D$174,$A181&amp;" ضد "&amp;C$178)+COUNTIF($D$4:$D$174,C$178&amp;" ضد "&amp;$A181))</f>
        <v>1</v>
      </c>
      <c r="D181" s="4" t="str">
        <f>IF($A181=D$178,"",COUNTIF($D$4:$D$174,$A181&amp;" ضد "&amp;D$178)+COUNTIF($D$4:$D$174,D$178&amp;" ضد "&amp;$A181))</f>
        <v/>
      </c>
      <c r="E181" s="4">
        <f>IF($A181=E$178,"",COUNTIF($D$4:$D$174,$A181&amp;" ضد "&amp;E$178)+COUNTIF($D$4:$D$174,E$178&amp;" ضد "&amp;$A181))</f>
        <v>1</v>
      </c>
      <c r="F181" s="4">
        <f>IF($A181=F$178,"",COUNTIF($D$4:$D$174,$A181&amp;" ضد "&amp;F$178)+COUNTIF($D$4:$D$174,F$178&amp;" ضد "&amp;$A181))</f>
        <v>1</v>
      </c>
      <c r="G181" s="4">
        <f>IF($A181=G$178,"",COUNTIF($D$4:$D$174,$A181&amp;" ضد "&amp;G$178)+COUNTIF($D$4:$D$174,G$178&amp;" ضد "&amp;$A181))</f>
        <v>1</v>
      </c>
      <c r="H181" s="4">
        <f>IF($A181=H$178,"",COUNTIF($D$4:$D$174,$A181&amp;" ضد "&amp;H$178)+COUNTIF($D$4:$D$174,H$178&amp;" ضد "&amp;$A181))</f>
        <v>1</v>
      </c>
      <c r="I181" s="4">
        <f>IF($A181=I$178,"",COUNTIF($D$4:$D$174,$A181&amp;" ضد "&amp;I$178)+COUNTIF($D$4:$D$174,I$178&amp;" ضد "&amp;$A181))</f>
        <v>1</v>
      </c>
      <c r="J181" s="4">
        <f>IF($A181=J$178,"",COUNTIF($D$4:$D$174,$A181&amp;" ضد "&amp;J$178)+COUNTIF($D$4:$D$174,J$178&amp;" ضد "&amp;$A181))</f>
        <v>1</v>
      </c>
      <c r="K181" s="4">
        <f>IF($A181=K$178,"",COUNTIF($D$4:$D$174,$A181&amp;" ضد "&amp;K$178)+COUNTIF($D$4:$D$174,K$178&amp;" ضد "&amp;$A181))</f>
        <v>1</v>
      </c>
      <c r="L181" s="4">
        <f>IF($A181=L$178,"",COUNTIF($D$4:$D$174,$A181&amp;" ضد "&amp;L$178)+COUNTIF($D$4:$D$174,L$178&amp;" ضد "&amp;$A181))</f>
        <v>1</v>
      </c>
      <c r="M181" s="4">
        <f>IF($A181=M$178,"",COUNTIF($D$4:$D$174,$A181&amp;" ضد "&amp;M$178)+COUNTIF($D$4:$D$174,M$178&amp;" ضد "&amp;$A181))</f>
        <v>1</v>
      </c>
      <c r="N181" s="4">
        <f>IF($A181=N$178,"",COUNTIF($D$4:$D$174,$A181&amp;" ضد "&amp;N$178)+COUNTIF($D$4:$D$174,N$178&amp;" ضد "&amp;$A181))</f>
        <v>1</v>
      </c>
      <c r="O181" s="4">
        <f>IF($A181=O$178,"",COUNTIF($D$4:$D$174,$A181&amp;" ضد "&amp;O$178)+COUNTIF($D$4:$D$174,O$178&amp;" ضد "&amp;$A181))</f>
        <v>1</v>
      </c>
      <c r="P181" s="4">
        <f>IF($A181=P$178,"",COUNTIF($D$4:$D$174,$A181&amp;" ضد "&amp;P$178)+COUNTIF($D$4:$D$174,P$178&amp;" ضد "&amp;$A181))</f>
        <v>1</v>
      </c>
      <c r="Q181" s="4">
        <f>IF($A181=Q$178,"",COUNTIF($D$4:$D$174,$A181&amp;" ضد "&amp;Q$178)+COUNTIF($D$4:$D$174,Q$178&amp;" ضد "&amp;$A181))</f>
        <v>1</v>
      </c>
      <c r="R181" s="4">
        <f>IF($A181=R$178,"",COUNTIF($D$4:$D$174,$A181&amp;" ضد "&amp;R$178)+COUNTIF($D$4:$D$174,R$178&amp;" ضد "&amp;$A181))</f>
        <v>1</v>
      </c>
      <c r="S181" s="4">
        <f>IF($A181=S$178,"",COUNTIF($D$4:$D$174,$A181&amp;" ضد "&amp;S$178)+COUNTIF($D$4:$D$174,S$178&amp;" ضد "&amp;$A181))</f>
        <v>1</v>
      </c>
      <c r="T181" s="4">
        <f>IF($A181=T$178,"",COUNTIF($D$4:$D$174,$A181&amp;" ضد "&amp;T$178)+COUNTIF($D$4:$D$174,T$178&amp;" ضد "&amp;$A181))</f>
        <v>1</v>
      </c>
    </row>
    <row r="182" spans="1:20" ht="14.5">
      <c r="A182" s="14">
        <v>4</v>
      </c>
      <c r="B182" s="4">
        <f>IF($A182=B$178,"",COUNTIF($D$4:$D$174,$A182&amp;" ضد "&amp;B$178)+COUNTIF($D$4:$D$174,B$178&amp;" ضد "&amp;$A182))</f>
        <v>1</v>
      </c>
      <c r="C182" s="4">
        <f>IF($A182=C$178,"",COUNTIF($D$4:$D$174,$A182&amp;" ضد "&amp;C$178)+COUNTIF($D$4:$D$174,C$178&amp;" ضد "&amp;$A182))</f>
        <v>1</v>
      </c>
      <c r="D182" s="4">
        <f>IF($A182=D$178,"",COUNTIF($D$4:$D$174,$A182&amp;" ضد "&amp;D$178)+COUNTIF($D$4:$D$174,D$178&amp;" ضد "&amp;$A182))</f>
        <v>1</v>
      </c>
      <c r="E182" s="4" t="str">
        <f>IF($A182=E$178,"",COUNTIF($D$4:$D$174,$A182&amp;" ضد "&amp;E$178)+COUNTIF($D$4:$D$174,E$178&amp;" ضد "&amp;$A182))</f>
        <v/>
      </c>
      <c r="F182" s="4">
        <f>IF($A182=F$178,"",COUNTIF($D$4:$D$174,$A182&amp;" ضد "&amp;F$178)+COUNTIF($D$4:$D$174,F$178&amp;" ضد "&amp;$A182))</f>
        <v>1</v>
      </c>
      <c r="G182" s="4">
        <f>IF($A182=G$178,"",COUNTIF($D$4:$D$174,$A182&amp;" ضد "&amp;G$178)+COUNTIF($D$4:$D$174,G$178&amp;" ضد "&amp;$A182))</f>
        <v>1</v>
      </c>
      <c r="H182" s="4">
        <f>IF($A182=H$178,"",COUNTIF($D$4:$D$174,$A182&amp;" ضد "&amp;H$178)+COUNTIF($D$4:$D$174,H$178&amp;" ضد "&amp;$A182))</f>
        <v>1</v>
      </c>
      <c r="I182" s="4">
        <f>IF($A182=I$178,"",COUNTIF($D$4:$D$174,$A182&amp;" ضد "&amp;I$178)+COUNTIF($D$4:$D$174,I$178&amp;" ضد "&amp;$A182))</f>
        <v>1</v>
      </c>
      <c r="J182" s="4">
        <f>IF($A182=J$178,"",COUNTIF($D$4:$D$174,$A182&amp;" ضد "&amp;J$178)+COUNTIF($D$4:$D$174,J$178&amp;" ضد "&amp;$A182))</f>
        <v>1</v>
      </c>
      <c r="K182" s="4">
        <f>IF($A182=K$178,"",COUNTIF($D$4:$D$174,$A182&amp;" ضد "&amp;K$178)+COUNTIF($D$4:$D$174,K$178&amp;" ضد "&amp;$A182))</f>
        <v>1</v>
      </c>
      <c r="L182" s="4">
        <f>IF($A182=L$178,"",COUNTIF($D$4:$D$174,$A182&amp;" ضد "&amp;L$178)+COUNTIF($D$4:$D$174,L$178&amp;" ضد "&amp;$A182))</f>
        <v>1</v>
      </c>
      <c r="M182" s="4">
        <f>IF($A182=M$178,"",COUNTIF($D$4:$D$174,$A182&amp;" ضد "&amp;M$178)+COUNTIF($D$4:$D$174,M$178&amp;" ضد "&amp;$A182))</f>
        <v>1</v>
      </c>
      <c r="N182" s="4">
        <f>IF($A182=N$178,"",COUNTIF($D$4:$D$174,$A182&amp;" ضد "&amp;N$178)+COUNTIF($D$4:$D$174,N$178&amp;" ضد "&amp;$A182))</f>
        <v>1</v>
      </c>
      <c r="O182" s="4">
        <f>IF($A182=O$178,"",COUNTIF($D$4:$D$174,$A182&amp;" ضد "&amp;O$178)+COUNTIF($D$4:$D$174,O$178&amp;" ضد "&amp;$A182))</f>
        <v>1</v>
      </c>
      <c r="P182" s="4">
        <f>IF($A182=P$178,"",COUNTIF($D$4:$D$174,$A182&amp;" ضد "&amp;P$178)+COUNTIF($D$4:$D$174,P$178&amp;" ضد "&amp;$A182))</f>
        <v>1</v>
      </c>
      <c r="Q182" s="4">
        <f>IF($A182=Q$178,"",COUNTIF($D$4:$D$174,$A182&amp;" ضد "&amp;Q$178)+COUNTIF($D$4:$D$174,Q$178&amp;" ضد "&amp;$A182))</f>
        <v>1</v>
      </c>
      <c r="R182" s="4">
        <f>IF($A182=R$178,"",COUNTIF($D$4:$D$174,$A182&amp;" ضد "&amp;R$178)+COUNTIF($D$4:$D$174,R$178&amp;" ضد "&amp;$A182))</f>
        <v>1</v>
      </c>
      <c r="S182" s="4">
        <f>IF($A182=S$178,"",COUNTIF($D$4:$D$174,$A182&amp;" ضد "&amp;S$178)+COUNTIF($D$4:$D$174,S$178&amp;" ضد "&amp;$A182))</f>
        <v>1</v>
      </c>
      <c r="T182" s="4">
        <f>IF($A182=T$178,"",COUNTIF($D$4:$D$174,$A182&amp;" ضد "&amp;T$178)+COUNTIF($D$4:$D$174,T$178&amp;" ضد "&amp;$A182))</f>
        <v>1</v>
      </c>
    </row>
    <row r="183" spans="1:20" ht="14.5">
      <c r="A183" s="14">
        <v>5</v>
      </c>
      <c r="B183" s="4">
        <f>IF($A183=B$178,"",COUNTIF($D$4:$D$174,$A183&amp;" ضد "&amp;B$178)+COUNTIF($D$4:$D$174,B$178&amp;" ضد "&amp;$A183))</f>
        <v>1</v>
      </c>
      <c r="C183" s="4">
        <f>IF($A183=C$178,"",COUNTIF($D$4:$D$174,$A183&amp;" ضد "&amp;C$178)+COUNTIF($D$4:$D$174,C$178&amp;" ضد "&amp;$A183))</f>
        <v>1</v>
      </c>
      <c r="D183" s="4">
        <f>IF($A183=D$178,"",COUNTIF($D$4:$D$174,$A183&amp;" ضد "&amp;D$178)+COUNTIF($D$4:$D$174,D$178&amp;" ضد "&amp;$A183))</f>
        <v>1</v>
      </c>
      <c r="E183" s="4">
        <f>IF($A183=E$178,"",COUNTIF($D$4:$D$174,$A183&amp;" ضد "&amp;E$178)+COUNTIF($D$4:$D$174,E$178&amp;" ضد "&amp;$A183))</f>
        <v>1</v>
      </c>
      <c r="F183" s="4" t="str">
        <f>IF($A183=F$178,"",COUNTIF($D$4:$D$174,$A183&amp;" ضد "&amp;F$178)+COUNTIF($D$4:$D$174,F$178&amp;" ضد "&amp;$A183))</f>
        <v/>
      </c>
      <c r="G183" s="4">
        <f>IF($A183=G$178,"",COUNTIF($D$4:$D$174,$A183&amp;" ضد "&amp;G$178)+COUNTIF($D$4:$D$174,G$178&amp;" ضد "&amp;$A183))</f>
        <v>1</v>
      </c>
      <c r="H183" s="4">
        <f>IF($A183=H$178,"",COUNTIF($D$4:$D$174,$A183&amp;" ضد "&amp;H$178)+COUNTIF($D$4:$D$174,H$178&amp;" ضد "&amp;$A183))</f>
        <v>1</v>
      </c>
      <c r="I183" s="4">
        <f>IF($A183=I$178,"",COUNTIF($D$4:$D$174,$A183&amp;" ضد "&amp;I$178)+COUNTIF($D$4:$D$174,I$178&amp;" ضد "&amp;$A183))</f>
        <v>1</v>
      </c>
      <c r="J183" s="4">
        <f>IF($A183=J$178,"",COUNTIF($D$4:$D$174,$A183&amp;" ضد "&amp;J$178)+COUNTIF($D$4:$D$174,J$178&amp;" ضد "&amp;$A183))</f>
        <v>1</v>
      </c>
      <c r="K183" s="4">
        <f>IF($A183=K$178,"",COUNTIF($D$4:$D$174,$A183&amp;" ضد "&amp;K$178)+COUNTIF($D$4:$D$174,K$178&amp;" ضد "&amp;$A183))</f>
        <v>1</v>
      </c>
      <c r="L183" s="4">
        <f>IF($A183=L$178,"",COUNTIF($D$4:$D$174,$A183&amp;" ضد "&amp;L$178)+COUNTIF($D$4:$D$174,L$178&amp;" ضد "&amp;$A183))</f>
        <v>1</v>
      </c>
      <c r="M183" s="4">
        <f>IF($A183=M$178,"",COUNTIF($D$4:$D$174,$A183&amp;" ضد "&amp;M$178)+COUNTIF($D$4:$D$174,M$178&amp;" ضد "&amp;$A183))</f>
        <v>1</v>
      </c>
      <c r="N183" s="4">
        <f>IF($A183=N$178,"",COUNTIF($D$4:$D$174,$A183&amp;" ضد "&amp;N$178)+COUNTIF($D$4:$D$174,N$178&amp;" ضد "&amp;$A183))</f>
        <v>1</v>
      </c>
      <c r="O183" s="4">
        <f>IF($A183=O$178,"",COUNTIF($D$4:$D$174,$A183&amp;" ضد "&amp;O$178)+COUNTIF($D$4:$D$174,O$178&amp;" ضد "&amp;$A183))</f>
        <v>1</v>
      </c>
      <c r="P183" s="4">
        <f>IF($A183=P$178,"",COUNTIF($D$4:$D$174,$A183&amp;" ضد "&amp;P$178)+COUNTIF($D$4:$D$174,P$178&amp;" ضد "&amp;$A183))</f>
        <v>1</v>
      </c>
      <c r="Q183" s="4">
        <f>IF($A183=Q$178,"",COUNTIF($D$4:$D$174,$A183&amp;" ضد "&amp;Q$178)+COUNTIF($D$4:$D$174,Q$178&amp;" ضد "&amp;$A183))</f>
        <v>1</v>
      </c>
      <c r="R183" s="4">
        <f>IF($A183=R$178,"",COUNTIF($D$4:$D$174,$A183&amp;" ضد "&amp;R$178)+COUNTIF($D$4:$D$174,R$178&amp;" ضد "&amp;$A183))</f>
        <v>1</v>
      </c>
      <c r="S183" s="4">
        <f>IF($A183=S$178,"",COUNTIF($D$4:$D$174,$A183&amp;" ضد "&amp;S$178)+COUNTIF($D$4:$D$174,S$178&amp;" ضد "&amp;$A183))</f>
        <v>1</v>
      </c>
      <c r="T183" s="4">
        <f>IF($A183=T$178,"",COUNTIF($D$4:$D$174,$A183&amp;" ضد "&amp;T$178)+COUNTIF($D$4:$D$174,T$178&amp;" ضد "&amp;$A183))</f>
        <v>1</v>
      </c>
    </row>
    <row r="184" spans="1:20" ht="14.5">
      <c r="A184" s="14">
        <v>6</v>
      </c>
      <c r="B184" s="4">
        <f>IF($A184=B$178,"",COUNTIF($D$4:$D$174,$A184&amp;" ضد "&amp;B$178)+COUNTIF($D$4:$D$174,B$178&amp;" ضد "&amp;$A184))</f>
        <v>1</v>
      </c>
      <c r="C184" s="4">
        <f>IF($A184=C$178,"",COUNTIF($D$4:$D$174,$A184&amp;" ضد "&amp;C$178)+COUNTIF($D$4:$D$174,C$178&amp;" ضد "&amp;$A184))</f>
        <v>1</v>
      </c>
      <c r="D184" s="4">
        <f>IF($A184=D$178,"",COUNTIF($D$4:$D$174,$A184&amp;" ضد "&amp;D$178)+COUNTIF($D$4:$D$174,D$178&amp;" ضد "&amp;$A184))</f>
        <v>1</v>
      </c>
      <c r="E184" s="4">
        <f>IF($A184=E$178,"",COUNTIF($D$4:$D$174,$A184&amp;" ضد "&amp;E$178)+COUNTIF($D$4:$D$174,E$178&amp;" ضد "&amp;$A184))</f>
        <v>1</v>
      </c>
      <c r="F184" s="4">
        <f>IF($A184=F$178,"",COUNTIF($D$4:$D$174,$A184&amp;" ضد "&amp;F$178)+COUNTIF($D$4:$D$174,F$178&amp;" ضد "&amp;$A184))</f>
        <v>1</v>
      </c>
      <c r="G184" s="4" t="str">
        <f>IF($A184=G$178,"",COUNTIF($D$4:$D$174,$A184&amp;" ضد "&amp;G$178)+COUNTIF($D$4:$D$174,G$178&amp;" ضد "&amp;$A184))</f>
        <v/>
      </c>
      <c r="H184" s="4">
        <f>IF($A184=H$178,"",COUNTIF($D$4:$D$174,$A184&amp;" ضد "&amp;H$178)+COUNTIF($D$4:$D$174,H$178&amp;" ضد "&amp;$A184))</f>
        <v>1</v>
      </c>
      <c r="I184" s="4">
        <f>IF($A184=I$178,"",COUNTIF($D$4:$D$174,$A184&amp;" ضد "&amp;I$178)+COUNTIF($D$4:$D$174,I$178&amp;" ضد "&amp;$A184))</f>
        <v>1</v>
      </c>
      <c r="J184" s="4">
        <f>IF($A184=J$178,"",COUNTIF($D$4:$D$174,$A184&amp;" ضد "&amp;J$178)+COUNTIF($D$4:$D$174,J$178&amp;" ضد "&amp;$A184))</f>
        <v>1</v>
      </c>
      <c r="K184" s="4">
        <f>IF($A184=K$178,"",COUNTIF($D$4:$D$174,$A184&amp;" ضد "&amp;K$178)+COUNTIF($D$4:$D$174,K$178&amp;" ضد "&amp;$A184))</f>
        <v>1</v>
      </c>
      <c r="L184" s="4">
        <f>IF($A184=L$178,"",COUNTIF($D$4:$D$174,$A184&amp;" ضد "&amp;L$178)+COUNTIF($D$4:$D$174,L$178&amp;" ضد "&amp;$A184))</f>
        <v>1</v>
      </c>
      <c r="M184" s="4">
        <f>IF($A184=M$178,"",COUNTIF($D$4:$D$174,$A184&amp;" ضد "&amp;M$178)+COUNTIF($D$4:$D$174,M$178&amp;" ضد "&amp;$A184))</f>
        <v>1</v>
      </c>
      <c r="N184" s="4">
        <f>IF($A184=N$178,"",COUNTIF($D$4:$D$174,$A184&amp;" ضد "&amp;N$178)+COUNTIF($D$4:$D$174,N$178&amp;" ضد "&amp;$A184))</f>
        <v>1</v>
      </c>
      <c r="O184" s="4">
        <f>IF($A184=O$178,"",COUNTIF($D$4:$D$174,$A184&amp;" ضد "&amp;O$178)+COUNTIF($D$4:$D$174,O$178&amp;" ضد "&amp;$A184))</f>
        <v>1</v>
      </c>
      <c r="P184" s="4">
        <f>IF($A184=P$178,"",COUNTIF($D$4:$D$174,$A184&amp;" ضد "&amp;P$178)+COUNTIF($D$4:$D$174,P$178&amp;" ضد "&amp;$A184))</f>
        <v>1</v>
      </c>
      <c r="Q184" s="4">
        <f>IF($A184=Q$178,"",COUNTIF($D$4:$D$174,$A184&amp;" ضد "&amp;Q$178)+COUNTIF($D$4:$D$174,Q$178&amp;" ضد "&amp;$A184))</f>
        <v>1</v>
      </c>
      <c r="R184" s="4">
        <f>IF($A184=R$178,"",COUNTIF($D$4:$D$174,$A184&amp;" ضد "&amp;R$178)+COUNTIF($D$4:$D$174,R$178&amp;" ضد "&amp;$A184))</f>
        <v>1</v>
      </c>
      <c r="S184" s="4">
        <f>IF($A184=S$178,"",COUNTIF($D$4:$D$174,$A184&amp;" ضد "&amp;S$178)+COUNTIF($D$4:$D$174,S$178&amp;" ضد "&amp;$A184))</f>
        <v>1</v>
      </c>
      <c r="T184" s="4">
        <f>IF($A184=T$178,"",COUNTIF($D$4:$D$174,$A184&amp;" ضد "&amp;T$178)+COUNTIF($D$4:$D$174,T$178&amp;" ضد "&amp;$A184))</f>
        <v>1</v>
      </c>
    </row>
    <row r="185" spans="1:20" ht="14.5">
      <c r="A185" s="14">
        <v>7</v>
      </c>
      <c r="B185" s="4">
        <f>IF($A185=B$178,"",COUNTIF($D$4:$D$174,$A185&amp;" ضد "&amp;B$178)+COUNTIF($D$4:$D$174,B$178&amp;" ضد "&amp;$A185))</f>
        <v>1</v>
      </c>
      <c r="C185" s="4">
        <f>IF($A185=C$178,"",COUNTIF($D$4:$D$174,$A185&amp;" ضد "&amp;C$178)+COUNTIF($D$4:$D$174,C$178&amp;" ضد "&amp;$A185))</f>
        <v>1</v>
      </c>
      <c r="D185" s="4">
        <f>IF($A185=D$178,"",COUNTIF($D$4:$D$174,$A185&amp;" ضد "&amp;D$178)+COUNTIF($D$4:$D$174,D$178&amp;" ضد "&amp;$A185))</f>
        <v>1</v>
      </c>
      <c r="E185" s="4">
        <f>IF($A185=E$178,"",COUNTIF($D$4:$D$174,$A185&amp;" ضد "&amp;E$178)+COUNTIF($D$4:$D$174,E$178&amp;" ضد "&amp;$A185))</f>
        <v>1</v>
      </c>
      <c r="F185" s="4">
        <f>IF($A185=F$178,"",COUNTIF($D$4:$D$174,$A185&amp;" ضد "&amp;F$178)+COUNTIF($D$4:$D$174,F$178&amp;" ضد "&amp;$A185))</f>
        <v>1</v>
      </c>
      <c r="G185" s="4">
        <f>IF($A185=G$178,"",COUNTIF($D$4:$D$174,$A185&amp;" ضد "&amp;G$178)+COUNTIF($D$4:$D$174,G$178&amp;" ضد "&amp;$A185))</f>
        <v>1</v>
      </c>
      <c r="H185" s="4" t="str">
        <f>IF($A185=H$178,"",COUNTIF($D$4:$D$174,$A185&amp;" ضد "&amp;H$178)+COUNTIF($D$4:$D$174,H$178&amp;" ضد "&amp;$A185))</f>
        <v/>
      </c>
      <c r="I185" s="4">
        <f>IF($A185=I$178,"",COUNTIF($D$4:$D$174,$A185&amp;" ضد "&amp;I$178)+COUNTIF($D$4:$D$174,I$178&amp;" ضد "&amp;$A185))</f>
        <v>1</v>
      </c>
      <c r="J185" s="4">
        <f>IF($A185=J$178,"",COUNTIF($D$4:$D$174,$A185&amp;" ضد "&amp;J$178)+COUNTIF($D$4:$D$174,J$178&amp;" ضد "&amp;$A185))</f>
        <v>1</v>
      </c>
      <c r="K185" s="4">
        <f>IF($A185=K$178,"",COUNTIF($D$4:$D$174,$A185&amp;" ضد "&amp;K$178)+COUNTIF($D$4:$D$174,K$178&amp;" ضد "&amp;$A185))</f>
        <v>1</v>
      </c>
      <c r="L185" s="4">
        <f>IF($A185=L$178,"",COUNTIF($D$4:$D$174,$A185&amp;" ضد "&amp;L$178)+COUNTIF($D$4:$D$174,L$178&amp;" ضد "&amp;$A185))</f>
        <v>1</v>
      </c>
      <c r="M185" s="4">
        <f>IF($A185=M$178,"",COUNTIF($D$4:$D$174,$A185&amp;" ضد "&amp;M$178)+COUNTIF($D$4:$D$174,M$178&amp;" ضد "&amp;$A185))</f>
        <v>1</v>
      </c>
      <c r="N185" s="4">
        <f>IF($A185=N$178,"",COUNTIF($D$4:$D$174,$A185&amp;" ضد "&amp;N$178)+COUNTIF($D$4:$D$174,N$178&amp;" ضد "&amp;$A185))</f>
        <v>1</v>
      </c>
      <c r="O185" s="4">
        <f>IF($A185=O$178,"",COUNTIF($D$4:$D$174,$A185&amp;" ضد "&amp;O$178)+COUNTIF($D$4:$D$174,O$178&amp;" ضد "&amp;$A185))</f>
        <v>1</v>
      </c>
      <c r="P185" s="4">
        <f>IF($A185=P$178,"",COUNTIF($D$4:$D$174,$A185&amp;" ضد "&amp;P$178)+COUNTIF($D$4:$D$174,P$178&amp;" ضد "&amp;$A185))</f>
        <v>1</v>
      </c>
      <c r="Q185" s="4">
        <f>IF($A185=Q$178,"",COUNTIF($D$4:$D$174,$A185&amp;" ضد "&amp;Q$178)+COUNTIF($D$4:$D$174,Q$178&amp;" ضد "&amp;$A185))</f>
        <v>1</v>
      </c>
      <c r="R185" s="4">
        <f>IF($A185=R$178,"",COUNTIF($D$4:$D$174,$A185&amp;" ضد "&amp;R$178)+COUNTIF($D$4:$D$174,R$178&amp;" ضد "&amp;$A185))</f>
        <v>1</v>
      </c>
      <c r="S185" s="4">
        <f>IF($A185=S$178,"",COUNTIF($D$4:$D$174,$A185&amp;" ضد "&amp;S$178)+COUNTIF($D$4:$D$174,S$178&amp;" ضد "&amp;$A185))</f>
        <v>1</v>
      </c>
      <c r="T185" s="4">
        <f>IF($A185=T$178,"",COUNTIF($D$4:$D$174,$A185&amp;" ضد "&amp;T$178)+COUNTIF($D$4:$D$174,T$178&amp;" ضد "&amp;$A185))</f>
        <v>1</v>
      </c>
    </row>
    <row r="186" spans="1:20" ht="14.5">
      <c r="A186" s="14">
        <v>8</v>
      </c>
      <c r="B186" s="4">
        <f>IF($A186=B$178,"",COUNTIF($D$4:$D$174,$A186&amp;" ضد "&amp;B$178)+COUNTIF($D$4:$D$174,B$178&amp;" ضد "&amp;$A186))</f>
        <v>1</v>
      </c>
      <c r="C186" s="4">
        <f>IF($A186=C$178,"",COUNTIF($D$4:$D$174,$A186&amp;" ضد "&amp;C$178)+COUNTIF($D$4:$D$174,C$178&amp;" ضد "&amp;$A186))</f>
        <v>1</v>
      </c>
      <c r="D186" s="4">
        <f>IF($A186=D$178,"",COUNTIF($D$4:$D$174,$A186&amp;" ضد "&amp;D$178)+COUNTIF($D$4:$D$174,D$178&amp;" ضد "&amp;$A186))</f>
        <v>1</v>
      </c>
      <c r="E186" s="4">
        <f>IF($A186=E$178,"",COUNTIF($D$4:$D$174,$A186&amp;" ضد "&amp;E$178)+COUNTIF($D$4:$D$174,E$178&amp;" ضد "&amp;$A186))</f>
        <v>1</v>
      </c>
      <c r="F186" s="4">
        <f>IF($A186=F$178,"",COUNTIF($D$4:$D$174,$A186&amp;" ضد "&amp;F$178)+COUNTIF($D$4:$D$174,F$178&amp;" ضد "&amp;$A186))</f>
        <v>1</v>
      </c>
      <c r="G186" s="4">
        <f>IF($A186=G$178,"",COUNTIF($D$4:$D$174,$A186&amp;" ضد "&amp;G$178)+COUNTIF($D$4:$D$174,G$178&amp;" ضد "&amp;$A186))</f>
        <v>1</v>
      </c>
      <c r="H186" s="4">
        <f>IF($A186=H$178,"",COUNTIF($D$4:$D$174,$A186&amp;" ضد "&amp;H$178)+COUNTIF($D$4:$D$174,H$178&amp;" ضد "&amp;$A186))</f>
        <v>1</v>
      </c>
      <c r="I186" s="4" t="str">
        <f>IF($A186=I$178,"",COUNTIF($D$4:$D$174,$A186&amp;" ضد "&amp;I$178)+COUNTIF($D$4:$D$174,I$178&amp;" ضد "&amp;$A186))</f>
        <v/>
      </c>
      <c r="J186" s="4">
        <f>IF($A186=J$178,"",COUNTIF($D$4:$D$174,$A186&amp;" ضد "&amp;J$178)+COUNTIF($D$4:$D$174,J$178&amp;" ضد "&amp;$A186))</f>
        <v>1</v>
      </c>
      <c r="K186" s="4">
        <f>IF($A186=K$178,"",COUNTIF($D$4:$D$174,$A186&amp;" ضد "&amp;K$178)+COUNTIF($D$4:$D$174,K$178&amp;" ضد "&amp;$A186))</f>
        <v>1</v>
      </c>
      <c r="L186" s="4">
        <f>IF($A186=L$178,"",COUNTIF($D$4:$D$174,$A186&amp;" ضد "&amp;L$178)+COUNTIF($D$4:$D$174,L$178&amp;" ضد "&amp;$A186))</f>
        <v>1</v>
      </c>
      <c r="M186" s="4">
        <f>IF($A186=M$178,"",COUNTIF($D$4:$D$174,$A186&amp;" ضد "&amp;M$178)+COUNTIF($D$4:$D$174,M$178&amp;" ضد "&amp;$A186))</f>
        <v>1</v>
      </c>
      <c r="N186" s="4">
        <f>IF($A186=N$178,"",COUNTIF($D$4:$D$174,$A186&amp;" ضد "&amp;N$178)+COUNTIF($D$4:$D$174,N$178&amp;" ضد "&amp;$A186))</f>
        <v>1</v>
      </c>
      <c r="O186" s="4">
        <f>IF($A186=O$178,"",COUNTIF($D$4:$D$174,$A186&amp;" ضد "&amp;O$178)+COUNTIF($D$4:$D$174,O$178&amp;" ضد "&amp;$A186))</f>
        <v>1</v>
      </c>
      <c r="P186" s="4">
        <f>IF($A186=P$178,"",COUNTIF($D$4:$D$174,$A186&amp;" ضد "&amp;P$178)+COUNTIF($D$4:$D$174,P$178&amp;" ضد "&amp;$A186))</f>
        <v>1</v>
      </c>
      <c r="Q186" s="4">
        <f>IF($A186=Q$178,"",COUNTIF($D$4:$D$174,$A186&amp;" ضد "&amp;Q$178)+COUNTIF($D$4:$D$174,Q$178&amp;" ضد "&amp;$A186))</f>
        <v>1</v>
      </c>
      <c r="R186" s="4">
        <f>IF($A186=R$178,"",COUNTIF($D$4:$D$174,$A186&amp;" ضد "&amp;R$178)+COUNTIF($D$4:$D$174,R$178&amp;" ضد "&amp;$A186))</f>
        <v>1</v>
      </c>
      <c r="S186" s="4">
        <f>IF($A186=S$178,"",COUNTIF($D$4:$D$174,$A186&amp;" ضد "&amp;S$178)+COUNTIF($D$4:$D$174,S$178&amp;" ضد "&amp;$A186))</f>
        <v>1</v>
      </c>
      <c r="T186" s="4">
        <f>IF($A186=T$178,"",COUNTIF($D$4:$D$174,$A186&amp;" ضد "&amp;T$178)+COUNTIF($D$4:$D$174,T$178&amp;" ضد "&amp;$A186))</f>
        <v>1</v>
      </c>
    </row>
    <row r="187" spans="1:20" ht="14.5">
      <c r="A187" s="14">
        <v>9</v>
      </c>
      <c r="B187" s="4">
        <f>IF($A187=B$178,"",COUNTIF($D$4:$D$174,$A187&amp;" ضد "&amp;B$178)+COUNTIF($D$4:$D$174,B$178&amp;" ضد "&amp;$A187))</f>
        <v>1</v>
      </c>
      <c r="C187" s="4">
        <f>IF($A187=C$178,"",COUNTIF($D$4:$D$174,$A187&amp;" ضد "&amp;C$178)+COUNTIF($D$4:$D$174,C$178&amp;" ضد "&amp;$A187))</f>
        <v>1</v>
      </c>
      <c r="D187" s="4">
        <f>IF($A187=D$178,"",COUNTIF($D$4:$D$174,$A187&amp;" ضد "&amp;D$178)+COUNTIF($D$4:$D$174,D$178&amp;" ضد "&amp;$A187))</f>
        <v>1</v>
      </c>
      <c r="E187" s="4">
        <f>IF($A187=E$178,"",COUNTIF($D$4:$D$174,$A187&amp;" ضد "&amp;E$178)+COUNTIF($D$4:$D$174,E$178&amp;" ضد "&amp;$A187))</f>
        <v>1</v>
      </c>
      <c r="F187" s="4">
        <f>IF($A187=F$178,"",COUNTIF($D$4:$D$174,$A187&amp;" ضد "&amp;F$178)+COUNTIF($D$4:$D$174,F$178&amp;" ضد "&amp;$A187))</f>
        <v>1</v>
      </c>
      <c r="G187" s="4">
        <f>IF($A187=G$178,"",COUNTIF($D$4:$D$174,$A187&amp;" ضد "&amp;G$178)+COUNTIF($D$4:$D$174,G$178&amp;" ضد "&amp;$A187))</f>
        <v>1</v>
      </c>
      <c r="H187" s="4">
        <f>IF($A187=H$178,"",COUNTIF($D$4:$D$174,$A187&amp;" ضد "&amp;H$178)+COUNTIF($D$4:$D$174,H$178&amp;" ضد "&amp;$A187))</f>
        <v>1</v>
      </c>
      <c r="I187" s="4">
        <f>IF($A187=I$178,"",COUNTIF($D$4:$D$174,$A187&amp;" ضد "&amp;I$178)+COUNTIF($D$4:$D$174,I$178&amp;" ضد "&amp;$A187))</f>
        <v>1</v>
      </c>
      <c r="J187" s="4" t="str">
        <f>IF($A187=J$178,"",COUNTIF($D$4:$D$174,$A187&amp;" ضد "&amp;J$178)+COUNTIF($D$4:$D$174,J$178&amp;" ضد "&amp;$A187))</f>
        <v/>
      </c>
      <c r="K187" s="4">
        <f>IF($A187=K$178,"",COUNTIF($D$4:$D$174,$A187&amp;" ضد "&amp;K$178)+COUNTIF($D$4:$D$174,K$178&amp;" ضد "&amp;$A187))</f>
        <v>1</v>
      </c>
      <c r="L187" s="4">
        <f>IF($A187=L$178,"",COUNTIF($D$4:$D$174,$A187&amp;" ضد "&amp;L$178)+COUNTIF($D$4:$D$174,L$178&amp;" ضد "&amp;$A187))</f>
        <v>1</v>
      </c>
      <c r="M187" s="4">
        <f>IF($A187=M$178,"",COUNTIF($D$4:$D$174,$A187&amp;" ضد "&amp;M$178)+COUNTIF($D$4:$D$174,M$178&amp;" ضد "&amp;$A187))</f>
        <v>1</v>
      </c>
      <c r="N187" s="4">
        <f>IF($A187=N$178,"",COUNTIF($D$4:$D$174,$A187&amp;" ضد "&amp;N$178)+COUNTIF($D$4:$D$174,N$178&amp;" ضد "&amp;$A187))</f>
        <v>1</v>
      </c>
      <c r="O187" s="4">
        <f>IF($A187=O$178,"",COUNTIF($D$4:$D$174,$A187&amp;" ضد "&amp;O$178)+COUNTIF($D$4:$D$174,O$178&amp;" ضد "&amp;$A187))</f>
        <v>1</v>
      </c>
      <c r="P187" s="4">
        <f>IF($A187=P$178,"",COUNTIF($D$4:$D$174,$A187&amp;" ضد "&amp;P$178)+COUNTIF($D$4:$D$174,P$178&amp;" ضد "&amp;$A187))</f>
        <v>1</v>
      </c>
      <c r="Q187" s="4">
        <f>IF($A187=Q$178,"",COUNTIF($D$4:$D$174,$A187&amp;" ضد "&amp;Q$178)+COUNTIF($D$4:$D$174,Q$178&amp;" ضد "&amp;$A187))</f>
        <v>1</v>
      </c>
      <c r="R187" s="4">
        <f>IF($A187=R$178,"",COUNTIF($D$4:$D$174,$A187&amp;" ضد "&amp;R$178)+COUNTIF($D$4:$D$174,R$178&amp;" ضد "&amp;$A187))</f>
        <v>1</v>
      </c>
      <c r="S187" s="4">
        <f>IF($A187=S$178,"",COUNTIF($D$4:$D$174,$A187&amp;" ضد "&amp;S$178)+COUNTIF($D$4:$D$174,S$178&amp;" ضد "&amp;$A187))</f>
        <v>1</v>
      </c>
      <c r="T187" s="4">
        <f>IF($A187=T$178,"",COUNTIF($D$4:$D$174,$A187&amp;" ضد "&amp;T$178)+COUNTIF($D$4:$D$174,T$178&amp;" ضد "&amp;$A187))</f>
        <v>1</v>
      </c>
    </row>
    <row r="188" spans="1:20" ht="14.5">
      <c r="A188" s="14">
        <v>10</v>
      </c>
      <c r="B188" s="4">
        <f>IF($A188=B$178,"",COUNTIF($D$4:$D$174,$A188&amp;" ضد "&amp;B$178)+COUNTIF($D$4:$D$174,B$178&amp;" ضد "&amp;$A188))</f>
        <v>1</v>
      </c>
      <c r="C188" s="4">
        <f>IF($A188=C$178,"",COUNTIF($D$4:$D$174,$A188&amp;" ضد "&amp;C$178)+COUNTIF($D$4:$D$174,C$178&amp;" ضد "&amp;$A188))</f>
        <v>1</v>
      </c>
      <c r="D188" s="4">
        <f>IF($A188=D$178,"",COUNTIF($D$4:$D$174,$A188&amp;" ضد "&amp;D$178)+COUNTIF($D$4:$D$174,D$178&amp;" ضد "&amp;$A188))</f>
        <v>1</v>
      </c>
      <c r="E188" s="4">
        <f>IF($A188=E$178,"",COUNTIF($D$4:$D$174,$A188&amp;" ضد "&amp;E$178)+COUNTIF($D$4:$D$174,E$178&amp;" ضد "&amp;$A188))</f>
        <v>1</v>
      </c>
      <c r="F188" s="4">
        <f>IF($A188=F$178,"",COUNTIF($D$4:$D$174,$A188&amp;" ضد "&amp;F$178)+COUNTIF($D$4:$D$174,F$178&amp;" ضد "&amp;$A188))</f>
        <v>1</v>
      </c>
      <c r="G188" s="4">
        <f>IF($A188=G$178,"",COUNTIF($D$4:$D$174,$A188&amp;" ضد "&amp;G$178)+COUNTIF($D$4:$D$174,G$178&amp;" ضد "&amp;$A188))</f>
        <v>1</v>
      </c>
      <c r="H188" s="4">
        <f>IF($A188=H$178,"",COUNTIF($D$4:$D$174,$A188&amp;" ضد "&amp;H$178)+COUNTIF($D$4:$D$174,H$178&amp;" ضد "&amp;$A188))</f>
        <v>1</v>
      </c>
      <c r="I188" s="4">
        <f>IF($A188=I$178,"",COUNTIF($D$4:$D$174,$A188&amp;" ضد "&amp;I$178)+COUNTIF($D$4:$D$174,I$178&amp;" ضد "&amp;$A188))</f>
        <v>1</v>
      </c>
      <c r="J188" s="4">
        <f>IF($A188=J$178,"",COUNTIF($D$4:$D$174,$A188&amp;" ضد "&amp;J$178)+COUNTIF($D$4:$D$174,J$178&amp;" ضد "&amp;$A188))</f>
        <v>1</v>
      </c>
      <c r="K188" s="4" t="str">
        <f>IF($A188=K$178,"",COUNTIF($D$4:$D$174,$A188&amp;" ضد "&amp;K$178)+COUNTIF($D$4:$D$174,K$178&amp;" ضد "&amp;$A188))</f>
        <v/>
      </c>
      <c r="L188" s="4">
        <f>IF($A188=L$178,"",COUNTIF($D$4:$D$174,$A188&amp;" ضد "&amp;L$178)+COUNTIF($D$4:$D$174,L$178&amp;" ضد "&amp;$A188))</f>
        <v>1</v>
      </c>
      <c r="M188" s="4">
        <f>IF($A188=M$178,"",COUNTIF($D$4:$D$174,$A188&amp;" ضد "&amp;M$178)+COUNTIF($D$4:$D$174,M$178&amp;" ضد "&amp;$A188))</f>
        <v>1</v>
      </c>
      <c r="N188" s="4">
        <f>IF($A188=N$178,"",COUNTIF($D$4:$D$174,$A188&amp;" ضد "&amp;N$178)+COUNTIF($D$4:$D$174,N$178&amp;" ضد "&amp;$A188))</f>
        <v>1</v>
      </c>
      <c r="O188" s="4">
        <f>IF($A188=O$178,"",COUNTIF($D$4:$D$174,$A188&amp;" ضد "&amp;O$178)+COUNTIF($D$4:$D$174,O$178&amp;" ضد "&amp;$A188))</f>
        <v>1</v>
      </c>
      <c r="P188" s="4">
        <f>IF($A188=P$178,"",COUNTIF($D$4:$D$174,$A188&amp;" ضد "&amp;P$178)+COUNTIF($D$4:$D$174,P$178&amp;" ضد "&amp;$A188))</f>
        <v>1</v>
      </c>
      <c r="Q188" s="4">
        <f>IF($A188=Q$178,"",COUNTIF($D$4:$D$174,$A188&amp;" ضد "&amp;Q$178)+COUNTIF($D$4:$D$174,Q$178&amp;" ضد "&amp;$A188))</f>
        <v>1</v>
      </c>
      <c r="R188" s="4">
        <f>IF($A188=R$178,"",COUNTIF($D$4:$D$174,$A188&amp;" ضد "&amp;R$178)+COUNTIF($D$4:$D$174,R$178&amp;" ضد "&amp;$A188))</f>
        <v>1</v>
      </c>
      <c r="S188" s="4">
        <f>IF($A188=S$178,"",COUNTIF($D$4:$D$174,$A188&amp;" ضد "&amp;S$178)+COUNTIF($D$4:$D$174,S$178&amp;" ضد "&amp;$A188))</f>
        <v>1</v>
      </c>
      <c r="T188" s="4">
        <f>IF($A188=T$178,"",COUNTIF($D$4:$D$174,$A188&amp;" ضد "&amp;T$178)+COUNTIF($D$4:$D$174,T$178&amp;" ضد "&amp;$A188))</f>
        <v>1</v>
      </c>
    </row>
    <row r="189" spans="1:20" ht="14.5">
      <c r="A189" s="14">
        <v>11</v>
      </c>
      <c r="B189" s="4">
        <f>IF($A189=B$178,"",COUNTIF($D$4:$D$174,$A189&amp;" ضد "&amp;B$178)+COUNTIF($D$4:$D$174,B$178&amp;" ضد "&amp;$A189))</f>
        <v>1</v>
      </c>
      <c r="C189" s="4">
        <f>IF($A189=C$178,"",COUNTIF($D$4:$D$174,$A189&amp;" ضد "&amp;C$178)+COUNTIF($D$4:$D$174,C$178&amp;" ضد "&amp;$A189))</f>
        <v>1</v>
      </c>
      <c r="D189" s="4">
        <f>IF($A189=D$178,"",COUNTIF($D$4:$D$174,$A189&amp;" ضد "&amp;D$178)+COUNTIF($D$4:$D$174,D$178&amp;" ضد "&amp;$A189))</f>
        <v>1</v>
      </c>
      <c r="E189" s="4">
        <f>IF($A189=E$178,"",COUNTIF($D$4:$D$174,$A189&amp;" ضد "&amp;E$178)+COUNTIF($D$4:$D$174,E$178&amp;" ضد "&amp;$A189))</f>
        <v>1</v>
      </c>
      <c r="F189" s="4">
        <f>IF($A189=F$178,"",COUNTIF($D$4:$D$174,$A189&amp;" ضد "&amp;F$178)+COUNTIF($D$4:$D$174,F$178&amp;" ضد "&amp;$A189))</f>
        <v>1</v>
      </c>
      <c r="G189" s="4">
        <f>IF($A189=G$178,"",COUNTIF($D$4:$D$174,$A189&amp;" ضد "&amp;G$178)+COUNTIF($D$4:$D$174,G$178&amp;" ضد "&amp;$A189))</f>
        <v>1</v>
      </c>
      <c r="H189" s="4">
        <f>IF($A189=H$178,"",COUNTIF($D$4:$D$174,$A189&amp;" ضد "&amp;H$178)+COUNTIF($D$4:$D$174,H$178&amp;" ضد "&amp;$A189))</f>
        <v>1</v>
      </c>
      <c r="I189" s="4">
        <f>IF($A189=I$178,"",COUNTIF($D$4:$D$174,$A189&amp;" ضد "&amp;I$178)+COUNTIF($D$4:$D$174,I$178&amp;" ضد "&amp;$A189))</f>
        <v>1</v>
      </c>
      <c r="J189" s="4">
        <f>IF($A189=J$178,"",COUNTIF($D$4:$D$174,$A189&amp;" ضد "&amp;J$178)+COUNTIF($D$4:$D$174,J$178&amp;" ضد "&amp;$A189))</f>
        <v>1</v>
      </c>
      <c r="K189" s="4">
        <f>IF($A189=K$178,"",COUNTIF($D$4:$D$174,$A189&amp;" ضد "&amp;K$178)+COUNTIF($D$4:$D$174,K$178&amp;" ضد "&amp;$A189))</f>
        <v>1</v>
      </c>
      <c r="L189" s="4" t="str">
        <f>IF($A189=L$178,"",COUNTIF($D$4:$D$174,$A189&amp;" ضد "&amp;L$178)+COUNTIF($D$4:$D$174,L$178&amp;" ضد "&amp;$A189))</f>
        <v/>
      </c>
      <c r="M189" s="4">
        <f>IF($A189=M$178,"",COUNTIF($D$4:$D$174,$A189&amp;" ضد "&amp;M$178)+COUNTIF($D$4:$D$174,M$178&amp;" ضد "&amp;$A189))</f>
        <v>1</v>
      </c>
      <c r="N189" s="4">
        <f>IF($A189=N$178,"",COUNTIF($D$4:$D$174,$A189&amp;" ضد "&amp;N$178)+COUNTIF($D$4:$D$174,N$178&amp;" ضد "&amp;$A189))</f>
        <v>1</v>
      </c>
      <c r="O189" s="4">
        <f>IF($A189=O$178,"",COUNTIF($D$4:$D$174,$A189&amp;" ضد "&amp;O$178)+COUNTIF($D$4:$D$174,O$178&amp;" ضد "&amp;$A189))</f>
        <v>1</v>
      </c>
      <c r="P189" s="4">
        <f>IF($A189=P$178,"",COUNTIF($D$4:$D$174,$A189&amp;" ضد "&amp;P$178)+COUNTIF($D$4:$D$174,P$178&amp;" ضد "&amp;$A189))</f>
        <v>1</v>
      </c>
      <c r="Q189" s="4">
        <f>IF($A189=Q$178,"",COUNTIF($D$4:$D$174,$A189&amp;" ضد "&amp;Q$178)+COUNTIF($D$4:$D$174,Q$178&amp;" ضد "&amp;$A189))</f>
        <v>1</v>
      </c>
      <c r="R189" s="4">
        <f>IF($A189=R$178,"",COUNTIF($D$4:$D$174,$A189&amp;" ضد "&amp;R$178)+COUNTIF($D$4:$D$174,R$178&amp;" ضد "&amp;$A189))</f>
        <v>1</v>
      </c>
      <c r="S189" s="4">
        <f>IF($A189=S$178,"",COUNTIF($D$4:$D$174,$A189&amp;" ضد "&amp;S$178)+COUNTIF($D$4:$D$174,S$178&amp;" ضد "&amp;$A189))</f>
        <v>1</v>
      </c>
      <c r="T189" s="4">
        <f>IF($A189=T$178,"",COUNTIF($D$4:$D$174,$A189&amp;" ضد "&amp;T$178)+COUNTIF($D$4:$D$174,T$178&amp;" ضد "&amp;$A189))</f>
        <v>1</v>
      </c>
    </row>
    <row r="190" spans="1:20" ht="14.5">
      <c r="A190" s="14">
        <v>12</v>
      </c>
      <c r="B190" s="4">
        <f>IF($A190=B$178,"",COUNTIF($D$4:$D$174,$A190&amp;" ضد "&amp;B$178)+COUNTIF($D$4:$D$174,B$178&amp;" ضد "&amp;$A190))</f>
        <v>1</v>
      </c>
      <c r="C190" s="4">
        <f>IF($A190=C$178,"",COUNTIF($D$4:$D$174,$A190&amp;" ضد "&amp;C$178)+COUNTIF($D$4:$D$174,C$178&amp;" ضد "&amp;$A190))</f>
        <v>1</v>
      </c>
      <c r="D190" s="4">
        <f>IF($A190=D$178,"",COUNTIF($D$4:$D$174,$A190&amp;" ضد "&amp;D$178)+COUNTIF($D$4:$D$174,D$178&amp;" ضد "&amp;$A190))</f>
        <v>1</v>
      </c>
      <c r="E190" s="4">
        <f>IF($A190=E$178,"",COUNTIF($D$4:$D$174,$A190&amp;" ضد "&amp;E$178)+COUNTIF($D$4:$D$174,E$178&amp;" ضد "&amp;$A190))</f>
        <v>1</v>
      </c>
      <c r="F190" s="4">
        <f>IF($A190=F$178,"",COUNTIF($D$4:$D$174,$A190&amp;" ضد "&amp;F$178)+COUNTIF($D$4:$D$174,F$178&amp;" ضد "&amp;$A190))</f>
        <v>1</v>
      </c>
      <c r="G190" s="4">
        <f>IF($A190=G$178,"",COUNTIF($D$4:$D$174,$A190&amp;" ضد "&amp;G$178)+COUNTIF($D$4:$D$174,G$178&amp;" ضد "&amp;$A190))</f>
        <v>1</v>
      </c>
      <c r="H190" s="4">
        <f>IF($A190=H$178,"",COUNTIF($D$4:$D$174,$A190&amp;" ضد "&amp;H$178)+COUNTIF($D$4:$D$174,H$178&amp;" ضد "&amp;$A190))</f>
        <v>1</v>
      </c>
      <c r="I190" s="4">
        <f>IF($A190=I$178,"",COUNTIF($D$4:$D$174,$A190&amp;" ضد "&amp;I$178)+COUNTIF($D$4:$D$174,I$178&amp;" ضد "&amp;$A190))</f>
        <v>1</v>
      </c>
      <c r="J190" s="4">
        <f>IF($A190=J$178,"",COUNTIF($D$4:$D$174,$A190&amp;" ضد "&amp;J$178)+COUNTIF($D$4:$D$174,J$178&amp;" ضد "&amp;$A190))</f>
        <v>1</v>
      </c>
      <c r="K190" s="4">
        <f>IF($A190=K$178,"",COUNTIF($D$4:$D$174,$A190&amp;" ضد "&amp;K$178)+COUNTIF($D$4:$D$174,K$178&amp;" ضد "&amp;$A190))</f>
        <v>1</v>
      </c>
      <c r="L190" s="4">
        <f>IF($A190=L$178,"",COUNTIF($D$4:$D$174,$A190&amp;" ضد "&amp;L$178)+COUNTIF($D$4:$D$174,L$178&amp;" ضد "&amp;$A190))</f>
        <v>1</v>
      </c>
      <c r="M190" s="4" t="str">
        <f>IF($A190=M$178,"",COUNTIF($D$4:$D$174,$A190&amp;" ضد "&amp;M$178)+COUNTIF($D$4:$D$174,M$178&amp;" ضد "&amp;$A190))</f>
        <v/>
      </c>
      <c r="N190" s="4">
        <f>IF($A190=N$178,"",COUNTIF($D$4:$D$174,$A190&amp;" ضد "&amp;N$178)+COUNTIF($D$4:$D$174,N$178&amp;" ضد "&amp;$A190))</f>
        <v>1</v>
      </c>
      <c r="O190" s="4">
        <f>IF($A190=O$178,"",COUNTIF($D$4:$D$174,$A190&amp;" ضد "&amp;O$178)+COUNTIF($D$4:$D$174,O$178&amp;" ضد "&amp;$A190))</f>
        <v>1</v>
      </c>
      <c r="P190" s="4">
        <f>IF($A190=P$178,"",COUNTIF($D$4:$D$174,$A190&amp;" ضد "&amp;P$178)+COUNTIF($D$4:$D$174,P$178&amp;" ضد "&amp;$A190))</f>
        <v>1</v>
      </c>
      <c r="Q190" s="4">
        <f>IF($A190=Q$178,"",COUNTIF($D$4:$D$174,$A190&amp;" ضد "&amp;Q$178)+COUNTIF($D$4:$D$174,Q$178&amp;" ضد "&amp;$A190))</f>
        <v>1</v>
      </c>
      <c r="R190" s="4">
        <f>IF($A190=R$178,"",COUNTIF($D$4:$D$174,$A190&amp;" ضد "&amp;R$178)+COUNTIF($D$4:$D$174,R$178&amp;" ضد "&amp;$A190))</f>
        <v>1</v>
      </c>
      <c r="S190" s="4">
        <f>IF($A190=S$178,"",COUNTIF($D$4:$D$174,$A190&amp;" ضد "&amp;S$178)+COUNTIF($D$4:$D$174,S$178&amp;" ضد "&amp;$A190))</f>
        <v>1</v>
      </c>
      <c r="T190" s="4">
        <f>IF($A190=T$178,"",COUNTIF($D$4:$D$174,$A190&amp;" ضد "&amp;T$178)+COUNTIF($D$4:$D$174,T$178&amp;" ضد "&amp;$A190))</f>
        <v>1</v>
      </c>
    </row>
    <row r="191" spans="1:20" ht="14.5">
      <c r="A191" s="14">
        <v>13</v>
      </c>
      <c r="B191" s="4">
        <f>IF($A191=B$178,"",COUNTIF($D$4:$D$174,$A191&amp;" ضد "&amp;B$178)+COUNTIF($D$4:$D$174,B$178&amp;" ضد "&amp;$A191))</f>
        <v>1</v>
      </c>
      <c r="C191" s="4">
        <f>IF($A191=C$178,"",COUNTIF($D$4:$D$174,$A191&amp;" ضد "&amp;C$178)+COUNTIF($D$4:$D$174,C$178&amp;" ضد "&amp;$A191))</f>
        <v>1</v>
      </c>
      <c r="D191" s="4">
        <f>IF($A191=D$178,"",COUNTIF($D$4:$D$174,$A191&amp;" ضد "&amp;D$178)+COUNTIF($D$4:$D$174,D$178&amp;" ضد "&amp;$A191))</f>
        <v>1</v>
      </c>
      <c r="E191" s="4">
        <f>IF($A191=E$178,"",COUNTIF($D$4:$D$174,$A191&amp;" ضد "&amp;E$178)+COUNTIF($D$4:$D$174,E$178&amp;" ضد "&amp;$A191))</f>
        <v>1</v>
      </c>
      <c r="F191" s="4">
        <f>IF($A191=F$178,"",COUNTIF($D$4:$D$174,$A191&amp;" ضد "&amp;F$178)+COUNTIF($D$4:$D$174,F$178&amp;" ضد "&amp;$A191))</f>
        <v>1</v>
      </c>
      <c r="G191" s="4">
        <f>IF($A191=G$178,"",COUNTIF($D$4:$D$174,$A191&amp;" ضد "&amp;G$178)+COUNTIF($D$4:$D$174,G$178&amp;" ضد "&amp;$A191))</f>
        <v>1</v>
      </c>
      <c r="H191" s="4">
        <f>IF($A191=H$178,"",COUNTIF($D$4:$D$174,$A191&amp;" ضد "&amp;H$178)+COUNTIF($D$4:$D$174,H$178&amp;" ضد "&amp;$A191))</f>
        <v>1</v>
      </c>
      <c r="I191" s="4">
        <f>IF($A191=I$178,"",COUNTIF($D$4:$D$174,$A191&amp;" ضد "&amp;I$178)+COUNTIF($D$4:$D$174,I$178&amp;" ضد "&amp;$A191))</f>
        <v>1</v>
      </c>
      <c r="J191" s="4">
        <f>IF($A191=J$178,"",COUNTIF($D$4:$D$174,$A191&amp;" ضد "&amp;J$178)+COUNTIF($D$4:$D$174,J$178&amp;" ضد "&amp;$A191))</f>
        <v>1</v>
      </c>
      <c r="K191" s="4">
        <f>IF($A191=K$178,"",COUNTIF($D$4:$D$174,$A191&amp;" ضد "&amp;K$178)+COUNTIF($D$4:$D$174,K$178&amp;" ضد "&amp;$A191))</f>
        <v>1</v>
      </c>
      <c r="L191" s="4">
        <f>IF($A191=L$178,"",COUNTIF($D$4:$D$174,$A191&amp;" ضد "&amp;L$178)+COUNTIF($D$4:$D$174,L$178&amp;" ضد "&amp;$A191))</f>
        <v>1</v>
      </c>
      <c r="M191" s="4">
        <f>IF($A191=M$178,"",COUNTIF($D$4:$D$174,$A191&amp;" ضد "&amp;M$178)+COUNTIF($D$4:$D$174,M$178&amp;" ضد "&amp;$A191))</f>
        <v>1</v>
      </c>
      <c r="N191" s="4" t="str">
        <f>IF($A191=N$178,"",COUNTIF($D$4:$D$174,$A191&amp;" ضد "&amp;N$178)+COUNTIF($D$4:$D$174,N$178&amp;" ضد "&amp;$A191))</f>
        <v/>
      </c>
      <c r="O191" s="4">
        <f>IF($A191=O$178,"",COUNTIF($D$4:$D$174,$A191&amp;" ضد "&amp;O$178)+COUNTIF($D$4:$D$174,O$178&amp;" ضد "&amp;$A191))</f>
        <v>1</v>
      </c>
      <c r="P191" s="4">
        <f>IF($A191=P$178,"",COUNTIF($D$4:$D$174,$A191&amp;" ضد "&amp;P$178)+COUNTIF($D$4:$D$174,P$178&amp;" ضد "&amp;$A191))</f>
        <v>1</v>
      </c>
      <c r="Q191" s="4">
        <f>IF($A191=Q$178,"",COUNTIF($D$4:$D$174,$A191&amp;" ضد "&amp;Q$178)+COUNTIF($D$4:$D$174,Q$178&amp;" ضد "&amp;$A191))</f>
        <v>1</v>
      </c>
      <c r="R191" s="4">
        <f>IF($A191=R$178,"",COUNTIF($D$4:$D$174,$A191&amp;" ضد "&amp;R$178)+COUNTIF($D$4:$D$174,R$178&amp;" ضد "&amp;$A191))</f>
        <v>1</v>
      </c>
      <c r="S191" s="4">
        <f>IF($A191=S$178,"",COUNTIF($D$4:$D$174,$A191&amp;" ضد "&amp;S$178)+COUNTIF($D$4:$D$174,S$178&amp;" ضد "&amp;$A191))</f>
        <v>1</v>
      </c>
      <c r="T191" s="4">
        <f>IF($A191=T$178,"",COUNTIF($D$4:$D$174,$A191&amp;" ضد "&amp;T$178)+COUNTIF($D$4:$D$174,T$178&amp;" ضد "&amp;$A191))</f>
        <v>1</v>
      </c>
    </row>
    <row r="192" spans="1:20" ht="14.5">
      <c r="A192" s="14">
        <v>14</v>
      </c>
      <c r="B192" s="4">
        <f>IF($A192=B$178,"",COUNTIF($D$4:$D$174,$A192&amp;" ضد "&amp;B$178)+COUNTIF($D$4:$D$174,B$178&amp;" ضد "&amp;$A192))</f>
        <v>1</v>
      </c>
      <c r="C192" s="4">
        <f>IF($A192=C$178,"",COUNTIF($D$4:$D$174,$A192&amp;" ضد "&amp;C$178)+COUNTIF($D$4:$D$174,C$178&amp;" ضد "&amp;$A192))</f>
        <v>1</v>
      </c>
      <c r="D192" s="4">
        <f>IF($A192=D$178,"",COUNTIF($D$4:$D$174,$A192&amp;" ضد "&amp;D$178)+COUNTIF($D$4:$D$174,D$178&amp;" ضد "&amp;$A192))</f>
        <v>1</v>
      </c>
      <c r="E192" s="4">
        <f>IF($A192=E$178,"",COUNTIF($D$4:$D$174,$A192&amp;" ضد "&amp;E$178)+COUNTIF($D$4:$D$174,E$178&amp;" ضد "&amp;$A192))</f>
        <v>1</v>
      </c>
      <c r="F192" s="4">
        <f>IF($A192=F$178,"",COUNTIF($D$4:$D$174,$A192&amp;" ضد "&amp;F$178)+COUNTIF($D$4:$D$174,F$178&amp;" ضد "&amp;$A192))</f>
        <v>1</v>
      </c>
      <c r="G192" s="4">
        <f>IF($A192=G$178,"",COUNTIF($D$4:$D$174,$A192&amp;" ضد "&amp;G$178)+COUNTIF($D$4:$D$174,G$178&amp;" ضد "&amp;$A192))</f>
        <v>1</v>
      </c>
      <c r="H192" s="4">
        <f>IF($A192=H$178,"",COUNTIF($D$4:$D$174,$A192&amp;" ضد "&amp;H$178)+COUNTIF($D$4:$D$174,H$178&amp;" ضد "&amp;$A192))</f>
        <v>1</v>
      </c>
      <c r="I192" s="4">
        <f>IF($A192=I$178,"",COUNTIF($D$4:$D$174,$A192&amp;" ضد "&amp;I$178)+COUNTIF($D$4:$D$174,I$178&amp;" ضد "&amp;$A192))</f>
        <v>1</v>
      </c>
      <c r="J192" s="4">
        <f>IF($A192=J$178,"",COUNTIF($D$4:$D$174,$A192&amp;" ضد "&amp;J$178)+COUNTIF($D$4:$D$174,J$178&amp;" ضد "&amp;$A192))</f>
        <v>1</v>
      </c>
      <c r="K192" s="4">
        <f>IF($A192=K$178,"",COUNTIF($D$4:$D$174,$A192&amp;" ضد "&amp;K$178)+COUNTIF($D$4:$D$174,K$178&amp;" ضد "&amp;$A192))</f>
        <v>1</v>
      </c>
      <c r="L192" s="4">
        <f>IF($A192=L$178,"",COUNTIF($D$4:$D$174,$A192&amp;" ضد "&amp;L$178)+COUNTIF($D$4:$D$174,L$178&amp;" ضد "&amp;$A192))</f>
        <v>1</v>
      </c>
      <c r="M192" s="4">
        <f>IF($A192=M$178,"",COUNTIF($D$4:$D$174,$A192&amp;" ضد "&amp;M$178)+COUNTIF($D$4:$D$174,M$178&amp;" ضد "&amp;$A192))</f>
        <v>1</v>
      </c>
      <c r="N192" s="4">
        <f>IF($A192=N$178,"",COUNTIF($D$4:$D$174,$A192&amp;" ضد "&amp;N$178)+COUNTIF($D$4:$D$174,N$178&amp;" ضد "&amp;$A192))</f>
        <v>1</v>
      </c>
      <c r="O192" s="4" t="str">
        <f>IF($A192=O$178,"",COUNTIF($D$4:$D$174,$A192&amp;" ضد "&amp;O$178)+COUNTIF($D$4:$D$174,O$178&amp;" ضد "&amp;$A192))</f>
        <v/>
      </c>
      <c r="P192" s="4">
        <f>IF($A192=P$178,"",COUNTIF($D$4:$D$174,$A192&amp;" ضد "&amp;P$178)+COUNTIF($D$4:$D$174,P$178&amp;" ضد "&amp;$A192))</f>
        <v>1</v>
      </c>
      <c r="Q192" s="4">
        <f>IF($A192=Q$178,"",COUNTIF($D$4:$D$174,$A192&amp;" ضد "&amp;Q$178)+COUNTIF($D$4:$D$174,Q$178&amp;" ضد "&amp;$A192))</f>
        <v>1</v>
      </c>
      <c r="R192" s="4">
        <f>IF($A192=R$178,"",COUNTIF($D$4:$D$174,$A192&amp;" ضد "&amp;R$178)+COUNTIF($D$4:$D$174,R$178&amp;" ضد "&amp;$A192))</f>
        <v>1</v>
      </c>
      <c r="S192" s="4">
        <f>IF($A192=S$178,"",COUNTIF($D$4:$D$174,$A192&amp;" ضد "&amp;S$178)+COUNTIF($D$4:$D$174,S$178&amp;" ضد "&amp;$A192))</f>
        <v>1</v>
      </c>
      <c r="T192" s="4">
        <f>IF($A192=T$178,"",COUNTIF($D$4:$D$174,$A192&amp;" ضد "&amp;T$178)+COUNTIF($D$4:$D$174,T$178&amp;" ضد "&amp;$A192))</f>
        <v>1</v>
      </c>
    </row>
    <row r="193" spans="1:20" ht="14.5">
      <c r="A193" s="14">
        <v>15</v>
      </c>
      <c r="B193" s="4">
        <f>IF($A193=B$178,"",COUNTIF($D$4:$D$174,$A193&amp;" ضد "&amp;B$178)+COUNTIF($D$4:$D$174,B$178&amp;" ضد "&amp;$A193))</f>
        <v>1</v>
      </c>
      <c r="C193" s="4">
        <f>IF($A193=C$178,"",COUNTIF($D$4:$D$174,$A193&amp;" ضد "&amp;C$178)+COUNTIF($D$4:$D$174,C$178&amp;" ضد "&amp;$A193))</f>
        <v>1</v>
      </c>
      <c r="D193" s="4">
        <f>IF($A193=D$178,"",COUNTIF($D$4:$D$174,$A193&amp;" ضد "&amp;D$178)+COUNTIF($D$4:$D$174,D$178&amp;" ضد "&amp;$A193))</f>
        <v>1</v>
      </c>
      <c r="E193" s="4">
        <f>IF($A193=E$178,"",COUNTIF($D$4:$D$174,$A193&amp;" ضد "&amp;E$178)+COUNTIF($D$4:$D$174,E$178&amp;" ضد "&amp;$A193))</f>
        <v>1</v>
      </c>
      <c r="F193" s="4">
        <f>IF($A193=F$178,"",COUNTIF($D$4:$D$174,$A193&amp;" ضد "&amp;F$178)+COUNTIF($D$4:$D$174,F$178&amp;" ضد "&amp;$A193))</f>
        <v>1</v>
      </c>
      <c r="G193" s="4">
        <f>IF($A193=G$178,"",COUNTIF($D$4:$D$174,$A193&amp;" ضد "&amp;G$178)+COUNTIF($D$4:$D$174,G$178&amp;" ضد "&amp;$A193))</f>
        <v>1</v>
      </c>
      <c r="H193" s="4">
        <f>IF($A193=H$178,"",COUNTIF($D$4:$D$174,$A193&amp;" ضد "&amp;H$178)+COUNTIF($D$4:$D$174,H$178&amp;" ضد "&amp;$A193))</f>
        <v>1</v>
      </c>
      <c r="I193" s="4">
        <f>IF($A193=I$178,"",COUNTIF($D$4:$D$174,$A193&amp;" ضد "&amp;I$178)+COUNTIF($D$4:$D$174,I$178&amp;" ضد "&amp;$A193))</f>
        <v>1</v>
      </c>
      <c r="J193" s="4">
        <f>IF($A193=J$178,"",COUNTIF($D$4:$D$174,$A193&amp;" ضد "&amp;J$178)+COUNTIF($D$4:$D$174,J$178&amp;" ضد "&amp;$A193))</f>
        <v>1</v>
      </c>
      <c r="K193" s="4">
        <f>IF($A193=K$178,"",COUNTIF($D$4:$D$174,$A193&amp;" ضد "&amp;K$178)+COUNTIF($D$4:$D$174,K$178&amp;" ضد "&amp;$A193))</f>
        <v>1</v>
      </c>
      <c r="L193" s="4">
        <f>IF($A193=L$178,"",COUNTIF($D$4:$D$174,$A193&amp;" ضد "&amp;L$178)+COUNTIF($D$4:$D$174,L$178&amp;" ضد "&amp;$A193))</f>
        <v>1</v>
      </c>
      <c r="M193" s="4">
        <f>IF($A193=M$178,"",COUNTIF($D$4:$D$174,$A193&amp;" ضد "&amp;M$178)+COUNTIF($D$4:$D$174,M$178&amp;" ضد "&amp;$A193))</f>
        <v>1</v>
      </c>
      <c r="N193" s="4">
        <f>IF($A193=N$178,"",COUNTIF($D$4:$D$174,$A193&amp;" ضد "&amp;N$178)+COUNTIF($D$4:$D$174,N$178&amp;" ضد "&amp;$A193))</f>
        <v>1</v>
      </c>
      <c r="O193" s="4">
        <f>IF($A193=O$178,"",COUNTIF($D$4:$D$174,$A193&amp;" ضد "&amp;O$178)+COUNTIF($D$4:$D$174,O$178&amp;" ضد "&amp;$A193))</f>
        <v>1</v>
      </c>
      <c r="P193" s="4" t="str">
        <f>IF($A193=P$178,"",COUNTIF($D$4:$D$174,$A193&amp;" ضد "&amp;P$178)+COUNTIF($D$4:$D$174,P$178&amp;" ضد "&amp;$A193))</f>
        <v/>
      </c>
      <c r="Q193" s="4">
        <f>IF($A193=Q$178,"",COUNTIF($D$4:$D$174,$A193&amp;" ضد "&amp;Q$178)+COUNTIF($D$4:$D$174,Q$178&amp;" ضد "&amp;$A193))</f>
        <v>1</v>
      </c>
      <c r="R193" s="4">
        <f>IF($A193=R$178,"",COUNTIF($D$4:$D$174,$A193&amp;" ضد "&amp;R$178)+COUNTIF($D$4:$D$174,R$178&amp;" ضد "&amp;$A193))</f>
        <v>1</v>
      </c>
      <c r="S193" s="4">
        <f>IF($A193=S$178,"",COUNTIF($D$4:$D$174,$A193&amp;" ضد "&amp;S$178)+COUNTIF($D$4:$D$174,S$178&amp;" ضد "&amp;$A193))</f>
        <v>1</v>
      </c>
      <c r="T193" s="4">
        <f>IF($A193=T$178,"",COUNTIF($D$4:$D$174,$A193&amp;" ضد "&amp;T$178)+COUNTIF($D$4:$D$174,T$178&amp;" ضد "&amp;$A193))</f>
        <v>1</v>
      </c>
    </row>
    <row r="194" spans="1:20" ht="14.5">
      <c r="A194" s="14">
        <v>16</v>
      </c>
      <c r="B194" s="4">
        <f>IF($A194=B$178,"",COUNTIF($D$4:$D$174,$A194&amp;" ضد "&amp;B$178)+COUNTIF($D$4:$D$174,B$178&amp;" ضد "&amp;$A194))</f>
        <v>1</v>
      </c>
      <c r="C194" s="4">
        <f>IF($A194=C$178,"",COUNTIF($D$4:$D$174,$A194&amp;" ضد "&amp;C$178)+COUNTIF($D$4:$D$174,C$178&amp;" ضد "&amp;$A194))</f>
        <v>1</v>
      </c>
      <c r="D194" s="4">
        <f>IF($A194=D$178,"",COUNTIF($D$4:$D$174,$A194&amp;" ضد "&amp;D$178)+COUNTIF($D$4:$D$174,D$178&amp;" ضد "&amp;$A194))</f>
        <v>1</v>
      </c>
      <c r="E194" s="4">
        <f>IF($A194=E$178,"",COUNTIF($D$4:$D$174,$A194&amp;" ضد "&amp;E$178)+COUNTIF($D$4:$D$174,E$178&amp;" ضد "&amp;$A194))</f>
        <v>1</v>
      </c>
      <c r="F194" s="4">
        <f>IF($A194=F$178,"",COUNTIF($D$4:$D$174,$A194&amp;" ضد "&amp;F$178)+COUNTIF($D$4:$D$174,F$178&amp;" ضد "&amp;$A194))</f>
        <v>1</v>
      </c>
      <c r="G194" s="4">
        <f>IF($A194=G$178,"",COUNTIF($D$4:$D$174,$A194&amp;" ضد "&amp;G$178)+COUNTIF($D$4:$D$174,G$178&amp;" ضد "&amp;$A194))</f>
        <v>1</v>
      </c>
      <c r="H194" s="4">
        <f>IF($A194=H$178,"",COUNTIF($D$4:$D$174,$A194&amp;" ضد "&amp;H$178)+COUNTIF($D$4:$D$174,H$178&amp;" ضد "&amp;$A194))</f>
        <v>1</v>
      </c>
      <c r="I194" s="4">
        <f>IF($A194=I$178,"",COUNTIF($D$4:$D$174,$A194&amp;" ضد "&amp;I$178)+COUNTIF($D$4:$D$174,I$178&amp;" ضد "&amp;$A194))</f>
        <v>1</v>
      </c>
      <c r="J194" s="4">
        <f>IF($A194=J$178,"",COUNTIF($D$4:$D$174,$A194&amp;" ضد "&amp;J$178)+COUNTIF($D$4:$D$174,J$178&amp;" ضد "&amp;$A194))</f>
        <v>1</v>
      </c>
      <c r="K194" s="4">
        <f>IF($A194=K$178,"",COUNTIF($D$4:$D$174,$A194&amp;" ضد "&amp;K$178)+COUNTIF($D$4:$D$174,K$178&amp;" ضد "&amp;$A194))</f>
        <v>1</v>
      </c>
      <c r="L194" s="4">
        <f>IF($A194=L$178,"",COUNTIF($D$4:$D$174,$A194&amp;" ضد "&amp;L$178)+COUNTIF($D$4:$D$174,L$178&amp;" ضد "&amp;$A194))</f>
        <v>1</v>
      </c>
      <c r="M194" s="4">
        <f>IF($A194=M$178,"",COUNTIF($D$4:$D$174,$A194&amp;" ضد "&amp;M$178)+COUNTIF($D$4:$D$174,M$178&amp;" ضد "&amp;$A194))</f>
        <v>1</v>
      </c>
      <c r="N194" s="4">
        <f>IF($A194=N$178,"",COUNTIF($D$4:$D$174,$A194&amp;" ضد "&amp;N$178)+COUNTIF($D$4:$D$174,N$178&amp;" ضد "&amp;$A194))</f>
        <v>1</v>
      </c>
      <c r="O194" s="4">
        <f>IF($A194=O$178,"",COUNTIF($D$4:$D$174,$A194&amp;" ضد "&amp;O$178)+COUNTIF($D$4:$D$174,O$178&amp;" ضد "&amp;$A194))</f>
        <v>1</v>
      </c>
      <c r="P194" s="4">
        <f>IF($A194=P$178,"",COUNTIF($D$4:$D$174,$A194&amp;" ضد "&amp;P$178)+COUNTIF($D$4:$D$174,P$178&amp;" ضد "&amp;$A194))</f>
        <v>1</v>
      </c>
      <c r="Q194" s="4" t="str">
        <f>IF($A194=Q$178,"",COUNTIF($D$4:$D$174,$A194&amp;" ضد "&amp;Q$178)+COUNTIF($D$4:$D$174,Q$178&amp;" ضد "&amp;$A194))</f>
        <v/>
      </c>
      <c r="R194" s="4">
        <f>IF($A194=R$178,"",COUNTIF($D$4:$D$174,$A194&amp;" ضد "&amp;R$178)+COUNTIF($D$4:$D$174,R$178&amp;" ضد "&amp;$A194))</f>
        <v>1</v>
      </c>
      <c r="S194" s="4">
        <f>IF($A194=S$178,"",COUNTIF($D$4:$D$174,$A194&amp;" ضد "&amp;S$178)+COUNTIF($D$4:$D$174,S$178&amp;" ضد "&amp;$A194))</f>
        <v>1</v>
      </c>
      <c r="T194" s="4">
        <f>IF($A194=T$178,"",COUNTIF($D$4:$D$174,$A194&amp;" ضد "&amp;T$178)+COUNTIF($D$4:$D$174,T$178&amp;" ضد "&amp;$A194))</f>
        <v>1</v>
      </c>
    </row>
    <row r="195" spans="1:20" ht="14.5">
      <c r="A195" s="14">
        <v>17</v>
      </c>
      <c r="B195" s="4">
        <f>IF($A195=B$178,"",COUNTIF($D$4:$D$174,$A195&amp;" ضد "&amp;B$178)+COUNTIF($D$4:$D$174,B$178&amp;" ضد "&amp;$A195))</f>
        <v>1</v>
      </c>
      <c r="C195" s="4">
        <f>IF($A195=C$178,"",COUNTIF($D$4:$D$174,$A195&amp;" ضد "&amp;C$178)+COUNTIF($D$4:$D$174,C$178&amp;" ضد "&amp;$A195))</f>
        <v>1</v>
      </c>
      <c r="D195" s="4">
        <f>IF($A195=D$178,"",COUNTIF($D$4:$D$174,$A195&amp;" ضد "&amp;D$178)+COUNTIF($D$4:$D$174,D$178&amp;" ضد "&amp;$A195))</f>
        <v>1</v>
      </c>
      <c r="E195" s="4">
        <f>IF($A195=E$178,"",COUNTIF($D$4:$D$174,$A195&amp;" ضد "&amp;E$178)+COUNTIF($D$4:$D$174,E$178&amp;" ضد "&amp;$A195))</f>
        <v>1</v>
      </c>
      <c r="F195" s="4">
        <f>IF($A195=F$178,"",COUNTIF($D$4:$D$174,$A195&amp;" ضد "&amp;F$178)+COUNTIF($D$4:$D$174,F$178&amp;" ضد "&amp;$A195))</f>
        <v>1</v>
      </c>
      <c r="G195" s="4">
        <f>IF($A195=G$178,"",COUNTIF($D$4:$D$174,$A195&amp;" ضد "&amp;G$178)+COUNTIF($D$4:$D$174,G$178&amp;" ضد "&amp;$A195))</f>
        <v>1</v>
      </c>
      <c r="H195" s="4">
        <f>IF($A195=H$178,"",COUNTIF($D$4:$D$174,$A195&amp;" ضد "&amp;H$178)+COUNTIF($D$4:$D$174,H$178&amp;" ضد "&amp;$A195))</f>
        <v>1</v>
      </c>
      <c r="I195" s="4">
        <f>IF($A195=I$178,"",COUNTIF($D$4:$D$174,$A195&amp;" ضد "&amp;I$178)+COUNTIF($D$4:$D$174,I$178&amp;" ضد "&amp;$A195))</f>
        <v>1</v>
      </c>
      <c r="J195" s="4">
        <f>IF($A195=J$178,"",COUNTIF($D$4:$D$174,$A195&amp;" ضد "&amp;J$178)+COUNTIF($D$4:$D$174,J$178&amp;" ضد "&amp;$A195))</f>
        <v>1</v>
      </c>
      <c r="K195" s="4">
        <f>IF($A195=K$178,"",COUNTIF($D$4:$D$174,$A195&amp;" ضد "&amp;K$178)+COUNTIF($D$4:$D$174,K$178&amp;" ضد "&amp;$A195))</f>
        <v>1</v>
      </c>
      <c r="L195" s="4">
        <f>IF($A195=L$178,"",COUNTIF($D$4:$D$174,$A195&amp;" ضد "&amp;L$178)+COUNTIF($D$4:$D$174,L$178&amp;" ضد "&amp;$A195))</f>
        <v>1</v>
      </c>
      <c r="M195" s="4">
        <f>IF($A195=M$178,"",COUNTIF($D$4:$D$174,$A195&amp;" ضد "&amp;M$178)+COUNTIF($D$4:$D$174,M$178&amp;" ضد "&amp;$A195))</f>
        <v>1</v>
      </c>
      <c r="N195" s="4">
        <f>IF($A195=N$178,"",COUNTIF($D$4:$D$174,$A195&amp;" ضد "&amp;N$178)+COUNTIF($D$4:$D$174,N$178&amp;" ضد "&amp;$A195))</f>
        <v>1</v>
      </c>
      <c r="O195" s="4">
        <f>IF($A195=O$178,"",COUNTIF($D$4:$D$174,$A195&amp;" ضد "&amp;O$178)+COUNTIF($D$4:$D$174,O$178&amp;" ضد "&amp;$A195))</f>
        <v>1</v>
      </c>
      <c r="P195" s="4">
        <f>IF($A195=P$178,"",COUNTIF($D$4:$D$174,$A195&amp;" ضد "&amp;P$178)+COUNTIF($D$4:$D$174,P$178&amp;" ضد "&amp;$A195))</f>
        <v>1</v>
      </c>
      <c r="Q195" s="4">
        <f>IF($A195=Q$178,"",COUNTIF($D$4:$D$174,$A195&amp;" ضد "&amp;Q$178)+COUNTIF($D$4:$D$174,Q$178&amp;" ضد "&amp;$A195))</f>
        <v>1</v>
      </c>
      <c r="R195" s="4" t="str">
        <f>IF($A195=R$178,"",COUNTIF($D$4:$D$174,$A195&amp;" ضد "&amp;R$178)+COUNTIF($D$4:$D$174,R$178&amp;" ضد "&amp;$A195))</f>
        <v/>
      </c>
      <c r="S195" s="4">
        <f>IF($A195=S$178,"",COUNTIF($D$4:$D$174,$A195&amp;" ضد "&amp;S$178)+COUNTIF($D$4:$D$174,S$178&amp;" ضد "&amp;$A195))</f>
        <v>1</v>
      </c>
      <c r="T195" s="4">
        <f>IF($A195=T$178,"",COUNTIF($D$4:$D$174,$A195&amp;" ضد "&amp;T$178)+COUNTIF($D$4:$D$174,T$178&amp;" ضد "&amp;$A195))</f>
        <v>1</v>
      </c>
    </row>
    <row r="196" spans="1:20" ht="14.5">
      <c r="A196" s="14">
        <v>18</v>
      </c>
      <c r="B196" s="4">
        <f>IF($A196=B$178,"",COUNTIF($D$4:$D$174,$A196&amp;" ضد "&amp;B$178)+COUNTIF($D$4:$D$174,B$178&amp;" ضد "&amp;$A196))</f>
        <v>1</v>
      </c>
      <c r="C196" s="4">
        <f>IF($A196=C$178,"",COUNTIF($D$4:$D$174,$A196&amp;" ضد "&amp;C$178)+COUNTIF($D$4:$D$174,C$178&amp;" ضد "&amp;$A196))</f>
        <v>1</v>
      </c>
      <c r="D196" s="4">
        <f>IF($A196=D$178,"",COUNTIF($D$4:$D$174,$A196&amp;" ضد "&amp;D$178)+COUNTIF($D$4:$D$174,D$178&amp;" ضد "&amp;$A196))</f>
        <v>1</v>
      </c>
      <c r="E196" s="4">
        <f>IF($A196=E$178,"",COUNTIF($D$4:$D$174,$A196&amp;" ضد "&amp;E$178)+COUNTIF($D$4:$D$174,E$178&amp;" ضد "&amp;$A196))</f>
        <v>1</v>
      </c>
      <c r="F196" s="4">
        <f>IF($A196=F$178,"",COUNTIF($D$4:$D$174,$A196&amp;" ضد "&amp;F$178)+COUNTIF($D$4:$D$174,F$178&amp;" ضد "&amp;$A196))</f>
        <v>1</v>
      </c>
      <c r="G196" s="4">
        <f>IF($A196=G$178,"",COUNTIF($D$4:$D$174,$A196&amp;" ضد "&amp;G$178)+COUNTIF($D$4:$D$174,G$178&amp;" ضد "&amp;$A196))</f>
        <v>1</v>
      </c>
      <c r="H196" s="4">
        <f>IF($A196=H$178,"",COUNTIF($D$4:$D$174,$A196&amp;" ضد "&amp;H$178)+COUNTIF($D$4:$D$174,H$178&amp;" ضد "&amp;$A196))</f>
        <v>1</v>
      </c>
      <c r="I196" s="4">
        <f>IF($A196=I$178,"",COUNTIF($D$4:$D$174,$A196&amp;" ضد "&amp;I$178)+COUNTIF($D$4:$D$174,I$178&amp;" ضد "&amp;$A196))</f>
        <v>1</v>
      </c>
      <c r="J196" s="4">
        <f>IF($A196=J$178,"",COUNTIF($D$4:$D$174,$A196&amp;" ضد "&amp;J$178)+COUNTIF($D$4:$D$174,J$178&amp;" ضد "&amp;$A196))</f>
        <v>1</v>
      </c>
      <c r="K196" s="4">
        <f>IF($A196=K$178,"",COUNTIF($D$4:$D$174,$A196&amp;" ضد "&amp;K$178)+COUNTIF($D$4:$D$174,K$178&amp;" ضد "&amp;$A196))</f>
        <v>1</v>
      </c>
      <c r="L196" s="4">
        <f>IF($A196=L$178,"",COUNTIF($D$4:$D$174,$A196&amp;" ضد "&amp;L$178)+COUNTIF($D$4:$D$174,L$178&amp;" ضد "&amp;$A196))</f>
        <v>1</v>
      </c>
      <c r="M196" s="4">
        <f>IF($A196=M$178,"",COUNTIF($D$4:$D$174,$A196&amp;" ضد "&amp;M$178)+COUNTIF($D$4:$D$174,M$178&amp;" ضد "&amp;$A196))</f>
        <v>1</v>
      </c>
      <c r="N196" s="4">
        <f>IF($A196=N$178,"",COUNTIF($D$4:$D$174,$A196&amp;" ضد "&amp;N$178)+COUNTIF($D$4:$D$174,N$178&amp;" ضد "&amp;$A196))</f>
        <v>1</v>
      </c>
      <c r="O196" s="4">
        <f>IF($A196=O$178,"",COUNTIF($D$4:$D$174,$A196&amp;" ضد "&amp;O$178)+COUNTIF($D$4:$D$174,O$178&amp;" ضد "&amp;$A196))</f>
        <v>1</v>
      </c>
      <c r="P196" s="4">
        <f>IF($A196=P$178,"",COUNTIF($D$4:$D$174,$A196&amp;" ضد "&amp;P$178)+COUNTIF($D$4:$D$174,P$178&amp;" ضد "&amp;$A196))</f>
        <v>1</v>
      </c>
      <c r="Q196" s="4">
        <f>IF($A196=Q$178,"",COUNTIF($D$4:$D$174,$A196&amp;" ضد "&amp;Q$178)+COUNTIF($D$4:$D$174,Q$178&amp;" ضد "&amp;$A196))</f>
        <v>1</v>
      </c>
      <c r="R196" s="4">
        <f>IF($A196=R$178,"",COUNTIF($D$4:$D$174,$A196&amp;" ضد "&amp;R$178)+COUNTIF($D$4:$D$174,R$178&amp;" ضد "&amp;$A196))</f>
        <v>1</v>
      </c>
      <c r="S196" s="4" t="str">
        <f>IF($A196=S$178,"",COUNTIF($D$4:$D$174,$A196&amp;" ضد "&amp;S$178)+COUNTIF($D$4:$D$174,S$178&amp;" ضد "&amp;$A196))</f>
        <v/>
      </c>
      <c r="T196" s="4">
        <f>IF($A196=T$178,"",COUNTIF($D$4:$D$174,$A196&amp;" ضد "&amp;T$178)+COUNTIF($D$4:$D$174,T$178&amp;" ضد "&amp;$A196))</f>
        <v>1</v>
      </c>
    </row>
    <row r="197" spans="1:20" ht="14.5">
      <c r="A197" s="14">
        <v>19</v>
      </c>
      <c r="B197" s="4">
        <f>IF($A197=B$178,"",COUNTIF($D$4:$D$174,$A197&amp;" ضد "&amp;B$178)+COUNTIF($D$4:$D$174,B$178&amp;" ضد "&amp;$A197))</f>
        <v>1</v>
      </c>
      <c r="C197" s="4">
        <f>IF($A197=C$178,"",COUNTIF($D$4:$D$174,$A197&amp;" ضد "&amp;C$178)+COUNTIF($D$4:$D$174,C$178&amp;" ضد "&amp;$A197))</f>
        <v>1</v>
      </c>
      <c r="D197" s="4">
        <f>IF($A197=D$178,"",COUNTIF($D$4:$D$174,$A197&amp;" ضد "&amp;D$178)+COUNTIF($D$4:$D$174,D$178&amp;" ضد "&amp;$A197))</f>
        <v>1</v>
      </c>
      <c r="E197" s="4">
        <f>IF($A197=E$178,"",COUNTIF($D$4:$D$174,$A197&amp;" ضد "&amp;E$178)+COUNTIF($D$4:$D$174,E$178&amp;" ضد "&amp;$A197))</f>
        <v>1</v>
      </c>
      <c r="F197" s="4">
        <f>IF($A197=F$178,"",COUNTIF($D$4:$D$174,$A197&amp;" ضد "&amp;F$178)+COUNTIF($D$4:$D$174,F$178&amp;" ضد "&amp;$A197))</f>
        <v>1</v>
      </c>
      <c r="G197" s="4">
        <f>IF($A197=G$178,"",COUNTIF($D$4:$D$174,$A197&amp;" ضد "&amp;G$178)+COUNTIF($D$4:$D$174,G$178&amp;" ضد "&amp;$A197))</f>
        <v>1</v>
      </c>
      <c r="H197" s="4">
        <f>IF($A197=H$178,"",COUNTIF($D$4:$D$174,$A197&amp;" ضد "&amp;H$178)+COUNTIF($D$4:$D$174,H$178&amp;" ضد "&amp;$A197))</f>
        <v>1</v>
      </c>
      <c r="I197" s="4">
        <f>IF($A197=I$178,"",COUNTIF($D$4:$D$174,$A197&amp;" ضد "&amp;I$178)+COUNTIF($D$4:$D$174,I$178&amp;" ضد "&amp;$A197))</f>
        <v>1</v>
      </c>
      <c r="J197" s="4">
        <f>IF($A197=J$178,"",COUNTIF($D$4:$D$174,$A197&amp;" ضد "&amp;J$178)+COUNTIF($D$4:$D$174,J$178&amp;" ضد "&amp;$A197))</f>
        <v>1</v>
      </c>
      <c r="K197" s="4">
        <f>IF($A197=K$178,"",COUNTIF($D$4:$D$174,$A197&amp;" ضد "&amp;K$178)+COUNTIF($D$4:$D$174,K$178&amp;" ضد "&amp;$A197))</f>
        <v>1</v>
      </c>
      <c r="L197" s="4">
        <f>IF($A197=L$178,"",COUNTIF($D$4:$D$174,$A197&amp;" ضد "&amp;L$178)+COUNTIF($D$4:$D$174,L$178&amp;" ضد "&amp;$A197))</f>
        <v>1</v>
      </c>
      <c r="M197" s="4">
        <f>IF($A197=M$178,"",COUNTIF($D$4:$D$174,$A197&amp;" ضد "&amp;M$178)+COUNTIF($D$4:$D$174,M$178&amp;" ضد "&amp;$A197))</f>
        <v>1</v>
      </c>
      <c r="N197" s="4">
        <f>IF($A197=N$178,"",COUNTIF($D$4:$D$174,$A197&amp;" ضد "&amp;N$178)+COUNTIF($D$4:$D$174,N$178&amp;" ضد "&amp;$A197))</f>
        <v>1</v>
      </c>
      <c r="O197" s="4">
        <f>IF($A197=O$178,"",COUNTIF($D$4:$D$174,$A197&amp;" ضد "&amp;O$178)+COUNTIF($D$4:$D$174,O$178&amp;" ضد "&amp;$A197))</f>
        <v>1</v>
      </c>
      <c r="P197" s="4">
        <f>IF($A197=P$178,"",COUNTIF($D$4:$D$174,$A197&amp;" ضد "&amp;P$178)+COUNTIF($D$4:$D$174,P$178&amp;" ضد "&amp;$A197))</f>
        <v>1</v>
      </c>
      <c r="Q197" s="4">
        <f>IF($A197=Q$178,"",COUNTIF($D$4:$D$174,$A197&amp;" ضد "&amp;Q$178)+COUNTIF($D$4:$D$174,Q$178&amp;" ضد "&amp;$A197))</f>
        <v>1</v>
      </c>
      <c r="R197" s="4">
        <f>IF($A197=R$178,"",COUNTIF($D$4:$D$174,$A197&amp;" ضد "&amp;R$178)+COUNTIF($D$4:$D$174,R$178&amp;" ضد "&amp;$A197))</f>
        <v>1</v>
      </c>
      <c r="S197" s="4">
        <f>IF($A197=S$178,"",COUNTIF($D$4:$D$174,$A197&amp;" ضد "&amp;S$178)+COUNTIF($D$4:$D$174,S$178&amp;" ضد "&amp;$A197))</f>
        <v>1</v>
      </c>
      <c r="T197" s="4" t="str">
        <f>IF($A197=T$178,"",COUNTIF($D$4:$D$174,$A197&amp;" ضد "&amp;T$178)+COUNTIF($D$4:$D$174,T$178&amp;" ضد "&amp;$A197))</f>
        <v/>
      </c>
    </row>
    <row r="198" spans="1:20" ht="14.5">
      <c r="A198" s="14" t="s">
        <v>1033</v>
      </c>
      <c r="B198" s="4" cm="1">
        <f t="array" ref="B198">MIN(IF(B179:T197&gt;0,B179:T197))</f>
        <v>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ht="14.5">
      <c r="A199" s="14" t="s">
        <v>830</v>
      </c>
      <c r="B199" s="4">
        <f>MAX(B179:T197)</f>
        <v>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</sheetData>
  <mergeCells count="2">
    <mergeCell ref="A1:D1"/>
    <mergeCell ref="A177:T17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C7E7-C1FC-41FE-9515-33D5CCE626E2}">
  <dimension ref="A1:U219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992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164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157</v>
      </c>
      <c r="E5" s="2"/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138</v>
      </c>
      <c r="E6" s="2"/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4</v>
      </c>
      <c r="D7" s="7" t="s">
        <v>89</v>
      </c>
      <c r="E7" s="2"/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1</v>
      </c>
      <c r="D8" s="7" t="s">
        <v>188</v>
      </c>
      <c r="E8" s="2"/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2</v>
      </c>
      <c r="D9" s="7" t="s">
        <v>163</v>
      </c>
      <c r="E9" s="2"/>
      <c r="F9" s="2"/>
    </row>
    <row r="10" spans="1:6" ht="14" customHeight="1">
      <c r="A10" s="8">
        <v>1</v>
      </c>
      <c r="B10" s="7" t="str">
        <f>المدخلات!$F$5</f>
        <v>5:20–6:30 م</v>
      </c>
      <c r="C10" s="7">
        <v>3</v>
      </c>
      <c r="D10" s="7" t="s">
        <v>67</v>
      </c>
      <c r="E10" s="2"/>
      <c r="F10" s="2"/>
    </row>
    <row r="11" spans="1:6" ht="14" customHeight="1">
      <c r="A11" s="8">
        <v>1</v>
      </c>
      <c r="B11" s="7" t="str">
        <f>المدخلات!$F$5</f>
        <v>5:20–6:30 م</v>
      </c>
      <c r="C11" s="7">
        <v>4</v>
      </c>
      <c r="D11" s="7" t="s">
        <v>56</v>
      </c>
      <c r="E11" s="2"/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1</v>
      </c>
      <c r="D12" s="7" t="s">
        <v>136</v>
      </c>
      <c r="E12" s="2"/>
      <c r="F12" s="2"/>
    </row>
    <row r="13" spans="1:6" ht="14" customHeight="1">
      <c r="A13" s="8">
        <v>1</v>
      </c>
      <c r="B13" s="7" t="str">
        <f>المدخلات!$F$6</f>
        <v>6:40–7:50 م</v>
      </c>
      <c r="C13" s="7">
        <v>2</v>
      </c>
      <c r="D13" s="7" t="s">
        <v>137</v>
      </c>
      <c r="E13" s="2"/>
      <c r="F13" s="2"/>
    </row>
    <row r="14" spans="1:6" ht="14" customHeight="1">
      <c r="A14" s="8">
        <v>2</v>
      </c>
      <c r="B14" s="7" t="str">
        <f>المدخلات!$F$4</f>
        <v>4:00–5:10 م</v>
      </c>
      <c r="C14" s="7">
        <v>1</v>
      </c>
      <c r="D14" s="7" t="s">
        <v>1108</v>
      </c>
      <c r="E14" s="2"/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2</v>
      </c>
      <c r="D15" s="7" t="s">
        <v>1092</v>
      </c>
      <c r="E15" s="2"/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3</v>
      </c>
      <c r="D16" s="7" t="s">
        <v>189</v>
      </c>
      <c r="E16" s="2"/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4</v>
      </c>
      <c r="D17" s="7" t="s">
        <v>1097</v>
      </c>
      <c r="E17" s="2"/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1</v>
      </c>
      <c r="D18" s="7" t="s">
        <v>1095</v>
      </c>
      <c r="E18" s="2"/>
      <c r="F18" s="2"/>
    </row>
    <row r="19" spans="1:6" ht="14" customHeight="1">
      <c r="A19" s="8">
        <v>2</v>
      </c>
      <c r="B19" s="7" t="str">
        <f>المدخلات!$F$5</f>
        <v>5:20–6:30 م</v>
      </c>
      <c r="C19" s="7">
        <v>2</v>
      </c>
      <c r="D19" s="7" t="s">
        <v>1096</v>
      </c>
      <c r="E19" s="2"/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3</v>
      </c>
      <c r="D20" s="7" t="s">
        <v>1098</v>
      </c>
      <c r="E20" s="2"/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4</v>
      </c>
      <c r="D21" s="7" t="s">
        <v>1099</v>
      </c>
      <c r="E21" s="2"/>
      <c r="F21" s="2"/>
    </row>
    <row r="22" spans="1:6" ht="14" customHeight="1">
      <c r="A22" s="8">
        <v>2</v>
      </c>
      <c r="B22" s="7" t="str">
        <f>المدخلات!$F$6</f>
        <v>6:40–7:50 م</v>
      </c>
      <c r="C22" s="7">
        <v>1</v>
      </c>
      <c r="D22" s="7" t="s">
        <v>1061</v>
      </c>
      <c r="E22" s="2"/>
      <c r="F22" s="2"/>
    </row>
    <row r="23" spans="1:6" ht="14" customHeight="1">
      <c r="A23" s="8">
        <v>2</v>
      </c>
      <c r="B23" s="7" t="str">
        <f>المدخلات!$F$6</f>
        <v>6:40–7:50 م</v>
      </c>
      <c r="C23" s="7">
        <v>2</v>
      </c>
      <c r="D23" s="7" t="s">
        <v>46</v>
      </c>
      <c r="E23" s="2"/>
      <c r="F23" s="2"/>
    </row>
    <row r="24" spans="1:6" ht="14" customHeight="1">
      <c r="A24" s="8">
        <v>3</v>
      </c>
      <c r="B24" s="7" t="str">
        <f>المدخلات!$F$4</f>
        <v>4:00–5:10 م</v>
      </c>
      <c r="C24" s="7">
        <v>1</v>
      </c>
      <c r="D24" s="7" t="s">
        <v>57</v>
      </c>
      <c r="E24" s="2"/>
      <c r="F24" s="2"/>
    </row>
    <row r="25" spans="1:6" ht="14" customHeight="1">
      <c r="A25" s="8">
        <v>3</v>
      </c>
      <c r="B25" s="7" t="str">
        <f>المدخلات!$F$4</f>
        <v>4:00–5:10 م</v>
      </c>
      <c r="C25" s="7">
        <v>2</v>
      </c>
      <c r="D25" s="7" t="s">
        <v>841</v>
      </c>
      <c r="E25" s="2"/>
      <c r="F25" s="2"/>
    </row>
    <row r="26" spans="1:6" ht="14" customHeight="1">
      <c r="A26" s="8">
        <v>3</v>
      </c>
      <c r="B26" s="7" t="str">
        <f>المدخلات!$F$4</f>
        <v>4:00–5:10 م</v>
      </c>
      <c r="C26" s="7">
        <v>3</v>
      </c>
      <c r="D26" s="7" t="s">
        <v>105</v>
      </c>
      <c r="E26" s="2"/>
      <c r="F26" s="2"/>
    </row>
    <row r="27" spans="1:6" ht="14" customHeight="1">
      <c r="A27" s="8">
        <v>3</v>
      </c>
      <c r="B27" s="7" t="str">
        <f>المدخلات!$F$4</f>
        <v>4:00–5:10 م</v>
      </c>
      <c r="C27" s="7">
        <v>4</v>
      </c>
      <c r="D27" s="7" t="s">
        <v>70</v>
      </c>
      <c r="E27" s="2"/>
      <c r="F27" s="2"/>
    </row>
    <row r="28" spans="1:6" ht="14" customHeight="1">
      <c r="A28" s="8">
        <v>3</v>
      </c>
      <c r="B28" s="7" t="str">
        <f>المدخلات!$F$5</f>
        <v>5:20–6:30 م</v>
      </c>
      <c r="C28" s="7">
        <v>1</v>
      </c>
      <c r="D28" s="7" t="s">
        <v>49</v>
      </c>
      <c r="E28" s="2"/>
      <c r="F28" s="2"/>
    </row>
    <row r="29" spans="1:6" ht="14" customHeight="1">
      <c r="A29" s="8">
        <v>3</v>
      </c>
      <c r="B29" s="7" t="str">
        <f>المدخلات!$F$5</f>
        <v>5:20–6:30 م</v>
      </c>
      <c r="C29" s="7">
        <v>2</v>
      </c>
      <c r="D29" s="7" t="s">
        <v>41</v>
      </c>
      <c r="E29" s="2"/>
      <c r="F29" s="2"/>
    </row>
    <row r="30" spans="1:6" ht="14" customHeight="1">
      <c r="A30" s="8">
        <v>3</v>
      </c>
      <c r="B30" s="7" t="str">
        <f>المدخلات!$F$5</f>
        <v>5:20–6:30 م</v>
      </c>
      <c r="C30" s="7">
        <v>3</v>
      </c>
      <c r="D30" s="7" t="s">
        <v>166</v>
      </c>
      <c r="E30" s="2"/>
      <c r="F30" s="2"/>
    </row>
    <row r="31" spans="1:6" ht="14" customHeight="1">
      <c r="A31" s="8">
        <v>3</v>
      </c>
      <c r="B31" s="7" t="str">
        <f>المدخلات!$F$5</f>
        <v>5:20–6:30 م</v>
      </c>
      <c r="C31" s="7">
        <v>4</v>
      </c>
      <c r="D31" s="7" t="s">
        <v>107</v>
      </c>
      <c r="E31" s="2"/>
      <c r="F31" s="2"/>
    </row>
    <row r="32" spans="1:6" ht="14" customHeight="1">
      <c r="A32" s="8">
        <v>3</v>
      </c>
      <c r="B32" s="7" t="str">
        <f>المدخلات!$F$6</f>
        <v>6:40–7:50 م</v>
      </c>
      <c r="C32" s="7">
        <v>1</v>
      </c>
      <c r="D32" s="7" t="s">
        <v>167</v>
      </c>
      <c r="E32" s="2"/>
      <c r="F32" s="2"/>
    </row>
    <row r="33" spans="1:6" ht="14" customHeight="1">
      <c r="A33" s="8">
        <v>3</v>
      </c>
      <c r="B33" s="7" t="str">
        <f>المدخلات!$F$6</f>
        <v>6:40–7:50 م</v>
      </c>
      <c r="C33" s="7">
        <v>2</v>
      </c>
      <c r="D33" s="7" t="s">
        <v>106</v>
      </c>
      <c r="E33" s="2"/>
      <c r="F33" s="2"/>
    </row>
    <row r="34" spans="1:6" ht="14" customHeight="1">
      <c r="A34" s="8">
        <v>4</v>
      </c>
      <c r="B34" s="7" t="str">
        <f>المدخلات!$F$4</f>
        <v>4:00–5:10 م</v>
      </c>
      <c r="C34" s="7">
        <v>1</v>
      </c>
      <c r="D34" s="7" t="s">
        <v>37</v>
      </c>
      <c r="E34" s="2"/>
      <c r="F34" s="2"/>
    </row>
    <row r="35" spans="1:6" ht="14" customHeight="1">
      <c r="A35" s="8">
        <v>4</v>
      </c>
      <c r="B35" s="7" t="str">
        <f>المدخلات!$F$4</f>
        <v>4:00–5:10 م</v>
      </c>
      <c r="C35" s="7">
        <v>2</v>
      </c>
      <c r="D35" s="7" t="s">
        <v>1058</v>
      </c>
      <c r="E35" s="2"/>
      <c r="F35" s="2"/>
    </row>
    <row r="36" spans="1:6" ht="14" customHeight="1">
      <c r="A36" s="8">
        <v>4</v>
      </c>
      <c r="B36" s="7" t="str">
        <f>المدخلات!$F$4</f>
        <v>4:00–5:10 م</v>
      </c>
      <c r="C36" s="7">
        <v>3</v>
      </c>
      <c r="D36" s="7" t="s">
        <v>1056</v>
      </c>
      <c r="E36" s="2"/>
      <c r="F36" s="2"/>
    </row>
    <row r="37" spans="1:6" ht="14" customHeight="1">
      <c r="A37" s="8">
        <v>4</v>
      </c>
      <c r="B37" s="7" t="str">
        <f>المدخلات!$F$4</f>
        <v>4:00–5:10 م</v>
      </c>
      <c r="C37" s="7">
        <v>4</v>
      </c>
      <c r="D37" s="7" t="s">
        <v>159</v>
      </c>
      <c r="E37" s="2"/>
      <c r="F37" s="2"/>
    </row>
    <row r="38" spans="1:6" ht="14" customHeight="1">
      <c r="A38" s="8">
        <v>4</v>
      </c>
      <c r="B38" s="7" t="str">
        <f>المدخلات!$F$5</f>
        <v>5:20–6:30 م</v>
      </c>
      <c r="C38" s="7">
        <v>1</v>
      </c>
      <c r="D38" s="7" t="s">
        <v>1063</v>
      </c>
      <c r="E38" s="2"/>
      <c r="F38" s="2"/>
    </row>
    <row r="39" spans="1:6" ht="14" customHeight="1">
      <c r="A39" s="8">
        <v>4</v>
      </c>
      <c r="B39" s="7" t="str">
        <f>المدخلات!$F$5</f>
        <v>5:20–6:30 م</v>
      </c>
      <c r="C39" s="7">
        <v>2</v>
      </c>
      <c r="D39" s="7" t="s">
        <v>144</v>
      </c>
      <c r="E39" s="2"/>
      <c r="F39" s="2"/>
    </row>
    <row r="40" spans="1:6" ht="14" customHeight="1">
      <c r="A40" s="8">
        <v>4</v>
      </c>
      <c r="B40" s="7" t="str">
        <f>المدخلات!$F$5</f>
        <v>5:20–6:30 م</v>
      </c>
      <c r="C40" s="7">
        <v>3</v>
      </c>
      <c r="D40" s="7" t="s">
        <v>191</v>
      </c>
      <c r="E40" s="2"/>
      <c r="F40" s="2"/>
    </row>
    <row r="41" spans="1:6" ht="14" customHeight="1">
      <c r="A41" s="8">
        <v>4</v>
      </c>
      <c r="B41" s="7" t="str">
        <f>المدخلات!$F$5</f>
        <v>5:20–6:30 م</v>
      </c>
      <c r="C41" s="7">
        <v>4</v>
      </c>
      <c r="D41" s="7" t="s">
        <v>168</v>
      </c>
      <c r="E41" s="2"/>
      <c r="F41" s="2"/>
    </row>
    <row r="42" spans="1:6" ht="14" customHeight="1">
      <c r="A42" s="8">
        <v>4</v>
      </c>
      <c r="B42" s="7" t="str">
        <f>المدخلات!$F$6</f>
        <v>6:40–7:50 م</v>
      </c>
      <c r="C42" s="7">
        <v>1</v>
      </c>
      <c r="D42" s="7" t="s">
        <v>864</v>
      </c>
      <c r="E42" s="2"/>
      <c r="F42" s="2"/>
    </row>
    <row r="43" spans="1:6" ht="14" customHeight="1">
      <c r="A43" s="8">
        <v>4</v>
      </c>
      <c r="B43" s="7" t="str">
        <f>المدخلات!$F$6</f>
        <v>6:40–7:50 م</v>
      </c>
      <c r="C43" s="7">
        <v>2</v>
      </c>
      <c r="D43" s="7" t="s">
        <v>30</v>
      </c>
      <c r="E43" s="2"/>
      <c r="F43" s="2"/>
    </row>
    <row r="44" spans="1:6" ht="14" customHeight="1">
      <c r="A44" s="8">
        <v>5</v>
      </c>
      <c r="B44" s="7" t="str">
        <f>المدخلات!$F$4</f>
        <v>4:00–5:10 م</v>
      </c>
      <c r="C44" s="7">
        <v>1</v>
      </c>
      <c r="D44" s="7" t="s">
        <v>892</v>
      </c>
      <c r="E44" s="2"/>
      <c r="F44" s="2"/>
    </row>
    <row r="45" spans="1:6" ht="14" customHeight="1">
      <c r="A45" s="8">
        <v>5</v>
      </c>
      <c r="B45" s="7" t="str">
        <f>المدخلات!$F$4</f>
        <v>4:00–5:10 م</v>
      </c>
      <c r="C45" s="7">
        <v>2</v>
      </c>
      <c r="D45" s="7" t="s">
        <v>50</v>
      </c>
      <c r="E45" s="2"/>
      <c r="F45" s="2"/>
    </row>
    <row r="46" spans="1:6" ht="14" customHeight="1">
      <c r="A46" s="8">
        <v>5</v>
      </c>
      <c r="B46" s="7" t="str">
        <f>المدخلات!$F$4</f>
        <v>4:00–5:10 م</v>
      </c>
      <c r="C46" s="7">
        <v>3</v>
      </c>
      <c r="D46" s="7" t="s">
        <v>1082</v>
      </c>
      <c r="E46" s="2"/>
      <c r="F46" s="2"/>
    </row>
    <row r="47" spans="1:6" ht="14" customHeight="1">
      <c r="A47" s="8">
        <v>5</v>
      </c>
      <c r="B47" s="7" t="str">
        <f>المدخلات!$F$4</f>
        <v>4:00–5:10 م</v>
      </c>
      <c r="C47" s="7">
        <v>4</v>
      </c>
      <c r="D47" s="7" t="s">
        <v>35</v>
      </c>
      <c r="E47" s="2"/>
      <c r="F47" s="2"/>
    </row>
    <row r="48" spans="1:6" ht="14" customHeight="1">
      <c r="A48" s="8">
        <v>5</v>
      </c>
      <c r="B48" s="7" t="str">
        <f>المدخلات!$F$5</f>
        <v>5:20–6:30 م</v>
      </c>
      <c r="C48" s="7">
        <v>1</v>
      </c>
      <c r="D48" s="7" t="s">
        <v>55</v>
      </c>
      <c r="E48" s="2"/>
      <c r="F48" s="2"/>
    </row>
    <row r="49" spans="1:6" ht="14" customHeight="1">
      <c r="A49" s="8">
        <v>5</v>
      </c>
      <c r="B49" s="7" t="str">
        <f>المدخلات!$F$5</f>
        <v>5:20–6:30 م</v>
      </c>
      <c r="C49" s="7">
        <v>2</v>
      </c>
      <c r="D49" s="7" t="s">
        <v>23</v>
      </c>
      <c r="E49" s="2"/>
      <c r="F49" s="2"/>
    </row>
    <row r="50" spans="1:6" ht="14" customHeight="1">
      <c r="A50" s="8">
        <v>5</v>
      </c>
      <c r="B50" s="7" t="str">
        <f>المدخلات!$F$5</f>
        <v>5:20–6:30 م</v>
      </c>
      <c r="C50" s="7">
        <v>3</v>
      </c>
      <c r="D50" s="7" t="s">
        <v>34</v>
      </c>
      <c r="E50" s="2"/>
      <c r="F50" s="2"/>
    </row>
    <row r="51" spans="1:6" ht="14" customHeight="1">
      <c r="A51" s="8">
        <v>5</v>
      </c>
      <c r="B51" s="7" t="str">
        <f>المدخلات!$F$5</f>
        <v>5:20–6:30 م</v>
      </c>
      <c r="C51" s="7">
        <v>4</v>
      </c>
      <c r="D51" s="7" t="s">
        <v>145</v>
      </c>
      <c r="E51" s="2"/>
      <c r="F51" s="2"/>
    </row>
    <row r="52" spans="1:6" ht="14" customHeight="1">
      <c r="A52" s="8">
        <v>5</v>
      </c>
      <c r="B52" s="7" t="str">
        <f>المدخلات!$F$6</f>
        <v>6:40–7:50 م</v>
      </c>
      <c r="C52" s="7">
        <v>1</v>
      </c>
      <c r="D52" s="7" t="s">
        <v>1109</v>
      </c>
      <c r="E52" s="2"/>
      <c r="F52" s="2"/>
    </row>
    <row r="53" spans="1:6" ht="14" customHeight="1">
      <c r="A53" s="8">
        <v>5</v>
      </c>
      <c r="B53" s="7" t="str">
        <f>المدخلات!$F$6</f>
        <v>6:40–7:50 م</v>
      </c>
      <c r="C53" s="7">
        <v>2</v>
      </c>
      <c r="D53" s="7" t="s">
        <v>847</v>
      </c>
      <c r="E53" s="2"/>
      <c r="F53" s="2"/>
    </row>
    <row r="54" spans="1:6" ht="14" customHeight="1">
      <c r="A54" s="8">
        <v>6</v>
      </c>
      <c r="B54" s="7" t="str">
        <f>المدخلات!$F$4</f>
        <v>4:00–5:10 م</v>
      </c>
      <c r="C54" s="7">
        <v>1</v>
      </c>
      <c r="D54" s="7" t="s">
        <v>1048</v>
      </c>
      <c r="E54" s="2"/>
      <c r="F54" s="2"/>
    </row>
    <row r="55" spans="1:6" ht="14" customHeight="1">
      <c r="A55" s="8">
        <v>6</v>
      </c>
      <c r="B55" s="7" t="str">
        <f>المدخلات!$F$4</f>
        <v>4:00–5:10 م</v>
      </c>
      <c r="C55" s="7">
        <v>2</v>
      </c>
      <c r="D55" s="7" t="s">
        <v>1052</v>
      </c>
      <c r="E55" s="2"/>
      <c r="F55" s="2"/>
    </row>
    <row r="56" spans="1:6" ht="14" customHeight="1">
      <c r="A56" s="8">
        <v>6</v>
      </c>
      <c r="B56" s="7" t="str">
        <f>المدخلات!$F$4</f>
        <v>4:00–5:10 م</v>
      </c>
      <c r="C56" s="7">
        <v>3</v>
      </c>
      <c r="D56" s="7" t="s">
        <v>171</v>
      </c>
      <c r="E56" s="2"/>
      <c r="F56" s="2"/>
    </row>
    <row r="57" spans="1:6" ht="14" customHeight="1">
      <c r="A57" s="8">
        <v>6</v>
      </c>
      <c r="B57" s="7" t="str">
        <f>المدخلات!$F$4</f>
        <v>4:00–5:10 م</v>
      </c>
      <c r="C57" s="7">
        <v>4</v>
      </c>
      <c r="D57" s="7" t="s">
        <v>146</v>
      </c>
      <c r="E57" s="2"/>
      <c r="F57" s="2"/>
    </row>
    <row r="58" spans="1:6" ht="14" customHeight="1">
      <c r="A58" s="8">
        <v>6</v>
      </c>
      <c r="B58" s="7" t="str">
        <f>المدخلات!$F$5</f>
        <v>5:20–6:30 م</v>
      </c>
      <c r="C58" s="7">
        <v>1</v>
      </c>
      <c r="D58" s="7" t="s">
        <v>170</v>
      </c>
      <c r="E58" s="2"/>
      <c r="F58" s="2"/>
    </row>
    <row r="59" spans="1:6" ht="14" customHeight="1">
      <c r="A59" s="8">
        <v>6</v>
      </c>
      <c r="B59" s="7" t="str">
        <f>المدخلات!$F$5</f>
        <v>5:20–6:30 م</v>
      </c>
      <c r="C59" s="7">
        <v>2</v>
      </c>
      <c r="D59" s="7" t="s">
        <v>109</v>
      </c>
      <c r="E59" s="2"/>
      <c r="F59" s="2"/>
    </row>
    <row r="60" spans="1:6" ht="14" customHeight="1">
      <c r="A60" s="8">
        <v>6</v>
      </c>
      <c r="B60" s="7" t="str">
        <f>المدخلات!$F$5</f>
        <v>5:20–6:30 م</v>
      </c>
      <c r="C60" s="7">
        <v>3</v>
      </c>
      <c r="D60" s="7" t="s">
        <v>16</v>
      </c>
      <c r="E60" s="2"/>
      <c r="F60" s="2"/>
    </row>
    <row r="61" spans="1:6" ht="14" customHeight="1">
      <c r="A61" s="8">
        <v>6</v>
      </c>
      <c r="B61" s="7" t="str">
        <f>المدخلات!$F$5</f>
        <v>5:20–6:30 م</v>
      </c>
      <c r="C61" s="7">
        <v>4</v>
      </c>
      <c r="D61" s="7" t="s">
        <v>193</v>
      </c>
      <c r="E61" s="2"/>
      <c r="F61" s="2"/>
    </row>
    <row r="62" spans="1:6" ht="14" customHeight="1">
      <c r="A62" s="8">
        <v>6</v>
      </c>
      <c r="B62" s="7" t="str">
        <f>المدخلات!$F$6</f>
        <v>6:40–7:50 م</v>
      </c>
      <c r="C62" s="7">
        <v>1</v>
      </c>
      <c r="D62" s="7" t="s">
        <v>26</v>
      </c>
      <c r="E62" s="2"/>
      <c r="F62" s="2"/>
    </row>
    <row r="63" spans="1:6" ht="14" customHeight="1">
      <c r="A63" s="8">
        <v>6</v>
      </c>
      <c r="B63" s="7" t="str">
        <f>المدخلات!$F$6</f>
        <v>6:40–7:50 م</v>
      </c>
      <c r="C63" s="7">
        <v>2</v>
      </c>
      <c r="D63" s="7" t="s">
        <v>108</v>
      </c>
      <c r="E63" s="2"/>
      <c r="F63" s="2"/>
    </row>
    <row r="64" spans="1:6" ht="14" customHeight="1">
      <c r="A64" s="8">
        <v>7</v>
      </c>
      <c r="B64" s="7" t="str">
        <f>المدخلات!$F$4</f>
        <v>4:00–5:10 م</v>
      </c>
      <c r="C64" s="7">
        <v>1</v>
      </c>
      <c r="D64" s="7" t="s">
        <v>886</v>
      </c>
      <c r="E64" s="2"/>
      <c r="F64" s="2"/>
    </row>
    <row r="65" spans="1:6" ht="14" customHeight="1">
      <c r="A65" s="8">
        <v>7</v>
      </c>
      <c r="B65" s="7" t="str">
        <f>المدخلات!$F$4</f>
        <v>4:00–5:10 م</v>
      </c>
      <c r="C65" s="7">
        <v>2</v>
      </c>
      <c r="D65" s="7" t="s">
        <v>1110</v>
      </c>
      <c r="E65" s="2"/>
      <c r="F65" s="2"/>
    </row>
    <row r="66" spans="1:6" ht="14" customHeight="1">
      <c r="A66" s="8">
        <v>7</v>
      </c>
      <c r="B66" s="7" t="str">
        <f>المدخلات!$F$4</f>
        <v>4:00–5:10 م</v>
      </c>
      <c r="C66" s="7">
        <v>3</v>
      </c>
      <c r="D66" s="7" t="s">
        <v>12</v>
      </c>
      <c r="E66" s="2"/>
      <c r="F66" s="2"/>
    </row>
    <row r="67" spans="1:6" ht="14" customHeight="1">
      <c r="A67" s="8">
        <v>7</v>
      </c>
      <c r="B67" s="7" t="str">
        <f>المدخلات!$F$4</f>
        <v>4:00–5:10 م</v>
      </c>
      <c r="C67" s="7">
        <v>4</v>
      </c>
      <c r="D67" s="7" t="s">
        <v>10</v>
      </c>
      <c r="E67" s="2"/>
      <c r="F67" s="2"/>
    </row>
    <row r="68" spans="1:6" ht="14" customHeight="1">
      <c r="A68" s="8">
        <v>7</v>
      </c>
      <c r="B68" s="7" t="str">
        <f>المدخلات!$F$5</f>
        <v>5:20–6:30 م</v>
      </c>
      <c r="C68" s="7">
        <v>1</v>
      </c>
      <c r="D68" s="7" t="s">
        <v>901</v>
      </c>
      <c r="E68" s="2"/>
      <c r="F68" s="2"/>
    </row>
    <row r="69" spans="1:6" ht="14" customHeight="1">
      <c r="A69" s="8">
        <v>7</v>
      </c>
      <c r="B69" s="7" t="str">
        <f>المدخلات!$F$5</f>
        <v>5:20–6:30 م</v>
      </c>
      <c r="C69" s="7">
        <v>2</v>
      </c>
      <c r="D69" s="7" t="s">
        <v>22</v>
      </c>
      <c r="E69" s="2"/>
      <c r="F69" s="2"/>
    </row>
    <row r="70" spans="1:6" ht="14" customHeight="1">
      <c r="A70" s="8">
        <v>7</v>
      </c>
      <c r="B70" s="7" t="str">
        <f>المدخلات!$F$5</f>
        <v>5:20–6:30 م</v>
      </c>
      <c r="C70" s="7">
        <v>3</v>
      </c>
      <c r="D70" s="7" t="s">
        <v>102</v>
      </c>
      <c r="E70" s="2"/>
      <c r="F70" s="2"/>
    </row>
    <row r="71" spans="1:6" ht="14" customHeight="1">
      <c r="A71" s="8">
        <v>7</v>
      </c>
      <c r="B71" s="7" t="str">
        <f>المدخلات!$F$5</f>
        <v>5:20–6:30 م</v>
      </c>
      <c r="C71" s="7">
        <v>4</v>
      </c>
      <c r="D71" s="7" t="s">
        <v>112</v>
      </c>
      <c r="E71" s="2"/>
      <c r="F71" s="2"/>
    </row>
    <row r="72" spans="1:6" ht="14" customHeight="1">
      <c r="A72" s="8">
        <v>7</v>
      </c>
      <c r="B72" s="7" t="str">
        <f>المدخلات!$F$6</f>
        <v>6:40–7:50 م</v>
      </c>
      <c r="C72" s="7">
        <v>1</v>
      </c>
      <c r="D72" s="7" t="s">
        <v>900</v>
      </c>
      <c r="E72" s="2"/>
      <c r="F72" s="2"/>
    </row>
    <row r="73" spans="1:6" ht="14" customHeight="1">
      <c r="A73" s="8">
        <v>7</v>
      </c>
      <c r="B73" s="7" t="str">
        <f>المدخلات!$F$6</f>
        <v>6:40–7:50 م</v>
      </c>
      <c r="C73" s="7">
        <v>2</v>
      </c>
      <c r="D73" s="7" t="s">
        <v>681</v>
      </c>
      <c r="E73" s="2"/>
      <c r="F73" s="2"/>
    </row>
    <row r="74" spans="1:6" ht="14" customHeight="1">
      <c r="A74" s="8">
        <v>8</v>
      </c>
      <c r="B74" s="7" t="str">
        <f>المدخلات!$F$4</f>
        <v>4:00–5:10 م</v>
      </c>
      <c r="C74" s="7">
        <v>1</v>
      </c>
      <c r="D74" s="7" t="s">
        <v>96</v>
      </c>
      <c r="E74" s="2"/>
      <c r="F74" s="2"/>
    </row>
    <row r="75" spans="1:6" ht="14" customHeight="1">
      <c r="A75" s="8">
        <v>8</v>
      </c>
      <c r="B75" s="7" t="str">
        <f>المدخلات!$F$4</f>
        <v>4:00–5:10 م</v>
      </c>
      <c r="C75" s="7">
        <v>2</v>
      </c>
      <c r="D75" s="7" t="s">
        <v>101</v>
      </c>
      <c r="E75" s="2"/>
      <c r="F75" s="2"/>
    </row>
    <row r="76" spans="1:6" ht="14" customHeight="1">
      <c r="A76" s="8">
        <v>8</v>
      </c>
      <c r="B76" s="7" t="str">
        <f>المدخلات!$F$4</f>
        <v>4:00–5:10 م</v>
      </c>
      <c r="C76" s="7">
        <v>3</v>
      </c>
      <c r="D76" s="7" t="s">
        <v>174</v>
      </c>
      <c r="E76" s="2"/>
      <c r="F76" s="2"/>
    </row>
    <row r="77" spans="1:6" ht="14" customHeight="1">
      <c r="A77" s="8">
        <v>8</v>
      </c>
      <c r="B77" s="7" t="str">
        <f>المدخلات!$F$4</f>
        <v>4:00–5:10 م</v>
      </c>
      <c r="C77" s="7">
        <v>4</v>
      </c>
      <c r="D77" s="7" t="s">
        <v>113</v>
      </c>
      <c r="E77" s="2"/>
      <c r="F77" s="2"/>
    </row>
    <row r="78" spans="1:6" ht="14" customHeight="1">
      <c r="A78" s="8">
        <v>8</v>
      </c>
      <c r="B78" s="7" t="str">
        <f>المدخلات!$F$5</f>
        <v>5:20–6:30 م</v>
      </c>
      <c r="C78" s="7">
        <v>1</v>
      </c>
      <c r="D78" s="7" t="s">
        <v>173</v>
      </c>
      <c r="E78" s="2"/>
      <c r="F78" s="2"/>
    </row>
    <row r="79" spans="1:6" ht="14" customHeight="1">
      <c r="A79" s="8">
        <v>8</v>
      </c>
      <c r="B79" s="7" t="str">
        <f>المدخلات!$F$5</f>
        <v>5:20–6:30 م</v>
      </c>
      <c r="C79" s="7">
        <v>2</v>
      </c>
      <c r="D79" s="7" t="s">
        <v>19</v>
      </c>
      <c r="E79" s="2"/>
      <c r="F79" s="2"/>
    </row>
    <row r="80" spans="1:6" ht="14" customHeight="1">
      <c r="A80" s="8">
        <v>8</v>
      </c>
      <c r="B80" s="7" t="str">
        <f>المدخلات!$F$5</f>
        <v>5:20–6:30 م</v>
      </c>
      <c r="C80" s="7">
        <v>3</v>
      </c>
      <c r="D80" s="7" t="s">
        <v>147</v>
      </c>
      <c r="E80" s="2"/>
      <c r="F80" s="2"/>
    </row>
    <row r="81" spans="1:6" ht="14" customHeight="1">
      <c r="A81" s="8">
        <v>8</v>
      </c>
      <c r="B81" s="7" t="str">
        <f>المدخلات!$F$5</f>
        <v>5:20–6:30 م</v>
      </c>
      <c r="C81" s="7">
        <v>4</v>
      </c>
      <c r="D81" s="7" t="s">
        <v>114</v>
      </c>
      <c r="E81" s="2"/>
      <c r="F81" s="2"/>
    </row>
    <row r="82" spans="1:6" ht="14" customHeight="1">
      <c r="A82" s="8">
        <v>8</v>
      </c>
      <c r="B82" s="7" t="str">
        <f>المدخلات!$F$6</f>
        <v>6:40–7:50 م</v>
      </c>
      <c r="C82" s="7">
        <v>1</v>
      </c>
      <c r="D82" s="7" t="s">
        <v>7</v>
      </c>
      <c r="E82" s="2"/>
      <c r="F82" s="2"/>
    </row>
    <row r="83" spans="1:6" ht="14" customHeight="1">
      <c r="A83" s="8">
        <v>8</v>
      </c>
      <c r="B83" s="7" t="str">
        <f>المدخلات!$F$6</f>
        <v>6:40–7:50 م</v>
      </c>
      <c r="C83" s="7">
        <v>2</v>
      </c>
      <c r="D83" s="7" t="s">
        <v>1111</v>
      </c>
      <c r="E83" s="2"/>
      <c r="F83" s="2"/>
    </row>
    <row r="84" spans="1:6" ht="14" customHeight="1">
      <c r="A84" s="8">
        <v>9</v>
      </c>
      <c r="B84" s="7" t="str">
        <f>المدخلات!$F$4</f>
        <v>4:00–5:10 م</v>
      </c>
      <c r="C84" s="7">
        <v>1</v>
      </c>
      <c r="D84" s="7" t="s">
        <v>97</v>
      </c>
      <c r="E84" s="2"/>
      <c r="F84" s="2"/>
    </row>
    <row r="85" spans="1:6" ht="14" customHeight="1">
      <c r="A85" s="8">
        <v>9</v>
      </c>
      <c r="B85" s="7" t="str">
        <f>المدخلات!$F$4</f>
        <v>4:00–5:10 م</v>
      </c>
      <c r="C85" s="7">
        <v>2</v>
      </c>
      <c r="D85" s="7" t="s">
        <v>696</v>
      </c>
      <c r="E85" s="2"/>
      <c r="F85" s="2"/>
    </row>
    <row r="86" spans="1:6" ht="14" customHeight="1">
      <c r="A86" s="8">
        <v>9</v>
      </c>
      <c r="B86" s="7" t="str">
        <f>المدخلات!$F$4</f>
        <v>4:00–5:10 م</v>
      </c>
      <c r="C86" s="7">
        <v>3</v>
      </c>
      <c r="D86" s="7" t="s">
        <v>697</v>
      </c>
      <c r="E86" s="2"/>
      <c r="F86" s="2"/>
    </row>
    <row r="87" spans="1:6" ht="14" customHeight="1">
      <c r="A87" s="8">
        <v>9</v>
      </c>
      <c r="B87" s="7" t="str">
        <f>المدخلات!$F$4</f>
        <v>4:00–5:10 م</v>
      </c>
      <c r="C87" s="7">
        <v>4</v>
      </c>
      <c r="D87" s="7" t="s">
        <v>910</v>
      </c>
      <c r="E87" s="2"/>
      <c r="F87" s="2"/>
    </row>
    <row r="88" spans="1:6" ht="14" customHeight="1">
      <c r="A88" s="8">
        <v>9</v>
      </c>
      <c r="B88" s="7" t="str">
        <f>المدخلات!$F$5</f>
        <v>5:20–6:30 م</v>
      </c>
      <c r="C88" s="7">
        <v>1</v>
      </c>
      <c r="D88" s="7" t="s">
        <v>909</v>
      </c>
      <c r="E88" s="2"/>
      <c r="F88" s="2"/>
    </row>
    <row r="89" spans="1:6" ht="14" customHeight="1">
      <c r="A89" s="8">
        <v>9</v>
      </c>
      <c r="B89" s="7" t="str">
        <f>المدخلات!$F$5</f>
        <v>5:20–6:30 م</v>
      </c>
      <c r="C89" s="7">
        <v>2</v>
      </c>
      <c r="D89" s="7" t="s">
        <v>17</v>
      </c>
      <c r="E89" s="2"/>
      <c r="F89" s="2"/>
    </row>
    <row r="90" spans="1:6" ht="14" customHeight="1">
      <c r="A90" s="8">
        <v>9</v>
      </c>
      <c r="B90" s="7" t="str">
        <f>المدخلات!$F$5</f>
        <v>5:20–6:30 م</v>
      </c>
      <c r="C90" s="7">
        <v>3</v>
      </c>
      <c r="D90" s="7" t="s">
        <v>1112</v>
      </c>
      <c r="E90" s="2"/>
      <c r="F90" s="2"/>
    </row>
    <row r="91" spans="1:6" ht="14" customHeight="1">
      <c r="A91" s="8">
        <v>9</v>
      </c>
      <c r="B91" s="7" t="str">
        <f>المدخلات!$F$5</f>
        <v>5:20–6:30 م</v>
      </c>
      <c r="C91" s="7">
        <v>4</v>
      </c>
      <c r="D91" s="7" t="s">
        <v>698</v>
      </c>
      <c r="E91" s="2"/>
      <c r="F91" s="2"/>
    </row>
    <row r="92" spans="1:6" ht="14" customHeight="1">
      <c r="A92" s="8">
        <v>9</v>
      </c>
      <c r="B92" s="7" t="str">
        <f>المدخلات!$F$6</f>
        <v>6:40–7:50 م</v>
      </c>
      <c r="C92" s="7">
        <v>1</v>
      </c>
      <c r="D92" s="7" t="s">
        <v>62</v>
      </c>
      <c r="E92" s="2"/>
      <c r="F92" s="2"/>
    </row>
    <row r="93" spans="1:6" ht="14" customHeight="1">
      <c r="A93" s="8">
        <v>9</v>
      </c>
      <c r="B93" s="7" t="str">
        <f>المدخلات!$F$6</f>
        <v>6:40–7:50 م</v>
      </c>
      <c r="C93" s="7">
        <v>2</v>
      </c>
      <c r="D93" s="7" t="s">
        <v>90</v>
      </c>
      <c r="E93" s="2"/>
      <c r="F93" s="2"/>
    </row>
    <row r="94" spans="1:6" ht="14" customHeight="1">
      <c r="A94" s="8">
        <v>10</v>
      </c>
      <c r="B94" s="7" t="str">
        <f>المدخلات!$F$4</f>
        <v>4:00–5:10 م</v>
      </c>
      <c r="C94" s="7">
        <v>1</v>
      </c>
      <c r="D94" s="7" t="s">
        <v>117</v>
      </c>
      <c r="E94" s="2"/>
      <c r="F94" s="2"/>
    </row>
    <row r="95" spans="1:6" ht="14" customHeight="1">
      <c r="A95" s="8">
        <v>10</v>
      </c>
      <c r="B95" s="7" t="str">
        <f>المدخلات!$F$4</f>
        <v>4:00–5:10 م</v>
      </c>
      <c r="C95" s="7">
        <v>2</v>
      </c>
      <c r="D95" s="7" t="s">
        <v>1113</v>
      </c>
      <c r="E95" s="2"/>
      <c r="F95" s="2"/>
    </row>
    <row r="96" spans="1:6" ht="14" customHeight="1">
      <c r="A96" s="8">
        <v>10</v>
      </c>
      <c r="B96" s="7" t="str">
        <f>المدخلات!$F$4</f>
        <v>4:00–5:10 م</v>
      </c>
      <c r="C96" s="7">
        <v>3</v>
      </c>
      <c r="D96" s="7" t="s">
        <v>64</v>
      </c>
      <c r="E96" s="2"/>
      <c r="F96" s="2"/>
    </row>
    <row r="97" spans="1:6" ht="14" customHeight="1">
      <c r="A97" s="8">
        <v>10</v>
      </c>
      <c r="B97" s="7" t="str">
        <f>المدخلات!$F$4</f>
        <v>4:00–5:10 م</v>
      </c>
      <c r="C97" s="7">
        <v>4</v>
      </c>
      <c r="D97" s="7" t="s">
        <v>914</v>
      </c>
      <c r="E97" s="2"/>
      <c r="F97" s="2"/>
    </row>
    <row r="98" spans="1:6" ht="14" customHeight="1">
      <c r="A98" s="8">
        <v>10</v>
      </c>
      <c r="B98" s="7" t="str">
        <f>المدخلات!$F$5</f>
        <v>5:20–6:30 م</v>
      </c>
      <c r="C98" s="7">
        <v>1</v>
      </c>
      <c r="D98" s="7" t="s">
        <v>866</v>
      </c>
      <c r="E98" s="2"/>
      <c r="F98" s="2"/>
    </row>
    <row r="99" spans="1:6" ht="14" customHeight="1">
      <c r="A99" s="8">
        <v>10</v>
      </c>
      <c r="B99" s="7" t="str">
        <f>المدخلات!$F$5</f>
        <v>5:20–6:30 م</v>
      </c>
      <c r="C99" s="7">
        <v>2</v>
      </c>
      <c r="D99" s="7" t="s">
        <v>95</v>
      </c>
      <c r="E99" s="2"/>
      <c r="F99" s="2"/>
    </row>
    <row r="100" spans="1:6" ht="14" customHeight="1">
      <c r="A100" s="8">
        <v>10</v>
      </c>
      <c r="B100" s="7" t="str">
        <f>المدخلات!$F$5</f>
        <v>5:20–6:30 م</v>
      </c>
      <c r="C100" s="7">
        <v>3</v>
      </c>
      <c r="D100" s="7" t="s">
        <v>149</v>
      </c>
      <c r="E100" s="2"/>
      <c r="F100" s="2"/>
    </row>
    <row r="101" spans="1:6" ht="14" customHeight="1">
      <c r="A101" s="8">
        <v>10</v>
      </c>
      <c r="B101" s="7" t="str">
        <f>المدخلات!$F$5</f>
        <v>5:20–6:30 م</v>
      </c>
      <c r="C101" s="7">
        <v>4</v>
      </c>
      <c r="D101" s="7" t="s">
        <v>91</v>
      </c>
      <c r="E101" s="2"/>
      <c r="F101" s="2"/>
    </row>
    <row r="102" spans="1:6" ht="14" customHeight="1">
      <c r="A102" s="8">
        <v>10</v>
      </c>
      <c r="B102" s="7" t="str">
        <f>المدخلات!$F$6</f>
        <v>6:40–7:50 م</v>
      </c>
      <c r="C102" s="7">
        <v>1</v>
      </c>
      <c r="D102" s="7" t="s">
        <v>915</v>
      </c>
      <c r="E102" s="2"/>
      <c r="F102" s="2"/>
    </row>
    <row r="103" spans="1:6" ht="14" customHeight="1">
      <c r="A103" s="8">
        <v>10</v>
      </c>
      <c r="B103" s="7" t="str">
        <f>المدخلات!$F$6</f>
        <v>6:40–7:50 م</v>
      </c>
      <c r="C103" s="7">
        <v>2</v>
      </c>
      <c r="D103" s="7" t="s">
        <v>118</v>
      </c>
      <c r="E103" s="2"/>
      <c r="F103" s="2"/>
    </row>
    <row r="104" spans="1:6" ht="14" customHeight="1">
      <c r="A104" s="8">
        <v>11</v>
      </c>
      <c r="B104" s="7" t="str">
        <f>المدخلات!$F$4</f>
        <v>4:00–5:10 م</v>
      </c>
      <c r="C104" s="7">
        <v>1</v>
      </c>
      <c r="D104" s="7" t="s">
        <v>724</v>
      </c>
      <c r="E104" s="2"/>
      <c r="F104" s="2"/>
    </row>
    <row r="105" spans="1:6" ht="14" customHeight="1">
      <c r="A105" s="8">
        <v>11</v>
      </c>
      <c r="B105" s="7" t="str">
        <f>المدخلات!$F$4</f>
        <v>4:00–5:10 م</v>
      </c>
      <c r="C105" s="7">
        <v>2</v>
      </c>
      <c r="D105" s="7" t="s">
        <v>727</v>
      </c>
      <c r="E105" s="2"/>
      <c r="F105" s="2"/>
    </row>
    <row r="106" spans="1:6" ht="14" customHeight="1">
      <c r="A106" s="8">
        <v>11</v>
      </c>
      <c r="B106" s="7" t="str">
        <f>المدخلات!$F$4</f>
        <v>4:00–5:10 م</v>
      </c>
      <c r="C106" s="7">
        <v>3</v>
      </c>
      <c r="D106" s="7" t="s">
        <v>52</v>
      </c>
      <c r="E106" s="2"/>
      <c r="F106" s="2"/>
    </row>
    <row r="107" spans="1:6" ht="14" customHeight="1">
      <c r="A107" s="8">
        <v>11</v>
      </c>
      <c r="B107" s="7" t="str">
        <f>المدخلات!$F$4</f>
        <v>4:00–5:10 م</v>
      </c>
      <c r="C107" s="7">
        <v>4</v>
      </c>
      <c r="D107" s="7" t="s">
        <v>917</v>
      </c>
      <c r="E107" s="2"/>
      <c r="F107" s="2"/>
    </row>
    <row r="108" spans="1:6" ht="14" customHeight="1">
      <c r="A108" s="8">
        <v>11</v>
      </c>
      <c r="B108" s="7" t="str">
        <f>المدخلات!$F$5</f>
        <v>5:20–6:30 م</v>
      </c>
      <c r="C108" s="7">
        <v>1</v>
      </c>
      <c r="D108" s="7" t="s">
        <v>196</v>
      </c>
      <c r="E108" s="2"/>
      <c r="F108" s="2"/>
    </row>
    <row r="109" spans="1:6" ht="14" customHeight="1">
      <c r="A109" s="8">
        <v>11</v>
      </c>
      <c r="B109" s="7" t="str">
        <f>المدخلات!$F$5</f>
        <v>5:20–6:30 م</v>
      </c>
      <c r="C109" s="7">
        <v>2</v>
      </c>
      <c r="D109" s="7" t="s">
        <v>723</v>
      </c>
      <c r="E109" s="2"/>
      <c r="F109" s="2"/>
    </row>
    <row r="110" spans="1:6" ht="14" customHeight="1">
      <c r="A110" s="8">
        <v>11</v>
      </c>
      <c r="B110" s="7" t="str">
        <f>المدخلات!$F$5</f>
        <v>5:20–6:30 م</v>
      </c>
      <c r="C110" s="7">
        <v>3</v>
      </c>
      <c r="D110" s="7" t="s">
        <v>725</v>
      </c>
      <c r="E110" s="2"/>
      <c r="F110" s="2"/>
    </row>
    <row r="111" spans="1:6" ht="14" customHeight="1">
      <c r="A111" s="8">
        <v>11</v>
      </c>
      <c r="B111" s="7" t="str">
        <f>المدخلات!$F$5</f>
        <v>5:20–6:30 م</v>
      </c>
      <c r="C111" s="7">
        <v>4</v>
      </c>
      <c r="D111" s="7" t="s">
        <v>43</v>
      </c>
      <c r="E111" s="2"/>
      <c r="F111" s="2"/>
    </row>
    <row r="112" spans="1:6" ht="14" customHeight="1">
      <c r="A112" s="8">
        <v>11</v>
      </c>
      <c r="B112" s="7" t="str">
        <f>المدخلات!$F$6</f>
        <v>6:40–7:50 م</v>
      </c>
      <c r="C112" s="7">
        <v>1</v>
      </c>
      <c r="D112" s="7" t="s">
        <v>726</v>
      </c>
      <c r="E112" s="2"/>
      <c r="F112" s="2"/>
    </row>
    <row r="113" spans="1:6" ht="14" customHeight="1">
      <c r="A113" s="8">
        <v>11</v>
      </c>
      <c r="B113" s="7" t="str">
        <f>المدخلات!$F$6</f>
        <v>6:40–7:50 م</v>
      </c>
      <c r="C113" s="7">
        <v>2</v>
      </c>
      <c r="D113" s="7" t="s">
        <v>68</v>
      </c>
      <c r="E113" s="2"/>
      <c r="F113" s="2"/>
    </row>
    <row r="114" spans="1:6" ht="14" customHeight="1">
      <c r="A114" s="8">
        <v>12</v>
      </c>
      <c r="B114" s="7" t="str">
        <f>المدخلات!$F$4</f>
        <v>4:00–5:10 م</v>
      </c>
      <c r="C114" s="7">
        <v>1</v>
      </c>
      <c r="D114" s="7" t="s">
        <v>45</v>
      </c>
      <c r="E114" s="2"/>
      <c r="F114" s="2"/>
    </row>
    <row r="115" spans="1:6" ht="14" customHeight="1">
      <c r="A115" s="8">
        <v>12</v>
      </c>
      <c r="B115" s="7" t="str">
        <f>المدخلات!$F$4</f>
        <v>4:00–5:10 م</v>
      </c>
      <c r="C115" s="7">
        <v>2</v>
      </c>
      <c r="D115" s="7" t="s">
        <v>197</v>
      </c>
      <c r="E115" s="2"/>
      <c r="F115" s="2"/>
    </row>
    <row r="116" spans="1:6" ht="14" customHeight="1">
      <c r="A116" s="8">
        <v>12</v>
      </c>
      <c r="B116" s="7" t="str">
        <f>المدخلات!$F$4</f>
        <v>4:00–5:10 م</v>
      </c>
      <c r="C116" s="7">
        <v>3</v>
      </c>
      <c r="D116" s="7" t="s">
        <v>123</v>
      </c>
      <c r="E116" s="2"/>
      <c r="F116" s="2"/>
    </row>
    <row r="117" spans="1:6" ht="14" customHeight="1">
      <c r="A117" s="8">
        <v>12</v>
      </c>
      <c r="B117" s="7" t="str">
        <f>المدخلات!$F$4</f>
        <v>4:00–5:10 م</v>
      </c>
      <c r="C117" s="7">
        <v>4</v>
      </c>
      <c r="D117" s="7" t="s">
        <v>746</v>
      </c>
      <c r="E117" s="2"/>
      <c r="F117" s="2"/>
    </row>
    <row r="118" spans="1:6" ht="14" customHeight="1">
      <c r="A118" s="8">
        <v>12</v>
      </c>
      <c r="B118" s="7" t="str">
        <f>المدخلات!$F$5</f>
        <v>5:20–6:30 م</v>
      </c>
      <c r="C118" s="7">
        <v>1</v>
      </c>
      <c r="D118" s="7" t="s">
        <v>124</v>
      </c>
      <c r="E118" s="2"/>
      <c r="F118" s="2"/>
    </row>
    <row r="119" spans="1:6" ht="14" customHeight="1">
      <c r="A119" s="8">
        <v>12</v>
      </c>
      <c r="B119" s="7" t="str">
        <f>المدخلات!$F$5</f>
        <v>5:20–6:30 م</v>
      </c>
      <c r="C119" s="7">
        <v>2</v>
      </c>
      <c r="D119" s="7" t="s">
        <v>60</v>
      </c>
      <c r="E119" s="2"/>
      <c r="F119" s="2"/>
    </row>
    <row r="120" spans="1:6" ht="14" customHeight="1">
      <c r="A120" s="8">
        <v>12</v>
      </c>
      <c r="B120" s="7" t="str">
        <f>المدخلات!$F$5</f>
        <v>5:20–6:30 م</v>
      </c>
      <c r="C120" s="7">
        <v>3</v>
      </c>
      <c r="D120" s="7" t="s">
        <v>69</v>
      </c>
      <c r="E120" s="2"/>
      <c r="F120" s="2"/>
    </row>
    <row r="121" spans="1:6" ht="14" customHeight="1">
      <c r="A121" s="8">
        <v>12</v>
      </c>
      <c r="B121" s="7" t="str">
        <f>المدخلات!$F$5</f>
        <v>5:20–6:30 م</v>
      </c>
      <c r="C121" s="7">
        <v>4</v>
      </c>
      <c r="D121" s="7" t="s">
        <v>177</v>
      </c>
      <c r="E121" s="2"/>
      <c r="F121" s="2"/>
    </row>
    <row r="122" spans="1:6" ht="14" customHeight="1">
      <c r="A122" s="8">
        <v>12</v>
      </c>
      <c r="B122" s="7" t="str">
        <f>المدخلات!$F$6</f>
        <v>6:40–7:50 م</v>
      </c>
      <c r="C122" s="7">
        <v>1</v>
      </c>
      <c r="D122" s="7" t="s">
        <v>832</v>
      </c>
      <c r="E122" s="2"/>
      <c r="F122" s="2"/>
    </row>
    <row r="123" spans="1:6" ht="14" customHeight="1">
      <c r="A123" s="8">
        <v>12</v>
      </c>
      <c r="B123" s="7" t="str">
        <f>المدخلات!$F$6</f>
        <v>6:40–7:50 م</v>
      </c>
      <c r="C123" s="7">
        <v>2</v>
      </c>
      <c r="D123" s="7" t="s">
        <v>125</v>
      </c>
      <c r="E123" s="2"/>
      <c r="F123" s="2"/>
    </row>
    <row r="124" spans="1:6" ht="14" customHeight="1">
      <c r="A124" s="8">
        <v>13</v>
      </c>
      <c r="B124" s="7" t="str">
        <f>المدخلات!$F$4</f>
        <v>4:00–5:10 م</v>
      </c>
      <c r="C124" s="7">
        <v>1</v>
      </c>
      <c r="D124" s="7" t="s">
        <v>198</v>
      </c>
      <c r="E124" s="2"/>
      <c r="F124" s="2"/>
    </row>
    <row r="125" spans="1:6" ht="14" customHeight="1">
      <c r="A125" s="8">
        <v>13</v>
      </c>
      <c r="B125" s="7" t="str">
        <f>المدخلات!$F$4</f>
        <v>4:00–5:10 م</v>
      </c>
      <c r="C125" s="7">
        <v>2</v>
      </c>
      <c r="D125" s="7" t="s">
        <v>767</v>
      </c>
      <c r="E125" s="2"/>
      <c r="F125" s="2"/>
    </row>
    <row r="126" spans="1:6" ht="14" customHeight="1">
      <c r="A126" s="8">
        <v>13</v>
      </c>
      <c r="B126" s="7" t="str">
        <f>المدخلات!$F$4</f>
        <v>4:00–5:10 م</v>
      </c>
      <c r="C126" s="7">
        <v>3</v>
      </c>
      <c r="D126" s="7" t="s">
        <v>51</v>
      </c>
      <c r="E126" s="2"/>
      <c r="F126" s="2"/>
    </row>
    <row r="127" spans="1:6" ht="14" customHeight="1">
      <c r="A127" s="8">
        <v>13</v>
      </c>
      <c r="B127" s="7" t="str">
        <f>المدخلات!$F$4</f>
        <v>4:00–5:10 م</v>
      </c>
      <c r="C127" s="7">
        <v>4</v>
      </c>
      <c r="D127" s="7" t="s">
        <v>42</v>
      </c>
      <c r="E127" s="2"/>
      <c r="F127" s="2"/>
    </row>
    <row r="128" spans="1:6" ht="14" customHeight="1">
      <c r="A128" s="8">
        <v>13</v>
      </c>
      <c r="B128" s="7" t="str">
        <f>المدخلات!$F$5</f>
        <v>5:20–6:30 م</v>
      </c>
      <c r="C128" s="7">
        <v>1</v>
      </c>
      <c r="D128" s="7" t="s">
        <v>29</v>
      </c>
      <c r="E128" s="2"/>
      <c r="F128" s="2"/>
    </row>
    <row r="129" spans="1:6" ht="14" customHeight="1">
      <c r="A129" s="8">
        <v>13</v>
      </c>
      <c r="B129" s="7" t="str">
        <f>المدخلات!$F$5</f>
        <v>5:20–6:30 م</v>
      </c>
      <c r="C129" s="7">
        <v>2</v>
      </c>
      <c r="D129" s="7" t="s">
        <v>61</v>
      </c>
      <c r="E129" s="2"/>
      <c r="F129" s="2"/>
    </row>
    <row r="130" spans="1:6" ht="14" customHeight="1">
      <c r="A130" s="8">
        <v>13</v>
      </c>
      <c r="B130" s="7" t="str">
        <f>المدخلات!$F$5</f>
        <v>5:20–6:30 م</v>
      </c>
      <c r="C130" s="7">
        <v>3</v>
      </c>
      <c r="D130" s="7" t="s">
        <v>178</v>
      </c>
      <c r="E130" s="2"/>
      <c r="F130" s="2"/>
    </row>
    <row r="131" spans="1:6" ht="14" customHeight="1">
      <c r="A131" s="8">
        <v>13</v>
      </c>
      <c r="B131" s="7" t="str">
        <f>المدخلات!$F$5</f>
        <v>5:20–6:30 م</v>
      </c>
      <c r="C131" s="7">
        <v>4</v>
      </c>
      <c r="D131" s="7" t="s">
        <v>768</v>
      </c>
      <c r="E131" s="2"/>
      <c r="F131" s="2"/>
    </row>
    <row r="132" spans="1:6" ht="14" customHeight="1">
      <c r="A132" s="8">
        <v>13</v>
      </c>
      <c r="B132" s="7" t="str">
        <f>المدخلات!$F$6</f>
        <v>6:40–7:50 م</v>
      </c>
      <c r="C132" s="7">
        <v>1</v>
      </c>
      <c r="D132" s="7" t="s">
        <v>769</v>
      </c>
      <c r="E132" s="2"/>
      <c r="F132" s="2"/>
    </row>
    <row r="133" spans="1:6" ht="14" customHeight="1">
      <c r="A133" s="8">
        <v>13</v>
      </c>
      <c r="B133" s="7" t="str">
        <f>المدخلات!$F$6</f>
        <v>6:40–7:50 م</v>
      </c>
      <c r="C133" s="7">
        <v>2</v>
      </c>
      <c r="D133" s="7" t="s">
        <v>161</v>
      </c>
      <c r="E133" s="2"/>
      <c r="F133" s="2"/>
    </row>
    <row r="134" spans="1:6" ht="14" customHeight="1">
      <c r="A134" s="8">
        <v>14</v>
      </c>
      <c r="B134" s="7" t="str">
        <f>المدخلات!$F$4</f>
        <v>4:00–5:10 م</v>
      </c>
      <c r="C134" s="7">
        <v>1</v>
      </c>
      <c r="D134" s="7" t="s">
        <v>1047</v>
      </c>
      <c r="E134" s="2"/>
      <c r="F134" s="2"/>
    </row>
    <row r="135" spans="1:6" ht="14" customHeight="1">
      <c r="A135" s="8">
        <v>14</v>
      </c>
      <c r="B135" s="7" t="str">
        <f>المدخلات!$F$4</f>
        <v>4:00–5:10 م</v>
      </c>
      <c r="C135" s="7">
        <v>2</v>
      </c>
      <c r="D135" s="7" t="s">
        <v>179</v>
      </c>
      <c r="E135" s="2"/>
      <c r="F135" s="2"/>
    </row>
    <row r="136" spans="1:6" ht="14" customHeight="1">
      <c r="A136" s="8">
        <v>14</v>
      </c>
      <c r="B136" s="7" t="str">
        <f>المدخلات!$F$4</f>
        <v>4:00–5:10 م</v>
      </c>
      <c r="C136" s="7">
        <v>3</v>
      </c>
      <c r="D136" s="7" t="s">
        <v>28</v>
      </c>
      <c r="E136" s="2"/>
      <c r="F136" s="2"/>
    </row>
    <row r="137" spans="1:6" ht="14" customHeight="1">
      <c r="A137" s="8">
        <v>14</v>
      </c>
      <c r="B137" s="7" t="str">
        <f>المدخلات!$F$4</f>
        <v>4:00–5:10 م</v>
      </c>
      <c r="C137" s="7">
        <v>4</v>
      </c>
      <c r="D137" s="7" t="s">
        <v>48</v>
      </c>
      <c r="E137" s="2"/>
      <c r="F137" s="2"/>
    </row>
    <row r="138" spans="1:6" ht="14" customHeight="1">
      <c r="A138" s="8">
        <v>14</v>
      </c>
      <c r="B138" s="7" t="str">
        <f>المدخلات!$F$5</f>
        <v>5:20–6:30 م</v>
      </c>
      <c r="C138" s="7">
        <v>1</v>
      </c>
      <c r="D138" s="7" t="s">
        <v>66</v>
      </c>
      <c r="E138" s="2"/>
      <c r="F138" s="2"/>
    </row>
    <row r="139" spans="1:6" ht="14" customHeight="1">
      <c r="A139" s="8">
        <v>14</v>
      </c>
      <c r="B139" s="7" t="str">
        <f>المدخلات!$F$5</f>
        <v>5:20–6:30 م</v>
      </c>
      <c r="C139" s="7">
        <v>2</v>
      </c>
      <c r="D139" s="7" t="s">
        <v>162</v>
      </c>
      <c r="E139" s="2"/>
      <c r="F139" s="2"/>
    </row>
    <row r="140" spans="1:6" ht="14" customHeight="1">
      <c r="A140" s="8">
        <v>14</v>
      </c>
      <c r="B140" s="7" t="str">
        <f>المدخلات!$F$5</f>
        <v>5:20–6:30 م</v>
      </c>
      <c r="C140" s="7">
        <v>3</v>
      </c>
      <c r="D140" s="7" t="s">
        <v>59</v>
      </c>
      <c r="E140" s="2"/>
      <c r="F140" s="2"/>
    </row>
    <row r="141" spans="1:6" ht="14" customHeight="1">
      <c r="A141" s="8">
        <v>14</v>
      </c>
      <c r="B141" s="7" t="str">
        <f>المدخلات!$F$5</f>
        <v>5:20–6:30 م</v>
      </c>
      <c r="C141" s="7">
        <v>4</v>
      </c>
      <c r="D141" s="7" t="s">
        <v>151</v>
      </c>
      <c r="E141" s="2"/>
      <c r="F141" s="2"/>
    </row>
    <row r="142" spans="1:6" ht="14" customHeight="1">
      <c r="A142" s="8">
        <v>14</v>
      </c>
      <c r="B142" s="7" t="str">
        <f>المدخلات!$F$6</f>
        <v>6:40–7:50 م</v>
      </c>
      <c r="C142" s="7">
        <v>1</v>
      </c>
      <c r="D142" s="7" t="s">
        <v>199</v>
      </c>
      <c r="E142" s="2"/>
      <c r="F142" s="2"/>
    </row>
    <row r="143" spans="1:6" ht="14" customHeight="1">
      <c r="A143" s="8">
        <v>14</v>
      </c>
      <c r="B143" s="7" t="str">
        <f>المدخلات!$F$6</f>
        <v>6:40–7:50 م</v>
      </c>
      <c r="C143" s="7">
        <v>2</v>
      </c>
      <c r="D143" s="7" t="s">
        <v>38</v>
      </c>
      <c r="E143" s="2"/>
      <c r="F143" s="2"/>
    </row>
    <row r="144" spans="1:6" ht="14" customHeight="1">
      <c r="A144" s="8">
        <v>15</v>
      </c>
      <c r="B144" s="7" t="str">
        <f>المدخلات!$F$4</f>
        <v>4:00–5:10 م</v>
      </c>
      <c r="C144" s="7">
        <v>1</v>
      </c>
      <c r="D144" s="7" t="s">
        <v>129</v>
      </c>
      <c r="E144" s="2"/>
      <c r="F144" s="2"/>
    </row>
    <row r="145" spans="1:6" ht="14" customHeight="1">
      <c r="A145" s="8">
        <v>15</v>
      </c>
      <c r="B145" s="7" t="str">
        <f>المدخلات!$F$4</f>
        <v>4:00–5:10 م</v>
      </c>
      <c r="C145" s="7">
        <v>2</v>
      </c>
      <c r="D145" s="7" t="s">
        <v>158</v>
      </c>
      <c r="E145" s="2"/>
      <c r="F145" s="2"/>
    </row>
    <row r="146" spans="1:6" ht="14" customHeight="1">
      <c r="A146" s="8">
        <v>15</v>
      </c>
      <c r="B146" s="7" t="str">
        <f>المدخلات!$F$4</f>
        <v>4:00–5:10 م</v>
      </c>
      <c r="C146" s="7">
        <v>3</v>
      </c>
      <c r="D146" s="7" t="s">
        <v>24</v>
      </c>
      <c r="E146" s="2"/>
      <c r="F146" s="2"/>
    </row>
    <row r="147" spans="1:6" ht="14" customHeight="1">
      <c r="A147" s="8">
        <v>15</v>
      </c>
      <c r="B147" s="7" t="str">
        <f>المدخلات!$F$4</f>
        <v>4:00–5:10 م</v>
      </c>
      <c r="C147" s="7">
        <v>4</v>
      </c>
      <c r="D147" s="7" t="s">
        <v>180</v>
      </c>
      <c r="E147" s="2"/>
      <c r="F147" s="2"/>
    </row>
    <row r="148" spans="1:6" ht="14" customHeight="1">
      <c r="A148" s="8">
        <v>15</v>
      </c>
      <c r="B148" s="7" t="str">
        <f>المدخلات!$F$5</f>
        <v>5:20–6:30 م</v>
      </c>
      <c r="C148" s="7">
        <v>1</v>
      </c>
      <c r="D148" s="7" t="s">
        <v>15</v>
      </c>
      <c r="E148" s="2"/>
      <c r="F148" s="2"/>
    </row>
    <row r="149" spans="1:6" ht="14" customHeight="1">
      <c r="A149" s="8">
        <v>15</v>
      </c>
      <c r="B149" s="7" t="str">
        <f>المدخلات!$F$5</f>
        <v>5:20–6:30 م</v>
      </c>
      <c r="C149" s="7">
        <v>2</v>
      </c>
      <c r="D149" s="7" t="s">
        <v>39</v>
      </c>
      <c r="E149" s="2"/>
      <c r="F149" s="2"/>
    </row>
    <row r="150" spans="1:6" ht="14" customHeight="1">
      <c r="A150" s="8">
        <v>15</v>
      </c>
      <c r="B150" s="7" t="str">
        <f>المدخلات!$F$5</f>
        <v>5:20–6:30 م</v>
      </c>
      <c r="C150" s="7">
        <v>3</v>
      </c>
      <c r="D150" s="7" t="s">
        <v>152</v>
      </c>
      <c r="E150" s="2"/>
      <c r="F150" s="2"/>
    </row>
    <row r="151" spans="1:6" ht="14" customHeight="1">
      <c r="A151" s="8">
        <v>15</v>
      </c>
      <c r="B151" s="7" t="str">
        <f>المدخلات!$F$5</f>
        <v>5:20–6:30 م</v>
      </c>
      <c r="C151" s="7">
        <v>4</v>
      </c>
      <c r="D151" s="7" t="s">
        <v>200</v>
      </c>
      <c r="E151" s="2"/>
      <c r="F151" s="2"/>
    </row>
    <row r="152" spans="1:6" ht="14" customHeight="1">
      <c r="A152" s="8">
        <v>15</v>
      </c>
      <c r="B152" s="7" t="str">
        <f>المدخلات!$F$6</f>
        <v>6:40–7:50 م</v>
      </c>
      <c r="C152" s="7">
        <v>1</v>
      </c>
      <c r="D152" s="7" t="s">
        <v>805</v>
      </c>
      <c r="E152" s="2"/>
      <c r="F152" s="2"/>
    </row>
    <row r="153" spans="1:6" ht="14" customHeight="1">
      <c r="A153" s="8">
        <v>15</v>
      </c>
      <c r="B153" s="7" t="str">
        <f>المدخلات!$F$6</f>
        <v>6:40–7:50 م</v>
      </c>
      <c r="C153" s="7">
        <v>2</v>
      </c>
      <c r="D153" s="7" t="s">
        <v>32</v>
      </c>
      <c r="E153" s="2"/>
      <c r="F153" s="2"/>
    </row>
    <row r="154" spans="1:6" ht="14" customHeight="1">
      <c r="A154" s="8">
        <v>16</v>
      </c>
      <c r="B154" s="7" t="str">
        <f>المدخلات!$F$4</f>
        <v>4:00–5:10 م</v>
      </c>
      <c r="C154" s="7">
        <v>1</v>
      </c>
      <c r="D154" s="7" t="s">
        <v>153</v>
      </c>
      <c r="E154" s="2"/>
      <c r="F154" s="2"/>
    </row>
    <row r="155" spans="1:6" ht="14" customHeight="1">
      <c r="A155" s="8">
        <v>16</v>
      </c>
      <c r="B155" s="7" t="str">
        <f>المدخلات!$F$4</f>
        <v>4:00–5:10 م</v>
      </c>
      <c r="C155" s="7">
        <v>2</v>
      </c>
      <c r="D155" s="7" t="s">
        <v>20</v>
      </c>
      <c r="E155" s="2"/>
      <c r="F155" s="2"/>
    </row>
    <row r="156" spans="1:6" ht="14" customHeight="1">
      <c r="A156" s="8">
        <v>16</v>
      </c>
      <c r="B156" s="7" t="str">
        <f>المدخلات!$F$4</f>
        <v>4:00–5:10 م</v>
      </c>
      <c r="C156" s="7">
        <v>3</v>
      </c>
      <c r="D156" s="7" t="s">
        <v>182</v>
      </c>
      <c r="E156" s="2"/>
      <c r="F156" s="2"/>
    </row>
    <row r="157" spans="1:6" ht="14" customHeight="1">
      <c r="A157" s="8">
        <v>16</v>
      </c>
      <c r="B157" s="7" t="str">
        <f>المدخلات!$F$4</f>
        <v>4:00–5:10 م</v>
      </c>
      <c r="C157" s="7">
        <v>4</v>
      </c>
      <c r="D157" s="7" t="s">
        <v>1115</v>
      </c>
      <c r="E157" s="2"/>
      <c r="F157" s="2"/>
    </row>
    <row r="158" spans="1:6" ht="14" customHeight="1">
      <c r="A158" s="8">
        <v>16</v>
      </c>
      <c r="B158" s="7" t="str">
        <f>المدخلات!$F$5</f>
        <v>5:20–6:30 م</v>
      </c>
      <c r="C158" s="7">
        <v>1</v>
      </c>
      <c r="D158" s="7" t="s">
        <v>31</v>
      </c>
      <c r="E158" s="2"/>
      <c r="F158" s="2"/>
    </row>
    <row r="159" spans="1:6" ht="14" customHeight="1">
      <c r="A159" s="8">
        <v>16</v>
      </c>
      <c r="B159" s="7" t="str">
        <f>المدخلات!$F$5</f>
        <v>5:20–6:30 م</v>
      </c>
      <c r="C159" s="7">
        <v>2</v>
      </c>
      <c r="D159" s="7" t="s">
        <v>9</v>
      </c>
      <c r="E159" s="2"/>
      <c r="F159" s="2"/>
    </row>
    <row r="160" spans="1:6" ht="14" customHeight="1">
      <c r="A160" s="8">
        <v>16</v>
      </c>
      <c r="B160" s="7" t="str">
        <f>المدخلات!$F$5</f>
        <v>5:20–6:30 م</v>
      </c>
      <c r="C160" s="7">
        <v>3</v>
      </c>
      <c r="D160" s="7" t="s">
        <v>130</v>
      </c>
      <c r="E160" s="2"/>
      <c r="F160" s="2"/>
    </row>
    <row r="161" spans="1:6" ht="14" customHeight="1">
      <c r="A161" s="8">
        <v>16</v>
      </c>
      <c r="B161" s="7" t="str">
        <f>المدخلات!$F$5</f>
        <v>5:20–6:30 م</v>
      </c>
      <c r="C161" s="7">
        <v>4</v>
      </c>
      <c r="D161" s="7" t="s">
        <v>103</v>
      </c>
      <c r="E161" s="2"/>
      <c r="F161" s="2"/>
    </row>
    <row r="162" spans="1:6" ht="14" customHeight="1">
      <c r="A162" s="8">
        <v>16</v>
      </c>
      <c r="B162" s="7" t="str">
        <f>المدخلات!$F$6</f>
        <v>6:40–7:50 م</v>
      </c>
      <c r="C162" s="7">
        <v>1</v>
      </c>
      <c r="D162" s="7" t="s">
        <v>27</v>
      </c>
      <c r="E162" s="2"/>
      <c r="F162" s="2"/>
    </row>
    <row r="163" spans="1:6" ht="14" customHeight="1">
      <c r="A163" s="8">
        <v>16</v>
      </c>
      <c r="B163" s="7" t="str">
        <f>المدخلات!$F$6</f>
        <v>6:40–7:50 م</v>
      </c>
      <c r="C163" s="7">
        <v>2</v>
      </c>
      <c r="D163" s="7" t="s">
        <v>1114</v>
      </c>
      <c r="E163" s="2"/>
      <c r="F163" s="2"/>
    </row>
    <row r="164" spans="1:6" ht="14" customHeight="1">
      <c r="A164" s="8">
        <v>17</v>
      </c>
      <c r="B164" s="7" t="str">
        <f>المدخلات!$F$4</f>
        <v>4:00–5:10 م</v>
      </c>
      <c r="C164" s="7">
        <v>1</v>
      </c>
      <c r="D164" s="7" t="s">
        <v>13</v>
      </c>
      <c r="E164" s="2"/>
      <c r="F164" s="2"/>
    </row>
    <row r="165" spans="1:6" ht="14" customHeight="1">
      <c r="A165" s="8">
        <v>17</v>
      </c>
      <c r="B165" s="7" t="str">
        <f>المدخلات!$F$4</f>
        <v>4:00–5:10 م</v>
      </c>
      <c r="C165" s="7">
        <v>2</v>
      </c>
      <c r="D165" s="7" t="s">
        <v>131</v>
      </c>
      <c r="E165" s="2"/>
      <c r="F165" s="2"/>
    </row>
    <row r="166" spans="1:6" ht="14" customHeight="1">
      <c r="A166" s="8">
        <v>17</v>
      </c>
      <c r="B166" s="7" t="str">
        <f>المدخلات!$F$4</f>
        <v>4:00–5:10 م</v>
      </c>
      <c r="C166" s="7">
        <v>3</v>
      </c>
      <c r="D166" s="7" t="s">
        <v>100</v>
      </c>
      <c r="E166" s="2"/>
      <c r="F166" s="2"/>
    </row>
    <row r="167" spans="1:6" ht="14" customHeight="1">
      <c r="A167" s="8">
        <v>17</v>
      </c>
      <c r="B167" s="7" t="str">
        <f>المدخلات!$F$4</f>
        <v>4:00–5:10 م</v>
      </c>
      <c r="C167" s="7">
        <v>4</v>
      </c>
      <c r="D167" s="7" t="s">
        <v>1043</v>
      </c>
      <c r="E167" s="2"/>
      <c r="F167" s="2"/>
    </row>
    <row r="168" spans="1:6" ht="14" customHeight="1">
      <c r="A168" s="8">
        <v>17</v>
      </c>
      <c r="B168" s="7" t="str">
        <f>المدخلات!$F$5</f>
        <v>5:20–6:30 م</v>
      </c>
      <c r="C168" s="7">
        <v>1</v>
      </c>
      <c r="D168" s="7" t="s">
        <v>183</v>
      </c>
      <c r="E168" s="2"/>
      <c r="F168" s="2"/>
    </row>
    <row r="169" spans="1:6" ht="14" customHeight="1">
      <c r="A169" s="8">
        <v>17</v>
      </c>
      <c r="B169" s="7" t="str">
        <f>المدخلات!$F$5</f>
        <v>5:20–6:30 م</v>
      </c>
      <c r="C169" s="7">
        <v>2</v>
      </c>
      <c r="D169" s="7" t="s">
        <v>1116</v>
      </c>
      <c r="E169" s="2"/>
      <c r="F169" s="2"/>
    </row>
    <row r="170" spans="1:6" ht="14" customHeight="1">
      <c r="A170" s="8">
        <v>17</v>
      </c>
      <c r="B170" s="7" t="str">
        <f>المدخلات!$F$5</f>
        <v>5:20–6:30 م</v>
      </c>
      <c r="C170" s="7">
        <v>3</v>
      </c>
      <c r="D170" s="7" t="s">
        <v>154</v>
      </c>
      <c r="E170" s="2"/>
      <c r="F170" s="2"/>
    </row>
    <row r="171" spans="1:6" ht="14" customHeight="1">
      <c r="A171" s="8">
        <v>17</v>
      </c>
      <c r="B171" s="7" t="str">
        <f>المدخلات!$F$5</f>
        <v>5:20–6:30 م</v>
      </c>
      <c r="C171" s="7">
        <v>4</v>
      </c>
      <c r="D171" s="7" t="s">
        <v>21</v>
      </c>
      <c r="E171" s="2"/>
      <c r="F171" s="2"/>
    </row>
    <row r="172" spans="1:6" ht="14" customHeight="1">
      <c r="A172" s="8">
        <v>17</v>
      </c>
      <c r="B172" s="7" t="str">
        <f>المدخلات!$F$6</f>
        <v>6:40–7:50 م</v>
      </c>
      <c r="C172" s="7">
        <v>1</v>
      </c>
      <c r="D172" s="7" t="s">
        <v>184</v>
      </c>
      <c r="E172" s="2"/>
      <c r="F172" s="2"/>
    </row>
    <row r="173" spans="1:6" ht="14" customHeight="1">
      <c r="A173" s="8">
        <v>17</v>
      </c>
      <c r="B173" s="7" t="str">
        <f>المدخلات!$F$6</f>
        <v>6:40–7:50 م</v>
      </c>
      <c r="C173" s="7">
        <v>2</v>
      </c>
      <c r="D173" s="7" t="s">
        <v>98</v>
      </c>
      <c r="E173" s="2"/>
      <c r="F173" s="2"/>
    </row>
    <row r="174" spans="1:6" ht="14" customHeight="1">
      <c r="A174" s="8">
        <v>18</v>
      </c>
      <c r="B174" s="7" t="str">
        <f>المدخلات!$F$4</f>
        <v>4:00–5:10 م</v>
      </c>
      <c r="C174" s="7">
        <v>1</v>
      </c>
      <c r="D174" s="7" t="s">
        <v>1083</v>
      </c>
      <c r="E174" s="2"/>
      <c r="F174" s="2"/>
    </row>
    <row r="175" spans="1:6" ht="14" customHeight="1">
      <c r="A175" s="8">
        <v>18</v>
      </c>
      <c r="B175" s="7" t="str">
        <f>المدخلات!$F$4</f>
        <v>4:00–5:10 م</v>
      </c>
      <c r="C175" s="7">
        <v>2</v>
      </c>
      <c r="D175" s="7" t="s">
        <v>99</v>
      </c>
      <c r="E175" s="2"/>
      <c r="F175" s="2"/>
    </row>
    <row r="176" spans="1:6" ht="14" customHeight="1">
      <c r="A176" s="8">
        <v>18</v>
      </c>
      <c r="B176" s="7" t="str">
        <f>المدخلات!$F$4</f>
        <v>4:00–5:10 م</v>
      </c>
      <c r="C176" s="7">
        <v>3</v>
      </c>
      <c r="D176" s="7" t="s">
        <v>8</v>
      </c>
      <c r="E176" s="2"/>
      <c r="F176" s="2"/>
    </row>
    <row r="177" spans="1:6" ht="14" customHeight="1">
      <c r="A177" s="8">
        <v>18</v>
      </c>
      <c r="B177" s="7" t="str">
        <f>المدخلات!$F$4</f>
        <v>4:00–5:10 م</v>
      </c>
      <c r="C177" s="7">
        <v>4</v>
      </c>
      <c r="D177" s="7" t="s">
        <v>92</v>
      </c>
      <c r="E177" s="2"/>
      <c r="F177" s="2"/>
    </row>
    <row r="178" spans="1:6" ht="14" customHeight="1">
      <c r="A178" s="8">
        <v>18</v>
      </c>
      <c r="B178" s="7" t="str">
        <f>المدخلات!$F$5</f>
        <v>5:20–6:30 م</v>
      </c>
      <c r="C178" s="7">
        <v>1</v>
      </c>
      <c r="D178" s="7" t="s">
        <v>14</v>
      </c>
      <c r="E178" s="2"/>
      <c r="F178" s="2"/>
    </row>
    <row r="179" spans="1:6" ht="14" customHeight="1">
      <c r="A179" s="8">
        <v>18</v>
      </c>
      <c r="B179" s="7" t="str">
        <f>المدخلات!$F$5</f>
        <v>5:20–6:30 م</v>
      </c>
      <c r="C179" s="7">
        <v>2</v>
      </c>
      <c r="D179" s="7" t="s">
        <v>132</v>
      </c>
      <c r="E179" s="2"/>
      <c r="F179" s="2"/>
    </row>
    <row r="180" spans="1:6" ht="14" customHeight="1">
      <c r="A180" s="8">
        <v>18</v>
      </c>
      <c r="B180" s="7" t="str">
        <f>المدخلات!$F$5</f>
        <v>5:20–6:30 م</v>
      </c>
      <c r="C180" s="7">
        <v>3</v>
      </c>
      <c r="D180" s="7" t="s">
        <v>133</v>
      </c>
      <c r="E180" s="2"/>
      <c r="F180" s="2"/>
    </row>
    <row r="181" spans="1:6" ht="14" customHeight="1">
      <c r="A181" s="8">
        <v>18</v>
      </c>
      <c r="B181" s="7" t="str">
        <f>المدخلات!$F$5</f>
        <v>5:20–6:30 م</v>
      </c>
      <c r="C181" s="7">
        <v>4</v>
      </c>
      <c r="D181" s="7" t="s">
        <v>1118</v>
      </c>
      <c r="E181" s="2"/>
      <c r="F181" s="2"/>
    </row>
    <row r="182" spans="1:6" ht="14" customHeight="1">
      <c r="A182" s="8">
        <v>18</v>
      </c>
      <c r="B182" s="7" t="str">
        <f>المدخلات!$F$6</f>
        <v>6:40–7:50 م</v>
      </c>
      <c r="C182" s="7">
        <v>1</v>
      </c>
      <c r="D182" s="7" t="s">
        <v>1117</v>
      </c>
      <c r="E182" s="2"/>
      <c r="F182" s="2"/>
    </row>
    <row r="183" spans="1:6" ht="14" customHeight="1">
      <c r="A183" s="8">
        <v>18</v>
      </c>
      <c r="B183" s="7" t="str">
        <f>المدخلات!$F$6</f>
        <v>6:40–7:50 م</v>
      </c>
      <c r="C183" s="7">
        <v>2</v>
      </c>
      <c r="D183" s="7" t="s">
        <v>1104</v>
      </c>
      <c r="E183" s="2"/>
      <c r="F183" s="2"/>
    </row>
    <row r="184" spans="1:6" ht="14" customHeight="1">
      <c r="A184" s="8">
        <v>19</v>
      </c>
      <c r="B184" s="7" t="str">
        <f>المدخلات!$F$4</f>
        <v>4:00–5:10 م</v>
      </c>
      <c r="C184" s="7">
        <v>1</v>
      </c>
      <c r="D184" s="7" t="s">
        <v>156</v>
      </c>
      <c r="E184" s="2"/>
      <c r="F184" s="2"/>
    </row>
    <row r="185" spans="1:6" ht="14" customHeight="1">
      <c r="A185" s="8">
        <v>19</v>
      </c>
      <c r="B185" s="7" t="str">
        <f>المدخلات!$F$4</f>
        <v>4:00–5:10 م</v>
      </c>
      <c r="C185" s="7">
        <v>2</v>
      </c>
      <c r="D185" s="7" t="s">
        <v>135</v>
      </c>
      <c r="E185" s="2"/>
      <c r="F185" s="2"/>
    </row>
    <row r="186" spans="1:6" ht="14" customHeight="1">
      <c r="A186" s="8">
        <v>19</v>
      </c>
      <c r="B186" s="7" t="str">
        <f>المدخلات!$F$4</f>
        <v>4:00–5:10 م</v>
      </c>
      <c r="C186" s="7">
        <v>3</v>
      </c>
      <c r="D186" s="7" t="s">
        <v>1037</v>
      </c>
      <c r="E186" s="2"/>
      <c r="F186" s="2"/>
    </row>
    <row r="187" spans="1:6" ht="14" customHeight="1">
      <c r="A187" s="8">
        <v>19</v>
      </c>
      <c r="B187" s="7" t="str">
        <f>المدخلات!$F$4</f>
        <v>4:00–5:10 م</v>
      </c>
      <c r="C187" s="7">
        <v>4</v>
      </c>
      <c r="D187" s="7" t="s">
        <v>93</v>
      </c>
      <c r="E187" s="2"/>
      <c r="F187" s="2"/>
    </row>
    <row r="188" spans="1:6" ht="14" customHeight="1">
      <c r="A188" s="8">
        <v>19</v>
      </c>
      <c r="B188" s="7" t="str">
        <f>المدخلات!$F$5</f>
        <v>5:20–6:30 م</v>
      </c>
      <c r="C188" s="7">
        <v>1</v>
      </c>
      <c r="D188" s="7" t="s">
        <v>1105</v>
      </c>
      <c r="E188" s="2"/>
      <c r="F188" s="2"/>
    </row>
    <row r="189" spans="1:6" ht="14" customHeight="1">
      <c r="A189" s="8">
        <v>19</v>
      </c>
      <c r="B189" s="7" t="str">
        <f>المدخلات!$F$5</f>
        <v>5:20–6:30 م</v>
      </c>
      <c r="C189" s="7">
        <v>2</v>
      </c>
      <c r="D189" s="7" t="s">
        <v>1119</v>
      </c>
      <c r="E189" s="2"/>
      <c r="F189" s="2"/>
    </row>
    <row r="190" spans="1:6" ht="14" customHeight="1">
      <c r="A190" s="8">
        <v>19</v>
      </c>
      <c r="B190" s="7" t="str">
        <f>المدخلات!$F$5</f>
        <v>5:20–6:30 م</v>
      </c>
      <c r="C190" s="7">
        <v>3</v>
      </c>
      <c r="D190" s="7" t="s">
        <v>1106</v>
      </c>
      <c r="E190" s="2"/>
      <c r="F190" s="2"/>
    </row>
    <row r="191" spans="1:6" ht="14" customHeight="1">
      <c r="A191" s="8">
        <v>19</v>
      </c>
      <c r="B191" s="7" t="str">
        <f>المدخلات!$F$5</f>
        <v>5:20–6:30 م</v>
      </c>
      <c r="C191" s="7">
        <v>4</v>
      </c>
      <c r="D191" s="7" t="s">
        <v>94</v>
      </c>
      <c r="E191" s="2"/>
      <c r="F191" s="2"/>
    </row>
    <row r="192" spans="1:6" ht="14" customHeight="1">
      <c r="A192" s="8">
        <v>19</v>
      </c>
      <c r="B192" s="7" t="str">
        <f>المدخلات!$F$6</f>
        <v>6:40–7:50 م</v>
      </c>
      <c r="C192" s="7">
        <v>1</v>
      </c>
      <c r="D192" s="7" t="s">
        <v>134</v>
      </c>
      <c r="E192" s="2"/>
      <c r="F192" s="2"/>
    </row>
    <row r="193" spans="1:21" ht="14" customHeight="1">
      <c r="A193" s="8">
        <v>19</v>
      </c>
      <c r="B193" s="7" t="str">
        <f>المدخلات!$F$6</f>
        <v>6:40–7:50 م</v>
      </c>
      <c r="C193" s="7">
        <v>2</v>
      </c>
      <c r="D193" s="7" t="s">
        <v>72</v>
      </c>
      <c r="E193" s="2"/>
      <c r="F193" s="2"/>
    </row>
    <row r="194" spans="1:21">
      <c r="A194" s="2"/>
      <c r="B194" s="2"/>
      <c r="C194" s="2"/>
      <c r="D194" s="2"/>
    </row>
    <row r="195" spans="1:21">
      <c r="A195" s="2"/>
      <c r="B195" s="2"/>
      <c r="C195" s="2"/>
      <c r="D195" s="2"/>
    </row>
    <row r="196" spans="1:21" ht="14.5">
      <c r="A196" s="17" t="s">
        <v>828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4.5">
      <c r="A197" s="6" t="s">
        <v>829</v>
      </c>
      <c r="B197" s="6">
        <v>1</v>
      </c>
      <c r="C197" s="6">
        <v>2</v>
      </c>
      <c r="D197" s="6">
        <v>3</v>
      </c>
      <c r="E197" s="6">
        <v>4</v>
      </c>
      <c r="F197" s="6">
        <v>5</v>
      </c>
      <c r="G197" s="6">
        <v>6</v>
      </c>
      <c r="H197" s="6">
        <v>7</v>
      </c>
      <c r="I197" s="6">
        <v>8</v>
      </c>
      <c r="J197" s="6">
        <v>9</v>
      </c>
      <c r="K197" s="6">
        <v>10</v>
      </c>
      <c r="L197" s="6">
        <v>11</v>
      </c>
      <c r="M197" s="6">
        <v>12</v>
      </c>
      <c r="N197" s="6">
        <v>13</v>
      </c>
      <c r="O197" s="6">
        <v>14</v>
      </c>
      <c r="P197" s="6">
        <v>15</v>
      </c>
      <c r="Q197" s="6">
        <v>16</v>
      </c>
      <c r="R197" s="6">
        <v>17</v>
      </c>
      <c r="S197" s="6">
        <v>18</v>
      </c>
      <c r="T197" s="6">
        <v>19</v>
      </c>
      <c r="U197" s="6">
        <v>20</v>
      </c>
    </row>
    <row r="198" spans="1:21" ht="14.5">
      <c r="A198" s="14">
        <v>1</v>
      </c>
      <c r="B198" s="4" t="str">
        <f>IF($A198=B$197,"",COUNTIF($D$4:$D$193,$A198&amp;" ضد "&amp;B$197)+COUNTIF($D$4:$D$193,B$197&amp;" ضد "&amp;$A198))</f>
        <v/>
      </c>
      <c r="C198" s="4">
        <f>IF($A198=C$197,"",COUNTIF($D$4:$D$193,$A198&amp;" ضد "&amp;C$197)+COUNTIF($D$4:$D$193,C$197&amp;" ضد "&amp;$A198))</f>
        <v>1</v>
      </c>
      <c r="D198" s="4">
        <f>IF($A198=D$197,"",COUNTIF($D$4:$D$193,$A198&amp;" ضد "&amp;D$197)+COUNTIF($D$4:$D$193,D$197&amp;" ضد "&amp;$A198))</f>
        <v>1</v>
      </c>
      <c r="E198" s="4">
        <f>IF($A198=E$197,"",COUNTIF($D$4:$D$193,$A198&amp;" ضد "&amp;E$197)+COUNTIF($D$4:$D$193,E$197&amp;" ضد "&amp;$A198))</f>
        <v>1</v>
      </c>
      <c r="F198" s="4">
        <f>IF($A198=F$197,"",COUNTIF($D$4:$D$193,$A198&amp;" ضد "&amp;F$197)+COUNTIF($D$4:$D$193,F$197&amp;" ضد "&amp;$A198))</f>
        <v>1</v>
      </c>
      <c r="G198" s="4">
        <f>IF($A198=G$197,"",COUNTIF($D$4:$D$193,$A198&amp;" ضد "&amp;G$197)+COUNTIF($D$4:$D$193,G$197&amp;" ضد "&amp;$A198))</f>
        <v>1</v>
      </c>
      <c r="H198" s="4">
        <f>IF($A198=H$197,"",COUNTIF($D$4:$D$193,$A198&amp;" ضد "&amp;H$197)+COUNTIF($D$4:$D$193,H$197&amp;" ضد "&amp;$A198))</f>
        <v>1</v>
      </c>
      <c r="I198" s="4">
        <f>IF($A198=I$197,"",COUNTIF($D$4:$D$193,$A198&amp;" ضد "&amp;I$197)+COUNTIF($D$4:$D$193,I$197&amp;" ضد "&amp;$A198))</f>
        <v>1</v>
      </c>
      <c r="J198" s="4">
        <f>IF($A198=J$197,"",COUNTIF($D$4:$D$193,$A198&amp;" ضد "&amp;J$197)+COUNTIF($D$4:$D$193,J$197&amp;" ضد "&amp;$A198))</f>
        <v>1</v>
      </c>
      <c r="K198" s="4">
        <f>IF($A198=K$197,"",COUNTIF($D$4:$D$193,$A198&amp;" ضد "&amp;K$197)+COUNTIF($D$4:$D$193,K$197&amp;" ضد "&amp;$A198))</f>
        <v>1</v>
      </c>
      <c r="L198" s="4">
        <f>IF($A198=L$197,"",COUNTIF($D$4:$D$193,$A198&amp;" ضد "&amp;L$197)+COUNTIF($D$4:$D$193,L$197&amp;" ضد "&amp;$A198))</f>
        <v>1</v>
      </c>
      <c r="M198" s="4">
        <f>IF($A198=M$197,"",COUNTIF($D$4:$D$193,$A198&amp;" ضد "&amp;M$197)+COUNTIF($D$4:$D$193,M$197&amp;" ضد "&amp;$A198))</f>
        <v>1</v>
      </c>
      <c r="N198" s="4">
        <f>IF($A198=N$197,"",COUNTIF($D$4:$D$193,$A198&amp;" ضد "&amp;N$197)+COUNTIF($D$4:$D$193,N$197&amp;" ضد "&amp;$A198))</f>
        <v>1</v>
      </c>
      <c r="O198" s="4">
        <f>IF($A198=O$197,"",COUNTIF($D$4:$D$193,$A198&amp;" ضد "&amp;O$197)+COUNTIF($D$4:$D$193,O$197&amp;" ضد "&amp;$A198))</f>
        <v>1</v>
      </c>
      <c r="P198" s="4">
        <f>IF($A198=P$197,"",COUNTIF($D$4:$D$193,$A198&amp;" ضد "&amp;P$197)+COUNTIF($D$4:$D$193,P$197&amp;" ضد "&amp;$A198))</f>
        <v>1</v>
      </c>
      <c r="Q198" s="4">
        <f>IF($A198=Q$197,"",COUNTIF($D$4:$D$193,$A198&amp;" ضد "&amp;Q$197)+COUNTIF($D$4:$D$193,Q$197&amp;" ضد "&amp;$A198))</f>
        <v>1</v>
      </c>
      <c r="R198" s="4">
        <f>IF($A198=R$197,"",COUNTIF($D$4:$D$193,$A198&amp;" ضد "&amp;R$197)+COUNTIF($D$4:$D$193,R$197&amp;" ضد "&amp;$A198))</f>
        <v>1</v>
      </c>
      <c r="S198" s="4">
        <f>IF($A198=S$197,"",COUNTIF($D$4:$D$193,$A198&amp;" ضد "&amp;S$197)+COUNTIF($D$4:$D$193,S$197&amp;" ضد "&amp;$A198))</f>
        <v>1</v>
      </c>
      <c r="T198" s="4">
        <f>IF($A198=T$197,"",COUNTIF($D$4:$D$193,$A198&amp;" ضد "&amp;T$197)+COUNTIF($D$4:$D$193,T$197&amp;" ضد "&amp;$A198))</f>
        <v>1</v>
      </c>
      <c r="U198" s="4">
        <f>IF($A198=U$197,"",COUNTIF($D$4:$D$193,$A198&amp;" ضد "&amp;U$197)+COUNTIF($D$4:$D$193,U$197&amp;" ضد "&amp;$A198))</f>
        <v>1</v>
      </c>
    </row>
    <row r="199" spans="1:21" ht="14.5">
      <c r="A199" s="14">
        <v>2</v>
      </c>
      <c r="B199" s="4">
        <f>IF($A199=B$197,"",COUNTIF($D$4:$D$193,$A199&amp;" ضد "&amp;B$197)+COUNTIF($D$4:$D$193,B$197&amp;" ضد "&amp;$A199))</f>
        <v>1</v>
      </c>
      <c r="C199" s="4" t="str">
        <f>IF($A199=C$197,"",COUNTIF($D$4:$D$193,$A199&amp;" ضد "&amp;C$197)+COUNTIF($D$4:$D$193,C$197&amp;" ضد "&amp;$A199))</f>
        <v/>
      </c>
      <c r="D199" s="4">
        <f>IF($A199=D$197,"",COUNTIF($D$4:$D$193,$A199&amp;" ضد "&amp;D$197)+COUNTIF($D$4:$D$193,D$197&amp;" ضد "&amp;$A199))</f>
        <v>1</v>
      </c>
      <c r="E199" s="4">
        <f>IF($A199=E$197,"",COUNTIF($D$4:$D$193,$A199&amp;" ضد "&amp;E$197)+COUNTIF($D$4:$D$193,E$197&amp;" ضد "&amp;$A199))</f>
        <v>1</v>
      </c>
      <c r="F199" s="4">
        <f>IF($A199=F$197,"",COUNTIF($D$4:$D$193,$A199&amp;" ضد "&amp;F$197)+COUNTIF($D$4:$D$193,F$197&amp;" ضد "&amp;$A199))</f>
        <v>1</v>
      </c>
      <c r="G199" s="4">
        <f>IF($A199=G$197,"",COUNTIF($D$4:$D$193,$A199&amp;" ضد "&amp;G$197)+COUNTIF($D$4:$D$193,G$197&amp;" ضد "&amp;$A199))</f>
        <v>1</v>
      </c>
      <c r="H199" s="4">
        <f>IF($A199=H$197,"",COUNTIF($D$4:$D$193,$A199&amp;" ضد "&amp;H$197)+COUNTIF($D$4:$D$193,H$197&amp;" ضد "&amp;$A199))</f>
        <v>1</v>
      </c>
      <c r="I199" s="4">
        <f>IF($A199=I$197,"",COUNTIF($D$4:$D$193,$A199&amp;" ضد "&amp;I$197)+COUNTIF($D$4:$D$193,I$197&amp;" ضد "&amp;$A199))</f>
        <v>1</v>
      </c>
      <c r="J199" s="4">
        <f>IF($A199=J$197,"",COUNTIF($D$4:$D$193,$A199&amp;" ضد "&amp;J$197)+COUNTIF($D$4:$D$193,J$197&amp;" ضد "&amp;$A199))</f>
        <v>1</v>
      </c>
      <c r="K199" s="4">
        <f>IF($A199=K$197,"",COUNTIF($D$4:$D$193,$A199&amp;" ضد "&amp;K$197)+COUNTIF($D$4:$D$193,K$197&amp;" ضد "&amp;$A199))</f>
        <v>1</v>
      </c>
      <c r="L199" s="4">
        <f>IF($A199=L$197,"",COUNTIF($D$4:$D$193,$A199&amp;" ضد "&amp;L$197)+COUNTIF($D$4:$D$193,L$197&amp;" ضد "&amp;$A199))</f>
        <v>1</v>
      </c>
      <c r="M199" s="4">
        <f>IF($A199=M$197,"",COUNTIF($D$4:$D$193,$A199&amp;" ضد "&amp;M$197)+COUNTIF($D$4:$D$193,M$197&amp;" ضد "&amp;$A199))</f>
        <v>1</v>
      </c>
      <c r="N199" s="4">
        <f>IF($A199=N$197,"",COUNTIF($D$4:$D$193,$A199&amp;" ضد "&amp;N$197)+COUNTIF($D$4:$D$193,N$197&amp;" ضد "&amp;$A199))</f>
        <v>1</v>
      </c>
      <c r="O199" s="4">
        <f>IF($A199=O$197,"",COUNTIF($D$4:$D$193,$A199&amp;" ضد "&amp;O$197)+COUNTIF($D$4:$D$193,O$197&amp;" ضد "&amp;$A199))</f>
        <v>1</v>
      </c>
      <c r="P199" s="4">
        <f>IF($A199=P$197,"",COUNTIF($D$4:$D$193,$A199&amp;" ضد "&amp;P$197)+COUNTIF($D$4:$D$193,P$197&amp;" ضد "&amp;$A199))</f>
        <v>1</v>
      </c>
      <c r="Q199" s="4">
        <f>IF($A199=Q$197,"",COUNTIF($D$4:$D$193,$A199&amp;" ضد "&amp;Q$197)+COUNTIF($D$4:$D$193,Q$197&amp;" ضد "&amp;$A199))</f>
        <v>1</v>
      </c>
      <c r="R199" s="4">
        <f>IF($A199=R$197,"",COUNTIF($D$4:$D$193,$A199&amp;" ضد "&amp;R$197)+COUNTIF($D$4:$D$193,R$197&amp;" ضد "&amp;$A199))</f>
        <v>1</v>
      </c>
      <c r="S199" s="4">
        <f>IF($A199=S$197,"",COUNTIF($D$4:$D$193,$A199&amp;" ضد "&amp;S$197)+COUNTIF($D$4:$D$193,S$197&amp;" ضد "&amp;$A199))</f>
        <v>1</v>
      </c>
      <c r="T199" s="4">
        <f>IF($A199=T$197,"",COUNTIF($D$4:$D$193,$A199&amp;" ضد "&amp;T$197)+COUNTIF($D$4:$D$193,T$197&amp;" ضد "&amp;$A199))</f>
        <v>1</v>
      </c>
      <c r="U199" s="4">
        <f>IF($A199=U$197,"",COUNTIF($D$4:$D$193,$A199&amp;" ضد "&amp;U$197)+COUNTIF($D$4:$D$193,U$197&amp;" ضد "&amp;$A199))</f>
        <v>1</v>
      </c>
    </row>
    <row r="200" spans="1:21" ht="14.5">
      <c r="A200" s="14">
        <v>3</v>
      </c>
      <c r="B200" s="4">
        <f>IF($A200=B$197,"",COUNTIF($D$4:$D$193,$A200&amp;" ضد "&amp;B$197)+COUNTIF($D$4:$D$193,B$197&amp;" ضد "&amp;$A200))</f>
        <v>1</v>
      </c>
      <c r="C200" s="4">
        <f>IF($A200=C$197,"",COUNTIF($D$4:$D$193,$A200&amp;" ضد "&amp;C$197)+COUNTIF($D$4:$D$193,C$197&amp;" ضد "&amp;$A200))</f>
        <v>1</v>
      </c>
      <c r="D200" s="4" t="str">
        <f>IF($A200=D$197,"",COUNTIF($D$4:$D$193,$A200&amp;" ضد "&amp;D$197)+COUNTIF($D$4:$D$193,D$197&amp;" ضد "&amp;$A200))</f>
        <v/>
      </c>
      <c r="E200" s="4">
        <f>IF($A200=E$197,"",COUNTIF($D$4:$D$193,$A200&amp;" ضد "&amp;E$197)+COUNTIF($D$4:$D$193,E$197&amp;" ضد "&amp;$A200))</f>
        <v>1</v>
      </c>
      <c r="F200" s="4">
        <f>IF($A200=F$197,"",COUNTIF($D$4:$D$193,$A200&amp;" ضد "&amp;F$197)+COUNTIF($D$4:$D$193,F$197&amp;" ضد "&amp;$A200))</f>
        <v>1</v>
      </c>
      <c r="G200" s="4">
        <f>IF($A200=G$197,"",COUNTIF($D$4:$D$193,$A200&amp;" ضد "&amp;G$197)+COUNTIF($D$4:$D$193,G$197&amp;" ضد "&amp;$A200))</f>
        <v>1</v>
      </c>
      <c r="H200" s="4">
        <f>IF($A200=H$197,"",COUNTIF($D$4:$D$193,$A200&amp;" ضد "&amp;H$197)+COUNTIF($D$4:$D$193,H$197&amp;" ضد "&amp;$A200))</f>
        <v>1</v>
      </c>
      <c r="I200" s="4">
        <f>IF($A200=I$197,"",COUNTIF($D$4:$D$193,$A200&amp;" ضد "&amp;I$197)+COUNTIF($D$4:$D$193,I$197&amp;" ضد "&amp;$A200))</f>
        <v>1</v>
      </c>
      <c r="J200" s="4">
        <f>IF($A200=J$197,"",COUNTIF($D$4:$D$193,$A200&amp;" ضد "&amp;J$197)+COUNTIF($D$4:$D$193,J$197&amp;" ضد "&amp;$A200))</f>
        <v>1</v>
      </c>
      <c r="K200" s="4">
        <f>IF($A200=K$197,"",COUNTIF($D$4:$D$193,$A200&amp;" ضد "&amp;K$197)+COUNTIF($D$4:$D$193,K$197&amp;" ضد "&amp;$A200))</f>
        <v>1</v>
      </c>
      <c r="L200" s="4">
        <f>IF($A200=L$197,"",COUNTIF($D$4:$D$193,$A200&amp;" ضد "&amp;L$197)+COUNTIF($D$4:$D$193,L$197&amp;" ضد "&amp;$A200))</f>
        <v>1</v>
      </c>
      <c r="M200" s="4">
        <f>IF($A200=M$197,"",COUNTIF($D$4:$D$193,$A200&amp;" ضد "&amp;M$197)+COUNTIF($D$4:$D$193,M$197&amp;" ضد "&amp;$A200))</f>
        <v>1</v>
      </c>
      <c r="N200" s="4">
        <f>IF($A200=N$197,"",COUNTIF($D$4:$D$193,$A200&amp;" ضد "&amp;N$197)+COUNTIF($D$4:$D$193,N$197&amp;" ضد "&amp;$A200))</f>
        <v>1</v>
      </c>
      <c r="O200" s="4">
        <f>IF($A200=O$197,"",COUNTIF($D$4:$D$193,$A200&amp;" ضد "&amp;O$197)+COUNTIF($D$4:$D$193,O$197&amp;" ضد "&amp;$A200))</f>
        <v>1</v>
      </c>
      <c r="P200" s="4">
        <f>IF($A200=P$197,"",COUNTIF($D$4:$D$193,$A200&amp;" ضد "&amp;P$197)+COUNTIF($D$4:$D$193,P$197&amp;" ضد "&amp;$A200))</f>
        <v>1</v>
      </c>
      <c r="Q200" s="4">
        <f>IF($A200=Q$197,"",COUNTIF($D$4:$D$193,$A200&amp;" ضد "&amp;Q$197)+COUNTIF($D$4:$D$193,Q$197&amp;" ضد "&amp;$A200))</f>
        <v>1</v>
      </c>
      <c r="R200" s="4">
        <f>IF($A200=R$197,"",COUNTIF($D$4:$D$193,$A200&amp;" ضد "&amp;R$197)+COUNTIF($D$4:$D$193,R$197&amp;" ضد "&amp;$A200))</f>
        <v>1</v>
      </c>
      <c r="S200" s="4">
        <f>IF($A200=S$197,"",COUNTIF($D$4:$D$193,$A200&amp;" ضد "&amp;S$197)+COUNTIF($D$4:$D$193,S$197&amp;" ضد "&amp;$A200))</f>
        <v>1</v>
      </c>
      <c r="T200" s="4">
        <f>IF($A200=T$197,"",COUNTIF($D$4:$D$193,$A200&amp;" ضد "&amp;T$197)+COUNTIF($D$4:$D$193,T$197&amp;" ضد "&amp;$A200))</f>
        <v>1</v>
      </c>
      <c r="U200" s="4">
        <f>IF($A200=U$197,"",COUNTIF($D$4:$D$193,$A200&amp;" ضد "&amp;U$197)+COUNTIF($D$4:$D$193,U$197&amp;" ضد "&amp;$A200))</f>
        <v>1</v>
      </c>
    </row>
    <row r="201" spans="1:21" ht="14.5">
      <c r="A201" s="14">
        <v>4</v>
      </c>
      <c r="B201" s="4">
        <f>IF($A201=B$197,"",COUNTIF($D$4:$D$193,$A201&amp;" ضد "&amp;B$197)+COUNTIF($D$4:$D$193,B$197&amp;" ضد "&amp;$A201))</f>
        <v>1</v>
      </c>
      <c r="C201" s="4">
        <f>IF($A201=C$197,"",COUNTIF($D$4:$D$193,$A201&amp;" ضد "&amp;C$197)+COUNTIF($D$4:$D$193,C$197&amp;" ضد "&amp;$A201))</f>
        <v>1</v>
      </c>
      <c r="D201" s="4">
        <f>IF($A201=D$197,"",COUNTIF($D$4:$D$193,$A201&amp;" ضد "&amp;D$197)+COUNTIF($D$4:$D$193,D$197&amp;" ضد "&amp;$A201))</f>
        <v>1</v>
      </c>
      <c r="E201" s="4" t="str">
        <f>IF($A201=E$197,"",COUNTIF($D$4:$D$193,$A201&amp;" ضد "&amp;E$197)+COUNTIF($D$4:$D$193,E$197&amp;" ضد "&amp;$A201))</f>
        <v/>
      </c>
      <c r="F201" s="4">
        <f>IF($A201=F$197,"",COUNTIF($D$4:$D$193,$A201&amp;" ضد "&amp;F$197)+COUNTIF($D$4:$D$193,F$197&amp;" ضد "&amp;$A201))</f>
        <v>1</v>
      </c>
      <c r="G201" s="4">
        <f>IF($A201=G$197,"",COUNTIF($D$4:$D$193,$A201&amp;" ضد "&amp;G$197)+COUNTIF($D$4:$D$193,G$197&amp;" ضد "&amp;$A201))</f>
        <v>1</v>
      </c>
      <c r="H201" s="4">
        <f>IF($A201=H$197,"",COUNTIF($D$4:$D$193,$A201&amp;" ضد "&amp;H$197)+COUNTIF($D$4:$D$193,H$197&amp;" ضد "&amp;$A201))</f>
        <v>1</v>
      </c>
      <c r="I201" s="4">
        <f>IF($A201=I$197,"",COUNTIF($D$4:$D$193,$A201&amp;" ضد "&amp;I$197)+COUNTIF($D$4:$D$193,I$197&amp;" ضد "&amp;$A201))</f>
        <v>1</v>
      </c>
      <c r="J201" s="4">
        <f>IF($A201=J$197,"",COUNTIF($D$4:$D$193,$A201&amp;" ضد "&amp;J$197)+COUNTIF($D$4:$D$193,J$197&amp;" ضد "&amp;$A201))</f>
        <v>1</v>
      </c>
      <c r="K201" s="4">
        <f>IF($A201=K$197,"",COUNTIF($D$4:$D$193,$A201&amp;" ضد "&amp;K$197)+COUNTIF($D$4:$D$193,K$197&amp;" ضد "&amp;$A201))</f>
        <v>1</v>
      </c>
      <c r="L201" s="4">
        <f>IF($A201=L$197,"",COUNTIF($D$4:$D$193,$A201&amp;" ضد "&amp;L$197)+COUNTIF($D$4:$D$193,L$197&amp;" ضد "&amp;$A201))</f>
        <v>1</v>
      </c>
      <c r="M201" s="4">
        <f>IF($A201=M$197,"",COUNTIF($D$4:$D$193,$A201&amp;" ضد "&amp;M$197)+COUNTIF($D$4:$D$193,M$197&amp;" ضد "&amp;$A201))</f>
        <v>1</v>
      </c>
      <c r="N201" s="4">
        <f>IF($A201=N$197,"",COUNTIF($D$4:$D$193,$A201&amp;" ضد "&amp;N$197)+COUNTIF($D$4:$D$193,N$197&amp;" ضد "&amp;$A201))</f>
        <v>1</v>
      </c>
      <c r="O201" s="4">
        <f>IF($A201=O$197,"",COUNTIF($D$4:$D$193,$A201&amp;" ضد "&amp;O$197)+COUNTIF($D$4:$D$193,O$197&amp;" ضد "&amp;$A201))</f>
        <v>1</v>
      </c>
      <c r="P201" s="4">
        <f>IF($A201=P$197,"",COUNTIF($D$4:$D$193,$A201&amp;" ضد "&amp;P$197)+COUNTIF($D$4:$D$193,P$197&amp;" ضد "&amp;$A201))</f>
        <v>1</v>
      </c>
      <c r="Q201" s="4">
        <f>IF($A201=Q$197,"",COUNTIF($D$4:$D$193,$A201&amp;" ضد "&amp;Q$197)+COUNTIF($D$4:$D$193,Q$197&amp;" ضد "&amp;$A201))</f>
        <v>1</v>
      </c>
      <c r="R201" s="4">
        <f>IF($A201=R$197,"",COUNTIF($D$4:$D$193,$A201&amp;" ضد "&amp;R$197)+COUNTIF($D$4:$D$193,R$197&amp;" ضد "&amp;$A201))</f>
        <v>1</v>
      </c>
      <c r="S201" s="4">
        <f>IF($A201=S$197,"",COUNTIF($D$4:$D$193,$A201&amp;" ضد "&amp;S$197)+COUNTIF($D$4:$D$193,S$197&amp;" ضد "&amp;$A201))</f>
        <v>1</v>
      </c>
      <c r="T201" s="4">
        <f>IF($A201=T$197,"",COUNTIF($D$4:$D$193,$A201&amp;" ضد "&amp;T$197)+COUNTIF($D$4:$D$193,T$197&amp;" ضد "&amp;$A201))</f>
        <v>1</v>
      </c>
      <c r="U201" s="4">
        <f>IF($A201=U$197,"",COUNTIF($D$4:$D$193,$A201&amp;" ضد "&amp;U$197)+COUNTIF($D$4:$D$193,U$197&amp;" ضد "&amp;$A201))</f>
        <v>1</v>
      </c>
    </row>
    <row r="202" spans="1:21" ht="14.5">
      <c r="A202" s="14">
        <v>5</v>
      </c>
      <c r="B202" s="4">
        <f>IF($A202=B$197,"",COUNTIF($D$4:$D$193,$A202&amp;" ضد "&amp;B$197)+COUNTIF($D$4:$D$193,B$197&amp;" ضد "&amp;$A202))</f>
        <v>1</v>
      </c>
      <c r="C202" s="4">
        <f>IF($A202=C$197,"",COUNTIF($D$4:$D$193,$A202&amp;" ضد "&amp;C$197)+COUNTIF($D$4:$D$193,C$197&amp;" ضد "&amp;$A202))</f>
        <v>1</v>
      </c>
      <c r="D202" s="4">
        <f>IF($A202=D$197,"",COUNTIF($D$4:$D$193,$A202&amp;" ضد "&amp;D$197)+COUNTIF($D$4:$D$193,D$197&amp;" ضد "&amp;$A202))</f>
        <v>1</v>
      </c>
      <c r="E202" s="4">
        <f>IF($A202=E$197,"",COUNTIF($D$4:$D$193,$A202&amp;" ضد "&amp;E$197)+COUNTIF($D$4:$D$193,E$197&amp;" ضد "&amp;$A202))</f>
        <v>1</v>
      </c>
      <c r="F202" s="4" t="str">
        <f>IF($A202=F$197,"",COUNTIF($D$4:$D$193,$A202&amp;" ضد "&amp;F$197)+COUNTIF($D$4:$D$193,F$197&amp;" ضد "&amp;$A202))</f>
        <v/>
      </c>
      <c r="G202" s="4">
        <f>IF($A202=G$197,"",COUNTIF($D$4:$D$193,$A202&amp;" ضد "&amp;G$197)+COUNTIF($D$4:$D$193,G$197&amp;" ضد "&amp;$A202))</f>
        <v>1</v>
      </c>
      <c r="H202" s="4">
        <f>IF($A202=H$197,"",COUNTIF($D$4:$D$193,$A202&amp;" ضد "&amp;H$197)+COUNTIF($D$4:$D$193,H$197&amp;" ضد "&amp;$A202))</f>
        <v>1</v>
      </c>
      <c r="I202" s="4">
        <f>IF($A202=I$197,"",COUNTIF($D$4:$D$193,$A202&amp;" ضد "&amp;I$197)+COUNTIF($D$4:$D$193,I$197&amp;" ضد "&amp;$A202))</f>
        <v>1</v>
      </c>
      <c r="J202" s="4">
        <f>IF($A202=J$197,"",COUNTIF($D$4:$D$193,$A202&amp;" ضد "&amp;J$197)+COUNTIF($D$4:$D$193,J$197&amp;" ضد "&amp;$A202))</f>
        <v>1</v>
      </c>
      <c r="K202" s="4">
        <f>IF($A202=K$197,"",COUNTIF($D$4:$D$193,$A202&amp;" ضد "&amp;K$197)+COUNTIF($D$4:$D$193,K$197&amp;" ضد "&amp;$A202))</f>
        <v>1</v>
      </c>
      <c r="L202" s="4">
        <f>IF($A202=L$197,"",COUNTIF($D$4:$D$193,$A202&amp;" ضد "&amp;L$197)+COUNTIF($D$4:$D$193,L$197&amp;" ضد "&amp;$A202))</f>
        <v>1</v>
      </c>
      <c r="M202" s="4">
        <f>IF($A202=M$197,"",COUNTIF($D$4:$D$193,$A202&amp;" ضد "&amp;M$197)+COUNTIF($D$4:$D$193,M$197&amp;" ضد "&amp;$A202))</f>
        <v>1</v>
      </c>
      <c r="N202" s="4">
        <f>IF($A202=N$197,"",COUNTIF($D$4:$D$193,$A202&amp;" ضد "&amp;N$197)+COUNTIF($D$4:$D$193,N$197&amp;" ضد "&amp;$A202))</f>
        <v>1</v>
      </c>
      <c r="O202" s="4">
        <f>IF($A202=O$197,"",COUNTIF($D$4:$D$193,$A202&amp;" ضد "&amp;O$197)+COUNTIF($D$4:$D$193,O$197&amp;" ضد "&amp;$A202))</f>
        <v>1</v>
      </c>
      <c r="P202" s="4">
        <f>IF($A202=P$197,"",COUNTIF($D$4:$D$193,$A202&amp;" ضد "&amp;P$197)+COUNTIF($D$4:$D$193,P$197&amp;" ضد "&amp;$A202))</f>
        <v>1</v>
      </c>
      <c r="Q202" s="4">
        <f>IF($A202=Q$197,"",COUNTIF($D$4:$D$193,$A202&amp;" ضد "&amp;Q$197)+COUNTIF($D$4:$D$193,Q$197&amp;" ضد "&amp;$A202))</f>
        <v>1</v>
      </c>
      <c r="R202" s="4">
        <f>IF($A202=R$197,"",COUNTIF($D$4:$D$193,$A202&amp;" ضد "&amp;R$197)+COUNTIF($D$4:$D$193,R$197&amp;" ضد "&amp;$A202))</f>
        <v>1</v>
      </c>
      <c r="S202" s="4">
        <f>IF($A202=S$197,"",COUNTIF($D$4:$D$193,$A202&amp;" ضد "&amp;S$197)+COUNTIF($D$4:$D$193,S$197&amp;" ضد "&amp;$A202))</f>
        <v>1</v>
      </c>
      <c r="T202" s="4">
        <f>IF($A202=T$197,"",COUNTIF($D$4:$D$193,$A202&amp;" ضد "&amp;T$197)+COUNTIF($D$4:$D$193,T$197&amp;" ضد "&amp;$A202))</f>
        <v>1</v>
      </c>
      <c r="U202" s="4">
        <f>IF($A202=U$197,"",COUNTIF($D$4:$D$193,$A202&amp;" ضد "&amp;U$197)+COUNTIF($D$4:$D$193,U$197&amp;" ضد "&amp;$A202))</f>
        <v>1</v>
      </c>
    </row>
    <row r="203" spans="1:21" ht="14.5">
      <c r="A203" s="14">
        <v>6</v>
      </c>
      <c r="B203" s="4">
        <f>IF($A203=B$197,"",COUNTIF($D$4:$D$193,$A203&amp;" ضد "&amp;B$197)+COUNTIF($D$4:$D$193,B$197&amp;" ضد "&amp;$A203))</f>
        <v>1</v>
      </c>
      <c r="C203" s="4">
        <f>IF($A203=C$197,"",COUNTIF($D$4:$D$193,$A203&amp;" ضد "&amp;C$197)+COUNTIF($D$4:$D$193,C$197&amp;" ضد "&amp;$A203))</f>
        <v>1</v>
      </c>
      <c r="D203" s="4">
        <f>IF($A203=D$197,"",COUNTIF($D$4:$D$193,$A203&amp;" ضد "&amp;D$197)+COUNTIF($D$4:$D$193,D$197&amp;" ضد "&amp;$A203))</f>
        <v>1</v>
      </c>
      <c r="E203" s="4">
        <f>IF($A203=E$197,"",COUNTIF($D$4:$D$193,$A203&amp;" ضد "&amp;E$197)+COUNTIF($D$4:$D$193,E$197&amp;" ضد "&amp;$A203))</f>
        <v>1</v>
      </c>
      <c r="F203" s="4">
        <f>IF($A203=F$197,"",COUNTIF($D$4:$D$193,$A203&amp;" ضد "&amp;F$197)+COUNTIF($D$4:$D$193,F$197&amp;" ضد "&amp;$A203))</f>
        <v>1</v>
      </c>
      <c r="G203" s="4" t="str">
        <f>IF($A203=G$197,"",COUNTIF($D$4:$D$193,$A203&amp;" ضد "&amp;G$197)+COUNTIF($D$4:$D$193,G$197&amp;" ضد "&amp;$A203))</f>
        <v/>
      </c>
      <c r="H203" s="4">
        <f>IF($A203=H$197,"",COUNTIF($D$4:$D$193,$A203&amp;" ضد "&amp;H$197)+COUNTIF($D$4:$D$193,H$197&amp;" ضد "&amp;$A203))</f>
        <v>1</v>
      </c>
      <c r="I203" s="4">
        <f>IF($A203=I$197,"",COUNTIF($D$4:$D$193,$A203&amp;" ضد "&amp;I$197)+COUNTIF($D$4:$D$193,I$197&amp;" ضد "&amp;$A203))</f>
        <v>1</v>
      </c>
      <c r="J203" s="4">
        <f>IF($A203=J$197,"",COUNTIF($D$4:$D$193,$A203&amp;" ضد "&amp;J$197)+COUNTIF($D$4:$D$193,J$197&amp;" ضد "&amp;$A203))</f>
        <v>1</v>
      </c>
      <c r="K203" s="4">
        <f>IF($A203=K$197,"",COUNTIF($D$4:$D$193,$A203&amp;" ضد "&amp;K$197)+COUNTIF($D$4:$D$193,K$197&amp;" ضد "&amp;$A203))</f>
        <v>1</v>
      </c>
      <c r="L203" s="4">
        <f>IF($A203=L$197,"",COUNTIF($D$4:$D$193,$A203&amp;" ضد "&amp;L$197)+COUNTIF($D$4:$D$193,L$197&amp;" ضد "&amp;$A203))</f>
        <v>1</v>
      </c>
      <c r="M203" s="4">
        <f>IF($A203=M$197,"",COUNTIF($D$4:$D$193,$A203&amp;" ضد "&amp;M$197)+COUNTIF($D$4:$D$193,M$197&amp;" ضد "&amp;$A203))</f>
        <v>1</v>
      </c>
      <c r="N203" s="4">
        <f>IF($A203=N$197,"",COUNTIF($D$4:$D$193,$A203&amp;" ضد "&amp;N$197)+COUNTIF($D$4:$D$193,N$197&amp;" ضد "&amp;$A203))</f>
        <v>1</v>
      </c>
      <c r="O203" s="4">
        <f>IF($A203=O$197,"",COUNTIF($D$4:$D$193,$A203&amp;" ضد "&amp;O$197)+COUNTIF($D$4:$D$193,O$197&amp;" ضد "&amp;$A203))</f>
        <v>1</v>
      </c>
      <c r="P203" s="4">
        <f>IF($A203=P$197,"",COUNTIF($D$4:$D$193,$A203&amp;" ضد "&amp;P$197)+COUNTIF($D$4:$D$193,P$197&amp;" ضد "&amp;$A203))</f>
        <v>1</v>
      </c>
      <c r="Q203" s="4">
        <f>IF($A203=Q$197,"",COUNTIF($D$4:$D$193,$A203&amp;" ضد "&amp;Q$197)+COUNTIF($D$4:$D$193,Q$197&amp;" ضد "&amp;$A203))</f>
        <v>1</v>
      </c>
      <c r="R203" s="4">
        <f>IF($A203=R$197,"",COUNTIF($D$4:$D$193,$A203&amp;" ضد "&amp;R$197)+COUNTIF($D$4:$D$193,R$197&amp;" ضد "&amp;$A203))</f>
        <v>1</v>
      </c>
      <c r="S203" s="4">
        <f>IF($A203=S$197,"",COUNTIF($D$4:$D$193,$A203&amp;" ضد "&amp;S$197)+COUNTIF($D$4:$D$193,S$197&amp;" ضد "&amp;$A203))</f>
        <v>1</v>
      </c>
      <c r="T203" s="4">
        <f>IF($A203=T$197,"",COUNTIF($D$4:$D$193,$A203&amp;" ضد "&amp;T$197)+COUNTIF($D$4:$D$193,T$197&amp;" ضد "&amp;$A203))</f>
        <v>1</v>
      </c>
      <c r="U203" s="4">
        <f>IF($A203=U$197,"",COUNTIF($D$4:$D$193,$A203&amp;" ضد "&amp;U$197)+COUNTIF($D$4:$D$193,U$197&amp;" ضد "&amp;$A203))</f>
        <v>1</v>
      </c>
    </row>
    <row r="204" spans="1:21" ht="14.5">
      <c r="A204" s="14">
        <v>7</v>
      </c>
      <c r="B204" s="4">
        <f>IF($A204=B$197,"",COUNTIF($D$4:$D$193,$A204&amp;" ضد "&amp;B$197)+COUNTIF($D$4:$D$193,B$197&amp;" ضد "&amp;$A204))</f>
        <v>1</v>
      </c>
      <c r="C204" s="4">
        <f>IF($A204=C$197,"",COUNTIF($D$4:$D$193,$A204&amp;" ضد "&amp;C$197)+COUNTIF($D$4:$D$193,C$197&amp;" ضد "&amp;$A204))</f>
        <v>1</v>
      </c>
      <c r="D204" s="4">
        <f>IF($A204=D$197,"",COUNTIF($D$4:$D$193,$A204&amp;" ضد "&amp;D$197)+COUNTIF($D$4:$D$193,D$197&amp;" ضد "&amp;$A204))</f>
        <v>1</v>
      </c>
      <c r="E204" s="4">
        <f>IF($A204=E$197,"",COUNTIF($D$4:$D$193,$A204&amp;" ضد "&amp;E$197)+COUNTIF($D$4:$D$193,E$197&amp;" ضد "&amp;$A204))</f>
        <v>1</v>
      </c>
      <c r="F204" s="4">
        <f>IF($A204=F$197,"",COUNTIF($D$4:$D$193,$A204&amp;" ضد "&amp;F$197)+COUNTIF($D$4:$D$193,F$197&amp;" ضد "&amp;$A204))</f>
        <v>1</v>
      </c>
      <c r="G204" s="4">
        <f>IF($A204=G$197,"",COUNTIF($D$4:$D$193,$A204&amp;" ضد "&amp;G$197)+COUNTIF($D$4:$D$193,G$197&amp;" ضد "&amp;$A204))</f>
        <v>1</v>
      </c>
      <c r="H204" s="4" t="str">
        <f>IF($A204=H$197,"",COUNTIF($D$4:$D$193,$A204&amp;" ضد "&amp;H$197)+COUNTIF($D$4:$D$193,H$197&amp;" ضد "&amp;$A204))</f>
        <v/>
      </c>
      <c r="I204" s="4">
        <f>IF($A204=I$197,"",COUNTIF($D$4:$D$193,$A204&amp;" ضد "&amp;I$197)+COUNTIF($D$4:$D$193,I$197&amp;" ضد "&amp;$A204))</f>
        <v>1</v>
      </c>
      <c r="J204" s="4">
        <f>IF($A204=J$197,"",COUNTIF($D$4:$D$193,$A204&amp;" ضد "&amp;J$197)+COUNTIF($D$4:$D$193,J$197&amp;" ضد "&amp;$A204))</f>
        <v>1</v>
      </c>
      <c r="K204" s="4">
        <f>IF($A204=K$197,"",COUNTIF($D$4:$D$193,$A204&amp;" ضد "&amp;K$197)+COUNTIF($D$4:$D$193,K$197&amp;" ضد "&amp;$A204))</f>
        <v>1</v>
      </c>
      <c r="L204" s="4">
        <f>IF($A204=L$197,"",COUNTIF($D$4:$D$193,$A204&amp;" ضد "&amp;L$197)+COUNTIF($D$4:$D$193,L$197&amp;" ضد "&amp;$A204))</f>
        <v>1</v>
      </c>
      <c r="M204" s="4">
        <f>IF($A204=M$197,"",COUNTIF($D$4:$D$193,$A204&amp;" ضد "&amp;M$197)+COUNTIF($D$4:$D$193,M$197&amp;" ضد "&amp;$A204))</f>
        <v>1</v>
      </c>
      <c r="N204" s="4">
        <f>IF($A204=N$197,"",COUNTIF($D$4:$D$193,$A204&amp;" ضد "&amp;N$197)+COUNTIF($D$4:$D$193,N$197&amp;" ضد "&amp;$A204))</f>
        <v>1</v>
      </c>
      <c r="O204" s="4">
        <f>IF($A204=O$197,"",COUNTIF($D$4:$D$193,$A204&amp;" ضد "&amp;O$197)+COUNTIF($D$4:$D$193,O$197&amp;" ضد "&amp;$A204))</f>
        <v>1</v>
      </c>
      <c r="P204" s="4">
        <f>IF($A204=P$197,"",COUNTIF($D$4:$D$193,$A204&amp;" ضد "&amp;P$197)+COUNTIF($D$4:$D$193,P$197&amp;" ضد "&amp;$A204))</f>
        <v>1</v>
      </c>
      <c r="Q204" s="4">
        <f>IF($A204=Q$197,"",COUNTIF($D$4:$D$193,$A204&amp;" ضد "&amp;Q$197)+COUNTIF($D$4:$D$193,Q$197&amp;" ضد "&amp;$A204))</f>
        <v>1</v>
      </c>
      <c r="R204" s="4">
        <f>IF($A204=R$197,"",COUNTIF($D$4:$D$193,$A204&amp;" ضد "&amp;R$197)+COUNTIF($D$4:$D$193,R$197&amp;" ضد "&amp;$A204))</f>
        <v>1</v>
      </c>
      <c r="S204" s="4">
        <f>IF($A204=S$197,"",COUNTIF($D$4:$D$193,$A204&amp;" ضد "&amp;S$197)+COUNTIF($D$4:$D$193,S$197&amp;" ضد "&amp;$A204))</f>
        <v>1</v>
      </c>
      <c r="T204" s="4">
        <f>IF($A204=T$197,"",COUNTIF($D$4:$D$193,$A204&amp;" ضد "&amp;T$197)+COUNTIF($D$4:$D$193,T$197&amp;" ضد "&amp;$A204))</f>
        <v>1</v>
      </c>
      <c r="U204" s="4">
        <f>IF($A204=U$197,"",COUNTIF($D$4:$D$193,$A204&amp;" ضد "&amp;U$197)+COUNTIF($D$4:$D$193,U$197&amp;" ضد "&amp;$A204))</f>
        <v>1</v>
      </c>
    </row>
    <row r="205" spans="1:21" ht="14.5">
      <c r="A205" s="14">
        <v>8</v>
      </c>
      <c r="B205" s="4">
        <f>IF($A205=B$197,"",COUNTIF($D$4:$D$193,$A205&amp;" ضد "&amp;B$197)+COUNTIF($D$4:$D$193,B$197&amp;" ضد "&amp;$A205))</f>
        <v>1</v>
      </c>
      <c r="C205" s="4">
        <f>IF($A205=C$197,"",COUNTIF($D$4:$D$193,$A205&amp;" ضد "&amp;C$197)+COUNTIF($D$4:$D$193,C$197&amp;" ضد "&amp;$A205))</f>
        <v>1</v>
      </c>
      <c r="D205" s="4">
        <f>IF($A205=D$197,"",COUNTIF($D$4:$D$193,$A205&amp;" ضد "&amp;D$197)+COUNTIF($D$4:$D$193,D$197&amp;" ضد "&amp;$A205))</f>
        <v>1</v>
      </c>
      <c r="E205" s="4">
        <f>IF($A205=E$197,"",COUNTIF($D$4:$D$193,$A205&amp;" ضد "&amp;E$197)+COUNTIF($D$4:$D$193,E$197&amp;" ضد "&amp;$A205))</f>
        <v>1</v>
      </c>
      <c r="F205" s="4">
        <f>IF($A205=F$197,"",COUNTIF($D$4:$D$193,$A205&amp;" ضد "&amp;F$197)+COUNTIF($D$4:$D$193,F$197&amp;" ضد "&amp;$A205))</f>
        <v>1</v>
      </c>
      <c r="G205" s="4">
        <f>IF($A205=G$197,"",COUNTIF($D$4:$D$193,$A205&amp;" ضد "&amp;G$197)+COUNTIF($D$4:$D$193,G$197&amp;" ضد "&amp;$A205))</f>
        <v>1</v>
      </c>
      <c r="H205" s="4">
        <f>IF($A205=H$197,"",COUNTIF($D$4:$D$193,$A205&amp;" ضد "&amp;H$197)+COUNTIF($D$4:$D$193,H$197&amp;" ضد "&amp;$A205))</f>
        <v>1</v>
      </c>
      <c r="I205" s="4" t="str">
        <f>IF($A205=I$197,"",COUNTIF($D$4:$D$193,$A205&amp;" ضد "&amp;I$197)+COUNTIF($D$4:$D$193,I$197&amp;" ضد "&amp;$A205))</f>
        <v/>
      </c>
      <c r="J205" s="4">
        <f>IF($A205=J$197,"",COUNTIF($D$4:$D$193,$A205&amp;" ضد "&amp;J$197)+COUNTIF($D$4:$D$193,J$197&amp;" ضد "&amp;$A205))</f>
        <v>1</v>
      </c>
      <c r="K205" s="4">
        <f>IF($A205=K$197,"",COUNTIF($D$4:$D$193,$A205&amp;" ضد "&amp;K$197)+COUNTIF($D$4:$D$193,K$197&amp;" ضد "&amp;$A205))</f>
        <v>1</v>
      </c>
      <c r="L205" s="4">
        <f>IF($A205=L$197,"",COUNTIF($D$4:$D$193,$A205&amp;" ضد "&amp;L$197)+COUNTIF($D$4:$D$193,L$197&amp;" ضد "&amp;$A205))</f>
        <v>1</v>
      </c>
      <c r="M205" s="4">
        <f>IF($A205=M$197,"",COUNTIF($D$4:$D$193,$A205&amp;" ضد "&amp;M$197)+COUNTIF($D$4:$D$193,M$197&amp;" ضد "&amp;$A205))</f>
        <v>1</v>
      </c>
      <c r="N205" s="4">
        <f>IF($A205=N$197,"",COUNTIF($D$4:$D$193,$A205&amp;" ضد "&amp;N$197)+COUNTIF($D$4:$D$193,N$197&amp;" ضد "&amp;$A205))</f>
        <v>1</v>
      </c>
      <c r="O205" s="4">
        <f>IF($A205=O$197,"",COUNTIF($D$4:$D$193,$A205&amp;" ضد "&amp;O$197)+COUNTIF($D$4:$D$193,O$197&amp;" ضد "&amp;$A205))</f>
        <v>1</v>
      </c>
      <c r="P205" s="4">
        <f>IF($A205=P$197,"",COUNTIF($D$4:$D$193,$A205&amp;" ضد "&amp;P$197)+COUNTIF($D$4:$D$193,P$197&amp;" ضد "&amp;$A205))</f>
        <v>1</v>
      </c>
      <c r="Q205" s="4">
        <f>IF($A205=Q$197,"",COUNTIF($D$4:$D$193,$A205&amp;" ضد "&amp;Q$197)+COUNTIF($D$4:$D$193,Q$197&amp;" ضد "&amp;$A205))</f>
        <v>1</v>
      </c>
      <c r="R205" s="4">
        <f>IF($A205=R$197,"",COUNTIF($D$4:$D$193,$A205&amp;" ضد "&amp;R$197)+COUNTIF($D$4:$D$193,R$197&amp;" ضد "&amp;$A205))</f>
        <v>1</v>
      </c>
      <c r="S205" s="4">
        <f>IF($A205=S$197,"",COUNTIF($D$4:$D$193,$A205&amp;" ضد "&amp;S$197)+COUNTIF($D$4:$D$193,S$197&amp;" ضد "&amp;$A205))</f>
        <v>1</v>
      </c>
      <c r="T205" s="4">
        <f>IF($A205=T$197,"",COUNTIF($D$4:$D$193,$A205&amp;" ضد "&amp;T$197)+COUNTIF($D$4:$D$193,T$197&amp;" ضد "&amp;$A205))</f>
        <v>1</v>
      </c>
      <c r="U205" s="4">
        <f>IF($A205=U$197,"",COUNTIF($D$4:$D$193,$A205&amp;" ضد "&amp;U$197)+COUNTIF($D$4:$D$193,U$197&amp;" ضد "&amp;$A205))</f>
        <v>1</v>
      </c>
    </row>
    <row r="206" spans="1:21" ht="14.5">
      <c r="A206" s="14">
        <v>9</v>
      </c>
      <c r="B206" s="4">
        <f>IF($A206=B$197,"",COUNTIF($D$4:$D$193,$A206&amp;" ضد "&amp;B$197)+COUNTIF($D$4:$D$193,B$197&amp;" ضد "&amp;$A206))</f>
        <v>1</v>
      </c>
      <c r="C206" s="4">
        <f>IF($A206=C$197,"",COUNTIF($D$4:$D$193,$A206&amp;" ضد "&amp;C$197)+COUNTIF($D$4:$D$193,C$197&amp;" ضد "&amp;$A206))</f>
        <v>1</v>
      </c>
      <c r="D206" s="4">
        <f>IF($A206=D$197,"",COUNTIF($D$4:$D$193,$A206&amp;" ضد "&amp;D$197)+COUNTIF($D$4:$D$193,D$197&amp;" ضد "&amp;$A206))</f>
        <v>1</v>
      </c>
      <c r="E206" s="4">
        <f>IF($A206=E$197,"",COUNTIF($D$4:$D$193,$A206&amp;" ضد "&amp;E$197)+COUNTIF($D$4:$D$193,E$197&amp;" ضد "&amp;$A206))</f>
        <v>1</v>
      </c>
      <c r="F206" s="4">
        <f>IF($A206=F$197,"",COUNTIF($D$4:$D$193,$A206&amp;" ضد "&amp;F$197)+COUNTIF($D$4:$D$193,F$197&amp;" ضد "&amp;$A206))</f>
        <v>1</v>
      </c>
      <c r="G206" s="4">
        <f>IF($A206=G$197,"",COUNTIF($D$4:$D$193,$A206&amp;" ضد "&amp;G$197)+COUNTIF($D$4:$D$193,G$197&amp;" ضد "&amp;$A206))</f>
        <v>1</v>
      </c>
      <c r="H206" s="4">
        <f>IF($A206=H$197,"",COUNTIF($D$4:$D$193,$A206&amp;" ضد "&amp;H$197)+COUNTIF($D$4:$D$193,H$197&amp;" ضد "&amp;$A206))</f>
        <v>1</v>
      </c>
      <c r="I206" s="4">
        <f>IF($A206=I$197,"",COUNTIF($D$4:$D$193,$A206&amp;" ضد "&amp;I$197)+COUNTIF($D$4:$D$193,I$197&amp;" ضد "&amp;$A206))</f>
        <v>1</v>
      </c>
      <c r="J206" s="4" t="str">
        <f>IF($A206=J$197,"",COUNTIF($D$4:$D$193,$A206&amp;" ضد "&amp;J$197)+COUNTIF($D$4:$D$193,J$197&amp;" ضد "&amp;$A206))</f>
        <v/>
      </c>
      <c r="K206" s="4">
        <f>IF($A206=K$197,"",COUNTIF($D$4:$D$193,$A206&amp;" ضد "&amp;K$197)+COUNTIF($D$4:$D$193,K$197&amp;" ضد "&amp;$A206))</f>
        <v>1</v>
      </c>
      <c r="L206" s="4">
        <f>IF($A206=L$197,"",COUNTIF($D$4:$D$193,$A206&amp;" ضد "&amp;L$197)+COUNTIF($D$4:$D$193,L$197&amp;" ضد "&amp;$A206))</f>
        <v>1</v>
      </c>
      <c r="M206" s="4">
        <f>IF($A206=M$197,"",COUNTIF($D$4:$D$193,$A206&amp;" ضد "&amp;M$197)+COUNTIF($D$4:$D$193,M$197&amp;" ضد "&amp;$A206))</f>
        <v>1</v>
      </c>
      <c r="N206" s="4">
        <f>IF($A206=N$197,"",COUNTIF($D$4:$D$193,$A206&amp;" ضد "&amp;N$197)+COUNTIF($D$4:$D$193,N$197&amp;" ضد "&amp;$A206))</f>
        <v>1</v>
      </c>
      <c r="O206" s="4">
        <f>IF($A206=O$197,"",COUNTIF($D$4:$D$193,$A206&amp;" ضد "&amp;O$197)+COUNTIF($D$4:$D$193,O$197&amp;" ضد "&amp;$A206))</f>
        <v>1</v>
      </c>
      <c r="P206" s="4">
        <f>IF($A206=P$197,"",COUNTIF($D$4:$D$193,$A206&amp;" ضد "&amp;P$197)+COUNTIF($D$4:$D$193,P$197&amp;" ضد "&amp;$A206))</f>
        <v>1</v>
      </c>
      <c r="Q206" s="4">
        <f>IF($A206=Q$197,"",COUNTIF($D$4:$D$193,$A206&amp;" ضد "&amp;Q$197)+COUNTIF($D$4:$D$193,Q$197&amp;" ضد "&amp;$A206))</f>
        <v>1</v>
      </c>
      <c r="R206" s="4">
        <f>IF($A206=R$197,"",COUNTIF($D$4:$D$193,$A206&amp;" ضد "&amp;R$197)+COUNTIF($D$4:$D$193,R$197&amp;" ضد "&amp;$A206))</f>
        <v>1</v>
      </c>
      <c r="S206" s="4">
        <f>IF($A206=S$197,"",COUNTIF($D$4:$D$193,$A206&amp;" ضد "&amp;S$197)+COUNTIF($D$4:$D$193,S$197&amp;" ضد "&amp;$A206))</f>
        <v>1</v>
      </c>
      <c r="T206" s="4">
        <f>IF($A206=T$197,"",COUNTIF($D$4:$D$193,$A206&amp;" ضد "&amp;T$197)+COUNTIF($D$4:$D$193,T$197&amp;" ضد "&amp;$A206))</f>
        <v>1</v>
      </c>
      <c r="U206" s="4">
        <f>IF($A206=U$197,"",COUNTIF($D$4:$D$193,$A206&amp;" ضد "&amp;U$197)+COUNTIF($D$4:$D$193,U$197&amp;" ضد "&amp;$A206))</f>
        <v>1</v>
      </c>
    </row>
    <row r="207" spans="1:21" ht="14.5">
      <c r="A207" s="14">
        <v>10</v>
      </c>
      <c r="B207" s="4">
        <f>IF($A207=B$197,"",COUNTIF($D$4:$D$193,$A207&amp;" ضد "&amp;B$197)+COUNTIF($D$4:$D$193,B$197&amp;" ضد "&amp;$A207))</f>
        <v>1</v>
      </c>
      <c r="C207" s="4">
        <f>IF($A207=C$197,"",COUNTIF($D$4:$D$193,$A207&amp;" ضد "&amp;C$197)+COUNTIF($D$4:$D$193,C$197&amp;" ضد "&amp;$A207))</f>
        <v>1</v>
      </c>
      <c r="D207" s="4">
        <f>IF($A207=D$197,"",COUNTIF($D$4:$D$193,$A207&amp;" ضد "&amp;D$197)+COUNTIF($D$4:$D$193,D$197&amp;" ضد "&amp;$A207))</f>
        <v>1</v>
      </c>
      <c r="E207" s="4">
        <f>IF($A207=E$197,"",COUNTIF($D$4:$D$193,$A207&amp;" ضد "&amp;E$197)+COUNTIF($D$4:$D$193,E$197&amp;" ضد "&amp;$A207))</f>
        <v>1</v>
      </c>
      <c r="F207" s="4">
        <f>IF($A207=F$197,"",COUNTIF($D$4:$D$193,$A207&amp;" ضد "&amp;F$197)+COUNTIF($D$4:$D$193,F$197&amp;" ضد "&amp;$A207))</f>
        <v>1</v>
      </c>
      <c r="G207" s="4">
        <f>IF($A207=G$197,"",COUNTIF($D$4:$D$193,$A207&amp;" ضد "&amp;G$197)+COUNTIF($D$4:$D$193,G$197&amp;" ضد "&amp;$A207))</f>
        <v>1</v>
      </c>
      <c r="H207" s="4">
        <f>IF($A207=H$197,"",COUNTIF($D$4:$D$193,$A207&amp;" ضد "&amp;H$197)+COUNTIF($D$4:$D$193,H$197&amp;" ضد "&amp;$A207))</f>
        <v>1</v>
      </c>
      <c r="I207" s="4">
        <f>IF($A207=I$197,"",COUNTIF($D$4:$D$193,$A207&amp;" ضد "&amp;I$197)+COUNTIF($D$4:$D$193,I$197&amp;" ضد "&amp;$A207))</f>
        <v>1</v>
      </c>
      <c r="J207" s="4">
        <f>IF($A207=J$197,"",COUNTIF($D$4:$D$193,$A207&amp;" ضد "&amp;J$197)+COUNTIF($D$4:$D$193,J$197&amp;" ضد "&amp;$A207))</f>
        <v>1</v>
      </c>
      <c r="K207" s="4" t="str">
        <f>IF($A207=K$197,"",COUNTIF($D$4:$D$193,$A207&amp;" ضد "&amp;K$197)+COUNTIF($D$4:$D$193,K$197&amp;" ضد "&amp;$A207))</f>
        <v/>
      </c>
      <c r="L207" s="4">
        <f>IF($A207=L$197,"",COUNTIF($D$4:$D$193,$A207&amp;" ضد "&amp;L$197)+COUNTIF($D$4:$D$193,L$197&amp;" ضد "&amp;$A207))</f>
        <v>1</v>
      </c>
      <c r="M207" s="4">
        <f>IF($A207=M$197,"",COUNTIF($D$4:$D$193,$A207&amp;" ضد "&amp;M$197)+COUNTIF($D$4:$D$193,M$197&amp;" ضد "&amp;$A207))</f>
        <v>1</v>
      </c>
      <c r="N207" s="4">
        <f>IF($A207=N$197,"",COUNTIF($D$4:$D$193,$A207&amp;" ضد "&amp;N$197)+COUNTIF($D$4:$D$193,N$197&amp;" ضد "&amp;$A207))</f>
        <v>1</v>
      </c>
      <c r="O207" s="4">
        <f>IF($A207=O$197,"",COUNTIF($D$4:$D$193,$A207&amp;" ضد "&amp;O$197)+COUNTIF($D$4:$D$193,O$197&amp;" ضد "&amp;$A207))</f>
        <v>1</v>
      </c>
      <c r="P207" s="4">
        <f>IF($A207=P$197,"",COUNTIF($D$4:$D$193,$A207&amp;" ضد "&amp;P$197)+COUNTIF($D$4:$D$193,P$197&amp;" ضد "&amp;$A207))</f>
        <v>1</v>
      </c>
      <c r="Q207" s="4">
        <f>IF($A207=Q$197,"",COUNTIF($D$4:$D$193,$A207&amp;" ضد "&amp;Q$197)+COUNTIF($D$4:$D$193,Q$197&amp;" ضد "&amp;$A207))</f>
        <v>1</v>
      </c>
      <c r="R207" s="4">
        <f>IF($A207=R$197,"",COUNTIF($D$4:$D$193,$A207&amp;" ضد "&amp;R$197)+COUNTIF($D$4:$D$193,R$197&amp;" ضد "&amp;$A207))</f>
        <v>1</v>
      </c>
      <c r="S207" s="4">
        <f>IF($A207=S$197,"",COUNTIF($D$4:$D$193,$A207&amp;" ضد "&amp;S$197)+COUNTIF($D$4:$D$193,S$197&amp;" ضد "&amp;$A207))</f>
        <v>1</v>
      </c>
      <c r="T207" s="4">
        <f>IF($A207=T$197,"",COUNTIF($D$4:$D$193,$A207&amp;" ضد "&amp;T$197)+COUNTIF($D$4:$D$193,T$197&amp;" ضد "&amp;$A207))</f>
        <v>1</v>
      </c>
      <c r="U207" s="4">
        <f>IF($A207=U$197,"",COUNTIF($D$4:$D$193,$A207&amp;" ضد "&amp;U$197)+COUNTIF($D$4:$D$193,U$197&amp;" ضد "&amp;$A207))</f>
        <v>1</v>
      </c>
    </row>
    <row r="208" spans="1:21" ht="14.5">
      <c r="A208" s="14">
        <v>11</v>
      </c>
      <c r="B208" s="4">
        <f>IF($A208=B$197,"",COUNTIF($D$4:$D$193,$A208&amp;" ضد "&amp;B$197)+COUNTIF($D$4:$D$193,B$197&amp;" ضد "&amp;$A208))</f>
        <v>1</v>
      </c>
      <c r="C208" s="4">
        <f>IF($A208=C$197,"",COUNTIF($D$4:$D$193,$A208&amp;" ضد "&amp;C$197)+COUNTIF($D$4:$D$193,C$197&amp;" ضد "&amp;$A208))</f>
        <v>1</v>
      </c>
      <c r="D208" s="4">
        <f>IF($A208=D$197,"",COUNTIF($D$4:$D$193,$A208&amp;" ضد "&amp;D$197)+COUNTIF($D$4:$D$193,D$197&amp;" ضد "&amp;$A208))</f>
        <v>1</v>
      </c>
      <c r="E208" s="4">
        <f>IF($A208=E$197,"",COUNTIF($D$4:$D$193,$A208&amp;" ضد "&amp;E$197)+COUNTIF($D$4:$D$193,E$197&amp;" ضد "&amp;$A208))</f>
        <v>1</v>
      </c>
      <c r="F208" s="4">
        <f>IF($A208=F$197,"",COUNTIF($D$4:$D$193,$A208&amp;" ضد "&amp;F$197)+COUNTIF($D$4:$D$193,F$197&amp;" ضد "&amp;$A208))</f>
        <v>1</v>
      </c>
      <c r="G208" s="4">
        <f>IF($A208=G$197,"",COUNTIF($D$4:$D$193,$A208&amp;" ضد "&amp;G$197)+COUNTIF($D$4:$D$193,G$197&amp;" ضد "&amp;$A208))</f>
        <v>1</v>
      </c>
      <c r="H208" s="4">
        <f>IF($A208=H$197,"",COUNTIF($D$4:$D$193,$A208&amp;" ضد "&amp;H$197)+COUNTIF($D$4:$D$193,H$197&amp;" ضد "&amp;$A208))</f>
        <v>1</v>
      </c>
      <c r="I208" s="4">
        <f>IF($A208=I$197,"",COUNTIF($D$4:$D$193,$A208&amp;" ضد "&amp;I$197)+COUNTIF($D$4:$D$193,I$197&amp;" ضد "&amp;$A208))</f>
        <v>1</v>
      </c>
      <c r="J208" s="4">
        <f>IF($A208=J$197,"",COUNTIF($D$4:$D$193,$A208&amp;" ضد "&amp;J$197)+COUNTIF($D$4:$D$193,J$197&amp;" ضد "&amp;$A208))</f>
        <v>1</v>
      </c>
      <c r="K208" s="4">
        <f>IF($A208=K$197,"",COUNTIF($D$4:$D$193,$A208&amp;" ضد "&amp;K$197)+COUNTIF($D$4:$D$193,K$197&amp;" ضد "&amp;$A208))</f>
        <v>1</v>
      </c>
      <c r="L208" s="4" t="str">
        <f>IF($A208=L$197,"",COUNTIF($D$4:$D$193,$A208&amp;" ضد "&amp;L$197)+COUNTIF($D$4:$D$193,L$197&amp;" ضد "&amp;$A208))</f>
        <v/>
      </c>
      <c r="M208" s="4">
        <f>IF($A208=M$197,"",COUNTIF($D$4:$D$193,$A208&amp;" ضد "&amp;M$197)+COUNTIF($D$4:$D$193,M$197&amp;" ضد "&amp;$A208))</f>
        <v>1</v>
      </c>
      <c r="N208" s="4">
        <f>IF($A208=N$197,"",COUNTIF($D$4:$D$193,$A208&amp;" ضد "&amp;N$197)+COUNTIF($D$4:$D$193,N$197&amp;" ضد "&amp;$A208))</f>
        <v>1</v>
      </c>
      <c r="O208" s="4">
        <f>IF($A208=O$197,"",COUNTIF($D$4:$D$193,$A208&amp;" ضد "&amp;O$197)+COUNTIF($D$4:$D$193,O$197&amp;" ضد "&amp;$A208))</f>
        <v>1</v>
      </c>
      <c r="P208" s="4">
        <f>IF($A208=P$197,"",COUNTIF($D$4:$D$193,$A208&amp;" ضد "&amp;P$197)+COUNTIF($D$4:$D$193,P$197&amp;" ضد "&amp;$A208))</f>
        <v>1</v>
      </c>
      <c r="Q208" s="4">
        <f>IF($A208=Q$197,"",COUNTIF($D$4:$D$193,$A208&amp;" ضد "&amp;Q$197)+COUNTIF($D$4:$D$193,Q$197&amp;" ضد "&amp;$A208))</f>
        <v>1</v>
      </c>
      <c r="R208" s="4">
        <f>IF($A208=R$197,"",COUNTIF($D$4:$D$193,$A208&amp;" ضد "&amp;R$197)+COUNTIF($D$4:$D$193,R$197&amp;" ضد "&amp;$A208))</f>
        <v>1</v>
      </c>
      <c r="S208" s="4">
        <f>IF($A208=S$197,"",COUNTIF($D$4:$D$193,$A208&amp;" ضد "&amp;S$197)+COUNTIF($D$4:$D$193,S$197&amp;" ضد "&amp;$A208))</f>
        <v>1</v>
      </c>
      <c r="T208" s="4">
        <f>IF($A208=T$197,"",COUNTIF($D$4:$D$193,$A208&amp;" ضد "&amp;T$197)+COUNTIF($D$4:$D$193,T$197&amp;" ضد "&amp;$A208))</f>
        <v>1</v>
      </c>
      <c r="U208" s="4">
        <f>IF($A208=U$197,"",COUNTIF($D$4:$D$193,$A208&amp;" ضد "&amp;U$197)+COUNTIF($D$4:$D$193,U$197&amp;" ضد "&amp;$A208))</f>
        <v>1</v>
      </c>
    </row>
    <row r="209" spans="1:21" ht="14.5">
      <c r="A209" s="14">
        <v>12</v>
      </c>
      <c r="B209" s="4">
        <f>IF($A209=B$197,"",COUNTIF($D$4:$D$193,$A209&amp;" ضد "&amp;B$197)+COUNTIF($D$4:$D$193,B$197&amp;" ضد "&amp;$A209))</f>
        <v>1</v>
      </c>
      <c r="C209" s="4">
        <f>IF($A209=C$197,"",COUNTIF($D$4:$D$193,$A209&amp;" ضد "&amp;C$197)+COUNTIF($D$4:$D$193,C$197&amp;" ضد "&amp;$A209))</f>
        <v>1</v>
      </c>
      <c r="D209" s="4">
        <f>IF($A209=D$197,"",COUNTIF($D$4:$D$193,$A209&amp;" ضد "&amp;D$197)+COUNTIF($D$4:$D$193,D$197&amp;" ضد "&amp;$A209))</f>
        <v>1</v>
      </c>
      <c r="E209" s="4">
        <f>IF($A209=E$197,"",COUNTIF($D$4:$D$193,$A209&amp;" ضد "&amp;E$197)+COUNTIF($D$4:$D$193,E$197&amp;" ضد "&amp;$A209))</f>
        <v>1</v>
      </c>
      <c r="F209" s="4">
        <f>IF($A209=F$197,"",COUNTIF($D$4:$D$193,$A209&amp;" ضد "&amp;F$197)+COUNTIF($D$4:$D$193,F$197&amp;" ضد "&amp;$A209))</f>
        <v>1</v>
      </c>
      <c r="G209" s="4">
        <f>IF($A209=G$197,"",COUNTIF($D$4:$D$193,$A209&amp;" ضد "&amp;G$197)+COUNTIF($D$4:$D$193,G$197&amp;" ضد "&amp;$A209))</f>
        <v>1</v>
      </c>
      <c r="H209" s="4">
        <f>IF($A209=H$197,"",COUNTIF($D$4:$D$193,$A209&amp;" ضد "&amp;H$197)+COUNTIF($D$4:$D$193,H$197&amp;" ضد "&amp;$A209))</f>
        <v>1</v>
      </c>
      <c r="I209" s="4">
        <f>IF($A209=I$197,"",COUNTIF($D$4:$D$193,$A209&amp;" ضد "&amp;I$197)+COUNTIF($D$4:$D$193,I$197&amp;" ضد "&amp;$A209))</f>
        <v>1</v>
      </c>
      <c r="J209" s="4">
        <f>IF($A209=J$197,"",COUNTIF($D$4:$D$193,$A209&amp;" ضد "&amp;J$197)+COUNTIF($D$4:$D$193,J$197&amp;" ضد "&amp;$A209))</f>
        <v>1</v>
      </c>
      <c r="K209" s="4">
        <f>IF($A209=K$197,"",COUNTIF($D$4:$D$193,$A209&amp;" ضد "&amp;K$197)+COUNTIF($D$4:$D$193,K$197&amp;" ضد "&amp;$A209))</f>
        <v>1</v>
      </c>
      <c r="L209" s="4">
        <f>IF($A209=L$197,"",COUNTIF($D$4:$D$193,$A209&amp;" ضد "&amp;L$197)+COUNTIF($D$4:$D$193,L$197&amp;" ضد "&amp;$A209))</f>
        <v>1</v>
      </c>
      <c r="M209" s="4" t="str">
        <f>IF($A209=M$197,"",COUNTIF($D$4:$D$193,$A209&amp;" ضد "&amp;M$197)+COUNTIF($D$4:$D$193,M$197&amp;" ضد "&amp;$A209))</f>
        <v/>
      </c>
      <c r="N209" s="4">
        <f>IF($A209=N$197,"",COUNTIF($D$4:$D$193,$A209&amp;" ضد "&amp;N$197)+COUNTIF($D$4:$D$193,N$197&amp;" ضد "&amp;$A209))</f>
        <v>1</v>
      </c>
      <c r="O209" s="4">
        <f>IF($A209=O$197,"",COUNTIF($D$4:$D$193,$A209&amp;" ضد "&amp;O$197)+COUNTIF($D$4:$D$193,O$197&amp;" ضد "&amp;$A209))</f>
        <v>1</v>
      </c>
      <c r="P209" s="4">
        <f>IF($A209=P$197,"",COUNTIF($D$4:$D$193,$A209&amp;" ضد "&amp;P$197)+COUNTIF($D$4:$D$193,P$197&amp;" ضد "&amp;$A209))</f>
        <v>1</v>
      </c>
      <c r="Q209" s="4">
        <f>IF($A209=Q$197,"",COUNTIF($D$4:$D$193,$A209&amp;" ضد "&amp;Q$197)+COUNTIF($D$4:$D$193,Q$197&amp;" ضد "&amp;$A209))</f>
        <v>1</v>
      </c>
      <c r="R209" s="4">
        <f>IF($A209=R$197,"",COUNTIF($D$4:$D$193,$A209&amp;" ضد "&amp;R$197)+COUNTIF($D$4:$D$193,R$197&amp;" ضد "&amp;$A209))</f>
        <v>1</v>
      </c>
      <c r="S209" s="4">
        <f>IF($A209=S$197,"",COUNTIF($D$4:$D$193,$A209&amp;" ضد "&amp;S$197)+COUNTIF($D$4:$D$193,S$197&amp;" ضد "&amp;$A209))</f>
        <v>1</v>
      </c>
      <c r="T209" s="4">
        <f>IF($A209=T$197,"",COUNTIF($D$4:$D$193,$A209&amp;" ضد "&amp;T$197)+COUNTIF($D$4:$D$193,T$197&amp;" ضد "&amp;$A209))</f>
        <v>1</v>
      </c>
      <c r="U209" s="4">
        <f>IF($A209=U$197,"",COUNTIF($D$4:$D$193,$A209&amp;" ضد "&amp;U$197)+COUNTIF($D$4:$D$193,U$197&amp;" ضد "&amp;$A209))</f>
        <v>1</v>
      </c>
    </row>
    <row r="210" spans="1:21" ht="14.5">
      <c r="A210" s="14">
        <v>13</v>
      </c>
      <c r="B210" s="4">
        <f>IF($A210=B$197,"",COUNTIF($D$4:$D$193,$A210&amp;" ضد "&amp;B$197)+COUNTIF($D$4:$D$193,B$197&amp;" ضد "&amp;$A210))</f>
        <v>1</v>
      </c>
      <c r="C210" s="4">
        <f>IF($A210=C$197,"",COUNTIF($D$4:$D$193,$A210&amp;" ضد "&amp;C$197)+COUNTIF($D$4:$D$193,C$197&amp;" ضد "&amp;$A210))</f>
        <v>1</v>
      </c>
      <c r="D210" s="4">
        <f>IF($A210=D$197,"",COUNTIF($D$4:$D$193,$A210&amp;" ضد "&amp;D$197)+COUNTIF($D$4:$D$193,D$197&amp;" ضد "&amp;$A210))</f>
        <v>1</v>
      </c>
      <c r="E210" s="4">
        <f>IF($A210=E$197,"",COUNTIF($D$4:$D$193,$A210&amp;" ضد "&amp;E$197)+COUNTIF($D$4:$D$193,E$197&amp;" ضد "&amp;$A210))</f>
        <v>1</v>
      </c>
      <c r="F210" s="4">
        <f>IF($A210=F$197,"",COUNTIF($D$4:$D$193,$A210&amp;" ضد "&amp;F$197)+COUNTIF($D$4:$D$193,F$197&amp;" ضد "&amp;$A210))</f>
        <v>1</v>
      </c>
      <c r="G210" s="4">
        <f>IF($A210=G$197,"",COUNTIF($D$4:$D$193,$A210&amp;" ضد "&amp;G$197)+COUNTIF($D$4:$D$193,G$197&amp;" ضد "&amp;$A210))</f>
        <v>1</v>
      </c>
      <c r="H210" s="4">
        <f>IF($A210=H$197,"",COUNTIF($D$4:$D$193,$A210&amp;" ضد "&amp;H$197)+COUNTIF($D$4:$D$193,H$197&amp;" ضد "&amp;$A210))</f>
        <v>1</v>
      </c>
      <c r="I210" s="4">
        <f>IF($A210=I$197,"",COUNTIF($D$4:$D$193,$A210&amp;" ضد "&amp;I$197)+COUNTIF($D$4:$D$193,I$197&amp;" ضد "&amp;$A210))</f>
        <v>1</v>
      </c>
      <c r="J210" s="4">
        <f>IF($A210=J$197,"",COUNTIF($D$4:$D$193,$A210&amp;" ضد "&amp;J$197)+COUNTIF($D$4:$D$193,J$197&amp;" ضد "&amp;$A210))</f>
        <v>1</v>
      </c>
      <c r="K210" s="4">
        <f>IF($A210=K$197,"",COUNTIF($D$4:$D$193,$A210&amp;" ضد "&amp;K$197)+COUNTIF($D$4:$D$193,K$197&amp;" ضد "&amp;$A210))</f>
        <v>1</v>
      </c>
      <c r="L210" s="4">
        <f>IF($A210=L$197,"",COUNTIF($D$4:$D$193,$A210&amp;" ضد "&amp;L$197)+COUNTIF($D$4:$D$193,L$197&amp;" ضد "&amp;$A210))</f>
        <v>1</v>
      </c>
      <c r="M210" s="4">
        <f>IF($A210=M$197,"",COUNTIF($D$4:$D$193,$A210&amp;" ضد "&amp;M$197)+COUNTIF($D$4:$D$193,M$197&amp;" ضد "&amp;$A210))</f>
        <v>1</v>
      </c>
      <c r="N210" s="4" t="str">
        <f>IF($A210=N$197,"",COUNTIF($D$4:$D$193,$A210&amp;" ضد "&amp;N$197)+COUNTIF($D$4:$D$193,N$197&amp;" ضد "&amp;$A210))</f>
        <v/>
      </c>
      <c r="O210" s="4">
        <f>IF($A210=O$197,"",COUNTIF($D$4:$D$193,$A210&amp;" ضد "&amp;O$197)+COUNTIF($D$4:$D$193,O$197&amp;" ضد "&amp;$A210))</f>
        <v>1</v>
      </c>
      <c r="P210" s="4">
        <f>IF($A210=P$197,"",COUNTIF($D$4:$D$193,$A210&amp;" ضد "&amp;P$197)+COUNTIF($D$4:$D$193,P$197&amp;" ضد "&amp;$A210))</f>
        <v>1</v>
      </c>
      <c r="Q210" s="4">
        <f>IF($A210=Q$197,"",COUNTIF($D$4:$D$193,$A210&amp;" ضد "&amp;Q$197)+COUNTIF($D$4:$D$193,Q$197&amp;" ضد "&amp;$A210))</f>
        <v>1</v>
      </c>
      <c r="R210" s="4">
        <f>IF($A210=R$197,"",COUNTIF($D$4:$D$193,$A210&amp;" ضد "&amp;R$197)+COUNTIF($D$4:$D$193,R$197&amp;" ضد "&amp;$A210))</f>
        <v>1</v>
      </c>
      <c r="S210" s="4">
        <f>IF($A210=S$197,"",COUNTIF($D$4:$D$193,$A210&amp;" ضد "&amp;S$197)+COUNTIF($D$4:$D$193,S$197&amp;" ضد "&amp;$A210))</f>
        <v>1</v>
      </c>
      <c r="T210" s="4">
        <f>IF($A210=T$197,"",COUNTIF($D$4:$D$193,$A210&amp;" ضد "&amp;T$197)+COUNTIF($D$4:$D$193,T$197&amp;" ضد "&amp;$A210))</f>
        <v>1</v>
      </c>
      <c r="U210" s="4">
        <f>IF($A210=U$197,"",COUNTIF($D$4:$D$193,$A210&amp;" ضد "&amp;U$197)+COUNTIF($D$4:$D$193,U$197&amp;" ضد "&amp;$A210))</f>
        <v>1</v>
      </c>
    </row>
    <row r="211" spans="1:21" ht="14.5">
      <c r="A211" s="14">
        <v>14</v>
      </c>
      <c r="B211" s="4">
        <f>IF($A211=B$197,"",COUNTIF($D$4:$D$193,$A211&amp;" ضد "&amp;B$197)+COUNTIF($D$4:$D$193,B$197&amp;" ضد "&amp;$A211))</f>
        <v>1</v>
      </c>
      <c r="C211" s="4">
        <f>IF($A211=C$197,"",COUNTIF($D$4:$D$193,$A211&amp;" ضد "&amp;C$197)+COUNTIF($D$4:$D$193,C$197&amp;" ضد "&amp;$A211))</f>
        <v>1</v>
      </c>
      <c r="D211" s="4">
        <f>IF($A211=D$197,"",COUNTIF($D$4:$D$193,$A211&amp;" ضد "&amp;D$197)+COUNTIF($D$4:$D$193,D$197&amp;" ضد "&amp;$A211))</f>
        <v>1</v>
      </c>
      <c r="E211" s="4">
        <f>IF($A211=E$197,"",COUNTIF($D$4:$D$193,$A211&amp;" ضد "&amp;E$197)+COUNTIF($D$4:$D$193,E$197&amp;" ضد "&amp;$A211))</f>
        <v>1</v>
      </c>
      <c r="F211" s="4">
        <f>IF($A211=F$197,"",COUNTIF($D$4:$D$193,$A211&amp;" ضد "&amp;F$197)+COUNTIF($D$4:$D$193,F$197&amp;" ضد "&amp;$A211))</f>
        <v>1</v>
      </c>
      <c r="G211" s="4">
        <f>IF($A211=G$197,"",COUNTIF($D$4:$D$193,$A211&amp;" ضد "&amp;G$197)+COUNTIF($D$4:$D$193,G$197&amp;" ضد "&amp;$A211))</f>
        <v>1</v>
      </c>
      <c r="H211" s="4">
        <f>IF($A211=H$197,"",COUNTIF($D$4:$D$193,$A211&amp;" ضد "&amp;H$197)+COUNTIF($D$4:$D$193,H$197&amp;" ضد "&amp;$A211))</f>
        <v>1</v>
      </c>
      <c r="I211" s="4">
        <f>IF($A211=I$197,"",COUNTIF($D$4:$D$193,$A211&amp;" ضد "&amp;I$197)+COUNTIF($D$4:$D$193,I$197&amp;" ضد "&amp;$A211))</f>
        <v>1</v>
      </c>
      <c r="J211" s="4">
        <f>IF($A211=J$197,"",COUNTIF($D$4:$D$193,$A211&amp;" ضد "&amp;J$197)+COUNTIF($D$4:$D$193,J$197&amp;" ضد "&amp;$A211))</f>
        <v>1</v>
      </c>
      <c r="K211" s="4">
        <f>IF($A211=K$197,"",COUNTIF($D$4:$D$193,$A211&amp;" ضد "&amp;K$197)+COUNTIF($D$4:$D$193,K$197&amp;" ضد "&amp;$A211))</f>
        <v>1</v>
      </c>
      <c r="L211" s="4">
        <f>IF($A211=L$197,"",COUNTIF($D$4:$D$193,$A211&amp;" ضد "&amp;L$197)+COUNTIF($D$4:$D$193,L$197&amp;" ضد "&amp;$A211))</f>
        <v>1</v>
      </c>
      <c r="M211" s="4">
        <f>IF($A211=M$197,"",COUNTIF($D$4:$D$193,$A211&amp;" ضد "&amp;M$197)+COUNTIF($D$4:$D$193,M$197&amp;" ضد "&amp;$A211))</f>
        <v>1</v>
      </c>
      <c r="N211" s="4">
        <f>IF($A211=N$197,"",COUNTIF($D$4:$D$193,$A211&amp;" ضد "&amp;N$197)+COUNTIF($D$4:$D$193,N$197&amp;" ضد "&amp;$A211))</f>
        <v>1</v>
      </c>
      <c r="O211" s="4" t="str">
        <f>IF($A211=O$197,"",COUNTIF($D$4:$D$193,$A211&amp;" ضد "&amp;O$197)+COUNTIF($D$4:$D$193,O$197&amp;" ضد "&amp;$A211))</f>
        <v/>
      </c>
      <c r="P211" s="4">
        <f>IF($A211=P$197,"",COUNTIF($D$4:$D$193,$A211&amp;" ضد "&amp;P$197)+COUNTIF($D$4:$D$193,P$197&amp;" ضد "&amp;$A211))</f>
        <v>1</v>
      </c>
      <c r="Q211" s="4">
        <f>IF($A211=Q$197,"",COUNTIF($D$4:$D$193,$A211&amp;" ضد "&amp;Q$197)+COUNTIF($D$4:$D$193,Q$197&amp;" ضد "&amp;$A211))</f>
        <v>1</v>
      </c>
      <c r="R211" s="4">
        <f>IF($A211=R$197,"",COUNTIF($D$4:$D$193,$A211&amp;" ضد "&amp;R$197)+COUNTIF($D$4:$D$193,R$197&amp;" ضد "&amp;$A211))</f>
        <v>1</v>
      </c>
      <c r="S211" s="4">
        <f>IF($A211=S$197,"",COUNTIF($D$4:$D$193,$A211&amp;" ضد "&amp;S$197)+COUNTIF($D$4:$D$193,S$197&amp;" ضد "&amp;$A211))</f>
        <v>1</v>
      </c>
      <c r="T211" s="4">
        <f>IF($A211=T$197,"",COUNTIF($D$4:$D$193,$A211&amp;" ضد "&amp;T$197)+COUNTIF($D$4:$D$193,T$197&amp;" ضد "&amp;$A211))</f>
        <v>1</v>
      </c>
      <c r="U211" s="4">
        <f>IF($A211=U$197,"",COUNTIF($D$4:$D$193,$A211&amp;" ضد "&amp;U$197)+COUNTIF($D$4:$D$193,U$197&amp;" ضد "&amp;$A211))</f>
        <v>1</v>
      </c>
    </row>
    <row r="212" spans="1:21" ht="14.5">
      <c r="A212" s="14">
        <v>15</v>
      </c>
      <c r="B212" s="4">
        <f>IF($A212=B$197,"",COUNTIF($D$4:$D$193,$A212&amp;" ضد "&amp;B$197)+COUNTIF($D$4:$D$193,B$197&amp;" ضد "&amp;$A212))</f>
        <v>1</v>
      </c>
      <c r="C212" s="4">
        <f>IF($A212=C$197,"",COUNTIF($D$4:$D$193,$A212&amp;" ضد "&amp;C$197)+COUNTIF($D$4:$D$193,C$197&amp;" ضد "&amp;$A212))</f>
        <v>1</v>
      </c>
      <c r="D212" s="4">
        <f>IF($A212=D$197,"",COUNTIF($D$4:$D$193,$A212&amp;" ضد "&amp;D$197)+COUNTIF($D$4:$D$193,D$197&amp;" ضد "&amp;$A212))</f>
        <v>1</v>
      </c>
      <c r="E212" s="4">
        <f>IF($A212=E$197,"",COUNTIF($D$4:$D$193,$A212&amp;" ضد "&amp;E$197)+COUNTIF($D$4:$D$193,E$197&amp;" ضد "&amp;$A212))</f>
        <v>1</v>
      </c>
      <c r="F212" s="4">
        <f>IF($A212=F$197,"",COUNTIF($D$4:$D$193,$A212&amp;" ضد "&amp;F$197)+COUNTIF($D$4:$D$193,F$197&amp;" ضد "&amp;$A212))</f>
        <v>1</v>
      </c>
      <c r="G212" s="4">
        <f>IF($A212=G$197,"",COUNTIF($D$4:$D$193,$A212&amp;" ضد "&amp;G$197)+COUNTIF($D$4:$D$193,G$197&amp;" ضد "&amp;$A212))</f>
        <v>1</v>
      </c>
      <c r="H212" s="4">
        <f>IF($A212=H$197,"",COUNTIF($D$4:$D$193,$A212&amp;" ضد "&amp;H$197)+COUNTIF($D$4:$D$193,H$197&amp;" ضد "&amp;$A212))</f>
        <v>1</v>
      </c>
      <c r="I212" s="4">
        <f>IF($A212=I$197,"",COUNTIF($D$4:$D$193,$A212&amp;" ضد "&amp;I$197)+COUNTIF($D$4:$D$193,I$197&amp;" ضد "&amp;$A212))</f>
        <v>1</v>
      </c>
      <c r="J212" s="4">
        <f>IF($A212=J$197,"",COUNTIF($D$4:$D$193,$A212&amp;" ضد "&amp;J$197)+COUNTIF($D$4:$D$193,J$197&amp;" ضد "&amp;$A212))</f>
        <v>1</v>
      </c>
      <c r="K212" s="4">
        <f>IF($A212=K$197,"",COUNTIF($D$4:$D$193,$A212&amp;" ضد "&amp;K$197)+COUNTIF($D$4:$D$193,K$197&amp;" ضد "&amp;$A212))</f>
        <v>1</v>
      </c>
      <c r="L212" s="4">
        <f>IF($A212=L$197,"",COUNTIF($D$4:$D$193,$A212&amp;" ضد "&amp;L$197)+COUNTIF($D$4:$D$193,L$197&amp;" ضد "&amp;$A212))</f>
        <v>1</v>
      </c>
      <c r="M212" s="4">
        <f>IF($A212=M$197,"",COUNTIF($D$4:$D$193,$A212&amp;" ضد "&amp;M$197)+COUNTIF($D$4:$D$193,M$197&amp;" ضد "&amp;$A212))</f>
        <v>1</v>
      </c>
      <c r="N212" s="4">
        <f>IF($A212=N$197,"",COUNTIF($D$4:$D$193,$A212&amp;" ضد "&amp;N$197)+COUNTIF($D$4:$D$193,N$197&amp;" ضد "&amp;$A212))</f>
        <v>1</v>
      </c>
      <c r="O212" s="4">
        <f>IF($A212=O$197,"",COUNTIF($D$4:$D$193,$A212&amp;" ضد "&amp;O$197)+COUNTIF($D$4:$D$193,O$197&amp;" ضد "&amp;$A212))</f>
        <v>1</v>
      </c>
      <c r="P212" s="4" t="str">
        <f>IF($A212=P$197,"",COUNTIF($D$4:$D$193,$A212&amp;" ضد "&amp;P$197)+COUNTIF($D$4:$D$193,P$197&amp;" ضد "&amp;$A212))</f>
        <v/>
      </c>
      <c r="Q212" s="4">
        <f>IF($A212=Q$197,"",COUNTIF($D$4:$D$193,$A212&amp;" ضد "&amp;Q$197)+COUNTIF($D$4:$D$193,Q$197&amp;" ضد "&amp;$A212))</f>
        <v>1</v>
      </c>
      <c r="R212" s="4">
        <f>IF($A212=R$197,"",COUNTIF($D$4:$D$193,$A212&amp;" ضد "&amp;R$197)+COUNTIF($D$4:$D$193,R$197&amp;" ضد "&amp;$A212))</f>
        <v>1</v>
      </c>
      <c r="S212" s="4">
        <f>IF($A212=S$197,"",COUNTIF($D$4:$D$193,$A212&amp;" ضد "&amp;S$197)+COUNTIF($D$4:$D$193,S$197&amp;" ضد "&amp;$A212))</f>
        <v>1</v>
      </c>
      <c r="T212" s="4">
        <f>IF($A212=T$197,"",COUNTIF($D$4:$D$193,$A212&amp;" ضد "&amp;T$197)+COUNTIF($D$4:$D$193,T$197&amp;" ضد "&amp;$A212))</f>
        <v>1</v>
      </c>
      <c r="U212" s="4">
        <f>IF($A212=U$197,"",COUNTIF($D$4:$D$193,$A212&amp;" ضد "&amp;U$197)+COUNTIF($D$4:$D$193,U$197&amp;" ضد "&amp;$A212))</f>
        <v>1</v>
      </c>
    </row>
    <row r="213" spans="1:21" ht="14.5">
      <c r="A213" s="14">
        <v>16</v>
      </c>
      <c r="B213" s="4">
        <f>IF($A213=B$197,"",COUNTIF($D$4:$D$193,$A213&amp;" ضد "&amp;B$197)+COUNTIF($D$4:$D$193,B$197&amp;" ضد "&amp;$A213))</f>
        <v>1</v>
      </c>
      <c r="C213" s="4">
        <f>IF($A213=C$197,"",COUNTIF($D$4:$D$193,$A213&amp;" ضد "&amp;C$197)+COUNTIF($D$4:$D$193,C$197&amp;" ضد "&amp;$A213))</f>
        <v>1</v>
      </c>
      <c r="D213" s="4">
        <f>IF($A213=D$197,"",COUNTIF($D$4:$D$193,$A213&amp;" ضد "&amp;D$197)+COUNTIF($D$4:$D$193,D$197&amp;" ضد "&amp;$A213))</f>
        <v>1</v>
      </c>
      <c r="E213" s="4">
        <f>IF($A213=E$197,"",COUNTIF($D$4:$D$193,$A213&amp;" ضد "&amp;E$197)+COUNTIF($D$4:$D$193,E$197&amp;" ضد "&amp;$A213))</f>
        <v>1</v>
      </c>
      <c r="F213" s="4">
        <f>IF($A213=F$197,"",COUNTIF($D$4:$D$193,$A213&amp;" ضد "&amp;F$197)+COUNTIF($D$4:$D$193,F$197&amp;" ضد "&amp;$A213))</f>
        <v>1</v>
      </c>
      <c r="G213" s="4">
        <f>IF($A213=G$197,"",COUNTIF($D$4:$D$193,$A213&amp;" ضد "&amp;G$197)+COUNTIF($D$4:$D$193,G$197&amp;" ضد "&amp;$A213))</f>
        <v>1</v>
      </c>
      <c r="H213" s="4">
        <f>IF($A213=H$197,"",COUNTIF($D$4:$D$193,$A213&amp;" ضد "&amp;H$197)+COUNTIF($D$4:$D$193,H$197&amp;" ضد "&amp;$A213))</f>
        <v>1</v>
      </c>
      <c r="I213" s="4">
        <f>IF($A213=I$197,"",COUNTIF($D$4:$D$193,$A213&amp;" ضد "&amp;I$197)+COUNTIF($D$4:$D$193,I$197&amp;" ضد "&amp;$A213))</f>
        <v>1</v>
      </c>
      <c r="J213" s="4">
        <f>IF($A213=J$197,"",COUNTIF($D$4:$D$193,$A213&amp;" ضد "&amp;J$197)+COUNTIF($D$4:$D$193,J$197&amp;" ضد "&amp;$A213))</f>
        <v>1</v>
      </c>
      <c r="K213" s="4">
        <f>IF($A213=K$197,"",COUNTIF($D$4:$D$193,$A213&amp;" ضد "&amp;K$197)+COUNTIF($D$4:$D$193,K$197&amp;" ضد "&amp;$A213))</f>
        <v>1</v>
      </c>
      <c r="L213" s="4">
        <f>IF($A213=L$197,"",COUNTIF($D$4:$D$193,$A213&amp;" ضد "&amp;L$197)+COUNTIF($D$4:$D$193,L$197&amp;" ضد "&amp;$A213))</f>
        <v>1</v>
      </c>
      <c r="M213" s="4">
        <f>IF($A213=M$197,"",COUNTIF($D$4:$D$193,$A213&amp;" ضد "&amp;M$197)+COUNTIF($D$4:$D$193,M$197&amp;" ضد "&amp;$A213))</f>
        <v>1</v>
      </c>
      <c r="N213" s="4">
        <f>IF($A213=N$197,"",COUNTIF($D$4:$D$193,$A213&amp;" ضد "&amp;N$197)+COUNTIF($D$4:$D$193,N$197&amp;" ضد "&amp;$A213))</f>
        <v>1</v>
      </c>
      <c r="O213" s="4">
        <f>IF($A213=O$197,"",COUNTIF($D$4:$D$193,$A213&amp;" ضد "&amp;O$197)+COUNTIF($D$4:$D$193,O$197&amp;" ضد "&amp;$A213))</f>
        <v>1</v>
      </c>
      <c r="P213" s="4">
        <f>IF($A213=P$197,"",COUNTIF($D$4:$D$193,$A213&amp;" ضد "&amp;P$197)+COUNTIF($D$4:$D$193,P$197&amp;" ضد "&amp;$A213))</f>
        <v>1</v>
      </c>
      <c r="Q213" s="4" t="str">
        <f>IF($A213=Q$197,"",COUNTIF($D$4:$D$193,$A213&amp;" ضد "&amp;Q$197)+COUNTIF($D$4:$D$193,Q$197&amp;" ضد "&amp;$A213))</f>
        <v/>
      </c>
      <c r="R213" s="4">
        <f>IF($A213=R$197,"",COUNTIF($D$4:$D$193,$A213&amp;" ضد "&amp;R$197)+COUNTIF($D$4:$D$193,R$197&amp;" ضد "&amp;$A213))</f>
        <v>1</v>
      </c>
      <c r="S213" s="4">
        <f>IF($A213=S$197,"",COUNTIF($D$4:$D$193,$A213&amp;" ضد "&amp;S$197)+COUNTIF($D$4:$D$193,S$197&amp;" ضد "&amp;$A213))</f>
        <v>1</v>
      </c>
      <c r="T213" s="4">
        <f>IF($A213=T$197,"",COUNTIF($D$4:$D$193,$A213&amp;" ضد "&amp;T$197)+COUNTIF($D$4:$D$193,T$197&amp;" ضد "&amp;$A213))</f>
        <v>1</v>
      </c>
      <c r="U213" s="4">
        <f>IF($A213=U$197,"",COUNTIF($D$4:$D$193,$A213&amp;" ضد "&amp;U$197)+COUNTIF($D$4:$D$193,U$197&amp;" ضد "&amp;$A213))</f>
        <v>1</v>
      </c>
    </row>
    <row r="214" spans="1:21" ht="14.5">
      <c r="A214" s="14">
        <v>17</v>
      </c>
      <c r="B214" s="4">
        <f>IF($A214=B$197,"",COUNTIF($D$4:$D$193,$A214&amp;" ضد "&amp;B$197)+COUNTIF($D$4:$D$193,B$197&amp;" ضد "&amp;$A214))</f>
        <v>1</v>
      </c>
      <c r="C214" s="4">
        <f>IF($A214=C$197,"",COUNTIF($D$4:$D$193,$A214&amp;" ضد "&amp;C$197)+COUNTIF($D$4:$D$193,C$197&amp;" ضد "&amp;$A214))</f>
        <v>1</v>
      </c>
      <c r="D214" s="4">
        <f>IF($A214=D$197,"",COUNTIF($D$4:$D$193,$A214&amp;" ضد "&amp;D$197)+COUNTIF($D$4:$D$193,D$197&amp;" ضد "&amp;$A214))</f>
        <v>1</v>
      </c>
      <c r="E214" s="4">
        <f>IF($A214=E$197,"",COUNTIF($D$4:$D$193,$A214&amp;" ضد "&amp;E$197)+COUNTIF($D$4:$D$193,E$197&amp;" ضد "&amp;$A214))</f>
        <v>1</v>
      </c>
      <c r="F214" s="4">
        <f>IF($A214=F$197,"",COUNTIF($D$4:$D$193,$A214&amp;" ضد "&amp;F$197)+COUNTIF($D$4:$D$193,F$197&amp;" ضد "&amp;$A214))</f>
        <v>1</v>
      </c>
      <c r="G214" s="4">
        <f>IF($A214=G$197,"",COUNTIF($D$4:$D$193,$A214&amp;" ضد "&amp;G$197)+COUNTIF($D$4:$D$193,G$197&amp;" ضد "&amp;$A214))</f>
        <v>1</v>
      </c>
      <c r="H214" s="4">
        <f>IF($A214=H$197,"",COUNTIF($D$4:$D$193,$A214&amp;" ضد "&amp;H$197)+COUNTIF($D$4:$D$193,H$197&amp;" ضد "&amp;$A214))</f>
        <v>1</v>
      </c>
      <c r="I214" s="4">
        <f>IF($A214=I$197,"",COUNTIF($D$4:$D$193,$A214&amp;" ضد "&amp;I$197)+COUNTIF($D$4:$D$193,I$197&amp;" ضد "&amp;$A214))</f>
        <v>1</v>
      </c>
      <c r="J214" s="4">
        <f>IF($A214=J$197,"",COUNTIF($D$4:$D$193,$A214&amp;" ضد "&amp;J$197)+COUNTIF($D$4:$D$193,J$197&amp;" ضد "&amp;$A214))</f>
        <v>1</v>
      </c>
      <c r="K214" s="4">
        <f>IF($A214=K$197,"",COUNTIF($D$4:$D$193,$A214&amp;" ضد "&amp;K$197)+COUNTIF($D$4:$D$193,K$197&amp;" ضد "&amp;$A214))</f>
        <v>1</v>
      </c>
      <c r="L214" s="4">
        <f>IF($A214=L$197,"",COUNTIF($D$4:$D$193,$A214&amp;" ضد "&amp;L$197)+COUNTIF($D$4:$D$193,L$197&amp;" ضد "&amp;$A214))</f>
        <v>1</v>
      </c>
      <c r="M214" s="4">
        <f>IF($A214=M$197,"",COUNTIF($D$4:$D$193,$A214&amp;" ضد "&amp;M$197)+COUNTIF($D$4:$D$193,M$197&amp;" ضد "&amp;$A214))</f>
        <v>1</v>
      </c>
      <c r="N214" s="4">
        <f>IF($A214=N$197,"",COUNTIF($D$4:$D$193,$A214&amp;" ضد "&amp;N$197)+COUNTIF($D$4:$D$193,N$197&amp;" ضد "&amp;$A214))</f>
        <v>1</v>
      </c>
      <c r="O214" s="4">
        <f>IF($A214=O$197,"",COUNTIF($D$4:$D$193,$A214&amp;" ضد "&amp;O$197)+COUNTIF($D$4:$D$193,O$197&amp;" ضد "&amp;$A214))</f>
        <v>1</v>
      </c>
      <c r="P214" s="4">
        <f>IF($A214=P$197,"",COUNTIF($D$4:$D$193,$A214&amp;" ضد "&amp;P$197)+COUNTIF($D$4:$D$193,P$197&amp;" ضد "&amp;$A214))</f>
        <v>1</v>
      </c>
      <c r="Q214" s="4">
        <f>IF($A214=Q$197,"",COUNTIF($D$4:$D$193,$A214&amp;" ضد "&amp;Q$197)+COUNTIF($D$4:$D$193,Q$197&amp;" ضد "&amp;$A214))</f>
        <v>1</v>
      </c>
      <c r="R214" s="4" t="str">
        <f>IF($A214=R$197,"",COUNTIF($D$4:$D$193,$A214&amp;" ضد "&amp;R$197)+COUNTIF($D$4:$D$193,R$197&amp;" ضد "&amp;$A214))</f>
        <v/>
      </c>
      <c r="S214" s="4">
        <f>IF($A214=S$197,"",COUNTIF($D$4:$D$193,$A214&amp;" ضد "&amp;S$197)+COUNTIF($D$4:$D$193,S$197&amp;" ضد "&amp;$A214))</f>
        <v>1</v>
      </c>
      <c r="T214" s="4">
        <f>IF($A214=T$197,"",COUNTIF($D$4:$D$193,$A214&amp;" ضد "&amp;T$197)+COUNTIF($D$4:$D$193,T$197&amp;" ضد "&amp;$A214))</f>
        <v>1</v>
      </c>
      <c r="U214" s="4">
        <f>IF($A214=U$197,"",COUNTIF($D$4:$D$193,$A214&amp;" ضد "&amp;U$197)+COUNTIF($D$4:$D$193,U$197&amp;" ضد "&amp;$A214))</f>
        <v>1</v>
      </c>
    </row>
    <row r="215" spans="1:21" ht="14.5">
      <c r="A215" s="14">
        <v>18</v>
      </c>
      <c r="B215" s="4">
        <f>IF($A215=B$197,"",COUNTIF($D$4:$D$193,$A215&amp;" ضد "&amp;B$197)+COUNTIF($D$4:$D$193,B$197&amp;" ضد "&amp;$A215))</f>
        <v>1</v>
      </c>
      <c r="C215" s="4">
        <f>IF($A215=C$197,"",COUNTIF($D$4:$D$193,$A215&amp;" ضد "&amp;C$197)+COUNTIF($D$4:$D$193,C$197&amp;" ضد "&amp;$A215))</f>
        <v>1</v>
      </c>
      <c r="D215" s="4">
        <f>IF($A215=D$197,"",COUNTIF($D$4:$D$193,$A215&amp;" ضد "&amp;D$197)+COUNTIF($D$4:$D$193,D$197&amp;" ضد "&amp;$A215))</f>
        <v>1</v>
      </c>
      <c r="E215" s="4">
        <f>IF($A215=E$197,"",COUNTIF($D$4:$D$193,$A215&amp;" ضد "&amp;E$197)+COUNTIF($D$4:$D$193,E$197&amp;" ضد "&amp;$A215))</f>
        <v>1</v>
      </c>
      <c r="F215" s="4">
        <f>IF($A215=F$197,"",COUNTIF($D$4:$D$193,$A215&amp;" ضد "&amp;F$197)+COUNTIF($D$4:$D$193,F$197&amp;" ضد "&amp;$A215))</f>
        <v>1</v>
      </c>
      <c r="G215" s="4">
        <f>IF($A215=G$197,"",COUNTIF($D$4:$D$193,$A215&amp;" ضد "&amp;G$197)+COUNTIF($D$4:$D$193,G$197&amp;" ضد "&amp;$A215))</f>
        <v>1</v>
      </c>
      <c r="H215" s="4">
        <f>IF($A215=H$197,"",COUNTIF($D$4:$D$193,$A215&amp;" ضد "&amp;H$197)+COUNTIF($D$4:$D$193,H$197&amp;" ضد "&amp;$A215))</f>
        <v>1</v>
      </c>
      <c r="I215" s="4">
        <f>IF($A215=I$197,"",COUNTIF($D$4:$D$193,$A215&amp;" ضد "&amp;I$197)+COUNTIF($D$4:$D$193,I$197&amp;" ضد "&amp;$A215))</f>
        <v>1</v>
      </c>
      <c r="J215" s="4">
        <f>IF($A215=J$197,"",COUNTIF($D$4:$D$193,$A215&amp;" ضد "&amp;J$197)+COUNTIF($D$4:$D$193,J$197&amp;" ضد "&amp;$A215))</f>
        <v>1</v>
      </c>
      <c r="K215" s="4">
        <f>IF($A215=K$197,"",COUNTIF($D$4:$D$193,$A215&amp;" ضد "&amp;K$197)+COUNTIF($D$4:$D$193,K$197&amp;" ضد "&amp;$A215))</f>
        <v>1</v>
      </c>
      <c r="L215" s="4">
        <f>IF($A215=L$197,"",COUNTIF($D$4:$D$193,$A215&amp;" ضد "&amp;L$197)+COUNTIF($D$4:$D$193,L$197&amp;" ضد "&amp;$A215))</f>
        <v>1</v>
      </c>
      <c r="M215" s="4">
        <f>IF($A215=M$197,"",COUNTIF($D$4:$D$193,$A215&amp;" ضد "&amp;M$197)+COUNTIF($D$4:$D$193,M$197&amp;" ضد "&amp;$A215))</f>
        <v>1</v>
      </c>
      <c r="N215" s="4">
        <f>IF($A215=N$197,"",COUNTIF($D$4:$D$193,$A215&amp;" ضد "&amp;N$197)+COUNTIF($D$4:$D$193,N$197&amp;" ضد "&amp;$A215))</f>
        <v>1</v>
      </c>
      <c r="O215" s="4">
        <f>IF($A215=O$197,"",COUNTIF($D$4:$D$193,$A215&amp;" ضد "&amp;O$197)+COUNTIF($D$4:$D$193,O$197&amp;" ضد "&amp;$A215))</f>
        <v>1</v>
      </c>
      <c r="P215" s="4">
        <f>IF($A215=P$197,"",COUNTIF($D$4:$D$193,$A215&amp;" ضد "&amp;P$197)+COUNTIF($D$4:$D$193,P$197&amp;" ضد "&amp;$A215))</f>
        <v>1</v>
      </c>
      <c r="Q215" s="4">
        <f>IF($A215=Q$197,"",COUNTIF($D$4:$D$193,$A215&amp;" ضد "&amp;Q$197)+COUNTIF($D$4:$D$193,Q$197&amp;" ضد "&amp;$A215))</f>
        <v>1</v>
      </c>
      <c r="R215" s="4">
        <f>IF($A215=R$197,"",COUNTIF($D$4:$D$193,$A215&amp;" ضد "&amp;R$197)+COUNTIF($D$4:$D$193,R$197&amp;" ضد "&amp;$A215))</f>
        <v>1</v>
      </c>
      <c r="S215" s="4" t="str">
        <f>IF($A215=S$197,"",COUNTIF($D$4:$D$193,$A215&amp;" ضد "&amp;S$197)+COUNTIF($D$4:$D$193,S$197&amp;" ضد "&amp;$A215))</f>
        <v/>
      </c>
      <c r="T215" s="4">
        <f>IF($A215=T$197,"",COUNTIF($D$4:$D$193,$A215&amp;" ضد "&amp;T$197)+COUNTIF($D$4:$D$193,T$197&amp;" ضد "&amp;$A215))</f>
        <v>1</v>
      </c>
      <c r="U215" s="4">
        <f>IF($A215=U$197,"",COUNTIF($D$4:$D$193,$A215&amp;" ضد "&amp;U$197)+COUNTIF($D$4:$D$193,U$197&amp;" ضد "&amp;$A215))</f>
        <v>1</v>
      </c>
    </row>
    <row r="216" spans="1:21" ht="14.5">
      <c r="A216" s="14">
        <v>19</v>
      </c>
      <c r="B216" s="4">
        <f>IF($A216=B$197,"",COUNTIF($D$4:$D$193,$A216&amp;" ضد "&amp;B$197)+COUNTIF($D$4:$D$193,B$197&amp;" ضد "&amp;$A216))</f>
        <v>1</v>
      </c>
      <c r="C216" s="4">
        <f>IF($A216=C$197,"",COUNTIF($D$4:$D$193,$A216&amp;" ضد "&amp;C$197)+COUNTIF($D$4:$D$193,C$197&amp;" ضد "&amp;$A216))</f>
        <v>1</v>
      </c>
      <c r="D216" s="4">
        <f>IF($A216=D$197,"",COUNTIF($D$4:$D$193,$A216&amp;" ضد "&amp;D$197)+COUNTIF($D$4:$D$193,D$197&amp;" ضد "&amp;$A216))</f>
        <v>1</v>
      </c>
      <c r="E216" s="4">
        <f>IF($A216=E$197,"",COUNTIF($D$4:$D$193,$A216&amp;" ضد "&amp;E$197)+COUNTIF($D$4:$D$193,E$197&amp;" ضد "&amp;$A216))</f>
        <v>1</v>
      </c>
      <c r="F216" s="4">
        <f>IF($A216=F$197,"",COUNTIF($D$4:$D$193,$A216&amp;" ضد "&amp;F$197)+COUNTIF($D$4:$D$193,F$197&amp;" ضد "&amp;$A216))</f>
        <v>1</v>
      </c>
      <c r="G216" s="4">
        <f>IF($A216=G$197,"",COUNTIF($D$4:$D$193,$A216&amp;" ضد "&amp;G$197)+COUNTIF($D$4:$D$193,G$197&amp;" ضد "&amp;$A216))</f>
        <v>1</v>
      </c>
      <c r="H216" s="4">
        <f>IF($A216=H$197,"",COUNTIF($D$4:$D$193,$A216&amp;" ضد "&amp;H$197)+COUNTIF($D$4:$D$193,H$197&amp;" ضد "&amp;$A216))</f>
        <v>1</v>
      </c>
      <c r="I216" s="4">
        <f>IF($A216=I$197,"",COUNTIF($D$4:$D$193,$A216&amp;" ضد "&amp;I$197)+COUNTIF($D$4:$D$193,I$197&amp;" ضد "&amp;$A216))</f>
        <v>1</v>
      </c>
      <c r="J216" s="4">
        <f>IF($A216=J$197,"",COUNTIF($D$4:$D$193,$A216&amp;" ضد "&amp;J$197)+COUNTIF($D$4:$D$193,J$197&amp;" ضد "&amp;$A216))</f>
        <v>1</v>
      </c>
      <c r="K216" s="4">
        <f>IF($A216=K$197,"",COUNTIF($D$4:$D$193,$A216&amp;" ضد "&amp;K$197)+COUNTIF($D$4:$D$193,K$197&amp;" ضد "&amp;$A216))</f>
        <v>1</v>
      </c>
      <c r="L216" s="4">
        <f>IF($A216=L$197,"",COUNTIF($D$4:$D$193,$A216&amp;" ضد "&amp;L$197)+COUNTIF($D$4:$D$193,L$197&amp;" ضد "&amp;$A216))</f>
        <v>1</v>
      </c>
      <c r="M216" s="4">
        <f>IF($A216=M$197,"",COUNTIF($D$4:$D$193,$A216&amp;" ضد "&amp;M$197)+COUNTIF($D$4:$D$193,M$197&amp;" ضد "&amp;$A216))</f>
        <v>1</v>
      </c>
      <c r="N216" s="4">
        <f>IF($A216=N$197,"",COUNTIF($D$4:$D$193,$A216&amp;" ضد "&amp;N$197)+COUNTIF($D$4:$D$193,N$197&amp;" ضد "&amp;$A216))</f>
        <v>1</v>
      </c>
      <c r="O216" s="4">
        <f>IF($A216=O$197,"",COUNTIF($D$4:$D$193,$A216&amp;" ضد "&amp;O$197)+COUNTIF($D$4:$D$193,O$197&amp;" ضد "&amp;$A216))</f>
        <v>1</v>
      </c>
      <c r="P216" s="4">
        <f>IF($A216=P$197,"",COUNTIF($D$4:$D$193,$A216&amp;" ضد "&amp;P$197)+COUNTIF($D$4:$D$193,P$197&amp;" ضد "&amp;$A216))</f>
        <v>1</v>
      </c>
      <c r="Q216" s="4">
        <f>IF($A216=Q$197,"",COUNTIF($D$4:$D$193,$A216&amp;" ضد "&amp;Q$197)+COUNTIF($D$4:$D$193,Q$197&amp;" ضد "&amp;$A216))</f>
        <v>1</v>
      </c>
      <c r="R216" s="4">
        <f>IF($A216=R$197,"",COUNTIF($D$4:$D$193,$A216&amp;" ضد "&amp;R$197)+COUNTIF($D$4:$D$193,R$197&amp;" ضد "&amp;$A216))</f>
        <v>1</v>
      </c>
      <c r="S216" s="4">
        <f>IF($A216=S$197,"",COUNTIF($D$4:$D$193,$A216&amp;" ضد "&amp;S$197)+COUNTIF($D$4:$D$193,S$197&amp;" ضد "&amp;$A216))</f>
        <v>1</v>
      </c>
      <c r="T216" s="4" t="str">
        <f>IF($A216=T$197,"",COUNTIF($D$4:$D$193,$A216&amp;" ضد "&amp;T$197)+COUNTIF($D$4:$D$193,T$197&amp;" ضد "&amp;$A216))</f>
        <v/>
      </c>
      <c r="U216" s="4">
        <f>IF($A216=U$197,"",COUNTIF($D$4:$D$193,$A216&amp;" ضد "&amp;U$197)+COUNTIF($D$4:$D$193,U$197&amp;" ضد "&amp;$A216))</f>
        <v>1</v>
      </c>
    </row>
    <row r="217" spans="1:21" ht="14.5">
      <c r="A217" s="14">
        <v>20</v>
      </c>
      <c r="B217" s="4">
        <f>IF($A217=B$197,"",COUNTIF($D$4:$D$193,$A217&amp;" ضد "&amp;B$197)+COUNTIF($D$4:$D$193,B$197&amp;" ضد "&amp;$A217))</f>
        <v>1</v>
      </c>
      <c r="C217" s="4">
        <f>IF($A217=C$197,"",COUNTIF($D$4:$D$193,$A217&amp;" ضد "&amp;C$197)+COUNTIF($D$4:$D$193,C$197&amp;" ضد "&amp;$A217))</f>
        <v>1</v>
      </c>
      <c r="D217" s="4">
        <f>IF($A217=D$197,"",COUNTIF($D$4:$D$193,$A217&amp;" ضد "&amp;D$197)+COUNTIF($D$4:$D$193,D$197&amp;" ضد "&amp;$A217))</f>
        <v>1</v>
      </c>
      <c r="E217" s="4">
        <f>IF($A217=E$197,"",COUNTIF($D$4:$D$193,$A217&amp;" ضد "&amp;E$197)+COUNTIF($D$4:$D$193,E$197&amp;" ضد "&amp;$A217))</f>
        <v>1</v>
      </c>
      <c r="F217" s="4">
        <f>IF($A217=F$197,"",COUNTIF($D$4:$D$193,$A217&amp;" ضد "&amp;F$197)+COUNTIF($D$4:$D$193,F$197&amp;" ضد "&amp;$A217))</f>
        <v>1</v>
      </c>
      <c r="G217" s="4">
        <f>IF($A217=G$197,"",COUNTIF($D$4:$D$193,$A217&amp;" ضد "&amp;G$197)+COUNTIF($D$4:$D$193,G$197&amp;" ضد "&amp;$A217))</f>
        <v>1</v>
      </c>
      <c r="H217" s="4">
        <f>IF($A217=H$197,"",COUNTIF($D$4:$D$193,$A217&amp;" ضد "&amp;H$197)+COUNTIF($D$4:$D$193,H$197&amp;" ضد "&amp;$A217))</f>
        <v>1</v>
      </c>
      <c r="I217" s="4">
        <f>IF($A217=I$197,"",COUNTIF($D$4:$D$193,$A217&amp;" ضد "&amp;I$197)+COUNTIF($D$4:$D$193,I$197&amp;" ضد "&amp;$A217))</f>
        <v>1</v>
      </c>
      <c r="J217" s="4">
        <f>IF($A217=J$197,"",COUNTIF($D$4:$D$193,$A217&amp;" ضد "&amp;J$197)+COUNTIF($D$4:$D$193,J$197&amp;" ضد "&amp;$A217))</f>
        <v>1</v>
      </c>
      <c r="K217" s="4">
        <f>IF($A217=K$197,"",COUNTIF($D$4:$D$193,$A217&amp;" ضد "&amp;K$197)+COUNTIF($D$4:$D$193,K$197&amp;" ضد "&amp;$A217))</f>
        <v>1</v>
      </c>
      <c r="L217" s="4">
        <f>IF($A217=L$197,"",COUNTIF($D$4:$D$193,$A217&amp;" ضد "&amp;L$197)+COUNTIF($D$4:$D$193,L$197&amp;" ضد "&amp;$A217))</f>
        <v>1</v>
      </c>
      <c r="M217" s="4">
        <f>IF($A217=M$197,"",COUNTIF($D$4:$D$193,$A217&amp;" ضد "&amp;M$197)+COUNTIF($D$4:$D$193,M$197&amp;" ضد "&amp;$A217))</f>
        <v>1</v>
      </c>
      <c r="N217" s="4">
        <f>IF($A217=N$197,"",COUNTIF($D$4:$D$193,$A217&amp;" ضد "&amp;N$197)+COUNTIF($D$4:$D$193,N$197&amp;" ضد "&amp;$A217))</f>
        <v>1</v>
      </c>
      <c r="O217" s="4">
        <f>IF($A217=O$197,"",COUNTIF($D$4:$D$193,$A217&amp;" ضد "&amp;O$197)+COUNTIF($D$4:$D$193,O$197&amp;" ضد "&amp;$A217))</f>
        <v>1</v>
      </c>
      <c r="P217" s="4">
        <f>IF($A217=P$197,"",COUNTIF($D$4:$D$193,$A217&amp;" ضد "&amp;P$197)+COUNTIF($D$4:$D$193,P$197&amp;" ضد "&amp;$A217))</f>
        <v>1</v>
      </c>
      <c r="Q217" s="4">
        <f>IF($A217=Q$197,"",COUNTIF($D$4:$D$193,$A217&amp;" ضد "&amp;Q$197)+COUNTIF($D$4:$D$193,Q$197&amp;" ضد "&amp;$A217))</f>
        <v>1</v>
      </c>
      <c r="R217" s="4">
        <f>IF($A217=R$197,"",COUNTIF($D$4:$D$193,$A217&amp;" ضد "&amp;R$197)+COUNTIF($D$4:$D$193,R$197&amp;" ضد "&amp;$A217))</f>
        <v>1</v>
      </c>
      <c r="S217" s="4">
        <f>IF($A217=S$197,"",COUNTIF($D$4:$D$193,$A217&amp;" ضد "&amp;S$197)+COUNTIF($D$4:$D$193,S$197&amp;" ضد "&amp;$A217))</f>
        <v>1</v>
      </c>
      <c r="T217" s="4">
        <f>IF($A217=T$197,"",COUNTIF($D$4:$D$193,$A217&amp;" ضد "&amp;T$197)+COUNTIF($D$4:$D$193,T$197&amp;" ضد "&amp;$A217))</f>
        <v>1</v>
      </c>
      <c r="U217" s="4" t="str">
        <f>IF($A217=U$197,"",COUNTIF($D$4:$D$193,$A217&amp;" ضد "&amp;U$197)+COUNTIF($D$4:$D$193,U$197&amp;" ضد "&amp;$A217))</f>
        <v/>
      </c>
    </row>
    <row r="218" spans="1:21" ht="14.5">
      <c r="A218" s="14" t="s">
        <v>1033</v>
      </c>
      <c r="B218" s="4" cm="1">
        <f t="array" ref="B218">MIN(IF(B198:U217&gt;0,B198:U217))</f>
        <v>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4.5">
      <c r="A219" s="14" t="s">
        <v>830</v>
      </c>
      <c r="B219" s="4">
        <f>MAX(B198:U217)</f>
        <v>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</sheetData>
  <mergeCells count="2">
    <mergeCell ref="A1:D1"/>
    <mergeCell ref="A196:U19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3580-3781-499C-8115-7D2700426DDB}">
  <dimension ref="A1:V24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993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186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187</v>
      </c>
      <c r="E5" s="2"/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135</v>
      </c>
      <c r="E6" s="2"/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4</v>
      </c>
      <c r="D7" s="7" t="s">
        <v>94</v>
      </c>
      <c r="E7" s="2"/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1</v>
      </c>
      <c r="D8" s="7" t="s">
        <v>203</v>
      </c>
      <c r="E8" s="2"/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2</v>
      </c>
      <c r="D9" s="7" t="s">
        <v>202</v>
      </c>
      <c r="E9" s="2"/>
      <c r="F9" s="2"/>
    </row>
    <row r="10" spans="1:6" ht="14" customHeight="1">
      <c r="A10" s="8">
        <v>1</v>
      </c>
      <c r="B10" s="7" t="str">
        <f>المدخلات!$F$5</f>
        <v>5:20–6:30 م</v>
      </c>
      <c r="C10" s="7">
        <v>3</v>
      </c>
      <c r="D10" s="7" t="s">
        <v>93</v>
      </c>
      <c r="E10" s="2"/>
      <c r="F10" s="2"/>
    </row>
    <row r="11" spans="1:6" ht="14" customHeight="1">
      <c r="A11" s="8">
        <v>1</v>
      </c>
      <c r="B11" s="7" t="str">
        <f>المدخلات!$F$5</f>
        <v>5:20–6:30 م</v>
      </c>
      <c r="C11" s="7">
        <v>4</v>
      </c>
      <c r="D11" s="7" t="s">
        <v>72</v>
      </c>
      <c r="E11" s="2"/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1</v>
      </c>
      <c r="D12" s="7" t="s">
        <v>156</v>
      </c>
      <c r="E12" s="2"/>
      <c r="F12" s="2"/>
    </row>
    <row r="13" spans="1:6" ht="14" customHeight="1">
      <c r="A13" s="8">
        <v>1</v>
      </c>
      <c r="B13" s="7" t="str">
        <f>المدخلات!$F$6</f>
        <v>6:40–7:50 م</v>
      </c>
      <c r="C13" s="7">
        <v>2</v>
      </c>
      <c r="D13" s="7" t="s">
        <v>134</v>
      </c>
      <c r="E13" s="2"/>
      <c r="F13" s="2"/>
    </row>
    <row r="14" spans="1:6" ht="14" customHeight="1">
      <c r="A14" s="8">
        <v>2</v>
      </c>
      <c r="B14" s="7" t="str">
        <f>المدخلات!$F$4</f>
        <v>4:00–5:10 م</v>
      </c>
      <c r="C14" s="7">
        <v>1</v>
      </c>
      <c r="D14" s="7" t="s">
        <v>204</v>
      </c>
      <c r="E14" s="2"/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2</v>
      </c>
      <c r="D15" s="7" t="s">
        <v>1066</v>
      </c>
      <c r="E15" s="2"/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3</v>
      </c>
      <c r="D16" s="7" t="s">
        <v>1120</v>
      </c>
      <c r="E16" s="2"/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4</v>
      </c>
      <c r="D17" s="7" t="s">
        <v>1121</v>
      </c>
      <c r="E17" s="2"/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1</v>
      </c>
      <c r="D18" s="7" t="s">
        <v>1085</v>
      </c>
      <c r="E18" s="2"/>
      <c r="F18" s="2"/>
    </row>
    <row r="19" spans="1:6" ht="14" customHeight="1">
      <c r="A19" s="8">
        <v>2</v>
      </c>
      <c r="B19" s="7" t="str">
        <f>المدخلات!$F$5</f>
        <v>5:20–6:30 م</v>
      </c>
      <c r="C19" s="7">
        <v>2</v>
      </c>
      <c r="D19" s="7" t="s">
        <v>1086</v>
      </c>
      <c r="E19" s="2"/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3</v>
      </c>
      <c r="D20" s="7" t="s">
        <v>1087</v>
      </c>
      <c r="E20" s="2"/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4</v>
      </c>
      <c r="D21" s="7" t="s">
        <v>1122</v>
      </c>
      <c r="E21" s="2"/>
      <c r="F21" s="2"/>
    </row>
    <row r="22" spans="1:6" ht="14" customHeight="1">
      <c r="A22" s="8">
        <v>2</v>
      </c>
      <c r="B22" s="7" t="str">
        <f>المدخلات!$F$6</f>
        <v>6:40–7:50 م</v>
      </c>
      <c r="C22" s="7">
        <v>1</v>
      </c>
      <c r="D22" s="7" t="s">
        <v>1068</v>
      </c>
      <c r="E22" s="2"/>
      <c r="F22" s="2"/>
    </row>
    <row r="23" spans="1:6" ht="14" customHeight="1">
      <c r="A23" s="8">
        <v>2</v>
      </c>
      <c r="B23" s="7" t="str">
        <f>المدخلات!$F$6</f>
        <v>6:40–7:50 م</v>
      </c>
      <c r="C23" s="7">
        <v>2</v>
      </c>
      <c r="D23" s="7" t="s">
        <v>56</v>
      </c>
      <c r="E23" s="2"/>
      <c r="F23" s="2"/>
    </row>
    <row r="24" spans="1:6" ht="14" customHeight="1">
      <c r="A24" s="8">
        <v>3</v>
      </c>
      <c r="B24" s="7" t="str">
        <f>المدخلات!$F$4</f>
        <v>4:00–5:10 م</v>
      </c>
      <c r="C24" s="7">
        <v>1</v>
      </c>
      <c r="D24" s="7" t="s">
        <v>63</v>
      </c>
      <c r="E24" s="2"/>
      <c r="F24" s="2"/>
    </row>
    <row r="25" spans="1:6" ht="14" customHeight="1">
      <c r="A25" s="8">
        <v>3</v>
      </c>
      <c r="B25" s="7" t="str">
        <f>المدخلات!$F$4</f>
        <v>4:00–5:10 م</v>
      </c>
      <c r="C25" s="7">
        <v>2</v>
      </c>
      <c r="D25" s="7" t="s">
        <v>143</v>
      </c>
      <c r="E25" s="2"/>
      <c r="F25" s="2"/>
    </row>
    <row r="26" spans="1:6" ht="14" customHeight="1">
      <c r="A26" s="8">
        <v>3</v>
      </c>
      <c r="B26" s="7" t="str">
        <f>المدخلات!$F$4</f>
        <v>4:00–5:10 م</v>
      </c>
      <c r="C26" s="7">
        <v>3</v>
      </c>
      <c r="D26" s="7" t="s">
        <v>139</v>
      </c>
      <c r="E26" s="2"/>
      <c r="F26" s="2"/>
    </row>
    <row r="27" spans="1:6" ht="14" customHeight="1">
      <c r="A27" s="8">
        <v>3</v>
      </c>
      <c r="B27" s="7" t="str">
        <f>المدخلات!$F$4</f>
        <v>4:00–5:10 م</v>
      </c>
      <c r="C27" s="7">
        <v>4</v>
      </c>
      <c r="D27" s="7" t="s">
        <v>142</v>
      </c>
      <c r="E27" s="2"/>
      <c r="F27" s="2"/>
    </row>
    <row r="28" spans="1:6" ht="14" customHeight="1">
      <c r="A28" s="8">
        <v>3</v>
      </c>
      <c r="B28" s="7" t="str">
        <f>المدخلات!$F$5</f>
        <v>5:20–6:30 م</v>
      </c>
      <c r="C28" s="7">
        <v>1</v>
      </c>
      <c r="D28" s="7" t="s">
        <v>53</v>
      </c>
      <c r="E28" s="2"/>
      <c r="F28" s="2"/>
    </row>
    <row r="29" spans="1:6" ht="14" customHeight="1">
      <c r="A29" s="8">
        <v>3</v>
      </c>
      <c r="B29" s="7" t="str">
        <f>المدخلات!$F$5</f>
        <v>5:20–6:30 م</v>
      </c>
      <c r="C29" s="7">
        <v>2</v>
      </c>
      <c r="D29" s="7" t="s">
        <v>46</v>
      </c>
      <c r="E29" s="2"/>
      <c r="F29" s="2"/>
    </row>
    <row r="30" spans="1:6" ht="14" customHeight="1">
      <c r="A30" s="8">
        <v>3</v>
      </c>
      <c r="B30" s="7" t="str">
        <f>المدخلات!$F$5</f>
        <v>5:20–6:30 م</v>
      </c>
      <c r="C30" s="7">
        <v>3</v>
      </c>
      <c r="D30" s="7" t="s">
        <v>637</v>
      </c>
      <c r="E30" s="2"/>
      <c r="F30" s="2"/>
    </row>
    <row r="31" spans="1:6" ht="14" customHeight="1">
      <c r="A31" s="8">
        <v>3</v>
      </c>
      <c r="B31" s="7" t="str">
        <f>المدخلات!$F$5</f>
        <v>5:20–6:30 م</v>
      </c>
      <c r="C31" s="7">
        <v>4</v>
      </c>
      <c r="D31" s="7" t="s">
        <v>1123</v>
      </c>
      <c r="E31" s="2"/>
      <c r="F31" s="2"/>
    </row>
    <row r="32" spans="1:6" ht="14" customHeight="1">
      <c r="A32" s="8">
        <v>3</v>
      </c>
      <c r="B32" s="7" t="str">
        <f>المدخلات!$F$6</f>
        <v>6:40–7:50 م</v>
      </c>
      <c r="C32" s="7">
        <v>1</v>
      </c>
      <c r="D32" s="7" t="s">
        <v>141</v>
      </c>
      <c r="E32" s="2"/>
      <c r="F32" s="2"/>
    </row>
    <row r="33" spans="1:6" ht="14" customHeight="1">
      <c r="A33" s="8">
        <v>3</v>
      </c>
      <c r="B33" s="7" t="str">
        <f>المدخلات!$F$6</f>
        <v>6:40–7:50 م</v>
      </c>
      <c r="C33" s="7">
        <v>2</v>
      </c>
      <c r="D33" s="7" t="s">
        <v>140</v>
      </c>
      <c r="E33" s="2"/>
      <c r="F33" s="2"/>
    </row>
    <row r="34" spans="1:6" ht="14" customHeight="1">
      <c r="A34" s="8">
        <v>4</v>
      </c>
      <c r="B34" s="7" t="str">
        <f>المدخلات!$F$4</f>
        <v>4:00–5:10 م</v>
      </c>
      <c r="C34" s="7">
        <v>1</v>
      </c>
      <c r="D34" s="7" t="s">
        <v>1055</v>
      </c>
      <c r="E34" s="2"/>
      <c r="F34" s="2"/>
    </row>
    <row r="35" spans="1:6" ht="14" customHeight="1">
      <c r="A35" s="8">
        <v>4</v>
      </c>
      <c r="B35" s="7" t="str">
        <f>المدخلات!$F$4</f>
        <v>4:00–5:10 م</v>
      </c>
      <c r="C35" s="7">
        <v>2</v>
      </c>
      <c r="D35" s="7" t="s">
        <v>49</v>
      </c>
      <c r="E35" s="2"/>
      <c r="F35" s="2"/>
    </row>
    <row r="36" spans="1:6" ht="14" customHeight="1">
      <c r="A36" s="8">
        <v>4</v>
      </c>
      <c r="B36" s="7" t="str">
        <f>المدخلات!$F$4</f>
        <v>4:00–5:10 م</v>
      </c>
      <c r="C36" s="7">
        <v>3</v>
      </c>
      <c r="D36" s="7" t="s">
        <v>206</v>
      </c>
      <c r="E36" s="2"/>
      <c r="F36" s="2"/>
    </row>
    <row r="37" spans="1:6" ht="14" customHeight="1">
      <c r="A37" s="8">
        <v>4</v>
      </c>
      <c r="B37" s="7" t="str">
        <f>المدخلات!$F$4</f>
        <v>4:00–5:10 م</v>
      </c>
      <c r="C37" s="7">
        <v>4</v>
      </c>
      <c r="D37" s="7" t="s">
        <v>887</v>
      </c>
      <c r="E37" s="2"/>
      <c r="F37" s="2"/>
    </row>
    <row r="38" spans="1:6" ht="14" customHeight="1">
      <c r="A38" s="8">
        <v>4</v>
      </c>
      <c r="B38" s="7" t="str">
        <f>المدخلات!$F$5</f>
        <v>5:20–6:30 م</v>
      </c>
      <c r="C38" s="7">
        <v>1</v>
      </c>
      <c r="D38" s="7" t="s">
        <v>1081</v>
      </c>
      <c r="E38" s="2"/>
      <c r="F38" s="2"/>
    </row>
    <row r="39" spans="1:6" ht="14" customHeight="1">
      <c r="A39" s="8">
        <v>4</v>
      </c>
      <c r="B39" s="7" t="str">
        <f>المدخلات!$F$5</f>
        <v>5:20–6:30 م</v>
      </c>
      <c r="C39" s="7">
        <v>2</v>
      </c>
      <c r="D39" s="7" t="s">
        <v>41</v>
      </c>
      <c r="E39" s="2"/>
      <c r="F39" s="2"/>
    </row>
    <row r="40" spans="1:6" ht="14" customHeight="1">
      <c r="A40" s="8">
        <v>4</v>
      </c>
      <c r="B40" s="7" t="str">
        <f>المدخلات!$F$5</f>
        <v>5:20–6:30 م</v>
      </c>
      <c r="C40" s="7">
        <v>3</v>
      </c>
      <c r="D40" s="7" t="s">
        <v>1062</v>
      </c>
      <c r="E40" s="2"/>
      <c r="F40" s="2"/>
    </row>
    <row r="41" spans="1:6" ht="14" customHeight="1">
      <c r="A41" s="8">
        <v>4</v>
      </c>
      <c r="B41" s="7" t="str">
        <f>المدخلات!$F$5</f>
        <v>5:20–6:30 م</v>
      </c>
      <c r="C41" s="7">
        <v>4</v>
      </c>
      <c r="D41" s="7" t="s">
        <v>1079</v>
      </c>
      <c r="E41" s="2"/>
      <c r="F41" s="2"/>
    </row>
    <row r="42" spans="1:6" ht="14" customHeight="1">
      <c r="A42" s="8">
        <v>4</v>
      </c>
      <c r="B42" s="7" t="str">
        <f>المدخلات!$F$6</f>
        <v>6:40–7:50 م</v>
      </c>
      <c r="C42" s="7">
        <v>1</v>
      </c>
      <c r="D42" s="7" t="s">
        <v>165</v>
      </c>
      <c r="E42" s="2"/>
      <c r="F42" s="2"/>
    </row>
    <row r="43" spans="1:6" ht="14" customHeight="1">
      <c r="A43" s="8">
        <v>4</v>
      </c>
      <c r="B43" s="7" t="str">
        <f>المدخلات!$F$6</f>
        <v>6:40–7:50 م</v>
      </c>
      <c r="C43" s="7">
        <v>2</v>
      </c>
      <c r="D43" s="7" t="s">
        <v>189</v>
      </c>
      <c r="E43" s="2"/>
      <c r="F43" s="2"/>
    </row>
    <row r="44" spans="1:6" ht="14" customHeight="1">
      <c r="A44" s="8">
        <v>5</v>
      </c>
      <c r="B44" s="7" t="str">
        <f>المدخلات!$F$4</f>
        <v>4:00–5:10 م</v>
      </c>
      <c r="C44" s="7">
        <v>1</v>
      </c>
      <c r="D44" s="7" t="s">
        <v>190</v>
      </c>
      <c r="E44" s="2"/>
      <c r="F44" s="2"/>
    </row>
    <row r="45" spans="1:6" ht="14" customHeight="1">
      <c r="A45" s="8">
        <v>5</v>
      </c>
      <c r="B45" s="7" t="str">
        <f>المدخلات!$F$4</f>
        <v>4:00–5:10 م</v>
      </c>
      <c r="C45" s="7">
        <v>2</v>
      </c>
      <c r="D45" s="7" t="s">
        <v>47</v>
      </c>
      <c r="E45" s="2"/>
      <c r="F45" s="2"/>
    </row>
    <row r="46" spans="1:6" ht="14" customHeight="1">
      <c r="A46" s="8">
        <v>5</v>
      </c>
      <c r="B46" s="7" t="str">
        <f>المدخلات!$F$4</f>
        <v>4:00–5:10 م</v>
      </c>
      <c r="C46" s="7">
        <v>3</v>
      </c>
      <c r="D46" s="7" t="s">
        <v>58</v>
      </c>
      <c r="E46" s="2"/>
      <c r="F46" s="2"/>
    </row>
    <row r="47" spans="1:6" ht="14" customHeight="1">
      <c r="A47" s="8">
        <v>5</v>
      </c>
      <c r="B47" s="7" t="str">
        <f>المدخلات!$F$4</f>
        <v>4:00–5:10 م</v>
      </c>
      <c r="C47" s="7">
        <v>4</v>
      </c>
      <c r="D47" s="7" t="s">
        <v>65</v>
      </c>
      <c r="E47" s="2"/>
      <c r="F47" s="2"/>
    </row>
    <row r="48" spans="1:6" ht="14" customHeight="1">
      <c r="A48" s="8">
        <v>5</v>
      </c>
      <c r="B48" s="7" t="str">
        <f>المدخلات!$F$5</f>
        <v>5:20–6:30 م</v>
      </c>
      <c r="C48" s="7">
        <v>1</v>
      </c>
      <c r="D48" s="7" t="s">
        <v>166</v>
      </c>
      <c r="E48" s="2"/>
      <c r="F48" s="2"/>
    </row>
    <row r="49" spans="1:6" ht="14" customHeight="1">
      <c r="A49" s="8">
        <v>5</v>
      </c>
      <c r="B49" s="7" t="str">
        <f>المدخلات!$F$5</f>
        <v>5:20–6:30 م</v>
      </c>
      <c r="C49" s="7">
        <v>2</v>
      </c>
      <c r="D49" s="7" t="s">
        <v>840</v>
      </c>
      <c r="E49" s="2"/>
      <c r="F49" s="2"/>
    </row>
    <row r="50" spans="1:6" ht="14" customHeight="1">
      <c r="A50" s="8">
        <v>5</v>
      </c>
      <c r="B50" s="7" t="str">
        <f>المدخلات!$F$5</f>
        <v>5:20–6:30 م</v>
      </c>
      <c r="C50" s="7">
        <v>3</v>
      </c>
      <c r="D50" s="7" t="s">
        <v>30</v>
      </c>
      <c r="E50" s="2"/>
      <c r="F50" s="2"/>
    </row>
    <row r="51" spans="1:6" ht="14" customHeight="1">
      <c r="A51" s="8">
        <v>5</v>
      </c>
      <c r="B51" s="7" t="str">
        <f>المدخلات!$F$5</f>
        <v>5:20–6:30 م</v>
      </c>
      <c r="C51" s="7">
        <v>4</v>
      </c>
      <c r="D51" s="7" t="s">
        <v>37</v>
      </c>
      <c r="E51" s="2"/>
      <c r="F51" s="2"/>
    </row>
    <row r="52" spans="1:6" ht="14" customHeight="1">
      <c r="A52" s="8">
        <v>5</v>
      </c>
      <c r="B52" s="7" t="str">
        <f>المدخلات!$F$6</f>
        <v>6:40–7:50 م</v>
      </c>
      <c r="C52" s="7">
        <v>1</v>
      </c>
      <c r="D52" s="7" t="s">
        <v>110</v>
      </c>
      <c r="E52" s="2"/>
      <c r="F52" s="2"/>
    </row>
    <row r="53" spans="1:6" ht="14" customHeight="1">
      <c r="A53" s="8">
        <v>5</v>
      </c>
      <c r="B53" s="7" t="str">
        <f>المدخلات!$F$6</f>
        <v>6:40–7:50 م</v>
      </c>
      <c r="C53" s="7">
        <v>2</v>
      </c>
      <c r="D53" s="7" t="s">
        <v>842</v>
      </c>
      <c r="E53" s="2"/>
      <c r="F53" s="2"/>
    </row>
    <row r="54" spans="1:6" ht="14" customHeight="1">
      <c r="A54" s="8">
        <v>6</v>
      </c>
      <c r="B54" s="7" t="str">
        <f>المدخلات!$F$4</f>
        <v>4:00–5:10 م</v>
      </c>
      <c r="C54" s="7">
        <v>1</v>
      </c>
      <c r="D54" s="7" t="s">
        <v>846</v>
      </c>
      <c r="E54" s="2"/>
      <c r="F54" s="2"/>
    </row>
    <row r="55" spans="1:6" ht="14" customHeight="1">
      <c r="A55" s="8">
        <v>6</v>
      </c>
      <c r="B55" s="7" t="str">
        <f>المدخلات!$F$4</f>
        <v>4:00–5:10 م</v>
      </c>
      <c r="C55" s="7">
        <v>2</v>
      </c>
      <c r="D55" s="7" t="s">
        <v>1059</v>
      </c>
      <c r="E55" s="2"/>
      <c r="F55" s="2"/>
    </row>
    <row r="56" spans="1:6" ht="14" customHeight="1">
      <c r="A56" s="8">
        <v>6</v>
      </c>
      <c r="B56" s="7" t="str">
        <f>المدخلات!$F$4</f>
        <v>4:00–5:10 م</v>
      </c>
      <c r="C56" s="7">
        <v>3</v>
      </c>
      <c r="D56" s="7" t="s">
        <v>833</v>
      </c>
      <c r="E56" s="2"/>
      <c r="F56" s="2"/>
    </row>
    <row r="57" spans="1:6" ht="14" customHeight="1">
      <c r="A57" s="8">
        <v>6</v>
      </c>
      <c r="B57" s="7" t="str">
        <f>المدخلات!$F$4</f>
        <v>4:00–5:10 م</v>
      </c>
      <c r="C57" s="7">
        <v>4</v>
      </c>
      <c r="D57" s="7" t="s">
        <v>208</v>
      </c>
      <c r="E57" s="2"/>
      <c r="F57" s="2"/>
    </row>
    <row r="58" spans="1:6" ht="14" customHeight="1">
      <c r="A58" s="8">
        <v>6</v>
      </c>
      <c r="B58" s="7" t="str">
        <f>المدخلات!$F$5</f>
        <v>5:20–6:30 م</v>
      </c>
      <c r="C58" s="7">
        <v>1</v>
      </c>
      <c r="D58" s="7" t="s">
        <v>159</v>
      </c>
      <c r="E58" s="2"/>
      <c r="F58" s="2"/>
    </row>
    <row r="59" spans="1:6" ht="14" customHeight="1">
      <c r="A59" s="8">
        <v>6</v>
      </c>
      <c r="B59" s="7" t="str">
        <f>المدخلات!$F$5</f>
        <v>5:20–6:30 م</v>
      </c>
      <c r="C59" s="7">
        <v>2</v>
      </c>
      <c r="D59" s="7" t="s">
        <v>168</v>
      </c>
      <c r="E59" s="2"/>
      <c r="F59" s="2"/>
    </row>
    <row r="60" spans="1:6" ht="14" customHeight="1">
      <c r="A60" s="8">
        <v>6</v>
      </c>
      <c r="B60" s="7" t="str">
        <f>المدخلات!$F$5</f>
        <v>5:20–6:30 م</v>
      </c>
      <c r="C60" s="7">
        <v>3</v>
      </c>
      <c r="D60" s="7" t="s">
        <v>1060</v>
      </c>
      <c r="E60" s="2"/>
      <c r="F60" s="2"/>
    </row>
    <row r="61" spans="1:6" ht="14" customHeight="1">
      <c r="A61" s="8">
        <v>6</v>
      </c>
      <c r="B61" s="7" t="str">
        <f>المدخلات!$F$5</f>
        <v>5:20–6:30 م</v>
      </c>
      <c r="C61" s="7">
        <v>4</v>
      </c>
      <c r="D61" s="7" t="s">
        <v>23</v>
      </c>
      <c r="E61" s="2"/>
      <c r="F61" s="2"/>
    </row>
    <row r="62" spans="1:6" ht="14" customHeight="1">
      <c r="A62" s="8">
        <v>6</v>
      </c>
      <c r="B62" s="7" t="str">
        <f>المدخلات!$F$6</f>
        <v>6:40–7:50 م</v>
      </c>
      <c r="C62" s="7">
        <v>1</v>
      </c>
      <c r="D62" s="7" t="s">
        <v>1064</v>
      </c>
      <c r="E62" s="2"/>
      <c r="F62" s="2"/>
    </row>
    <row r="63" spans="1:6" ht="14" customHeight="1">
      <c r="A63" s="8">
        <v>6</v>
      </c>
      <c r="B63" s="7" t="str">
        <f>المدخلات!$F$6</f>
        <v>6:40–7:50 م</v>
      </c>
      <c r="C63" s="7">
        <v>2</v>
      </c>
      <c r="D63" s="7" t="s">
        <v>34</v>
      </c>
      <c r="E63" s="2"/>
      <c r="F63" s="2"/>
    </row>
    <row r="64" spans="1:6" ht="14" customHeight="1">
      <c r="A64" s="8">
        <v>7</v>
      </c>
      <c r="B64" s="7" t="str">
        <f>المدخلات!$F$4</f>
        <v>4:00–5:10 م</v>
      </c>
      <c r="C64" s="7">
        <v>1</v>
      </c>
      <c r="D64" s="7" t="s">
        <v>16</v>
      </c>
      <c r="E64" s="2"/>
      <c r="F64" s="2"/>
    </row>
    <row r="65" spans="1:6" ht="14" customHeight="1">
      <c r="A65" s="8">
        <v>7</v>
      </c>
      <c r="B65" s="7" t="str">
        <f>المدخلات!$F$4</f>
        <v>4:00–5:10 م</v>
      </c>
      <c r="C65" s="7">
        <v>2</v>
      </c>
      <c r="D65" s="7" t="s">
        <v>26</v>
      </c>
      <c r="E65" s="2"/>
      <c r="F65" s="2"/>
    </row>
    <row r="66" spans="1:6" ht="14" customHeight="1">
      <c r="A66" s="8">
        <v>7</v>
      </c>
      <c r="B66" s="7" t="str">
        <f>المدخلات!$F$4</f>
        <v>4:00–5:10 م</v>
      </c>
      <c r="C66" s="7">
        <v>3</v>
      </c>
      <c r="D66" s="7" t="s">
        <v>892</v>
      </c>
      <c r="E66" s="2"/>
      <c r="F66" s="2"/>
    </row>
    <row r="67" spans="1:6" ht="14" customHeight="1">
      <c r="A67" s="8">
        <v>7</v>
      </c>
      <c r="B67" s="7" t="str">
        <f>المدخلات!$F$4</f>
        <v>4:00–5:10 م</v>
      </c>
      <c r="C67" s="7">
        <v>4</v>
      </c>
      <c r="D67" s="7" t="s">
        <v>40</v>
      </c>
      <c r="E67" s="2"/>
      <c r="F67" s="2"/>
    </row>
    <row r="68" spans="1:6" ht="14" customHeight="1">
      <c r="A68" s="8">
        <v>7</v>
      </c>
      <c r="B68" s="7" t="str">
        <f>المدخلات!$F$5</f>
        <v>5:20–6:30 م</v>
      </c>
      <c r="C68" s="7">
        <v>1</v>
      </c>
      <c r="D68" s="7" t="s">
        <v>104</v>
      </c>
      <c r="E68" s="2"/>
      <c r="F68" s="2"/>
    </row>
    <row r="69" spans="1:6" ht="14" customHeight="1">
      <c r="A69" s="8">
        <v>7</v>
      </c>
      <c r="B69" s="7" t="str">
        <f>المدخلات!$F$5</f>
        <v>5:20–6:30 م</v>
      </c>
      <c r="C69" s="7">
        <v>2</v>
      </c>
      <c r="D69" s="7" t="s">
        <v>145</v>
      </c>
      <c r="E69" s="2"/>
      <c r="F69" s="2"/>
    </row>
    <row r="70" spans="1:6" ht="14" customHeight="1">
      <c r="A70" s="8">
        <v>7</v>
      </c>
      <c r="B70" s="7" t="str">
        <f>المدخلات!$F$5</f>
        <v>5:20–6:30 م</v>
      </c>
      <c r="C70" s="7">
        <v>3</v>
      </c>
      <c r="D70" s="7" t="s">
        <v>192</v>
      </c>
      <c r="E70" s="2"/>
      <c r="F70" s="2"/>
    </row>
    <row r="71" spans="1:6" ht="14" customHeight="1">
      <c r="A71" s="8">
        <v>7</v>
      </c>
      <c r="B71" s="7" t="str">
        <f>المدخلات!$F$5</f>
        <v>5:20–6:30 م</v>
      </c>
      <c r="C71" s="7">
        <v>4</v>
      </c>
      <c r="D71" s="7" t="s">
        <v>33</v>
      </c>
      <c r="E71" s="2"/>
      <c r="F71" s="2"/>
    </row>
    <row r="72" spans="1:6" ht="14" customHeight="1">
      <c r="A72" s="8">
        <v>7</v>
      </c>
      <c r="B72" s="7" t="str">
        <f>المدخلات!$F$6</f>
        <v>6:40–7:50 م</v>
      </c>
      <c r="C72" s="7">
        <v>1</v>
      </c>
      <c r="D72" s="7" t="s">
        <v>160</v>
      </c>
      <c r="E72" s="2"/>
      <c r="F72" s="2"/>
    </row>
    <row r="73" spans="1:6" ht="14" customHeight="1">
      <c r="A73" s="8">
        <v>7</v>
      </c>
      <c r="B73" s="7" t="str">
        <f>المدخلات!$F$6</f>
        <v>6:40–7:50 م</v>
      </c>
      <c r="C73" s="7">
        <v>2</v>
      </c>
      <c r="D73" s="7" t="s">
        <v>1124</v>
      </c>
      <c r="E73" s="2"/>
      <c r="F73" s="2"/>
    </row>
    <row r="74" spans="1:6" ht="14" customHeight="1">
      <c r="A74" s="8">
        <v>8</v>
      </c>
      <c r="B74" s="7" t="str">
        <f>المدخلات!$F$4</f>
        <v>4:00–5:10 م</v>
      </c>
      <c r="C74" s="7">
        <v>1</v>
      </c>
      <c r="D74" s="7" t="s">
        <v>108</v>
      </c>
      <c r="E74" s="2"/>
      <c r="F74" s="2"/>
    </row>
    <row r="75" spans="1:6" ht="14" customHeight="1">
      <c r="A75" s="8">
        <v>8</v>
      </c>
      <c r="B75" s="7" t="str">
        <f>المدخلات!$F$4</f>
        <v>4:00–5:10 م</v>
      </c>
      <c r="C75" s="7">
        <v>2</v>
      </c>
      <c r="D75" s="7" t="s">
        <v>896</v>
      </c>
      <c r="E75" s="2"/>
      <c r="F75" s="2"/>
    </row>
    <row r="76" spans="1:6" ht="14" customHeight="1">
      <c r="A76" s="8">
        <v>8</v>
      </c>
      <c r="B76" s="7" t="str">
        <f>المدخلات!$F$4</f>
        <v>4:00–5:10 م</v>
      </c>
      <c r="C76" s="7">
        <v>3</v>
      </c>
      <c r="D76" s="7" t="s">
        <v>171</v>
      </c>
      <c r="E76" s="2"/>
      <c r="F76" s="2"/>
    </row>
    <row r="77" spans="1:6" ht="14" customHeight="1">
      <c r="A77" s="8">
        <v>8</v>
      </c>
      <c r="B77" s="7" t="str">
        <f>المدخلات!$F$4</f>
        <v>4:00–5:10 م</v>
      </c>
      <c r="C77" s="7">
        <v>4</v>
      </c>
      <c r="D77" s="7" t="s">
        <v>12</v>
      </c>
      <c r="E77" s="2"/>
      <c r="F77" s="2"/>
    </row>
    <row r="78" spans="1:6" ht="14" customHeight="1">
      <c r="A78" s="8">
        <v>8</v>
      </c>
      <c r="B78" s="7" t="str">
        <f>المدخلات!$F$5</f>
        <v>5:20–6:30 م</v>
      </c>
      <c r="C78" s="7">
        <v>1</v>
      </c>
      <c r="D78" s="7" t="s">
        <v>10</v>
      </c>
      <c r="E78" s="2"/>
      <c r="F78" s="2"/>
    </row>
    <row r="79" spans="1:6" ht="14" customHeight="1">
      <c r="A79" s="8">
        <v>8</v>
      </c>
      <c r="B79" s="7" t="str">
        <f>المدخلات!$F$5</f>
        <v>5:20–6:30 م</v>
      </c>
      <c r="C79" s="7">
        <v>2</v>
      </c>
      <c r="D79" s="7" t="s">
        <v>1125</v>
      </c>
      <c r="E79" s="2"/>
      <c r="F79" s="2"/>
    </row>
    <row r="80" spans="1:6" ht="14" customHeight="1">
      <c r="A80" s="8">
        <v>8</v>
      </c>
      <c r="B80" s="7" t="str">
        <f>المدخلات!$F$5</f>
        <v>5:20–6:30 م</v>
      </c>
      <c r="C80" s="7">
        <v>3</v>
      </c>
      <c r="D80" s="7" t="s">
        <v>109</v>
      </c>
      <c r="E80" s="2"/>
      <c r="F80" s="2"/>
    </row>
    <row r="81" spans="1:6" ht="14" customHeight="1">
      <c r="A81" s="8">
        <v>8</v>
      </c>
      <c r="B81" s="7" t="str">
        <f>المدخلات!$F$5</f>
        <v>5:20–6:30 م</v>
      </c>
      <c r="C81" s="7">
        <v>4</v>
      </c>
      <c r="D81" s="7" t="s">
        <v>209</v>
      </c>
      <c r="E81" s="2"/>
      <c r="F81" s="2"/>
    </row>
    <row r="82" spans="1:6" ht="14" customHeight="1">
      <c r="A82" s="8">
        <v>8</v>
      </c>
      <c r="B82" s="7" t="str">
        <f>المدخلات!$F$6</f>
        <v>6:40–7:50 م</v>
      </c>
      <c r="C82" s="7">
        <v>1</v>
      </c>
      <c r="D82" s="7" t="s">
        <v>146</v>
      </c>
      <c r="E82" s="2"/>
      <c r="F82" s="2"/>
    </row>
    <row r="83" spans="1:6" ht="14" customHeight="1">
      <c r="A83" s="8">
        <v>8</v>
      </c>
      <c r="B83" s="7" t="str">
        <f>المدخلات!$F$6</f>
        <v>6:40–7:50 م</v>
      </c>
      <c r="C83" s="7">
        <v>2</v>
      </c>
      <c r="D83" s="7" t="s">
        <v>22</v>
      </c>
      <c r="E83" s="2"/>
      <c r="F83" s="2"/>
    </row>
    <row r="84" spans="1:6" ht="14" customHeight="1">
      <c r="A84" s="8">
        <v>9</v>
      </c>
      <c r="B84" s="7" t="str">
        <f>المدخلات!$F$4</f>
        <v>4:00–5:10 م</v>
      </c>
      <c r="C84" s="7">
        <v>1</v>
      </c>
      <c r="D84" s="7" t="s">
        <v>194</v>
      </c>
      <c r="E84" s="2"/>
      <c r="F84" s="2"/>
    </row>
    <row r="85" spans="1:6" ht="14" customHeight="1">
      <c r="A85" s="8">
        <v>9</v>
      </c>
      <c r="B85" s="7" t="str">
        <f>المدخلات!$F$4</f>
        <v>4:00–5:10 م</v>
      </c>
      <c r="C85" s="7">
        <v>2</v>
      </c>
      <c r="D85" s="7" t="s">
        <v>681</v>
      </c>
      <c r="E85" s="2"/>
      <c r="F85" s="2"/>
    </row>
    <row r="86" spans="1:6" ht="14" customHeight="1">
      <c r="A86" s="8">
        <v>9</v>
      </c>
      <c r="B86" s="7" t="str">
        <f>المدخلات!$F$4</f>
        <v>4:00–5:10 م</v>
      </c>
      <c r="C86" s="7">
        <v>3</v>
      </c>
      <c r="D86" s="7" t="s">
        <v>1126</v>
      </c>
      <c r="E86" s="2"/>
      <c r="F86" s="2"/>
    </row>
    <row r="87" spans="1:6" ht="14" customHeight="1">
      <c r="A87" s="8">
        <v>9</v>
      </c>
      <c r="B87" s="7" t="str">
        <f>المدخلات!$F$4</f>
        <v>4:00–5:10 م</v>
      </c>
      <c r="C87" s="7">
        <v>4</v>
      </c>
      <c r="D87" s="7" t="s">
        <v>901</v>
      </c>
      <c r="E87" s="2"/>
      <c r="F87" s="2"/>
    </row>
    <row r="88" spans="1:6" ht="14" customHeight="1">
      <c r="A88" s="8">
        <v>9</v>
      </c>
      <c r="B88" s="7" t="str">
        <f>المدخلات!$F$5</f>
        <v>5:20–6:30 م</v>
      </c>
      <c r="C88" s="7">
        <v>1</v>
      </c>
      <c r="D88" s="7" t="s">
        <v>172</v>
      </c>
      <c r="E88" s="2"/>
      <c r="F88" s="2"/>
    </row>
    <row r="89" spans="1:6" ht="14" customHeight="1">
      <c r="A89" s="8">
        <v>9</v>
      </c>
      <c r="B89" s="7" t="str">
        <f>المدخلات!$F$5</f>
        <v>5:20–6:30 م</v>
      </c>
      <c r="C89" s="7">
        <v>2</v>
      </c>
      <c r="D89" s="7" t="s">
        <v>7</v>
      </c>
      <c r="E89" s="2"/>
      <c r="F89" s="2"/>
    </row>
    <row r="90" spans="1:6" ht="14" customHeight="1">
      <c r="A90" s="8">
        <v>9</v>
      </c>
      <c r="B90" s="7" t="str">
        <f>المدخلات!$F$5</f>
        <v>5:20–6:30 م</v>
      </c>
      <c r="C90" s="7">
        <v>3</v>
      </c>
      <c r="D90" s="7" t="s">
        <v>102</v>
      </c>
      <c r="E90" s="2"/>
      <c r="F90" s="2"/>
    </row>
    <row r="91" spans="1:6" ht="14" customHeight="1">
      <c r="A91" s="8">
        <v>9</v>
      </c>
      <c r="B91" s="7" t="str">
        <f>المدخلات!$F$5</f>
        <v>5:20–6:30 م</v>
      </c>
      <c r="C91" s="7">
        <v>4</v>
      </c>
      <c r="D91" s="7" t="s">
        <v>886</v>
      </c>
      <c r="E91" s="2"/>
      <c r="F91" s="2"/>
    </row>
    <row r="92" spans="1:6" ht="14" customHeight="1">
      <c r="A92" s="8">
        <v>9</v>
      </c>
      <c r="B92" s="7" t="str">
        <f>المدخلات!$F$6</f>
        <v>6:40–7:50 م</v>
      </c>
      <c r="C92" s="7">
        <v>1</v>
      </c>
      <c r="D92" s="7" t="s">
        <v>112</v>
      </c>
      <c r="E92" s="2"/>
      <c r="F92" s="2"/>
    </row>
    <row r="93" spans="1:6" ht="14" customHeight="1">
      <c r="A93" s="8">
        <v>9</v>
      </c>
      <c r="B93" s="7" t="str">
        <f>المدخلات!$F$6</f>
        <v>6:40–7:50 م</v>
      </c>
      <c r="C93" s="7">
        <v>2</v>
      </c>
      <c r="D93" s="7" t="s">
        <v>19</v>
      </c>
      <c r="E93" s="2"/>
      <c r="F93" s="2"/>
    </row>
    <row r="94" spans="1:6" ht="14" customHeight="1">
      <c r="A94" s="8">
        <v>10</v>
      </c>
      <c r="B94" s="7" t="str">
        <f>المدخلات!$F$4</f>
        <v>4:00–5:10 م</v>
      </c>
      <c r="C94" s="7">
        <v>1</v>
      </c>
      <c r="D94" s="7" t="s">
        <v>626</v>
      </c>
      <c r="E94" s="2"/>
      <c r="F94" s="2"/>
    </row>
    <row r="95" spans="1:6" ht="14" customHeight="1">
      <c r="A95" s="8">
        <v>10</v>
      </c>
      <c r="B95" s="7" t="str">
        <f>المدخلات!$F$4</f>
        <v>4:00–5:10 م</v>
      </c>
      <c r="C95" s="7">
        <v>2</v>
      </c>
      <c r="D95" s="7" t="s">
        <v>96</v>
      </c>
      <c r="E95" s="2"/>
      <c r="F95" s="2"/>
    </row>
    <row r="96" spans="1:6" ht="14" customHeight="1">
      <c r="A96" s="8">
        <v>10</v>
      </c>
      <c r="B96" s="7" t="str">
        <f>المدخلات!$F$4</f>
        <v>4:00–5:10 م</v>
      </c>
      <c r="C96" s="7">
        <v>3</v>
      </c>
      <c r="D96" s="7" t="s">
        <v>113</v>
      </c>
      <c r="E96" s="2"/>
      <c r="F96" s="2"/>
    </row>
    <row r="97" spans="1:6" ht="14" customHeight="1">
      <c r="A97" s="8">
        <v>10</v>
      </c>
      <c r="B97" s="7" t="str">
        <f>المدخلات!$F$4</f>
        <v>4:00–5:10 م</v>
      </c>
      <c r="C97" s="7">
        <v>4</v>
      </c>
      <c r="D97" s="7" t="s">
        <v>147</v>
      </c>
      <c r="E97" s="2"/>
      <c r="F97" s="2"/>
    </row>
    <row r="98" spans="1:6" ht="14" customHeight="1">
      <c r="A98" s="8">
        <v>10</v>
      </c>
      <c r="B98" s="7" t="str">
        <f>المدخلات!$F$5</f>
        <v>5:20–6:30 م</v>
      </c>
      <c r="C98" s="7">
        <v>1</v>
      </c>
      <c r="D98" s="7" t="s">
        <v>17</v>
      </c>
      <c r="E98" s="2"/>
      <c r="F98" s="2"/>
    </row>
    <row r="99" spans="1:6" ht="14" customHeight="1">
      <c r="A99" s="8">
        <v>10</v>
      </c>
      <c r="B99" s="7" t="str">
        <f>المدخلات!$F$5</f>
        <v>5:20–6:30 م</v>
      </c>
      <c r="C99" s="7">
        <v>2</v>
      </c>
      <c r="D99" s="7" t="s">
        <v>101</v>
      </c>
      <c r="E99" s="2"/>
      <c r="F99" s="2"/>
    </row>
    <row r="100" spans="1:6" ht="14" customHeight="1">
      <c r="A100" s="8">
        <v>10</v>
      </c>
      <c r="B100" s="7" t="str">
        <f>المدخلات!$F$5</f>
        <v>5:20–6:30 م</v>
      </c>
      <c r="C100" s="7">
        <v>3</v>
      </c>
      <c r="D100" s="7" t="s">
        <v>1127</v>
      </c>
      <c r="E100" s="2"/>
      <c r="F100" s="2"/>
    </row>
    <row r="101" spans="1:6" ht="14" customHeight="1">
      <c r="A101" s="8">
        <v>10</v>
      </c>
      <c r="B101" s="7" t="str">
        <f>المدخلات!$F$5</f>
        <v>5:20–6:30 م</v>
      </c>
      <c r="C101" s="7">
        <v>4</v>
      </c>
      <c r="D101" s="7" t="s">
        <v>905</v>
      </c>
      <c r="E101" s="2"/>
      <c r="F101" s="2"/>
    </row>
    <row r="102" spans="1:6" ht="14" customHeight="1">
      <c r="A102" s="8">
        <v>10</v>
      </c>
      <c r="B102" s="7" t="str">
        <f>المدخلات!$F$6</f>
        <v>6:40–7:50 م</v>
      </c>
      <c r="C102" s="7">
        <v>1</v>
      </c>
      <c r="D102" s="7" t="s">
        <v>1111</v>
      </c>
      <c r="E102" s="2"/>
      <c r="F102" s="2"/>
    </row>
    <row r="103" spans="1:6" ht="14" customHeight="1">
      <c r="A103" s="8">
        <v>10</v>
      </c>
      <c r="B103" s="7" t="str">
        <f>المدخلات!$F$6</f>
        <v>6:40–7:50 م</v>
      </c>
      <c r="C103" s="7">
        <v>2</v>
      </c>
      <c r="D103" s="7" t="s">
        <v>174</v>
      </c>
      <c r="E103" s="2"/>
      <c r="F103" s="2"/>
    </row>
    <row r="104" spans="1:6" ht="14" customHeight="1">
      <c r="A104" s="8">
        <v>11</v>
      </c>
      <c r="B104" s="7" t="str">
        <f>المدخلات!$F$4</f>
        <v>4:00–5:10 م</v>
      </c>
      <c r="C104" s="7">
        <v>1</v>
      </c>
      <c r="D104" s="7" t="s">
        <v>97</v>
      </c>
      <c r="E104" s="2"/>
      <c r="F104" s="2"/>
    </row>
    <row r="105" spans="1:6" ht="14" customHeight="1">
      <c r="A105" s="8">
        <v>11</v>
      </c>
      <c r="B105" s="7" t="str">
        <f>المدخلات!$F$4</f>
        <v>4:00–5:10 م</v>
      </c>
      <c r="C105" s="7">
        <v>2</v>
      </c>
      <c r="D105" s="7" t="s">
        <v>116</v>
      </c>
      <c r="E105" s="2"/>
      <c r="F105" s="2"/>
    </row>
    <row r="106" spans="1:6" ht="14" customHeight="1">
      <c r="A106" s="8">
        <v>11</v>
      </c>
      <c r="B106" s="7" t="str">
        <f>المدخلات!$F$4</f>
        <v>4:00–5:10 م</v>
      </c>
      <c r="C106" s="7">
        <v>3</v>
      </c>
      <c r="D106" s="7" t="s">
        <v>1128</v>
      </c>
      <c r="E106" s="2"/>
      <c r="F106" s="2"/>
    </row>
    <row r="107" spans="1:6" ht="14" customHeight="1">
      <c r="A107" s="8">
        <v>11</v>
      </c>
      <c r="B107" s="7" t="str">
        <f>المدخلات!$F$4</f>
        <v>4:00–5:10 م</v>
      </c>
      <c r="C107" s="7">
        <v>4</v>
      </c>
      <c r="D107" s="7" t="s">
        <v>910</v>
      </c>
      <c r="E107" s="2"/>
      <c r="F107" s="2"/>
    </row>
    <row r="108" spans="1:6" ht="14" customHeight="1">
      <c r="A108" s="8">
        <v>11</v>
      </c>
      <c r="B108" s="7" t="str">
        <f>المدخلات!$F$5</f>
        <v>5:20–6:30 م</v>
      </c>
      <c r="C108" s="7">
        <v>1</v>
      </c>
      <c r="D108" s="7" t="s">
        <v>698</v>
      </c>
      <c r="E108" s="2"/>
      <c r="F108" s="2"/>
    </row>
    <row r="109" spans="1:6" ht="14" customHeight="1">
      <c r="A109" s="8">
        <v>11</v>
      </c>
      <c r="B109" s="7" t="str">
        <f>المدخلات!$F$5</f>
        <v>5:20–6:30 م</v>
      </c>
      <c r="C109" s="7">
        <v>2</v>
      </c>
      <c r="D109" s="7" t="s">
        <v>175</v>
      </c>
      <c r="E109" s="2"/>
      <c r="F109" s="2"/>
    </row>
    <row r="110" spans="1:6" ht="14" customHeight="1">
      <c r="A110" s="8">
        <v>11</v>
      </c>
      <c r="B110" s="7" t="str">
        <f>المدخلات!$F$5</f>
        <v>5:20–6:30 م</v>
      </c>
      <c r="C110" s="7">
        <v>3</v>
      </c>
      <c r="D110" s="7" t="s">
        <v>90</v>
      </c>
      <c r="E110" s="2"/>
      <c r="F110" s="2"/>
    </row>
    <row r="111" spans="1:6" ht="14" customHeight="1">
      <c r="A111" s="8">
        <v>11</v>
      </c>
      <c r="B111" s="7" t="str">
        <f>المدخلات!$F$5</f>
        <v>5:20–6:30 م</v>
      </c>
      <c r="C111" s="7">
        <v>4</v>
      </c>
      <c r="D111" s="7" t="s">
        <v>1112</v>
      </c>
      <c r="E111" s="2"/>
      <c r="F111" s="2"/>
    </row>
    <row r="112" spans="1:6" ht="14" customHeight="1">
      <c r="A112" s="8">
        <v>11</v>
      </c>
      <c r="B112" s="7" t="str">
        <f>المدخلات!$F$6</f>
        <v>6:40–7:50 م</v>
      </c>
      <c r="C112" s="7">
        <v>1</v>
      </c>
      <c r="D112" s="7" t="s">
        <v>696</v>
      </c>
      <c r="E112" s="2"/>
      <c r="F112" s="2"/>
    </row>
    <row r="113" spans="1:6" ht="14" customHeight="1">
      <c r="A113" s="8">
        <v>11</v>
      </c>
      <c r="B113" s="7" t="str">
        <f>المدخلات!$F$6</f>
        <v>6:40–7:50 م</v>
      </c>
      <c r="C113" s="7">
        <v>2</v>
      </c>
      <c r="D113" s="7" t="s">
        <v>865</v>
      </c>
      <c r="E113" s="2"/>
      <c r="F113" s="2"/>
    </row>
    <row r="114" spans="1:6" ht="14" customHeight="1">
      <c r="A114" s="8">
        <v>12</v>
      </c>
      <c r="B114" s="7" t="str">
        <f>المدخلات!$F$4</f>
        <v>4:00–5:10 م</v>
      </c>
      <c r="C114" s="7">
        <v>1</v>
      </c>
      <c r="D114" s="7" t="s">
        <v>117</v>
      </c>
      <c r="E114" s="2"/>
      <c r="F114" s="2"/>
    </row>
    <row r="115" spans="1:6" ht="14" customHeight="1">
      <c r="A115" s="8">
        <v>12</v>
      </c>
      <c r="B115" s="7" t="str">
        <f>المدخلات!$F$4</f>
        <v>4:00–5:10 م</v>
      </c>
      <c r="C115" s="7">
        <v>2</v>
      </c>
      <c r="D115" s="7" t="s">
        <v>914</v>
      </c>
      <c r="E115" s="2"/>
      <c r="F115" s="2"/>
    </row>
    <row r="116" spans="1:6" ht="14" customHeight="1">
      <c r="A116" s="8">
        <v>12</v>
      </c>
      <c r="B116" s="7" t="str">
        <f>المدخلات!$F$4</f>
        <v>4:00–5:10 م</v>
      </c>
      <c r="C116" s="7">
        <v>3</v>
      </c>
      <c r="D116" s="7" t="s">
        <v>54</v>
      </c>
      <c r="E116" s="2"/>
      <c r="F116" s="2"/>
    </row>
    <row r="117" spans="1:6" ht="14" customHeight="1">
      <c r="A117" s="8">
        <v>12</v>
      </c>
      <c r="B117" s="7" t="str">
        <f>المدخلات!$F$4</f>
        <v>4:00–5:10 م</v>
      </c>
      <c r="C117" s="7">
        <v>4</v>
      </c>
      <c r="D117" s="7" t="s">
        <v>149</v>
      </c>
      <c r="E117" s="2"/>
      <c r="F117" s="2"/>
    </row>
    <row r="118" spans="1:6" ht="14" customHeight="1">
      <c r="A118" s="8">
        <v>12</v>
      </c>
      <c r="B118" s="7" t="str">
        <f>المدخلات!$F$5</f>
        <v>5:20–6:30 م</v>
      </c>
      <c r="C118" s="7">
        <v>1</v>
      </c>
      <c r="D118" s="7" t="s">
        <v>64</v>
      </c>
      <c r="E118" s="2"/>
      <c r="F118" s="2"/>
    </row>
    <row r="119" spans="1:6" ht="14" customHeight="1">
      <c r="A119" s="8">
        <v>12</v>
      </c>
      <c r="B119" s="7" t="str">
        <f>المدخلات!$F$5</f>
        <v>5:20–6:30 م</v>
      </c>
      <c r="C119" s="7">
        <v>2</v>
      </c>
      <c r="D119" s="7" t="s">
        <v>915</v>
      </c>
      <c r="E119" s="2"/>
      <c r="F119" s="2"/>
    </row>
    <row r="120" spans="1:6" ht="14" customHeight="1">
      <c r="A120" s="8">
        <v>12</v>
      </c>
      <c r="B120" s="7" t="str">
        <f>المدخلات!$F$5</f>
        <v>5:20–6:30 م</v>
      </c>
      <c r="C120" s="7">
        <v>3</v>
      </c>
      <c r="D120" s="7" t="s">
        <v>91</v>
      </c>
      <c r="E120" s="2"/>
      <c r="F120" s="2"/>
    </row>
    <row r="121" spans="1:6" ht="14" customHeight="1">
      <c r="A121" s="8">
        <v>12</v>
      </c>
      <c r="B121" s="7" t="str">
        <f>المدخلات!$F$5</f>
        <v>5:20–6:30 م</v>
      </c>
      <c r="C121" s="7">
        <v>4</v>
      </c>
      <c r="D121" s="7" t="s">
        <v>708</v>
      </c>
      <c r="E121" s="2"/>
      <c r="F121" s="2"/>
    </row>
    <row r="122" spans="1:6" ht="14" customHeight="1">
      <c r="A122" s="8">
        <v>12</v>
      </c>
      <c r="B122" s="7" t="str">
        <f>المدخلات!$F$6</f>
        <v>6:40–7:50 م</v>
      </c>
      <c r="C122" s="7">
        <v>1</v>
      </c>
      <c r="D122" s="7" t="s">
        <v>95</v>
      </c>
      <c r="E122" s="2"/>
      <c r="F122" s="2"/>
    </row>
    <row r="123" spans="1:6" ht="14" customHeight="1">
      <c r="A123" s="8">
        <v>12</v>
      </c>
      <c r="B123" s="7" t="str">
        <f>المدخلات!$F$6</f>
        <v>6:40–7:50 م</v>
      </c>
      <c r="C123" s="7">
        <v>2</v>
      </c>
      <c r="D123" s="7" t="s">
        <v>1113</v>
      </c>
      <c r="E123" s="2"/>
      <c r="F123" s="2"/>
    </row>
    <row r="124" spans="1:6" ht="14" customHeight="1">
      <c r="A124" s="8">
        <v>13</v>
      </c>
      <c r="B124" s="7" t="str">
        <f>المدخلات!$F$4</f>
        <v>4:00–5:10 م</v>
      </c>
      <c r="C124" s="7">
        <v>1</v>
      </c>
      <c r="D124" s="7" t="s">
        <v>68</v>
      </c>
      <c r="E124" s="2"/>
      <c r="F124" s="2"/>
    </row>
    <row r="125" spans="1:6" ht="14" customHeight="1">
      <c r="A125" s="8">
        <v>13</v>
      </c>
      <c r="B125" s="7" t="str">
        <f>المدخلات!$F$4</f>
        <v>4:00–5:10 م</v>
      </c>
      <c r="C125" s="7">
        <v>2</v>
      </c>
      <c r="D125" s="7" t="s">
        <v>917</v>
      </c>
      <c r="E125" s="2"/>
      <c r="F125" s="2"/>
    </row>
    <row r="126" spans="1:6" ht="14" customHeight="1">
      <c r="A126" s="8">
        <v>13</v>
      </c>
      <c r="B126" s="7" t="str">
        <f>المدخلات!$F$4</f>
        <v>4:00–5:10 م</v>
      </c>
      <c r="C126" s="7">
        <v>3</v>
      </c>
      <c r="D126" s="7" t="s">
        <v>725</v>
      </c>
      <c r="E126" s="2"/>
      <c r="F126" s="2"/>
    </row>
    <row r="127" spans="1:6" ht="14" customHeight="1">
      <c r="A127" s="8">
        <v>13</v>
      </c>
      <c r="B127" s="7" t="str">
        <f>المدخلات!$F$4</f>
        <v>4:00–5:10 م</v>
      </c>
      <c r="C127" s="7">
        <v>4</v>
      </c>
      <c r="D127" s="7" t="s">
        <v>727</v>
      </c>
      <c r="E127" s="2"/>
      <c r="F127" s="2"/>
    </row>
    <row r="128" spans="1:6" ht="14" customHeight="1">
      <c r="A128" s="8">
        <v>13</v>
      </c>
      <c r="B128" s="7" t="str">
        <f>المدخلات!$F$5</f>
        <v>5:20–6:30 م</v>
      </c>
      <c r="C128" s="7">
        <v>1</v>
      </c>
      <c r="D128" s="7" t="s">
        <v>723</v>
      </c>
      <c r="E128" s="2"/>
      <c r="F128" s="2"/>
    </row>
    <row r="129" spans="1:6" ht="14" customHeight="1">
      <c r="A129" s="8">
        <v>13</v>
      </c>
      <c r="B129" s="7" t="str">
        <f>المدخلات!$F$5</f>
        <v>5:20–6:30 م</v>
      </c>
      <c r="C129" s="7">
        <v>2</v>
      </c>
      <c r="D129" s="7" t="s">
        <v>120</v>
      </c>
      <c r="E129" s="2"/>
      <c r="F129" s="2"/>
    </row>
    <row r="130" spans="1:6" ht="14" customHeight="1">
      <c r="A130" s="8">
        <v>13</v>
      </c>
      <c r="B130" s="7" t="str">
        <f>المدخلات!$F$5</f>
        <v>5:20–6:30 م</v>
      </c>
      <c r="C130" s="7">
        <v>3</v>
      </c>
      <c r="D130" s="7" t="s">
        <v>122</v>
      </c>
      <c r="E130" s="2"/>
      <c r="F130" s="2"/>
    </row>
    <row r="131" spans="1:6" ht="14" customHeight="1">
      <c r="A131" s="8">
        <v>13</v>
      </c>
      <c r="B131" s="7" t="str">
        <f>المدخلات!$F$5</f>
        <v>5:20–6:30 م</v>
      </c>
      <c r="C131" s="7">
        <v>4</v>
      </c>
      <c r="D131" s="7" t="s">
        <v>210</v>
      </c>
      <c r="E131" s="2"/>
      <c r="F131" s="2"/>
    </row>
    <row r="132" spans="1:6" ht="14" customHeight="1">
      <c r="A132" s="8">
        <v>13</v>
      </c>
      <c r="B132" s="7" t="str">
        <f>المدخلات!$F$6</f>
        <v>6:40–7:50 م</v>
      </c>
      <c r="C132" s="7">
        <v>1</v>
      </c>
      <c r="D132" s="7" t="s">
        <v>1054</v>
      </c>
      <c r="E132" s="2"/>
      <c r="F132" s="2"/>
    </row>
    <row r="133" spans="1:6" ht="14" customHeight="1">
      <c r="A133" s="8">
        <v>13</v>
      </c>
      <c r="B133" s="7" t="str">
        <f>المدخلات!$F$6</f>
        <v>6:40–7:50 م</v>
      </c>
      <c r="C133" s="7">
        <v>2</v>
      </c>
      <c r="D133" s="7" t="s">
        <v>52</v>
      </c>
      <c r="E133" s="2"/>
      <c r="F133" s="2"/>
    </row>
    <row r="134" spans="1:6" ht="14" customHeight="1">
      <c r="A134" s="8">
        <v>14</v>
      </c>
      <c r="B134" s="7" t="str">
        <f>المدخلات!$F$4</f>
        <v>4:00–5:10 م</v>
      </c>
      <c r="C134" s="7">
        <v>1</v>
      </c>
      <c r="D134" s="7" t="s">
        <v>746</v>
      </c>
      <c r="E134" s="2"/>
      <c r="F134" s="2"/>
    </row>
    <row r="135" spans="1:6" ht="14" customHeight="1">
      <c r="A135" s="8">
        <v>14</v>
      </c>
      <c r="B135" s="7" t="str">
        <f>المدخلات!$F$4</f>
        <v>4:00–5:10 م</v>
      </c>
      <c r="C135" s="7">
        <v>2</v>
      </c>
      <c r="D135" s="7" t="s">
        <v>45</v>
      </c>
      <c r="E135" s="2"/>
      <c r="F135" s="2"/>
    </row>
    <row r="136" spans="1:6" ht="14" customHeight="1">
      <c r="A136" s="8">
        <v>14</v>
      </c>
      <c r="B136" s="7" t="str">
        <f>المدخلات!$F$4</f>
        <v>4:00–5:10 م</v>
      </c>
      <c r="C136" s="7">
        <v>3</v>
      </c>
      <c r="D136" s="7" t="s">
        <v>60</v>
      </c>
      <c r="E136" s="2"/>
      <c r="F136" s="2"/>
    </row>
    <row r="137" spans="1:6" ht="14" customHeight="1">
      <c r="A137" s="8">
        <v>14</v>
      </c>
      <c r="B137" s="7" t="str">
        <f>المدخلات!$F$4</f>
        <v>4:00–5:10 م</v>
      </c>
      <c r="C137" s="7">
        <v>4</v>
      </c>
      <c r="D137" s="7" t="s">
        <v>125</v>
      </c>
      <c r="E137" s="2"/>
      <c r="F137" s="2"/>
    </row>
    <row r="138" spans="1:6" ht="14" customHeight="1">
      <c r="A138" s="8">
        <v>14</v>
      </c>
      <c r="B138" s="7" t="str">
        <f>المدخلات!$F$5</f>
        <v>5:20–6:30 م</v>
      </c>
      <c r="C138" s="7">
        <v>1</v>
      </c>
      <c r="D138" s="7" t="s">
        <v>36</v>
      </c>
      <c r="E138" s="2"/>
      <c r="F138" s="2"/>
    </row>
    <row r="139" spans="1:6" ht="14" customHeight="1">
      <c r="A139" s="8">
        <v>14</v>
      </c>
      <c r="B139" s="7" t="str">
        <f>المدخلات!$F$5</f>
        <v>5:20–6:30 م</v>
      </c>
      <c r="C139" s="7">
        <v>2</v>
      </c>
      <c r="D139" s="7" t="s">
        <v>196</v>
      </c>
      <c r="E139" s="2"/>
      <c r="F139" s="2"/>
    </row>
    <row r="140" spans="1:6" ht="14" customHeight="1">
      <c r="A140" s="8">
        <v>14</v>
      </c>
      <c r="B140" s="7" t="str">
        <f>المدخلات!$F$5</f>
        <v>5:20–6:30 م</v>
      </c>
      <c r="C140" s="7">
        <v>3</v>
      </c>
      <c r="D140" s="7" t="s">
        <v>744</v>
      </c>
      <c r="E140" s="2"/>
      <c r="F140" s="2"/>
    </row>
    <row r="141" spans="1:6" ht="14" customHeight="1">
      <c r="A141" s="8">
        <v>14</v>
      </c>
      <c r="B141" s="7" t="str">
        <f>المدخلات!$F$5</f>
        <v>5:20–6:30 م</v>
      </c>
      <c r="C141" s="7">
        <v>4</v>
      </c>
      <c r="D141" s="7" t="s">
        <v>69</v>
      </c>
      <c r="E141" s="2"/>
      <c r="F141" s="2"/>
    </row>
    <row r="142" spans="1:6" ht="14" customHeight="1">
      <c r="A142" s="8">
        <v>14</v>
      </c>
      <c r="B142" s="7" t="str">
        <f>المدخلات!$F$6</f>
        <v>6:40–7:50 م</v>
      </c>
      <c r="C142" s="7">
        <v>1</v>
      </c>
      <c r="D142" s="7" t="s">
        <v>123</v>
      </c>
      <c r="E142" s="2"/>
      <c r="F142" s="2"/>
    </row>
    <row r="143" spans="1:6" ht="14" customHeight="1">
      <c r="A143" s="8">
        <v>14</v>
      </c>
      <c r="B143" s="7" t="str">
        <f>المدخلات!$F$6</f>
        <v>6:40–7:50 م</v>
      </c>
      <c r="C143" s="7">
        <v>2</v>
      </c>
      <c r="D143" s="7" t="s">
        <v>211</v>
      </c>
      <c r="E143" s="2"/>
      <c r="F143" s="2"/>
    </row>
    <row r="144" spans="1:6" ht="14" customHeight="1">
      <c r="A144" s="8">
        <v>15</v>
      </c>
      <c r="B144" s="7" t="str">
        <f>المدخلات!$F$4</f>
        <v>4:00–5:10 م</v>
      </c>
      <c r="C144" s="7">
        <v>1</v>
      </c>
      <c r="D144" s="7" t="s">
        <v>197</v>
      </c>
      <c r="E144" s="2"/>
      <c r="F144" s="2"/>
    </row>
    <row r="145" spans="1:6" ht="14" customHeight="1">
      <c r="A145" s="8">
        <v>15</v>
      </c>
      <c r="B145" s="7" t="str">
        <f>المدخلات!$F$4</f>
        <v>4:00–5:10 م</v>
      </c>
      <c r="C145" s="7">
        <v>2</v>
      </c>
      <c r="D145" s="7" t="s">
        <v>71</v>
      </c>
      <c r="E145" s="2"/>
      <c r="F145" s="2"/>
    </row>
    <row r="146" spans="1:6" ht="14" customHeight="1">
      <c r="A146" s="8">
        <v>15</v>
      </c>
      <c r="B146" s="7" t="str">
        <f>المدخلات!$F$4</f>
        <v>4:00–5:10 م</v>
      </c>
      <c r="C146" s="7">
        <v>3</v>
      </c>
      <c r="D146" s="7" t="s">
        <v>42</v>
      </c>
      <c r="E146" s="2"/>
      <c r="F146" s="2"/>
    </row>
    <row r="147" spans="1:6" ht="14" customHeight="1">
      <c r="A147" s="8">
        <v>15</v>
      </c>
      <c r="B147" s="7" t="str">
        <f>المدخلات!$F$4</f>
        <v>4:00–5:10 م</v>
      </c>
      <c r="C147" s="7">
        <v>4</v>
      </c>
      <c r="D147" s="7" t="s">
        <v>768</v>
      </c>
      <c r="E147" s="2"/>
      <c r="F147" s="2"/>
    </row>
    <row r="148" spans="1:6" ht="14" customHeight="1">
      <c r="A148" s="8">
        <v>15</v>
      </c>
      <c r="B148" s="7" t="str">
        <f>المدخلات!$F$5</f>
        <v>5:20–6:30 م</v>
      </c>
      <c r="C148" s="7">
        <v>1</v>
      </c>
      <c r="D148" s="7" t="s">
        <v>177</v>
      </c>
      <c r="E148" s="2"/>
      <c r="F148" s="2"/>
    </row>
    <row r="149" spans="1:6" ht="14" customHeight="1">
      <c r="A149" s="8">
        <v>15</v>
      </c>
      <c r="B149" s="7" t="str">
        <f>المدخلات!$F$5</f>
        <v>5:20–6:30 م</v>
      </c>
      <c r="C149" s="7">
        <v>2</v>
      </c>
      <c r="D149" s="7" t="s">
        <v>766</v>
      </c>
      <c r="E149" s="2"/>
      <c r="F149" s="2"/>
    </row>
    <row r="150" spans="1:6" ht="14" customHeight="1">
      <c r="A150" s="8">
        <v>15</v>
      </c>
      <c r="B150" s="7" t="str">
        <f>المدخلات!$F$5</f>
        <v>5:20–6:30 م</v>
      </c>
      <c r="C150" s="7">
        <v>3</v>
      </c>
      <c r="D150" s="7" t="s">
        <v>769</v>
      </c>
      <c r="E150" s="2"/>
      <c r="F150" s="2"/>
    </row>
    <row r="151" spans="1:6" ht="14" customHeight="1">
      <c r="A151" s="8">
        <v>15</v>
      </c>
      <c r="B151" s="7" t="str">
        <f>المدخلات!$F$5</f>
        <v>5:20–6:30 م</v>
      </c>
      <c r="C151" s="7">
        <v>4</v>
      </c>
      <c r="D151" s="7" t="s">
        <v>212</v>
      </c>
      <c r="E151" s="2"/>
      <c r="F151" s="2"/>
    </row>
    <row r="152" spans="1:6" ht="14" customHeight="1">
      <c r="A152" s="8">
        <v>15</v>
      </c>
      <c r="B152" s="7" t="str">
        <f>المدخلات!$F$6</f>
        <v>6:40–7:50 م</v>
      </c>
      <c r="C152" s="7">
        <v>1</v>
      </c>
      <c r="D152" s="7" t="s">
        <v>29</v>
      </c>
      <c r="E152" s="2"/>
      <c r="F152" s="2"/>
    </row>
    <row r="153" spans="1:6" ht="14" customHeight="1">
      <c r="A153" s="8">
        <v>15</v>
      </c>
      <c r="B153" s="7" t="str">
        <f>المدخلات!$F$6</f>
        <v>6:40–7:50 م</v>
      </c>
      <c r="C153" s="7">
        <v>2</v>
      </c>
      <c r="D153" s="7" t="s">
        <v>51</v>
      </c>
      <c r="E153" s="2"/>
      <c r="F153" s="2"/>
    </row>
    <row r="154" spans="1:6" ht="14" customHeight="1">
      <c r="A154" s="8">
        <v>16</v>
      </c>
      <c r="B154" s="7" t="str">
        <f>المدخلات!$F$4</f>
        <v>4:00–5:10 م</v>
      </c>
      <c r="C154" s="7">
        <v>1</v>
      </c>
      <c r="D154" s="7" t="s">
        <v>855</v>
      </c>
      <c r="E154" s="2"/>
      <c r="F154" s="2"/>
    </row>
    <row r="155" spans="1:6" ht="14" customHeight="1">
      <c r="A155" s="8">
        <v>16</v>
      </c>
      <c r="B155" s="7" t="str">
        <f>المدخلات!$F$4</f>
        <v>4:00–5:10 م</v>
      </c>
      <c r="C155" s="7">
        <v>2</v>
      </c>
      <c r="D155" s="7" t="s">
        <v>28</v>
      </c>
      <c r="E155" s="2"/>
      <c r="F155" s="2"/>
    </row>
    <row r="156" spans="1:6" ht="14" customHeight="1">
      <c r="A156" s="8">
        <v>16</v>
      </c>
      <c r="B156" s="7" t="str">
        <f>المدخلات!$F$4</f>
        <v>4:00–5:10 م</v>
      </c>
      <c r="C156" s="7">
        <v>3</v>
      </c>
      <c r="D156" s="7" t="s">
        <v>198</v>
      </c>
      <c r="E156" s="2"/>
      <c r="F156" s="2"/>
    </row>
    <row r="157" spans="1:6" ht="14" customHeight="1">
      <c r="A157" s="8">
        <v>16</v>
      </c>
      <c r="B157" s="7" t="str">
        <f>المدخلات!$F$4</f>
        <v>4:00–5:10 م</v>
      </c>
      <c r="C157" s="7">
        <v>4</v>
      </c>
      <c r="D157" s="7" t="s">
        <v>38</v>
      </c>
      <c r="E157" s="2"/>
      <c r="F157" s="2"/>
    </row>
    <row r="158" spans="1:6" ht="14" customHeight="1">
      <c r="A158" s="8">
        <v>16</v>
      </c>
      <c r="B158" s="7" t="str">
        <f>المدخلات!$F$5</f>
        <v>5:20–6:30 م</v>
      </c>
      <c r="C158" s="7">
        <v>1</v>
      </c>
      <c r="D158" s="7" t="s">
        <v>792</v>
      </c>
      <c r="E158" s="2"/>
      <c r="F158" s="2"/>
    </row>
    <row r="159" spans="1:6" ht="14" customHeight="1">
      <c r="A159" s="8">
        <v>16</v>
      </c>
      <c r="B159" s="7" t="str">
        <f>المدخلات!$F$5</f>
        <v>5:20–6:30 م</v>
      </c>
      <c r="C159" s="7">
        <v>2</v>
      </c>
      <c r="D159" s="7" t="s">
        <v>1047</v>
      </c>
      <c r="E159" s="2"/>
      <c r="F159" s="2"/>
    </row>
    <row r="160" spans="1:6" ht="14" customHeight="1">
      <c r="A160" s="8">
        <v>16</v>
      </c>
      <c r="B160" s="7" t="str">
        <f>المدخلات!$F$5</f>
        <v>5:20–6:30 م</v>
      </c>
      <c r="C160" s="7">
        <v>3</v>
      </c>
      <c r="D160" s="7" t="s">
        <v>59</v>
      </c>
      <c r="E160" s="2"/>
      <c r="F160" s="2"/>
    </row>
    <row r="161" spans="1:6" ht="14" customHeight="1">
      <c r="A161" s="8">
        <v>16</v>
      </c>
      <c r="B161" s="7" t="str">
        <f>المدخلات!$F$5</f>
        <v>5:20–6:30 م</v>
      </c>
      <c r="C161" s="7">
        <v>4</v>
      </c>
      <c r="D161" s="7" t="s">
        <v>48</v>
      </c>
      <c r="E161" s="2"/>
      <c r="F161" s="2"/>
    </row>
    <row r="162" spans="1:6" ht="14" customHeight="1">
      <c r="A162" s="8">
        <v>16</v>
      </c>
      <c r="B162" s="7" t="str">
        <f>المدخلات!$F$6</f>
        <v>6:40–7:50 م</v>
      </c>
      <c r="C162" s="7">
        <v>1</v>
      </c>
      <c r="D162" s="7" t="s">
        <v>178</v>
      </c>
      <c r="E162" s="2"/>
      <c r="F162" s="2"/>
    </row>
    <row r="163" spans="1:6" ht="14" customHeight="1">
      <c r="A163" s="8">
        <v>16</v>
      </c>
      <c r="B163" s="7" t="str">
        <f>المدخلات!$F$6</f>
        <v>6:40–7:50 م</v>
      </c>
      <c r="C163" s="7">
        <v>2</v>
      </c>
      <c r="D163" s="7" t="s">
        <v>161</v>
      </c>
      <c r="E163" s="2"/>
      <c r="F163" s="2"/>
    </row>
    <row r="164" spans="1:6" ht="14" customHeight="1">
      <c r="A164" s="8">
        <v>17</v>
      </c>
      <c r="B164" s="7" t="str">
        <f>المدخلات!$F$4</f>
        <v>4:00–5:10 م</v>
      </c>
      <c r="C164" s="7">
        <v>1</v>
      </c>
      <c r="D164" s="7" t="s">
        <v>15</v>
      </c>
      <c r="E164" s="2"/>
      <c r="F164" s="2"/>
    </row>
    <row r="165" spans="1:6" ht="14" customHeight="1">
      <c r="A165" s="8">
        <v>17</v>
      </c>
      <c r="B165" s="7" t="str">
        <f>المدخلات!$F$4</f>
        <v>4:00–5:10 م</v>
      </c>
      <c r="C165" s="7">
        <v>2</v>
      </c>
      <c r="D165" s="7" t="s">
        <v>199</v>
      </c>
      <c r="E165" s="2"/>
      <c r="F165" s="2"/>
    </row>
    <row r="166" spans="1:6" ht="14" customHeight="1">
      <c r="A166" s="8">
        <v>17</v>
      </c>
      <c r="B166" s="7" t="str">
        <f>المدخلات!$F$4</f>
        <v>4:00–5:10 م</v>
      </c>
      <c r="C166" s="7">
        <v>3</v>
      </c>
      <c r="D166" s="7" t="s">
        <v>179</v>
      </c>
      <c r="E166" s="2"/>
      <c r="F166" s="2"/>
    </row>
    <row r="167" spans="1:6" ht="14" customHeight="1">
      <c r="A167" s="8">
        <v>17</v>
      </c>
      <c r="B167" s="7" t="str">
        <f>المدخلات!$F$4</f>
        <v>4:00–5:10 م</v>
      </c>
      <c r="C167" s="7">
        <v>4</v>
      </c>
      <c r="D167" s="7" t="s">
        <v>214</v>
      </c>
      <c r="E167" s="2"/>
      <c r="F167" s="2"/>
    </row>
    <row r="168" spans="1:6" ht="14" customHeight="1">
      <c r="A168" s="8">
        <v>17</v>
      </c>
      <c r="B168" s="7" t="str">
        <f>المدخلات!$F$5</f>
        <v>5:20–6:30 م</v>
      </c>
      <c r="C168" s="7">
        <v>1</v>
      </c>
      <c r="D168" s="7" t="s">
        <v>162</v>
      </c>
      <c r="E168" s="2"/>
      <c r="F168" s="2"/>
    </row>
    <row r="169" spans="1:6" ht="14" customHeight="1">
      <c r="A169" s="8">
        <v>17</v>
      </c>
      <c r="B169" s="7" t="str">
        <f>المدخلات!$F$5</f>
        <v>5:20–6:30 م</v>
      </c>
      <c r="C169" s="7">
        <v>2</v>
      </c>
      <c r="D169" s="7" t="s">
        <v>151</v>
      </c>
      <c r="E169" s="2"/>
      <c r="F169" s="2"/>
    </row>
    <row r="170" spans="1:6" ht="14" customHeight="1">
      <c r="A170" s="8">
        <v>17</v>
      </c>
      <c r="B170" s="7" t="str">
        <f>المدخلات!$F$5</f>
        <v>5:20–6:30 م</v>
      </c>
      <c r="C170" s="7">
        <v>3</v>
      </c>
      <c r="D170" s="7" t="s">
        <v>44</v>
      </c>
      <c r="E170" s="2"/>
      <c r="F170" s="2"/>
    </row>
    <row r="171" spans="1:6" ht="14" customHeight="1">
      <c r="A171" s="8">
        <v>17</v>
      </c>
      <c r="B171" s="7" t="str">
        <f>المدخلات!$F$5</f>
        <v>5:20–6:30 م</v>
      </c>
      <c r="C171" s="7">
        <v>4</v>
      </c>
      <c r="D171" s="7" t="s">
        <v>24</v>
      </c>
      <c r="E171" s="2"/>
      <c r="F171" s="2"/>
    </row>
    <row r="172" spans="1:6" ht="14" customHeight="1">
      <c r="A172" s="8">
        <v>17</v>
      </c>
      <c r="B172" s="7" t="str">
        <f>المدخلات!$F$6</f>
        <v>6:40–7:50 م</v>
      </c>
      <c r="C172" s="7">
        <v>1</v>
      </c>
      <c r="D172" s="7" t="s">
        <v>32</v>
      </c>
      <c r="E172" s="2"/>
      <c r="F172" s="2"/>
    </row>
    <row r="173" spans="1:6" ht="14" customHeight="1">
      <c r="A173" s="8">
        <v>17</v>
      </c>
      <c r="B173" s="7" t="str">
        <f>المدخلات!$F$6</f>
        <v>6:40–7:50 م</v>
      </c>
      <c r="C173" s="7">
        <v>2</v>
      </c>
      <c r="D173" s="7" t="s">
        <v>804</v>
      </c>
      <c r="E173" s="2"/>
      <c r="F173" s="2"/>
    </row>
    <row r="174" spans="1:6" ht="14" customHeight="1">
      <c r="A174" s="8">
        <v>18</v>
      </c>
      <c r="B174" s="7" t="str">
        <f>المدخلات!$F$4</f>
        <v>4:00–5:10 م</v>
      </c>
      <c r="C174" s="7">
        <v>1</v>
      </c>
      <c r="D174" s="7" t="s">
        <v>9</v>
      </c>
      <c r="E174" s="2"/>
      <c r="F174" s="2"/>
    </row>
    <row r="175" spans="1:6" ht="14" customHeight="1">
      <c r="A175" s="8">
        <v>18</v>
      </c>
      <c r="B175" s="7" t="str">
        <f>المدخلات!$F$4</f>
        <v>4:00–5:10 م</v>
      </c>
      <c r="C175" s="7">
        <v>2</v>
      </c>
      <c r="D175" s="7" t="s">
        <v>200</v>
      </c>
      <c r="E175" s="2"/>
      <c r="F175" s="2"/>
    </row>
    <row r="176" spans="1:6" ht="14" customHeight="1">
      <c r="A176" s="8">
        <v>18</v>
      </c>
      <c r="B176" s="7" t="str">
        <f>المدخلات!$F$4</f>
        <v>4:00–5:10 م</v>
      </c>
      <c r="C176" s="7">
        <v>3</v>
      </c>
      <c r="D176" s="7" t="s">
        <v>129</v>
      </c>
      <c r="E176" s="2"/>
      <c r="F176" s="2"/>
    </row>
    <row r="177" spans="1:6" ht="14" customHeight="1">
      <c r="A177" s="8">
        <v>18</v>
      </c>
      <c r="B177" s="7" t="str">
        <f>المدخلات!$F$4</f>
        <v>4:00–5:10 م</v>
      </c>
      <c r="C177" s="7">
        <v>4</v>
      </c>
      <c r="D177" s="7" t="s">
        <v>158</v>
      </c>
      <c r="E177" s="2"/>
      <c r="F177" s="2"/>
    </row>
    <row r="178" spans="1:6" ht="14" customHeight="1">
      <c r="A178" s="8">
        <v>18</v>
      </c>
      <c r="B178" s="7" t="str">
        <f>المدخلات!$F$5</f>
        <v>5:20–6:30 م</v>
      </c>
      <c r="C178" s="7">
        <v>1</v>
      </c>
      <c r="D178" s="7" t="s">
        <v>31</v>
      </c>
      <c r="E178" s="2"/>
      <c r="F178" s="2"/>
    </row>
    <row r="179" spans="1:6" ht="14" customHeight="1">
      <c r="A179" s="8">
        <v>18</v>
      </c>
      <c r="B179" s="7" t="str">
        <f>المدخلات!$F$5</f>
        <v>5:20–6:30 م</v>
      </c>
      <c r="C179" s="7">
        <v>2</v>
      </c>
      <c r="D179" s="7" t="s">
        <v>1035</v>
      </c>
      <c r="E179" s="2"/>
      <c r="F179" s="2"/>
    </row>
    <row r="180" spans="1:6" ht="14" customHeight="1">
      <c r="A180" s="8">
        <v>18</v>
      </c>
      <c r="B180" s="7" t="str">
        <f>المدخلات!$F$5</f>
        <v>5:20–6:30 م</v>
      </c>
      <c r="C180" s="7">
        <v>3</v>
      </c>
      <c r="D180" s="7" t="s">
        <v>27</v>
      </c>
      <c r="E180" s="2"/>
      <c r="F180" s="2"/>
    </row>
    <row r="181" spans="1:6" ht="14" customHeight="1">
      <c r="A181" s="8">
        <v>18</v>
      </c>
      <c r="B181" s="7" t="str">
        <f>المدخلات!$F$5</f>
        <v>5:20–6:30 م</v>
      </c>
      <c r="C181" s="7">
        <v>4</v>
      </c>
      <c r="D181" s="7" t="s">
        <v>215</v>
      </c>
      <c r="E181" s="2"/>
      <c r="F181" s="2"/>
    </row>
    <row r="182" spans="1:6" ht="14" customHeight="1">
      <c r="A182" s="8">
        <v>18</v>
      </c>
      <c r="B182" s="7" t="str">
        <f>المدخلات!$F$6</f>
        <v>6:40–7:50 م</v>
      </c>
      <c r="C182" s="7">
        <v>1</v>
      </c>
      <c r="D182" s="7" t="s">
        <v>152</v>
      </c>
      <c r="E182" s="2"/>
      <c r="F182" s="2"/>
    </row>
    <row r="183" spans="1:6" ht="14" customHeight="1">
      <c r="A183" s="8">
        <v>18</v>
      </c>
      <c r="B183" s="7" t="str">
        <f>المدخلات!$F$6</f>
        <v>6:40–7:50 م</v>
      </c>
      <c r="C183" s="7">
        <v>2</v>
      </c>
      <c r="D183" s="7" t="s">
        <v>1129</v>
      </c>
      <c r="E183" s="2"/>
      <c r="F183" s="2"/>
    </row>
    <row r="184" spans="1:6" ht="14" customHeight="1">
      <c r="A184" s="8">
        <v>19</v>
      </c>
      <c r="B184" s="7" t="str">
        <f>المدخلات!$F$4</f>
        <v>4:00–5:10 م</v>
      </c>
      <c r="C184" s="7">
        <v>1</v>
      </c>
      <c r="D184" s="7" t="s">
        <v>181</v>
      </c>
      <c r="E184" s="2"/>
      <c r="F184" s="2"/>
    </row>
    <row r="185" spans="1:6" ht="14" customHeight="1">
      <c r="A185" s="8">
        <v>19</v>
      </c>
      <c r="B185" s="7" t="str">
        <f>المدخلات!$F$4</f>
        <v>4:00–5:10 م</v>
      </c>
      <c r="C185" s="7">
        <v>2</v>
      </c>
      <c r="D185" s="7" t="s">
        <v>182</v>
      </c>
      <c r="E185" s="2"/>
      <c r="F185" s="2"/>
    </row>
    <row r="186" spans="1:6" ht="14" customHeight="1">
      <c r="A186" s="8">
        <v>19</v>
      </c>
      <c r="B186" s="7" t="str">
        <f>المدخلات!$F$4</f>
        <v>4:00–5:10 م</v>
      </c>
      <c r="C186" s="7">
        <v>3</v>
      </c>
      <c r="D186" s="7" t="s">
        <v>18</v>
      </c>
      <c r="E186" s="2"/>
      <c r="F186" s="2"/>
    </row>
    <row r="187" spans="1:6" ht="14" customHeight="1">
      <c r="A187" s="8">
        <v>19</v>
      </c>
      <c r="B187" s="7" t="str">
        <f>المدخلات!$F$4</f>
        <v>4:00–5:10 م</v>
      </c>
      <c r="C187" s="7">
        <v>4</v>
      </c>
      <c r="D187" s="7" t="s">
        <v>13</v>
      </c>
      <c r="E187" s="2"/>
      <c r="F187" s="2"/>
    </row>
    <row r="188" spans="1:6" ht="14" customHeight="1">
      <c r="A188" s="8">
        <v>19</v>
      </c>
      <c r="B188" s="7" t="str">
        <f>المدخلات!$F$5</f>
        <v>5:20–6:30 م</v>
      </c>
      <c r="C188" s="7">
        <v>1</v>
      </c>
      <c r="D188" s="7" t="s">
        <v>153</v>
      </c>
      <c r="E188" s="2"/>
      <c r="F188" s="2"/>
    </row>
    <row r="189" spans="1:6" ht="14" customHeight="1">
      <c r="A189" s="8">
        <v>19</v>
      </c>
      <c r="B189" s="7" t="str">
        <f>المدخلات!$F$5</f>
        <v>5:20–6:30 م</v>
      </c>
      <c r="C189" s="7">
        <v>2</v>
      </c>
      <c r="D189" s="7" t="s">
        <v>1115</v>
      </c>
      <c r="E189" s="2"/>
      <c r="F189" s="2"/>
    </row>
    <row r="190" spans="1:6" ht="14" customHeight="1">
      <c r="A190" s="8">
        <v>19</v>
      </c>
      <c r="B190" s="7" t="str">
        <f>المدخلات!$F$5</f>
        <v>5:20–6:30 م</v>
      </c>
      <c r="C190" s="7">
        <v>3</v>
      </c>
      <c r="D190" s="7" t="s">
        <v>1130</v>
      </c>
      <c r="E190" s="2"/>
      <c r="F190" s="2"/>
    </row>
    <row r="191" spans="1:6" ht="14" customHeight="1">
      <c r="A191" s="8">
        <v>19</v>
      </c>
      <c r="B191" s="7" t="str">
        <f>المدخلات!$F$5</f>
        <v>5:20–6:30 م</v>
      </c>
      <c r="C191" s="7">
        <v>4</v>
      </c>
      <c r="D191" s="7" t="s">
        <v>103</v>
      </c>
      <c r="E191" s="2"/>
      <c r="F191" s="2"/>
    </row>
    <row r="192" spans="1:6" ht="14" customHeight="1">
      <c r="A192" s="8">
        <v>19</v>
      </c>
      <c r="B192" s="7" t="str">
        <f>المدخلات!$F$6</f>
        <v>6:40–7:50 م</v>
      </c>
      <c r="C192" s="7">
        <v>1</v>
      </c>
      <c r="D192" s="7" t="s">
        <v>21</v>
      </c>
      <c r="E192" s="2"/>
      <c r="F192" s="2"/>
    </row>
    <row r="193" spans="1:6" ht="14" customHeight="1">
      <c r="A193" s="8">
        <v>19</v>
      </c>
      <c r="B193" s="7" t="str">
        <f>المدخلات!$F$6</f>
        <v>6:40–7:50 م</v>
      </c>
      <c r="C193" s="7">
        <v>2</v>
      </c>
      <c r="D193" s="7" t="s">
        <v>130</v>
      </c>
      <c r="E193" s="2"/>
      <c r="F193" s="2"/>
    </row>
    <row r="194" spans="1:6" ht="14" customHeight="1">
      <c r="A194" s="8">
        <v>20</v>
      </c>
      <c r="B194" s="7" t="str">
        <f>المدخلات!$F$4</f>
        <v>4:00–5:10 م</v>
      </c>
      <c r="C194" s="7">
        <v>1</v>
      </c>
      <c r="D194" s="7" t="s">
        <v>131</v>
      </c>
      <c r="E194" s="2"/>
      <c r="F194" s="2"/>
    </row>
    <row r="195" spans="1:6" ht="14" customHeight="1">
      <c r="A195" s="8">
        <v>20</v>
      </c>
      <c r="B195" s="7" t="str">
        <f>المدخلات!$F$4</f>
        <v>4:00–5:10 م</v>
      </c>
      <c r="C195" s="7">
        <v>2</v>
      </c>
      <c r="D195" s="7" t="s">
        <v>14</v>
      </c>
      <c r="E195" s="2"/>
      <c r="F195" s="2"/>
    </row>
    <row r="196" spans="1:6" ht="14" customHeight="1">
      <c r="A196" s="8">
        <v>20</v>
      </c>
      <c r="B196" s="7" t="str">
        <f>المدخلات!$F$4</f>
        <v>4:00–5:10 م</v>
      </c>
      <c r="C196" s="7">
        <v>3</v>
      </c>
      <c r="D196" s="7" t="s">
        <v>1131</v>
      </c>
      <c r="E196" s="2"/>
      <c r="F196" s="2"/>
    </row>
    <row r="197" spans="1:6" ht="14" customHeight="1">
      <c r="A197" s="8">
        <v>20</v>
      </c>
      <c r="B197" s="7" t="str">
        <f>المدخلات!$F$4</f>
        <v>4:00–5:10 م</v>
      </c>
      <c r="C197" s="7">
        <v>4</v>
      </c>
      <c r="D197" s="7" t="s">
        <v>1132</v>
      </c>
      <c r="E197" s="2"/>
      <c r="F197" s="2"/>
    </row>
    <row r="198" spans="1:6" ht="14" customHeight="1">
      <c r="A198" s="8">
        <v>20</v>
      </c>
      <c r="B198" s="7" t="str">
        <f>المدخلات!$F$5</f>
        <v>5:20–6:30 م</v>
      </c>
      <c r="C198" s="7">
        <v>1</v>
      </c>
      <c r="D198" s="7" t="s">
        <v>183</v>
      </c>
      <c r="E198" s="2"/>
      <c r="F198" s="2"/>
    </row>
    <row r="199" spans="1:6" ht="14" customHeight="1">
      <c r="A199" s="8">
        <v>20</v>
      </c>
      <c r="B199" s="7" t="str">
        <f>المدخلات!$F$5</f>
        <v>5:20–6:30 م</v>
      </c>
      <c r="C199" s="7">
        <v>2</v>
      </c>
      <c r="D199" s="7" t="s">
        <v>1040</v>
      </c>
      <c r="E199" s="2"/>
      <c r="F199" s="2"/>
    </row>
    <row r="200" spans="1:6" ht="14" customHeight="1">
      <c r="A200" s="8">
        <v>20</v>
      </c>
      <c r="B200" s="7" t="str">
        <f>المدخلات!$F$5</f>
        <v>5:20–6:30 م</v>
      </c>
      <c r="C200" s="7">
        <v>3</v>
      </c>
      <c r="D200" s="7" t="s">
        <v>184</v>
      </c>
      <c r="E200" s="2"/>
      <c r="F200" s="2"/>
    </row>
    <row r="201" spans="1:6" ht="14" customHeight="1">
      <c r="A201" s="8">
        <v>20</v>
      </c>
      <c r="B201" s="7" t="str">
        <f>المدخلات!$F$5</f>
        <v>5:20–6:30 م</v>
      </c>
      <c r="C201" s="7">
        <v>4</v>
      </c>
      <c r="D201" s="7" t="s">
        <v>98</v>
      </c>
      <c r="E201" s="2"/>
      <c r="F201" s="2"/>
    </row>
    <row r="202" spans="1:6" ht="14" customHeight="1">
      <c r="A202" s="8">
        <v>20</v>
      </c>
      <c r="B202" s="7" t="str">
        <f>المدخلات!$F$6</f>
        <v>6:40–7:50 م</v>
      </c>
      <c r="C202" s="7">
        <v>1</v>
      </c>
      <c r="D202" s="7" t="s">
        <v>1116</v>
      </c>
      <c r="E202" s="2"/>
      <c r="F202" s="2"/>
    </row>
    <row r="203" spans="1:6" ht="14" customHeight="1">
      <c r="A203" s="8">
        <v>20</v>
      </c>
      <c r="B203" s="7" t="str">
        <f>المدخلات!$F$6</f>
        <v>6:40–7:50 م</v>
      </c>
      <c r="C203" s="7">
        <v>2</v>
      </c>
      <c r="D203" s="7" t="s">
        <v>100</v>
      </c>
      <c r="E203" s="2"/>
      <c r="F203" s="2"/>
    </row>
    <row r="204" spans="1:6" ht="14" customHeight="1">
      <c r="A204" s="8">
        <v>21</v>
      </c>
      <c r="B204" s="7" t="str">
        <f>المدخلات!$F$4</f>
        <v>4:00–5:10 م</v>
      </c>
      <c r="C204" s="7">
        <v>1</v>
      </c>
      <c r="D204" s="7" t="s">
        <v>11</v>
      </c>
      <c r="E204" s="2"/>
      <c r="F204" s="2"/>
    </row>
    <row r="205" spans="1:6" ht="14" customHeight="1">
      <c r="A205" s="8">
        <v>21</v>
      </c>
      <c r="B205" s="7" t="str">
        <f>المدخلات!$F$4</f>
        <v>4:00–5:10 م</v>
      </c>
      <c r="C205" s="7">
        <v>2</v>
      </c>
      <c r="D205" s="7" t="s">
        <v>1118</v>
      </c>
      <c r="E205" s="2"/>
      <c r="F205" s="2"/>
    </row>
    <row r="206" spans="1:6" ht="14" customHeight="1">
      <c r="A206" s="8">
        <v>21</v>
      </c>
      <c r="B206" s="7" t="str">
        <f>المدخلات!$F$4</f>
        <v>4:00–5:10 م</v>
      </c>
      <c r="C206" s="7">
        <v>3</v>
      </c>
      <c r="D206" s="7" t="s">
        <v>132</v>
      </c>
      <c r="E206" s="2"/>
      <c r="F206" s="2"/>
    </row>
    <row r="207" spans="1:6" ht="14" customHeight="1">
      <c r="A207" s="8">
        <v>21</v>
      </c>
      <c r="B207" s="7" t="str">
        <f>المدخلات!$F$4</f>
        <v>4:00–5:10 م</v>
      </c>
      <c r="C207" s="7">
        <v>4</v>
      </c>
      <c r="D207" s="7" t="s">
        <v>1117</v>
      </c>
      <c r="E207" s="2"/>
      <c r="F207" s="2"/>
    </row>
    <row r="208" spans="1:6" ht="14" customHeight="1">
      <c r="A208" s="8">
        <v>21</v>
      </c>
      <c r="B208" s="7" t="str">
        <f>المدخلات!$F$5</f>
        <v>5:20–6:30 م</v>
      </c>
      <c r="C208" s="7">
        <v>1</v>
      </c>
      <c r="D208" s="7" t="s">
        <v>1104</v>
      </c>
      <c r="E208" s="2"/>
      <c r="F208" s="2"/>
    </row>
    <row r="209" spans="1:22" ht="14" customHeight="1">
      <c r="A209" s="8">
        <v>21</v>
      </c>
      <c r="B209" s="7" t="str">
        <f>المدخلات!$F$5</f>
        <v>5:20–6:30 م</v>
      </c>
      <c r="C209" s="7">
        <v>2</v>
      </c>
      <c r="D209" s="7" t="s">
        <v>92</v>
      </c>
      <c r="E209" s="2"/>
      <c r="F209" s="2"/>
    </row>
    <row r="210" spans="1:22" ht="14" customHeight="1">
      <c r="A210" s="8">
        <v>21</v>
      </c>
      <c r="B210" s="7" t="str">
        <f>المدخلات!$F$5</f>
        <v>5:20–6:30 م</v>
      </c>
      <c r="C210" s="7">
        <v>3</v>
      </c>
      <c r="D210" s="7" t="s">
        <v>155</v>
      </c>
      <c r="E210" s="2"/>
      <c r="F210" s="2"/>
    </row>
    <row r="211" spans="1:22" ht="14" customHeight="1">
      <c r="A211" s="8">
        <v>21</v>
      </c>
      <c r="B211" s="7" t="str">
        <f>المدخلات!$F$5</f>
        <v>5:20–6:30 م</v>
      </c>
      <c r="C211" s="7">
        <v>4</v>
      </c>
      <c r="D211" s="7" t="s">
        <v>133</v>
      </c>
      <c r="E211" s="2"/>
      <c r="F211" s="2"/>
    </row>
    <row r="212" spans="1:22" ht="14" customHeight="1">
      <c r="A212" s="8">
        <v>21</v>
      </c>
      <c r="B212" s="7" t="str">
        <f>المدخلات!$F$6</f>
        <v>6:40–7:50 م</v>
      </c>
      <c r="C212" s="7">
        <v>1</v>
      </c>
      <c r="D212" s="7" t="s">
        <v>1133</v>
      </c>
      <c r="E212" s="2"/>
      <c r="F212" s="2"/>
    </row>
    <row r="213" spans="1:22" ht="14" customHeight="1">
      <c r="A213" s="8">
        <v>21</v>
      </c>
      <c r="B213" s="7" t="str">
        <f>المدخلات!$F$6</f>
        <v>6:40–7:50 م</v>
      </c>
      <c r="C213" s="7">
        <v>2</v>
      </c>
      <c r="D213" s="7" t="s">
        <v>99</v>
      </c>
      <c r="E213" s="2"/>
      <c r="F213" s="2"/>
    </row>
    <row r="214" spans="1:22">
      <c r="A214" s="2"/>
      <c r="B214" s="2"/>
      <c r="C214" s="2"/>
      <c r="D214" s="2"/>
    </row>
    <row r="215" spans="1:22">
      <c r="A215" s="2"/>
      <c r="B215" s="2"/>
      <c r="C215" s="2"/>
      <c r="D215" s="2"/>
    </row>
    <row r="216" spans="1:22" ht="14.5">
      <c r="A216" s="17" t="s">
        <v>828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</row>
    <row r="217" spans="1:22" ht="14.5">
      <c r="A217" s="6" t="s">
        <v>829</v>
      </c>
      <c r="B217" s="6">
        <v>1</v>
      </c>
      <c r="C217" s="6">
        <v>2</v>
      </c>
      <c r="D217" s="6">
        <v>3</v>
      </c>
      <c r="E217" s="6">
        <v>4</v>
      </c>
      <c r="F217" s="6">
        <v>5</v>
      </c>
      <c r="G217" s="6">
        <v>6</v>
      </c>
      <c r="H217" s="6">
        <v>7</v>
      </c>
      <c r="I217" s="6">
        <v>8</v>
      </c>
      <c r="J217" s="6">
        <v>9</v>
      </c>
      <c r="K217" s="6">
        <v>10</v>
      </c>
      <c r="L217" s="6">
        <v>11</v>
      </c>
      <c r="M217" s="6">
        <v>12</v>
      </c>
      <c r="N217" s="6">
        <v>13</v>
      </c>
      <c r="O217" s="6">
        <v>14</v>
      </c>
      <c r="P217" s="6">
        <v>15</v>
      </c>
      <c r="Q217" s="6">
        <v>16</v>
      </c>
      <c r="R217" s="6">
        <v>17</v>
      </c>
      <c r="S217" s="6">
        <v>18</v>
      </c>
      <c r="T217" s="6">
        <v>19</v>
      </c>
      <c r="U217" s="6">
        <v>20</v>
      </c>
      <c r="V217" s="6">
        <v>21</v>
      </c>
    </row>
    <row r="218" spans="1:22" ht="14.5">
      <c r="A218" s="14">
        <v>1</v>
      </c>
      <c r="B218" s="4" t="str">
        <f>IF($A218=B$217,"",COUNTIF($D$4:$D$213,$A218&amp;" ضد "&amp;B$217)+COUNTIF($D$4:$D$213,B$217&amp;" ضد "&amp;$A218))</f>
        <v/>
      </c>
      <c r="C218" s="4">
        <f>IF($A218=C$217,"",COUNTIF($D$4:$D$213,$A218&amp;" ضد "&amp;C$217)+COUNTIF($D$4:$D$213,C$217&amp;" ضد "&amp;$A218))</f>
        <v>1</v>
      </c>
      <c r="D218" s="4">
        <f>IF($A218=D$217,"",COUNTIF($D$4:$D$213,$A218&amp;" ضد "&amp;D$217)+COUNTIF($D$4:$D$213,D$217&amp;" ضد "&amp;$A218))</f>
        <v>1</v>
      </c>
      <c r="E218" s="4">
        <f>IF($A218=E$217,"",COUNTIF($D$4:$D$213,$A218&amp;" ضد "&amp;E$217)+COUNTIF($D$4:$D$213,E$217&amp;" ضد "&amp;$A218))</f>
        <v>1</v>
      </c>
      <c r="F218" s="4">
        <f>IF($A218=F$217,"",COUNTIF($D$4:$D$213,$A218&amp;" ضد "&amp;F$217)+COUNTIF($D$4:$D$213,F$217&amp;" ضد "&amp;$A218))</f>
        <v>1</v>
      </c>
      <c r="G218" s="4">
        <f>IF($A218=G$217,"",COUNTIF($D$4:$D$213,$A218&amp;" ضد "&amp;G$217)+COUNTIF($D$4:$D$213,G$217&amp;" ضد "&amp;$A218))</f>
        <v>1</v>
      </c>
      <c r="H218" s="4">
        <f>IF($A218=H$217,"",COUNTIF($D$4:$D$213,$A218&amp;" ضد "&amp;H$217)+COUNTIF($D$4:$D$213,H$217&amp;" ضد "&amp;$A218))</f>
        <v>1</v>
      </c>
      <c r="I218" s="4">
        <f>IF($A218=I$217,"",COUNTIF($D$4:$D$213,$A218&amp;" ضد "&amp;I$217)+COUNTIF($D$4:$D$213,I$217&amp;" ضد "&amp;$A218))</f>
        <v>1</v>
      </c>
      <c r="J218" s="4">
        <f>IF($A218=J$217,"",COUNTIF($D$4:$D$213,$A218&amp;" ضد "&amp;J$217)+COUNTIF($D$4:$D$213,J$217&amp;" ضد "&amp;$A218))</f>
        <v>1</v>
      </c>
      <c r="K218" s="4">
        <f>IF($A218=K$217,"",COUNTIF($D$4:$D$213,$A218&amp;" ضد "&amp;K$217)+COUNTIF($D$4:$D$213,K$217&amp;" ضد "&amp;$A218))</f>
        <v>1</v>
      </c>
      <c r="L218" s="4">
        <f>IF($A218=L$217,"",COUNTIF($D$4:$D$213,$A218&amp;" ضد "&amp;L$217)+COUNTIF($D$4:$D$213,L$217&amp;" ضد "&amp;$A218))</f>
        <v>1</v>
      </c>
      <c r="M218" s="4">
        <f>IF($A218=M$217,"",COUNTIF($D$4:$D$213,$A218&amp;" ضد "&amp;M$217)+COUNTIF($D$4:$D$213,M$217&amp;" ضد "&amp;$A218))</f>
        <v>1</v>
      </c>
      <c r="N218" s="4">
        <f>IF($A218=N$217,"",COUNTIF($D$4:$D$213,$A218&amp;" ضد "&amp;N$217)+COUNTIF($D$4:$D$213,N$217&amp;" ضد "&amp;$A218))</f>
        <v>1</v>
      </c>
      <c r="O218" s="4">
        <f>IF($A218=O$217,"",COUNTIF($D$4:$D$213,$A218&amp;" ضد "&amp;O$217)+COUNTIF($D$4:$D$213,O$217&amp;" ضد "&amp;$A218))</f>
        <v>1</v>
      </c>
      <c r="P218" s="4">
        <f>IF($A218=P$217,"",COUNTIF($D$4:$D$213,$A218&amp;" ضد "&amp;P$217)+COUNTIF($D$4:$D$213,P$217&amp;" ضد "&amp;$A218))</f>
        <v>1</v>
      </c>
      <c r="Q218" s="4">
        <f>IF($A218=Q$217,"",COUNTIF($D$4:$D$213,$A218&amp;" ضد "&amp;Q$217)+COUNTIF($D$4:$D$213,Q$217&amp;" ضد "&amp;$A218))</f>
        <v>1</v>
      </c>
      <c r="R218" s="4">
        <f>IF($A218=R$217,"",COUNTIF($D$4:$D$213,$A218&amp;" ضد "&amp;R$217)+COUNTIF($D$4:$D$213,R$217&amp;" ضد "&amp;$A218))</f>
        <v>1</v>
      </c>
      <c r="S218" s="4">
        <f>IF($A218=S$217,"",COUNTIF($D$4:$D$213,$A218&amp;" ضد "&amp;S$217)+COUNTIF($D$4:$D$213,S$217&amp;" ضد "&amp;$A218))</f>
        <v>1</v>
      </c>
      <c r="T218" s="4">
        <f>IF($A218=T$217,"",COUNTIF($D$4:$D$213,$A218&amp;" ضد "&amp;T$217)+COUNTIF($D$4:$D$213,T$217&amp;" ضد "&amp;$A218))</f>
        <v>1</v>
      </c>
      <c r="U218" s="4">
        <f>IF($A218=U$217,"",COUNTIF($D$4:$D$213,$A218&amp;" ضد "&amp;U$217)+COUNTIF($D$4:$D$213,U$217&amp;" ضد "&amp;$A218))</f>
        <v>1</v>
      </c>
      <c r="V218" s="4">
        <f>IF($A218=V$217,"",COUNTIF($D$4:$D$213,$A218&amp;" ضد "&amp;V$217)+COUNTIF($D$4:$D$213,V$217&amp;" ضد "&amp;$A218))</f>
        <v>1</v>
      </c>
    </row>
    <row r="219" spans="1:22" ht="14.5">
      <c r="A219" s="14">
        <v>2</v>
      </c>
      <c r="B219" s="4">
        <f>IF($A219=B$217,"",COUNTIF($D$4:$D$213,$A219&amp;" ضد "&amp;B$217)+COUNTIF($D$4:$D$213,B$217&amp;" ضد "&amp;$A219))</f>
        <v>1</v>
      </c>
      <c r="C219" s="4" t="str">
        <f>IF($A219=C$217,"",COUNTIF($D$4:$D$213,$A219&amp;" ضد "&amp;C$217)+COUNTIF($D$4:$D$213,C$217&amp;" ضد "&amp;$A219))</f>
        <v/>
      </c>
      <c r="D219" s="4">
        <f>IF($A219=D$217,"",COUNTIF($D$4:$D$213,$A219&amp;" ضد "&amp;D$217)+COUNTIF($D$4:$D$213,D$217&amp;" ضد "&amp;$A219))</f>
        <v>1</v>
      </c>
      <c r="E219" s="4">
        <f>IF($A219=E$217,"",COUNTIF($D$4:$D$213,$A219&amp;" ضد "&amp;E$217)+COUNTIF($D$4:$D$213,E$217&amp;" ضد "&amp;$A219))</f>
        <v>1</v>
      </c>
      <c r="F219" s="4">
        <f>IF($A219=F$217,"",COUNTIF($D$4:$D$213,$A219&amp;" ضد "&amp;F$217)+COUNTIF($D$4:$D$213,F$217&amp;" ضد "&amp;$A219))</f>
        <v>1</v>
      </c>
      <c r="G219" s="4">
        <f>IF($A219=G$217,"",COUNTIF($D$4:$D$213,$A219&amp;" ضد "&amp;G$217)+COUNTIF($D$4:$D$213,G$217&amp;" ضد "&amp;$A219))</f>
        <v>1</v>
      </c>
      <c r="H219" s="4">
        <f>IF($A219=H$217,"",COUNTIF($D$4:$D$213,$A219&amp;" ضد "&amp;H$217)+COUNTIF($D$4:$D$213,H$217&amp;" ضد "&amp;$A219))</f>
        <v>1</v>
      </c>
      <c r="I219" s="4">
        <f>IF($A219=I$217,"",COUNTIF($D$4:$D$213,$A219&amp;" ضد "&amp;I$217)+COUNTIF($D$4:$D$213,I$217&amp;" ضد "&amp;$A219))</f>
        <v>1</v>
      </c>
      <c r="J219" s="4">
        <f>IF($A219=J$217,"",COUNTIF($D$4:$D$213,$A219&amp;" ضد "&amp;J$217)+COUNTIF($D$4:$D$213,J$217&amp;" ضد "&amp;$A219))</f>
        <v>1</v>
      </c>
      <c r="K219" s="4">
        <f>IF($A219=K$217,"",COUNTIF($D$4:$D$213,$A219&amp;" ضد "&amp;K$217)+COUNTIF($D$4:$D$213,K$217&amp;" ضد "&amp;$A219))</f>
        <v>1</v>
      </c>
      <c r="L219" s="4">
        <f>IF($A219=L$217,"",COUNTIF($D$4:$D$213,$A219&amp;" ضد "&amp;L$217)+COUNTIF($D$4:$D$213,L$217&amp;" ضد "&amp;$A219))</f>
        <v>1</v>
      </c>
      <c r="M219" s="4">
        <f>IF($A219=M$217,"",COUNTIF($D$4:$D$213,$A219&amp;" ضد "&amp;M$217)+COUNTIF($D$4:$D$213,M$217&amp;" ضد "&amp;$A219))</f>
        <v>1</v>
      </c>
      <c r="N219" s="4">
        <f>IF($A219=N$217,"",COUNTIF($D$4:$D$213,$A219&amp;" ضد "&amp;N$217)+COUNTIF($D$4:$D$213,N$217&amp;" ضد "&amp;$A219))</f>
        <v>1</v>
      </c>
      <c r="O219" s="4">
        <f>IF($A219=O$217,"",COUNTIF($D$4:$D$213,$A219&amp;" ضد "&amp;O$217)+COUNTIF($D$4:$D$213,O$217&amp;" ضد "&amp;$A219))</f>
        <v>1</v>
      </c>
      <c r="P219" s="4">
        <f>IF($A219=P$217,"",COUNTIF($D$4:$D$213,$A219&amp;" ضد "&amp;P$217)+COUNTIF($D$4:$D$213,P$217&amp;" ضد "&amp;$A219))</f>
        <v>1</v>
      </c>
      <c r="Q219" s="4">
        <f>IF($A219=Q$217,"",COUNTIF($D$4:$D$213,$A219&amp;" ضد "&amp;Q$217)+COUNTIF($D$4:$D$213,Q$217&amp;" ضد "&amp;$A219))</f>
        <v>1</v>
      </c>
      <c r="R219" s="4">
        <f>IF($A219=R$217,"",COUNTIF($D$4:$D$213,$A219&amp;" ضد "&amp;R$217)+COUNTIF($D$4:$D$213,R$217&amp;" ضد "&amp;$A219))</f>
        <v>1</v>
      </c>
      <c r="S219" s="4">
        <f>IF($A219=S$217,"",COUNTIF($D$4:$D$213,$A219&amp;" ضد "&amp;S$217)+COUNTIF($D$4:$D$213,S$217&amp;" ضد "&amp;$A219))</f>
        <v>1</v>
      </c>
      <c r="T219" s="4">
        <f>IF($A219=T$217,"",COUNTIF($D$4:$D$213,$A219&amp;" ضد "&amp;T$217)+COUNTIF($D$4:$D$213,T$217&amp;" ضد "&amp;$A219))</f>
        <v>1</v>
      </c>
      <c r="U219" s="4">
        <f>IF($A219=U$217,"",COUNTIF($D$4:$D$213,$A219&amp;" ضد "&amp;U$217)+COUNTIF($D$4:$D$213,U$217&amp;" ضد "&amp;$A219))</f>
        <v>1</v>
      </c>
      <c r="V219" s="4">
        <f>IF($A219=V$217,"",COUNTIF($D$4:$D$213,$A219&amp;" ضد "&amp;V$217)+COUNTIF($D$4:$D$213,V$217&amp;" ضد "&amp;$A219))</f>
        <v>1</v>
      </c>
    </row>
    <row r="220" spans="1:22" ht="14.5">
      <c r="A220" s="14">
        <v>3</v>
      </c>
      <c r="B220" s="4">
        <f>IF($A220=B$217,"",COUNTIF($D$4:$D$213,$A220&amp;" ضد "&amp;B$217)+COUNTIF($D$4:$D$213,B$217&amp;" ضد "&amp;$A220))</f>
        <v>1</v>
      </c>
      <c r="C220" s="4">
        <f>IF($A220=C$217,"",COUNTIF($D$4:$D$213,$A220&amp;" ضد "&amp;C$217)+COUNTIF($D$4:$D$213,C$217&amp;" ضد "&amp;$A220))</f>
        <v>1</v>
      </c>
      <c r="D220" s="4" t="str">
        <f>IF($A220=D$217,"",COUNTIF($D$4:$D$213,$A220&amp;" ضد "&amp;D$217)+COUNTIF($D$4:$D$213,D$217&amp;" ضد "&amp;$A220))</f>
        <v/>
      </c>
      <c r="E220" s="4">
        <f>IF($A220=E$217,"",COUNTIF($D$4:$D$213,$A220&amp;" ضد "&amp;E$217)+COUNTIF($D$4:$D$213,E$217&amp;" ضد "&amp;$A220))</f>
        <v>1</v>
      </c>
      <c r="F220" s="4">
        <f>IF($A220=F$217,"",COUNTIF($D$4:$D$213,$A220&amp;" ضد "&amp;F$217)+COUNTIF($D$4:$D$213,F$217&amp;" ضد "&amp;$A220))</f>
        <v>1</v>
      </c>
      <c r="G220" s="4">
        <f>IF($A220=G$217,"",COUNTIF($D$4:$D$213,$A220&amp;" ضد "&amp;G$217)+COUNTIF($D$4:$D$213,G$217&amp;" ضد "&amp;$A220))</f>
        <v>1</v>
      </c>
      <c r="H220" s="4">
        <f>IF($A220=H$217,"",COUNTIF($D$4:$D$213,$A220&amp;" ضد "&amp;H$217)+COUNTIF($D$4:$D$213,H$217&amp;" ضد "&amp;$A220))</f>
        <v>1</v>
      </c>
      <c r="I220" s="4">
        <f>IF($A220=I$217,"",COUNTIF($D$4:$D$213,$A220&amp;" ضد "&amp;I$217)+COUNTIF($D$4:$D$213,I$217&amp;" ضد "&amp;$A220))</f>
        <v>1</v>
      </c>
      <c r="J220" s="4">
        <f>IF($A220=J$217,"",COUNTIF($D$4:$D$213,$A220&amp;" ضد "&amp;J$217)+COUNTIF($D$4:$D$213,J$217&amp;" ضد "&amp;$A220))</f>
        <v>1</v>
      </c>
      <c r="K220" s="4">
        <f>IF($A220=K$217,"",COUNTIF($D$4:$D$213,$A220&amp;" ضد "&amp;K$217)+COUNTIF($D$4:$D$213,K$217&amp;" ضد "&amp;$A220))</f>
        <v>1</v>
      </c>
      <c r="L220" s="4">
        <f>IF($A220=L$217,"",COUNTIF($D$4:$D$213,$A220&amp;" ضد "&amp;L$217)+COUNTIF($D$4:$D$213,L$217&amp;" ضد "&amp;$A220))</f>
        <v>1</v>
      </c>
      <c r="M220" s="4">
        <f>IF($A220=M$217,"",COUNTIF($D$4:$D$213,$A220&amp;" ضد "&amp;M$217)+COUNTIF($D$4:$D$213,M$217&amp;" ضد "&amp;$A220))</f>
        <v>1</v>
      </c>
      <c r="N220" s="4">
        <f>IF($A220=N$217,"",COUNTIF($D$4:$D$213,$A220&amp;" ضد "&amp;N$217)+COUNTIF($D$4:$D$213,N$217&amp;" ضد "&amp;$A220))</f>
        <v>1</v>
      </c>
      <c r="O220" s="4">
        <f>IF($A220=O$217,"",COUNTIF($D$4:$D$213,$A220&amp;" ضد "&amp;O$217)+COUNTIF($D$4:$D$213,O$217&amp;" ضد "&amp;$A220))</f>
        <v>1</v>
      </c>
      <c r="P220" s="4">
        <f>IF($A220=P$217,"",COUNTIF($D$4:$D$213,$A220&amp;" ضد "&amp;P$217)+COUNTIF($D$4:$D$213,P$217&amp;" ضد "&amp;$A220))</f>
        <v>1</v>
      </c>
      <c r="Q220" s="4">
        <f>IF($A220=Q$217,"",COUNTIF($D$4:$D$213,$A220&amp;" ضد "&amp;Q$217)+COUNTIF($D$4:$D$213,Q$217&amp;" ضد "&amp;$A220))</f>
        <v>1</v>
      </c>
      <c r="R220" s="4">
        <f>IF($A220=R$217,"",COUNTIF($D$4:$D$213,$A220&amp;" ضد "&amp;R$217)+COUNTIF($D$4:$D$213,R$217&amp;" ضد "&amp;$A220))</f>
        <v>1</v>
      </c>
      <c r="S220" s="4">
        <f>IF($A220=S$217,"",COUNTIF($D$4:$D$213,$A220&amp;" ضد "&amp;S$217)+COUNTIF($D$4:$D$213,S$217&amp;" ضد "&amp;$A220))</f>
        <v>1</v>
      </c>
      <c r="T220" s="4">
        <f>IF($A220=T$217,"",COUNTIF($D$4:$D$213,$A220&amp;" ضد "&amp;T$217)+COUNTIF($D$4:$D$213,T$217&amp;" ضد "&amp;$A220))</f>
        <v>1</v>
      </c>
      <c r="U220" s="4">
        <f>IF($A220=U$217,"",COUNTIF($D$4:$D$213,$A220&amp;" ضد "&amp;U$217)+COUNTIF($D$4:$D$213,U$217&amp;" ضد "&amp;$A220))</f>
        <v>1</v>
      </c>
      <c r="V220" s="4">
        <f>IF($A220=V$217,"",COUNTIF($D$4:$D$213,$A220&amp;" ضد "&amp;V$217)+COUNTIF($D$4:$D$213,V$217&amp;" ضد "&amp;$A220))</f>
        <v>1</v>
      </c>
    </row>
    <row r="221" spans="1:22" ht="14.5">
      <c r="A221" s="14">
        <v>4</v>
      </c>
      <c r="B221" s="4">
        <f>IF($A221=B$217,"",COUNTIF($D$4:$D$213,$A221&amp;" ضد "&amp;B$217)+COUNTIF($D$4:$D$213,B$217&amp;" ضد "&amp;$A221))</f>
        <v>1</v>
      </c>
      <c r="C221" s="4">
        <f>IF($A221=C$217,"",COUNTIF($D$4:$D$213,$A221&amp;" ضد "&amp;C$217)+COUNTIF($D$4:$D$213,C$217&amp;" ضد "&amp;$A221))</f>
        <v>1</v>
      </c>
      <c r="D221" s="4">
        <f>IF($A221=D$217,"",COUNTIF($D$4:$D$213,$A221&amp;" ضد "&amp;D$217)+COUNTIF($D$4:$D$213,D$217&amp;" ضد "&amp;$A221))</f>
        <v>1</v>
      </c>
      <c r="E221" s="4" t="str">
        <f>IF($A221=E$217,"",COUNTIF($D$4:$D$213,$A221&amp;" ضد "&amp;E$217)+COUNTIF($D$4:$D$213,E$217&amp;" ضد "&amp;$A221))</f>
        <v/>
      </c>
      <c r="F221" s="4">
        <f>IF($A221=F$217,"",COUNTIF($D$4:$D$213,$A221&amp;" ضد "&amp;F$217)+COUNTIF($D$4:$D$213,F$217&amp;" ضد "&amp;$A221))</f>
        <v>1</v>
      </c>
      <c r="G221" s="4">
        <f>IF($A221=G$217,"",COUNTIF($D$4:$D$213,$A221&amp;" ضد "&amp;G$217)+COUNTIF($D$4:$D$213,G$217&amp;" ضد "&amp;$A221))</f>
        <v>1</v>
      </c>
      <c r="H221" s="4">
        <f>IF($A221=H$217,"",COUNTIF($D$4:$D$213,$A221&amp;" ضد "&amp;H$217)+COUNTIF($D$4:$D$213,H$217&amp;" ضد "&amp;$A221))</f>
        <v>1</v>
      </c>
      <c r="I221" s="4">
        <f>IF($A221=I$217,"",COUNTIF($D$4:$D$213,$A221&amp;" ضد "&amp;I$217)+COUNTIF($D$4:$D$213,I$217&amp;" ضد "&amp;$A221))</f>
        <v>1</v>
      </c>
      <c r="J221" s="4">
        <f>IF($A221=J$217,"",COUNTIF($D$4:$D$213,$A221&amp;" ضد "&amp;J$217)+COUNTIF($D$4:$D$213,J$217&amp;" ضد "&amp;$A221))</f>
        <v>1</v>
      </c>
      <c r="K221" s="4">
        <f>IF($A221=K$217,"",COUNTIF($D$4:$D$213,$A221&amp;" ضد "&amp;K$217)+COUNTIF($D$4:$D$213,K$217&amp;" ضد "&amp;$A221))</f>
        <v>1</v>
      </c>
      <c r="L221" s="4">
        <f>IF($A221=L$217,"",COUNTIF($D$4:$D$213,$A221&amp;" ضد "&amp;L$217)+COUNTIF($D$4:$D$213,L$217&amp;" ضد "&amp;$A221))</f>
        <v>1</v>
      </c>
      <c r="M221" s="4">
        <f>IF($A221=M$217,"",COUNTIF($D$4:$D$213,$A221&amp;" ضد "&amp;M$217)+COUNTIF($D$4:$D$213,M$217&amp;" ضد "&amp;$A221))</f>
        <v>1</v>
      </c>
      <c r="N221" s="4">
        <f>IF($A221=N$217,"",COUNTIF($D$4:$D$213,$A221&amp;" ضد "&amp;N$217)+COUNTIF($D$4:$D$213,N$217&amp;" ضد "&amp;$A221))</f>
        <v>1</v>
      </c>
      <c r="O221" s="4">
        <f>IF($A221=O$217,"",COUNTIF($D$4:$D$213,$A221&amp;" ضد "&amp;O$217)+COUNTIF($D$4:$D$213,O$217&amp;" ضد "&amp;$A221))</f>
        <v>1</v>
      </c>
      <c r="P221" s="4">
        <f>IF($A221=P$217,"",COUNTIF($D$4:$D$213,$A221&amp;" ضد "&amp;P$217)+COUNTIF($D$4:$D$213,P$217&amp;" ضد "&amp;$A221))</f>
        <v>1</v>
      </c>
      <c r="Q221" s="4">
        <f>IF($A221=Q$217,"",COUNTIF($D$4:$D$213,$A221&amp;" ضد "&amp;Q$217)+COUNTIF($D$4:$D$213,Q$217&amp;" ضد "&amp;$A221))</f>
        <v>1</v>
      </c>
      <c r="R221" s="4">
        <f>IF($A221=R$217,"",COUNTIF($D$4:$D$213,$A221&amp;" ضد "&amp;R$217)+COUNTIF($D$4:$D$213,R$217&amp;" ضد "&amp;$A221))</f>
        <v>1</v>
      </c>
      <c r="S221" s="4">
        <f>IF($A221=S$217,"",COUNTIF($D$4:$D$213,$A221&amp;" ضد "&amp;S$217)+COUNTIF($D$4:$D$213,S$217&amp;" ضد "&amp;$A221))</f>
        <v>1</v>
      </c>
      <c r="T221" s="4">
        <f>IF($A221=T$217,"",COUNTIF($D$4:$D$213,$A221&amp;" ضد "&amp;T$217)+COUNTIF($D$4:$D$213,T$217&amp;" ضد "&amp;$A221))</f>
        <v>1</v>
      </c>
      <c r="U221" s="4">
        <f>IF($A221=U$217,"",COUNTIF($D$4:$D$213,$A221&amp;" ضد "&amp;U$217)+COUNTIF($D$4:$D$213,U$217&amp;" ضد "&amp;$A221))</f>
        <v>1</v>
      </c>
      <c r="V221" s="4">
        <f>IF($A221=V$217,"",COUNTIF($D$4:$D$213,$A221&amp;" ضد "&amp;V$217)+COUNTIF($D$4:$D$213,V$217&amp;" ضد "&amp;$A221))</f>
        <v>1</v>
      </c>
    </row>
    <row r="222" spans="1:22" ht="14.5">
      <c r="A222" s="14">
        <v>5</v>
      </c>
      <c r="B222" s="4">
        <f>IF($A222=B$217,"",COUNTIF($D$4:$D$213,$A222&amp;" ضد "&amp;B$217)+COUNTIF($D$4:$D$213,B$217&amp;" ضد "&amp;$A222))</f>
        <v>1</v>
      </c>
      <c r="C222" s="4">
        <f>IF($A222=C$217,"",COUNTIF($D$4:$D$213,$A222&amp;" ضد "&amp;C$217)+COUNTIF($D$4:$D$213,C$217&amp;" ضد "&amp;$A222))</f>
        <v>1</v>
      </c>
      <c r="D222" s="4">
        <f>IF($A222=D$217,"",COUNTIF($D$4:$D$213,$A222&amp;" ضد "&amp;D$217)+COUNTIF($D$4:$D$213,D$217&amp;" ضد "&amp;$A222))</f>
        <v>1</v>
      </c>
      <c r="E222" s="4">
        <f>IF($A222=E$217,"",COUNTIF($D$4:$D$213,$A222&amp;" ضد "&amp;E$217)+COUNTIF($D$4:$D$213,E$217&amp;" ضد "&amp;$A222))</f>
        <v>1</v>
      </c>
      <c r="F222" s="4" t="str">
        <f>IF($A222=F$217,"",COUNTIF($D$4:$D$213,$A222&amp;" ضد "&amp;F$217)+COUNTIF($D$4:$D$213,F$217&amp;" ضد "&amp;$A222))</f>
        <v/>
      </c>
      <c r="G222" s="4">
        <f>IF($A222=G$217,"",COUNTIF($D$4:$D$213,$A222&amp;" ضد "&amp;G$217)+COUNTIF($D$4:$D$213,G$217&amp;" ضد "&amp;$A222))</f>
        <v>1</v>
      </c>
      <c r="H222" s="4">
        <f>IF($A222=H$217,"",COUNTIF($D$4:$D$213,$A222&amp;" ضد "&amp;H$217)+COUNTIF($D$4:$D$213,H$217&amp;" ضد "&amp;$A222))</f>
        <v>1</v>
      </c>
      <c r="I222" s="4">
        <f>IF($A222=I$217,"",COUNTIF($D$4:$D$213,$A222&amp;" ضد "&amp;I$217)+COUNTIF($D$4:$D$213,I$217&amp;" ضد "&amp;$A222))</f>
        <v>1</v>
      </c>
      <c r="J222" s="4">
        <f>IF($A222=J$217,"",COUNTIF($D$4:$D$213,$A222&amp;" ضد "&amp;J$217)+COUNTIF($D$4:$D$213,J$217&amp;" ضد "&amp;$A222))</f>
        <v>1</v>
      </c>
      <c r="K222" s="4">
        <f>IF($A222=K$217,"",COUNTIF($D$4:$D$213,$A222&amp;" ضد "&amp;K$217)+COUNTIF($D$4:$D$213,K$217&amp;" ضد "&amp;$A222))</f>
        <v>1</v>
      </c>
      <c r="L222" s="4">
        <f>IF($A222=L$217,"",COUNTIF($D$4:$D$213,$A222&amp;" ضد "&amp;L$217)+COUNTIF($D$4:$D$213,L$217&amp;" ضد "&amp;$A222))</f>
        <v>1</v>
      </c>
      <c r="M222" s="4">
        <f>IF($A222=M$217,"",COUNTIF($D$4:$D$213,$A222&amp;" ضد "&amp;M$217)+COUNTIF($D$4:$D$213,M$217&amp;" ضد "&amp;$A222))</f>
        <v>1</v>
      </c>
      <c r="N222" s="4">
        <f>IF($A222=N$217,"",COUNTIF($D$4:$D$213,$A222&amp;" ضد "&amp;N$217)+COUNTIF($D$4:$D$213,N$217&amp;" ضد "&amp;$A222))</f>
        <v>1</v>
      </c>
      <c r="O222" s="4">
        <f>IF($A222=O$217,"",COUNTIF($D$4:$D$213,$A222&amp;" ضد "&amp;O$217)+COUNTIF($D$4:$D$213,O$217&amp;" ضد "&amp;$A222))</f>
        <v>1</v>
      </c>
      <c r="P222" s="4">
        <f>IF($A222=P$217,"",COUNTIF($D$4:$D$213,$A222&amp;" ضد "&amp;P$217)+COUNTIF($D$4:$D$213,P$217&amp;" ضد "&amp;$A222))</f>
        <v>1</v>
      </c>
      <c r="Q222" s="4">
        <f>IF($A222=Q$217,"",COUNTIF($D$4:$D$213,$A222&amp;" ضد "&amp;Q$217)+COUNTIF($D$4:$D$213,Q$217&amp;" ضد "&amp;$A222))</f>
        <v>1</v>
      </c>
      <c r="R222" s="4">
        <f>IF($A222=R$217,"",COUNTIF($D$4:$D$213,$A222&amp;" ضد "&amp;R$217)+COUNTIF($D$4:$D$213,R$217&amp;" ضد "&amp;$A222))</f>
        <v>1</v>
      </c>
      <c r="S222" s="4">
        <f>IF($A222=S$217,"",COUNTIF($D$4:$D$213,$A222&amp;" ضد "&amp;S$217)+COUNTIF($D$4:$D$213,S$217&amp;" ضد "&amp;$A222))</f>
        <v>1</v>
      </c>
      <c r="T222" s="4">
        <f>IF($A222=T$217,"",COUNTIF($D$4:$D$213,$A222&amp;" ضد "&amp;T$217)+COUNTIF($D$4:$D$213,T$217&amp;" ضد "&amp;$A222))</f>
        <v>1</v>
      </c>
      <c r="U222" s="4">
        <f>IF($A222=U$217,"",COUNTIF($D$4:$D$213,$A222&amp;" ضد "&amp;U$217)+COUNTIF($D$4:$D$213,U$217&amp;" ضد "&amp;$A222))</f>
        <v>1</v>
      </c>
      <c r="V222" s="4">
        <f>IF($A222=V$217,"",COUNTIF($D$4:$D$213,$A222&amp;" ضد "&amp;V$217)+COUNTIF($D$4:$D$213,V$217&amp;" ضد "&amp;$A222))</f>
        <v>1</v>
      </c>
    </row>
    <row r="223" spans="1:22" ht="14.5">
      <c r="A223" s="14">
        <v>6</v>
      </c>
      <c r="B223" s="4">
        <f>IF($A223=B$217,"",COUNTIF($D$4:$D$213,$A223&amp;" ضد "&amp;B$217)+COUNTIF($D$4:$D$213,B$217&amp;" ضد "&amp;$A223))</f>
        <v>1</v>
      </c>
      <c r="C223" s="4">
        <f>IF($A223=C$217,"",COUNTIF($D$4:$D$213,$A223&amp;" ضد "&amp;C$217)+COUNTIF($D$4:$D$213,C$217&amp;" ضد "&amp;$A223))</f>
        <v>1</v>
      </c>
      <c r="D223" s="4">
        <f>IF($A223=D$217,"",COUNTIF($D$4:$D$213,$A223&amp;" ضد "&amp;D$217)+COUNTIF($D$4:$D$213,D$217&amp;" ضد "&amp;$A223))</f>
        <v>1</v>
      </c>
      <c r="E223" s="4">
        <f>IF($A223=E$217,"",COUNTIF($D$4:$D$213,$A223&amp;" ضد "&amp;E$217)+COUNTIF($D$4:$D$213,E$217&amp;" ضد "&amp;$A223))</f>
        <v>1</v>
      </c>
      <c r="F223" s="4">
        <f>IF($A223=F$217,"",COUNTIF($D$4:$D$213,$A223&amp;" ضد "&amp;F$217)+COUNTIF($D$4:$D$213,F$217&amp;" ضد "&amp;$A223))</f>
        <v>1</v>
      </c>
      <c r="G223" s="4" t="str">
        <f>IF($A223=G$217,"",COUNTIF($D$4:$D$213,$A223&amp;" ضد "&amp;G$217)+COUNTIF($D$4:$D$213,G$217&amp;" ضد "&amp;$A223))</f>
        <v/>
      </c>
      <c r="H223" s="4">
        <f>IF($A223=H$217,"",COUNTIF($D$4:$D$213,$A223&amp;" ضد "&amp;H$217)+COUNTIF($D$4:$D$213,H$217&amp;" ضد "&amp;$A223))</f>
        <v>1</v>
      </c>
      <c r="I223" s="4">
        <f>IF($A223=I$217,"",COUNTIF($D$4:$D$213,$A223&amp;" ضد "&amp;I$217)+COUNTIF($D$4:$D$213,I$217&amp;" ضد "&amp;$A223))</f>
        <v>1</v>
      </c>
      <c r="J223" s="4">
        <f>IF($A223=J$217,"",COUNTIF($D$4:$D$213,$A223&amp;" ضد "&amp;J$217)+COUNTIF($D$4:$D$213,J$217&amp;" ضد "&amp;$A223))</f>
        <v>1</v>
      </c>
      <c r="K223" s="4">
        <f>IF($A223=K$217,"",COUNTIF($D$4:$D$213,$A223&amp;" ضد "&amp;K$217)+COUNTIF($D$4:$D$213,K$217&amp;" ضد "&amp;$A223))</f>
        <v>1</v>
      </c>
      <c r="L223" s="4">
        <f>IF($A223=L$217,"",COUNTIF($D$4:$D$213,$A223&amp;" ضد "&amp;L$217)+COUNTIF($D$4:$D$213,L$217&amp;" ضد "&amp;$A223))</f>
        <v>1</v>
      </c>
      <c r="M223" s="4">
        <f>IF($A223=M$217,"",COUNTIF($D$4:$D$213,$A223&amp;" ضد "&amp;M$217)+COUNTIF($D$4:$D$213,M$217&amp;" ضد "&amp;$A223))</f>
        <v>1</v>
      </c>
      <c r="N223" s="4">
        <f>IF($A223=N$217,"",COUNTIF($D$4:$D$213,$A223&amp;" ضد "&amp;N$217)+COUNTIF($D$4:$D$213,N$217&amp;" ضد "&amp;$A223))</f>
        <v>1</v>
      </c>
      <c r="O223" s="4">
        <f>IF($A223=O$217,"",COUNTIF($D$4:$D$213,$A223&amp;" ضد "&amp;O$217)+COUNTIF($D$4:$D$213,O$217&amp;" ضد "&amp;$A223))</f>
        <v>1</v>
      </c>
      <c r="P223" s="4">
        <f>IF($A223=P$217,"",COUNTIF($D$4:$D$213,$A223&amp;" ضد "&amp;P$217)+COUNTIF($D$4:$D$213,P$217&amp;" ضد "&amp;$A223))</f>
        <v>1</v>
      </c>
      <c r="Q223" s="4">
        <f>IF($A223=Q$217,"",COUNTIF($D$4:$D$213,$A223&amp;" ضد "&amp;Q$217)+COUNTIF($D$4:$D$213,Q$217&amp;" ضد "&amp;$A223))</f>
        <v>1</v>
      </c>
      <c r="R223" s="4">
        <f>IF($A223=R$217,"",COUNTIF($D$4:$D$213,$A223&amp;" ضد "&amp;R$217)+COUNTIF($D$4:$D$213,R$217&amp;" ضد "&amp;$A223))</f>
        <v>1</v>
      </c>
      <c r="S223" s="4">
        <f>IF($A223=S$217,"",COUNTIF($D$4:$D$213,$A223&amp;" ضد "&amp;S$217)+COUNTIF($D$4:$D$213,S$217&amp;" ضد "&amp;$A223))</f>
        <v>1</v>
      </c>
      <c r="T223" s="4">
        <f>IF($A223=T$217,"",COUNTIF($D$4:$D$213,$A223&amp;" ضد "&amp;T$217)+COUNTIF($D$4:$D$213,T$217&amp;" ضد "&amp;$A223))</f>
        <v>1</v>
      </c>
      <c r="U223" s="4">
        <f>IF($A223=U$217,"",COUNTIF($D$4:$D$213,$A223&amp;" ضد "&amp;U$217)+COUNTIF($D$4:$D$213,U$217&amp;" ضد "&amp;$A223))</f>
        <v>1</v>
      </c>
      <c r="V223" s="4">
        <f>IF($A223=V$217,"",COUNTIF($D$4:$D$213,$A223&amp;" ضد "&amp;V$217)+COUNTIF($D$4:$D$213,V$217&amp;" ضد "&amp;$A223))</f>
        <v>1</v>
      </c>
    </row>
    <row r="224" spans="1:22" ht="14.5">
      <c r="A224" s="14">
        <v>7</v>
      </c>
      <c r="B224" s="4">
        <f>IF($A224=B$217,"",COUNTIF($D$4:$D$213,$A224&amp;" ضد "&amp;B$217)+COUNTIF($D$4:$D$213,B$217&amp;" ضد "&amp;$A224))</f>
        <v>1</v>
      </c>
      <c r="C224" s="4">
        <f>IF($A224=C$217,"",COUNTIF($D$4:$D$213,$A224&amp;" ضد "&amp;C$217)+COUNTIF($D$4:$D$213,C$217&amp;" ضد "&amp;$A224))</f>
        <v>1</v>
      </c>
      <c r="D224" s="4">
        <f>IF($A224=D$217,"",COUNTIF($D$4:$D$213,$A224&amp;" ضد "&amp;D$217)+COUNTIF($D$4:$D$213,D$217&amp;" ضد "&amp;$A224))</f>
        <v>1</v>
      </c>
      <c r="E224" s="4">
        <f>IF($A224=E$217,"",COUNTIF($D$4:$D$213,$A224&amp;" ضد "&amp;E$217)+COUNTIF($D$4:$D$213,E$217&amp;" ضد "&amp;$A224))</f>
        <v>1</v>
      </c>
      <c r="F224" s="4">
        <f>IF($A224=F$217,"",COUNTIF($D$4:$D$213,$A224&amp;" ضد "&amp;F$217)+COUNTIF($D$4:$D$213,F$217&amp;" ضد "&amp;$A224))</f>
        <v>1</v>
      </c>
      <c r="G224" s="4">
        <f>IF($A224=G$217,"",COUNTIF($D$4:$D$213,$A224&amp;" ضد "&amp;G$217)+COUNTIF($D$4:$D$213,G$217&amp;" ضد "&amp;$A224))</f>
        <v>1</v>
      </c>
      <c r="H224" s="4" t="str">
        <f>IF($A224=H$217,"",COUNTIF($D$4:$D$213,$A224&amp;" ضد "&amp;H$217)+COUNTIF($D$4:$D$213,H$217&amp;" ضد "&amp;$A224))</f>
        <v/>
      </c>
      <c r="I224" s="4">
        <f>IF($A224=I$217,"",COUNTIF($D$4:$D$213,$A224&amp;" ضد "&amp;I$217)+COUNTIF($D$4:$D$213,I$217&amp;" ضد "&amp;$A224))</f>
        <v>1</v>
      </c>
      <c r="J224" s="4">
        <f>IF($A224=J$217,"",COUNTIF($D$4:$D$213,$A224&amp;" ضد "&amp;J$217)+COUNTIF($D$4:$D$213,J$217&amp;" ضد "&amp;$A224))</f>
        <v>1</v>
      </c>
      <c r="K224" s="4">
        <f>IF($A224=K$217,"",COUNTIF($D$4:$D$213,$A224&amp;" ضد "&amp;K$217)+COUNTIF($D$4:$D$213,K$217&amp;" ضد "&amp;$A224))</f>
        <v>1</v>
      </c>
      <c r="L224" s="4">
        <f>IF($A224=L$217,"",COUNTIF($D$4:$D$213,$A224&amp;" ضد "&amp;L$217)+COUNTIF($D$4:$D$213,L$217&amp;" ضد "&amp;$A224))</f>
        <v>1</v>
      </c>
      <c r="M224" s="4">
        <f>IF($A224=M$217,"",COUNTIF($D$4:$D$213,$A224&amp;" ضد "&amp;M$217)+COUNTIF($D$4:$D$213,M$217&amp;" ضد "&amp;$A224))</f>
        <v>1</v>
      </c>
      <c r="N224" s="4">
        <f>IF($A224=N$217,"",COUNTIF($D$4:$D$213,$A224&amp;" ضد "&amp;N$217)+COUNTIF($D$4:$D$213,N$217&amp;" ضد "&amp;$A224))</f>
        <v>1</v>
      </c>
      <c r="O224" s="4">
        <f>IF($A224=O$217,"",COUNTIF($D$4:$D$213,$A224&amp;" ضد "&amp;O$217)+COUNTIF($D$4:$D$213,O$217&amp;" ضد "&amp;$A224))</f>
        <v>1</v>
      </c>
      <c r="P224" s="4">
        <f>IF($A224=P$217,"",COUNTIF($D$4:$D$213,$A224&amp;" ضد "&amp;P$217)+COUNTIF($D$4:$D$213,P$217&amp;" ضد "&amp;$A224))</f>
        <v>1</v>
      </c>
      <c r="Q224" s="4">
        <f>IF($A224=Q$217,"",COUNTIF($D$4:$D$213,$A224&amp;" ضد "&amp;Q$217)+COUNTIF($D$4:$D$213,Q$217&amp;" ضد "&amp;$A224))</f>
        <v>1</v>
      </c>
      <c r="R224" s="4">
        <f>IF($A224=R$217,"",COUNTIF($D$4:$D$213,$A224&amp;" ضد "&amp;R$217)+COUNTIF($D$4:$D$213,R$217&amp;" ضد "&amp;$A224))</f>
        <v>1</v>
      </c>
      <c r="S224" s="4">
        <f>IF($A224=S$217,"",COUNTIF($D$4:$D$213,$A224&amp;" ضد "&amp;S$217)+COUNTIF($D$4:$D$213,S$217&amp;" ضد "&amp;$A224))</f>
        <v>1</v>
      </c>
      <c r="T224" s="4">
        <f>IF($A224=T$217,"",COUNTIF($D$4:$D$213,$A224&amp;" ضد "&amp;T$217)+COUNTIF($D$4:$D$213,T$217&amp;" ضد "&amp;$A224))</f>
        <v>1</v>
      </c>
      <c r="U224" s="4">
        <f>IF($A224=U$217,"",COUNTIF($D$4:$D$213,$A224&amp;" ضد "&amp;U$217)+COUNTIF($D$4:$D$213,U$217&amp;" ضد "&amp;$A224))</f>
        <v>1</v>
      </c>
      <c r="V224" s="4">
        <f>IF($A224=V$217,"",COUNTIF($D$4:$D$213,$A224&amp;" ضد "&amp;V$217)+COUNTIF($D$4:$D$213,V$217&amp;" ضد "&amp;$A224))</f>
        <v>1</v>
      </c>
    </row>
    <row r="225" spans="1:22" ht="14.5">
      <c r="A225" s="14">
        <v>8</v>
      </c>
      <c r="B225" s="4">
        <f>IF($A225=B$217,"",COUNTIF($D$4:$D$213,$A225&amp;" ضد "&amp;B$217)+COUNTIF($D$4:$D$213,B$217&amp;" ضد "&amp;$A225))</f>
        <v>1</v>
      </c>
      <c r="C225" s="4">
        <f>IF($A225=C$217,"",COUNTIF($D$4:$D$213,$A225&amp;" ضد "&amp;C$217)+COUNTIF($D$4:$D$213,C$217&amp;" ضد "&amp;$A225))</f>
        <v>1</v>
      </c>
      <c r="D225" s="4">
        <f>IF($A225=D$217,"",COUNTIF($D$4:$D$213,$A225&amp;" ضد "&amp;D$217)+COUNTIF($D$4:$D$213,D$217&amp;" ضد "&amp;$A225))</f>
        <v>1</v>
      </c>
      <c r="E225" s="4">
        <f>IF($A225=E$217,"",COUNTIF($D$4:$D$213,$A225&amp;" ضد "&amp;E$217)+COUNTIF($D$4:$D$213,E$217&amp;" ضد "&amp;$A225))</f>
        <v>1</v>
      </c>
      <c r="F225" s="4">
        <f>IF($A225=F$217,"",COUNTIF($D$4:$D$213,$A225&amp;" ضد "&amp;F$217)+COUNTIF($D$4:$D$213,F$217&amp;" ضد "&amp;$A225))</f>
        <v>1</v>
      </c>
      <c r="G225" s="4">
        <f>IF($A225=G$217,"",COUNTIF($D$4:$D$213,$A225&amp;" ضد "&amp;G$217)+COUNTIF($D$4:$D$213,G$217&amp;" ضد "&amp;$A225))</f>
        <v>1</v>
      </c>
      <c r="H225" s="4">
        <f>IF($A225=H$217,"",COUNTIF($D$4:$D$213,$A225&amp;" ضد "&amp;H$217)+COUNTIF($D$4:$D$213,H$217&amp;" ضد "&amp;$A225))</f>
        <v>1</v>
      </c>
      <c r="I225" s="4" t="str">
        <f>IF($A225=I$217,"",COUNTIF($D$4:$D$213,$A225&amp;" ضد "&amp;I$217)+COUNTIF($D$4:$D$213,I$217&amp;" ضد "&amp;$A225))</f>
        <v/>
      </c>
      <c r="J225" s="4">
        <f>IF($A225=J$217,"",COUNTIF($D$4:$D$213,$A225&amp;" ضد "&amp;J$217)+COUNTIF($D$4:$D$213,J$217&amp;" ضد "&amp;$A225))</f>
        <v>1</v>
      </c>
      <c r="K225" s="4">
        <f>IF($A225=K$217,"",COUNTIF($D$4:$D$213,$A225&amp;" ضد "&amp;K$217)+COUNTIF($D$4:$D$213,K$217&amp;" ضد "&amp;$A225))</f>
        <v>1</v>
      </c>
      <c r="L225" s="4">
        <f>IF($A225=L$217,"",COUNTIF($D$4:$D$213,$A225&amp;" ضد "&amp;L$217)+COUNTIF($D$4:$D$213,L$217&amp;" ضد "&amp;$A225))</f>
        <v>1</v>
      </c>
      <c r="M225" s="4">
        <f>IF($A225=M$217,"",COUNTIF($D$4:$D$213,$A225&amp;" ضد "&amp;M$217)+COUNTIF($D$4:$D$213,M$217&amp;" ضد "&amp;$A225))</f>
        <v>1</v>
      </c>
      <c r="N225" s="4">
        <f>IF($A225=N$217,"",COUNTIF($D$4:$D$213,$A225&amp;" ضد "&amp;N$217)+COUNTIF($D$4:$D$213,N$217&amp;" ضد "&amp;$A225))</f>
        <v>1</v>
      </c>
      <c r="O225" s="4">
        <f>IF($A225=O$217,"",COUNTIF($D$4:$D$213,$A225&amp;" ضد "&amp;O$217)+COUNTIF($D$4:$D$213,O$217&amp;" ضد "&amp;$A225))</f>
        <v>1</v>
      </c>
      <c r="P225" s="4">
        <f>IF($A225=P$217,"",COUNTIF($D$4:$D$213,$A225&amp;" ضد "&amp;P$217)+COUNTIF($D$4:$D$213,P$217&amp;" ضد "&amp;$A225))</f>
        <v>1</v>
      </c>
      <c r="Q225" s="4">
        <f>IF($A225=Q$217,"",COUNTIF($D$4:$D$213,$A225&amp;" ضد "&amp;Q$217)+COUNTIF($D$4:$D$213,Q$217&amp;" ضد "&amp;$A225))</f>
        <v>1</v>
      </c>
      <c r="R225" s="4">
        <f>IF($A225=R$217,"",COUNTIF($D$4:$D$213,$A225&amp;" ضد "&amp;R$217)+COUNTIF($D$4:$D$213,R$217&amp;" ضد "&amp;$A225))</f>
        <v>1</v>
      </c>
      <c r="S225" s="4">
        <f>IF($A225=S$217,"",COUNTIF($D$4:$D$213,$A225&amp;" ضد "&amp;S$217)+COUNTIF($D$4:$D$213,S$217&amp;" ضد "&amp;$A225))</f>
        <v>1</v>
      </c>
      <c r="T225" s="4">
        <f>IF($A225=T$217,"",COUNTIF($D$4:$D$213,$A225&amp;" ضد "&amp;T$217)+COUNTIF($D$4:$D$213,T$217&amp;" ضد "&amp;$A225))</f>
        <v>1</v>
      </c>
      <c r="U225" s="4">
        <f>IF($A225=U$217,"",COUNTIF($D$4:$D$213,$A225&amp;" ضد "&amp;U$217)+COUNTIF($D$4:$D$213,U$217&amp;" ضد "&amp;$A225))</f>
        <v>1</v>
      </c>
      <c r="V225" s="4">
        <f>IF($A225=V$217,"",COUNTIF($D$4:$D$213,$A225&amp;" ضد "&amp;V$217)+COUNTIF($D$4:$D$213,V$217&amp;" ضد "&amp;$A225))</f>
        <v>1</v>
      </c>
    </row>
    <row r="226" spans="1:22" ht="14.5">
      <c r="A226" s="14">
        <v>9</v>
      </c>
      <c r="B226" s="4">
        <f>IF($A226=B$217,"",COUNTIF($D$4:$D$213,$A226&amp;" ضد "&amp;B$217)+COUNTIF($D$4:$D$213,B$217&amp;" ضد "&amp;$A226))</f>
        <v>1</v>
      </c>
      <c r="C226" s="4">
        <f>IF($A226=C$217,"",COUNTIF($D$4:$D$213,$A226&amp;" ضد "&amp;C$217)+COUNTIF($D$4:$D$213,C$217&amp;" ضد "&amp;$A226))</f>
        <v>1</v>
      </c>
      <c r="D226" s="4">
        <f>IF($A226=D$217,"",COUNTIF($D$4:$D$213,$A226&amp;" ضد "&amp;D$217)+COUNTIF($D$4:$D$213,D$217&amp;" ضد "&amp;$A226))</f>
        <v>1</v>
      </c>
      <c r="E226" s="4">
        <f>IF($A226=E$217,"",COUNTIF($D$4:$D$213,$A226&amp;" ضد "&amp;E$217)+COUNTIF($D$4:$D$213,E$217&amp;" ضد "&amp;$A226))</f>
        <v>1</v>
      </c>
      <c r="F226" s="4">
        <f>IF($A226=F$217,"",COUNTIF($D$4:$D$213,$A226&amp;" ضد "&amp;F$217)+COUNTIF($D$4:$D$213,F$217&amp;" ضد "&amp;$A226))</f>
        <v>1</v>
      </c>
      <c r="G226" s="4">
        <f>IF($A226=G$217,"",COUNTIF($D$4:$D$213,$A226&amp;" ضد "&amp;G$217)+COUNTIF($D$4:$D$213,G$217&amp;" ضد "&amp;$A226))</f>
        <v>1</v>
      </c>
      <c r="H226" s="4">
        <f>IF($A226=H$217,"",COUNTIF($D$4:$D$213,$A226&amp;" ضد "&amp;H$217)+COUNTIF($D$4:$D$213,H$217&amp;" ضد "&amp;$A226))</f>
        <v>1</v>
      </c>
      <c r="I226" s="4">
        <f>IF($A226=I$217,"",COUNTIF($D$4:$D$213,$A226&amp;" ضد "&amp;I$217)+COUNTIF($D$4:$D$213,I$217&amp;" ضد "&amp;$A226))</f>
        <v>1</v>
      </c>
      <c r="J226" s="4" t="str">
        <f>IF($A226=J$217,"",COUNTIF($D$4:$D$213,$A226&amp;" ضد "&amp;J$217)+COUNTIF($D$4:$D$213,J$217&amp;" ضد "&amp;$A226))</f>
        <v/>
      </c>
      <c r="K226" s="4">
        <f>IF($A226=K$217,"",COUNTIF($D$4:$D$213,$A226&amp;" ضد "&amp;K$217)+COUNTIF($D$4:$D$213,K$217&amp;" ضد "&amp;$A226))</f>
        <v>1</v>
      </c>
      <c r="L226" s="4">
        <f>IF($A226=L$217,"",COUNTIF($D$4:$D$213,$A226&amp;" ضد "&amp;L$217)+COUNTIF($D$4:$D$213,L$217&amp;" ضد "&amp;$A226))</f>
        <v>1</v>
      </c>
      <c r="M226" s="4">
        <f>IF($A226=M$217,"",COUNTIF($D$4:$D$213,$A226&amp;" ضد "&amp;M$217)+COUNTIF($D$4:$D$213,M$217&amp;" ضد "&amp;$A226))</f>
        <v>1</v>
      </c>
      <c r="N226" s="4">
        <f>IF($A226=N$217,"",COUNTIF($D$4:$D$213,$A226&amp;" ضد "&amp;N$217)+COUNTIF($D$4:$D$213,N$217&amp;" ضد "&amp;$A226))</f>
        <v>1</v>
      </c>
      <c r="O226" s="4">
        <f>IF($A226=O$217,"",COUNTIF($D$4:$D$213,$A226&amp;" ضد "&amp;O$217)+COUNTIF($D$4:$D$213,O$217&amp;" ضد "&amp;$A226))</f>
        <v>1</v>
      </c>
      <c r="P226" s="4">
        <f>IF($A226=P$217,"",COUNTIF($D$4:$D$213,$A226&amp;" ضد "&amp;P$217)+COUNTIF($D$4:$D$213,P$217&amp;" ضد "&amp;$A226))</f>
        <v>1</v>
      </c>
      <c r="Q226" s="4">
        <f>IF($A226=Q$217,"",COUNTIF($D$4:$D$213,$A226&amp;" ضد "&amp;Q$217)+COUNTIF($D$4:$D$213,Q$217&amp;" ضد "&amp;$A226))</f>
        <v>1</v>
      </c>
      <c r="R226" s="4">
        <f>IF($A226=R$217,"",COUNTIF($D$4:$D$213,$A226&amp;" ضد "&amp;R$217)+COUNTIF($D$4:$D$213,R$217&amp;" ضد "&amp;$A226))</f>
        <v>1</v>
      </c>
      <c r="S226" s="4">
        <f>IF($A226=S$217,"",COUNTIF($D$4:$D$213,$A226&amp;" ضد "&amp;S$217)+COUNTIF($D$4:$D$213,S$217&amp;" ضد "&amp;$A226))</f>
        <v>1</v>
      </c>
      <c r="T226" s="4">
        <f>IF($A226=T$217,"",COUNTIF($D$4:$D$213,$A226&amp;" ضد "&amp;T$217)+COUNTIF($D$4:$D$213,T$217&amp;" ضد "&amp;$A226))</f>
        <v>1</v>
      </c>
      <c r="U226" s="4">
        <f>IF($A226=U$217,"",COUNTIF($D$4:$D$213,$A226&amp;" ضد "&amp;U$217)+COUNTIF($D$4:$D$213,U$217&amp;" ضد "&amp;$A226))</f>
        <v>1</v>
      </c>
      <c r="V226" s="4">
        <f>IF($A226=V$217,"",COUNTIF($D$4:$D$213,$A226&amp;" ضد "&amp;V$217)+COUNTIF($D$4:$D$213,V$217&amp;" ضد "&amp;$A226))</f>
        <v>1</v>
      </c>
    </row>
    <row r="227" spans="1:22" ht="14.5">
      <c r="A227" s="14">
        <v>10</v>
      </c>
      <c r="B227" s="4">
        <f>IF($A227=B$217,"",COUNTIF($D$4:$D$213,$A227&amp;" ضد "&amp;B$217)+COUNTIF($D$4:$D$213,B$217&amp;" ضد "&amp;$A227))</f>
        <v>1</v>
      </c>
      <c r="C227" s="4">
        <f>IF($A227=C$217,"",COUNTIF($D$4:$D$213,$A227&amp;" ضد "&amp;C$217)+COUNTIF($D$4:$D$213,C$217&amp;" ضد "&amp;$A227))</f>
        <v>1</v>
      </c>
      <c r="D227" s="4">
        <f>IF($A227=D$217,"",COUNTIF($D$4:$D$213,$A227&amp;" ضد "&amp;D$217)+COUNTIF($D$4:$D$213,D$217&amp;" ضد "&amp;$A227))</f>
        <v>1</v>
      </c>
      <c r="E227" s="4">
        <f>IF($A227=E$217,"",COUNTIF($D$4:$D$213,$A227&amp;" ضد "&amp;E$217)+COUNTIF($D$4:$D$213,E$217&amp;" ضد "&amp;$A227))</f>
        <v>1</v>
      </c>
      <c r="F227" s="4">
        <f>IF($A227=F$217,"",COUNTIF($D$4:$D$213,$A227&amp;" ضد "&amp;F$217)+COUNTIF($D$4:$D$213,F$217&amp;" ضد "&amp;$A227))</f>
        <v>1</v>
      </c>
      <c r="G227" s="4">
        <f>IF($A227=G$217,"",COUNTIF($D$4:$D$213,$A227&amp;" ضد "&amp;G$217)+COUNTIF($D$4:$D$213,G$217&amp;" ضد "&amp;$A227))</f>
        <v>1</v>
      </c>
      <c r="H227" s="4">
        <f>IF($A227=H$217,"",COUNTIF($D$4:$D$213,$A227&amp;" ضد "&amp;H$217)+COUNTIF($D$4:$D$213,H$217&amp;" ضد "&amp;$A227))</f>
        <v>1</v>
      </c>
      <c r="I227" s="4">
        <f>IF($A227=I$217,"",COUNTIF($D$4:$D$213,$A227&amp;" ضد "&amp;I$217)+COUNTIF($D$4:$D$213,I$217&amp;" ضد "&amp;$A227))</f>
        <v>1</v>
      </c>
      <c r="J227" s="4">
        <f>IF($A227=J$217,"",COUNTIF($D$4:$D$213,$A227&amp;" ضد "&amp;J$217)+COUNTIF($D$4:$D$213,J$217&amp;" ضد "&amp;$A227))</f>
        <v>1</v>
      </c>
      <c r="K227" s="4" t="str">
        <f>IF($A227=K$217,"",COUNTIF($D$4:$D$213,$A227&amp;" ضد "&amp;K$217)+COUNTIF($D$4:$D$213,K$217&amp;" ضد "&amp;$A227))</f>
        <v/>
      </c>
      <c r="L227" s="4">
        <f>IF($A227=L$217,"",COUNTIF($D$4:$D$213,$A227&amp;" ضد "&amp;L$217)+COUNTIF($D$4:$D$213,L$217&amp;" ضد "&amp;$A227))</f>
        <v>1</v>
      </c>
      <c r="M227" s="4">
        <f>IF($A227=M$217,"",COUNTIF($D$4:$D$213,$A227&amp;" ضد "&amp;M$217)+COUNTIF($D$4:$D$213,M$217&amp;" ضد "&amp;$A227))</f>
        <v>1</v>
      </c>
      <c r="N227" s="4">
        <f>IF($A227=N$217,"",COUNTIF($D$4:$D$213,$A227&amp;" ضد "&amp;N$217)+COUNTIF($D$4:$D$213,N$217&amp;" ضد "&amp;$A227))</f>
        <v>1</v>
      </c>
      <c r="O227" s="4">
        <f>IF($A227=O$217,"",COUNTIF($D$4:$D$213,$A227&amp;" ضد "&amp;O$217)+COUNTIF($D$4:$D$213,O$217&amp;" ضد "&amp;$A227))</f>
        <v>1</v>
      </c>
      <c r="P227" s="4">
        <f>IF($A227=P$217,"",COUNTIF($D$4:$D$213,$A227&amp;" ضد "&amp;P$217)+COUNTIF($D$4:$D$213,P$217&amp;" ضد "&amp;$A227))</f>
        <v>1</v>
      </c>
      <c r="Q227" s="4">
        <f>IF($A227=Q$217,"",COUNTIF($D$4:$D$213,$A227&amp;" ضد "&amp;Q$217)+COUNTIF($D$4:$D$213,Q$217&amp;" ضد "&amp;$A227))</f>
        <v>1</v>
      </c>
      <c r="R227" s="4">
        <f>IF($A227=R$217,"",COUNTIF($D$4:$D$213,$A227&amp;" ضد "&amp;R$217)+COUNTIF($D$4:$D$213,R$217&amp;" ضد "&amp;$A227))</f>
        <v>1</v>
      </c>
      <c r="S227" s="4">
        <f>IF($A227=S$217,"",COUNTIF($D$4:$D$213,$A227&amp;" ضد "&amp;S$217)+COUNTIF($D$4:$D$213,S$217&amp;" ضد "&amp;$A227))</f>
        <v>1</v>
      </c>
      <c r="T227" s="4">
        <f>IF($A227=T$217,"",COUNTIF($D$4:$D$213,$A227&amp;" ضد "&amp;T$217)+COUNTIF($D$4:$D$213,T$217&amp;" ضد "&amp;$A227))</f>
        <v>1</v>
      </c>
      <c r="U227" s="4">
        <f>IF($A227=U$217,"",COUNTIF($D$4:$D$213,$A227&amp;" ضد "&amp;U$217)+COUNTIF($D$4:$D$213,U$217&amp;" ضد "&amp;$A227))</f>
        <v>1</v>
      </c>
      <c r="V227" s="4">
        <f>IF($A227=V$217,"",COUNTIF($D$4:$D$213,$A227&amp;" ضد "&amp;V$217)+COUNTIF($D$4:$D$213,V$217&amp;" ضد "&amp;$A227))</f>
        <v>1</v>
      </c>
    </row>
    <row r="228" spans="1:22" ht="14.5">
      <c r="A228" s="14">
        <v>11</v>
      </c>
      <c r="B228" s="4">
        <f>IF($A228=B$217,"",COUNTIF($D$4:$D$213,$A228&amp;" ضد "&amp;B$217)+COUNTIF($D$4:$D$213,B$217&amp;" ضد "&amp;$A228))</f>
        <v>1</v>
      </c>
      <c r="C228" s="4">
        <f>IF($A228=C$217,"",COUNTIF($D$4:$D$213,$A228&amp;" ضد "&amp;C$217)+COUNTIF($D$4:$D$213,C$217&amp;" ضد "&amp;$A228))</f>
        <v>1</v>
      </c>
      <c r="D228" s="4">
        <f>IF($A228=D$217,"",COUNTIF($D$4:$D$213,$A228&amp;" ضد "&amp;D$217)+COUNTIF($D$4:$D$213,D$217&amp;" ضد "&amp;$A228))</f>
        <v>1</v>
      </c>
      <c r="E228" s="4">
        <f>IF($A228=E$217,"",COUNTIF($D$4:$D$213,$A228&amp;" ضد "&amp;E$217)+COUNTIF($D$4:$D$213,E$217&amp;" ضد "&amp;$A228))</f>
        <v>1</v>
      </c>
      <c r="F228" s="4">
        <f>IF($A228=F$217,"",COUNTIF($D$4:$D$213,$A228&amp;" ضد "&amp;F$217)+COUNTIF($D$4:$D$213,F$217&amp;" ضد "&amp;$A228))</f>
        <v>1</v>
      </c>
      <c r="G228" s="4">
        <f>IF($A228=G$217,"",COUNTIF($D$4:$D$213,$A228&amp;" ضد "&amp;G$217)+COUNTIF($D$4:$D$213,G$217&amp;" ضد "&amp;$A228))</f>
        <v>1</v>
      </c>
      <c r="H228" s="4">
        <f>IF($A228=H$217,"",COUNTIF($D$4:$D$213,$A228&amp;" ضد "&amp;H$217)+COUNTIF($D$4:$D$213,H$217&amp;" ضد "&amp;$A228))</f>
        <v>1</v>
      </c>
      <c r="I228" s="4">
        <f>IF($A228=I$217,"",COUNTIF($D$4:$D$213,$A228&amp;" ضد "&amp;I$217)+COUNTIF($D$4:$D$213,I$217&amp;" ضد "&amp;$A228))</f>
        <v>1</v>
      </c>
      <c r="J228" s="4">
        <f>IF($A228=J$217,"",COUNTIF($D$4:$D$213,$A228&amp;" ضد "&amp;J$217)+COUNTIF($D$4:$D$213,J$217&amp;" ضد "&amp;$A228))</f>
        <v>1</v>
      </c>
      <c r="K228" s="4">
        <f>IF($A228=K$217,"",COUNTIF($D$4:$D$213,$A228&amp;" ضد "&amp;K$217)+COUNTIF($D$4:$D$213,K$217&amp;" ضد "&amp;$A228))</f>
        <v>1</v>
      </c>
      <c r="L228" s="4" t="str">
        <f>IF($A228=L$217,"",COUNTIF($D$4:$D$213,$A228&amp;" ضد "&amp;L$217)+COUNTIF($D$4:$D$213,L$217&amp;" ضد "&amp;$A228))</f>
        <v/>
      </c>
      <c r="M228" s="4">
        <f>IF($A228=M$217,"",COUNTIF($D$4:$D$213,$A228&amp;" ضد "&amp;M$217)+COUNTIF($D$4:$D$213,M$217&amp;" ضد "&amp;$A228))</f>
        <v>1</v>
      </c>
      <c r="N228" s="4">
        <f>IF($A228=N$217,"",COUNTIF($D$4:$D$213,$A228&amp;" ضد "&amp;N$217)+COUNTIF($D$4:$D$213,N$217&amp;" ضد "&amp;$A228))</f>
        <v>1</v>
      </c>
      <c r="O228" s="4">
        <f>IF($A228=O$217,"",COUNTIF($D$4:$D$213,$A228&amp;" ضد "&amp;O$217)+COUNTIF($D$4:$D$213,O$217&amp;" ضد "&amp;$A228))</f>
        <v>1</v>
      </c>
      <c r="P228" s="4">
        <f>IF($A228=P$217,"",COUNTIF($D$4:$D$213,$A228&amp;" ضد "&amp;P$217)+COUNTIF($D$4:$D$213,P$217&amp;" ضد "&amp;$A228))</f>
        <v>1</v>
      </c>
      <c r="Q228" s="4">
        <f>IF($A228=Q$217,"",COUNTIF($D$4:$D$213,$A228&amp;" ضد "&amp;Q$217)+COUNTIF($D$4:$D$213,Q$217&amp;" ضد "&amp;$A228))</f>
        <v>1</v>
      </c>
      <c r="R228" s="4">
        <f>IF($A228=R$217,"",COUNTIF($D$4:$D$213,$A228&amp;" ضد "&amp;R$217)+COUNTIF($D$4:$D$213,R$217&amp;" ضد "&amp;$A228))</f>
        <v>1</v>
      </c>
      <c r="S228" s="4">
        <f>IF($A228=S$217,"",COUNTIF($D$4:$D$213,$A228&amp;" ضد "&amp;S$217)+COUNTIF($D$4:$D$213,S$217&amp;" ضد "&amp;$A228))</f>
        <v>1</v>
      </c>
      <c r="T228" s="4">
        <f>IF($A228=T$217,"",COUNTIF($D$4:$D$213,$A228&amp;" ضد "&amp;T$217)+COUNTIF($D$4:$D$213,T$217&amp;" ضد "&amp;$A228))</f>
        <v>1</v>
      </c>
      <c r="U228" s="4">
        <f>IF($A228=U$217,"",COUNTIF($D$4:$D$213,$A228&amp;" ضد "&amp;U$217)+COUNTIF($D$4:$D$213,U$217&amp;" ضد "&amp;$A228))</f>
        <v>1</v>
      </c>
      <c r="V228" s="4">
        <f>IF($A228=V$217,"",COUNTIF($D$4:$D$213,$A228&amp;" ضد "&amp;V$217)+COUNTIF($D$4:$D$213,V$217&amp;" ضد "&amp;$A228))</f>
        <v>1</v>
      </c>
    </row>
    <row r="229" spans="1:22" ht="14.5">
      <c r="A229" s="14">
        <v>12</v>
      </c>
      <c r="B229" s="4">
        <f>IF($A229=B$217,"",COUNTIF($D$4:$D$213,$A229&amp;" ضد "&amp;B$217)+COUNTIF($D$4:$D$213,B$217&amp;" ضد "&amp;$A229))</f>
        <v>1</v>
      </c>
      <c r="C229" s="4">
        <f>IF($A229=C$217,"",COUNTIF($D$4:$D$213,$A229&amp;" ضد "&amp;C$217)+COUNTIF($D$4:$D$213,C$217&amp;" ضد "&amp;$A229))</f>
        <v>1</v>
      </c>
      <c r="D229" s="4">
        <f>IF($A229=D$217,"",COUNTIF($D$4:$D$213,$A229&amp;" ضد "&amp;D$217)+COUNTIF($D$4:$D$213,D$217&amp;" ضد "&amp;$A229))</f>
        <v>1</v>
      </c>
      <c r="E229" s="4">
        <f>IF($A229=E$217,"",COUNTIF($D$4:$D$213,$A229&amp;" ضد "&amp;E$217)+COUNTIF($D$4:$D$213,E$217&amp;" ضد "&amp;$A229))</f>
        <v>1</v>
      </c>
      <c r="F229" s="4">
        <f>IF($A229=F$217,"",COUNTIF($D$4:$D$213,$A229&amp;" ضد "&amp;F$217)+COUNTIF($D$4:$D$213,F$217&amp;" ضد "&amp;$A229))</f>
        <v>1</v>
      </c>
      <c r="G229" s="4">
        <f>IF($A229=G$217,"",COUNTIF($D$4:$D$213,$A229&amp;" ضد "&amp;G$217)+COUNTIF($D$4:$D$213,G$217&amp;" ضد "&amp;$A229))</f>
        <v>1</v>
      </c>
      <c r="H229" s="4">
        <f>IF($A229=H$217,"",COUNTIF($D$4:$D$213,$A229&amp;" ضد "&amp;H$217)+COUNTIF($D$4:$D$213,H$217&amp;" ضد "&amp;$A229))</f>
        <v>1</v>
      </c>
      <c r="I229" s="4">
        <f>IF($A229=I$217,"",COUNTIF($D$4:$D$213,$A229&amp;" ضد "&amp;I$217)+COUNTIF($D$4:$D$213,I$217&amp;" ضد "&amp;$A229))</f>
        <v>1</v>
      </c>
      <c r="J229" s="4">
        <f>IF($A229=J$217,"",COUNTIF($D$4:$D$213,$A229&amp;" ضد "&amp;J$217)+COUNTIF($D$4:$D$213,J$217&amp;" ضد "&amp;$A229))</f>
        <v>1</v>
      </c>
      <c r="K229" s="4">
        <f>IF($A229=K$217,"",COUNTIF($D$4:$D$213,$A229&amp;" ضد "&amp;K$217)+COUNTIF($D$4:$D$213,K$217&amp;" ضد "&amp;$A229))</f>
        <v>1</v>
      </c>
      <c r="L229" s="4">
        <f>IF($A229=L$217,"",COUNTIF($D$4:$D$213,$A229&amp;" ضد "&amp;L$217)+COUNTIF($D$4:$D$213,L$217&amp;" ضد "&amp;$A229))</f>
        <v>1</v>
      </c>
      <c r="M229" s="4" t="str">
        <f>IF($A229=M$217,"",COUNTIF($D$4:$D$213,$A229&amp;" ضد "&amp;M$217)+COUNTIF($D$4:$D$213,M$217&amp;" ضد "&amp;$A229))</f>
        <v/>
      </c>
      <c r="N229" s="4">
        <f>IF($A229=N$217,"",COUNTIF($D$4:$D$213,$A229&amp;" ضد "&amp;N$217)+COUNTIF($D$4:$D$213,N$217&amp;" ضد "&amp;$A229))</f>
        <v>1</v>
      </c>
      <c r="O229" s="4">
        <f>IF($A229=O$217,"",COUNTIF($D$4:$D$213,$A229&amp;" ضد "&amp;O$217)+COUNTIF($D$4:$D$213,O$217&amp;" ضد "&amp;$A229))</f>
        <v>1</v>
      </c>
      <c r="P229" s="4">
        <f>IF($A229=P$217,"",COUNTIF($D$4:$D$213,$A229&amp;" ضد "&amp;P$217)+COUNTIF($D$4:$D$213,P$217&amp;" ضد "&amp;$A229))</f>
        <v>1</v>
      </c>
      <c r="Q229" s="4">
        <f>IF($A229=Q$217,"",COUNTIF($D$4:$D$213,$A229&amp;" ضد "&amp;Q$217)+COUNTIF($D$4:$D$213,Q$217&amp;" ضد "&amp;$A229))</f>
        <v>1</v>
      </c>
      <c r="R229" s="4">
        <f>IF($A229=R$217,"",COUNTIF($D$4:$D$213,$A229&amp;" ضد "&amp;R$217)+COUNTIF($D$4:$D$213,R$217&amp;" ضد "&amp;$A229))</f>
        <v>1</v>
      </c>
      <c r="S229" s="4">
        <f>IF($A229=S$217,"",COUNTIF($D$4:$D$213,$A229&amp;" ضد "&amp;S$217)+COUNTIF($D$4:$D$213,S$217&amp;" ضد "&amp;$A229))</f>
        <v>1</v>
      </c>
      <c r="T229" s="4">
        <f>IF($A229=T$217,"",COUNTIF($D$4:$D$213,$A229&amp;" ضد "&amp;T$217)+COUNTIF($D$4:$D$213,T$217&amp;" ضد "&amp;$A229))</f>
        <v>1</v>
      </c>
      <c r="U229" s="4">
        <f>IF($A229=U$217,"",COUNTIF($D$4:$D$213,$A229&amp;" ضد "&amp;U$217)+COUNTIF($D$4:$D$213,U$217&amp;" ضد "&amp;$A229))</f>
        <v>1</v>
      </c>
      <c r="V229" s="4">
        <f>IF($A229=V$217,"",COUNTIF($D$4:$D$213,$A229&amp;" ضد "&amp;V$217)+COUNTIF($D$4:$D$213,V$217&amp;" ضد "&amp;$A229))</f>
        <v>1</v>
      </c>
    </row>
    <row r="230" spans="1:22" ht="14.5">
      <c r="A230" s="14">
        <v>13</v>
      </c>
      <c r="B230" s="4">
        <f>IF($A230=B$217,"",COUNTIF($D$4:$D$213,$A230&amp;" ضد "&amp;B$217)+COUNTIF($D$4:$D$213,B$217&amp;" ضد "&amp;$A230))</f>
        <v>1</v>
      </c>
      <c r="C230" s="4">
        <f>IF($A230=C$217,"",COUNTIF($D$4:$D$213,$A230&amp;" ضد "&amp;C$217)+COUNTIF($D$4:$D$213,C$217&amp;" ضد "&amp;$A230))</f>
        <v>1</v>
      </c>
      <c r="D230" s="4">
        <f>IF($A230=D$217,"",COUNTIF($D$4:$D$213,$A230&amp;" ضد "&amp;D$217)+COUNTIF($D$4:$D$213,D$217&amp;" ضد "&amp;$A230))</f>
        <v>1</v>
      </c>
      <c r="E230" s="4">
        <f>IF($A230=E$217,"",COUNTIF($D$4:$D$213,$A230&amp;" ضد "&amp;E$217)+COUNTIF($D$4:$D$213,E$217&amp;" ضد "&amp;$A230))</f>
        <v>1</v>
      </c>
      <c r="F230" s="4">
        <f>IF($A230=F$217,"",COUNTIF($D$4:$D$213,$A230&amp;" ضد "&amp;F$217)+COUNTIF($D$4:$D$213,F$217&amp;" ضد "&amp;$A230))</f>
        <v>1</v>
      </c>
      <c r="G230" s="4">
        <f>IF($A230=G$217,"",COUNTIF($D$4:$D$213,$A230&amp;" ضد "&amp;G$217)+COUNTIF($D$4:$D$213,G$217&amp;" ضد "&amp;$A230))</f>
        <v>1</v>
      </c>
      <c r="H230" s="4">
        <f>IF($A230=H$217,"",COUNTIF($D$4:$D$213,$A230&amp;" ضد "&amp;H$217)+COUNTIF($D$4:$D$213,H$217&amp;" ضد "&amp;$A230))</f>
        <v>1</v>
      </c>
      <c r="I230" s="4">
        <f>IF($A230=I$217,"",COUNTIF($D$4:$D$213,$A230&amp;" ضد "&amp;I$217)+COUNTIF($D$4:$D$213,I$217&amp;" ضد "&amp;$A230))</f>
        <v>1</v>
      </c>
      <c r="J230" s="4">
        <f>IF($A230=J$217,"",COUNTIF($D$4:$D$213,$A230&amp;" ضد "&amp;J$217)+COUNTIF($D$4:$D$213,J$217&amp;" ضد "&amp;$A230))</f>
        <v>1</v>
      </c>
      <c r="K230" s="4">
        <f>IF($A230=K$217,"",COUNTIF($D$4:$D$213,$A230&amp;" ضد "&amp;K$217)+COUNTIF($D$4:$D$213,K$217&amp;" ضد "&amp;$A230))</f>
        <v>1</v>
      </c>
      <c r="L230" s="4">
        <f>IF($A230=L$217,"",COUNTIF($D$4:$D$213,$A230&amp;" ضد "&amp;L$217)+COUNTIF($D$4:$D$213,L$217&amp;" ضد "&amp;$A230))</f>
        <v>1</v>
      </c>
      <c r="M230" s="4">
        <f>IF($A230=M$217,"",COUNTIF($D$4:$D$213,$A230&amp;" ضد "&amp;M$217)+COUNTIF($D$4:$D$213,M$217&amp;" ضد "&amp;$A230))</f>
        <v>1</v>
      </c>
      <c r="N230" s="4" t="str">
        <f>IF($A230=N$217,"",COUNTIF($D$4:$D$213,$A230&amp;" ضد "&amp;N$217)+COUNTIF($D$4:$D$213,N$217&amp;" ضد "&amp;$A230))</f>
        <v/>
      </c>
      <c r="O230" s="4">
        <f>IF($A230=O$217,"",COUNTIF($D$4:$D$213,$A230&amp;" ضد "&amp;O$217)+COUNTIF($D$4:$D$213,O$217&amp;" ضد "&amp;$A230))</f>
        <v>1</v>
      </c>
      <c r="P230" s="4">
        <f>IF($A230=P$217,"",COUNTIF($D$4:$D$213,$A230&amp;" ضد "&amp;P$217)+COUNTIF($D$4:$D$213,P$217&amp;" ضد "&amp;$A230))</f>
        <v>1</v>
      </c>
      <c r="Q230" s="4">
        <f>IF($A230=Q$217,"",COUNTIF($D$4:$D$213,$A230&amp;" ضد "&amp;Q$217)+COUNTIF($D$4:$D$213,Q$217&amp;" ضد "&amp;$A230))</f>
        <v>1</v>
      </c>
      <c r="R230" s="4">
        <f>IF($A230=R$217,"",COUNTIF($D$4:$D$213,$A230&amp;" ضد "&amp;R$217)+COUNTIF($D$4:$D$213,R$217&amp;" ضد "&amp;$A230))</f>
        <v>1</v>
      </c>
      <c r="S230" s="4">
        <f>IF($A230=S$217,"",COUNTIF($D$4:$D$213,$A230&amp;" ضد "&amp;S$217)+COUNTIF($D$4:$D$213,S$217&amp;" ضد "&amp;$A230))</f>
        <v>1</v>
      </c>
      <c r="T230" s="4">
        <f>IF($A230=T$217,"",COUNTIF($D$4:$D$213,$A230&amp;" ضد "&amp;T$217)+COUNTIF($D$4:$D$213,T$217&amp;" ضد "&amp;$A230))</f>
        <v>1</v>
      </c>
      <c r="U230" s="4">
        <f>IF($A230=U$217,"",COUNTIF($D$4:$D$213,$A230&amp;" ضد "&amp;U$217)+COUNTIF($D$4:$D$213,U$217&amp;" ضد "&amp;$A230))</f>
        <v>1</v>
      </c>
      <c r="V230" s="4">
        <f>IF($A230=V$217,"",COUNTIF($D$4:$D$213,$A230&amp;" ضد "&amp;V$217)+COUNTIF($D$4:$D$213,V$217&amp;" ضد "&amp;$A230))</f>
        <v>1</v>
      </c>
    </row>
    <row r="231" spans="1:22" ht="14.5">
      <c r="A231" s="14">
        <v>14</v>
      </c>
      <c r="B231" s="4">
        <f>IF($A231=B$217,"",COUNTIF($D$4:$D$213,$A231&amp;" ضد "&amp;B$217)+COUNTIF($D$4:$D$213,B$217&amp;" ضد "&amp;$A231))</f>
        <v>1</v>
      </c>
      <c r="C231" s="4">
        <f>IF($A231=C$217,"",COUNTIF($D$4:$D$213,$A231&amp;" ضد "&amp;C$217)+COUNTIF($D$4:$D$213,C$217&amp;" ضد "&amp;$A231))</f>
        <v>1</v>
      </c>
      <c r="D231" s="4">
        <f>IF($A231=D$217,"",COUNTIF($D$4:$D$213,$A231&amp;" ضد "&amp;D$217)+COUNTIF($D$4:$D$213,D$217&amp;" ضد "&amp;$A231))</f>
        <v>1</v>
      </c>
      <c r="E231" s="4">
        <f>IF($A231=E$217,"",COUNTIF($D$4:$D$213,$A231&amp;" ضد "&amp;E$217)+COUNTIF($D$4:$D$213,E$217&amp;" ضد "&amp;$A231))</f>
        <v>1</v>
      </c>
      <c r="F231" s="4">
        <f>IF($A231=F$217,"",COUNTIF($D$4:$D$213,$A231&amp;" ضد "&amp;F$217)+COUNTIF($D$4:$D$213,F$217&amp;" ضد "&amp;$A231))</f>
        <v>1</v>
      </c>
      <c r="G231" s="4">
        <f>IF($A231=G$217,"",COUNTIF($D$4:$D$213,$A231&amp;" ضد "&amp;G$217)+COUNTIF($D$4:$D$213,G$217&amp;" ضد "&amp;$A231))</f>
        <v>1</v>
      </c>
      <c r="H231" s="4">
        <f>IF($A231=H$217,"",COUNTIF($D$4:$D$213,$A231&amp;" ضد "&amp;H$217)+COUNTIF($D$4:$D$213,H$217&amp;" ضد "&amp;$A231))</f>
        <v>1</v>
      </c>
      <c r="I231" s="4">
        <f>IF($A231=I$217,"",COUNTIF($D$4:$D$213,$A231&amp;" ضد "&amp;I$217)+COUNTIF($D$4:$D$213,I$217&amp;" ضد "&amp;$A231))</f>
        <v>1</v>
      </c>
      <c r="J231" s="4">
        <f>IF($A231=J$217,"",COUNTIF($D$4:$D$213,$A231&amp;" ضد "&amp;J$217)+COUNTIF($D$4:$D$213,J$217&amp;" ضد "&amp;$A231))</f>
        <v>1</v>
      </c>
      <c r="K231" s="4">
        <f>IF($A231=K$217,"",COUNTIF($D$4:$D$213,$A231&amp;" ضد "&amp;K$217)+COUNTIF($D$4:$D$213,K$217&amp;" ضد "&amp;$A231))</f>
        <v>1</v>
      </c>
      <c r="L231" s="4">
        <f>IF($A231=L$217,"",COUNTIF($D$4:$D$213,$A231&amp;" ضد "&amp;L$217)+COUNTIF($D$4:$D$213,L$217&amp;" ضد "&amp;$A231))</f>
        <v>1</v>
      </c>
      <c r="M231" s="4">
        <f>IF($A231=M$217,"",COUNTIF($D$4:$D$213,$A231&amp;" ضد "&amp;M$217)+COUNTIF($D$4:$D$213,M$217&amp;" ضد "&amp;$A231))</f>
        <v>1</v>
      </c>
      <c r="N231" s="4">
        <f>IF($A231=N$217,"",COUNTIF($D$4:$D$213,$A231&amp;" ضد "&amp;N$217)+COUNTIF($D$4:$D$213,N$217&amp;" ضد "&amp;$A231))</f>
        <v>1</v>
      </c>
      <c r="O231" s="4" t="str">
        <f>IF($A231=O$217,"",COUNTIF($D$4:$D$213,$A231&amp;" ضد "&amp;O$217)+COUNTIF($D$4:$D$213,O$217&amp;" ضد "&amp;$A231))</f>
        <v/>
      </c>
      <c r="P231" s="4">
        <f>IF($A231=P$217,"",COUNTIF($D$4:$D$213,$A231&amp;" ضد "&amp;P$217)+COUNTIF($D$4:$D$213,P$217&amp;" ضد "&amp;$A231))</f>
        <v>1</v>
      </c>
      <c r="Q231" s="4">
        <f>IF($A231=Q$217,"",COUNTIF($D$4:$D$213,$A231&amp;" ضد "&amp;Q$217)+COUNTIF($D$4:$D$213,Q$217&amp;" ضد "&amp;$A231))</f>
        <v>1</v>
      </c>
      <c r="R231" s="4">
        <f>IF($A231=R$217,"",COUNTIF($D$4:$D$213,$A231&amp;" ضد "&amp;R$217)+COUNTIF($D$4:$D$213,R$217&amp;" ضد "&amp;$A231))</f>
        <v>1</v>
      </c>
      <c r="S231" s="4">
        <f>IF($A231=S$217,"",COUNTIF($D$4:$D$213,$A231&amp;" ضد "&amp;S$217)+COUNTIF($D$4:$D$213,S$217&amp;" ضد "&amp;$A231))</f>
        <v>1</v>
      </c>
      <c r="T231" s="4">
        <f>IF($A231=T$217,"",COUNTIF($D$4:$D$213,$A231&amp;" ضد "&amp;T$217)+COUNTIF($D$4:$D$213,T$217&amp;" ضد "&amp;$A231))</f>
        <v>1</v>
      </c>
      <c r="U231" s="4">
        <f>IF($A231=U$217,"",COUNTIF($D$4:$D$213,$A231&amp;" ضد "&amp;U$217)+COUNTIF($D$4:$D$213,U$217&amp;" ضد "&amp;$A231))</f>
        <v>1</v>
      </c>
      <c r="V231" s="4">
        <f>IF($A231=V$217,"",COUNTIF($D$4:$D$213,$A231&amp;" ضد "&amp;V$217)+COUNTIF($D$4:$D$213,V$217&amp;" ضد "&amp;$A231))</f>
        <v>1</v>
      </c>
    </row>
    <row r="232" spans="1:22" ht="14.5">
      <c r="A232" s="14">
        <v>15</v>
      </c>
      <c r="B232" s="4">
        <f>IF($A232=B$217,"",COUNTIF($D$4:$D$213,$A232&amp;" ضد "&amp;B$217)+COUNTIF($D$4:$D$213,B$217&amp;" ضد "&amp;$A232))</f>
        <v>1</v>
      </c>
      <c r="C232" s="4">
        <f>IF($A232=C$217,"",COUNTIF($D$4:$D$213,$A232&amp;" ضد "&amp;C$217)+COUNTIF($D$4:$D$213,C$217&amp;" ضد "&amp;$A232))</f>
        <v>1</v>
      </c>
      <c r="D232" s="4">
        <f>IF($A232=D$217,"",COUNTIF($D$4:$D$213,$A232&amp;" ضد "&amp;D$217)+COUNTIF($D$4:$D$213,D$217&amp;" ضد "&amp;$A232))</f>
        <v>1</v>
      </c>
      <c r="E232" s="4">
        <f>IF($A232=E$217,"",COUNTIF($D$4:$D$213,$A232&amp;" ضد "&amp;E$217)+COUNTIF($D$4:$D$213,E$217&amp;" ضد "&amp;$A232))</f>
        <v>1</v>
      </c>
      <c r="F232" s="4">
        <f>IF($A232=F$217,"",COUNTIF($D$4:$D$213,$A232&amp;" ضد "&amp;F$217)+COUNTIF($D$4:$D$213,F$217&amp;" ضد "&amp;$A232))</f>
        <v>1</v>
      </c>
      <c r="G232" s="4">
        <f>IF($A232=G$217,"",COUNTIF($D$4:$D$213,$A232&amp;" ضد "&amp;G$217)+COUNTIF($D$4:$D$213,G$217&amp;" ضد "&amp;$A232))</f>
        <v>1</v>
      </c>
      <c r="H232" s="4">
        <f>IF($A232=H$217,"",COUNTIF($D$4:$D$213,$A232&amp;" ضد "&amp;H$217)+COUNTIF($D$4:$D$213,H$217&amp;" ضد "&amp;$A232))</f>
        <v>1</v>
      </c>
      <c r="I232" s="4">
        <f>IF($A232=I$217,"",COUNTIF($D$4:$D$213,$A232&amp;" ضد "&amp;I$217)+COUNTIF($D$4:$D$213,I$217&amp;" ضد "&amp;$A232))</f>
        <v>1</v>
      </c>
      <c r="J232" s="4">
        <f>IF($A232=J$217,"",COUNTIF($D$4:$D$213,$A232&amp;" ضد "&amp;J$217)+COUNTIF($D$4:$D$213,J$217&amp;" ضد "&amp;$A232))</f>
        <v>1</v>
      </c>
      <c r="K232" s="4">
        <f>IF($A232=K$217,"",COUNTIF($D$4:$D$213,$A232&amp;" ضد "&amp;K$217)+COUNTIF($D$4:$D$213,K$217&amp;" ضد "&amp;$A232))</f>
        <v>1</v>
      </c>
      <c r="L232" s="4">
        <f>IF($A232=L$217,"",COUNTIF($D$4:$D$213,$A232&amp;" ضد "&amp;L$217)+COUNTIF($D$4:$D$213,L$217&amp;" ضد "&amp;$A232))</f>
        <v>1</v>
      </c>
      <c r="M232" s="4">
        <f>IF($A232=M$217,"",COUNTIF($D$4:$D$213,$A232&amp;" ضد "&amp;M$217)+COUNTIF($D$4:$D$213,M$217&amp;" ضد "&amp;$A232))</f>
        <v>1</v>
      </c>
      <c r="N232" s="4">
        <f>IF($A232=N$217,"",COUNTIF($D$4:$D$213,$A232&amp;" ضد "&amp;N$217)+COUNTIF($D$4:$D$213,N$217&amp;" ضد "&amp;$A232))</f>
        <v>1</v>
      </c>
      <c r="O232" s="4">
        <f>IF($A232=O$217,"",COUNTIF($D$4:$D$213,$A232&amp;" ضد "&amp;O$217)+COUNTIF($D$4:$D$213,O$217&amp;" ضد "&amp;$A232))</f>
        <v>1</v>
      </c>
      <c r="P232" s="4" t="str">
        <f>IF($A232=P$217,"",COUNTIF($D$4:$D$213,$A232&amp;" ضد "&amp;P$217)+COUNTIF($D$4:$D$213,P$217&amp;" ضد "&amp;$A232))</f>
        <v/>
      </c>
      <c r="Q232" s="4">
        <f>IF($A232=Q$217,"",COUNTIF($D$4:$D$213,$A232&amp;" ضد "&amp;Q$217)+COUNTIF($D$4:$D$213,Q$217&amp;" ضد "&amp;$A232))</f>
        <v>1</v>
      </c>
      <c r="R232" s="4">
        <f>IF($A232=R$217,"",COUNTIF($D$4:$D$213,$A232&amp;" ضد "&amp;R$217)+COUNTIF($D$4:$D$213,R$217&amp;" ضد "&amp;$A232))</f>
        <v>1</v>
      </c>
      <c r="S232" s="4">
        <f>IF($A232=S$217,"",COUNTIF($D$4:$D$213,$A232&amp;" ضد "&amp;S$217)+COUNTIF($D$4:$D$213,S$217&amp;" ضد "&amp;$A232))</f>
        <v>1</v>
      </c>
      <c r="T232" s="4">
        <f>IF($A232=T$217,"",COUNTIF($D$4:$D$213,$A232&amp;" ضد "&amp;T$217)+COUNTIF($D$4:$D$213,T$217&amp;" ضد "&amp;$A232))</f>
        <v>1</v>
      </c>
      <c r="U232" s="4">
        <f>IF($A232=U$217,"",COUNTIF($D$4:$D$213,$A232&amp;" ضد "&amp;U$217)+COUNTIF($D$4:$D$213,U$217&amp;" ضد "&amp;$A232))</f>
        <v>1</v>
      </c>
      <c r="V232" s="4">
        <f>IF($A232=V$217,"",COUNTIF($D$4:$D$213,$A232&amp;" ضد "&amp;V$217)+COUNTIF($D$4:$D$213,V$217&amp;" ضد "&amp;$A232))</f>
        <v>1</v>
      </c>
    </row>
    <row r="233" spans="1:22" ht="14.5">
      <c r="A233" s="14">
        <v>16</v>
      </c>
      <c r="B233" s="4">
        <f>IF($A233=B$217,"",COUNTIF($D$4:$D$213,$A233&amp;" ضد "&amp;B$217)+COUNTIF($D$4:$D$213,B$217&amp;" ضد "&amp;$A233))</f>
        <v>1</v>
      </c>
      <c r="C233" s="4">
        <f>IF($A233=C$217,"",COUNTIF($D$4:$D$213,$A233&amp;" ضد "&amp;C$217)+COUNTIF($D$4:$D$213,C$217&amp;" ضد "&amp;$A233))</f>
        <v>1</v>
      </c>
      <c r="D233" s="4">
        <f>IF($A233=D$217,"",COUNTIF($D$4:$D$213,$A233&amp;" ضد "&amp;D$217)+COUNTIF($D$4:$D$213,D$217&amp;" ضد "&amp;$A233))</f>
        <v>1</v>
      </c>
      <c r="E233" s="4">
        <f>IF($A233=E$217,"",COUNTIF($D$4:$D$213,$A233&amp;" ضد "&amp;E$217)+COUNTIF($D$4:$D$213,E$217&amp;" ضد "&amp;$A233))</f>
        <v>1</v>
      </c>
      <c r="F233" s="4">
        <f>IF($A233=F$217,"",COUNTIF($D$4:$D$213,$A233&amp;" ضد "&amp;F$217)+COUNTIF($D$4:$D$213,F$217&amp;" ضد "&amp;$A233))</f>
        <v>1</v>
      </c>
      <c r="G233" s="4">
        <f>IF($A233=G$217,"",COUNTIF($D$4:$D$213,$A233&amp;" ضد "&amp;G$217)+COUNTIF($D$4:$D$213,G$217&amp;" ضد "&amp;$A233))</f>
        <v>1</v>
      </c>
      <c r="H233" s="4">
        <f>IF($A233=H$217,"",COUNTIF($D$4:$D$213,$A233&amp;" ضد "&amp;H$217)+COUNTIF($D$4:$D$213,H$217&amp;" ضد "&amp;$A233))</f>
        <v>1</v>
      </c>
      <c r="I233" s="4">
        <f>IF($A233=I$217,"",COUNTIF($D$4:$D$213,$A233&amp;" ضد "&amp;I$217)+COUNTIF($D$4:$D$213,I$217&amp;" ضد "&amp;$A233))</f>
        <v>1</v>
      </c>
      <c r="J233" s="4">
        <f>IF($A233=J$217,"",COUNTIF($D$4:$D$213,$A233&amp;" ضد "&amp;J$217)+COUNTIF($D$4:$D$213,J$217&amp;" ضد "&amp;$A233))</f>
        <v>1</v>
      </c>
      <c r="K233" s="4">
        <f>IF($A233=K$217,"",COUNTIF($D$4:$D$213,$A233&amp;" ضد "&amp;K$217)+COUNTIF($D$4:$D$213,K$217&amp;" ضد "&amp;$A233))</f>
        <v>1</v>
      </c>
      <c r="L233" s="4">
        <f>IF($A233=L$217,"",COUNTIF($D$4:$D$213,$A233&amp;" ضد "&amp;L$217)+COUNTIF($D$4:$D$213,L$217&amp;" ضد "&amp;$A233))</f>
        <v>1</v>
      </c>
      <c r="M233" s="4">
        <f>IF($A233=M$217,"",COUNTIF($D$4:$D$213,$A233&amp;" ضد "&amp;M$217)+COUNTIF($D$4:$D$213,M$217&amp;" ضد "&amp;$A233))</f>
        <v>1</v>
      </c>
      <c r="N233" s="4">
        <f>IF($A233=N$217,"",COUNTIF($D$4:$D$213,$A233&amp;" ضد "&amp;N$217)+COUNTIF($D$4:$D$213,N$217&amp;" ضد "&amp;$A233))</f>
        <v>1</v>
      </c>
      <c r="O233" s="4">
        <f>IF($A233=O$217,"",COUNTIF($D$4:$D$213,$A233&amp;" ضد "&amp;O$217)+COUNTIF($D$4:$D$213,O$217&amp;" ضد "&amp;$A233))</f>
        <v>1</v>
      </c>
      <c r="P233" s="4">
        <f>IF($A233=P$217,"",COUNTIF($D$4:$D$213,$A233&amp;" ضد "&amp;P$217)+COUNTIF($D$4:$D$213,P$217&amp;" ضد "&amp;$A233))</f>
        <v>1</v>
      </c>
      <c r="Q233" s="4" t="str">
        <f>IF($A233=Q$217,"",COUNTIF($D$4:$D$213,$A233&amp;" ضد "&amp;Q$217)+COUNTIF($D$4:$D$213,Q$217&amp;" ضد "&amp;$A233))</f>
        <v/>
      </c>
      <c r="R233" s="4">
        <f>IF($A233=R$217,"",COUNTIF($D$4:$D$213,$A233&amp;" ضد "&amp;R$217)+COUNTIF($D$4:$D$213,R$217&amp;" ضد "&amp;$A233))</f>
        <v>1</v>
      </c>
      <c r="S233" s="4">
        <f>IF($A233=S$217,"",COUNTIF($D$4:$D$213,$A233&amp;" ضد "&amp;S$217)+COUNTIF($D$4:$D$213,S$217&amp;" ضد "&amp;$A233))</f>
        <v>1</v>
      </c>
      <c r="T233" s="4">
        <f>IF($A233=T$217,"",COUNTIF($D$4:$D$213,$A233&amp;" ضد "&amp;T$217)+COUNTIF($D$4:$D$213,T$217&amp;" ضد "&amp;$A233))</f>
        <v>1</v>
      </c>
      <c r="U233" s="4">
        <f>IF($A233=U$217,"",COUNTIF($D$4:$D$213,$A233&amp;" ضد "&amp;U$217)+COUNTIF($D$4:$D$213,U$217&amp;" ضد "&amp;$A233))</f>
        <v>1</v>
      </c>
      <c r="V233" s="4">
        <f>IF($A233=V$217,"",COUNTIF($D$4:$D$213,$A233&amp;" ضد "&amp;V$217)+COUNTIF($D$4:$D$213,V$217&amp;" ضد "&amp;$A233))</f>
        <v>1</v>
      </c>
    </row>
    <row r="234" spans="1:22" ht="14.5">
      <c r="A234" s="14">
        <v>17</v>
      </c>
      <c r="B234" s="4">
        <f>IF($A234=B$217,"",COUNTIF($D$4:$D$213,$A234&amp;" ضد "&amp;B$217)+COUNTIF($D$4:$D$213,B$217&amp;" ضد "&amp;$A234))</f>
        <v>1</v>
      </c>
      <c r="C234" s="4">
        <f>IF($A234=C$217,"",COUNTIF($D$4:$D$213,$A234&amp;" ضد "&amp;C$217)+COUNTIF($D$4:$D$213,C$217&amp;" ضد "&amp;$A234))</f>
        <v>1</v>
      </c>
      <c r="D234" s="4">
        <f>IF($A234=D$217,"",COUNTIF($D$4:$D$213,$A234&amp;" ضد "&amp;D$217)+COUNTIF($D$4:$D$213,D$217&amp;" ضد "&amp;$A234))</f>
        <v>1</v>
      </c>
      <c r="E234" s="4">
        <f>IF($A234=E$217,"",COUNTIF($D$4:$D$213,$A234&amp;" ضد "&amp;E$217)+COUNTIF($D$4:$D$213,E$217&amp;" ضد "&amp;$A234))</f>
        <v>1</v>
      </c>
      <c r="F234" s="4">
        <f>IF($A234=F$217,"",COUNTIF($D$4:$D$213,$A234&amp;" ضد "&amp;F$217)+COUNTIF($D$4:$D$213,F$217&amp;" ضد "&amp;$A234))</f>
        <v>1</v>
      </c>
      <c r="G234" s="4">
        <f>IF($A234=G$217,"",COUNTIF($D$4:$D$213,$A234&amp;" ضد "&amp;G$217)+COUNTIF($D$4:$D$213,G$217&amp;" ضد "&amp;$A234))</f>
        <v>1</v>
      </c>
      <c r="H234" s="4">
        <f>IF($A234=H$217,"",COUNTIF($D$4:$D$213,$A234&amp;" ضد "&amp;H$217)+COUNTIF($D$4:$D$213,H$217&amp;" ضد "&amp;$A234))</f>
        <v>1</v>
      </c>
      <c r="I234" s="4">
        <f>IF($A234=I$217,"",COUNTIF($D$4:$D$213,$A234&amp;" ضد "&amp;I$217)+COUNTIF($D$4:$D$213,I$217&amp;" ضد "&amp;$A234))</f>
        <v>1</v>
      </c>
      <c r="J234" s="4">
        <f>IF($A234=J$217,"",COUNTIF($D$4:$D$213,$A234&amp;" ضد "&amp;J$217)+COUNTIF($D$4:$D$213,J$217&amp;" ضد "&amp;$A234))</f>
        <v>1</v>
      </c>
      <c r="K234" s="4">
        <f>IF($A234=K$217,"",COUNTIF($D$4:$D$213,$A234&amp;" ضد "&amp;K$217)+COUNTIF($D$4:$D$213,K$217&amp;" ضد "&amp;$A234))</f>
        <v>1</v>
      </c>
      <c r="L234" s="4">
        <f>IF($A234=L$217,"",COUNTIF($D$4:$D$213,$A234&amp;" ضد "&amp;L$217)+COUNTIF($D$4:$D$213,L$217&amp;" ضد "&amp;$A234))</f>
        <v>1</v>
      </c>
      <c r="M234" s="4">
        <f>IF($A234=M$217,"",COUNTIF($D$4:$D$213,$A234&amp;" ضد "&amp;M$217)+COUNTIF($D$4:$D$213,M$217&amp;" ضد "&amp;$A234))</f>
        <v>1</v>
      </c>
      <c r="N234" s="4">
        <f>IF($A234=N$217,"",COUNTIF($D$4:$D$213,$A234&amp;" ضد "&amp;N$217)+COUNTIF($D$4:$D$213,N$217&amp;" ضد "&amp;$A234))</f>
        <v>1</v>
      </c>
      <c r="O234" s="4">
        <f>IF($A234=O$217,"",COUNTIF($D$4:$D$213,$A234&amp;" ضد "&amp;O$217)+COUNTIF($D$4:$D$213,O$217&amp;" ضد "&amp;$A234))</f>
        <v>1</v>
      </c>
      <c r="P234" s="4">
        <f>IF($A234=P$217,"",COUNTIF($D$4:$D$213,$A234&amp;" ضد "&amp;P$217)+COUNTIF($D$4:$D$213,P$217&amp;" ضد "&amp;$A234))</f>
        <v>1</v>
      </c>
      <c r="Q234" s="4">
        <f>IF($A234=Q$217,"",COUNTIF($D$4:$D$213,$A234&amp;" ضد "&amp;Q$217)+COUNTIF($D$4:$D$213,Q$217&amp;" ضد "&amp;$A234))</f>
        <v>1</v>
      </c>
      <c r="R234" s="4" t="str">
        <f>IF($A234=R$217,"",COUNTIF($D$4:$D$213,$A234&amp;" ضد "&amp;R$217)+COUNTIF($D$4:$D$213,R$217&amp;" ضد "&amp;$A234))</f>
        <v/>
      </c>
      <c r="S234" s="4">
        <f>IF($A234=S$217,"",COUNTIF($D$4:$D$213,$A234&amp;" ضد "&amp;S$217)+COUNTIF($D$4:$D$213,S$217&amp;" ضد "&amp;$A234))</f>
        <v>1</v>
      </c>
      <c r="T234" s="4">
        <f>IF($A234=T$217,"",COUNTIF($D$4:$D$213,$A234&amp;" ضد "&amp;T$217)+COUNTIF($D$4:$D$213,T$217&amp;" ضد "&amp;$A234))</f>
        <v>1</v>
      </c>
      <c r="U234" s="4">
        <f>IF($A234=U$217,"",COUNTIF($D$4:$D$213,$A234&amp;" ضد "&amp;U$217)+COUNTIF($D$4:$D$213,U$217&amp;" ضد "&amp;$A234))</f>
        <v>1</v>
      </c>
      <c r="V234" s="4">
        <f>IF($A234=V$217,"",COUNTIF($D$4:$D$213,$A234&amp;" ضد "&amp;V$217)+COUNTIF($D$4:$D$213,V$217&amp;" ضد "&amp;$A234))</f>
        <v>1</v>
      </c>
    </row>
    <row r="235" spans="1:22" ht="14.5">
      <c r="A235" s="14">
        <v>18</v>
      </c>
      <c r="B235" s="4">
        <f>IF($A235=B$217,"",COUNTIF($D$4:$D$213,$A235&amp;" ضد "&amp;B$217)+COUNTIF($D$4:$D$213,B$217&amp;" ضد "&amp;$A235))</f>
        <v>1</v>
      </c>
      <c r="C235" s="4">
        <f>IF($A235=C$217,"",COUNTIF($D$4:$D$213,$A235&amp;" ضد "&amp;C$217)+COUNTIF($D$4:$D$213,C$217&amp;" ضد "&amp;$A235))</f>
        <v>1</v>
      </c>
      <c r="D235" s="4">
        <f>IF($A235=D$217,"",COUNTIF($D$4:$D$213,$A235&amp;" ضد "&amp;D$217)+COUNTIF($D$4:$D$213,D$217&amp;" ضد "&amp;$A235))</f>
        <v>1</v>
      </c>
      <c r="E235" s="4">
        <f>IF($A235=E$217,"",COUNTIF($D$4:$D$213,$A235&amp;" ضد "&amp;E$217)+COUNTIF($D$4:$D$213,E$217&amp;" ضد "&amp;$A235))</f>
        <v>1</v>
      </c>
      <c r="F235" s="4">
        <f>IF($A235=F$217,"",COUNTIF($D$4:$D$213,$A235&amp;" ضد "&amp;F$217)+COUNTIF($D$4:$D$213,F$217&amp;" ضد "&amp;$A235))</f>
        <v>1</v>
      </c>
      <c r="G235" s="4">
        <f>IF($A235=G$217,"",COUNTIF($D$4:$D$213,$A235&amp;" ضد "&amp;G$217)+COUNTIF($D$4:$D$213,G$217&amp;" ضد "&amp;$A235))</f>
        <v>1</v>
      </c>
      <c r="H235" s="4">
        <f>IF($A235=H$217,"",COUNTIF($D$4:$D$213,$A235&amp;" ضد "&amp;H$217)+COUNTIF($D$4:$D$213,H$217&amp;" ضد "&amp;$A235))</f>
        <v>1</v>
      </c>
      <c r="I235" s="4">
        <f>IF($A235=I$217,"",COUNTIF($D$4:$D$213,$A235&amp;" ضد "&amp;I$217)+COUNTIF($D$4:$D$213,I$217&amp;" ضد "&amp;$A235))</f>
        <v>1</v>
      </c>
      <c r="J235" s="4">
        <f>IF($A235=J$217,"",COUNTIF($D$4:$D$213,$A235&amp;" ضد "&amp;J$217)+COUNTIF($D$4:$D$213,J$217&amp;" ضد "&amp;$A235))</f>
        <v>1</v>
      </c>
      <c r="K235" s="4">
        <f>IF($A235=K$217,"",COUNTIF($D$4:$D$213,$A235&amp;" ضد "&amp;K$217)+COUNTIF($D$4:$D$213,K$217&amp;" ضد "&amp;$A235))</f>
        <v>1</v>
      </c>
      <c r="L235" s="4">
        <f>IF($A235=L$217,"",COUNTIF($D$4:$D$213,$A235&amp;" ضد "&amp;L$217)+COUNTIF($D$4:$D$213,L$217&amp;" ضد "&amp;$A235))</f>
        <v>1</v>
      </c>
      <c r="M235" s="4">
        <f>IF($A235=M$217,"",COUNTIF($D$4:$D$213,$A235&amp;" ضد "&amp;M$217)+COUNTIF($D$4:$D$213,M$217&amp;" ضد "&amp;$A235))</f>
        <v>1</v>
      </c>
      <c r="N235" s="4">
        <f>IF($A235=N$217,"",COUNTIF($D$4:$D$213,$A235&amp;" ضد "&amp;N$217)+COUNTIF($D$4:$D$213,N$217&amp;" ضد "&amp;$A235))</f>
        <v>1</v>
      </c>
      <c r="O235" s="4">
        <f>IF($A235=O$217,"",COUNTIF($D$4:$D$213,$A235&amp;" ضد "&amp;O$217)+COUNTIF($D$4:$D$213,O$217&amp;" ضد "&amp;$A235))</f>
        <v>1</v>
      </c>
      <c r="P235" s="4">
        <f>IF($A235=P$217,"",COUNTIF($D$4:$D$213,$A235&amp;" ضد "&amp;P$217)+COUNTIF($D$4:$D$213,P$217&amp;" ضد "&amp;$A235))</f>
        <v>1</v>
      </c>
      <c r="Q235" s="4">
        <f>IF($A235=Q$217,"",COUNTIF($D$4:$D$213,$A235&amp;" ضد "&amp;Q$217)+COUNTIF($D$4:$D$213,Q$217&amp;" ضد "&amp;$A235))</f>
        <v>1</v>
      </c>
      <c r="R235" s="4">
        <f>IF($A235=R$217,"",COUNTIF($D$4:$D$213,$A235&amp;" ضد "&amp;R$217)+COUNTIF($D$4:$D$213,R$217&amp;" ضد "&amp;$A235))</f>
        <v>1</v>
      </c>
      <c r="S235" s="4" t="str">
        <f>IF($A235=S$217,"",COUNTIF($D$4:$D$213,$A235&amp;" ضد "&amp;S$217)+COUNTIF($D$4:$D$213,S$217&amp;" ضد "&amp;$A235))</f>
        <v/>
      </c>
      <c r="T235" s="4">
        <f>IF($A235=T$217,"",COUNTIF($D$4:$D$213,$A235&amp;" ضد "&amp;T$217)+COUNTIF($D$4:$D$213,T$217&amp;" ضد "&amp;$A235))</f>
        <v>1</v>
      </c>
      <c r="U235" s="4">
        <f>IF($A235=U$217,"",COUNTIF($D$4:$D$213,$A235&amp;" ضد "&amp;U$217)+COUNTIF($D$4:$D$213,U$217&amp;" ضد "&amp;$A235))</f>
        <v>1</v>
      </c>
      <c r="V235" s="4">
        <f>IF($A235=V$217,"",COUNTIF($D$4:$D$213,$A235&amp;" ضد "&amp;V$217)+COUNTIF($D$4:$D$213,V$217&amp;" ضد "&amp;$A235))</f>
        <v>1</v>
      </c>
    </row>
    <row r="236" spans="1:22" ht="14.5">
      <c r="A236" s="14">
        <v>19</v>
      </c>
      <c r="B236" s="4">
        <f>IF($A236=B$217,"",COUNTIF($D$4:$D$213,$A236&amp;" ضد "&amp;B$217)+COUNTIF($D$4:$D$213,B$217&amp;" ضد "&amp;$A236))</f>
        <v>1</v>
      </c>
      <c r="C236" s="4">
        <f>IF($A236=C$217,"",COUNTIF($D$4:$D$213,$A236&amp;" ضد "&amp;C$217)+COUNTIF($D$4:$D$213,C$217&amp;" ضد "&amp;$A236))</f>
        <v>1</v>
      </c>
      <c r="D236" s="4">
        <f>IF($A236=D$217,"",COUNTIF($D$4:$D$213,$A236&amp;" ضد "&amp;D$217)+COUNTIF($D$4:$D$213,D$217&amp;" ضد "&amp;$A236))</f>
        <v>1</v>
      </c>
      <c r="E236" s="4">
        <f>IF($A236=E$217,"",COUNTIF($D$4:$D$213,$A236&amp;" ضد "&amp;E$217)+COUNTIF($D$4:$D$213,E$217&amp;" ضد "&amp;$A236))</f>
        <v>1</v>
      </c>
      <c r="F236" s="4">
        <f>IF($A236=F$217,"",COUNTIF($D$4:$D$213,$A236&amp;" ضد "&amp;F$217)+COUNTIF($D$4:$D$213,F$217&amp;" ضد "&amp;$A236))</f>
        <v>1</v>
      </c>
      <c r="G236" s="4">
        <f>IF($A236=G$217,"",COUNTIF($D$4:$D$213,$A236&amp;" ضد "&amp;G$217)+COUNTIF($D$4:$D$213,G$217&amp;" ضد "&amp;$A236))</f>
        <v>1</v>
      </c>
      <c r="H236" s="4">
        <f>IF($A236=H$217,"",COUNTIF($D$4:$D$213,$A236&amp;" ضد "&amp;H$217)+COUNTIF($D$4:$D$213,H$217&amp;" ضد "&amp;$A236))</f>
        <v>1</v>
      </c>
      <c r="I236" s="4">
        <f>IF($A236=I$217,"",COUNTIF($D$4:$D$213,$A236&amp;" ضد "&amp;I$217)+COUNTIF($D$4:$D$213,I$217&amp;" ضد "&amp;$A236))</f>
        <v>1</v>
      </c>
      <c r="J236" s="4">
        <f>IF($A236=J$217,"",COUNTIF($D$4:$D$213,$A236&amp;" ضد "&amp;J$217)+COUNTIF($D$4:$D$213,J$217&amp;" ضد "&amp;$A236))</f>
        <v>1</v>
      </c>
      <c r="K236" s="4">
        <f>IF($A236=K$217,"",COUNTIF($D$4:$D$213,$A236&amp;" ضد "&amp;K$217)+COUNTIF($D$4:$D$213,K$217&amp;" ضد "&amp;$A236))</f>
        <v>1</v>
      </c>
      <c r="L236" s="4">
        <f>IF($A236=L$217,"",COUNTIF($D$4:$D$213,$A236&amp;" ضد "&amp;L$217)+COUNTIF($D$4:$D$213,L$217&amp;" ضد "&amp;$A236))</f>
        <v>1</v>
      </c>
      <c r="M236" s="4">
        <f>IF($A236=M$217,"",COUNTIF($D$4:$D$213,$A236&amp;" ضد "&amp;M$217)+COUNTIF($D$4:$D$213,M$217&amp;" ضد "&amp;$A236))</f>
        <v>1</v>
      </c>
      <c r="N236" s="4">
        <f>IF($A236=N$217,"",COUNTIF($D$4:$D$213,$A236&amp;" ضد "&amp;N$217)+COUNTIF($D$4:$D$213,N$217&amp;" ضد "&amp;$A236))</f>
        <v>1</v>
      </c>
      <c r="O236" s="4">
        <f>IF($A236=O$217,"",COUNTIF($D$4:$D$213,$A236&amp;" ضد "&amp;O$217)+COUNTIF($D$4:$D$213,O$217&amp;" ضد "&amp;$A236))</f>
        <v>1</v>
      </c>
      <c r="P236" s="4">
        <f>IF($A236=P$217,"",COUNTIF($D$4:$D$213,$A236&amp;" ضد "&amp;P$217)+COUNTIF($D$4:$D$213,P$217&amp;" ضد "&amp;$A236))</f>
        <v>1</v>
      </c>
      <c r="Q236" s="4">
        <f>IF($A236=Q$217,"",COUNTIF($D$4:$D$213,$A236&amp;" ضد "&amp;Q$217)+COUNTIF($D$4:$D$213,Q$217&amp;" ضد "&amp;$A236))</f>
        <v>1</v>
      </c>
      <c r="R236" s="4">
        <f>IF($A236=R$217,"",COUNTIF($D$4:$D$213,$A236&amp;" ضد "&amp;R$217)+COUNTIF($D$4:$D$213,R$217&amp;" ضد "&amp;$A236))</f>
        <v>1</v>
      </c>
      <c r="S236" s="4">
        <f>IF($A236=S$217,"",COUNTIF($D$4:$D$213,$A236&amp;" ضد "&amp;S$217)+COUNTIF($D$4:$D$213,S$217&amp;" ضد "&amp;$A236))</f>
        <v>1</v>
      </c>
      <c r="T236" s="4" t="str">
        <f>IF($A236=T$217,"",COUNTIF($D$4:$D$213,$A236&amp;" ضد "&amp;T$217)+COUNTIF($D$4:$D$213,T$217&amp;" ضد "&amp;$A236))</f>
        <v/>
      </c>
      <c r="U236" s="4">
        <f>IF($A236=U$217,"",COUNTIF($D$4:$D$213,$A236&amp;" ضد "&amp;U$217)+COUNTIF($D$4:$D$213,U$217&amp;" ضد "&amp;$A236))</f>
        <v>1</v>
      </c>
      <c r="V236" s="4">
        <f>IF($A236=V$217,"",COUNTIF($D$4:$D$213,$A236&amp;" ضد "&amp;V$217)+COUNTIF($D$4:$D$213,V$217&amp;" ضد "&amp;$A236))</f>
        <v>1</v>
      </c>
    </row>
    <row r="237" spans="1:22" ht="14.5">
      <c r="A237" s="14">
        <v>20</v>
      </c>
      <c r="B237" s="4">
        <f>IF($A237=B$217,"",COUNTIF($D$4:$D$213,$A237&amp;" ضد "&amp;B$217)+COUNTIF($D$4:$D$213,B$217&amp;" ضد "&amp;$A237))</f>
        <v>1</v>
      </c>
      <c r="C237" s="4">
        <f>IF($A237=C$217,"",COUNTIF($D$4:$D$213,$A237&amp;" ضد "&amp;C$217)+COUNTIF($D$4:$D$213,C$217&amp;" ضد "&amp;$A237))</f>
        <v>1</v>
      </c>
      <c r="D237" s="4">
        <f>IF($A237=D$217,"",COUNTIF($D$4:$D$213,$A237&amp;" ضد "&amp;D$217)+COUNTIF($D$4:$D$213,D$217&amp;" ضد "&amp;$A237))</f>
        <v>1</v>
      </c>
      <c r="E237" s="4">
        <f>IF($A237=E$217,"",COUNTIF($D$4:$D$213,$A237&amp;" ضد "&amp;E$217)+COUNTIF($D$4:$D$213,E$217&amp;" ضد "&amp;$A237))</f>
        <v>1</v>
      </c>
      <c r="F237" s="4">
        <f>IF($A237=F$217,"",COUNTIF($D$4:$D$213,$A237&amp;" ضد "&amp;F$217)+COUNTIF($D$4:$D$213,F$217&amp;" ضد "&amp;$A237))</f>
        <v>1</v>
      </c>
      <c r="G237" s="4">
        <f>IF($A237=G$217,"",COUNTIF($D$4:$D$213,$A237&amp;" ضد "&amp;G$217)+COUNTIF($D$4:$D$213,G$217&amp;" ضد "&amp;$A237))</f>
        <v>1</v>
      </c>
      <c r="H237" s="4">
        <f>IF($A237=H$217,"",COUNTIF($D$4:$D$213,$A237&amp;" ضد "&amp;H$217)+COUNTIF($D$4:$D$213,H$217&amp;" ضد "&amp;$A237))</f>
        <v>1</v>
      </c>
      <c r="I237" s="4">
        <f>IF($A237=I$217,"",COUNTIF($D$4:$D$213,$A237&amp;" ضد "&amp;I$217)+COUNTIF($D$4:$D$213,I$217&amp;" ضد "&amp;$A237))</f>
        <v>1</v>
      </c>
      <c r="J237" s="4">
        <f>IF($A237=J$217,"",COUNTIF($D$4:$D$213,$A237&amp;" ضد "&amp;J$217)+COUNTIF($D$4:$D$213,J$217&amp;" ضد "&amp;$A237))</f>
        <v>1</v>
      </c>
      <c r="K237" s="4">
        <f>IF($A237=K$217,"",COUNTIF($D$4:$D$213,$A237&amp;" ضد "&amp;K$217)+COUNTIF($D$4:$D$213,K$217&amp;" ضد "&amp;$A237))</f>
        <v>1</v>
      </c>
      <c r="L237" s="4">
        <f>IF($A237=L$217,"",COUNTIF($D$4:$D$213,$A237&amp;" ضد "&amp;L$217)+COUNTIF($D$4:$D$213,L$217&amp;" ضد "&amp;$A237))</f>
        <v>1</v>
      </c>
      <c r="M237" s="4">
        <f>IF($A237=M$217,"",COUNTIF($D$4:$D$213,$A237&amp;" ضد "&amp;M$217)+COUNTIF($D$4:$D$213,M$217&amp;" ضد "&amp;$A237))</f>
        <v>1</v>
      </c>
      <c r="N237" s="4">
        <f>IF($A237=N$217,"",COUNTIF($D$4:$D$213,$A237&amp;" ضد "&amp;N$217)+COUNTIF($D$4:$D$213,N$217&amp;" ضد "&amp;$A237))</f>
        <v>1</v>
      </c>
      <c r="O237" s="4">
        <f>IF($A237=O$217,"",COUNTIF($D$4:$D$213,$A237&amp;" ضد "&amp;O$217)+COUNTIF($D$4:$D$213,O$217&amp;" ضد "&amp;$A237))</f>
        <v>1</v>
      </c>
      <c r="P237" s="4">
        <f>IF($A237=P$217,"",COUNTIF($D$4:$D$213,$A237&amp;" ضد "&amp;P$217)+COUNTIF($D$4:$D$213,P$217&amp;" ضد "&amp;$A237))</f>
        <v>1</v>
      </c>
      <c r="Q237" s="4">
        <f>IF($A237=Q$217,"",COUNTIF($D$4:$D$213,$A237&amp;" ضد "&amp;Q$217)+COUNTIF($D$4:$D$213,Q$217&amp;" ضد "&amp;$A237))</f>
        <v>1</v>
      </c>
      <c r="R237" s="4">
        <f>IF($A237=R$217,"",COUNTIF($D$4:$D$213,$A237&amp;" ضد "&amp;R$217)+COUNTIF($D$4:$D$213,R$217&amp;" ضد "&amp;$A237))</f>
        <v>1</v>
      </c>
      <c r="S237" s="4">
        <f>IF($A237=S$217,"",COUNTIF($D$4:$D$213,$A237&amp;" ضد "&amp;S$217)+COUNTIF($D$4:$D$213,S$217&amp;" ضد "&amp;$A237))</f>
        <v>1</v>
      </c>
      <c r="T237" s="4">
        <f>IF($A237=T$217,"",COUNTIF($D$4:$D$213,$A237&amp;" ضد "&amp;T$217)+COUNTIF($D$4:$D$213,T$217&amp;" ضد "&amp;$A237))</f>
        <v>1</v>
      </c>
      <c r="U237" s="4" t="str">
        <f>IF($A237=U$217,"",COUNTIF($D$4:$D$213,$A237&amp;" ضد "&amp;U$217)+COUNTIF($D$4:$D$213,U$217&amp;" ضد "&amp;$A237))</f>
        <v/>
      </c>
      <c r="V237" s="4">
        <f>IF($A237=V$217,"",COUNTIF($D$4:$D$213,$A237&amp;" ضد "&amp;V$217)+COUNTIF($D$4:$D$213,V$217&amp;" ضد "&amp;$A237))</f>
        <v>1</v>
      </c>
    </row>
    <row r="238" spans="1:22" ht="14.5">
      <c r="A238" s="14">
        <v>21</v>
      </c>
      <c r="B238" s="4">
        <f>IF($A238=B$217,"",COUNTIF($D$4:$D$213,$A238&amp;" ضد "&amp;B$217)+COUNTIF($D$4:$D$213,B$217&amp;" ضد "&amp;$A238))</f>
        <v>1</v>
      </c>
      <c r="C238" s="4">
        <f>IF($A238=C$217,"",COUNTIF($D$4:$D$213,$A238&amp;" ضد "&amp;C$217)+COUNTIF($D$4:$D$213,C$217&amp;" ضد "&amp;$A238))</f>
        <v>1</v>
      </c>
      <c r="D238" s="4">
        <f>IF($A238=D$217,"",COUNTIF($D$4:$D$213,$A238&amp;" ضد "&amp;D$217)+COUNTIF($D$4:$D$213,D$217&amp;" ضد "&amp;$A238))</f>
        <v>1</v>
      </c>
      <c r="E238" s="4">
        <f>IF($A238=E$217,"",COUNTIF($D$4:$D$213,$A238&amp;" ضد "&amp;E$217)+COUNTIF($D$4:$D$213,E$217&amp;" ضد "&amp;$A238))</f>
        <v>1</v>
      </c>
      <c r="F238" s="4">
        <f>IF($A238=F$217,"",COUNTIF($D$4:$D$213,$A238&amp;" ضد "&amp;F$217)+COUNTIF($D$4:$D$213,F$217&amp;" ضد "&amp;$A238))</f>
        <v>1</v>
      </c>
      <c r="G238" s="4">
        <f>IF($A238=G$217,"",COUNTIF($D$4:$D$213,$A238&amp;" ضد "&amp;G$217)+COUNTIF($D$4:$D$213,G$217&amp;" ضد "&amp;$A238))</f>
        <v>1</v>
      </c>
      <c r="H238" s="4">
        <f>IF($A238=H$217,"",COUNTIF($D$4:$D$213,$A238&amp;" ضد "&amp;H$217)+COUNTIF($D$4:$D$213,H$217&amp;" ضد "&amp;$A238))</f>
        <v>1</v>
      </c>
      <c r="I238" s="4">
        <f>IF($A238=I$217,"",COUNTIF($D$4:$D$213,$A238&amp;" ضد "&amp;I$217)+COUNTIF($D$4:$D$213,I$217&amp;" ضد "&amp;$A238))</f>
        <v>1</v>
      </c>
      <c r="J238" s="4">
        <f>IF($A238=J$217,"",COUNTIF($D$4:$D$213,$A238&amp;" ضد "&amp;J$217)+COUNTIF($D$4:$D$213,J$217&amp;" ضد "&amp;$A238))</f>
        <v>1</v>
      </c>
      <c r="K238" s="4">
        <f>IF($A238=K$217,"",COUNTIF($D$4:$D$213,$A238&amp;" ضد "&amp;K$217)+COUNTIF($D$4:$D$213,K$217&amp;" ضد "&amp;$A238))</f>
        <v>1</v>
      </c>
      <c r="L238" s="4">
        <f>IF($A238=L$217,"",COUNTIF($D$4:$D$213,$A238&amp;" ضد "&amp;L$217)+COUNTIF($D$4:$D$213,L$217&amp;" ضد "&amp;$A238))</f>
        <v>1</v>
      </c>
      <c r="M238" s="4">
        <f>IF($A238=M$217,"",COUNTIF($D$4:$D$213,$A238&amp;" ضد "&amp;M$217)+COUNTIF($D$4:$D$213,M$217&amp;" ضد "&amp;$A238))</f>
        <v>1</v>
      </c>
      <c r="N238" s="4">
        <f>IF($A238=N$217,"",COUNTIF($D$4:$D$213,$A238&amp;" ضد "&amp;N$217)+COUNTIF($D$4:$D$213,N$217&amp;" ضد "&amp;$A238))</f>
        <v>1</v>
      </c>
      <c r="O238" s="4">
        <f>IF($A238=O$217,"",COUNTIF($D$4:$D$213,$A238&amp;" ضد "&amp;O$217)+COUNTIF($D$4:$D$213,O$217&amp;" ضد "&amp;$A238))</f>
        <v>1</v>
      </c>
      <c r="P238" s="4">
        <f>IF($A238=P$217,"",COUNTIF($D$4:$D$213,$A238&amp;" ضد "&amp;P$217)+COUNTIF($D$4:$D$213,P$217&amp;" ضد "&amp;$A238))</f>
        <v>1</v>
      </c>
      <c r="Q238" s="4">
        <f>IF($A238=Q$217,"",COUNTIF($D$4:$D$213,$A238&amp;" ضد "&amp;Q$217)+COUNTIF($D$4:$D$213,Q$217&amp;" ضد "&amp;$A238))</f>
        <v>1</v>
      </c>
      <c r="R238" s="4">
        <f>IF($A238=R$217,"",COUNTIF($D$4:$D$213,$A238&amp;" ضد "&amp;R$217)+COUNTIF($D$4:$D$213,R$217&amp;" ضد "&amp;$A238))</f>
        <v>1</v>
      </c>
      <c r="S238" s="4">
        <f>IF($A238=S$217,"",COUNTIF($D$4:$D$213,$A238&amp;" ضد "&amp;S$217)+COUNTIF($D$4:$D$213,S$217&amp;" ضد "&amp;$A238))</f>
        <v>1</v>
      </c>
      <c r="T238" s="4">
        <f>IF($A238=T$217,"",COUNTIF($D$4:$D$213,$A238&amp;" ضد "&amp;T$217)+COUNTIF($D$4:$D$213,T$217&amp;" ضد "&amp;$A238))</f>
        <v>1</v>
      </c>
      <c r="U238" s="4">
        <f>IF($A238=U$217,"",COUNTIF($D$4:$D$213,$A238&amp;" ضد "&amp;U$217)+COUNTIF($D$4:$D$213,U$217&amp;" ضد "&amp;$A238))</f>
        <v>1</v>
      </c>
      <c r="V238" s="4" t="str">
        <f>IF($A238=V$217,"",COUNTIF($D$4:$D$213,$A238&amp;" ضد "&amp;V$217)+COUNTIF($D$4:$D$213,V$217&amp;" ضد "&amp;$A238))</f>
        <v/>
      </c>
    </row>
    <row r="239" spans="1:22" ht="14.5">
      <c r="A239" s="14" t="s">
        <v>1033</v>
      </c>
      <c r="B239" s="4" cm="1">
        <f t="array" ref="B239">MIN(IF(B218:V238&gt;0,B218:V238))</f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4.5">
      <c r="A240" s="14" t="s">
        <v>830</v>
      </c>
      <c r="B240" s="4">
        <f>MAX(B218:V238)</f>
        <v>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</sheetData>
  <mergeCells count="2">
    <mergeCell ref="A1:D1"/>
    <mergeCell ref="A216:V2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152D-79C9-4564-B3C5-AF68C7142222}">
  <dimension ref="A1:W26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25" customWidth="1"/>
    <col min="6" max="6" width="9.1640625" customWidth="1"/>
    <col min="7" max="7" width="14.1640625" customWidth="1"/>
    <col min="8" max="8" width="11.6640625" customWidth="1"/>
    <col min="11" max="11" width="8.33203125" customWidth="1"/>
    <col min="12" max="12" width="19.1640625" customWidth="1"/>
  </cols>
  <sheetData>
    <row r="1" spans="1:6" ht="18" customHeight="1">
      <c r="A1" s="15" t="s">
        <v>994</v>
      </c>
      <c r="B1" s="15"/>
      <c r="C1" s="15"/>
      <c r="D1" s="15"/>
      <c r="E1" s="2"/>
      <c r="F1" s="2"/>
    </row>
    <row r="2" spans="1:6" ht="14" customHeight="1">
      <c r="A2" s="5"/>
      <c r="B2" s="5"/>
      <c r="C2" s="5"/>
      <c r="D2" s="5"/>
      <c r="E2" s="2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85</v>
      </c>
      <c r="E3" s="2"/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156</v>
      </c>
      <c r="E4" s="2"/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135</v>
      </c>
      <c r="E5" s="2"/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94</v>
      </c>
      <c r="E6" s="2"/>
      <c r="F6" s="2"/>
    </row>
    <row r="7" spans="1:6" ht="14" customHeight="1">
      <c r="A7" s="8">
        <v>1</v>
      </c>
      <c r="B7" s="7" t="str">
        <f>المدخلات!$F$4</f>
        <v>4:00–5:10 م</v>
      </c>
      <c r="C7" s="7">
        <v>4</v>
      </c>
      <c r="D7" s="7" t="s">
        <v>93</v>
      </c>
      <c r="E7" s="2"/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1</v>
      </c>
      <c r="D8" s="7" t="s">
        <v>202</v>
      </c>
      <c r="E8" s="2"/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2</v>
      </c>
      <c r="D9" s="7" t="s">
        <v>72</v>
      </c>
      <c r="E9" s="2"/>
      <c r="F9" s="2"/>
    </row>
    <row r="10" spans="1:6" ht="14" customHeight="1">
      <c r="A10" s="8">
        <v>1</v>
      </c>
      <c r="B10" s="7" t="str">
        <f>المدخلات!$F$5</f>
        <v>5:20–6:30 م</v>
      </c>
      <c r="C10" s="7">
        <v>3</v>
      </c>
      <c r="D10" s="7" t="s">
        <v>186</v>
      </c>
      <c r="E10" s="2"/>
      <c r="F10" s="2"/>
    </row>
    <row r="11" spans="1:6" ht="14" customHeight="1">
      <c r="A11" s="8">
        <v>1</v>
      </c>
      <c r="B11" s="7" t="str">
        <f>المدخلات!$F$5</f>
        <v>5:20–6:30 م</v>
      </c>
      <c r="C11" s="7">
        <v>4</v>
      </c>
      <c r="D11" s="7" t="s">
        <v>187</v>
      </c>
      <c r="E11" s="2"/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1</v>
      </c>
      <c r="D12" s="7" t="s">
        <v>134</v>
      </c>
      <c r="E12" s="2"/>
      <c r="F12" s="2"/>
    </row>
    <row r="13" spans="1:6" ht="14" customHeight="1">
      <c r="A13" s="8">
        <v>1</v>
      </c>
      <c r="B13" s="7" t="str">
        <f>المدخلات!$F$6</f>
        <v>6:40–7:50 م</v>
      </c>
      <c r="C13" s="7">
        <v>2</v>
      </c>
      <c r="D13" s="7" t="s">
        <v>589</v>
      </c>
      <c r="E13" s="2"/>
      <c r="F13" s="2"/>
    </row>
    <row r="14" spans="1:6" ht="14" customHeight="1">
      <c r="A14" s="8">
        <v>1</v>
      </c>
      <c r="B14" s="7" t="str">
        <f>المدخلات!$F$6</f>
        <v>6:40–7:50 م</v>
      </c>
      <c r="C14" s="7">
        <v>3</v>
      </c>
      <c r="D14" s="7" t="s">
        <v>203</v>
      </c>
      <c r="E14" s="2"/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1</v>
      </c>
      <c r="D15" s="7" t="s">
        <v>219</v>
      </c>
      <c r="E15" s="2"/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2</v>
      </c>
      <c r="D16" s="7" t="s">
        <v>1120</v>
      </c>
      <c r="E16" s="2"/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3</v>
      </c>
      <c r="D17" s="7" t="s">
        <v>1121</v>
      </c>
      <c r="E17" s="2"/>
      <c r="F17" s="2"/>
    </row>
    <row r="18" spans="1:6" ht="14" customHeight="1">
      <c r="A18" s="8">
        <v>2</v>
      </c>
      <c r="B18" s="7" t="str">
        <f>المدخلات!$F$4</f>
        <v>4:00–5:10 م</v>
      </c>
      <c r="C18" s="7">
        <v>4</v>
      </c>
      <c r="D18" s="7" t="s">
        <v>56</v>
      </c>
      <c r="E18" s="2"/>
      <c r="F18" s="2"/>
    </row>
    <row r="19" spans="1:6" ht="14" customHeight="1">
      <c r="A19" s="8">
        <v>2</v>
      </c>
      <c r="B19" s="7" t="str">
        <f>المدخلات!$F$5</f>
        <v>5:20–6:30 م</v>
      </c>
      <c r="C19" s="7">
        <v>1</v>
      </c>
      <c r="D19" s="7" t="s">
        <v>1122</v>
      </c>
      <c r="E19" s="2"/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2</v>
      </c>
      <c r="D20" s="7" t="s">
        <v>1066</v>
      </c>
      <c r="E20" s="2"/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3</v>
      </c>
      <c r="D21" s="7" t="s">
        <v>1134</v>
      </c>
      <c r="E21" s="2"/>
      <c r="F21" s="2"/>
    </row>
    <row r="22" spans="1:6" ht="14" customHeight="1">
      <c r="A22" s="8">
        <v>2</v>
      </c>
      <c r="B22" s="7" t="str">
        <f>المدخلات!$F$5</f>
        <v>5:20–6:30 م</v>
      </c>
      <c r="C22" s="7">
        <v>4</v>
      </c>
      <c r="D22" s="7" t="s">
        <v>1086</v>
      </c>
      <c r="E22" s="2"/>
      <c r="F22" s="2"/>
    </row>
    <row r="23" spans="1:6" ht="14" customHeight="1">
      <c r="A23" s="8">
        <v>2</v>
      </c>
      <c r="B23" s="7" t="str">
        <f>المدخلات!$F$6</f>
        <v>6:40–7:50 م</v>
      </c>
      <c r="C23" s="7">
        <v>1</v>
      </c>
      <c r="D23" s="7" t="s">
        <v>1068</v>
      </c>
      <c r="E23" s="2"/>
      <c r="F23" s="2"/>
    </row>
    <row r="24" spans="1:6" ht="14" customHeight="1">
      <c r="A24" s="8">
        <v>2</v>
      </c>
      <c r="B24" s="7" t="str">
        <f>المدخلات!$F$6</f>
        <v>6:40–7:50 م</v>
      </c>
      <c r="C24" s="7">
        <v>2</v>
      </c>
      <c r="D24" s="7" t="s">
        <v>1085</v>
      </c>
      <c r="E24" s="2"/>
      <c r="F24" s="2"/>
    </row>
    <row r="25" spans="1:6" ht="14" customHeight="1">
      <c r="A25" s="8">
        <v>2</v>
      </c>
      <c r="B25" s="7" t="str">
        <f>المدخلات!$F$6</f>
        <v>6:40–7:50 م</v>
      </c>
      <c r="C25" s="7">
        <v>3</v>
      </c>
      <c r="D25" s="7" t="s">
        <v>1087</v>
      </c>
      <c r="E25" s="2"/>
      <c r="F25" s="2"/>
    </row>
    <row r="26" spans="1:6" ht="14" customHeight="1">
      <c r="A26" s="8">
        <v>3</v>
      </c>
      <c r="B26" s="7" t="str">
        <f>المدخلات!$F$4</f>
        <v>4:00–5:10 م</v>
      </c>
      <c r="C26" s="7">
        <v>1</v>
      </c>
      <c r="D26" s="7" t="s">
        <v>63</v>
      </c>
      <c r="E26" s="2"/>
      <c r="F26" s="2"/>
    </row>
    <row r="27" spans="1:6" ht="14" customHeight="1">
      <c r="A27" s="8">
        <v>3</v>
      </c>
      <c r="B27" s="7" t="str">
        <f>المدخلات!$F$4</f>
        <v>4:00–5:10 م</v>
      </c>
      <c r="C27" s="7">
        <v>2</v>
      </c>
      <c r="D27" s="7" t="s">
        <v>139</v>
      </c>
      <c r="E27" s="2"/>
      <c r="F27" s="2"/>
    </row>
    <row r="28" spans="1:6" ht="14" customHeight="1">
      <c r="A28" s="8">
        <v>3</v>
      </c>
      <c r="B28" s="7" t="str">
        <f>المدخلات!$F$4</f>
        <v>4:00–5:10 م</v>
      </c>
      <c r="C28" s="7">
        <v>3</v>
      </c>
      <c r="D28" s="7" t="s">
        <v>188</v>
      </c>
      <c r="E28" s="2"/>
      <c r="F28" s="2"/>
    </row>
    <row r="29" spans="1:6" ht="14" customHeight="1">
      <c r="A29" s="8">
        <v>3</v>
      </c>
      <c r="B29" s="7" t="str">
        <f>المدخلات!$F$4</f>
        <v>4:00–5:10 م</v>
      </c>
      <c r="C29" s="7">
        <v>4</v>
      </c>
      <c r="D29" s="7" t="s">
        <v>205</v>
      </c>
      <c r="E29" s="2"/>
      <c r="F29" s="2"/>
    </row>
    <row r="30" spans="1:6" ht="14" customHeight="1">
      <c r="A30" s="8">
        <v>3</v>
      </c>
      <c r="B30" s="7" t="str">
        <f>المدخلات!$F$5</f>
        <v>5:20–6:30 م</v>
      </c>
      <c r="C30" s="7">
        <v>1</v>
      </c>
      <c r="D30" s="7" t="s">
        <v>46</v>
      </c>
      <c r="E30" s="2"/>
      <c r="F30" s="2"/>
    </row>
    <row r="31" spans="1:6" ht="14" customHeight="1">
      <c r="A31" s="8">
        <v>3</v>
      </c>
      <c r="B31" s="7" t="str">
        <f>المدخلات!$F$5</f>
        <v>5:20–6:30 م</v>
      </c>
      <c r="C31" s="7">
        <v>2</v>
      </c>
      <c r="D31" s="7" t="s">
        <v>143</v>
      </c>
      <c r="E31" s="2"/>
      <c r="F31" s="2"/>
    </row>
    <row r="32" spans="1:6" ht="14" customHeight="1">
      <c r="A32" s="8">
        <v>3</v>
      </c>
      <c r="B32" s="7" t="str">
        <f>المدخلات!$F$5</f>
        <v>5:20–6:30 م</v>
      </c>
      <c r="C32" s="7">
        <v>3</v>
      </c>
      <c r="D32" s="7" t="s">
        <v>142</v>
      </c>
      <c r="E32" s="2"/>
      <c r="F32" s="2"/>
    </row>
    <row r="33" spans="1:6" ht="14" customHeight="1">
      <c r="A33" s="8">
        <v>3</v>
      </c>
      <c r="B33" s="7" t="str">
        <f>المدخلات!$F$5</f>
        <v>5:20–6:30 م</v>
      </c>
      <c r="C33" s="7">
        <v>4</v>
      </c>
      <c r="D33" s="7" t="s">
        <v>140</v>
      </c>
      <c r="E33" s="2"/>
      <c r="F33" s="2"/>
    </row>
    <row r="34" spans="1:6" ht="14" customHeight="1">
      <c r="A34" s="8">
        <v>3</v>
      </c>
      <c r="B34" s="7" t="str">
        <f>المدخلات!$F$6</f>
        <v>6:40–7:50 م</v>
      </c>
      <c r="C34" s="7">
        <v>1</v>
      </c>
      <c r="D34" s="7" t="s">
        <v>53</v>
      </c>
      <c r="E34" s="2"/>
      <c r="F34" s="2"/>
    </row>
    <row r="35" spans="1:6" ht="14" customHeight="1">
      <c r="A35" s="8">
        <v>3</v>
      </c>
      <c r="B35" s="7" t="str">
        <f>المدخلات!$F$6</f>
        <v>6:40–7:50 م</v>
      </c>
      <c r="C35" s="7">
        <v>2</v>
      </c>
      <c r="D35" s="7" t="s">
        <v>141</v>
      </c>
      <c r="E35" s="2"/>
      <c r="F35" s="2"/>
    </row>
    <row r="36" spans="1:6" ht="14" customHeight="1">
      <c r="A36" s="8">
        <v>3</v>
      </c>
      <c r="B36" s="7" t="str">
        <f>المدخلات!$F$6</f>
        <v>6:40–7:50 م</v>
      </c>
      <c r="C36" s="7">
        <v>3</v>
      </c>
      <c r="D36" s="7" t="s">
        <v>638</v>
      </c>
      <c r="E36" s="2"/>
      <c r="F36" s="2"/>
    </row>
    <row r="37" spans="1:6" ht="14" customHeight="1">
      <c r="A37" s="8">
        <v>4</v>
      </c>
      <c r="B37" s="7" t="str">
        <f>المدخلات!$F$4</f>
        <v>4:00–5:10 م</v>
      </c>
      <c r="C37" s="7">
        <v>1</v>
      </c>
      <c r="D37" s="7" t="s">
        <v>1062</v>
      </c>
      <c r="E37" s="2"/>
      <c r="F37" s="2"/>
    </row>
    <row r="38" spans="1:6" ht="14" customHeight="1">
      <c r="A38" s="8">
        <v>4</v>
      </c>
      <c r="B38" s="7" t="str">
        <f>المدخلات!$F$4</f>
        <v>4:00–5:10 م</v>
      </c>
      <c r="C38" s="7">
        <v>2</v>
      </c>
      <c r="D38" s="7" t="s">
        <v>41</v>
      </c>
      <c r="E38" s="2"/>
      <c r="F38" s="2"/>
    </row>
    <row r="39" spans="1:6" ht="14" customHeight="1">
      <c r="A39" s="8">
        <v>4</v>
      </c>
      <c r="B39" s="7" t="str">
        <f>المدخلات!$F$4</f>
        <v>4:00–5:10 م</v>
      </c>
      <c r="C39" s="7">
        <v>3</v>
      </c>
      <c r="D39" s="7" t="s">
        <v>206</v>
      </c>
      <c r="E39" s="2"/>
      <c r="F39" s="2"/>
    </row>
    <row r="40" spans="1:6" ht="14" customHeight="1">
      <c r="A40" s="8">
        <v>4</v>
      </c>
      <c r="B40" s="7" t="str">
        <f>المدخلات!$F$4</f>
        <v>4:00–5:10 م</v>
      </c>
      <c r="C40" s="7">
        <v>4</v>
      </c>
      <c r="D40" s="7" t="s">
        <v>189</v>
      </c>
      <c r="E40" s="2"/>
      <c r="F40" s="2"/>
    </row>
    <row r="41" spans="1:6" ht="14" customHeight="1">
      <c r="A41" s="8">
        <v>4</v>
      </c>
      <c r="B41" s="7" t="str">
        <f>المدخلات!$F$5</f>
        <v>5:20–6:30 م</v>
      </c>
      <c r="C41" s="7">
        <v>1</v>
      </c>
      <c r="D41" s="7" t="s">
        <v>221</v>
      </c>
      <c r="E41" s="2"/>
      <c r="F41" s="2"/>
    </row>
    <row r="42" spans="1:6" ht="14" customHeight="1">
      <c r="A42" s="8">
        <v>4</v>
      </c>
      <c r="B42" s="7" t="str">
        <f>المدخلات!$F$5</f>
        <v>5:20–6:30 م</v>
      </c>
      <c r="C42" s="7">
        <v>2</v>
      </c>
      <c r="D42" s="7" t="s">
        <v>1055</v>
      </c>
      <c r="E42" s="2"/>
      <c r="F42" s="2"/>
    </row>
    <row r="43" spans="1:6" ht="14" customHeight="1">
      <c r="A43" s="8">
        <v>4</v>
      </c>
      <c r="B43" s="7" t="str">
        <f>المدخلات!$F$5</f>
        <v>5:20–6:30 م</v>
      </c>
      <c r="C43" s="7">
        <v>3</v>
      </c>
      <c r="D43" s="7" t="s">
        <v>1079</v>
      </c>
      <c r="E43" s="2"/>
      <c r="F43" s="2"/>
    </row>
    <row r="44" spans="1:6" ht="14" customHeight="1">
      <c r="A44" s="8">
        <v>4</v>
      </c>
      <c r="B44" s="7" t="str">
        <f>المدخلات!$F$5</f>
        <v>5:20–6:30 م</v>
      </c>
      <c r="C44" s="7">
        <v>4</v>
      </c>
      <c r="D44" s="7" t="s">
        <v>887</v>
      </c>
      <c r="E44" s="2"/>
      <c r="F44" s="2"/>
    </row>
    <row r="45" spans="1:6" ht="14" customHeight="1">
      <c r="A45" s="8">
        <v>4</v>
      </c>
      <c r="B45" s="7" t="str">
        <f>المدخلات!$F$6</f>
        <v>6:40–7:50 م</v>
      </c>
      <c r="C45" s="7">
        <v>1</v>
      </c>
      <c r="D45" s="7" t="s">
        <v>165</v>
      </c>
      <c r="E45" s="2"/>
      <c r="F45" s="2"/>
    </row>
    <row r="46" spans="1:6" ht="14" customHeight="1">
      <c r="A46" s="8">
        <v>4</v>
      </c>
      <c r="B46" s="7" t="str">
        <f>المدخلات!$F$6</f>
        <v>6:40–7:50 م</v>
      </c>
      <c r="C46" s="7">
        <v>2</v>
      </c>
      <c r="D46" s="7" t="s">
        <v>49</v>
      </c>
      <c r="E46" s="2"/>
      <c r="F46" s="2"/>
    </row>
    <row r="47" spans="1:6" ht="14" customHeight="1">
      <c r="A47" s="8">
        <v>4</v>
      </c>
      <c r="B47" s="7" t="str">
        <f>المدخلات!$F$6</f>
        <v>6:40–7:50 م</v>
      </c>
      <c r="C47" s="7">
        <v>3</v>
      </c>
      <c r="D47" s="7" t="s">
        <v>1081</v>
      </c>
      <c r="E47" s="2"/>
      <c r="F47" s="2"/>
    </row>
    <row r="48" spans="1:6" ht="14" customHeight="1">
      <c r="A48" s="8">
        <v>5</v>
      </c>
      <c r="B48" s="7" t="str">
        <f>المدخلات!$F$4</f>
        <v>4:00–5:10 م</v>
      </c>
      <c r="C48" s="7">
        <v>1</v>
      </c>
      <c r="D48" s="7" t="s">
        <v>58</v>
      </c>
      <c r="E48" s="2"/>
      <c r="F48" s="2"/>
    </row>
    <row r="49" spans="1:6" ht="14" customHeight="1">
      <c r="A49" s="8">
        <v>5</v>
      </c>
      <c r="B49" s="7" t="str">
        <f>المدخلات!$F$4</f>
        <v>4:00–5:10 م</v>
      </c>
      <c r="C49" s="7">
        <v>2</v>
      </c>
      <c r="D49" s="7" t="s">
        <v>110</v>
      </c>
      <c r="E49" s="2"/>
      <c r="F49" s="2"/>
    </row>
    <row r="50" spans="1:6" ht="14" customHeight="1">
      <c r="A50" s="8">
        <v>5</v>
      </c>
      <c r="B50" s="7" t="str">
        <f>المدخلات!$F$4</f>
        <v>4:00–5:10 م</v>
      </c>
      <c r="C50" s="7">
        <v>3</v>
      </c>
      <c r="D50" s="7" t="s">
        <v>47</v>
      </c>
      <c r="E50" s="2"/>
      <c r="F50" s="2"/>
    </row>
    <row r="51" spans="1:6" ht="14" customHeight="1">
      <c r="A51" s="8">
        <v>5</v>
      </c>
      <c r="B51" s="7" t="str">
        <f>المدخلات!$F$4</f>
        <v>4:00–5:10 م</v>
      </c>
      <c r="C51" s="7">
        <v>4</v>
      </c>
      <c r="D51" s="7" t="s">
        <v>37</v>
      </c>
      <c r="E51" s="2"/>
      <c r="F51" s="2"/>
    </row>
    <row r="52" spans="1:6" ht="14" customHeight="1">
      <c r="A52" s="8">
        <v>5</v>
      </c>
      <c r="B52" s="7" t="str">
        <f>المدخلات!$F$5</f>
        <v>5:20–6:30 م</v>
      </c>
      <c r="C52" s="7">
        <v>1</v>
      </c>
      <c r="D52" s="7" t="s">
        <v>167</v>
      </c>
      <c r="E52" s="2"/>
      <c r="F52" s="2"/>
    </row>
    <row r="53" spans="1:6" ht="14" customHeight="1">
      <c r="A53" s="8">
        <v>5</v>
      </c>
      <c r="B53" s="7" t="str">
        <f>المدخلات!$F$5</f>
        <v>5:20–6:30 م</v>
      </c>
      <c r="C53" s="7">
        <v>2</v>
      </c>
      <c r="D53" s="7" t="s">
        <v>1100</v>
      </c>
      <c r="E53" s="2"/>
      <c r="F53" s="2"/>
    </row>
    <row r="54" spans="1:6" ht="14" customHeight="1">
      <c r="A54" s="8">
        <v>5</v>
      </c>
      <c r="B54" s="7" t="str">
        <f>المدخلات!$F$5</f>
        <v>5:20–6:30 م</v>
      </c>
      <c r="C54" s="7">
        <v>3</v>
      </c>
      <c r="D54" s="7" t="s">
        <v>30</v>
      </c>
      <c r="E54" s="2"/>
      <c r="F54" s="2"/>
    </row>
    <row r="55" spans="1:6" ht="14" customHeight="1">
      <c r="A55" s="8">
        <v>5</v>
      </c>
      <c r="B55" s="7" t="str">
        <f>المدخلات!$F$5</f>
        <v>5:20–6:30 م</v>
      </c>
      <c r="C55" s="7">
        <v>4</v>
      </c>
      <c r="D55" s="7" t="s">
        <v>843</v>
      </c>
      <c r="E55" s="2"/>
      <c r="F55" s="2"/>
    </row>
    <row r="56" spans="1:6" ht="14" customHeight="1">
      <c r="A56" s="8">
        <v>5</v>
      </c>
      <c r="B56" s="7" t="str">
        <f>المدخلات!$F$6</f>
        <v>6:40–7:50 م</v>
      </c>
      <c r="C56" s="7">
        <v>1</v>
      </c>
      <c r="D56" s="7" t="s">
        <v>65</v>
      </c>
      <c r="E56" s="2"/>
      <c r="F56" s="2"/>
    </row>
    <row r="57" spans="1:6" ht="14" customHeight="1">
      <c r="A57" s="8">
        <v>5</v>
      </c>
      <c r="B57" s="7" t="str">
        <f>المدخلات!$F$6</f>
        <v>6:40–7:50 م</v>
      </c>
      <c r="C57" s="7">
        <v>2</v>
      </c>
      <c r="D57" s="7" t="s">
        <v>841</v>
      </c>
      <c r="E57" s="2"/>
      <c r="F57" s="2"/>
    </row>
    <row r="58" spans="1:6" ht="14" customHeight="1">
      <c r="A58" s="8">
        <v>5</v>
      </c>
      <c r="B58" s="7" t="str">
        <f>المدخلات!$F$6</f>
        <v>6:40–7:50 م</v>
      </c>
      <c r="C58" s="7">
        <v>3</v>
      </c>
      <c r="D58" s="7" t="s">
        <v>842</v>
      </c>
      <c r="E58" s="2"/>
      <c r="F58" s="2"/>
    </row>
    <row r="59" spans="1:6" ht="14" customHeight="1">
      <c r="A59" s="8">
        <v>6</v>
      </c>
      <c r="B59" s="7" t="str">
        <f>المدخلات!$F$4</f>
        <v>4:00–5:10 م</v>
      </c>
      <c r="C59" s="7">
        <v>1</v>
      </c>
      <c r="D59" s="7" t="s">
        <v>23</v>
      </c>
      <c r="E59" s="2"/>
      <c r="F59" s="2"/>
    </row>
    <row r="60" spans="1:6" ht="14" customHeight="1">
      <c r="A60" s="8">
        <v>6</v>
      </c>
      <c r="B60" s="7" t="str">
        <f>المدخلات!$F$4</f>
        <v>4:00–5:10 م</v>
      </c>
      <c r="C60" s="7">
        <v>2</v>
      </c>
      <c r="D60" s="7" t="s">
        <v>159</v>
      </c>
      <c r="E60" s="2"/>
      <c r="F60" s="2"/>
    </row>
    <row r="61" spans="1:6" ht="14" customHeight="1">
      <c r="A61" s="8">
        <v>6</v>
      </c>
      <c r="B61" s="7" t="str">
        <f>المدخلات!$F$4</f>
        <v>4:00–5:10 م</v>
      </c>
      <c r="C61" s="7">
        <v>3</v>
      </c>
      <c r="D61" s="7" t="s">
        <v>144</v>
      </c>
      <c r="E61" s="2"/>
      <c r="F61" s="2"/>
    </row>
    <row r="62" spans="1:6" ht="14" customHeight="1">
      <c r="A62" s="8">
        <v>6</v>
      </c>
      <c r="B62" s="7" t="str">
        <f>المدخلات!$F$4</f>
        <v>4:00–5:10 م</v>
      </c>
      <c r="C62" s="7">
        <v>4</v>
      </c>
      <c r="D62" s="7" t="s">
        <v>191</v>
      </c>
      <c r="E62" s="2"/>
      <c r="F62" s="2"/>
    </row>
    <row r="63" spans="1:6" ht="14" customHeight="1">
      <c r="A63" s="8">
        <v>6</v>
      </c>
      <c r="B63" s="7" t="str">
        <f>المدخلات!$F$5</f>
        <v>5:20–6:30 م</v>
      </c>
      <c r="C63" s="7">
        <v>1</v>
      </c>
      <c r="D63" s="7" t="s">
        <v>208</v>
      </c>
      <c r="E63" s="2"/>
      <c r="F63" s="2"/>
    </row>
    <row r="64" spans="1:6" ht="14" customHeight="1">
      <c r="A64" s="8">
        <v>6</v>
      </c>
      <c r="B64" s="7" t="str">
        <f>المدخلات!$F$5</f>
        <v>5:20–6:30 م</v>
      </c>
      <c r="C64" s="7">
        <v>2</v>
      </c>
      <c r="D64" s="7" t="s">
        <v>1059</v>
      </c>
      <c r="E64" s="2"/>
      <c r="F64" s="2"/>
    </row>
    <row r="65" spans="1:6" ht="14" customHeight="1">
      <c r="A65" s="8">
        <v>6</v>
      </c>
      <c r="B65" s="7" t="str">
        <f>المدخلات!$F$5</f>
        <v>5:20–6:30 م</v>
      </c>
      <c r="C65" s="7">
        <v>3</v>
      </c>
      <c r="D65" s="7" t="s">
        <v>218</v>
      </c>
      <c r="E65" s="2"/>
      <c r="F65" s="2"/>
    </row>
    <row r="66" spans="1:6" ht="14" customHeight="1">
      <c r="A66" s="8">
        <v>6</v>
      </c>
      <c r="B66" s="7" t="str">
        <f>المدخلات!$F$5</f>
        <v>5:20–6:30 م</v>
      </c>
      <c r="C66" s="7">
        <v>4</v>
      </c>
      <c r="D66" s="7" t="s">
        <v>168</v>
      </c>
      <c r="E66" s="2"/>
      <c r="F66" s="2"/>
    </row>
    <row r="67" spans="1:6" ht="14" customHeight="1">
      <c r="A67" s="8">
        <v>6</v>
      </c>
      <c r="B67" s="7" t="str">
        <f>المدخلات!$F$6</f>
        <v>6:40–7:50 م</v>
      </c>
      <c r="C67" s="7">
        <v>1</v>
      </c>
      <c r="D67" s="7" t="s">
        <v>34</v>
      </c>
      <c r="E67" s="2"/>
      <c r="F67" s="2"/>
    </row>
    <row r="68" spans="1:6" ht="14" customHeight="1">
      <c r="A68" s="8">
        <v>6</v>
      </c>
      <c r="B68" s="7" t="str">
        <f>المدخلات!$F$6</f>
        <v>6:40–7:50 م</v>
      </c>
      <c r="C68" s="7">
        <v>2</v>
      </c>
      <c r="D68" s="7" t="s">
        <v>1060</v>
      </c>
      <c r="E68" s="2"/>
      <c r="F68" s="2"/>
    </row>
    <row r="69" spans="1:6" ht="14" customHeight="1">
      <c r="A69" s="8">
        <v>6</v>
      </c>
      <c r="B69" s="7" t="str">
        <f>المدخلات!$F$6</f>
        <v>6:40–7:50 م</v>
      </c>
      <c r="C69" s="7">
        <v>3</v>
      </c>
      <c r="D69" s="7" t="s">
        <v>1064</v>
      </c>
      <c r="E69" s="2"/>
      <c r="F69" s="2"/>
    </row>
    <row r="70" spans="1:6" ht="14" customHeight="1">
      <c r="A70" s="8">
        <v>7</v>
      </c>
      <c r="B70" s="7" t="str">
        <f>المدخلات!$F$4</f>
        <v>4:00–5:10 م</v>
      </c>
      <c r="C70" s="7">
        <v>1</v>
      </c>
      <c r="D70" s="7" t="s">
        <v>26</v>
      </c>
      <c r="E70" s="2"/>
      <c r="F70" s="2"/>
    </row>
    <row r="71" spans="1:6" ht="14" customHeight="1">
      <c r="A71" s="8">
        <v>7</v>
      </c>
      <c r="B71" s="7" t="str">
        <f>المدخلات!$F$4</f>
        <v>4:00–5:10 م</v>
      </c>
      <c r="C71" s="7">
        <v>2</v>
      </c>
      <c r="D71" s="7" t="s">
        <v>33</v>
      </c>
      <c r="E71" s="2"/>
      <c r="F71" s="2"/>
    </row>
    <row r="72" spans="1:6" ht="14" customHeight="1">
      <c r="A72" s="8">
        <v>7</v>
      </c>
      <c r="B72" s="7" t="str">
        <f>المدخلات!$F$4</f>
        <v>4:00–5:10 م</v>
      </c>
      <c r="C72" s="7">
        <v>3</v>
      </c>
      <c r="D72" s="7" t="s">
        <v>1124</v>
      </c>
      <c r="E72" s="2"/>
      <c r="F72" s="2"/>
    </row>
    <row r="73" spans="1:6" ht="14" customHeight="1">
      <c r="A73" s="8">
        <v>7</v>
      </c>
      <c r="B73" s="7" t="str">
        <f>المدخلات!$F$4</f>
        <v>4:00–5:10 م</v>
      </c>
      <c r="C73" s="7">
        <v>4</v>
      </c>
      <c r="D73" s="7" t="s">
        <v>40</v>
      </c>
      <c r="E73" s="2"/>
      <c r="F73" s="2"/>
    </row>
    <row r="74" spans="1:6" ht="14" customHeight="1">
      <c r="A74" s="8">
        <v>7</v>
      </c>
      <c r="B74" s="7" t="str">
        <f>المدخلات!$F$5</f>
        <v>5:20–6:30 م</v>
      </c>
      <c r="C74" s="7">
        <v>1</v>
      </c>
      <c r="D74" s="7" t="s">
        <v>1109</v>
      </c>
      <c r="E74" s="2"/>
      <c r="F74" s="2"/>
    </row>
    <row r="75" spans="1:6" ht="14" customHeight="1">
      <c r="A75" s="8">
        <v>7</v>
      </c>
      <c r="B75" s="7" t="str">
        <f>المدخلات!$F$5</f>
        <v>5:20–6:30 م</v>
      </c>
      <c r="C75" s="7">
        <v>2</v>
      </c>
      <c r="D75" s="7" t="s">
        <v>16</v>
      </c>
      <c r="E75" s="2"/>
      <c r="F75" s="2"/>
    </row>
    <row r="76" spans="1:6" ht="14" customHeight="1">
      <c r="A76" s="8">
        <v>7</v>
      </c>
      <c r="B76" s="7" t="str">
        <f>المدخلات!$F$5</f>
        <v>5:20–6:30 م</v>
      </c>
      <c r="C76" s="7">
        <v>3</v>
      </c>
      <c r="D76" s="7" t="s">
        <v>1082</v>
      </c>
      <c r="E76" s="2"/>
      <c r="F76" s="2"/>
    </row>
    <row r="77" spans="1:6" ht="14" customHeight="1">
      <c r="A77" s="8">
        <v>7</v>
      </c>
      <c r="B77" s="7" t="str">
        <f>المدخلات!$F$5</f>
        <v>5:20–6:30 م</v>
      </c>
      <c r="C77" s="7">
        <v>4</v>
      </c>
      <c r="D77" s="7" t="s">
        <v>1135</v>
      </c>
      <c r="E77" s="2"/>
      <c r="F77" s="2"/>
    </row>
    <row r="78" spans="1:6" ht="14" customHeight="1">
      <c r="A78" s="8">
        <v>7</v>
      </c>
      <c r="B78" s="7" t="str">
        <f>المدخلات!$F$6</f>
        <v>6:40–7:50 م</v>
      </c>
      <c r="C78" s="7">
        <v>1</v>
      </c>
      <c r="D78" s="7" t="s">
        <v>160</v>
      </c>
      <c r="E78" s="2"/>
      <c r="F78" s="2"/>
    </row>
    <row r="79" spans="1:6" ht="14" customHeight="1">
      <c r="A79" s="8">
        <v>7</v>
      </c>
      <c r="B79" s="7" t="str">
        <f>المدخلات!$F$6</f>
        <v>6:40–7:50 م</v>
      </c>
      <c r="C79" s="7">
        <v>2</v>
      </c>
      <c r="D79" s="7" t="s">
        <v>892</v>
      </c>
      <c r="E79" s="2"/>
      <c r="F79" s="2"/>
    </row>
    <row r="80" spans="1:6" ht="14" customHeight="1">
      <c r="A80" s="8">
        <v>7</v>
      </c>
      <c r="B80" s="7" t="str">
        <f>المدخلات!$F$6</f>
        <v>6:40–7:50 م</v>
      </c>
      <c r="C80" s="7">
        <v>3</v>
      </c>
      <c r="D80" s="7" t="s">
        <v>145</v>
      </c>
      <c r="E80" s="2"/>
      <c r="F80" s="2"/>
    </row>
    <row r="81" spans="1:6" ht="14" customHeight="1">
      <c r="A81" s="8">
        <v>8</v>
      </c>
      <c r="B81" s="7" t="str">
        <f>المدخلات!$F$4</f>
        <v>4:00–5:10 م</v>
      </c>
      <c r="C81" s="7">
        <v>1</v>
      </c>
      <c r="D81" s="7" t="s">
        <v>108</v>
      </c>
      <c r="E81" s="2"/>
      <c r="F81" s="2"/>
    </row>
    <row r="82" spans="1:6" ht="14" customHeight="1">
      <c r="A82" s="8">
        <v>8</v>
      </c>
      <c r="B82" s="7" t="str">
        <f>المدخلات!$F$4</f>
        <v>4:00–5:10 م</v>
      </c>
      <c r="C82" s="7">
        <v>2</v>
      </c>
      <c r="D82" s="7" t="s">
        <v>590</v>
      </c>
      <c r="E82" s="2"/>
      <c r="F82" s="2"/>
    </row>
    <row r="83" spans="1:6" ht="14" customHeight="1">
      <c r="A83" s="8">
        <v>8</v>
      </c>
      <c r="B83" s="7" t="str">
        <f>المدخلات!$F$4</f>
        <v>4:00–5:10 م</v>
      </c>
      <c r="C83" s="7">
        <v>3</v>
      </c>
      <c r="D83" s="7" t="s">
        <v>10</v>
      </c>
      <c r="E83" s="2"/>
      <c r="F83" s="2"/>
    </row>
    <row r="84" spans="1:6" ht="14" customHeight="1">
      <c r="A84" s="8">
        <v>8</v>
      </c>
      <c r="B84" s="7" t="str">
        <f>المدخلات!$F$4</f>
        <v>4:00–5:10 م</v>
      </c>
      <c r="C84" s="7">
        <v>4</v>
      </c>
      <c r="D84" s="7" t="s">
        <v>109</v>
      </c>
      <c r="E84" s="2"/>
      <c r="F84" s="2"/>
    </row>
    <row r="85" spans="1:6" ht="14" customHeight="1">
      <c r="A85" s="8">
        <v>8</v>
      </c>
      <c r="B85" s="7" t="str">
        <f>المدخلات!$F$5</f>
        <v>5:20–6:30 م</v>
      </c>
      <c r="C85" s="7">
        <v>1</v>
      </c>
      <c r="D85" s="7" t="s">
        <v>22</v>
      </c>
      <c r="E85" s="2"/>
      <c r="F85" s="2"/>
    </row>
    <row r="86" spans="1:6" ht="14" customHeight="1">
      <c r="A86" s="8">
        <v>8</v>
      </c>
      <c r="B86" s="7" t="str">
        <f>المدخلات!$F$5</f>
        <v>5:20–6:30 م</v>
      </c>
      <c r="C86" s="7">
        <v>2</v>
      </c>
      <c r="D86" s="7" t="s">
        <v>170</v>
      </c>
      <c r="E86" s="2"/>
      <c r="F86" s="2"/>
    </row>
    <row r="87" spans="1:6" ht="14" customHeight="1">
      <c r="A87" s="8">
        <v>8</v>
      </c>
      <c r="B87" s="7" t="str">
        <f>المدخلات!$F$5</f>
        <v>5:20–6:30 م</v>
      </c>
      <c r="C87" s="7">
        <v>3</v>
      </c>
      <c r="D87" s="7" t="s">
        <v>171</v>
      </c>
      <c r="E87" s="2"/>
      <c r="F87" s="2"/>
    </row>
    <row r="88" spans="1:6" ht="14" customHeight="1">
      <c r="A88" s="8">
        <v>8</v>
      </c>
      <c r="B88" s="7" t="str">
        <f>المدخلات!$F$5</f>
        <v>5:20–6:30 م</v>
      </c>
      <c r="C88" s="7">
        <v>4</v>
      </c>
      <c r="D88" s="7" t="s">
        <v>146</v>
      </c>
      <c r="E88" s="2"/>
      <c r="F88" s="2"/>
    </row>
    <row r="89" spans="1:6" ht="14" customHeight="1">
      <c r="A89" s="8">
        <v>8</v>
      </c>
      <c r="B89" s="7" t="str">
        <f>المدخلات!$F$6</f>
        <v>6:40–7:50 م</v>
      </c>
      <c r="C89" s="7">
        <v>1</v>
      </c>
      <c r="D89" s="7" t="s">
        <v>193</v>
      </c>
      <c r="E89" s="2"/>
      <c r="F89" s="2"/>
    </row>
    <row r="90" spans="1:6" ht="14" customHeight="1">
      <c r="A90" s="8">
        <v>8</v>
      </c>
      <c r="B90" s="7" t="str">
        <f>المدخلات!$F$6</f>
        <v>6:40–7:50 م</v>
      </c>
      <c r="C90" s="7">
        <v>2</v>
      </c>
      <c r="D90" s="7" t="s">
        <v>209</v>
      </c>
      <c r="E90" s="2"/>
      <c r="F90" s="2"/>
    </row>
    <row r="91" spans="1:6" ht="14" customHeight="1">
      <c r="A91" s="8">
        <v>8</v>
      </c>
      <c r="B91" s="7" t="str">
        <f>المدخلات!$F$6</f>
        <v>6:40–7:50 م</v>
      </c>
      <c r="C91" s="7">
        <v>3</v>
      </c>
      <c r="D91" s="7" t="s">
        <v>12</v>
      </c>
      <c r="E91" s="2"/>
      <c r="F91" s="2"/>
    </row>
    <row r="92" spans="1:6" ht="14" customHeight="1">
      <c r="A92" s="8">
        <v>9</v>
      </c>
      <c r="B92" s="7" t="str">
        <f>المدخلات!$F$4</f>
        <v>4:00–5:10 م</v>
      </c>
      <c r="C92" s="7">
        <v>1</v>
      </c>
      <c r="D92" s="7" t="s">
        <v>102</v>
      </c>
      <c r="E92" s="2"/>
      <c r="F92" s="2"/>
    </row>
    <row r="93" spans="1:6" ht="14" customHeight="1">
      <c r="A93" s="8">
        <v>9</v>
      </c>
      <c r="B93" s="7" t="str">
        <f>المدخلات!$F$4</f>
        <v>4:00–5:10 م</v>
      </c>
      <c r="C93" s="7">
        <v>2</v>
      </c>
      <c r="D93" s="7" t="s">
        <v>1136</v>
      </c>
      <c r="E93" s="2"/>
      <c r="F93" s="2"/>
    </row>
    <row r="94" spans="1:6" ht="14" customHeight="1">
      <c r="A94" s="8">
        <v>9</v>
      </c>
      <c r="B94" s="7" t="str">
        <f>المدخلات!$F$4</f>
        <v>4:00–5:10 م</v>
      </c>
      <c r="C94" s="7">
        <v>3</v>
      </c>
      <c r="D94" s="7" t="s">
        <v>112</v>
      </c>
      <c r="E94" s="2"/>
      <c r="F94" s="2"/>
    </row>
    <row r="95" spans="1:6" ht="14" customHeight="1">
      <c r="A95" s="8">
        <v>9</v>
      </c>
      <c r="B95" s="7" t="str">
        <f>المدخلات!$F$4</f>
        <v>4:00–5:10 م</v>
      </c>
      <c r="C95" s="7">
        <v>4</v>
      </c>
      <c r="D95" s="7" t="s">
        <v>901</v>
      </c>
      <c r="E95" s="2"/>
      <c r="F95" s="2"/>
    </row>
    <row r="96" spans="1:6" ht="14" customHeight="1">
      <c r="A96" s="8">
        <v>9</v>
      </c>
      <c r="B96" s="7" t="str">
        <f>المدخلات!$F$5</f>
        <v>5:20–6:30 م</v>
      </c>
      <c r="C96" s="7">
        <v>1</v>
      </c>
      <c r="D96" s="7" t="s">
        <v>1110</v>
      </c>
      <c r="E96" s="2"/>
      <c r="F96" s="2"/>
    </row>
    <row r="97" spans="1:6" ht="14" customHeight="1">
      <c r="A97" s="8">
        <v>9</v>
      </c>
      <c r="B97" s="7" t="str">
        <f>المدخلات!$F$5</f>
        <v>5:20–6:30 م</v>
      </c>
      <c r="C97" s="7">
        <v>2</v>
      </c>
      <c r="D97" s="7" t="s">
        <v>19</v>
      </c>
      <c r="E97" s="2"/>
      <c r="F97" s="2"/>
    </row>
    <row r="98" spans="1:6" ht="14" customHeight="1">
      <c r="A98" s="8">
        <v>9</v>
      </c>
      <c r="B98" s="7" t="str">
        <f>المدخلات!$F$5</f>
        <v>5:20–6:30 م</v>
      </c>
      <c r="C98" s="7">
        <v>3</v>
      </c>
      <c r="D98" s="7" t="s">
        <v>900</v>
      </c>
      <c r="E98" s="2"/>
      <c r="F98" s="2"/>
    </row>
    <row r="99" spans="1:6" ht="14" customHeight="1">
      <c r="A99" s="8">
        <v>9</v>
      </c>
      <c r="B99" s="7" t="str">
        <f>المدخلات!$F$5</f>
        <v>5:20–6:30 م</v>
      </c>
      <c r="C99" s="7">
        <v>4</v>
      </c>
      <c r="D99" s="7" t="s">
        <v>1126</v>
      </c>
      <c r="E99" s="2"/>
      <c r="F99" s="2"/>
    </row>
    <row r="100" spans="1:6" ht="14" customHeight="1">
      <c r="A100" s="8">
        <v>9</v>
      </c>
      <c r="B100" s="7" t="str">
        <f>المدخلات!$F$6</f>
        <v>6:40–7:50 م</v>
      </c>
      <c r="C100" s="7">
        <v>1</v>
      </c>
      <c r="D100" s="7" t="s">
        <v>681</v>
      </c>
      <c r="E100" s="2"/>
      <c r="F100" s="2"/>
    </row>
    <row r="101" spans="1:6" ht="14" customHeight="1">
      <c r="A101" s="8">
        <v>9</v>
      </c>
      <c r="B101" s="7" t="str">
        <f>المدخلات!$F$6</f>
        <v>6:40–7:50 م</v>
      </c>
      <c r="C101" s="7">
        <v>2</v>
      </c>
      <c r="D101" s="7" t="s">
        <v>7</v>
      </c>
      <c r="E101" s="2"/>
      <c r="F101" s="2"/>
    </row>
    <row r="102" spans="1:6" ht="14" customHeight="1">
      <c r="A102" s="8">
        <v>9</v>
      </c>
      <c r="B102" s="7" t="str">
        <f>المدخلات!$F$6</f>
        <v>6:40–7:50 م</v>
      </c>
      <c r="C102" s="7">
        <v>3</v>
      </c>
      <c r="D102" s="7" t="s">
        <v>111</v>
      </c>
      <c r="E102" s="2"/>
      <c r="F102" s="2"/>
    </row>
    <row r="103" spans="1:6" ht="14" customHeight="1">
      <c r="A103" s="8">
        <v>10</v>
      </c>
      <c r="B103" s="7" t="str">
        <f>المدخلات!$F$4</f>
        <v>4:00–5:10 م</v>
      </c>
      <c r="C103" s="7">
        <v>1</v>
      </c>
      <c r="D103" s="7" t="s">
        <v>863</v>
      </c>
      <c r="E103" s="2"/>
      <c r="F103" s="2"/>
    </row>
    <row r="104" spans="1:6" ht="14" customHeight="1">
      <c r="A104" s="8">
        <v>10</v>
      </c>
      <c r="B104" s="7" t="str">
        <f>المدخلات!$F$4</f>
        <v>4:00–5:10 م</v>
      </c>
      <c r="C104" s="7">
        <v>2</v>
      </c>
      <c r="D104" s="7" t="s">
        <v>96</v>
      </c>
      <c r="E104" s="2"/>
      <c r="F104" s="2"/>
    </row>
    <row r="105" spans="1:6" ht="14" customHeight="1">
      <c r="A105" s="8">
        <v>10</v>
      </c>
      <c r="B105" s="7" t="str">
        <f>المدخلات!$F$4</f>
        <v>4:00–5:10 م</v>
      </c>
      <c r="C105" s="7">
        <v>3</v>
      </c>
      <c r="D105" s="7" t="s">
        <v>17</v>
      </c>
      <c r="E105" s="2"/>
      <c r="F105" s="2"/>
    </row>
    <row r="106" spans="1:6" ht="14" customHeight="1">
      <c r="A106" s="8">
        <v>10</v>
      </c>
      <c r="B106" s="7" t="str">
        <f>المدخلات!$F$4</f>
        <v>4:00–5:10 م</v>
      </c>
      <c r="C106" s="7">
        <v>4</v>
      </c>
      <c r="D106" s="7" t="s">
        <v>195</v>
      </c>
      <c r="E106" s="2"/>
      <c r="F106" s="2"/>
    </row>
    <row r="107" spans="1:6" ht="14" customHeight="1">
      <c r="A107" s="8">
        <v>10</v>
      </c>
      <c r="B107" s="7" t="str">
        <f>المدخلات!$F$5</f>
        <v>5:20–6:30 م</v>
      </c>
      <c r="C107" s="7">
        <v>1</v>
      </c>
      <c r="D107" s="7" t="s">
        <v>147</v>
      </c>
      <c r="E107" s="2"/>
      <c r="F107" s="2"/>
    </row>
    <row r="108" spans="1:6" ht="14" customHeight="1">
      <c r="A108" s="8">
        <v>10</v>
      </c>
      <c r="B108" s="7" t="str">
        <f>المدخلات!$F$5</f>
        <v>5:20–6:30 م</v>
      </c>
      <c r="C108" s="7">
        <v>2</v>
      </c>
      <c r="D108" s="7" t="s">
        <v>114</v>
      </c>
      <c r="E108" s="2"/>
      <c r="F108" s="2"/>
    </row>
    <row r="109" spans="1:6" ht="14" customHeight="1">
      <c r="A109" s="8">
        <v>10</v>
      </c>
      <c r="B109" s="7" t="str">
        <f>المدخلات!$F$5</f>
        <v>5:20–6:30 م</v>
      </c>
      <c r="C109" s="7">
        <v>3</v>
      </c>
      <c r="D109" s="7" t="s">
        <v>1127</v>
      </c>
      <c r="E109" s="2"/>
      <c r="F109" s="2"/>
    </row>
    <row r="110" spans="1:6" ht="14" customHeight="1">
      <c r="A110" s="8">
        <v>10</v>
      </c>
      <c r="B110" s="7" t="str">
        <f>المدخلات!$F$5</f>
        <v>5:20–6:30 م</v>
      </c>
      <c r="C110" s="7">
        <v>4</v>
      </c>
      <c r="D110" s="7" t="s">
        <v>101</v>
      </c>
      <c r="E110" s="2"/>
      <c r="F110" s="2"/>
    </row>
    <row r="111" spans="1:6" ht="14" customHeight="1">
      <c r="A111" s="8">
        <v>10</v>
      </c>
      <c r="B111" s="7" t="str">
        <f>المدخلات!$F$6</f>
        <v>6:40–7:50 م</v>
      </c>
      <c r="C111" s="7">
        <v>1</v>
      </c>
      <c r="D111" s="7" t="s">
        <v>174</v>
      </c>
      <c r="E111" s="2"/>
      <c r="F111" s="2"/>
    </row>
    <row r="112" spans="1:6" ht="14" customHeight="1">
      <c r="A112" s="8">
        <v>10</v>
      </c>
      <c r="B112" s="7" t="str">
        <f>المدخلات!$F$6</f>
        <v>6:40–7:50 م</v>
      </c>
      <c r="C112" s="7">
        <v>2</v>
      </c>
      <c r="D112" s="7" t="s">
        <v>1137</v>
      </c>
      <c r="E112" s="2"/>
      <c r="F112" s="2"/>
    </row>
    <row r="113" spans="1:6" ht="14" customHeight="1">
      <c r="A113" s="8">
        <v>10</v>
      </c>
      <c r="B113" s="7" t="str">
        <f>المدخلات!$F$6</f>
        <v>6:40–7:50 م</v>
      </c>
      <c r="C113" s="7">
        <v>3</v>
      </c>
      <c r="D113" s="7" t="s">
        <v>173</v>
      </c>
      <c r="E113" s="2"/>
      <c r="F113" s="2"/>
    </row>
    <row r="114" spans="1:6" ht="14" customHeight="1">
      <c r="A114" s="8">
        <v>11</v>
      </c>
      <c r="B114" s="7" t="str">
        <f>المدخلات!$F$4</f>
        <v>4:00–5:10 م</v>
      </c>
      <c r="C114" s="7">
        <v>1</v>
      </c>
      <c r="D114" s="7" t="s">
        <v>698</v>
      </c>
      <c r="E114" s="2"/>
      <c r="F114" s="2"/>
    </row>
    <row r="115" spans="1:6" ht="14" customHeight="1">
      <c r="A115" s="8">
        <v>11</v>
      </c>
      <c r="B115" s="7" t="str">
        <f>المدخلات!$F$4</f>
        <v>4:00–5:10 م</v>
      </c>
      <c r="C115" s="7">
        <v>2</v>
      </c>
      <c r="D115" s="7" t="s">
        <v>910</v>
      </c>
      <c r="E115" s="2"/>
      <c r="F115" s="2"/>
    </row>
    <row r="116" spans="1:6" ht="14" customHeight="1">
      <c r="A116" s="8">
        <v>11</v>
      </c>
      <c r="B116" s="7" t="str">
        <f>المدخلات!$F$4</f>
        <v>4:00–5:10 م</v>
      </c>
      <c r="C116" s="7">
        <v>3</v>
      </c>
      <c r="D116" s="7" t="s">
        <v>1128</v>
      </c>
      <c r="E116" s="2"/>
      <c r="F116" s="2"/>
    </row>
    <row r="117" spans="1:6" ht="14" customHeight="1">
      <c r="A117" s="8">
        <v>11</v>
      </c>
      <c r="B117" s="7" t="str">
        <f>المدخلات!$F$4</f>
        <v>4:00–5:10 م</v>
      </c>
      <c r="C117" s="7">
        <v>4</v>
      </c>
      <c r="D117" s="7" t="s">
        <v>697</v>
      </c>
      <c r="E117" s="2"/>
      <c r="F117" s="2"/>
    </row>
    <row r="118" spans="1:6" ht="14" customHeight="1">
      <c r="A118" s="8">
        <v>11</v>
      </c>
      <c r="B118" s="7" t="str">
        <f>المدخلات!$F$5</f>
        <v>5:20–6:30 م</v>
      </c>
      <c r="C118" s="7">
        <v>1</v>
      </c>
      <c r="D118" s="7" t="s">
        <v>1138</v>
      </c>
      <c r="E118" s="2"/>
      <c r="F118" s="2"/>
    </row>
    <row r="119" spans="1:6" ht="14" customHeight="1">
      <c r="A119" s="8">
        <v>11</v>
      </c>
      <c r="B119" s="7" t="str">
        <f>المدخلات!$F$5</f>
        <v>5:20–6:30 م</v>
      </c>
      <c r="C119" s="7">
        <v>2</v>
      </c>
      <c r="D119" s="7" t="s">
        <v>909</v>
      </c>
      <c r="E119" s="2"/>
      <c r="F119" s="2"/>
    </row>
    <row r="120" spans="1:6" ht="14" customHeight="1">
      <c r="A120" s="8">
        <v>11</v>
      </c>
      <c r="B120" s="7" t="str">
        <f>المدخلات!$F$5</f>
        <v>5:20–6:30 م</v>
      </c>
      <c r="C120" s="7">
        <v>3</v>
      </c>
      <c r="D120" s="7" t="s">
        <v>97</v>
      </c>
      <c r="E120" s="2"/>
      <c r="F120" s="2"/>
    </row>
    <row r="121" spans="1:6" ht="14" customHeight="1">
      <c r="A121" s="8">
        <v>11</v>
      </c>
      <c r="B121" s="7" t="str">
        <f>المدخلات!$F$5</f>
        <v>5:20–6:30 م</v>
      </c>
      <c r="C121" s="7">
        <v>4</v>
      </c>
      <c r="D121" s="7" t="s">
        <v>1112</v>
      </c>
      <c r="E121" s="2"/>
      <c r="F121" s="2"/>
    </row>
    <row r="122" spans="1:6" ht="14" customHeight="1">
      <c r="A122" s="8">
        <v>11</v>
      </c>
      <c r="B122" s="7" t="str">
        <f>المدخلات!$F$6</f>
        <v>6:40–7:50 م</v>
      </c>
      <c r="C122" s="7">
        <v>1</v>
      </c>
      <c r="D122" s="7" t="s">
        <v>696</v>
      </c>
      <c r="E122" s="2"/>
      <c r="F122" s="2"/>
    </row>
    <row r="123" spans="1:6" ht="14" customHeight="1">
      <c r="A123" s="8">
        <v>11</v>
      </c>
      <c r="B123" s="7" t="str">
        <f>المدخلات!$F$6</f>
        <v>6:40–7:50 م</v>
      </c>
      <c r="C123" s="7">
        <v>2</v>
      </c>
      <c r="D123" s="7" t="s">
        <v>90</v>
      </c>
      <c r="E123" s="2"/>
      <c r="F123" s="2"/>
    </row>
    <row r="124" spans="1:6" ht="14" customHeight="1">
      <c r="A124" s="8">
        <v>11</v>
      </c>
      <c r="B124" s="7" t="str">
        <f>المدخلات!$F$6</f>
        <v>6:40–7:50 م</v>
      </c>
      <c r="C124" s="7">
        <v>3</v>
      </c>
      <c r="D124" s="7" t="s">
        <v>62</v>
      </c>
      <c r="E124" s="2"/>
      <c r="F124" s="2"/>
    </row>
    <row r="125" spans="1:6" ht="14" customHeight="1">
      <c r="A125" s="8">
        <v>12</v>
      </c>
      <c r="B125" s="7" t="str">
        <f>المدخلات!$F$4</f>
        <v>4:00–5:10 م</v>
      </c>
      <c r="C125" s="7">
        <v>1</v>
      </c>
      <c r="D125" s="7" t="s">
        <v>64</v>
      </c>
      <c r="E125" s="2"/>
      <c r="F125" s="2"/>
    </row>
    <row r="126" spans="1:6" ht="14" customHeight="1">
      <c r="A126" s="8">
        <v>12</v>
      </c>
      <c r="B126" s="7" t="str">
        <f>المدخلات!$F$4</f>
        <v>4:00–5:10 م</v>
      </c>
      <c r="C126" s="7">
        <v>2</v>
      </c>
      <c r="D126" s="7" t="s">
        <v>117</v>
      </c>
      <c r="E126" s="2"/>
      <c r="F126" s="2"/>
    </row>
    <row r="127" spans="1:6" ht="14" customHeight="1">
      <c r="A127" s="8">
        <v>12</v>
      </c>
      <c r="B127" s="7" t="str">
        <f>المدخلات!$F$4</f>
        <v>4:00–5:10 م</v>
      </c>
      <c r="C127" s="7">
        <v>3</v>
      </c>
      <c r="D127" s="7" t="s">
        <v>223</v>
      </c>
      <c r="E127" s="2"/>
      <c r="F127" s="2"/>
    </row>
    <row r="128" spans="1:6" ht="14" customHeight="1">
      <c r="A128" s="8">
        <v>12</v>
      </c>
      <c r="B128" s="7" t="str">
        <f>المدخلات!$F$4</f>
        <v>4:00–5:10 م</v>
      </c>
      <c r="C128" s="7">
        <v>4</v>
      </c>
      <c r="D128" s="7" t="s">
        <v>149</v>
      </c>
      <c r="E128" s="2"/>
      <c r="F128" s="2"/>
    </row>
    <row r="129" spans="1:6" ht="14" customHeight="1">
      <c r="A129" s="8">
        <v>12</v>
      </c>
      <c r="B129" s="7" t="str">
        <f>المدخلات!$F$5</f>
        <v>5:20–6:30 م</v>
      </c>
      <c r="C129" s="7">
        <v>1</v>
      </c>
      <c r="D129" s="7" t="s">
        <v>91</v>
      </c>
      <c r="E129" s="2"/>
      <c r="F129" s="2"/>
    </row>
    <row r="130" spans="1:6" ht="14" customHeight="1">
      <c r="A130" s="8">
        <v>12</v>
      </c>
      <c r="B130" s="7" t="str">
        <f>المدخلات!$F$5</f>
        <v>5:20–6:30 م</v>
      </c>
      <c r="C130" s="7">
        <v>2</v>
      </c>
      <c r="D130" s="7" t="s">
        <v>95</v>
      </c>
      <c r="E130" s="2"/>
      <c r="F130" s="2"/>
    </row>
    <row r="131" spans="1:6" ht="14" customHeight="1">
      <c r="A131" s="8">
        <v>12</v>
      </c>
      <c r="B131" s="7" t="str">
        <f>المدخلات!$F$5</f>
        <v>5:20–6:30 م</v>
      </c>
      <c r="C131" s="7">
        <v>3</v>
      </c>
      <c r="D131" s="7" t="s">
        <v>866</v>
      </c>
      <c r="E131" s="2"/>
      <c r="F131" s="2"/>
    </row>
    <row r="132" spans="1:6" ht="14" customHeight="1">
      <c r="A132" s="8">
        <v>12</v>
      </c>
      <c r="B132" s="7" t="str">
        <f>المدخلات!$F$5</f>
        <v>5:20–6:30 م</v>
      </c>
      <c r="C132" s="7">
        <v>4</v>
      </c>
      <c r="D132" s="7" t="s">
        <v>915</v>
      </c>
      <c r="E132" s="2"/>
      <c r="F132" s="2"/>
    </row>
    <row r="133" spans="1:6" ht="14" customHeight="1">
      <c r="A133" s="8">
        <v>12</v>
      </c>
      <c r="B133" s="7" t="str">
        <f>المدخلات!$F$6</f>
        <v>6:40–7:50 م</v>
      </c>
      <c r="C133" s="7">
        <v>1</v>
      </c>
      <c r="D133" s="7" t="s">
        <v>118</v>
      </c>
      <c r="E133" s="2"/>
      <c r="F133" s="2"/>
    </row>
    <row r="134" spans="1:6" ht="14" customHeight="1">
      <c r="A134" s="8">
        <v>12</v>
      </c>
      <c r="B134" s="7" t="str">
        <f>المدخلات!$F$6</f>
        <v>6:40–7:50 م</v>
      </c>
      <c r="C134" s="7">
        <v>2</v>
      </c>
      <c r="D134" s="7" t="s">
        <v>1113</v>
      </c>
      <c r="E134" s="2"/>
      <c r="F134" s="2"/>
    </row>
    <row r="135" spans="1:6" ht="14" customHeight="1">
      <c r="A135" s="8">
        <v>12</v>
      </c>
      <c r="B135" s="7" t="str">
        <f>المدخلات!$F$6</f>
        <v>6:40–7:50 م</v>
      </c>
      <c r="C135" s="7">
        <v>3</v>
      </c>
      <c r="D135" s="7" t="s">
        <v>176</v>
      </c>
      <c r="E135" s="2"/>
      <c r="F135" s="2"/>
    </row>
    <row r="136" spans="1:6" ht="14" customHeight="1">
      <c r="A136" s="8">
        <v>13</v>
      </c>
      <c r="B136" s="7" t="str">
        <f>المدخلات!$F$4</f>
        <v>4:00–5:10 م</v>
      </c>
      <c r="C136" s="7">
        <v>1</v>
      </c>
      <c r="D136" s="7" t="s">
        <v>917</v>
      </c>
      <c r="E136" s="2"/>
      <c r="F136" s="2"/>
    </row>
    <row r="137" spans="1:6" ht="14" customHeight="1">
      <c r="A137" s="8">
        <v>13</v>
      </c>
      <c r="B137" s="7" t="str">
        <f>المدخلات!$F$4</f>
        <v>4:00–5:10 م</v>
      </c>
      <c r="C137" s="7">
        <v>2</v>
      </c>
      <c r="D137" s="7" t="s">
        <v>52</v>
      </c>
      <c r="E137" s="2"/>
      <c r="F137" s="2"/>
    </row>
    <row r="138" spans="1:6" ht="14" customHeight="1">
      <c r="A138" s="8">
        <v>13</v>
      </c>
      <c r="B138" s="7" t="str">
        <f>المدخلات!$F$4</f>
        <v>4:00–5:10 م</v>
      </c>
      <c r="C138" s="7">
        <v>3</v>
      </c>
      <c r="D138" s="7" t="s">
        <v>43</v>
      </c>
      <c r="E138" s="2"/>
      <c r="F138" s="2"/>
    </row>
    <row r="139" spans="1:6" ht="14" customHeight="1">
      <c r="A139" s="8">
        <v>13</v>
      </c>
      <c r="B139" s="7" t="str">
        <f>المدخلات!$F$4</f>
        <v>4:00–5:10 م</v>
      </c>
      <c r="C139" s="7">
        <v>4</v>
      </c>
      <c r="D139" s="7" t="s">
        <v>726</v>
      </c>
      <c r="E139" s="2"/>
      <c r="F139" s="2"/>
    </row>
    <row r="140" spans="1:6" ht="14" customHeight="1">
      <c r="A140" s="8">
        <v>13</v>
      </c>
      <c r="B140" s="7" t="str">
        <f>المدخلات!$F$5</f>
        <v>5:20–6:30 م</v>
      </c>
      <c r="C140" s="7">
        <v>1</v>
      </c>
      <c r="D140" s="7" t="s">
        <v>210</v>
      </c>
      <c r="E140" s="2"/>
      <c r="F140" s="2"/>
    </row>
    <row r="141" spans="1:6" ht="14" customHeight="1">
      <c r="A141" s="8">
        <v>13</v>
      </c>
      <c r="B141" s="7" t="str">
        <f>المدخلات!$F$5</f>
        <v>5:20–6:30 م</v>
      </c>
      <c r="C141" s="7">
        <v>2</v>
      </c>
      <c r="D141" s="7" t="s">
        <v>725</v>
      </c>
      <c r="E141" s="2"/>
      <c r="F141" s="2"/>
    </row>
    <row r="142" spans="1:6" ht="14" customHeight="1">
      <c r="A142" s="8">
        <v>13</v>
      </c>
      <c r="B142" s="7" t="str">
        <f>المدخلات!$F$5</f>
        <v>5:20–6:30 م</v>
      </c>
      <c r="C142" s="7">
        <v>3</v>
      </c>
      <c r="D142" s="7" t="s">
        <v>727</v>
      </c>
      <c r="E142" s="2"/>
      <c r="F142" s="2"/>
    </row>
    <row r="143" spans="1:6" ht="14" customHeight="1">
      <c r="A143" s="8">
        <v>13</v>
      </c>
      <c r="B143" s="7" t="str">
        <f>المدخلات!$F$5</f>
        <v>5:20–6:30 م</v>
      </c>
      <c r="C143" s="7">
        <v>4</v>
      </c>
      <c r="D143" s="7" t="s">
        <v>724</v>
      </c>
      <c r="E143" s="2"/>
      <c r="F143" s="2"/>
    </row>
    <row r="144" spans="1:6" ht="14" customHeight="1">
      <c r="A144" s="8">
        <v>13</v>
      </c>
      <c r="B144" s="7" t="str">
        <f>المدخلات!$F$6</f>
        <v>6:40–7:50 م</v>
      </c>
      <c r="C144" s="7">
        <v>1</v>
      </c>
      <c r="D144" s="7" t="s">
        <v>68</v>
      </c>
      <c r="E144" s="2"/>
      <c r="F144" s="2"/>
    </row>
    <row r="145" spans="1:6" ht="14" customHeight="1">
      <c r="A145" s="8">
        <v>13</v>
      </c>
      <c r="B145" s="7" t="str">
        <f>المدخلات!$F$6</f>
        <v>6:40–7:50 م</v>
      </c>
      <c r="C145" s="7">
        <v>2</v>
      </c>
      <c r="D145" s="7" t="s">
        <v>224</v>
      </c>
      <c r="E145" s="2"/>
      <c r="F145" s="2"/>
    </row>
    <row r="146" spans="1:6" ht="14" customHeight="1">
      <c r="A146" s="8">
        <v>13</v>
      </c>
      <c r="B146" s="7" t="str">
        <f>المدخلات!$F$6</f>
        <v>6:40–7:50 م</v>
      </c>
      <c r="C146" s="7">
        <v>3</v>
      </c>
      <c r="D146" s="7" t="s">
        <v>119</v>
      </c>
      <c r="E146" s="2"/>
      <c r="F146" s="2"/>
    </row>
    <row r="147" spans="1:6" ht="14" customHeight="1">
      <c r="A147" s="8">
        <v>14</v>
      </c>
      <c r="B147" s="7" t="str">
        <f>المدخلات!$F$4</f>
        <v>4:00–5:10 م</v>
      </c>
      <c r="C147" s="7">
        <v>1</v>
      </c>
      <c r="D147" s="7" t="s">
        <v>124</v>
      </c>
      <c r="E147" s="2"/>
      <c r="F147" s="2"/>
    </row>
    <row r="148" spans="1:6" ht="14" customHeight="1">
      <c r="A148" s="8">
        <v>14</v>
      </c>
      <c r="B148" s="7" t="str">
        <f>المدخلات!$F$4</f>
        <v>4:00–5:10 م</v>
      </c>
      <c r="C148" s="7">
        <v>2</v>
      </c>
      <c r="D148" s="7" t="s">
        <v>225</v>
      </c>
      <c r="E148" s="2"/>
      <c r="F148" s="2"/>
    </row>
    <row r="149" spans="1:6" ht="14" customHeight="1">
      <c r="A149" s="8">
        <v>14</v>
      </c>
      <c r="B149" s="7" t="str">
        <f>المدخلات!$F$4</f>
        <v>4:00–5:10 م</v>
      </c>
      <c r="C149" s="7">
        <v>3</v>
      </c>
      <c r="D149" s="7" t="s">
        <v>196</v>
      </c>
      <c r="E149" s="2"/>
      <c r="F149" s="2"/>
    </row>
    <row r="150" spans="1:6" ht="14" customHeight="1">
      <c r="A150" s="8">
        <v>14</v>
      </c>
      <c r="B150" s="7" t="str">
        <f>المدخلات!$F$4</f>
        <v>4:00–5:10 م</v>
      </c>
      <c r="C150" s="7">
        <v>4</v>
      </c>
      <c r="D150" s="7" t="s">
        <v>123</v>
      </c>
      <c r="E150" s="2"/>
      <c r="F150" s="2"/>
    </row>
    <row r="151" spans="1:6" ht="14" customHeight="1">
      <c r="A151" s="8">
        <v>14</v>
      </c>
      <c r="B151" s="7" t="str">
        <f>المدخلات!$F$5</f>
        <v>5:20–6:30 م</v>
      </c>
      <c r="C151" s="7">
        <v>1</v>
      </c>
      <c r="D151" s="7" t="s">
        <v>832</v>
      </c>
      <c r="E151" s="2"/>
      <c r="F151" s="2"/>
    </row>
    <row r="152" spans="1:6" ht="14" customHeight="1">
      <c r="A152" s="8">
        <v>14</v>
      </c>
      <c r="B152" s="7" t="str">
        <f>المدخلات!$F$5</f>
        <v>5:20–6:30 م</v>
      </c>
      <c r="C152" s="7">
        <v>2</v>
      </c>
      <c r="D152" s="7" t="s">
        <v>45</v>
      </c>
      <c r="E152" s="2"/>
      <c r="F152" s="2"/>
    </row>
    <row r="153" spans="1:6" ht="14" customHeight="1">
      <c r="A153" s="8">
        <v>14</v>
      </c>
      <c r="B153" s="7" t="str">
        <f>المدخلات!$F$5</f>
        <v>5:20–6:30 م</v>
      </c>
      <c r="C153" s="7">
        <v>3</v>
      </c>
      <c r="D153" s="7" t="s">
        <v>60</v>
      </c>
      <c r="E153" s="2"/>
      <c r="F153" s="2"/>
    </row>
    <row r="154" spans="1:6" ht="14" customHeight="1">
      <c r="A154" s="8">
        <v>14</v>
      </c>
      <c r="B154" s="7" t="str">
        <f>المدخلات!$F$5</f>
        <v>5:20–6:30 م</v>
      </c>
      <c r="C154" s="7">
        <v>4</v>
      </c>
      <c r="D154" s="7" t="s">
        <v>69</v>
      </c>
      <c r="E154" s="2"/>
      <c r="F154" s="2"/>
    </row>
    <row r="155" spans="1:6" ht="14" customHeight="1">
      <c r="A155" s="8">
        <v>14</v>
      </c>
      <c r="B155" s="7" t="str">
        <f>المدخلات!$F$6</f>
        <v>6:40–7:50 م</v>
      </c>
      <c r="C155" s="7">
        <v>1</v>
      </c>
      <c r="D155" s="7" t="s">
        <v>211</v>
      </c>
      <c r="E155" s="2"/>
      <c r="F155" s="2"/>
    </row>
    <row r="156" spans="1:6" ht="14" customHeight="1">
      <c r="A156" s="8">
        <v>14</v>
      </c>
      <c r="B156" s="7" t="str">
        <f>المدخلات!$F$6</f>
        <v>6:40–7:50 م</v>
      </c>
      <c r="C156" s="7">
        <v>2</v>
      </c>
      <c r="D156" s="7" t="s">
        <v>746</v>
      </c>
      <c r="E156" s="2"/>
      <c r="F156" s="2"/>
    </row>
    <row r="157" spans="1:6" ht="14" customHeight="1">
      <c r="A157" s="8">
        <v>14</v>
      </c>
      <c r="B157" s="7" t="str">
        <f>المدخلات!$F$6</f>
        <v>6:40–7:50 م</v>
      </c>
      <c r="C157" s="7">
        <v>3</v>
      </c>
      <c r="D157" s="7" t="s">
        <v>125</v>
      </c>
      <c r="E157" s="2"/>
      <c r="F157" s="2"/>
    </row>
    <row r="158" spans="1:6" ht="14" customHeight="1">
      <c r="A158" s="8">
        <v>15</v>
      </c>
      <c r="B158" s="7" t="str">
        <f>المدخلات!$F$4</f>
        <v>4:00–5:10 م</v>
      </c>
      <c r="C158" s="7">
        <v>1</v>
      </c>
      <c r="D158" s="7" t="s">
        <v>177</v>
      </c>
      <c r="E158" s="2"/>
      <c r="F158" s="2"/>
    </row>
    <row r="159" spans="1:6" ht="14" customHeight="1">
      <c r="A159" s="8">
        <v>15</v>
      </c>
      <c r="B159" s="7" t="str">
        <f>المدخلات!$F$4</f>
        <v>4:00–5:10 م</v>
      </c>
      <c r="C159" s="7">
        <v>2</v>
      </c>
      <c r="D159" s="7" t="s">
        <v>226</v>
      </c>
      <c r="E159" s="2"/>
      <c r="F159" s="2"/>
    </row>
    <row r="160" spans="1:6" ht="14" customHeight="1">
      <c r="A160" s="8">
        <v>15</v>
      </c>
      <c r="B160" s="7" t="str">
        <f>المدخلات!$F$4</f>
        <v>4:00–5:10 م</v>
      </c>
      <c r="C160" s="7">
        <v>3</v>
      </c>
      <c r="D160" s="7" t="s">
        <v>61</v>
      </c>
      <c r="E160" s="2"/>
      <c r="F160" s="2"/>
    </row>
    <row r="161" spans="1:6" ht="14" customHeight="1">
      <c r="A161" s="8">
        <v>15</v>
      </c>
      <c r="B161" s="7" t="str">
        <f>المدخلات!$F$4</f>
        <v>4:00–5:10 م</v>
      </c>
      <c r="C161" s="7">
        <v>4</v>
      </c>
      <c r="D161" s="7" t="s">
        <v>29</v>
      </c>
      <c r="E161" s="2"/>
      <c r="F161" s="2"/>
    </row>
    <row r="162" spans="1:6" ht="14" customHeight="1">
      <c r="A162" s="8">
        <v>15</v>
      </c>
      <c r="B162" s="7" t="str">
        <f>المدخلات!$F$5</f>
        <v>5:20–6:30 م</v>
      </c>
      <c r="C162" s="7">
        <v>1</v>
      </c>
      <c r="D162" s="7" t="s">
        <v>212</v>
      </c>
      <c r="E162" s="2"/>
      <c r="F162" s="2"/>
    </row>
    <row r="163" spans="1:6" ht="14" customHeight="1">
      <c r="A163" s="8">
        <v>15</v>
      </c>
      <c r="B163" s="7" t="str">
        <f>المدخلات!$F$5</f>
        <v>5:20–6:30 م</v>
      </c>
      <c r="C163" s="7">
        <v>2</v>
      </c>
      <c r="D163" s="7" t="s">
        <v>768</v>
      </c>
      <c r="E163" s="2"/>
      <c r="F163" s="2"/>
    </row>
    <row r="164" spans="1:6" ht="14" customHeight="1">
      <c r="A164" s="8">
        <v>15</v>
      </c>
      <c r="B164" s="7" t="str">
        <f>المدخلات!$F$5</f>
        <v>5:20–6:30 م</v>
      </c>
      <c r="C164" s="7">
        <v>3</v>
      </c>
      <c r="D164" s="7" t="s">
        <v>767</v>
      </c>
      <c r="E164" s="2"/>
      <c r="F164" s="2"/>
    </row>
    <row r="165" spans="1:6" ht="14" customHeight="1">
      <c r="A165" s="8">
        <v>15</v>
      </c>
      <c r="B165" s="7" t="str">
        <f>المدخلات!$F$5</f>
        <v>5:20–6:30 م</v>
      </c>
      <c r="C165" s="7">
        <v>4</v>
      </c>
      <c r="D165" s="7" t="s">
        <v>769</v>
      </c>
      <c r="E165" s="2"/>
      <c r="F165" s="2"/>
    </row>
    <row r="166" spans="1:6" ht="14" customHeight="1">
      <c r="A166" s="8">
        <v>15</v>
      </c>
      <c r="B166" s="7" t="str">
        <f>المدخلات!$F$6</f>
        <v>6:40–7:50 م</v>
      </c>
      <c r="C166" s="7">
        <v>1</v>
      </c>
      <c r="D166" s="7" t="s">
        <v>51</v>
      </c>
      <c r="E166" s="2"/>
      <c r="F166" s="2"/>
    </row>
    <row r="167" spans="1:6" ht="14" customHeight="1">
      <c r="A167" s="8">
        <v>15</v>
      </c>
      <c r="B167" s="7" t="str">
        <f>المدخلات!$F$6</f>
        <v>6:40–7:50 م</v>
      </c>
      <c r="C167" s="7">
        <v>2</v>
      </c>
      <c r="D167" s="7" t="s">
        <v>197</v>
      </c>
      <c r="E167" s="2"/>
      <c r="F167" s="2"/>
    </row>
    <row r="168" spans="1:6" ht="14" customHeight="1">
      <c r="A168" s="8">
        <v>15</v>
      </c>
      <c r="B168" s="7" t="str">
        <f>المدخلات!$F$6</f>
        <v>6:40–7:50 م</v>
      </c>
      <c r="C168" s="7">
        <v>3</v>
      </c>
      <c r="D168" s="7" t="s">
        <v>42</v>
      </c>
      <c r="E168" s="2"/>
      <c r="F168" s="2"/>
    </row>
    <row r="169" spans="1:6" ht="14" customHeight="1">
      <c r="A169" s="8">
        <v>16</v>
      </c>
      <c r="B169" s="7" t="str">
        <f>المدخلات!$F$4</f>
        <v>4:00–5:10 م</v>
      </c>
      <c r="C169" s="7">
        <v>1</v>
      </c>
      <c r="D169" s="7" t="s">
        <v>48</v>
      </c>
      <c r="E169" s="2"/>
      <c r="F169" s="2"/>
    </row>
    <row r="170" spans="1:6" ht="14" customHeight="1">
      <c r="A170" s="8">
        <v>16</v>
      </c>
      <c r="B170" s="7" t="str">
        <f>المدخلات!$F$4</f>
        <v>4:00–5:10 م</v>
      </c>
      <c r="C170" s="7">
        <v>2</v>
      </c>
      <c r="D170" s="7" t="s">
        <v>59</v>
      </c>
      <c r="E170" s="2"/>
      <c r="F170" s="2"/>
    </row>
    <row r="171" spans="1:6" ht="14" customHeight="1">
      <c r="A171" s="8">
        <v>16</v>
      </c>
      <c r="B171" s="7" t="str">
        <f>المدخلات!$F$4</f>
        <v>4:00–5:10 م</v>
      </c>
      <c r="C171" s="7">
        <v>3</v>
      </c>
      <c r="D171" s="7" t="s">
        <v>28</v>
      </c>
      <c r="E171" s="2"/>
      <c r="F171" s="2"/>
    </row>
    <row r="172" spans="1:6" ht="14" customHeight="1">
      <c r="A172" s="8">
        <v>16</v>
      </c>
      <c r="B172" s="7" t="str">
        <f>المدخلات!$F$4</f>
        <v>4:00–5:10 م</v>
      </c>
      <c r="C172" s="7">
        <v>4</v>
      </c>
      <c r="D172" s="7" t="s">
        <v>850</v>
      </c>
      <c r="E172" s="2"/>
      <c r="F172" s="2"/>
    </row>
    <row r="173" spans="1:6" ht="14" customHeight="1">
      <c r="A173" s="8">
        <v>16</v>
      </c>
      <c r="B173" s="7" t="str">
        <f>المدخلات!$F$5</f>
        <v>5:20–6:30 م</v>
      </c>
      <c r="C173" s="7">
        <v>1</v>
      </c>
      <c r="D173" s="7" t="s">
        <v>198</v>
      </c>
      <c r="E173" s="2"/>
      <c r="F173" s="2"/>
    </row>
    <row r="174" spans="1:6" ht="14" customHeight="1">
      <c r="A174" s="8">
        <v>16</v>
      </c>
      <c r="B174" s="7" t="str">
        <f>المدخلات!$F$5</f>
        <v>5:20–6:30 م</v>
      </c>
      <c r="C174" s="7">
        <v>2</v>
      </c>
      <c r="D174" s="7" t="s">
        <v>25</v>
      </c>
      <c r="E174" s="2"/>
      <c r="F174" s="2"/>
    </row>
    <row r="175" spans="1:6" ht="14" customHeight="1">
      <c r="A175" s="8">
        <v>16</v>
      </c>
      <c r="B175" s="7" t="str">
        <f>المدخلات!$F$5</f>
        <v>5:20–6:30 م</v>
      </c>
      <c r="C175" s="7">
        <v>3</v>
      </c>
      <c r="D175" s="7" t="s">
        <v>161</v>
      </c>
      <c r="E175" s="2"/>
      <c r="F175" s="2"/>
    </row>
    <row r="176" spans="1:6" ht="14" customHeight="1">
      <c r="A176" s="8">
        <v>16</v>
      </c>
      <c r="B176" s="7" t="str">
        <f>المدخلات!$F$5</f>
        <v>5:20–6:30 م</v>
      </c>
      <c r="C176" s="7">
        <v>4</v>
      </c>
      <c r="D176" s="7" t="s">
        <v>66</v>
      </c>
      <c r="E176" s="2"/>
      <c r="F176" s="2"/>
    </row>
    <row r="177" spans="1:6" ht="14" customHeight="1">
      <c r="A177" s="8">
        <v>16</v>
      </c>
      <c r="B177" s="7" t="str">
        <f>المدخلات!$F$6</f>
        <v>6:40–7:50 م</v>
      </c>
      <c r="C177" s="7">
        <v>1</v>
      </c>
      <c r="D177" s="7" t="s">
        <v>213</v>
      </c>
      <c r="E177" s="2"/>
      <c r="F177" s="2"/>
    </row>
    <row r="178" spans="1:6" ht="14" customHeight="1">
      <c r="A178" s="8">
        <v>16</v>
      </c>
      <c r="B178" s="7" t="str">
        <f>المدخلات!$F$6</f>
        <v>6:40–7:50 م</v>
      </c>
      <c r="C178" s="7">
        <v>2</v>
      </c>
      <c r="D178" s="7" t="s">
        <v>38</v>
      </c>
      <c r="E178" s="2"/>
      <c r="F178" s="2"/>
    </row>
    <row r="179" spans="1:6" ht="14" customHeight="1">
      <c r="A179" s="8">
        <v>16</v>
      </c>
      <c r="B179" s="7" t="str">
        <f>المدخلات!$F$6</f>
        <v>6:40–7:50 م</v>
      </c>
      <c r="C179" s="7">
        <v>3</v>
      </c>
      <c r="D179" s="7" t="s">
        <v>178</v>
      </c>
      <c r="E179" s="2"/>
      <c r="F179" s="2"/>
    </row>
    <row r="180" spans="1:6" ht="14" customHeight="1">
      <c r="A180" s="8">
        <v>17</v>
      </c>
      <c r="B180" s="7" t="str">
        <f>المدخلات!$F$4</f>
        <v>4:00–5:10 م</v>
      </c>
      <c r="C180" s="7">
        <v>1</v>
      </c>
      <c r="D180" s="7" t="s">
        <v>162</v>
      </c>
      <c r="E180" s="2"/>
      <c r="F180" s="2"/>
    </row>
    <row r="181" spans="1:6" ht="14" customHeight="1">
      <c r="A181" s="8">
        <v>17</v>
      </c>
      <c r="B181" s="7" t="str">
        <f>المدخلات!$F$4</f>
        <v>4:00–5:10 م</v>
      </c>
      <c r="C181" s="7">
        <v>2</v>
      </c>
      <c r="D181" s="7" t="s">
        <v>214</v>
      </c>
      <c r="E181" s="2"/>
      <c r="F181" s="2"/>
    </row>
    <row r="182" spans="1:6" ht="14" customHeight="1">
      <c r="A182" s="8">
        <v>17</v>
      </c>
      <c r="B182" s="7" t="str">
        <f>المدخلات!$F$4</f>
        <v>4:00–5:10 م</v>
      </c>
      <c r="C182" s="7">
        <v>3</v>
      </c>
      <c r="D182" s="7" t="s">
        <v>179</v>
      </c>
      <c r="E182" s="2"/>
      <c r="F182" s="2"/>
    </row>
    <row r="183" spans="1:6" ht="14" customHeight="1">
      <c r="A183" s="8">
        <v>17</v>
      </c>
      <c r="B183" s="7" t="str">
        <f>المدخلات!$F$4</f>
        <v>4:00–5:10 م</v>
      </c>
      <c r="C183" s="7">
        <v>4</v>
      </c>
      <c r="D183" s="7" t="s">
        <v>805</v>
      </c>
      <c r="E183" s="2"/>
      <c r="F183" s="2"/>
    </row>
    <row r="184" spans="1:6" ht="14" customHeight="1">
      <c r="A184" s="8">
        <v>17</v>
      </c>
      <c r="B184" s="7" t="str">
        <f>المدخلات!$F$5</f>
        <v>5:20–6:30 م</v>
      </c>
      <c r="C184" s="7">
        <v>1</v>
      </c>
      <c r="D184" s="7" t="s">
        <v>39</v>
      </c>
      <c r="E184" s="2"/>
      <c r="F184" s="2"/>
    </row>
    <row r="185" spans="1:6" ht="14" customHeight="1">
      <c r="A185" s="8">
        <v>17</v>
      </c>
      <c r="B185" s="7" t="str">
        <f>المدخلات!$F$5</f>
        <v>5:20–6:30 م</v>
      </c>
      <c r="C185" s="7">
        <v>2</v>
      </c>
      <c r="D185" s="7" t="s">
        <v>24</v>
      </c>
      <c r="E185" s="2"/>
      <c r="F185" s="2"/>
    </row>
    <row r="186" spans="1:6" ht="14" customHeight="1">
      <c r="A186" s="8">
        <v>17</v>
      </c>
      <c r="B186" s="7" t="str">
        <f>المدخلات!$F$5</f>
        <v>5:20–6:30 م</v>
      </c>
      <c r="C186" s="7">
        <v>3</v>
      </c>
      <c r="D186" s="7" t="s">
        <v>32</v>
      </c>
      <c r="E186" s="2"/>
      <c r="F186" s="2"/>
    </row>
    <row r="187" spans="1:6" ht="14" customHeight="1">
      <c r="A187" s="8">
        <v>17</v>
      </c>
      <c r="B187" s="7" t="str">
        <f>المدخلات!$F$5</f>
        <v>5:20–6:30 م</v>
      </c>
      <c r="C187" s="7">
        <v>4</v>
      </c>
      <c r="D187" s="7" t="s">
        <v>151</v>
      </c>
      <c r="E187" s="2"/>
      <c r="F187" s="2"/>
    </row>
    <row r="188" spans="1:6" ht="14" customHeight="1">
      <c r="A188" s="8">
        <v>17</v>
      </c>
      <c r="B188" s="7" t="str">
        <f>المدخلات!$F$6</f>
        <v>6:40–7:50 م</v>
      </c>
      <c r="C188" s="7">
        <v>1</v>
      </c>
      <c r="D188" s="7" t="s">
        <v>1039</v>
      </c>
      <c r="E188" s="2"/>
      <c r="F188" s="2"/>
    </row>
    <row r="189" spans="1:6" ht="14" customHeight="1">
      <c r="A189" s="8">
        <v>17</v>
      </c>
      <c r="B189" s="7" t="str">
        <f>المدخلات!$F$6</f>
        <v>6:40–7:50 م</v>
      </c>
      <c r="C189" s="7">
        <v>2</v>
      </c>
      <c r="D189" s="7" t="s">
        <v>199</v>
      </c>
      <c r="E189" s="2"/>
      <c r="F189" s="2"/>
    </row>
    <row r="190" spans="1:6" ht="14" customHeight="1">
      <c r="A190" s="8">
        <v>17</v>
      </c>
      <c r="B190" s="7" t="str">
        <f>المدخلات!$F$6</f>
        <v>6:40–7:50 م</v>
      </c>
      <c r="C190" s="7">
        <v>3</v>
      </c>
      <c r="D190" s="7" t="s">
        <v>591</v>
      </c>
      <c r="E190" s="2"/>
      <c r="F190" s="2"/>
    </row>
    <row r="191" spans="1:6" ht="14" customHeight="1">
      <c r="A191" s="8">
        <v>18</v>
      </c>
      <c r="B191" s="7" t="str">
        <f>المدخلات!$F$4</f>
        <v>4:00–5:10 م</v>
      </c>
      <c r="C191" s="7">
        <v>1</v>
      </c>
      <c r="D191" s="7" t="s">
        <v>9</v>
      </c>
      <c r="E191" s="2"/>
      <c r="F191" s="2"/>
    </row>
    <row r="192" spans="1:6" ht="14" customHeight="1">
      <c r="A192" s="8">
        <v>18</v>
      </c>
      <c r="B192" s="7" t="str">
        <f>المدخلات!$F$4</f>
        <v>4:00–5:10 م</v>
      </c>
      <c r="C192" s="7">
        <v>2</v>
      </c>
      <c r="D192" s="7" t="s">
        <v>158</v>
      </c>
      <c r="E192" s="2"/>
      <c r="F192" s="2"/>
    </row>
    <row r="193" spans="1:6" ht="14" customHeight="1">
      <c r="A193" s="8">
        <v>18</v>
      </c>
      <c r="B193" s="7" t="str">
        <f>المدخلات!$F$4</f>
        <v>4:00–5:10 م</v>
      </c>
      <c r="C193" s="7">
        <v>3</v>
      </c>
      <c r="D193" s="7" t="s">
        <v>1139</v>
      </c>
      <c r="E193" s="2"/>
      <c r="F193" s="2"/>
    </row>
    <row r="194" spans="1:6" ht="14" customHeight="1">
      <c r="A194" s="8">
        <v>18</v>
      </c>
      <c r="B194" s="7" t="str">
        <f>المدخلات!$F$4</f>
        <v>4:00–5:10 م</v>
      </c>
      <c r="C194" s="7">
        <v>4</v>
      </c>
      <c r="D194" s="7" t="s">
        <v>180</v>
      </c>
      <c r="E194" s="2"/>
      <c r="F194" s="2"/>
    </row>
    <row r="195" spans="1:6" ht="14" customHeight="1">
      <c r="A195" s="8">
        <v>18</v>
      </c>
      <c r="B195" s="7" t="str">
        <f>المدخلات!$F$5</f>
        <v>5:20–6:30 م</v>
      </c>
      <c r="C195" s="7">
        <v>1</v>
      </c>
      <c r="D195" s="7" t="s">
        <v>1140</v>
      </c>
      <c r="E195" s="2"/>
      <c r="F195" s="2"/>
    </row>
    <row r="196" spans="1:6" ht="14" customHeight="1">
      <c r="A196" s="8">
        <v>18</v>
      </c>
      <c r="B196" s="7" t="str">
        <f>المدخلات!$F$5</f>
        <v>5:20–6:30 م</v>
      </c>
      <c r="C196" s="7">
        <v>2</v>
      </c>
      <c r="D196" s="7" t="s">
        <v>31</v>
      </c>
      <c r="E196" s="2"/>
      <c r="F196" s="2"/>
    </row>
    <row r="197" spans="1:6" ht="14" customHeight="1">
      <c r="A197" s="8">
        <v>18</v>
      </c>
      <c r="B197" s="7" t="str">
        <f>المدخلات!$F$5</f>
        <v>5:20–6:30 م</v>
      </c>
      <c r="C197" s="7">
        <v>3</v>
      </c>
      <c r="D197" s="7" t="s">
        <v>129</v>
      </c>
      <c r="E197" s="2"/>
      <c r="F197" s="2"/>
    </row>
    <row r="198" spans="1:6" ht="14" customHeight="1">
      <c r="A198" s="8">
        <v>18</v>
      </c>
      <c r="B198" s="7" t="str">
        <f>المدخلات!$F$5</f>
        <v>5:20–6:30 م</v>
      </c>
      <c r="C198" s="7">
        <v>4</v>
      </c>
      <c r="D198" s="7" t="s">
        <v>20</v>
      </c>
      <c r="E198" s="2"/>
      <c r="F198" s="2"/>
    </row>
    <row r="199" spans="1:6" ht="14" customHeight="1">
      <c r="A199" s="8">
        <v>18</v>
      </c>
      <c r="B199" s="7" t="str">
        <f>المدخلات!$F$6</f>
        <v>6:40–7:50 م</v>
      </c>
      <c r="C199" s="7">
        <v>1</v>
      </c>
      <c r="D199" s="7" t="s">
        <v>152</v>
      </c>
      <c r="E199" s="2"/>
      <c r="F199" s="2"/>
    </row>
    <row r="200" spans="1:6" ht="14" customHeight="1">
      <c r="A200" s="8">
        <v>18</v>
      </c>
      <c r="B200" s="7" t="str">
        <f>المدخلات!$F$6</f>
        <v>6:40–7:50 م</v>
      </c>
      <c r="C200" s="7">
        <v>2</v>
      </c>
      <c r="D200" s="7" t="s">
        <v>1141</v>
      </c>
      <c r="E200" s="2"/>
      <c r="F200" s="2"/>
    </row>
    <row r="201" spans="1:6" ht="14" customHeight="1">
      <c r="A201" s="8">
        <v>18</v>
      </c>
      <c r="B201" s="7" t="str">
        <f>المدخلات!$F$6</f>
        <v>6:40–7:50 م</v>
      </c>
      <c r="C201" s="7">
        <v>3</v>
      </c>
      <c r="D201" s="7" t="s">
        <v>27</v>
      </c>
      <c r="E201" s="2"/>
      <c r="F201" s="2"/>
    </row>
    <row r="202" spans="1:6" ht="14" customHeight="1">
      <c r="A202" s="8">
        <v>19</v>
      </c>
      <c r="B202" s="7" t="str">
        <f>المدخلات!$F$4</f>
        <v>4:00–5:10 م</v>
      </c>
      <c r="C202" s="7">
        <v>1</v>
      </c>
      <c r="D202" s="7" t="s">
        <v>1142</v>
      </c>
      <c r="E202" s="2"/>
      <c r="F202" s="2"/>
    </row>
    <row r="203" spans="1:6" ht="14" customHeight="1">
      <c r="A203" s="8">
        <v>19</v>
      </c>
      <c r="B203" s="7" t="str">
        <f>المدخلات!$F$4</f>
        <v>4:00–5:10 م</v>
      </c>
      <c r="C203" s="7">
        <v>2</v>
      </c>
      <c r="D203" s="7" t="s">
        <v>103</v>
      </c>
      <c r="E203" s="2"/>
      <c r="F203" s="2"/>
    </row>
    <row r="204" spans="1:6" ht="14" customHeight="1">
      <c r="A204" s="8">
        <v>19</v>
      </c>
      <c r="B204" s="7" t="str">
        <f>المدخلات!$F$4</f>
        <v>4:00–5:10 م</v>
      </c>
      <c r="C204" s="7">
        <v>3</v>
      </c>
      <c r="D204" s="7" t="s">
        <v>216</v>
      </c>
      <c r="E204" s="2"/>
      <c r="F204" s="2"/>
    </row>
    <row r="205" spans="1:6" ht="14" customHeight="1">
      <c r="A205" s="8">
        <v>19</v>
      </c>
      <c r="B205" s="7" t="str">
        <f>المدخلات!$F$4</f>
        <v>4:00–5:10 م</v>
      </c>
      <c r="C205" s="7">
        <v>4</v>
      </c>
      <c r="D205" s="7" t="s">
        <v>21</v>
      </c>
      <c r="E205" s="2"/>
      <c r="F205" s="2"/>
    </row>
    <row r="206" spans="1:6" ht="14" customHeight="1">
      <c r="A206" s="8">
        <v>19</v>
      </c>
      <c r="B206" s="7" t="str">
        <f>المدخلات!$F$5</f>
        <v>5:20–6:30 م</v>
      </c>
      <c r="C206" s="7">
        <v>1</v>
      </c>
      <c r="D206" s="7" t="s">
        <v>181</v>
      </c>
      <c r="E206" s="2"/>
      <c r="F206" s="2"/>
    </row>
    <row r="207" spans="1:6" ht="14" customHeight="1">
      <c r="A207" s="8">
        <v>19</v>
      </c>
      <c r="B207" s="7" t="str">
        <f>المدخلات!$F$5</f>
        <v>5:20–6:30 م</v>
      </c>
      <c r="C207" s="7">
        <v>2</v>
      </c>
      <c r="D207" s="7" t="s">
        <v>182</v>
      </c>
      <c r="E207" s="2"/>
      <c r="F207" s="2"/>
    </row>
    <row r="208" spans="1:6" ht="14" customHeight="1">
      <c r="A208" s="8">
        <v>19</v>
      </c>
      <c r="B208" s="7" t="str">
        <f>المدخلات!$F$5</f>
        <v>5:20–6:30 م</v>
      </c>
      <c r="C208" s="7">
        <v>3</v>
      </c>
      <c r="D208" s="7" t="s">
        <v>130</v>
      </c>
      <c r="E208" s="2"/>
      <c r="F208" s="2"/>
    </row>
    <row r="209" spans="1:6" ht="14" customHeight="1">
      <c r="A209" s="8">
        <v>19</v>
      </c>
      <c r="B209" s="7" t="str">
        <f>المدخلات!$F$5</f>
        <v>5:20–6:30 م</v>
      </c>
      <c r="C209" s="7">
        <v>4</v>
      </c>
      <c r="D209" s="7" t="s">
        <v>201</v>
      </c>
      <c r="E209" s="2"/>
      <c r="F209" s="2"/>
    </row>
    <row r="210" spans="1:6" ht="14" customHeight="1">
      <c r="A210" s="8">
        <v>19</v>
      </c>
      <c r="B210" s="7" t="str">
        <f>المدخلات!$F$6</f>
        <v>6:40–7:50 م</v>
      </c>
      <c r="C210" s="7">
        <v>1</v>
      </c>
      <c r="D210" s="7" t="s">
        <v>1043</v>
      </c>
      <c r="E210" s="2"/>
      <c r="F210" s="2"/>
    </row>
    <row r="211" spans="1:6" ht="14" customHeight="1">
      <c r="A211" s="8">
        <v>19</v>
      </c>
      <c r="B211" s="7" t="str">
        <f>المدخلات!$F$6</f>
        <v>6:40–7:50 م</v>
      </c>
      <c r="C211" s="7">
        <v>2</v>
      </c>
      <c r="D211" s="7" t="s">
        <v>13</v>
      </c>
      <c r="E211" s="2"/>
      <c r="F211" s="2"/>
    </row>
    <row r="212" spans="1:6" ht="14" customHeight="1">
      <c r="A212" s="8">
        <v>19</v>
      </c>
      <c r="B212" s="7" t="str">
        <f>المدخلات!$F$6</f>
        <v>6:40–7:50 م</v>
      </c>
      <c r="C212" s="7">
        <v>3</v>
      </c>
      <c r="D212" s="7" t="s">
        <v>153</v>
      </c>
      <c r="E212" s="2"/>
      <c r="F212" s="2"/>
    </row>
    <row r="213" spans="1:6" ht="14" customHeight="1">
      <c r="A213" s="8">
        <v>20</v>
      </c>
      <c r="B213" s="7" t="str">
        <f>المدخلات!$F$4</f>
        <v>4:00–5:10 م</v>
      </c>
      <c r="C213" s="7">
        <v>1</v>
      </c>
      <c r="D213" s="7" t="s">
        <v>8</v>
      </c>
      <c r="E213" s="2"/>
      <c r="F213" s="2"/>
    </row>
    <row r="214" spans="1:6" ht="14" customHeight="1">
      <c r="A214" s="8">
        <v>20</v>
      </c>
      <c r="B214" s="7" t="str">
        <f>المدخلات!$F$4</f>
        <v>4:00–5:10 م</v>
      </c>
      <c r="C214" s="7">
        <v>2</v>
      </c>
      <c r="D214" s="7" t="s">
        <v>1102</v>
      </c>
      <c r="E214" s="2"/>
      <c r="F214" s="2"/>
    </row>
    <row r="215" spans="1:6" ht="14" customHeight="1">
      <c r="A215" s="8">
        <v>20</v>
      </c>
      <c r="B215" s="7" t="str">
        <f>المدخلات!$F$4</f>
        <v>4:00–5:10 م</v>
      </c>
      <c r="C215" s="7">
        <v>3</v>
      </c>
      <c r="D215" s="7" t="s">
        <v>154</v>
      </c>
      <c r="E215" s="2"/>
      <c r="F215" s="2"/>
    </row>
    <row r="216" spans="1:6" ht="14" customHeight="1">
      <c r="A216" s="8">
        <v>20</v>
      </c>
      <c r="B216" s="7" t="str">
        <f>المدخلات!$F$4</f>
        <v>4:00–5:10 م</v>
      </c>
      <c r="C216" s="7">
        <v>4</v>
      </c>
      <c r="D216" s="7" t="s">
        <v>100</v>
      </c>
      <c r="E216" s="2"/>
      <c r="F216" s="2"/>
    </row>
    <row r="217" spans="1:6" ht="14" customHeight="1">
      <c r="A217" s="8">
        <v>20</v>
      </c>
      <c r="B217" s="7" t="str">
        <f>المدخلات!$F$5</f>
        <v>5:20–6:30 م</v>
      </c>
      <c r="C217" s="7">
        <v>1</v>
      </c>
      <c r="D217" s="7" t="s">
        <v>1131</v>
      </c>
      <c r="E217" s="2"/>
      <c r="F217" s="2"/>
    </row>
    <row r="218" spans="1:6" ht="14" customHeight="1">
      <c r="A218" s="8">
        <v>20</v>
      </c>
      <c r="B218" s="7" t="str">
        <f>المدخلات!$F$5</f>
        <v>5:20–6:30 م</v>
      </c>
      <c r="C218" s="7">
        <v>2</v>
      </c>
      <c r="D218" s="7" t="s">
        <v>1143</v>
      </c>
      <c r="E218" s="2"/>
      <c r="F218" s="2"/>
    </row>
    <row r="219" spans="1:6" ht="14" customHeight="1">
      <c r="A219" s="8">
        <v>20</v>
      </c>
      <c r="B219" s="7" t="str">
        <f>المدخلات!$F$5</f>
        <v>5:20–6:30 م</v>
      </c>
      <c r="C219" s="7">
        <v>3</v>
      </c>
      <c r="D219" s="7" t="s">
        <v>1116</v>
      </c>
      <c r="E219" s="2"/>
      <c r="F219" s="2"/>
    </row>
    <row r="220" spans="1:6" ht="14" customHeight="1">
      <c r="A220" s="8">
        <v>20</v>
      </c>
      <c r="B220" s="7" t="str">
        <f>المدخلات!$F$5</f>
        <v>5:20–6:30 م</v>
      </c>
      <c r="C220" s="7">
        <v>4</v>
      </c>
      <c r="D220" s="7" t="s">
        <v>14</v>
      </c>
      <c r="E220" s="2"/>
      <c r="F220" s="2"/>
    </row>
    <row r="221" spans="1:6" ht="14" customHeight="1">
      <c r="A221" s="8">
        <v>20</v>
      </c>
      <c r="B221" s="7" t="str">
        <f>المدخلات!$F$6</f>
        <v>6:40–7:50 م</v>
      </c>
      <c r="C221" s="7">
        <v>1</v>
      </c>
      <c r="D221" s="7" t="s">
        <v>1103</v>
      </c>
      <c r="E221" s="2"/>
      <c r="F221" s="2"/>
    </row>
    <row r="222" spans="1:6" ht="14" customHeight="1">
      <c r="A222" s="8">
        <v>20</v>
      </c>
      <c r="B222" s="7" t="str">
        <f>المدخلات!$F$6</f>
        <v>6:40–7:50 م</v>
      </c>
      <c r="C222" s="7">
        <v>2</v>
      </c>
      <c r="D222" s="7" t="s">
        <v>98</v>
      </c>
      <c r="E222" s="2"/>
      <c r="F222" s="2"/>
    </row>
    <row r="223" spans="1:6" ht="14" customHeight="1">
      <c r="A223" s="8">
        <v>20</v>
      </c>
      <c r="B223" s="7" t="str">
        <f>المدخلات!$F$6</f>
        <v>6:40–7:50 م</v>
      </c>
      <c r="C223" s="7">
        <v>3</v>
      </c>
      <c r="D223" s="7" t="s">
        <v>131</v>
      </c>
      <c r="E223" s="2"/>
      <c r="F223" s="2"/>
    </row>
    <row r="224" spans="1:6" ht="14" customHeight="1">
      <c r="A224" s="8">
        <v>21</v>
      </c>
      <c r="B224" s="7" t="str">
        <f>المدخلات!$F$4</f>
        <v>4:00–5:10 م</v>
      </c>
      <c r="C224" s="7">
        <v>1</v>
      </c>
      <c r="D224" s="7" t="s">
        <v>132</v>
      </c>
      <c r="E224" s="2"/>
      <c r="F224" s="2"/>
    </row>
    <row r="225" spans="1:23" ht="14" customHeight="1">
      <c r="A225" s="8">
        <v>21</v>
      </c>
      <c r="B225" s="7" t="str">
        <f>المدخلات!$F$4</f>
        <v>4:00–5:10 م</v>
      </c>
      <c r="C225" s="7">
        <v>2</v>
      </c>
      <c r="D225" s="7" t="s">
        <v>185</v>
      </c>
      <c r="E225" s="2"/>
      <c r="F225" s="2"/>
    </row>
    <row r="226" spans="1:23" ht="14" customHeight="1">
      <c r="A226" s="8">
        <v>21</v>
      </c>
      <c r="B226" s="7" t="str">
        <f>المدخلات!$F$4</f>
        <v>4:00–5:10 م</v>
      </c>
      <c r="C226" s="7">
        <v>3</v>
      </c>
      <c r="D226" s="7" t="s">
        <v>1037</v>
      </c>
      <c r="E226" s="2"/>
      <c r="F226" s="2"/>
    </row>
    <row r="227" spans="1:23" ht="14" customHeight="1">
      <c r="A227" s="8">
        <v>21</v>
      </c>
      <c r="B227" s="7" t="str">
        <f>المدخلات!$F$4</f>
        <v>4:00–5:10 م</v>
      </c>
      <c r="C227" s="7">
        <v>4</v>
      </c>
      <c r="D227" s="7" t="s">
        <v>92</v>
      </c>
      <c r="E227" s="2"/>
      <c r="F227" s="2"/>
    </row>
    <row r="228" spans="1:23" ht="14" customHeight="1">
      <c r="A228" s="8">
        <v>21</v>
      </c>
      <c r="B228" s="7" t="str">
        <f>المدخلات!$F$5</f>
        <v>5:20–6:30 م</v>
      </c>
      <c r="C228" s="7">
        <v>1</v>
      </c>
      <c r="D228" s="7" t="s">
        <v>1104</v>
      </c>
      <c r="E228" s="2"/>
      <c r="F228" s="2"/>
    </row>
    <row r="229" spans="1:23" ht="14" customHeight="1">
      <c r="A229" s="8">
        <v>21</v>
      </c>
      <c r="B229" s="7" t="str">
        <f>المدخلات!$F$5</f>
        <v>5:20–6:30 م</v>
      </c>
      <c r="C229" s="7">
        <v>2</v>
      </c>
      <c r="D229" s="7" t="s">
        <v>155</v>
      </c>
      <c r="E229" s="2"/>
      <c r="F229" s="2"/>
    </row>
    <row r="230" spans="1:23" ht="14" customHeight="1">
      <c r="A230" s="8">
        <v>21</v>
      </c>
      <c r="B230" s="7" t="str">
        <f>المدخلات!$F$5</f>
        <v>5:20–6:30 م</v>
      </c>
      <c r="C230" s="7">
        <v>3</v>
      </c>
      <c r="D230" s="7" t="s">
        <v>1144</v>
      </c>
      <c r="E230" s="2"/>
      <c r="F230" s="2"/>
    </row>
    <row r="231" spans="1:23" ht="14" customHeight="1">
      <c r="A231" s="8">
        <v>21</v>
      </c>
      <c r="B231" s="7" t="str">
        <f>المدخلات!$F$5</f>
        <v>5:20–6:30 م</v>
      </c>
      <c r="C231" s="7">
        <v>4</v>
      </c>
      <c r="D231" s="7" t="s">
        <v>99</v>
      </c>
      <c r="E231" s="2"/>
      <c r="F231" s="2"/>
    </row>
    <row r="232" spans="1:23" ht="14" customHeight="1">
      <c r="A232" s="8">
        <v>21</v>
      </c>
      <c r="B232" s="7" t="str">
        <f>المدخلات!$F$6</f>
        <v>6:40–7:50 م</v>
      </c>
      <c r="C232" s="7">
        <v>1</v>
      </c>
      <c r="D232" s="7" t="s">
        <v>133</v>
      </c>
      <c r="E232" s="2"/>
      <c r="F232" s="2"/>
    </row>
    <row r="233" spans="1:23" ht="14" customHeight="1">
      <c r="A233" s="8">
        <v>21</v>
      </c>
      <c r="B233" s="7" t="str">
        <f>المدخلات!$F$6</f>
        <v>6:40–7:50 م</v>
      </c>
      <c r="C233" s="7">
        <v>2</v>
      </c>
      <c r="D233" s="7" t="s">
        <v>1117</v>
      </c>
      <c r="E233" s="2"/>
      <c r="F233" s="2"/>
    </row>
    <row r="234" spans="1:23" ht="14" customHeight="1">
      <c r="A234" s="8">
        <v>21</v>
      </c>
      <c r="B234" s="7" t="str">
        <f>المدخلات!$F$6</f>
        <v>6:40–7:50 م</v>
      </c>
      <c r="C234" s="7">
        <v>3</v>
      </c>
      <c r="D234" s="7" t="s">
        <v>1133</v>
      </c>
      <c r="E234" s="2"/>
      <c r="F234" s="2"/>
    </row>
    <row r="235" spans="1:23">
      <c r="A235" s="2"/>
      <c r="B235" s="2"/>
      <c r="C235" s="2"/>
      <c r="D235" s="2"/>
    </row>
    <row r="236" spans="1:23">
      <c r="A236" s="2"/>
      <c r="B236" s="2"/>
      <c r="C236" s="2"/>
      <c r="D236" s="2"/>
    </row>
    <row r="237" spans="1:23" ht="14.5">
      <c r="A237" s="17" t="s">
        <v>828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spans="1:23" ht="14.5">
      <c r="A238" s="6" t="s">
        <v>829</v>
      </c>
      <c r="B238" s="6">
        <v>1</v>
      </c>
      <c r="C238" s="6">
        <v>2</v>
      </c>
      <c r="D238" s="6">
        <v>3</v>
      </c>
      <c r="E238" s="6">
        <v>4</v>
      </c>
      <c r="F238" s="6">
        <v>5</v>
      </c>
      <c r="G238" s="6">
        <v>6</v>
      </c>
      <c r="H238" s="6">
        <v>7</v>
      </c>
      <c r="I238" s="6">
        <v>8</v>
      </c>
      <c r="J238" s="6">
        <v>9</v>
      </c>
      <c r="K238" s="6">
        <v>10</v>
      </c>
      <c r="L238" s="6">
        <v>11</v>
      </c>
      <c r="M238" s="6">
        <v>12</v>
      </c>
      <c r="N238" s="6">
        <v>13</v>
      </c>
      <c r="O238" s="6">
        <v>14</v>
      </c>
      <c r="P238" s="6">
        <v>15</v>
      </c>
      <c r="Q238" s="6">
        <v>16</v>
      </c>
      <c r="R238" s="6">
        <v>17</v>
      </c>
      <c r="S238" s="6">
        <v>18</v>
      </c>
      <c r="T238" s="6">
        <v>19</v>
      </c>
      <c r="U238" s="6">
        <v>20</v>
      </c>
      <c r="V238" s="6">
        <v>21</v>
      </c>
      <c r="W238" s="6">
        <v>22</v>
      </c>
    </row>
    <row r="239" spans="1:23" ht="14.5">
      <c r="A239" s="14">
        <v>1</v>
      </c>
      <c r="B239" s="4" t="str">
        <f>IF($A239=B$238,"",COUNTIF($D$4:$D$234,$A239&amp;" ضد "&amp;B$238)+COUNTIF($D$4:$D$234,B$238&amp;" ضد "&amp;$A239))</f>
        <v/>
      </c>
      <c r="C239" s="4">
        <f>IF($A239=C$238,"",COUNTIF($D$4:$D$234,$A239&amp;" ضد "&amp;C$238)+COUNTIF($D$4:$D$234,C$238&amp;" ضد "&amp;$A239))</f>
        <v>1</v>
      </c>
      <c r="D239" s="4">
        <f>IF($A239=D$238,"",COUNTIF($D$4:$D$234,$A239&amp;" ضد "&amp;D$238)+COUNTIF($D$4:$D$234,D$238&amp;" ضد "&amp;$A239))</f>
        <v>1</v>
      </c>
      <c r="E239" s="4">
        <f>IF($A239=E$238,"",COUNTIF($D$4:$D$234,$A239&amp;" ضد "&amp;E$238)+COUNTIF($D$4:$D$234,E$238&amp;" ضد "&amp;$A239))</f>
        <v>1</v>
      </c>
      <c r="F239" s="4">
        <f>IF($A239=F$238,"",COUNTIF($D$4:$D$234,$A239&amp;" ضد "&amp;F$238)+COUNTIF($D$4:$D$234,F$238&amp;" ضد "&amp;$A239))</f>
        <v>1</v>
      </c>
      <c r="G239" s="4">
        <f>IF($A239=G$238,"",COUNTIF($D$4:$D$234,$A239&amp;" ضد "&amp;G$238)+COUNTIF($D$4:$D$234,G$238&amp;" ضد "&amp;$A239))</f>
        <v>1</v>
      </c>
      <c r="H239" s="4">
        <f>IF($A239=H$238,"",COUNTIF($D$4:$D$234,$A239&amp;" ضد "&amp;H$238)+COUNTIF($D$4:$D$234,H$238&amp;" ضد "&amp;$A239))</f>
        <v>1</v>
      </c>
      <c r="I239" s="4">
        <f>IF($A239=I$238,"",COUNTIF($D$4:$D$234,$A239&amp;" ضد "&amp;I$238)+COUNTIF($D$4:$D$234,I$238&amp;" ضد "&amp;$A239))</f>
        <v>1</v>
      </c>
      <c r="J239" s="4">
        <f>IF($A239=J$238,"",COUNTIF($D$4:$D$234,$A239&amp;" ضد "&amp;J$238)+COUNTIF($D$4:$D$234,J$238&amp;" ضد "&amp;$A239))</f>
        <v>1</v>
      </c>
      <c r="K239" s="4">
        <f>IF($A239=K$238,"",COUNTIF($D$4:$D$234,$A239&amp;" ضد "&amp;K$238)+COUNTIF($D$4:$D$234,K$238&amp;" ضد "&amp;$A239))</f>
        <v>1</v>
      </c>
      <c r="L239" s="4">
        <f>IF($A239=L$238,"",COUNTIF($D$4:$D$234,$A239&amp;" ضد "&amp;L$238)+COUNTIF($D$4:$D$234,L$238&amp;" ضد "&amp;$A239))</f>
        <v>1</v>
      </c>
      <c r="M239" s="4">
        <f>IF($A239=M$238,"",COUNTIF($D$4:$D$234,$A239&amp;" ضد "&amp;M$238)+COUNTIF($D$4:$D$234,M$238&amp;" ضد "&amp;$A239))</f>
        <v>1</v>
      </c>
      <c r="N239" s="4">
        <f>IF($A239=N$238,"",COUNTIF($D$4:$D$234,$A239&amp;" ضد "&amp;N$238)+COUNTIF($D$4:$D$234,N$238&amp;" ضد "&amp;$A239))</f>
        <v>1</v>
      </c>
      <c r="O239" s="4">
        <f>IF($A239=O$238,"",COUNTIF($D$4:$D$234,$A239&amp;" ضد "&amp;O$238)+COUNTIF($D$4:$D$234,O$238&amp;" ضد "&amp;$A239))</f>
        <v>1</v>
      </c>
      <c r="P239" s="4">
        <f>IF($A239=P$238,"",COUNTIF($D$4:$D$234,$A239&amp;" ضد "&amp;P$238)+COUNTIF($D$4:$D$234,P$238&amp;" ضد "&amp;$A239))</f>
        <v>1</v>
      </c>
      <c r="Q239" s="4">
        <f>IF($A239=Q$238,"",COUNTIF($D$4:$D$234,$A239&amp;" ضد "&amp;Q$238)+COUNTIF($D$4:$D$234,Q$238&amp;" ضد "&amp;$A239))</f>
        <v>1</v>
      </c>
      <c r="R239" s="4">
        <f>IF($A239=R$238,"",COUNTIF($D$4:$D$234,$A239&amp;" ضد "&amp;R$238)+COUNTIF($D$4:$D$234,R$238&amp;" ضد "&amp;$A239))</f>
        <v>1</v>
      </c>
      <c r="S239" s="4">
        <f>IF($A239=S$238,"",COUNTIF($D$4:$D$234,$A239&amp;" ضد "&amp;S$238)+COUNTIF($D$4:$D$234,S$238&amp;" ضد "&amp;$A239))</f>
        <v>1</v>
      </c>
      <c r="T239" s="4">
        <f>IF($A239=T$238,"",COUNTIF($D$4:$D$234,$A239&amp;" ضد "&amp;T$238)+COUNTIF($D$4:$D$234,T$238&amp;" ضد "&amp;$A239))</f>
        <v>1</v>
      </c>
      <c r="U239" s="4">
        <f>IF($A239=U$238,"",COUNTIF($D$4:$D$234,$A239&amp;" ضد "&amp;U$238)+COUNTIF($D$4:$D$234,U$238&amp;" ضد "&amp;$A239))</f>
        <v>1</v>
      </c>
      <c r="V239" s="4">
        <f>IF($A239=V$238,"",COUNTIF($D$4:$D$234,$A239&amp;" ضد "&amp;V$238)+COUNTIF($D$4:$D$234,V$238&amp;" ضد "&amp;$A239))</f>
        <v>1</v>
      </c>
      <c r="W239" s="4">
        <f>IF($A239=W$238,"",COUNTIF($D$4:$D$234,$A239&amp;" ضد "&amp;W$238)+COUNTIF($D$4:$D$234,W$238&amp;" ضد "&amp;$A239))</f>
        <v>1</v>
      </c>
    </row>
    <row r="240" spans="1:23" ht="14.5">
      <c r="A240" s="14">
        <v>2</v>
      </c>
      <c r="B240" s="4">
        <f>IF($A240=B$238,"",COUNTIF($D$4:$D$234,$A240&amp;" ضد "&amp;B$238)+COUNTIF($D$4:$D$234,B$238&amp;" ضد "&amp;$A240))</f>
        <v>1</v>
      </c>
      <c r="C240" s="4" t="str">
        <f>IF($A240=C$238,"",COUNTIF($D$4:$D$234,$A240&amp;" ضد "&amp;C$238)+COUNTIF($D$4:$D$234,C$238&amp;" ضد "&amp;$A240))</f>
        <v/>
      </c>
      <c r="D240" s="4">
        <f>IF($A240=D$238,"",COUNTIF($D$4:$D$234,$A240&amp;" ضد "&amp;D$238)+COUNTIF($D$4:$D$234,D$238&amp;" ضد "&amp;$A240))</f>
        <v>1</v>
      </c>
      <c r="E240" s="4">
        <f>IF($A240=E$238,"",COUNTIF($D$4:$D$234,$A240&amp;" ضد "&amp;E$238)+COUNTIF($D$4:$D$234,E$238&amp;" ضد "&amp;$A240))</f>
        <v>1</v>
      </c>
      <c r="F240" s="4">
        <f>IF($A240=F$238,"",COUNTIF($D$4:$D$234,$A240&amp;" ضد "&amp;F$238)+COUNTIF($D$4:$D$234,F$238&amp;" ضد "&amp;$A240))</f>
        <v>1</v>
      </c>
      <c r="G240" s="4">
        <f>IF($A240=G$238,"",COUNTIF($D$4:$D$234,$A240&amp;" ضد "&amp;G$238)+COUNTIF($D$4:$D$234,G$238&amp;" ضد "&amp;$A240))</f>
        <v>1</v>
      </c>
      <c r="H240" s="4">
        <f>IF($A240=H$238,"",COUNTIF($D$4:$D$234,$A240&amp;" ضد "&amp;H$238)+COUNTIF($D$4:$D$234,H$238&amp;" ضد "&amp;$A240))</f>
        <v>1</v>
      </c>
      <c r="I240" s="4">
        <f>IF($A240=I$238,"",COUNTIF($D$4:$D$234,$A240&amp;" ضد "&amp;I$238)+COUNTIF($D$4:$D$234,I$238&amp;" ضد "&amp;$A240))</f>
        <v>1</v>
      </c>
      <c r="J240" s="4">
        <f>IF($A240=J$238,"",COUNTIF($D$4:$D$234,$A240&amp;" ضد "&amp;J$238)+COUNTIF($D$4:$D$234,J$238&amp;" ضد "&amp;$A240))</f>
        <v>1</v>
      </c>
      <c r="K240" s="4">
        <f>IF($A240=K$238,"",COUNTIF($D$4:$D$234,$A240&amp;" ضد "&amp;K$238)+COUNTIF($D$4:$D$234,K$238&amp;" ضد "&amp;$A240))</f>
        <v>1</v>
      </c>
      <c r="L240" s="4">
        <f>IF($A240=L$238,"",COUNTIF($D$4:$D$234,$A240&amp;" ضد "&amp;L$238)+COUNTIF($D$4:$D$234,L$238&amp;" ضد "&amp;$A240))</f>
        <v>1</v>
      </c>
      <c r="M240" s="4">
        <f>IF($A240=M$238,"",COUNTIF($D$4:$D$234,$A240&amp;" ضد "&amp;M$238)+COUNTIF($D$4:$D$234,M$238&amp;" ضد "&amp;$A240))</f>
        <v>1</v>
      </c>
      <c r="N240" s="4">
        <f>IF($A240=N$238,"",COUNTIF($D$4:$D$234,$A240&amp;" ضد "&amp;N$238)+COUNTIF($D$4:$D$234,N$238&amp;" ضد "&amp;$A240))</f>
        <v>1</v>
      </c>
      <c r="O240" s="4">
        <f>IF($A240=O$238,"",COUNTIF($D$4:$D$234,$A240&amp;" ضد "&amp;O$238)+COUNTIF($D$4:$D$234,O$238&amp;" ضد "&amp;$A240))</f>
        <v>1</v>
      </c>
      <c r="P240" s="4">
        <f>IF($A240=P$238,"",COUNTIF($D$4:$D$234,$A240&amp;" ضد "&amp;P$238)+COUNTIF($D$4:$D$234,P$238&amp;" ضد "&amp;$A240))</f>
        <v>1</v>
      </c>
      <c r="Q240" s="4">
        <f>IF($A240=Q$238,"",COUNTIF($D$4:$D$234,$A240&amp;" ضد "&amp;Q$238)+COUNTIF($D$4:$D$234,Q$238&amp;" ضد "&amp;$A240))</f>
        <v>1</v>
      </c>
      <c r="R240" s="4">
        <f>IF($A240=R$238,"",COUNTIF($D$4:$D$234,$A240&amp;" ضد "&amp;R$238)+COUNTIF($D$4:$D$234,R$238&amp;" ضد "&amp;$A240))</f>
        <v>1</v>
      </c>
      <c r="S240" s="4">
        <f>IF($A240=S$238,"",COUNTIF($D$4:$D$234,$A240&amp;" ضد "&amp;S$238)+COUNTIF($D$4:$D$234,S$238&amp;" ضد "&amp;$A240))</f>
        <v>1</v>
      </c>
      <c r="T240" s="4">
        <f>IF($A240=T$238,"",COUNTIF($D$4:$D$234,$A240&amp;" ضد "&amp;T$238)+COUNTIF($D$4:$D$234,T$238&amp;" ضد "&amp;$A240))</f>
        <v>1</v>
      </c>
      <c r="U240" s="4">
        <f>IF($A240=U$238,"",COUNTIF($D$4:$D$234,$A240&amp;" ضد "&amp;U$238)+COUNTIF($D$4:$D$234,U$238&amp;" ضد "&amp;$A240))</f>
        <v>1</v>
      </c>
      <c r="V240" s="4">
        <f>IF($A240=V$238,"",COUNTIF($D$4:$D$234,$A240&amp;" ضد "&amp;V$238)+COUNTIF($D$4:$D$234,V$238&amp;" ضد "&amp;$A240))</f>
        <v>1</v>
      </c>
      <c r="W240" s="4">
        <f>IF($A240=W$238,"",COUNTIF($D$4:$D$234,$A240&amp;" ضد "&amp;W$238)+COUNTIF($D$4:$D$234,W$238&amp;" ضد "&amp;$A240))</f>
        <v>1</v>
      </c>
    </row>
    <row r="241" spans="1:23" ht="14.5">
      <c r="A241" s="14">
        <v>3</v>
      </c>
      <c r="B241" s="4">
        <f>IF($A241=B$238,"",COUNTIF($D$4:$D$234,$A241&amp;" ضد "&amp;B$238)+COUNTIF($D$4:$D$234,B$238&amp;" ضد "&amp;$A241))</f>
        <v>1</v>
      </c>
      <c r="C241" s="4">
        <f>IF($A241=C$238,"",COUNTIF($D$4:$D$234,$A241&amp;" ضد "&amp;C$238)+COUNTIF($D$4:$D$234,C$238&amp;" ضد "&amp;$A241))</f>
        <v>1</v>
      </c>
      <c r="D241" s="4" t="str">
        <f>IF($A241=D$238,"",COUNTIF($D$4:$D$234,$A241&amp;" ضد "&amp;D$238)+COUNTIF($D$4:$D$234,D$238&amp;" ضد "&amp;$A241))</f>
        <v/>
      </c>
      <c r="E241" s="4">
        <f>IF($A241=E$238,"",COUNTIF($D$4:$D$234,$A241&amp;" ضد "&amp;E$238)+COUNTIF($D$4:$D$234,E$238&amp;" ضد "&amp;$A241))</f>
        <v>1</v>
      </c>
      <c r="F241" s="4">
        <f>IF($A241=F$238,"",COUNTIF($D$4:$D$234,$A241&amp;" ضد "&amp;F$238)+COUNTIF($D$4:$D$234,F$238&amp;" ضد "&amp;$A241))</f>
        <v>1</v>
      </c>
      <c r="G241" s="4">
        <f>IF($A241=G$238,"",COUNTIF($D$4:$D$234,$A241&amp;" ضد "&amp;G$238)+COUNTIF($D$4:$D$234,G$238&amp;" ضد "&amp;$A241))</f>
        <v>1</v>
      </c>
      <c r="H241" s="4">
        <f>IF($A241=H$238,"",COUNTIF($D$4:$D$234,$A241&amp;" ضد "&amp;H$238)+COUNTIF($D$4:$D$234,H$238&amp;" ضد "&amp;$A241))</f>
        <v>1</v>
      </c>
      <c r="I241" s="4">
        <f>IF($A241=I$238,"",COUNTIF($D$4:$D$234,$A241&amp;" ضد "&amp;I$238)+COUNTIF($D$4:$D$234,I$238&amp;" ضد "&amp;$A241))</f>
        <v>1</v>
      </c>
      <c r="J241" s="4">
        <f>IF($A241=J$238,"",COUNTIF($D$4:$D$234,$A241&amp;" ضد "&amp;J$238)+COUNTIF($D$4:$D$234,J$238&amp;" ضد "&amp;$A241))</f>
        <v>1</v>
      </c>
      <c r="K241" s="4">
        <f>IF($A241=K$238,"",COUNTIF($D$4:$D$234,$A241&amp;" ضد "&amp;K$238)+COUNTIF($D$4:$D$234,K$238&amp;" ضد "&amp;$A241))</f>
        <v>1</v>
      </c>
      <c r="L241" s="4">
        <f>IF($A241=L$238,"",COUNTIF($D$4:$D$234,$A241&amp;" ضد "&amp;L$238)+COUNTIF($D$4:$D$234,L$238&amp;" ضد "&amp;$A241))</f>
        <v>1</v>
      </c>
      <c r="M241" s="4">
        <f>IF($A241=M$238,"",COUNTIF($D$4:$D$234,$A241&amp;" ضد "&amp;M$238)+COUNTIF($D$4:$D$234,M$238&amp;" ضد "&amp;$A241))</f>
        <v>1</v>
      </c>
      <c r="N241" s="4">
        <f>IF($A241=N$238,"",COUNTIF($D$4:$D$234,$A241&amp;" ضد "&amp;N$238)+COUNTIF($D$4:$D$234,N$238&amp;" ضد "&amp;$A241))</f>
        <v>1</v>
      </c>
      <c r="O241" s="4">
        <f>IF($A241=O$238,"",COUNTIF($D$4:$D$234,$A241&amp;" ضد "&amp;O$238)+COUNTIF($D$4:$D$234,O$238&amp;" ضد "&amp;$A241))</f>
        <v>1</v>
      </c>
      <c r="P241" s="4">
        <f>IF($A241=P$238,"",COUNTIF($D$4:$D$234,$A241&amp;" ضد "&amp;P$238)+COUNTIF($D$4:$D$234,P$238&amp;" ضد "&amp;$A241))</f>
        <v>1</v>
      </c>
      <c r="Q241" s="4">
        <f>IF($A241=Q$238,"",COUNTIF($D$4:$D$234,$A241&amp;" ضد "&amp;Q$238)+COUNTIF($D$4:$D$234,Q$238&amp;" ضد "&amp;$A241))</f>
        <v>1</v>
      </c>
      <c r="R241" s="4">
        <f>IF($A241=R$238,"",COUNTIF($D$4:$D$234,$A241&amp;" ضد "&amp;R$238)+COUNTIF($D$4:$D$234,R$238&amp;" ضد "&amp;$A241))</f>
        <v>1</v>
      </c>
      <c r="S241" s="4">
        <f>IF($A241=S$238,"",COUNTIF($D$4:$D$234,$A241&amp;" ضد "&amp;S$238)+COUNTIF($D$4:$D$234,S$238&amp;" ضد "&amp;$A241))</f>
        <v>1</v>
      </c>
      <c r="T241" s="4">
        <f>IF($A241=T$238,"",COUNTIF($D$4:$D$234,$A241&amp;" ضد "&amp;T$238)+COUNTIF($D$4:$D$234,T$238&amp;" ضد "&amp;$A241))</f>
        <v>1</v>
      </c>
      <c r="U241" s="4">
        <f>IF($A241=U$238,"",COUNTIF($D$4:$D$234,$A241&amp;" ضد "&amp;U$238)+COUNTIF($D$4:$D$234,U$238&amp;" ضد "&amp;$A241))</f>
        <v>1</v>
      </c>
      <c r="V241" s="4">
        <f>IF($A241=V$238,"",COUNTIF($D$4:$D$234,$A241&amp;" ضد "&amp;V$238)+COUNTIF($D$4:$D$234,V$238&amp;" ضد "&amp;$A241))</f>
        <v>1</v>
      </c>
      <c r="W241" s="4">
        <f>IF($A241=W$238,"",COUNTIF($D$4:$D$234,$A241&amp;" ضد "&amp;W$238)+COUNTIF($D$4:$D$234,W$238&amp;" ضد "&amp;$A241))</f>
        <v>1</v>
      </c>
    </row>
    <row r="242" spans="1:23" ht="14.5">
      <c r="A242" s="14">
        <v>4</v>
      </c>
      <c r="B242" s="4">
        <f>IF($A242=B$238,"",COUNTIF($D$4:$D$234,$A242&amp;" ضد "&amp;B$238)+COUNTIF($D$4:$D$234,B$238&amp;" ضد "&amp;$A242))</f>
        <v>1</v>
      </c>
      <c r="C242" s="4">
        <f>IF($A242=C$238,"",COUNTIF($D$4:$D$234,$A242&amp;" ضد "&amp;C$238)+COUNTIF($D$4:$D$234,C$238&amp;" ضد "&amp;$A242))</f>
        <v>1</v>
      </c>
      <c r="D242" s="4">
        <f>IF($A242=D$238,"",COUNTIF($D$4:$D$234,$A242&amp;" ضد "&amp;D$238)+COUNTIF($D$4:$D$234,D$238&amp;" ضد "&amp;$A242))</f>
        <v>1</v>
      </c>
      <c r="E242" s="4" t="str">
        <f>IF($A242=E$238,"",COUNTIF($D$4:$D$234,$A242&amp;" ضد "&amp;E$238)+COUNTIF($D$4:$D$234,E$238&amp;" ضد "&amp;$A242))</f>
        <v/>
      </c>
      <c r="F242" s="4">
        <f>IF($A242=F$238,"",COUNTIF($D$4:$D$234,$A242&amp;" ضد "&amp;F$238)+COUNTIF($D$4:$D$234,F$238&amp;" ضد "&amp;$A242))</f>
        <v>1</v>
      </c>
      <c r="G242" s="4">
        <f>IF($A242=G$238,"",COUNTIF($D$4:$D$234,$A242&amp;" ضد "&amp;G$238)+COUNTIF($D$4:$D$234,G$238&amp;" ضد "&amp;$A242))</f>
        <v>1</v>
      </c>
      <c r="H242" s="4">
        <f>IF($A242=H$238,"",COUNTIF($D$4:$D$234,$A242&amp;" ضد "&amp;H$238)+COUNTIF($D$4:$D$234,H$238&amp;" ضد "&amp;$A242))</f>
        <v>1</v>
      </c>
      <c r="I242" s="4">
        <f>IF($A242=I$238,"",COUNTIF($D$4:$D$234,$A242&amp;" ضد "&amp;I$238)+COUNTIF($D$4:$D$234,I$238&amp;" ضد "&amp;$A242))</f>
        <v>1</v>
      </c>
      <c r="J242" s="4">
        <f>IF($A242=J$238,"",COUNTIF($D$4:$D$234,$A242&amp;" ضد "&amp;J$238)+COUNTIF($D$4:$D$234,J$238&amp;" ضد "&amp;$A242))</f>
        <v>1</v>
      </c>
      <c r="K242" s="4">
        <f>IF($A242=K$238,"",COUNTIF($D$4:$D$234,$A242&amp;" ضد "&amp;K$238)+COUNTIF($D$4:$D$234,K$238&amp;" ضد "&amp;$A242))</f>
        <v>1</v>
      </c>
      <c r="L242" s="4">
        <f>IF($A242=L$238,"",COUNTIF($D$4:$D$234,$A242&amp;" ضد "&amp;L$238)+COUNTIF($D$4:$D$234,L$238&amp;" ضد "&amp;$A242))</f>
        <v>1</v>
      </c>
      <c r="M242" s="4">
        <f>IF($A242=M$238,"",COUNTIF($D$4:$D$234,$A242&amp;" ضد "&amp;M$238)+COUNTIF($D$4:$D$234,M$238&amp;" ضد "&amp;$A242))</f>
        <v>1</v>
      </c>
      <c r="N242" s="4">
        <f>IF($A242=N$238,"",COUNTIF($D$4:$D$234,$A242&amp;" ضد "&amp;N$238)+COUNTIF($D$4:$D$234,N$238&amp;" ضد "&amp;$A242))</f>
        <v>1</v>
      </c>
      <c r="O242" s="4">
        <f>IF($A242=O$238,"",COUNTIF($D$4:$D$234,$A242&amp;" ضد "&amp;O$238)+COUNTIF($D$4:$D$234,O$238&amp;" ضد "&amp;$A242))</f>
        <v>1</v>
      </c>
      <c r="P242" s="4">
        <f>IF($A242=P$238,"",COUNTIF($D$4:$D$234,$A242&amp;" ضد "&amp;P$238)+COUNTIF($D$4:$D$234,P$238&amp;" ضد "&amp;$A242))</f>
        <v>1</v>
      </c>
      <c r="Q242" s="4">
        <f>IF($A242=Q$238,"",COUNTIF($D$4:$D$234,$A242&amp;" ضد "&amp;Q$238)+COUNTIF($D$4:$D$234,Q$238&amp;" ضد "&amp;$A242))</f>
        <v>1</v>
      </c>
      <c r="R242" s="4">
        <f>IF($A242=R$238,"",COUNTIF($D$4:$D$234,$A242&amp;" ضد "&amp;R$238)+COUNTIF($D$4:$D$234,R$238&amp;" ضد "&amp;$A242))</f>
        <v>1</v>
      </c>
      <c r="S242" s="4">
        <f>IF($A242=S$238,"",COUNTIF($D$4:$D$234,$A242&amp;" ضد "&amp;S$238)+COUNTIF($D$4:$D$234,S$238&amp;" ضد "&amp;$A242))</f>
        <v>1</v>
      </c>
      <c r="T242" s="4">
        <f>IF($A242=T$238,"",COUNTIF($D$4:$D$234,$A242&amp;" ضد "&amp;T$238)+COUNTIF($D$4:$D$234,T$238&amp;" ضد "&amp;$A242))</f>
        <v>1</v>
      </c>
      <c r="U242" s="4">
        <f>IF($A242=U$238,"",COUNTIF($D$4:$D$234,$A242&amp;" ضد "&amp;U$238)+COUNTIF($D$4:$D$234,U$238&amp;" ضد "&amp;$A242))</f>
        <v>1</v>
      </c>
      <c r="V242" s="4">
        <f>IF($A242=V$238,"",COUNTIF($D$4:$D$234,$A242&amp;" ضد "&amp;V$238)+COUNTIF($D$4:$D$234,V$238&amp;" ضد "&amp;$A242))</f>
        <v>1</v>
      </c>
      <c r="W242" s="4">
        <f>IF($A242=W$238,"",COUNTIF($D$4:$D$234,$A242&amp;" ضد "&amp;W$238)+COUNTIF($D$4:$D$234,W$238&amp;" ضد "&amp;$A242))</f>
        <v>1</v>
      </c>
    </row>
    <row r="243" spans="1:23" ht="14.5">
      <c r="A243" s="14">
        <v>5</v>
      </c>
      <c r="B243" s="4">
        <f>IF($A243=B$238,"",COUNTIF($D$4:$D$234,$A243&amp;" ضد "&amp;B$238)+COUNTIF($D$4:$D$234,B$238&amp;" ضد "&amp;$A243))</f>
        <v>1</v>
      </c>
      <c r="C243" s="4">
        <f>IF($A243=C$238,"",COUNTIF($D$4:$D$234,$A243&amp;" ضد "&amp;C$238)+COUNTIF($D$4:$D$234,C$238&amp;" ضد "&amp;$A243))</f>
        <v>1</v>
      </c>
      <c r="D243" s="4">
        <f>IF($A243=D$238,"",COUNTIF($D$4:$D$234,$A243&amp;" ضد "&amp;D$238)+COUNTIF($D$4:$D$234,D$238&amp;" ضد "&amp;$A243))</f>
        <v>1</v>
      </c>
      <c r="E243" s="4">
        <f>IF($A243=E$238,"",COUNTIF($D$4:$D$234,$A243&amp;" ضد "&amp;E$238)+COUNTIF($D$4:$D$234,E$238&amp;" ضد "&amp;$A243))</f>
        <v>1</v>
      </c>
      <c r="F243" s="4" t="str">
        <f>IF($A243=F$238,"",COUNTIF($D$4:$D$234,$A243&amp;" ضد "&amp;F$238)+COUNTIF($D$4:$D$234,F$238&amp;" ضد "&amp;$A243))</f>
        <v/>
      </c>
      <c r="G243" s="4">
        <f>IF($A243=G$238,"",COUNTIF($D$4:$D$234,$A243&amp;" ضد "&amp;G$238)+COUNTIF($D$4:$D$234,G$238&amp;" ضد "&amp;$A243))</f>
        <v>1</v>
      </c>
      <c r="H243" s="4">
        <f>IF($A243=H$238,"",COUNTIF($D$4:$D$234,$A243&amp;" ضد "&amp;H$238)+COUNTIF($D$4:$D$234,H$238&amp;" ضد "&amp;$A243))</f>
        <v>1</v>
      </c>
      <c r="I243" s="4">
        <f>IF($A243=I$238,"",COUNTIF($D$4:$D$234,$A243&amp;" ضد "&amp;I$238)+COUNTIF($D$4:$D$234,I$238&amp;" ضد "&amp;$A243))</f>
        <v>1</v>
      </c>
      <c r="J243" s="4">
        <f>IF($A243=J$238,"",COUNTIF($D$4:$D$234,$A243&amp;" ضد "&amp;J$238)+COUNTIF($D$4:$D$234,J$238&amp;" ضد "&amp;$A243))</f>
        <v>1</v>
      </c>
      <c r="K243" s="4">
        <f>IF($A243=K$238,"",COUNTIF($D$4:$D$234,$A243&amp;" ضد "&amp;K$238)+COUNTIF($D$4:$D$234,K$238&amp;" ضد "&amp;$A243))</f>
        <v>1</v>
      </c>
      <c r="L243" s="4">
        <f>IF($A243=L$238,"",COUNTIF($D$4:$D$234,$A243&amp;" ضد "&amp;L$238)+COUNTIF($D$4:$D$234,L$238&amp;" ضد "&amp;$A243))</f>
        <v>1</v>
      </c>
      <c r="M243" s="4">
        <f>IF($A243=M$238,"",COUNTIF($D$4:$D$234,$A243&amp;" ضد "&amp;M$238)+COUNTIF($D$4:$D$234,M$238&amp;" ضد "&amp;$A243))</f>
        <v>1</v>
      </c>
      <c r="N243" s="4">
        <f>IF($A243=N$238,"",COUNTIF($D$4:$D$234,$A243&amp;" ضد "&amp;N$238)+COUNTIF($D$4:$D$234,N$238&amp;" ضد "&amp;$A243))</f>
        <v>1</v>
      </c>
      <c r="O243" s="4">
        <f>IF($A243=O$238,"",COUNTIF($D$4:$D$234,$A243&amp;" ضد "&amp;O$238)+COUNTIF($D$4:$D$234,O$238&amp;" ضد "&amp;$A243))</f>
        <v>1</v>
      </c>
      <c r="P243" s="4">
        <f>IF($A243=P$238,"",COUNTIF($D$4:$D$234,$A243&amp;" ضد "&amp;P$238)+COUNTIF($D$4:$D$234,P$238&amp;" ضد "&amp;$A243))</f>
        <v>1</v>
      </c>
      <c r="Q243" s="4">
        <f>IF($A243=Q$238,"",COUNTIF($D$4:$D$234,$A243&amp;" ضد "&amp;Q$238)+COUNTIF($D$4:$D$234,Q$238&amp;" ضد "&amp;$A243))</f>
        <v>1</v>
      </c>
      <c r="R243" s="4">
        <f>IF($A243=R$238,"",COUNTIF($D$4:$D$234,$A243&amp;" ضد "&amp;R$238)+COUNTIF($D$4:$D$234,R$238&amp;" ضد "&amp;$A243))</f>
        <v>1</v>
      </c>
      <c r="S243" s="4">
        <f>IF($A243=S$238,"",COUNTIF($D$4:$D$234,$A243&amp;" ضد "&amp;S$238)+COUNTIF($D$4:$D$234,S$238&amp;" ضد "&amp;$A243))</f>
        <v>1</v>
      </c>
      <c r="T243" s="4">
        <f>IF($A243=T$238,"",COUNTIF($D$4:$D$234,$A243&amp;" ضد "&amp;T$238)+COUNTIF($D$4:$D$234,T$238&amp;" ضد "&amp;$A243))</f>
        <v>1</v>
      </c>
      <c r="U243" s="4">
        <f>IF($A243=U$238,"",COUNTIF($D$4:$D$234,$A243&amp;" ضد "&amp;U$238)+COUNTIF($D$4:$D$234,U$238&amp;" ضد "&amp;$A243))</f>
        <v>1</v>
      </c>
      <c r="V243" s="4">
        <f>IF($A243=V$238,"",COUNTIF($D$4:$D$234,$A243&amp;" ضد "&amp;V$238)+COUNTIF($D$4:$D$234,V$238&amp;" ضد "&amp;$A243))</f>
        <v>1</v>
      </c>
      <c r="W243" s="4">
        <f>IF($A243=W$238,"",COUNTIF($D$4:$D$234,$A243&amp;" ضد "&amp;W$238)+COUNTIF($D$4:$D$234,W$238&amp;" ضد "&amp;$A243))</f>
        <v>1</v>
      </c>
    </row>
    <row r="244" spans="1:23" ht="14.5">
      <c r="A244" s="14">
        <v>6</v>
      </c>
      <c r="B244" s="4">
        <f>IF($A244=B$238,"",COUNTIF($D$4:$D$234,$A244&amp;" ضد "&amp;B$238)+COUNTIF($D$4:$D$234,B$238&amp;" ضد "&amp;$A244))</f>
        <v>1</v>
      </c>
      <c r="C244" s="4">
        <f>IF($A244=C$238,"",COUNTIF($D$4:$D$234,$A244&amp;" ضد "&amp;C$238)+COUNTIF($D$4:$D$234,C$238&amp;" ضد "&amp;$A244))</f>
        <v>1</v>
      </c>
      <c r="D244" s="4">
        <f>IF($A244=D$238,"",COUNTIF($D$4:$D$234,$A244&amp;" ضد "&amp;D$238)+COUNTIF($D$4:$D$234,D$238&amp;" ضد "&amp;$A244))</f>
        <v>1</v>
      </c>
      <c r="E244" s="4">
        <f>IF($A244=E$238,"",COUNTIF($D$4:$D$234,$A244&amp;" ضد "&amp;E$238)+COUNTIF($D$4:$D$234,E$238&amp;" ضد "&amp;$A244))</f>
        <v>1</v>
      </c>
      <c r="F244" s="4">
        <f>IF($A244=F$238,"",COUNTIF($D$4:$D$234,$A244&amp;" ضد "&amp;F$238)+COUNTIF($D$4:$D$234,F$238&amp;" ضد "&amp;$A244))</f>
        <v>1</v>
      </c>
      <c r="G244" s="4" t="str">
        <f>IF($A244=G$238,"",COUNTIF($D$4:$D$234,$A244&amp;" ضد "&amp;G$238)+COUNTIF($D$4:$D$234,G$238&amp;" ضد "&amp;$A244))</f>
        <v/>
      </c>
      <c r="H244" s="4">
        <f>IF($A244=H$238,"",COUNTIF($D$4:$D$234,$A244&amp;" ضد "&amp;H$238)+COUNTIF($D$4:$D$234,H$238&amp;" ضد "&amp;$A244))</f>
        <v>1</v>
      </c>
      <c r="I244" s="4">
        <f>IF($A244=I$238,"",COUNTIF($D$4:$D$234,$A244&amp;" ضد "&amp;I$238)+COUNTIF($D$4:$D$234,I$238&amp;" ضد "&amp;$A244))</f>
        <v>1</v>
      </c>
      <c r="J244" s="4">
        <f>IF($A244=J$238,"",COUNTIF($D$4:$D$234,$A244&amp;" ضد "&amp;J$238)+COUNTIF($D$4:$D$234,J$238&amp;" ضد "&amp;$A244))</f>
        <v>1</v>
      </c>
      <c r="K244" s="4">
        <f>IF($A244=K$238,"",COUNTIF($D$4:$D$234,$A244&amp;" ضد "&amp;K$238)+COUNTIF($D$4:$D$234,K$238&amp;" ضد "&amp;$A244))</f>
        <v>1</v>
      </c>
      <c r="L244" s="4">
        <f>IF($A244=L$238,"",COUNTIF($D$4:$D$234,$A244&amp;" ضد "&amp;L$238)+COUNTIF($D$4:$D$234,L$238&amp;" ضد "&amp;$A244))</f>
        <v>1</v>
      </c>
      <c r="M244" s="4">
        <f>IF($A244=M$238,"",COUNTIF($D$4:$D$234,$A244&amp;" ضد "&amp;M$238)+COUNTIF($D$4:$D$234,M$238&amp;" ضد "&amp;$A244))</f>
        <v>1</v>
      </c>
      <c r="N244" s="4">
        <f>IF($A244=N$238,"",COUNTIF($D$4:$D$234,$A244&amp;" ضد "&amp;N$238)+COUNTIF($D$4:$D$234,N$238&amp;" ضد "&amp;$A244))</f>
        <v>1</v>
      </c>
      <c r="O244" s="4">
        <f>IF($A244=O$238,"",COUNTIF($D$4:$D$234,$A244&amp;" ضد "&amp;O$238)+COUNTIF($D$4:$D$234,O$238&amp;" ضد "&amp;$A244))</f>
        <v>1</v>
      </c>
      <c r="P244" s="4">
        <f>IF($A244=P$238,"",COUNTIF($D$4:$D$234,$A244&amp;" ضد "&amp;P$238)+COUNTIF($D$4:$D$234,P$238&amp;" ضد "&amp;$A244))</f>
        <v>1</v>
      </c>
      <c r="Q244" s="4">
        <f>IF($A244=Q$238,"",COUNTIF($D$4:$D$234,$A244&amp;" ضد "&amp;Q$238)+COUNTIF($D$4:$D$234,Q$238&amp;" ضد "&amp;$A244))</f>
        <v>1</v>
      </c>
      <c r="R244" s="4">
        <f>IF($A244=R$238,"",COUNTIF($D$4:$D$234,$A244&amp;" ضد "&amp;R$238)+COUNTIF($D$4:$D$234,R$238&amp;" ضد "&amp;$A244))</f>
        <v>1</v>
      </c>
      <c r="S244" s="4">
        <f>IF($A244=S$238,"",COUNTIF($D$4:$D$234,$A244&amp;" ضد "&amp;S$238)+COUNTIF($D$4:$D$234,S$238&amp;" ضد "&amp;$A244))</f>
        <v>1</v>
      </c>
      <c r="T244" s="4">
        <f>IF($A244=T$238,"",COUNTIF($D$4:$D$234,$A244&amp;" ضد "&amp;T$238)+COUNTIF($D$4:$D$234,T$238&amp;" ضد "&amp;$A244))</f>
        <v>1</v>
      </c>
      <c r="U244" s="4">
        <f>IF($A244=U$238,"",COUNTIF($D$4:$D$234,$A244&amp;" ضد "&amp;U$238)+COUNTIF($D$4:$D$234,U$238&amp;" ضد "&amp;$A244))</f>
        <v>1</v>
      </c>
      <c r="V244" s="4">
        <f>IF($A244=V$238,"",COUNTIF($D$4:$D$234,$A244&amp;" ضد "&amp;V$238)+COUNTIF($D$4:$D$234,V$238&amp;" ضد "&amp;$A244))</f>
        <v>1</v>
      </c>
      <c r="W244" s="4">
        <f>IF($A244=W$238,"",COUNTIF($D$4:$D$234,$A244&amp;" ضد "&amp;W$238)+COUNTIF($D$4:$D$234,W$238&amp;" ضد "&amp;$A244))</f>
        <v>1</v>
      </c>
    </row>
    <row r="245" spans="1:23" ht="14.5">
      <c r="A245" s="14">
        <v>7</v>
      </c>
      <c r="B245" s="4">
        <f>IF($A245=B$238,"",COUNTIF($D$4:$D$234,$A245&amp;" ضد "&amp;B$238)+COUNTIF($D$4:$D$234,B$238&amp;" ضد "&amp;$A245))</f>
        <v>1</v>
      </c>
      <c r="C245" s="4">
        <f>IF($A245=C$238,"",COUNTIF($D$4:$D$234,$A245&amp;" ضد "&amp;C$238)+COUNTIF($D$4:$D$234,C$238&amp;" ضد "&amp;$A245))</f>
        <v>1</v>
      </c>
      <c r="D245" s="4">
        <f>IF($A245=D$238,"",COUNTIF($D$4:$D$234,$A245&amp;" ضد "&amp;D$238)+COUNTIF($D$4:$D$234,D$238&amp;" ضد "&amp;$A245))</f>
        <v>1</v>
      </c>
      <c r="E245" s="4">
        <f>IF($A245=E$238,"",COUNTIF($D$4:$D$234,$A245&amp;" ضد "&amp;E$238)+COUNTIF($D$4:$D$234,E$238&amp;" ضد "&amp;$A245))</f>
        <v>1</v>
      </c>
      <c r="F245" s="4">
        <f>IF($A245=F$238,"",COUNTIF($D$4:$D$234,$A245&amp;" ضد "&amp;F$238)+COUNTIF($D$4:$D$234,F$238&amp;" ضد "&amp;$A245))</f>
        <v>1</v>
      </c>
      <c r="G245" s="4">
        <f>IF($A245=G$238,"",COUNTIF($D$4:$D$234,$A245&amp;" ضد "&amp;G$238)+COUNTIF($D$4:$D$234,G$238&amp;" ضد "&amp;$A245))</f>
        <v>1</v>
      </c>
      <c r="H245" s="4" t="str">
        <f>IF($A245=H$238,"",COUNTIF($D$4:$D$234,$A245&amp;" ضد "&amp;H$238)+COUNTIF($D$4:$D$234,H$238&amp;" ضد "&amp;$A245))</f>
        <v/>
      </c>
      <c r="I245" s="4">
        <f>IF($A245=I$238,"",COUNTIF($D$4:$D$234,$A245&amp;" ضد "&amp;I$238)+COUNTIF($D$4:$D$234,I$238&amp;" ضد "&amp;$A245))</f>
        <v>1</v>
      </c>
      <c r="J245" s="4">
        <f>IF($A245=J$238,"",COUNTIF($D$4:$D$234,$A245&amp;" ضد "&amp;J$238)+COUNTIF($D$4:$D$234,J$238&amp;" ضد "&amp;$A245))</f>
        <v>1</v>
      </c>
      <c r="K245" s="4">
        <f>IF($A245=K$238,"",COUNTIF($D$4:$D$234,$A245&amp;" ضد "&amp;K$238)+COUNTIF($D$4:$D$234,K$238&amp;" ضد "&amp;$A245))</f>
        <v>1</v>
      </c>
      <c r="L245" s="4">
        <f>IF($A245=L$238,"",COUNTIF($D$4:$D$234,$A245&amp;" ضد "&amp;L$238)+COUNTIF($D$4:$D$234,L$238&amp;" ضد "&amp;$A245))</f>
        <v>1</v>
      </c>
      <c r="M245" s="4">
        <f>IF($A245=M$238,"",COUNTIF($D$4:$D$234,$A245&amp;" ضد "&amp;M$238)+COUNTIF($D$4:$D$234,M$238&amp;" ضد "&amp;$A245))</f>
        <v>1</v>
      </c>
      <c r="N245" s="4">
        <f>IF($A245=N$238,"",COUNTIF($D$4:$D$234,$A245&amp;" ضد "&amp;N$238)+COUNTIF($D$4:$D$234,N$238&amp;" ضد "&amp;$A245))</f>
        <v>1</v>
      </c>
      <c r="O245" s="4">
        <f>IF($A245=O$238,"",COUNTIF($D$4:$D$234,$A245&amp;" ضد "&amp;O$238)+COUNTIF($D$4:$D$234,O$238&amp;" ضد "&amp;$A245))</f>
        <v>1</v>
      </c>
      <c r="P245" s="4">
        <f>IF($A245=P$238,"",COUNTIF($D$4:$D$234,$A245&amp;" ضد "&amp;P$238)+COUNTIF($D$4:$D$234,P$238&amp;" ضد "&amp;$A245))</f>
        <v>1</v>
      </c>
      <c r="Q245" s="4">
        <f>IF($A245=Q$238,"",COUNTIF($D$4:$D$234,$A245&amp;" ضد "&amp;Q$238)+COUNTIF($D$4:$D$234,Q$238&amp;" ضد "&amp;$A245))</f>
        <v>1</v>
      </c>
      <c r="R245" s="4">
        <f>IF($A245=R$238,"",COUNTIF($D$4:$D$234,$A245&amp;" ضد "&amp;R$238)+COUNTIF($D$4:$D$234,R$238&amp;" ضد "&amp;$A245))</f>
        <v>1</v>
      </c>
      <c r="S245" s="4">
        <f>IF($A245=S$238,"",COUNTIF($D$4:$D$234,$A245&amp;" ضد "&amp;S$238)+COUNTIF($D$4:$D$234,S$238&amp;" ضد "&amp;$A245))</f>
        <v>1</v>
      </c>
      <c r="T245" s="4">
        <f>IF($A245=T$238,"",COUNTIF($D$4:$D$234,$A245&amp;" ضد "&amp;T$238)+COUNTIF($D$4:$D$234,T$238&amp;" ضد "&amp;$A245))</f>
        <v>1</v>
      </c>
      <c r="U245" s="4">
        <f>IF($A245=U$238,"",COUNTIF($D$4:$D$234,$A245&amp;" ضد "&amp;U$238)+COUNTIF($D$4:$D$234,U$238&amp;" ضد "&amp;$A245))</f>
        <v>1</v>
      </c>
      <c r="V245" s="4">
        <f>IF($A245=V$238,"",COUNTIF($D$4:$D$234,$A245&amp;" ضد "&amp;V$238)+COUNTIF($D$4:$D$234,V$238&amp;" ضد "&amp;$A245))</f>
        <v>1</v>
      </c>
      <c r="W245" s="4">
        <f>IF($A245=W$238,"",COUNTIF($D$4:$D$234,$A245&amp;" ضد "&amp;W$238)+COUNTIF($D$4:$D$234,W$238&amp;" ضد "&amp;$A245))</f>
        <v>1</v>
      </c>
    </row>
    <row r="246" spans="1:23" ht="14.5">
      <c r="A246" s="14">
        <v>8</v>
      </c>
      <c r="B246" s="4">
        <f>IF($A246=B$238,"",COUNTIF($D$4:$D$234,$A246&amp;" ضد "&amp;B$238)+COUNTIF($D$4:$D$234,B$238&amp;" ضد "&amp;$A246))</f>
        <v>1</v>
      </c>
      <c r="C246" s="4">
        <f>IF($A246=C$238,"",COUNTIF($D$4:$D$234,$A246&amp;" ضد "&amp;C$238)+COUNTIF($D$4:$D$234,C$238&amp;" ضد "&amp;$A246))</f>
        <v>1</v>
      </c>
      <c r="D246" s="4">
        <f>IF($A246=D$238,"",COUNTIF($D$4:$D$234,$A246&amp;" ضد "&amp;D$238)+COUNTIF($D$4:$D$234,D$238&amp;" ضد "&amp;$A246))</f>
        <v>1</v>
      </c>
      <c r="E246" s="4">
        <f>IF($A246=E$238,"",COUNTIF($D$4:$D$234,$A246&amp;" ضد "&amp;E$238)+COUNTIF($D$4:$D$234,E$238&amp;" ضد "&amp;$A246))</f>
        <v>1</v>
      </c>
      <c r="F246" s="4">
        <f>IF($A246=F$238,"",COUNTIF($D$4:$D$234,$A246&amp;" ضد "&amp;F$238)+COUNTIF($D$4:$D$234,F$238&amp;" ضد "&amp;$A246))</f>
        <v>1</v>
      </c>
      <c r="G246" s="4">
        <f>IF($A246=G$238,"",COUNTIF($D$4:$D$234,$A246&amp;" ضد "&amp;G$238)+COUNTIF($D$4:$D$234,G$238&amp;" ضد "&amp;$A246))</f>
        <v>1</v>
      </c>
      <c r="H246" s="4">
        <f>IF($A246=H$238,"",COUNTIF($D$4:$D$234,$A246&amp;" ضد "&amp;H$238)+COUNTIF($D$4:$D$234,H$238&amp;" ضد "&amp;$A246))</f>
        <v>1</v>
      </c>
      <c r="I246" s="4" t="str">
        <f>IF($A246=I$238,"",COUNTIF($D$4:$D$234,$A246&amp;" ضد "&amp;I$238)+COUNTIF($D$4:$D$234,I$238&amp;" ضد "&amp;$A246))</f>
        <v/>
      </c>
      <c r="J246" s="4">
        <f>IF($A246=J$238,"",COUNTIF($D$4:$D$234,$A246&amp;" ضد "&amp;J$238)+COUNTIF($D$4:$D$234,J$238&amp;" ضد "&amp;$A246))</f>
        <v>1</v>
      </c>
      <c r="K246" s="4">
        <f>IF($A246=K$238,"",COUNTIF($D$4:$D$234,$A246&amp;" ضد "&amp;K$238)+COUNTIF($D$4:$D$234,K$238&amp;" ضد "&amp;$A246))</f>
        <v>1</v>
      </c>
      <c r="L246" s="4">
        <f>IF($A246=L$238,"",COUNTIF($D$4:$D$234,$A246&amp;" ضد "&amp;L$238)+COUNTIF($D$4:$D$234,L$238&amp;" ضد "&amp;$A246))</f>
        <v>1</v>
      </c>
      <c r="M246" s="4">
        <f>IF($A246=M$238,"",COUNTIF($D$4:$D$234,$A246&amp;" ضد "&amp;M$238)+COUNTIF($D$4:$D$234,M$238&amp;" ضد "&amp;$A246))</f>
        <v>1</v>
      </c>
      <c r="N246" s="4">
        <f>IF($A246=N$238,"",COUNTIF($D$4:$D$234,$A246&amp;" ضد "&amp;N$238)+COUNTIF($D$4:$D$234,N$238&amp;" ضد "&amp;$A246))</f>
        <v>1</v>
      </c>
      <c r="O246" s="4">
        <f>IF($A246=O$238,"",COUNTIF($D$4:$D$234,$A246&amp;" ضد "&amp;O$238)+COUNTIF($D$4:$D$234,O$238&amp;" ضد "&amp;$A246))</f>
        <v>1</v>
      </c>
      <c r="P246" s="4">
        <f>IF($A246=P$238,"",COUNTIF($D$4:$D$234,$A246&amp;" ضد "&amp;P$238)+COUNTIF($D$4:$D$234,P$238&amp;" ضد "&amp;$A246))</f>
        <v>1</v>
      </c>
      <c r="Q246" s="4">
        <f>IF($A246=Q$238,"",COUNTIF($D$4:$D$234,$A246&amp;" ضد "&amp;Q$238)+COUNTIF($D$4:$D$234,Q$238&amp;" ضد "&amp;$A246))</f>
        <v>1</v>
      </c>
      <c r="R246" s="4">
        <f>IF($A246=R$238,"",COUNTIF($D$4:$D$234,$A246&amp;" ضد "&amp;R$238)+COUNTIF($D$4:$D$234,R$238&amp;" ضد "&amp;$A246))</f>
        <v>1</v>
      </c>
      <c r="S246" s="4">
        <f>IF($A246=S$238,"",COUNTIF($D$4:$D$234,$A246&amp;" ضد "&amp;S$238)+COUNTIF($D$4:$D$234,S$238&amp;" ضد "&amp;$A246))</f>
        <v>1</v>
      </c>
      <c r="T246" s="4">
        <f>IF($A246=T$238,"",COUNTIF($D$4:$D$234,$A246&amp;" ضد "&amp;T$238)+COUNTIF($D$4:$D$234,T$238&amp;" ضد "&amp;$A246))</f>
        <v>1</v>
      </c>
      <c r="U246" s="4">
        <f>IF($A246=U$238,"",COUNTIF($D$4:$D$234,$A246&amp;" ضد "&amp;U$238)+COUNTIF($D$4:$D$234,U$238&amp;" ضد "&amp;$A246))</f>
        <v>1</v>
      </c>
      <c r="V246" s="4">
        <f>IF($A246=V$238,"",COUNTIF($D$4:$D$234,$A246&amp;" ضد "&amp;V$238)+COUNTIF($D$4:$D$234,V$238&amp;" ضد "&amp;$A246))</f>
        <v>1</v>
      </c>
      <c r="W246" s="4">
        <f>IF($A246=W$238,"",COUNTIF($D$4:$D$234,$A246&amp;" ضد "&amp;W$238)+COUNTIF($D$4:$D$234,W$238&amp;" ضد "&amp;$A246))</f>
        <v>1</v>
      </c>
    </row>
    <row r="247" spans="1:23" ht="14.5">
      <c r="A247" s="14">
        <v>9</v>
      </c>
      <c r="B247" s="4">
        <f>IF($A247=B$238,"",COUNTIF($D$4:$D$234,$A247&amp;" ضد "&amp;B$238)+COUNTIF($D$4:$D$234,B$238&amp;" ضد "&amp;$A247))</f>
        <v>1</v>
      </c>
      <c r="C247" s="4">
        <f>IF($A247=C$238,"",COUNTIF($D$4:$D$234,$A247&amp;" ضد "&amp;C$238)+COUNTIF($D$4:$D$234,C$238&amp;" ضد "&amp;$A247))</f>
        <v>1</v>
      </c>
      <c r="D247" s="4">
        <f>IF($A247=D$238,"",COUNTIF($D$4:$D$234,$A247&amp;" ضد "&amp;D$238)+COUNTIF($D$4:$D$234,D$238&amp;" ضد "&amp;$A247))</f>
        <v>1</v>
      </c>
      <c r="E247" s="4">
        <f>IF($A247=E$238,"",COUNTIF($D$4:$D$234,$A247&amp;" ضد "&amp;E$238)+COUNTIF($D$4:$D$234,E$238&amp;" ضد "&amp;$A247))</f>
        <v>1</v>
      </c>
      <c r="F247" s="4">
        <f>IF($A247=F$238,"",COUNTIF($D$4:$D$234,$A247&amp;" ضد "&amp;F$238)+COUNTIF($D$4:$D$234,F$238&amp;" ضد "&amp;$A247))</f>
        <v>1</v>
      </c>
      <c r="G247" s="4">
        <f>IF($A247=G$238,"",COUNTIF($D$4:$D$234,$A247&amp;" ضد "&amp;G$238)+COUNTIF($D$4:$D$234,G$238&amp;" ضد "&amp;$A247))</f>
        <v>1</v>
      </c>
      <c r="H247" s="4">
        <f>IF($A247=H$238,"",COUNTIF($D$4:$D$234,$A247&amp;" ضد "&amp;H$238)+COUNTIF($D$4:$D$234,H$238&amp;" ضد "&amp;$A247))</f>
        <v>1</v>
      </c>
      <c r="I247" s="4">
        <f>IF($A247=I$238,"",COUNTIF($D$4:$D$234,$A247&amp;" ضد "&amp;I$238)+COUNTIF($D$4:$D$234,I$238&amp;" ضد "&amp;$A247))</f>
        <v>1</v>
      </c>
      <c r="J247" s="4" t="str">
        <f>IF($A247=J$238,"",COUNTIF($D$4:$D$234,$A247&amp;" ضد "&amp;J$238)+COUNTIF($D$4:$D$234,J$238&amp;" ضد "&amp;$A247))</f>
        <v/>
      </c>
      <c r="K247" s="4">
        <f>IF($A247=K$238,"",COUNTIF($D$4:$D$234,$A247&amp;" ضد "&amp;K$238)+COUNTIF($D$4:$D$234,K$238&amp;" ضد "&amp;$A247))</f>
        <v>1</v>
      </c>
      <c r="L247" s="4">
        <f>IF($A247=L$238,"",COUNTIF($D$4:$D$234,$A247&amp;" ضد "&amp;L$238)+COUNTIF($D$4:$D$234,L$238&amp;" ضد "&amp;$A247))</f>
        <v>1</v>
      </c>
      <c r="M247" s="4">
        <f>IF($A247=M$238,"",COUNTIF($D$4:$D$234,$A247&amp;" ضد "&amp;M$238)+COUNTIF($D$4:$D$234,M$238&amp;" ضد "&amp;$A247))</f>
        <v>1</v>
      </c>
      <c r="N247" s="4">
        <f>IF($A247=N$238,"",COUNTIF($D$4:$D$234,$A247&amp;" ضد "&amp;N$238)+COUNTIF($D$4:$D$234,N$238&amp;" ضد "&amp;$A247))</f>
        <v>1</v>
      </c>
      <c r="O247" s="4">
        <f>IF($A247=O$238,"",COUNTIF($D$4:$D$234,$A247&amp;" ضد "&amp;O$238)+COUNTIF($D$4:$D$234,O$238&amp;" ضد "&amp;$A247))</f>
        <v>1</v>
      </c>
      <c r="P247" s="4">
        <f>IF($A247=P$238,"",COUNTIF($D$4:$D$234,$A247&amp;" ضد "&amp;P$238)+COUNTIF($D$4:$D$234,P$238&amp;" ضد "&amp;$A247))</f>
        <v>1</v>
      </c>
      <c r="Q247" s="4">
        <f>IF($A247=Q$238,"",COUNTIF($D$4:$D$234,$A247&amp;" ضد "&amp;Q$238)+COUNTIF($D$4:$D$234,Q$238&amp;" ضد "&amp;$A247))</f>
        <v>1</v>
      </c>
      <c r="R247" s="4">
        <f>IF($A247=R$238,"",COUNTIF($D$4:$D$234,$A247&amp;" ضد "&amp;R$238)+COUNTIF($D$4:$D$234,R$238&amp;" ضد "&amp;$A247))</f>
        <v>1</v>
      </c>
      <c r="S247" s="4">
        <f>IF($A247=S$238,"",COUNTIF($D$4:$D$234,$A247&amp;" ضد "&amp;S$238)+COUNTIF($D$4:$D$234,S$238&amp;" ضد "&amp;$A247))</f>
        <v>1</v>
      </c>
      <c r="T247" s="4">
        <f>IF($A247=T$238,"",COUNTIF($D$4:$D$234,$A247&amp;" ضد "&amp;T$238)+COUNTIF($D$4:$D$234,T$238&amp;" ضد "&amp;$A247))</f>
        <v>1</v>
      </c>
      <c r="U247" s="4">
        <f>IF($A247=U$238,"",COUNTIF($D$4:$D$234,$A247&amp;" ضد "&amp;U$238)+COUNTIF($D$4:$D$234,U$238&amp;" ضد "&amp;$A247))</f>
        <v>1</v>
      </c>
      <c r="V247" s="4">
        <f>IF($A247=V$238,"",COUNTIF($D$4:$D$234,$A247&amp;" ضد "&amp;V$238)+COUNTIF($D$4:$D$234,V$238&amp;" ضد "&amp;$A247))</f>
        <v>1</v>
      </c>
      <c r="W247" s="4">
        <f>IF($A247=W$238,"",COUNTIF($D$4:$D$234,$A247&amp;" ضد "&amp;W$238)+COUNTIF($D$4:$D$234,W$238&amp;" ضد "&amp;$A247))</f>
        <v>1</v>
      </c>
    </row>
    <row r="248" spans="1:23" ht="14.5">
      <c r="A248" s="14">
        <v>10</v>
      </c>
      <c r="B248" s="4">
        <f>IF($A248=B$238,"",COUNTIF($D$4:$D$234,$A248&amp;" ضد "&amp;B$238)+COUNTIF($D$4:$D$234,B$238&amp;" ضد "&amp;$A248))</f>
        <v>1</v>
      </c>
      <c r="C248" s="4">
        <f>IF($A248=C$238,"",COUNTIF($D$4:$D$234,$A248&amp;" ضد "&amp;C$238)+COUNTIF($D$4:$D$234,C$238&amp;" ضد "&amp;$A248))</f>
        <v>1</v>
      </c>
      <c r="D248" s="4">
        <f>IF($A248=D$238,"",COUNTIF($D$4:$D$234,$A248&amp;" ضد "&amp;D$238)+COUNTIF($D$4:$D$234,D$238&amp;" ضد "&amp;$A248))</f>
        <v>1</v>
      </c>
      <c r="E248" s="4">
        <f>IF($A248=E$238,"",COUNTIF($D$4:$D$234,$A248&amp;" ضد "&amp;E$238)+COUNTIF($D$4:$D$234,E$238&amp;" ضد "&amp;$A248))</f>
        <v>1</v>
      </c>
      <c r="F248" s="4">
        <f>IF($A248=F$238,"",COUNTIF($D$4:$D$234,$A248&amp;" ضد "&amp;F$238)+COUNTIF($D$4:$D$234,F$238&amp;" ضد "&amp;$A248))</f>
        <v>1</v>
      </c>
      <c r="G248" s="4">
        <f>IF($A248=G$238,"",COUNTIF($D$4:$D$234,$A248&amp;" ضد "&amp;G$238)+COUNTIF($D$4:$D$234,G$238&amp;" ضد "&amp;$A248))</f>
        <v>1</v>
      </c>
      <c r="H248" s="4">
        <f>IF($A248=H$238,"",COUNTIF($D$4:$D$234,$A248&amp;" ضد "&amp;H$238)+COUNTIF($D$4:$D$234,H$238&amp;" ضد "&amp;$A248))</f>
        <v>1</v>
      </c>
      <c r="I248" s="4">
        <f>IF($A248=I$238,"",COUNTIF($D$4:$D$234,$A248&amp;" ضد "&amp;I$238)+COUNTIF($D$4:$D$234,I$238&amp;" ضد "&amp;$A248))</f>
        <v>1</v>
      </c>
      <c r="J248" s="4">
        <f>IF($A248=J$238,"",COUNTIF($D$4:$D$234,$A248&amp;" ضد "&amp;J$238)+COUNTIF($D$4:$D$234,J$238&amp;" ضد "&amp;$A248))</f>
        <v>1</v>
      </c>
      <c r="K248" s="4" t="str">
        <f>IF($A248=K$238,"",COUNTIF($D$4:$D$234,$A248&amp;" ضد "&amp;K$238)+COUNTIF($D$4:$D$234,K$238&amp;" ضد "&amp;$A248))</f>
        <v/>
      </c>
      <c r="L248" s="4">
        <f>IF($A248=L$238,"",COUNTIF($D$4:$D$234,$A248&amp;" ضد "&amp;L$238)+COUNTIF($D$4:$D$234,L$238&amp;" ضد "&amp;$A248))</f>
        <v>1</v>
      </c>
      <c r="M248" s="4">
        <f>IF($A248=M$238,"",COUNTIF($D$4:$D$234,$A248&amp;" ضد "&amp;M$238)+COUNTIF($D$4:$D$234,M$238&amp;" ضد "&amp;$A248))</f>
        <v>1</v>
      </c>
      <c r="N248" s="4">
        <f>IF($A248=N$238,"",COUNTIF($D$4:$D$234,$A248&amp;" ضد "&amp;N$238)+COUNTIF($D$4:$D$234,N$238&amp;" ضد "&amp;$A248))</f>
        <v>1</v>
      </c>
      <c r="O248" s="4">
        <f>IF($A248=O$238,"",COUNTIF($D$4:$D$234,$A248&amp;" ضد "&amp;O$238)+COUNTIF($D$4:$D$234,O$238&amp;" ضد "&amp;$A248))</f>
        <v>1</v>
      </c>
      <c r="P248" s="4">
        <f>IF($A248=P$238,"",COUNTIF($D$4:$D$234,$A248&amp;" ضد "&amp;P$238)+COUNTIF($D$4:$D$234,P$238&amp;" ضد "&amp;$A248))</f>
        <v>1</v>
      </c>
      <c r="Q248" s="4">
        <f>IF($A248=Q$238,"",COUNTIF($D$4:$D$234,$A248&amp;" ضد "&amp;Q$238)+COUNTIF($D$4:$D$234,Q$238&amp;" ضد "&amp;$A248))</f>
        <v>1</v>
      </c>
      <c r="R248" s="4">
        <f>IF($A248=R$238,"",COUNTIF($D$4:$D$234,$A248&amp;" ضد "&amp;R$238)+COUNTIF($D$4:$D$234,R$238&amp;" ضد "&amp;$A248))</f>
        <v>1</v>
      </c>
      <c r="S248" s="4">
        <f>IF($A248=S$238,"",COUNTIF($D$4:$D$234,$A248&amp;" ضد "&amp;S$238)+COUNTIF($D$4:$D$234,S$238&amp;" ضد "&amp;$A248))</f>
        <v>1</v>
      </c>
      <c r="T248" s="4">
        <f>IF($A248=T$238,"",COUNTIF($D$4:$D$234,$A248&amp;" ضد "&amp;T$238)+COUNTIF($D$4:$D$234,T$238&amp;" ضد "&amp;$A248))</f>
        <v>1</v>
      </c>
      <c r="U248" s="4">
        <f>IF($A248=U$238,"",COUNTIF($D$4:$D$234,$A248&amp;" ضد "&amp;U$238)+COUNTIF($D$4:$D$234,U$238&amp;" ضد "&amp;$A248))</f>
        <v>1</v>
      </c>
      <c r="V248" s="4">
        <f>IF($A248=V$238,"",COUNTIF($D$4:$D$234,$A248&amp;" ضد "&amp;V$238)+COUNTIF($D$4:$D$234,V$238&amp;" ضد "&amp;$A248))</f>
        <v>1</v>
      </c>
      <c r="W248" s="4">
        <f>IF($A248=W$238,"",COUNTIF($D$4:$D$234,$A248&amp;" ضد "&amp;W$238)+COUNTIF($D$4:$D$234,W$238&amp;" ضد "&amp;$A248))</f>
        <v>1</v>
      </c>
    </row>
    <row r="249" spans="1:23" ht="14.5">
      <c r="A249" s="14">
        <v>11</v>
      </c>
      <c r="B249" s="4">
        <f>IF($A249=B$238,"",COUNTIF($D$4:$D$234,$A249&amp;" ضد "&amp;B$238)+COUNTIF($D$4:$D$234,B$238&amp;" ضد "&amp;$A249))</f>
        <v>1</v>
      </c>
      <c r="C249" s="4">
        <f>IF($A249=C$238,"",COUNTIF($D$4:$D$234,$A249&amp;" ضد "&amp;C$238)+COUNTIF($D$4:$D$234,C$238&amp;" ضد "&amp;$A249))</f>
        <v>1</v>
      </c>
      <c r="D249" s="4">
        <f>IF($A249=D$238,"",COUNTIF($D$4:$D$234,$A249&amp;" ضد "&amp;D$238)+COUNTIF($D$4:$D$234,D$238&amp;" ضد "&amp;$A249))</f>
        <v>1</v>
      </c>
      <c r="E249" s="4">
        <f>IF($A249=E$238,"",COUNTIF($D$4:$D$234,$A249&amp;" ضد "&amp;E$238)+COUNTIF($D$4:$D$234,E$238&amp;" ضد "&amp;$A249))</f>
        <v>1</v>
      </c>
      <c r="F249" s="4">
        <f>IF($A249=F$238,"",COUNTIF($D$4:$D$234,$A249&amp;" ضد "&amp;F$238)+COUNTIF($D$4:$D$234,F$238&amp;" ضد "&amp;$A249))</f>
        <v>1</v>
      </c>
      <c r="G249" s="4">
        <f>IF($A249=G$238,"",COUNTIF($D$4:$D$234,$A249&amp;" ضد "&amp;G$238)+COUNTIF($D$4:$D$234,G$238&amp;" ضد "&amp;$A249))</f>
        <v>1</v>
      </c>
      <c r="H249" s="4">
        <f>IF($A249=H$238,"",COUNTIF($D$4:$D$234,$A249&amp;" ضد "&amp;H$238)+COUNTIF($D$4:$D$234,H$238&amp;" ضد "&amp;$A249))</f>
        <v>1</v>
      </c>
      <c r="I249" s="4">
        <f>IF($A249=I$238,"",COUNTIF($D$4:$D$234,$A249&amp;" ضد "&amp;I$238)+COUNTIF($D$4:$D$234,I$238&amp;" ضد "&amp;$A249))</f>
        <v>1</v>
      </c>
      <c r="J249" s="4">
        <f>IF($A249=J$238,"",COUNTIF($D$4:$D$234,$A249&amp;" ضد "&amp;J$238)+COUNTIF($D$4:$D$234,J$238&amp;" ضد "&amp;$A249))</f>
        <v>1</v>
      </c>
      <c r="K249" s="4">
        <f>IF($A249=K$238,"",COUNTIF($D$4:$D$234,$A249&amp;" ضد "&amp;K$238)+COUNTIF($D$4:$D$234,K$238&amp;" ضد "&amp;$A249))</f>
        <v>1</v>
      </c>
      <c r="L249" s="4" t="str">
        <f>IF($A249=L$238,"",COUNTIF($D$4:$D$234,$A249&amp;" ضد "&amp;L$238)+COUNTIF($D$4:$D$234,L$238&amp;" ضد "&amp;$A249))</f>
        <v/>
      </c>
      <c r="M249" s="4">
        <f>IF($A249=M$238,"",COUNTIF($D$4:$D$234,$A249&amp;" ضد "&amp;M$238)+COUNTIF($D$4:$D$234,M$238&amp;" ضد "&amp;$A249))</f>
        <v>1</v>
      </c>
      <c r="N249" s="4">
        <f>IF($A249=N$238,"",COUNTIF($D$4:$D$234,$A249&amp;" ضد "&amp;N$238)+COUNTIF($D$4:$D$234,N$238&amp;" ضد "&amp;$A249))</f>
        <v>1</v>
      </c>
      <c r="O249" s="4">
        <f>IF($A249=O$238,"",COUNTIF($D$4:$D$234,$A249&amp;" ضد "&amp;O$238)+COUNTIF($D$4:$D$234,O$238&amp;" ضد "&amp;$A249))</f>
        <v>1</v>
      </c>
      <c r="P249" s="4">
        <f>IF($A249=P$238,"",COUNTIF($D$4:$D$234,$A249&amp;" ضد "&amp;P$238)+COUNTIF($D$4:$D$234,P$238&amp;" ضد "&amp;$A249))</f>
        <v>1</v>
      </c>
      <c r="Q249" s="4">
        <f>IF($A249=Q$238,"",COUNTIF($D$4:$D$234,$A249&amp;" ضد "&amp;Q$238)+COUNTIF($D$4:$D$234,Q$238&amp;" ضد "&amp;$A249))</f>
        <v>1</v>
      </c>
      <c r="R249" s="4">
        <f>IF($A249=R$238,"",COUNTIF($D$4:$D$234,$A249&amp;" ضد "&amp;R$238)+COUNTIF($D$4:$D$234,R$238&amp;" ضد "&amp;$A249))</f>
        <v>1</v>
      </c>
      <c r="S249" s="4">
        <f>IF($A249=S$238,"",COUNTIF($D$4:$D$234,$A249&amp;" ضد "&amp;S$238)+COUNTIF($D$4:$D$234,S$238&amp;" ضد "&amp;$A249))</f>
        <v>1</v>
      </c>
      <c r="T249" s="4">
        <f>IF($A249=T$238,"",COUNTIF($D$4:$D$234,$A249&amp;" ضد "&amp;T$238)+COUNTIF($D$4:$D$234,T$238&amp;" ضد "&amp;$A249))</f>
        <v>1</v>
      </c>
      <c r="U249" s="4">
        <f>IF($A249=U$238,"",COUNTIF($D$4:$D$234,$A249&amp;" ضد "&amp;U$238)+COUNTIF($D$4:$D$234,U$238&amp;" ضد "&amp;$A249))</f>
        <v>1</v>
      </c>
      <c r="V249" s="4">
        <f>IF($A249=V$238,"",COUNTIF($D$4:$D$234,$A249&amp;" ضد "&amp;V$238)+COUNTIF($D$4:$D$234,V$238&amp;" ضد "&amp;$A249))</f>
        <v>1</v>
      </c>
      <c r="W249" s="4">
        <f>IF($A249=W$238,"",COUNTIF($D$4:$D$234,$A249&amp;" ضد "&amp;W$238)+COUNTIF($D$4:$D$234,W$238&amp;" ضد "&amp;$A249))</f>
        <v>1</v>
      </c>
    </row>
    <row r="250" spans="1:23" ht="14.5">
      <c r="A250" s="14">
        <v>12</v>
      </c>
      <c r="B250" s="4">
        <f>IF($A250=B$238,"",COUNTIF($D$4:$D$234,$A250&amp;" ضد "&amp;B$238)+COUNTIF($D$4:$D$234,B$238&amp;" ضد "&amp;$A250))</f>
        <v>1</v>
      </c>
      <c r="C250" s="4">
        <f>IF($A250=C$238,"",COUNTIF($D$4:$D$234,$A250&amp;" ضد "&amp;C$238)+COUNTIF($D$4:$D$234,C$238&amp;" ضد "&amp;$A250))</f>
        <v>1</v>
      </c>
      <c r="D250" s="4">
        <f>IF($A250=D$238,"",COUNTIF($D$4:$D$234,$A250&amp;" ضد "&amp;D$238)+COUNTIF($D$4:$D$234,D$238&amp;" ضد "&amp;$A250))</f>
        <v>1</v>
      </c>
      <c r="E250" s="4">
        <f>IF($A250=E$238,"",COUNTIF($D$4:$D$234,$A250&amp;" ضد "&amp;E$238)+COUNTIF($D$4:$D$234,E$238&amp;" ضد "&amp;$A250))</f>
        <v>1</v>
      </c>
      <c r="F250" s="4">
        <f>IF($A250=F$238,"",COUNTIF($D$4:$D$234,$A250&amp;" ضد "&amp;F$238)+COUNTIF($D$4:$D$234,F$238&amp;" ضد "&amp;$A250))</f>
        <v>1</v>
      </c>
      <c r="G250" s="4">
        <f>IF($A250=G$238,"",COUNTIF($D$4:$D$234,$A250&amp;" ضد "&amp;G$238)+COUNTIF($D$4:$D$234,G$238&amp;" ضد "&amp;$A250))</f>
        <v>1</v>
      </c>
      <c r="H250" s="4">
        <f>IF($A250=H$238,"",COUNTIF($D$4:$D$234,$A250&amp;" ضد "&amp;H$238)+COUNTIF($D$4:$D$234,H$238&amp;" ضد "&amp;$A250))</f>
        <v>1</v>
      </c>
      <c r="I250" s="4">
        <f>IF($A250=I$238,"",COUNTIF($D$4:$D$234,$A250&amp;" ضد "&amp;I$238)+COUNTIF($D$4:$D$234,I$238&amp;" ضد "&amp;$A250))</f>
        <v>1</v>
      </c>
      <c r="J250" s="4">
        <f>IF($A250=J$238,"",COUNTIF($D$4:$D$234,$A250&amp;" ضد "&amp;J$238)+COUNTIF($D$4:$D$234,J$238&amp;" ضد "&amp;$A250))</f>
        <v>1</v>
      </c>
      <c r="K250" s="4">
        <f>IF($A250=K$238,"",COUNTIF($D$4:$D$234,$A250&amp;" ضد "&amp;K$238)+COUNTIF($D$4:$D$234,K$238&amp;" ضد "&amp;$A250))</f>
        <v>1</v>
      </c>
      <c r="L250" s="4">
        <f>IF($A250=L$238,"",COUNTIF($D$4:$D$234,$A250&amp;" ضد "&amp;L$238)+COUNTIF($D$4:$D$234,L$238&amp;" ضد "&amp;$A250))</f>
        <v>1</v>
      </c>
      <c r="M250" s="4" t="str">
        <f>IF($A250=M$238,"",COUNTIF($D$4:$D$234,$A250&amp;" ضد "&amp;M$238)+COUNTIF($D$4:$D$234,M$238&amp;" ضد "&amp;$A250))</f>
        <v/>
      </c>
      <c r="N250" s="4">
        <f>IF($A250=N$238,"",COUNTIF($D$4:$D$234,$A250&amp;" ضد "&amp;N$238)+COUNTIF($D$4:$D$234,N$238&amp;" ضد "&amp;$A250))</f>
        <v>1</v>
      </c>
      <c r="O250" s="4">
        <f>IF($A250=O$238,"",COUNTIF($D$4:$D$234,$A250&amp;" ضد "&amp;O$238)+COUNTIF($D$4:$D$234,O$238&amp;" ضد "&amp;$A250))</f>
        <v>1</v>
      </c>
      <c r="P250" s="4">
        <f>IF($A250=P$238,"",COUNTIF($D$4:$D$234,$A250&amp;" ضد "&amp;P$238)+COUNTIF($D$4:$D$234,P$238&amp;" ضد "&amp;$A250))</f>
        <v>1</v>
      </c>
      <c r="Q250" s="4">
        <f>IF($A250=Q$238,"",COUNTIF($D$4:$D$234,$A250&amp;" ضد "&amp;Q$238)+COUNTIF($D$4:$D$234,Q$238&amp;" ضد "&amp;$A250))</f>
        <v>1</v>
      </c>
      <c r="R250" s="4">
        <f>IF($A250=R$238,"",COUNTIF($D$4:$D$234,$A250&amp;" ضد "&amp;R$238)+COUNTIF($D$4:$D$234,R$238&amp;" ضد "&amp;$A250))</f>
        <v>1</v>
      </c>
      <c r="S250" s="4">
        <f>IF($A250=S$238,"",COUNTIF($D$4:$D$234,$A250&amp;" ضد "&amp;S$238)+COUNTIF($D$4:$D$234,S$238&amp;" ضد "&amp;$A250))</f>
        <v>1</v>
      </c>
      <c r="T250" s="4">
        <f>IF($A250=T$238,"",COUNTIF($D$4:$D$234,$A250&amp;" ضد "&amp;T$238)+COUNTIF($D$4:$D$234,T$238&amp;" ضد "&amp;$A250))</f>
        <v>1</v>
      </c>
      <c r="U250" s="4">
        <f>IF($A250=U$238,"",COUNTIF($D$4:$D$234,$A250&amp;" ضد "&amp;U$238)+COUNTIF($D$4:$D$234,U$238&amp;" ضد "&amp;$A250))</f>
        <v>1</v>
      </c>
      <c r="V250" s="4">
        <f>IF($A250=V$238,"",COUNTIF($D$4:$D$234,$A250&amp;" ضد "&amp;V$238)+COUNTIF($D$4:$D$234,V$238&amp;" ضد "&amp;$A250))</f>
        <v>1</v>
      </c>
      <c r="W250" s="4">
        <f>IF($A250=W$238,"",COUNTIF($D$4:$D$234,$A250&amp;" ضد "&amp;W$238)+COUNTIF($D$4:$D$234,W$238&amp;" ضد "&amp;$A250))</f>
        <v>1</v>
      </c>
    </row>
    <row r="251" spans="1:23" ht="14.5">
      <c r="A251" s="14">
        <v>13</v>
      </c>
      <c r="B251" s="4">
        <f>IF($A251=B$238,"",COUNTIF($D$4:$D$234,$A251&amp;" ضد "&amp;B$238)+COUNTIF($D$4:$D$234,B$238&amp;" ضد "&amp;$A251))</f>
        <v>1</v>
      </c>
      <c r="C251" s="4">
        <f>IF($A251=C$238,"",COUNTIF($D$4:$D$234,$A251&amp;" ضد "&amp;C$238)+COUNTIF($D$4:$D$234,C$238&amp;" ضد "&amp;$A251))</f>
        <v>1</v>
      </c>
      <c r="D251" s="4">
        <f>IF($A251=D$238,"",COUNTIF($D$4:$D$234,$A251&amp;" ضد "&amp;D$238)+COUNTIF($D$4:$D$234,D$238&amp;" ضد "&amp;$A251))</f>
        <v>1</v>
      </c>
      <c r="E251" s="4">
        <f>IF($A251=E$238,"",COUNTIF($D$4:$D$234,$A251&amp;" ضد "&amp;E$238)+COUNTIF($D$4:$D$234,E$238&amp;" ضد "&amp;$A251))</f>
        <v>1</v>
      </c>
      <c r="F251" s="4">
        <f>IF($A251=F$238,"",COUNTIF($D$4:$D$234,$A251&amp;" ضد "&amp;F$238)+COUNTIF($D$4:$D$234,F$238&amp;" ضد "&amp;$A251))</f>
        <v>1</v>
      </c>
      <c r="G251" s="4">
        <f>IF($A251=G$238,"",COUNTIF($D$4:$D$234,$A251&amp;" ضد "&amp;G$238)+COUNTIF($D$4:$D$234,G$238&amp;" ضد "&amp;$A251))</f>
        <v>1</v>
      </c>
      <c r="H251" s="4">
        <f>IF($A251=H$238,"",COUNTIF($D$4:$D$234,$A251&amp;" ضد "&amp;H$238)+COUNTIF($D$4:$D$234,H$238&amp;" ضد "&amp;$A251))</f>
        <v>1</v>
      </c>
      <c r="I251" s="4">
        <f>IF($A251=I$238,"",COUNTIF($D$4:$D$234,$A251&amp;" ضد "&amp;I$238)+COUNTIF($D$4:$D$234,I$238&amp;" ضد "&amp;$A251))</f>
        <v>1</v>
      </c>
      <c r="J251" s="4">
        <f>IF($A251=J$238,"",COUNTIF($D$4:$D$234,$A251&amp;" ضد "&amp;J$238)+COUNTIF($D$4:$D$234,J$238&amp;" ضد "&amp;$A251))</f>
        <v>1</v>
      </c>
      <c r="K251" s="4">
        <f>IF($A251=K$238,"",COUNTIF($D$4:$D$234,$A251&amp;" ضد "&amp;K$238)+COUNTIF($D$4:$D$234,K$238&amp;" ضد "&amp;$A251))</f>
        <v>1</v>
      </c>
      <c r="L251" s="4">
        <f>IF($A251=L$238,"",COUNTIF($D$4:$D$234,$A251&amp;" ضد "&amp;L$238)+COUNTIF($D$4:$D$234,L$238&amp;" ضد "&amp;$A251))</f>
        <v>1</v>
      </c>
      <c r="M251" s="4">
        <f>IF($A251=M$238,"",COUNTIF($D$4:$D$234,$A251&amp;" ضد "&amp;M$238)+COUNTIF($D$4:$D$234,M$238&amp;" ضد "&amp;$A251))</f>
        <v>1</v>
      </c>
      <c r="N251" s="4" t="str">
        <f>IF($A251=N$238,"",COUNTIF($D$4:$D$234,$A251&amp;" ضد "&amp;N$238)+COUNTIF($D$4:$D$234,N$238&amp;" ضد "&amp;$A251))</f>
        <v/>
      </c>
      <c r="O251" s="4">
        <f>IF($A251=O$238,"",COUNTIF($D$4:$D$234,$A251&amp;" ضد "&amp;O$238)+COUNTIF($D$4:$D$234,O$238&amp;" ضد "&amp;$A251))</f>
        <v>1</v>
      </c>
      <c r="P251" s="4">
        <f>IF($A251=P$238,"",COUNTIF($D$4:$D$234,$A251&amp;" ضد "&amp;P$238)+COUNTIF($D$4:$D$234,P$238&amp;" ضد "&amp;$A251))</f>
        <v>1</v>
      </c>
      <c r="Q251" s="4">
        <f>IF($A251=Q$238,"",COUNTIF($D$4:$D$234,$A251&amp;" ضد "&amp;Q$238)+COUNTIF($D$4:$D$234,Q$238&amp;" ضد "&amp;$A251))</f>
        <v>1</v>
      </c>
      <c r="R251" s="4">
        <f>IF($A251=R$238,"",COUNTIF($D$4:$D$234,$A251&amp;" ضد "&amp;R$238)+COUNTIF($D$4:$D$234,R$238&amp;" ضد "&amp;$A251))</f>
        <v>1</v>
      </c>
      <c r="S251" s="4">
        <f>IF($A251=S$238,"",COUNTIF($D$4:$D$234,$A251&amp;" ضد "&amp;S$238)+COUNTIF($D$4:$D$234,S$238&amp;" ضد "&amp;$A251))</f>
        <v>1</v>
      </c>
      <c r="T251" s="4">
        <f>IF($A251=T$238,"",COUNTIF($D$4:$D$234,$A251&amp;" ضد "&amp;T$238)+COUNTIF($D$4:$D$234,T$238&amp;" ضد "&amp;$A251))</f>
        <v>1</v>
      </c>
      <c r="U251" s="4">
        <f>IF($A251=U$238,"",COUNTIF($D$4:$D$234,$A251&amp;" ضد "&amp;U$238)+COUNTIF($D$4:$D$234,U$238&amp;" ضد "&amp;$A251))</f>
        <v>1</v>
      </c>
      <c r="V251" s="4">
        <f>IF($A251=V$238,"",COUNTIF($D$4:$D$234,$A251&amp;" ضد "&amp;V$238)+COUNTIF($D$4:$D$234,V$238&amp;" ضد "&amp;$A251))</f>
        <v>1</v>
      </c>
      <c r="W251" s="4">
        <f>IF($A251=W$238,"",COUNTIF($D$4:$D$234,$A251&amp;" ضد "&amp;W$238)+COUNTIF($D$4:$D$234,W$238&amp;" ضد "&amp;$A251))</f>
        <v>1</v>
      </c>
    </row>
    <row r="252" spans="1:23" ht="14.5">
      <c r="A252" s="14">
        <v>14</v>
      </c>
      <c r="B252" s="4">
        <f>IF($A252=B$238,"",COUNTIF($D$4:$D$234,$A252&amp;" ضد "&amp;B$238)+COUNTIF($D$4:$D$234,B$238&amp;" ضد "&amp;$A252))</f>
        <v>1</v>
      </c>
      <c r="C252" s="4">
        <f>IF($A252=C$238,"",COUNTIF($D$4:$D$234,$A252&amp;" ضد "&amp;C$238)+COUNTIF($D$4:$D$234,C$238&amp;" ضد "&amp;$A252))</f>
        <v>1</v>
      </c>
      <c r="D252" s="4">
        <f>IF($A252=D$238,"",COUNTIF($D$4:$D$234,$A252&amp;" ضد "&amp;D$238)+COUNTIF($D$4:$D$234,D$238&amp;" ضد "&amp;$A252))</f>
        <v>1</v>
      </c>
      <c r="E252" s="4">
        <f>IF($A252=E$238,"",COUNTIF($D$4:$D$234,$A252&amp;" ضد "&amp;E$238)+COUNTIF($D$4:$D$234,E$238&amp;" ضد "&amp;$A252))</f>
        <v>1</v>
      </c>
      <c r="F252" s="4">
        <f>IF($A252=F$238,"",COUNTIF($D$4:$D$234,$A252&amp;" ضد "&amp;F$238)+COUNTIF($D$4:$D$234,F$238&amp;" ضد "&amp;$A252))</f>
        <v>1</v>
      </c>
      <c r="G252" s="4">
        <f>IF($A252=G$238,"",COUNTIF($D$4:$D$234,$A252&amp;" ضد "&amp;G$238)+COUNTIF($D$4:$D$234,G$238&amp;" ضد "&amp;$A252))</f>
        <v>1</v>
      </c>
      <c r="H252" s="4">
        <f>IF($A252=H$238,"",COUNTIF($D$4:$D$234,$A252&amp;" ضد "&amp;H$238)+COUNTIF($D$4:$D$234,H$238&amp;" ضد "&amp;$A252))</f>
        <v>1</v>
      </c>
      <c r="I252" s="4">
        <f>IF($A252=I$238,"",COUNTIF($D$4:$D$234,$A252&amp;" ضد "&amp;I$238)+COUNTIF($D$4:$D$234,I$238&amp;" ضد "&amp;$A252))</f>
        <v>1</v>
      </c>
      <c r="J252" s="4">
        <f>IF($A252=J$238,"",COUNTIF($D$4:$D$234,$A252&amp;" ضد "&amp;J$238)+COUNTIF($D$4:$D$234,J$238&amp;" ضد "&amp;$A252))</f>
        <v>1</v>
      </c>
      <c r="K252" s="4">
        <f>IF($A252=K$238,"",COUNTIF($D$4:$D$234,$A252&amp;" ضد "&amp;K$238)+COUNTIF($D$4:$D$234,K$238&amp;" ضد "&amp;$A252))</f>
        <v>1</v>
      </c>
      <c r="L252" s="4">
        <f>IF($A252=L$238,"",COUNTIF($D$4:$D$234,$A252&amp;" ضد "&amp;L$238)+COUNTIF($D$4:$D$234,L$238&amp;" ضد "&amp;$A252))</f>
        <v>1</v>
      </c>
      <c r="M252" s="4">
        <f>IF($A252=M$238,"",COUNTIF($D$4:$D$234,$A252&amp;" ضد "&amp;M$238)+COUNTIF($D$4:$D$234,M$238&amp;" ضد "&amp;$A252))</f>
        <v>1</v>
      </c>
      <c r="N252" s="4">
        <f>IF($A252=N$238,"",COUNTIF($D$4:$D$234,$A252&amp;" ضد "&amp;N$238)+COUNTIF($D$4:$D$234,N$238&amp;" ضد "&amp;$A252))</f>
        <v>1</v>
      </c>
      <c r="O252" s="4" t="str">
        <f>IF($A252=O$238,"",COUNTIF($D$4:$D$234,$A252&amp;" ضد "&amp;O$238)+COUNTIF($D$4:$D$234,O$238&amp;" ضد "&amp;$A252))</f>
        <v/>
      </c>
      <c r="P252" s="4">
        <f>IF($A252=P$238,"",COUNTIF($D$4:$D$234,$A252&amp;" ضد "&amp;P$238)+COUNTIF($D$4:$D$234,P$238&amp;" ضد "&amp;$A252))</f>
        <v>1</v>
      </c>
      <c r="Q252" s="4">
        <f>IF($A252=Q$238,"",COUNTIF($D$4:$D$234,$A252&amp;" ضد "&amp;Q$238)+COUNTIF($D$4:$D$234,Q$238&amp;" ضد "&amp;$A252))</f>
        <v>1</v>
      </c>
      <c r="R252" s="4">
        <f>IF($A252=R$238,"",COUNTIF($D$4:$D$234,$A252&amp;" ضد "&amp;R$238)+COUNTIF($D$4:$D$234,R$238&amp;" ضد "&amp;$A252))</f>
        <v>1</v>
      </c>
      <c r="S252" s="4">
        <f>IF($A252=S$238,"",COUNTIF($D$4:$D$234,$A252&amp;" ضد "&amp;S$238)+COUNTIF($D$4:$D$234,S$238&amp;" ضد "&amp;$A252))</f>
        <v>1</v>
      </c>
      <c r="T252" s="4">
        <f>IF($A252=T$238,"",COUNTIF($D$4:$D$234,$A252&amp;" ضد "&amp;T$238)+COUNTIF($D$4:$D$234,T$238&amp;" ضد "&amp;$A252))</f>
        <v>1</v>
      </c>
      <c r="U252" s="4">
        <f>IF($A252=U$238,"",COUNTIF($D$4:$D$234,$A252&amp;" ضد "&amp;U$238)+COUNTIF($D$4:$D$234,U$238&amp;" ضد "&amp;$A252))</f>
        <v>1</v>
      </c>
      <c r="V252" s="4">
        <f>IF($A252=V$238,"",COUNTIF($D$4:$D$234,$A252&amp;" ضد "&amp;V$238)+COUNTIF($D$4:$D$234,V$238&amp;" ضد "&amp;$A252))</f>
        <v>1</v>
      </c>
      <c r="W252" s="4">
        <f>IF($A252=W$238,"",COUNTIF($D$4:$D$234,$A252&amp;" ضد "&amp;W$238)+COUNTIF($D$4:$D$234,W$238&amp;" ضد "&amp;$A252))</f>
        <v>1</v>
      </c>
    </row>
    <row r="253" spans="1:23" ht="14.5">
      <c r="A253" s="14">
        <v>15</v>
      </c>
      <c r="B253" s="4">
        <f>IF($A253=B$238,"",COUNTIF($D$4:$D$234,$A253&amp;" ضد "&amp;B$238)+COUNTIF($D$4:$D$234,B$238&amp;" ضد "&amp;$A253))</f>
        <v>1</v>
      </c>
      <c r="C253" s="4">
        <f>IF($A253=C$238,"",COUNTIF($D$4:$D$234,$A253&amp;" ضد "&amp;C$238)+COUNTIF($D$4:$D$234,C$238&amp;" ضد "&amp;$A253))</f>
        <v>1</v>
      </c>
      <c r="D253" s="4">
        <f>IF($A253=D$238,"",COUNTIF($D$4:$D$234,$A253&amp;" ضد "&amp;D$238)+COUNTIF($D$4:$D$234,D$238&amp;" ضد "&amp;$A253))</f>
        <v>1</v>
      </c>
      <c r="E253" s="4">
        <f>IF($A253=E$238,"",COUNTIF($D$4:$D$234,$A253&amp;" ضد "&amp;E$238)+COUNTIF($D$4:$D$234,E$238&amp;" ضد "&amp;$A253))</f>
        <v>1</v>
      </c>
      <c r="F253" s="4">
        <f>IF($A253=F$238,"",COUNTIF($D$4:$D$234,$A253&amp;" ضد "&amp;F$238)+COUNTIF($D$4:$D$234,F$238&amp;" ضد "&amp;$A253))</f>
        <v>1</v>
      </c>
      <c r="G253" s="4">
        <f>IF($A253=G$238,"",COUNTIF($D$4:$D$234,$A253&amp;" ضد "&amp;G$238)+COUNTIF($D$4:$D$234,G$238&amp;" ضد "&amp;$A253))</f>
        <v>1</v>
      </c>
      <c r="H253" s="4">
        <f>IF($A253=H$238,"",COUNTIF($D$4:$D$234,$A253&amp;" ضد "&amp;H$238)+COUNTIF($D$4:$D$234,H$238&amp;" ضد "&amp;$A253))</f>
        <v>1</v>
      </c>
      <c r="I253" s="4">
        <f>IF($A253=I$238,"",COUNTIF($D$4:$D$234,$A253&amp;" ضد "&amp;I$238)+COUNTIF($D$4:$D$234,I$238&amp;" ضد "&amp;$A253))</f>
        <v>1</v>
      </c>
      <c r="J253" s="4">
        <f>IF($A253=J$238,"",COUNTIF($D$4:$D$234,$A253&amp;" ضد "&amp;J$238)+COUNTIF($D$4:$D$234,J$238&amp;" ضد "&amp;$A253))</f>
        <v>1</v>
      </c>
      <c r="K253" s="4">
        <f>IF($A253=K$238,"",COUNTIF($D$4:$D$234,$A253&amp;" ضد "&amp;K$238)+COUNTIF($D$4:$D$234,K$238&amp;" ضد "&amp;$A253))</f>
        <v>1</v>
      </c>
      <c r="L253" s="4">
        <f>IF($A253=L$238,"",COUNTIF($D$4:$D$234,$A253&amp;" ضد "&amp;L$238)+COUNTIF($D$4:$D$234,L$238&amp;" ضد "&amp;$A253))</f>
        <v>1</v>
      </c>
      <c r="M253" s="4">
        <f>IF($A253=M$238,"",COUNTIF($D$4:$D$234,$A253&amp;" ضد "&amp;M$238)+COUNTIF($D$4:$D$234,M$238&amp;" ضد "&amp;$A253))</f>
        <v>1</v>
      </c>
      <c r="N253" s="4">
        <f>IF($A253=N$238,"",COUNTIF($D$4:$D$234,$A253&amp;" ضد "&amp;N$238)+COUNTIF($D$4:$D$234,N$238&amp;" ضد "&amp;$A253))</f>
        <v>1</v>
      </c>
      <c r="O253" s="4">
        <f>IF($A253=O$238,"",COUNTIF($D$4:$D$234,$A253&amp;" ضد "&amp;O$238)+COUNTIF($D$4:$D$234,O$238&amp;" ضد "&amp;$A253))</f>
        <v>1</v>
      </c>
      <c r="P253" s="4" t="str">
        <f>IF($A253=P$238,"",COUNTIF($D$4:$D$234,$A253&amp;" ضد "&amp;P$238)+COUNTIF($D$4:$D$234,P$238&amp;" ضد "&amp;$A253))</f>
        <v/>
      </c>
      <c r="Q253" s="4">
        <f>IF($A253=Q$238,"",COUNTIF($D$4:$D$234,$A253&amp;" ضد "&amp;Q$238)+COUNTIF($D$4:$D$234,Q$238&amp;" ضد "&amp;$A253))</f>
        <v>1</v>
      </c>
      <c r="R253" s="4">
        <f>IF($A253=R$238,"",COUNTIF($D$4:$D$234,$A253&amp;" ضد "&amp;R$238)+COUNTIF($D$4:$D$234,R$238&amp;" ضد "&amp;$A253))</f>
        <v>1</v>
      </c>
      <c r="S253" s="4">
        <f>IF($A253=S$238,"",COUNTIF($D$4:$D$234,$A253&amp;" ضد "&amp;S$238)+COUNTIF($D$4:$D$234,S$238&amp;" ضد "&amp;$A253))</f>
        <v>1</v>
      </c>
      <c r="T253" s="4">
        <f>IF($A253=T$238,"",COUNTIF($D$4:$D$234,$A253&amp;" ضد "&amp;T$238)+COUNTIF($D$4:$D$234,T$238&amp;" ضد "&amp;$A253))</f>
        <v>1</v>
      </c>
      <c r="U253" s="4">
        <f>IF($A253=U$238,"",COUNTIF($D$4:$D$234,$A253&amp;" ضد "&amp;U$238)+COUNTIF($D$4:$D$234,U$238&amp;" ضد "&amp;$A253))</f>
        <v>1</v>
      </c>
      <c r="V253" s="4">
        <f>IF($A253=V$238,"",COUNTIF($D$4:$D$234,$A253&amp;" ضد "&amp;V$238)+COUNTIF($D$4:$D$234,V$238&amp;" ضد "&amp;$A253))</f>
        <v>1</v>
      </c>
      <c r="W253" s="4">
        <f>IF($A253=W$238,"",COUNTIF($D$4:$D$234,$A253&amp;" ضد "&amp;W$238)+COUNTIF($D$4:$D$234,W$238&amp;" ضد "&amp;$A253))</f>
        <v>1</v>
      </c>
    </row>
    <row r="254" spans="1:23" ht="14.5">
      <c r="A254" s="14">
        <v>16</v>
      </c>
      <c r="B254" s="4">
        <f>IF($A254=B$238,"",COUNTIF($D$4:$D$234,$A254&amp;" ضد "&amp;B$238)+COUNTIF($D$4:$D$234,B$238&amp;" ضد "&amp;$A254))</f>
        <v>1</v>
      </c>
      <c r="C254" s="4">
        <f>IF($A254=C$238,"",COUNTIF($D$4:$D$234,$A254&amp;" ضد "&amp;C$238)+COUNTIF($D$4:$D$234,C$238&amp;" ضد "&amp;$A254))</f>
        <v>1</v>
      </c>
      <c r="D254" s="4">
        <f>IF($A254=D$238,"",COUNTIF($D$4:$D$234,$A254&amp;" ضد "&amp;D$238)+COUNTIF($D$4:$D$234,D$238&amp;" ضد "&amp;$A254))</f>
        <v>1</v>
      </c>
      <c r="E254" s="4">
        <f>IF($A254=E$238,"",COUNTIF($D$4:$D$234,$A254&amp;" ضد "&amp;E$238)+COUNTIF($D$4:$D$234,E$238&amp;" ضد "&amp;$A254))</f>
        <v>1</v>
      </c>
      <c r="F254" s="4">
        <f>IF($A254=F$238,"",COUNTIF($D$4:$D$234,$A254&amp;" ضد "&amp;F$238)+COUNTIF($D$4:$D$234,F$238&amp;" ضد "&amp;$A254))</f>
        <v>1</v>
      </c>
      <c r="G254" s="4">
        <f>IF($A254=G$238,"",COUNTIF($D$4:$D$234,$A254&amp;" ضد "&amp;G$238)+COUNTIF($D$4:$D$234,G$238&amp;" ضد "&amp;$A254))</f>
        <v>1</v>
      </c>
      <c r="H254" s="4">
        <f>IF($A254=H$238,"",COUNTIF($D$4:$D$234,$A254&amp;" ضد "&amp;H$238)+COUNTIF($D$4:$D$234,H$238&amp;" ضد "&amp;$A254))</f>
        <v>1</v>
      </c>
      <c r="I254" s="4">
        <f>IF($A254=I$238,"",COUNTIF($D$4:$D$234,$A254&amp;" ضد "&amp;I$238)+COUNTIF($D$4:$D$234,I$238&amp;" ضد "&amp;$A254))</f>
        <v>1</v>
      </c>
      <c r="J254" s="4">
        <f>IF($A254=J$238,"",COUNTIF($D$4:$D$234,$A254&amp;" ضد "&amp;J$238)+COUNTIF($D$4:$D$234,J$238&amp;" ضد "&amp;$A254))</f>
        <v>1</v>
      </c>
      <c r="K254" s="4">
        <f>IF($A254=K$238,"",COUNTIF($D$4:$D$234,$A254&amp;" ضد "&amp;K$238)+COUNTIF($D$4:$D$234,K$238&amp;" ضد "&amp;$A254))</f>
        <v>1</v>
      </c>
      <c r="L254" s="4">
        <f>IF($A254=L$238,"",COUNTIF($D$4:$D$234,$A254&amp;" ضد "&amp;L$238)+COUNTIF($D$4:$D$234,L$238&amp;" ضد "&amp;$A254))</f>
        <v>1</v>
      </c>
      <c r="M254" s="4">
        <f>IF($A254=M$238,"",COUNTIF($D$4:$D$234,$A254&amp;" ضد "&amp;M$238)+COUNTIF($D$4:$D$234,M$238&amp;" ضد "&amp;$A254))</f>
        <v>1</v>
      </c>
      <c r="N254" s="4">
        <f>IF($A254=N$238,"",COUNTIF($D$4:$D$234,$A254&amp;" ضد "&amp;N$238)+COUNTIF($D$4:$D$234,N$238&amp;" ضد "&amp;$A254))</f>
        <v>1</v>
      </c>
      <c r="O254" s="4">
        <f>IF($A254=O$238,"",COUNTIF($D$4:$D$234,$A254&amp;" ضد "&amp;O$238)+COUNTIF($D$4:$D$234,O$238&amp;" ضد "&amp;$A254))</f>
        <v>1</v>
      </c>
      <c r="P254" s="4">
        <f>IF($A254=P$238,"",COUNTIF($D$4:$D$234,$A254&amp;" ضد "&amp;P$238)+COUNTIF($D$4:$D$234,P$238&amp;" ضد "&amp;$A254))</f>
        <v>1</v>
      </c>
      <c r="Q254" s="4" t="str">
        <f>IF($A254=Q$238,"",COUNTIF($D$4:$D$234,$A254&amp;" ضد "&amp;Q$238)+COUNTIF($D$4:$D$234,Q$238&amp;" ضد "&amp;$A254))</f>
        <v/>
      </c>
      <c r="R254" s="4">
        <f>IF($A254=R$238,"",COUNTIF($D$4:$D$234,$A254&amp;" ضد "&amp;R$238)+COUNTIF($D$4:$D$234,R$238&amp;" ضد "&amp;$A254))</f>
        <v>1</v>
      </c>
      <c r="S254" s="4">
        <f>IF($A254=S$238,"",COUNTIF($D$4:$D$234,$A254&amp;" ضد "&amp;S$238)+COUNTIF($D$4:$D$234,S$238&amp;" ضد "&amp;$A254))</f>
        <v>1</v>
      </c>
      <c r="T254" s="4">
        <f>IF($A254=T$238,"",COUNTIF($D$4:$D$234,$A254&amp;" ضد "&amp;T$238)+COUNTIF($D$4:$D$234,T$238&amp;" ضد "&amp;$A254))</f>
        <v>1</v>
      </c>
      <c r="U254" s="4">
        <f>IF($A254=U$238,"",COUNTIF($D$4:$D$234,$A254&amp;" ضد "&amp;U$238)+COUNTIF($D$4:$D$234,U$238&amp;" ضد "&amp;$A254))</f>
        <v>1</v>
      </c>
      <c r="V254" s="4">
        <f>IF($A254=V$238,"",COUNTIF($D$4:$D$234,$A254&amp;" ضد "&amp;V$238)+COUNTIF($D$4:$D$234,V$238&amp;" ضد "&amp;$A254))</f>
        <v>1</v>
      </c>
      <c r="W254" s="4">
        <f>IF($A254=W$238,"",COUNTIF($D$4:$D$234,$A254&amp;" ضد "&amp;W$238)+COUNTIF($D$4:$D$234,W$238&amp;" ضد "&amp;$A254))</f>
        <v>1</v>
      </c>
    </row>
    <row r="255" spans="1:23" ht="14.5">
      <c r="A255" s="14">
        <v>17</v>
      </c>
      <c r="B255" s="4">
        <f>IF($A255=B$238,"",COUNTIF($D$4:$D$234,$A255&amp;" ضد "&amp;B$238)+COUNTIF($D$4:$D$234,B$238&amp;" ضد "&amp;$A255))</f>
        <v>1</v>
      </c>
      <c r="C255" s="4">
        <f>IF($A255=C$238,"",COUNTIF($D$4:$D$234,$A255&amp;" ضد "&amp;C$238)+COUNTIF($D$4:$D$234,C$238&amp;" ضد "&amp;$A255))</f>
        <v>1</v>
      </c>
      <c r="D255" s="4">
        <f>IF($A255=D$238,"",COUNTIF($D$4:$D$234,$A255&amp;" ضد "&amp;D$238)+COUNTIF($D$4:$D$234,D$238&amp;" ضد "&amp;$A255))</f>
        <v>1</v>
      </c>
      <c r="E255" s="4">
        <f>IF($A255=E$238,"",COUNTIF($D$4:$D$234,$A255&amp;" ضد "&amp;E$238)+COUNTIF($D$4:$D$234,E$238&amp;" ضد "&amp;$A255))</f>
        <v>1</v>
      </c>
      <c r="F255" s="4">
        <f>IF($A255=F$238,"",COUNTIF($D$4:$D$234,$A255&amp;" ضد "&amp;F$238)+COUNTIF($D$4:$D$234,F$238&amp;" ضد "&amp;$A255))</f>
        <v>1</v>
      </c>
      <c r="G255" s="4">
        <f>IF($A255=G$238,"",COUNTIF($D$4:$D$234,$A255&amp;" ضد "&amp;G$238)+COUNTIF($D$4:$D$234,G$238&amp;" ضد "&amp;$A255))</f>
        <v>1</v>
      </c>
      <c r="H255" s="4">
        <f>IF($A255=H$238,"",COUNTIF($D$4:$D$234,$A255&amp;" ضد "&amp;H$238)+COUNTIF($D$4:$D$234,H$238&amp;" ضد "&amp;$A255))</f>
        <v>1</v>
      </c>
      <c r="I255" s="4">
        <f>IF($A255=I$238,"",COUNTIF($D$4:$D$234,$A255&amp;" ضد "&amp;I$238)+COUNTIF($D$4:$D$234,I$238&amp;" ضد "&amp;$A255))</f>
        <v>1</v>
      </c>
      <c r="J255" s="4">
        <f>IF($A255=J$238,"",COUNTIF($D$4:$D$234,$A255&amp;" ضد "&amp;J$238)+COUNTIF($D$4:$D$234,J$238&amp;" ضد "&amp;$A255))</f>
        <v>1</v>
      </c>
      <c r="K255" s="4">
        <f>IF($A255=K$238,"",COUNTIF($D$4:$D$234,$A255&amp;" ضد "&amp;K$238)+COUNTIF($D$4:$D$234,K$238&amp;" ضد "&amp;$A255))</f>
        <v>1</v>
      </c>
      <c r="L255" s="4">
        <f>IF($A255=L$238,"",COUNTIF($D$4:$D$234,$A255&amp;" ضد "&amp;L$238)+COUNTIF($D$4:$D$234,L$238&amp;" ضد "&amp;$A255))</f>
        <v>1</v>
      </c>
      <c r="M255" s="4">
        <f>IF($A255=M$238,"",COUNTIF($D$4:$D$234,$A255&amp;" ضد "&amp;M$238)+COUNTIF($D$4:$D$234,M$238&amp;" ضد "&amp;$A255))</f>
        <v>1</v>
      </c>
      <c r="N255" s="4">
        <f>IF($A255=N$238,"",COUNTIF($D$4:$D$234,$A255&amp;" ضد "&amp;N$238)+COUNTIF($D$4:$D$234,N$238&amp;" ضد "&amp;$A255))</f>
        <v>1</v>
      </c>
      <c r="O255" s="4">
        <f>IF($A255=O$238,"",COUNTIF($D$4:$D$234,$A255&amp;" ضد "&amp;O$238)+COUNTIF($D$4:$D$234,O$238&amp;" ضد "&amp;$A255))</f>
        <v>1</v>
      </c>
      <c r="P255" s="4">
        <f>IF($A255=P$238,"",COUNTIF($D$4:$D$234,$A255&amp;" ضد "&amp;P$238)+COUNTIF($D$4:$D$234,P$238&amp;" ضد "&amp;$A255))</f>
        <v>1</v>
      </c>
      <c r="Q255" s="4">
        <f>IF($A255=Q$238,"",COUNTIF($D$4:$D$234,$A255&amp;" ضد "&amp;Q$238)+COUNTIF($D$4:$D$234,Q$238&amp;" ضد "&amp;$A255))</f>
        <v>1</v>
      </c>
      <c r="R255" s="4" t="str">
        <f>IF($A255=R$238,"",COUNTIF($D$4:$D$234,$A255&amp;" ضد "&amp;R$238)+COUNTIF($D$4:$D$234,R$238&amp;" ضد "&amp;$A255))</f>
        <v/>
      </c>
      <c r="S255" s="4">
        <f>IF($A255=S$238,"",COUNTIF($D$4:$D$234,$A255&amp;" ضد "&amp;S$238)+COUNTIF($D$4:$D$234,S$238&amp;" ضد "&amp;$A255))</f>
        <v>1</v>
      </c>
      <c r="T255" s="4">
        <f>IF($A255=T$238,"",COUNTIF($D$4:$D$234,$A255&amp;" ضد "&amp;T$238)+COUNTIF($D$4:$D$234,T$238&amp;" ضد "&amp;$A255))</f>
        <v>1</v>
      </c>
      <c r="U255" s="4">
        <f>IF($A255=U$238,"",COUNTIF($D$4:$D$234,$A255&amp;" ضد "&amp;U$238)+COUNTIF($D$4:$D$234,U$238&amp;" ضد "&amp;$A255))</f>
        <v>1</v>
      </c>
      <c r="V255" s="4">
        <f>IF($A255=V$238,"",COUNTIF($D$4:$D$234,$A255&amp;" ضد "&amp;V$238)+COUNTIF($D$4:$D$234,V$238&amp;" ضد "&amp;$A255))</f>
        <v>1</v>
      </c>
      <c r="W255" s="4">
        <f>IF($A255=W$238,"",COUNTIF($D$4:$D$234,$A255&amp;" ضد "&amp;W$238)+COUNTIF($D$4:$D$234,W$238&amp;" ضد "&amp;$A255))</f>
        <v>1</v>
      </c>
    </row>
    <row r="256" spans="1:23" ht="14.5">
      <c r="A256" s="14">
        <v>18</v>
      </c>
      <c r="B256" s="4">
        <f>IF($A256=B$238,"",COUNTIF($D$4:$D$234,$A256&amp;" ضد "&amp;B$238)+COUNTIF($D$4:$D$234,B$238&amp;" ضد "&amp;$A256))</f>
        <v>1</v>
      </c>
      <c r="C256" s="4">
        <f>IF($A256=C$238,"",COUNTIF($D$4:$D$234,$A256&amp;" ضد "&amp;C$238)+COUNTIF($D$4:$D$234,C$238&amp;" ضد "&amp;$A256))</f>
        <v>1</v>
      </c>
      <c r="D256" s="4">
        <f>IF($A256=D$238,"",COUNTIF($D$4:$D$234,$A256&amp;" ضد "&amp;D$238)+COUNTIF($D$4:$D$234,D$238&amp;" ضد "&amp;$A256))</f>
        <v>1</v>
      </c>
      <c r="E256" s="4">
        <f>IF($A256=E$238,"",COUNTIF($D$4:$D$234,$A256&amp;" ضد "&amp;E$238)+COUNTIF($D$4:$D$234,E$238&amp;" ضد "&amp;$A256))</f>
        <v>1</v>
      </c>
      <c r="F256" s="4">
        <f>IF($A256=F$238,"",COUNTIF($D$4:$D$234,$A256&amp;" ضد "&amp;F$238)+COUNTIF($D$4:$D$234,F$238&amp;" ضد "&amp;$A256))</f>
        <v>1</v>
      </c>
      <c r="G256" s="4">
        <f>IF($A256=G$238,"",COUNTIF($D$4:$D$234,$A256&amp;" ضد "&amp;G$238)+COUNTIF($D$4:$D$234,G$238&amp;" ضد "&amp;$A256))</f>
        <v>1</v>
      </c>
      <c r="H256" s="4">
        <f>IF($A256=H$238,"",COUNTIF($D$4:$D$234,$A256&amp;" ضد "&amp;H$238)+COUNTIF($D$4:$D$234,H$238&amp;" ضد "&amp;$A256))</f>
        <v>1</v>
      </c>
      <c r="I256" s="4">
        <f>IF($A256=I$238,"",COUNTIF($D$4:$D$234,$A256&amp;" ضد "&amp;I$238)+COUNTIF($D$4:$D$234,I$238&amp;" ضد "&amp;$A256))</f>
        <v>1</v>
      </c>
      <c r="J256" s="4">
        <f>IF($A256=J$238,"",COUNTIF($D$4:$D$234,$A256&amp;" ضد "&amp;J$238)+COUNTIF($D$4:$D$234,J$238&amp;" ضد "&amp;$A256))</f>
        <v>1</v>
      </c>
      <c r="K256" s="4">
        <f>IF($A256=K$238,"",COUNTIF($D$4:$D$234,$A256&amp;" ضد "&amp;K$238)+COUNTIF($D$4:$D$234,K$238&amp;" ضد "&amp;$A256))</f>
        <v>1</v>
      </c>
      <c r="L256" s="4">
        <f>IF($A256=L$238,"",COUNTIF($D$4:$D$234,$A256&amp;" ضد "&amp;L$238)+COUNTIF($D$4:$D$234,L$238&amp;" ضد "&amp;$A256))</f>
        <v>1</v>
      </c>
      <c r="M256" s="4">
        <f>IF($A256=M$238,"",COUNTIF($D$4:$D$234,$A256&amp;" ضد "&amp;M$238)+COUNTIF($D$4:$D$234,M$238&amp;" ضد "&amp;$A256))</f>
        <v>1</v>
      </c>
      <c r="N256" s="4">
        <f>IF($A256=N$238,"",COUNTIF($D$4:$D$234,$A256&amp;" ضد "&amp;N$238)+COUNTIF($D$4:$D$234,N$238&amp;" ضد "&amp;$A256))</f>
        <v>1</v>
      </c>
      <c r="O256" s="4">
        <f>IF($A256=O$238,"",COUNTIF($D$4:$D$234,$A256&amp;" ضد "&amp;O$238)+COUNTIF($D$4:$D$234,O$238&amp;" ضد "&amp;$A256))</f>
        <v>1</v>
      </c>
      <c r="P256" s="4">
        <f>IF($A256=P$238,"",COUNTIF($D$4:$D$234,$A256&amp;" ضد "&amp;P$238)+COUNTIF($D$4:$D$234,P$238&amp;" ضد "&amp;$A256))</f>
        <v>1</v>
      </c>
      <c r="Q256" s="4">
        <f>IF($A256=Q$238,"",COUNTIF($D$4:$D$234,$A256&amp;" ضد "&amp;Q$238)+COUNTIF($D$4:$D$234,Q$238&amp;" ضد "&amp;$A256))</f>
        <v>1</v>
      </c>
      <c r="R256" s="4">
        <f>IF($A256=R$238,"",COUNTIF($D$4:$D$234,$A256&amp;" ضد "&amp;R$238)+COUNTIF($D$4:$D$234,R$238&amp;" ضد "&amp;$A256))</f>
        <v>1</v>
      </c>
      <c r="S256" s="4" t="str">
        <f>IF($A256=S$238,"",COUNTIF($D$4:$D$234,$A256&amp;" ضد "&amp;S$238)+COUNTIF($D$4:$D$234,S$238&amp;" ضد "&amp;$A256))</f>
        <v/>
      </c>
      <c r="T256" s="4">
        <f>IF($A256=T$238,"",COUNTIF($D$4:$D$234,$A256&amp;" ضد "&amp;T$238)+COUNTIF($D$4:$D$234,T$238&amp;" ضد "&amp;$A256))</f>
        <v>1</v>
      </c>
      <c r="U256" s="4">
        <f>IF($A256=U$238,"",COUNTIF($D$4:$D$234,$A256&amp;" ضد "&amp;U$238)+COUNTIF($D$4:$D$234,U$238&amp;" ضد "&amp;$A256))</f>
        <v>1</v>
      </c>
      <c r="V256" s="4">
        <f>IF($A256=V$238,"",COUNTIF($D$4:$D$234,$A256&amp;" ضد "&amp;V$238)+COUNTIF($D$4:$D$234,V$238&amp;" ضد "&amp;$A256))</f>
        <v>1</v>
      </c>
      <c r="W256" s="4">
        <f>IF($A256=W$238,"",COUNTIF($D$4:$D$234,$A256&amp;" ضد "&amp;W$238)+COUNTIF($D$4:$D$234,W$238&amp;" ضد "&amp;$A256))</f>
        <v>1</v>
      </c>
    </row>
    <row r="257" spans="1:23" ht="14.5">
      <c r="A257" s="14">
        <v>19</v>
      </c>
      <c r="B257" s="4">
        <f>IF($A257=B$238,"",COUNTIF($D$4:$D$234,$A257&amp;" ضد "&amp;B$238)+COUNTIF($D$4:$D$234,B$238&amp;" ضد "&amp;$A257))</f>
        <v>1</v>
      </c>
      <c r="C257" s="4">
        <f>IF($A257=C$238,"",COUNTIF($D$4:$D$234,$A257&amp;" ضد "&amp;C$238)+COUNTIF($D$4:$D$234,C$238&amp;" ضد "&amp;$A257))</f>
        <v>1</v>
      </c>
      <c r="D257" s="4">
        <f>IF($A257=D$238,"",COUNTIF($D$4:$D$234,$A257&amp;" ضد "&amp;D$238)+COUNTIF($D$4:$D$234,D$238&amp;" ضد "&amp;$A257))</f>
        <v>1</v>
      </c>
      <c r="E257" s="4">
        <f>IF($A257=E$238,"",COUNTIF($D$4:$D$234,$A257&amp;" ضد "&amp;E$238)+COUNTIF($D$4:$D$234,E$238&amp;" ضد "&amp;$A257))</f>
        <v>1</v>
      </c>
      <c r="F257" s="4">
        <f>IF($A257=F$238,"",COUNTIF($D$4:$D$234,$A257&amp;" ضد "&amp;F$238)+COUNTIF($D$4:$D$234,F$238&amp;" ضد "&amp;$A257))</f>
        <v>1</v>
      </c>
      <c r="G257" s="4">
        <f>IF($A257=G$238,"",COUNTIF($D$4:$D$234,$A257&amp;" ضد "&amp;G$238)+COUNTIF($D$4:$D$234,G$238&amp;" ضد "&amp;$A257))</f>
        <v>1</v>
      </c>
      <c r="H257" s="4">
        <f>IF($A257=H$238,"",COUNTIF($D$4:$D$234,$A257&amp;" ضد "&amp;H$238)+COUNTIF($D$4:$D$234,H$238&amp;" ضد "&amp;$A257))</f>
        <v>1</v>
      </c>
      <c r="I257" s="4">
        <f>IF($A257=I$238,"",COUNTIF($D$4:$D$234,$A257&amp;" ضد "&amp;I$238)+COUNTIF($D$4:$D$234,I$238&amp;" ضد "&amp;$A257))</f>
        <v>1</v>
      </c>
      <c r="J257" s="4">
        <f>IF($A257=J$238,"",COUNTIF($D$4:$D$234,$A257&amp;" ضد "&amp;J$238)+COUNTIF($D$4:$D$234,J$238&amp;" ضد "&amp;$A257))</f>
        <v>1</v>
      </c>
      <c r="K257" s="4">
        <f>IF($A257=K$238,"",COUNTIF($D$4:$D$234,$A257&amp;" ضد "&amp;K$238)+COUNTIF($D$4:$D$234,K$238&amp;" ضد "&amp;$A257))</f>
        <v>1</v>
      </c>
      <c r="L257" s="4">
        <f>IF($A257=L$238,"",COUNTIF($D$4:$D$234,$A257&amp;" ضد "&amp;L$238)+COUNTIF($D$4:$D$234,L$238&amp;" ضد "&amp;$A257))</f>
        <v>1</v>
      </c>
      <c r="M257" s="4">
        <f>IF($A257=M$238,"",COUNTIF($D$4:$D$234,$A257&amp;" ضد "&amp;M$238)+COUNTIF($D$4:$D$234,M$238&amp;" ضد "&amp;$A257))</f>
        <v>1</v>
      </c>
      <c r="N257" s="4">
        <f>IF($A257=N$238,"",COUNTIF($D$4:$D$234,$A257&amp;" ضد "&amp;N$238)+COUNTIF($D$4:$D$234,N$238&amp;" ضد "&amp;$A257))</f>
        <v>1</v>
      </c>
      <c r="O257" s="4">
        <f>IF($A257=O$238,"",COUNTIF($D$4:$D$234,$A257&amp;" ضد "&amp;O$238)+COUNTIF($D$4:$D$234,O$238&amp;" ضد "&amp;$A257))</f>
        <v>1</v>
      </c>
      <c r="P257" s="4">
        <f>IF($A257=P$238,"",COUNTIF($D$4:$D$234,$A257&amp;" ضد "&amp;P$238)+COUNTIF($D$4:$D$234,P$238&amp;" ضد "&amp;$A257))</f>
        <v>1</v>
      </c>
      <c r="Q257" s="4">
        <f>IF($A257=Q$238,"",COUNTIF($D$4:$D$234,$A257&amp;" ضد "&amp;Q$238)+COUNTIF($D$4:$D$234,Q$238&amp;" ضد "&amp;$A257))</f>
        <v>1</v>
      </c>
      <c r="R257" s="4">
        <f>IF($A257=R$238,"",COUNTIF($D$4:$D$234,$A257&amp;" ضد "&amp;R$238)+COUNTIF($D$4:$D$234,R$238&amp;" ضد "&amp;$A257))</f>
        <v>1</v>
      </c>
      <c r="S257" s="4">
        <f>IF($A257=S$238,"",COUNTIF($D$4:$D$234,$A257&amp;" ضد "&amp;S$238)+COUNTIF($D$4:$D$234,S$238&amp;" ضد "&amp;$A257))</f>
        <v>1</v>
      </c>
      <c r="T257" s="4" t="str">
        <f>IF($A257=T$238,"",COUNTIF($D$4:$D$234,$A257&amp;" ضد "&amp;T$238)+COUNTIF($D$4:$D$234,T$238&amp;" ضد "&amp;$A257))</f>
        <v/>
      </c>
      <c r="U257" s="4">
        <f>IF($A257=U$238,"",COUNTIF($D$4:$D$234,$A257&amp;" ضد "&amp;U$238)+COUNTIF($D$4:$D$234,U$238&amp;" ضد "&amp;$A257))</f>
        <v>1</v>
      </c>
      <c r="V257" s="4">
        <f>IF($A257=V$238,"",COUNTIF($D$4:$D$234,$A257&amp;" ضد "&amp;V$238)+COUNTIF($D$4:$D$234,V$238&amp;" ضد "&amp;$A257))</f>
        <v>1</v>
      </c>
      <c r="W257" s="4">
        <f>IF($A257=W$238,"",COUNTIF($D$4:$D$234,$A257&amp;" ضد "&amp;W$238)+COUNTIF($D$4:$D$234,W$238&amp;" ضد "&amp;$A257))</f>
        <v>1</v>
      </c>
    </row>
    <row r="258" spans="1:23" ht="14.5">
      <c r="A258" s="14">
        <v>20</v>
      </c>
      <c r="B258" s="4">
        <f>IF($A258=B$238,"",COUNTIF($D$4:$D$234,$A258&amp;" ضد "&amp;B$238)+COUNTIF($D$4:$D$234,B$238&amp;" ضد "&amp;$A258))</f>
        <v>1</v>
      </c>
      <c r="C258" s="4">
        <f>IF($A258=C$238,"",COUNTIF($D$4:$D$234,$A258&amp;" ضد "&amp;C$238)+COUNTIF($D$4:$D$234,C$238&amp;" ضد "&amp;$A258))</f>
        <v>1</v>
      </c>
      <c r="D258" s="4">
        <f>IF($A258=D$238,"",COUNTIF($D$4:$D$234,$A258&amp;" ضد "&amp;D$238)+COUNTIF($D$4:$D$234,D$238&amp;" ضد "&amp;$A258))</f>
        <v>1</v>
      </c>
      <c r="E258" s="4">
        <f>IF($A258=E$238,"",COUNTIF($D$4:$D$234,$A258&amp;" ضد "&amp;E$238)+COUNTIF($D$4:$D$234,E$238&amp;" ضد "&amp;$A258))</f>
        <v>1</v>
      </c>
      <c r="F258" s="4">
        <f>IF($A258=F$238,"",COUNTIF($D$4:$D$234,$A258&amp;" ضد "&amp;F$238)+COUNTIF($D$4:$D$234,F$238&amp;" ضد "&amp;$A258))</f>
        <v>1</v>
      </c>
      <c r="G258" s="4">
        <f>IF($A258=G$238,"",COUNTIF($D$4:$D$234,$A258&amp;" ضد "&amp;G$238)+COUNTIF($D$4:$D$234,G$238&amp;" ضد "&amp;$A258))</f>
        <v>1</v>
      </c>
      <c r="H258" s="4">
        <f>IF($A258=H$238,"",COUNTIF($D$4:$D$234,$A258&amp;" ضد "&amp;H$238)+COUNTIF($D$4:$D$234,H$238&amp;" ضد "&amp;$A258))</f>
        <v>1</v>
      </c>
      <c r="I258" s="4">
        <f>IF($A258=I$238,"",COUNTIF($D$4:$D$234,$A258&amp;" ضد "&amp;I$238)+COUNTIF($D$4:$D$234,I$238&amp;" ضد "&amp;$A258))</f>
        <v>1</v>
      </c>
      <c r="J258" s="4">
        <f>IF($A258=J$238,"",COUNTIF($D$4:$D$234,$A258&amp;" ضد "&amp;J$238)+COUNTIF($D$4:$D$234,J$238&amp;" ضد "&amp;$A258))</f>
        <v>1</v>
      </c>
      <c r="K258" s="4">
        <f>IF($A258=K$238,"",COUNTIF($D$4:$D$234,$A258&amp;" ضد "&amp;K$238)+COUNTIF($D$4:$D$234,K$238&amp;" ضد "&amp;$A258))</f>
        <v>1</v>
      </c>
      <c r="L258" s="4">
        <f>IF($A258=L$238,"",COUNTIF($D$4:$D$234,$A258&amp;" ضد "&amp;L$238)+COUNTIF($D$4:$D$234,L$238&amp;" ضد "&amp;$A258))</f>
        <v>1</v>
      </c>
      <c r="M258" s="4">
        <f>IF($A258=M$238,"",COUNTIF($D$4:$D$234,$A258&amp;" ضد "&amp;M$238)+COUNTIF($D$4:$D$234,M$238&amp;" ضد "&amp;$A258))</f>
        <v>1</v>
      </c>
      <c r="N258" s="4">
        <f>IF($A258=N$238,"",COUNTIF($D$4:$D$234,$A258&amp;" ضد "&amp;N$238)+COUNTIF($D$4:$D$234,N$238&amp;" ضد "&amp;$A258))</f>
        <v>1</v>
      </c>
      <c r="O258" s="4">
        <f>IF($A258=O$238,"",COUNTIF($D$4:$D$234,$A258&amp;" ضد "&amp;O$238)+COUNTIF($D$4:$D$234,O$238&amp;" ضد "&amp;$A258))</f>
        <v>1</v>
      </c>
      <c r="P258" s="4">
        <f>IF($A258=P$238,"",COUNTIF($D$4:$D$234,$A258&amp;" ضد "&amp;P$238)+COUNTIF($D$4:$D$234,P$238&amp;" ضد "&amp;$A258))</f>
        <v>1</v>
      </c>
      <c r="Q258" s="4">
        <f>IF($A258=Q$238,"",COUNTIF($D$4:$D$234,$A258&amp;" ضد "&amp;Q$238)+COUNTIF($D$4:$D$234,Q$238&amp;" ضد "&amp;$A258))</f>
        <v>1</v>
      </c>
      <c r="R258" s="4">
        <f>IF($A258=R$238,"",COUNTIF($D$4:$D$234,$A258&amp;" ضد "&amp;R$238)+COUNTIF($D$4:$D$234,R$238&amp;" ضد "&amp;$A258))</f>
        <v>1</v>
      </c>
      <c r="S258" s="4">
        <f>IF($A258=S$238,"",COUNTIF($D$4:$D$234,$A258&amp;" ضد "&amp;S$238)+COUNTIF($D$4:$D$234,S$238&amp;" ضد "&amp;$A258))</f>
        <v>1</v>
      </c>
      <c r="T258" s="4">
        <f>IF($A258=T$238,"",COUNTIF($D$4:$D$234,$A258&amp;" ضد "&amp;T$238)+COUNTIF($D$4:$D$234,T$238&amp;" ضد "&amp;$A258))</f>
        <v>1</v>
      </c>
      <c r="U258" s="4" t="str">
        <f>IF($A258=U$238,"",COUNTIF($D$4:$D$234,$A258&amp;" ضد "&amp;U$238)+COUNTIF($D$4:$D$234,U$238&amp;" ضد "&amp;$A258))</f>
        <v/>
      </c>
      <c r="V258" s="4">
        <f>IF($A258=V$238,"",COUNTIF($D$4:$D$234,$A258&amp;" ضد "&amp;V$238)+COUNTIF($D$4:$D$234,V$238&amp;" ضد "&amp;$A258))</f>
        <v>1</v>
      </c>
      <c r="W258" s="4">
        <f>IF($A258=W$238,"",COUNTIF($D$4:$D$234,$A258&amp;" ضد "&amp;W$238)+COUNTIF($D$4:$D$234,W$238&amp;" ضد "&amp;$A258))</f>
        <v>1</v>
      </c>
    </row>
    <row r="259" spans="1:23" ht="14.5">
      <c r="A259" s="14">
        <v>21</v>
      </c>
      <c r="B259" s="4">
        <f>IF($A259=B$238,"",COUNTIF($D$4:$D$234,$A259&amp;" ضد "&amp;B$238)+COUNTIF($D$4:$D$234,B$238&amp;" ضد "&amp;$A259))</f>
        <v>1</v>
      </c>
      <c r="C259" s="4">
        <f>IF($A259=C$238,"",COUNTIF($D$4:$D$234,$A259&amp;" ضد "&amp;C$238)+COUNTIF($D$4:$D$234,C$238&amp;" ضد "&amp;$A259))</f>
        <v>1</v>
      </c>
      <c r="D259" s="4">
        <f>IF($A259=D$238,"",COUNTIF($D$4:$D$234,$A259&amp;" ضد "&amp;D$238)+COUNTIF($D$4:$D$234,D$238&amp;" ضد "&amp;$A259))</f>
        <v>1</v>
      </c>
      <c r="E259" s="4">
        <f>IF($A259=E$238,"",COUNTIF($D$4:$D$234,$A259&amp;" ضد "&amp;E$238)+COUNTIF($D$4:$D$234,E$238&amp;" ضد "&amp;$A259))</f>
        <v>1</v>
      </c>
      <c r="F259" s="4">
        <f>IF($A259=F$238,"",COUNTIF($D$4:$D$234,$A259&amp;" ضد "&amp;F$238)+COUNTIF($D$4:$D$234,F$238&amp;" ضد "&amp;$A259))</f>
        <v>1</v>
      </c>
      <c r="G259" s="4">
        <f>IF($A259=G$238,"",COUNTIF($D$4:$D$234,$A259&amp;" ضد "&amp;G$238)+COUNTIF($D$4:$D$234,G$238&amp;" ضد "&amp;$A259))</f>
        <v>1</v>
      </c>
      <c r="H259" s="4">
        <f>IF($A259=H$238,"",COUNTIF($D$4:$D$234,$A259&amp;" ضد "&amp;H$238)+COUNTIF($D$4:$D$234,H$238&amp;" ضد "&amp;$A259))</f>
        <v>1</v>
      </c>
      <c r="I259" s="4">
        <f>IF($A259=I$238,"",COUNTIF($D$4:$D$234,$A259&amp;" ضد "&amp;I$238)+COUNTIF($D$4:$D$234,I$238&amp;" ضد "&amp;$A259))</f>
        <v>1</v>
      </c>
      <c r="J259" s="4">
        <f>IF($A259=J$238,"",COUNTIF($D$4:$D$234,$A259&amp;" ضد "&amp;J$238)+COUNTIF($D$4:$D$234,J$238&amp;" ضد "&amp;$A259))</f>
        <v>1</v>
      </c>
      <c r="K259" s="4">
        <f>IF($A259=K$238,"",COUNTIF($D$4:$D$234,$A259&amp;" ضد "&amp;K$238)+COUNTIF($D$4:$D$234,K$238&amp;" ضد "&amp;$A259))</f>
        <v>1</v>
      </c>
      <c r="L259" s="4">
        <f>IF($A259=L$238,"",COUNTIF($D$4:$D$234,$A259&amp;" ضد "&amp;L$238)+COUNTIF($D$4:$D$234,L$238&amp;" ضد "&amp;$A259))</f>
        <v>1</v>
      </c>
      <c r="M259" s="4">
        <f>IF($A259=M$238,"",COUNTIF($D$4:$D$234,$A259&amp;" ضد "&amp;M$238)+COUNTIF($D$4:$D$234,M$238&amp;" ضد "&amp;$A259))</f>
        <v>1</v>
      </c>
      <c r="N259" s="4">
        <f>IF($A259=N$238,"",COUNTIF($D$4:$D$234,$A259&amp;" ضد "&amp;N$238)+COUNTIF($D$4:$D$234,N$238&amp;" ضد "&amp;$A259))</f>
        <v>1</v>
      </c>
      <c r="O259" s="4">
        <f>IF($A259=O$238,"",COUNTIF($D$4:$D$234,$A259&amp;" ضد "&amp;O$238)+COUNTIF($D$4:$D$234,O$238&amp;" ضد "&amp;$A259))</f>
        <v>1</v>
      </c>
      <c r="P259" s="4">
        <f>IF($A259=P$238,"",COUNTIF($D$4:$D$234,$A259&amp;" ضد "&amp;P$238)+COUNTIF($D$4:$D$234,P$238&amp;" ضد "&amp;$A259))</f>
        <v>1</v>
      </c>
      <c r="Q259" s="4">
        <f>IF($A259=Q$238,"",COUNTIF($D$4:$D$234,$A259&amp;" ضد "&amp;Q$238)+COUNTIF($D$4:$D$234,Q$238&amp;" ضد "&amp;$A259))</f>
        <v>1</v>
      </c>
      <c r="R259" s="4">
        <f>IF($A259=R$238,"",COUNTIF($D$4:$D$234,$A259&amp;" ضد "&amp;R$238)+COUNTIF($D$4:$D$234,R$238&amp;" ضد "&amp;$A259))</f>
        <v>1</v>
      </c>
      <c r="S259" s="4">
        <f>IF($A259=S$238,"",COUNTIF($D$4:$D$234,$A259&amp;" ضد "&amp;S$238)+COUNTIF($D$4:$D$234,S$238&amp;" ضد "&amp;$A259))</f>
        <v>1</v>
      </c>
      <c r="T259" s="4">
        <f>IF($A259=T$238,"",COUNTIF($D$4:$D$234,$A259&amp;" ضد "&amp;T$238)+COUNTIF($D$4:$D$234,T$238&amp;" ضد "&amp;$A259))</f>
        <v>1</v>
      </c>
      <c r="U259" s="4">
        <f>IF($A259=U$238,"",COUNTIF($D$4:$D$234,$A259&amp;" ضد "&amp;U$238)+COUNTIF($D$4:$D$234,U$238&amp;" ضد "&amp;$A259))</f>
        <v>1</v>
      </c>
      <c r="V259" s="4" t="str">
        <f>IF($A259=V$238,"",COUNTIF($D$4:$D$234,$A259&amp;" ضد "&amp;V$238)+COUNTIF($D$4:$D$234,V$238&amp;" ضد "&amp;$A259))</f>
        <v/>
      </c>
      <c r="W259" s="4">
        <f>IF($A259=W$238,"",COUNTIF($D$4:$D$234,$A259&amp;" ضد "&amp;W$238)+COUNTIF($D$4:$D$234,W$238&amp;" ضد "&amp;$A259))</f>
        <v>1</v>
      </c>
    </row>
    <row r="260" spans="1:23" ht="14.5">
      <c r="A260" s="14">
        <v>22</v>
      </c>
      <c r="B260" s="4">
        <f>IF($A260=B$238,"",COUNTIF($D$4:$D$234,$A260&amp;" ضد "&amp;B$238)+COUNTIF($D$4:$D$234,B$238&amp;" ضد "&amp;$A260))</f>
        <v>1</v>
      </c>
      <c r="C260" s="4">
        <f>IF($A260=C$238,"",COUNTIF($D$4:$D$234,$A260&amp;" ضد "&amp;C$238)+COUNTIF($D$4:$D$234,C$238&amp;" ضد "&amp;$A260))</f>
        <v>1</v>
      </c>
      <c r="D260" s="4">
        <f>IF($A260=D$238,"",COUNTIF($D$4:$D$234,$A260&amp;" ضد "&amp;D$238)+COUNTIF($D$4:$D$234,D$238&amp;" ضد "&amp;$A260))</f>
        <v>1</v>
      </c>
      <c r="E260" s="4">
        <f>IF($A260=E$238,"",COUNTIF($D$4:$D$234,$A260&amp;" ضد "&amp;E$238)+COUNTIF($D$4:$D$234,E$238&amp;" ضد "&amp;$A260))</f>
        <v>1</v>
      </c>
      <c r="F260" s="4">
        <f>IF($A260=F$238,"",COUNTIF($D$4:$D$234,$A260&amp;" ضد "&amp;F$238)+COUNTIF($D$4:$D$234,F$238&amp;" ضد "&amp;$A260))</f>
        <v>1</v>
      </c>
      <c r="G260" s="4">
        <f>IF($A260=G$238,"",COUNTIF($D$4:$D$234,$A260&amp;" ضد "&amp;G$238)+COUNTIF($D$4:$D$234,G$238&amp;" ضد "&amp;$A260))</f>
        <v>1</v>
      </c>
      <c r="H260" s="4">
        <f>IF($A260=H$238,"",COUNTIF($D$4:$D$234,$A260&amp;" ضد "&amp;H$238)+COUNTIF($D$4:$D$234,H$238&amp;" ضد "&amp;$A260))</f>
        <v>1</v>
      </c>
      <c r="I260" s="4">
        <f>IF($A260=I$238,"",COUNTIF($D$4:$D$234,$A260&amp;" ضد "&amp;I$238)+COUNTIF($D$4:$D$234,I$238&amp;" ضد "&amp;$A260))</f>
        <v>1</v>
      </c>
      <c r="J260" s="4">
        <f>IF($A260=J$238,"",COUNTIF($D$4:$D$234,$A260&amp;" ضد "&amp;J$238)+COUNTIF($D$4:$D$234,J$238&amp;" ضد "&amp;$A260))</f>
        <v>1</v>
      </c>
      <c r="K260" s="4">
        <f>IF($A260=K$238,"",COUNTIF($D$4:$D$234,$A260&amp;" ضد "&amp;K$238)+COUNTIF($D$4:$D$234,K$238&amp;" ضد "&amp;$A260))</f>
        <v>1</v>
      </c>
      <c r="L260" s="4">
        <f>IF($A260=L$238,"",COUNTIF($D$4:$D$234,$A260&amp;" ضد "&amp;L$238)+COUNTIF($D$4:$D$234,L$238&amp;" ضد "&amp;$A260))</f>
        <v>1</v>
      </c>
      <c r="M260" s="4">
        <f>IF($A260=M$238,"",COUNTIF($D$4:$D$234,$A260&amp;" ضد "&amp;M$238)+COUNTIF($D$4:$D$234,M$238&amp;" ضد "&amp;$A260))</f>
        <v>1</v>
      </c>
      <c r="N260" s="4">
        <f>IF($A260=N$238,"",COUNTIF($D$4:$D$234,$A260&amp;" ضد "&amp;N$238)+COUNTIF($D$4:$D$234,N$238&amp;" ضد "&amp;$A260))</f>
        <v>1</v>
      </c>
      <c r="O260" s="4">
        <f>IF($A260=O$238,"",COUNTIF($D$4:$D$234,$A260&amp;" ضد "&amp;O$238)+COUNTIF($D$4:$D$234,O$238&amp;" ضد "&amp;$A260))</f>
        <v>1</v>
      </c>
      <c r="P260" s="4">
        <f>IF($A260=P$238,"",COUNTIF($D$4:$D$234,$A260&amp;" ضد "&amp;P$238)+COUNTIF($D$4:$D$234,P$238&amp;" ضد "&amp;$A260))</f>
        <v>1</v>
      </c>
      <c r="Q260" s="4">
        <f>IF($A260=Q$238,"",COUNTIF($D$4:$D$234,$A260&amp;" ضد "&amp;Q$238)+COUNTIF($D$4:$D$234,Q$238&amp;" ضد "&amp;$A260))</f>
        <v>1</v>
      </c>
      <c r="R260" s="4">
        <f>IF($A260=R$238,"",COUNTIF($D$4:$D$234,$A260&amp;" ضد "&amp;R$238)+COUNTIF($D$4:$D$234,R$238&amp;" ضد "&amp;$A260))</f>
        <v>1</v>
      </c>
      <c r="S260" s="4">
        <f>IF($A260=S$238,"",COUNTIF($D$4:$D$234,$A260&amp;" ضد "&amp;S$238)+COUNTIF($D$4:$D$234,S$238&amp;" ضد "&amp;$A260))</f>
        <v>1</v>
      </c>
      <c r="T260" s="4">
        <f>IF($A260=T$238,"",COUNTIF($D$4:$D$234,$A260&amp;" ضد "&amp;T$238)+COUNTIF($D$4:$D$234,T$238&amp;" ضد "&amp;$A260))</f>
        <v>1</v>
      </c>
      <c r="U260" s="4">
        <f>IF($A260=U$238,"",COUNTIF($D$4:$D$234,$A260&amp;" ضد "&amp;U$238)+COUNTIF($D$4:$D$234,U$238&amp;" ضد "&amp;$A260))</f>
        <v>1</v>
      </c>
      <c r="V260" s="4">
        <f>IF($A260=V$238,"",COUNTIF($D$4:$D$234,$A260&amp;" ضد "&amp;V$238)+COUNTIF($D$4:$D$234,V$238&amp;" ضد "&amp;$A260))</f>
        <v>1</v>
      </c>
      <c r="W260" s="4" t="str">
        <f>IF($A260=W$238,"",COUNTIF($D$4:$D$234,$A260&amp;" ضد "&amp;W$238)+COUNTIF($D$4:$D$234,W$238&amp;" ضد "&amp;$A260))</f>
        <v/>
      </c>
    </row>
    <row r="261" spans="1:23" ht="14.5">
      <c r="A261" s="14" t="s">
        <v>1033</v>
      </c>
      <c r="B261" s="4" cm="1">
        <f t="array" ref="B261">MIN(IF(B239:W260&gt;0,B239:W260))</f>
        <v>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.5">
      <c r="A262" s="14" t="s">
        <v>830</v>
      </c>
      <c r="B262" s="4">
        <f>MAX(B239:W260)</f>
        <v>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</sheetData>
  <mergeCells count="2">
    <mergeCell ref="A1:D1"/>
    <mergeCell ref="A237:W2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971E-DF60-4DD9-A821-064CBBE8269B}">
  <dimension ref="A1:X240"/>
  <sheetViews>
    <sheetView rightToLeft="1" workbookViewId="0">
      <pane ySplit="3" topLeftCell="A233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995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34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23</v>
      </c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593</v>
      </c>
      <c r="E6" s="7" t="s">
        <v>50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593</v>
      </c>
      <c r="E7" s="7" t="s">
        <v>35</v>
      </c>
      <c r="F7" s="2"/>
    </row>
    <row r="8" spans="1:6" ht="14" customHeight="1">
      <c r="A8" s="8">
        <v>1</v>
      </c>
      <c r="B8" s="7" t="str">
        <f>المدخلات!$F$6</f>
        <v>6:40–7:50 م</v>
      </c>
      <c r="C8" s="7">
        <v>1</v>
      </c>
      <c r="D8" s="7" t="s">
        <v>593</v>
      </c>
      <c r="E8" s="7" t="s">
        <v>62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593</v>
      </c>
      <c r="E9" s="7" t="s">
        <v>55</v>
      </c>
      <c r="F9" s="2"/>
    </row>
    <row r="10" spans="1:6" ht="14" customHeight="1">
      <c r="A10" s="8">
        <v>1</v>
      </c>
      <c r="B10" s="7" t="str">
        <f>المدخلات!$F$4</f>
        <v>4:00–5:10 م</v>
      </c>
      <c r="C10" s="7">
        <v>3</v>
      </c>
      <c r="D10" s="7" t="s">
        <v>594</v>
      </c>
      <c r="E10" s="7" t="s">
        <v>226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197</v>
      </c>
      <c r="F11" s="2"/>
    </row>
    <row r="12" spans="1:6" ht="14" customHeight="1">
      <c r="A12" s="8">
        <v>1</v>
      </c>
      <c r="B12" s="7" t="str">
        <f>المدخلات!$F$5</f>
        <v>5:20–6:30 م</v>
      </c>
      <c r="C12" s="7">
        <v>3</v>
      </c>
      <c r="D12" s="7" t="s">
        <v>594</v>
      </c>
      <c r="E12" s="7" t="s">
        <v>834</v>
      </c>
      <c r="F12" s="2"/>
    </row>
    <row r="13" spans="1:6" ht="14" customHeight="1">
      <c r="A13" s="8">
        <v>1</v>
      </c>
      <c r="B13" s="7" t="str">
        <f>المدخلات!$F$5</f>
        <v>5:20–6:30 م</v>
      </c>
      <c r="C13" s="7">
        <v>4</v>
      </c>
      <c r="D13" s="7" t="s">
        <v>594</v>
      </c>
      <c r="E13" s="7" t="s">
        <v>177</v>
      </c>
      <c r="F13" s="2"/>
    </row>
    <row r="14" spans="1:6" ht="14" customHeight="1">
      <c r="A14" s="8">
        <v>1</v>
      </c>
      <c r="B14" s="7" t="str">
        <f>المدخلات!$F$6</f>
        <v>6:40–7:50 م</v>
      </c>
      <c r="C14" s="7">
        <v>3</v>
      </c>
      <c r="D14" s="7" t="s">
        <v>594</v>
      </c>
      <c r="E14" s="7" t="s">
        <v>212</v>
      </c>
      <c r="F14" s="2"/>
    </row>
    <row r="15" spans="1:6" ht="14" customHeight="1">
      <c r="A15" s="8">
        <v>2</v>
      </c>
      <c r="B15" s="7" t="str">
        <f>المدخلات!$F$4</f>
        <v>4:00–5:10 م</v>
      </c>
      <c r="C15" s="7">
        <v>1</v>
      </c>
      <c r="D15" s="7" t="s">
        <v>593</v>
      </c>
      <c r="E15" s="7" t="s">
        <v>64</v>
      </c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2</v>
      </c>
      <c r="D16" s="7" t="s">
        <v>593</v>
      </c>
      <c r="E16" s="7" t="s">
        <v>1052</v>
      </c>
      <c r="F16" s="2"/>
    </row>
    <row r="17" spans="1:6" ht="14" customHeight="1">
      <c r="A17" s="8">
        <v>2</v>
      </c>
      <c r="B17" s="7" t="str">
        <f>المدخلات!$F$5</f>
        <v>5:20–6:30 م</v>
      </c>
      <c r="C17" s="7">
        <v>1</v>
      </c>
      <c r="D17" s="7" t="s">
        <v>593</v>
      </c>
      <c r="E17" s="7" t="s">
        <v>866</v>
      </c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2</v>
      </c>
      <c r="D18" s="7" t="s">
        <v>593</v>
      </c>
      <c r="E18" s="7" t="s">
        <v>16</v>
      </c>
      <c r="F18" s="2"/>
    </row>
    <row r="19" spans="1:6" ht="14" customHeight="1">
      <c r="A19" s="8">
        <v>2</v>
      </c>
      <c r="B19" s="7" t="str">
        <f>المدخلات!$F$6</f>
        <v>6:40–7:50 م</v>
      </c>
      <c r="C19" s="7">
        <v>1</v>
      </c>
      <c r="D19" s="7" t="s">
        <v>593</v>
      </c>
      <c r="E19" s="7" t="s">
        <v>1048</v>
      </c>
      <c r="F19" s="2"/>
    </row>
    <row r="20" spans="1:6" ht="14" customHeight="1">
      <c r="A20" s="8">
        <v>2</v>
      </c>
      <c r="B20" s="7" t="str">
        <f>المدخلات!$F$6</f>
        <v>6:40–7:50 م</v>
      </c>
      <c r="C20" s="7">
        <v>2</v>
      </c>
      <c r="D20" s="7" t="s">
        <v>593</v>
      </c>
      <c r="E20" s="7" t="s">
        <v>1044</v>
      </c>
      <c r="F20" s="2"/>
    </row>
    <row r="21" spans="1:6" ht="14" customHeight="1">
      <c r="A21" s="8">
        <v>2</v>
      </c>
      <c r="B21" s="7" t="str">
        <f>المدخلات!$F$4</f>
        <v>4:00–5:10 م</v>
      </c>
      <c r="C21" s="7">
        <v>3</v>
      </c>
      <c r="D21" s="7" t="s">
        <v>594</v>
      </c>
      <c r="E21" s="7" t="s">
        <v>1145</v>
      </c>
      <c r="F21" s="2"/>
    </row>
    <row r="22" spans="1:6" ht="14" customHeight="1">
      <c r="A22" s="8">
        <v>2</v>
      </c>
      <c r="B22" s="7" t="str">
        <f>المدخلات!$F$4</f>
        <v>4:00–5:10 م</v>
      </c>
      <c r="C22" s="7">
        <v>4</v>
      </c>
      <c r="D22" s="7" t="s">
        <v>594</v>
      </c>
      <c r="E22" s="7" t="s">
        <v>855</v>
      </c>
      <c r="F22" s="2"/>
    </row>
    <row r="23" spans="1:6" ht="14" customHeight="1">
      <c r="A23" s="8">
        <v>2</v>
      </c>
      <c r="B23" s="7" t="str">
        <f>المدخلات!$F$5</f>
        <v>5:20–6:30 م</v>
      </c>
      <c r="C23" s="7">
        <v>3</v>
      </c>
      <c r="D23" s="7" t="s">
        <v>594</v>
      </c>
      <c r="E23" s="7" t="s">
        <v>1146</v>
      </c>
      <c r="F23" s="2"/>
    </row>
    <row r="24" spans="1:6" ht="14" customHeight="1">
      <c r="A24" s="8">
        <v>2</v>
      </c>
      <c r="B24" s="7" t="str">
        <f>المدخلات!$F$5</f>
        <v>5:20–6:30 م</v>
      </c>
      <c r="C24" s="7">
        <v>4</v>
      </c>
      <c r="D24" s="7" t="s">
        <v>594</v>
      </c>
      <c r="E24" s="7" t="s">
        <v>835</v>
      </c>
      <c r="F24" s="2"/>
    </row>
    <row r="25" spans="1:6" ht="14" customHeight="1">
      <c r="A25" s="8">
        <v>2</v>
      </c>
      <c r="B25" s="7" t="str">
        <f>المدخلات!$F$6</f>
        <v>6:40–7:50 م</v>
      </c>
      <c r="C25" s="7">
        <v>3</v>
      </c>
      <c r="D25" s="7" t="s">
        <v>594</v>
      </c>
      <c r="E25" s="7" t="s">
        <v>161</v>
      </c>
      <c r="F25" s="2"/>
    </row>
    <row r="26" spans="1:6" ht="14" customHeight="1">
      <c r="A26" s="8">
        <v>3</v>
      </c>
      <c r="B26" s="7" t="str">
        <f>المدخلات!$F$4</f>
        <v>4:00–5:10 م</v>
      </c>
      <c r="C26" s="7">
        <v>1</v>
      </c>
      <c r="D26" s="7" t="s">
        <v>593</v>
      </c>
      <c r="E26" s="7" t="s">
        <v>12</v>
      </c>
      <c r="F26" s="2"/>
    </row>
    <row r="27" spans="1:6" ht="14" customHeight="1">
      <c r="A27" s="8">
        <v>3</v>
      </c>
      <c r="B27" s="7" t="str">
        <f>المدخلات!$F$4</f>
        <v>4:00–5:10 م</v>
      </c>
      <c r="C27" s="7">
        <v>2</v>
      </c>
      <c r="D27" s="7" t="s">
        <v>593</v>
      </c>
      <c r="E27" s="7" t="s">
        <v>10</v>
      </c>
      <c r="F27" s="2"/>
    </row>
    <row r="28" spans="1:6" ht="14" customHeight="1">
      <c r="A28" s="8">
        <v>3</v>
      </c>
      <c r="B28" s="7" t="str">
        <f>المدخلات!$F$5</f>
        <v>5:20–6:30 م</v>
      </c>
      <c r="C28" s="7">
        <v>1</v>
      </c>
      <c r="D28" s="7" t="s">
        <v>593</v>
      </c>
      <c r="E28" s="7" t="s">
        <v>722</v>
      </c>
      <c r="F28" s="2"/>
    </row>
    <row r="29" spans="1:6" ht="14" customHeight="1">
      <c r="A29" s="8">
        <v>3</v>
      </c>
      <c r="B29" s="7" t="str">
        <f>المدخلات!$F$5</f>
        <v>5:20–6:30 م</v>
      </c>
      <c r="C29" s="7">
        <v>2</v>
      </c>
      <c r="D29" s="7" t="s">
        <v>593</v>
      </c>
      <c r="E29" s="7" t="s">
        <v>22</v>
      </c>
      <c r="F29" s="2"/>
    </row>
    <row r="30" spans="1:6" ht="14" customHeight="1">
      <c r="A30" s="8">
        <v>3</v>
      </c>
      <c r="B30" s="7" t="str">
        <f>المدخلات!$F$6</f>
        <v>6:40–7:50 م</v>
      </c>
      <c r="C30" s="7">
        <v>1</v>
      </c>
      <c r="D30" s="7" t="s">
        <v>593</v>
      </c>
      <c r="E30" s="7" t="s">
        <v>43</v>
      </c>
      <c r="F30" s="2"/>
    </row>
    <row r="31" spans="1:6" ht="14" customHeight="1">
      <c r="A31" s="8">
        <v>3</v>
      </c>
      <c r="B31" s="7" t="str">
        <f>المدخلات!$F$6</f>
        <v>6:40–7:50 م</v>
      </c>
      <c r="C31" s="7">
        <v>2</v>
      </c>
      <c r="D31" s="7" t="s">
        <v>593</v>
      </c>
      <c r="E31" s="7" t="s">
        <v>52</v>
      </c>
      <c r="F31" s="2"/>
    </row>
    <row r="32" spans="1:6" ht="14" customHeight="1">
      <c r="A32" s="8">
        <v>3</v>
      </c>
      <c r="B32" s="7" t="str">
        <f>المدخلات!$F$4</f>
        <v>4:00–5:10 م</v>
      </c>
      <c r="C32" s="7">
        <v>3</v>
      </c>
      <c r="D32" s="7" t="s">
        <v>594</v>
      </c>
      <c r="E32" s="7" t="s">
        <v>611</v>
      </c>
      <c r="F32" s="2"/>
    </row>
    <row r="33" spans="1:6" ht="14" customHeight="1">
      <c r="A33" s="8">
        <v>3</v>
      </c>
      <c r="B33" s="7" t="str">
        <f>المدخلات!$F$4</f>
        <v>4:00–5:10 م</v>
      </c>
      <c r="C33" s="7">
        <v>4</v>
      </c>
      <c r="D33" s="7" t="s">
        <v>594</v>
      </c>
      <c r="E33" s="7" t="s">
        <v>162</v>
      </c>
      <c r="F33" s="2"/>
    </row>
    <row r="34" spans="1:6" ht="14" customHeight="1">
      <c r="A34" s="8">
        <v>3</v>
      </c>
      <c r="B34" s="7" t="str">
        <f>المدخلات!$F$5</f>
        <v>5:20–6:30 م</v>
      </c>
      <c r="C34" s="7">
        <v>3</v>
      </c>
      <c r="D34" s="7" t="s">
        <v>594</v>
      </c>
      <c r="E34" s="7" t="s">
        <v>151</v>
      </c>
      <c r="F34" s="2"/>
    </row>
    <row r="35" spans="1:6" ht="14" customHeight="1">
      <c r="A35" s="8">
        <v>3</v>
      </c>
      <c r="B35" s="7" t="str">
        <f>المدخلات!$F$5</f>
        <v>5:20–6:30 م</v>
      </c>
      <c r="C35" s="7">
        <v>4</v>
      </c>
      <c r="D35" s="7" t="s">
        <v>594</v>
      </c>
      <c r="E35" s="7" t="s">
        <v>179</v>
      </c>
      <c r="F35" s="2"/>
    </row>
    <row r="36" spans="1:6" ht="14" customHeight="1">
      <c r="A36" s="8">
        <v>3</v>
      </c>
      <c r="B36" s="7" t="str">
        <f>المدخلات!$F$6</f>
        <v>6:40–7:50 م</v>
      </c>
      <c r="C36" s="7">
        <v>3</v>
      </c>
      <c r="D36" s="7" t="s">
        <v>594</v>
      </c>
      <c r="E36" s="7" t="s">
        <v>850</v>
      </c>
      <c r="F36" s="2"/>
    </row>
    <row r="37" spans="1:6" ht="14" customHeight="1">
      <c r="A37" s="8">
        <v>4</v>
      </c>
      <c r="B37" s="7" t="str">
        <f>المدخلات!$F$4</f>
        <v>4:00–5:10 م</v>
      </c>
      <c r="C37" s="7">
        <v>1</v>
      </c>
      <c r="D37" s="7" t="s">
        <v>593</v>
      </c>
      <c r="E37" s="7" t="s">
        <v>60</v>
      </c>
      <c r="F37" s="2"/>
    </row>
    <row r="38" spans="1:6" ht="14" customHeight="1">
      <c r="A38" s="8">
        <v>4</v>
      </c>
      <c r="B38" s="7" t="str">
        <f>المدخلات!$F$4</f>
        <v>4:00–5:10 م</v>
      </c>
      <c r="C38" s="7">
        <v>2</v>
      </c>
      <c r="D38" s="7" t="s">
        <v>593</v>
      </c>
      <c r="E38" s="7" t="s">
        <v>36</v>
      </c>
      <c r="F38" s="2"/>
    </row>
    <row r="39" spans="1:6" ht="14" customHeight="1">
      <c r="A39" s="8">
        <v>4</v>
      </c>
      <c r="B39" s="7" t="str">
        <f>المدخلات!$F$5</f>
        <v>5:20–6:30 م</v>
      </c>
      <c r="C39" s="7">
        <v>1</v>
      </c>
      <c r="D39" s="7" t="s">
        <v>593</v>
      </c>
      <c r="E39" s="7" t="s">
        <v>19</v>
      </c>
      <c r="F39" s="2"/>
    </row>
    <row r="40" spans="1:6" ht="14" customHeight="1">
      <c r="A40" s="8">
        <v>4</v>
      </c>
      <c r="B40" s="7" t="str">
        <f>المدخلات!$F$5</f>
        <v>5:20–6:30 م</v>
      </c>
      <c r="C40" s="7">
        <v>2</v>
      </c>
      <c r="D40" s="7" t="s">
        <v>593</v>
      </c>
      <c r="E40" s="7" t="s">
        <v>45</v>
      </c>
      <c r="F40" s="2"/>
    </row>
    <row r="41" spans="1:6" ht="14" customHeight="1">
      <c r="A41" s="8">
        <v>4</v>
      </c>
      <c r="B41" s="7" t="str">
        <f>المدخلات!$F$6</f>
        <v>6:40–7:50 م</v>
      </c>
      <c r="C41" s="7">
        <v>1</v>
      </c>
      <c r="D41" s="7" t="s">
        <v>593</v>
      </c>
      <c r="E41" s="7" t="s">
        <v>69</v>
      </c>
      <c r="F41" s="2"/>
    </row>
    <row r="42" spans="1:6" ht="14" customHeight="1">
      <c r="A42" s="8">
        <v>4</v>
      </c>
      <c r="B42" s="7" t="str">
        <f>المدخلات!$F$6</f>
        <v>6:40–7:50 م</v>
      </c>
      <c r="C42" s="7">
        <v>2</v>
      </c>
      <c r="D42" s="7" t="s">
        <v>593</v>
      </c>
      <c r="E42" s="7" t="s">
        <v>7</v>
      </c>
      <c r="F42" s="2"/>
    </row>
    <row r="43" spans="1:6" ht="14" customHeight="1">
      <c r="A43" s="8">
        <v>4</v>
      </c>
      <c r="B43" s="7" t="str">
        <f>المدخلات!$F$4</f>
        <v>4:00–5:10 م</v>
      </c>
      <c r="C43" s="7">
        <v>3</v>
      </c>
      <c r="D43" s="7" t="s">
        <v>594</v>
      </c>
      <c r="E43" s="7" t="s">
        <v>152</v>
      </c>
      <c r="F43" s="2"/>
    </row>
    <row r="44" spans="1:6" ht="14" customHeight="1">
      <c r="A44" s="8">
        <v>4</v>
      </c>
      <c r="B44" s="7" t="str">
        <f>المدخلات!$F$4</f>
        <v>4:00–5:10 م</v>
      </c>
      <c r="C44" s="7">
        <v>4</v>
      </c>
      <c r="D44" s="7" t="s">
        <v>594</v>
      </c>
      <c r="E44" s="7" t="s">
        <v>129</v>
      </c>
      <c r="F44" s="2"/>
    </row>
    <row r="45" spans="1:6" ht="14" customHeight="1">
      <c r="A45" s="8">
        <v>4</v>
      </c>
      <c r="B45" s="7" t="str">
        <f>المدخلات!$F$5</f>
        <v>5:20–6:30 م</v>
      </c>
      <c r="C45" s="7">
        <v>3</v>
      </c>
      <c r="D45" s="7" t="s">
        <v>594</v>
      </c>
      <c r="E45" s="7" t="s">
        <v>208</v>
      </c>
      <c r="F45" s="2"/>
    </row>
    <row r="46" spans="1:6" ht="14" customHeight="1">
      <c r="A46" s="8">
        <v>4</v>
      </c>
      <c r="B46" s="7" t="str">
        <f>المدخلات!$F$5</f>
        <v>5:20–6:30 م</v>
      </c>
      <c r="C46" s="7">
        <v>4</v>
      </c>
      <c r="D46" s="7" t="s">
        <v>594</v>
      </c>
      <c r="E46" s="7" t="s">
        <v>219</v>
      </c>
      <c r="F46" s="2"/>
    </row>
    <row r="47" spans="1:6" ht="14" customHeight="1">
      <c r="A47" s="8">
        <v>4</v>
      </c>
      <c r="B47" s="7" t="str">
        <f>المدخلات!$F$6</f>
        <v>6:40–7:50 م</v>
      </c>
      <c r="C47" s="7">
        <v>3</v>
      </c>
      <c r="D47" s="7" t="s">
        <v>594</v>
      </c>
      <c r="E47" s="7" t="s">
        <v>228</v>
      </c>
      <c r="F47" s="2"/>
    </row>
    <row r="48" spans="1:6" ht="14" customHeight="1">
      <c r="A48" s="8">
        <v>5</v>
      </c>
      <c r="B48" s="7" t="str">
        <f>المدخلات!$F$4</f>
        <v>4:00–5:10 م</v>
      </c>
      <c r="C48" s="7">
        <v>1</v>
      </c>
      <c r="D48" s="7" t="s">
        <v>593</v>
      </c>
      <c r="E48" s="7" t="s">
        <v>17</v>
      </c>
      <c r="F48" s="2"/>
    </row>
    <row r="49" spans="1:6" ht="14" customHeight="1">
      <c r="A49" s="8">
        <v>5</v>
      </c>
      <c r="B49" s="7" t="str">
        <f>المدخلات!$F$4</f>
        <v>4:00–5:10 م</v>
      </c>
      <c r="C49" s="7">
        <v>2</v>
      </c>
      <c r="D49" s="7" t="s">
        <v>593</v>
      </c>
      <c r="E49" s="7" t="s">
        <v>767</v>
      </c>
      <c r="F49" s="2"/>
    </row>
    <row r="50" spans="1:6" ht="14" customHeight="1">
      <c r="A50" s="8">
        <v>5</v>
      </c>
      <c r="B50" s="7" t="str">
        <f>المدخلات!$F$5</f>
        <v>5:20–6:30 م</v>
      </c>
      <c r="C50" s="7">
        <v>1</v>
      </c>
      <c r="D50" s="7" t="s">
        <v>593</v>
      </c>
      <c r="E50" s="7" t="s">
        <v>766</v>
      </c>
      <c r="F50" s="2"/>
    </row>
    <row r="51" spans="1:6" ht="14" customHeight="1">
      <c r="A51" s="8">
        <v>5</v>
      </c>
      <c r="B51" s="7" t="str">
        <f>المدخلات!$F$5</f>
        <v>5:20–6:30 م</v>
      </c>
      <c r="C51" s="7">
        <v>2</v>
      </c>
      <c r="D51" s="7" t="s">
        <v>593</v>
      </c>
      <c r="E51" s="7" t="s">
        <v>1049</v>
      </c>
      <c r="F51" s="2"/>
    </row>
    <row r="52" spans="1:6" ht="14" customHeight="1">
      <c r="A52" s="8">
        <v>5</v>
      </c>
      <c r="B52" s="7" t="str">
        <f>المدخلات!$F$6</f>
        <v>6:40–7:50 م</v>
      </c>
      <c r="C52" s="7">
        <v>1</v>
      </c>
      <c r="D52" s="7" t="s">
        <v>593</v>
      </c>
      <c r="E52" s="7" t="s">
        <v>42</v>
      </c>
      <c r="F52" s="2"/>
    </row>
    <row r="53" spans="1:6" ht="14" customHeight="1">
      <c r="A53" s="8">
        <v>5</v>
      </c>
      <c r="B53" s="7" t="str">
        <f>المدخلات!$F$6</f>
        <v>6:40–7:50 م</v>
      </c>
      <c r="C53" s="7">
        <v>2</v>
      </c>
      <c r="D53" s="7" t="s">
        <v>593</v>
      </c>
      <c r="E53" s="7" t="s">
        <v>765</v>
      </c>
      <c r="F53" s="2"/>
    </row>
    <row r="54" spans="1:6" ht="14" customHeight="1">
      <c r="A54" s="8">
        <v>5</v>
      </c>
      <c r="B54" s="7" t="str">
        <f>المدخلات!$F$4</f>
        <v>4:00–5:10 م</v>
      </c>
      <c r="C54" s="7">
        <v>3</v>
      </c>
      <c r="D54" s="7" t="s">
        <v>594</v>
      </c>
      <c r="E54" s="7" t="s">
        <v>199</v>
      </c>
      <c r="F54" s="2"/>
    </row>
    <row r="55" spans="1:6" ht="14" customHeight="1">
      <c r="A55" s="8">
        <v>5</v>
      </c>
      <c r="B55" s="7" t="str">
        <f>المدخلات!$F$4</f>
        <v>4:00–5:10 م</v>
      </c>
      <c r="C55" s="7">
        <v>4</v>
      </c>
      <c r="D55" s="7" t="s">
        <v>594</v>
      </c>
      <c r="E55" s="7" t="s">
        <v>637</v>
      </c>
      <c r="F55" s="2"/>
    </row>
    <row r="56" spans="1:6" ht="14" customHeight="1">
      <c r="A56" s="8">
        <v>5</v>
      </c>
      <c r="B56" s="7" t="str">
        <f>المدخلات!$F$5</f>
        <v>5:20–6:30 م</v>
      </c>
      <c r="C56" s="7">
        <v>3</v>
      </c>
      <c r="D56" s="7" t="s">
        <v>594</v>
      </c>
      <c r="E56" s="7" t="s">
        <v>220</v>
      </c>
      <c r="F56" s="2"/>
    </row>
    <row r="57" spans="1:6" ht="14" customHeight="1">
      <c r="A57" s="8">
        <v>5</v>
      </c>
      <c r="B57" s="7" t="str">
        <f>المدخلات!$F$5</f>
        <v>5:20–6:30 م</v>
      </c>
      <c r="C57" s="7">
        <v>4</v>
      </c>
      <c r="D57" s="7" t="s">
        <v>594</v>
      </c>
      <c r="E57" s="7" t="s">
        <v>836</v>
      </c>
      <c r="F57" s="2"/>
    </row>
    <row r="58" spans="1:6" ht="14" customHeight="1">
      <c r="A58" s="8">
        <v>5</v>
      </c>
      <c r="B58" s="7" t="str">
        <f>المدخلات!$F$6</f>
        <v>6:40–7:50 م</v>
      </c>
      <c r="C58" s="7">
        <v>3</v>
      </c>
      <c r="D58" s="7" t="s">
        <v>594</v>
      </c>
      <c r="E58" s="7" t="s">
        <v>103</v>
      </c>
      <c r="F58" s="2"/>
    </row>
    <row r="59" spans="1:6" ht="14" customHeight="1">
      <c r="A59" s="8">
        <v>6</v>
      </c>
      <c r="B59" s="7" t="str">
        <f>المدخلات!$F$4</f>
        <v>4:00–5:10 م</v>
      </c>
      <c r="C59" s="7">
        <v>1</v>
      </c>
      <c r="D59" s="7" t="s">
        <v>593</v>
      </c>
      <c r="E59" s="7" t="s">
        <v>48</v>
      </c>
      <c r="F59" s="2"/>
    </row>
    <row r="60" spans="1:6" ht="14" customHeight="1">
      <c r="A60" s="8">
        <v>6</v>
      </c>
      <c r="B60" s="7" t="str">
        <f>المدخلات!$F$4</f>
        <v>4:00–5:10 م</v>
      </c>
      <c r="C60" s="7">
        <v>2</v>
      </c>
      <c r="D60" s="7" t="s">
        <v>593</v>
      </c>
      <c r="E60" s="7" t="s">
        <v>28</v>
      </c>
      <c r="F60" s="2"/>
    </row>
    <row r="61" spans="1:6" ht="14" customHeight="1">
      <c r="A61" s="8">
        <v>6</v>
      </c>
      <c r="B61" s="7" t="str">
        <f>المدخلات!$F$5</f>
        <v>5:20–6:30 م</v>
      </c>
      <c r="C61" s="7">
        <v>1</v>
      </c>
      <c r="D61" s="7" t="s">
        <v>593</v>
      </c>
      <c r="E61" s="7" t="s">
        <v>792</v>
      </c>
      <c r="F61" s="2"/>
    </row>
    <row r="62" spans="1:6" ht="14" customHeight="1">
      <c r="A62" s="8">
        <v>6</v>
      </c>
      <c r="B62" s="7" t="str">
        <f>المدخلات!$F$5</f>
        <v>5:20–6:30 م</v>
      </c>
      <c r="C62" s="7">
        <v>2</v>
      </c>
      <c r="D62" s="7" t="s">
        <v>593</v>
      </c>
      <c r="E62" s="7" t="s">
        <v>25</v>
      </c>
      <c r="F62" s="2"/>
    </row>
    <row r="63" spans="1:6" ht="14" customHeight="1">
      <c r="A63" s="8">
        <v>6</v>
      </c>
      <c r="B63" s="7" t="str">
        <f>المدخلات!$F$6</f>
        <v>6:40–7:50 م</v>
      </c>
      <c r="C63" s="7">
        <v>1</v>
      </c>
      <c r="D63" s="7" t="s">
        <v>593</v>
      </c>
      <c r="E63" s="7" t="s">
        <v>791</v>
      </c>
      <c r="F63" s="2"/>
    </row>
    <row r="64" spans="1:6" ht="14" customHeight="1">
      <c r="A64" s="8">
        <v>6</v>
      </c>
      <c r="B64" s="7" t="str">
        <f>المدخلات!$F$6</f>
        <v>6:40–7:50 م</v>
      </c>
      <c r="C64" s="7">
        <v>2</v>
      </c>
      <c r="D64" s="7" t="s">
        <v>593</v>
      </c>
      <c r="E64" s="7" t="s">
        <v>38</v>
      </c>
      <c r="F64" s="2"/>
    </row>
    <row r="65" spans="1:6" ht="14" customHeight="1">
      <c r="A65" s="8">
        <v>6</v>
      </c>
      <c r="B65" s="7" t="str">
        <f>المدخلات!$F$4</f>
        <v>4:00–5:10 م</v>
      </c>
      <c r="C65" s="7">
        <v>3</v>
      </c>
      <c r="D65" s="7" t="s">
        <v>594</v>
      </c>
      <c r="E65" s="7" t="s">
        <v>892</v>
      </c>
      <c r="F65" s="2"/>
    </row>
    <row r="66" spans="1:6" ht="14" customHeight="1">
      <c r="A66" s="8">
        <v>6</v>
      </c>
      <c r="B66" s="7" t="str">
        <f>المدخلات!$F$4</f>
        <v>4:00–5:10 م</v>
      </c>
      <c r="C66" s="7">
        <v>4</v>
      </c>
      <c r="D66" s="7" t="s">
        <v>594</v>
      </c>
      <c r="E66" s="7" t="s">
        <v>839</v>
      </c>
      <c r="F66" s="2"/>
    </row>
    <row r="67" spans="1:6" ht="14" customHeight="1">
      <c r="A67" s="8">
        <v>6</v>
      </c>
      <c r="B67" s="7" t="str">
        <f>المدخلات!$F$5</f>
        <v>5:20–6:30 م</v>
      </c>
      <c r="C67" s="7">
        <v>3</v>
      </c>
      <c r="D67" s="7" t="s">
        <v>594</v>
      </c>
      <c r="E67" s="7" t="s">
        <v>206</v>
      </c>
      <c r="F67" s="2"/>
    </row>
    <row r="68" spans="1:6" ht="14" customHeight="1">
      <c r="A68" s="8">
        <v>6</v>
      </c>
      <c r="B68" s="7" t="str">
        <f>المدخلات!$F$5</f>
        <v>5:20–6:30 م</v>
      </c>
      <c r="C68" s="7">
        <v>4</v>
      </c>
      <c r="D68" s="7" t="s">
        <v>594</v>
      </c>
      <c r="E68" s="7" t="s">
        <v>838</v>
      </c>
      <c r="F68" s="2"/>
    </row>
    <row r="69" spans="1:6" ht="14" customHeight="1">
      <c r="A69" s="8">
        <v>6</v>
      </c>
      <c r="B69" s="7" t="str">
        <f>المدخلات!$F$6</f>
        <v>6:40–7:50 م</v>
      </c>
      <c r="C69" s="7">
        <v>3</v>
      </c>
      <c r="D69" s="7" t="s">
        <v>594</v>
      </c>
      <c r="E69" s="7" t="s">
        <v>189</v>
      </c>
      <c r="F69" s="2"/>
    </row>
    <row r="70" spans="1:6" ht="14" customHeight="1">
      <c r="A70" s="8">
        <v>7</v>
      </c>
      <c r="B70" s="7" t="str">
        <f>المدخلات!$F$4</f>
        <v>4:00–5:10 م</v>
      </c>
      <c r="C70" s="7">
        <v>1</v>
      </c>
      <c r="D70" s="7" t="s">
        <v>593</v>
      </c>
      <c r="E70" s="7" t="s">
        <v>72</v>
      </c>
      <c r="F70" s="2"/>
    </row>
    <row r="71" spans="1:6" ht="14" customHeight="1">
      <c r="A71" s="8">
        <v>7</v>
      </c>
      <c r="B71" s="7" t="str">
        <f>المدخلات!$F$4</f>
        <v>4:00–5:10 م</v>
      </c>
      <c r="C71" s="7">
        <v>2</v>
      </c>
      <c r="D71" s="7" t="s">
        <v>593</v>
      </c>
      <c r="E71" s="7" t="s">
        <v>805</v>
      </c>
      <c r="F71" s="2"/>
    </row>
    <row r="72" spans="1:6" ht="14" customHeight="1">
      <c r="A72" s="8">
        <v>7</v>
      </c>
      <c r="B72" s="7" t="str">
        <f>المدخلات!$F$5</f>
        <v>5:20–6:30 م</v>
      </c>
      <c r="C72" s="7">
        <v>1</v>
      </c>
      <c r="D72" s="7" t="s">
        <v>593</v>
      </c>
      <c r="E72" s="7" t="s">
        <v>804</v>
      </c>
      <c r="F72" s="2"/>
    </row>
    <row r="73" spans="1:6" ht="14" customHeight="1">
      <c r="A73" s="8">
        <v>7</v>
      </c>
      <c r="B73" s="7" t="str">
        <f>المدخلات!$F$5</f>
        <v>5:20–6:30 م</v>
      </c>
      <c r="C73" s="7">
        <v>2</v>
      </c>
      <c r="D73" s="7" t="s">
        <v>593</v>
      </c>
      <c r="E73" s="7" t="s">
        <v>24</v>
      </c>
      <c r="F73" s="2"/>
    </row>
    <row r="74" spans="1:6" ht="14" customHeight="1">
      <c r="A74" s="8">
        <v>7</v>
      </c>
      <c r="B74" s="7" t="str">
        <f>المدخلات!$F$6</f>
        <v>6:40–7:50 م</v>
      </c>
      <c r="C74" s="7">
        <v>1</v>
      </c>
      <c r="D74" s="7" t="s">
        <v>593</v>
      </c>
      <c r="E74" s="7" t="s">
        <v>32</v>
      </c>
      <c r="F74" s="2"/>
    </row>
    <row r="75" spans="1:6" ht="14" customHeight="1">
      <c r="A75" s="8">
        <v>7</v>
      </c>
      <c r="B75" s="7" t="str">
        <f>المدخلات!$F$6</f>
        <v>6:40–7:50 م</v>
      </c>
      <c r="C75" s="7">
        <v>2</v>
      </c>
      <c r="D75" s="7" t="s">
        <v>593</v>
      </c>
      <c r="E75" s="7" t="s">
        <v>1039</v>
      </c>
      <c r="F75" s="2"/>
    </row>
    <row r="76" spans="1:6" ht="14" customHeight="1">
      <c r="A76" s="8">
        <v>7</v>
      </c>
      <c r="B76" s="7" t="str">
        <f>المدخلات!$F$4</f>
        <v>4:00–5:10 م</v>
      </c>
      <c r="C76" s="7">
        <v>3</v>
      </c>
      <c r="D76" s="7" t="s">
        <v>594</v>
      </c>
      <c r="E76" s="7" t="s">
        <v>158</v>
      </c>
      <c r="F76" s="2"/>
    </row>
    <row r="77" spans="1:6" ht="14" customHeight="1">
      <c r="A77" s="8">
        <v>7</v>
      </c>
      <c r="B77" s="7" t="str">
        <f>المدخلات!$F$4</f>
        <v>4:00–5:10 م</v>
      </c>
      <c r="C77" s="7">
        <v>4</v>
      </c>
      <c r="D77" s="7" t="s">
        <v>594</v>
      </c>
      <c r="E77" s="7" t="s">
        <v>167</v>
      </c>
      <c r="F77" s="2"/>
    </row>
    <row r="78" spans="1:6" ht="14" customHeight="1">
      <c r="A78" s="8">
        <v>7</v>
      </c>
      <c r="B78" s="7" t="str">
        <f>المدخلات!$F$5</f>
        <v>5:20–6:30 م</v>
      </c>
      <c r="C78" s="7">
        <v>3</v>
      </c>
      <c r="D78" s="7" t="s">
        <v>594</v>
      </c>
      <c r="E78" s="7" t="s">
        <v>842</v>
      </c>
      <c r="F78" s="2"/>
    </row>
    <row r="79" spans="1:6" ht="14" customHeight="1">
      <c r="A79" s="8">
        <v>7</v>
      </c>
      <c r="B79" s="7" t="str">
        <f>المدخلات!$F$5</f>
        <v>5:20–6:30 م</v>
      </c>
      <c r="C79" s="7">
        <v>4</v>
      </c>
      <c r="D79" s="7" t="s">
        <v>594</v>
      </c>
      <c r="E79" s="7" t="s">
        <v>190</v>
      </c>
      <c r="F79" s="2"/>
    </row>
    <row r="80" spans="1:6" ht="14" customHeight="1">
      <c r="A80" s="8">
        <v>7</v>
      </c>
      <c r="B80" s="7" t="str">
        <f>المدخلات!$F$6</f>
        <v>6:40–7:50 م</v>
      </c>
      <c r="C80" s="7">
        <v>3</v>
      </c>
      <c r="D80" s="7" t="s">
        <v>594</v>
      </c>
      <c r="E80" s="7" t="s">
        <v>843</v>
      </c>
      <c r="F80" s="2"/>
    </row>
    <row r="81" spans="1:6" ht="14" customHeight="1">
      <c r="A81" s="8">
        <v>8</v>
      </c>
      <c r="B81" s="7" t="str">
        <f>المدخلات!$F$4</f>
        <v>4:00–5:10 م</v>
      </c>
      <c r="C81" s="7">
        <v>1</v>
      </c>
      <c r="D81" s="7" t="s">
        <v>593</v>
      </c>
      <c r="E81" s="7" t="s">
        <v>20</v>
      </c>
      <c r="F81" s="2"/>
    </row>
    <row r="82" spans="1:6" ht="14" customHeight="1">
      <c r="A82" s="8">
        <v>8</v>
      </c>
      <c r="B82" s="7" t="str">
        <f>المدخلات!$F$4</f>
        <v>4:00–5:10 م</v>
      </c>
      <c r="C82" s="7">
        <v>2</v>
      </c>
      <c r="D82" s="7" t="s">
        <v>593</v>
      </c>
      <c r="E82" s="7" t="s">
        <v>67</v>
      </c>
      <c r="F82" s="2"/>
    </row>
    <row r="83" spans="1:6" ht="14" customHeight="1">
      <c r="A83" s="8">
        <v>8</v>
      </c>
      <c r="B83" s="7" t="str">
        <f>المدخلات!$F$5</f>
        <v>5:20–6:30 م</v>
      </c>
      <c r="C83" s="7">
        <v>1</v>
      </c>
      <c r="D83" s="7" t="s">
        <v>593</v>
      </c>
      <c r="E83" s="7" t="s">
        <v>9</v>
      </c>
      <c r="F83" s="2"/>
    </row>
    <row r="84" spans="1:6" ht="14" customHeight="1">
      <c r="A84" s="8">
        <v>8</v>
      </c>
      <c r="B84" s="7" t="str">
        <f>المدخلات!$F$5</f>
        <v>5:20–6:30 م</v>
      </c>
      <c r="C84" s="7">
        <v>2</v>
      </c>
      <c r="D84" s="7" t="s">
        <v>593</v>
      </c>
      <c r="E84" s="7" t="s">
        <v>56</v>
      </c>
      <c r="F84" s="2"/>
    </row>
    <row r="85" spans="1:6" ht="14" customHeight="1">
      <c r="A85" s="8">
        <v>8</v>
      </c>
      <c r="B85" s="7" t="str">
        <f>المدخلات!$F$6</f>
        <v>6:40–7:50 م</v>
      </c>
      <c r="C85" s="7">
        <v>1</v>
      </c>
      <c r="D85" s="7" t="s">
        <v>593</v>
      </c>
      <c r="E85" s="7" t="s">
        <v>27</v>
      </c>
      <c r="F85" s="2"/>
    </row>
    <row r="86" spans="1:6" ht="14" customHeight="1">
      <c r="A86" s="8">
        <v>8</v>
      </c>
      <c r="B86" s="7" t="str">
        <f>المدخلات!$F$6</f>
        <v>6:40–7:50 م</v>
      </c>
      <c r="C86" s="7">
        <v>2</v>
      </c>
      <c r="D86" s="7" t="s">
        <v>593</v>
      </c>
      <c r="E86" s="7" t="s">
        <v>623</v>
      </c>
      <c r="F86" s="2"/>
    </row>
    <row r="87" spans="1:6" ht="14" customHeight="1">
      <c r="A87" s="8">
        <v>8</v>
      </c>
      <c r="B87" s="7" t="str">
        <f>المدخلات!$F$4</f>
        <v>4:00–5:10 م</v>
      </c>
      <c r="C87" s="7">
        <v>3</v>
      </c>
      <c r="D87" s="7" t="s">
        <v>594</v>
      </c>
      <c r="E87" s="7" t="s">
        <v>230</v>
      </c>
      <c r="F87" s="2"/>
    </row>
    <row r="88" spans="1:6" ht="14" customHeight="1">
      <c r="A88" s="8">
        <v>8</v>
      </c>
      <c r="B88" s="7" t="str">
        <f>المدخلات!$F$4</f>
        <v>4:00–5:10 م</v>
      </c>
      <c r="C88" s="7">
        <v>4</v>
      </c>
      <c r="D88" s="7" t="s">
        <v>594</v>
      </c>
      <c r="E88" s="7" t="s">
        <v>146</v>
      </c>
      <c r="F88" s="2"/>
    </row>
    <row r="89" spans="1:6" ht="14" customHeight="1">
      <c r="A89" s="8">
        <v>8</v>
      </c>
      <c r="B89" s="7" t="str">
        <f>المدخلات!$F$5</f>
        <v>5:20–6:30 م</v>
      </c>
      <c r="C89" s="7">
        <v>3</v>
      </c>
      <c r="D89" s="7" t="s">
        <v>594</v>
      </c>
      <c r="E89" s="7" t="s">
        <v>159</v>
      </c>
      <c r="F89" s="2"/>
    </row>
    <row r="90" spans="1:6" ht="14" customHeight="1">
      <c r="A90" s="8">
        <v>8</v>
      </c>
      <c r="B90" s="7" t="str">
        <f>المدخلات!$F$5</f>
        <v>5:20–6:30 م</v>
      </c>
      <c r="C90" s="7">
        <v>4</v>
      </c>
      <c r="D90" s="7" t="s">
        <v>594</v>
      </c>
      <c r="E90" s="7" t="s">
        <v>846</v>
      </c>
      <c r="F90" s="2"/>
    </row>
    <row r="91" spans="1:6" ht="14" customHeight="1">
      <c r="A91" s="8">
        <v>8</v>
      </c>
      <c r="B91" s="7" t="str">
        <f>المدخلات!$F$6</f>
        <v>6:40–7:50 م</v>
      </c>
      <c r="C91" s="7">
        <v>3</v>
      </c>
      <c r="D91" s="7" t="s">
        <v>594</v>
      </c>
      <c r="E91" s="7" t="s">
        <v>168</v>
      </c>
      <c r="F91" s="2"/>
    </row>
    <row r="92" spans="1:6" ht="14" customHeight="1">
      <c r="A92" s="8">
        <v>9</v>
      </c>
      <c r="B92" s="7" t="str">
        <f>المدخلات!$F$4</f>
        <v>4:00–5:10 م</v>
      </c>
      <c r="C92" s="7">
        <v>1</v>
      </c>
      <c r="D92" s="7" t="s">
        <v>593</v>
      </c>
      <c r="E92" s="7" t="s">
        <v>53</v>
      </c>
      <c r="F92" s="2"/>
    </row>
    <row r="93" spans="1:6" ht="14" customHeight="1">
      <c r="A93" s="8">
        <v>9</v>
      </c>
      <c r="B93" s="7" t="str">
        <f>المدخلات!$F$4</f>
        <v>4:00–5:10 م</v>
      </c>
      <c r="C93" s="7">
        <v>2</v>
      </c>
      <c r="D93" s="7" t="s">
        <v>593</v>
      </c>
      <c r="E93" s="7" t="s">
        <v>13</v>
      </c>
      <c r="F93" s="2"/>
    </row>
    <row r="94" spans="1:6" ht="14" customHeight="1">
      <c r="A94" s="8">
        <v>9</v>
      </c>
      <c r="B94" s="7" t="str">
        <f>المدخلات!$F$5</f>
        <v>5:20–6:30 م</v>
      </c>
      <c r="C94" s="7">
        <v>1</v>
      </c>
      <c r="D94" s="7" t="s">
        <v>593</v>
      </c>
      <c r="E94" s="7" t="s">
        <v>21</v>
      </c>
      <c r="F94" s="2"/>
    </row>
    <row r="95" spans="1:6" ht="14" customHeight="1">
      <c r="A95" s="8">
        <v>9</v>
      </c>
      <c r="B95" s="7" t="str">
        <f>المدخلات!$F$5</f>
        <v>5:20–6:30 م</v>
      </c>
      <c r="C95" s="7">
        <v>2</v>
      </c>
      <c r="D95" s="7" t="s">
        <v>593</v>
      </c>
      <c r="E95" s="7" t="s">
        <v>63</v>
      </c>
      <c r="F95" s="2"/>
    </row>
    <row r="96" spans="1:6" ht="14" customHeight="1">
      <c r="A96" s="8">
        <v>9</v>
      </c>
      <c r="B96" s="7" t="str">
        <f>المدخلات!$F$6</f>
        <v>6:40–7:50 م</v>
      </c>
      <c r="C96" s="7">
        <v>1</v>
      </c>
      <c r="D96" s="7" t="s">
        <v>593</v>
      </c>
      <c r="E96" s="7" t="s">
        <v>18</v>
      </c>
      <c r="F96" s="2"/>
    </row>
    <row r="97" spans="1:6" ht="14" customHeight="1">
      <c r="A97" s="8">
        <v>9</v>
      </c>
      <c r="B97" s="7" t="str">
        <f>المدخلات!$F$6</f>
        <v>6:40–7:50 م</v>
      </c>
      <c r="C97" s="7">
        <v>2</v>
      </c>
      <c r="D97" s="7" t="s">
        <v>593</v>
      </c>
      <c r="E97" s="7" t="s">
        <v>46</v>
      </c>
      <c r="F97" s="2"/>
    </row>
    <row r="98" spans="1:6" ht="14" customHeight="1">
      <c r="A98" s="8">
        <v>9</v>
      </c>
      <c r="B98" s="7" t="str">
        <f>المدخلات!$F$4</f>
        <v>4:00–5:10 م</v>
      </c>
      <c r="C98" s="7">
        <v>3</v>
      </c>
      <c r="D98" s="7" t="s">
        <v>594</v>
      </c>
      <c r="E98" s="7" t="s">
        <v>847</v>
      </c>
      <c r="F98" s="2"/>
    </row>
    <row r="99" spans="1:6" ht="14" customHeight="1">
      <c r="A99" s="8">
        <v>9</v>
      </c>
      <c r="B99" s="7" t="str">
        <f>المدخلات!$F$4</f>
        <v>4:00–5:10 م</v>
      </c>
      <c r="C99" s="7">
        <v>4</v>
      </c>
      <c r="D99" s="7" t="s">
        <v>594</v>
      </c>
      <c r="E99" s="7" t="s">
        <v>227</v>
      </c>
      <c r="F99" s="2"/>
    </row>
    <row r="100" spans="1:6" ht="14" customHeight="1">
      <c r="A100" s="8">
        <v>9</v>
      </c>
      <c r="B100" s="7" t="str">
        <f>المدخلات!$F$5</f>
        <v>5:20–6:30 م</v>
      </c>
      <c r="C100" s="7">
        <v>3</v>
      </c>
      <c r="D100" s="7" t="s">
        <v>594</v>
      </c>
      <c r="E100" s="7" t="s">
        <v>145</v>
      </c>
      <c r="F100" s="2"/>
    </row>
    <row r="101" spans="1:6" ht="14" customHeight="1">
      <c r="A101" s="8">
        <v>9</v>
      </c>
      <c r="B101" s="7" t="str">
        <f>المدخلات!$F$5</f>
        <v>5:20–6:30 م</v>
      </c>
      <c r="C101" s="7">
        <v>4</v>
      </c>
      <c r="D101" s="7" t="s">
        <v>594</v>
      </c>
      <c r="E101" s="7" t="s">
        <v>223</v>
      </c>
      <c r="F101" s="2"/>
    </row>
    <row r="102" spans="1:6" ht="14" customHeight="1">
      <c r="A102" s="8">
        <v>9</v>
      </c>
      <c r="B102" s="7" t="str">
        <f>المدخلات!$F$6</f>
        <v>6:40–7:50 م</v>
      </c>
      <c r="C102" s="7">
        <v>3</v>
      </c>
      <c r="D102" s="7" t="s">
        <v>594</v>
      </c>
      <c r="E102" s="7" t="s">
        <v>1078</v>
      </c>
      <c r="F102" s="2"/>
    </row>
    <row r="103" spans="1:6" ht="14" customHeight="1">
      <c r="A103" s="8">
        <v>10</v>
      </c>
      <c r="B103" s="7" t="str">
        <f>المدخلات!$F$4</f>
        <v>4:00–5:10 م</v>
      </c>
      <c r="C103" s="7">
        <v>1</v>
      </c>
      <c r="D103" s="7" t="s">
        <v>593</v>
      </c>
      <c r="E103" s="7" t="s">
        <v>49</v>
      </c>
      <c r="F103" s="2"/>
    </row>
    <row r="104" spans="1:6" ht="14" customHeight="1">
      <c r="A104" s="8">
        <v>10</v>
      </c>
      <c r="B104" s="7" t="str">
        <f>المدخلات!$F$4</f>
        <v>4:00–5:10 م</v>
      </c>
      <c r="C104" s="7">
        <v>2</v>
      </c>
      <c r="D104" s="7" t="s">
        <v>593</v>
      </c>
      <c r="E104" s="7" t="s">
        <v>1040</v>
      </c>
      <c r="F104" s="2"/>
    </row>
    <row r="105" spans="1:6" ht="14" customHeight="1">
      <c r="A105" s="8">
        <v>10</v>
      </c>
      <c r="B105" s="7" t="str">
        <f>المدخلات!$F$5</f>
        <v>5:20–6:30 م</v>
      </c>
      <c r="C105" s="7">
        <v>1</v>
      </c>
      <c r="D105" s="7" t="s">
        <v>593</v>
      </c>
      <c r="E105" s="7" t="s">
        <v>41</v>
      </c>
      <c r="F105" s="2"/>
    </row>
    <row r="106" spans="1:6" ht="14" customHeight="1">
      <c r="A106" s="8">
        <v>10</v>
      </c>
      <c r="B106" s="7" t="str">
        <f>المدخلات!$F$5</f>
        <v>5:20–6:30 م</v>
      </c>
      <c r="C106" s="7">
        <v>2</v>
      </c>
      <c r="D106" s="7" t="s">
        <v>593</v>
      </c>
      <c r="E106" s="7" t="s">
        <v>14</v>
      </c>
      <c r="F106" s="2"/>
    </row>
    <row r="107" spans="1:6" ht="14" customHeight="1">
      <c r="A107" s="8">
        <v>10</v>
      </c>
      <c r="B107" s="7" t="str">
        <f>المدخلات!$F$6</f>
        <v>6:40–7:50 م</v>
      </c>
      <c r="C107" s="7">
        <v>1</v>
      </c>
      <c r="D107" s="7" t="s">
        <v>593</v>
      </c>
      <c r="E107" s="7" t="s">
        <v>1062</v>
      </c>
      <c r="F107" s="2"/>
    </row>
    <row r="108" spans="1:6" ht="14" customHeight="1">
      <c r="A108" s="8">
        <v>10</v>
      </c>
      <c r="B108" s="7" t="str">
        <f>المدخلات!$F$6</f>
        <v>6:40–7:50 م</v>
      </c>
      <c r="C108" s="7">
        <v>2</v>
      </c>
      <c r="D108" s="7" t="s">
        <v>593</v>
      </c>
      <c r="E108" s="7" t="s">
        <v>57</v>
      </c>
      <c r="F108" s="2"/>
    </row>
    <row r="109" spans="1:6" ht="14" customHeight="1">
      <c r="A109" s="8">
        <v>10</v>
      </c>
      <c r="B109" s="7" t="str">
        <f>المدخلات!$F$4</f>
        <v>4:00–5:10 م</v>
      </c>
      <c r="C109" s="7">
        <v>3</v>
      </c>
      <c r="D109" s="7" t="s">
        <v>594</v>
      </c>
      <c r="E109" s="7" t="s">
        <v>109</v>
      </c>
      <c r="F109" s="2"/>
    </row>
    <row r="110" spans="1:6" ht="14" customHeight="1">
      <c r="A110" s="8">
        <v>10</v>
      </c>
      <c r="B110" s="7" t="str">
        <f>المدخلات!$F$4</f>
        <v>4:00–5:10 م</v>
      </c>
      <c r="C110" s="7">
        <v>4</v>
      </c>
      <c r="D110" s="7" t="s">
        <v>594</v>
      </c>
      <c r="E110" s="7" t="s">
        <v>1147</v>
      </c>
      <c r="F110" s="2"/>
    </row>
    <row r="111" spans="1:6" ht="14" customHeight="1">
      <c r="A111" s="8">
        <v>10</v>
      </c>
      <c r="B111" s="7" t="str">
        <f>المدخلات!$F$5</f>
        <v>5:20–6:30 م</v>
      </c>
      <c r="C111" s="7">
        <v>3</v>
      </c>
      <c r="D111" s="7" t="s">
        <v>594</v>
      </c>
      <c r="E111" s="7" t="s">
        <v>102</v>
      </c>
      <c r="F111" s="2"/>
    </row>
    <row r="112" spans="1:6" ht="14" customHeight="1">
      <c r="A112" s="8">
        <v>10</v>
      </c>
      <c r="B112" s="7" t="str">
        <f>المدخلات!$F$5</f>
        <v>5:20–6:30 م</v>
      </c>
      <c r="C112" s="7">
        <v>4</v>
      </c>
      <c r="D112" s="7" t="s">
        <v>594</v>
      </c>
      <c r="E112" s="7" t="s">
        <v>224</v>
      </c>
      <c r="F112" s="2"/>
    </row>
    <row r="113" spans="1:6" ht="14" customHeight="1">
      <c r="A113" s="8">
        <v>10</v>
      </c>
      <c r="B113" s="7" t="str">
        <f>المدخلات!$F$6</f>
        <v>6:40–7:50 م</v>
      </c>
      <c r="C113" s="7">
        <v>3</v>
      </c>
      <c r="D113" s="7" t="s">
        <v>594</v>
      </c>
      <c r="E113" s="7" t="s">
        <v>210</v>
      </c>
      <c r="F113" s="2"/>
    </row>
    <row r="114" spans="1:6" ht="14" customHeight="1">
      <c r="A114" s="8">
        <v>11</v>
      </c>
      <c r="B114" s="7" t="str">
        <f>المدخلات!$F$4</f>
        <v>4:00–5:10 م</v>
      </c>
      <c r="C114" s="7">
        <v>1</v>
      </c>
      <c r="D114" s="7" t="s">
        <v>593</v>
      </c>
      <c r="E114" s="7" t="s">
        <v>11</v>
      </c>
      <c r="F114" s="2"/>
    </row>
    <row r="115" spans="1:6" ht="14" customHeight="1">
      <c r="A115" s="8">
        <v>11</v>
      </c>
      <c r="B115" s="7" t="str">
        <f>المدخلات!$F$4</f>
        <v>4:00–5:10 م</v>
      </c>
      <c r="C115" s="7">
        <v>2</v>
      </c>
      <c r="D115" s="7" t="s">
        <v>593</v>
      </c>
      <c r="E115" s="7" t="s">
        <v>1056</v>
      </c>
      <c r="F115" s="2"/>
    </row>
    <row r="116" spans="1:6" ht="14" customHeight="1">
      <c r="A116" s="8">
        <v>11</v>
      </c>
      <c r="B116" s="7" t="str">
        <f>المدخلات!$F$5</f>
        <v>5:20–6:30 م</v>
      </c>
      <c r="C116" s="7">
        <v>1</v>
      </c>
      <c r="D116" s="7" t="s">
        <v>593</v>
      </c>
      <c r="E116" s="7" t="s">
        <v>37</v>
      </c>
      <c r="F116" s="2"/>
    </row>
    <row r="117" spans="1:6" ht="14" customHeight="1">
      <c r="A117" s="8">
        <v>11</v>
      </c>
      <c r="B117" s="7" t="str">
        <f>المدخلات!$F$5</f>
        <v>5:20–6:30 م</v>
      </c>
      <c r="C117" s="7">
        <v>2</v>
      </c>
      <c r="D117" s="7" t="s">
        <v>593</v>
      </c>
      <c r="E117" s="7" t="s">
        <v>47</v>
      </c>
      <c r="F117" s="2"/>
    </row>
    <row r="118" spans="1:6" ht="14" customHeight="1">
      <c r="A118" s="8">
        <v>11</v>
      </c>
      <c r="B118" s="7" t="str">
        <f>المدخلات!$F$6</f>
        <v>6:40–7:50 م</v>
      </c>
      <c r="C118" s="7">
        <v>1</v>
      </c>
      <c r="D118" s="7" t="s">
        <v>593</v>
      </c>
      <c r="E118" s="7" t="s">
        <v>30</v>
      </c>
      <c r="F118" s="2"/>
    </row>
    <row r="119" spans="1:6" ht="14" customHeight="1">
      <c r="A119" s="8">
        <v>11</v>
      </c>
      <c r="B119" s="7" t="str">
        <f>المدخلات!$F$6</f>
        <v>6:40–7:50 م</v>
      </c>
      <c r="C119" s="7">
        <v>2</v>
      </c>
      <c r="D119" s="7" t="s">
        <v>593</v>
      </c>
      <c r="E119" s="7" t="s">
        <v>1063</v>
      </c>
      <c r="F119" s="2"/>
    </row>
    <row r="120" spans="1:6" ht="14" customHeight="1">
      <c r="A120" s="8">
        <v>11</v>
      </c>
      <c r="B120" s="7" t="str">
        <f>المدخلات!$F$4</f>
        <v>4:00–5:10 م</v>
      </c>
      <c r="C120" s="7">
        <v>3</v>
      </c>
      <c r="D120" s="7" t="s">
        <v>594</v>
      </c>
      <c r="E120" s="7" t="s">
        <v>225</v>
      </c>
      <c r="F120" s="2"/>
    </row>
    <row r="121" spans="1:6" ht="14" customHeight="1">
      <c r="A121" s="8">
        <v>11</v>
      </c>
      <c r="B121" s="7" t="str">
        <f>المدخلات!$F$4</f>
        <v>4:00–5:10 م</v>
      </c>
      <c r="C121" s="7">
        <v>4</v>
      </c>
      <c r="D121" s="7" t="s">
        <v>594</v>
      </c>
      <c r="E121" s="7" t="s">
        <v>196</v>
      </c>
      <c r="F121" s="2"/>
    </row>
    <row r="122" spans="1:6" ht="14" customHeight="1">
      <c r="A122" s="8">
        <v>11</v>
      </c>
      <c r="B122" s="7" t="str">
        <f>المدخلات!$F$5</f>
        <v>5:20–6:30 م</v>
      </c>
      <c r="C122" s="7">
        <v>3</v>
      </c>
      <c r="D122" s="7" t="s">
        <v>594</v>
      </c>
      <c r="E122" s="7" t="s">
        <v>1071</v>
      </c>
      <c r="F122" s="2"/>
    </row>
    <row r="123" spans="1:6" ht="14" customHeight="1">
      <c r="A123" s="8">
        <v>11</v>
      </c>
      <c r="B123" s="7" t="str">
        <f>المدخلات!$F$5</f>
        <v>5:20–6:30 م</v>
      </c>
      <c r="C123" s="7">
        <v>4</v>
      </c>
      <c r="D123" s="7" t="s">
        <v>594</v>
      </c>
      <c r="E123" s="7" t="s">
        <v>211</v>
      </c>
      <c r="F123" s="2"/>
    </row>
    <row r="124" spans="1:6" ht="14" customHeight="1">
      <c r="A124" s="8">
        <v>11</v>
      </c>
      <c r="B124" s="7" t="str">
        <f>المدخلات!$F$6</f>
        <v>6:40–7:50 م</v>
      </c>
      <c r="C124" s="7">
        <v>3</v>
      </c>
      <c r="D124" s="7" t="s">
        <v>594</v>
      </c>
      <c r="E124" s="7" t="s">
        <v>853</v>
      </c>
      <c r="F124" s="2"/>
    </row>
    <row r="125" spans="1:6" ht="14" customHeight="1">
      <c r="A125" s="8">
        <v>12</v>
      </c>
      <c r="B125" s="7" t="str">
        <f>المدخلات!$F$4</f>
        <v>4:00–5:10 م</v>
      </c>
      <c r="C125" s="7">
        <v>1</v>
      </c>
      <c r="D125" s="7" t="s">
        <v>593</v>
      </c>
      <c r="E125" s="7" t="s">
        <v>764</v>
      </c>
      <c r="F125" s="2"/>
    </row>
    <row r="126" spans="1:6" ht="14" customHeight="1">
      <c r="A126" s="8">
        <v>12</v>
      </c>
      <c r="B126" s="7" t="str">
        <f>المدخلات!$F$4</f>
        <v>4:00–5:10 م</v>
      </c>
      <c r="C126" s="7">
        <v>2</v>
      </c>
      <c r="D126" s="7" t="s">
        <v>593</v>
      </c>
      <c r="E126" s="7" t="s">
        <v>17</v>
      </c>
      <c r="F126" s="2"/>
    </row>
    <row r="127" spans="1:6" ht="14" customHeight="1">
      <c r="A127" s="8">
        <v>12</v>
      </c>
      <c r="B127" s="7" t="str">
        <f>المدخلات!$F$5</f>
        <v>5:20–6:30 م</v>
      </c>
      <c r="C127" s="7">
        <v>1</v>
      </c>
      <c r="D127" s="7" t="s">
        <v>593</v>
      </c>
      <c r="E127" s="7" t="s">
        <v>71</v>
      </c>
      <c r="F127" s="2"/>
    </row>
    <row r="128" spans="1:6" ht="14" customHeight="1">
      <c r="A128" s="8">
        <v>12</v>
      </c>
      <c r="B128" s="7" t="str">
        <f>المدخلات!$F$5</f>
        <v>5:20–6:30 م</v>
      </c>
      <c r="C128" s="7">
        <v>2</v>
      </c>
      <c r="D128" s="7" t="s">
        <v>593</v>
      </c>
      <c r="E128" s="7" t="s">
        <v>1049</v>
      </c>
      <c r="F128" s="2"/>
    </row>
    <row r="129" spans="1:6" ht="14" customHeight="1">
      <c r="A129" s="8">
        <v>12</v>
      </c>
      <c r="B129" s="7" t="str">
        <f>المدخلات!$F$6</f>
        <v>6:40–7:50 م</v>
      </c>
      <c r="C129" s="7">
        <v>1</v>
      </c>
      <c r="D129" s="7" t="s">
        <v>593</v>
      </c>
      <c r="E129" s="7" t="s">
        <v>61</v>
      </c>
      <c r="F129" s="2"/>
    </row>
    <row r="130" spans="1:6" ht="14" customHeight="1">
      <c r="A130" s="8">
        <v>12</v>
      </c>
      <c r="B130" s="7" t="str">
        <f>المدخلات!$F$6</f>
        <v>6:40–7:50 م</v>
      </c>
      <c r="C130" s="7">
        <v>2</v>
      </c>
      <c r="D130" s="7" t="s">
        <v>593</v>
      </c>
      <c r="E130" s="7" t="s">
        <v>765</v>
      </c>
      <c r="F130" s="2"/>
    </row>
    <row r="131" spans="1:6" ht="14" customHeight="1">
      <c r="A131" s="8">
        <v>12</v>
      </c>
      <c r="B131" s="7" t="str">
        <f>المدخلات!$F$4</f>
        <v>4:00–5:10 م</v>
      </c>
      <c r="C131" s="7">
        <v>3</v>
      </c>
      <c r="D131" s="7" t="s">
        <v>594</v>
      </c>
      <c r="E131" s="7" t="s">
        <v>850</v>
      </c>
      <c r="F131" s="2"/>
    </row>
    <row r="132" spans="1:6" ht="14" customHeight="1">
      <c r="A132" s="8">
        <v>12</v>
      </c>
      <c r="B132" s="7" t="str">
        <f>المدخلات!$F$4</f>
        <v>4:00–5:10 م</v>
      </c>
      <c r="C132" s="7">
        <v>4</v>
      </c>
      <c r="D132" s="7" t="s">
        <v>594</v>
      </c>
      <c r="E132" s="7" t="s">
        <v>162</v>
      </c>
      <c r="F132" s="2"/>
    </row>
    <row r="133" spans="1:6" ht="14" customHeight="1">
      <c r="A133" s="8">
        <v>12</v>
      </c>
      <c r="B133" s="7" t="str">
        <f>المدخلات!$F$5</f>
        <v>5:20–6:30 م</v>
      </c>
      <c r="C133" s="7">
        <v>3</v>
      </c>
      <c r="D133" s="7" t="s">
        <v>594</v>
      </c>
      <c r="E133" s="7" t="s">
        <v>178</v>
      </c>
      <c r="F133" s="2"/>
    </row>
    <row r="134" spans="1:6" ht="14" customHeight="1">
      <c r="A134" s="8">
        <v>12</v>
      </c>
      <c r="B134" s="7" t="str">
        <f>المدخلات!$F$5</f>
        <v>5:20–6:30 م</v>
      </c>
      <c r="C134" s="7">
        <v>4</v>
      </c>
      <c r="D134" s="7" t="s">
        <v>594</v>
      </c>
      <c r="E134" s="7" t="s">
        <v>851</v>
      </c>
      <c r="F134" s="2"/>
    </row>
    <row r="135" spans="1:6" ht="14" customHeight="1">
      <c r="A135" s="8">
        <v>12</v>
      </c>
      <c r="B135" s="7" t="str">
        <f>المدخلات!$F$6</f>
        <v>6:40–7:50 م</v>
      </c>
      <c r="C135" s="7">
        <v>3</v>
      </c>
      <c r="D135" s="7" t="s">
        <v>594</v>
      </c>
      <c r="E135" s="7" t="s">
        <v>197</v>
      </c>
      <c r="F135" s="2"/>
    </row>
    <row r="136" spans="1:6" ht="14" customHeight="1">
      <c r="A136" s="8">
        <v>13</v>
      </c>
      <c r="B136" s="7" t="str">
        <f>المدخلات!$F$4</f>
        <v>4:00–5:10 م</v>
      </c>
      <c r="C136" s="7">
        <v>1</v>
      </c>
      <c r="D136" s="7" t="s">
        <v>593</v>
      </c>
      <c r="E136" s="7" t="s">
        <v>16</v>
      </c>
      <c r="F136" s="2"/>
    </row>
    <row r="137" spans="1:6" ht="14" customHeight="1">
      <c r="A137" s="8">
        <v>13</v>
      </c>
      <c r="B137" s="7" t="str">
        <f>المدخلات!$F$4</f>
        <v>4:00–5:10 م</v>
      </c>
      <c r="C137" s="7">
        <v>2</v>
      </c>
      <c r="D137" s="7" t="s">
        <v>593</v>
      </c>
      <c r="E137" s="7" t="s">
        <v>33</v>
      </c>
      <c r="F137" s="2"/>
    </row>
    <row r="138" spans="1:6" ht="14" customHeight="1">
      <c r="A138" s="8">
        <v>13</v>
      </c>
      <c r="B138" s="7" t="str">
        <f>المدخلات!$F$5</f>
        <v>5:20–6:30 م</v>
      </c>
      <c r="C138" s="7">
        <v>1</v>
      </c>
      <c r="D138" s="7" t="s">
        <v>593</v>
      </c>
      <c r="E138" s="7" t="s">
        <v>866</v>
      </c>
      <c r="F138" s="2"/>
    </row>
    <row r="139" spans="1:6" ht="14" customHeight="1">
      <c r="A139" s="8">
        <v>13</v>
      </c>
      <c r="B139" s="7" t="str">
        <f>المدخلات!$F$5</f>
        <v>5:20–6:30 م</v>
      </c>
      <c r="C139" s="7">
        <v>2</v>
      </c>
      <c r="D139" s="7" t="s">
        <v>593</v>
      </c>
      <c r="E139" s="7" t="s">
        <v>64</v>
      </c>
      <c r="F139" s="2"/>
    </row>
    <row r="140" spans="1:6" ht="14" customHeight="1">
      <c r="A140" s="8">
        <v>13</v>
      </c>
      <c r="B140" s="7" t="str">
        <f>المدخلات!$F$6</f>
        <v>6:40–7:50 م</v>
      </c>
      <c r="C140" s="7">
        <v>1</v>
      </c>
      <c r="D140" s="7" t="s">
        <v>593</v>
      </c>
      <c r="E140" s="7" t="s">
        <v>1052</v>
      </c>
      <c r="F140" s="2"/>
    </row>
    <row r="141" spans="1:6" ht="14" customHeight="1">
      <c r="A141" s="8">
        <v>13</v>
      </c>
      <c r="B141" s="7" t="str">
        <f>المدخلات!$F$6</f>
        <v>6:40–7:50 م</v>
      </c>
      <c r="C141" s="7">
        <v>2</v>
      </c>
      <c r="D141" s="7" t="s">
        <v>593</v>
      </c>
      <c r="E141" s="7" t="s">
        <v>26</v>
      </c>
      <c r="F141" s="2"/>
    </row>
    <row r="142" spans="1:6" ht="14" customHeight="1">
      <c r="A142" s="8">
        <v>13</v>
      </c>
      <c r="B142" s="7" t="str">
        <f>المدخلات!$F$4</f>
        <v>4:00–5:10 م</v>
      </c>
      <c r="C142" s="7">
        <v>3</v>
      </c>
      <c r="D142" s="7" t="s">
        <v>594</v>
      </c>
      <c r="E142" s="7" t="s">
        <v>1194</v>
      </c>
      <c r="F142" s="2"/>
    </row>
    <row r="143" spans="1:6" ht="14" customHeight="1">
      <c r="A143" s="8">
        <v>13</v>
      </c>
      <c r="B143" s="7" t="str">
        <f>المدخلات!$F$4</f>
        <v>4:00–5:10 م</v>
      </c>
      <c r="C143" s="7">
        <v>4</v>
      </c>
      <c r="D143" s="7" t="s">
        <v>594</v>
      </c>
      <c r="E143" s="7" t="s">
        <v>103</v>
      </c>
      <c r="F143" s="2"/>
    </row>
    <row r="144" spans="1:6" ht="14" customHeight="1">
      <c r="A144" s="8">
        <v>13</v>
      </c>
      <c r="B144" s="7" t="str">
        <f>المدخلات!$F$5</f>
        <v>5:20–6:30 م</v>
      </c>
      <c r="C144" s="7">
        <v>3</v>
      </c>
      <c r="D144" s="7" t="s">
        <v>594</v>
      </c>
      <c r="E144" s="7" t="s">
        <v>177</v>
      </c>
      <c r="F144" s="2"/>
    </row>
    <row r="145" spans="1:6" ht="14" customHeight="1">
      <c r="A145" s="8">
        <v>13</v>
      </c>
      <c r="B145" s="7" t="str">
        <f>المدخلات!$F$5</f>
        <v>5:20–6:30 م</v>
      </c>
      <c r="C145" s="7">
        <v>4</v>
      </c>
      <c r="D145" s="7" t="s">
        <v>594</v>
      </c>
      <c r="E145" s="7" t="s">
        <v>151</v>
      </c>
      <c r="F145" s="2"/>
    </row>
    <row r="146" spans="1:6" ht="14" customHeight="1">
      <c r="A146" s="8">
        <v>13</v>
      </c>
      <c r="B146" s="7" t="str">
        <f>المدخلات!$F$6</f>
        <v>6:40–7:50 م</v>
      </c>
      <c r="C146" s="7">
        <v>3</v>
      </c>
      <c r="D146" s="7" t="s">
        <v>594</v>
      </c>
      <c r="E146" s="7" t="s">
        <v>230</v>
      </c>
      <c r="F146" s="2"/>
    </row>
    <row r="147" spans="1:6" ht="14" customHeight="1">
      <c r="A147" s="8">
        <v>14</v>
      </c>
      <c r="B147" s="7" t="str">
        <f>المدخلات!$F$4</f>
        <v>4:00–5:10 م</v>
      </c>
      <c r="C147" s="7">
        <v>1</v>
      </c>
      <c r="D147" s="7" t="s">
        <v>593</v>
      </c>
      <c r="E147" s="7" t="s">
        <v>721</v>
      </c>
      <c r="F147" s="2"/>
    </row>
    <row r="148" spans="1:6" ht="14" customHeight="1">
      <c r="A148" s="8">
        <v>14</v>
      </c>
      <c r="B148" s="7" t="str">
        <f>المدخلات!$F$4</f>
        <v>4:00–5:10 م</v>
      </c>
      <c r="C148" s="7">
        <v>2</v>
      </c>
      <c r="D148" s="7" t="s">
        <v>593</v>
      </c>
      <c r="E148" s="7" t="s">
        <v>10</v>
      </c>
      <c r="F148" s="2"/>
    </row>
    <row r="149" spans="1:6" ht="14" customHeight="1">
      <c r="A149" s="8">
        <v>14</v>
      </c>
      <c r="B149" s="7" t="str">
        <f>المدخلات!$F$5</f>
        <v>5:20–6:30 م</v>
      </c>
      <c r="C149" s="7">
        <v>1</v>
      </c>
      <c r="D149" s="7" t="s">
        <v>593</v>
      </c>
      <c r="E149" s="7" t="s">
        <v>1036</v>
      </c>
      <c r="F149" s="2"/>
    </row>
    <row r="150" spans="1:6" ht="14" customHeight="1">
      <c r="A150" s="8">
        <v>14</v>
      </c>
      <c r="B150" s="7" t="str">
        <f>المدخلات!$F$5</f>
        <v>5:20–6:30 م</v>
      </c>
      <c r="C150" s="7">
        <v>2</v>
      </c>
      <c r="D150" s="7" t="s">
        <v>593</v>
      </c>
      <c r="E150" s="7" t="s">
        <v>1045</v>
      </c>
      <c r="F150" s="2"/>
    </row>
    <row r="151" spans="1:6" ht="14" customHeight="1">
      <c r="A151" s="8">
        <v>14</v>
      </c>
      <c r="B151" s="7" t="str">
        <f>المدخلات!$F$6</f>
        <v>6:40–7:50 م</v>
      </c>
      <c r="C151" s="7">
        <v>1</v>
      </c>
      <c r="D151" s="7" t="s">
        <v>593</v>
      </c>
      <c r="E151" s="7" t="s">
        <v>1054</v>
      </c>
      <c r="F151" s="2"/>
    </row>
    <row r="152" spans="1:6" ht="14" customHeight="1">
      <c r="A152" s="8">
        <v>14</v>
      </c>
      <c r="B152" s="7" t="str">
        <f>المدخلات!$F$6</f>
        <v>6:40–7:50 م</v>
      </c>
      <c r="C152" s="7">
        <v>2</v>
      </c>
      <c r="D152" s="7" t="s">
        <v>593</v>
      </c>
      <c r="E152" s="7" t="s">
        <v>722</v>
      </c>
      <c r="F152" s="2"/>
    </row>
    <row r="153" spans="1:6" ht="14" customHeight="1">
      <c r="A153" s="8">
        <v>14</v>
      </c>
      <c r="B153" s="7" t="str">
        <f>المدخلات!$F$4</f>
        <v>4:00–5:10 م</v>
      </c>
      <c r="C153" s="7">
        <v>3</v>
      </c>
      <c r="D153" s="7" t="s">
        <v>594</v>
      </c>
      <c r="E153" s="7" t="s">
        <v>109</v>
      </c>
      <c r="F153" s="2"/>
    </row>
    <row r="154" spans="1:6" ht="14" customHeight="1">
      <c r="A154" s="8">
        <v>14</v>
      </c>
      <c r="B154" s="7" t="str">
        <f>المدخلات!$F$4</f>
        <v>4:00–5:10 م</v>
      </c>
      <c r="C154" s="7">
        <v>4</v>
      </c>
      <c r="D154" s="7" t="s">
        <v>594</v>
      </c>
      <c r="E154" s="7" t="s">
        <v>145</v>
      </c>
      <c r="F154" s="2"/>
    </row>
    <row r="155" spans="1:6" ht="14" customHeight="1">
      <c r="A155" s="8">
        <v>14</v>
      </c>
      <c r="B155" s="7" t="str">
        <f>المدخلات!$F$5</f>
        <v>5:20–6:30 م</v>
      </c>
      <c r="C155" s="7">
        <v>3</v>
      </c>
      <c r="D155" s="7" t="s">
        <v>594</v>
      </c>
      <c r="E155" s="7" t="s">
        <v>835</v>
      </c>
      <c r="F155" s="2"/>
    </row>
    <row r="156" spans="1:6" ht="14" customHeight="1">
      <c r="A156" s="8">
        <v>14</v>
      </c>
      <c r="B156" s="7" t="str">
        <f>المدخلات!$F$5</f>
        <v>5:20–6:30 م</v>
      </c>
      <c r="C156" s="7">
        <v>4</v>
      </c>
      <c r="D156" s="7" t="s">
        <v>594</v>
      </c>
      <c r="E156" s="7" t="s">
        <v>649</v>
      </c>
      <c r="F156" s="2"/>
    </row>
    <row r="157" spans="1:6" ht="14" customHeight="1">
      <c r="A157" s="8">
        <v>14</v>
      </c>
      <c r="B157" s="7" t="str">
        <f>المدخلات!$F$6</f>
        <v>6:40–7:50 م</v>
      </c>
      <c r="C157" s="7">
        <v>3</v>
      </c>
      <c r="D157" s="7" t="s">
        <v>594</v>
      </c>
      <c r="E157" s="7" t="s">
        <v>205</v>
      </c>
      <c r="F157" s="2"/>
    </row>
    <row r="158" spans="1:6" ht="14" customHeight="1">
      <c r="A158" s="8">
        <v>15</v>
      </c>
      <c r="B158" s="7" t="str">
        <f>المدخلات!$F$4</f>
        <v>4:00–5:10 م</v>
      </c>
      <c r="C158" s="7">
        <v>1</v>
      </c>
      <c r="D158" s="7" t="s">
        <v>593</v>
      </c>
      <c r="E158" s="7" t="s">
        <v>45</v>
      </c>
      <c r="F158" s="2"/>
    </row>
    <row r="159" spans="1:6" ht="14" customHeight="1">
      <c r="A159" s="8">
        <v>15</v>
      </c>
      <c r="B159" s="7" t="str">
        <f>المدخلات!$F$4</f>
        <v>4:00–5:10 م</v>
      </c>
      <c r="C159" s="7">
        <v>2</v>
      </c>
      <c r="D159" s="7" t="s">
        <v>593</v>
      </c>
      <c r="E159" s="7" t="s">
        <v>742</v>
      </c>
      <c r="F159" s="2"/>
    </row>
    <row r="160" spans="1:6" ht="14" customHeight="1">
      <c r="A160" s="8">
        <v>15</v>
      </c>
      <c r="B160" s="7" t="str">
        <f>المدخلات!$F$5</f>
        <v>5:20–6:30 م</v>
      </c>
      <c r="C160" s="7">
        <v>1</v>
      </c>
      <c r="D160" s="7" t="s">
        <v>593</v>
      </c>
      <c r="E160" s="7" t="s">
        <v>60</v>
      </c>
      <c r="F160" s="2"/>
    </row>
    <row r="161" spans="1:6" ht="14" customHeight="1">
      <c r="A161" s="8">
        <v>15</v>
      </c>
      <c r="B161" s="7" t="str">
        <f>المدخلات!$F$5</f>
        <v>5:20–6:30 م</v>
      </c>
      <c r="C161" s="7">
        <v>2</v>
      </c>
      <c r="D161" s="7" t="s">
        <v>593</v>
      </c>
      <c r="E161" s="7" t="s">
        <v>36</v>
      </c>
      <c r="F161" s="2"/>
    </row>
    <row r="162" spans="1:6" ht="14" customHeight="1">
      <c r="A162" s="8">
        <v>15</v>
      </c>
      <c r="B162" s="7" t="str">
        <f>المدخلات!$F$6</f>
        <v>6:40–7:50 م</v>
      </c>
      <c r="C162" s="7">
        <v>1</v>
      </c>
      <c r="D162" s="7" t="s">
        <v>593</v>
      </c>
      <c r="E162" s="7" t="s">
        <v>19</v>
      </c>
      <c r="F162" s="2"/>
    </row>
    <row r="163" spans="1:6" ht="14" customHeight="1">
      <c r="A163" s="8">
        <v>15</v>
      </c>
      <c r="B163" s="7" t="str">
        <f>المدخلات!$F$6</f>
        <v>6:40–7:50 م</v>
      </c>
      <c r="C163" s="7">
        <v>2</v>
      </c>
      <c r="D163" s="7" t="s">
        <v>593</v>
      </c>
      <c r="E163" s="7" t="s">
        <v>7</v>
      </c>
      <c r="F163" s="2"/>
    </row>
    <row r="164" spans="1:6" ht="14" customHeight="1">
      <c r="A164" s="8">
        <v>15</v>
      </c>
      <c r="B164" s="7" t="str">
        <f>المدخلات!$F$4</f>
        <v>4:00–5:10 م</v>
      </c>
      <c r="C164" s="7">
        <v>3</v>
      </c>
      <c r="D164" s="7" t="s">
        <v>594</v>
      </c>
      <c r="E164" s="7" t="s">
        <v>844</v>
      </c>
      <c r="F164" s="2"/>
    </row>
    <row r="165" spans="1:6" ht="14" customHeight="1">
      <c r="A165" s="8">
        <v>15</v>
      </c>
      <c r="B165" s="7" t="str">
        <f>المدخلات!$F$4</f>
        <v>4:00–5:10 م</v>
      </c>
      <c r="C165" s="7">
        <v>4</v>
      </c>
      <c r="D165" s="7" t="s">
        <v>594</v>
      </c>
      <c r="E165" s="7" t="s">
        <v>229</v>
      </c>
      <c r="F165" s="2"/>
    </row>
    <row r="166" spans="1:6" ht="14" customHeight="1">
      <c r="A166" s="8">
        <v>15</v>
      </c>
      <c r="B166" s="7" t="str">
        <f>المدخلات!$F$5</f>
        <v>5:20–6:30 م</v>
      </c>
      <c r="C166" s="7">
        <v>3</v>
      </c>
      <c r="D166" s="7" t="s">
        <v>594</v>
      </c>
      <c r="E166" s="7" t="s">
        <v>219</v>
      </c>
      <c r="F166" s="2"/>
    </row>
    <row r="167" spans="1:6" ht="14" customHeight="1">
      <c r="A167" s="8">
        <v>15</v>
      </c>
      <c r="B167" s="7" t="str">
        <f>المدخلات!$F$5</f>
        <v>5:20–6:30 م</v>
      </c>
      <c r="C167" s="7">
        <v>4</v>
      </c>
      <c r="D167" s="7" t="s">
        <v>594</v>
      </c>
      <c r="E167" s="7" t="s">
        <v>167</v>
      </c>
      <c r="F167" s="2"/>
    </row>
    <row r="168" spans="1:6" ht="14" customHeight="1">
      <c r="A168" s="8">
        <v>15</v>
      </c>
      <c r="B168" s="7" t="str">
        <f>المدخلات!$F$6</f>
        <v>6:40–7:50 م</v>
      </c>
      <c r="C168" s="7">
        <v>3</v>
      </c>
      <c r="D168" s="7" t="s">
        <v>594</v>
      </c>
      <c r="E168" s="7" t="s">
        <v>102</v>
      </c>
      <c r="F168" s="2"/>
    </row>
    <row r="169" spans="1:6" ht="14" customHeight="1">
      <c r="A169" s="8">
        <v>16</v>
      </c>
      <c r="B169" s="7" t="str">
        <f>المدخلات!$F$4</f>
        <v>4:00–5:10 م</v>
      </c>
      <c r="C169" s="7">
        <v>1</v>
      </c>
      <c r="D169" s="7" t="s">
        <v>593</v>
      </c>
      <c r="E169" s="7" t="s">
        <v>1060</v>
      </c>
      <c r="F169" s="2"/>
    </row>
    <row r="170" spans="1:6" ht="14" customHeight="1">
      <c r="A170" s="8">
        <v>16</v>
      </c>
      <c r="B170" s="7" t="str">
        <f>المدخلات!$F$4</f>
        <v>4:00–5:10 م</v>
      </c>
      <c r="C170" s="7">
        <v>2</v>
      </c>
      <c r="D170" s="7" t="s">
        <v>593</v>
      </c>
      <c r="E170" s="7" t="s">
        <v>1059</v>
      </c>
      <c r="F170" s="2"/>
    </row>
    <row r="171" spans="1:6" ht="14" customHeight="1">
      <c r="A171" s="8">
        <v>16</v>
      </c>
      <c r="B171" s="7" t="str">
        <f>المدخلات!$F$5</f>
        <v>5:20–6:30 م</v>
      </c>
      <c r="C171" s="7">
        <v>1</v>
      </c>
      <c r="D171" s="7" t="s">
        <v>593</v>
      </c>
      <c r="E171" s="7" t="s">
        <v>34</v>
      </c>
      <c r="F171" s="2"/>
    </row>
    <row r="172" spans="1:6" ht="14" customHeight="1">
      <c r="A172" s="8">
        <v>16</v>
      </c>
      <c r="B172" s="7" t="str">
        <f>المدخلات!$F$5</f>
        <v>5:20–6:30 م</v>
      </c>
      <c r="C172" s="7">
        <v>2</v>
      </c>
      <c r="D172" s="7" t="s">
        <v>593</v>
      </c>
      <c r="E172" s="7" t="s">
        <v>1064</v>
      </c>
      <c r="F172" s="2"/>
    </row>
    <row r="173" spans="1:6" ht="14" customHeight="1">
      <c r="A173" s="8">
        <v>16</v>
      </c>
      <c r="B173" s="7" t="str">
        <f>المدخلات!$F$6</f>
        <v>6:40–7:50 م</v>
      </c>
      <c r="C173" s="7">
        <v>1</v>
      </c>
      <c r="D173" s="7" t="s">
        <v>593</v>
      </c>
      <c r="E173" s="7" t="s">
        <v>865</v>
      </c>
      <c r="F173" s="2"/>
    </row>
    <row r="174" spans="1:6" ht="14" customHeight="1">
      <c r="A174" s="8">
        <v>16</v>
      </c>
      <c r="B174" s="7" t="str">
        <f>المدخلات!$F$6</f>
        <v>6:40–7:50 م</v>
      </c>
      <c r="C174" s="7">
        <v>2</v>
      </c>
      <c r="D174" s="7" t="s">
        <v>593</v>
      </c>
      <c r="E174" s="7" t="s">
        <v>23</v>
      </c>
      <c r="F174" s="2"/>
    </row>
    <row r="175" spans="1:6" ht="14" customHeight="1">
      <c r="A175" s="8">
        <v>16</v>
      </c>
      <c r="B175" s="7" t="str">
        <f>المدخلات!$F$4</f>
        <v>4:00–5:10 م</v>
      </c>
      <c r="C175" s="7">
        <v>3</v>
      </c>
      <c r="D175" s="7" t="s">
        <v>594</v>
      </c>
      <c r="E175" s="7" t="s">
        <v>223</v>
      </c>
      <c r="F175" s="2"/>
    </row>
    <row r="176" spans="1:6" ht="14" customHeight="1">
      <c r="A176" s="8">
        <v>16</v>
      </c>
      <c r="B176" s="7" t="str">
        <f>المدخلات!$F$4</f>
        <v>4:00–5:10 م</v>
      </c>
      <c r="C176" s="7">
        <v>4</v>
      </c>
      <c r="D176" s="7" t="s">
        <v>594</v>
      </c>
      <c r="E176" s="7" t="s">
        <v>196</v>
      </c>
      <c r="F176" s="2"/>
    </row>
    <row r="177" spans="1:6" ht="14" customHeight="1">
      <c r="A177" s="8">
        <v>16</v>
      </c>
      <c r="B177" s="7" t="str">
        <f>المدخلات!$F$5</f>
        <v>5:20–6:30 م</v>
      </c>
      <c r="C177" s="7">
        <v>3</v>
      </c>
      <c r="D177" s="7" t="s">
        <v>594</v>
      </c>
      <c r="E177" s="7" t="s">
        <v>129</v>
      </c>
      <c r="F177" s="2"/>
    </row>
    <row r="178" spans="1:6" ht="14" customHeight="1">
      <c r="A178" s="8">
        <v>16</v>
      </c>
      <c r="B178" s="7" t="str">
        <f>المدخلات!$F$5</f>
        <v>5:20–6:30 م</v>
      </c>
      <c r="C178" s="7">
        <v>4</v>
      </c>
      <c r="D178" s="7" t="s">
        <v>594</v>
      </c>
      <c r="E178" s="7" t="s">
        <v>98</v>
      </c>
      <c r="F178" s="2"/>
    </row>
    <row r="179" spans="1:6" ht="14" customHeight="1">
      <c r="A179" s="8">
        <v>16</v>
      </c>
      <c r="B179" s="7" t="str">
        <f>المدخلات!$F$6</f>
        <v>6:40–7:50 م</v>
      </c>
      <c r="C179" s="7">
        <v>3</v>
      </c>
      <c r="D179" s="7" t="s">
        <v>594</v>
      </c>
      <c r="E179" s="7" t="s">
        <v>161</v>
      </c>
      <c r="F179" s="2"/>
    </row>
    <row r="180" spans="1:6" ht="14" customHeight="1">
      <c r="A180" s="8">
        <v>17</v>
      </c>
      <c r="B180" s="7" t="str">
        <f>المدخلات!$F$4</f>
        <v>4:00–5:10 م</v>
      </c>
      <c r="C180" s="7">
        <v>1</v>
      </c>
      <c r="D180" s="7" t="s">
        <v>593</v>
      </c>
      <c r="E180" s="7" t="s">
        <v>25</v>
      </c>
      <c r="F180" s="2"/>
    </row>
    <row r="181" spans="1:6" ht="14" customHeight="1">
      <c r="A181" s="8">
        <v>17</v>
      </c>
      <c r="B181" s="7" t="str">
        <f>المدخلات!$F$4</f>
        <v>4:00–5:10 م</v>
      </c>
      <c r="C181" s="7">
        <v>2</v>
      </c>
      <c r="D181" s="7" t="s">
        <v>593</v>
      </c>
      <c r="E181" s="7" t="s">
        <v>28</v>
      </c>
      <c r="F181" s="2"/>
    </row>
    <row r="182" spans="1:6" ht="14" customHeight="1">
      <c r="A182" s="8">
        <v>17</v>
      </c>
      <c r="B182" s="7" t="str">
        <f>المدخلات!$F$5</f>
        <v>5:20–6:30 م</v>
      </c>
      <c r="C182" s="7">
        <v>1</v>
      </c>
      <c r="D182" s="7" t="s">
        <v>593</v>
      </c>
      <c r="E182" s="7" t="s">
        <v>38</v>
      </c>
      <c r="F182" s="2"/>
    </row>
    <row r="183" spans="1:6" ht="14" customHeight="1">
      <c r="A183" s="8">
        <v>17</v>
      </c>
      <c r="B183" s="7" t="str">
        <f>المدخلات!$F$5</f>
        <v>5:20–6:30 م</v>
      </c>
      <c r="C183" s="7">
        <v>2</v>
      </c>
      <c r="D183" s="7" t="s">
        <v>593</v>
      </c>
      <c r="E183" s="7" t="s">
        <v>66</v>
      </c>
      <c r="F183" s="2"/>
    </row>
    <row r="184" spans="1:6" ht="14" customHeight="1">
      <c r="A184" s="8">
        <v>17</v>
      </c>
      <c r="B184" s="7" t="str">
        <f>المدخلات!$F$6</f>
        <v>6:40–7:50 م</v>
      </c>
      <c r="C184" s="7">
        <v>1</v>
      </c>
      <c r="D184" s="7" t="s">
        <v>593</v>
      </c>
      <c r="E184" s="7" t="s">
        <v>48</v>
      </c>
      <c r="F184" s="2"/>
    </row>
    <row r="185" spans="1:6" ht="14" customHeight="1">
      <c r="A185" s="8">
        <v>17</v>
      </c>
      <c r="B185" s="7" t="str">
        <f>المدخلات!$F$6</f>
        <v>6:40–7:50 م</v>
      </c>
      <c r="C185" s="7">
        <v>2</v>
      </c>
      <c r="D185" s="7" t="s">
        <v>593</v>
      </c>
      <c r="E185" s="7" t="s">
        <v>59</v>
      </c>
      <c r="F185" s="2"/>
    </row>
    <row r="186" spans="1:6" ht="14" customHeight="1">
      <c r="A186" s="8">
        <v>17</v>
      </c>
      <c r="B186" s="7" t="str">
        <f>المدخلات!$F$4</f>
        <v>4:00–5:10 م</v>
      </c>
      <c r="C186" s="7">
        <v>3</v>
      </c>
      <c r="D186" s="7" t="s">
        <v>594</v>
      </c>
      <c r="E186" s="7" t="s">
        <v>1078</v>
      </c>
      <c r="F186" s="2"/>
    </row>
    <row r="187" spans="1:6" ht="14" customHeight="1">
      <c r="A187" s="8">
        <v>17</v>
      </c>
      <c r="B187" s="7" t="str">
        <f>المدخلات!$F$4</f>
        <v>4:00–5:10 م</v>
      </c>
      <c r="C187" s="7">
        <v>4</v>
      </c>
      <c r="D187" s="7" t="s">
        <v>594</v>
      </c>
      <c r="E187" s="7" t="s">
        <v>1161</v>
      </c>
      <c r="F187" s="2"/>
    </row>
    <row r="188" spans="1:6" ht="14" customHeight="1">
      <c r="A188" s="8">
        <v>17</v>
      </c>
      <c r="B188" s="7" t="str">
        <f>المدخلات!$F$5</f>
        <v>5:20–6:30 م</v>
      </c>
      <c r="C188" s="7">
        <v>3</v>
      </c>
      <c r="D188" s="7" t="s">
        <v>594</v>
      </c>
      <c r="E188" s="7" t="s">
        <v>211</v>
      </c>
      <c r="F188" s="2"/>
    </row>
    <row r="189" spans="1:6" ht="14" customHeight="1">
      <c r="A189" s="8">
        <v>17</v>
      </c>
      <c r="B189" s="7" t="str">
        <f>المدخلات!$F$5</f>
        <v>5:20–6:30 م</v>
      </c>
      <c r="C189" s="7">
        <v>4</v>
      </c>
      <c r="D189" s="7" t="s">
        <v>594</v>
      </c>
      <c r="E189" s="7" t="s">
        <v>1167</v>
      </c>
      <c r="F189" s="2"/>
    </row>
    <row r="190" spans="1:6" ht="14" customHeight="1">
      <c r="A190" s="8">
        <v>17</v>
      </c>
      <c r="B190" s="7" t="str">
        <f>المدخلات!$F$6</f>
        <v>6:40–7:50 م</v>
      </c>
      <c r="C190" s="7">
        <v>3</v>
      </c>
      <c r="D190" s="7" t="s">
        <v>594</v>
      </c>
      <c r="E190" s="7" t="s">
        <v>152</v>
      </c>
      <c r="F190" s="2"/>
    </row>
    <row r="191" spans="1:6" ht="14" customHeight="1">
      <c r="A191" s="8">
        <v>18</v>
      </c>
      <c r="B191" s="7" t="str">
        <f>المدخلات!$F$4</f>
        <v>4:00–5:10 م</v>
      </c>
      <c r="C191" s="7">
        <v>1</v>
      </c>
      <c r="D191" s="7" t="s">
        <v>593</v>
      </c>
      <c r="E191" s="7" t="s">
        <v>805</v>
      </c>
      <c r="F191" s="2"/>
    </row>
    <row r="192" spans="1:6" ht="14" customHeight="1">
      <c r="A192" s="8">
        <v>18</v>
      </c>
      <c r="B192" s="7" t="str">
        <f>المدخلات!$F$4</f>
        <v>4:00–5:10 م</v>
      </c>
      <c r="C192" s="7">
        <v>2</v>
      </c>
      <c r="D192" s="7" t="s">
        <v>593</v>
      </c>
      <c r="E192" s="7" t="s">
        <v>15</v>
      </c>
      <c r="F192" s="2"/>
    </row>
    <row r="193" spans="1:6" ht="14" customHeight="1">
      <c r="A193" s="8">
        <v>18</v>
      </c>
      <c r="B193" s="7" t="str">
        <f>المدخلات!$F$5</f>
        <v>5:20–6:30 م</v>
      </c>
      <c r="C193" s="7">
        <v>1</v>
      </c>
      <c r="D193" s="7" t="s">
        <v>593</v>
      </c>
      <c r="E193" s="7" t="s">
        <v>72</v>
      </c>
      <c r="F193" s="2"/>
    </row>
    <row r="194" spans="1:6" ht="14" customHeight="1">
      <c r="A194" s="8">
        <v>18</v>
      </c>
      <c r="B194" s="7" t="str">
        <f>المدخلات!$F$5</f>
        <v>5:20–6:30 م</v>
      </c>
      <c r="C194" s="7">
        <v>2</v>
      </c>
      <c r="D194" s="7" t="s">
        <v>593</v>
      </c>
      <c r="E194" s="7" t="s">
        <v>608</v>
      </c>
      <c r="F194" s="2"/>
    </row>
    <row r="195" spans="1:6" ht="14" customHeight="1">
      <c r="A195" s="8">
        <v>18</v>
      </c>
      <c r="B195" s="7" t="str">
        <f>المدخلات!$F$6</f>
        <v>6:40–7:50 م</v>
      </c>
      <c r="C195" s="7">
        <v>1</v>
      </c>
      <c r="D195" s="7" t="s">
        <v>593</v>
      </c>
      <c r="E195" s="7" t="s">
        <v>607</v>
      </c>
      <c r="F195" s="2"/>
    </row>
    <row r="196" spans="1:6" ht="14" customHeight="1">
      <c r="A196" s="8">
        <v>18</v>
      </c>
      <c r="B196" s="7" t="str">
        <f>المدخلات!$F$6</f>
        <v>6:40–7:50 م</v>
      </c>
      <c r="C196" s="7">
        <v>2</v>
      </c>
      <c r="D196" s="7" t="s">
        <v>593</v>
      </c>
      <c r="E196" s="7" t="s">
        <v>804</v>
      </c>
      <c r="F196" s="2"/>
    </row>
    <row r="197" spans="1:6" ht="14" customHeight="1">
      <c r="A197" s="8">
        <v>18</v>
      </c>
      <c r="B197" s="7" t="str">
        <f>المدخلات!$F$4</f>
        <v>4:00–5:10 م</v>
      </c>
      <c r="C197" s="7">
        <v>3</v>
      </c>
      <c r="D197" s="7" t="s">
        <v>594</v>
      </c>
      <c r="E197" s="7" t="s">
        <v>841</v>
      </c>
      <c r="F197" s="2"/>
    </row>
    <row r="198" spans="1:6" ht="14" customHeight="1">
      <c r="A198" s="8">
        <v>18</v>
      </c>
      <c r="B198" s="7" t="str">
        <f>المدخلات!$F$4</f>
        <v>4:00–5:10 م</v>
      </c>
      <c r="C198" s="7">
        <v>4</v>
      </c>
      <c r="D198" s="7" t="s">
        <v>594</v>
      </c>
      <c r="E198" s="7" t="s">
        <v>843</v>
      </c>
      <c r="F198" s="2"/>
    </row>
    <row r="199" spans="1:6" ht="14" customHeight="1">
      <c r="A199" s="8">
        <v>18</v>
      </c>
      <c r="B199" s="7" t="str">
        <f>المدخلات!$F$5</f>
        <v>5:20–6:30 م</v>
      </c>
      <c r="C199" s="7">
        <v>3</v>
      </c>
      <c r="D199" s="7" t="s">
        <v>594</v>
      </c>
      <c r="E199" s="7" t="s">
        <v>839</v>
      </c>
      <c r="F199" s="2"/>
    </row>
    <row r="200" spans="1:6" ht="14" customHeight="1">
      <c r="A200" s="8">
        <v>18</v>
      </c>
      <c r="B200" s="7" t="str">
        <f>المدخلات!$F$5</f>
        <v>5:20–6:30 م</v>
      </c>
      <c r="C200" s="7">
        <v>4</v>
      </c>
      <c r="D200" s="7" t="s">
        <v>594</v>
      </c>
      <c r="E200" s="7" t="s">
        <v>852</v>
      </c>
      <c r="F200" s="2"/>
    </row>
    <row r="201" spans="1:6" ht="14" customHeight="1">
      <c r="A201" s="8">
        <v>19</v>
      </c>
      <c r="B201" s="7" t="str">
        <f>المدخلات!$F$4</f>
        <v>4:00–5:10 م</v>
      </c>
      <c r="C201" s="7">
        <v>3</v>
      </c>
      <c r="D201" s="7" t="s">
        <v>594</v>
      </c>
      <c r="E201" s="7" t="s">
        <v>854</v>
      </c>
      <c r="F201" s="2"/>
    </row>
    <row r="202" spans="1:6" ht="14" customHeight="1">
      <c r="A202" s="8">
        <v>19</v>
      </c>
      <c r="B202" s="7" t="str">
        <f>المدخلات!$F$4</f>
        <v>4:00–5:10 م</v>
      </c>
      <c r="C202" s="7">
        <v>4</v>
      </c>
      <c r="D202" s="7" t="s">
        <v>594</v>
      </c>
      <c r="E202" s="7" t="s">
        <v>228</v>
      </c>
      <c r="F202" s="2"/>
    </row>
    <row r="203" spans="1:6" ht="14" customHeight="1">
      <c r="A203" s="8">
        <v>19</v>
      </c>
      <c r="B203" s="7" t="str">
        <f>المدخلات!$F$5</f>
        <v>5:20–6:30 م</v>
      </c>
      <c r="C203" s="7">
        <v>3</v>
      </c>
      <c r="D203" s="7" t="s">
        <v>594</v>
      </c>
      <c r="E203" s="7" t="s">
        <v>220</v>
      </c>
      <c r="F203" s="2"/>
    </row>
    <row r="204" spans="1:6" ht="14" customHeight="1">
      <c r="A204" s="8">
        <v>19</v>
      </c>
      <c r="B204" s="7" t="str">
        <f>المدخلات!$F$5</f>
        <v>5:20–6:30 م</v>
      </c>
      <c r="C204" s="7">
        <v>4</v>
      </c>
      <c r="D204" s="7" t="s">
        <v>594</v>
      </c>
      <c r="E204" s="7" t="s">
        <v>206</v>
      </c>
      <c r="F204" s="2"/>
    </row>
    <row r="205" spans="1:6" ht="14" customHeight="1">
      <c r="A205" s="8">
        <v>20</v>
      </c>
      <c r="B205" s="7" t="str">
        <f>المدخلات!$F$4</f>
        <v>4:00–5:10 م</v>
      </c>
      <c r="C205" s="7">
        <v>3</v>
      </c>
      <c r="D205" s="7" t="s">
        <v>594</v>
      </c>
      <c r="E205" s="7" t="s">
        <v>146</v>
      </c>
      <c r="F205" s="2"/>
    </row>
    <row r="206" spans="1:6" ht="14" customHeight="1">
      <c r="A206" s="8">
        <v>20</v>
      </c>
      <c r="B206" s="7" t="str">
        <f>المدخلات!$F$4</f>
        <v>4:00–5:10 م</v>
      </c>
      <c r="C206" s="7">
        <v>4</v>
      </c>
      <c r="D206" s="7" t="s">
        <v>594</v>
      </c>
      <c r="E206" s="7" t="s">
        <v>848</v>
      </c>
      <c r="F206" s="2"/>
    </row>
    <row r="207" spans="1:6" ht="14" customHeight="1">
      <c r="A207" s="8">
        <v>20</v>
      </c>
      <c r="B207" s="7" t="str">
        <f>المدخلات!$F$5</f>
        <v>5:20–6:30 م</v>
      </c>
      <c r="C207" s="7">
        <v>3</v>
      </c>
      <c r="D207" s="7" t="s">
        <v>594</v>
      </c>
      <c r="E207" s="7" t="s">
        <v>168</v>
      </c>
      <c r="F207" s="2"/>
    </row>
    <row r="208" spans="1:6" ht="14" customHeight="1">
      <c r="A208" s="8">
        <v>20</v>
      </c>
      <c r="B208" s="7" t="str">
        <f>المدخلات!$F$5</f>
        <v>5:20–6:30 م</v>
      </c>
      <c r="C208" s="7">
        <v>4</v>
      </c>
      <c r="D208" s="7" t="s">
        <v>594</v>
      </c>
      <c r="E208" s="7" t="s">
        <v>160</v>
      </c>
      <c r="F208" s="2"/>
    </row>
    <row r="209" spans="1:24" ht="14" customHeight="1">
      <c r="A209" s="8">
        <v>21</v>
      </c>
      <c r="B209" s="7" t="str">
        <f>المدخلات!$F$4</f>
        <v>4:00–5:10 م</v>
      </c>
      <c r="C209" s="7">
        <v>3</v>
      </c>
      <c r="D209" s="7" t="s">
        <v>594</v>
      </c>
      <c r="E209" s="7" t="s">
        <v>855</v>
      </c>
      <c r="F209" s="2"/>
    </row>
    <row r="210" spans="1:24" ht="14" customHeight="1">
      <c r="A210" s="8">
        <v>21</v>
      </c>
      <c r="B210" s="7" t="str">
        <f>المدخلات!$F$4</f>
        <v>4:00–5:10 م</v>
      </c>
      <c r="C210" s="7">
        <v>4</v>
      </c>
      <c r="D210" s="7" t="s">
        <v>594</v>
      </c>
      <c r="E210" s="7" t="s">
        <v>856</v>
      </c>
      <c r="F210" s="2"/>
    </row>
    <row r="211" spans="1:24" ht="14" customHeight="1">
      <c r="A211" s="8">
        <v>22</v>
      </c>
      <c r="B211" s="7" t="str">
        <f>المدخلات!$F$4</f>
        <v>4:00–5:10 م</v>
      </c>
      <c r="C211" s="7">
        <v>1</v>
      </c>
      <c r="D211" s="7" t="s">
        <v>656</v>
      </c>
      <c r="E211" s="7" t="s">
        <v>597</v>
      </c>
      <c r="F211" s="2"/>
    </row>
    <row r="212" spans="1:24" ht="14" customHeight="1">
      <c r="A212" s="2"/>
      <c r="B212" s="2"/>
      <c r="C212" s="2"/>
      <c r="D212" s="2"/>
      <c r="E212" s="2"/>
    </row>
    <row r="213" spans="1:24" ht="14" customHeight="1">
      <c r="A213" s="2"/>
      <c r="B213" s="2"/>
      <c r="C213" s="2"/>
      <c r="D213" s="2"/>
      <c r="E213" s="2"/>
    </row>
    <row r="214" spans="1:24" ht="14" customHeight="1">
      <c r="A214" s="17" t="s">
        <v>828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4" customHeight="1">
      <c r="A215" s="6" t="s">
        <v>829</v>
      </c>
      <c r="B215" s="6">
        <v>1</v>
      </c>
      <c r="C215" s="6">
        <v>2</v>
      </c>
      <c r="D215" s="6">
        <v>3</v>
      </c>
      <c r="E215" s="6">
        <v>4</v>
      </c>
      <c r="F215" s="6">
        <v>5</v>
      </c>
      <c r="G215" s="6">
        <v>6</v>
      </c>
      <c r="H215" s="6">
        <v>7</v>
      </c>
      <c r="I215" s="6">
        <v>8</v>
      </c>
      <c r="J215" s="6">
        <v>9</v>
      </c>
      <c r="K215" s="6">
        <v>10</v>
      </c>
      <c r="L215" s="6">
        <v>11</v>
      </c>
      <c r="M215" s="6">
        <v>12</v>
      </c>
      <c r="N215" s="6">
        <v>13</v>
      </c>
      <c r="O215" s="6">
        <v>14</v>
      </c>
      <c r="P215" s="6">
        <v>15</v>
      </c>
      <c r="Q215" s="6">
        <v>16</v>
      </c>
      <c r="R215" s="6">
        <v>17</v>
      </c>
      <c r="S215" s="6">
        <v>18</v>
      </c>
      <c r="T215" s="6">
        <v>19</v>
      </c>
      <c r="U215" s="6">
        <v>20</v>
      </c>
      <c r="V215" s="6">
        <v>21</v>
      </c>
      <c r="W215" s="6">
        <v>22</v>
      </c>
      <c r="X215" s="6">
        <v>23</v>
      </c>
    </row>
    <row r="216" spans="1:24" ht="14" customHeight="1">
      <c r="A216" s="14">
        <v>1</v>
      </c>
      <c r="B216" s="4" t="str">
        <f>IF($A216=B$215,"",COUNTIF($E$4:$E$211,$A216&amp;" ضد "&amp;B$215)+COUNTIF($E$4:$E$211,B$215&amp;" ضد "&amp;$A216))</f>
        <v/>
      </c>
      <c r="C216" s="4">
        <f>IF($A216=C$215,"",COUNTIF($E$4:$E$211,$A216&amp;" ضد "&amp;C$215)+COUNTIF($E$4:$E$211,C$215&amp;" ضد "&amp;$A216))</f>
        <v>1</v>
      </c>
      <c r="D216" s="4">
        <f>IF($A216=D$215,"",COUNTIF($E$4:$E$211,$A216&amp;" ضد "&amp;D$215)+COUNTIF($E$4:$E$211,D$215&amp;" ضد "&amp;$A216))</f>
        <v>1</v>
      </c>
      <c r="E216" s="4">
        <f>IF($A216=E$215,"",COUNTIF($E$4:$E$211,$A216&amp;" ضد "&amp;E$215)+COUNTIF($E$4:$E$211,E$215&amp;" ضد "&amp;$A216))</f>
        <v>1</v>
      </c>
      <c r="F216" s="4">
        <f>IF($A216=F$215,"",COUNTIF($E$4:$E$211,$A216&amp;" ضد "&amp;F$215)+COUNTIF($E$4:$E$211,F$215&amp;" ضد "&amp;$A216))</f>
        <v>1</v>
      </c>
      <c r="G216" s="4">
        <f>IF($A216=G$215,"",COUNTIF($E$4:$E$211,$A216&amp;" ضد "&amp;G$215)+COUNTIF($E$4:$E$211,G$215&amp;" ضد "&amp;$A216))</f>
        <v>2</v>
      </c>
      <c r="H216" s="4">
        <f>IF($A216=H$215,"",COUNTIF($E$4:$E$211,$A216&amp;" ضد "&amp;H$215)+COUNTIF($E$4:$E$211,H$215&amp;" ضد "&amp;$A216))</f>
        <v>2</v>
      </c>
      <c r="I216" s="4">
        <f>IF($A216=I$215,"",COUNTIF($E$4:$E$211,$A216&amp;" ضد "&amp;I$215)+COUNTIF($E$4:$E$211,I$215&amp;" ضد "&amp;$A216))</f>
        <v>2</v>
      </c>
      <c r="J216" s="4">
        <f>IF($A216=J$215,"",COUNTIF($E$4:$E$211,$A216&amp;" ضد "&amp;J$215)+COUNTIF($E$4:$E$211,J$215&amp;" ضد "&amp;$A216))</f>
        <v>2</v>
      </c>
      <c r="K216" s="4">
        <f>IF($A216=K$215,"",COUNTIF($E$4:$E$211,$A216&amp;" ضد "&amp;K$215)+COUNTIF($E$4:$E$211,K$215&amp;" ضد "&amp;$A216))</f>
        <v>2</v>
      </c>
      <c r="L216" s="4">
        <f>IF($A216=L$215,"",COUNTIF($E$4:$E$211,$A216&amp;" ضد "&amp;L$215)+COUNTIF($E$4:$E$211,L$215&amp;" ضد "&amp;$A216))</f>
        <v>2</v>
      </c>
      <c r="M216" s="4">
        <f>IF($A216=M$215,"",COUNTIF($E$4:$E$211,$A216&amp;" ضد "&amp;M$215)+COUNTIF($E$4:$E$211,M$215&amp;" ضد "&amp;$A216))</f>
        <v>2</v>
      </c>
      <c r="N216" s="4">
        <f>IF($A216=N$215,"",COUNTIF($E$4:$E$211,$A216&amp;" ضد "&amp;N$215)+COUNTIF($E$4:$E$211,N$215&amp;" ضد "&amp;$A216))</f>
        <v>0</v>
      </c>
      <c r="O216" s="4">
        <f>IF($A216=O$215,"",COUNTIF($E$4:$E$211,$A216&amp;" ضد "&amp;O$215)+COUNTIF($E$4:$E$211,O$215&amp;" ضد "&amp;$A216))</f>
        <v>0</v>
      </c>
      <c r="P216" s="4">
        <f>IF($A216=P$215,"",COUNTIF($E$4:$E$211,$A216&amp;" ضد "&amp;P$215)+COUNTIF($E$4:$E$211,P$215&amp;" ضد "&amp;$A216))</f>
        <v>0</v>
      </c>
      <c r="Q216" s="4">
        <f>IF($A216=Q$215,"",COUNTIF($E$4:$E$211,$A216&amp;" ضد "&amp;Q$215)+COUNTIF($E$4:$E$211,Q$215&amp;" ضد "&amp;$A216))</f>
        <v>0</v>
      </c>
      <c r="R216" s="4">
        <f>IF($A216=R$215,"",COUNTIF($E$4:$E$211,$A216&amp;" ضد "&amp;R$215)+COUNTIF($E$4:$E$211,R$215&amp;" ضد "&amp;$A216))</f>
        <v>0</v>
      </c>
      <c r="S216" s="4">
        <f>IF($A216=S$215,"",COUNTIF($E$4:$E$211,$A216&amp;" ضد "&amp;S$215)+COUNTIF($E$4:$E$211,S$215&amp;" ضد "&amp;$A216))</f>
        <v>0</v>
      </c>
      <c r="T216" s="4">
        <f>IF($A216=T$215,"",COUNTIF($E$4:$E$211,$A216&amp;" ضد "&amp;T$215)+COUNTIF($E$4:$E$211,T$215&amp;" ضد "&amp;$A216))</f>
        <v>0</v>
      </c>
      <c r="U216" s="4">
        <f>IF($A216=U$215,"",COUNTIF($E$4:$E$211,$A216&amp;" ضد "&amp;U$215)+COUNTIF($E$4:$E$211,U$215&amp;" ضد "&amp;$A216))</f>
        <v>0</v>
      </c>
      <c r="V216" s="4">
        <f>IF($A216=V$215,"",COUNTIF($E$4:$E$211,$A216&amp;" ضد "&amp;V$215)+COUNTIF($E$4:$E$211,V$215&amp;" ضد "&amp;$A216))</f>
        <v>0</v>
      </c>
      <c r="W216" s="4">
        <f>IF($A216=W$215,"",COUNTIF($E$4:$E$211,$A216&amp;" ضد "&amp;W$215)+COUNTIF($E$4:$E$211,W$215&amp;" ضد "&amp;$A216))</f>
        <v>0</v>
      </c>
      <c r="X216" s="4">
        <f>IF($A216=X$215,"",COUNTIF($E$4:$E$211,$A216&amp;" ضد "&amp;X$215)+COUNTIF($E$4:$E$211,X$215&amp;" ضد "&amp;$A216))</f>
        <v>0</v>
      </c>
    </row>
    <row r="217" spans="1:24" ht="14" customHeight="1">
      <c r="A217" s="14">
        <v>2</v>
      </c>
      <c r="B217" s="4">
        <f>IF($A217=B$215,"",COUNTIF($E$4:$E$211,$A217&amp;" ضد "&amp;B$215)+COUNTIF($E$4:$E$211,B$215&amp;" ضد "&amp;$A217))</f>
        <v>1</v>
      </c>
      <c r="C217" s="4" t="str">
        <f>IF($A217=C$215,"",COUNTIF($E$4:$E$211,$A217&amp;" ضد "&amp;C$215)+COUNTIF($E$4:$E$211,C$215&amp;" ضد "&amp;$A217))</f>
        <v/>
      </c>
      <c r="D217" s="4">
        <f>IF($A217=D$215,"",COUNTIF($E$4:$E$211,$A217&amp;" ضد "&amp;D$215)+COUNTIF($E$4:$E$211,D$215&amp;" ضد "&amp;$A217))</f>
        <v>2</v>
      </c>
      <c r="E217" s="4">
        <f>IF($A217=E$215,"",COUNTIF($E$4:$E$211,$A217&amp;" ضد "&amp;E$215)+COUNTIF($E$4:$E$211,E$215&amp;" ضد "&amp;$A217))</f>
        <v>1</v>
      </c>
      <c r="F217" s="4">
        <f>IF($A217=F$215,"",COUNTIF($E$4:$E$211,$A217&amp;" ضد "&amp;F$215)+COUNTIF($E$4:$E$211,F$215&amp;" ضد "&amp;$A217))</f>
        <v>2</v>
      </c>
      <c r="G217" s="4">
        <f>IF($A217=G$215,"",COUNTIF($E$4:$E$211,$A217&amp;" ضد "&amp;G$215)+COUNTIF($E$4:$E$211,G$215&amp;" ضد "&amp;$A217))</f>
        <v>1</v>
      </c>
      <c r="H217" s="4">
        <f>IF($A217=H$215,"",COUNTIF($E$4:$E$211,$A217&amp;" ضد "&amp;H$215)+COUNTIF($E$4:$E$211,H$215&amp;" ضد "&amp;$A217))</f>
        <v>2</v>
      </c>
      <c r="I217" s="4">
        <f>IF($A217=I$215,"",COUNTIF($E$4:$E$211,$A217&amp;" ضد "&amp;I$215)+COUNTIF($E$4:$E$211,I$215&amp;" ضد "&amp;$A217))</f>
        <v>1</v>
      </c>
      <c r="J217" s="4">
        <f>IF($A217=J$215,"",COUNTIF($E$4:$E$211,$A217&amp;" ضد "&amp;J$215)+COUNTIF($E$4:$E$211,J$215&amp;" ضد "&amp;$A217))</f>
        <v>2</v>
      </c>
      <c r="K217" s="4">
        <f>IF($A217=K$215,"",COUNTIF($E$4:$E$211,$A217&amp;" ضد "&amp;K$215)+COUNTIF($E$4:$E$211,K$215&amp;" ضد "&amp;$A217))</f>
        <v>2</v>
      </c>
      <c r="L217" s="4">
        <f>IF($A217=L$215,"",COUNTIF($E$4:$E$211,$A217&amp;" ضد "&amp;L$215)+COUNTIF($E$4:$E$211,L$215&amp;" ضد "&amp;$A217))</f>
        <v>2</v>
      </c>
      <c r="M217" s="4">
        <f>IF($A217=M$215,"",COUNTIF($E$4:$E$211,$A217&amp;" ضد "&amp;M$215)+COUNTIF($E$4:$E$211,M$215&amp;" ضد "&amp;$A217))</f>
        <v>2</v>
      </c>
      <c r="N217" s="4">
        <f>IF($A217=N$215,"",COUNTIF($E$4:$E$211,$A217&amp;" ضد "&amp;N$215)+COUNTIF($E$4:$E$211,N$215&amp;" ضد "&amp;$A217))</f>
        <v>0</v>
      </c>
      <c r="O217" s="4">
        <f>IF($A217=O$215,"",COUNTIF($E$4:$E$211,$A217&amp;" ضد "&amp;O$215)+COUNTIF($E$4:$E$211,O$215&amp;" ضد "&amp;$A217))</f>
        <v>0</v>
      </c>
      <c r="P217" s="4">
        <f>IF($A217=P$215,"",COUNTIF($E$4:$E$211,$A217&amp;" ضد "&amp;P$215)+COUNTIF($E$4:$E$211,P$215&amp;" ضد "&amp;$A217))</f>
        <v>0</v>
      </c>
      <c r="Q217" s="4">
        <f>IF($A217=Q$215,"",COUNTIF($E$4:$E$211,$A217&amp;" ضد "&amp;Q$215)+COUNTIF($E$4:$E$211,Q$215&amp;" ضد "&amp;$A217))</f>
        <v>0</v>
      </c>
      <c r="R217" s="4">
        <f>IF($A217=R$215,"",COUNTIF($E$4:$E$211,$A217&amp;" ضد "&amp;R$215)+COUNTIF($E$4:$E$211,R$215&amp;" ضد "&amp;$A217))</f>
        <v>0</v>
      </c>
      <c r="S217" s="4">
        <f>IF($A217=S$215,"",COUNTIF($E$4:$E$211,$A217&amp;" ضد "&amp;S$215)+COUNTIF($E$4:$E$211,S$215&amp;" ضد "&amp;$A217))</f>
        <v>0</v>
      </c>
      <c r="T217" s="4">
        <f>IF($A217=T$215,"",COUNTIF($E$4:$E$211,$A217&amp;" ضد "&amp;T$215)+COUNTIF($E$4:$E$211,T$215&amp;" ضد "&amp;$A217))</f>
        <v>0</v>
      </c>
      <c r="U217" s="4">
        <f>IF($A217=U$215,"",COUNTIF($E$4:$E$211,$A217&amp;" ضد "&amp;U$215)+COUNTIF($E$4:$E$211,U$215&amp;" ضد "&amp;$A217))</f>
        <v>0</v>
      </c>
      <c r="V217" s="4">
        <f>IF($A217=V$215,"",COUNTIF($E$4:$E$211,$A217&amp;" ضد "&amp;V$215)+COUNTIF($E$4:$E$211,V$215&amp;" ضد "&amp;$A217))</f>
        <v>0</v>
      </c>
      <c r="W217" s="4">
        <f>IF($A217=W$215,"",COUNTIF($E$4:$E$211,$A217&amp;" ضد "&amp;W$215)+COUNTIF($E$4:$E$211,W$215&amp;" ضد "&amp;$A217))</f>
        <v>0</v>
      </c>
      <c r="X217" s="4">
        <f>IF($A217=X$215,"",COUNTIF($E$4:$E$211,$A217&amp;" ضد "&amp;X$215)+COUNTIF($E$4:$E$211,X$215&amp;" ضد "&amp;$A217))</f>
        <v>0</v>
      </c>
    </row>
    <row r="218" spans="1:24" ht="14" customHeight="1">
      <c r="A218" s="14">
        <v>3</v>
      </c>
      <c r="B218" s="4">
        <f>IF($A218=B$215,"",COUNTIF($E$4:$E$211,$A218&amp;" ضد "&amp;B$215)+COUNTIF($E$4:$E$211,B$215&amp;" ضد "&amp;$A218))</f>
        <v>1</v>
      </c>
      <c r="C218" s="4">
        <f>IF($A218=C$215,"",COUNTIF($E$4:$E$211,$A218&amp;" ضد "&amp;C$215)+COUNTIF($E$4:$E$211,C$215&amp;" ضد "&amp;$A218))</f>
        <v>2</v>
      </c>
      <c r="D218" s="4" t="str">
        <f>IF($A218=D$215,"",COUNTIF($E$4:$E$211,$A218&amp;" ضد "&amp;D$215)+COUNTIF($E$4:$E$211,D$215&amp;" ضد "&amp;$A218))</f>
        <v/>
      </c>
      <c r="E218" s="4">
        <f>IF($A218=E$215,"",COUNTIF($E$4:$E$211,$A218&amp;" ضد "&amp;E$215)+COUNTIF($E$4:$E$211,E$215&amp;" ضد "&amp;$A218))</f>
        <v>2</v>
      </c>
      <c r="F218" s="4">
        <f>IF($A218=F$215,"",COUNTIF($E$4:$E$211,$A218&amp;" ضد "&amp;F$215)+COUNTIF($E$4:$E$211,F$215&amp;" ضد "&amp;$A218))</f>
        <v>1</v>
      </c>
      <c r="G218" s="4">
        <f>IF($A218=G$215,"",COUNTIF($E$4:$E$211,$A218&amp;" ضد "&amp;G$215)+COUNTIF($E$4:$E$211,G$215&amp;" ضد "&amp;$A218))</f>
        <v>2</v>
      </c>
      <c r="H218" s="4">
        <f>IF($A218=H$215,"",COUNTIF($E$4:$E$211,$A218&amp;" ضد "&amp;H$215)+COUNTIF($E$4:$E$211,H$215&amp;" ضد "&amp;$A218))</f>
        <v>1</v>
      </c>
      <c r="I218" s="4">
        <f>IF($A218=I$215,"",COUNTIF($E$4:$E$211,$A218&amp;" ضد "&amp;I$215)+COUNTIF($E$4:$E$211,I$215&amp;" ضد "&amp;$A218))</f>
        <v>2</v>
      </c>
      <c r="J218" s="4">
        <f>IF($A218=J$215,"",COUNTIF($E$4:$E$211,$A218&amp;" ضد "&amp;J$215)+COUNTIF($E$4:$E$211,J$215&amp;" ضد "&amp;$A218))</f>
        <v>2</v>
      </c>
      <c r="K218" s="4">
        <f>IF($A218=K$215,"",COUNTIF($E$4:$E$211,$A218&amp;" ضد "&amp;K$215)+COUNTIF($E$4:$E$211,K$215&amp;" ضد "&amp;$A218))</f>
        <v>2</v>
      </c>
      <c r="L218" s="4">
        <f>IF($A218=L$215,"",COUNTIF($E$4:$E$211,$A218&amp;" ضد "&amp;L$215)+COUNTIF($E$4:$E$211,L$215&amp;" ضد "&amp;$A218))</f>
        <v>2</v>
      </c>
      <c r="M218" s="4">
        <f>IF($A218=M$215,"",COUNTIF($E$4:$E$211,$A218&amp;" ضد "&amp;M$215)+COUNTIF($E$4:$E$211,M$215&amp;" ضد "&amp;$A218))</f>
        <v>1</v>
      </c>
      <c r="N218" s="4">
        <f>IF($A218=N$215,"",COUNTIF($E$4:$E$211,$A218&amp;" ضد "&amp;N$215)+COUNTIF($E$4:$E$211,N$215&amp;" ضد "&amp;$A218))</f>
        <v>0</v>
      </c>
      <c r="O218" s="4">
        <f>IF($A218=O$215,"",COUNTIF($E$4:$E$211,$A218&amp;" ضد "&amp;O$215)+COUNTIF($E$4:$E$211,O$215&amp;" ضد "&amp;$A218))</f>
        <v>0</v>
      </c>
      <c r="P218" s="4">
        <f>IF($A218=P$215,"",COUNTIF($E$4:$E$211,$A218&amp;" ضد "&amp;P$215)+COUNTIF($E$4:$E$211,P$215&amp;" ضد "&amp;$A218))</f>
        <v>0</v>
      </c>
      <c r="Q218" s="4">
        <f>IF($A218=Q$215,"",COUNTIF($E$4:$E$211,$A218&amp;" ضد "&amp;Q$215)+COUNTIF($E$4:$E$211,Q$215&amp;" ضد "&amp;$A218))</f>
        <v>0</v>
      </c>
      <c r="R218" s="4">
        <f>IF($A218=R$215,"",COUNTIF($E$4:$E$211,$A218&amp;" ضد "&amp;R$215)+COUNTIF($E$4:$E$211,R$215&amp;" ضد "&amp;$A218))</f>
        <v>0</v>
      </c>
      <c r="S218" s="4">
        <f>IF($A218=S$215,"",COUNTIF($E$4:$E$211,$A218&amp;" ضد "&amp;S$215)+COUNTIF($E$4:$E$211,S$215&amp;" ضد "&amp;$A218))</f>
        <v>0</v>
      </c>
      <c r="T218" s="4">
        <f>IF($A218=T$215,"",COUNTIF($E$4:$E$211,$A218&amp;" ضد "&amp;T$215)+COUNTIF($E$4:$E$211,T$215&amp;" ضد "&amp;$A218))</f>
        <v>0</v>
      </c>
      <c r="U218" s="4">
        <f>IF($A218=U$215,"",COUNTIF($E$4:$E$211,$A218&amp;" ضد "&amp;U$215)+COUNTIF($E$4:$E$211,U$215&amp;" ضد "&amp;$A218))</f>
        <v>0</v>
      </c>
      <c r="V218" s="4">
        <f>IF($A218=V$215,"",COUNTIF($E$4:$E$211,$A218&amp;" ضد "&amp;V$215)+COUNTIF($E$4:$E$211,V$215&amp;" ضد "&amp;$A218))</f>
        <v>0</v>
      </c>
      <c r="W218" s="4">
        <f>IF($A218=W$215,"",COUNTIF($E$4:$E$211,$A218&amp;" ضد "&amp;W$215)+COUNTIF($E$4:$E$211,W$215&amp;" ضد "&amp;$A218))</f>
        <v>0</v>
      </c>
      <c r="X218" s="4">
        <f>IF($A218=X$215,"",COUNTIF($E$4:$E$211,$A218&amp;" ضد "&amp;X$215)+COUNTIF($E$4:$E$211,X$215&amp;" ضد "&amp;$A218))</f>
        <v>0</v>
      </c>
    </row>
    <row r="219" spans="1:24" ht="14" customHeight="1">
      <c r="A219" s="14">
        <v>4</v>
      </c>
      <c r="B219" s="4">
        <f>IF($A219=B$215,"",COUNTIF($E$4:$E$211,$A219&amp;" ضد "&amp;B$215)+COUNTIF($E$4:$E$211,B$215&amp;" ضد "&amp;$A219))</f>
        <v>1</v>
      </c>
      <c r="C219" s="4">
        <f>IF($A219=C$215,"",COUNTIF($E$4:$E$211,$A219&amp;" ضد "&amp;C$215)+COUNTIF($E$4:$E$211,C$215&amp;" ضد "&amp;$A219))</f>
        <v>1</v>
      </c>
      <c r="D219" s="4">
        <f>IF($A219=D$215,"",COUNTIF($E$4:$E$211,$A219&amp;" ضد "&amp;D$215)+COUNTIF($E$4:$E$211,D$215&amp;" ضد "&amp;$A219))</f>
        <v>2</v>
      </c>
      <c r="E219" s="4" t="str">
        <f>IF($A219=E$215,"",COUNTIF($E$4:$E$211,$A219&amp;" ضد "&amp;E$215)+COUNTIF($E$4:$E$211,E$215&amp;" ضد "&amp;$A219))</f>
        <v/>
      </c>
      <c r="F219" s="4">
        <f>IF($A219=F$215,"",COUNTIF($E$4:$E$211,$A219&amp;" ضد "&amp;F$215)+COUNTIF($E$4:$E$211,F$215&amp;" ضد "&amp;$A219))</f>
        <v>2</v>
      </c>
      <c r="G219" s="4">
        <f>IF($A219=G$215,"",COUNTIF($E$4:$E$211,$A219&amp;" ضد "&amp;G$215)+COUNTIF($E$4:$E$211,G$215&amp;" ضد "&amp;$A219))</f>
        <v>1</v>
      </c>
      <c r="H219" s="4">
        <f>IF($A219=H$215,"",COUNTIF($E$4:$E$211,$A219&amp;" ضد "&amp;H$215)+COUNTIF($E$4:$E$211,H$215&amp;" ضد "&amp;$A219))</f>
        <v>2</v>
      </c>
      <c r="I219" s="4">
        <f>IF($A219=I$215,"",COUNTIF($E$4:$E$211,$A219&amp;" ضد "&amp;I$215)+COUNTIF($E$4:$E$211,I$215&amp;" ضد "&amp;$A219))</f>
        <v>2</v>
      </c>
      <c r="J219" s="4">
        <f>IF($A219=J$215,"",COUNTIF($E$4:$E$211,$A219&amp;" ضد "&amp;J$215)+COUNTIF($E$4:$E$211,J$215&amp;" ضد "&amp;$A219))</f>
        <v>2</v>
      </c>
      <c r="K219" s="4">
        <f>IF($A219=K$215,"",COUNTIF($E$4:$E$211,$A219&amp;" ضد "&amp;K$215)+COUNTIF($E$4:$E$211,K$215&amp;" ضد "&amp;$A219))</f>
        <v>2</v>
      </c>
      <c r="L219" s="4">
        <f>IF($A219=L$215,"",COUNTIF($E$4:$E$211,$A219&amp;" ضد "&amp;L$215)+COUNTIF($E$4:$E$211,L$215&amp;" ضد "&amp;$A219))</f>
        <v>1</v>
      </c>
      <c r="M219" s="4">
        <f>IF($A219=M$215,"",COUNTIF($E$4:$E$211,$A219&amp;" ضد "&amp;M$215)+COUNTIF($E$4:$E$211,M$215&amp;" ضد "&amp;$A219))</f>
        <v>2</v>
      </c>
      <c r="N219" s="4">
        <f>IF($A219=N$215,"",COUNTIF($E$4:$E$211,$A219&amp;" ضد "&amp;N$215)+COUNTIF($E$4:$E$211,N$215&amp;" ضد "&amp;$A219))</f>
        <v>0</v>
      </c>
      <c r="O219" s="4">
        <f>IF($A219=O$215,"",COUNTIF($E$4:$E$211,$A219&amp;" ضد "&amp;O$215)+COUNTIF($E$4:$E$211,O$215&amp;" ضد "&amp;$A219))</f>
        <v>0</v>
      </c>
      <c r="P219" s="4">
        <f>IF($A219=P$215,"",COUNTIF($E$4:$E$211,$A219&amp;" ضد "&amp;P$215)+COUNTIF($E$4:$E$211,P$215&amp;" ضد "&amp;$A219))</f>
        <v>0</v>
      </c>
      <c r="Q219" s="4">
        <f>IF($A219=Q$215,"",COUNTIF($E$4:$E$211,$A219&amp;" ضد "&amp;Q$215)+COUNTIF($E$4:$E$211,Q$215&amp;" ضد "&amp;$A219))</f>
        <v>0</v>
      </c>
      <c r="R219" s="4">
        <f>IF($A219=R$215,"",COUNTIF($E$4:$E$211,$A219&amp;" ضد "&amp;R$215)+COUNTIF($E$4:$E$211,R$215&amp;" ضد "&amp;$A219))</f>
        <v>0</v>
      </c>
      <c r="S219" s="4">
        <f>IF($A219=S$215,"",COUNTIF($E$4:$E$211,$A219&amp;" ضد "&amp;S$215)+COUNTIF($E$4:$E$211,S$215&amp;" ضد "&amp;$A219))</f>
        <v>0</v>
      </c>
      <c r="T219" s="4">
        <f>IF($A219=T$215,"",COUNTIF($E$4:$E$211,$A219&amp;" ضد "&amp;T$215)+COUNTIF($E$4:$E$211,T$215&amp;" ضد "&amp;$A219))</f>
        <v>0</v>
      </c>
      <c r="U219" s="4">
        <f>IF($A219=U$215,"",COUNTIF($E$4:$E$211,$A219&amp;" ضد "&amp;U$215)+COUNTIF($E$4:$E$211,U$215&amp;" ضد "&amp;$A219))</f>
        <v>0</v>
      </c>
      <c r="V219" s="4">
        <f>IF($A219=V$215,"",COUNTIF($E$4:$E$211,$A219&amp;" ضد "&amp;V$215)+COUNTIF($E$4:$E$211,V$215&amp;" ضد "&amp;$A219))</f>
        <v>0</v>
      </c>
      <c r="W219" s="4">
        <f>IF($A219=W$215,"",COUNTIF($E$4:$E$211,$A219&amp;" ضد "&amp;W$215)+COUNTIF($E$4:$E$211,W$215&amp;" ضد "&amp;$A219))</f>
        <v>0</v>
      </c>
      <c r="X219" s="4">
        <f>IF($A219=X$215,"",COUNTIF($E$4:$E$211,$A219&amp;" ضد "&amp;X$215)+COUNTIF($E$4:$E$211,X$215&amp;" ضد "&amp;$A219))</f>
        <v>0</v>
      </c>
    </row>
    <row r="220" spans="1:24" ht="14" customHeight="1">
      <c r="A220" s="14">
        <v>5</v>
      </c>
      <c r="B220" s="4">
        <f>IF($A220=B$215,"",COUNTIF($E$4:$E$211,$A220&amp;" ضد "&amp;B$215)+COUNTIF($E$4:$E$211,B$215&amp;" ضد "&amp;$A220))</f>
        <v>1</v>
      </c>
      <c r="C220" s="4">
        <f>IF($A220=C$215,"",COUNTIF($E$4:$E$211,$A220&amp;" ضد "&amp;C$215)+COUNTIF($E$4:$E$211,C$215&amp;" ضد "&amp;$A220))</f>
        <v>2</v>
      </c>
      <c r="D220" s="4">
        <f>IF($A220=D$215,"",COUNTIF($E$4:$E$211,$A220&amp;" ضد "&amp;D$215)+COUNTIF($E$4:$E$211,D$215&amp;" ضد "&amp;$A220))</f>
        <v>1</v>
      </c>
      <c r="E220" s="4">
        <f>IF($A220=E$215,"",COUNTIF($E$4:$E$211,$A220&amp;" ضد "&amp;E$215)+COUNTIF($E$4:$E$211,E$215&amp;" ضد "&amp;$A220))</f>
        <v>2</v>
      </c>
      <c r="F220" s="4" t="str">
        <f>IF($A220=F$215,"",COUNTIF($E$4:$E$211,$A220&amp;" ضد "&amp;F$215)+COUNTIF($E$4:$E$211,F$215&amp;" ضد "&amp;$A220))</f>
        <v/>
      </c>
      <c r="G220" s="4">
        <f>IF($A220=G$215,"",COUNTIF($E$4:$E$211,$A220&amp;" ضد "&amp;G$215)+COUNTIF($E$4:$E$211,G$215&amp;" ضد "&amp;$A220))</f>
        <v>2</v>
      </c>
      <c r="H220" s="4">
        <f>IF($A220=H$215,"",COUNTIF($E$4:$E$211,$A220&amp;" ضد "&amp;H$215)+COUNTIF($E$4:$E$211,H$215&amp;" ضد "&amp;$A220))</f>
        <v>2</v>
      </c>
      <c r="I220" s="4">
        <f>IF($A220=I$215,"",COUNTIF($E$4:$E$211,$A220&amp;" ضد "&amp;I$215)+COUNTIF($E$4:$E$211,I$215&amp;" ضد "&amp;$A220))</f>
        <v>2</v>
      </c>
      <c r="J220" s="4">
        <f>IF($A220=J$215,"",COUNTIF($E$4:$E$211,$A220&amp;" ضد "&amp;J$215)+COUNTIF($E$4:$E$211,J$215&amp;" ضد "&amp;$A220))</f>
        <v>2</v>
      </c>
      <c r="K220" s="4">
        <f>IF($A220=K$215,"",COUNTIF($E$4:$E$211,$A220&amp;" ضد "&amp;K$215)+COUNTIF($E$4:$E$211,K$215&amp;" ضد "&amp;$A220))</f>
        <v>1</v>
      </c>
      <c r="L220" s="4">
        <f>IF($A220=L$215,"",COUNTIF($E$4:$E$211,$A220&amp;" ضد "&amp;L$215)+COUNTIF($E$4:$E$211,L$215&amp;" ضد "&amp;$A220))</f>
        <v>2</v>
      </c>
      <c r="M220" s="4">
        <f>IF($A220=M$215,"",COUNTIF($E$4:$E$211,$A220&amp;" ضد "&amp;M$215)+COUNTIF($E$4:$E$211,M$215&amp;" ضد "&amp;$A220))</f>
        <v>1</v>
      </c>
      <c r="N220" s="4">
        <f>IF($A220=N$215,"",COUNTIF($E$4:$E$211,$A220&amp;" ضد "&amp;N$215)+COUNTIF($E$4:$E$211,N$215&amp;" ضد "&amp;$A220))</f>
        <v>0</v>
      </c>
      <c r="O220" s="4">
        <f>IF($A220=O$215,"",COUNTIF($E$4:$E$211,$A220&amp;" ضد "&amp;O$215)+COUNTIF($E$4:$E$211,O$215&amp;" ضد "&amp;$A220))</f>
        <v>0</v>
      </c>
      <c r="P220" s="4">
        <f>IF($A220=P$215,"",COUNTIF($E$4:$E$211,$A220&amp;" ضد "&amp;P$215)+COUNTIF($E$4:$E$211,P$215&amp;" ضد "&amp;$A220))</f>
        <v>0</v>
      </c>
      <c r="Q220" s="4">
        <f>IF($A220=Q$215,"",COUNTIF($E$4:$E$211,$A220&amp;" ضد "&amp;Q$215)+COUNTIF($E$4:$E$211,Q$215&amp;" ضد "&amp;$A220))</f>
        <v>0</v>
      </c>
      <c r="R220" s="4">
        <f>IF($A220=R$215,"",COUNTIF($E$4:$E$211,$A220&amp;" ضد "&amp;R$215)+COUNTIF($E$4:$E$211,R$215&amp;" ضد "&amp;$A220))</f>
        <v>0</v>
      </c>
      <c r="S220" s="4">
        <f>IF($A220=S$215,"",COUNTIF($E$4:$E$211,$A220&amp;" ضد "&amp;S$215)+COUNTIF($E$4:$E$211,S$215&amp;" ضد "&amp;$A220))</f>
        <v>0</v>
      </c>
      <c r="T220" s="4">
        <f>IF($A220=T$215,"",COUNTIF($E$4:$E$211,$A220&amp;" ضد "&amp;T$215)+COUNTIF($E$4:$E$211,T$215&amp;" ضد "&amp;$A220))</f>
        <v>0</v>
      </c>
      <c r="U220" s="4">
        <f>IF($A220=U$215,"",COUNTIF($E$4:$E$211,$A220&amp;" ضد "&amp;U$215)+COUNTIF($E$4:$E$211,U$215&amp;" ضد "&amp;$A220))</f>
        <v>0</v>
      </c>
      <c r="V220" s="4">
        <f>IF($A220=V$215,"",COUNTIF($E$4:$E$211,$A220&amp;" ضد "&amp;V$215)+COUNTIF($E$4:$E$211,V$215&amp;" ضد "&amp;$A220))</f>
        <v>0</v>
      </c>
      <c r="W220" s="4">
        <f>IF($A220=W$215,"",COUNTIF($E$4:$E$211,$A220&amp;" ضد "&amp;W$215)+COUNTIF($E$4:$E$211,W$215&amp;" ضد "&amp;$A220))</f>
        <v>0</v>
      </c>
      <c r="X220" s="4">
        <f>IF($A220=X$215,"",COUNTIF($E$4:$E$211,$A220&amp;" ضد "&amp;X$215)+COUNTIF($E$4:$E$211,X$215&amp;" ضد "&amp;$A220))</f>
        <v>0</v>
      </c>
    </row>
    <row r="221" spans="1:24" ht="14" customHeight="1">
      <c r="A221" s="14">
        <v>6</v>
      </c>
      <c r="B221" s="4">
        <f>IF($A221=B$215,"",COUNTIF($E$4:$E$211,$A221&amp;" ضد "&amp;B$215)+COUNTIF($E$4:$E$211,B$215&amp;" ضد "&amp;$A221))</f>
        <v>2</v>
      </c>
      <c r="C221" s="4">
        <f>IF($A221=C$215,"",COUNTIF($E$4:$E$211,$A221&amp;" ضد "&amp;C$215)+COUNTIF($E$4:$E$211,C$215&amp;" ضد "&amp;$A221))</f>
        <v>1</v>
      </c>
      <c r="D221" s="4">
        <f>IF($A221=D$215,"",COUNTIF($E$4:$E$211,$A221&amp;" ضد "&amp;D$215)+COUNTIF($E$4:$E$211,D$215&amp;" ضد "&amp;$A221))</f>
        <v>2</v>
      </c>
      <c r="E221" s="4">
        <f>IF($A221=E$215,"",COUNTIF($E$4:$E$211,$A221&amp;" ضد "&amp;E$215)+COUNTIF($E$4:$E$211,E$215&amp;" ضد "&amp;$A221))</f>
        <v>1</v>
      </c>
      <c r="F221" s="4">
        <f>IF($A221=F$215,"",COUNTIF($E$4:$E$211,$A221&amp;" ضد "&amp;F$215)+COUNTIF($E$4:$E$211,F$215&amp;" ضد "&amp;$A221))</f>
        <v>2</v>
      </c>
      <c r="G221" s="4" t="str">
        <f>IF($A221=G$215,"",COUNTIF($E$4:$E$211,$A221&amp;" ضد "&amp;G$215)+COUNTIF($E$4:$E$211,G$215&amp;" ضد "&amp;$A221))</f>
        <v/>
      </c>
      <c r="H221" s="4">
        <f>IF($A221=H$215,"",COUNTIF($E$4:$E$211,$A221&amp;" ضد "&amp;H$215)+COUNTIF($E$4:$E$211,H$215&amp;" ضد "&amp;$A221))</f>
        <v>2</v>
      </c>
      <c r="I221" s="4">
        <f>IF($A221=I$215,"",COUNTIF($E$4:$E$211,$A221&amp;" ضد "&amp;I$215)+COUNTIF($E$4:$E$211,I$215&amp;" ضد "&amp;$A221))</f>
        <v>2</v>
      </c>
      <c r="J221" s="4">
        <f>IF($A221=J$215,"",COUNTIF($E$4:$E$211,$A221&amp;" ضد "&amp;J$215)+COUNTIF($E$4:$E$211,J$215&amp;" ضد "&amp;$A221))</f>
        <v>1</v>
      </c>
      <c r="K221" s="4">
        <f>IF($A221=K$215,"",COUNTIF($E$4:$E$211,$A221&amp;" ضد "&amp;K$215)+COUNTIF($E$4:$E$211,K$215&amp;" ضد "&amp;$A221))</f>
        <v>2</v>
      </c>
      <c r="L221" s="4">
        <f>IF($A221=L$215,"",COUNTIF($E$4:$E$211,$A221&amp;" ضد "&amp;L$215)+COUNTIF($E$4:$E$211,L$215&amp;" ضد "&amp;$A221))</f>
        <v>1</v>
      </c>
      <c r="M221" s="4">
        <f>IF($A221=M$215,"",COUNTIF($E$4:$E$211,$A221&amp;" ضد "&amp;M$215)+COUNTIF($E$4:$E$211,M$215&amp;" ضد "&amp;$A221))</f>
        <v>2</v>
      </c>
      <c r="N221" s="4">
        <f>IF($A221=N$215,"",COUNTIF($E$4:$E$211,$A221&amp;" ضد "&amp;N$215)+COUNTIF($E$4:$E$211,N$215&amp;" ضد "&amp;$A221))</f>
        <v>0</v>
      </c>
      <c r="O221" s="4">
        <f>IF($A221=O$215,"",COUNTIF($E$4:$E$211,$A221&amp;" ضد "&amp;O$215)+COUNTIF($E$4:$E$211,O$215&amp;" ضد "&amp;$A221))</f>
        <v>0</v>
      </c>
      <c r="P221" s="4">
        <f>IF($A221=P$215,"",COUNTIF($E$4:$E$211,$A221&amp;" ضد "&amp;P$215)+COUNTIF($E$4:$E$211,P$215&amp;" ضد "&amp;$A221))</f>
        <v>0</v>
      </c>
      <c r="Q221" s="4">
        <f>IF($A221=Q$215,"",COUNTIF($E$4:$E$211,$A221&amp;" ضد "&amp;Q$215)+COUNTIF($E$4:$E$211,Q$215&amp;" ضد "&amp;$A221))</f>
        <v>0</v>
      </c>
      <c r="R221" s="4">
        <f>IF($A221=R$215,"",COUNTIF($E$4:$E$211,$A221&amp;" ضد "&amp;R$215)+COUNTIF($E$4:$E$211,R$215&amp;" ضد "&amp;$A221))</f>
        <v>0</v>
      </c>
      <c r="S221" s="4">
        <f>IF($A221=S$215,"",COUNTIF($E$4:$E$211,$A221&amp;" ضد "&amp;S$215)+COUNTIF($E$4:$E$211,S$215&amp;" ضد "&amp;$A221))</f>
        <v>0</v>
      </c>
      <c r="T221" s="4">
        <f>IF($A221=T$215,"",COUNTIF($E$4:$E$211,$A221&amp;" ضد "&amp;T$215)+COUNTIF($E$4:$E$211,T$215&amp;" ضد "&amp;$A221))</f>
        <v>0</v>
      </c>
      <c r="U221" s="4">
        <f>IF($A221=U$215,"",COUNTIF($E$4:$E$211,$A221&amp;" ضد "&amp;U$215)+COUNTIF($E$4:$E$211,U$215&amp;" ضد "&amp;$A221))</f>
        <v>0</v>
      </c>
      <c r="V221" s="4">
        <f>IF($A221=V$215,"",COUNTIF($E$4:$E$211,$A221&amp;" ضد "&amp;V$215)+COUNTIF($E$4:$E$211,V$215&amp;" ضد "&amp;$A221))</f>
        <v>0</v>
      </c>
      <c r="W221" s="4">
        <f>IF($A221=W$215,"",COUNTIF($E$4:$E$211,$A221&amp;" ضد "&amp;W$215)+COUNTIF($E$4:$E$211,W$215&amp;" ضد "&amp;$A221))</f>
        <v>0</v>
      </c>
      <c r="X221" s="4">
        <f>IF($A221=X$215,"",COUNTIF($E$4:$E$211,$A221&amp;" ضد "&amp;X$215)+COUNTIF($E$4:$E$211,X$215&amp;" ضد "&amp;$A221))</f>
        <v>0</v>
      </c>
    </row>
    <row r="222" spans="1:24" ht="14" customHeight="1">
      <c r="A222" s="14">
        <v>7</v>
      </c>
      <c r="B222" s="4">
        <f>IF($A222=B$215,"",COUNTIF($E$4:$E$211,$A222&amp;" ضد "&amp;B$215)+COUNTIF($E$4:$E$211,B$215&amp;" ضد "&amp;$A222))</f>
        <v>2</v>
      </c>
      <c r="C222" s="4">
        <f>IF($A222=C$215,"",COUNTIF($E$4:$E$211,$A222&amp;" ضد "&amp;C$215)+COUNTIF($E$4:$E$211,C$215&amp;" ضد "&amp;$A222))</f>
        <v>2</v>
      </c>
      <c r="D222" s="4">
        <f>IF($A222=D$215,"",COUNTIF($E$4:$E$211,$A222&amp;" ضد "&amp;D$215)+COUNTIF($E$4:$E$211,D$215&amp;" ضد "&amp;$A222))</f>
        <v>1</v>
      </c>
      <c r="E222" s="4">
        <f>IF($A222=E$215,"",COUNTIF($E$4:$E$211,$A222&amp;" ضد "&amp;E$215)+COUNTIF($E$4:$E$211,E$215&amp;" ضد "&amp;$A222))</f>
        <v>2</v>
      </c>
      <c r="F222" s="4">
        <f>IF($A222=F$215,"",COUNTIF($E$4:$E$211,$A222&amp;" ضد "&amp;F$215)+COUNTIF($E$4:$E$211,F$215&amp;" ضد "&amp;$A222))</f>
        <v>2</v>
      </c>
      <c r="G222" s="4">
        <f>IF($A222=G$215,"",COUNTIF($E$4:$E$211,$A222&amp;" ضد "&amp;G$215)+COUNTIF($E$4:$E$211,G$215&amp;" ضد "&amp;$A222))</f>
        <v>2</v>
      </c>
      <c r="H222" s="4" t="str">
        <f>IF($A222=H$215,"",COUNTIF($E$4:$E$211,$A222&amp;" ضد "&amp;H$215)+COUNTIF($E$4:$E$211,H$215&amp;" ضد "&amp;$A222))</f>
        <v/>
      </c>
      <c r="I222" s="4">
        <f>IF($A222=I$215,"",COUNTIF($E$4:$E$211,$A222&amp;" ضد "&amp;I$215)+COUNTIF($E$4:$E$211,I$215&amp;" ضد "&amp;$A222))</f>
        <v>1</v>
      </c>
      <c r="J222" s="4">
        <f>IF($A222=J$215,"",COUNTIF($E$4:$E$211,$A222&amp;" ضد "&amp;J$215)+COUNTIF($E$4:$E$211,J$215&amp;" ضد "&amp;$A222))</f>
        <v>2</v>
      </c>
      <c r="K222" s="4">
        <f>IF($A222=K$215,"",COUNTIF($E$4:$E$211,$A222&amp;" ضد "&amp;K$215)+COUNTIF($E$4:$E$211,K$215&amp;" ضد "&amp;$A222))</f>
        <v>1</v>
      </c>
      <c r="L222" s="4">
        <f>IF($A222=L$215,"",COUNTIF($E$4:$E$211,$A222&amp;" ضد "&amp;L$215)+COUNTIF($E$4:$E$211,L$215&amp;" ضد "&amp;$A222))</f>
        <v>2</v>
      </c>
      <c r="M222" s="4">
        <f>IF($A222=M$215,"",COUNTIF($E$4:$E$211,$A222&amp;" ضد "&amp;M$215)+COUNTIF($E$4:$E$211,M$215&amp;" ضد "&amp;$A222))</f>
        <v>1</v>
      </c>
      <c r="N222" s="4">
        <f>IF($A222=N$215,"",COUNTIF($E$4:$E$211,$A222&amp;" ضد "&amp;N$215)+COUNTIF($E$4:$E$211,N$215&amp;" ضد "&amp;$A222))</f>
        <v>0</v>
      </c>
      <c r="O222" s="4">
        <f>IF($A222=O$215,"",COUNTIF($E$4:$E$211,$A222&amp;" ضد "&amp;O$215)+COUNTIF($E$4:$E$211,O$215&amp;" ضد "&amp;$A222))</f>
        <v>0</v>
      </c>
      <c r="P222" s="4">
        <f>IF($A222=P$215,"",COUNTIF($E$4:$E$211,$A222&amp;" ضد "&amp;P$215)+COUNTIF($E$4:$E$211,P$215&amp;" ضد "&amp;$A222))</f>
        <v>0</v>
      </c>
      <c r="Q222" s="4">
        <f>IF($A222=Q$215,"",COUNTIF($E$4:$E$211,$A222&amp;" ضد "&amp;Q$215)+COUNTIF($E$4:$E$211,Q$215&amp;" ضد "&amp;$A222))</f>
        <v>0</v>
      </c>
      <c r="R222" s="4">
        <f>IF($A222=R$215,"",COUNTIF($E$4:$E$211,$A222&amp;" ضد "&amp;R$215)+COUNTIF($E$4:$E$211,R$215&amp;" ضد "&amp;$A222))</f>
        <v>0</v>
      </c>
      <c r="S222" s="4">
        <f>IF($A222=S$215,"",COUNTIF($E$4:$E$211,$A222&amp;" ضد "&amp;S$215)+COUNTIF($E$4:$E$211,S$215&amp;" ضد "&amp;$A222))</f>
        <v>0</v>
      </c>
      <c r="T222" s="4">
        <f>IF($A222=T$215,"",COUNTIF($E$4:$E$211,$A222&amp;" ضد "&amp;T$215)+COUNTIF($E$4:$E$211,T$215&amp;" ضد "&amp;$A222))</f>
        <v>0</v>
      </c>
      <c r="U222" s="4">
        <f>IF($A222=U$215,"",COUNTIF($E$4:$E$211,$A222&amp;" ضد "&amp;U$215)+COUNTIF($E$4:$E$211,U$215&amp;" ضد "&amp;$A222))</f>
        <v>0</v>
      </c>
      <c r="V222" s="4">
        <f>IF($A222=V$215,"",COUNTIF($E$4:$E$211,$A222&amp;" ضد "&amp;V$215)+COUNTIF($E$4:$E$211,V$215&amp;" ضد "&amp;$A222))</f>
        <v>0</v>
      </c>
      <c r="W222" s="4">
        <f>IF($A222=W$215,"",COUNTIF($E$4:$E$211,$A222&amp;" ضد "&amp;W$215)+COUNTIF($E$4:$E$211,W$215&amp;" ضد "&amp;$A222))</f>
        <v>0</v>
      </c>
      <c r="X222" s="4">
        <f>IF($A222=X$215,"",COUNTIF($E$4:$E$211,$A222&amp;" ضد "&amp;X$215)+COUNTIF($E$4:$E$211,X$215&amp;" ضد "&amp;$A222))</f>
        <v>0</v>
      </c>
    </row>
    <row r="223" spans="1:24" ht="14" customHeight="1">
      <c r="A223" s="14">
        <v>8</v>
      </c>
      <c r="B223" s="4">
        <f>IF($A223=B$215,"",COUNTIF($E$4:$E$211,$A223&amp;" ضد "&amp;B$215)+COUNTIF($E$4:$E$211,B$215&amp;" ضد "&amp;$A223))</f>
        <v>2</v>
      </c>
      <c r="C223" s="4">
        <f>IF($A223=C$215,"",COUNTIF($E$4:$E$211,$A223&amp;" ضد "&amp;C$215)+COUNTIF($E$4:$E$211,C$215&amp;" ضد "&amp;$A223))</f>
        <v>1</v>
      </c>
      <c r="D223" s="4">
        <f>IF($A223=D$215,"",COUNTIF($E$4:$E$211,$A223&amp;" ضد "&amp;D$215)+COUNTIF($E$4:$E$211,D$215&amp;" ضد "&amp;$A223))</f>
        <v>2</v>
      </c>
      <c r="E223" s="4">
        <f>IF($A223=E$215,"",COUNTIF($E$4:$E$211,$A223&amp;" ضد "&amp;E$215)+COUNTIF($E$4:$E$211,E$215&amp;" ضد "&amp;$A223))</f>
        <v>2</v>
      </c>
      <c r="F223" s="4">
        <f>IF($A223=F$215,"",COUNTIF($E$4:$E$211,$A223&amp;" ضد "&amp;F$215)+COUNTIF($E$4:$E$211,F$215&amp;" ضد "&amp;$A223))</f>
        <v>2</v>
      </c>
      <c r="G223" s="4">
        <f>IF($A223=G$215,"",COUNTIF($E$4:$E$211,$A223&amp;" ضد "&amp;G$215)+COUNTIF($E$4:$E$211,G$215&amp;" ضد "&amp;$A223))</f>
        <v>2</v>
      </c>
      <c r="H223" s="4">
        <f>IF($A223=H$215,"",COUNTIF($E$4:$E$211,$A223&amp;" ضد "&amp;H$215)+COUNTIF($E$4:$E$211,H$215&amp;" ضد "&amp;$A223))</f>
        <v>1</v>
      </c>
      <c r="I223" s="4" t="str">
        <f>IF($A223=I$215,"",COUNTIF($E$4:$E$211,$A223&amp;" ضد "&amp;I$215)+COUNTIF($E$4:$E$211,I$215&amp;" ضد "&amp;$A223))</f>
        <v/>
      </c>
      <c r="J223" s="4">
        <f>IF($A223=J$215,"",COUNTIF($E$4:$E$211,$A223&amp;" ضد "&amp;J$215)+COUNTIF($E$4:$E$211,J$215&amp;" ضد "&amp;$A223))</f>
        <v>1</v>
      </c>
      <c r="K223" s="4">
        <f>IF($A223=K$215,"",COUNTIF($E$4:$E$211,$A223&amp;" ضد "&amp;K$215)+COUNTIF($E$4:$E$211,K$215&amp;" ضد "&amp;$A223))</f>
        <v>2</v>
      </c>
      <c r="L223" s="4">
        <f>IF($A223=L$215,"",COUNTIF($E$4:$E$211,$A223&amp;" ضد "&amp;L$215)+COUNTIF($E$4:$E$211,L$215&amp;" ضد "&amp;$A223))</f>
        <v>1</v>
      </c>
      <c r="M223" s="4">
        <f>IF($A223=M$215,"",COUNTIF($E$4:$E$211,$A223&amp;" ضد "&amp;M$215)+COUNTIF($E$4:$E$211,M$215&amp;" ضد "&amp;$A223))</f>
        <v>2</v>
      </c>
      <c r="N223" s="4">
        <f>IF($A223=N$215,"",COUNTIF($E$4:$E$211,$A223&amp;" ضد "&amp;N$215)+COUNTIF($E$4:$E$211,N$215&amp;" ضد "&amp;$A223))</f>
        <v>0</v>
      </c>
      <c r="O223" s="4">
        <f>IF($A223=O$215,"",COUNTIF($E$4:$E$211,$A223&amp;" ضد "&amp;O$215)+COUNTIF($E$4:$E$211,O$215&amp;" ضد "&amp;$A223))</f>
        <v>0</v>
      </c>
      <c r="P223" s="4">
        <f>IF($A223=P$215,"",COUNTIF($E$4:$E$211,$A223&amp;" ضد "&amp;P$215)+COUNTIF($E$4:$E$211,P$215&amp;" ضد "&amp;$A223))</f>
        <v>0</v>
      </c>
      <c r="Q223" s="4">
        <f>IF($A223=Q$215,"",COUNTIF($E$4:$E$211,$A223&amp;" ضد "&amp;Q$215)+COUNTIF($E$4:$E$211,Q$215&amp;" ضد "&amp;$A223))</f>
        <v>0</v>
      </c>
      <c r="R223" s="4">
        <f>IF($A223=R$215,"",COUNTIF($E$4:$E$211,$A223&amp;" ضد "&amp;R$215)+COUNTIF($E$4:$E$211,R$215&amp;" ضد "&amp;$A223))</f>
        <v>0</v>
      </c>
      <c r="S223" s="4">
        <f>IF($A223=S$215,"",COUNTIF($E$4:$E$211,$A223&amp;" ضد "&amp;S$215)+COUNTIF($E$4:$E$211,S$215&amp;" ضد "&amp;$A223))</f>
        <v>0</v>
      </c>
      <c r="T223" s="4">
        <f>IF($A223=T$215,"",COUNTIF($E$4:$E$211,$A223&amp;" ضد "&amp;T$215)+COUNTIF($E$4:$E$211,T$215&amp;" ضد "&amp;$A223))</f>
        <v>0</v>
      </c>
      <c r="U223" s="4">
        <f>IF($A223=U$215,"",COUNTIF($E$4:$E$211,$A223&amp;" ضد "&amp;U$215)+COUNTIF($E$4:$E$211,U$215&amp;" ضد "&amp;$A223))</f>
        <v>0</v>
      </c>
      <c r="V223" s="4">
        <f>IF($A223=V$215,"",COUNTIF($E$4:$E$211,$A223&amp;" ضد "&amp;V$215)+COUNTIF($E$4:$E$211,V$215&amp;" ضد "&amp;$A223))</f>
        <v>0</v>
      </c>
      <c r="W223" s="4">
        <f>IF($A223=W$215,"",COUNTIF($E$4:$E$211,$A223&amp;" ضد "&amp;W$215)+COUNTIF($E$4:$E$211,W$215&amp;" ضد "&amp;$A223))</f>
        <v>0</v>
      </c>
      <c r="X223" s="4">
        <f>IF($A223=X$215,"",COUNTIF($E$4:$E$211,$A223&amp;" ضد "&amp;X$215)+COUNTIF($E$4:$E$211,X$215&amp;" ضد "&amp;$A223))</f>
        <v>0</v>
      </c>
    </row>
    <row r="224" spans="1:24" ht="14" customHeight="1">
      <c r="A224" s="14">
        <v>9</v>
      </c>
      <c r="B224" s="4">
        <f>IF($A224=B$215,"",COUNTIF($E$4:$E$211,$A224&amp;" ضد "&amp;B$215)+COUNTIF($E$4:$E$211,B$215&amp;" ضد "&amp;$A224))</f>
        <v>2</v>
      </c>
      <c r="C224" s="4">
        <f>IF($A224=C$215,"",COUNTIF($E$4:$E$211,$A224&amp;" ضد "&amp;C$215)+COUNTIF($E$4:$E$211,C$215&amp;" ضد "&amp;$A224))</f>
        <v>2</v>
      </c>
      <c r="D224" s="4">
        <f>IF($A224=D$215,"",COUNTIF($E$4:$E$211,$A224&amp;" ضد "&amp;D$215)+COUNTIF($E$4:$E$211,D$215&amp;" ضد "&amp;$A224))</f>
        <v>2</v>
      </c>
      <c r="E224" s="4">
        <f>IF($A224=E$215,"",COUNTIF($E$4:$E$211,$A224&amp;" ضد "&amp;E$215)+COUNTIF($E$4:$E$211,E$215&amp;" ضد "&amp;$A224))</f>
        <v>2</v>
      </c>
      <c r="F224" s="4">
        <f>IF($A224=F$215,"",COUNTIF($E$4:$E$211,$A224&amp;" ضد "&amp;F$215)+COUNTIF($E$4:$E$211,F$215&amp;" ضد "&amp;$A224))</f>
        <v>2</v>
      </c>
      <c r="G224" s="4">
        <f>IF($A224=G$215,"",COUNTIF($E$4:$E$211,$A224&amp;" ضد "&amp;G$215)+COUNTIF($E$4:$E$211,G$215&amp;" ضد "&amp;$A224))</f>
        <v>1</v>
      </c>
      <c r="H224" s="4">
        <f>IF($A224=H$215,"",COUNTIF($E$4:$E$211,$A224&amp;" ضد "&amp;H$215)+COUNTIF($E$4:$E$211,H$215&amp;" ضد "&amp;$A224))</f>
        <v>2</v>
      </c>
      <c r="I224" s="4">
        <f>IF($A224=I$215,"",COUNTIF($E$4:$E$211,$A224&amp;" ضد "&amp;I$215)+COUNTIF($E$4:$E$211,I$215&amp;" ضد "&amp;$A224))</f>
        <v>1</v>
      </c>
      <c r="J224" s="4" t="str">
        <f>IF($A224=J$215,"",COUNTIF($E$4:$E$211,$A224&amp;" ضد "&amp;J$215)+COUNTIF($E$4:$E$211,J$215&amp;" ضد "&amp;$A224))</f>
        <v/>
      </c>
      <c r="K224" s="4">
        <f>IF($A224=K$215,"",COUNTIF($E$4:$E$211,$A224&amp;" ضد "&amp;K$215)+COUNTIF($E$4:$E$211,K$215&amp;" ضد "&amp;$A224))</f>
        <v>1</v>
      </c>
      <c r="L224" s="4">
        <f>IF($A224=L$215,"",COUNTIF($E$4:$E$211,$A224&amp;" ضد "&amp;L$215)+COUNTIF($E$4:$E$211,L$215&amp;" ضد "&amp;$A224))</f>
        <v>2</v>
      </c>
      <c r="M224" s="4">
        <f>IF($A224=M$215,"",COUNTIF($E$4:$E$211,$A224&amp;" ضد "&amp;M$215)+COUNTIF($E$4:$E$211,M$215&amp;" ضد "&amp;$A224))</f>
        <v>1</v>
      </c>
      <c r="N224" s="4">
        <f>IF($A224=N$215,"",COUNTIF($E$4:$E$211,$A224&amp;" ضد "&amp;N$215)+COUNTIF($E$4:$E$211,N$215&amp;" ضد "&amp;$A224))</f>
        <v>0</v>
      </c>
      <c r="O224" s="4">
        <f>IF($A224=O$215,"",COUNTIF($E$4:$E$211,$A224&amp;" ضد "&amp;O$215)+COUNTIF($E$4:$E$211,O$215&amp;" ضد "&amp;$A224))</f>
        <v>0</v>
      </c>
      <c r="P224" s="4">
        <f>IF($A224=P$215,"",COUNTIF($E$4:$E$211,$A224&amp;" ضد "&amp;P$215)+COUNTIF($E$4:$E$211,P$215&amp;" ضد "&amp;$A224))</f>
        <v>0</v>
      </c>
      <c r="Q224" s="4">
        <f>IF($A224=Q$215,"",COUNTIF($E$4:$E$211,$A224&amp;" ضد "&amp;Q$215)+COUNTIF($E$4:$E$211,Q$215&amp;" ضد "&amp;$A224))</f>
        <v>0</v>
      </c>
      <c r="R224" s="4">
        <f>IF($A224=R$215,"",COUNTIF($E$4:$E$211,$A224&amp;" ضد "&amp;R$215)+COUNTIF($E$4:$E$211,R$215&amp;" ضد "&amp;$A224))</f>
        <v>0</v>
      </c>
      <c r="S224" s="4">
        <f>IF($A224=S$215,"",COUNTIF($E$4:$E$211,$A224&amp;" ضد "&amp;S$215)+COUNTIF($E$4:$E$211,S$215&amp;" ضد "&amp;$A224))</f>
        <v>0</v>
      </c>
      <c r="T224" s="4">
        <f>IF($A224=T$215,"",COUNTIF($E$4:$E$211,$A224&amp;" ضد "&amp;T$215)+COUNTIF($E$4:$E$211,T$215&amp;" ضد "&amp;$A224))</f>
        <v>0</v>
      </c>
      <c r="U224" s="4">
        <f>IF($A224=U$215,"",COUNTIF($E$4:$E$211,$A224&amp;" ضد "&amp;U$215)+COUNTIF($E$4:$E$211,U$215&amp;" ضد "&amp;$A224))</f>
        <v>0</v>
      </c>
      <c r="V224" s="4">
        <f>IF($A224=V$215,"",COUNTIF($E$4:$E$211,$A224&amp;" ضد "&amp;V$215)+COUNTIF($E$4:$E$211,V$215&amp;" ضد "&amp;$A224))</f>
        <v>0</v>
      </c>
      <c r="W224" s="4">
        <f>IF($A224=W$215,"",COUNTIF($E$4:$E$211,$A224&amp;" ضد "&amp;W$215)+COUNTIF($E$4:$E$211,W$215&amp;" ضد "&amp;$A224))</f>
        <v>0</v>
      </c>
      <c r="X224" s="4">
        <f>IF($A224=X$215,"",COUNTIF($E$4:$E$211,$A224&amp;" ضد "&amp;X$215)+COUNTIF($E$4:$E$211,X$215&amp;" ضد "&amp;$A224))</f>
        <v>0</v>
      </c>
    </row>
    <row r="225" spans="1:24" ht="14" customHeight="1">
      <c r="A225" s="14">
        <v>10</v>
      </c>
      <c r="B225" s="4">
        <f>IF($A225=B$215,"",COUNTIF($E$4:$E$211,$A225&amp;" ضد "&amp;B$215)+COUNTIF($E$4:$E$211,B$215&amp;" ضد "&amp;$A225))</f>
        <v>2</v>
      </c>
      <c r="C225" s="4">
        <f>IF($A225=C$215,"",COUNTIF($E$4:$E$211,$A225&amp;" ضد "&amp;C$215)+COUNTIF($E$4:$E$211,C$215&amp;" ضد "&amp;$A225))</f>
        <v>2</v>
      </c>
      <c r="D225" s="4">
        <f>IF($A225=D$215,"",COUNTIF($E$4:$E$211,$A225&amp;" ضد "&amp;D$215)+COUNTIF($E$4:$E$211,D$215&amp;" ضد "&amp;$A225))</f>
        <v>2</v>
      </c>
      <c r="E225" s="4">
        <f>IF($A225=E$215,"",COUNTIF($E$4:$E$211,$A225&amp;" ضد "&amp;E$215)+COUNTIF($E$4:$E$211,E$215&amp;" ضد "&amp;$A225))</f>
        <v>2</v>
      </c>
      <c r="F225" s="4">
        <f>IF($A225=F$215,"",COUNTIF($E$4:$E$211,$A225&amp;" ضد "&amp;F$215)+COUNTIF($E$4:$E$211,F$215&amp;" ضد "&amp;$A225))</f>
        <v>1</v>
      </c>
      <c r="G225" s="4">
        <f>IF($A225=G$215,"",COUNTIF($E$4:$E$211,$A225&amp;" ضد "&amp;G$215)+COUNTIF($E$4:$E$211,G$215&amp;" ضد "&amp;$A225))</f>
        <v>2</v>
      </c>
      <c r="H225" s="4">
        <f>IF($A225=H$215,"",COUNTIF($E$4:$E$211,$A225&amp;" ضد "&amp;H$215)+COUNTIF($E$4:$E$211,H$215&amp;" ضد "&amp;$A225))</f>
        <v>1</v>
      </c>
      <c r="I225" s="4">
        <f>IF($A225=I$215,"",COUNTIF($E$4:$E$211,$A225&amp;" ضد "&amp;I$215)+COUNTIF($E$4:$E$211,I$215&amp;" ضد "&amp;$A225))</f>
        <v>2</v>
      </c>
      <c r="J225" s="4">
        <f>IF($A225=J$215,"",COUNTIF($E$4:$E$211,$A225&amp;" ضد "&amp;J$215)+COUNTIF($E$4:$E$211,J$215&amp;" ضد "&amp;$A225))</f>
        <v>1</v>
      </c>
      <c r="K225" s="4" t="str">
        <f>IF($A225=K$215,"",COUNTIF($E$4:$E$211,$A225&amp;" ضد "&amp;K$215)+COUNTIF($E$4:$E$211,K$215&amp;" ضد "&amp;$A225))</f>
        <v/>
      </c>
      <c r="L225" s="4">
        <f>IF($A225=L$215,"",COUNTIF($E$4:$E$211,$A225&amp;" ضد "&amp;L$215)+COUNTIF($E$4:$E$211,L$215&amp;" ضد "&amp;$A225))</f>
        <v>1</v>
      </c>
      <c r="M225" s="4">
        <f>IF($A225=M$215,"",COUNTIF($E$4:$E$211,$A225&amp;" ضد "&amp;M$215)+COUNTIF($E$4:$E$211,M$215&amp;" ضد "&amp;$A225))</f>
        <v>2</v>
      </c>
      <c r="N225" s="4">
        <f>IF($A225=N$215,"",COUNTIF($E$4:$E$211,$A225&amp;" ضد "&amp;N$215)+COUNTIF($E$4:$E$211,N$215&amp;" ضد "&amp;$A225))</f>
        <v>0</v>
      </c>
      <c r="O225" s="4">
        <f>IF($A225=O$215,"",COUNTIF($E$4:$E$211,$A225&amp;" ضد "&amp;O$215)+COUNTIF($E$4:$E$211,O$215&amp;" ضد "&amp;$A225))</f>
        <v>0</v>
      </c>
      <c r="P225" s="4">
        <f>IF($A225=P$215,"",COUNTIF($E$4:$E$211,$A225&amp;" ضد "&amp;P$215)+COUNTIF($E$4:$E$211,P$215&amp;" ضد "&amp;$A225))</f>
        <v>0</v>
      </c>
      <c r="Q225" s="4">
        <f>IF($A225=Q$215,"",COUNTIF($E$4:$E$211,$A225&amp;" ضد "&amp;Q$215)+COUNTIF($E$4:$E$211,Q$215&amp;" ضد "&amp;$A225))</f>
        <v>0</v>
      </c>
      <c r="R225" s="4">
        <f>IF($A225=R$215,"",COUNTIF($E$4:$E$211,$A225&amp;" ضد "&amp;R$215)+COUNTIF($E$4:$E$211,R$215&amp;" ضد "&amp;$A225))</f>
        <v>0</v>
      </c>
      <c r="S225" s="4">
        <f>IF($A225=S$215,"",COUNTIF($E$4:$E$211,$A225&amp;" ضد "&amp;S$215)+COUNTIF($E$4:$E$211,S$215&amp;" ضد "&amp;$A225))</f>
        <v>0</v>
      </c>
      <c r="T225" s="4">
        <f>IF($A225=T$215,"",COUNTIF($E$4:$E$211,$A225&amp;" ضد "&amp;T$215)+COUNTIF($E$4:$E$211,T$215&amp;" ضد "&amp;$A225))</f>
        <v>0</v>
      </c>
      <c r="U225" s="4">
        <f>IF($A225=U$215,"",COUNTIF($E$4:$E$211,$A225&amp;" ضد "&amp;U$215)+COUNTIF($E$4:$E$211,U$215&amp;" ضد "&amp;$A225))</f>
        <v>0</v>
      </c>
      <c r="V225" s="4">
        <f>IF($A225=V$215,"",COUNTIF($E$4:$E$211,$A225&amp;" ضد "&amp;V$215)+COUNTIF($E$4:$E$211,V$215&amp;" ضد "&amp;$A225))</f>
        <v>0</v>
      </c>
      <c r="W225" s="4">
        <f>IF($A225=W$215,"",COUNTIF($E$4:$E$211,$A225&amp;" ضد "&amp;W$215)+COUNTIF($E$4:$E$211,W$215&amp;" ضد "&amp;$A225))</f>
        <v>0</v>
      </c>
      <c r="X225" s="4">
        <f>IF($A225=X$215,"",COUNTIF($E$4:$E$211,$A225&amp;" ضد "&amp;X$215)+COUNTIF($E$4:$E$211,X$215&amp;" ضد "&amp;$A225))</f>
        <v>0</v>
      </c>
    </row>
    <row r="226" spans="1:24" ht="14" customHeight="1">
      <c r="A226" s="14">
        <v>11</v>
      </c>
      <c r="B226" s="4">
        <f>IF($A226=B$215,"",COUNTIF($E$4:$E$211,$A226&amp;" ضد "&amp;B$215)+COUNTIF($E$4:$E$211,B$215&amp;" ضد "&amp;$A226))</f>
        <v>2</v>
      </c>
      <c r="C226" s="4">
        <f>IF($A226=C$215,"",COUNTIF($E$4:$E$211,$A226&amp;" ضد "&amp;C$215)+COUNTIF($E$4:$E$211,C$215&amp;" ضد "&amp;$A226))</f>
        <v>2</v>
      </c>
      <c r="D226" s="4">
        <f>IF($A226=D$215,"",COUNTIF($E$4:$E$211,$A226&amp;" ضد "&amp;D$215)+COUNTIF($E$4:$E$211,D$215&amp;" ضد "&amp;$A226))</f>
        <v>2</v>
      </c>
      <c r="E226" s="4">
        <f>IF($A226=E$215,"",COUNTIF($E$4:$E$211,$A226&amp;" ضد "&amp;E$215)+COUNTIF($E$4:$E$211,E$215&amp;" ضد "&amp;$A226))</f>
        <v>1</v>
      </c>
      <c r="F226" s="4">
        <f>IF($A226=F$215,"",COUNTIF($E$4:$E$211,$A226&amp;" ضد "&amp;F$215)+COUNTIF($E$4:$E$211,F$215&amp;" ضد "&amp;$A226))</f>
        <v>2</v>
      </c>
      <c r="G226" s="4">
        <f>IF($A226=G$215,"",COUNTIF($E$4:$E$211,$A226&amp;" ضد "&amp;G$215)+COUNTIF($E$4:$E$211,G$215&amp;" ضد "&amp;$A226))</f>
        <v>1</v>
      </c>
      <c r="H226" s="4">
        <f>IF($A226=H$215,"",COUNTIF($E$4:$E$211,$A226&amp;" ضد "&amp;H$215)+COUNTIF($E$4:$E$211,H$215&amp;" ضد "&amp;$A226))</f>
        <v>2</v>
      </c>
      <c r="I226" s="4">
        <f>IF($A226=I$215,"",COUNTIF($E$4:$E$211,$A226&amp;" ضد "&amp;I$215)+COUNTIF($E$4:$E$211,I$215&amp;" ضد "&amp;$A226))</f>
        <v>1</v>
      </c>
      <c r="J226" s="4">
        <f>IF($A226=J$215,"",COUNTIF($E$4:$E$211,$A226&amp;" ضد "&amp;J$215)+COUNTIF($E$4:$E$211,J$215&amp;" ضد "&amp;$A226))</f>
        <v>2</v>
      </c>
      <c r="K226" s="4">
        <f>IF($A226=K$215,"",COUNTIF($E$4:$E$211,$A226&amp;" ضد "&amp;K$215)+COUNTIF($E$4:$E$211,K$215&amp;" ضد "&amp;$A226))</f>
        <v>1</v>
      </c>
      <c r="L226" s="4" t="str">
        <f>IF($A226=L$215,"",COUNTIF($E$4:$E$211,$A226&amp;" ضد "&amp;L$215)+COUNTIF($E$4:$E$211,L$215&amp;" ضد "&amp;$A226))</f>
        <v/>
      </c>
      <c r="M226" s="4">
        <f>IF($A226=M$215,"",COUNTIF($E$4:$E$211,$A226&amp;" ضد "&amp;M$215)+COUNTIF($E$4:$E$211,M$215&amp;" ضد "&amp;$A226))</f>
        <v>2</v>
      </c>
      <c r="N226" s="4">
        <f>IF($A226=N$215,"",COUNTIF($E$4:$E$211,$A226&amp;" ضد "&amp;N$215)+COUNTIF($E$4:$E$211,N$215&amp;" ضد "&amp;$A226))</f>
        <v>0</v>
      </c>
      <c r="O226" s="4">
        <f>IF($A226=O$215,"",COUNTIF($E$4:$E$211,$A226&amp;" ضد "&amp;O$215)+COUNTIF($E$4:$E$211,O$215&amp;" ضد "&amp;$A226))</f>
        <v>0</v>
      </c>
      <c r="P226" s="4">
        <f>IF($A226=P$215,"",COUNTIF($E$4:$E$211,$A226&amp;" ضد "&amp;P$215)+COUNTIF($E$4:$E$211,P$215&amp;" ضد "&amp;$A226))</f>
        <v>0</v>
      </c>
      <c r="Q226" s="4">
        <f>IF($A226=Q$215,"",COUNTIF($E$4:$E$211,$A226&amp;" ضد "&amp;Q$215)+COUNTIF($E$4:$E$211,Q$215&amp;" ضد "&amp;$A226))</f>
        <v>0</v>
      </c>
      <c r="R226" s="4">
        <f>IF($A226=R$215,"",COUNTIF($E$4:$E$211,$A226&amp;" ضد "&amp;R$215)+COUNTIF($E$4:$E$211,R$215&amp;" ضد "&amp;$A226))</f>
        <v>0</v>
      </c>
      <c r="S226" s="4">
        <f>IF($A226=S$215,"",COUNTIF($E$4:$E$211,$A226&amp;" ضد "&amp;S$215)+COUNTIF($E$4:$E$211,S$215&amp;" ضد "&amp;$A226))</f>
        <v>0</v>
      </c>
      <c r="T226" s="4">
        <f>IF($A226=T$215,"",COUNTIF($E$4:$E$211,$A226&amp;" ضد "&amp;T$215)+COUNTIF($E$4:$E$211,T$215&amp;" ضد "&amp;$A226))</f>
        <v>0</v>
      </c>
      <c r="U226" s="4">
        <f>IF($A226=U$215,"",COUNTIF($E$4:$E$211,$A226&amp;" ضد "&amp;U$215)+COUNTIF($E$4:$E$211,U$215&amp;" ضد "&amp;$A226))</f>
        <v>0</v>
      </c>
      <c r="V226" s="4">
        <f>IF($A226=V$215,"",COUNTIF($E$4:$E$211,$A226&amp;" ضد "&amp;V$215)+COUNTIF($E$4:$E$211,V$215&amp;" ضد "&amp;$A226))</f>
        <v>0</v>
      </c>
      <c r="W226" s="4">
        <f>IF($A226=W$215,"",COUNTIF($E$4:$E$211,$A226&amp;" ضد "&amp;W$215)+COUNTIF($E$4:$E$211,W$215&amp;" ضد "&amp;$A226))</f>
        <v>0</v>
      </c>
      <c r="X226" s="4">
        <f>IF($A226=X$215,"",COUNTIF($E$4:$E$211,$A226&amp;" ضد "&amp;X$215)+COUNTIF($E$4:$E$211,X$215&amp;" ضد "&amp;$A226))</f>
        <v>0</v>
      </c>
    </row>
    <row r="227" spans="1:24" ht="14" customHeight="1">
      <c r="A227" s="14">
        <v>12</v>
      </c>
      <c r="B227" s="4">
        <f>IF($A227=B$215,"",COUNTIF($E$4:$E$211,$A227&amp;" ضد "&amp;B$215)+COUNTIF($E$4:$E$211,B$215&amp;" ضد "&amp;$A227))</f>
        <v>2</v>
      </c>
      <c r="C227" s="4">
        <f>IF($A227=C$215,"",COUNTIF($E$4:$E$211,$A227&amp;" ضد "&amp;C$215)+COUNTIF($E$4:$E$211,C$215&amp;" ضد "&amp;$A227))</f>
        <v>2</v>
      </c>
      <c r="D227" s="4">
        <f>IF($A227=D$215,"",COUNTIF($E$4:$E$211,$A227&amp;" ضد "&amp;D$215)+COUNTIF($E$4:$E$211,D$215&amp;" ضد "&amp;$A227))</f>
        <v>1</v>
      </c>
      <c r="E227" s="4">
        <f>IF($A227=E$215,"",COUNTIF($E$4:$E$211,$A227&amp;" ضد "&amp;E$215)+COUNTIF($E$4:$E$211,E$215&amp;" ضد "&amp;$A227))</f>
        <v>2</v>
      </c>
      <c r="F227" s="4">
        <f>IF($A227=F$215,"",COUNTIF($E$4:$E$211,$A227&amp;" ضد "&amp;F$215)+COUNTIF($E$4:$E$211,F$215&amp;" ضد "&amp;$A227))</f>
        <v>1</v>
      </c>
      <c r="G227" s="4">
        <f>IF($A227=G$215,"",COUNTIF($E$4:$E$211,$A227&amp;" ضد "&amp;G$215)+COUNTIF($E$4:$E$211,G$215&amp;" ضد "&amp;$A227))</f>
        <v>2</v>
      </c>
      <c r="H227" s="4">
        <f>IF($A227=H$215,"",COUNTIF($E$4:$E$211,$A227&amp;" ضد "&amp;H$215)+COUNTIF($E$4:$E$211,H$215&amp;" ضد "&amp;$A227))</f>
        <v>1</v>
      </c>
      <c r="I227" s="4">
        <f>IF($A227=I$215,"",COUNTIF($E$4:$E$211,$A227&amp;" ضد "&amp;I$215)+COUNTIF($E$4:$E$211,I$215&amp;" ضد "&amp;$A227))</f>
        <v>2</v>
      </c>
      <c r="J227" s="4">
        <f>IF($A227=J$215,"",COUNTIF($E$4:$E$211,$A227&amp;" ضد "&amp;J$215)+COUNTIF($E$4:$E$211,J$215&amp;" ضد "&amp;$A227))</f>
        <v>1</v>
      </c>
      <c r="K227" s="4">
        <f>IF($A227=K$215,"",COUNTIF($E$4:$E$211,$A227&amp;" ضد "&amp;K$215)+COUNTIF($E$4:$E$211,K$215&amp;" ضد "&amp;$A227))</f>
        <v>2</v>
      </c>
      <c r="L227" s="4">
        <f>IF($A227=L$215,"",COUNTIF($E$4:$E$211,$A227&amp;" ضد "&amp;L$215)+COUNTIF($E$4:$E$211,L$215&amp;" ضد "&amp;$A227))</f>
        <v>2</v>
      </c>
      <c r="M227" s="4" t="str">
        <f>IF($A227=M$215,"",COUNTIF($E$4:$E$211,$A227&amp;" ضد "&amp;M$215)+COUNTIF($E$4:$E$211,M$215&amp;" ضد "&amp;$A227))</f>
        <v/>
      </c>
      <c r="N227" s="4">
        <f>IF($A227=N$215,"",COUNTIF($E$4:$E$211,$A227&amp;" ضد "&amp;N$215)+COUNTIF($E$4:$E$211,N$215&amp;" ضد "&amp;$A227))</f>
        <v>0</v>
      </c>
      <c r="O227" s="4">
        <f>IF($A227=O$215,"",COUNTIF($E$4:$E$211,$A227&amp;" ضد "&amp;O$215)+COUNTIF($E$4:$E$211,O$215&amp;" ضد "&amp;$A227))</f>
        <v>0</v>
      </c>
      <c r="P227" s="4">
        <f>IF($A227=P$215,"",COUNTIF($E$4:$E$211,$A227&amp;" ضد "&amp;P$215)+COUNTIF($E$4:$E$211,P$215&amp;" ضد "&amp;$A227))</f>
        <v>0</v>
      </c>
      <c r="Q227" s="4">
        <f>IF($A227=Q$215,"",COUNTIF($E$4:$E$211,$A227&amp;" ضد "&amp;Q$215)+COUNTIF($E$4:$E$211,Q$215&amp;" ضد "&amp;$A227))</f>
        <v>0</v>
      </c>
      <c r="R227" s="4">
        <f>IF($A227=R$215,"",COUNTIF($E$4:$E$211,$A227&amp;" ضد "&amp;R$215)+COUNTIF($E$4:$E$211,R$215&amp;" ضد "&amp;$A227))</f>
        <v>0</v>
      </c>
      <c r="S227" s="4">
        <f>IF($A227=S$215,"",COUNTIF($E$4:$E$211,$A227&amp;" ضد "&amp;S$215)+COUNTIF($E$4:$E$211,S$215&amp;" ضد "&amp;$A227))</f>
        <v>0</v>
      </c>
      <c r="T227" s="4">
        <f>IF($A227=T$215,"",COUNTIF($E$4:$E$211,$A227&amp;" ضد "&amp;T$215)+COUNTIF($E$4:$E$211,T$215&amp;" ضد "&amp;$A227))</f>
        <v>0</v>
      </c>
      <c r="U227" s="4">
        <f>IF($A227=U$215,"",COUNTIF($E$4:$E$211,$A227&amp;" ضد "&amp;U$215)+COUNTIF($E$4:$E$211,U$215&amp;" ضد "&amp;$A227))</f>
        <v>0</v>
      </c>
      <c r="V227" s="4">
        <f>IF($A227=V$215,"",COUNTIF($E$4:$E$211,$A227&amp;" ضد "&amp;V$215)+COUNTIF($E$4:$E$211,V$215&amp;" ضد "&amp;$A227))</f>
        <v>0</v>
      </c>
      <c r="W227" s="4">
        <f>IF($A227=W$215,"",COUNTIF($E$4:$E$211,$A227&amp;" ضد "&amp;W$215)+COUNTIF($E$4:$E$211,W$215&amp;" ضد "&amp;$A227))</f>
        <v>0</v>
      </c>
      <c r="X227" s="4">
        <f>IF($A227=X$215,"",COUNTIF($E$4:$E$211,$A227&amp;" ضد "&amp;X$215)+COUNTIF($E$4:$E$211,X$215&amp;" ضد "&amp;$A227))</f>
        <v>0</v>
      </c>
    </row>
    <row r="228" spans="1:24" ht="14" customHeight="1">
      <c r="A228" s="14">
        <v>13</v>
      </c>
      <c r="B228" s="4">
        <f>IF($A228=B$215,"",COUNTIF($E$4:$E$211,$A228&amp;" ضد "&amp;B$215)+COUNTIF($E$4:$E$211,B$215&amp;" ضد "&amp;$A228))</f>
        <v>0</v>
      </c>
      <c r="C228" s="4">
        <f>IF($A228=C$215,"",COUNTIF($E$4:$E$211,$A228&amp;" ضد "&amp;C$215)+COUNTIF($E$4:$E$211,C$215&amp;" ضد "&amp;$A228))</f>
        <v>0</v>
      </c>
      <c r="D228" s="4">
        <f>IF($A228=D$215,"",COUNTIF($E$4:$E$211,$A228&amp;" ضد "&amp;D$215)+COUNTIF($E$4:$E$211,D$215&amp;" ضد "&amp;$A228))</f>
        <v>0</v>
      </c>
      <c r="E228" s="4">
        <f>IF($A228=E$215,"",COUNTIF($E$4:$E$211,$A228&amp;" ضد "&amp;E$215)+COUNTIF($E$4:$E$211,E$215&amp;" ضد "&amp;$A228))</f>
        <v>0</v>
      </c>
      <c r="F228" s="4">
        <f>IF($A228=F$215,"",COUNTIF($E$4:$E$211,$A228&amp;" ضد "&amp;F$215)+COUNTIF($E$4:$E$211,F$215&amp;" ضد "&amp;$A228))</f>
        <v>0</v>
      </c>
      <c r="G228" s="4">
        <f>IF($A228=G$215,"",COUNTIF($E$4:$E$211,$A228&amp;" ضد "&amp;G$215)+COUNTIF($E$4:$E$211,G$215&amp;" ضد "&amp;$A228))</f>
        <v>0</v>
      </c>
      <c r="H228" s="4">
        <f>IF($A228=H$215,"",COUNTIF($E$4:$E$211,$A228&amp;" ضد "&amp;H$215)+COUNTIF($E$4:$E$211,H$215&amp;" ضد "&amp;$A228))</f>
        <v>0</v>
      </c>
      <c r="I228" s="4">
        <f>IF($A228=I$215,"",COUNTIF($E$4:$E$211,$A228&amp;" ضد "&amp;I$215)+COUNTIF($E$4:$E$211,I$215&amp;" ضد "&amp;$A228))</f>
        <v>0</v>
      </c>
      <c r="J228" s="4">
        <f>IF($A228=J$215,"",COUNTIF($E$4:$E$211,$A228&amp;" ضد "&amp;J$215)+COUNTIF($E$4:$E$211,J$215&amp;" ضد "&amp;$A228))</f>
        <v>0</v>
      </c>
      <c r="K228" s="4">
        <f>IF($A228=K$215,"",COUNTIF($E$4:$E$211,$A228&amp;" ضد "&amp;K$215)+COUNTIF($E$4:$E$211,K$215&amp;" ضد "&amp;$A228))</f>
        <v>0</v>
      </c>
      <c r="L228" s="4">
        <f>IF($A228=L$215,"",COUNTIF($E$4:$E$211,$A228&amp;" ضد "&amp;L$215)+COUNTIF($E$4:$E$211,L$215&amp;" ضد "&amp;$A228))</f>
        <v>0</v>
      </c>
      <c r="M228" s="4">
        <f>IF($A228=M$215,"",COUNTIF($E$4:$E$211,$A228&amp;" ضد "&amp;M$215)+COUNTIF($E$4:$E$211,M$215&amp;" ضد "&amp;$A228))</f>
        <v>0</v>
      </c>
      <c r="N228" s="4" t="str">
        <f>IF($A228=N$215,"",COUNTIF($E$4:$E$211,$A228&amp;" ضد "&amp;N$215)+COUNTIF($E$4:$E$211,N$215&amp;" ضد "&amp;$A228))</f>
        <v/>
      </c>
      <c r="O228" s="4">
        <f>IF($A228=O$215,"",COUNTIF($E$4:$E$211,$A228&amp;" ضد "&amp;O$215)+COUNTIF($E$4:$E$211,O$215&amp;" ضد "&amp;$A228))</f>
        <v>2</v>
      </c>
      <c r="P228" s="4">
        <f>IF($A228=P$215,"",COUNTIF($E$4:$E$211,$A228&amp;" ضد "&amp;P$215)+COUNTIF($E$4:$E$211,P$215&amp;" ضد "&amp;$A228))</f>
        <v>2</v>
      </c>
      <c r="Q228" s="4">
        <f>IF($A228=Q$215,"",COUNTIF($E$4:$E$211,$A228&amp;" ضد "&amp;Q$215)+COUNTIF($E$4:$E$211,Q$215&amp;" ضد "&amp;$A228))</f>
        <v>2</v>
      </c>
      <c r="R228" s="4">
        <f>IF($A228=R$215,"",COUNTIF($E$4:$E$211,$A228&amp;" ضد "&amp;R$215)+COUNTIF($E$4:$E$211,R$215&amp;" ضد "&amp;$A228))</f>
        <v>2</v>
      </c>
      <c r="S228" s="4">
        <f>IF($A228=S$215,"",COUNTIF($E$4:$E$211,$A228&amp;" ضد "&amp;S$215)+COUNTIF($E$4:$E$211,S$215&amp;" ضد "&amp;$A228))</f>
        <v>1</v>
      </c>
      <c r="T228" s="4">
        <f>IF($A228=T$215,"",COUNTIF($E$4:$E$211,$A228&amp;" ضد "&amp;T$215)+COUNTIF($E$4:$E$211,T$215&amp;" ضد "&amp;$A228))</f>
        <v>1</v>
      </c>
      <c r="U228" s="4">
        <f>IF($A228=U$215,"",COUNTIF($E$4:$E$211,$A228&amp;" ضد "&amp;U$215)+COUNTIF($E$4:$E$211,U$215&amp;" ضد "&amp;$A228))</f>
        <v>2</v>
      </c>
      <c r="V228" s="4">
        <f>IF($A228=V$215,"",COUNTIF($E$4:$E$211,$A228&amp;" ضد "&amp;V$215)+COUNTIF($E$4:$E$211,V$215&amp;" ضد "&amp;$A228))</f>
        <v>2</v>
      </c>
      <c r="W228" s="4">
        <f>IF($A228=W$215,"",COUNTIF($E$4:$E$211,$A228&amp;" ضد "&amp;W$215)+COUNTIF($E$4:$E$211,W$215&amp;" ضد "&amp;$A228))</f>
        <v>2</v>
      </c>
      <c r="X228" s="4">
        <f>IF($A228=X$215,"",COUNTIF($E$4:$E$211,$A228&amp;" ضد "&amp;X$215)+COUNTIF($E$4:$E$211,X$215&amp;" ضد "&amp;$A228))</f>
        <v>2</v>
      </c>
    </row>
    <row r="229" spans="1:24" ht="14" customHeight="1">
      <c r="A229" s="14">
        <v>14</v>
      </c>
      <c r="B229" s="4">
        <f>IF($A229=B$215,"",COUNTIF($E$4:$E$211,$A229&amp;" ضد "&amp;B$215)+COUNTIF($E$4:$E$211,B$215&amp;" ضد "&amp;$A229))</f>
        <v>0</v>
      </c>
      <c r="C229" s="4">
        <f>IF($A229=C$215,"",COUNTIF($E$4:$E$211,$A229&amp;" ضد "&amp;C$215)+COUNTIF($E$4:$E$211,C$215&amp;" ضد "&amp;$A229))</f>
        <v>0</v>
      </c>
      <c r="D229" s="4">
        <f>IF($A229=D$215,"",COUNTIF($E$4:$E$211,$A229&amp;" ضد "&amp;D$215)+COUNTIF($E$4:$E$211,D$215&amp;" ضد "&amp;$A229))</f>
        <v>0</v>
      </c>
      <c r="E229" s="4">
        <f>IF($A229=E$215,"",COUNTIF($E$4:$E$211,$A229&amp;" ضد "&amp;E$215)+COUNTIF($E$4:$E$211,E$215&amp;" ضد "&amp;$A229))</f>
        <v>0</v>
      </c>
      <c r="F229" s="4">
        <f>IF($A229=F$215,"",COUNTIF($E$4:$E$211,$A229&amp;" ضد "&amp;F$215)+COUNTIF($E$4:$E$211,F$215&amp;" ضد "&amp;$A229))</f>
        <v>0</v>
      </c>
      <c r="G229" s="4">
        <f>IF($A229=G$215,"",COUNTIF($E$4:$E$211,$A229&amp;" ضد "&amp;G$215)+COUNTIF($E$4:$E$211,G$215&amp;" ضد "&amp;$A229))</f>
        <v>0</v>
      </c>
      <c r="H229" s="4">
        <f>IF($A229=H$215,"",COUNTIF($E$4:$E$211,$A229&amp;" ضد "&amp;H$215)+COUNTIF($E$4:$E$211,H$215&amp;" ضد "&amp;$A229))</f>
        <v>0</v>
      </c>
      <c r="I229" s="4">
        <f>IF($A229=I$215,"",COUNTIF($E$4:$E$211,$A229&amp;" ضد "&amp;I$215)+COUNTIF($E$4:$E$211,I$215&amp;" ضد "&amp;$A229))</f>
        <v>0</v>
      </c>
      <c r="J229" s="4">
        <f>IF($A229=J$215,"",COUNTIF($E$4:$E$211,$A229&amp;" ضد "&amp;J$215)+COUNTIF($E$4:$E$211,J$215&amp;" ضد "&amp;$A229))</f>
        <v>0</v>
      </c>
      <c r="K229" s="4">
        <f>IF($A229=K$215,"",COUNTIF($E$4:$E$211,$A229&amp;" ضد "&amp;K$215)+COUNTIF($E$4:$E$211,K$215&amp;" ضد "&amp;$A229))</f>
        <v>0</v>
      </c>
      <c r="L229" s="4">
        <f>IF($A229=L$215,"",COUNTIF($E$4:$E$211,$A229&amp;" ضد "&amp;L$215)+COUNTIF($E$4:$E$211,L$215&amp;" ضد "&amp;$A229))</f>
        <v>0</v>
      </c>
      <c r="M229" s="4">
        <f>IF($A229=M$215,"",COUNTIF($E$4:$E$211,$A229&amp;" ضد "&amp;M$215)+COUNTIF($E$4:$E$211,M$215&amp;" ضد "&amp;$A229))</f>
        <v>0</v>
      </c>
      <c r="N229" s="4">
        <f>IF($A229=N$215,"",COUNTIF($E$4:$E$211,$A229&amp;" ضد "&amp;N$215)+COUNTIF($E$4:$E$211,N$215&amp;" ضد "&amp;$A229))</f>
        <v>2</v>
      </c>
      <c r="O229" s="4" t="str">
        <f>IF($A229=O$215,"",COUNTIF($E$4:$E$211,$A229&amp;" ضد "&amp;O$215)+COUNTIF($E$4:$E$211,O$215&amp;" ضد "&amp;$A229))</f>
        <v/>
      </c>
      <c r="P229" s="4">
        <f>IF($A229=P$215,"",COUNTIF($E$4:$E$211,$A229&amp;" ضد "&amp;P$215)+COUNTIF($E$4:$E$211,P$215&amp;" ضد "&amp;$A229))</f>
        <v>2</v>
      </c>
      <c r="Q229" s="4">
        <f>IF($A229=Q$215,"",COUNTIF($E$4:$E$211,$A229&amp;" ضد "&amp;Q$215)+COUNTIF($E$4:$E$211,Q$215&amp;" ضد "&amp;$A229))</f>
        <v>2</v>
      </c>
      <c r="R229" s="4">
        <f>IF($A229=R$215,"",COUNTIF($E$4:$E$211,$A229&amp;" ضد "&amp;R$215)+COUNTIF($E$4:$E$211,R$215&amp;" ضد "&amp;$A229))</f>
        <v>2</v>
      </c>
      <c r="S229" s="4">
        <f>IF($A229=S$215,"",COUNTIF($E$4:$E$211,$A229&amp;" ضد "&amp;S$215)+COUNTIF($E$4:$E$211,S$215&amp;" ضد "&amp;$A229))</f>
        <v>2</v>
      </c>
      <c r="T229" s="4">
        <f>IF($A229=T$215,"",COUNTIF($E$4:$E$211,$A229&amp;" ضد "&amp;T$215)+COUNTIF($E$4:$E$211,T$215&amp;" ضد "&amp;$A229))</f>
        <v>1</v>
      </c>
      <c r="U229" s="4">
        <f>IF($A229=U$215,"",COUNTIF($E$4:$E$211,$A229&amp;" ضد "&amp;U$215)+COUNTIF($E$4:$E$211,U$215&amp;" ضد "&amp;$A229))</f>
        <v>1</v>
      </c>
      <c r="V229" s="4">
        <f>IF($A229=V$215,"",COUNTIF($E$4:$E$211,$A229&amp;" ضد "&amp;V$215)+COUNTIF($E$4:$E$211,V$215&amp;" ضد "&amp;$A229))</f>
        <v>2</v>
      </c>
      <c r="W229" s="4">
        <f>IF($A229=W$215,"",COUNTIF($E$4:$E$211,$A229&amp;" ضد "&amp;W$215)+COUNTIF($E$4:$E$211,W$215&amp;" ضد "&amp;$A229))</f>
        <v>2</v>
      </c>
      <c r="X229" s="4">
        <f>IF($A229=X$215,"",COUNTIF($E$4:$E$211,$A229&amp;" ضد "&amp;X$215)+COUNTIF($E$4:$E$211,X$215&amp;" ضد "&amp;$A229))</f>
        <v>2</v>
      </c>
    </row>
    <row r="230" spans="1:24" ht="14" customHeight="1">
      <c r="A230" s="14">
        <v>15</v>
      </c>
      <c r="B230" s="4">
        <f>IF($A230=B$215,"",COUNTIF($E$4:$E$211,$A230&amp;" ضد "&amp;B$215)+COUNTIF($E$4:$E$211,B$215&amp;" ضد "&amp;$A230))</f>
        <v>0</v>
      </c>
      <c r="C230" s="4">
        <f>IF($A230=C$215,"",COUNTIF($E$4:$E$211,$A230&amp;" ضد "&amp;C$215)+COUNTIF($E$4:$E$211,C$215&amp;" ضد "&amp;$A230))</f>
        <v>0</v>
      </c>
      <c r="D230" s="4">
        <f>IF($A230=D$215,"",COUNTIF($E$4:$E$211,$A230&amp;" ضد "&amp;D$215)+COUNTIF($E$4:$E$211,D$215&amp;" ضد "&amp;$A230))</f>
        <v>0</v>
      </c>
      <c r="E230" s="4">
        <f>IF($A230=E$215,"",COUNTIF($E$4:$E$211,$A230&amp;" ضد "&amp;E$215)+COUNTIF($E$4:$E$211,E$215&amp;" ضد "&amp;$A230))</f>
        <v>0</v>
      </c>
      <c r="F230" s="4">
        <f>IF($A230=F$215,"",COUNTIF($E$4:$E$211,$A230&amp;" ضد "&amp;F$215)+COUNTIF($E$4:$E$211,F$215&amp;" ضد "&amp;$A230))</f>
        <v>0</v>
      </c>
      <c r="G230" s="4">
        <f>IF($A230=G$215,"",COUNTIF($E$4:$E$211,$A230&amp;" ضد "&amp;G$215)+COUNTIF($E$4:$E$211,G$215&amp;" ضد "&amp;$A230))</f>
        <v>0</v>
      </c>
      <c r="H230" s="4">
        <f>IF($A230=H$215,"",COUNTIF($E$4:$E$211,$A230&amp;" ضد "&amp;H$215)+COUNTIF($E$4:$E$211,H$215&amp;" ضد "&amp;$A230))</f>
        <v>0</v>
      </c>
      <c r="I230" s="4">
        <f>IF($A230=I$215,"",COUNTIF($E$4:$E$211,$A230&amp;" ضد "&amp;I$215)+COUNTIF($E$4:$E$211,I$215&amp;" ضد "&amp;$A230))</f>
        <v>0</v>
      </c>
      <c r="J230" s="4">
        <f>IF($A230=J$215,"",COUNTIF($E$4:$E$211,$A230&amp;" ضد "&amp;J$215)+COUNTIF($E$4:$E$211,J$215&amp;" ضد "&amp;$A230))</f>
        <v>0</v>
      </c>
      <c r="K230" s="4">
        <f>IF($A230=K$215,"",COUNTIF($E$4:$E$211,$A230&amp;" ضد "&amp;K$215)+COUNTIF($E$4:$E$211,K$215&amp;" ضد "&amp;$A230))</f>
        <v>0</v>
      </c>
      <c r="L230" s="4">
        <f>IF($A230=L$215,"",COUNTIF($E$4:$E$211,$A230&amp;" ضد "&amp;L$215)+COUNTIF($E$4:$E$211,L$215&amp;" ضد "&amp;$A230))</f>
        <v>0</v>
      </c>
      <c r="M230" s="4">
        <f>IF($A230=M$215,"",COUNTIF($E$4:$E$211,$A230&amp;" ضد "&amp;M$215)+COUNTIF($E$4:$E$211,M$215&amp;" ضد "&amp;$A230))</f>
        <v>0</v>
      </c>
      <c r="N230" s="4">
        <f>IF($A230=N$215,"",COUNTIF($E$4:$E$211,$A230&amp;" ضد "&amp;N$215)+COUNTIF($E$4:$E$211,N$215&amp;" ضد "&amp;$A230))</f>
        <v>2</v>
      </c>
      <c r="O230" s="4">
        <f>IF($A230=O$215,"",COUNTIF($E$4:$E$211,$A230&amp;" ضد "&amp;O$215)+COUNTIF($E$4:$E$211,O$215&amp;" ضد "&amp;$A230))</f>
        <v>2</v>
      </c>
      <c r="P230" s="4" t="str">
        <f>IF($A230=P$215,"",COUNTIF($E$4:$E$211,$A230&amp;" ضد "&amp;P$215)+COUNTIF($E$4:$E$211,P$215&amp;" ضد "&amp;$A230))</f>
        <v/>
      </c>
      <c r="Q230" s="4">
        <f>IF($A230=Q$215,"",COUNTIF($E$4:$E$211,$A230&amp;" ضد "&amp;Q$215)+COUNTIF($E$4:$E$211,Q$215&amp;" ضد "&amp;$A230))</f>
        <v>2</v>
      </c>
      <c r="R230" s="4">
        <f>IF($A230=R$215,"",COUNTIF($E$4:$E$211,$A230&amp;" ضد "&amp;R$215)+COUNTIF($E$4:$E$211,R$215&amp;" ضد "&amp;$A230))</f>
        <v>2</v>
      </c>
      <c r="S230" s="4">
        <f>IF($A230=S$215,"",COUNTIF($E$4:$E$211,$A230&amp;" ضد "&amp;S$215)+COUNTIF($E$4:$E$211,S$215&amp;" ضد "&amp;$A230))</f>
        <v>2</v>
      </c>
      <c r="T230" s="4">
        <f>IF($A230=T$215,"",COUNTIF($E$4:$E$211,$A230&amp;" ضد "&amp;T$215)+COUNTIF($E$4:$E$211,T$215&amp;" ضد "&amp;$A230))</f>
        <v>2</v>
      </c>
      <c r="U230" s="4">
        <f>IF($A230=U$215,"",COUNTIF($E$4:$E$211,$A230&amp;" ضد "&amp;U$215)+COUNTIF($E$4:$E$211,U$215&amp;" ضد "&amp;$A230))</f>
        <v>1</v>
      </c>
      <c r="V230" s="4">
        <f>IF($A230=V$215,"",COUNTIF($E$4:$E$211,$A230&amp;" ضد "&amp;V$215)+COUNTIF($E$4:$E$211,V$215&amp;" ضد "&amp;$A230))</f>
        <v>1</v>
      </c>
      <c r="W230" s="4">
        <f>IF($A230=W$215,"",COUNTIF($E$4:$E$211,$A230&amp;" ضد "&amp;W$215)+COUNTIF($E$4:$E$211,W$215&amp;" ضد "&amp;$A230))</f>
        <v>2</v>
      </c>
      <c r="X230" s="4">
        <f>IF($A230=X$215,"",COUNTIF($E$4:$E$211,$A230&amp;" ضد "&amp;X$215)+COUNTIF($E$4:$E$211,X$215&amp;" ضد "&amp;$A230))</f>
        <v>2</v>
      </c>
    </row>
    <row r="231" spans="1:24" ht="14" customHeight="1">
      <c r="A231" s="14">
        <v>16</v>
      </c>
      <c r="B231" s="4">
        <f>IF($A231=B$215,"",COUNTIF($E$4:$E$211,$A231&amp;" ضد "&amp;B$215)+COUNTIF($E$4:$E$211,B$215&amp;" ضد "&amp;$A231))</f>
        <v>0</v>
      </c>
      <c r="C231" s="4">
        <f>IF($A231=C$215,"",COUNTIF($E$4:$E$211,$A231&amp;" ضد "&amp;C$215)+COUNTIF($E$4:$E$211,C$215&amp;" ضد "&amp;$A231))</f>
        <v>0</v>
      </c>
      <c r="D231" s="4">
        <f>IF($A231=D$215,"",COUNTIF($E$4:$E$211,$A231&amp;" ضد "&amp;D$215)+COUNTIF($E$4:$E$211,D$215&amp;" ضد "&amp;$A231))</f>
        <v>0</v>
      </c>
      <c r="E231" s="4">
        <f>IF($A231=E$215,"",COUNTIF($E$4:$E$211,$A231&amp;" ضد "&amp;E$215)+COUNTIF($E$4:$E$211,E$215&amp;" ضد "&amp;$A231))</f>
        <v>0</v>
      </c>
      <c r="F231" s="4">
        <f>IF($A231=F$215,"",COUNTIF($E$4:$E$211,$A231&amp;" ضد "&amp;F$215)+COUNTIF($E$4:$E$211,F$215&amp;" ضد "&amp;$A231))</f>
        <v>0</v>
      </c>
      <c r="G231" s="4">
        <f>IF($A231=G$215,"",COUNTIF($E$4:$E$211,$A231&amp;" ضد "&amp;G$215)+COUNTIF($E$4:$E$211,G$215&amp;" ضد "&amp;$A231))</f>
        <v>0</v>
      </c>
      <c r="H231" s="4">
        <f>IF($A231=H$215,"",COUNTIF($E$4:$E$211,$A231&amp;" ضد "&amp;H$215)+COUNTIF($E$4:$E$211,H$215&amp;" ضد "&amp;$A231))</f>
        <v>0</v>
      </c>
      <c r="I231" s="4">
        <f>IF($A231=I$215,"",COUNTIF($E$4:$E$211,$A231&amp;" ضد "&amp;I$215)+COUNTIF($E$4:$E$211,I$215&amp;" ضد "&amp;$A231))</f>
        <v>0</v>
      </c>
      <c r="J231" s="4">
        <f>IF($A231=J$215,"",COUNTIF($E$4:$E$211,$A231&amp;" ضد "&amp;J$215)+COUNTIF($E$4:$E$211,J$215&amp;" ضد "&amp;$A231))</f>
        <v>0</v>
      </c>
      <c r="K231" s="4">
        <f>IF($A231=K$215,"",COUNTIF($E$4:$E$211,$A231&amp;" ضد "&amp;K$215)+COUNTIF($E$4:$E$211,K$215&amp;" ضد "&amp;$A231))</f>
        <v>0</v>
      </c>
      <c r="L231" s="4">
        <f>IF($A231=L$215,"",COUNTIF($E$4:$E$211,$A231&amp;" ضد "&amp;L$215)+COUNTIF($E$4:$E$211,L$215&amp;" ضد "&amp;$A231))</f>
        <v>0</v>
      </c>
      <c r="M231" s="4">
        <f>IF($A231=M$215,"",COUNTIF($E$4:$E$211,$A231&amp;" ضد "&amp;M$215)+COUNTIF($E$4:$E$211,M$215&amp;" ضد "&amp;$A231))</f>
        <v>0</v>
      </c>
      <c r="N231" s="4">
        <f>IF($A231=N$215,"",COUNTIF($E$4:$E$211,$A231&amp;" ضد "&amp;N$215)+COUNTIF($E$4:$E$211,N$215&amp;" ضد "&amp;$A231))</f>
        <v>2</v>
      </c>
      <c r="O231" s="4">
        <f>IF($A231=O$215,"",COUNTIF($E$4:$E$211,$A231&amp;" ضد "&amp;O$215)+COUNTIF($E$4:$E$211,O$215&amp;" ضد "&amp;$A231))</f>
        <v>2</v>
      </c>
      <c r="P231" s="4">
        <f>IF($A231=P$215,"",COUNTIF($E$4:$E$211,$A231&amp;" ضد "&amp;P$215)+COUNTIF($E$4:$E$211,P$215&amp;" ضد "&amp;$A231))</f>
        <v>2</v>
      </c>
      <c r="Q231" s="4" t="str">
        <f>IF($A231=Q$215,"",COUNTIF($E$4:$E$211,$A231&amp;" ضد "&amp;Q$215)+COUNTIF($E$4:$E$211,Q$215&amp;" ضد "&amp;$A231))</f>
        <v/>
      </c>
      <c r="R231" s="4">
        <f>IF($A231=R$215,"",COUNTIF($E$4:$E$211,$A231&amp;" ضد "&amp;R$215)+COUNTIF($E$4:$E$211,R$215&amp;" ضد "&amp;$A231))</f>
        <v>2</v>
      </c>
      <c r="S231" s="4">
        <f>IF($A231=S$215,"",COUNTIF($E$4:$E$211,$A231&amp;" ضد "&amp;S$215)+COUNTIF($E$4:$E$211,S$215&amp;" ضد "&amp;$A231))</f>
        <v>2</v>
      </c>
      <c r="T231" s="4">
        <f>IF($A231=T$215,"",COUNTIF($E$4:$E$211,$A231&amp;" ضد "&amp;T$215)+COUNTIF($E$4:$E$211,T$215&amp;" ضد "&amp;$A231))</f>
        <v>2</v>
      </c>
      <c r="U231" s="4">
        <f>IF($A231=U$215,"",COUNTIF($E$4:$E$211,$A231&amp;" ضد "&amp;U$215)+COUNTIF($E$4:$E$211,U$215&amp;" ضد "&amp;$A231))</f>
        <v>2</v>
      </c>
      <c r="V231" s="4">
        <f>IF($A231=V$215,"",COUNTIF($E$4:$E$211,$A231&amp;" ضد "&amp;V$215)+COUNTIF($E$4:$E$211,V$215&amp;" ضد "&amp;$A231))</f>
        <v>1</v>
      </c>
      <c r="W231" s="4">
        <f>IF($A231=W$215,"",COUNTIF($E$4:$E$211,$A231&amp;" ضد "&amp;W$215)+COUNTIF($E$4:$E$211,W$215&amp;" ضد "&amp;$A231))</f>
        <v>1</v>
      </c>
      <c r="X231" s="4">
        <f>IF($A231=X$215,"",COUNTIF($E$4:$E$211,$A231&amp;" ضد "&amp;X$215)+COUNTIF($E$4:$E$211,X$215&amp;" ضد "&amp;$A231))</f>
        <v>2</v>
      </c>
    </row>
    <row r="232" spans="1:24" ht="14" customHeight="1">
      <c r="A232" s="14">
        <v>17</v>
      </c>
      <c r="B232" s="4">
        <f>IF($A232=B$215,"",COUNTIF($E$4:$E$211,$A232&amp;" ضد "&amp;B$215)+COUNTIF($E$4:$E$211,B$215&amp;" ضد "&amp;$A232))</f>
        <v>0</v>
      </c>
      <c r="C232" s="4">
        <f>IF($A232=C$215,"",COUNTIF($E$4:$E$211,$A232&amp;" ضد "&amp;C$215)+COUNTIF($E$4:$E$211,C$215&amp;" ضد "&amp;$A232))</f>
        <v>0</v>
      </c>
      <c r="D232" s="4">
        <f>IF($A232=D$215,"",COUNTIF($E$4:$E$211,$A232&amp;" ضد "&amp;D$215)+COUNTIF($E$4:$E$211,D$215&amp;" ضد "&amp;$A232))</f>
        <v>0</v>
      </c>
      <c r="E232" s="4">
        <f>IF($A232=E$215,"",COUNTIF($E$4:$E$211,$A232&amp;" ضد "&amp;E$215)+COUNTIF($E$4:$E$211,E$215&amp;" ضد "&amp;$A232))</f>
        <v>0</v>
      </c>
      <c r="F232" s="4">
        <f>IF($A232=F$215,"",COUNTIF($E$4:$E$211,$A232&amp;" ضد "&amp;F$215)+COUNTIF($E$4:$E$211,F$215&amp;" ضد "&amp;$A232))</f>
        <v>0</v>
      </c>
      <c r="G232" s="4">
        <f>IF($A232=G$215,"",COUNTIF($E$4:$E$211,$A232&amp;" ضد "&amp;G$215)+COUNTIF($E$4:$E$211,G$215&amp;" ضد "&amp;$A232))</f>
        <v>0</v>
      </c>
      <c r="H232" s="4">
        <f>IF($A232=H$215,"",COUNTIF($E$4:$E$211,$A232&amp;" ضد "&amp;H$215)+COUNTIF($E$4:$E$211,H$215&amp;" ضد "&amp;$A232))</f>
        <v>0</v>
      </c>
      <c r="I232" s="4">
        <f>IF($A232=I$215,"",COUNTIF($E$4:$E$211,$A232&amp;" ضد "&amp;I$215)+COUNTIF($E$4:$E$211,I$215&amp;" ضد "&amp;$A232))</f>
        <v>0</v>
      </c>
      <c r="J232" s="4">
        <f>IF($A232=J$215,"",COUNTIF($E$4:$E$211,$A232&amp;" ضد "&amp;J$215)+COUNTIF($E$4:$E$211,J$215&amp;" ضد "&amp;$A232))</f>
        <v>0</v>
      </c>
      <c r="K232" s="4">
        <f>IF($A232=K$215,"",COUNTIF($E$4:$E$211,$A232&amp;" ضد "&amp;K$215)+COUNTIF($E$4:$E$211,K$215&amp;" ضد "&amp;$A232))</f>
        <v>0</v>
      </c>
      <c r="L232" s="4">
        <f>IF($A232=L$215,"",COUNTIF($E$4:$E$211,$A232&amp;" ضد "&amp;L$215)+COUNTIF($E$4:$E$211,L$215&amp;" ضد "&amp;$A232))</f>
        <v>0</v>
      </c>
      <c r="M232" s="4">
        <f>IF($A232=M$215,"",COUNTIF($E$4:$E$211,$A232&amp;" ضد "&amp;M$215)+COUNTIF($E$4:$E$211,M$215&amp;" ضد "&amp;$A232))</f>
        <v>0</v>
      </c>
      <c r="N232" s="4">
        <f>IF($A232=N$215,"",COUNTIF($E$4:$E$211,$A232&amp;" ضد "&amp;N$215)+COUNTIF($E$4:$E$211,N$215&amp;" ضد "&amp;$A232))</f>
        <v>2</v>
      </c>
      <c r="O232" s="4">
        <f>IF($A232=O$215,"",COUNTIF($E$4:$E$211,$A232&amp;" ضد "&amp;O$215)+COUNTIF($E$4:$E$211,O$215&amp;" ضد "&amp;$A232))</f>
        <v>2</v>
      </c>
      <c r="P232" s="4">
        <f>IF($A232=P$215,"",COUNTIF($E$4:$E$211,$A232&amp;" ضد "&amp;P$215)+COUNTIF($E$4:$E$211,P$215&amp;" ضد "&amp;$A232))</f>
        <v>2</v>
      </c>
      <c r="Q232" s="4">
        <f>IF($A232=Q$215,"",COUNTIF($E$4:$E$211,$A232&amp;" ضد "&amp;Q$215)+COUNTIF($E$4:$E$211,Q$215&amp;" ضد "&amp;$A232))</f>
        <v>2</v>
      </c>
      <c r="R232" s="4" t="str">
        <f>IF($A232=R$215,"",COUNTIF($E$4:$E$211,$A232&amp;" ضد "&amp;R$215)+COUNTIF($E$4:$E$211,R$215&amp;" ضد "&amp;$A232))</f>
        <v/>
      </c>
      <c r="S232" s="4">
        <f>IF($A232=S$215,"",COUNTIF($E$4:$E$211,$A232&amp;" ضد "&amp;S$215)+COUNTIF($E$4:$E$211,S$215&amp;" ضد "&amp;$A232))</f>
        <v>2</v>
      </c>
      <c r="T232" s="4">
        <f>IF($A232=T$215,"",COUNTIF($E$4:$E$211,$A232&amp;" ضد "&amp;T$215)+COUNTIF($E$4:$E$211,T$215&amp;" ضد "&amp;$A232))</f>
        <v>2</v>
      </c>
      <c r="U232" s="4">
        <f>IF($A232=U$215,"",COUNTIF($E$4:$E$211,$A232&amp;" ضد "&amp;U$215)+COUNTIF($E$4:$E$211,U$215&amp;" ضد "&amp;$A232))</f>
        <v>2</v>
      </c>
      <c r="V232" s="4">
        <f>IF($A232=V$215,"",COUNTIF($E$4:$E$211,$A232&amp;" ضد "&amp;V$215)+COUNTIF($E$4:$E$211,V$215&amp;" ضد "&amp;$A232))</f>
        <v>2</v>
      </c>
      <c r="W232" s="4">
        <f>IF($A232=W$215,"",COUNTIF($E$4:$E$211,$A232&amp;" ضد "&amp;W$215)+COUNTIF($E$4:$E$211,W$215&amp;" ضد "&amp;$A232))</f>
        <v>1</v>
      </c>
      <c r="X232" s="4">
        <f>IF($A232=X$215,"",COUNTIF($E$4:$E$211,$A232&amp;" ضد "&amp;X$215)+COUNTIF($E$4:$E$211,X$215&amp;" ضد "&amp;$A232))</f>
        <v>1</v>
      </c>
    </row>
    <row r="233" spans="1:24" ht="14" customHeight="1">
      <c r="A233" s="14">
        <v>18</v>
      </c>
      <c r="B233" s="4">
        <f>IF($A233=B$215,"",COUNTIF($E$4:$E$211,$A233&amp;" ضد "&amp;B$215)+COUNTIF($E$4:$E$211,B$215&amp;" ضد "&amp;$A233))</f>
        <v>0</v>
      </c>
      <c r="C233" s="4">
        <f>IF($A233=C$215,"",COUNTIF($E$4:$E$211,$A233&amp;" ضد "&amp;C$215)+COUNTIF($E$4:$E$211,C$215&amp;" ضد "&amp;$A233))</f>
        <v>0</v>
      </c>
      <c r="D233" s="4">
        <f>IF($A233=D$215,"",COUNTIF($E$4:$E$211,$A233&amp;" ضد "&amp;D$215)+COUNTIF($E$4:$E$211,D$215&amp;" ضد "&amp;$A233))</f>
        <v>0</v>
      </c>
      <c r="E233" s="4">
        <f>IF($A233=E$215,"",COUNTIF($E$4:$E$211,$A233&amp;" ضد "&amp;E$215)+COUNTIF($E$4:$E$211,E$215&amp;" ضد "&amp;$A233))</f>
        <v>0</v>
      </c>
      <c r="F233" s="4">
        <f>IF($A233=F$215,"",COUNTIF($E$4:$E$211,$A233&amp;" ضد "&amp;F$215)+COUNTIF($E$4:$E$211,F$215&amp;" ضد "&amp;$A233))</f>
        <v>0</v>
      </c>
      <c r="G233" s="4">
        <f>IF($A233=G$215,"",COUNTIF($E$4:$E$211,$A233&amp;" ضد "&amp;G$215)+COUNTIF($E$4:$E$211,G$215&amp;" ضد "&amp;$A233))</f>
        <v>0</v>
      </c>
      <c r="H233" s="4">
        <f>IF($A233=H$215,"",COUNTIF($E$4:$E$211,$A233&amp;" ضد "&amp;H$215)+COUNTIF($E$4:$E$211,H$215&amp;" ضد "&amp;$A233))</f>
        <v>0</v>
      </c>
      <c r="I233" s="4">
        <f>IF($A233=I$215,"",COUNTIF($E$4:$E$211,$A233&amp;" ضد "&amp;I$215)+COUNTIF($E$4:$E$211,I$215&amp;" ضد "&amp;$A233))</f>
        <v>0</v>
      </c>
      <c r="J233" s="4">
        <f>IF($A233=J$215,"",COUNTIF($E$4:$E$211,$A233&amp;" ضد "&amp;J$215)+COUNTIF($E$4:$E$211,J$215&amp;" ضد "&amp;$A233))</f>
        <v>0</v>
      </c>
      <c r="K233" s="4">
        <f>IF($A233=K$215,"",COUNTIF($E$4:$E$211,$A233&amp;" ضد "&amp;K$215)+COUNTIF($E$4:$E$211,K$215&amp;" ضد "&amp;$A233))</f>
        <v>0</v>
      </c>
      <c r="L233" s="4">
        <f>IF($A233=L$215,"",COUNTIF($E$4:$E$211,$A233&amp;" ضد "&amp;L$215)+COUNTIF($E$4:$E$211,L$215&amp;" ضد "&amp;$A233))</f>
        <v>0</v>
      </c>
      <c r="M233" s="4">
        <f>IF($A233=M$215,"",COUNTIF($E$4:$E$211,$A233&amp;" ضد "&amp;M$215)+COUNTIF($E$4:$E$211,M$215&amp;" ضد "&amp;$A233))</f>
        <v>0</v>
      </c>
      <c r="N233" s="4">
        <f>IF($A233=N$215,"",COUNTIF($E$4:$E$211,$A233&amp;" ضد "&amp;N$215)+COUNTIF($E$4:$E$211,N$215&amp;" ضد "&amp;$A233))</f>
        <v>1</v>
      </c>
      <c r="O233" s="4">
        <f>IF($A233=O$215,"",COUNTIF($E$4:$E$211,$A233&amp;" ضد "&amp;O$215)+COUNTIF($E$4:$E$211,O$215&amp;" ضد "&amp;$A233))</f>
        <v>2</v>
      </c>
      <c r="P233" s="4">
        <f>IF($A233=P$215,"",COUNTIF($E$4:$E$211,$A233&amp;" ضد "&amp;P$215)+COUNTIF($E$4:$E$211,P$215&amp;" ضد "&amp;$A233))</f>
        <v>2</v>
      </c>
      <c r="Q233" s="4">
        <f>IF($A233=Q$215,"",COUNTIF($E$4:$E$211,$A233&amp;" ضد "&amp;Q$215)+COUNTIF($E$4:$E$211,Q$215&amp;" ضد "&amp;$A233))</f>
        <v>2</v>
      </c>
      <c r="R233" s="4">
        <f>IF($A233=R$215,"",COUNTIF($E$4:$E$211,$A233&amp;" ضد "&amp;R$215)+COUNTIF($E$4:$E$211,R$215&amp;" ضد "&amp;$A233))</f>
        <v>2</v>
      </c>
      <c r="S233" s="4" t="str">
        <f>IF($A233=S$215,"",COUNTIF($E$4:$E$211,$A233&amp;" ضد "&amp;S$215)+COUNTIF($E$4:$E$211,S$215&amp;" ضد "&amp;$A233))</f>
        <v/>
      </c>
      <c r="T233" s="4">
        <f>IF($A233=T$215,"",COUNTIF($E$4:$E$211,$A233&amp;" ضد "&amp;T$215)+COUNTIF($E$4:$E$211,T$215&amp;" ضد "&amp;$A233))</f>
        <v>2</v>
      </c>
      <c r="U233" s="4">
        <f>IF($A233=U$215,"",COUNTIF($E$4:$E$211,$A233&amp;" ضد "&amp;U$215)+COUNTIF($E$4:$E$211,U$215&amp;" ضد "&amp;$A233))</f>
        <v>2</v>
      </c>
      <c r="V233" s="4">
        <f>IF($A233=V$215,"",COUNTIF($E$4:$E$211,$A233&amp;" ضد "&amp;V$215)+COUNTIF($E$4:$E$211,V$215&amp;" ضد "&amp;$A233))</f>
        <v>2</v>
      </c>
      <c r="W233" s="4">
        <f>IF($A233=W$215,"",COUNTIF($E$4:$E$211,$A233&amp;" ضد "&amp;W$215)+COUNTIF($E$4:$E$211,W$215&amp;" ضد "&amp;$A233))</f>
        <v>2</v>
      </c>
      <c r="X233" s="4">
        <f>IF($A233=X$215,"",COUNTIF($E$4:$E$211,$A233&amp;" ضد "&amp;X$215)+COUNTIF($E$4:$E$211,X$215&amp;" ضد "&amp;$A233))</f>
        <v>1</v>
      </c>
    </row>
    <row r="234" spans="1:24" ht="14" customHeight="1">
      <c r="A234" s="14">
        <v>19</v>
      </c>
      <c r="B234" s="4">
        <f>IF($A234=B$215,"",COUNTIF($E$4:$E$211,$A234&amp;" ضد "&amp;B$215)+COUNTIF($E$4:$E$211,B$215&amp;" ضد "&amp;$A234))</f>
        <v>0</v>
      </c>
      <c r="C234" s="4">
        <f>IF($A234=C$215,"",COUNTIF($E$4:$E$211,$A234&amp;" ضد "&amp;C$215)+COUNTIF($E$4:$E$211,C$215&amp;" ضد "&amp;$A234))</f>
        <v>0</v>
      </c>
      <c r="D234" s="4">
        <f>IF($A234=D$215,"",COUNTIF($E$4:$E$211,$A234&amp;" ضد "&amp;D$215)+COUNTIF($E$4:$E$211,D$215&amp;" ضد "&amp;$A234))</f>
        <v>0</v>
      </c>
      <c r="E234" s="4">
        <f>IF($A234=E$215,"",COUNTIF($E$4:$E$211,$A234&amp;" ضد "&amp;E$215)+COUNTIF($E$4:$E$211,E$215&amp;" ضد "&amp;$A234))</f>
        <v>0</v>
      </c>
      <c r="F234" s="4">
        <f>IF($A234=F$215,"",COUNTIF($E$4:$E$211,$A234&amp;" ضد "&amp;F$215)+COUNTIF($E$4:$E$211,F$215&amp;" ضد "&amp;$A234))</f>
        <v>0</v>
      </c>
      <c r="G234" s="4">
        <f>IF($A234=G$215,"",COUNTIF($E$4:$E$211,$A234&amp;" ضد "&amp;G$215)+COUNTIF($E$4:$E$211,G$215&amp;" ضد "&amp;$A234))</f>
        <v>0</v>
      </c>
      <c r="H234" s="4">
        <f>IF($A234=H$215,"",COUNTIF($E$4:$E$211,$A234&amp;" ضد "&amp;H$215)+COUNTIF($E$4:$E$211,H$215&amp;" ضد "&amp;$A234))</f>
        <v>0</v>
      </c>
      <c r="I234" s="4">
        <f>IF($A234=I$215,"",COUNTIF($E$4:$E$211,$A234&amp;" ضد "&amp;I$215)+COUNTIF($E$4:$E$211,I$215&amp;" ضد "&amp;$A234))</f>
        <v>0</v>
      </c>
      <c r="J234" s="4">
        <f>IF($A234=J$215,"",COUNTIF($E$4:$E$211,$A234&amp;" ضد "&amp;J$215)+COUNTIF($E$4:$E$211,J$215&amp;" ضد "&amp;$A234))</f>
        <v>0</v>
      </c>
      <c r="K234" s="4">
        <f>IF($A234=K$215,"",COUNTIF($E$4:$E$211,$A234&amp;" ضد "&amp;K$215)+COUNTIF($E$4:$E$211,K$215&amp;" ضد "&amp;$A234))</f>
        <v>0</v>
      </c>
      <c r="L234" s="4">
        <f>IF($A234=L$215,"",COUNTIF($E$4:$E$211,$A234&amp;" ضد "&amp;L$215)+COUNTIF($E$4:$E$211,L$215&amp;" ضد "&amp;$A234))</f>
        <v>0</v>
      </c>
      <c r="M234" s="4">
        <f>IF($A234=M$215,"",COUNTIF($E$4:$E$211,$A234&amp;" ضد "&amp;M$215)+COUNTIF($E$4:$E$211,M$215&amp;" ضد "&amp;$A234))</f>
        <v>0</v>
      </c>
      <c r="N234" s="4">
        <f>IF($A234=N$215,"",COUNTIF($E$4:$E$211,$A234&amp;" ضد "&amp;N$215)+COUNTIF($E$4:$E$211,N$215&amp;" ضد "&amp;$A234))</f>
        <v>1</v>
      </c>
      <c r="O234" s="4">
        <f>IF($A234=O$215,"",COUNTIF($E$4:$E$211,$A234&amp;" ضد "&amp;O$215)+COUNTIF($E$4:$E$211,O$215&amp;" ضد "&amp;$A234))</f>
        <v>1</v>
      </c>
      <c r="P234" s="4">
        <f>IF($A234=P$215,"",COUNTIF($E$4:$E$211,$A234&amp;" ضد "&amp;P$215)+COUNTIF($E$4:$E$211,P$215&amp;" ضد "&amp;$A234))</f>
        <v>2</v>
      </c>
      <c r="Q234" s="4">
        <f>IF($A234=Q$215,"",COUNTIF($E$4:$E$211,$A234&amp;" ضد "&amp;Q$215)+COUNTIF($E$4:$E$211,Q$215&amp;" ضد "&amp;$A234))</f>
        <v>2</v>
      </c>
      <c r="R234" s="4">
        <f>IF($A234=R$215,"",COUNTIF($E$4:$E$211,$A234&amp;" ضد "&amp;R$215)+COUNTIF($E$4:$E$211,R$215&amp;" ضد "&amp;$A234))</f>
        <v>2</v>
      </c>
      <c r="S234" s="4">
        <f>IF($A234=S$215,"",COUNTIF($E$4:$E$211,$A234&amp;" ضد "&amp;S$215)+COUNTIF($E$4:$E$211,S$215&amp;" ضد "&amp;$A234))</f>
        <v>2</v>
      </c>
      <c r="T234" s="4" t="str">
        <f>IF($A234=T$215,"",COUNTIF($E$4:$E$211,$A234&amp;" ضد "&amp;T$215)+COUNTIF($E$4:$E$211,T$215&amp;" ضد "&amp;$A234))</f>
        <v/>
      </c>
      <c r="U234" s="4">
        <f>IF($A234=U$215,"",COUNTIF($E$4:$E$211,$A234&amp;" ضد "&amp;U$215)+COUNTIF($E$4:$E$211,U$215&amp;" ضد "&amp;$A234))</f>
        <v>2</v>
      </c>
      <c r="V234" s="4">
        <f>IF($A234=V$215,"",COUNTIF($E$4:$E$211,$A234&amp;" ضد "&amp;V$215)+COUNTIF($E$4:$E$211,V$215&amp;" ضد "&amp;$A234))</f>
        <v>2</v>
      </c>
      <c r="W234" s="4">
        <f>IF($A234=W$215,"",COUNTIF($E$4:$E$211,$A234&amp;" ضد "&amp;W$215)+COUNTIF($E$4:$E$211,W$215&amp;" ضد "&amp;$A234))</f>
        <v>2</v>
      </c>
      <c r="X234" s="4">
        <f>IF($A234=X$215,"",COUNTIF($E$4:$E$211,$A234&amp;" ضد "&amp;X$215)+COUNTIF($E$4:$E$211,X$215&amp;" ضد "&amp;$A234))</f>
        <v>2</v>
      </c>
    </row>
    <row r="235" spans="1:24" ht="14" customHeight="1">
      <c r="A235" s="14">
        <v>20</v>
      </c>
      <c r="B235" s="4">
        <f>IF($A235=B$215,"",COUNTIF($E$4:$E$211,$A235&amp;" ضد "&amp;B$215)+COUNTIF($E$4:$E$211,B$215&amp;" ضد "&amp;$A235))</f>
        <v>0</v>
      </c>
      <c r="C235" s="4">
        <f>IF($A235=C$215,"",COUNTIF($E$4:$E$211,$A235&amp;" ضد "&amp;C$215)+COUNTIF($E$4:$E$211,C$215&amp;" ضد "&amp;$A235))</f>
        <v>0</v>
      </c>
      <c r="D235" s="4">
        <f>IF($A235=D$215,"",COUNTIF($E$4:$E$211,$A235&amp;" ضد "&amp;D$215)+COUNTIF($E$4:$E$211,D$215&amp;" ضد "&amp;$A235))</f>
        <v>0</v>
      </c>
      <c r="E235" s="4">
        <f>IF($A235=E$215,"",COUNTIF($E$4:$E$211,$A235&amp;" ضد "&amp;E$215)+COUNTIF($E$4:$E$211,E$215&amp;" ضد "&amp;$A235))</f>
        <v>0</v>
      </c>
      <c r="F235" s="4">
        <f>IF($A235=F$215,"",COUNTIF($E$4:$E$211,$A235&amp;" ضد "&amp;F$215)+COUNTIF($E$4:$E$211,F$215&amp;" ضد "&amp;$A235))</f>
        <v>0</v>
      </c>
      <c r="G235" s="4">
        <f>IF($A235=G$215,"",COUNTIF($E$4:$E$211,$A235&amp;" ضد "&amp;G$215)+COUNTIF($E$4:$E$211,G$215&amp;" ضد "&amp;$A235))</f>
        <v>0</v>
      </c>
      <c r="H235" s="4">
        <f>IF($A235=H$215,"",COUNTIF($E$4:$E$211,$A235&amp;" ضد "&amp;H$215)+COUNTIF($E$4:$E$211,H$215&amp;" ضد "&amp;$A235))</f>
        <v>0</v>
      </c>
      <c r="I235" s="4">
        <f>IF($A235=I$215,"",COUNTIF($E$4:$E$211,$A235&amp;" ضد "&amp;I$215)+COUNTIF($E$4:$E$211,I$215&amp;" ضد "&amp;$A235))</f>
        <v>0</v>
      </c>
      <c r="J235" s="4">
        <f>IF($A235=J$215,"",COUNTIF($E$4:$E$211,$A235&amp;" ضد "&amp;J$215)+COUNTIF($E$4:$E$211,J$215&amp;" ضد "&amp;$A235))</f>
        <v>0</v>
      </c>
      <c r="K235" s="4">
        <f>IF($A235=K$215,"",COUNTIF($E$4:$E$211,$A235&amp;" ضد "&amp;K$215)+COUNTIF($E$4:$E$211,K$215&amp;" ضد "&amp;$A235))</f>
        <v>0</v>
      </c>
      <c r="L235" s="4">
        <f>IF($A235=L$215,"",COUNTIF($E$4:$E$211,$A235&amp;" ضد "&amp;L$215)+COUNTIF($E$4:$E$211,L$215&amp;" ضد "&amp;$A235))</f>
        <v>0</v>
      </c>
      <c r="M235" s="4">
        <f>IF($A235=M$215,"",COUNTIF($E$4:$E$211,$A235&amp;" ضد "&amp;M$215)+COUNTIF($E$4:$E$211,M$215&amp;" ضد "&amp;$A235))</f>
        <v>0</v>
      </c>
      <c r="N235" s="4">
        <f>IF($A235=N$215,"",COUNTIF($E$4:$E$211,$A235&amp;" ضد "&amp;N$215)+COUNTIF($E$4:$E$211,N$215&amp;" ضد "&amp;$A235))</f>
        <v>2</v>
      </c>
      <c r="O235" s="4">
        <f>IF($A235=O$215,"",COUNTIF($E$4:$E$211,$A235&amp;" ضد "&amp;O$215)+COUNTIF($E$4:$E$211,O$215&amp;" ضد "&amp;$A235))</f>
        <v>1</v>
      </c>
      <c r="P235" s="4">
        <f>IF($A235=P$215,"",COUNTIF($E$4:$E$211,$A235&amp;" ضد "&amp;P$215)+COUNTIF($E$4:$E$211,P$215&amp;" ضد "&amp;$A235))</f>
        <v>1</v>
      </c>
      <c r="Q235" s="4">
        <f>IF($A235=Q$215,"",COUNTIF($E$4:$E$211,$A235&amp;" ضد "&amp;Q$215)+COUNTIF($E$4:$E$211,Q$215&amp;" ضد "&amp;$A235))</f>
        <v>2</v>
      </c>
      <c r="R235" s="4">
        <f>IF($A235=R$215,"",COUNTIF($E$4:$E$211,$A235&amp;" ضد "&amp;R$215)+COUNTIF($E$4:$E$211,R$215&amp;" ضد "&amp;$A235))</f>
        <v>2</v>
      </c>
      <c r="S235" s="4">
        <f>IF($A235=S$215,"",COUNTIF($E$4:$E$211,$A235&amp;" ضد "&amp;S$215)+COUNTIF($E$4:$E$211,S$215&amp;" ضد "&amp;$A235))</f>
        <v>2</v>
      </c>
      <c r="T235" s="4">
        <f>IF($A235=T$215,"",COUNTIF($E$4:$E$211,$A235&amp;" ضد "&amp;T$215)+COUNTIF($E$4:$E$211,T$215&amp;" ضد "&amp;$A235))</f>
        <v>2</v>
      </c>
      <c r="U235" s="4" t="str">
        <f>IF($A235=U$215,"",COUNTIF($E$4:$E$211,$A235&amp;" ضد "&amp;U$215)+COUNTIF($E$4:$E$211,U$215&amp;" ضد "&amp;$A235))</f>
        <v/>
      </c>
      <c r="V235" s="4">
        <f>IF($A235=V$215,"",COUNTIF($E$4:$E$211,$A235&amp;" ضد "&amp;V$215)+COUNTIF($E$4:$E$211,V$215&amp;" ضد "&amp;$A235))</f>
        <v>2</v>
      </c>
      <c r="W235" s="4">
        <f>IF($A235=W$215,"",COUNTIF($E$4:$E$211,$A235&amp;" ضد "&amp;W$215)+COUNTIF($E$4:$E$211,W$215&amp;" ضد "&amp;$A235))</f>
        <v>2</v>
      </c>
      <c r="X235" s="4">
        <f>IF($A235=X$215,"",COUNTIF($E$4:$E$211,$A235&amp;" ضد "&amp;X$215)+COUNTIF($E$4:$E$211,X$215&amp;" ضد "&amp;$A235))</f>
        <v>2</v>
      </c>
    </row>
    <row r="236" spans="1:24" ht="14" customHeight="1">
      <c r="A236" s="14">
        <v>21</v>
      </c>
      <c r="B236" s="4">
        <f>IF($A236=B$215,"",COUNTIF($E$4:$E$211,$A236&amp;" ضد "&amp;B$215)+COUNTIF($E$4:$E$211,B$215&amp;" ضد "&amp;$A236))</f>
        <v>0</v>
      </c>
      <c r="C236" s="4">
        <f>IF($A236=C$215,"",COUNTIF($E$4:$E$211,$A236&amp;" ضد "&amp;C$215)+COUNTIF($E$4:$E$211,C$215&amp;" ضد "&amp;$A236))</f>
        <v>0</v>
      </c>
      <c r="D236" s="4">
        <f>IF($A236=D$215,"",COUNTIF($E$4:$E$211,$A236&amp;" ضد "&amp;D$215)+COUNTIF($E$4:$E$211,D$215&amp;" ضد "&amp;$A236))</f>
        <v>0</v>
      </c>
      <c r="E236" s="4">
        <f>IF($A236=E$215,"",COUNTIF($E$4:$E$211,$A236&amp;" ضد "&amp;E$215)+COUNTIF($E$4:$E$211,E$215&amp;" ضد "&amp;$A236))</f>
        <v>0</v>
      </c>
      <c r="F236" s="4">
        <f>IF($A236=F$215,"",COUNTIF($E$4:$E$211,$A236&amp;" ضد "&amp;F$215)+COUNTIF($E$4:$E$211,F$215&amp;" ضد "&amp;$A236))</f>
        <v>0</v>
      </c>
      <c r="G236" s="4">
        <f>IF($A236=G$215,"",COUNTIF($E$4:$E$211,$A236&amp;" ضد "&amp;G$215)+COUNTIF($E$4:$E$211,G$215&amp;" ضد "&amp;$A236))</f>
        <v>0</v>
      </c>
      <c r="H236" s="4">
        <f>IF($A236=H$215,"",COUNTIF($E$4:$E$211,$A236&amp;" ضد "&amp;H$215)+COUNTIF($E$4:$E$211,H$215&amp;" ضد "&amp;$A236))</f>
        <v>0</v>
      </c>
      <c r="I236" s="4">
        <f>IF($A236=I$215,"",COUNTIF($E$4:$E$211,$A236&amp;" ضد "&amp;I$215)+COUNTIF($E$4:$E$211,I$215&amp;" ضد "&amp;$A236))</f>
        <v>0</v>
      </c>
      <c r="J236" s="4">
        <f>IF($A236=J$215,"",COUNTIF($E$4:$E$211,$A236&amp;" ضد "&amp;J$215)+COUNTIF($E$4:$E$211,J$215&amp;" ضد "&amp;$A236))</f>
        <v>0</v>
      </c>
      <c r="K236" s="4">
        <f>IF($A236=K$215,"",COUNTIF($E$4:$E$211,$A236&amp;" ضد "&amp;K$215)+COUNTIF($E$4:$E$211,K$215&amp;" ضد "&amp;$A236))</f>
        <v>0</v>
      </c>
      <c r="L236" s="4">
        <f>IF($A236=L$215,"",COUNTIF($E$4:$E$211,$A236&amp;" ضد "&amp;L$215)+COUNTIF($E$4:$E$211,L$215&amp;" ضد "&amp;$A236))</f>
        <v>0</v>
      </c>
      <c r="M236" s="4">
        <f>IF($A236=M$215,"",COUNTIF($E$4:$E$211,$A236&amp;" ضد "&amp;M$215)+COUNTIF($E$4:$E$211,M$215&amp;" ضد "&amp;$A236))</f>
        <v>0</v>
      </c>
      <c r="N236" s="4">
        <f>IF($A236=N$215,"",COUNTIF($E$4:$E$211,$A236&amp;" ضد "&amp;N$215)+COUNTIF($E$4:$E$211,N$215&amp;" ضد "&amp;$A236))</f>
        <v>2</v>
      </c>
      <c r="O236" s="4">
        <f>IF($A236=O$215,"",COUNTIF($E$4:$E$211,$A236&amp;" ضد "&amp;O$215)+COUNTIF($E$4:$E$211,O$215&amp;" ضد "&amp;$A236))</f>
        <v>2</v>
      </c>
      <c r="P236" s="4">
        <f>IF($A236=P$215,"",COUNTIF($E$4:$E$211,$A236&amp;" ضد "&amp;P$215)+COUNTIF($E$4:$E$211,P$215&amp;" ضد "&amp;$A236))</f>
        <v>1</v>
      </c>
      <c r="Q236" s="4">
        <f>IF($A236=Q$215,"",COUNTIF($E$4:$E$211,$A236&amp;" ضد "&amp;Q$215)+COUNTIF($E$4:$E$211,Q$215&amp;" ضد "&amp;$A236))</f>
        <v>1</v>
      </c>
      <c r="R236" s="4">
        <f>IF($A236=R$215,"",COUNTIF($E$4:$E$211,$A236&amp;" ضد "&amp;R$215)+COUNTIF($E$4:$E$211,R$215&amp;" ضد "&amp;$A236))</f>
        <v>2</v>
      </c>
      <c r="S236" s="4">
        <f>IF($A236=S$215,"",COUNTIF($E$4:$E$211,$A236&amp;" ضد "&amp;S$215)+COUNTIF($E$4:$E$211,S$215&amp;" ضد "&amp;$A236))</f>
        <v>2</v>
      </c>
      <c r="T236" s="4">
        <f>IF($A236=T$215,"",COUNTIF($E$4:$E$211,$A236&amp;" ضد "&amp;T$215)+COUNTIF($E$4:$E$211,T$215&amp;" ضد "&amp;$A236))</f>
        <v>2</v>
      </c>
      <c r="U236" s="4">
        <f>IF($A236=U$215,"",COUNTIF($E$4:$E$211,$A236&amp;" ضد "&amp;U$215)+COUNTIF($E$4:$E$211,U$215&amp;" ضد "&amp;$A236))</f>
        <v>2</v>
      </c>
      <c r="V236" s="4" t="str">
        <f>IF($A236=V$215,"",COUNTIF($E$4:$E$211,$A236&amp;" ضد "&amp;V$215)+COUNTIF($E$4:$E$211,V$215&amp;" ضد "&amp;$A236))</f>
        <v/>
      </c>
      <c r="W236" s="4">
        <f>IF($A236=W$215,"",COUNTIF($E$4:$E$211,$A236&amp;" ضد "&amp;W$215)+COUNTIF($E$4:$E$211,W$215&amp;" ضد "&amp;$A236))</f>
        <v>2</v>
      </c>
      <c r="X236" s="4">
        <f>IF($A236=X$215,"",COUNTIF($E$4:$E$211,$A236&amp;" ضد "&amp;X$215)+COUNTIF($E$4:$E$211,X$215&amp;" ضد "&amp;$A236))</f>
        <v>2</v>
      </c>
    </row>
    <row r="237" spans="1:24" ht="14" customHeight="1">
      <c r="A237" s="14">
        <v>22</v>
      </c>
      <c r="B237" s="4">
        <f>IF($A237=B$215,"",COUNTIF($E$4:$E$211,$A237&amp;" ضد "&amp;B$215)+COUNTIF($E$4:$E$211,B$215&amp;" ضد "&amp;$A237))</f>
        <v>0</v>
      </c>
      <c r="C237" s="4">
        <f>IF($A237=C$215,"",COUNTIF($E$4:$E$211,$A237&amp;" ضد "&amp;C$215)+COUNTIF($E$4:$E$211,C$215&amp;" ضد "&amp;$A237))</f>
        <v>0</v>
      </c>
      <c r="D237" s="4">
        <f>IF($A237=D$215,"",COUNTIF($E$4:$E$211,$A237&amp;" ضد "&amp;D$215)+COUNTIF($E$4:$E$211,D$215&amp;" ضد "&amp;$A237))</f>
        <v>0</v>
      </c>
      <c r="E237" s="4">
        <f>IF($A237=E$215,"",COUNTIF($E$4:$E$211,$A237&amp;" ضد "&amp;E$215)+COUNTIF($E$4:$E$211,E$215&amp;" ضد "&amp;$A237))</f>
        <v>0</v>
      </c>
      <c r="F237" s="4">
        <f>IF($A237=F$215,"",COUNTIF($E$4:$E$211,$A237&amp;" ضد "&amp;F$215)+COUNTIF($E$4:$E$211,F$215&amp;" ضد "&amp;$A237))</f>
        <v>0</v>
      </c>
      <c r="G237" s="4">
        <f>IF($A237=G$215,"",COUNTIF($E$4:$E$211,$A237&amp;" ضد "&amp;G$215)+COUNTIF($E$4:$E$211,G$215&amp;" ضد "&amp;$A237))</f>
        <v>0</v>
      </c>
      <c r="H237" s="4">
        <f>IF($A237=H$215,"",COUNTIF($E$4:$E$211,$A237&amp;" ضد "&amp;H$215)+COUNTIF($E$4:$E$211,H$215&amp;" ضد "&amp;$A237))</f>
        <v>0</v>
      </c>
      <c r="I237" s="4">
        <f>IF($A237=I$215,"",COUNTIF($E$4:$E$211,$A237&amp;" ضد "&amp;I$215)+COUNTIF($E$4:$E$211,I$215&amp;" ضد "&amp;$A237))</f>
        <v>0</v>
      </c>
      <c r="J237" s="4">
        <f>IF($A237=J$215,"",COUNTIF($E$4:$E$211,$A237&amp;" ضد "&amp;J$215)+COUNTIF($E$4:$E$211,J$215&amp;" ضد "&amp;$A237))</f>
        <v>0</v>
      </c>
      <c r="K237" s="4">
        <f>IF($A237=K$215,"",COUNTIF($E$4:$E$211,$A237&amp;" ضد "&amp;K$215)+COUNTIF($E$4:$E$211,K$215&amp;" ضد "&amp;$A237))</f>
        <v>0</v>
      </c>
      <c r="L237" s="4">
        <f>IF($A237=L$215,"",COUNTIF($E$4:$E$211,$A237&amp;" ضد "&amp;L$215)+COUNTIF($E$4:$E$211,L$215&amp;" ضد "&amp;$A237))</f>
        <v>0</v>
      </c>
      <c r="M237" s="4">
        <f>IF($A237=M$215,"",COUNTIF($E$4:$E$211,$A237&amp;" ضد "&amp;M$215)+COUNTIF($E$4:$E$211,M$215&amp;" ضد "&amp;$A237))</f>
        <v>0</v>
      </c>
      <c r="N237" s="4">
        <f>IF($A237=N$215,"",COUNTIF($E$4:$E$211,$A237&amp;" ضد "&amp;N$215)+COUNTIF($E$4:$E$211,N$215&amp;" ضد "&amp;$A237))</f>
        <v>2</v>
      </c>
      <c r="O237" s="4">
        <f>IF($A237=O$215,"",COUNTIF($E$4:$E$211,$A237&amp;" ضد "&amp;O$215)+COUNTIF($E$4:$E$211,O$215&amp;" ضد "&amp;$A237))</f>
        <v>2</v>
      </c>
      <c r="P237" s="4">
        <f>IF($A237=P$215,"",COUNTIF($E$4:$E$211,$A237&amp;" ضد "&amp;P$215)+COUNTIF($E$4:$E$211,P$215&amp;" ضد "&amp;$A237))</f>
        <v>2</v>
      </c>
      <c r="Q237" s="4">
        <f>IF($A237=Q$215,"",COUNTIF($E$4:$E$211,$A237&amp;" ضد "&amp;Q$215)+COUNTIF($E$4:$E$211,Q$215&amp;" ضد "&amp;$A237))</f>
        <v>1</v>
      </c>
      <c r="R237" s="4">
        <f>IF($A237=R$215,"",COUNTIF($E$4:$E$211,$A237&amp;" ضد "&amp;R$215)+COUNTIF($E$4:$E$211,R$215&amp;" ضد "&amp;$A237))</f>
        <v>1</v>
      </c>
      <c r="S237" s="4">
        <f>IF($A237=S$215,"",COUNTIF($E$4:$E$211,$A237&amp;" ضد "&amp;S$215)+COUNTIF($E$4:$E$211,S$215&amp;" ضد "&amp;$A237))</f>
        <v>2</v>
      </c>
      <c r="T237" s="4">
        <f>IF($A237=T$215,"",COUNTIF($E$4:$E$211,$A237&amp;" ضد "&amp;T$215)+COUNTIF($E$4:$E$211,T$215&amp;" ضد "&amp;$A237))</f>
        <v>2</v>
      </c>
      <c r="U237" s="4">
        <f>IF($A237=U$215,"",COUNTIF($E$4:$E$211,$A237&amp;" ضد "&amp;U$215)+COUNTIF($E$4:$E$211,U$215&amp;" ضد "&amp;$A237))</f>
        <v>2</v>
      </c>
      <c r="V237" s="4">
        <f>IF($A237=V$215,"",COUNTIF($E$4:$E$211,$A237&amp;" ضد "&amp;V$215)+COUNTIF($E$4:$E$211,V$215&amp;" ضد "&amp;$A237))</f>
        <v>2</v>
      </c>
      <c r="W237" s="4" t="str">
        <f>IF($A237=W$215,"",COUNTIF($E$4:$E$211,$A237&amp;" ضد "&amp;W$215)+COUNTIF($E$4:$E$211,W$215&amp;" ضد "&amp;$A237))</f>
        <v/>
      </c>
      <c r="X237" s="4">
        <f>IF($A237=X$215,"",COUNTIF($E$4:$E$211,$A237&amp;" ضد "&amp;X$215)+COUNTIF($E$4:$E$211,X$215&amp;" ضد "&amp;$A237))</f>
        <v>2</v>
      </c>
    </row>
    <row r="238" spans="1:24" ht="14.5">
      <c r="A238" s="14">
        <v>23</v>
      </c>
      <c r="B238" s="4">
        <f>IF($A238=B$215,"",COUNTIF($E$4:$E$211,$A238&amp;" ضد "&amp;B$215)+COUNTIF($E$4:$E$211,B$215&amp;" ضد "&amp;$A238))</f>
        <v>0</v>
      </c>
      <c r="C238" s="4">
        <f>IF($A238=C$215,"",COUNTIF($E$4:$E$211,$A238&amp;" ضد "&amp;C$215)+COUNTIF($E$4:$E$211,C$215&amp;" ضد "&amp;$A238))</f>
        <v>0</v>
      </c>
      <c r="D238" s="4">
        <f>IF($A238=D$215,"",COUNTIF($E$4:$E$211,$A238&amp;" ضد "&amp;D$215)+COUNTIF($E$4:$E$211,D$215&amp;" ضد "&amp;$A238))</f>
        <v>0</v>
      </c>
      <c r="E238" s="4">
        <f>IF($A238=E$215,"",COUNTIF($E$4:$E$211,$A238&amp;" ضد "&amp;E$215)+COUNTIF($E$4:$E$211,E$215&amp;" ضد "&amp;$A238))</f>
        <v>0</v>
      </c>
      <c r="F238" s="4">
        <f>IF($A238=F$215,"",COUNTIF($E$4:$E$211,$A238&amp;" ضد "&amp;F$215)+COUNTIF($E$4:$E$211,F$215&amp;" ضد "&amp;$A238))</f>
        <v>0</v>
      </c>
      <c r="G238" s="4">
        <f>IF($A238=G$215,"",COUNTIF($E$4:$E$211,$A238&amp;" ضد "&amp;G$215)+COUNTIF($E$4:$E$211,G$215&amp;" ضد "&amp;$A238))</f>
        <v>0</v>
      </c>
      <c r="H238" s="4">
        <f>IF($A238=H$215,"",COUNTIF($E$4:$E$211,$A238&amp;" ضد "&amp;H$215)+COUNTIF($E$4:$E$211,H$215&amp;" ضد "&amp;$A238))</f>
        <v>0</v>
      </c>
      <c r="I238" s="4">
        <f>IF($A238=I$215,"",COUNTIF($E$4:$E$211,$A238&amp;" ضد "&amp;I$215)+COUNTIF($E$4:$E$211,I$215&amp;" ضد "&amp;$A238))</f>
        <v>0</v>
      </c>
      <c r="J238" s="4">
        <f>IF($A238=J$215,"",COUNTIF($E$4:$E$211,$A238&amp;" ضد "&amp;J$215)+COUNTIF($E$4:$E$211,J$215&amp;" ضد "&amp;$A238))</f>
        <v>0</v>
      </c>
      <c r="K238" s="4">
        <f>IF($A238=K$215,"",COUNTIF($E$4:$E$211,$A238&amp;" ضد "&amp;K$215)+COUNTIF($E$4:$E$211,K$215&amp;" ضد "&amp;$A238))</f>
        <v>0</v>
      </c>
      <c r="L238" s="4">
        <f>IF($A238=L$215,"",COUNTIF($E$4:$E$211,$A238&amp;" ضد "&amp;L$215)+COUNTIF($E$4:$E$211,L$215&amp;" ضد "&amp;$A238))</f>
        <v>0</v>
      </c>
      <c r="M238" s="4">
        <f>IF($A238=M$215,"",COUNTIF($E$4:$E$211,$A238&amp;" ضد "&amp;M$215)+COUNTIF($E$4:$E$211,M$215&amp;" ضد "&amp;$A238))</f>
        <v>0</v>
      </c>
      <c r="N238" s="4">
        <f>IF($A238=N$215,"",COUNTIF($E$4:$E$211,$A238&amp;" ضد "&amp;N$215)+COUNTIF($E$4:$E$211,N$215&amp;" ضد "&amp;$A238))</f>
        <v>2</v>
      </c>
      <c r="O238" s="4">
        <f>IF($A238=O$215,"",COUNTIF($E$4:$E$211,$A238&amp;" ضد "&amp;O$215)+COUNTIF($E$4:$E$211,O$215&amp;" ضد "&amp;$A238))</f>
        <v>2</v>
      </c>
      <c r="P238" s="4">
        <f>IF($A238=P$215,"",COUNTIF($E$4:$E$211,$A238&amp;" ضد "&amp;P$215)+COUNTIF($E$4:$E$211,P$215&amp;" ضد "&amp;$A238))</f>
        <v>2</v>
      </c>
      <c r="Q238" s="4">
        <f>IF($A238=Q$215,"",COUNTIF($E$4:$E$211,$A238&amp;" ضد "&amp;Q$215)+COUNTIF($E$4:$E$211,Q$215&amp;" ضد "&amp;$A238))</f>
        <v>2</v>
      </c>
      <c r="R238" s="4">
        <f>IF($A238=R$215,"",COUNTIF($E$4:$E$211,$A238&amp;" ضد "&amp;R$215)+COUNTIF($E$4:$E$211,R$215&amp;" ضد "&amp;$A238))</f>
        <v>1</v>
      </c>
      <c r="S238" s="4">
        <f>IF($A238=S$215,"",COUNTIF($E$4:$E$211,$A238&amp;" ضد "&amp;S$215)+COUNTIF($E$4:$E$211,S$215&amp;" ضد "&amp;$A238))</f>
        <v>1</v>
      </c>
      <c r="T238" s="4">
        <f>IF($A238=T$215,"",COUNTIF($E$4:$E$211,$A238&amp;" ضد "&amp;T$215)+COUNTIF($E$4:$E$211,T$215&amp;" ضد "&amp;$A238))</f>
        <v>2</v>
      </c>
      <c r="U238" s="4">
        <f>IF($A238=U$215,"",COUNTIF($E$4:$E$211,$A238&amp;" ضد "&amp;U$215)+COUNTIF($E$4:$E$211,U$215&amp;" ضد "&amp;$A238))</f>
        <v>2</v>
      </c>
      <c r="V238" s="4">
        <f>IF($A238=V$215,"",COUNTIF($E$4:$E$211,$A238&amp;" ضد "&amp;V$215)+COUNTIF($E$4:$E$211,V$215&amp;" ضد "&amp;$A238))</f>
        <v>2</v>
      </c>
      <c r="W238" s="4">
        <f>IF($A238=W$215,"",COUNTIF($E$4:$E$211,$A238&amp;" ضد "&amp;W$215)+COUNTIF($E$4:$E$211,W$215&amp;" ضد "&amp;$A238))</f>
        <v>2</v>
      </c>
      <c r="X238" s="4" t="str">
        <f>IF($A238=X$215,"",COUNTIF($E$4:$E$211,$A238&amp;" ضد "&amp;X$215)+COUNTIF($E$4:$E$211,X$215&amp;" ضد "&amp;$A238))</f>
        <v/>
      </c>
    </row>
    <row r="239" spans="1:24" ht="14.5">
      <c r="A239" s="14" t="s">
        <v>1033</v>
      </c>
      <c r="B239" s="4" cm="1">
        <f t="array" ref="B239">MIN(IF(B216:X238&gt;0,B216:X238))</f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4.5">
      <c r="A240" s="14" t="s">
        <v>830</v>
      </c>
      <c r="B240" s="4">
        <f>MAX(B216:X238)</f>
        <v>2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</sheetData>
  <mergeCells count="2">
    <mergeCell ref="A1:E1"/>
    <mergeCell ref="A214:X2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A9E3-98E8-4C98-88FA-E92329C37DB5}">
  <dimension ref="A1:Z26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996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37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30</v>
      </c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593</v>
      </c>
      <c r="E6" s="7" t="s">
        <v>58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593</v>
      </c>
      <c r="E7" s="7" t="s">
        <v>47</v>
      </c>
      <c r="F7" s="2"/>
    </row>
    <row r="8" spans="1:6" ht="14" customHeight="1">
      <c r="A8" s="8">
        <v>1</v>
      </c>
      <c r="B8" s="7" t="str">
        <f>المدخلات!$F$6</f>
        <v>6:40–7:50 م</v>
      </c>
      <c r="C8" s="7">
        <v>1</v>
      </c>
      <c r="D8" s="7" t="s">
        <v>593</v>
      </c>
      <c r="E8" s="7" t="s">
        <v>110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593</v>
      </c>
      <c r="E9" s="7" t="s">
        <v>65</v>
      </c>
      <c r="F9" s="2"/>
    </row>
    <row r="10" spans="1:6" ht="14" customHeight="1">
      <c r="A10" s="8">
        <v>1</v>
      </c>
      <c r="B10" s="7" t="str">
        <f>المدخلات!$F$4</f>
        <v>4:00–5:10 م</v>
      </c>
      <c r="C10" s="7">
        <v>3</v>
      </c>
      <c r="D10" s="7" t="s">
        <v>594</v>
      </c>
      <c r="E10" s="7" t="s">
        <v>211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196</v>
      </c>
      <c r="F11" s="2"/>
    </row>
    <row r="12" spans="1:6" ht="14" customHeight="1">
      <c r="A12" s="8">
        <v>1</v>
      </c>
      <c r="B12" s="7" t="str">
        <f>المدخلات!$F$5</f>
        <v>5:20–6:30 م</v>
      </c>
      <c r="C12" s="7">
        <v>3</v>
      </c>
      <c r="D12" s="7" t="s">
        <v>594</v>
      </c>
      <c r="E12" s="7" t="s">
        <v>848</v>
      </c>
      <c r="F12" s="2"/>
    </row>
    <row r="13" spans="1:6" ht="14" customHeight="1">
      <c r="A13" s="8">
        <v>1</v>
      </c>
      <c r="B13" s="7" t="str">
        <f>المدخلات!$F$5</f>
        <v>5:20–6:30 م</v>
      </c>
      <c r="C13" s="7">
        <v>4</v>
      </c>
      <c r="D13" s="7" t="s">
        <v>594</v>
      </c>
      <c r="E13" s="7" t="s">
        <v>225</v>
      </c>
      <c r="F13" s="2"/>
    </row>
    <row r="14" spans="1:6" ht="14" customHeight="1">
      <c r="A14" s="8">
        <v>1</v>
      </c>
      <c r="B14" s="7" t="str">
        <f>المدخلات!$F$6</f>
        <v>6:40–7:50 م</v>
      </c>
      <c r="C14" s="7">
        <v>3</v>
      </c>
      <c r="D14" s="7" t="s">
        <v>594</v>
      </c>
      <c r="E14" s="7" t="s">
        <v>857</v>
      </c>
      <c r="F14" s="2"/>
    </row>
    <row r="15" spans="1:6" ht="14" customHeight="1">
      <c r="A15" s="8">
        <v>1</v>
      </c>
      <c r="B15" s="7" t="str">
        <f>المدخلات!$F$6</f>
        <v>6:40–7:50 م</v>
      </c>
      <c r="C15" s="7">
        <v>4</v>
      </c>
      <c r="D15" s="7" t="s">
        <v>594</v>
      </c>
      <c r="E15" s="7" t="s">
        <v>858</v>
      </c>
      <c r="F15" s="2"/>
    </row>
    <row r="16" spans="1:6" ht="14" customHeight="1">
      <c r="A16" s="8">
        <v>2</v>
      </c>
      <c r="B16" s="7" t="str">
        <f>المدخلات!$F$4</f>
        <v>4:00–5:10 م</v>
      </c>
      <c r="C16" s="7">
        <v>1</v>
      </c>
      <c r="D16" s="7" t="s">
        <v>593</v>
      </c>
      <c r="E16" s="7" t="s">
        <v>1060</v>
      </c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2</v>
      </c>
      <c r="D17" s="7" t="s">
        <v>593</v>
      </c>
      <c r="E17" s="7" t="s">
        <v>1064</v>
      </c>
      <c r="F17" s="2"/>
    </row>
    <row r="18" spans="1:6" ht="14" customHeight="1">
      <c r="A18" s="8">
        <v>2</v>
      </c>
      <c r="B18" s="7" t="str">
        <f>المدخلات!$F$5</f>
        <v>5:20–6:30 م</v>
      </c>
      <c r="C18" s="7">
        <v>1</v>
      </c>
      <c r="D18" s="7" t="s">
        <v>593</v>
      </c>
      <c r="E18" s="7" t="s">
        <v>113</v>
      </c>
      <c r="F18" s="2"/>
    </row>
    <row r="19" spans="1:6" ht="14" customHeight="1">
      <c r="A19" s="8">
        <v>2</v>
      </c>
      <c r="B19" s="7" t="str">
        <f>المدخلات!$F$5</f>
        <v>5:20–6:30 م</v>
      </c>
      <c r="C19" s="7">
        <v>2</v>
      </c>
      <c r="D19" s="7" t="s">
        <v>593</v>
      </c>
      <c r="E19" s="7" t="s">
        <v>23</v>
      </c>
      <c r="F19" s="2"/>
    </row>
    <row r="20" spans="1:6" ht="14" customHeight="1">
      <c r="A20" s="8">
        <v>2</v>
      </c>
      <c r="B20" s="7" t="str">
        <f>المدخلات!$F$6</f>
        <v>6:40–7:50 م</v>
      </c>
      <c r="C20" s="7">
        <v>1</v>
      </c>
      <c r="D20" s="7" t="s">
        <v>593</v>
      </c>
      <c r="E20" s="7" t="s">
        <v>1059</v>
      </c>
      <c r="F20" s="2"/>
    </row>
    <row r="21" spans="1:6" ht="14" customHeight="1">
      <c r="A21" s="8">
        <v>2</v>
      </c>
      <c r="B21" s="7" t="str">
        <f>المدخلات!$F$6</f>
        <v>6:40–7:50 م</v>
      </c>
      <c r="C21" s="7">
        <v>2</v>
      </c>
      <c r="D21" s="7" t="s">
        <v>593</v>
      </c>
      <c r="E21" s="7" t="s">
        <v>1050</v>
      </c>
      <c r="F21" s="2"/>
    </row>
    <row r="22" spans="1:6" ht="14" customHeight="1">
      <c r="A22" s="8">
        <v>2</v>
      </c>
      <c r="B22" s="7" t="str">
        <f>المدخلات!$F$4</f>
        <v>4:00–5:10 م</v>
      </c>
      <c r="C22" s="7">
        <v>3</v>
      </c>
      <c r="D22" s="7" t="s">
        <v>594</v>
      </c>
      <c r="E22" s="7" t="s">
        <v>238</v>
      </c>
      <c r="F22" s="2"/>
    </row>
    <row r="23" spans="1:6" ht="14" customHeight="1">
      <c r="A23" s="8">
        <v>2</v>
      </c>
      <c r="B23" s="7" t="str">
        <f>المدخلات!$F$4</f>
        <v>4:00–5:10 م</v>
      </c>
      <c r="C23" s="7">
        <v>4</v>
      </c>
      <c r="D23" s="7" t="s">
        <v>594</v>
      </c>
      <c r="E23" s="7" t="s">
        <v>856</v>
      </c>
      <c r="F23" s="2"/>
    </row>
    <row r="24" spans="1:6" ht="14" customHeight="1">
      <c r="A24" s="8">
        <v>2</v>
      </c>
      <c r="B24" s="7" t="str">
        <f>المدخلات!$F$5</f>
        <v>5:20–6:30 م</v>
      </c>
      <c r="C24" s="7">
        <v>3</v>
      </c>
      <c r="D24" s="7" t="s">
        <v>594</v>
      </c>
      <c r="E24" s="7" t="s">
        <v>919</v>
      </c>
      <c r="F24" s="2"/>
    </row>
    <row r="25" spans="1:6" ht="14" customHeight="1">
      <c r="A25" s="8">
        <v>2</v>
      </c>
      <c r="B25" s="7" t="str">
        <f>المدخلات!$F$5</f>
        <v>5:20–6:30 م</v>
      </c>
      <c r="C25" s="7">
        <v>4</v>
      </c>
      <c r="D25" s="7" t="s">
        <v>594</v>
      </c>
      <c r="E25" s="7" t="s">
        <v>177</v>
      </c>
      <c r="F25" s="2"/>
    </row>
    <row r="26" spans="1:6" ht="14" customHeight="1">
      <c r="A26" s="8">
        <v>2</v>
      </c>
      <c r="B26" s="7" t="str">
        <f>المدخلات!$F$6</f>
        <v>6:40–7:50 م</v>
      </c>
      <c r="C26" s="7">
        <v>3</v>
      </c>
      <c r="D26" s="7" t="s">
        <v>594</v>
      </c>
      <c r="E26" s="7" t="s">
        <v>1149</v>
      </c>
      <c r="F26" s="2"/>
    </row>
    <row r="27" spans="1:6" ht="14" customHeight="1">
      <c r="A27" s="8">
        <v>2</v>
      </c>
      <c r="B27" s="7" t="str">
        <f>المدخلات!$F$6</f>
        <v>6:40–7:50 م</v>
      </c>
      <c r="C27" s="7">
        <v>4</v>
      </c>
      <c r="D27" s="7" t="s">
        <v>594</v>
      </c>
      <c r="E27" s="7" t="s">
        <v>1148</v>
      </c>
      <c r="F27" s="2"/>
    </row>
    <row r="28" spans="1:6" ht="14" customHeight="1">
      <c r="A28" s="8">
        <v>3</v>
      </c>
      <c r="B28" s="7" t="str">
        <f>المدخلات!$F$4</f>
        <v>4:00–5:10 م</v>
      </c>
      <c r="C28" s="7">
        <v>1</v>
      </c>
      <c r="D28" s="7" t="s">
        <v>593</v>
      </c>
      <c r="E28" s="7" t="s">
        <v>16</v>
      </c>
      <c r="F28" s="2"/>
    </row>
    <row r="29" spans="1:6" ht="14" customHeight="1">
      <c r="A29" s="8">
        <v>3</v>
      </c>
      <c r="B29" s="7" t="str">
        <f>المدخلات!$F$4</f>
        <v>4:00–5:10 م</v>
      </c>
      <c r="C29" s="7">
        <v>2</v>
      </c>
      <c r="D29" s="7" t="s">
        <v>593</v>
      </c>
      <c r="E29" s="7" t="s">
        <v>26</v>
      </c>
      <c r="F29" s="2"/>
    </row>
    <row r="30" spans="1:6" ht="14" customHeight="1">
      <c r="A30" s="8">
        <v>3</v>
      </c>
      <c r="B30" s="7" t="str">
        <f>المدخلات!$F$5</f>
        <v>5:20–6:30 م</v>
      </c>
      <c r="C30" s="7">
        <v>1</v>
      </c>
      <c r="D30" s="7" t="s">
        <v>593</v>
      </c>
      <c r="E30" s="7" t="s">
        <v>40</v>
      </c>
      <c r="F30" s="2"/>
    </row>
    <row r="31" spans="1:6" ht="14" customHeight="1">
      <c r="A31" s="8">
        <v>3</v>
      </c>
      <c r="B31" s="7" t="str">
        <f>المدخلات!$F$5</f>
        <v>5:20–6:30 م</v>
      </c>
      <c r="C31" s="7">
        <v>2</v>
      </c>
      <c r="D31" s="7" t="s">
        <v>593</v>
      </c>
      <c r="E31" s="7" t="s">
        <v>33</v>
      </c>
      <c r="F31" s="2"/>
    </row>
    <row r="32" spans="1:6" ht="14" customHeight="1">
      <c r="A32" s="8">
        <v>3</v>
      </c>
      <c r="B32" s="7" t="str">
        <f>المدخلات!$F$6</f>
        <v>6:40–7:50 م</v>
      </c>
      <c r="C32" s="7">
        <v>1</v>
      </c>
      <c r="D32" s="7" t="s">
        <v>593</v>
      </c>
      <c r="E32" s="7" t="s">
        <v>635</v>
      </c>
      <c r="F32" s="2"/>
    </row>
    <row r="33" spans="1:6" ht="14" customHeight="1">
      <c r="A33" s="8">
        <v>3</v>
      </c>
      <c r="B33" s="7" t="str">
        <f>المدخلات!$F$6</f>
        <v>6:40–7:50 م</v>
      </c>
      <c r="C33" s="7">
        <v>2</v>
      </c>
      <c r="D33" s="7" t="s">
        <v>593</v>
      </c>
      <c r="E33" s="7" t="s">
        <v>865</v>
      </c>
      <c r="F33" s="2"/>
    </row>
    <row r="34" spans="1:6" ht="14" customHeight="1">
      <c r="A34" s="8">
        <v>3</v>
      </c>
      <c r="B34" s="7" t="str">
        <f>المدخلات!$F$4</f>
        <v>4:00–5:10 م</v>
      </c>
      <c r="C34" s="7">
        <v>3</v>
      </c>
      <c r="D34" s="7" t="s">
        <v>594</v>
      </c>
      <c r="E34" s="7" t="s">
        <v>178</v>
      </c>
      <c r="F34" s="2"/>
    </row>
    <row r="35" spans="1:6" ht="14" customHeight="1">
      <c r="A35" s="8">
        <v>3</v>
      </c>
      <c r="B35" s="7" t="str">
        <f>المدخلات!$F$4</f>
        <v>4:00–5:10 م</v>
      </c>
      <c r="C35" s="7">
        <v>4</v>
      </c>
      <c r="D35" s="7" t="s">
        <v>594</v>
      </c>
      <c r="E35" s="7" t="s">
        <v>161</v>
      </c>
      <c r="F35" s="2"/>
    </row>
    <row r="36" spans="1:6" ht="14" customHeight="1">
      <c r="A36" s="8">
        <v>3</v>
      </c>
      <c r="B36" s="7" t="str">
        <f>المدخلات!$F$5</f>
        <v>5:20–6:30 م</v>
      </c>
      <c r="C36" s="7">
        <v>3</v>
      </c>
      <c r="D36" s="7" t="s">
        <v>594</v>
      </c>
      <c r="E36" s="7" t="s">
        <v>806</v>
      </c>
      <c r="F36" s="2"/>
    </row>
    <row r="37" spans="1:6" ht="14" customHeight="1">
      <c r="A37" s="8">
        <v>3</v>
      </c>
      <c r="B37" s="7" t="str">
        <f>المدخلات!$F$5</f>
        <v>5:20–6:30 م</v>
      </c>
      <c r="C37" s="7">
        <v>4</v>
      </c>
      <c r="D37" s="7" t="s">
        <v>594</v>
      </c>
      <c r="E37" s="7" t="s">
        <v>198</v>
      </c>
      <c r="F37" s="2"/>
    </row>
    <row r="38" spans="1:6" ht="14" customHeight="1">
      <c r="A38" s="8">
        <v>3</v>
      </c>
      <c r="B38" s="7" t="str">
        <f>المدخلات!$F$6</f>
        <v>6:40–7:50 م</v>
      </c>
      <c r="C38" s="7">
        <v>3</v>
      </c>
      <c r="D38" s="7" t="s">
        <v>594</v>
      </c>
      <c r="E38" s="7" t="s">
        <v>834</v>
      </c>
      <c r="F38" s="2"/>
    </row>
    <row r="39" spans="1:6" ht="14" customHeight="1">
      <c r="A39" s="8">
        <v>3</v>
      </c>
      <c r="B39" s="7" t="str">
        <f>المدخلات!$F$6</f>
        <v>6:40–7:50 م</v>
      </c>
      <c r="C39" s="7">
        <v>4</v>
      </c>
      <c r="D39" s="7" t="s">
        <v>594</v>
      </c>
      <c r="E39" s="7" t="s">
        <v>232</v>
      </c>
      <c r="F39" s="2"/>
    </row>
    <row r="40" spans="1:6" ht="14" customHeight="1">
      <c r="A40" s="8">
        <v>4</v>
      </c>
      <c r="B40" s="7" t="str">
        <f>المدخلات!$F$4</f>
        <v>4:00–5:10 م</v>
      </c>
      <c r="C40" s="7">
        <v>1</v>
      </c>
      <c r="D40" s="7" t="s">
        <v>593</v>
      </c>
      <c r="E40" s="7" t="s">
        <v>91</v>
      </c>
      <c r="F40" s="2"/>
    </row>
    <row r="41" spans="1:6" ht="14" customHeight="1">
      <c r="A41" s="8">
        <v>4</v>
      </c>
      <c r="B41" s="7" t="str">
        <f>المدخلات!$F$4</f>
        <v>4:00–5:10 م</v>
      </c>
      <c r="C41" s="7">
        <v>2</v>
      </c>
      <c r="D41" s="7" t="s">
        <v>593</v>
      </c>
      <c r="E41" s="7" t="s">
        <v>10</v>
      </c>
      <c r="F41" s="2"/>
    </row>
    <row r="42" spans="1:6" ht="14" customHeight="1">
      <c r="A42" s="8">
        <v>4</v>
      </c>
      <c r="B42" s="7" t="str">
        <f>المدخلات!$F$5</f>
        <v>5:20–6:30 م</v>
      </c>
      <c r="C42" s="7">
        <v>1</v>
      </c>
      <c r="D42" s="7" t="s">
        <v>593</v>
      </c>
      <c r="E42" s="7" t="s">
        <v>64</v>
      </c>
      <c r="F42" s="2"/>
    </row>
    <row r="43" spans="1:6" ht="14" customHeight="1">
      <c r="A43" s="8">
        <v>4</v>
      </c>
      <c r="B43" s="7" t="str">
        <f>المدخلات!$F$5</f>
        <v>5:20–6:30 م</v>
      </c>
      <c r="C43" s="7">
        <v>2</v>
      </c>
      <c r="D43" s="7" t="s">
        <v>593</v>
      </c>
      <c r="E43" s="7" t="s">
        <v>54</v>
      </c>
      <c r="F43" s="2"/>
    </row>
    <row r="44" spans="1:6" ht="14" customHeight="1">
      <c r="A44" s="8">
        <v>4</v>
      </c>
      <c r="B44" s="7" t="str">
        <f>المدخلات!$F$6</f>
        <v>6:40–7:50 م</v>
      </c>
      <c r="C44" s="7">
        <v>1</v>
      </c>
      <c r="D44" s="7" t="s">
        <v>593</v>
      </c>
      <c r="E44" s="7" t="s">
        <v>1045</v>
      </c>
      <c r="F44" s="2"/>
    </row>
    <row r="45" spans="1:6" ht="14" customHeight="1">
      <c r="A45" s="8">
        <v>4</v>
      </c>
      <c r="B45" s="7" t="str">
        <f>المدخلات!$F$6</f>
        <v>6:40–7:50 م</v>
      </c>
      <c r="C45" s="7">
        <v>2</v>
      </c>
      <c r="D45" s="7" t="s">
        <v>593</v>
      </c>
      <c r="E45" s="7" t="s">
        <v>12</v>
      </c>
      <c r="F45" s="2"/>
    </row>
    <row r="46" spans="1:6" ht="14" customHeight="1">
      <c r="A46" s="8">
        <v>4</v>
      </c>
      <c r="B46" s="7" t="str">
        <f>المدخلات!$F$4</f>
        <v>4:00–5:10 م</v>
      </c>
      <c r="C46" s="7">
        <v>3</v>
      </c>
      <c r="D46" s="7" t="s">
        <v>594</v>
      </c>
      <c r="E46" s="7" t="s">
        <v>233</v>
      </c>
      <c r="F46" s="2"/>
    </row>
    <row r="47" spans="1:6" ht="14" customHeight="1">
      <c r="A47" s="8">
        <v>4</v>
      </c>
      <c r="B47" s="7" t="str">
        <f>المدخلات!$F$4</f>
        <v>4:00–5:10 م</v>
      </c>
      <c r="C47" s="7">
        <v>4</v>
      </c>
      <c r="D47" s="7" t="s">
        <v>594</v>
      </c>
      <c r="E47" s="7" t="s">
        <v>222</v>
      </c>
      <c r="F47" s="2"/>
    </row>
    <row r="48" spans="1:6" ht="14" customHeight="1">
      <c r="A48" s="8">
        <v>4</v>
      </c>
      <c r="B48" s="7" t="str">
        <f>المدخلات!$F$5</f>
        <v>5:20–6:30 م</v>
      </c>
      <c r="C48" s="7">
        <v>3</v>
      </c>
      <c r="D48" s="7" t="s">
        <v>594</v>
      </c>
      <c r="E48" s="7" t="s">
        <v>151</v>
      </c>
      <c r="F48" s="2"/>
    </row>
    <row r="49" spans="1:6" ht="14" customHeight="1">
      <c r="A49" s="8">
        <v>4</v>
      </c>
      <c r="B49" s="7" t="str">
        <f>المدخلات!$F$5</f>
        <v>5:20–6:30 م</v>
      </c>
      <c r="C49" s="7">
        <v>4</v>
      </c>
      <c r="D49" s="7" t="s">
        <v>594</v>
      </c>
      <c r="E49" s="7" t="s">
        <v>229</v>
      </c>
      <c r="F49" s="2"/>
    </row>
    <row r="50" spans="1:6" ht="14" customHeight="1">
      <c r="A50" s="8">
        <v>4</v>
      </c>
      <c r="B50" s="7" t="str">
        <f>المدخلات!$F$6</f>
        <v>6:40–7:50 م</v>
      </c>
      <c r="C50" s="7">
        <v>3</v>
      </c>
      <c r="D50" s="7" t="s">
        <v>594</v>
      </c>
      <c r="E50" s="7" t="s">
        <v>1150</v>
      </c>
      <c r="F50" s="2"/>
    </row>
    <row r="51" spans="1:6" ht="14" customHeight="1">
      <c r="A51" s="8">
        <v>4</v>
      </c>
      <c r="B51" s="7" t="str">
        <f>المدخلات!$F$6</f>
        <v>6:40–7:50 م</v>
      </c>
      <c r="C51" s="7">
        <v>4</v>
      </c>
      <c r="D51" s="7" t="s">
        <v>594</v>
      </c>
      <c r="E51" s="7" t="s">
        <v>162</v>
      </c>
      <c r="F51" s="2"/>
    </row>
    <row r="52" spans="1:6" ht="14" customHeight="1">
      <c r="A52" s="8">
        <v>5</v>
      </c>
      <c r="B52" s="7" t="str">
        <f>المدخلات!$F$4</f>
        <v>4:00–5:10 م</v>
      </c>
      <c r="C52" s="7">
        <v>1</v>
      </c>
      <c r="D52" s="7" t="s">
        <v>593</v>
      </c>
      <c r="E52" s="7" t="s">
        <v>68</v>
      </c>
      <c r="F52" s="2"/>
    </row>
    <row r="53" spans="1:6" ht="14" customHeight="1">
      <c r="A53" s="8">
        <v>5</v>
      </c>
      <c r="B53" s="7" t="str">
        <f>المدخلات!$F$4</f>
        <v>4:00–5:10 م</v>
      </c>
      <c r="C53" s="7">
        <v>2</v>
      </c>
      <c r="D53" s="7" t="s">
        <v>593</v>
      </c>
      <c r="E53" s="7" t="s">
        <v>7</v>
      </c>
      <c r="F53" s="2"/>
    </row>
    <row r="54" spans="1:6" ht="14" customHeight="1">
      <c r="A54" s="8">
        <v>5</v>
      </c>
      <c r="B54" s="7" t="str">
        <f>المدخلات!$F$5</f>
        <v>5:20–6:30 م</v>
      </c>
      <c r="C54" s="7">
        <v>1</v>
      </c>
      <c r="D54" s="7" t="s">
        <v>593</v>
      </c>
      <c r="E54" s="7" t="s">
        <v>19</v>
      </c>
      <c r="F54" s="2"/>
    </row>
    <row r="55" spans="1:6" ht="14" customHeight="1">
      <c r="A55" s="8">
        <v>5</v>
      </c>
      <c r="B55" s="7" t="str">
        <f>المدخلات!$F$5</f>
        <v>5:20–6:30 م</v>
      </c>
      <c r="C55" s="7">
        <v>2</v>
      </c>
      <c r="D55" s="7" t="s">
        <v>593</v>
      </c>
      <c r="E55" s="7" t="s">
        <v>723</v>
      </c>
      <c r="F55" s="2"/>
    </row>
    <row r="56" spans="1:6" ht="14" customHeight="1">
      <c r="A56" s="8">
        <v>5</v>
      </c>
      <c r="B56" s="7" t="str">
        <f>المدخلات!$F$6</f>
        <v>6:40–7:50 م</v>
      </c>
      <c r="C56" s="7">
        <v>1</v>
      </c>
      <c r="D56" s="7" t="s">
        <v>593</v>
      </c>
      <c r="E56" s="7" t="s">
        <v>43</v>
      </c>
      <c r="F56" s="2"/>
    </row>
    <row r="57" spans="1:6" ht="14" customHeight="1">
      <c r="A57" s="8">
        <v>5</v>
      </c>
      <c r="B57" s="7" t="str">
        <f>المدخلات!$F$6</f>
        <v>6:40–7:50 م</v>
      </c>
      <c r="C57" s="7">
        <v>2</v>
      </c>
      <c r="D57" s="7" t="s">
        <v>593</v>
      </c>
      <c r="E57" s="7" t="s">
        <v>721</v>
      </c>
      <c r="F57" s="2"/>
    </row>
    <row r="58" spans="1:6" ht="14" customHeight="1">
      <c r="A58" s="8">
        <v>5</v>
      </c>
      <c r="B58" s="7" t="str">
        <f>المدخلات!$F$4</f>
        <v>4:00–5:10 م</v>
      </c>
      <c r="C58" s="7">
        <v>3</v>
      </c>
      <c r="D58" s="7" t="s">
        <v>594</v>
      </c>
      <c r="E58" s="7" t="s">
        <v>129</v>
      </c>
      <c r="F58" s="2"/>
    </row>
    <row r="59" spans="1:6" ht="14" customHeight="1">
      <c r="A59" s="8">
        <v>5</v>
      </c>
      <c r="B59" s="7" t="str">
        <f>المدخلات!$F$4</f>
        <v>4:00–5:10 م</v>
      </c>
      <c r="C59" s="7">
        <v>4</v>
      </c>
      <c r="D59" s="7" t="s">
        <v>594</v>
      </c>
      <c r="E59" s="7" t="s">
        <v>859</v>
      </c>
      <c r="F59" s="2"/>
    </row>
    <row r="60" spans="1:6" ht="14" customHeight="1">
      <c r="A60" s="8">
        <v>5</v>
      </c>
      <c r="B60" s="7" t="str">
        <f>المدخلات!$F$5</f>
        <v>5:20–6:30 م</v>
      </c>
      <c r="C60" s="7">
        <v>3</v>
      </c>
      <c r="D60" s="7" t="s">
        <v>594</v>
      </c>
      <c r="E60" s="7" t="s">
        <v>629</v>
      </c>
      <c r="F60" s="2"/>
    </row>
    <row r="61" spans="1:6" ht="14" customHeight="1">
      <c r="A61" s="8">
        <v>5</v>
      </c>
      <c r="B61" s="7" t="str">
        <f>المدخلات!$F$5</f>
        <v>5:20–6:30 م</v>
      </c>
      <c r="C61" s="7">
        <v>4</v>
      </c>
      <c r="D61" s="7" t="s">
        <v>594</v>
      </c>
      <c r="E61" s="7" t="s">
        <v>855</v>
      </c>
      <c r="F61" s="2"/>
    </row>
    <row r="62" spans="1:6" ht="14" customHeight="1">
      <c r="A62" s="8">
        <v>5</v>
      </c>
      <c r="B62" s="7" t="str">
        <f>المدخلات!$F$6</f>
        <v>6:40–7:50 م</v>
      </c>
      <c r="C62" s="7">
        <v>3</v>
      </c>
      <c r="D62" s="7" t="s">
        <v>594</v>
      </c>
      <c r="E62" s="7" t="s">
        <v>219</v>
      </c>
      <c r="F62" s="2"/>
    </row>
    <row r="63" spans="1:6" ht="14" customHeight="1">
      <c r="A63" s="8">
        <v>5</v>
      </c>
      <c r="B63" s="7" t="str">
        <f>المدخلات!$F$6</f>
        <v>6:40–7:50 م</v>
      </c>
      <c r="C63" s="7">
        <v>4</v>
      </c>
      <c r="D63" s="7" t="s">
        <v>594</v>
      </c>
      <c r="E63" s="7" t="s">
        <v>628</v>
      </c>
      <c r="F63" s="2"/>
    </row>
    <row r="64" spans="1:6" ht="14" customHeight="1">
      <c r="A64" s="8">
        <v>6</v>
      </c>
      <c r="B64" s="7" t="str">
        <f>المدخلات!$F$4</f>
        <v>4:00–5:10 م</v>
      </c>
      <c r="C64" s="7">
        <v>1</v>
      </c>
      <c r="D64" s="7" t="s">
        <v>593</v>
      </c>
      <c r="E64" s="7" t="s">
        <v>832</v>
      </c>
      <c r="F64" s="2"/>
    </row>
    <row r="65" spans="1:6" ht="14" customHeight="1">
      <c r="A65" s="8">
        <v>6</v>
      </c>
      <c r="B65" s="7" t="str">
        <f>المدخلات!$F$4</f>
        <v>4:00–5:10 م</v>
      </c>
      <c r="C65" s="7">
        <v>2</v>
      </c>
      <c r="D65" s="7" t="s">
        <v>593</v>
      </c>
      <c r="E65" s="7" t="s">
        <v>60</v>
      </c>
      <c r="F65" s="2"/>
    </row>
    <row r="66" spans="1:6" ht="14" customHeight="1">
      <c r="A66" s="8">
        <v>6</v>
      </c>
      <c r="B66" s="7" t="str">
        <f>المدخلات!$F$5</f>
        <v>5:20–6:30 م</v>
      </c>
      <c r="C66" s="7">
        <v>1</v>
      </c>
      <c r="D66" s="7" t="s">
        <v>593</v>
      </c>
      <c r="E66" s="7" t="s">
        <v>742</v>
      </c>
      <c r="F66" s="2"/>
    </row>
    <row r="67" spans="1:6" ht="14" customHeight="1">
      <c r="A67" s="8">
        <v>6</v>
      </c>
      <c r="B67" s="7" t="str">
        <f>المدخلات!$F$5</f>
        <v>5:20–6:30 م</v>
      </c>
      <c r="C67" s="7">
        <v>2</v>
      </c>
      <c r="D67" s="7" t="s">
        <v>593</v>
      </c>
      <c r="E67" s="7" t="s">
        <v>17</v>
      </c>
      <c r="F67" s="2"/>
    </row>
    <row r="68" spans="1:6" ht="14" customHeight="1">
      <c r="A68" s="8">
        <v>6</v>
      </c>
      <c r="B68" s="7" t="str">
        <f>المدخلات!$F$6</f>
        <v>6:40–7:50 م</v>
      </c>
      <c r="C68" s="7">
        <v>1</v>
      </c>
      <c r="D68" s="7" t="s">
        <v>593</v>
      </c>
      <c r="E68" s="7" t="s">
        <v>45</v>
      </c>
      <c r="F68" s="2"/>
    </row>
    <row r="69" spans="1:6" ht="14" customHeight="1">
      <c r="A69" s="8">
        <v>6</v>
      </c>
      <c r="B69" s="7" t="str">
        <f>المدخلات!$F$6</f>
        <v>6:40–7:50 م</v>
      </c>
      <c r="C69" s="7">
        <v>2</v>
      </c>
      <c r="D69" s="7" t="s">
        <v>593</v>
      </c>
      <c r="E69" s="7" t="s">
        <v>123</v>
      </c>
      <c r="F69" s="2"/>
    </row>
    <row r="70" spans="1:6" ht="14" customHeight="1">
      <c r="A70" s="8">
        <v>6</v>
      </c>
      <c r="B70" s="7" t="str">
        <f>المدخلات!$F$4</f>
        <v>4:00–5:10 م</v>
      </c>
      <c r="C70" s="7">
        <v>3</v>
      </c>
      <c r="D70" s="7" t="s">
        <v>594</v>
      </c>
      <c r="E70" s="7" t="s">
        <v>587</v>
      </c>
      <c r="F70" s="2"/>
    </row>
    <row r="71" spans="1:6" ht="14" customHeight="1">
      <c r="A71" s="8">
        <v>6</v>
      </c>
      <c r="B71" s="7" t="str">
        <f>المدخلات!$F$4</f>
        <v>4:00–5:10 م</v>
      </c>
      <c r="C71" s="7">
        <v>4</v>
      </c>
      <c r="D71" s="7" t="s">
        <v>594</v>
      </c>
      <c r="E71" s="7" t="s">
        <v>205</v>
      </c>
      <c r="F71" s="2"/>
    </row>
    <row r="72" spans="1:6" ht="14" customHeight="1">
      <c r="A72" s="8">
        <v>6</v>
      </c>
      <c r="B72" s="7" t="str">
        <f>المدخلات!$F$5</f>
        <v>5:20–6:30 م</v>
      </c>
      <c r="C72" s="7">
        <v>3</v>
      </c>
      <c r="D72" s="7" t="s">
        <v>594</v>
      </c>
      <c r="E72" s="7" t="s">
        <v>861</v>
      </c>
      <c r="F72" s="2"/>
    </row>
    <row r="73" spans="1:6" ht="14" customHeight="1">
      <c r="A73" s="8">
        <v>6</v>
      </c>
      <c r="B73" s="7" t="str">
        <f>المدخلات!$F$5</f>
        <v>5:20–6:30 م</v>
      </c>
      <c r="C73" s="7">
        <v>4</v>
      </c>
      <c r="D73" s="7" t="s">
        <v>594</v>
      </c>
      <c r="E73" s="7" t="s">
        <v>191</v>
      </c>
      <c r="F73" s="2"/>
    </row>
    <row r="74" spans="1:6" ht="14" customHeight="1">
      <c r="A74" s="8">
        <v>6</v>
      </c>
      <c r="B74" s="7" t="str">
        <f>المدخلات!$F$6</f>
        <v>6:40–7:50 م</v>
      </c>
      <c r="C74" s="7">
        <v>3</v>
      </c>
      <c r="D74" s="7" t="s">
        <v>594</v>
      </c>
      <c r="E74" s="7" t="s">
        <v>860</v>
      </c>
      <c r="F74" s="2"/>
    </row>
    <row r="75" spans="1:6" ht="14" customHeight="1">
      <c r="A75" s="8">
        <v>6</v>
      </c>
      <c r="B75" s="7" t="str">
        <f>المدخلات!$F$6</f>
        <v>6:40–7:50 م</v>
      </c>
      <c r="C75" s="7">
        <v>4</v>
      </c>
      <c r="D75" s="7" t="s">
        <v>594</v>
      </c>
      <c r="E75" s="7" t="s">
        <v>220</v>
      </c>
      <c r="F75" s="2"/>
    </row>
    <row r="76" spans="1:6" ht="14" customHeight="1">
      <c r="A76" s="8">
        <v>7</v>
      </c>
      <c r="B76" s="7" t="str">
        <f>المدخلات!$F$4</f>
        <v>4:00–5:10 م</v>
      </c>
      <c r="C76" s="7">
        <v>1</v>
      </c>
      <c r="D76" s="7" t="s">
        <v>593</v>
      </c>
      <c r="E76" s="7" t="s">
        <v>768</v>
      </c>
      <c r="F76" s="2"/>
    </row>
    <row r="77" spans="1:6" ht="14" customHeight="1">
      <c r="A77" s="8">
        <v>7</v>
      </c>
      <c r="B77" s="7" t="str">
        <f>المدخلات!$F$4</f>
        <v>4:00–5:10 م</v>
      </c>
      <c r="C77" s="7">
        <v>2</v>
      </c>
      <c r="D77" s="7" t="s">
        <v>593</v>
      </c>
      <c r="E77" s="7" t="s">
        <v>51</v>
      </c>
      <c r="F77" s="2"/>
    </row>
    <row r="78" spans="1:6" ht="14" customHeight="1">
      <c r="A78" s="8">
        <v>7</v>
      </c>
      <c r="B78" s="7" t="str">
        <f>المدخلات!$F$5</f>
        <v>5:20–6:30 م</v>
      </c>
      <c r="C78" s="7">
        <v>1</v>
      </c>
      <c r="D78" s="7" t="s">
        <v>593</v>
      </c>
      <c r="E78" s="7" t="s">
        <v>29</v>
      </c>
      <c r="F78" s="2"/>
    </row>
    <row r="79" spans="1:6" ht="14" customHeight="1">
      <c r="A79" s="8">
        <v>7</v>
      </c>
      <c r="B79" s="7" t="str">
        <f>المدخلات!$F$5</f>
        <v>5:20–6:30 م</v>
      </c>
      <c r="C79" s="7">
        <v>2</v>
      </c>
      <c r="D79" s="7" t="s">
        <v>593</v>
      </c>
      <c r="E79" s="7" t="s">
        <v>766</v>
      </c>
      <c r="F79" s="2"/>
    </row>
    <row r="80" spans="1:6" ht="14" customHeight="1">
      <c r="A80" s="8">
        <v>7</v>
      </c>
      <c r="B80" s="7" t="str">
        <f>المدخلات!$F$6</f>
        <v>6:40–7:50 م</v>
      </c>
      <c r="C80" s="7">
        <v>1</v>
      </c>
      <c r="D80" s="7" t="s">
        <v>593</v>
      </c>
      <c r="E80" s="7" t="s">
        <v>42</v>
      </c>
      <c r="F80" s="2"/>
    </row>
    <row r="81" spans="1:6" ht="14" customHeight="1">
      <c r="A81" s="8">
        <v>7</v>
      </c>
      <c r="B81" s="7" t="str">
        <f>المدخلات!$F$6</f>
        <v>6:40–7:50 م</v>
      </c>
      <c r="C81" s="7">
        <v>2</v>
      </c>
      <c r="D81" s="7" t="s">
        <v>593</v>
      </c>
      <c r="E81" s="7" t="s">
        <v>767</v>
      </c>
      <c r="F81" s="2"/>
    </row>
    <row r="82" spans="1:6" ht="14" customHeight="1">
      <c r="A82" s="8">
        <v>7</v>
      </c>
      <c r="B82" s="7" t="str">
        <f>المدخلات!$F$4</f>
        <v>4:00–5:10 م</v>
      </c>
      <c r="C82" s="7">
        <v>3</v>
      </c>
      <c r="D82" s="7" t="s">
        <v>594</v>
      </c>
      <c r="E82" s="7" t="s">
        <v>239</v>
      </c>
      <c r="F82" s="2"/>
    </row>
    <row r="83" spans="1:6" ht="14" customHeight="1">
      <c r="A83" s="8">
        <v>7</v>
      </c>
      <c r="B83" s="7" t="str">
        <f>المدخلات!$F$4</f>
        <v>4:00–5:10 م</v>
      </c>
      <c r="C83" s="7">
        <v>4</v>
      </c>
      <c r="D83" s="7" t="s">
        <v>594</v>
      </c>
      <c r="E83" s="7" t="s">
        <v>839</v>
      </c>
      <c r="F83" s="2"/>
    </row>
    <row r="84" spans="1:6" ht="14" customHeight="1">
      <c r="A84" s="8">
        <v>7</v>
      </c>
      <c r="B84" s="7" t="str">
        <f>المدخلات!$F$5</f>
        <v>5:20–6:30 م</v>
      </c>
      <c r="C84" s="7">
        <v>3</v>
      </c>
      <c r="D84" s="7" t="s">
        <v>594</v>
      </c>
      <c r="E84" s="7" t="s">
        <v>838</v>
      </c>
      <c r="F84" s="2"/>
    </row>
    <row r="85" spans="1:6" ht="14" customHeight="1">
      <c r="A85" s="8">
        <v>7</v>
      </c>
      <c r="B85" s="7" t="str">
        <f>المدخلات!$F$5</f>
        <v>5:20–6:30 م</v>
      </c>
      <c r="C85" s="7">
        <v>4</v>
      </c>
      <c r="D85" s="7" t="s">
        <v>594</v>
      </c>
      <c r="E85" s="7" t="s">
        <v>189</v>
      </c>
      <c r="F85" s="2"/>
    </row>
    <row r="86" spans="1:6" ht="14" customHeight="1">
      <c r="A86" s="8">
        <v>7</v>
      </c>
      <c r="B86" s="7" t="str">
        <f>المدخلات!$F$6</f>
        <v>6:40–7:50 م</v>
      </c>
      <c r="C86" s="7">
        <v>3</v>
      </c>
      <c r="D86" s="7" t="s">
        <v>594</v>
      </c>
      <c r="E86" s="7" t="s">
        <v>206</v>
      </c>
      <c r="F86" s="2"/>
    </row>
    <row r="87" spans="1:6" ht="14" customHeight="1">
      <c r="A87" s="8">
        <v>7</v>
      </c>
      <c r="B87" s="7" t="str">
        <f>المدخلات!$F$6</f>
        <v>6:40–7:50 م</v>
      </c>
      <c r="C87" s="7">
        <v>4</v>
      </c>
      <c r="D87" s="7" t="s">
        <v>594</v>
      </c>
      <c r="E87" s="7" t="s">
        <v>1151</v>
      </c>
      <c r="F87" s="2"/>
    </row>
    <row r="88" spans="1:6" ht="14" customHeight="1">
      <c r="A88" s="8">
        <v>8</v>
      </c>
      <c r="B88" s="7" t="str">
        <f>المدخلات!$F$4</f>
        <v>4:00–5:10 م</v>
      </c>
      <c r="C88" s="7">
        <v>1</v>
      </c>
      <c r="D88" s="7" t="s">
        <v>593</v>
      </c>
      <c r="E88" s="7" t="s">
        <v>792</v>
      </c>
      <c r="F88" s="2"/>
    </row>
    <row r="89" spans="1:6" ht="14" customHeight="1">
      <c r="A89" s="8">
        <v>8</v>
      </c>
      <c r="B89" s="7" t="str">
        <f>المدخلات!$F$4</f>
        <v>4:00–5:10 م</v>
      </c>
      <c r="C89" s="7">
        <v>2</v>
      </c>
      <c r="D89" s="7" t="s">
        <v>593</v>
      </c>
      <c r="E89" s="7" t="s">
        <v>25</v>
      </c>
      <c r="F89" s="2"/>
    </row>
    <row r="90" spans="1:6" ht="14" customHeight="1">
      <c r="A90" s="8">
        <v>8</v>
      </c>
      <c r="B90" s="7" t="str">
        <f>المدخلات!$F$5</f>
        <v>5:20–6:30 م</v>
      </c>
      <c r="C90" s="7">
        <v>1</v>
      </c>
      <c r="D90" s="7" t="s">
        <v>593</v>
      </c>
      <c r="E90" s="7" t="s">
        <v>38</v>
      </c>
      <c r="F90" s="2"/>
    </row>
    <row r="91" spans="1:6" ht="14" customHeight="1">
      <c r="A91" s="8">
        <v>8</v>
      </c>
      <c r="B91" s="7" t="str">
        <f>المدخلات!$F$5</f>
        <v>5:20–6:30 م</v>
      </c>
      <c r="C91" s="7">
        <v>2</v>
      </c>
      <c r="D91" s="7" t="s">
        <v>593</v>
      </c>
      <c r="E91" s="7" t="s">
        <v>790</v>
      </c>
      <c r="F91" s="2"/>
    </row>
    <row r="92" spans="1:6" ht="14" customHeight="1">
      <c r="A92" s="8">
        <v>8</v>
      </c>
      <c r="B92" s="7" t="str">
        <f>المدخلات!$F$6</f>
        <v>6:40–7:50 م</v>
      </c>
      <c r="C92" s="7">
        <v>1</v>
      </c>
      <c r="D92" s="7" t="s">
        <v>593</v>
      </c>
      <c r="E92" s="7" t="s">
        <v>28</v>
      </c>
      <c r="F92" s="2"/>
    </row>
    <row r="93" spans="1:6" ht="14" customHeight="1">
      <c r="A93" s="8">
        <v>8</v>
      </c>
      <c r="B93" s="7" t="str">
        <f>المدخلات!$F$6</f>
        <v>6:40–7:50 م</v>
      </c>
      <c r="C93" s="7">
        <v>2</v>
      </c>
      <c r="D93" s="7" t="s">
        <v>593</v>
      </c>
      <c r="E93" s="7" t="s">
        <v>791</v>
      </c>
      <c r="F93" s="2"/>
    </row>
    <row r="94" spans="1:6" ht="14" customHeight="1">
      <c r="A94" s="8">
        <v>8</v>
      </c>
      <c r="B94" s="7" t="str">
        <f>المدخلات!$F$4</f>
        <v>4:00–5:10 م</v>
      </c>
      <c r="C94" s="7">
        <v>3</v>
      </c>
      <c r="D94" s="7" t="s">
        <v>594</v>
      </c>
      <c r="E94" s="7" t="s">
        <v>160</v>
      </c>
      <c r="F94" s="2"/>
    </row>
    <row r="95" spans="1:6" ht="14" customHeight="1">
      <c r="A95" s="8">
        <v>8</v>
      </c>
      <c r="B95" s="7" t="str">
        <f>المدخلات!$F$4</f>
        <v>4:00–5:10 م</v>
      </c>
      <c r="C95" s="7">
        <v>4</v>
      </c>
      <c r="D95" s="7" t="s">
        <v>594</v>
      </c>
      <c r="E95" s="7" t="s">
        <v>236</v>
      </c>
      <c r="F95" s="2"/>
    </row>
    <row r="96" spans="1:6" ht="14" customHeight="1">
      <c r="A96" s="8">
        <v>8</v>
      </c>
      <c r="B96" s="7" t="str">
        <f>المدخلات!$F$5</f>
        <v>5:20–6:30 م</v>
      </c>
      <c r="C96" s="7">
        <v>3</v>
      </c>
      <c r="D96" s="7" t="s">
        <v>594</v>
      </c>
      <c r="E96" s="7" t="s">
        <v>167</v>
      </c>
      <c r="F96" s="2"/>
    </row>
    <row r="97" spans="1:6" ht="14" customHeight="1">
      <c r="A97" s="8">
        <v>8</v>
      </c>
      <c r="B97" s="7" t="str">
        <f>المدخلات!$F$5</f>
        <v>5:20–6:30 م</v>
      </c>
      <c r="C97" s="7">
        <v>4</v>
      </c>
      <c r="D97" s="7" t="s">
        <v>594</v>
      </c>
      <c r="E97" s="7" t="s">
        <v>234</v>
      </c>
      <c r="F97" s="2"/>
    </row>
    <row r="98" spans="1:6" ht="14" customHeight="1">
      <c r="A98" s="8">
        <v>8</v>
      </c>
      <c r="B98" s="7" t="str">
        <f>المدخلات!$F$6</f>
        <v>6:40–7:50 م</v>
      </c>
      <c r="C98" s="7">
        <v>3</v>
      </c>
      <c r="D98" s="7" t="s">
        <v>594</v>
      </c>
      <c r="E98" s="7" t="s">
        <v>190</v>
      </c>
      <c r="F98" s="2"/>
    </row>
    <row r="99" spans="1:6" ht="14" customHeight="1">
      <c r="A99" s="8">
        <v>8</v>
      </c>
      <c r="B99" s="7" t="str">
        <f>المدخلات!$F$6</f>
        <v>6:40–7:50 م</v>
      </c>
      <c r="C99" s="7">
        <v>4</v>
      </c>
      <c r="D99" s="7" t="s">
        <v>594</v>
      </c>
      <c r="E99" s="7" t="s">
        <v>842</v>
      </c>
      <c r="F99" s="2"/>
    </row>
    <row r="100" spans="1:6" ht="14" customHeight="1">
      <c r="A100" s="8">
        <v>9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32</v>
      </c>
      <c r="F100" s="2"/>
    </row>
    <row r="101" spans="1:6" ht="14" customHeight="1">
      <c r="A101" s="8">
        <v>9</v>
      </c>
      <c r="B101" s="7" t="str">
        <f>المدخلات!$F$4</f>
        <v>4:00–5:10 م</v>
      </c>
      <c r="C101" s="7">
        <v>2</v>
      </c>
      <c r="D101" s="7" t="s">
        <v>593</v>
      </c>
      <c r="E101" s="7" t="s">
        <v>1039</v>
      </c>
      <c r="F101" s="2"/>
    </row>
    <row r="102" spans="1:6" ht="14" customHeight="1">
      <c r="A102" s="8">
        <v>9</v>
      </c>
      <c r="B102" s="7" t="str">
        <f>المدخلات!$F$5</f>
        <v>5:20–6:30 م</v>
      </c>
      <c r="C102" s="7">
        <v>1</v>
      </c>
      <c r="D102" s="7" t="s">
        <v>593</v>
      </c>
      <c r="E102" s="7" t="s">
        <v>1067</v>
      </c>
      <c r="F102" s="2"/>
    </row>
    <row r="103" spans="1:6" ht="14" customHeight="1">
      <c r="A103" s="8">
        <v>9</v>
      </c>
      <c r="B103" s="7" t="str">
        <f>المدخلات!$F$5</f>
        <v>5:20–6:30 م</v>
      </c>
      <c r="C103" s="7">
        <v>2</v>
      </c>
      <c r="D103" s="7" t="s">
        <v>593</v>
      </c>
      <c r="E103" s="7" t="s">
        <v>804</v>
      </c>
      <c r="F103" s="2"/>
    </row>
    <row r="104" spans="1:6" ht="14" customHeight="1">
      <c r="A104" s="8">
        <v>9</v>
      </c>
      <c r="B104" s="7" t="str">
        <f>المدخلات!$F$6</f>
        <v>6:40–7:50 م</v>
      </c>
      <c r="C104" s="7">
        <v>1</v>
      </c>
      <c r="D104" s="7" t="s">
        <v>593</v>
      </c>
      <c r="E104" s="7" t="s">
        <v>805</v>
      </c>
      <c r="F104" s="2"/>
    </row>
    <row r="105" spans="1:6" ht="14" customHeight="1">
      <c r="A105" s="8">
        <v>9</v>
      </c>
      <c r="B105" s="7" t="str">
        <f>المدخلات!$F$6</f>
        <v>6:40–7:50 م</v>
      </c>
      <c r="C105" s="7">
        <v>2</v>
      </c>
      <c r="D105" s="7" t="s">
        <v>593</v>
      </c>
      <c r="E105" s="7" t="s">
        <v>24</v>
      </c>
      <c r="F105" s="2"/>
    </row>
    <row r="106" spans="1:6" ht="14" customHeight="1">
      <c r="A106" s="8">
        <v>9</v>
      </c>
      <c r="B106" s="7" t="str">
        <f>المدخلات!$F$4</f>
        <v>4:00–5:10 م</v>
      </c>
      <c r="C106" s="7">
        <v>3</v>
      </c>
      <c r="D106" s="7" t="s">
        <v>594</v>
      </c>
      <c r="E106" s="7" t="s">
        <v>235</v>
      </c>
      <c r="F106" s="2"/>
    </row>
    <row r="107" spans="1:6" ht="14" customHeight="1">
      <c r="A107" s="8">
        <v>9</v>
      </c>
      <c r="B107" s="7" t="str">
        <f>المدخلات!$F$4</f>
        <v>4:00–5:10 م</v>
      </c>
      <c r="C107" s="7">
        <v>4</v>
      </c>
      <c r="D107" s="7" t="s">
        <v>594</v>
      </c>
      <c r="E107" s="7" t="s">
        <v>159</v>
      </c>
      <c r="F107" s="2"/>
    </row>
    <row r="108" spans="1:6" ht="14" customHeight="1">
      <c r="A108" s="8">
        <v>9</v>
      </c>
      <c r="B108" s="7" t="str">
        <f>المدخلات!$F$5</f>
        <v>5:20–6:30 م</v>
      </c>
      <c r="C108" s="7">
        <v>3</v>
      </c>
      <c r="D108" s="7" t="s">
        <v>594</v>
      </c>
      <c r="E108" s="7" t="s">
        <v>168</v>
      </c>
      <c r="F108" s="2"/>
    </row>
    <row r="109" spans="1:6" ht="14" customHeight="1">
      <c r="A109" s="8">
        <v>9</v>
      </c>
      <c r="B109" s="7" t="str">
        <f>المدخلات!$F$5</f>
        <v>5:20–6:30 م</v>
      </c>
      <c r="C109" s="7">
        <v>4</v>
      </c>
      <c r="D109" s="7" t="s">
        <v>594</v>
      </c>
      <c r="E109" s="7" t="s">
        <v>246</v>
      </c>
      <c r="F109" s="2"/>
    </row>
    <row r="110" spans="1:6" ht="14" customHeight="1">
      <c r="A110" s="8">
        <v>9</v>
      </c>
      <c r="B110" s="7" t="str">
        <f>المدخلات!$F$6</f>
        <v>6:40–7:50 م</v>
      </c>
      <c r="C110" s="7">
        <v>3</v>
      </c>
      <c r="D110" s="7" t="s">
        <v>594</v>
      </c>
      <c r="E110" s="7" t="s">
        <v>152</v>
      </c>
      <c r="F110" s="2"/>
    </row>
    <row r="111" spans="1:6" ht="14" customHeight="1">
      <c r="A111" s="8">
        <v>9</v>
      </c>
      <c r="B111" s="7" t="str">
        <f>المدخلات!$F$6</f>
        <v>6:40–7:50 م</v>
      </c>
      <c r="C111" s="7">
        <v>4</v>
      </c>
      <c r="D111" s="7" t="s">
        <v>594</v>
      </c>
      <c r="E111" s="7" t="s">
        <v>230</v>
      </c>
      <c r="F111" s="2"/>
    </row>
    <row r="112" spans="1:6" ht="14" customHeight="1">
      <c r="A112" s="8">
        <v>10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93</v>
      </c>
      <c r="F112" s="2"/>
    </row>
    <row r="113" spans="1:6" ht="14" customHeight="1">
      <c r="A113" s="8">
        <v>10</v>
      </c>
      <c r="B113" s="7" t="str">
        <f>المدخلات!$F$4</f>
        <v>4:00–5:10 م</v>
      </c>
      <c r="C113" s="7">
        <v>2</v>
      </c>
      <c r="D113" s="7" t="s">
        <v>593</v>
      </c>
      <c r="E113" s="7" t="s">
        <v>72</v>
      </c>
      <c r="F113" s="2"/>
    </row>
    <row r="114" spans="1:6" ht="14" customHeight="1">
      <c r="A114" s="8">
        <v>10</v>
      </c>
      <c r="B114" s="7" t="str">
        <f>المدخلات!$F$5</f>
        <v>5:20–6:30 م</v>
      </c>
      <c r="C114" s="7">
        <v>1</v>
      </c>
      <c r="D114" s="7" t="s">
        <v>593</v>
      </c>
      <c r="E114" s="7" t="s">
        <v>623</v>
      </c>
      <c r="F114" s="2"/>
    </row>
    <row r="115" spans="1:6" ht="14" customHeight="1">
      <c r="A115" s="8">
        <v>10</v>
      </c>
      <c r="B115" s="7" t="str">
        <f>المدخلات!$F$5</f>
        <v>5:20–6:30 م</v>
      </c>
      <c r="C115" s="7">
        <v>2</v>
      </c>
      <c r="D115" s="7" t="s">
        <v>593</v>
      </c>
      <c r="E115" s="7" t="s">
        <v>27</v>
      </c>
      <c r="F115" s="2"/>
    </row>
    <row r="116" spans="1:6" ht="14" customHeight="1">
      <c r="A116" s="8">
        <v>10</v>
      </c>
      <c r="B116" s="7" t="str">
        <f>المدخلات!$F$6</f>
        <v>6:40–7:50 م</v>
      </c>
      <c r="C116" s="7">
        <v>1</v>
      </c>
      <c r="D116" s="7" t="s">
        <v>593</v>
      </c>
      <c r="E116" s="7" t="s">
        <v>9</v>
      </c>
      <c r="F116" s="2"/>
    </row>
    <row r="117" spans="1:6" ht="14" customHeight="1">
      <c r="A117" s="8">
        <v>10</v>
      </c>
      <c r="B117" s="7" t="str">
        <f>المدخلات!$F$6</f>
        <v>6:40–7:50 م</v>
      </c>
      <c r="C117" s="7">
        <v>2</v>
      </c>
      <c r="D117" s="7" t="s">
        <v>593</v>
      </c>
      <c r="E117" s="7" t="s">
        <v>20</v>
      </c>
      <c r="F117" s="2"/>
    </row>
    <row r="118" spans="1:6" ht="14" customHeight="1">
      <c r="A118" s="8">
        <v>10</v>
      </c>
      <c r="B118" s="7" t="str">
        <f>المدخلات!$F$4</f>
        <v>4:00–5:10 م</v>
      </c>
      <c r="C118" s="7">
        <v>3</v>
      </c>
      <c r="D118" s="7" t="s">
        <v>594</v>
      </c>
      <c r="E118" s="7" t="s">
        <v>227</v>
      </c>
      <c r="F118" s="2"/>
    </row>
    <row r="119" spans="1:6" ht="14" customHeight="1">
      <c r="A119" s="8">
        <v>10</v>
      </c>
      <c r="B119" s="7" t="str">
        <f>المدخلات!$F$4</f>
        <v>4:00–5:10 م</v>
      </c>
      <c r="C119" s="7">
        <v>4</v>
      </c>
      <c r="D119" s="7" t="s">
        <v>594</v>
      </c>
      <c r="E119" s="7" t="s">
        <v>602</v>
      </c>
      <c r="F119" s="2"/>
    </row>
    <row r="120" spans="1:6" ht="14" customHeight="1">
      <c r="A120" s="8">
        <v>10</v>
      </c>
      <c r="B120" s="7" t="str">
        <f>المدخلات!$F$5</f>
        <v>5:20–6:30 م</v>
      </c>
      <c r="C120" s="7">
        <v>3</v>
      </c>
      <c r="D120" s="7" t="s">
        <v>594</v>
      </c>
      <c r="E120" s="7" t="s">
        <v>223</v>
      </c>
      <c r="F120" s="2"/>
    </row>
    <row r="121" spans="1:6" ht="14" customHeight="1">
      <c r="A121" s="8">
        <v>10</v>
      </c>
      <c r="B121" s="7" t="str">
        <f>المدخلات!$F$5</f>
        <v>5:20–6:30 م</v>
      </c>
      <c r="C121" s="7">
        <v>4</v>
      </c>
      <c r="D121" s="7" t="s">
        <v>594</v>
      </c>
      <c r="E121" s="7" t="s">
        <v>145</v>
      </c>
      <c r="F121" s="2"/>
    </row>
    <row r="122" spans="1:6" ht="14" customHeight="1">
      <c r="A122" s="8">
        <v>10</v>
      </c>
      <c r="B122" s="7" t="str">
        <f>المدخلات!$F$6</f>
        <v>6:40–7:50 م</v>
      </c>
      <c r="C122" s="7">
        <v>3</v>
      </c>
      <c r="D122" s="7" t="s">
        <v>594</v>
      </c>
      <c r="E122" s="7" t="s">
        <v>1152</v>
      </c>
      <c r="F122" s="2"/>
    </row>
    <row r="123" spans="1:6" ht="14" customHeight="1">
      <c r="A123" s="8">
        <v>10</v>
      </c>
      <c r="B123" s="7" t="str">
        <f>المدخلات!$F$6</f>
        <v>6:40–7:50 م</v>
      </c>
      <c r="C123" s="7">
        <v>4</v>
      </c>
      <c r="D123" s="7" t="s">
        <v>594</v>
      </c>
      <c r="E123" s="7" t="s">
        <v>231</v>
      </c>
      <c r="F123" s="2"/>
    </row>
    <row r="124" spans="1:6" ht="14" customHeight="1">
      <c r="A124" s="8">
        <v>11</v>
      </c>
      <c r="B124" s="7" t="str">
        <f>المدخلات!$F$4</f>
        <v>4:00–5:10 م</v>
      </c>
      <c r="C124" s="7">
        <v>1</v>
      </c>
      <c r="D124" s="7" t="s">
        <v>593</v>
      </c>
      <c r="E124" s="7" t="s">
        <v>13</v>
      </c>
      <c r="F124" s="2"/>
    </row>
    <row r="125" spans="1:6" ht="14" customHeight="1">
      <c r="A125" s="8">
        <v>11</v>
      </c>
      <c r="B125" s="7" t="str">
        <f>المدخلات!$F$4</f>
        <v>4:00–5:10 م</v>
      </c>
      <c r="C125" s="7">
        <v>2</v>
      </c>
      <c r="D125" s="7" t="s">
        <v>593</v>
      </c>
      <c r="E125" s="7" t="s">
        <v>1043</v>
      </c>
      <c r="F125" s="2"/>
    </row>
    <row r="126" spans="1:6" ht="14" customHeight="1">
      <c r="A126" s="8">
        <v>11</v>
      </c>
      <c r="B126" s="7" t="str">
        <f>المدخلات!$F$5</f>
        <v>5:20–6:30 م</v>
      </c>
      <c r="C126" s="7">
        <v>1</v>
      </c>
      <c r="D126" s="7" t="s">
        <v>593</v>
      </c>
      <c r="E126" s="7" t="s">
        <v>21</v>
      </c>
      <c r="F126" s="2"/>
    </row>
    <row r="127" spans="1:6" ht="14" customHeight="1">
      <c r="A127" s="8">
        <v>11</v>
      </c>
      <c r="B127" s="7" t="str">
        <f>المدخلات!$F$5</f>
        <v>5:20–6:30 م</v>
      </c>
      <c r="C127" s="7">
        <v>2</v>
      </c>
      <c r="D127" s="7" t="s">
        <v>593</v>
      </c>
      <c r="E127" s="7" t="s">
        <v>56</v>
      </c>
      <c r="F127" s="2"/>
    </row>
    <row r="128" spans="1:6" ht="14" customHeight="1">
      <c r="A128" s="8">
        <v>11</v>
      </c>
      <c r="B128" s="7" t="str">
        <f>المدخلات!$F$6</f>
        <v>6:40–7:50 م</v>
      </c>
      <c r="C128" s="7">
        <v>1</v>
      </c>
      <c r="D128" s="7" t="s">
        <v>593</v>
      </c>
      <c r="E128" s="7" t="s">
        <v>67</v>
      </c>
      <c r="F128" s="2"/>
    </row>
    <row r="129" spans="1:6" ht="14" customHeight="1">
      <c r="A129" s="8">
        <v>11</v>
      </c>
      <c r="B129" s="7" t="str">
        <f>المدخلات!$F$6</f>
        <v>6:40–7:50 م</v>
      </c>
      <c r="C129" s="7">
        <v>2</v>
      </c>
      <c r="D129" s="7" t="s">
        <v>593</v>
      </c>
      <c r="E129" s="7" t="s">
        <v>89</v>
      </c>
      <c r="F129" s="2"/>
    </row>
    <row r="130" spans="1:6" ht="14" customHeight="1">
      <c r="A130" s="8">
        <v>11</v>
      </c>
      <c r="B130" s="7" t="str">
        <f>المدخلات!$F$4</f>
        <v>4:00–5:10 م</v>
      </c>
      <c r="C130" s="7">
        <v>3</v>
      </c>
      <c r="D130" s="7" t="s">
        <v>594</v>
      </c>
      <c r="E130" s="7" t="s">
        <v>103</v>
      </c>
      <c r="F130" s="2"/>
    </row>
    <row r="131" spans="1:6" ht="14" customHeight="1">
      <c r="A131" s="8">
        <v>11</v>
      </c>
      <c r="B131" s="7" t="str">
        <f>المدخلات!$F$4</f>
        <v>4:00–5:10 م</v>
      </c>
      <c r="C131" s="7">
        <v>4</v>
      </c>
      <c r="D131" s="7" t="s">
        <v>594</v>
      </c>
      <c r="E131" s="7" t="s">
        <v>1153</v>
      </c>
      <c r="F131" s="2"/>
    </row>
    <row r="132" spans="1:6" ht="14" customHeight="1">
      <c r="A132" s="8">
        <v>11</v>
      </c>
      <c r="B132" s="7" t="str">
        <f>المدخلات!$F$5</f>
        <v>5:20–6:30 م</v>
      </c>
      <c r="C132" s="7">
        <v>3</v>
      </c>
      <c r="D132" s="7" t="s">
        <v>594</v>
      </c>
      <c r="E132" s="7" t="s">
        <v>224</v>
      </c>
      <c r="F132" s="2"/>
    </row>
    <row r="133" spans="1:6" ht="14" customHeight="1">
      <c r="A133" s="8">
        <v>11</v>
      </c>
      <c r="B133" s="7" t="str">
        <f>المدخلات!$F$5</f>
        <v>5:20–6:30 م</v>
      </c>
      <c r="C133" s="7">
        <v>4</v>
      </c>
      <c r="D133" s="7" t="s">
        <v>594</v>
      </c>
      <c r="E133" s="7" t="s">
        <v>328</v>
      </c>
      <c r="F133" s="2"/>
    </row>
    <row r="134" spans="1:6" ht="14" customHeight="1">
      <c r="A134" s="8">
        <v>11</v>
      </c>
      <c r="B134" s="7" t="str">
        <f>المدخلات!$F$6</f>
        <v>6:40–7:50 م</v>
      </c>
      <c r="C134" s="7">
        <v>3</v>
      </c>
      <c r="D134" s="7" t="s">
        <v>594</v>
      </c>
      <c r="E134" s="7" t="s">
        <v>210</v>
      </c>
      <c r="F134" s="2"/>
    </row>
    <row r="135" spans="1:6" ht="14" customHeight="1">
      <c r="A135" s="8">
        <v>11</v>
      </c>
      <c r="B135" s="7" t="str">
        <f>المدخلات!$F$6</f>
        <v>6:40–7:50 م</v>
      </c>
      <c r="C135" s="7">
        <v>4</v>
      </c>
      <c r="D135" s="7" t="s">
        <v>594</v>
      </c>
      <c r="E135" s="7" t="s">
        <v>1154</v>
      </c>
      <c r="F135" s="2"/>
    </row>
    <row r="136" spans="1:6" ht="14" customHeight="1">
      <c r="A136" s="8">
        <v>12</v>
      </c>
      <c r="B136" s="7" t="str">
        <f>المدخلات!$F$4</f>
        <v>4:00–5:10 م</v>
      </c>
      <c r="C136" s="7">
        <v>1</v>
      </c>
      <c r="D136" s="7" t="s">
        <v>593</v>
      </c>
      <c r="E136" s="7" t="s">
        <v>46</v>
      </c>
      <c r="F136" s="2"/>
    </row>
    <row r="137" spans="1:6" ht="14" customHeight="1">
      <c r="A137" s="8">
        <v>12</v>
      </c>
      <c r="B137" s="7" t="str">
        <f>المدخلات!$F$4</f>
        <v>4:00–5:10 م</v>
      </c>
      <c r="C137" s="7">
        <v>2</v>
      </c>
      <c r="D137" s="7" t="s">
        <v>593</v>
      </c>
      <c r="E137" s="7" t="s">
        <v>53</v>
      </c>
      <c r="F137" s="2"/>
    </row>
    <row r="138" spans="1:6" ht="14" customHeight="1">
      <c r="A138" s="8">
        <v>12</v>
      </c>
      <c r="B138" s="7" t="str">
        <f>المدخلات!$F$5</f>
        <v>5:20–6:30 م</v>
      </c>
      <c r="C138" s="7">
        <v>1</v>
      </c>
      <c r="D138" s="7" t="s">
        <v>593</v>
      </c>
      <c r="E138" s="7" t="s">
        <v>1099</v>
      </c>
      <c r="F138" s="2"/>
    </row>
    <row r="139" spans="1:6" ht="14" customHeight="1">
      <c r="A139" s="8">
        <v>12</v>
      </c>
      <c r="B139" s="7" t="str">
        <f>المدخلات!$F$5</f>
        <v>5:20–6:30 م</v>
      </c>
      <c r="C139" s="7">
        <v>2</v>
      </c>
      <c r="D139" s="7" t="s">
        <v>593</v>
      </c>
      <c r="E139" s="7" t="s">
        <v>63</v>
      </c>
      <c r="F139" s="2"/>
    </row>
    <row r="140" spans="1:6" ht="14" customHeight="1">
      <c r="A140" s="8">
        <v>12</v>
      </c>
      <c r="B140" s="7" t="str">
        <f>المدخلات!$F$6</f>
        <v>6:40–7:50 م</v>
      </c>
      <c r="C140" s="7">
        <v>1</v>
      </c>
      <c r="D140" s="7" t="s">
        <v>593</v>
      </c>
      <c r="E140" s="7" t="s">
        <v>14</v>
      </c>
      <c r="F140" s="2"/>
    </row>
    <row r="141" spans="1:6" ht="14" customHeight="1">
      <c r="A141" s="8">
        <v>12</v>
      </c>
      <c r="B141" s="7" t="str">
        <f>المدخلات!$F$6</f>
        <v>6:40–7:50 م</v>
      </c>
      <c r="C141" s="7">
        <v>2</v>
      </c>
      <c r="D141" s="7" t="s">
        <v>593</v>
      </c>
      <c r="E141" s="7" t="s">
        <v>8</v>
      </c>
      <c r="F141" s="2"/>
    </row>
    <row r="142" spans="1:6" ht="14" customHeight="1">
      <c r="A142" s="8">
        <v>12</v>
      </c>
      <c r="B142" s="7" t="str">
        <f>المدخلات!$F$4</f>
        <v>4:00–5:10 م</v>
      </c>
      <c r="C142" s="7">
        <v>3</v>
      </c>
      <c r="D142" s="7" t="s">
        <v>594</v>
      </c>
      <c r="E142" s="7" t="s">
        <v>196</v>
      </c>
      <c r="F142" s="2"/>
    </row>
    <row r="143" spans="1:6" ht="14" customHeight="1">
      <c r="A143" s="8">
        <v>12</v>
      </c>
      <c r="B143" s="7" t="str">
        <f>المدخلات!$F$4</f>
        <v>4:00–5:10 م</v>
      </c>
      <c r="C143" s="7">
        <v>4</v>
      </c>
      <c r="D143" s="7" t="s">
        <v>594</v>
      </c>
      <c r="E143" s="7" t="s">
        <v>211</v>
      </c>
      <c r="F143" s="2"/>
    </row>
    <row r="144" spans="1:6" ht="14" customHeight="1">
      <c r="A144" s="8">
        <v>12</v>
      </c>
      <c r="B144" s="7" t="str">
        <f>المدخلات!$F$5</f>
        <v>5:20–6:30 م</v>
      </c>
      <c r="C144" s="7">
        <v>3</v>
      </c>
      <c r="D144" s="7" t="s">
        <v>594</v>
      </c>
      <c r="E144" s="7" t="s">
        <v>1156</v>
      </c>
      <c r="F144" s="2"/>
    </row>
    <row r="145" spans="1:6" ht="14" customHeight="1">
      <c r="A145" s="8">
        <v>12</v>
      </c>
      <c r="B145" s="7" t="str">
        <f>المدخلات!$F$5</f>
        <v>5:20–6:30 م</v>
      </c>
      <c r="C145" s="7">
        <v>4</v>
      </c>
      <c r="D145" s="7" t="s">
        <v>594</v>
      </c>
      <c r="E145" s="7" t="s">
        <v>853</v>
      </c>
      <c r="F145" s="2"/>
    </row>
    <row r="146" spans="1:6" ht="14" customHeight="1">
      <c r="A146" s="8">
        <v>12</v>
      </c>
      <c r="B146" s="7" t="str">
        <f>المدخلات!$F$6</f>
        <v>6:40–7:50 م</v>
      </c>
      <c r="C146" s="7">
        <v>3</v>
      </c>
      <c r="D146" s="7" t="s">
        <v>594</v>
      </c>
      <c r="E146" s="7" t="s">
        <v>1155</v>
      </c>
      <c r="F146" s="2"/>
    </row>
    <row r="147" spans="1:6" ht="14" customHeight="1">
      <c r="A147" s="8">
        <v>12</v>
      </c>
      <c r="B147" s="7" t="str">
        <f>المدخلات!$F$6</f>
        <v>6:40–7:50 م</v>
      </c>
      <c r="C147" s="7">
        <v>4</v>
      </c>
      <c r="D147" s="7" t="s">
        <v>594</v>
      </c>
      <c r="E147" s="7" t="s">
        <v>225</v>
      </c>
      <c r="F147" s="2"/>
    </row>
    <row r="148" spans="1:6" ht="14" customHeight="1">
      <c r="A148" s="8">
        <v>13</v>
      </c>
      <c r="B148" s="7" t="str">
        <f>المدخلات!$F$4</f>
        <v>4:00–5:10 م</v>
      </c>
      <c r="C148" s="7">
        <v>1</v>
      </c>
      <c r="D148" s="7" t="s">
        <v>593</v>
      </c>
      <c r="E148" s="7" t="s">
        <v>1081</v>
      </c>
      <c r="F148" s="2"/>
    </row>
    <row r="149" spans="1:6" ht="14" customHeight="1">
      <c r="A149" s="8">
        <v>13</v>
      </c>
      <c r="B149" s="7" t="str">
        <f>المدخلات!$F$4</f>
        <v>4:00–5:10 م</v>
      </c>
      <c r="C149" s="7">
        <v>2</v>
      </c>
      <c r="D149" s="7" t="s">
        <v>593</v>
      </c>
      <c r="E149" s="7" t="s">
        <v>1037</v>
      </c>
      <c r="F149" s="2"/>
    </row>
    <row r="150" spans="1:6" ht="14" customHeight="1">
      <c r="A150" s="8">
        <v>13</v>
      </c>
      <c r="B150" s="7" t="str">
        <f>المدخلات!$F$5</f>
        <v>5:20–6:30 م</v>
      </c>
      <c r="C150" s="7">
        <v>1</v>
      </c>
      <c r="D150" s="7" t="s">
        <v>593</v>
      </c>
      <c r="E150" s="7" t="s">
        <v>41</v>
      </c>
      <c r="F150" s="2"/>
    </row>
    <row r="151" spans="1:6" ht="14" customHeight="1">
      <c r="A151" s="8">
        <v>13</v>
      </c>
      <c r="B151" s="7" t="str">
        <f>المدخلات!$F$5</f>
        <v>5:20–6:30 م</v>
      </c>
      <c r="C151" s="7">
        <v>2</v>
      </c>
      <c r="D151" s="7" t="s">
        <v>593</v>
      </c>
      <c r="E151" s="7" t="s">
        <v>1062</v>
      </c>
      <c r="F151" s="2"/>
    </row>
    <row r="152" spans="1:6" ht="14" customHeight="1">
      <c r="A152" s="8">
        <v>13</v>
      </c>
      <c r="B152" s="7" t="str">
        <f>المدخلات!$F$6</f>
        <v>6:40–7:50 م</v>
      </c>
      <c r="C152" s="7">
        <v>1</v>
      </c>
      <c r="D152" s="7" t="s">
        <v>593</v>
      </c>
      <c r="E152" s="7" t="s">
        <v>57</v>
      </c>
      <c r="F152" s="2"/>
    </row>
    <row r="153" spans="1:6" ht="14" customHeight="1">
      <c r="A153" s="8">
        <v>13</v>
      </c>
      <c r="B153" s="7" t="str">
        <f>المدخلات!$F$6</f>
        <v>6:40–7:50 م</v>
      </c>
      <c r="C153" s="7">
        <v>2</v>
      </c>
      <c r="D153" s="7" t="s">
        <v>593</v>
      </c>
      <c r="E153" s="7" t="s">
        <v>49</v>
      </c>
      <c r="F153" s="2"/>
    </row>
    <row r="154" spans="1:6" ht="14" customHeight="1">
      <c r="A154" s="8">
        <v>13</v>
      </c>
      <c r="B154" s="7" t="str">
        <f>المدخلات!$F$4</f>
        <v>4:00–5:10 م</v>
      </c>
      <c r="C154" s="7">
        <v>3</v>
      </c>
      <c r="D154" s="7" t="s">
        <v>594</v>
      </c>
      <c r="E154" s="7" t="s">
        <v>856</v>
      </c>
      <c r="F154" s="2"/>
    </row>
    <row r="155" spans="1:6" ht="14" customHeight="1">
      <c r="A155" s="8">
        <v>13</v>
      </c>
      <c r="B155" s="7" t="str">
        <f>المدخلات!$F$4</f>
        <v>4:00–5:10 م</v>
      </c>
      <c r="C155" s="7">
        <v>4</v>
      </c>
      <c r="D155" s="7" t="s">
        <v>594</v>
      </c>
      <c r="E155" s="7" t="s">
        <v>197</v>
      </c>
      <c r="F155" s="2"/>
    </row>
    <row r="156" spans="1:6" ht="14" customHeight="1">
      <c r="A156" s="8">
        <v>13</v>
      </c>
      <c r="B156" s="7" t="str">
        <f>المدخلات!$F$5</f>
        <v>5:20–6:30 م</v>
      </c>
      <c r="C156" s="7">
        <v>3</v>
      </c>
      <c r="D156" s="7" t="s">
        <v>594</v>
      </c>
      <c r="E156" s="7" t="s">
        <v>919</v>
      </c>
      <c r="F156" s="2"/>
    </row>
    <row r="157" spans="1:6" ht="14" customHeight="1">
      <c r="A157" s="8">
        <v>13</v>
      </c>
      <c r="B157" s="7" t="str">
        <f>المدخلات!$F$5</f>
        <v>5:20–6:30 م</v>
      </c>
      <c r="C157" s="7">
        <v>4</v>
      </c>
      <c r="D157" s="7" t="s">
        <v>594</v>
      </c>
      <c r="E157" s="7" t="s">
        <v>212</v>
      </c>
      <c r="F157" s="2"/>
    </row>
    <row r="158" spans="1:6" ht="14" customHeight="1">
      <c r="A158" s="8">
        <v>13</v>
      </c>
      <c r="B158" s="7" t="str">
        <f>المدخلات!$F$6</f>
        <v>6:40–7:50 م</v>
      </c>
      <c r="C158" s="7">
        <v>3</v>
      </c>
      <c r="D158" s="7" t="s">
        <v>594</v>
      </c>
      <c r="E158" s="7" t="s">
        <v>238</v>
      </c>
      <c r="F158" s="2"/>
    </row>
    <row r="159" spans="1:6" ht="14" customHeight="1">
      <c r="A159" s="8">
        <v>13</v>
      </c>
      <c r="B159" s="7" t="str">
        <f>المدخلات!$F$6</f>
        <v>6:40–7:50 م</v>
      </c>
      <c r="C159" s="7">
        <v>4</v>
      </c>
      <c r="D159" s="7" t="s">
        <v>594</v>
      </c>
      <c r="E159" s="7" t="s">
        <v>177</v>
      </c>
      <c r="F159" s="2"/>
    </row>
    <row r="160" spans="1:6" ht="14" customHeight="1">
      <c r="A160" s="8">
        <v>14</v>
      </c>
      <c r="B160" s="7" t="str">
        <f>المدخلات!$F$4</f>
        <v>4:00–5:10 م</v>
      </c>
      <c r="C160" s="7">
        <v>1</v>
      </c>
      <c r="D160" s="7" t="s">
        <v>593</v>
      </c>
      <c r="E160" s="7" t="s">
        <v>648</v>
      </c>
      <c r="F160" s="2"/>
    </row>
    <row r="161" spans="1:6" ht="14" customHeight="1">
      <c r="A161" s="8">
        <v>14</v>
      </c>
      <c r="B161" s="7" t="str">
        <f>المدخلات!$F$4</f>
        <v>4:00–5:10 م</v>
      </c>
      <c r="C161" s="7">
        <v>2</v>
      </c>
      <c r="D161" s="7" t="s">
        <v>593</v>
      </c>
      <c r="E161" s="7" t="s">
        <v>633</v>
      </c>
      <c r="F161" s="2"/>
    </row>
    <row r="162" spans="1:6" ht="14" customHeight="1">
      <c r="A162" s="8">
        <v>14</v>
      </c>
      <c r="B162" s="7" t="str">
        <f>المدخلات!$F$5</f>
        <v>5:20–6:30 م</v>
      </c>
      <c r="C162" s="7">
        <v>1</v>
      </c>
      <c r="D162" s="7" t="s">
        <v>593</v>
      </c>
      <c r="E162" s="7" t="s">
        <v>28</v>
      </c>
      <c r="F162" s="2"/>
    </row>
    <row r="163" spans="1:6" ht="14" customHeight="1">
      <c r="A163" s="8">
        <v>14</v>
      </c>
      <c r="B163" s="7" t="str">
        <f>المدخلات!$F$5</f>
        <v>5:20–6:30 م</v>
      </c>
      <c r="C163" s="7">
        <v>2</v>
      </c>
      <c r="D163" s="7" t="s">
        <v>593</v>
      </c>
      <c r="E163" s="7" t="s">
        <v>42</v>
      </c>
      <c r="F163" s="2"/>
    </row>
    <row r="164" spans="1:6" ht="14" customHeight="1">
      <c r="A164" s="8">
        <v>14</v>
      </c>
      <c r="B164" s="7" t="str">
        <f>المدخلات!$F$6</f>
        <v>6:40–7:50 م</v>
      </c>
      <c r="C164" s="7">
        <v>1</v>
      </c>
      <c r="D164" s="7" t="s">
        <v>593</v>
      </c>
      <c r="E164" s="7" t="s">
        <v>647</v>
      </c>
      <c r="F164" s="2"/>
    </row>
    <row r="165" spans="1:6" ht="14" customHeight="1">
      <c r="A165" s="8">
        <v>14</v>
      </c>
      <c r="B165" s="7" t="str">
        <f>المدخلات!$F$6</f>
        <v>6:40–7:50 م</v>
      </c>
      <c r="C165" s="7">
        <v>2</v>
      </c>
      <c r="D165" s="7" t="s">
        <v>593</v>
      </c>
      <c r="E165" s="7" t="s">
        <v>863</v>
      </c>
      <c r="F165" s="2"/>
    </row>
    <row r="166" spans="1:6" ht="14" customHeight="1">
      <c r="A166" s="8">
        <v>14</v>
      </c>
      <c r="B166" s="7" t="str">
        <f>المدخلات!$F$4</f>
        <v>4:00–5:10 م</v>
      </c>
      <c r="C166" s="7">
        <v>3</v>
      </c>
      <c r="D166" s="7" t="s">
        <v>594</v>
      </c>
      <c r="E166" s="7" t="s">
        <v>628</v>
      </c>
      <c r="F166" s="2"/>
    </row>
    <row r="167" spans="1:6" ht="14" customHeight="1">
      <c r="A167" s="8">
        <v>14</v>
      </c>
      <c r="B167" s="7" t="str">
        <f>المدخلات!$F$4</f>
        <v>4:00–5:10 م</v>
      </c>
      <c r="C167" s="7">
        <v>4</v>
      </c>
      <c r="D167" s="7" t="s">
        <v>594</v>
      </c>
      <c r="E167" s="7" t="s">
        <v>325</v>
      </c>
      <c r="F167" s="2"/>
    </row>
    <row r="168" spans="1:6" ht="14" customHeight="1">
      <c r="A168" s="8">
        <v>14</v>
      </c>
      <c r="B168" s="7" t="str">
        <f>المدخلات!$F$5</f>
        <v>5:20–6:30 م</v>
      </c>
      <c r="C168" s="7">
        <v>3</v>
      </c>
      <c r="D168" s="7" t="s">
        <v>594</v>
      </c>
      <c r="E168" s="7" t="s">
        <v>219</v>
      </c>
      <c r="F168" s="2"/>
    </row>
    <row r="169" spans="1:6" ht="14" customHeight="1">
      <c r="A169" s="8">
        <v>14</v>
      </c>
      <c r="B169" s="7" t="str">
        <f>المدخلات!$F$5</f>
        <v>5:20–6:30 م</v>
      </c>
      <c r="C169" s="7">
        <v>4</v>
      </c>
      <c r="D169" s="7" t="s">
        <v>594</v>
      </c>
      <c r="E169" s="7" t="s">
        <v>859</v>
      </c>
      <c r="F169" s="2"/>
    </row>
    <row r="170" spans="1:6" ht="14" customHeight="1">
      <c r="A170" s="8">
        <v>14</v>
      </c>
      <c r="B170" s="7" t="str">
        <f>المدخلات!$F$6</f>
        <v>6:40–7:50 م</v>
      </c>
      <c r="C170" s="7">
        <v>3</v>
      </c>
      <c r="D170" s="7" t="s">
        <v>594</v>
      </c>
      <c r="E170" s="7" t="s">
        <v>855</v>
      </c>
      <c r="F170" s="2"/>
    </row>
    <row r="171" spans="1:6" ht="14" customHeight="1">
      <c r="A171" s="8">
        <v>14</v>
      </c>
      <c r="B171" s="7" t="str">
        <f>المدخلات!$F$6</f>
        <v>6:40–7:50 م</v>
      </c>
      <c r="C171" s="7">
        <v>4</v>
      </c>
      <c r="D171" s="7" t="s">
        <v>594</v>
      </c>
      <c r="E171" s="7" t="s">
        <v>129</v>
      </c>
      <c r="F171" s="2"/>
    </row>
    <row r="172" spans="1:6" ht="14" customHeight="1">
      <c r="A172" s="8">
        <v>15</v>
      </c>
      <c r="B172" s="7" t="str">
        <f>المدخلات!$F$4</f>
        <v>4:00–5:10 م</v>
      </c>
      <c r="C172" s="7">
        <v>1</v>
      </c>
      <c r="D172" s="7" t="s">
        <v>593</v>
      </c>
      <c r="E172" s="7" t="s">
        <v>740</v>
      </c>
      <c r="F172" s="2"/>
    </row>
    <row r="173" spans="1:6" ht="14" customHeight="1">
      <c r="A173" s="8">
        <v>15</v>
      </c>
      <c r="B173" s="7" t="str">
        <f>المدخلات!$F$4</f>
        <v>4:00–5:10 م</v>
      </c>
      <c r="C173" s="7">
        <v>2</v>
      </c>
      <c r="D173" s="7" t="s">
        <v>593</v>
      </c>
      <c r="E173" s="7" t="s">
        <v>9</v>
      </c>
      <c r="F173" s="2"/>
    </row>
    <row r="174" spans="1:6" ht="14" customHeight="1">
      <c r="A174" s="8">
        <v>15</v>
      </c>
      <c r="B174" s="7" t="str">
        <f>المدخلات!$F$5</f>
        <v>5:20–6:30 م</v>
      </c>
      <c r="C174" s="7">
        <v>1</v>
      </c>
      <c r="D174" s="7" t="s">
        <v>593</v>
      </c>
      <c r="E174" s="7" t="s">
        <v>1040</v>
      </c>
      <c r="F174" s="2"/>
    </row>
    <row r="175" spans="1:6" ht="14" customHeight="1">
      <c r="A175" s="8">
        <v>15</v>
      </c>
      <c r="B175" s="7" t="str">
        <f>المدخلات!$F$5</f>
        <v>5:20–6:30 م</v>
      </c>
      <c r="C175" s="7">
        <v>2</v>
      </c>
      <c r="D175" s="7" t="s">
        <v>593</v>
      </c>
      <c r="E175" s="7" t="s">
        <v>110</v>
      </c>
      <c r="F175" s="2"/>
    </row>
    <row r="176" spans="1:6" ht="14" customHeight="1">
      <c r="A176" s="8">
        <v>15</v>
      </c>
      <c r="B176" s="7" t="str">
        <f>المدخلات!$F$6</f>
        <v>6:40–7:50 م</v>
      </c>
      <c r="C176" s="7">
        <v>1</v>
      </c>
      <c r="D176" s="7" t="s">
        <v>593</v>
      </c>
      <c r="E176" s="7" t="s">
        <v>721</v>
      </c>
      <c r="F176" s="2"/>
    </row>
    <row r="177" spans="1:6" ht="14" customHeight="1">
      <c r="A177" s="8">
        <v>15</v>
      </c>
      <c r="B177" s="7" t="str">
        <f>المدخلات!$F$6</f>
        <v>6:40–7:50 م</v>
      </c>
      <c r="C177" s="7">
        <v>2</v>
      </c>
      <c r="D177" s="7" t="s">
        <v>593</v>
      </c>
      <c r="E177" s="7" t="s">
        <v>24</v>
      </c>
      <c r="F177" s="2"/>
    </row>
    <row r="178" spans="1:6" ht="14" customHeight="1">
      <c r="A178" s="8">
        <v>15</v>
      </c>
      <c r="B178" s="7" t="str">
        <f>المدخلات!$F$4</f>
        <v>4:00–5:10 م</v>
      </c>
      <c r="C178" s="7">
        <v>3</v>
      </c>
      <c r="D178" s="7" t="s">
        <v>594</v>
      </c>
      <c r="E178" s="7" t="s">
        <v>868</v>
      </c>
      <c r="F178" s="2"/>
    </row>
    <row r="179" spans="1:6" ht="14" customHeight="1">
      <c r="A179" s="8">
        <v>15</v>
      </c>
      <c r="B179" s="7" t="str">
        <f>المدخلات!$F$4</f>
        <v>4:00–5:10 م</v>
      </c>
      <c r="C179" s="7">
        <v>4</v>
      </c>
      <c r="D179" s="7" t="s">
        <v>594</v>
      </c>
      <c r="E179" s="7" t="s">
        <v>191</v>
      </c>
      <c r="F179" s="2"/>
    </row>
    <row r="180" spans="1:6" ht="14" customHeight="1">
      <c r="A180" s="8">
        <v>15</v>
      </c>
      <c r="B180" s="7" t="str">
        <f>المدخلات!$F$5</f>
        <v>5:20–6:30 م</v>
      </c>
      <c r="C180" s="7">
        <v>3</v>
      </c>
      <c r="D180" s="7" t="s">
        <v>594</v>
      </c>
      <c r="E180" s="7" t="s">
        <v>882</v>
      </c>
      <c r="F180" s="2"/>
    </row>
    <row r="181" spans="1:6" ht="14" customHeight="1">
      <c r="A181" s="8">
        <v>15</v>
      </c>
      <c r="B181" s="7" t="str">
        <f>المدخلات!$F$5</f>
        <v>5:20–6:30 م</v>
      </c>
      <c r="C181" s="7">
        <v>4</v>
      </c>
      <c r="D181" s="7" t="s">
        <v>594</v>
      </c>
      <c r="E181" s="7" t="s">
        <v>205</v>
      </c>
      <c r="F181" s="2"/>
    </row>
    <row r="182" spans="1:6" ht="14" customHeight="1">
      <c r="A182" s="8">
        <v>15</v>
      </c>
      <c r="B182" s="7" t="str">
        <f>المدخلات!$F$6</f>
        <v>6:40–7:50 م</v>
      </c>
      <c r="C182" s="7">
        <v>3</v>
      </c>
      <c r="D182" s="7" t="s">
        <v>594</v>
      </c>
      <c r="E182" s="7" t="s">
        <v>587</v>
      </c>
      <c r="F182" s="2"/>
    </row>
    <row r="183" spans="1:6" ht="14" customHeight="1">
      <c r="A183" s="8">
        <v>15</v>
      </c>
      <c r="B183" s="7" t="str">
        <f>المدخلات!$F$6</f>
        <v>6:40–7:50 م</v>
      </c>
      <c r="C183" s="7">
        <v>4</v>
      </c>
      <c r="D183" s="7" t="s">
        <v>594</v>
      </c>
      <c r="E183" s="7" t="s">
        <v>638</v>
      </c>
      <c r="F183" s="2"/>
    </row>
    <row r="184" spans="1:6" ht="14" customHeight="1">
      <c r="A184" s="8">
        <v>16</v>
      </c>
      <c r="B184" s="7" t="str">
        <f>المدخلات!$F$4</f>
        <v>4:00–5:10 م</v>
      </c>
      <c r="C184" s="7">
        <v>1</v>
      </c>
      <c r="D184" s="7" t="s">
        <v>593</v>
      </c>
      <c r="E184" s="7" t="s">
        <v>30</v>
      </c>
      <c r="F184" s="2"/>
    </row>
    <row r="185" spans="1:6" ht="14" customHeight="1">
      <c r="A185" s="8">
        <v>16</v>
      </c>
      <c r="B185" s="7" t="str">
        <f>المدخلات!$F$4</f>
        <v>4:00–5:10 م</v>
      </c>
      <c r="C185" s="7">
        <v>2</v>
      </c>
      <c r="D185" s="7" t="s">
        <v>593</v>
      </c>
      <c r="E185" s="7" t="s">
        <v>11</v>
      </c>
      <c r="F185" s="2"/>
    </row>
    <row r="186" spans="1:6" ht="14" customHeight="1">
      <c r="A186" s="8">
        <v>16</v>
      </c>
      <c r="B186" s="7" t="str">
        <f>المدخلات!$F$5</f>
        <v>5:20–6:30 م</v>
      </c>
      <c r="C186" s="7">
        <v>1</v>
      </c>
      <c r="D186" s="7" t="s">
        <v>593</v>
      </c>
      <c r="E186" s="7" t="s">
        <v>16</v>
      </c>
      <c r="F186" s="2"/>
    </row>
    <row r="187" spans="1:6" ht="14" customHeight="1">
      <c r="A187" s="8">
        <v>16</v>
      </c>
      <c r="B187" s="7" t="str">
        <f>المدخلات!$F$5</f>
        <v>5:20–6:30 م</v>
      </c>
      <c r="C187" s="7">
        <v>2</v>
      </c>
      <c r="D187" s="7" t="s">
        <v>593</v>
      </c>
      <c r="E187" s="7" t="s">
        <v>72</v>
      </c>
      <c r="F187" s="2"/>
    </row>
    <row r="188" spans="1:6" ht="14" customHeight="1">
      <c r="A188" s="8">
        <v>16</v>
      </c>
      <c r="B188" s="7" t="str">
        <f>المدخلات!$F$6</f>
        <v>6:40–7:50 م</v>
      </c>
      <c r="C188" s="7">
        <v>1</v>
      </c>
      <c r="D188" s="7" t="s">
        <v>593</v>
      </c>
      <c r="E188" s="7" t="s">
        <v>19</v>
      </c>
      <c r="F188" s="2"/>
    </row>
    <row r="189" spans="1:6" ht="14" customHeight="1">
      <c r="A189" s="8">
        <v>16</v>
      </c>
      <c r="B189" s="7" t="str">
        <f>المدخلات!$F$6</f>
        <v>6:40–7:50 م</v>
      </c>
      <c r="C189" s="7">
        <v>2</v>
      </c>
      <c r="D189" s="7" t="s">
        <v>593</v>
      </c>
      <c r="E189" s="7" t="s">
        <v>46</v>
      </c>
      <c r="F189" s="2"/>
    </row>
    <row r="190" spans="1:6" ht="14" customHeight="1">
      <c r="A190" s="8">
        <v>16</v>
      </c>
      <c r="B190" s="7" t="str">
        <f>المدخلات!$F$4</f>
        <v>4:00–5:10 م</v>
      </c>
      <c r="C190" s="7">
        <v>3</v>
      </c>
      <c r="D190" s="7" t="s">
        <v>594</v>
      </c>
      <c r="E190" s="7" t="s">
        <v>178</v>
      </c>
      <c r="F190" s="2"/>
    </row>
    <row r="191" spans="1:6" ht="14" customHeight="1">
      <c r="A191" s="8">
        <v>16</v>
      </c>
      <c r="B191" s="7" t="str">
        <f>المدخلات!$F$4</f>
        <v>4:00–5:10 م</v>
      </c>
      <c r="C191" s="7">
        <v>4</v>
      </c>
      <c r="D191" s="7" t="s">
        <v>594</v>
      </c>
      <c r="E191" s="7" t="s">
        <v>232</v>
      </c>
      <c r="F191" s="2"/>
    </row>
    <row r="192" spans="1:6" ht="14" customHeight="1">
      <c r="A192" s="8">
        <v>16</v>
      </c>
      <c r="B192" s="7" t="str">
        <f>المدخلات!$F$5</f>
        <v>5:20–6:30 م</v>
      </c>
      <c r="C192" s="7">
        <v>3</v>
      </c>
      <c r="D192" s="7" t="s">
        <v>594</v>
      </c>
      <c r="E192" s="7" t="s">
        <v>161</v>
      </c>
      <c r="F192" s="2"/>
    </row>
    <row r="193" spans="1:6" ht="14" customHeight="1">
      <c r="A193" s="8">
        <v>16</v>
      </c>
      <c r="B193" s="7" t="str">
        <f>المدخلات!$F$5</f>
        <v>5:20–6:30 م</v>
      </c>
      <c r="C193" s="7">
        <v>4</v>
      </c>
      <c r="D193" s="7" t="s">
        <v>594</v>
      </c>
      <c r="E193" s="7" t="s">
        <v>851</v>
      </c>
      <c r="F193" s="2"/>
    </row>
    <row r="194" spans="1:6" ht="14" customHeight="1">
      <c r="A194" s="8">
        <v>16</v>
      </c>
      <c r="B194" s="7" t="str">
        <f>المدخلات!$F$6</f>
        <v>6:40–7:50 م</v>
      </c>
      <c r="C194" s="7">
        <v>3</v>
      </c>
      <c r="D194" s="7" t="s">
        <v>594</v>
      </c>
      <c r="E194" s="7" t="s">
        <v>1146</v>
      </c>
      <c r="F194" s="2"/>
    </row>
    <row r="195" spans="1:6" ht="14" customHeight="1">
      <c r="A195" s="8">
        <v>16</v>
      </c>
      <c r="B195" s="7" t="str">
        <f>المدخلات!$F$6</f>
        <v>6:40–7:50 م</v>
      </c>
      <c r="C195" s="7">
        <v>4</v>
      </c>
      <c r="D195" s="7" t="s">
        <v>594</v>
      </c>
      <c r="E195" s="7" t="s">
        <v>237</v>
      </c>
      <c r="F195" s="2"/>
    </row>
    <row r="196" spans="1:6" ht="14" customHeight="1">
      <c r="A196" s="8">
        <v>17</v>
      </c>
      <c r="B196" s="7" t="str">
        <f>المدخلات!$F$4</f>
        <v>4:00–5:10 م</v>
      </c>
      <c r="C196" s="7">
        <v>1</v>
      </c>
      <c r="D196" s="7" t="s">
        <v>593</v>
      </c>
      <c r="E196" s="7" t="s">
        <v>17</v>
      </c>
      <c r="F196" s="2"/>
    </row>
    <row r="197" spans="1:6" ht="14" customHeight="1">
      <c r="A197" s="8">
        <v>17</v>
      </c>
      <c r="B197" s="7" t="str">
        <f>المدخلات!$F$4</f>
        <v>4:00–5:10 م</v>
      </c>
      <c r="C197" s="7">
        <v>2</v>
      </c>
      <c r="D197" s="7" t="s">
        <v>593</v>
      </c>
      <c r="E197" s="7" t="s">
        <v>41</v>
      </c>
      <c r="F197" s="2"/>
    </row>
    <row r="198" spans="1:6" ht="14" customHeight="1">
      <c r="A198" s="8">
        <v>17</v>
      </c>
      <c r="B198" s="7" t="str">
        <f>المدخلات!$F$5</f>
        <v>5:20–6:30 م</v>
      </c>
      <c r="C198" s="7">
        <v>1</v>
      </c>
      <c r="D198" s="7" t="s">
        <v>593</v>
      </c>
      <c r="E198" s="7" t="s">
        <v>10</v>
      </c>
      <c r="F198" s="2"/>
    </row>
    <row r="199" spans="1:6" ht="14" customHeight="1">
      <c r="A199" s="8">
        <v>17</v>
      </c>
      <c r="B199" s="7" t="str">
        <f>المدخلات!$F$5</f>
        <v>5:20–6:30 م</v>
      </c>
      <c r="C199" s="7">
        <v>2</v>
      </c>
      <c r="D199" s="7" t="s">
        <v>593</v>
      </c>
      <c r="E199" s="7" t="s">
        <v>56</v>
      </c>
      <c r="F199" s="2"/>
    </row>
    <row r="200" spans="1:6" ht="14" customHeight="1">
      <c r="A200" s="8">
        <v>17</v>
      </c>
      <c r="B200" s="7" t="str">
        <f>المدخلات!$F$6</f>
        <v>6:40–7:50 م</v>
      </c>
      <c r="C200" s="7">
        <v>1</v>
      </c>
      <c r="D200" s="7" t="s">
        <v>593</v>
      </c>
      <c r="E200" s="7" t="s">
        <v>92</v>
      </c>
      <c r="F200" s="2"/>
    </row>
    <row r="201" spans="1:6" ht="14" customHeight="1">
      <c r="A201" s="8">
        <v>17</v>
      </c>
      <c r="B201" s="7" t="str">
        <f>المدخلات!$F$6</f>
        <v>6:40–7:50 م</v>
      </c>
      <c r="C201" s="7">
        <v>2</v>
      </c>
      <c r="D201" s="7" t="s">
        <v>593</v>
      </c>
      <c r="E201" s="7" t="s">
        <v>23</v>
      </c>
      <c r="F201" s="2"/>
    </row>
    <row r="202" spans="1:6" ht="14" customHeight="1">
      <c r="A202" s="8">
        <v>17</v>
      </c>
      <c r="B202" s="7" t="str">
        <f>المدخلات!$F$4</f>
        <v>4:00–5:10 م</v>
      </c>
      <c r="C202" s="7">
        <v>3</v>
      </c>
      <c r="D202" s="7" t="s">
        <v>594</v>
      </c>
      <c r="E202" s="7" t="s">
        <v>229</v>
      </c>
      <c r="F202" s="2"/>
    </row>
    <row r="203" spans="1:6" ht="14" customHeight="1">
      <c r="A203" s="8">
        <v>17</v>
      </c>
      <c r="B203" s="7" t="str">
        <f>المدخلات!$F$4</f>
        <v>4:00–5:10 م</v>
      </c>
      <c r="C203" s="7">
        <v>4</v>
      </c>
      <c r="D203" s="7" t="s">
        <v>594</v>
      </c>
      <c r="E203" s="7" t="s">
        <v>222</v>
      </c>
      <c r="F203" s="2"/>
    </row>
    <row r="204" spans="1:6" ht="14" customHeight="1">
      <c r="A204" s="8">
        <v>17</v>
      </c>
      <c r="B204" s="7" t="str">
        <f>المدخلات!$F$5</f>
        <v>5:20–6:30 م</v>
      </c>
      <c r="C204" s="7">
        <v>3</v>
      </c>
      <c r="D204" s="7" t="s">
        <v>594</v>
      </c>
      <c r="E204" s="7" t="s">
        <v>162</v>
      </c>
      <c r="F204" s="2"/>
    </row>
    <row r="205" spans="1:6" ht="14" customHeight="1">
      <c r="A205" s="8">
        <v>17</v>
      </c>
      <c r="B205" s="7" t="str">
        <f>المدخلات!$F$5</f>
        <v>5:20–6:30 م</v>
      </c>
      <c r="C205" s="7">
        <v>4</v>
      </c>
      <c r="D205" s="7" t="s">
        <v>594</v>
      </c>
      <c r="E205" s="7" t="s">
        <v>815</v>
      </c>
      <c r="F205" s="2"/>
    </row>
    <row r="206" spans="1:6" ht="14" customHeight="1">
      <c r="A206" s="8">
        <v>17</v>
      </c>
      <c r="B206" s="7" t="str">
        <f>المدخلات!$F$6</f>
        <v>6:40–7:50 م</v>
      </c>
      <c r="C206" s="7">
        <v>3</v>
      </c>
      <c r="D206" s="7" t="s">
        <v>594</v>
      </c>
      <c r="E206" s="7" t="s">
        <v>151</v>
      </c>
      <c r="F206" s="2"/>
    </row>
    <row r="207" spans="1:6" ht="14" customHeight="1">
      <c r="A207" s="8">
        <v>17</v>
      </c>
      <c r="B207" s="7" t="str">
        <f>المدخلات!$F$6</f>
        <v>6:40–7:50 م</v>
      </c>
      <c r="C207" s="7">
        <v>4</v>
      </c>
      <c r="D207" s="7" t="s">
        <v>594</v>
      </c>
      <c r="E207" s="7" t="s">
        <v>612</v>
      </c>
      <c r="F207" s="2"/>
    </row>
    <row r="208" spans="1:6" ht="14" customHeight="1">
      <c r="A208" s="8">
        <v>18</v>
      </c>
      <c r="B208" s="7" t="str">
        <f>المدخلات!$F$4</f>
        <v>4:00–5:10 م</v>
      </c>
      <c r="C208" s="7">
        <v>1</v>
      </c>
      <c r="D208" s="7" t="s">
        <v>593</v>
      </c>
      <c r="E208" s="7" t="s">
        <v>90</v>
      </c>
      <c r="F208" s="2"/>
    </row>
    <row r="209" spans="1:6" ht="14" customHeight="1">
      <c r="A209" s="8">
        <v>18</v>
      </c>
      <c r="B209" s="7" t="str">
        <f>المدخلات!$F$4</f>
        <v>4:00–5:10 م</v>
      </c>
      <c r="C209" s="7">
        <v>2</v>
      </c>
      <c r="D209" s="7" t="s">
        <v>593</v>
      </c>
      <c r="E209" s="7" t="s">
        <v>12</v>
      </c>
      <c r="F209" s="2"/>
    </row>
    <row r="210" spans="1:6" ht="14" customHeight="1">
      <c r="A210" s="8">
        <v>18</v>
      </c>
      <c r="B210" s="7" t="str">
        <f>المدخلات!$F$5</f>
        <v>5:20–6:30 م</v>
      </c>
      <c r="C210" s="7">
        <v>1</v>
      </c>
      <c r="D210" s="7" t="s">
        <v>593</v>
      </c>
      <c r="E210" s="7" t="s">
        <v>1044</v>
      </c>
      <c r="F210" s="2"/>
    </row>
    <row r="211" spans="1:6" ht="14" customHeight="1">
      <c r="A211" s="8">
        <v>18</v>
      </c>
      <c r="B211" s="7" t="str">
        <f>المدخلات!$F$5</f>
        <v>5:20–6:30 م</v>
      </c>
      <c r="C211" s="7">
        <v>2</v>
      </c>
      <c r="D211" s="7" t="s">
        <v>593</v>
      </c>
      <c r="E211" s="7" t="s">
        <v>865</v>
      </c>
      <c r="F211" s="2"/>
    </row>
    <row r="212" spans="1:6" ht="14" customHeight="1">
      <c r="A212" s="8">
        <v>18</v>
      </c>
      <c r="B212" s="7" t="str">
        <f>المدخلات!$F$6</f>
        <v>6:40–7:50 م</v>
      </c>
      <c r="C212" s="7">
        <v>1</v>
      </c>
      <c r="D212" s="7" t="s">
        <v>593</v>
      </c>
      <c r="E212" s="7" t="s">
        <v>1042</v>
      </c>
      <c r="F212" s="2"/>
    </row>
    <row r="213" spans="1:6" ht="14" customHeight="1">
      <c r="A213" s="8">
        <v>18</v>
      </c>
      <c r="B213" s="7" t="str">
        <f>المدخلات!$F$4</f>
        <v>4:00–5:10 م</v>
      </c>
      <c r="C213" s="7">
        <v>3</v>
      </c>
      <c r="D213" s="7" t="s">
        <v>594</v>
      </c>
      <c r="E213" s="7" t="s">
        <v>206</v>
      </c>
      <c r="F213" s="2"/>
    </row>
    <row r="214" spans="1:6" ht="14" customHeight="1">
      <c r="A214" s="8">
        <v>18</v>
      </c>
      <c r="B214" s="7" t="str">
        <f>المدخلات!$F$4</f>
        <v>4:00–5:10 م</v>
      </c>
      <c r="C214" s="7">
        <v>4</v>
      </c>
      <c r="D214" s="7" t="s">
        <v>594</v>
      </c>
      <c r="E214" s="7" t="s">
        <v>239</v>
      </c>
      <c r="F214" s="2"/>
    </row>
    <row r="215" spans="1:6" ht="14" customHeight="1">
      <c r="A215" s="8">
        <v>18</v>
      </c>
      <c r="B215" s="7" t="str">
        <f>المدخلات!$F$5</f>
        <v>5:20–6:30 م</v>
      </c>
      <c r="C215" s="7">
        <v>3</v>
      </c>
      <c r="D215" s="7" t="s">
        <v>594</v>
      </c>
      <c r="E215" s="7" t="s">
        <v>189</v>
      </c>
      <c r="F215" s="2"/>
    </row>
    <row r="216" spans="1:6" ht="14" customHeight="1">
      <c r="A216" s="8">
        <v>18</v>
      </c>
      <c r="B216" s="7" t="str">
        <f>المدخلات!$F$5</f>
        <v>5:20–6:30 م</v>
      </c>
      <c r="C216" s="7">
        <v>4</v>
      </c>
      <c r="D216" s="7" t="s">
        <v>594</v>
      </c>
      <c r="E216" s="7" t="s">
        <v>838</v>
      </c>
      <c r="F216" s="2"/>
    </row>
    <row r="217" spans="1:6" ht="14" customHeight="1">
      <c r="A217" s="8">
        <v>18</v>
      </c>
      <c r="B217" s="7" t="str">
        <f>المدخلات!$F$6</f>
        <v>6:40–7:50 م</v>
      </c>
      <c r="C217" s="7">
        <v>3</v>
      </c>
      <c r="D217" s="7" t="s">
        <v>594</v>
      </c>
      <c r="E217" s="7" t="s">
        <v>1151</v>
      </c>
      <c r="F217" s="2"/>
    </row>
    <row r="218" spans="1:6" ht="14" customHeight="1">
      <c r="A218" s="8">
        <v>18</v>
      </c>
      <c r="B218" s="7" t="str">
        <f>المدخلات!$F$6</f>
        <v>6:40–7:50 م</v>
      </c>
      <c r="C218" s="7">
        <v>4</v>
      </c>
      <c r="D218" s="7" t="s">
        <v>594</v>
      </c>
      <c r="E218" s="7" t="s">
        <v>839</v>
      </c>
      <c r="F218" s="2"/>
    </row>
    <row r="219" spans="1:6" ht="14" customHeight="1">
      <c r="A219" s="8">
        <v>19</v>
      </c>
      <c r="B219" s="7" t="str">
        <f>المدخلات!$F$4</f>
        <v>4:00–5:10 م</v>
      </c>
      <c r="C219" s="7">
        <v>1</v>
      </c>
      <c r="D219" s="7" t="s">
        <v>593</v>
      </c>
      <c r="E219" s="7" t="s">
        <v>792</v>
      </c>
      <c r="F219" s="2"/>
    </row>
    <row r="220" spans="1:6" ht="14" customHeight="1">
      <c r="A220" s="8">
        <v>19</v>
      </c>
      <c r="B220" s="7" t="str">
        <f>المدخلات!$F$4</f>
        <v>4:00–5:10 م</v>
      </c>
      <c r="C220" s="7">
        <v>2</v>
      </c>
      <c r="D220" s="7" t="s">
        <v>593</v>
      </c>
      <c r="E220" s="7" t="s">
        <v>1080</v>
      </c>
      <c r="F220" s="2"/>
    </row>
    <row r="221" spans="1:6" ht="14" customHeight="1">
      <c r="A221" s="8">
        <v>19</v>
      </c>
      <c r="B221" s="7" t="str">
        <f>المدخلات!$F$5</f>
        <v>5:20–6:30 م</v>
      </c>
      <c r="C221" s="7">
        <v>1</v>
      </c>
      <c r="D221" s="7" t="s">
        <v>593</v>
      </c>
      <c r="E221" s="7" t="s">
        <v>18</v>
      </c>
      <c r="F221" s="2"/>
    </row>
    <row r="222" spans="1:6" ht="14" customHeight="1">
      <c r="A222" s="8">
        <v>19</v>
      </c>
      <c r="B222" s="7" t="str">
        <f>المدخلات!$F$5</f>
        <v>5:20–6:30 م</v>
      </c>
      <c r="C222" s="7">
        <v>2</v>
      </c>
      <c r="D222" s="7" t="s">
        <v>593</v>
      </c>
      <c r="E222" s="7" t="s">
        <v>1057</v>
      </c>
      <c r="F222" s="2"/>
    </row>
    <row r="223" spans="1:6" ht="14" customHeight="1">
      <c r="A223" s="8">
        <v>19</v>
      </c>
      <c r="B223" s="7" t="str">
        <f>المدخلات!$F$6</f>
        <v>6:40–7:50 م</v>
      </c>
      <c r="C223" s="7">
        <v>1</v>
      </c>
      <c r="D223" s="7" t="s">
        <v>593</v>
      </c>
      <c r="E223" s="7" t="s">
        <v>1050</v>
      </c>
      <c r="F223" s="2"/>
    </row>
    <row r="224" spans="1:6" ht="14" customHeight="1">
      <c r="A224" s="8">
        <v>19</v>
      </c>
      <c r="B224" s="7" t="str">
        <f>المدخلات!$F$6</f>
        <v>6:40–7:50 م</v>
      </c>
      <c r="C224" s="7">
        <v>2</v>
      </c>
      <c r="D224" s="7" t="s">
        <v>593</v>
      </c>
      <c r="E224" s="7" t="s">
        <v>768</v>
      </c>
      <c r="F224" s="2"/>
    </row>
    <row r="225" spans="1:26" ht="14" customHeight="1">
      <c r="A225" s="8">
        <v>20</v>
      </c>
      <c r="B225" s="7" t="str">
        <f>المدخلات!$F$4</f>
        <v>4:00–5:10 م</v>
      </c>
      <c r="C225" s="7">
        <v>1</v>
      </c>
      <c r="D225" s="7" t="s">
        <v>593</v>
      </c>
      <c r="E225" s="7" t="s">
        <v>67</v>
      </c>
      <c r="F225" s="2"/>
    </row>
    <row r="226" spans="1:26" ht="14" customHeight="1">
      <c r="A226" s="8">
        <v>20</v>
      </c>
      <c r="B226" s="7" t="str">
        <f>المدخلات!$F$4</f>
        <v>4:00–5:10 م</v>
      </c>
      <c r="C226" s="7">
        <v>2</v>
      </c>
      <c r="D226" s="7" t="s">
        <v>593</v>
      </c>
      <c r="E226" s="7" t="s">
        <v>1061</v>
      </c>
      <c r="F226" s="2"/>
    </row>
    <row r="227" spans="1:26" ht="14" customHeight="1">
      <c r="A227" s="8">
        <v>20</v>
      </c>
      <c r="B227" s="7" t="str">
        <f>المدخلات!$F$5</f>
        <v>5:20–6:30 م</v>
      </c>
      <c r="C227" s="7">
        <v>1</v>
      </c>
      <c r="D227" s="7" t="s">
        <v>593</v>
      </c>
      <c r="E227" s="7" t="s">
        <v>1065</v>
      </c>
      <c r="F227" s="2"/>
    </row>
    <row r="228" spans="1:26" ht="14" customHeight="1">
      <c r="A228" s="8">
        <v>21</v>
      </c>
      <c r="B228" s="7" t="str">
        <f>المدخلات!$F$4</f>
        <v>4:00–5:10 م</v>
      </c>
      <c r="C228" s="7">
        <v>1</v>
      </c>
      <c r="D228" s="7" t="s">
        <v>593</v>
      </c>
      <c r="E228" s="7" t="s">
        <v>54</v>
      </c>
      <c r="F228" s="2"/>
    </row>
    <row r="229" spans="1:26" ht="14" customHeight="1">
      <c r="A229" s="8">
        <v>22</v>
      </c>
      <c r="B229" s="7" t="str">
        <f>المدخلات!$F$4</f>
        <v>4:00–5:10 م</v>
      </c>
      <c r="C229" s="7">
        <v>1</v>
      </c>
      <c r="D229" s="7" t="s">
        <v>656</v>
      </c>
      <c r="E229" s="7" t="s">
        <v>597</v>
      </c>
      <c r="F229" s="2"/>
    </row>
    <row r="230" spans="1:26" ht="14" customHeight="1">
      <c r="A230" s="2"/>
      <c r="B230" s="2"/>
      <c r="C230" s="2"/>
      <c r="D230" s="2"/>
      <c r="E230" s="2"/>
    </row>
    <row r="231" spans="1:26" ht="14" customHeight="1">
      <c r="A231" s="2"/>
      <c r="B231" s="2"/>
      <c r="C231" s="2"/>
      <c r="D231" s="2"/>
      <c r="E231" s="2"/>
    </row>
    <row r="232" spans="1:26" ht="14" customHeight="1">
      <c r="A232" s="17" t="s">
        <v>828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4" customHeight="1">
      <c r="A233" s="6" t="s">
        <v>829</v>
      </c>
      <c r="B233" s="6">
        <v>1</v>
      </c>
      <c r="C233" s="6">
        <v>2</v>
      </c>
      <c r="D233" s="6">
        <v>3</v>
      </c>
      <c r="E233" s="6">
        <v>4</v>
      </c>
      <c r="F233" s="6">
        <v>5</v>
      </c>
      <c r="G233" s="6">
        <v>6</v>
      </c>
      <c r="H233" s="6">
        <v>7</v>
      </c>
      <c r="I233" s="6">
        <v>8</v>
      </c>
      <c r="J233" s="6">
        <v>9</v>
      </c>
      <c r="K233" s="6">
        <v>10</v>
      </c>
      <c r="L233" s="6">
        <v>11</v>
      </c>
      <c r="M233" s="6">
        <v>12</v>
      </c>
      <c r="N233" s="6">
        <v>13</v>
      </c>
      <c r="O233" s="6">
        <v>14</v>
      </c>
      <c r="P233" s="6">
        <v>15</v>
      </c>
      <c r="Q233" s="6">
        <v>16</v>
      </c>
      <c r="R233" s="6">
        <v>17</v>
      </c>
      <c r="S233" s="6">
        <v>18</v>
      </c>
      <c r="T233" s="6">
        <v>19</v>
      </c>
      <c r="U233" s="6">
        <v>20</v>
      </c>
      <c r="V233" s="6">
        <v>21</v>
      </c>
      <c r="W233" s="6">
        <v>22</v>
      </c>
      <c r="X233" s="6">
        <v>23</v>
      </c>
      <c r="Y233" s="6">
        <v>24</v>
      </c>
      <c r="Z233" s="6">
        <v>25</v>
      </c>
    </row>
    <row r="234" spans="1:26" ht="14" customHeight="1">
      <c r="A234" s="14">
        <v>1</v>
      </c>
      <c r="B234" s="4" t="str">
        <f>IF($A234=B$233,"",COUNTIF($E$4:$E$229,$A234&amp;" ضد "&amp;B$233)+COUNTIF($E$4:$E$229,B$233&amp;" ضد "&amp;$A234))</f>
        <v/>
      </c>
      <c r="C234" s="4">
        <f>IF($A234=C$233,"",COUNTIF($E$4:$E$229,$A234&amp;" ضد "&amp;C$233)+COUNTIF($E$4:$E$229,C$233&amp;" ضد "&amp;$A234))</f>
        <v>2</v>
      </c>
      <c r="D234" s="4">
        <f>IF($A234=D$233,"",COUNTIF($E$4:$E$229,$A234&amp;" ضد "&amp;D$233)+COUNTIF($E$4:$E$229,D$233&amp;" ضد "&amp;$A234))</f>
        <v>2</v>
      </c>
      <c r="E234" s="4">
        <f>IF($A234=E$233,"",COUNTIF($E$4:$E$229,$A234&amp;" ضد "&amp;E$233)+COUNTIF($E$4:$E$229,E$233&amp;" ضد "&amp;$A234))</f>
        <v>2</v>
      </c>
      <c r="F234" s="4">
        <f>IF($A234=F$233,"",COUNTIF($E$4:$E$229,$A234&amp;" ضد "&amp;F$233)+COUNTIF($E$4:$E$229,F$233&amp;" ضد "&amp;$A234))</f>
        <v>1</v>
      </c>
      <c r="G234" s="4">
        <f>IF($A234=G$233,"",COUNTIF($E$4:$E$229,$A234&amp;" ضد "&amp;G$233)+COUNTIF($E$4:$E$229,G$233&amp;" ضد "&amp;$A234))</f>
        <v>1</v>
      </c>
      <c r="H234" s="4">
        <f>IF($A234=H$233,"",COUNTIF($E$4:$E$229,$A234&amp;" ضد "&amp;H$233)+COUNTIF($E$4:$E$229,H$233&amp;" ضد "&amp;$A234))</f>
        <v>1</v>
      </c>
      <c r="I234" s="4">
        <f>IF($A234=I$233,"",COUNTIF($E$4:$E$229,$A234&amp;" ضد "&amp;I$233)+COUNTIF($E$4:$E$229,I$233&amp;" ضد "&amp;$A234))</f>
        <v>1</v>
      </c>
      <c r="J234" s="4">
        <f>IF($A234=J$233,"",COUNTIF($E$4:$E$229,$A234&amp;" ضد "&amp;J$233)+COUNTIF($E$4:$E$229,J$233&amp;" ضد "&amp;$A234))</f>
        <v>1</v>
      </c>
      <c r="K234" s="4">
        <f>IF($A234=K$233,"",COUNTIF($E$4:$E$229,$A234&amp;" ضد "&amp;K$233)+COUNTIF($E$4:$E$229,K$233&amp;" ضد "&amp;$A234))</f>
        <v>1</v>
      </c>
      <c r="L234" s="4">
        <f>IF($A234=L$233,"",COUNTIF($E$4:$E$229,$A234&amp;" ضد "&amp;L$233)+COUNTIF($E$4:$E$229,L$233&amp;" ضد "&amp;$A234))</f>
        <v>2</v>
      </c>
      <c r="M234" s="4">
        <f>IF($A234=M$233,"",COUNTIF($E$4:$E$229,$A234&amp;" ضد "&amp;M$233)+COUNTIF($E$4:$E$229,M$233&amp;" ضد "&amp;$A234))</f>
        <v>2</v>
      </c>
      <c r="N234" s="4">
        <f>IF($A234=N$233,"",COUNTIF($E$4:$E$229,$A234&amp;" ضد "&amp;N$233)+COUNTIF($E$4:$E$229,N$233&amp;" ضد "&amp;$A234))</f>
        <v>2</v>
      </c>
      <c r="O234" s="4">
        <f>IF($A234=O$233,"",COUNTIF($E$4:$E$229,$A234&amp;" ضد "&amp;O$233)+COUNTIF($E$4:$E$229,O$233&amp;" ضد "&amp;$A234))</f>
        <v>0</v>
      </c>
      <c r="P234" s="4">
        <f>IF($A234=P$233,"",COUNTIF($E$4:$E$229,$A234&amp;" ضد "&amp;P$233)+COUNTIF($E$4:$E$229,P$233&amp;" ضد "&amp;$A234))</f>
        <v>0</v>
      </c>
      <c r="Q234" s="4">
        <f>IF($A234=Q$233,"",COUNTIF($E$4:$E$229,$A234&amp;" ضد "&amp;Q$233)+COUNTIF($E$4:$E$229,Q$233&amp;" ضد "&amp;$A234))</f>
        <v>0</v>
      </c>
      <c r="R234" s="4">
        <f>IF($A234=R$233,"",COUNTIF($E$4:$E$229,$A234&amp;" ضد "&amp;R$233)+COUNTIF($E$4:$E$229,R$233&amp;" ضد "&amp;$A234))</f>
        <v>0</v>
      </c>
      <c r="S234" s="4">
        <f>IF($A234=S$233,"",COUNTIF($E$4:$E$229,$A234&amp;" ضد "&amp;S$233)+COUNTIF($E$4:$E$229,S$233&amp;" ضد "&amp;$A234))</f>
        <v>0</v>
      </c>
      <c r="T234" s="4">
        <f>IF($A234=T$233,"",COUNTIF($E$4:$E$229,$A234&amp;" ضد "&amp;T$233)+COUNTIF($E$4:$E$229,T$233&amp;" ضد "&amp;$A234))</f>
        <v>0</v>
      </c>
      <c r="U234" s="4">
        <f>IF($A234=U$233,"",COUNTIF($E$4:$E$229,$A234&amp;" ضد "&amp;U$233)+COUNTIF($E$4:$E$229,U$233&amp;" ضد "&amp;$A234))</f>
        <v>0</v>
      </c>
      <c r="V234" s="4">
        <f>IF($A234=V$233,"",COUNTIF($E$4:$E$229,$A234&amp;" ضد "&amp;V$233)+COUNTIF($E$4:$E$229,V$233&amp;" ضد "&amp;$A234))</f>
        <v>0</v>
      </c>
      <c r="W234" s="4">
        <f>IF($A234=W$233,"",COUNTIF($E$4:$E$229,$A234&amp;" ضد "&amp;W$233)+COUNTIF($E$4:$E$229,W$233&amp;" ضد "&amp;$A234))</f>
        <v>0</v>
      </c>
      <c r="X234" s="4">
        <f>IF($A234=X$233,"",COUNTIF($E$4:$E$229,$A234&amp;" ضد "&amp;X$233)+COUNTIF($E$4:$E$229,X$233&amp;" ضد "&amp;$A234))</f>
        <v>0</v>
      </c>
      <c r="Y234" s="4">
        <f>IF($A234=Y$233,"",COUNTIF($E$4:$E$229,$A234&amp;" ضد "&amp;Y$233)+COUNTIF($E$4:$E$229,Y$233&amp;" ضد "&amp;$A234))</f>
        <v>0</v>
      </c>
      <c r="Z234" s="4">
        <f>IF($A234=Z$233,"",COUNTIF($E$4:$E$229,$A234&amp;" ضد "&amp;Z$233)+COUNTIF($E$4:$E$229,Z$233&amp;" ضد "&amp;$A234))</f>
        <v>0</v>
      </c>
    </row>
    <row r="235" spans="1:26" ht="14" customHeight="1">
      <c r="A235" s="14">
        <v>2</v>
      </c>
      <c r="B235" s="4">
        <f>IF($A235=B$233,"",COUNTIF($E$4:$E$229,$A235&amp;" ضد "&amp;B$233)+COUNTIF($E$4:$E$229,B$233&amp;" ضد "&amp;$A235))</f>
        <v>2</v>
      </c>
      <c r="C235" s="4" t="str">
        <f>IF($A235=C$233,"",COUNTIF($E$4:$E$229,$A235&amp;" ضد "&amp;C$233)+COUNTIF($E$4:$E$229,C$233&amp;" ضد "&amp;$A235))</f>
        <v/>
      </c>
      <c r="D235" s="4">
        <f>IF($A235=D$233,"",COUNTIF($E$4:$E$229,$A235&amp;" ضد "&amp;D$233)+COUNTIF($E$4:$E$229,D$233&amp;" ضد "&amp;$A235))</f>
        <v>2</v>
      </c>
      <c r="E235" s="4">
        <f>IF($A235=E$233,"",COUNTIF($E$4:$E$229,$A235&amp;" ضد "&amp;E$233)+COUNTIF($E$4:$E$229,E$233&amp;" ضد "&amp;$A235))</f>
        <v>2</v>
      </c>
      <c r="F235" s="4">
        <f>IF($A235=F$233,"",COUNTIF($E$4:$E$229,$A235&amp;" ضد "&amp;F$233)+COUNTIF($E$4:$E$229,F$233&amp;" ضد "&amp;$A235))</f>
        <v>2</v>
      </c>
      <c r="G235" s="4">
        <f>IF($A235=G$233,"",COUNTIF($E$4:$E$229,$A235&amp;" ضد "&amp;G$233)+COUNTIF($E$4:$E$229,G$233&amp;" ضد "&amp;$A235))</f>
        <v>1</v>
      </c>
      <c r="H235" s="4">
        <f>IF($A235=H$233,"",COUNTIF($E$4:$E$229,$A235&amp;" ضد "&amp;H$233)+COUNTIF($E$4:$E$229,H$233&amp;" ضد "&amp;$A235))</f>
        <v>1</v>
      </c>
      <c r="I235" s="4">
        <f>IF($A235=I$233,"",COUNTIF($E$4:$E$229,$A235&amp;" ضد "&amp;I$233)+COUNTIF($E$4:$E$229,I$233&amp;" ضد "&amp;$A235))</f>
        <v>1</v>
      </c>
      <c r="J235" s="4">
        <f>IF($A235=J$233,"",COUNTIF($E$4:$E$229,$A235&amp;" ضد "&amp;J$233)+COUNTIF($E$4:$E$229,J$233&amp;" ضد "&amp;$A235))</f>
        <v>1</v>
      </c>
      <c r="K235" s="4">
        <f>IF($A235=K$233,"",COUNTIF($E$4:$E$229,$A235&amp;" ضد "&amp;K$233)+COUNTIF($E$4:$E$229,K$233&amp;" ضد "&amp;$A235))</f>
        <v>1</v>
      </c>
      <c r="L235" s="4">
        <f>IF($A235=L$233,"",COUNTIF($E$4:$E$229,$A235&amp;" ضد "&amp;L$233)+COUNTIF($E$4:$E$229,L$233&amp;" ضد "&amp;$A235))</f>
        <v>1</v>
      </c>
      <c r="M235" s="4">
        <f>IF($A235=M$233,"",COUNTIF($E$4:$E$229,$A235&amp;" ضد "&amp;M$233)+COUNTIF($E$4:$E$229,M$233&amp;" ضد "&amp;$A235))</f>
        <v>2</v>
      </c>
      <c r="N235" s="4">
        <f>IF($A235=N$233,"",COUNTIF($E$4:$E$229,$A235&amp;" ضد "&amp;N$233)+COUNTIF($E$4:$E$229,N$233&amp;" ضد "&amp;$A235))</f>
        <v>2</v>
      </c>
      <c r="O235" s="4">
        <f>IF($A235=O$233,"",COUNTIF($E$4:$E$229,$A235&amp;" ضد "&amp;O$233)+COUNTIF($E$4:$E$229,O$233&amp;" ضد "&amp;$A235))</f>
        <v>0</v>
      </c>
      <c r="P235" s="4">
        <f>IF($A235=P$233,"",COUNTIF($E$4:$E$229,$A235&amp;" ضد "&amp;P$233)+COUNTIF($E$4:$E$229,P$233&amp;" ضد "&amp;$A235))</f>
        <v>0</v>
      </c>
      <c r="Q235" s="4">
        <f>IF($A235=Q$233,"",COUNTIF($E$4:$E$229,$A235&amp;" ضد "&amp;Q$233)+COUNTIF($E$4:$E$229,Q$233&amp;" ضد "&amp;$A235))</f>
        <v>0</v>
      </c>
      <c r="R235" s="4">
        <f>IF($A235=R$233,"",COUNTIF($E$4:$E$229,$A235&amp;" ضد "&amp;R$233)+COUNTIF($E$4:$E$229,R$233&amp;" ضد "&amp;$A235))</f>
        <v>0</v>
      </c>
      <c r="S235" s="4">
        <f>IF($A235=S$233,"",COUNTIF($E$4:$E$229,$A235&amp;" ضد "&amp;S$233)+COUNTIF($E$4:$E$229,S$233&amp;" ضد "&amp;$A235))</f>
        <v>0</v>
      </c>
      <c r="T235" s="4">
        <f>IF($A235=T$233,"",COUNTIF($E$4:$E$229,$A235&amp;" ضد "&amp;T$233)+COUNTIF($E$4:$E$229,T$233&amp;" ضد "&amp;$A235))</f>
        <v>0</v>
      </c>
      <c r="U235" s="4">
        <f>IF($A235=U$233,"",COUNTIF($E$4:$E$229,$A235&amp;" ضد "&amp;U$233)+COUNTIF($E$4:$E$229,U$233&amp;" ضد "&amp;$A235))</f>
        <v>0</v>
      </c>
      <c r="V235" s="4">
        <f>IF($A235=V$233,"",COUNTIF($E$4:$E$229,$A235&amp;" ضد "&amp;V$233)+COUNTIF($E$4:$E$229,V$233&amp;" ضد "&amp;$A235))</f>
        <v>0</v>
      </c>
      <c r="W235" s="4">
        <f>IF($A235=W$233,"",COUNTIF($E$4:$E$229,$A235&amp;" ضد "&amp;W$233)+COUNTIF($E$4:$E$229,W$233&amp;" ضد "&amp;$A235))</f>
        <v>0</v>
      </c>
      <c r="X235" s="4">
        <f>IF($A235=X$233,"",COUNTIF($E$4:$E$229,$A235&amp;" ضد "&amp;X$233)+COUNTIF($E$4:$E$229,X$233&amp;" ضد "&amp;$A235))</f>
        <v>0</v>
      </c>
      <c r="Y235" s="4">
        <f>IF($A235=Y$233,"",COUNTIF($E$4:$E$229,$A235&amp;" ضد "&amp;Y$233)+COUNTIF($E$4:$E$229,Y$233&amp;" ضد "&amp;$A235))</f>
        <v>0</v>
      </c>
      <c r="Z235" s="4">
        <f>IF($A235=Z$233,"",COUNTIF($E$4:$E$229,$A235&amp;" ضد "&amp;Z$233)+COUNTIF($E$4:$E$229,Z$233&amp;" ضد "&amp;$A235))</f>
        <v>0</v>
      </c>
    </row>
    <row r="236" spans="1:26" ht="14" customHeight="1">
      <c r="A236" s="14">
        <v>3</v>
      </c>
      <c r="B236" s="4">
        <f>IF($A236=B$233,"",COUNTIF($E$4:$E$229,$A236&amp;" ضد "&amp;B$233)+COUNTIF($E$4:$E$229,B$233&amp;" ضد "&amp;$A236))</f>
        <v>2</v>
      </c>
      <c r="C236" s="4">
        <f>IF($A236=C$233,"",COUNTIF($E$4:$E$229,$A236&amp;" ضد "&amp;C$233)+COUNTIF($E$4:$E$229,C$233&amp;" ضد "&amp;$A236))</f>
        <v>2</v>
      </c>
      <c r="D236" s="4" t="str">
        <f>IF($A236=D$233,"",COUNTIF($E$4:$E$229,$A236&amp;" ضد "&amp;D$233)+COUNTIF($E$4:$E$229,D$233&amp;" ضد "&amp;$A236))</f>
        <v/>
      </c>
      <c r="E236" s="4">
        <f>IF($A236=E$233,"",COUNTIF($E$4:$E$229,$A236&amp;" ضد "&amp;E$233)+COUNTIF($E$4:$E$229,E$233&amp;" ضد "&amp;$A236))</f>
        <v>2</v>
      </c>
      <c r="F236" s="4">
        <f>IF($A236=F$233,"",COUNTIF($E$4:$E$229,$A236&amp;" ضد "&amp;F$233)+COUNTIF($E$4:$E$229,F$233&amp;" ضد "&amp;$A236))</f>
        <v>2</v>
      </c>
      <c r="G236" s="4">
        <f>IF($A236=G$233,"",COUNTIF($E$4:$E$229,$A236&amp;" ضد "&amp;G$233)+COUNTIF($E$4:$E$229,G$233&amp;" ضد "&amp;$A236))</f>
        <v>2</v>
      </c>
      <c r="H236" s="4">
        <f>IF($A236=H$233,"",COUNTIF($E$4:$E$229,$A236&amp;" ضد "&amp;H$233)+COUNTIF($E$4:$E$229,H$233&amp;" ضد "&amp;$A236))</f>
        <v>1</v>
      </c>
      <c r="I236" s="4">
        <f>IF($A236=I$233,"",COUNTIF($E$4:$E$229,$A236&amp;" ضد "&amp;I$233)+COUNTIF($E$4:$E$229,I$233&amp;" ضد "&amp;$A236))</f>
        <v>1</v>
      </c>
      <c r="J236" s="4">
        <f>IF($A236=J$233,"",COUNTIF($E$4:$E$229,$A236&amp;" ضد "&amp;J$233)+COUNTIF($E$4:$E$229,J$233&amp;" ضد "&amp;$A236))</f>
        <v>1</v>
      </c>
      <c r="K236" s="4">
        <f>IF($A236=K$233,"",COUNTIF($E$4:$E$229,$A236&amp;" ضد "&amp;K$233)+COUNTIF($E$4:$E$229,K$233&amp;" ضد "&amp;$A236))</f>
        <v>1</v>
      </c>
      <c r="L236" s="4">
        <f>IF($A236=L$233,"",COUNTIF($E$4:$E$229,$A236&amp;" ضد "&amp;L$233)+COUNTIF($E$4:$E$229,L$233&amp;" ضد "&amp;$A236))</f>
        <v>1</v>
      </c>
      <c r="M236" s="4">
        <f>IF($A236=M$233,"",COUNTIF($E$4:$E$229,$A236&amp;" ضد "&amp;M$233)+COUNTIF($E$4:$E$229,M$233&amp;" ضد "&amp;$A236))</f>
        <v>1</v>
      </c>
      <c r="N236" s="4">
        <f>IF($A236=N$233,"",COUNTIF($E$4:$E$229,$A236&amp;" ضد "&amp;N$233)+COUNTIF($E$4:$E$229,N$233&amp;" ضد "&amp;$A236))</f>
        <v>2</v>
      </c>
      <c r="O236" s="4">
        <f>IF($A236=O$233,"",COUNTIF($E$4:$E$229,$A236&amp;" ضد "&amp;O$233)+COUNTIF($E$4:$E$229,O$233&amp;" ضد "&amp;$A236))</f>
        <v>0</v>
      </c>
      <c r="P236" s="4">
        <f>IF($A236=P$233,"",COUNTIF($E$4:$E$229,$A236&amp;" ضد "&amp;P$233)+COUNTIF($E$4:$E$229,P$233&amp;" ضد "&amp;$A236))</f>
        <v>0</v>
      </c>
      <c r="Q236" s="4">
        <f>IF($A236=Q$233,"",COUNTIF($E$4:$E$229,$A236&amp;" ضد "&amp;Q$233)+COUNTIF($E$4:$E$229,Q$233&amp;" ضد "&amp;$A236))</f>
        <v>0</v>
      </c>
      <c r="R236" s="4">
        <f>IF($A236=R$233,"",COUNTIF($E$4:$E$229,$A236&amp;" ضد "&amp;R$233)+COUNTIF($E$4:$E$229,R$233&amp;" ضد "&amp;$A236))</f>
        <v>0</v>
      </c>
      <c r="S236" s="4">
        <f>IF($A236=S$233,"",COUNTIF($E$4:$E$229,$A236&amp;" ضد "&amp;S$233)+COUNTIF($E$4:$E$229,S$233&amp;" ضد "&amp;$A236))</f>
        <v>0</v>
      </c>
      <c r="T236" s="4">
        <f>IF($A236=T$233,"",COUNTIF($E$4:$E$229,$A236&amp;" ضد "&amp;T$233)+COUNTIF($E$4:$E$229,T$233&amp;" ضد "&amp;$A236))</f>
        <v>0</v>
      </c>
      <c r="U236" s="4">
        <f>IF($A236=U$233,"",COUNTIF($E$4:$E$229,$A236&amp;" ضد "&amp;U$233)+COUNTIF($E$4:$E$229,U$233&amp;" ضد "&amp;$A236))</f>
        <v>0</v>
      </c>
      <c r="V236" s="4">
        <f>IF($A236=V$233,"",COUNTIF($E$4:$E$229,$A236&amp;" ضد "&amp;V$233)+COUNTIF($E$4:$E$229,V$233&amp;" ضد "&amp;$A236))</f>
        <v>0</v>
      </c>
      <c r="W236" s="4">
        <f>IF($A236=W$233,"",COUNTIF($E$4:$E$229,$A236&amp;" ضد "&amp;W$233)+COUNTIF($E$4:$E$229,W$233&amp;" ضد "&amp;$A236))</f>
        <v>0</v>
      </c>
      <c r="X236" s="4">
        <f>IF($A236=X$233,"",COUNTIF($E$4:$E$229,$A236&amp;" ضد "&amp;X$233)+COUNTIF($E$4:$E$229,X$233&amp;" ضد "&amp;$A236))</f>
        <v>0</v>
      </c>
      <c r="Y236" s="4">
        <f>IF($A236=Y$233,"",COUNTIF($E$4:$E$229,$A236&amp;" ضد "&amp;Y$233)+COUNTIF($E$4:$E$229,Y$233&amp;" ضد "&amp;$A236))</f>
        <v>0</v>
      </c>
      <c r="Z236" s="4">
        <f>IF($A236=Z$233,"",COUNTIF($E$4:$E$229,$A236&amp;" ضد "&amp;Z$233)+COUNTIF($E$4:$E$229,Z$233&amp;" ضد "&amp;$A236))</f>
        <v>0</v>
      </c>
    </row>
    <row r="237" spans="1:26" ht="14" customHeight="1">
      <c r="A237" s="14">
        <v>4</v>
      </c>
      <c r="B237" s="4">
        <f>IF($A237=B$233,"",COUNTIF($E$4:$E$229,$A237&amp;" ضد "&amp;B$233)+COUNTIF($E$4:$E$229,B$233&amp;" ضد "&amp;$A237))</f>
        <v>2</v>
      </c>
      <c r="C237" s="4">
        <f>IF($A237=C$233,"",COUNTIF($E$4:$E$229,$A237&amp;" ضد "&amp;C$233)+COUNTIF($E$4:$E$229,C$233&amp;" ضد "&amp;$A237))</f>
        <v>2</v>
      </c>
      <c r="D237" s="4">
        <f>IF($A237=D$233,"",COUNTIF($E$4:$E$229,$A237&amp;" ضد "&amp;D$233)+COUNTIF($E$4:$E$229,D$233&amp;" ضد "&amp;$A237))</f>
        <v>2</v>
      </c>
      <c r="E237" s="4" t="str">
        <f>IF($A237=E$233,"",COUNTIF($E$4:$E$229,$A237&amp;" ضد "&amp;E$233)+COUNTIF($E$4:$E$229,E$233&amp;" ضد "&amp;$A237))</f>
        <v/>
      </c>
      <c r="F237" s="4">
        <f>IF($A237=F$233,"",COUNTIF($E$4:$E$229,$A237&amp;" ضد "&amp;F$233)+COUNTIF($E$4:$E$229,F$233&amp;" ضد "&amp;$A237))</f>
        <v>2</v>
      </c>
      <c r="G237" s="4">
        <f>IF($A237=G$233,"",COUNTIF($E$4:$E$229,$A237&amp;" ضد "&amp;G$233)+COUNTIF($E$4:$E$229,G$233&amp;" ضد "&amp;$A237))</f>
        <v>2</v>
      </c>
      <c r="H237" s="4">
        <f>IF($A237=H$233,"",COUNTIF($E$4:$E$229,$A237&amp;" ضد "&amp;H$233)+COUNTIF($E$4:$E$229,H$233&amp;" ضد "&amp;$A237))</f>
        <v>2</v>
      </c>
      <c r="I237" s="4">
        <f>IF($A237=I$233,"",COUNTIF($E$4:$E$229,$A237&amp;" ضد "&amp;I$233)+COUNTIF($E$4:$E$229,I$233&amp;" ضد "&amp;$A237))</f>
        <v>1</v>
      </c>
      <c r="J237" s="4">
        <f>IF($A237=J$233,"",COUNTIF($E$4:$E$229,$A237&amp;" ضد "&amp;J$233)+COUNTIF($E$4:$E$229,J$233&amp;" ضد "&amp;$A237))</f>
        <v>1</v>
      </c>
      <c r="K237" s="4">
        <f>IF($A237=K$233,"",COUNTIF($E$4:$E$229,$A237&amp;" ضد "&amp;K$233)+COUNTIF($E$4:$E$229,K$233&amp;" ضد "&amp;$A237))</f>
        <v>1</v>
      </c>
      <c r="L237" s="4">
        <f>IF($A237=L$233,"",COUNTIF($E$4:$E$229,$A237&amp;" ضد "&amp;L$233)+COUNTIF($E$4:$E$229,L$233&amp;" ضد "&amp;$A237))</f>
        <v>1</v>
      </c>
      <c r="M237" s="4">
        <f>IF($A237=M$233,"",COUNTIF($E$4:$E$229,$A237&amp;" ضد "&amp;M$233)+COUNTIF($E$4:$E$229,M$233&amp;" ضد "&amp;$A237))</f>
        <v>1</v>
      </c>
      <c r="N237" s="4">
        <f>IF($A237=N$233,"",COUNTIF($E$4:$E$229,$A237&amp;" ضد "&amp;N$233)+COUNTIF($E$4:$E$229,N$233&amp;" ضد "&amp;$A237))</f>
        <v>1</v>
      </c>
      <c r="O237" s="4">
        <f>IF($A237=O$233,"",COUNTIF($E$4:$E$229,$A237&amp;" ضد "&amp;O$233)+COUNTIF($E$4:$E$229,O$233&amp;" ضد "&amp;$A237))</f>
        <v>0</v>
      </c>
      <c r="P237" s="4">
        <f>IF($A237=P$233,"",COUNTIF($E$4:$E$229,$A237&amp;" ضد "&amp;P$233)+COUNTIF($E$4:$E$229,P$233&amp;" ضد "&amp;$A237))</f>
        <v>0</v>
      </c>
      <c r="Q237" s="4">
        <f>IF($A237=Q$233,"",COUNTIF($E$4:$E$229,$A237&amp;" ضد "&amp;Q$233)+COUNTIF($E$4:$E$229,Q$233&amp;" ضد "&amp;$A237))</f>
        <v>0</v>
      </c>
      <c r="R237" s="4">
        <f>IF($A237=R$233,"",COUNTIF($E$4:$E$229,$A237&amp;" ضد "&amp;R$233)+COUNTIF($E$4:$E$229,R$233&amp;" ضد "&amp;$A237))</f>
        <v>0</v>
      </c>
      <c r="S237" s="4">
        <f>IF($A237=S$233,"",COUNTIF($E$4:$E$229,$A237&amp;" ضد "&amp;S$233)+COUNTIF($E$4:$E$229,S$233&amp;" ضد "&amp;$A237))</f>
        <v>0</v>
      </c>
      <c r="T237" s="4">
        <f>IF($A237=T$233,"",COUNTIF($E$4:$E$229,$A237&amp;" ضد "&amp;T$233)+COUNTIF($E$4:$E$229,T$233&amp;" ضد "&amp;$A237))</f>
        <v>0</v>
      </c>
      <c r="U237" s="4">
        <f>IF($A237=U$233,"",COUNTIF($E$4:$E$229,$A237&amp;" ضد "&amp;U$233)+COUNTIF($E$4:$E$229,U$233&amp;" ضد "&amp;$A237))</f>
        <v>0</v>
      </c>
      <c r="V237" s="4">
        <f>IF($A237=V$233,"",COUNTIF($E$4:$E$229,$A237&amp;" ضد "&amp;V$233)+COUNTIF($E$4:$E$229,V$233&amp;" ضد "&amp;$A237))</f>
        <v>0</v>
      </c>
      <c r="W237" s="4">
        <f>IF($A237=W$233,"",COUNTIF($E$4:$E$229,$A237&amp;" ضد "&amp;W$233)+COUNTIF($E$4:$E$229,W$233&amp;" ضد "&amp;$A237))</f>
        <v>0</v>
      </c>
      <c r="X237" s="4">
        <f>IF($A237=X$233,"",COUNTIF($E$4:$E$229,$A237&amp;" ضد "&amp;X$233)+COUNTIF($E$4:$E$229,X$233&amp;" ضد "&amp;$A237))</f>
        <v>0</v>
      </c>
      <c r="Y237" s="4">
        <f>IF($A237=Y$233,"",COUNTIF($E$4:$E$229,$A237&amp;" ضد "&amp;Y$233)+COUNTIF($E$4:$E$229,Y$233&amp;" ضد "&amp;$A237))</f>
        <v>0</v>
      </c>
      <c r="Z237" s="4">
        <f>IF($A237=Z$233,"",COUNTIF($E$4:$E$229,$A237&amp;" ضد "&amp;Z$233)+COUNTIF($E$4:$E$229,Z$233&amp;" ضد "&amp;$A237))</f>
        <v>0</v>
      </c>
    </row>
    <row r="238" spans="1:26" ht="14" customHeight="1">
      <c r="A238" s="14">
        <v>5</v>
      </c>
      <c r="B238" s="4">
        <f>IF($A238=B$233,"",COUNTIF($E$4:$E$229,$A238&amp;" ضد "&amp;B$233)+COUNTIF($E$4:$E$229,B$233&amp;" ضد "&amp;$A238))</f>
        <v>1</v>
      </c>
      <c r="C238" s="4">
        <f>IF($A238=C$233,"",COUNTIF($E$4:$E$229,$A238&amp;" ضد "&amp;C$233)+COUNTIF($E$4:$E$229,C$233&amp;" ضد "&amp;$A238))</f>
        <v>2</v>
      </c>
      <c r="D238" s="4">
        <f>IF($A238=D$233,"",COUNTIF($E$4:$E$229,$A238&amp;" ضد "&amp;D$233)+COUNTIF($E$4:$E$229,D$233&amp;" ضد "&amp;$A238))</f>
        <v>2</v>
      </c>
      <c r="E238" s="4">
        <f>IF($A238=E$233,"",COUNTIF($E$4:$E$229,$A238&amp;" ضد "&amp;E$233)+COUNTIF($E$4:$E$229,E$233&amp;" ضد "&amp;$A238))</f>
        <v>2</v>
      </c>
      <c r="F238" s="4" t="str">
        <f>IF($A238=F$233,"",COUNTIF($E$4:$E$229,$A238&amp;" ضد "&amp;F$233)+COUNTIF($E$4:$E$229,F$233&amp;" ضد "&amp;$A238))</f>
        <v/>
      </c>
      <c r="G238" s="4">
        <f>IF($A238=G$233,"",COUNTIF($E$4:$E$229,$A238&amp;" ضد "&amp;G$233)+COUNTIF($E$4:$E$229,G$233&amp;" ضد "&amp;$A238))</f>
        <v>2</v>
      </c>
      <c r="H238" s="4">
        <f>IF($A238=H$233,"",COUNTIF($E$4:$E$229,$A238&amp;" ضد "&amp;H$233)+COUNTIF($E$4:$E$229,H$233&amp;" ضد "&amp;$A238))</f>
        <v>2</v>
      </c>
      <c r="I238" s="4">
        <f>IF($A238=I$233,"",COUNTIF($E$4:$E$229,$A238&amp;" ضد "&amp;I$233)+COUNTIF($E$4:$E$229,I$233&amp;" ضد "&amp;$A238))</f>
        <v>2</v>
      </c>
      <c r="J238" s="4">
        <f>IF($A238=J$233,"",COUNTIF($E$4:$E$229,$A238&amp;" ضد "&amp;J$233)+COUNTIF($E$4:$E$229,J$233&amp;" ضد "&amp;$A238))</f>
        <v>1</v>
      </c>
      <c r="K238" s="4">
        <f>IF($A238=K$233,"",COUNTIF($E$4:$E$229,$A238&amp;" ضد "&amp;K$233)+COUNTIF($E$4:$E$229,K$233&amp;" ضد "&amp;$A238))</f>
        <v>1</v>
      </c>
      <c r="L238" s="4">
        <f>IF($A238=L$233,"",COUNTIF($E$4:$E$229,$A238&amp;" ضد "&amp;L$233)+COUNTIF($E$4:$E$229,L$233&amp;" ضد "&amp;$A238))</f>
        <v>1</v>
      </c>
      <c r="M238" s="4">
        <f>IF($A238=M$233,"",COUNTIF($E$4:$E$229,$A238&amp;" ضد "&amp;M$233)+COUNTIF($E$4:$E$229,M$233&amp;" ضد "&amp;$A238))</f>
        <v>1</v>
      </c>
      <c r="N238" s="4">
        <f>IF($A238=N$233,"",COUNTIF($E$4:$E$229,$A238&amp;" ضد "&amp;N$233)+COUNTIF($E$4:$E$229,N$233&amp;" ضد "&amp;$A238))</f>
        <v>1</v>
      </c>
      <c r="O238" s="4">
        <f>IF($A238=O$233,"",COUNTIF($E$4:$E$229,$A238&amp;" ضد "&amp;O$233)+COUNTIF($E$4:$E$229,O$233&amp;" ضد "&amp;$A238))</f>
        <v>0</v>
      </c>
      <c r="P238" s="4">
        <f>IF($A238=P$233,"",COUNTIF($E$4:$E$229,$A238&amp;" ضد "&amp;P$233)+COUNTIF($E$4:$E$229,P$233&amp;" ضد "&amp;$A238))</f>
        <v>0</v>
      </c>
      <c r="Q238" s="4">
        <f>IF($A238=Q$233,"",COUNTIF($E$4:$E$229,$A238&amp;" ضد "&amp;Q$233)+COUNTIF($E$4:$E$229,Q$233&amp;" ضد "&amp;$A238))</f>
        <v>0</v>
      </c>
      <c r="R238" s="4">
        <f>IF($A238=R$233,"",COUNTIF($E$4:$E$229,$A238&amp;" ضد "&amp;R$233)+COUNTIF($E$4:$E$229,R$233&amp;" ضد "&amp;$A238))</f>
        <v>0</v>
      </c>
      <c r="S238" s="4">
        <f>IF($A238=S$233,"",COUNTIF($E$4:$E$229,$A238&amp;" ضد "&amp;S$233)+COUNTIF($E$4:$E$229,S$233&amp;" ضد "&amp;$A238))</f>
        <v>0</v>
      </c>
      <c r="T238" s="4">
        <f>IF($A238=T$233,"",COUNTIF($E$4:$E$229,$A238&amp;" ضد "&amp;T$233)+COUNTIF($E$4:$E$229,T$233&amp;" ضد "&amp;$A238))</f>
        <v>0</v>
      </c>
      <c r="U238" s="4">
        <f>IF($A238=U$233,"",COUNTIF($E$4:$E$229,$A238&amp;" ضد "&amp;U$233)+COUNTIF($E$4:$E$229,U$233&amp;" ضد "&amp;$A238))</f>
        <v>0</v>
      </c>
      <c r="V238" s="4">
        <f>IF($A238=V$233,"",COUNTIF($E$4:$E$229,$A238&amp;" ضد "&amp;V$233)+COUNTIF($E$4:$E$229,V$233&amp;" ضد "&amp;$A238))</f>
        <v>0</v>
      </c>
      <c r="W238" s="4">
        <f>IF($A238=W$233,"",COUNTIF($E$4:$E$229,$A238&amp;" ضد "&amp;W$233)+COUNTIF($E$4:$E$229,W$233&amp;" ضد "&amp;$A238))</f>
        <v>0</v>
      </c>
      <c r="X238" s="4">
        <f>IF($A238=X$233,"",COUNTIF($E$4:$E$229,$A238&amp;" ضد "&amp;X$233)+COUNTIF($E$4:$E$229,X$233&amp;" ضد "&amp;$A238))</f>
        <v>0</v>
      </c>
      <c r="Y238" s="4">
        <f>IF($A238=Y$233,"",COUNTIF($E$4:$E$229,$A238&amp;" ضد "&amp;Y$233)+COUNTIF($E$4:$E$229,Y$233&amp;" ضد "&amp;$A238))</f>
        <v>0</v>
      </c>
      <c r="Z238" s="4">
        <f>IF($A238=Z$233,"",COUNTIF($E$4:$E$229,$A238&amp;" ضد "&amp;Z$233)+COUNTIF($E$4:$E$229,Z$233&amp;" ضد "&amp;$A238))</f>
        <v>0</v>
      </c>
    </row>
    <row r="239" spans="1:26" ht="14" customHeight="1">
      <c r="A239" s="14">
        <v>6</v>
      </c>
      <c r="B239" s="4">
        <f>IF($A239=B$233,"",COUNTIF($E$4:$E$229,$A239&amp;" ضد "&amp;B$233)+COUNTIF($E$4:$E$229,B$233&amp;" ضد "&amp;$A239))</f>
        <v>1</v>
      </c>
      <c r="C239" s="4">
        <f>IF($A239=C$233,"",COUNTIF($E$4:$E$229,$A239&amp;" ضد "&amp;C$233)+COUNTIF($E$4:$E$229,C$233&amp;" ضد "&amp;$A239))</f>
        <v>1</v>
      </c>
      <c r="D239" s="4">
        <f>IF($A239=D$233,"",COUNTIF($E$4:$E$229,$A239&amp;" ضد "&amp;D$233)+COUNTIF($E$4:$E$229,D$233&amp;" ضد "&amp;$A239))</f>
        <v>2</v>
      </c>
      <c r="E239" s="4">
        <f>IF($A239=E$233,"",COUNTIF($E$4:$E$229,$A239&amp;" ضد "&amp;E$233)+COUNTIF($E$4:$E$229,E$233&amp;" ضد "&amp;$A239))</f>
        <v>2</v>
      </c>
      <c r="F239" s="4">
        <f>IF($A239=F$233,"",COUNTIF($E$4:$E$229,$A239&amp;" ضد "&amp;F$233)+COUNTIF($E$4:$E$229,F$233&amp;" ضد "&amp;$A239))</f>
        <v>2</v>
      </c>
      <c r="G239" s="4" t="str">
        <f>IF($A239=G$233,"",COUNTIF($E$4:$E$229,$A239&amp;" ضد "&amp;G$233)+COUNTIF($E$4:$E$229,G$233&amp;" ضد "&amp;$A239))</f>
        <v/>
      </c>
      <c r="H239" s="4">
        <f>IF($A239=H$233,"",COUNTIF($E$4:$E$229,$A239&amp;" ضد "&amp;H$233)+COUNTIF($E$4:$E$229,H$233&amp;" ضد "&amp;$A239))</f>
        <v>2</v>
      </c>
      <c r="I239" s="4">
        <f>IF($A239=I$233,"",COUNTIF($E$4:$E$229,$A239&amp;" ضد "&amp;I$233)+COUNTIF($E$4:$E$229,I$233&amp;" ضد "&amp;$A239))</f>
        <v>2</v>
      </c>
      <c r="J239" s="4">
        <f>IF($A239=J$233,"",COUNTIF($E$4:$E$229,$A239&amp;" ضد "&amp;J$233)+COUNTIF($E$4:$E$229,J$233&amp;" ضد "&amp;$A239))</f>
        <v>2</v>
      </c>
      <c r="K239" s="4">
        <f>IF($A239=K$233,"",COUNTIF($E$4:$E$229,$A239&amp;" ضد "&amp;K$233)+COUNTIF($E$4:$E$229,K$233&amp;" ضد "&amp;$A239))</f>
        <v>1</v>
      </c>
      <c r="L239" s="4">
        <f>IF($A239=L$233,"",COUNTIF($E$4:$E$229,$A239&amp;" ضد "&amp;L$233)+COUNTIF($E$4:$E$229,L$233&amp;" ضد "&amp;$A239))</f>
        <v>1</v>
      </c>
      <c r="M239" s="4">
        <f>IF($A239=M$233,"",COUNTIF($E$4:$E$229,$A239&amp;" ضد "&amp;M$233)+COUNTIF($E$4:$E$229,M$233&amp;" ضد "&amp;$A239))</f>
        <v>1</v>
      </c>
      <c r="N239" s="4">
        <f>IF($A239=N$233,"",COUNTIF($E$4:$E$229,$A239&amp;" ضد "&amp;N$233)+COUNTIF($E$4:$E$229,N$233&amp;" ضد "&amp;$A239))</f>
        <v>1</v>
      </c>
      <c r="O239" s="4">
        <f>IF($A239=O$233,"",COUNTIF($E$4:$E$229,$A239&amp;" ضد "&amp;O$233)+COUNTIF($E$4:$E$229,O$233&amp;" ضد "&amp;$A239))</f>
        <v>0</v>
      </c>
      <c r="P239" s="4">
        <f>IF($A239=P$233,"",COUNTIF($E$4:$E$229,$A239&amp;" ضد "&amp;P$233)+COUNTIF($E$4:$E$229,P$233&amp;" ضد "&amp;$A239))</f>
        <v>0</v>
      </c>
      <c r="Q239" s="4">
        <f>IF($A239=Q$233,"",COUNTIF($E$4:$E$229,$A239&amp;" ضد "&amp;Q$233)+COUNTIF($E$4:$E$229,Q$233&amp;" ضد "&amp;$A239))</f>
        <v>0</v>
      </c>
      <c r="R239" s="4">
        <f>IF($A239=R$233,"",COUNTIF($E$4:$E$229,$A239&amp;" ضد "&amp;R$233)+COUNTIF($E$4:$E$229,R$233&amp;" ضد "&amp;$A239))</f>
        <v>0</v>
      </c>
      <c r="S239" s="4">
        <f>IF($A239=S$233,"",COUNTIF($E$4:$E$229,$A239&amp;" ضد "&amp;S$233)+COUNTIF($E$4:$E$229,S$233&amp;" ضد "&amp;$A239))</f>
        <v>0</v>
      </c>
      <c r="T239" s="4">
        <f>IF($A239=T$233,"",COUNTIF($E$4:$E$229,$A239&amp;" ضد "&amp;T$233)+COUNTIF($E$4:$E$229,T$233&amp;" ضد "&amp;$A239))</f>
        <v>0</v>
      </c>
      <c r="U239" s="4">
        <f>IF($A239=U$233,"",COUNTIF($E$4:$E$229,$A239&amp;" ضد "&amp;U$233)+COUNTIF($E$4:$E$229,U$233&amp;" ضد "&amp;$A239))</f>
        <v>0</v>
      </c>
      <c r="V239" s="4">
        <f>IF($A239=V$233,"",COUNTIF($E$4:$E$229,$A239&amp;" ضد "&amp;V$233)+COUNTIF($E$4:$E$229,V$233&amp;" ضد "&amp;$A239))</f>
        <v>0</v>
      </c>
      <c r="W239" s="4">
        <f>IF($A239=W$233,"",COUNTIF($E$4:$E$229,$A239&amp;" ضد "&amp;W$233)+COUNTIF($E$4:$E$229,W$233&amp;" ضد "&amp;$A239))</f>
        <v>0</v>
      </c>
      <c r="X239" s="4">
        <f>IF($A239=X$233,"",COUNTIF($E$4:$E$229,$A239&amp;" ضد "&amp;X$233)+COUNTIF($E$4:$E$229,X$233&amp;" ضد "&amp;$A239))</f>
        <v>0</v>
      </c>
      <c r="Y239" s="4">
        <f>IF($A239=Y$233,"",COUNTIF($E$4:$E$229,$A239&amp;" ضد "&amp;Y$233)+COUNTIF($E$4:$E$229,Y$233&amp;" ضد "&amp;$A239))</f>
        <v>0</v>
      </c>
      <c r="Z239" s="4">
        <f>IF($A239=Z$233,"",COUNTIF($E$4:$E$229,$A239&amp;" ضد "&amp;Z$233)+COUNTIF($E$4:$E$229,Z$233&amp;" ضد "&amp;$A239))</f>
        <v>0</v>
      </c>
    </row>
    <row r="240" spans="1:26" ht="14" customHeight="1">
      <c r="A240" s="14">
        <v>7</v>
      </c>
      <c r="B240" s="4">
        <f>IF($A240=B$233,"",COUNTIF($E$4:$E$229,$A240&amp;" ضد "&amp;B$233)+COUNTIF($E$4:$E$229,B$233&amp;" ضد "&amp;$A240))</f>
        <v>1</v>
      </c>
      <c r="C240" s="4">
        <f>IF($A240=C$233,"",COUNTIF($E$4:$E$229,$A240&amp;" ضد "&amp;C$233)+COUNTIF($E$4:$E$229,C$233&amp;" ضد "&amp;$A240))</f>
        <v>1</v>
      </c>
      <c r="D240" s="4">
        <f>IF($A240=D$233,"",COUNTIF($E$4:$E$229,$A240&amp;" ضد "&amp;D$233)+COUNTIF($E$4:$E$229,D$233&amp;" ضد "&amp;$A240))</f>
        <v>1</v>
      </c>
      <c r="E240" s="4">
        <f>IF($A240=E$233,"",COUNTIF($E$4:$E$229,$A240&amp;" ضد "&amp;E$233)+COUNTIF($E$4:$E$229,E$233&amp;" ضد "&amp;$A240))</f>
        <v>2</v>
      </c>
      <c r="F240" s="4">
        <f>IF($A240=F$233,"",COUNTIF($E$4:$E$229,$A240&amp;" ضد "&amp;F$233)+COUNTIF($E$4:$E$229,F$233&amp;" ضد "&amp;$A240))</f>
        <v>2</v>
      </c>
      <c r="G240" s="4">
        <f>IF($A240=G$233,"",COUNTIF($E$4:$E$229,$A240&amp;" ضد "&amp;G$233)+COUNTIF($E$4:$E$229,G$233&amp;" ضد "&amp;$A240))</f>
        <v>2</v>
      </c>
      <c r="H240" s="4" t="str">
        <f>IF($A240=H$233,"",COUNTIF($E$4:$E$229,$A240&amp;" ضد "&amp;H$233)+COUNTIF($E$4:$E$229,H$233&amp;" ضد "&amp;$A240))</f>
        <v/>
      </c>
      <c r="I240" s="4">
        <f>IF($A240=I$233,"",COUNTIF($E$4:$E$229,$A240&amp;" ضد "&amp;I$233)+COUNTIF($E$4:$E$229,I$233&amp;" ضد "&amp;$A240))</f>
        <v>2</v>
      </c>
      <c r="J240" s="4">
        <f>IF($A240=J$233,"",COUNTIF($E$4:$E$229,$A240&amp;" ضد "&amp;J$233)+COUNTIF($E$4:$E$229,J$233&amp;" ضد "&amp;$A240))</f>
        <v>2</v>
      </c>
      <c r="K240" s="4">
        <f>IF($A240=K$233,"",COUNTIF($E$4:$E$229,$A240&amp;" ضد "&amp;K$233)+COUNTIF($E$4:$E$229,K$233&amp;" ضد "&amp;$A240))</f>
        <v>2</v>
      </c>
      <c r="L240" s="4">
        <f>IF($A240=L$233,"",COUNTIF($E$4:$E$229,$A240&amp;" ضد "&amp;L$233)+COUNTIF($E$4:$E$229,L$233&amp;" ضد "&amp;$A240))</f>
        <v>1</v>
      </c>
      <c r="M240" s="4">
        <f>IF($A240=M$233,"",COUNTIF($E$4:$E$229,$A240&amp;" ضد "&amp;M$233)+COUNTIF($E$4:$E$229,M$233&amp;" ضد "&amp;$A240))</f>
        <v>1</v>
      </c>
      <c r="N240" s="4">
        <f>IF($A240=N$233,"",COUNTIF($E$4:$E$229,$A240&amp;" ضد "&amp;N$233)+COUNTIF($E$4:$E$229,N$233&amp;" ضد "&amp;$A240))</f>
        <v>1</v>
      </c>
      <c r="O240" s="4">
        <f>IF($A240=O$233,"",COUNTIF($E$4:$E$229,$A240&amp;" ضد "&amp;O$233)+COUNTIF($E$4:$E$229,O$233&amp;" ضد "&amp;$A240))</f>
        <v>0</v>
      </c>
      <c r="P240" s="4">
        <f>IF($A240=P$233,"",COUNTIF($E$4:$E$229,$A240&amp;" ضد "&amp;P$233)+COUNTIF($E$4:$E$229,P$233&amp;" ضد "&amp;$A240))</f>
        <v>0</v>
      </c>
      <c r="Q240" s="4">
        <f>IF($A240=Q$233,"",COUNTIF($E$4:$E$229,$A240&amp;" ضد "&amp;Q$233)+COUNTIF($E$4:$E$229,Q$233&amp;" ضد "&amp;$A240))</f>
        <v>0</v>
      </c>
      <c r="R240" s="4">
        <f>IF($A240=R$233,"",COUNTIF($E$4:$E$229,$A240&amp;" ضد "&amp;R$233)+COUNTIF($E$4:$E$229,R$233&amp;" ضد "&amp;$A240))</f>
        <v>0</v>
      </c>
      <c r="S240" s="4">
        <f>IF($A240=S$233,"",COUNTIF($E$4:$E$229,$A240&amp;" ضد "&amp;S$233)+COUNTIF($E$4:$E$229,S$233&amp;" ضد "&amp;$A240))</f>
        <v>0</v>
      </c>
      <c r="T240" s="4">
        <f>IF($A240=T$233,"",COUNTIF($E$4:$E$229,$A240&amp;" ضد "&amp;T$233)+COUNTIF($E$4:$E$229,T$233&amp;" ضد "&amp;$A240))</f>
        <v>0</v>
      </c>
      <c r="U240" s="4">
        <f>IF($A240=U$233,"",COUNTIF($E$4:$E$229,$A240&amp;" ضد "&amp;U$233)+COUNTIF($E$4:$E$229,U$233&amp;" ضد "&amp;$A240))</f>
        <v>0</v>
      </c>
      <c r="V240" s="4">
        <f>IF($A240=V$233,"",COUNTIF($E$4:$E$229,$A240&amp;" ضد "&amp;V$233)+COUNTIF($E$4:$E$229,V$233&amp;" ضد "&amp;$A240))</f>
        <v>0</v>
      </c>
      <c r="W240" s="4">
        <f>IF($A240=W$233,"",COUNTIF($E$4:$E$229,$A240&amp;" ضد "&amp;W$233)+COUNTIF($E$4:$E$229,W$233&amp;" ضد "&amp;$A240))</f>
        <v>0</v>
      </c>
      <c r="X240" s="4">
        <f>IF($A240=X$233,"",COUNTIF($E$4:$E$229,$A240&amp;" ضد "&amp;X$233)+COUNTIF($E$4:$E$229,X$233&amp;" ضد "&amp;$A240))</f>
        <v>0</v>
      </c>
      <c r="Y240" s="4">
        <f>IF($A240=Y$233,"",COUNTIF($E$4:$E$229,$A240&amp;" ضد "&amp;Y$233)+COUNTIF($E$4:$E$229,Y$233&amp;" ضد "&amp;$A240))</f>
        <v>0</v>
      </c>
      <c r="Z240" s="4">
        <f>IF($A240=Z$233,"",COUNTIF($E$4:$E$229,$A240&amp;" ضد "&amp;Z$233)+COUNTIF($E$4:$E$229,Z$233&amp;" ضد "&amp;$A240))</f>
        <v>0</v>
      </c>
    </row>
    <row r="241" spans="1:26" ht="14" customHeight="1">
      <c r="A241" s="14">
        <v>8</v>
      </c>
      <c r="B241" s="4">
        <f>IF($A241=B$233,"",COUNTIF($E$4:$E$229,$A241&amp;" ضد "&amp;B$233)+COUNTIF($E$4:$E$229,B$233&amp;" ضد "&amp;$A241))</f>
        <v>1</v>
      </c>
      <c r="C241" s="4">
        <f>IF($A241=C$233,"",COUNTIF($E$4:$E$229,$A241&amp;" ضد "&amp;C$233)+COUNTIF($E$4:$E$229,C$233&amp;" ضد "&amp;$A241))</f>
        <v>1</v>
      </c>
      <c r="D241" s="4">
        <f>IF($A241=D$233,"",COUNTIF($E$4:$E$229,$A241&amp;" ضد "&amp;D$233)+COUNTIF($E$4:$E$229,D$233&amp;" ضد "&amp;$A241))</f>
        <v>1</v>
      </c>
      <c r="E241" s="4">
        <f>IF($A241=E$233,"",COUNTIF($E$4:$E$229,$A241&amp;" ضد "&amp;E$233)+COUNTIF($E$4:$E$229,E$233&amp;" ضد "&amp;$A241))</f>
        <v>1</v>
      </c>
      <c r="F241" s="4">
        <f>IF($A241=F$233,"",COUNTIF($E$4:$E$229,$A241&amp;" ضد "&amp;F$233)+COUNTIF($E$4:$E$229,F$233&amp;" ضد "&amp;$A241))</f>
        <v>2</v>
      </c>
      <c r="G241" s="4">
        <f>IF($A241=G$233,"",COUNTIF($E$4:$E$229,$A241&amp;" ضد "&amp;G$233)+COUNTIF($E$4:$E$229,G$233&amp;" ضد "&amp;$A241))</f>
        <v>2</v>
      </c>
      <c r="H241" s="4">
        <f>IF($A241=H$233,"",COUNTIF($E$4:$E$229,$A241&amp;" ضد "&amp;H$233)+COUNTIF($E$4:$E$229,H$233&amp;" ضد "&amp;$A241))</f>
        <v>2</v>
      </c>
      <c r="I241" s="4" t="str">
        <f>IF($A241=I$233,"",COUNTIF($E$4:$E$229,$A241&amp;" ضد "&amp;I$233)+COUNTIF($E$4:$E$229,I$233&amp;" ضد "&amp;$A241))</f>
        <v/>
      </c>
      <c r="J241" s="4">
        <f>IF($A241=J$233,"",COUNTIF($E$4:$E$229,$A241&amp;" ضد "&amp;J$233)+COUNTIF($E$4:$E$229,J$233&amp;" ضد "&amp;$A241))</f>
        <v>2</v>
      </c>
      <c r="K241" s="4">
        <f>IF($A241=K$233,"",COUNTIF($E$4:$E$229,$A241&amp;" ضد "&amp;K$233)+COUNTIF($E$4:$E$229,K$233&amp;" ضد "&amp;$A241))</f>
        <v>2</v>
      </c>
      <c r="L241" s="4">
        <f>IF($A241=L$233,"",COUNTIF($E$4:$E$229,$A241&amp;" ضد "&amp;L$233)+COUNTIF($E$4:$E$229,L$233&amp;" ضد "&amp;$A241))</f>
        <v>2</v>
      </c>
      <c r="M241" s="4">
        <f>IF($A241=M$233,"",COUNTIF($E$4:$E$229,$A241&amp;" ضد "&amp;M$233)+COUNTIF($E$4:$E$229,M$233&amp;" ضد "&amp;$A241))</f>
        <v>1</v>
      </c>
      <c r="N241" s="4">
        <f>IF($A241=N$233,"",COUNTIF($E$4:$E$229,$A241&amp;" ضد "&amp;N$233)+COUNTIF($E$4:$E$229,N$233&amp;" ضد "&amp;$A241))</f>
        <v>1</v>
      </c>
      <c r="O241" s="4">
        <f>IF($A241=O$233,"",COUNTIF($E$4:$E$229,$A241&amp;" ضد "&amp;O$233)+COUNTIF($E$4:$E$229,O$233&amp;" ضد "&amp;$A241))</f>
        <v>0</v>
      </c>
      <c r="P241" s="4">
        <f>IF($A241=P$233,"",COUNTIF($E$4:$E$229,$A241&amp;" ضد "&amp;P$233)+COUNTIF($E$4:$E$229,P$233&amp;" ضد "&amp;$A241))</f>
        <v>0</v>
      </c>
      <c r="Q241" s="4">
        <f>IF($A241=Q$233,"",COUNTIF($E$4:$E$229,$A241&amp;" ضد "&amp;Q$233)+COUNTIF($E$4:$E$229,Q$233&amp;" ضد "&amp;$A241))</f>
        <v>0</v>
      </c>
      <c r="R241" s="4">
        <f>IF($A241=R$233,"",COUNTIF($E$4:$E$229,$A241&amp;" ضد "&amp;R$233)+COUNTIF($E$4:$E$229,R$233&amp;" ضد "&amp;$A241))</f>
        <v>0</v>
      </c>
      <c r="S241" s="4">
        <f>IF($A241=S$233,"",COUNTIF($E$4:$E$229,$A241&amp;" ضد "&amp;S$233)+COUNTIF($E$4:$E$229,S$233&amp;" ضد "&amp;$A241))</f>
        <v>0</v>
      </c>
      <c r="T241" s="4">
        <f>IF($A241=T$233,"",COUNTIF($E$4:$E$229,$A241&amp;" ضد "&amp;T$233)+COUNTIF($E$4:$E$229,T$233&amp;" ضد "&amp;$A241))</f>
        <v>0</v>
      </c>
      <c r="U241" s="4">
        <f>IF($A241=U$233,"",COUNTIF($E$4:$E$229,$A241&amp;" ضد "&amp;U$233)+COUNTIF($E$4:$E$229,U$233&amp;" ضد "&amp;$A241))</f>
        <v>0</v>
      </c>
      <c r="V241" s="4">
        <f>IF($A241=V$233,"",COUNTIF($E$4:$E$229,$A241&amp;" ضد "&amp;V$233)+COUNTIF($E$4:$E$229,V$233&amp;" ضد "&amp;$A241))</f>
        <v>0</v>
      </c>
      <c r="W241" s="4">
        <f>IF($A241=W$233,"",COUNTIF($E$4:$E$229,$A241&amp;" ضد "&amp;W$233)+COUNTIF($E$4:$E$229,W$233&amp;" ضد "&amp;$A241))</f>
        <v>0</v>
      </c>
      <c r="X241" s="4">
        <f>IF($A241=X$233,"",COUNTIF($E$4:$E$229,$A241&amp;" ضد "&amp;X$233)+COUNTIF($E$4:$E$229,X$233&amp;" ضد "&amp;$A241))</f>
        <v>0</v>
      </c>
      <c r="Y241" s="4">
        <f>IF($A241=Y$233,"",COUNTIF($E$4:$E$229,$A241&amp;" ضد "&amp;Y$233)+COUNTIF($E$4:$E$229,Y$233&amp;" ضد "&amp;$A241))</f>
        <v>0</v>
      </c>
      <c r="Z241" s="4">
        <f>IF($A241=Z$233,"",COUNTIF($E$4:$E$229,$A241&amp;" ضد "&amp;Z$233)+COUNTIF($E$4:$E$229,Z$233&amp;" ضد "&amp;$A241))</f>
        <v>0</v>
      </c>
    </row>
    <row r="242" spans="1:26" ht="14" customHeight="1">
      <c r="A242" s="14">
        <v>9</v>
      </c>
      <c r="B242" s="4">
        <f>IF($A242=B$233,"",COUNTIF($E$4:$E$229,$A242&amp;" ضد "&amp;B$233)+COUNTIF($E$4:$E$229,B$233&amp;" ضد "&amp;$A242))</f>
        <v>1</v>
      </c>
      <c r="C242" s="4">
        <f>IF($A242=C$233,"",COUNTIF($E$4:$E$229,$A242&amp;" ضد "&amp;C$233)+COUNTIF($E$4:$E$229,C$233&amp;" ضد "&amp;$A242))</f>
        <v>1</v>
      </c>
      <c r="D242" s="4">
        <f>IF($A242=D$233,"",COUNTIF($E$4:$E$229,$A242&amp;" ضد "&amp;D$233)+COUNTIF($E$4:$E$229,D$233&amp;" ضد "&amp;$A242))</f>
        <v>1</v>
      </c>
      <c r="E242" s="4">
        <f>IF($A242=E$233,"",COUNTIF($E$4:$E$229,$A242&amp;" ضد "&amp;E$233)+COUNTIF($E$4:$E$229,E$233&amp;" ضد "&amp;$A242))</f>
        <v>1</v>
      </c>
      <c r="F242" s="4">
        <f>IF($A242=F$233,"",COUNTIF($E$4:$E$229,$A242&amp;" ضد "&amp;F$233)+COUNTIF($E$4:$E$229,F$233&amp;" ضد "&amp;$A242))</f>
        <v>1</v>
      </c>
      <c r="G242" s="4">
        <f>IF($A242=G$233,"",COUNTIF($E$4:$E$229,$A242&amp;" ضد "&amp;G$233)+COUNTIF($E$4:$E$229,G$233&amp;" ضد "&amp;$A242))</f>
        <v>2</v>
      </c>
      <c r="H242" s="4">
        <f>IF($A242=H$233,"",COUNTIF($E$4:$E$229,$A242&amp;" ضد "&amp;H$233)+COUNTIF($E$4:$E$229,H$233&amp;" ضد "&amp;$A242))</f>
        <v>2</v>
      </c>
      <c r="I242" s="4">
        <f>IF($A242=I$233,"",COUNTIF($E$4:$E$229,$A242&amp;" ضد "&amp;I$233)+COUNTIF($E$4:$E$229,I$233&amp;" ضد "&amp;$A242))</f>
        <v>2</v>
      </c>
      <c r="J242" s="4" t="str">
        <f>IF($A242=J$233,"",COUNTIF($E$4:$E$229,$A242&amp;" ضد "&amp;J$233)+COUNTIF($E$4:$E$229,J$233&amp;" ضد "&amp;$A242))</f>
        <v/>
      </c>
      <c r="K242" s="4">
        <f>IF($A242=K$233,"",COUNTIF($E$4:$E$229,$A242&amp;" ضد "&amp;K$233)+COUNTIF($E$4:$E$229,K$233&amp;" ضد "&amp;$A242))</f>
        <v>2</v>
      </c>
      <c r="L242" s="4">
        <f>IF($A242=L$233,"",COUNTIF($E$4:$E$229,$A242&amp;" ضد "&amp;L$233)+COUNTIF($E$4:$E$229,L$233&amp;" ضد "&amp;$A242))</f>
        <v>2</v>
      </c>
      <c r="M242" s="4">
        <f>IF($A242=M$233,"",COUNTIF($E$4:$E$229,$A242&amp;" ضد "&amp;M$233)+COUNTIF($E$4:$E$229,M$233&amp;" ضد "&amp;$A242))</f>
        <v>2</v>
      </c>
      <c r="N242" s="4">
        <f>IF($A242=N$233,"",COUNTIF($E$4:$E$229,$A242&amp;" ضد "&amp;N$233)+COUNTIF($E$4:$E$229,N$233&amp;" ضد "&amp;$A242))</f>
        <v>1</v>
      </c>
      <c r="O242" s="4">
        <f>IF($A242=O$233,"",COUNTIF($E$4:$E$229,$A242&amp;" ضد "&amp;O$233)+COUNTIF($E$4:$E$229,O$233&amp;" ضد "&amp;$A242))</f>
        <v>0</v>
      </c>
      <c r="P242" s="4">
        <f>IF($A242=P$233,"",COUNTIF($E$4:$E$229,$A242&amp;" ضد "&amp;P$233)+COUNTIF($E$4:$E$229,P$233&amp;" ضد "&amp;$A242))</f>
        <v>0</v>
      </c>
      <c r="Q242" s="4">
        <f>IF($A242=Q$233,"",COUNTIF($E$4:$E$229,$A242&amp;" ضد "&amp;Q$233)+COUNTIF($E$4:$E$229,Q$233&amp;" ضد "&amp;$A242))</f>
        <v>0</v>
      </c>
      <c r="R242" s="4">
        <f>IF($A242=R$233,"",COUNTIF($E$4:$E$229,$A242&amp;" ضد "&amp;R$233)+COUNTIF($E$4:$E$229,R$233&amp;" ضد "&amp;$A242))</f>
        <v>0</v>
      </c>
      <c r="S242" s="4">
        <f>IF($A242=S$233,"",COUNTIF($E$4:$E$229,$A242&amp;" ضد "&amp;S$233)+COUNTIF($E$4:$E$229,S$233&amp;" ضد "&amp;$A242))</f>
        <v>0</v>
      </c>
      <c r="T242" s="4">
        <f>IF($A242=T$233,"",COUNTIF($E$4:$E$229,$A242&amp;" ضد "&amp;T$233)+COUNTIF($E$4:$E$229,T$233&amp;" ضد "&amp;$A242))</f>
        <v>0</v>
      </c>
      <c r="U242" s="4">
        <f>IF($A242=U$233,"",COUNTIF($E$4:$E$229,$A242&amp;" ضد "&amp;U$233)+COUNTIF($E$4:$E$229,U$233&amp;" ضد "&amp;$A242))</f>
        <v>0</v>
      </c>
      <c r="V242" s="4">
        <f>IF($A242=V$233,"",COUNTIF($E$4:$E$229,$A242&amp;" ضد "&amp;V$233)+COUNTIF($E$4:$E$229,V$233&amp;" ضد "&amp;$A242))</f>
        <v>0</v>
      </c>
      <c r="W242" s="4">
        <f>IF($A242=W$233,"",COUNTIF($E$4:$E$229,$A242&amp;" ضد "&amp;W$233)+COUNTIF($E$4:$E$229,W$233&amp;" ضد "&amp;$A242))</f>
        <v>0</v>
      </c>
      <c r="X242" s="4">
        <f>IF($A242=X$233,"",COUNTIF($E$4:$E$229,$A242&amp;" ضد "&amp;X$233)+COUNTIF($E$4:$E$229,X$233&amp;" ضد "&amp;$A242))</f>
        <v>0</v>
      </c>
      <c r="Y242" s="4">
        <f>IF($A242=Y$233,"",COUNTIF($E$4:$E$229,$A242&amp;" ضد "&amp;Y$233)+COUNTIF($E$4:$E$229,Y$233&amp;" ضد "&amp;$A242))</f>
        <v>0</v>
      </c>
      <c r="Z242" s="4">
        <f>IF($A242=Z$233,"",COUNTIF($E$4:$E$229,$A242&amp;" ضد "&amp;Z$233)+COUNTIF($E$4:$E$229,Z$233&amp;" ضد "&amp;$A242))</f>
        <v>0</v>
      </c>
    </row>
    <row r="243" spans="1:26" ht="14" customHeight="1">
      <c r="A243" s="14">
        <v>10</v>
      </c>
      <c r="B243" s="4">
        <f>IF($A243=B$233,"",COUNTIF($E$4:$E$229,$A243&amp;" ضد "&amp;B$233)+COUNTIF($E$4:$E$229,B$233&amp;" ضد "&amp;$A243))</f>
        <v>1</v>
      </c>
      <c r="C243" s="4">
        <f>IF($A243=C$233,"",COUNTIF($E$4:$E$229,$A243&amp;" ضد "&amp;C$233)+COUNTIF($E$4:$E$229,C$233&amp;" ضد "&amp;$A243))</f>
        <v>1</v>
      </c>
      <c r="D243" s="4">
        <f>IF($A243=D$233,"",COUNTIF($E$4:$E$229,$A243&amp;" ضد "&amp;D$233)+COUNTIF($E$4:$E$229,D$233&amp;" ضد "&amp;$A243))</f>
        <v>1</v>
      </c>
      <c r="E243" s="4">
        <f>IF($A243=E$233,"",COUNTIF($E$4:$E$229,$A243&amp;" ضد "&amp;E$233)+COUNTIF($E$4:$E$229,E$233&amp;" ضد "&amp;$A243))</f>
        <v>1</v>
      </c>
      <c r="F243" s="4">
        <f>IF($A243=F$233,"",COUNTIF($E$4:$E$229,$A243&amp;" ضد "&amp;F$233)+COUNTIF($E$4:$E$229,F$233&amp;" ضد "&amp;$A243))</f>
        <v>1</v>
      </c>
      <c r="G243" s="4">
        <f>IF($A243=G$233,"",COUNTIF($E$4:$E$229,$A243&amp;" ضد "&amp;G$233)+COUNTIF($E$4:$E$229,G$233&amp;" ضد "&amp;$A243))</f>
        <v>1</v>
      </c>
      <c r="H243" s="4">
        <f>IF($A243=H$233,"",COUNTIF($E$4:$E$229,$A243&amp;" ضد "&amp;H$233)+COUNTIF($E$4:$E$229,H$233&amp;" ضد "&amp;$A243))</f>
        <v>2</v>
      </c>
      <c r="I243" s="4">
        <f>IF($A243=I$233,"",COUNTIF($E$4:$E$229,$A243&amp;" ضد "&amp;I$233)+COUNTIF($E$4:$E$229,I$233&amp;" ضد "&amp;$A243))</f>
        <v>2</v>
      </c>
      <c r="J243" s="4">
        <f>IF($A243=J$233,"",COUNTIF($E$4:$E$229,$A243&amp;" ضد "&amp;J$233)+COUNTIF($E$4:$E$229,J$233&amp;" ضد "&amp;$A243))</f>
        <v>2</v>
      </c>
      <c r="K243" s="4" t="str">
        <f>IF($A243=K$233,"",COUNTIF($E$4:$E$229,$A243&amp;" ضد "&amp;K$233)+COUNTIF($E$4:$E$229,K$233&amp;" ضد "&amp;$A243))</f>
        <v/>
      </c>
      <c r="L243" s="4">
        <f>IF($A243=L$233,"",COUNTIF($E$4:$E$229,$A243&amp;" ضد "&amp;L$233)+COUNTIF($E$4:$E$229,L$233&amp;" ضد "&amp;$A243))</f>
        <v>2</v>
      </c>
      <c r="M243" s="4">
        <f>IF($A243=M$233,"",COUNTIF($E$4:$E$229,$A243&amp;" ضد "&amp;M$233)+COUNTIF($E$4:$E$229,M$233&amp;" ضد "&amp;$A243))</f>
        <v>2</v>
      </c>
      <c r="N243" s="4">
        <f>IF($A243=N$233,"",COUNTIF($E$4:$E$229,$A243&amp;" ضد "&amp;N$233)+COUNTIF($E$4:$E$229,N$233&amp;" ضد "&amp;$A243))</f>
        <v>2</v>
      </c>
      <c r="O243" s="4">
        <f>IF($A243=O$233,"",COUNTIF($E$4:$E$229,$A243&amp;" ضد "&amp;O$233)+COUNTIF($E$4:$E$229,O$233&amp;" ضد "&amp;$A243))</f>
        <v>0</v>
      </c>
      <c r="P243" s="4">
        <f>IF($A243=P$233,"",COUNTIF($E$4:$E$229,$A243&amp;" ضد "&amp;P$233)+COUNTIF($E$4:$E$229,P$233&amp;" ضد "&amp;$A243))</f>
        <v>0</v>
      </c>
      <c r="Q243" s="4">
        <f>IF($A243=Q$233,"",COUNTIF($E$4:$E$229,$A243&amp;" ضد "&amp;Q$233)+COUNTIF($E$4:$E$229,Q$233&amp;" ضد "&amp;$A243))</f>
        <v>0</v>
      </c>
      <c r="R243" s="4">
        <f>IF($A243=R$233,"",COUNTIF($E$4:$E$229,$A243&amp;" ضد "&amp;R$233)+COUNTIF($E$4:$E$229,R$233&amp;" ضد "&amp;$A243))</f>
        <v>0</v>
      </c>
      <c r="S243" s="4">
        <f>IF($A243=S$233,"",COUNTIF($E$4:$E$229,$A243&amp;" ضد "&amp;S$233)+COUNTIF($E$4:$E$229,S$233&amp;" ضد "&amp;$A243))</f>
        <v>0</v>
      </c>
      <c r="T243" s="4">
        <f>IF($A243=T$233,"",COUNTIF($E$4:$E$229,$A243&amp;" ضد "&amp;T$233)+COUNTIF($E$4:$E$229,T$233&amp;" ضد "&amp;$A243))</f>
        <v>0</v>
      </c>
      <c r="U243" s="4">
        <f>IF($A243=U$233,"",COUNTIF($E$4:$E$229,$A243&amp;" ضد "&amp;U$233)+COUNTIF($E$4:$E$229,U$233&amp;" ضد "&amp;$A243))</f>
        <v>0</v>
      </c>
      <c r="V243" s="4">
        <f>IF($A243=V$233,"",COUNTIF($E$4:$E$229,$A243&amp;" ضد "&amp;V$233)+COUNTIF($E$4:$E$229,V$233&amp;" ضد "&amp;$A243))</f>
        <v>0</v>
      </c>
      <c r="W243" s="4">
        <f>IF($A243=W$233,"",COUNTIF($E$4:$E$229,$A243&amp;" ضد "&amp;W$233)+COUNTIF($E$4:$E$229,W$233&amp;" ضد "&amp;$A243))</f>
        <v>0</v>
      </c>
      <c r="X243" s="4">
        <f>IF($A243=X$233,"",COUNTIF($E$4:$E$229,$A243&amp;" ضد "&amp;X$233)+COUNTIF($E$4:$E$229,X$233&amp;" ضد "&amp;$A243))</f>
        <v>0</v>
      </c>
      <c r="Y243" s="4">
        <f>IF($A243=Y$233,"",COUNTIF($E$4:$E$229,$A243&amp;" ضد "&amp;Y$233)+COUNTIF($E$4:$E$229,Y$233&amp;" ضد "&amp;$A243))</f>
        <v>0</v>
      </c>
      <c r="Z243" s="4">
        <f>IF($A243=Z$233,"",COUNTIF($E$4:$E$229,$A243&amp;" ضد "&amp;Z$233)+COUNTIF($E$4:$E$229,Z$233&amp;" ضد "&amp;$A243))</f>
        <v>0</v>
      </c>
    </row>
    <row r="244" spans="1:26" ht="14" customHeight="1">
      <c r="A244" s="14">
        <v>11</v>
      </c>
      <c r="B244" s="4">
        <f>IF($A244=B$233,"",COUNTIF($E$4:$E$229,$A244&amp;" ضد "&amp;B$233)+COUNTIF($E$4:$E$229,B$233&amp;" ضد "&amp;$A244))</f>
        <v>2</v>
      </c>
      <c r="C244" s="4">
        <f>IF($A244=C$233,"",COUNTIF($E$4:$E$229,$A244&amp;" ضد "&amp;C$233)+COUNTIF($E$4:$E$229,C$233&amp;" ضد "&amp;$A244))</f>
        <v>1</v>
      </c>
      <c r="D244" s="4">
        <f>IF($A244=D$233,"",COUNTIF($E$4:$E$229,$A244&amp;" ضد "&amp;D$233)+COUNTIF($E$4:$E$229,D$233&amp;" ضد "&amp;$A244))</f>
        <v>1</v>
      </c>
      <c r="E244" s="4">
        <f>IF($A244=E$233,"",COUNTIF($E$4:$E$229,$A244&amp;" ضد "&amp;E$233)+COUNTIF($E$4:$E$229,E$233&amp;" ضد "&amp;$A244))</f>
        <v>1</v>
      </c>
      <c r="F244" s="4">
        <f>IF($A244=F$233,"",COUNTIF($E$4:$E$229,$A244&amp;" ضد "&amp;F$233)+COUNTIF($E$4:$E$229,F$233&amp;" ضد "&amp;$A244))</f>
        <v>1</v>
      </c>
      <c r="G244" s="4">
        <f>IF($A244=G$233,"",COUNTIF($E$4:$E$229,$A244&amp;" ضد "&amp;G$233)+COUNTIF($E$4:$E$229,G$233&amp;" ضد "&amp;$A244))</f>
        <v>1</v>
      </c>
      <c r="H244" s="4">
        <f>IF($A244=H$233,"",COUNTIF($E$4:$E$229,$A244&amp;" ضد "&amp;H$233)+COUNTIF($E$4:$E$229,H$233&amp;" ضد "&amp;$A244))</f>
        <v>1</v>
      </c>
      <c r="I244" s="4">
        <f>IF($A244=I$233,"",COUNTIF($E$4:$E$229,$A244&amp;" ضد "&amp;I$233)+COUNTIF($E$4:$E$229,I$233&amp;" ضد "&amp;$A244))</f>
        <v>2</v>
      </c>
      <c r="J244" s="4">
        <f>IF($A244=J$233,"",COUNTIF($E$4:$E$229,$A244&amp;" ضد "&amp;J$233)+COUNTIF($E$4:$E$229,J$233&amp;" ضد "&amp;$A244))</f>
        <v>2</v>
      </c>
      <c r="K244" s="4">
        <f>IF($A244=K$233,"",COUNTIF($E$4:$E$229,$A244&amp;" ضد "&amp;K$233)+COUNTIF($E$4:$E$229,K$233&amp;" ضد "&amp;$A244))</f>
        <v>2</v>
      </c>
      <c r="L244" s="4" t="str">
        <f>IF($A244=L$233,"",COUNTIF($E$4:$E$229,$A244&amp;" ضد "&amp;L$233)+COUNTIF($E$4:$E$229,L$233&amp;" ضد "&amp;$A244))</f>
        <v/>
      </c>
      <c r="M244" s="4">
        <f>IF($A244=M$233,"",COUNTIF($E$4:$E$229,$A244&amp;" ضد "&amp;M$233)+COUNTIF($E$4:$E$229,M$233&amp;" ضد "&amp;$A244))</f>
        <v>2</v>
      </c>
      <c r="N244" s="4">
        <f>IF($A244=N$233,"",COUNTIF($E$4:$E$229,$A244&amp;" ضد "&amp;N$233)+COUNTIF($E$4:$E$229,N$233&amp;" ضد "&amp;$A244))</f>
        <v>2</v>
      </c>
      <c r="O244" s="4">
        <f>IF($A244=O$233,"",COUNTIF($E$4:$E$229,$A244&amp;" ضد "&amp;O$233)+COUNTIF($E$4:$E$229,O$233&amp;" ضد "&amp;$A244))</f>
        <v>0</v>
      </c>
      <c r="P244" s="4">
        <f>IF($A244=P$233,"",COUNTIF($E$4:$E$229,$A244&amp;" ضد "&amp;P$233)+COUNTIF($E$4:$E$229,P$233&amp;" ضد "&amp;$A244))</f>
        <v>0</v>
      </c>
      <c r="Q244" s="4">
        <f>IF($A244=Q$233,"",COUNTIF($E$4:$E$229,$A244&amp;" ضد "&amp;Q$233)+COUNTIF($E$4:$E$229,Q$233&amp;" ضد "&amp;$A244))</f>
        <v>0</v>
      </c>
      <c r="R244" s="4">
        <f>IF($A244=R$233,"",COUNTIF($E$4:$E$229,$A244&amp;" ضد "&amp;R$233)+COUNTIF($E$4:$E$229,R$233&amp;" ضد "&amp;$A244))</f>
        <v>0</v>
      </c>
      <c r="S244" s="4">
        <f>IF($A244=S$233,"",COUNTIF($E$4:$E$229,$A244&amp;" ضد "&amp;S$233)+COUNTIF($E$4:$E$229,S$233&amp;" ضد "&amp;$A244))</f>
        <v>0</v>
      </c>
      <c r="T244" s="4">
        <f>IF($A244=T$233,"",COUNTIF($E$4:$E$229,$A244&amp;" ضد "&amp;T$233)+COUNTIF($E$4:$E$229,T$233&amp;" ضد "&amp;$A244))</f>
        <v>0</v>
      </c>
      <c r="U244" s="4">
        <f>IF($A244=U$233,"",COUNTIF($E$4:$E$229,$A244&amp;" ضد "&amp;U$233)+COUNTIF($E$4:$E$229,U$233&amp;" ضد "&amp;$A244))</f>
        <v>0</v>
      </c>
      <c r="V244" s="4">
        <f>IF($A244=V$233,"",COUNTIF($E$4:$E$229,$A244&amp;" ضد "&amp;V$233)+COUNTIF($E$4:$E$229,V$233&amp;" ضد "&amp;$A244))</f>
        <v>0</v>
      </c>
      <c r="W244" s="4">
        <f>IF($A244=W$233,"",COUNTIF($E$4:$E$229,$A244&amp;" ضد "&amp;W$233)+COUNTIF($E$4:$E$229,W$233&amp;" ضد "&amp;$A244))</f>
        <v>0</v>
      </c>
      <c r="X244" s="4">
        <f>IF($A244=X$233,"",COUNTIF($E$4:$E$229,$A244&amp;" ضد "&amp;X$233)+COUNTIF($E$4:$E$229,X$233&amp;" ضد "&amp;$A244))</f>
        <v>0</v>
      </c>
      <c r="Y244" s="4">
        <f>IF($A244=Y$233,"",COUNTIF($E$4:$E$229,$A244&amp;" ضد "&amp;Y$233)+COUNTIF($E$4:$E$229,Y$233&amp;" ضد "&amp;$A244))</f>
        <v>0</v>
      </c>
      <c r="Z244" s="4">
        <f>IF($A244=Z$233,"",COUNTIF($E$4:$E$229,$A244&amp;" ضد "&amp;Z$233)+COUNTIF($E$4:$E$229,Z$233&amp;" ضد "&amp;$A244))</f>
        <v>0</v>
      </c>
    </row>
    <row r="245" spans="1:26" ht="14" customHeight="1">
      <c r="A245" s="14">
        <v>12</v>
      </c>
      <c r="B245" s="4">
        <f>IF($A245=B$233,"",COUNTIF($E$4:$E$229,$A245&amp;" ضد "&amp;B$233)+COUNTIF($E$4:$E$229,B$233&amp;" ضد "&amp;$A245))</f>
        <v>2</v>
      </c>
      <c r="C245" s="4">
        <f>IF($A245=C$233,"",COUNTIF($E$4:$E$229,$A245&amp;" ضد "&amp;C$233)+COUNTIF($E$4:$E$229,C$233&amp;" ضد "&amp;$A245))</f>
        <v>2</v>
      </c>
      <c r="D245" s="4">
        <f>IF($A245=D$233,"",COUNTIF($E$4:$E$229,$A245&amp;" ضد "&amp;D$233)+COUNTIF($E$4:$E$229,D$233&amp;" ضد "&amp;$A245))</f>
        <v>1</v>
      </c>
      <c r="E245" s="4">
        <f>IF($A245=E$233,"",COUNTIF($E$4:$E$229,$A245&amp;" ضد "&amp;E$233)+COUNTIF($E$4:$E$229,E$233&amp;" ضد "&amp;$A245))</f>
        <v>1</v>
      </c>
      <c r="F245" s="4">
        <f>IF($A245=F$233,"",COUNTIF($E$4:$E$229,$A245&amp;" ضد "&amp;F$233)+COUNTIF($E$4:$E$229,F$233&amp;" ضد "&amp;$A245))</f>
        <v>1</v>
      </c>
      <c r="G245" s="4">
        <f>IF($A245=G$233,"",COUNTIF($E$4:$E$229,$A245&amp;" ضد "&amp;G$233)+COUNTIF($E$4:$E$229,G$233&amp;" ضد "&amp;$A245))</f>
        <v>1</v>
      </c>
      <c r="H245" s="4">
        <f>IF($A245=H$233,"",COUNTIF($E$4:$E$229,$A245&amp;" ضد "&amp;H$233)+COUNTIF($E$4:$E$229,H$233&amp;" ضد "&amp;$A245))</f>
        <v>1</v>
      </c>
      <c r="I245" s="4">
        <f>IF($A245=I$233,"",COUNTIF($E$4:$E$229,$A245&amp;" ضد "&amp;I$233)+COUNTIF($E$4:$E$229,I$233&amp;" ضد "&amp;$A245))</f>
        <v>1</v>
      </c>
      <c r="J245" s="4">
        <f>IF($A245=J$233,"",COUNTIF($E$4:$E$229,$A245&amp;" ضد "&amp;J$233)+COUNTIF($E$4:$E$229,J$233&amp;" ضد "&amp;$A245))</f>
        <v>2</v>
      </c>
      <c r="K245" s="4">
        <f>IF($A245=K$233,"",COUNTIF($E$4:$E$229,$A245&amp;" ضد "&amp;K$233)+COUNTIF($E$4:$E$229,K$233&amp;" ضد "&amp;$A245))</f>
        <v>2</v>
      </c>
      <c r="L245" s="4">
        <f>IF($A245=L$233,"",COUNTIF($E$4:$E$229,$A245&amp;" ضد "&amp;L$233)+COUNTIF($E$4:$E$229,L$233&amp;" ضد "&amp;$A245))</f>
        <v>2</v>
      </c>
      <c r="M245" s="4" t="str">
        <f>IF($A245=M$233,"",COUNTIF($E$4:$E$229,$A245&amp;" ضد "&amp;M$233)+COUNTIF($E$4:$E$229,M$233&amp;" ضد "&amp;$A245))</f>
        <v/>
      </c>
      <c r="N245" s="4">
        <f>IF($A245=N$233,"",COUNTIF($E$4:$E$229,$A245&amp;" ضد "&amp;N$233)+COUNTIF($E$4:$E$229,N$233&amp;" ضد "&amp;$A245))</f>
        <v>2</v>
      </c>
      <c r="O245" s="4">
        <f>IF($A245=O$233,"",COUNTIF($E$4:$E$229,$A245&amp;" ضد "&amp;O$233)+COUNTIF($E$4:$E$229,O$233&amp;" ضد "&amp;$A245))</f>
        <v>0</v>
      </c>
      <c r="P245" s="4">
        <f>IF($A245=P$233,"",COUNTIF($E$4:$E$229,$A245&amp;" ضد "&amp;P$233)+COUNTIF($E$4:$E$229,P$233&amp;" ضد "&amp;$A245))</f>
        <v>0</v>
      </c>
      <c r="Q245" s="4">
        <f>IF($A245=Q$233,"",COUNTIF($E$4:$E$229,$A245&amp;" ضد "&amp;Q$233)+COUNTIF($E$4:$E$229,Q$233&amp;" ضد "&amp;$A245))</f>
        <v>0</v>
      </c>
      <c r="R245" s="4">
        <f>IF($A245=R$233,"",COUNTIF($E$4:$E$229,$A245&amp;" ضد "&amp;R$233)+COUNTIF($E$4:$E$229,R$233&amp;" ضد "&amp;$A245))</f>
        <v>0</v>
      </c>
      <c r="S245" s="4">
        <f>IF($A245=S$233,"",COUNTIF($E$4:$E$229,$A245&amp;" ضد "&amp;S$233)+COUNTIF($E$4:$E$229,S$233&amp;" ضد "&amp;$A245))</f>
        <v>0</v>
      </c>
      <c r="T245" s="4">
        <f>IF($A245=T$233,"",COUNTIF($E$4:$E$229,$A245&amp;" ضد "&amp;T$233)+COUNTIF($E$4:$E$229,T$233&amp;" ضد "&amp;$A245))</f>
        <v>0</v>
      </c>
      <c r="U245" s="4">
        <f>IF($A245=U$233,"",COUNTIF($E$4:$E$229,$A245&amp;" ضد "&amp;U$233)+COUNTIF($E$4:$E$229,U$233&amp;" ضد "&amp;$A245))</f>
        <v>0</v>
      </c>
      <c r="V245" s="4">
        <f>IF($A245=V$233,"",COUNTIF($E$4:$E$229,$A245&amp;" ضد "&amp;V$233)+COUNTIF($E$4:$E$229,V$233&amp;" ضد "&amp;$A245))</f>
        <v>0</v>
      </c>
      <c r="W245" s="4">
        <f>IF($A245=W$233,"",COUNTIF($E$4:$E$229,$A245&amp;" ضد "&amp;W$233)+COUNTIF($E$4:$E$229,W$233&amp;" ضد "&amp;$A245))</f>
        <v>0</v>
      </c>
      <c r="X245" s="4">
        <f>IF($A245=X$233,"",COUNTIF($E$4:$E$229,$A245&amp;" ضد "&amp;X$233)+COUNTIF($E$4:$E$229,X$233&amp;" ضد "&amp;$A245))</f>
        <v>0</v>
      </c>
      <c r="Y245" s="4">
        <f>IF($A245=Y$233,"",COUNTIF($E$4:$E$229,$A245&amp;" ضد "&amp;Y$233)+COUNTIF($E$4:$E$229,Y$233&amp;" ضد "&amp;$A245))</f>
        <v>0</v>
      </c>
      <c r="Z245" s="4">
        <f>IF($A245=Z$233,"",COUNTIF($E$4:$E$229,$A245&amp;" ضد "&amp;Z$233)+COUNTIF($E$4:$E$229,Z$233&amp;" ضد "&amp;$A245))</f>
        <v>0</v>
      </c>
    </row>
    <row r="246" spans="1:26" ht="14" customHeight="1">
      <c r="A246" s="14">
        <v>13</v>
      </c>
      <c r="B246" s="4">
        <f>IF($A246=B$233,"",COUNTIF($E$4:$E$229,$A246&amp;" ضد "&amp;B$233)+COUNTIF($E$4:$E$229,B$233&amp;" ضد "&amp;$A246))</f>
        <v>2</v>
      </c>
      <c r="C246" s="4">
        <f>IF($A246=C$233,"",COUNTIF($E$4:$E$229,$A246&amp;" ضد "&amp;C$233)+COUNTIF($E$4:$E$229,C$233&amp;" ضد "&amp;$A246))</f>
        <v>2</v>
      </c>
      <c r="D246" s="4">
        <f>IF($A246=D$233,"",COUNTIF($E$4:$E$229,$A246&amp;" ضد "&amp;D$233)+COUNTIF($E$4:$E$229,D$233&amp;" ضد "&amp;$A246))</f>
        <v>2</v>
      </c>
      <c r="E246" s="4">
        <f>IF($A246=E$233,"",COUNTIF($E$4:$E$229,$A246&amp;" ضد "&amp;E$233)+COUNTIF($E$4:$E$229,E$233&amp;" ضد "&amp;$A246))</f>
        <v>1</v>
      </c>
      <c r="F246" s="4">
        <f>IF($A246=F$233,"",COUNTIF($E$4:$E$229,$A246&amp;" ضد "&amp;F$233)+COUNTIF($E$4:$E$229,F$233&amp;" ضد "&amp;$A246))</f>
        <v>1</v>
      </c>
      <c r="G246" s="4">
        <f>IF($A246=G$233,"",COUNTIF($E$4:$E$229,$A246&amp;" ضد "&amp;G$233)+COUNTIF($E$4:$E$229,G$233&amp;" ضد "&amp;$A246))</f>
        <v>1</v>
      </c>
      <c r="H246" s="4">
        <f>IF($A246=H$233,"",COUNTIF($E$4:$E$229,$A246&amp;" ضد "&amp;H$233)+COUNTIF($E$4:$E$229,H$233&amp;" ضد "&amp;$A246))</f>
        <v>1</v>
      </c>
      <c r="I246" s="4">
        <f>IF($A246=I$233,"",COUNTIF($E$4:$E$229,$A246&amp;" ضد "&amp;I$233)+COUNTIF($E$4:$E$229,I$233&amp;" ضد "&amp;$A246))</f>
        <v>1</v>
      </c>
      <c r="J246" s="4">
        <f>IF($A246=J$233,"",COUNTIF($E$4:$E$229,$A246&amp;" ضد "&amp;J$233)+COUNTIF($E$4:$E$229,J$233&amp;" ضد "&amp;$A246))</f>
        <v>1</v>
      </c>
      <c r="K246" s="4">
        <f>IF($A246=K$233,"",COUNTIF($E$4:$E$229,$A246&amp;" ضد "&amp;K$233)+COUNTIF($E$4:$E$229,K$233&amp;" ضد "&amp;$A246))</f>
        <v>2</v>
      </c>
      <c r="L246" s="4">
        <f>IF($A246=L$233,"",COUNTIF($E$4:$E$229,$A246&amp;" ضد "&amp;L$233)+COUNTIF($E$4:$E$229,L$233&amp;" ضد "&amp;$A246))</f>
        <v>2</v>
      </c>
      <c r="M246" s="4">
        <f>IF($A246=M$233,"",COUNTIF($E$4:$E$229,$A246&amp;" ضد "&amp;M$233)+COUNTIF($E$4:$E$229,M$233&amp;" ضد "&amp;$A246))</f>
        <v>2</v>
      </c>
      <c r="N246" s="4" t="str">
        <f>IF($A246=N$233,"",COUNTIF($E$4:$E$229,$A246&amp;" ضد "&amp;N$233)+COUNTIF($E$4:$E$229,N$233&amp;" ضد "&amp;$A246))</f>
        <v/>
      </c>
      <c r="O246" s="4">
        <f>IF($A246=O$233,"",COUNTIF($E$4:$E$229,$A246&amp;" ضد "&amp;O$233)+COUNTIF($E$4:$E$229,O$233&amp;" ضد "&amp;$A246))</f>
        <v>0</v>
      </c>
      <c r="P246" s="4">
        <f>IF($A246=P$233,"",COUNTIF($E$4:$E$229,$A246&amp;" ضد "&amp;P$233)+COUNTIF($E$4:$E$229,P$233&amp;" ضد "&amp;$A246))</f>
        <v>0</v>
      </c>
      <c r="Q246" s="4">
        <f>IF($A246=Q$233,"",COUNTIF($E$4:$E$229,$A246&amp;" ضد "&amp;Q$233)+COUNTIF($E$4:$E$229,Q$233&amp;" ضد "&amp;$A246))</f>
        <v>0</v>
      </c>
      <c r="R246" s="4">
        <f>IF($A246=R$233,"",COUNTIF($E$4:$E$229,$A246&amp;" ضد "&amp;R$233)+COUNTIF($E$4:$E$229,R$233&amp;" ضد "&amp;$A246))</f>
        <v>0</v>
      </c>
      <c r="S246" s="4">
        <f>IF($A246=S$233,"",COUNTIF($E$4:$E$229,$A246&amp;" ضد "&amp;S$233)+COUNTIF($E$4:$E$229,S$233&amp;" ضد "&amp;$A246))</f>
        <v>0</v>
      </c>
      <c r="T246" s="4">
        <f>IF($A246=T$233,"",COUNTIF($E$4:$E$229,$A246&amp;" ضد "&amp;T$233)+COUNTIF($E$4:$E$229,T$233&amp;" ضد "&amp;$A246))</f>
        <v>0</v>
      </c>
      <c r="U246" s="4">
        <f>IF($A246=U$233,"",COUNTIF($E$4:$E$229,$A246&amp;" ضد "&amp;U$233)+COUNTIF($E$4:$E$229,U$233&amp;" ضد "&amp;$A246))</f>
        <v>0</v>
      </c>
      <c r="V246" s="4">
        <f>IF($A246=V$233,"",COUNTIF($E$4:$E$229,$A246&amp;" ضد "&amp;V$233)+COUNTIF($E$4:$E$229,V$233&amp;" ضد "&amp;$A246))</f>
        <v>0</v>
      </c>
      <c r="W246" s="4">
        <f>IF($A246=W$233,"",COUNTIF($E$4:$E$229,$A246&amp;" ضد "&amp;W$233)+COUNTIF($E$4:$E$229,W$233&amp;" ضد "&amp;$A246))</f>
        <v>0</v>
      </c>
      <c r="X246" s="4">
        <f>IF($A246=X$233,"",COUNTIF($E$4:$E$229,$A246&amp;" ضد "&amp;X$233)+COUNTIF($E$4:$E$229,X$233&amp;" ضد "&amp;$A246))</f>
        <v>0</v>
      </c>
      <c r="Y246" s="4">
        <f>IF($A246=Y$233,"",COUNTIF($E$4:$E$229,$A246&amp;" ضد "&amp;Y$233)+COUNTIF($E$4:$E$229,Y$233&amp;" ضد "&amp;$A246))</f>
        <v>0</v>
      </c>
      <c r="Z246" s="4">
        <f>IF($A246=Z$233,"",COUNTIF($E$4:$E$229,$A246&amp;" ضد "&amp;Z$233)+COUNTIF($E$4:$E$229,Z$233&amp;" ضد "&amp;$A246))</f>
        <v>0</v>
      </c>
    </row>
    <row r="247" spans="1:26" ht="14" customHeight="1">
      <c r="A247" s="14">
        <v>14</v>
      </c>
      <c r="B247" s="4">
        <f>IF($A247=B$233,"",COUNTIF($E$4:$E$229,$A247&amp;" ضد "&amp;B$233)+COUNTIF($E$4:$E$229,B$233&amp;" ضد "&amp;$A247))</f>
        <v>0</v>
      </c>
      <c r="C247" s="4">
        <f>IF($A247=C$233,"",COUNTIF($E$4:$E$229,$A247&amp;" ضد "&amp;C$233)+COUNTIF($E$4:$E$229,C$233&amp;" ضد "&amp;$A247))</f>
        <v>0</v>
      </c>
      <c r="D247" s="4">
        <f>IF($A247=D$233,"",COUNTIF($E$4:$E$229,$A247&amp;" ضد "&amp;D$233)+COUNTIF($E$4:$E$229,D$233&amp;" ضد "&amp;$A247))</f>
        <v>0</v>
      </c>
      <c r="E247" s="4">
        <f>IF($A247=E$233,"",COUNTIF($E$4:$E$229,$A247&amp;" ضد "&amp;E$233)+COUNTIF($E$4:$E$229,E$233&amp;" ضد "&amp;$A247))</f>
        <v>0</v>
      </c>
      <c r="F247" s="4">
        <f>IF($A247=F$233,"",COUNTIF($E$4:$E$229,$A247&amp;" ضد "&amp;F$233)+COUNTIF($E$4:$E$229,F$233&amp;" ضد "&amp;$A247))</f>
        <v>0</v>
      </c>
      <c r="G247" s="4">
        <f>IF($A247=G$233,"",COUNTIF($E$4:$E$229,$A247&amp;" ضد "&amp;G$233)+COUNTIF($E$4:$E$229,G$233&amp;" ضد "&amp;$A247))</f>
        <v>0</v>
      </c>
      <c r="H247" s="4">
        <f>IF($A247=H$233,"",COUNTIF($E$4:$E$229,$A247&amp;" ضد "&amp;H$233)+COUNTIF($E$4:$E$229,H$233&amp;" ضد "&amp;$A247))</f>
        <v>0</v>
      </c>
      <c r="I247" s="4">
        <f>IF($A247=I$233,"",COUNTIF($E$4:$E$229,$A247&amp;" ضد "&amp;I$233)+COUNTIF($E$4:$E$229,I$233&amp;" ضد "&amp;$A247))</f>
        <v>0</v>
      </c>
      <c r="J247" s="4">
        <f>IF($A247=J$233,"",COUNTIF($E$4:$E$229,$A247&amp;" ضد "&amp;J$233)+COUNTIF($E$4:$E$229,J$233&amp;" ضد "&amp;$A247))</f>
        <v>0</v>
      </c>
      <c r="K247" s="4">
        <f>IF($A247=K$233,"",COUNTIF($E$4:$E$229,$A247&amp;" ضد "&amp;K$233)+COUNTIF($E$4:$E$229,K$233&amp;" ضد "&amp;$A247))</f>
        <v>0</v>
      </c>
      <c r="L247" s="4">
        <f>IF($A247=L$233,"",COUNTIF($E$4:$E$229,$A247&amp;" ضد "&amp;L$233)+COUNTIF($E$4:$E$229,L$233&amp;" ضد "&amp;$A247))</f>
        <v>0</v>
      </c>
      <c r="M247" s="4">
        <f>IF($A247=M$233,"",COUNTIF($E$4:$E$229,$A247&amp;" ضد "&amp;M$233)+COUNTIF($E$4:$E$229,M$233&amp;" ضد "&amp;$A247))</f>
        <v>0</v>
      </c>
      <c r="N247" s="4">
        <f>IF($A247=N$233,"",COUNTIF($E$4:$E$229,$A247&amp;" ضد "&amp;N$233)+COUNTIF($E$4:$E$229,N$233&amp;" ضد "&amp;$A247))</f>
        <v>0</v>
      </c>
      <c r="O247" s="4" t="str">
        <f>IF($A247=O$233,"",COUNTIF($E$4:$E$229,$A247&amp;" ضد "&amp;O$233)+COUNTIF($E$4:$E$229,O$233&amp;" ضد "&amp;$A247))</f>
        <v/>
      </c>
      <c r="P247" s="4">
        <f>IF($A247=P$233,"",COUNTIF($E$4:$E$229,$A247&amp;" ضد "&amp;P$233)+COUNTIF($E$4:$E$229,P$233&amp;" ضد "&amp;$A247))</f>
        <v>1</v>
      </c>
      <c r="Q247" s="4">
        <f>IF($A247=Q$233,"",COUNTIF($E$4:$E$229,$A247&amp;" ضد "&amp;Q$233)+COUNTIF($E$4:$E$229,Q$233&amp;" ضد "&amp;$A247))</f>
        <v>1</v>
      </c>
      <c r="R247" s="4">
        <f>IF($A247=R$233,"",COUNTIF($E$4:$E$229,$A247&amp;" ضد "&amp;R$233)+COUNTIF($E$4:$E$229,R$233&amp;" ضد "&amp;$A247))</f>
        <v>1</v>
      </c>
      <c r="S247" s="4">
        <f>IF($A247=S$233,"",COUNTIF($E$4:$E$229,$A247&amp;" ضد "&amp;S$233)+COUNTIF($E$4:$E$229,S$233&amp;" ضد "&amp;$A247))</f>
        <v>1</v>
      </c>
      <c r="T247" s="4">
        <f>IF($A247=T$233,"",COUNTIF($E$4:$E$229,$A247&amp;" ضد "&amp;T$233)+COUNTIF($E$4:$E$229,T$233&amp;" ضد "&amp;$A247))</f>
        <v>2</v>
      </c>
      <c r="U247" s="4">
        <f>IF($A247=U$233,"",COUNTIF($E$4:$E$229,$A247&amp;" ضد "&amp;U$233)+COUNTIF($E$4:$E$229,U$233&amp;" ضد "&amp;$A247))</f>
        <v>2</v>
      </c>
      <c r="V247" s="4">
        <f>IF($A247=V$233,"",COUNTIF($E$4:$E$229,$A247&amp;" ضد "&amp;V$233)+COUNTIF($E$4:$E$229,V$233&amp;" ضد "&amp;$A247))</f>
        <v>2</v>
      </c>
      <c r="W247" s="4">
        <f>IF($A247=W$233,"",COUNTIF($E$4:$E$229,$A247&amp;" ضد "&amp;W$233)+COUNTIF($E$4:$E$229,W$233&amp;" ضد "&amp;$A247))</f>
        <v>2</v>
      </c>
      <c r="X247" s="4">
        <f>IF($A247=X$233,"",COUNTIF($E$4:$E$229,$A247&amp;" ضد "&amp;X$233)+COUNTIF($E$4:$E$229,X$233&amp;" ضد "&amp;$A247))</f>
        <v>2</v>
      </c>
      <c r="Y247" s="4">
        <f>IF($A247=Y$233,"",COUNTIF($E$4:$E$229,$A247&amp;" ضد "&amp;Y$233)+COUNTIF($E$4:$E$229,Y$233&amp;" ضد "&amp;$A247))</f>
        <v>2</v>
      </c>
      <c r="Z247" s="4">
        <f>IF($A247=Z$233,"",COUNTIF($E$4:$E$229,$A247&amp;" ضد "&amp;Z$233)+COUNTIF($E$4:$E$229,Z$233&amp;" ضد "&amp;$A247))</f>
        <v>2</v>
      </c>
    </row>
    <row r="248" spans="1:26" ht="14" customHeight="1">
      <c r="A248" s="14">
        <v>15</v>
      </c>
      <c r="B248" s="4">
        <f>IF($A248=B$233,"",COUNTIF($E$4:$E$229,$A248&amp;" ضد "&amp;B$233)+COUNTIF($E$4:$E$229,B$233&amp;" ضد "&amp;$A248))</f>
        <v>0</v>
      </c>
      <c r="C248" s="4">
        <f>IF($A248=C$233,"",COUNTIF($E$4:$E$229,$A248&amp;" ضد "&amp;C$233)+COUNTIF($E$4:$E$229,C$233&amp;" ضد "&amp;$A248))</f>
        <v>0</v>
      </c>
      <c r="D248" s="4">
        <f>IF($A248=D$233,"",COUNTIF($E$4:$E$229,$A248&amp;" ضد "&amp;D$233)+COUNTIF($E$4:$E$229,D$233&amp;" ضد "&amp;$A248))</f>
        <v>0</v>
      </c>
      <c r="E248" s="4">
        <f>IF($A248=E$233,"",COUNTIF($E$4:$E$229,$A248&amp;" ضد "&amp;E$233)+COUNTIF($E$4:$E$229,E$233&amp;" ضد "&amp;$A248))</f>
        <v>0</v>
      </c>
      <c r="F248" s="4">
        <f>IF($A248=F$233,"",COUNTIF($E$4:$E$229,$A248&amp;" ضد "&amp;F$233)+COUNTIF($E$4:$E$229,F$233&amp;" ضد "&amp;$A248))</f>
        <v>0</v>
      </c>
      <c r="G248" s="4">
        <f>IF($A248=G$233,"",COUNTIF($E$4:$E$229,$A248&amp;" ضد "&amp;G$233)+COUNTIF($E$4:$E$229,G$233&amp;" ضد "&amp;$A248))</f>
        <v>0</v>
      </c>
      <c r="H248" s="4">
        <f>IF($A248=H$233,"",COUNTIF($E$4:$E$229,$A248&amp;" ضد "&amp;H$233)+COUNTIF($E$4:$E$229,H$233&amp;" ضد "&amp;$A248))</f>
        <v>0</v>
      </c>
      <c r="I248" s="4">
        <f>IF($A248=I$233,"",COUNTIF($E$4:$E$229,$A248&amp;" ضد "&amp;I$233)+COUNTIF($E$4:$E$229,I$233&amp;" ضد "&amp;$A248))</f>
        <v>0</v>
      </c>
      <c r="J248" s="4">
        <f>IF($A248=J$233,"",COUNTIF($E$4:$E$229,$A248&amp;" ضد "&amp;J$233)+COUNTIF($E$4:$E$229,J$233&amp;" ضد "&amp;$A248))</f>
        <v>0</v>
      </c>
      <c r="K248" s="4">
        <f>IF($A248=K$233,"",COUNTIF($E$4:$E$229,$A248&amp;" ضد "&amp;K$233)+COUNTIF($E$4:$E$229,K$233&amp;" ضد "&amp;$A248))</f>
        <v>0</v>
      </c>
      <c r="L248" s="4">
        <f>IF($A248=L$233,"",COUNTIF($E$4:$E$229,$A248&amp;" ضد "&amp;L$233)+COUNTIF($E$4:$E$229,L$233&amp;" ضد "&amp;$A248))</f>
        <v>0</v>
      </c>
      <c r="M248" s="4">
        <f>IF($A248=M$233,"",COUNTIF($E$4:$E$229,$A248&amp;" ضد "&amp;M$233)+COUNTIF($E$4:$E$229,M$233&amp;" ضد "&amp;$A248))</f>
        <v>0</v>
      </c>
      <c r="N248" s="4">
        <f>IF($A248=N$233,"",COUNTIF($E$4:$E$229,$A248&amp;" ضد "&amp;N$233)+COUNTIF($E$4:$E$229,N$233&amp;" ضد "&amp;$A248))</f>
        <v>0</v>
      </c>
      <c r="O248" s="4">
        <f>IF($A248=O$233,"",COUNTIF($E$4:$E$229,$A248&amp;" ضد "&amp;O$233)+COUNTIF($E$4:$E$229,O$233&amp;" ضد "&amp;$A248))</f>
        <v>1</v>
      </c>
      <c r="P248" s="4" t="str">
        <f>IF($A248=P$233,"",COUNTIF($E$4:$E$229,$A248&amp;" ضد "&amp;P$233)+COUNTIF($E$4:$E$229,P$233&amp;" ضد "&amp;$A248))</f>
        <v/>
      </c>
      <c r="Q248" s="4">
        <f>IF($A248=Q$233,"",COUNTIF($E$4:$E$229,$A248&amp;" ضد "&amp;Q$233)+COUNTIF($E$4:$E$229,Q$233&amp;" ضد "&amp;$A248))</f>
        <v>2</v>
      </c>
      <c r="R248" s="4">
        <f>IF($A248=R$233,"",COUNTIF($E$4:$E$229,$A248&amp;" ضد "&amp;R$233)+COUNTIF($E$4:$E$229,R$233&amp;" ضد "&amp;$A248))</f>
        <v>1</v>
      </c>
      <c r="S248" s="4">
        <f>IF($A248=S$233,"",COUNTIF($E$4:$E$229,$A248&amp;" ضد "&amp;S$233)+COUNTIF($E$4:$E$229,S$233&amp;" ضد "&amp;$A248))</f>
        <v>2</v>
      </c>
      <c r="T248" s="4">
        <f>IF($A248=T$233,"",COUNTIF($E$4:$E$229,$A248&amp;" ضد "&amp;T$233)+COUNTIF($E$4:$E$229,T$233&amp;" ضد "&amp;$A248))</f>
        <v>1</v>
      </c>
      <c r="U248" s="4">
        <f>IF($A248=U$233,"",COUNTIF($E$4:$E$229,$A248&amp;" ضد "&amp;U$233)+COUNTIF($E$4:$E$229,U$233&amp;" ضد "&amp;$A248))</f>
        <v>2</v>
      </c>
      <c r="V248" s="4">
        <f>IF($A248=V$233,"",COUNTIF($E$4:$E$229,$A248&amp;" ضد "&amp;V$233)+COUNTIF($E$4:$E$229,V$233&amp;" ضد "&amp;$A248))</f>
        <v>1</v>
      </c>
      <c r="W248" s="4">
        <f>IF($A248=W$233,"",COUNTIF($E$4:$E$229,$A248&amp;" ضد "&amp;W$233)+COUNTIF($E$4:$E$229,W$233&amp;" ضد "&amp;$A248))</f>
        <v>2</v>
      </c>
      <c r="X248" s="4">
        <f>IF($A248=X$233,"",COUNTIF($E$4:$E$229,$A248&amp;" ضد "&amp;X$233)+COUNTIF($E$4:$E$229,X$233&amp;" ضد "&amp;$A248))</f>
        <v>2</v>
      </c>
      <c r="Y248" s="4">
        <f>IF($A248=Y$233,"",COUNTIF($E$4:$E$229,$A248&amp;" ضد "&amp;Y$233)+COUNTIF($E$4:$E$229,Y$233&amp;" ضد "&amp;$A248))</f>
        <v>2</v>
      </c>
      <c r="Z248" s="4">
        <f>IF($A248=Z$233,"",COUNTIF($E$4:$E$229,$A248&amp;" ضد "&amp;Z$233)+COUNTIF($E$4:$E$229,Z$233&amp;" ضد "&amp;$A248))</f>
        <v>2</v>
      </c>
    </row>
    <row r="249" spans="1:26" ht="14" customHeight="1">
      <c r="A249" s="14">
        <v>16</v>
      </c>
      <c r="B249" s="4">
        <f>IF($A249=B$233,"",COUNTIF($E$4:$E$229,$A249&amp;" ضد "&amp;B$233)+COUNTIF($E$4:$E$229,B$233&amp;" ضد "&amp;$A249))</f>
        <v>0</v>
      </c>
      <c r="C249" s="4">
        <f>IF($A249=C$233,"",COUNTIF($E$4:$E$229,$A249&amp;" ضد "&amp;C$233)+COUNTIF($E$4:$E$229,C$233&amp;" ضد "&amp;$A249))</f>
        <v>0</v>
      </c>
      <c r="D249" s="4">
        <f>IF($A249=D$233,"",COUNTIF($E$4:$E$229,$A249&amp;" ضد "&amp;D$233)+COUNTIF($E$4:$E$229,D$233&amp;" ضد "&amp;$A249))</f>
        <v>0</v>
      </c>
      <c r="E249" s="4">
        <f>IF($A249=E$233,"",COUNTIF($E$4:$E$229,$A249&amp;" ضد "&amp;E$233)+COUNTIF($E$4:$E$229,E$233&amp;" ضد "&amp;$A249))</f>
        <v>0</v>
      </c>
      <c r="F249" s="4">
        <f>IF($A249=F$233,"",COUNTIF($E$4:$E$229,$A249&amp;" ضد "&amp;F$233)+COUNTIF($E$4:$E$229,F$233&amp;" ضد "&amp;$A249))</f>
        <v>0</v>
      </c>
      <c r="G249" s="4">
        <f>IF($A249=G$233,"",COUNTIF($E$4:$E$229,$A249&amp;" ضد "&amp;G$233)+COUNTIF($E$4:$E$229,G$233&amp;" ضد "&amp;$A249))</f>
        <v>0</v>
      </c>
      <c r="H249" s="4">
        <f>IF($A249=H$233,"",COUNTIF($E$4:$E$229,$A249&amp;" ضد "&amp;H$233)+COUNTIF($E$4:$E$229,H$233&amp;" ضد "&amp;$A249))</f>
        <v>0</v>
      </c>
      <c r="I249" s="4">
        <f>IF($A249=I$233,"",COUNTIF($E$4:$E$229,$A249&amp;" ضد "&amp;I$233)+COUNTIF($E$4:$E$229,I$233&amp;" ضد "&amp;$A249))</f>
        <v>0</v>
      </c>
      <c r="J249" s="4">
        <f>IF($A249=J$233,"",COUNTIF($E$4:$E$229,$A249&amp;" ضد "&amp;J$233)+COUNTIF($E$4:$E$229,J$233&amp;" ضد "&amp;$A249))</f>
        <v>0</v>
      </c>
      <c r="K249" s="4">
        <f>IF($A249=K$233,"",COUNTIF($E$4:$E$229,$A249&amp;" ضد "&amp;K$233)+COUNTIF($E$4:$E$229,K$233&amp;" ضد "&amp;$A249))</f>
        <v>0</v>
      </c>
      <c r="L249" s="4">
        <f>IF($A249=L$233,"",COUNTIF($E$4:$E$229,$A249&amp;" ضد "&amp;L$233)+COUNTIF($E$4:$E$229,L$233&amp;" ضد "&amp;$A249))</f>
        <v>0</v>
      </c>
      <c r="M249" s="4">
        <f>IF($A249=M$233,"",COUNTIF($E$4:$E$229,$A249&amp;" ضد "&amp;M$233)+COUNTIF($E$4:$E$229,M$233&amp;" ضد "&amp;$A249))</f>
        <v>0</v>
      </c>
      <c r="N249" s="4">
        <f>IF($A249=N$233,"",COUNTIF($E$4:$E$229,$A249&amp;" ضد "&amp;N$233)+COUNTIF($E$4:$E$229,N$233&amp;" ضد "&amp;$A249))</f>
        <v>0</v>
      </c>
      <c r="O249" s="4">
        <f>IF($A249=O$233,"",COUNTIF($E$4:$E$229,$A249&amp;" ضد "&amp;O$233)+COUNTIF($E$4:$E$229,O$233&amp;" ضد "&amp;$A249))</f>
        <v>1</v>
      </c>
      <c r="P249" s="4">
        <f>IF($A249=P$233,"",COUNTIF($E$4:$E$229,$A249&amp;" ضد "&amp;P$233)+COUNTIF($E$4:$E$229,P$233&amp;" ضد "&amp;$A249))</f>
        <v>2</v>
      </c>
      <c r="Q249" s="4" t="str">
        <f>IF($A249=Q$233,"",COUNTIF($E$4:$E$229,$A249&amp;" ضد "&amp;Q$233)+COUNTIF($E$4:$E$229,Q$233&amp;" ضد "&amp;$A249))</f>
        <v/>
      </c>
      <c r="R249" s="4">
        <f>IF($A249=R$233,"",COUNTIF($E$4:$E$229,$A249&amp;" ضد "&amp;R$233)+COUNTIF($E$4:$E$229,R$233&amp;" ضد "&amp;$A249))</f>
        <v>2</v>
      </c>
      <c r="S249" s="4">
        <f>IF($A249=S$233,"",COUNTIF($E$4:$E$229,$A249&amp;" ضد "&amp;S$233)+COUNTIF($E$4:$E$229,S$233&amp;" ضد "&amp;$A249))</f>
        <v>1</v>
      </c>
      <c r="T249" s="4">
        <f>IF($A249=T$233,"",COUNTIF($E$4:$E$229,$A249&amp;" ضد "&amp;T$233)+COUNTIF($E$4:$E$229,T$233&amp;" ضد "&amp;$A249))</f>
        <v>2</v>
      </c>
      <c r="U249" s="4">
        <f>IF($A249=U$233,"",COUNTIF($E$4:$E$229,$A249&amp;" ضد "&amp;U$233)+COUNTIF($E$4:$E$229,U$233&amp;" ضد "&amp;$A249))</f>
        <v>1</v>
      </c>
      <c r="V249" s="4">
        <f>IF($A249=V$233,"",COUNTIF($E$4:$E$229,$A249&amp;" ضد "&amp;V$233)+COUNTIF($E$4:$E$229,V$233&amp;" ضد "&amp;$A249))</f>
        <v>2</v>
      </c>
      <c r="W249" s="4">
        <f>IF($A249=W$233,"",COUNTIF($E$4:$E$229,$A249&amp;" ضد "&amp;W$233)+COUNTIF($E$4:$E$229,W$233&amp;" ضد "&amp;$A249))</f>
        <v>2</v>
      </c>
      <c r="X249" s="4">
        <f>IF($A249=X$233,"",COUNTIF($E$4:$E$229,$A249&amp;" ضد "&amp;X$233)+COUNTIF($E$4:$E$229,X$233&amp;" ضد "&amp;$A249))</f>
        <v>2</v>
      </c>
      <c r="Y249" s="4">
        <f>IF($A249=Y$233,"",COUNTIF($E$4:$E$229,$A249&amp;" ضد "&amp;Y$233)+COUNTIF($E$4:$E$229,Y$233&amp;" ضد "&amp;$A249))</f>
        <v>2</v>
      </c>
      <c r="Z249" s="4">
        <f>IF($A249=Z$233,"",COUNTIF($E$4:$E$229,$A249&amp;" ضد "&amp;Z$233)+COUNTIF($E$4:$E$229,Z$233&amp;" ضد "&amp;$A249))</f>
        <v>1</v>
      </c>
    </row>
    <row r="250" spans="1:26" ht="14.5">
      <c r="A250" s="14">
        <v>17</v>
      </c>
      <c r="B250" s="4">
        <f>IF($A250=B$233,"",COUNTIF($E$4:$E$229,$A250&amp;" ضد "&amp;B$233)+COUNTIF($E$4:$E$229,B$233&amp;" ضد "&amp;$A250))</f>
        <v>0</v>
      </c>
      <c r="C250" s="4">
        <f>IF($A250=C$233,"",COUNTIF($E$4:$E$229,$A250&amp;" ضد "&amp;C$233)+COUNTIF($E$4:$E$229,C$233&amp;" ضد "&amp;$A250))</f>
        <v>0</v>
      </c>
      <c r="D250" s="4">
        <f>IF($A250=D$233,"",COUNTIF($E$4:$E$229,$A250&amp;" ضد "&amp;D$233)+COUNTIF($E$4:$E$229,D$233&amp;" ضد "&amp;$A250))</f>
        <v>0</v>
      </c>
      <c r="E250" s="4">
        <f>IF($A250=E$233,"",COUNTIF($E$4:$E$229,$A250&amp;" ضد "&amp;E$233)+COUNTIF($E$4:$E$229,E$233&amp;" ضد "&amp;$A250))</f>
        <v>0</v>
      </c>
      <c r="F250" s="4">
        <f>IF($A250=F$233,"",COUNTIF($E$4:$E$229,$A250&amp;" ضد "&amp;F$233)+COUNTIF($E$4:$E$229,F$233&amp;" ضد "&amp;$A250))</f>
        <v>0</v>
      </c>
      <c r="G250" s="4">
        <f>IF($A250=G$233,"",COUNTIF($E$4:$E$229,$A250&amp;" ضد "&amp;G$233)+COUNTIF($E$4:$E$229,G$233&amp;" ضد "&amp;$A250))</f>
        <v>0</v>
      </c>
      <c r="H250" s="4">
        <f>IF($A250=H$233,"",COUNTIF($E$4:$E$229,$A250&amp;" ضد "&amp;H$233)+COUNTIF($E$4:$E$229,H$233&amp;" ضد "&amp;$A250))</f>
        <v>0</v>
      </c>
      <c r="I250" s="4">
        <f>IF($A250=I$233,"",COUNTIF($E$4:$E$229,$A250&amp;" ضد "&amp;I$233)+COUNTIF($E$4:$E$229,I$233&amp;" ضد "&amp;$A250))</f>
        <v>0</v>
      </c>
      <c r="J250" s="4">
        <f>IF($A250=J$233,"",COUNTIF($E$4:$E$229,$A250&amp;" ضد "&amp;J$233)+COUNTIF($E$4:$E$229,J$233&amp;" ضد "&amp;$A250))</f>
        <v>0</v>
      </c>
      <c r="K250" s="4">
        <f>IF($A250=K$233,"",COUNTIF($E$4:$E$229,$A250&amp;" ضد "&amp;K$233)+COUNTIF($E$4:$E$229,K$233&amp;" ضد "&amp;$A250))</f>
        <v>0</v>
      </c>
      <c r="L250" s="4">
        <f>IF($A250=L$233,"",COUNTIF($E$4:$E$229,$A250&amp;" ضد "&amp;L$233)+COUNTIF($E$4:$E$229,L$233&amp;" ضد "&amp;$A250))</f>
        <v>0</v>
      </c>
      <c r="M250" s="4">
        <f>IF($A250=M$233,"",COUNTIF($E$4:$E$229,$A250&amp;" ضد "&amp;M$233)+COUNTIF($E$4:$E$229,M$233&amp;" ضد "&amp;$A250))</f>
        <v>0</v>
      </c>
      <c r="N250" s="4">
        <f>IF($A250=N$233,"",COUNTIF($E$4:$E$229,$A250&amp;" ضد "&amp;N$233)+COUNTIF($E$4:$E$229,N$233&amp;" ضد "&amp;$A250))</f>
        <v>0</v>
      </c>
      <c r="O250" s="4">
        <f>IF($A250=O$233,"",COUNTIF($E$4:$E$229,$A250&amp;" ضد "&amp;O$233)+COUNTIF($E$4:$E$229,O$233&amp;" ضد "&amp;$A250))</f>
        <v>1</v>
      </c>
      <c r="P250" s="4">
        <f>IF($A250=P$233,"",COUNTIF($E$4:$E$229,$A250&amp;" ضد "&amp;P$233)+COUNTIF($E$4:$E$229,P$233&amp;" ضد "&amp;$A250))</f>
        <v>1</v>
      </c>
      <c r="Q250" s="4">
        <f>IF($A250=Q$233,"",COUNTIF($E$4:$E$229,$A250&amp;" ضد "&amp;Q$233)+COUNTIF($E$4:$E$229,Q$233&amp;" ضد "&amp;$A250))</f>
        <v>2</v>
      </c>
      <c r="R250" s="4" t="str">
        <f>IF($A250=R$233,"",COUNTIF($E$4:$E$229,$A250&amp;" ضد "&amp;R$233)+COUNTIF($E$4:$E$229,R$233&amp;" ضد "&amp;$A250))</f>
        <v/>
      </c>
      <c r="S250" s="4">
        <f>IF($A250=S$233,"",COUNTIF($E$4:$E$229,$A250&amp;" ضد "&amp;S$233)+COUNTIF($E$4:$E$229,S$233&amp;" ضد "&amp;$A250))</f>
        <v>2</v>
      </c>
      <c r="T250" s="4">
        <f>IF($A250=T$233,"",COUNTIF($E$4:$E$229,$A250&amp;" ضد "&amp;T$233)+COUNTIF($E$4:$E$229,T$233&amp;" ضد "&amp;$A250))</f>
        <v>1</v>
      </c>
      <c r="U250" s="4">
        <f>IF($A250=U$233,"",COUNTIF($E$4:$E$229,$A250&amp;" ضد "&amp;U$233)+COUNTIF($E$4:$E$229,U$233&amp;" ضد "&amp;$A250))</f>
        <v>2</v>
      </c>
      <c r="V250" s="4">
        <f>IF($A250=V$233,"",COUNTIF($E$4:$E$229,$A250&amp;" ضد "&amp;V$233)+COUNTIF($E$4:$E$229,V$233&amp;" ضد "&amp;$A250))</f>
        <v>2</v>
      </c>
      <c r="W250" s="4">
        <f>IF($A250=W$233,"",COUNTIF($E$4:$E$229,$A250&amp;" ضد "&amp;W$233)+COUNTIF($E$4:$E$229,W$233&amp;" ضد "&amp;$A250))</f>
        <v>2</v>
      </c>
      <c r="X250" s="4">
        <f>IF($A250=X$233,"",COUNTIF($E$4:$E$229,$A250&amp;" ضد "&amp;X$233)+COUNTIF($E$4:$E$229,X$233&amp;" ضد "&amp;$A250))</f>
        <v>2</v>
      </c>
      <c r="Y250" s="4">
        <f>IF($A250=Y$233,"",COUNTIF($E$4:$E$229,$A250&amp;" ضد "&amp;Y$233)+COUNTIF($E$4:$E$229,Y$233&amp;" ضد "&amp;$A250))</f>
        <v>1</v>
      </c>
      <c r="Z250" s="4">
        <f>IF($A250=Z$233,"",COUNTIF($E$4:$E$229,$A250&amp;" ضد "&amp;Z$233)+COUNTIF($E$4:$E$229,Z$233&amp;" ضد "&amp;$A250))</f>
        <v>2</v>
      </c>
    </row>
    <row r="251" spans="1:26" ht="14.5">
      <c r="A251" s="14">
        <v>18</v>
      </c>
      <c r="B251" s="4">
        <f>IF($A251=B$233,"",COUNTIF($E$4:$E$229,$A251&amp;" ضد "&amp;B$233)+COUNTIF($E$4:$E$229,B$233&amp;" ضد "&amp;$A251))</f>
        <v>0</v>
      </c>
      <c r="C251" s="4">
        <f>IF($A251=C$233,"",COUNTIF($E$4:$E$229,$A251&amp;" ضد "&amp;C$233)+COUNTIF($E$4:$E$229,C$233&amp;" ضد "&amp;$A251))</f>
        <v>0</v>
      </c>
      <c r="D251" s="4">
        <f>IF($A251=D$233,"",COUNTIF($E$4:$E$229,$A251&amp;" ضد "&amp;D$233)+COUNTIF($E$4:$E$229,D$233&amp;" ضد "&amp;$A251))</f>
        <v>0</v>
      </c>
      <c r="E251" s="4">
        <f>IF($A251=E$233,"",COUNTIF($E$4:$E$229,$A251&amp;" ضد "&amp;E$233)+COUNTIF($E$4:$E$229,E$233&amp;" ضد "&amp;$A251))</f>
        <v>0</v>
      </c>
      <c r="F251" s="4">
        <f>IF($A251=F$233,"",COUNTIF($E$4:$E$229,$A251&amp;" ضد "&amp;F$233)+COUNTIF($E$4:$E$229,F$233&amp;" ضد "&amp;$A251))</f>
        <v>0</v>
      </c>
      <c r="G251" s="4">
        <f>IF($A251=G$233,"",COUNTIF($E$4:$E$229,$A251&amp;" ضد "&amp;G$233)+COUNTIF($E$4:$E$229,G$233&amp;" ضد "&amp;$A251))</f>
        <v>0</v>
      </c>
      <c r="H251" s="4">
        <f>IF($A251=H$233,"",COUNTIF($E$4:$E$229,$A251&amp;" ضد "&amp;H$233)+COUNTIF($E$4:$E$229,H$233&amp;" ضد "&amp;$A251))</f>
        <v>0</v>
      </c>
      <c r="I251" s="4">
        <f>IF($A251=I$233,"",COUNTIF($E$4:$E$229,$A251&amp;" ضد "&amp;I$233)+COUNTIF($E$4:$E$229,I$233&amp;" ضد "&amp;$A251))</f>
        <v>0</v>
      </c>
      <c r="J251" s="4">
        <f>IF($A251=J$233,"",COUNTIF($E$4:$E$229,$A251&amp;" ضد "&amp;J$233)+COUNTIF($E$4:$E$229,J$233&amp;" ضد "&amp;$A251))</f>
        <v>0</v>
      </c>
      <c r="K251" s="4">
        <f>IF($A251=K$233,"",COUNTIF($E$4:$E$229,$A251&amp;" ضد "&amp;K$233)+COUNTIF($E$4:$E$229,K$233&amp;" ضد "&amp;$A251))</f>
        <v>0</v>
      </c>
      <c r="L251" s="4">
        <f>IF($A251=L$233,"",COUNTIF($E$4:$E$229,$A251&amp;" ضد "&amp;L$233)+COUNTIF($E$4:$E$229,L$233&amp;" ضد "&amp;$A251))</f>
        <v>0</v>
      </c>
      <c r="M251" s="4">
        <f>IF($A251=M$233,"",COUNTIF($E$4:$E$229,$A251&amp;" ضد "&amp;M$233)+COUNTIF($E$4:$E$229,M$233&amp;" ضد "&amp;$A251))</f>
        <v>0</v>
      </c>
      <c r="N251" s="4">
        <f>IF($A251=N$233,"",COUNTIF($E$4:$E$229,$A251&amp;" ضد "&amp;N$233)+COUNTIF($E$4:$E$229,N$233&amp;" ضد "&amp;$A251))</f>
        <v>0</v>
      </c>
      <c r="O251" s="4">
        <f>IF($A251=O$233,"",COUNTIF($E$4:$E$229,$A251&amp;" ضد "&amp;O$233)+COUNTIF($E$4:$E$229,O$233&amp;" ضد "&amp;$A251))</f>
        <v>1</v>
      </c>
      <c r="P251" s="4">
        <f>IF($A251=P$233,"",COUNTIF($E$4:$E$229,$A251&amp;" ضد "&amp;P$233)+COUNTIF($E$4:$E$229,P$233&amp;" ضد "&amp;$A251))</f>
        <v>2</v>
      </c>
      <c r="Q251" s="4">
        <f>IF($A251=Q$233,"",COUNTIF($E$4:$E$229,$A251&amp;" ضد "&amp;Q$233)+COUNTIF($E$4:$E$229,Q$233&amp;" ضد "&amp;$A251))</f>
        <v>1</v>
      </c>
      <c r="R251" s="4">
        <f>IF($A251=R$233,"",COUNTIF($E$4:$E$229,$A251&amp;" ضد "&amp;R$233)+COUNTIF($E$4:$E$229,R$233&amp;" ضد "&amp;$A251))</f>
        <v>2</v>
      </c>
      <c r="S251" s="4" t="str">
        <f>IF($A251=S$233,"",COUNTIF($E$4:$E$229,$A251&amp;" ضد "&amp;S$233)+COUNTIF($E$4:$E$229,S$233&amp;" ضد "&amp;$A251))</f>
        <v/>
      </c>
      <c r="T251" s="4">
        <f>IF($A251=T$233,"",COUNTIF($E$4:$E$229,$A251&amp;" ضد "&amp;T$233)+COUNTIF($E$4:$E$229,T$233&amp;" ضد "&amp;$A251))</f>
        <v>2</v>
      </c>
      <c r="U251" s="4">
        <f>IF($A251=U$233,"",COUNTIF($E$4:$E$229,$A251&amp;" ضد "&amp;U$233)+COUNTIF($E$4:$E$229,U$233&amp;" ضد "&amp;$A251))</f>
        <v>2</v>
      </c>
      <c r="V251" s="4">
        <f>IF($A251=V$233,"",COUNTIF($E$4:$E$229,$A251&amp;" ضد "&amp;V$233)+COUNTIF($E$4:$E$229,V$233&amp;" ضد "&amp;$A251))</f>
        <v>2</v>
      </c>
      <c r="W251" s="4">
        <f>IF($A251=W$233,"",COUNTIF($E$4:$E$229,$A251&amp;" ضد "&amp;W$233)+COUNTIF($E$4:$E$229,W$233&amp;" ضد "&amp;$A251))</f>
        <v>2</v>
      </c>
      <c r="X251" s="4">
        <f>IF($A251=X$233,"",COUNTIF($E$4:$E$229,$A251&amp;" ضد "&amp;X$233)+COUNTIF($E$4:$E$229,X$233&amp;" ضد "&amp;$A251))</f>
        <v>1</v>
      </c>
      <c r="Y251" s="4">
        <f>IF($A251=Y$233,"",COUNTIF($E$4:$E$229,$A251&amp;" ضد "&amp;Y$233)+COUNTIF($E$4:$E$229,Y$233&amp;" ضد "&amp;$A251))</f>
        <v>2</v>
      </c>
      <c r="Z251" s="4">
        <f>IF($A251=Z$233,"",COUNTIF($E$4:$E$229,$A251&amp;" ضد "&amp;Z$233)+COUNTIF($E$4:$E$229,Z$233&amp;" ضد "&amp;$A251))</f>
        <v>1</v>
      </c>
    </row>
    <row r="252" spans="1:26" ht="14.5">
      <c r="A252" s="14">
        <v>19</v>
      </c>
      <c r="B252" s="4">
        <f>IF($A252=B$233,"",COUNTIF($E$4:$E$229,$A252&amp;" ضد "&amp;B$233)+COUNTIF($E$4:$E$229,B$233&amp;" ضد "&amp;$A252))</f>
        <v>0</v>
      </c>
      <c r="C252" s="4">
        <f>IF($A252=C$233,"",COUNTIF($E$4:$E$229,$A252&amp;" ضد "&amp;C$233)+COUNTIF($E$4:$E$229,C$233&amp;" ضد "&amp;$A252))</f>
        <v>0</v>
      </c>
      <c r="D252" s="4">
        <f>IF($A252=D$233,"",COUNTIF($E$4:$E$229,$A252&amp;" ضد "&amp;D$233)+COUNTIF($E$4:$E$229,D$233&amp;" ضد "&amp;$A252))</f>
        <v>0</v>
      </c>
      <c r="E252" s="4">
        <f>IF($A252=E$233,"",COUNTIF($E$4:$E$229,$A252&amp;" ضد "&amp;E$233)+COUNTIF($E$4:$E$229,E$233&amp;" ضد "&amp;$A252))</f>
        <v>0</v>
      </c>
      <c r="F252" s="4">
        <f>IF($A252=F$233,"",COUNTIF($E$4:$E$229,$A252&amp;" ضد "&amp;F$233)+COUNTIF($E$4:$E$229,F$233&amp;" ضد "&amp;$A252))</f>
        <v>0</v>
      </c>
      <c r="G252" s="4">
        <f>IF($A252=G$233,"",COUNTIF($E$4:$E$229,$A252&amp;" ضد "&amp;G$233)+COUNTIF($E$4:$E$229,G$233&amp;" ضد "&amp;$A252))</f>
        <v>0</v>
      </c>
      <c r="H252" s="4">
        <f>IF($A252=H$233,"",COUNTIF($E$4:$E$229,$A252&amp;" ضد "&amp;H$233)+COUNTIF($E$4:$E$229,H$233&amp;" ضد "&amp;$A252))</f>
        <v>0</v>
      </c>
      <c r="I252" s="4">
        <f>IF($A252=I$233,"",COUNTIF($E$4:$E$229,$A252&amp;" ضد "&amp;I$233)+COUNTIF($E$4:$E$229,I$233&amp;" ضد "&amp;$A252))</f>
        <v>0</v>
      </c>
      <c r="J252" s="4">
        <f>IF($A252=J$233,"",COUNTIF($E$4:$E$229,$A252&amp;" ضد "&amp;J$233)+COUNTIF($E$4:$E$229,J$233&amp;" ضد "&amp;$A252))</f>
        <v>0</v>
      </c>
      <c r="K252" s="4">
        <f>IF($A252=K$233,"",COUNTIF($E$4:$E$229,$A252&amp;" ضد "&amp;K$233)+COUNTIF($E$4:$E$229,K$233&amp;" ضد "&amp;$A252))</f>
        <v>0</v>
      </c>
      <c r="L252" s="4">
        <f>IF($A252=L$233,"",COUNTIF($E$4:$E$229,$A252&amp;" ضد "&amp;L$233)+COUNTIF($E$4:$E$229,L$233&amp;" ضد "&amp;$A252))</f>
        <v>0</v>
      </c>
      <c r="M252" s="4">
        <f>IF($A252=M$233,"",COUNTIF($E$4:$E$229,$A252&amp;" ضد "&amp;M$233)+COUNTIF($E$4:$E$229,M$233&amp;" ضد "&amp;$A252))</f>
        <v>0</v>
      </c>
      <c r="N252" s="4">
        <f>IF($A252=N$233,"",COUNTIF($E$4:$E$229,$A252&amp;" ضد "&amp;N$233)+COUNTIF($E$4:$E$229,N$233&amp;" ضد "&amp;$A252))</f>
        <v>0</v>
      </c>
      <c r="O252" s="4">
        <f>IF($A252=O$233,"",COUNTIF($E$4:$E$229,$A252&amp;" ضد "&amp;O$233)+COUNTIF($E$4:$E$229,O$233&amp;" ضد "&amp;$A252))</f>
        <v>2</v>
      </c>
      <c r="P252" s="4">
        <f>IF($A252=P$233,"",COUNTIF($E$4:$E$229,$A252&amp;" ضد "&amp;P$233)+COUNTIF($E$4:$E$229,P$233&amp;" ضد "&amp;$A252))</f>
        <v>1</v>
      </c>
      <c r="Q252" s="4">
        <f>IF($A252=Q$233,"",COUNTIF($E$4:$E$229,$A252&amp;" ضد "&amp;Q$233)+COUNTIF($E$4:$E$229,Q$233&amp;" ضد "&amp;$A252))</f>
        <v>2</v>
      </c>
      <c r="R252" s="4">
        <f>IF($A252=R$233,"",COUNTIF($E$4:$E$229,$A252&amp;" ضد "&amp;R$233)+COUNTIF($E$4:$E$229,R$233&amp;" ضد "&amp;$A252))</f>
        <v>1</v>
      </c>
      <c r="S252" s="4">
        <f>IF($A252=S$233,"",COUNTIF($E$4:$E$229,$A252&amp;" ضد "&amp;S$233)+COUNTIF($E$4:$E$229,S$233&amp;" ضد "&amp;$A252))</f>
        <v>2</v>
      </c>
      <c r="T252" s="4" t="str">
        <f>IF($A252=T$233,"",COUNTIF($E$4:$E$229,$A252&amp;" ضد "&amp;T$233)+COUNTIF($E$4:$E$229,T$233&amp;" ضد "&amp;$A252))</f>
        <v/>
      </c>
      <c r="U252" s="4">
        <f>IF($A252=U$233,"",COUNTIF($E$4:$E$229,$A252&amp;" ضد "&amp;U$233)+COUNTIF($E$4:$E$229,U$233&amp;" ضد "&amp;$A252))</f>
        <v>2</v>
      </c>
      <c r="V252" s="4">
        <f>IF($A252=V$233,"",COUNTIF($E$4:$E$229,$A252&amp;" ضد "&amp;V$233)+COUNTIF($E$4:$E$229,V$233&amp;" ضد "&amp;$A252))</f>
        <v>2</v>
      </c>
      <c r="W252" s="4">
        <f>IF($A252=W$233,"",COUNTIF($E$4:$E$229,$A252&amp;" ضد "&amp;W$233)+COUNTIF($E$4:$E$229,W$233&amp;" ضد "&amp;$A252))</f>
        <v>1</v>
      </c>
      <c r="X252" s="4">
        <f>IF($A252=X$233,"",COUNTIF($E$4:$E$229,$A252&amp;" ضد "&amp;X$233)+COUNTIF($E$4:$E$229,X$233&amp;" ضد "&amp;$A252))</f>
        <v>2</v>
      </c>
      <c r="Y252" s="4">
        <f>IF($A252=Y$233,"",COUNTIF($E$4:$E$229,$A252&amp;" ضد "&amp;Y$233)+COUNTIF($E$4:$E$229,Y$233&amp;" ضد "&amp;$A252))</f>
        <v>1</v>
      </c>
      <c r="Z252" s="4">
        <f>IF($A252=Z$233,"",COUNTIF($E$4:$E$229,$A252&amp;" ضد "&amp;Z$233)+COUNTIF($E$4:$E$229,Z$233&amp;" ضد "&amp;$A252))</f>
        <v>2</v>
      </c>
    </row>
    <row r="253" spans="1:26" ht="14.5">
      <c r="A253" s="14">
        <v>20</v>
      </c>
      <c r="B253" s="4">
        <f>IF($A253=B$233,"",COUNTIF($E$4:$E$229,$A253&amp;" ضد "&amp;B$233)+COUNTIF($E$4:$E$229,B$233&amp;" ضد "&amp;$A253))</f>
        <v>0</v>
      </c>
      <c r="C253" s="4">
        <f>IF($A253=C$233,"",COUNTIF($E$4:$E$229,$A253&amp;" ضد "&amp;C$233)+COUNTIF($E$4:$E$229,C$233&amp;" ضد "&amp;$A253))</f>
        <v>0</v>
      </c>
      <c r="D253" s="4">
        <f>IF($A253=D$233,"",COUNTIF($E$4:$E$229,$A253&amp;" ضد "&amp;D$233)+COUNTIF($E$4:$E$229,D$233&amp;" ضد "&amp;$A253))</f>
        <v>0</v>
      </c>
      <c r="E253" s="4">
        <f>IF($A253=E$233,"",COUNTIF($E$4:$E$229,$A253&amp;" ضد "&amp;E$233)+COUNTIF($E$4:$E$229,E$233&amp;" ضد "&amp;$A253))</f>
        <v>0</v>
      </c>
      <c r="F253" s="4">
        <f>IF($A253=F$233,"",COUNTIF($E$4:$E$229,$A253&amp;" ضد "&amp;F$233)+COUNTIF($E$4:$E$229,F$233&amp;" ضد "&amp;$A253))</f>
        <v>0</v>
      </c>
      <c r="G253" s="4">
        <f>IF($A253=G$233,"",COUNTIF($E$4:$E$229,$A253&amp;" ضد "&amp;G$233)+COUNTIF($E$4:$E$229,G$233&amp;" ضد "&amp;$A253))</f>
        <v>0</v>
      </c>
      <c r="H253" s="4">
        <f>IF($A253=H$233,"",COUNTIF($E$4:$E$229,$A253&amp;" ضد "&amp;H$233)+COUNTIF($E$4:$E$229,H$233&amp;" ضد "&amp;$A253))</f>
        <v>0</v>
      </c>
      <c r="I253" s="4">
        <f>IF($A253=I$233,"",COUNTIF($E$4:$E$229,$A253&amp;" ضد "&amp;I$233)+COUNTIF($E$4:$E$229,I$233&amp;" ضد "&amp;$A253))</f>
        <v>0</v>
      </c>
      <c r="J253" s="4">
        <f>IF($A253=J$233,"",COUNTIF($E$4:$E$229,$A253&amp;" ضد "&amp;J$233)+COUNTIF($E$4:$E$229,J$233&amp;" ضد "&amp;$A253))</f>
        <v>0</v>
      </c>
      <c r="K253" s="4">
        <f>IF($A253=K$233,"",COUNTIF($E$4:$E$229,$A253&amp;" ضد "&amp;K$233)+COUNTIF($E$4:$E$229,K$233&amp;" ضد "&amp;$A253))</f>
        <v>0</v>
      </c>
      <c r="L253" s="4">
        <f>IF($A253=L$233,"",COUNTIF($E$4:$E$229,$A253&amp;" ضد "&amp;L$233)+COUNTIF($E$4:$E$229,L$233&amp;" ضد "&amp;$A253))</f>
        <v>0</v>
      </c>
      <c r="M253" s="4">
        <f>IF($A253=M$233,"",COUNTIF($E$4:$E$229,$A253&amp;" ضد "&amp;M$233)+COUNTIF($E$4:$E$229,M$233&amp;" ضد "&amp;$A253))</f>
        <v>0</v>
      </c>
      <c r="N253" s="4">
        <f>IF($A253=N$233,"",COUNTIF($E$4:$E$229,$A253&amp;" ضد "&amp;N$233)+COUNTIF($E$4:$E$229,N$233&amp;" ضد "&amp;$A253))</f>
        <v>0</v>
      </c>
      <c r="O253" s="4">
        <f>IF($A253=O$233,"",COUNTIF($E$4:$E$229,$A253&amp;" ضد "&amp;O$233)+COUNTIF($E$4:$E$229,O$233&amp;" ضد "&amp;$A253))</f>
        <v>2</v>
      </c>
      <c r="P253" s="4">
        <f>IF($A253=P$233,"",COUNTIF($E$4:$E$229,$A253&amp;" ضد "&amp;P$233)+COUNTIF($E$4:$E$229,P$233&amp;" ضد "&amp;$A253))</f>
        <v>2</v>
      </c>
      <c r="Q253" s="4">
        <f>IF($A253=Q$233,"",COUNTIF($E$4:$E$229,$A253&amp;" ضد "&amp;Q$233)+COUNTIF($E$4:$E$229,Q$233&amp;" ضد "&amp;$A253))</f>
        <v>1</v>
      </c>
      <c r="R253" s="4">
        <f>IF($A253=R$233,"",COUNTIF($E$4:$E$229,$A253&amp;" ضد "&amp;R$233)+COUNTIF($E$4:$E$229,R$233&amp;" ضد "&amp;$A253))</f>
        <v>2</v>
      </c>
      <c r="S253" s="4">
        <f>IF($A253=S$233,"",COUNTIF($E$4:$E$229,$A253&amp;" ضد "&amp;S$233)+COUNTIF($E$4:$E$229,S$233&amp;" ضد "&amp;$A253))</f>
        <v>2</v>
      </c>
      <c r="T253" s="4">
        <f>IF($A253=T$233,"",COUNTIF($E$4:$E$229,$A253&amp;" ضد "&amp;T$233)+COUNTIF($E$4:$E$229,T$233&amp;" ضد "&amp;$A253))</f>
        <v>2</v>
      </c>
      <c r="U253" s="4" t="str">
        <f>IF($A253=U$233,"",COUNTIF($E$4:$E$229,$A253&amp;" ضد "&amp;U$233)+COUNTIF($E$4:$E$229,U$233&amp;" ضد "&amp;$A253))</f>
        <v/>
      </c>
      <c r="V253" s="4">
        <f>IF($A253=V$233,"",COUNTIF($E$4:$E$229,$A253&amp;" ضد "&amp;V$233)+COUNTIF($E$4:$E$229,V$233&amp;" ضد "&amp;$A253))</f>
        <v>1</v>
      </c>
      <c r="W253" s="4">
        <f>IF($A253=W$233,"",COUNTIF($E$4:$E$229,$A253&amp;" ضد "&amp;W$233)+COUNTIF($E$4:$E$229,W$233&amp;" ضد "&amp;$A253))</f>
        <v>2</v>
      </c>
      <c r="X253" s="4">
        <f>IF($A253=X$233,"",COUNTIF($E$4:$E$229,$A253&amp;" ضد "&amp;X$233)+COUNTIF($E$4:$E$229,X$233&amp;" ضد "&amp;$A253))</f>
        <v>1</v>
      </c>
      <c r="Y253" s="4">
        <f>IF($A253=Y$233,"",COUNTIF($E$4:$E$229,$A253&amp;" ضد "&amp;Y$233)+COUNTIF($E$4:$E$229,Y$233&amp;" ضد "&amp;$A253))</f>
        <v>2</v>
      </c>
      <c r="Z253" s="4">
        <f>IF($A253=Z$233,"",COUNTIF($E$4:$E$229,$A253&amp;" ضد "&amp;Z$233)+COUNTIF($E$4:$E$229,Z$233&amp;" ضد "&amp;$A253))</f>
        <v>1</v>
      </c>
    </row>
    <row r="254" spans="1:26" ht="14.5">
      <c r="A254" s="14">
        <v>21</v>
      </c>
      <c r="B254" s="4">
        <f>IF($A254=B$233,"",COUNTIF($E$4:$E$229,$A254&amp;" ضد "&amp;B$233)+COUNTIF($E$4:$E$229,B$233&amp;" ضد "&amp;$A254))</f>
        <v>0</v>
      </c>
      <c r="C254" s="4">
        <f>IF($A254=C$233,"",COUNTIF($E$4:$E$229,$A254&amp;" ضد "&amp;C$233)+COUNTIF($E$4:$E$229,C$233&amp;" ضد "&amp;$A254))</f>
        <v>0</v>
      </c>
      <c r="D254" s="4">
        <f>IF($A254=D$233,"",COUNTIF($E$4:$E$229,$A254&amp;" ضد "&amp;D$233)+COUNTIF($E$4:$E$229,D$233&amp;" ضد "&amp;$A254))</f>
        <v>0</v>
      </c>
      <c r="E254" s="4">
        <f>IF($A254=E$233,"",COUNTIF($E$4:$E$229,$A254&amp;" ضد "&amp;E$233)+COUNTIF($E$4:$E$229,E$233&amp;" ضد "&amp;$A254))</f>
        <v>0</v>
      </c>
      <c r="F254" s="4">
        <f>IF($A254=F$233,"",COUNTIF($E$4:$E$229,$A254&amp;" ضد "&amp;F$233)+COUNTIF($E$4:$E$229,F$233&amp;" ضد "&amp;$A254))</f>
        <v>0</v>
      </c>
      <c r="G254" s="4">
        <f>IF($A254=G$233,"",COUNTIF($E$4:$E$229,$A254&amp;" ضد "&amp;G$233)+COUNTIF($E$4:$E$229,G$233&amp;" ضد "&amp;$A254))</f>
        <v>0</v>
      </c>
      <c r="H254" s="4">
        <f>IF($A254=H$233,"",COUNTIF($E$4:$E$229,$A254&amp;" ضد "&amp;H$233)+COUNTIF($E$4:$E$229,H$233&amp;" ضد "&amp;$A254))</f>
        <v>0</v>
      </c>
      <c r="I254" s="4">
        <f>IF($A254=I$233,"",COUNTIF($E$4:$E$229,$A254&amp;" ضد "&amp;I$233)+COUNTIF($E$4:$E$229,I$233&amp;" ضد "&amp;$A254))</f>
        <v>0</v>
      </c>
      <c r="J254" s="4">
        <f>IF($A254=J$233,"",COUNTIF($E$4:$E$229,$A254&amp;" ضد "&amp;J$233)+COUNTIF($E$4:$E$229,J$233&amp;" ضد "&amp;$A254))</f>
        <v>0</v>
      </c>
      <c r="K254" s="4">
        <f>IF($A254=K$233,"",COUNTIF($E$4:$E$229,$A254&amp;" ضد "&amp;K$233)+COUNTIF($E$4:$E$229,K$233&amp;" ضد "&amp;$A254))</f>
        <v>0</v>
      </c>
      <c r="L254" s="4">
        <f>IF($A254=L$233,"",COUNTIF($E$4:$E$229,$A254&amp;" ضد "&amp;L$233)+COUNTIF($E$4:$E$229,L$233&amp;" ضد "&amp;$A254))</f>
        <v>0</v>
      </c>
      <c r="M254" s="4">
        <f>IF($A254=M$233,"",COUNTIF($E$4:$E$229,$A254&amp;" ضد "&amp;M$233)+COUNTIF($E$4:$E$229,M$233&amp;" ضد "&amp;$A254))</f>
        <v>0</v>
      </c>
      <c r="N254" s="4">
        <f>IF($A254=N$233,"",COUNTIF($E$4:$E$229,$A254&amp;" ضد "&amp;N$233)+COUNTIF($E$4:$E$229,N$233&amp;" ضد "&amp;$A254))</f>
        <v>0</v>
      </c>
      <c r="O254" s="4">
        <f>IF($A254=O$233,"",COUNTIF($E$4:$E$229,$A254&amp;" ضد "&amp;O$233)+COUNTIF($E$4:$E$229,O$233&amp;" ضد "&amp;$A254))</f>
        <v>2</v>
      </c>
      <c r="P254" s="4">
        <f>IF($A254=P$233,"",COUNTIF($E$4:$E$229,$A254&amp;" ضد "&amp;P$233)+COUNTIF($E$4:$E$229,P$233&amp;" ضد "&amp;$A254))</f>
        <v>1</v>
      </c>
      <c r="Q254" s="4">
        <f>IF($A254=Q$233,"",COUNTIF($E$4:$E$229,$A254&amp;" ضد "&amp;Q$233)+COUNTIF($E$4:$E$229,Q$233&amp;" ضد "&amp;$A254))</f>
        <v>2</v>
      </c>
      <c r="R254" s="4">
        <f>IF($A254=R$233,"",COUNTIF($E$4:$E$229,$A254&amp;" ضد "&amp;R$233)+COUNTIF($E$4:$E$229,R$233&amp;" ضد "&amp;$A254))</f>
        <v>2</v>
      </c>
      <c r="S254" s="4">
        <f>IF($A254=S$233,"",COUNTIF($E$4:$E$229,$A254&amp;" ضد "&amp;S$233)+COUNTIF($E$4:$E$229,S$233&amp;" ضد "&amp;$A254))</f>
        <v>2</v>
      </c>
      <c r="T254" s="4">
        <f>IF($A254=T$233,"",COUNTIF($E$4:$E$229,$A254&amp;" ضد "&amp;T$233)+COUNTIF($E$4:$E$229,T$233&amp;" ضد "&amp;$A254))</f>
        <v>2</v>
      </c>
      <c r="U254" s="4">
        <f>IF($A254=U$233,"",COUNTIF($E$4:$E$229,$A254&amp;" ضد "&amp;U$233)+COUNTIF($E$4:$E$229,U$233&amp;" ضد "&amp;$A254))</f>
        <v>1</v>
      </c>
      <c r="V254" s="4" t="str">
        <f>IF($A254=V$233,"",COUNTIF($E$4:$E$229,$A254&amp;" ضد "&amp;V$233)+COUNTIF($E$4:$E$229,V$233&amp;" ضد "&amp;$A254))</f>
        <v/>
      </c>
      <c r="W254" s="4">
        <f>IF($A254=W$233,"",COUNTIF($E$4:$E$229,$A254&amp;" ضد "&amp;W$233)+COUNTIF($E$4:$E$229,W$233&amp;" ضد "&amp;$A254))</f>
        <v>1</v>
      </c>
      <c r="X254" s="4">
        <f>IF($A254=X$233,"",COUNTIF($E$4:$E$229,$A254&amp;" ضد "&amp;X$233)+COUNTIF($E$4:$E$229,X$233&amp;" ضد "&amp;$A254))</f>
        <v>2</v>
      </c>
      <c r="Y254" s="4">
        <f>IF($A254=Y$233,"",COUNTIF($E$4:$E$229,$A254&amp;" ضد "&amp;Y$233)+COUNTIF($E$4:$E$229,Y$233&amp;" ضد "&amp;$A254))</f>
        <v>1</v>
      </c>
      <c r="Z254" s="4">
        <f>IF($A254=Z$233,"",COUNTIF($E$4:$E$229,$A254&amp;" ضد "&amp;Z$233)+COUNTIF($E$4:$E$229,Z$233&amp;" ضد "&amp;$A254))</f>
        <v>2</v>
      </c>
    </row>
    <row r="255" spans="1:26" ht="14.5">
      <c r="A255" s="14">
        <v>22</v>
      </c>
      <c r="B255" s="4">
        <f>IF($A255=B$233,"",COUNTIF($E$4:$E$229,$A255&amp;" ضد "&amp;B$233)+COUNTIF($E$4:$E$229,B$233&amp;" ضد "&amp;$A255))</f>
        <v>0</v>
      </c>
      <c r="C255" s="4">
        <f>IF($A255=C$233,"",COUNTIF($E$4:$E$229,$A255&amp;" ضد "&amp;C$233)+COUNTIF($E$4:$E$229,C$233&amp;" ضد "&amp;$A255))</f>
        <v>0</v>
      </c>
      <c r="D255" s="4">
        <f>IF($A255=D$233,"",COUNTIF($E$4:$E$229,$A255&amp;" ضد "&amp;D$233)+COUNTIF($E$4:$E$229,D$233&amp;" ضد "&amp;$A255))</f>
        <v>0</v>
      </c>
      <c r="E255" s="4">
        <f>IF($A255=E$233,"",COUNTIF($E$4:$E$229,$A255&amp;" ضد "&amp;E$233)+COUNTIF($E$4:$E$229,E$233&amp;" ضد "&amp;$A255))</f>
        <v>0</v>
      </c>
      <c r="F255" s="4">
        <f>IF($A255=F$233,"",COUNTIF($E$4:$E$229,$A255&amp;" ضد "&amp;F$233)+COUNTIF($E$4:$E$229,F$233&amp;" ضد "&amp;$A255))</f>
        <v>0</v>
      </c>
      <c r="G255" s="4">
        <f>IF($A255=G$233,"",COUNTIF($E$4:$E$229,$A255&amp;" ضد "&amp;G$233)+COUNTIF($E$4:$E$229,G$233&amp;" ضد "&amp;$A255))</f>
        <v>0</v>
      </c>
      <c r="H255" s="4">
        <f>IF($A255=H$233,"",COUNTIF($E$4:$E$229,$A255&amp;" ضد "&amp;H$233)+COUNTIF($E$4:$E$229,H$233&amp;" ضد "&amp;$A255))</f>
        <v>0</v>
      </c>
      <c r="I255" s="4">
        <f>IF($A255=I$233,"",COUNTIF($E$4:$E$229,$A255&amp;" ضد "&amp;I$233)+COUNTIF($E$4:$E$229,I$233&amp;" ضد "&amp;$A255))</f>
        <v>0</v>
      </c>
      <c r="J255" s="4">
        <f>IF($A255=J$233,"",COUNTIF($E$4:$E$229,$A255&amp;" ضد "&amp;J$233)+COUNTIF($E$4:$E$229,J$233&amp;" ضد "&amp;$A255))</f>
        <v>0</v>
      </c>
      <c r="K255" s="4">
        <f>IF($A255=K$233,"",COUNTIF($E$4:$E$229,$A255&amp;" ضد "&amp;K$233)+COUNTIF($E$4:$E$229,K$233&amp;" ضد "&amp;$A255))</f>
        <v>0</v>
      </c>
      <c r="L255" s="4">
        <f>IF($A255=L$233,"",COUNTIF($E$4:$E$229,$A255&amp;" ضد "&amp;L$233)+COUNTIF($E$4:$E$229,L$233&amp;" ضد "&amp;$A255))</f>
        <v>0</v>
      </c>
      <c r="M255" s="4">
        <f>IF($A255=M$233,"",COUNTIF($E$4:$E$229,$A255&amp;" ضد "&amp;M$233)+COUNTIF($E$4:$E$229,M$233&amp;" ضد "&amp;$A255))</f>
        <v>0</v>
      </c>
      <c r="N255" s="4">
        <f>IF($A255=N$233,"",COUNTIF($E$4:$E$229,$A255&amp;" ضد "&amp;N$233)+COUNTIF($E$4:$E$229,N$233&amp;" ضد "&amp;$A255))</f>
        <v>0</v>
      </c>
      <c r="O255" s="4">
        <f>IF($A255=O$233,"",COUNTIF($E$4:$E$229,$A255&amp;" ضد "&amp;O$233)+COUNTIF($E$4:$E$229,O$233&amp;" ضد "&amp;$A255))</f>
        <v>2</v>
      </c>
      <c r="P255" s="4">
        <f>IF($A255=P$233,"",COUNTIF($E$4:$E$229,$A255&amp;" ضد "&amp;P$233)+COUNTIF($E$4:$E$229,P$233&amp;" ضد "&amp;$A255))</f>
        <v>2</v>
      </c>
      <c r="Q255" s="4">
        <f>IF($A255=Q$233,"",COUNTIF($E$4:$E$229,$A255&amp;" ضد "&amp;Q$233)+COUNTIF($E$4:$E$229,Q$233&amp;" ضد "&amp;$A255))</f>
        <v>2</v>
      </c>
      <c r="R255" s="4">
        <f>IF($A255=R$233,"",COUNTIF($E$4:$E$229,$A255&amp;" ضد "&amp;R$233)+COUNTIF($E$4:$E$229,R$233&amp;" ضد "&amp;$A255))</f>
        <v>2</v>
      </c>
      <c r="S255" s="4">
        <f>IF($A255=S$233,"",COUNTIF($E$4:$E$229,$A255&amp;" ضد "&amp;S$233)+COUNTIF($E$4:$E$229,S$233&amp;" ضد "&amp;$A255))</f>
        <v>2</v>
      </c>
      <c r="T255" s="4">
        <f>IF($A255=T$233,"",COUNTIF($E$4:$E$229,$A255&amp;" ضد "&amp;T$233)+COUNTIF($E$4:$E$229,T$233&amp;" ضد "&amp;$A255))</f>
        <v>1</v>
      </c>
      <c r="U255" s="4">
        <f>IF($A255=U$233,"",COUNTIF($E$4:$E$229,$A255&amp;" ضد "&amp;U$233)+COUNTIF($E$4:$E$229,U$233&amp;" ضد "&amp;$A255))</f>
        <v>2</v>
      </c>
      <c r="V255" s="4">
        <f>IF($A255=V$233,"",COUNTIF($E$4:$E$229,$A255&amp;" ضد "&amp;V$233)+COUNTIF($E$4:$E$229,V$233&amp;" ضد "&amp;$A255))</f>
        <v>1</v>
      </c>
      <c r="W255" s="4" t="str">
        <f>IF($A255=W$233,"",COUNTIF($E$4:$E$229,$A255&amp;" ضد "&amp;W$233)+COUNTIF($E$4:$E$229,W$233&amp;" ضد "&amp;$A255))</f>
        <v/>
      </c>
      <c r="X255" s="4">
        <f>IF($A255=X$233,"",COUNTIF($E$4:$E$229,$A255&amp;" ضد "&amp;X$233)+COUNTIF($E$4:$E$229,X$233&amp;" ضد "&amp;$A255))</f>
        <v>1</v>
      </c>
      <c r="Y255" s="4">
        <f>IF($A255=Y$233,"",COUNTIF($E$4:$E$229,$A255&amp;" ضد "&amp;Y$233)+COUNTIF($E$4:$E$229,Y$233&amp;" ضد "&amp;$A255))</f>
        <v>2</v>
      </c>
      <c r="Z255" s="4">
        <f>IF($A255=Z$233,"",COUNTIF($E$4:$E$229,$A255&amp;" ضد "&amp;Z$233)+COUNTIF($E$4:$E$229,Z$233&amp;" ضد "&amp;$A255))</f>
        <v>1</v>
      </c>
    </row>
    <row r="256" spans="1:26" ht="14.5">
      <c r="A256" s="14">
        <v>23</v>
      </c>
      <c r="B256" s="4">
        <f>IF($A256=B$233,"",COUNTIF($E$4:$E$229,$A256&amp;" ضد "&amp;B$233)+COUNTIF($E$4:$E$229,B$233&amp;" ضد "&amp;$A256))</f>
        <v>0</v>
      </c>
      <c r="C256" s="4">
        <f>IF($A256=C$233,"",COUNTIF($E$4:$E$229,$A256&amp;" ضد "&amp;C$233)+COUNTIF($E$4:$E$229,C$233&amp;" ضد "&amp;$A256))</f>
        <v>0</v>
      </c>
      <c r="D256" s="4">
        <f>IF($A256=D$233,"",COUNTIF($E$4:$E$229,$A256&amp;" ضد "&amp;D$233)+COUNTIF($E$4:$E$229,D$233&amp;" ضد "&amp;$A256))</f>
        <v>0</v>
      </c>
      <c r="E256" s="4">
        <f>IF($A256=E$233,"",COUNTIF($E$4:$E$229,$A256&amp;" ضد "&amp;E$233)+COUNTIF($E$4:$E$229,E$233&amp;" ضد "&amp;$A256))</f>
        <v>0</v>
      </c>
      <c r="F256" s="4">
        <f>IF($A256=F$233,"",COUNTIF($E$4:$E$229,$A256&amp;" ضد "&amp;F$233)+COUNTIF($E$4:$E$229,F$233&amp;" ضد "&amp;$A256))</f>
        <v>0</v>
      </c>
      <c r="G256" s="4">
        <f>IF($A256=G$233,"",COUNTIF($E$4:$E$229,$A256&amp;" ضد "&amp;G$233)+COUNTIF($E$4:$E$229,G$233&amp;" ضد "&amp;$A256))</f>
        <v>0</v>
      </c>
      <c r="H256" s="4">
        <f>IF($A256=H$233,"",COUNTIF($E$4:$E$229,$A256&amp;" ضد "&amp;H$233)+COUNTIF($E$4:$E$229,H$233&amp;" ضد "&amp;$A256))</f>
        <v>0</v>
      </c>
      <c r="I256" s="4">
        <f>IF($A256=I$233,"",COUNTIF($E$4:$E$229,$A256&amp;" ضد "&amp;I$233)+COUNTIF($E$4:$E$229,I$233&amp;" ضد "&amp;$A256))</f>
        <v>0</v>
      </c>
      <c r="J256" s="4">
        <f>IF($A256=J$233,"",COUNTIF($E$4:$E$229,$A256&amp;" ضد "&amp;J$233)+COUNTIF($E$4:$E$229,J$233&amp;" ضد "&amp;$A256))</f>
        <v>0</v>
      </c>
      <c r="K256" s="4">
        <f>IF($A256=K$233,"",COUNTIF($E$4:$E$229,$A256&amp;" ضد "&amp;K$233)+COUNTIF($E$4:$E$229,K$233&amp;" ضد "&amp;$A256))</f>
        <v>0</v>
      </c>
      <c r="L256" s="4">
        <f>IF($A256=L$233,"",COUNTIF($E$4:$E$229,$A256&amp;" ضد "&amp;L$233)+COUNTIF($E$4:$E$229,L$233&amp;" ضد "&amp;$A256))</f>
        <v>0</v>
      </c>
      <c r="M256" s="4">
        <f>IF($A256=M$233,"",COUNTIF($E$4:$E$229,$A256&amp;" ضد "&amp;M$233)+COUNTIF($E$4:$E$229,M$233&amp;" ضد "&amp;$A256))</f>
        <v>0</v>
      </c>
      <c r="N256" s="4">
        <f>IF($A256=N$233,"",COUNTIF($E$4:$E$229,$A256&amp;" ضد "&amp;N$233)+COUNTIF($E$4:$E$229,N$233&amp;" ضد "&amp;$A256))</f>
        <v>0</v>
      </c>
      <c r="O256" s="4">
        <f>IF($A256=O$233,"",COUNTIF($E$4:$E$229,$A256&amp;" ضد "&amp;O$233)+COUNTIF($E$4:$E$229,O$233&amp;" ضد "&amp;$A256))</f>
        <v>2</v>
      </c>
      <c r="P256" s="4">
        <f>IF($A256=P$233,"",COUNTIF($E$4:$E$229,$A256&amp;" ضد "&amp;P$233)+COUNTIF($E$4:$E$229,P$233&amp;" ضد "&amp;$A256))</f>
        <v>2</v>
      </c>
      <c r="Q256" s="4">
        <f>IF($A256=Q$233,"",COUNTIF($E$4:$E$229,$A256&amp;" ضد "&amp;Q$233)+COUNTIF($E$4:$E$229,Q$233&amp;" ضد "&amp;$A256))</f>
        <v>2</v>
      </c>
      <c r="R256" s="4">
        <f>IF($A256=R$233,"",COUNTIF($E$4:$E$229,$A256&amp;" ضد "&amp;R$233)+COUNTIF($E$4:$E$229,R$233&amp;" ضد "&amp;$A256))</f>
        <v>2</v>
      </c>
      <c r="S256" s="4">
        <f>IF($A256=S$233,"",COUNTIF($E$4:$E$229,$A256&amp;" ضد "&amp;S$233)+COUNTIF($E$4:$E$229,S$233&amp;" ضد "&amp;$A256))</f>
        <v>1</v>
      </c>
      <c r="T256" s="4">
        <f>IF($A256=T$233,"",COUNTIF($E$4:$E$229,$A256&amp;" ضد "&amp;T$233)+COUNTIF($E$4:$E$229,T$233&amp;" ضد "&amp;$A256))</f>
        <v>2</v>
      </c>
      <c r="U256" s="4">
        <f>IF($A256=U$233,"",COUNTIF($E$4:$E$229,$A256&amp;" ضد "&amp;U$233)+COUNTIF($E$4:$E$229,U$233&amp;" ضد "&amp;$A256))</f>
        <v>1</v>
      </c>
      <c r="V256" s="4">
        <f>IF($A256=V$233,"",COUNTIF($E$4:$E$229,$A256&amp;" ضد "&amp;V$233)+COUNTIF($E$4:$E$229,V$233&amp;" ضد "&amp;$A256))</f>
        <v>2</v>
      </c>
      <c r="W256" s="4">
        <f>IF($A256=W$233,"",COUNTIF($E$4:$E$229,$A256&amp;" ضد "&amp;W$233)+COUNTIF($E$4:$E$229,W$233&amp;" ضد "&amp;$A256))</f>
        <v>1</v>
      </c>
      <c r="X256" s="4" t="str">
        <f>IF($A256=X$233,"",COUNTIF($E$4:$E$229,$A256&amp;" ضد "&amp;X$233)+COUNTIF($E$4:$E$229,X$233&amp;" ضد "&amp;$A256))</f>
        <v/>
      </c>
      <c r="Y256" s="4">
        <f>IF($A256=Y$233,"",COUNTIF($E$4:$E$229,$A256&amp;" ضد "&amp;Y$233)+COUNTIF($E$4:$E$229,Y$233&amp;" ضد "&amp;$A256))</f>
        <v>1</v>
      </c>
      <c r="Z256" s="4">
        <f>IF($A256=Z$233,"",COUNTIF($E$4:$E$229,$A256&amp;" ضد "&amp;Z$233)+COUNTIF($E$4:$E$229,Z$233&amp;" ضد "&amp;$A256))</f>
        <v>2</v>
      </c>
    </row>
    <row r="257" spans="1:26" ht="14.5">
      <c r="A257" s="14">
        <v>24</v>
      </c>
      <c r="B257" s="4">
        <f>IF($A257=B$233,"",COUNTIF($E$4:$E$229,$A257&amp;" ضد "&amp;B$233)+COUNTIF($E$4:$E$229,B$233&amp;" ضد "&amp;$A257))</f>
        <v>0</v>
      </c>
      <c r="C257" s="4">
        <f>IF($A257=C$233,"",COUNTIF($E$4:$E$229,$A257&amp;" ضد "&amp;C$233)+COUNTIF($E$4:$E$229,C$233&amp;" ضد "&amp;$A257))</f>
        <v>0</v>
      </c>
      <c r="D257" s="4">
        <f>IF($A257=D$233,"",COUNTIF($E$4:$E$229,$A257&amp;" ضد "&amp;D$233)+COUNTIF($E$4:$E$229,D$233&amp;" ضد "&amp;$A257))</f>
        <v>0</v>
      </c>
      <c r="E257" s="4">
        <f>IF($A257=E$233,"",COUNTIF($E$4:$E$229,$A257&amp;" ضد "&amp;E$233)+COUNTIF($E$4:$E$229,E$233&amp;" ضد "&amp;$A257))</f>
        <v>0</v>
      </c>
      <c r="F257" s="4">
        <f>IF($A257=F$233,"",COUNTIF($E$4:$E$229,$A257&amp;" ضد "&amp;F$233)+COUNTIF($E$4:$E$229,F$233&amp;" ضد "&amp;$A257))</f>
        <v>0</v>
      </c>
      <c r="G257" s="4">
        <f>IF($A257=G$233,"",COUNTIF($E$4:$E$229,$A257&amp;" ضد "&amp;G$233)+COUNTIF($E$4:$E$229,G$233&amp;" ضد "&amp;$A257))</f>
        <v>0</v>
      </c>
      <c r="H257" s="4">
        <f>IF($A257=H$233,"",COUNTIF($E$4:$E$229,$A257&amp;" ضد "&amp;H$233)+COUNTIF($E$4:$E$229,H$233&amp;" ضد "&amp;$A257))</f>
        <v>0</v>
      </c>
      <c r="I257" s="4">
        <f>IF($A257=I$233,"",COUNTIF($E$4:$E$229,$A257&amp;" ضد "&amp;I$233)+COUNTIF($E$4:$E$229,I$233&amp;" ضد "&amp;$A257))</f>
        <v>0</v>
      </c>
      <c r="J257" s="4">
        <f>IF($A257=J$233,"",COUNTIF($E$4:$E$229,$A257&amp;" ضد "&amp;J$233)+COUNTIF($E$4:$E$229,J$233&amp;" ضد "&amp;$A257))</f>
        <v>0</v>
      </c>
      <c r="K257" s="4">
        <f>IF($A257=K$233,"",COUNTIF($E$4:$E$229,$A257&amp;" ضد "&amp;K$233)+COUNTIF($E$4:$E$229,K$233&amp;" ضد "&amp;$A257))</f>
        <v>0</v>
      </c>
      <c r="L257" s="4">
        <f>IF($A257=L$233,"",COUNTIF($E$4:$E$229,$A257&amp;" ضد "&amp;L$233)+COUNTIF($E$4:$E$229,L$233&amp;" ضد "&amp;$A257))</f>
        <v>0</v>
      </c>
      <c r="M257" s="4">
        <f>IF($A257=M$233,"",COUNTIF($E$4:$E$229,$A257&amp;" ضد "&amp;M$233)+COUNTIF($E$4:$E$229,M$233&amp;" ضد "&amp;$A257))</f>
        <v>0</v>
      </c>
      <c r="N257" s="4">
        <f>IF($A257=N$233,"",COUNTIF($E$4:$E$229,$A257&amp;" ضد "&amp;N$233)+COUNTIF($E$4:$E$229,N$233&amp;" ضد "&amp;$A257))</f>
        <v>0</v>
      </c>
      <c r="O257" s="4">
        <f>IF($A257=O$233,"",COUNTIF($E$4:$E$229,$A257&amp;" ضد "&amp;O$233)+COUNTIF($E$4:$E$229,O$233&amp;" ضد "&amp;$A257))</f>
        <v>2</v>
      </c>
      <c r="P257" s="4">
        <f>IF($A257=P$233,"",COUNTIF($E$4:$E$229,$A257&amp;" ضد "&amp;P$233)+COUNTIF($E$4:$E$229,P$233&amp;" ضد "&amp;$A257))</f>
        <v>2</v>
      </c>
      <c r="Q257" s="4">
        <f>IF($A257=Q$233,"",COUNTIF($E$4:$E$229,$A257&amp;" ضد "&amp;Q$233)+COUNTIF($E$4:$E$229,Q$233&amp;" ضد "&amp;$A257))</f>
        <v>2</v>
      </c>
      <c r="R257" s="4">
        <f>IF($A257=R$233,"",COUNTIF($E$4:$E$229,$A257&amp;" ضد "&amp;R$233)+COUNTIF($E$4:$E$229,R$233&amp;" ضد "&amp;$A257))</f>
        <v>1</v>
      </c>
      <c r="S257" s="4">
        <f>IF($A257=S$233,"",COUNTIF($E$4:$E$229,$A257&amp;" ضد "&amp;S$233)+COUNTIF($E$4:$E$229,S$233&amp;" ضد "&amp;$A257))</f>
        <v>2</v>
      </c>
      <c r="T257" s="4">
        <f>IF($A257=T$233,"",COUNTIF($E$4:$E$229,$A257&amp;" ضد "&amp;T$233)+COUNTIF($E$4:$E$229,T$233&amp;" ضد "&amp;$A257))</f>
        <v>1</v>
      </c>
      <c r="U257" s="4">
        <f>IF($A257=U$233,"",COUNTIF($E$4:$E$229,$A257&amp;" ضد "&amp;U$233)+COUNTIF($E$4:$E$229,U$233&amp;" ضد "&amp;$A257))</f>
        <v>2</v>
      </c>
      <c r="V257" s="4">
        <f>IF($A257=V$233,"",COUNTIF($E$4:$E$229,$A257&amp;" ضد "&amp;V$233)+COUNTIF($E$4:$E$229,V$233&amp;" ضد "&amp;$A257))</f>
        <v>1</v>
      </c>
      <c r="W257" s="4">
        <f>IF($A257=W$233,"",COUNTIF($E$4:$E$229,$A257&amp;" ضد "&amp;W$233)+COUNTIF($E$4:$E$229,W$233&amp;" ضد "&amp;$A257))</f>
        <v>2</v>
      </c>
      <c r="X257" s="4">
        <f>IF($A257=X$233,"",COUNTIF($E$4:$E$229,$A257&amp;" ضد "&amp;X$233)+COUNTIF($E$4:$E$229,X$233&amp;" ضد "&amp;$A257))</f>
        <v>1</v>
      </c>
      <c r="Y257" s="4" t="str">
        <f>IF($A257=Y$233,"",COUNTIF($E$4:$E$229,$A257&amp;" ضد "&amp;Y$233)+COUNTIF($E$4:$E$229,Y$233&amp;" ضد "&amp;$A257))</f>
        <v/>
      </c>
      <c r="Z257" s="4">
        <f>IF($A257=Z$233,"",COUNTIF($E$4:$E$229,$A257&amp;" ضد "&amp;Z$233)+COUNTIF($E$4:$E$229,Z$233&amp;" ضد "&amp;$A257))</f>
        <v>2</v>
      </c>
    </row>
    <row r="258" spans="1:26" ht="14.5">
      <c r="A258" s="14">
        <v>25</v>
      </c>
      <c r="B258" s="4">
        <f>IF($A258=B$233,"",COUNTIF($E$4:$E$229,$A258&amp;" ضد "&amp;B$233)+COUNTIF($E$4:$E$229,B$233&amp;" ضد "&amp;$A258))</f>
        <v>0</v>
      </c>
      <c r="C258" s="4">
        <f>IF($A258=C$233,"",COUNTIF($E$4:$E$229,$A258&amp;" ضد "&amp;C$233)+COUNTIF($E$4:$E$229,C$233&amp;" ضد "&amp;$A258))</f>
        <v>0</v>
      </c>
      <c r="D258" s="4">
        <f>IF($A258=D$233,"",COUNTIF($E$4:$E$229,$A258&amp;" ضد "&amp;D$233)+COUNTIF($E$4:$E$229,D$233&amp;" ضد "&amp;$A258))</f>
        <v>0</v>
      </c>
      <c r="E258" s="4">
        <f>IF($A258=E$233,"",COUNTIF($E$4:$E$229,$A258&amp;" ضد "&amp;E$233)+COUNTIF($E$4:$E$229,E$233&amp;" ضد "&amp;$A258))</f>
        <v>0</v>
      </c>
      <c r="F258" s="4">
        <f>IF($A258=F$233,"",COUNTIF($E$4:$E$229,$A258&amp;" ضد "&amp;F$233)+COUNTIF($E$4:$E$229,F$233&amp;" ضد "&amp;$A258))</f>
        <v>0</v>
      </c>
      <c r="G258" s="4">
        <f>IF($A258=G$233,"",COUNTIF($E$4:$E$229,$A258&amp;" ضد "&amp;G$233)+COUNTIF($E$4:$E$229,G$233&amp;" ضد "&amp;$A258))</f>
        <v>0</v>
      </c>
      <c r="H258" s="4">
        <f>IF($A258=H$233,"",COUNTIF($E$4:$E$229,$A258&amp;" ضد "&amp;H$233)+COUNTIF($E$4:$E$229,H$233&amp;" ضد "&amp;$A258))</f>
        <v>0</v>
      </c>
      <c r="I258" s="4">
        <f>IF($A258=I$233,"",COUNTIF($E$4:$E$229,$A258&amp;" ضد "&amp;I$233)+COUNTIF($E$4:$E$229,I$233&amp;" ضد "&amp;$A258))</f>
        <v>0</v>
      </c>
      <c r="J258" s="4">
        <f>IF($A258=J$233,"",COUNTIF($E$4:$E$229,$A258&amp;" ضد "&amp;J$233)+COUNTIF($E$4:$E$229,J$233&amp;" ضد "&amp;$A258))</f>
        <v>0</v>
      </c>
      <c r="K258" s="4">
        <f>IF($A258=K$233,"",COUNTIF($E$4:$E$229,$A258&amp;" ضد "&amp;K$233)+COUNTIF($E$4:$E$229,K$233&amp;" ضد "&amp;$A258))</f>
        <v>0</v>
      </c>
      <c r="L258" s="4">
        <f>IF($A258=L$233,"",COUNTIF($E$4:$E$229,$A258&amp;" ضد "&amp;L$233)+COUNTIF($E$4:$E$229,L$233&amp;" ضد "&amp;$A258))</f>
        <v>0</v>
      </c>
      <c r="M258" s="4">
        <f>IF($A258=M$233,"",COUNTIF($E$4:$E$229,$A258&amp;" ضد "&amp;M$233)+COUNTIF($E$4:$E$229,M$233&amp;" ضد "&amp;$A258))</f>
        <v>0</v>
      </c>
      <c r="N258" s="4">
        <f>IF($A258=N$233,"",COUNTIF($E$4:$E$229,$A258&amp;" ضد "&amp;N$233)+COUNTIF($E$4:$E$229,N$233&amp;" ضد "&amp;$A258))</f>
        <v>0</v>
      </c>
      <c r="O258" s="4">
        <f>IF($A258=O$233,"",COUNTIF($E$4:$E$229,$A258&amp;" ضد "&amp;O$233)+COUNTIF($E$4:$E$229,O$233&amp;" ضد "&amp;$A258))</f>
        <v>2</v>
      </c>
      <c r="P258" s="4">
        <f>IF($A258=P$233,"",COUNTIF($E$4:$E$229,$A258&amp;" ضد "&amp;P$233)+COUNTIF($E$4:$E$229,P$233&amp;" ضد "&amp;$A258))</f>
        <v>2</v>
      </c>
      <c r="Q258" s="4">
        <f>IF($A258=Q$233,"",COUNTIF($E$4:$E$229,$A258&amp;" ضد "&amp;Q$233)+COUNTIF($E$4:$E$229,Q$233&amp;" ضد "&amp;$A258))</f>
        <v>1</v>
      </c>
      <c r="R258" s="4">
        <f>IF($A258=R$233,"",COUNTIF($E$4:$E$229,$A258&amp;" ضد "&amp;R$233)+COUNTIF($E$4:$E$229,R$233&amp;" ضد "&amp;$A258))</f>
        <v>2</v>
      </c>
      <c r="S258" s="4">
        <f>IF($A258=S$233,"",COUNTIF($E$4:$E$229,$A258&amp;" ضد "&amp;S$233)+COUNTIF($E$4:$E$229,S$233&amp;" ضد "&amp;$A258))</f>
        <v>1</v>
      </c>
      <c r="T258" s="4">
        <f>IF($A258=T$233,"",COUNTIF($E$4:$E$229,$A258&amp;" ضد "&amp;T$233)+COUNTIF($E$4:$E$229,T$233&amp;" ضد "&amp;$A258))</f>
        <v>2</v>
      </c>
      <c r="U258" s="4">
        <f>IF($A258=U$233,"",COUNTIF($E$4:$E$229,$A258&amp;" ضد "&amp;U$233)+COUNTIF($E$4:$E$229,U$233&amp;" ضد "&amp;$A258))</f>
        <v>1</v>
      </c>
      <c r="V258" s="4">
        <f>IF($A258=V$233,"",COUNTIF($E$4:$E$229,$A258&amp;" ضد "&amp;V$233)+COUNTIF($E$4:$E$229,V$233&amp;" ضد "&amp;$A258))</f>
        <v>2</v>
      </c>
      <c r="W258" s="4">
        <f>IF($A258=W$233,"",COUNTIF($E$4:$E$229,$A258&amp;" ضد "&amp;W$233)+COUNTIF($E$4:$E$229,W$233&amp;" ضد "&amp;$A258))</f>
        <v>1</v>
      </c>
      <c r="X258" s="4">
        <f>IF($A258=X$233,"",COUNTIF($E$4:$E$229,$A258&amp;" ضد "&amp;X$233)+COUNTIF($E$4:$E$229,X$233&amp;" ضد "&amp;$A258))</f>
        <v>2</v>
      </c>
      <c r="Y258" s="4">
        <f>IF($A258=Y$233,"",COUNTIF($E$4:$E$229,$A258&amp;" ضد "&amp;Y$233)+COUNTIF($E$4:$E$229,Y$233&amp;" ضد "&amp;$A258))</f>
        <v>2</v>
      </c>
      <c r="Z258" s="4" t="str">
        <f>IF($A258=Z$233,"",COUNTIF($E$4:$E$229,$A258&amp;" ضد "&amp;Z$233)+COUNTIF($E$4:$E$229,Z$233&amp;" ضد "&amp;$A258))</f>
        <v/>
      </c>
    </row>
    <row r="259" spans="1:26" ht="14.5">
      <c r="A259" s="14" t="s">
        <v>1033</v>
      </c>
      <c r="B259" s="4" cm="1">
        <f t="array" ref="B259">MIN(IF(B234:Z258&gt;0,B234:Z258))</f>
        <v>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5">
      <c r="A260" s="14" t="s">
        <v>830</v>
      </c>
      <c r="B260" s="4">
        <f>MAX(B234:Z258)</f>
        <v>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</sheetData>
  <mergeCells count="2">
    <mergeCell ref="A1:E1"/>
    <mergeCell ref="A232:Z23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50C5-6EBA-461A-AD89-C395E55DC8FA}">
  <dimension ref="A1:AA27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997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30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110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47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58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111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37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65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224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5</v>
      </c>
      <c r="D12" s="7" t="s">
        <v>594</v>
      </c>
      <c r="E12" s="7" t="s">
        <v>210</v>
      </c>
      <c r="F12" s="2"/>
    </row>
    <row r="13" spans="1:6" ht="14" customHeight="1">
      <c r="A13" s="8">
        <v>1</v>
      </c>
      <c r="B13" s="7" t="str">
        <f>المدخلات!$F$5</f>
        <v>5:20–6:30 م</v>
      </c>
      <c r="C13" s="7">
        <v>4</v>
      </c>
      <c r="D13" s="7" t="s">
        <v>594</v>
      </c>
      <c r="E13" s="7" t="s">
        <v>588</v>
      </c>
      <c r="F13" s="2"/>
    </row>
    <row r="14" spans="1:6" ht="14" customHeight="1">
      <c r="A14" s="8">
        <v>1</v>
      </c>
      <c r="B14" s="7" t="str">
        <f>المدخلات!$F$5</f>
        <v>5:20–6:30 م</v>
      </c>
      <c r="C14" s="7">
        <v>5</v>
      </c>
      <c r="D14" s="7" t="s">
        <v>594</v>
      </c>
      <c r="E14" s="7" t="s">
        <v>328</v>
      </c>
      <c r="F14" s="2"/>
    </row>
    <row r="15" spans="1:6" ht="14" customHeight="1">
      <c r="A15" s="8">
        <v>1</v>
      </c>
      <c r="B15" s="7" t="str">
        <f>المدخلات!$F$6</f>
        <v>6:40–7:50 م</v>
      </c>
      <c r="C15" s="7">
        <v>4</v>
      </c>
      <c r="D15" s="7" t="s">
        <v>594</v>
      </c>
      <c r="E15" s="7" t="s">
        <v>867</v>
      </c>
      <c r="F15" s="2"/>
    </row>
    <row r="16" spans="1:6" ht="14" customHeight="1">
      <c r="A16" s="8">
        <v>1</v>
      </c>
      <c r="B16" s="7" t="str">
        <f>المدخلات!$F$6</f>
        <v>6:40–7:50 م</v>
      </c>
      <c r="C16" s="7">
        <v>5</v>
      </c>
      <c r="D16" s="7" t="s">
        <v>594</v>
      </c>
      <c r="E16" s="7" t="s">
        <v>862</v>
      </c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1</v>
      </c>
      <c r="D17" s="7" t="s">
        <v>593</v>
      </c>
      <c r="E17" s="7" t="s">
        <v>1059</v>
      </c>
      <c r="F17" s="2"/>
    </row>
    <row r="18" spans="1:6" ht="14" customHeight="1">
      <c r="A18" s="8">
        <v>2</v>
      </c>
      <c r="B18" s="7" t="str">
        <f>المدخلات!$F$4</f>
        <v>4:00–5:10 م</v>
      </c>
      <c r="C18" s="7">
        <v>2</v>
      </c>
      <c r="D18" s="7" t="s">
        <v>593</v>
      </c>
      <c r="E18" s="7" t="s">
        <v>96</v>
      </c>
      <c r="F18" s="2"/>
    </row>
    <row r="19" spans="1:6" ht="14" customHeight="1">
      <c r="A19" s="8">
        <v>2</v>
      </c>
      <c r="B19" s="7" t="str">
        <f>المدخلات!$F$4</f>
        <v>4:00–5:10 م</v>
      </c>
      <c r="C19" s="7">
        <v>3</v>
      </c>
      <c r="D19" s="7" t="s">
        <v>593</v>
      </c>
      <c r="E19" s="7" t="s">
        <v>1060</v>
      </c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1</v>
      </c>
      <c r="D20" s="7" t="s">
        <v>593</v>
      </c>
      <c r="E20" s="7" t="s">
        <v>1064</v>
      </c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2</v>
      </c>
      <c r="D21" s="7" t="s">
        <v>593</v>
      </c>
      <c r="E21" s="7" t="s">
        <v>1050</v>
      </c>
      <c r="F21" s="2"/>
    </row>
    <row r="22" spans="1:6" ht="14" customHeight="1">
      <c r="A22" s="8">
        <v>2</v>
      </c>
      <c r="B22" s="7" t="str">
        <f>المدخلات!$F$5</f>
        <v>5:20–6:30 م</v>
      </c>
      <c r="C22" s="7">
        <v>3</v>
      </c>
      <c r="D22" s="7" t="s">
        <v>593</v>
      </c>
      <c r="E22" s="7" t="s">
        <v>863</v>
      </c>
      <c r="F22" s="2"/>
    </row>
    <row r="23" spans="1:6" ht="14" customHeight="1">
      <c r="A23" s="8">
        <v>2</v>
      </c>
      <c r="B23" s="7" t="str">
        <f>المدخلات!$F$6</f>
        <v>6:40–7:50 م</v>
      </c>
      <c r="C23" s="7">
        <v>1</v>
      </c>
      <c r="D23" s="7" t="s">
        <v>593</v>
      </c>
      <c r="E23" s="7" t="s">
        <v>23</v>
      </c>
      <c r="F23" s="2"/>
    </row>
    <row r="24" spans="1:6" ht="14" customHeight="1">
      <c r="A24" s="8">
        <v>2</v>
      </c>
      <c r="B24" s="7" t="str">
        <f>المدخلات!$F$4</f>
        <v>4:00–5:10 م</v>
      </c>
      <c r="C24" s="7">
        <v>4</v>
      </c>
      <c r="D24" s="7" t="s">
        <v>594</v>
      </c>
      <c r="E24" s="7" t="s">
        <v>241</v>
      </c>
      <c r="F24" s="2"/>
    </row>
    <row r="25" spans="1:6" ht="14" customHeight="1">
      <c r="A25" s="8">
        <v>2</v>
      </c>
      <c r="B25" s="7" t="str">
        <f>المدخلات!$F$4</f>
        <v>4:00–5:10 م</v>
      </c>
      <c r="C25" s="7">
        <v>5</v>
      </c>
      <c r="D25" s="7" t="s">
        <v>594</v>
      </c>
      <c r="E25" s="7" t="s">
        <v>853</v>
      </c>
      <c r="F25" s="2"/>
    </row>
    <row r="26" spans="1:6" ht="14" customHeight="1">
      <c r="A26" s="8">
        <v>2</v>
      </c>
      <c r="B26" s="7" t="str">
        <f>المدخلات!$F$5</f>
        <v>5:20–6:30 م</v>
      </c>
      <c r="C26" s="7">
        <v>4</v>
      </c>
      <c r="D26" s="7" t="s">
        <v>594</v>
      </c>
      <c r="E26" s="7" t="s">
        <v>861</v>
      </c>
      <c r="F26" s="2"/>
    </row>
    <row r="27" spans="1:6" ht="14" customHeight="1">
      <c r="A27" s="8">
        <v>2</v>
      </c>
      <c r="B27" s="7" t="str">
        <f>المدخلات!$F$5</f>
        <v>5:20–6:30 م</v>
      </c>
      <c r="C27" s="7">
        <v>5</v>
      </c>
      <c r="D27" s="7" t="s">
        <v>594</v>
      </c>
      <c r="E27" s="7" t="s">
        <v>196</v>
      </c>
      <c r="F27" s="2"/>
    </row>
    <row r="28" spans="1:6" ht="14" customHeight="1">
      <c r="A28" s="8">
        <v>2</v>
      </c>
      <c r="B28" s="7" t="str">
        <f>المدخلات!$F$6</f>
        <v>6:40–7:50 م</v>
      </c>
      <c r="C28" s="7">
        <v>4</v>
      </c>
      <c r="D28" s="7" t="s">
        <v>594</v>
      </c>
      <c r="E28" s="7" t="s">
        <v>1157</v>
      </c>
      <c r="F28" s="2"/>
    </row>
    <row r="29" spans="1:6" ht="14" customHeight="1">
      <c r="A29" s="8">
        <v>2</v>
      </c>
      <c r="B29" s="7" t="str">
        <f>المدخلات!$F$6</f>
        <v>6:40–7:50 م</v>
      </c>
      <c r="C29" s="7">
        <v>5</v>
      </c>
      <c r="D29" s="7" t="s">
        <v>594</v>
      </c>
      <c r="E29" s="7" t="s">
        <v>1158</v>
      </c>
      <c r="F29" s="2"/>
    </row>
    <row r="30" spans="1:6" ht="14" customHeight="1">
      <c r="A30" s="8">
        <v>3</v>
      </c>
      <c r="B30" s="7" t="str">
        <f>المدخلات!$F$4</f>
        <v>4:00–5:10 م</v>
      </c>
      <c r="C30" s="7">
        <v>1</v>
      </c>
      <c r="D30" s="7" t="s">
        <v>593</v>
      </c>
      <c r="E30" s="7" t="s">
        <v>62</v>
      </c>
      <c r="F30" s="2"/>
    </row>
    <row r="31" spans="1:6" ht="14" customHeight="1">
      <c r="A31" s="8">
        <v>3</v>
      </c>
      <c r="B31" s="7" t="str">
        <f>المدخلات!$F$4</f>
        <v>4:00–5:10 م</v>
      </c>
      <c r="C31" s="7">
        <v>2</v>
      </c>
      <c r="D31" s="7" t="s">
        <v>593</v>
      </c>
      <c r="E31" s="7" t="s">
        <v>636</v>
      </c>
      <c r="F31" s="2"/>
    </row>
    <row r="32" spans="1:6" ht="14" customHeight="1">
      <c r="A32" s="8">
        <v>3</v>
      </c>
      <c r="B32" s="7" t="str">
        <f>المدخلات!$F$4</f>
        <v>4:00–5:10 م</v>
      </c>
      <c r="C32" s="7">
        <v>3</v>
      </c>
      <c r="D32" s="7" t="s">
        <v>593</v>
      </c>
      <c r="E32" s="7" t="s">
        <v>90</v>
      </c>
      <c r="F32" s="2"/>
    </row>
    <row r="33" spans="1:6" ht="14" customHeight="1">
      <c r="A33" s="8">
        <v>3</v>
      </c>
      <c r="B33" s="7" t="str">
        <f>المدخلات!$F$5</f>
        <v>5:20–6:30 م</v>
      </c>
      <c r="C33" s="7">
        <v>1</v>
      </c>
      <c r="D33" s="7" t="s">
        <v>593</v>
      </c>
      <c r="E33" s="7" t="s">
        <v>26</v>
      </c>
      <c r="F33" s="2"/>
    </row>
    <row r="34" spans="1:6" ht="14" customHeight="1">
      <c r="A34" s="8">
        <v>3</v>
      </c>
      <c r="B34" s="7" t="str">
        <f>المدخلات!$F$5</f>
        <v>5:20–6:30 م</v>
      </c>
      <c r="C34" s="7">
        <v>2</v>
      </c>
      <c r="D34" s="7" t="s">
        <v>593</v>
      </c>
      <c r="E34" s="7" t="s">
        <v>16</v>
      </c>
      <c r="F34" s="2"/>
    </row>
    <row r="35" spans="1:6" ht="14" customHeight="1">
      <c r="A35" s="8">
        <v>3</v>
      </c>
      <c r="B35" s="7" t="str">
        <f>المدخلات!$F$5</f>
        <v>5:20–6:30 م</v>
      </c>
      <c r="C35" s="7">
        <v>3</v>
      </c>
      <c r="D35" s="7" t="s">
        <v>593</v>
      </c>
      <c r="E35" s="7" t="s">
        <v>33</v>
      </c>
      <c r="F35" s="2"/>
    </row>
    <row r="36" spans="1:6" ht="14" customHeight="1">
      <c r="A36" s="8">
        <v>3</v>
      </c>
      <c r="B36" s="7" t="str">
        <f>المدخلات!$F$6</f>
        <v>6:40–7:50 م</v>
      </c>
      <c r="C36" s="7">
        <v>1</v>
      </c>
      <c r="D36" s="7" t="s">
        <v>593</v>
      </c>
      <c r="E36" s="7" t="s">
        <v>40</v>
      </c>
      <c r="F36" s="2"/>
    </row>
    <row r="37" spans="1:6" ht="14" customHeight="1">
      <c r="A37" s="8">
        <v>3</v>
      </c>
      <c r="B37" s="7" t="str">
        <f>المدخلات!$F$4</f>
        <v>4:00–5:10 م</v>
      </c>
      <c r="C37" s="7">
        <v>4</v>
      </c>
      <c r="D37" s="7" t="s">
        <v>594</v>
      </c>
      <c r="E37" s="7" t="s">
        <v>197</v>
      </c>
      <c r="F37" s="2"/>
    </row>
    <row r="38" spans="1:6" ht="14" customHeight="1">
      <c r="A38" s="8">
        <v>3</v>
      </c>
      <c r="B38" s="7" t="str">
        <f>المدخلات!$F$4</f>
        <v>4:00–5:10 م</v>
      </c>
      <c r="C38" s="7">
        <v>5</v>
      </c>
      <c r="D38" s="7" t="s">
        <v>594</v>
      </c>
      <c r="E38" s="7" t="s">
        <v>177</v>
      </c>
      <c r="F38" s="2"/>
    </row>
    <row r="39" spans="1:6" ht="14" customHeight="1">
      <c r="A39" s="8">
        <v>3</v>
      </c>
      <c r="B39" s="7" t="str">
        <f>المدخلات!$F$5</f>
        <v>5:20–6:30 م</v>
      </c>
      <c r="C39" s="7">
        <v>4</v>
      </c>
      <c r="D39" s="7" t="s">
        <v>594</v>
      </c>
      <c r="E39" s="7" t="s">
        <v>794</v>
      </c>
      <c r="F39" s="2"/>
    </row>
    <row r="40" spans="1:6" ht="14" customHeight="1">
      <c r="A40" s="8">
        <v>3</v>
      </c>
      <c r="B40" s="7" t="str">
        <f>المدخلات!$F$5</f>
        <v>5:20–6:30 م</v>
      </c>
      <c r="C40" s="7">
        <v>5</v>
      </c>
      <c r="D40" s="7" t="s">
        <v>594</v>
      </c>
      <c r="E40" s="7" t="s">
        <v>212</v>
      </c>
      <c r="F40" s="2"/>
    </row>
    <row r="41" spans="1:6" ht="14" customHeight="1">
      <c r="A41" s="8">
        <v>3</v>
      </c>
      <c r="B41" s="7" t="str">
        <f>المدخلات!$F$6</f>
        <v>6:40–7:50 م</v>
      </c>
      <c r="C41" s="7">
        <v>4</v>
      </c>
      <c r="D41" s="7" t="s">
        <v>594</v>
      </c>
      <c r="E41" s="7" t="s">
        <v>858</v>
      </c>
      <c r="F41" s="2"/>
    </row>
    <row r="42" spans="1:6" ht="14" customHeight="1">
      <c r="A42" s="8">
        <v>3</v>
      </c>
      <c r="B42" s="7" t="str">
        <f>المدخلات!$F$6</f>
        <v>6:40–7:50 م</v>
      </c>
      <c r="C42" s="7">
        <v>5</v>
      </c>
      <c r="D42" s="7" t="s">
        <v>594</v>
      </c>
      <c r="E42" s="7" t="s">
        <v>238</v>
      </c>
      <c r="F42" s="2"/>
    </row>
    <row r="43" spans="1:6" ht="14" customHeight="1">
      <c r="A43" s="8">
        <v>4</v>
      </c>
      <c r="B43" s="7" t="str">
        <f>المدخلات!$F$4</f>
        <v>4:00–5:10 م</v>
      </c>
      <c r="C43" s="7">
        <v>1</v>
      </c>
      <c r="D43" s="7" t="s">
        <v>593</v>
      </c>
      <c r="E43" s="7" t="s">
        <v>12</v>
      </c>
      <c r="F43" s="2"/>
    </row>
    <row r="44" spans="1:6" ht="14" customHeight="1">
      <c r="A44" s="8">
        <v>4</v>
      </c>
      <c r="B44" s="7" t="str">
        <f>المدخلات!$F$4</f>
        <v>4:00–5:10 م</v>
      </c>
      <c r="C44" s="7">
        <v>2</v>
      </c>
      <c r="D44" s="7" t="s">
        <v>593</v>
      </c>
      <c r="E44" s="7" t="s">
        <v>10</v>
      </c>
      <c r="F44" s="2"/>
    </row>
    <row r="45" spans="1:6" ht="14" customHeight="1">
      <c r="A45" s="8">
        <v>4</v>
      </c>
      <c r="B45" s="7" t="str">
        <f>المدخلات!$F$4</f>
        <v>4:00–5:10 م</v>
      </c>
      <c r="C45" s="7">
        <v>3</v>
      </c>
      <c r="D45" s="7" t="s">
        <v>593</v>
      </c>
      <c r="E45" s="7" t="s">
        <v>54</v>
      </c>
      <c r="F45" s="2"/>
    </row>
    <row r="46" spans="1:6" ht="14" customHeight="1">
      <c r="A46" s="8">
        <v>4</v>
      </c>
      <c r="B46" s="7" t="str">
        <f>المدخلات!$F$5</f>
        <v>5:20–6:30 م</v>
      </c>
      <c r="C46" s="7">
        <v>1</v>
      </c>
      <c r="D46" s="7" t="s">
        <v>593</v>
      </c>
      <c r="E46" s="7" t="s">
        <v>64</v>
      </c>
      <c r="F46" s="2"/>
    </row>
    <row r="47" spans="1:6" ht="14" customHeight="1">
      <c r="A47" s="8">
        <v>4</v>
      </c>
      <c r="B47" s="7" t="str">
        <f>المدخلات!$F$5</f>
        <v>5:20–6:30 م</v>
      </c>
      <c r="C47" s="7">
        <v>2</v>
      </c>
      <c r="D47" s="7" t="s">
        <v>593</v>
      </c>
      <c r="E47" s="7" t="s">
        <v>1045</v>
      </c>
      <c r="F47" s="2"/>
    </row>
    <row r="48" spans="1:6" ht="14" customHeight="1">
      <c r="A48" s="8">
        <v>4</v>
      </c>
      <c r="B48" s="7" t="str">
        <f>المدخلات!$F$5</f>
        <v>5:20–6:30 م</v>
      </c>
      <c r="C48" s="7">
        <v>3</v>
      </c>
      <c r="D48" s="7" t="s">
        <v>593</v>
      </c>
      <c r="E48" s="7" t="s">
        <v>91</v>
      </c>
      <c r="F48" s="2"/>
    </row>
    <row r="49" spans="1:6" ht="14" customHeight="1">
      <c r="A49" s="8">
        <v>4</v>
      </c>
      <c r="B49" s="7" t="str">
        <f>المدخلات!$F$6</f>
        <v>6:40–7:50 م</v>
      </c>
      <c r="C49" s="7">
        <v>1</v>
      </c>
      <c r="D49" s="7" t="s">
        <v>593</v>
      </c>
      <c r="E49" s="7" t="s">
        <v>95</v>
      </c>
      <c r="F49" s="2"/>
    </row>
    <row r="50" spans="1:6" ht="14" customHeight="1">
      <c r="A50" s="8">
        <v>4</v>
      </c>
      <c r="B50" s="7" t="str">
        <f>المدخلات!$F$4</f>
        <v>4:00–5:10 م</v>
      </c>
      <c r="C50" s="7">
        <v>4</v>
      </c>
      <c r="D50" s="7" t="s">
        <v>594</v>
      </c>
      <c r="E50" s="7" t="s">
        <v>237</v>
      </c>
      <c r="F50" s="2"/>
    </row>
    <row r="51" spans="1:6" ht="14" customHeight="1">
      <c r="A51" s="8">
        <v>4</v>
      </c>
      <c r="B51" s="7" t="str">
        <f>المدخلات!$F$4</f>
        <v>4:00–5:10 م</v>
      </c>
      <c r="C51" s="7">
        <v>5</v>
      </c>
      <c r="D51" s="7" t="s">
        <v>594</v>
      </c>
      <c r="E51" s="7" t="s">
        <v>869</v>
      </c>
      <c r="F51" s="2"/>
    </row>
    <row r="52" spans="1:6" ht="14" customHeight="1">
      <c r="A52" s="8">
        <v>4</v>
      </c>
      <c r="B52" s="7" t="str">
        <f>المدخلات!$F$5</f>
        <v>5:20–6:30 م</v>
      </c>
      <c r="C52" s="7">
        <v>4</v>
      </c>
      <c r="D52" s="7" t="s">
        <v>594</v>
      </c>
      <c r="E52" s="7" t="s">
        <v>161</v>
      </c>
      <c r="F52" s="2"/>
    </row>
    <row r="53" spans="1:6" ht="14" customHeight="1">
      <c r="A53" s="8">
        <v>4</v>
      </c>
      <c r="B53" s="7" t="str">
        <f>المدخلات!$F$5</f>
        <v>5:20–6:30 م</v>
      </c>
      <c r="C53" s="7">
        <v>5</v>
      </c>
      <c r="D53" s="7" t="s">
        <v>594</v>
      </c>
      <c r="E53" s="7" t="s">
        <v>232</v>
      </c>
      <c r="F53" s="2"/>
    </row>
    <row r="54" spans="1:6" ht="14" customHeight="1">
      <c r="A54" s="8">
        <v>4</v>
      </c>
      <c r="B54" s="7" t="str">
        <f>المدخلات!$F$6</f>
        <v>6:40–7:50 م</v>
      </c>
      <c r="C54" s="7">
        <v>4</v>
      </c>
      <c r="D54" s="7" t="s">
        <v>594</v>
      </c>
      <c r="E54" s="7" t="s">
        <v>251</v>
      </c>
      <c r="F54" s="2"/>
    </row>
    <row r="55" spans="1:6" ht="14" customHeight="1">
      <c r="A55" s="8">
        <v>4</v>
      </c>
      <c r="B55" s="7" t="str">
        <f>المدخلات!$F$6</f>
        <v>6:40–7:50 م</v>
      </c>
      <c r="C55" s="7">
        <v>5</v>
      </c>
      <c r="D55" s="7" t="s">
        <v>594</v>
      </c>
      <c r="E55" s="7" t="s">
        <v>178</v>
      </c>
      <c r="F55" s="2"/>
    </row>
    <row r="56" spans="1:6" ht="14" customHeight="1">
      <c r="A56" s="8">
        <v>5</v>
      </c>
      <c r="B56" s="7" t="str">
        <f>المدخلات!$F$4</f>
        <v>4:00–5:10 م</v>
      </c>
      <c r="C56" s="7">
        <v>1</v>
      </c>
      <c r="D56" s="7" t="s">
        <v>593</v>
      </c>
      <c r="E56" s="7" t="s">
        <v>723</v>
      </c>
      <c r="F56" s="2"/>
    </row>
    <row r="57" spans="1:6" ht="14" customHeight="1">
      <c r="A57" s="8">
        <v>5</v>
      </c>
      <c r="B57" s="7" t="str">
        <f>المدخلات!$F$4</f>
        <v>4:00–5:10 م</v>
      </c>
      <c r="C57" s="7">
        <v>2</v>
      </c>
      <c r="D57" s="7" t="s">
        <v>593</v>
      </c>
      <c r="E57" s="7" t="s">
        <v>722</v>
      </c>
      <c r="F57" s="2"/>
    </row>
    <row r="58" spans="1:6" ht="14" customHeight="1">
      <c r="A58" s="8">
        <v>5</v>
      </c>
      <c r="B58" s="7" t="str">
        <f>المدخلات!$F$4</f>
        <v>4:00–5:10 م</v>
      </c>
      <c r="C58" s="7">
        <v>3</v>
      </c>
      <c r="D58" s="7" t="s">
        <v>593</v>
      </c>
      <c r="E58" s="7" t="s">
        <v>19</v>
      </c>
      <c r="F58" s="2"/>
    </row>
    <row r="59" spans="1:6" ht="14" customHeight="1">
      <c r="A59" s="8">
        <v>5</v>
      </c>
      <c r="B59" s="7" t="str">
        <f>المدخلات!$F$5</f>
        <v>5:20–6:30 م</v>
      </c>
      <c r="C59" s="7">
        <v>1</v>
      </c>
      <c r="D59" s="7" t="s">
        <v>593</v>
      </c>
      <c r="E59" s="7" t="s">
        <v>52</v>
      </c>
      <c r="F59" s="2"/>
    </row>
    <row r="60" spans="1:6" ht="14" customHeight="1">
      <c r="A60" s="8">
        <v>5</v>
      </c>
      <c r="B60" s="7" t="str">
        <f>المدخلات!$F$5</f>
        <v>5:20–6:30 م</v>
      </c>
      <c r="C60" s="7">
        <v>2</v>
      </c>
      <c r="D60" s="7" t="s">
        <v>593</v>
      </c>
      <c r="E60" s="7" t="s">
        <v>7</v>
      </c>
      <c r="F60" s="2"/>
    </row>
    <row r="61" spans="1:6" ht="14" customHeight="1">
      <c r="A61" s="8">
        <v>5</v>
      </c>
      <c r="B61" s="7" t="str">
        <f>المدخلات!$F$5</f>
        <v>5:20–6:30 م</v>
      </c>
      <c r="C61" s="7">
        <v>3</v>
      </c>
      <c r="D61" s="7" t="s">
        <v>593</v>
      </c>
      <c r="E61" s="7" t="s">
        <v>724</v>
      </c>
      <c r="F61" s="2"/>
    </row>
    <row r="62" spans="1:6" ht="14" customHeight="1">
      <c r="A62" s="8">
        <v>5</v>
      </c>
      <c r="B62" s="7" t="str">
        <f>المدخلات!$F$6</f>
        <v>6:40–7:50 م</v>
      </c>
      <c r="C62" s="7">
        <v>1</v>
      </c>
      <c r="D62" s="7" t="s">
        <v>593</v>
      </c>
      <c r="E62" s="7" t="s">
        <v>1054</v>
      </c>
      <c r="F62" s="2"/>
    </row>
    <row r="63" spans="1:6" ht="14" customHeight="1">
      <c r="A63" s="8">
        <v>5</v>
      </c>
      <c r="B63" s="7" t="str">
        <f>المدخلات!$F$4</f>
        <v>4:00–5:10 م</v>
      </c>
      <c r="C63" s="7">
        <v>4</v>
      </c>
      <c r="D63" s="7" t="s">
        <v>594</v>
      </c>
      <c r="E63" s="7" t="s">
        <v>151</v>
      </c>
      <c r="F63" s="2"/>
    </row>
    <row r="64" spans="1:6" ht="14" customHeight="1">
      <c r="A64" s="8">
        <v>5</v>
      </c>
      <c r="B64" s="7" t="str">
        <f>المدخلات!$F$4</f>
        <v>4:00–5:10 م</v>
      </c>
      <c r="C64" s="7">
        <v>5</v>
      </c>
      <c r="D64" s="7" t="s">
        <v>594</v>
      </c>
      <c r="E64" s="7" t="s">
        <v>870</v>
      </c>
      <c r="F64" s="2"/>
    </row>
    <row r="65" spans="1:6" ht="14" customHeight="1">
      <c r="A65" s="8">
        <v>5</v>
      </c>
      <c r="B65" s="7" t="str">
        <f>المدخلات!$F$5</f>
        <v>5:20–6:30 م</v>
      </c>
      <c r="C65" s="7">
        <v>4</v>
      </c>
      <c r="D65" s="7" t="s">
        <v>594</v>
      </c>
      <c r="E65" s="7" t="s">
        <v>815</v>
      </c>
      <c r="F65" s="2"/>
    </row>
    <row r="66" spans="1:6" ht="14" customHeight="1">
      <c r="A66" s="8">
        <v>5</v>
      </c>
      <c r="B66" s="7" t="str">
        <f>المدخلات!$F$5</f>
        <v>5:20–6:30 م</v>
      </c>
      <c r="C66" s="7">
        <v>5</v>
      </c>
      <c r="D66" s="7" t="s">
        <v>594</v>
      </c>
      <c r="E66" s="7" t="s">
        <v>856</v>
      </c>
      <c r="F66" s="2"/>
    </row>
    <row r="67" spans="1:6" ht="14" customHeight="1">
      <c r="A67" s="8">
        <v>5</v>
      </c>
      <c r="B67" s="7" t="str">
        <f>المدخلات!$F$6</f>
        <v>6:40–7:50 م</v>
      </c>
      <c r="C67" s="7">
        <v>4</v>
      </c>
      <c r="D67" s="7" t="s">
        <v>594</v>
      </c>
      <c r="E67" s="7" t="s">
        <v>229</v>
      </c>
      <c r="F67" s="2"/>
    </row>
    <row r="68" spans="1:6" ht="14" customHeight="1">
      <c r="A68" s="8">
        <v>5</v>
      </c>
      <c r="B68" s="7" t="str">
        <f>المدخلات!$F$6</f>
        <v>6:40–7:50 م</v>
      </c>
      <c r="C68" s="7">
        <v>5</v>
      </c>
      <c r="D68" s="7" t="s">
        <v>594</v>
      </c>
      <c r="E68" s="7" t="s">
        <v>612</v>
      </c>
      <c r="F68" s="2"/>
    </row>
    <row r="69" spans="1:6" ht="14" customHeight="1">
      <c r="A69" s="8">
        <v>6</v>
      </c>
      <c r="B69" s="7" t="str">
        <f>المدخلات!$F$4</f>
        <v>4:00–5:10 م</v>
      </c>
      <c r="C69" s="7">
        <v>1</v>
      </c>
      <c r="D69" s="7" t="s">
        <v>593</v>
      </c>
      <c r="E69" s="7" t="s">
        <v>36</v>
      </c>
      <c r="F69" s="2"/>
    </row>
    <row r="70" spans="1:6" ht="14" customHeight="1">
      <c r="A70" s="8">
        <v>6</v>
      </c>
      <c r="B70" s="7" t="str">
        <f>المدخلات!$F$4</f>
        <v>4:00–5:10 م</v>
      </c>
      <c r="C70" s="7">
        <v>2</v>
      </c>
      <c r="D70" s="7" t="s">
        <v>593</v>
      </c>
      <c r="E70" s="7" t="s">
        <v>17</v>
      </c>
      <c r="F70" s="2"/>
    </row>
    <row r="71" spans="1:6" ht="14" customHeight="1">
      <c r="A71" s="8">
        <v>6</v>
      </c>
      <c r="B71" s="7" t="str">
        <f>المدخلات!$F$4</f>
        <v>4:00–5:10 م</v>
      </c>
      <c r="C71" s="7">
        <v>3</v>
      </c>
      <c r="D71" s="7" t="s">
        <v>593</v>
      </c>
      <c r="E71" s="7" t="s">
        <v>60</v>
      </c>
      <c r="F71" s="2"/>
    </row>
    <row r="72" spans="1:6" ht="14" customHeight="1">
      <c r="A72" s="8">
        <v>6</v>
      </c>
      <c r="B72" s="7" t="str">
        <f>المدخلات!$F$5</f>
        <v>5:20–6:30 م</v>
      </c>
      <c r="C72" s="7">
        <v>1</v>
      </c>
      <c r="D72" s="7" t="s">
        <v>593</v>
      </c>
      <c r="E72" s="7" t="s">
        <v>45</v>
      </c>
      <c r="F72" s="2"/>
    </row>
    <row r="73" spans="1:6" ht="14" customHeight="1">
      <c r="A73" s="8">
        <v>6</v>
      </c>
      <c r="B73" s="7" t="str">
        <f>المدخلات!$F$5</f>
        <v>5:20–6:30 م</v>
      </c>
      <c r="C73" s="7">
        <v>2</v>
      </c>
      <c r="D73" s="7" t="s">
        <v>593</v>
      </c>
      <c r="E73" s="7" t="s">
        <v>69</v>
      </c>
      <c r="F73" s="2"/>
    </row>
    <row r="74" spans="1:6" ht="14" customHeight="1">
      <c r="A74" s="8">
        <v>6</v>
      </c>
      <c r="B74" s="7" t="str">
        <f>المدخلات!$F$5</f>
        <v>5:20–6:30 م</v>
      </c>
      <c r="C74" s="7">
        <v>3</v>
      </c>
      <c r="D74" s="7" t="s">
        <v>593</v>
      </c>
      <c r="E74" s="7" t="s">
        <v>744</v>
      </c>
      <c r="F74" s="2"/>
    </row>
    <row r="75" spans="1:6" ht="14" customHeight="1">
      <c r="A75" s="8">
        <v>6</v>
      </c>
      <c r="B75" s="7" t="str">
        <f>المدخلات!$F$6</f>
        <v>6:40–7:50 م</v>
      </c>
      <c r="C75" s="7">
        <v>1</v>
      </c>
      <c r="D75" s="7" t="s">
        <v>593</v>
      </c>
      <c r="E75" s="7" t="s">
        <v>123</v>
      </c>
      <c r="F75" s="2"/>
    </row>
    <row r="76" spans="1:6" ht="14" customHeight="1">
      <c r="A76" s="8">
        <v>6</v>
      </c>
      <c r="B76" s="7" t="str">
        <f>المدخلات!$F$4</f>
        <v>4:00–5:10 م</v>
      </c>
      <c r="C76" s="7">
        <v>4</v>
      </c>
      <c r="D76" s="7" t="s">
        <v>594</v>
      </c>
      <c r="E76" s="7" t="s">
        <v>325</v>
      </c>
      <c r="F76" s="2"/>
    </row>
    <row r="77" spans="1:6" ht="14" customHeight="1">
      <c r="A77" s="8">
        <v>6</v>
      </c>
      <c r="B77" s="7" t="str">
        <f>المدخلات!$F$4</f>
        <v>4:00–5:10 م</v>
      </c>
      <c r="C77" s="7">
        <v>5</v>
      </c>
      <c r="D77" s="7" t="s">
        <v>594</v>
      </c>
      <c r="E77" s="7" t="s">
        <v>219</v>
      </c>
      <c r="F77" s="2"/>
    </row>
    <row r="78" spans="1:6" ht="14" customHeight="1">
      <c r="A78" s="8">
        <v>6</v>
      </c>
      <c r="B78" s="7" t="str">
        <f>المدخلات!$F$5</f>
        <v>5:20–6:30 م</v>
      </c>
      <c r="C78" s="7">
        <v>4</v>
      </c>
      <c r="D78" s="7" t="s">
        <v>594</v>
      </c>
      <c r="E78" s="7" t="s">
        <v>871</v>
      </c>
      <c r="F78" s="2"/>
    </row>
    <row r="79" spans="1:6" ht="14" customHeight="1">
      <c r="A79" s="8">
        <v>6</v>
      </c>
      <c r="B79" s="7" t="str">
        <f>المدخلات!$F$5</f>
        <v>5:20–6:30 م</v>
      </c>
      <c r="C79" s="7">
        <v>5</v>
      </c>
      <c r="D79" s="7" t="s">
        <v>594</v>
      </c>
      <c r="E79" s="7" t="s">
        <v>207</v>
      </c>
      <c r="F79" s="2"/>
    </row>
    <row r="80" spans="1:6" ht="14" customHeight="1">
      <c r="A80" s="8">
        <v>6</v>
      </c>
      <c r="B80" s="7" t="str">
        <f>المدخلات!$F$6</f>
        <v>6:40–7:50 م</v>
      </c>
      <c r="C80" s="7">
        <v>4</v>
      </c>
      <c r="D80" s="7" t="s">
        <v>594</v>
      </c>
      <c r="E80" s="7" t="s">
        <v>859</v>
      </c>
      <c r="F80" s="2"/>
    </row>
    <row r="81" spans="1:6" ht="14" customHeight="1">
      <c r="A81" s="8">
        <v>6</v>
      </c>
      <c r="B81" s="7" t="str">
        <f>المدخلات!$F$6</f>
        <v>6:40–7:50 م</v>
      </c>
      <c r="C81" s="7">
        <v>5</v>
      </c>
      <c r="D81" s="7" t="s">
        <v>594</v>
      </c>
      <c r="E81" s="7" t="s">
        <v>228</v>
      </c>
      <c r="F81" s="2"/>
    </row>
    <row r="82" spans="1:6" ht="14" customHeight="1">
      <c r="A82" s="8">
        <v>7</v>
      </c>
      <c r="B82" s="7" t="str">
        <f>المدخلات!$F$4</f>
        <v>4:00–5:10 م</v>
      </c>
      <c r="C82" s="7">
        <v>1</v>
      </c>
      <c r="D82" s="7" t="s">
        <v>593</v>
      </c>
      <c r="E82" s="7" t="s">
        <v>51</v>
      </c>
      <c r="F82" s="2"/>
    </row>
    <row r="83" spans="1:6" ht="14" customHeight="1">
      <c r="A83" s="8">
        <v>7</v>
      </c>
      <c r="B83" s="7" t="str">
        <f>المدخلات!$F$4</f>
        <v>4:00–5:10 م</v>
      </c>
      <c r="C83" s="7">
        <v>2</v>
      </c>
      <c r="D83" s="7" t="s">
        <v>593</v>
      </c>
      <c r="E83" s="7" t="s">
        <v>1049</v>
      </c>
      <c r="F83" s="2"/>
    </row>
    <row r="84" spans="1:6" ht="14" customHeight="1">
      <c r="A84" s="8">
        <v>7</v>
      </c>
      <c r="B84" s="7" t="str">
        <f>المدخلات!$F$4</f>
        <v>4:00–5:10 م</v>
      </c>
      <c r="C84" s="7">
        <v>3</v>
      </c>
      <c r="D84" s="7" t="s">
        <v>593</v>
      </c>
      <c r="E84" s="7" t="s">
        <v>766</v>
      </c>
      <c r="F84" s="2"/>
    </row>
    <row r="85" spans="1:6" ht="14" customHeight="1">
      <c r="A85" s="8">
        <v>7</v>
      </c>
      <c r="B85" s="7" t="str">
        <f>المدخلات!$F$5</f>
        <v>5:20–6:30 م</v>
      </c>
      <c r="C85" s="7">
        <v>1</v>
      </c>
      <c r="D85" s="7" t="s">
        <v>593</v>
      </c>
      <c r="E85" s="7" t="s">
        <v>768</v>
      </c>
      <c r="F85" s="2"/>
    </row>
    <row r="86" spans="1:6" ht="14" customHeight="1">
      <c r="A86" s="8">
        <v>7</v>
      </c>
      <c r="B86" s="7" t="str">
        <f>المدخلات!$F$5</f>
        <v>5:20–6:30 م</v>
      </c>
      <c r="C86" s="7">
        <v>2</v>
      </c>
      <c r="D86" s="7" t="s">
        <v>593</v>
      </c>
      <c r="E86" s="7" t="s">
        <v>42</v>
      </c>
      <c r="F86" s="2"/>
    </row>
    <row r="87" spans="1:6" ht="14" customHeight="1">
      <c r="A87" s="8">
        <v>7</v>
      </c>
      <c r="B87" s="7" t="str">
        <f>المدخلات!$F$5</f>
        <v>5:20–6:30 م</v>
      </c>
      <c r="C87" s="7">
        <v>3</v>
      </c>
      <c r="D87" s="7" t="s">
        <v>593</v>
      </c>
      <c r="E87" s="7" t="s">
        <v>769</v>
      </c>
      <c r="F87" s="2"/>
    </row>
    <row r="88" spans="1:6" ht="14" customHeight="1">
      <c r="A88" s="8">
        <v>7</v>
      </c>
      <c r="B88" s="7" t="str">
        <f>المدخلات!$F$6</f>
        <v>6:40–7:50 م</v>
      </c>
      <c r="C88" s="7">
        <v>1</v>
      </c>
      <c r="D88" s="7" t="s">
        <v>593</v>
      </c>
      <c r="E88" s="7" t="s">
        <v>767</v>
      </c>
      <c r="F88" s="2"/>
    </row>
    <row r="89" spans="1:6" ht="14" customHeight="1">
      <c r="A89" s="8">
        <v>7</v>
      </c>
      <c r="B89" s="7" t="str">
        <f>المدخلات!$F$4</f>
        <v>4:00–5:10 م</v>
      </c>
      <c r="C89" s="7">
        <v>4</v>
      </c>
      <c r="D89" s="7" t="s">
        <v>594</v>
      </c>
      <c r="E89" s="7" t="s">
        <v>243</v>
      </c>
      <c r="F89" s="2"/>
    </row>
    <row r="90" spans="1:6" ht="14" customHeight="1">
      <c r="A90" s="8">
        <v>7</v>
      </c>
      <c r="B90" s="7" t="str">
        <f>المدخلات!$F$4</f>
        <v>4:00–5:10 م</v>
      </c>
      <c r="C90" s="7">
        <v>5</v>
      </c>
      <c r="D90" s="7" t="s">
        <v>594</v>
      </c>
      <c r="E90" s="7" t="s">
        <v>860</v>
      </c>
      <c r="F90" s="2"/>
    </row>
    <row r="91" spans="1:6" ht="14" customHeight="1">
      <c r="A91" s="8">
        <v>7</v>
      </c>
      <c r="B91" s="7" t="str">
        <f>المدخلات!$F$5</f>
        <v>5:20–6:30 م</v>
      </c>
      <c r="C91" s="7">
        <v>4</v>
      </c>
      <c r="D91" s="7" t="s">
        <v>594</v>
      </c>
      <c r="E91" s="7" t="s">
        <v>836</v>
      </c>
      <c r="F91" s="2"/>
    </row>
    <row r="92" spans="1:6" ht="14" customHeight="1">
      <c r="A92" s="8">
        <v>7</v>
      </c>
      <c r="B92" s="7" t="str">
        <f>المدخلات!$F$5</f>
        <v>5:20–6:30 م</v>
      </c>
      <c r="C92" s="7">
        <v>5</v>
      </c>
      <c r="D92" s="7" t="s">
        <v>594</v>
      </c>
      <c r="E92" s="7" t="s">
        <v>205</v>
      </c>
      <c r="F92" s="2"/>
    </row>
    <row r="93" spans="1:6" ht="14" customHeight="1">
      <c r="A93" s="8">
        <v>7</v>
      </c>
      <c r="B93" s="7" t="str">
        <f>المدخلات!$F$6</f>
        <v>6:40–7:50 م</v>
      </c>
      <c r="C93" s="7">
        <v>4</v>
      </c>
      <c r="D93" s="7" t="s">
        <v>594</v>
      </c>
      <c r="E93" s="7" t="s">
        <v>220</v>
      </c>
      <c r="F93" s="2"/>
    </row>
    <row r="94" spans="1:6" ht="14" customHeight="1">
      <c r="A94" s="8">
        <v>7</v>
      </c>
      <c r="B94" s="7" t="str">
        <f>المدخلات!$F$6</f>
        <v>6:40–7:50 م</v>
      </c>
      <c r="C94" s="7">
        <v>5</v>
      </c>
      <c r="D94" s="7" t="s">
        <v>594</v>
      </c>
      <c r="E94" s="7" t="s">
        <v>1146</v>
      </c>
      <c r="F94" s="2"/>
    </row>
    <row r="95" spans="1:6" ht="14" customHeight="1">
      <c r="A95" s="8">
        <v>8</v>
      </c>
      <c r="B95" s="7" t="str">
        <f>المدخلات!$F$4</f>
        <v>4:00–5:10 م</v>
      </c>
      <c r="C95" s="7">
        <v>1</v>
      </c>
      <c r="D95" s="7" t="s">
        <v>593</v>
      </c>
      <c r="E95" s="7" t="s">
        <v>38</v>
      </c>
      <c r="F95" s="2"/>
    </row>
    <row r="96" spans="1:6" ht="14" customHeight="1">
      <c r="A96" s="8">
        <v>8</v>
      </c>
      <c r="B96" s="7" t="str">
        <f>المدخلات!$F$4</f>
        <v>4:00–5:10 م</v>
      </c>
      <c r="C96" s="7">
        <v>2</v>
      </c>
      <c r="D96" s="7" t="s">
        <v>593</v>
      </c>
      <c r="E96" s="7" t="s">
        <v>28</v>
      </c>
      <c r="F96" s="2"/>
    </row>
    <row r="97" spans="1:6" ht="14" customHeight="1">
      <c r="A97" s="8">
        <v>8</v>
      </c>
      <c r="B97" s="7" t="str">
        <f>المدخلات!$F$4</f>
        <v>4:00–5:10 م</v>
      </c>
      <c r="C97" s="7">
        <v>3</v>
      </c>
      <c r="D97" s="7" t="s">
        <v>593</v>
      </c>
      <c r="E97" s="7" t="s">
        <v>98</v>
      </c>
      <c r="F97" s="2"/>
    </row>
    <row r="98" spans="1:6" ht="14" customHeight="1">
      <c r="A98" s="8">
        <v>8</v>
      </c>
      <c r="B98" s="7" t="str">
        <f>المدخلات!$F$5</f>
        <v>5:20–6:30 م</v>
      </c>
      <c r="C98" s="7">
        <v>1</v>
      </c>
      <c r="D98" s="7" t="s">
        <v>593</v>
      </c>
      <c r="E98" s="7" t="s">
        <v>25</v>
      </c>
      <c r="F98" s="2"/>
    </row>
    <row r="99" spans="1:6" ht="14" customHeight="1">
      <c r="A99" s="8">
        <v>8</v>
      </c>
      <c r="B99" s="7" t="str">
        <f>المدخلات!$F$5</f>
        <v>5:20–6:30 م</v>
      </c>
      <c r="C99" s="7">
        <v>2</v>
      </c>
      <c r="D99" s="7" t="s">
        <v>593</v>
      </c>
      <c r="E99" s="7" t="s">
        <v>792</v>
      </c>
      <c r="F99" s="2"/>
    </row>
    <row r="100" spans="1:6" ht="14" customHeight="1">
      <c r="A100" s="8">
        <v>8</v>
      </c>
      <c r="B100" s="7" t="str">
        <f>المدخلات!$F$5</f>
        <v>5:20–6:30 م</v>
      </c>
      <c r="C100" s="7">
        <v>3</v>
      </c>
      <c r="D100" s="7" t="s">
        <v>593</v>
      </c>
      <c r="E100" s="7" t="s">
        <v>48</v>
      </c>
      <c r="F100" s="2"/>
    </row>
    <row r="101" spans="1:6" ht="14" customHeight="1">
      <c r="A101" s="8">
        <v>8</v>
      </c>
      <c r="B101" s="7" t="str">
        <f>المدخلات!$F$6</f>
        <v>6:40–7:50 م</v>
      </c>
      <c r="C101" s="7">
        <v>1</v>
      </c>
      <c r="D101" s="7" t="s">
        <v>593</v>
      </c>
      <c r="E101" s="7" t="s">
        <v>791</v>
      </c>
      <c r="F101" s="2"/>
    </row>
    <row r="102" spans="1:6" ht="14" customHeight="1">
      <c r="A102" s="8">
        <v>8</v>
      </c>
      <c r="B102" s="7" t="str">
        <f>المدخلات!$F$4</f>
        <v>4:00–5:10 م</v>
      </c>
      <c r="C102" s="7">
        <v>4</v>
      </c>
      <c r="D102" s="7" t="s">
        <v>594</v>
      </c>
      <c r="E102" s="7" t="s">
        <v>168</v>
      </c>
      <c r="F102" s="2"/>
    </row>
    <row r="103" spans="1:6" ht="14" customHeight="1">
      <c r="A103" s="8">
        <v>8</v>
      </c>
      <c r="B103" s="7" t="str">
        <f>المدخلات!$F$4</f>
        <v>4:00–5:10 م</v>
      </c>
      <c r="C103" s="7">
        <v>5</v>
      </c>
      <c r="D103" s="7" t="s">
        <v>594</v>
      </c>
      <c r="E103" s="7" t="s">
        <v>244</v>
      </c>
      <c r="F103" s="2"/>
    </row>
    <row r="104" spans="1:6" ht="14" customHeight="1">
      <c r="A104" s="8">
        <v>8</v>
      </c>
      <c r="B104" s="7" t="str">
        <f>المدخلات!$F$5</f>
        <v>5:20–6:30 م</v>
      </c>
      <c r="C104" s="7">
        <v>4</v>
      </c>
      <c r="D104" s="7" t="s">
        <v>594</v>
      </c>
      <c r="E104" s="7" t="s">
        <v>189</v>
      </c>
      <c r="F104" s="2"/>
    </row>
    <row r="105" spans="1:6" ht="14" customHeight="1">
      <c r="A105" s="8">
        <v>8</v>
      </c>
      <c r="B105" s="7" t="str">
        <f>المدخلات!$F$5</f>
        <v>5:20–6:30 م</v>
      </c>
      <c r="C105" s="7">
        <v>5</v>
      </c>
      <c r="D105" s="7" t="s">
        <v>594</v>
      </c>
      <c r="E105" s="7" t="s">
        <v>239</v>
      </c>
      <c r="F105" s="2"/>
    </row>
    <row r="106" spans="1:6" ht="14" customHeight="1">
      <c r="A106" s="8">
        <v>8</v>
      </c>
      <c r="B106" s="7" t="str">
        <f>المدخلات!$F$6</f>
        <v>6:40–7:50 م</v>
      </c>
      <c r="C106" s="7">
        <v>4</v>
      </c>
      <c r="D106" s="7" t="s">
        <v>594</v>
      </c>
      <c r="E106" s="7" t="s">
        <v>206</v>
      </c>
      <c r="F106" s="2"/>
    </row>
    <row r="107" spans="1:6" ht="14" customHeight="1">
      <c r="A107" s="8">
        <v>8</v>
      </c>
      <c r="B107" s="7" t="str">
        <f>المدخلات!$F$6</f>
        <v>6:40–7:50 م</v>
      </c>
      <c r="C107" s="7">
        <v>5</v>
      </c>
      <c r="D107" s="7" t="s">
        <v>594</v>
      </c>
      <c r="E107" s="7" t="s">
        <v>838</v>
      </c>
      <c r="F107" s="2"/>
    </row>
    <row r="108" spans="1:6" ht="14" customHeight="1">
      <c r="A108" s="8">
        <v>9</v>
      </c>
      <c r="B108" s="7" t="str">
        <f>المدخلات!$F$4</f>
        <v>4:00–5:10 م</v>
      </c>
      <c r="C108" s="7">
        <v>1</v>
      </c>
      <c r="D108" s="7" t="s">
        <v>593</v>
      </c>
      <c r="E108" s="7" t="s">
        <v>15</v>
      </c>
      <c r="F108" s="2"/>
    </row>
    <row r="109" spans="1:6" ht="14" customHeight="1">
      <c r="A109" s="8">
        <v>9</v>
      </c>
      <c r="B109" s="7" t="str">
        <f>المدخلات!$F$4</f>
        <v>4:00–5:10 م</v>
      </c>
      <c r="C109" s="7">
        <v>2</v>
      </c>
      <c r="D109" s="7" t="s">
        <v>593</v>
      </c>
      <c r="E109" s="7" t="s">
        <v>24</v>
      </c>
      <c r="F109" s="2"/>
    </row>
    <row r="110" spans="1:6" ht="14" customHeight="1">
      <c r="A110" s="8">
        <v>9</v>
      </c>
      <c r="B110" s="7" t="str">
        <f>المدخلات!$F$4</f>
        <v>4:00–5:10 م</v>
      </c>
      <c r="C110" s="7">
        <v>3</v>
      </c>
      <c r="D110" s="7" t="s">
        <v>593</v>
      </c>
      <c r="E110" s="7" t="s">
        <v>32</v>
      </c>
      <c r="F110" s="2"/>
    </row>
    <row r="111" spans="1:6" ht="14" customHeight="1">
      <c r="A111" s="8">
        <v>9</v>
      </c>
      <c r="B111" s="7" t="str">
        <f>المدخلات!$F$5</f>
        <v>5:20–6:30 م</v>
      </c>
      <c r="C111" s="7">
        <v>1</v>
      </c>
      <c r="D111" s="7" t="s">
        <v>593</v>
      </c>
      <c r="E111" s="7" t="s">
        <v>92</v>
      </c>
      <c r="F111" s="2"/>
    </row>
    <row r="112" spans="1:6" ht="14" customHeight="1">
      <c r="A112" s="8">
        <v>9</v>
      </c>
      <c r="B112" s="7" t="str">
        <f>المدخلات!$F$5</f>
        <v>5:20–6:30 م</v>
      </c>
      <c r="C112" s="7">
        <v>2</v>
      </c>
      <c r="D112" s="7" t="s">
        <v>593</v>
      </c>
      <c r="E112" s="7" t="s">
        <v>99</v>
      </c>
      <c r="F112" s="2"/>
    </row>
    <row r="113" spans="1:6" ht="14" customHeight="1">
      <c r="A113" s="8">
        <v>9</v>
      </c>
      <c r="B113" s="7" t="str">
        <f>المدخلات!$F$5</f>
        <v>5:20–6:30 م</v>
      </c>
      <c r="C113" s="7">
        <v>3</v>
      </c>
      <c r="D113" s="7" t="s">
        <v>593</v>
      </c>
      <c r="E113" s="7" t="s">
        <v>804</v>
      </c>
      <c r="F113" s="2"/>
    </row>
    <row r="114" spans="1:6" ht="14" customHeight="1">
      <c r="A114" s="8">
        <v>9</v>
      </c>
      <c r="B114" s="7" t="str">
        <f>المدخلات!$F$6</f>
        <v>6:40–7:50 م</v>
      </c>
      <c r="C114" s="7">
        <v>1</v>
      </c>
      <c r="D114" s="7" t="s">
        <v>593</v>
      </c>
      <c r="E114" s="7" t="s">
        <v>805</v>
      </c>
      <c r="F114" s="2"/>
    </row>
    <row r="115" spans="1:6" ht="14" customHeight="1">
      <c r="A115" s="8">
        <v>9</v>
      </c>
      <c r="B115" s="7" t="str">
        <f>المدخلات!$F$4</f>
        <v>4:00–5:10 م</v>
      </c>
      <c r="C115" s="7">
        <v>4</v>
      </c>
      <c r="D115" s="7" t="s">
        <v>594</v>
      </c>
      <c r="E115" s="7" t="s">
        <v>236</v>
      </c>
      <c r="F115" s="2"/>
    </row>
    <row r="116" spans="1:6" ht="14" customHeight="1">
      <c r="A116" s="8">
        <v>9</v>
      </c>
      <c r="B116" s="7" t="str">
        <f>المدخلات!$F$4</f>
        <v>4:00–5:10 م</v>
      </c>
      <c r="C116" s="7">
        <v>5</v>
      </c>
      <c r="D116" s="7" t="s">
        <v>594</v>
      </c>
      <c r="E116" s="7" t="s">
        <v>167</v>
      </c>
      <c r="F116" s="2"/>
    </row>
    <row r="117" spans="1:6" ht="14" customHeight="1">
      <c r="A117" s="8">
        <v>9</v>
      </c>
      <c r="B117" s="7" t="str">
        <f>المدخلات!$F$5</f>
        <v>5:20–6:30 م</v>
      </c>
      <c r="C117" s="7">
        <v>4</v>
      </c>
      <c r="D117" s="7" t="s">
        <v>594</v>
      </c>
      <c r="E117" s="7" t="s">
        <v>190</v>
      </c>
      <c r="F117" s="2"/>
    </row>
    <row r="118" spans="1:6" ht="14" customHeight="1">
      <c r="A118" s="8">
        <v>9</v>
      </c>
      <c r="B118" s="7" t="str">
        <f>المدخلات!$F$5</f>
        <v>5:20–6:30 م</v>
      </c>
      <c r="C118" s="7">
        <v>5</v>
      </c>
      <c r="D118" s="7" t="s">
        <v>594</v>
      </c>
      <c r="E118" s="7" t="s">
        <v>240</v>
      </c>
      <c r="F118" s="2"/>
    </row>
    <row r="119" spans="1:6" ht="14" customHeight="1">
      <c r="A119" s="8">
        <v>9</v>
      </c>
      <c r="B119" s="7" t="str">
        <f>المدخلات!$F$6</f>
        <v>6:40–7:50 م</v>
      </c>
      <c r="C119" s="7">
        <v>4</v>
      </c>
      <c r="D119" s="7" t="s">
        <v>594</v>
      </c>
      <c r="E119" s="7" t="s">
        <v>162</v>
      </c>
      <c r="F119" s="2"/>
    </row>
    <row r="120" spans="1:6" ht="14" customHeight="1">
      <c r="A120" s="8">
        <v>9</v>
      </c>
      <c r="B120" s="7" t="str">
        <f>المدخلات!$F$6</f>
        <v>6:40–7:50 م</v>
      </c>
      <c r="C120" s="7">
        <v>5</v>
      </c>
      <c r="D120" s="7" t="s">
        <v>594</v>
      </c>
      <c r="E120" s="7" t="s">
        <v>234</v>
      </c>
      <c r="F120" s="2"/>
    </row>
    <row r="121" spans="1:6" ht="14" customHeight="1">
      <c r="A121" s="8">
        <v>10</v>
      </c>
      <c r="B121" s="7" t="str">
        <f>المدخلات!$F$4</f>
        <v>4:00–5:10 م</v>
      </c>
      <c r="C121" s="7">
        <v>1</v>
      </c>
      <c r="D121" s="7" t="s">
        <v>593</v>
      </c>
      <c r="E121" s="7" t="s">
        <v>94</v>
      </c>
      <c r="F121" s="2"/>
    </row>
    <row r="122" spans="1:6" ht="14" customHeight="1">
      <c r="A122" s="8">
        <v>10</v>
      </c>
      <c r="B122" s="7" t="str">
        <f>المدخلات!$F$4</f>
        <v>4:00–5:10 م</v>
      </c>
      <c r="C122" s="7">
        <v>2</v>
      </c>
      <c r="D122" s="7" t="s">
        <v>593</v>
      </c>
      <c r="E122" s="7" t="s">
        <v>27</v>
      </c>
      <c r="F122" s="2"/>
    </row>
    <row r="123" spans="1:6" ht="14" customHeight="1">
      <c r="A123" s="8">
        <v>10</v>
      </c>
      <c r="B123" s="7" t="str">
        <f>المدخلات!$F$4</f>
        <v>4:00–5:10 م</v>
      </c>
      <c r="C123" s="7">
        <v>3</v>
      </c>
      <c r="D123" s="7" t="s">
        <v>593</v>
      </c>
      <c r="E123" s="7" t="s">
        <v>93</v>
      </c>
      <c r="F123" s="2"/>
    </row>
    <row r="124" spans="1:6" ht="14" customHeight="1">
      <c r="A124" s="8">
        <v>10</v>
      </c>
      <c r="B124" s="7" t="str">
        <f>المدخلات!$F$5</f>
        <v>5:20–6:30 م</v>
      </c>
      <c r="C124" s="7">
        <v>1</v>
      </c>
      <c r="D124" s="7" t="s">
        <v>593</v>
      </c>
      <c r="E124" s="7" t="s">
        <v>31</v>
      </c>
      <c r="F124" s="2"/>
    </row>
    <row r="125" spans="1:6" ht="14" customHeight="1">
      <c r="A125" s="8">
        <v>10</v>
      </c>
      <c r="B125" s="7" t="str">
        <f>المدخلات!$F$5</f>
        <v>5:20–6:30 م</v>
      </c>
      <c r="C125" s="7">
        <v>2</v>
      </c>
      <c r="D125" s="7" t="s">
        <v>593</v>
      </c>
      <c r="E125" s="7" t="s">
        <v>72</v>
      </c>
      <c r="F125" s="2"/>
    </row>
    <row r="126" spans="1:6" ht="14" customHeight="1">
      <c r="A126" s="8">
        <v>10</v>
      </c>
      <c r="B126" s="7" t="str">
        <f>المدخلات!$F$5</f>
        <v>5:20–6:30 م</v>
      </c>
      <c r="C126" s="7">
        <v>3</v>
      </c>
      <c r="D126" s="7" t="s">
        <v>593</v>
      </c>
      <c r="E126" s="7" t="s">
        <v>9</v>
      </c>
      <c r="F126" s="2"/>
    </row>
    <row r="127" spans="1:6" ht="14" customHeight="1">
      <c r="A127" s="8">
        <v>10</v>
      </c>
      <c r="B127" s="7" t="str">
        <f>المدخلات!$F$6</f>
        <v>6:40–7:50 م</v>
      </c>
      <c r="C127" s="7">
        <v>1</v>
      </c>
      <c r="D127" s="7" t="s">
        <v>593</v>
      </c>
      <c r="E127" s="7" t="s">
        <v>1035</v>
      </c>
      <c r="F127" s="2"/>
    </row>
    <row r="128" spans="1:6" ht="14" customHeight="1">
      <c r="A128" s="8">
        <v>10</v>
      </c>
      <c r="B128" s="7" t="str">
        <f>المدخلات!$F$4</f>
        <v>4:00–5:10 م</v>
      </c>
      <c r="C128" s="7">
        <v>4</v>
      </c>
      <c r="D128" s="7" t="s">
        <v>594</v>
      </c>
      <c r="E128" s="7" t="s">
        <v>235</v>
      </c>
      <c r="F128" s="2"/>
    </row>
    <row r="129" spans="1:6" ht="14" customHeight="1">
      <c r="A129" s="8">
        <v>10</v>
      </c>
      <c r="B129" s="7" t="str">
        <f>المدخلات!$F$4</f>
        <v>4:00–5:10 م</v>
      </c>
      <c r="C129" s="7">
        <v>5</v>
      </c>
      <c r="D129" s="7" t="s">
        <v>594</v>
      </c>
      <c r="E129" s="7" t="s">
        <v>669</v>
      </c>
      <c r="F129" s="2"/>
    </row>
    <row r="130" spans="1:6" ht="14" customHeight="1">
      <c r="A130" s="8">
        <v>10</v>
      </c>
      <c r="B130" s="7" t="str">
        <f>المدخلات!$F$5</f>
        <v>5:20–6:30 م</v>
      </c>
      <c r="C130" s="7">
        <v>4</v>
      </c>
      <c r="D130" s="7" t="s">
        <v>594</v>
      </c>
      <c r="E130" s="7" t="s">
        <v>230</v>
      </c>
      <c r="F130" s="2"/>
    </row>
    <row r="131" spans="1:6" ht="14" customHeight="1">
      <c r="A131" s="8">
        <v>10</v>
      </c>
      <c r="B131" s="7" t="str">
        <f>المدخلات!$F$5</f>
        <v>5:20–6:30 م</v>
      </c>
      <c r="C131" s="7">
        <v>5</v>
      </c>
      <c r="D131" s="7" t="s">
        <v>594</v>
      </c>
      <c r="E131" s="7" t="s">
        <v>159</v>
      </c>
      <c r="F131" s="2"/>
    </row>
    <row r="132" spans="1:6" ht="14" customHeight="1">
      <c r="A132" s="8">
        <v>10</v>
      </c>
      <c r="B132" s="7" t="str">
        <f>المدخلات!$F$6</f>
        <v>6:40–7:50 م</v>
      </c>
      <c r="C132" s="7">
        <v>4</v>
      </c>
      <c r="D132" s="7" t="s">
        <v>594</v>
      </c>
      <c r="E132" s="7" t="s">
        <v>1159</v>
      </c>
      <c r="F132" s="2"/>
    </row>
    <row r="133" spans="1:6" ht="14" customHeight="1">
      <c r="A133" s="8">
        <v>10</v>
      </c>
      <c r="B133" s="7" t="str">
        <f>المدخلات!$F$6</f>
        <v>6:40–7:50 م</v>
      </c>
      <c r="C133" s="7">
        <v>5</v>
      </c>
      <c r="D133" s="7" t="s">
        <v>594</v>
      </c>
      <c r="E133" s="7" t="s">
        <v>246</v>
      </c>
      <c r="F133" s="2"/>
    </row>
    <row r="134" spans="1:6" ht="14" customHeight="1">
      <c r="A134" s="8">
        <v>11</v>
      </c>
      <c r="B134" s="7" t="str">
        <f>المدخلات!$F$4</f>
        <v>4:00–5:10 م</v>
      </c>
      <c r="C134" s="7">
        <v>1</v>
      </c>
      <c r="D134" s="7" t="s">
        <v>593</v>
      </c>
      <c r="E134" s="7" t="s">
        <v>67</v>
      </c>
      <c r="F134" s="2"/>
    </row>
    <row r="135" spans="1:6" ht="14" customHeight="1">
      <c r="A135" s="8">
        <v>11</v>
      </c>
      <c r="B135" s="7" t="str">
        <f>المدخلات!$F$4</f>
        <v>4:00–5:10 م</v>
      </c>
      <c r="C135" s="7">
        <v>2</v>
      </c>
      <c r="D135" s="7" t="s">
        <v>593</v>
      </c>
      <c r="E135" s="7" t="s">
        <v>21</v>
      </c>
      <c r="F135" s="2"/>
    </row>
    <row r="136" spans="1:6" ht="14" customHeight="1">
      <c r="A136" s="8">
        <v>11</v>
      </c>
      <c r="B136" s="7" t="str">
        <f>المدخلات!$F$4</f>
        <v>4:00–5:10 م</v>
      </c>
      <c r="C136" s="7">
        <v>3</v>
      </c>
      <c r="D136" s="7" t="s">
        <v>593</v>
      </c>
      <c r="E136" s="7" t="s">
        <v>138</v>
      </c>
      <c r="F136" s="2"/>
    </row>
    <row r="137" spans="1:6" ht="14" customHeight="1">
      <c r="A137" s="8">
        <v>11</v>
      </c>
      <c r="B137" s="7" t="str">
        <f>المدخلات!$F$5</f>
        <v>5:20–6:30 م</v>
      </c>
      <c r="C137" s="7">
        <v>1</v>
      </c>
      <c r="D137" s="7" t="s">
        <v>593</v>
      </c>
      <c r="E137" s="7" t="s">
        <v>13</v>
      </c>
      <c r="F137" s="2"/>
    </row>
    <row r="138" spans="1:6" ht="14" customHeight="1">
      <c r="A138" s="8">
        <v>11</v>
      </c>
      <c r="B138" s="7" t="str">
        <f>المدخلات!$F$5</f>
        <v>5:20–6:30 م</v>
      </c>
      <c r="C138" s="7">
        <v>2</v>
      </c>
      <c r="D138" s="7" t="s">
        <v>593</v>
      </c>
      <c r="E138" s="7" t="s">
        <v>56</v>
      </c>
      <c r="F138" s="2"/>
    </row>
    <row r="139" spans="1:6" ht="14" customHeight="1">
      <c r="A139" s="8">
        <v>11</v>
      </c>
      <c r="B139" s="7" t="str">
        <f>المدخلات!$F$5</f>
        <v>5:20–6:30 م</v>
      </c>
      <c r="C139" s="7">
        <v>3</v>
      </c>
      <c r="D139" s="7" t="s">
        <v>593</v>
      </c>
      <c r="E139" s="7" t="s">
        <v>18</v>
      </c>
      <c r="F139" s="2"/>
    </row>
    <row r="140" spans="1:6" ht="14" customHeight="1">
      <c r="A140" s="8">
        <v>11</v>
      </c>
      <c r="B140" s="7" t="str">
        <f>المدخلات!$F$6</f>
        <v>6:40–7:50 م</v>
      </c>
      <c r="C140" s="7">
        <v>1</v>
      </c>
      <c r="D140" s="7" t="s">
        <v>593</v>
      </c>
      <c r="E140" s="7" t="s">
        <v>89</v>
      </c>
      <c r="F140" s="2"/>
    </row>
    <row r="141" spans="1:6" ht="14" customHeight="1">
      <c r="A141" s="8">
        <v>11</v>
      </c>
      <c r="B141" s="7" t="str">
        <f>المدخلات!$F$4</f>
        <v>4:00–5:10 م</v>
      </c>
      <c r="C141" s="7">
        <v>4</v>
      </c>
      <c r="D141" s="7" t="s">
        <v>594</v>
      </c>
      <c r="E141" s="7" t="s">
        <v>129</v>
      </c>
      <c r="F141" s="2"/>
    </row>
    <row r="142" spans="1:6" ht="14" customHeight="1">
      <c r="A142" s="8">
        <v>11</v>
      </c>
      <c r="B142" s="7" t="str">
        <f>المدخلات!$F$4</f>
        <v>4:00–5:10 م</v>
      </c>
      <c r="C142" s="7">
        <v>5</v>
      </c>
      <c r="D142" s="7" t="s">
        <v>594</v>
      </c>
      <c r="E142" s="7" t="s">
        <v>1152</v>
      </c>
      <c r="F142" s="2"/>
    </row>
    <row r="143" spans="1:6" ht="14" customHeight="1">
      <c r="A143" s="8">
        <v>11</v>
      </c>
      <c r="B143" s="7" t="str">
        <f>المدخلات!$F$5</f>
        <v>5:20–6:30 م</v>
      </c>
      <c r="C143" s="7">
        <v>4</v>
      </c>
      <c r="D143" s="7" t="s">
        <v>594</v>
      </c>
      <c r="E143" s="7" t="s">
        <v>227</v>
      </c>
      <c r="F143" s="2"/>
    </row>
    <row r="144" spans="1:6" ht="14" customHeight="1">
      <c r="A144" s="8">
        <v>11</v>
      </c>
      <c r="B144" s="7" t="str">
        <f>المدخلات!$F$5</f>
        <v>5:20–6:30 م</v>
      </c>
      <c r="C144" s="7">
        <v>5</v>
      </c>
      <c r="D144" s="7" t="s">
        <v>594</v>
      </c>
      <c r="E144" s="7" t="s">
        <v>231</v>
      </c>
      <c r="F144" s="2"/>
    </row>
    <row r="145" spans="1:6" ht="14" customHeight="1">
      <c r="A145" s="8">
        <v>11</v>
      </c>
      <c r="B145" s="7" t="str">
        <f>المدخلات!$F$6</f>
        <v>6:40–7:50 م</v>
      </c>
      <c r="C145" s="7">
        <v>4</v>
      </c>
      <c r="D145" s="7" t="s">
        <v>594</v>
      </c>
      <c r="E145" s="7" t="s">
        <v>223</v>
      </c>
      <c r="F145" s="2"/>
    </row>
    <row r="146" spans="1:6" ht="14" customHeight="1">
      <c r="A146" s="8">
        <v>11</v>
      </c>
      <c r="B146" s="7" t="str">
        <f>المدخلات!$F$6</f>
        <v>6:40–7:50 م</v>
      </c>
      <c r="C146" s="7">
        <v>5</v>
      </c>
      <c r="D146" s="7" t="s">
        <v>594</v>
      </c>
      <c r="E146" s="7" t="s">
        <v>1160</v>
      </c>
      <c r="F146" s="2"/>
    </row>
    <row r="147" spans="1:6" ht="14" customHeight="1">
      <c r="A147" s="8">
        <v>12</v>
      </c>
      <c r="B147" s="7" t="str">
        <f>المدخلات!$F$4</f>
        <v>4:00–5:10 م</v>
      </c>
      <c r="C147" s="7">
        <v>1</v>
      </c>
      <c r="D147" s="7" t="s">
        <v>593</v>
      </c>
      <c r="E147" s="7" t="s">
        <v>46</v>
      </c>
      <c r="F147" s="2"/>
    </row>
    <row r="148" spans="1:6" ht="14" customHeight="1">
      <c r="A148" s="8">
        <v>12</v>
      </c>
      <c r="B148" s="7" t="str">
        <f>المدخلات!$F$4</f>
        <v>4:00–5:10 م</v>
      </c>
      <c r="C148" s="7">
        <v>2</v>
      </c>
      <c r="D148" s="7" t="s">
        <v>593</v>
      </c>
      <c r="E148" s="7" t="s">
        <v>1040</v>
      </c>
      <c r="F148" s="2"/>
    </row>
    <row r="149" spans="1:6" ht="14" customHeight="1">
      <c r="A149" s="8">
        <v>12</v>
      </c>
      <c r="B149" s="7" t="str">
        <f>المدخلات!$F$4</f>
        <v>4:00–5:10 م</v>
      </c>
      <c r="C149" s="7">
        <v>3</v>
      </c>
      <c r="D149" s="7" t="s">
        <v>593</v>
      </c>
      <c r="E149" s="7" t="s">
        <v>1098</v>
      </c>
      <c r="F149" s="2"/>
    </row>
    <row r="150" spans="1:6" ht="14" customHeight="1">
      <c r="A150" s="8">
        <v>12</v>
      </c>
      <c r="B150" s="7" t="str">
        <f>المدخلات!$F$5</f>
        <v>5:20–6:30 م</v>
      </c>
      <c r="C150" s="7">
        <v>1</v>
      </c>
      <c r="D150" s="7" t="s">
        <v>593</v>
      </c>
      <c r="E150" s="7" t="s">
        <v>53</v>
      </c>
      <c r="F150" s="2"/>
    </row>
    <row r="151" spans="1:6" ht="14" customHeight="1">
      <c r="A151" s="8">
        <v>12</v>
      </c>
      <c r="B151" s="7" t="str">
        <f>المدخلات!$F$5</f>
        <v>5:20–6:30 م</v>
      </c>
      <c r="C151" s="7">
        <v>2</v>
      </c>
      <c r="D151" s="7" t="s">
        <v>593</v>
      </c>
      <c r="E151" s="7" t="s">
        <v>63</v>
      </c>
      <c r="F151" s="2"/>
    </row>
    <row r="152" spans="1:6" ht="14" customHeight="1">
      <c r="A152" s="8">
        <v>12</v>
      </c>
      <c r="B152" s="7" t="str">
        <f>المدخلات!$F$5</f>
        <v>5:20–6:30 م</v>
      </c>
      <c r="C152" s="7">
        <v>3</v>
      </c>
      <c r="D152" s="7" t="s">
        <v>593</v>
      </c>
      <c r="E152" s="7" t="s">
        <v>1099</v>
      </c>
      <c r="F152" s="2"/>
    </row>
    <row r="153" spans="1:6" ht="14" customHeight="1">
      <c r="A153" s="8">
        <v>12</v>
      </c>
      <c r="B153" s="7" t="str">
        <f>المدخلات!$F$6</f>
        <v>6:40–7:50 م</v>
      </c>
      <c r="C153" s="7">
        <v>1</v>
      </c>
      <c r="D153" s="7" t="s">
        <v>593</v>
      </c>
      <c r="E153" s="7" t="s">
        <v>14</v>
      </c>
      <c r="F153" s="2"/>
    </row>
    <row r="154" spans="1:6" ht="14" customHeight="1">
      <c r="A154" s="8">
        <v>12</v>
      </c>
      <c r="B154" s="7" t="str">
        <f>المدخلات!$F$4</f>
        <v>4:00–5:10 م</v>
      </c>
      <c r="C154" s="7">
        <v>4</v>
      </c>
      <c r="D154" s="7" t="s">
        <v>594</v>
      </c>
      <c r="E154" s="7" t="s">
        <v>210</v>
      </c>
      <c r="F154" s="2"/>
    </row>
    <row r="155" spans="1:6" ht="14" customHeight="1">
      <c r="A155" s="8">
        <v>12</v>
      </c>
      <c r="B155" s="7" t="str">
        <f>المدخلات!$F$4</f>
        <v>4:00–5:10 م</v>
      </c>
      <c r="C155" s="7">
        <v>5</v>
      </c>
      <c r="D155" s="7" t="s">
        <v>594</v>
      </c>
      <c r="E155" s="7" t="s">
        <v>224</v>
      </c>
      <c r="F155" s="2"/>
    </row>
    <row r="156" spans="1:6" ht="14" customHeight="1">
      <c r="A156" s="8">
        <v>12</v>
      </c>
      <c r="B156" s="7" t="str">
        <f>المدخلات!$F$5</f>
        <v>5:20–6:30 م</v>
      </c>
      <c r="C156" s="7">
        <v>4</v>
      </c>
      <c r="D156" s="7" t="s">
        <v>594</v>
      </c>
      <c r="E156" s="7" t="s">
        <v>878</v>
      </c>
      <c r="F156" s="2"/>
    </row>
    <row r="157" spans="1:6" ht="14" customHeight="1">
      <c r="A157" s="8">
        <v>12</v>
      </c>
      <c r="B157" s="7" t="str">
        <f>المدخلات!$F$5</f>
        <v>5:20–6:30 م</v>
      </c>
      <c r="C157" s="7">
        <v>5</v>
      </c>
      <c r="D157" s="7" t="s">
        <v>594</v>
      </c>
      <c r="E157" s="7" t="s">
        <v>1153</v>
      </c>
      <c r="F157" s="2"/>
    </row>
    <row r="158" spans="1:6" ht="14" customHeight="1">
      <c r="A158" s="8">
        <v>12</v>
      </c>
      <c r="B158" s="7" t="str">
        <f>المدخلات!$F$6</f>
        <v>6:40–7:50 م</v>
      </c>
      <c r="C158" s="7">
        <v>4</v>
      </c>
      <c r="D158" s="7" t="s">
        <v>594</v>
      </c>
      <c r="E158" s="7" t="s">
        <v>1154</v>
      </c>
      <c r="F158" s="2"/>
    </row>
    <row r="159" spans="1:6" ht="14" customHeight="1">
      <c r="A159" s="8">
        <v>12</v>
      </c>
      <c r="B159" s="7" t="str">
        <f>المدخلات!$F$6</f>
        <v>6:40–7:50 م</v>
      </c>
      <c r="C159" s="7">
        <v>5</v>
      </c>
      <c r="D159" s="7" t="s">
        <v>594</v>
      </c>
      <c r="E159" s="7" t="s">
        <v>328</v>
      </c>
      <c r="F159" s="2"/>
    </row>
    <row r="160" spans="1:6" ht="14" customHeight="1">
      <c r="A160" s="8">
        <v>13</v>
      </c>
      <c r="B160" s="7" t="str">
        <f>المدخلات!$F$4</f>
        <v>4:00–5:10 م</v>
      </c>
      <c r="C160" s="7">
        <v>1</v>
      </c>
      <c r="D160" s="7" t="s">
        <v>593</v>
      </c>
      <c r="E160" s="7" t="s">
        <v>1081</v>
      </c>
      <c r="F160" s="2"/>
    </row>
    <row r="161" spans="1:6" ht="14" customHeight="1">
      <c r="A161" s="8">
        <v>13</v>
      </c>
      <c r="B161" s="7" t="str">
        <f>المدخلات!$F$4</f>
        <v>4:00–5:10 م</v>
      </c>
      <c r="C161" s="7">
        <v>2</v>
      </c>
      <c r="D161" s="7" t="s">
        <v>593</v>
      </c>
      <c r="E161" s="7" t="s">
        <v>1079</v>
      </c>
      <c r="F161" s="2"/>
    </row>
    <row r="162" spans="1:6" ht="14" customHeight="1">
      <c r="A162" s="8">
        <v>13</v>
      </c>
      <c r="B162" s="7" t="str">
        <f>المدخلات!$F$4</f>
        <v>4:00–5:10 م</v>
      </c>
      <c r="C162" s="7">
        <v>3</v>
      </c>
      <c r="D162" s="7" t="s">
        <v>593</v>
      </c>
      <c r="E162" s="7" t="s">
        <v>41</v>
      </c>
      <c r="F162" s="2"/>
    </row>
    <row r="163" spans="1:6" ht="14" customHeight="1">
      <c r="A163" s="8">
        <v>13</v>
      </c>
      <c r="B163" s="7" t="str">
        <f>المدخلات!$F$5</f>
        <v>5:20–6:30 م</v>
      </c>
      <c r="C163" s="7">
        <v>1</v>
      </c>
      <c r="D163" s="7" t="s">
        <v>593</v>
      </c>
      <c r="E163" s="7" t="s">
        <v>11</v>
      </c>
      <c r="F163" s="2"/>
    </row>
    <row r="164" spans="1:6" ht="14" customHeight="1">
      <c r="A164" s="8">
        <v>13</v>
      </c>
      <c r="B164" s="7" t="str">
        <f>المدخلات!$F$5</f>
        <v>5:20–6:30 م</v>
      </c>
      <c r="C164" s="7">
        <v>2</v>
      </c>
      <c r="D164" s="7" t="s">
        <v>593</v>
      </c>
      <c r="E164" s="7" t="s">
        <v>1062</v>
      </c>
      <c r="F164" s="2"/>
    </row>
    <row r="165" spans="1:6" ht="14" customHeight="1">
      <c r="A165" s="8">
        <v>13</v>
      </c>
      <c r="B165" s="7" t="str">
        <f>المدخلات!$F$5</f>
        <v>5:20–6:30 م</v>
      </c>
      <c r="C165" s="7">
        <v>3</v>
      </c>
      <c r="D165" s="7" t="s">
        <v>593</v>
      </c>
      <c r="E165" s="7" t="s">
        <v>49</v>
      </c>
      <c r="F165" s="2"/>
    </row>
    <row r="166" spans="1:6" ht="14" customHeight="1">
      <c r="A166" s="8">
        <v>13</v>
      </c>
      <c r="B166" s="7" t="str">
        <f>المدخلات!$F$6</f>
        <v>6:40–7:50 م</v>
      </c>
      <c r="C166" s="7">
        <v>1</v>
      </c>
      <c r="D166" s="7" t="s">
        <v>593</v>
      </c>
      <c r="E166" s="7" t="s">
        <v>57</v>
      </c>
      <c r="F166" s="2"/>
    </row>
    <row r="167" spans="1:6" ht="14" customHeight="1">
      <c r="A167" s="8">
        <v>13</v>
      </c>
      <c r="B167" s="7" t="str">
        <f>المدخلات!$F$4</f>
        <v>4:00–5:10 م</v>
      </c>
      <c r="C167" s="7">
        <v>4</v>
      </c>
      <c r="D167" s="7" t="s">
        <v>594</v>
      </c>
      <c r="E167" s="7" t="s">
        <v>853</v>
      </c>
      <c r="F167" s="2"/>
    </row>
    <row r="168" spans="1:6" ht="14" customHeight="1">
      <c r="A168" s="8">
        <v>13</v>
      </c>
      <c r="B168" s="7" t="str">
        <f>المدخلات!$F$4</f>
        <v>4:00–5:10 م</v>
      </c>
      <c r="C168" s="7">
        <v>5</v>
      </c>
      <c r="D168" s="7" t="s">
        <v>594</v>
      </c>
      <c r="E168" s="7" t="s">
        <v>211</v>
      </c>
      <c r="F168" s="2"/>
    </row>
    <row r="169" spans="1:6" ht="14" customHeight="1">
      <c r="A169" s="8">
        <v>13</v>
      </c>
      <c r="B169" s="7" t="str">
        <f>المدخلات!$F$5</f>
        <v>5:20–6:30 م</v>
      </c>
      <c r="C169" s="7">
        <v>4</v>
      </c>
      <c r="D169" s="7" t="s">
        <v>594</v>
      </c>
      <c r="E169" s="7" t="s">
        <v>861</v>
      </c>
      <c r="F169" s="2"/>
    </row>
    <row r="170" spans="1:6" ht="14" customHeight="1">
      <c r="A170" s="8">
        <v>13</v>
      </c>
      <c r="B170" s="7" t="str">
        <f>المدخلات!$F$5</f>
        <v>5:20–6:30 م</v>
      </c>
      <c r="C170" s="7">
        <v>5</v>
      </c>
      <c r="D170" s="7" t="s">
        <v>594</v>
      </c>
      <c r="E170" s="7" t="s">
        <v>225</v>
      </c>
      <c r="F170" s="2"/>
    </row>
    <row r="171" spans="1:6" ht="14" customHeight="1">
      <c r="A171" s="8">
        <v>13</v>
      </c>
      <c r="B171" s="7" t="str">
        <f>المدخلات!$F$6</f>
        <v>6:40–7:50 م</v>
      </c>
      <c r="C171" s="7">
        <v>4</v>
      </c>
      <c r="D171" s="7" t="s">
        <v>594</v>
      </c>
      <c r="E171" s="7" t="s">
        <v>241</v>
      </c>
      <c r="F171" s="2"/>
    </row>
    <row r="172" spans="1:6" ht="14" customHeight="1">
      <c r="A172" s="8">
        <v>13</v>
      </c>
      <c r="B172" s="7" t="str">
        <f>المدخلات!$F$6</f>
        <v>6:40–7:50 م</v>
      </c>
      <c r="C172" s="7">
        <v>5</v>
      </c>
      <c r="D172" s="7" t="s">
        <v>594</v>
      </c>
      <c r="E172" s="7" t="s">
        <v>196</v>
      </c>
      <c r="F172" s="2"/>
    </row>
    <row r="173" spans="1:6" ht="14" customHeight="1">
      <c r="A173" s="8">
        <v>14</v>
      </c>
      <c r="B173" s="7" t="str">
        <f>المدخلات!$F$4</f>
        <v>4:00–5:10 م</v>
      </c>
      <c r="C173" s="7">
        <v>1</v>
      </c>
      <c r="D173" s="7" t="s">
        <v>593</v>
      </c>
      <c r="E173" s="7" t="s">
        <v>58</v>
      </c>
      <c r="F173" s="2"/>
    </row>
    <row r="174" spans="1:6" ht="14" customHeight="1">
      <c r="A174" s="8">
        <v>14</v>
      </c>
      <c r="B174" s="7" t="str">
        <f>المدخلات!$F$4</f>
        <v>4:00–5:10 م</v>
      </c>
      <c r="C174" s="7">
        <v>2</v>
      </c>
      <c r="D174" s="7" t="s">
        <v>593</v>
      </c>
      <c r="E174" s="7" t="s">
        <v>1063</v>
      </c>
      <c r="F174" s="2"/>
    </row>
    <row r="175" spans="1:6" ht="14" customHeight="1">
      <c r="A175" s="8">
        <v>14</v>
      </c>
      <c r="B175" s="7" t="str">
        <f>المدخلات!$F$4</f>
        <v>4:00–5:10 م</v>
      </c>
      <c r="C175" s="7">
        <v>3</v>
      </c>
      <c r="D175" s="7" t="s">
        <v>593</v>
      </c>
      <c r="E175" s="7" t="s">
        <v>47</v>
      </c>
      <c r="F175" s="2"/>
    </row>
    <row r="176" spans="1:6" ht="14" customHeight="1">
      <c r="A176" s="8">
        <v>14</v>
      </c>
      <c r="B176" s="7" t="str">
        <f>المدخلات!$F$5</f>
        <v>5:20–6:30 م</v>
      </c>
      <c r="C176" s="7">
        <v>1</v>
      </c>
      <c r="D176" s="7" t="s">
        <v>593</v>
      </c>
      <c r="E176" s="7" t="s">
        <v>37</v>
      </c>
      <c r="F176" s="2"/>
    </row>
    <row r="177" spans="1:6" ht="14" customHeight="1">
      <c r="A177" s="8">
        <v>14</v>
      </c>
      <c r="B177" s="7" t="str">
        <f>المدخلات!$F$5</f>
        <v>5:20–6:30 م</v>
      </c>
      <c r="C177" s="7">
        <v>2</v>
      </c>
      <c r="D177" s="7" t="s">
        <v>593</v>
      </c>
      <c r="E177" s="7" t="s">
        <v>864</v>
      </c>
      <c r="F177" s="2"/>
    </row>
    <row r="178" spans="1:6" ht="14" customHeight="1">
      <c r="A178" s="8">
        <v>14</v>
      </c>
      <c r="B178" s="7" t="str">
        <f>المدخلات!$F$5</f>
        <v>5:20–6:30 م</v>
      </c>
      <c r="C178" s="7">
        <v>3</v>
      </c>
      <c r="D178" s="7" t="s">
        <v>593</v>
      </c>
      <c r="E178" s="7" t="s">
        <v>30</v>
      </c>
      <c r="F178" s="2"/>
    </row>
    <row r="179" spans="1:6" ht="14" customHeight="1">
      <c r="A179" s="8">
        <v>14</v>
      </c>
      <c r="B179" s="7" t="str">
        <f>المدخلات!$F$6</f>
        <v>6:40–7:50 م</v>
      </c>
      <c r="C179" s="7">
        <v>1</v>
      </c>
      <c r="D179" s="7" t="s">
        <v>593</v>
      </c>
      <c r="E179" s="7" t="s">
        <v>886</v>
      </c>
      <c r="F179" s="2"/>
    </row>
    <row r="180" spans="1:6" ht="14" customHeight="1">
      <c r="A180" s="8">
        <v>14</v>
      </c>
      <c r="B180" s="7" t="str">
        <f>المدخلات!$F$4</f>
        <v>4:00–5:10 م</v>
      </c>
      <c r="C180" s="7">
        <v>4</v>
      </c>
      <c r="D180" s="7" t="s">
        <v>594</v>
      </c>
      <c r="E180" s="7" t="s">
        <v>197</v>
      </c>
      <c r="F180" s="2"/>
    </row>
    <row r="181" spans="1:6" ht="14" customHeight="1">
      <c r="A181" s="8">
        <v>14</v>
      </c>
      <c r="B181" s="7" t="str">
        <f>المدخلات!$F$4</f>
        <v>4:00–5:10 م</v>
      </c>
      <c r="C181" s="7">
        <v>5</v>
      </c>
      <c r="D181" s="7" t="s">
        <v>594</v>
      </c>
      <c r="E181" s="7" t="s">
        <v>1155</v>
      </c>
      <c r="F181" s="2"/>
    </row>
    <row r="182" spans="1:6" ht="14" customHeight="1">
      <c r="A182" s="8">
        <v>14</v>
      </c>
      <c r="B182" s="7" t="str">
        <f>المدخلات!$F$5</f>
        <v>5:20–6:30 م</v>
      </c>
      <c r="C182" s="7">
        <v>4</v>
      </c>
      <c r="D182" s="7" t="s">
        <v>594</v>
      </c>
      <c r="E182" s="7" t="s">
        <v>238</v>
      </c>
      <c r="F182" s="2"/>
    </row>
    <row r="183" spans="1:6" ht="14" customHeight="1">
      <c r="A183" s="8">
        <v>14</v>
      </c>
      <c r="B183" s="7" t="str">
        <f>المدخلات!$F$5</f>
        <v>5:20–6:30 م</v>
      </c>
      <c r="C183" s="7">
        <v>5</v>
      </c>
      <c r="D183" s="7" t="s">
        <v>594</v>
      </c>
      <c r="E183" s="7" t="s">
        <v>242</v>
      </c>
      <c r="F183" s="2"/>
    </row>
    <row r="184" spans="1:6" ht="14" customHeight="1">
      <c r="A184" s="8">
        <v>14</v>
      </c>
      <c r="B184" s="7" t="str">
        <f>المدخلات!$F$6</f>
        <v>6:40–7:50 م</v>
      </c>
      <c r="C184" s="7">
        <v>4</v>
      </c>
      <c r="D184" s="7" t="s">
        <v>594</v>
      </c>
      <c r="E184" s="7" t="s">
        <v>212</v>
      </c>
      <c r="F184" s="2"/>
    </row>
    <row r="185" spans="1:6" ht="14" customHeight="1">
      <c r="A185" s="8">
        <v>14</v>
      </c>
      <c r="B185" s="7" t="str">
        <f>المدخلات!$F$6</f>
        <v>6:40–7:50 م</v>
      </c>
      <c r="C185" s="7">
        <v>5</v>
      </c>
      <c r="D185" s="7" t="s">
        <v>594</v>
      </c>
      <c r="E185" s="7" t="s">
        <v>177</v>
      </c>
      <c r="F185" s="2"/>
    </row>
    <row r="186" spans="1:6" ht="14" customHeight="1">
      <c r="A186" s="8">
        <v>15</v>
      </c>
      <c r="B186" s="7" t="str">
        <f>المدخلات!$F$4</f>
        <v>4:00–5:10 م</v>
      </c>
      <c r="C186" s="7">
        <v>1</v>
      </c>
      <c r="D186" s="7" t="s">
        <v>593</v>
      </c>
      <c r="E186" s="7" t="s">
        <v>1060</v>
      </c>
      <c r="F186" s="2"/>
    </row>
    <row r="187" spans="1:6" ht="14" customHeight="1">
      <c r="A187" s="8">
        <v>15</v>
      </c>
      <c r="B187" s="7" t="str">
        <f>المدخلات!$F$4</f>
        <v>4:00–5:10 م</v>
      </c>
      <c r="C187" s="7">
        <v>2</v>
      </c>
      <c r="D187" s="7" t="s">
        <v>593</v>
      </c>
      <c r="E187" s="7" t="s">
        <v>23</v>
      </c>
      <c r="F187" s="2"/>
    </row>
    <row r="188" spans="1:6" ht="14" customHeight="1">
      <c r="A188" s="8">
        <v>15</v>
      </c>
      <c r="B188" s="7" t="str">
        <f>المدخلات!$F$4</f>
        <v>4:00–5:10 م</v>
      </c>
      <c r="C188" s="7">
        <v>3</v>
      </c>
      <c r="D188" s="7" t="s">
        <v>593</v>
      </c>
      <c r="E188" s="7" t="s">
        <v>96</v>
      </c>
      <c r="F188" s="2"/>
    </row>
    <row r="189" spans="1:6" ht="14" customHeight="1">
      <c r="A189" s="8">
        <v>15</v>
      </c>
      <c r="B189" s="7" t="str">
        <f>المدخلات!$F$5</f>
        <v>5:20–6:30 م</v>
      </c>
      <c r="C189" s="7">
        <v>1</v>
      </c>
      <c r="D189" s="7" t="s">
        <v>593</v>
      </c>
      <c r="E189" s="7" t="s">
        <v>34</v>
      </c>
      <c r="F189" s="2"/>
    </row>
    <row r="190" spans="1:6" ht="14" customHeight="1">
      <c r="A190" s="8">
        <v>15</v>
      </c>
      <c r="B190" s="7" t="str">
        <f>المدخلات!$F$5</f>
        <v>5:20–6:30 م</v>
      </c>
      <c r="C190" s="7">
        <v>2</v>
      </c>
      <c r="D190" s="7" t="s">
        <v>593</v>
      </c>
      <c r="E190" s="7" t="s">
        <v>863</v>
      </c>
      <c r="F190" s="2"/>
    </row>
    <row r="191" spans="1:6" ht="14" customHeight="1">
      <c r="A191" s="8">
        <v>15</v>
      </c>
      <c r="B191" s="7" t="str">
        <f>المدخلات!$F$5</f>
        <v>5:20–6:30 م</v>
      </c>
      <c r="C191" s="7">
        <v>3</v>
      </c>
      <c r="D191" s="7" t="s">
        <v>593</v>
      </c>
      <c r="E191" s="7" t="s">
        <v>1064</v>
      </c>
      <c r="F191" s="2"/>
    </row>
    <row r="192" spans="1:6" ht="14" customHeight="1">
      <c r="A192" s="8">
        <v>15</v>
      </c>
      <c r="B192" s="7" t="str">
        <f>المدخلات!$F$6</f>
        <v>6:40–7:50 م</v>
      </c>
      <c r="C192" s="7">
        <v>1</v>
      </c>
      <c r="D192" s="7" t="s">
        <v>593</v>
      </c>
      <c r="E192" s="7" t="s">
        <v>35</v>
      </c>
      <c r="F192" s="2"/>
    </row>
    <row r="193" spans="1:6" ht="14" customHeight="1">
      <c r="A193" s="8">
        <v>15</v>
      </c>
      <c r="B193" s="7" t="str">
        <f>المدخلات!$F$4</f>
        <v>4:00–5:10 م</v>
      </c>
      <c r="C193" s="7">
        <v>4</v>
      </c>
      <c r="D193" s="7" t="s">
        <v>594</v>
      </c>
      <c r="E193" s="7" t="s">
        <v>237</v>
      </c>
      <c r="F193" s="2"/>
    </row>
    <row r="194" spans="1:6" ht="14" customHeight="1">
      <c r="A194" s="8">
        <v>15</v>
      </c>
      <c r="B194" s="7" t="str">
        <f>المدخلات!$F$4</f>
        <v>4:00–5:10 م</v>
      </c>
      <c r="C194" s="7">
        <v>5</v>
      </c>
      <c r="D194" s="7" t="s">
        <v>594</v>
      </c>
      <c r="E194" s="7" t="s">
        <v>161</v>
      </c>
      <c r="F194" s="2"/>
    </row>
    <row r="195" spans="1:6" ht="14" customHeight="1">
      <c r="A195" s="8">
        <v>15</v>
      </c>
      <c r="B195" s="7" t="str">
        <f>المدخلات!$F$5</f>
        <v>5:20–6:30 م</v>
      </c>
      <c r="C195" s="7">
        <v>4</v>
      </c>
      <c r="D195" s="7" t="s">
        <v>594</v>
      </c>
      <c r="E195" s="7" t="s">
        <v>178</v>
      </c>
      <c r="F195" s="2"/>
    </row>
    <row r="196" spans="1:6" ht="14" customHeight="1">
      <c r="A196" s="8">
        <v>15</v>
      </c>
      <c r="B196" s="7" t="str">
        <f>المدخلات!$F$5</f>
        <v>5:20–6:30 م</v>
      </c>
      <c r="C196" s="7">
        <v>5</v>
      </c>
      <c r="D196" s="7" t="s">
        <v>594</v>
      </c>
      <c r="E196" s="7" t="s">
        <v>807</v>
      </c>
      <c r="F196" s="2"/>
    </row>
    <row r="197" spans="1:6" ht="14" customHeight="1">
      <c r="A197" s="8">
        <v>15</v>
      </c>
      <c r="B197" s="7" t="str">
        <f>المدخلات!$F$6</f>
        <v>6:40–7:50 م</v>
      </c>
      <c r="C197" s="7">
        <v>4</v>
      </c>
      <c r="D197" s="7" t="s">
        <v>594</v>
      </c>
      <c r="E197" s="7" t="s">
        <v>232</v>
      </c>
      <c r="F197" s="2"/>
    </row>
    <row r="198" spans="1:6" ht="14" customHeight="1">
      <c r="A198" s="8">
        <v>15</v>
      </c>
      <c r="B198" s="7" t="str">
        <f>المدخلات!$F$6</f>
        <v>6:40–7:50 م</v>
      </c>
      <c r="C198" s="7">
        <v>5</v>
      </c>
      <c r="D198" s="7" t="s">
        <v>594</v>
      </c>
      <c r="E198" s="7" t="s">
        <v>869</v>
      </c>
      <c r="F198" s="2"/>
    </row>
    <row r="199" spans="1:6" ht="14" customHeight="1">
      <c r="A199" s="8">
        <v>16</v>
      </c>
      <c r="B199" s="7" t="str">
        <f>المدخلات!$F$4</f>
        <v>4:00–5:10 م</v>
      </c>
      <c r="C199" s="7">
        <v>1</v>
      </c>
      <c r="D199" s="7" t="s">
        <v>593</v>
      </c>
      <c r="E199" s="7" t="s">
        <v>62</v>
      </c>
      <c r="F199" s="2"/>
    </row>
    <row r="200" spans="1:6" ht="14" customHeight="1">
      <c r="A200" s="8">
        <v>16</v>
      </c>
      <c r="B200" s="7" t="str">
        <f>المدخلات!$F$4</f>
        <v>4:00–5:10 م</v>
      </c>
      <c r="C200" s="7">
        <v>2</v>
      </c>
      <c r="D200" s="7" t="s">
        <v>593</v>
      </c>
      <c r="E200" s="7" t="s">
        <v>40</v>
      </c>
      <c r="F200" s="2"/>
    </row>
    <row r="201" spans="1:6" ht="14" customHeight="1">
      <c r="A201" s="8">
        <v>16</v>
      </c>
      <c r="B201" s="7" t="str">
        <f>المدخلات!$F$4</f>
        <v>4:00–5:10 م</v>
      </c>
      <c r="C201" s="7">
        <v>3</v>
      </c>
      <c r="D201" s="7" t="s">
        <v>593</v>
      </c>
      <c r="E201" s="7" t="s">
        <v>33</v>
      </c>
      <c r="F201" s="2"/>
    </row>
    <row r="202" spans="1:6" ht="14" customHeight="1">
      <c r="A202" s="8">
        <v>16</v>
      </c>
      <c r="B202" s="7" t="str">
        <f>المدخلات!$F$5</f>
        <v>5:20–6:30 م</v>
      </c>
      <c r="C202" s="7">
        <v>1</v>
      </c>
      <c r="D202" s="7" t="s">
        <v>593</v>
      </c>
      <c r="E202" s="7" t="s">
        <v>26</v>
      </c>
      <c r="F202" s="2"/>
    </row>
    <row r="203" spans="1:6" ht="14" customHeight="1">
      <c r="A203" s="8">
        <v>16</v>
      </c>
      <c r="B203" s="7" t="str">
        <f>المدخلات!$F$5</f>
        <v>5:20–6:30 م</v>
      </c>
      <c r="C203" s="7">
        <v>2</v>
      </c>
      <c r="D203" s="7" t="s">
        <v>593</v>
      </c>
      <c r="E203" s="7" t="s">
        <v>90</v>
      </c>
      <c r="F203" s="2"/>
    </row>
    <row r="204" spans="1:6" ht="14" customHeight="1">
      <c r="A204" s="8">
        <v>16</v>
      </c>
      <c r="B204" s="7" t="str">
        <f>المدخلات!$F$5</f>
        <v>5:20–6:30 م</v>
      </c>
      <c r="C204" s="7">
        <v>3</v>
      </c>
      <c r="D204" s="7" t="s">
        <v>593</v>
      </c>
      <c r="E204" s="7" t="s">
        <v>16</v>
      </c>
      <c r="F204" s="2"/>
    </row>
    <row r="205" spans="1:6" ht="14" customHeight="1">
      <c r="A205" s="8">
        <v>16</v>
      </c>
      <c r="B205" s="7" t="str">
        <f>المدخلات!$F$6</f>
        <v>6:40–7:50 م</v>
      </c>
      <c r="C205" s="7">
        <v>1</v>
      </c>
      <c r="D205" s="7" t="s">
        <v>593</v>
      </c>
      <c r="E205" s="7" t="s">
        <v>97</v>
      </c>
      <c r="F205" s="2"/>
    </row>
    <row r="206" spans="1:6" ht="14" customHeight="1">
      <c r="A206" s="8">
        <v>16</v>
      </c>
      <c r="B206" s="7" t="str">
        <f>المدخلات!$F$4</f>
        <v>4:00–5:10 م</v>
      </c>
      <c r="C206" s="7">
        <v>4</v>
      </c>
      <c r="D206" s="7" t="s">
        <v>594</v>
      </c>
      <c r="E206" s="7" t="s">
        <v>226</v>
      </c>
      <c r="F206" s="2"/>
    </row>
    <row r="207" spans="1:6" ht="14" customHeight="1">
      <c r="A207" s="8">
        <v>16</v>
      </c>
      <c r="B207" s="7" t="str">
        <f>المدخلات!$F$4</f>
        <v>4:00–5:10 م</v>
      </c>
      <c r="C207" s="7">
        <v>5</v>
      </c>
      <c r="D207" s="7" t="s">
        <v>594</v>
      </c>
      <c r="E207" s="7" t="s">
        <v>233</v>
      </c>
      <c r="F207" s="2"/>
    </row>
    <row r="208" spans="1:6" ht="14" customHeight="1">
      <c r="A208" s="8">
        <v>16</v>
      </c>
      <c r="B208" s="7" t="str">
        <f>المدخلات!$F$5</f>
        <v>5:20–6:30 م</v>
      </c>
      <c r="C208" s="7">
        <v>4</v>
      </c>
      <c r="D208" s="7" t="s">
        <v>594</v>
      </c>
      <c r="E208" s="7" t="s">
        <v>229</v>
      </c>
      <c r="F208" s="2"/>
    </row>
    <row r="209" spans="1:6" ht="14" customHeight="1">
      <c r="A209" s="8">
        <v>16</v>
      </c>
      <c r="B209" s="7" t="str">
        <f>المدخلات!$F$5</f>
        <v>5:20–6:30 م</v>
      </c>
      <c r="C209" s="7">
        <v>5</v>
      </c>
      <c r="D209" s="7" t="s">
        <v>594</v>
      </c>
      <c r="E209" s="7" t="s">
        <v>870</v>
      </c>
      <c r="F209" s="2"/>
    </row>
    <row r="210" spans="1:6" ht="14" customHeight="1">
      <c r="A210" s="8">
        <v>16</v>
      </c>
      <c r="B210" s="7" t="str">
        <f>المدخلات!$F$6</f>
        <v>6:40–7:50 م</v>
      </c>
      <c r="C210" s="7">
        <v>4</v>
      </c>
      <c r="D210" s="7" t="s">
        <v>594</v>
      </c>
      <c r="E210" s="7" t="s">
        <v>151</v>
      </c>
      <c r="F210" s="2"/>
    </row>
    <row r="211" spans="1:6" ht="14" customHeight="1">
      <c r="A211" s="8">
        <v>16</v>
      </c>
      <c r="B211" s="7" t="str">
        <f>المدخلات!$F$6</f>
        <v>6:40–7:50 م</v>
      </c>
      <c r="C211" s="7">
        <v>5</v>
      </c>
      <c r="D211" s="7" t="s">
        <v>594</v>
      </c>
      <c r="E211" s="7" t="s">
        <v>1150</v>
      </c>
      <c r="F211" s="2"/>
    </row>
    <row r="212" spans="1:6" ht="14" customHeight="1">
      <c r="A212" s="8">
        <v>17</v>
      </c>
      <c r="B212" s="7" t="str">
        <f>المدخلات!$F$4</f>
        <v>4:00–5:10 م</v>
      </c>
      <c r="C212" s="7">
        <v>1</v>
      </c>
      <c r="D212" s="7" t="s">
        <v>593</v>
      </c>
      <c r="E212" s="7" t="s">
        <v>22</v>
      </c>
      <c r="F212" s="2"/>
    </row>
    <row r="213" spans="1:6" ht="14" customHeight="1">
      <c r="A213" s="8">
        <v>17</v>
      </c>
      <c r="B213" s="7" t="str">
        <f>المدخلات!$F$4</f>
        <v>4:00–5:10 م</v>
      </c>
      <c r="C213" s="7">
        <v>2</v>
      </c>
      <c r="D213" s="7" t="s">
        <v>593</v>
      </c>
      <c r="E213" s="7" t="s">
        <v>10</v>
      </c>
      <c r="F213" s="2"/>
    </row>
    <row r="214" spans="1:6" ht="14" customHeight="1">
      <c r="A214" s="8">
        <v>17</v>
      </c>
      <c r="B214" s="7" t="str">
        <f>المدخلات!$F$4</f>
        <v>4:00–5:10 م</v>
      </c>
      <c r="C214" s="7">
        <v>3</v>
      </c>
      <c r="D214" s="7" t="s">
        <v>593</v>
      </c>
      <c r="E214" s="7" t="s">
        <v>91</v>
      </c>
      <c r="F214" s="2"/>
    </row>
    <row r="215" spans="1:6" ht="14" customHeight="1">
      <c r="A215" s="8">
        <v>17</v>
      </c>
      <c r="B215" s="7" t="str">
        <f>المدخلات!$F$5</f>
        <v>5:20–6:30 م</v>
      </c>
      <c r="C215" s="7">
        <v>1</v>
      </c>
      <c r="D215" s="7" t="s">
        <v>593</v>
      </c>
      <c r="E215" s="7" t="s">
        <v>95</v>
      </c>
      <c r="F215" s="2"/>
    </row>
    <row r="216" spans="1:6" ht="14" customHeight="1">
      <c r="A216" s="8">
        <v>17</v>
      </c>
      <c r="B216" s="7" t="str">
        <f>المدخلات!$F$5</f>
        <v>5:20–6:30 م</v>
      </c>
      <c r="C216" s="7">
        <v>2</v>
      </c>
      <c r="D216" s="7" t="s">
        <v>593</v>
      </c>
      <c r="E216" s="7" t="s">
        <v>866</v>
      </c>
      <c r="F216" s="2"/>
    </row>
    <row r="217" spans="1:6" ht="14" customHeight="1">
      <c r="A217" s="8">
        <v>17</v>
      </c>
      <c r="B217" s="7" t="str">
        <f>المدخلات!$F$5</f>
        <v>5:20–6:30 م</v>
      </c>
      <c r="C217" s="7">
        <v>3</v>
      </c>
      <c r="D217" s="7" t="s">
        <v>593</v>
      </c>
      <c r="E217" s="7" t="s">
        <v>64</v>
      </c>
      <c r="F217" s="2"/>
    </row>
    <row r="218" spans="1:6" ht="14" customHeight="1">
      <c r="A218" s="8">
        <v>17</v>
      </c>
      <c r="B218" s="7" t="str">
        <f>المدخلات!$F$6</f>
        <v>6:40–7:50 م</v>
      </c>
      <c r="C218" s="7">
        <v>1</v>
      </c>
      <c r="D218" s="7" t="s">
        <v>593</v>
      </c>
      <c r="E218" s="7" t="s">
        <v>12</v>
      </c>
      <c r="F218" s="2"/>
    </row>
    <row r="219" spans="1:6" ht="14" customHeight="1">
      <c r="A219" s="8">
        <v>17</v>
      </c>
      <c r="B219" s="7" t="str">
        <f>المدخلات!$F$4</f>
        <v>4:00–5:10 م</v>
      </c>
      <c r="C219" s="7">
        <v>4</v>
      </c>
      <c r="D219" s="7" t="s">
        <v>594</v>
      </c>
      <c r="E219" s="7" t="s">
        <v>871</v>
      </c>
      <c r="F219" s="2"/>
    </row>
    <row r="220" spans="1:6" ht="14" customHeight="1">
      <c r="A220" s="8">
        <v>17</v>
      </c>
      <c r="B220" s="7" t="str">
        <f>المدخلات!$F$4</f>
        <v>4:00–5:10 م</v>
      </c>
      <c r="C220" s="7">
        <v>5</v>
      </c>
      <c r="D220" s="7" t="s">
        <v>594</v>
      </c>
      <c r="E220" s="7" t="s">
        <v>628</v>
      </c>
      <c r="F220" s="2"/>
    </row>
    <row r="221" spans="1:6" ht="14" customHeight="1">
      <c r="A221" s="8">
        <v>17</v>
      </c>
      <c r="B221" s="7" t="str">
        <f>المدخلات!$F$5</f>
        <v>5:20–6:30 م</v>
      </c>
      <c r="C221" s="7">
        <v>4</v>
      </c>
      <c r="D221" s="7" t="s">
        <v>594</v>
      </c>
      <c r="E221" s="7" t="s">
        <v>859</v>
      </c>
      <c r="F221" s="2"/>
    </row>
    <row r="222" spans="1:6" ht="14" customHeight="1">
      <c r="A222" s="8">
        <v>17</v>
      </c>
      <c r="B222" s="7" t="str">
        <f>المدخلات!$F$5</f>
        <v>5:20–6:30 م</v>
      </c>
      <c r="C222" s="7">
        <v>5</v>
      </c>
      <c r="D222" s="7" t="s">
        <v>594</v>
      </c>
      <c r="E222" s="7" t="s">
        <v>219</v>
      </c>
      <c r="F222" s="2"/>
    </row>
    <row r="223" spans="1:6" ht="14" customHeight="1">
      <c r="A223" s="8">
        <v>17</v>
      </c>
      <c r="B223" s="7" t="str">
        <f>المدخلات!$F$6</f>
        <v>6:40–7:50 م</v>
      </c>
      <c r="C223" s="7">
        <v>4</v>
      </c>
      <c r="D223" s="7" t="s">
        <v>594</v>
      </c>
      <c r="E223" s="7" t="s">
        <v>629</v>
      </c>
      <c r="F223" s="2"/>
    </row>
    <row r="224" spans="1:6" ht="14" customHeight="1">
      <c r="A224" s="8">
        <v>17</v>
      </c>
      <c r="B224" s="7" t="str">
        <f>المدخلات!$F$6</f>
        <v>6:40–7:50 م</v>
      </c>
      <c r="C224" s="7">
        <v>5</v>
      </c>
      <c r="D224" s="7" t="s">
        <v>594</v>
      </c>
      <c r="E224" s="7" t="s">
        <v>842</v>
      </c>
      <c r="F224" s="2"/>
    </row>
    <row r="225" spans="1:6" ht="14" customHeight="1">
      <c r="A225" s="8">
        <v>18</v>
      </c>
      <c r="B225" s="7" t="str">
        <f>المدخلات!$F$4</f>
        <v>4:00–5:10 م</v>
      </c>
      <c r="C225" s="7">
        <v>1</v>
      </c>
      <c r="D225" s="7" t="s">
        <v>593</v>
      </c>
      <c r="E225" s="7" t="s">
        <v>43</v>
      </c>
      <c r="F225" s="2"/>
    </row>
    <row r="226" spans="1:6" ht="14" customHeight="1">
      <c r="A226" s="8">
        <v>18</v>
      </c>
      <c r="B226" s="7" t="str">
        <f>المدخلات!$F$4</f>
        <v>4:00–5:10 م</v>
      </c>
      <c r="C226" s="7">
        <v>2</v>
      </c>
      <c r="D226" s="7" t="s">
        <v>593</v>
      </c>
      <c r="E226" s="7" t="s">
        <v>724</v>
      </c>
      <c r="F226" s="2"/>
    </row>
    <row r="227" spans="1:6" ht="14" customHeight="1">
      <c r="A227" s="8">
        <v>18</v>
      </c>
      <c r="B227" s="7" t="str">
        <f>المدخلات!$F$4</f>
        <v>4:00–5:10 م</v>
      </c>
      <c r="C227" s="7">
        <v>3</v>
      </c>
      <c r="D227" s="7" t="s">
        <v>593</v>
      </c>
      <c r="E227" s="7" t="s">
        <v>68</v>
      </c>
      <c r="F227" s="2"/>
    </row>
    <row r="228" spans="1:6" ht="14" customHeight="1">
      <c r="A228" s="8">
        <v>18</v>
      </c>
      <c r="B228" s="7" t="str">
        <f>المدخلات!$F$5</f>
        <v>5:20–6:30 م</v>
      </c>
      <c r="C228" s="7">
        <v>1</v>
      </c>
      <c r="D228" s="7" t="s">
        <v>593</v>
      </c>
      <c r="E228" s="7" t="s">
        <v>19</v>
      </c>
      <c r="F228" s="2"/>
    </row>
    <row r="229" spans="1:6" ht="14" customHeight="1">
      <c r="A229" s="8">
        <v>18</v>
      </c>
      <c r="B229" s="7" t="str">
        <f>المدخلات!$F$5</f>
        <v>5:20–6:30 م</v>
      </c>
      <c r="C229" s="7">
        <v>2</v>
      </c>
      <c r="D229" s="7" t="s">
        <v>593</v>
      </c>
      <c r="E229" s="7" t="s">
        <v>52</v>
      </c>
      <c r="F229" s="2"/>
    </row>
    <row r="230" spans="1:6" ht="14" customHeight="1">
      <c r="A230" s="8">
        <v>18</v>
      </c>
      <c r="B230" s="7" t="str">
        <f>المدخلات!$F$5</f>
        <v>5:20–6:30 م</v>
      </c>
      <c r="C230" s="7">
        <v>3</v>
      </c>
      <c r="D230" s="7" t="s">
        <v>593</v>
      </c>
      <c r="E230" s="7" t="s">
        <v>7</v>
      </c>
      <c r="F230" s="2"/>
    </row>
    <row r="231" spans="1:6" ht="14" customHeight="1">
      <c r="A231" s="8">
        <v>18</v>
      </c>
      <c r="B231" s="7" t="str">
        <f>المدخلات!$F$6</f>
        <v>6:40–7:50 م</v>
      </c>
      <c r="C231" s="7">
        <v>1</v>
      </c>
      <c r="D231" s="7" t="s">
        <v>593</v>
      </c>
      <c r="E231" s="7" t="s">
        <v>119</v>
      </c>
      <c r="F231" s="2"/>
    </row>
    <row r="232" spans="1:6" ht="14" customHeight="1">
      <c r="A232" s="8">
        <v>18</v>
      </c>
      <c r="B232" s="7" t="str">
        <f>المدخلات!$F$4</f>
        <v>4:00–5:10 م</v>
      </c>
      <c r="C232" s="7">
        <v>4</v>
      </c>
      <c r="D232" s="7" t="s">
        <v>594</v>
      </c>
      <c r="E232" s="7" t="s">
        <v>220</v>
      </c>
      <c r="F232" s="2"/>
    </row>
    <row r="233" spans="1:6" ht="14" customHeight="1">
      <c r="A233" s="8">
        <v>18</v>
      </c>
      <c r="B233" s="7" t="str">
        <f>المدخلات!$F$4</f>
        <v>4:00–5:10 م</v>
      </c>
      <c r="C233" s="7">
        <v>5</v>
      </c>
      <c r="D233" s="7" t="s">
        <v>594</v>
      </c>
      <c r="E233" s="7" t="s">
        <v>198</v>
      </c>
      <c r="F233" s="2"/>
    </row>
    <row r="234" spans="1:6" ht="14" customHeight="1">
      <c r="A234" s="8">
        <v>18</v>
      </c>
      <c r="B234" s="7" t="str">
        <f>المدخلات!$F$5</f>
        <v>5:20–6:30 م</v>
      </c>
      <c r="C234" s="7">
        <v>4</v>
      </c>
      <c r="D234" s="7" t="s">
        <v>594</v>
      </c>
      <c r="E234" s="7" t="s">
        <v>205</v>
      </c>
      <c r="F234" s="2"/>
    </row>
    <row r="235" spans="1:6" ht="14" customHeight="1">
      <c r="A235" s="8">
        <v>18</v>
      </c>
      <c r="B235" s="7" t="str">
        <f>المدخلات!$F$5</f>
        <v>5:20–6:30 م</v>
      </c>
      <c r="C235" s="7">
        <v>5</v>
      </c>
      <c r="D235" s="7" t="s">
        <v>594</v>
      </c>
      <c r="E235" s="7" t="s">
        <v>860</v>
      </c>
      <c r="F235" s="2"/>
    </row>
    <row r="236" spans="1:6" ht="14" customHeight="1">
      <c r="A236" s="8">
        <v>18</v>
      </c>
      <c r="B236" s="7" t="str">
        <f>المدخلات!$F$6</f>
        <v>6:40–7:50 م</v>
      </c>
      <c r="C236" s="7">
        <v>4</v>
      </c>
      <c r="D236" s="7" t="s">
        <v>594</v>
      </c>
      <c r="E236" s="7" t="s">
        <v>836</v>
      </c>
      <c r="F236" s="2"/>
    </row>
    <row r="237" spans="1:6" ht="14" customHeight="1">
      <c r="A237" s="8">
        <v>18</v>
      </c>
      <c r="B237" s="7" t="str">
        <f>المدخلات!$F$6</f>
        <v>6:40–7:50 م</v>
      </c>
      <c r="C237" s="7">
        <v>5</v>
      </c>
      <c r="D237" s="7" t="s">
        <v>594</v>
      </c>
      <c r="E237" s="7" t="s">
        <v>243</v>
      </c>
      <c r="F237" s="2"/>
    </row>
    <row r="238" spans="1:6" ht="14" customHeight="1">
      <c r="A238" s="8">
        <v>19</v>
      </c>
      <c r="B238" s="7" t="str">
        <f>المدخلات!$F$4</f>
        <v>4:00–5:10 م</v>
      </c>
      <c r="C238" s="7">
        <v>1</v>
      </c>
      <c r="D238" s="7" t="s">
        <v>656</v>
      </c>
      <c r="E238" s="7" t="s">
        <v>597</v>
      </c>
      <c r="F238" s="2"/>
    </row>
    <row r="239" spans="1:6" ht="14" customHeight="1">
      <c r="A239" s="2"/>
      <c r="B239" s="2"/>
      <c r="C239" s="2"/>
      <c r="D239" s="2"/>
      <c r="E239" s="2"/>
    </row>
    <row r="240" spans="1:6" ht="14" customHeight="1">
      <c r="A240" s="2"/>
      <c r="B240" s="2"/>
      <c r="C240" s="2"/>
      <c r="D240" s="2"/>
      <c r="E240" s="2"/>
    </row>
    <row r="241" spans="1:27" ht="14" customHeight="1">
      <c r="A241" s="17" t="s">
        <v>828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ht="14" customHeight="1">
      <c r="A242" s="6" t="s">
        <v>829</v>
      </c>
      <c r="B242" s="6">
        <v>1</v>
      </c>
      <c r="C242" s="6">
        <v>2</v>
      </c>
      <c r="D242" s="6">
        <v>3</v>
      </c>
      <c r="E242" s="6">
        <v>4</v>
      </c>
      <c r="F242" s="6">
        <v>5</v>
      </c>
      <c r="G242" s="6">
        <v>6</v>
      </c>
      <c r="H242" s="6">
        <v>7</v>
      </c>
      <c r="I242" s="6">
        <v>8</v>
      </c>
      <c r="J242" s="6">
        <v>9</v>
      </c>
      <c r="K242" s="6">
        <v>10</v>
      </c>
      <c r="L242" s="6">
        <v>11</v>
      </c>
      <c r="M242" s="6">
        <v>12</v>
      </c>
      <c r="N242" s="6">
        <v>13</v>
      </c>
      <c r="O242" s="6">
        <v>14</v>
      </c>
      <c r="P242" s="6">
        <v>15</v>
      </c>
      <c r="Q242" s="6">
        <v>16</v>
      </c>
      <c r="R242" s="6">
        <v>17</v>
      </c>
      <c r="S242" s="6">
        <v>18</v>
      </c>
      <c r="T242" s="6">
        <v>19</v>
      </c>
      <c r="U242" s="6">
        <v>20</v>
      </c>
      <c r="V242" s="6">
        <v>21</v>
      </c>
      <c r="W242" s="6">
        <v>22</v>
      </c>
      <c r="X242" s="6">
        <v>23</v>
      </c>
      <c r="Y242" s="6">
        <v>24</v>
      </c>
      <c r="Z242" s="6">
        <v>25</v>
      </c>
      <c r="AA242" s="6">
        <v>26</v>
      </c>
    </row>
    <row r="243" spans="1:27" ht="14" customHeight="1">
      <c r="A243" s="14">
        <v>1</v>
      </c>
      <c r="B243" s="4" t="str">
        <f>IF($A243=B$242,"",COUNTIF($E$4:$E$238,$A243&amp;" ضد "&amp;B$242)+COUNTIF($E$4:$E$238,B$242&amp;" ضد "&amp;$A243))</f>
        <v/>
      </c>
      <c r="C243" s="4">
        <f>IF($A243=C$242,"",COUNTIF($E$4:$E$238,$A243&amp;" ضد "&amp;C$242)+COUNTIF($E$4:$E$238,C$242&amp;" ضد "&amp;$A243))</f>
        <v>1</v>
      </c>
      <c r="D243" s="4">
        <f>IF($A243=D$242,"",COUNTIF($E$4:$E$238,$A243&amp;" ضد "&amp;D$242)+COUNTIF($E$4:$E$238,D$242&amp;" ضد "&amp;$A243))</f>
        <v>1</v>
      </c>
      <c r="E243" s="4">
        <f>IF($A243=E$242,"",COUNTIF($E$4:$E$238,$A243&amp;" ضد "&amp;E$242)+COUNTIF($E$4:$E$238,E$242&amp;" ضد "&amp;$A243))</f>
        <v>1</v>
      </c>
      <c r="F243" s="4">
        <f>IF($A243=F$242,"",COUNTIF($E$4:$E$238,$A243&amp;" ضد "&amp;F$242)+COUNTIF($E$4:$E$238,F$242&amp;" ضد "&amp;$A243))</f>
        <v>1</v>
      </c>
      <c r="G243" s="4">
        <f>IF($A243=G$242,"",COUNTIF($E$4:$E$238,$A243&amp;" ضد "&amp;G$242)+COUNTIF($E$4:$E$238,G$242&amp;" ضد "&amp;$A243))</f>
        <v>1</v>
      </c>
      <c r="H243" s="4">
        <f>IF($A243=H$242,"",COUNTIF($E$4:$E$238,$A243&amp;" ضد "&amp;H$242)+COUNTIF($E$4:$E$238,H$242&amp;" ضد "&amp;$A243))</f>
        <v>1</v>
      </c>
      <c r="I243" s="4">
        <f>IF($A243=I$242,"",COUNTIF($E$4:$E$238,$A243&amp;" ضد "&amp;I$242)+COUNTIF($E$4:$E$238,I$242&amp;" ضد "&amp;$A243))</f>
        <v>1</v>
      </c>
      <c r="J243" s="4">
        <f>IF($A243=J$242,"",COUNTIF($E$4:$E$238,$A243&amp;" ضد "&amp;J$242)+COUNTIF($E$4:$E$238,J$242&amp;" ضد "&amp;$A243))</f>
        <v>1</v>
      </c>
      <c r="K243" s="4">
        <f>IF($A243=K$242,"",COUNTIF($E$4:$E$238,$A243&amp;" ضد "&amp;K$242)+COUNTIF($E$4:$E$238,K$242&amp;" ضد "&amp;$A243))</f>
        <v>2</v>
      </c>
      <c r="L243" s="4">
        <f>IF($A243=L$242,"",COUNTIF($E$4:$E$238,$A243&amp;" ضد "&amp;L$242)+COUNTIF($E$4:$E$238,L$242&amp;" ضد "&amp;$A243))</f>
        <v>2</v>
      </c>
      <c r="M243" s="4">
        <f>IF($A243=M$242,"",COUNTIF($E$4:$E$238,$A243&amp;" ضد "&amp;M$242)+COUNTIF($E$4:$E$238,M$242&amp;" ضد "&amp;$A243))</f>
        <v>2</v>
      </c>
      <c r="N243" s="4">
        <f>IF($A243=N$242,"",COUNTIF($E$4:$E$238,$A243&amp;" ضد "&amp;N$242)+COUNTIF($E$4:$E$238,N$242&amp;" ضد "&amp;$A243))</f>
        <v>2</v>
      </c>
      <c r="O243" s="4">
        <f>IF($A243=O$242,"",COUNTIF($E$4:$E$238,$A243&amp;" ضد "&amp;O$242)+COUNTIF($E$4:$E$238,O$242&amp;" ضد "&amp;$A243))</f>
        <v>2</v>
      </c>
      <c r="P243" s="4">
        <f>IF($A243=P$242,"",COUNTIF($E$4:$E$238,$A243&amp;" ضد "&amp;P$242)+COUNTIF($E$4:$E$238,P$242&amp;" ضد "&amp;$A243))</f>
        <v>0</v>
      </c>
      <c r="Q243" s="4">
        <f>IF($A243=Q$242,"",COUNTIF($E$4:$E$238,$A243&amp;" ضد "&amp;Q$242)+COUNTIF($E$4:$E$238,Q$242&amp;" ضد "&amp;$A243))</f>
        <v>0</v>
      </c>
      <c r="R243" s="4">
        <f>IF($A243=R$242,"",COUNTIF($E$4:$E$238,$A243&amp;" ضد "&amp;R$242)+COUNTIF($E$4:$E$238,R$242&amp;" ضد "&amp;$A243))</f>
        <v>0</v>
      </c>
      <c r="S243" s="4">
        <f>IF($A243=S$242,"",COUNTIF($E$4:$E$238,$A243&amp;" ضد "&amp;S$242)+COUNTIF($E$4:$E$238,S$242&amp;" ضد "&amp;$A243))</f>
        <v>0</v>
      </c>
      <c r="T243" s="4">
        <f>IF($A243=T$242,"",COUNTIF($E$4:$E$238,$A243&amp;" ضد "&amp;T$242)+COUNTIF($E$4:$E$238,T$242&amp;" ضد "&amp;$A243))</f>
        <v>0</v>
      </c>
      <c r="U243" s="4">
        <f>IF($A243=U$242,"",COUNTIF($E$4:$E$238,$A243&amp;" ضد "&amp;U$242)+COUNTIF($E$4:$E$238,U$242&amp;" ضد "&amp;$A243))</f>
        <v>0</v>
      </c>
      <c r="V243" s="4">
        <f>IF($A243=V$242,"",COUNTIF($E$4:$E$238,$A243&amp;" ضد "&amp;V$242)+COUNTIF($E$4:$E$238,V$242&amp;" ضد "&amp;$A243))</f>
        <v>0</v>
      </c>
      <c r="W243" s="4">
        <f>IF($A243=W$242,"",COUNTIF($E$4:$E$238,$A243&amp;" ضد "&amp;W$242)+COUNTIF($E$4:$E$238,W$242&amp;" ضد "&amp;$A243))</f>
        <v>0</v>
      </c>
      <c r="X243" s="4">
        <f>IF($A243=X$242,"",COUNTIF($E$4:$E$238,$A243&amp;" ضد "&amp;X$242)+COUNTIF($E$4:$E$238,X$242&amp;" ضد "&amp;$A243))</f>
        <v>0</v>
      </c>
      <c r="Y243" s="4">
        <f>IF($A243=Y$242,"",COUNTIF($E$4:$E$238,$A243&amp;" ضد "&amp;Y$242)+COUNTIF($E$4:$E$238,Y$242&amp;" ضد "&amp;$A243))</f>
        <v>0</v>
      </c>
      <c r="Z243" s="4">
        <f>IF($A243=Z$242,"",COUNTIF($E$4:$E$238,$A243&amp;" ضد "&amp;Z$242)+COUNTIF($E$4:$E$238,Z$242&amp;" ضد "&amp;$A243))</f>
        <v>0</v>
      </c>
      <c r="AA243" s="4">
        <f>IF($A243=AA$242,"",COUNTIF($E$4:$E$238,$A243&amp;" ضد "&amp;AA$242)+COUNTIF($E$4:$E$238,AA$242&amp;" ضد "&amp;$A243))</f>
        <v>0</v>
      </c>
    </row>
    <row r="244" spans="1:27" ht="14" customHeight="1">
      <c r="A244" s="14">
        <v>2</v>
      </c>
      <c r="B244" s="4">
        <f>IF($A244=B$242,"",COUNTIF($E$4:$E$238,$A244&amp;" ضد "&amp;B$242)+COUNTIF($E$4:$E$238,B$242&amp;" ضد "&amp;$A244))</f>
        <v>1</v>
      </c>
      <c r="C244" s="4" t="str">
        <f>IF($A244=C$242,"",COUNTIF($E$4:$E$238,$A244&amp;" ضد "&amp;C$242)+COUNTIF($E$4:$E$238,C$242&amp;" ضد "&amp;$A244))</f>
        <v/>
      </c>
      <c r="D244" s="4">
        <f>IF($A244=D$242,"",COUNTIF($E$4:$E$238,$A244&amp;" ضد "&amp;D$242)+COUNTIF($E$4:$E$238,D$242&amp;" ضد "&amp;$A244))</f>
        <v>1</v>
      </c>
      <c r="E244" s="4">
        <f>IF($A244=E$242,"",COUNTIF($E$4:$E$238,$A244&amp;" ضد "&amp;E$242)+COUNTIF($E$4:$E$238,E$242&amp;" ضد "&amp;$A244))</f>
        <v>1</v>
      </c>
      <c r="F244" s="4">
        <f>IF($A244=F$242,"",COUNTIF($E$4:$E$238,$A244&amp;" ضد "&amp;F$242)+COUNTIF($E$4:$E$238,F$242&amp;" ضد "&amp;$A244))</f>
        <v>2</v>
      </c>
      <c r="G244" s="4">
        <f>IF($A244=G$242,"",COUNTIF($E$4:$E$238,$A244&amp;" ضد "&amp;G$242)+COUNTIF($E$4:$E$238,G$242&amp;" ضد "&amp;$A244))</f>
        <v>1</v>
      </c>
      <c r="H244" s="4">
        <f>IF($A244=H$242,"",COUNTIF($E$4:$E$238,$A244&amp;" ضد "&amp;H$242)+COUNTIF($E$4:$E$238,H$242&amp;" ضد "&amp;$A244))</f>
        <v>2</v>
      </c>
      <c r="I244" s="4">
        <f>IF($A244=I$242,"",COUNTIF($E$4:$E$238,$A244&amp;" ضد "&amp;I$242)+COUNTIF($E$4:$E$238,I$242&amp;" ضد "&amp;$A244))</f>
        <v>1</v>
      </c>
      <c r="J244" s="4">
        <f>IF($A244=J$242,"",COUNTIF($E$4:$E$238,$A244&amp;" ضد "&amp;J$242)+COUNTIF($E$4:$E$238,J$242&amp;" ضد "&amp;$A244))</f>
        <v>2</v>
      </c>
      <c r="K244" s="4">
        <f>IF($A244=K$242,"",COUNTIF($E$4:$E$238,$A244&amp;" ضد "&amp;K$242)+COUNTIF($E$4:$E$238,K$242&amp;" ضد "&amp;$A244))</f>
        <v>1</v>
      </c>
      <c r="L244" s="4">
        <f>IF($A244=L$242,"",COUNTIF($E$4:$E$238,$A244&amp;" ضد "&amp;L$242)+COUNTIF($E$4:$E$238,L$242&amp;" ضد "&amp;$A244))</f>
        <v>2</v>
      </c>
      <c r="M244" s="4">
        <f>IF($A244=M$242,"",COUNTIF($E$4:$E$238,$A244&amp;" ضد "&amp;M$242)+COUNTIF($E$4:$E$238,M$242&amp;" ضد "&amp;$A244))</f>
        <v>1</v>
      </c>
      <c r="N244" s="4">
        <f>IF($A244=N$242,"",COUNTIF($E$4:$E$238,$A244&amp;" ضد "&amp;N$242)+COUNTIF($E$4:$E$238,N$242&amp;" ضد "&amp;$A244))</f>
        <v>2</v>
      </c>
      <c r="O244" s="4">
        <f>IF($A244=O$242,"",COUNTIF($E$4:$E$238,$A244&amp;" ضد "&amp;O$242)+COUNTIF($E$4:$E$238,O$242&amp;" ضد "&amp;$A244))</f>
        <v>1</v>
      </c>
      <c r="P244" s="4">
        <f>IF($A244=P$242,"",COUNTIF($E$4:$E$238,$A244&amp;" ضد "&amp;P$242)+COUNTIF($E$4:$E$238,P$242&amp;" ضد "&amp;$A244))</f>
        <v>0</v>
      </c>
      <c r="Q244" s="4">
        <f>IF($A244=Q$242,"",COUNTIF($E$4:$E$238,$A244&amp;" ضد "&amp;Q$242)+COUNTIF($E$4:$E$238,Q$242&amp;" ضد "&amp;$A244))</f>
        <v>0</v>
      </c>
      <c r="R244" s="4">
        <f>IF($A244=R$242,"",COUNTIF($E$4:$E$238,$A244&amp;" ضد "&amp;R$242)+COUNTIF($E$4:$E$238,R$242&amp;" ضد "&amp;$A244))</f>
        <v>0</v>
      </c>
      <c r="S244" s="4">
        <f>IF($A244=S$242,"",COUNTIF($E$4:$E$238,$A244&amp;" ضد "&amp;S$242)+COUNTIF($E$4:$E$238,S$242&amp;" ضد "&amp;$A244))</f>
        <v>0</v>
      </c>
      <c r="T244" s="4">
        <f>IF($A244=T$242,"",COUNTIF($E$4:$E$238,$A244&amp;" ضد "&amp;T$242)+COUNTIF($E$4:$E$238,T$242&amp;" ضد "&amp;$A244))</f>
        <v>0</v>
      </c>
      <c r="U244" s="4">
        <f>IF($A244=U$242,"",COUNTIF($E$4:$E$238,$A244&amp;" ضد "&amp;U$242)+COUNTIF($E$4:$E$238,U$242&amp;" ضد "&amp;$A244))</f>
        <v>0</v>
      </c>
      <c r="V244" s="4">
        <f>IF($A244=V$242,"",COUNTIF($E$4:$E$238,$A244&amp;" ضد "&amp;V$242)+COUNTIF($E$4:$E$238,V$242&amp;" ضد "&amp;$A244))</f>
        <v>0</v>
      </c>
      <c r="W244" s="4">
        <f>IF($A244=W$242,"",COUNTIF($E$4:$E$238,$A244&amp;" ضد "&amp;W$242)+COUNTIF($E$4:$E$238,W$242&amp;" ضد "&amp;$A244))</f>
        <v>0</v>
      </c>
      <c r="X244" s="4">
        <f>IF($A244=X$242,"",COUNTIF($E$4:$E$238,$A244&amp;" ضد "&amp;X$242)+COUNTIF($E$4:$E$238,X$242&amp;" ضد "&amp;$A244))</f>
        <v>0</v>
      </c>
      <c r="Y244" s="4">
        <f>IF($A244=Y$242,"",COUNTIF($E$4:$E$238,$A244&amp;" ضد "&amp;Y$242)+COUNTIF($E$4:$E$238,Y$242&amp;" ضد "&amp;$A244))</f>
        <v>0</v>
      </c>
      <c r="Z244" s="4">
        <f>IF($A244=Z$242,"",COUNTIF($E$4:$E$238,$A244&amp;" ضد "&amp;Z$242)+COUNTIF($E$4:$E$238,Z$242&amp;" ضد "&amp;$A244))</f>
        <v>0</v>
      </c>
      <c r="AA244" s="4">
        <f>IF($A244=AA$242,"",COUNTIF($E$4:$E$238,$A244&amp;" ضد "&amp;AA$242)+COUNTIF($E$4:$E$238,AA$242&amp;" ضد "&amp;$A244))</f>
        <v>0</v>
      </c>
    </row>
    <row r="245" spans="1:27" ht="14" customHeight="1">
      <c r="A245" s="14">
        <v>3</v>
      </c>
      <c r="B245" s="4">
        <f>IF($A245=B$242,"",COUNTIF($E$4:$E$238,$A245&amp;" ضد "&amp;B$242)+COUNTIF($E$4:$E$238,B$242&amp;" ضد "&amp;$A245))</f>
        <v>1</v>
      </c>
      <c r="C245" s="4">
        <f>IF($A245=C$242,"",COUNTIF($E$4:$E$238,$A245&amp;" ضد "&amp;C$242)+COUNTIF($E$4:$E$238,C$242&amp;" ضد "&amp;$A245))</f>
        <v>1</v>
      </c>
      <c r="D245" s="4" t="str">
        <f>IF($A245=D$242,"",COUNTIF($E$4:$E$238,$A245&amp;" ضد "&amp;D$242)+COUNTIF($E$4:$E$238,D$242&amp;" ضد "&amp;$A245))</f>
        <v/>
      </c>
      <c r="E245" s="4">
        <f>IF($A245=E$242,"",COUNTIF($E$4:$E$238,$A245&amp;" ضد "&amp;E$242)+COUNTIF($E$4:$E$238,E$242&amp;" ضد "&amp;$A245))</f>
        <v>2</v>
      </c>
      <c r="F245" s="4">
        <f>IF($A245=F$242,"",COUNTIF($E$4:$E$238,$A245&amp;" ضد "&amp;F$242)+COUNTIF($E$4:$E$238,F$242&amp;" ضد "&amp;$A245))</f>
        <v>1</v>
      </c>
      <c r="G245" s="4">
        <f>IF($A245=G$242,"",COUNTIF($E$4:$E$238,$A245&amp;" ضد "&amp;G$242)+COUNTIF($E$4:$E$238,G$242&amp;" ضد "&amp;$A245))</f>
        <v>2</v>
      </c>
      <c r="H245" s="4">
        <f>IF($A245=H$242,"",COUNTIF($E$4:$E$238,$A245&amp;" ضد "&amp;H$242)+COUNTIF($E$4:$E$238,H$242&amp;" ضد "&amp;$A245))</f>
        <v>1</v>
      </c>
      <c r="I245" s="4">
        <f>IF($A245=I$242,"",COUNTIF($E$4:$E$238,$A245&amp;" ضد "&amp;I$242)+COUNTIF($E$4:$E$238,I$242&amp;" ضد "&amp;$A245))</f>
        <v>2</v>
      </c>
      <c r="J245" s="4">
        <f>IF($A245=J$242,"",COUNTIF($E$4:$E$238,$A245&amp;" ضد "&amp;J$242)+COUNTIF($E$4:$E$238,J$242&amp;" ضد "&amp;$A245))</f>
        <v>1</v>
      </c>
      <c r="K245" s="4">
        <f>IF($A245=K$242,"",COUNTIF($E$4:$E$238,$A245&amp;" ضد "&amp;K$242)+COUNTIF($E$4:$E$238,K$242&amp;" ضد "&amp;$A245))</f>
        <v>2</v>
      </c>
      <c r="L245" s="4">
        <f>IF($A245=L$242,"",COUNTIF($E$4:$E$238,$A245&amp;" ضد "&amp;L$242)+COUNTIF($E$4:$E$238,L$242&amp;" ضد "&amp;$A245))</f>
        <v>1</v>
      </c>
      <c r="M245" s="4">
        <f>IF($A245=M$242,"",COUNTIF($E$4:$E$238,$A245&amp;" ضد "&amp;M$242)+COUNTIF($E$4:$E$238,M$242&amp;" ضد "&amp;$A245))</f>
        <v>2</v>
      </c>
      <c r="N245" s="4">
        <f>IF($A245=N$242,"",COUNTIF($E$4:$E$238,$A245&amp;" ضد "&amp;N$242)+COUNTIF($E$4:$E$238,N$242&amp;" ضد "&amp;$A245))</f>
        <v>1</v>
      </c>
      <c r="O245" s="4">
        <f>IF($A245=O$242,"",COUNTIF($E$4:$E$238,$A245&amp;" ضد "&amp;O$242)+COUNTIF($E$4:$E$238,O$242&amp;" ضد "&amp;$A245))</f>
        <v>1</v>
      </c>
      <c r="P245" s="4">
        <f>IF($A245=P$242,"",COUNTIF($E$4:$E$238,$A245&amp;" ضد "&amp;P$242)+COUNTIF($E$4:$E$238,P$242&amp;" ضد "&amp;$A245))</f>
        <v>0</v>
      </c>
      <c r="Q245" s="4">
        <f>IF($A245=Q$242,"",COUNTIF($E$4:$E$238,$A245&amp;" ضد "&amp;Q$242)+COUNTIF($E$4:$E$238,Q$242&amp;" ضد "&amp;$A245))</f>
        <v>0</v>
      </c>
      <c r="R245" s="4">
        <f>IF($A245=R$242,"",COUNTIF($E$4:$E$238,$A245&amp;" ضد "&amp;R$242)+COUNTIF($E$4:$E$238,R$242&amp;" ضد "&amp;$A245))</f>
        <v>0</v>
      </c>
      <c r="S245" s="4">
        <f>IF($A245=S$242,"",COUNTIF($E$4:$E$238,$A245&amp;" ضد "&amp;S$242)+COUNTIF($E$4:$E$238,S$242&amp;" ضد "&amp;$A245))</f>
        <v>0</v>
      </c>
      <c r="T245" s="4">
        <f>IF($A245=T$242,"",COUNTIF($E$4:$E$238,$A245&amp;" ضد "&amp;T$242)+COUNTIF($E$4:$E$238,T$242&amp;" ضد "&amp;$A245))</f>
        <v>0</v>
      </c>
      <c r="U245" s="4">
        <f>IF($A245=U$242,"",COUNTIF($E$4:$E$238,$A245&amp;" ضد "&amp;U$242)+COUNTIF($E$4:$E$238,U$242&amp;" ضد "&amp;$A245))</f>
        <v>0</v>
      </c>
      <c r="V245" s="4">
        <f>IF($A245=V$242,"",COUNTIF($E$4:$E$238,$A245&amp;" ضد "&amp;V$242)+COUNTIF($E$4:$E$238,V$242&amp;" ضد "&amp;$A245))</f>
        <v>0</v>
      </c>
      <c r="W245" s="4">
        <f>IF($A245=W$242,"",COUNTIF($E$4:$E$238,$A245&amp;" ضد "&amp;W$242)+COUNTIF($E$4:$E$238,W$242&amp;" ضد "&amp;$A245))</f>
        <v>0</v>
      </c>
      <c r="X245" s="4">
        <f>IF($A245=X$242,"",COUNTIF($E$4:$E$238,$A245&amp;" ضد "&amp;X$242)+COUNTIF($E$4:$E$238,X$242&amp;" ضد "&amp;$A245))</f>
        <v>0</v>
      </c>
      <c r="Y245" s="4">
        <f>IF($A245=Y$242,"",COUNTIF($E$4:$E$238,$A245&amp;" ضد "&amp;Y$242)+COUNTIF($E$4:$E$238,Y$242&amp;" ضد "&amp;$A245))</f>
        <v>0</v>
      </c>
      <c r="Z245" s="4">
        <f>IF($A245=Z$242,"",COUNTIF($E$4:$E$238,$A245&amp;" ضد "&amp;Z$242)+COUNTIF($E$4:$E$238,Z$242&amp;" ضد "&amp;$A245))</f>
        <v>0</v>
      </c>
      <c r="AA245" s="4">
        <f>IF($A245=AA$242,"",COUNTIF($E$4:$E$238,$A245&amp;" ضد "&amp;AA$242)+COUNTIF($E$4:$E$238,AA$242&amp;" ضد "&amp;$A245))</f>
        <v>0</v>
      </c>
    </row>
    <row r="246" spans="1:27" ht="14" customHeight="1">
      <c r="A246" s="14">
        <v>4</v>
      </c>
      <c r="B246" s="4">
        <f>IF($A246=B$242,"",COUNTIF($E$4:$E$238,$A246&amp;" ضد "&amp;B$242)+COUNTIF($E$4:$E$238,B$242&amp;" ضد "&amp;$A246))</f>
        <v>1</v>
      </c>
      <c r="C246" s="4">
        <f>IF($A246=C$242,"",COUNTIF($E$4:$E$238,$A246&amp;" ضد "&amp;C$242)+COUNTIF($E$4:$E$238,C$242&amp;" ضد "&amp;$A246))</f>
        <v>1</v>
      </c>
      <c r="D246" s="4">
        <f>IF($A246=D$242,"",COUNTIF($E$4:$E$238,$A246&amp;" ضد "&amp;D$242)+COUNTIF($E$4:$E$238,D$242&amp;" ضد "&amp;$A246))</f>
        <v>2</v>
      </c>
      <c r="E246" s="4" t="str">
        <f>IF($A246=E$242,"",COUNTIF($E$4:$E$238,$A246&amp;" ضد "&amp;E$242)+COUNTIF($E$4:$E$238,E$242&amp;" ضد "&amp;$A246))</f>
        <v/>
      </c>
      <c r="F246" s="4">
        <f>IF($A246=F$242,"",COUNTIF($E$4:$E$238,$A246&amp;" ضد "&amp;F$242)+COUNTIF($E$4:$E$238,F$242&amp;" ضد "&amp;$A246))</f>
        <v>2</v>
      </c>
      <c r="G246" s="4">
        <f>IF($A246=G$242,"",COUNTIF($E$4:$E$238,$A246&amp;" ضد "&amp;G$242)+COUNTIF($E$4:$E$238,G$242&amp;" ضد "&amp;$A246))</f>
        <v>1</v>
      </c>
      <c r="H246" s="4">
        <f>IF($A246=H$242,"",COUNTIF($E$4:$E$238,$A246&amp;" ضد "&amp;H$242)+COUNTIF($E$4:$E$238,H$242&amp;" ضد "&amp;$A246))</f>
        <v>2</v>
      </c>
      <c r="I246" s="4">
        <f>IF($A246=I$242,"",COUNTIF($E$4:$E$238,$A246&amp;" ضد "&amp;I$242)+COUNTIF($E$4:$E$238,I$242&amp;" ضد "&amp;$A246))</f>
        <v>1</v>
      </c>
      <c r="J246" s="4">
        <f>IF($A246=J$242,"",COUNTIF($E$4:$E$238,$A246&amp;" ضد "&amp;J$242)+COUNTIF($E$4:$E$238,J$242&amp;" ضد "&amp;$A246))</f>
        <v>2</v>
      </c>
      <c r="K246" s="4">
        <f>IF($A246=K$242,"",COUNTIF($E$4:$E$238,$A246&amp;" ضد "&amp;K$242)+COUNTIF($E$4:$E$238,K$242&amp;" ضد "&amp;$A246))</f>
        <v>1</v>
      </c>
      <c r="L246" s="4">
        <f>IF($A246=L$242,"",COUNTIF($E$4:$E$238,$A246&amp;" ضد "&amp;L$242)+COUNTIF($E$4:$E$238,L$242&amp;" ضد "&amp;$A246))</f>
        <v>2</v>
      </c>
      <c r="M246" s="4">
        <f>IF($A246=M$242,"",COUNTIF($E$4:$E$238,$A246&amp;" ضد "&amp;M$242)+COUNTIF($E$4:$E$238,M$242&amp;" ضد "&amp;$A246))</f>
        <v>1</v>
      </c>
      <c r="N246" s="4">
        <f>IF($A246=N$242,"",COUNTIF($E$4:$E$238,$A246&amp;" ضد "&amp;N$242)+COUNTIF($E$4:$E$238,N$242&amp;" ضد "&amp;$A246))</f>
        <v>1</v>
      </c>
      <c r="O246" s="4">
        <f>IF($A246=O$242,"",COUNTIF($E$4:$E$238,$A246&amp;" ضد "&amp;O$242)+COUNTIF($E$4:$E$238,O$242&amp;" ضد "&amp;$A246))</f>
        <v>1</v>
      </c>
      <c r="P246" s="4">
        <f>IF($A246=P$242,"",COUNTIF($E$4:$E$238,$A246&amp;" ضد "&amp;P$242)+COUNTIF($E$4:$E$238,P$242&amp;" ضد "&amp;$A246))</f>
        <v>0</v>
      </c>
      <c r="Q246" s="4">
        <f>IF($A246=Q$242,"",COUNTIF($E$4:$E$238,$A246&amp;" ضد "&amp;Q$242)+COUNTIF($E$4:$E$238,Q$242&amp;" ضد "&amp;$A246))</f>
        <v>0</v>
      </c>
      <c r="R246" s="4">
        <f>IF($A246=R$242,"",COUNTIF($E$4:$E$238,$A246&amp;" ضد "&amp;R$242)+COUNTIF($E$4:$E$238,R$242&amp;" ضد "&amp;$A246))</f>
        <v>0</v>
      </c>
      <c r="S246" s="4">
        <f>IF($A246=S$242,"",COUNTIF($E$4:$E$238,$A246&amp;" ضد "&amp;S$242)+COUNTIF($E$4:$E$238,S$242&amp;" ضد "&amp;$A246))</f>
        <v>0</v>
      </c>
      <c r="T246" s="4">
        <f>IF($A246=T$242,"",COUNTIF($E$4:$E$238,$A246&amp;" ضد "&amp;T$242)+COUNTIF($E$4:$E$238,T$242&amp;" ضد "&amp;$A246))</f>
        <v>0</v>
      </c>
      <c r="U246" s="4">
        <f>IF($A246=U$242,"",COUNTIF($E$4:$E$238,$A246&amp;" ضد "&amp;U$242)+COUNTIF($E$4:$E$238,U$242&amp;" ضد "&amp;$A246))</f>
        <v>0</v>
      </c>
      <c r="V246" s="4">
        <f>IF($A246=V$242,"",COUNTIF($E$4:$E$238,$A246&amp;" ضد "&amp;V$242)+COUNTIF($E$4:$E$238,V$242&amp;" ضد "&amp;$A246))</f>
        <v>0</v>
      </c>
      <c r="W246" s="4">
        <f>IF($A246=W$242,"",COUNTIF($E$4:$E$238,$A246&amp;" ضد "&amp;W$242)+COUNTIF($E$4:$E$238,W$242&amp;" ضد "&amp;$A246))</f>
        <v>0</v>
      </c>
      <c r="X246" s="4">
        <f>IF($A246=X$242,"",COUNTIF($E$4:$E$238,$A246&amp;" ضد "&amp;X$242)+COUNTIF($E$4:$E$238,X$242&amp;" ضد "&amp;$A246))</f>
        <v>0</v>
      </c>
      <c r="Y246" s="4">
        <f>IF($A246=Y$242,"",COUNTIF($E$4:$E$238,$A246&amp;" ضد "&amp;Y$242)+COUNTIF($E$4:$E$238,Y$242&amp;" ضد "&amp;$A246))</f>
        <v>0</v>
      </c>
      <c r="Z246" s="4">
        <f>IF($A246=Z$242,"",COUNTIF($E$4:$E$238,$A246&amp;" ضد "&amp;Z$242)+COUNTIF($E$4:$E$238,Z$242&amp;" ضد "&amp;$A246))</f>
        <v>0</v>
      </c>
      <c r="AA246" s="4">
        <f>IF($A246=AA$242,"",COUNTIF($E$4:$E$238,$A246&amp;" ضد "&amp;AA$242)+COUNTIF($E$4:$E$238,AA$242&amp;" ضد "&amp;$A246))</f>
        <v>0</v>
      </c>
    </row>
    <row r="247" spans="1:27" ht="14" customHeight="1">
      <c r="A247" s="14">
        <v>5</v>
      </c>
      <c r="B247" s="4">
        <f>IF($A247=B$242,"",COUNTIF($E$4:$E$238,$A247&amp;" ضد "&amp;B$242)+COUNTIF($E$4:$E$238,B$242&amp;" ضد "&amp;$A247))</f>
        <v>1</v>
      </c>
      <c r="C247" s="4">
        <f>IF($A247=C$242,"",COUNTIF($E$4:$E$238,$A247&amp;" ضد "&amp;C$242)+COUNTIF($E$4:$E$238,C$242&amp;" ضد "&amp;$A247))</f>
        <v>2</v>
      </c>
      <c r="D247" s="4">
        <f>IF($A247=D$242,"",COUNTIF($E$4:$E$238,$A247&amp;" ضد "&amp;D$242)+COUNTIF($E$4:$E$238,D$242&amp;" ضد "&amp;$A247))</f>
        <v>1</v>
      </c>
      <c r="E247" s="4">
        <f>IF($A247=E$242,"",COUNTIF($E$4:$E$238,$A247&amp;" ضد "&amp;E$242)+COUNTIF($E$4:$E$238,E$242&amp;" ضد "&amp;$A247))</f>
        <v>2</v>
      </c>
      <c r="F247" s="4" t="str">
        <f>IF($A247=F$242,"",COUNTIF($E$4:$E$238,$A247&amp;" ضد "&amp;F$242)+COUNTIF($E$4:$E$238,F$242&amp;" ضد "&amp;$A247))</f>
        <v/>
      </c>
      <c r="G247" s="4">
        <f>IF($A247=G$242,"",COUNTIF($E$4:$E$238,$A247&amp;" ضد "&amp;G$242)+COUNTIF($E$4:$E$238,G$242&amp;" ضد "&amp;$A247))</f>
        <v>2</v>
      </c>
      <c r="H247" s="4">
        <f>IF($A247=H$242,"",COUNTIF($E$4:$E$238,$A247&amp;" ضد "&amp;H$242)+COUNTIF($E$4:$E$238,H$242&amp;" ضد "&amp;$A247))</f>
        <v>1</v>
      </c>
      <c r="I247" s="4">
        <f>IF($A247=I$242,"",COUNTIF($E$4:$E$238,$A247&amp;" ضد "&amp;I$242)+COUNTIF($E$4:$E$238,I$242&amp;" ضد "&amp;$A247))</f>
        <v>2</v>
      </c>
      <c r="J247" s="4">
        <f>IF($A247=J$242,"",COUNTIF($E$4:$E$238,$A247&amp;" ضد "&amp;J$242)+COUNTIF($E$4:$E$238,J$242&amp;" ضد "&amp;$A247))</f>
        <v>1</v>
      </c>
      <c r="K247" s="4">
        <f>IF($A247=K$242,"",COUNTIF($E$4:$E$238,$A247&amp;" ضد "&amp;K$242)+COUNTIF($E$4:$E$238,K$242&amp;" ضد "&amp;$A247))</f>
        <v>2</v>
      </c>
      <c r="L247" s="4">
        <f>IF($A247=L$242,"",COUNTIF($E$4:$E$238,$A247&amp;" ضد "&amp;L$242)+COUNTIF($E$4:$E$238,L$242&amp;" ضد "&amp;$A247))</f>
        <v>1</v>
      </c>
      <c r="M247" s="4">
        <f>IF($A247=M$242,"",COUNTIF($E$4:$E$238,$A247&amp;" ضد "&amp;M$242)+COUNTIF($E$4:$E$238,M$242&amp;" ضد "&amp;$A247))</f>
        <v>1</v>
      </c>
      <c r="N247" s="4">
        <f>IF($A247=N$242,"",COUNTIF($E$4:$E$238,$A247&amp;" ضد "&amp;N$242)+COUNTIF($E$4:$E$238,N$242&amp;" ضد "&amp;$A247))</f>
        <v>1</v>
      </c>
      <c r="O247" s="4">
        <f>IF($A247=O$242,"",COUNTIF($E$4:$E$238,$A247&amp;" ضد "&amp;O$242)+COUNTIF($E$4:$E$238,O$242&amp;" ضد "&amp;$A247))</f>
        <v>1</v>
      </c>
      <c r="P247" s="4">
        <f>IF($A247=P$242,"",COUNTIF($E$4:$E$238,$A247&amp;" ضد "&amp;P$242)+COUNTIF($E$4:$E$238,P$242&amp;" ضد "&amp;$A247))</f>
        <v>0</v>
      </c>
      <c r="Q247" s="4">
        <f>IF($A247=Q$242,"",COUNTIF($E$4:$E$238,$A247&amp;" ضد "&amp;Q$242)+COUNTIF($E$4:$E$238,Q$242&amp;" ضد "&amp;$A247))</f>
        <v>0</v>
      </c>
      <c r="R247" s="4">
        <f>IF($A247=R$242,"",COUNTIF($E$4:$E$238,$A247&amp;" ضد "&amp;R$242)+COUNTIF($E$4:$E$238,R$242&amp;" ضد "&amp;$A247))</f>
        <v>0</v>
      </c>
      <c r="S247" s="4">
        <f>IF($A247=S$242,"",COUNTIF($E$4:$E$238,$A247&amp;" ضد "&amp;S$242)+COUNTIF($E$4:$E$238,S$242&amp;" ضد "&amp;$A247))</f>
        <v>0</v>
      </c>
      <c r="T247" s="4">
        <f>IF($A247=T$242,"",COUNTIF($E$4:$E$238,$A247&amp;" ضد "&amp;T$242)+COUNTIF($E$4:$E$238,T$242&amp;" ضد "&amp;$A247))</f>
        <v>0</v>
      </c>
      <c r="U247" s="4">
        <f>IF($A247=U$242,"",COUNTIF($E$4:$E$238,$A247&amp;" ضد "&amp;U$242)+COUNTIF($E$4:$E$238,U$242&amp;" ضد "&amp;$A247))</f>
        <v>0</v>
      </c>
      <c r="V247" s="4">
        <f>IF($A247=V$242,"",COUNTIF($E$4:$E$238,$A247&amp;" ضد "&amp;V$242)+COUNTIF($E$4:$E$238,V$242&amp;" ضد "&amp;$A247))</f>
        <v>0</v>
      </c>
      <c r="W247" s="4">
        <f>IF($A247=W$242,"",COUNTIF($E$4:$E$238,$A247&amp;" ضد "&amp;W$242)+COUNTIF($E$4:$E$238,W$242&amp;" ضد "&amp;$A247))</f>
        <v>0</v>
      </c>
      <c r="X247" s="4">
        <f>IF($A247=X$242,"",COUNTIF($E$4:$E$238,$A247&amp;" ضد "&amp;X$242)+COUNTIF($E$4:$E$238,X$242&amp;" ضد "&amp;$A247))</f>
        <v>0</v>
      </c>
      <c r="Y247" s="4">
        <f>IF($A247=Y$242,"",COUNTIF($E$4:$E$238,$A247&amp;" ضد "&amp;Y$242)+COUNTIF($E$4:$E$238,Y$242&amp;" ضد "&amp;$A247))</f>
        <v>0</v>
      </c>
      <c r="Z247" s="4">
        <f>IF($A247=Z$242,"",COUNTIF($E$4:$E$238,$A247&amp;" ضد "&amp;Z$242)+COUNTIF($E$4:$E$238,Z$242&amp;" ضد "&amp;$A247))</f>
        <v>0</v>
      </c>
      <c r="AA247" s="4">
        <f>IF($A247=AA$242,"",COUNTIF($E$4:$E$238,$A247&amp;" ضد "&amp;AA$242)+COUNTIF($E$4:$E$238,AA$242&amp;" ضد "&amp;$A247))</f>
        <v>0</v>
      </c>
    </row>
    <row r="248" spans="1:27" ht="14" customHeight="1">
      <c r="A248" s="14">
        <v>6</v>
      </c>
      <c r="B248" s="4">
        <f>IF($A248=B$242,"",COUNTIF($E$4:$E$238,$A248&amp;" ضد "&amp;B$242)+COUNTIF($E$4:$E$238,B$242&amp;" ضد "&amp;$A248))</f>
        <v>1</v>
      </c>
      <c r="C248" s="4">
        <f>IF($A248=C$242,"",COUNTIF($E$4:$E$238,$A248&amp;" ضد "&amp;C$242)+COUNTIF($E$4:$E$238,C$242&amp;" ضد "&amp;$A248))</f>
        <v>1</v>
      </c>
      <c r="D248" s="4">
        <f>IF($A248=D$242,"",COUNTIF($E$4:$E$238,$A248&amp;" ضد "&amp;D$242)+COUNTIF($E$4:$E$238,D$242&amp;" ضد "&amp;$A248))</f>
        <v>2</v>
      </c>
      <c r="E248" s="4">
        <f>IF($A248=E$242,"",COUNTIF($E$4:$E$238,$A248&amp;" ضد "&amp;E$242)+COUNTIF($E$4:$E$238,E$242&amp;" ضد "&amp;$A248))</f>
        <v>1</v>
      </c>
      <c r="F248" s="4">
        <f>IF($A248=F$242,"",COUNTIF($E$4:$E$238,$A248&amp;" ضد "&amp;F$242)+COUNTIF($E$4:$E$238,F$242&amp;" ضد "&amp;$A248))</f>
        <v>2</v>
      </c>
      <c r="G248" s="4" t="str">
        <f>IF($A248=G$242,"",COUNTIF($E$4:$E$238,$A248&amp;" ضد "&amp;G$242)+COUNTIF($E$4:$E$238,G$242&amp;" ضد "&amp;$A248))</f>
        <v/>
      </c>
      <c r="H248" s="4">
        <f>IF($A248=H$242,"",COUNTIF($E$4:$E$238,$A248&amp;" ضد "&amp;H$242)+COUNTIF($E$4:$E$238,H$242&amp;" ضد "&amp;$A248))</f>
        <v>2</v>
      </c>
      <c r="I248" s="4">
        <f>IF($A248=I$242,"",COUNTIF($E$4:$E$238,$A248&amp;" ضد "&amp;I$242)+COUNTIF($E$4:$E$238,I$242&amp;" ضد "&amp;$A248))</f>
        <v>1</v>
      </c>
      <c r="J248" s="4">
        <f>IF($A248=J$242,"",COUNTIF($E$4:$E$238,$A248&amp;" ضد "&amp;J$242)+COUNTIF($E$4:$E$238,J$242&amp;" ضد "&amp;$A248))</f>
        <v>2</v>
      </c>
      <c r="K248" s="4">
        <f>IF($A248=K$242,"",COUNTIF($E$4:$E$238,$A248&amp;" ضد "&amp;K$242)+COUNTIF($E$4:$E$238,K$242&amp;" ضد "&amp;$A248))</f>
        <v>1</v>
      </c>
      <c r="L248" s="4">
        <f>IF($A248=L$242,"",COUNTIF($E$4:$E$238,$A248&amp;" ضد "&amp;L$242)+COUNTIF($E$4:$E$238,L$242&amp;" ضد "&amp;$A248))</f>
        <v>1</v>
      </c>
      <c r="M248" s="4">
        <f>IF($A248=M$242,"",COUNTIF($E$4:$E$238,$A248&amp;" ضد "&amp;M$242)+COUNTIF($E$4:$E$238,M$242&amp;" ضد "&amp;$A248))</f>
        <v>1</v>
      </c>
      <c r="N248" s="4">
        <f>IF($A248=N$242,"",COUNTIF($E$4:$E$238,$A248&amp;" ضد "&amp;N$242)+COUNTIF($E$4:$E$238,N$242&amp;" ضد "&amp;$A248))</f>
        <v>1</v>
      </c>
      <c r="O248" s="4">
        <f>IF($A248=O$242,"",COUNTIF($E$4:$E$238,$A248&amp;" ضد "&amp;O$242)+COUNTIF($E$4:$E$238,O$242&amp;" ضد "&amp;$A248))</f>
        <v>2</v>
      </c>
      <c r="P248" s="4">
        <f>IF($A248=P$242,"",COUNTIF($E$4:$E$238,$A248&amp;" ضد "&amp;P$242)+COUNTIF($E$4:$E$238,P$242&amp;" ضد "&amp;$A248))</f>
        <v>0</v>
      </c>
      <c r="Q248" s="4">
        <f>IF($A248=Q$242,"",COUNTIF($E$4:$E$238,$A248&amp;" ضد "&amp;Q$242)+COUNTIF($E$4:$E$238,Q$242&amp;" ضد "&amp;$A248))</f>
        <v>0</v>
      </c>
      <c r="R248" s="4">
        <f>IF($A248=R$242,"",COUNTIF($E$4:$E$238,$A248&amp;" ضد "&amp;R$242)+COUNTIF($E$4:$E$238,R$242&amp;" ضد "&amp;$A248))</f>
        <v>0</v>
      </c>
      <c r="S248" s="4">
        <f>IF($A248=S$242,"",COUNTIF($E$4:$E$238,$A248&amp;" ضد "&amp;S$242)+COUNTIF($E$4:$E$238,S$242&amp;" ضد "&amp;$A248))</f>
        <v>0</v>
      </c>
      <c r="T248" s="4">
        <f>IF($A248=T$242,"",COUNTIF($E$4:$E$238,$A248&amp;" ضد "&amp;T$242)+COUNTIF($E$4:$E$238,T$242&amp;" ضد "&amp;$A248))</f>
        <v>0</v>
      </c>
      <c r="U248" s="4">
        <f>IF($A248=U$242,"",COUNTIF($E$4:$E$238,$A248&amp;" ضد "&amp;U$242)+COUNTIF($E$4:$E$238,U$242&amp;" ضد "&amp;$A248))</f>
        <v>0</v>
      </c>
      <c r="V248" s="4">
        <f>IF($A248=V$242,"",COUNTIF($E$4:$E$238,$A248&amp;" ضد "&amp;V$242)+COUNTIF($E$4:$E$238,V$242&amp;" ضد "&amp;$A248))</f>
        <v>0</v>
      </c>
      <c r="W248" s="4">
        <f>IF($A248=W$242,"",COUNTIF($E$4:$E$238,$A248&amp;" ضد "&amp;W$242)+COUNTIF($E$4:$E$238,W$242&amp;" ضد "&amp;$A248))</f>
        <v>0</v>
      </c>
      <c r="X248" s="4">
        <f>IF($A248=X$242,"",COUNTIF($E$4:$E$238,$A248&amp;" ضد "&amp;X$242)+COUNTIF($E$4:$E$238,X$242&amp;" ضد "&amp;$A248))</f>
        <v>0</v>
      </c>
      <c r="Y248" s="4">
        <f>IF($A248=Y$242,"",COUNTIF($E$4:$E$238,$A248&amp;" ضد "&amp;Y$242)+COUNTIF($E$4:$E$238,Y$242&amp;" ضد "&amp;$A248))</f>
        <v>0</v>
      </c>
      <c r="Z248" s="4">
        <f>IF($A248=Z$242,"",COUNTIF($E$4:$E$238,$A248&amp;" ضد "&amp;Z$242)+COUNTIF($E$4:$E$238,Z$242&amp;" ضد "&amp;$A248))</f>
        <v>0</v>
      </c>
      <c r="AA248" s="4">
        <f>IF($A248=AA$242,"",COUNTIF($E$4:$E$238,$A248&amp;" ضد "&amp;AA$242)+COUNTIF($E$4:$E$238,AA$242&amp;" ضد "&amp;$A248))</f>
        <v>0</v>
      </c>
    </row>
    <row r="249" spans="1:27" ht="14" customHeight="1">
      <c r="A249" s="14">
        <v>7</v>
      </c>
      <c r="B249" s="4">
        <f>IF($A249=B$242,"",COUNTIF($E$4:$E$238,$A249&amp;" ضد "&amp;B$242)+COUNTIF($E$4:$E$238,B$242&amp;" ضد "&amp;$A249))</f>
        <v>1</v>
      </c>
      <c r="C249" s="4">
        <f>IF($A249=C$242,"",COUNTIF($E$4:$E$238,$A249&amp;" ضد "&amp;C$242)+COUNTIF($E$4:$E$238,C$242&amp;" ضد "&amp;$A249))</f>
        <v>2</v>
      </c>
      <c r="D249" s="4">
        <f>IF($A249=D$242,"",COUNTIF($E$4:$E$238,$A249&amp;" ضد "&amp;D$242)+COUNTIF($E$4:$E$238,D$242&amp;" ضد "&amp;$A249))</f>
        <v>1</v>
      </c>
      <c r="E249" s="4">
        <f>IF($A249=E$242,"",COUNTIF($E$4:$E$238,$A249&amp;" ضد "&amp;E$242)+COUNTIF($E$4:$E$238,E$242&amp;" ضد "&amp;$A249))</f>
        <v>2</v>
      </c>
      <c r="F249" s="4">
        <f>IF($A249=F$242,"",COUNTIF($E$4:$E$238,$A249&amp;" ضد "&amp;F$242)+COUNTIF($E$4:$E$238,F$242&amp;" ضد "&amp;$A249))</f>
        <v>1</v>
      </c>
      <c r="G249" s="4">
        <f>IF($A249=G$242,"",COUNTIF($E$4:$E$238,$A249&amp;" ضد "&amp;G$242)+COUNTIF($E$4:$E$238,G$242&amp;" ضد "&amp;$A249))</f>
        <v>2</v>
      </c>
      <c r="H249" s="4" t="str">
        <f>IF($A249=H$242,"",COUNTIF($E$4:$E$238,$A249&amp;" ضد "&amp;H$242)+COUNTIF($E$4:$E$238,H$242&amp;" ضد "&amp;$A249))</f>
        <v/>
      </c>
      <c r="I249" s="4">
        <f>IF($A249=I$242,"",COUNTIF($E$4:$E$238,$A249&amp;" ضد "&amp;I$242)+COUNTIF($E$4:$E$238,I$242&amp;" ضد "&amp;$A249))</f>
        <v>2</v>
      </c>
      <c r="J249" s="4">
        <f>IF($A249=J$242,"",COUNTIF($E$4:$E$238,$A249&amp;" ضد "&amp;J$242)+COUNTIF($E$4:$E$238,J$242&amp;" ضد "&amp;$A249))</f>
        <v>1</v>
      </c>
      <c r="K249" s="4">
        <f>IF($A249=K$242,"",COUNTIF($E$4:$E$238,$A249&amp;" ضد "&amp;K$242)+COUNTIF($E$4:$E$238,K$242&amp;" ضد "&amp;$A249))</f>
        <v>1</v>
      </c>
      <c r="L249" s="4">
        <f>IF($A249=L$242,"",COUNTIF($E$4:$E$238,$A249&amp;" ضد "&amp;L$242)+COUNTIF($E$4:$E$238,L$242&amp;" ضد "&amp;$A249))</f>
        <v>1</v>
      </c>
      <c r="M249" s="4">
        <f>IF($A249=M$242,"",COUNTIF($E$4:$E$238,$A249&amp;" ضد "&amp;M$242)+COUNTIF($E$4:$E$238,M$242&amp;" ضد "&amp;$A249))</f>
        <v>1</v>
      </c>
      <c r="N249" s="4">
        <f>IF($A249=N$242,"",COUNTIF($E$4:$E$238,$A249&amp;" ضد "&amp;N$242)+COUNTIF($E$4:$E$238,N$242&amp;" ضد "&amp;$A249))</f>
        <v>2</v>
      </c>
      <c r="O249" s="4">
        <f>IF($A249=O$242,"",COUNTIF($E$4:$E$238,$A249&amp;" ضد "&amp;O$242)+COUNTIF($E$4:$E$238,O$242&amp;" ضد "&amp;$A249))</f>
        <v>1</v>
      </c>
      <c r="P249" s="4">
        <f>IF($A249=P$242,"",COUNTIF($E$4:$E$238,$A249&amp;" ضد "&amp;P$242)+COUNTIF($E$4:$E$238,P$242&amp;" ضد "&amp;$A249))</f>
        <v>0</v>
      </c>
      <c r="Q249" s="4">
        <f>IF($A249=Q$242,"",COUNTIF($E$4:$E$238,$A249&amp;" ضد "&amp;Q$242)+COUNTIF($E$4:$E$238,Q$242&amp;" ضد "&amp;$A249))</f>
        <v>0</v>
      </c>
      <c r="R249" s="4">
        <f>IF($A249=R$242,"",COUNTIF($E$4:$E$238,$A249&amp;" ضد "&amp;R$242)+COUNTIF($E$4:$E$238,R$242&amp;" ضد "&amp;$A249))</f>
        <v>0</v>
      </c>
      <c r="S249" s="4">
        <f>IF($A249=S$242,"",COUNTIF($E$4:$E$238,$A249&amp;" ضد "&amp;S$242)+COUNTIF($E$4:$E$238,S$242&amp;" ضد "&amp;$A249))</f>
        <v>0</v>
      </c>
      <c r="T249" s="4">
        <f>IF($A249=T$242,"",COUNTIF($E$4:$E$238,$A249&amp;" ضد "&amp;T$242)+COUNTIF($E$4:$E$238,T$242&amp;" ضد "&amp;$A249))</f>
        <v>0</v>
      </c>
      <c r="U249" s="4">
        <f>IF($A249=U$242,"",COUNTIF($E$4:$E$238,$A249&amp;" ضد "&amp;U$242)+COUNTIF($E$4:$E$238,U$242&amp;" ضد "&amp;$A249))</f>
        <v>0</v>
      </c>
      <c r="V249" s="4">
        <f>IF($A249=V$242,"",COUNTIF($E$4:$E$238,$A249&amp;" ضد "&amp;V$242)+COUNTIF($E$4:$E$238,V$242&amp;" ضد "&amp;$A249))</f>
        <v>0</v>
      </c>
      <c r="W249" s="4">
        <f>IF($A249=W$242,"",COUNTIF($E$4:$E$238,$A249&amp;" ضد "&amp;W$242)+COUNTIF($E$4:$E$238,W$242&amp;" ضد "&amp;$A249))</f>
        <v>0</v>
      </c>
      <c r="X249" s="4">
        <f>IF($A249=X$242,"",COUNTIF($E$4:$E$238,$A249&amp;" ضد "&amp;X$242)+COUNTIF($E$4:$E$238,X$242&amp;" ضد "&amp;$A249))</f>
        <v>0</v>
      </c>
      <c r="Y249" s="4">
        <f>IF($A249=Y$242,"",COUNTIF($E$4:$E$238,$A249&amp;" ضد "&amp;Y$242)+COUNTIF($E$4:$E$238,Y$242&amp;" ضد "&amp;$A249))</f>
        <v>0</v>
      </c>
      <c r="Z249" s="4">
        <f>IF($A249=Z$242,"",COUNTIF($E$4:$E$238,$A249&amp;" ضد "&amp;Z$242)+COUNTIF($E$4:$E$238,Z$242&amp;" ضد "&amp;$A249))</f>
        <v>0</v>
      </c>
      <c r="AA249" s="4">
        <f>IF($A249=AA$242,"",COUNTIF($E$4:$E$238,$A249&amp;" ضد "&amp;AA$242)+COUNTIF($E$4:$E$238,AA$242&amp;" ضد "&amp;$A249))</f>
        <v>0</v>
      </c>
    </row>
    <row r="250" spans="1:27" ht="14" customHeight="1">
      <c r="A250" s="14">
        <v>8</v>
      </c>
      <c r="B250" s="4">
        <f>IF($A250=B$242,"",COUNTIF($E$4:$E$238,$A250&amp;" ضد "&amp;B$242)+COUNTIF($E$4:$E$238,B$242&amp;" ضد "&amp;$A250))</f>
        <v>1</v>
      </c>
      <c r="C250" s="4">
        <f>IF($A250=C$242,"",COUNTIF($E$4:$E$238,$A250&amp;" ضد "&amp;C$242)+COUNTIF($E$4:$E$238,C$242&amp;" ضد "&amp;$A250))</f>
        <v>1</v>
      </c>
      <c r="D250" s="4">
        <f>IF($A250=D$242,"",COUNTIF($E$4:$E$238,$A250&amp;" ضد "&amp;D$242)+COUNTIF($E$4:$E$238,D$242&amp;" ضد "&amp;$A250))</f>
        <v>2</v>
      </c>
      <c r="E250" s="4">
        <f>IF($A250=E$242,"",COUNTIF($E$4:$E$238,$A250&amp;" ضد "&amp;E$242)+COUNTIF($E$4:$E$238,E$242&amp;" ضد "&amp;$A250))</f>
        <v>1</v>
      </c>
      <c r="F250" s="4">
        <f>IF($A250=F$242,"",COUNTIF($E$4:$E$238,$A250&amp;" ضد "&amp;F$242)+COUNTIF($E$4:$E$238,F$242&amp;" ضد "&amp;$A250))</f>
        <v>2</v>
      </c>
      <c r="G250" s="4">
        <f>IF($A250=G$242,"",COUNTIF($E$4:$E$238,$A250&amp;" ضد "&amp;G$242)+COUNTIF($E$4:$E$238,G$242&amp;" ضد "&amp;$A250))</f>
        <v>1</v>
      </c>
      <c r="H250" s="4">
        <f>IF($A250=H$242,"",COUNTIF($E$4:$E$238,$A250&amp;" ضد "&amp;H$242)+COUNTIF($E$4:$E$238,H$242&amp;" ضد "&amp;$A250))</f>
        <v>2</v>
      </c>
      <c r="I250" s="4" t="str">
        <f>IF($A250=I$242,"",COUNTIF($E$4:$E$238,$A250&amp;" ضد "&amp;I$242)+COUNTIF($E$4:$E$238,I$242&amp;" ضد "&amp;$A250))</f>
        <v/>
      </c>
      <c r="J250" s="4">
        <f>IF($A250=J$242,"",COUNTIF($E$4:$E$238,$A250&amp;" ضد "&amp;J$242)+COUNTIF($E$4:$E$238,J$242&amp;" ضد "&amp;$A250))</f>
        <v>1</v>
      </c>
      <c r="K250" s="4">
        <f>IF($A250=K$242,"",COUNTIF($E$4:$E$238,$A250&amp;" ضد "&amp;K$242)+COUNTIF($E$4:$E$238,K$242&amp;" ضد "&amp;$A250))</f>
        <v>1</v>
      </c>
      <c r="L250" s="4">
        <f>IF($A250=L$242,"",COUNTIF($E$4:$E$238,$A250&amp;" ضد "&amp;L$242)+COUNTIF($E$4:$E$238,L$242&amp;" ضد "&amp;$A250))</f>
        <v>1</v>
      </c>
      <c r="M250" s="4">
        <f>IF($A250=M$242,"",COUNTIF($E$4:$E$238,$A250&amp;" ضد "&amp;M$242)+COUNTIF($E$4:$E$238,M$242&amp;" ضد "&amp;$A250))</f>
        <v>2</v>
      </c>
      <c r="N250" s="4">
        <f>IF($A250=N$242,"",COUNTIF($E$4:$E$238,$A250&amp;" ضد "&amp;N$242)+COUNTIF($E$4:$E$238,N$242&amp;" ضد "&amp;$A250))</f>
        <v>1</v>
      </c>
      <c r="O250" s="4">
        <f>IF($A250=O$242,"",COUNTIF($E$4:$E$238,$A250&amp;" ضد "&amp;O$242)+COUNTIF($E$4:$E$238,O$242&amp;" ضد "&amp;$A250))</f>
        <v>2</v>
      </c>
      <c r="P250" s="4">
        <f>IF($A250=P$242,"",COUNTIF($E$4:$E$238,$A250&amp;" ضد "&amp;P$242)+COUNTIF($E$4:$E$238,P$242&amp;" ضد "&amp;$A250))</f>
        <v>0</v>
      </c>
      <c r="Q250" s="4">
        <f>IF($A250=Q$242,"",COUNTIF($E$4:$E$238,$A250&amp;" ضد "&amp;Q$242)+COUNTIF($E$4:$E$238,Q$242&amp;" ضد "&amp;$A250))</f>
        <v>0</v>
      </c>
      <c r="R250" s="4">
        <f>IF($A250=R$242,"",COUNTIF($E$4:$E$238,$A250&amp;" ضد "&amp;R$242)+COUNTIF($E$4:$E$238,R$242&amp;" ضد "&amp;$A250))</f>
        <v>0</v>
      </c>
      <c r="S250" s="4">
        <f>IF($A250=S$242,"",COUNTIF($E$4:$E$238,$A250&amp;" ضد "&amp;S$242)+COUNTIF($E$4:$E$238,S$242&amp;" ضد "&amp;$A250))</f>
        <v>0</v>
      </c>
      <c r="T250" s="4">
        <f>IF($A250=T$242,"",COUNTIF($E$4:$E$238,$A250&amp;" ضد "&amp;T$242)+COUNTIF($E$4:$E$238,T$242&amp;" ضد "&amp;$A250))</f>
        <v>0</v>
      </c>
      <c r="U250" s="4">
        <f>IF($A250=U$242,"",COUNTIF($E$4:$E$238,$A250&amp;" ضد "&amp;U$242)+COUNTIF($E$4:$E$238,U$242&amp;" ضد "&amp;$A250))</f>
        <v>0</v>
      </c>
      <c r="V250" s="4">
        <f>IF($A250=V$242,"",COUNTIF($E$4:$E$238,$A250&amp;" ضد "&amp;V$242)+COUNTIF($E$4:$E$238,V$242&amp;" ضد "&amp;$A250))</f>
        <v>0</v>
      </c>
      <c r="W250" s="4">
        <f>IF($A250=W$242,"",COUNTIF($E$4:$E$238,$A250&amp;" ضد "&amp;W$242)+COUNTIF($E$4:$E$238,W$242&amp;" ضد "&amp;$A250))</f>
        <v>0</v>
      </c>
      <c r="X250" s="4">
        <f>IF($A250=X$242,"",COUNTIF($E$4:$E$238,$A250&amp;" ضد "&amp;X$242)+COUNTIF($E$4:$E$238,X$242&amp;" ضد "&amp;$A250))</f>
        <v>0</v>
      </c>
      <c r="Y250" s="4">
        <f>IF($A250=Y$242,"",COUNTIF($E$4:$E$238,$A250&amp;" ضد "&amp;Y$242)+COUNTIF($E$4:$E$238,Y$242&amp;" ضد "&amp;$A250))</f>
        <v>0</v>
      </c>
      <c r="Z250" s="4">
        <f>IF($A250=Z$242,"",COUNTIF($E$4:$E$238,$A250&amp;" ضد "&amp;Z$242)+COUNTIF($E$4:$E$238,Z$242&amp;" ضد "&amp;$A250))</f>
        <v>0</v>
      </c>
      <c r="AA250" s="4">
        <f>IF($A250=AA$242,"",COUNTIF($E$4:$E$238,$A250&amp;" ضد "&amp;AA$242)+COUNTIF($E$4:$E$238,AA$242&amp;" ضد "&amp;$A250))</f>
        <v>0</v>
      </c>
    </row>
    <row r="251" spans="1:27" ht="14" customHeight="1">
      <c r="A251" s="14">
        <v>9</v>
      </c>
      <c r="B251" s="4">
        <f>IF($A251=B$242,"",COUNTIF($E$4:$E$238,$A251&amp;" ضد "&amp;B$242)+COUNTIF($E$4:$E$238,B$242&amp;" ضد "&amp;$A251))</f>
        <v>1</v>
      </c>
      <c r="C251" s="4">
        <f>IF($A251=C$242,"",COUNTIF($E$4:$E$238,$A251&amp;" ضد "&amp;C$242)+COUNTIF($E$4:$E$238,C$242&amp;" ضد "&amp;$A251))</f>
        <v>2</v>
      </c>
      <c r="D251" s="4">
        <f>IF($A251=D$242,"",COUNTIF($E$4:$E$238,$A251&amp;" ضد "&amp;D$242)+COUNTIF($E$4:$E$238,D$242&amp;" ضد "&amp;$A251))</f>
        <v>1</v>
      </c>
      <c r="E251" s="4">
        <f>IF($A251=E$242,"",COUNTIF($E$4:$E$238,$A251&amp;" ضد "&amp;E$242)+COUNTIF($E$4:$E$238,E$242&amp;" ضد "&amp;$A251))</f>
        <v>2</v>
      </c>
      <c r="F251" s="4">
        <f>IF($A251=F$242,"",COUNTIF($E$4:$E$238,$A251&amp;" ضد "&amp;F$242)+COUNTIF($E$4:$E$238,F$242&amp;" ضد "&amp;$A251))</f>
        <v>1</v>
      </c>
      <c r="G251" s="4">
        <f>IF($A251=G$242,"",COUNTIF($E$4:$E$238,$A251&amp;" ضد "&amp;G$242)+COUNTIF($E$4:$E$238,G$242&amp;" ضد "&amp;$A251))</f>
        <v>2</v>
      </c>
      <c r="H251" s="4">
        <f>IF($A251=H$242,"",COUNTIF($E$4:$E$238,$A251&amp;" ضد "&amp;H$242)+COUNTIF($E$4:$E$238,H$242&amp;" ضد "&amp;$A251))</f>
        <v>1</v>
      </c>
      <c r="I251" s="4">
        <f>IF($A251=I$242,"",COUNTIF($E$4:$E$238,$A251&amp;" ضد "&amp;I$242)+COUNTIF($E$4:$E$238,I$242&amp;" ضد "&amp;$A251))</f>
        <v>1</v>
      </c>
      <c r="J251" s="4" t="str">
        <f>IF($A251=J$242,"",COUNTIF($E$4:$E$238,$A251&amp;" ضد "&amp;J$242)+COUNTIF($E$4:$E$238,J$242&amp;" ضد "&amp;$A251))</f>
        <v/>
      </c>
      <c r="K251" s="4">
        <f>IF($A251=K$242,"",COUNTIF($E$4:$E$238,$A251&amp;" ضد "&amp;K$242)+COUNTIF($E$4:$E$238,K$242&amp;" ضد "&amp;$A251))</f>
        <v>1</v>
      </c>
      <c r="L251" s="4">
        <f>IF($A251=L$242,"",COUNTIF($E$4:$E$238,$A251&amp;" ضد "&amp;L$242)+COUNTIF($E$4:$E$238,L$242&amp;" ضد "&amp;$A251))</f>
        <v>2</v>
      </c>
      <c r="M251" s="4">
        <f>IF($A251=M$242,"",COUNTIF($E$4:$E$238,$A251&amp;" ضد "&amp;M$242)+COUNTIF($E$4:$E$238,M$242&amp;" ضد "&amp;$A251))</f>
        <v>1</v>
      </c>
      <c r="N251" s="4">
        <f>IF($A251=N$242,"",COUNTIF($E$4:$E$238,$A251&amp;" ضد "&amp;N$242)+COUNTIF($E$4:$E$238,N$242&amp;" ضد "&amp;$A251))</f>
        <v>2</v>
      </c>
      <c r="O251" s="4">
        <f>IF($A251=O$242,"",COUNTIF($E$4:$E$238,$A251&amp;" ضد "&amp;O$242)+COUNTIF($E$4:$E$238,O$242&amp;" ضد "&amp;$A251))</f>
        <v>1</v>
      </c>
      <c r="P251" s="4">
        <f>IF($A251=P$242,"",COUNTIF($E$4:$E$238,$A251&amp;" ضد "&amp;P$242)+COUNTIF($E$4:$E$238,P$242&amp;" ضد "&amp;$A251))</f>
        <v>0</v>
      </c>
      <c r="Q251" s="4">
        <f>IF($A251=Q$242,"",COUNTIF($E$4:$E$238,$A251&amp;" ضد "&amp;Q$242)+COUNTIF($E$4:$E$238,Q$242&amp;" ضد "&amp;$A251))</f>
        <v>0</v>
      </c>
      <c r="R251" s="4">
        <f>IF($A251=R$242,"",COUNTIF($E$4:$E$238,$A251&amp;" ضد "&amp;R$242)+COUNTIF($E$4:$E$238,R$242&amp;" ضد "&amp;$A251))</f>
        <v>0</v>
      </c>
      <c r="S251" s="4">
        <f>IF($A251=S$242,"",COUNTIF($E$4:$E$238,$A251&amp;" ضد "&amp;S$242)+COUNTIF($E$4:$E$238,S$242&amp;" ضد "&amp;$A251))</f>
        <v>0</v>
      </c>
      <c r="T251" s="4">
        <f>IF($A251=T$242,"",COUNTIF($E$4:$E$238,$A251&amp;" ضد "&amp;T$242)+COUNTIF($E$4:$E$238,T$242&amp;" ضد "&amp;$A251))</f>
        <v>0</v>
      </c>
      <c r="U251" s="4">
        <f>IF($A251=U$242,"",COUNTIF($E$4:$E$238,$A251&amp;" ضد "&amp;U$242)+COUNTIF($E$4:$E$238,U$242&amp;" ضد "&amp;$A251))</f>
        <v>0</v>
      </c>
      <c r="V251" s="4">
        <f>IF($A251=V$242,"",COUNTIF($E$4:$E$238,$A251&amp;" ضد "&amp;V$242)+COUNTIF($E$4:$E$238,V$242&amp;" ضد "&amp;$A251))</f>
        <v>0</v>
      </c>
      <c r="W251" s="4">
        <f>IF($A251=W$242,"",COUNTIF($E$4:$E$238,$A251&amp;" ضد "&amp;W$242)+COUNTIF($E$4:$E$238,W$242&amp;" ضد "&amp;$A251))</f>
        <v>0</v>
      </c>
      <c r="X251" s="4">
        <f>IF($A251=X$242,"",COUNTIF($E$4:$E$238,$A251&amp;" ضد "&amp;X$242)+COUNTIF($E$4:$E$238,X$242&amp;" ضد "&amp;$A251))</f>
        <v>0</v>
      </c>
      <c r="Y251" s="4">
        <f>IF($A251=Y$242,"",COUNTIF($E$4:$E$238,$A251&amp;" ضد "&amp;Y$242)+COUNTIF($E$4:$E$238,Y$242&amp;" ضد "&amp;$A251))</f>
        <v>0</v>
      </c>
      <c r="Z251" s="4">
        <f>IF($A251=Z$242,"",COUNTIF($E$4:$E$238,$A251&amp;" ضد "&amp;Z$242)+COUNTIF($E$4:$E$238,Z$242&amp;" ضد "&amp;$A251))</f>
        <v>0</v>
      </c>
      <c r="AA251" s="4">
        <f>IF($A251=AA$242,"",COUNTIF($E$4:$E$238,$A251&amp;" ضد "&amp;AA$242)+COUNTIF($E$4:$E$238,AA$242&amp;" ضد "&amp;$A251))</f>
        <v>0</v>
      </c>
    </row>
    <row r="252" spans="1:27" ht="14" customHeight="1">
      <c r="A252" s="14">
        <v>10</v>
      </c>
      <c r="B252" s="4">
        <f>IF($A252=B$242,"",COUNTIF($E$4:$E$238,$A252&amp;" ضد "&amp;B$242)+COUNTIF($E$4:$E$238,B$242&amp;" ضد "&amp;$A252))</f>
        <v>2</v>
      </c>
      <c r="C252" s="4">
        <f>IF($A252=C$242,"",COUNTIF($E$4:$E$238,$A252&amp;" ضد "&amp;C$242)+COUNTIF($E$4:$E$238,C$242&amp;" ضد "&amp;$A252))</f>
        <v>1</v>
      </c>
      <c r="D252" s="4">
        <f>IF($A252=D$242,"",COUNTIF($E$4:$E$238,$A252&amp;" ضد "&amp;D$242)+COUNTIF($E$4:$E$238,D$242&amp;" ضد "&amp;$A252))</f>
        <v>2</v>
      </c>
      <c r="E252" s="4">
        <f>IF($A252=E$242,"",COUNTIF($E$4:$E$238,$A252&amp;" ضد "&amp;E$242)+COUNTIF($E$4:$E$238,E$242&amp;" ضد "&amp;$A252))</f>
        <v>1</v>
      </c>
      <c r="F252" s="4">
        <f>IF($A252=F$242,"",COUNTIF($E$4:$E$238,$A252&amp;" ضد "&amp;F$242)+COUNTIF($E$4:$E$238,F$242&amp;" ضد "&amp;$A252))</f>
        <v>2</v>
      </c>
      <c r="G252" s="4">
        <f>IF($A252=G$242,"",COUNTIF($E$4:$E$238,$A252&amp;" ضد "&amp;G$242)+COUNTIF($E$4:$E$238,G$242&amp;" ضد "&amp;$A252))</f>
        <v>1</v>
      </c>
      <c r="H252" s="4">
        <f>IF($A252=H$242,"",COUNTIF($E$4:$E$238,$A252&amp;" ضد "&amp;H$242)+COUNTIF($E$4:$E$238,H$242&amp;" ضد "&amp;$A252))</f>
        <v>1</v>
      </c>
      <c r="I252" s="4">
        <f>IF($A252=I$242,"",COUNTIF($E$4:$E$238,$A252&amp;" ضد "&amp;I$242)+COUNTIF($E$4:$E$238,I$242&amp;" ضد "&amp;$A252))</f>
        <v>1</v>
      </c>
      <c r="J252" s="4">
        <f>IF($A252=J$242,"",COUNTIF($E$4:$E$238,$A252&amp;" ضد "&amp;J$242)+COUNTIF($E$4:$E$238,J$242&amp;" ضد "&amp;$A252))</f>
        <v>1</v>
      </c>
      <c r="K252" s="4" t="str">
        <f>IF($A252=K$242,"",COUNTIF($E$4:$E$238,$A252&amp;" ضد "&amp;K$242)+COUNTIF($E$4:$E$238,K$242&amp;" ضد "&amp;$A252))</f>
        <v/>
      </c>
      <c r="L252" s="4">
        <f>IF($A252=L$242,"",COUNTIF($E$4:$E$238,$A252&amp;" ضد "&amp;L$242)+COUNTIF($E$4:$E$238,L$242&amp;" ضد "&amp;$A252))</f>
        <v>1</v>
      </c>
      <c r="M252" s="4">
        <f>IF($A252=M$242,"",COUNTIF($E$4:$E$238,$A252&amp;" ضد "&amp;M$242)+COUNTIF($E$4:$E$238,M$242&amp;" ضد "&amp;$A252))</f>
        <v>2</v>
      </c>
      <c r="N252" s="4">
        <f>IF($A252=N$242,"",COUNTIF($E$4:$E$238,$A252&amp;" ضد "&amp;N$242)+COUNTIF($E$4:$E$238,N$242&amp;" ضد "&amp;$A252))</f>
        <v>1</v>
      </c>
      <c r="O252" s="4">
        <f>IF($A252=O$242,"",COUNTIF($E$4:$E$238,$A252&amp;" ضد "&amp;O$242)+COUNTIF($E$4:$E$238,O$242&amp;" ضد "&amp;$A252))</f>
        <v>2</v>
      </c>
      <c r="P252" s="4">
        <f>IF($A252=P$242,"",COUNTIF($E$4:$E$238,$A252&amp;" ضد "&amp;P$242)+COUNTIF($E$4:$E$238,P$242&amp;" ضد "&amp;$A252))</f>
        <v>0</v>
      </c>
      <c r="Q252" s="4">
        <f>IF($A252=Q$242,"",COUNTIF($E$4:$E$238,$A252&amp;" ضد "&amp;Q$242)+COUNTIF($E$4:$E$238,Q$242&amp;" ضد "&amp;$A252))</f>
        <v>0</v>
      </c>
      <c r="R252" s="4">
        <f>IF($A252=R$242,"",COUNTIF($E$4:$E$238,$A252&amp;" ضد "&amp;R$242)+COUNTIF($E$4:$E$238,R$242&amp;" ضد "&amp;$A252))</f>
        <v>0</v>
      </c>
      <c r="S252" s="4">
        <f>IF($A252=S$242,"",COUNTIF($E$4:$E$238,$A252&amp;" ضد "&amp;S$242)+COUNTIF($E$4:$E$238,S$242&amp;" ضد "&amp;$A252))</f>
        <v>0</v>
      </c>
      <c r="T252" s="4">
        <f>IF($A252=T$242,"",COUNTIF($E$4:$E$238,$A252&amp;" ضد "&amp;T$242)+COUNTIF($E$4:$E$238,T$242&amp;" ضد "&amp;$A252))</f>
        <v>0</v>
      </c>
      <c r="U252" s="4">
        <f>IF($A252=U$242,"",COUNTIF($E$4:$E$238,$A252&amp;" ضد "&amp;U$242)+COUNTIF($E$4:$E$238,U$242&amp;" ضد "&amp;$A252))</f>
        <v>0</v>
      </c>
      <c r="V252" s="4">
        <f>IF($A252=V$242,"",COUNTIF($E$4:$E$238,$A252&amp;" ضد "&amp;V$242)+COUNTIF($E$4:$E$238,V$242&amp;" ضد "&amp;$A252))</f>
        <v>0</v>
      </c>
      <c r="W252" s="4">
        <f>IF($A252=W$242,"",COUNTIF($E$4:$E$238,$A252&amp;" ضد "&amp;W$242)+COUNTIF($E$4:$E$238,W$242&amp;" ضد "&amp;$A252))</f>
        <v>0</v>
      </c>
      <c r="X252" s="4">
        <f>IF($A252=X$242,"",COUNTIF($E$4:$E$238,$A252&amp;" ضد "&amp;X$242)+COUNTIF($E$4:$E$238,X$242&amp;" ضد "&amp;$A252))</f>
        <v>0</v>
      </c>
      <c r="Y252" s="4">
        <f>IF($A252=Y$242,"",COUNTIF($E$4:$E$238,$A252&amp;" ضد "&amp;Y$242)+COUNTIF($E$4:$E$238,Y$242&amp;" ضد "&amp;$A252))</f>
        <v>0</v>
      </c>
      <c r="Z252" s="4">
        <f>IF($A252=Z$242,"",COUNTIF($E$4:$E$238,$A252&amp;" ضد "&amp;Z$242)+COUNTIF($E$4:$E$238,Z$242&amp;" ضد "&amp;$A252))</f>
        <v>0</v>
      </c>
      <c r="AA252" s="4">
        <f>IF($A252=AA$242,"",COUNTIF($E$4:$E$238,$A252&amp;" ضد "&amp;AA$242)+COUNTIF($E$4:$E$238,AA$242&amp;" ضد "&amp;$A252))</f>
        <v>0</v>
      </c>
    </row>
    <row r="253" spans="1:27" ht="14.5">
      <c r="A253" s="14">
        <v>11</v>
      </c>
      <c r="B253" s="4">
        <f>IF($A253=B$242,"",COUNTIF($E$4:$E$238,$A253&amp;" ضد "&amp;B$242)+COUNTIF($E$4:$E$238,B$242&amp;" ضد "&amp;$A253))</f>
        <v>2</v>
      </c>
      <c r="C253" s="4">
        <f>IF($A253=C$242,"",COUNTIF($E$4:$E$238,$A253&amp;" ضد "&amp;C$242)+COUNTIF($E$4:$E$238,C$242&amp;" ضد "&amp;$A253))</f>
        <v>2</v>
      </c>
      <c r="D253" s="4">
        <f>IF($A253=D$242,"",COUNTIF($E$4:$E$238,$A253&amp;" ضد "&amp;D$242)+COUNTIF($E$4:$E$238,D$242&amp;" ضد "&amp;$A253))</f>
        <v>1</v>
      </c>
      <c r="E253" s="4">
        <f>IF($A253=E$242,"",COUNTIF($E$4:$E$238,$A253&amp;" ضد "&amp;E$242)+COUNTIF($E$4:$E$238,E$242&amp;" ضد "&amp;$A253))</f>
        <v>2</v>
      </c>
      <c r="F253" s="4">
        <f>IF($A253=F$242,"",COUNTIF($E$4:$E$238,$A253&amp;" ضد "&amp;F$242)+COUNTIF($E$4:$E$238,F$242&amp;" ضد "&amp;$A253))</f>
        <v>1</v>
      </c>
      <c r="G253" s="4">
        <f>IF($A253=G$242,"",COUNTIF($E$4:$E$238,$A253&amp;" ضد "&amp;G$242)+COUNTIF($E$4:$E$238,G$242&amp;" ضد "&amp;$A253))</f>
        <v>1</v>
      </c>
      <c r="H253" s="4">
        <f>IF($A253=H$242,"",COUNTIF($E$4:$E$238,$A253&amp;" ضد "&amp;H$242)+COUNTIF($E$4:$E$238,H$242&amp;" ضد "&amp;$A253))</f>
        <v>1</v>
      </c>
      <c r="I253" s="4">
        <f>IF($A253=I$242,"",COUNTIF($E$4:$E$238,$A253&amp;" ضد "&amp;I$242)+COUNTIF($E$4:$E$238,I$242&amp;" ضد "&amp;$A253))</f>
        <v>1</v>
      </c>
      <c r="J253" s="4">
        <f>IF($A253=J$242,"",COUNTIF($E$4:$E$238,$A253&amp;" ضد "&amp;J$242)+COUNTIF($E$4:$E$238,J$242&amp;" ضد "&amp;$A253))</f>
        <v>2</v>
      </c>
      <c r="K253" s="4">
        <f>IF($A253=K$242,"",COUNTIF($E$4:$E$238,$A253&amp;" ضد "&amp;K$242)+COUNTIF($E$4:$E$238,K$242&amp;" ضد "&amp;$A253))</f>
        <v>1</v>
      </c>
      <c r="L253" s="4" t="str">
        <f>IF($A253=L$242,"",COUNTIF($E$4:$E$238,$A253&amp;" ضد "&amp;L$242)+COUNTIF($E$4:$E$238,L$242&amp;" ضد "&amp;$A253))</f>
        <v/>
      </c>
      <c r="M253" s="4">
        <f>IF($A253=M$242,"",COUNTIF($E$4:$E$238,$A253&amp;" ضد "&amp;M$242)+COUNTIF($E$4:$E$238,M$242&amp;" ضد "&amp;$A253))</f>
        <v>1</v>
      </c>
      <c r="N253" s="4">
        <f>IF($A253=N$242,"",COUNTIF($E$4:$E$238,$A253&amp;" ضد "&amp;N$242)+COUNTIF($E$4:$E$238,N$242&amp;" ضد "&amp;$A253))</f>
        <v>2</v>
      </c>
      <c r="O253" s="4">
        <f>IF($A253=O$242,"",COUNTIF($E$4:$E$238,$A253&amp;" ضد "&amp;O$242)+COUNTIF($E$4:$E$238,O$242&amp;" ضد "&amp;$A253))</f>
        <v>1</v>
      </c>
      <c r="P253" s="4">
        <f>IF($A253=P$242,"",COUNTIF($E$4:$E$238,$A253&amp;" ضد "&amp;P$242)+COUNTIF($E$4:$E$238,P$242&amp;" ضد "&amp;$A253))</f>
        <v>0</v>
      </c>
      <c r="Q253" s="4">
        <f>IF($A253=Q$242,"",COUNTIF($E$4:$E$238,$A253&amp;" ضد "&amp;Q$242)+COUNTIF($E$4:$E$238,Q$242&amp;" ضد "&amp;$A253))</f>
        <v>0</v>
      </c>
      <c r="R253" s="4">
        <f>IF($A253=R$242,"",COUNTIF($E$4:$E$238,$A253&amp;" ضد "&amp;R$242)+COUNTIF($E$4:$E$238,R$242&amp;" ضد "&amp;$A253))</f>
        <v>0</v>
      </c>
      <c r="S253" s="4">
        <f>IF($A253=S$242,"",COUNTIF($E$4:$E$238,$A253&amp;" ضد "&amp;S$242)+COUNTIF($E$4:$E$238,S$242&amp;" ضد "&amp;$A253))</f>
        <v>0</v>
      </c>
      <c r="T253" s="4">
        <f>IF($A253=T$242,"",COUNTIF($E$4:$E$238,$A253&amp;" ضد "&amp;T$242)+COUNTIF($E$4:$E$238,T$242&amp;" ضد "&amp;$A253))</f>
        <v>0</v>
      </c>
      <c r="U253" s="4">
        <f>IF($A253=U$242,"",COUNTIF($E$4:$E$238,$A253&amp;" ضد "&amp;U$242)+COUNTIF($E$4:$E$238,U$242&amp;" ضد "&amp;$A253))</f>
        <v>0</v>
      </c>
      <c r="V253" s="4">
        <f>IF($A253=V$242,"",COUNTIF($E$4:$E$238,$A253&amp;" ضد "&amp;V$242)+COUNTIF($E$4:$E$238,V$242&amp;" ضد "&amp;$A253))</f>
        <v>0</v>
      </c>
      <c r="W253" s="4">
        <f>IF($A253=W$242,"",COUNTIF($E$4:$E$238,$A253&amp;" ضد "&amp;W$242)+COUNTIF($E$4:$E$238,W$242&amp;" ضد "&amp;$A253))</f>
        <v>0</v>
      </c>
      <c r="X253" s="4">
        <f>IF($A253=X$242,"",COUNTIF($E$4:$E$238,$A253&amp;" ضد "&amp;X$242)+COUNTIF($E$4:$E$238,X$242&amp;" ضد "&amp;$A253))</f>
        <v>0</v>
      </c>
      <c r="Y253" s="4">
        <f>IF($A253=Y$242,"",COUNTIF($E$4:$E$238,$A253&amp;" ضد "&amp;Y$242)+COUNTIF($E$4:$E$238,Y$242&amp;" ضد "&amp;$A253))</f>
        <v>0</v>
      </c>
      <c r="Z253" s="4">
        <f>IF($A253=Z$242,"",COUNTIF($E$4:$E$238,$A253&amp;" ضد "&amp;Z$242)+COUNTIF($E$4:$E$238,Z$242&amp;" ضد "&amp;$A253))</f>
        <v>0</v>
      </c>
      <c r="AA253" s="4">
        <f>IF($A253=AA$242,"",COUNTIF($E$4:$E$238,$A253&amp;" ضد "&amp;AA$242)+COUNTIF($E$4:$E$238,AA$242&amp;" ضد "&amp;$A253))</f>
        <v>0</v>
      </c>
    </row>
    <row r="254" spans="1:27" ht="14.5">
      <c r="A254" s="14">
        <v>12</v>
      </c>
      <c r="B254" s="4">
        <f>IF($A254=B$242,"",COUNTIF($E$4:$E$238,$A254&amp;" ضد "&amp;B$242)+COUNTIF($E$4:$E$238,B$242&amp;" ضد "&amp;$A254))</f>
        <v>2</v>
      </c>
      <c r="C254" s="4">
        <f>IF($A254=C$242,"",COUNTIF($E$4:$E$238,$A254&amp;" ضد "&amp;C$242)+COUNTIF($E$4:$E$238,C$242&amp;" ضد "&amp;$A254))</f>
        <v>1</v>
      </c>
      <c r="D254" s="4">
        <f>IF($A254=D$242,"",COUNTIF($E$4:$E$238,$A254&amp;" ضد "&amp;D$242)+COUNTIF($E$4:$E$238,D$242&amp;" ضد "&amp;$A254))</f>
        <v>2</v>
      </c>
      <c r="E254" s="4">
        <f>IF($A254=E$242,"",COUNTIF($E$4:$E$238,$A254&amp;" ضد "&amp;E$242)+COUNTIF($E$4:$E$238,E$242&amp;" ضد "&amp;$A254))</f>
        <v>1</v>
      </c>
      <c r="F254" s="4">
        <f>IF($A254=F$242,"",COUNTIF($E$4:$E$238,$A254&amp;" ضد "&amp;F$242)+COUNTIF($E$4:$E$238,F$242&amp;" ضد "&amp;$A254))</f>
        <v>1</v>
      </c>
      <c r="G254" s="4">
        <f>IF($A254=G$242,"",COUNTIF($E$4:$E$238,$A254&amp;" ضد "&amp;G$242)+COUNTIF($E$4:$E$238,G$242&amp;" ضد "&amp;$A254))</f>
        <v>1</v>
      </c>
      <c r="H254" s="4">
        <f>IF($A254=H$242,"",COUNTIF($E$4:$E$238,$A254&amp;" ضد "&amp;H$242)+COUNTIF($E$4:$E$238,H$242&amp;" ضد "&amp;$A254))</f>
        <v>1</v>
      </c>
      <c r="I254" s="4">
        <f>IF($A254=I$242,"",COUNTIF($E$4:$E$238,$A254&amp;" ضد "&amp;I$242)+COUNTIF($E$4:$E$238,I$242&amp;" ضد "&amp;$A254))</f>
        <v>2</v>
      </c>
      <c r="J254" s="4">
        <f>IF($A254=J$242,"",COUNTIF($E$4:$E$238,$A254&amp;" ضد "&amp;J$242)+COUNTIF($E$4:$E$238,J$242&amp;" ضد "&amp;$A254))</f>
        <v>1</v>
      </c>
      <c r="K254" s="4">
        <f>IF($A254=K$242,"",COUNTIF($E$4:$E$238,$A254&amp;" ضد "&amp;K$242)+COUNTIF($E$4:$E$238,K$242&amp;" ضد "&amp;$A254))</f>
        <v>2</v>
      </c>
      <c r="L254" s="4">
        <f>IF($A254=L$242,"",COUNTIF($E$4:$E$238,$A254&amp;" ضد "&amp;L$242)+COUNTIF($E$4:$E$238,L$242&amp;" ضد "&amp;$A254))</f>
        <v>1</v>
      </c>
      <c r="M254" s="4" t="str">
        <f>IF($A254=M$242,"",COUNTIF($E$4:$E$238,$A254&amp;" ضد "&amp;M$242)+COUNTIF($E$4:$E$238,M$242&amp;" ضد "&amp;$A254))</f>
        <v/>
      </c>
      <c r="N254" s="4">
        <f>IF($A254=N$242,"",COUNTIF($E$4:$E$238,$A254&amp;" ضد "&amp;N$242)+COUNTIF($E$4:$E$238,N$242&amp;" ضد "&amp;$A254))</f>
        <v>1</v>
      </c>
      <c r="O254" s="4">
        <f>IF($A254=O$242,"",COUNTIF($E$4:$E$238,$A254&amp;" ضد "&amp;O$242)+COUNTIF($E$4:$E$238,O$242&amp;" ضد "&amp;$A254))</f>
        <v>2</v>
      </c>
      <c r="P254" s="4">
        <f>IF($A254=P$242,"",COUNTIF($E$4:$E$238,$A254&amp;" ضد "&amp;P$242)+COUNTIF($E$4:$E$238,P$242&amp;" ضد "&amp;$A254))</f>
        <v>0</v>
      </c>
      <c r="Q254" s="4">
        <f>IF($A254=Q$242,"",COUNTIF($E$4:$E$238,$A254&amp;" ضد "&amp;Q$242)+COUNTIF($E$4:$E$238,Q$242&amp;" ضد "&amp;$A254))</f>
        <v>0</v>
      </c>
      <c r="R254" s="4">
        <f>IF($A254=R$242,"",COUNTIF($E$4:$E$238,$A254&amp;" ضد "&amp;R$242)+COUNTIF($E$4:$E$238,R$242&amp;" ضد "&amp;$A254))</f>
        <v>0</v>
      </c>
      <c r="S254" s="4">
        <f>IF($A254=S$242,"",COUNTIF($E$4:$E$238,$A254&amp;" ضد "&amp;S$242)+COUNTIF($E$4:$E$238,S$242&amp;" ضد "&amp;$A254))</f>
        <v>0</v>
      </c>
      <c r="T254" s="4">
        <f>IF($A254=T$242,"",COUNTIF($E$4:$E$238,$A254&amp;" ضد "&amp;T$242)+COUNTIF($E$4:$E$238,T$242&amp;" ضد "&amp;$A254))</f>
        <v>0</v>
      </c>
      <c r="U254" s="4">
        <f>IF($A254=U$242,"",COUNTIF($E$4:$E$238,$A254&amp;" ضد "&amp;U$242)+COUNTIF($E$4:$E$238,U$242&amp;" ضد "&amp;$A254))</f>
        <v>0</v>
      </c>
      <c r="V254" s="4">
        <f>IF($A254=V$242,"",COUNTIF($E$4:$E$238,$A254&amp;" ضد "&amp;V$242)+COUNTIF($E$4:$E$238,V$242&amp;" ضد "&amp;$A254))</f>
        <v>0</v>
      </c>
      <c r="W254" s="4">
        <f>IF($A254=W$242,"",COUNTIF($E$4:$E$238,$A254&amp;" ضد "&amp;W$242)+COUNTIF($E$4:$E$238,W$242&amp;" ضد "&amp;$A254))</f>
        <v>0</v>
      </c>
      <c r="X254" s="4">
        <f>IF($A254=X$242,"",COUNTIF($E$4:$E$238,$A254&amp;" ضد "&amp;X$242)+COUNTIF($E$4:$E$238,X$242&amp;" ضد "&amp;$A254))</f>
        <v>0</v>
      </c>
      <c r="Y254" s="4">
        <f>IF($A254=Y$242,"",COUNTIF($E$4:$E$238,$A254&amp;" ضد "&amp;Y$242)+COUNTIF($E$4:$E$238,Y$242&amp;" ضد "&amp;$A254))</f>
        <v>0</v>
      </c>
      <c r="Z254" s="4">
        <f>IF($A254=Z$242,"",COUNTIF($E$4:$E$238,$A254&amp;" ضد "&amp;Z$242)+COUNTIF($E$4:$E$238,Z$242&amp;" ضد "&amp;$A254))</f>
        <v>0</v>
      </c>
      <c r="AA254" s="4">
        <f>IF($A254=AA$242,"",COUNTIF($E$4:$E$238,$A254&amp;" ضد "&amp;AA$242)+COUNTIF($E$4:$E$238,AA$242&amp;" ضد "&amp;$A254))</f>
        <v>0</v>
      </c>
    </row>
    <row r="255" spans="1:27" ht="14.5">
      <c r="A255" s="14">
        <v>13</v>
      </c>
      <c r="B255" s="4">
        <f>IF($A255=B$242,"",COUNTIF($E$4:$E$238,$A255&amp;" ضد "&amp;B$242)+COUNTIF($E$4:$E$238,B$242&amp;" ضد "&amp;$A255))</f>
        <v>2</v>
      </c>
      <c r="C255" s="4">
        <f>IF($A255=C$242,"",COUNTIF($E$4:$E$238,$A255&amp;" ضد "&amp;C$242)+COUNTIF($E$4:$E$238,C$242&amp;" ضد "&amp;$A255))</f>
        <v>2</v>
      </c>
      <c r="D255" s="4">
        <f>IF($A255=D$242,"",COUNTIF($E$4:$E$238,$A255&amp;" ضد "&amp;D$242)+COUNTIF($E$4:$E$238,D$242&amp;" ضد "&amp;$A255))</f>
        <v>1</v>
      </c>
      <c r="E255" s="4">
        <f>IF($A255=E$242,"",COUNTIF($E$4:$E$238,$A255&amp;" ضد "&amp;E$242)+COUNTIF($E$4:$E$238,E$242&amp;" ضد "&amp;$A255))</f>
        <v>1</v>
      </c>
      <c r="F255" s="4">
        <f>IF($A255=F$242,"",COUNTIF($E$4:$E$238,$A255&amp;" ضد "&amp;F$242)+COUNTIF($E$4:$E$238,F$242&amp;" ضد "&amp;$A255))</f>
        <v>1</v>
      </c>
      <c r="G255" s="4">
        <f>IF($A255=G$242,"",COUNTIF($E$4:$E$238,$A255&amp;" ضد "&amp;G$242)+COUNTIF($E$4:$E$238,G$242&amp;" ضد "&amp;$A255))</f>
        <v>1</v>
      </c>
      <c r="H255" s="4">
        <f>IF($A255=H$242,"",COUNTIF($E$4:$E$238,$A255&amp;" ضد "&amp;H$242)+COUNTIF($E$4:$E$238,H$242&amp;" ضد "&amp;$A255))</f>
        <v>2</v>
      </c>
      <c r="I255" s="4">
        <f>IF($A255=I$242,"",COUNTIF($E$4:$E$238,$A255&amp;" ضد "&amp;I$242)+COUNTIF($E$4:$E$238,I$242&amp;" ضد "&amp;$A255))</f>
        <v>1</v>
      </c>
      <c r="J255" s="4">
        <f>IF($A255=J$242,"",COUNTIF($E$4:$E$238,$A255&amp;" ضد "&amp;J$242)+COUNTIF($E$4:$E$238,J$242&amp;" ضد "&amp;$A255))</f>
        <v>2</v>
      </c>
      <c r="K255" s="4">
        <f>IF($A255=K$242,"",COUNTIF($E$4:$E$238,$A255&amp;" ضد "&amp;K$242)+COUNTIF($E$4:$E$238,K$242&amp;" ضد "&amp;$A255))</f>
        <v>1</v>
      </c>
      <c r="L255" s="4">
        <f>IF($A255=L$242,"",COUNTIF($E$4:$E$238,$A255&amp;" ضد "&amp;L$242)+COUNTIF($E$4:$E$238,L$242&amp;" ضد "&amp;$A255))</f>
        <v>2</v>
      </c>
      <c r="M255" s="4">
        <f>IF($A255=M$242,"",COUNTIF($E$4:$E$238,$A255&amp;" ضد "&amp;M$242)+COUNTIF($E$4:$E$238,M$242&amp;" ضد "&amp;$A255))</f>
        <v>1</v>
      </c>
      <c r="N255" s="4" t="str">
        <f>IF($A255=N$242,"",COUNTIF($E$4:$E$238,$A255&amp;" ضد "&amp;N$242)+COUNTIF($E$4:$E$238,N$242&amp;" ضد "&amp;$A255))</f>
        <v/>
      </c>
      <c r="O255" s="4">
        <f>IF($A255=O$242,"",COUNTIF($E$4:$E$238,$A255&amp;" ضد "&amp;O$242)+COUNTIF($E$4:$E$238,O$242&amp;" ضد "&amp;$A255))</f>
        <v>1</v>
      </c>
      <c r="P255" s="4">
        <f>IF($A255=P$242,"",COUNTIF($E$4:$E$238,$A255&amp;" ضد "&amp;P$242)+COUNTIF($E$4:$E$238,P$242&amp;" ضد "&amp;$A255))</f>
        <v>0</v>
      </c>
      <c r="Q255" s="4">
        <f>IF($A255=Q$242,"",COUNTIF($E$4:$E$238,$A255&amp;" ضد "&amp;Q$242)+COUNTIF($E$4:$E$238,Q$242&amp;" ضد "&amp;$A255))</f>
        <v>0</v>
      </c>
      <c r="R255" s="4">
        <f>IF($A255=R$242,"",COUNTIF($E$4:$E$238,$A255&amp;" ضد "&amp;R$242)+COUNTIF($E$4:$E$238,R$242&amp;" ضد "&amp;$A255))</f>
        <v>0</v>
      </c>
      <c r="S255" s="4">
        <f>IF($A255=S$242,"",COUNTIF($E$4:$E$238,$A255&amp;" ضد "&amp;S$242)+COUNTIF($E$4:$E$238,S$242&amp;" ضد "&amp;$A255))</f>
        <v>0</v>
      </c>
      <c r="T255" s="4">
        <f>IF($A255=T$242,"",COUNTIF($E$4:$E$238,$A255&amp;" ضد "&amp;T$242)+COUNTIF($E$4:$E$238,T$242&amp;" ضد "&amp;$A255))</f>
        <v>0</v>
      </c>
      <c r="U255" s="4">
        <f>IF($A255=U$242,"",COUNTIF($E$4:$E$238,$A255&amp;" ضد "&amp;U$242)+COUNTIF($E$4:$E$238,U$242&amp;" ضد "&amp;$A255))</f>
        <v>0</v>
      </c>
      <c r="V255" s="4">
        <f>IF($A255=V$242,"",COUNTIF($E$4:$E$238,$A255&amp;" ضد "&amp;V$242)+COUNTIF($E$4:$E$238,V$242&amp;" ضد "&amp;$A255))</f>
        <v>0</v>
      </c>
      <c r="W255" s="4">
        <f>IF($A255=W$242,"",COUNTIF($E$4:$E$238,$A255&amp;" ضد "&amp;W$242)+COUNTIF($E$4:$E$238,W$242&amp;" ضد "&amp;$A255))</f>
        <v>0</v>
      </c>
      <c r="X255" s="4">
        <f>IF($A255=X$242,"",COUNTIF($E$4:$E$238,$A255&amp;" ضد "&amp;X$242)+COUNTIF($E$4:$E$238,X$242&amp;" ضد "&amp;$A255))</f>
        <v>0</v>
      </c>
      <c r="Y255" s="4">
        <f>IF($A255=Y$242,"",COUNTIF($E$4:$E$238,$A255&amp;" ضد "&amp;Y$242)+COUNTIF($E$4:$E$238,Y$242&amp;" ضد "&amp;$A255))</f>
        <v>0</v>
      </c>
      <c r="Z255" s="4">
        <f>IF($A255=Z$242,"",COUNTIF($E$4:$E$238,$A255&amp;" ضد "&amp;Z$242)+COUNTIF($E$4:$E$238,Z$242&amp;" ضد "&amp;$A255))</f>
        <v>0</v>
      </c>
      <c r="AA255" s="4">
        <f>IF($A255=AA$242,"",COUNTIF($E$4:$E$238,$A255&amp;" ضد "&amp;AA$242)+COUNTIF($E$4:$E$238,AA$242&amp;" ضد "&amp;$A255))</f>
        <v>0</v>
      </c>
    </row>
    <row r="256" spans="1:27" ht="14.5">
      <c r="A256" s="14">
        <v>14</v>
      </c>
      <c r="B256" s="4">
        <f>IF($A256=B$242,"",COUNTIF($E$4:$E$238,$A256&amp;" ضد "&amp;B$242)+COUNTIF($E$4:$E$238,B$242&amp;" ضد "&amp;$A256))</f>
        <v>2</v>
      </c>
      <c r="C256" s="4">
        <f>IF($A256=C$242,"",COUNTIF($E$4:$E$238,$A256&amp;" ضد "&amp;C$242)+COUNTIF($E$4:$E$238,C$242&amp;" ضد "&amp;$A256))</f>
        <v>1</v>
      </c>
      <c r="D256" s="4">
        <f>IF($A256=D$242,"",COUNTIF($E$4:$E$238,$A256&amp;" ضد "&amp;D$242)+COUNTIF($E$4:$E$238,D$242&amp;" ضد "&amp;$A256))</f>
        <v>1</v>
      </c>
      <c r="E256" s="4">
        <f>IF($A256=E$242,"",COUNTIF($E$4:$E$238,$A256&amp;" ضد "&amp;E$242)+COUNTIF($E$4:$E$238,E$242&amp;" ضد "&amp;$A256))</f>
        <v>1</v>
      </c>
      <c r="F256" s="4">
        <f>IF($A256=F$242,"",COUNTIF($E$4:$E$238,$A256&amp;" ضد "&amp;F$242)+COUNTIF($E$4:$E$238,F$242&amp;" ضد "&amp;$A256))</f>
        <v>1</v>
      </c>
      <c r="G256" s="4">
        <f>IF($A256=G$242,"",COUNTIF($E$4:$E$238,$A256&amp;" ضد "&amp;G$242)+COUNTIF($E$4:$E$238,G$242&amp;" ضد "&amp;$A256))</f>
        <v>2</v>
      </c>
      <c r="H256" s="4">
        <f>IF($A256=H$242,"",COUNTIF($E$4:$E$238,$A256&amp;" ضد "&amp;H$242)+COUNTIF($E$4:$E$238,H$242&amp;" ضد "&amp;$A256))</f>
        <v>1</v>
      </c>
      <c r="I256" s="4">
        <f>IF($A256=I$242,"",COUNTIF($E$4:$E$238,$A256&amp;" ضد "&amp;I$242)+COUNTIF($E$4:$E$238,I$242&amp;" ضد "&amp;$A256))</f>
        <v>2</v>
      </c>
      <c r="J256" s="4">
        <f>IF($A256=J$242,"",COUNTIF($E$4:$E$238,$A256&amp;" ضد "&amp;J$242)+COUNTIF($E$4:$E$238,J$242&amp;" ضد "&amp;$A256))</f>
        <v>1</v>
      </c>
      <c r="K256" s="4">
        <f>IF($A256=K$242,"",COUNTIF($E$4:$E$238,$A256&amp;" ضد "&amp;K$242)+COUNTIF($E$4:$E$238,K$242&amp;" ضد "&amp;$A256))</f>
        <v>2</v>
      </c>
      <c r="L256" s="4">
        <f>IF($A256=L$242,"",COUNTIF($E$4:$E$238,$A256&amp;" ضد "&amp;L$242)+COUNTIF($E$4:$E$238,L$242&amp;" ضد "&amp;$A256))</f>
        <v>1</v>
      </c>
      <c r="M256" s="4">
        <f>IF($A256=M$242,"",COUNTIF($E$4:$E$238,$A256&amp;" ضد "&amp;M$242)+COUNTIF($E$4:$E$238,M$242&amp;" ضد "&amp;$A256))</f>
        <v>2</v>
      </c>
      <c r="N256" s="4">
        <f>IF($A256=N$242,"",COUNTIF($E$4:$E$238,$A256&amp;" ضد "&amp;N$242)+COUNTIF($E$4:$E$238,N$242&amp;" ضد "&amp;$A256))</f>
        <v>1</v>
      </c>
      <c r="O256" s="4" t="str">
        <f>IF($A256=O$242,"",COUNTIF($E$4:$E$238,$A256&amp;" ضد "&amp;O$242)+COUNTIF($E$4:$E$238,O$242&amp;" ضد "&amp;$A256))</f>
        <v/>
      </c>
      <c r="P256" s="4">
        <f>IF($A256=P$242,"",COUNTIF($E$4:$E$238,$A256&amp;" ضد "&amp;P$242)+COUNTIF($E$4:$E$238,P$242&amp;" ضد "&amp;$A256))</f>
        <v>0</v>
      </c>
      <c r="Q256" s="4">
        <f>IF($A256=Q$242,"",COUNTIF($E$4:$E$238,$A256&amp;" ضد "&amp;Q$242)+COUNTIF($E$4:$E$238,Q$242&amp;" ضد "&amp;$A256))</f>
        <v>0</v>
      </c>
      <c r="R256" s="4">
        <f>IF($A256=R$242,"",COUNTIF($E$4:$E$238,$A256&amp;" ضد "&amp;R$242)+COUNTIF($E$4:$E$238,R$242&amp;" ضد "&amp;$A256))</f>
        <v>0</v>
      </c>
      <c r="S256" s="4">
        <f>IF($A256=S$242,"",COUNTIF($E$4:$E$238,$A256&amp;" ضد "&amp;S$242)+COUNTIF($E$4:$E$238,S$242&amp;" ضد "&amp;$A256))</f>
        <v>0</v>
      </c>
      <c r="T256" s="4">
        <f>IF($A256=T$242,"",COUNTIF($E$4:$E$238,$A256&amp;" ضد "&amp;T$242)+COUNTIF($E$4:$E$238,T$242&amp;" ضد "&amp;$A256))</f>
        <v>0</v>
      </c>
      <c r="U256" s="4">
        <f>IF($A256=U$242,"",COUNTIF($E$4:$E$238,$A256&amp;" ضد "&amp;U$242)+COUNTIF($E$4:$E$238,U$242&amp;" ضد "&amp;$A256))</f>
        <v>0</v>
      </c>
      <c r="V256" s="4">
        <f>IF($A256=V$242,"",COUNTIF($E$4:$E$238,$A256&amp;" ضد "&amp;V$242)+COUNTIF($E$4:$E$238,V$242&amp;" ضد "&amp;$A256))</f>
        <v>0</v>
      </c>
      <c r="W256" s="4">
        <f>IF($A256=W$242,"",COUNTIF($E$4:$E$238,$A256&amp;" ضد "&amp;W$242)+COUNTIF($E$4:$E$238,W$242&amp;" ضد "&amp;$A256))</f>
        <v>0</v>
      </c>
      <c r="X256" s="4">
        <f>IF($A256=X$242,"",COUNTIF($E$4:$E$238,$A256&amp;" ضد "&amp;X$242)+COUNTIF($E$4:$E$238,X$242&amp;" ضد "&amp;$A256))</f>
        <v>0</v>
      </c>
      <c r="Y256" s="4">
        <f>IF($A256=Y$242,"",COUNTIF($E$4:$E$238,$A256&amp;" ضد "&amp;Y$242)+COUNTIF($E$4:$E$238,Y$242&amp;" ضد "&amp;$A256))</f>
        <v>0</v>
      </c>
      <c r="Z256" s="4">
        <f>IF($A256=Z$242,"",COUNTIF($E$4:$E$238,$A256&amp;" ضد "&amp;Z$242)+COUNTIF($E$4:$E$238,Z$242&amp;" ضد "&amp;$A256))</f>
        <v>0</v>
      </c>
      <c r="AA256" s="4">
        <f>IF($A256=AA$242,"",COUNTIF($E$4:$E$238,$A256&amp;" ضد "&amp;AA$242)+COUNTIF($E$4:$E$238,AA$242&amp;" ضد "&amp;$A256))</f>
        <v>0</v>
      </c>
    </row>
    <row r="257" spans="1:27" ht="14.5">
      <c r="A257" s="14">
        <v>15</v>
      </c>
      <c r="B257" s="4">
        <f>IF($A257=B$242,"",COUNTIF($E$4:$E$238,$A257&amp;" ضد "&amp;B$242)+COUNTIF($E$4:$E$238,B$242&amp;" ضد "&amp;$A257))</f>
        <v>0</v>
      </c>
      <c r="C257" s="4">
        <f>IF($A257=C$242,"",COUNTIF($E$4:$E$238,$A257&amp;" ضد "&amp;C$242)+COUNTIF($E$4:$E$238,C$242&amp;" ضد "&amp;$A257))</f>
        <v>0</v>
      </c>
      <c r="D257" s="4">
        <f>IF($A257=D$242,"",COUNTIF($E$4:$E$238,$A257&amp;" ضد "&amp;D$242)+COUNTIF($E$4:$E$238,D$242&amp;" ضد "&amp;$A257))</f>
        <v>0</v>
      </c>
      <c r="E257" s="4">
        <f>IF($A257=E$242,"",COUNTIF($E$4:$E$238,$A257&amp;" ضد "&amp;E$242)+COUNTIF($E$4:$E$238,E$242&amp;" ضد "&amp;$A257))</f>
        <v>0</v>
      </c>
      <c r="F257" s="4">
        <f>IF($A257=F$242,"",COUNTIF($E$4:$E$238,$A257&amp;" ضد "&amp;F$242)+COUNTIF($E$4:$E$238,F$242&amp;" ضد "&amp;$A257))</f>
        <v>0</v>
      </c>
      <c r="G257" s="4">
        <f>IF($A257=G$242,"",COUNTIF($E$4:$E$238,$A257&amp;" ضد "&amp;G$242)+COUNTIF($E$4:$E$238,G$242&amp;" ضد "&amp;$A257))</f>
        <v>0</v>
      </c>
      <c r="H257" s="4">
        <f>IF($A257=H$242,"",COUNTIF($E$4:$E$238,$A257&amp;" ضد "&amp;H$242)+COUNTIF($E$4:$E$238,H$242&amp;" ضد "&amp;$A257))</f>
        <v>0</v>
      </c>
      <c r="I257" s="4">
        <f>IF($A257=I$242,"",COUNTIF($E$4:$E$238,$A257&amp;" ضد "&amp;I$242)+COUNTIF($E$4:$E$238,I$242&amp;" ضد "&amp;$A257))</f>
        <v>0</v>
      </c>
      <c r="J257" s="4">
        <f>IF($A257=J$242,"",COUNTIF($E$4:$E$238,$A257&amp;" ضد "&amp;J$242)+COUNTIF($E$4:$E$238,J$242&amp;" ضد "&amp;$A257))</f>
        <v>0</v>
      </c>
      <c r="K257" s="4">
        <f>IF($A257=K$242,"",COUNTIF($E$4:$E$238,$A257&amp;" ضد "&amp;K$242)+COUNTIF($E$4:$E$238,K$242&amp;" ضد "&amp;$A257))</f>
        <v>0</v>
      </c>
      <c r="L257" s="4">
        <f>IF($A257=L$242,"",COUNTIF($E$4:$E$238,$A257&amp;" ضد "&amp;L$242)+COUNTIF($E$4:$E$238,L$242&amp;" ضد "&amp;$A257))</f>
        <v>0</v>
      </c>
      <c r="M257" s="4">
        <f>IF($A257=M$242,"",COUNTIF($E$4:$E$238,$A257&amp;" ضد "&amp;M$242)+COUNTIF($E$4:$E$238,M$242&amp;" ضد "&amp;$A257))</f>
        <v>0</v>
      </c>
      <c r="N257" s="4">
        <f>IF($A257=N$242,"",COUNTIF($E$4:$E$238,$A257&amp;" ضد "&amp;N$242)+COUNTIF($E$4:$E$238,N$242&amp;" ضد "&amp;$A257))</f>
        <v>0</v>
      </c>
      <c r="O257" s="4">
        <f>IF($A257=O$242,"",COUNTIF($E$4:$E$238,$A257&amp;" ضد "&amp;O$242)+COUNTIF($E$4:$E$238,O$242&amp;" ضد "&amp;$A257))</f>
        <v>0</v>
      </c>
      <c r="P257" s="4" t="str">
        <f>IF($A257=P$242,"",COUNTIF($E$4:$E$238,$A257&amp;" ضد "&amp;P$242)+COUNTIF($E$4:$E$238,P$242&amp;" ضد "&amp;$A257))</f>
        <v/>
      </c>
      <c r="Q257" s="4">
        <f>IF($A257=Q$242,"",COUNTIF($E$4:$E$238,$A257&amp;" ضد "&amp;Q$242)+COUNTIF($E$4:$E$238,Q$242&amp;" ضد "&amp;$A257))</f>
        <v>1</v>
      </c>
      <c r="R257" s="4">
        <f>IF($A257=R$242,"",COUNTIF($E$4:$E$238,$A257&amp;" ضد "&amp;R$242)+COUNTIF($E$4:$E$238,R$242&amp;" ضد "&amp;$A257))</f>
        <v>1</v>
      </c>
      <c r="S257" s="4">
        <f>IF($A257=S$242,"",COUNTIF($E$4:$E$238,$A257&amp;" ضد "&amp;S$242)+COUNTIF($E$4:$E$238,S$242&amp;" ضد "&amp;$A257))</f>
        <v>1</v>
      </c>
      <c r="T257" s="4">
        <f>IF($A257=T$242,"",COUNTIF($E$4:$E$238,$A257&amp;" ضد "&amp;T$242)+COUNTIF($E$4:$E$238,T$242&amp;" ضد "&amp;$A257))</f>
        <v>1</v>
      </c>
      <c r="U257" s="4">
        <f>IF($A257=U$242,"",COUNTIF($E$4:$E$238,$A257&amp;" ضد "&amp;U$242)+COUNTIF($E$4:$E$238,U$242&amp;" ضد "&amp;$A257))</f>
        <v>2</v>
      </c>
      <c r="V257" s="4">
        <f>IF($A257=V$242,"",COUNTIF($E$4:$E$238,$A257&amp;" ضد "&amp;V$242)+COUNTIF($E$4:$E$238,V$242&amp;" ضد "&amp;$A257))</f>
        <v>2</v>
      </c>
      <c r="W257" s="4">
        <f>IF($A257=W$242,"",COUNTIF($E$4:$E$238,$A257&amp;" ضد "&amp;W$242)+COUNTIF($E$4:$E$238,W$242&amp;" ضد "&amp;$A257))</f>
        <v>2</v>
      </c>
      <c r="X257" s="4">
        <f>IF($A257=X$242,"",COUNTIF($E$4:$E$238,$A257&amp;" ضد "&amp;X$242)+COUNTIF($E$4:$E$238,X$242&amp;" ضد "&amp;$A257))</f>
        <v>2</v>
      </c>
      <c r="Y257" s="4">
        <f>IF($A257=Y$242,"",COUNTIF($E$4:$E$238,$A257&amp;" ضد "&amp;Y$242)+COUNTIF($E$4:$E$238,Y$242&amp;" ضد "&amp;$A257))</f>
        <v>2</v>
      </c>
      <c r="Z257" s="4">
        <f>IF($A257=Z$242,"",COUNTIF($E$4:$E$238,$A257&amp;" ضد "&amp;Z$242)+COUNTIF($E$4:$E$238,Z$242&amp;" ضد "&amp;$A257))</f>
        <v>2</v>
      </c>
      <c r="AA257" s="4">
        <f>IF($A257=AA$242,"",COUNTIF($E$4:$E$238,$A257&amp;" ضد "&amp;AA$242)+COUNTIF($E$4:$E$238,AA$242&amp;" ضد "&amp;$A257))</f>
        <v>2</v>
      </c>
    </row>
    <row r="258" spans="1:27" ht="14.5">
      <c r="A258" s="14">
        <v>16</v>
      </c>
      <c r="B258" s="4">
        <f>IF($A258=B$242,"",COUNTIF($E$4:$E$238,$A258&amp;" ضد "&amp;B$242)+COUNTIF($E$4:$E$238,B$242&amp;" ضد "&amp;$A258))</f>
        <v>0</v>
      </c>
      <c r="C258" s="4">
        <f>IF($A258=C$242,"",COUNTIF($E$4:$E$238,$A258&amp;" ضد "&amp;C$242)+COUNTIF($E$4:$E$238,C$242&amp;" ضد "&amp;$A258))</f>
        <v>0</v>
      </c>
      <c r="D258" s="4">
        <f>IF($A258=D$242,"",COUNTIF($E$4:$E$238,$A258&amp;" ضد "&amp;D$242)+COUNTIF($E$4:$E$238,D$242&amp;" ضد "&amp;$A258))</f>
        <v>0</v>
      </c>
      <c r="E258" s="4">
        <f>IF($A258=E$242,"",COUNTIF($E$4:$E$238,$A258&amp;" ضد "&amp;E$242)+COUNTIF($E$4:$E$238,E$242&amp;" ضد "&amp;$A258))</f>
        <v>0</v>
      </c>
      <c r="F258" s="4">
        <f>IF($A258=F$242,"",COUNTIF($E$4:$E$238,$A258&amp;" ضد "&amp;F$242)+COUNTIF($E$4:$E$238,F$242&amp;" ضد "&amp;$A258))</f>
        <v>0</v>
      </c>
      <c r="G258" s="4">
        <f>IF($A258=G$242,"",COUNTIF($E$4:$E$238,$A258&amp;" ضد "&amp;G$242)+COUNTIF($E$4:$E$238,G$242&amp;" ضد "&amp;$A258))</f>
        <v>0</v>
      </c>
      <c r="H258" s="4">
        <f>IF($A258=H$242,"",COUNTIF($E$4:$E$238,$A258&amp;" ضد "&amp;H$242)+COUNTIF($E$4:$E$238,H$242&amp;" ضد "&amp;$A258))</f>
        <v>0</v>
      </c>
      <c r="I258" s="4">
        <f>IF($A258=I$242,"",COUNTIF($E$4:$E$238,$A258&amp;" ضد "&amp;I$242)+COUNTIF($E$4:$E$238,I$242&amp;" ضد "&amp;$A258))</f>
        <v>0</v>
      </c>
      <c r="J258" s="4">
        <f>IF($A258=J$242,"",COUNTIF($E$4:$E$238,$A258&amp;" ضد "&amp;J$242)+COUNTIF($E$4:$E$238,J$242&amp;" ضد "&amp;$A258))</f>
        <v>0</v>
      </c>
      <c r="K258" s="4">
        <f>IF($A258=K$242,"",COUNTIF($E$4:$E$238,$A258&amp;" ضد "&amp;K$242)+COUNTIF($E$4:$E$238,K$242&amp;" ضد "&amp;$A258))</f>
        <v>0</v>
      </c>
      <c r="L258" s="4">
        <f>IF($A258=L$242,"",COUNTIF($E$4:$E$238,$A258&amp;" ضد "&amp;L$242)+COUNTIF($E$4:$E$238,L$242&amp;" ضد "&amp;$A258))</f>
        <v>0</v>
      </c>
      <c r="M258" s="4">
        <f>IF($A258=M$242,"",COUNTIF($E$4:$E$238,$A258&amp;" ضد "&amp;M$242)+COUNTIF($E$4:$E$238,M$242&amp;" ضد "&amp;$A258))</f>
        <v>0</v>
      </c>
      <c r="N258" s="4">
        <f>IF($A258=N$242,"",COUNTIF($E$4:$E$238,$A258&amp;" ضد "&amp;N$242)+COUNTIF($E$4:$E$238,N$242&amp;" ضد "&amp;$A258))</f>
        <v>0</v>
      </c>
      <c r="O258" s="4">
        <f>IF($A258=O$242,"",COUNTIF($E$4:$E$238,$A258&amp;" ضد "&amp;O$242)+COUNTIF($E$4:$E$238,O$242&amp;" ضد "&amp;$A258))</f>
        <v>0</v>
      </c>
      <c r="P258" s="4">
        <f>IF($A258=P$242,"",COUNTIF($E$4:$E$238,$A258&amp;" ضد "&amp;P$242)+COUNTIF($E$4:$E$238,P$242&amp;" ضد "&amp;$A258))</f>
        <v>1</v>
      </c>
      <c r="Q258" s="4" t="str">
        <f>IF($A258=Q$242,"",COUNTIF($E$4:$E$238,$A258&amp;" ضد "&amp;Q$242)+COUNTIF($E$4:$E$238,Q$242&amp;" ضد "&amp;$A258))</f>
        <v/>
      </c>
      <c r="R258" s="4">
        <f>IF($A258=R$242,"",COUNTIF($E$4:$E$238,$A258&amp;" ضد "&amp;R$242)+COUNTIF($E$4:$E$238,R$242&amp;" ضد "&amp;$A258))</f>
        <v>2</v>
      </c>
      <c r="S258" s="4">
        <f>IF($A258=S$242,"",COUNTIF($E$4:$E$238,$A258&amp;" ضد "&amp;S$242)+COUNTIF($E$4:$E$238,S$242&amp;" ضد "&amp;$A258))</f>
        <v>1</v>
      </c>
      <c r="T258" s="4">
        <f>IF($A258=T$242,"",COUNTIF($E$4:$E$238,$A258&amp;" ضد "&amp;T$242)+COUNTIF($E$4:$E$238,T$242&amp;" ضد "&amp;$A258))</f>
        <v>2</v>
      </c>
      <c r="U258" s="4">
        <f>IF($A258=U$242,"",COUNTIF($E$4:$E$238,$A258&amp;" ضد "&amp;U$242)+COUNTIF($E$4:$E$238,U$242&amp;" ضد "&amp;$A258))</f>
        <v>1</v>
      </c>
      <c r="V258" s="4">
        <f>IF($A258=V$242,"",COUNTIF($E$4:$E$238,$A258&amp;" ضد "&amp;V$242)+COUNTIF($E$4:$E$238,V$242&amp;" ضد "&amp;$A258))</f>
        <v>2</v>
      </c>
      <c r="W258" s="4">
        <f>IF($A258=W$242,"",COUNTIF($E$4:$E$238,$A258&amp;" ضد "&amp;W$242)+COUNTIF($E$4:$E$238,W$242&amp;" ضد "&amp;$A258))</f>
        <v>1</v>
      </c>
      <c r="X258" s="4">
        <f>IF($A258=X$242,"",COUNTIF($E$4:$E$238,$A258&amp;" ضد "&amp;X$242)+COUNTIF($E$4:$E$238,X$242&amp;" ضد "&amp;$A258))</f>
        <v>2</v>
      </c>
      <c r="Y258" s="4">
        <f>IF($A258=Y$242,"",COUNTIF($E$4:$E$238,$A258&amp;" ضد "&amp;Y$242)+COUNTIF($E$4:$E$238,Y$242&amp;" ضد "&amp;$A258))</f>
        <v>2</v>
      </c>
      <c r="Z258" s="4">
        <f>IF($A258=Z$242,"",COUNTIF($E$4:$E$238,$A258&amp;" ضد "&amp;Z$242)+COUNTIF($E$4:$E$238,Z$242&amp;" ضد "&amp;$A258))</f>
        <v>2</v>
      </c>
      <c r="AA258" s="4">
        <f>IF($A258=AA$242,"",COUNTIF($E$4:$E$238,$A258&amp;" ضد "&amp;AA$242)+COUNTIF($E$4:$E$238,AA$242&amp;" ضد "&amp;$A258))</f>
        <v>2</v>
      </c>
    </row>
    <row r="259" spans="1:27" ht="14.5">
      <c r="A259" s="14">
        <v>17</v>
      </c>
      <c r="B259" s="4">
        <f>IF($A259=B$242,"",COUNTIF($E$4:$E$238,$A259&amp;" ضد "&amp;B$242)+COUNTIF($E$4:$E$238,B$242&amp;" ضد "&amp;$A259))</f>
        <v>0</v>
      </c>
      <c r="C259" s="4">
        <f>IF($A259=C$242,"",COUNTIF($E$4:$E$238,$A259&amp;" ضد "&amp;C$242)+COUNTIF($E$4:$E$238,C$242&amp;" ضد "&amp;$A259))</f>
        <v>0</v>
      </c>
      <c r="D259" s="4">
        <f>IF($A259=D$242,"",COUNTIF($E$4:$E$238,$A259&amp;" ضد "&amp;D$242)+COUNTIF($E$4:$E$238,D$242&amp;" ضد "&amp;$A259))</f>
        <v>0</v>
      </c>
      <c r="E259" s="4">
        <f>IF($A259=E$242,"",COUNTIF($E$4:$E$238,$A259&amp;" ضد "&amp;E$242)+COUNTIF($E$4:$E$238,E$242&amp;" ضد "&amp;$A259))</f>
        <v>0</v>
      </c>
      <c r="F259" s="4">
        <f>IF($A259=F$242,"",COUNTIF($E$4:$E$238,$A259&amp;" ضد "&amp;F$242)+COUNTIF($E$4:$E$238,F$242&amp;" ضد "&amp;$A259))</f>
        <v>0</v>
      </c>
      <c r="G259" s="4">
        <f>IF($A259=G$242,"",COUNTIF($E$4:$E$238,$A259&amp;" ضد "&amp;G$242)+COUNTIF($E$4:$E$238,G$242&amp;" ضد "&amp;$A259))</f>
        <v>0</v>
      </c>
      <c r="H259" s="4">
        <f>IF($A259=H$242,"",COUNTIF($E$4:$E$238,$A259&amp;" ضد "&amp;H$242)+COUNTIF($E$4:$E$238,H$242&amp;" ضد "&amp;$A259))</f>
        <v>0</v>
      </c>
      <c r="I259" s="4">
        <f>IF($A259=I$242,"",COUNTIF($E$4:$E$238,$A259&amp;" ضد "&amp;I$242)+COUNTIF($E$4:$E$238,I$242&amp;" ضد "&amp;$A259))</f>
        <v>0</v>
      </c>
      <c r="J259" s="4">
        <f>IF($A259=J$242,"",COUNTIF($E$4:$E$238,$A259&amp;" ضد "&amp;J$242)+COUNTIF($E$4:$E$238,J$242&amp;" ضد "&amp;$A259))</f>
        <v>0</v>
      </c>
      <c r="K259" s="4">
        <f>IF($A259=K$242,"",COUNTIF($E$4:$E$238,$A259&amp;" ضد "&amp;K$242)+COUNTIF($E$4:$E$238,K$242&amp;" ضد "&amp;$A259))</f>
        <v>0</v>
      </c>
      <c r="L259" s="4">
        <f>IF($A259=L$242,"",COUNTIF($E$4:$E$238,$A259&amp;" ضد "&amp;L$242)+COUNTIF($E$4:$E$238,L$242&amp;" ضد "&amp;$A259))</f>
        <v>0</v>
      </c>
      <c r="M259" s="4">
        <f>IF($A259=M$242,"",COUNTIF($E$4:$E$238,$A259&amp;" ضد "&amp;M$242)+COUNTIF($E$4:$E$238,M$242&amp;" ضد "&amp;$A259))</f>
        <v>0</v>
      </c>
      <c r="N259" s="4">
        <f>IF($A259=N$242,"",COUNTIF($E$4:$E$238,$A259&amp;" ضد "&amp;N$242)+COUNTIF($E$4:$E$238,N$242&amp;" ضد "&amp;$A259))</f>
        <v>0</v>
      </c>
      <c r="O259" s="4">
        <f>IF($A259=O$242,"",COUNTIF($E$4:$E$238,$A259&amp;" ضد "&amp;O$242)+COUNTIF($E$4:$E$238,O$242&amp;" ضد "&amp;$A259))</f>
        <v>0</v>
      </c>
      <c r="P259" s="4">
        <f>IF($A259=P$242,"",COUNTIF($E$4:$E$238,$A259&amp;" ضد "&amp;P$242)+COUNTIF($E$4:$E$238,P$242&amp;" ضد "&amp;$A259))</f>
        <v>1</v>
      </c>
      <c r="Q259" s="4">
        <f>IF($A259=Q$242,"",COUNTIF($E$4:$E$238,$A259&amp;" ضد "&amp;Q$242)+COUNTIF($E$4:$E$238,Q$242&amp;" ضد "&amp;$A259))</f>
        <v>2</v>
      </c>
      <c r="R259" s="4" t="str">
        <f>IF($A259=R$242,"",COUNTIF($E$4:$E$238,$A259&amp;" ضد "&amp;R$242)+COUNTIF($E$4:$E$238,R$242&amp;" ضد "&amp;$A259))</f>
        <v/>
      </c>
      <c r="S259" s="4">
        <f>IF($A259=S$242,"",COUNTIF($E$4:$E$238,$A259&amp;" ضد "&amp;S$242)+COUNTIF($E$4:$E$238,S$242&amp;" ضد "&amp;$A259))</f>
        <v>2</v>
      </c>
      <c r="T259" s="4">
        <f>IF($A259=T$242,"",COUNTIF($E$4:$E$238,$A259&amp;" ضد "&amp;T$242)+COUNTIF($E$4:$E$238,T$242&amp;" ضد "&amp;$A259))</f>
        <v>1</v>
      </c>
      <c r="U259" s="4">
        <f>IF($A259=U$242,"",COUNTIF($E$4:$E$238,$A259&amp;" ضد "&amp;U$242)+COUNTIF($E$4:$E$238,U$242&amp;" ضد "&amp;$A259))</f>
        <v>2</v>
      </c>
      <c r="V259" s="4">
        <f>IF($A259=V$242,"",COUNTIF($E$4:$E$238,$A259&amp;" ضد "&amp;V$242)+COUNTIF($E$4:$E$238,V$242&amp;" ضد "&amp;$A259))</f>
        <v>1</v>
      </c>
      <c r="W259" s="4">
        <f>IF($A259=W$242,"",COUNTIF($E$4:$E$238,$A259&amp;" ضد "&amp;W$242)+COUNTIF($E$4:$E$238,W$242&amp;" ضد "&amp;$A259))</f>
        <v>2</v>
      </c>
      <c r="X259" s="4">
        <f>IF($A259=X$242,"",COUNTIF($E$4:$E$238,$A259&amp;" ضد "&amp;X$242)+COUNTIF($E$4:$E$238,X$242&amp;" ضد "&amp;$A259))</f>
        <v>2</v>
      </c>
      <c r="Y259" s="4">
        <f>IF($A259=Y$242,"",COUNTIF($E$4:$E$238,$A259&amp;" ضد "&amp;Y$242)+COUNTIF($E$4:$E$238,Y$242&amp;" ضد "&amp;$A259))</f>
        <v>2</v>
      </c>
      <c r="Z259" s="4">
        <f>IF($A259=Z$242,"",COUNTIF($E$4:$E$238,$A259&amp;" ضد "&amp;Z$242)+COUNTIF($E$4:$E$238,Z$242&amp;" ضد "&amp;$A259))</f>
        <v>2</v>
      </c>
      <c r="AA259" s="4">
        <f>IF($A259=AA$242,"",COUNTIF($E$4:$E$238,$A259&amp;" ضد "&amp;AA$242)+COUNTIF($E$4:$E$238,AA$242&amp;" ضد "&amp;$A259))</f>
        <v>1</v>
      </c>
    </row>
    <row r="260" spans="1:27" ht="14.5">
      <c r="A260" s="14">
        <v>18</v>
      </c>
      <c r="B260" s="4">
        <f>IF($A260=B$242,"",COUNTIF($E$4:$E$238,$A260&amp;" ضد "&amp;B$242)+COUNTIF($E$4:$E$238,B$242&amp;" ضد "&amp;$A260))</f>
        <v>0</v>
      </c>
      <c r="C260" s="4">
        <f>IF($A260=C$242,"",COUNTIF($E$4:$E$238,$A260&amp;" ضد "&amp;C$242)+COUNTIF($E$4:$E$238,C$242&amp;" ضد "&amp;$A260))</f>
        <v>0</v>
      </c>
      <c r="D260" s="4">
        <f>IF($A260=D$242,"",COUNTIF($E$4:$E$238,$A260&amp;" ضد "&amp;D$242)+COUNTIF($E$4:$E$238,D$242&amp;" ضد "&amp;$A260))</f>
        <v>0</v>
      </c>
      <c r="E260" s="4">
        <f>IF($A260=E$242,"",COUNTIF($E$4:$E$238,$A260&amp;" ضد "&amp;E$242)+COUNTIF($E$4:$E$238,E$242&amp;" ضد "&amp;$A260))</f>
        <v>0</v>
      </c>
      <c r="F260" s="4">
        <f>IF($A260=F$242,"",COUNTIF($E$4:$E$238,$A260&amp;" ضد "&amp;F$242)+COUNTIF($E$4:$E$238,F$242&amp;" ضد "&amp;$A260))</f>
        <v>0</v>
      </c>
      <c r="G260" s="4">
        <f>IF($A260=G$242,"",COUNTIF($E$4:$E$238,$A260&amp;" ضد "&amp;G$242)+COUNTIF($E$4:$E$238,G$242&amp;" ضد "&amp;$A260))</f>
        <v>0</v>
      </c>
      <c r="H260" s="4">
        <f>IF($A260=H$242,"",COUNTIF($E$4:$E$238,$A260&amp;" ضد "&amp;H$242)+COUNTIF($E$4:$E$238,H$242&amp;" ضد "&amp;$A260))</f>
        <v>0</v>
      </c>
      <c r="I260" s="4">
        <f>IF($A260=I$242,"",COUNTIF($E$4:$E$238,$A260&amp;" ضد "&amp;I$242)+COUNTIF($E$4:$E$238,I$242&amp;" ضد "&amp;$A260))</f>
        <v>0</v>
      </c>
      <c r="J260" s="4">
        <f>IF($A260=J$242,"",COUNTIF($E$4:$E$238,$A260&amp;" ضد "&amp;J$242)+COUNTIF($E$4:$E$238,J$242&amp;" ضد "&amp;$A260))</f>
        <v>0</v>
      </c>
      <c r="K260" s="4">
        <f>IF($A260=K$242,"",COUNTIF($E$4:$E$238,$A260&amp;" ضد "&amp;K$242)+COUNTIF($E$4:$E$238,K$242&amp;" ضد "&amp;$A260))</f>
        <v>0</v>
      </c>
      <c r="L260" s="4">
        <f>IF($A260=L$242,"",COUNTIF($E$4:$E$238,$A260&amp;" ضد "&amp;L$242)+COUNTIF($E$4:$E$238,L$242&amp;" ضد "&amp;$A260))</f>
        <v>0</v>
      </c>
      <c r="M260" s="4">
        <f>IF($A260=M$242,"",COUNTIF($E$4:$E$238,$A260&amp;" ضد "&amp;M$242)+COUNTIF($E$4:$E$238,M$242&amp;" ضد "&amp;$A260))</f>
        <v>0</v>
      </c>
      <c r="N260" s="4">
        <f>IF($A260=N$242,"",COUNTIF($E$4:$E$238,$A260&amp;" ضد "&amp;N$242)+COUNTIF($E$4:$E$238,N$242&amp;" ضد "&amp;$A260))</f>
        <v>0</v>
      </c>
      <c r="O260" s="4">
        <f>IF($A260=O$242,"",COUNTIF($E$4:$E$238,$A260&amp;" ضد "&amp;O$242)+COUNTIF($E$4:$E$238,O$242&amp;" ضد "&amp;$A260))</f>
        <v>0</v>
      </c>
      <c r="P260" s="4">
        <f>IF($A260=P$242,"",COUNTIF($E$4:$E$238,$A260&amp;" ضد "&amp;P$242)+COUNTIF($E$4:$E$238,P$242&amp;" ضد "&amp;$A260))</f>
        <v>1</v>
      </c>
      <c r="Q260" s="4">
        <f>IF($A260=Q$242,"",COUNTIF($E$4:$E$238,$A260&amp;" ضد "&amp;Q$242)+COUNTIF($E$4:$E$238,Q$242&amp;" ضد "&amp;$A260))</f>
        <v>1</v>
      </c>
      <c r="R260" s="4">
        <f>IF($A260=R$242,"",COUNTIF($E$4:$E$238,$A260&amp;" ضد "&amp;R$242)+COUNTIF($E$4:$E$238,R$242&amp;" ضد "&amp;$A260))</f>
        <v>2</v>
      </c>
      <c r="S260" s="4" t="str">
        <f>IF($A260=S$242,"",COUNTIF($E$4:$E$238,$A260&amp;" ضد "&amp;S$242)+COUNTIF($E$4:$E$238,S$242&amp;" ضد "&amp;$A260))</f>
        <v/>
      </c>
      <c r="T260" s="4">
        <f>IF($A260=T$242,"",COUNTIF($E$4:$E$238,$A260&amp;" ضد "&amp;T$242)+COUNTIF($E$4:$E$238,T$242&amp;" ضد "&amp;$A260))</f>
        <v>2</v>
      </c>
      <c r="U260" s="4">
        <f>IF($A260=U$242,"",COUNTIF($E$4:$E$238,$A260&amp;" ضد "&amp;U$242)+COUNTIF($E$4:$E$238,U$242&amp;" ضد "&amp;$A260))</f>
        <v>1</v>
      </c>
      <c r="V260" s="4">
        <f>IF($A260=V$242,"",COUNTIF($E$4:$E$238,$A260&amp;" ضد "&amp;V$242)+COUNTIF($E$4:$E$238,V$242&amp;" ضد "&amp;$A260))</f>
        <v>2</v>
      </c>
      <c r="W260" s="4">
        <f>IF($A260=W$242,"",COUNTIF($E$4:$E$238,$A260&amp;" ضد "&amp;W$242)+COUNTIF($E$4:$E$238,W$242&amp;" ضد "&amp;$A260))</f>
        <v>2</v>
      </c>
      <c r="X260" s="4">
        <f>IF($A260=X$242,"",COUNTIF($E$4:$E$238,$A260&amp;" ضد "&amp;X$242)+COUNTIF($E$4:$E$238,X$242&amp;" ضد "&amp;$A260))</f>
        <v>2</v>
      </c>
      <c r="Y260" s="4">
        <f>IF($A260=Y$242,"",COUNTIF($E$4:$E$238,$A260&amp;" ضد "&amp;Y$242)+COUNTIF($E$4:$E$238,Y$242&amp;" ضد "&amp;$A260))</f>
        <v>2</v>
      </c>
      <c r="Z260" s="4">
        <f>IF($A260=Z$242,"",COUNTIF($E$4:$E$238,$A260&amp;" ضد "&amp;Z$242)+COUNTIF($E$4:$E$238,Z$242&amp;" ضد "&amp;$A260))</f>
        <v>1</v>
      </c>
      <c r="AA260" s="4">
        <f>IF($A260=AA$242,"",COUNTIF($E$4:$E$238,$A260&amp;" ضد "&amp;AA$242)+COUNTIF($E$4:$E$238,AA$242&amp;" ضد "&amp;$A260))</f>
        <v>2</v>
      </c>
    </row>
    <row r="261" spans="1:27" ht="14.5">
      <c r="A261" s="14">
        <v>19</v>
      </c>
      <c r="B261" s="4">
        <f>IF($A261=B$242,"",COUNTIF($E$4:$E$238,$A261&amp;" ضد "&amp;B$242)+COUNTIF($E$4:$E$238,B$242&amp;" ضد "&amp;$A261))</f>
        <v>0</v>
      </c>
      <c r="C261" s="4">
        <f>IF($A261=C$242,"",COUNTIF($E$4:$E$238,$A261&amp;" ضد "&amp;C$242)+COUNTIF($E$4:$E$238,C$242&amp;" ضد "&amp;$A261))</f>
        <v>0</v>
      </c>
      <c r="D261" s="4">
        <f>IF($A261=D$242,"",COUNTIF($E$4:$E$238,$A261&amp;" ضد "&amp;D$242)+COUNTIF($E$4:$E$238,D$242&amp;" ضد "&amp;$A261))</f>
        <v>0</v>
      </c>
      <c r="E261" s="4">
        <f>IF($A261=E$242,"",COUNTIF($E$4:$E$238,$A261&amp;" ضد "&amp;E$242)+COUNTIF($E$4:$E$238,E$242&amp;" ضد "&amp;$A261))</f>
        <v>0</v>
      </c>
      <c r="F261" s="4">
        <f>IF($A261=F$242,"",COUNTIF($E$4:$E$238,$A261&amp;" ضد "&amp;F$242)+COUNTIF($E$4:$E$238,F$242&amp;" ضد "&amp;$A261))</f>
        <v>0</v>
      </c>
      <c r="G261" s="4">
        <f>IF($A261=G$242,"",COUNTIF($E$4:$E$238,$A261&amp;" ضد "&amp;G$242)+COUNTIF($E$4:$E$238,G$242&amp;" ضد "&amp;$A261))</f>
        <v>0</v>
      </c>
      <c r="H261" s="4">
        <f>IF($A261=H$242,"",COUNTIF($E$4:$E$238,$A261&amp;" ضد "&amp;H$242)+COUNTIF($E$4:$E$238,H$242&amp;" ضد "&amp;$A261))</f>
        <v>0</v>
      </c>
      <c r="I261" s="4">
        <f>IF($A261=I$242,"",COUNTIF($E$4:$E$238,$A261&amp;" ضد "&amp;I$242)+COUNTIF($E$4:$E$238,I$242&amp;" ضد "&amp;$A261))</f>
        <v>0</v>
      </c>
      <c r="J261" s="4">
        <f>IF($A261=J$242,"",COUNTIF($E$4:$E$238,$A261&amp;" ضد "&amp;J$242)+COUNTIF($E$4:$E$238,J$242&amp;" ضد "&amp;$A261))</f>
        <v>0</v>
      </c>
      <c r="K261" s="4">
        <f>IF($A261=K$242,"",COUNTIF($E$4:$E$238,$A261&amp;" ضد "&amp;K$242)+COUNTIF($E$4:$E$238,K$242&amp;" ضد "&amp;$A261))</f>
        <v>0</v>
      </c>
      <c r="L261" s="4">
        <f>IF($A261=L$242,"",COUNTIF($E$4:$E$238,$A261&amp;" ضد "&amp;L$242)+COUNTIF($E$4:$E$238,L$242&amp;" ضد "&amp;$A261))</f>
        <v>0</v>
      </c>
      <c r="M261" s="4">
        <f>IF($A261=M$242,"",COUNTIF($E$4:$E$238,$A261&amp;" ضد "&amp;M$242)+COUNTIF($E$4:$E$238,M$242&amp;" ضد "&amp;$A261))</f>
        <v>0</v>
      </c>
      <c r="N261" s="4">
        <f>IF($A261=N$242,"",COUNTIF($E$4:$E$238,$A261&amp;" ضد "&amp;N$242)+COUNTIF($E$4:$E$238,N$242&amp;" ضد "&amp;$A261))</f>
        <v>0</v>
      </c>
      <c r="O261" s="4">
        <f>IF($A261=O$242,"",COUNTIF($E$4:$E$238,$A261&amp;" ضد "&amp;O$242)+COUNTIF($E$4:$E$238,O$242&amp;" ضد "&amp;$A261))</f>
        <v>0</v>
      </c>
      <c r="P261" s="4">
        <f>IF($A261=P$242,"",COUNTIF($E$4:$E$238,$A261&amp;" ضد "&amp;P$242)+COUNTIF($E$4:$E$238,P$242&amp;" ضد "&amp;$A261))</f>
        <v>1</v>
      </c>
      <c r="Q261" s="4">
        <f>IF($A261=Q$242,"",COUNTIF($E$4:$E$238,$A261&amp;" ضد "&amp;Q$242)+COUNTIF($E$4:$E$238,Q$242&amp;" ضد "&amp;$A261))</f>
        <v>2</v>
      </c>
      <c r="R261" s="4">
        <f>IF($A261=R$242,"",COUNTIF($E$4:$E$238,$A261&amp;" ضد "&amp;R$242)+COUNTIF($E$4:$E$238,R$242&amp;" ضد "&amp;$A261))</f>
        <v>1</v>
      </c>
      <c r="S261" s="4">
        <f>IF($A261=S$242,"",COUNTIF($E$4:$E$238,$A261&amp;" ضد "&amp;S$242)+COUNTIF($E$4:$E$238,S$242&amp;" ضد "&amp;$A261))</f>
        <v>2</v>
      </c>
      <c r="T261" s="4" t="str">
        <f>IF($A261=T$242,"",COUNTIF($E$4:$E$238,$A261&amp;" ضد "&amp;T$242)+COUNTIF($E$4:$E$238,T$242&amp;" ضد "&amp;$A261))</f>
        <v/>
      </c>
      <c r="U261" s="4">
        <f>IF($A261=U$242,"",COUNTIF($E$4:$E$238,$A261&amp;" ضد "&amp;U$242)+COUNTIF($E$4:$E$238,U$242&amp;" ضد "&amp;$A261))</f>
        <v>2</v>
      </c>
      <c r="V261" s="4">
        <f>IF($A261=V$242,"",COUNTIF($E$4:$E$238,$A261&amp;" ضد "&amp;V$242)+COUNTIF($E$4:$E$238,V$242&amp;" ضد "&amp;$A261))</f>
        <v>2</v>
      </c>
      <c r="W261" s="4">
        <f>IF($A261=W$242,"",COUNTIF($E$4:$E$238,$A261&amp;" ضد "&amp;W$242)+COUNTIF($E$4:$E$238,W$242&amp;" ضد "&amp;$A261))</f>
        <v>2</v>
      </c>
      <c r="X261" s="4">
        <f>IF($A261=X$242,"",COUNTIF($E$4:$E$238,$A261&amp;" ضد "&amp;X$242)+COUNTIF($E$4:$E$238,X$242&amp;" ضد "&amp;$A261))</f>
        <v>2</v>
      </c>
      <c r="Y261" s="4">
        <f>IF($A261=Y$242,"",COUNTIF($E$4:$E$238,$A261&amp;" ضد "&amp;Y$242)+COUNTIF($E$4:$E$238,Y$242&amp;" ضد "&amp;$A261))</f>
        <v>1</v>
      </c>
      <c r="Z261" s="4">
        <f>IF($A261=Z$242,"",COUNTIF($E$4:$E$238,$A261&amp;" ضد "&amp;Z$242)+COUNTIF($E$4:$E$238,Z$242&amp;" ضد "&amp;$A261))</f>
        <v>2</v>
      </c>
      <c r="AA261" s="4">
        <f>IF($A261=AA$242,"",COUNTIF($E$4:$E$238,$A261&amp;" ضد "&amp;AA$242)+COUNTIF($E$4:$E$238,AA$242&amp;" ضد "&amp;$A261))</f>
        <v>1</v>
      </c>
    </row>
    <row r="262" spans="1:27" ht="14.5">
      <c r="A262" s="14">
        <v>20</v>
      </c>
      <c r="B262" s="4">
        <f>IF($A262=B$242,"",COUNTIF($E$4:$E$238,$A262&amp;" ضد "&amp;B$242)+COUNTIF($E$4:$E$238,B$242&amp;" ضد "&amp;$A262))</f>
        <v>0</v>
      </c>
      <c r="C262" s="4">
        <f>IF($A262=C$242,"",COUNTIF($E$4:$E$238,$A262&amp;" ضد "&amp;C$242)+COUNTIF($E$4:$E$238,C$242&amp;" ضد "&amp;$A262))</f>
        <v>0</v>
      </c>
      <c r="D262" s="4">
        <f>IF($A262=D$242,"",COUNTIF($E$4:$E$238,$A262&amp;" ضد "&amp;D$242)+COUNTIF($E$4:$E$238,D$242&amp;" ضد "&amp;$A262))</f>
        <v>0</v>
      </c>
      <c r="E262" s="4">
        <f>IF($A262=E$242,"",COUNTIF($E$4:$E$238,$A262&amp;" ضد "&amp;E$242)+COUNTIF($E$4:$E$238,E$242&amp;" ضد "&amp;$A262))</f>
        <v>0</v>
      </c>
      <c r="F262" s="4">
        <f>IF($A262=F$242,"",COUNTIF($E$4:$E$238,$A262&amp;" ضد "&amp;F$242)+COUNTIF($E$4:$E$238,F$242&amp;" ضد "&amp;$A262))</f>
        <v>0</v>
      </c>
      <c r="G262" s="4">
        <f>IF($A262=G$242,"",COUNTIF($E$4:$E$238,$A262&amp;" ضد "&amp;G$242)+COUNTIF($E$4:$E$238,G$242&amp;" ضد "&amp;$A262))</f>
        <v>0</v>
      </c>
      <c r="H262" s="4">
        <f>IF($A262=H$242,"",COUNTIF($E$4:$E$238,$A262&amp;" ضد "&amp;H$242)+COUNTIF($E$4:$E$238,H$242&amp;" ضد "&amp;$A262))</f>
        <v>0</v>
      </c>
      <c r="I262" s="4">
        <f>IF($A262=I$242,"",COUNTIF($E$4:$E$238,$A262&amp;" ضد "&amp;I$242)+COUNTIF($E$4:$E$238,I$242&amp;" ضد "&amp;$A262))</f>
        <v>0</v>
      </c>
      <c r="J262" s="4">
        <f>IF($A262=J$242,"",COUNTIF($E$4:$E$238,$A262&amp;" ضد "&amp;J$242)+COUNTIF($E$4:$E$238,J$242&amp;" ضد "&amp;$A262))</f>
        <v>0</v>
      </c>
      <c r="K262" s="4">
        <f>IF($A262=K$242,"",COUNTIF($E$4:$E$238,$A262&amp;" ضد "&amp;K$242)+COUNTIF($E$4:$E$238,K$242&amp;" ضد "&amp;$A262))</f>
        <v>0</v>
      </c>
      <c r="L262" s="4">
        <f>IF($A262=L$242,"",COUNTIF($E$4:$E$238,$A262&amp;" ضد "&amp;L$242)+COUNTIF($E$4:$E$238,L$242&amp;" ضد "&amp;$A262))</f>
        <v>0</v>
      </c>
      <c r="M262" s="4">
        <f>IF($A262=M$242,"",COUNTIF($E$4:$E$238,$A262&amp;" ضد "&amp;M$242)+COUNTIF($E$4:$E$238,M$242&amp;" ضد "&amp;$A262))</f>
        <v>0</v>
      </c>
      <c r="N262" s="4">
        <f>IF($A262=N$242,"",COUNTIF($E$4:$E$238,$A262&amp;" ضد "&amp;N$242)+COUNTIF($E$4:$E$238,N$242&amp;" ضد "&amp;$A262))</f>
        <v>0</v>
      </c>
      <c r="O262" s="4">
        <f>IF($A262=O$242,"",COUNTIF($E$4:$E$238,$A262&amp;" ضد "&amp;O$242)+COUNTIF($E$4:$E$238,O$242&amp;" ضد "&amp;$A262))</f>
        <v>0</v>
      </c>
      <c r="P262" s="4">
        <f>IF($A262=P$242,"",COUNTIF($E$4:$E$238,$A262&amp;" ضد "&amp;P$242)+COUNTIF($E$4:$E$238,P$242&amp;" ضد "&amp;$A262))</f>
        <v>2</v>
      </c>
      <c r="Q262" s="4">
        <f>IF($A262=Q$242,"",COUNTIF($E$4:$E$238,$A262&amp;" ضد "&amp;Q$242)+COUNTIF($E$4:$E$238,Q$242&amp;" ضد "&amp;$A262))</f>
        <v>1</v>
      </c>
      <c r="R262" s="4">
        <f>IF($A262=R$242,"",COUNTIF($E$4:$E$238,$A262&amp;" ضد "&amp;R$242)+COUNTIF($E$4:$E$238,R$242&amp;" ضد "&amp;$A262))</f>
        <v>2</v>
      </c>
      <c r="S262" s="4">
        <f>IF($A262=S$242,"",COUNTIF($E$4:$E$238,$A262&amp;" ضد "&amp;S$242)+COUNTIF($E$4:$E$238,S$242&amp;" ضد "&amp;$A262))</f>
        <v>1</v>
      </c>
      <c r="T262" s="4">
        <f>IF($A262=T$242,"",COUNTIF($E$4:$E$238,$A262&amp;" ضد "&amp;T$242)+COUNTIF($E$4:$E$238,T$242&amp;" ضد "&amp;$A262))</f>
        <v>2</v>
      </c>
      <c r="U262" s="4" t="str">
        <f>IF($A262=U$242,"",COUNTIF($E$4:$E$238,$A262&amp;" ضد "&amp;U$242)+COUNTIF($E$4:$E$238,U$242&amp;" ضد "&amp;$A262))</f>
        <v/>
      </c>
      <c r="V262" s="4">
        <f>IF($A262=V$242,"",COUNTIF($E$4:$E$238,$A262&amp;" ضد "&amp;V$242)+COUNTIF($E$4:$E$238,V$242&amp;" ضد "&amp;$A262))</f>
        <v>2</v>
      </c>
      <c r="W262" s="4">
        <f>IF($A262=W$242,"",COUNTIF($E$4:$E$238,$A262&amp;" ضد "&amp;W$242)+COUNTIF($E$4:$E$238,W$242&amp;" ضد "&amp;$A262))</f>
        <v>2</v>
      </c>
      <c r="X262" s="4">
        <f>IF($A262=X$242,"",COUNTIF($E$4:$E$238,$A262&amp;" ضد "&amp;X$242)+COUNTIF($E$4:$E$238,X$242&amp;" ضد "&amp;$A262))</f>
        <v>1</v>
      </c>
      <c r="Y262" s="4">
        <f>IF($A262=Y$242,"",COUNTIF($E$4:$E$238,$A262&amp;" ضد "&amp;Y$242)+COUNTIF($E$4:$E$238,Y$242&amp;" ضد "&amp;$A262))</f>
        <v>2</v>
      </c>
      <c r="Z262" s="4">
        <f>IF($A262=Z$242,"",COUNTIF($E$4:$E$238,$A262&amp;" ضد "&amp;Z$242)+COUNTIF($E$4:$E$238,Z$242&amp;" ضد "&amp;$A262))</f>
        <v>1</v>
      </c>
      <c r="AA262" s="4">
        <f>IF($A262=AA$242,"",COUNTIF($E$4:$E$238,$A262&amp;" ضد "&amp;AA$242)+COUNTIF($E$4:$E$238,AA$242&amp;" ضد "&amp;$A262))</f>
        <v>2</v>
      </c>
    </row>
    <row r="263" spans="1:27" ht="14.5">
      <c r="A263" s="14">
        <v>21</v>
      </c>
      <c r="B263" s="4">
        <f>IF($A263=B$242,"",COUNTIF($E$4:$E$238,$A263&amp;" ضد "&amp;B$242)+COUNTIF($E$4:$E$238,B$242&amp;" ضد "&amp;$A263))</f>
        <v>0</v>
      </c>
      <c r="C263" s="4">
        <f>IF($A263=C$242,"",COUNTIF($E$4:$E$238,$A263&amp;" ضد "&amp;C$242)+COUNTIF($E$4:$E$238,C$242&amp;" ضد "&amp;$A263))</f>
        <v>0</v>
      </c>
      <c r="D263" s="4">
        <f>IF($A263=D$242,"",COUNTIF($E$4:$E$238,$A263&amp;" ضد "&amp;D$242)+COUNTIF($E$4:$E$238,D$242&amp;" ضد "&amp;$A263))</f>
        <v>0</v>
      </c>
      <c r="E263" s="4">
        <f>IF($A263=E$242,"",COUNTIF($E$4:$E$238,$A263&amp;" ضد "&amp;E$242)+COUNTIF($E$4:$E$238,E$242&amp;" ضد "&amp;$A263))</f>
        <v>0</v>
      </c>
      <c r="F263" s="4">
        <f>IF($A263=F$242,"",COUNTIF($E$4:$E$238,$A263&amp;" ضد "&amp;F$242)+COUNTIF($E$4:$E$238,F$242&amp;" ضد "&amp;$A263))</f>
        <v>0</v>
      </c>
      <c r="G263" s="4">
        <f>IF($A263=G$242,"",COUNTIF($E$4:$E$238,$A263&amp;" ضد "&amp;G$242)+COUNTIF($E$4:$E$238,G$242&amp;" ضد "&amp;$A263))</f>
        <v>0</v>
      </c>
      <c r="H263" s="4">
        <f>IF($A263=H$242,"",COUNTIF($E$4:$E$238,$A263&amp;" ضد "&amp;H$242)+COUNTIF($E$4:$E$238,H$242&amp;" ضد "&amp;$A263))</f>
        <v>0</v>
      </c>
      <c r="I263" s="4">
        <f>IF($A263=I$242,"",COUNTIF($E$4:$E$238,$A263&amp;" ضد "&amp;I$242)+COUNTIF($E$4:$E$238,I$242&amp;" ضد "&amp;$A263))</f>
        <v>0</v>
      </c>
      <c r="J263" s="4">
        <f>IF($A263=J$242,"",COUNTIF($E$4:$E$238,$A263&amp;" ضد "&amp;J$242)+COUNTIF($E$4:$E$238,J$242&amp;" ضد "&amp;$A263))</f>
        <v>0</v>
      </c>
      <c r="K263" s="4">
        <f>IF($A263=K$242,"",COUNTIF($E$4:$E$238,$A263&amp;" ضد "&amp;K$242)+COUNTIF($E$4:$E$238,K$242&amp;" ضد "&amp;$A263))</f>
        <v>0</v>
      </c>
      <c r="L263" s="4">
        <f>IF($A263=L$242,"",COUNTIF($E$4:$E$238,$A263&amp;" ضد "&amp;L$242)+COUNTIF($E$4:$E$238,L$242&amp;" ضد "&amp;$A263))</f>
        <v>0</v>
      </c>
      <c r="M263" s="4">
        <f>IF($A263=M$242,"",COUNTIF($E$4:$E$238,$A263&amp;" ضد "&amp;M$242)+COUNTIF($E$4:$E$238,M$242&amp;" ضد "&amp;$A263))</f>
        <v>0</v>
      </c>
      <c r="N263" s="4">
        <f>IF($A263=N$242,"",COUNTIF($E$4:$E$238,$A263&amp;" ضد "&amp;N$242)+COUNTIF($E$4:$E$238,N$242&amp;" ضد "&amp;$A263))</f>
        <v>0</v>
      </c>
      <c r="O263" s="4">
        <f>IF($A263=O$242,"",COUNTIF($E$4:$E$238,$A263&amp;" ضد "&amp;O$242)+COUNTIF($E$4:$E$238,O$242&amp;" ضد "&amp;$A263))</f>
        <v>0</v>
      </c>
      <c r="P263" s="4">
        <f>IF($A263=P$242,"",COUNTIF($E$4:$E$238,$A263&amp;" ضد "&amp;P$242)+COUNTIF($E$4:$E$238,P$242&amp;" ضد "&amp;$A263))</f>
        <v>2</v>
      </c>
      <c r="Q263" s="4">
        <f>IF($A263=Q$242,"",COUNTIF($E$4:$E$238,$A263&amp;" ضد "&amp;Q$242)+COUNTIF($E$4:$E$238,Q$242&amp;" ضد "&amp;$A263))</f>
        <v>2</v>
      </c>
      <c r="R263" s="4">
        <f>IF($A263=R$242,"",COUNTIF($E$4:$E$238,$A263&amp;" ضد "&amp;R$242)+COUNTIF($E$4:$E$238,R$242&amp;" ضد "&amp;$A263))</f>
        <v>1</v>
      </c>
      <c r="S263" s="4">
        <f>IF($A263=S$242,"",COUNTIF($E$4:$E$238,$A263&amp;" ضد "&amp;S$242)+COUNTIF($E$4:$E$238,S$242&amp;" ضد "&amp;$A263))</f>
        <v>2</v>
      </c>
      <c r="T263" s="4">
        <f>IF($A263=T$242,"",COUNTIF($E$4:$E$238,$A263&amp;" ضد "&amp;T$242)+COUNTIF($E$4:$E$238,T$242&amp;" ضد "&amp;$A263))</f>
        <v>2</v>
      </c>
      <c r="U263" s="4">
        <f>IF($A263=U$242,"",COUNTIF($E$4:$E$238,$A263&amp;" ضد "&amp;U$242)+COUNTIF($E$4:$E$238,U$242&amp;" ضد "&amp;$A263))</f>
        <v>2</v>
      </c>
      <c r="V263" s="4" t="str">
        <f>IF($A263=V$242,"",COUNTIF($E$4:$E$238,$A263&amp;" ضد "&amp;V$242)+COUNTIF($E$4:$E$238,V$242&amp;" ضد "&amp;$A263))</f>
        <v/>
      </c>
      <c r="W263" s="4">
        <f>IF($A263=W$242,"",COUNTIF($E$4:$E$238,$A263&amp;" ضد "&amp;W$242)+COUNTIF($E$4:$E$238,W$242&amp;" ضد "&amp;$A263))</f>
        <v>1</v>
      </c>
      <c r="X263" s="4">
        <f>IF($A263=X$242,"",COUNTIF($E$4:$E$238,$A263&amp;" ضد "&amp;X$242)+COUNTIF($E$4:$E$238,X$242&amp;" ضد "&amp;$A263))</f>
        <v>2</v>
      </c>
      <c r="Y263" s="4">
        <f>IF($A263=Y$242,"",COUNTIF($E$4:$E$238,$A263&amp;" ضد "&amp;Y$242)+COUNTIF($E$4:$E$238,Y$242&amp;" ضد "&amp;$A263))</f>
        <v>1</v>
      </c>
      <c r="Z263" s="4">
        <f>IF($A263=Z$242,"",COUNTIF($E$4:$E$238,$A263&amp;" ضد "&amp;Z$242)+COUNTIF($E$4:$E$238,Z$242&amp;" ضد "&amp;$A263))</f>
        <v>2</v>
      </c>
      <c r="AA263" s="4">
        <f>IF($A263=AA$242,"",COUNTIF($E$4:$E$238,$A263&amp;" ضد "&amp;AA$242)+COUNTIF($E$4:$E$238,AA$242&amp;" ضد "&amp;$A263))</f>
        <v>1</v>
      </c>
    </row>
    <row r="264" spans="1:27" ht="14.5">
      <c r="A264" s="14">
        <v>22</v>
      </c>
      <c r="B264" s="4">
        <f>IF($A264=B$242,"",COUNTIF($E$4:$E$238,$A264&amp;" ضد "&amp;B$242)+COUNTIF($E$4:$E$238,B$242&amp;" ضد "&amp;$A264))</f>
        <v>0</v>
      </c>
      <c r="C264" s="4">
        <f>IF($A264=C$242,"",COUNTIF($E$4:$E$238,$A264&amp;" ضد "&amp;C$242)+COUNTIF($E$4:$E$238,C$242&amp;" ضد "&amp;$A264))</f>
        <v>0</v>
      </c>
      <c r="D264" s="4">
        <f>IF($A264=D$242,"",COUNTIF($E$4:$E$238,$A264&amp;" ضد "&amp;D$242)+COUNTIF($E$4:$E$238,D$242&amp;" ضد "&amp;$A264))</f>
        <v>0</v>
      </c>
      <c r="E264" s="4">
        <f>IF($A264=E$242,"",COUNTIF($E$4:$E$238,$A264&amp;" ضد "&amp;E$242)+COUNTIF($E$4:$E$238,E$242&amp;" ضد "&amp;$A264))</f>
        <v>0</v>
      </c>
      <c r="F264" s="4">
        <f>IF($A264=F$242,"",COUNTIF($E$4:$E$238,$A264&amp;" ضد "&amp;F$242)+COUNTIF($E$4:$E$238,F$242&amp;" ضد "&amp;$A264))</f>
        <v>0</v>
      </c>
      <c r="G264" s="4">
        <f>IF($A264=G$242,"",COUNTIF($E$4:$E$238,$A264&amp;" ضد "&amp;G$242)+COUNTIF($E$4:$E$238,G$242&amp;" ضد "&amp;$A264))</f>
        <v>0</v>
      </c>
      <c r="H264" s="4">
        <f>IF($A264=H$242,"",COUNTIF($E$4:$E$238,$A264&amp;" ضد "&amp;H$242)+COUNTIF($E$4:$E$238,H$242&amp;" ضد "&amp;$A264))</f>
        <v>0</v>
      </c>
      <c r="I264" s="4">
        <f>IF($A264=I$242,"",COUNTIF($E$4:$E$238,$A264&amp;" ضد "&amp;I$242)+COUNTIF($E$4:$E$238,I$242&amp;" ضد "&amp;$A264))</f>
        <v>0</v>
      </c>
      <c r="J264" s="4">
        <f>IF($A264=J$242,"",COUNTIF($E$4:$E$238,$A264&amp;" ضد "&amp;J$242)+COUNTIF($E$4:$E$238,J$242&amp;" ضد "&amp;$A264))</f>
        <v>0</v>
      </c>
      <c r="K264" s="4">
        <f>IF($A264=K$242,"",COUNTIF($E$4:$E$238,$A264&amp;" ضد "&amp;K$242)+COUNTIF($E$4:$E$238,K$242&amp;" ضد "&amp;$A264))</f>
        <v>0</v>
      </c>
      <c r="L264" s="4">
        <f>IF($A264=L$242,"",COUNTIF($E$4:$E$238,$A264&amp;" ضد "&amp;L$242)+COUNTIF($E$4:$E$238,L$242&amp;" ضد "&amp;$A264))</f>
        <v>0</v>
      </c>
      <c r="M264" s="4">
        <f>IF($A264=M$242,"",COUNTIF($E$4:$E$238,$A264&amp;" ضد "&amp;M$242)+COUNTIF($E$4:$E$238,M$242&amp;" ضد "&amp;$A264))</f>
        <v>0</v>
      </c>
      <c r="N264" s="4">
        <f>IF($A264=N$242,"",COUNTIF($E$4:$E$238,$A264&amp;" ضد "&amp;N$242)+COUNTIF($E$4:$E$238,N$242&amp;" ضد "&amp;$A264))</f>
        <v>0</v>
      </c>
      <c r="O264" s="4">
        <f>IF($A264=O$242,"",COUNTIF($E$4:$E$238,$A264&amp;" ضد "&amp;O$242)+COUNTIF($E$4:$E$238,O$242&amp;" ضد "&amp;$A264))</f>
        <v>0</v>
      </c>
      <c r="P264" s="4">
        <f>IF($A264=P$242,"",COUNTIF($E$4:$E$238,$A264&amp;" ضد "&amp;P$242)+COUNTIF($E$4:$E$238,P$242&amp;" ضد "&amp;$A264))</f>
        <v>2</v>
      </c>
      <c r="Q264" s="4">
        <f>IF($A264=Q$242,"",COUNTIF($E$4:$E$238,$A264&amp;" ضد "&amp;Q$242)+COUNTIF($E$4:$E$238,Q$242&amp;" ضد "&amp;$A264))</f>
        <v>1</v>
      </c>
      <c r="R264" s="4">
        <f>IF($A264=R$242,"",COUNTIF($E$4:$E$238,$A264&amp;" ضد "&amp;R$242)+COUNTIF($E$4:$E$238,R$242&amp;" ضد "&amp;$A264))</f>
        <v>2</v>
      </c>
      <c r="S264" s="4">
        <f>IF($A264=S$242,"",COUNTIF($E$4:$E$238,$A264&amp;" ضد "&amp;S$242)+COUNTIF($E$4:$E$238,S$242&amp;" ضد "&amp;$A264))</f>
        <v>2</v>
      </c>
      <c r="T264" s="4">
        <f>IF($A264=T$242,"",COUNTIF($E$4:$E$238,$A264&amp;" ضد "&amp;T$242)+COUNTIF($E$4:$E$238,T$242&amp;" ضد "&amp;$A264))</f>
        <v>2</v>
      </c>
      <c r="U264" s="4">
        <f>IF($A264=U$242,"",COUNTIF($E$4:$E$238,$A264&amp;" ضد "&amp;U$242)+COUNTIF($E$4:$E$238,U$242&amp;" ضد "&amp;$A264))</f>
        <v>2</v>
      </c>
      <c r="V264" s="4">
        <f>IF($A264=V$242,"",COUNTIF($E$4:$E$238,$A264&amp;" ضد "&amp;V$242)+COUNTIF($E$4:$E$238,V$242&amp;" ضد "&amp;$A264))</f>
        <v>1</v>
      </c>
      <c r="W264" s="4" t="str">
        <f>IF($A264=W$242,"",COUNTIF($E$4:$E$238,$A264&amp;" ضد "&amp;W$242)+COUNTIF($E$4:$E$238,W$242&amp;" ضد "&amp;$A264))</f>
        <v/>
      </c>
      <c r="X264" s="4">
        <f>IF($A264=X$242,"",COUNTIF($E$4:$E$238,$A264&amp;" ضد "&amp;X$242)+COUNTIF($E$4:$E$238,X$242&amp;" ضد "&amp;$A264))</f>
        <v>1</v>
      </c>
      <c r="Y264" s="4">
        <f>IF($A264=Y$242,"",COUNTIF($E$4:$E$238,$A264&amp;" ضد "&amp;Y$242)+COUNTIF($E$4:$E$238,Y$242&amp;" ضد "&amp;$A264))</f>
        <v>2</v>
      </c>
      <c r="Z264" s="4">
        <f>IF($A264=Z$242,"",COUNTIF($E$4:$E$238,$A264&amp;" ضد "&amp;Z$242)+COUNTIF($E$4:$E$238,Z$242&amp;" ضد "&amp;$A264))</f>
        <v>1</v>
      </c>
      <c r="AA264" s="4">
        <f>IF($A264=AA$242,"",COUNTIF($E$4:$E$238,$A264&amp;" ضد "&amp;AA$242)+COUNTIF($E$4:$E$238,AA$242&amp;" ضد "&amp;$A264))</f>
        <v>2</v>
      </c>
    </row>
    <row r="265" spans="1:27" ht="14.5">
      <c r="A265" s="14">
        <v>23</v>
      </c>
      <c r="B265" s="4">
        <f>IF($A265=B$242,"",COUNTIF($E$4:$E$238,$A265&amp;" ضد "&amp;B$242)+COUNTIF($E$4:$E$238,B$242&amp;" ضد "&amp;$A265))</f>
        <v>0</v>
      </c>
      <c r="C265" s="4">
        <f>IF($A265=C$242,"",COUNTIF($E$4:$E$238,$A265&amp;" ضد "&amp;C$242)+COUNTIF($E$4:$E$238,C$242&amp;" ضد "&amp;$A265))</f>
        <v>0</v>
      </c>
      <c r="D265" s="4">
        <f>IF($A265=D$242,"",COUNTIF($E$4:$E$238,$A265&amp;" ضد "&amp;D$242)+COUNTIF($E$4:$E$238,D$242&amp;" ضد "&amp;$A265))</f>
        <v>0</v>
      </c>
      <c r="E265" s="4">
        <f>IF($A265=E$242,"",COUNTIF($E$4:$E$238,$A265&amp;" ضد "&amp;E$242)+COUNTIF($E$4:$E$238,E$242&amp;" ضد "&amp;$A265))</f>
        <v>0</v>
      </c>
      <c r="F265" s="4">
        <f>IF($A265=F$242,"",COUNTIF($E$4:$E$238,$A265&amp;" ضد "&amp;F$242)+COUNTIF($E$4:$E$238,F$242&amp;" ضد "&amp;$A265))</f>
        <v>0</v>
      </c>
      <c r="G265" s="4">
        <f>IF($A265=G$242,"",COUNTIF($E$4:$E$238,$A265&amp;" ضد "&amp;G$242)+COUNTIF($E$4:$E$238,G$242&amp;" ضد "&amp;$A265))</f>
        <v>0</v>
      </c>
      <c r="H265" s="4">
        <f>IF($A265=H$242,"",COUNTIF($E$4:$E$238,$A265&amp;" ضد "&amp;H$242)+COUNTIF($E$4:$E$238,H$242&amp;" ضد "&amp;$A265))</f>
        <v>0</v>
      </c>
      <c r="I265" s="4">
        <f>IF($A265=I$242,"",COUNTIF($E$4:$E$238,$A265&amp;" ضد "&amp;I$242)+COUNTIF($E$4:$E$238,I$242&amp;" ضد "&amp;$A265))</f>
        <v>0</v>
      </c>
      <c r="J265" s="4">
        <f>IF($A265=J$242,"",COUNTIF($E$4:$E$238,$A265&amp;" ضد "&amp;J$242)+COUNTIF($E$4:$E$238,J$242&amp;" ضد "&amp;$A265))</f>
        <v>0</v>
      </c>
      <c r="K265" s="4">
        <f>IF($A265=K$242,"",COUNTIF($E$4:$E$238,$A265&amp;" ضد "&amp;K$242)+COUNTIF($E$4:$E$238,K$242&amp;" ضد "&amp;$A265))</f>
        <v>0</v>
      </c>
      <c r="L265" s="4">
        <f>IF($A265=L$242,"",COUNTIF($E$4:$E$238,$A265&amp;" ضد "&amp;L$242)+COUNTIF($E$4:$E$238,L$242&amp;" ضد "&amp;$A265))</f>
        <v>0</v>
      </c>
      <c r="M265" s="4">
        <f>IF($A265=M$242,"",COUNTIF($E$4:$E$238,$A265&amp;" ضد "&amp;M$242)+COUNTIF($E$4:$E$238,M$242&amp;" ضد "&amp;$A265))</f>
        <v>0</v>
      </c>
      <c r="N265" s="4">
        <f>IF($A265=N$242,"",COUNTIF($E$4:$E$238,$A265&amp;" ضد "&amp;N$242)+COUNTIF($E$4:$E$238,N$242&amp;" ضد "&amp;$A265))</f>
        <v>0</v>
      </c>
      <c r="O265" s="4">
        <f>IF($A265=O$242,"",COUNTIF($E$4:$E$238,$A265&amp;" ضد "&amp;O$242)+COUNTIF($E$4:$E$238,O$242&amp;" ضد "&amp;$A265))</f>
        <v>0</v>
      </c>
      <c r="P265" s="4">
        <f>IF($A265=P$242,"",COUNTIF($E$4:$E$238,$A265&amp;" ضد "&amp;P$242)+COUNTIF($E$4:$E$238,P$242&amp;" ضد "&amp;$A265))</f>
        <v>2</v>
      </c>
      <c r="Q265" s="4">
        <f>IF($A265=Q$242,"",COUNTIF($E$4:$E$238,$A265&amp;" ضد "&amp;Q$242)+COUNTIF($E$4:$E$238,Q$242&amp;" ضد "&amp;$A265))</f>
        <v>2</v>
      </c>
      <c r="R265" s="4">
        <f>IF($A265=R$242,"",COUNTIF($E$4:$E$238,$A265&amp;" ضد "&amp;R$242)+COUNTIF($E$4:$E$238,R$242&amp;" ضد "&amp;$A265))</f>
        <v>2</v>
      </c>
      <c r="S265" s="4">
        <f>IF($A265=S$242,"",COUNTIF($E$4:$E$238,$A265&amp;" ضد "&amp;S$242)+COUNTIF($E$4:$E$238,S$242&amp;" ضد "&amp;$A265))</f>
        <v>2</v>
      </c>
      <c r="T265" s="4">
        <f>IF($A265=T$242,"",COUNTIF($E$4:$E$238,$A265&amp;" ضد "&amp;T$242)+COUNTIF($E$4:$E$238,T$242&amp;" ضد "&amp;$A265))</f>
        <v>2</v>
      </c>
      <c r="U265" s="4">
        <f>IF($A265=U$242,"",COUNTIF($E$4:$E$238,$A265&amp;" ضد "&amp;U$242)+COUNTIF($E$4:$E$238,U$242&amp;" ضد "&amp;$A265))</f>
        <v>1</v>
      </c>
      <c r="V265" s="4">
        <f>IF($A265=V$242,"",COUNTIF($E$4:$E$238,$A265&amp;" ضد "&amp;V$242)+COUNTIF($E$4:$E$238,V$242&amp;" ضد "&amp;$A265))</f>
        <v>2</v>
      </c>
      <c r="W265" s="4">
        <f>IF($A265=W$242,"",COUNTIF($E$4:$E$238,$A265&amp;" ضد "&amp;W$242)+COUNTIF($E$4:$E$238,W$242&amp;" ضد "&amp;$A265))</f>
        <v>1</v>
      </c>
      <c r="X265" s="4" t="str">
        <f>IF($A265=X$242,"",COUNTIF($E$4:$E$238,$A265&amp;" ضد "&amp;X$242)+COUNTIF($E$4:$E$238,X$242&amp;" ضد "&amp;$A265))</f>
        <v/>
      </c>
      <c r="Y265" s="4">
        <f>IF($A265=Y$242,"",COUNTIF($E$4:$E$238,$A265&amp;" ضد "&amp;Y$242)+COUNTIF($E$4:$E$238,Y$242&amp;" ضد "&amp;$A265))</f>
        <v>1</v>
      </c>
      <c r="Z265" s="4">
        <f>IF($A265=Z$242,"",COUNTIF($E$4:$E$238,$A265&amp;" ضد "&amp;Z$242)+COUNTIF($E$4:$E$238,Z$242&amp;" ضد "&amp;$A265))</f>
        <v>2</v>
      </c>
      <c r="AA265" s="4">
        <f>IF($A265=AA$242,"",COUNTIF($E$4:$E$238,$A265&amp;" ضد "&amp;AA$242)+COUNTIF($E$4:$E$238,AA$242&amp;" ضد "&amp;$A265))</f>
        <v>1</v>
      </c>
    </row>
    <row r="266" spans="1:27" ht="14.5">
      <c r="A266" s="14">
        <v>24</v>
      </c>
      <c r="B266" s="4">
        <f>IF($A266=B$242,"",COUNTIF($E$4:$E$238,$A266&amp;" ضد "&amp;B$242)+COUNTIF($E$4:$E$238,B$242&amp;" ضد "&amp;$A266))</f>
        <v>0</v>
      </c>
      <c r="C266" s="4">
        <f>IF($A266=C$242,"",COUNTIF($E$4:$E$238,$A266&amp;" ضد "&amp;C$242)+COUNTIF($E$4:$E$238,C$242&amp;" ضد "&amp;$A266))</f>
        <v>0</v>
      </c>
      <c r="D266" s="4">
        <f>IF($A266=D$242,"",COUNTIF($E$4:$E$238,$A266&amp;" ضد "&amp;D$242)+COUNTIF($E$4:$E$238,D$242&amp;" ضد "&amp;$A266))</f>
        <v>0</v>
      </c>
      <c r="E266" s="4">
        <f>IF($A266=E$242,"",COUNTIF($E$4:$E$238,$A266&amp;" ضد "&amp;E$242)+COUNTIF($E$4:$E$238,E$242&amp;" ضد "&amp;$A266))</f>
        <v>0</v>
      </c>
      <c r="F266" s="4">
        <f>IF($A266=F$242,"",COUNTIF($E$4:$E$238,$A266&amp;" ضد "&amp;F$242)+COUNTIF($E$4:$E$238,F$242&amp;" ضد "&amp;$A266))</f>
        <v>0</v>
      </c>
      <c r="G266" s="4">
        <f>IF($A266=G$242,"",COUNTIF($E$4:$E$238,$A266&amp;" ضد "&amp;G$242)+COUNTIF($E$4:$E$238,G$242&amp;" ضد "&amp;$A266))</f>
        <v>0</v>
      </c>
      <c r="H266" s="4">
        <f>IF($A266=H$242,"",COUNTIF($E$4:$E$238,$A266&amp;" ضد "&amp;H$242)+COUNTIF($E$4:$E$238,H$242&amp;" ضد "&amp;$A266))</f>
        <v>0</v>
      </c>
      <c r="I266" s="4">
        <f>IF($A266=I$242,"",COUNTIF($E$4:$E$238,$A266&amp;" ضد "&amp;I$242)+COUNTIF($E$4:$E$238,I$242&amp;" ضد "&amp;$A266))</f>
        <v>0</v>
      </c>
      <c r="J266" s="4">
        <f>IF($A266=J$242,"",COUNTIF($E$4:$E$238,$A266&amp;" ضد "&amp;J$242)+COUNTIF($E$4:$E$238,J$242&amp;" ضد "&amp;$A266))</f>
        <v>0</v>
      </c>
      <c r="K266" s="4">
        <f>IF($A266=K$242,"",COUNTIF($E$4:$E$238,$A266&amp;" ضد "&amp;K$242)+COUNTIF($E$4:$E$238,K$242&amp;" ضد "&amp;$A266))</f>
        <v>0</v>
      </c>
      <c r="L266" s="4">
        <f>IF($A266=L$242,"",COUNTIF($E$4:$E$238,$A266&amp;" ضد "&amp;L$242)+COUNTIF($E$4:$E$238,L$242&amp;" ضد "&amp;$A266))</f>
        <v>0</v>
      </c>
      <c r="M266" s="4">
        <f>IF($A266=M$242,"",COUNTIF($E$4:$E$238,$A266&amp;" ضد "&amp;M$242)+COUNTIF($E$4:$E$238,M$242&amp;" ضد "&amp;$A266))</f>
        <v>0</v>
      </c>
      <c r="N266" s="4">
        <f>IF($A266=N$242,"",COUNTIF($E$4:$E$238,$A266&amp;" ضد "&amp;N$242)+COUNTIF($E$4:$E$238,N$242&amp;" ضد "&amp;$A266))</f>
        <v>0</v>
      </c>
      <c r="O266" s="4">
        <f>IF($A266=O$242,"",COUNTIF($E$4:$E$238,$A266&amp;" ضد "&amp;O$242)+COUNTIF($E$4:$E$238,O$242&amp;" ضد "&amp;$A266))</f>
        <v>0</v>
      </c>
      <c r="P266" s="4">
        <f>IF($A266=P$242,"",COUNTIF($E$4:$E$238,$A266&amp;" ضد "&amp;P$242)+COUNTIF($E$4:$E$238,P$242&amp;" ضد "&amp;$A266))</f>
        <v>2</v>
      </c>
      <c r="Q266" s="4">
        <f>IF($A266=Q$242,"",COUNTIF($E$4:$E$238,$A266&amp;" ضد "&amp;Q$242)+COUNTIF($E$4:$E$238,Q$242&amp;" ضد "&amp;$A266))</f>
        <v>2</v>
      </c>
      <c r="R266" s="4">
        <f>IF($A266=R$242,"",COUNTIF($E$4:$E$238,$A266&amp;" ضد "&amp;R$242)+COUNTIF($E$4:$E$238,R$242&amp;" ضد "&amp;$A266))</f>
        <v>2</v>
      </c>
      <c r="S266" s="4">
        <f>IF($A266=S$242,"",COUNTIF($E$4:$E$238,$A266&amp;" ضد "&amp;S$242)+COUNTIF($E$4:$E$238,S$242&amp;" ضد "&amp;$A266))</f>
        <v>2</v>
      </c>
      <c r="T266" s="4">
        <f>IF($A266=T$242,"",COUNTIF($E$4:$E$238,$A266&amp;" ضد "&amp;T$242)+COUNTIF($E$4:$E$238,T$242&amp;" ضد "&amp;$A266))</f>
        <v>1</v>
      </c>
      <c r="U266" s="4">
        <f>IF($A266=U$242,"",COUNTIF($E$4:$E$238,$A266&amp;" ضد "&amp;U$242)+COUNTIF($E$4:$E$238,U$242&amp;" ضد "&amp;$A266))</f>
        <v>2</v>
      </c>
      <c r="V266" s="4">
        <f>IF($A266=V$242,"",COUNTIF($E$4:$E$238,$A266&amp;" ضد "&amp;V$242)+COUNTIF($E$4:$E$238,V$242&amp;" ضد "&amp;$A266))</f>
        <v>1</v>
      </c>
      <c r="W266" s="4">
        <f>IF($A266=W$242,"",COUNTIF($E$4:$E$238,$A266&amp;" ضد "&amp;W$242)+COUNTIF($E$4:$E$238,W$242&amp;" ضد "&amp;$A266))</f>
        <v>2</v>
      </c>
      <c r="X266" s="4">
        <f>IF($A266=X$242,"",COUNTIF($E$4:$E$238,$A266&amp;" ضد "&amp;X$242)+COUNTIF($E$4:$E$238,X$242&amp;" ضد "&amp;$A266))</f>
        <v>1</v>
      </c>
      <c r="Y266" s="4" t="str">
        <f>IF($A266=Y$242,"",COUNTIF($E$4:$E$238,$A266&amp;" ضد "&amp;Y$242)+COUNTIF($E$4:$E$238,Y$242&amp;" ضد "&amp;$A266))</f>
        <v/>
      </c>
      <c r="Z266" s="4">
        <f>IF($A266=Z$242,"",COUNTIF($E$4:$E$238,$A266&amp;" ضد "&amp;Z$242)+COUNTIF($E$4:$E$238,Z$242&amp;" ضد "&amp;$A266))</f>
        <v>1</v>
      </c>
      <c r="AA266" s="4">
        <f>IF($A266=AA$242,"",COUNTIF($E$4:$E$238,$A266&amp;" ضد "&amp;AA$242)+COUNTIF($E$4:$E$238,AA$242&amp;" ضد "&amp;$A266))</f>
        <v>2</v>
      </c>
    </row>
    <row r="267" spans="1:27" ht="14.5">
      <c r="A267" s="14">
        <v>25</v>
      </c>
      <c r="B267" s="4">
        <f>IF($A267=B$242,"",COUNTIF($E$4:$E$238,$A267&amp;" ضد "&amp;B$242)+COUNTIF($E$4:$E$238,B$242&amp;" ضد "&amp;$A267))</f>
        <v>0</v>
      </c>
      <c r="C267" s="4">
        <f>IF($A267=C$242,"",COUNTIF($E$4:$E$238,$A267&amp;" ضد "&amp;C$242)+COUNTIF($E$4:$E$238,C$242&amp;" ضد "&amp;$A267))</f>
        <v>0</v>
      </c>
      <c r="D267" s="4">
        <f>IF($A267=D$242,"",COUNTIF($E$4:$E$238,$A267&amp;" ضد "&amp;D$242)+COUNTIF($E$4:$E$238,D$242&amp;" ضد "&amp;$A267))</f>
        <v>0</v>
      </c>
      <c r="E267" s="4">
        <f>IF($A267=E$242,"",COUNTIF($E$4:$E$238,$A267&amp;" ضد "&amp;E$242)+COUNTIF($E$4:$E$238,E$242&amp;" ضد "&amp;$A267))</f>
        <v>0</v>
      </c>
      <c r="F267" s="4">
        <f>IF($A267=F$242,"",COUNTIF($E$4:$E$238,$A267&amp;" ضد "&amp;F$242)+COUNTIF($E$4:$E$238,F$242&amp;" ضد "&amp;$A267))</f>
        <v>0</v>
      </c>
      <c r="G267" s="4">
        <f>IF($A267=G$242,"",COUNTIF($E$4:$E$238,$A267&amp;" ضد "&amp;G$242)+COUNTIF($E$4:$E$238,G$242&amp;" ضد "&amp;$A267))</f>
        <v>0</v>
      </c>
      <c r="H267" s="4">
        <f>IF($A267=H$242,"",COUNTIF($E$4:$E$238,$A267&amp;" ضد "&amp;H$242)+COUNTIF($E$4:$E$238,H$242&amp;" ضد "&amp;$A267))</f>
        <v>0</v>
      </c>
      <c r="I267" s="4">
        <f>IF($A267=I$242,"",COUNTIF($E$4:$E$238,$A267&amp;" ضد "&amp;I$242)+COUNTIF($E$4:$E$238,I$242&amp;" ضد "&amp;$A267))</f>
        <v>0</v>
      </c>
      <c r="J267" s="4">
        <f>IF($A267=J$242,"",COUNTIF($E$4:$E$238,$A267&amp;" ضد "&amp;J$242)+COUNTIF($E$4:$E$238,J$242&amp;" ضد "&amp;$A267))</f>
        <v>0</v>
      </c>
      <c r="K267" s="4">
        <f>IF($A267=K$242,"",COUNTIF($E$4:$E$238,$A267&amp;" ضد "&amp;K$242)+COUNTIF($E$4:$E$238,K$242&amp;" ضد "&amp;$A267))</f>
        <v>0</v>
      </c>
      <c r="L267" s="4">
        <f>IF($A267=L$242,"",COUNTIF($E$4:$E$238,$A267&amp;" ضد "&amp;L$242)+COUNTIF($E$4:$E$238,L$242&amp;" ضد "&amp;$A267))</f>
        <v>0</v>
      </c>
      <c r="M267" s="4">
        <f>IF($A267=M$242,"",COUNTIF($E$4:$E$238,$A267&amp;" ضد "&amp;M$242)+COUNTIF($E$4:$E$238,M$242&amp;" ضد "&amp;$A267))</f>
        <v>0</v>
      </c>
      <c r="N267" s="4">
        <f>IF($A267=N$242,"",COUNTIF($E$4:$E$238,$A267&amp;" ضد "&amp;N$242)+COUNTIF($E$4:$E$238,N$242&amp;" ضد "&amp;$A267))</f>
        <v>0</v>
      </c>
      <c r="O267" s="4">
        <f>IF($A267=O$242,"",COUNTIF($E$4:$E$238,$A267&amp;" ضد "&amp;O$242)+COUNTIF($E$4:$E$238,O$242&amp;" ضد "&amp;$A267))</f>
        <v>0</v>
      </c>
      <c r="P267" s="4">
        <f>IF($A267=P$242,"",COUNTIF($E$4:$E$238,$A267&amp;" ضد "&amp;P$242)+COUNTIF($E$4:$E$238,P$242&amp;" ضد "&amp;$A267))</f>
        <v>2</v>
      </c>
      <c r="Q267" s="4">
        <f>IF($A267=Q$242,"",COUNTIF($E$4:$E$238,$A267&amp;" ضد "&amp;Q$242)+COUNTIF($E$4:$E$238,Q$242&amp;" ضد "&amp;$A267))</f>
        <v>2</v>
      </c>
      <c r="R267" s="4">
        <f>IF($A267=R$242,"",COUNTIF($E$4:$E$238,$A267&amp;" ضد "&amp;R$242)+COUNTIF($E$4:$E$238,R$242&amp;" ضد "&amp;$A267))</f>
        <v>2</v>
      </c>
      <c r="S267" s="4">
        <f>IF($A267=S$242,"",COUNTIF($E$4:$E$238,$A267&amp;" ضد "&amp;S$242)+COUNTIF($E$4:$E$238,S$242&amp;" ضد "&amp;$A267))</f>
        <v>1</v>
      </c>
      <c r="T267" s="4">
        <f>IF($A267=T$242,"",COUNTIF($E$4:$E$238,$A267&amp;" ضد "&amp;T$242)+COUNTIF($E$4:$E$238,T$242&amp;" ضد "&amp;$A267))</f>
        <v>2</v>
      </c>
      <c r="U267" s="4">
        <f>IF($A267=U$242,"",COUNTIF($E$4:$E$238,$A267&amp;" ضد "&amp;U$242)+COUNTIF($E$4:$E$238,U$242&amp;" ضد "&amp;$A267))</f>
        <v>1</v>
      </c>
      <c r="V267" s="4">
        <f>IF($A267=V$242,"",COUNTIF($E$4:$E$238,$A267&amp;" ضد "&amp;V$242)+COUNTIF($E$4:$E$238,V$242&amp;" ضد "&amp;$A267))</f>
        <v>2</v>
      </c>
      <c r="W267" s="4">
        <f>IF($A267=W$242,"",COUNTIF($E$4:$E$238,$A267&amp;" ضد "&amp;W$242)+COUNTIF($E$4:$E$238,W$242&amp;" ضد "&amp;$A267))</f>
        <v>1</v>
      </c>
      <c r="X267" s="4">
        <f>IF($A267=X$242,"",COUNTIF($E$4:$E$238,$A267&amp;" ضد "&amp;X$242)+COUNTIF($E$4:$E$238,X$242&amp;" ضد "&amp;$A267))</f>
        <v>2</v>
      </c>
      <c r="Y267" s="4">
        <f>IF($A267=Y$242,"",COUNTIF($E$4:$E$238,$A267&amp;" ضد "&amp;Y$242)+COUNTIF($E$4:$E$238,Y$242&amp;" ضد "&amp;$A267))</f>
        <v>1</v>
      </c>
      <c r="Z267" s="4" t="str">
        <f>IF($A267=Z$242,"",COUNTIF($E$4:$E$238,$A267&amp;" ضد "&amp;Z$242)+COUNTIF($E$4:$E$238,Z$242&amp;" ضد "&amp;$A267))</f>
        <v/>
      </c>
      <c r="AA267" s="4">
        <f>IF($A267=AA$242,"",COUNTIF($E$4:$E$238,$A267&amp;" ضد "&amp;AA$242)+COUNTIF($E$4:$E$238,AA$242&amp;" ضد "&amp;$A267))</f>
        <v>2</v>
      </c>
    </row>
    <row r="268" spans="1:27" ht="14.5">
      <c r="A268" s="14">
        <v>26</v>
      </c>
      <c r="B268" s="4">
        <f>IF($A268=B$242,"",COUNTIF($E$4:$E$238,$A268&amp;" ضد "&amp;B$242)+COUNTIF($E$4:$E$238,B$242&amp;" ضد "&amp;$A268))</f>
        <v>0</v>
      </c>
      <c r="C268" s="4">
        <f>IF($A268=C$242,"",COUNTIF($E$4:$E$238,$A268&amp;" ضد "&amp;C$242)+COUNTIF($E$4:$E$238,C$242&amp;" ضد "&amp;$A268))</f>
        <v>0</v>
      </c>
      <c r="D268" s="4">
        <f>IF($A268=D$242,"",COUNTIF($E$4:$E$238,$A268&amp;" ضد "&amp;D$242)+COUNTIF($E$4:$E$238,D$242&amp;" ضد "&amp;$A268))</f>
        <v>0</v>
      </c>
      <c r="E268" s="4">
        <f>IF($A268=E$242,"",COUNTIF($E$4:$E$238,$A268&amp;" ضد "&amp;E$242)+COUNTIF($E$4:$E$238,E$242&amp;" ضد "&amp;$A268))</f>
        <v>0</v>
      </c>
      <c r="F268" s="4">
        <f>IF($A268=F$242,"",COUNTIF($E$4:$E$238,$A268&amp;" ضد "&amp;F$242)+COUNTIF($E$4:$E$238,F$242&amp;" ضد "&amp;$A268))</f>
        <v>0</v>
      </c>
      <c r="G268" s="4">
        <f>IF($A268=G$242,"",COUNTIF($E$4:$E$238,$A268&amp;" ضد "&amp;G$242)+COUNTIF($E$4:$E$238,G$242&amp;" ضد "&amp;$A268))</f>
        <v>0</v>
      </c>
      <c r="H268" s="4">
        <f>IF($A268=H$242,"",COUNTIF($E$4:$E$238,$A268&amp;" ضد "&amp;H$242)+COUNTIF($E$4:$E$238,H$242&amp;" ضد "&amp;$A268))</f>
        <v>0</v>
      </c>
      <c r="I268" s="4">
        <f>IF($A268=I$242,"",COUNTIF($E$4:$E$238,$A268&amp;" ضد "&amp;I$242)+COUNTIF($E$4:$E$238,I$242&amp;" ضد "&amp;$A268))</f>
        <v>0</v>
      </c>
      <c r="J268" s="4">
        <f>IF($A268=J$242,"",COUNTIF($E$4:$E$238,$A268&amp;" ضد "&amp;J$242)+COUNTIF($E$4:$E$238,J$242&amp;" ضد "&amp;$A268))</f>
        <v>0</v>
      </c>
      <c r="K268" s="4">
        <f>IF($A268=K$242,"",COUNTIF($E$4:$E$238,$A268&amp;" ضد "&amp;K$242)+COUNTIF($E$4:$E$238,K$242&amp;" ضد "&amp;$A268))</f>
        <v>0</v>
      </c>
      <c r="L268" s="4">
        <f>IF($A268=L$242,"",COUNTIF($E$4:$E$238,$A268&amp;" ضد "&amp;L$242)+COUNTIF($E$4:$E$238,L$242&amp;" ضد "&amp;$A268))</f>
        <v>0</v>
      </c>
      <c r="M268" s="4">
        <f>IF($A268=M$242,"",COUNTIF($E$4:$E$238,$A268&amp;" ضد "&amp;M$242)+COUNTIF($E$4:$E$238,M$242&amp;" ضد "&amp;$A268))</f>
        <v>0</v>
      </c>
      <c r="N268" s="4">
        <f>IF($A268=N$242,"",COUNTIF($E$4:$E$238,$A268&amp;" ضد "&amp;N$242)+COUNTIF($E$4:$E$238,N$242&amp;" ضد "&amp;$A268))</f>
        <v>0</v>
      </c>
      <c r="O268" s="4">
        <f>IF($A268=O$242,"",COUNTIF($E$4:$E$238,$A268&amp;" ضد "&amp;O$242)+COUNTIF($E$4:$E$238,O$242&amp;" ضد "&amp;$A268))</f>
        <v>0</v>
      </c>
      <c r="P268" s="4">
        <f>IF($A268=P$242,"",COUNTIF($E$4:$E$238,$A268&amp;" ضد "&amp;P$242)+COUNTIF($E$4:$E$238,P$242&amp;" ضد "&amp;$A268))</f>
        <v>2</v>
      </c>
      <c r="Q268" s="4">
        <f>IF($A268=Q$242,"",COUNTIF($E$4:$E$238,$A268&amp;" ضد "&amp;Q$242)+COUNTIF($E$4:$E$238,Q$242&amp;" ضد "&amp;$A268))</f>
        <v>2</v>
      </c>
      <c r="R268" s="4">
        <f>IF($A268=R$242,"",COUNTIF($E$4:$E$238,$A268&amp;" ضد "&amp;R$242)+COUNTIF($E$4:$E$238,R$242&amp;" ضد "&amp;$A268))</f>
        <v>1</v>
      </c>
      <c r="S268" s="4">
        <f>IF($A268=S$242,"",COUNTIF($E$4:$E$238,$A268&amp;" ضد "&amp;S$242)+COUNTIF($E$4:$E$238,S$242&amp;" ضد "&amp;$A268))</f>
        <v>2</v>
      </c>
      <c r="T268" s="4">
        <f>IF($A268=T$242,"",COUNTIF($E$4:$E$238,$A268&amp;" ضد "&amp;T$242)+COUNTIF($E$4:$E$238,T$242&amp;" ضد "&amp;$A268))</f>
        <v>1</v>
      </c>
      <c r="U268" s="4">
        <f>IF($A268=U$242,"",COUNTIF($E$4:$E$238,$A268&amp;" ضد "&amp;U$242)+COUNTIF($E$4:$E$238,U$242&amp;" ضد "&amp;$A268))</f>
        <v>2</v>
      </c>
      <c r="V268" s="4">
        <f>IF($A268=V$242,"",COUNTIF($E$4:$E$238,$A268&amp;" ضد "&amp;V$242)+COUNTIF($E$4:$E$238,V$242&amp;" ضد "&amp;$A268))</f>
        <v>1</v>
      </c>
      <c r="W268" s="4">
        <f>IF($A268=W$242,"",COUNTIF($E$4:$E$238,$A268&amp;" ضد "&amp;W$242)+COUNTIF($E$4:$E$238,W$242&amp;" ضد "&amp;$A268))</f>
        <v>2</v>
      </c>
      <c r="X268" s="4">
        <f>IF($A268=X$242,"",COUNTIF($E$4:$E$238,$A268&amp;" ضد "&amp;X$242)+COUNTIF($E$4:$E$238,X$242&amp;" ضد "&amp;$A268))</f>
        <v>1</v>
      </c>
      <c r="Y268" s="4">
        <f>IF($A268=Y$242,"",COUNTIF($E$4:$E$238,$A268&amp;" ضد "&amp;Y$242)+COUNTIF($E$4:$E$238,Y$242&amp;" ضد "&amp;$A268))</f>
        <v>2</v>
      </c>
      <c r="Z268" s="4">
        <f>IF($A268=Z$242,"",COUNTIF($E$4:$E$238,$A268&amp;" ضد "&amp;Z$242)+COUNTIF($E$4:$E$238,Z$242&amp;" ضد "&amp;$A268))</f>
        <v>2</v>
      </c>
      <c r="AA268" s="4" t="str">
        <f>IF($A268=AA$242,"",COUNTIF($E$4:$E$238,$A268&amp;" ضد "&amp;AA$242)+COUNTIF($E$4:$E$238,AA$242&amp;" ضد "&amp;$A268))</f>
        <v/>
      </c>
    </row>
    <row r="269" spans="1:27" ht="14.5">
      <c r="A269" s="14" t="s">
        <v>1033</v>
      </c>
      <c r="B269" s="4" cm="1">
        <f t="array" ref="B269">MIN(IF(B243:AA268&gt;0,B243:AA268))</f>
        <v>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5">
      <c r="A270" s="14" t="s">
        <v>830</v>
      </c>
      <c r="B270" s="4">
        <f>MAX(B243:AA268)</f>
        <v>2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</sheetData>
  <mergeCells count="2">
    <mergeCell ref="A1:E1"/>
    <mergeCell ref="A241:AA24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EB8-7085-4D72-BDD7-95300D7E0F2B}">
  <dimension ref="A1:AB28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998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30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110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47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58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111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37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65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227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5</v>
      </c>
      <c r="D12" s="7" t="s">
        <v>594</v>
      </c>
      <c r="E12" s="7" t="s">
        <v>223</v>
      </c>
      <c r="F12" s="2"/>
    </row>
    <row r="13" spans="1:6" ht="14" customHeight="1">
      <c r="A13" s="8">
        <v>1</v>
      </c>
      <c r="B13" s="7" t="str">
        <f>المدخلات!$F$5</f>
        <v>5:20–6:30 م</v>
      </c>
      <c r="C13" s="7">
        <v>4</v>
      </c>
      <c r="D13" s="7" t="s">
        <v>594</v>
      </c>
      <c r="E13" s="7" t="s">
        <v>322</v>
      </c>
      <c r="F13" s="2"/>
    </row>
    <row r="14" spans="1:6" ht="14" customHeight="1">
      <c r="A14" s="8">
        <v>1</v>
      </c>
      <c r="B14" s="7" t="str">
        <f>المدخلات!$F$5</f>
        <v>5:20–6:30 م</v>
      </c>
      <c r="C14" s="7">
        <v>5</v>
      </c>
      <c r="D14" s="7" t="s">
        <v>594</v>
      </c>
      <c r="E14" s="7" t="s">
        <v>231</v>
      </c>
      <c r="F14" s="2"/>
    </row>
    <row r="15" spans="1:6" ht="14" customHeight="1">
      <c r="A15" s="8">
        <v>1</v>
      </c>
      <c r="B15" s="7" t="str">
        <f>المدخلات!$F$6</f>
        <v>6:40–7:50 م</v>
      </c>
      <c r="C15" s="7">
        <v>4</v>
      </c>
      <c r="D15" s="7" t="s">
        <v>594</v>
      </c>
      <c r="E15" s="7" t="s">
        <v>873</v>
      </c>
      <c r="F15" s="2"/>
    </row>
    <row r="16" spans="1:6" ht="14" customHeight="1">
      <c r="A16" s="8">
        <v>1</v>
      </c>
      <c r="B16" s="7" t="str">
        <f>المدخلات!$F$6</f>
        <v>6:40–7:50 م</v>
      </c>
      <c r="C16" s="7">
        <v>5</v>
      </c>
      <c r="D16" s="7" t="s">
        <v>594</v>
      </c>
      <c r="E16" s="7" t="s">
        <v>872</v>
      </c>
      <c r="F16" s="2"/>
    </row>
    <row r="17" spans="1:6" ht="14" customHeight="1">
      <c r="A17" s="8">
        <v>2</v>
      </c>
      <c r="B17" s="7" t="str">
        <f>المدخلات!$F$4</f>
        <v>4:00–5:10 م</v>
      </c>
      <c r="C17" s="7">
        <v>1</v>
      </c>
      <c r="D17" s="7" t="s">
        <v>593</v>
      </c>
      <c r="E17" s="7" t="s">
        <v>1059</v>
      </c>
      <c r="F17" s="2"/>
    </row>
    <row r="18" spans="1:6" ht="14" customHeight="1">
      <c r="A18" s="8">
        <v>2</v>
      </c>
      <c r="B18" s="7" t="str">
        <f>المدخلات!$F$4</f>
        <v>4:00–5:10 م</v>
      </c>
      <c r="C18" s="7">
        <v>2</v>
      </c>
      <c r="D18" s="7" t="s">
        <v>593</v>
      </c>
      <c r="E18" s="7" t="s">
        <v>96</v>
      </c>
      <c r="F18" s="2"/>
    </row>
    <row r="19" spans="1:6" ht="14" customHeight="1">
      <c r="A19" s="8">
        <v>2</v>
      </c>
      <c r="B19" s="7" t="str">
        <f>المدخلات!$F$4</f>
        <v>4:00–5:10 م</v>
      </c>
      <c r="C19" s="7">
        <v>3</v>
      </c>
      <c r="D19" s="7" t="s">
        <v>593</v>
      </c>
      <c r="E19" s="7" t="s">
        <v>1060</v>
      </c>
      <c r="F19" s="2"/>
    </row>
    <row r="20" spans="1:6" ht="14" customHeight="1">
      <c r="A20" s="8">
        <v>2</v>
      </c>
      <c r="B20" s="7" t="str">
        <f>المدخلات!$F$5</f>
        <v>5:20–6:30 م</v>
      </c>
      <c r="C20" s="7">
        <v>1</v>
      </c>
      <c r="D20" s="7" t="s">
        <v>593</v>
      </c>
      <c r="E20" s="7" t="s">
        <v>1064</v>
      </c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2</v>
      </c>
      <c r="D21" s="7" t="s">
        <v>593</v>
      </c>
      <c r="E21" s="7" t="s">
        <v>1050</v>
      </c>
      <c r="F21" s="2"/>
    </row>
    <row r="22" spans="1:6" ht="14" customHeight="1">
      <c r="A22" s="8">
        <v>2</v>
      </c>
      <c r="B22" s="7" t="str">
        <f>المدخلات!$F$5</f>
        <v>5:20–6:30 م</v>
      </c>
      <c r="C22" s="7">
        <v>3</v>
      </c>
      <c r="D22" s="7" t="s">
        <v>593</v>
      </c>
      <c r="E22" s="7" t="s">
        <v>863</v>
      </c>
      <c r="F22" s="2"/>
    </row>
    <row r="23" spans="1:6" ht="14" customHeight="1">
      <c r="A23" s="8">
        <v>2</v>
      </c>
      <c r="B23" s="7" t="str">
        <f>المدخلات!$F$6</f>
        <v>6:40–7:50 م</v>
      </c>
      <c r="C23" s="7">
        <v>1</v>
      </c>
      <c r="D23" s="7" t="s">
        <v>593</v>
      </c>
      <c r="E23" s="7" t="s">
        <v>23</v>
      </c>
      <c r="F23" s="2"/>
    </row>
    <row r="24" spans="1:6" ht="14" customHeight="1">
      <c r="A24" s="8">
        <v>2</v>
      </c>
      <c r="B24" s="7" t="str">
        <f>المدخلات!$F$4</f>
        <v>4:00–5:10 م</v>
      </c>
      <c r="C24" s="7">
        <v>4</v>
      </c>
      <c r="D24" s="7" t="s">
        <v>594</v>
      </c>
      <c r="E24" s="7" t="s">
        <v>1154</v>
      </c>
      <c r="F24" s="2"/>
    </row>
    <row r="25" spans="1:6" ht="14" customHeight="1">
      <c r="A25" s="8">
        <v>2</v>
      </c>
      <c r="B25" s="7" t="str">
        <f>المدخلات!$F$4</f>
        <v>4:00–5:10 م</v>
      </c>
      <c r="C25" s="7">
        <v>5</v>
      </c>
      <c r="D25" s="7" t="s">
        <v>594</v>
      </c>
      <c r="E25" s="7" t="s">
        <v>1153</v>
      </c>
      <c r="F25" s="2"/>
    </row>
    <row r="26" spans="1:6" ht="14" customHeight="1">
      <c r="A26" s="8">
        <v>2</v>
      </c>
      <c r="B26" s="7" t="str">
        <f>المدخلات!$F$5</f>
        <v>5:20–6:30 م</v>
      </c>
      <c r="C26" s="7">
        <v>4</v>
      </c>
      <c r="D26" s="7" t="s">
        <v>594</v>
      </c>
      <c r="E26" s="7" t="s">
        <v>874</v>
      </c>
      <c r="F26" s="2"/>
    </row>
    <row r="27" spans="1:6" ht="14" customHeight="1">
      <c r="A27" s="8">
        <v>2</v>
      </c>
      <c r="B27" s="7" t="str">
        <f>المدخلات!$F$5</f>
        <v>5:20–6:30 م</v>
      </c>
      <c r="C27" s="7">
        <v>5</v>
      </c>
      <c r="D27" s="7" t="s">
        <v>594</v>
      </c>
      <c r="E27" s="7" t="s">
        <v>210</v>
      </c>
      <c r="F27" s="2"/>
    </row>
    <row r="28" spans="1:6" ht="14" customHeight="1">
      <c r="A28" s="8">
        <v>2</v>
      </c>
      <c r="B28" s="7" t="str">
        <f>المدخلات!$F$6</f>
        <v>6:40–7:50 م</v>
      </c>
      <c r="C28" s="7">
        <v>4</v>
      </c>
      <c r="D28" s="7" t="s">
        <v>594</v>
      </c>
      <c r="E28" s="7" t="s">
        <v>1147</v>
      </c>
      <c r="F28" s="2"/>
    </row>
    <row r="29" spans="1:6" ht="14" customHeight="1">
      <c r="A29" s="8">
        <v>2</v>
      </c>
      <c r="B29" s="7" t="str">
        <f>المدخلات!$F$6</f>
        <v>6:40–7:50 م</v>
      </c>
      <c r="C29" s="7">
        <v>5</v>
      </c>
      <c r="D29" s="7" t="s">
        <v>594</v>
      </c>
      <c r="E29" s="7" t="s">
        <v>1161</v>
      </c>
      <c r="F29" s="2"/>
    </row>
    <row r="30" spans="1:6" ht="14" customHeight="1">
      <c r="A30" s="8">
        <v>3</v>
      </c>
      <c r="B30" s="7" t="str">
        <f>المدخلات!$F$4</f>
        <v>4:00–5:10 م</v>
      </c>
      <c r="C30" s="7">
        <v>1</v>
      </c>
      <c r="D30" s="7" t="s">
        <v>593</v>
      </c>
      <c r="E30" s="7" t="s">
        <v>62</v>
      </c>
      <c r="F30" s="2"/>
    </row>
    <row r="31" spans="1:6" ht="14" customHeight="1">
      <c r="A31" s="8">
        <v>3</v>
      </c>
      <c r="B31" s="7" t="str">
        <f>المدخلات!$F$4</f>
        <v>4:00–5:10 م</v>
      </c>
      <c r="C31" s="7">
        <v>2</v>
      </c>
      <c r="D31" s="7" t="s">
        <v>593</v>
      </c>
      <c r="E31" s="7" t="s">
        <v>636</v>
      </c>
      <c r="F31" s="2"/>
    </row>
    <row r="32" spans="1:6" ht="14" customHeight="1">
      <c r="A32" s="8">
        <v>3</v>
      </c>
      <c r="B32" s="7" t="str">
        <f>المدخلات!$F$4</f>
        <v>4:00–5:10 م</v>
      </c>
      <c r="C32" s="7">
        <v>3</v>
      </c>
      <c r="D32" s="7" t="s">
        <v>593</v>
      </c>
      <c r="E32" s="7" t="s">
        <v>90</v>
      </c>
      <c r="F32" s="2"/>
    </row>
    <row r="33" spans="1:6" ht="14" customHeight="1">
      <c r="A33" s="8">
        <v>3</v>
      </c>
      <c r="B33" s="7" t="str">
        <f>المدخلات!$F$5</f>
        <v>5:20–6:30 م</v>
      </c>
      <c r="C33" s="7">
        <v>1</v>
      </c>
      <c r="D33" s="7" t="s">
        <v>593</v>
      </c>
      <c r="E33" s="7" t="s">
        <v>26</v>
      </c>
      <c r="F33" s="2"/>
    </row>
    <row r="34" spans="1:6" ht="14" customHeight="1">
      <c r="A34" s="8">
        <v>3</v>
      </c>
      <c r="B34" s="7" t="str">
        <f>المدخلات!$F$5</f>
        <v>5:20–6:30 م</v>
      </c>
      <c r="C34" s="7">
        <v>2</v>
      </c>
      <c r="D34" s="7" t="s">
        <v>593</v>
      </c>
      <c r="E34" s="7" t="s">
        <v>16</v>
      </c>
      <c r="F34" s="2"/>
    </row>
    <row r="35" spans="1:6" ht="14" customHeight="1">
      <c r="A35" s="8">
        <v>3</v>
      </c>
      <c r="B35" s="7" t="str">
        <f>المدخلات!$F$5</f>
        <v>5:20–6:30 م</v>
      </c>
      <c r="C35" s="7">
        <v>3</v>
      </c>
      <c r="D35" s="7" t="s">
        <v>593</v>
      </c>
      <c r="E35" s="7" t="s">
        <v>33</v>
      </c>
      <c r="F35" s="2"/>
    </row>
    <row r="36" spans="1:6" ht="14" customHeight="1">
      <c r="A36" s="8">
        <v>3</v>
      </c>
      <c r="B36" s="7" t="str">
        <f>المدخلات!$F$6</f>
        <v>6:40–7:50 م</v>
      </c>
      <c r="C36" s="7">
        <v>1</v>
      </c>
      <c r="D36" s="7" t="s">
        <v>593</v>
      </c>
      <c r="E36" s="7" t="s">
        <v>40</v>
      </c>
      <c r="F36" s="2"/>
    </row>
    <row r="37" spans="1:6" ht="14" customHeight="1">
      <c r="A37" s="8">
        <v>3</v>
      </c>
      <c r="B37" s="7" t="str">
        <f>المدخلات!$F$4</f>
        <v>4:00–5:10 م</v>
      </c>
      <c r="C37" s="7">
        <v>4</v>
      </c>
      <c r="D37" s="7" t="s">
        <v>594</v>
      </c>
      <c r="E37" s="7" t="s">
        <v>196</v>
      </c>
      <c r="F37" s="2"/>
    </row>
    <row r="38" spans="1:6" ht="14" customHeight="1">
      <c r="A38" s="8">
        <v>3</v>
      </c>
      <c r="B38" s="7" t="str">
        <f>المدخلات!$F$4</f>
        <v>4:00–5:10 م</v>
      </c>
      <c r="C38" s="7">
        <v>5</v>
      </c>
      <c r="D38" s="7" t="s">
        <v>594</v>
      </c>
      <c r="E38" s="7" t="s">
        <v>211</v>
      </c>
      <c r="F38" s="2"/>
    </row>
    <row r="39" spans="1:6" ht="14" customHeight="1">
      <c r="A39" s="8">
        <v>3</v>
      </c>
      <c r="B39" s="7" t="str">
        <f>المدخلات!$F$5</f>
        <v>5:20–6:30 م</v>
      </c>
      <c r="C39" s="7">
        <v>4</v>
      </c>
      <c r="D39" s="7" t="s">
        <v>594</v>
      </c>
      <c r="E39" s="7" t="s">
        <v>848</v>
      </c>
      <c r="F39" s="2"/>
    </row>
    <row r="40" spans="1:6" ht="14" customHeight="1">
      <c r="A40" s="8">
        <v>3</v>
      </c>
      <c r="B40" s="7" t="str">
        <f>المدخلات!$F$5</f>
        <v>5:20–6:30 م</v>
      </c>
      <c r="C40" s="7">
        <v>5</v>
      </c>
      <c r="D40" s="7" t="s">
        <v>594</v>
      </c>
      <c r="E40" s="7" t="s">
        <v>225</v>
      </c>
      <c r="F40" s="2"/>
    </row>
    <row r="41" spans="1:6" ht="14" customHeight="1">
      <c r="A41" s="8">
        <v>3</v>
      </c>
      <c r="B41" s="7" t="str">
        <f>المدخلات!$F$6</f>
        <v>6:40–7:50 م</v>
      </c>
      <c r="C41" s="7">
        <v>4</v>
      </c>
      <c r="D41" s="7" t="s">
        <v>594</v>
      </c>
      <c r="E41" s="7" t="s">
        <v>747</v>
      </c>
      <c r="F41" s="2"/>
    </row>
    <row r="42" spans="1:6" ht="14" customHeight="1">
      <c r="A42" s="8">
        <v>3</v>
      </c>
      <c r="B42" s="7" t="str">
        <f>المدخلات!$F$6</f>
        <v>6:40–7:50 م</v>
      </c>
      <c r="C42" s="7">
        <v>5</v>
      </c>
      <c r="D42" s="7" t="s">
        <v>594</v>
      </c>
      <c r="E42" s="7" t="s">
        <v>878</v>
      </c>
      <c r="F42" s="2"/>
    </row>
    <row r="43" spans="1:6" ht="14" customHeight="1">
      <c r="A43" s="8">
        <v>4</v>
      </c>
      <c r="B43" s="7" t="str">
        <f>المدخلات!$F$4</f>
        <v>4:00–5:10 م</v>
      </c>
      <c r="C43" s="7">
        <v>1</v>
      </c>
      <c r="D43" s="7" t="s">
        <v>593</v>
      </c>
      <c r="E43" s="7" t="s">
        <v>12</v>
      </c>
      <c r="F43" s="2"/>
    </row>
    <row r="44" spans="1:6" ht="14" customHeight="1">
      <c r="A44" s="8">
        <v>4</v>
      </c>
      <c r="B44" s="7" t="str">
        <f>المدخلات!$F$4</f>
        <v>4:00–5:10 م</v>
      </c>
      <c r="C44" s="7">
        <v>2</v>
      </c>
      <c r="D44" s="7" t="s">
        <v>593</v>
      </c>
      <c r="E44" s="7" t="s">
        <v>10</v>
      </c>
      <c r="F44" s="2"/>
    </row>
    <row r="45" spans="1:6" ht="14" customHeight="1">
      <c r="A45" s="8">
        <v>4</v>
      </c>
      <c r="B45" s="7" t="str">
        <f>المدخلات!$F$4</f>
        <v>4:00–5:10 م</v>
      </c>
      <c r="C45" s="7">
        <v>3</v>
      </c>
      <c r="D45" s="7" t="s">
        <v>593</v>
      </c>
      <c r="E45" s="7" t="s">
        <v>54</v>
      </c>
      <c r="F45" s="2"/>
    </row>
    <row r="46" spans="1:6" ht="14" customHeight="1">
      <c r="A46" s="8">
        <v>4</v>
      </c>
      <c r="B46" s="7" t="str">
        <f>المدخلات!$F$5</f>
        <v>5:20–6:30 م</v>
      </c>
      <c r="C46" s="7">
        <v>1</v>
      </c>
      <c r="D46" s="7" t="s">
        <v>593</v>
      </c>
      <c r="E46" s="7" t="s">
        <v>64</v>
      </c>
      <c r="F46" s="2"/>
    </row>
    <row r="47" spans="1:6" ht="14" customHeight="1">
      <c r="A47" s="8">
        <v>4</v>
      </c>
      <c r="B47" s="7" t="str">
        <f>المدخلات!$F$5</f>
        <v>5:20–6:30 م</v>
      </c>
      <c r="C47" s="7">
        <v>2</v>
      </c>
      <c r="D47" s="7" t="s">
        <v>593</v>
      </c>
      <c r="E47" s="7" t="s">
        <v>1045</v>
      </c>
      <c r="F47" s="2"/>
    </row>
    <row r="48" spans="1:6" ht="14" customHeight="1">
      <c r="A48" s="8">
        <v>4</v>
      </c>
      <c r="B48" s="7" t="str">
        <f>المدخلات!$F$5</f>
        <v>5:20–6:30 م</v>
      </c>
      <c r="C48" s="7">
        <v>3</v>
      </c>
      <c r="D48" s="7" t="s">
        <v>593</v>
      </c>
      <c r="E48" s="7" t="s">
        <v>91</v>
      </c>
      <c r="F48" s="2"/>
    </row>
    <row r="49" spans="1:6" ht="14" customHeight="1">
      <c r="A49" s="8">
        <v>4</v>
      </c>
      <c r="B49" s="7" t="str">
        <f>المدخلات!$F$6</f>
        <v>6:40–7:50 م</v>
      </c>
      <c r="C49" s="7">
        <v>1</v>
      </c>
      <c r="D49" s="7" t="s">
        <v>593</v>
      </c>
      <c r="E49" s="7" t="s">
        <v>95</v>
      </c>
      <c r="F49" s="2"/>
    </row>
    <row r="50" spans="1:6" ht="14" customHeight="1">
      <c r="A50" s="8">
        <v>4</v>
      </c>
      <c r="B50" s="7" t="str">
        <f>المدخلات!$F$4</f>
        <v>4:00–5:10 م</v>
      </c>
      <c r="C50" s="7">
        <v>4</v>
      </c>
      <c r="D50" s="7" t="s">
        <v>594</v>
      </c>
      <c r="E50" s="7" t="s">
        <v>249</v>
      </c>
      <c r="F50" s="2"/>
    </row>
    <row r="51" spans="1:6" ht="14" customHeight="1">
      <c r="A51" s="8">
        <v>4</v>
      </c>
      <c r="B51" s="7" t="str">
        <f>المدخلات!$F$4</f>
        <v>4:00–5:10 م</v>
      </c>
      <c r="C51" s="7">
        <v>5</v>
      </c>
      <c r="D51" s="7" t="s">
        <v>594</v>
      </c>
      <c r="E51" s="7" t="s">
        <v>177</v>
      </c>
      <c r="F51" s="2"/>
    </row>
    <row r="52" spans="1:6" ht="14" customHeight="1">
      <c r="A52" s="8">
        <v>4</v>
      </c>
      <c r="B52" s="7" t="str">
        <f>المدخلات!$F$5</f>
        <v>5:20–6:30 م</v>
      </c>
      <c r="C52" s="7">
        <v>4</v>
      </c>
      <c r="D52" s="7" t="s">
        <v>594</v>
      </c>
      <c r="E52" s="7" t="s">
        <v>241</v>
      </c>
      <c r="F52" s="2"/>
    </row>
    <row r="53" spans="1:6" ht="14" customHeight="1">
      <c r="A53" s="8">
        <v>4</v>
      </c>
      <c r="B53" s="7" t="str">
        <f>المدخلات!$F$5</f>
        <v>5:20–6:30 م</v>
      </c>
      <c r="C53" s="7">
        <v>5</v>
      </c>
      <c r="D53" s="7" t="s">
        <v>594</v>
      </c>
      <c r="E53" s="7" t="s">
        <v>868</v>
      </c>
      <c r="F53" s="2"/>
    </row>
    <row r="54" spans="1:6" ht="14" customHeight="1">
      <c r="A54" s="8">
        <v>4</v>
      </c>
      <c r="B54" s="7" t="str">
        <f>المدخلات!$F$6</f>
        <v>6:40–7:50 م</v>
      </c>
      <c r="C54" s="7">
        <v>4</v>
      </c>
      <c r="D54" s="7" t="s">
        <v>594</v>
      </c>
      <c r="E54" s="7" t="s">
        <v>1149</v>
      </c>
      <c r="F54" s="2"/>
    </row>
    <row r="55" spans="1:6" ht="14" customHeight="1">
      <c r="A55" s="8">
        <v>4</v>
      </c>
      <c r="B55" s="7" t="str">
        <f>المدخلات!$F$6</f>
        <v>6:40–7:50 م</v>
      </c>
      <c r="C55" s="7">
        <v>5</v>
      </c>
      <c r="D55" s="7" t="s">
        <v>594</v>
      </c>
      <c r="E55" s="7" t="s">
        <v>197</v>
      </c>
      <c r="F55" s="2"/>
    </row>
    <row r="56" spans="1:6" ht="14" customHeight="1">
      <c r="A56" s="8">
        <v>5</v>
      </c>
      <c r="B56" s="7" t="str">
        <f>المدخلات!$F$4</f>
        <v>4:00–5:10 م</v>
      </c>
      <c r="C56" s="7">
        <v>1</v>
      </c>
      <c r="D56" s="7" t="s">
        <v>593</v>
      </c>
      <c r="E56" s="7" t="s">
        <v>723</v>
      </c>
      <c r="F56" s="2"/>
    </row>
    <row r="57" spans="1:6" ht="14" customHeight="1">
      <c r="A57" s="8">
        <v>5</v>
      </c>
      <c r="B57" s="7" t="str">
        <f>المدخلات!$F$4</f>
        <v>4:00–5:10 م</v>
      </c>
      <c r="C57" s="7">
        <v>2</v>
      </c>
      <c r="D57" s="7" t="s">
        <v>593</v>
      </c>
      <c r="E57" s="7" t="s">
        <v>722</v>
      </c>
      <c r="F57" s="2"/>
    </row>
    <row r="58" spans="1:6" ht="14" customHeight="1">
      <c r="A58" s="8">
        <v>5</v>
      </c>
      <c r="B58" s="7" t="str">
        <f>المدخلات!$F$4</f>
        <v>4:00–5:10 م</v>
      </c>
      <c r="C58" s="7">
        <v>3</v>
      </c>
      <c r="D58" s="7" t="s">
        <v>593</v>
      </c>
      <c r="E58" s="7" t="s">
        <v>19</v>
      </c>
      <c r="F58" s="2"/>
    </row>
    <row r="59" spans="1:6" ht="14" customHeight="1">
      <c r="A59" s="8">
        <v>5</v>
      </c>
      <c r="B59" s="7" t="str">
        <f>المدخلات!$F$5</f>
        <v>5:20–6:30 م</v>
      </c>
      <c r="C59" s="7">
        <v>1</v>
      </c>
      <c r="D59" s="7" t="s">
        <v>593</v>
      </c>
      <c r="E59" s="7" t="s">
        <v>52</v>
      </c>
      <c r="F59" s="2"/>
    </row>
    <row r="60" spans="1:6" ht="14" customHeight="1">
      <c r="A60" s="8">
        <v>5</v>
      </c>
      <c r="B60" s="7" t="str">
        <f>المدخلات!$F$5</f>
        <v>5:20–6:30 م</v>
      </c>
      <c r="C60" s="7">
        <v>2</v>
      </c>
      <c r="D60" s="7" t="s">
        <v>593</v>
      </c>
      <c r="E60" s="7" t="s">
        <v>7</v>
      </c>
      <c r="F60" s="2"/>
    </row>
    <row r="61" spans="1:6" ht="14" customHeight="1">
      <c r="A61" s="8">
        <v>5</v>
      </c>
      <c r="B61" s="7" t="str">
        <f>المدخلات!$F$5</f>
        <v>5:20–6:30 م</v>
      </c>
      <c r="C61" s="7">
        <v>3</v>
      </c>
      <c r="D61" s="7" t="s">
        <v>593</v>
      </c>
      <c r="E61" s="7" t="s">
        <v>724</v>
      </c>
      <c r="F61" s="2"/>
    </row>
    <row r="62" spans="1:6" ht="14" customHeight="1">
      <c r="A62" s="8">
        <v>5</v>
      </c>
      <c r="B62" s="7" t="str">
        <f>المدخلات!$F$6</f>
        <v>6:40–7:50 م</v>
      </c>
      <c r="C62" s="7">
        <v>1</v>
      </c>
      <c r="D62" s="7" t="s">
        <v>593</v>
      </c>
      <c r="E62" s="7" t="s">
        <v>1054</v>
      </c>
      <c r="F62" s="2"/>
    </row>
    <row r="63" spans="1:6" ht="14" customHeight="1">
      <c r="A63" s="8">
        <v>5</v>
      </c>
      <c r="B63" s="7" t="str">
        <f>المدخلات!$F$4</f>
        <v>4:00–5:10 م</v>
      </c>
      <c r="C63" s="7">
        <v>4</v>
      </c>
      <c r="D63" s="7" t="s">
        <v>594</v>
      </c>
      <c r="E63" s="7" t="s">
        <v>242</v>
      </c>
      <c r="F63" s="2"/>
    </row>
    <row r="64" spans="1:6" ht="14" customHeight="1">
      <c r="A64" s="8">
        <v>5</v>
      </c>
      <c r="B64" s="7" t="str">
        <f>المدخلات!$F$4</f>
        <v>4:00–5:10 م</v>
      </c>
      <c r="C64" s="7">
        <v>5</v>
      </c>
      <c r="D64" s="7" t="s">
        <v>594</v>
      </c>
      <c r="E64" s="7" t="s">
        <v>178</v>
      </c>
      <c r="F64" s="2"/>
    </row>
    <row r="65" spans="1:6" ht="14" customHeight="1">
      <c r="A65" s="8">
        <v>5</v>
      </c>
      <c r="B65" s="7" t="str">
        <f>المدخلات!$F$5</f>
        <v>5:20–6:30 م</v>
      </c>
      <c r="C65" s="7">
        <v>4</v>
      </c>
      <c r="D65" s="7" t="s">
        <v>594</v>
      </c>
      <c r="E65" s="7" t="s">
        <v>161</v>
      </c>
      <c r="F65" s="2"/>
    </row>
    <row r="66" spans="1:6" ht="14" customHeight="1">
      <c r="A66" s="8">
        <v>5</v>
      </c>
      <c r="B66" s="7" t="str">
        <f>المدخلات!$F$5</f>
        <v>5:20–6:30 م</v>
      </c>
      <c r="C66" s="7">
        <v>5</v>
      </c>
      <c r="D66" s="7" t="s">
        <v>594</v>
      </c>
      <c r="E66" s="7" t="s">
        <v>795</v>
      </c>
      <c r="F66" s="2"/>
    </row>
    <row r="67" spans="1:6" ht="14" customHeight="1">
      <c r="A67" s="8">
        <v>5</v>
      </c>
      <c r="B67" s="7" t="str">
        <f>المدخلات!$F$6</f>
        <v>6:40–7:50 م</v>
      </c>
      <c r="C67" s="7">
        <v>4</v>
      </c>
      <c r="D67" s="7" t="s">
        <v>594</v>
      </c>
      <c r="E67" s="7" t="s">
        <v>858</v>
      </c>
      <c r="F67" s="2"/>
    </row>
    <row r="68" spans="1:6" ht="14" customHeight="1">
      <c r="A68" s="8">
        <v>5</v>
      </c>
      <c r="B68" s="7" t="str">
        <f>المدخلات!$F$6</f>
        <v>6:40–7:50 م</v>
      </c>
      <c r="C68" s="7">
        <v>5</v>
      </c>
      <c r="D68" s="7" t="s">
        <v>594</v>
      </c>
      <c r="E68" s="7" t="s">
        <v>793</v>
      </c>
      <c r="F68" s="2"/>
    </row>
    <row r="69" spans="1:6" ht="14" customHeight="1">
      <c r="A69" s="8">
        <v>6</v>
      </c>
      <c r="B69" s="7" t="str">
        <f>المدخلات!$F$4</f>
        <v>4:00–5:10 م</v>
      </c>
      <c r="C69" s="7">
        <v>1</v>
      </c>
      <c r="D69" s="7" t="s">
        <v>593</v>
      </c>
      <c r="E69" s="7" t="s">
        <v>36</v>
      </c>
      <c r="F69" s="2"/>
    </row>
    <row r="70" spans="1:6" ht="14" customHeight="1">
      <c r="A70" s="8">
        <v>6</v>
      </c>
      <c r="B70" s="7" t="str">
        <f>المدخلات!$F$4</f>
        <v>4:00–5:10 م</v>
      </c>
      <c r="C70" s="7">
        <v>2</v>
      </c>
      <c r="D70" s="7" t="s">
        <v>593</v>
      </c>
      <c r="E70" s="7" t="s">
        <v>17</v>
      </c>
      <c r="F70" s="2"/>
    </row>
    <row r="71" spans="1:6" ht="14" customHeight="1">
      <c r="A71" s="8">
        <v>6</v>
      </c>
      <c r="B71" s="7" t="str">
        <f>المدخلات!$F$4</f>
        <v>4:00–5:10 م</v>
      </c>
      <c r="C71" s="7">
        <v>3</v>
      </c>
      <c r="D71" s="7" t="s">
        <v>593</v>
      </c>
      <c r="E71" s="7" t="s">
        <v>60</v>
      </c>
      <c r="F71" s="2"/>
    </row>
    <row r="72" spans="1:6" ht="14" customHeight="1">
      <c r="A72" s="8">
        <v>6</v>
      </c>
      <c r="B72" s="7" t="str">
        <f>المدخلات!$F$5</f>
        <v>5:20–6:30 م</v>
      </c>
      <c r="C72" s="7">
        <v>1</v>
      </c>
      <c r="D72" s="7" t="s">
        <v>593</v>
      </c>
      <c r="E72" s="7" t="s">
        <v>45</v>
      </c>
      <c r="F72" s="2"/>
    </row>
    <row r="73" spans="1:6" ht="14" customHeight="1">
      <c r="A73" s="8">
        <v>6</v>
      </c>
      <c r="B73" s="7" t="str">
        <f>المدخلات!$F$5</f>
        <v>5:20–6:30 م</v>
      </c>
      <c r="C73" s="7">
        <v>2</v>
      </c>
      <c r="D73" s="7" t="s">
        <v>593</v>
      </c>
      <c r="E73" s="7" t="s">
        <v>69</v>
      </c>
      <c r="F73" s="2"/>
    </row>
    <row r="74" spans="1:6" ht="14" customHeight="1">
      <c r="A74" s="8">
        <v>6</v>
      </c>
      <c r="B74" s="7" t="str">
        <f>المدخلات!$F$5</f>
        <v>5:20–6:30 م</v>
      </c>
      <c r="C74" s="7">
        <v>3</v>
      </c>
      <c r="D74" s="7" t="s">
        <v>593</v>
      </c>
      <c r="E74" s="7" t="s">
        <v>744</v>
      </c>
      <c r="F74" s="2"/>
    </row>
    <row r="75" spans="1:6" ht="14" customHeight="1">
      <c r="A75" s="8">
        <v>6</v>
      </c>
      <c r="B75" s="7" t="str">
        <f>المدخلات!$F$6</f>
        <v>6:40–7:50 م</v>
      </c>
      <c r="C75" s="7">
        <v>1</v>
      </c>
      <c r="D75" s="7" t="s">
        <v>593</v>
      </c>
      <c r="E75" s="7" t="s">
        <v>123</v>
      </c>
      <c r="F75" s="2"/>
    </row>
    <row r="76" spans="1:6" ht="14" customHeight="1">
      <c r="A76" s="8">
        <v>6</v>
      </c>
      <c r="B76" s="7" t="str">
        <f>المدخلات!$F$4</f>
        <v>4:00–5:10 م</v>
      </c>
      <c r="C76" s="7">
        <v>4</v>
      </c>
      <c r="D76" s="7" t="s">
        <v>594</v>
      </c>
      <c r="E76" s="7" t="s">
        <v>839</v>
      </c>
      <c r="F76" s="2"/>
    </row>
    <row r="77" spans="1:6" ht="14" customHeight="1">
      <c r="A77" s="8">
        <v>6</v>
      </c>
      <c r="B77" s="7" t="str">
        <f>المدخلات!$F$4</f>
        <v>4:00–5:10 م</v>
      </c>
      <c r="C77" s="7">
        <v>5</v>
      </c>
      <c r="D77" s="7" t="s">
        <v>594</v>
      </c>
      <c r="E77" s="7" t="s">
        <v>237</v>
      </c>
      <c r="F77" s="2"/>
    </row>
    <row r="78" spans="1:6" ht="14" customHeight="1">
      <c r="A78" s="8">
        <v>6</v>
      </c>
      <c r="B78" s="7" t="str">
        <f>المدخلات!$F$5</f>
        <v>5:20–6:30 م</v>
      </c>
      <c r="C78" s="7">
        <v>4</v>
      </c>
      <c r="D78" s="7" t="s">
        <v>594</v>
      </c>
      <c r="E78" s="7" t="s">
        <v>807</v>
      </c>
      <c r="F78" s="2"/>
    </row>
    <row r="79" spans="1:6" ht="14" customHeight="1">
      <c r="A79" s="8">
        <v>6</v>
      </c>
      <c r="B79" s="7" t="str">
        <f>المدخلات!$F$5</f>
        <v>5:20–6:30 م</v>
      </c>
      <c r="C79" s="7">
        <v>5</v>
      </c>
      <c r="D79" s="7" t="s">
        <v>594</v>
      </c>
      <c r="E79" s="7" t="s">
        <v>151</v>
      </c>
      <c r="F79" s="2"/>
    </row>
    <row r="80" spans="1:6" ht="14" customHeight="1">
      <c r="A80" s="8">
        <v>6</v>
      </c>
      <c r="B80" s="7" t="str">
        <f>المدخلات!$F$6</f>
        <v>6:40–7:50 م</v>
      </c>
      <c r="C80" s="7">
        <v>4</v>
      </c>
      <c r="D80" s="7" t="s">
        <v>594</v>
      </c>
      <c r="E80" s="7" t="s">
        <v>232</v>
      </c>
      <c r="F80" s="2"/>
    </row>
    <row r="81" spans="1:6" ht="14" customHeight="1">
      <c r="A81" s="8">
        <v>6</v>
      </c>
      <c r="B81" s="7" t="str">
        <f>المدخلات!$F$6</f>
        <v>6:40–7:50 م</v>
      </c>
      <c r="C81" s="7">
        <v>5</v>
      </c>
      <c r="D81" s="7" t="s">
        <v>594</v>
      </c>
      <c r="E81" s="7" t="s">
        <v>1162</v>
      </c>
      <c r="F81" s="2"/>
    </row>
    <row r="82" spans="1:6" ht="14" customHeight="1">
      <c r="A82" s="8">
        <v>7</v>
      </c>
      <c r="B82" s="7" t="str">
        <f>المدخلات!$F$4</f>
        <v>4:00–5:10 م</v>
      </c>
      <c r="C82" s="7">
        <v>1</v>
      </c>
      <c r="D82" s="7" t="s">
        <v>593</v>
      </c>
      <c r="E82" s="7" t="s">
        <v>51</v>
      </c>
      <c r="F82" s="2"/>
    </row>
    <row r="83" spans="1:6" ht="14" customHeight="1">
      <c r="A83" s="8">
        <v>7</v>
      </c>
      <c r="B83" s="7" t="str">
        <f>المدخلات!$F$4</f>
        <v>4:00–5:10 م</v>
      </c>
      <c r="C83" s="7">
        <v>2</v>
      </c>
      <c r="D83" s="7" t="s">
        <v>593</v>
      </c>
      <c r="E83" s="7" t="s">
        <v>1049</v>
      </c>
      <c r="F83" s="2"/>
    </row>
    <row r="84" spans="1:6" ht="14" customHeight="1">
      <c r="A84" s="8">
        <v>7</v>
      </c>
      <c r="B84" s="7" t="str">
        <f>المدخلات!$F$4</f>
        <v>4:00–5:10 م</v>
      </c>
      <c r="C84" s="7">
        <v>3</v>
      </c>
      <c r="D84" s="7" t="s">
        <v>593</v>
      </c>
      <c r="E84" s="7" t="s">
        <v>766</v>
      </c>
      <c r="F84" s="2"/>
    </row>
    <row r="85" spans="1:6" ht="14" customHeight="1">
      <c r="A85" s="8">
        <v>7</v>
      </c>
      <c r="B85" s="7" t="str">
        <f>المدخلات!$F$5</f>
        <v>5:20–6:30 م</v>
      </c>
      <c r="C85" s="7">
        <v>1</v>
      </c>
      <c r="D85" s="7" t="s">
        <v>593</v>
      </c>
      <c r="E85" s="7" t="s">
        <v>768</v>
      </c>
      <c r="F85" s="2"/>
    </row>
    <row r="86" spans="1:6" ht="14" customHeight="1">
      <c r="A86" s="8">
        <v>7</v>
      </c>
      <c r="B86" s="7" t="str">
        <f>المدخلات!$F$5</f>
        <v>5:20–6:30 م</v>
      </c>
      <c r="C86" s="7">
        <v>2</v>
      </c>
      <c r="D86" s="7" t="s">
        <v>593</v>
      </c>
      <c r="E86" s="7" t="s">
        <v>42</v>
      </c>
      <c r="F86" s="2"/>
    </row>
    <row r="87" spans="1:6" ht="14" customHeight="1">
      <c r="A87" s="8">
        <v>7</v>
      </c>
      <c r="B87" s="7" t="str">
        <f>المدخلات!$F$5</f>
        <v>5:20–6:30 م</v>
      </c>
      <c r="C87" s="7">
        <v>3</v>
      </c>
      <c r="D87" s="7" t="s">
        <v>593</v>
      </c>
      <c r="E87" s="7" t="s">
        <v>769</v>
      </c>
      <c r="F87" s="2"/>
    </row>
    <row r="88" spans="1:6" ht="14" customHeight="1">
      <c r="A88" s="8">
        <v>7</v>
      </c>
      <c r="B88" s="7" t="str">
        <f>المدخلات!$F$6</f>
        <v>6:40–7:50 م</v>
      </c>
      <c r="C88" s="7">
        <v>1</v>
      </c>
      <c r="D88" s="7" t="s">
        <v>593</v>
      </c>
      <c r="E88" s="7" t="s">
        <v>767</v>
      </c>
      <c r="F88" s="2"/>
    </row>
    <row r="89" spans="1:6" ht="14" customHeight="1">
      <c r="A89" s="8">
        <v>7</v>
      </c>
      <c r="B89" s="7" t="str">
        <f>المدخلات!$F$4</f>
        <v>4:00–5:10 م</v>
      </c>
      <c r="C89" s="7">
        <v>4</v>
      </c>
      <c r="D89" s="7" t="s">
        <v>594</v>
      </c>
      <c r="E89" s="7" t="s">
        <v>875</v>
      </c>
      <c r="F89" s="2"/>
    </row>
    <row r="90" spans="1:6" ht="14" customHeight="1">
      <c r="A90" s="8">
        <v>7</v>
      </c>
      <c r="B90" s="7" t="str">
        <f>المدخلات!$F$4</f>
        <v>4:00–5:10 م</v>
      </c>
      <c r="C90" s="7">
        <v>5</v>
      </c>
      <c r="D90" s="7" t="s">
        <v>594</v>
      </c>
      <c r="E90" s="7" t="s">
        <v>233</v>
      </c>
      <c r="F90" s="2"/>
    </row>
    <row r="91" spans="1:6" ht="14" customHeight="1">
      <c r="A91" s="8">
        <v>7</v>
      </c>
      <c r="B91" s="7" t="str">
        <f>المدخلات!$F$5</f>
        <v>5:20–6:30 م</v>
      </c>
      <c r="C91" s="7">
        <v>4</v>
      </c>
      <c r="D91" s="7" t="s">
        <v>594</v>
      </c>
      <c r="E91" s="7" t="s">
        <v>226</v>
      </c>
      <c r="F91" s="2"/>
    </row>
    <row r="92" spans="1:6" ht="14" customHeight="1">
      <c r="A92" s="8">
        <v>7</v>
      </c>
      <c r="B92" s="7" t="str">
        <f>المدخلات!$F$5</f>
        <v>5:20–6:30 م</v>
      </c>
      <c r="C92" s="7">
        <v>5</v>
      </c>
      <c r="D92" s="7" t="s">
        <v>594</v>
      </c>
      <c r="E92" s="7" t="s">
        <v>815</v>
      </c>
      <c r="F92" s="2"/>
    </row>
    <row r="93" spans="1:6" ht="14" customHeight="1">
      <c r="A93" s="8">
        <v>7</v>
      </c>
      <c r="B93" s="7" t="str">
        <f>المدخلات!$F$6</f>
        <v>6:40–7:50 م</v>
      </c>
      <c r="C93" s="7">
        <v>4</v>
      </c>
      <c r="D93" s="7" t="s">
        <v>594</v>
      </c>
      <c r="E93" s="7" t="s">
        <v>229</v>
      </c>
      <c r="F93" s="2"/>
    </row>
    <row r="94" spans="1:6" ht="14" customHeight="1">
      <c r="A94" s="8">
        <v>7</v>
      </c>
      <c r="B94" s="7" t="str">
        <f>المدخلات!$F$6</f>
        <v>6:40–7:50 م</v>
      </c>
      <c r="C94" s="7">
        <v>5</v>
      </c>
      <c r="D94" s="7" t="s">
        <v>594</v>
      </c>
      <c r="E94" s="7" t="s">
        <v>870</v>
      </c>
      <c r="F94" s="2"/>
    </row>
    <row r="95" spans="1:6" ht="14" customHeight="1">
      <c r="A95" s="8">
        <v>8</v>
      </c>
      <c r="B95" s="7" t="str">
        <f>المدخلات!$F$4</f>
        <v>4:00–5:10 م</v>
      </c>
      <c r="C95" s="7">
        <v>1</v>
      </c>
      <c r="D95" s="7" t="s">
        <v>593</v>
      </c>
      <c r="E95" s="7" t="s">
        <v>38</v>
      </c>
      <c r="F95" s="2"/>
    </row>
    <row r="96" spans="1:6" ht="14" customHeight="1">
      <c r="A96" s="8">
        <v>8</v>
      </c>
      <c r="B96" s="7" t="str">
        <f>المدخلات!$F$4</f>
        <v>4:00–5:10 م</v>
      </c>
      <c r="C96" s="7">
        <v>2</v>
      </c>
      <c r="D96" s="7" t="s">
        <v>593</v>
      </c>
      <c r="E96" s="7" t="s">
        <v>28</v>
      </c>
      <c r="F96" s="2"/>
    </row>
    <row r="97" spans="1:6" ht="14" customHeight="1">
      <c r="A97" s="8">
        <v>8</v>
      </c>
      <c r="B97" s="7" t="str">
        <f>المدخلات!$F$4</f>
        <v>4:00–5:10 م</v>
      </c>
      <c r="C97" s="7">
        <v>3</v>
      </c>
      <c r="D97" s="7" t="s">
        <v>593</v>
      </c>
      <c r="E97" s="7" t="s">
        <v>98</v>
      </c>
      <c r="F97" s="2"/>
    </row>
    <row r="98" spans="1:6" ht="14" customHeight="1">
      <c r="A98" s="8">
        <v>8</v>
      </c>
      <c r="B98" s="7" t="str">
        <f>المدخلات!$F$5</f>
        <v>5:20–6:30 م</v>
      </c>
      <c r="C98" s="7">
        <v>1</v>
      </c>
      <c r="D98" s="7" t="s">
        <v>593</v>
      </c>
      <c r="E98" s="7" t="s">
        <v>25</v>
      </c>
      <c r="F98" s="2"/>
    </row>
    <row r="99" spans="1:6" ht="14" customHeight="1">
      <c r="A99" s="8">
        <v>8</v>
      </c>
      <c r="B99" s="7" t="str">
        <f>المدخلات!$F$5</f>
        <v>5:20–6:30 م</v>
      </c>
      <c r="C99" s="7">
        <v>2</v>
      </c>
      <c r="D99" s="7" t="s">
        <v>593</v>
      </c>
      <c r="E99" s="7" t="s">
        <v>792</v>
      </c>
      <c r="F99" s="2"/>
    </row>
    <row r="100" spans="1:6" ht="14" customHeight="1">
      <c r="A100" s="8">
        <v>8</v>
      </c>
      <c r="B100" s="7" t="str">
        <f>المدخلات!$F$5</f>
        <v>5:20–6:30 م</v>
      </c>
      <c r="C100" s="7">
        <v>3</v>
      </c>
      <c r="D100" s="7" t="s">
        <v>593</v>
      </c>
      <c r="E100" s="7" t="s">
        <v>48</v>
      </c>
      <c r="F100" s="2"/>
    </row>
    <row r="101" spans="1:6" ht="14" customHeight="1">
      <c r="A101" s="8">
        <v>8</v>
      </c>
      <c r="B101" s="7" t="str">
        <f>المدخلات!$F$6</f>
        <v>6:40–7:50 م</v>
      </c>
      <c r="C101" s="7">
        <v>1</v>
      </c>
      <c r="D101" s="7" t="s">
        <v>593</v>
      </c>
      <c r="E101" s="7" t="s">
        <v>791</v>
      </c>
      <c r="F101" s="2"/>
    </row>
    <row r="102" spans="1:6" ht="14" customHeight="1">
      <c r="A102" s="8">
        <v>8</v>
      </c>
      <c r="B102" s="7" t="str">
        <f>المدخلات!$F$4</f>
        <v>4:00–5:10 م</v>
      </c>
      <c r="C102" s="7">
        <v>4</v>
      </c>
      <c r="D102" s="7" t="s">
        <v>594</v>
      </c>
      <c r="E102" s="7" t="s">
        <v>871</v>
      </c>
      <c r="F102" s="2"/>
    </row>
    <row r="103" spans="1:6" ht="14" customHeight="1">
      <c r="A103" s="8">
        <v>8</v>
      </c>
      <c r="B103" s="7" t="str">
        <f>المدخلات!$F$4</f>
        <v>4:00–5:10 م</v>
      </c>
      <c r="C103" s="7">
        <v>5</v>
      </c>
      <c r="D103" s="7" t="s">
        <v>594</v>
      </c>
      <c r="E103" s="7" t="s">
        <v>207</v>
      </c>
      <c r="F103" s="2"/>
    </row>
    <row r="104" spans="1:6" ht="14" customHeight="1">
      <c r="A104" s="8">
        <v>8</v>
      </c>
      <c r="B104" s="7" t="str">
        <f>المدخلات!$F$5</f>
        <v>5:20–6:30 م</v>
      </c>
      <c r="C104" s="7">
        <v>4</v>
      </c>
      <c r="D104" s="7" t="s">
        <v>594</v>
      </c>
      <c r="E104" s="7" t="s">
        <v>228</v>
      </c>
      <c r="F104" s="2"/>
    </row>
    <row r="105" spans="1:6" ht="14" customHeight="1">
      <c r="A105" s="8">
        <v>8</v>
      </c>
      <c r="B105" s="7" t="str">
        <f>المدخلات!$F$5</f>
        <v>5:20–6:30 م</v>
      </c>
      <c r="C105" s="7">
        <v>5</v>
      </c>
      <c r="D105" s="7" t="s">
        <v>594</v>
      </c>
      <c r="E105" s="7" t="s">
        <v>629</v>
      </c>
      <c r="F105" s="2"/>
    </row>
    <row r="106" spans="1:6" ht="14" customHeight="1">
      <c r="A106" s="8">
        <v>8</v>
      </c>
      <c r="B106" s="7" t="str">
        <f>المدخلات!$F$6</f>
        <v>6:40–7:50 م</v>
      </c>
      <c r="C106" s="7">
        <v>4</v>
      </c>
      <c r="D106" s="7" t="s">
        <v>594</v>
      </c>
      <c r="E106" s="7" t="s">
        <v>219</v>
      </c>
      <c r="F106" s="2"/>
    </row>
    <row r="107" spans="1:6" ht="14" customHeight="1">
      <c r="A107" s="8">
        <v>8</v>
      </c>
      <c r="B107" s="7" t="str">
        <f>المدخلات!$F$6</f>
        <v>6:40–7:50 م</v>
      </c>
      <c r="C107" s="7">
        <v>5</v>
      </c>
      <c r="D107" s="7" t="s">
        <v>594</v>
      </c>
      <c r="E107" s="7" t="s">
        <v>859</v>
      </c>
      <c r="F107" s="2"/>
    </row>
    <row r="108" spans="1:6" ht="14" customHeight="1">
      <c r="A108" s="8">
        <v>9</v>
      </c>
      <c r="B108" s="7" t="str">
        <f>المدخلات!$F$4</f>
        <v>4:00–5:10 م</v>
      </c>
      <c r="C108" s="7">
        <v>1</v>
      </c>
      <c r="D108" s="7" t="s">
        <v>593</v>
      </c>
      <c r="E108" s="7" t="s">
        <v>15</v>
      </c>
      <c r="F108" s="2"/>
    </row>
    <row r="109" spans="1:6" ht="14" customHeight="1">
      <c r="A109" s="8">
        <v>9</v>
      </c>
      <c r="B109" s="7" t="str">
        <f>المدخلات!$F$4</f>
        <v>4:00–5:10 م</v>
      </c>
      <c r="C109" s="7">
        <v>2</v>
      </c>
      <c r="D109" s="7" t="s">
        <v>593</v>
      </c>
      <c r="E109" s="7" t="s">
        <v>24</v>
      </c>
      <c r="F109" s="2"/>
    </row>
    <row r="110" spans="1:6" ht="14" customHeight="1">
      <c r="A110" s="8">
        <v>9</v>
      </c>
      <c r="B110" s="7" t="str">
        <f>المدخلات!$F$4</f>
        <v>4:00–5:10 م</v>
      </c>
      <c r="C110" s="7">
        <v>3</v>
      </c>
      <c r="D110" s="7" t="s">
        <v>593</v>
      </c>
      <c r="E110" s="7" t="s">
        <v>32</v>
      </c>
      <c r="F110" s="2"/>
    </row>
    <row r="111" spans="1:6" ht="14" customHeight="1">
      <c r="A111" s="8">
        <v>9</v>
      </c>
      <c r="B111" s="7" t="str">
        <f>المدخلات!$F$5</f>
        <v>5:20–6:30 م</v>
      </c>
      <c r="C111" s="7">
        <v>1</v>
      </c>
      <c r="D111" s="7" t="s">
        <v>593</v>
      </c>
      <c r="E111" s="7" t="s">
        <v>92</v>
      </c>
      <c r="F111" s="2"/>
    </row>
    <row r="112" spans="1:6" ht="14" customHeight="1">
      <c r="A112" s="8">
        <v>9</v>
      </c>
      <c r="B112" s="7" t="str">
        <f>المدخلات!$F$5</f>
        <v>5:20–6:30 م</v>
      </c>
      <c r="C112" s="7">
        <v>2</v>
      </c>
      <c r="D112" s="7" t="s">
        <v>593</v>
      </c>
      <c r="E112" s="7" t="s">
        <v>99</v>
      </c>
      <c r="F112" s="2"/>
    </row>
    <row r="113" spans="1:6" ht="14" customHeight="1">
      <c r="A113" s="8">
        <v>9</v>
      </c>
      <c r="B113" s="7" t="str">
        <f>المدخلات!$F$5</f>
        <v>5:20–6:30 م</v>
      </c>
      <c r="C113" s="7">
        <v>3</v>
      </c>
      <c r="D113" s="7" t="s">
        <v>593</v>
      </c>
      <c r="E113" s="7" t="s">
        <v>804</v>
      </c>
      <c r="F113" s="2"/>
    </row>
    <row r="114" spans="1:6" ht="14" customHeight="1">
      <c r="A114" s="8">
        <v>9</v>
      </c>
      <c r="B114" s="7" t="str">
        <f>المدخلات!$F$6</f>
        <v>6:40–7:50 م</v>
      </c>
      <c r="C114" s="7">
        <v>1</v>
      </c>
      <c r="D114" s="7" t="s">
        <v>593</v>
      </c>
      <c r="E114" s="7" t="s">
        <v>805</v>
      </c>
      <c r="F114" s="2"/>
    </row>
    <row r="115" spans="1:6" ht="14" customHeight="1">
      <c r="A115" s="8">
        <v>9</v>
      </c>
      <c r="B115" s="7" t="str">
        <f>المدخلات!$F$4</f>
        <v>4:00–5:10 م</v>
      </c>
      <c r="C115" s="7">
        <v>4</v>
      </c>
      <c r="D115" s="7" t="s">
        <v>594</v>
      </c>
      <c r="E115" s="7" t="s">
        <v>220</v>
      </c>
      <c r="F115" s="2"/>
    </row>
    <row r="116" spans="1:6" ht="14" customHeight="1">
      <c r="A116" s="8">
        <v>9</v>
      </c>
      <c r="B116" s="7" t="str">
        <f>المدخلات!$F$4</f>
        <v>4:00–5:10 م</v>
      </c>
      <c r="C116" s="7">
        <v>5</v>
      </c>
      <c r="D116" s="7" t="s">
        <v>594</v>
      </c>
      <c r="E116" s="7" t="s">
        <v>1146</v>
      </c>
      <c r="F116" s="2"/>
    </row>
    <row r="117" spans="1:6" ht="14" customHeight="1">
      <c r="A117" s="8">
        <v>9</v>
      </c>
      <c r="B117" s="7" t="str">
        <f>المدخلات!$F$5</f>
        <v>5:20–6:30 م</v>
      </c>
      <c r="C117" s="7">
        <v>4</v>
      </c>
      <c r="D117" s="7" t="s">
        <v>594</v>
      </c>
      <c r="E117" s="7" t="s">
        <v>1163</v>
      </c>
      <c r="F117" s="2"/>
    </row>
    <row r="118" spans="1:6" ht="14" customHeight="1">
      <c r="A118" s="8">
        <v>9</v>
      </c>
      <c r="B118" s="7" t="str">
        <f>المدخلات!$F$5</f>
        <v>5:20–6:30 م</v>
      </c>
      <c r="C118" s="7">
        <v>5</v>
      </c>
      <c r="D118" s="7" t="s">
        <v>594</v>
      </c>
      <c r="E118" s="7" t="s">
        <v>836</v>
      </c>
      <c r="F118" s="2"/>
    </row>
    <row r="119" spans="1:6" ht="14" customHeight="1">
      <c r="A119" s="8">
        <v>9</v>
      </c>
      <c r="B119" s="7" t="str">
        <f>المدخلات!$F$6</f>
        <v>6:40–7:50 م</v>
      </c>
      <c r="C119" s="7">
        <v>4</v>
      </c>
      <c r="D119" s="7" t="s">
        <v>594</v>
      </c>
      <c r="E119" s="7" t="s">
        <v>860</v>
      </c>
      <c r="F119" s="2"/>
    </row>
    <row r="120" spans="1:6" ht="14" customHeight="1">
      <c r="A120" s="8">
        <v>9</v>
      </c>
      <c r="B120" s="7" t="str">
        <f>المدخلات!$F$6</f>
        <v>6:40–7:50 م</v>
      </c>
      <c r="C120" s="7">
        <v>5</v>
      </c>
      <c r="D120" s="7" t="s">
        <v>594</v>
      </c>
      <c r="E120" s="7" t="s">
        <v>205</v>
      </c>
      <c r="F120" s="2"/>
    </row>
    <row r="121" spans="1:6" ht="14" customHeight="1">
      <c r="A121" s="8">
        <v>10</v>
      </c>
      <c r="B121" s="7" t="str">
        <f>المدخلات!$F$4</f>
        <v>4:00–5:10 م</v>
      </c>
      <c r="C121" s="7">
        <v>1</v>
      </c>
      <c r="D121" s="7" t="s">
        <v>593</v>
      </c>
      <c r="E121" s="7" t="s">
        <v>94</v>
      </c>
      <c r="F121" s="2"/>
    </row>
    <row r="122" spans="1:6" ht="14" customHeight="1">
      <c r="A122" s="8">
        <v>10</v>
      </c>
      <c r="B122" s="7" t="str">
        <f>المدخلات!$F$4</f>
        <v>4:00–5:10 م</v>
      </c>
      <c r="C122" s="7">
        <v>2</v>
      </c>
      <c r="D122" s="7" t="s">
        <v>593</v>
      </c>
      <c r="E122" s="7" t="s">
        <v>27</v>
      </c>
      <c r="F122" s="2"/>
    </row>
    <row r="123" spans="1:6" ht="14" customHeight="1">
      <c r="A123" s="8">
        <v>10</v>
      </c>
      <c r="B123" s="7" t="str">
        <f>المدخلات!$F$4</f>
        <v>4:00–5:10 م</v>
      </c>
      <c r="C123" s="7">
        <v>3</v>
      </c>
      <c r="D123" s="7" t="s">
        <v>593</v>
      </c>
      <c r="E123" s="7" t="s">
        <v>93</v>
      </c>
      <c r="F123" s="2"/>
    </row>
    <row r="124" spans="1:6" ht="14" customHeight="1">
      <c r="A124" s="8">
        <v>10</v>
      </c>
      <c r="B124" s="7" t="str">
        <f>المدخلات!$F$5</f>
        <v>5:20–6:30 م</v>
      </c>
      <c r="C124" s="7">
        <v>1</v>
      </c>
      <c r="D124" s="7" t="s">
        <v>593</v>
      </c>
      <c r="E124" s="7" t="s">
        <v>31</v>
      </c>
      <c r="F124" s="2"/>
    </row>
    <row r="125" spans="1:6" ht="14" customHeight="1">
      <c r="A125" s="8">
        <v>10</v>
      </c>
      <c r="B125" s="7" t="str">
        <f>المدخلات!$F$5</f>
        <v>5:20–6:30 م</v>
      </c>
      <c r="C125" s="7">
        <v>2</v>
      </c>
      <c r="D125" s="7" t="s">
        <v>593</v>
      </c>
      <c r="E125" s="7" t="s">
        <v>72</v>
      </c>
      <c r="F125" s="2"/>
    </row>
    <row r="126" spans="1:6" ht="14" customHeight="1">
      <c r="A126" s="8">
        <v>10</v>
      </c>
      <c r="B126" s="7" t="str">
        <f>المدخلات!$F$5</f>
        <v>5:20–6:30 م</v>
      </c>
      <c r="C126" s="7">
        <v>3</v>
      </c>
      <c r="D126" s="7" t="s">
        <v>593</v>
      </c>
      <c r="E126" s="7" t="s">
        <v>9</v>
      </c>
      <c r="F126" s="2"/>
    </row>
    <row r="127" spans="1:6" ht="14" customHeight="1">
      <c r="A127" s="8">
        <v>10</v>
      </c>
      <c r="B127" s="7" t="str">
        <f>المدخلات!$F$6</f>
        <v>6:40–7:50 م</v>
      </c>
      <c r="C127" s="7">
        <v>1</v>
      </c>
      <c r="D127" s="7" t="s">
        <v>593</v>
      </c>
      <c r="E127" s="7" t="s">
        <v>1035</v>
      </c>
      <c r="F127" s="2"/>
    </row>
    <row r="128" spans="1:6" ht="14" customHeight="1">
      <c r="A128" s="8">
        <v>10</v>
      </c>
      <c r="B128" s="7" t="str">
        <f>المدخلات!$F$4</f>
        <v>4:00–5:10 م</v>
      </c>
      <c r="C128" s="7">
        <v>4</v>
      </c>
      <c r="D128" s="7" t="s">
        <v>594</v>
      </c>
      <c r="E128" s="7" t="s">
        <v>253</v>
      </c>
      <c r="F128" s="2"/>
    </row>
    <row r="129" spans="1:6" ht="14" customHeight="1">
      <c r="A129" s="8">
        <v>10</v>
      </c>
      <c r="B129" s="7" t="str">
        <f>المدخلات!$F$4</f>
        <v>4:00–5:10 م</v>
      </c>
      <c r="C129" s="7">
        <v>5</v>
      </c>
      <c r="D129" s="7" t="s">
        <v>594</v>
      </c>
      <c r="E129" s="7" t="s">
        <v>243</v>
      </c>
      <c r="F129" s="2"/>
    </row>
    <row r="130" spans="1:6" ht="14" customHeight="1">
      <c r="A130" s="8">
        <v>10</v>
      </c>
      <c r="B130" s="7" t="str">
        <f>المدخلات!$F$5</f>
        <v>5:20–6:30 م</v>
      </c>
      <c r="C130" s="7">
        <v>4</v>
      </c>
      <c r="D130" s="7" t="s">
        <v>594</v>
      </c>
      <c r="E130" s="7" t="s">
        <v>838</v>
      </c>
      <c r="F130" s="2"/>
    </row>
    <row r="131" spans="1:6" ht="14" customHeight="1">
      <c r="A131" s="8">
        <v>10</v>
      </c>
      <c r="B131" s="7" t="str">
        <f>المدخلات!$F$5</f>
        <v>5:20–6:30 م</v>
      </c>
      <c r="C131" s="7">
        <v>5</v>
      </c>
      <c r="D131" s="7" t="s">
        <v>594</v>
      </c>
      <c r="E131" s="7" t="s">
        <v>206</v>
      </c>
      <c r="F131" s="2"/>
    </row>
    <row r="132" spans="1:6" ht="14" customHeight="1">
      <c r="A132" s="8">
        <v>10</v>
      </c>
      <c r="B132" s="7" t="str">
        <f>المدخلات!$F$6</f>
        <v>6:40–7:50 م</v>
      </c>
      <c r="C132" s="7">
        <v>4</v>
      </c>
      <c r="D132" s="7" t="s">
        <v>594</v>
      </c>
      <c r="E132" s="7" t="s">
        <v>189</v>
      </c>
      <c r="F132" s="2"/>
    </row>
    <row r="133" spans="1:6" ht="14" customHeight="1">
      <c r="A133" s="8">
        <v>10</v>
      </c>
      <c r="B133" s="7" t="str">
        <f>المدخلات!$F$6</f>
        <v>6:40–7:50 م</v>
      </c>
      <c r="C133" s="7">
        <v>5</v>
      </c>
      <c r="D133" s="7" t="s">
        <v>594</v>
      </c>
      <c r="E133" s="7" t="s">
        <v>168</v>
      </c>
      <c r="F133" s="2"/>
    </row>
    <row r="134" spans="1:6" ht="14" customHeight="1">
      <c r="A134" s="8">
        <v>11</v>
      </c>
      <c r="B134" s="7" t="str">
        <f>المدخلات!$F$4</f>
        <v>4:00–5:10 م</v>
      </c>
      <c r="C134" s="7">
        <v>1</v>
      </c>
      <c r="D134" s="7" t="s">
        <v>593</v>
      </c>
      <c r="E134" s="7" t="s">
        <v>67</v>
      </c>
      <c r="F134" s="2"/>
    </row>
    <row r="135" spans="1:6" ht="14" customHeight="1">
      <c r="A135" s="8">
        <v>11</v>
      </c>
      <c r="B135" s="7" t="str">
        <f>المدخلات!$F$4</f>
        <v>4:00–5:10 م</v>
      </c>
      <c r="C135" s="7">
        <v>2</v>
      </c>
      <c r="D135" s="7" t="s">
        <v>593</v>
      </c>
      <c r="E135" s="7" t="s">
        <v>21</v>
      </c>
      <c r="F135" s="2"/>
    </row>
    <row r="136" spans="1:6" ht="14" customHeight="1">
      <c r="A136" s="8">
        <v>11</v>
      </c>
      <c r="B136" s="7" t="str">
        <f>المدخلات!$F$4</f>
        <v>4:00–5:10 م</v>
      </c>
      <c r="C136" s="7">
        <v>3</v>
      </c>
      <c r="D136" s="7" t="s">
        <v>593</v>
      </c>
      <c r="E136" s="7" t="s">
        <v>138</v>
      </c>
      <c r="F136" s="2"/>
    </row>
    <row r="137" spans="1:6" ht="14" customHeight="1">
      <c r="A137" s="8">
        <v>11</v>
      </c>
      <c r="B137" s="7" t="str">
        <f>المدخلات!$F$5</f>
        <v>5:20–6:30 م</v>
      </c>
      <c r="C137" s="7">
        <v>1</v>
      </c>
      <c r="D137" s="7" t="s">
        <v>593</v>
      </c>
      <c r="E137" s="7" t="s">
        <v>13</v>
      </c>
      <c r="F137" s="2"/>
    </row>
    <row r="138" spans="1:6" ht="14" customHeight="1">
      <c r="A138" s="8">
        <v>11</v>
      </c>
      <c r="B138" s="7" t="str">
        <f>المدخلات!$F$5</f>
        <v>5:20–6:30 م</v>
      </c>
      <c r="C138" s="7">
        <v>2</v>
      </c>
      <c r="D138" s="7" t="s">
        <v>593</v>
      </c>
      <c r="E138" s="7" t="s">
        <v>56</v>
      </c>
      <c r="F138" s="2"/>
    </row>
    <row r="139" spans="1:6" ht="14" customHeight="1">
      <c r="A139" s="8">
        <v>11</v>
      </c>
      <c r="B139" s="7" t="str">
        <f>المدخلات!$F$5</f>
        <v>5:20–6:30 م</v>
      </c>
      <c r="C139" s="7">
        <v>3</v>
      </c>
      <c r="D139" s="7" t="s">
        <v>593</v>
      </c>
      <c r="E139" s="7" t="s">
        <v>18</v>
      </c>
      <c r="F139" s="2"/>
    </row>
    <row r="140" spans="1:6" ht="14" customHeight="1">
      <c r="A140" s="8">
        <v>11</v>
      </c>
      <c r="B140" s="7" t="str">
        <f>المدخلات!$F$6</f>
        <v>6:40–7:50 م</v>
      </c>
      <c r="C140" s="7">
        <v>1</v>
      </c>
      <c r="D140" s="7" t="s">
        <v>593</v>
      </c>
      <c r="E140" s="7" t="s">
        <v>89</v>
      </c>
      <c r="F140" s="2"/>
    </row>
    <row r="141" spans="1:6" ht="14" customHeight="1">
      <c r="A141" s="8">
        <v>11</v>
      </c>
      <c r="B141" s="7" t="str">
        <f>المدخلات!$F$4</f>
        <v>4:00–5:10 م</v>
      </c>
      <c r="C141" s="7">
        <v>4</v>
      </c>
      <c r="D141" s="7" t="s">
        <v>594</v>
      </c>
      <c r="E141" s="7" t="s">
        <v>167</v>
      </c>
      <c r="F141" s="2"/>
    </row>
    <row r="142" spans="1:6" ht="14" customHeight="1">
      <c r="A142" s="8">
        <v>11</v>
      </c>
      <c r="B142" s="7" t="str">
        <f>المدخلات!$F$4</f>
        <v>4:00–5:10 م</v>
      </c>
      <c r="C142" s="7">
        <v>5</v>
      </c>
      <c r="D142" s="7" t="s">
        <v>594</v>
      </c>
      <c r="E142" s="7" t="s">
        <v>1090</v>
      </c>
      <c r="F142" s="2"/>
    </row>
    <row r="143" spans="1:6" ht="14" customHeight="1">
      <c r="A143" s="8">
        <v>11</v>
      </c>
      <c r="B143" s="7" t="str">
        <f>المدخلات!$F$5</f>
        <v>5:20–6:30 م</v>
      </c>
      <c r="C143" s="7">
        <v>4</v>
      </c>
      <c r="D143" s="7" t="s">
        <v>594</v>
      </c>
      <c r="E143" s="7" t="s">
        <v>190</v>
      </c>
      <c r="F143" s="2"/>
    </row>
    <row r="144" spans="1:6" ht="14" customHeight="1">
      <c r="A144" s="8">
        <v>11</v>
      </c>
      <c r="B144" s="7" t="str">
        <f>المدخلات!$F$5</f>
        <v>5:20–6:30 م</v>
      </c>
      <c r="C144" s="7">
        <v>5</v>
      </c>
      <c r="D144" s="7" t="s">
        <v>594</v>
      </c>
      <c r="E144" s="7" t="s">
        <v>239</v>
      </c>
      <c r="F144" s="2"/>
    </row>
    <row r="145" spans="1:6" ht="14" customHeight="1">
      <c r="A145" s="8">
        <v>11</v>
      </c>
      <c r="B145" s="7" t="str">
        <f>المدخلات!$F$6</f>
        <v>6:40–7:50 م</v>
      </c>
      <c r="C145" s="7">
        <v>4</v>
      </c>
      <c r="D145" s="7" t="s">
        <v>594</v>
      </c>
      <c r="E145" s="7" t="s">
        <v>244</v>
      </c>
      <c r="F145" s="2"/>
    </row>
    <row r="146" spans="1:6" ht="14" customHeight="1">
      <c r="A146" s="8">
        <v>11</v>
      </c>
      <c r="B146" s="7" t="str">
        <f>المدخلات!$F$6</f>
        <v>6:40–7:50 م</v>
      </c>
      <c r="C146" s="7">
        <v>5</v>
      </c>
      <c r="D146" s="7" t="s">
        <v>594</v>
      </c>
      <c r="E146" s="7" t="s">
        <v>254</v>
      </c>
      <c r="F146" s="2"/>
    </row>
    <row r="147" spans="1:6" ht="14" customHeight="1">
      <c r="A147" s="8">
        <v>12</v>
      </c>
      <c r="B147" s="7" t="str">
        <f>المدخلات!$F$4</f>
        <v>4:00–5:10 م</v>
      </c>
      <c r="C147" s="7">
        <v>1</v>
      </c>
      <c r="D147" s="7" t="s">
        <v>593</v>
      </c>
      <c r="E147" s="7" t="s">
        <v>46</v>
      </c>
      <c r="F147" s="2"/>
    </row>
    <row r="148" spans="1:6" ht="14" customHeight="1">
      <c r="A148" s="8">
        <v>12</v>
      </c>
      <c r="B148" s="7" t="str">
        <f>المدخلات!$F$4</f>
        <v>4:00–5:10 م</v>
      </c>
      <c r="C148" s="7">
        <v>2</v>
      </c>
      <c r="D148" s="7" t="s">
        <v>593</v>
      </c>
      <c r="E148" s="7" t="s">
        <v>1040</v>
      </c>
      <c r="F148" s="2"/>
    </row>
    <row r="149" spans="1:6" ht="14" customHeight="1">
      <c r="A149" s="8">
        <v>12</v>
      </c>
      <c r="B149" s="7" t="str">
        <f>المدخلات!$F$4</f>
        <v>4:00–5:10 م</v>
      </c>
      <c r="C149" s="7">
        <v>3</v>
      </c>
      <c r="D149" s="7" t="s">
        <v>593</v>
      </c>
      <c r="E149" s="7" t="s">
        <v>1098</v>
      </c>
      <c r="F149" s="2"/>
    </row>
    <row r="150" spans="1:6" ht="14" customHeight="1">
      <c r="A150" s="8">
        <v>12</v>
      </c>
      <c r="B150" s="7" t="str">
        <f>المدخلات!$F$5</f>
        <v>5:20–6:30 م</v>
      </c>
      <c r="C150" s="7">
        <v>1</v>
      </c>
      <c r="D150" s="7" t="s">
        <v>593</v>
      </c>
      <c r="E150" s="7" t="s">
        <v>53</v>
      </c>
      <c r="F150" s="2"/>
    </row>
    <row r="151" spans="1:6" ht="14" customHeight="1">
      <c r="A151" s="8">
        <v>12</v>
      </c>
      <c r="B151" s="7" t="str">
        <f>المدخلات!$F$5</f>
        <v>5:20–6:30 م</v>
      </c>
      <c r="C151" s="7">
        <v>2</v>
      </c>
      <c r="D151" s="7" t="s">
        <v>593</v>
      </c>
      <c r="E151" s="7" t="s">
        <v>63</v>
      </c>
      <c r="F151" s="2"/>
    </row>
    <row r="152" spans="1:6" ht="14" customHeight="1">
      <c r="A152" s="8">
        <v>12</v>
      </c>
      <c r="B152" s="7" t="str">
        <f>المدخلات!$F$5</f>
        <v>5:20–6:30 م</v>
      </c>
      <c r="C152" s="7">
        <v>3</v>
      </c>
      <c r="D152" s="7" t="s">
        <v>593</v>
      </c>
      <c r="E152" s="7" t="s">
        <v>1099</v>
      </c>
      <c r="F152" s="2"/>
    </row>
    <row r="153" spans="1:6" ht="14" customHeight="1">
      <c r="A153" s="8">
        <v>12</v>
      </c>
      <c r="B153" s="7" t="str">
        <f>المدخلات!$F$6</f>
        <v>6:40–7:50 م</v>
      </c>
      <c r="C153" s="7">
        <v>1</v>
      </c>
      <c r="D153" s="7" t="s">
        <v>593</v>
      </c>
      <c r="E153" s="7" t="s">
        <v>14</v>
      </c>
      <c r="F153" s="2"/>
    </row>
    <row r="154" spans="1:6" ht="14" customHeight="1">
      <c r="A154" s="8">
        <v>12</v>
      </c>
      <c r="B154" s="7" t="str">
        <f>المدخلات!$F$4</f>
        <v>4:00–5:10 م</v>
      </c>
      <c r="C154" s="7">
        <v>4</v>
      </c>
      <c r="D154" s="7" t="s">
        <v>594</v>
      </c>
      <c r="E154" s="7" t="s">
        <v>234</v>
      </c>
      <c r="F154" s="2"/>
    </row>
    <row r="155" spans="1:6" ht="14" customHeight="1">
      <c r="A155" s="8">
        <v>12</v>
      </c>
      <c r="B155" s="7" t="str">
        <f>المدخلات!$F$4</f>
        <v>4:00–5:10 م</v>
      </c>
      <c r="C155" s="7">
        <v>5</v>
      </c>
      <c r="D155" s="7" t="s">
        <v>594</v>
      </c>
      <c r="E155" s="7" t="s">
        <v>236</v>
      </c>
      <c r="F155" s="2"/>
    </row>
    <row r="156" spans="1:6" ht="14" customHeight="1">
      <c r="A156" s="8">
        <v>12</v>
      </c>
      <c r="B156" s="7" t="str">
        <f>المدخلات!$F$5</f>
        <v>5:20–6:30 م</v>
      </c>
      <c r="C156" s="7">
        <v>4</v>
      </c>
      <c r="D156" s="7" t="s">
        <v>594</v>
      </c>
      <c r="E156" s="7" t="s">
        <v>1164</v>
      </c>
      <c r="F156" s="2"/>
    </row>
    <row r="157" spans="1:6" ht="14" customHeight="1">
      <c r="A157" s="8">
        <v>12</v>
      </c>
      <c r="B157" s="7" t="str">
        <f>المدخلات!$F$5</f>
        <v>5:20–6:30 م</v>
      </c>
      <c r="C157" s="7">
        <v>5</v>
      </c>
      <c r="D157" s="7" t="s">
        <v>594</v>
      </c>
      <c r="E157" s="7" t="s">
        <v>240</v>
      </c>
      <c r="F157" s="2"/>
    </row>
    <row r="158" spans="1:6" ht="14" customHeight="1">
      <c r="A158" s="8">
        <v>12</v>
      </c>
      <c r="B158" s="7" t="str">
        <f>المدخلات!$F$6</f>
        <v>6:40–7:50 م</v>
      </c>
      <c r="C158" s="7">
        <v>4</v>
      </c>
      <c r="D158" s="7" t="s">
        <v>594</v>
      </c>
      <c r="E158" s="7" t="s">
        <v>159</v>
      </c>
      <c r="F158" s="2"/>
    </row>
    <row r="159" spans="1:6" ht="14" customHeight="1">
      <c r="A159" s="8">
        <v>12</v>
      </c>
      <c r="B159" s="7" t="str">
        <f>المدخلات!$F$6</f>
        <v>6:40–7:50 م</v>
      </c>
      <c r="C159" s="7">
        <v>5</v>
      </c>
      <c r="D159" s="7" t="s">
        <v>594</v>
      </c>
      <c r="E159" s="7" t="s">
        <v>145</v>
      </c>
      <c r="F159" s="2"/>
    </row>
    <row r="160" spans="1:6" ht="14" customHeight="1">
      <c r="A160" s="8">
        <v>13</v>
      </c>
      <c r="B160" s="7" t="str">
        <f>المدخلات!$F$4</f>
        <v>4:00–5:10 م</v>
      </c>
      <c r="C160" s="7">
        <v>1</v>
      </c>
      <c r="D160" s="7" t="s">
        <v>593</v>
      </c>
      <c r="E160" s="7" t="s">
        <v>1081</v>
      </c>
      <c r="F160" s="2"/>
    </row>
    <row r="161" spans="1:6" ht="14" customHeight="1">
      <c r="A161" s="8">
        <v>13</v>
      </c>
      <c r="B161" s="7" t="str">
        <f>المدخلات!$F$4</f>
        <v>4:00–5:10 م</v>
      </c>
      <c r="C161" s="7">
        <v>2</v>
      </c>
      <c r="D161" s="7" t="s">
        <v>593</v>
      </c>
      <c r="E161" s="7" t="s">
        <v>1079</v>
      </c>
      <c r="F161" s="2"/>
    </row>
    <row r="162" spans="1:6" ht="14" customHeight="1">
      <c r="A162" s="8">
        <v>13</v>
      </c>
      <c r="B162" s="7" t="str">
        <f>المدخلات!$F$4</f>
        <v>4:00–5:10 م</v>
      </c>
      <c r="C162" s="7">
        <v>3</v>
      </c>
      <c r="D162" s="7" t="s">
        <v>593</v>
      </c>
      <c r="E162" s="7" t="s">
        <v>41</v>
      </c>
      <c r="F162" s="2"/>
    </row>
    <row r="163" spans="1:6" ht="14" customHeight="1">
      <c r="A163" s="8">
        <v>13</v>
      </c>
      <c r="B163" s="7" t="str">
        <f>المدخلات!$F$5</f>
        <v>5:20–6:30 م</v>
      </c>
      <c r="C163" s="7">
        <v>1</v>
      </c>
      <c r="D163" s="7" t="s">
        <v>593</v>
      </c>
      <c r="E163" s="7" t="s">
        <v>11</v>
      </c>
      <c r="F163" s="2"/>
    </row>
    <row r="164" spans="1:6" ht="14" customHeight="1">
      <c r="A164" s="8">
        <v>13</v>
      </c>
      <c r="B164" s="7" t="str">
        <f>المدخلات!$F$5</f>
        <v>5:20–6:30 م</v>
      </c>
      <c r="C164" s="7">
        <v>2</v>
      </c>
      <c r="D164" s="7" t="s">
        <v>593</v>
      </c>
      <c r="E164" s="7" t="s">
        <v>1062</v>
      </c>
      <c r="F164" s="2"/>
    </row>
    <row r="165" spans="1:6" ht="14" customHeight="1">
      <c r="A165" s="8">
        <v>13</v>
      </c>
      <c r="B165" s="7" t="str">
        <f>المدخلات!$F$5</f>
        <v>5:20–6:30 م</v>
      </c>
      <c r="C165" s="7">
        <v>3</v>
      </c>
      <c r="D165" s="7" t="s">
        <v>593</v>
      </c>
      <c r="E165" s="7" t="s">
        <v>49</v>
      </c>
      <c r="F165" s="2"/>
    </row>
    <row r="166" spans="1:6" ht="14" customHeight="1">
      <c r="A166" s="8">
        <v>13</v>
      </c>
      <c r="B166" s="7" t="str">
        <f>المدخلات!$F$6</f>
        <v>6:40–7:50 م</v>
      </c>
      <c r="C166" s="7">
        <v>1</v>
      </c>
      <c r="D166" s="7" t="s">
        <v>593</v>
      </c>
      <c r="E166" s="7" t="s">
        <v>57</v>
      </c>
      <c r="F166" s="2"/>
    </row>
    <row r="167" spans="1:6" ht="14" customHeight="1">
      <c r="A167" s="8">
        <v>13</v>
      </c>
      <c r="B167" s="7" t="str">
        <f>المدخلات!$F$4</f>
        <v>4:00–5:10 م</v>
      </c>
      <c r="C167" s="7">
        <v>4</v>
      </c>
      <c r="D167" s="7" t="s">
        <v>594</v>
      </c>
      <c r="E167" s="7" t="s">
        <v>1166</v>
      </c>
      <c r="F167" s="2"/>
    </row>
    <row r="168" spans="1:6" ht="14" customHeight="1">
      <c r="A168" s="8">
        <v>13</v>
      </c>
      <c r="B168" s="7" t="str">
        <f>المدخلات!$F$4</f>
        <v>4:00–5:10 م</v>
      </c>
      <c r="C168" s="7">
        <v>5</v>
      </c>
      <c r="D168" s="7" t="s">
        <v>594</v>
      </c>
      <c r="E168" s="7" t="s">
        <v>1165</v>
      </c>
      <c r="F168" s="2"/>
    </row>
    <row r="169" spans="1:6" ht="14" customHeight="1">
      <c r="A169" s="8">
        <v>13</v>
      </c>
      <c r="B169" s="7" t="str">
        <f>المدخلات!$F$5</f>
        <v>5:20–6:30 م</v>
      </c>
      <c r="C169" s="7">
        <v>4</v>
      </c>
      <c r="D169" s="7" t="s">
        <v>594</v>
      </c>
      <c r="E169" s="7" t="s">
        <v>230</v>
      </c>
      <c r="F169" s="2"/>
    </row>
    <row r="170" spans="1:6" ht="14" customHeight="1">
      <c r="A170" s="8">
        <v>13</v>
      </c>
      <c r="B170" s="7" t="str">
        <f>المدخلات!$F$5</f>
        <v>5:20–6:30 م</v>
      </c>
      <c r="C170" s="7">
        <v>5</v>
      </c>
      <c r="D170" s="7" t="s">
        <v>594</v>
      </c>
      <c r="E170" s="7" t="s">
        <v>1159</v>
      </c>
      <c r="F170" s="2"/>
    </row>
    <row r="171" spans="1:6" ht="14" customHeight="1">
      <c r="A171" s="8">
        <v>13</v>
      </c>
      <c r="B171" s="7" t="str">
        <f>المدخلات!$F$6</f>
        <v>6:40–7:50 م</v>
      </c>
      <c r="C171" s="7">
        <v>4</v>
      </c>
      <c r="D171" s="7" t="s">
        <v>594</v>
      </c>
      <c r="E171" s="7" t="s">
        <v>246</v>
      </c>
      <c r="F171" s="2"/>
    </row>
    <row r="172" spans="1:6" ht="14" customHeight="1">
      <c r="A172" s="8">
        <v>13</v>
      </c>
      <c r="B172" s="7" t="str">
        <f>المدخلات!$F$6</f>
        <v>6:40–7:50 م</v>
      </c>
      <c r="C172" s="7">
        <v>5</v>
      </c>
      <c r="D172" s="7" t="s">
        <v>594</v>
      </c>
      <c r="E172" s="7" t="s">
        <v>235</v>
      </c>
      <c r="F172" s="2"/>
    </row>
    <row r="173" spans="1:6" ht="14" customHeight="1">
      <c r="A173" s="8">
        <v>14</v>
      </c>
      <c r="B173" s="7" t="str">
        <f>المدخلات!$F$4</f>
        <v>4:00–5:10 م</v>
      </c>
      <c r="C173" s="7">
        <v>1</v>
      </c>
      <c r="D173" s="7" t="s">
        <v>593</v>
      </c>
      <c r="E173" s="7" t="s">
        <v>865</v>
      </c>
      <c r="F173" s="2"/>
    </row>
    <row r="174" spans="1:6" ht="14" customHeight="1">
      <c r="A174" s="8">
        <v>14</v>
      </c>
      <c r="B174" s="7" t="str">
        <f>المدخلات!$F$4</f>
        <v>4:00–5:10 م</v>
      </c>
      <c r="C174" s="7">
        <v>2</v>
      </c>
      <c r="D174" s="7" t="s">
        <v>593</v>
      </c>
      <c r="E174" s="7" t="s">
        <v>40</v>
      </c>
      <c r="F174" s="2"/>
    </row>
    <row r="175" spans="1:6" ht="14" customHeight="1">
      <c r="A175" s="8">
        <v>14</v>
      </c>
      <c r="B175" s="7" t="str">
        <f>المدخلات!$F$4</f>
        <v>4:00–5:10 م</v>
      </c>
      <c r="C175" s="7">
        <v>3</v>
      </c>
      <c r="D175" s="7" t="s">
        <v>593</v>
      </c>
      <c r="E175" s="7" t="s">
        <v>26</v>
      </c>
      <c r="F175" s="2"/>
    </row>
    <row r="176" spans="1:6" ht="14" customHeight="1">
      <c r="A176" s="8">
        <v>14</v>
      </c>
      <c r="B176" s="7" t="str">
        <f>المدخلات!$F$5</f>
        <v>5:20–6:30 م</v>
      </c>
      <c r="C176" s="7">
        <v>1</v>
      </c>
      <c r="D176" s="7" t="s">
        <v>593</v>
      </c>
      <c r="E176" s="7" t="s">
        <v>33</v>
      </c>
      <c r="F176" s="2"/>
    </row>
    <row r="177" spans="1:6" ht="14" customHeight="1">
      <c r="A177" s="8">
        <v>14</v>
      </c>
      <c r="B177" s="7" t="str">
        <f>المدخلات!$F$5</f>
        <v>5:20–6:30 م</v>
      </c>
      <c r="C177" s="7">
        <v>2</v>
      </c>
      <c r="D177" s="7" t="s">
        <v>593</v>
      </c>
      <c r="E177" s="7" t="s">
        <v>16</v>
      </c>
      <c r="F177" s="2"/>
    </row>
    <row r="178" spans="1:6" ht="14" customHeight="1">
      <c r="A178" s="8">
        <v>14</v>
      </c>
      <c r="B178" s="7" t="str">
        <f>المدخلات!$F$5</f>
        <v>5:20–6:30 م</v>
      </c>
      <c r="C178" s="7">
        <v>3</v>
      </c>
      <c r="D178" s="7" t="s">
        <v>593</v>
      </c>
      <c r="E178" s="7" t="s">
        <v>90</v>
      </c>
      <c r="F178" s="2"/>
    </row>
    <row r="179" spans="1:6" ht="14" customHeight="1">
      <c r="A179" s="8">
        <v>14</v>
      </c>
      <c r="B179" s="7" t="str">
        <f>المدخلات!$F$6</f>
        <v>6:40–7:50 م</v>
      </c>
      <c r="C179" s="7">
        <v>1</v>
      </c>
      <c r="D179" s="7" t="s">
        <v>593</v>
      </c>
      <c r="E179" s="7" t="s">
        <v>97</v>
      </c>
      <c r="F179" s="2"/>
    </row>
    <row r="180" spans="1:6" ht="14" customHeight="1">
      <c r="A180" s="8">
        <v>14</v>
      </c>
      <c r="B180" s="7" t="str">
        <f>المدخلات!$F$4</f>
        <v>4:00–5:10 م</v>
      </c>
      <c r="C180" s="7">
        <v>4</v>
      </c>
      <c r="D180" s="7" t="s">
        <v>594</v>
      </c>
      <c r="E180" s="7" t="s">
        <v>770</v>
      </c>
      <c r="F180" s="2"/>
    </row>
    <row r="181" spans="1:6" ht="14" customHeight="1">
      <c r="A181" s="8">
        <v>14</v>
      </c>
      <c r="B181" s="7" t="str">
        <f>المدخلات!$F$4</f>
        <v>4:00–5:10 م</v>
      </c>
      <c r="C181" s="7">
        <v>5</v>
      </c>
      <c r="D181" s="7" t="s">
        <v>594</v>
      </c>
      <c r="E181" s="7" t="s">
        <v>840</v>
      </c>
      <c r="F181" s="2"/>
    </row>
    <row r="182" spans="1:6" ht="14" customHeight="1">
      <c r="A182" s="8">
        <v>14</v>
      </c>
      <c r="B182" s="7" t="str">
        <f>المدخلات!$F$5</f>
        <v>5:20–6:30 م</v>
      </c>
      <c r="C182" s="7">
        <v>4</v>
      </c>
      <c r="D182" s="7" t="s">
        <v>594</v>
      </c>
      <c r="E182" s="7" t="s">
        <v>219</v>
      </c>
      <c r="F182" s="2"/>
    </row>
    <row r="183" spans="1:6" ht="14" customHeight="1">
      <c r="A183" s="8">
        <v>14</v>
      </c>
      <c r="B183" s="7" t="str">
        <f>المدخلات!$F$5</f>
        <v>5:20–6:30 م</v>
      </c>
      <c r="C183" s="7">
        <v>5</v>
      </c>
      <c r="D183" s="7" t="s">
        <v>594</v>
      </c>
      <c r="E183" s="7" t="s">
        <v>229</v>
      </c>
      <c r="F183" s="2"/>
    </row>
    <row r="184" spans="1:6" ht="14" customHeight="1">
      <c r="A184" s="8">
        <v>14</v>
      </c>
      <c r="B184" s="7" t="str">
        <f>المدخلات!$F$6</f>
        <v>6:40–7:50 م</v>
      </c>
      <c r="C184" s="7">
        <v>4</v>
      </c>
      <c r="D184" s="7" t="s">
        <v>594</v>
      </c>
      <c r="E184" s="7" t="s">
        <v>844</v>
      </c>
      <c r="F184" s="2"/>
    </row>
    <row r="185" spans="1:6" ht="14" customHeight="1">
      <c r="A185" s="8">
        <v>14</v>
      </c>
      <c r="B185" s="7" t="str">
        <f>المدخلات!$F$6</f>
        <v>6:40–7:50 م</v>
      </c>
      <c r="C185" s="7">
        <v>5</v>
      </c>
      <c r="D185" s="7" t="s">
        <v>594</v>
      </c>
      <c r="E185" s="7" t="s">
        <v>876</v>
      </c>
      <c r="F185" s="2"/>
    </row>
    <row r="186" spans="1:6" ht="14" customHeight="1">
      <c r="A186" s="8">
        <v>15</v>
      </c>
      <c r="B186" s="7" t="str">
        <f>المدخلات!$F$4</f>
        <v>4:00–5:10 م</v>
      </c>
      <c r="C186" s="7">
        <v>1</v>
      </c>
      <c r="D186" s="7" t="s">
        <v>593</v>
      </c>
      <c r="E186" s="7" t="s">
        <v>64</v>
      </c>
      <c r="F186" s="2"/>
    </row>
    <row r="187" spans="1:6" ht="14" customHeight="1">
      <c r="A187" s="8">
        <v>15</v>
      </c>
      <c r="B187" s="7" t="str">
        <f>المدخلات!$F$4</f>
        <v>4:00–5:10 م</v>
      </c>
      <c r="C187" s="7">
        <v>2</v>
      </c>
      <c r="D187" s="7" t="s">
        <v>593</v>
      </c>
      <c r="E187" s="7" t="s">
        <v>1036</v>
      </c>
      <c r="F187" s="2"/>
    </row>
    <row r="188" spans="1:6" ht="14" customHeight="1">
      <c r="A188" s="8">
        <v>15</v>
      </c>
      <c r="B188" s="7" t="str">
        <f>المدخلات!$F$4</f>
        <v>4:00–5:10 م</v>
      </c>
      <c r="C188" s="7">
        <v>3</v>
      </c>
      <c r="D188" s="7" t="s">
        <v>593</v>
      </c>
      <c r="E188" s="7" t="s">
        <v>1045</v>
      </c>
      <c r="F188" s="2"/>
    </row>
    <row r="189" spans="1:6" ht="14" customHeight="1">
      <c r="A189" s="8">
        <v>15</v>
      </c>
      <c r="B189" s="7" t="str">
        <f>المدخلات!$F$5</f>
        <v>5:20–6:30 م</v>
      </c>
      <c r="C189" s="7">
        <v>1</v>
      </c>
      <c r="D189" s="7" t="s">
        <v>593</v>
      </c>
      <c r="E189" s="7" t="s">
        <v>707</v>
      </c>
      <c r="F189" s="2"/>
    </row>
    <row r="190" spans="1:6" ht="14" customHeight="1">
      <c r="A190" s="8">
        <v>15</v>
      </c>
      <c r="B190" s="7" t="str">
        <f>المدخلات!$F$5</f>
        <v>5:20–6:30 م</v>
      </c>
      <c r="C190" s="7">
        <v>2</v>
      </c>
      <c r="D190" s="7" t="s">
        <v>593</v>
      </c>
      <c r="E190" s="7" t="s">
        <v>866</v>
      </c>
      <c r="F190" s="2"/>
    </row>
    <row r="191" spans="1:6" ht="14" customHeight="1">
      <c r="A191" s="8">
        <v>15</v>
      </c>
      <c r="B191" s="7" t="str">
        <f>المدخلات!$F$5</f>
        <v>5:20–6:30 م</v>
      </c>
      <c r="C191" s="7">
        <v>3</v>
      </c>
      <c r="D191" s="7" t="s">
        <v>593</v>
      </c>
      <c r="E191" s="7" t="s">
        <v>10</v>
      </c>
      <c r="F191" s="2"/>
    </row>
    <row r="192" spans="1:6" ht="14" customHeight="1">
      <c r="A192" s="8">
        <v>15</v>
      </c>
      <c r="B192" s="7" t="str">
        <f>المدخلات!$F$6</f>
        <v>6:40–7:50 م</v>
      </c>
      <c r="C192" s="7">
        <v>1</v>
      </c>
      <c r="D192" s="7" t="s">
        <v>593</v>
      </c>
      <c r="E192" s="7" t="s">
        <v>706</v>
      </c>
      <c r="F192" s="2"/>
    </row>
    <row r="193" spans="1:6" ht="14" customHeight="1">
      <c r="A193" s="8">
        <v>15</v>
      </c>
      <c r="B193" s="7" t="str">
        <f>المدخلات!$F$4</f>
        <v>4:00–5:10 م</v>
      </c>
      <c r="C193" s="7">
        <v>4</v>
      </c>
      <c r="D193" s="7" t="s">
        <v>594</v>
      </c>
      <c r="E193" s="7" t="s">
        <v>603</v>
      </c>
      <c r="F193" s="2"/>
    </row>
    <row r="194" spans="1:6" ht="14" customHeight="1">
      <c r="A194" s="8">
        <v>15</v>
      </c>
      <c r="B194" s="7" t="str">
        <f>المدخلات!$F$4</f>
        <v>4:00–5:10 م</v>
      </c>
      <c r="C194" s="7">
        <v>5</v>
      </c>
      <c r="D194" s="7" t="s">
        <v>594</v>
      </c>
      <c r="E194" s="7" t="s">
        <v>189</v>
      </c>
      <c r="F194" s="2"/>
    </row>
    <row r="195" spans="1:6" ht="14" customHeight="1">
      <c r="A195" s="8">
        <v>15</v>
      </c>
      <c r="B195" s="7" t="str">
        <f>المدخلات!$F$5</f>
        <v>5:20–6:30 م</v>
      </c>
      <c r="C195" s="7">
        <v>4</v>
      </c>
      <c r="D195" s="7" t="s">
        <v>594</v>
      </c>
      <c r="E195" s="7" t="s">
        <v>669</v>
      </c>
      <c r="F195" s="2"/>
    </row>
    <row r="196" spans="1:6" ht="14" customHeight="1">
      <c r="A196" s="8">
        <v>15</v>
      </c>
      <c r="B196" s="7" t="str">
        <f>المدخلات!$F$5</f>
        <v>5:20–6:30 م</v>
      </c>
      <c r="C196" s="7">
        <v>5</v>
      </c>
      <c r="D196" s="7" t="s">
        <v>594</v>
      </c>
      <c r="E196" s="7" t="s">
        <v>873</v>
      </c>
      <c r="F196" s="2"/>
    </row>
    <row r="197" spans="1:6" ht="14" customHeight="1">
      <c r="A197" s="8">
        <v>15</v>
      </c>
      <c r="B197" s="7" t="str">
        <f>المدخلات!$F$6</f>
        <v>6:40–7:50 م</v>
      </c>
      <c r="C197" s="7">
        <v>4</v>
      </c>
      <c r="D197" s="7" t="s">
        <v>594</v>
      </c>
      <c r="E197" s="7" t="s">
        <v>793</v>
      </c>
      <c r="F197" s="2"/>
    </row>
    <row r="198" spans="1:6" ht="14" customHeight="1">
      <c r="A198" s="8">
        <v>15</v>
      </c>
      <c r="B198" s="7" t="str">
        <f>المدخلات!$F$6</f>
        <v>6:40–7:50 م</v>
      </c>
      <c r="C198" s="7">
        <v>5</v>
      </c>
      <c r="D198" s="7" t="s">
        <v>594</v>
      </c>
      <c r="E198" s="7" t="s">
        <v>205</v>
      </c>
      <c r="F198" s="2"/>
    </row>
    <row r="199" spans="1:6" ht="14" customHeight="1">
      <c r="A199" s="8">
        <v>16</v>
      </c>
      <c r="B199" s="7" t="str">
        <f>المدخلات!$F$4</f>
        <v>4:00–5:10 م</v>
      </c>
      <c r="C199" s="7">
        <v>1</v>
      </c>
      <c r="D199" s="7" t="s">
        <v>593</v>
      </c>
      <c r="E199" s="7" t="s">
        <v>58</v>
      </c>
      <c r="F199" s="2"/>
    </row>
    <row r="200" spans="1:6" ht="14" customHeight="1">
      <c r="A200" s="8">
        <v>16</v>
      </c>
      <c r="B200" s="7" t="str">
        <f>المدخلات!$F$4</f>
        <v>4:00–5:10 م</v>
      </c>
      <c r="C200" s="7">
        <v>2</v>
      </c>
      <c r="D200" s="7" t="s">
        <v>593</v>
      </c>
      <c r="E200" s="7" t="s">
        <v>47</v>
      </c>
      <c r="F200" s="2"/>
    </row>
    <row r="201" spans="1:6" ht="14" customHeight="1">
      <c r="A201" s="8">
        <v>16</v>
      </c>
      <c r="B201" s="7" t="str">
        <f>المدخلات!$F$4</f>
        <v>4:00–5:10 م</v>
      </c>
      <c r="C201" s="7">
        <v>3</v>
      </c>
      <c r="D201" s="7" t="s">
        <v>593</v>
      </c>
      <c r="E201" s="7" t="s">
        <v>1063</v>
      </c>
      <c r="F201" s="2"/>
    </row>
    <row r="202" spans="1:6" ht="14" customHeight="1">
      <c r="A202" s="8">
        <v>16</v>
      </c>
      <c r="B202" s="7" t="str">
        <f>المدخلات!$F$5</f>
        <v>5:20–6:30 م</v>
      </c>
      <c r="C202" s="7">
        <v>1</v>
      </c>
      <c r="D202" s="7" t="s">
        <v>593</v>
      </c>
      <c r="E202" s="7" t="s">
        <v>37</v>
      </c>
      <c r="F202" s="2"/>
    </row>
    <row r="203" spans="1:6" ht="14" customHeight="1">
      <c r="A203" s="8">
        <v>16</v>
      </c>
      <c r="B203" s="7" t="str">
        <f>المدخلات!$F$5</f>
        <v>5:20–6:30 م</v>
      </c>
      <c r="C203" s="7">
        <v>2</v>
      </c>
      <c r="D203" s="7" t="s">
        <v>593</v>
      </c>
      <c r="E203" s="7" t="s">
        <v>864</v>
      </c>
      <c r="F203" s="2"/>
    </row>
    <row r="204" spans="1:6" ht="14" customHeight="1">
      <c r="A204" s="8">
        <v>16</v>
      </c>
      <c r="B204" s="7" t="str">
        <f>المدخلات!$F$5</f>
        <v>5:20–6:30 م</v>
      </c>
      <c r="C204" s="7">
        <v>3</v>
      </c>
      <c r="D204" s="7" t="s">
        <v>593</v>
      </c>
      <c r="E204" s="7" t="s">
        <v>886</v>
      </c>
      <c r="F204" s="2"/>
    </row>
    <row r="205" spans="1:6" ht="14" customHeight="1">
      <c r="A205" s="8">
        <v>16</v>
      </c>
      <c r="B205" s="7" t="str">
        <f>المدخلات!$F$6</f>
        <v>6:40–7:50 م</v>
      </c>
      <c r="C205" s="7">
        <v>1</v>
      </c>
      <c r="D205" s="7" t="s">
        <v>593</v>
      </c>
      <c r="E205" s="7" t="s">
        <v>1053</v>
      </c>
      <c r="F205" s="2"/>
    </row>
    <row r="206" spans="1:6" ht="14" customHeight="1">
      <c r="A206" s="8">
        <v>16</v>
      </c>
      <c r="B206" s="7" t="str">
        <f>المدخلات!$F$4</f>
        <v>4:00–5:10 م</v>
      </c>
      <c r="C206" s="7">
        <v>4</v>
      </c>
      <c r="D206" s="7" t="s">
        <v>594</v>
      </c>
      <c r="E206" s="7" t="s">
        <v>223</v>
      </c>
      <c r="F206" s="2"/>
    </row>
    <row r="207" spans="1:6" ht="14" customHeight="1">
      <c r="A207" s="8">
        <v>16</v>
      </c>
      <c r="B207" s="7" t="str">
        <f>المدخلات!$F$4</f>
        <v>4:00–5:10 م</v>
      </c>
      <c r="C207" s="7">
        <v>5</v>
      </c>
      <c r="D207" s="7" t="s">
        <v>594</v>
      </c>
      <c r="E207" s="7" t="s">
        <v>129</v>
      </c>
      <c r="F207" s="2"/>
    </row>
    <row r="208" spans="1:6" ht="14" customHeight="1">
      <c r="A208" s="8">
        <v>16</v>
      </c>
      <c r="B208" s="7" t="str">
        <f>المدخلات!$F$5</f>
        <v>5:20–6:30 م</v>
      </c>
      <c r="C208" s="7">
        <v>4</v>
      </c>
      <c r="D208" s="7" t="s">
        <v>594</v>
      </c>
      <c r="E208" s="7" t="s">
        <v>196</v>
      </c>
      <c r="F208" s="2"/>
    </row>
    <row r="209" spans="1:6" ht="14" customHeight="1">
      <c r="A209" s="8">
        <v>16</v>
      </c>
      <c r="B209" s="7" t="str">
        <f>المدخلات!$F$5</f>
        <v>5:20–6:30 م</v>
      </c>
      <c r="C209" s="7">
        <v>5</v>
      </c>
      <c r="D209" s="7" t="s">
        <v>594</v>
      </c>
      <c r="E209" s="7" t="s">
        <v>243</v>
      </c>
      <c r="F209" s="2"/>
    </row>
    <row r="210" spans="1:6" ht="14" customHeight="1">
      <c r="A210" s="8">
        <v>16</v>
      </c>
      <c r="B210" s="7" t="str">
        <f>المدخلات!$F$6</f>
        <v>6:40–7:50 م</v>
      </c>
      <c r="C210" s="7">
        <v>4</v>
      </c>
      <c r="D210" s="7" t="s">
        <v>594</v>
      </c>
      <c r="E210" s="7" t="s">
        <v>161</v>
      </c>
      <c r="F210" s="2"/>
    </row>
    <row r="211" spans="1:6" ht="14" customHeight="1">
      <c r="A211" s="8">
        <v>16</v>
      </c>
      <c r="B211" s="7" t="str">
        <f>المدخلات!$F$6</f>
        <v>6:40–7:50 م</v>
      </c>
      <c r="C211" s="7">
        <v>5</v>
      </c>
      <c r="D211" s="7" t="s">
        <v>594</v>
      </c>
      <c r="E211" s="7" t="s">
        <v>234</v>
      </c>
      <c r="F211" s="2"/>
    </row>
    <row r="212" spans="1:6" ht="14" customHeight="1">
      <c r="A212" s="8">
        <v>17</v>
      </c>
      <c r="B212" s="7" t="str">
        <f>المدخلات!$F$4</f>
        <v>4:00–5:10 م</v>
      </c>
      <c r="C212" s="7">
        <v>1</v>
      </c>
      <c r="D212" s="7" t="s">
        <v>593</v>
      </c>
      <c r="E212" s="7" t="s">
        <v>55</v>
      </c>
      <c r="F212" s="2"/>
    </row>
    <row r="213" spans="1:6" ht="14" customHeight="1">
      <c r="A213" s="8">
        <v>17</v>
      </c>
      <c r="B213" s="7" t="str">
        <f>المدخلات!$F$4</f>
        <v>4:00–5:10 م</v>
      </c>
      <c r="C213" s="7">
        <v>2</v>
      </c>
      <c r="D213" s="7" t="s">
        <v>593</v>
      </c>
      <c r="E213" s="7" t="s">
        <v>113</v>
      </c>
      <c r="F213" s="2"/>
    </row>
    <row r="214" spans="1:6" ht="14" customHeight="1">
      <c r="A214" s="8">
        <v>17</v>
      </c>
      <c r="B214" s="7" t="str">
        <f>المدخلات!$F$4</f>
        <v>4:00–5:10 م</v>
      </c>
      <c r="C214" s="7">
        <v>3</v>
      </c>
      <c r="D214" s="7" t="s">
        <v>593</v>
      </c>
      <c r="E214" s="7" t="s">
        <v>23</v>
      </c>
      <c r="F214" s="2"/>
    </row>
    <row r="215" spans="1:6" ht="14" customHeight="1">
      <c r="A215" s="8">
        <v>17</v>
      </c>
      <c r="B215" s="7" t="str">
        <f>المدخلات!$F$5</f>
        <v>5:20–6:30 م</v>
      </c>
      <c r="C215" s="7">
        <v>1</v>
      </c>
      <c r="D215" s="7" t="s">
        <v>593</v>
      </c>
      <c r="E215" s="7" t="s">
        <v>50</v>
      </c>
      <c r="F215" s="2"/>
    </row>
    <row r="216" spans="1:6" ht="14" customHeight="1">
      <c r="A216" s="8">
        <v>17</v>
      </c>
      <c r="B216" s="7" t="str">
        <f>المدخلات!$F$5</f>
        <v>5:20–6:30 م</v>
      </c>
      <c r="C216" s="7">
        <v>2</v>
      </c>
      <c r="D216" s="7" t="s">
        <v>593</v>
      </c>
      <c r="E216" s="7" t="s">
        <v>96</v>
      </c>
      <c r="F216" s="2"/>
    </row>
    <row r="217" spans="1:6" ht="14" customHeight="1">
      <c r="A217" s="8">
        <v>17</v>
      </c>
      <c r="B217" s="7" t="str">
        <f>المدخلات!$F$5</f>
        <v>5:20–6:30 م</v>
      </c>
      <c r="C217" s="7">
        <v>3</v>
      </c>
      <c r="D217" s="7" t="s">
        <v>593</v>
      </c>
      <c r="E217" s="7" t="s">
        <v>34</v>
      </c>
      <c r="F217" s="2"/>
    </row>
    <row r="218" spans="1:6" ht="14" customHeight="1">
      <c r="A218" s="8">
        <v>17</v>
      </c>
      <c r="B218" s="7" t="str">
        <f>المدخلات!$F$6</f>
        <v>6:40–7:50 م</v>
      </c>
      <c r="C218" s="7">
        <v>1</v>
      </c>
      <c r="D218" s="7" t="s">
        <v>593</v>
      </c>
      <c r="E218" s="7" t="s">
        <v>1059</v>
      </c>
      <c r="F218" s="2"/>
    </row>
    <row r="219" spans="1:6" ht="14" customHeight="1">
      <c r="A219" s="8">
        <v>17</v>
      </c>
      <c r="B219" s="7" t="str">
        <f>المدخلات!$F$4</f>
        <v>4:00–5:10 م</v>
      </c>
      <c r="C219" s="7">
        <v>4</v>
      </c>
      <c r="D219" s="7" t="s">
        <v>594</v>
      </c>
      <c r="E219" s="7" t="s">
        <v>151</v>
      </c>
      <c r="F219" s="2"/>
    </row>
    <row r="220" spans="1:6" ht="14" customHeight="1">
      <c r="A220" s="8">
        <v>17</v>
      </c>
      <c r="B220" s="7" t="str">
        <f>المدخلات!$F$4</f>
        <v>4:00–5:10 م</v>
      </c>
      <c r="C220" s="7">
        <v>5</v>
      </c>
      <c r="D220" s="7" t="s">
        <v>594</v>
      </c>
      <c r="E220" s="7" t="s">
        <v>230</v>
      </c>
      <c r="F220" s="2"/>
    </row>
    <row r="221" spans="1:6" ht="14" customHeight="1">
      <c r="A221" s="8">
        <v>17</v>
      </c>
      <c r="B221" s="7" t="str">
        <f>المدخلات!$F$5</f>
        <v>5:20–6:30 م</v>
      </c>
      <c r="C221" s="7">
        <v>4</v>
      </c>
      <c r="D221" s="7" t="s">
        <v>594</v>
      </c>
      <c r="E221" s="7" t="s">
        <v>177</v>
      </c>
      <c r="F221" s="2"/>
    </row>
    <row r="222" spans="1:6" ht="14" customHeight="1">
      <c r="A222" s="8">
        <v>17</v>
      </c>
      <c r="B222" s="7" t="str">
        <f>المدخلات!$F$5</f>
        <v>5:20–6:30 م</v>
      </c>
      <c r="C222" s="7">
        <v>5</v>
      </c>
      <c r="D222" s="7" t="s">
        <v>594</v>
      </c>
      <c r="E222" s="7" t="s">
        <v>239</v>
      </c>
      <c r="F222" s="2"/>
    </row>
    <row r="223" spans="1:6" ht="14" customHeight="1">
      <c r="A223" s="8">
        <v>17</v>
      </c>
      <c r="B223" s="7" t="str">
        <f>المدخلات!$F$6</f>
        <v>6:40–7:50 م</v>
      </c>
      <c r="C223" s="7">
        <v>4</v>
      </c>
      <c r="D223" s="7" t="s">
        <v>594</v>
      </c>
      <c r="E223" s="7" t="s">
        <v>252</v>
      </c>
      <c r="F223" s="2"/>
    </row>
    <row r="224" spans="1:6" ht="14" customHeight="1">
      <c r="A224" s="8">
        <v>17</v>
      </c>
      <c r="B224" s="7" t="str">
        <f>المدخلات!$F$6</f>
        <v>6:40–7:50 م</v>
      </c>
      <c r="C224" s="7">
        <v>5</v>
      </c>
      <c r="D224" s="7" t="s">
        <v>594</v>
      </c>
      <c r="E224" s="7" t="s">
        <v>210</v>
      </c>
      <c r="F224" s="2"/>
    </row>
    <row r="225" spans="1:6" ht="14" customHeight="1">
      <c r="A225" s="8">
        <v>18</v>
      </c>
      <c r="B225" s="7" t="str">
        <f>المدخلات!$F$4</f>
        <v>4:00–5:10 م</v>
      </c>
      <c r="C225" s="7">
        <v>1</v>
      </c>
      <c r="D225" s="7" t="s">
        <v>593</v>
      </c>
      <c r="E225" s="7" t="s">
        <v>68</v>
      </c>
      <c r="F225" s="2"/>
    </row>
    <row r="226" spans="1:6" ht="14" customHeight="1">
      <c r="A226" s="8">
        <v>18</v>
      </c>
      <c r="B226" s="7" t="str">
        <f>المدخلات!$F$4</f>
        <v>4:00–5:10 م</v>
      </c>
      <c r="C226" s="7">
        <v>2</v>
      </c>
      <c r="D226" s="7" t="s">
        <v>593</v>
      </c>
      <c r="E226" s="7" t="s">
        <v>7</v>
      </c>
      <c r="F226" s="2"/>
    </row>
    <row r="227" spans="1:6" ht="14" customHeight="1">
      <c r="A227" s="8">
        <v>18</v>
      </c>
      <c r="B227" s="7" t="str">
        <f>المدخلات!$F$4</f>
        <v>4:00–5:10 م</v>
      </c>
      <c r="C227" s="7">
        <v>3</v>
      </c>
      <c r="D227" s="7" t="s">
        <v>593</v>
      </c>
      <c r="E227" s="7" t="s">
        <v>52</v>
      </c>
      <c r="F227" s="2"/>
    </row>
    <row r="228" spans="1:6" ht="14" customHeight="1">
      <c r="A228" s="8">
        <v>18</v>
      </c>
      <c r="B228" s="7" t="str">
        <f>المدخلات!$F$5</f>
        <v>5:20–6:30 م</v>
      </c>
      <c r="C228" s="7">
        <v>1</v>
      </c>
      <c r="D228" s="7" t="s">
        <v>593</v>
      </c>
      <c r="E228" s="7" t="s">
        <v>119</v>
      </c>
      <c r="F228" s="2"/>
    </row>
    <row r="229" spans="1:6" ht="14" customHeight="1">
      <c r="A229" s="8">
        <v>18</v>
      </c>
      <c r="B229" s="7" t="str">
        <f>المدخلات!$F$5</f>
        <v>5:20–6:30 م</v>
      </c>
      <c r="C229" s="7">
        <v>2</v>
      </c>
      <c r="D229" s="7" t="s">
        <v>593</v>
      </c>
      <c r="E229" s="7" t="s">
        <v>1054</v>
      </c>
      <c r="F229" s="2"/>
    </row>
    <row r="230" spans="1:6" ht="14" customHeight="1">
      <c r="A230" s="8">
        <v>18</v>
      </c>
      <c r="B230" s="7" t="str">
        <f>المدخلات!$F$5</f>
        <v>5:20–6:30 م</v>
      </c>
      <c r="C230" s="7">
        <v>3</v>
      </c>
      <c r="D230" s="7" t="s">
        <v>593</v>
      </c>
      <c r="E230" s="7" t="s">
        <v>19</v>
      </c>
      <c r="F230" s="2"/>
    </row>
    <row r="231" spans="1:6" ht="14" customHeight="1">
      <c r="A231" s="8">
        <v>18</v>
      </c>
      <c r="B231" s="7" t="str">
        <f>المدخلات!$F$6</f>
        <v>6:40–7:50 م</v>
      </c>
      <c r="C231" s="7">
        <v>1</v>
      </c>
      <c r="D231" s="7" t="s">
        <v>593</v>
      </c>
      <c r="E231" s="7" t="s">
        <v>724</v>
      </c>
      <c r="F231" s="2"/>
    </row>
    <row r="232" spans="1:6" ht="14" customHeight="1">
      <c r="A232" s="8">
        <v>18</v>
      </c>
      <c r="B232" s="7" t="str">
        <f>المدخلات!$F$4</f>
        <v>4:00–5:10 م</v>
      </c>
      <c r="C232" s="7">
        <v>4</v>
      </c>
      <c r="D232" s="7" t="s">
        <v>594</v>
      </c>
      <c r="E232" s="7" t="s">
        <v>248</v>
      </c>
      <c r="F232" s="2"/>
    </row>
    <row r="233" spans="1:6" ht="14" customHeight="1">
      <c r="A233" s="8">
        <v>18</v>
      </c>
      <c r="B233" s="7" t="str">
        <f>المدخلات!$F$4</f>
        <v>4:00–5:10 م</v>
      </c>
      <c r="C233" s="7">
        <v>5</v>
      </c>
      <c r="D233" s="7" t="s">
        <v>594</v>
      </c>
      <c r="E233" s="7" t="s">
        <v>197</v>
      </c>
      <c r="F233" s="2"/>
    </row>
    <row r="234" spans="1:6" ht="14" customHeight="1">
      <c r="A234" s="8">
        <v>18</v>
      </c>
      <c r="B234" s="7" t="str">
        <f>المدخلات!$F$5</f>
        <v>5:20–6:30 م</v>
      </c>
      <c r="C234" s="7">
        <v>4</v>
      </c>
      <c r="D234" s="7" t="s">
        <v>594</v>
      </c>
      <c r="E234" s="7" t="s">
        <v>1158</v>
      </c>
      <c r="F234" s="2"/>
    </row>
    <row r="235" spans="1:6" ht="14" customHeight="1">
      <c r="A235" s="8">
        <v>18</v>
      </c>
      <c r="B235" s="7" t="str">
        <f>المدخلات!$F$5</f>
        <v>5:20–6:30 م</v>
      </c>
      <c r="C235" s="7">
        <v>5</v>
      </c>
      <c r="D235" s="7" t="s">
        <v>594</v>
      </c>
      <c r="E235" s="7" t="s">
        <v>878</v>
      </c>
      <c r="F235" s="2"/>
    </row>
    <row r="236" spans="1:6" ht="14" customHeight="1">
      <c r="A236" s="8">
        <v>18</v>
      </c>
      <c r="B236" s="7" t="str">
        <f>المدخلات!$F$6</f>
        <v>6:40–7:50 م</v>
      </c>
      <c r="C236" s="7">
        <v>4</v>
      </c>
      <c r="D236" s="7" t="s">
        <v>594</v>
      </c>
      <c r="E236" s="7" t="s">
        <v>1145</v>
      </c>
      <c r="F236" s="2"/>
    </row>
    <row r="237" spans="1:6" ht="14" customHeight="1">
      <c r="A237" s="8">
        <v>19</v>
      </c>
      <c r="B237" s="7" t="str">
        <f>المدخلات!$F$4</f>
        <v>4:00–5:10 م</v>
      </c>
      <c r="C237" s="7">
        <v>4</v>
      </c>
      <c r="D237" s="7" t="s">
        <v>594</v>
      </c>
      <c r="E237" s="7" t="s">
        <v>871</v>
      </c>
      <c r="F237" s="2"/>
    </row>
    <row r="238" spans="1:6" ht="14" customHeight="1">
      <c r="A238" s="8">
        <v>19</v>
      </c>
      <c r="B238" s="7" t="str">
        <f>المدخلات!$F$4</f>
        <v>4:00–5:10 م</v>
      </c>
      <c r="C238" s="7">
        <v>5</v>
      </c>
      <c r="D238" s="7" t="s">
        <v>594</v>
      </c>
      <c r="E238" s="7" t="s">
        <v>1168</v>
      </c>
      <c r="F238" s="2"/>
    </row>
    <row r="239" spans="1:6" ht="14" customHeight="1">
      <c r="A239" s="8">
        <v>19</v>
      </c>
      <c r="B239" s="7" t="str">
        <f>المدخلات!$F$5</f>
        <v>5:20–6:30 م</v>
      </c>
      <c r="C239" s="7">
        <v>4</v>
      </c>
      <c r="D239" s="7" t="s">
        <v>594</v>
      </c>
      <c r="E239" s="7" t="s">
        <v>162</v>
      </c>
      <c r="F239" s="2"/>
    </row>
    <row r="240" spans="1:6" ht="14" customHeight="1">
      <c r="A240" s="8">
        <v>19</v>
      </c>
      <c r="B240" s="7" t="str">
        <f>المدخلات!$F$5</f>
        <v>5:20–6:30 م</v>
      </c>
      <c r="C240" s="7">
        <v>5</v>
      </c>
      <c r="D240" s="7" t="s">
        <v>594</v>
      </c>
      <c r="E240" s="7" t="s">
        <v>1167</v>
      </c>
      <c r="F240" s="2"/>
    </row>
    <row r="241" spans="1:28" ht="14" customHeight="1">
      <c r="A241" s="8">
        <v>19</v>
      </c>
      <c r="B241" s="7" t="str">
        <f>المدخلات!$F$6</f>
        <v>6:40–7:50 م</v>
      </c>
      <c r="C241" s="7">
        <v>4</v>
      </c>
      <c r="D241" s="7" t="s">
        <v>594</v>
      </c>
      <c r="E241" s="7" t="s">
        <v>1161</v>
      </c>
      <c r="F241" s="2"/>
    </row>
    <row r="242" spans="1:28" ht="14" customHeight="1">
      <c r="A242" s="8">
        <v>19</v>
      </c>
      <c r="B242" s="7" t="str">
        <f>المدخلات!$F$6</f>
        <v>6:40–7:50 م</v>
      </c>
      <c r="C242" s="7">
        <v>5</v>
      </c>
      <c r="D242" s="7" t="s">
        <v>594</v>
      </c>
      <c r="E242" s="7" t="s">
        <v>875</v>
      </c>
      <c r="F242" s="2"/>
    </row>
    <row r="243" spans="1:28" ht="14" customHeight="1">
      <c r="A243" s="8">
        <v>20</v>
      </c>
      <c r="B243" s="7" t="str">
        <f>المدخلات!$F$4</f>
        <v>4:00–5:10 م</v>
      </c>
      <c r="C243" s="7">
        <v>4</v>
      </c>
      <c r="D243" s="7" t="s">
        <v>594</v>
      </c>
      <c r="E243" s="7" t="s">
        <v>244</v>
      </c>
      <c r="F243" s="2"/>
    </row>
    <row r="244" spans="1:28" ht="14" customHeight="1">
      <c r="A244" s="8">
        <v>20</v>
      </c>
      <c r="B244" s="7" t="str">
        <f>المدخلات!$F$4</f>
        <v>4:00–5:10 م</v>
      </c>
      <c r="C244" s="7">
        <v>5</v>
      </c>
      <c r="D244" s="7" t="s">
        <v>594</v>
      </c>
      <c r="E244" s="7" t="s">
        <v>1316</v>
      </c>
      <c r="F244" s="2"/>
    </row>
    <row r="245" spans="1:28" ht="14" customHeight="1">
      <c r="A245" s="8">
        <v>20</v>
      </c>
      <c r="B245" s="7" t="str">
        <f>المدخلات!$F$5</f>
        <v>5:20–6:30 م</v>
      </c>
      <c r="C245" s="7">
        <v>4</v>
      </c>
      <c r="D245" s="7" t="s">
        <v>594</v>
      </c>
      <c r="E245" s="7" t="s">
        <v>1382</v>
      </c>
      <c r="F245" s="2"/>
    </row>
    <row r="246" spans="1:28" ht="14" customHeight="1">
      <c r="A246" s="8">
        <v>21</v>
      </c>
      <c r="B246" s="7" t="str">
        <f>المدخلات!$F$4</f>
        <v>4:00–5:10 م</v>
      </c>
      <c r="C246" s="7">
        <v>4</v>
      </c>
      <c r="D246" s="7" t="s">
        <v>594</v>
      </c>
      <c r="E246" s="7" t="s">
        <v>868</v>
      </c>
      <c r="F246" s="2"/>
    </row>
    <row r="247" spans="1:28" ht="14" customHeight="1">
      <c r="A247" s="8">
        <v>22</v>
      </c>
      <c r="B247" s="7" t="str">
        <f>المدخلات!$F$4</f>
        <v>4:00–5:10 م</v>
      </c>
      <c r="C247" s="7">
        <v>1</v>
      </c>
      <c r="D247" s="7" t="s">
        <v>656</v>
      </c>
      <c r="E247" s="7" t="s">
        <v>597</v>
      </c>
      <c r="F247" s="2"/>
    </row>
    <row r="248" spans="1:28">
      <c r="A248" s="2"/>
      <c r="B248" s="2"/>
      <c r="C248" s="2"/>
      <c r="D248" s="2"/>
      <c r="E248" s="2"/>
    </row>
    <row r="249" spans="1:28">
      <c r="A249" s="2"/>
      <c r="B249" s="2"/>
      <c r="C249" s="2"/>
      <c r="D249" s="2"/>
      <c r="E249" s="2"/>
    </row>
    <row r="250" spans="1:28" ht="14.5">
      <c r="A250" s="17" t="s">
        <v>828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14.5">
      <c r="A251" s="6" t="s">
        <v>829</v>
      </c>
      <c r="B251" s="6">
        <v>1</v>
      </c>
      <c r="C251" s="6">
        <v>2</v>
      </c>
      <c r="D251" s="6">
        <v>3</v>
      </c>
      <c r="E251" s="6">
        <v>4</v>
      </c>
      <c r="F251" s="6">
        <v>5</v>
      </c>
      <c r="G251" s="6">
        <v>6</v>
      </c>
      <c r="H251" s="6">
        <v>7</v>
      </c>
      <c r="I251" s="6">
        <v>8</v>
      </c>
      <c r="J251" s="6">
        <v>9</v>
      </c>
      <c r="K251" s="6">
        <v>10</v>
      </c>
      <c r="L251" s="6">
        <v>11</v>
      </c>
      <c r="M251" s="6">
        <v>12</v>
      </c>
      <c r="N251" s="6">
        <v>13</v>
      </c>
      <c r="O251" s="6">
        <v>14</v>
      </c>
      <c r="P251" s="6">
        <v>15</v>
      </c>
      <c r="Q251" s="6">
        <v>16</v>
      </c>
      <c r="R251" s="6">
        <v>17</v>
      </c>
      <c r="S251" s="6">
        <v>18</v>
      </c>
      <c r="T251" s="6">
        <v>19</v>
      </c>
      <c r="U251" s="6">
        <v>20</v>
      </c>
      <c r="V251" s="6">
        <v>21</v>
      </c>
      <c r="W251" s="6">
        <v>22</v>
      </c>
      <c r="X251" s="6">
        <v>23</v>
      </c>
      <c r="Y251" s="6">
        <v>24</v>
      </c>
      <c r="Z251" s="6">
        <v>25</v>
      </c>
      <c r="AA251" s="6">
        <v>26</v>
      </c>
      <c r="AB251" s="6">
        <v>27</v>
      </c>
    </row>
    <row r="252" spans="1:28" ht="14.5">
      <c r="A252" s="14">
        <v>1</v>
      </c>
      <c r="B252" s="4" t="str">
        <f>IF($A252=B$251,"",COUNTIF($E$4:$E$247,$A252&amp;" ضد "&amp;B$251)+COUNTIF($E$4:$E$247,B$251&amp;" ضد "&amp;$A252))</f>
        <v/>
      </c>
      <c r="C252" s="4">
        <f>IF($A252=C$251,"",COUNTIF($E$4:$E$247,$A252&amp;" ضد "&amp;C$251)+COUNTIF($E$4:$E$247,C$251&amp;" ضد "&amp;$A252))</f>
        <v>1</v>
      </c>
      <c r="D252" s="4">
        <f>IF($A252=D$251,"",COUNTIF($E$4:$E$247,$A252&amp;" ضد "&amp;D$251)+COUNTIF($E$4:$E$247,D$251&amp;" ضد "&amp;$A252))</f>
        <v>1</v>
      </c>
      <c r="E252" s="4">
        <f>IF($A252=E$251,"",COUNTIF($E$4:$E$247,$A252&amp;" ضد "&amp;E$251)+COUNTIF($E$4:$E$247,E$251&amp;" ضد "&amp;$A252))</f>
        <v>1</v>
      </c>
      <c r="F252" s="4">
        <f>IF($A252=F$251,"",COUNTIF($E$4:$E$247,$A252&amp;" ضد "&amp;F$251)+COUNTIF($E$4:$E$247,F$251&amp;" ضد "&amp;$A252))</f>
        <v>1</v>
      </c>
      <c r="G252" s="4">
        <f>IF($A252=G$251,"",COUNTIF($E$4:$E$247,$A252&amp;" ضد "&amp;G$251)+COUNTIF($E$4:$E$247,G$251&amp;" ضد "&amp;$A252))</f>
        <v>1</v>
      </c>
      <c r="H252" s="4">
        <f>IF($A252=H$251,"",COUNTIF($E$4:$E$247,$A252&amp;" ضد "&amp;H$251)+COUNTIF($E$4:$E$247,H$251&amp;" ضد "&amp;$A252))</f>
        <v>1</v>
      </c>
      <c r="I252" s="4">
        <f>IF($A252=I$251,"",COUNTIF($E$4:$E$247,$A252&amp;" ضد "&amp;I$251)+COUNTIF($E$4:$E$247,I$251&amp;" ضد "&amp;$A252))</f>
        <v>1</v>
      </c>
      <c r="J252" s="4">
        <f>IF($A252=J$251,"",COUNTIF($E$4:$E$247,$A252&amp;" ضد "&amp;J$251)+COUNTIF($E$4:$E$247,J$251&amp;" ضد "&amp;$A252))</f>
        <v>1</v>
      </c>
      <c r="K252" s="4">
        <f>IF($A252=K$251,"",COUNTIF($E$4:$E$247,$A252&amp;" ضد "&amp;K$251)+COUNTIF($E$4:$E$247,K$251&amp;" ضد "&amp;$A252))</f>
        <v>2</v>
      </c>
      <c r="L252" s="4">
        <f>IF($A252=L$251,"",COUNTIF($E$4:$E$247,$A252&amp;" ضد "&amp;L$251)+COUNTIF($E$4:$E$247,L$251&amp;" ضد "&amp;$A252))</f>
        <v>2</v>
      </c>
      <c r="M252" s="4">
        <f>IF($A252=M$251,"",COUNTIF($E$4:$E$247,$A252&amp;" ضد "&amp;M$251)+COUNTIF($E$4:$E$247,M$251&amp;" ضد "&amp;$A252))</f>
        <v>2</v>
      </c>
      <c r="N252" s="4">
        <f>IF($A252=N$251,"",COUNTIF($E$4:$E$247,$A252&amp;" ضد "&amp;N$251)+COUNTIF($E$4:$E$247,N$251&amp;" ضد "&amp;$A252))</f>
        <v>2</v>
      </c>
      <c r="O252" s="4">
        <f>IF($A252=O$251,"",COUNTIF($E$4:$E$247,$A252&amp;" ضد "&amp;O$251)+COUNTIF($E$4:$E$247,O$251&amp;" ضد "&amp;$A252))</f>
        <v>2</v>
      </c>
      <c r="P252" s="4">
        <f>IF($A252=P$251,"",COUNTIF($E$4:$E$247,$A252&amp;" ضد "&amp;P$251)+COUNTIF($E$4:$E$247,P$251&amp;" ضد "&amp;$A252))</f>
        <v>0</v>
      </c>
      <c r="Q252" s="4">
        <f>IF($A252=Q$251,"",COUNTIF($E$4:$E$247,$A252&amp;" ضد "&amp;Q$251)+COUNTIF($E$4:$E$247,Q$251&amp;" ضد "&amp;$A252))</f>
        <v>0</v>
      </c>
      <c r="R252" s="4">
        <f>IF($A252=R$251,"",COUNTIF($E$4:$E$247,$A252&amp;" ضد "&amp;R$251)+COUNTIF($E$4:$E$247,R$251&amp;" ضد "&amp;$A252))</f>
        <v>0</v>
      </c>
      <c r="S252" s="4">
        <f>IF($A252=S$251,"",COUNTIF($E$4:$E$247,$A252&amp;" ضد "&amp;S$251)+COUNTIF($E$4:$E$247,S$251&amp;" ضد "&amp;$A252))</f>
        <v>0</v>
      </c>
      <c r="T252" s="4">
        <f>IF($A252=T$251,"",COUNTIF($E$4:$E$247,$A252&amp;" ضد "&amp;T$251)+COUNTIF($E$4:$E$247,T$251&amp;" ضد "&amp;$A252))</f>
        <v>0</v>
      </c>
      <c r="U252" s="4">
        <f>IF($A252=U$251,"",COUNTIF($E$4:$E$247,$A252&amp;" ضد "&amp;U$251)+COUNTIF($E$4:$E$247,U$251&amp;" ضد "&amp;$A252))</f>
        <v>0</v>
      </c>
      <c r="V252" s="4">
        <f>IF($A252=V$251,"",COUNTIF($E$4:$E$247,$A252&amp;" ضد "&amp;V$251)+COUNTIF($E$4:$E$247,V$251&amp;" ضد "&amp;$A252))</f>
        <v>0</v>
      </c>
      <c r="W252" s="4">
        <f>IF($A252=W$251,"",COUNTIF($E$4:$E$247,$A252&amp;" ضد "&amp;W$251)+COUNTIF($E$4:$E$247,W$251&amp;" ضد "&amp;$A252))</f>
        <v>0</v>
      </c>
      <c r="X252" s="4">
        <f>IF($A252=X$251,"",COUNTIF($E$4:$E$247,$A252&amp;" ضد "&amp;X$251)+COUNTIF($E$4:$E$247,X$251&amp;" ضد "&amp;$A252))</f>
        <v>0</v>
      </c>
      <c r="Y252" s="4">
        <f>IF($A252=Y$251,"",COUNTIF($E$4:$E$247,$A252&amp;" ضد "&amp;Y$251)+COUNTIF($E$4:$E$247,Y$251&amp;" ضد "&amp;$A252))</f>
        <v>0</v>
      </c>
      <c r="Z252" s="4">
        <f>IF($A252=Z$251,"",COUNTIF($E$4:$E$247,$A252&amp;" ضد "&amp;Z$251)+COUNTIF($E$4:$E$247,Z$251&amp;" ضد "&amp;$A252))</f>
        <v>0</v>
      </c>
      <c r="AA252" s="4">
        <f>IF($A252=AA$251,"",COUNTIF($E$4:$E$247,$A252&amp;" ضد "&amp;AA$251)+COUNTIF($E$4:$E$247,AA$251&amp;" ضد "&amp;$A252))</f>
        <v>0</v>
      </c>
      <c r="AB252" s="4">
        <f>IF($A252=AB$251,"",COUNTIF($E$4:$E$247,$A252&amp;" ضد "&amp;AB$251)+COUNTIF($E$4:$E$247,AB$251&amp;" ضد "&amp;$A252))</f>
        <v>0</v>
      </c>
    </row>
    <row r="253" spans="1:28" ht="14.5">
      <c r="A253" s="14">
        <v>2</v>
      </c>
      <c r="B253" s="4">
        <f>IF($A253=B$251,"",COUNTIF($E$4:$E$247,$A253&amp;" ضد "&amp;B$251)+COUNTIF($E$4:$E$247,B$251&amp;" ضد "&amp;$A253))</f>
        <v>1</v>
      </c>
      <c r="C253" s="4" t="str">
        <f>IF($A253=C$251,"",COUNTIF($E$4:$E$247,$A253&amp;" ضد "&amp;C$251)+COUNTIF($E$4:$E$247,C$251&amp;" ضد "&amp;$A253))</f>
        <v/>
      </c>
      <c r="D253" s="4">
        <f>IF($A253=D$251,"",COUNTIF($E$4:$E$247,$A253&amp;" ضد "&amp;D$251)+COUNTIF($E$4:$E$247,D$251&amp;" ضد "&amp;$A253))</f>
        <v>1</v>
      </c>
      <c r="E253" s="4">
        <f>IF($A253=E$251,"",COUNTIF($E$4:$E$247,$A253&amp;" ضد "&amp;E$251)+COUNTIF($E$4:$E$247,E$251&amp;" ضد "&amp;$A253))</f>
        <v>1</v>
      </c>
      <c r="F253" s="4">
        <f>IF($A253=F$251,"",COUNTIF($E$4:$E$247,$A253&amp;" ضد "&amp;F$251)+COUNTIF($E$4:$E$247,F$251&amp;" ضد "&amp;$A253))</f>
        <v>2</v>
      </c>
      <c r="G253" s="4">
        <f>IF($A253=G$251,"",COUNTIF($E$4:$E$247,$A253&amp;" ضد "&amp;G$251)+COUNTIF($E$4:$E$247,G$251&amp;" ضد "&amp;$A253))</f>
        <v>1</v>
      </c>
      <c r="H253" s="4">
        <f>IF($A253=H$251,"",COUNTIF($E$4:$E$247,$A253&amp;" ضد "&amp;H$251)+COUNTIF($E$4:$E$247,H$251&amp;" ضد "&amp;$A253))</f>
        <v>2</v>
      </c>
      <c r="I253" s="4">
        <f>IF($A253=I$251,"",COUNTIF($E$4:$E$247,$A253&amp;" ضد "&amp;I$251)+COUNTIF($E$4:$E$247,I$251&amp;" ضد "&amp;$A253))</f>
        <v>1</v>
      </c>
      <c r="J253" s="4">
        <f>IF($A253=J$251,"",COUNTIF($E$4:$E$247,$A253&amp;" ضد "&amp;J$251)+COUNTIF($E$4:$E$247,J$251&amp;" ضد "&amp;$A253))</f>
        <v>2</v>
      </c>
      <c r="K253" s="4">
        <f>IF($A253=K$251,"",COUNTIF($E$4:$E$247,$A253&amp;" ضد "&amp;K$251)+COUNTIF($E$4:$E$247,K$251&amp;" ضد "&amp;$A253))</f>
        <v>1</v>
      </c>
      <c r="L253" s="4">
        <f>IF($A253=L$251,"",COUNTIF($E$4:$E$247,$A253&amp;" ضد "&amp;L$251)+COUNTIF($E$4:$E$247,L$251&amp;" ضد "&amp;$A253))</f>
        <v>2</v>
      </c>
      <c r="M253" s="4">
        <f>IF($A253=M$251,"",COUNTIF($E$4:$E$247,$A253&amp;" ضد "&amp;M$251)+COUNTIF($E$4:$E$247,M$251&amp;" ضد "&amp;$A253))</f>
        <v>1</v>
      </c>
      <c r="N253" s="4">
        <f>IF($A253=N$251,"",COUNTIF($E$4:$E$247,$A253&amp;" ضد "&amp;N$251)+COUNTIF($E$4:$E$247,N$251&amp;" ضد "&amp;$A253))</f>
        <v>2</v>
      </c>
      <c r="O253" s="4">
        <f>IF($A253=O$251,"",COUNTIF($E$4:$E$247,$A253&amp;" ضد "&amp;O$251)+COUNTIF($E$4:$E$247,O$251&amp;" ضد "&amp;$A253))</f>
        <v>1</v>
      </c>
      <c r="P253" s="4">
        <f>IF($A253=P$251,"",COUNTIF($E$4:$E$247,$A253&amp;" ضد "&amp;P$251)+COUNTIF($E$4:$E$247,P$251&amp;" ضد "&amp;$A253))</f>
        <v>0</v>
      </c>
      <c r="Q253" s="4">
        <f>IF($A253=Q$251,"",COUNTIF($E$4:$E$247,$A253&amp;" ضد "&amp;Q$251)+COUNTIF($E$4:$E$247,Q$251&amp;" ضد "&amp;$A253))</f>
        <v>0</v>
      </c>
      <c r="R253" s="4">
        <f>IF($A253=R$251,"",COUNTIF($E$4:$E$247,$A253&amp;" ضد "&amp;R$251)+COUNTIF($E$4:$E$247,R$251&amp;" ضد "&amp;$A253))</f>
        <v>0</v>
      </c>
      <c r="S253" s="4">
        <f>IF($A253=S$251,"",COUNTIF($E$4:$E$247,$A253&amp;" ضد "&amp;S$251)+COUNTIF($E$4:$E$247,S$251&amp;" ضد "&amp;$A253))</f>
        <v>0</v>
      </c>
      <c r="T253" s="4">
        <f>IF($A253=T$251,"",COUNTIF($E$4:$E$247,$A253&amp;" ضد "&amp;T$251)+COUNTIF($E$4:$E$247,T$251&amp;" ضد "&amp;$A253))</f>
        <v>0</v>
      </c>
      <c r="U253" s="4">
        <f>IF($A253=U$251,"",COUNTIF($E$4:$E$247,$A253&amp;" ضد "&amp;U$251)+COUNTIF($E$4:$E$247,U$251&amp;" ضد "&amp;$A253))</f>
        <v>0</v>
      </c>
      <c r="V253" s="4">
        <f>IF($A253=V$251,"",COUNTIF($E$4:$E$247,$A253&amp;" ضد "&amp;V$251)+COUNTIF($E$4:$E$247,V$251&amp;" ضد "&amp;$A253))</f>
        <v>0</v>
      </c>
      <c r="W253" s="4">
        <f>IF($A253=W$251,"",COUNTIF($E$4:$E$247,$A253&amp;" ضد "&amp;W$251)+COUNTIF($E$4:$E$247,W$251&amp;" ضد "&amp;$A253))</f>
        <v>0</v>
      </c>
      <c r="X253" s="4">
        <f>IF($A253=X$251,"",COUNTIF($E$4:$E$247,$A253&amp;" ضد "&amp;X$251)+COUNTIF($E$4:$E$247,X$251&amp;" ضد "&amp;$A253))</f>
        <v>0</v>
      </c>
      <c r="Y253" s="4">
        <f>IF($A253=Y$251,"",COUNTIF($E$4:$E$247,$A253&amp;" ضد "&amp;Y$251)+COUNTIF($E$4:$E$247,Y$251&amp;" ضد "&amp;$A253))</f>
        <v>0</v>
      </c>
      <c r="Z253" s="4">
        <f>IF($A253=Z$251,"",COUNTIF($E$4:$E$247,$A253&amp;" ضد "&amp;Z$251)+COUNTIF($E$4:$E$247,Z$251&amp;" ضد "&amp;$A253))</f>
        <v>0</v>
      </c>
      <c r="AA253" s="4">
        <f>IF($A253=AA$251,"",COUNTIF($E$4:$E$247,$A253&amp;" ضد "&amp;AA$251)+COUNTIF($E$4:$E$247,AA$251&amp;" ضد "&amp;$A253))</f>
        <v>0</v>
      </c>
      <c r="AB253" s="4">
        <f>IF($A253=AB$251,"",COUNTIF($E$4:$E$247,$A253&amp;" ضد "&amp;AB$251)+COUNTIF($E$4:$E$247,AB$251&amp;" ضد "&amp;$A253))</f>
        <v>0</v>
      </c>
    </row>
    <row r="254" spans="1:28" ht="14.5">
      <c r="A254" s="14">
        <v>3</v>
      </c>
      <c r="B254" s="4">
        <f>IF($A254=B$251,"",COUNTIF($E$4:$E$247,$A254&amp;" ضد "&amp;B$251)+COUNTIF($E$4:$E$247,B$251&amp;" ضد "&amp;$A254))</f>
        <v>1</v>
      </c>
      <c r="C254" s="4">
        <f>IF($A254=C$251,"",COUNTIF($E$4:$E$247,$A254&amp;" ضد "&amp;C$251)+COUNTIF($E$4:$E$247,C$251&amp;" ضد "&amp;$A254))</f>
        <v>1</v>
      </c>
      <c r="D254" s="4" t="str">
        <f>IF($A254=D$251,"",COUNTIF($E$4:$E$247,$A254&amp;" ضد "&amp;D$251)+COUNTIF($E$4:$E$247,D$251&amp;" ضد "&amp;$A254))</f>
        <v/>
      </c>
      <c r="E254" s="4">
        <f>IF($A254=E$251,"",COUNTIF($E$4:$E$247,$A254&amp;" ضد "&amp;E$251)+COUNTIF($E$4:$E$247,E$251&amp;" ضد "&amp;$A254))</f>
        <v>2</v>
      </c>
      <c r="F254" s="4">
        <f>IF($A254=F$251,"",COUNTIF($E$4:$E$247,$A254&amp;" ضد "&amp;F$251)+COUNTIF($E$4:$E$247,F$251&amp;" ضد "&amp;$A254))</f>
        <v>1</v>
      </c>
      <c r="G254" s="4">
        <f>IF($A254=G$251,"",COUNTIF($E$4:$E$247,$A254&amp;" ضد "&amp;G$251)+COUNTIF($E$4:$E$247,G$251&amp;" ضد "&amp;$A254))</f>
        <v>2</v>
      </c>
      <c r="H254" s="4">
        <f>IF($A254=H$251,"",COUNTIF($E$4:$E$247,$A254&amp;" ضد "&amp;H$251)+COUNTIF($E$4:$E$247,H$251&amp;" ضد "&amp;$A254))</f>
        <v>1</v>
      </c>
      <c r="I254" s="4">
        <f>IF($A254=I$251,"",COUNTIF($E$4:$E$247,$A254&amp;" ضد "&amp;I$251)+COUNTIF($E$4:$E$247,I$251&amp;" ضد "&amp;$A254))</f>
        <v>2</v>
      </c>
      <c r="J254" s="4">
        <f>IF($A254=J$251,"",COUNTIF($E$4:$E$247,$A254&amp;" ضد "&amp;J$251)+COUNTIF($E$4:$E$247,J$251&amp;" ضد "&amp;$A254))</f>
        <v>1</v>
      </c>
      <c r="K254" s="4">
        <f>IF($A254=K$251,"",COUNTIF($E$4:$E$247,$A254&amp;" ضد "&amp;K$251)+COUNTIF($E$4:$E$247,K$251&amp;" ضد "&amp;$A254))</f>
        <v>2</v>
      </c>
      <c r="L254" s="4">
        <f>IF($A254=L$251,"",COUNTIF($E$4:$E$247,$A254&amp;" ضد "&amp;L$251)+COUNTIF($E$4:$E$247,L$251&amp;" ضد "&amp;$A254))</f>
        <v>1</v>
      </c>
      <c r="M254" s="4">
        <f>IF($A254=M$251,"",COUNTIF($E$4:$E$247,$A254&amp;" ضد "&amp;M$251)+COUNTIF($E$4:$E$247,M$251&amp;" ضد "&amp;$A254))</f>
        <v>2</v>
      </c>
      <c r="N254" s="4">
        <f>IF($A254=N$251,"",COUNTIF($E$4:$E$247,$A254&amp;" ضد "&amp;N$251)+COUNTIF($E$4:$E$247,N$251&amp;" ضد "&amp;$A254))</f>
        <v>1</v>
      </c>
      <c r="O254" s="4">
        <f>IF($A254=O$251,"",COUNTIF($E$4:$E$247,$A254&amp;" ضد "&amp;O$251)+COUNTIF($E$4:$E$247,O$251&amp;" ضد "&amp;$A254))</f>
        <v>1</v>
      </c>
      <c r="P254" s="4">
        <f>IF($A254=P$251,"",COUNTIF($E$4:$E$247,$A254&amp;" ضد "&amp;P$251)+COUNTIF($E$4:$E$247,P$251&amp;" ضد "&amp;$A254))</f>
        <v>0</v>
      </c>
      <c r="Q254" s="4">
        <f>IF($A254=Q$251,"",COUNTIF($E$4:$E$247,$A254&amp;" ضد "&amp;Q$251)+COUNTIF($E$4:$E$247,Q$251&amp;" ضد "&amp;$A254))</f>
        <v>0</v>
      </c>
      <c r="R254" s="4">
        <f>IF($A254=R$251,"",COUNTIF($E$4:$E$247,$A254&amp;" ضد "&amp;R$251)+COUNTIF($E$4:$E$247,R$251&amp;" ضد "&amp;$A254))</f>
        <v>0</v>
      </c>
      <c r="S254" s="4">
        <f>IF($A254=S$251,"",COUNTIF($E$4:$E$247,$A254&amp;" ضد "&amp;S$251)+COUNTIF($E$4:$E$247,S$251&amp;" ضد "&amp;$A254))</f>
        <v>0</v>
      </c>
      <c r="T254" s="4">
        <f>IF($A254=T$251,"",COUNTIF($E$4:$E$247,$A254&amp;" ضد "&amp;T$251)+COUNTIF($E$4:$E$247,T$251&amp;" ضد "&amp;$A254))</f>
        <v>0</v>
      </c>
      <c r="U254" s="4">
        <f>IF($A254=U$251,"",COUNTIF($E$4:$E$247,$A254&amp;" ضد "&amp;U$251)+COUNTIF($E$4:$E$247,U$251&amp;" ضد "&amp;$A254))</f>
        <v>0</v>
      </c>
      <c r="V254" s="4">
        <f>IF($A254=V$251,"",COUNTIF($E$4:$E$247,$A254&amp;" ضد "&amp;V$251)+COUNTIF($E$4:$E$247,V$251&amp;" ضد "&amp;$A254))</f>
        <v>0</v>
      </c>
      <c r="W254" s="4">
        <f>IF($A254=W$251,"",COUNTIF($E$4:$E$247,$A254&amp;" ضد "&amp;W$251)+COUNTIF($E$4:$E$247,W$251&amp;" ضد "&amp;$A254))</f>
        <v>0</v>
      </c>
      <c r="X254" s="4">
        <f>IF($A254=X$251,"",COUNTIF($E$4:$E$247,$A254&amp;" ضد "&amp;X$251)+COUNTIF($E$4:$E$247,X$251&amp;" ضد "&amp;$A254))</f>
        <v>0</v>
      </c>
      <c r="Y254" s="4">
        <f>IF($A254=Y$251,"",COUNTIF($E$4:$E$247,$A254&amp;" ضد "&amp;Y$251)+COUNTIF($E$4:$E$247,Y$251&amp;" ضد "&amp;$A254))</f>
        <v>0</v>
      </c>
      <c r="Z254" s="4">
        <f>IF($A254=Z$251,"",COUNTIF($E$4:$E$247,$A254&amp;" ضد "&amp;Z$251)+COUNTIF($E$4:$E$247,Z$251&amp;" ضد "&amp;$A254))</f>
        <v>0</v>
      </c>
      <c r="AA254" s="4">
        <f>IF($A254=AA$251,"",COUNTIF($E$4:$E$247,$A254&amp;" ضد "&amp;AA$251)+COUNTIF($E$4:$E$247,AA$251&amp;" ضد "&amp;$A254))</f>
        <v>0</v>
      </c>
      <c r="AB254" s="4">
        <f>IF($A254=AB$251,"",COUNTIF($E$4:$E$247,$A254&amp;" ضد "&amp;AB$251)+COUNTIF($E$4:$E$247,AB$251&amp;" ضد "&amp;$A254))</f>
        <v>0</v>
      </c>
    </row>
    <row r="255" spans="1:28" ht="14.5">
      <c r="A255" s="14">
        <v>4</v>
      </c>
      <c r="B255" s="4">
        <f>IF($A255=B$251,"",COUNTIF($E$4:$E$247,$A255&amp;" ضد "&amp;B$251)+COUNTIF($E$4:$E$247,B$251&amp;" ضد "&amp;$A255))</f>
        <v>1</v>
      </c>
      <c r="C255" s="4">
        <f>IF($A255=C$251,"",COUNTIF($E$4:$E$247,$A255&amp;" ضد "&amp;C$251)+COUNTIF($E$4:$E$247,C$251&amp;" ضد "&amp;$A255))</f>
        <v>1</v>
      </c>
      <c r="D255" s="4">
        <f>IF($A255=D$251,"",COUNTIF($E$4:$E$247,$A255&amp;" ضد "&amp;D$251)+COUNTIF($E$4:$E$247,D$251&amp;" ضد "&amp;$A255))</f>
        <v>2</v>
      </c>
      <c r="E255" s="4" t="str">
        <f>IF($A255=E$251,"",COUNTIF($E$4:$E$247,$A255&amp;" ضد "&amp;E$251)+COUNTIF($E$4:$E$247,E$251&amp;" ضد "&amp;$A255))</f>
        <v/>
      </c>
      <c r="F255" s="4">
        <f>IF($A255=F$251,"",COUNTIF($E$4:$E$247,$A255&amp;" ضد "&amp;F$251)+COUNTIF($E$4:$E$247,F$251&amp;" ضد "&amp;$A255))</f>
        <v>2</v>
      </c>
      <c r="G255" s="4">
        <f>IF($A255=G$251,"",COUNTIF($E$4:$E$247,$A255&amp;" ضد "&amp;G$251)+COUNTIF($E$4:$E$247,G$251&amp;" ضد "&amp;$A255))</f>
        <v>1</v>
      </c>
      <c r="H255" s="4">
        <f>IF($A255=H$251,"",COUNTIF($E$4:$E$247,$A255&amp;" ضد "&amp;H$251)+COUNTIF($E$4:$E$247,H$251&amp;" ضد "&amp;$A255))</f>
        <v>2</v>
      </c>
      <c r="I255" s="4">
        <f>IF($A255=I$251,"",COUNTIF($E$4:$E$247,$A255&amp;" ضد "&amp;I$251)+COUNTIF($E$4:$E$247,I$251&amp;" ضد "&amp;$A255))</f>
        <v>1</v>
      </c>
      <c r="J255" s="4">
        <f>IF($A255=J$251,"",COUNTIF($E$4:$E$247,$A255&amp;" ضد "&amp;J$251)+COUNTIF($E$4:$E$247,J$251&amp;" ضد "&amp;$A255))</f>
        <v>2</v>
      </c>
      <c r="K255" s="4">
        <f>IF($A255=K$251,"",COUNTIF($E$4:$E$247,$A255&amp;" ضد "&amp;K$251)+COUNTIF($E$4:$E$247,K$251&amp;" ضد "&amp;$A255))</f>
        <v>1</v>
      </c>
      <c r="L255" s="4">
        <f>IF($A255=L$251,"",COUNTIF($E$4:$E$247,$A255&amp;" ضد "&amp;L$251)+COUNTIF($E$4:$E$247,L$251&amp;" ضد "&amp;$A255))</f>
        <v>2</v>
      </c>
      <c r="M255" s="4">
        <f>IF($A255=M$251,"",COUNTIF($E$4:$E$247,$A255&amp;" ضد "&amp;M$251)+COUNTIF($E$4:$E$247,M$251&amp;" ضد "&amp;$A255))</f>
        <v>1</v>
      </c>
      <c r="N255" s="4">
        <f>IF($A255=N$251,"",COUNTIF($E$4:$E$247,$A255&amp;" ضد "&amp;N$251)+COUNTIF($E$4:$E$247,N$251&amp;" ضد "&amp;$A255))</f>
        <v>1</v>
      </c>
      <c r="O255" s="4">
        <f>IF($A255=O$251,"",COUNTIF($E$4:$E$247,$A255&amp;" ضد "&amp;O$251)+COUNTIF($E$4:$E$247,O$251&amp;" ضد "&amp;$A255))</f>
        <v>1</v>
      </c>
      <c r="P255" s="4">
        <f>IF($A255=P$251,"",COUNTIF($E$4:$E$247,$A255&amp;" ضد "&amp;P$251)+COUNTIF($E$4:$E$247,P$251&amp;" ضد "&amp;$A255))</f>
        <v>0</v>
      </c>
      <c r="Q255" s="4">
        <f>IF($A255=Q$251,"",COUNTIF($E$4:$E$247,$A255&amp;" ضد "&amp;Q$251)+COUNTIF($E$4:$E$247,Q$251&amp;" ضد "&amp;$A255))</f>
        <v>0</v>
      </c>
      <c r="R255" s="4">
        <f>IF($A255=R$251,"",COUNTIF($E$4:$E$247,$A255&amp;" ضد "&amp;R$251)+COUNTIF($E$4:$E$247,R$251&amp;" ضد "&amp;$A255))</f>
        <v>0</v>
      </c>
      <c r="S255" s="4">
        <f>IF($A255=S$251,"",COUNTIF($E$4:$E$247,$A255&amp;" ضد "&amp;S$251)+COUNTIF($E$4:$E$247,S$251&amp;" ضد "&amp;$A255))</f>
        <v>0</v>
      </c>
      <c r="T255" s="4">
        <f>IF($A255=T$251,"",COUNTIF($E$4:$E$247,$A255&amp;" ضد "&amp;T$251)+COUNTIF($E$4:$E$247,T$251&amp;" ضد "&amp;$A255))</f>
        <v>0</v>
      </c>
      <c r="U255" s="4">
        <f>IF($A255=U$251,"",COUNTIF($E$4:$E$247,$A255&amp;" ضد "&amp;U$251)+COUNTIF($E$4:$E$247,U$251&amp;" ضد "&amp;$A255))</f>
        <v>0</v>
      </c>
      <c r="V255" s="4">
        <f>IF($A255=V$251,"",COUNTIF($E$4:$E$247,$A255&amp;" ضد "&amp;V$251)+COUNTIF($E$4:$E$247,V$251&amp;" ضد "&amp;$A255))</f>
        <v>0</v>
      </c>
      <c r="W255" s="4">
        <f>IF($A255=W$251,"",COUNTIF($E$4:$E$247,$A255&amp;" ضد "&amp;W$251)+COUNTIF($E$4:$E$247,W$251&amp;" ضد "&amp;$A255))</f>
        <v>0</v>
      </c>
      <c r="X255" s="4">
        <f>IF($A255=X$251,"",COUNTIF($E$4:$E$247,$A255&amp;" ضد "&amp;X$251)+COUNTIF($E$4:$E$247,X$251&amp;" ضد "&amp;$A255))</f>
        <v>0</v>
      </c>
      <c r="Y255" s="4">
        <f>IF($A255=Y$251,"",COUNTIF($E$4:$E$247,$A255&amp;" ضد "&amp;Y$251)+COUNTIF($E$4:$E$247,Y$251&amp;" ضد "&amp;$A255))</f>
        <v>0</v>
      </c>
      <c r="Z255" s="4">
        <f>IF($A255=Z$251,"",COUNTIF($E$4:$E$247,$A255&amp;" ضد "&amp;Z$251)+COUNTIF($E$4:$E$247,Z$251&amp;" ضد "&amp;$A255))</f>
        <v>0</v>
      </c>
      <c r="AA255" s="4">
        <f>IF($A255=AA$251,"",COUNTIF($E$4:$E$247,$A255&amp;" ضد "&amp;AA$251)+COUNTIF($E$4:$E$247,AA$251&amp;" ضد "&amp;$A255))</f>
        <v>0</v>
      </c>
      <c r="AB255" s="4">
        <f>IF($A255=AB$251,"",COUNTIF($E$4:$E$247,$A255&amp;" ضد "&amp;AB$251)+COUNTIF($E$4:$E$247,AB$251&amp;" ضد "&amp;$A255))</f>
        <v>0</v>
      </c>
    </row>
    <row r="256" spans="1:28" ht="14.5">
      <c r="A256" s="14">
        <v>5</v>
      </c>
      <c r="B256" s="4">
        <f>IF($A256=B$251,"",COUNTIF($E$4:$E$247,$A256&amp;" ضد "&amp;B$251)+COUNTIF($E$4:$E$247,B$251&amp;" ضد "&amp;$A256))</f>
        <v>1</v>
      </c>
      <c r="C256" s="4">
        <f>IF($A256=C$251,"",COUNTIF($E$4:$E$247,$A256&amp;" ضد "&amp;C$251)+COUNTIF($E$4:$E$247,C$251&amp;" ضد "&amp;$A256))</f>
        <v>2</v>
      </c>
      <c r="D256" s="4">
        <f>IF($A256=D$251,"",COUNTIF($E$4:$E$247,$A256&amp;" ضد "&amp;D$251)+COUNTIF($E$4:$E$247,D$251&amp;" ضد "&amp;$A256))</f>
        <v>1</v>
      </c>
      <c r="E256" s="4">
        <f>IF($A256=E$251,"",COUNTIF($E$4:$E$247,$A256&amp;" ضد "&amp;E$251)+COUNTIF($E$4:$E$247,E$251&amp;" ضد "&amp;$A256))</f>
        <v>2</v>
      </c>
      <c r="F256" s="4" t="str">
        <f>IF($A256=F$251,"",COUNTIF($E$4:$E$247,$A256&amp;" ضد "&amp;F$251)+COUNTIF($E$4:$E$247,F$251&amp;" ضد "&amp;$A256))</f>
        <v/>
      </c>
      <c r="G256" s="4">
        <f>IF($A256=G$251,"",COUNTIF($E$4:$E$247,$A256&amp;" ضد "&amp;G$251)+COUNTIF($E$4:$E$247,G$251&amp;" ضد "&amp;$A256))</f>
        <v>2</v>
      </c>
      <c r="H256" s="4">
        <f>IF($A256=H$251,"",COUNTIF($E$4:$E$247,$A256&amp;" ضد "&amp;H$251)+COUNTIF($E$4:$E$247,H$251&amp;" ضد "&amp;$A256))</f>
        <v>1</v>
      </c>
      <c r="I256" s="4">
        <f>IF($A256=I$251,"",COUNTIF($E$4:$E$247,$A256&amp;" ضد "&amp;I$251)+COUNTIF($E$4:$E$247,I$251&amp;" ضد "&amp;$A256))</f>
        <v>2</v>
      </c>
      <c r="J256" s="4">
        <f>IF($A256=J$251,"",COUNTIF($E$4:$E$247,$A256&amp;" ضد "&amp;J$251)+COUNTIF($E$4:$E$247,J$251&amp;" ضد "&amp;$A256))</f>
        <v>1</v>
      </c>
      <c r="K256" s="4">
        <f>IF($A256=K$251,"",COUNTIF($E$4:$E$247,$A256&amp;" ضد "&amp;K$251)+COUNTIF($E$4:$E$247,K$251&amp;" ضد "&amp;$A256))</f>
        <v>2</v>
      </c>
      <c r="L256" s="4">
        <f>IF($A256=L$251,"",COUNTIF($E$4:$E$247,$A256&amp;" ضد "&amp;L$251)+COUNTIF($E$4:$E$247,L$251&amp;" ضد "&amp;$A256))</f>
        <v>1</v>
      </c>
      <c r="M256" s="4">
        <f>IF($A256=M$251,"",COUNTIF($E$4:$E$247,$A256&amp;" ضد "&amp;M$251)+COUNTIF($E$4:$E$247,M$251&amp;" ضد "&amp;$A256))</f>
        <v>1</v>
      </c>
      <c r="N256" s="4">
        <f>IF($A256=N$251,"",COUNTIF($E$4:$E$247,$A256&amp;" ضد "&amp;N$251)+COUNTIF($E$4:$E$247,N$251&amp;" ضد "&amp;$A256))</f>
        <v>1</v>
      </c>
      <c r="O256" s="4">
        <f>IF($A256=O$251,"",COUNTIF($E$4:$E$247,$A256&amp;" ضد "&amp;O$251)+COUNTIF($E$4:$E$247,O$251&amp;" ضد "&amp;$A256))</f>
        <v>1</v>
      </c>
      <c r="P256" s="4">
        <f>IF($A256=P$251,"",COUNTIF($E$4:$E$247,$A256&amp;" ضد "&amp;P$251)+COUNTIF($E$4:$E$247,P$251&amp;" ضد "&amp;$A256))</f>
        <v>0</v>
      </c>
      <c r="Q256" s="4">
        <f>IF($A256=Q$251,"",COUNTIF($E$4:$E$247,$A256&amp;" ضد "&amp;Q$251)+COUNTIF($E$4:$E$247,Q$251&amp;" ضد "&amp;$A256))</f>
        <v>0</v>
      </c>
      <c r="R256" s="4">
        <f>IF($A256=R$251,"",COUNTIF($E$4:$E$247,$A256&amp;" ضد "&amp;R$251)+COUNTIF($E$4:$E$247,R$251&amp;" ضد "&amp;$A256))</f>
        <v>0</v>
      </c>
      <c r="S256" s="4">
        <f>IF($A256=S$251,"",COUNTIF($E$4:$E$247,$A256&amp;" ضد "&amp;S$251)+COUNTIF($E$4:$E$247,S$251&amp;" ضد "&amp;$A256))</f>
        <v>0</v>
      </c>
      <c r="T256" s="4">
        <f>IF($A256=T$251,"",COUNTIF($E$4:$E$247,$A256&amp;" ضد "&amp;T$251)+COUNTIF($E$4:$E$247,T$251&amp;" ضد "&amp;$A256))</f>
        <v>0</v>
      </c>
      <c r="U256" s="4">
        <f>IF($A256=U$251,"",COUNTIF($E$4:$E$247,$A256&amp;" ضد "&amp;U$251)+COUNTIF($E$4:$E$247,U$251&amp;" ضد "&amp;$A256))</f>
        <v>0</v>
      </c>
      <c r="V256" s="4">
        <f>IF($A256=V$251,"",COUNTIF($E$4:$E$247,$A256&amp;" ضد "&amp;V$251)+COUNTIF($E$4:$E$247,V$251&amp;" ضد "&amp;$A256))</f>
        <v>0</v>
      </c>
      <c r="W256" s="4">
        <f>IF($A256=W$251,"",COUNTIF($E$4:$E$247,$A256&amp;" ضد "&amp;W$251)+COUNTIF($E$4:$E$247,W$251&amp;" ضد "&amp;$A256))</f>
        <v>0</v>
      </c>
      <c r="X256" s="4">
        <f>IF($A256=X$251,"",COUNTIF($E$4:$E$247,$A256&amp;" ضد "&amp;X$251)+COUNTIF($E$4:$E$247,X$251&amp;" ضد "&amp;$A256))</f>
        <v>0</v>
      </c>
      <c r="Y256" s="4">
        <f>IF($A256=Y$251,"",COUNTIF($E$4:$E$247,$A256&amp;" ضد "&amp;Y$251)+COUNTIF($E$4:$E$247,Y$251&amp;" ضد "&amp;$A256))</f>
        <v>0</v>
      </c>
      <c r="Z256" s="4">
        <f>IF($A256=Z$251,"",COUNTIF($E$4:$E$247,$A256&amp;" ضد "&amp;Z$251)+COUNTIF($E$4:$E$247,Z$251&amp;" ضد "&amp;$A256))</f>
        <v>0</v>
      </c>
      <c r="AA256" s="4">
        <f>IF($A256=AA$251,"",COUNTIF($E$4:$E$247,$A256&amp;" ضد "&amp;AA$251)+COUNTIF($E$4:$E$247,AA$251&amp;" ضد "&amp;$A256))</f>
        <v>0</v>
      </c>
      <c r="AB256" s="4">
        <f>IF($A256=AB$251,"",COUNTIF($E$4:$E$247,$A256&amp;" ضد "&amp;AB$251)+COUNTIF($E$4:$E$247,AB$251&amp;" ضد "&amp;$A256))</f>
        <v>0</v>
      </c>
    </row>
    <row r="257" spans="1:28" ht="14.5">
      <c r="A257" s="14">
        <v>6</v>
      </c>
      <c r="B257" s="4">
        <f>IF($A257=B$251,"",COUNTIF($E$4:$E$247,$A257&amp;" ضد "&amp;B$251)+COUNTIF($E$4:$E$247,B$251&amp;" ضد "&amp;$A257))</f>
        <v>1</v>
      </c>
      <c r="C257" s="4">
        <f>IF($A257=C$251,"",COUNTIF($E$4:$E$247,$A257&amp;" ضد "&amp;C$251)+COUNTIF($E$4:$E$247,C$251&amp;" ضد "&amp;$A257))</f>
        <v>1</v>
      </c>
      <c r="D257" s="4">
        <f>IF($A257=D$251,"",COUNTIF($E$4:$E$247,$A257&amp;" ضد "&amp;D$251)+COUNTIF($E$4:$E$247,D$251&amp;" ضد "&amp;$A257))</f>
        <v>2</v>
      </c>
      <c r="E257" s="4">
        <f>IF($A257=E$251,"",COUNTIF($E$4:$E$247,$A257&amp;" ضد "&amp;E$251)+COUNTIF($E$4:$E$247,E$251&amp;" ضد "&amp;$A257))</f>
        <v>1</v>
      </c>
      <c r="F257" s="4">
        <f>IF($A257=F$251,"",COUNTIF($E$4:$E$247,$A257&amp;" ضد "&amp;F$251)+COUNTIF($E$4:$E$247,F$251&amp;" ضد "&amp;$A257))</f>
        <v>2</v>
      </c>
      <c r="G257" s="4" t="str">
        <f>IF($A257=G$251,"",COUNTIF($E$4:$E$247,$A257&amp;" ضد "&amp;G$251)+COUNTIF($E$4:$E$247,G$251&amp;" ضد "&amp;$A257))</f>
        <v/>
      </c>
      <c r="H257" s="4">
        <f>IF($A257=H$251,"",COUNTIF($E$4:$E$247,$A257&amp;" ضد "&amp;H$251)+COUNTIF($E$4:$E$247,H$251&amp;" ضد "&amp;$A257))</f>
        <v>2</v>
      </c>
      <c r="I257" s="4">
        <f>IF($A257=I$251,"",COUNTIF($E$4:$E$247,$A257&amp;" ضد "&amp;I$251)+COUNTIF($E$4:$E$247,I$251&amp;" ضد "&amp;$A257))</f>
        <v>1</v>
      </c>
      <c r="J257" s="4">
        <f>IF($A257=J$251,"",COUNTIF($E$4:$E$247,$A257&amp;" ضد "&amp;J$251)+COUNTIF($E$4:$E$247,J$251&amp;" ضد "&amp;$A257))</f>
        <v>2</v>
      </c>
      <c r="K257" s="4">
        <f>IF($A257=K$251,"",COUNTIF($E$4:$E$247,$A257&amp;" ضد "&amp;K$251)+COUNTIF($E$4:$E$247,K$251&amp;" ضد "&amp;$A257))</f>
        <v>1</v>
      </c>
      <c r="L257" s="4">
        <f>IF($A257=L$251,"",COUNTIF($E$4:$E$247,$A257&amp;" ضد "&amp;L$251)+COUNTIF($E$4:$E$247,L$251&amp;" ضد "&amp;$A257))</f>
        <v>1</v>
      </c>
      <c r="M257" s="4">
        <f>IF($A257=M$251,"",COUNTIF($E$4:$E$247,$A257&amp;" ضد "&amp;M$251)+COUNTIF($E$4:$E$247,M$251&amp;" ضد "&amp;$A257))</f>
        <v>1</v>
      </c>
      <c r="N257" s="4">
        <f>IF($A257=N$251,"",COUNTIF($E$4:$E$247,$A257&amp;" ضد "&amp;N$251)+COUNTIF($E$4:$E$247,N$251&amp;" ضد "&amp;$A257))</f>
        <v>1</v>
      </c>
      <c r="O257" s="4">
        <f>IF($A257=O$251,"",COUNTIF($E$4:$E$247,$A257&amp;" ضد "&amp;O$251)+COUNTIF($E$4:$E$247,O$251&amp;" ضد "&amp;$A257))</f>
        <v>2</v>
      </c>
      <c r="P257" s="4">
        <f>IF($A257=P$251,"",COUNTIF($E$4:$E$247,$A257&amp;" ضد "&amp;P$251)+COUNTIF($E$4:$E$247,P$251&amp;" ضد "&amp;$A257))</f>
        <v>0</v>
      </c>
      <c r="Q257" s="4">
        <f>IF($A257=Q$251,"",COUNTIF($E$4:$E$247,$A257&amp;" ضد "&amp;Q$251)+COUNTIF($E$4:$E$247,Q$251&amp;" ضد "&amp;$A257))</f>
        <v>0</v>
      </c>
      <c r="R257" s="4">
        <f>IF($A257=R$251,"",COUNTIF($E$4:$E$247,$A257&amp;" ضد "&amp;R$251)+COUNTIF($E$4:$E$247,R$251&amp;" ضد "&amp;$A257))</f>
        <v>0</v>
      </c>
      <c r="S257" s="4">
        <f>IF($A257=S$251,"",COUNTIF($E$4:$E$247,$A257&amp;" ضد "&amp;S$251)+COUNTIF($E$4:$E$247,S$251&amp;" ضد "&amp;$A257))</f>
        <v>0</v>
      </c>
      <c r="T257" s="4">
        <f>IF($A257=T$251,"",COUNTIF($E$4:$E$247,$A257&amp;" ضد "&amp;T$251)+COUNTIF($E$4:$E$247,T$251&amp;" ضد "&amp;$A257))</f>
        <v>0</v>
      </c>
      <c r="U257" s="4">
        <f>IF($A257=U$251,"",COUNTIF($E$4:$E$247,$A257&amp;" ضد "&amp;U$251)+COUNTIF($E$4:$E$247,U$251&amp;" ضد "&amp;$A257))</f>
        <v>0</v>
      </c>
      <c r="V257" s="4">
        <f>IF($A257=V$251,"",COUNTIF($E$4:$E$247,$A257&amp;" ضد "&amp;V$251)+COUNTIF($E$4:$E$247,V$251&amp;" ضد "&amp;$A257))</f>
        <v>0</v>
      </c>
      <c r="W257" s="4">
        <f>IF($A257=W$251,"",COUNTIF($E$4:$E$247,$A257&amp;" ضد "&amp;W$251)+COUNTIF($E$4:$E$247,W$251&amp;" ضد "&amp;$A257))</f>
        <v>0</v>
      </c>
      <c r="X257" s="4">
        <f>IF($A257=X$251,"",COUNTIF($E$4:$E$247,$A257&amp;" ضد "&amp;X$251)+COUNTIF($E$4:$E$247,X$251&amp;" ضد "&amp;$A257))</f>
        <v>0</v>
      </c>
      <c r="Y257" s="4">
        <f>IF($A257=Y$251,"",COUNTIF($E$4:$E$247,$A257&amp;" ضد "&amp;Y$251)+COUNTIF($E$4:$E$247,Y$251&amp;" ضد "&amp;$A257))</f>
        <v>0</v>
      </c>
      <c r="Z257" s="4">
        <f>IF($A257=Z$251,"",COUNTIF($E$4:$E$247,$A257&amp;" ضد "&amp;Z$251)+COUNTIF($E$4:$E$247,Z$251&amp;" ضد "&amp;$A257))</f>
        <v>0</v>
      </c>
      <c r="AA257" s="4">
        <f>IF($A257=AA$251,"",COUNTIF($E$4:$E$247,$A257&amp;" ضد "&amp;AA$251)+COUNTIF($E$4:$E$247,AA$251&amp;" ضد "&amp;$A257))</f>
        <v>0</v>
      </c>
      <c r="AB257" s="4">
        <f>IF($A257=AB$251,"",COUNTIF($E$4:$E$247,$A257&amp;" ضد "&amp;AB$251)+COUNTIF($E$4:$E$247,AB$251&amp;" ضد "&amp;$A257))</f>
        <v>0</v>
      </c>
    </row>
    <row r="258" spans="1:28" ht="14.5">
      <c r="A258" s="14">
        <v>7</v>
      </c>
      <c r="B258" s="4">
        <f>IF($A258=B$251,"",COUNTIF($E$4:$E$247,$A258&amp;" ضد "&amp;B$251)+COUNTIF($E$4:$E$247,B$251&amp;" ضد "&amp;$A258))</f>
        <v>1</v>
      </c>
      <c r="C258" s="4">
        <f>IF($A258=C$251,"",COUNTIF($E$4:$E$247,$A258&amp;" ضد "&amp;C$251)+COUNTIF($E$4:$E$247,C$251&amp;" ضد "&amp;$A258))</f>
        <v>2</v>
      </c>
      <c r="D258" s="4">
        <f>IF($A258=D$251,"",COUNTIF($E$4:$E$247,$A258&amp;" ضد "&amp;D$251)+COUNTIF($E$4:$E$247,D$251&amp;" ضد "&amp;$A258))</f>
        <v>1</v>
      </c>
      <c r="E258" s="4">
        <f>IF($A258=E$251,"",COUNTIF($E$4:$E$247,$A258&amp;" ضد "&amp;E$251)+COUNTIF($E$4:$E$247,E$251&amp;" ضد "&amp;$A258))</f>
        <v>2</v>
      </c>
      <c r="F258" s="4">
        <f>IF($A258=F$251,"",COUNTIF($E$4:$E$247,$A258&amp;" ضد "&amp;F$251)+COUNTIF($E$4:$E$247,F$251&amp;" ضد "&amp;$A258))</f>
        <v>1</v>
      </c>
      <c r="G258" s="4">
        <f>IF($A258=G$251,"",COUNTIF($E$4:$E$247,$A258&amp;" ضد "&amp;G$251)+COUNTIF($E$4:$E$247,G$251&amp;" ضد "&amp;$A258))</f>
        <v>2</v>
      </c>
      <c r="H258" s="4" t="str">
        <f>IF($A258=H$251,"",COUNTIF($E$4:$E$247,$A258&amp;" ضد "&amp;H$251)+COUNTIF($E$4:$E$247,H$251&amp;" ضد "&amp;$A258))</f>
        <v/>
      </c>
      <c r="I258" s="4">
        <f>IF($A258=I$251,"",COUNTIF($E$4:$E$247,$A258&amp;" ضد "&amp;I$251)+COUNTIF($E$4:$E$247,I$251&amp;" ضد "&amp;$A258))</f>
        <v>2</v>
      </c>
      <c r="J258" s="4">
        <f>IF($A258=J$251,"",COUNTIF($E$4:$E$247,$A258&amp;" ضد "&amp;J$251)+COUNTIF($E$4:$E$247,J$251&amp;" ضد "&amp;$A258))</f>
        <v>1</v>
      </c>
      <c r="K258" s="4">
        <f>IF($A258=K$251,"",COUNTIF($E$4:$E$247,$A258&amp;" ضد "&amp;K$251)+COUNTIF($E$4:$E$247,K$251&amp;" ضد "&amp;$A258))</f>
        <v>1</v>
      </c>
      <c r="L258" s="4">
        <f>IF($A258=L$251,"",COUNTIF($E$4:$E$247,$A258&amp;" ضد "&amp;L$251)+COUNTIF($E$4:$E$247,L$251&amp;" ضد "&amp;$A258))</f>
        <v>1</v>
      </c>
      <c r="M258" s="4">
        <f>IF($A258=M$251,"",COUNTIF($E$4:$E$247,$A258&amp;" ضد "&amp;M$251)+COUNTIF($E$4:$E$247,M$251&amp;" ضد "&amp;$A258))</f>
        <v>1</v>
      </c>
      <c r="N258" s="4">
        <f>IF($A258=N$251,"",COUNTIF($E$4:$E$247,$A258&amp;" ضد "&amp;N$251)+COUNTIF($E$4:$E$247,N$251&amp;" ضد "&amp;$A258))</f>
        <v>2</v>
      </c>
      <c r="O258" s="4">
        <f>IF($A258=O$251,"",COUNTIF($E$4:$E$247,$A258&amp;" ضد "&amp;O$251)+COUNTIF($E$4:$E$247,O$251&amp;" ضد "&amp;$A258))</f>
        <v>1</v>
      </c>
      <c r="P258" s="4">
        <f>IF($A258=P$251,"",COUNTIF($E$4:$E$247,$A258&amp;" ضد "&amp;P$251)+COUNTIF($E$4:$E$247,P$251&amp;" ضد "&amp;$A258))</f>
        <v>0</v>
      </c>
      <c r="Q258" s="4">
        <f>IF($A258=Q$251,"",COUNTIF($E$4:$E$247,$A258&amp;" ضد "&amp;Q$251)+COUNTIF($E$4:$E$247,Q$251&amp;" ضد "&amp;$A258))</f>
        <v>0</v>
      </c>
      <c r="R258" s="4">
        <f>IF($A258=R$251,"",COUNTIF($E$4:$E$247,$A258&amp;" ضد "&amp;R$251)+COUNTIF($E$4:$E$247,R$251&amp;" ضد "&amp;$A258))</f>
        <v>0</v>
      </c>
      <c r="S258" s="4">
        <f>IF($A258=S$251,"",COUNTIF($E$4:$E$247,$A258&amp;" ضد "&amp;S$251)+COUNTIF($E$4:$E$247,S$251&amp;" ضد "&amp;$A258))</f>
        <v>0</v>
      </c>
      <c r="T258" s="4">
        <f>IF($A258=T$251,"",COUNTIF($E$4:$E$247,$A258&amp;" ضد "&amp;T$251)+COUNTIF($E$4:$E$247,T$251&amp;" ضد "&amp;$A258))</f>
        <v>0</v>
      </c>
      <c r="U258" s="4">
        <f>IF($A258=U$251,"",COUNTIF($E$4:$E$247,$A258&amp;" ضد "&amp;U$251)+COUNTIF($E$4:$E$247,U$251&amp;" ضد "&amp;$A258))</f>
        <v>0</v>
      </c>
      <c r="V258" s="4">
        <f>IF($A258=V$251,"",COUNTIF($E$4:$E$247,$A258&amp;" ضد "&amp;V$251)+COUNTIF($E$4:$E$247,V$251&amp;" ضد "&amp;$A258))</f>
        <v>0</v>
      </c>
      <c r="W258" s="4">
        <f>IF($A258=W$251,"",COUNTIF($E$4:$E$247,$A258&amp;" ضد "&amp;W$251)+COUNTIF($E$4:$E$247,W$251&amp;" ضد "&amp;$A258))</f>
        <v>0</v>
      </c>
      <c r="X258" s="4">
        <f>IF($A258=X$251,"",COUNTIF($E$4:$E$247,$A258&amp;" ضد "&amp;X$251)+COUNTIF($E$4:$E$247,X$251&amp;" ضد "&amp;$A258))</f>
        <v>0</v>
      </c>
      <c r="Y258" s="4">
        <f>IF($A258=Y$251,"",COUNTIF($E$4:$E$247,$A258&amp;" ضد "&amp;Y$251)+COUNTIF($E$4:$E$247,Y$251&amp;" ضد "&amp;$A258))</f>
        <v>0</v>
      </c>
      <c r="Z258" s="4">
        <f>IF($A258=Z$251,"",COUNTIF($E$4:$E$247,$A258&amp;" ضد "&amp;Z$251)+COUNTIF($E$4:$E$247,Z$251&amp;" ضد "&amp;$A258))</f>
        <v>0</v>
      </c>
      <c r="AA258" s="4">
        <f>IF($A258=AA$251,"",COUNTIF($E$4:$E$247,$A258&amp;" ضد "&amp;AA$251)+COUNTIF($E$4:$E$247,AA$251&amp;" ضد "&amp;$A258))</f>
        <v>0</v>
      </c>
      <c r="AB258" s="4">
        <f>IF($A258=AB$251,"",COUNTIF($E$4:$E$247,$A258&amp;" ضد "&amp;AB$251)+COUNTIF($E$4:$E$247,AB$251&amp;" ضد "&amp;$A258))</f>
        <v>0</v>
      </c>
    </row>
    <row r="259" spans="1:28" ht="14.5">
      <c r="A259" s="14">
        <v>8</v>
      </c>
      <c r="B259" s="4">
        <f>IF($A259=B$251,"",COUNTIF($E$4:$E$247,$A259&amp;" ضد "&amp;B$251)+COUNTIF($E$4:$E$247,B$251&amp;" ضد "&amp;$A259))</f>
        <v>1</v>
      </c>
      <c r="C259" s="4">
        <f>IF($A259=C$251,"",COUNTIF($E$4:$E$247,$A259&amp;" ضد "&amp;C$251)+COUNTIF($E$4:$E$247,C$251&amp;" ضد "&amp;$A259))</f>
        <v>1</v>
      </c>
      <c r="D259" s="4">
        <f>IF($A259=D$251,"",COUNTIF($E$4:$E$247,$A259&amp;" ضد "&amp;D$251)+COUNTIF($E$4:$E$247,D$251&amp;" ضد "&amp;$A259))</f>
        <v>2</v>
      </c>
      <c r="E259" s="4">
        <f>IF($A259=E$251,"",COUNTIF($E$4:$E$247,$A259&amp;" ضد "&amp;E$251)+COUNTIF($E$4:$E$247,E$251&amp;" ضد "&amp;$A259))</f>
        <v>1</v>
      </c>
      <c r="F259" s="4">
        <f>IF($A259=F$251,"",COUNTIF($E$4:$E$247,$A259&amp;" ضد "&amp;F$251)+COUNTIF($E$4:$E$247,F$251&amp;" ضد "&amp;$A259))</f>
        <v>2</v>
      </c>
      <c r="G259" s="4">
        <f>IF($A259=G$251,"",COUNTIF($E$4:$E$247,$A259&amp;" ضد "&amp;G$251)+COUNTIF($E$4:$E$247,G$251&amp;" ضد "&amp;$A259))</f>
        <v>1</v>
      </c>
      <c r="H259" s="4">
        <f>IF($A259=H$251,"",COUNTIF($E$4:$E$247,$A259&amp;" ضد "&amp;H$251)+COUNTIF($E$4:$E$247,H$251&amp;" ضد "&amp;$A259))</f>
        <v>2</v>
      </c>
      <c r="I259" s="4" t="str">
        <f>IF($A259=I$251,"",COUNTIF($E$4:$E$247,$A259&amp;" ضد "&amp;I$251)+COUNTIF($E$4:$E$247,I$251&amp;" ضد "&amp;$A259))</f>
        <v/>
      </c>
      <c r="J259" s="4">
        <f>IF($A259=J$251,"",COUNTIF($E$4:$E$247,$A259&amp;" ضد "&amp;J$251)+COUNTIF($E$4:$E$247,J$251&amp;" ضد "&amp;$A259))</f>
        <v>1</v>
      </c>
      <c r="K259" s="4">
        <f>IF($A259=K$251,"",COUNTIF($E$4:$E$247,$A259&amp;" ضد "&amp;K$251)+COUNTIF($E$4:$E$247,K$251&amp;" ضد "&amp;$A259))</f>
        <v>1</v>
      </c>
      <c r="L259" s="4">
        <f>IF($A259=L$251,"",COUNTIF($E$4:$E$247,$A259&amp;" ضد "&amp;L$251)+COUNTIF($E$4:$E$247,L$251&amp;" ضد "&amp;$A259))</f>
        <v>1</v>
      </c>
      <c r="M259" s="4">
        <f>IF($A259=M$251,"",COUNTIF($E$4:$E$247,$A259&amp;" ضد "&amp;M$251)+COUNTIF($E$4:$E$247,M$251&amp;" ضد "&amp;$A259))</f>
        <v>2</v>
      </c>
      <c r="N259" s="4">
        <f>IF($A259=N$251,"",COUNTIF($E$4:$E$247,$A259&amp;" ضد "&amp;N$251)+COUNTIF($E$4:$E$247,N$251&amp;" ضد "&amp;$A259))</f>
        <v>1</v>
      </c>
      <c r="O259" s="4">
        <f>IF($A259=O$251,"",COUNTIF($E$4:$E$247,$A259&amp;" ضد "&amp;O$251)+COUNTIF($E$4:$E$247,O$251&amp;" ضد "&amp;$A259))</f>
        <v>2</v>
      </c>
      <c r="P259" s="4">
        <f>IF($A259=P$251,"",COUNTIF($E$4:$E$247,$A259&amp;" ضد "&amp;P$251)+COUNTIF($E$4:$E$247,P$251&amp;" ضد "&amp;$A259))</f>
        <v>0</v>
      </c>
      <c r="Q259" s="4">
        <f>IF($A259=Q$251,"",COUNTIF($E$4:$E$247,$A259&amp;" ضد "&amp;Q$251)+COUNTIF($E$4:$E$247,Q$251&amp;" ضد "&amp;$A259))</f>
        <v>0</v>
      </c>
      <c r="R259" s="4">
        <f>IF($A259=R$251,"",COUNTIF($E$4:$E$247,$A259&amp;" ضد "&amp;R$251)+COUNTIF($E$4:$E$247,R$251&amp;" ضد "&amp;$A259))</f>
        <v>0</v>
      </c>
      <c r="S259" s="4">
        <f>IF($A259=S$251,"",COUNTIF($E$4:$E$247,$A259&amp;" ضد "&amp;S$251)+COUNTIF($E$4:$E$247,S$251&amp;" ضد "&amp;$A259))</f>
        <v>0</v>
      </c>
      <c r="T259" s="4">
        <f>IF($A259=T$251,"",COUNTIF($E$4:$E$247,$A259&amp;" ضد "&amp;T$251)+COUNTIF($E$4:$E$247,T$251&amp;" ضد "&amp;$A259))</f>
        <v>0</v>
      </c>
      <c r="U259" s="4">
        <f>IF($A259=U$251,"",COUNTIF($E$4:$E$247,$A259&amp;" ضد "&amp;U$251)+COUNTIF($E$4:$E$247,U$251&amp;" ضد "&amp;$A259))</f>
        <v>0</v>
      </c>
      <c r="V259" s="4">
        <f>IF($A259=V$251,"",COUNTIF($E$4:$E$247,$A259&amp;" ضد "&amp;V$251)+COUNTIF($E$4:$E$247,V$251&amp;" ضد "&amp;$A259))</f>
        <v>0</v>
      </c>
      <c r="W259" s="4">
        <f>IF($A259=W$251,"",COUNTIF($E$4:$E$247,$A259&amp;" ضد "&amp;W$251)+COUNTIF($E$4:$E$247,W$251&amp;" ضد "&amp;$A259))</f>
        <v>0</v>
      </c>
      <c r="X259" s="4">
        <f>IF($A259=X$251,"",COUNTIF($E$4:$E$247,$A259&amp;" ضد "&amp;X$251)+COUNTIF($E$4:$E$247,X$251&amp;" ضد "&amp;$A259))</f>
        <v>0</v>
      </c>
      <c r="Y259" s="4">
        <f>IF($A259=Y$251,"",COUNTIF($E$4:$E$247,$A259&amp;" ضد "&amp;Y$251)+COUNTIF($E$4:$E$247,Y$251&amp;" ضد "&amp;$A259))</f>
        <v>0</v>
      </c>
      <c r="Z259" s="4">
        <f>IF($A259=Z$251,"",COUNTIF($E$4:$E$247,$A259&amp;" ضد "&amp;Z$251)+COUNTIF($E$4:$E$247,Z$251&amp;" ضد "&amp;$A259))</f>
        <v>0</v>
      </c>
      <c r="AA259" s="4">
        <f>IF($A259=AA$251,"",COUNTIF($E$4:$E$247,$A259&amp;" ضد "&amp;AA$251)+COUNTIF($E$4:$E$247,AA$251&amp;" ضد "&amp;$A259))</f>
        <v>0</v>
      </c>
      <c r="AB259" s="4">
        <f>IF($A259=AB$251,"",COUNTIF($E$4:$E$247,$A259&amp;" ضد "&amp;AB$251)+COUNTIF($E$4:$E$247,AB$251&amp;" ضد "&amp;$A259))</f>
        <v>0</v>
      </c>
    </row>
    <row r="260" spans="1:28" ht="14.5">
      <c r="A260" s="14">
        <v>9</v>
      </c>
      <c r="B260" s="4">
        <f>IF($A260=B$251,"",COUNTIF($E$4:$E$247,$A260&amp;" ضد "&amp;B$251)+COUNTIF($E$4:$E$247,B$251&amp;" ضد "&amp;$A260))</f>
        <v>1</v>
      </c>
      <c r="C260" s="4">
        <f>IF($A260=C$251,"",COUNTIF($E$4:$E$247,$A260&amp;" ضد "&amp;C$251)+COUNTIF($E$4:$E$247,C$251&amp;" ضد "&amp;$A260))</f>
        <v>2</v>
      </c>
      <c r="D260" s="4">
        <f>IF($A260=D$251,"",COUNTIF($E$4:$E$247,$A260&amp;" ضد "&amp;D$251)+COUNTIF($E$4:$E$247,D$251&amp;" ضد "&amp;$A260))</f>
        <v>1</v>
      </c>
      <c r="E260" s="4">
        <f>IF($A260=E$251,"",COUNTIF($E$4:$E$247,$A260&amp;" ضد "&amp;E$251)+COUNTIF($E$4:$E$247,E$251&amp;" ضد "&amp;$A260))</f>
        <v>2</v>
      </c>
      <c r="F260" s="4">
        <f>IF($A260=F$251,"",COUNTIF($E$4:$E$247,$A260&amp;" ضد "&amp;F$251)+COUNTIF($E$4:$E$247,F$251&amp;" ضد "&amp;$A260))</f>
        <v>1</v>
      </c>
      <c r="G260" s="4">
        <f>IF($A260=G$251,"",COUNTIF($E$4:$E$247,$A260&amp;" ضد "&amp;G$251)+COUNTIF($E$4:$E$247,G$251&amp;" ضد "&amp;$A260))</f>
        <v>2</v>
      </c>
      <c r="H260" s="4">
        <f>IF($A260=H$251,"",COUNTIF($E$4:$E$247,$A260&amp;" ضد "&amp;H$251)+COUNTIF($E$4:$E$247,H$251&amp;" ضد "&amp;$A260))</f>
        <v>1</v>
      </c>
      <c r="I260" s="4">
        <f>IF($A260=I$251,"",COUNTIF($E$4:$E$247,$A260&amp;" ضد "&amp;I$251)+COUNTIF($E$4:$E$247,I$251&amp;" ضد "&amp;$A260))</f>
        <v>1</v>
      </c>
      <c r="J260" s="4" t="str">
        <f>IF($A260=J$251,"",COUNTIF($E$4:$E$247,$A260&amp;" ضد "&amp;J$251)+COUNTIF($E$4:$E$247,J$251&amp;" ضد "&amp;$A260))</f>
        <v/>
      </c>
      <c r="K260" s="4">
        <f>IF($A260=K$251,"",COUNTIF($E$4:$E$247,$A260&amp;" ضد "&amp;K$251)+COUNTIF($E$4:$E$247,K$251&amp;" ضد "&amp;$A260))</f>
        <v>1</v>
      </c>
      <c r="L260" s="4">
        <f>IF($A260=L$251,"",COUNTIF($E$4:$E$247,$A260&amp;" ضد "&amp;L$251)+COUNTIF($E$4:$E$247,L$251&amp;" ضد "&amp;$A260))</f>
        <v>2</v>
      </c>
      <c r="M260" s="4">
        <f>IF($A260=M$251,"",COUNTIF($E$4:$E$247,$A260&amp;" ضد "&amp;M$251)+COUNTIF($E$4:$E$247,M$251&amp;" ضد "&amp;$A260))</f>
        <v>1</v>
      </c>
      <c r="N260" s="4">
        <f>IF($A260=N$251,"",COUNTIF($E$4:$E$247,$A260&amp;" ضد "&amp;N$251)+COUNTIF($E$4:$E$247,N$251&amp;" ضد "&amp;$A260))</f>
        <v>2</v>
      </c>
      <c r="O260" s="4">
        <f>IF($A260=O$251,"",COUNTIF($E$4:$E$247,$A260&amp;" ضد "&amp;O$251)+COUNTIF($E$4:$E$247,O$251&amp;" ضد "&amp;$A260))</f>
        <v>1</v>
      </c>
      <c r="P260" s="4">
        <f>IF($A260=P$251,"",COUNTIF($E$4:$E$247,$A260&amp;" ضد "&amp;P$251)+COUNTIF($E$4:$E$247,P$251&amp;" ضد "&amp;$A260))</f>
        <v>0</v>
      </c>
      <c r="Q260" s="4">
        <f>IF($A260=Q$251,"",COUNTIF($E$4:$E$247,$A260&amp;" ضد "&amp;Q$251)+COUNTIF($E$4:$E$247,Q$251&amp;" ضد "&amp;$A260))</f>
        <v>0</v>
      </c>
      <c r="R260" s="4">
        <f>IF($A260=R$251,"",COUNTIF($E$4:$E$247,$A260&amp;" ضد "&amp;R$251)+COUNTIF($E$4:$E$247,R$251&amp;" ضد "&amp;$A260))</f>
        <v>0</v>
      </c>
      <c r="S260" s="4">
        <f>IF($A260=S$251,"",COUNTIF($E$4:$E$247,$A260&amp;" ضد "&amp;S$251)+COUNTIF($E$4:$E$247,S$251&amp;" ضد "&amp;$A260))</f>
        <v>0</v>
      </c>
      <c r="T260" s="4">
        <f>IF($A260=T$251,"",COUNTIF($E$4:$E$247,$A260&amp;" ضد "&amp;T$251)+COUNTIF($E$4:$E$247,T$251&amp;" ضد "&amp;$A260))</f>
        <v>0</v>
      </c>
      <c r="U260" s="4">
        <f>IF($A260=U$251,"",COUNTIF($E$4:$E$247,$A260&amp;" ضد "&amp;U$251)+COUNTIF($E$4:$E$247,U$251&amp;" ضد "&amp;$A260))</f>
        <v>0</v>
      </c>
      <c r="V260" s="4">
        <f>IF($A260=V$251,"",COUNTIF($E$4:$E$247,$A260&amp;" ضد "&amp;V$251)+COUNTIF($E$4:$E$247,V$251&amp;" ضد "&amp;$A260))</f>
        <v>0</v>
      </c>
      <c r="W260" s="4">
        <f>IF($A260=W$251,"",COUNTIF($E$4:$E$247,$A260&amp;" ضد "&amp;W$251)+COUNTIF($E$4:$E$247,W$251&amp;" ضد "&amp;$A260))</f>
        <v>0</v>
      </c>
      <c r="X260" s="4">
        <f>IF($A260=X$251,"",COUNTIF($E$4:$E$247,$A260&amp;" ضد "&amp;X$251)+COUNTIF($E$4:$E$247,X$251&amp;" ضد "&amp;$A260))</f>
        <v>0</v>
      </c>
      <c r="Y260" s="4">
        <f>IF($A260=Y$251,"",COUNTIF($E$4:$E$247,$A260&amp;" ضد "&amp;Y$251)+COUNTIF($E$4:$E$247,Y$251&amp;" ضد "&amp;$A260))</f>
        <v>0</v>
      </c>
      <c r="Z260" s="4">
        <f>IF($A260=Z$251,"",COUNTIF($E$4:$E$247,$A260&amp;" ضد "&amp;Z$251)+COUNTIF($E$4:$E$247,Z$251&amp;" ضد "&amp;$A260))</f>
        <v>0</v>
      </c>
      <c r="AA260" s="4">
        <f>IF($A260=AA$251,"",COUNTIF($E$4:$E$247,$A260&amp;" ضد "&amp;AA$251)+COUNTIF($E$4:$E$247,AA$251&amp;" ضد "&amp;$A260))</f>
        <v>0</v>
      </c>
      <c r="AB260" s="4">
        <f>IF($A260=AB$251,"",COUNTIF($E$4:$E$247,$A260&amp;" ضد "&amp;AB$251)+COUNTIF($E$4:$E$247,AB$251&amp;" ضد "&amp;$A260))</f>
        <v>0</v>
      </c>
    </row>
    <row r="261" spans="1:28" ht="14.5">
      <c r="A261" s="14">
        <v>10</v>
      </c>
      <c r="B261" s="4">
        <f>IF($A261=B$251,"",COUNTIF($E$4:$E$247,$A261&amp;" ضد "&amp;B$251)+COUNTIF($E$4:$E$247,B$251&amp;" ضد "&amp;$A261))</f>
        <v>2</v>
      </c>
      <c r="C261" s="4">
        <f>IF($A261=C$251,"",COUNTIF($E$4:$E$247,$A261&amp;" ضد "&amp;C$251)+COUNTIF($E$4:$E$247,C$251&amp;" ضد "&amp;$A261))</f>
        <v>1</v>
      </c>
      <c r="D261" s="4">
        <f>IF($A261=D$251,"",COUNTIF($E$4:$E$247,$A261&amp;" ضد "&amp;D$251)+COUNTIF($E$4:$E$247,D$251&amp;" ضد "&amp;$A261))</f>
        <v>2</v>
      </c>
      <c r="E261" s="4">
        <f>IF($A261=E$251,"",COUNTIF($E$4:$E$247,$A261&amp;" ضد "&amp;E$251)+COUNTIF($E$4:$E$247,E$251&amp;" ضد "&amp;$A261))</f>
        <v>1</v>
      </c>
      <c r="F261" s="4">
        <f>IF($A261=F$251,"",COUNTIF($E$4:$E$247,$A261&amp;" ضد "&amp;F$251)+COUNTIF($E$4:$E$247,F$251&amp;" ضد "&amp;$A261))</f>
        <v>2</v>
      </c>
      <c r="G261" s="4">
        <f>IF($A261=G$251,"",COUNTIF($E$4:$E$247,$A261&amp;" ضد "&amp;G$251)+COUNTIF($E$4:$E$247,G$251&amp;" ضد "&amp;$A261))</f>
        <v>1</v>
      </c>
      <c r="H261" s="4">
        <f>IF($A261=H$251,"",COUNTIF($E$4:$E$247,$A261&amp;" ضد "&amp;H$251)+COUNTIF($E$4:$E$247,H$251&amp;" ضد "&amp;$A261))</f>
        <v>1</v>
      </c>
      <c r="I261" s="4">
        <f>IF($A261=I$251,"",COUNTIF($E$4:$E$247,$A261&amp;" ضد "&amp;I$251)+COUNTIF($E$4:$E$247,I$251&amp;" ضد "&amp;$A261))</f>
        <v>1</v>
      </c>
      <c r="J261" s="4">
        <f>IF($A261=J$251,"",COUNTIF($E$4:$E$247,$A261&amp;" ضد "&amp;J$251)+COUNTIF($E$4:$E$247,J$251&amp;" ضد "&amp;$A261))</f>
        <v>1</v>
      </c>
      <c r="K261" s="4" t="str">
        <f>IF($A261=K$251,"",COUNTIF($E$4:$E$247,$A261&amp;" ضد "&amp;K$251)+COUNTIF($E$4:$E$247,K$251&amp;" ضد "&amp;$A261))</f>
        <v/>
      </c>
      <c r="L261" s="4">
        <f>IF($A261=L$251,"",COUNTIF($E$4:$E$247,$A261&amp;" ضد "&amp;L$251)+COUNTIF($E$4:$E$247,L$251&amp;" ضد "&amp;$A261))</f>
        <v>1</v>
      </c>
      <c r="M261" s="4">
        <f>IF($A261=M$251,"",COUNTIF($E$4:$E$247,$A261&amp;" ضد "&amp;M$251)+COUNTIF($E$4:$E$247,M$251&amp;" ضد "&amp;$A261))</f>
        <v>2</v>
      </c>
      <c r="N261" s="4">
        <f>IF($A261=N$251,"",COUNTIF($E$4:$E$247,$A261&amp;" ضد "&amp;N$251)+COUNTIF($E$4:$E$247,N$251&amp;" ضد "&amp;$A261))</f>
        <v>1</v>
      </c>
      <c r="O261" s="4">
        <f>IF($A261=O$251,"",COUNTIF($E$4:$E$247,$A261&amp;" ضد "&amp;O$251)+COUNTIF($E$4:$E$247,O$251&amp;" ضد "&amp;$A261))</f>
        <v>2</v>
      </c>
      <c r="P261" s="4">
        <f>IF($A261=P$251,"",COUNTIF($E$4:$E$247,$A261&amp;" ضد "&amp;P$251)+COUNTIF($E$4:$E$247,P$251&amp;" ضد "&amp;$A261))</f>
        <v>0</v>
      </c>
      <c r="Q261" s="4">
        <f>IF($A261=Q$251,"",COUNTIF($E$4:$E$247,$A261&amp;" ضد "&amp;Q$251)+COUNTIF($E$4:$E$247,Q$251&amp;" ضد "&amp;$A261))</f>
        <v>0</v>
      </c>
      <c r="R261" s="4">
        <f>IF($A261=R$251,"",COUNTIF($E$4:$E$247,$A261&amp;" ضد "&amp;R$251)+COUNTIF($E$4:$E$247,R$251&amp;" ضد "&amp;$A261))</f>
        <v>0</v>
      </c>
      <c r="S261" s="4">
        <f>IF($A261=S$251,"",COUNTIF($E$4:$E$247,$A261&amp;" ضد "&amp;S$251)+COUNTIF($E$4:$E$247,S$251&amp;" ضد "&amp;$A261))</f>
        <v>0</v>
      </c>
      <c r="T261" s="4">
        <f>IF($A261=T$251,"",COUNTIF($E$4:$E$247,$A261&amp;" ضد "&amp;T$251)+COUNTIF($E$4:$E$247,T$251&amp;" ضد "&amp;$A261))</f>
        <v>0</v>
      </c>
      <c r="U261" s="4">
        <f>IF($A261=U$251,"",COUNTIF($E$4:$E$247,$A261&amp;" ضد "&amp;U$251)+COUNTIF($E$4:$E$247,U$251&amp;" ضد "&amp;$A261))</f>
        <v>0</v>
      </c>
      <c r="V261" s="4">
        <f>IF($A261=V$251,"",COUNTIF($E$4:$E$247,$A261&amp;" ضد "&amp;V$251)+COUNTIF($E$4:$E$247,V$251&amp;" ضد "&amp;$A261))</f>
        <v>0</v>
      </c>
      <c r="W261" s="4">
        <f>IF($A261=W$251,"",COUNTIF($E$4:$E$247,$A261&amp;" ضد "&amp;W$251)+COUNTIF($E$4:$E$247,W$251&amp;" ضد "&amp;$A261))</f>
        <v>0</v>
      </c>
      <c r="X261" s="4">
        <f>IF($A261=X$251,"",COUNTIF($E$4:$E$247,$A261&amp;" ضد "&amp;X$251)+COUNTIF($E$4:$E$247,X$251&amp;" ضد "&amp;$A261))</f>
        <v>0</v>
      </c>
      <c r="Y261" s="4">
        <f>IF($A261=Y$251,"",COUNTIF($E$4:$E$247,$A261&amp;" ضد "&amp;Y$251)+COUNTIF($E$4:$E$247,Y$251&amp;" ضد "&amp;$A261))</f>
        <v>0</v>
      </c>
      <c r="Z261" s="4">
        <f>IF($A261=Z$251,"",COUNTIF($E$4:$E$247,$A261&amp;" ضد "&amp;Z$251)+COUNTIF($E$4:$E$247,Z$251&amp;" ضد "&amp;$A261))</f>
        <v>0</v>
      </c>
      <c r="AA261" s="4">
        <f>IF($A261=AA$251,"",COUNTIF($E$4:$E$247,$A261&amp;" ضد "&amp;AA$251)+COUNTIF($E$4:$E$247,AA$251&amp;" ضد "&amp;$A261))</f>
        <v>0</v>
      </c>
      <c r="AB261" s="4">
        <f>IF($A261=AB$251,"",COUNTIF($E$4:$E$247,$A261&amp;" ضد "&amp;AB$251)+COUNTIF($E$4:$E$247,AB$251&amp;" ضد "&amp;$A261))</f>
        <v>0</v>
      </c>
    </row>
    <row r="262" spans="1:28" ht="14.5">
      <c r="A262" s="14">
        <v>11</v>
      </c>
      <c r="B262" s="4">
        <f>IF($A262=B$251,"",COUNTIF($E$4:$E$247,$A262&amp;" ضد "&amp;B$251)+COUNTIF($E$4:$E$247,B$251&amp;" ضد "&amp;$A262))</f>
        <v>2</v>
      </c>
      <c r="C262" s="4">
        <f>IF($A262=C$251,"",COUNTIF($E$4:$E$247,$A262&amp;" ضد "&amp;C$251)+COUNTIF($E$4:$E$247,C$251&amp;" ضد "&amp;$A262))</f>
        <v>2</v>
      </c>
      <c r="D262" s="4">
        <f>IF($A262=D$251,"",COUNTIF($E$4:$E$247,$A262&amp;" ضد "&amp;D$251)+COUNTIF($E$4:$E$247,D$251&amp;" ضد "&amp;$A262))</f>
        <v>1</v>
      </c>
      <c r="E262" s="4">
        <f>IF($A262=E$251,"",COUNTIF($E$4:$E$247,$A262&amp;" ضد "&amp;E$251)+COUNTIF($E$4:$E$247,E$251&amp;" ضد "&amp;$A262))</f>
        <v>2</v>
      </c>
      <c r="F262" s="4">
        <f>IF($A262=F$251,"",COUNTIF($E$4:$E$247,$A262&amp;" ضد "&amp;F$251)+COUNTIF($E$4:$E$247,F$251&amp;" ضد "&amp;$A262))</f>
        <v>1</v>
      </c>
      <c r="G262" s="4">
        <f>IF($A262=G$251,"",COUNTIF($E$4:$E$247,$A262&amp;" ضد "&amp;G$251)+COUNTIF($E$4:$E$247,G$251&amp;" ضد "&amp;$A262))</f>
        <v>1</v>
      </c>
      <c r="H262" s="4">
        <f>IF($A262=H$251,"",COUNTIF($E$4:$E$247,$A262&amp;" ضد "&amp;H$251)+COUNTIF($E$4:$E$247,H$251&amp;" ضد "&amp;$A262))</f>
        <v>1</v>
      </c>
      <c r="I262" s="4">
        <f>IF($A262=I$251,"",COUNTIF($E$4:$E$247,$A262&amp;" ضد "&amp;I$251)+COUNTIF($E$4:$E$247,I$251&amp;" ضد "&amp;$A262))</f>
        <v>1</v>
      </c>
      <c r="J262" s="4">
        <f>IF($A262=J$251,"",COUNTIF($E$4:$E$247,$A262&amp;" ضد "&amp;J$251)+COUNTIF($E$4:$E$247,J$251&amp;" ضد "&amp;$A262))</f>
        <v>2</v>
      </c>
      <c r="K262" s="4">
        <f>IF($A262=K$251,"",COUNTIF($E$4:$E$247,$A262&amp;" ضد "&amp;K$251)+COUNTIF($E$4:$E$247,K$251&amp;" ضد "&amp;$A262))</f>
        <v>1</v>
      </c>
      <c r="L262" s="4" t="str">
        <f>IF($A262=L$251,"",COUNTIF($E$4:$E$247,$A262&amp;" ضد "&amp;L$251)+COUNTIF($E$4:$E$247,L$251&amp;" ضد "&amp;$A262))</f>
        <v/>
      </c>
      <c r="M262" s="4">
        <f>IF($A262=M$251,"",COUNTIF($E$4:$E$247,$A262&amp;" ضد "&amp;M$251)+COUNTIF($E$4:$E$247,M$251&amp;" ضد "&amp;$A262))</f>
        <v>1</v>
      </c>
      <c r="N262" s="4">
        <f>IF($A262=N$251,"",COUNTIF($E$4:$E$247,$A262&amp;" ضد "&amp;N$251)+COUNTIF($E$4:$E$247,N$251&amp;" ضد "&amp;$A262))</f>
        <v>2</v>
      </c>
      <c r="O262" s="4">
        <f>IF($A262=O$251,"",COUNTIF($E$4:$E$247,$A262&amp;" ضد "&amp;O$251)+COUNTIF($E$4:$E$247,O$251&amp;" ضد "&amp;$A262))</f>
        <v>1</v>
      </c>
      <c r="P262" s="4">
        <f>IF($A262=P$251,"",COUNTIF($E$4:$E$247,$A262&amp;" ضد "&amp;P$251)+COUNTIF($E$4:$E$247,P$251&amp;" ضد "&amp;$A262))</f>
        <v>0</v>
      </c>
      <c r="Q262" s="4">
        <f>IF($A262=Q$251,"",COUNTIF($E$4:$E$247,$A262&amp;" ضد "&amp;Q$251)+COUNTIF($E$4:$E$247,Q$251&amp;" ضد "&amp;$A262))</f>
        <v>0</v>
      </c>
      <c r="R262" s="4">
        <f>IF($A262=R$251,"",COUNTIF($E$4:$E$247,$A262&amp;" ضد "&amp;R$251)+COUNTIF($E$4:$E$247,R$251&amp;" ضد "&amp;$A262))</f>
        <v>0</v>
      </c>
      <c r="S262" s="4">
        <f>IF($A262=S$251,"",COUNTIF($E$4:$E$247,$A262&amp;" ضد "&amp;S$251)+COUNTIF($E$4:$E$247,S$251&amp;" ضد "&amp;$A262))</f>
        <v>0</v>
      </c>
      <c r="T262" s="4">
        <f>IF($A262=T$251,"",COUNTIF($E$4:$E$247,$A262&amp;" ضد "&amp;T$251)+COUNTIF($E$4:$E$247,T$251&amp;" ضد "&amp;$A262))</f>
        <v>0</v>
      </c>
      <c r="U262" s="4">
        <f>IF($A262=U$251,"",COUNTIF($E$4:$E$247,$A262&amp;" ضد "&amp;U$251)+COUNTIF($E$4:$E$247,U$251&amp;" ضد "&amp;$A262))</f>
        <v>0</v>
      </c>
      <c r="V262" s="4">
        <f>IF($A262=V$251,"",COUNTIF($E$4:$E$247,$A262&amp;" ضد "&amp;V$251)+COUNTIF($E$4:$E$247,V$251&amp;" ضد "&amp;$A262))</f>
        <v>0</v>
      </c>
      <c r="W262" s="4">
        <f>IF($A262=W$251,"",COUNTIF($E$4:$E$247,$A262&amp;" ضد "&amp;W$251)+COUNTIF($E$4:$E$247,W$251&amp;" ضد "&amp;$A262))</f>
        <v>0</v>
      </c>
      <c r="X262" s="4">
        <f>IF($A262=X$251,"",COUNTIF($E$4:$E$247,$A262&amp;" ضد "&amp;X$251)+COUNTIF($E$4:$E$247,X$251&amp;" ضد "&amp;$A262))</f>
        <v>0</v>
      </c>
      <c r="Y262" s="4">
        <f>IF($A262=Y$251,"",COUNTIF($E$4:$E$247,$A262&amp;" ضد "&amp;Y$251)+COUNTIF($E$4:$E$247,Y$251&amp;" ضد "&amp;$A262))</f>
        <v>0</v>
      </c>
      <c r="Z262" s="4">
        <f>IF($A262=Z$251,"",COUNTIF($E$4:$E$247,$A262&amp;" ضد "&amp;Z$251)+COUNTIF($E$4:$E$247,Z$251&amp;" ضد "&amp;$A262))</f>
        <v>0</v>
      </c>
      <c r="AA262" s="4">
        <f>IF($A262=AA$251,"",COUNTIF($E$4:$E$247,$A262&amp;" ضد "&amp;AA$251)+COUNTIF($E$4:$E$247,AA$251&amp;" ضد "&amp;$A262))</f>
        <v>0</v>
      </c>
      <c r="AB262" s="4">
        <f>IF($A262=AB$251,"",COUNTIF($E$4:$E$247,$A262&amp;" ضد "&amp;AB$251)+COUNTIF($E$4:$E$247,AB$251&amp;" ضد "&amp;$A262))</f>
        <v>0</v>
      </c>
    </row>
    <row r="263" spans="1:28" ht="14.5">
      <c r="A263" s="14">
        <v>12</v>
      </c>
      <c r="B263" s="4">
        <f>IF($A263=B$251,"",COUNTIF($E$4:$E$247,$A263&amp;" ضد "&amp;B$251)+COUNTIF($E$4:$E$247,B$251&amp;" ضد "&amp;$A263))</f>
        <v>2</v>
      </c>
      <c r="C263" s="4">
        <f>IF($A263=C$251,"",COUNTIF($E$4:$E$247,$A263&amp;" ضد "&amp;C$251)+COUNTIF($E$4:$E$247,C$251&amp;" ضد "&amp;$A263))</f>
        <v>1</v>
      </c>
      <c r="D263" s="4">
        <f>IF($A263=D$251,"",COUNTIF($E$4:$E$247,$A263&amp;" ضد "&amp;D$251)+COUNTIF($E$4:$E$247,D$251&amp;" ضد "&amp;$A263))</f>
        <v>2</v>
      </c>
      <c r="E263" s="4">
        <f>IF($A263=E$251,"",COUNTIF($E$4:$E$247,$A263&amp;" ضد "&amp;E$251)+COUNTIF($E$4:$E$247,E$251&amp;" ضد "&amp;$A263))</f>
        <v>1</v>
      </c>
      <c r="F263" s="4">
        <f>IF($A263=F$251,"",COUNTIF($E$4:$E$247,$A263&amp;" ضد "&amp;F$251)+COUNTIF($E$4:$E$247,F$251&amp;" ضد "&amp;$A263))</f>
        <v>1</v>
      </c>
      <c r="G263" s="4">
        <f>IF($A263=G$251,"",COUNTIF($E$4:$E$247,$A263&amp;" ضد "&amp;G$251)+COUNTIF($E$4:$E$247,G$251&amp;" ضد "&amp;$A263))</f>
        <v>1</v>
      </c>
      <c r="H263" s="4">
        <f>IF($A263=H$251,"",COUNTIF($E$4:$E$247,$A263&amp;" ضد "&amp;H$251)+COUNTIF($E$4:$E$247,H$251&amp;" ضد "&amp;$A263))</f>
        <v>1</v>
      </c>
      <c r="I263" s="4">
        <f>IF($A263=I$251,"",COUNTIF($E$4:$E$247,$A263&amp;" ضد "&amp;I$251)+COUNTIF($E$4:$E$247,I$251&amp;" ضد "&amp;$A263))</f>
        <v>2</v>
      </c>
      <c r="J263" s="4">
        <f>IF($A263=J$251,"",COUNTIF($E$4:$E$247,$A263&amp;" ضد "&amp;J$251)+COUNTIF($E$4:$E$247,J$251&amp;" ضد "&amp;$A263))</f>
        <v>1</v>
      </c>
      <c r="K263" s="4">
        <f>IF($A263=K$251,"",COUNTIF($E$4:$E$247,$A263&amp;" ضد "&amp;K$251)+COUNTIF($E$4:$E$247,K$251&amp;" ضد "&amp;$A263))</f>
        <v>2</v>
      </c>
      <c r="L263" s="4">
        <f>IF($A263=L$251,"",COUNTIF($E$4:$E$247,$A263&amp;" ضد "&amp;L$251)+COUNTIF($E$4:$E$247,L$251&amp;" ضد "&amp;$A263))</f>
        <v>1</v>
      </c>
      <c r="M263" s="4" t="str">
        <f>IF($A263=M$251,"",COUNTIF($E$4:$E$247,$A263&amp;" ضد "&amp;M$251)+COUNTIF($E$4:$E$247,M$251&amp;" ضد "&amp;$A263))</f>
        <v/>
      </c>
      <c r="N263" s="4">
        <f>IF($A263=N$251,"",COUNTIF($E$4:$E$247,$A263&amp;" ضد "&amp;N$251)+COUNTIF($E$4:$E$247,N$251&amp;" ضد "&amp;$A263))</f>
        <v>1</v>
      </c>
      <c r="O263" s="4">
        <f>IF($A263=O$251,"",COUNTIF($E$4:$E$247,$A263&amp;" ضد "&amp;O$251)+COUNTIF($E$4:$E$247,O$251&amp;" ضد "&amp;$A263))</f>
        <v>2</v>
      </c>
      <c r="P263" s="4">
        <f>IF($A263=P$251,"",COUNTIF($E$4:$E$247,$A263&amp;" ضد "&amp;P$251)+COUNTIF($E$4:$E$247,P$251&amp;" ضد "&amp;$A263))</f>
        <v>0</v>
      </c>
      <c r="Q263" s="4">
        <f>IF($A263=Q$251,"",COUNTIF($E$4:$E$247,$A263&amp;" ضد "&amp;Q$251)+COUNTIF($E$4:$E$247,Q$251&amp;" ضد "&amp;$A263))</f>
        <v>0</v>
      </c>
      <c r="R263" s="4">
        <f>IF($A263=R$251,"",COUNTIF($E$4:$E$247,$A263&amp;" ضد "&amp;R$251)+COUNTIF($E$4:$E$247,R$251&amp;" ضد "&amp;$A263))</f>
        <v>0</v>
      </c>
      <c r="S263" s="4">
        <f>IF($A263=S$251,"",COUNTIF($E$4:$E$247,$A263&amp;" ضد "&amp;S$251)+COUNTIF($E$4:$E$247,S$251&amp;" ضد "&amp;$A263))</f>
        <v>0</v>
      </c>
      <c r="T263" s="4">
        <f>IF($A263=T$251,"",COUNTIF($E$4:$E$247,$A263&amp;" ضد "&amp;T$251)+COUNTIF($E$4:$E$247,T$251&amp;" ضد "&amp;$A263))</f>
        <v>0</v>
      </c>
      <c r="U263" s="4">
        <f>IF($A263=U$251,"",COUNTIF($E$4:$E$247,$A263&amp;" ضد "&amp;U$251)+COUNTIF($E$4:$E$247,U$251&amp;" ضد "&amp;$A263))</f>
        <v>0</v>
      </c>
      <c r="V263" s="4">
        <f>IF($A263=V$251,"",COUNTIF($E$4:$E$247,$A263&amp;" ضد "&amp;V$251)+COUNTIF($E$4:$E$247,V$251&amp;" ضد "&amp;$A263))</f>
        <v>0</v>
      </c>
      <c r="W263" s="4">
        <f>IF($A263=W$251,"",COUNTIF($E$4:$E$247,$A263&amp;" ضد "&amp;W$251)+COUNTIF($E$4:$E$247,W$251&amp;" ضد "&amp;$A263))</f>
        <v>0</v>
      </c>
      <c r="X263" s="4">
        <f>IF($A263=X$251,"",COUNTIF($E$4:$E$247,$A263&amp;" ضد "&amp;X$251)+COUNTIF($E$4:$E$247,X$251&amp;" ضد "&amp;$A263))</f>
        <v>0</v>
      </c>
      <c r="Y263" s="4">
        <f>IF($A263=Y$251,"",COUNTIF($E$4:$E$247,$A263&amp;" ضد "&amp;Y$251)+COUNTIF($E$4:$E$247,Y$251&amp;" ضد "&amp;$A263))</f>
        <v>0</v>
      </c>
      <c r="Z263" s="4">
        <f>IF($A263=Z$251,"",COUNTIF($E$4:$E$247,$A263&amp;" ضد "&amp;Z$251)+COUNTIF($E$4:$E$247,Z$251&amp;" ضد "&amp;$A263))</f>
        <v>0</v>
      </c>
      <c r="AA263" s="4">
        <f>IF($A263=AA$251,"",COUNTIF($E$4:$E$247,$A263&amp;" ضد "&amp;AA$251)+COUNTIF($E$4:$E$247,AA$251&amp;" ضد "&amp;$A263))</f>
        <v>0</v>
      </c>
      <c r="AB263" s="4">
        <f>IF($A263=AB$251,"",COUNTIF($E$4:$E$247,$A263&amp;" ضد "&amp;AB$251)+COUNTIF($E$4:$E$247,AB$251&amp;" ضد "&amp;$A263))</f>
        <v>0</v>
      </c>
    </row>
    <row r="264" spans="1:28" ht="14.5">
      <c r="A264" s="14">
        <v>13</v>
      </c>
      <c r="B264" s="4">
        <f>IF($A264=B$251,"",COUNTIF($E$4:$E$247,$A264&amp;" ضد "&amp;B$251)+COUNTIF($E$4:$E$247,B$251&amp;" ضد "&amp;$A264))</f>
        <v>2</v>
      </c>
      <c r="C264" s="4">
        <f>IF($A264=C$251,"",COUNTIF($E$4:$E$247,$A264&amp;" ضد "&amp;C$251)+COUNTIF($E$4:$E$247,C$251&amp;" ضد "&amp;$A264))</f>
        <v>2</v>
      </c>
      <c r="D264" s="4">
        <f>IF($A264=D$251,"",COUNTIF($E$4:$E$247,$A264&amp;" ضد "&amp;D$251)+COUNTIF($E$4:$E$247,D$251&amp;" ضد "&amp;$A264))</f>
        <v>1</v>
      </c>
      <c r="E264" s="4">
        <f>IF($A264=E$251,"",COUNTIF($E$4:$E$247,$A264&amp;" ضد "&amp;E$251)+COUNTIF($E$4:$E$247,E$251&amp;" ضد "&amp;$A264))</f>
        <v>1</v>
      </c>
      <c r="F264" s="4">
        <f>IF($A264=F$251,"",COUNTIF($E$4:$E$247,$A264&amp;" ضد "&amp;F$251)+COUNTIF($E$4:$E$247,F$251&amp;" ضد "&amp;$A264))</f>
        <v>1</v>
      </c>
      <c r="G264" s="4">
        <f>IF($A264=G$251,"",COUNTIF($E$4:$E$247,$A264&amp;" ضد "&amp;G$251)+COUNTIF($E$4:$E$247,G$251&amp;" ضد "&amp;$A264))</f>
        <v>1</v>
      </c>
      <c r="H264" s="4">
        <f>IF($A264=H$251,"",COUNTIF($E$4:$E$247,$A264&amp;" ضد "&amp;H$251)+COUNTIF($E$4:$E$247,H$251&amp;" ضد "&amp;$A264))</f>
        <v>2</v>
      </c>
      <c r="I264" s="4">
        <f>IF($A264=I$251,"",COUNTIF($E$4:$E$247,$A264&amp;" ضد "&amp;I$251)+COUNTIF($E$4:$E$247,I$251&amp;" ضد "&amp;$A264))</f>
        <v>1</v>
      </c>
      <c r="J264" s="4">
        <f>IF($A264=J$251,"",COUNTIF($E$4:$E$247,$A264&amp;" ضد "&amp;J$251)+COUNTIF($E$4:$E$247,J$251&amp;" ضد "&amp;$A264))</f>
        <v>2</v>
      </c>
      <c r="K264" s="4">
        <f>IF($A264=K$251,"",COUNTIF($E$4:$E$247,$A264&amp;" ضد "&amp;K$251)+COUNTIF($E$4:$E$247,K$251&amp;" ضد "&amp;$A264))</f>
        <v>1</v>
      </c>
      <c r="L264" s="4">
        <f>IF($A264=L$251,"",COUNTIF($E$4:$E$247,$A264&amp;" ضد "&amp;L$251)+COUNTIF($E$4:$E$247,L$251&amp;" ضد "&amp;$A264))</f>
        <v>2</v>
      </c>
      <c r="M264" s="4">
        <f>IF($A264=M$251,"",COUNTIF($E$4:$E$247,$A264&amp;" ضد "&amp;M$251)+COUNTIF($E$4:$E$247,M$251&amp;" ضد "&amp;$A264))</f>
        <v>1</v>
      </c>
      <c r="N264" s="4" t="str">
        <f>IF($A264=N$251,"",COUNTIF($E$4:$E$247,$A264&amp;" ضد "&amp;N$251)+COUNTIF($E$4:$E$247,N$251&amp;" ضد "&amp;$A264))</f>
        <v/>
      </c>
      <c r="O264" s="4">
        <f>IF($A264=O$251,"",COUNTIF($E$4:$E$247,$A264&amp;" ضد "&amp;O$251)+COUNTIF($E$4:$E$247,O$251&amp;" ضد "&amp;$A264))</f>
        <v>1</v>
      </c>
      <c r="P264" s="4">
        <f>IF($A264=P$251,"",COUNTIF($E$4:$E$247,$A264&amp;" ضد "&amp;P$251)+COUNTIF($E$4:$E$247,P$251&amp;" ضد "&amp;$A264))</f>
        <v>0</v>
      </c>
      <c r="Q264" s="4">
        <f>IF($A264=Q$251,"",COUNTIF($E$4:$E$247,$A264&amp;" ضد "&amp;Q$251)+COUNTIF($E$4:$E$247,Q$251&amp;" ضد "&amp;$A264))</f>
        <v>0</v>
      </c>
      <c r="R264" s="4">
        <f>IF($A264=R$251,"",COUNTIF($E$4:$E$247,$A264&amp;" ضد "&amp;R$251)+COUNTIF($E$4:$E$247,R$251&amp;" ضد "&amp;$A264))</f>
        <v>0</v>
      </c>
      <c r="S264" s="4">
        <f>IF($A264=S$251,"",COUNTIF($E$4:$E$247,$A264&amp;" ضد "&amp;S$251)+COUNTIF($E$4:$E$247,S$251&amp;" ضد "&amp;$A264))</f>
        <v>0</v>
      </c>
      <c r="T264" s="4">
        <f>IF($A264=T$251,"",COUNTIF($E$4:$E$247,$A264&amp;" ضد "&amp;T$251)+COUNTIF($E$4:$E$247,T$251&amp;" ضد "&amp;$A264))</f>
        <v>0</v>
      </c>
      <c r="U264" s="4">
        <f>IF($A264=U$251,"",COUNTIF($E$4:$E$247,$A264&amp;" ضد "&amp;U$251)+COUNTIF($E$4:$E$247,U$251&amp;" ضد "&amp;$A264))</f>
        <v>0</v>
      </c>
      <c r="V264" s="4">
        <f>IF($A264=V$251,"",COUNTIF($E$4:$E$247,$A264&amp;" ضد "&amp;V$251)+COUNTIF($E$4:$E$247,V$251&amp;" ضد "&amp;$A264))</f>
        <v>0</v>
      </c>
      <c r="W264" s="4">
        <f>IF($A264=W$251,"",COUNTIF($E$4:$E$247,$A264&amp;" ضد "&amp;W$251)+COUNTIF($E$4:$E$247,W$251&amp;" ضد "&amp;$A264))</f>
        <v>0</v>
      </c>
      <c r="X264" s="4">
        <f>IF($A264=X$251,"",COUNTIF($E$4:$E$247,$A264&amp;" ضد "&amp;X$251)+COUNTIF($E$4:$E$247,X$251&amp;" ضد "&amp;$A264))</f>
        <v>0</v>
      </c>
      <c r="Y264" s="4">
        <f>IF($A264=Y$251,"",COUNTIF($E$4:$E$247,$A264&amp;" ضد "&amp;Y$251)+COUNTIF($E$4:$E$247,Y$251&amp;" ضد "&amp;$A264))</f>
        <v>0</v>
      </c>
      <c r="Z264" s="4">
        <f>IF($A264=Z$251,"",COUNTIF($E$4:$E$247,$A264&amp;" ضد "&amp;Z$251)+COUNTIF($E$4:$E$247,Z$251&amp;" ضد "&amp;$A264))</f>
        <v>0</v>
      </c>
      <c r="AA264" s="4">
        <f>IF($A264=AA$251,"",COUNTIF($E$4:$E$247,$A264&amp;" ضد "&amp;AA$251)+COUNTIF($E$4:$E$247,AA$251&amp;" ضد "&amp;$A264))</f>
        <v>0</v>
      </c>
      <c r="AB264" s="4">
        <f>IF($A264=AB$251,"",COUNTIF($E$4:$E$247,$A264&amp;" ضد "&amp;AB$251)+COUNTIF($E$4:$E$247,AB$251&amp;" ضد "&amp;$A264))</f>
        <v>0</v>
      </c>
    </row>
    <row r="265" spans="1:28" ht="14.5">
      <c r="A265" s="14">
        <v>14</v>
      </c>
      <c r="B265" s="4">
        <f>IF($A265=B$251,"",COUNTIF($E$4:$E$247,$A265&amp;" ضد "&amp;B$251)+COUNTIF($E$4:$E$247,B$251&amp;" ضد "&amp;$A265))</f>
        <v>2</v>
      </c>
      <c r="C265" s="4">
        <f>IF($A265=C$251,"",COUNTIF($E$4:$E$247,$A265&amp;" ضد "&amp;C$251)+COUNTIF($E$4:$E$247,C$251&amp;" ضد "&amp;$A265))</f>
        <v>1</v>
      </c>
      <c r="D265" s="4">
        <f>IF($A265=D$251,"",COUNTIF($E$4:$E$247,$A265&amp;" ضد "&amp;D$251)+COUNTIF($E$4:$E$247,D$251&amp;" ضد "&amp;$A265))</f>
        <v>1</v>
      </c>
      <c r="E265" s="4">
        <f>IF($A265=E$251,"",COUNTIF($E$4:$E$247,$A265&amp;" ضد "&amp;E$251)+COUNTIF($E$4:$E$247,E$251&amp;" ضد "&amp;$A265))</f>
        <v>1</v>
      </c>
      <c r="F265" s="4">
        <f>IF($A265=F$251,"",COUNTIF($E$4:$E$247,$A265&amp;" ضد "&amp;F$251)+COUNTIF($E$4:$E$247,F$251&amp;" ضد "&amp;$A265))</f>
        <v>1</v>
      </c>
      <c r="G265" s="4">
        <f>IF($A265=G$251,"",COUNTIF($E$4:$E$247,$A265&amp;" ضد "&amp;G$251)+COUNTIF($E$4:$E$247,G$251&amp;" ضد "&amp;$A265))</f>
        <v>2</v>
      </c>
      <c r="H265" s="4">
        <f>IF($A265=H$251,"",COUNTIF($E$4:$E$247,$A265&amp;" ضد "&amp;H$251)+COUNTIF($E$4:$E$247,H$251&amp;" ضد "&amp;$A265))</f>
        <v>1</v>
      </c>
      <c r="I265" s="4">
        <f>IF($A265=I$251,"",COUNTIF($E$4:$E$247,$A265&amp;" ضد "&amp;I$251)+COUNTIF($E$4:$E$247,I$251&amp;" ضد "&amp;$A265))</f>
        <v>2</v>
      </c>
      <c r="J265" s="4">
        <f>IF($A265=J$251,"",COUNTIF($E$4:$E$247,$A265&amp;" ضد "&amp;J$251)+COUNTIF($E$4:$E$247,J$251&amp;" ضد "&amp;$A265))</f>
        <v>1</v>
      </c>
      <c r="K265" s="4">
        <f>IF($A265=K$251,"",COUNTIF($E$4:$E$247,$A265&amp;" ضد "&amp;K$251)+COUNTIF($E$4:$E$247,K$251&amp;" ضد "&amp;$A265))</f>
        <v>2</v>
      </c>
      <c r="L265" s="4">
        <f>IF($A265=L$251,"",COUNTIF($E$4:$E$247,$A265&amp;" ضد "&amp;L$251)+COUNTIF($E$4:$E$247,L$251&amp;" ضد "&amp;$A265))</f>
        <v>1</v>
      </c>
      <c r="M265" s="4">
        <f>IF($A265=M$251,"",COUNTIF($E$4:$E$247,$A265&amp;" ضد "&amp;M$251)+COUNTIF($E$4:$E$247,M$251&amp;" ضد "&amp;$A265))</f>
        <v>2</v>
      </c>
      <c r="N265" s="4">
        <f>IF($A265=N$251,"",COUNTIF($E$4:$E$247,$A265&amp;" ضد "&amp;N$251)+COUNTIF($E$4:$E$247,N$251&amp;" ضد "&amp;$A265))</f>
        <v>1</v>
      </c>
      <c r="O265" s="4" t="str">
        <f>IF($A265=O$251,"",COUNTIF($E$4:$E$247,$A265&amp;" ضد "&amp;O$251)+COUNTIF($E$4:$E$247,O$251&amp;" ضد "&amp;$A265))</f>
        <v/>
      </c>
      <c r="P265" s="4">
        <f>IF($A265=P$251,"",COUNTIF($E$4:$E$247,$A265&amp;" ضد "&amp;P$251)+COUNTIF($E$4:$E$247,P$251&amp;" ضد "&amp;$A265))</f>
        <v>0</v>
      </c>
      <c r="Q265" s="4">
        <f>IF($A265=Q$251,"",COUNTIF($E$4:$E$247,$A265&amp;" ضد "&amp;Q$251)+COUNTIF($E$4:$E$247,Q$251&amp;" ضد "&amp;$A265))</f>
        <v>0</v>
      </c>
      <c r="R265" s="4">
        <f>IF($A265=R$251,"",COUNTIF($E$4:$E$247,$A265&amp;" ضد "&amp;R$251)+COUNTIF($E$4:$E$247,R$251&amp;" ضد "&amp;$A265))</f>
        <v>0</v>
      </c>
      <c r="S265" s="4">
        <f>IF($A265=S$251,"",COUNTIF($E$4:$E$247,$A265&amp;" ضد "&amp;S$251)+COUNTIF($E$4:$E$247,S$251&amp;" ضد "&amp;$A265))</f>
        <v>0</v>
      </c>
      <c r="T265" s="4">
        <f>IF($A265=T$251,"",COUNTIF($E$4:$E$247,$A265&amp;" ضد "&amp;T$251)+COUNTIF($E$4:$E$247,T$251&amp;" ضد "&amp;$A265))</f>
        <v>0</v>
      </c>
      <c r="U265" s="4">
        <f>IF($A265=U$251,"",COUNTIF($E$4:$E$247,$A265&amp;" ضد "&amp;U$251)+COUNTIF($E$4:$E$247,U$251&amp;" ضد "&amp;$A265))</f>
        <v>0</v>
      </c>
      <c r="V265" s="4">
        <f>IF($A265=V$251,"",COUNTIF($E$4:$E$247,$A265&amp;" ضد "&amp;V$251)+COUNTIF($E$4:$E$247,V$251&amp;" ضد "&amp;$A265))</f>
        <v>0</v>
      </c>
      <c r="W265" s="4">
        <f>IF($A265=W$251,"",COUNTIF($E$4:$E$247,$A265&amp;" ضد "&amp;W$251)+COUNTIF($E$4:$E$247,W$251&amp;" ضد "&amp;$A265))</f>
        <v>0</v>
      </c>
      <c r="X265" s="4">
        <f>IF($A265=X$251,"",COUNTIF($E$4:$E$247,$A265&amp;" ضد "&amp;X$251)+COUNTIF($E$4:$E$247,X$251&amp;" ضد "&amp;$A265))</f>
        <v>0</v>
      </c>
      <c r="Y265" s="4">
        <f>IF($A265=Y$251,"",COUNTIF($E$4:$E$247,$A265&amp;" ضد "&amp;Y$251)+COUNTIF($E$4:$E$247,Y$251&amp;" ضد "&amp;$A265))</f>
        <v>0</v>
      </c>
      <c r="Z265" s="4">
        <f>IF($A265=Z$251,"",COUNTIF($E$4:$E$247,$A265&amp;" ضد "&amp;Z$251)+COUNTIF($E$4:$E$247,Z$251&amp;" ضد "&amp;$A265))</f>
        <v>0</v>
      </c>
      <c r="AA265" s="4">
        <f>IF($A265=AA$251,"",COUNTIF($E$4:$E$247,$A265&amp;" ضد "&amp;AA$251)+COUNTIF($E$4:$E$247,AA$251&amp;" ضد "&amp;$A265))</f>
        <v>0</v>
      </c>
      <c r="AB265" s="4">
        <f>IF($A265=AB$251,"",COUNTIF($E$4:$E$247,$A265&amp;" ضد "&amp;AB$251)+COUNTIF($E$4:$E$247,AB$251&amp;" ضد "&amp;$A265))</f>
        <v>0</v>
      </c>
    </row>
    <row r="266" spans="1:28" ht="14.5">
      <c r="A266" s="14">
        <v>15</v>
      </c>
      <c r="B266" s="4">
        <f>IF($A266=B$251,"",COUNTIF($E$4:$E$247,$A266&amp;" ضد "&amp;B$251)+COUNTIF($E$4:$E$247,B$251&amp;" ضد "&amp;$A266))</f>
        <v>0</v>
      </c>
      <c r="C266" s="4">
        <f>IF($A266=C$251,"",COUNTIF($E$4:$E$247,$A266&amp;" ضد "&amp;C$251)+COUNTIF($E$4:$E$247,C$251&amp;" ضد "&amp;$A266))</f>
        <v>0</v>
      </c>
      <c r="D266" s="4">
        <f>IF($A266=D$251,"",COUNTIF($E$4:$E$247,$A266&amp;" ضد "&amp;D$251)+COUNTIF($E$4:$E$247,D$251&amp;" ضد "&amp;$A266))</f>
        <v>0</v>
      </c>
      <c r="E266" s="4">
        <f>IF($A266=E$251,"",COUNTIF($E$4:$E$247,$A266&amp;" ضد "&amp;E$251)+COUNTIF($E$4:$E$247,E$251&amp;" ضد "&amp;$A266))</f>
        <v>0</v>
      </c>
      <c r="F266" s="4">
        <f>IF($A266=F$251,"",COUNTIF($E$4:$E$247,$A266&amp;" ضد "&amp;F$251)+COUNTIF($E$4:$E$247,F$251&amp;" ضد "&amp;$A266))</f>
        <v>0</v>
      </c>
      <c r="G266" s="4">
        <f>IF($A266=G$251,"",COUNTIF($E$4:$E$247,$A266&amp;" ضد "&amp;G$251)+COUNTIF($E$4:$E$247,G$251&amp;" ضد "&amp;$A266))</f>
        <v>0</v>
      </c>
      <c r="H266" s="4">
        <f>IF($A266=H$251,"",COUNTIF($E$4:$E$247,$A266&amp;" ضد "&amp;H$251)+COUNTIF($E$4:$E$247,H$251&amp;" ضد "&amp;$A266))</f>
        <v>0</v>
      </c>
      <c r="I266" s="4">
        <f>IF($A266=I$251,"",COUNTIF($E$4:$E$247,$A266&amp;" ضد "&amp;I$251)+COUNTIF($E$4:$E$247,I$251&amp;" ضد "&amp;$A266))</f>
        <v>0</v>
      </c>
      <c r="J266" s="4">
        <f>IF($A266=J$251,"",COUNTIF($E$4:$E$247,$A266&amp;" ضد "&amp;J$251)+COUNTIF($E$4:$E$247,J$251&amp;" ضد "&amp;$A266))</f>
        <v>0</v>
      </c>
      <c r="K266" s="4">
        <f>IF($A266=K$251,"",COUNTIF($E$4:$E$247,$A266&amp;" ضد "&amp;K$251)+COUNTIF($E$4:$E$247,K$251&amp;" ضد "&amp;$A266))</f>
        <v>0</v>
      </c>
      <c r="L266" s="4">
        <f>IF($A266=L$251,"",COUNTIF($E$4:$E$247,$A266&amp;" ضد "&amp;L$251)+COUNTIF($E$4:$E$247,L$251&amp;" ضد "&amp;$A266))</f>
        <v>0</v>
      </c>
      <c r="M266" s="4">
        <f>IF($A266=M$251,"",COUNTIF($E$4:$E$247,$A266&amp;" ضد "&amp;M$251)+COUNTIF($E$4:$E$247,M$251&amp;" ضد "&amp;$A266))</f>
        <v>0</v>
      </c>
      <c r="N266" s="4">
        <f>IF($A266=N$251,"",COUNTIF($E$4:$E$247,$A266&amp;" ضد "&amp;N$251)+COUNTIF($E$4:$E$247,N$251&amp;" ضد "&amp;$A266))</f>
        <v>0</v>
      </c>
      <c r="O266" s="4">
        <f>IF($A266=O$251,"",COUNTIF($E$4:$E$247,$A266&amp;" ضد "&amp;O$251)+COUNTIF($E$4:$E$247,O$251&amp;" ضد "&amp;$A266))</f>
        <v>0</v>
      </c>
      <c r="P266" s="4" t="str">
        <f>IF($A266=P$251,"",COUNTIF($E$4:$E$247,$A266&amp;" ضد "&amp;P$251)+COUNTIF($E$4:$E$247,P$251&amp;" ضد "&amp;$A266))</f>
        <v/>
      </c>
      <c r="Q266" s="4">
        <f>IF($A266=Q$251,"",COUNTIF($E$4:$E$247,$A266&amp;" ضد "&amp;Q$251)+COUNTIF($E$4:$E$247,Q$251&amp;" ضد "&amp;$A266))</f>
        <v>2</v>
      </c>
      <c r="R266" s="4">
        <f>IF($A266=R$251,"",COUNTIF($E$4:$E$247,$A266&amp;" ضد "&amp;R$251)+COUNTIF($E$4:$E$247,R$251&amp;" ضد "&amp;$A266))</f>
        <v>2</v>
      </c>
      <c r="S266" s="4">
        <f>IF($A266=S$251,"",COUNTIF($E$4:$E$247,$A266&amp;" ضد "&amp;S$251)+COUNTIF($E$4:$E$247,S$251&amp;" ضد "&amp;$A266))</f>
        <v>2</v>
      </c>
      <c r="T266" s="4">
        <f>IF($A266=T$251,"",COUNTIF($E$4:$E$247,$A266&amp;" ضد "&amp;T$251)+COUNTIF($E$4:$E$247,T$251&amp;" ضد "&amp;$A266))</f>
        <v>1</v>
      </c>
      <c r="U266" s="4">
        <f>IF($A266=U$251,"",COUNTIF($E$4:$E$247,$A266&amp;" ضد "&amp;U$251)+COUNTIF($E$4:$E$247,U$251&amp;" ضد "&amp;$A266))</f>
        <v>1</v>
      </c>
      <c r="V266" s="4">
        <f>IF($A266=V$251,"",COUNTIF($E$4:$E$247,$A266&amp;" ضد "&amp;V$251)+COUNTIF($E$4:$E$247,V$251&amp;" ضد "&amp;$A266))</f>
        <v>1</v>
      </c>
      <c r="W266" s="4">
        <f>IF($A266=W$251,"",COUNTIF($E$4:$E$247,$A266&amp;" ضد "&amp;W$251)+COUNTIF($E$4:$E$247,W$251&amp;" ضد "&amp;$A266))</f>
        <v>1</v>
      </c>
      <c r="X266" s="4">
        <f>IF($A266=X$251,"",COUNTIF($E$4:$E$247,$A266&amp;" ضد "&amp;X$251)+COUNTIF($E$4:$E$247,X$251&amp;" ضد "&amp;$A266))</f>
        <v>1</v>
      </c>
      <c r="Y266" s="4">
        <f>IF($A266=Y$251,"",COUNTIF($E$4:$E$247,$A266&amp;" ضد "&amp;Y$251)+COUNTIF($E$4:$E$247,Y$251&amp;" ضد "&amp;$A266))</f>
        <v>1</v>
      </c>
      <c r="Z266" s="4">
        <f>IF($A266=Z$251,"",COUNTIF($E$4:$E$247,$A266&amp;" ضد "&amp;Z$251)+COUNTIF($E$4:$E$247,Z$251&amp;" ضد "&amp;$A266))</f>
        <v>2</v>
      </c>
      <c r="AA266" s="4">
        <f>IF($A266=AA$251,"",COUNTIF($E$4:$E$247,$A266&amp;" ضد "&amp;AA$251)+COUNTIF($E$4:$E$247,AA$251&amp;" ضد "&amp;$A266))</f>
        <v>2</v>
      </c>
      <c r="AB266" s="4">
        <f>IF($A266=AB$251,"",COUNTIF($E$4:$E$247,$A266&amp;" ضد "&amp;AB$251)+COUNTIF($E$4:$E$247,AB$251&amp;" ضد "&amp;$A266))</f>
        <v>2</v>
      </c>
    </row>
    <row r="267" spans="1:28" ht="14.5">
      <c r="A267" s="14">
        <v>16</v>
      </c>
      <c r="B267" s="4">
        <f>IF($A267=B$251,"",COUNTIF($E$4:$E$247,$A267&amp;" ضد "&amp;B$251)+COUNTIF($E$4:$E$247,B$251&amp;" ضد "&amp;$A267))</f>
        <v>0</v>
      </c>
      <c r="C267" s="4">
        <f>IF($A267=C$251,"",COUNTIF($E$4:$E$247,$A267&amp;" ضد "&amp;C$251)+COUNTIF($E$4:$E$247,C$251&amp;" ضد "&amp;$A267))</f>
        <v>0</v>
      </c>
      <c r="D267" s="4">
        <f>IF($A267=D$251,"",COUNTIF($E$4:$E$247,$A267&amp;" ضد "&amp;D$251)+COUNTIF($E$4:$E$247,D$251&amp;" ضد "&amp;$A267))</f>
        <v>0</v>
      </c>
      <c r="E267" s="4">
        <f>IF($A267=E$251,"",COUNTIF($E$4:$E$247,$A267&amp;" ضد "&amp;E$251)+COUNTIF($E$4:$E$247,E$251&amp;" ضد "&amp;$A267))</f>
        <v>0</v>
      </c>
      <c r="F267" s="4">
        <f>IF($A267=F$251,"",COUNTIF($E$4:$E$247,$A267&amp;" ضد "&amp;F$251)+COUNTIF($E$4:$E$247,F$251&amp;" ضد "&amp;$A267))</f>
        <v>0</v>
      </c>
      <c r="G267" s="4">
        <f>IF($A267=G$251,"",COUNTIF($E$4:$E$247,$A267&amp;" ضد "&amp;G$251)+COUNTIF($E$4:$E$247,G$251&amp;" ضد "&amp;$A267))</f>
        <v>0</v>
      </c>
      <c r="H267" s="4">
        <f>IF($A267=H$251,"",COUNTIF($E$4:$E$247,$A267&amp;" ضد "&amp;H$251)+COUNTIF($E$4:$E$247,H$251&amp;" ضد "&amp;$A267))</f>
        <v>0</v>
      </c>
      <c r="I267" s="4">
        <f>IF($A267=I$251,"",COUNTIF($E$4:$E$247,$A267&amp;" ضد "&amp;I$251)+COUNTIF($E$4:$E$247,I$251&amp;" ضد "&amp;$A267))</f>
        <v>0</v>
      </c>
      <c r="J267" s="4">
        <f>IF($A267=J$251,"",COUNTIF($E$4:$E$247,$A267&amp;" ضد "&amp;J$251)+COUNTIF($E$4:$E$247,J$251&amp;" ضد "&amp;$A267))</f>
        <v>0</v>
      </c>
      <c r="K267" s="4">
        <f>IF($A267=K$251,"",COUNTIF($E$4:$E$247,$A267&amp;" ضد "&amp;K$251)+COUNTIF($E$4:$E$247,K$251&amp;" ضد "&amp;$A267))</f>
        <v>0</v>
      </c>
      <c r="L267" s="4">
        <f>IF($A267=L$251,"",COUNTIF($E$4:$E$247,$A267&amp;" ضد "&amp;L$251)+COUNTIF($E$4:$E$247,L$251&amp;" ضد "&amp;$A267))</f>
        <v>0</v>
      </c>
      <c r="M267" s="4">
        <f>IF($A267=M$251,"",COUNTIF($E$4:$E$247,$A267&amp;" ضد "&amp;M$251)+COUNTIF($E$4:$E$247,M$251&amp;" ضد "&amp;$A267))</f>
        <v>0</v>
      </c>
      <c r="N267" s="4">
        <f>IF($A267=N$251,"",COUNTIF($E$4:$E$247,$A267&amp;" ضد "&amp;N$251)+COUNTIF($E$4:$E$247,N$251&amp;" ضد "&amp;$A267))</f>
        <v>0</v>
      </c>
      <c r="O267" s="4">
        <f>IF($A267=O$251,"",COUNTIF($E$4:$E$247,$A267&amp;" ضد "&amp;O$251)+COUNTIF($E$4:$E$247,O$251&amp;" ضد "&amp;$A267))</f>
        <v>0</v>
      </c>
      <c r="P267" s="4">
        <f>IF($A267=P$251,"",COUNTIF($E$4:$E$247,$A267&amp;" ضد "&amp;P$251)+COUNTIF($E$4:$E$247,P$251&amp;" ضد "&amp;$A267))</f>
        <v>2</v>
      </c>
      <c r="Q267" s="4" t="str">
        <f>IF($A267=Q$251,"",COUNTIF($E$4:$E$247,$A267&amp;" ضد "&amp;Q$251)+COUNTIF($E$4:$E$247,Q$251&amp;" ضد "&amp;$A267))</f>
        <v/>
      </c>
      <c r="R267" s="4">
        <f>IF($A267=R$251,"",COUNTIF($E$4:$E$247,$A267&amp;" ضد "&amp;R$251)+COUNTIF($E$4:$E$247,R$251&amp;" ضد "&amp;$A267))</f>
        <v>2</v>
      </c>
      <c r="S267" s="4">
        <f>IF($A267=S$251,"",COUNTIF($E$4:$E$247,$A267&amp;" ضد "&amp;S$251)+COUNTIF($E$4:$E$247,S$251&amp;" ضد "&amp;$A267))</f>
        <v>2</v>
      </c>
      <c r="T267" s="4">
        <f>IF($A267=T$251,"",COUNTIF($E$4:$E$247,$A267&amp;" ضد "&amp;T$251)+COUNTIF($E$4:$E$247,T$251&amp;" ضد "&amp;$A267))</f>
        <v>2</v>
      </c>
      <c r="U267" s="4">
        <f>IF($A267=U$251,"",COUNTIF($E$4:$E$247,$A267&amp;" ضد "&amp;U$251)+COUNTIF($E$4:$E$247,U$251&amp;" ضد "&amp;$A267))</f>
        <v>1</v>
      </c>
      <c r="V267" s="4">
        <f>IF($A267=V$251,"",COUNTIF($E$4:$E$247,$A267&amp;" ضد "&amp;V$251)+COUNTIF($E$4:$E$247,V$251&amp;" ضد "&amp;$A267))</f>
        <v>1</v>
      </c>
      <c r="W267" s="4">
        <f>IF($A267=W$251,"",COUNTIF($E$4:$E$247,$A267&amp;" ضد "&amp;W$251)+COUNTIF($E$4:$E$247,W$251&amp;" ضد "&amp;$A267))</f>
        <v>1</v>
      </c>
      <c r="X267" s="4">
        <f>IF($A267=X$251,"",COUNTIF($E$4:$E$247,$A267&amp;" ضد "&amp;X$251)+COUNTIF($E$4:$E$247,X$251&amp;" ضد "&amp;$A267))</f>
        <v>1</v>
      </c>
      <c r="Y267" s="4">
        <f>IF($A267=Y$251,"",COUNTIF($E$4:$E$247,$A267&amp;" ضد "&amp;Y$251)+COUNTIF($E$4:$E$247,Y$251&amp;" ضد "&amp;$A267))</f>
        <v>1</v>
      </c>
      <c r="Z267" s="4">
        <f>IF($A267=Z$251,"",COUNTIF($E$4:$E$247,$A267&amp;" ضد "&amp;Z$251)+COUNTIF($E$4:$E$247,Z$251&amp;" ضد "&amp;$A267))</f>
        <v>1</v>
      </c>
      <c r="AA267" s="4">
        <f>IF($A267=AA$251,"",COUNTIF($E$4:$E$247,$A267&amp;" ضد "&amp;AA$251)+COUNTIF($E$4:$E$247,AA$251&amp;" ضد "&amp;$A267))</f>
        <v>2</v>
      </c>
      <c r="AB267" s="4">
        <f>IF($A267=AB$251,"",COUNTIF($E$4:$E$247,$A267&amp;" ضد "&amp;AB$251)+COUNTIF($E$4:$E$247,AB$251&amp;" ضد "&amp;$A267))</f>
        <v>2</v>
      </c>
    </row>
    <row r="268" spans="1:28" ht="14.5">
      <c r="A268" s="14">
        <v>17</v>
      </c>
      <c r="B268" s="4">
        <f>IF($A268=B$251,"",COUNTIF($E$4:$E$247,$A268&amp;" ضد "&amp;B$251)+COUNTIF($E$4:$E$247,B$251&amp;" ضد "&amp;$A268))</f>
        <v>0</v>
      </c>
      <c r="C268" s="4">
        <f>IF($A268=C$251,"",COUNTIF($E$4:$E$247,$A268&amp;" ضد "&amp;C$251)+COUNTIF($E$4:$E$247,C$251&amp;" ضد "&amp;$A268))</f>
        <v>0</v>
      </c>
      <c r="D268" s="4">
        <f>IF($A268=D$251,"",COUNTIF($E$4:$E$247,$A268&amp;" ضد "&amp;D$251)+COUNTIF($E$4:$E$247,D$251&amp;" ضد "&amp;$A268))</f>
        <v>0</v>
      </c>
      <c r="E268" s="4">
        <f>IF($A268=E$251,"",COUNTIF($E$4:$E$247,$A268&amp;" ضد "&amp;E$251)+COUNTIF($E$4:$E$247,E$251&amp;" ضد "&amp;$A268))</f>
        <v>0</v>
      </c>
      <c r="F268" s="4">
        <f>IF($A268=F$251,"",COUNTIF($E$4:$E$247,$A268&amp;" ضد "&amp;F$251)+COUNTIF($E$4:$E$247,F$251&amp;" ضد "&amp;$A268))</f>
        <v>0</v>
      </c>
      <c r="G268" s="4">
        <f>IF($A268=G$251,"",COUNTIF($E$4:$E$247,$A268&amp;" ضد "&amp;G$251)+COUNTIF($E$4:$E$247,G$251&amp;" ضد "&amp;$A268))</f>
        <v>0</v>
      </c>
      <c r="H268" s="4">
        <f>IF($A268=H$251,"",COUNTIF($E$4:$E$247,$A268&amp;" ضد "&amp;H$251)+COUNTIF($E$4:$E$247,H$251&amp;" ضد "&amp;$A268))</f>
        <v>0</v>
      </c>
      <c r="I268" s="4">
        <f>IF($A268=I$251,"",COUNTIF($E$4:$E$247,$A268&amp;" ضد "&amp;I$251)+COUNTIF($E$4:$E$247,I$251&amp;" ضد "&amp;$A268))</f>
        <v>0</v>
      </c>
      <c r="J268" s="4">
        <f>IF($A268=J$251,"",COUNTIF($E$4:$E$247,$A268&amp;" ضد "&amp;J$251)+COUNTIF($E$4:$E$247,J$251&amp;" ضد "&amp;$A268))</f>
        <v>0</v>
      </c>
      <c r="K268" s="4">
        <f>IF($A268=K$251,"",COUNTIF($E$4:$E$247,$A268&amp;" ضد "&amp;K$251)+COUNTIF($E$4:$E$247,K$251&amp;" ضد "&amp;$A268))</f>
        <v>0</v>
      </c>
      <c r="L268" s="4">
        <f>IF($A268=L$251,"",COUNTIF($E$4:$E$247,$A268&amp;" ضد "&amp;L$251)+COUNTIF($E$4:$E$247,L$251&amp;" ضد "&amp;$A268))</f>
        <v>0</v>
      </c>
      <c r="M268" s="4">
        <f>IF($A268=M$251,"",COUNTIF($E$4:$E$247,$A268&amp;" ضد "&amp;M$251)+COUNTIF($E$4:$E$247,M$251&amp;" ضد "&amp;$A268))</f>
        <v>0</v>
      </c>
      <c r="N268" s="4">
        <f>IF($A268=N$251,"",COUNTIF($E$4:$E$247,$A268&amp;" ضد "&amp;N$251)+COUNTIF($E$4:$E$247,N$251&amp;" ضد "&amp;$A268))</f>
        <v>0</v>
      </c>
      <c r="O268" s="4">
        <f>IF($A268=O$251,"",COUNTIF($E$4:$E$247,$A268&amp;" ضد "&amp;O$251)+COUNTIF($E$4:$E$247,O$251&amp;" ضد "&amp;$A268))</f>
        <v>0</v>
      </c>
      <c r="P268" s="4">
        <f>IF($A268=P$251,"",COUNTIF($E$4:$E$247,$A268&amp;" ضد "&amp;P$251)+COUNTIF($E$4:$E$247,P$251&amp;" ضد "&amp;$A268))</f>
        <v>2</v>
      </c>
      <c r="Q268" s="4">
        <f>IF($A268=Q$251,"",COUNTIF($E$4:$E$247,$A268&amp;" ضد "&amp;Q$251)+COUNTIF($E$4:$E$247,Q$251&amp;" ضد "&amp;$A268))</f>
        <v>2</v>
      </c>
      <c r="R268" s="4" t="str">
        <f>IF($A268=R$251,"",COUNTIF($E$4:$E$247,$A268&amp;" ضد "&amp;R$251)+COUNTIF($E$4:$E$247,R$251&amp;" ضد "&amp;$A268))</f>
        <v/>
      </c>
      <c r="S268" s="4">
        <f>IF($A268=S$251,"",COUNTIF($E$4:$E$247,$A268&amp;" ضد "&amp;S$251)+COUNTIF($E$4:$E$247,S$251&amp;" ضد "&amp;$A268))</f>
        <v>2</v>
      </c>
      <c r="T268" s="4">
        <f>IF($A268=T$251,"",COUNTIF($E$4:$E$247,$A268&amp;" ضد "&amp;T$251)+COUNTIF($E$4:$E$247,T$251&amp;" ضد "&amp;$A268))</f>
        <v>2</v>
      </c>
      <c r="U268" s="4">
        <f>IF($A268=U$251,"",COUNTIF($E$4:$E$247,$A268&amp;" ضد "&amp;U$251)+COUNTIF($E$4:$E$247,U$251&amp;" ضد "&amp;$A268))</f>
        <v>2</v>
      </c>
      <c r="V268" s="4">
        <f>IF($A268=V$251,"",COUNTIF($E$4:$E$247,$A268&amp;" ضد "&amp;V$251)+COUNTIF($E$4:$E$247,V$251&amp;" ضد "&amp;$A268))</f>
        <v>1</v>
      </c>
      <c r="W268" s="4">
        <f>IF($A268=W$251,"",COUNTIF($E$4:$E$247,$A268&amp;" ضد "&amp;W$251)+COUNTIF($E$4:$E$247,W$251&amp;" ضد "&amp;$A268))</f>
        <v>1</v>
      </c>
      <c r="X268" s="4">
        <f>IF($A268=X$251,"",COUNTIF($E$4:$E$247,$A268&amp;" ضد "&amp;X$251)+COUNTIF($E$4:$E$247,X$251&amp;" ضد "&amp;$A268))</f>
        <v>1</v>
      </c>
      <c r="Y268" s="4">
        <f>IF($A268=Y$251,"",COUNTIF($E$4:$E$247,$A268&amp;" ضد "&amp;Y$251)+COUNTIF($E$4:$E$247,Y$251&amp;" ضد "&amp;$A268))</f>
        <v>1</v>
      </c>
      <c r="Z268" s="4">
        <f>IF($A268=Z$251,"",COUNTIF($E$4:$E$247,$A268&amp;" ضد "&amp;Z$251)+COUNTIF($E$4:$E$247,Z$251&amp;" ضد "&amp;$A268))</f>
        <v>1</v>
      </c>
      <c r="AA268" s="4">
        <f>IF($A268=AA$251,"",COUNTIF($E$4:$E$247,$A268&amp;" ضد "&amp;AA$251)+COUNTIF($E$4:$E$247,AA$251&amp;" ضد "&amp;$A268))</f>
        <v>1</v>
      </c>
      <c r="AB268" s="4">
        <f>IF($A268=AB$251,"",COUNTIF($E$4:$E$247,$A268&amp;" ضد "&amp;AB$251)+COUNTIF($E$4:$E$247,AB$251&amp;" ضد "&amp;$A268))</f>
        <v>2</v>
      </c>
    </row>
    <row r="269" spans="1:28" ht="14.5">
      <c r="A269" s="14">
        <v>18</v>
      </c>
      <c r="B269" s="4">
        <f>IF($A269=B$251,"",COUNTIF($E$4:$E$247,$A269&amp;" ضد "&amp;B$251)+COUNTIF($E$4:$E$247,B$251&amp;" ضد "&amp;$A269))</f>
        <v>0</v>
      </c>
      <c r="C269" s="4">
        <f>IF($A269=C$251,"",COUNTIF($E$4:$E$247,$A269&amp;" ضد "&amp;C$251)+COUNTIF($E$4:$E$247,C$251&amp;" ضد "&amp;$A269))</f>
        <v>0</v>
      </c>
      <c r="D269" s="4">
        <f>IF($A269=D$251,"",COUNTIF($E$4:$E$247,$A269&amp;" ضد "&amp;D$251)+COUNTIF($E$4:$E$247,D$251&amp;" ضد "&amp;$A269))</f>
        <v>0</v>
      </c>
      <c r="E269" s="4">
        <f>IF($A269=E$251,"",COUNTIF($E$4:$E$247,$A269&amp;" ضد "&amp;E$251)+COUNTIF($E$4:$E$247,E$251&amp;" ضد "&amp;$A269))</f>
        <v>0</v>
      </c>
      <c r="F269" s="4">
        <f>IF($A269=F$251,"",COUNTIF($E$4:$E$247,$A269&amp;" ضد "&amp;F$251)+COUNTIF($E$4:$E$247,F$251&amp;" ضد "&amp;$A269))</f>
        <v>0</v>
      </c>
      <c r="G269" s="4">
        <f>IF($A269=G$251,"",COUNTIF($E$4:$E$247,$A269&amp;" ضد "&amp;G$251)+COUNTIF($E$4:$E$247,G$251&amp;" ضد "&amp;$A269))</f>
        <v>0</v>
      </c>
      <c r="H269" s="4">
        <f>IF($A269=H$251,"",COUNTIF($E$4:$E$247,$A269&amp;" ضد "&amp;H$251)+COUNTIF($E$4:$E$247,H$251&amp;" ضد "&amp;$A269))</f>
        <v>0</v>
      </c>
      <c r="I269" s="4">
        <f>IF($A269=I$251,"",COUNTIF($E$4:$E$247,$A269&amp;" ضد "&amp;I$251)+COUNTIF($E$4:$E$247,I$251&amp;" ضد "&amp;$A269))</f>
        <v>0</v>
      </c>
      <c r="J269" s="4">
        <f>IF($A269=J$251,"",COUNTIF($E$4:$E$247,$A269&amp;" ضد "&amp;J$251)+COUNTIF($E$4:$E$247,J$251&amp;" ضد "&amp;$A269))</f>
        <v>0</v>
      </c>
      <c r="K269" s="4">
        <f>IF($A269=K$251,"",COUNTIF($E$4:$E$247,$A269&amp;" ضد "&amp;K$251)+COUNTIF($E$4:$E$247,K$251&amp;" ضد "&amp;$A269))</f>
        <v>0</v>
      </c>
      <c r="L269" s="4">
        <f>IF($A269=L$251,"",COUNTIF($E$4:$E$247,$A269&amp;" ضد "&amp;L$251)+COUNTIF($E$4:$E$247,L$251&amp;" ضد "&amp;$A269))</f>
        <v>0</v>
      </c>
      <c r="M269" s="4">
        <f>IF($A269=M$251,"",COUNTIF($E$4:$E$247,$A269&amp;" ضد "&amp;M$251)+COUNTIF($E$4:$E$247,M$251&amp;" ضد "&amp;$A269))</f>
        <v>0</v>
      </c>
      <c r="N269" s="4">
        <f>IF($A269=N$251,"",COUNTIF($E$4:$E$247,$A269&amp;" ضد "&amp;N$251)+COUNTIF($E$4:$E$247,N$251&amp;" ضد "&amp;$A269))</f>
        <v>0</v>
      </c>
      <c r="O269" s="4">
        <f>IF($A269=O$251,"",COUNTIF($E$4:$E$247,$A269&amp;" ضد "&amp;O$251)+COUNTIF($E$4:$E$247,O$251&amp;" ضد "&amp;$A269))</f>
        <v>0</v>
      </c>
      <c r="P269" s="4">
        <f>IF($A269=P$251,"",COUNTIF($E$4:$E$247,$A269&amp;" ضد "&amp;P$251)+COUNTIF($E$4:$E$247,P$251&amp;" ضد "&amp;$A269))</f>
        <v>2</v>
      </c>
      <c r="Q269" s="4">
        <f>IF($A269=Q$251,"",COUNTIF($E$4:$E$247,$A269&amp;" ضد "&amp;Q$251)+COUNTIF($E$4:$E$247,Q$251&amp;" ضد "&amp;$A269))</f>
        <v>2</v>
      </c>
      <c r="R269" s="4">
        <f>IF($A269=R$251,"",COUNTIF($E$4:$E$247,$A269&amp;" ضد "&amp;R$251)+COUNTIF($E$4:$E$247,R$251&amp;" ضد "&amp;$A269))</f>
        <v>2</v>
      </c>
      <c r="S269" s="4" t="str">
        <f>IF($A269=S$251,"",COUNTIF($E$4:$E$247,$A269&amp;" ضد "&amp;S$251)+COUNTIF($E$4:$E$247,S$251&amp;" ضد "&amp;$A269))</f>
        <v/>
      </c>
      <c r="T269" s="4">
        <f>IF($A269=T$251,"",COUNTIF($E$4:$E$247,$A269&amp;" ضد "&amp;T$251)+COUNTIF($E$4:$E$247,T$251&amp;" ضد "&amp;$A269))</f>
        <v>2</v>
      </c>
      <c r="U269" s="4">
        <f>IF($A269=U$251,"",COUNTIF($E$4:$E$247,$A269&amp;" ضد "&amp;U$251)+COUNTIF($E$4:$E$247,U$251&amp;" ضد "&amp;$A269))</f>
        <v>2</v>
      </c>
      <c r="V269" s="4">
        <f>IF($A269=V$251,"",COUNTIF($E$4:$E$247,$A269&amp;" ضد "&amp;V$251)+COUNTIF($E$4:$E$247,V$251&amp;" ضد "&amp;$A269))</f>
        <v>2</v>
      </c>
      <c r="W269" s="4">
        <f>IF($A269=W$251,"",COUNTIF($E$4:$E$247,$A269&amp;" ضد "&amp;W$251)+COUNTIF($E$4:$E$247,W$251&amp;" ضد "&amp;$A269))</f>
        <v>1</v>
      </c>
      <c r="X269" s="4">
        <f>IF($A269=X$251,"",COUNTIF($E$4:$E$247,$A269&amp;" ضد "&amp;X$251)+COUNTIF($E$4:$E$247,X$251&amp;" ضد "&amp;$A269))</f>
        <v>1</v>
      </c>
      <c r="Y269" s="4">
        <f>IF($A269=Y$251,"",COUNTIF($E$4:$E$247,$A269&amp;" ضد "&amp;Y$251)+COUNTIF($E$4:$E$247,Y$251&amp;" ضد "&amp;$A269))</f>
        <v>1</v>
      </c>
      <c r="Z269" s="4">
        <f>IF($A269=Z$251,"",COUNTIF($E$4:$E$247,$A269&amp;" ضد "&amp;Z$251)+COUNTIF($E$4:$E$247,Z$251&amp;" ضد "&amp;$A269))</f>
        <v>1</v>
      </c>
      <c r="AA269" s="4">
        <f>IF($A269=AA$251,"",COUNTIF($E$4:$E$247,$A269&amp;" ضد "&amp;AA$251)+COUNTIF($E$4:$E$247,AA$251&amp;" ضد "&amp;$A269))</f>
        <v>1</v>
      </c>
      <c r="AB269" s="4">
        <f>IF($A269=AB$251,"",COUNTIF($E$4:$E$247,$A269&amp;" ضد "&amp;AB$251)+COUNTIF($E$4:$E$247,AB$251&amp;" ضد "&amp;$A269))</f>
        <v>1</v>
      </c>
    </row>
    <row r="270" spans="1:28" ht="14.5">
      <c r="A270" s="14">
        <v>19</v>
      </c>
      <c r="B270" s="4">
        <f>IF($A270=B$251,"",COUNTIF($E$4:$E$247,$A270&amp;" ضد "&amp;B$251)+COUNTIF($E$4:$E$247,B$251&amp;" ضد "&amp;$A270))</f>
        <v>0</v>
      </c>
      <c r="C270" s="4">
        <f>IF($A270=C$251,"",COUNTIF($E$4:$E$247,$A270&amp;" ضد "&amp;C$251)+COUNTIF($E$4:$E$247,C$251&amp;" ضد "&amp;$A270))</f>
        <v>0</v>
      </c>
      <c r="D270" s="4">
        <f>IF($A270=D$251,"",COUNTIF($E$4:$E$247,$A270&amp;" ضد "&amp;D$251)+COUNTIF($E$4:$E$247,D$251&amp;" ضد "&amp;$A270))</f>
        <v>0</v>
      </c>
      <c r="E270" s="4">
        <f>IF($A270=E$251,"",COUNTIF($E$4:$E$247,$A270&amp;" ضد "&amp;E$251)+COUNTIF($E$4:$E$247,E$251&amp;" ضد "&amp;$A270))</f>
        <v>0</v>
      </c>
      <c r="F270" s="4">
        <f>IF($A270=F$251,"",COUNTIF($E$4:$E$247,$A270&amp;" ضد "&amp;F$251)+COUNTIF($E$4:$E$247,F$251&amp;" ضد "&amp;$A270))</f>
        <v>0</v>
      </c>
      <c r="G270" s="4">
        <f>IF($A270=G$251,"",COUNTIF($E$4:$E$247,$A270&amp;" ضد "&amp;G$251)+COUNTIF($E$4:$E$247,G$251&amp;" ضد "&amp;$A270))</f>
        <v>0</v>
      </c>
      <c r="H270" s="4">
        <f>IF($A270=H$251,"",COUNTIF($E$4:$E$247,$A270&amp;" ضد "&amp;H$251)+COUNTIF($E$4:$E$247,H$251&amp;" ضد "&amp;$A270))</f>
        <v>0</v>
      </c>
      <c r="I270" s="4">
        <f>IF($A270=I$251,"",COUNTIF($E$4:$E$247,$A270&amp;" ضد "&amp;I$251)+COUNTIF($E$4:$E$247,I$251&amp;" ضد "&amp;$A270))</f>
        <v>0</v>
      </c>
      <c r="J270" s="4">
        <f>IF($A270=J$251,"",COUNTIF($E$4:$E$247,$A270&amp;" ضد "&amp;J$251)+COUNTIF($E$4:$E$247,J$251&amp;" ضد "&amp;$A270))</f>
        <v>0</v>
      </c>
      <c r="K270" s="4">
        <f>IF($A270=K$251,"",COUNTIF($E$4:$E$247,$A270&amp;" ضد "&amp;K$251)+COUNTIF($E$4:$E$247,K$251&amp;" ضد "&amp;$A270))</f>
        <v>0</v>
      </c>
      <c r="L270" s="4">
        <f>IF($A270=L$251,"",COUNTIF($E$4:$E$247,$A270&amp;" ضد "&amp;L$251)+COUNTIF($E$4:$E$247,L$251&amp;" ضد "&amp;$A270))</f>
        <v>0</v>
      </c>
      <c r="M270" s="4">
        <f>IF($A270=M$251,"",COUNTIF($E$4:$E$247,$A270&amp;" ضد "&amp;M$251)+COUNTIF($E$4:$E$247,M$251&amp;" ضد "&amp;$A270))</f>
        <v>0</v>
      </c>
      <c r="N270" s="4">
        <f>IF($A270=N$251,"",COUNTIF($E$4:$E$247,$A270&amp;" ضد "&amp;N$251)+COUNTIF($E$4:$E$247,N$251&amp;" ضد "&amp;$A270))</f>
        <v>0</v>
      </c>
      <c r="O270" s="4">
        <f>IF($A270=O$251,"",COUNTIF($E$4:$E$247,$A270&amp;" ضد "&amp;O$251)+COUNTIF($E$4:$E$247,O$251&amp;" ضد "&amp;$A270))</f>
        <v>0</v>
      </c>
      <c r="P270" s="4">
        <f>IF($A270=P$251,"",COUNTIF($E$4:$E$247,$A270&amp;" ضد "&amp;P$251)+COUNTIF($E$4:$E$247,P$251&amp;" ضد "&amp;$A270))</f>
        <v>1</v>
      </c>
      <c r="Q270" s="4">
        <f>IF($A270=Q$251,"",COUNTIF($E$4:$E$247,$A270&amp;" ضد "&amp;Q$251)+COUNTIF($E$4:$E$247,Q$251&amp;" ضد "&amp;$A270))</f>
        <v>2</v>
      </c>
      <c r="R270" s="4">
        <f>IF($A270=R$251,"",COUNTIF($E$4:$E$247,$A270&amp;" ضد "&amp;R$251)+COUNTIF($E$4:$E$247,R$251&amp;" ضد "&amp;$A270))</f>
        <v>2</v>
      </c>
      <c r="S270" s="4">
        <f>IF($A270=S$251,"",COUNTIF($E$4:$E$247,$A270&amp;" ضد "&amp;S$251)+COUNTIF($E$4:$E$247,S$251&amp;" ضد "&amp;$A270))</f>
        <v>2</v>
      </c>
      <c r="T270" s="4" t="str">
        <f>IF($A270=T$251,"",COUNTIF($E$4:$E$247,$A270&amp;" ضد "&amp;T$251)+COUNTIF($E$4:$E$247,T$251&amp;" ضد "&amp;$A270))</f>
        <v/>
      </c>
      <c r="U270" s="4">
        <f>IF($A270=U$251,"",COUNTIF($E$4:$E$247,$A270&amp;" ضد "&amp;U$251)+COUNTIF($E$4:$E$247,U$251&amp;" ضد "&amp;$A270))</f>
        <v>2</v>
      </c>
      <c r="V270" s="4">
        <f>IF($A270=V$251,"",COUNTIF($E$4:$E$247,$A270&amp;" ضد "&amp;V$251)+COUNTIF($E$4:$E$247,V$251&amp;" ضد "&amp;$A270))</f>
        <v>2</v>
      </c>
      <c r="W270" s="4">
        <f>IF($A270=W$251,"",COUNTIF($E$4:$E$247,$A270&amp;" ضد "&amp;W$251)+COUNTIF($E$4:$E$247,W$251&amp;" ضد "&amp;$A270))</f>
        <v>2</v>
      </c>
      <c r="X270" s="4">
        <f>IF($A270=X$251,"",COUNTIF($E$4:$E$247,$A270&amp;" ضد "&amp;X$251)+COUNTIF($E$4:$E$247,X$251&amp;" ضد "&amp;$A270))</f>
        <v>1</v>
      </c>
      <c r="Y270" s="4">
        <f>IF($A270=Y$251,"",COUNTIF($E$4:$E$247,$A270&amp;" ضد "&amp;Y$251)+COUNTIF($E$4:$E$247,Y$251&amp;" ضد "&amp;$A270))</f>
        <v>1</v>
      </c>
      <c r="Z270" s="4">
        <f>IF($A270=Z$251,"",COUNTIF($E$4:$E$247,$A270&amp;" ضد "&amp;Z$251)+COUNTIF($E$4:$E$247,Z$251&amp;" ضد "&amp;$A270))</f>
        <v>1</v>
      </c>
      <c r="AA270" s="4">
        <f>IF($A270=AA$251,"",COUNTIF($E$4:$E$247,$A270&amp;" ضد "&amp;AA$251)+COUNTIF($E$4:$E$247,AA$251&amp;" ضد "&amp;$A270))</f>
        <v>1</v>
      </c>
      <c r="AB270" s="4">
        <f>IF($A270=AB$251,"",COUNTIF($E$4:$E$247,$A270&amp;" ضد "&amp;AB$251)+COUNTIF($E$4:$E$247,AB$251&amp;" ضد "&amp;$A270))</f>
        <v>1</v>
      </c>
    </row>
    <row r="271" spans="1:28" ht="14.5">
      <c r="A271" s="14">
        <v>20</v>
      </c>
      <c r="B271" s="4">
        <f>IF($A271=B$251,"",COUNTIF($E$4:$E$247,$A271&amp;" ضد "&amp;B$251)+COUNTIF($E$4:$E$247,B$251&amp;" ضد "&amp;$A271))</f>
        <v>0</v>
      </c>
      <c r="C271" s="4">
        <f>IF($A271=C$251,"",COUNTIF($E$4:$E$247,$A271&amp;" ضد "&amp;C$251)+COUNTIF($E$4:$E$247,C$251&amp;" ضد "&amp;$A271))</f>
        <v>0</v>
      </c>
      <c r="D271" s="4">
        <f>IF($A271=D$251,"",COUNTIF($E$4:$E$247,$A271&amp;" ضد "&amp;D$251)+COUNTIF($E$4:$E$247,D$251&amp;" ضد "&amp;$A271))</f>
        <v>0</v>
      </c>
      <c r="E271" s="4">
        <f>IF($A271=E$251,"",COUNTIF($E$4:$E$247,$A271&amp;" ضد "&amp;E$251)+COUNTIF($E$4:$E$247,E$251&amp;" ضد "&amp;$A271))</f>
        <v>0</v>
      </c>
      <c r="F271" s="4">
        <f>IF($A271=F$251,"",COUNTIF($E$4:$E$247,$A271&amp;" ضد "&amp;F$251)+COUNTIF($E$4:$E$247,F$251&amp;" ضد "&amp;$A271))</f>
        <v>0</v>
      </c>
      <c r="G271" s="4">
        <f>IF($A271=G$251,"",COUNTIF($E$4:$E$247,$A271&amp;" ضد "&amp;G$251)+COUNTIF($E$4:$E$247,G$251&amp;" ضد "&amp;$A271))</f>
        <v>0</v>
      </c>
      <c r="H271" s="4">
        <f>IF($A271=H$251,"",COUNTIF($E$4:$E$247,$A271&amp;" ضد "&amp;H$251)+COUNTIF($E$4:$E$247,H$251&amp;" ضد "&amp;$A271))</f>
        <v>0</v>
      </c>
      <c r="I271" s="4">
        <f>IF($A271=I$251,"",COUNTIF($E$4:$E$247,$A271&amp;" ضد "&amp;I$251)+COUNTIF($E$4:$E$247,I$251&amp;" ضد "&amp;$A271))</f>
        <v>0</v>
      </c>
      <c r="J271" s="4">
        <f>IF($A271=J$251,"",COUNTIF($E$4:$E$247,$A271&amp;" ضد "&amp;J$251)+COUNTIF($E$4:$E$247,J$251&amp;" ضد "&amp;$A271))</f>
        <v>0</v>
      </c>
      <c r="K271" s="4">
        <f>IF($A271=K$251,"",COUNTIF($E$4:$E$247,$A271&amp;" ضد "&amp;K$251)+COUNTIF($E$4:$E$247,K$251&amp;" ضد "&amp;$A271))</f>
        <v>0</v>
      </c>
      <c r="L271" s="4">
        <f>IF($A271=L$251,"",COUNTIF($E$4:$E$247,$A271&amp;" ضد "&amp;L$251)+COUNTIF($E$4:$E$247,L$251&amp;" ضد "&amp;$A271))</f>
        <v>0</v>
      </c>
      <c r="M271" s="4">
        <f>IF($A271=M$251,"",COUNTIF($E$4:$E$247,$A271&amp;" ضد "&amp;M$251)+COUNTIF($E$4:$E$247,M$251&amp;" ضد "&amp;$A271))</f>
        <v>0</v>
      </c>
      <c r="N271" s="4">
        <f>IF($A271=N$251,"",COUNTIF($E$4:$E$247,$A271&amp;" ضد "&amp;N$251)+COUNTIF($E$4:$E$247,N$251&amp;" ضد "&amp;$A271))</f>
        <v>0</v>
      </c>
      <c r="O271" s="4">
        <f>IF($A271=O$251,"",COUNTIF($E$4:$E$247,$A271&amp;" ضد "&amp;O$251)+COUNTIF($E$4:$E$247,O$251&amp;" ضد "&amp;$A271))</f>
        <v>0</v>
      </c>
      <c r="P271" s="4">
        <f>IF($A271=P$251,"",COUNTIF($E$4:$E$247,$A271&amp;" ضد "&amp;P$251)+COUNTIF($E$4:$E$247,P$251&amp;" ضد "&amp;$A271))</f>
        <v>1</v>
      </c>
      <c r="Q271" s="4">
        <f>IF($A271=Q$251,"",COUNTIF($E$4:$E$247,$A271&amp;" ضد "&amp;Q$251)+COUNTIF($E$4:$E$247,Q$251&amp;" ضد "&amp;$A271))</f>
        <v>1</v>
      </c>
      <c r="R271" s="4">
        <f>IF($A271=R$251,"",COUNTIF($E$4:$E$247,$A271&amp;" ضد "&amp;R$251)+COUNTIF($E$4:$E$247,R$251&amp;" ضد "&amp;$A271))</f>
        <v>2</v>
      </c>
      <c r="S271" s="4">
        <f>IF($A271=S$251,"",COUNTIF($E$4:$E$247,$A271&amp;" ضد "&amp;S$251)+COUNTIF($E$4:$E$247,S$251&amp;" ضد "&amp;$A271))</f>
        <v>2</v>
      </c>
      <c r="T271" s="4">
        <f>IF($A271=T$251,"",COUNTIF($E$4:$E$247,$A271&amp;" ضد "&amp;T$251)+COUNTIF($E$4:$E$247,T$251&amp;" ضد "&amp;$A271))</f>
        <v>2</v>
      </c>
      <c r="U271" s="4" t="str">
        <f>IF($A271=U$251,"",COUNTIF($E$4:$E$247,$A271&amp;" ضد "&amp;U$251)+COUNTIF($E$4:$E$247,U$251&amp;" ضد "&amp;$A271))</f>
        <v/>
      </c>
      <c r="V271" s="4">
        <f>IF($A271=V$251,"",COUNTIF($E$4:$E$247,$A271&amp;" ضد "&amp;V$251)+COUNTIF($E$4:$E$247,V$251&amp;" ضد "&amp;$A271))</f>
        <v>2</v>
      </c>
      <c r="W271" s="4">
        <f>IF($A271=W$251,"",COUNTIF($E$4:$E$247,$A271&amp;" ضد "&amp;W$251)+COUNTIF($E$4:$E$247,W$251&amp;" ضد "&amp;$A271))</f>
        <v>2</v>
      </c>
      <c r="X271" s="4">
        <f>IF($A271=X$251,"",COUNTIF($E$4:$E$247,$A271&amp;" ضد "&amp;X$251)+COUNTIF($E$4:$E$247,X$251&amp;" ضد "&amp;$A271))</f>
        <v>2</v>
      </c>
      <c r="Y271" s="4">
        <f>IF($A271=Y$251,"",COUNTIF($E$4:$E$247,$A271&amp;" ضد "&amp;Y$251)+COUNTIF($E$4:$E$247,Y$251&amp;" ضد "&amp;$A271))</f>
        <v>1</v>
      </c>
      <c r="Z271" s="4">
        <f>IF($A271=Z$251,"",COUNTIF($E$4:$E$247,$A271&amp;" ضد "&amp;Z$251)+COUNTIF($E$4:$E$247,Z$251&amp;" ضد "&amp;$A271))</f>
        <v>1</v>
      </c>
      <c r="AA271" s="4">
        <f>IF($A271=AA$251,"",COUNTIF($E$4:$E$247,$A271&amp;" ضد "&amp;AA$251)+COUNTIF($E$4:$E$247,AA$251&amp;" ضد "&amp;$A271))</f>
        <v>1</v>
      </c>
      <c r="AB271" s="4">
        <f>IF($A271=AB$251,"",COUNTIF($E$4:$E$247,$A271&amp;" ضد "&amp;AB$251)+COUNTIF($E$4:$E$247,AB$251&amp;" ضد "&amp;$A271))</f>
        <v>1</v>
      </c>
    </row>
    <row r="272" spans="1:28" ht="14.5">
      <c r="A272" s="14">
        <v>21</v>
      </c>
      <c r="B272" s="4">
        <f>IF($A272=B$251,"",COUNTIF($E$4:$E$247,$A272&amp;" ضد "&amp;B$251)+COUNTIF($E$4:$E$247,B$251&amp;" ضد "&amp;$A272))</f>
        <v>0</v>
      </c>
      <c r="C272" s="4">
        <f>IF($A272=C$251,"",COUNTIF($E$4:$E$247,$A272&amp;" ضد "&amp;C$251)+COUNTIF($E$4:$E$247,C$251&amp;" ضد "&amp;$A272))</f>
        <v>0</v>
      </c>
      <c r="D272" s="4">
        <f>IF($A272=D$251,"",COUNTIF($E$4:$E$247,$A272&amp;" ضد "&amp;D$251)+COUNTIF($E$4:$E$247,D$251&amp;" ضد "&amp;$A272))</f>
        <v>0</v>
      </c>
      <c r="E272" s="4">
        <f>IF($A272=E$251,"",COUNTIF($E$4:$E$247,$A272&amp;" ضد "&amp;E$251)+COUNTIF($E$4:$E$247,E$251&amp;" ضد "&amp;$A272))</f>
        <v>0</v>
      </c>
      <c r="F272" s="4">
        <f>IF($A272=F$251,"",COUNTIF($E$4:$E$247,$A272&amp;" ضد "&amp;F$251)+COUNTIF($E$4:$E$247,F$251&amp;" ضد "&amp;$A272))</f>
        <v>0</v>
      </c>
      <c r="G272" s="4">
        <f>IF($A272=G$251,"",COUNTIF($E$4:$E$247,$A272&amp;" ضد "&amp;G$251)+COUNTIF($E$4:$E$247,G$251&amp;" ضد "&amp;$A272))</f>
        <v>0</v>
      </c>
      <c r="H272" s="4">
        <f>IF($A272=H$251,"",COUNTIF($E$4:$E$247,$A272&amp;" ضد "&amp;H$251)+COUNTIF($E$4:$E$247,H$251&amp;" ضد "&amp;$A272))</f>
        <v>0</v>
      </c>
      <c r="I272" s="4">
        <f>IF($A272=I$251,"",COUNTIF($E$4:$E$247,$A272&amp;" ضد "&amp;I$251)+COUNTIF($E$4:$E$247,I$251&amp;" ضد "&amp;$A272))</f>
        <v>0</v>
      </c>
      <c r="J272" s="4">
        <f>IF($A272=J$251,"",COUNTIF($E$4:$E$247,$A272&amp;" ضد "&amp;J$251)+COUNTIF($E$4:$E$247,J$251&amp;" ضد "&amp;$A272))</f>
        <v>0</v>
      </c>
      <c r="K272" s="4">
        <f>IF($A272=K$251,"",COUNTIF($E$4:$E$247,$A272&amp;" ضد "&amp;K$251)+COUNTIF($E$4:$E$247,K$251&amp;" ضد "&amp;$A272))</f>
        <v>0</v>
      </c>
      <c r="L272" s="4">
        <f>IF($A272=L$251,"",COUNTIF($E$4:$E$247,$A272&amp;" ضد "&amp;L$251)+COUNTIF($E$4:$E$247,L$251&amp;" ضد "&amp;$A272))</f>
        <v>0</v>
      </c>
      <c r="M272" s="4">
        <f>IF($A272=M$251,"",COUNTIF($E$4:$E$247,$A272&amp;" ضد "&amp;M$251)+COUNTIF($E$4:$E$247,M$251&amp;" ضد "&amp;$A272))</f>
        <v>0</v>
      </c>
      <c r="N272" s="4">
        <f>IF($A272=N$251,"",COUNTIF($E$4:$E$247,$A272&amp;" ضد "&amp;N$251)+COUNTIF($E$4:$E$247,N$251&amp;" ضد "&amp;$A272))</f>
        <v>0</v>
      </c>
      <c r="O272" s="4">
        <f>IF($A272=O$251,"",COUNTIF($E$4:$E$247,$A272&amp;" ضد "&amp;O$251)+COUNTIF($E$4:$E$247,O$251&amp;" ضد "&amp;$A272))</f>
        <v>0</v>
      </c>
      <c r="P272" s="4">
        <f>IF($A272=P$251,"",COUNTIF($E$4:$E$247,$A272&amp;" ضد "&amp;P$251)+COUNTIF($E$4:$E$247,P$251&amp;" ضد "&amp;$A272))</f>
        <v>1</v>
      </c>
      <c r="Q272" s="4">
        <f>IF($A272=Q$251,"",COUNTIF($E$4:$E$247,$A272&amp;" ضد "&amp;Q$251)+COUNTIF($E$4:$E$247,Q$251&amp;" ضد "&amp;$A272))</f>
        <v>1</v>
      </c>
      <c r="R272" s="4">
        <f>IF($A272=R$251,"",COUNTIF($E$4:$E$247,$A272&amp;" ضد "&amp;R$251)+COUNTIF($E$4:$E$247,R$251&amp;" ضد "&amp;$A272))</f>
        <v>1</v>
      </c>
      <c r="S272" s="4">
        <f>IF($A272=S$251,"",COUNTIF($E$4:$E$247,$A272&amp;" ضد "&amp;S$251)+COUNTIF($E$4:$E$247,S$251&amp;" ضد "&amp;$A272))</f>
        <v>2</v>
      </c>
      <c r="T272" s="4">
        <f>IF($A272=T$251,"",COUNTIF($E$4:$E$247,$A272&amp;" ضد "&amp;T$251)+COUNTIF($E$4:$E$247,T$251&amp;" ضد "&amp;$A272))</f>
        <v>2</v>
      </c>
      <c r="U272" s="4">
        <f>IF($A272=U$251,"",COUNTIF($E$4:$E$247,$A272&amp;" ضد "&amp;U$251)+COUNTIF($E$4:$E$247,U$251&amp;" ضد "&amp;$A272))</f>
        <v>2</v>
      </c>
      <c r="V272" s="4" t="str">
        <f>IF($A272=V$251,"",COUNTIF($E$4:$E$247,$A272&amp;" ضد "&amp;V$251)+COUNTIF($E$4:$E$247,V$251&amp;" ضد "&amp;$A272))</f>
        <v/>
      </c>
      <c r="W272" s="4">
        <f>IF($A272=W$251,"",COUNTIF($E$4:$E$247,$A272&amp;" ضد "&amp;W$251)+COUNTIF($E$4:$E$247,W$251&amp;" ضد "&amp;$A272))</f>
        <v>2</v>
      </c>
      <c r="X272" s="4">
        <f>IF($A272=X$251,"",COUNTIF($E$4:$E$247,$A272&amp;" ضد "&amp;X$251)+COUNTIF($E$4:$E$247,X$251&amp;" ضد "&amp;$A272))</f>
        <v>2</v>
      </c>
      <c r="Y272" s="4">
        <f>IF($A272=Y$251,"",COUNTIF($E$4:$E$247,$A272&amp;" ضد "&amp;Y$251)+COUNTIF($E$4:$E$247,Y$251&amp;" ضد "&amp;$A272))</f>
        <v>2</v>
      </c>
      <c r="Z272" s="4">
        <f>IF($A272=Z$251,"",COUNTIF($E$4:$E$247,$A272&amp;" ضد "&amp;Z$251)+COUNTIF($E$4:$E$247,Z$251&amp;" ضد "&amp;$A272))</f>
        <v>1</v>
      </c>
      <c r="AA272" s="4">
        <f>IF($A272=AA$251,"",COUNTIF($E$4:$E$247,$A272&amp;" ضد "&amp;AA$251)+COUNTIF($E$4:$E$247,AA$251&amp;" ضد "&amp;$A272))</f>
        <v>1</v>
      </c>
      <c r="AB272" s="4">
        <f>IF($A272=AB$251,"",COUNTIF($E$4:$E$247,$A272&amp;" ضد "&amp;AB$251)+COUNTIF($E$4:$E$247,AB$251&amp;" ضد "&amp;$A272))</f>
        <v>1</v>
      </c>
    </row>
    <row r="273" spans="1:28" ht="14.5">
      <c r="A273" s="14">
        <v>22</v>
      </c>
      <c r="B273" s="4">
        <f>IF($A273=B$251,"",COUNTIF($E$4:$E$247,$A273&amp;" ضد "&amp;B$251)+COUNTIF($E$4:$E$247,B$251&amp;" ضد "&amp;$A273))</f>
        <v>0</v>
      </c>
      <c r="C273" s="4">
        <f>IF($A273=C$251,"",COUNTIF($E$4:$E$247,$A273&amp;" ضد "&amp;C$251)+COUNTIF($E$4:$E$247,C$251&amp;" ضد "&amp;$A273))</f>
        <v>0</v>
      </c>
      <c r="D273" s="4">
        <f>IF($A273=D$251,"",COUNTIF($E$4:$E$247,$A273&amp;" ضد "&amp;D$251)+COUNTIF($E$4:$E$247,D$251&amp;" ضد "&amp;$A273))</f>
        <v>0</v>
      </c>
      <c r="E273" s="4">
        <f>IF($A273=E$251,"",COUNTIF($E$4:$E$247,$A273&amp;" ضد "&amp;E$251)+COUNTIF($E$4:$E$247,E$251&amp;" ضد "&amp;$A273))</f>
        <v>0</v>
      </c>
      <c r="F273" s="4">
        <f>IF($A273=F$251,"",COUNTIF($E$4:$E$247,$A273&amp;" ضد "&amp;F$251)+COUNTIF($E$4:$E$247,F$251&amp;" ضد "&amp;$A273))</f>
        <v>0</v>
      </c>
      <c r="G273" s="4">
        <f>IF($A273=G$251,"",COUNTIF($E$4:$E$247,$A273&amp;" ضد "&amp;G$251)+COUNTIF($E$4:$E$247,G$251&amp;" ضد "&amp;$A273))</f>
        <v>0</v>
      </c>
      <c r="H273" s="4">
        <f>IF($A273=H$251,"",COUNTIF($E$4:$E$247,$A273&amp;" ضد "&amp;H$251)+COUNTIF($E$4:$E$247,H$251&amp;" ضد "&amp;$A273))</f>
        <v>0</v>
      </c>
      <c r="I273" s="4">
        <f>IF($A273=I$251,"",COUNTIF($E$4:$E$247,$A273&amp;" ضد "&amp;I$251)+COUNTIF($E$4:$E$247,I$251&amp;" ضد "&amp;$A273))</f>
        <v>0</v>
      </c>
      <c r="J273" s="4">
        <f>IF($A273=J$251,"",COUNTIF($E$4:$E$247,$A273&amp;" ضد "&amp;J$251)+COUNTIF($E$4:$E$247,J$251&amp;" ضد "&amp;$A273))</f>
        <v>0</v>
      </c>
      <c r="K273" s="4">
        <f>IF($A273=K$251,"",COUNTIF($E$4:$E$247,$A273&amp;" ضد "&amp;K$251)+COUNTIF($E$4:$E$247,K$251&amp;" ضد "&amp;$A273))</f>
        <v>0</v>
      </c>
      <c r="L273" s="4">
        <f>IF($A273=L$251,"",COUNTIF($E$4:$E$247,$A273&amp;" ضد "&amp;L$251)+COUNTIF($E$4:$E$247,L$251&amp;" ضد "&amp;$A273))</f>
        <v>0</v>
      </c>
      <c r="M273" s="4">
        <f>IF($A273=M$251,"",COUNTIF($E$4:$E$247,$A273&amp;" ضد "&amp;M$251)+COUNTIF($E$4:$E$247,M$251&amp;" ضد "&amp;$A273))</f>
        <v>0</v>
      </c>
      <c r="N273" s="4">
        <f>IF($A273=N$251,"",COUNTIF($E$4:$E$247,$A273&amp;" ضد "&amp;N$251)+COUNTIF($E$4:$E$247,N$251&amp;" ضد "&amp;$A273))</f>
        <v>0</v>
      </c>
      <c r="O273" s="4">
        <f>IF($A273=O$251,"",COUNTIF($E$4:$E$247,$A273&amp;" ضد "&amp;O$251)+COUNTIF($E$4:$E$247,O$251&amp;" ضد "&amp;$A273))</f>
        <v>0</v>
      </c>
      <c r="P273" s="4">
        <f>IF($A273=P$251,"",COUNTIF($E$4:$E$247,$A273&amp;" ضد "&amp;P$251)+COUNTIF($E$4:$E$247,P$251&amp;" ضد "&amp;$A273))</f>
        <v>1</v>
      </c>
      <c r="Q273" s="4">
        <f>IF($A273=Q$251,"",COUNTIF($E$4:$E$247,$A273&amp;" ضد "&amp;Q$251)+COUNTIF($E$4:$E$247,Q$251&amp;" ضد "&amp;$A273))</f>
        <v>1</v>
      </c>
      <c r="R273" s="4">
        <f>IF($A273=R$251,"",COUNTIF($E$4:$E$247,$A273&amp;" ضد "&amp;R$251)+COUNTIF($E$4:$E$247,R$251&amp;" ضد "&amp;$A273))</f>
        <v>1</v>
      </c>
      <c r="S273" s="4">
        <f>IF($A273=S$251,"",COUNTIF($E$4:$E$247,$A273&amp;" ضد "&amp;S$251)+COUNTIF($E$4:$E$247,S$251&amp;" ضد "&amp;$A273))</f>
        <v>1</v>
      </c>
      <c r="T273" s="4">
        <f>IF($A273=T$251,"",COUNTIF($E$4:$E$247,$A273&amp;" ضد "&amp;T$251)+COUNTIF($E$4:$E$247,T$251&amp;" ضد "&amp;$A273))</f>
        <v>2</v>
      </c>
      <c r="U273" s="4">
        <f>IF($A273=U$251,"",COUNTIF($E$4:$E$247,$A273&amp;" ضد "&amp;U$251)+COUNTIF($E$4:$E$247,U$251&amp;" ضد "&amp;$A273))</f>
        <v>2</v>
      </c>
      <c r="V273" s="4">
        <f>IF($A273=V$251,"",COUNTIF($E$4:$E$247,$A273&amp;" ضد "&amp;V$251)+COUNTIF($E$4:$E$247,V$251&amp;" ضد "&amp;$A273))</f>
        <v>2</v>
      </c>
      <c r="W273" s="4" t="str">
        <f>IF($A273=W$251,"",COUNTIF($E$4:$E$247,$A273&amp;" ضد "&amp;W$251)+COUNTIF($E$4:$E$247,W$251&amp;" ضد "&amp;$A273))</f>
        <v/>
      </c>
      <c r="X273" s="4">
        <f>IF($A273=X$251,"",COUNTIF($E$4:$E$247,$A273&amp;" ضد "&amp;X$251)+COUNTIF($E$4:$E$247,X$251&amp;" ضد "&amp;$A273))</f>
        <v>2</v>
      </c>
      <c r="Y273" s="4">
        <f>IF($A273=Y$251,"",COUNTIF($E$4:$E$247,$A273&amp;" ضد "&amp;Y$251)+COUNTIF($E$4:$E$247,Y$251&amp;" ضد "&amp;$A273))</f>
        <v>2</v>
      </c>
      <c r="Z273" s="4">
        <f>IF($A273=Z$251,"",COUNTIF($E$4:$E$247,$A273&amp;" ضد "&amp;Z$251)+COUNTIF($E$4:$E$247,Z$251&amp;" ضد "&amp;$A273))</f>
        <v>2</v>
      </c>
      <c r="AA273" s="4">
        <f>IF($A273=AA$251,"",COUNTIF($E$4:$E$247,$A273&amp;" ضد "&amp;AA$251)+COUNTIF($E$4:$E$247,AA$251&amp;" ضد "&amp;$A273))</f>
        <v>1</v>
      </c>
      <c r="AB273" s="4">
        <f>IF($A273=AB$251,"",COUNTIF($E$4:$E$247,$A273&amp;" ضد "&amp;AB$251)+COUNTIF($E$4:$E$247,AB$251&amp;" ضد "&amp;$A273))</f>
        <v>1</v>
      </c>
    </row>
    <row r="274" spans="1:28" ht="14.5">
      <c r="A274" s="14">
        <v>23</v>
      </c>
      <c r="B274" s="4">
        <f>IF($A274=B$251,"",COUNTIF($E$4:$E$247,$A274&amp;" ضد "&amp;B$251)+COUNTIF($E$4:$E$247,B$251&amp;" ضد "&amp;$A274))</f>
        <v>0</v>
      </c>
      <c r="C274" s="4">
        <f>IF($A274=C$251,"",COUNTIF($E$4:$E$247,$A274&amp;" ضد "&amp;C$251)+COUNTIF($E$4:$E$247,C$251&amp;" ضد "&amp;$A274))</f>
        <v>0</v>
      </c>
      <c r="D274" s="4">
        <f>IF($A274=D$251,"",COUNTIF($E$4:$E$247,$A274&amp;" ضد "&amp;D$251)+COUNTIF($E$4:$E$247,D$251&amp;" ضد "&amp;$A274))</f>
        <v>0</v>
      </c>
      <c r="E274" s="4">
        <f>IF($A274=E$251,"",COUNTIF($E$4:$E$247,$A274&amp;" ضد "&amp;E$251)+COUNTIF($E$4:$E$247,E$251&amp;" ضد "&amp;$A274))</f>
        <v>0</v>
      </c>
      <c r="F274" s="4">
        <f>IF($A274=F$251,"",COUNTIF($E$4:$E$247,$A274&amp;" ضد "&amp;F$251)+COUNTIF($E$4:$E$247,F$251&amp;" ضد "&amp;$A274))</f>
        <v>0</v>
      </c>
      <c r="G274" s="4">
        <f>IF($A274=G$251,"",COUNTIF($E$4:$E$247,$A274&amp;" ضد "&amp;G$251)+COUNTIF($E$4:$E$247,G$251&amp;" ضد "&amp;$A274))</f>
        <v>0</v>
      </c>
      <c r="H274" s="4">
        <f>IF($A274=H$251,"",COUNTIF($E$4:$E$247,$A274&amp;" ضد "&amp;H$251)+COUNTIF($E$4:$E$247,H$251&amp;" ضد "&amp;$A274))</f>
        <v>0</v>
      </c>
      <c r="I274" s="4">
        <f>IF($A274=I$251,"",COUNTIF($E$4:$E$247,$A274&amp;" ضد "&amp;I$251)+COUNTIF($E$4:$E$247,I$251&amp;" ضد "&amp;$A274))</f>
        <v>0</v>
      </c>
      <c r="J274" s="4">
        <f>IF($A274=J$251,"",COUNTIF($E$4:$E$247,$A274&amp;" ضد "&amp;J$251)+COUNTIF($E$4:$E$247,J$251&amp;" ضد "&amp;$A274))</f>
        <v>0</v>
      </c>
      <c r="K274" s="4">
        <f>IF($A274=K$251,"",COUNTIF($E$4:$E$247,$A274&amp;" ضد "&amp;K$251)+COUNTIF($E$4:$E$247,K$251&amp;" ضد "&amp;$A274))</f>
        <v>0</v>
      </c>
      <c r="L274" s="4">
        <f>IF($A274=L$251,"",COUNTIF($E$4:$E$247,$A274&amp;" ضد "&amp;L$251)+COUNTIF($E$4:$E$247,L$251&amp;" ضد "&amp;$A274))</f>
        <v>0</v>
      </c>
      <c r="M274" s="4">
        <f>IF($A274=M$251,"",COUNTIF($E$4:$E$247,$A274&amp;" ضد "&amp;M$251)+COUNTIF($E$4:$E$247,M$251&amp;" ضد "&amp;$A274))</f>
        <v>0</v>
      </c>
      <c r="N274" s="4">
        <f>IF($A274=N$251,"",COUNTIF($E$4:$E$247,$A274&amp;" ضد "&amp;N$251)+COUNTIF($E$4:$E$247,N$251&amp;" ضد "&amp;$A274))</f>
        <v>0</v>
      </c>
      <c r="O274" s="4">
        <f>IF($A274=O$251,"",COUNTIF($E$4:$E$247,$A274&amp;" ضد "&amp;O$251)+COUNTIF($E$4:$E$247,O$251&amp;" ضد "&amp;$A274))</f>
        <v>0</v>
      </c>
      <c r="P274" s="4">
        <f>IF($A274=P$251,"",COUNTIF($E$4:$E$247,$A274&amp;" ضد "&amp;P$251)+COUNTIF($E$4:$E$247,P$251&amp;" ضد "&amp;$A274))</f>
        <v>1</v>
      </c>
      <c r="Q274" s="4">
        <f>IF($A274=Q$251,"",COUNTIF($E$4:$E$247,$A274&amp;" ضد "&amp;Q$251)+COUNTIF($E$4:$E$247,Q$251&amp;" ضد "&amp;$A274))</f>
        <v>1</v>
      </c>
      <c r="R274" s="4">
        <f>IF($A274=R$251,"",COUNTIF($E$4:$E$247,$A274&amp;" ضد "&amp;R$251)+COUNTIF($E$4:$E$247,R$251&amp;" ضد "&amp;$A274))</f>
        <v>1</v>
      </c>
      <c r="S274" s="4">
        <f>IF($A274=S$251,"",COUNTIF($E$4:$E$247,$A274&amp;" ضد "&amp;S$251)+COUNTIF($E$4:$E$247,S$251&amp;" ضد "&amp;$A274))</f>
        <v>1</v>
      </c>
      <c r="T274" s="4">
        <f>IF($A274=T$251,"",COUNTIF($E$4:$E$247,$A274&amp;" ضد "&amp;T$251)+COUNTIF($E$4:$E$247,T$251&amp;" ضد "&amp;$A274))</f>
        <v>1</v>
      </c>
      <c r="U274" s="4">
        <f>IF($A274=U$251,"",COUNTIF($E$4:$E$247,$A274&amp;" ضد "&amp;U$251)+COUNTIF($E$4:$E$247,U$251&amp;" ضد "&amp;$A274))</f>
        <v>2</v>
      </c>
      <c r="V274" s="4">
        <f>IF($A274=V$251,"",COUNTIF($E$4:$E$247,$A274&amp;" ضد "&amp;V$251)+COUNTIF($E$4:$E$247,V$251&amp;" ضد "&amp;$A274))</f>
        <v>2</v>
      </c>
      <c r="W274" s="4">
        <f>IF($A274=W$251,"",COUNTIF($E$4:$E$247,$A274&amp;" ضد "&amp;W$251)+COUNTIF($E$4:$E$247,W$251&amp;" ضد "&amp;$A274))</f>
        <v>2</v>
      </c>
      <c r="X274" s="4" t="str">
        <f>IF($A274=X$251,"",COUNTIF($E$4:$E$247,$A274&amp;" ضد "&amp;X$251)+COUNTIF($E$4:$E$247,X$251&amp;" ضد "&amp;$A274))</f>
        <v/>
      </c>
      <c r="Y274" s="4">
        <f>IF($A274=Y$251,"",COUNTIF($E$4:$E$247,$A274&amp;" ضد "&amp;Y$251)+COUNTIF($E$4:$E$247,Y$251&amp;" ضد "&amp;$A274))</f>
        <v>2</v>
      </c>
      <c r="Z274" s="4">
        <f>IF($A274=Z$251,"",COUNTIF($E$4:$E$247,$A274&amp;" ضد "&amp;Z$251)+COUNTIF($E$4:$E$247,Z$251&amp;" ضد "&amp;$A274))</f>
        <v>2</v>
      </c>
      <c r="AA274" s="4">
        <f>IF($A274=AA$251,"",COUNTIF($E$4:$E$247,$A274&amp;" ضد "&amp;AA$251)+COUNTIF($E$4:$E$247,AA$251&amp;" ضد "&amp;$A274))</f>
        <v>2</v>
      </c>
      <c r="AB274" s="4">
        <f>IF($A274=AB$251,"",COUNTIF($E$4:$E$247,$A274&amp;" ضد "&amp;AB$251)+COUNTIF($E$4:$E$247,AB$251&amp;" ضد "&amp;$A274))</f>
        <v>1</v>
      </c>
    </row>
    <row r="275" spans="1:28" ht="14.5">
      <c r="A275" s="14">
        <v>24</v>
      </c>
      <c r="B275" s="4">
        <f>IF($A275=B$251,"",COUNTIF($E$4:$E$247,$A275&amp;" ضد "&amp;B$251)+COUNTIF($E$4:$E$247,B$251&amp;" ضد "&amp;$A275))</f>
        <v>0</v>
      </c>
      <c r="C275" s="4">
        <f>IF($A275=C$251,"",COUNTIF($E$4:$E$247,$A275&amp;" ضد "&amp;C$251)+COUNTIF($E$4:$E$247,C$251&amp;" ضد "&amp;$A275))</f>
        <v>0</v>
      </c>
      <c r="D275" s="4">
        <f>IF($A275=D$251,"",COUNTIF($E$4:$E$247,$A275&amp;" ضد "&amp;D$251)+COUNTIF($E$4:$E$247,D$251&amp;" ضد "&amp;$A275))</f>
        <v>0</v>
      </c>
      <c r="E275" s="4">
        <f>IF($A275=E$251,"",COUNTIF($E$4:$E$247,$A275&amp;" ضد "&amp;E$251)+COUNTIF($E$4:$E$247,E$251&amp;" ضد "&amp;$A275))</f>
        <v>0</v>
      </c>
      <c r="F275" s="4">
        <f>IF($A275=F$251,"",COUNTIF($E$4:$E$247,$A275&amp;" ضد "&amp;F$251)+COUNTIF($E$4:$E$247,F$251&amp;" ضد "&amp;$A275))</f>
        <v>0</v>
      </c>
      <c r="G275" s="4">
        <f>IF($A275=G$251,"",COUNTIF($E$4:$E$247,$A275&amp;" ضد "&amp;G$251)+COUNTIF($E$4:$E$247,G$251&amp;" ضد "&amp;$A275))</f>
        <v>0</v>
      </c>
      <c r="H275" s="4">
        <f>IF($A275=H$251,"",COUNTIF($E$4:$E$247,$A275&amp;" ضد "&amp;H$251)+COUNTIF($E$4:$E$247,H$251&amp;" ضد "&amp;$A275))</f>
        <v>0</v>
      </c>
      <c r="I275" s="4">
        <f>IF($A275=I$251,"",COUNTIF($E$4:$E$247,$A275&amp;" ضد "&amp;I$251)+COUNTIF($E$4:$E$247,I$251&amp;" ضد "&amp;$A275))</f>
        <v>0</v>
      </c>
      <c r="J275" s="4">
        <f>IF($A275=J$251,"",COUNTIF($E$4:$E$247,$A275&amp;" ضد "&amp;J$251)+COUNTIF($E$4:$E$247,J$251&amp;" ضد "&amp;$A275))</f>
        <v>0</v>
      </c>
      <c r="K275" s="4">
        <f>IF($A275=K$251,"",COUNTIF($E$4:$E$247,$A275&amp;" ضد "&amp;K$251)+COUNTIF($E$4:$E$247,K$251&amp;" ضد "&amp;$A275))</f>
        <v>0</v>
      </c>
      <c r="L275" s="4">
        <f>IF($A275=L$251,"",COUNTIF($E$4:$E$247,$A275&amp;" ضد "&amp;L$251)+COUNTIF($E$4:$E$247,L$251&amp;" ضد "&amp;$A275))</f>
        <v>0</v>
      </c>
      <c r="M275" s="4">
        <f>IF($A275=M$251,"",COUNTIF($E$4:$E$247,$A275&amp;" ضد "&amp;M$251)+COUNTIF($E$4:$E$247,M$251&amp;" ضد "&amp;$A275))</f>
        <v>0</v>
      </c>
      <c r="N275" s="4">
        <f>IF($A275=N$251,"",COUNTIF($E$4:$E$247,$A275&amp;" ضد "&amp;N$251)+COUNTIF($E$4:$E$247,N$251&amp;" ضد "&amp;$A275))</f>
        <v>0</v>
      </c>
      <c r="O275" s="4">
        <f>IF($A275=O$251,"",COUNTIF($E$4:$E$247,$A275&amp;" ضد "&amp;O$251)+COUNTIF($E$4:$E$247,O$251&amp;" ضد "&amp;$A275))</f>
        <v>0</v>
      </c>
      <c r="P275" s="4">
        <f>IF($A275=P$251,"",COUNTIF($E$4:$E$247,$A275&amp;" ضد "&amp;P$251)+COUNTIF($E$4:$E$247,P$251&amp;" ضد "&amp;$A275))</f>
        <v>1</v>
      </c>
      <c r="Q275" s="4">
        <f>IF($A275=Q$251,"",COUNTIF($E$4:$E$247,$A275&amp;" ضد "&amp;Q$251)+COUNTIF($E$4:$E$247,Q$251&amp;" ضد "&amp;$A275))</f>
        <v>1</v>
      </c>
      <c r="R275" s="4">
        <f>IF($A275=R$251,"",COUNTIF($E$4:$E$247,$A275&amp;" ضد "&amp;R$251)+COUNTIF($E$4:$E$247,R$251&amp;" ضد "&amp;$A275))</f>
        <v>1</v>
      </c>
      <c r="S275" s="4">
        <f>IF($A275=S$251,"",COUNTIF($E$4:$E$247,$A275&amp;" ضد "&amp;S$251)+COUNTIF($E$4:$E$247,S$251&amp;" ضد "&amp;$A275))</f>
        <v>1</v>
      </c>
      <c r="T275" s="4">
        <f>IF($A275=T$251,"",COUNTIF($E$4:$E$247,$A275&amp;" ضد "&amp;T$251)+COUNTIF($E$4:$E$247,T$251&amp;" ضد "&amp;$A275))</f>
        <v>1</v>
      </c>
      <c r="U275" s="4">
        <f>IF($A275=U$251,"",COUNTIF($E$4:$E$247,$A275&amp;" ضد "&amp;U$251)+COUNTIF($E$4:$E$247,U$251&amp;" ضد "&amp;$A275))</f>
        <v>1</v>
      </c>
      <c r="V275" s="4">
        <f>IF($A275=V$251,"",COUNTIF($E$4:$E$247,$A275&amp;" ضد "&amp;V$251)+COUNTIF($E$4:$E$247,V$251&amp;" ضد "&amp;$A275))</f>
        <v>2</v>
      </c>
      <c r="W275" s="4">
        <f>IF($A275=W$251,"",COUNTIF($E$4:$E$247,$A275&amp;" ضد "&amp;W$251)+COUNTIF($E$4:$E$247,W$251&amp;" ضد "&amp;$A275))</f>
        <v>2</v>
      </c>
      <c r="X275" s="4">
        <f>IF($A275=X$251,"",COUNTIF($E$4:$E$247,$A275&amp;" ضد "&amp;X$251)+COUNTIF($E$4:$E$247,X$251&amp;" ضد "&amp;$A275))</f>
        <v>2</v>
      </c>
      <c r="Y275" s="4" t="str">
        <f>IF($A275=Y$251,"",COUNTIF($E$4:$E$247,$A275&amp;" ضد "&amp;Y$251)+COUNTIF($E$4:$E$247,Y$251&amp;" ضد "&amp;$A275))</f>
        <v/>
      </c>
      <c r="Z275" s="4">
        <f>IF($A275=Z$251,"",COUNTIF($E$4:$E$247,$A275&amp;" ضد "&amp;Z$251)+COUNTIF($E$4:$E$247,Z$251&amp;" ضد "&amp;$A275))</f>
        <v>2</v>
      </c>
      <c r="AA275" s="4">
        <f>IF($A275=AA$251,"",COUNTIF($E$4:$E$247,$A275&amp;" ضد "&amp;AA$251)+COUNTIF($E$4:$E$247,AA$251&amp;" ضد "&amp;$A275))</f>
        <v>2</v>
      </c>
      <c r="AB275" s="4">
        <f>IF($A275=AB$251,"",COUNTIF($E$4:$E$247,$A275&amp;" ضد "&amp;AB$251)+COUNTIF($E$4:$E$247,AB$251&amp;" ضد "&amp;$A275))</f>
        <v>2</v>
      </c>
    </row>
    <row r="276" spans="1:28" ht="14.5">
      <c r="A276" s="14">
        <v>25</v>
      </c>
      <c r="B276" s="4">
        <f>IF($A276=B$251,"",COUNTIF($E$4:$E$247,$A276&amp;" ضد "&amp;B$251)+COUNTIF($E$4:$E$247,B$251&amp;" ضد "&amp;$A276))</f>
        <v>0</v>
      </c>
      <c r="C276" s="4">
        <f>IF($A276=C$251,"",COUNTIF($E$4:$E$247,$A276&amp;" ضد "&amp;C$251)+COUNTIF($E$4:$E$247,C$251&amp;" ضد "&amp;$A276))</f>
        <v>0</v>
      </c>
      <c r="D276" s="4">
        <f>IF($A276=D$251,"",COUNTIF($E$4:$E$247,$A276&amp;" ضد "&amp;D$251)+COUNTIF($E$4:$E$247,D$251&amp;" ضد "&amp;$A276))</f>
        <v>0</v>
      </c>
      <c r="E276" s="4">
        <f>IF($A276=E$251,"",COUNTIF($E$4:$E$247,$A276&amp;" ضد "&amp;E$251)+COUNTIF($E$4:$E$247,E$251&amp;" ضد "&amp;$A276))</f>
        <v>0</v>
      </c>
      <c r="F276" s="4">
        <f>IF($A276=F$251,"",COUNTIF($E$4:$E$247,$A276&amp;" ضد "&amp;F$251)+COUNTIF($E$4:$E$247,F$251&amp;" ضد "&amp;$A276))</f>
        <v>0</v>
      </c>
      <c r="G276" s="4">
        <f>IF($A276=G$251,"",COUNTIF($E$4:$E$247,$A276&amp;" ضد "&amp;G$251)+COUNTIF($E$4:$E$247,G$251&amp;" ضد "&amp;$A276))</f>
        <v>0</v>
      </c>
      <c r="H276" s="4">
        <f>IF($A276=H$251,"",COUNTIF($E$4:$E$247,$A276&amp;" ضد "&amp;H$251)+COUNTIF($E$4:$E$247,H$251&amp;" ضد "&amp;$A276))</f>
        <v>0</v>
      </c>
      <c r="I276" s="4">
        <f>IF($A276=I$251,"",COUNTIF($E$4:$E$247,$A276&amp;" ضد "&amp;I$251)+COUNTIF($E$4:$E$247,I$251&amp;" ضد "&amp;$A276))</f>
        <v>0</v>
      </c>
      <c r="J276" s="4">
        <f>IF($A276=J$251,"",COUNTIF($E$4:$E$247,$A276&amp;" ضد "&amp;J$251)+COUNTIF($E$4:$E$247,J$251&amp;" ضد "&amp;$A276))</f>
        <v>0</v>
      </c>
      <c r="K276" s="4">
        <f>IF($A276=K$251,"",COUNTIF($E$4:$E$247,$A276&amp;" ضد "&amp;K$251)+COUNTIF($E$4:$E$247,K$251&amp;" ضد "&amp;$A276))</f>
        <v>0</v>
      </c>
      <c r="L276" s="4">
        <f>IF($A276=L$251,"",COUNTIF($E$4:$E$247,$A276&amp;" ضد "&amp;L$251)+COUNTIF($E$4:$E$247,L$251&amp;" ضد "&amp;$A276))</f>
        <v>0</v>
      </c>
      <c r="M276" s="4">
        <f>IF($A276=M$251,"",COUNTIF($E$4:$E$247,$A276&amp;" ضد "&amp;M$251)+COUNTIF($E$4:$E$247,M$251&amp;" ضد "&amp;$A276))</f>
        <v>0</v>
      </c>
      <c r="N276" s="4">
        <f>IF($A276=N$251,"",COUNTIF($E$4:$E$247,$A276&amp;" ضد "&amp;N$251)+COUNTIF($E$4:$E$247,N$251&amp;" ضد "&amp;$A276))</f>
        <v>0</v>
      </c>
      <c r="O276" s="4">
        <f>IF($A276=O$251,"",COUNTIF($E$4:$E$247,$A276&amp;" ضد "&amp;O$251)+COUNTIF($E$4:$E$247,O$251&amp;" ضد "&amp;$A276))</f>
        <v>0</v>
      </c>
      <c r="P276" s="4">
        <f>IF($A276=P$251,"",COUNTIF($E$4:$E$247,$A276&amp;" ضد "&amp;P$251)+COUNTIF($E$4:$E$247,P$251&amp;" ضد "&amp;$A276))</f>
        <v>2</v>
      </c>
      <c r="Q276" s="4">
        <f>IF($A276=Q$251,"",COUNTIF($E$4:$E$247,$A276&amp;" ضد "&amp;Q$251)+COUNTIF($E$4:$E$247,Q$251&amp;" ضد "&amp;$A276))</f>
        <v>1</v>
      </c>
      <c r="R276" s="4">
        <f>IF($A276=R$251,"",COUNTIF($E$4:$E$247,$A276&amp;" ضد "&amp;R$251)+COUNTIF($E$4:$E$247,R$251&amp;" ضد "&amp;$A276))</f>
        <v>1</v>
      </c>
      <c r="S276" s="4">
        <f>IF($A276=S$251,"",COUNTIF($E$4:$E$247,$A276&amp;" ضد "&amp;S$251)+COUNTIF($E$4:$E$247,S$251&amp;" ضد "&amp;$A276))</f>
        <v>1</v>
      </c>
      <c r="T276" s="4">
        <f>IF($A276=T$251,"",COUNTIF($E$4:$E$247,$A276&amp;" ضد "&amp;T$251)+COUNTIF($E$4:$E$247,T$251&amp;" ضد "&amp;$A276))</f>
        <v>1</v>
      </c>
      <c r="U276" s="4">
        <f>IF($A276=U$251,"",COUNTIF($E$4:$E$247,$A276&amp;" ضد "&amp;U$251)+COUNTIF($E$4:$E$247,U$251&amp;" ضد "&amp;$A276))</f>
        <v>1</v>
      </c>
      <c r="V276" s="4">
        <f>IF($A276=V$251,"",COUNTIF($E$4:$E$247,$A276&amp;" ضد "&amp;V$251)+COUNTIF($E$4:$E$247,V$251&amp;" ضد "&amp;$A276))</f>
        <v>1</v>
      </c>
      <c r="W276" s="4">
        <f>IF($A276=W$251,"",COUNTIF($E$4:$E$247,$A276&amp;" ضد "&amp;W$251)+COUNTIF($E$4:$E$247,W$251&amp;" ضد "&amp;$A276))</f>
        <v>2</v>
      </c>
      <c r="X276" s="4">
        <f>IF($A276=X$251,"",COUNTIF($E$4:$E$247,$A276&amp;" ضد "&amp;X$251)+COUNTIF($E$4:$E$247,X$251&amp;" ضد "&amp;$A276))</f>
        <v>2</v>
      </c>
      <c r="Y276" s="4">
        <f>IF($A276=Y$251,"",COUNTIF($E$4:$E$247,$A276&amp;" ضد "&amp;Y$251)+COUNTIF($E$4:$E$247,Y$251&amp;" ضد "&amp;$A276))</f>
        <v>2</v>
      </c>
      <c r="Z276" s="4" t="str">
        <f>IF($A276=Z$251,"",COUNTIF($E$4:$E$247,$A276&amp;" ضد "&amp;Z$251)+COUNTIF($E$4:$E$247,Z$251&amp;" ضد "&amp;$A276))</f>
        <v/>
      </c>
      <c r="AA276" s="4">
        <f>IF($A276=AA$251,"",COUNTIF($E$4:$E$247,$A276&amp;" ضد "&amp;AA$251)+COUNTIF($E$4:$E$247,AA$251&amp;" ضد "&amp;$A276))</f>
        <v>2</v>
      </c>
      <c r="AB276" s="4">
        <f>IF($A276=AB$251,"",COUNTIF($E$4:$E$247,$A276&amp;" ضد "&amp;AB$251)+COUNTIF($E$4:$E$247,AB$251&amp;" ضد "&amp;$A276))</f>
        <v>2</v>
      </c>
    </row>
    <row r="277" spans="1:28" ht="14.5">
      <c r="A277" s="14">
        <v>26</v>
      </c>
      <c r="B277" s="4">
        <f>IF($A277=B$251,"",COUNTIF($E$4:$E$247,$A277&amp;" ضد "&amp;B$251)+COUNTIF($E$4:$E$247,B$251&amp;" ضد "&amp;$A277))</f>
        <v>0</v>
      </c>
      <c r="C277" s="4">
        <f>IF($A277=C$251,"",COUNTIF($E$4:$E$247,$A277&amp;" ضد "&amp;C$251)+COUNTIF($E$4:$E$247,C$251&amp;" ضد "&amp;$A277))</f>
        <v>0</v>
      </c>
      <c r="D277" s="4">
        <f>IF($A277=D$251,"",COUNTIF($E$4:$E$247,$A277&amp;" ضد "&amp;D$251)+COUNTIF($E$4:$E$247,D$251&amp;" ضد "&amp;$A277))</f>
        <v>0</v>
      </c>
      <c r="E277" s="4">
        <f>IF($A277=E$251,"",COUNTIF($E$4:$E$247,$A277&amp;" ضد "&amp;E$251)+COUNTIF($E$4:$E$247,E$251&amp;" ضد "&amp;$A277))</f>
        <v>0</v>
      </c>
      <c r="F277" s="4">
        <f>IF($A277=F$251,"",COUNTIF($E$4:$E$247,$A277&amp;" ضد "&amp;F$251)+COUNTIF($E$4:$E$247,F$251&amp;" ضد "&amp;$A277))</f>
        <v>0</v>
      </c>
      <c r="G277" s="4">
        <f>IF($A277=G$251,"",COUNTIF($E$4:$E$247,$A277&amp;" ضد "&amp;G$251)+COUNTIF($E$4:$E$247,G$251&amp;" ضد "&amp;$A277))</f>
        <v>0</v>
      </c>
      <c r="H277" s="4">
        <f>IF($A277=H$251,"",COUNTIF($E$4:$E$247,$A277&amp;" ضد "&amp;H$251)+COUNTIF($E$4:$E$247,H$251&amp;" ضد "&amp;$A277))</f>
        <v>0</v>
      </c>
      <c r="I277" s="4">
        <f>IF($A277=I$251,"",COUNTIF($E$4:$E$247,$A277&amp;" ضد "&amp;I$251)+COUNTIF($E$4:$E$247,I$251&amp;" ضد "&amp;$A277))</f>
        <v>0</v>
      </c>
      <c r="J277" s="4">
        <f>IF($A277=J$251,"",COUNTIF($E$4:$E$247,$A277&amp;" ضد "&amp;J$251)+COUNTIF($E$4:$E$247,J$251&amp;" ضد "&amp;$A277))</f>
        <v>0</v>
      </c>
      <c r="K277" s="4">
        <f>IF($A277=K$251,"",COUNTIF($E$4:$E$247,$A277&amp;" ضد "&amp;K$251)+COUNTIF($E$4:$E$247,K$251&amp;" ضد "&amp;$A277))</f>
        <v>0</v>
      </c>
      <c r="L277" s="4">
        <f>IF($A277=L$251,"",COUNTIF($E$4:$E$247,$A277&amp;" ضد "&amp;L$251)+COUNTIF($E$4:$E$247,L$251&amp;" ضد "&amp;$A277))</f>
        <v>0</v>
      </c>
      <c r="M277" s="4">
        <f>IF($A277=M$251,"",COUNTIF($E$4:$E$247,$A277&amp;" ضد "&amp;M$251)+COUNTIF($E$4:$E$247,M$251&amp;" ضد "&amp;$A277))</f>
        <v>0</v>
      </c>
      <c r="N277" s="4">
        <f>IF($A277=N$251,"",COUNTIF($E$4:$E$247,$A277&amp;" ضد "&amp;N$251)+COUNTIF($E$4:$E$247,N$251&amp;" ضد "&amp;$A277))</f>
        <v>0</v>
      </c>
      <c r="O277" s="4">
        <f>IF($A277=O$251,"",COUNTIF($E$4:$E$247,$A277&amp;" ضد "&amp;O$251)+COUNTIF($E$4:$E$247,O$251&amp;" ضد "&amp;$A277))</f>
        <v>0</v>
      </c>
      <c r="P277" s="4">
        <f>IF($A277=P$251,"",COUNTIF($E$4:$E$247,$A277&amp;" ضد "&amp;P$251)+COUNTIF($E$4:$E$247,P$251&amp;" ضد "&amp;$A277))</f>
        <v>2</v>
      </c>
      <c r="Q277" s="4">
        <f>IF($A277=Q$251,"",COUNTIF($E$4:$E$247,$A277&amp;" ضد "&amp;Q$251)+COUNTIF($E$4:$E$247,Q$251&amp;" ضد "&amp;$A277))</f>
        <v>2</v>
      </c>
      <c r="R277" s="4">
        <f>IF($A277=R$251,"",COUNTIF($E$4:$E$247,$A277&amp;" ضد "&amp;R$251)+COUNTIF($E$4:$E$247,R$251&amp;" ضد "&amp;$A277))</f>
        <v>1</v>
      </c>
      <c r="S277" s="4">
        <f>IF($A277=S$251,"",COUNTIF($E$4:$E$247,$A277&amp;" ضد "&amp;S$251)+COUNTIF($E$4:$E$247,S$251&amp;" ضد "&amp;$A277))</f>
        <v>1</v>
      </c>
      <c r="T277" s="4">
        <f>IF($A277=T$251,"",COUNTIF($E$4:$E$247,$A277&amp;" ضد "&amp;T$251)+COUNTIF($E$4:$E$247,T$251&amp;" ضد "&amp;$A277))</f>
        <v>1</v>
      </c>
      <c r="U277" s="4">
        <f>IF($A277=U$251,"",COUNTIF($E$4:$E$247,$A277&amp;" ضد "&amp;U$251)+COUNTIF($E$4:$E$247,U$251&amp;" ضد "&amp;$A277))</f>
        <v>1</v>
      </c>
      <c r="V277" s="4">
        <f>IF($A277=V$251,"",COUNTIF($E$4:$E$247,$A277&amp;" ضد "&amp;V$251)+COUNTIF($E$4:$E$247,V$251&amp;" ضد "&amp;$A277))</f>
        <v>1</v>
      </c>
      <c r="W277" s="4">
        <f>IF($A277=W$251,"",COUNTIF($E$4:$E$247,$A277&amp;" ضد "&amp;W$251)+COUNTIF($E$4:$E$247,W$251&amp;" ضد "&amp;$A277))</f>
        <v>1</v>
      </c>
      <c r="X277" s="4">
        <f>IF($A277=X$251,"",COUNTIF($E$4:$E$247,$A277&amp;" ضد "&amp;X$251)+COUNTIF($E$4:$E$247,X$251&amp;" ضد "&amp;$A277))</f>
        <v>2</v>
      </c>
      <c r="Y277" s="4">
        <f>IF($A277=Y$251,"",COUNTIF($E$4:$E$247,$A277&amp;" ضد "&amp;Y$251)+COUNTIF($E$4:$E$247,Y$251&amp;" ضد "&amp;$A277))</f>
        <v>2</v>
      </c>
      <c r="Z277" s="4">
        <f>IF($A277=Z$251,"",COUNTIF($E$4:$E$247,$A277&amp;" ضد "&amp;Z$251)+COUNTIF($E$4:$E$247,Z$251&amp;" ضد "&amp;$A277))</f>
        <v>2</v>
      </c>
      <c r="AA277" s="4" t="str">
        <f>IF($A277=AA$251,"",COUNTIF($E$4:$E$247,$A277&amp;" ضد "&amp;AA$251)+COUNTIF($E$4:$E$247,AA$251&amp;" ضد "&amp;$A277))</f>
        <v/>
      </c>
      <c r="AB277" s="4">
        <f>IF($A277=AB$251,"",COUNTIF($E$4:$E$247,$A277&amp;" ضد "&amp;AB$251)+COUNTIF($E$4:$E$247,AB$251&amp;" ضد "&amp;$A277))</f>
        <v>2</v>
      </c>
    </row>
    <row r="278" spans="1:28" ht="14.5">
      <c r="A278" s="14">
        <v>27</v>
      </c>
      <c r="B278" s="4">
        <f>IF($A278=B$251,"",COUNTIF($E$4:$E$247,$A278&amp;" ضد "&amp;B$251)+COUNTIF($E$4:$E$247,B$251&amp;" ضد "&amp;$A278))</f>
        <v>0</v>
      </c>
      <c r="C278" s="4">
        <f>IF($A278=C$251,"",COUNTIF($E$4:$E$247,$A278&amp;" ضد "&amp;C$251)+COUNTIF($E$4:$E$247,C$251&amp;" ضد "&amp;$A278))</f>
        <v>0</v>
      </c>
      <c r="D278" s="4">
        <f>IF($A278=D$251,"",COUNTIF($E$4:$E$247,$A278&amp;" ضد "&amp;D$251)+COUNTIF($E$4:$E$247,D$251&amp;" ضد "&amp;$A278))</f>
        <v>0</v>
      </c>
      <c r="E278" s="4">
        <f>IF($A278=E$251,"",COUNTIF($E$4:$E$247,$A278&amp;" ضد "&amp;E$251)+COUNTIF($E$4:$E$247,E$251&amp;" ضد "&amp;$A278))</f>
        <v>0</v>
      </c>
      <c r="F278" s="4">
        <f>IF($A278=F$251,"",COUNTIF($E$4:$E$247,$A278&amp;" ضد "&amp;F$251)+COUNTIF($E$4:$E$247,F$251&amp;" ضد "&amp;$A278))</f>
        <v>0</v>
      </c>
      <c r="G278" s="4">
        <f>IF($A278=G$251,"",COUNTIF($E$4:$E$247,$A278&amp;" ضد "&amp;G$251)+COUNTIF($E$4:$E$247,G$251&amp;" ضد "&amp;$A278))</f>
        <v>0</v>
      </c>
      <c r="H278" s="4">
        <f>IF($A278=H$251,"",COUNTIF($E$4:$E$247,$A278&amp;" ضد "&amp;H$251)+COUNTIF($E$4:$E$247,H$251&amp;" ضد "&amp;$A278))</f>
        <v>0</v>
      </c>
      <c r="I278" s="4">
        <f>IF($A278=I$251,"",COUNTIF($E$4:$E$247,$A278&amp;" ضد "&amp;I$251)+COUNTIF($E$4:$E$247,I$251&amp;" ضد "&amp;$A278))</f>
        <v>0</v>
      </c>
      <c r="J278" s="4">
        <f>IF($A278=J$251,"",COUNTIF($E$4:$E$247,$A278&amp;" ضد "&amp;J$251)+COUNTIF($E$4:$E$247,J$251&amp;" ضد "&amp;$A278))</f>
        <v>0</v>
      </c>
      <c r="K278" s="4">
        <f>IF($A278=K$251,"",COUNTIF($E$4:$E$247,$A278&amp;" ضد "&amp;K$251)+COUNTIF($E$4:$E$247,K$251&amp;" ضد "&amp;$A278))</f>
        <v>0</v>
      </c>
      <c r="L278" s="4">
        <f>IF($A278=L$251,"",COUNTIF($E$4:$E$247,$A278&amp;" ضد "&amp;L$251)+COUNTIF($E$4:$E$247,L$251&amp;" ضد "&amp;$A278))</f>
        <v>0</v>
      </c>
      <c r="M278" s="4">
        <f>IF($A278=M$251,"",COUNTIF($E$4:$E$247,$A278&amp;" ضد "&amp;M$251)+COUNTIF($E$4:$E$247,M$251&amp;" ضد "&amp;$A278))</f>
        <v>0</v>
      </c>
      <c r="N278" s="4">
        <f>IF($A278=N$251,"",COUNTIF($E$4:$E$247,$A278&amp;" ضد "&amp;N$251)+COUNTIF($E$4:$E$247,N$251&amp;" ضد "&amp;$A278))</f>
        <v>0</v>
      </c>
      <c r="O278" s="4">
        <f>IF($A278=O$251,"",COUNTIF($E$4:$E$247,$A278&amp;" ضد "&amp;O$251)+COUNTIF($E$4:$E$247,O$251&amp;" ضد "&amp;$A278))</f>
        <v>0</v>
      </c>
      <c r="P278" s="4">
        <f>IF($A278=P$251,"",COUNTIF($E$4:$E$247,$A278&amp;" ضد "&amp;P$251)+COUNTIF($E$4:$E$247,P$251&amp;" ضد "&amp;$A278))</f>
        <v>2</v>
      </c>
      <c r="Q278" s="4">
        <f>IF($A278=Q$251,"",COUNTIF($E$4:$E$247,$A278&amp;" ضد "&amp;Q$251)+COUNTIF($E$4:$E$247,Q$251&amp;" ضد "&amp;$A278))</f>
        <v>2</v>
      </c>
      <c r="R278" s="4">
        <f>IF($A278=R$251,"",COUNTIF($E$4:$E$247,$A278&amp;" ضد "&amp;R$251)+COUNTIF($E$4:$E$247,R$251&amp;" ضد "&amp;$A278))</f>
        <v>2</v>
      </c>
      <c r="S278" s="4">
        <f>IF($A278=S$251,"",COUNTIF($E$4:$E$247,$A278&amp;" ضد "&amp;S$251)+COUNTIF($E$4:$E$247,S$251&amp;" ضد "&amp;$A278))</f>
        <v>1</v>
      </c>
      <c r="T278" s="4">
        <f>IF($A278=T$251,"",COUNTIF($E$4:$E$247,$A278&amp;" ضد "&amp;T$251)+COUNTIF($E$4:$E$247,T$251&amp;" ضد "&amp;$A278))</f>
        <v>1</v>
      </c>
      <c r="U278" s="4">
        <f>IF($A278=U$251,"",COUNTIF($E$4:$E$247,$A278&amp;" ضد "&amp;U$251)+COUNTIF($E$4:$E$247,U$251&amp;" ضد "&amp;$A278))</f>
        <v>1</v>
      </c>
      <c r="V278" s="4">
        <f>IF($A278=V$251,"",COUNTIF($E$4:$E$247,$A278&amp;" ضد "&amp;V$251)+COUNTIF($E$4:$E$247,V$251&amp;" ضد "&amp;$A278))</f>
        <v>1</v>
      </c>
      <c r="W278" s="4">
        <f>IF($A278=W$251,"",COUNTIF($E$4:$E$247,$A278&amp;" ضد "&amp;W$251)+COUNTIF($E$4:$E$247,W$251&amp;" ضد "&amp;$A278))</f>
        <v>1</v>
      </c>
      <c r="X278" s="4">
        <f>IF($A278=X$251,"",COUNTIF($E$4:$E$247,$A278&amp;" ضد "&amp;X$251)+COUNTIF($E$4:$E$247,X$251&amp;" ضد "&amp;$A278))</f>
        <v>1</v>
      </c>
      <c r="Y278" s="4">
        <f>IF($A278=Y$251,"",COUNTIF($E$4:$E$247,$A278&amp;" ضد "&amp;Y$251)+COUNTIF($E$4:$E$247,Y$251&amp;" ضد "&amp;$A278))</f>
        <v>2</v>
      </c>
      <c r="Z278" s="4">
        <f>IF($A278=Z$251,"",COUNTIF($E$4:$E$247,$A278&amp;" ضد "&amp;Z$251)+COUNTIF($E$4:$E$247,Z$251&amp;" ضد "&amp;$A278))</f>
        <v>2</v>
      </c>
      <c r="AA278" s="4">
        <f>IF($A278=AA$251,"",COUNTIF($E$4:$E$247,$A278&amp;" ضد "&amp;AA$251)+COUNTIF($E$4:$E$247,AA$251&amp;" ضد "&amp;$A278))</f>
        <v>2</v>
      </c>
      <c r="AB278" s="4" t="str">
        <f>IF($A278=AB$251,"",COUNTIF($E$4:$E$247,$A278&amp;" ضد "&amp;AB$251)+COUNTIF($E$4:$E$247,AB$251&amp;" ضد "&amp;$A278))</f>
        <v/>
      </c>
    </row>
    <row r="279" spans="1:28" ht="14.5">
      <c r="A279" s="14" t="s">
        <v>1033</v>
      </c>
      <c r="B279" s="4" cm="1">
        <f t="array" ref="B279">MIN(IF(B252:AB278&gt;0,B252:AB278))</f>
        <v>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4.5">
      <c r="A280" s="14" t="s">
        <v>830</v>
      </c>
      <c r="B280" s="4">
        <f>MAX(B252:AB278)</f>
        <v>2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</sheetData>
  <mergeCells count="2">
    <mergeCell ref="A1:E1"/>
    <mergeCell ref="A250:AB2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39FC-A1EB-438F-8918-0F6FC6B43B35}">
  <dimension ref="A1:AD30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999</v>
      </c>
      <c r="B1" s="15"/>
      <c r="C1" s="15"/>
      <c r="D1" s="15"/>
      <c r="E1" s="15"/>
      <c r="F1" s="2"/>
    </row>
    <row r="2" spans="1:6" ht="14" customHeight="1">
      <c r="A2" s="9"/>
      <c r="B2" s="9"/>
      <c r="C2" s="9"/>
      <c r="D2" s="9"/>
      <c r="E2" s="9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41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106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57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70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105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49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107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230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5</v>
      </c>
      <c r="D12" s="7" t="s">
        <v>594</v>
      </c>
      <c r="E12" s="7" t="s">
        <v>880</v>
      </c>
      <c r="F12" s="2"/>
    </row>
    <row r="13" spans="1:6" ht="14" customHeight="1">
      <c r="A13" s="8">
        <v>1</v>
      </c>
      <c r="B13" s="7" t="str">
        <f>المدخلات!$F$4</f>
        <v>4:00–5:10 م</v>
      </c>
      <c r="C13" s="7">
        <v>6</v>
      </c>
      <c r="D13" s="7" t="s">
        <v>594</v>
      </c>
      <c r="E13" s="7" t="s">
        <v>246</v>
      </c>
      <c r="F13" s="2"/>
    </row>
    <row r="14" spans="1:6" ht="14" customHeight="1">
      <c r="A14" s="8">
        <v>1</v>
      </c>
      <c r="B14" s="7" t="str">
        <f>المدخلات!$F$5</f>
        <v>5:20–6:30 م</v>
      </c>
      <c r="C14" s="7">
        <v>4</v>
      </c>
      <c r="D14" s="7" t="s">
        <v>594</v>
      </c>
      <c r="E14" s="7" t="s">
        <v>247</v>
      </c>
      <c r="F14" s="2"/>
    </row>
    <row r="15" spans="1:6" ht="14" customHeight="1">
      <c r="A15" s="8">
        <v>1</v>
      </c>
      <c r="B15" s="7" t="str">
        <f>المدخلات!$F$5</f>
        <v>5:20–6:30 م</v>
      </c>
      <c r="C15" s="7">
        <v>5</v>
      </c>
      <c r="D15" s="7" t="s">
        <v>594</v>
      </c>
      <c r="E15" s="7" t="s">
        <v>879</v>
      </c>
      <c r="F15" s="2"/>
    </row>
    <row r="16" spans="1:6" ht="14" customHeight="1">
      <c r="A16" s="8">
        <v>1</v>
      </c>
      <c r="B16" s="7" t="str">
        <f>المدخلات!$F$5</f>
        <v>5:20–6:30 م</v>
      </c>
      <c r="C16" s="7">
        <v>6</v>
      </c>
      <c r="D16" s="7" t="s">
        <v>594</v>
      </c>
      <c r="E16" s="7" t="s">
        <v>235</v>
      </c>
      <c r="F16" s="2"/>
    </row>
    <row r="17" spans="1:6" ht="14" customHeight="1">
      <c r="A17" s="8">
        <v>1</v>
      </c>
      <c r="B17" s="7" t="str">
        <f>المدخلات!$F$6</f>
        <v>6:40–7:50 م</v>
      </c>
      <c r="C17" s="7">
        <v>4</v>
      </c>
      <c r="D17" s="7" t="s">
        <v>594</v>
      </c>
      <c r="E17" s="7" t="s">
        <v>316</v>
      </c>
      <c r="F17" s="2"/>
    </row>
    <row r="18" spans="1:6" ht="14" customHeight="1">
      <c r="A18" s="8">
        <v>2</v>
      </c>
      <c r="B18" s="7" t="str">
        <f>المدخلات!$F$4</f>
        <v>4:00–5:10 م</v>
      </c>
      <c r="C18" s="7">
        <v>1</v>
      </c>
      <c r="D18" s="7" t="s">
        <v>593</v>
      </c>
      <c r="E18" s="7" t="s">
        <v>108</v>
      </c>
      <c r="F18" s="2"/>
    </row>
    <row r="19" spans="1:6" ht="14" customHeight="1">
      <c r="A19" s="8">
        <v>2</v>
      </c>
      <c r="B19" s="7" t="str">
        <f>المدخلات!$F$4</f>
        <v>4:00–5:10 م</v>
      </c>
      <c r="C19" s="7">
        <v>2</v>
      </c>
      <c r="D19" s="7" t="s">
        <v>593</v>
      </c>
      <c r="E19" s="7" t="s">
        <v>1058</v>
      </c>
      <c r="F19" s="2"/>
    </row>
    <row r="20" spans="1:6" ht="14" customHeight="1">
      <c r="A20" s="8">
        <v>2</v>
      </c>
      <c r="B20" s="7" t="str">
        <f>المدخلات!$F$4</f>
        <v>4:00–5:10 م</v>
      </c>
      <c r="C20" s="7">
        <v>3</v>
      </c>
      <c r="D20" s="7" t="s">
        <v>593</v>
      </c>
      <c r="E20" s="7" t="s">
        <v>864</v>
      </c>
      <c r="F20" s="2"/>
    </row>
    <row r="21" spans="1:6" ht="14" customHeight="1">
      <c r="A21" s="8">
        <v>2</v>
      </c>
      <c r="B21" s="7" t="str">
        <f>المدخلات!$F$5</f>
        <v>5:20–6:30 م</v>
      </c>
      <c r="C21" s="7">
        <v>1</v>
      </c>
      <c r="D21" s="7" t="s">
        <v>593</v>
      </c>
      <c r="E21" s="7" t="s">
        <v>1056</v>
      </c>
      <c r="F21" s="2"/>
    </row>
    <row r="22" spans="1:6" ht="14" customHeight="1">
      <c r="A22" s="8">
        <v>2</v>
      </c>
      <c r="B22" s="7" t="str">
        <f>المدخلات!$F$5</f>
        <v>5:20–6:30 م</v>
      </c>
      <c r="C22" s="7">
        <v>2</v>
      </c>
      <c r="D22" s="7" t="s">
        <v>593</v>
      </c>
      <c r="E22" s="7" t="s">
        <v>30</v>
      </c>
      <c r="F22" s="2"/>
    </row>
    <row r="23" spans="1:6" ht="14" customHeight="1">
      <c r="A23" s="8">
        <v>2</v>
      </c>
      <c r="B23" s="7" t="str">
        <f>المدخلات!$F$5</f>
        <v>5:20–6:30 م</v>
      </c>
      <c r="C23" s="7">
        <v>3</v>
      </c>
      <c r="D23" s="7" t="s">
        <v>593</v>
      </c>
      <c r="E23" s="7" t="s">
        <v>1063</v>
      </c>
      <c r="F23" s="2"/>
    </row>
    <row r="24" spans="1:6" ht="14" customHeight="1">
      <c r="A24" s="8">
        <v>2</v>
      </c>
      <c r="B24" s="7" t="str">
        <f>المدخلات!$F$6</f>
        <v>6:40–7:50 م</v>
      </c>
      <c r="C24" s="7">
        <v>1</v>
      </c>
      <c r="D24" s="7" t="s">
        <v>593</v>
      </c>
      <c r="E24" s="7" t="s">
        <v>1057</v>
      </c>
      <c r="F24" s="2"/>
    </row>
    <row r="25" spans="1:6" ht="14" customHeight="1">
      <c r="A25" s="8">
        <v>2</v>
      </c>
      <c r="B25" s="7" t="str">
        <f>المدخلات!$F$4</f>
        <v>4:00–5:10 م</v>
      </c>
      <c r="C25" s="7">
        <v>4</v>
      </c>
      <c r="D25" s="7" t="s">
        <v>594</v>
      </c>
      <c r="E25" s="7" t="s">
        <v>1169</v>
      </c>
      <c r="F25" s="2"/>
    </row>
    <row r="26" spans="1:6" ht="14" customHeight="1">
      <c r="A26" s="8">
        <v>2</v>
      </c>
      <c r="B26" s="7" t="str">
        <f>المدخلات!$F$4</f>
        <v>4:00–5:10 م</v>
      </c>
      <c r="C26" s="7">
        <v>5</v>
      </c>
      <c r="D26" s="7" t="s">
        <v>594</v>
      </c>
      <c r="E26" s="7" t="s">
        <v>264</v>
      </c>
      <c r="F26" s="2"/>
    </row>
    <row r="27" spans="1:6" ht="14" customHeight="1">
      <c r="A27" s="8">
        <v>2</v>
      </c>
      <c r="B27" s="7" t="str">
        <f>المدخلات!$F$4</f>
        <v>4:00–5:10 م</v>
      </c>
      <c r="C27" s="7">
        <v>6</v>
      </c>
      <c r="D27" s="7" t="s">
        <v>594</v>
      </c>
      <c r="E27" s="7" t="s">
        <v>1160</v>
      </c>
      <c r="F27" s="2"/>
    </row>
    <row r="28" spans="1:6" ht="14" customHeight="1">
      <c r="A28" s="8">
        <v>2</v>
      </c>
      <c r="B28" s="7" t="str">
        <f>المدخلات!$F$5</f>
        <v>5:20–6:30 م</v>
      </c>
      <c r="C28" s="7">
        <v>4</v>
      </c>
      <c r="D28" s="7" t="s">
        <v>594</v>
      </c>
      <c r="E28" s="7" t="s">
        <v>1152</v>
      </c>
      <c r="F28" s="2"/>
    </row>
    <row r="29" spans="1:6" ht="14" customHeight="1">
      <c r="A29" s="8">
        <v>2</v>
      </c>
      <c r="B29" s="7" t="str">
        <f>المدخلات!$F$5</f>
        <v>5:20–6:30 م</v>
      </c>
      <c r="C29" s="7">
        <v>5</v>
      </c>
      <c r="D29" s="7" t="s">
        <v>594</v>
      </c>
      <c r="E29" s="7" t="s">
        <v>1167</v>
      </c>
      <c r="F29" s="2"/>
    </row>
    <row r="30" spans="1:6" ht="14" customHeight="1">
      <c r="A30" s="8">
        <v>2</v>
      </c>
      <c r="B30" s="7" t="str">
        <f>المدخلات!$F$5</f>
        <v>5:20–6:30 م</v>
      </c>
      <c r="C30" s="7">
        <v>6</v>
      </c>
      <c r="D30" s="7" t="s">
        <v>594</v>
      </c>
      <c r="E30" s="7" t="s">
        <v>932</v>
      </c>
      <c r="F30" s="2"/>
    </row>
    <row r="31" spans="1:6" ht="14" customHeight="1">
      <c r="A31" s="8">
        <v>2</v>
      </c>
      <c r="B31" s="7" t="str">
        <f>المدخلات!$F$6</f>
        <v>6:40–7:50 م</v>
      </c>
      <c r="C31" s="7">
        <v>4</v>
      </c>
      <c r="D31" s="7" t="s">
        <v>594</v>
      </c>
      <c r="E31" s="7" t="s">
        <v>223</v>
      </c>
      <c r="F31" s="2"/>
    </row>
    <row r="32" spans="1:6" ht="14" customHeight="1">
      <c r="A32" s="8">
        <v>3</v>
      </c>
      <c r="B32" s="7" t="str">
        <f>المدخلات!$F$4</f>
        <v>4:00–5:10 م</v>
      </c>
      <c r="C32" s="7">
        <v>1</v>
      </c>
      <c r="D32" s="7" t="s">
        <v>593</v>
      </c>
      <c r="E32" s="7" t="s">
        <v>23</v>
      </c>
      <c r="F32" s="2"/>
    </row>
    <row r="33" spans="1:6" ht="14" customHeight="1">
      <c r="A33" s="8">
        <v>3</v>
      </c>
      <c r="B33" s="7" t="str">
        <f>المدخلات!$F$4</f>
        <v>4:00–5:10 م</v>
      </c>
      <c r="C33" s="7">
        <v>2</v>
      </c>
      <c r="D33" s="7" t="s">
        <v>593</v>
      </c>
      <c r="E33" s="7" t="s">
        <v>34</v>
      </c>
      <c r="F33" s="2"/>
    </row>
    <row r="34" spans="1:6" ht="14" customHeight="1">
      <c r="A34" s="8">
        <v>3</v>
      </c>
      <c r="B34" s="7" t="str">
        <f>المدخلات!$F$4</f>
        <v>4:00–5:10 م</v>
      </c>
      <c r="C34" s="7">
        <v>3</v>
      </c>
      <c r="D34" s="7" t="s">
        <v>593</v>
      </c>
      <c r="E34" s="7" t="s">
        <v>55</v>
      </c>
      <c r="F34" s="2"/>
    </row>
    <row r="35" spans="1:6" ht="14" customHeight="1">
      <c r="A35" s="8">
        <v>3</v>
      </c>
      <c r="B35" s="7" t="str">
        <f>المدخلات!$F$5</f>
        <v>5:20–6:30 م</v>
      </c>
      <c r="C35" s="7">
        <v>1</v>
      </c>
      <c r="D35" s="7" t="s">
        <v>593</v>
      </c>
      <c r="E35" s="7" t="s">
        <v>609</v>
      </c>
      <c r="F35" s="2"/>
    </row>
    <row r="36" spans="1:6" ht="14" customHeight="1">
      <c r="A36" s="8">
        <v>3</v>
      </c>
      <c r="B36" s="7" t="str">
        <f>المدخلات!$F$5</f>
        <v>5:20–6:30 م</v>
      </c>
      <c r="C36" s="7">
        <v>2</v>
      </c>
      <c r="D36" s="7" t="s">
        <v>593</v>
      </c>
      <c r="E36" s="7" t="s">
        <v>35</v>
      </c>
      <c r="F36" s="2"/>
    </row>
    <row r="37" spans="1:6" ht="14" customHeight="1">
      <c r="A37" s="8">
        <v>3</v>
      </c>
      <c r="B37" s="7" t="str">
        <f>المدخلات!$F$5</f>
        <v>5:20–6:30 م</v>
      </c>
      <c r="C37" s="7">
        <v>3</v>
      </c>
      <c r="D37" s="7" t="s">
        <v>593</v>
      </c>
      <c r="E37" s="7" t="s">
        <v>50</v>
      </c>
      <c r="F37" s="2"/>
    </row>
    <row r="38" spans="1:6" ht="14" customHeight="1">
      <c r="A38" s="8">
        <v>3</v>
      </c>
      <c r="B38" s="7" t="str">
        <f>المدخلات!$F$6</f>
        <v>6:40–7:50 م</v>
      </c>
      <c r="C38" s="7">
        <v>1</v>
      </c>
      <c r="D38" s="7" t="s">
        <v>593</v>
      </c>
      <c r="E38" s="7" t="s">
        <v>886</v>
      </c>
      <c r="F38" s="2"/>
    </row>
    <row r="39" spans="1:6" ht="14" customHeight="1">
      <c r="A39" s="8">
        <v>3</v>
      </c>
      <c r="B39" s="7" t="str">
        <f>المدخلات!$F$4</f>
        <v>4:00–5:10 م</v>
      </c>
      <c r="C39" s="7">
        <v>4</v>
      </c>
      <c r="D39" s="7" t="s">
        <v>594</v>
      </c>
      <c r="E39" s="7" t="s">
        <v>873</v>
      </c>
      <c r="F39" s="2"/>
    </row>
    <row r="40" spans="1:6" ht="14" customHeight="1">
      <c r="A40" s="8">
        <v>3</v>
      </c>
      <c r="B40" s="7" t="str">
        <f>المدخلات!$F$4</f>
        <v>4:00–5:10 م</v>
      </c>
      <c r="C40" s="7">
        <v>5</v>
      </c>
      <c r="D40" s="7" t="s">
        <v>594</v>
      </c>
      <c r="E40" s="7" t="s">
        <v>728</v>
      </c>
      <c r="F40" s="2"/>
    </row>
    <row r="41" spans="1:6" ht="14" customHeight="1">
      <c r="A41" s="8">
        <v>3</v>
      </c>
      <c r="B41" s="7" t="str">
        <f>المدخلات!$F$4</f>
        <v>4:00–5:10 م</v>
      </c>
      <c r="C41" s="7">
        <v>6</v>
      </c>
      <c r="D41" s="7" t="s">
        <v>594</v>
      </c>
      <c r="E41" s="7" t="s">
        <v>257</v>
      </c>
      <c r="F41" s="2"/>
    </row>
    <row r="42" spans="1:6" ht="14" customHeight="1">
      <c r="A42" s="8">
        <v>3</v>
      </c>
      <c r="B42" s="7" t="str">
        <f>المدخلات!$F$5</f>
        <v>5:20–6:30 م</v>
      </c>
      <c r="C42" s="7">
        <v>4</v>
      </c>
      <c r="D42" s="7" t="s">
        <v>594</v>
      </c>
      <c r="E42" s="7" t="s">
        <v>224</v>
      </c>
      <c r="F42" s="2"/>
    </row>
    <row r="43" spans="1:6" ht="14" customHeight="1">
      <c r="A43" s="8">
        <v>3</v>
      </c>
      <c r="B43" s="7" t="str">
        <f>المدخلات!$F$5</f>
        <v>5:20–6:30 م</v>
      </c>
      <c r="C43" s="7">
        <v>5</v>
      </c>
      <c r="D43" s="7" t="s">
        <v>594</v>
      </c>
      <c r="E43" s="7" t="s">
        <v>210</v>
      </c>
      <c r="F43" s="2"/>
    </row>
    <row r="44" spans="1:6" ht="14" customHeight="1">
      <c r="A44" s="8">
        <v>3</v>
      </c>
      <c r="B44" s="7" t="str">
        <f>المدخلات!$F$5</f>
        <v>5:20–6:30 م</v>
      </c>
      <c r="C44" s="7">
        <v>6</v>
      </c>
      <c r="D44" s="7" t="s">
        <v>594</v>
      </c>
      <c r="E44" s="7" t="s">
        <v>328</v>
      </c>
      <c r="F44" s="2"/>
    </row>
    <row r="45" spans="1:6" ht="14" customHeight="1">
      <c r="A45" s="8">
        <v>3</v>
      </c>
      <c r="B45" s="7" t="str">
        <f>المدخلات!$F$6</f>
        <v>6:40–7:50 م</v>
      </c>
      <c r="C45" s="7">
        <v>4</v>
      </c>
      <c r="D45" s="7" t="s">
        <v>594</v>
      </c>
      <c r="E45" s="7" t="s">
        <v>588</v>
      </c>
      <c r="F45" s="2"/>
    </row>
    <row r="46" spans="1:6" ht="14" customHeight="1">
      <c r="A46" s="8">
        <v>4</v>
      </c>
      <c r="B46" s="7" t="str">
        <f>المدخلات!$F$4</f>
        <v>4:00–5:10 م</v>
      </c>
      <c r="C46" s="7">
        <v>1</v>
      </c>
      <c r="D46" s="7" t="s">
        <v>593</v>
      </c>
      <c r="E46" s="7" t="s">
        <v>26</v>
      </c>
      <c r="F46" s="2"/>
    </row>
    <row r="47" spans="1:6" ht="14" customHeight="1">
      <c r="A47" s="8">
        <v>4</v>
      </c>
      <c r="B47" s="7" t="str">
        <f>المدخلات!$F$4</f>
        <v>4:00–5:10 م</v>
      </c>
      <c r="C47" s="7">
        <v>2</v>
      </c>
      <c r="D47" s="7" t="s">
        <v>593</v>
      </c>
      <c r="E47" s="7" t="s">
        <v>1052</v>
      </c>
      <c r="F47" s="2"/>
    </row>
    <row r="48" spans="1:6" ht="14" customHeight="1">
      <c r="A48" s="8">
        <v>4</v>
      </c>
      <c r="B48" s="7" t="str">
        <f>المدخلات!$F$4</f>
        <v>4:00–5:10 م</v>
      </c>
      <c r="C48" s="7">
        <v>3</v>
      </c>
      <c r="D48" s="7" t="s">
        <v>593</v>
      </c>
      <c r="E48" s="7" t="s">
        <v>1048</v>
      </c>
      <c r="F48" s="2"/>
    </row>
    <row r="49" spans="1:6" ht="14" customHeight="1">
      <c r="A49" s="8">
        <v>4</v>
      </c>
      <c r="B49" s="7" t="str">
        <f>المدخلات!$F$5</f>
        <v>5:20–6:30 م</v>
      </c>
      <c r="C49" s="7">
        <v>1</v>
      </c>
      <c r="D49" s="7" t="s">
        <v>593</v>
      </c>
      <c r="E49" s="7" t="s">
        <v>16</v>
      </c>
      <c r="F49" s="2"/>
    </row>
    <row r="50" spans="1:6" ht="14" customHeight="1">
      <c r="A50" s="8">
        <v>4</v>
      </c>
      <c r="B50" s="7" t="str">
        <f>المدخلات!$F$5</f>
        <v>5:20–6:30 م</v>
      </c>
      <c r="C50" s="7">
        <v>2</v>
      </c>
      <c r="D50" s="7" t="s">
        <v>593</v>
      </c>
      <c r="E50" s="7" t="s">
        <v>113</v>
      </c>
      <c r="F50" s="2"/>
    </row>
    <row r="51" spans="1:6" ht="14" customHeight="1">
      <c r="A51" s="8">
        <v>4</v>
      </c>
      <c r="B51" s="7" t="str">
        <f>المدخلات!$F$5</f>
        <v>5:20–6:30 م</v>
      </c>
      <c r="C51" s="7">
        <v>3</v>
      </c>
      <c r="D51" s="7" t="s">
        <v>593</v>
      </c>
      <c r="E51" s="7" t="s">
        <v>96</v>
      </c>
      <c r="F51" s="2"/>
    </row>
    <row r="52" spans="1:6" ht="14" customHeight="1">
      <c r="A52" s="8">
        <v>4</v>
      </c>
      <c r="B52" s="7" t="str">
        <f>المدخلات!$F$6</f>
        <v>6:40–7:50 م</v>
      </c>
      <c r="C52" s="7">
        <v>1</v>
      </c>
      <c r="D52" s="7" t="s">
        <v>593</v>
      </c>
      <c r="E52" s="7" t="s">
        <v>101</v>
      </c>
      <c r="F52" s="2"/>
    </row>
    <row r="53" spans="1:6" ht="14" customHeight="1">
      <c r="A53" s="8">
        <v>4</v>
      </c>
      <c r="B53" s="7" t="str">
        <f>المدخلات!$F$4</f>
        <v>4:00–5:10 م</v>
      </c>
      <c r="C53" s="7">
        <v>4</v>
      </c>
      <c r="D53" s="7" t="s">
        <v>594</v>
      </c>
      <c r="E53" s="7" t="s">
        <v>211</v>
      </c>
      <c r="F53" s="2"/>
    </row>
    <row r="54" spans="1:6" ht="14" customHeight="1">
      <c r="A54" s="8">
        <v>4</v>
      </c>
      <c r="B54" s="7" t="str">
        <f>المدخلات!$F$4</f>
        <v>4:00–5:10 م</v>
      </c>
      <c r="C54" s="7">
        <v>5</v>
      </c>
      <c r="D54" s="7" t="s">
        <v>594</v>
      </c>
      <c r="E54" s="7" t="s">
        <v>196</v>
      </c>
      <c r="F54" s="2"/>
    </row>
    <row r="55" spans="1:6" ht="14" customHeight="1">
      <c r="A55" s="8">
        <v>4</v>
      </c>
      <c r="B55" s="7" t="str">
        <f>المدخلات!$F$4</f>
        <v>4:00–5:10 م</v>
      </c>
      <c r="C55" s="7">
        <v>6</v>
      </c>
      <c r="D55" s="7" t="s">
        <v>594</v>
      </c>
      <c r="E55" s="7" t="s">
        <v>881</v>
      </c>
      <c r="F55" s="2"/>
    </row>
    <row r="56" spans="1:6" ht="14" customHeight="1">
      <c r="A56" s="8">
        <v>4</v>
      </c>
      <c r="B56" s="7" t="str">
        <f>المدخلات!$F$5</f>
        <v>5:20–6:30 م</v>
      </c>
      <c r="C56" s="7">
        <v>4</v>
      </c>
      <c r="D56" s="7" t="s">
        <v>594</v>
      </c>
      <c r="E56" s="7" t="s">
        <v>248</v>
      </c>
      <c r="F56" s="2"/>
    </row>
    <row r="57" spans="1:6" ht="14" customHeight="1">
      <c r="A57" s="8">
        <v>4</v>
      </c>
      <c r="B57" s="7" t="str">
        <f>المدخلات!$F$5</f>
        <v>5:20–6:30 م</v>
      </c>
      <c r="C57" s="7">
        <v>5</v>
      </c>
      <c r="D57" s="7" t="s">
        <v>594</v>
      </c>
      <c r="E57" s="7" t="s">
        <v>1157</v>
      </c>
      <c r="F57" s="2"/>
    </row>
    <row r="58" spans="1:6" ht="14" customHeight="1">
      <c r="A58" s="8">
        <v>4</v>
      </c>
      <c r="B58" s="7" t="str">
        <f>المدخلات!$F$5</f>
        <v>5:20–6:30 م</v>
      </c>
      <c r="C58" s="7">
        <v>6</v>
      </c>
      <c r="D58" s="7" t="s">
        <v>594</v>
      </c>
      <c r="E58" s="7" t="s">
        <v>258</v>
      </c>
      <c r="F58" s="2"/>
    </row>
    <row r="59" spans="1:6" ht="14" customHeight="1">
      <c r="A59" s="8">
        <v>4</v>
      </c>
      <c r="B59" s="7" t="str">
        <f>المدخلات!$F$6</f>
        <v>6:40–7:50 م</v>
      </c>
      <c r="C59" s="7">
        <v>4</v>
      </c>
      <c r="D59" s="7" t="s">
        <v>594</v>
      </c>
      <c r="E59" s="7" t="s">
        <v>266</v>
      </c>
      <c r="F59" s="2"/>
    </row>
    <row r="60" spans="1:6" ht="14" customHeight="1">
      <c r="A60" s="8">
        <v>5</v>
      </c>
      <c r="B60" s="7" t="str">
        <f>المدخلات!$F$4</f>
        <v>4:00–5:10 م</v>
      </c>
      <c r="C60" s="7">
        <v>1</v>
      </c>
      <c r="D60" s="7" t="s">
        <v>593</v>
      </c>
      <c r="E60" s="7" t="s">
        <v>62</v>
      </c>
      <c r="F60" s="2"/>
    </row>
    <row r="61" spans="1:6" ht="14" customHeight="1">
      <c r="A61" s="8">
        <v>5</v>
      </c>
      <c r="B61" s="7" t="str">
        <f>المدخلات!$F$4</f>
        <v>4:00–5:10 م</v>
      </c>
      <c r="C61" s="7">
        <v>2</v>
      </c>
      <c r="D61" s="7" t="s">
        <v>593</v>
      </c>
      <c r="E61" s="7" t="s">
        <v>10</v>
      </c>
      <c r="F61" s="2"/>
    </row>
    <row r="62" spans="1:6" ht="14" customHeight="1">
      <c r="A62" s="8">
        <v>5</v>
      </c>
      <c r="B62" s="7" t="str">
        <f>المدخلات!$F$4</f>
        <v>4:00–5:10 م</v>
      </c>
      <c r="C62" s="7">
        <v>3</v>
      </c>
      <c r="D62" s="7" t="s">
        <v>593</v>
      </c>
      <c r="E62" s="7" t="s">
        <v>696</v>
      </c>
      <c r="F62" s="2"/>
    </row>
    <row r="63" spans="1:6" ht="14" customHeight="1">
      <c r="A63" s="8">
        <v>5</v>
      </c>
      <c r="B63" s="7" t="str">
        <f>المدخلات!$F$5</f>
        <v>5:20–6:30 م</v>
      </c>
      <c r="C63" s="7">
        <v>1</v>
      </c>
      <c r="D63" s="7" t="s">
        <v>593</v>
      </c>
      <c r="E63" s="7" t="s">
        <v>97</v>
      </c>
      <c r="F63" s="2"/>
    </row>
    <row r="64" spans="1:6" ht="14" customHeight="1">
      <c r="A64" s="8">
        <v>5</v>
      </c>
      <c r="B64" s="7" t="str">
        <f>المدخلات!$F$5</f>
        <v>5:20–6:30 م</v>
      </c>
      <c r="C64" s="7">
        <v>2</v>
      </c>
      <c r="D64" s="7" t="s">
        <v>593</v>
      </c>
      <c r="E64" s="7" t="s">
        <v>635</v>
      </c>
      <c r="F64" s="2"/>
    </row>
    <row r="65" spans="1:6" ht="14" customHeight="1">
      <c r="A65" s="8">
        <v>5</v>
      </c>
      <c r="B65" s="7" t="str">
        <f>المدخلات!$F$5</f>
        <v>5:20–6:30 م</v>
      </c>
      <c r="C65" s="7">
        <v>3</v>
      </c>
      <c r="D65" s="7" t="s">
        <v>593</v>
      </c>
      <c r="E65" s="7" t="s">
        <v>12</v>
      </c>
      <c r="F65" s="2"/>
    </row>
    <row r="66" spans="1:6" ht="14" customHeight="1">
      <c r="A66" s="8">
        <v>5</v>
      </c>
      <c r="B66" s="7" t="str">
        <f>المدخلات!$F$6</f>
        <v>6:40–7:50 م</v>
      </c>
      <c r="C66" s="7">
        <v>1</v>
      </c>
      <c r="D66" s="7" t="s">
        <v>593</v>
      </c>
      <c r="E66" s="7" t="s">
        <v>22</v>
      </c>
      <c r="F66" s="2"/>
    </row>
    <row r="67" spans="1:6" ht="14" customHeight="1">
      <c r="A67" s="8">
        <v>5</v>
      </c>
      <c r="B67" s="7" t="str">
        <f>المدخلات!$F$4</f>
        <v>4:00–5:10 م</v>
      </c>
      <c r="C67" s="7">
        <v>4</v>
      </c>
      <c r="D67" s="7" t="s">
        <v>594</v>
      </c>
      <c r="E67" s="7" t="s">
        <v>772</v>
      </c>
      <c r="F67" s="2"/>
    </row>
    <row r="68" spans="1:6" ht="14" customHeight="1">
      <c r="A68" s="8">
        <v>5</v>
      </c>
      <c r="B68" s="7" t="str">
        <f>المدخلات!$F$4</f>
        <v>4:00–5:10 م</v>
      </c>
      <c r="C68" s="7">
        <v>5</v>
      </c>
      <c r="D68" s="7" t="s">
        <v>594</v>
      </c>
      <c r="E68" s="7" t="s">
        <v>771</v>
      </c>
      <c r="F68" s="2"/>
    </row>
    <row r="69" spans="1:6" ht="14" customHeight="1">
      <c r="A69" s="8">
        <v>5</v>
      </c>
      <c r="B69" s="7" t="str">
        <f>المدخلات!$F$4</f>
        <v>4:00–5:10 م</v>
      </c>
      <c r="C69" s="7">
        <v>6</v>
      </c>
      <c r="D69" s="7" t="s">
        <v>594</v>
      </c>
      <c r="E69" s="7" t="s">
        <v>177</v>
      </c>
      <c r="F69" s="2"/>
    </row>
    <row r="70" spans="1:6" ht="14" customHeight="1">
      <c r="A70" s="8">
        <v>5</v>
      </c>
      <c r="B70" s="7" t="str">
        <f>المدخلات!$F$5</f>
        <v>5:20–6:30 م</v>
      </c>
      <c r="C70" s="7">
        <v>4</v>
      </c>
      <c r="D70" s="7" t="s">
        <v>594</v>
      </c>
      <c r="E70" s="7" t="s">
        <v>241</v>
      </c>
      <c r="F70" s="2"/>
    </row>
    <row r="71" spans="1:6" ht="14" customHeight="1">
      <c r="A71" s="8">
        <v>5</v>
      </c>
      <c r="B71" s="7" t="str">
        <f>المدخلات!$F$5</f>
        <v>5:20–6:30 م</v>
      </c>
      <c r="C71" s="7">
        <v>5</v>
      </c>
      <c r="D71" s="7" t="s">
        <v>594</v>
      </c>
      <c r="E71" s="7" t="s">
        <v>197</v>
      </c>
      <c r="F71" s="2"/>
    </row>
    <row r="72" spans="1:6" ht="14" customHeight="1">
      <c r="A72" s="8">
        <v>5</v>
      </c>
      <c r="B72" s="7" t="str">
        <f>المدخلات!$F$5</f>
        <v>5:20–6:30 م</v>
      </c>
      <c r="C72" s="7">
        <v>6</v>
      </c>
      <c r="D72" s="7" t="s">
        <v>594</v>
      </c>
      <c r="E72" s="7" t="s">
        <v>773</v>
      </c>
      <c r="F72" s="2"/>
    </row>
    <row r="73" spans="1:6" ht="14" customHeight="1">
      <c r="A73" s="8">
        <v>5</v>
      </c>
      <c r="B73" s="7" t="str">
        <f>المدخلات!$F$6</f>
        <v>6:40–7:50 م</v>
      </c>
      <c r="C73" s="7">
        <v>4</v>
      </c>
      <c r="D73" s="7" t="s">
        <v>594</v>
      </c>
      <c r="E73" s="7" t="s">
        <v>1154</v>
      </c>
      <c r="F73" s="2"/>
    </row>
    <row r="74" spans="1:6" ht="14" customHeight="1">
      <c r="A74" s="8">
        <v>6</v>
      </c>
      <c r="B74" s="7" t="str">
        <f>المدخلات!$F$4</f>
        <v>4:00–5:10 م</v>
      </c>
      <c r="C74" s="7">
        <v>1</v>
      </c>
      <c r="D74" s="7" t="s">
        <v>593</v>
      </c>
      <c r="E74" s="7" t="s">
        <v>91</v>
      </c>
      <c r="F74" s="2"/>
    </row>
    <row r="75" spans="1:6" ht="14" customHeight="1">
      <c r="A75" s="8">
        <v>6</v>
      </c>
      <c r="B75" s="7" t="str">
        <f>المدخلات!$F$4</f>
        <v>4:00–5:10 م</v>
      </c>
      <c r="C75" s="7">
        <v>2</v>
      </c>
      <c r="D75" s="7" t="s">
        <v>593</v>
      </c>
      <c r="E75" s="7" t="s">
        <v>19</v>
      </c>
      <c r="F75" s="2"/>
    </row>
    <row r="76" spans="1:6" ht="14" customHeight="1">
      <c r="A76" s="8">
        <v>6</v>
      </c>
      <c r="B76" s="7" t="str">
        <f>المدخلات!$F$4</f>
        <v>4:00–5:10 م</v>
      </c>
      <c r="C76" s="7">
        <v>3</v>
      </c>
      <c r="D76" s="7" t="s">
        <v>593</v>
      </c>
      <c r="E76" s="7" t="s">
        <v>117</v>
      </c>
      <c r="F76" s="2"/>
    </row>
    <row r="77" spans="1:6" ht="14" customHeight="1">
      <c r="A77" s="8">
        <v>6</v>
      </c>
      <c r="B77" s="7" t="str">
        <f>المدخلات!$F$5</f>
        <v>5:20–6:30 م</v>
      </c>
      <c r="C77" s="7">
        <v>1</v>
      </c>
      <c r="D77" s="7" t="s">
        <v>593</v>
      </c>
      <c r="E77" s="7" t="s">
        <v>866</v>
      </c>
      <c r="F77" s="2"/>
    </row>
    <row r="78" spans="1:6" ht="14" customHeight="1">
      <c r="A78" s="8">
        <v>6</v>
      </c>
      <c r="B78" s="7" t="str">
        <f>المدخلات!$F$5</f>
        <v>5:20–6:30 م</v>
      </c>
      <c r="C78" s="7">
        <v>2</v>
      </c>
      <c r="D78" s="7" t="s">
        <v>593</v>
      </c>
      <c r="E78" s="7" t="s">
        <v>707</v>
      </c>
      <c r="F78" s="2"/>
    </row>
    <row r="79" spans="1:6" ht="14" customHeight="1">
      <c r="A79" s="8">
        <v>6</v>
      </c>
      <c r="B79" s="7" t="str">
        <f>المدخلات!$F$5</f>
        <v>5:20–6:30 م</v>
      </c>
      <c r="C79" s="7">
        <v>3</v>
      </c>
      <c r="D79" s="7" t="s">
        <v>593</v>
      </c>
      <c r="E79" s="7" t="s">
        <v>7</v>
      </c>
      <c r="F79" s="2"/>
    </row>
    <row r="80" spans="1:6" ht="14" customHeight="1">
      <c r="A80" s="8">
        <v>6</v>
      </c>
      <c r="B80" s="7" t="str">
        <f>المدخلات!$F$6</f>
        <v>6:40–7:50 م</v>
      </c>
      <c r="C80" s="7">
        <v>1</v>
      </c>
      <c r="D80" s="7" t="s">
        <v>593</v>
      </c>
      <c r="E80" s="7" t="s">
        <v>64</v>
      </c>
      <c r="F80" s="2"/>
    </row>
    <row r="81" spans="1:6" ht="14" customHeight="1">
      <c r="A81" s="8">
        <v>6</v>
      </c>
      <c r="B81" s="7" t="str">
        <f>المدخلات!$F$4</f>
        <v>4:00–5:10 م</v>
      </c>
      <c r="C81" s="7">
        <v>4</v>
      </c>
      <c r="D81" s="7" t="s">
        <v>594</v>
      </c>
      <c r="E81" s="7" t="s">
        <v>882</v>
      </c>
      <c r="F81" s="2"/>
    </row>
    <row r="82" spans="1:6" ht="14" customHeight="1">
      <c r="A82" s="8">
        <v>6</v>
      </c>
      <c r="B82" s="7" t="str">
        <f>المدخلات!$F$4</f>
        <v>4:00–5:10 م</v>
      </c>
      <c r="C82" s="7">
        <v>5</v>
      </c>
      <c r="D82" s="7" t="s">
        <v>594</v>
      </c>
      <c r="E82" s="7" t="s">
        <v>161</v>
      </c>
      <c r="F82" s="2"/>
    </row>
    <row r="83" spans="1:6" ht="14" customHeight="1">
      <c r="A83" s="8">
        <v>6</v>
      </c>
      <c r="B83" s="7" t="str">
        <f>المدخلات!$F$4</f>
        <v>4:00–5:10 م</v>
      </c>
      <c r="C83" s="7">
        <v>6</v>
      </c>
      <c r="D83" s="7" t="s">
        <v>594</v>
      </c>
      <c r="E83" s="7" t="s">
        <v>242</v>
      </c>
      <c r="F83" s="2"/>
    </row>
    <row r="84" spans="1:6" ht="14" customHeight="1">
      <c r="A84" s="8">
        <v>6</v>
      </c>
      <c r="B84" s="7" t="str">
        <f>المدخلات!$F$5</f>
        <v>5:20–6:30 م</v>
      </c>
      <c r="C84" s="7">
        <v>4</v>
      </c>
      <c r="D84" s="7" t="s">
        <v>594</v>
      </c>
      <c r="E84" s="7" t="s">
        <v>238</v>
      </c>
      <c r="F84" s="2"/>
    </row>
    <row r="85" spans="1:6" ht="14" customHeight="1">
      <c r="A85" s="8">
        <v>6</v>
      </c>
      <c r="B85" s="7" t="str">
        <f>المدخلات!$F$5</f>
        <v>5:20–6:30 م</v>
      </c>
      <c r="C85" s="7">
        <v>5</v>
      </c>
      <c r="D85" s="7" t="s">
        <v>594</v>
      </c>
      <c r="E85" s="7" t="s">
        <v>250</v>
      </c>
      <c r="F85" s="2"/>
    </row>
    <row r="86" spans="1:6" ht="14" customHeight="1">
      <c r="A86" s="8">
        <v>6</v>
      </c>
      <c r="B86" s="7" t="str">
        <f>المدخلات!$F$5</f>
        <v>5:20–6:30 م</v>
      </c>
      <c r="C86" s="7">
        <v>6</v>
      </c>
      <c r="D86" s="7" t="s">
        <v>594</v>
      </c>
      <c r="E86" s="7" t="s">
        <v>797</v>
      </c>
      <c r="F86" s="2"/>
    </row>
    <row r="87" spans="1:6" ht="14" customHeight="1">
      <c r="A87" s="8">
        <v>6</v>
      </c>
      <c r="B87" s="7" t="str">
        <f>المدخلات!$F$6</f>
        <v>6:40–7:50 م</v>
      </c>
      <c r="C87" s="7">
        <v>4</v>
      </c>
      <c r="D87" s="7" t="s">
        <v>594</v>
      </c>
      <c r="E87" s="7" t="s">
        <v>326</v>
      </c>
      <c r="F87" s="2"/>
    </row>
    <row r="88" spans="1:6" ht="14" customHeight="1">
      <c r="A88" s="8">
        <v>7</v>
      </c>
      <c r="B88" s="7" t="str">
        <f>المدخلات!$F$4</f>
        <v>4:00–5:10 م</v>
      </c>
      <c r="C88" s="7">
        <v>1</v>
      </c>
      <c r="D88" s="7" t="s">
        <v>593</v>
      </c>
      <c r="E88" s="7" t="s">
        <v>120</v>
      </c>
      <c r="F88" s="2"/>
    </row>
    <row r="89" spans="1:6" ht="14" customHeight="1">
      <c r="A89" s="8">
        <v>7</v>
      </c>
      <c r="B89" s="7" t="str">
        <f>المدخلات!$F$4</f>
        <v>4:00–5:10 م</v>
      </c>
      <c r="C89" s="7">
        <v>2</v>
      </c>
      <c r="D89" s="7" t="s">
        <v>593</v>
      </c>
      <c r="E89" s="7" t="s">
        <v>68</v>
      </c>
      <c r="F89" s="2"/>
    </row>
    <row r="90" spans="1:6" ht="14" customHeight="1">
      <c r="A90" s="8">
        <v>7</v>
      </c>
      <c r="B90" s="7" t="str">
        <f>المدخلات!$F$4</f>
        <v>4:00–5:10 م</v>
      </c>
      <c r="C90" s="7">
        <v>3</v>
      </c>
      <c r="D90" s="7" t="s">
        <v>593</v>
      </c>
      <c r="E90" s="7" t="s">
        <v>17</v>
      </c>
      <c r="F90" s="2"/>
    </row>
    <row r="91" spans="1:6" ht="14" customHeight="1">
      <c r="A91" s="8">
        <v>7</v>
      </c>
      <c r="B91" s="7" t="str">
        <f>المدخلات!$F$5</f>
        <v>5:20–6:30 م</v>
      </c>
      <c r="C91" s="7">
        <v>1</v>
      </c>
      <c r="D91" s="7" t="s">
        <v>593</v>
      </c>
      <c r="E91" s="7" t="s">
        <v>52</v>
      </c>
      <c r="F91" s="2"/>
    </row>
    <row r="92" spans="1:6" ht="14" customHeight="1">
      <c r="A92" s="8">
        <v>7</v>
      </c>
      <c r="B92" s="7" t="str">
        <f>المدخلات!$F$5</f>
        <v>5:20–6:30 م</v>
      </c>
      <c r="C92" s="7">
        <v>2</v>
      </c>
      <c r="D92" s="7" t="s">
        <v>593</v>
      </c>
      <c r="E92" s="7" t="s">
        <v>43</v>
      </c>
      <c r="F92" s="2"/>
    </row>
    <row r="93" spans="1:6" ht="14" customHeight="1">
      <c r="A93" s="8">
        <v>7</v>
      </c>
      <c r="B93" s="7" t="str">
        <f>المدخلات!$F$5</f>
        <v>5:20–6:30 م</v>
      </c>
      <c r="C93" s="7">
        <v>3</v>
      </c>
      <c r="D93" s="7" t="s">
        <v>593</v>
      </c>
      <c r="E93" s="7" t="s">
        <v>723</v>
      </c>
      <c r="F93" s="2"/>
    </row>
    <row r="94" spans="1:6" ht="14" customHeight="1">
      <c r="A94" s="8">
        <v>7</v>
      </c>
      <c r="B94" s="7" t="str">
        <f>المدخلات!$F$6</f>
        <v>6:40–7:50 م</v>
      </c>
      <c r="C94" s="7">
        <v>1</v>
      </c>
      <c r="D94" s="7" t="s">
        <v>593</v>
      </c>
      <c r="E94" s="7" t="s">
        <v>725</v>
      </c>
      <c r="F94" s="2"/>
    </row>
    <row r="95" spans="1:6" ht="14" customHeight="1">
      <c r="A95" s="8">
        <v>7</v>
      </c>
      <c r="B95" s="7" t="str">
        <f>المدخلات!$F$4</f>
        <v>4:00–5:10 م</v>
      </c>
      <c r="C95" s="7">
        <v>4</v>
      </c>
      <c r="D95" s="7" t="s">
        <v>594</v>
      </c>
      <c r="E95" s="7" t="s">
        <v>237</v>
      </c>
      <c r="F95" s="2"/>
    </row>
    <row r="96" spans="1:6" ht="14" customHeight="1">
      <c r="A96" s="8">
        <v>7</v>
      </c>
      <c r="B96" s="7" t="str">
        <f>المدخلات!$F$4</f>
        <v>4:00–5:10 م</v>
      </c>
      <c r="C96" s="7">
        <v>5</v>
      </c>
      <c r="D96" s="7" t="s">
        <v>594</v>
      </c>
      <c r="E96" s="7" t="s">
        <v>853</v>
      </c>
      <c r="F96" s="2"/>
    </row>
    <row r="97" spans="1:6" ht="14" customHeight="1">
      <c r="A97" s="8">
        <v>7</v>
      </c>
      <c r="B97" s="7" t="str">
        <f>المدخلات!$F$4</f>
        <v>4:00–5:10 م</v>
      </c>
      <c r="C97" s="7">
        <v>6</v>
      </c>
      <c r="D97" s="7" t="s">
        <v>594</v>
      </c>
      <c r="E97" s="7" t="s">
        <v>807</v>
      </c>
      <c r="F97" s="2"/>
    </row>
    <row r="98" spans="1:6" ht="14" customHeight="1">
      <c r="A98" s="8">
        <v>7</v>
      </c>
      <c r="B98" s="7" t="str">
        <f>المدخلات!$F$5</f>
        <v>5:20–6:30 م</v>
      </c>
      <c r="C98" s="7">
        <v>4</v>
      </c>
      <c r="D98" s="7" t="s">
        <v>594</v>
      </c>
      <c r="E98" s="7" t="s">
        <v>883</v>
      </c>
      <c r="F98" s="2"/>
    </row>
    <row r="99" spans="1:6" ht="14" customHeight="1">
      <c r="A99" s="8">
        <v>7</v>
      </c>
      <c r="B99" s="7" t="str">
        <f>المدخلات!$F$5</f>
        <v>5:20–6:30 م</v>
      </c>
      <c r="C99" s="7">
        <v>5</v>
      </c>
      <c r="D99" s="7" t="s">
        <v>594</v>
      </c>
      <c r="E99" s="7" t="s">
        <v>232</v>
      </c>
      <c r="F99" s="2"/>
    </row>
    <row r="100" spans="1:6" ht="14" customHeight="1">
      <c r="A100" s="8">
        <v>7</v>
      </c>
      <c r="B100" s="7" t="str">
        <f>المدخلات!$F$5</f>
        <v>5:20–6:30 م</v>
      </c>
      <c r="C100" s="7">
        <v>6</v>
      </c>
      <c r="D100" s="7" t="s">
        <v>594</v>
      </c>
      <c r="E100" s="7" t="s">
        <v>884</v>
      </c>
      <c r="F100" s="2"/>
    </row>
    <row r="101" spans="1:6" ht="14" customHeight="1">
      <c r="A101" s="8">
        <v>7</v>
      </c>
      <c r="B101" s="7" t="str">
        <f>المدخلات!$F$6</f>
        <v>6:40–7:50 م</v>
      </c>
      <c r="C101" s="7">
        <v>4</v>
      </c>
      <c r="D101" s="7" t="s">
        <v>594</v>
      </c>
      <c r="E101" s="7" t="s">
        <v>808</v>
      </c>
      <c r="F101" s="2"/>
    </row>
    <row r="102" spans="1:6" ht="14" customHeight="1">
      <c r="A102" s="8">
        <v>8</v>
      </c>
      <c r="B102" s="7" t="str">
        <f>المدخلات!$F$4</f>
        <v>4:00–5:10 م</v>
      </c>
      <c r="C102" s="7">
        <v>1</v>
      </c>
      <c r="D102" s="7" t="s">
        <v>593</v>
      </c>
      <c r="E102" s="7" t="s">
        <v>60</v>
      </c>
      <c r="F102" s="2"/>
    </row>
    <row r="103" spans="1:6" ht="14" customHeight="1">
      <c r="A103" s="8">
        <v>8</v>
      </c>
      <c r="B103" s="7" t="str">
        <f>المدخلات!$F$4</f>
        <v>4:00–5:10 م</v>
      </c>
      <c r="C103" s="7">
        <v>2</v>
      </c>
      <c r="D103" s="7" t="s">
        <v>593</v>
      </c>
      <c r="E103" s="7" t="s">
        <v>744</v>
      </c>
      <c r="F103" s="2"/>
    </row>
    <row r="104" spans="1:6" ht="14" customHeight="1">
      <c r="A104" s="8">
        <v>8</v>
      </c>
      <c r="B104" s="7" t="str">
        <f>المدخلات!$F$4</f>
        <v>4:00–5:10 م</v>
      </c>
      <c r="C104" s="7">
        <v>3</v>
      </c>
      <c r="D104" s="7" t="s">
        <v>593</v>
      </c>
      <c r="E104" s="7" t="s">
        <v>123</v>
      </c>
      <c r="F104" s="2"/>
    </row>
    <row r="105" spans="1:6" ht="14" customHeight="1">
      <c r="A105" s="8">
        <v>8</v>
      </c>
      <c r="B105" s="7" t="str">
        <f>المدخلات!$F$5</f>
        <v>5:20–6:30 م</v>
      </c>
      <c r="C105" s="7">
        <v>1</v>
      </c>
      <c r="D105" s="7" t="s">
        <v>593</v>
      </c>
      <c r="E105" s="7" t="s">
        <v>742</v>
      </c>
      <c r="F105" s="2"/>
    </row>
    <row r="106" spans="1:6" ht="14" customHeight="1">
      <c r="A106" s="8">
        <v>8</v>
      </c>
      <c r="B106" s="7" t="str">
        <f>المدخلات!$F$5</f>
        <v>5:20–6:30 م</v>
      </c>
      <c r="C106" s="7">
        <v>2</v>
      </c>
      <c r="D106" s="7" t="s">
        <v>593</v>
      </c>
      <c r="E106" s="7" t="s">
        <v>745</v>
      </c>
      <c r="F106" s="2"/>
    </row>
    <row r="107" spans="1:6" ht="14" customHeight="1">
      <c r="A107" s="8">
        <v>8</v>
      </c>
      <c r="B107" s="7" t="str">
        <f>المدخلات!$F$5</f>
        <v>5:20–6:30 م</v>
      </c>
      <c r="C107" s="7">
        <v>3</v>
      </c>
      <c r="D107" s="7" t="s">
        <v>593</v>
      </c>
      <c r="E107" s="7" t="s">
        <v>36</v>
      </c>
      <c r="F107" s="2"/>
    </row>
    <row r="108" spans="1:6" ht="14" customHeight="1">
      <c r="A108" s="8">
        <v>8</v>
      </c>
      <c r="B108" s="7" t="str">
        <f>المدخلات!$F$6</f>
        <v>6:40–7:50 م</v>
      </c>
      <c r="C108" s="7">
        <v>1</v>
      </c>
      <c r="D108" s="7" t="s">
        <v>593</v>
      </c>
      <c r="E108" s="7" t="s">
        <v>45</v>
      </c>
      <c r="F108" s="2"/>
    </row>
    <row r="109" spans="1:6" ht="14" customHeight="1">
      <c r="A109" s="8">
        <v>8</v>
      </c>
      <c r="B109" s="7" t="str">
        <f>المدخلات!$F$4</f>
        <v>4:00–5:10 م</v>
      </c>
      <c r="C109" s="7">
        <v>4</v>
      </c>
      <c r="D109" s="7" t="s">
        <v>594</v>
      </c>
      <c r="E109" s="7" t="s">
        <v>233</v>
      </c>
      <c r="F109" s="2"/>
    </row>
    <row r="110" spans="1:6" ht="14" customHeight="1">
      <c r="A110" s="8">
        <v>8</v>
      </c>
      <c r="B110" s="7" t="str">
        <f>المدخلات!$F$4</f>
        <v>4:00–5:10 م</v>
      </c>
      <c r="C110" s="7">
        <v>5</v>
      </c>
      <c r="D110" s="7" t="s">
        <v>594</v>
      </c>
      <c r="E110" s="7" t="s">
        <v>229</v>
      </c>
      <c r="F110" s="2"/>
    </row>
    <row r="111" spans="1:6" ht="14" customHeight="1">
      <c r="A111" s="8">
        <v>8</v>
      </c>
      <c r="B111" s="7" t="str">
        <f>المدخلات!$F$4</f>
        <v>4:00–5:10 م</v>
      </c>
      <c r="C111" s="7">
        <v>6</v>
      </c>
      <c r="D111" s="7" t="s">
        <v>594</v>
      </c>
      <c r="E111" s="7" t="s">
        <v>267</v>
      </c>
      <c r="F111" s="2"/>
    </row>
    <row r="112" spans="1:6" ht="14" customHeight="1">
      <c r="A112" s="8">
        <v>8</v>
      </c>
      <c r="B112" s="7" t="str">
        <f>المدخلات!$F$5</f>
        <v>5:20–6:30 م</v>
      </c>
      <c r="C112" s="7">
        <v>4</v>
      </c>
      <c r="D112" s="7" t="s">
        <v>594</v>
      </c>
      <c r="E112" s="7" t="s">
        <v>221</v>
      </c>
      <c r="F112" s="2"/>
    </row>
    <row r="113" spans="1:6" ht="14" customHeight="1">
      <c r="A113" s="8">
        <v>8</v>
      </c>
      <c r="B113" s="7" t="str">
        <f>المدخلات!$F$5</f>
        <v>5:20–6:30 م</v>
      </c>
      <c r="C113" s="7">
        <v>5</v>
      </c>
      <c r="D113" s="7" t="s">
        <v>594</v>
      </c>
      <c r="E113" s="7" t="s">
        <v>875</v>
      </c>
      <c r="F113" s="2"/>
    </row>
    <row r="114" spans="1:6" ht="14" customHeight="1">
      <c r="A114" s="8">
        <v>8</v>
      </c>
      <c r="B114" s="7" t="str">
        <f>المدخلات!$F$5</f>
        <v>5:20–6:30 م</v>
      </c>
      <c r="C114" s="7">
        <v>6</v>
      </c>
      <c r="D114" s="7" t="s">
        <v>594</v>
      </c>
      <c r="E114" s="7" t="s">
        <v>1150</v>
      </c>
      <c r="F114" s="2"/>
    </row>
    <row r="115" spans="1:6" ht="14" customHeight="1">
      <c r="A115" s="8">
        <v>8</v>
      </c>
      <c r="B115" s="7" t="str">
        <f>المدخلات!$F$6</f>
        <v>6:40–7:50 م</v>
      </c>
      <c r="C115" s="7">
        <v>4</v>
      </c>
      <c r="D115" s="7" t="s">
        <v>594</v>
      </c>
      <c r="E115" s="7" t="s">
        <v>870</v>
      </c>
      <c r="F115" s="2"/>
    </row>
    <row r="116" spans="1:6" ht="14" customHeight="1">
      <c r="A116" s="8">
        <v>9</v>
      </c>
      <c r="B116" s="7" t="str">
        <f>المدخلات!$F$4</f>
        <v>4:00–5:10 م</v>
      </c>
      <c r="C116" s="7">
        <v>1</v>
      </c>
      <c r="D116" s="7" t="s">
        <v>593</v>
      </c>
      <c r="E116" s="7" t="s">
        <v>51</v>
      </c>
      <c r="F116" s="2"/>
    </row>
    <row r="117" spans="1:6" ht="14" customHeight="1">
      <c r="A117" s="8">
        <v>9</v>
      </c>
      <c r="B117" s="7" t="str">
        <f>المدخلات!$F$4</f>
        <v>4:00–5:10 م</v>
      </c>
      <c r="C117" s="7">
        <v>2</v>
      </c>
      <c r="D117" s="7" t="s">
        <v>593</v>
      </c>
      <c r="E117" s="7" t="s">
        <v>767</v>
      </c>
      <c r="F117" s="2"/>
    </row>
    <row r="118" spans="1:6" ht="14" customHeight="1">
      <c r="A118" s="8">
        <v>9</v>
      </c>
      <c r="B118" s="7" t="str">
        <f>المدخلات!$F$4</f>
        <v>4:00–5:10 م</v>
      </c>
      <c r="C118" s="7">
        <v>3</v>
      </c>
      <c r="D118" s="7" t="s">
        <v>593</v>
      </c>
      <c r="E118" s="7" t="s">
        <v>766</v>
      </c>
      <c r="F118" s="2"/>
    </row>
    <row r="119" spans="1:6" ht="14" customHeight="1">
      <c r="A119" s="8">
        <v>9</v>
      </c>
      <c r="B119" s="7" t="str">
        <f>المدخلات!$F$5</f>
        <v>5:20–6:30 م</v>
      </c>
      <c r="C119" s="7">
        <v>1</v>
      </c>
      <c r="D119" s="7" t="s">
        <v>593</v>
      </c>
      <c r="E119" s="7" t="s">
        <v>769</v>
      </c>
      <c r="F119" s="2"/>
    </row>
    <row r="120" spans="1:6" ht="14" customHeight="1">
      <c r="A120" s="8">
        <v>9</v>
      </c>
      <c r="B120" s="7" t="str">
        <f>المدخلات!$F$5</f>
        <v>5:20–6:30 م</v>
      </c>
      <c r="C120" s="7">
        <v>2</v>
      </c>
      <c r="D120" s="7" t="s">
        <v>593</v>
      </c>
      <c r="E120" s="7" t="s">
        <v>42</v>
      </c>
      <c r="F120" s="2"/>
    </row>
    <row r="121" spans="1:6" ht="14" customHeight="1">
      <c r="A121" s="8">
        <v>9</v>
      </c>
      <c r="B121" s="7" t="str">
        <f>المدخلات!$F$5</f>
        <v>5:20–6:30 م</v>
      </c>
      <c r="C121" s="7">
        <v>3</v>
      </c>
      <c r="D121" s="7" t="s">
        <v>593</v>
      </c>
      <c r="E121" s="7" t="s">
        <v>1049</v>
      </c>
      <c r="F121" s="2"/>
    </row>
    <row r="122" spans="1:6" ht="14" customHeight="1">
      <c r="A122" s="8">
        <v>9</v>
      </c>
      <c r="B122" s="7" t="str">
        <f>المدخلات!$F$6</f>
        <v>6:40–7:50 م</v>
      </c>
      <c r="C122" s="7">
        <v>1</v>
      </c>
      <c r="D122" s="7" t="s">
        <v>593</v>
      </c>
      <c r="E122" s="7" t="s">
        <v>768</v>
      </c>
      <c r="F122" s="2"/>
    </row>
    <row r="123" spans="1:6" ht="14" customHeight="1">
      <c r="A123" s="8">
        <v>9</v>
      </c>
      <c r="B123" s="7" t="str">
        <f>المدخلات!$F$4</f>
        <v>4:00–5:10 م</v>
      </c>
      <c r="C123" s="7">
        <v>4</v>
      </c>
      <c r="D123" s="7" t="s">
        <v>594</v>
      </c>
      <c r="E123" s="7" t="s">
        <v>212</v>
      </c>
      <c r="F123" s="2"/>
    </row>
    <row r="124" spans="1:6" ht="14" customHeight="1">
      <c r="A124" s="8">
        <v>9</v>
      </c>
      <c r="B124" s="7" t="str">
        <f>المدخلات!$F$4</f>
        <v>4:00–5:10 م</v>
      </c>
      <c r="C124" s="7">
        <v>5</v>
      </c>
      <c r="D124" s="7" t="s">
        <v>594</v>
      </c>
      <c r="E124" s="7" t="s">
        <v>219</v>
      </c>
      <c r="F124" s="2"/>
    </row>
    <row r="125" spans="1:6" ht="14" customHeight="1">
      <c r="A125" s="8">
        <v>9</v>
      </c>
      <c r="B125" s="7" t="str">
        <f>المدخلات!$F$4</f>
        <v>4:00–5:10 م</v>
      </c>
      <c r="C125" s="7">
        <v>6</v>
      </c>
      <c r="D125" s="7" t="s">
        <v>594</v>
      </c>
      <c r="E125" s="7" t="s">
        <v>228</v>
      </c>
      <c r="F125" s="2"/>
    </row>
    <row r="126" spans="1:6" ht="14" customHeight="1">
      <c r="A126" s="8">
        <v>9</v>
      </c>
      <c r="B126" s="7" t="str">
        <f>المدخلات!$F$5</f>
        <v>5:20–6:30 م</v>
      </c>
      <c r="C126" s="7">
        <v>4</v>
      </c>
      <c r="D126" s="7" t="s">
        <v>594</v>
      </c>
      <c r="E126" s="7" t="s">
        <v>259</v>
      </c>
      <c r="F126" s="2"/>
    </row>
    <row r="127" spans="1:6" ht="14" customHeight="1">
      <c r="A127" s="8">
        <v>9</v>
      </c>
      <c r="B127" s="7" t="str">
        <f>المدخلات!$F$5</f>
        <v>5:20–6:30 م</v>
      </c>
      <c r="C127" s="7">
        <v>5</v>
      </c>
      <c r="D127" s="7" t="s">
        <v>594</v>
      </c>
      <c r="E127" s="7" t="s">
        <v>268</v>
      </c>
      <c r="F127" s="2"/>
    </row>
    <row r="128" spans="1:6" ht="14" customHeight="1">
      <c r="A128" s="8">
        <v>9</v>
      </c>
      <c r="B128" s="7" t="str">
        <f>المدخلات!$F$5</f>
        <v>5:20–6:30 م</v>
      </c>
      <c r="C128" s="7">
        <v>6</v>
      </c>
      <c r="D128" s="7" t="s">
        <v>594</v>
      </c>
      <c r="E128" s="7" t="s">
        <v>629</v>
      </c>
      <c r="F128" s="2"/>
    </row>
    <row r="129" spans="1:6" ht="14" customHeight="1">
      <c r="A129" s="8">
        <v>9</v>
      </c>
      <c r="B129" s="7" t="str">
        <f>المدخلات!$F$6</f>
        <v>6:40–7:50 م</v>
      </c>
      <c r="C129" s="7">
        <v>4</v>
      </c>
      <c r="D129" s="7" t="s">
        <v>594</v>
      </c>
      <c r="E129" s="7" t="s">
        <v>859</v>
      </c>
      <c r="F129" s="2"/>
    </row>
    <row r="130" spans="1:6" ht="14" customHeight="1">
      <c r="A130" s="8">
        <v>10</v>
      </c>
      <c r="B130" s="7" t="str">
        <f>المدخلات!$F$4</f>
        <v>4:00–5:10 م</v>
      </c>
      <c r="C130" s="7">
        <v>1</v>
      </c>
      <c r="D130" s="7" t="s">
        <v>593</v>
      </c>
      <c r="E130" s="7" t="s">
        <v>103</v>
      </c>
      <c r="F130" s="2"/>
    </row>
    <row r="131" spans="1:6" ht="14" customHeight="1">
      <c r="A131" s="8">
        <v>10</v>
      </c>
      <c r="B131" s="7" t="str">
        <f>المدخلات!$F$4</f>
        <v>4:00–5:10 م</v>
      </c>
      <c r="C131" s="7">
        <v>2</v>
      </c>
      <c r="D131" s="7" t="s">
        <v>593</v>
      </c>
      <c r="E131" s="7" t="s">
        <v>25</v>
      </c>
      <c r="F131" s="2"/>
    </row>
    <row r="132" spans="1:6" ht="14" customHeight="1">
      <c r="A132" s="8">
        <v>10</v>
      </c>
      <c r="B132" s="7" t="str">
        <f>المدخلات!$F$4</f>
        <v>4:00–5:10 م</v>
      </c>
      <c r="C132" s="7">
        <v>3</v>
      </c>
      <c r="D132" s="7" t="s">
        <v>593</v>
      </c>
      <c r="E132" s="7" t="s">
        <v>59</v>
      </c>
      <c r="F132" s="2"/>
    </row>
    <row r="133" spans="1:6" ht="14" customHeight="1">
      <c r="A133" s="8">
        <v>10</v>
      </c>
      <c r="B133" s="7" t="str">
        <f>المدخلات!$F$5</f>
        <v>5:20–6:30 م</v>
      </c>
      <c r="C133" s="7">
        <v>1</v>
      </c>
      <c r="D133" s="7" t="s">
        <v>593</v>
      </c>
      <c r="E133" s="7" t="s">
        <v>790</v>
      </c>
      <c r="F133" s="2"/>
    </row>
    <row r="134" spans="1:6" ht="14" customHeight="1">
      <c r="A134" s="8">
        <v>10</v>
      </c>
      <c r="B134" s="7" t="str">
        <f>المدخلات!$F$5</f>
        <v>5:20–6:30 م</v>
      </c>
      <c r="C134" s="7">
        <v>2</v>
      </c>
      <c r="D134" s="7" t="s">
        <v>593</v>
      </c>
      <c r="E134" s="7" t="s">
        <v>28</v>
      </c>
      <c r="F134" s="2"/>
    </row>
    <row r="135" spans="1:6" ht="14" customHeight="1">
      <c r="A135" s="8">
        <v>10</v>
      </c>
      <c r="B135" s="7" t="str">
        <f>المدخلات!$F$5</f>
        <v>5:20–6:30 م</v>
      </c>
      <c r="C135" s="7">
        <v>3</v>
      </c>
      <c r="D135" s="7" t="s">
        <v>593</v>
      </c>
      <c r="E135" s="7" t="s">
        <v>792</v>
      </c>
      <c r="F135" s="2"/>
    </row>
    <row r="136" spans="1:6" ht="14" customHeight="1">
      <c r="A136" s="8">
        <v>10</v>
      </c>
      <c r="B136" s="7" t="str">
        <f>المدخلات!$F$6</f>
        <v>6:40–7:50 م</v>
      </c>
      <c r="C136" s="7">
        <v>1</v>
      </c>
      <c r="D136" s="7" t="s">
        <v>593</v>
      </c>
      <c r="E136" s="7" t="s">
        <v>38</v>
      </c>
      <c r="F136" s="2"/>
    </row>
    <row r="137" spans="1:6" ht="14" customHeight="1">
      <c r="A137" s="8">
        <v>10</v>
      </c>
      <c r="B137" s="7" t="str">
        <f>المدخلات!$F$4</f>
        <v>4:00–5:10 م</v>
      </c>
      <c r="C137" s="7">
        <v>4</v>
      </c>
      <c r="D137" s="7" t="s">
        <v>594</v>
      </c>
      <c r="E137" s="7" t="s">
        <v>269</v>
      </c>
      <c r="F137" s="2"/>
    </row>
    <row r="138" spans="1:6" ht="14" customHeight="1">
      <c r="A138" s="8">
        <v>10</v>
      </c>
      <c r="B138" s="7" t="str">
        <f>المدخلات!$F$4</f>
        <v>4:00–5:10 م</v>
      </c>
      <c r="C138" s="7">
        <v>5</v>
      </c>
      <c r="D138" s="7" t="s">
        <v>594</v>
      </c>
      <c r="E138" s="7" t="s">
        <v>220</v>
      </c>
      <c r="F138" s="2"/>
    </row>
    <row r="139" spans="1:6" ht="14" customHeight="1">
      <c r="A139" s="8">
        <v>10</v>
      </c>
      <c r="B139" s="7" t="str">
        <f>المدخلات!$F$4</f>
        <v>4:00–5:10 م</v>
      </c>
      <c r="C139" s="7">
        <v>6</v>
      </c>
      <c r="D139" s="7" t="s">
        <v>594</v>
      </c>
      <c r="E139" s="7" t="s">
        <v>260</v>
      </c>
      <c r="F139" s="2"/>
    </row>
    <row r="140" spans="1:6" ht="14" customHeight="1">
      <c r="A140" s="8">
        <v>10</v>
      </c>
      <c r="B140" s="7" t="str">
        <f>المدخلات!$F$5</f>
        <v>5:20–6:30 م</v>
      </c>
      <c r="C140" s="7">
        <v>4</v>
      </c>
      <c r="D140" s="7" t="s">
        <v>594</v>
      </c>
      <c r="E140" s="7" t="s">
        <v>587</v>
      </c>
      <c r="F140" s="2"/>
    </row>
    <row r="141" spans="1:6" ht="14" customHeight="1">
      <c r="A141" s="8">
        <v>10</v>
      </c>
      <c r="B141" s="7" t="str">
        <f>المدخلات!$F$5</f>
        <v>5:20–6:30 م</v>
      </c>
      <c r="C141" s="7">
        <v>5</v>
      </c>
      <c r="D141" s="7" t="s">
        <v>594</v>
      </c>
      <c r="E141" s="7" t="s">
        <v>252</v>
      </c>
      <c r="F141" s="2"/>
    </row>
    <row r="142" spans="1:6" ht="14" customHeight="1">
      <c r="A142" s="8">
        <v>10</v>
      </c>
      <c r="B142" s="7" t="str">
        <f>المدخلات!$F$5</f>
        <v>5:20–6:30 م</v>
      </c>
      <c r="C142" s="7">
        <v>6</v>
      </c>
      <c r="D142" s="7" t="s">
        <v>594</v>
      </c>
      <c r="E142" s="7" t="s">
        <v>205</v>
      </c>
      <c r="F142" s="2"/>
    </row>
    <row r="143" spans="1:6" ht="14" customHeight="1">
      <c r="A143" s="8">
        <v>10</v>
      </c>
      <c r="B143" s="7" t="str">
        <f>المدخلات!$F$6</f>
        <v>6:40–7:50 م</v>
      </c>
      <c r="C143" s="7">
        <v>4</v>
      </c>
      <c r="D143" s="7" t="s">
        <v>594</v>
      </c>
      <c r="E143" s="7" t="s">
        <v>841</v>
      </c>
      <c r="F143" s="2"/>
    </row>
    <row r="144" spans="1:6" ht="14" customHeight="1">
      <c r="A144" s="8">
        <v>11</v>
      </c>
      <c r="B144" s="7" t="str">
        <f>المدخلات!$F$4</f>
        <v>4:00–5:10 م</v>
      </c>
      <c r="C144" s="7">
        <v>1</v>
      </c>
      <c r="D144" s="7" t="s">
        <v>593</v>
      </c>
      <c r="E144" s="7" t="s">
        <v>805</v>
      </c>
      <c r="F144" s="2"/>
    </row>
    <row r="145" spans="1:6" ht="14" customHeight="1">
      <c r="A145" s="8">
        <v>11</v>
      </c>
      <c r="B145" s="7" t="str">
        <f>المدخلات!$F$4</f>
        <v>4:00–5:10 م</v>
      </c>
      <c r="C145" s="7">
        <v>2</v>
      </c>
      <c r="D145" s="7" t="s">
        <v>593</v>
      </c>
      <c r="E145" s="7" t="s">
        <v>1039</v>
      </c>
      <c r="F145" s="2"/>
    </row>
    <row r="146" spans="1:6" ht="14" customHeight="1">
      <c r="A146" s="8">
        <v>11</v>
      </c>
      <c r="B146" s="7" t="str">
        <f>المدخلات!$F$4</f>
        <v>4:00–5:10 م</v>
      </c>
      <c r="C146" s="7">
        <v>3</v>
      </c>
      <c r="D146" s="7" t="s">
        <v>593</v>
      </c>
      <c r="E146" s="7" t="s">
        <v>1073</v>
      </c>
      <c r="F146" s="2"/>
    </row>
    <row r="147" spans="1:6" ht="14" customHeight="1">
      <c r="A147" s="8">
        <v>11</v>
      </c>
      <c r="B147" s="7" t="str">
        <f>المدخلات!$F$5</f>
        <v>5:20–6:30 م</v>
      </c>
      <c r="C147" s="7">
        <v>1</v>
      </c>
      <c r="D147" s="7" t="s">
        <v>593</v>
      </c>
      <c r="E147" s="7" t="s">
        <v>24</v>
      </c>
      <c r="F147" s="2"/>
    </row>
    <row r="148" spans="1:6" ht="14" customHeight="1">
      <c r="A148" s="8">
        <v>11</v>
      </c>
      <c r="B148" s="7" t="str">
        <f>المدخلات!$F$5</f>
        <v>5:20–6:30 م</v>
      </c>
      <c r="C148" s="7">
        <v>2</v>
      </c>
      <c r="D148" s="7" t="s">
        <v>593</v>
      </c>
      <c r="E148" s="7" t="s">
        <v>98</v>
      </c>
      <c r="F148" s="2"/>
    </row>
    <row r="149" spans="1:6" ht="14" customHeight="1">
      <c r="A149" s="8">
        <v>11</v>
      </c>
      <c r="B149" s="7" t="str">
        <f>المدخلات!$F$5</f>
        <v>5:20–6:30 م</v>
      </c>
      <c r="C149" s="7">
        <v>3</v>
      </c>
      <c r="D149" s="7" t="s">
        <v>593</v>
      </c>
      <c r="E149" s="7" t="s">
        <v>804</v>
      </c>
      <c r="F149" s="2"/>
    </row>
    <row r="150" spans="1:6" ht="14" customHeight="1">
      <c r="A150" s="8">
        <v>11</v>
      </c>
      <c r="B150" s="7" t="str">
        <f>المدخلات!$F$6</f>
        <v>6:40–7:50 م</v>
      </c>
      <c r="C150" s="7">
        <v>1</v>
      </c>
      <c r="D150" s="7" t="s">
        <v>593</v>
      </c>
      <c r="E150" s="7" t="s">
        <v>32</v>
      </c>
      <c r="F150" s="2"/>
    </row>
    <row r="151" spans="1:6" ht="14" customHeight="1">
      <c r="A151" s="8">
        <v>11</v>
      </c>
      <c r="B151" s="7" t="str">
        <f>المدخلات!$F$4</f>
        <v>4:00–5:10 م</v>
      </c>
      <c r="C151" s="7">
        <v>4</v>
      </c>
      <c r="D151" s="7" t="s">
        <v>594</v>
      </c>
      <c r="E151" s="7" t="s">
        <v>253</v>
      </c>
      <c r="F151" s="2"/>
    </row>
    <row r="152" spans="1:6" ht="14" customHeight="1">
      <c r="A152" s="8">
        <v>11</v>
      </c>
      <c r="B152" s="7" t="str">
        <f>المدخلات!$F$4</f>
        <v>4:00–5:10 م</v>
      </c>
      <c r="C152" s="7">
        <v>5</v>
      </c>
      <c r="D152" s="7" t="s">
        <v>594</v>
      </c>
      <c r="E152" s="7" t="s">
        <v>206</v>
      </c>
      <c r="F152" s="2"/>
    </row>
    <row r="153" spans="1:6" ht="14" customHeight="1">
      <c r="A153" s="8">
        <v>11</v>
      </c>
      <c r="B153" s="7" t="str">
        <f>المدخلات!$F$4</f>
        <v>4:00–5:10 م</v>
      </c>
      <c r="C153" s="7">
        <v>6</v>
      </c>
      <c r="D153" s="7" t="s">
        <v>594</v>
      </c>
      <c r="E153" s="7" t="s">
        <v>261</v>
      </c>
      <c r="F153" s="2"/>
    </row>
    <row r="154" spans="1:6" ht="14" customHeight="1">
      <c r="A154" s="8">
        <v>11</v>
      </c>
      <c r="B154" s="7" t="str">
        <f>المدخلات!$F$5</f>
        <v>5:20–6:30 م</v>
      </c>
      <c r="C154" s="7">
        <v>4</v>
      </c>
      <c r="D154" s="7" t="s">
        <v>594</v>
      </c>
      <c r="E154" s="7" t="s">
        <v>189</v>
      </c>
      <c r="F154" s="2"/>
    </row>
    <row r="155" spans="1:6" ht="14" customHeight="1">
      <c r="A155" s="8">
        <v>11</v>
      </c>
      <c r="B155" s="7" t="str">
        <f>المدخلات!$F$5</f>
        <v>5:20–6:30 م</v>
      </c>
      <c r="C155" s="7">
        <v>5</v>
      </c>
      <c r="D155" s="7" t="s">
        <v>594</v>
      </c>
      <c r="E155" s="7" t="s">
        <v>243</v>
      </c>
      <c r="F155" s="2"/>
    </row>
    <row r="156" spans="1:6" ht="14" customHeight="1">
      <c r="A156" s="8">
        <v>11</v>
      </c>
      <c r="B156" s="7" t="str">
        <f>المدخلات!$F$5</f>
        <v>5:20–6:30 م</v>
      </c>
      <c r="C156" s="7">
        <v>6</v>
      </c>
      <c r="D156" s="7" t="s">
        <v>594</v>
      </c>
      <c r="E156" s="7" t="s">
        <v>178</v>
      </c>
      <c r="F156" s="2"/>
    </row>
    <row r="157" spans="1:6" ht="14" customHeight="1">
      <c r="A157" s="8">
        <v>11</v>
      </c>
      <c r="B157" s="7" t="str">
        <f>المدخلات!$F$6</f>
        <v>6:40–7:50 م</v>
      </c>
      <c r="C157" s="7">
        <v>4</v>
      </c>
      <c r="D157" s="7" t="s">
        <v>594</v>
      </c>
      <c r="E157" s="7" t="s">
        <v>255</v>
      </c>
      <c r="F157" s="2"/>
    </row>
    <row r="158" spans="1:6" ht="14" customHeight="1">
      <c r="A158" s="8">
        <v>12</v>
      </c>
      <c r="B158" s="7" t="str">
        <f>المدخلات!$F$4</f>
        <v>4:00–5:10 م</v>
      </c>
      <c r="C158" s="7">
        <v>1</v>
      </c>
      <c r="D158" s="7" t="s">
        <v>593</v>
      </c>
      <c r="E158" s="7" t="s">
        <v>92</v>
      </c>
      <c r="F158" s="2"/>
    </row>
    <row r="159" spans="1:6" ht="14" customHeight="1">
      <c r="A159" s="8">
        <v>12</v>
      </c>
      <c r="B159" s="7" t="str">
        <f>المدخلات!$F$4</f>
        <v>4:00–5:10 م</v>
      </c>
      <c r="C159" s="7">
        <v>2</v>
      </c>
      <c r="D159" s="7" t="s">
        <v>593</v>
      </c>
      <c r="E159" s="7" t="s">
        <v>20</v>
      </c>
      <c r="F159" s="2"/>
    </row>
    <row r="160" spans="1:6" ht="14" customHeight="1">
      <c r="A160" s="8">
        <v>12</v>
      </c>
      <c r="B160" s="7" t="str">
        <f>المدخلات!$F$4</f>
        <v>4:00–5:10 م</v>
      </c>
      <c r="C160" s="7">
        <v>3</v>
      </c>
      <c r="D160" s="7" t="s">
        <v>593</v>
      </c>
      <c r="E160" s="7" t="s">
        <v>99</v>
      </c>
      <c r="F160" s="2"/>
    </row>
    <row r="161" spans="1:6" ht="14" customHeight="1">
      <c r="A161" s="8">
        <v>12</v>
      </c>
      <c r="B161" s="7" t="str">
        <f>المدخلات!$F$5</f>
        <v>5:20–6:30 م</v>
      </c>
      <c r="C161" s="7">
        <v>1</v>
      </c>
      <c r="D161" s="7" t="s">
        <v>593</v>
      </c>
      <c r="E161" s="7" t="s">
        <v>9</v>
      </c>
      <c r="F161" s="2"/>
    </row>
    <row r="162" spans="1:6" ht="14" customHeight="1">
      <c r="A162" s="8">
        <v>12</v>
      </c>
      <c r="B162" s="7" t="str">
        <f>المدخلات!$F$5</f>
        <v>5:20–6:30 م</v>
      </c>
      <c r="C162" s="7">
        <v>2</v>
      </c>
      <c r="D162" s="7" t="s">
        <v>593</v>
      </c>
      <c r="E162" s="7" t="s">
        <v>31</v>
      </c>
      <c r="F162" s="2"/>
    </row>
    <row r="163" spans="1:6" ht="14" customHeight="1">
      <c r="A163" s="8">
        <v>12</v>
      </c>
      <c r="B163" s="7" t="str">
        <f>المدخلات!$F$5</f>
        <v>5:20–6:30 م</v>
      </c>
      <c r="C163" s="7">
        <v>3</v>
      </c>
      <c r="D163" s="7" t="s">
        <v>593</v>
      </c>
      <c r="E163" s="7" t="s">
        <v>133</v>
      </c>
      <c r="F163" s="2"/>
    </row>
    <row r="164" spans="1:6" ht="14" customHeight="1">
      <c r="A164" s="8">
        <v>12</v>
      </c>
      <c r="B164" s="7" t="str">
        <f>المدخلات!$F$6</f>
        <v>6:40–7:50 م</v>
      </c>
      <c r="C164" s="7">
        <v>1</v>
      </c>
      <c r="D164" s="7" t="s">
        <v>593</v>
      </c>
      <c r="E164" s="7" t="s">
        <v>27</v>
      </c>
      <c r="F164" s="2"/>
    </row>
    <row r="165" spans="1:6" ht="14" customHeight="1">
      <c r="A165" s="8">
        <v>12</v>
      </c>
      <c r="B165" s="7" t="str">
        <f>المدخلات!$F$4</f>
        <v>4:00–5:10 م</v>
      </c>
      <c r="C165" s="7">
        <v>4</v>
      </c>
      <c r="D165" s="7" t="s">
        <v>594</v>
      </c>
      <c r="E165" s="7" t="s">
        <v>239</v>
      </c>
      <c r="F165" s="2"/>
    </row>
    <row r="166" spans="1:6" ht="14" customHeight="1">
      <c r="A166" s="8">
        <v>12</v>
      </c>
      <c r="B166" s="7" t="str">
        <f>المدخلات!$F$4</f>
        <v>4:00–5:10 م</v>
      </c>
      <c r="C166" s="7">
        <v>5</v>
      </c>
      <c r="D166" s="7" t="s">
        <v>594</v>
      </c>
      <c r="E166" s="7" t="s">
        <v>844</v>
      </c>
      <c r="F166" s="2"/>
    </row>
    <row r="167" spans="1:6" ht="14" customHeight="1">
      <c r="A167" s="8">
        <v>12</v>
      </c>
      <c r="B167" s="7" t="str">
        <f>المدخلات!$F$4</f>
        <v>4:00–5:10 م</v>
      </c>
      <c r="C167" s="7">
        <v>6</v>
      </c>
      <c r="D167" s="7" t="s">
        <v>594</v>
      </c>
      <c r="E167" s="7" t="s">
        <v>1171</v>
      </c>
      <c r="F167" s="2"/>
    </row>
    <row r="168" spans="1:6" ht="14" customHeight="1">
      <c r="A168" s="8">
        <v>12</v>
      </c>
      <c r="B168" s="7" t="str">
        <f>المدخلات!$F$5</f>
        <v>5:20–6:30 م</v>
      </c>
      <c r="C168" s="7">
        <v>4</v>
      </c>
      <c r="D168" s="7" t="s">
        <v>594</v>
      </c>
      <c r="E168" s="7" t="s">
        <v>244</v>
      </c>
      <c r="F168" s="2"/>
    </row>
    <row r="169" spans="1:6" ht="14" customHeight="1">
      <c r="A169" s="8">
        <v>12</v>
      </c>
      <c r="B169" s="7" t="str">
        <f>المدخلات!$F$5</f>
        <v>5:20–6:30 م</v>
      </c>
      <c r="C169" s="7">
        <v>5</v>
      </c>
      <c r="D169" s="7" t="s">
        <v>594</v>
      </c>
      <c r="E169" s="7" t="s">
        <v>254</v>
      </c>
      <c r="F169" s="2"/>
    </row>
    <row r="170" spans="1:6" ht="14" customHeight="1">
      <c r="A170" s="8">
        <v>12</v>
      </c>
      <c r="B170" s="7" t="str">
        <f>المدخلات!$F$5</f>
        <v>5:20–6:30 م</v>
      </c>
      <c r="C170" s="7">
        <v>6</v>
      </c>
      <c r="D170" s="7" t="s">
        <v>594</v>
      </c>
      <c r="E170" s="7" t="s">
        <v>1170</v>
      </c>
      <c r="F170" s="2"/>
    </row>
    <row r="171" spans="1:6" ht="14" customHeight="1">
      <c r="A171" s="8">
        <v>12</v>
      </c>
      <c r="B171" s="7" t="str">
        <f>المدخلات!$F$6</f>
        <v>6:40–7:50 م</v>
      </c>
      <c r="C171" s="7">
        <v>4</v>
      </c>
      <c r="D171" s="7" t="s">
        <v>594</v>
      </c>
      <c r="E171" s="7" t="s">
        <v>167</v>
      </c>
      <c r="F171" s="2"/>
    </row>
    <row r="172" spans="1:6" ht="14" customHeight="1">
      <c r="A172" s="8">
        <v>13</v>
      </c>
      <c r="B172" s="7" t="str">
        <f>المدخلات!$F$4</f>
        <v>4:00–5:10 م</v>
      </c>
      <c r="C172" s="7">
        <v>1</v>
      </c>
      <c r="D172" s="7" t="s">
        <v>593</v>
      </c>
      <c r="E172" s="7" t="s">
        <v>1065</v>
      </c>
      <c r="F172" s="2"/>
    </row>
    <row r="173" spans="1:6" ht="14" customHeight="1">
      <c r="A173" s="8">
        <v>13</v>
      </c>
      <c r="B173" s="7" t="str">
        <f>المدخلات!$F$4</f>
        <v>4:00–5:10 م</v>
      </c>
      <c r="C173" s="7">
        <v>2</v>
      </c>
      <c r="D173" s="7" t="s">
        <v>593</v>
      </c>
      <c r="E173" s="7" t="s">
        <v>94</v>
      </c>
      <c r="F173" s="2"/>
    </row>
    <row r="174" spans="1:6" ht="14" customHeight="1">
      <c r="A174" s="8">
        <v>13</v>
      </c>
      <c r="B174" s="7" t="str">
        <f>المدخلات!$F$4</f>
        <v>4:00–5:10 م</v>
      </c>
      <c r="C174" s="7">
        <v>3</v>
      </c>
      <c r="D174" s="7" t="s">
        <v>593</v>
      </c>
      <c r="E174" s="7" t="s">
        <v>21</v>
      </c>
      <c r="F174" s="2"/>
    </row>
    <row r="175" spans="1:6" ht="14" customHeight="1">
      <c r="A175" s="8">
        <v>13</v>
      </c>
      <c r="B175" s="7" t="str">
        <f>المدخلات!$F$5</f>
        <v>5:20–6:30 م</v>
      </c>
      <c r="C175" s="7">
        <v>1</v>
      </c>
      <c r="D175" s="7" t="s">
        <v>593</v>
      </c>
      <c r="E175" s="7" t="s">
        <v>13</v>
      </c>
      <c r="F175" s="2"/>
    </row>
    <row r="176" spans="1:6" ht="14" customHeight="1">
      <c r="A176" s="8">
        <v>13</v>
      </c>
      <c r="B176" s="7" t="str">
        <f>المدخلات!$F$5</f>
        <v>5:20–6:30 م</v>
      </c>
      <c r="C176" s="7">
        <v>2</v>
      </c>
      <c r="D176" s="7" t="s">
        <v>593</v>
      </c>
      <c r="E176" s="7" t="s">
        <v>1043</v>
      </c>
      <c r="F176" s="2"/>
    </row>
    <row r="177" spans="1:6" ht="14" customHeight="1">
      <c r="A177" s="8">
        <v>13</v>
      </c>
      <c r="B177" s="7" t="str">
        <f>المدخلات!$F$5</f>
        <v>5:20–6:30 م</v>
      </c>
      <c r="C177" s="7">
        <v>3</v>
      </c>
      <c r="D177" s="7" t="s">
        <v>593</v>
      </c>
      <c r="E177" s="7" t="s">
        <v>135</v>
      </c>
      <c r="F177" s="2"/>
    </row>
    <row r="178" spans="1:6" ht="14" customHeight="1">
      <c r="A178" s="8">
        <v>13</v>
      </c>
      <c r="B178" s="7" t="str">
        <f>المدخلات!$F$6</f>
        <v>6:40–7:50 م</v>
      </c>
      <c r="C178" s="7">
        <v>1</v>
      </c>
      <c r="D178" s="7" t="s">
        <v>593</v>
      </c>
      <c r="E178" s="7" t="s">
        <v>72</v>
      </c>
      <c r="F178" s="2"/>
    </row>
    <row r="179" spans="1:6" ht="14" customHeight="1">
      <c r="A179" s="8">
        <v>13</v>
      </c>
      <c r="B179" s="7" t="str">
        <f>المدخلات!$F$4</f>
        <v>4:00–5:10 م</v>
      </c>
      <c r="C179" s="7">
        <v>4</v>
      </c>
      <c r="D179" s="7" t="s">
        <v>594</v>
      </c>
      <c r="E179" s="7" t="s">
        <v>1173</v>
      </c>
      <c r="F179" s="2"/>
    </row>
    <row r="180" spans="1:6" ht="14" customHeight="1">
      <c r="A180" s="8">
        <v>13</v>
      </c>
      <c r="B180" s="7" t="str">
        <f>المدخلات!$F$4</f>
        <v>4:00–5:10 م</v>
      </c>
      <c r="C180" s="7">
        <v>5</v>
      </c>
      <c r="D180" s="7" t="s">
        <v>594</v>
      </c>
      <c r="E180" s="7" t="s">
        <v>1172</v>
      </c>
      <c r="F180" s="2"/>
    </row>
    <row r="181" spans="1:6" ht="14" customHeight="1">
      <c r="A181" s="8">
        <v>13</v>
      </c>
      <c r="B181" s="7" t="str">
        <f>المدخلات!$F$4</f>
        <v>4:00–5:10 م</v>
      </c>
      <c r="C181" s="7">
        <v>6</v>
      </c>
      <c r="D181" s="7" t="s">
        <v>594</v>
      </c>
      <c r="E181" s="7" t="s">
        <v>234</v>
      </c>
      <c r="F181" s="2"/>
    </row>
    <row r="182" spans="1:6" ht="14" customHeight="1">
      <c r="A182" s="8">
        <v>13</v>
      </c>
      <c r="B182" s="7" t="str">
        <f>المدخلات!$F$5</f>
        <v>5:20–6:30 م</v>
      </c>
      <c r="C182" s="7">
        <v>4</v>
      </c>
      <c r="D182" s="7" t="s">
        <v>594</v>
      </c>
      <c r="E182" s="7" t="s">
        <v>151</v>
      </c>
      <c r="F182" s="2"/>
    </row>
    <row r="183" spans="1:6" ht="14" customHeight="1">
      <c r="A183" s="8">
        <v>13</v>
      </c>
      <c r="B183" s="7" t="str">
        <f>المدخلات!$F$5</f>
        <v>5:20–6:30 م</v>
      </c>
      <c r="C183" s="7">
        <v>5</v>
      </c>
      <c r="D183" s="7" t="s">
        <v>594</v>
      </c>
      <c r="E183" s="7" t="s">
        <v>1164</v>
      </c>
      <c r="F183" s="2"/>
    </row>
    <row r="184" spans="1:6" ht="14" customHeight="1">
      <c r="A184" s="8">
        <v>13</v>
      </c>
      <c r="B184" s="7" t="str">
        <f>المدخلات!$F$5</f>
        <v>5:20–6:30 م</v>
      </c>
      <c r="C184" s="7">
        <v>6</v>
      </c>
      <c r="D184" s="7" t="s">
        <v>594</v>
      </c>
      <c r="E184" s="7" t="s">
        <v>236</v>
      </c>
      <c r="F184" s="2"/>
    </row>
    <row r="185" spans="1:6" ht="14" customHeight="1">
      <c r="A185" s="8">
        <v>13</v>
      </c>
      <c r="B185" s="7" t="str">
        <f>المدخلات!$F$6</f>
        <v>6:40–7:50 م</v>
      </c>
      <c r="C185" s="7">
        <v>4</v>
      </c>
      <c r="D185" s="7" t="s">
        <v>594</v>
      </c>
      <c r="E185" s="7" t="s">
        <v>240</v>
      </c>
      <c r="F185" s="2"/>
    </row>
    <row r="186" spans="1:6" ht="14" customHeight="1">
      <c r="A186" s="8">
        <v>14</v>
      </c>
      <c r="B186" s="7" t="str">
        <f>المدخلات!$F$4</f>
        <v>4:00–5:10 م</v>
      </c>
      <c r="C186" s="7">
        <v>1</v>
      </c>
      <c r="D186" s="7" t="s">
        <v>593</v>
      </c>
      <c r="E186" s="7" t="s">
        <v>89</v>
      </c>
      <c r="F186" s="2"/>
    </row>
    <row r="187" spans="1:6" ht="14" customHeight="1">
      <c r="A187" s="8">
        <v>14</v>
      </c>
      <c r="B187" s="7" t="str">
        <f>المدخلات!$F$4</f>
        <v>4:00–5:10 م</v>
      </c>
      <c r="C187" s="7">
        <v>2</v>
      </c>
      <c r="D187" s="7" t="s">
        <v>593</v>
      </c>
      <c r="E187" s="7" t="s">
        <v>8</v>
      </c>
      <c r="F187" s="2"/>
    </row>
    <row r="188" spans="1:6" ht="14" customHeight="1">
      <c r="A188" s="8">
        <v>14</v>
      </c>
      <c r="B188" s="7" t="str">
        <f>المدخلات!$F$4</f>
        <v>4:00–5:10 م</v>
      </c>
      <c r="C188" s="7">
        <v>3</v>
      </c>
      <c r="D188" s="7" t="s">
        <v>593</v>
      </c>
      <c r="E188" s="7" t="s">
        <v>56</v>
      </c>
      <c r="F188" s="2"/>
    </row>
    <row r="189" spans="1:6" ht="14" customHeight="1">
      <c r="A189" s="8">
        <v>14</v>
      </c>
      <c r="B189" s="7" t="str">
        <f>المدخلات!$F$5</f>
        <v>5:20–6:30 م</v>
      </c>
      <c r="C189" s="7">
        <v>1</v>
      </c>
      <c r="D189" s="7" t="s">
        <v>593</v>
      </c>
      <c r="E189" s="7" t="s">
        <v>1087</v>
      </c>
      <c r="F189" s="2"/>
    </row>
    <row r="190" spans="1:6" ht="14" customHeight="1">
      <c r="A190" s="8">
        <v>14</v>
      </c>
      <c r="B190" s="7" t="str">
        <f>المدخلات!$F$5</f>
        <v>5:20–6:30 م</v>
      </c>
      <c r="C190" s="7">
        <v>2</v>
      </c>
      <c r="D190" s="7" t="s">
        <v>593</v>
      </c>
      <c r="E190" s="7" t="s">
        <v>14</v>
      </c>
      <c r="F190" s="2"/>
    </row>
    <row r="191" spans="1:6" ht="14" customHeight="1">
      <c r="A191" s="8">
        <v>14</v>
      </c>
      <c r="B191" s="7" t="str">
        <f>المدخلات!$F$5</f>
        <v>5:20–6:30 م</v>
      </c>
      <c r="C191" s="7">
        <v>3</v>
      </c>
      <c r="D191" s="7" t="s">
        <v>593</v>
      </c>
      <c r="E191" s="7" t="s">
        <v>67</v>
      </c>
      <c r="F191" s="2"/>
    </row>
    <row r="192" spans="1:6" ht="14" customHeight="1">
      <c r="A192" s="8">
        <v>14</v>
      </c>
      <c r="B192" s="7" t="str">
        <f>المدخلات!$F$6</f>
        <v>6:40–7:50 م</v>
      </c>
      <c r="C192" s="7">
        <v>1</v>
      </c>
      <c r="D192" s="7" t="s">
        <v>593</v>
      </c>
      <c r="E192" s="7" t="s">
        <v>138</v>
      </c>
      <c r="F192" s="2"/>
    </row>
    <row r="193" spans="1:6" ht="14" customHeight="1">
      <c r="A193" s="8">
        <v>14</v>
      </c>
      <c r="B193" s="7" t="str">
        <f>المدخلات!$F$4</f>
        <v>4:00–5:10 م</v>
      </c>
      <c r="C193" s="7">
        <v>4</v>
      </c>
      <c r="D193" s="7" t="s">
        <v>594</v>
      </c>
      <c r="E193" s="7" t="s">
        <v>247</v>
      </c>
      <c r="F193" s="2"/>
    </row>
    <row r="194" spans="1:6" ht="14" customHeight="1">
      <c r="A194" s="8">
        <v>14</v>
      </c>
      <c r="B194" s="7" t="str">
        <f>المدخلات!$F$4</f>
        <v>4:00–5:10 م</v>
      </c>
      <c r="C194" s="7">
        <v>5</v>
      </c>
      <c r="D194" s="7" t="s">
        <v>594</v>
      </c>
      <c r="E194" s="7" t="s">
        <v>1166</v>
      </c>
      <c r="F194" s="2"/>
    </row>
    <row r="195" spans="1:6" ht="14" customHeight="1">
      <c r="A195" s="8">
        <v>14</v>
      </c>
      <c r="B195" s="7" t="str">
        <f>المدخلات!$F$4</f>
        <v>4:00–5:10 م</v>
      </c>
      <c r="C195" s="7">
        <v>6</v>
      </c>
      <c r="D195" s="7" t="s">
        <v>594</v>
      </c>
      <c r="E195" s="7" t="s">
        <v>246</v>
      </c>
      <c r="F195" s="2"/>
    </row>
    <row r="196" spans="1:6" ht="14" customHeight="1">
      <c r="A196" s="8">
        <v>14</v>
      </c>
      <c r="B196" s="7" t="str">
        <f>المدخلات!$F$5</f>
        <v>5:20–6:30 م</v>
      </c>
      <c r="C196" s="7">
        <v>4</v>
      </c>
      <c r="D196" s="7" t="s">
        <v>594</v>
      </c>
      <c r="E196" s="7" t="s">
        <v>235</v>
      </c>
      <c r="F196" s="2"/>
    </row>
    <row r="197" spans="1:6" ht="14" customHeight="1">
      <c r="A197" s="8">
        <v>14</v>
      </c>
      <c r="B197" s="7" t="str">
        <f>المدخلات!$F$5</f>
        <v>5:20–6:30 م</v>
      </c>
      <c r="C197" s="7">
        <v>5</v>
      </c>
      <c r="D197" s="7" t="s">
        <v>594</v>
      </c>
      <c r="E197" s="7" t="s">
        <v>1175</v>
      </c>
      <c r="F197" s="2"/>
    </row>
    <row r="198" spans="1:6" ht="14" customHeight="1">
      <c r="A198" s="8">
        <v>14</v>
      </c>
      <c r="B198" s="7" t="str">
        <f>المدخلات!$F$5</f>
        <v>5:20–6:30 م</v>
      </c>
      <c r="C198" s="7">
        <v>6</v>
      </c>
      <c r="D198" s="7" t="s">
        <v>594</v>
      </c>
      <c r="E198" s="7" t="s">
        <v>230</v>
      </c>
      <c r="F198" s="2"/>
    </row>
    <row r="199" spans="1:6" ht="14" customHeight="1">
      <c r="A199" s="8">
        <v>14</v>
      </c>
      <c r="B199" s="7" t="str">
        <f>المدخلات!$F$6</f>
        <v>6:40–7:50 م</v>
      </c>
      <c r="C199" s="7">
        <v>4</v>
      </c>
      <c r="D199" s="7" t="s">
        <v>594</v>
      </c>
      <c r="E199" s="7" t="s">
        <v>1174</v>
      </c>
      <c r="F199" s="2"/>
    </row>
    <row r="200" spans="1:6" ht="14" customHeight="1">
      <c r="A200" s="8">
        <v>15</v>
      </c>
      <c r="B200" s="7" t="str">
        <f>المدخلات!$F$4</f>
        <v>4:00–5:10 م</v>
      </c>
      <c r="C200" s="7">
        <v>1</v>
      </c>
      <c r="D200" s="7" t="s">
        <v>593</v>
      </c>
      <c r="E200" s="7" t="s">
        <v>1096</v>
      </c>
      <c r="F200" s="2"/>
    </row>
    <row r="201" spans="1:6" ht="14" customHeight="1">
      <c r="A201" s="8">
        <v>15</v>
      </c>
      <c r="B201" s="7" t="str">
        <f>المدخلات!$F$4</f>
        <v>4:00–5:10 م</v>
      </c>
      <c r="C201" s="7">
        <v>2</v>
      </c>
      <c r="D201" s="7" t="s">
        <v>593</v>
      </c>
      <c r="E201" s="7" t="s">
        <v>46</v>
      </c>
      <c r="F201" s="2"/>
    </row>
    <row r="202" spans="1:6" ht="14" customHeight="1">
      <c r="A202" s="8">
        <v>15</v>
      </c>
      <c r="B202" s="7" t="str">
        <f>المدخلات!$F$4</f>
        <v>4:00–5:10 م</v>
      </c>
      <c r="C202" s="7">
        <v>3</v>
      </c>
      <c r="D202" s="7" t="s">
        <v>593</v>
      </c>
      <c r="E202" s="7" t="s">
        <v>142</v>
      </c>
      <c r="F202" s="2"/>
    </row>
    <row r="203" spans="1:6" ht="14" customHeight="1">
      <c r="A203" s="8">
        <v>15</v>
      </c>
      <c r="B203" s="7" t="str">
        <f>المدخلات!$F$5</f>
        <v>5:20–6:30 م</v>
      </c>
      <c r="C203" s="7">
        <v>1</v>
      </c>
      <c r="D203" s="7" t="s">
        <v>593</v>
      </c>
      <c r="E203" s="7" t="s">
        <v>1061</v>
      </c>
      <c r="F203" s="2"/>
    </row>
    <row r="204" spans="1:6" ht="14" customHeight="1">
      <c r="A204" s="8">
        <v>15</v>
      </c>
      <c r="B204" s="7" t="str">
        <f>المدخلات!$F$5</f>
        <v>5:20–6:30 م</v>
      </c>
      <c r="C204" s="7">
        <v>2</v>
      </c>
      <c r="D204" s="7" t="s">
        <v>593</v>
      </c>
      <c r="E204" s="7" t="s">
        <v>1098</v>
      </c>
      <c r="F204" s="2"/>
    </row>
    <row r="205" spans="1:6" ht="14" customHeight="1">
      <c r="A205" s="8">
        <v>15</v>
      </c>
      <c r="B205" s="7" t="str">
        <f>المدخلات!$F$5</f>
        <v>5:20–6:30 م</v>
      </c>
      <c r="C205" s="7">
        <v>3</v>
      </c>
      <c r="D205" s="7" t="s">
        <v>593</v>
      </c>
      <c r="E205" s="7" t="s">
        <v>63</v>
      </c>
      <c r="F205" s="2"/>
    </row>
    <row r="206" spans="1:6" ht="14" customHeight="1">
      <c r="A206" s="8">
        <v>15</v>
      </c>
      <c r="B206" s="7" t="str">
        <f>المدخلات!$F$6</f>
        <v>6:40–7:50 م</v>
      </c>
      <c r="C206" s="7">
        <v>1</v>
      </c>
      <c r="D206" s="7" t="s">
        <v>593</v>
      </c>
      <c r="E206" s="7" t="s">
        <v>11</v>
      </c>
      <c r="F206" s="2"/>
    </row>
    <row r="207" spans="1:6" ht="14" customHeight="1">
      <c r="A207" s="8">
        <v>15</v>
      </c>
      <c r="B207" s="7" t="str">
        <f>المدخلات!$F$4</f>
        <v>4:00–5:10 م</v>
      </c>
      <c r="C207" s="7">
        <v>4</v>
      </c>
      <c r="D207" s="7" t="s">
        <v>594</v>
      </c>
      <c r="E207" s="7" t="s">
        <v>1160</v>
      </c>
      <c r="F207" s="2"/>
    </row>
    <row r="208" spans="1:6" ht="14" customHeight="1">
      <c r="A208" s="8">
        <v>15</v>
      </c>
      <c r="B208" s="7" t="str">
        <f>المدخلات!$F$4</f>
        <v>4:00–5:10 م</v>
      </c>
      <c r="C208" s="7">
        <v>5</v>
      </c>
      <c r="D208" s="7" t="s">
        <v>594</v>
      </c>
      <c r="E208" s="7" t="s">
        <v>223</v>
      </c>
      <c r="F208" s="2"/>
    </row>
    <row r="209" spans="1:6" ht="14" customHeight="1">
      <c r="A209" s="8">
        <v>15</v>
      </c>
      <c r="B209" s="7" t="str">
        <f>المدخلات!$F$4</f>
        <v>4:00–5:10 م</v>
      </c>
      <c r="C209" s="7">
        <v>6</v>
      </c>
      <c r="D209" s="7" t="s">
        <v>594</v>
      </c>
      <c r="E209" s="7" t="s">
        <v>264</v>
      </c>
      <c r="F209" s="2"/>
    </row>
    <row r="210" spans="1:6" ht="14" customHeight="1">
      <c r="A210" s="8">
        <v>15</v>
      </c>
      <c r="B210" s="7" t="str">
        <f>المدخلات!$F$5</f>
        <v>5:20–6:30 م</v>
      </c>
      <c r="C210" s="7">
        <v>4</v>
      </c>
      <c r="D210" s="7" t="s">
        <v>594</v>
      </c>
      <c r="E210" s="7" t="s">
        <v>227</v>
      </c>
      <c r="F210" s="2"/>
    </row>
    <row r="211" spans="1:6" ht="14" customHeight="1">
      <c r="A211" s="8">
        <v>15</v>
      </c>
      <c r="B211" s="7" t="str">
        <f>المدخلات!$F$5</f>
        <v>5:20–6:30 م</v>
      </c>
      <c r="C211" s="7">
        <v>5</v>
      </c>
      <c r="D211" s="7" t="s">
        <v>594</v>
      </c>
      <c r="E211" s="7" t="s">
        <v>932</v>
      </c>
      <c r="F211" s="2"/>
    </row>
    <row r="212" spans="1:6" ht="14" customHeight="1">
      <c r="A212" s="8">
        <v>15</v>
      </c>
      <c r="B212" s="7" t="str">
        <f>المدخلات!$F$5</f>
        <v>5:20–6:30 م</v>
      </c>
      <c r="C212" s="7">
        <v>6</v>
      </c>
      <c r="D212" s="7" t="s">
        <v>594</v>
      </c>
      <c r="E212" s="7" t="s">
        <v>1152</v>
      </c>
      <c r="F212" s="2"/>
    </row>
    <row r="213" spans="1:6" ht="14" customHeight="1">
      <c r="A213" s="8">
        <v>15</v>
      </c>
      <c r="B213" s="7" t="str">
        <f>المدخلات!$F$6</f>
        <v>6:40–7:50 م</v>
      </c>
      <c r="C213" s="7">
        <v>4</v>
      </c>
      <c r="D213" s="7" t="s">
        <v>594</v>
      </c>
      <c r="E213" s="7" t="s">
        <v>231</v>
      </c>
      <c r="F213" s="2"/>
    </row>
    <row r="214" spans="1:6" ht="14" customHeight="1">
      <c r="A214" s="8">
        <v>16</v>
      </c>
      <c r="B214" s="7" t="str">
        <f>المدخلات!$F$4</f>
        <v>4:00–5:10 م</v>
      </c>
      <c r="C214" s="7">
        <v>1</v>
      </c>
      <c r="D214" s="7" t="s">
        <v>593</v>
      </c>
      <c r="E214" s="7" t="s">
        <v>41</v>
      </c>
      <c r="F214" s="2"/>
    </row>
    <row r="215" spans="1:6" ht="14" customHeight="1">
      <c r="A215" s="8">
        <v>16</v>
      </c>
      <c r="B215" s="7" t="str">
        <f>المدخلات!$F$4</f>
        <v>4:00–5:10 م</v>
      </c>
      <c r="C215" s="7">
        <v>2</v>
      </c>
      <c r="D215" s="7" t="s">
        <v>593</v>
      </c>
      <c r="E215" s="7" t="s">
        <v>1038</v>
      </c>
      <c r="F215" s="2"/>
    </row>
    <row r="216" spans="1:6" ht="14" customHeight="1">
      <c r="A216" s="8">
        <v>16</v>
      </c>
      <c r="B216" s="7" t="str">
        <f>المدخلات!$F$4</f>
        <v>4:00–5:10 م</v>
      </c>
      <c r="C216" s="7">
        <v>3</v>
      </c>
      <c r="D216" s="7" t="s">
        <v>593</v>
      </c>
      <c r="E216" s="7" t="s">
        <v>23</v>
      </c>
      <c r="F216" s="2"/>
    </row>
    <row r="217" spans="1:6" ht="14" customHeight="1">
      <c r="A217" s="8">
        <v>16</v>
      </c>
      <c r="B217" s="7" t="str">
        <f>المدخلات!$F$5</f>
        <v>5:20–6:30 م</v>
      </c>
      <c r="C217" s="7">
        <v>1</v>
      </c>
      <c r="D217" s="7" t="s">
        <v>593</v>
      </c>
      <c r="E217" s="7" t="s">
        <v>56</v>
      </c>
      <c r="F217" s="2"/>
    </row>
    <row r="218" spans="1:6" ht="14" customHeight="1">
      <c r="A218" s="8">
        <v>16</v>
      </c>
      <c r="B218" s="7" t="str">
        <f>المدخلات!$F$5</f>
        <v>5:20–6:30 م</v>
      </c>
      <c r="C218" s="7">
        <v>2</v>
      </c>
      <c r="D218" s="7" t="s">
        <v>593</v>
      </c>
      <c r="E218" s="7" t="s">
        <v>103</v>
      </c>
      <c r="F218" s="2"/>
    </row>
    <row r="219" spans="1:6" ht="14" customHeight="1">
      <c r="A219" s="8">
        <v>16</v>
      </c>
      <c r="B219" s="7" t="str">
        <f>المدخلات!$F$5</f>
        <v>5:20–6:30 م</v>
      </c>
      <c r="C219" s="7">
        <v>3</v>
      </c>
      <c r="D219" s="7" t="s">
        <v>593</v>
      </c>
      <c r="E219" s="7" t="s">
        <v>1089</v>
      </c>
      <c r="F219" s="2"/>
    </row>
    <row r="220" spans="1:6" ht="14" customHeight="1">
      <c r="A220" s="8">
        <v>16</v>
      </c>
      <c r="B220" s="7" t="str">
        <f>المدخلات!$F$6</f>
        <v>6:40–7:50 م</v>
      </c>
      <c r="C220" s="7">
        <v>1</v>
      </c>
      <c r="D220" s="7" t="s">
        <v>593</v>
      </c>
      <c r="E220" s="7" t="s">
        <v>92</v>
      </c>
      <c r="F220" s="2"/>
    </row>
    <row r="221" spans="1:6" ht="14" customHeight="1">
      <c r="A221" s="8">
        <v>16</v>
      </c>
      <c r="B221" s="7" t="str">
        <f>المدخلات!$F$4</f>
        <v>4:00–5:10 م</v>
      </c>
      <c r="C221" s="7">
        <v>4</v>
      </c>
      <c r="D221" s="7" t="s">
        <v>594</v>
      </c>
      <c r="E221" s="7" t="s">
        <v>225</v>
      </c>
      <c r="F221" s="2"/>
    </row>
    <row r="222" spans="1:6" ht="14" customHeight="1">
      <c r="A222" s="8">
        <v>16</v>
      </c>
      <c r="B222" s="7" t="str">
        <f>المدخلات!$F$4</f>
        <v>4:00–5:10 م</v>
      </c>
      <c r="C222" s="7">
        <v>5</v>
      </c>
      <c r="D222" s="7" t="s">
        <v>594</v>
      </c>
      <c r="E222" s="7" t="s">
        <v>211</v>
      </c>
      <c r="F222" s="2"/>
    </row>
    <row r="223" spans="1:6" ht="14" customHeight="1">
      <c r="A223" s="8">
        <v>16</v>
      </c>
      <c r="B223" s="7" t="str">
        <f>المدخلات!$F$4</f>
        <v>4:00–5:10 م</v>
      </c>
      <c r="C223" s="7">
        <v>6</v>
      </c>
      <c r="D223" s="7" t="s">
        <v>594</v>
      </c>
      <c r="E223" s="7" t="s">
        <v>258</v>
      </c>
      <c r="F223" s="2"/>
    </row>
    <row r="224" spans="1:6" ht="14" customHeight="1">
      <c r="A224" s="8">
        <v>16</v>
      </c>
      <c r="B224" s="7" t="str">
        <f>المدخلات!$F$5</f>
        <v>5:20–6:30 م</v>
      </c>
      <c r="C224" s="7">
        <v>4</v>
      </c>
      <c r="D224" s="7" t="s">
        <v>594</v>
      </c>
      <c r="E224" s="7" t="s">
        <v>266</v>
      </c>
      <c r="F224" s="2"/>
    </row>
    <row r="225" spans="1:6" ht="14" customHeight="1">
      <c r="A225" s="8">
        <v>16</v>
      </c>
      <c r="B225" s="7" t="str">
        <f>المدخلات!$F$5</f>
        <v>5:20–6:30 م</v>
      </c>
      <c r="C225" s="7">
        <v>5</v>
      </c>
      <c r="D225" s="7" t="s">
        <v>594</v>
      </c>
      <c r="E225" s="7" t="s">
        <v>196</v>
      </c>
      <c r="F225" s="2"/>
    </row>
    <row r="226" spans="1:6" ht="14" customHeight="1">
      <c r="A226" s="8">
        <v>16</v>
      </c>
      <c r="B226" s="7" t="str">
        <f>المدخلات!$F$5</f>
        <v>5:20–6:30 م</v>
      </c>
      <c r="C226" s="7">
        <v>6</v>
      </c>
      <c r="D226" s="7" t="s">
        <v>594</v>
      </c>
      <c r="E226" s="7" t="s">
        <v>871</v>
      </c>
      <c r="F226" s="2"/>
    </row>
    <row r="227" spans="1:6" ht="14" customHeight="1">
      <c r="A227" s="8">
        <v>16</v>
      </c>
      <c r="B227" s="7" t="str">
        <f>المدخلات!$F$6</f>
        <v>6:40–7:50 م</v>
      </c>
      <c r="C227" s="7">
        <v>4</v>
      </c>
      <c r="D227" s="7" t="s">
        <v>594</v>
      </c>
      <c r="E227" s="7" t="s">
        <v>248</v>
      </c>
      <c r="F227" s="2"/>
    </row>
    <row r="228" spans="1:6" ht="14" customHeight="1">
      <c r="A228" s="8">
        <v>17</v>
      </c>
      <c r="B228" s="7" t="str">
        <f>المدخلات!$F$4</f>
        <v>4:00–5:10 م</v>
      </c>
      <c r="C228" s="7">
        <v>1</v>
      </c>
      <c r="D228" s="7" t="s">
        <v>593</v>
      </c>
      <c r="E228" s="7" t="s">
        <v>648</v>
      </c>
      <c r="F228" s="2"/>
    </row>
    <row r="229" spans="1:6" ht="14" customHeight="1">
      <c r="A229" s="8">
        <v>17</v>
      </c>
      <c r="B229" s="7" t="str">
        <f>المدخلات!$F$4</f>
        <v>4:00–5:10 م</v>
      </c>
      <c r="C229" s="7">
        <v>2</v>
      </c>
      <c r="D229" s="7" t="s">
        <v>593</v>
      </c>
      <c r="E229" s="7" t="s">
        <v>885</v>
      </c>
      <c r="F229" s="2"/>
    </row>
    <row r="230" spans="1:6" ht="14" customHeight="1">
      <c r="A230" s="8">
        <v>17</v>
      </c>
      <c r="B230" s="7" t="str">
        <f>المدخلات!$F$4</f>
        <v>4:00–5:10 م</v>
      </c>
      <c r="C230" s="7">
        <v>3</v>
      </c>
      <c r="D230" s="7" t="s">
        <v>593</v>
      </c>
      <c r="E230" s="7" t="s">
        <v>633</v>
      </c>
      <c r="F230" s="2"/>
    </row>
    <row r="231" spans="1:6" ht="14" customHeight="1">
      <c r="A231" s="8">
        <v>17</v>
      </c>
      <c r="B231" s="7" t="str">
        <f>المدخلات!$F$5</f>
        <v>5:20–6:30 م</v>
      </c>
      <c r="C231" s="7">
        <v>1</v>
      </c>
      <c r="D231" s="7" t="s">
        <v>593</v>
      </c>
      <c r="E231" s="7" t="s">
        <v>635</v>
      </c>
      <c r="F231" s="2"/>
    </row>
    <row r="232" spans="1:6" ht="14" customHeight="1">
      <c r="A232" s="8">
        <v>17</v>
      </c>
      <c r="B232" s="7" t="str">
        <f>المدخلات!$F$5</f>
        <v>5:20–6:30 م</v>
      </c>
      <c r="C232" s="7">
        <v>2</v>
      </c>
      <c r="D232" s="7" t="s">
        <v>593</v>
      </c>
      <c r="E232" s="7" t="s">
        <v>42</v>
      </c>
      <c r="F232" s="2"/>
    </row>
    <row r="233" spans="1:6" ht="14" customHeight="1">
      <c r="A233" s="8">
        <v>17</v>
      </c>
      <c r="B233" s="7" t="str">
        <f>المدخلات!$F$5</f>
        <v>5:20–6:30 م</v>
      </c>
      <c r="C233" s="7">
        <v>3</v>
      </c>
      <c r="D233" s="7" t="s">
        <v>593</v>
      </c>
      <c r="E233" s="7" t="s">
        <v>647</v>
      </c>
      <c r="F233" s="2"/>
    </row>
    <row r="234" spans="1:6" ht="14" customHeight="1">
      <c r="A234" s="8">
        <v>17</v>
      </c>
      <c r="B234" s="7" t="str">
        <f>المدخلات!$F$6</f>
        <v>6:40–7:50 م</v>
      </c>
      <c r="C234" s="7">
        <v>1</v>
      </c>
      <c r="D234" s="7" t="s">
        <v>593</v>
      </c>
      <c r="E234" s="7" t="s">
        <v>28</v>
      </c>
      <c r="F234" s="2"/>
    </row>
    <row r="235" spans="1:6" ht="14" customHeight="1">
      <c r="A235" s="8">
        <v>17</v>
      </c>
      <c r="B235" s="7" t="str">
        <f>المدخلات!$F$4</f>
        <v>4:00–5:10 م</v>
      </c>
      <c r="C235" s="7">
        <v>4</v>
      </c>
      <c r="D235" s="7" t="s">
        <v>594</v>
      </c>
      <c r="E235" s="7" t="s">
        <v>249</v>
      </c>
      <c r="F235" s="2"/>
    </row>
    <row r="236" spans="1:6" ht="14" customHeight="1">
      <c r="A236" s="8">
        <v>17</v>
      </c>
      <c r="B236" s="7" t="str">
        <f>المدخلات!$F$4</f>
        <v>4:00–5:10 م</v>
      </c>
      <c r="C236" s="7">
        <v>5</v>
      </c>
      <c r="D236" s="7" t="s">
        <v>594</v>
      </c>
      <c r="E236" s="7" t="s">
        <v>862</v>
      </c>
      <c r="F236" s="2"/>
    </row>
    <row r="237" spans="1:6" ht="14" customHeight="1">
      <c r="A237" s="8">
        <v>17</v>
      </c>
      <c r="B237" s="7" t="str">
        <f>المدخلات!$F$4</f>
        <v>4:00–5:10 م</v>
      </c>
      <c r="C237" s="7">
        <v>6</v>
      </c>
      <c r="D237" s="7" t="s">
        <v>594</v>
      </c>
      <c r="E237" s="7" t="s">
        <v>197</v>
      </c>
      <c r="F237" s="2"/>
    </row>
    <row r="238" spans="1:6" ht="14" customHeight="1">
      <c r="A238" s="8">
        <v>17</v>
      </c>
      <c r="B238" s="7" t="str">
        <f>المدخلات!$F$5</f>
        <v>5:20–6:30 م</v>
      </c>
      <c r="C238" s="7">
        <v>4</v>
      </c>
      <c r="D238" s="7" t="s">
        <v>594</v>
      </c>
      <c r="E238" s="7" t="s">
        <v>177</v>
      </c>
      <c r="F238" s="2"/>
    </row>
    <row r="239" spans="1:6" ht="14" customHeight="1">
      <c r="A239" s="8">
        <v>17</v>
      </c>
      <c r="B239" s="7" t="str">
        <f>المدخلات!$F$5</f>
        <v>5:20–6:30 م</v>
      </c>
      <c r="C239" s="7">
        <v>5</v>
      </c>
      <c r="D239" s="7" t="s">
        <v>594</v>
      </c>
      <c r="E239" s="7" t="s">
        <v>773</v>
      </c>
      <c r="F239" s="2"/>
    </row>
    <row r="240" spans="1:6" ht="14" customHeight="1">
      <c r="A240" s="8">
        <v>17</v>
      </c>
      <c r="B240" s="7" t="str">
        <f>المدخلات!$F$5</f>
        <v>5:20–6:30 م</v>
      </c>
      <c r="C240" s="7">
        <v>6</v>
      </c>
      <c r="D240" s="7" t="s">
        <v>594</v>
      </c>
      <c r="E240" s="7" t="s">
        <v>241</v>
      </c>
      <c r="F240" s="2"/>
    </row>
    <row r="241" spans="1:6" ht="14" customHeight="1">
      <c r="A241" s="8">
        <v>17</v>
      </c>
      <c r="B241" s="7" t="str">
        <f>المدخلات!$F$6</f>
        <v>6:40–7:50 م</v>
      </c>
      <c r="C241" s="7">
        <v>4</v>
      </c>
      <c r="D241" s="7" t="s">
        <v>594</v>
      </c>
      <c r="E241" s="7" t="s">
        <v>256</v>
      </c>
      <c r="F241" s="2"/>
    </row>
    <row r="242" spans="1:6" ht="14" customHeight="1">
      <c r="A242" s="8">
        <v>18</v>
      </c>
      <c r="B242" s="7" t="str">
        <f>المدخلات!$F$4</f>
        <v>4:00–5:10 م</v>
      </c>
      <c r="C242" s="7">
        <v>1</v>
      </c>
      <c r="D242" s="7" t="s">
        <v>593</v>
      </c>
      <c r="E242" s="7" t="s">
        <v>30</v>
      </c>
      <c r="F242" s="2"/>
    </row>
    <row r="243" spans="1:6" ht="14" customHeight="1">
      <c r="A243" s="8">
        <v>18</v>
      </c>
      <c r="B243" s="7" t="str">
        <f>المدخلات!$F$4</f>
        <v>4:00–5:10 م</v>
      </c>
      <c r="C243" s="7">
        <v>2</v>
      </c>
      <c r="D243" s="7" t="s">
        <v>593</v>
      </c>
      <c r="E243" s="7" t="s">
        <v>19</v>
      </c>
      <c r="F243" s="2"/>
    </row>
    <row r="244" spans="1:6" ht="14" customHeight="1">
      <c r="A244" s="8">
        <v>18</v>
      </c>
      <c r="B244" s="7" t="str">
        <f>المدخلات!$F$4</f>
        <v>4:00–5:10 م</v>
      </c>
      <c r="C244" s="7">
        <v>3</v>
      </c>
      <c r="D244" s="7" t="s">
        <v>593</v>
      </c>
      <c r="E244" s="7" t="s">
        <v>46</v>
      </c>
      <c r="F244" s="2"/>
    </row>
    <row r="245" spans="1:6" ht="14" customHeight="1">
      <c r="A245" s="8">
        <v>18</v>
      </c>
      <c r="B245" s="7" t="str">
        <f>المدخلات!$F$5</f>
        <v>5:20–6:30 م</v>
      </c>
      <c r="C245" s="7">
        <v>1</v>
      </c>
      <c r="D245" s="7" t="s">
        <v>593</v>
      </c>
      <c r="E245" s="7" t="s">
        <v>16</v>
      </c>
      <c r="F245" s="2"/>
    </row>
    <row r="246" spans="1:6" ht="14" customHeight="1">
      <c r="A246" s="8">
        <v>18</v>
      </c>
      <c r="B246" s="7" t="str">
        <f>المدخلات!$F$5</f>
        <v>5:20–6:30 م</v>
      </c>
      <c r="C246" s="7">
        <v>2</v>
      </c>
      <c r="D246" s="7" t="s">
        <v>593</v>
      </c>
      <c r="E246" s="7" t="s">
        <v>98</v>
      </c>
      <c r="F246" s="2"/>
    </row>
    <row r="247" spans="1:6" ht="14" customHeight="1">
      <c r="A247" s="8">
        <v>18</v>
      </c>
      <c r="B247" s="7" t="str">
        <f>المدخلات!$F$5</f>
        <v>5:20–6:30 م</v>
      </c>
      <c r="C247" s="7">
        <v>3</v>
      </c>
      <c r="D247" s="7" t="s">
        <v>593</v>
      </c>
      <c r="E247" s="7" t="s">
        <v>72</v>
      </c>
      <c r="F247" s="2"/>
    </row>
    <row r="248" spans="1:6" ht="14" customHeight="1">
      <c r="A248" s="8">
        <v>18</v>
      </c>
      <c r="B248" s="7" t="str">
        <f>المدخلات!$F$6</f>
        <v>6:40–7:50 م</v>
      </c>
      <c r="C248" s="7">
        <v>1</v>
      </c>
      <c r="D248" s="7" t="s">
        <v>593</v>
      </c>
      <c r="E248" s="7" t="s">
        <v>1037</v>
      </c>
      <c r="F248" s="2"/>
    </row>
    <row r="249" spans="1:6" ht="14" customHeight="1">
      <c r="A249" s="8">
        <v>18</v>
      </c>
      <c r="B249" s="7" t="str">
        <f>المدخلات!$F$4</f>
        <v>4:00–5:10 م</v>
      </c>
      <c r="C249" s="7">
        <v>4</v>
      </c>
      <c r="D249" s="7" t="s">
        <v>594</v>
      </c>
      <c r="E249" s="7" t="s">
        <v>257</v>
      </c>
      <c r="F249" s="2"/>
    </row>
    <row r="250" spans="1:6" ht="14" customHeight="1">
      <c r="A250" s="8">
        <v>18</v>
      </c>
      <c r="B250" s="7" t="str">
        <f>المدخلات!$F$4</f>
        <v>4:00–5:10 م</v>
      </c>
      <c r="C250" s="7">
        <v>5</v>
      </c>
      <c r="D250" s="7" t="s">
        <v>594</v>
      </c>
      <c r="E250" s="7" t="s">
        <v>224</v>
      </c>
      <c r="F250" s="2"/>
    </row>
    <row r="251" spans="1:6" ht="14" customHeight="1">
      <c r="A251" s="8">
        <v>18</v>
      </c>
      <c r="B251" s="7" t="str">
        <f>المدخلات!$F$4</f>
        <v>4:00–5:10 م</v>
      </c>
      <c r="C251" s="7">
        <v>6</v>
      </c>
      <c r="D251" s="7" t="s">
        <v>594</v>
      </c>
      <c r="E251" s="7" t="s">
        <v>328</v>
      </c>
      <c r="F251" s="2"/>
    </row>
    <row r="252" spans="1:6" ht="14" customHeight="1">
      <c r="A252" s="8">
        <v>18</v>
      </c>
      <c r="B252" s="7" t="str">
        <f>المدخلات!$F$5</f>
        <v>5:20–6:30 م</v>
      </c>
      <c r="C252" s="7">
        <v>4</v>
      </c>
      <c r="D252" s="7" t="s">
        <v>594</v>
      </c>
      <c r="E252" s="7" t="s">
        <v>265</v>
      </c>
      <c r="F252" s="2"/>
    </row>
    <row r="253" spans="1:6" ht="14" customHeight="1">
      <c r="A253" s="8">
        <v>18</v>
      </c>
      <c r="B253" s="7" t="str">
        <f>المدخلات!$F$5</f>
        <v>5:20–6:30 م</v>
      </c>
      <c r="C253" s="7">
        <v>5</v>
      </c>
      <c r="D253" s="7" t="s">
        <v>594</v>
      </c>
      <c r="E253" s="7" t="s">
        <v>877</v>
      </c>
      <c r="F253" s="2"/>
    </row>
    <row r="254" spans="1:6" ht="14" customHeight="1">
      <c r="A254" s="8">
        <v>18</v>
      </c>
      <c r="B254" s="7" t="str">
        <f>المدخلات!$F$5</f>
        <v>5:20–6:30 م</v>
      </c>
      <c r="C254" s="7">
        <v>6</v>
      </c>
      <c r="D254" s="7" t="s">
        <v>594</v>
      </c>
      <c r="E254" s="7" t="s">
        <v>588</v>
      </c>
      <c r="F254" s="2"/>
    </row>
    <row r="255" spans="1:6" ht="14" customHeight="1">
      <c r="A255" s="8">
        <v>18</v>
      </c>
      <c r="B255" s="7" t="str">
        <f>المدخلات!$F$6</f>
        <v>6:40–7:50 م</v>
      </c>
      <c r="C255" s="7">
        <v>4</v>
      </c>
      <c r="D255" s="7" t="s">
        <v>594</v>
      </c>
      <c r="E255" s="7" t="s">
        <v>210</v>
      </c>
      <c r="F255" s="2"/>
    </row>
    <row r="256" spans="1:6" ht="14" customHeight="1">
      <c r="A256" s="8">
        <v>19</v>
      </c>
      <c r="B256" s="7" t="str">
        <f>المدخلات!$F$4</f>
        <v>4:00–5:10 م</v>
      </c>
      <c r="C256" s="7">
        <v>1</v>
      </c>
      <c r="D256" s="7" t="s">
        <v>593</v>
      </c>
      <c r="E256" s="7" t="s">
        <v>624</v>
      </c>
      <c r="F256" s="2"/>
    </row>
    <row r="257" spans="1:30" ht="14" customHeight="1">
      <c r="A257" s="8">
        <v>19</v>
      </c>
      <c r="B257" s="7" t="str">
        <f>المدخلات!$F$4</f>
        <v>4:00–5:10 م</v>
      </c>
      <c r="C257" s="7">
        <v>2</v>
      </c>
      <c r="D257" s="7" t="s">
        <v>593</v>
      </c>
      <c r="E257" s="7" t="s">
        <v>102</v>
      </c>
      <c r="F257" s="2"/>
    </row>
    <row r="258" spans="1:30" ht="14" customHeight="1">
      <c r="A258" s="8">
        <v>19</v>
      </c>
      <c r="B258" s="7" t="str">
        <f>المدخلات!$F$4</f>
        <v>4:00–5:10 م</v>
      </c>
      <c r="C258" s="7">
        <v>3</v>
      </c>
      <c r="D258" s="7" t="s">
        <v>593</v>
      </c>
      <c r="E258" s="7" t="s">
        <v>45</v>
      </c>
      <c r="F258" s="2"/>
    </row>
    <row r="259" spans="1:30" ht="14" customHeight="1">
      <c r="A259" s="8">
        <v>19</v>
      </c>
      <c r="B259" s="7" t="str">
        <f>المدخلات!$F$5</f>
        <v>5:20–6:30 م</v>
      </c>
      <c r="C259" s="7">
        <v>1</v>
      </c>
      <c r="D259" s="7" t="s">
        <v>593</v>
      </c>
      <c r="E259" s="7" t="s">
        <v>8</v>
      </c>
      <c r="F259" s="2"/>
    </row>
    <row r="260" spans="1:30" ht="14" customHeight="1">
      <c r="A260" s="8">
        <v>19</v>
      </c>
      <c r="B260" s="7" t="str">
        <f>المدخلات!$F$5</f>
        <v>5:20–6:30 م</v>
      </c>
      <c r="C260" s="7">
        <v>2</v>
      </c>
      <c r="D260" s="7" t="s">
        <v>593</v>
      </c>
      <c r="E260" s="7" t="s">
        <v>9</v>
      </c>
      <c r="F260" s="2"/>
    </row>
    <row r="261" spans="1:30" ht="14" customHeight="1">
      <c r="A261" s="8">
        <v>19</v>
      </c>
      <c r="B261" s="7" t="str">
        <f>المدخلات!$F$5</f>
        <v>5:20–6:30 م</v>
      </c>
      <c r="C261" s="7">
        <v>3</v>
      </c>
      <c r="D261" s="7" t="s">
        <v>593</v>
      </c>
      <c r="E261" s="7" t="s">
        <v>24</v>
      </c>
      <c r="F261" s="2"/>
    </row>
    <row r="262" spans="1:30" ht="14" customHeight="1">
      <c r="A262" s="8">
        <v>19</v>
      </c>
      <c r="B262" s="7" t="str">
        <f>المدخلات!$F$6</f>
        <v>6:40–7:50 م</v>
      </c>
      <c r="C262" s="7">
        <v>1</v>
      </c>
      <c r="D262" s="7" t="s">
        <v>593</v>
      </c>
      <c r="E262" s="7" t="s">
        <v>721</v>
      </c>
      <c r="F262" s="2"/>
    </row>
    <row r="263" spans="1:30" ht="14" customHeight="1">
      <c r="A263" s="8">
        <v>20</v>
      </c>
      <c r="B263" s="7" t="str">
        <f>المدخلات!$F$4</f>
        <v>4:00–5:10 م</v>
      </c>
      <c r="C263" s="7">
        <v>1</v>
      </c>
      <c r="D263" s="7" t="s">
        <v>593</v>
      </c>
      <c r="E263" s="7" t="s">
        <v>886</v>
      </c>
      <c r="F263" s="2"/>
    </row>
    <row r="264" spans="1:30" ht="14" customHeight="1">
      <c r="A264" s="8">
        <v>20</v>
      </c>
      <c r="B264" s="7" t="str">
        <f>المدخلات!$F$4</f>
        <v>4:00–5:10 م</v>
      </c>
      <c r="C264" s="7">
        <v>2</v>
      </c>
      <c r="D264" s="7" t="s">
        <v>593</v>
      </c>
      <c r="E264" s="7" t="s">
        <v>887</v>
      </c>
      <c r="F264" s="2"/>
    </row>
    <row r="265" spans="1:30" ht="14" customHeight="1">
      <c r="A265" s="8">
        <v>21</v>
      </c>
      <c r="B265" s="7" t="str">
        <f>المدخلات!$F$4</f>
        <v>4:00–5:10 م</v>
      </c>
      <c r="C265" s="7">
        <v>1</v>
      </c>
      <c r="D265" s="7" t="s">
        <v>656</v>
      </c>
      <c r="E265" s="7" t="s">
        <v>597</v>
      </c>
      <c r="F265" s="2"/>
    </row>
    <row r="266" spans="1:30">
      <c r="A266" s="2"/>
      <c r="B266" s="2"/>
      <c r="C266" s="2"/>
      <c r="D266" s="2"/>
      <c r="E266" s="2"/>
    </row>
    <row r="267" spans="1:30">
      <c r="A267" s="2"/>
      <c r="B267" s="2"/>
      <c r="C267" s="2"/>
      <c r="D267" s="2"/>
      <c r="E267" s="2"/>
    </row>
    <row r="268" spans="1:30" ht="14.5">
      <c r="A268" s="17" t="s">
        <v>828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 spans="1:30" ht="14.5">
      <c r="A269" s="6" t="s">
        <v>829</v>
      </c>
      <c r="B269" s="6">
        <v>1</v>
      </c>
      <c r="C269" s="6">
        <v>2</v>
      </c>
      <c r="D269" s="6">
        <v>3</v>
      </c>
      <c r="E269" s="6">
        <v>4</v>
      </c>
      <c r="F269" s="6">
        <v>5</v>
      </c>
      <c r="G269" s="6">
        <v>6</v>
      </c>
      <c r="H269" s="6">
        <v>7</v>
      </c>
      <c r="I269" s="6">
        <v>8</v>
      </c>
      <c r="J269" s="6">
        <v>9</v>
      </c>
      <c r="K269" s="6">
        <v>10</v>
      </c>
      <c r="L269" s="6">
        <v>11</v>
      </c>
      <c r="M269" s="6">
        <v>12</v>
      </c>
      <c r="N269" s="6">
        <v>13</v>
      </c>
      <c r="O269" s="6">
        <v>14</v>
      </c>
      <c r="P269" s="6">
        <v>15</v>
      </c>
      <c r="Q269" s="6">
        <v>16</v>
      </c>
      <c r="R269" s="6">
        <v>17</v>
      </c>
      <c r="S269" s="6">
        <v>18</v>
      </c>
      <c r="T269" s="6">
        <v>19</v>
      </c>
      <c r="U269" s="6">
        <v>20</v>
      </c>
      <c r="V269" s="6">
        <v>21</v>
      </c>
      <c r="W269" s="6">
        <v>22</v>
      </c>
      <c r="X269" s="6">
        <v>23</v>
      </c>
      <c r="Y269" s="6">
        <v>24</v>
      </c>
      <c r="Z269" s="6">
        <v>25</v>
      </c>
      <c r="AA269" s="6">
        <v>26</v>
      </c>
      <c r="AB269" s="6">
        <v>27</v>
      </c>
      <c r="AC269" s="6">
        <v>28</v>
      </c>
      <c r="AD269" s="6">
        <v>29</v>
      </c>
    </row>
    <row r="270" spans="1:30" ht="14.5">
      <c r="A270" s="14">
        <v>1</v>
      </c>
      <c r="B270" s="4" t="str">
        <f>IF($A270=B$269,"",COUNTIF($E$4:$E$265,$A270&amp;" ضد "&amp;B$269)+COUNTIF($E$4:$E$265,B$269&amp;" ضد "&amp;$A270))</f>
        <v/>
      </c>
      <c r="C270" s="4">
        <f>IF($A270=C$269,"",COUNTIF($E$4:$E$265,$A270&amp;" ضد "&amp;C$269)+COUNTIF($E$4:$E$265,C$269&amp;" ضد "&amp;$A270))</f>
        <v>2</v>
      </c>
      <c r="D270" s="4">
        <f>IF($A270=D$269,"",COUNTIF($E$4:$E$265,$A270&amp;" ضد "&amp;D$269)+COUNTIF($E$4:$E$265,D$269&amp;" ضد "&amp;$A270))</f>
        <v>2</v>
      </c>
      <c r="E270" s="4">
        <f>IF($A270=E$269,"",COUNTIF($E$4:$E$265,$A270&amp;" ضد "&amp;E$269)+COUNTIF($E$4:$E$265,E$269&amp;" ضد "&amp;$A270))</f>
        <v>1</v>
      </c>
      <c r="F270" s="4">
        <f>IF($A270=F$269,"",COUNTIF($E$4:$E$265,$A270&amp;" ضد "&amp;F$269)+COUNTIF($E$4:$E$265,F$269&amp;" ضد "&amp;$A270))</f>
        <v>1</v>
      </c>
      <c r="G270" s="4">
        <f>IF($A270=G$269,"",COUNTIF($E$4:$E$265,$A270&amp;" ضد "&amp;G$269)+COUNTIF($E$4:$E$265,G$269&amp;" ضد "&amp;$A270))</f>
        <v>1</v>
      </c>
      <c r="H270" s="4">
        <f>IF($A270=H$269,"",COUNTIF($E$4:$E$265,$A270&amp;" ضد "&amp;H$269)+COUNTIF($E$4:$E$265,H$269&amp;" ضد "&amp;$A270))</f>
        <v>1</v>
      </c>
      <c r="I270" s="4">
        <f>IF($A270=I$269,"",COUNTIF($E$4:$E$265,$A270&amp;" ضد "&amp;I$269)+COUNTIF($E$4:$E$265,I$269&amp;" ضد "&amp;$A270))</f>
        <v>1</v>
      </c>
      <c r="J270" s="4">
        <f>IF($A270=J$269,"",COUNTIF($E$4:$E$265,$A270&amp;" ضد "&amp;J$269)+COUNTIF($E$4:$E$265,J$269&amp;" ضد "&amp;$A270))</f>
        <v>1</v>
      </c>
      <c r="K270" s="4">
        <f>IF($A270=K$269,"",COUNTIF($E$4:$E$265,$A270&amp;" ضد "&amp;K$269)+COUNTIF($E$4:$E$265,K$269&amp;" ضد "&amp;$A270))</f>
        <v>1</v>
      </c>
      <c r="L270" s="4">
        <f>IF($A270=L$269,"",COUNTIF($E$4:$E$265,$A270&amp;" ضد "&amp;L$269)+COUNTIF($E$4:$E$265,L$269&amp;" ضد "&amp;$A270))</f>
        <v>1</v>
      </c>
      <c r="M270" s="4">
        <f>IF($A270=M$269,"",COUNTIF($E$4:$E$265,$A270&amp;" ضد "&amp;M$269)+COUNTIF($E$4:$E$265,M$269&amp;" ضد "&amp;$A270))</f>
        <v>1</v>
      </c>
      <c r="N270" s="4">
        <f>IF($A270=N$269,"",COUNTIF($E$4:$E$265,$A270&amp;" ضد "&amp;N$269)+COUNTIF($E$4:$E$265,N$269&amp;" ضد "&amp;$A270))</f>
        <v>1</v>
      </c>
      <c r="O270" s="4">
        <f>IF($A270=O$269,"",COUNTIF($E$4:$E$265,$A270&amp;" ضد "&amp;O$269)+COUNTIF($E$4:$E$265,O$269&amp;" ضد "&amp;$A270))</f>
        <v>2</v>
      </c>
      <c r="P270" s="4">
        <f>IF($A270=P$269,"",COUNTIF($E$4:$E$265,$A270&amp;" ضد "&amp;P$269)+COUNTIF($E$4:$E$265,P$269&amp;" ضد "&amp;$A270))</f>
        <v>2</v>
      </c>
      <c r="Q270" s="4">
        <f>IF($A270=Q$269,"",COUNTIF($E$4:$E$265,$A270&amp;" ضد "&amp;Q$269)+COUNTIF($E$4:$E$265,Q$269&amp;" ضد "&amp;$A270))</f>
        <v>0</v>
      </c>
      <c r="R270" s="4">
        <f>IF($A270=R$269,"",COUNTIF($E$4:$E$265,$A270&amp;" ضد "&amp;R$269)+COUNTIF($E$4:$E$265,R$269&amp;" ضد "&amp;$A270))</f>
        <v>0</v>
      </c>
      <c r="S270" s="4">
        <f>IF($A270=S$269,"",COUNTIF($E$4:$E$265,$A270&amp;" ضد "&amp;S$269)+COUNTIF($E$4:$E$265,S$269&amp;" ضد "&amp;$A270))</f>
        <v>0</v>
      </c>
      <c r="T270" s="4">
        <f>IF($A270=T$269,"",COUNTIF($E$4:$E$265,$A270&amp;" ضد "&amp;T$269)+COUNTIF($E$4:$E$265,T$269&amp;" ضد "&amp;$A270))</f>
        <v>0</v>
      </c>
      <c r="U270" s="4">
        <f>IF($A270=U$269,"",COUNTIF($E$4:$E$265,$A270&amp;" ضد "&amp;U$269)+COUNTIF($E$4:$E$265,U$269&amp;" ضد "&amp;$A270))</f>
        <v>0</v>
      </c>
      <c r="V270" s="4">
        <f>IF($A270=V$269,"",COUNTIF($E$4:$E$265,$A270&amp;" ضد "&amp;V$269)+COUNTIF($E$4:$E$265,V$269&amp;" ضد "&amp;$A270))</f>
        <v>0</v>
      </c>
      <c r="W270" s="4">
        <f>IF($A270=W$269,"",COUNTIF($E$4:$E$265,$A270&amp;" ضد "&amp;W$269)+COUNTIF($E$4:$E$265,W$269&amp;" ضد "&amp;$A270))</f>
        <v>0</v>
      </c>
      <c r="X270" s="4">
        <f>IF($A270=X$269,"",COUNTIF($E$4:$E$265,$A270&amp;" ضد "&amp;X$269)+COUNTIF($E$4:$E$265,X$269&amp;" ضد "&amp;$A270))</f>
        <v>0</v>
      </c>
      <c r="Y270" s="4">
        <f>IF($A270=Y$269,"",COUNTIF($E$4:$E$265,$A270&amp;" ضد "&amp;Y$269)+COUNTIF($E$4:$E$265,Y$269&amp;" ضد "&amp;$A270))</f>
        <v>0</v>
      </c>
      <c r="Z270" s="4">
        <f>IF($A270=Z$269,"",COUNTIF($E$4:$E$265,$A270&amp;" ضد "&amp;Z$269)+COUNTIF($E$4:$E$265,Z$269&amp;" ضد "&amp;$A270))</f>
        <v>0</v>
      </c>
      <c r="AA270" s="4">
        <f>IF($A270=AA$269,"",COUNTIF($E$4:$E$265,$A270&amp;" ضد "&amp;AA$269)+COUNTIF($E$4:$E$265,AA$269&amp;" ضد "&amp;$A270))</f>
        <v>0</v>
      </c>
      <c r="AB270" s="4">
        <f>IF($A270=AB$269,"",COUNTIF($E$4:$E$265,$A270&amp;" ضد "&amp;AB$269)+COUNTIF($E$4:$E$265,AB$269&amp;" ضد "&amp;$A270))</f>
        <v>0</v>
      </c>
      <c r="AC270" s="4">
        <f>IF($A270=AC$269,"",COUNTIF($E$4:$E$265,$A270&amp;" ضد "&amp;AC$269)+COUNTIF($E$4:$E$265,AC$269&amp;" ضد "&amp;$A270))</f>
        <v>0</v>
      </c>
      <c r="AD270" s="4">
        <f>IF($A270=AD$269,"",COUNTIF($E$4:$E$265,$A270&amp;" ضد "&amp;AD$269)+COUNTIF($E$4:$E$265,AD$269&amp;" ضد "&amp;$A270))</f>
        <v>0</v>
      </c>
    </row>
    <row r="271" spans="1:30" ht="14.5">
      <c r="A271" s="14">
        <v>2</v>
      </c>
      <c r="B271" s="4">
        <f>IF($A271=B$269,"",COUNTIF($E$4:$E$265,$A271&amp;" ضد "&amp;B$269)+COUNTIF($E$4:$E$265,B$269&amp;" ضد "&amp;$A271))</f>
        <v>2</v>
      </c>
      <c r="C271" s="4" t="str">
        <f>IF($A271=C$269,"",COUNTIF($E$4:$E$265,$A271&amp;" ضد "&amp;C$269)+COUNTIF($E$4:$E$265,C$269&amp;" ضد "&amp;$A271))</f>
        <v/>
      </c>
      <c r="D271" s="4">
        <f>IF($A271=D$269,"",COUNTIF($E$4:$E$265,$A271&amp;" ضد "&amp;D$269)+COUNTIF($E$4:$E$265,D$269&amp;" ضد "&amp;$A271))</f>
        <v>2</v>
      </c>
      <c r="E271" s="4">
        <f>IF($A271=E$269,"",COUNTIF($E$4:$E$265,$A271&amp;" ضد "&amp;E$269)+COUNTIF($E$4:$E$265,E$269&amp;" ضد "&amp;$A271))</f>
        <v>2</v>
      </c>
      <c r="F271" s="4">
        <f>IF($A271=F$269,"",COUNTIF($E$4:$E$265,$A271&amp;" ضد "&amp;F$269)+COUNTIF($E$4:$E$265,F$269&amp;" ضد "&amp;$A271))</f>
        <v>1</v>
      </c>
      <c r="G271" s="4">
        <f>IF($A271=G$269,"",COUNTIF($E$4:$E$265,$A271&amp;" ضد "&amp;G$269)+COUNTIF($E$4:$E$265,G$269&amp;" ضد "&amp;$A271))</f>
        <v>1</v>
      </c>
      <c r="H271" s="4">
        <f>IF($A271=H$269,"",COUNTIF($E$4:$E$265,$A271&amp;" ضد "&amp;H$269)+COUNTIF($E$4:$E$265,H$269&amp;" ضد "&amp;$A271))</f>
        <v>1</v>
      </c>
      <c r="I271" s="4">
        <f>IF($A271=I$269,"",COUNTIF($E$4:$E$265,$A271&amp;" ضد "&amp;I$269)+COUNTIF($E$4:$E$265,I$269&amp;" ضد "&amp;$A271))</f>
        <v>1</v>
      </c>
      <c r="J271" s="4">
        <f>IF($A271=J$269,"",COUNTIF($E$4:$E$265,$A271&amp;" ضد "&amp;J$269)+COUNTIF($E$4:$E$265,J$269&amp;" ضد "&amp;$A271))</f>
        <v>1</v>
      </c>
      <c r="K271" s="4">
        <f>IF($A271=K$269,"",COUNTIF($E$4:$E$265,$A271&amp;" ضد "&amp;K$269)+COUNTIF($E$4:$E$265,K$269&amp;" ضد "&amp;$A271))</f>
        <v>1</v>
      </c>
      <c r="L271" s="4">
        <f>IF($A271=L$269,"",COUNTIF($E$4:$E$265,$A271&amp;" ضد "&amp;L$269)+COUNTIF($E$4:$E$265,L$269&amp;" ضد "&amp;$A271))</f>
        <v>1</v>
      </c>
      <c r="M271" s="4">
        <f>IF($A271=M$269,"",COUNTIF($E$4:$E$265,$A271&amp;" ضد "&amp;M$269)+COUNTIF($E$4:$E$265,M$269&amp;" ضد "&amp;$A271))</f>
        <v>1</v>
      </c>
      <c r="N271" s="4">
        <f>IF($A271=N$269,"",COUNTIF($E$4:$E$265,$A271&amp;" ضد "&amp;N$269)+COUNTIF($E$4:$E$265,N$269&amp;" ضد "&amp;$A271))</f>
        <v>1</v>
      </c>
      <c r="O271" s="4">
        <f>IF($A271=O$269,"",COUNTIF($E$4:$E$265,$A271&amp;" ضد "&amp;O$269)+COUNTIF($E$4:$E$265,O$269&amp;" ضد "&amp;$A271))</f>
        <v>1</v>
      </c>
      <c r="P271" s="4">
        <f>IF($A271=P$269,"",COUNTIF($E$4:$E$265,$A271&amp;" ضد "&amp;P$269)+COUNTIF($E$4:$E$265,P$269&amp;" ضد "&amp;$A271))</f>
        <v>2</v>
      </c>
      <c r="Q271" s="4">
        <f>IF($A271=Q$269,"",COUNTIF($E$4:$E$265,$A271&amp;" ضد "&amp;Q$269)+COUNTIF($E$4:$E$265,Q$269&amp;" ضد "&amp;$A271))</f>
        <v>0</v>
      </c>
      <c r="R271" s="4">
        <f>IF($A271=R$269,"",COUNTIF($E$4:$E$265,$A271&amp;" ضد "&amp;R$269)+COUNTIF($E$4:$E$265,R$269&amp;" ضد "&amp;$A271))</f>
        <v>0</v>
      </c>
      <c r="S271" s="4">
        <f>IF($A271=S$269,"",COUNTIF($E$4:$E$265,$A271&amp;" ضد "&amp;S$269)+COUNTIF($E$4:$E$265,S$269&amp;" ضد "&amp;$A271))</f>
        <v>0</v>
      </c>
      <c r="T271" s="4">
        <f>IF($A271=T$269,"",COUNTIF($E$4:$E$265,$A271&amp;" ضد "&amp;T$269)+COUNTIF($E$4:$E$265,T$269&amp;" ضد "&amp;$A271))</f>
        <v>0</v>
      </c>
      <c r="U271" s="4">
        <f>IF($A271=U$269,"",COUNTIF($E$4:$E$265,$A271&amp;" ضد "&amp;U$269)+COUNTIF($E$4:$E$265,U$269&amp;" ضد "&amp;$A271))</f>
        <v>0</v>
      </c>
      <c r="V271" s="4">
        <f>IF($A271=V$269,"",COUNTIF($E$4:$E$265,$A271&amp;" ضد "&amp;V$269)+COUNTIF($E$4:$E$265,V$269&amp;" ضد "&amp;$A271))</f>
        <v>0</v>
      </c>
      <c r="W271" s="4">
        <f>IF($A271=W$269,"",COUNTIF($E$4:$E$265,$A271&amp;" ضد "&amp;W$269)+COUNTIF($E$4:$E$265,W$269&amp;" ضد "&amp;$A271))</f>
        <v>0</v>
      </c>
      <c r="X271" s="4">
        <f>IF($A271=X$269,"",COUNTIF($E$4:$E$265,$A271&amp;" ضد "&amp;X$269)+COUNTIF($E$4:$E$265,X$269&amp;" ضد "&amp;$A271))</f>
        <v>0</v>
      </c>
      <c r="Y271" s="4">
        <f>IF($A271=Y$269,"",COUNTIF($E$4:$E$265,$A271&amp;" ضد "&amp;Y$269)+COUNTIF($E$4:$E$265,Y$269&amp;" ضد "&amp;$A271))</f>
        <v>0</v>
      </c>
      <c r="Z271" s="4">
        <f>IF($A271=Z$269,"",COUNTIF($E$4:$E$265,$A271&amp;" ضد "&amp;Z$269)+COUNTIF($E$4:$E$265,Z$269&amp;" ضد "&amp;$A271))</f>
        <v>0</v>
      </c>
      <c r="AA271" s="4">
        <f>IF($A271=AA$269,"",COUNTIF($E$4:$E$265,$A271&amp;" ضد "&amp;AA$269)+COUNTIF($E$4:$E$265,AA$269&amp;" ضد "&amp;$A271))</f>
        <v>0</v>
      </c>
      <c r="AB271" s="4">
        <f>IF($A271=AB$269,"",COUNTIF($E$4:$E$265,$A271&amp;" ضد "&amp;AB$269)+COUNTIF($E$4:$E$265,AB$269&amp;" ضد "&amp;$A271))</f>
        <v>0</v>
      </c>
      <c r="AC271" s="4">
        <f>IF($A271=AC$269,"",COUNTIF($E$4:$E$265,$A271&amp;" ضد "&amp;AC$269)+COUNTIF($E$4:$E$265,AC$269&amp;" ضد "&amp;$A271))</f>
        <v>0</v>
      </c>
      <c r="AD271" s="4">
        <f>IF($A271=AD$269,"",COUNTIF($E$4:$E$265,$A271&amp;" ضد "&amp;AD$269)+COUNTIF($E$4:$E$265,AD$269&amp;" ضد "&amp;$A271))</f>
        <v>0</v>
      </c>
    </row>
    <row r="272" spans="1:30" ht="14.5">
      <c r="A272" s="14">
        <v>3</v>
      </c>
      <c r="B272" s="4">
        <f>IF($A272=B$269,"",COUNTIF($E$4:$E$265,$A272&amp;" ضد "&amp;B$269)+COUNTIF($E$4:$E$265,B$269&amp;" ضد "&amp;$A272))</f>
        <v>2</v>
      </c>
      <c r="C272" s="4">
        <f>IF($A272=C$269,"",COUNTIF($E$4:$E$265,$A272&amp;" ضد "&amp;C$269)+COUNTIF($E$4:$E$265,C$269&amp;" ضد "&amp;$A272))</f>
        <v>2</v>
      </c>
      <c r="D272" s="4" t="str">
        <f>IF($A272=D$269,"",COUNTIF($E$4:$E$265,$A272&amp;" ضد "&amp;D$269)+COUNTIF($E$4:$E$265,D$269&amp;" ضد "&amp;$A272))</f>
        <v/>
      </c>
      <c r="E272" s="4">
        <f>IF($A272=E$269,"",COUNTIF($E$4:$E$265,$A272&amp;" ضد "&amp;E$269)+COUNTIF($E$4:$E$265,E$269&amp;" ضد "&amp;$A272))</f>
        <v>2</v>
      </c>
      <c r="F272" s="4">
        <f>IF($A272=F$269,"",COUNTIF($E$4:$E$265,$A272&amp;" ضد "&amp;F$269)+COUNTIF($E$4:$E$265,F$269&amp;" ضد "&amp;$A272))</f>
        <v>2</v>
      </c>
      <c r="G272" s="4">
        <f>IF($A272=G$269,"",COUNTIF($E$4:$E$265,$A272&amp;" ضد "&amp;G$269)+COUNTIF($E$4:$E$265,G$269&amp;" ضد "&amp;$A272))</f>
        <v>1</v>
      </c>
      <c r="H272" s="4">
        <f>IF($A272=H$269,"",COUNTIF($E$4:$E$265,$A272&amp;" ضد "&amp;H$269)+COUNTIF($E$4:$E$265,H$269&amp;" ضد "&amp;$A272))</f>
        <v>1</v>
      </c>
      <c r="I272" s="4">
        <f>IF($A272=I$269,"",COUNTIF($E$4:$E$265,$A272&amp;" ضد "&amp;I$269)+COUNTIF($E$4:$E$265,I$269&amp;" ضد "&amp;$A272))</f>
        <v>1</v>
      </c>
      <c r="J272" s="4">
        <f>IF($A272=J$269,"",COUNTIF($E$4:$E$265,$A272&amp;" ضد "&amp;J$269)+COUNTIF($E$4:$E$265,J$269&amp;" ضد "&amp;$A272))</f>
        <v>1</v>
      </c>
      <c r="K272" s="4">
        <f>IF($A272=K$269,"",COUNTIF($E$4:$E$265,$A272&amp;" ضد "&amp;K$269)+COUNTIF($E$4:$E$265,K$269&amp;" ضد "&amp;$A272))</f>
        <v>1</v>
      </c>
      <c r="L272" s="4">
        <f>IF($A272=L$269,"",COUNTIF($E$4:$E$265,$A272&amp;" ضد "&amp;L$269)+COUNTIF($E$4:$E$265,L$269&amp;" ضد "&amp;$A272))</f>
        <v>1</v>
      </c>
      <c r="M272" s="4">
        <f>IF($A272=M$269,"",COUNTIF($E$4:$E$265,$A272&amp;" ضد "&amp;M$269)+COUNTIF($E$4:$E$265,M$269&amp;" ضد "&amp;$A272))</f>
        <v>1</v>
      </c>
      <c r="N272" s="4">
        <f>IF($A272=N$269,"",COUNTIF($E$4:$E$265,$A272&amp;" ضد "&amp;N$269)+COUNTIF($E$4:$E$265,N$269&amp;" ضد "&amp;$A272))</f>
        <v>1</v>
      </c>
      <c r="O272" s="4">
        <f>IF($A272=O$269,"",COUNTIF($E$4:$E$265,$A272&amp;" ضد "&amp;O$269)+COUNTIF($E$4:$E$265,O$269&amp;" ضد "&amp;$A272))</f>
        <v>1</v>
      </c>
      <c r="P272" s="4">
        <f>IF($A272=P$269,"",COUNTIF($E$4:$E$265,$A272&amp;" ضد "&amp;P$269)+COUNTIF($E$4:$E$265,P$269&amp;" ضد "&amp;$A272))</f>
        <v>1</v>
      </c>
      <c r="Q272" s="4">
        <f>IF($A272=Q$269,"",COUNTIF($E$4:$E$265,$A272&amp;" ضد "&amp;Q$269)+COUNTIF($E$4:$E$265,Q$269&amp;" ضد "&amp;$A272))</f>
        <v>0</v>
      </c>
      <c r="R272" s="4">
        <f>IF($A272=R$269,"",COUNTIF($E$4:$E$265,$A272&amp;" ضد "&amp;R$269)+COUNTIF($E$4:$E$265,R$269&amp;" ضد "&amp;$A272))</f>
        <v>0</v>
      </c>
      <c r="S272" s="4">
        <f>IF($A272=S$269,"",COUNTIF($E$4:$E$265,$A272&amp;" ضد "&amp;S$269)+COUNTIF($E$4:$E$265,S$269&amp;" ضد "&amp;$A272))</f>
        <v>0</v>
      </c>
      <c r="T272" s="4">
        <f>IF($A272=T$269,"",COUNTIF($E$4:$E$265,$A272&amp;" ضد "&amp;T$269)+COUNTIF($E$4:$E$265,T$269&amp;" ضد "&amp;$A272))</f>
        <v>0</v>
      </c>
      <c r="U272" s="4">
        <f>IF($A272=U$269,"",COUNTIF($E$4:$E$265,$A272&amp;" ضد "&amp;U$269)+COUNTIF($E$4:$E$265,U$269&amp;" ضد "&amp;$A272))</f>
        <v>0</v>
      </c>
      <c r="V272" s="4">
        <f>IF($A272=V$269,"",COUNTIF($E$4:$E$265,$A272&amp;" ضد "&amp;V$269)+COUNTIF($E$4:$E$265,V$269&amp;" ضد "&amp;$A272))</f>
        <v>0</v>
      </c>
      <c r="W272" s="4">
        <f>IF($A272=W$269,"",COUNTIF($E$4:$E$265,$A272&amp;" ضد "&amp;W$269)+COUNTIF($E$4:$E$265,W$269&amp;" ضد "&amp;$A272))</f>
        <v>0</v>
      </c>
      <c r="X272" s="4">
        <f>IF($A272=X$269,"",COUNTIF($E$4:$E$265,$A272&amp;" ضد "&amp;X$269)+COUNTIF($E$4:$E$265,X$269&amp;" ضد "&amp;$A272))</f>
        <v>0</v>
      </c>
      <c r="Y272" s="4">
        <f>IF($A272=Y$269,"",COUNTIF($E$4:$E$265,$A272&amp;" ضد "&amp;Y$269)+COUNTIF($E$4:$E$265,Y$269&amp;" ضد "&amp;$A272))</f>
        <v>0</v>
      </c>
      <c r="Z272" s="4">
        <f>IF($A272=Z$269,"",COUNTIF($E$4:$E$265,$A272&amp;" ضد "&amp;Z$269)+COUNTIF($E$4:$E$265,Z$269&amp;" ضد "&amp;$A272))</f>
        <v>0</v>
      </c>
      <c r="AA272" s="4">
        <f>IF($A272=AA$269,"",COUNTIF($E$4:$E$265,$A272&amp;" ضد "&amp;AA$269)+COUNTIF($E$4:$E$265,AA$269&amp;" ضد "&amp;$A272))</f>
        <v>0</v>
      </c>
      <c r="AB272" s="4">
        <f>IF($A272=AB$269,"",COUNTIF($E$4:$E$265,$A272&amp;" ضد "&amp;AB$269)+COUNTIF($E$4:$E$265,AB$269&amp;" ضد "&amp;$A272))</f>
        <v>0</v>
      </c>
      <c r="AC272" s="4">
        <f>IF($A272=AC$269,"",COUNTIF($E$4:$E$265,$A272&amp;" ضد "&amp;AC$269)+COUNTIF($E$4:$E$265,AC$269&amp;" ضد "&amp;$A272))</f>
        <v>0</v>
      </c>
      <c r="AD272" s="4">
        <f>IF($A272=AD$269,"",COUNTIF($E$4:$E$265,$A272&amp;" ضد "&amp;AD$269)+COUNTIF($E$4:$E$265,AD$269&amp;" ضد "&amp;$A272))</f>
        <v>0</v>
      </c>
    </row>
    <row r="273" spans="1:30" ht="14.5">
      <c r="A273" s="14">
        <v>4</v>
      </c>
      <c r="B273" s="4">
        <f>IF($A273=B$269,"",COUNTIF($E$4:$E$265,$A273&amp;" ضد "&amp;B$269)+COUNTIF($E$4:$E$265,B$269&amp;" ضد "&amp;$A273))</f>
        <v>1</v>
      </c>
      <c r="C273" s="4">
        <f>IF($A273=C$269,"",COUNTIF($E$4:$E$265,$A273&amp;" ضد "&amp;C$269)+COUNTIF($E$4:$E$265,C$269&amp;" ضد "&amp;$A273))</f>
        <v>2</v>
      </c>
      <c r="D273" s="4">
        <f>IF($A273=D$269,"",COUNTIF($E$4:$E$265,$A273&amp;" ضد "&amp;D$269)+COUNTIF($E$4:$E$265,D$269&amp;" ضد "&amp;$A273))</f>
        <v>2</v>
      </c>
      <c r="E273" s="4" t="str">
        <f>IF($A273=E$269,"",COUNTIF($E$4:$E$265,$A273&amp;" ضد "&amp;E$269)+COUNTIF($E$4:$E$265,E$269&amp;" ضد "&amp;$A273))</f>
        <v/>
      </c>
      <c r="F273" s="4">
        <f>IF($A273=F$269,"",COUNTIF($E$4:$E$265,$A273&amp;" ضد "&amp;F$269)+COUNTIF($E$4:$E$265,F$269&amp;" ضد "&amp;$A273))</f>
        <v>2</v>
      </c>
      <c r="G273" s="4">
        <f>IF($A273=G$269,"",COUNTIF($E$4:$E$265,$A273&amp;" ضد "&amp;G$269)+COUNTIF($E$4:$E$265,G$269&amp;" ضد "&amp;$A273))</f>
        <v>2</v>
      </c>
      <c r="H273" s="4">
        <f>IF($A273=H$269,"",COUNTIF($E$4:$E$265,$A273&amp;" ضد "&amp;H$269)+COUNTIF($E$4:$E$265,H$269&amp;" ضد "&amp;$A273))</f>
        <v>1</v>
      </c>
      <c r="I273" s="4">
        <f>IF($A273=I$269,"",COUNTIF($E$4:$E$265,$A273&amp;" ضد "&amp;I$269)+COUNTIF($E$4:$E$265,I$269&amp;" ضد "&amp;$A273))</f>
        <v>1</v>
      </c>
      <c r="J273" s="4">
        <f>IF($A273=J$269,"",COUNTIF($E$4:$E$265,$A273&amp;" ضد "&amp;J$269)+COUNTIF($E$4:$E$265,J$269&amp;" ضد "&amp;$A273))</f>
        <v>1</v>
      </c>
      <c r="K273" s="4">
        <f>IF($A273=K$269,"",COUNTIF($E$4:$E$265,$A273&amp;" ضد "&amp;K$269)+COUNTIF($E$4:$E$265,K$269&amp;" ضد "&amp;$A273))</f>
        <v>1</v>
      </c>
      <c r="L273" s="4">
        <f>IF($A273=L$269,"",COUNTIF($E$4:$E$265,$A273&amp;" ضد "&amp;L$269)+COUNTIF($E$4:$E$265,L$269&amp;" ضد "&amp;$A273))</f>
        <v>1</v>
      </c>
      <c r="M273" s="4">
        <f>IF($A273=M$269,"",COUNTIF($E$4:$E$265,$A273&amp;" ضد "&amp;M$269)+COUNTIF($E$4:$E$265,M$269&amp;" ضد "&amp;$A273))</f>
        <v>1</v>
      </c>
      <c r="N273" s="4">
        <f>IF($A273=N$269,"",COUNTIF($E$4:$E$265,$A273&amp;" ضد "&amp;N$269)+COUNTIF($E$4:$E$265,N$269&amp;" ضد "&amp;$A273))</f>
        <v>1</v>
      </c>
      <c r="O273" s="4">
        <f>IF($A273=O$269,"",COUNTIF($E$4:$E$265,$A273&amp;" ضد "&amp;O$269)+COUNTIF($E$4:$E$265,O$269&amp;" ضد "&amp;$A273))</f>
        <v>1</v>
      </c>
      <c r="P273" s="4">
        <f>IF($A273=P$269,"",COUNTIF($E$4:$E$265,$A273&amp;" ضد "&amp;P$269)+COUNTIF($E$4:$E$265,P$269&amp;" ضد "&amp;$A273))</f>
        <v>1</v>
      </c>
      <c r="Q273" s="4">
        <f>IF($A273=Q$269,"",COUNTIF($E$4:$E$265,$A273&amp;" ضد "&amp;Q$269)+COUNTIF($E$4:$E$265,Q$269&amp;" ضد "&amp;$A273))</f>
        <v>0</v>
      </c>
      <c r="R273" s="4">
        <f>IF($A273=R$269,"",COUNTIF($E$4:$E$265,$A273&amp;" ضد "&amp;R$269)+COUNTIF($E$4:$E$265,R$269&amp;" ضد "&amp;$A273))</f>
        <v>0</v>
      </c>
      <c r="S273" s="4">
        <f>IF($A273=S$269,"",COUNTIF($E$4:$E$265,$A273&amp;" ضد "&amp;S$269)+COUNTIF($E$4:$E$265,S$269&amp;" ضد "&amp;$A273))</f>
        <v>0</v>
      </c>
      <c r="T273" s="4">
        <f>IF($A273=T$269,"",COUNTIF($E$4:$E$265,$A273&amp;" ضد "&amp;T$269)+COUNTIF($E$4:$E$265,T$269&amp;" ضد "&amp;$A273))</f>
        <v>0</v>
      </c>
      <c r="U273" s="4">
        <f>IF($A273=U$269,"",COUNTIF($E$4:$E$265,$A273&amp;" ضد "&amp;U$269)+COUNTIF($E$4:$E$265,U$269&amp;" ضد "&amp;$A273))</f>
        <v>0</v>
      </c>
      <c r="V273" s="4">
        <f>IF($A273=V$269,"",COUNTIF($E$4:$E$265,$A273&amp;" ضد "&amp;V$269)+COUNTIF($E$4:$E$265,V$269&amp;" ضد "&amp;$A273))</f>
        <v>0</v>
      </c>
      <c r="W273" s="4">
        <f>IF($A273=W$269,"",COUNTIF($E$4:$E$265,$A273&amp;" ضد "&amp;W$269)+COUNTIF($E$4:$E$265,W$269&amp;" ضد "&amp;$A273))</f>
        <v>0</v>
      </c>
      <c r="X273" s="4">
        <f>IF($A273=X$269,"",COUNTIF($E$4:$E$265,$A273&amp;" ضد "&amp;X$269)+COUNTIF($E$4:$E$265,X$269&amp;" ضد "&amp;$A273))</f>
        <v>0</v>
      </c>
      <c r="Y273" s="4">
        <f>IF($A273=Y$269,"",COUNTIF($E$4:$E$265,$A273&amp;" ضد "&amp;Y$269)+COUNTIF($E$4:$E$265,Y$269&amp;" ضد "&amp;$A273))</f>
        <v>0</v>
      </c>
      <c r="Z273" s="4">
        <f>IF($A273=Z$269,"",COUNTIF($E$4:$E$265,$A273&amp;" ضد "&amp;Z$269)+COUNTIF($E$4:$E$265,Z$269&amp;" ضد "&amp;$A273))</f>
        <v>0</v>
      </c>
      <c r="AA273" s="4">
        <f>IF($A273=AA$269,"",COUNTIF($E$4:$E$265,$A273&amp;" ضد "&amp;AA$269)+COUNTIF($E$4:$E$265,AA$269&amp;" ضد "&amp;$A273))</f>
        <v>0</v>
      </c>
      <c r="AB273" s="4">
        <f>IF($A273=AB$269,"",COUNTIF($E$4:$E$265,$A273&amp;" ضد "&amp;AB$269)+COUNTIF($E$4:$E$265,AB$269&amp;" ضد "&amp;$A273))</f>
        <v>0</v>
      </c>
      <c r="AC273" s="4">
        <f>IF($A273=AC$269,"",COUNTIF($E$4:$E$265,$A273&amp;" ضد "&amp;AC$269)+COUNTIF($E$4:$E$265,AC$269&amp;" ضد "&amp;$A273))</f>
        <v>0</v>
      </c>
      <c r="AD273" s="4">
        <f>IF($A273=AD$269,"",COUNTIF($E$4:$E$265,$A273&amp;" ضد "&amp;AD$269)+COUNTIF($E$4:$E$265,AD$269&amp;" ضد "&amp;$A273))</f>
        <v>0</v>
      </c>
    </row>
    <row r="274" spans="1:30" ht="14.5">
      <c r="A274" s="14">
        <v>5</v>
      </c>
      <c r="B274" s="4">
        <f>IF($A274=B$269,"",COUNTIF($E$4:$E$265,$A274&amp;" ضد "&amp;B$269)+COUNTIF($E$4:$E$265,B$269&amp;" ضد "&amp;$A274))</f>
        <v>1</v>
      </c>
      <c r="C274" s="4">
        <f>IF($A274=C$269,"",COUNTIF($E$4:$E$265,$A274&amp;" ضد "&amp;C$269)+COUNTIF($E$4:$E$265,C$269&amp;" ضد "&amp;$A274))</f>
        <v>1</v>
      </c>
      <c r="D274" s="4">
        <f>IF($A274=D$269,"",COUNTIF($E$4:$E$265,$A274&amp;" ضد "&amp;D$269)+COUNTIF($E$4:$E$265,D$269&amp;" ضد "&amp;$A274))</f>
        <v>2</v>
      </c>
      <c r="E274" s="4">
        <f>IF($A274=E$269,"",COUNTIF($E$4:$E$265,$A274&amp;" ضد "&amp;E$269)+COUNTIF($E$4:$E$265,E$269&amp;" ضد "&amp;$A274))</f>
        <v>2</v>
      </c>
      <c r="F274" s="4" t="str">
        <f>IF($A274=F$269,"",COUNTIF($E$4:$E$265,$A274&amp;" ضد "&amp;F$269)+COUNTIF($E$4:$E$265,F$269&amp;" ضد "&amp;$A274))</f>
        <v/>
      </c>
      <c r="G274" s="4">
        <f>IF($A274=G$269,"",COUNTIF($E$4:$E$265,$A274&amp;" ضد "&amp;G$269)+COUNTIF($E$4:$E$265,G$269&amp;" ضد "&amp;$A274))</f>
        <v>2</v>
      </c>
      <c r="H274" s="4">
        <f>IF($A274=H$269,"",COUNTIF($E$4:$E$265,$A274&amp;" ضد "&amp;H$269)+COUNTIF($E$4:$E$265,H$269&amp;" ضد "&amp;$A274))</f>
        <v>2</v>
      </c>
      <c r="I274" s="4">
        <f>IF($A274=I$269,"",COUNTIF($E$4:$E$265,$A274&amp;" ضد "&amp;I$269)+COUNTIF($E$4:$E$265,I$269&amp;" ضد "&amp;$A274))</f>
        <v>1</v>
      </c>
      <c r="J274" s="4">
        <f>IF($A274=J$269,"",COUNTIF($E$4:$E$265,$A274&amp;" ضد "&amp;J$269)+COUNTIF($E$4:$E$265,J$269&amp;" ضد "&amp;$A274))</f>
        <v>1</v>
      </c>
      <c r="K274" s="4">
        <f>IF($A274=K$269,"",COUNTIF($E$4:$E$265,$A274&amp;" ضد "&amp;K$269)+COUNTIF($E$4:$E$265,K$269&amp;" ضد "&amp;$A274))</f>
        <v>1</v>
      </c>
      <c r="L274" s="4">
        <f>IF($A274=L$269,"",COUNTIF($E$4:$E$265,$A274&amp;" ضد "&amp;L$269)+COUNTIF($E$4:$E$265,L$269&amp;" ضد "&amp;$A274))</f>
        <v>1</v>
      </c>
      <c r="M274" s="4">
        <f>IF($A274=M$269,"",COUNTIF($E$4:$E$265,$A274&amp;" ضد "&amp;M$269)+COUNTIF($E$4:$E$265,M$269&amp;" ضد "&amp;$A274))</f>
        <v>1</v>
      </c>
      <c r="N274" s="4">
        <f>IF($A274=N$269,"",COUNTIF($E$4:$E$265,$A274&amp;" ضد "&amp;N$269)+COUNTIF($E$4:$E$265,N$269&amp;" ضد "&amp;$A274))</f>
        <v>1</v>
      </c>
      <c r="O274" s="4">
        <f>IF($A274=O$269,"",COUNTIF($E$4:$E$265,$A274&amp;" ضد "&amp;O$269)+COUNTIF($E$4:$E$265,O$269&amp;" ضد "&amp;$A274))</f>
        <v>1</v>
      </c>
      <c r="P274" s="4">
        <f>IF($A274=P$269,"",COUNTIF($E$4:$E$265,$A274&amp;" ضد "&amp;P$269)+COUNTIF($E$4:$E$265,P$269&amp;" ضد "&amp;$A274))</f>
        <v>1</v>
      </c>
      <c r="Q274" s="4">
        <f>IF($A274=Q$269,"",COUNTIF($E$4:$E$265,$A274&amp;" ضد "&amp;Q$269)+COUNTIF($E$4:$E$265,Q$269&amp;" ضد "&amp;$A274))</f>
        <v>0</v>
      </c>
      <c r="R274" s="4">
        <f>IF($A274=R$269,"",COUNTIF($E$4:$E$265,$A274&amp;" ضد "&amp;R$269)+COUNTIF($E$4:$E$265,R$269&amp;" ضد "&amp;$A274))</f>
        <v>0</v>
      </c>
      <c r="S274" s="4">
        <f>IF($A274=S$269,"",COUNTIF($E$4:$E$265,$A274&amp;" ضد "&amp;S$269)+COUNTIF($E$4:$E$265,S$269&amp;" ضد "&amp;$A274))</f>
        <v>0</v>
      </c>
      <c r="T274" s="4">
        <f>IF($A274=T$269,"",COUNTIF($E$4:$E$265,$A274&amp;" ضد "&amp;T$269)+COUNTIF($E$4:$E$265,T$269&amp;" ضد "&amp;$A274))</f>
        <v>0</v>
      </c>
      <c r="U274" s="4">
        <f>IF($A274=U$269,"",COUNTIF($E$4:$E$265,$A274&amp;" ضد "&amp;U$269)+COUNTIF($E$4:$E$265,U$269&amp;" ضد "&amp;$A274))</f>
        <v>0</v>
      </c>
      <c r="V274" s="4">
        <f>IF($A274=V$269,"",COUNTIF($E$4:$E$265,$A274&amp;" ضد "&amp;V$269)+COUNTIF($E$4:$E$265,V$269&amp;" ضد "&amp;$A274))</f>
        <v>0</v>
      </c>
      <c r="W274" s="4">
        <f>IF($A274=W$269,"",COUNTIF($E$4:$E$265,$A274&amp;" ضد "&amp;W$269)+COUNTIF($E$4:$E$265,W$269&amp;" ضد "&amp;$A274))</f>
        <v>0</v>
      </c>
      <c r="X274" s="4">
        <f>IF($A274=X$269,"",COUNTIF($E$4:$E$265,$A274&amp;" ضد "&amp;X$269)+COUNTIF($E$4:$E$265,X$269&amp;" ضد "&amp;$A274))</f>
        <v>0</v>
      </c>
      <c r="Y274" s="4">
        <f>IF($A274=Y$269,"",COUNTIF($E$4:$E$265,$A274&amp;" ضد "&amp;Y$269)+COUNTIF($E$4:$E$265,Y$269&amp;" ضد "&amp;$A274))</f>
        <v>0</v>
      </c>
      <c r="Z274" s="4">
        <f>IF($A274=Z$269,"",COUNTIF($E$4:$E$265,$A274&amp;" ضد "&amp;Z$269)+COUNTIF($E$4:$E$265,Z$269&amp;" ضد "&amp;$A274))</f>
        <v>0</v>
      </c>
      <c r="AA274" s="4">
        <f>IF($A274=AA$269,"",COUNTIF($E$4:$E$265,$A274&amp;" ضد "&amp;AA$269)+COUNTIF($E$4:$E$265,AA$269&amp;" ضد "&amp;$A274))</f>
        <v>0</v>
      </c>
      <c r="AB274" s="4">
        <f>IF($A274=AB$269,"",COUNTIF($E$4:$E$265,$A274&amp;" ضد "&amp;AB$269)+COUNTIF($E$4:$E$265,AB$269&amp;" ضد "&amp;$A274))</f>
        <v>0</v>
      </c>
      <c r="AC274" s="4">
        <f>IF($A274=AC$269,"",COUNTIF($E$4:$E$265,$A274&amp;" ضد "&amp;AC$269)+COUNTIF($E$4:$E$265,AC$269&amp;" ضد "&amp;$A274))</f>
        <v>0</v>
      </c>
      <c r="AD274" s="4">
        <f>IF($A274=AD$269,"",COUNTIF($E$4:$E$265,$A274&amp;" ضد "&amp;AD$269)+COUNTIF($E$4:$E$265,AD$269&amp;" ضد "&amp;$A274))</f>
        <v>0</v>
      </c>
    </row>
    <row r="275" spans="1:30" ht="14.5">
      <c r="A275" s="14">
        <v>6</v>
      </c>
      <c r="B275" s="4">
        <f>IF($A275=B$269,"",COUNTIF($E$4:$E$265,$A275&amp;" ضد "&amp;B$269)+COUNTIF($E$4:$E$265,B$269&amp;" ضد "&amp;$A275))</f>
        <v>1</v>
      </c>
      <c r="C275" s="4">
        <f>IF($A275=C$269,"",COUNTIF($E$4:$E$265,$A275&amp;" ضد "&amp;C$269)+COUNTIF($E$4:$E$265,C$269&amp;" ضد "&amp;$A275))</f>
        <v>1</v>
      </c>
      <c r="D275" s="4">
        <f>IF($A275=D$269,"",COUNTIF($E$4:$E$265,$A275&amp;" ضد "&amp;D$269)+COUNTIF($E$4:$E$265,D$269&amp;" ضد "&amp;$A275))</f>
        <v>1</v>
      </c>
      <c r="E275" s="4">
        <f>IF($A275=E$269,"",COUNTIF($E$4:$E$265,$A275&amp;" ضد "&amp;E$269)+COUNTIF($E$4:$E$265,E$269&amp;" ضد "&amp;$A275))</f>
        <v>2</v>
      </c>
      <c r="F275" s="4">
        <f>IF($A275=F$269,"",COUNTIF($E$4:$E$265,$A275&amp;" ضد "&amp;F$269)+COUNTIF($E$4:$E$265,F$269&amp;" ضد "&amp;$A275))</f>
        <v>2</v>
      </c>
      <c r="G275" s="4" t="str">
        <f>IF($A275=G$269,"",COUNTIF($E$4:$E$265,$A275&amp;" ضد "&amp;G$269)+COUNTIF($E$4:$E$265,G$269&amp;" ضد "&amp;$A275))</f>
        <v/>
      </c>
      <c r="H275" s="4">
        <f>IF($A275=H$269,"",COUNTIF($E$4:$E$265,$A275&amp;" ضد "&amp;H$269)+COUNTIF($E$4:$E$265,H$269&amp;" ضد "&amp;$A275))</f>
        <v>2</v>
      </c>
      <c r="I275" s="4">
        <f>IF($A275=I$269,"",COUNTIF($E$4:$E$265,$A275&amp;" ضد "&amp;I$269)+COUNTIF($E$4:$E$265,I$269&amp;" ضد "&amp;$A275))</f>
        <v>2</v>
      </c>
      <c r="J275" s="4">
        <f>IF($A275=J$269,"",COUNTIF($E$4:$E$265,$A275&amp;" ضد "&amp;J$269)+COUNTIF($E$4:$E$265,J$269&amp;" ضد "&amp;$A275))</f>
        <v>1</v>
      </c>
      <c r="K275" s="4">
        <f>IF($A275=K$269,"",COUNTIF($E$4:$E$265,$A275&amp;" ضد "&amp;K$269)+COUNTIF($E$4:$E$265,K$269&amp;" ضد "&amp;$A275))</f>
        <v>1</v>
      </c>
      <c r="L275" s="4">
        <f>IF($A275=L$269,"",COUNTIF($E$4:$E$265,$A275&amp;" ضد "&amp;L$269)+COUNTIF($E$4:$E$265,L$269&amp;" ضد "&amp;$A275))</f>
        <v>1</v>
      </c>
      <c r="M275" s="4">
        <f>IF($A275=M$269,"",COUNTIF($E$4:$E$265,$A275&amp;" ضد "&amp;M$269)+COUNTIF($E$4:$E$265,M$269&amp;" ضد "&amp;$A275))</f>
        <v>1</v>
      </c>
      <c r="N275" s="4">
        <f>IF($A275=N$269,"",COUNTIF($E$4:$E$265,$A275&amp;" ضد "&amp;N$269)+COUNTIF($E$4:$E$265,N$269&amp;" ضد "&amp;$A275))</f>
        <v>1</v>
      </c>
      <c r="O275" s="4">
        <f>IF($A275=O$269,"",COUNTIF($E$4:$E$265,$A275&amp;" ضد "&amp;O$269)+COUNTIF($E$4:$E$265,O$269&amp;" ضد "&amp;$A275))</f>
        <v>1</v>
      </c>
      <c r="P275" s="4">
        <f>IF($A275=P$269,"",COUNTIF($E$4:$E$265,$A275&amp;" ضد "&amp;P$269)+COUNTIF($E$4:$E$265,P$269&amp;" ضد "&amp;$A275))</f>
        <v>1</v>
      </c>
      <c r="Q275" s="4">
        <f>IF($A275=Q$269,"",COUNTIF($E$4:$E$265,$A275&amp;" ضد "&amp;Q$269)+COUNTIF($E$4:$E$265,Q$269&amp;" ضد "&amp;$A275))</f>
        <v>0</v>
      </c>
      <c r="R275" s="4">
        <f>IF($A275=R$269,"",COUNTIF($E$4:$E$265,$A275&amp;" ضد "&amp;R$269)+COUNTIF($E$4:$E$265,R$269&amp;" ضد "&amp;$A275))</f>
        <v>0</v>
      </c>
      <c r="S275" s="4">
        <f>IF($A275=S$269,"",COUNTIF($E$4:$E$265,$A275&amp;" ضد "&amp;S$269)+COUNTIF($E$4:$E$265,S$269&amp;" ضد "&amp;$A275))</f>
        <v>0</v>
      </c>
      <c r="T275" s="4">
        <f>IF($A275=T$269,"",COUNTIF($E$4:$E$265,$A275&amp;" ضد "&amp;T$269)+COUNTIF($E$4:$E$265,T$269&amp;" ضد "&amp;$A275))</f>
        <v>0</v>
      </c>
      <c r="U275" s="4">
        <f>IF($A275=U$269,"",COUNTIF($E$4:$E$265,$A275&amp;" ضد "&amp;U$269)+COUNTIF($E$4:$E$265,U$269&amp;" ضد "&amp;$A275))</f>
        <v>0</v>
      </c>
      <c r="V275" s="4">
        <f>IF($A275=V$269,"",COUNTIF($E$4:$E$265,$A275&amp;" ضد "&amp;V$269)+COUNTIF($E$4:$E$265,V$269&amp;" ضد "&amp;$A275))</f>
        <v>0</v>
      </c>
      <c r="W275" s="4">
        <f>IF($A275=W$269,"",COUNTIF($E$4:$E$265,$A275&amp;" ضد "&amp;W$269)+COUNTIF($E$4:$E$265,W$269&amp;" ضد "&amp;$A275))</f>
        <v>0</v>
      </c>
      <c r="X275" s="4">
        <f>IF($A275=X$269,"",COUNTIF($E$4:$E$265,$A275&amp;" ضد "&amp;X$269)+COUNTIF($E$4:$E$265,X$269&amp;" ضد "&amp;$A275))</f>
        <v>0</v>
      </c>
      <c r="Y275" s="4">
        <f>IF($A275=Y$269,"",COUNTIF($E$4:$E$265,$A275&amp;" ضد "&amp;Y$269)+COUNTIF($E$4:$E$265,Y$269&amp;" ضد "&amp;$A275))</f>
        <v>0</v>
      </c>
      <c r="Z275" s="4">
        <f>IF($A275=Z$269,"",COUNTIF($E$4:$E$265,$A275&amp;" ضد "&amp;Z$269)+COUNTIF($E$4:$E$265,Z$269&amp;" ضد "&amp;$A275))</f>
        <v>0</v>
      </c>
      <c r="AA275" s="4">
        <f>IF($A275=AA$269,"",COUNTIF($E$4:$E$265,$A275&amp;" ضد "&amp;AA$269)+COUNTIF($E$4:$E$265,AA$269&amp;" ضد "&amp;$A275))</f>
        <v>0</v>
      </c>
      <c r="AB275" s="4">
        <f>IF($A275=AB$269,"",COUNTIF($E$4:$E$265,$A275&amp;" ضد "&amp;AB$269)+COUNTIF($E$4:$E$265,AB$269&amp;" ضد "&amp;$A275))</f>
        <v>0</v>
      </c>
      <c r="AC275" s="4">
        <f>IF($A275=AC$269,"",COUNTIF($E$4:$E$265,$A275&amp;" ضد "&amp;AC$269)+COUNTIF($E$4:$E$265,AC$269&amp;" ضد "&amp;$A275))</f>
        <v>0</v>
      </c>
      <c r="AD275" s="4">
        <f>IF($A275=AD$269,"",COUNTIF($E$4:$E$265,$A275&amp;" ضد "&amp;AD$269)+COUNTIF($E$4:$E$265,AD$269&amp;" ضد "&amp;$A275))</f>
        <v>0</v>
      </c>
    </row>
    <row r="276" spans="1:30" ht="14.5">
      <c r="A276" s="14">
        <v>7</v>
      </c>
      <c r="B276" s="4">
        <f>IF($A276=B$269,"",COUNTIF($E$4:$E$265,$A276&amp;" ضد "&amp;B$269)+COUNTIF($E$4:$E$265,B$269&amp;" ضد "&amp;$A276))</f>
        <v>1</v>
      </c>
      <c r="C276" s="4">
        <f>IF($A276=C$269,"",COUNTIF($E$4:$E$265,$A276&amp;" ضد "&amp;C$269)+COUNTIF($E$4:$E$265,C$269&amp;" ضد "&amp;$A276))</f>
        <v>1</v>
      </c>
      <c r="D276" s="4">
        <f>IF($A276=D$269,"",COUNTIF($E$4:$E$265,$A276&amp;" ضد "&amp;D$269)+COUNTIF($E$4:$E$265,D$269&amp;" ضد "&amp;$A276))</f>
        <v>1</v>
      </c>
      <c r="E276" s="4">
        <f>IF($A276=E$269,"",COUNTIF($E$4:$E$265,$A276&amp;" ضد "&amp;E$269)+COUNTIF($E$4:$E$265,E$269&amp;" ضد "&amp;$A276))</f>
        <v>1</v>
      </c>
      <c r="F276" s="4">
        <f>IF($A276=F$269,"",COUNTIF($E$4:$E$265,$A276&amp;" ضد "&amp;F$269)+COUNTIF($E$4:$E$265,F$269&amp;" ضد "&amp;$A276))</f>
        <v>2</v>
      </c>
      <c r="G276" s="4">
        <f>IF($A276=G$269,"",COUNTIF($E$4:$E$265,$A276&amp;" ضد "&amp;G$269)+COUNTIF($E$4:$E$265,G$269&amp;" ضد "&amp;$A276))</f>
        <v>2</v>
      </c>
      <c r="H276" s="4" t="str">
        <f>IF($A276=H$269,"",COUNTIF($E$4:$E$265,$A276&amp;" ضد "&amp;H$269)+COUNTIF($E$4:$E$265,H$269&amp;" ضد "&amp;$A276))</f>
        <v/>
      </c>
      <c r="I276" s="4">
        <f>IF($A276=I$269,"",COUNTIF($E$4:$E$265,$A276&amp;" ضد "&amp;I$269)+COUNTIF($E$4:$E$265,I$269&amp;" ضد "&amp;$A276))</f>
        <v>2</v>
      </c>
      <c r="J276" s="4">
        <f>IF($A276=J$269,"",COUNTIF($E$4:$E$265,$A276&amp;" ضد "&amp;J$269)+COUNTIF($E$4:$E$265,J$269&amp;" ضد "&amp;$A276))</f>
        <v>2</v>
      </c>
      <c r="K276" s="4">
        <f>IF($A276=K$269,"",COUNTIF($E$4:$E$265,$A276&amp;" ضد "&amp;K$269)+COUNTIF($E$4:$E$265,K$269&amp;" ضد "&amp;$A276))</f>
        <v>1</v>
      </c>
      <c r="L276" s="4">
        <f>IF($A276=L$269,"",COUNTIF($E$4:$E$265,$A276&amp;" ضد "&amp;L$269)+COUNTIF($E$4:$E$265,L$269&amp;" ضد "&amp;$A276))</f>
        <v>1</v>
      </c>
      <c r="M276" s="4">
        <f>IF($A276=M$269,"",COUNTIF($E$4:$E$265,$A276&amp;" ضد "&amp;M$269)+COUNTIF($E$4:$E$265,M$269&amp;" ضد "&amp;$A276))</f>
        <v>1</v>
      </c>
      <c r="N276" s="4">
        <f>IF($A276=N$269,"",COUNTIF($E$4:$E$265,$A276&amp;" ضد "&amp;N$269)+COUNTIF($E$4:$E$265,N$269&amp;" ضد "&amp;$A276))</f>
        <v>1</v>
      </c>
      <c r="O276" s="4">
        <f>IF($A276=O$269,"",COUNTIF($E$4:$E$265,$A276&amp;" ضد "&amp;O$269)+COUNTIF($E$4:$E$265,O$269&amp;" ضد "&amp;$A276))</f>
        <v>1</v>
      </c>
      <c r="P276" s="4">
        <f>IF($A276=P$269,"",COUNTIF($E$4:$E$265,$A276&amp;" ضد "&amp;P$269)+COUNTIF($E$4:$E$265,P$269&amp;" ضد "&amp;$A276))</f>
        <v>1</v>
      </c>
      <c r="Q276" s="4">
        <f>IF($A276=Q$269,"",COUNTIF($E$4:$E$265,$A276&amp;" ضد "&amp;Q$269)+COUNTIF($E$4:$E$265,Q$269&amp;" ضد "&amp;$A276))</f>
        <v>0</v>
      </c>
      <c r="R276" s="4">
        <f>IF($A276=R$269,"",COUNTIF($E$4:$E$265,$A276&amp;" ضد "&amp;R$269)+COUNTIF($E$4:$E$265,R$269&amp;" ضد "&amp;$A276))</f>
        <v>0</v>
      </c>
      <c r="S276" s="4">
        <f>IF($A276=S$269,"",COUNTIF($E$4:$E$265,$A276&amp;" ضد "&amp;S$269)+COUNTIF($E$4:$E$265,S$269&amp;" ضد "&amp;$A276))</f>
        <v>0</v>
      </c>
      <c r="T276" s="4">
        <f>IF($A276=T$269,"",COUNTIF($E$4:$E$265,$A276&amp;" ضد "&amp;T$269)+COUNTIF($E$4:$E$265,T$269&amp;" ضد "&amp;$A276))</f>
        <v>0</v>
      </c>
      <c r="U276" s="4">
        <f>IF($A276=U$269,"",COUNTIF($E$4:$E$265,$A276&amp;" ضد "&amp;U$269)+COUNTIF($E$4:$E$265,U$269&amp;" ضد "&amp;$A276))</f>
        <v>0</v>
      </c>
      <c r="V276" s="4">
        <f>IF($A276=V$269,"",COUNTIF($E$4:$E$265,$A276&amp;" ضد "&amp;V$269)+COUNTIF($E$4:$E$265,V$269&amp;" ضد "&amp;$A276))</f>
        <v>0</v>
      </c>
      <c r="W276" s="4">
        <f>IF($A276=W$269,"",COUNTIF($E$4:$E$265,$A276&amp;" ضد "&amp;W$269)+COUNTIF($E$4:$E$265,W$269&amp;" ضد "&amp;$A276))</f>
        <v>0</v>
      </c>
      <c r="X276" s="4">
        <f>IF($A276=X$269,"",COUNTIF($E$4:$E$265,$A276&amp;" ضد "&amp;X$269)+COUNTIF($E$4:$E$265,X$269&amp;" ضد "&amp;$A276))</f>
        <v>0</v>
      </c>
      <c r="Y276" s="4">
        <f>IF($A276=Y$269,"",COUNTIF($E$4:$E$265,$A276&amp;" ضد "&amp;Y$269)+COUNTIF($E$4:$E$265,Y$269&amp;" ضد "&amp;$A276))</f>
        <v>0</v>
      </c>
      <c r="Z276" s="4">
        <f>IF($A276=Z$269,"",COUNTIF($E$4:$E$265,$A276&amp;" ضد "&amp;Z$269)+COUNTIF($E$4:$E$265,Z$269&amp;" ضد "&amp;$A276))</f>
        <v>0</v>
      </c>
      <c r="AA276" s="4">
        <f>IF($A276=AA$269,"",COUNTIF($E$4:$E$265,$A276&amp;" ضد "&amp;AA$269)+COUNTIF($E$4:$E$265,AA$269&amp;" ضد "&amp;$A276))</f>
        <v>0</v>
      </c>
      <c r="AB276" s="4">
        <f>IF($A276=AB$269,"",COUNTIF($E$4:$E$265,$A276&amp;" ضد "&amp;AB$269)+COUNTIF($E$4:$E$265,AB$269&amp;" ضد "&amp;$A276))</f>
        <v>0</v>
      </c>
      <c r="AC276" s="4">
        <f>IF($A276=AC$269,"",COUNTIF($E$4:$E$265,$A276&amp;" ضد "&amp;AC$269)+COUNTIF($E$4:$E$265,AC$269&amp;" ضد "&amp;$A276))</f>
        <v>0</v>
      </c>
      <c r="AD276" s="4">
        <f>IF($A276=AD$269,"",COUNTIF($E$4:$E$265,$A276&amp;" ضد "&amp;AD$269)+COUNTIF($E$4:$E$265,AD$269&amp;" ضد "&amp;$A276))</f>
        <v>0</v>
      </c>
    </row>
    <row r="277" spans="1:30" ht="14.5">
      <c r="A277" s="14">
        <v>8</v>
      </c>
      <c r="B277" s="4">
        <f>IF($A277=B$269,"",COUNTIF($E$4:$E$265,$A277&amp;" ضد "&amp;B$269)+COUNTIF($E$4:$E$265,B$269&amp;" ضد "&amp;$A277))</f>
        <v>1</v>
      </c>
      <c r="C277" s="4">
        <f>IF($A277=C$269,"",COUNTIF($E$4:$E$265,$A277&amp;" ضد "&amp;C$269)+COUNTIF($E$4:$E$265,C$269&amp;" ضد "&amp;$A277))</f>
        <v>1</v>
      </c>
      <c r="D277" s="4">
        <f>IF($A277=D$269,"",COUNTIF($E$4:$E$265,$A277&amp;" ضد "&amp;D$269)+COUNTIF($E$4:$E$265,D$269&amp;" ضد "&amp;$A277))</f>
        <v>1</v>
      </c>
      <c r="E277" s="4">
        <f>IF($A277=E$269,"",COUNTIF($E$4:$E$265,$A277&amp;" ضد "&amp;E$269)+COUNTIF($E$4:$E$265,E$269&amp;" ضد "&amp;$A277))</f>
        <v>1</v>
      </c>
      <c r="F277" s="4">
        <f>IF($A277=F$269,"",COUNTIF($E$4:$E$265,$A277&amp;" ضد "&amp;F$269)+COUNTIF($E$4:$E$265,F$269&amp;" ضد "&amp;$A277))</f>
        <v>1</v>
      </c>
      <c r="G277" s="4">
        <f>IF($A277=G$269,"",COUNTIF($E$4:$E$265,$A277&amp;" ضد "&amp;G$269)+COUNTIF($E$4:$E$265,G$269&amp;" ضد "&amp;$A277))</f>
        <v>2</v>
      </c>
      <c r="H277" s="4">
        <f>IF($A277=H$269,"",COUNTIF($E$4:$E$265,$A277&amp;" ضد "&amp;H$269)+COUNTIF($E$4:$E$265,H$269&amp;" ضد "&amp;$A277))</f>
        <v>2</v>
      </c>
      <c r="I277" s="4" t="str">
        <f>IF($A277=I$269,"",COUNTIF($E$4:$E$265,$A277&amp;" ضد "&amp;I$269)+COUNTIF($E$4:$E$265,I$269&amp;" ضد "&amp;$A277))</f>
        <v/>
      </c>
      <c r="J277" s="4">
        <f>IF($A277=J$269,"",COUNTIF($E$4:$E$265,$A277&amp;" ضد "&amp;J$269)+COUNTIF($E$4:$E$265,J$269&amp;" ضد "&amp;$A277))</f>
        <v>2</v>
      </c>
      <c r="K277" s="4">
        <f>IF($A277=K$269,"",COUNTIF($E$4:$E$265,$A277&amp;" ضد "&amp;K$269)+COUNTIF($E$4:$E$265,K$269&amp;" ضد "&amp;$A277))</f>
        <v>2</v>
      </c>
      <c r="L277" s="4">
        <f>IF($A277=L$269,"",COUNTIF($E$4:$E$265,$A277&amp;" ضد "&amp;L$269)+COUNTIF($E$4:$E$265,L$269&amp;" ضد "&amp;$A277))</f>
        <v>1</v>
      </c>
      <c r="M277" s="4">
        <f>IF($A277=M$269,"",COUNTIF($E$4:$E$265,$A277&amp;" ضد "&amp;M$269)+COUNTIF($E$4:$E$265,M$269&amp;" ضد "&amp;$A277))</f>
        <v>1</v>
      </c>
      <c r="N277" s="4">
        <f>IF($A277=N$269,"",COUNTIF($E$4:$E$265,$A277&amp;" ضد "&amp;N$269)+COUNTIF($E$4:$E$265,N$269&amp;" ضد "&amp;$A277))</f>
        <v>1</v>
      </c>
      <c r="O277" s="4">
        <f>IF($A277=O$269,"",COUNTIF($E$4:$E$265,$A277&amp;" ضد "&amp;O$269)+COUNTIF($E$4:$E$265,O$269&amp;" ضد "&amp;$A277))</f>
        <v>1</v>
      </c>
      <c r="P277" s="4">
        <f>IF($A277=P$269,"",COUNTIF($E$4:$E$265,$A277&amp;" ضد "&amp;P$269)+COUNTIF($E$4:$E$265,P$269&amp;" ضد "&amp;$A277))</f>
        <v>1</v>
      </c>
      <c r="Q277" s="4">
        <f>IF($A277=Q$269,"",COUNTIF($E$4:$E$265,$A277&amp;" ضد "&amp;Q$269)+COUNTIF($E$4:$E$265,Q$269&amp;" ضد "&amp;$A277))</f>
        <v>0</v>
      </c>
      <c r="R277" s="4">
        <f>IF($A277=R$269,"",COUNTIF($E$4:$E$265,$A277&amp;" ضد "&amp;R$269)+COUNTIF($E$4:$E$265,R$269&amp;" ضد "&amp;$A277))</f>
        <v>0</v>
      </c>
      <c r="S277" s="4">
        <f>IF($A277=S$269,"",COUNTIF($E$4:$E$265,$A277&amp;" ضد "&amp;S$269)+COUNTIF($E$4:$E$265,S$269&amp;" ضد "&amp;$A277))</f>
        <v>0</v>
      </c>
      <c r="T277" s="4">
        <f>IF($A277=T$269,"",COUNTIF($E$4:$E$265,$A277&amp;" ضد "&amp;T$269)+COUNTIF($E$4:$E$265,T$269&amp;" ضد "&amp;$A277))</f>
        <v>0</v>
      </c>
      <c r="U277" s="4">
        <f>IF($A277=U$269,"",COUNTIF($E$4:$E$265,$A277&amp;" ضد "&amp;U$269)+COUNTIF($E$4:$E$265,U$269&amp;" ضد "&amp;$A277))</f>
        <v>0</v>
      </c>
      <c r="V277" s="4">
        <f>IF($A277=V$269,"",COUNTIF($E$4:$E$265,$A277&amp;" ضد "&amp;V$269)+COUNTIF($E$4:$E$265,V$269&amp;" ضد "&amp;$A277))</f>
        <v>0</v>
      </c>
      <c r="W277" s="4">
        <f>IF($A277=W$269,"",COUNTIF($E$4:$E$265,$A277&amp;" ضد "&amp;W$269)+COUNTIF($E$4:$E$265,W$269&amp;" ضد "&amp;$A277))</f>
        <v>0</v>
      </c>
      <c r="X277" s="4">
        <f>IF($A277=X$269,"",COUNTIF($E$4:$E$265,$A277&amp;" ضد "&amp;X$269)+COUNTIF($E$4:$E$265,X$269&amp;" ضد "&amp;$A277))</f>
        <v>0</v>
      </c>
      <c r="Y277" s="4">
        <f>IF($A277=Y$269,"",COUNTIF($E$4:$E$265,$A277&amp;" ضد "&amp;Y$269)+COUNTIF($E$4:$E$265,Y$269&amp;" ضد "&amp;$A277))</f>
        <v>0</v>
      </c>
      <c r="Z277" s="4">
        <f>IF($A277=Z$269,"",COUNTIF($E$4:$E$265,$A277&amp;" ضد "&amp;Z$269)+COUNTIF($E$4:$E$265,Z$269&amp;" ضد "&amp;$A277))</f>
        <v>0</v>
      </c>
      <c r="AA277" s="4">
        <f>IF($A277=AA$269,"",COUNTIF($E$4:$E$265,$A277&amp;" ضد "&amp;AA$269)+COUNTIF($E$4:$E$265,AA$269&amp;" ضد "&amp;$A277))</f>
        <v>0</v>
      </c>
      <c r="AB277" s="4">
        <f>IF($A277=AB$269,"",COUNTIF($E$4:$E$265,$A277&amp;" ضد "&amp;AB$269)+COUNTIF($E$4:$E$265,AB$269&amp;" ضد "&amp;$A277))</f>
        <v>0</v>
      </c>
      <c r="AC277" s="4">
        <f>IF($A277=AC$269,"",COUNTIF($E$4:$E$265,$A277&amp;" ضد "&amp;AC$269)+COUNTIF($E$4:$E$265,AC$269&amp;" ضد "&amp;$A277))</f>
        <v>0</v>
      </c>
      <c r="AD277" s="4">
        <f>IF($A277=AD$269,"",COUNTIF($E$4:$E$265,$A277&amp;" ضد "&amp;AD$269)+COUNTIF($E$4:$E$265,AD$269&amp;" ضد "&amp;$A277))</f>
        <v>0</v>
      </c>
    </row>
    <row r="278" spans="1:30" ht="14.5">
      <c r="A278" s="14">
        <v>9</v>
      </c>
      <c r="B278" s="4">
        <f>IF($A278=B$269,"",COUNTIF($E$4:$E$265,$A278&amp;" ضد "&amp;B$269)+COUNTIF($E$4:$E$265,B$269&amp;" ضد "&amp;$A278))</f>
        <v>1</v>
      </c>
      <c r="C278" s="4">
        <f>IF($A278=C$269,"",COUNTIF($E$4:$E$265,$A278&amp;" ضد "&amp;C$269)+COUNTIF($E$4:$E$265,C$269&amp;" ضد "&amp;$A278))</f>
        <v>1</v>
      </c>
      <c r="D278" s="4">
        <f>IF($A278=D$269,"",COUNTIF($E$4:$E$265,$A278&amp;" ضد "&amp;D$269)+COUNTIF($E$4:$E$265,D$269&amp;" ضد "&amp;$A278))</f>
        <v>1</v>
      </c>
      <c r="E278" s="4">
        <f>IF($A278=E$269,"",COUNTIF($E$4:$E$265,$A278&amp;" ضد "&amp;E$269)+COUNTIF($E$4:$E$265,E$269&amp;" ضد "&amp;$A278))</f>
        <v>1</v>
      </c>
      <c r="F278" s="4">
        <f>IF($A278=F$269,"",COUNTIF($E$4:$E$265,$A278&amp;" ضد "&amp;F$269)+COUNTIF($E$4:$E$265,F$269&amp;" ضد "&amp;$A278))</f>
        <v>1</v>
      </c>
      <c r="G278" s="4">
        <f>IF($A278=G$269,"",COUNTIF($E$4:$E$265,$A278&amp;" ضد "&amp;G$269)+COUNTIF($E$4:$E$265,G$269&amp;" ضد "&amp;$A278))</f>
        <v>1</v>
      </c>
      <c r="H278" s="4">
        <f>IF($A278=H$269,"",COUNTIF($E$4:$E$265,$A278&amp;" ضد "&amp;H$269)+COUNTIF($E$4:$E$265,H$269&amp;" ضد "&amp;$A278))</f>
        <v>2</v>
      </c>
      <c r="I278" s="4">
        <f>IF($A278=I$269,"",COUNTIF($E$4:$E$265,$A278&amp;" ضد "&amp;I$269)+COUNTIF($E$4:$E$265,I$269&amp;" ضد "&amp;$A278))</f>
        <v>2</v>
      </c>
      <c r="J278" s="4" t="str">
        <f>IF($A278=J$269,"",COUNTIF($E$4:$E$265,$A278&amp;" ضد "&amp;J$269)+COUNTIF($E$4:$E$265,J$269&amp;" ضد "&amp;$A278))</f>
        <v/>
      </c>
      <c r="K278" s="4">
        <f>IF($A278=K$269,"",COUNTIF($E$4:$E$265,$A278&amp;" ضد "&amp;K$269)+COUNTIF($E$4:$E$265,K$269&amp;" ضد "&amp;$A278))</f>
        <v>2</v>
      </c>
      <c r="L278" s="4">
        <f>IF($A278=L$269,"",COUNTIF($E$4:$E$265,$A278&amp;" ضد "&amp;L$269)+COUNTIF($E$4:$E$265,L$269&amp;" ضد "&amp;$A278))</f>
        <v>2</v>
      </c>
      <c r="M278" s="4">
        <f>IF($A278=M$269,"",COUNTIF($E$4:$E$265,$A278&amp;" ضد "&amp;M$269)+COUNTIF($E$4:$E$265,M$269&amp;" ضد "&amp;$A278))</f>
        <v>1</v>
      </c>
      <c r="N278" s="4">
        <f>IF($A278=N$269,"",COUNTIF($E$4:$E$265,$A278&amp;" ضد "&amp;N$269)+COUNTIF($E$4:$E$265,N$269&amp;" ضد "&amp;$A278))</f>
        <v>1</v>
      </c>
      <c r="O278" s="4">
        <f>IF($A278=O$269,"",COUNTIF($E$4:$E$265,$A278&amp;" ضد "&amp;O$269)+COUNTIF($E$4:$E$265,O$269&amp;" ضد "&amp;$A278))</f>
        <v>1</v>
      </c>
      <c r="P278" s="4">
        <f>IF($A278=P$269,"",COUNTIF($E$4:$E$265,$A278&amp;" ضد "&amp;P$269)+COUNTIF($E$4:$E$265,P$269&amp;" ضد "&amp;$A278))</f>
        <v>1</v>
      </c>
      <c r="Q278" s="4">
        <f>IF($A278=Q$269,"",COUNTIF($E$4:$E$265,$A278&amp;" ضد "&amp;Q$269)+COUNTIF($E$4:$E$265,Q$269&amp;" ضد "&amp;$A278))</f>
        <v>0</v>
      </c>
      <c r="R278" s="4">
        <f>IF($A278=R$269,"",COUNTIF($E$4:$E$265,$A278&amp;" ضد "&amp;R$269)+COUNTIF($E$4:$E$265,R$269&amp;" ضد "&amp;$A278))</f>
        <v>0</v>
      </c>
      <c r="S278" s="4">
        <f>IF($A278=S$269,"",COUNTIF($E$4:$E$265,$A278&amp;" ضد "&amp;S$269)+COUNTIF($E$4:$E$265,S$269&amp;" ضد "&amp;$A278))</f>
        <v>0</v>
      </c>
      <c r="T278" s="4">
        <f>IF($A278=T$269,"",COUNTIF($E$4:$E$265,$A278&amp;" ضد "&amp;T$269)+COUNTIF($E$4:$E$265,T$269&amp;" ضد "&amp;$A278))</f>
        <v>0</v>
      </c>
      <c r="U278" s="4">
        <f>IF($A278=U$269,"",COUNTIF($E$4:$E$265,$A278&amp;" ضد "&amp;U$269)+COUNTIF($E$4:$E$265,U$269&amp;" ضد "&amp;$A278))</f>
        <v>0</v>
      </c>
      <c r="V278" s="4">
        <f>IF($A278=V$269,"",COUNTIF($E$4:$E$265,$A278&amp;" ضد "&amp;V$269)+COUNTIF($E$4:$E$265,V$269&amp;" ضد "&amp;$A278))</f>
        <v>0</v>
      </c>
      <c r="W278" s="4">
        <f>IF($A278=W$269,"",COUNTIF($E$4:$E$265,$A278&amp;" ضد "&amp;W$269)+COUNTIF($E$4:$E$265,W$269&amp;" ضد "&amp;$A278))</f>
        <v>0</v>
      </c>
      <c r="X278" s="4">
        <f>IF($A278=X$269,"",COUNTIF($E$4:$E$265,$A278&amp;" ضد "&amp;X$269)+COUNTIF($E$4:$E$265,X$269&amp;" ضد "&amp;$A278))</f>
        <v>0</v>
      </c>
      <c r="Y278" s="4">
        <f>IF($A278=Y$269,"",COUNTIF($E$4:$E$265,$A278&amp;" ضد "&amp;Y$269)+COUNTIF($E$4:$E$265,Y$269&amp;" ضد "&amp;$A278))</f>
        <v>0</v>
      </c>
      <c r="Z278" s="4">
        <f>IF($A278=Z$269,"",COUNTIF($E$4:$E$265,$A278&amp;" ضد "&amp;Z$269)+COUNTIF($E$4:$E$265,Z$269&amp;" ضد "&amp;$A278))</f>
        <v>0</v>
      </c>
      <c r="AA278" s="4">
        <f>IF($A278=AA$269,"",COUNTIF($E$4:$E$265,$A278&amp;" ضد "&amp;AA$269)+COUNTIF($E$4:$E$265,AA$269&amp;" ضد "&amp;$A278))</f>
        <v>0</v>
      </c>
      <c r="AB278" s="4">
        <f>IF($A278=AB$269,"",COUNTIF($E$4:$E$265,$A278&amp;" ضد "&amp;AB$269)+COUNTIF($E$4:$E$265,AB$269&amp;" ضد "&amp;$A278))</f>
        <v>0</v>
      </c>
      <c r="AC278" s="4">
        <f>IF($A278=AC$269,"",COUNTIF($E$4:$E$265,$A278&amp;" ضد "&amp;AC$269)+COUNTIF($E$4:$E$265,AC$269&amp;" ضد "&amp;$A278))</f>
        <v>0</v>
      </c>
      <c r="AD278" s="4">
        <f>IF($A278=AD$269,"",COUNTIF($E$4:$E$265,$A278&amp;" ضد "&amp;AD$269)+COUNTIF($E$4:$E$265,AD$269&amp;" ضد "&amp;$A278))</f>
        <v>0</v>
      </c>
    </row>
    <row r="279" spans="1:30" ht="14.5">
      <c r="A279" s="14">
        <v>10</v>
      </c>
      <c r="B279" s="4">
        <f>IF($A279=B$269,"",COUNTIF($E$4:$E$265,$A279&amp;" ضد "&amp;B$269)+COUNTIF($E$4:$E$265,B$269&amp;" ضد "&amp;$A279))</f>
        <v>1</v>
      </c>
      <c r="C279" s="4">
        <f>IF($A279=C$269,"",COUNTIF($E$4:$E$265,$A279&amp;" ضد "&amp;C$269)+COUNTIF($E$4:$E$265,C$269&amp;" ضد "&amp;$A279))</f>
        <v>1</v>
      </c>
      <c r="D279" s="4">
        <f>IF($A279=D$269,"",COUNTIF($E$4:$E$265,$A279&amp;" ضد "&amp;D$269)+COUNTIF($E$4:$E$265,D$269&amp;" ضد "&amp;$A279))</f>
        <v>1</v>
      </c>
      <c r="E279" s="4">
        <f>IF($A279=E$269,"",COUNTIF($E$4:$E$265,$A279&amp;" ضد "&amp;E$269)+COUNTIF($E$4:$E$265,E$269&amp;" ضد "&amp;$A279))</f>
        <v>1</v>
      </c>
      <c r="F279" s="4">
        <f>IF($A279=F$269,"",COUNTIF($E$4:$E$265,$A279&amp;" ضد "&amp;F$269)+COUNTIF($E$4:$E$265,F$269&amp;" ضد "&amp;$A279))</f>
        <v>1</v>
      </c>
      <c r="G279" s="4">
        <f>IF($A279=G$269,"",COUNTIF($E$4:$E$265,$A279&amp;" ضد "&amp;G$269)+COUNTIF($E$4:$E$265,G$269&amp;" ضد "&amp;$A279))</f>
        <v>1</v>
      </c>
      <c r="H279" s="4">
        <f>IF($A279=H$269,"",COUNTIF($E$4:$E$265,$A279&amp;" ضد "&amp;H$269)+COUNTIF($E$4:$E$265,H$269&amp;" ضد "&amp;$A279))</f>
        <v>1</v>
      </c>
      <c r="I279" s="4">
        <f>IF($A279=I$269,"",COUNTIF($E$4:$E$265,$A279&amp;" ضد "&amp;I$269)+COUNTIF($E$4:$E$265,I$269&amp;" ضد "&amp;$A279))</f>
        <v>2</v>
      </c>
      <c r="J279" s="4">
        <f>IF($A279=J$269,"",COUNTIF($E$4:$E$265,$A279&amp;" ضد "&amp;J$269)+COUNTIF($E$4:$E$265,J$269&amp;" ضد "&amp;$A279))</f>
        <v>2</v>
      </c>
      <c r="K279" s="4" t="str">
        <f>IF($A279=K$269,"",COUNTIF($E$4:$E$265,$A279&amp;" ضد "&amp;K$269)+COUNTIF($E$4:$E$265,K$269&amp;" ضد "&amp;$A279))</f>
        <v/>
      </c>
      <c r="L279" s="4">
        <f>IF($A279=L$269,"",COUNTIF($E$4:$E$265,$A279&amp;" ضد "&amp;L$269)+COUNTIF($E$4:$E$265,L$269&amp;" ضد "&amp;$A279))</f>
        <v>2</v>
      </c>
      <c r="M279" s="4">
        <f>IF($A279=M$269,"",COUNTIF($E$4:$E$265,$A279&amp;" ضد "&amp;M$269)+COUNTIF($E$4:$E$265,M$269&amp;" ضد "&amp;$A279))</f>
        <v>2</v>
      </c>
      <c r="N279" s="4">
        <f>IF($A279=N$269,"",COUNTIF($E$4:$E$265,$A279&amp;" ضد "&amp;N$269)+COUNTIF($E$4:$E$265,N$269&amp;" ضد "&amp;$A279))</f>
        <v>1</v>
      </c>
      <c r="O279" s="4">
        <f>IF($A279=O$269,"",COUNTIF($E$4:$E$265,$A279&amp;" ضد "&amp;O$269)+COUNTIF($E$4:$E$265,O$269&amp;" ضد "&amp;$A279))</f>
        <v>1</v>
      </c>
      <c r="P279" s="4">
        <f>IF($A279=P$269,"",COUNTIF($E$4:$E$265,$A279&amp;" ضد "&amp;P$269)+COUNTIF($E$4:$E$265,P$269&amp;" ضد "&amp;$A279))</f>
        <v>1</v>
      </c>
      <c r="Q279" s="4">
        <f>IF($A279=Q$269,"",COUNTIF($E$4:$E$265,$A279&amp;" ضد "&amp;Q$269)+COUNTIF($E$4:$E$265,Q$269&amp;" ضد "&amp;$A279))</f>
        <v>0</v>
      </c>
      <c r="R279" s="4">
        <f>IF($A279=R$269,"",COUNTIF($E$4:$E$265,$A279&amp;" ضد "&amp;R$269)+COUNTIF($E$4:$E$265,R$269&amp;" ضد "&amp;$A279))</f>
        <v>0</v>
      </c>
      <c r="S279" s="4">
        <f>IF($A279=S$269,"",COUNTIF($E$4:$E$265,$A279&amp;" ضد "&amp;S$269)+COUNTIF($E$4:$E$265,S$269&amp;" ضد "&amp;$A279))</f>
        <v>0</v>
      </c>
      <c r="T279" s="4">
        <f>IF($A279=T$269,"",COUNTIF($E$4:$E$265,$A279&amp;" ضد "&amp;T$269)+COUNTIF($E$4:$E$265,T$269&amp;" ضد "&amp;$A279))</f>
        <v>0</v>
      </c>
      <c r="U279" s="4">
        <f>IF($A279=U$269,"",COUNTIF($E$4:$E$265,$A279&amp;" ضد "&amp;U$269)+COUNTIF($E$4:$E$265,U$269&amp;" ضد "&amp;$A279))</f>
        <v>0</v>
      </c>
      <c r="V279" s="4">
        <f>IF($A279=V$269,"",COUNTIF($E$4:$E$265,$A279&amp;" ضد "&amp;V$269)+COUNTIF($E$4:$E$265,V$269&amp;" ضد "&amp;$A279))</f>
        <v>0</v>
      </c>
      <c r="W279" s="4">
        <f>IF($A279=W$269,"",COUNTIF($E$4:$E$265,$A279&amp;" ضد "&amp;W$269)+COUNTIF($E$4:$E$265,W$269&amp;" ضد "&amp;$A279))</f>
        <v>0</v>
      </c>
      <c r="X279" s="4">
        <f>IF($A279=X$269,"",COUNTIF($E$4:$E$265,$A279&amp;" ضد "&amp;X$269)+COUNTIF($E$4:$E$265,X$269&amp;" ضد "&amp;$A279))</f>
        <v>0</v>
      </c>
      <c r="Y279" s="4">
        <f>IF($A279=Y$269,"",COUNTIF($E$4:$E$265,$A279&amp;" ضد "&amp;Y$269)+COUNTIF($E$4:$E$265,Y$269&amp;" ضد "&amp;$A279))</f>
        <v>0</v>
      </c>
      <c r="Z279" s="4">
        <f>IF($A279=Z$269,"",COUNTIF($E$4:$E$265,$A279&amp;" ضد "&amp;Z$269)+COUNTIF($E$4:$E$265,Z$269&amp;" ضد "&amp;$A279))</f>
        <v>0</v>
      </c>
      <c r="AA279" s="4">
        <f>IF($A279=AA$269,"",COUNTIF($E$4:$E$265,$A279&amp;" ضد "&amp;AA$269)+COUNTIF($E$4:$E$265,AA$269&amp;" ضد "&amp;$A279))</f>
        <v>0</v>
      </c>
      <c r="AB279" s="4">
        <f>IF($A279=AB$269,"",COUNTIF($E$4:$E$265,$A279&amp;" ضد "&amp;AB$269)+COUNTIF($E$4:$E$265,AB$269&amp;" ضد "&amp;$A279))</f>
        <v>0</v>
      </c>
      <c r="AC279" s="4">
        <f>IF($A279=AC$269,"",COUNTIF($E$4:$E$265,$A279&amp;" ضد "&amp;AC$269)+COUNTIF($E$4:$E$265,AC$269&amp;" ضد "&amp;$A279))</f>
        <v>0</v>
      </c>
      <c r="AD279" s="4">
        <f>IF($A279=AD$269,"",COUNTIF($E$4:$E$265,$A279&amp;" ضد "&amp;AD$269)+COUNTIF($E$4:$E$265,AD$269&amp;" ضد "&amp;$A279))</f>
        <v>0</v>
      </c>
    </row>
    <row r="280" spans="1:30" ht="14.5">
      <c r="A280" s="14">
        <v>11</v>
      </c>
      <c r="B280" s="4">
        <f>IF($A280=B$269,"",COUNTIF($E$4:$E$265,$A280&amp;" ضد "&amp;B$269)+COUNTIF($E$4:$E$265,B$269&amp;" ضد "&amp;$A280))</f>
        <v>1</v>
      </c>
      <c r="C280" s="4">
        <f>IF($A280=C$269,"",COUNTIF($E$4:$E$265,$A280&amp;" ضد "&amp;C$269)+COUNTIF($E$4:$E$265,C$269&amp;" ضد "&amp;$A280))</f>
        <v>1</v>
      </c>
      <c r="D280" s="4">
        <f>IF($A280=D$269,"",COUNTIF($E$4:$E$265,$A280&amp;" ضد "&amp;D$269)+COUNTIF($E$4:$E$265,D$269&amp;" ضد "&amp;$A280))</f>
        <v>1</v>
      </c>
      <c r="E280" s="4">
        <f>IF($A280=E$269,"",COUNTIF($E$4:$E$265,$A280&amp;" ضد "&amp;E$269)+COUNTIF($E$4:$E$265,E$269&amp;" ضد "&amp;$A280))</f>
        <v>1</v>
      </c>
      <c r="F280" s="4">
        <f>IF($A280=F$269,"",COUNTIF($E$4:$E$265,$A280&amp;" ضد "&amp;F$269)+COUNTIF($E$4:$E$265,F$269&amp;" ضد "&amp;$A280))</f>
        <v>1</v>
      </c>
      <c r="G280" s="4">
        <f>IF($A280=G$269,"",COUNTIF($E$4:$E$265,$A280&amp;" ضد "&amp;G$269)+COUNTIF($E$4:$E$265,G$269&amp;" ضد "&amp;$A280))</f>
        <v>1</v>
      </c>
      <c r="H280" s="4">
        <f>IF($A280=H$269,"",COUNTIF($E$4:$E$265,$A280&amp;" ضد "&amp;H$269)+COUNTIF($E$4:$E$265,H$269&amp;" ضد "&amp;$A280))</f>
        <v>1</v>
      </c>
      <c r="I280" s="4">
        <f>IF($A280=I$269,"",COUNTIF($E$4:$E$265,$A280&amp;" ضد "&amp;I$269)+COUNTIF($E$4:$E$265,I$269&amp;" ضد "&amp;$A280))</f>
        <v>1</v>
      </c>
      <c r="J280" s="4">
        <f>IF($A280=J$269,"",COUNTIF($E$4:$E$265,$A280&amp;" ضد "&amp;J$269)+COUNTIF($E$4:$E$265,J$269&amp;" ضد "&amp;$A280))</f>
        <v>2</v>
      </c>
      <c r="K280" s="4">
        <f>IF($A280=K$269,"",COUNTIF($E$4:$E$265,$A280&amp;" ضد "&amp;K$269)+COUNTIF($E$4:$E$265,K$269&amp;" ضد "&amp;$A280))</f>
        <v>2</v>
      </c>
      <c r="L280" s="4" t="str">
        <f>IF($A280=L$269,"",COUNTIF($E$4:$E$265,$A280&amp;" ضد "&amp;L$269)+COUNTIF($E$4:$E$265,L$269&amp;" ضد "&amp;$A280))</f>
        <v/>
      </c>
      <c r="M280" s="4">
        <f>IF($A280=M$269,"",COUNTIF($E$4:$E$265,$A280&amp;" ضد "&amp;M$269)+COUNTIF($E$4:$E$265,M$269&amp;" ضد "&amp;$A280))</f>
        <v>2</v>
      </c>
      <c r="N280" s="4">
        <f>IF($A280=N$269,"",COUNTIF($E$4:$E$265,$A280&amp;" ضد "&amp;N$269)+COUNTIF($E$4:$E$265,N$269&amp;" ضد "&amp;$A280))</f>
        <v>2</v>
      </c>
      <c r="O280" s="4">
        <f>IF($A280=O$269,"",COUNTIF($E$4:$E$265,$A280&amp;" ضد "&amp;O$269)+COUNTIF($E$4:$E$265,O$269&amp;" ضد "&amp;$A280))</f>
        <v>1</v>
      </c>
      <c r="P280" s="4">
        <f>IF($A280=P$269,"",COUNTIF($E$4:$E$265,$A280&amp;" ضد "&amp;P$269)+COUNTIF($E$4:$E$265,P$269&amp;" ضد "&amp;$A280))</f>
        <v>1</v>
      </c>
      <c r="Q280" s="4">
        <f>IF($A280=Q$269,"",COUNTIF($E$4:$E$265,$A280&amp;" ضد "&amp;Q$269)+COUNTIF($E$4:$E$265,Q$269&amp;" ضد "&amp;$A280))</f>
        <v>0</v>
      </c>
      <c r="R280" s="4">
        <f>IF($A280=R$269,"",COUNTIF($E$4:$E$265,$A280&amp;" ضد "&amp;R$269)+COUNTIF($E$4:$E$265,R$269&amp;" ضد "&amp;$A280))</f>
        <v>0</v>
      </c>
      <c r="S280" s="4">
        <f>IF($A280=S$269,"",COUNTIF($E$4:$E$265,$A280&amp;" ضد "&amp;S$269)+COUNTIF($E$4:$E$265,S$269&amp;" ضد "&amp;$A280))</f>
        <v>0</v>
      </c>
      <c r="T280" s="4">
        <f>IF($A280=T$269,"",COUNTIF($E$4:$E$265,$A280&amp;" ضد "&amp;T$269)+COUNTIF($E$4:$E$265,T$269&amp;" ضد "&amp;$A280))</f>
        <v>0</v>
      </c>
      <c r="U280" s="4">
        <f>IF($A280=U$269,"",COUNTIF($E$4:$E$265,$A280&amp;" ضد "&amp;U$269)+COUNTIF($E$4:$E$265,U$269&amp;" ضد "&amp;$A280))</f>
        <v>0</v>
      </c>
      <c r="V280" s="4">
        <f>IF($A280=V$269,"",COUNTIF($E$4:$E$265,$A280&amp;" ضد "&amp;V$269)+COUNTIF($E$4:$E$265,V$269&amp;" ضد "&amp;$A280))</f>
        <v>0</v>
      </c>
      <c r="W280" s="4">
        <f>IF($A280=W$269,"",COUNTIF($E$4:$E$265,$A280&amp;" ضد "&amp;W$269)+COUNTIF($E$4:$E$265,W$269&amp;" ضد "&amp;$A280))</f>
        <v>0</v>
      </c>
      <c r="X280" s="4">
        <f>IF($A280=X$269,"",COUNTIF($E$4:$E$265,$A280&amp;" ضد "&amp;X$269)+COUNTIF($E$4:$E$265,X$269&amp;" ضد "&amp;$A280))</f>
        <v>0</v>
      </c>
      <c r="Y280" s="4">
        <f>IF($A280=Y$269,"",COUNTIF($E$4:$E$265,$A280&amp;" ضد "&amp;Y$269)+COUNTIF($E$4:$E$265,Y$269&amp;" ضد "&amp;$A280))</f>
        <v>0</v>
      </c>
      <c r="Z280" s="4">
        <f>IF($A280=Z$269,"",COUNTIF($E$4:$E$265,$A280&amp;" ضد "&amp;Z$269)+COUNTIF($E$4:$E$265,Z$269&amp;" ضد "&amp;$A280))</f>
        <v>0</v>
      </c>
      <c r="AA280" s="4">
        <f>IF($A280=AA$269,"",COUNTIF($E$4:$E$265,$A280&amp;" ضد "&amp;AA$269)+COUNTIF($E$4:$E$265,AA$269&amp;" ضد "&amp;$A280))</f>
        <v>0</v>
      </c>
      <c r="AB280" s="4">
        <f>IF($A280=AB$269,"",COUNTIF($E$4:$E$265,$A280&amp;" ضد "&amp;AB$269)+COUNTIF($E$4:$E$265,AB$269&amp;" ضد "&amp;$A280))</f>
        <v>0</v>
      </c>
      <c r="AC280" s="4">
        <f>IF($A280=AC$269,"",COUNTIF($E$4:$E$265,$A280&amp;" ضد "&amp;AC$269)+COUNTIF($E$4:$E$265,AC$269&amp;" ضد "&amp;$A280))</f>
        <v>0</v>
      </c>
      <c r="AD280" s="4">
        <f>IF($A280=AD$269,"",COUNTIF($E$4:$E$265,$A280&amp;" ضد "&amp;AD$269)+COUNTIF($E$4:$E$265,AD$269&amp;" ضد "&amp;$A280))</f>
        <v>0</v>
      </c>
    </row>
    <row r="281" spans="1:30" ht="14.5">
      <c r="A281" s="14">
        <v>12</v>
      </c>
      <c r="B281" s="4">
        <f>IF($A281=B$269,"",COUNTIF($E$4:$E$265,$A281&amp;" ضد "&amp;B$269)+COUNTIF($E$4:$E$265,B$269&amp;" ضد "&amp;$A281))</f>
        <v>1</v>
      </c>
      <c r="C281" s="4">
        <f>IF($A281=C$269,"",COUNTIF($E$4:$E$265,$A281&amp;" ضد "&amp;C$269)+COUNTIF($E$4:$E$265,C$269&amp;" ضد "&amp;$A281))</f>
        <v>1</v>
      </c>
      <c r="D281" s="4">
        <f>IF($A281=D$269,"",COUNTIF($E$4:$E$265,$A281&amp;" ضد "&amp;D$269)+COUNTIF($E$4:$E$265,D$269&amp;" ضد "&amp;$A281))</f>
        <v>1</v>
      </c>
      <c r="E281" s="4">
        <f>IF($A281=E$269,"",COUNTIF($E$4:$E$265,$A281&amp;" ضد "&amp;E$269)+COUNTIF($E$4:$E$265,E$269&amp;" ضد "&amp;$A281))</f>
        <v>1</v>
      </c>
      <c r="F281" s="4">
        <f>IF($A281=F$269,"",COUNTIF($E$4:$E$265,$A281&amp;" ضد "&amp;F$269)+COUNTIF($E$4:$E$265,F$269&amp;" ضد "&amp;$A281))</f>
        <v>1</v>
      </c>
      <c r="G281" s="4">
        <f>IF($A281=G$269,"",COUNTIF($E$4:$E$265,$A281&amp;" ضد "&amp;G$269)+COUNTIF($E$4:$E$265,G$269&amp;" ضد "&amp;$A281))</f>
        <v>1</v>
      </c>
      <c r="H281" s="4">
        <f>IF($A281=H$269,"",COUNTIF($E$4:$E$265,$A281&amp;" ضد "&amp;H$269)+COUNTIF($E$4:$E$265,H$269&amp;" ضد "&amp;$A281))</f>
        <v>1</v>
      </c>
      <c r="I281" s="4">
        <f>IF($A281=I$269,"",COUNTIF($E$4:$E$265,$A281&amp;" ضد "&amp;I$269)+COUNTIF($E$4:$E$265,I$269&amp;" ضد "&amp;$A281))</f>
        <v>1</v>
      </c>
      <c r="J281" s="4">
        <f>IF($A281=J$269,"",COUNTIF($E$4:$E$265,$A281&amp;" ضد "&amp;J$269)+COUNTIF($E$4:$E$265,J$269&amp;" ضد "&amp;$A281))</f>
        <v>1</v>
      </c>
      <c r="K281" s="4">
        <f>IF($A281=K$269,"",COUNTIF($E$4:$E$265,$A281&amp;" ضد "&amp;K$269)+COUNTIF($E$4:$E$265,K$269&amp;" ضد "&amp;$A281))</f>
        <v>2</v>
      </c>
      <c r="L281" s="4">
        <f>IF($A281=L$269,"",COUNTIF($E$4:$E$265,$A281&amp;" ضد "&amp;L$269)+COUNTIF($E$4:$E$265,L$269&amp;" ضد "&amp;$A281))</f>
        <v>2</v>
      </c>
      <c r="M281" s="4" t="str">
        <f>IF($A281=M$269,"",COUNTIF($E$4:$E$265,$A281&amp;" ضد "&amp;M$269)+COUNTIF($E$4:$E$265,M$269&amp;" ضد "&amp;$A281))</f>
        <v/>
      </c>
      <c r="N281" s="4">
        <f>IF($A281=N$269,"",COUNTIF($E$4:$E$265,$A281&amp;" ضد "&amp;N$269)+COUNTIF($E$4:$E$265,N$269&amp;" ضد "&amp;$A281))</f>
        <v>2</v>
      </c>
      <c r="O281" s="4">
        <f>IF($A281=O$269,"",COUNTIF($E$4:$E$265,$A281&amp;" ضد "&amp;O$269)+COUNTIF($E$4:$E$265,O$269&amp;" ضد "&amp;$A281))</f>
        <v>2</v>
      </c>
      <c r="P281" s="4">
        <f>IF($A281=P$269,"",COUNTIF($E$4:$E$265,$A281&amp;" ضد "&amp;P$269)+COUNTIF($E$4:$E$265,P$269&amp;" ضد "&amp;$A281))</f>
        <v>1</v>
      </c>
      <c r="Q281" s="4">
        <f>IF($A281=Q$269,"",COUNTIF($E$4:$E$265,$A281&amp;" ضد "&amp;Q$269)+COUNTIF($E$4:$E$265,Q$269&amp;" ضد "&amp;$A281))</f>
        <v>0</v>
      </c>
      <c r="R281" s="4">
        <f>IF($A281=R$269,"",COUNTIF($E$4:$E$265,$A281&amp;" ضد "&amp;R$269)+COUNTIF($E$4:$E$265,R$269&amp;" ضد "&amp;$A281))</f>
        <v>0</v>
      </c>
      <c r="S281" s="4">
        <f>IF($A281=S$269,"",COUNTIF($E$4:$E$265,$A281&amp;" ضد "&amp;S$269)+COUNTIF($E$4:$E$265,S$269&amp;" ضد "&amp;$A281))</f>
        <v>0</v>
      </c>
      <c r="T281" s="4">
        <f>IF($A281=T$269,"",COUNTIF($E$4:$E$265,$A281&amp;" ضد "&amp;T$269)+COUNTIF($E$4:$E$265,T$269&amp;" ضد "&amp;$A281))</f>
        <v>0</v>
      </c>
      <c r="U281" s="4">
        <f>IF($A281=U$269,"",COUNTIF($E$4:$E$265,$A281&amp;" ضد "&amp;U$269)+COUNTIF($E$4:$E$265,U$269&amp;" ضد "&amp;$A281))</f>
        <v>0</v>
      </c>
      <c r="V281" s="4">
        <f>IF($A281=V$269,"",COUNTIF($E$4:$E$265,$A281&amp;" ضد "&amp;V$269)+COUNTIF($E$4:$E$265,V$269&amp;" ضد "&amp;$A281))</f>
        <v>0</v>
      </c>
      <c r="W281" s="4">
        <f>IF($A281=W$269,"",COUNTIF($E$4:$E$265,$A281&amp;" ضد "&amp;W$269)+COUNTIF($E$4:$E$265,W$269&amp;" ضد "&amp;$A281))</f>
        <v>0</v>
      </c>
      <c r="X281" s="4">
        <f>IF($A281=X$269,"",COUNTIF($E$4:$E$265,$A281&amp;" ضد "&amp;X$269)+COUNTIF($E$4:$E$265,X$269&amp;" ضد "&amp;$A281))</f>
        <v>0</v>
      </c>
      <c r="Y281" s="4">
        <f>IF($A281=Y$269,"",COUNTIF($E$4:$E$265,$A281&amp;" ضد "&amp;Y$269)+COUNTIF($E$4:$E$265,Y$269&amp;" ضد "&amp;$A281))</f>
        <v>0</v>
      </c>
      <c r="Z281" s="4">
        <f>IF($A281=Z$269,"",COUNTIF($E$4:$E$265,$A281&amp;" ضد "&amp;Z$269)+COUNTIF($E$4:$E$265,Z$269&amp;" ضد "&amp;$A281))</f>
        <v>0</v>
      </c>
      <c r="AA281" s="4">
        <f>IF($A281=AA$269,"",COUNTIF($E$4:$E$265,$A281&amp;" ضد "&amp;AA$269)+COUNTIF($E$4:$E$265,AA$269&amp;" ضد "&amp;$A281))</f>
        <v>0</v>
      </c>
      <c r="AB281" s="4">
        <f>IF($A281=AB$269,"",COUNTIF($E$4:$E$265,$A281&amp;" ضد "&amp;AB$269)+COUNTIF($E$4:$E$265,AB$269&amp;" ضد "&amp;$A281))</f>
        <v>0</v>
      </c>
      <c r="AC281" s="4">
        <f>IF($A281=AC$269,"",COUNTIF($E$4:$E$265,$A281&amp;" ضد "&amp;AC$269)+COUNTIF($E$4:$E$265,AC$269&amp;" ضد "&amp;$A281))</f>
        <v>0</v>
      </c>
      <c r="AD281" s="4">
        <f>IF($A281=AD$269,"",COUNTIF($E$4:$E$265,$A281&amp;" ضد "&amp;AD$269)+COUNTIF($E$4:$E$265,AD$269&amp;" ضد "&amp;$A281))</f>
        <v>0</v>
      </c>
    </row>
    <row r="282" spans="1:30" ht="14.5">
      <c r="A282" s="14">
        <v>13</v>
      </c>
      <c r="B282" s="4">
        <f>IF($A282=B$269,"",COUNTIF($E$4:$E$265,$A282&amp;" ضد "&amp;B$269)+COUNTIF($E$4:$E$265,B$269&amp;" ضد "&amp;$A282))</f>
        <v>1</v>
      </c>
      <c r="C282" s="4">
        <f>IF($A282=C$269,"",COUNTIF($E$4:$E$265,$A282&amp;" ضد "&amp;C$269)+COUNTIF($E$4:$E$265,C$269&amp;" ضد "&amp;$A282))</f>
        <v>1</v>
      </c>
      <c r="D282" s="4">
        <f>IF($A282=D$269,"",COUNTIF($E$4:$E$265,$A282&amp;" ضد "&amp;D$269)+COUNTIF($E$4:$E$265,D$269&amp;" ضد "&amp;$A282))</f>
        <v>1</v>
      </c>
      <c r="E282" s="4">
        <f>IF($A282=E$269,"",COUNTIF($E$4:$E$265,$A282&amp;" ضد "&amp;E$269)+COUNTIF($E$4:$E$265,E$269&amp;" ضد "&amp;$A282))</f>
        <v>1</v>
      </c>
      <c r="F282" s="4">
        <f>IF($A282=F$269,"",COUNTIF($E$4:$E$265,$A282&amp;" ضد "&amp;F$269)+COUNTIF($E$4:$E$265,F$269&amp;" ضد "&amp;$A282))</f>
        <v>1</v>
      </c>
      <c r="G282" s="4">
        <f>IF($A282=G$269,"",COUNTIF($E$4:$E$265,$A282&amp;" ضد "&amp;G$269)+COUNTIF($E$4:$E$265,G$269&amp;" ضد "&amp;$A282))</f>
        <v>1</v>
      </c>
      <c r="H282" s="4">
        <f>IF($A282=H$269,"",COUNTIF($E$4:$E$265,$A282&amp;" ضد "&amp;H$269)+COUNTIF($E$4:$E$265,H$269&amp;" ضد "&amp;$A282))</f>
        <v>1</v>
      </c>
      <c r="I282" s="4">
        <f>IF($A282=I$269,"",COUNTIF($E$4:$E$265,$A282&amp;" ضد "&amp;I$269)+COUNTIF($E$4:$E$265,I$269&amp;" ضد "&amp;$A282))</f>
        <v>1</v>
      </c>
      <c r="J282" s="4">
        <f>IF($A282=J$269,"",COUNTIF($E$4:$E$265,$A282&amp;" ضد "&amp;J$269)+COUNTIF($E$4:$E$265,J$269&amp;" ضد "&amp;$A282))</f>
        <v>1</v>
      </c>
      <c r="K282" s="4">
        <f>IF($A282=K$269,"",COUNTIF($E$4:$E$265,$A282&amp;" ضد "&amp;K$269)+COUNTIF($E$4:$E$265,K$269&amp;" ضد "&amp;$A282))</f>
        <v>1</v>
      </c>
      <c r="L282" s="4">
        <f>IF($A282=L$269,"",COUNTIF($E$4:$E$265,$A282&amp;" ضد "&amp;L$269)+COUNTIF($E$4:$E$265,L$269&amp;" ضد "&amp;$A282))</f>
        <v>2</v>
      </c>
      <c r="M282" s="4">
        <f>IF($A282=M$269,"",COUNTIF($E$4:$E$265,$A282&amp;" ضد "&amp;M$269)+COUNTIF($E$4:$E$265,M$269&amp;" ضد "&amp;$A282))</f>
        <v>2</v>
      </c>
      <c r="N282" s="4" t="str">
        <f>IF($A282=N$269,"",COUNTIF($E$4:$E$265,$A282&amp;" ضد "&amp;N$269)+COUNTIF($E$4:$E$265,N$269&amp;" ضد "&amp;$A282))</f>
        <v/>
      </c>
      <c r="O282" s="4">
        <f>IF($A282=O$269,"",COUNTIF($E$4:$E$265,$A282&amp;" ضد "&amp;O$269)+COUNTIF($E$4:$E$265,O$269&amp;" ضد "&amp;$A282))</f>
        <v>2</v>
      </c>
      <c r="P282" s="4">
        <f>IF($A282=P$269,"",COUNTIF($E$4:$E$265,$A282&amp;" ضد "&amp;P$269)+COUNTIF($E$4:$E$265,P$269&amp;" ضد "&amp;$A282))</f>
        <v>2</v>
      </c>
      <c r="Q282" s="4">
        <f>IF($A282=Q$269,"",COUNTIF($E$4:$E$265,$A282&amp;" ضد "&amp;Q$269)+COUNTIF($E$4:$E$265,Q$269&amp;" ضد "&amp;$A282))</f>
        <v>0</v>
      </c>
      <c r="R282" s="4">
        <f>IF($A282=R$269,"",COUNTIF($E$4:$E$265,$A282&amp;" ضد "&amp;R$269)+COUNTIF($E$4:$E$265,R$269&amp;" ضد "&amp;$A282))</f>
        <v>0</v>
      </c>
      <c r="S282" s="4">
        <f>IF($A282=S$269,"",COUNTIF($E$4:$E$265,$A282&amp;" ضد "&amp;S$269)+COUNTIF($E$4:$E$265,S$269&amp;" ضد "&amp;$A282))</f>
        <v>0</v>
      </c>
      <c r="T282" s="4">
        <f>IF($A282=T$269,"",COUNTIF($E$4:$E$265,$A282&amp;" ضد "&amp;T$269)+COUNTIF($E$4:$E$265,T$269&amp;" ضد "&amp;$A282))</f>
        <v>0</v>
      </c>
      <c r="U282" s="4">
        <f>IF($A282=U$269,"",COUNTIF($E$4:$E$265,$A282&amp;" ضد "&amp;U$269)+COUNTIF($E$4:$E$265,U$269&amp;" ضد "&amp;$A282))</f>
        <v>0</v>
      </c>
      <c r="V282" s="4">
        <f>IF($A282=V$269,"",COUNTIF($E$4:$E$265,$A282&amp;" ضد "&amp;V$269)+COUNTIF($E$4:$E$265,V$269&amp;" ضد "&amp;$A282))</f>
        <v>0</v>
      </c>
      <c r="W282" s="4">
        <f>IF($A282=W$269,"",COUNTIF($E$4:$E$265,$A282&amp;" ضد "&amp;W$269)+COUNTIF($E$4:$E$265,W$269&amp;" ضد "&amp;$A282))</f>
        <v>0</v>
      </c>
      <c r="X282" s="4">
        <f>IF($A282=X$269,"",COUNTIF($E$4:$E$265,$A282&amp;" ضد "&amp;X$269)+COUNTIF($E$4:$E$265,X$269&amp;" ضد "&amp;$A282))</f>
        <v>0</v>
      </c>
      <c r="Y282" s="4">
        <f>IF($A282=Y$269,"",COUNTIF($E$4:$E$265,$A282&amp;" ضد "&amp;Y$269)+COUNTIF($E$4:$E$265,Y$269&amp;" ضد "&amp;$A282))</f>
        <v>0</v>
      </c>
      <c r="Z282" s="4">
        <f>IF($A282=Z$269,"",COUNTIF($E$4:$E$265,$A282&amp;" ضد "&amp;Z$269)+COUNTIF($E$4:$E$265,Z$269&amp;" ضد "&amp;$A282))</f>
        <v>0</v>
      </c>
      <c r="AA282" s="4">
        <f>IF($A282=AA$269,"",COUNTIF($E$4:$E$265,$A282&amp;" ضد "&amp;AA$269)+COUNTIF($E$4:$E$265,AA$269&amp;" ضد "&amp;$A282))</f>
        <v>0</v>
      </c>
      <c r="AB282" s="4">
        <f>IF($A282=AB$269,"",COUNTIF($E$4:$E$265,$A282&amp;" ضد "&amp;AB$269)+COUNTIF($E$4:$E$265,AB$269&amp;" ضد "&amp;$A282))</f>
        <v>0</v>
      </c>
      <c r="AC282" s="4">
        <f>IF($A282=AC$269,"",COUNTIF($E$4:$E$265,$A282&amp;" ضد "&amp;AC$269)+COUNTIF($E$4:$E$265,AC$269&amp;" ضد "&amp;$A282))</f>
        <v>0</v>
      </c>
      <c r="AD282" s="4">
        <f>IF($A282=AD$269,"",COUNTIF($E$4:$E$265,$A282&amp;" ضد "&amp;AD$269)+COUNTIF($E$4:$E$265,AD$269&amp;" ضد "&amp;$A282))</f>
        <v>0</v>
      </c>
    </row>
    <row r="283" spans="1:30" ht="14.5">
      <c r="A283" s="14">
        <v>14</v>
      </c>
      <c r="B283" s="4">
        <f>IF($A283=B$269,"",COUNTIF($E$4:$E$265,$A283&amp;" ضد "&amp;B$269)+COUNTIF($E$4:$E$265,B$269&amp;" ضد "&amp;$A283))</f>
        <v>2</v>
      </c>
      <c r="C283" s="4">
        <f>IF($A283=C$269,"",COUNTIF($E$4:$E$265,$A283&amp;" ضد "&amp;C$269)+COUNTIF($E$4:$E$265,C$269&amp;" ضد "&amp;$A283))</f>
        <v>1</v>
      </c>
      <c r="D283" s="4">
        <f>IF($A283=D$269,"",COUNTIF($E$4:$E$265,$A283&amp;" ضد "&amp;D$269)+COUNTIF($E$4:$E$265,D$269&amp;" ضد "&amp;$A283))</f>
        <v>1</v>
      </c>
      <c r="E283" s="4">
        <f>IF($A283=E$269,"",COUNTIF($E$4:$E$265,$A283&amp;" ضد "&amp;E$269)+COUNTIF($E$4:$E$265,E$269&amp;" ضد "&amp;$A283))</f>
        <v>1</v>
      </c>
      <c r="F283" s="4">
        <f>IF($A283=F$269,"",COUNTIF($E$4:$E$265,$A283&amp;" ضد "&amp;F$269)+COUNTIF($E$4:$E$265,F$269&amp;" ضد "&amp;$A283))</f>
        <v>1</v>
      </c>
      <c r="G283" s="4">
        <f>IF($A283=G$269,"",COUNTIF($E$4:$E$265,$A283&amp;" ضد "&amp;G$269)+COUNTIF($E$4:$E$265,G$269&amp;" ضد "&amp;$A283))</f>
        <v>1</v>
      </c>
      <c r="H283" s="4">
        <f>IF($A283=H$269,"",COUNTIF($E$4:$E$265,$A283&amp;" ضد "&amp;H$269)+COUNTIF($E$4:$E$265,H$269&amp;" ضد "&amp;$A283))</f>
        <v>1</v>
      </c>
      <c r="I283" s="4">
        <f>IF($A283=I$269,"",COUNTIF($E$4:$E$265,$A283&amp;" ضد "&amp;I$269)+COUNTIF($E$4:$E$265,I$269&amp;" ضد "&amp;$A283))</f>
        <v>1</v>
      </c>
      <c r="J283" s="4">
        <f>IF($A283=J$269,"",COUNTIF($E$4:$E$265,$A283&amp;" ضد "&amp;J$269)+COUNTIF($E$4:$E$265,J$269&amp;" ضد "&amp;$A283))</f>
        <v>1</v>
      </c>
      <c r="K283" s="4">
        <f>IF($A283=K$269,"",COUNTIF($E$4:$E$265,$A283&amp;" ضد "&amp;K$269)+COUNTIF($E$4:$E$265,K$269&amp;" ضد "&amp;$A283))</f>
        <v>1</v>
      </c>
      <c r="L283" s="4">
        <f>IF($A283=L$269,"",COUNTIF($E$4:$E$265,$A283&amp;" ضد "&amp;L$269)+COUNTIF($E$4:$E$265,L$269&amp;" ضد "&amp;$A283))</f>
        <v>1</v>
      </c>
      <c r="M283" s="4">
        <f>IF($A283=M$269,"",COUNTIF($E$4:$E$265,$A283&amp;" ضد "&amp;M$269)+COUNTIF($E$4:$E$265,M$269&amp;" ضد "&amp;$A283))</f>
        <v>2</v>
      </c>
      <c r="N283" s="4">
        <f>IF($A283=N$269,"",COUNTIF($E$4:$E$265,$A283&amp;" ضد "&amp;N$269)+COUNTIF($E$4:$E$265,N$269&amp;" ضد "&amp;$A283))</f>
        <v>2</v>
      </c>
      <c r="O283" s="4" t="str">
        <f>IF($A283=O$269,"",COUNTIF($E$4:$E$265,$A283&amp;" ضد "&amp;O$269)+COUNTIF($E$4:$E$265,O$269&amp;" ضد "&amp;$A283))</f>
        <v/>
      </c>
      <c r="P283" s="4">
        <f>IF($A283=P$269,"",COUNTIF($E$4:$E$265,$A283&amp;" ضد "&amp;P$269)+COUNTIF($E$4:$E$265,P$269&amp;" ضد "&amp;$A283))</f>
        <v>2</v>
      </c>
      <c r="Q283" s="4">
        <f>IF($A283=Q$269,"",COUNTIF($E$4:$E$265,$A283&amp;" ضد "&amp;Q$269)+COUNTIF($E$4:$E$265,Q$269&amp;" ضد "&amp;$A283))</f>
        <v>0</v>
      </c>
      <c r="R283" s="4">
        <f>IF($A283=R$269,"",COUNTIF($E$4:$E$265,$A283&amp;" ضد "&amp;R$269)+COUNTIF($E$4:$E$265,R$269&amp;" ضد "&amp;$A283))</f>
        <v>0</v>
      </c>
      <c r="S283" s="4">
        <f>IF($A283=S$269,"",COUNTIF($E$4:$E$265,$A283&amp;" ضد "&amp;S$269)+COUNTIF($E$4:$E$265,S$269&amp;" ضد "&amp;$A283))</f>
        <v>0</v>
      </c>
      <c r="T283" s="4">
        <f>IF($A283=T$269,"",COUNTIF($E$4:$E$265,$A283&amp;" ضد "&amp;T$269)+COUNTIF($E$4:$E$265,T$269&amp;" ضد "&amp;$A283))</f>
        <v>0</v>
      </c>
      <c r="U283" s="4">
        <f>IF($A283=U$269,"",COUNTIF($E$4:$E$265,$A283&amp;" ضد "&amp;U$269)+COUNTIF($E$4:$E$265,U$269&amp;" ضد "&amp;$A283))</f>
        <v>0</v>
      </c>
      <c r="V283" s="4">
        <f>IF($A283=V$269,"",COUNTIF($E$4:$E$265,$A283&amp;" ضد "&amp;V$269)+COUNTIF($E$4:$E$265,V$269&amp;" ضد "&amp;$A283))</f>
        <v>0</v>
      </c>
      <c r="W283" s="4">
        <f>IF($A283=W$269,"",COUNTIF($E$4:$E$265,$A283&amp;" ضد "&amp;W$269)+COUNTIF($E$4:$E$265,W$269&amp;" ضد "&amp;$A283))</f>
        <v>0</v>
      </c>
      <c r="X283" s="4">
        <f>IF($A283=X$269,"",COUNTIF($E$4:$E$265,$A283&amp;" ضد "&amp;X$269)+COUNTIF($E$4:$E$265,X$269&amp;" ضد "&amp;$A283))</f>
        <v>0</v>
      </c>
      <c r="Y283" s="4">
        <f>IF($A283=Y$269,"",COUNTIF($E$4:$E$265,$A283&amp;" ضد "&amp;Y$269)+COUNTIF($E$4:$E$265,Y$269&amp;" ضد "&amp;$A283))</f>
        <v>0</v>
      </c>
      <c r="Z283" s="4">
        <f>IF($A283=Z$269,"",COUNTIF($E$4:$E$265,$A283&amp;" ضد "&amp;Z$269)+COUNTIF($E$4:$E$265,Z$269&amp;" ضد "&amp;$A283))</f>
        <v>0</v>
      </c>
      <c r="AA283" s="4">
        <f>IF($A283=AA$269,"",COUNTIF($E$4:$E$265,$A283&amp;" ضد "&amp;AA$269)+COUNTIF($E$4:$E$265,AA$269&amp;" ضد "&amp;$A283))</f>
        <v>0</v>
      </c>
      <c r="AB283" s="4">
        <f>IF($A283=AB$269,"",COUNTIF($E$4:$E$265,$A283&amp;" ضد "&amp;AB$269)+COUNTIF($E$4:$E$265,AB$269&amp;" ضد "&amp;$A283))</f>
        <v>0</v>
      </c>
      <c r="AC283" s="4">
        <f>IF($A283=AC$269,"",COUNTIF($E$4:$E$265,$A283&amp;" ضد "&amp;AC$269)+COUNTIF($E$4:$E$265,AC$269&amp;" ضد "&amp;$A283))</f>
        <v>0</v>
      </c>
      <c r="AD283" s="4">
        <f>IF($A283=AD$269,"",COUNTIF($E$4:$E$265,$A283&amp;" ضد "&amp;AD$269)+COUNTIF($E$4:$E$265,AD$269&amp;" ضد "&amp;$A283))</f>
        <v>0</v>
      </c>
    </row>
    <row r="284" spans="1:30" ht="14.5">
      <c r="A284" s="14">
        <v>15</v>
      </c>
      <c r="B284" s="4">
        <f>IF($A284=B$269,"",COUNTIF($E$4:$E$265,$A284&amp;" ضد "&amp;B$269)+COUNTIF($E$4:$E$265,B$269&amp;" ضد "&amp;$A284))</f>
        <v>2</v>
      </c>
      <c r="C284" s="4">
        <f>IF($A284=C$269,"",COUNTIF($E$4:$E$265,$A284&amp;" ضد "&amp;C$269)+COUNTIF($E$4:$E$265,C$269&amp;" ضد "&amp;$A284))</f>
        <v>2</v>
      </c>
      <c r="D284" s="4">
        <f>IF($A284=D$269,"",COUNTIF($E$4:$E$265,$A284&amp;" ضد "&amp;D$269)+COUNTIF($E$4:$E$265,D$269&amp;" ضد "&amp;$A284))</f>
        <v>1</v>
      </c>
      <c r="E284" s="4">
        <f>IF($A284=E$269,"",COUNTIF($E$4:$E$265,$A284&amp;" ضد "&amp;E$269)+COUNTIF($E$4:$E$265,E$269&amp;" ضد "&amp;$A284))</f>
        <v>1</v>
      </c>
      <c r="F284" s="4">
        <f>IF($A284=F$269,"",COUNTIF($E$4:$E$265,$A284&amp;" ضد "&amp;F$269)+COUNTIF($E$4:$E$265,F$269&amp;" ضد "&amp;$A284))</f>
        <v>1</v>
      </c>
      <c r="G284" s="4">
        <f>IF($A284=G$269,"",COUNTIF($E$4:$E$265,$A284&amp;" ضد "&amp;G$269)+COUNTIF($E$4:$E$265,G$269&amp;" ضد "&amp;$A284))</f>
        <v>1</v>
      </c>
      <c r="H284" s="4">
        <f>IF($A284=H$269,"",COUNTIF($E$4:$E$265,$A284&amp;" ضد "&amp;H$269)+COUNTIF($E$4:$E$265,H$269&amp;" ضد "&amp;$A284))</f>
        <v>1</v>
      </c>
      <c r="I284" s="4">
        <f>IF($A284=I$269,"",COUNTIF($E$4:$E$265,$A284&amp;" ضد "&amp;I$269)+COUNTIF($E$4:$E$265,I$269&amp;" ضد "&amp;$A284))</f>
        <v>1</v>
      </c>
      <c r="J284" s="4">
        <f>IF($A284=J$269,"",COUNTIF($E$4:$E$265,$A284&amp;" ضد "&amp;J$269)+COUNTIF($E$4:$E$265,J$269&amp;" ضد "&amp;$A284))</f>
        <v>1</v>
      </c>
      <c r="K284" s="4">
        <f>IF($A284=K$269,"",COUNTIF($E$4:$E$265,$A284&amp;" ضد "&amp;K$269)+COUNTIF($E$4:$E$265,K$269&amp;" ضد "&amp;$A284))</f>
        <v>1</v>
      </c>
      <c r="L284" s="4">
        <f>IF($A284=L$269,"",COUNTIF($E$4:$E$265,$A284&amp;" ضد "&amp;L$269)+COUNTIF($E$4:$E$265,L$269&amp;" ضد "&amp;$A284))</f>
        <v>1</v>
      </c>
      <c r="M284" s="4">
        <f>IF($A284=M$269,"",COUNTIF($E$4:$E$265,$A284&amp;" ضد "&amp;M$269)+COUNTIF($E$4:$E$265,M$269&amp;" ضد "&amp;$A284))</f>
        <v>1</v>
      </c>
      <c r="N284" s="4">
        <f>IF($A284=N$269,"",COUNTIF($E$4:$E$265,$A284&amp;" ضد "&amp;N$269)+COUNTIF($E$4:$E$265,N$269&amp;" ضد "&amp;$A284))</f>
        <v>2</v>
      </c>
      <c r="O284" s="4">
        <f>IF($A284=O$269,"",COUNTIF($E$4:$E$265,$A284&amp;" ضد "&amp;O$269)+COUNTIF($E$4:$E$265,O$269&amp;" ضد "&amp;$A284))</f>
        <v>2</v>
      </c>
      <c r="P284" s="4" t="str">
        <f>IF($A284=P$269,"",COUNTIF($E$4:$E$265,$A284&amp;" ضد "&amp;P$269)+COUNTIF($E$4:$E$265,P$269&amp;" ضد "&amp;$A284))</f>
        <v/>
      </c>
      <c r="Q284" s="4">
        <f>IF($A284=Q$269,"",COUNTIF($E$4:$E$265,$A284&amp;" ضد "&amp;Q$269)+COUNTIF($E$4:$E$265,Q$269&amp;" ضد "&amp;$A284))</f>
        <v>0</v>
      </c>
      <c r="R284" s="4">
        <f>IF($A284=R$269,"",COUNTIF($E$4:$E$265,$A284&amp;" ضد "&amp;R$269)+COUNTIF($E$4:$E$265,R$269&amp;" ضد "&amp;$A284))</f>
        <v>0</v>
      </c>
      <c r="S284" s="4">
        <f>IF($A284=S$269,"",COUNTIF($E$4:$E$265,$A284&amp;" ضد "&amp;S$269)+COUNTIF($E$4:$E$265,S$269&amp;" ضد "&amp;$A284))</f>
        <v>0</v>
      </c>
      <c r="T284" s="4">
        <f>IF($A284=T$269,"",COUNTIF($E$4:$E$265,$A284&amp;" ضد "&amp;T$269)+COUNTIF($E$4:$E$265,T$269&amp;" ضد "&amp;$A284))</f>
        <v>0</v>
      </c>
      <c r="U284" s="4">
        <f>IF($A284=U$269,"",COUNTIF($E$4:$E$265,$A284&amp;" ضد "&amp;U$269)+COUNTIF($E$4:$E$265,U$269&amp;" ضد "&amp;$A284))</f>
        <v>0</v>
      </c>
      <c r="V284" s="4">
        <f>IF($A284=V$269,"",COUNTIF($E$4:$E$265,$A284&amp;" ضد "&amp;V$269)+COUNTIF($E$4:$E$265,V$269&amp;" ضد "&amp;$A284))</f>
        <v>0</v>
      </c>
      <c r="W284" s="4">
        <f>IF($A284=W$269,"",COUNTIF($E$4:$E$265,$A284&amp;" ضد "&amp;W$269)+COUNTIF($E$4:$E$265,W$269&amp;" ضد "&amp;$A284))</f>
        <v>0</v>
      </c>
      <c r="X284" s="4">
        <f>IF($A284=X$269,"",COUNTIF($E$4:$E$265,$A284&amp;" ضد "&amp;X$269)+COUNTIF($E$4:$E$265,X$269&amp;" ضد "&amp;$A284))</f>
        <v>0</v>
      </c>
      <c r="Y284" s="4">
        <f>IF($A284=Y$269,"",COUNTIF($E$4:$E$265,$A284&amp;" ضد "&amp;Y$269)+COUNTIF($E$4:$E$265,Y$269&amp;" ضد "&amp;$A284))</f>
        <v>0</v>
      </c>
      <c r="Z284" s="4">
        <f>IF($A284=Z$269,"",COUNTIF($E$4:$E$265,$A284&amp;" ضد "&amp;Z$269)+COUNTIF($E$4:$E$265,Z$269&amp;" ضد "&amp;$A284))</f>
        <v>0</v>
      </c>
      <c r="AA284" s="4">
        <f>IF($A284=AA$269,"",COUNTIF($E$4:$E$265,$A284&amp;" ضد "&amp;AA$269)+COUNTIF($E$4:$E$265,AA$269&amp;" ضد "&amp;$A284))</f>
        <v>0</v>
      </c>
      <c r="AB284" s="4">
        <f>IF($A284=AB$269,"",COUNTIF($E$4:$E$265,$A284&amp;" ضد "&amp;AB$269)+COUNTIF($E$4:$E$265,AB$269&amp;" ضد "&amp;$A284))</f>
        <v>0</v>
      </c>
      <c r="AC284" s="4">
        <f>IF($A284=AC$269,"",COUNTIF($E$4:$E$265,$A284&amp;" ضد "&amp;AC$269)+COUNTIF($E$4:$E$265,AC$269&amp;" ضد "&amp;$A284))</f>
        <v>0</v>
      </c>
      <c r="AD284" s="4">
        <f>IF($A284=AD$269,"",COUNTIF($E$4:$E$265,$A284&amp;" ضد "&amp;AD$269)+COUNTIF($E$4:$E$265,AD$269&amp;" ضد "&amp;$A284))</f>
        <v>0</v>
      </c>
    </row>
    <row r="285" spans="1:30" ht="14.5">
      <c r="A285" s="14">
        <v>16</v>
      </c>
      <c r="B285" s="4">
        <f>IF($A285=B$269,"",COUNTIF($E$4:$E$265,$A285&amp;" ضد "&amp;B$269)+COUNTIF($E$4:$E$265,B$269&amp;" ضد "&amp;$A285))</f>
        <v>0</v>
      </c>
      <c r="C285" s="4">
        <f>IF($A285=C$269,"",COUNTIF($E$4:$E$265,$A285&amp;" ضد "&amp;C$269)+COUNTIF($E$4:$E$265,C$269&amp;" ضد "&amp;$A285))</f>
        <v>0</v>
      </c>
      <c r="D285" s="4">
        <f>IF($A285=D$269,"",COUNTIF($E$4:$E$265,$A285&amp;" ضد "&amp;D$269)+COUNTIF($E$4:$E$265,D$269&amp;" ضد "&amp;$A285))</f>
        <v>0</v>
      </c>
      <c r="E285" s="4">
        <f>IF($A285=E$269,"",COUNTIF($E$4:$E$265,$A285&amp;" ضد "&amp;E$269)+COUNTIF($E$4:$E$265,E$269&amp;" ضد "&amp;$A285))</f>
        <v>0</v>
      </c>
      <c r="F285" s="4">
        <f>IF($A285=F$269,"",COUNTIF($E$4:$E$265,$A285&amp;" ضد "&amp;F$269)+COUNTIF($E$4:$E$265,F$269&amp;" ضد "&amp;$A285))</f>
        <v>0</v>
      </c>
      <c r="G285" s="4">
        <f>IF($A285=G$269,"",COUNTIF($E$4:$E$265,$A285&amp;" ضد "&amp;G$269)+COUNTIF($E$4:$E$265,G$269&amp;" ضد "&amp;$A285))</f>
        <v>0</v>
      </c>
      <c r="H285" s="4">
        <f>IF($A285=H$269,"",COUNTIF($E$4:$E$265,$A285&amp;" ضد "&amp;H$269)+COUNTIF($E$4:$E$265,H$269&amp;" ضد "&amp;$A285))</f>
        <v>0</v>
      </c>
      <c r="I285" s="4">
        <f>IF($A285=I$269,"",COUNTIF($E$4:$E$265,$A285&amp;" ضد "&amp;I$269)+COUNTIF($E$4:$E$265,I$269&amp;" ضد "&amp;$A285))</f>
        <v>0</v>
      </c>
      <c r="J285" s="4">
        <f>IF($A285=J$269,"",COUNTIF($E$4:$E$265,$A285&amp;" ضد "&amp;J$269)+COUNTIF($E$4:$E$265,J$269&amp;" ضد "&amp;$A285))</f>
        <v>0</v>
      </c>
      <c r="K285" s="4">
        <f>IF($A285=K$269,"",COUNTIF($E$4:$E$265,$A285&amp;" ضد "&amp;K$269)+COUNTIF($E$4:$E$265,K$269&amp;" ضد "&amp;$A285))</f>
        <v>0</v>
      </c>
      <c r="L285" s="4">
        <f>IF($A285=L$269,"",COUNTIF($E$4:$E$265,$A285&amp;" ضد "&amp;L$269)+COUNTIF($E$4:$E$265,L$269&amp;" ضد "&amp;$A285))</f>
        <v>0</v>
      </c>
      <c r="M285" s="4">
        <f>IF($A285=M$269,"",COUNTIF($E$4:$E$265,$A285&amp;" ضد "&amp;M$269)+COUNTIF($E$4:$E$265,M$269&amp;" ضد "&amp;$A285))</f>
        <v>0</v>
      </c>
      <c r="N285" s="4">
        <f>IF($A285=N$269,"",COUNTIF($E$4:$E$265,$A285&amp;" ضد "&amp;N$269)+COUNTIF($E$4:$E$265,N$269&amp;" ضد "&amp;$A285))</f>
        <v>0</v>
      </c>
      <c r="O285" s="4">
        <f>IF($A285=O$269,"",COUNTIF($E$4:$E$265,$A285&amp;" ضد "&amp;O$269)+COUNTIF($E$4:$E$265,O$269&amp;" ضد "&amp;$A285))</f>
        <v>0</v>
      </c>
      <c r="P285" s="4">
        <f>IF($A285=P$269,"",COUNTIF($E$4:$E$265,$A285&amp;" ضد "&amp;P$269)+COUNTIF($E$4:$E$265,P$269&amp;" ضد "&amp;$A285))</f>
        <v>0</v>
      </c>
      <c r="Q285" s="4" t="str">
        <f>IF($A285=Q$269,"",COUNTIF($E$4:$E$265,$A285&amp;" ضد "&amp;Q$269)+COUNTIF($E$4:$E$265,Q$269&amp;" ضد "&amp;$A285))</f>
        <v/>
      </c>
      <c r="R285" s="4">
        <f>IF($A285=R$269,"",COUNTIF($E$4:$E$265,$A285&amp;" ضد "&amp;R$269)+COUNTIF($E$4:$E$265,R$269&amp;" ضد "&amp;$A285))</f>
        <v>1</v>
      </c>
      <c r="S285" s="4">
        <f>IF($A285=S$269,"",COUNTIF($E$4:$E$265,$A285&amp;" ضد "&amp;S$269)+COUNTIF($E$4:$E$265,S$269&amp;" ضد "&amp;$A285))</f>
        <v>1</v>
      </c>
      <c r="T285" s="4">
        <f>IF($A285=T$269,"",COUNTIF($E$4:$E$265,$A285&amp;" ضد "&amp;T$269)+COUNTIF($E$4:$E$265,T$269&amp;" ضد "&amp;$A285))</f>
        <v>1</v>
      </c>
      <c r="U285" s="4">
        <f>IF($A285=U$269,"",COUNTIF($E$4:$E$265,$A285&amp;" ضد "&amp;U$269)+COUNTIF($E$4:$E$265,U$269&amp;" ضد "&amp;$A285))</f>
        <v>1</v>
      </c>
      <c r="V285" s="4">
        <f>IF($A285=V$269,"",COUNTIF($E$4:$E$265,$A285&amp;" ضد "&amp;V$269)+COUNTIF($E$4:$E$265,V$269&amp;" ضد "&amp;$A285))</f>
        <v>1</v>
      </c>
      <c r="W285" s="4">
        <f>IF($A285=W$269,"",COUNTIF($E$4:$E$265,$A285&amp;" ضد "&amp;W$269)+COUNTIF($E$4:$E$265,W$269&amp;" ضد "&amp;$A285))</f>
        <v>1</v>
      </c>
      <c r="X285" s="4">
        <f>IF($A285=X$269,"",COUNTIF($E$4:$E$265,$A285&amp;" ضد "&amp;X$269)+COUNTIF($E$4:$E$265,X$269&amp;" ضد "&amp;$A285))</f>
        <v>1</v>
      </c>
      <c r="Y285" s="4">
        <f>IF($A285=Y$269,"",COUNTIF($E$4:$E$265,$A285&amp;" ضد "&amp;Y$269)+COUNTIF($E$4:$E$265,Y$269&amp;" ضد "&amp;$A285))</f>
        <v>1</v>
      </c>
      <c r="Z285" s="4">
        <f>IF($A285=Z$269,"",COUNTIF($E$4:$E$265,$A285&amp;" ضد "&amp;Z$269)+COUNTIF($E$4:$E$265,Z$269&amp;" ضد "&amp;$A285))</f>
        <v>2</v>
      </c>
      <c r="AA285" s="4">
        <f>IF($A285=AA$269,"",COUNTIF($E$4:$E$265,$A285&amp;" ضد "&amp;AA$269)+COUNTIF($E$4:$E$265,AA$269&amp;" ضد "&amp;$A285))</f>
        <v>2</v>
      </c>
      <c r="AB285" s="4">
        <f>IF($A285=AB$269,"",COUNTIF($E$4:$E$265,$A285&amp;" ضد "&amp;AB$269)+COUNTIF($E$4:$E$265,AB$269&amp;" ضد "&amp;$A285))</f>
        <v>2</v>
      </c>
      <c r="AC285" s="4">
        <f>IF($A285=AC$269,"",COUNTIF($E$4:$E$265,$A285&amp;" ضد "&amp;AC$269)+COUNTIF($E$4:$E$265,AC$269&amp;" ضد "&amp;$A285))</f>
        <v>2</v>
      </c>
      <c r="AD285" s="4">
        <f>IF($A285=AD$269,"",COUNTIF($E$4:$E$265,$A285&amp;" ضد "&amp;AD$269)+COUNTIF($E$4:$E$265,AD$269&amp;" ضد "&amp;$A285))</f>
        <v>2</v>
      </c>
    </row>
    <row r="286" spans="1:30" ht="14.5">
      <c r="A286" s="14">
        <v>17</v>
      </c>
      <c r="B286" s="4">
        <f>IF($A286=B$269,"",COUNTIF($E$4:$E$265,$A286&amp;" ضد "&amp;B$269)+COUNTIF($E$4:$E$265,B$269&amp;" ضد "&amp;$A286))</f>
        <v>0</v>
      </c>
      <c r="C286" s="4">
        <f>IF($A286=C$269,"",COUNTIF($E$4:$E$265,$A286&amp;" ضد "&amp;C$269)+COUNTIF($E$4:$E$265,C$269&amp;" ضد "&amp;$A286))</f>
        <v>0</v>
      </c>
      <c r="D286" s="4">
        <f>IF($A286=D$269,"",COUNTIF($E$4:$E$265,$A286&amp;" ضد "&amp;D$269)+COUNTIF($E$4:$E$265,D$269&amp;" ضد "&amp;$A286))</f>
        <v>0</v>
      </c>
      <c r="E286" s="4">
        <f>IF($A286=E$269,"",COUNTIF($E$4:$E$265,$A286&amp;" ضد "&amp;E$269)+COUNTIF($E$4:$E$265,E$269&amp;" ضد "&amp;$A286))</f>
        <v>0</v>
      </c>
      <c r="F286" s="4">
        <f>IF($A286=F$269,"",COUNTIF($E$4:$E$265,$A286&amp;" ضد "&amp;F$269)+COUNTIF($E$4:$E$265,F$269&amp;" ضد "&amp;$A286))</f>
        <v>0</v>
      </c>
      <c r="G286" s="4">
        <f>IF($A286=G$269,"",COUNTIF($E$4:$E$265,$A286&amp;" ضد "&amp;G$269)+COUNTIF($E$4:$E$265,G$269&amp;" ضد "&amp;$A286))</f>
        <v>0</v>
      </c>
      <c r="H286" s="4">
        <f>IF($A286=H$269,"",COUNTIF($E$4:$E$265,$A286&amp;" ضد "&amp;H$269)+COUNTIF($E$4:$E$265,H$269&amp;" ضد "&amp;$A286))</f>
        <v>0</v>
      </c>
      <c r="I286" s="4">
        <f>IF($A286=I$269,"",COUNTIF($E$4:$E$265,$A286&amp;" ضد "&amp;I$269)+COUNTIF($E$4:$E$265,I$269&amp;" ضد "&amp;$A286))</f>
        <v>0</v>
      </c>
      <c r="J286" s="4">
        <f>IF($A286=J$269,"",COUNTIF($E$4:$E$265,$A286&amp;" ضد "&amp;J$269)+COUNTIF($E$4:$E$265,J$269&amp;" ضد "&amp;$A286))</f>
        <v>0</v>
      </c>
      <c r="K286" s="4">
        <f>IF($A286=K$269,"",COUNTIF($E$4:$E$265,$A286&amp;" ضد "&amp;K$269)+COUNTIF($E$4:$E$265,K$269&amp;" ضد "&amp;$A286))</f>
        <v>0</v>
      </c>
      <c r="L286" s="4">
        <f>IF($A286=L$269,"",COUNTIF($E$4:$E$265,$A286&amp;" ضد "&amp;L$269)+COUNTIF($E$4:$E$265,L$269&amp;" ضد "&amp;$A286))</f>
        <v>0</v>
      </c>
      <c r="M286" s="4">
        <f>IF($A286=M$269,"",COUNTIF($E$4:$E$265,$A286&amp;" ضد "&amp;M$269)+COUNTIF($E$4:$E$265,M$269&amp;" ضد "&amp;$A286))</f>
        <v>0</v>
      </c>
      <c r="N286" s="4">
        <f>IF($A286=N$269,"",COUNTIF($E$4:$E$265,$A286&amp;" ضد "&amp;N$269)+COUNTIF($E$4:$E$265,N$269&amp;" ضد "&amp;$A286))</f>
        <v>0</v>
      </c>
      <c r="O286" s="4">
        <f>IF($A286=O$269,"",COUNTIF($E$4:$E$265,$A286&amp;" ضد "&amp;O$269)+COUNTIF($E$4:$E$265,O$269&amp;" ضد "&amp;$A286))</f>
        <v>0</v>
      </c>
      <c r="P286" s="4">
        <f>IF($A286=P$269,"",COUNTIF($E$4:$E$265,$A286&amp;" ضد "&amp;P$269)+COUNTIF($E$4:$E$265,P$269&amp;" ضد "&amp;$A286))</f>
        <v>0</v>
      </c>
      <c r="Q286" s="4">
        <f>IF($A286=Q$269,"",COUNTIF($E$4:$E$265,$A286&amp;" ضد "&amp;Q$269)+COUNTIF($E$4:$E$265,Q$269&amp;" ضد "&amp;$A286))</f>
        <v>1</v>
      </c>
      <c r="R286" s="4" t="str">
        <f>IF($A286=R$269,"",COUNTIF($E$4:$E$265,$A286&amp;" ضد "&amp;R$269)+COUNTIF($E$4:$E$265,R$269&amp;" ضد "&amp;$A286))</f>
        <v/>
      </c>
      <c r="S286" s="4">
        <f>IF($A286=S$269,"",COUNTIF($E$4:$E$265,$A286&amp;" ضد "&amp;S$269)+COUNTIF($E$4:$E$265,S$269&amp;" ضد "&amp;$A286))</f>
        <v>1</v>
      </c>
      <c r="T286" s="4">
        <f>IF($A286=T$269,"",COUNTIF($E$4:$E$265,$A286&amp;" ضد "&amp;T$269)+COUNTIF($E$4:$E$265,T$269&amp;" ضد "&amp;$A286))</f>
        <v>1</v>
      </c>
      <c r="U286" s="4">
        <f>IF($A286=U$269,"",COUNTIF($E$4:$E$265,$A286&amp;" ضد "&amp;U$269)+COUNTIF($E$4:$E$265,U$269&amp;" ضد "&amp;$A286))</f>
        <v>2</v>
      </c>
      <c r="V286" s="4">
        <f>IF($A286=V$269,"",COUNTIF($E$4:$E$265,$A286&amp;" ضد "&amp;V$269)+COUNTIF($E$4:$E$265,V$269&amp;" ضد "&amp;$A286))</f>
        <v>1</v>
      </c>
      <c r="W286" s="4">
        <f>IF($A286=W$269,"",COUNTIF($E$4:$E$265,$A286&amp;" ضد "&amp;W$269)+COUNTIF($E$4:$E$265,W$269&amp;" ضد "&amp;$A286))</f>
        <v>2</v>
      </c>
      <c r="X286" s="4">
        <f>IF($A286=X$269,"",COUNTIF($E$4:$E$265,$A286&amp;" ضد "&amp;X$269)+COUNTIF($E$4:$E$265,X$269&amp;" ضد "&amp;$A286))</f>
        <v>1</v>
      </c>
      <c r="Y286" s="4">
        <f>IF($A286=Y$269,"",COUNTIF($E$4:$E$265,$A286&amp;" ضد "&amp;Y$269)+COUNTIF($E$4:$E$265,Y$269&amp;" ضد "&amp;$A286))</f>
        <v>2</v>
      </c>
      <c r="Z286" s="4">
        <f>IF($A286=Z$269,"",COUNTIF($E$4:$E$265,$A286&amp;" ضد "&amp;Z$269)+COUNTIF($E$4:$E$265,Z$269&amp;" ضد "&amp;$A286))</f>
        <v>1</v>
      </c>
      <c r="AA286" s="4">
        <f>IF($A286=AA$269,"",COUNTIF($E$4:$E$265,$A286&amp;" ضد "&amp;AA$269)+COUNTIF($E$4:$E$265,AA$269&amp;" ضد "&amp;$A286))</f>
        <v>2</v>
      </c>
      <c r="AB286" s="4">
        <f>IF($A286=AB$269,"",COUNTIF($E$4:$E$265,$A286&amp;" ضد "&amp;AB$269)+COUNTIF($E$4:$E$265,AB$269&amp;" ضد "&amp;$A286))</f>
        <v>1</v>
      </c>
      <c r="AC286" s="4">
        <f>IF($A286=AC$269,"",COUNTIF($E$4:$E$265,$A286&amp;" ضد "&amp;AC$269)+COUNTIF($E$4:$E$265,AC$269&amp;" ضد "&amp;$A286))</f>
        <v>2</v>
      </c>
      <c r="AD286" s="4">
        <f>IF($A286=AD$269,"",COUNTIF($E$4:$E$265,$A286&amp;" ضد "&amp;AD$269)+COUNTIF($E$4:$E$265,AD$269&amp;" ضد "&amp;$A286))</f>
        <v>1</v>
      </c>
    </row>
    <row r="287" spans="1:30" ht="14.5">
      <c r="A287" s="14">
        <v>18</v>
      </c>
      <c r="B287" s="4">
        <f>IF($A287=B$269,"",COUNTIF($E$4:$E$265,$A287&amp;" ضد "&amp;B$269)+COUNTIF($E$4:$E$265,B$269&amp;" ضد "&amp;$A287))</f>
        <v>0</v>
      </c>
      <c r="C287" s="4">
        <f>IF($A287=C$269,"",COUNTIF($E$4:$E$265,$A287&amp;" ضد "&amp;C$269)+COUNTIF($E$4:$E$265,C$269&amp;" ضد "&amp;$A287))</f>
        <v>0</v>
      </c>
      <c r="D287" s="4">
        <f>IF($A287=D$269,"",COUNTIF($E$4:$E$265,$A287&amp;" ضد "&amp;D$269)+COUNTIF($E$4:$E$265,D$269&amp;" ضد "&amp;$A287))</f>
        <v>0</v>
      </c>
      <c r="E287" s="4">
        <f>IF($A287=E$269,"",COUNTIF($E$4:$E$265,$A287&amp;" ضد "&amp;E$269)+COUNTIF($E$4:$E$265,E$269&amp;" ضد "&amp;$A287))</f>
        <v>0</v>
      </c>
      <c r="F287" s="4">
        <f>IF($A287=F$269,"",COUNTIF($E$4:$E$265,$A287&amp;" ضد "&amp;F$269)+COUNTIF($E$4:$E$265,F$269&amp;" ضد "&amp;$A287))</f>
        <v>0</v>
      </c>
      <c r="G287" s="4">
        <f>IF($A287=G$269,"",COUNTIF($E$4:$E$265,$A287&amp;" ضد "&amp;G$269)+COUNTIF($E$4:$E$265,G$269&amp;" ضد "&amp;$A287))</f>
        <v>0</v>
      </c>
      <c r="H287" s="4">
        <f>IF($A287=H$269,"",COUNTIF($E$4:$E$265,$A287&amp;" ضد "&amp;H$269)+COUNTIF($E$4:$E$265,H$269&amp;" ضد "&amp;$A287))</f>
        <v>0</v>
      </c>
      <c r="I287" s="4">
        <f>IF($A287=I$269,"",COUNTIF($E$4:$E$265,$A287&amp;" ضد "&amp;I$269)+COUNTIF($E$4:$E$265,I$269&amp;" ضد "&amp;$A287))</f>
        <v>0</v>
      </c>
      <c r="J287" s="4">
        <f>IF($A287=J$269,"",COUNTIF($E$4:$E$265,$A287&amp;" ضد "&amp;J$269)+COUNTIF($E$4:$E$265,J$269&amp;" ضد "&amp;$A287))</f>
        <v>0</v>
      </c>
      <c r="K287" s="4">
        <f>IF($A287=K$269,"",COUNTIF($E$4:$E$265,$A287&amp;" ضد "&amp;K$269)+COUNTIF($E$4:$E$265,K$269&amp;" ضد "&amp;$A287))</f>
        <v>0</v>
      </c>
      <c r="L287" s="4">
        <f>IF($A287=L$269,"",COUNTIF($E$4:$E$265,$A287&amp;" ضد "&amp;L$269)+COUNTIF($E$4:$E$265,L$269&amp;" ضد "&amp;$A287))</f>
        <v>0</v>
      </c>
      <c r="M287" s="4">
        <f>IF($A287=M$269,"",COUNTIF($E$4:$E$265,$A287&amp;" ضد "&amp;M$269)+COUNTIF($E$4:$E$265,M$269&amp;" ضد "&amp;$A287))</f>
        <v>0</v>
      </c>
      <c r="N287" s="4">
        <f>IF($A287=N$269,"",COUNTIF($E$4:$E$265,$A287&amp;" ضد "&amp;N$269)+COUNTIF($E$4:$E$265,N$269&amp;" ضد "&amp;$A287))</f>
        <v>0</v>
      </c>
      <c r="O287" s="4">
        <f>IF($A287=O$269,"",COUNTIF($E$4:$E$265,$A287&amp;" ضد "&amp;O$269)+COUNTIF($E$4:$E$265,O$269&amp;" ضد "&amp;$A287))</f>
        <v>0</v>
      </c>
      <c r="P287" s="4">
        <f>IF($A287=P$269,"",COUNTIF($E$4:$E$265,$A287&amp;" ضد "&amp;P$269)+COUNTIF($E$4:$E$265,P$269&amp;" ضد "&amp;$A287))</f>
        <v>0</v>
      </c>
      <c r="Q287" s="4">
        <f>IF($A287=Q$269,"",COUNTIF($E$4:$E$265,$A287&amp;" ضد "&amp;Q$269)+COUNTIF($E$4:$E$265,Q$269&amp;" ضد "&amp;$A287))</f>
        <v>1</v>
      </c>
      <c r="R287" s="4">
        <f>IF($A287=R$269,"",COUNTIF($E$4:$E$265,$A287&amp;" ضد "&amp;R$269)+COUNTIF($E$4:$E$265,R$269&amp;" ضد "&amp;$A287))</f>
        <v>1</v>
      </c>
      <c r="S287" s="4" t="str">
        <f>IF($A287=S$269,"",COUNTIF($E$4:$E$265,$A287&amp;" ضد "&amp;S$269)+COUNTIF($E$4:$E$265,S$269&amp;" ضد "&amp;$A287))</f>
        <v/>
      </c>
      <c r="T287" s="4">
        <f>IF($A287=T$269,"",COUNTIF($E$4:$E$265,$A287&amp;" ضد "&amp;T$269)+COUNTIF($E$4:$E$265,T$269&amp;" ضد "&amp;$A287))</f>
        <v>2</v>
      </c>
      <c r="U287" s="4">
        <f>IF($A287=U$269,"",COUNTIF($E$4:$E$265,$A287&amp;" ضد "&amp;U$269)+COUNTIF($E$4:$E$265,U$269&amp;" ضد "&amp;$A287))</f>
        <v>1</v>
      </c>
      <c r="V287" s="4">
        <f>IF($A287=V$269,"",COUNTIF($E$4:$E$265,$A287&amp;" ضد "&amp;V$269)+COUNTIF($E$4:$E$265,V$269&amp;" ضد "&amp;$A287))</f>
        <v>2</v>
      </c>
      <c r="W287" s="4">
        <f>IF($A287=W$269,"",COUNTIF($E$4:$E$265,$A287&amp;" ضد "&amp;W$269)+COUNTIF($E$4:$E$265,W$269&amp;" ضد "&amp;$A287))</f>
        <v>1</v>
      </c>
      <c r="X287" s="4">
        <f>IF($A287=X$269,"",COUNTIF($E$4:$E$265,$A287&amp;" ضد "&amp;X$269)+COUNTIF($E$4:$E$265,X$269&amp;" ضد "&amp;$A287))</f>
        <v>2</v>
      </c>
      <c r="Y287" s="4">
        <f>IF($A287=Y$269,"",COUNTIF($E$4:$E$265,$A287&amp;" ضد "&amp;Y$269)+COUNTIF($E$4:$E$265,Y$269&amp;" ضد "&amp;$A287))</f>
        <v>1</v>
      </c>
      <c r="Z287" s="4">
        <f>IF($A287=Z$269,"",COUNTIF($E$4:$E$265,$A287&amp;" ضد "&amp;Z$269)+COUNTIF($E$4:$E$265,Z$269&amp;" ضد "&amp;$A287))</f>
        <v>2</v>
      </c>
      <c r="AA287" s="4">
        <f>IF($A287=AA$269,"",COUNTIF($E$4:$E$265,$A287&amp;" ضد "&amp;AA$269)+COUNTIF($E$4:$E$265,AA$269&amp;" ضد "&amp;$A287))</f>
        <v>1</v>
      </c>
      <c r="AB287" s="4">
        <f>IF($A287=AB$269,"",COUNTIF($E$4:$E$265,$A287&amp;" ضد "&amp;AB$269)+COUNTIF($E$4:$E$265,AB$269&amp;" ضد "&amp;$A287))</f>
        <v>2</v>
      </c>
      <c r="AC287" s="4">
        <f>IF($A287=AC$269,"",COUNTIF($E$4:$E$265,$A287&amp;" ضد "&amp;AC$269)+COUNTIF($E$4:$E$265,AC$269&amp;" ضد "&amp;$A287))</f>
        <v>1</v>
      </c>
      <c r="AD287" s="4">
        <f>IF($A287=AD$269,"",COUNTIF($E$4:$E$265,$A287&amp;" ضد "&amp;AD$269)+COUNTIF($E$4:$E$265,AD$269&amp;" ضد "&amp;$A287))</f>
        <v>1</v>
      </c>
    </row>
    <row r="288" spans="1:30" ht="14.5">
      <c r="A288" s="14">
        <v>19</v>
      </c>
      <c r="B288" s="4">
        <f>IF($A288=B$269,"",COUNTIF($E$4:$E$265,$A288&amp;" ضد "&amp;B$269)+COUNTIF($E$4:$E$265,B$269&amp;" ضد "&amp;$A288))</f>
        <v>0</v>
      </c>
      <c r="C288" s="4">
        <f>IF($A288=C$269,"",COUNTIF($E$4:$E$265,$A288&amp;" ضد "&amp;C$269)+COUNTIF($E$4:$E$265,C$269&amp;" ضد "&amp;$A288))</f>
        <v>0</v>
      </c>
      <c r="D288" s="4">
        <f>IF($A288=D$269,"",COUNTIF($E$4:$E$265,$A288&amp;" ضد "&amp;D$269)+COUNTIF($E$4:$E$265,D$269&amp;" ضد "&amp;$A288))</f>
        <v>0</v>
      </c>
      <c r="E288" s="4">
        <f>IF($A288=E$269,"",COUNTIF($E$4:$E$265,$A288&amp;" ضد "&amp;E$269)+COUNTIF($E$4:$E$265,E$269&amp;" ضد "&amp;$A288))</f>
        <v>0</v>
      </c>
      <c r="F288" s="4">
        <f>IF($A288=F$269,"",COUNTIF($E$4:$E$265,$A288&amp;" ضد "&amp;F$269)+COUNTIF($E$4:$E$265,F$269&amp;" ضد "&amp;$A288))</f>
        <v>0</v>
      </c>
      <c r="G288" s="4">
        <f>IF($A288=G$269,"",COUNTIF($E$4:$E$265,$A288&amp;" ضد "&amp;G$269)+COUNTIF($E$4:$E$265,G$269&amp;" ضد "&amp;$A288))</f>
        <v>0</v>
      </c>
      <c r="H288" s="4">
        <f>IF($A288=H$269,"",COUNTIF($E$4:$E$265,$A288&amp;" ضد "&amp;H$269)+COUNTIF($E$4:$E$265,H$269&amp;" ضد "&amp;$A288))</f>
        <v>0</v>
      </c>
      <c r="I288" s="4">
        <f>IF($A288=I$269,"",COUNTIF($E$4:$E$265,$A288&amp;" ضد "&amp;I$269)+COUNTIF($E$4:$E$265,I$269&amp;" ضد "&amp;$A288))</f>
        <v>0</v>
      </c>
      <c r="J288" s="4">
        <f>IF($A288=J$269,"",COUNTIF($E$4:$E$265,$A288&amp;" ضد "&amp;J$269)+COUNTIF($E$4:$E$265,J$269&amp;" ضد "&amp;$A288))</f>
        <v>0</v>
      </c>
      <c r="K288" s="4">
        <f>IF($A288=K$269,"",COUNTIF($E$4:$E$265,$A288&amp;" ضد "&amp;K$269)+COUNTIF($E$4:$E$265,K$269&amp;" ضد "&amp;$A288))</f>
        <v>0</v>
      </c>
      <c r="L288" s="4">
        <f>IF($A288=L$269,"",COUNTIF($E$4:$E$265,$A288&amp;" ضد "&amp;L$269)+COUNTIF($E$4:$E$265,L$269&amp;" ضد "&amp;$A288))</f>
        <v>0</v>
      </c>
      <c r="M288" s="4">
        <f>IF($A288=M$269,"",COUNTIF($E$4:$E$265,$A288&amp;" ضد "&amp;M$269)+COUNTIF($E$4:$E$265,M$269&amp;" ضد "&amp;$A288))</f>
        <v>0</v>
      </c>
      <c r="N288" s="4">
        <f>IF($A288=N$269,"",COUNTIF($E$4:$E$265,$A288&amp;" ضد "&amp;N$269)+COUNTIF($E$4:$E$265,N$269&amp;" ضد "&amp;$A288))</f>
        <v>0</v>
      </c>
      <c r="O288" s="4">
        <f>IF($A288=O$269,"",COUNTIF($E$4:$E$265,$A288&amp;" ضد "&amp;O$269)+COUNTIF($E$4:$E$265,O$269&amp;" ضد "&amp;$A288))</f>
        <v>0</v>
      </c>
      <c r="P288" s="4">
        <f>IF($A288=P$269,"",COUNTIF($E$4:$E$265,$A288&amp;" ضد "&amp;P$269)+COUNTIF($E$4:$E$265,P$269&amp;" ضد "&amp;$A288))</f>
        <v>0</v>
      </c>
      <c r="Q288" s="4">
        <f>IF($A288=Q$269,"",COUNTIF($E$4:$E$265,$A288&amp;" ضد "&amp;Q$269)+COUNTIF($E$4:$E$265,Q$269&amp;" ضد "&amp;$A288))</f>
        <v>1</v>
      </c>
      <c r="R288" s="4">
        <f>IF($A288=R$269,"",COUNTIF($E$4:$E$265,$A288&amp;" ضد "&amp;R$269)+COUNTIF($E$4:$E$265,R$269&amp;" ضد "&amp;$A288))</f>
        <v>1</v>
      </c>
      <c r="S288" s="4">
        <f>IF($A288=S$269,"",COUNTIF($E$4:$E$265,$A288&amp;" ضد "&amp;S$269)+COUNTIF($E$4:$E$265,S$269&amp;" ضد "&amp;$A288))</f>
        <v>2</v>
      </c>
      <c r="T288" s="4" t="str">
        <f>IF($A288=T$269,"",COUNTIF($E$4:$E$265,$A288&amp;" ضد "&amp;T$269)+COUNTIF($E$4:$E$265,T$269&amp;" ضد "&amp;$A288))</f>
        <v/>
      </c>
      <c r="U288" s="4">
        <f>IF($A288=U$269,"",COUNTIF($E$4:$E$265,$A288&amp;" ضد "&amp;U$269)+COUNTIF($E$4:$E$265,U$269&amp;" ضد "&amp;$A288))</f>
        <v>2</v>
      </c>
      <c r="V288" s="4">
        <f>IF($A288=V$269,"",COUNTIF($E$4:$E$265,$A288&amp;" ضد "&amp;V$269)+COUNTIF($E$4:$E$265,V$269&amp;" ضد "&amp;$A288))</f>
        <v>1</v>
      </c>
      <c r="W288" s="4">
        <f>IF($A288=W$269,"",COUNTIF($E$4:$E$265,$A288&amp;" ضد "&amp;W$269)+COUNTIF($E$4:$E$265,W$269&amp;" ضد "&amp;$A288))</f>
        <v>2</v>
      </c>
      <c r="X288" s="4">
        <f>IF($A288=X$269,"",COUNTIF($E$4:$E$265,$A288&amp;" ضد "&amp;X$269)+COUNTIF($E$4:$E$265,X$269&amp;" ضد "&amp;$A288))</f>
        <v>1</v>
      </c>
      <c r="Y288" s="4">
        <f>IF($A288=Y$269,"",COUNTIF($E$4:$E$265,$A288&amp;" ضد "&amp;Y$269)+COUNTIF($E$4:$E$265,Y$269&amp;" ضد "&amp;$A288))</f>
        <v>2</v>
      </c>
      <c r="Z288" s="4">
        <f>IF($A288=Z$269,"",COUNTIF($E$4:$E$265,$A288&amp;" ضد "&amp;Z$269)+COUNTIF($E$4:$E$265,Z$269&amp;" ضد "&amp;$A288))</f>
        <v>1</v>
      </c>
      <c r="AA288" s="4">
        <f>IF($A288=AA$269,"",COUNTIF($E$4:$E$265,$A288&amp;" ضد "&amp;AA$269)+COUNTIF($E$4:$E$265,AA$269&amp;" ضد "&amp;$A288))</f>
        <v>2</v>
      </c>
      <c r="AB288" s="4">
        <f>IF($A288=AB$269,"",COUNTIF($E$4:$E$265,$A288&amp;" ضد "&amp;AB$269)+COUNTIF($E$4:$E$265,AB$269&amp;" ضد "&amp;$A288))</f>
        <v>1</v>
      </c>
      <c r="AC288" s="4">
        <f>IF($A288=AC$269,"",COUNTIF($E$4:$E$265,$A288&amp;" ضد "&amp;AC$269)+COUNTIF($E$4:$E$265,AC$269&amp;" ضد "&amp;$A288))</f>
        <v>1</v>
      </c>
      <c r="AD288" s="4">
        <f>IF($A288=AD$269,"",COUNTIF($E$4:$E$265,$A288&amp;" ضد "&amp;AD$269)+COUNTIF($E$4:$E$265,AD$269&amp;" ضد "&amp;$A288))</f>
        <v>1</v>
      </c>
    </row>
    <row r="289" spans="1:30" ht="14.5">
      <c r="A289" s="14">
        <v>20</v>
      </c>
      <c r="B289" s="4">
        <f>IF($A289=B$269,"",COUNTIF($E$4:$E$265,$A289&amp;" ضد "&amp;B$269)+COUNTIF($E$4:$E$265,B$269&amp;" ضد "&amp;$A289))</f>
        <v>0</v>
      </c>
      <c r="C289" s="4">
        <f>IF($A289=C$269,"",COUNTIF($E$4:$E$265,$A289&amp;" ضد "&amp;C$269)+COUNTIF($E$4:$E$265,C$269&amp;" ضد "&amp;$A289))</f>
        <v>0</v>
      </c>
      <c r="D289" s="4">
        <f>IF($A289=D$269,"",COUNTIF($E$4:$E$265,$A289&amp;" ضد "&amp;D$269)+COUNTIF($E$4:$E$265,D$269&amp;" ضد "&amp;$A289))</f>
        <v>0</v>
      </c>
      <c r="E289" s="4">
        <f>IF($A289=E$269,"",COUNTIF($E$4:$E$265,$A289&amp;" ضد "&amp;E$269)+COUNTIF($E$4:$E$265,E$269&amp;" ضد "&amp;$A289))</f>
        <v>0</v>
      </c>
      <c r="F289" s="4">
        <f>IF($A289=F$269,"",COUNTIF($E$4:$E$265,$A289&amp;" ضد "&amp;F$269)+COUNTIF($E$4:$E$265,F$269&amp;" ضد "&amp;$A289))</f>
        <v>0</v>
      </c>
      <c r="G289" s="4">
        <f>IF($A289=G$269,"",COUNTIF($E$4:$E$265,$A289&amp;" ضد "&amp;G$269)+COUNTIF($E$4:$E$265,G$269&amp;" ضد "&amp;$A289))</f>
        <v>0</v>
      </c>
      <c r="H289" s="4">
        <f>IF($A289=H$269,"",COUNTIF($E$4:$E$265,$A289&amp;" ضد "&amp;H$269)+COUNTIF($E$4:$E$265,H$269&amp;" ضد "&amp;$A289))</f>
        <v>0</v>
      </c>
      <c r="I289" s="4">
        <f>IF($A289=I$269,"",COUNTIF($E$4:$E$265,$A289&amp;" ضد "&amp;I$269)+COUNTIF($E$4:$E$265,I$269&amp;" ضد "&amp;$A289))</f>
        <v>0</v>
      </c>
      <c r="J289" s="4">
        <f>IF($A289=J$269,"",COUNTIF($E$4:$E$265,$A289&amp;" ضد "&amp;J$269)+COUNTIF($E$4:$E$265,J$269&amp;" ضد "&amp;$A289))</f>
        <v>0</v>
      </c>
      <c r="K289" s="4">
        <f>IF($A289=K$269,"",COUNTIF($E$4:$E$265,$A289&amp;" ضد "&amp;K$269)+COUNTIF($E$4:$E$265,K$269&amp;" ضد "&amp;$A289))</f>
        <v>0</v>
      </c>
      <c r="L289" s="4">
        <f>IF($A289=L$269,"",COUNTIF($E$4:$E$265,$A289&amp;" ضد "&amp;L$269)+COUNTIF($E$4:$E$265,L$269&amp;" ضد "&amp;$A289))</f>
        <v>0</v>
      </c>
      <c r="M289" s="4">
        <f>IF($A289=M$269,"",COUNTIF($E$4:$E$265,$A289&amp;" ضد "&amp;M$269)+COUNTIF($E$4:$E$265,M$269&amp;" ضد "&amp;$A289))</f>
        <v>0</v>
      </c>
      <c r="N289" s="4">
        <f>IF($A289=N$269,"",COUNTIF($E$4:$E$265,$A289&amp;" ضد "&amp;N$269)+COUNTIF($E$4:$E$265,N$269&amp;" ضد "&amp;$A289))</f>
        <v>0</v>
      </c>
      <c r="O289" s="4">
        <f>IF($A289=O$269,"",COUNTIF($E$4:$E$265,$A289&amp;" ضد "&amp;O$269)+COUNTIF($E$4:$E$265,O$269&amp;" ضد "&amp;$A289))</f>
        <v>0</v>
      </c>
      <c r="P289" s="4">
        <f>IF($A289=P$269,"",COUNTIF($E$4:$E$265,$A289&amp;" ضد "&amp;P$269)+COUNTIF($E$4:$E$265,P$269&amp;" ضد "&amp;$A289))</f>
        <v>0</v>
      </c>
      <c r="Q289" s="4">
        <f>IF($A289=Q$269,"",COUNTIF($E$4:$E$265,$A289&amp;" ضد "&amp;Q$269)+COUNTIF($E$4:$E$265,Q$269&amp;" ضد "&amp;$A289))</f>
        <v>1</v>
      </c>
      <c r="R289" s="4">
        <f>IF($A289=R$269,"",COUNTIF($E$4:$E$265,$A289&amp;" ضد "&amp;R$269)+COUNTIF($E$4:$E$265,R$269&amp;" ضد "&amp;$A289))</f>
        <v>2</v>
      </c>
      <c r="S289" s="4">
        <f>IF($A289=S$269,"",COUNTIF($E$4:$E$265,$A289&amp;" ضد "&amp;S$269)+COUNTIF($E$4:$E$265,S$269&amp;" ضد "&amp;$A289))</f>
        <v>1</v>
      </c>
      <c r="T289" s="4">
        <f>IF($A289=T$269,"",COUNTIF($E$4:$E$265,$A289&amp;" ضد "&amp;T$269)+COUNTIF($E$4:$E$265,T$269&amp;" ضد "&amp;$A289))</f>
        <v>2</v>
      </c>
      <c r="U289" s="4" t="str">
        <f>IF($A289=U$269,"",COUNTIF($E$4:$E$265,$A289&amp;" ضد "&amp;U$269)+COUNTIF($E$4:$E$265,U$269&amp;" ضد "&amp;$A289))</f>
        <v/>
      </c>
      <c r="V289" s="4">
        <f>IF($A289=V$269,"",COUNTIF($E$4:$E$265,$A289&amp;" ضد "&amp;V$269)+COUNTIF($E$4:$E$265,V$269&amp;" ضد "&amp;$A289))</f>
        <v>2</v>
      </c>
      <c r="W289" s="4">
        <f>IF($A289=W$269,"",COUNTIF($E$4:$E$265,$A289&amp;" ضد "&amp;W$269)+COUNTIF($E$4:$E$265,W$269&amp;" ضد "&amp;$A289))</f>
        <v>1</v>
      </c>
      <c r="X289" s="4">
        <f>IF($A289=X$269,"",COUNTIF($E$4:$E$265,$A289&amp;" ضد "&amp;X$269)+COUNTIF($E$4:$E$265,X$269&amp;" ضد "&amp;$A289))</f>
        <v>2</v>
      </c>
      <c r="Y289" s="4">
        <f>IF($A289=Y$269,"",COUNTIF($E$4:$E$265,$A289&amp;" ضد "&amp;Y$269)+COUNTIF($E$4:$E$265,Y$269&amp;" ضد "&amp;$A289))</f>
        <v>1</v>
      </c>
      <c r="Z289" s="4">
        <f>IF($A289=Z$269,"",COUNTIF($E$4:$E$265,$A289&amp;" ضد "&amp;Z$269)+COUNTIF($E$4:$E$265,Z$269&amp;" ضد "&amp;$A289))</f>
        <v>2</v>
      </c>
      <c r="AA289" s="4">
        <f>IF($A289=AA$269,"",COUNTIF($E$4:$E$265,$A289&amp;" ضد "&amp;AA$269)+COUNTIF($E$4:$E$265,AA$269&amp;" ضد "&amp;$A289))</f>
        <v>1</v>
      </c>
      <c r="AB289" s="4">
        <f>IF($A289=AB$269,"",COUNTIF($E$4:$E$265,$A289&amp;" ضد "&amp;AB$269)+COUNTIF($E$4:$E$265,AB$269&amp;" ضد "&amp;$A289))</f>
        <v>1</v>
      </c>
      <c r="AC289" s="4">
        <f>IF($A289=AC$269,"",COUNTIF($E$4:$E$265,$A289&amp;" ضد "&amp;AC$269)+COUNTIF($E$4:$E$265,AC$269&amp;" ضد "&amp;$A289))</f>
        <v>1</v>
      </c>
      <c r="AD289" s="4">
        <f>IF($A289=AD$269,"",COUNTIF($E$4:$E$265,$A289&amp;" ضد "&amp;AD$269)+COUNTIF($E$4:$E$265,AD$269&amp;" ضد "&amp;$A289))</f>
        <v>1</v>
      </c>
    </row>
    <row r="290" spans="1:30" ht="14.5">
      <c r="A290" s="14">
        <v>21</v>
      </c>
      <c r="B290" s="4">
        <f>IF($A290=B$269,"",COUNTIF($E$4:$E$265,$A290&amp;" ضد "&amp;B$269)+COUNTIF($E$4:$E$265,B$269&amp;" ضد "&amp;$A290))</f>
        <v>0</v>
      </c>
      <c r="C290" s="4">
        <f>IF($A290=C$269,"",COUNTIF($E$4:$E$265,$A290&amp;" ضد "&amp;C$269)+COUNTIF($E$4:$E$265,C$269&amp;" ضد "&amp;$A290))</f>
        <v>0</v>
      </c>
      <c r="D290" s="4">
        <f>IF($A290=D$269,"",COUNTIF($E$4:$E$265,$A290&amp;" ضد "&amp;D$269)+COUNTIF($E$4:$E$265,D$269&amp;" ضد "&amp;$A290))</f>
        <v>0</v>
      </c>
      <c r="E290" s="4">
        <f>IF($A290=E$269,"",COUNTIF($E$4:$E$265,$A290&amp;" ضد "&amp;E$269)+COUNTIF($E$4:$E$265,E$269&amp;" ضد "&amp;$A290))</f>
        <v>0</v>
      </c>
      <c r="F290" s="4">
        <f>IF($A290=F$269,"",COUNTIF($E$4:$E$265,$A290&amp;" ضد "&amp;F$269)+COUNTIF($E$4:$E$265,F$269&amp;" ضد "&amp;$A290))</f>
        <v>0</v>
      </c>
      <c r="G290" s="4">
        <f>IF($A290=G$269,"",COUNTIF($E$4:$E$265,$A290&amp;" ضد "&amp;G$269)+COUNTIF($E$4:$E$265,G$269&amp;" ضد "&amp;$A290))</f>
        <v>0</v>
      </c>
      <c r="H290" s="4">
        <f>IF($A290=H$269,"",COUNTIF($E$4:$E$265,$A290&amp;" ضد "&amp;H$269)+COUNTIF($E$4:$E$265,H$269&amp;" ضد "&amp;$A290))</f>
        <v>0</v>
      </c>
      <c r="I290" s="4">
        <f>IF($A290=I$269,"",COUNTIF($E$4:$E$265,$A290&amp;" ضد "&amp;I$269)+COUNTIF($E$4:$E$265,I$269&amp;" ضد "&amp;$A290))</f>
        <v>0</v>
      </c>
      <c r="J290" s="4">
        <f>IF($A290=J$269,"",COUNTIF($E$4:$E$265,$A290&amp;" ضد "&amp;J$269)+COUNTIF($E$4:$E$265,J$269&amp;" ضد "&amp;$A290))</f>
        <v>0</v>
      </c>
      <c r="K290" s="4">
        <f>IF($A290=K$269,"",COUNTIF($E$4:$E$265,$A290&amp;" ضد "&amp;K$269)+COUNTIF($E$4:$E$265,K$269&amp;" ضد "&amp;$A290))</f>
        <v>0</v>
      </c>
      <c r="L290" s="4">
        <f>IF($A290=L$269,"",COUNTIF($E$4:$E$265,$A290&amp;" ضد "&amp;L$269)+COUNTIF($E$4:$E$265,L$269&amp;" ضد "&amp;$A290))</f>
        <v>0</v>
      </c>
      <c r="M290" s="4">
        <f>IF($A290=M$269,"",COUNTIF($E$4:$E$265,$A290&amp;" ضد "&amp;M$269)+COUNTIF($E$4:$E$265,M$269&amp;" ضد "&amp;$A290))</f>
        <v>0</v>
      </c>
      <c r="N290" s="4">
        <f>IF($A290=N$269,"",COUNTIF($E$4:$E$265,$A290&amp;" ضد "&amp;N$269)+COUNTIF($E$4:$E$265,N$269&amp;" ضد "&amp;$A290))</f>
        <v>0</v>
      </c>
      <c r="O290" s="4">
        <f>IF($A290=O$269,"",COUNTIF($E$4:$E$265,$A290&amp;" ضد "&amp;O$269)+COUNTIF($E$4:$E$265,O$269&amp;" ضد "&amp;$A290))</f>
        <v>0</v>
      </c>
      <c r="P290" s="4">
        <f>IF($A290=P$269,"",COUNTIF($E$4:$E$265,$A290&amp;" ضد "&amp;P$269)+COUNTIF($E$4:$E$265,P$269&amp;" ضد "&amp;$A290))</f>
        <v>0</v>
      </c>
      <c r="Q290" s="4">
        <f>IF($A290=Q$269,"",COUNTIF($E$4:$E$265,$A290&amp;" ضد "&amp;Q$269)+COUNTIF($E$4:$E$265,Q$269&amp;" ضد "&amp;$A290))</f>
        <v>1</v>
      </c>
      <c r="R290" s="4">
        <f>IF($A290=R$269,"",COUNTIF($E$4:$E$265,$A290&amp;" ضد "&amp;R$269)+COUNTIF($E$4:$E$265,R$269&amp;" ضد "&amp;$A290))</f>
        <v>1</v>
      </c>
      <c r="S290" s="4">
        <f>IF($A290=S$269,"",COUNTIF($E$4:$E$265,$A290&amp;" ضد "&amp;S$269)+COUNTIF($E$4:$E$265,S$269&amp;" ضد "&amp;$A290))</f>
        <v>2</v>
      </c>
      <c r="T290" s="4">
        <f>IF($A290=T$269,"",COUNTIF($E$4:$E$265,$A290&amp;" ضد "&amp;T$269)+COUNTIF($E$4:$E$265,T$269&amp;" ضد "&amp;$A290))</f>
        <v>1</v>
      </c>
      <c r="U290" s="4">
        <f>IF($A290=U$269,"",COUNTIF($E$4:$E$265,$A290&amp;" ضد "&amp;U$269)+COUNTIF($E$4:$E$265,U$269&amp;" ضد "&amp;$A290))</f>
        <v>2</v>
      </c>
      <c r="V290" s="4" t="str">
        <f>IF($A290=V$269,"",COUNTIF($E$4:$E$265,$A290&amp;" ضد "&amp;V$269)+COUNTIF($E$4:$E$265,V$269&amp;" ضد "&amp;$A290))</f>
        <v/>
      </c>
      <c r="W290" s="4">
        <f>IF($A290=W$269,"",COUNTIF($E$4:$E$265,$A290&amp;" ضد "&amp;W$269)+COUNTIF($E$4:$E$265,W$269&amp;" ضد "&amp;$A290))</f>
        <v>2</v>
      </c>
      <c r="X290" s="4">
        <f>IF($A290=X$269,"",COUNTIF($E$4:$E$265,$A290&amp;" ضد "&amp;X$269)+COUNTIF($E$4:$E$265,X$269&amp;" ضد "&amp;$A290))</f>
        <v>1</v>
      </c>
      <c r="Y290" s="4">
        <f>IF($A290=Y$269,"",COUNTIF($E$4:$E$265,$A290&amp;" ضد "&amp;Y$269)+COUNTIF($E$4:$E$265,Y$269&amp;" ضد "&amp;$A290))</f>
        <v>2</v>
      </c>
      <c r="Z290" s="4">
        <f>IF($A290=Z$269,"",COUNTIF($E$4:$E$265,$A290&amp;" ضد "&amp;Z$269)+COUNTIF($E$4:$E$265,Z$269&amp;" ضد "&amp;$A290))</f>
        <v>1</v>
      </c>
      <c r="AA290" s="4">
        <f>IF($A290=AA$269,"",COUNTIF($E$4:$E$265,$A290&amp;" ضد "&amp;AA$269)+COUNTIF($E$4:$E$265,AA$269&amp;" ضد "&amp;$A290))</f>
        <v>1</v>
      </c>
      <c r="AB290" s="4">
        <f>IF($A290=AB$269,"",COUNTIF($E$4:$E$265,$A290&amp;" ضد "&amp;AB$269)+COUNTIF($E$4:$E$265,AB$269&amp;" ضد "&amp;$A290))</f>
        <v>1</v>
      </c>
      <c r="AC290" s="4">
        <f>IF($A290=AC$269,"",COUNTIF($E$4:$E$265,$A290&amp;" ضد "&amp;AC$269)+COUNTIF($E$4:$E$265,AC$269&amp;" ضد "&amp;$A290))</f>
        <v>1</v>
      </c>
      <c r="AD290" s="4">
        <f>IF($A290=AD$269,"",COUNTIF($E$4:$E$265,$A290&amp;" ضد "&amp;AD$269)+COUNTIF($E$4:$E$265,AD$269&amp;" ضد "&amp;$A290))</f>
        <v>2</v>
      </c>
    </row>
    <row r="291" spans="1:30" ht="14.5">
      <c r="A291" s="14">
        <v>22</v>
      </c>
      <c r="B291" s="4">
        <f>IF($A291=B$269,"",COUNTIF($E$4:$E$265,$A291&amp;" ضد "&amp;B$269)+COUNTIF($E$4:$E$265,B$269&amp;" ضد "&amp;$A291))</f>
        <v>0</v>
      </c>
      <c r="C291" s="4">
        <f>IF($A291=C$269,"",COUNTIF($E$4:$E$265,$A291&amp;" ضد "&amp;C$269)+COUNTIF($E$4:$E$265,C$269&amp;" ضد "&amp;$A291))</f>
        <v>0</v>
      </c>
      <c r="D291" s="4">
        <f>IF($A291=D$269,"",COUNTIF($E$4:$E$265,$A291&amp;" ضد "&amp;D$269)+COUNTIF($E$4:$E$265,D$269&amp;" ضد "&amp;$A291))</f>
        <v>0</v>
      </c>
      <c r="E291" s="4">
        <f>IF($A291=E$269,"",COUNTIF($E$4:$E$265,$A291&amp;" ضد "&amp;E$269)+COUNTIF($E$4:$E$265,E$269&amp;" ضد "&amp;$A291))</f>
        <v>0</v>
      </c>
      <c r="F291" s="4">
        <f>IF($A291=F$269,"",COUNTIF($E$4:$E$265,$A291&amp;" ضد "&amp;F$269)+COUNTIF($E$4:$E$265,F$269&amp;" ضد "&amp;$A291))</f>
        <v>0</v>
      </c>
      <c r="G291" s="4">
        <f>IF($A291=G$269,"",COUNTIF($E$4:$E$265,$A291&amp;" ضد "&amp;G$269)+COUNTIF($E$4:$E$265,G$269&amp;" ضد "&amp;$A291))</f>
        <v>0</v>
      </c>
      <c r="H291" s="4">
        <f>IF($A291=H$269,"",COUNTIF($E$4:$E$265,$A291&amp;" ضد "&amp;H$269)+COUNTIF($E$4:$E$265,H$269&amp;" ضد "&amp;$A291))</f>
        <v>0</v>
      </c>
      <c r="I291" s="4">
        <f>IF($A291=I$269,"",COUNTIF($E$4:$E$265,$A291&amp;" ضد "&amp;I$269)+COUNTIF($E$4:$E$265,I$269&amp;" ضد "&amp;$A291))</f>
        <v>0</v>
      </c>
      <c r="J291" s="4">
        <f>IF($A291=J$269,"",COUNTIF($E$4:$E$265,$A291&amp;" ضد "&amp;J$269)+COUNTIF($E$4:$E$265,J$269&amp;" ضد "&amp;$A291))</f>
        <v>0</v>
      </c>
      <c r="K291" s="4">
        <f>IF($A291=K$269,"",COUNTIF($E$4:$E$265,$A291&amp;" ضد "&amp;K$269)+COUNTIF($E$4:$E$265,K$269&amp;" ضد "&amp;$A291))</f>
        <v>0</v>
      </c>
      <c r="L291" s="4">
        <f>IF($A291=L$269,"",COUNTIF($E$4:$E$265,$A291&amp;" ضد "&amp;L$269)+COUNTIF($E$4:$E$265,L$269&amp;" ضد "&amp;$A291))</f>
        <v>0</v>
      </c>
      <c r="M291" s="4">
        <f>IF($A291=M$269,"",COUNTIF($E$4:$E$265,$A291&amp;" ضد "&amp;M$269)+COUNTIF($E$4:$E$265,M$269&amp;" ضد "&amp;$A291))</f>
        <v>0</v>
      </c>
      <c r="N291" s="4">
        <f>IF($A291=N$269,"",COUNTIF($E$4:$E$265,$A291&amp;" ضد "&amp;N$269)+COUNTIF($E$4:$E$265,N$269&amp;" ضد "&amp;$A291))</f>
        <v>0</v>
      </c>
      <c r="O291" s="4">
        <f>IF($A291=O$269,"",COUNTIF($E$4:$E$265,$A291&amp;" ضد "&amp;O$269)+COUNTIF($E$4:$E$265,O$269&amp;" ضد "&amp;$A291))</f>
        <v>0</v>
      </c>
      <c r="P291" s="4">
        <f>IF($A291=P$269,"",COUNTIF($E$4:$E$265,$A291&amp;" ضد "&amp;P$269)+COUNTIF($E$4:$E$265,P$269&amp;" ضد "&amp;$A291))</f>
        <v>0</v>
      </c>
      <c r="Q291" s="4">
        <f>IF($A291=Q$269,"",COUNTIF($E$4:$E$265,$A291&amp;" ضد "&amp;Q$269)+COUNTIF($E$4:$E$265,Q$269&amp;" ضد "&amp;$A291))</f>
        <v>1</v>
      </c>
      <c r="R291" s="4">
        <f>IF($A291=R$269,"",COUNTIF($E$4:$E$265,$A291&amp;" ضد "&amp;R$269)+COUNTIF($E$4:$E$265,R$269&amp;" ضد "&amp;$A291))</f>
        <v>2</v>
      </c>
      <c r="S291" s="4">
        <f>IF($A291=S$269,"",COUNTIF($E$4:$E$265,$A291&amp;" ضد "&amp;S$269)+COUNTIF($E$4:$E$265,S$269&amp;" ضد "&amp;$A291))</f>
        <v>1</v>
      </c>
      <c r="T291" s="4">
        <f>IF($A291=T$269,"",COUNTIF($E$4:$E$265,$A291&amp;" ضد "&amp;T$269)+COUNTIF($E$4:$E$265,T$269&amp;" ضد "&amp;$A291))</f>
        <v>2</v>
      </c>
      <c r="U291" s="4">
        <f>IF($A291=U$269,"",COUNTIF($E$4:$E$265,$A291&amp;" ضد "&amp;U$269)+COUNTIF($E$4:$E$265,U$269&amp;" ضد "&amp;$A291))</f>
        <v>1</v>
      </c>
      <c r="V291" s="4">
        <f>IF($A291=V$269,"",COUNTIF($E$4:$E$265,$A291&amp;" ضد "&amp;V$269)+COUNTIF($E$4:$E$265,V$269&amp;" ضد "&amp;$A291))</f>
        <v>2</v>
      </c>
      <c r="W291" s="4" t="str">
        <f>IF($A291=W$269,"",COUNTIF($E$4:$E$265,$A291&amp;" ضد "&amp;W$269)+COUNTIF($E$4:$E$265,W$269&amp;" ضد "&amp;$A291))</f>
        <v/>
      </c>
      <c r="X291" s="4">
        <f>IF($A291=X$269,"",COUNTIF($E$4:$E$265,$A291&amp;" ضد "&amp;X$269)+COUNTIF($E$4:$E$265,X$269&amp;" ضد "&amp;$A291))</f>
        <v>2</v>
      </c>
      <c r="Y291" s="4">
        <f>IF($A291=Y$269,"",COUNTIF($E$4:$E$265,$A291&amp;" ضد "&amp;Y$269)+COUNTIF($E$4:$E$265,Y$269&amp;" ضد "&amp;$A291))</f>
        <v>1</v>
      </c>
      <c r="Z291" s="4">
        <f>IF($A291=Z$269,"",COUNTIF($E$4:$E$265,$A291&amp;" ضد "&amp;Z$269)+COUNTIF($E$4:$E$265,Z$269&amp;" ضد "&amp;$A291))</f>
        <v>1</v>
      </c>
      <c r="AA291" s="4">
        <f>IF($A291=AA$269,"",COUNTIF($E$4:$E$265,$A291&amp;" ضد "&amp;AA$269)+COUNTIF($E$4:$E$265,AA$269&amp;" ضد "&amp;$A291))</f>
        <v>1</v>
      </c>
      <c r="AB291" s="4">
        <f>IF($A291=AB$269,"",COUNTIF($E$4:$E$265,$A291&amp;" ضد "&amp;AB$269)+COUNTIF($E$4:$E$265,AB$269&amp;" ضد "&amp;$A291))</f>
        <v>1</v>
      </c>
      <c r="AC291" s="4">
        <f>IF($A291=AC$269,"",COUNTIF($E$4:$E$265,$A291&amp;" ضد "&amp;AC$269)+COUNTIF($E$4:$E$265,AC$269&amp;" ضد "&amp;$A291))</f>
        <v>2</v>
      </c>
      <c r="AD291" s="4">
        <f>IF($A291=AD$269,"",COUNTIF($E$4:$E$265,$A291&amp;" ضد "&amp;AD$269)+COUNTIF($E$4:$E$265,AD$269&amp;" ضد "&amp;$A291))</f>
        <v>1</v>
      </c>
    </row>
    <row r="292" spans="1:30" ht="14.5">
      <c r="A292" s="14">
        <v>23</v>
      </c>
      <c r="B292" s="4">
        <f>IF($A292=B$269,"",COUNTIF($E$4:$E$265,$A292&amp;" ضد "&amp;B$269)+COUNTIF($E$4:$E$265,B$269&amp;" ضد "&amp;$A292))</f>
        <v>0</v>
      </c>
      <c r="C292" s="4">
        <f>IF($A292=C$269,"",COUNTIF($E$4:$E$265,$A292&amp;" ضد "&amp;C$269)+COUNTIF($E$4:$E$265,C$269&amp;" ضد "&amp;$A292))</f>
        <v>0</v>
      </c>
      <c r="D292" s="4">
        <f>IF($A292=D$269,"",COUNTIF($E$4:$E$265,$A292&amp;" ضد "&amp;D$269)+COUNTIF($E$4:$E$265,D$269&amp;" ضد "&amp;$A292))</f>
        <v>0</v>
      </c>
      <c r="E292" s="4">
        <f>IF($A292=E$269,"",COUNTIF($E$4:$E$265,$A292&amp;" ضد "&amp;E$269)+COUNTIF($E$4:$E$265,E$269&amp;" ضد "&amp;$A292))</f>
        <v>0</v>
      </c>
      <c r="F292" s="4">
        <f>IF($A292=F$269,"",COUNTIF($E$4:$E$265,$A292&amp;" ضد "&amp;F$269)+COUNTIF($E$4:$E$265,F$269&amp;" ضد "&amp;$A292))</f>
        <v>0</v>
      </c>
      <c r="G292" s="4">
        <f>IF($A292=G$269,"",COUNTIF($E$4:$E$265,$A292&amp;" ضد "&amp;G$269)+COUNTIF($E$4:$E$265,G$269&amp;" ضد "&amp;$A292))</f>
        <v>0</v>
      </c>
      <c r="H292" s="4">
        <f>IF($A292=H$269,"",COUNTIF($E$4:$E$265,$A292&amp;" ضد "&amp;H$269)+COUNTIF($E$4:$E$265,H$269&amp;" ضد "&amp;$A292))</f>
        <v>0</v>
      </c>
      <c r="I292" s="4">
        <f>IF($A292=I$269,"",COUNTIF($E$4:$E$265,$A292&amp;" ضد "&amp;I$269)+COUNTIF($E$4:$E$265,I$269&amp;" ضد "&amp;$A292))</f>
        <v>0</v>
      </c>
      <c r="J292" s="4">
        <f>IF($A292=J$269,"",COUNTIF($E$4:$E$265,$A292&amp;" ضد "&amp;J$269)+COUNTIF($E$4:$E$265,J$269&amp;" ضد "&amp;$A292))</f>
        <v>0</v>
      </c>
      <c r="K292" s="4">
        <f>IF($A292=K$269,"",COUNTIF($E$4:$E$265,$A292&amp;" ضد "&amp;K$269)+COUNTIF($E$4:$E$265,K$269&amp;" ضد "&amp;$A292))</f>
        <v>0</v>
      </c>
      <c r="L292" s="4">
        <f>IF($A292=L$269,"",COUNTIF($E$4:$E$265,$A292&amp;" ضد "&amp;L$269)+COUNTIF($E$4:$E$265,L$269&amp;" ضد "&amp;$A292))</f>
        <v>0</v>
      </c>
      <c r="M292" s="4">
        <f>IF($A292=M$269,"",COUNTIF($E$4:$E$265,$A292&amp;" ضد "&amp;M$269)+COUNTIF($E$4:$E$265,M$269&amp;" ضد "&amp;$A292))</f>
        <v>0</v>
      </c>
      <c r="N292" s="4">
        <f>IF($A292=N$269,"",COUNTIF($E$4:$E$265,$A292&amp;" ضد "&amp;N$269)+COUNTIF($E$4:$E$265,N$269&amp;" ضد "&amp;$A292))</f>
        <v>0</v>
      </c>
      <c r="O292" s="4">
        <f>IF($A292=O$269,"",COUNTIF($E$4:$E$265,$A292&amp;" ضد "&amp;O$269)+COUNTIF($E$4:$E$265,O$269&amp;" ضد "&amp;$A292))</f>
        <v>0</v>
      </c>
      <c r="P292" s="4">
        <f>IF($A292=P$269,"",COUNTIF($E$4:$E$265,$A292&amp;" ضد "&amp;P$269)+COUNTIF($E$4:$E$265,P$269&amp;" ضد "&amp;$A292))</f>
        <v>0</v>
      </c>
      <c r="Q292" s="4">
        <f>IF($A292=Q$269,"",COUNTIF($E$4:$E$265,$A292&amp;" ضد "&amp;Q$269)+COUNTIF($E$4:$E$265,Q$269&amp;" ضد "&amp;$A292))</f>
        <v>1</v>
      </c>
      <c r="R292" s="4">
        <f>IF($A292=R$269,"",COUNTIF($E$4:$E$265,$A292&amp;" ضد "&amp;R$269)+COUNTIF($E$4:$E$265,R$269&amp;" ضد "&amp;$A292))</f>
        <v>1</v>
      </c>
      <c r="S292" s="4">
        <f>IF($A292=S$269,"",COUNTIF($E$4:$E$265,$A292&amp;" ضد "&amp;S$269)+COUNTIF($E$4:$E$265,S$269&amp;" ضد "&amp;$A292))</f>
        <v>2</v>
      </c>
      <c r="T292" s="4">
        <f>IF($A292=T$269,"",COUNTIF($E$4:$E$265,$A292&amp;" ضد "&amp;T$269)+COUNTIF($E$4:$E$265,T$269&amp;" ضد "&amp;$A292))</f>
        <v>1</v>
      </c>
      <c r="U292" s="4">
        <f>IF($A292=U$269,"",COUNTIF($E$4:$E$265,$A292&amp;" ضد "&amp;U$269)+COUNTIF($E$4:$E$265,U$269&amp;" ضد "&amp;$A292))</f>
        <v>2</v>
      </c>
      <c r="V292" s="4">
        <f>IF($A292=V$269,"",COUNTIF($E$4:$E$265,$A292&amp;" ضد "&amp;V$269)+COUNTIF($E$4:$E$265,V$269&amp;" ضد "&amp;$A292))</f>
        <v>1</v>
      </c>
      <c r="W292" s="4">
        <f>IF($A292=W$269,"",COUNTIF($E$4:$E$265,$A292&amp;" ضد "&amp;W$269)+COUNTIF($E$4:$E$265,W$269&amp;" ضد "&amp;$A292))</f>
        <v>2</v>
      </c>
      <c r="X292" s="4" t="str">
        <f>IF($A292=X$269,"",COUNTIF($E$4:$E$265,$A292&amp;" ضد "&amp;X$269)+COUNTIF($E$4:$E$265,X$269&amp;" ضد "&amp;$A292))</f>
        <v/>
      </c>
      <c r="Y292" s="4">
        <f>IF($A292=Y$269,"",COUNTIF($E$4:$E$265,$A292&amp;" ضد "&amp;Y$269)+COUNTIF($E$4:$E$265,Y$269&amp;" ضد "&amp;$A292))</f>
        <v>1</v>
      </c>
      <c r="Z292" s="4">
        <f>IF($A292=Z$269,"",COUNTIF($E$4:$E$265,$A292&amp;" ضد "&amp;Z$269)+COUNTIF($E$4:$E$265,Z$269&amp;" ضد "&amp;$A292))</f>
        <v>1</v>
      </c>
      <c r="AA292" s="4">
        <f>IF($A292=AA$269,"",COUNTIF($E$4:$E$265,$A292&amp;" ضد "&amp;AA$269)+COUNTIF($E$4:$E$265,AA$269&amp;" ضد "&amp;$A292))</f>
        <v>1</v>
      </c>
      <c r="AB292" s="4">
        <f>IF($A292=AB$269,"",COUNTIF($E$4:$E$265,$A292&amp;" ضد "&amp;AB$269)+COUNTIF($E$4:$E$265,AB$269&amp;" ضد "&amp;$A292))</f>
        <v>2</v>
      </c>
      <c r="AC292" s="4">
        <f>IF($A292=AC$269,"",COUNTIF($E$4:$E$265,$A292&amp;" ضد "&amp;AC$269)+COUNTIF($E$4:$E$265,AC$269&amp;" ضد "&amp;$A292))</f>
        <v>1</v>
      </c>
      <c r="AD292" s="4">
        <f>IF($A292=AD$269,"",COUNTIF($E$4:$E$265,$A292&amp;" ضد "&amp;AD$269)+COUNTIF($E$4:$E$265,AD$269&amp;" ضد "&amp;$A292))</f>
        <v>2</v>
      </c>
    </row>
    <row r="293" spans="1:30" ht="14.5">
      <c r="A293" s="14">
        <v>24</v>
      </c>
      <c r="B293" s="4">
        <f>IF($A293=B$269,"",COUNTIF($E$4:$E$265,$A293&amp;" ضد "&amp;B$269)+COUNTIF($E$4:$E$265,B$269&amp;" ضد "&amp;$A293))</f>
        <v>0</v>
      </c>
      <c r="C293" s="4">
        <f>IF($A293=C$269,"",COUNTIF($E$4:$E$265,$A293&amp;" ضد "&amp;C$269)+COUNTIF($E$4:$E$265,C$269&amp;" ضد "&amp;$A293))</f>
        <v>0</v>
      </c>
      <c r="D293" s="4">
        <f>IF($A293=D$269,"",COUNTIF($E$4:$E$265,$A293&amp;" ضد "&amp;D$269)+COUNTIF($E$4:$E$265,D$269&amp;" ضد "&amp;$A293))</f>
        <v>0</v>
      </c>
      <c r="E293" s="4">
        <f>IF($A293=E$269,"",COUNTIF($E$4:$E$265,$A293&amp;" ضد "&amp;E$269)+COUNTIF($E$4:$E$265,E$269&amp;" ضد "&amp;$A293))</f>
        <v>0</v>
      </c>
      <c r="F293" s="4">
        <f>IF($A293=F$269,"",COUNTIF($E$4:$E$265,$A293&amp;" ضد "&amp;F$269)+COUNTIF($E$4:$E$265,F$269&amp;" ضد "&amp;$A293))</f>
        <v>0</v>
      </c>
      <c r="G293" s="4">
        <f>IF($A293=G$269,"",COUNTIF($E$4:$E$265,$A293&amp;" ضد "&amp;G$269)+COUNTIF($E$4:$E$265,G$269&amp;" ضد "&amp;$A293))</f>
        <v>0</v>
      </c>
      <c r="H293" s="4">
        <f>IF($A293=H$269,"",COUNTIF($E$4:$E$265,$A293&amp;" ضد "&amp;H$269)+COUNTIF($E$4:$E$265,H$269&amp;" ضد "&amp;$A293))</f>
        <v>0</v>
      </c>
      <c r="I293" s="4">
        <f>IF($A293=I$269,"",COUNTIF($E$4:$E$265,$A293&amp;" ضد "&amp;I$269)+COUNTIF($E$4:$E$265,I$269&amp;" ضد "&amp;$A293))</f>
        <v>0</v>
      </c>
      <c r="J293" s="4">
        <f>IF($A293=J$269,"",COUNTIF($E$4:$E$265,$A293&amp;" ضد "&amp;J$269)+COUNTIF($E$4:$E$265,J$269&amp;" ضد "&amp;$A293))</f>
        <v>0</v>
      </c>
      <c r="K293" s="4">
        <f>IF($A293=K$269,"",COUNTIF($E$4:$E$265,$A293&amp;" ضد "&amp;K$269)+COUNTIF($E$4:$E$265,K$269&amp;" ضد "&amp;$A293))</f>
        <v>0</v>
      </c>
      <c r="L293" s="4">
        <f>IF($A293=L$269,"",COUNTIF($E$4:$E$265,$A293&amp;" ضد "&amp;L$269)+COUNTIF($E$4:$E$265,L$269&amp;" ضد "&amp;$A293))</f>
        <v>0</v>
      </c>
      <c r="M293" s="4">
        <f>IF($A293=M$269,"",COUNTIF($E$4:$E$265,$A293&amp;" ضد "&amp;M$269)+COUNTIF($E$4:$E$265,M$269&amp;" ضد "&amp;$A293))</f>
        <v>0</v>
      </c>
      <c r="N293" s="4">
        <f>IF($A293=N$269,"",COUNTIF($E$4:$E$265,$A293&amp;" ضد "&amp;N$269)+COUNTIF($E$4:$E$265,N$269&amp;" ضد "&amp;$A293))</f>
        <v>0</v>
      </c>
      <c r="O293" s="4">
        <f>IF($A293=O$269,"",COUNTIF($E$4:$E$265,$A293&amp;" ضد "&amp;O$269)+COUNTIF($E$4:$E$265,O$269&amp;" ضد "&amp;$A293))</f>
        <v>0</v>
      </c>
      <c r="P293" s="4">
        <f>IF($A293=P$269,"",COUNTIF($E$4:$E$265,$A293&amp;" ضد "&amp;P$269)+COUNTIF($E$4:$E$265,P$269&amp;" ضد "&amp;$A293))</f>
        <v>0</v>
      </c>
      <c r="Q293" s="4">
        <f>IF($A293=Q$269,"",COUNTIF($E$4:$E$265,$A293&amp;" ضد "&amp;Q$269)+COUNTIF($E$4:$E$265,Q$269&amp;" ضد "&amp;$A293))</f>
        <v>1</v>
      </c>
      <c r="R293" s="4">
        <f>IF($A293=R$269,"",COUNTIF($E$4:$E$265,$A293&amp;" ضد "&amp;R$269)+COUNTIF($E$4:$E$265,R$269&amp;" ضد "&amp;$A293))</f>
        <v>2</v>
      </c>
      <c r="S293" s="4">
        <f>IF($A293=S$269,"",COUNTIF($E$4:$E$265,$A293&amp;" ضد "&amp;S$269)+COUNTIF($E$4:$E$265,S$269&amp;" ضد "&amp;$A293))</f>
        <v>1</v>
      </c>
      <c r="T293" s="4">
        <f>IF($A293=T$269,"",COUNTIF($E$4:$E$265,$A293&amp;" ضد "&amp;T$269)+COUNTIF($E$4:$E$265,T$269&amp;" ضد "&amp;$A293))</f>
        <v>2</v>
      </c>
      <c r="U293" s="4">
        <f>IF($A293=U$269,"",COUNTIF($E$4:$E$265,$A293&amp;" ضد "&amp;U$269)+COUNTIF($E$4:$E$265,U$269&amp;" ضد "&amp;$A293))</f>
        <v>1</v>
      </c>
      <c r="V293" s="4">
        <f>IF($A293=V$269,"",COUNTIF($E$4:$E$265,$A293&amp;" ضد "&amp;V$269)+COUNTIF($E$4:$E$265,V$269&amp;" ضد "&amp;$A293))</f>
        <v>2</v>
      </c>
      <c r="W293" s="4">
        <f>IF($A293=W$269,"",COUNTIF($E$4:$E$265,$A293&amp;" ضد "&amp;W$269)+COUNTIF($E$4:$E$265,W$269&amp;" ضد "&amp;$A293))</f>
        <v>1</v>
      </c>
      <c r="X293" s="4">
        <f>IF($A293=X$269,"",COUNTIF($E$4:$E$265,$A293&amp;" ضد "&amp;X$269)+COUNTIF($E$4:$E$265,X$269&amp;" ضد "&amp;$A293))</f>
        <v>1</v>
      </c>
      <c r="Y293" s="4" t="str">
        <f>IF($A293=Y$269,"",COUNTIF($E$4:$E$265,$A293&amp;" ضد "&amp;Y$269)+COUNTIF($E$4:$E$265,Y$269&amp;" ضد "&amp;$A293))</f>
        <v/>
      </c>
      <c r="Z293" s="4">
        <f>IF($A293=Z$269,"",COUNTIF($E$4:$E$265,$A293&amp;" ضد "&amp;Z$269)+COUNTIF($E$4:$E$265,Z$269&amp;" ضد "&amp;$A293))</f>
        <v>1</v>
      </c>
      <c r="AA293" s="4">
        <f>IF($A293=AA$269,"",COUNTIF($E$4:$E$265,$A293&amp;" ضد "&amp;AA$269)+COUNTIF($E$4:$E$265,AA$269&amp;" ضد "&amp;$A293))</f>
        <v>2</v>
      </c>
      <c r="AB293" s="4">
        <f>IF($A293=AB$269,"",COUNTIF($E$4:$E$265,$A293&amp;" ضد "&amp;AB$269)+COUNTIF($E$4:$E$265,AB$269&amp;" ضد "&amp;$A293))</f>
        <v>1</v>
      </c>
      <c r="AC293" s="4">
        <f>IF($A293=AC$269,"",COUNTIF($E$4:$E$265,$A293&amp;" ضد "&amp;AC$269)+COUNTIF($E$4:$E$265,AC$269&amp;" ضد "&amp;$A293))</f>
        <v>2</v>
      </c>
      <c r="AD293" s="4">
        <f>IF($A293=AD$269,"",COUNTIF($E$4:$E$265,$A293&amp;" ضد "&amp;AD$269)+COUNTIF($E$4:$E$265,AD$269&amp;" ضد "&amp;$A293))</f>
        <v>1</v>
      </c>
    </row>
    <row r="294" spans="1:30" ht="14.5">
      <c r="A294" s="14">
        <v>25</v>
      </c>
      <c r="B294" s="4">
        <f>IF($A294=B$269,"",COUNTIF($E$4:$E$265,$A294&amp;" ضد "&amp;B$269)+COUNTIF($E$4:$E$265,B$269&amp;" ضد "&amp;$A294))</f>
        <v>0</v>
      </c>
      <c r="C294" s="4">
        <f>IF($A294=C$269,"",COUNTIF($E$4:$E$265,$A294&amp;" ضد "&amp;C$269)+COUNTIF($E$4:$E$265,C$269&amp;" ضد "&amp;$A294))</f>
        <v>0</v>
      </c>
      <c r="D294" s="4">
        <f>IF($A294=D$269,"",COUNTIF($E$4:$E$265,$A294&amp;" ضد "&amp;D$269)+COUNTIF($E$4:$E$265,D$269&amp;" ضد "&amp;$A294))</f>
        <v>0</v>
      </c>
      <c r="E294" s="4">
        <f>IF($A294=E$269,"",COUNTIF($E$4:$E$265,$A294&amp;" ضد "&amp;E$269)+COUNTIF($E$4:$E$265,E$269&amp;" ضد "&amp;$A294))</f>
        <v>0</v>
      </c>
      <c r="F294" s="4">
        <f>IF($A294=F$269,"",COUNTIF($E$4:$E$265,$A294&amp;" ضد "&amp;F$269)+COUNTIF($E$4:$E$265,F$269&amp;" ضد "&amp;$A294))</f>
        <v>0</v>
      </c>
      <c r="G294" s="4">
        <f>IF($A294=G$269,"",COUNTIF($E$4:$E$265,$A294&amp;" ضد "&amp;G$269)+COUNTIF($E$4:$E$265,G$269&amp;" ضد "&amp;$A294))</f>
        <v>0</v>
      </c>
      <c r="H294" s="4">
        <f>IF($A294=H$269,"",COUNTIF($E$4:$E$265,$A294&amp;" ضد "&amp;H$269)+COUNTIF($E$4:$E$265,H$269&amp;" ضد "&amp;$A294))</f>
        <v>0</v>
      </c>
      <c r="I294" s="4">
        <f>IF($A294=I$269,"",COUNTIF($E$4:$E$265,$A294&amp;" ضد "&amp;I$269)+COUNTIF($E$4:$E$265,I$269&amp;" ضد "&amp;$A294))</f>
        <v>0</v>
      </c>
      <c r="J294" s="4">
        <f>IF($A294=J$269,"",COUNTIF($E$4:$E$265,$A294&amp;" ضد "&amp;J$269)+COUNTIF($E$4:$E$265,J$269&amp;" ضد "&amp;$A294))</f>
        <v>0</v>
      </c>
      <c r="K294" s="4">
        <f>IF($A294=K$269,"",COUNTIF($E$4:$E$265,$A294&amp;" ضد "&amp;K$269)+COUNTIF($E$4:$E$265,K$269&amp;" ضد "&amp;$A294))</f>
        <v>0</v>
      </c>
      <c r="L294" s="4">
        <f>IF($A294=L$269,"",COUNTIF($E$4:$E$265,$A294&amp;" ضد "&amp;L$269)+COUNTIF($E$4:$E$265,L$269&amp;" ضد "&amp;$A294))</f>
        <v>0</v>
      </c>
      <c r="M294" s="4">
        <f>IF($A294=M$269,"",COUNTIF($E$4:$E$265,$A294&amp;" ضد "&amp;M$269)+COUNTIF($E$4:$E$265,M$269&amp;" ضد "&amp;$A294))</f>
        <v>0</v>
      </c>
      <c r="N294" s="4">
        <f>IF($A294=N$269,"",COUNTIF($E$4:$E$265,$A294&amp;" ضد "&amp;N$269)+COUNTIF($E$4:$E$265,N$269&amp;" ضد "&amp;$A294))</f>
        <v>0</v>
      </c>
      <c r="O294" s="4">
        <f>IF($A294=O$269,"",COUNTIF($E$4:$E$265,$A294&amp;" ضد "&amp;O$269)+COUNTIF($E$4:$E$265,O$269&amp;" ضد "&amp;$A294))</f>
        <v>0</v>
      </c>
      <c r="P294" s="4">
        <f>IF($A294=P$269,"",COUNTIF($E$4:$E$265,$A294&amp;" ضد "&amp;P$269)+COUNTIF($E$4:$E$265,P$269&amp;" ضد "&amp;$A294))</f>
        <v>0</v>
      </c>
      <c r="Q294" s="4">
        <f>IF($A294=Q$269,"",COUNTIF($E$4:$E$265,$A294&amp;" ضد "&amp;Q$269)+COUNTIF($E$4:$E$265,Q$269&amp;" ضد "&amp;$A294))</f>
        <v>2</v>
      </c>
      <c r="R294" s="4">
        <f>IF($A294=R$269,"",COUNTIF($E$4:$E$265,$A294&amp;" ضد "&amp;R$269)+COUNTIF($E$4:$E$265,R$269&amp;" ضد "&amp;$A294))</f>
        <v>1</v>
      </c>
      <c r="S294" s="4">
        <f>IF($A294=S$269,"",COUNTIF($E$4:$E$265,$A294&amp;" ضد "&amp;S$269)+COUNTIF($E$4:$E$265,S$269&amp;" ضد "&amp;$A294))</f>
        <v>2</v>
      </c>
      <c r="T294" s="4">
        <f>IF($A294=T$269,"",COUNTIF($E$4:$E$265,$A294&amp;" ضد "&amp;T$269)+COUNTIF($E$4:$E$265,T$269&amp;" ضد "&amp;$A294))</f>
        <v>1</v>
      </c>
      <c r="U294" s="4">
        <f>IF($A294=U$269,"",COUNTIF($E$4:$E$265,$A294&amp;" ضد "&amp;U$269)+COUNTIF($E$4:$E$265,U$269&amp;" ضد "&amp;$A294))</f>
        <v>2</v>
      </c>
      <c r="V294" s="4">
        <f>IF($A294=V$269,"",COUNTIF($E$4:$E$265,$A294&amp;" ضد "&amp;V$269)+COUNTIF($E$4:$E$265,V$269&amp;" ضد "&amp;$A294))</f>
        <v>1</v>
      </c>
      <c r="W294" s="4">
        <f>IF($A294=W$269,"",COUNTIF($E$4:$E$265,$A294&amp;" ضد "&amp;W$269)+COUNTIF($E$4:$E$265,W$269&amp;" ضد "&amp;$A294))</f>
        <v>1</v>
      </c>
      <c r="X294" s="4">
        <f>IF($A294=X$269,"",COUNTIF($E$4:$E$265,$A294&amp;" ضد "&amp;X$269)+COUNTIF($E$4:$E$265,X$269&amp;" ضد "&amp;$A294))</f>
        <v>1</v>
      </c>
      <c r="Y294" s="4">
        <f>IF($A294=Y$269,"",COUNTIF($E$4:$E$265,$A294&amp;" ضد "&amp;Y$269)+COUNTIF($E$4:$E$265,Y$269&amp;" ضد "&amp;$A294))</f>
        <v>1</v>
      </c>
      <c r="Z294" s="4" t="str">
        <f>IF($A294=Z$269,"",COUNTIF($E$4:$E$265,$A294&amp;" ضد "&amp;Z$269)+COUNTIF($E$4:$E$265,Z$269&amp;" ضد "&amp;$A294))</f>
        <v/>
      </c>
      <c r="AA294" s="4">
        <f>IF($A294=AA$269,"",COUNTIF($E$4:$E$265,$A294&amp;" ضد "&amp;AA$269)+COUNTIF($E$4:$E$265,AA$269&amp;" ضد "&amp;$A294))</f>
        <v>1</v>
      </c>
      <c r="AB294" s="4">
        <f>IF($A294=AB$269,"",COUNTIF($E$4:$E$265,$A294&amp;" ضد "&amp;AB$269)+COUNTIF($E$4:$E$265,AB$269&amp;" ضد "&amp;$A294))</f>
        <v>2</v>
      </c>
      <c r="AC294" s="4">
        <f>IF($A294=AC$269,"",COUNTIF($E$4:$E$265,$A294&amp;" ضد "&amp;AC$269)+COUNTIF($E$4:$E$265,AC$269&amp;" ضد "&amp;$A294))</f>
        <v>1</v>
      </c>
      <c r="AD294" s="4">
        <f>IF($A294=AD$269,"",COUNTIF($E$4:$E$265,$A294&amp;" ضد "&amp;AD$269)+COUNTIF($E$4:$E$265,AD$269&amp;" ضد "&amp;$A294))</f>
        <v>2</v>
      </c>
    </row>
    <row r="295" spans="1:30" ht="14.5">
      <c r="A295" s="14">
        <v>26</v>
      </c>
      <c r="B295" s="4">
        <f>IF($A295=B$269,"",COUNTIF($E$4:$E$265,$A295&amp;" ضد "&amp;B$269)+COUNTIF($E$4:$E$265,B$269&amp;" ضد "&amp;$A295))</f>
        <v>0</v>
      </c>
      <c r="C295" s="4">
        <f>IF($A295=C$269,"",COUNTIF($E$4:$E$265,$A295&amp;" ضد "&amp;C$269)+COUNTIF($E$4:$E$265,C$269&amp;" ضد "&amp;$A295))</f>
        <v>0</v>
      </c>
      <c r="D295" s="4">
        <f>IF($A295=D$269,"",COUNTIF($E$4:$E$265,$A295&amp;" ضد "&amp;D$269)+COUNTIF($E$4:$E$265,D$269&amp;" ضد "&amp;$A295))</f>
        <v>0</v>
      </c>
      <c r="E295" s="4">
        <f>IF($A295=E$269,"",COUNTIF($E$4:$E$265,$A295&amp;" ضد "&amp;E$269)+COUNTIF($E$4:$E$265,E$269&amp;" ضد "&amp;$A295))</f>
        <v>0</v>
      </c>
      <c r="F295" s="4">
        <f>IF($A295=F$269,"",COUNTIF($E$4:$E$265,$A295&amp;" ضد "&amp;F$269)+COUNTIF($E$4:$E$265,F$269&amp;" ضد "&amp;$A295))</f>
        <v>0</v>
      </c>
      <c r="G295" s="4">
        <f>IF($A295=G$269,"",COUNTIF($E$4:$E$265,$A295&amp;" ضد "&amp;G$269)+COUNTIF($E$4:$E$265,G$269&amp;" ضد "&amp;$A295))</f>
        <v>0</v>
      </c>
      <c r="H295" s="4">
        <f>IF($A295=H$269,"",COUNTIF($E$4:$E$265,$A295&amp;" ضد "&amp;H$269)+COUNTIF($E$4:$E$265,H$269&amp;" ضد "&amp;$A295))</f>
        <v>0</v>
      </c>
      <c r="I295" s="4">
        <f>IF($A295=I$269,"",COUNTIF($E$4:$E$265,$A295&amp;" ضد "&amp;I$269)+COUNTIF($E$4:$E$265,I$269&amp;" ضد "&amp;$A295))</f>
        <v>0</v>
      </c>
      <c r="J295" s="4">
        <f>IF($A295=J$269,"",COUNTIF($E$4:$E$265,$A295&amp;" ضد "&amp;J$269)+COUNTIF($E$4:$E$265,J$269&amp;" ضد "&amp;$A295))</f>
        <v>0</v>
      </c>
      <c r="K295" s="4">
        <f>IF($A295=K$269,"",COUNTIF($E$4:$E$265,$A295&amp;" ضد "&amp;K$269)+COUNTIF($E$4:$E$265,K$269&amp;" ضد "&amp;$A295))</f>
        <v>0</v>
      </c>
      <c r="L295" s="4">
        <f>IF($A295=L$269,"",COUNTIF($E$4:$E$265,$A295&amp;" ضد "&amp;L$269)+COUNTIF($E$4:$E$265,L$269&amp;" ضد "&amp;$A295))</f>
        <v>0</v>
      </c>
      <c r="M295" s="4">
        <f>IF($A295=M$269,"",COUNTIF($E$4:$E$265,$A295&amp;" ضد "&amp;M$269)+COUNTIF($E$4:$E$265,M$269&amp;" ضد "&amp;$A295))</f>
        <v>0</v>
      </c>
      <c r="N295" s="4">
        <f>IF($A295=N$269,"",COUNTIF($E$4:$E$265,$A295&amp;" ضد "&amp;N$269)+COUNTIF($E$4:$E$265,N$269&amp;" ضد "&amp;$A295))</f>
        <v>0</v>
      </c>
      <c r="O295" s="4">
        <f>IF($A295=O$269,"",COUNTIF($E$4:$E$265,$A295&amp;" ضد "&amp;O$269)+COUNTIF($E$4:$E$265,O$269&amp;" ضد "&amp;$A295))</f>
        <v>0</v>
      </c>
      <c r="P295" s="4">
        <f>IF($A295=P$269,"",COUNTIF($E$4:$E$265,$A295&amp;" ضد "&amp;P$269)+COUNTIF($E$4:$E$265,P$269&amp;" ضد "&amp;$A295))</f>
        <v>0</v>
      </c>
      <c r="Q295" s="4">
        <f>IF($A295=Q$269,"",COUNTIF($E$4:$E$265,$A295&amp;" ضد "&amp;Q$269)+COUNTIF($E$4:$E$265,Q$269&amp;" ضد "&amp;$A295))</f>
        <v>2</v>
      </c>
      <c r="R295" s="4">
        <f>IF($A295=R$269,"",COUNTIF($E$4:$E$265,$A295&amp;" ضد "&amp;R$269)+COUNTIF($E$4:$E$265,R$269&amp;" ضد "&amp;$A295))</f>
        <v>2</v>
      </c>
      <c r="S295" s="4">
        <f>IF($A295=S$269,"",COUNTIF($E$4:$E$265,$A295&amp;" ضد "&amp;S$269)+COUNTIF($E$4:$E$265,S$269&amp;" ضد "&amp;$A295))</f>
        <v>1</v>
      </c>
      <c r="T295" s="4">
        <f>IF($A295=T$269,"",COUNTIF($E$4:$E$265,$A295&amp;" ضد "&amp;T$269)+COUNTIF($E$4:$E$265,T$269&amp;" ضد "&amp;$A295))</f>
        <v>2</v>
      </c>
      <c r="U295" s="4">
        <f>IF($A295=U$269,"",COUNTIF($E$4:$E$265,$A295&amp;" ضد "&amp;U$269)+COUNTIF($E$4:$E$265,U$269&amp;" ضد "&amp;$A295))</f>
        <v>1</v>
      </c>
      <c r="V295" s="4">
        <f>IF($A295=V$269,"",COUNTIF($E$4:$E$265,$A295&amp;" ضد "&amp;V$269)+COUNTIF($E$4:$E$265,V$269&amp;" ضد "&amp;$A295))</f>
        <v>1</v>
      </c>
      <c r="W295" s="4">
        <f>IF($A295=W$269,"",COUNTIF($E$4:$E$265,$A295&amp;" ضد "&amp;W$269)+COUNTIF($E$4:$E$265,W$269&amp;" ضد "&amp;$A295))</f>
        <v>1</v>
      </c>
      <c r="X295" s="4">
        <f>IF($A295=X$269,"",COUNTIF($E$4:$E$265,$A295&amp;" ضد "&amp;X$269)+COUNTIF($E$4:$E$265,X$269&amp;" ضد "&amp;$A295))</f>
        <v>1</v>
      </c>
      <c r="Y295" s="4">
        <f>IF($A295=Y$269,"",COUNTIF($E$4:$E$265,$A295&amp;" ضد "&amp;Y$269)+COUNTIF($E$4:$E$265,Y$269&amp;" ضد "&amp;$A295))</f>
        <v>2</v>
      </c>
      <c r="Z295" s="4">
        <f>IF($A295=Z$269,"",COUNTIF($E$4:$E$265,$A295&amp;" ضد "&amp;Z$269)+COUNTIF($E$4:$E$265,Z$269&amp;" ضد "&amp;$A295))</f>
        <v>1</v>
      </c>
      <c r="AA295" s="4" t="str">
        <f>IF($A295=AA$269,"",COUNTIF($E$4:$E$265,$A295&amp;" ضد "&amp;AA$269)+COUNTIF($E$4:$E$265,AA$269&amp;" ضد "&amp;$A295))</f>
        <v/>
      </c>
      <c r="AB295" s="4">
        <f>IF($A295=AB$269,"",COUNTIF($E$4:$E$265,$A295&amp;" ضد "&amp;AB$269)+COUNTIF($E$4:$E$265,AB$269&amp;" ضد "&amp;$A295))</f>
        <v>1</v>
      </c>
      <c r="AC295" s="4">
        <f>IF($A295=AC$269,"",COUNTIF($E$4:$E$265,$A295&amp;" ضد "&amp;AC$269)+COUNTIF($E$4:$E$265,AC$269&amp;" ضد "&amp;$A295))</f>
        <v>2</v>
      </c>
      <c r="AD295" s="4">
        <f>IF($A295=AD$269,"",COUNTIF($E$4:$E$265,$A295&amp;" ضد "&amp;AD$269)+COUNTIF($E$4:$E$265,AD$269&amp;" ضد "&amp;$A295))</f>
        <v>1</v>
      </c>
    </row>
    <row r="296" spans="1:30" ht="14.5">
      <c r="A296" s="14">
        <v>27</v>
      </c>
      <c r="B296" s="4">
        <f>IF($A296=B$269,"",COUNTIF($E$4:$E$265,$A296&amp;" ضد "&amp;B$269)+COUNTIF($E$4:$E$265,B$269&amp;" ضد "&amp;$A296))</f>
        <v>0</v>
      </c>
      <c r="C296" s="4">
        <f>IF($A296=C$269,"",COUNTIF($E$4:$E$265,$A296&amp;" ضد "&amp;C$269)+COUNTIF($E$4:$E$265,C$269&amp;" ضد "&amp;$A296))</f>
        <v>0</v>
      </c>
      <c r="D296" s="4">
        <f>IF($A296=D$269,"",COUNTIF($E$4:$E$265,$A296&amp;" ضد "&amp;D$269)+COUNTIF($E$4:$E$265,D$269&amp;" ضد "&amp;$A296))</f>
        <v>0</v>
      </c>
      <c r="E296" s="4">
        <f>IF($A296=E$269,"",COUNTIF($E$4:$E$265,$A296&amp;" ضد "&amp;E$269)+COUNTIF($E$4:$E$265,E$269&amp;" ضد "&amp;$A296))</f>
        <v>0</v>
      </c>
      <c r="F296" s="4">
        <f>IF($A296=F$269,"",COUNTIF($E$4:$E$265,$A296&amp;" ضد "&amp;F$269)+COUNTIF($E$4:$E$265,F$269&amp;" ضد "&amp;$A296))</f>
        <v>0</v>
      </c>
      <c r="G296" s="4">
        <f>IF($A296=G$269,"",COUNTIF($E$4:$E$265,$A296&amp;" ضد "&amp;G$269)+COUNTIF($E$4:$E$265,G$269&amp;" ضد "&amp;$A296))</f>
        <v>0</v>
      </c>
      <c r="H296" s="4">
        <f>IF($A296=H$269,"",COUNTIF($E$4:$E$265,$A296&amp;" ضد "&amp;H$269)+COUNTIF($E$4:$E$265,H$269&amp;" ضد "&amp;$A296))</f>
        <v>0</v>
      </c>
      <c r="I296" s="4">
        <f>IF($A296=I$269,"",COUNTIF($E$4:$E$265,$A296&amp;" ضد "&amp;I$269)+COUNTIF($E$4:$E$265,I$269&amp;" ضد "&amp;$A296))</f>
        <v>0</v>
      </c>
      <c r="J296" s="4">
        <f>IF($A296=J$269,"",COUNTIF($E$4:$E$265,$A296&amp;" ضد "&amp;J$269)+COUNTIF($E$4:$E$265,J$269&amp;" ضد "&amp;$A296))</f>
        <v>0</v>
      </c>
      <c r="K296" s="4">
        <f>IF($A296=K$269,"",COUNTIF($E$4:$E$265,$A296&amp;" ضد "&amp;K$269)+COUNTIF($E$4:$E$265,K$269&amp;" ضد "&amp;$A296))</f>
        <v>0</v>
      </c>
      <c r="L296" s="4">
        <f>IF($A296=L$269,"",COUNTIF($E$4:$E$265,$A296&amp;" ضد "&amp;L$269)+COUNTIF($E$4:$E$265,L$269&amp;" ضد "&amp;$A296))</f>
        <v>0</v>
      </c>
      <c r="M296" s="4">
        <f>IF($A296=M$269,"",COUNTIF($E$4:$E$265,$A296&amp;" ضد "&amp;M$269)+COUNTIF($E$4:$E$265,M$269&amp;" ضد "&amp;$A296))</f>
        <v>0</v>
      </c>
      <c r="N296" s="4">
        <f>IF($A296=N$269,"",COUNTIF($E$4:$E$265,$A296&amp;" ضد "&amp;N$269)+COUNTIF($E$4:$E$265,N$269&amp;" ضد "&amp;$A296))</f>
        <v>0</v>
      </c>
      <c r="O296" s="4">
        <f>IF($A296=O$269,"",COUNTIF($E$4:$E$265,$A296&amp;" ضد "&amp;O$269)+COUNTIF($E$4:$E$265,O$269&amp;" ضد "&amp;$A296))</f>
        <v>0</v>
      </c>
      <c r="P296" s="4">
        <f>IF($A296=P$269,"",COUNTIF($E$4:$E$265,$A296&amp;" ضد "&amp;P$269)+COUNTIF($E$4:$E$265,P$269&amp;" ضد "&amp;$A296))</f>
        <v>0</v>
      </c>
      <c r="Q296" s="4">
        <f>IF($A296=Q$269,"",COUNTIF($E$4:$E$265,$A296&amp;" ضد "&amp;Q$269)+COUNTIF($E$4:$E$265,Q$269&amp;" ضد "&amp;$A296))</f>
        <v>2</v>
      </c>
      <c r="R296" s="4">
        <f>IF($A296=R$269,"",COUNTIF($E$4:$E$265,$A296&amp;" ضد "&amp;R$269)+COUNTIF($E$4:$E$265,R$269&amp;" ضد "&amp;$A296))</f>
        <v>1</v>
      </c>
      <c r="S296" s="4">
        <f>IF($A296=S$269,"",COUNTIF($E$4:$E$265,$A296&amp;" ضد "&amp;S$269)+COUNTIF($E$4:$E$265,S$269&amp;" ضد "&amp;$A296))</f>
        <v>2</v>
      </c>
      <c r="T296" s="4">
        <f>IF($A296=T$269,"",COUNTIF($E$4:$E$265,$A296&amp;" ضد "&amp;T$269)+COUNTIF($E$4:$E$265,T$269&amp;" ضد "&amp;$A296))</f>
        <v>1</v>
      </c>
      <c r="U296" s="4">
        <f>IF($A296=U$269,"",COUNTIF($E$4:$E$265,$A296&amp;" ضد "&amp;U$269)+COUNTIF($E$4:$E$265,U$269&amp;" ضد "&amp;$A296))</f>
        <v>1</v>
      </c>
      <c r="V296" s="4">
        <f>IF($A296=V$269,"",COUNTIF($E$4:$E$265,$A296&amp;" ضد "&amp;V$269)+COUNTIF($E$4:$E$265,V$269&amp;" ضد "&amp;$A296))</f>
        <v>1</v>
      </c>
      <c r="W296" s="4">
        <f>IF($A296=W$269,"",COUNTIF($E$4:$E$265,$A296&amp;" ضد "&amp;W$269)+COUNTIF($E$4:$E$265,W$269&amp;" ضد "&amp;$A296))</f>
        <v>1</v>
      </c>
      <c r="X296" s="4">
        <f>IF($A296=X$269,"",COUNTIF($E$4:$E$265,$A296&amp;" ضد "&amp;X$269)+COUNTIF($E$4:$E$265,X$269&amp;" ضد "&amp;$A296))</f>
        <v>2</v>
      </c>
      <c r="Y296" s="4">
        <f>IF($A296=Y$269,"",COUNTIF($E$4:$E$265,$A296&amp;" ضد "&amp;Y$269)+COUNTIF($E$4:$E$265,Y$269&amp;" ضد "&amp;$A296))</f>
        <v>1</v>
      </c>
      <c r="Z296" s="4">
        <f>IF($A296=Z$269,"",COUNTIF($E$4:$E$265,$A296&amp;" ضد "&amp;Z$269)+COUNTIF($E$4:$E$265,Z$269&amp;" ضد "&amp;$A296))</f>
        <v>2</v>
      </c>
      <c r="AA296" s="4">
        <f>IF($A296=AA$269,"",COUNTIF($E$4:$E$265,$A296&amp;" ضد "&amp;AA$269)+COUNTIF($E$4:$E$265,AA$269&amp;" ضد "&amp;$A296))</f>
        <v>1</v>
      </c>
      <c r="AB296" s="4" t="str">
        <f>IF($A296=AB$269,"",COUNTIF($E$4:$E$265,$A296&amp;" ضد "&amp;AB$269)+COUNTIF($E$4:$E$265,AB$269&amp;" ضد "&amp;$A296))</f>
        <v/>
      </c>
      <c r="AC296" s="4">
        <f>IF($A296=AC$269,"",COUNTIF($E$4:$E$265,$A296&amp;" ضد "&amp;AC$269)+COUNTIF($E$4:$E$265,AC$269&amp;" ضد "&amp;$A296))</f>
        <v>1</v>
      </c>
      <c r="AD296" s="4">
        <f>IF($A296=AD$269,"",COUNTIF($E$4:$E$265,$A296&amp;" ضد "&amp;AD$269)+COUNTIF($E$4:$E$265,AD$269&amp;" ضد "&amp;$A296))</f>
        <v>2</v>
      </c>
    </row>
    <row r="297" spans="1:30" ht="14.5">
      <c r="A297" s="14">
        <v>28</v>
      </c>
      <c r="B297" s="4">
        <f>IF($A297=B$269,"",COUNTIF($E$4:$E$265,$A297&amp;" ضد "&amp;B$269)+COUNTIF($E$4:$E$265,B$269&amp;" ضد "&amp;$A297))</f>
        <v>0</v>
      </c>
      <c r="C297" s="4">
        <f>IF($A297=C$269,"",COUNTIF($E$4:$E$265,$A297&amp;" ضد "&amp;C$269)+COUNTIF($E$4:$E$265,C$269&amp;" ضد "&amp;$A297))</f>
        <v>0</v>
      </c>
      <c r="D297" s="4">
        <f>IF($A297=D$269,"",COUNTIF($E$4:$E$265,$A297&amp;" ضد "&amp;D$269)+COUNTIF($E$4:$E$265,D$269&amp;" ضد "&amp;$A297))</f>
        <v>0</v>
      </c>
      <c r="E297" s="4">
        <f>IF($A297=E$269,"",COUNTIF($E$4:$E$265,$A297&amp;" ضد "&amp;E$269)+COUNTIF($E$4:$E$265,E$269&amp;" ضد "&amp;$A297))</f>
        <v>0</v>
      </c>
      <c r="F297" s="4">
        <f>IF($A297=F$269,"",COUNTIF($E$4:$E$265,$A297&amp;" ضد "&amp;F$269)+COUNTIF($E$4:$E$265,F$269&amp;" ضد "&amp;$A297))</f>
        <v>0</v>
      </c>
      <c r="G297" s="4">
        <f>IF($A297=G$269,"",COUNTIF($E$4:$E$265,$A297&amp;" ضد "&amp;G$269)+COUNTIF($E$4:$E$265,G$269&amp;" ضد "&amp;$A297))</f>
        <v>0</v>
      </c>
      <c r="H297" s="4">
        <f>IF($A297=H$269,"",COUNTIF($E$4:$E$265,$A297&amp;" ضد "&amp;H$269)+COUNTIF($E$4:$E$265,H$269&amp;" ضد "&amp;$A297))</f>
        <v>0</v>
      </c>
      <c r="I297" s="4">
        <f>IF($A297=I$269,"",COUNTIF($E$4:$E$265,$A297&amp;" ضد "&amp;I$269)+COUNTIF($E$4:$E$265,I$269&amp;" ضد "&amp;$A297))</f>
        <v>0</v>
      </c>
      <c r="J297" s="4">
        <f>IF($A297=J$269,"",COUNTIF($E$4:$E$265,$A297&amp;" ضد "&amp;J$269)+COUNTIF($E$4:$E$265,J$269&amp;" ضد "&amp;$A297))</f>
        <v>0</v>
      </c>
      <c r="K297" s="4">
        <f>IF($A297=K$269,"",COUNTIF($E$4:$E$265,$A297&amp;" ضد "&amp;K$269)+COUNTIF($E$4:$E$265,K$269&amp;" ضد "&amp;$A297))</f>
        <v>0</v>
      </c>
      <c r="L297" s="4">
        <f>IF($A297=L$269,"",COUNTIF($E$4:$E$265,$A297&amp;" ضد "&amp;L$269)+COUNTIF($E$4:$E$265,L$269&amp;" ضد "&amp;$A297))</f>
        <v>0</v>
      </c>
      <c r="M297" s="4">
        <f>IF($A297=M$269,"",COUNTIF($E$4:$E$265,$A297&amp;" ضد "&amp;M$269)+COUNTIF($E$4:$E$265,M$269&amp;" ضد "&amp;$A297))</f>
        <v>0</v>
      </c>
      <c r="N297" s="4">
        <f>IF($A297=N$269,"",COUNTIF($E$4:$E$265,$A297&amp;" ضد "&amp;N$269)+COUNTIF($E$4:$E$265,N$269&amp;" ضد "&amp;$A297))</f>
        <v>0</v>
      </c>
      <c r="O297" s="4">
        <f>IF($A297=O$269,"",COUNTIF($E$4:$E$265,$A297&amp;" ضد "&amp;O$269)+COUNTIF($E$4:$E$265,O$269&amp;" ضد "&amp;$A297))</f>
        <v>0</v>
      </c>
      <c r="P297" s="4">
        <f>IF($A297=P$269,"",COUNTIF($E$4:$E$265,$A297&amp;" ضد "&amp;P$269)+COUNTIF($E$4:$E$265,P$269&amp;" ضد "&amp;$A297))</f>
        <v>0</v>
      </c>
      <c r="Q297" s="4">
        <f>IF($A297=Q$269,"",COUNTIF($E$4:$E$265,$A297&amp;" ضد "&amp;Q$269)+COUNTIF($E$4:$E$265,Q$269&amp;" ضد "&amp;$A297))</f>
        <v>2</v>
      </c>
      <c r="R297" s="4">
        <f>IF($A297=R$269,"",COUNTIF($E$4:$E$265,$A297&amp;" ضد "&amp;R$269)+COUNTIF($E$4:$E$265,R$269&amp;" ضد "&amp;$A297))</f>
        <v>2</v>
      </c>
      <c r="S297" s="4">
        <f>IF($A297=S$269,"",COUNTIF($E$4:$E$265,$A297&amp;" ضد "&amp;S$269)+COUNTIF($E$4:$E$265,S$269&amp;" ضد "&amp;$A297))</f>
        <v>1</v>
      </c>
      <c r="T297" s="4">
        <f>IF($A297=T$269,"",COUNTIF($E$4:$E$265,$A297&amp;" ضد "&amp;T$269)+COUNTIF($E$4:$E$265,T$269&amp;" ضد "&amp;$A297))</f>
        <v>1</v>
      </c>
      <c r="U297" s="4">
        <f>IF($A297=U$269,"",COUNTIF($E$4:$E$265,$A297&amp;" ضد "&amp;U$269)+COUNTIF($E$4:$E$265,U$269&amp;" ضد "&amp;$A297))</f>
        <v>1</v>
      </c>
      <c r="V297" s="4">
        <f>IF($A297=V$269,"",COUNTIF($E$4:$E$265,$A297&amp;" ضد "&amp;V$269)+COUNTIF($E$4:$E$265,V$269&amp;" ضد "&amp;$A297))</f>
        <v>1</v>
      </c>
      <c r="W297" s="4">
        <f>IF($A297=W$269,"",COUNTIF($E$4:$E$265,$A297&amp;" ضد "&amp;W$269)+COUNTIF($E$4:$E$265,W$269&amp;" ضد "&amp;$A297))</f>
        <v>2</v>
      </c>
      <c r="X297" s="4">
        <f>IF($A297=X$269,"",COUNTIF($E$4:$E$265,$A297&amp;" ضد "&amp;X$269)+COUNTIF($E$4:$E$265,X$269&amp;" ضد "&amp;$A297))</f>
        <v>1</v>
      </c>
      <c r="Y297" s="4">
        <f>IF($A297=Y$269,"",COUNTIF($E$4:$E$265,$A297&amp;" ضد "&amp;Y$269)+COUNTIF($E$4:$E$265,Y$269&amp;" ضد "&amp;$A297))</f>
        <v>2</v>
      </c>
      <c r="Z297" s="4">
        <f>IF($A297=Z$269,"",COUNTIF($E$4:$E$265,$A297&amp;" ضد "&amp;Z$269)+COUNTIF($E$4:$E$265,Z$269&amp;" ضد "&amp;$A297))</f>
        <v>1</v>
      </c>
      <c r="AA297" s="4">
        <f>IF($A297=AA$269,"",COUNTIF($E$4:$E$265,$A297&amp;" ضد "&amp;AA$269)+COUNTIF($E$4:$E$265,AA$269&amp;" ضد "&amp;$A297))</f>
        <v>2</v>
      </c>
      <c r="AB297" s="4">
        <f>IF($A297=AB$269,"",COUNTIF($E$4:$E$265,$A297&amp;" ضد "&amp;AB$269)+COUNTIF($E$4:$E$265,AB$269&amp;" ضد "&amp;$A297))</f>
        <v>1</v>
      </c>
      <c r="AC297" s="4" t="str">
        <f>IF($A297=AC$269,"",COUNTIF($E$4:$E$265,$A297&amp;" ضد "&amp;AC$269)+COUNTIF($E$4:$E$265,AC$269&amp;" ضد "&amp;$A297))</f>
        <v/>
      </c>
      <c r="AD297" s="4">
        <f>IF($A297=AD$269,"",COUNTIF($E$4:$E$265,$A297&amp;" ضد "&amp;AD$269)+COUNTIF($E$4:$E$265,AD$269&amp;" ضد "&amp;$A297))</f>
        <v>1</v>
      </c>
    </row>
    <row r="298" spans="1:30" ht="14.5">
      <c r="A298" s="14">
        <v>29</v>
      </c>
      <c r="B298" s="4">
        <f>IF($A298=B$269,"",COUNTIF($E$4:$E$265,$A298&amp;" ضد "&amp;B$269)+COUNTIF($E$4:$E$265,B$269&amp;" ضد "&amp;$A298))</f>
        <v>0</v>
      </c>
      <c r="C298" s="4">
        <f>IF($A298=C$269,"",COUNTIF($E$4:$E$265,$A298&amp;" ضد "&amp;C$269)+COUNTIF($E$4:$E$265,C$269&amp;" ضد "&amp;$A298))</f>
        <v>0</v>
      </c>
      <c r="D298" s="4">
        <f>IF($A298=D$269,"",COUNTIF($E$4:$E$265,$A298&amp;" ضد "&amp;D$269)+COUNTIF($E$4:$E$265,D$269&amp;" ضد "&amp;$A298))</f>
        <v>0</v>
      </c>
      <c r="E298" s="4">
        <f>IF($A298=E$269,"",COUNTIF($E$4:$E$265,$A298&amp;" ضد "&amp;E$269)+COUNTIF($E$4:$E$265,E$269&amp;" ضد "&amp;$A298))</f>
        <v>0</v>
      </c>
      <c r="F298" s="4">
        <f>IF($A298=F$269,"",COUNTIF($E$4:$E$265,$A298&amp;" ضد "&amp;F$269)+COUNTIF($E$4:$E$265,F$269&amp;" ضد "&amp;$A298))</f>
        <v>0</v>
      </c>
      <c r="G298" s="4">
        <f>IF($A298=G$269,"",COUNTIF($E$4:$E$265,$A298&amp;" ضد "&amp;G$269)+COUNTIF($E$4:$E$265,G$269&amp;" ضد "&amp;$A298))</f>
        <v>0</v>
      </c>
      <c r="H298" s="4">
        <f>IF($A298=H$269,"",COUNTIF($E$4:$E$265,$A298&amp;" ضد "&amp;H$269)+COUNTIF($E$4:$E$265,H$269&amp;" ضد "&amp;$A298))</f>
        <v>0</v>
      </c>
      <c r="I298" s="4">
        <f>IF($A298=I$269,"",COUNTIF($E$4:$E$265,$A298&amp;" ضد "&amp;I$269)+COUNTIF($E$4:$E$265,I$269&amp;" ضد "&amp;$A298))</f>
        <v>0</v>
      </c>
      <c r="J298" s="4">
        <f>IF($A298=J$269,"",COUNTIF($E$4:$E$265,$A298&amp;" ضد "&amp;J$269)+COUNTIF($E$4:$E$265,J$269&amp;" ضد "&amp;$A298))</f>
        <v>0</v>
      </c>
      <c r="K298" s="4">
        <f>IF($A298=K$269,"",COUNTIF($E$4:$E$265,$A298&amp;" ضد "&amp;K$269)+COUNTIF($E$4:$E$265,K$269&amp;" ضد "&amp;$A298))</f>
        <v>0</v>
      </c>
      <c r="L298" s="4">
        <f>IF($A298=L$269,"",COUNTIF($E$4:$E$265,$A298&amp;" ضد "&amp;L$269)+COUNTIF($E$4:$E$265,L$269&amp;" ضد "&amp;$A298))</f>
        <v>0</v>
      </c>
      <c r="M298" s="4">
        <f>IF($A298=M$269,"",COUNTIF($E$4:$E$265,$A298&amp;" ضد "&amp;M$269)+COUNTIF($E$4:$E$265,M$269&amp;" ضد "&amp;$A298))</f>
        <v>0</v>
      </c>
      <c r="N298" s="4">
        <f>IF($A298=N$269,"",COUNTIF($E$4:$E$265,$A298&amp;" ضد "&amp;N$269)+COUNTIF($E$4:$E$265,N$269&amp;" ضد "&amp;$A298))</f>
        <v>0</v>
      </c>
      <c r="O298" s="4">
        <f>IF($A298=O$269,"",COUNTIF($E$4:$E$265,$A298&amp;" ضد "&amp;O$269)+COUNTIF($E$4:$E$265,O$269&amp;" ضد "&amp;$A298))</f>
        <v>0</v>
      </c>
      <c r="P298" s="4">
        <f>IF($A298=P$269,"",COUNTIF($E$4:$E$265,$A298&amp;" ضد "&amp;P$269)+COUNTIF($E$4:$E$265,P$269&amp;" ضد "&amp;$A298))</f>
        <v>0</v>
      </c>
      <c r="Q298" s="4">
        <f>IF($A298=Q$269,"",COUNTIF($E$4:$E$265,$A298&amp;" ضد "&amp;Q$269)+COUNTIF($E$4:$E$265,Q$269&amp;" ضد "&amp;$A298))</f>
        <v>2</v>
      </c>
      <c r="R298" s="4">
        <f>IF($A298=R$269,"",COUNTIF($E$4:$E$265,$A298&amp;" ضد "&amp;R$269)+COUNTIF($E$4:$E$265,R$269&amp;" ضد "&amp;$A298))</f>
        <v>1</v>
      </c>
      <c r="S298" s="4">
        <f>IF($A298=S$269,"",COUNTIF($E$4:$E$265,$A298&amp;" ضد "&amp;S$269)+COUNTIF($E$4:$E$265,S$269&amp;" ضد "&amp;$A298))</f>
        <v>1</v>
      </c>
      <c r="T298" s="4">
        <f>IF($A298=T$269,"",COUNTIF($E$4:$E$265,$A298&amp;" ضد "&amp;T$269)+COUNTIF($E$4:$E$265,T$269&amp;" ضد "&amp;$A298))</f>
        <v>1</v>
      </c>
      <c r="U298" s="4">
        <f>IF($A298=U$269,"",COUNTIF($E$4:$E$265,$A298&amp;" ضد "&amp;U$269)+COUNTIF($E$4:$E$265,U$269&amp;" ضد "&amp;$A298))</f>
        <v>1</v>
      </c>
      <c r="V298" s="4">
        <f>IF($A298=V$269,"",COUNTIF($E$4:$E$265,$A298&amp;" ضد "&amp;V$269)+COUNTIF($E$4:$E$265,V$269&amp;" ضد "&amp;$A298))</f>
        <v>2</v>
      </c>
      <c r="W298" s="4">
        <f>IF($A298=W$269,"",COUNTIF($E$4:$E$265,$A298&amp;" ضد "&amp;W$269)+COUNTIF($E$4:$E$265,W$269&amp;" ضد "&amp;$A298))</f>
        <v>1</v>
      </c>
      <c r="X298" s="4">
        <f>IF($A298=X$269,"",COUNTIF($E$4:$E$265,$A298&amp;" ضد "&amp;X$269)+COUNTIF($E$4:$E$265,X$269&amp;" ضد "&amp;$A298))</f>
        <v>2</v>
      </c>
      <c r="Y298" s="4">
        <f>IF($A298=Y$269,"",COUNTIF($E$4:$E$265,$A298&amp;" ضد "&amp;Y$269)+COUNTIF($E$4:$E$265,Y$269&amp;" ضد "&amp;$A298))</f>
        <v>1</v>
      </c>
      <c r="Z298" s="4">
        <f>IF($A298=Z$269,"",COUNTIF($E$4:$E$265,$A298&amp;" ضد "&amp;Z$269)+COUNTIF($E$4:$E$265,Z$269&amp;" ضد "&amp;$A298))</f>
        <v>2</v>
      </c>
      <c r="AA298" s="4">
        <f>IF($A298=AA$269,"",COUNTIF($E$4:$E$265,$A298&amp;" ضد "&amp;AA$269)+COUNTIF($E$4:$E$265,AA$269&amp;" ضد "&amp;$A298))</f>
        <v>1</v>
      </c>
      <c r="AB298" s="4">
        <f>IF($A298=AB$269,"",COUNTIF($E$4:$E$265,$A298&amp;" ضد "&amp;AB$269)+COUNTIF($E$4:$E$265,AB$269&amp;" ضد "&amp;$A298))</f>
        <v>2</v>
      </c>
      <c r="AC298" s="4">
        <f>IF($A298=AC$269,"",COUNTIF($E$4:$E$265,$A298&amp;" ضد "&amp;AC$269)+COUNTIF($E$4:$E$265,AC$269&amp;" ضد "&amp;$A298))</f>
        <v>1</v>
      </c>
      <c r="AD298" s="4" t="str">
        <f>IF($A298=AD$269,"",COUNTIF($E$4:$E$265,$A298&amp;" ضد "&amp;AD$269)+COUNTIF($E$4:$E$265,AD$269&amp;" ضد "&amp;$A298))</f>
        <v/>
      </c>
    </row>
    <row r="299" spans="1:30" ht="14.5">
      <c r="A299" s="14" t="s">
        <v>1033</v>
      </c>
      <c r="B299" s="4" cm="1">
        <f t="array" ref="B299">MIN(IF(B270:AD298&gt;0,B270:AD298))</f>
        <v>1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5">
      <c r="A300" s="14" t="s">
        <v>830</v>
      </c>
      <c r="B300" s="4">
        <f>MAX(B270:AD298)</f>
        <v>2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</sheetData>
  <mergeCells count="2">
    <mergeCell ref="A1:E1"/>
    <mergeCell ref="A268:AD26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294A-CD92-496C-B76F-464EF03575DC}">
  <dimension ref="A1:AL380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1000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89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67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56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136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137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138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163</v>
      </c>
      <c r="F10" s="2"/>
    </row>
    <row r="11" spans="1:6" ht="14" customHeight="1">
      <c r="A11" s="8">
        <v>1</v>
      </c>
      <c r="B11" s="7" t="str">
        <f>المدخلات!$F$6</f>
        <v>6:40–7:50 م</v>
      </c>
      <c r="C11" s="7">
        <v>2</v>
      </c>
      <c r="D11" s="7" t="s">
        <v>593</v>
      </c>
      <c r="E11" s="7" t="s">
        <v>164</v>
      </c>
      <c r="F11" s="2"/>
    </row>
    <row r="12" spans="1:6" ht="14" customHeight="1">
      <c r="A12" s="8">
        <v>1</v>
      </c>
      <c r="B12" s="7" t="str">
        <f>المدخلات!$F$6</f>
        <v>6:40–7:50 م</v>
      </c>
      <c r="C12" s="7">
        <v>3</v>
      </c>
      <c r="D12" s="7" t="s">
        <v>593</v>
      </c>
      <c r="E12" s="7" t="s">
        <v>157</v>
      </c>
      <c r="F12" s="2"/>
    </row>
    <row r="13" spans="1:6" ht="14" customHeight="1">
      <c r="A13" s="8">
        <v>1</v>
      </c>
      <c r="B13" s="7" t="str">
        <f>المدخلات!$F$4</f>
        <v>4:00–5:10 م</v>
      </c>
      <c r="C13" s="7">
        <v>4</v>
      </c>
      <c r="D13" s="7" t="s">
        <v>594</v>
      </c>
      <c r="E13" s="7" t="s">
        <v>285</v>
      </c>
      <c r="F13" s="2"/>
    </row>
    <row r="14" spans="1:6" ht="14" customHeight="1">
      <c r="A14" s="8">
        <v>1</v>
      </c>
      <c r="B14" s="7" t="str">
        <f>المدخلات!$F$4</f>
        <v>4:00–5:10 م</v>
      </c>
      <c r="C14" s="7">
        <v>5</v>
      </c>
      <c r="D14" s="7" t="s">
        <v>594</v>
      </c>
      <c r="E14" s="7" t="s">
        <v>274</v>
      </c>
      <c r="F14" s="2"/>
    </row>
    <row r="15" spans="1:6" ht="14" customHeight="1">
      <c r="A15" s="8">
        <v>1</v>
      </c>
      <c r="B15" s="7" t="str">
        <f>المدخلات!$F$4</f>
        <v>4:00–5:10 م</v>
      </c>
      <c r="C15" s="7">
        <v>6</v>
      </c>
      <c r="D15" s="7" t="s">
        <v>594</v>
      </c>
      <c r="E15" s="7" t="s">
        <v>267</v>
      </c>
      <c r="F15" s="2"/>
    </row>
    <row r="16" spans="1:6" ht="14" customHeight="1">
      <c r="A16" s="8">
        <v>1</v>
      </c>
      <c r="B16" s="7" t="str">
        <f>المدخلات!$F$5</f>
        <v>5:20–6:30 م</v>
      </c>
      <c r="C16" s="7">
        <v>4</v>
      </c>
      <c r="D16" s="7" t="s">
        <v>594</v>
      </c>
      <c r="E16" s="7" t="s">
        <v>332</v>
      </c>
      <c r="F16" s="2"/>
    </row>
    <row r="17" spans="1:6" ht="14" customHeight="1">
      <c r="A17" s="8">
        <v>1</v>
      </c>
      <c r="B17" s="7" t="str">
        <f>المدخلات!$F$5</f>
        <v>5:20–6:30 م</v>
      </c>
      <c r="C17" s="7">
        <v>5</v>
      </c>
      <c r="D17" s="7" t="s">
        <v>594</v>
      </c>
      <c r="E17" s="7" t="s">
        <v>295</v>
      </c>
      <c r="F17" s="2"/>
    </row>
    <row r="18" spans="1:6" ht="14" customHeight="1">
      <c r="A18" s="8">
        <v>1</v>
      </c>
      <c r="B18" s="7" t="str">
        <f>المدخلات!$F$5</f>
        <v>5:20–6:30 م</v>
      </c>
      <c r="C18" s="7">
        <v>6</v>
      </c>
      <c r="D18" s="7" t="s">
        <v>594</v>
      </c>
      <c r="E18" s="7" t="s">
        <v>294</v>
      </c>
      <c r="F18" s="2"/>
    </row>
    <row r="19" spans="1:6" ht="14" customHeight="1">
      <c r="A19" s="8">
        <v>1</v>
      </c>
      <c r="B19" s="7" t="str">
        <f>المدخلات!$F$6</f>
        <v>6:40–7:50 م</v>
      </c>
      <c r="C19" s="7">
        <v>4</v>
      </c>
      <c r="D19" s="7" t="s">
        <v>594</v>
      </c>
      <c r="E19" s="7" t="s">
        <v>346</v>
      </c>
      <c r="F19" s="2"/>
    </row>
    <row r="20" spans="1:6" ht="14" customHeight="1">
      <c r="A20" s="8">
        <v>1</v>
      </c>
      <c r="B20" s="7" t="str">
        <f>المدخلات!$F$6</f>
        <v>6:40–7:50 م</v>
      </c>
      <c r="C20" s="7">
        <v>5</v>
      </c>
      <c r="D20" s="7" t="s">
        <v>594</v>
      </c>
      <c r="E20" s="7" t="s">
        <v>347</v>
      </c>
      <c r="F20" s="2"/>
    </row>
    <row r="21" spans="1:6" ht="14" customHeight="1">
      <c r="A21" s="8">
        <v>1</v>
      </c>
      <c r="B21" s="7" t="str">
        <f>المدخلات!$F$6</f>
        <v>6:40–7:50 م</v>
      </c>
      <c r="C21" s="7">
        <v>6</v>
      </c>
      <c r="D21" s="7" t="s">
        <v>594</v>
      </c>
      <c r="E21" s="7" t="s">
        <v>348</v>
      </c>
      <c r="F21" s="2"/>
    </row>
    <row r="22" spans="1:6" ht="14" customHeight="1">
      <c r="A22" s="8">
        <v>2</v>
      </c>
      <c r="B22" s="7" t="str">
        <f>المدخلات!$F$4</f>
        <v>4:00–5:10 م</v>
      </c>
      <c r="C22" s="7">
        <v>1</v>
      </c>
      <c r="D22" s="7" t="s">
        <v>593</v>
      </c>
      <c r="E22" s="7" t="s">
        <v>1095</v>
      </c>
      <c r="F22" s="2"/>
    </row>
    <row r="23" spans="1:6" ht="14" customHeight="1">
      <c r="A23" s="8">
        <v>2</v>
      </c>
      <c r="B23" s="7" t="str">
        <f>المدخلات!$F$4</f>
        <v>4:00–5:10 م</v>
      </c>
      <c r="C23" s="7">
        <v>2</v>
      </c>
      <c r="D23" s="7" t="s">
        <v>593</v>
      </c>
      <c r="E23" s="7" t="s">
        <v>1096</v>
      </c>
      <c r="F23" s="2"/>
    </row>
    <row r="24" spans="1:6" ht="14" customHeight="1">
      <c r="A24" s="8">
        <v>2</v>
      </c>
      <c r="B24" s="7" t="str">
        <f>المدخلات!$F$4</f>
        <v>4:00–5:10 م</v>
      </c>
      <c r="C24" s="7">
        <v>3</v>
      </c>
      <c r="D24" s="7" t="s">
        <v>593</v>
      </c>
      <c r="E24" s="7" t="s">
        <v>165</v>
      </c>
      <c r="F24" s="2"/>
    </row>
    <row r="25" spans="1:6" ht="14" customHeight="1">
      <c r="A25" s="8">
        <v>2</v>
      </c>
      <c r="B25" s="7" t="str">
        <f>المدخلات!$F$5</f>
        <v>5:20–6:30 م</v>
      </c>
      <c r="C25" s="7">
        <v>1</v>
      </c>
      <c r="D25" s="7" t="s">
        <v>593</v>
      </c>
      <c r="E25" s="7" t="s">
        <v>46</v>
      </c>
      <c r="F25" s="2"/>
    </row>
    <row r="26" spans="1:6" ht="14" customHeight="1">
      <c r="A26" s="8">
        <v>2</v>
      </c>
      <c r="B26" s="7" t="str">
        <f>المدخلات!$F$5</f>
        <v>5:20–6:30 م</v>
      </c>
      <c r="C26" s="7">
        <v>2</v>
      </c>
      <c r="D26" s="7" t="s">
        <v>593</v>
      </c>
      <c r="E26" s="7" t="s">
        <v>1097</v>
      </c>
      <c r="F26" s="2"/>
    </row>
    <row r="27" spans="1:6" ht="14" customHeight="1">
      <c r="A27" s="8">
        <v>2</v>
      </c>
      <c r="B27" s="7" t="str">
        <f>المدخلات!$F$5</f>
        <v>5:20–6:30 م</v>
      </c>
      <c r="C27" s="7">
        <v>3</v>
      </c>
      <c r="D27" s="7" t="s">
        <v>593</v>
      </c>
      <c r="E27" s="7" t="s">
        <v>1061</v>
      </c>
      <c r="F27" s="2"/>
    </row>
    <row r="28" spans="1:6" ht="14" customHeight="1">
      <c r="A28" s="8">
        <v>2</v>
      </c>
      <c r="B28" s="7" t="str">
        <f>المدخلات!$F$6</f>
        <v>6:40–7:50 م</v>
      </c>
      <c r="C28" s="7">
        <v>1</v>
      </c>
      <c r="D28" s="7" t="s">
        <v>593</v>
      </c>
      <c r="E28" s="7" t="s">
        <v>1098</v>
      </c>
      <c r="F28" s="2"/>
    </row>
    <row r="29" spans="1:6" ht="14" customHeight="1">
      <c r="A29" s="8">
        <v>2</v>
      </c>
      <c r="B29" s="7" t="str">
        <f>المدخلات!$F$6</f>
        <v>6:40–7:50 م</v>
      </c>
      <c r="C29" s="7">
        <v>2</v>
      </c>
      <c r="D29" s="7" t="s">
        <v>593</v>
      </c>
      <c r="E29" s="7" t="s">
        <v>1099</v>
      </c>
      <c r="F29" s="2"/>
    </row>
    <row r="30" spans="1:6" ht="14" customHeight="1">
      <c r="A30" s="8">
        <v>2</v>
      </c>
      <c r="B30" s="7" t="str">
        <f>المدخلات!$F$6</f>
        <v>6:40–7:50 م</v>
      </c>
      <c r="C30" s="7">
        <v>3</v>
      </c>
      <c r="D30" s="7" t="s">
        <v>593</v>
      </c>
      <c r="E30" s="7" t="s">
        <v>1092</v>
      </c>
      <c r="F30" s="2"/>
    </row>
    <row r="31" spans="1:6" ht="14" customHeight="1">
      <c r="A31" s="8">
        <v>2</v>
      </c>
      <c r="B31" s="7" t="str">
        <f>المدخلات!$F$4</f>
        <v>4:00–5:10 م</v>
      </c>
      <c r="C31" s="7">
        <v>4</v>
      </c>
      <c r="D31" s="7" t="s">
        <v>594</v>
      </c>
      <c r="E31" s="7" t="s">
        <v>1176</v>
      </c>
      <c r="F31" s="2"/>
    </row>
    <row r="32" spans="1:6" ht="14" customHeight="1">
      <c r="A32" s="8">
        <v>2</v>
      </c>
      <c r="B32" s="7" t="str">
        <f>المدخلات!$F$4</f>
        <v>4:00–5:10 م</v>
      </c>
      <c r="C32" s="7">
        <v>5</v>
      </c>
      <c r="D32" s="7" t="s">
        <v>594</v>
      </c>
      <c r="E32" s="7" t="s">
        <v>1177</v>
      </c>
      <c r="F32" s="2"/>
    </row>
    <row r="33" spans="1:6" ht="14" customHeight="1">
      <c r="A33" s="8">
        <v>2</v>
      </c>
      <c r="B33" s="7" t="str">
        <f>المدخلات!$F$4</f>
        <v>4:00–5:10 م</v>
      </c>
      <c r="C33" s="7">
        <v>6</v>
      </c>
      <c r="D33" s="7" t="s">
        <v>594</v>
      </c>
      <c r="E33" s="7" t="s">
        <v>1178</v>
      </c>
      <c r="F33" s="2"/>
    </row>
    <row r="34" spans="1:6" ht="14" customHeight="1">
      <c r="A34" s="8">
        <v>2</v>
      </c>
      <c r="B34" s="7" t="str">
        <f>المدخلات!$F$5</f>
        <v>5:20–6:30 م</v>
      </c>
      <c r="C34" s="7">
        <v>4</v>
      </c>
      <c r="D34" s="7" t="s">
        <v>594</v>
      </c>
      <c r="E34" s="7" t="s">
        <v>259</v>
      </c>
      <c r="F34" s="2"/>
    </row>
    <row r="35" spans="1:6" ht="14" customHeight="1">
      <c r="A35" s="8">
        <v>2</v>
      </c>
      <c r="B35" s="7" t="str">
        <f>المدخلات!$F$5</f>
        <v>5:20–6:30 م</v>
      </c>
      <c r="C35" s="7">
        <v>5</v>
      </c>
      <c r="D35" s="7" t="s">
        <v>594</v>
      </c>
      <c r="E35" s="7" t="s">
        <v>349</v>
      </c>
      <c r="F35" s="2"/>
    </row>
    <row r="36" spans="1:6" ht="14" customHeight="1">
      <c r="A36" s="8">
        <v>2</v>
      </c>
      <c r="B36" s="7" t="str">
        <f>المدخلات!$F$5</f>
        <v>5:20–6:30 م</v>
      </c>
      <c r="C36" s="7">
        <v>6</v>
      </c>
      <c r="D36" s="7" t="s">
        <v>594</v>
      </c>
      <c r="E36" s="7" t="s">
        <v>1179</v>
      </c>
      <c r="F36" s="2"/>
    </row>
    <row r="37" spans="1:6" ht="14" customHeight="1">
      <c r="A37" s="8">
        <v>2</v>
      </c>
      <c r="B37" s="7" t="str">
        <f>المدخلات!$F$6</f>
        <v>6:40–7:50 م</v>
      </c>
      <c r="C37" s="7">
        <v>4</v>
      </c>
      <c r="D37" s="7" t="s">
        <v>594</v>
      </c>
      <c r="E37" s="7" t="s">
        <v>1180</v>
      </c>
      <c r="F37" s="2"/>
    </row>
    <row r="38" spans="1:6" ht="14" customHeight="1">
      <c r="A38" s="8">
        <v>2</v>
      </c>
      <c r="B38" s="7" t="str">
        <f>المدخلات!$F$6</f>
        <v>6:40–7:50 م</v>
      </c>
      <c r="C38" s="7">
        <v>5</v>
      </c>
      <c r="D38" s="7" t="s">
        <v>594</v>
      </c>
      <c r="E38" s="7" t="s">
        <v>1181</v>
      </c>
      <c r="F38" s="2"/>
    </row>
    <row r="39" spans="1:6" ht="14" customHeight="1">
      <c r="A39" s="8">
        <v>2</v>
      </c>
      <c r="B39" s="7" t="str">
        <f>المدخلات!$F$6</f>
        <v>6:40–7:50 م</v>
      </c>
      <c r="C39" s="7">
        <v>6</v>
      </c>
      <c r="D39" s="7" t="s">
        <v>594</v>
      </c>
      <c r="E39" s="7" t="s">
        <v>1182</v>
      </c>
      <c r="F39" s="2"/>
    </row>
    <row r="40" spans="1:6" ht="14" customHeight="1">
      <c r="A40" s="8">
        <v>3</v>
      </c>
      <c r="B40" s="7" t="str">
        <f>المدخلات!$F$4</f>
        <v>4:00–5:10 م</v>
      </c>
      <c r="C40" s="7">
        <v>1</v>
      </c>
      <c r="D40" s="7" t="s">
        <v>593</v>
      </c>
      <c r="E40" s="7" t="s">
        <v>57</v>
      </c>
      <c r="F40" s="2"/>
    </row>
    <row r="41" spans="1:6" ht="14" customHeight="1">
      <c r="A41" s="8">
        <v>3</v>
      </c>
      <c r="B41" s="7" t="str">
        <f>المدخلات!$F$4</f>
        <v>4:00–5:10 م</v>
      </c>
      <c r="C41" s="7">
        <v>2</v>
      </c>
      <c r="D41" s="7" t="s">
        <v>593</v>
      </c>
      <c r="E41" s="7" t="s">
        <v>49</v>
      </c>
      <c r="F41" s="2"/>
    </row>
    <row r="42" spans="1:6" ht="14" customHeight="1">
      <c r="A42" s="8">
        <v>3</v>
      </c>
      <c r="B42" s="7" t="str">
        <f>المدخلات!$F$4</f>
        <v>4:00–5:10 م</v>
      </c>
      <c r="C42" s="7">
        <v>3</v>
      </c>
      <c r="D42" s="7" t="s">
        <v>593</v>
      </c>
      <c r="E42" s="7" t="s">
        <v>70</v>
      </c>
      <c r="F42" s="2"/>
    </row>
    <row r="43" spans="1:6" ht="14" customHeight="1">
      <c r="A43" s="8">
        <v>3</v>
      </c>
      <c r="B43" s="7" t="str">
        <f>المدخلات!$F$5</f>
        <v>5:20–6:30 م</v>
      </c>
      <c r="C43" s="7">
        <v>1</v>
      </c>
      <c r="D43" s="7" t="s">
        <v>593</v>
      </c>
      <c r="E43" s="7" t="s">
        <v>107</v>
      </c>
      <c r="F43" s="2"/>
    </row>
    <row r="44" spans="1:6" ht="14" customHeight="1">
      <c r="A44" s="8">
        <v>3</v>
      </c>
      <c r="B44" s="7" t="str">
        <f>المدخلات!$F$5</f>
        <v>5:20–6:30 م</v>
      </c>
      <c r="C44" s="7">
        <v>2</v>
      </c>
      <c r="D44" s="7" t="s">
        <v>593</v>
      </c>
      <c r="E44" s="7" t="s">
        <v>106</v>
      </c>
      <c r="F44" s="2"/>
    </row>
    <row r="45" spans="1:6" ht="14" customHeight="1">
      <c r="A45" s="8">
        <v>3</v>
      </c>
      <c r="B45" s="7" t="str">
        <f>المدخلات!$F$5</f>
        <v>5:20–6:30 م</v>
      </c>
      <c r="C45" s="7">
        <v>3</v>
      </c>
      <c r="D45" s="7" t="s">
        <v>593</v>
      </c>
      <c r="E45" s="7" t="s">
        <v>840</v>
      </c>
      <c r="F45" s="2"/>
    </row>
    <row r="46" spans="1:6" ht="14" customHeight="1">
      <c r="A46" s="8">
        <v>3</v>
      </c>
      <c r="B46" s="7" t="str">
        <f>المدخلات!$F$6</f>
        <v>6:40–7:50 م</v>
      </c>
      <c r="C46" s="7">
        <v>1</v>
      </c>
      <c r="D46" s="7" t="s">
        <v>593</v>
      </c>
      <c r="E46" s="7" t="s">
        <v>41</v>
      </c>
      <c r="F46" s="2"/>
    </row>
    <row r="47" spans="1:6" ht="14" customHeight="1">
      <c r="A47" s="8">
        <v>3</v>
      </c>
      <c r="B47" s="7" t="str">
        <f>المدخلات!$F$6</f>
        <v>6:40–7:50 م</v>
      </c>
      <c r="C47" s="7">
        <v>2</v>
      </c>
      <c r="D47" s="7" t="s">
        <v>593</v>
      </c>
      <c r="E47" s="7" t="s">
        <v>105</v>
      </c>
      <c r="F47" s="2"/>
    </row>
    <row r="48" spans="1:6" ht="14" customHeight="1">
      <c r="A48" s="8">
        <v>3</v>
      </c>
      <c r="B48" s="7" t="str">
        <f>المدخلات!$F$6</f>
        <v>6:40–7:50 م</v>
      </c>
      <c r="C48" s="7">
        <v>3</v>
      </c>
      <c r="D48" s="7" t="s">
        <v>593</v>
      </c>
      <c r="E48" s="7" t="s">
        <v>1100</v>
      </c>
      <c r="F48" s="2"/>
    </row>
    <row r="49" spans="1:6" ht="14" customHeight="1">
      <c r="A49" s="8">
        <v>3</v>
      </c>
      <c r="B49" s="7" t="str">
        <f>المدخلات!$F$4</f>
        <v>4:00–5:10 م</v>
      </c>
      <c r="C49" s="7">
        <v>4</v>
      </c>
      <c r="D49" s="7" t="s">
        <v>594</v>
      </c>
      <c r="E49" s="7" t="s">
        <v>269</v>
      </c>
      <c r="F49" s="2"/>
    </row>
    <row r="50" spans="1:6" ht="14" customHeight="1">
      <c r="A50" s="8">
        <v>3</v>
      </c>
      <c r="B50" s="7" t="str">
        <f>المدخلات!$F$4</f>
        <v>4:00–5:10 م</v>
      </c>
      <c r="C50" s="7">
        <v>5</v>
      </c>
      <c r="D50" s="7" t="s">
        <v>594</v>
      </c>
      <c r="E50" s="7" t="s">
        <v>260</v>
      </c>
      <c r="F50" s="2"/>
    </row>
    <row r="51" spans="1:6" ht="14" customHeight="1">
      <c r="A51" s="8">
        <v>3</v>
      </c>
      <c r="B51" s="7" t="str">
        <f>المدخلات!$F$4</f>
        <v>4:00–5:10 م</v>
      </c>
      <c r="C51" s="7">
        <v>6</v>
      </c>
      <c r="D51" s="7" t="s">
        <v>594</v>
      </c>
      <c r="E51" s="7" t="s">
        <v>276</v>
      </c>
      <c r="F51" s="2"/>
    </row>
    <row r="52" spans="1:6" ht="14" customHeight="1">
      <c r="A52" s="8">
        <v>3</v>
      </c>
      <c r="B52" s="7" t="str">
        <f>المدخلات!$F$5</f>
        <v>5:20–6:30 م</v>
      </c>
      <c r="C52" s="7">
        <v>4</v>
      </c>
      <c r="D52" s="7" t="s">
        <v>594</v>
      </c>
      <c r="E52" s="7" t="s">
        <v>275</v>
      </c>
      <c r="F52" s="2"/>
    </row>
    <row r="53" spans="1:6" ht="14" customHeight="1">
      <c r="A53" s="8">
        <v>3</v>
      </c>
      <c r="B53" s="7" t="str">
        <f>المدخلات!$F$5</f>
        <v>5:20–6:30 م</v>
      </c>
      <c r="C53" s="7">
        <v>5</v>
      </c>
      <c r="D53" s="7" t="s">
        <v>594</v>
      </c>
      <c r="E53" s="7" t="s">
        <v>350</v>
      </c>
      <c r="F53" s="2"/>
    </row>
    <row r="54" spans="1:6" ht="14" customHeight="1">
      <c r="A54" s="8">
        <v>3</v>
      </c>
      <c r="B54" s="7" t="str">
        <f>المدخلات!$F$5</f>
        <v>5:20–6:30 م</v>
      </c>
      <c r="C54" s="7">
        <v>6</v>
      </c>
      <c r="D54" s="7" t="s">
        <v>594</v>
      </c>
      <c r="E54" s="7" t="s">
        <v>305</v>
      </c>
      <c r="F54" s="2"/>
    </row>
    <row r="55" spans="1:6" ht="14" customHeight="1">
      <c r="A55" s="8">
        <v>3</v>
      </c>
      <c r="B55" s="7" t="str">
        <f>المدخلات!$F$6</f>
        <v>6:40–7:50 م</v>
      </c>
      <c r="C55" s="7">
        <v>4</v>
      </c>
      <c r="D55" s="7" t="s">
        <v>594</v>
      </c>
      <c r="E55" s="7" t="s">
        <v>252</v>
      </c>
      <c r="F55" s="2"/>
    </row>
    <row r="56" spans="1:6" ht="14" customHeight="1">
      <c r="A56" s="8">
        <v>3</v>
      </c>
      <c r="B56" s="7" t="str">
        <f>المدخلات!$F$6</f>
        <v>6:40–7:50 م</v>
      </c>
      <c r="C56" s="7">
        <v>5</v>
      </c>
      <c r="D56" s="7" t="s">
        <v>594</v>
      </c>
      <c r="E56" s="7" t="s">
        <v>342</v>
      </c>
      <c r="F56" s="2"/>
    </row>
    <row r="57" spans="1:6" ht="14" customHeight="1">
      <c r="A57" s="8">
        <v>3</v>
      </c>
      <c r="B57" s="7" t="str">
        <f>المدخلات!$F$6</f>
        <v>6:40–7:50 م</v>
      </c>
      <c r="C57" s="7">
        <v>6</v>
      </c>
      <c r="D57" s="7" t="s">
        <v>594</v>
      </c>
      <c r="E57" s="7" t="s">
        <v>888</v>
      </c>
      <c r="F57" s="2"/>
    </row>
    <row r="58" spans="1:6" ht="14" customHeight="1">
      <c r="A58" s="8">
        <v>4</v>
      </c>
      <c r="B58" s="7" t="str">
        <f>المدخلات!$F$4</f>
        <v>4:00–5:10 م</v>
      </c>
      <c r="C58" s="7">
        <v>1</v>
      </c>
      <c r="D58" s="7" t="s">
        <v>593</v>
      </c>
      <c r="E58" s="7" t="s">
        <v>864</v>
      </c>
      <c r="F58" s="2"/>
    </row>
    <row r="59" spans="1:6" ht="14" customHeight="1">
      <c r="A59" s="8">
        <v>4</v>
      </c>
      <c r="B59" s="7" t="str">
        <f>المدخلات!$F$4</f>
        <v>4:00–5:10 م</v>
      </c>
      <c r="C59" s="7">
        <v>2</v>
      </c>
      <c r="D59" s="7" t="s">
        <v>593</v>
      </c>
      <c r="E59" s="7" t="s">
        <v>144</v>
      </c>
      <c r="F59" s="2"/>
    </row>
    <row r="60" spans="1:6" ht="14" customHeight="1">
      <c r="A60" s="8">
        <v>4</v>
      </c>
      <c r="B60" s="7" t="str">
        <f>المدخلات!$F$4</f>
        <v>4:00–5:10 م</v>
      </c>
      <c r="C60" s="7">
        <v>3</v>
      </c>
      <c r="D60" s="7" t="s">
        <v>593</v>
      </c>
      <c r="E60" s="7" t="s">
        <v>37</v>
      </c>
      <c r="F60" s="2"/>
    </row>
    <row r="61" spans="1:6" ht="14" customHeight="1">
      <c r="A61" s="8">
        <v>4</v>
      </c>
      <c r="B61" s="7" t="str">
        <f>المدخلات!$F$5</f>
        <v>5:20–6:30 م</v>
      </c>
      <c r="C61" s="7">
        <v>1</v>
      </c>
      <c r="D61" s="7" t="s">
        <v>593</v>
      </c>
      <c r="E61" s="7" t="s">
        <v>159</v>
      </c>
      <c r="F61" s="2"/>
    </row>
    <row r="62" spans="1:6" ht="14" customHeight="1">
      <c r="A62" s="8">
        <v>4</v>
      </c>
      <c r="B62" s="7" t="str">
        <f>المدخلات!$F$5</f>
        <v>5:20–6:30 م</v>
      </c>
      <c r="C62" s="7">
        <v>2</v>
      </c>
      <c r="D62" s="7" t="s">
        <v>593</v>
      </c>
      <c r="E62" s="7" t="s">
        <v>168</v>
      </c>
      <c r="F62" s="2"/>
    </row>
    <row r="63" spans="1:6" ht="14" customHeight="1">
      <c r="A63" s="8">
        <v>4</v>
      </c>
      <c r="B63" s="7" t="str">
        <f>المدخلات!$F$5</f>
        <v>5:20–6:30 م</v>
      </c>
      <c r="C63" s="7">
        <v>3</v>
      </c>
      <c r="D63" s="7" t="s">
        <v>593</v>
      </c>
      <c r="E63" s="7" t="s">
        <v>30</v>
      </c>
      <c r="F63" s="2"/>
    </row>
    <row r="64" spans="1:6" ht="14" customHeight="1">
      <c r="A64" s="8">
        <v>4</v>
      </c>
      <c r="B64" s="7" t="str">
        <f>المدخلات!$F$6</f>
        <v>6:40–7:50 م</v>
      </c>
      <c r="C64" s="7">
        <v>1</v>
      </c>
      <c r="D64" s="7" t="s">
        <v>593</v>
      </c>
      <c r="E64" s="7" t="s">
        <v>1056</v>
      </c>
      <c r="F64" s="2"/>
    </row>
    <row r="65" spans="1:6" ht="14" customHeight="1">
      <c r="A65" s="8">
        <v>4</v>
      </c>
      <c r="B65" s="7" t="str">
        <f>المدخلات!$F$6</f>
        <v>6:40–7:50 م</v>
      </c>
      <c r="C65" s="7">
        <v>2</v>
      </c>
      <c r="D65" s="7" t="s">
        <v>593</v>
      </c>
      <c r="E65" s="7" t="s">
        <v>1058</v>
      </c>
      <c r="F65" s="2"/>
    </row>
    <row r="66" spans="1:6" ht="14" customHeight="1">
      <c r="A66" s="8">
        <v>4</v>
      </c>
      <c r="B66" s="7" t="str">
        <f>المدخلات!$F$6</f>
        <v>6:40–7:50 م</v>
      </c>
      <c r="C66" s="7">
        <v>3</v>
      </c>
      <c r="D66" s="7" t="s">
        <v>593</v>
      </c>
      <c r="E66" s="7" t="s">
        <v>1063</v>
      </c>
      <c r="F66" s="2"/>
    </row>
    <row r="67" spans="1:6" ht="14" customHeight="1">
      <c r="A67" s="8">
        <v>4</v>
      </c>
      <c r="B67" s="7" t="str">
        <f>المدخلات!$F$4</f>
        <v>4:00–5:10 م</v>
      </c>
      <c r="C67" s="7">
        <v>4</v>
      </c>
      <c r="D67" s="7" t="s">
        <v>594</v>
      </c>
      <c r="E67" s="7" t="s">
        <v>343</v>
      </c>
      <c r="F67" s="2"/>
    </row>
    <row r="68" spans="1:6" ht="14" customHeight="1">
      <c r="A68" s="8">
        <v>4</v>
      </c>
      <c r="B68" s="7" t="str">
        <f>المدخلات!$F$4</f>
        <v>4:00–5:10 م</v>
      </c>
      <c r="C68" s="7">
        <v>5</v>
      </c>
      <c r="D68" s="7" t="s">
        <v>594</v>
      </c>
      <c r="E68" s="7" t="s">
        <v>337</v>
      </c>
      <c r="F68" s="2"/>
    </row>
    <row r="69" spans="1:6" ht="14" customHeight="1">
      <c r="A69" s="8">
        <v>4</v>
      </c>
      <c r="B69" s="7" t="str">
        <f>المدخلات!$F$4</f>
        <v>4:00–5:10 م</v>
      </c>
      <c r="C69" s="7">
        <v>6</v>
      </c>
      <c r="D69" s="7" t="s">
        <v>594</v>
      </c>
      <c r="E69" s="7" t="s">
        <v>352</v>
      </c>
      <c r="F69" s="2"/>
    </row>
    <row r="70" spans="1:6" ht="14" customHeight="1">
      <c r="A70" s="8">
        <v>4</v>
      </c>
      <c r="B70" s="7" t="str">
        <f>المدخلات!$F$5</f>
        <v>5:20–6:30 م</v>
      </c>
      <c r="C70" s="7">
        <v>4</v>
      </c>
      <c r="D70" s="7" t="s">
        <v>594</v>
      </c>
      <c r="E70" s="7" t="s">
        <v>319</v>
      </c>
      <c r="F70" s="2"/>
    </row>
    <row r="71" spans="1:6" ht="14" customHeight="1">
      <c r="A71" s="8">
        <v>4</v>
      </c>
      <c r="B71" s="7" t="str">
        <f>المدخلات!$F$5</f>
        <v>5:20–6:30 م</v>
      </c>
      <c r="C71" s="7">
        <v>5</v>
      </c>
      <c r="D71" s="7" t="s">
        <v>594</v>
      </c>
      <c r="E71" s="7" t="s">
        <v>243</v>
      </c>
      <c r="F71" s="2"/>
    </row>
    <row r="72" spans="1:6" ht="14" customHeight="1">
      <c r="A72" s="8">
        <v>4</v>
      </c>
      <c r="B72" s="7" t="str">
        <f>المدخلات!$F$5</f>
        <v>5:20–6:30 م</v>
      </c>
      <c r="C72" s="7">
        <v>6</v>
      </c>
      <c r="D72" s="7" t="s">
        <v>594</v>
      </c>
      <c r="E72" s="7" t="s">
        <v>253</v>
      </c>
      <c r="F72" s="2"/>
    </row>
    <row r="73" spans="1:6" ht="14" customHeight="1">
      <c r="A73" s="8">
        <v>4</v>
      </c>
      <c r="B73" s="7" t="str">
        <f>المدخلات!$F$6</f>
        <v>6:40–7:50 م</v>
      </c>
      <c r="C73" s="7">
        <v>4</v>
      </c>
      <c r="D73" s="7" t="s">
        <v>594</v>
      </c>
      <c r="E73" s="7" t="s">
        <v>1184</v>
      </c>
      <c r="F73" s="2"/>
    </row>
    <row r="74" spans="1:6" ht="14" customHeight="1">
      <c r="A74" s="8">
        <v>4</v>
      </c>
      <c r="B74" s="7" t="str">
        <f>المدخلات!$F$6</f>
        <v>6:40–7:50 م</v>
      </c>
      <c r="C74" s="7">
        <v>5</v>
      </c>
      <c r="D74" s="7" t="s">
        <v>594</v>
      </c>
      <c r="E74" s="7" t="s">
        <v>1185</v>
      </c>
      <c r="F74" s="2"/>
    </row>
    <row r="75" spans="1:6" ht="14" customHeight="1">
      <c r="A75" s="8">
        <v>4</v>
      </c>
      <c r="B75" s="7" t="str">
        <f>المدخلات!$F$6</f>
        <v>6:40–7:50 م</v>
      </c>
      <c r="C75" s="7">
        <v>6</v>
      </c>
      <c r="D75" s="7" t="s">
        <v>594</v>
      </c>
      <c r="E75" s="7" t="s">
        <v>1183</v>
      </c>
      <c r="F75" s="2"/>
    </row>
    <row r="76" spans="1:6" ht="14" customHeight="1">
      <c r="A76" s="8">
        <v>5</v>
      </c>
      <c r="B76" s="7" t="str">
        <f>المدخلات!$F$4</f>
        <v>4:00–5:10 م</v>
      </c>
      <c r="C76" s="7">
        <v>1</v>
      </c>
      <c r="D76" s="7" t="s">
        <v>593</v>
      </c>
      <c r="E76" s="7" t="s">
        <v>160</v>
      </c>
      <c r="F76" s="2"/>
    </row>
    <row r="77" spans="1:6" ht="14" customHeight="1">
      <c r="A77" s="8">
        <v>5</v>
      </c>
      <c r="B77" s="7" t="str">
        <f>المدخلات!$F$4</f>
        <v>4:00–5:10 م</v>
      </c>
      <c r="C77" s="7">
        <v>2</v>
      </c>
      <c r="D77" s="7" t="s">
        <v>593</v>
      </c>
      <c r="E77" s="7" t="s">
        <v>34</v>
      </c>
      <c r="F77" s="2"/>
    </row>
    <row r="78" spans="1:6" ht="14" customHeight="1">
      <c r="A78" s="8">
        <v>5</v>
      </c>
      <c r="B78" s="7" t="str">
        <f>المدخلات!$F$4</f>
        <v>4:00–5:10 م</v>
      </c>
      <c r="C78" s="7">
        <v>3</v>
      </c>
      <c r="D78" s="7" t="s">
        <v>593</v>
      </c>
      <c r="E78" s="7" t="s">
        <v>23</v>
      </c>
      <c r="F78" s="2"/>
    </row>
    <row r="79" spans="1:6" ht="14" customHeight="1">
      <c r="A79" s="8">
        <v>5</v>
      </c>
      <c r="B79" s="7" t="str">
        <f>المدخلات!$F$5</f>
        <v>5:20–6:30 م</v>
      </c>
      <c r="C79" s="7">
        <v>1</v>
      </c>
      <c r="D79" s="7" t="s">
        <v>593</v>
      </c>
      <c r="E79" s="7" t="s">
        <v>50</v>
      </c>
      <c r="F79" s="2"/>
    </row>
    <row r="80" spans="1:6" ht="14" customHeight="1">
      <c r="A80" s="8">
        <v>5</v>
      </c>
      <c r="B80" s="7" t="str">
        <f>المدخلات!$F$5</f>
        <v>5:20–6:30 م</v>
      </c>
      <c r="C80" s="7">
        <v>2</v>
      </c>
      <c r="D80" s="7" t="s">
        <v>593</v>
      </c>
      <c r="E80" s="7" t="s">
        <v>55</v>
      </c>
      <c r="F80" s="2"/>
    </row>
    <row r="81" spans="1:6" ht="14" customHeight="1">
      <c r="A81" s="8">
        <v>5</v>
      </c>
      <c r="B81" s="7" t="str">
        <f>المدخلات!$F$5</f>
        <v>5:20–6:30 م</v>
      </c>
      <c r="C81" s="7">
        <v>3</v>
      </c>
      <c r="D81" s="7" t="s">
        <v>593</v>
      </c>
      <c r="E81" s="7" t="s">
        <v>35</v>
      </c>
      <c r="F81" s="2"/>
    </row>
    <row r="82" spans="1:6" ht="14" customHeight="1">
      <c r="A82" s="8">
        <v>5</v>
      </c>
      <c r="B82" s="7" t="str">
        <f>المدخلات!$F$6</f>
        <v>6:40–7:50 م</v>
      </c>
      <c r="C82" s="7">
        <v>1</v>
      </c>
      <c r="D82" s="7" t="s">
        <v>593</v>
      </c>
      <c r="E82" s="7" t="s">
        <v>104</v>
      </c>
      <c r="F82" s="2"/>
    </row>
    <row r="83" spans="1:6" ht="14" customHeight="1">
      <c r="A83" s="8">
        <v>5</v>
      </c>
      <c r="B83" s="7" t="str">
        <f>المدخلات!$F$6</f>
        <v>6:40–7:50 م</v>
      </c>
      <c r="C83" s="7">
        <v>2</v>
      </c>
      <c r="D83" s="7" t="s">
        <v>593</v>
      </c>
      <c r="E83" s="7" t="s">
        <v>669</v>
      </c>
      <c r="F83" s="2"/>
    </row>
    <row r="84" spans="1:6" ht="14" customHeight="1">
      <c r="A84" s="8">
        <v>5</v>
      </c>
      <c r="B84" s="7" t="str">
        <f>المدخلات!$F$6</f>
        <v>6:40–7:50 م</v>
      </c>
      <c r="C84" s="7">
        <v>3</v>
      </c>
      <c r="D84" s="7" t="s">
        <v>593</v>
      </c>
      <c r="E84" s="7" t="s">
        <v>892</v>
      </c>
      <c r="F84" s="2"/>
    </row>
    <row r="85" spans="1:6" ht="14" customHeight="1">
      <c r="A85" s="8">
        <v>5</v>
      </c>
      <c r="B85" s="7" t="str">
        <f>المدخلات!$F$4</f>
        <v>4:00–5:10 م</v>
      </c>
      <c r="C85" s="7">
        <v>4</v>
      </c>
      <c r="D85" s="7" t="s">
        <v>594</v>
      </c>
      <c r="E85" s="7" t="s">
        <v>244</v>
      </c>
      <c r="F85" s="2"/>
    </row>
    <row r="86" spans="1:6" ht="14" customHeight="1">
      <c r="A86" s="8">
        <v>5</v>
      </c>
      <c r="B86" s="7" t="str">
        <f>المدخلات!$F$4</f>
        <v>4:00–5:10 م</v>
      </c>
      <c r="C86" s="7">
        <v>5</v>
      </c>
      <c r="D86" s="7" t="s">
        <v>594</v>
      </c>
      <c r="E86" s="7" t="s">
        <v>254</v>
      </c>
      <c r="F86" s="2"/>
    </row>
    <row r="87" spans="1:6" ht="14" customHeight="1">
      <c r="A87" s="8">
        <v>5</v>
      </c>
      <c r="B87" s="7" t="str">
        <f>المدخلات!$F$4</f>
        <v>4:00–5:10 م</v>
      </c>
      <c r="C87" s="7">
        <v>6</v>
      </c>
      <c r="D87" s="7" t="s">
        <v>594</v>
      </c>
      <c r="E87" s="7" t="s">
        <v>239</v>
      </c>
      <c r="F87" s="2"/>
    </row>
    <row r="88" spans="1:6" ht="14" customHeight="1">
      <c r="A88" s="8">
        <v>5</v>
      </c>
      <c r="B88" s="7" t="str">
        <f>المدخلات!$F$5</f>
        <v>5:20–6:30 م</v>
      </c>
      <c r="C88" s="7">
        <v>4</v>
      </c>
      <c r="D88" s="7" t="s">
        <v>594</v>
      </c>
      <c r="E88" s="7" t="s">
        <v>894</v>
      </c>
      <c r="F88" s="2"/>
    </row>
    <row r="89" spans="1:6" ht="14" customHeight="1">
      <c r="A89" s="8">
        <v>5</v>
      </c>
      <c r="B89" s="7" t="str">
        <f>المدخلات!$F$5</f>
        <v>5:20–6:30 م</v>
      </c>
      <c r="C89" s="7">
        <v>5</v>
      </c>
      <c r="D89" s="7" t="s">
        <v>594</v>
      </c>
      <c r="E89" s="7" t="s">
        <v>263</v>
      </c>
      <c r="F89" s="2"/>
    </row>
    <row r="90" spans="1:6" ht="14" customHeight="1">
      <c r="A90" s="8">
        <v>5</v>
      </c>
      <c r="B90" s="7" t="str">
        <f>المدخلات!$F$5</f>
        <v>5:20–6:30 م</v>
      </c>
      <c r="C90" s="7">
        <v>6</v>
      </c>
      <c r="D90" s="7" t="s">
        <v>594</v>
      </c>
      <c r="E90" s="7" t="s">
        <v>895</v>
      </c>
      <c r="F90" s="2"/>
    </row>
    <row r="91" spans="1:6" ht="14" customHeight="1">
      <c r="A91" s="8">
        <v>5</v>
      </c>
      <c r="B91" s="7" t="str">
        <f>المدخلات!$F$6</f>
        <v>6:40–7:50 م</v>
      </c>
      <c r="C91" s="7">
        <v>4</v>
      </c>
      <c r="D91" s="7" t="s">
        <v>594</v>
      </c>
      <c r="E91" s="7" t="s">
        <v>893</v>
      </c>
      <c r="F91" s="2"/>
    </row>
    <row r="92" spans="1:6" ht="14" customHeight="1">
      <c r="A92" s="8">
        <v>5</v>
      </c>
      <c r="B92" s="7" t="str">
        <f>المدخلات!$F$6</f>
        <v>6:40–7:50 م</v>
      </c>
      <c r="C92" s="7">
        <v>5</v>
      </c>
      <c r="D92" s="7" t="s">
        <v>594</v>
      </c>
      <c r="E92" s="7" t="s">
        <v>308</v>
      </c>
      <c r="F92" s="2"/>
    </row>
    <row r="93" spans="1:6" ht="14" customHeight="1">
      <c r="A93" s="8">
        <v>5</v>
      </c>
      <c r="B93" s="7" t="str">
        <f>المدخلات!$F$6</f>
        <v>6:40–7:50 م</v>
      </c>
      <c r="C93" s="7">
        <v>6</v>
      </c>
      <c r="D93" s="7" t="s">
        <v>594</v>
      </c>
      <c r="E93" s="7" t="s">
        <v>1186</v>
      </c>
      <c r="F93" s="2"/>
    </row>
    <row r="94" spans="1:6" ht="14" customHeight="1">
      <c r="A94" s="8">
        <v>6</v>
      </c>
      <c r="B94" s="7" t="str">
        <f>المدخلات!$F$4</f>
        <v>4:00–5:10 م</v>
      </c>
      <c r="C94" s="7">
        <v>1</v>
      </c>
      <c r="D94" s="7" t="s">
        <v>593</v>
      </c>
      <c r="E94" s="7" t="s">
        <v>171</v>
      </c>
      <c r="F94" s="2"/>
    </row>
    <row r="95" spans="1:6" ht="14" customHeight="1">
      <c r="A95" s="8">
        <v>6</v>
      </c>
      <c r="B95" s="7" t="str">
        <f>المدخلات!$F$4</f>
        <v>4:00–5:10 م</v>
      </c>
      <c r="C95" s="7">
        <v>2</v>
      </c>
      <c r="D95" s="7" t="s">
        <v>593</v>
      </c>
      <c r="E95" s="7" t="s">
        <v>1048</v>
      </c>
      <c r="F95" s="2"/>
    </row>
    <row r="96" spans="1:6" ht="14" customHeight="1">
      <c r="A96" s="8">
        <v>6</v>
      </c>
      <c r="B96" s="7" t="str">
        <f>المدخلات!$F$4</f>
        <v>4:00–5:10 م</v>
      </c>
      <c r="C96" s="7">
        <v>3</v>
      </c>
      <c r="D96" s="7" t="s">
        <v>593</v>
      </c>
      <c r="E96" s="7" t="s">
        <v>26</v>
      </c>
      <c r="F96" s="2"/>
    </row>
    <row r="97" spans="1:6" ht="14" customHeight="1">
      <c r="A97" s="8">
        <v>6</v>
      </c>
      <c r="B97" s="7" t="str">
        <f>المدخلات!$F$5</f>
        <v>5:20–6:30 م</v>
      </c>
      <c r="C97" s="7">
        <v>1</v>
      </c>
      <c r="D97" s="7" t="s">
        <v>593</v>
      </c>
      <c r="E97" s="7" t="s">
        <v>896</v>
      </c>
      <c r="F97" s="2"/>
    </row>
    <row r="98" spans="1:6" ht="14" customHeight="1">
      <c r="A98" s="8">
        <v>6</v>
      </c>
      <c r="B98" s="7" t="str">
        <f>المدخلات!$F$5</f>
        <v>5:20–6:30 م</v>
      </c>
      <c r="C98" s="7">
        <v>2</v>
      </c>
      <c r="D98" s="7" t="s">
        <v>593</v>
      </c>
      <c r="E98" s="7" t="s">
        <v>885</v>
      </c>
      <c r="F98" s="2"/>
    </row>
    <row r="99" spans="1:6" ht="14" customHeight="1">
      <c r="A99" s="8">
        <v>6</v>
      </c>
      <c r="B99" s="7" t="str">
        <f>المدخلات!$F$5</f>
        <v>5:20–6:30 م</v>
      </c>
      <c r="C99" s="7">
        <v>3</v>
      </c>
      <c r="D99" s="7" t="s">
        <v>593</v>
      </c>
      <c r="E99" s="7" t="s">
        <v>146</v>
      </c>
      <c r="F99" s="2"/>
    </row>
    <row r="100" spans="1:6" ht="14" customHeight="1">
      <c r="A100" s="8">
        <v>6</v>
      </c>
      <c r="B100" s="7" t="str">
        <f>المدخلات!$F$6</f>
        <v>6:40–7:50 م</v>
      </c>
      <c r="C100" s="7">
        <v>1</v>
      </c>
      <c r="D100" s="7" t="s">
        <v>593</v>
      </c>
      <c r="E100" s="7" t="s">
        <v>109</v>
      </c>
      <c r="F100" s="2"/>
    </row>
    <row r="101" spans="1:6" ht="14" customHeight="1">
      <c r="A101" s="8">
        <v>6</v>
      </c>
      <c r="B101" s="7" t="str">
        <f>المدخلات!$F$6</f>
        <v>6:40–7:50 م</v>
      </c>
      <c r="C101" s="7">
        <v>2</v>
      </c>
      <c r="D101" s="7" t="s">
        <v>593</v>
      </c>
      <c r="E101" s="7" t="s">
        <v>1052</v>
      </c>
      <c r="F101" s="2"/>
    </row>
    <row r="102" spans="1:6" ht="14" customHeight="1">
      <c r="A102" s="8">
        <v>6</v>
      </c>
      <c r="B102" s="7" t="str">
        <f>المدخلات!$F$6</f>
        <v>6:40–7:50 م</v>
      </c>
      <c r="C102" s="7">
        <v>3</v>
      </c>
      <c r="D102" s="7" t="s">
        <v>593</v>
      </c>
      <c r="E102" s="7" t="s">
        <v>16</v>
      </c>
      <c r="F102" s="2"/>
    </row>
    <row r="103" spans="1:6" ht="14" customHeight="1">
      <c r="A103" s="8">
        <v>6</v>
      </c>
      <c r="B103" s="7" t="str">
        <f>المدخلات!$F$4</f>
        <v>4:00–5:10 م</v>
      </c>
      <c r="C103" s="7">
        <v>4</v>
      </c>
      <c r="D103" s="7" t="s">
        <v>594</v>
      </c>
      <c r="E103" s="7" t="s">
        <v>321</v>
      </c>
      <c r="F103" s="2"/>
    </row>
    <row r="104" spans="1:6" ht="14" customHeight="1">
      <c r="A104" s="8">
        <v>6</v>
      </c>
      <c r="B104" s="7" t="str">
        <f>المدخلات!$F$4</f>
        <v>4:00–5:10 م</v>
      </c>
      <c r="C104" s="7">
        <v>5</v>
      </c>
      <c r="D104" s="7" t="s">
        <v>594</v>
      </c>
      <c r="E104" s="7" t="s">
        <v>336</v>
      </c>
      <c r="F104" s="2"/>
    </row>
    <row r="105" spans="1:6" ht="14" customHeight="1">
      <c r="A105" s="8">
        <v>6</v>
      </c>
      <c r="B105" s="7" t="str">
        <f>المدخلات!$F$4</f>
        <v>4:00–5:10 م</v>
      </c>
      <c r="C105" s="7">
        <v>6</v>
      </c>
      <c r="D105" s="7" t="s">
        <v>594</v>
      </c>
      <c r="E105" s="7" t="s">
        <v>311</v>
      </c>
      <c r="F105" s="2"/>
    </row>
    <row r="106" spans="1:6" ht="14" customHeight="1">
      <c r="A106" s="8">
        <v>6</v>
      </c>
      <c r="B106" s="7" t="str">
        <f>المدخلات!$F$5</f>
        <v>5:20–6:30 م</v>
      </c>
      <c r="C106" s="7">
        <v>4</v>
      </c>
      <c r="D106" s="7" t="s">
        <v>594</v>
      </c>
      <c r="E106" s="7" t="s">
        <v>297</v>
      </c>
      <c r="F106" s="2"/>
    </row>
    <row r="107" spans="1:6" ht="14" customHeight="1">
      <c r="A107" s="8">
        <v>6</v>
      </c>
      <c r="B107" s="7" t="str">
        <f>المدخلات!$F$5</f>
        <v>5:20–6:30 م</v>
      </c>
      <c r="C107" s="7">
        <v>5</v>
      </c>
      <c r="D107" s="7" t="s">
        <v>594</v>
      </c>
      <c r="E107" s="7" t="s">
        <v>234</v>
      </c>
      <c r="F107" s="2"/>
    </row>
    <row r="108" spans="1:6" ht="14" customHeight="1">
      <c r="A108" s="8">
        <v>6</v>
      </c>
      <c r="B108" s="7" t="str">
        <f>المدخلات!$F$5</f>
        <v>5:20–6:30 م</v>
      </c>
      <c r="C108" s="7">
        <v>6</v>
      </c>
      <c r="D108" s="7" t="s">
        <v>594</v>
      </c>
      <c r="E108" s="7" t="s">
        <v>236</v>
      </c>
      <c r="F108" s="2"/>
    </row>
    <row r="109" spans="1:6" ht="14" customHeight="1">
      <c r="A109" s="8">
        <v>6</v>
      </c>
      <c r="B109" s="7" t="str">
        <f>المدخلات!$F$6</f>
        <v>6:40–7:50 م</v>
      </c>
      <c r="C109" s="7">
        <v>4</v>
      </c>
      <c r="D109" s="7" t="s">
        <v>594</v>
      </c>
      <c r="E109" s="7" t="s">
        <v>356</v>
      </c>
      <c r="F109" s="2"/>
    </row>
    <row r="110" spans="1:6" ht="14" customHeight="1">
      <c r="A110" s="8">
        <v>6</v>
      </c>
      <c r="B110" s="7" t="str">
        <f>المدخلات!$F$6</f>
        <v>6:40–7:50 م</v>
      </c>
      <c r="C110" s="7">
        <v>5</v>
      </c>
      <c r="D110" s="7" t="s">
        <v>594</v>
      </c>
      <c r="E110" s="7" t="s">
        <v>1187</v>
      </c>
      <c r="F110" s="2"/>
    </row>
    <row r="111" spans="1:6" ht="14" customHeight="1">
      <c r="A111" s="8">
        <v>6</v>
      </c>
      <c r="B111" s="7" t="str">
        <f>المدخلات!$F$6</f>
        <v>6:40–7:50 م</v>
      </c>
      <c r="C111" s="7">
        <v>6</v>
      </c>
      <c r="D111" s="7" t="s">
        <v>594</v>
      </c>
      <c r="E111" s="7" t="s">
        <v>355</v>
      </c>
      <c r="F111" s="2"/>
    </row>
    <row r="112" spans="1:6" ht="14" customHeight="1">
      <c r="A112" s="8">
        <v>7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112</v>
      </c>
      <c r="F112" s="2"/>
    </row>
    <row r="113" spans="1:6" ht="14" customHeight="1">
      <c r="A113" s="8">
        <v>7</v>
      </c>
      <c r="B113" s="7" t="str">
        <f>المدخلات!$F$4</f>
        <v>4:00–5:10 م</v>
      </c>
      <c r="C113" s="7">
        <v>2</v>
      </c>
      <c r="D113" s="7" t="s">
        <v>593</v>
      </c>
      <c r="E113" s="7" t="s">
        <v>901</v>
      </c>
      <c r="F113" s="2"/>
    </row>
    <row r="114" spans="1:6" ht="14" customHeight="1">
      <c r="A114" s="8">
        <v>7</v>
      </c>
      <c r="B114" s="7" t="str">
        <f>المدخلات!$F$4</f>
        <v>4:00–5:10 م</v>
      </c>
      <c r="C114" s="7">
        <v>3</v>
      </c>
      <c r="D114" s="7" t="s">
        <v>593</v>
      </c>
      <c r="E114" s="7" t="s">
        <v>22</v>
      </c>
      <c r="F114" s="2"/>
    </row>
    <row r="115" spans="1:6" ht="14" customHeight="1">
      <c r="A115" s="8">
        <v>7</v>
      </c>
      <c r="B115" s="7" t="str">
        <f>المدخلات!$F$5</f>
        <v>5:20–6:30 م</v>
      </c>
      <c r="C115" s="7">
        <v>1</v>
      </c>
      <c r="D115" s="7" t="s">
        <v>593</v>
      </c>
      <c r="E115" s="7" t="s">
        <v>111</v>
      </c>
      <c r="F115" s="2"/>
    </row>
    <row r="116" spans="1:6" ht="14" customHeight="1">
      <c r="A116" s="8">
        <v>7</v>
      </c>
      <c r="B116" s="7" t="str">
        <f>المدخلات!$F$5</f>
        <v>5:20–6:30 م</v>
      </c>
      <c r="C116" s="7">
        <v>2</v>
      </c>
      <c r="D116" s="7" t="s">
        <v>593</v>
      </c>
      <c r="E116" s="7" t="s">
        <v>10</v>
      </c>
      <c r="F116" s="2"/>
    </row>
    <row r="117" spans="1:6" ht="14" customHeight="1">
      <c r="A117" s="8">
        <v>7</v>
      </c>
      <c r="B117" s="7" t="str">
        <f>المدخلات!$F$5</f>
        <v>5:20–6:30 م</v>
      </c>
      <c r="C117" s="7">
        <v>3</v>
      </c>
      <c r="D117" s="7" t="s">
        <v>593</v>
      </c>
      <c r="E117" s="7" t="s">
        <v>12</v>
      </c>
      <c r="F117" s="2"/>
    </row>
    <row r="118" spans="1:6" ht="14" customHeight="1">
      <c r="A118" s="8">
        <v>7</v>
      </c>
      <c r="B118" s="7" t="str">
        <f>المدخلات!$F$6</f>
        <v>6:40–7:50 م</v>
      </c>
      <c r="C118" s="7">
        <v>1</v>
      </c>
      <c r="D118" s="7" t="s">
        <v>593</v>
      </c>
      <c r="E118" s="7" t="s">
        <v>681</v>
      </c>
      <c r="F118" s="2"/>
    </row>
    <row r="119" spans="1:6" ht="14" customHeight="1">
      <c r="A119" s="8">
        <v>7</v>
      </c>
      <c r="B119" s="7" t="str">
        <f>المدخلات!$F$6</f>
        <v>6:40–7:50 م</v>
      </c>
      <c r="C119" s="7">
        <v>2</v>
      </c>
      <c r="D119" s="7" t="s">
        <v>593</v>
      </c>
      <c r="E119" s="7" t="s">
        <v>172</v>
      </c>
      <c r="F119" s="2"/>
    </row>
    <row r="120" spans="1:6" ht="14" customHeight="1">
      <c r="A120" s="8">
        <v>7</v>
      </c>
      <c r="B120" s="7" t="str">
        <f>المدخلات!$F$6</f>
        <v>6:40–7:50 م</v>
      </c>
      <c r="C120" s="7">
        <v>3</v>
      </c>
      <c r="D120" s="7" t="s">
        <v>593</v>
      </c>
      <c r="E120" s="7" t="s">
        <v>102</v>
      </c>
      <c r="F120" s="2"/>
    </row>
    <row r="121" spans="1:6" ht="14" customHeight="1">
      <c r="A121" s="8">
        <v>7</v>
      </c>
      <c r="B121" s="7" t="str">
        <f>المدخلات!$F$4</f>
        <v>4:00–5:10 م</v>
      </c>
      <c r="C121" s="7">
        <v>4</v>
      </c>
      <c r="D121" s="7" t="s">
        <v>594</v>
      </c>
      <c r="E121" s="7" t="s">
        <v>235</v>
      </c>
      <c r="F121" s="2"/>
    </row>
    <row r="122" spans="1:6" ht="14" customHeight="1">
      <c r="A122" s="8">
        <v>7</v>
      </c>
      <c r="B122" s="7" t="str">
        <f>المدخلات!$F$4</f>
        <v>4:00–5:10 م</v>
      </c>
      <c r="C122" s="7">
        <v>5</v>
      </c>
      <c r="D122" s="7" t="s">
        <v>594</v>
      </c>
      <c r="E122" s="7" t="s">
        <v>904</v>
      </c>
      <c r="F122" s="2"/>
    </row>
    <row r="123" spans="1:6" ht="14" customHeight="1">
      <c r="A123" s="8">
        <v>7</v>
      </c>
      <c r="B123" s="7" t="str">
        <f>المدخلات!$F$4</f>
        <v>4:00–5:10 م</v>
      </c>
      <c r="C123" s="7">
        <v>6</v>
      </c>
      <c r="D123" s="7" t="s">
        <v>594</v>
      </c>
      <c r="E123" s="7" t="s">
        <v>230</v>
      </c>
      <c r="F123" s="2"/>
    </row>
    <row r="124" spans="1:6" ht="14" customHeight="1">
      <c r="A124" s="8">
        <v>7</v>
      </c>
      <c r="B124" s="7" t="str">
        <f>المدخلات!$F$5</f>
        <v>5:20–6:30 م</v>
      </c>
      <c r="C124" s="7">
        <v>4</v>
      </c>
      <c r="D124" s="7" t="s">
        <v>594</v>
      </c>
      <c r="E124" s="7" t="s">
        <v>903</v>
      </c>
      <c r="F124" s="2"/>
    </row>
    <row r="125" spans="1:6" ht="14" customHeight="1">
      <c r="A125" s="8">
        <v>7</v>
      </c>
      <c r="B125" s="7" t="str">
        <f>المدخلات!$F$5</f>
        <v>5:20–6:30 م</v>
      </c>
      <c r="C125" s="7">
        <v>5</v>
      </c>
      <c r="D125" s="7" t="s">
        <v>594</v>
      </c>
      <c r="E125" s="7" t="s">
        <v>902</v>
      </c>
      <c r="F125" s="2"/>
    </row>
    <row r="126" spans="1:6" ht="14" customHeight="1">
      <c r="A126" s="8">
        <v>7</v>
      </c>
      <c r="B126" s="7" t="str">
        <f>المدخلات!$F$5</f>
        <v>5:20–6:30 م</v>
      </c>
      <c r="C126" s="7">
        <v>6</v>
      </c>
      <c r="D126" s="7" t="s">
        <v>594</v>
      </c>
      <c r="E126" s="7" t="s">
        <v>683</v>
      </c>
      <c r="F126" s="2"/>
    </row>
    <row r="127" spans="1:6" ht="14" customHeight="1">
      <c r="A127" s="8">
        <v>7</v>
      </c>
      <c r="B127" s="7" t="str">
        <f>المدخلات!$F$6</f>
        <v>6:40–7:50 م</v>
      </c>
      <c r="C127" s="7">
        <v>4</v>
      </c>
      <c r="D127" s="7" t="s">
        <v>594</v>
      </c>
      <c r="E127" s="7" t="s">
        <v>298</v>
      </c>
      <c r="F127" s="2"/>
    </row>
    <row r="128" spans="1:6" ht="14" customHeight="1">
      <c r="A128" s="8">
        <v>7</v>
      </c>
      <c r="B128" s="7" t="str">
        <f>المدخلات!$F$6</f>
        <v>6:40–7:50 م</v>
      </c>
      <c r="C128" s="7">
        <v>5</v>
      </c>
      <c r="D128" s="7" t="s">
        <v>594</v>
      </c>
      <c r="E128" s="7" t="s">
        <v>1188</v>
      </c>
      <c r="F128" s="2"/>
    </row>
    <row r="129" spans="1:6" ht="14" customHeight="1">
      <c r="A129" s="8">
        <v>7</v>
      </c>
      <c r="B129" s="7" t="str">
        <f>المدخلات!$F$6</f>
        <v>6:40–7:50 م</v>
      </c>
      <c r="C129" s="7">
        <v>6</v>
      </c>
      <c r="D129" s="7" t="s">
        <v>594</v>
      </c>
      <c r="E129" s="7" t="s">
        <v>287</v>
      </c>
      <c r="F129" s="2"/>
    </row>
    <row r="130" spans="1:6" ht="14" customHeight="1">
      <c r="A130" s="8">
        <v>8</v>
      </c>
      <c r="B130" s="7" t="str">
        <f>المدخلات!$F$4</f>
        <v>4:00–5:10 م</v>
      </c>
      <c r="C130" s="7">
        <v>1</v>
      </c>
      <c r="D130" s="7" t="s">
        <v>593</v>
      </c>
      <c r="E130" s="7" t="s">
        <v>147</v>
      </c>
      <c r="F130" s="2"/>
    </row>
    <row r="131" spans="1:6" ht="14" customHeight="1">
      <c r="A131" s="8">
        <v>8</v>
      </c>
      <c r="B131" s="7" t="str">
        <f>المدخلات!$F$4</f>
        <v>4:00–5:10 م</v>
      </c>
      <c r="C131" s="7">
        <v>2</v>
      </c>
      <c r="D131" s="7" t="s">
        <v>593</v>
      </c>
      <c r="E131" s="7" t="s">
        <v>113</v>
      </c>
      <c r="F131" s="2"/>
    </row>
    <row r="132" spans="1:6" ht="14" customHeight="1">
      <c r="A132" s="8">
        <v>8</v>
      </c>
      <c r="B132" s="7" t="str">
        <f>المدخلات!$F$4</f>
        <v>4:00–5:10 م</v>
      </c>
      <c r="C132" s="7">
        <v>3</v>
      </c>
      <c r="D132" s="7" t="s">
        <v>593</v>
      </c>
      <c r="E132" s="7" t="s">
        <v>101</v>
      </c>
      <c r="F132" s="2"/>
    </row>
    <row r="133" spans="1:6" ht="14" customHeight="1">
      <c r="A133" s="8">
        <v>8</v>
      </c>
      <c r="B133" s="7" t="str">
        <f>المدخلات!$F$5</f>
        <v>5:20–6:30 م</v>
      </c>
      <c r="C133" s="7">
        <v>1</v>
      </c>
      <c r="D133" s="7" t="s">
        <v>593</v>
      </c>
      <c r="E133" s="7" t="s">
        <v>626</v>
      </c>
      <c r="F133" s="2"/>
    </row>
    <row r="134" spans="1:6" ht="14" customHeight="1">
      <c r="A134" s="8">
        <v>8</v>
      </c>
      <c r="B134" s="7" t="str">
        <f>المدخلات!$F$5</f>
        <v>5:20–6:30 م</v>
      </c>
      <c r="C134" s="7">
        <v>2</v>
      </c>
      <c r="D134" s="7" t="s">
        <v>593</v>
      </c>
      <c r="E134" s="7" t="s">
        <v>905</v>
      </c>
      <c r="F134" s="2"/>
    </row>
    <row r="135" spans="1:6" ht="14" customHeight="1">
      <c r="A135" s="8">
        <v>8</v>
      </c>
      <c r="B135" s="7" t="str">
        <f>المدخلات!$F$5</f>
        <v>5:20–6:30 م</v>
      </c>
      <c r="C135" s="7">
        <v>3</v>
      </c>
      <c r="D135" s="7" t="s">
        <v>593</v>
      </c>
      <c r="E135" s="7" t="s">
        <v>7</v>
      </c>
      <c r="F135" s="2"/>
    </row>
    <row r="136" spans="1:6" ht="14" customHeight="1">
      <c r="A136" s="8">
        <v>8</v>
      </c>
      <c r="B136" s="7" t="str">
        <f>المدخلات!$F$6</f>
        <v>6:40–7:50 م</v>
      </c>
      <c r="C136" s="7">
        <v>1</v>
      </c>
      <c r="D136" s="7" t="s">
        <v>593</v>
      </c>
      <c r="E136" s="7" t="s">
        <v>174</v>
      </c>
      <c r="F136" s="2"/>
    </row>
    <row r="137" spans="1:6" ht="14" customHeight="1">
      <c r="A137" s="8">
        <v>8</v>
      </c>
      <c r="B137" s="7" t="str">
        <f>المدخلات!$F$6</f>
        <v>6:40–7:50 م</v>
      </c>
      <c r="C137" s="7">
        <v>2</v>
      </c>
      <c r="D137" s="7" t="s">
        <v>593</v>
      </c>
      <c r="E137" s="7" t="s">
        <v>19</v>
      </c>
      <c r="F137" s="2"/>
    </row>
    <row r="138" spans="1:6" ht="14" customHeight="1">
      <c r="A138" s="8">
        <v>8</v>
      </c>
      <c r="B138" s="7" t="str">
        <f>المدخلات!$F$6</f>
        <v>6:40–7:50 م</v>
      </c>
      <c r="C138" s="7">
        <v>3</v>
      </c>
      <c r="D138" s="7" t="s">
        <v>593</v>
      </c>
      <c r="E138" s="7" t="s">
        <v>96</v>
      </c>
      <c r="F138" s="2"/>
    </row>
    <row r="139" spans="1:6" ht="14" customHeight="1">
      <c r="A139" s="8">
        <v>8</v>
      </c>
      <c r="B139" s="7" t="str">
        <f>المدخلات!$F$4</f>
        <v>4:00–5:10 م</v>
      </c>
      <c r="C139" s="7">
        <v>4</v>
      </c>
      <c r="D139" s="7" t="s">
        <v>594</v>
      </c>
      <c r="E139" s="7" t="s">
        <v>299</v>
      </c>
      <c r="F139" s="2"/>
    </row>
    <row r="140" spans="1:6" ht="14" customHeight="1">
      <c r="A140" s="8">
        <v>8</v>
      </c>
      <c r="B140" s="7" t="str">
        <f>المدخلات!$F$4</f>
        <v>4:00–5:10 م</v>
      </c>
      <c r="C140" s="7">
        <v>5</v>
      </c>
      <c r="D140" s="7" t="s">
        <v>594</v>
      </c>
      <c r="E140" s="7" t="s">
        <v>288</v>
      </c>
      <c r="F140" s="2"/>
    </row>
    <row r="141" spans="1:6" ht="14" customHeight="1">
      <c r="A141" s="8">
        <v>8</v>
      </c>
      <c r="B141" s="7" t="str">
        <f>المدخلات!$F$4</f>
        <v>4:00–5:10 م</v>
      </c>
      <c r="C141" s="7">
        <v>6</v>
      </c>
      <c r="D141" s="7" t="s">
        <v>594</v>
      </c>
      <c r="E141" s="7" t="s">
        <v>223</v>
      </c>
      <c r="F141" s="2"/>
    </row>
    <row r="142" spans="1:6" ht="14" customHeight="1">
      <c r="A142" s="8">
        <v>8</v>
      </c>
      <c r="B142" s="7" t="str">
        <f>المدخلات!$F$5</f>
        <v>5:20–6:30 م</v>
      </c>
      <c r="C142" s="7">
        <v>4</v>
      </c>
      <c r="D142" s="7" t="s">
        <v>594</v>
      </c>
      <c r="E142" s="7" t="s">
        <v>323</v>
      </c>
      <c r="F142" s="2"/>
    </row>
    <row r="143" spans="1:6" ht="14" customHeight="1">
      <c r="A143" s="8">
        <v>8</v>
      </c>
      <c r="B143" s="7" t="str">
        <f>المدخلات!$F$5</f>
        <v>5:20–6:30 م</v>
      </c>
      <c r="C143" s="7">
        <v>5</v>
      </c>
      <c r="D143" s="7" t="s">
        <v>594</v>
      </c>
      <c r="E143" s="7" t="s">
        <v>278</v>
      </c>
      <c r="F143" s="2"/>
    </row>
    <row r="144" spans="1:6" ht="14" customHeight="1">
      <c r="A144" s="8">
        <v>8</v>
      </c>
      <c r="B144" s="7" t="str">
        <f>المدخلات!$F$5</f>
        <v>5:20–6:30 م</v>
      </c>
      <c r="C144" s="7">
        <v>6</v>
      </c>
      <c r="D144" s="7" t="s">
        <v>594</v>
      </c>
      <c r="E144" s="7" t="s">
        <v>908</v>
      </c>
      <c r="F144" s="2"/>
    </row>
    <row r="145" spans="1:6" ht="14" customHeight="1">
      <c r="A145" s="8">
        <v>8</v>
      </c>
      <c r="B145" s="7" t="str">
        <f>المدخلات!$F$6</f>
        <v>6:40–7:50 م</v>
      </c>
      <c r="C145" s="7">
        <v>4</v>
      </c>
      <c r="D145" s="7" t="s">
        <v>594</v>
      </c>
      <c r="E145" s="7" t="s">
        <v>359</v>
      </c>
      <c r="F145" s="2"/>
    </row>
    <row r="146" spans="1:6" ht="14" customHeight="1">
      <c r="A146" s="8">
        <v>8</v>
      </c>
      <c r="B146" s="7" t="str">
        <f>المدخلات!$F$6</f>
        <v>6:40–7:50 م</v>
      </c>
      <c r="C146" s="7">
        <v>5</v>
      </c>
      <c r="D146" s="7" t="s">
        <v>594</v>
      </c>
      <c r="E146" s="7" t="s">
        <v>907</v>
      </c>
      <c r="F146" s="2"/>
    </row>
    <row r="147" spans="1:6" ht="14" customHeight="1">
      <c r="A147" s="8">
        <v>8</v>
      </c>
      <c r="B147" s="7" t="str">
        <f>المدخلات!$F$6</f>
        <v>6:40–7:50 م</v>
      </c>
      <c r="C147" s="7">
        <v>6</v>
      </c>
      <c r="D147" s="7" t="s">
        <v>594</v>
      </c>
      <c r="E147" s="7" t="s">
        <v>314</v>
      </c>
      <c r="F147" s="2"/>
    </row>
    <row r="148" spans="1:6" ht="14" customHeight="1">
      <c r="A148" s="8">
        <v>9</v>
      </c>
      <c r="B148" s="7" t="str">
        <f>المدخلات!$F$4</f>
        <v>4:00–5:10 م</v>
      </c>
      <c r="C148" s="7">
        <v>1</v>
      </c>
      <c r="D148" s="7" t="s">
        <v>593</v>
      </c>
      <c r="E148" s="7" t="s">
        <v>97</v>
      </c>
      <c r="F148" s="2"/>
    </row>
    <row r="149" spans="1:6" ht="14" customHeight="1">
      <c r="A149" s="8">
        <v>9</v>
      </c>
      <c r="B149" s="7" t="str">
        <f>المدخلات!$F$4</f>
        <v>4:00–5:10 م</v>
      </c>
      <c r="C149" s="7">
        <v>2</v>
      </c>
      <c r="D149" s="7" t="s">
        <v>593</v>
      </c>
      <c r="E149" s="7" t="s">
        <v>17</v>
      </c>
      <c r="F149" s="2"/>
    </row>
    <row r="150" spans="1:6" ht="14" customHeight="1">
      <c r="A150" s="8">
        <v>9</v>
      </c>
      <c r="B150" s="7" t="str">
        <f>المدخلات!$F$4</f>
        <v>4:00–5:10 م</v>
      </c>
      <c r="C150" s="7">
        <v>3</v>
      </c>
      <c r="D150" s="7" t="s">
        <v>593</v>
      </c>
      <c r="E150" s="7" t="s">
        <v>698</v>
      </c>
      <c r="F150" s="2"/>
    </row>
    <row r="151" spans="1:6" ht="14" customHeight="1">
      <c r="A151" s="8">
        <v>9</v>
      </c>
      <c r="B151" s="7" t="str">
        <f>المدخلات!$F$5</f>
        <v>5:20–6:30 م</v>
      </c>
      <c r="C151" s="7">
        <v>1</v>
      </c>
      <c r="D151" s="7" t="s">
        <v>593</v>
      </c>
      <c r="E151" s="7" t="s">
        <v>865</v>
      </c>
      <c r="F151" s="2"/>
    </row>
    <row r="152" spans="1:6" ht="14" customHeight="1">
      <c r="A152" s="8">
        <v>9</v>
      </c>
      <c r="B152" s="7" t="str">
        <f>المدخلات!$F$5</f>
        <v>5:20–6:30 م</v>
      </c>
      <c r="C152" s="7">
        <v>2</v>
      </c>
      <c r="D152" s="7" t="s">
        <v>593</v>
      </c>
      <c r="E152" s="7" t="s">
        <v>909</v>
      </c>
      <c r="F152" s="2"/>
    </row>
    <row r="153" spans="1:6" ht="14" customHeight="1">
      <c r="A153" s="8">
        <v>9</v>
      </c>
      <c r="B153" s="7" t="str">
        <f>المدخلات!$F$5</f>
        <v>5:20–6:30 م</v>
      </c>
      <c r="C153" s="7">
        <v>3</v>
      </c>
      <c r="D153" s="7" t="s">
        <v>593</v>
      </c>
      <c r="E153" s="7" t="s">
        <v>910</v>
      </c>
      <c r="F153" s="2"/>
    </row>
    <row r="154" spans="1:6" ht="14" customHeight="1">
      <c r="A154" s="8">
        <v>9</v>
      </c>
      <c r="B154" s="7" t="str">
        <f>المدخلات!$F$6</f>
        <v>6:40–7:50 م</v>
      </c>
      <c r="C154" s="7">
        <v>1</v>
      </c>
      <c r="D154" s="7" t="s">
        <v>593</v>
      </c>
      <c r="E154" s="7" t="s">
        <v>116</v>
      </c>
      <c r="F154" s="2"/>
    </row>
    <row r="155" spans="1:6" ht="14" customHeight="1">
      <c r="A155" s="8">
        <v>9</v>
      </c>
      <c r="B155" s="7" t="str">
        <f>المدخلات!$F$6</f>
        <v>6:40–7:50 م</v>
      </c>
      <c r="C155" s="7">
        <v>2</v>
      </c>
      <c r="D155" s="7" t="s">
        <v>593</v>
      </c>
      <c r="E155" s="7" t="s">
        <v>90</v>
      </c>
      <c r="F155" s="2"/>
    </row>
    <row r="156" spans="1:6" ht="14" customHeight="1">
      <c r="A156" s="8">
        <v>9</v>
      </c>
      <c r="B156" s="7" t="str">
        <f>المدخلات!$F$6</f>
        <v>6:40–7:50 م</v>
      </c>
      <c r="C156" s="7">
        <v>3</v>
      </c>
      <c r="D156" s="7" t="s">
        <v>593</v>
      </c>
      <c r="E156" s="7" t="s">
        <v>696</v>
      </c>
      <c r="F156" s="2"/>
    </row>
    <row r="157" spans="1:6" ht="14" customHeight="1">
      <c r="A157" s="8">
        <v>9</v>
      </c>
      <c r="B157" s="7" t="str">
        <f>المدخلات!$F$4</f>
        <v>4:00–5:10 م</v>
      </c>
      <c r="C157" s="7">
        <v>4</v>
      </c>
      <c r="D157" s="7" t="s">
        <v>594</v>
      </c>
      <c r="E157" s="7" t="s">
        <v>700</v>
      </c>
      <c r="F157" s="2"/>
    </row>
    <row r="158" spans="1:6" ht="14" customHeight="1">
      <c r="A158" s="8">
        <v>9</v>
      </c>
      <c r="B158" s="7" t="str">
        <f>المدخلات!$F$4</f>
        <v>4:00–5:10 م</v>
      </c>
      <c r="C158" s="7">
        <v>5</v>
      </c>
      <c r="D158" s="7" t="s">
        <v>594</v>
      </c>
      <c r="E158" s="7" t="s">
        <v>913</v>
      </c>
      <c r="F158" s="2"/>
    </row>
    <row r="159" spans="1:6" ht="14" customHeight="1">
      <c r="A159" s="8">
        <v>9</v>
      </c>
      <c r="B159" s="7" t="str">
        <f>المدخلات!$F$4</f>
        <v>4:00–5:10 م</v>
      </c>
      <c r="C159" s="7">
        <v>6</v>
      </c>
      <c r="D159" s="7" t="s">
        <v>594</v>
      </c>
      <c r="E159" s="7" t="s">
        <v>911</v>
      </c>
      <c r="F159" s="2"/>
    </row>
    <row r="160" spans="1:6" ht="14" customHeight="1">
      <c r="A160" s="8">
        <v>9</v>
      </c>
      <c r="B160" s="7" t="str">
        <f>المدخلات!$F$5</f>
        <v>5:20–6:30 م</v>
      </c>
      <c r="C160" s="7">
        <v>4</v>
      </c>
      <c r="D160" s="7" t="s">
        <v>594</v>
      </c>
      <c r="E160" s="7" t="s">
        <v>912</v>
      </c>
      <c r="F160" s="2"/>
    </row>
    <row r="161" spans="1:6" ht="14" customHeight="1">
      <c r="A161" s="8">
        <v>9</v>
      </c>
      <c r="B161" s="7" t="str">
        <f>المدخلات!$F$5</f>
        <v>5:20–6:30 م</v>
      </c>
      <c r="C161" s="7">
        <v>5</v>
      </c>
      <c r="D161" s="7" t="s">
        <v>594</v>
      </c>
      <c r="E161" s="7" t="s">
        <v>630</v>
      </c>
      <c r="F161" s="2"/>
    </row>
    <row r="162" spans="1:6" ht="14" customHeight="1">
      <c r="A162" s="8">
        <v>9</v>
      </c>
      <c r="B162" s="7" t="str">
        <f>المدخلات!$F$5</f>
        <v>5:20–6:30 م</v>
      </c>
      <c r="C162" s="7">
        <v>6</v>
      </c>
      <c r="D162" s="7" t="s">
        <v>594</v>
      </c>
      <c r="E162" s="7" t="s">
        <v>699</v>
      </c>
      <c r="F162" s="2"/>
    </row>
    <row r="163" spans="1:6" ht="14" customHeight="1">
      <c r="A163" s="8">
        <v>9</v>
      </c>
      <c r="B163" s="7" t="str">
        <f>المدخلات!$F$6</f>
        <v>6:40–7:50 م</v>
      </c>
      <c r="C163" s="7">
        <v>4</v>
      </c>
      <c r="D163" s="7" t="s">
        <v>594</v>
      </c>
      <c r="E163" s="7" t="s">
        <v>271</v>
      </c>
      <c r="F163" s="2"/>
    </row>
    <row r="164" spans="1:6" ht="14" customHeight="1">
      <c r="A164" s="8">
        <v>9</v>
      </c>
      <c r="B164" s="7" t="str">
        <f>المدخلات!$F$6</f>
        <v>6:40–7:50 م</v>
      </c>
      <c r="C164" s="7">
        <v>5</v>
      </c>
      <c r="D164" s="7" t="s">
        <v>594</v>
      </c>
      <c r="E164" s="7" t="s">
        <v>310</v>
      </c>
      <c r="F164" s="2"/>
    </row>
    <row r="165" spans="1:6" ht="14" customHeight="1">
      <c r="A165" s="8">
        <v>9</v>
      </c>
      <c r="B165" s="7" t="str">
        <f>المدخلات!$F$6</f>
        <v>6:40–7:50 م</v>
      </c>
      <c r="C165" s="7">
        <v>6</v>
      </c>
      <c r="D165" s="7" t="s">
        <v>594</v>
      </c>
      <c r="E165" s="7" t="s">
        <v>279</v>
      </c>
      <c r="F165" s="2"/>
    </row>
    <row r="166" spans="1:6" ht="14" customHeight="1">
      <c r="A166" s="8">
        <v>10</v>
      </c>
      <c r="B166" s="7" t="str">
        <f>المدخلات!$F$4</f>
        <v>4:00–5:10 م</v>
      </c>
      <c r="C166" s="7">
        <v>1</v>
      </c>
      <c r="D166" s="7" t="s">
        <v>593</v>
      </c>
      <c r="E166" s="7" t="s">
        <v>914</v>
      </c>
      <c r="F166" s="2"/>
    </row>
    <row r="167" spans="1:6" ht="14" customHeight="1">
      <c r="A167" s="8">
        <v>10</v>
      </c>
      <c r="B167" s="7" t="str">
        <f>المدخلات!$F$4</f>
        <v>4:00–5:10 م</v>
      </c>
      <c r="C167" s="7">
        <v>2</v>
      </c>
      <c r="D167" s="7" t="s">
        <v>593</v>
      </c>
      <c r="E167" s="7" t="s">
        <v>149</v>
      </c>
      <c r="F167" s="2"/>
    </row>
    <row r="168" spans="1:6" ht="14" customHeight="1">
      <c r="A168" s="8">
        <v>10</v>
      </c>
      <c r="B168" s="7" t="str">
        <f>المدخلات!$F$4</f>
        <v>4:00–5:10 م</v>
      </c>
      <c r="C168" s="7">
        <v>3</v>
      </c>
      <c r="D168" s="7" t="s">
        <v>593</v>
      </c>
      <c r="E168" s="7" t="s">
        <v>915</v>
      </c>
      <c r="F168" s="2"/>
    </row>
    <row r="169" spans="1:6" ht="14" customHeight="1">
      <c r="A169" s="8">
        <v>10</v>
      </c>
      <c r="B169" s="7" t="str">
        <f>المدخلات!$F$5</f>
        <v>5:20–6:30 م</v>
      </c>
      <c r="C169" s="7">
        <v>1</v>
      </c>
      <c r="D169" s="7" t="s">
        <v>593</v>
      </c>
      <c r="E169" s="7" t="s">
        <v>91</v>
      </c>
      <c r="F169" s="2"/>
    </row>
    <row r="170" spans="1:6" ht="14" customHeight="1">
      <c r="A170" s="8">
        <v>10</v>
      </c>
      <c r="B170" s="7" t="str">
        <f>المدخلات!$F$5</f>
        <v>5:20–6:30 م</v>
      </c>
      <c r="C170" s="7">
        <v>2</v>
      </c>
      <c r="D170" s="7" t="s">
        <v>593</v>
      </c>
      <c r="E170" s="7" t="s">
        <v>117</v>
      </c>
      <c r="F170" s="2"/>
    </row>
    <row r="171" spans="1:6" ht="14" customHeight="1">
      <c r="A171" s="8">
        <v>10</v>
      </c>
      <c r="B171" s="7" t="str">
        <f>المدخلات!$F$5</f>
        <v>5:20–6:30 م</v>
      </c>
      <c r="C171" s="7">
        <v>3</v>
      </c>
      <c r="D171" s="7" t="s">
        <v>593</v>
      </c>
      <c r="E171" s="7" t="s">
        <v>54</v>
      </c>
      <c r="F171" s="2"/>
    </row>
    <row r="172" spans="1:6" ht="14" customHeight="1">
      <c r="A172" s="8">
        <v>10</v>
      </c>
      <c r="B172" s="7" t="str">
        <f>المدخلات!$F$6</f>
        <v>6:40–7:50 م</v>
      </c>
      <c r="C172" s="7">
        <v>1</v>
      </c>
      <c r="D172" s="7" t="s">
        <v>593</v>
      </c>
      <c r="E172" s="7" t="s">
        <v>64</v>
      </c>
      <c r="F172" s="2"/>
    </row>
    <row r="173" spans="1:6" ht="14" customHeight="1">
      <c r="A173" s="8">
        <v>10</v>
      </c>
      <c r="B173" s="7" t="str">
        <f>المدخلات!$F$6</f>
        <v>6:40–7:50 م</v>
      </c>
      <c r="C173" s="7">
        <v>2</v>
      </c>
      <c r="D173" s="7" t="s">
        <v>593</v>
      </c>
      <c r="E173" s="7" t="s">
        <v>708</v>
      </c>
      <c r="F173" s="2"/>
    </row>
    <row r="174" spans="1:6" ht="14" customHeight="1">
      <c r="A174" s="8">
        <v>10</v>
      </c>
      <c r="B174" s="7" t="str">
        <f>المدخلات!$F$6</f>
        <v>6:40–7:50 م</v>
      </c>
      <c r="C174" s="7">
        <v>3</v>
      </c>
      <c r="D174" s="7" t="s">
        <v>593</v>
      </c>
      <c r="E174" s="7" t="s">
        <v>707</v>
      </c>
      <c r="F174" s="2"/>
    </row>
    <row r="175" spans="1:6" ht="14" customHeight="1">
      <c r="A175" s="8">
        <v>10</v>
      </c>
      <c r="B175" s="7" t="str">
        <f>المدخلات!$F$4</f>
        <v>4:00–5:10 م</v>
      </c>
      <c r="C175" s="7">
        <v>4</v>
      </c>
      <c r="D175" s="7" t="s">
        <v>594</v>
      </c>
      <c r="E175" s="7" t="s">
        <v>280</v>
      </c>
      <c r="F175" s="2"/>
    </row>
    <row r="176" spans="1:6" ht="14" customHeight="1">
      <c r="A176" s="8">
        <v>10</v>
      </c>
      <c r="B176" s="7" t="str">
        <f>المدخلات!$F$4</f>
        <v>4:00–5:10 م</v>
      </c>
      <c r="C176" s="7">
        <v>5</v>
      </c>
      <c r="D176" s="7" t="s">
        <v>594</v>
      </c>
      <c r="E176" s="7" t="s">
        <v>796</v>
      </c>
      <c r="F176" s="2"/>
    </row>
    <row r="177" spans="1:6" ht="14" customHeight="1">
      <c r="A177" s="8">
        <v>10</v>
      </c>
      <c r="B177" s="7" t="str">
        <f>المدخلات!$F$4</f>
        <v>4:00–5:10 م</v>
      </c>
      <c r="C177" s="7">
        <v>6</v>
      </c>
      <c r="D177" s="7" t="s">
        <v>594</v>
      </c>
      <c r="E177" s="7" t="s">
        <v>272</v>
      </c>
      <c r="F177" s="2"/>
    </row>
    <row r="178" spans="1:6" ht="14" customHeight="1">
      <c r="A178" s="8">
        <v>10</v>
      </c>
      <c r="B178" s="7" t="str">
        <f>المدخلات!$F$5</f>
        <v>5:20–6:30 م</v>
      </c>
      <c r="C178" s="7">
        <v>4</v>
      </c>
      <c r="D178" s="7" t="s">
        <v>594</v>
      </c>
      <c r="E178" s="7" t="s">
        <v>916</v>
      </c>
      <c r="F178" s="2"/>
    </row>
    <row r="179" spans="1:6" ht="14" customHeight="1">
      <c r="A179" s="8">
        <v>10</v>
      </c>
      <c r="B179" s="7" t="str">
        <f>المدخلات!$F$5</f>
        <v>5:20–6:30 م</v>
      </c>
      <c r="C179" s="7">
        <v>5</v>
      </c>
      <c r="D179" s="7" t="s">
        <v>594</v>
      </c>
      <c r="E179" s="7" t="s">
        <v>362</v>
      </c>
      <c r="F179" s="2"/>
    </row>
    <row r="180" spans="1:6" ht="14" customHeight="1">
      <c r="A180" s="8">
        <v>10</v>
      </c>
      <c r="B180" s="7" t="str">
        <f>المدخلات!$F$5</f>
        <v>5:20–6:30 م</v>
      </c>
      <c r="C180" s="7">
        <v>6</v>
      </c>
      <c r="D180" s="7" t="s">
        <v>594</v>
      </c>
      <c r="E180" s="7" t="s">
        <v>264</v>
      </c>
      <c r="F180" s="2"/>
    </row>
    <row r="181" spans="1:6" ht="14" customHeight="1">
      <c r="A181" s="8">
        <v>10</v>
      </c>
      <c r="B181" s="7" t="str">
        <f>المدخلات!$F$6</f>
        <v>6:40–7:50 م</v>
      </c>
      <c r="C181" s="7">
        <v>4</v>
      </c>
      <c r="D181" s="7" t="s">
        <v>594</v>
      </c>
      <c r="E181" s="7" t="s">
        <v>290</v>
      </c>
      <c r="F181" s="2"/>
    </row>
    <row r="182" spans="1:6" ht="14" customHeight="1">
      <c r="A182" s="8">
        <v>10</v>
      </c>
      <c r="B182" s="7" t="str">
        <f>المدخلات!$F$6</f>
        <v>6:40–7:50 م</v>
      </c>
      <c r="C182" s="7">
        <v>5</v>
      </c>
      <c r="D182" s="7" t="s">
        <v>594</v>
      </c>
      <c r="E182" s="7" t="s">
        <v>713</v>
      </c>
      <c r="F182" s="2"/>
    </row>
    <row r="183" spans="1:6" ht="14" customHeight="1">
      <c r="A183" s="8">
        <v>10</v>
      </c>
      <c r="B183" s="7" t="str">
        <f>المدخلات!$F$6</f>
        <v>6:40–7:50 م</v>
      </c>
      <c r="C183" s="7">
        <v>6</v>
      </c>
      <c r="D183" s="7" t="s">
        <v>594</v>
      </c>
      <c r="E183" s="7" t="s">
        <v>296</v>
      </c>
      <c r="F183" s="2"/>
    </row>
    <row r="184" spans="1:6" ht="14" customHeight="1">
      <c r="A184" s="8">
        <v>11</v>
      </c>
      <c r="B184" s="7" t="str">
        <f>المدخلات!$F$4</f>
        <v>4:00–5:10 م</v>
      </c>
      <c r="C184" s="7">
        <v>1</v>
      </c>
      <c r="D184" s="7" t="s">
        <v>593</v>
      </c>
      <c r="E184" s="7" t="s">
        <v>725</v>
      </c>
      <c r="F184" s="2"/>
    </row>
    <row r="185" spans="1:6" ht="14" customHeight="1">
      <c r="A185" s="8">
        <v>11</v>
      </c>
      <c r="B185" s="7" t="str">
        <f>المدخلات!$F$4</f>
        <v>4:00–5:10 م</v>
      </c>
      <c r="C185" s="7">
        <v>2</v>
      </c>
      <c r="D185" s="7" t="s">
        <v>593</v>
      </c>
      <c r="E185" s="7" t="s">
        <v>917</v>
      </c>
      <c r="F185" s="2"/>
    </row>
    <row r="186" spans="1:6" ht="14" customHeight="1">
      <c r="A186" s="8">
        <v>11</v>
      </c>
      <c r="B186" s="7" t="str">
        <f>المدخلات!$F$4</f>
        <v>4:00–5:10 م</v>
      </c>
      <c r="C186" s="7">
        <v>3</v>
      </c>
      <c r="D186" s="7" t="s">
        <v>593</v>
      </c>
      <c r="E186" s="7" t="s">
        <v>726</v>
      </c>
      <c r="F186" s="2"/>
    </row>
    <row r="187" spans="1:6" ht="14" customHeight="1">
      <c r="A187" s="8">
        <v>11</v>
      </c>
      <c r="B187" s="7" t="str">
        <f>المدخلات!$F$5</f>
        <v>5:20–6:30 م</v>
      </c>
      <c r="C187" s="7">
        <v>1</v>
      </c>
      <c r="D187" s="7" t="s">
        <v>593</v>
      </c>
      <c r="E187" s="7" t="s">
        <v>68</v>
      </c>
      <c r="F187" s="2"/>
    </row>
    <row r="188" spans="1:6" ht="14" customHeight="1">
      <c r="A188" s="8">
        <v>11</v>
      </c>
      <c r="B188" s="7" t="str">
        <f>المدخلات!$F$5</f>
        <v>5:20–6:30 م</v>
      </c>
      <c r="C188" s="7">
        <v>2</v>
      </c>
      <c r="D188" s="7" t="s">
        <v>593</v>
      </c>
      <c r="E188" s="7" t="s">
        <v>120</v>
      </c>
      <c r="F188" s="2"/>
    </row>
    <row r="189" spans="1:6" ht="14" customHeight="1">
      <c r="A189" s="8">
        <v>11</v>
      </c>
      <c r="B189" s="7" t="str">
        <f>المدخلات!$F$5</f>
        <v>5:20–6:30 م</v>
      </c>
      <c r="C189" s="7">
        <v>3</v>
      </c>
      <c r="D189" s="7" t="s">
        <v>593</v>
      </c>
      <c r="E189" s="7" t="s">
        <v>727</v>
      </c>
      <c r="F189" s="2"/>
    </row>
    <row r="190" spans="1:6" ht="14" customHeight="1">
      <c r="A190" s="8">
        <v>11</v>
      </c>
      <c r="B190" s="7" t="str">
        <f>المدخلات!$F$6</f>
        <v>6:40–7:50 م</v>
      </c>
      <c r="C190" s="7">
        <v>1</v>
      </c>
      <c r="D190" s="7" t="s">
        <v>593</v>
      </c>
      <c r="E190" s="7" t="s">
        <v>1054</v>
      </c>
      <c r="F190" s="2"/>
    </row>
    <row r="191" spans="1:6" ht="14" customHeight="1">
      <c r="A191" s="8">
        <v>11</v>
      </c>
      <c r="B191" s="7" t="str">
        <f>المدخلات!$F$6</f>
        <v>6:40–7:50 م</v>
      </c>
      <c r="C191" s="7">
        <v>2</v>
      </c>
      <c r="D191" s="7" t="s">
        <v>593</v>
      </c>
      <c r="E191" s="7" t="s">
        <v>723</v>
      </c>
      <c r="F191" s="2"/>
    </row>
    <row r="192" spans="1:6" ht="14" customHeight="1">
      <c r="A192" s="8">
        <v>11</v>
      </c>
      <c r="B192" s="7" t="str">
        <f>المدخلات!$F$6</f>
        <v>6:40–7:50 م</v>
      </c>
      <c r="C192" s="7">
        <v>3</v>
      </c>
      <c r="D192" s="7" t="s">
        <v>593</v>
      </c>
      <c r="E192" s="7" t="s">
        <v>52</v>
      </c>
      <c r="F192" s="2"/>
    </row>
    <row r="193" spans="1:6" ht="14" customHeight="1">
      <c r="A193" s="8">
        <v>11</v>
      </c>
      <c r="B193" s="7" t="str">
        <f>المدخلات!$F$4</f>
        <v>4:00–5:10 م</v>
      </c>
      <c r="C193" s="7">
        <v>4</v>
      </c>
      <c r="D193" s="7" t="s">
        <v>594</v>
      </c>
      <c r="E193" s="7" t="s">
        <v>344</v>
      </c>
      <c r="F193" s="2"/>
    </row>
    <row r="194" spans="1:6" ht="14" customHeight="1">
      <c r="A194" s="8">
        <v>11</v>
      </c>
      <c r="B194" s="7" t="str">
        <f>المدخلات!$F$4</f>
        <v>4:00–5:10 م</v>
      </c>
      <c r="C194" s="7">
        <v>5</v>
      </c>
      <c r="D194" s="7" t="s">
        <v>594</v>
      </c>
      <c r="E194" s="7" t="s">
        <v>363</v>
      </c>
      <c r="F194" s="2"/>
    </row>
    <row r="195" spans="1:6" ht="14" customHeight="1">
      <c r="A195" s="8">
        <v>11</v>
      </c>
      <c r="B195" s="7" t="str">
        <f>المدخلات!$F$4</f>
        <v>4:00–5:10 م</v>
      </c>
      <c r="C195" s="7">
        <v>6</v>
      </c>
      <c r="D195" s="7" t="s">
        <v>594</v>
      </c>
      <c r="E195" s="7" t="s">
        <v>732</v>
      </c>
      <c r="F195" s="2"/>
    </row>
    <row r="196" spans="1:6" ht="14" customHeight="1">
      <c r="A196" s="8">
        <v>11</v>
      </c>
      <c r="B196" s="7" t="str">
        <f>المدخلات!$F$5</f>
        <v>5:20–6:30 م</v>
      </c>
      <c r="C196" s="7">
        <v>4</v>
      </c>
      <c r="D196" s="7" t="s">
        <v>594</v>
      </c>
      <c r="E196" s="7" t="s">
        <v>729</v>
      </c>
      <c r="F196" s="2"/>
    </row>
    <row r="197" spans="1:6" ht="14" customHeight="1">
      <c r="A197" s="8">
        <v>11</v>
      </c>
      <c r="B197" s="7" t="str">
        <f>المدخلات!$F$5</f>
        <v>5:20–6:30 م</v>
      </c>
      <c r="C197" s="7">
        <v>5</v>
      </c>
      <c r="D197" s="7" t="s">
        <v>594</v>
      </c>
      <c r="E197" s="7" t="s">
        <v>731</v>
      </c>
      <c r="F197" s="2"/>
    </row>
    <row r="198" spans="1:6" ht="14" customHeight="1">
      <c r="A198" s="8">
        <v>11</v>
      </c>
      <c r="B198" s="7" t="str">
        <f>المدخلات!$F$5</f>
        <v>5:20–6:30 م</v>
      </c>
      <c r="C198" s="7">
        <v>6</v>
      </c>
      <c r="D198" s="7" t="s">
        <v>594</v>
      </c>
      <c r="E198" s="7" t="s">
        <v>730</v>
      </c>
      <c r="F198" s="2"/>
    </row>
    <row r="199" spans="1:6" ht="14" customHeight="1">
      <c r="A199" s="8">
        <v>11</v>
      </c>
      <c r="B199" s="7" t="str">
        <f>المدخلات!$F$6</f>
        <v>6:40–7:50 م</v>
      </c>
      <c r="C199" s="7">
        <v>4</v>
      </c>
      <c r="D199" s="7" t="s">
        <v>594</v>
      </c>
      <c r="E199" s="7" t="s">
        <v>265</v>
      </c>
      <c r="F199" s="2"/>
    </row>
    <row r="200" spans="1:6" ht="14" customHeight="1">
      <c r="A200" s="8">
        <v>11</v>
      </c>
      <c r="B200" s="7" t="str">
        <f>المدخلات!$F$6</f>
        <v>6:40–7:50 م</v>
      </c>
      <c r="C200" s="7">
        <v>5</v>
      </c>
      <c r="D200" s="7" t="s">
        <v>594</v>
      </c>
      <c r="E200" s="7" t="s">
        <v>257</v>
      </c>
      <c r="F200" s="2"/>
    </row>
    <row r="201" spans="1:6" ht="14" customHeight="1">
      <c r="A201" s="8">
        <v>11</v>
      </c>
      <c r="B201" s="7" t="str">
        <f>المدخلات!$F$6</f>
        <v>6:40–7:50 م</v>
      </c>
      <c r="C201" s="7">
        <v>6</v>
      </c>
      <c r="D201" s="7" t="s">
        <v>594</v>
      </c>
      <c r="E201" s="7" t="s">
        <v>245</v>
      </c>
      <c r="F201" s="2"/>
    </row>
    <row r="202" spans="1:6" ht="14" customHeight="1">
      <c r="A202" s="8">
        <v>12</v>
      </c>
      <c r="B202" s="7" t="str">
        <f>المدخلات!$F$4</f>
        <v>4:00–5:10 م</v>
      </c>
      <c r="C202" s="7">
        <v>1</v>
      </c>
      <c r="D202" s="7" t="s">
        <v>593</v>
      </c>
      <c r="E202" s="7" t="s">
        <v>69</v>
      </c>
      <c r="F202" s="2"/>
    </row>
    <row r="203" spans="1:6" ht="14" customHeight="1">
      <c r="A203" s="8">
        <v>12</v>
      </c>
      <c r="B203" s="7" t="str">
        <f>المدخلات!$F$4</f>
        <v>4:00–5:10 م</v>
      </c>
      <c r="C203" s="7">
        <v>2</v>
      </c>
      <c r="D203" s="7" t="s">
        <v>593</v>
      </c>
      <c r="E203" s="7" t="s">
        <v>123</v>
      </c>
      <c r="F203" s="2"/>
    </row>
    <row r="204" spans="1:6" ht="14" customHeight="1">
      <c r="A204" s="8">
        <v>12</v>
      </c>
      <c r="B204" s="7" t="str">
        <f>المدخلات!$F$4</f>
        <v>4:00–5:10 م</v>
      </c>
      <c r="C204" s="7">
        <v>3</v>
      </c>
      <c r="D204" s="7" t="s">
        <v>593</v>
      </c>
      <c r="E204" s="7" t="s">
        <v>36</v>
      </c>
      <c r="F204" s="2"/>
    </row>
    <row r="205" spans="1:6" ht="14" customHeight="1">
      <c r="A205" s="8">
        <v>12</v>
      </c>
      <c r="B205" s="7" t="str">
        <f>المدخلات!$F$5</f>
        <v>5:20–6:30 م</v>
      </c>
      <c r="C205" s="7">
        <v>1</v>
      </c>
      <c r="D205" s="7" t="s">
        <v>593</v>
      </c>
      <c r="E205" s="7" t="s">
        <v>60</v>
      </c>
      <c r="F205" s="2"/>
    </row>
    <row r="206" spans="1:6" ht="14" customHeight="1">
      <c r="A206" s="8">
        <v>12</v>
      </c>
      <c r="B206" s="7" t="str">
        <f>المدخلات!$F$5</f>
        <v>5:20–6:30 م</v>
      </c>
      <c r="C206" s="7">
        <v>2</v>
      </c>
      <c r="D206" s="7" t="s">
        <v>593</v>
      </c>
      <c r="E206" s="7" t="s">
        <v>746</v>
      </c>
      <c r="F206" s="2"/>
    </row>
    <row r="207" spans="1:6" ht="14" customHeight="1">
      <c r="A207" s="8">
        <v>12</v>
      </c>
      <c r="B207" s="7" t="str">
        <f>المدخلات!$F$5</f>
        <v>5:20–6:30 م</v>
      </c>
      <c r="C207" s="7">
        <v>3</v>
      </c>
      <c r="D207" s="7" t="s">
        <v>593</v>
      </c>
      <c r="E207" s="7" t="s">
        <v>45</v>
      </c>
      <c r="F207" s="2"/>
    </row>
    <row r="208" spans="1:6" ht="14" customHeight="1">
      <c r="A208" s="8">
        <v>12</v>
      </c>
      <c r="B208" s="7" t="str">
        <f>المدخلات!$F$6</f>
        <v>6:40–7:50 م</v>
      </c>
      <c r="C208" s="7">
        <v>1</v>
      </c>
      <c r="D208" s="7" t="s">
        <v>593</v>
      </c>
      <c r="E208" s="7" t="s">
        <v>1101</v>
      </c>
      <c r="F208" s="2"/>
    </row>
    <row r="209" spans="1:6" ht="14" customHeight="1">
      <c r="A209" s="8">
        <v>12</v>
      </c>
      <c r="B209" s="7" t="str">
        <f>المدخلات!$F$6</f>
        <v>6:40–7:50 م</v>
      </c>
      <c r="C209" s="7">
        <v>2</v>
      </c>
      <c r="D209" s="7" t="s">
        <v>593</v>
      </c>
      <c r="E209" s="7" t="s">
        <v>125</v>
      </c>
      <c r="F209" s="2"/>
    </row>
    <row r="210" spans="1:6" ht="14" customHeight="1">
      <c r="A210" s="8">
        <v>12</v>
      </c>
      <c r="B210" s="7" t="str">
        <f>المدخلات!$F$6</f>
        <v>6:40–7:50 م</v>
      </c>
      <c r="C210" s="7">
        <v>3</v>
      </c>
      <c r="D210" s="7" t="s">
        <v>593</v>
      </c>
      <c r="E210" s="7" t="s">
        <v>744</v>
      </c>
      <c r="F210" s="2"/>
    </row>
    <row r="211" spans="1:6" ht="14" customHeight="1">
      <c r="A211" s="8">
        <v>12</v>
      </c>
      <c r="B211" s="7" t="str">
        <f>المدخلات!$F$4</f>
        <v>4:00–5:10 م</v>
      </c>
      <c r="C211" s="7">
        <v>4</v>
      </c>
      <c r="D211" s="7" t="s">
        <v>594</v>
      </c>
      <c r="E211" s="7" t="s">
        <v>807</v>
      </c>
      <c r="F211" s="2"/>
    </row>
    <row r="212" spans="1:6" ht="14" customHeight="1">
      <c r="A212" s="8">
        <v>12</v>
      </c>
      <c r="B212" s="7" t="str">
        <f>المدخلات!$F$4</f>
        <v>4:00–5:10 م</v>
      </c>
      <c r="C212" s="7">
        <v>5</v>
      </c>
      <c r="D212" s="7" t="s">
        <v>594</v>
      </c>
      <c r="E212" s="7" t="s">
        <v>266</v>
      </c>
      <c r="F212" s="2"/>
    </row>
    <row r="213" spans="1:6" ht="14" customHeight="1">
      <c r="A213" s="8">
        <v>12</v>
      </c>
      <c r="B213" s="7" t="str">
        <f>المدخلات!$F$4</f>
        <v>4:00–5:10 م</v>
      </c>
      <c r="C213" s="7">
        <v>6</v>
      </c>
      <c r="D213" s="7" t="s">
        <v>594</v>
      </c>
      <c r="E213" s="7" t="s">
        <v>248</v>
      </c>
      <c r="F213" s="2"/>
    </row>
    <row r="214" spans="1:6" ht="14" customHeight="1">
      <c r="A214" s="8">
        <v>12</v>
      </c>
      <c r="B214" s="7" t="str">
        <f>المدخلات!$F$5</f>
        <v>5:20–6:30 م</v>
      </c>
      <c r="C214" s="7">
        <v>4</v>
      </c>
      <c r="D214" s="7" t="s">
        <v>594</v>
      </c>
      <c r="E214" s="7" t="s">
        <v>258</v>
      </c>
      <c r="F214" s="2"/>
    </row>
    <row r="215" spans="1:6" ht="14" customHeight="1">
      <c r="A215" s="8">
        <v>12</v>
      </c>
      <c r="B215" s="7" t="str">
        <f>المدخلات!$F$5</f>
        <v>5:20–6:30 م</v>
      </c>
      <c r="C215" s="7">
        <v>5</v>
      </c>
      <c r="D215" s="7" t="s">
        <v>594</v>
      </c>
      <c r="E215" s="7" t="s">
        <v>345</v>
      </c>
      <c r="F215" s="2"/>
    </row>
    <row r="216" spans="1:6" ht="14" customHeight="1">
      <c r="A216" s="8">
        <v>12</v>
      </c>
      <c r="B216" s="7" t="str">
        <f>المدخلات!$F$5</f>
        <v>5:20–6:30 م</v>
      </c>
      <c r="C216" s="7">
        <v>6</v>
      </c>
      <c r="D216" s="7" t="s">
        <v>594</v>
      </c>
      <c r="E216" s="7" t="s">
        <v>277</v>
      </c>
      <c r="F216" s="2"/>
    </row>
    <row r="217" spans="1:6" ht="14" customHeight="1">
      <c r="A217" s="8">
        <v>12</v>
      </c>
      <c r="B217" s="7" t="str">
        <f>المدخلات!$F$6</f>
        <v>6:40–7:50 م</v>
      </c>
      <c r="C217" s="7">
        <v>4</v>
      </c>
      <c r="D217" s="7" t="s">
        <v>594</v>
      </c>
      <c r="E217" s="7" t="s">
        <v>364</v>
      </c>
      <c r="F217" s="2"/>
    </row>
    <row r="218" spans="1:6" ht="14" customHeight="1">
      <c r="A218" s="8">
        <v>12</v>
      </c>
      <c r="B218" s="7" t="str">
        <f>المدخلات!$F$6</f>
        <v>6:40–7:50 م</v>
      </c>
      <c r="C218" s="7">
        <v>5</v>
      </c>
      <c r="D218" s="7" t="s">
        <v>594</v>
      </c>
      <c r="E218" s="7" t="s">
        <v>320</v>
      </c>
      <c r="F218" s="2"/>
    </row>
    <row r="219" spans="1:6" ht="14" customHeight="1">
      <c r="A219" s="8">
        <v>12</v>
      </c>
      <c r="B219" s="7" t="str">
        <f>المدخلات!$F$6</f>
        <v>6:40–7:50 م</v>
      </c>
      <c r="C219" s="7">
        <v>6</v>
      </c>
      <c r="D219" s="7" t="s">
        <v>594</v>
      </c>
      <c r="E219" s="7" t="s">
        <v>339</v>
      </c>
      <c r="F219" s="2"/>
    </row>
    <row r="220" spans="1:6" ht="14" customHeight="1">
      <c r="A220" s="8">
        <v>13</v>
      </c>
      <c r="B220" s="7" t="str">
        <f>المدخلات!$F$4</f>
        <v>4:00–5:10 م</v>
      </c>
      <c r="C220" s="7">
        <v>1</v>
      </c>
      <c r="D220" s="7" t="s">
        <v>593</v>
      </c>
      <c r="E220" s="7" t="s">
        <v>769</v>
      </c>
      <c r="F220" s="2"/>
    </row>
    <row r="221" spans="1:6" ht="14" customHeight="1">
      <c r="A221" s="8">
        <v>13</v>
      </c>
      <c r="B221" s="7" t="str">
        <f>المدخلات!$F$4</f>
        <v>4:00–5:10 م</v>
      </c>
      <c r="C221" s="7">
        <v>2</v>
      </c>
      <c r="D221" s="7" t="s">
        <v>593</v>
      </c>
      <c r="E221" s="7" t="s">
        <v>161</v>
      </c>
      <c r="F221" s="2"/>
    </row>
    <row r="222" spans="1:6" ht="14" customHeight="1">
      <c r="A222" s="8">
        <v>13</v>
      </c>
      <c r="B222" s="7" t="str">
        <f>المدخلات!$F$4</f>
        <v>4:00–5:10 م</v>
      </c>
      <c r="C222" s="7">
        <v>3</v>
      </c>
      <c r="D222" s="7" t="s">
        <v>593</v>
      </c>
      <c r="E222" s="7" t="s">
        <v>766</v>
      </c>
      <c r="F222" s="2"/>
    </row>
    <row r="223" spans="1:6" ht="14" customHeight="1">
      <c r="A223" s="8">
        <v>13</v>
      </c>
      <c r="B223" s="7" t="str">
        <f>المدخلات!$F$5</f>
        <v>5:20–6:30 م</v>
      </c>
      <c r="C223" s="7">
        <v>1</v>
      </c>
      <c r="D223" s="7" t="s">
        <v>593</v>
      </c>
      <c r="E223" s="7" t="s">
        <v>71</v>
      </c>
      <c r="F223" s="2"/>
    </row>
    <row r="224" spans="1:6" ht="14" customHeight="1">
      <c r="A224" s="8">
        <v>13</v>
      </c>
      <c r="B224" s="7" t="str">
        <f>المدخلات!$F$5</f>
        <v>5:20–6:30 م</v>
      </c>
      <c r="C224" s="7">
        <v>2</v>
      </c>
      <c r="D224" s="7" t="s">
        <v>593</v>
      </c>
      <c r="E224" s="7" t="s">
        <v>768</v>
      </c>
      <c r="F224" s="2"/>
    </row>
    <row r="225" spans="1:6" ht="14" customHeight="1">
      <c r="A225" s="8">
        <v>13</v>
      </c>
      <c r="B225" s="7" t="str">
        <f>المدخلات!$F$5</f>
        <v>5:20–6:30 م</v>
      </c>
      <c r="C225" s="7">
        <v>3</v>
      </c>
      <c r="D225" s="7" t="s">
        <v>593</v>
      </c>
      <c r="E225" s="7" t="s">
        <v>178</v>
      </c>
      <c r="F225" s="2"/>
    </row>
    <row r="226" spans="1:6" ht="14" customHeight="1">
      <c r="A226" s="8">
        <v>13</v>
      </c>
      <c r="B226" s="7" t="str">
        <f>المدخلات!$F$6</f>
        <v>6:40–7:50 م</v>
      </c>
      <c r="C226" s="7">
        <v>1</v>
      </c>
      <c r="D226" s="7" t="s">
        <v>593</v>
      </c>
      <c r="E226" s="7" t="s">
        <v>1049</v>
      </c>
      <c r="F226" s="2"/>
    </row>
    <row r="227" spans="1:6" ht="14" customHeight="1">
      <c r="A227" s="8">
        <v>13</v>
      </c>
      <c r="B227" s="7" t="str">
        <f>المدخلات!$F$6</f>
        <v>6:40–7:50 م</v>
      </c>
      <c r="C227" s="7">
        <v>2</v>
      </c>
      <c r="D227" s="7" t="s">
        <v>593</v>
      </c>
      <c r="E227" s="7" t="s">
        <v>42</v>
      </c>
      <c r="F227" s="2"/>
    </row>
    <row r="228" spans="1:6" ht="14" customHeight="1">
      <c r="A228" s="8">
        <v>13</v>
      </c>
      <c r="B228" s="7" t="str">
        <f>المدخلات!$F$6</f>
        <v>6:40–7:50 م</v>
      </c>
      <c r="C228" s="7">
        <v>3</v>
      </c>
      <c r="D228" s="7" t="s">
        <v>593</v>
      </c>
      <c r="E228" s="7" t="s">
        <v>51</v>
      </c>
      <c r="F228" s="2"/>
    </row>
    <row r="229" spans="1:6" ht="14" customHeight="1">
      <c r="A229" s="8">
        <v>13</v>
      </c>
      <c r="B229" s="7" t="str">
        <f>المدخلات!$F$4</f>
        <v>4:00–5:10 م</v>
      </c>
      <c r="C229" s="7">
        <v>4</v>
      </c>
      <c r="D229" s="7" t="s">
        <v>594</v>
      </c>
      <c r="E229" s="7" t="s">
        <v>341</v>
      </c>
      <c r="F229" s="2"/>
    </row>
    <row r="230" spans="1:6" ht="14" customHeight="1">
      <c r="A230" s="8">
        <v>13</v>
      </c>
      <c r="B230" s="7" t="str">
        <f>المدخلات!$F$4</f>
        <v>4:00–5:10 م</v>
      </c>
      <c r="C230" s="7">
        <v>5</v>
      </c>
      <c r="D230" s="7" t="s">
        <v>594</v>
      </c>
      <c r="E230" s="7" t="s">
        <v>340</v>
      </c>
      <c r="F230" s="2"/>
    </row>
    <row r="231" spans="1:6" ht="14" customHeight="1">
      <c r="A231" s="8">
        <v>13</v>
      </c>
      <c r="B231" s="7" t="str">
        <f>المدخلات!$F$4</f>
        <v>4:00–5:10 م</v>
      </c>
      <c r="C231" s="7">
        <v>6</v>
      </c>
      <c r="D231" s="7" t="s">
        <v>594</v>
      </c>
      <c r="E231" s="7" t="s">
        <v>365</v>
      </c>
      <c r="F231" s="2"/>
    </row>
    <row r="232" spans="1:6" ht="14" customHeight="1">
      <c r="A232" s="8">
        <v>13</v>
      </c>
      <c r="B232" s="7" t="str">
        <f>المدخلات!$F$5</f>
        <v>5:20–6:30 م</v>
      </c>
      <c r="C232" s="7">
        <v>4</v>
      </c>
      <c r="D232" s="7" t="s">
        <v>594</v>
      </c>
      <c r="E232" s="7" t="s">
        <v>773</v>
      </c>
      <c r="F232" s="2"/>
    </row>
    <row r="233" spans="1:6" ht="14" customHeight="1">
      <c r="A233" s="8">
        <v>13</v>
      </c>
      <c r="B233" s="7" t="str">
        <f>المدخلات!$F$5</f>
        <v>5:20–6:30 م</v>
      </c>
      <c r="C233" s="7">
        <v>5</v>
      </c>
      <c r="D233" s="7" t="s">
        <v>594</v>
      </c>
      <c r="E233" s="7" t="s">
        <v>246</v>
      </c>
      <c r="F233" s="2"/>
    </row>
    <row r="234" spans="1:6" ht="14" customHeight="1">
      <c r="A234" s="8">
        <v>13</v>
      </c>
      <c r="B234" s="7" t="str">
        <f>المدخلات!$F$5</f>
        <v>5:20–6:30 م</v>
      </c>
      <c r="C234" s="7">
        <v>6</v>
      </c>
      <c r="D234" s="7" t="s">
        <v>594</v>
      </c>
      <c r="E234" s="7" t="s">
        <v>324</v>
      </c>
      <c r="F234" s="2"/>
    </row>
    <row r="235" spans="1:6" ht="14" customHeight="1">
      <c r="A235" s="8">
        <v>13</v>
      </c>
      <c r="B235" s="7" t="str">
        <f>المدخلات!$F$6</f>
        <v>6:40–7:50 م</v>
      </c>
      <c r="C235" s="7">
        <v>4</v>
      </c>
      <c r="D235" s="7" t="s">
        <v>594</v>
      </c>
      <c r="E235" s="7" t="s">
        <v>256</v>
      </c>
      <c r="F235" s="2"/>
    </row>
    <row r="236" spans="1:6" ht="14" customHeight="1">
      <c r="A236" s="8">
        <v>13</v>
      </c>
      <c r="B236" s="7" t="str">
        <f>المدخلات!$F$6</f>
        <v>6:40–7:50 م</v>
      </c>
      <c r="C236" s="7">
        <v>5</v>
      </c>
      <c r="D236" s="7" t="s">
        <v>594</v>
      </c>
      <c r="E236" s="7" t="s">
        <v>241</v>
      </c>
      <c r="F236" s="2"/>
    </row>
    <row r="237" spans="1:6" ht="14" customHeight="1">
      <c r="A237" s="8">
        <v>13</v>
      </c>
      <c r="B237" s="7" t="str">
        <f>المدخلات!$F$6</f>
        <v>6:40–7:50 م</v>
      </c>
      <c r="C237" s="7">
        <v>6</v>
      </c>
      <c r="D237" s="7" t="s">
        <v>594</v>
      </c>
      <c r="E237" s="7" t="s">
        <v>249</v>
      </c>
      <c r="F237" s="2"/>
    </row>
    <row r="238" spans="1:6" ht="14" customHeight="1">
      <c r="A238" s="8">
        <v>14</v>
      </c>
      <c r="B238" s="7" t="str">
        <f>المدخلات!$F$4</f>
        <v>4:00–5:10 م</v>
      </c>
      <c r="C238" s="7">
        <v>1</v>
      </c>
      <c r="D238" s="7" t="s">
        <v>593</v>
      </c>
      <c r="E238" s="7" t="s">
        <v>162</v>
      </c>
      <c r="F238" s="2"/>
    </row>
    <row r="239" spans="1:6" ht="14" customHeight="1">
      <c r="A239" s="8">
        <v>14</v>
      </c>
      <c r="B239" s="7" t="str">
        <f>المدخلات!$F$4</f>
        <v>4:00–5:10 م</v>
      </c>
      <c r="C239" s="7">
        <v>2</v>
      </c>
      <c r="D239" s="7" t="s">
        <v>593</v>
      </c>
      <c r="E239" s="7" t="s">
        <v>28</v>
      </c>
      <c r="F239" s="2"/>
    </row>
    <row r="240" spans="1:6" ht="14" customHeight="1">
      <c r="A240" s="8">
        <v>14</v>
      </c>
      <c r="B240" s="7" t="str">
        <f>المدخلات!$F$4</f>
        <v>4:00–5:10 م</v>
      </c>
      <c r="C240" s="7">
        <v>3</v>
      </c>
      <c r="D240" s="7" t="s">
        <v>593</v>
      </c>
      <c r="E240" s="7" t="s">
        <v>48</v>
      </c>
      <c r="F240" s="2"/>
    </row>
    <row r="241" spans="1:6" ht="14" customHeight="1">
      <c r="A241" s="8">
        <v>14</v>
      </c>
      <c r="B241" s="7" t="str">
        <f>المدخلات!$F$5</f>
        <v>5:20–6:30 م</v>
      </c>
      <c r="C241" s="7">
        <v>1</v>
      </c>
      <c r="D241" s="7" t="s">
        <v>593</v>
      </c>
      <c r="E241" s="7" t="s">
        <v>38</v>
      </c>
      <c r="F241" s="2"/>
    </row>
    <row r="242" spans="1:6" ht="14" customHeight="1">
      <c r="A242" s="8">
        <v>14</v>
      </c>
      <c r="B242" s="7" t="str">
        <f>المدخلات!$F$5</f>
        <v>5:20–6:30 م</v>
      </c>
      <c r="C242" s="7">
        <v>2</v>
      </c>
      <c r="D242" s="7" t="s">
        <v>593</v>
      </c>
      <c r="E242" s="7" t="s">
        <v>179</v>
      </c>
      <c r="F242" s="2"/>
    </row>
    <row r="243" spans="1:6" ht="14" customHeight="1">
      <c r="A243" s="8">
        <v>14</v>
      </c>
      <c r="B243" s="7" t="str">
        <f>المدخلات!$F$5</f>
        <v>5:20–6:30 م</v>
      </c>
      <c r="C243" s="7">
        <v>3</v>
      </c>
      <c r="D243" s="7" t="s">
        <v>593</v>
      </c>
      <c r="E243" s="7" t="s">
        <v>25</v>
      </c>
      <c r="F243" s="2"/>
    </row>
    <row r="244" spans="1:6" ht="14" customHeight="1">
      <c r="A244" s="8">
        <v>14</v>
      </c>
      <c r="B244" s="7" t="str">
        <f>المدخلات!$F$6</f>
        <v>6:40–7:50 م</v>
      </c>
      <c r="C244" s="7">
        <v>1</v>
      </c>
      <c r="D244" s="7" t="s">
        <v>593</v>
      </c>
      <c r="E244" s="7" t="s">
        <v>792</v>
      </c>
      <c r="F244" s="2"/>
    </row>
    <row r="245" spans="1:6" ht="14" customHeight="1">
      <c r="A245" s="8">
        <v>14</v>
      </c>
      <c r="B245" s="7" t="str">
        <f>المدخلات!$F$6</f>
        <v>6:40–7:50 م</v>
      </c>
      <c r="C245" s="7">
        <v>2</v>
      </c>
      <c r="D245" s="7" t="s">
        <v>593</v>
      </c>
      <c r="E245" s="7" t="s">
        <v>1091</v>
      </c>
      <c r="F245" s="2"/>
    </row>
    <row r="246" spans="1:6" ht="14" customHeight="1">
      <c r="A246" s="8">
        <v>14</v>
      </c>
      <c r="B246" s="7" t="str">
        <f>المدخلات!$F$6</f>
        <v>6:40–7:50 م</v>
      </c>
      <c r="C246" s="7">
        <v>3</v>
      </c>
      <c r="D246" s="7" t="s">
        <v>593</v>
      </c>
      <c r="E246" s="7" t="s">
        <v>59</v>
      </c>
      <c r="F246" s="2"/>
    </row>
    <row r="247" spans="1:6" ht="14" customHeight="1">
      <c r="A247" s="8">
        <v>14</v>
      </c>
      <c r="B247" s="7" t="str">
        <f>المدخلات!$F$4</f>
        <v>4:00–5:10 م</v>
      </c>
      <c r="C247" s="7">
        <v>4</v>
      </c>
      <c r="D247" s="7" t="s">
        <v>594</v>
      </c>
      <c r="E247" s="7" t="s">
        <v>242</v>
      </c>
      <c r="F247" s="2"/>
    </row>
    <row r="248" spans="1:6" ht="14" customHeight="1">
      <c r="A248" s="8">
        <v>14</v>
      </c>
      <c r="B248" s="7" t="str">
        <f>المدخلات!$F$4</f>
        <v>4:00–5:10 م</v>
      </c>
      <c r="C248" s="7">
        <v>5</v>
      </c>
      <c r="D248" s="7" t="s">
        <v>594</v>
      </c>
      <c r="E248" s="7" t="s">
        <v>301</v>
      </c>
      <c r="F248" s="2"/>
    </row>
    <row r="249" spans="1:6" ht="14" customHeight="1">
      <c r="A249" s="8">
        <v>14</v>
      </c>
      <c r="B249" s="7" t="str">
        <f>المدخلات!$F$4</f>
        <v>4:00–5:10 م</v>
      </c>
      <c r="C249" s="7">
        <v>6</v>
      </c>
      <c r="D249" s="7" t="s">
        <v>594</v>
      </c>
      <c r="E249" s="7" t="s">
        <v>612</v>
      </c>
      <c r="F249" s="2"/>
    </row>
    <row r="250" spans="1:6" ht="14" customHeight="1">
      <c r="A250" s="8">
        <v>14</v>
      </c>
      <c r="B250" s="7" t="str">
        <f>المدخلات!$F$5</f>
        <v>5:20–6:30 م</v>
      </c>
      <c r="C250" s="7">
        <v>4</v>
      </c>
      <c r="D250" s="7" t="s">
        <v>594</v>
      </c>
      <c r="E250" s="7" t="s">
        <v>327</v>
      </c>
      <c r="F250" s="2"/>
    </row>
    <row r="251" spans="1:6" ht="14" customHeight="1">
      <c r="A251" s="8">
        <v>14</v>
      </c>
      <c r="B251" s="7" t="str">
        <f>المدخلات!$F$5</f>
        <v>5:20–6:30 م</v>
      </c>
      <c r="C251" s="7">
        <v>5</v>
      </c>
      <c r="D251" s="7" t="s">
        <v>594</v>
      </c>
      <c r="E251" s="7" t="s">
        <v>1189</v>
      </c>
      <c r="F251" s="2"/>
    </row>
    <row r="252" spans="1:6" ht="14" customHeight="1">
      <c r="A252" s="8">
        <v>14</v>
      </c>
      <c r="B252" s="7" t="str">
        <f>المدخلات!$F$5</f>
        <v>5:20–6:30 م</v>
      </c>
      <c r="C252" s="7">
        <v>6</v>
      </c>
      <c r="D252" s="7" t="s">
        <v>594</v>
      </c>
      <c r="E252" s="7" t="s">
        <v>250</v>
      </c>
      <c r="F252" s="2"/>
    </row>
    <row r="253" spans="1:6" ht="14" customHeight="1">
      <c r="A253" s="8">
        <v>14</v>
      </c>
      <c r="B253" s="7" t="str">
        <f>المدخلات!$F$6</f>
        <v>6:40–7:50 م</v>
      </c>
      <c r="C253" s="7">
        <v>4</v>
      </c>
      <c r="D253" s="7" t="s">
        <v>594</v>
      </c>
      <c r="E253" s="7" t="s">
        <v>238</v>
      </c>
      <c r="F253" s="2"/>
    </row>
    <row r="254" spans="1:6" ht="14" customHeight="1">
      <c r="A254" s="8">
        <v>14</v>
      </c>
      <c r="B254" s="7" t="str">
        <f>المدخلات!$F$6</f>
        <v>6:40–7:50 م</v>
      </c>
      <c r="C254" s="7">
        <v>5</v>
      </c>
      <c r="D254" s="7" t="s">
        <v>594</v>
      </c>
      <c r="E254" s="7" t="s">
        <v>335</v>
      </c>
      <c r="F254" s="2"/>
    </row>
    <row r="255" spans="1:6" ht="14" customHeight="1">
      <c r="A255" s="8">
        <v>14</v>
      </c>
      <c r="B255" s="7" t="str">
        <f>المدخلات!$F$6</f>
        <v>6:40–7:50 م</v>
      </c>
      <c r="C255" s="7">
        <v>6</v>
      </c>
      <c r="D255" s="7" t="s">
        <v>594</v>
      </c>
      <c r="E255" s="7" t="s">
        <v>367</v>
      </c>
      <c r="F255" s="2"/>
    </row>
    <row r="256" spans="1:6" ht="14" customHeight="1">
      <c r="A256" s="8">
        <v>15</v>
      </c>
      <c r="B256" s="7" t="str">
        <f>المدخلات!$F$4</f>
        <v>4:00–5:10 م</v>
      </c>
      <c r="C256" s="7">
        <v>1</v>
      </c>
      <c r="D256" s="7" t="s">
        <v>593</v>
      </c>
      <c r="E256" s="7" t="s">
        <v>129</v>
      </c>
      <c r="F256" s="2"/>
    </row>
    <row r="257" spans="1:6" ht="14" customHeight="1">
      <c r="A257" s="8">
        <v>15</v>
      </c>
      <c r="B257" s="7" t="str">
        <f>المدخلات!$F$4</f>
        <v>4:00–5:10 م</v>
      </c>
      <c r="C257" s="7">
        <v>2</v>
      </c>
      <c r="D257" s="7" t="s">
        <v>593</v>
      </c>
      <c r="E257" s="7" t="s">
        <v>152</v>
      </c>
      <c r="F257" s="2"/>
    </row>
    <row r="258" spans="1:6" ht="14" customHeight="1">
      <c r="A258" s="8">
        <v>15</v>
      </c>
      <c r="B258" s="7" t="str">
        <f>المدخلات!$F$4</f>
        <v>4:00–5:10 م</v>
      </c>
      <c r="C258" s="7">
        <v>3</v>
      </c>
      <c r="D258" s="7" t="s">
        <v>593</v>
      </c>
      <c r="E258" s="7" t="s">
        <v>180</v>
      </c>
      <c r="F258" s="2"/>
    </row>
    <row r="259" spans="1:6" ht="14" customHeight="1">
      <c r="A259" s="8">
        <v>15</v>
      </c>
      <c r="B259" s="7" t="str">
        <f>المدخلات!$F$5</f>
        <v>5:20–6:30 م</v>
      </c>
      <c r="C259" s="7">
        <v>1</v>
      </c>
      <c r="D259" s="7" t="s">
        <v>593</v>
      </c>
      <c r="E259" s="7" t="s">
        <v>44</v>
      </c>
      <c r="F259" s="2"/>
    </row>
    <row r="260" spans="1:6" ht="14" customHeight="1">
      <c r="A260" s="8">
        <v>15</v>
      </c>
      <c r="B260" s="7" t="str">
        <f>المدخلات!$F$5</f>
        <v>5:20–6:30 م</v>
      </c>
      <c r="C260" s="7">
        <v>2</v>
      </c>
      <c r="D260" s="7" t="s">
        <v>593</v>
      </c>
      <c r="E260" s="7" t="s">
        <v>158</v>
      </c>
      <c r="F260" s="2"/>
    </row>
    <row r="261" spans="1:6" ht="14" customHeight="1">
      <c r="A261" s="8">
        <v>15</v>
      </c>
      <c r="B261" s="7" t="str">
        <f>المدخلات!$F$5</f>
        <v>5:20–6:30 م</v>
      </c>
      <c r="C261" s="7">
        <v>3</v>
      </c>
      <c r="D261" s="7" t="s">
        <v>593</v>
      </c>
      <c r="E261" s="7" t="s">
        <v>804</v>
      </c>
      <c r="F261" s="2"/>
    </row>
    <row r="262" spans="1:6" ht="14" customHeight="1">
      <c r="A262" s="8">
        <v>15</v>
      </c>
      <c r="B262" s="7" t="str">
        <f>المدخلات!$F$6</f>
        <v>6:40–7:50 م</v>
      </c>
      <c r="C262" s="7">
        <v>1</v>
      </c>
      <c r="D262" s="7" t="s">
        <v>593</v>
      </c>
      <c r="E262" s="7" t="s">
        <v>24</v>
      </c>
      <c r="F262" s="2"/>
    </row>
    <row r="263" spans="1:6" ht="14" customHeight="1">
      <c r="A263" s="8">
        <v>15</v>
      </c>
      <c r="B263" s="7" t="str">
        <f>المدخلات!$F$6</f>
        <v>6:40–7:50 م</v>
      </c>
      <c r="C263" s="7">
        <v>2</v>
      </c>
      <c r="D263" s="7" t="s">
        <v>593</v>
      </c>
      <c r="E263" s="7" t="s">
        <v>15</v>
      </c>
      <c r="F263" s="2"/>
    </row>
    <row r="264" spans="1:6" ht="14" customHeight="1">
      <c r="A264" s="8">
        <v>15</v>
      </c>
      <c r="B264" s="7" t="str">
        <f>المدخلات!$F$6</f>
        <v>6:40–7:50 م</v>
      </c>
      <c r="C264" s="7">
        <v>3</v>
      </c>
      <c r="D264" s="7" t="s">
        <v>593</v>
      </c>
      <c r="E264" s="7" t="s">
        <v>32</v>
      </c>
      <c r="F264" s="2"/>
    </row>
    <row r="265" spans="1:6" ht="14" customHeight="1">
      <c r="A265" s="8">
        <v>15</v>
      </c>
      <c r="B265" s="7" t="str">
        <f>المدخلات!$F$4</f>
        <v>4:00–5:10 م</v>
      </c>
      <c r="C265" s="7">
        <v>4</v>
      </c>
      <c r="D265" s="7" t="s">
        <v>594</v>
      </c>
      <c r="E265" s="7" t="s">
        <v>368</v>
      </c>
      <c r="F265" s="2"/>
    </row>
    <row r="266" spans="1:6" ht="14" customHeight="1">
      <c r="A266" s="8">
        <v>15</v>
      </c>
      <c r="B266" s="7" t="str">
        <f>المدخلات!$F$4</f>
        <v>4:00–5:10 م</v>
      </c>
      <c r="C266" s="7">
        <v>5</v>
      </c>
      <c r="D266" s="7" t="s">
        <v>594</v>
      </c>
      <c r="E266" s="7" t="s">
        <v>329</v>
      </c>
      <c r="F266" s="2"/>
    </row>
    <row r="267" spans="1:6" ht="14" customHeight="1">
      <c r="A267" s="8">
        <v>15</v>
      </c>
      <c r="B267" s="7" t="str">
        <f>المدخلات!$F$4</f>
        <v>4:00–5:10 م</v>
      </c>
      <c r="C267" s="7">
        <v>6</v>
      </c>
      <c r="D267" s="7" t="s">
        <v>594</v>
      </c>
      <c r="E267" s="7" t="s">
        <v>302</v>
      </c>
      <c r="F267" s="2"/>
    </row>
    <row r="268" spans="1:6" ht="14" customHeight="1">
      <c r="A268" s="8">
        <v>15</v>
      </c>
      <c r="B268" s="7" t="str">
        <f>المدخلات!$F$5</f>
        <v>5:20–6:30 م</v>
      </c>
      <c r="C268" s="7">
        <v>4</v>
      </c>
      <c r="D268" s="7" t="s">
        <v>594</v>
      </c>
      <c r="E268" s="7" t="s">
        <v>227</v>
      </c>
      <c r="F268" s="2"/>
    </row>
    <row r="269" spans="1:6" ht="14" customHeight="1">
      <c r="A269" s="8">
        <v>15</v>
      </c>
      <c r="B269" s="7" t="str">
        <f>المدخلات!$F$5</f>
        <v>5:20–6:30 م</v>
      </c>
      <c r="C269" s="7">
        <v>5</v>
      </c>
      <c r="D269" s="7" t="s">
        <v>594</v>
      </c>
      <c r="E269" s="7" t="s">
        <v>369</v>
      </c>
      <c r="F269" s="2"/>
    </row>
    <row r="270" spans="1:6" ht="14" customHeight="1">
      <c r="A270" s="8">
        <v>15</v>
      </c>
      <c r="B270" s="7" t="str">
        <f>المدخلات!$F$5</f>
        <v>5:20–6:30 م</v>
      </c>
      <c r="C270" s="7">
        <v>6</v>
      </c>
      <c r="D270" s="7" t="s">
        <v>594</v>
      </c>
      <c r="E270" s="7" t="s">
        <v>291</v>
      </c>
      <c r="F270" s="2"/>
    </row>
    <row r="271" spans="1:6" ht="14" customHeight="1">
      <c r="A271" s="8">
        <v>15</v>
      </c>
      <c r="B271" s="7" t="str">
        <f>المدخلات!$F$6</f>
        <v>6:40–7:50 م</v>
      </c>
      <c r="C271" s="7">
        <v>4</v>
      </c>
      <c r="D271" s="7" t="s">
        <v>594</v>
      </c>
      <c r="E271" s="7" t="s">
        <v>232</v>
      </c>
      <c r="F271" s="2"/>
    </row>
    <row r="272" spans="1:6" ht="14" customHeight="1">
      <c r="A272" s="8">
        <v>15</v>
      </c>
      <c r="B272" s="7" t="str">
        <f>المدخلات!$F$6</f>
        <v>6:40–7:50 م</v>
      </c>
      <c r="C272" s="7">
        <v>5</v>
      </c>
      <c r="D272" s="7" t="s">
        <v>594</v>
      </c>
      <c r="E272" s="7" t="s">
        <v>237</v>
      </c>
      <c r="F272" s="2"/>
    </row>
    <row r="273" spans="1:6" ht="14" customHeight="1">
      <c r="A273" s="8">
        <v>15</v>
      </c>
      <c r="B273" s="7" t="str">
        <f>المدخلات!$F$6</f>
        <v>6:40–7:50 م</v>
      </c>
      <c r="C273" s="7">
        <v>6</v>
      </c>
      <c r="D273" s="7" t="s">
        <v>594</v>
      </c>
      <c r="E273" s="7" t="s">
        <v>1190</v>
      </c>
      <c r="F273" s="2"/>
    </row>
    <row r="274" spans="1:6" ht="14" customHeight="1">
      <c r="A274" s="8">
        <v>16</v>
      </c>
      <c r="B274" s="7" t="str">
        <f>المدخلات!$F$4</f>
        <v>4:00–5:10 م</v>
      </c>
      <c r="C274" s="7">
        <v>1</v>
      </c>
      <c r="D274" s="7" t="s">
        <v>593</v>
      </c>
      <c r="E274" s="7" t="s">
        <v>27</v>
      </c>
      <c r="F274" s="2"/>
    </row>
    <row r="275" spans="1:6" ht="14" customHeight="1">
      <c r="A275" s="8">
        <v>16</v>
      </c>
      <c r="B275" s="7" t="str">
        <f>المدخلات!$F$4</f>
        <v>4:00–5:10 م</v>
      </c>
      <c r="C275" s="7">
        <v>2</v>
      </c>
      <c r="D275" s="7" t="s">
        <v>593</v>
      </c>
      <c r="E275" s="7" t="s">
        <v>31</v>
      </c>
      <c r="F275" s="2"/>
    </row>
    <row r="276" spans="1:6" ht="14" customHeight="1">
      <c r="A276" s="8">
        <v>16</v>
      </c>
      <c r="B276" s="7" t="str">
        <f>المدخلات!$F$4</f>
        <v>4:00–5:10 م</v>
      </c>
      <c r="C276" s="7">
        <v>3</v>
      </c>
      <c r="D276" s="7" t="s">
        <v>593</v>
      </c>
      <c r="E276" s="7" t="s">
        <v>1035</v>
      </c>
      <c r="F276" s="2"/>
    </row>
    <row r="277" spans="1:6" ht="14" customHeight="1">
      <c r="A277" s="8">
        <v>16</v>
      </c>
      <c r="B277" s="7" t="str">
        <f>المدخلات!$F$5</f>
        <v>5:20–6:30 م</v>
      </c>
      <c r="C277" s="7">
        <v>1</v>
      </c>
      <c r="D277" s="7" t="s">
        <v>593</v>
      </c>
      <c r="E277" s="7" t="s">
        <v>9</v>
      </c>
      <c r="F277" s="2"/>
    </row>
    <row r="278" spans="1:6" ht="14" customHeight="1">
      <c r="A278" s="8">
        <v>16</v>
      </c>
      <c r="B278" s="7" t="str">
        <f>المدخلات!$F$5</f>
        <v>5:20–6:30 م</v>
      </c>
      <c r="C278" s="7">
        <v>2</v>
      </c>
      <c r="D278" s="7" t="s">
        <v>593</v>
      </c>
      <c r="E278" s="7" t="s">
        <v>1075</v>
      </c>
      <c r="F278" s="2"/>
    </row>
    <row r="279" spans="1:6" ht="14" customHeight="1">
      <c r="A279" s="8">
        <v>16</v>
      </c>
      <c r="B279" s="7" t="str">
        <f>المدخلات!$F$5</f>
        <v>5:20–6:30 م</v>
      </c>
      <c r="C279" s="7">
        <v>3</v>
      </c>
      <c r="D279" s="7" t="s">
        <v>593</v>
      </c>
      <c r="E279" s="7" t="s">
        <v>130</v>
      </c>
      <c r="F279" s="2"/>
    </row>
    <row r="280" spans="1:6" ht="14" customHeight="1">
      <c r="A280" s="8">
        <v>16</v>
      </c>
      <c r="B280" s="7" t="str">
        <f>المدخلات!$F$6</f>
        <v>6:40–7:50 م</v>
      </c>
      <c r="C280" s="7">
        <v>1</v>
      </c>
      <c r="D280" s="7" t="s">
        <v>593</v>
      </c>
      <c r="E280" s="7" t="s">
        <v>181</v>
      </c>
      <c r="F280" s="2"/>
    </row>
    <row r="281" spans="1:6" ht="14" customHeight="1">
      <c r="A281" s="8">
        <v>16</v>
      </c>
      <c r="B281" s="7" t="str">
        <f>المدخلات!$F$6</f>
        <v>6:40–7:50 م</v>
      </c>
      <c r="C281" s="7">
        <v>2</v>
      </c>
      <c r="D281" s="7" t="s">
        <v>593</v>
      </c>
      <c r="E281" s="7" t="s">
        <v>153</v>
      </c>
      <c r="F281" s="2"/>
    </row>
    <row r="282" spans="1:6" ht="14" customHeight="1">
      <c r="A282" s="8">
        <v>16</v>
      </c>
      <c r="B282" s="7" t="str">
        <f>المدخلات!$F$6</f>
        <v>6:40–7:50 م</v>
      </c>
      <c r="C282" s="7">
        <v>3</v>
      </c>
      <c r="D282" s="7" t="s">
        <v>593</v>
      </c>
      <c r="E282" s="7" t="s">
        <v>182</v>
      </c>
      <c r="F282" s="2"/>
    </row>
    <row r="283" spans="1:6" ht="14" customHeight="1">
      <c r="A283" s="8">
        <v>16</v>
      </c>
      <c r="B283" s="7" t="str">
        <f>المدخلات!$F$4</f>
        <v>4:00–5:10 م</v>
      </c>
      <c r="C283" s="7">
        <v>4</v>
      </c>
      <c r="D283" s="7" t="s">
        <v>594</v>
      </c>
      <c r="E283" s="7" t="s">
        <v>219</v>
      </c>
      <c r="F283" s="2"/>
    </row>
    <row r="284" spans="1:6" ht="14" customHeight="1">
      <c r="A284" s="8">
        <v>16</v>
      </c>
      <c r="B284" s="7" t="str">
        <f>المدخلات!$F$4</f>
        <v>4:00–5:10 م</v>
      </c>
      <c r="C284" s="7">
        <v>5</v>
      </c>
      <c r="D284" s="7" t="s">
        <v>594</v>
      </c>
      <c r="E284" s="7" t="s">
        <v>1192</v>
      </c>
      <c r="F284" s="2"/>
    </row>
    <row r="285" spans="1:6" ht="14" customHeight="1">
      <c r="A285" s="8">
        <v>16</v>
      </c>
      <c r="B285" s="7" t="str">
        <f>المدخلات!$F$4</f>
        <v>4:00–5:10 م</v>
      </c>
      <c r="C285" s="7">
        <v>6</v>
      </c>
      <c r="D285" s="7" t="s">
        <v>594</v>
      </c>
      <c r="E285" s="7" t="s">
        <v>1191</v>
      </c>
      <c r="F285" s="2"/>
    </row>
    <row r="286" spans="1:6" ht="14" customHeight="1">
      <c r="A286" s="8">
        <v>16</v>
      </c>
      <c r="B286" s="7" t="str">
        <f>المدخلات!$F$5</f>
        <v>5:20–6:30 م</v>
      </c>
      <c r="C286" s="7">
        <v>4</v>
      </c>
      <c r="D286" s="7" t="s">
        <v>594</v>
      </c>
      <c r="E286" s="7" t="s">
        <v>1193</v>
      </c>
      <c r="F286" s="2"/>
    </row>
    <row r="287" spans="1:6" ht="14" customHeight="1">
      <c r="A287" s="8">
        <v>16</v>
      </c>
      <c r="B287" s="7" t="str">
        <f>المدخلات!$F$5</f>
        <v>5:20–6:30 م</v>
      </c>
      <c r="C287" s="7">
        <v>5</v>
      </c>
      <c r="D287" s="7" t="s">
        <v>594</v>
      </c>
      <c r="E287" s="7" t="s">
        <v>229</v>
      </c>
      <c r="F287" s="2"/>
    </row>
    <row r="288" spans="1:6" ht="14" customHeight="1">
      <c r="A288" s="8">
        <v>16</v>
      </c>
      <c r="B288" s="7" t="str">
        <f>المدخلات!$F$5</f>
        <v>5:20–6:30 م</v>
      </c>
      <c r="C288" s="7">
        <v>6</v>
      </c>
      <c r="D288" s="7" t="s">
        <v>594</v>
      </c>
      <c r="E288" s="7" t="s">
        <v>283</v>
      </c>
      <c r="F288" s="2"/>
    </row>
    <row r="289" spans="1:6" ht="14" customHeight="1">
      <c r="A289" s="8">
        <v>16</v>
      </c>
      <c r="B289" s="7" t="str">
        <f>المدخلات!$F$6</f>
        <v>6:40–7:50 م</v>
      </c>
      <c r="C289" s="7">
        <v>4</v>
      </c>
      <c r="D289" s="7" t="s">
        <v>594</v>
      </c>
      <c r="E289" s="7" t="s">
        <v>303</v>
      </c>
      <c r="F289" s="2"/>
    </row>
    <row r="290" spans="1:6" ht="14" customHeight="1">
      <c r="A290" s="8">
        <v>16</v>
      </c>
      <c r="B290" s="7" t="str">
        <f>المدخلات!$F$6</f>
        <v>6:40–7:50 م</v>
      </c>
      <c r="C290" s="7">
        <v>5</v>
      </c>
      <c r="D290" s="7" t="s">
        <v>594</v>
      </c>
      <c r="E290" s="7" t="s">
        <v>330</v>
      </c>
      <c r="F290" s="2"/>
    </row>
    <row r="291" spans="1:6" ht="14" customHeight="1">
      <c r="A291" s="8">
        <v>16</v>
      </c>
      <c r="B291" s="7" t="str">
        <f>المدخلات!$F$6</f>
        <v>6:40–7:50 م</v>
      </c>
      <c r="C291" s="7">
        <v>6</v>
      </c>
      <c r="D291" s="7" t="s">
        <v>594</v>
      </c>
      <c r="E291" s="7" t="s">
        <v>292</v>
      </c>
      <c r="F291" s="2"/>
    </row>
    <row r="292" spans="1:6" ht="14" customHeight="1">
      <c r="A292" s="8">
        <v>17</v>
      </c>
      <c r="B292" s="7" t="str">
        <f>المدخلات!$F$4</f>
        <v>4:00–5:10 م</v>
      </c>
      <c r="C292" s="7">
        <v>1</v>
      </c>
      <c r="D292" s="7" t="s">
        <v>593</v>
      </c>
      <c r="E292" s="7" t="s">
        <v>98</v>
      </c>
      <c r="F292" s="2"/>
    </row>
    <row r="293" spans="1:6" ht="14" customHeight="1">
      <c r="A293" s="8">
        <v>17</v>
      </c>
      <c r="B293" s="7" t="str">
        <f>المدخلات!$F$4</f>
        <v>4:00–5:10 م</v>
      </c>
      <c r="C293" s="7">
        <v>2</v>
      </c>
      <c r="D293" s="7" t="s">
        <v>593</v>
      </c>
      <c r="E293" s="7" t="s">
        <v>131</v>
      </c>
      <c r="F293" s="2"/>
    </row>
    <row r="294" spans="1:6" ht="14" customHeight="1">
      <c r="A294" s="8">
        <v>17</v>
      </c>
      <c r="B294" s="7" t="str">
        <f>المدخلات!$F$4</f>
        <v>4:00–5:10 م</v>
      </c>
      <c r="C294" s="7">
        <v>3</v>
      </c>
      <c r="D294" s="7" t="s">
        <v>593</v>
      </c>
      <c r="E294" s="7" t="s">
        <v>1103</v>
      </c>
      <c r="F294" s="2"/>
    </row>
    <row r="295" spans="1:6" ht="14" customHeight="1">
      <c r="A295" s="8">
        <v>17</v>
      </c>
      <c r="B295" s="7" t="str">
        <f>المدخلات!$F$5</f>
        <v>5:20–6:30 م</v>
      </c>
      <c r="C295" s="7">
        <v>1</v>
      </c>
      <c r="D295" s="7" t="s">
        <v>593</v>
      </c>
      <c r="E295" s="7" t="s">
        <v>100</v>
      </c>
      <c r="F295" s="2"/>
    </row>
    <row r="296" spans="1:6" ht="14" customHeight="1">
      <c r="A296" s="8">
        <v>17</v>
      </c>
      <c r="B296" s="7" t="str">
        <f>المدخلات!$F$5</f>
        <v>5:20–6:30 م</v>
      </c>
      <c r="C296" s="7">
        <v>2</v>
      </c>
      <c r="D296" s="7" t="s">
        <v>593</v>
      </c>
      <c r="E296" s="7" t="s">
        <v>154</v>
      </c>
      <c r="F296" s="2"/>
    </row>
    <row r="297" spans="1:6" ht="14" customHeight="1">
      <c r="A297" s="8">
        <v>17</v>
      </c>
      <c r="B297" s="7" t="str">
        <f>المدخلات!$F$5</f>
        <v>5:20–6:30 م</v>
      </c>
      <c r="C297" s="7">
        <v>3</v>
      </c>
      <c r="D297" s="7" t="s">
        <v>593</v>
      </c>
      <c r="E297" s="7" t="s">
        <v>1102</v>
      </c>
      <c r="F297" s="2"/>
    </row>
    <row r="298" spans="1:6" ht="14" customHeight="1">
      <c r="A298" s="8">
        <v>17</v>
      </c>
      <c r="B298" s="7" t="str">
        <f>المدخلات!$F$6</f>
        <v>6:40–7:50 م</v>
      </c>
      <c r="C298" s="7">
        <v>1</v>
      </c>
      <c r="D298" s="7" t="s">
        <v>593</v>
      </c>
      <c r="E298" s="7" t="s">
        <v>21</v>
      </c>
      <c r="F298" s="2"/>
    </row>
    <row r="299" spans="1:6" ht="14" customHeight="1">
      <c r="A299" s="8">
        <v>17</v>
      </c>
      <c r="B299" s="7" t="str">
        <f>المدخلات!$F$6</f>
        <v>6:40–7:50 م</v>
      </c>
      <c r="C299" s="7">
        <v>2</v>
      </c>
      <c r="D299" s="7" t="s">
        <v>593</v>
      </c>
      <c r="E299" s="7" t="s">
        <v>13</v>
      </c>
      <c r="F299" s="2"/>
    </row>
    <row r="300" spans="1:6" ht="14" customHeight="1">
      <c r="A300" s="8">
        <v>17</v>
      </c>
      <c r="B300" s="7" t="str">
        <f>المدخلات!$F$6</f>
        <v>6:40–7:50 م</v>
      </c>
      <c r="C300" s="7">
        <v>3</v>
      </c>
      <c r="D300" s="7" t="s">
        <v>593</v>
      </c>
      <c r="E300" s="7" t="s">
        <v>18</v>
      </c>
      <c r="F300" s="2"/>
    </row>
    <row r="301" spans="1:6" ht="14" customHeight="1">
      <c r="A301" s="8">
        <v>17</v>
      </c>
      <c r="B301" s="7" t="str">
        <f>المدخلات!$F$4</f>
        <v>4:00–5:10 م</v>
      </c>
      <c r="C301" s="7">
        <v>4</v>
      </c>
      <c r="D301" s="7" t="s">
        <v>594</v>
      </c>
      <c r="E301" s="7" t="s">
        <v>284</v>
      </c>
      <c r="F301" s="2"/>
    </row>
    <row r="302" spans="1:6" ht="14" customHeight="1">
      <c r="A302" s="8">
        <v>17</v>
      </c>
      <c r="B302" s="7" t="str">
        <f>المدخلات!$F$4</f>
        <v>4:00–5:10 م</v>
      </c>
      <c r="C302" s="7">
        <v>5</v>
      </c>
      <c r="D302" s="7" t="s">
        <v>594</v>
      </c>
      <c r="E302" s="7" t="s">
        <v>1194</v>
      </c>
      <c r="F302" s="2"/>
    </row>
    <row r="303" spans="1:6" ht="14" customHeight="1">
      <c r="A303" s="8">
        <v>17</v>
      </c>
      <c r="B303" s="7" t="str">
        <f>المدخلات!$F$4</f>
        <v>4:00–5:10 م</v>
      </c>
      <c r="C303" s="7">
        <v>6</v>
      </c>
      <c r="D303" s="7" t="s">
        <v>594</v>
      </c>
      <c r="E303" s="7" t="s">
        <v>273</v>
      </c>
      <c r="F303" s="2"/>
    </row>
    <row r="304" spans="1:6" ht="14" customHeight="1">
      <c r="A304" s="8">
        <v>17</v>
      </c>
      <c r="B304" s="7" t="str">
        <f>المدخلات!$F$5</f>
        <v>5:20–6:30 م</v>
      </c>
      <c r="C304" s="7">
        <v>4</v>
      </c>
      <c r="D304" s="7" t="s">
        <v>594</v>
      </c>
      <c r="E304" s="7" t="s">
        <v>304</v>
      </c>
      <c r="F304" s="2"/>
    </row>
    <row r="305" spans="1:6" ht="14" customHeight="1">
      <c r="A305" s="8">
        <v>17</v>
      </c>
      <c r="B305" s="7" t="str">
        <f>المدخلات!$F$5</f>
        <v>5:20–6:30 م</v>
      </c>
      <c r="C305" s="7">
        <v>5</v>
      </c>
      <c r="D305" s="7" t="s">
        <v>594</v>
      </c>
      <c r="E305" s="7" t="s">
        <v>331</v>
      </c>
      <c r="F305" s="2"/>
    </row>
    <row r="306" spans="1:6" ht="14" customHeight="1">
      <c r="A306" s="8">
        <v>17</v>
      </c>
      <c r="B306" s="7" t="str">
        <f>المدخلات!$F$5</f>
        <v>5:20–6:30 م</v>
      </c>
      <c r="C306" s="7">
        <v>6</v>
      </c>
      <c r="D306" s="7" t="s">
        <v>594</v>
      </c>
      <c r="E306" s="7" t="s">
        <v>293</v>
      </c>
      <c r="F306" s="2"/>
    </row>
    <row r="307" spans="1:6" ht="14" customHeight="1">
      <c r="A307" s="8">
        <v>17</v>
      </c>
      <c r="B307" s="7" t="str">
        <f>المدخلات!$F$6</f>
        <v>6:40–7:50 م</v>
      </c>
      <c r="C307" s="7">
        <v>4</v>
      </c>
      <c r="D307" s="7" t="s">
        <v>594</v>
      </c>
      <c r="E307" s="7" t="s">
        <v>1196</v>
      </c>
      <c r="F307" s="2"/>
    </row>
    <row r="308" spans="1:6" ht="14" customHeight="1">
      <c r="A308" s="8">
        <v>17</v>
      </c>
      <c r="B308" s="7" t="str">
        <f>المدخلات!$F$6</f>
        <v>6:40–7:50 م</v>
      </c>
      <c r="C308" s="7">
        <v>5</v>
      </c>
      <c r="D308" s="7" t="s">
        <v>594</v>
      </c>
      <c r="E308" s="7" t="s">
        <v>1197</v>
      </c>
      <c r="F308" s="2"/>
    </row>
    <row r="309" spans="1:6" ht="14" customHeight="1">
      <c r="A309" s="8">
        <v>17</v>
      </c>
      <c r="B309" s="7" t="str">
        <f>المدخلات!$F$6</f>
        <v>6:40–7:50 م</v>
      </c>
      <c r="C309" s="7">
        <v>6</v>
      </c>
      <c r="D309" s="7" t="s">
        <v>594</v>
      </c>
      <c r="E309" s="7" t="s">
        <v>1195</v>
      </c>
      <c r="F309" s="2"/>
    </row>
    <row r="310" spans="1:6" ht="14" customHeight="1">
      <c r="A310" s="8">
        <v>18</v>
      </c>
      <c r="B310" s="7" t="str">
        <f>المدخلات!$F$4</f>
        <v>4:00–5:10 م</v>
      </c>
      <c r="C310" s="7">
        <v>1</v>
      </c>
      <c r="D310" s="7" t="s">
        <v>593</v>
      </c>
      <c r="E310" s="7" t="s">
        <v>133</v>
      </c>
      <c r="F310" s="2"/>
    </row>
    <row r="311" spans="1:6" ht="14" customHeight="1">
      <c r="A311" s="8">
        <v>18</v>
      </c>
      <c r="B311" s="7" t="str">
        <f>المدخلات!$F$4</f>
        <v>4:00–5:10 م</v>
      </c>
      <c r="C311" s="7">
        <v>2</v>
      </c>
      <c r="D311" s="7" t="s">
        <v>593</v>
      </c>
      <c r="E311" s="7" t="s">
        <v>1040</v>
      </c>
      <c r="F311" s="2"/>
    </row>
    <row r="312" spans="1:6" ht="14" customHeight="1">
      <c r="A312" s="8">
        <v>18</v>
      </c>
      <c r="B312" s="7" t="str">
        <f>المدخلات!$F$4</f>
        <v>4:00–5:10 م</v>
      </c>
      <c r="C312" s="7">
        <v>3</v>
      </c>
      <c r="D312" s="7" t="s">
        <v>593</v>
      </c>
      <c r="E312" s="7" t="s">
        <v>92</v>
      </c>
      <c r="F312" s="2"/>
    </row>
    <row r="313" spans="1:6" ht="14" customHeight="1">
      <c r="A313" s="8">
        <v>18</v>
      </c>
      <c r="B313" s="7" t="str">
        <f>المدخلات!$F$5</f>
        <v>5:20–6:30 م</v>
      </c>
      <c r="C313" s="7">
        <v>1</v>
      </c>
      <c r="D313" s="7" t="s">
        <v>593</v>
      </c>
      <c r="E313" s="7" t="s">
        <v>99</v>
      </c>
      <c r="F313" s="2"/>
    </row>
    <row r="314" spans="1:6" ht="14" customHeight="1">
      <c r="A314" s="8">
        <v>18</v>
      </c>
      <c r="B314" s="7" t="str">
        <f>المدخلات!$F$5</f>
        <v>5:20–6:30 م</v>
      </c>
      <c r="C314" s="7">
        <v>2</v>
      </c>
      <c r="D314" s="7" t="s">
        <v>593</v>
      </c>
      <c r="E314" s="7" t="s">
        <v>1104</v>
      </c>
      <c r="F314" s="2"/>
    </row>
    <row r="315" spans="1:6" ht="14" customHeight="1">
      <c r="A315" s="8">
        <v>18</v>
      </c>
      <c r="B315" s="7" t="str">
        <f>المدخلات!$F$5</f>
        <v>5:20–6:30 م</v>
      </c>
      <c r="C315" s="7">
        <v>3</v>
      </c>
      <c r="D315" s="7" t="s">
        <v>593</v>
      </c>
      <c r="E315" s="7" t="s">
        <v>14</v>
      </c>
      <c r="F315" s="2"/>
    </row>
    <row r="316" spans="1:6" ht="14" customHeight="1">
      <c r="A316" s="8">
        <v>18</v>
      </c>
      <c r="B316" s="7" t="str">
        <f>المدخلات!$F$6</f>
        <v>6:40–7:50 م</v>
      </c>
      <c r="C316" s="7">
        <v>1</v>
      </c>
      <c r="D316" s="7" t="s">
        <v>593</v>
      </c>
      <c r="E316" s="7" t="s">
        <v>155</v>
      </c>
      <c r="F316" s="2"/>
    </row>
    <row r="317" spans="1:6" ht="14" customHeight="1">
      <c r="A317" s="8">
        <v>18</v>
      </c>
      <c r="B317" s="7" t="str">
        <f>المدخلات!$F$6</f>
        <v>6:40–7:50 م</v>
      </c>
      <c r="C317" s="7">
        <v>2</v>
      </c>
      <c r="D317" s="7" t="s">
        <v>593</v>
      </c>
      <c r="E317" s="7" t="s">
        <v>185</v>
      </c>
      <c r="F317" s="2"/>
    </row>
    <row r="318" spans="1:6" ht="14" customHeight="1">
      <c r="A318" s="8">
        <v>18</v>
      </c>
      <c r="B318" s="7" t="str">
        <f>المدخلات!$F$6</f>
        <v>6:40–7:50 م</v>
      </c>
      <c r="C318" s="7">
        <v>3</v>
      </c>
      <c r="D318" s="7" t="s">
        <v>593</v>
      </c>
      <c r="E318" s="7" t="s">
        <v>132</v>
      </c>
      <c r="F318" s="2"/>
    </row>
    <row r="319" spans="1:6" ht="14" customHeight="1">
      <c r="A319" s="8">
        <v>18</v>
      </c>
      <c r="B319" s="7" t="str">
        <f>المدخلات!$F$4</f>
        <v>4:00–5:10 م</v>
      </c>
      <c r="C319" s="7">
        <v>4</v>
      </c>
      <c r="D319" s="7" t="s">
        <v>594</v>
      </c>
      <c r="E319" s="7" t="s">
        <v>1198</v>
      </c>
      <c r="F319" s="2"/>
    </row>
    <row r="320" spans="1:6" ht="14" customHeight="1">
      <c r="A320" s="8">
        <v>18</v>
      </c>
      <c r="B320" s="7" t="str">
        <f>المدخلات!$F$4</f>
        <v>4:00–5:10 م</v>
      </c>
      <c r="C320" s="7">
        <v>5</v>
      </c>
      <c r="D320" s="7" t="s">
        <v>594</v>
      </c>
      <c r="E320" s="7" t="s">
        <v>1202</v>
      </c>
      <c r="F320" s="2"/>
    </row>
    <row r="321" spans="1:6" ht="14" customHeight="1">
      <c r="A321" s="8">
        <v>18</v>
      </c>
      <c r="B321" s="7" t="str">
        <f>المدخلات!$F$4</f>
        <v>4:00–5:10 م</v>
      </c>
      <c r="C321" s="7">
        <v>6</v>
      </c>
      <c r="D321" s="7" t="s">
        <v>594</v>
      </c>
      <c r="E321" s="7" t="s">
        <v>1199</v>
      </c>
      <c r="F321" s="2"/>
    </row>
    <row r="322" spans="1:6" ht="14" customHeight="1">
      <c r="A322" s="8">
        <v>18</v>
      </c>
      <c r="B322" s="7" t="str">
        <f>المدخلات!$F$5</f>
        <v>5:20–6:30 م</v>
      </c>
      <c r="C322" s="7">
        <v>4</v>
      </c>
      <c r="D322" s="7" t="s">
        <v>594</v>
      </c>
      <c r="E322" s="7" t="s">
        <v>1200</v>
      </c>
      <c r="F322" s="2"/>
    </row>
    <row r="323" spans="1:6" ht="14" customHeight="1">
      <c r="A323" s="8">
        <v>18</v>
      </c>
      <c r="B323" s="7" t="str">
        <f>المدخلات!$F$5</f>
        <v>5:20–6:30 م</v>
      </c>
      <c r="C323" s="7">
        <v>5</v>
      </c>
      <c r="D323" s="7" t="s">
        <v>594</v>
      </c>
      <c r="E323" s="7" t="s">
        <v>267</v>
      </c>
      <c r="F323" s="2"/>
    </row>
    <row r="324" spans="1:6" ht="14" customHeight="1">
      <c r="A324" s="8">
        <v>18</v>
      </c>
      <c r="B324" s="7" t="str">
        <f>المدخلات!$F$5</f>
        <v>5:20–6:30 م</v>
      </c>
      <c r="C324" s="7">
        <v>6</v>
      </c>
      <c r="D324" s="7" t="s">
        <v>594</v>
      </c>
      <c r="E324" s="7" t="s">
        <v>1201</v>
      </c>
      <c r="F324" s="2"/>
    </row>
    <row r="325" spans="1:6" ht="14" customHeight="1">
      <c r="A325" s="8">
        <v>18</v>
      </c>
      <c r="B325" s="7" t="str">
        <f>المدخلات!$F$6</f>
        <v>6:40–7:50 م</v>
      </c>
      <c r="C325" s="7">
        <v>4</v>
      </c>
      <c r="D325" s="7" t="s">
        <v>594</v>
      </c>
      <c r="E325" s="7" t="s">
        <v>294</v>
      </c>
      <c r="F325" s="2"/>
    </row>
    <row r="326" spans="1:6" ht="14" customHeight="1">
      <c r="A326" s="8">
        <v>18</v>
      </c>
      <c r="B326" s="7" t="str">
        <f>المدخلات!$F$6</f>
        <v>6:40–7:50 م</v>
      </c>
      <c r="C326" s="7">
        <v>5</v>
      </c>
      <c r="D326" s="7" t="s">
        <v>594</v>
      </c>
      <c r="E326" s="7" t="s">
        <v>285</v>
      </c>
      <c r="F326" s="2"/>
    </row>
    <row r="327" spans="1:6" ht="14" customHeight="1">
      <c r="A327" s="8">
        <v>18</v>
      </c>
      <c r="B327" s="7" t="str">
        <f>المدخلات!$F$6</f>
        <v>6:40–7:50 م</v>
      </c>
      <c r="C327" s="7">
        <v>6</v>
      </c>
      <c r="D327" s="7" t="s">
        <v>594</v>
      </c>
      <c r="E327" s="7" t="s">
        <v>274</v>
      </c>
      <c r="F327" s="2"/>
    </row>
    <row r="328" spans="1:6" ht="14" customHeight="1">
      <c r="A328" s="8">
        <v>19</v>
      </c>
      <c r="B328" s="7" t="str">
        <f>المدخلات!$F$4</f>
        <v>4:00–5:10 م</v>
      </c>
      <c r="C328" s="7">
        <v>1</v>
      </c>
      <c r="D328" s="7" t="s">
        <v>593</v>
      </c>
      <c r="E328" s="7" t="s">
        <v>94</v>
      </c>
      <c r="F328" s="2"/>
    </row>
    <row r="329" spans="1:6" ht="14" customHeight="1">
      <c r="A329" s="8">
        <v>19</v>
      </c>
      <c r="B329" s="7" t="str">
        <f>المدخلات!$F$4</f>
        <v>4:00–5:10 م</v>
      </c>
      <c r="C329" s="7">
        <v>2</v>
      </c>
      <c r="D329" s="7" t="s">
        <v>593</v>
      </c>
      <c r="E329" s="7" t="s">
        <v>1084</v>
      </c>
      <c r="F329" s="2"/>
    </row>
    <row r="330" spans="1:6" ht="14" customHeight="1">
      <c r="A330" s="8">
        <v>19</v>
      </c>
      <c r="B330" s="7" t="str">
        <f>المدخلات!$F$4</f>
        <v>4:00–5:10 م</v>
      </c>
      <c r="C330" s="7">
        <v>3</v>
      </c>
      <c r="D330" s="7" t="s">
        <v>593</v>
      </c>
      <c r="E330" s="7" t="s">
        <v>135</v>
      </c>
      <c r="F330" s="2"/>
    </row>
    <row r="331" spans="1:6" ht="14" customHeight="1">
      <c r="A331" s="8">
        <v>19</v>
      </c>
      <c r="B331" s="7" t="str">
        <f>المدخلات!$F$5</f>
        <v>5:20–6:30 م</v>
      </c>
      <c r="C331" s="7">
        <v>1</v>
      </c>
      <c r="D331" s="7" t="s">
        <v>593</v>
      </c>
      <c r="E331" s="7" t="s">
        <v>72</v>
      </c>
      <c r="F331" s="2"/>
    </row>
    <row r="332" spans="1:6" ht="14" customHeight="1">
      <c r="A332" s="8">
        <v>19</v>
      </c>
      <c r="B332" s="7" t="str">
        <f>المدخلات!$F$5</f>
        <v>5:20–6:30 م</v>
      </c>
      <c r="C332" s="7">
        <v>2</v>
      </c>
      <c r="D332" s="7" t="s">
        <v>593</v>
      </c>
      <c r="E332" s="7" t="s">
        <v>1105</v>
      </c>
      <c r="F332" s="2"/>
    </row>
    <row r="333" spans="1:6" ht="14" customHeight="1">
      <c r="A333" s="8">
        <v>19</v>
      </c>
      <c r="B333" s="7" t="str">
        <f>المدخلات!$F$5</f>
        <v>5:20–6:30 م</v>
      </c>
      <c r="C333" s="7">
        <v>3</v>
      </c>
      <c r="D333" s="7" t="s">
        <v>593</v>
      </c>
      <c r="E333" s="7" t="s">
        <v>1107</v>
      </c>
      <c r="F333" s="2"/>
    </row>
    <row r="334" spans="1:6" ht="14" customHeight="1">
      <c r="A334" s="8">
        <v>19</v>
      </c>
      <c r="B334" s="7" t="str">
        <f>المدخلات!$F$6</f>
        <v>6:40–7:50 م</v>
      </c>
      <c r="C334" s="7">
        <v>1</v>
      </c>
      <c r="D334" s="7" t="s">
        <v>593</v>
      </c>
      <c r="E334" s="7" t="s">
        <v>11</v>
      </c>
      <c r="F334" s="2"/>
    </row>
    <row r="335" spans="1:6" ht="14" customHeight="1">
      <c r="A335" s="8">
        <v>19</v>
      </c>
      <c r="B335" s="7" t="str">
        <f>المدخلات!$F$6</f>
        <v>6:40–7:50 م</v>
      </c>
      <c r="C335" s="7">
        <v>2</v>
      </c>
      <c r="D335" s="7" t="s">
        <v>593</v>
      </c>
      <c r="E335" s="7" t="s">
        <v>1106</v>
      </c>
      <c r="F335" s="2"/>
    </row>
    <row r="336" spans="1:6" ht="14" customHeight="1">
      <c r="A336" s="8">
        <v>19</v>
      </c>
      <c r="B336" s="7" t="str">
        <f>المدخلات!$F$6</f>
        <v>6:40–7:50 م</v>
      </c>
      <c r="C336" s="7">
        <v>3</v>
      </c>
      <c r="D336" s="7" t="s">
        <v>593</v>
      </c>
      <c r="E336" s="7" t="s">
        <v>93</v>
      </c>
      <c r="F336" s="2"/>
    </row>
    <row r="337" spans="1:38" ht="14" customHeight="1">
      <c r="A337" s="8">
        <v>20</v>
      </c>
      <c r="B337" s="7" t="str">
        <f>المدخلات!$F$4</f>
        <v>4:00–5:10 م</v>
      </c>
      <c r="C337" s="7">
        <v>1</v>
      </c>
      <c r="D337" s="7" t="s">
        <v>656</v>
      </c>
      <c r="E337" s="7" t="s">
        <v>597</v>
      </c>
      <c r="F337" s="2"/>
    </row>
    <row r="338" spans="1:38">
      <c r="A338" s="2"/>
      <c r="B338" s="2"/>
      <c r="C338" s="2"/>
      <c r="D338" s="2"/>
      <c r="E338" s="2"/>
    </row>
    <row r="339" spans="1:38">
      <c r="A339" s="2"/>
      <c r="B339" s="2"/>
      <c r="C339" s="2"/>
      <c r="D339" s="2"/>
      <c r="E339" s="2"/>
    </row>
    <row r="340" spans="1:38" ht="14.5">
      <c r="A340" s="17" t="s">
        <v>828</v>
      </c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spans="1:38" ht="14.5">
      <c r="A341" s="6" t="s">
        <v>829</v>
      </c>
      <c r="B341" s="6">
        <v>1</v>
      </c>
      <c r="C341" s="6">
        <v>2</v>
      </c>
      <c r="D341" s="6">
        <v>3</v>
      </c>
      <c r="E341" s="6">
        <v>4</v>
      </c>
      <c r="F341" s="6">
        <v>5</v>
      </c>
      <c r="G341" s="6">
        <v>6</v>
      </c>
      <c r="H341" s="6">
        <v>7</v>
      </c>
      <c r="I341" s="6">
        <v>8</v>
      </c>
      <c r="J341" s="6">
        <v>9</v>
      </c>
      <c r="K341" s="6">
        <v>10</v>
      </c>
      <c r="L341" s="6">
        <v>11</v>
      </c>
      <c r="M341" s="6">
        <v>12</v>
      </c>
      <c r="N341" s="6">
        <v>13</v>
      </c>
      <c r="O341" s="6">
        <v>14</v>
      </c>
      <c r="P341" s="6">
        <v>15</v>
      </c>
      <c r="Q341" s="6">
        <v>16</v>
      </c>
      <c r="R341" s="6">
        <v>17</v>
      </c>
      <c r="S341" s="6">
        <v>18</v>
      </c>
      <c r="T341" s="6">
        <v>19</v>
      </c>
      <c r="U341" s="6">
        <v>20</v>
      </c>
      <c r="V341" s="6">
        <v>21</v>
      </c>
      <c r="W341" s="6">
        <v>22</v>
      </c>
      <c r="X341" s="6">
        <v>23</v>
      </c>
      <c r="Y341" s="6">
        <v>24</v>
      </c>
      <c r="Z341" s="6">
        <v>25</v>
      </c>
      <c r="AA341" s="6">
        <v>26</v>
      </c>
      <c r="AB341" s="6">
        <v>27</v>
      </c>
      <c r="AC341" s="6">
        <v>28</v>
      </c>
      <c r="AD341" s="6">
        <v>29</v>
      </c>
      <c r="AE341" s="6">
        <v>30</v>
      </c>
      <c r="AF341" s="6">
        <v>31</v>
      </c>
      <c r="AG341" s="6">
        <v>32</v>
      </c>
      <c r="AH341" s="6">
        <v>33</v>
      </c>
      <c r="AI341" s="6">
        <v>34</v>
      </c>
      <c r="AJ341" s="6">
        <v>35</v>
      </c>
      <c r="AK341" s="6">
        <v>36</v>
      </c>
      <c r="AL341" s="6">
        <v>37</v>
      </c>
    </row>
    <row r="342" spans="1:38" ht="14.5">
      <c r="A342" s="14">
        <v>1</v>
      </c>
      <c r="B342" s="4" t="str">
        <f>IF($A342=B$341,"",COUNTIF($E$4:$E$337,$A342&amp;" ضد "&amp;B$341)+COUNTIF($E$4:$E$337,B$341&amp;" ضد "&amp;$A342))</f>
        <v/>
      </c>
      <c r="C342" s="4">
        <f>IF($A342=C$341,"",COUNTIF($E$4:$E$337,$A342&amp;" ضد "&amp;C$341)+COUNTIF($E$4:$E$337,C$341&amp;" ضد "&amp;$A342))</f>
        <v>1</v>
      </c>
      <c r="D342" s="4">
        <f>IF($A342=D$341,"",COUNTIF($E$4:$E$337,$A342&amp;" ضد "&amp;D$341)+COUNTIF($E$4:$E$337,D$341&amp;" ضد "&amp;$A342))</f>
        <v>1</v>
      </c>
      <c r="E342" s="4">
        <f>IF($A342=E$341,"",COUNTIF($E$4:$E$337,$A342&amp;" ضد "&amp;E$341)+COUNTIF($E$4:$E$337,E$341&amp;" ضد "&amp;$A342))</f>
        <v>1</v>
      </c>
      <c r="F342" s="4">
        <f>IF($A342=F$341,"",COUNTIF($E$4:$E$337,$A342&amp;" ضد "&amp;F$341)+COUNTIF($E$4:$E$337,F$341&amp;" ضد "&amp;$A342))</f>
        <v>1</v>
      </c>
      <c r="G342" s="4">
        <f>IF($A342=G$341,"",COUNTIF($E$4:$E$337,$A342&amp;" ضد "&amp;G$341)+COUNTIF($E$4:$E$337,G$341&amp;" ضد "&amp;$A342))</f>
        <v>1</v>
      </c>
      <c r="H342" s="4">
        <f>IF($A342=H$341,"",COUNTIF($E$4:$E$337,$A342&amp;" ضد "&amp;H$341)+COUNTIF($E$4:$E$337,H$341&amp;" ضد "&amp;$A342))</f>
        <v>1</v>
      </c>
      <c r="I342" s="4">
        <f>IF($A342=I$341,"",COUNTIF($E$4:$E$337,$A342&amp;" ضد "&amp;I$341)+COUNTIF($E$4:$E$337,I$341&amp;" ضد "&amp;$A342))</f>
        <v>1</v>
      </c>
      <c r="J342" s="4">
        <f>IF($A342=J$341,"",COUNTIF($E$4:$E$337,$A342&amp;" ضد "&amp;J$341)+COUNTIF($E$4:$E$337,J$341&amp;" ضد "&amp;$A342))</f>
        <v>1</v>
      </c>
      <c r="K342" s="4">
        <f>IF($A342=K$341,"",COUNTIF($E$4:$E$337,$A342&amp;" ضد "&amp;K$341)+COUNTIF($E$4:$E$337,K$341&amp;" ضد "&amp;$A342))</f>
        <v>1</v>
      </c>
      <c r="L342" s="4">
        <f>IF($A342=L$341,"",COUNTIF($E$4:$E$337,$A342&amp;" ضد "&amp;L$341)+COUNTIF($E$4:$E$337,L$341&amp;" ضد "&amp;$A342))</f>
        <v>1</v>
      </c>
      <c r="M342" s="4">
        <f>IF($A342=M$341,"",COUNTIF($E$4:$E$337,$A342&amp;" ضد "&amp;M$341)+COUNTIF($E$4:$E$337,M$341&amp;" ضد "&amp;$A342))</f>
        <v>1</v>
      </c>
      <c r="N342" s="4">
        <f>IF($A342=N$341,"",COUNTIF($E$4:$E$337,$A342&amp;" ضد "&amp;N$341)+COUNTIF($E$4:$E$337,N$341&amp;" ضد "&amp;$A342))</f>
        <v>1</v>
      </c>
      <c r="O342" s="4">
        <f>IF($A342=O$341,"",COUNTIF($E$4:$E$337,$A342&amp;" ضد "&amp;O$341)+COUNTIF($E$4:$E$337,O$341&amp;" ضد "&amp;$A342))</f>
        <v>1</v>
      </c>
      <c r="P342" s="4">
        <f>IF($A342=P$341,"",COUNTIF($E$4:$E$337,$A342&amp;" ضد "&amp;P$341)+COUNTIF($E$4:$E$337,P$341&amp;" ضد "&amp;$A342))</f>
        <v>1</v>
      </c>
      <c r="Q342" s="4">
        <f>IF($A342=Q$341,"",COUNTIF($E$4:$E$337,$A342&amp;" ضد "&amp;Q$341)+COUNTIF($E$4:$E$337,Q$341&amp;" ضد "&amp;$A342))</f>
        <v>1</v>
      </c>
      <c r="R342" s="4">
        <f>IF($A342=R$341,"",COUNTIF($E$4:$E$337,$A342&amp;" ضد "&amp;R$341)+COUNTIF($E$4:$E$337,R$341&amp;" ضد "&amp;$A342))</f>
        <v>1</v>
      </c>
      <c r="S342" s="4">
        <f>IF($A342=S$341,"",COUNTIF($E$4:$E$337,$A342&amp;" ضد "&amp;S$341)+COUNTIF($E$4:$E$337,S$341&amp;" ضد "&amp;$A342))</f>
        <v>1</v>
      </c>
      <c r="T342" s="4">
        <f>IF($A342=T$341,"",COUNTIF($E$4:$E$337,$A342&amp;" ضد "&amp;T$341)+COUNTIF($E$4:$E$337,T$341&amp;" ضد "&amp;$A342))</f>
        <v>1</v>
      </c>
      <c r="U342" s="4">
        <f>IF($A342=U$341,"",COUNTIF($E$4:$E$337,$A342&amp;" ضد "&amp;U$341)+COUNTIF($E$4:$E$337,U$341&amp;" ضد "&amp;$A342))</f>
        <v>0</v>
      </c>
      <c r="V342" s="4">
        <f>IF($A342=V$341,"",COUNTIF($E$4:$E$337,$A342&amp;" ضد "&amp;V$341)+COUNTIF($E$4:$E$337,V$341&amp;" ضد "&amp;$A342))</f>
        <v>0</v>
      </c>
      <c r="W342" s="4">
        <f>IF($A342=W$341,"",COUNTIF($E$4:$E$337,$A342&amp;" ضد "&amp;W$341)+COUNTIF($E$4:$E$337,W$341&amp;" ضد "&amp;$A342))</f>
        <v>0</v>
      </c>
      <c r="X342" s="4">
        <f>IF($A342=X$341,"",COUNTIF($E$4:$E$337,$A342&amp;" ضد "&amp;X$341)+COUNTIF($E$4:$E$337,X$341&amp;" ضد "&amp;$A342))</f>
        <v>0</v>
      </c>
      <c r="Y342" s="4">
        <f>IF($A342=Y$341,"",COUNTIF($E$4:$E$337,$A342&amp;" ضد "&amp;Y$341)+COUNTIF($E$4:$E$337,Y$341&amp;" ضد "&amp;$A342))</f>
        <v>0</v>
      </c>
      <c r="Z342" s="4">
        <f>IF($A342=Z$341,"",COUNTIF($E$4:$E$337,$A342&amp;" ضد "&amp;Z$341)+COUNTIF($E$4:$E$337,Z$341&amp;" ضد "&amp;$A342))</f>
        <v>0</v>
      </c>
      <c r="AA342" s="4">
        <f>IF($A342=AA$341,"",COUNTIF($E$4:$E$337,$A342&amp;" ضد "&amp;AA$341)+COUNTIF($E$4:$E$337,AA$341&amp;" ضد "&amp;$A342))</f>
        <v>0</v>
      </c>
      <c r="AB342" s="4">
        <f>IF($A342=AB$341,"",COUNTIF($E$4:$E$337,$A342&amp;" ضد "&amp;AB$341)+COUNTIF($E$4:$E$337,AB$341&amp;" ضد "&amp;$A342))</f>
        <v>0</v>
      </c>
      <c r="AC342" s="4">
        <f>IF($A342=AC$341,"",COUNTIF($E$4:$E$337,$A342&amp;" ضد "&amp;AC$341)+COUNTIF($E$4:$E$337,AC$341&amp;" ضد "&amp;$A342))</f>
        <v>0</v>
      </c>
      <c r="AD342" s="4">
        <f>IF($A342=AD$341,"",COUNTIF($E$4:$E$337,$A342&amp;" ضد "&amp;AD$341)+COUNTIF($E$4:$E$337,AD$341&amp;" ضد "&amp;$A342))</f>
        <v>0</v>
      </c>
      <c r="AE342" s="4">
        <f>IF($A342=AE$341,"",COUNTIF($E$4:$E$337,$A342&amp;" ضد "&amp;AE$341)+COUNTIF($E$4:$E$337,AE$341&amp;" ضد "&amp;$A342))</f>
        <v>0</v>
      </c>
      <c r="AF342" s="4">
        <f>IF($A342=AF$341,"",COUNTIF($E$4:$E$337,$A342&amp;" ضد "&amp;AF$341)+COUNTIF($E$4:$E$337,AF$341&amp;" ضد "&amp;$A342))</f>
        <v>0</v>
      </c>
      <c r="AG342" s="4">
        <f>IF($A342=AG$341,"",COUNTIF($E$4:$E$337,$A342&amp;" ضد "&amp;AG$341)+COUNTIF($E$4:$E$337,AG$341&amp;" ضد "&amp;$A342))</f>
        <v>0</v>
      </c>
      <c r="AH342" s="4">
        <f>IF($A342=AH$341,"",COUNTIF($E$4:$E$337,$A342&amp;" ضد "&amp;AH$341)+COUNTIF($E$4:$E$337,AH$341&amp;" ضد "&amp;$A342))</f>
        <v>0</v>
      </c>
      <c r="AI342" s="4">
        <f>IF($A342=AI$341,"",COUNTIF($E$4:$E$337,$A342&amp;" ضد "&amp;AI$341)+COUNTIF($E$4:$E$337,AI$341&amp;" ضد "&amp;$A342))</f>
        <v>0</v>
      </c>
      <c r="AJ342" s="4">
        <f>IF($A342=AJ$341,"",COUNTIF($E$4:$E$337,$A342&amp;" ضد "&amp;AJ$341)+COUNTIF($E$4:$E$337,AJ$341&amp;" ضد "&amp;$A342))</f>
        <v>0</v>
      </c>
      <c r="AK342" s="4">
        <f>IF($A342=AK$341,"",COUNTIF($E$4:$E$337,$A342&amp;" ضد "&amp;AK$341)+COUNTIF($E$4:$E$337,AK$341&amp;" ضد "&amp;$A342))</f>
        <v>0</v>
      </c>
      <c r="AL342" s="4">
        <f>IF($A342=AL$341,"",COUNTIF($E$4:$E$337,$A342&amp;" ضد "&amp;AL$341)+COUNTIF($E$4:$E$337,AL$341&amp;" ضد "&amp;$A342))</f>
        <v>0</v>
      </c>
    </row>
    <row r="343" spans="1:38" ht="14.5">
      <c r="A343" s="14">
        <v>2</v>
      </c>
      <c r="B343" s="4">
        <f>IF($A343=B$341,"",COUNTIF($E$4:$E$337,$A343&amp;" ضد "&amp;B$341)+COUNTIF($E$4:$E$337,B$341&amp;" ضد "&amp;$A343))</f>
        <v>1</v>
      </c>
      <c r="C343" s="4" t="str">
        <f>IF($A343=C$341,"",COUNTIF($E$4:$E$337,$A343&amp;" ضد "&amp;C$341)+COUNTIF($E$4:$E$337,C$341&amp;" ضد "&amp;$A343))</f>
        <v/>
      </c>
      <c r="D343" s="4">
        <f>IF($A343=D$341,"",COUNTIF($E$4:$E$337,$A343&amp;" ضد "&amp;D$341)+COUNTIF($E$4:$E$337,D$341&amp;" ضد "&amp;$A343))</f>
        <v>1</v>
      </c>
      <c r="E343" s="4">
        <f>IF($A343=E$341,"",COUNTIF($E$4:$E$337,$A343&amp;" ضد "&amp;E$341)+COUNTIF($E$4:$E$337,E$341&amp;" ضد "&amp;$A343))</f>
        <v>1</v>
      </c>
      <c r="F343" s="4">
        <f>IF($A343=F$341,"",COUNTIF($E$4:$E$337,$A343&amp;" ضد "&amp;F$341)+COUNTIF($E$4:$E$337,F$341&amp;" ضد "&amp;$A343))</f>
        <v>1</v>
      </c>
      <c r="G343" s="4">
        <f>IF($A343=G$341,"",COUNTIF($E$4:$E$337,$A343&amp;" ضد "&amp;G$341)+COUNTIF($E$4:$E$337,G$341&amp;" ضد "&amp;$A343))</f>
        <v>1</v>
      </c>
      <c r="H343" s="4">
        <f>IF($A343=H$341,"",COUNTIF($E$4:$E$337,$A343&amp;" ضد "&amp;H$341)+COUNTIF($E$4:$E$337,H$341&amp;" ضد "&amp;$A343))</f>
        <v>1</v>
      </c>
      <c r="I343" s="4">
        <f>IF($A343=I$341,"",COUNTIF($E$4:$E$337,$A343&amp;" ضد "&amp;I$341)+COUNTIF($E$4:$E$337,I$341&amp;" ضد "&amp;$A343))</f>
        <v>1</v>
      </c>
      <c r="J343" s="4">
        <f>IF($A343=J$341,"",COUNTIF($E$4:$E$337,$A343&amp;" ضد "&amp;J$341)+COUNTIF($E$4:$E$337,J$341&amp;" ضد "&amp;$A343))</f>
        <v>1</v>
      </c>
      <c r="K343" s="4">
        <f>IF($A343=K$341,"",COUNTIF($E$4:$E$337,$A343&amp;" ضد "&amp;K$341)+COUNTIF($E$4:$E$337,K$341&amp;" ضد "&amp;$A343))</f>
        <v>1</v>
      </c>
      <c r="L343" s="4">
        <f>IF($A343=L$341,"",COUNTIF($E$4:$E$337,$A343&amp;" ضد "&amp;L$341)+COUNTIF($E$4:$E$337,L$341&amp;" ضد "&amp;$A343))</f>
        <v>1</v>
      </c>
      <c r="M343" s="4">
        <f>IF($A343=M$341,"",COUNTIF($E$4:$E$337,$A343&amp;" ضد "&amp;M$341)+COUNTIF($E$4:$E$337,M$341&amp;" ضد "&amp;$A343))</f>
        <v>1</v>
      </c>
      <c r="N343" s="4">
        <f>IF($A343=N$341,"",COUNTIF($E$4:$E$337,$A343&amp;" ضد "&amp;N$341)+COUNTIF($E$4:$E$337,N$341&amp;" ضد "&amp;$A343))</f>
        <v>1</v>
      </c>
      <c r="O343" s="4">
        <f>IF($A343=O$341,"",COUNTIF($E$4:$E$337,$A343&amp;" ضد "&amp;O$341)+COUNTIF($E$4:$E$337,O$341&amp;" ضد "&amp;$A343))</f>
        <v>1</v>
      </c>
      <c r="P343" s="4">
        <f>IF($A343=P$341,"",COUNTIF($E$4:$E$337,$A343&amp;" ضد "&amp;P$341)+COUNTIF($E$4:$E$337,P$341&amp;" ضد "&amp;$A343))</f>
        <v>1</v>
      </c>
      <c r="Q343" s="4">
        <f>IF($A343=Q$341,"",COUNTIF($E$4:$E$337,$A343&amp;" ضد "&amp;Q$341)+COUNTIF($E$4:$E$337,Q$341&amp;" ضد "&amp;$A343))</f>
        <v>1</v>
      </c>
      <c r="R343" s="4">
        <f>IF($A343=R$341,"",COUNTIF($E$4:$E$337,$A343&amp;" ضد "&amp;R$341)+COUNTIF($E$4:$E$337,R$341&amp;" ضد "&amp;$A343))</f>
        <v>1</v>
      </c>
      <c r="S343" s="4">
        <f>IF($A343=S$341,"",COUNTIF($E$4:$E$337,$A343&amp;" ضد "&amp;S$341)+COUNTIF($E$4:$E$337,S$341&amp;" ضد "&amp;$A343))</f>
        <v>1</v>
      </c>
      <c r="T343" s="4">
        <f>IF($A343=T$341,"",COUNTIF($E$4:$E$337,$A343&amp;" ضد "&amp;T$341)+COUNTIF($E$4:$E$337,T$341&amp;" ضد "&amp;$A343))</f>
        <v>1</v>
      </c>
      <c r="U343" s="4">
        <f>IF($A343=U$341,"",COUNTIF($E$4:$E$337,$A343&amp;" ضد "&amp;U$341)+COUNTIF($E$4:$E$337,U$341&amp;" ضد "&amp;$A343))</f>
        <v>0</v>
      </c>
      <c r="V343" s="4">
        <f>IF($A343=V$341,"",COUNTIF($E$4:$E$337,$A343&amp;" ضد "&amp;V$341)+COUNTIF($E$4:$E$337,V$341&amp;" ضد "&amp;$A343))</f>
        <v>0</v>
      </c>
      <c r="W343" s="4">
        <f>IF($A343=W$341,"",COUNTIF($E$4:$E$337,$A343&amp;" ضد "&amp;W$341)+COUNTIF($E$4:$E$337,W$341&amp;" ضد "&amp;$A343))</f>
        <v>0</v>
      </c>
      <c r="X343" s="4">
        <f>IF($A343=X$341,"",COUNTIF($E$4:$E$337,$A343&amp;" ضد "&amp;X$341)+COUNTIF($E$4:$E$337,X$341&amp;" ضد "&amp;$A343))</f>
        <v>0</v>
      </c>
      <c r="Y343" s="4">
        <f>IF($A343=Y$341,"",COUNTIF($E$4:$E$337,$A343&amp;" ضد "&amp;Y$341)+COUNTIF($E$4:$E$337,Y$341&amp;" ضد "&amp;$A343))</f>
        <v>0</v>
      </c>
      <c r="Z343" s="4">
        <f>IF($A343=Z$341,"",COUNTIF($E$4:$E$337,$A343&amp;" ضد "&amp;Z$341)+COUNTIF($E$4:$E$337,Z$341&amp;" ضد "&amp;$A343))</f>
        <v>0</v>
      </c>
      <c r="AA343" s="4">
        <f>IF($A343=AA$341,"",COUNTIF($E$4:$E$337,$A343&amp;" ضد "&amp;AA$341)+COUNTIF($E$4:$E$337,AA$341&amp;" ضد "&amp;$A343))</f>
        <v>0</v>
      </c>
      <c r="AB343" s="4">
        <f>IF($A343=AB$341,"",COUNTIF($E$4:$E$337,$A343&amp;" ضد "&amp;AB$341)+COUNTIF($E$4:$E$337,AB$341&amp;" ضد "&amp;$A343))</f>
        <v>0</v>
      </c>
      <c r="AC343" s="4">
        <f>IF($A343=AC$341,"",COUNTIF($E$4:$E$337,$A343&amp;" ضد "&amp;AC$341)+COUNTIF($E$4:$E$337,AC$341&amp;" ضد "&amp;$A343))</f>
        <v>0</v>
      </c>
      <c r="AD343" s="4">
        <f>IF($A343=AD$341,"",COUNTIF($E$4:$E$337,$A343&amp;" ضد "&amp;AD$341)+COUNTIF($E$4:$E$337,AD$341&amp;" ضد "&amp;$A343))</f>
        <v>0</v>
      </c>
      <c r="AE343" s="4">
        <f>IF($A343=AE$341,"",COUNTIF($E$4:$E$337,$A343&amp;" ضد "&amp;AE$341)+COUNTIF($E$4:$E$337,AE$341&amp;" ضد "&amp;$A343))</f>
        <v>0</v>
      </c>
      <c r="AF343" s="4">
        <f>IF($A343=AF$341,"",COUNTIF($E$4:$E$337,$A343&amp;" ضد "&amp;AF$341)+COUNTIF($E$4:$E$337,AF$341&amp;" ضد "&amp;$A343))</f>
        <v>0</v>
      </c>
      <c r="AG343" s="4">
        <f>IF($A343=AG$341,"",COUNTIF($E$4:$E$337,$A343&amp;" ضد "&amp;AG$341)+COUNTIF($E$4:$E$337,AG$341&amp;" ضد "&amp;$A343))</f>
        <v>0</v>
      </c>
      <c r="AH343" s="4">
        <f>IF($A343=AH$341,"",COUNTIF($E$4:$E$337,$A343&amp;" ضد "&amp;AH$341)+COUNTIF($E$4:$E$337,AH$341&amp;" ضد "&amp;$A343))</f>
        <v>0</v>
      </c>
      <c r="AI343" s="4">
        <f>IF($A343=AI$341,"",COUNTIF($E$4:$E$337,$A343&amp;" ضد "&amp;AI$341)+COUNTIF($E$4:$E$337,AI$341&amp;" ضد "&amp;$A343))</f>
        <v>0</v>
      </c>
      <c r="AJ343" s="4">
        <f>IF($A343=AJ$341,"",COUNTIF($E$4:$E$337,$A343&amp;" ضد "&amp;AJ$341)+COUNTIF($E$4:$E$337,AJ$341&amp;" ضد "&amp;$A343))</f>
        <v>0</v>
      </c>
      <c r="AK343" s="4">
        <f>IF($A343=AK$341,"",COUNTIF($E$4:$E$337,$A343&amp;" ضد "&amp;AK$341)+COUNTIF($E$4:$E$337,AK$341&amp;" ضد "&amp;$A343))</f>
        <v>0</v>
      </c>
      <c r="AL343" s="4">
        <f>IF($A343=AL$341,"",COUNTIF($E$4:$E$337,$A343&amp;" ضد "&amp;AL$341)+COUNTIF($E$4:$E$337,AL$341&amp;" ضد "&amp;$A343))</f>
        <v>0</v>
      </c>
    </row>
    <row r="344" spans="1:38" ht="14.5">
      <c r="A344" s="14">
        <v>3</v>
      </c>
      <c r="B344" s="4">
        <f>IF($A344=B$341,"",COUNTIF($E$4:$E$337,$A344&amp;" ضد "&amp;B$341)+COUNTIF($E$4:$E$337,B$341&amp;" ضد "&amp;$A344))</f>
        <v>1</v>
      </c>
      <c r="C344" s="4">
        <f>IF($A344=C$341,"",COUNTIF($E$4:$E$337,$A344&amp;" ضد "&amp;C$341)+COUNTIF($E$4:$E$337,C$341&amp;" ضد "&amp;$A344))</f>
        <v>1</v>
      </c>
      <c r="D344" s="4" t="str">
        <f>IF($A344=D$341,"",COUNTIF($E$4:$E$337,$A344&amp;" ضد "&amp;D$341)+COUNTIF($E$4:$E$337,D$341&amp;" ضد "&amp;$A344))</f>
        <v/>
      </c>
      <c r="E344" s="4">
        <f>IF($A344=E$341,"",COUNTIF($E$4:$E$337,$A344&amp;" ضد "&amp;E$341)+COUNTIF($E$4:$E$337,E$341&amp;" ضد "&amp;$A344))</f>
        <v>1</v>
      </c>
      <c r="F344" s="4">
        <f>IF($A344=F$341,"",COUNTIF($E$4:$E$337,$A344&amp;" ضد "&amp;F$341)+COUNTIF($E$4:$E$337,F$341&amp;" ضد "&amp;$A344))</f>
        <v>1</v>
      </c>
      <c r="G344" s="4">
        <f>IF($A344=G$341,"",COUNTIF($E$4:$E$337,$A344&amp;" ضد "&amp;G$341)+COUNTIF($E$4:$E$337,G$341&amp;" ضد "&amp;$A344))</f>
        <v>1</v>
      </c>
      <c r="H344" s="4">
        <f>IF($A344=H$341,"",COUNTIF($E$4:$E$337,$A344&amp;" ضد "&amp;H$341)+COUNTIF($E$4:$E$337,H$341&amp;" ضد "&amp;$A344))</f>
        <v>1</v>
      </c>
      <c r="I344" s="4">
        <f>IF($A344=I$341,"",COUNTIF($E$4:$E$337,$A344&amp;" ضد "&amp;I$341)+COUNTIF($E$4:$E$337,I$341&amp;" ضد "&amp;$A344))</f>
        <v>1</v>
      </c>
      <c r="J344" s="4">
        <f>IF($A344=J$341,"",COUNTIF($E$4:$E$337,$A344&amp;" ضد "&amp;J$341)+COUNTIF($E$4:$E$337,J$341&amp;" ضد "&amp;$A344))</f>
        <v>1</v>
      </c>
      <c r="K344" s="4">
        <f>IF($A344=K$341,"",COUNTIF($E$4:$E$337,$A344&amp;" ضد "&amp;K$341)+COUNTIF($E$4:$E$337,K$341&amp;" ضد "&amp;$A344))</f>
        <v>1</v>
      </c>
      <c r="L344" s="4">
        <f>IF($A344=L$341,"",COUNTIF($E$4:$E$337,$A344&amp;" ضد "&amp;L$341)+COUNTIF($E$4:$E$337,L$341&amp;" ضد "&amp;$A344))</f>
        <v>1</v>
      </c>
      <c r="M344" s="4">
        <f>IF($A344=M$341,"",COUNTIF($E$4:$E$337,$A344&amp;" ضد "&amp;M$341)+COUNTIF($E$4:$E$337,M$341&amp;" ضد "&amp;$A344))</f>
        <v>1</v>
      </c>
      <c r="N344" s="4">
        <f>IF($A344=N$341,"",COUNTIF($E$4:$E$337,$A344&amp;" ضد "&amp;N$341)+COUNTIF($E$4:$E$337,N$341&amp;" ضد "&amp;$A344))</f>
        <v>1</v>
      </c>
      <c r="O344" s="4">
        <f>IF($A344=O$341,"",COUNTIF($E$4:$E$337,$A344&amp;" ضد "&amp;O$341)+COUNTIF($E$4:$E$337,O$341&amp;" ضد "&amp;$A344))</f>
        <v>1</v>
      </c>
      <c r="P344" s="4">
        <f>IF($A344=P$341,"",COUNTIF($E$4:$E$337,$A344&amp;" ضد "&amp;P$341)+COUNTIF($E$4:$E$337,P$341&amp;" ضد "&amp;$A344))</f>
        <v>1</v>
      </c>
      <c r="Q344" s="4">
        <f>IF($A344=Q$341,"",COUNTIF($E$4:$E$337,$A344&amp;" ضد "&amp;Q$341)+COUNTIF($E$4:$E$337,Q$341&amp;" ضد "&amp;$A344))</f>
        <v>1</v>
      </c>
      <c r="R344" s="4">
        <f>IF($A344=R$341,"",COUNTIF($E$4:$E$337,$A344&amp;" ضد "&amp;R$341)+COUNTIF($E$4:$E$337,R$341&amp;" ضد "&amp;$A344))</f>
        <v>1</v>
      </c>
      <c r="S344" s="4">
        <f>IF($A344=S$341,"",COUNTIF($E$4:$E$337,$A344&amp;" ضد "&amp;S$341)+COUNTIF($E$4:$E$337,S$341&amp;" ضد "&amp;$A344))</f>
        <v>1</v>
      </c>
      <c r="T344" s="4">
        <f>IF($A344=T$341,"",COUNTIF($E$4:$E$337,$A344&amp;" ضد "&amp;T$341)+COUNTIF($E$4:$E$337,T$341&amp;" ضد "&amp;$A344))</f>
        <v>1</v>
      </c>
      <c r="U344" s="4">
        <f>IF($A344=U$341,"",COUNTIF($E$4:$E$337,$A344&amp;" ضد "&amp;U$341)+COUNTIF($E$4:$E$337,U$341&amp;" ضد "&amp;$A344))</f>
        <v>0</v>
      </c>
      <c r="V344" s="4">
        <f>IF($A344=V$341,"",COUNTIF($E$4:$E$337,$A344&amp;" ضد "&amp;V$341)+COUNTIF($E$4:$E$337,V$341&amp;" ضد "&amp;$A344))</f>
        <v>0</v>
      </c>
      <c r="W344" s="4">
        <f>IF($A344=W$341,"",COUNTIF($E$4:$E$337,$A344&amp;" ضد "&amp;W$341)+COUNTIF($E$4:$E$337,W$341&amp;" ضد "&amp;$A344))</f>
        <v>0</v>
      </c>
      <c r="X344" s="4">
        <f>IF($A344=X$341,"",COUNTIF($E$4:$E$337,$A344&amp;" ضد "&amp;X$341)+COUNTIF($E$4:$E$337,X$341&amp;" ضد "&amp;$A344))</f>
        <v>0</v>
      </c>
      <c r="Y344" s="4">
        <f>IF($A344=Y$341,"",COUNTIF($E$4:$E$337,$A344&amp;" ضد "&amp;Y$341)+COUNTIF($E$4:$E$337,Y$341&amp;" ضد "&amp;$A344))</f>
        <v>0</v>
      </c>
      <c r="Z344" s="4">
        <f>IF($A344=Z$341,"",COUNTIF($E$4:$E$337,$A344&amp;" ضد "&amp;Z$341)+COUNTIF($E$4:$E$337,Z$341&amp;" ضد "&amp;$A344))</f>
        <v>0</v>
      </c>
      <c r="AA344" s="4">
        <f>IF($A344=AA$341,"",COUNTIF($E$4:$E$337,$A344&amp;" ضد "&amp;AA$341)+COUNTIF($E$4:$E$337,AA$341&amp;" ضد "&amp;$A344))</f>
        <v>0</v>
      </c>
      <c r="AB344" s="4">
        <f>IF($A344=AB$341,"",COUNTIF($E$4:$E$337,$A344&amp;" ضد "&amp;AB$341)+COUNTIF($E$4:$E$337,AB$341&amp;" ضد "&amp;$A344))</f>
        <v>0</v>
      </c>
      <c r="AC344" s="4">
        <f>IF($A344=AC$341,"",COUNTIF($E$4:$E$337,$A344&amp;" ضد "&amp;AC$341)+COUNTIF($E$4:$E$337,AC$341&amp;" ضد "&amp;$A344))</f>
        <v>0</v>
      </c>
      <c r="AD344" s="4">
        <f>IF($A344=AD$341,"",COUNTIF($E$4:$E$337,$A344&amp;" ضد "&amp;AD$341)+COUNTIF($E$4:$E$337,AD$341&amp;" ضد "&amp;$A344))</f>
        <v>0</v>
      </c>
      <c r="AE344" s="4">
        <f>IF($A344=AE$341,"",COUNTIF($E$4:$E$337,$A344&amp;" ضد "&amp;AE$341)+COUNTIF($E$4:$E$337,AE$341&amp;" ضد "&amp;$A344))</f>
        <v>0</v>
      </c>
      <c r="AF344" s="4">
        <f>IF($A344=AF$341,"",COUNTIF($E$4:$E$337,$A344&amp;" ضد "&amp;AF$341)+COUNTIF($E$4:$E$337,AF$341&amp;" ضد "&amp;$A344))</f>
        <v>0</v>
      </c>
      <c r="AG344" s="4">
        <f>IF($A344=AG$341,"",COUNTIF($E$4:$E$337,$A344&amp;" ضد "&amp;AG$341)+COUNTIF($E$4:$E$337,AG$341&amp;" ضد "&amp;$A344))</f>
        <v>0</v>
      </c>
      <c r="AH344" s="4">
        <f>IF($A344=AH$341,"",COUNTIF($E$4:$E$337,$A344&amp;" ضد "&amp;AH$341)+COUNTIF($E$4:$E$337,AH$341&amp;" ضد "&amp;$A344))</f>
        <v>0</v>
      </c>
      <c r="AI344" s="4">
        <f>IF($A344=AI$341,"",COUNTIF($E$4:$E$337,$A344&amp;" ضد "&amp;AI$341)+COUNTIF($E$4:$E$337,AI$341&amp;" ضد "&amp;$A344))</f>
        <v>0</v>
      </c>
      <c r="AJ344" s="4">
        <f>IF($A344=AJ$341,"",COUNTIF($E$4:$E$337,$A344&amp;" ضد "&amp;AJ$341)+COUNTIF($E$4:$E$337,AJ$341&amp;" ضد "&amp;$A344))</f>
        <v>0</v>
      </c>
      <c r="AK344" s="4">
        <f>IF($A344=AK$341,"",COUNTIF($E$4:$E$337,$A344&amp;" ضد "&amp;AK$341)+COUNTIF($E$4:$E$337,AK$341&amp;" ضد "&amp;$A344))</f>
        <v>0</v>
      </c>
      <c r="AL344" s="4">
        <f>IF($A344=AL$341,"",COUNTIF($E$4:$E$337,$A344&amp;" ضد "&amp;AL$341)+COUNTIF($E$4:$E$337,AL$341&amp;" ضد "&amp;$A344))</f>
        <v>0</v>
      </c>
    </row>
    <row r="345" spans="1:38" ht="14.5">
      <c r="A345" s="14">
        <v>4</v>
      </c>
      <c r="B345" s="4">
        <f>IF($A345=B$341,"",COUNTIF($E$4:$E$337,$A345&amp;" ضد "&amp;B$341)+COUNTIF($E$4:$E$337,B$341&amp;" ضد "&amp;$A345))</f>
        <v>1</v>
      </c>
      <c r="C345" s="4">
        <f>IF($A345=C$341,"",COUNTIF($E$4:$E$337,$A345&amp;" ضد "&amp;C$341)+COUNTIF($E$4:$E$337,C$341&amp;" ضد "&amp;$A345))</f>
        <v>1</v>
      </c>
      <c r="D345" s="4">
        <f>IF($A345=D$341,"",COUNTIF($E$4:$E$337,$A345&amp;" ضد "&amp;D$341)+COUNTIF($E$4:$E$337,D$341&amp;" ضد "&amp;$A345))</f>
        <v>1</v>
      </c>
      <c r="E345" s="4" t="str">
        <f>IF($A345=E$341,"",COUNTIF($E$4:$E$337,$A345&amp;" ضد "&amp;E$341)+COUNTIF($E$4:$E$337,E$341&amp;" ضد "&amp;$A345))</f>
        <v/>
      </c>
      <c r="F345" s="4">
        <f>IF($A345=F$341,"",COUNTIF($E$4:$E$337,$A345&amp;" ضد "&amp;F$341)+COUNTIF($E$4:$E$337,F$341&amp;" ضد "&amp;$A345))</f>
        <v>1</v>
      </c>
      <c r="G345" s="4">
        <f>IF($A345=G$341,"",COUNTIF($E$4:$E$337,$A345&amp;" ضد "&amp;G$341)+COUNTIF($E$4:$E$337,G$341&amp;" ضد "&amp;$A345))</f>
        <v>1</v>
      </c>
      <c r="H345" s="4">
        <f>IF($A345=H$341,"",COUNTIF($E$4:$E$337,$A345&amp;" ضد "&amp;H$341)+COUNTIF($E$4:$E$337,H$341&amp;" ضد "&amp;$A345))</f>
        <v>1</v>
      </c>
      <c r="I345" s="4">
        <f>IF($A345=I$341,"",COUNTIF($E$4:$E$337,$A345&amp;" ضد "&amp;I$341)+COUNTIF($E$4:$E$337,I$341&amp;" ضد "&amp;$A345))</f>
        <v>1</v>
      </c>
      <c r="J345" s="4">
        <f>IF($A345=J$341,"",COUNTIF($E$4:$E$337,$A345&amp;" ضد "&amp;J$341)+COUNTIF($E$4:$E$337,J$341&amp;" ضد "&amp;$A345))</f>
        <v>1</v>
      </c>
      <c r="K345" s="4">
        <f>IF($A345=K$341,"",COUNTIF($E$4:$E$337,$A345&amp;" ضد "&amp;K$341)+COUNTIF($E$4:$E$337,K$341&amp;" ضد "&amp;$A345))</f>
        <v>1</v>
      </c>
      <c r="L345" s="4">
        <f>IF($A345=L$341,"",COUNTIF($E$4:$E$337,$A345&amp;" ضد "&amp;L$341)+COUNTIF($E$4:$E$337,L$341&amp;" ضد "&amp;$A345))</f>
        <v>1</v>
      </c>
      <c r="M345" s="4">
        <f>IF($A345=M$341,"",COUNTIF($E$4:$E$337,$A345&amp;" ضد "&amp;M$341)+COUNTIF($E$4:$E$337,M$341&amp;" ضد "&amp;$A345))</f>
        <v>1</v>
      </c>
      <c r="N345" s="4">
        <f>IF($A345=N$341,"",COUNTIF($E$4:$E$337,$A345&amp;" ضد "&amp;N$341)+COUNTIF($E$4:$E$337,N$341&amp;" ضد "&amp;$A345))</f>
        <v>1</v>
      </c>
      <c r="O345" s="4">
        <f>IF($A345=O$341,"",COUNTIF($E$4:$E$337,$A345&amp;" ضد "&amp;O$341)+COUNTIF($E$4:$E$337,O$341&amp;" ضد "&amp;$A345))</f>
        <v>1</v>
      </c>
      <c r="P345" s="4">
        <f>IF($A345=P$341,"",COUNTIF($E$4:$E$337,$A345&amp;" ضد "&amp;P$341)+COUNTIF($E$4:$E$337,P$341&amp;" ضد "&amp;$A345))</f>
        <v>1</v>
      </c>
      <c r="Q345" s="4">
        <f>IF($A345=Q$341,"",COUNTIF($E$4:$E$337,$A345&amp;" ضد "&amp;Q$341)+COUNTIF($E$4:$E$337,Q$341&amp;" ضد "&amp;$A345))</f>
        <v>1</v>
      </c>
      <c r="R345" s="4">
        <f>IF($A345=R$341,"",COUNTIF($E$4:$E$337,$A345&amp;" ضد "&amp;R$341)+COUNTIF($E$4:$E$337,R$341&amp;" ضد "&amp;$A345))</f>
        <v>1</v>
      </c>
      <c r="S345" s="4">
        <f>IF($A345=S$341,"",COUNTIF($E$4:$E$337,$A345&amp;" ضد "&amp;S$341)+COUNTIF($E$4:$E$337,S$341&amp;" ضد "&amp;$A345))</f>
        <v>1</v>
      </c>
      <c r="T345" s="4">
        <f>IF($A345=T$341,"",COUNTIF($E$4:$E$337,$A345&amp;" ضد "&amp;T$341)+COUNTIF($E$4:$E$337,T$341&amp;" ضد "&amp;$A345))</f>
        <v>1</v>
      </c>
      <c r="U345" s="4">
        <f>IF($A345=U$341,"",COUNTIF($E$4:$E$337,$A345&amp;" ضد "&amp;U$341)+COUNTIF($E$4:$E$337,U$341&amp;" ضد "&amp;$A345))</f>
        <v>0</v>
      </c>
      <c r="V345" s="4">
        <f>IF($A345=V$341,"",COUNTIF($E$4:$E$337,$A345&amp;" ضد "&amp;V$341)+COUNTIF($E$4:$E$337,V$341&amp;" ضد "&amp;$A345))</f>
        <v>0</v>
      </c>
      <c r="W345" s="4">
        <f>IF($A345=W$341,"",COUNTIF($E$4:$E$337,$A345&amp;" ضد "&amp;W$341)+COUNTIF($E$4:$E$337,W$341&amp;" ضد "&amp;$A345))</f>
        <v>0</v>
      </c>
      <c r="X345" s="4">
        <f>IF($A345=X$341,"",COUNTIF($E$4:$E$337,$A345&amp;" ضد "&amp;X$341)+COUNTIF($E$4:$E$337,X$341&amp;" ضد "&amp;$A345))</f>
        <v>0</v>
      </c>
      <c r="Y345" s="4">
        <f>IF($A345=Y$341,"",COUNTIF($E$4:$E$337,$A345&amp;" ضد "&amp;Y$341)+COUNTIF($E$4:$E$337,Y$341&amp;" ضد "&amp;$A345))</f>
        <v>0</v>
      </c>
      <c r="Z345" s="4">
        <f>IF($A345=Z$341,"",COUNTIF($E$4:$E$337,$A345&amp;" ضد "&amp;Z$341)+COUNTIF($E$4:$E$337,Z$341&amp;" ضد "&amp;$A345))</f>
        <v>0</v>
      </c>
      <c r="AA345" s="4">
        <f>IF($A345=AA$341,"",COUNTIF($E$4:$E$337,$A345&amp;" ضد "&amp;AA$341)+COUNTIF($E$4:$E$337,AA$341&amp;" ضد "&amp;$A345))</f>
        <v>0</v>
      </c>
      <c r="AB345" s="4">
        <f>IF($A345=AB$341,"",COUNTIF($E$4:$E$337,$A345&amp;" ضد "&amp;AB$341)+COUNTIF($E$4:$E$337,AB$341&amp;" ضد "&amp;$A345))</f>
        <v>0</v>
      </c>
      <c r="AC345" s="4">
        <f>IF($A345=AC$341,"",COUNTIF($E$4:$E$337,$A345&amp;" ضد "&amp;AC$341)+COUNTIF($E$4:$E$337,AC$341&amp;" ضد "&amp;$A345))</f>
        <v>0</v>
      </c>
      <c r="AD345" s="4">
        <f>IF($A345=AD$341,"",COUNTIF($E$4:$E$337,$A345&amp;" ضد "&amp;AD$341)+COUNTIF($E$4:$E$337,AD$341&amp;" ضد "&amp;$A345))</f>
        <v>0</v>
      </c>
      <c r="AE345" s="4">
        <f>IF($A345=AE$341,"",COUNTIF($E$4:$E$337,$A345&amp;" ضد "&amp;AE$341)+COUNTIF($E$4:$E$337,AE$341&amp;" ضد "&amp;$A345))</f>
        <v>0</v>
      </c>
      <c r="AF345" s="4">
        <f>IF($A345=AF$341,"",COUNTIF($E$4:$E$337,$A345&amp;" ضد "&amp;AF$341)+COUNTIF($E$4:$E$337,AF$341&amp;" ضد "&amp;$A345))</f>
        <v>0</v>
      </c>
      <c r="AG345" s="4">
        <f>IF($A345=AG$341,"",COUNTIF($E$4:$E$337,$A345&amp;" ضد "&amp;AG$341)+COUNTIF($E$4:$E$337,AG$341&amp;" ضد "&amp;$A345))</f>
        <v>0</v>
      </c>
      <c r="AH345" s="4">
        <f>IF($A345=AH$341,"",COUNTIF($E$4:$E$337,$A345&amp;" ضد "&amp;AH$341)+COUNTIF($E$4:$E$337,AH$341&amp;" ضد "&amp;$A345))</f>
        <v>0</v>
      </c>
      <c r="AI345" s="4">
        <f>IF($A345=AI$341,"",COUNTIF($E$4:$E$337,$A345&amp;" ضد "&amp;AI$341)+COUNTIF($E$4:$E$337,AI$341&amp;" ضد "&amp;$A345))</f>
        <v>0</v>
      </c>
      <c r="AJ345" s="4">
        <f>IF($A345=AJ$341,"",COUNTIF($E$4:$E$337,$A345&amp;" ضد "&amp;AJ$341)+COUNTIF($E$4:$E$337,AJ$341&amp;" ضد "&amp;$A345))</f>
        <v>0</v>
      </c>
      <c r="AK345" s="4">
        <f>IF($A345=AK$341,"",COUNTIF($E$4:$E$337,$A345&amp;" ضد "&amp;AK$341)+COUNTIF($E$4:$E$337,AK$341&amp;" ضد "&amp;$A345))</f>
        <v>0</v>
      </c>
      <c r="AL345" s="4">
        <f>IF($A345=AL$341,"",COUNTIF($E$4:$E$337,$A345&amp;" ضد "&amp;AL$341)+COUNTIF($E$4:$E$337,AL$341&amp;" ضد "&amp;$A345))</f>
        <v>0</v>
      </c>
    </row>
    <row r="346" spans="1:38" ht="14.5">
      <c r="A346" s="14">
        <v>5</v>
      </c>
      <c r="B346" s="4">
        <f>IF($A346=B$341,"",COUNTIF($E$4:$E$337,$A346&amp;" ضد "&amp;B$341)+COUNTIF($E$4:$E$337,B$341&amp;" ضد "&amp;$A346))</f>
        <v>1</v>
      </c>
      <c r="C346" s="4">
        <f>IF($A346=C$341,"",COUNTIF($E$4:$E$337,$A346&amp;" ضد "&amp;C$341)+COUNTIF($E$4:$E$337,C$341&amp;" ضد "&amp;$A346))</f>
        <v>1</v>
      </c>
      <c r="D346" s="4">
        <f>IF($A346=D$341,"",COUNTIF($E$4:$E$337,$A346&amp;" ضد "&amp;D$341)+COUNTIF($E$4:$E$337,D$341&amp;" ضد "&amp;$A346))</f>
        <v>1</v>
      </c>
      <c r="E346" s="4">
        <f>IF($A346=E$341,"",COUNTIF($E$4:$E$337,$A346&amp;" ضد "&amp;E$341)+COUNTIF($E$4:$E$337,E$341&amp;" ضد "&amp;$A346))</f>
        <v>1</v>
      </c>
      <c r="F346" s="4" t="str">
        <f>IF($A346=F$341,"",COUNTIF($E$4:$E$337,$A346&amp;" ضد "&amp;F$341)+COUNTIF($E$4:$E$337,F$341&amp;" ضد "&amp;$A346))</f>
        <v/>
      </c>
      <c r="G346" s="4">
        <f>IF($A346=G$341,"",COUNTIF($E$4:$E$337,$A346&amp;" ضد "&amp;G$341)+COUNTIF($E$4:$E$337,G$341&amp;" ضد "&amp;$A346))</f>
        <v>1</v>
      </c>
      <c r="H346" s="4">
        <f>IF($A346=H$341,"",COUNTIF($E$4:$E$337,$A346&amp;" ضد "&amp;H$341)+COUNTIF($E$4:$E$337,H$341&amp;" ضد "&amp;$A346))</f>
        <v>1</v>
      </c>
      <c r="I346" s="4">
        <f>IF($A346=I$341,"",COUNTIF($E$4:$E$337,$A346&amp;" ضد "&amp;I$341)+COUNTIF($E$4:$E$337,I$341&amp;" ضد "&amp;$A346))</f>
        <v>1</v>
      </c>
      <c r="J346" s="4">
        <f>IF($A346=J$341,"",COUNTIF($E$4:$E$337,$A346&amp;" ضد "&amp;J$341)+COUNTIF($E$4:$E$337,J$341&amp;" ضد "&amp;$A346))</f>
        <v>1</v>
      </c>
      <c r="K346" s="4">
        <f>IF($A346=K$341,"",COUNTIF($E$4:$E$337,$A346&amp;" ضد "&amp;K$341)+COUNTIF($E$4:$E$337,K$341&amp;" ضد "&amp;$A346))</f>
        <v>1</v>
      </c>
      <c r="L346" s="4">
        <f>IF($A346=L$341,"",COUNTIF($E$4:$E$337,$A346&amp;" ضد "&amp;L$341)+COUNTIF($E$4:$E$337,L$341&amp;" ضد "&amp;$A346))</f>
        <v>1</v>
      </c>
      <c r="M346" s="4">
        <f>IF($A346=M$341,"",COUNTIF($E$4:$E$337,$A346&amp;" ضد "&amp;M$341)+COUNTIF($E$4:$E$337,M$341&amp;" ضد "&amp;$A346))</f>
        <v>1</v>
      </c>
      <c r="N346" s="4">
        <f>IF($A346=N$341,"",COUNTIF($E$4:$E$337,$A346&amp;" ضد "&amp;N$341)+COUNTIF($E$4:$E$337,N$341&amp;" ضد "&amp;$A346))</f>
        <v>1</v>
      </c>
      <c r="O346" s="4">
        <f>IF($A346=O$341,"",COUNTIF($E$4:$E$337,$A346&amp;" ضد "&amp;O$341)+COUNTIF($E$4:$E$337,O$341&amp;" ضد "&amp;$A346))</f>
        <v>1</v>
      </c>
      <c r="P346" s="4">
        <f>IF($A346=P$341,"",COUNTIF($E$4:$E$337,$A346&amp;" ضد "&amp;P$341)+COUNTIF($E$4:$E$337,P$341&amp;" ضد "&amp;$A346))</f>
        <v>1</v>
      </c>
      <c r="Q346" s="4">
        <f>IF($A346=Q$341,"",COUNTIF($E$4:$E$337,$A346&amp;" ضد "&amp;Q$341)+COUNTIF($E$4:$E$337,Q$341&amp;" ضد "&amp;$A346))</f>
        <v>1</v>
      </c>
      <c r="R346" s="4">
        <f>IF($A346=R$341,"",COUNTIF($E$4:$E$337,$A346&amp;" ضد "&amp;R$341)+COUNTIF($E$4:$E$337,R$341&amp;" ضد "&amp;$A346))</f>
        <v>1</v>
      </c>
      <c r="S346" s="4">
        <f>IF($A346=S$341,"",COUNTIF($E$4:$E$337,$A346&amp;" ضد "&amp;S$341)+COUNTIF($E$4:$E$337,S$341&amp;" ضد "&amp;$A346))</f>
        <v>1</v>
      </c>
      <c r="T346" s="4">
        <f>IF($A346=T$341,"",COUNTIF($E$4:$E$337,$A346&amp;" ضد "&amp;T$341)+COUNTIF($E$4:$E$337,T$341&amp;" ضد "&amp;$A346))</f>
        <v>1</v>
      </c>
      <c r="U346" s="4">
        <f>IF($A346=U$341,"",COUNTIF($E$4:$E$337,$A346&amp;" ضد "&amp;U$341)+COUNTIF($E$4:$E$337,U$341&amp;" ضد "&amp;$A346))</f>
        <v>0</v>
      </c>
      <c r="V346" s="4">
        <f>IF($A346=V$341,"",COUNTIF($E$4:$E$337,$A346&amp;" ضد "&amp;V$341)+COUNTIF($E$4:$E$337,V$341&amp;" ضد "&amp;$A346))</f>
        <v>0</v>
      </c>
      <c r="W346" s="4">
        <f>IF($A346=W$341,"",COUNTIF($E$4:$E$337,$A346&amp;" ضد "&amp;W$341)+COUNTIF($E$4:$E$337,W$341&amp;" ضد "&amp;$A346))</f>
        <v>0</v>
      </c>
      <c r="X346" s="4">
        <f>IF($A346=X$341,"",COUNTIF($E$4:$E$337,$A346&amp;" ضد "&amp;X$341)+COUNTIF($E$4:$E$337,X$341&amp;" ضد "&amp;$A346))</f>
        <v>0</v>
      </c>
      <c r="Y346" s="4">
        <f>IF($A346=Y$341,"",COUNTIF($E$4:$E$337,$A346&amp;" ضد "&amp;Y$341)+COUNTIF($E$4:$E$337,Y$341&amp;" ضد "&amp;$A346))</f>
        <v>0</v>
      </c>
      <c r="Z346" s="4">
        <f>IF($A346=Z$341,"",COUNTIF($E$4:$E$337,$A346&amp;" ضد "&amp;Z$341)+COUNTIF($E$4:$E$337,Z$341&amp;" ضد "&amp;$A346))</f>
        <v>0</v>
      </c>
      <c r="AA346" s="4">
        <f>IF($A346=AA$341,"",COUNTIF($E$4:$E$337,$A346&amp;" ضد "&amp;AA$341)+COUNTIF($E$4:$E$337,AA$341&amp;" ضد "&amp;$A346))</f>
        <v>0</v>
      </c>
      <c r="AB346" s="4">
        <f>IF($A346=AB$341,"",COUNTIF($E$4:$E$337,$A346&amp;" ضد "&amp;AB$341)+COUNTIF($E$4:$E$337,AB$341&amp;" ضد "&amp;$A346))</f>
        <v>0</v>
      </c>
      <c r="AC346" s="4">
        <f>IF($A346=AC$341,"",COUNTIF($E$4:$E$337,$A346&amp;" ضد "&amp;AC$341)+COUNTIF($E$4:$E$337,AC$341&amp;" ضد "&amp;$A346))</f>
        <v>0</v>
      </c>
      <c r="AD346" s="4">
        <f>IF($A346=AD$341,"",COUNTIF($E$4:$E$337,$A346&amp;" ضد "&amp;AD$341)+COUNTIF($E$4:$E$337,AD$341&amp;" ضد "&amp;$A346))</f>
        <v>0</v>
      </c>
      <c r="AE346" s="4">
        <f>IF($A346=AE$341,"",COUNTIF($E$4:$E$337,$A346&amp;" ضد "&amp;AE$341)+COUNTIF($E$4:$E$337,AE$341&amp;" ضد "&amp;$A346))</f>
        <v>0</v>
      </c>
      <c r="AF346" s="4">
        <f>IF($A346=AF$341,"",COUNTIF($E$4:$E$337,$A346&amp;" ضد "&amp;AF$341)+COUNTIF($E$4:$E$337,AF$341&amp;" ضد "&amp;$A346))</f>
        <v>0</v>
      </c>
      <c r="AG346" s="4">
        <f>IF($A346=AG$341,"",COUNTIF($E$4:$E$337,$A346&amp;" ضد "&amp;AG$341)+COUNTIF($E$4:$E$337,AG$341&amp;" ضد "&amp;$A346))</f>
        <v>0</v>
      </c>
      <c r="AH346" s="4">
        <f>IF($A346=AH$341,"",COUNTIF($E$4:$E$337,$A346&amp;" ضد "&amp;AH$341)+COUNTIF($E$4:$E$337,AH$341&amp;" ضد "&amp;$A346))</f>
        <v>0</v>
      </c>
      <c r="AI346" s="4">
        <f>IF($A346=AI$341,"",COUNTIF($E$4:$E$337,$A346&amp;" ضد "&amp;AI$341)+COUNTIF($E$4:$E$337,AI$341&amp;" ضد "&amp;$A346))</f>
        <v>0</v>
      </c>
      <c r="AJ346" s="4">
        <f>IF($A346=AJ$341,"",COUNTIF($E$4:$E$337,$A346&amp;" ضد "&amp;AJ$341)+COUNTIF($E$4:$E$337,AJ$341&amp;" ضد "&amp;$A346))</f>
        <v>0</v>
      </c>
      <c r="AK346" s="4">
        <f>IF($A346=AK$341,"",COUNTIF($E$4:$E$337,$A346&amp;" ضد "&amp;AK$341)+COUNTIF($E$4:$E$337,AK$341&amp;" ضد "&amp;$A346))</f>
        <v>0</v>
      </c>
      <c r="AL346" s="4">
        <f>IF($A346=AL$341,"",COUNTIF($E$4:$E$337,$A346&amp;" ضد "&amp;AL$341)+COUNTIF($E$4:$E$337,AL$341&amp;" ضد "&amp;$A346))</f>
        <v>0</v>
      </c>
    </row>
    <row r="347" spans="1:38" ht="14.5">
      <c r="A347" s="14">
        <v>6</v>
      </c>
      <c r="B347" s="4">
        <f>IF($A347=B$341,"",COUNTIF($E$4:$E$337,$A347&amp;" ضد "&amp;B$341)+COUNTIF($E$4:$E$337,B$341&amp;" ضد "&amp;$A347))</f>
        <v>1</v>
      </c>
      <c r="C347" s="4">
        <f>IF($A347=C$341,"",COUNTIF($E$4:$E$337,$A347&amp;" ضد "&amp;C$341)+COUNTIF($E$4:$E$337,C$341&amp;" ضد "&amp;$A347))</f>
        <v>1</v>
      </c>
      <c r="D347" s="4">
        <f>IF($A347=D$341,"",COUNTIF($E$4:$E$337,$A347&amp;" ضد "&amp;D$341)+COUNTIF($E$4:$E$337,D$341&amp;" ضد "&amp;$A347))</f>
        <v>1</v>
      </c>
      <c r="E347" s="4">
        <f>IF($A347=E$341,"",COUNTIF($E$4:$E$337,$A347&amp;" ضد "&amp;E$341)+COUNTIF($E$4:$E$337,E$341&amp;" ضد "&amp;$A347))</f>
        <v>1</v>
      </c>
      <c r="F347" s="4">
        <f>IF($A347=F$341,"",COUNTIF($E$4:$E$337,$A347&amp;" ضد "&amp;F$341)+COUNTIF($E$4:$E$337,F$341&amp;" ضد "&amp;$A347))</f>
        <v>1</v>
      </c>
      <c r="G347" s="4" t="str">
        <f>IF($A347=G$341,"",COUNTIF($E$4:$E$337,$A347&amp;" ضد "&amp;G$341)+COUNTIF($E$4:$E$337,G$341&amp;" ضد "&amp;$A347))</f>
        <v/>
      </c>
      <c r="H347" s="4">
        <f>IF($A347=H$341,"",COUNTIF($E$4:$E$337,$A347&amp;" ضد "&amp;H$341)+COUNTIF($E$4:$E$337,H$341&amp;" ضد "&amp;$A347))</f>
        <v>1</v>
      </c>
      <c r="I347" s="4">
        <f>IF($A347=I$341,"",COUNTIF($E$4:$E$337,$A347&amp;" ضد "&amp;I$341)+COUNTIF($E$4:$E$337,I$341&amp;" ضد "&amp;$A347))</f>
        <v>1</v>
      </c>
      <c r="J347" s="4">
        <f>IF($A347=J$341,"",COUNTIF($E$4:$E$337,$A347&amp;" ضد "&amp;J$341)+COUNTIF($E$4:$E$337,J$341&amp;" ضد "&amp;$A347))</f>
        <v>1</v>
      </c>
      <c r="K347" s="4">
        <f>IF($A347=K$341,"",COUNTIF($E$4:$E$337,$A347&amp;" ضد "&amp;K$341)+COUNTIF($E$4:$E$337,K$341&amp;" ضد "&amp;$A347))</f>
        <v>1</v>
      </c>
      <c r="L347" s="4">
        <f>IF($A347=L$341,"",COUNTIF($E$4:$E$337,$A347&amp;" ضد "&amp;L$341)+COUNTIF($E$4:$E$337,L$341&amp;" ضد "&amp;$A347))</f>
        <v>1</v>
      </c>
      <c r="M347" s="4">
        <f>IF($A347=M$341,"",COUNTIF($E$4:$E$337,$A347&amp;" ضد "&amp;M$341)+COUNTIF($E$4:$E$337,M$341&amp;" ضد "&amp;$A347))</f>
        <v>1</v>
      </c>
      <c r="N347" s="4">
        <f>IF($A347=N$341,"",COUNTIF($E$4:$E$337,$A347&amp;" ضد "&amp;N$341)+COUNTIF($E$4:$E$337,N$341&amp;" ضد "&amp;$A347))</f>
        <v>1</v>
      </c>
      <c r="O347" s="4">
        <f>IF($A347=O$341,"",COUNTIF($E$4:$E$337,$A347&amp;" ضد "&amp;O$341)+COUNTIF($E$4:$E$337,O$341&amp;" ضد "&amp;$A347))</f>
        <v>1</v>
      </c>
      <c r="P347" s="4">
        <f>IF($A347=P$341,"",COUNTIF($E$4:$E$337,$A347&amp;" ضد "&amp;P$341)+COUNTIF($E$4:$E$337,P$341&amp;" ضد "&amp;$A347))</f>
        <v>1</v>
      </c>
      <c r="Q347" s="4">
        <f>IF($A347=Q$341,"",COUNTIF($E$4:$E$337,$A347&amp;" ضد "&amp;Q$341)+COUNTIF($E$4:$E$337,Q$341&amp;" ضد "&amp;$A347))</f>
        <v>1</v>
      </c>
      <c r="R347" s="4">
        <f>IF($A347=R$341,"",COUNTIF($E$4:$E$337,$A347&amp;" ضد "&amp;R$341)+COUNTIF($E$4:$E$337,R$341&amp;" ضد "&amp;$A347))</f>
        <v>1</v>
      </c>
      <c r="S347" s="4">
        <f>IF($A347=S$341,"",COUNTIF($E$4:$E$337,$A347&amp;" ضد "&amp;S$341)+COUNTIF($E$4:$E$337,S$341&amp;" ضد "&amp;$A347))</f>
        <v>1</v>
      </c>
      <c r="T347" s="4">
        <f>IF($A347=T$341,"",COUNTIF($E$4:$E$337,$A347&amp;" ضد "&amp;T$341)+COUNTIF($E$4:$E$337,T$341&amp;" ضد "&amp;$A347))</f>
        <v>1</v>
      </c>
      <c r="U347" s="4">
        <f>IF($A347=U$341,"",COUNTIF($E$4:$E$337,$A347&amp;" ضد "&amp;U$341)+COUNTIF($E$4:$E$337,U$341&amp;" ضد "&amp;$A347))</f>
        <v>0</v>
      </c>
      <c r="V347" s="4">
        <f>IF($A347=V$341,"",COUNTIF($E$4:$E$337,$A347&amp;" ضد "&amp;V$341)+COUNTIF($E$4:$E$337,V$341&amp;" ضد "&amp;$A347))</f>
        <v>0</v>
      </c>
      <c r="W347" s="4">
        <f>IF($A347=W$341,"",COUNTIF($E$4:$E$337,$A347&amp;" ضد "&amp;W$341)+COUNTIF($E$4:$E$337,W$341&amp;" ضد "&amp;$A347))</f>
        <v>0</v>
      </c>
      <c r="X347" s="4">
        <f>IF($A347=X$341,"",COUNTIF($E$4:$E$337,$A347&amp;" ضد "&amp;X$341)+COUNTIF($E$4:$E$337,X$341&amp;" ضد "&amp;$A347))</f>
        <v>0</v>
      </c>
      <c r="Y347" s="4">
        <f>IF($A347=Y$341,"",COUNTIF($E$4:$E$337,$A347&amp;" ضد "&amp;Y$341)+COUNTIF($E$4:$E$337,Y$341&amp;" ضد "&amp;$A347))</f>
        <v>0</v>
      </c>
      <c r="Z347" s="4">
        <f>IF($A347=Z$341,"",COUNTIF($E$4:$E$337,$A347&amp;" ضد "&amp;Z$341)+COUNTIF($E$4:$E$337,Z$341&amp;" ضد "&amp;$A347))</f>
        <v>0</v>
      </c>
      <c r="AA347" s="4">
        <f>IF($A347=AA$341,"",COUNTIF($E$4:$E$337,$A347&amp;" ضد "&amp;AA$341)+COUNTIF($E$4:$E$337,AA$341&amp;" ضد "&amp;$A347))</f>
        <v>0</v>
      </c>
      <c r="AB347" s="4">
        <f>IF($A347=AB$341,"",COUNTIF($E$4:$E$337,$A347&amp;" ضد "&amp;AB$341)+COUNTIF($E$4:$E$337,AB$341&amp;" ضد "&amp;$A347))</f>
        <v>0</v>
      </c>
      <c r="AC347" s="4">
        <f>IF($A347=AC$341,"",COUNTIF($E$4:$E$337,$A347&amp;" ضد "&amp;AC$341)+COUNTIF($E$4:$E$337,AC$341&amp;" ضد "&amp;$A347))</f>
        <v>0</v>
      </c>
      <c r="AD347" s="4">
        <f>IF($A347=AD$341,"",COUNTIF($E$4:$E$337,$A347&amp;" ضد "&amp;AD$341)+COUNTIF($E$4:$E$337,AD$341&amp;" ضد "&amp;$A347))</f>
        <v>0</v>
      </c>
      <c r="AE347" s="4">
        <f>IF($A347=AE$341,"",COUNTIF($E$4:$E$337,$A347&amp;" ضد "&amp;AE$341)+COUNTIF($E$4:$E$337,AE$341&amp;" ضد "&amp;$A347))</f>
        <v>0</v>
      </c>
      <c r="AF347" s="4">
        <f>IF($A347=AF$341,"",COUNTIF($E$4:$E$337,$A347&amp;" ضد "&amp;AF$341)+COUNTIF($E$4:$E$337,AF$341&amp;" ضد "&amp;$A347))</f>
        <v>0</v>
      </c>
      <c r="AG347" s="4">
        <f>IF($A347=AG$341,"",COUNTIF($E$4:$E$337,$A347&amp;" ضد "&amp;AG$341)+COUNTIF($E$4:$E$337,AG$341&amp;" ضد "&amp;$A347))</f>
        <v>0</v>
      </c>
      <c r="AH347" s="4">
        <f>IF($A347=AH$341,"",COUNTIF($E$4:$E$337,$A347&amp;" ضد "&amp;AH$341)+COUNTIF($E$4:$E$337,AH$341&amp;" ضد "&amp;$A347))</f>
        <v>0</v>
      </c>
      <c r="AI347" s="4">
        <f>IF($A347=AI$341,"",COUNTIF($E$4:$E$337,$A347&amp;" ضد "&amp;AI$341)+COUNTIF($E$4:$E$337,AI$341&amp;" ضد "&amp;$A347))</f>
        <v>0</v>
      </c>
      <c r="AJ347" s="4">
        <f>IF($A347=AJ$341,"",COUNTIF($E$4:$E$337,$A347&amp;" ضد "&amp;AJ$341)+COUNTIF($E$4:$E$337,AJ$341&amp;" ضد "&amp;$A347))</f>
        <v>0</v>
      </c>
      <c r="AK347" s="4">
        <f>IF($A347=AK$341,"",COUNTIF($E$4:$E$337,$A347&amp;" ضد "&amp;AK$341)+COUNTIF($E$4:$E$337,AK$341&amp;" ضد "&amp;$A347))</f>
        <v>0</v>
      </c>
      <c r="AL347" s="4">
        <f>IF($A347=AL$341,"",COUNTIF($E$4:$E$337,$A347&amp;" ضد "&amp;AL$341)+COUNTIF($E$4:$E$337,AL$341&amp;" ضد "&amp;$A347))</f>
        <v>0</v>
      </c>
    </row>
    <row r="348" spans="1:38" ht="14.5">
      <c r="A348" s="14">
        <v>7</v>
      </c>
      <c r="B348" s="4">
        <f>IF($A348=B$341,"",COUNTIF($E$4:$E$337,$A348&amp;" ضد "&amp;B$341)+COUNTIF($E$4:$E$337,B$341&amp;" ضد "&amp;$A348))</f>
        <v>1</v>
      </c>
      <c r="C348" s="4">
        <f>IF($A348=C$341,"",COUNTIF($E$4:$E$337,$A348&amp;" ضد "&amp;C$341)+COUNTIF($E$4:$E$337,C$341&amp;" ضد "&amp;$A348))</f>
        <v>1</v>
      </c>
      <c r="D348" s="4">
        <f>IF($A348=D$341,"",COUNTIF($E$4:$E$337,$A348&amp;" ضد "&amp;D$341)+COUNTIF($E$4:$E$337,D$341&amp;" ضد "&amp;$A348))</f>
        <v>1</v>
      </c>
      <c r="E348" s="4">
        <f>IF($A348=E$341,"",COUNTIF($E$4:$E$337,$A348&amp;" ضد "&amp;E$341)+COUNTIF($E$4:$E$337,E$341&amp;" ضد "&amp;$A348))</f>
        <v>1</v>
      </c>
      <c r="F348" s="4">
        <f>IF($A348=F$341,"",COUNTIF($E$4:$E$337,$A348&amp;" ضد "&amp;F$341)+COUNTIF($E$4:$E$337,F$341&amp;" ضد "&amp;$A348))</f>
        <v>1</v>
      </c>
      <c r="G348" s="4">
        <f>IF($A348=G$341,"",COUNTIF($E$4:$E$337,$A348&amp;" ضد "&amp;G$341)+COUNTIF($E$4:$E$337,G$341&amp;" ضد "&amp;$A348))</f>
        <v>1</v>
      </c>
      <c r="H348" s="4" t="str">
        <f>IF($A348=H$341,"",COUNTIF($E$4:$E$337,$A348&amp;" ضد "&amp;H$341)+COUNTIF($E$4:$E$337,H$341&amp;" ضد "&amp;$A348))</f>
        <v/>
      </c>
      <c r="I348" s="4">
        <f>IF($A348=I$341,"",COUNTIF($E$4:$E$337,$A348&amp;" ضد "&amp;I$341)+COUNTIF($E$4:$E$337,I$341&amp;" ضد "&amp;$A348))</f>
        <v>1</v>
      </c>
      <c r="J348" s="4">
        <f>IF($A348=J$341,"",COUNTIF($E$4:$E$337,$A348&amp;" ضد "&amp;J$341)+COUNTIF($E$4:$E$337,J$341&amp;" ضد "&amp;$A348))</f>
        <v>1</v>
      </c>
      <c r="K348" s="4">
        <f>IF($A348=K$341,"",COUNTIF($E$4:$E$337,$A348&amp;" ضد "&amp;K$341)+COUNTIF($E$4:$E$337,K$341&amp;" ضد "&amp;$A348))</f>
        <v>1</v>
      </c>
      <c r="L348" s="4">
        <f>IF($A348=L$341,"",COUNTIF($E$4:$E$337,$A348&amp;" ضد "&amp;L$341)+COUNTIF($E$4:$E$337,L$341&amp;" ضد "&amp;$A348))</f>
        <v>1</v>
      </c>
      <c r="M348" s="4">
        <f>IF($A348=M$341,"",COUNTIF($E$4:$E$337,$A348&amp;" ضد "&amp;M$341)+COUNTIF($E$4:$E$337,M$341&amp;" ضد "&amp;$A348))</f>
        <v>1</v>
      </c>
      <c r="N348" s="4">
        <f>IF($A348=N$341,"",COUNTIF($E$4:$E$337,$A348&amp;" ضد "&amp;N$341)+COUNTIF($E$4:$E$337,N$341&amp;" ضد "&amp;$A348))</f>
        <v>1</v>
      </c>
      <c r="O348" s="4">
        <f>IF($A348=O$341,"",COUNTIF($E$4:$E$337,$A348&amp;" ضد "&amp;O$341)+COUNTIF($E$4:$E$337,O$341&amp;" ضد "&amp;$A348))</f>
        <v>1</v>
      </c>
      <c r="P348" s="4">
        <f>IF($A348=P$341,"",COUNTIF($E$4:$E$337,$A348&amp;" ضد "&amp;P$341)+COUNTIF($E$4:$E$337,P$341&amp;" ضد "&amp;$A348))</f>
        <v>1</v>
      </c>
      <c r="Q348" s="4">
        <f>IF($A348=Q$341,"",COUNTIF($E$4:$E$337,$A348&amp;" ضد "&amp;Q$341)+COUNTIF($E$4:$E$337,Q$341&amp;" ضد "&amp;$A348))</f>
        <v>1</v>
      </c>
      <c r="R348" s="4">
        <f>IF($A348=R$341,"",COUNTIF($E$4:$E$337,$A348&amp;" ضد "&amp;R$341)+COUNTIF($E$4:$E$337,R$341&amp;" ضد "&amp;$A348))</f>
        <v>1</v>
      </c>
      <c r="S348" s="4">
        <f>IF($A348=S$341,"",COUNTIF($E$4:$E$337,$A348&amp;" ضد "&amp;S$341)+COUNTIF($E$4:$E$337,S$341&amp;" ضد "&amp;$A348))</f>
        <v>1</v>
      </c>
      <c r="T348" s="4">
        <f>IF($A348=T$341,"",COUNTIF($E$4:$E$337,$A348&amp;" ضد "&amp;T$341)+COUNTIF($E$4:$E$337,T$341&amp;" ضد "&amp;$A348))</f>
        <v>1</v>
      </c>
      <c r="U348" s="4">
        <f>IF($A348=U$341,"",COUNTIF($E$4:$E$337,$A348&amp;" ضد "&amp;U$341)+COUNTIF($E$4:$E$337,U$341&amp;" ضد "&amp;$A348))</f>
        <v>0</v>
      </c>
      <c r="V348" s="4">
        <f>IF($A348=V$341,"",COUNTIF($E$4:$E$337,$A348&amp;" ضد "&amp;V$341)+COUNTIF($E$4:$E$337,V$341&amp;" ضد "&amp;$A348))</f>
        <v>0</v>
      </c>
      <c r="W348" s="4">
        <f>IF($A348=W$341,"",COUNTIF($E$4:$E$337,$A348&amp;" ضد "&amp;W$341)+COUNTIF($E$4:$E$337,W$341&amp;" ضد "&amp;$A348))</f>
        <v>0</v>
      </c>
      <c r="X348" s="4">
        <f>IF($A348=X$341,"",COUNTIF($E$4:$E$337,$A348&amp;" ضد "&amp;X$341)+COUNTIF($E$4:$E$337,X$341&amp;" ضد "&amp;$A348))</f>
        <v>0</v>
      </c>
      <c r="Y348" s="4">
        <f>IF($A348=Y$341,"",COUNTIF($E$4:$E$337,$A348&amp;" ضد "&amp;Y$341)+COUNTIF($E$4:$E$337,Y$341&amp;" ضد "&amp;$A348))</f>
        <v>0</v>
      </c>
      <c r="Z348" s="4">
        <f>IF($A348=Z$341,"",COUNTIF($E$4:$E$337,$A348&amp;" ضد "&amp;Z$341)+COUNTIF($E$4:$E$337,Z$341&amp;" ضد "&amp;$A348))</f>
        <v>0</v>
      </c>
      <c r="AA348" s="4">
        <f>IF($A348=AA$341,"",COUNTIF($E$4:$E$337,$A348&amp;" ضد "&amp;AA$341)+COUNTIF($E$4:$E$337,AA$341&amp;" ضد "&amp;$A348))</f>
        <v>0</v>
      </c>
      <c r="AB348" s="4">
        <f>IF($A348=AB$341,"",COUNTIF($E$4:$E$337,$A348&amp;" ضد "&amp;AB$341)+COUNTIF($E$4:$E$337,AB$341&amp;" ضد "&amp;$A348))</f>
        <v>0</v>
      </c>
      <c r="AC348" s="4">
        <f>IF($A348=AC$341,"",COUNTIF($E$4:$E$337,$A348&amp;" ضد "&amp;AC$341)+COUNTIF($E$4:$E$337,AC$341&amp;" ضد "&amp;$A348))</f>
        <v>0</v>
      </c>
      <c r="AD348" s="4">
        <f>IF($A348=AD$341,"",COUNTIF($E$4:$E$337,$A348&amp;" ضد "&amp;AD$341)+COUNTIF($E$4:$E$337,AD$341&amp;" ضد "&amp;$A348))</f>
        <v>0</v>
      </c>
      <c r="AE348" s="4">
        <f>IF($A348=AE$341,"",COUNTIF($E$4:$E$337,$A348&amp;" ضد "&amp;AE$341)+COUNTIF($E$4:$E$337,AE$341&amp;" ضد "&amp;$A348))</f>
        <v>0</v>
      </c>
      <c r="AF348" s="4">
        <f>IF($A348=AF$341,"",COUNTIF($E$4:$E$337,$A348&amp;" ضد "&amp;AF$341)+COUNTIF($E$4:$E$337,AF$341&amp;" ضد "&amp;$A348))</f>
        <v>0</v>
      </c>
      <c r="AG348" s="4">
        <f>IF($A348=AG$341,"",COUNTIF($E$4:$E$337,$A348&amp;" ضد "&amp;AG$341)+COUNTIF($E$4:$E$337,AG$341&amp;" ضد "&amp;$A348))</f>
        <v>0</v>
      </c>
      <c r="AH348" s="4">
        <f>IF($A348=AH$341,"",COUNTIF($E$4:$E$337,$A348&amp;" ضد "&amp;AH$341)+COUNTIF($E$4:$E$337,AH$341&amp;" ضد "&amp;$A348))</f>
        <v>0</v>
      </c>
      <c r="AI348" s="4">
        <f>IF($A348=AI$341,"",COUNTIF($E$4:$E$337,$A348&amp;" ضد "&amp;AI$341)+COUNTIF($E$4:$E$337,AI$341&amp;" ضد "&amp;$A348))</f>
        <v>0</v>
      </c>
      <c r="AJ348" s="4">
        <f>IF($A348=AJ$341,"",COUNTIF($E$4:$E$337,$A348&amp;" ضد "&amp;AJ$341)+COUNTIF($E$4:$E$337,AJ$341&amp;" ضد "&amp;$A348))</f>
        <v>0</v>
      </c>
      <c r="AK348" s="4">
        <f>IF($A348=AK$341,"",COUNTIF($E$4:$E$337,$A348&amp;" ضد "&amp;AK$341)+COUNTIF($E$4:$E$337,AK$341&amp;" ضد "&amp;$A348))</f>
        <v>0</v>
      </c>
      <c r="AL348" s="4">
        <f>IF($A348=AL$341,"",COUNTIF($E$4:$E$337,$A348&amp;" ضد "&amp;AL$341)+COUNTIF($E$4:$E$337,AL$341&amp;" ضد "&amp;$A348))</f>
        <v>0</v>
      </c>
    </row>
    <row r="349" spans="1:38" ht="14.5">
      <c r="A349" s="14">
        <v>8</v>
      </c>
      <c r="B349" s="4">
        <f>IF($A349=B$341,"",COUNTIF($E$4:$E$337,$A349&amp;" ضد "&amp;B$341)+COUNTIF($E$4:$E$337,B$341&amp;" ضد "&amp;$A349))</f>
        <v>1</v>
      </c>
      <c r="C349" s="4">
        <f>IF($A349=C$341,"",COUNTIF($E$4:$E$337,$A349&amp;" ضد "&amp;C$341)+COUNTIF($E$4:$E$337,C$341&amp;" ضد "&amp;$A349))</f>
        <v>1</v>
      </c>
      <c r="D349" s="4">
        <f>IF($A349=D$341,"",COUNTIF($E$4:$E$337,$A349&amp;" ضد "&amp;D$341)+COUNTIF($E$4:$E$337,D$341&amp;" ضد "&amp;$A349))</f>
        <v>1</v>
      </c>
      <c r="E349" s="4">
        <f>IF($A349=E$341,"",COUNTIF($E$4:$E$337,$A349&amp;" ضد "&amp;E$341)+COUNTIF($E$4:$E$337,E$341&amp;" ضد "&amp;$A349))</f>
        <v>1</v>
      </c>
      <c r="F349" s="4">
        <f>IF($A349=F$341,"",COUNTIF($E$4:$E$337,$A349&amp;" ضد "&amp;F$341)+COUNTIF($E$4:$E$337,F$341&amp;" ضد "&amp;$A349))</f>
        <v>1</v>
      </c>
      <c r="G349" s="4">
        <f>IF($A349=G$341,"",COUNTIF($E$4:$E$337,$A349&amp;" ضد "&amp;G$341)+COUNTIF($E$4:$E$337,G$341&amp;" ضد "&amp;$A349))</f>
        <v>1</v>
      </c>
      <c r="H349" s="4">
        <f>IF($A349=H$341,"",COUNTIF($E$4:$E$337,$A349&amp;" ضد "&amp;H$341)+COUNTIF($E$4:$E$337,H$341&amp;" ضد "&amp;$A349))</f>
        <v>1</v>
      </c>
      <c r="I349" s="4" t="str">
        <f>IF($A349=I$341,"",COUNTIF($E$4:$E$337,$A349&amp;" ضد "&amp;I$341)+COUNTIF($E$4:$E$337,I$341&amp;" ضد "&amp;$A349))</f>
        <v/>
      </c>
      <c r="J349" s="4">
        <f>IF($A349=J$341,"",COUNTIF($E$4:$E$337,$A349&amp;" ضد "&amp;J$341)+COUNTIF($E$4:$E$337,J$341&amp;" ضد "&amp;$A349))</f>
        <v>1</v>
      </c>
      <c r="K349" s="4">
        <f>IF($A349=K$341,"",COUNTIF($E$4:$E$337,$A349&amp;" ضد "&amp;K$341)+COUNTIF($E$4:$E$337,K$341&amp;" ضد "&amp;$A349))</f>
        <v>1</v>
      </c>
      <c r="L349" s="4">
        <f>IF($A349=L$341,"",COUNTIF($E$4:$E$337,$A349&amp;" ضد "&amp;L$341)+COUNTIF($E$4:$E$337,L$341&amp;" ضد "&amp;$A349))</f>
        <v>1</v>
      </c>
      <c r="M349" s="4">
        <f>IF($A349=M$341,"",COUNTIF($E$4:$E$337,$A349&amp;" ضد "&amp;M$341)+COUNTIF($E$4:$E$337,M$341&amp;" ضد "&amp;$A349))</f>
        <v>1</v>
      </c>
      <c r="N349" s="4">
        <f>IF($A349=N$341,"",COUNTIF($E$4:$E$337,$A349&amp;" ضد "&amp;N$341)+COUNTIF($E$4:$E$337,N$341&amp;" ضد "&amp;$A349))</f>
        <v>1</v>
      </c>
      <c r="O349" s="4">
        <f>IF($A349=O$341,"",COUNTIF($E$4:$E$337,$A349&amp;" ضد "&amp;O$341)+COUNTIF($E$4:$E$337,O$341&amp;" ضد "&amp;$A349))</f>
        <v>1</v>
      </c>
      <c r="P349" s="4">
        <f>IF($A349=P$341,"",COUNTIF($E$4:$E$337,$A349&amp;" ضد "&amp;P$341)+COUNTIF($E$4:$E$337,P$341&amp;" ضد "&amp;$A349))</f>
        <v>1</v>
      </c>
      <c r="Q349" s="4">
        <f>IF($A349=Q$341,"",COUNTIF($E$4:$E$337,$A349&amp;" ضد "&amp;Q$341)+COUNTIF($E$4:$E$337,Q$341&amp;" ضد "&amp;$A349))</f>
        <v>1</v>
      </c>
      <c r="R349" s="4">
        <f>IF($A349=R$341,"",COUNTIF($E$4:$E$337,$A349&amp;" ضد "&amp;R$341)+COUNTIF($E$4:$E$337,R$341&amp;" ضد "&amp;$A349))</f>
        <v>1</v>
      </c>
      <c r="S349" s="4">
        <f>IF($A349=S$341,"",COUNTIF($E$4:$E$337,$A349&amp;" ضد "&amp;S$341)+COUNTIF($E$4:$E$337,S$341&amp;" ضد "&amp;$A349))</f>
        <v>1</v>
      </c>
      <c r="T349" s="4">
        <f>IF($A349=T$341,"",COUNTIF($E$4:$E$337,$A349&amp;" ضد "&amp;T$341)+COUNTIF($E$4:$E$337,T$341&amp;" ضد "&amp;$A349))</f>
        <v>1</v>
      </c>
      <c r="U349" s="4">
        <f>IF($A349=U$341,"",COUNTIF($E$4:$E$337,$A349&amp;" ضد "&amp;U$341)+COUNTIF($E$4:$E$337,U$341&amp;" ضد "&amp;$A349))</f>
        <v>0</v>
      </c>
      <c r="V349" s="4">
        <f>IF($A349=V$341,"",COUNTIF($E$4:$E$337,$A349&amp;" ضد "&amp;V$341)+COUNTIF($E$4:$E$337,V$341&amp;" ضد "&amp;$A349))</f>
        <v>0</v>
      </c>
      <c r="W349" s="4">
        <f>IF($A349=W$341,"",COUNTIF($E$4:$E$337,$A349&amp;" ضد "&amp;W$341)+COUNTIF($E$4:$E$337,W$341&amp;" ضد "&amp;$A349))</f>
        <v>0</v>
      </c>
      <c r="X349" s="4">
        <f>IF($A349=X$341,"",COUNTIF($E$4:$E$337,$A349&amp;" ضد "&amp;X$341)+COUNTIF($E$4:$E$337,X$341&amp;" ضد "&amp;$A349))</f>
        <v>0</v>
      </c>
      <c r="Y349" s="4">
        <f>IF($A349=Y$341,"",COUNTIF($E$4:$E$337,$A349&amp;" ضد "&amp;Y$341)+COUNTIF($E$4:$E$337,Y$341&amp;" ضد "&amp;$A349))</f>
        <v>0</v>
      </c>
      <c r="Z349" s="4">
        <f>IF($A349=Z$341,"",COUNTIF($E$4:$E$337,$A349&amp;" ضد "&amp;Z$341)+COUNTIF($E$4:$E$337,Z$341&amp;" ضد "&amp;$A349))</f>
        <v>0</v>
      </c>
      <c r="AA349" s="4">
        <f>IF($A349=AA$341,"",COUNTIF($E$4:$E$337,$A349&amp;" ضد "&amp;AA$341)+COUNTIF($E$4:$E$337,AA$341&amp;" ضد "&amp;$A349))</f>
        <v>0</v>
      </c>
      <c r="AB349" s="4">
        <f>IF($A349=AB$341,"",COUNTIF($E$4:$E$337,$A349&amp;" ضد "&amp;AB$341)+COUNTIF($E$4:$E$337,AB$341&amp;" ضد "&amp;$A349))</f>
        <v>0</v>
      </c>
      <c r="AC349" s="4">
        <f>IF($A349=AC$341,"",COUNTIF($E$4:$E$337,$A349&amp;" ضد "&amp;AC$341)+COUNTIF($E$4:$E$337,AC$341&amp;" ضد "&amp;$A349))</f>
        <v>0</v>
      </c>
      <c r="AD349" s="4">
        <f>IF($A349=AD$341,"",COUNTIF($E$4:$E$337,$A349&amp;" ضد "&amp;AD$341)+COUNTIF($E$4:$E$337,AD$341&amp;" ضد "&amp;$A349))</f>
        <v>0</v>
      </c>
      <c r="AE349" s="4">
        <f>IF($A349=AE$341,"",COUNTIF($E$4:$E$337,$A349&amp;" ضد "&amp;AE$341)+COUNTIF($E$4:$E$337,AE$341&amp;" ضد "&amp;$A349))</f>
        <v>0</v>
      </c>
      <c r="AF349" s="4">
        <f>IF($A349=AF$341,"",COUNTIF($E$4:$E$337,$A349&amp;" ضد "&amp;AF$341)+COUNTIF($E$4:$E$337,AF$341&amp;" ضد "&amp;$A349))</f>
        <v>0</v>
      </c>
      <c r="AG349" s="4">
        <f>IF($A349=AG$341,"",COUNTIF($E$4:$E$337,$A349&amp;" ضد "&amp;AG$341)+COUNTIF($E$4:$E$337,AG$341&amp;" ضد "&amp;$A349))</f>
        <v>0</v>
      </c>
      <c r="AH349" s="4">
        <f>IF($A349=AH$341,"",COUNTIF($E$4:$E$337,$A349&amp;" ضد "&amp;AH$341)+COUNTIF($E$4:$E$337,AH$341&amp;" ضد "&amp;$A349))</f>
        <v>0</v>
      </c>
      <c r="AI349" s="4">
        <f>IF($A349=AI$341,"",COUNTIF($E$4:$E$337,$A349&amp;" ضد "&amp;AI$341)+COUNTIF($E$4:$E$337,AI$341&amp;" ضد "&amp;$A349))</f>
        <v>0</v>
      </c>
      <c r="AJ349" s="4">
        <f>IF($A349=AJ$341,"",COUNTIF($E$4:$E$337,$A349&amp;" ضد "&amp;AJ$341)+COUNTIF($E$4:$E$337,AJ$341&amp;" ضد "&amp;$A349))</f>
        <v>0</v>
      </c>
      <c r="AK349" s="4">
        <f>IF($A349=AK$341,"",COUNTIF($E$4:$E$337,$A349&amp;" ضد "&amp;AK$341)+COUNTIF($E$4:$E$337,AK$341&amp;" ضد "&amp;$A349))</f>
        <v>0</v>
      </c>
      <c r="AL349" s="4">
        <f>IF($A349=AL$341,"",COUNTIF($E$4:$E$337,$A349&amp;" ضد "&amp;AL$341)+COUNTIF($E$4:$E$337,AL$341&amp;" ضد "&amp;$A349))</f>
        <v>0</v>
      </c>
    </row>
    <row r="350" spans="1:38" ht="14.5">
      <c r="A350" s="14">
        <v>9</v>
      </c>
      <c r="B350" s="4">
        <f>IF($A350=B$341,"",COUNTIF($E$4:$E$337,$A350&amp;" ضد "&amp;B$341)+COUNTIF($E$4:$E$337,B$341&amp;" ضد "&amp;$A350))</f>
        <v>1</v>
      </c>
      <c r="C350" s="4">
        <f>IF($A350=C$341,"",COUNTIF($E$4:$E$337,$A350&amp;" ضد "&amp;C$341)+COUNTIF($E$4:$E$337,C$341&amp;" ضد "&amp;$A350))</f>
        <v>1</v>
      </c>
      <c r="D350" s="4">
        <f>IF($A350=D$341,"",COUNTIF($E$4:$E$337,$A350&amp;" ضد "&amp;D$341)+COUNTIF($E$4:$E$337,D$341&amp;" ضد "&amp;$A350))</f>
        <v>1</v>
      </c>
      <c r="E350" s="4">
        <f>IF($A350=E$341,"",COUNTIF($E$4:$E$337,$A350&amp;" ضد "&amp;E$341)+COUNTIF($E$4:$E$337,E$341&amp;" ضد "&amp;$A350))</f>
        <v>1</v>
      </c>
      <c r="F350" s="4">
        <f>IF($A350=F$341,"",COUNTIF($E$4:$E$337,$A350&amp;" ضد "&amp;F$341)+COUNTIF($E$4:$E$337,F$341&amp;" ضد "&amp;$A350))</f>
        <v>1</v>
      </c>
      <c r="G350" s="4">
        <f>IF($A350=G$341,"",COUNTIF($E$4:$E$337,$A350&amp;" ضد "&amp;G$341)+COUNTIF($E$4:$E$337,G$341&amp;" ضد "&amp;$A350))</f>
        <v>1</v>
      </c>
      <c r="H350" s="4">
        <f>IF($A350=H$341,"",COUNTIF($E$4:$E$337,$A350&amp;" ضد "&amp;H$341)+COUNTIF($E$4:$E$337,H$341&amp;" ضد "&amp;$A350))</f>
        <v>1</v>
      </c>
      <c r="I350" s="4">
        <f>IF($A350=I$341,"",COUNTIF($E$4:$E$337,$A350&amp;" ضد "&amp;I$341)+COUNTIF($E$4:$E$337,I$341&amp;" ضد "&amp;$A350))</f>
        <v>1</v>
      </c>
      <c r="J350" s="4" t="str">
        <f>IF($A350=J$341,"",COUNTIF($E$4:$E$337,$A350&amp;" ضد "&amp;J$341)+COUNTIF($E$4:$E$337,J$341&amp;" ضد "&amp;$A350))</f>
        <v/>
      </c>
      <c r="K350" s="4">
        <f>IF($A350=K$341,"",COUNTIF($E$4:$E$337,$A350&amp;" ضد "&amp;K$341)+COUNTIF($E$4:$E$337,K$341&amp;" ضد "&amp;$A350))</f>
        <v>1</v>
      </c>
      <c r="L350" s="4">
        <f>IF($A350=L$341,"",COUNTIF($E$4:$E$337,$A350&amp;" ضد "&amp;L$341)+COUNTIF($E$4:$E$337,L$341&amp;" ضد "&amp;$A350))</f>
        <v>1</v>
      </c>
      <c r="M350" s="4">
        <f>IF($A350=M$341,"",COUNTIF($E$4:$E$337,$A350&amp;" ضد "&amp;M$341)+COUNTIF($E$4:$E$337,M$341&amp;" ضد "&amp;$A350))</f>
        <v>1</v>
      </c>
      <c r="N350" s="4">
        <f>IF($A350=N$341,"",COUNTIF($E$4:$E$337,$A350&amp;" ضد "&amp;N$341)+COUNTIF($E$4:$E$337,N$341&amp;" ضد "&amp;$A350))</f>
        <v>1</v>
      </c>
      <c r="O350" s="4">
        <f>IF($A350=O$341,"",COUNTIF($E$4:$E$337,$A350&amp;" ضد "&amp;O$341)+COUNTIF($E$4:$E$337,O$341&amp;" ضد "&amp;$A350))</f>
        <v>1</v>
      </c>
      <c r="P350" s="4">
        <f>IF($A350=P$341,"",COUNTIF($E$4:$E$337,$A350&amp;" ضد "&amp;P$341)+COUNTIF($E$4:$E$337,P$341&amp;" ضد "&amp;$A350))</f>
        <v>1</v>
      </c>
      <c r="Q350" s="4">
        <f>IF($A350=Q$341,"",COUNTIF($E$4:$E$337,$A350&amp;" ضد "&amp;Q$341)+COUNTIF($E$4:$E$337,Q$341&amp;" ضد "&amp;$A350))</f>
        <v>1</v>
      </c>
      <c r="R350" s="4">
        <f>IF($A350=R$341,"",COUNTIF($E$4:$E$337,$A350&amp;" ضد "&amp;R$341)+COUNTIF($E$4:$E$337,R$341&amp;" ضد "&amp;$A350))</f>
        <v>1</v>
      </c>
      <c r="S350" s="4">
        <f>IF($A350=S$341,"",COUNTIF($E$4:$E$337,$A350&amp;" ضد "&amp;S$341)+COUNTIF($E$4:$E$337,S$341&amp;" ضد "&amp;$A350))</f>
        <v>1</v>
      </c>
      <c r="T350" s="4">
        <f>IF($A350=T$341,"",COUNTIF($E$4:$E$337,$A350&amp;" ضد "&amp;T$341)+COUNTIF($E$4:$E$337,T$341&amp;" ضد "&amp;$A350))</f>
        <v>1</v>
      </c>
      <c r="U350" s="4">
        <f>IF($A350=U$341,"",COUNTIF($E$4:$E$337,$A350&amp;" ضد "&amp;U$341)+COUNTIF($E$4:$E$337,U$341&amp;" ضد "&amp;$A350))</f>
        <v>0</v>
      </c>
      <c r="V350" s="4">
        <f>IF($A350=V$341,"",COUNTIF($E$4:$E$337,$A350&amp;" ضد "&amp;V$341)+COUNTIF($E$4:$E$337,V$341&amp;" ضد "&amp;$A350))</f>
        <v>0</v>
      </c>
      <c r="W350" s="4">
        <f>IF($A350=W$341,"",COUNTIF($E$4:$E$337,$A350&amp;" ضد "&amp;W$341)+COUNTIF($E$4:$E$337,W$341&amp;" ضد "&amp;$A350))</f>
        <v>0</v>
      </c>
      <c r="X350" s="4">
        <f>IF($A350=X$341,"",COUNTIF($E$4:$E$337,$A350&amp;" ضد "&amp;X$341)+COUNTIF($E$4:$E$337,X$341&amp;" ضد "&amp;$A350))</f>
        <v>0</v>
      </c>
      <c r="Y350" s="4">
        <f>IF($A350=Y$341,"",COUNTIF($E$4:$E$337,$A350&amp;" ضد "&amp;Y$341)+COUNTIF($E$4:$E$337,Y$341&amp;" ضد "&amp;$A350))</f>
        <v>0</v>
      </c>
      <c r="Z350" s="4">
        <f>IF($A350=Z$341,"",COUNTIF($E$4:$E$337,$A350&amp;" ضد "&amp;Z$341)+COUNTIF($E$4:$E$337,Z$341&amp;" ضد "&amp;$A350))</f>
        <v>0</v>
      </c>
      <c r="AA350" s="4">
        <f>IF($A350=AA$341,"",COUNTIF($E$4:$E$337,$A350&amp;" ضد "&amp;AA$341)+COUNTIF($E$4:$E$337,AA$341&amp;" ضد "&amp;$A350))</f>
        <v>0</v>
      </c>
      <c r="AB350" s="4">
        <f>IF($A350=AB$341,"",COUNTIF($E$4:$E$337,$A350&amp;" ضد "&amp;AB$341)+COUNTIF($E$4:$E$337,AB$341&amp;" ضد "&amp;$A350))</f>
        <v>0</v>
      </c>
      <c r="AC350" s="4">
        <f>IF($A350=AC$341,"",COUNTIF($E$4:$E$337,$A350&amp;" ضد "&amp;AC$341)+COUNTIF($E$4:$E$337,AC$341&amp;" ضد "&amp;$A350))</f>
        <v>0</v>
      </c>
      <c r="AD350" s="4">
        <f>IF($A350=AD$341,"",COUNTIF($E$4:$E$337,$A350&amp;" ضد "&amp;AD$341)+COUNTIF($E$4:$E$337,AD$341&amp;" ضد "&amp;$A350))</f>
        <v>0</v>
      </c>
      <c r="AE350" s="4">
        <f>IF($A350=AE$341,"",COUNTIF($E$4:$E$337,$A350&amp;" ضد "&amp;AE$341)+COUNTIF($E$4:$E$337,AE$341&amp;" ضد "&amp;$A350))</f>
        <v>0</v>
      </c>
      <c r="AF350" s="4">
        <f>IF($A350=AF$341,"",COUNTIF($E$4:$E$337,$A350&amp;" ضد "&amp;AF$341)+COUNTIF($E$4:$E$337,AF$341&amp;" ضد "&amp;$A350))</f>
        <v>0</v>
      </c>
      <c r="AG350" s="4">
        <f>IF($A350=AG$341,"",COUNTIF($E$4:$E$337,$A350&amp;" ضد "&amp;AG$341)+COUNTIF($E$4:$E$337,AG$341&amp;" ضد "&amp;$A350))</f>
        <v>0</v>
      </c>
      <c r="AH350" s="4">
        <f>IF($A350=AH$341,"",COUNTIF($E$4:$E$337,$A350&amp;" ضد "&amp;AH$341)+COUNTIF($E$4:$E$337,AH$341&amp;" ضد "&amp;$A350))</f>
        <v>0</v>
      </c>
      <c r="AI350" s="4">
        <f>IF($A350=AI$341,"",COUNTIF($E$4:$E$337,$A350&amp;" ضد "&amp;AI$341)+COUNTIF($E$4:$E$337,AI$341&amp;" ضد "&amp;$A350))</f>
        <v>0</v>
      </c>
      <c r="AJ350" s="4">
        <f>IF($A350=AJ$341,"",COUNTIF($E$4:$E$337,$A350&amp;" ضد "&amp;AJ$341)+COUNTIF($E$4:$E$337,AJ$341&amp;" ضد "&amp;$A350))</f>
        <v>0</v>
      </c>
      <c r="AK350" s="4">
        <f>IF($A350=AK$341,"",COUNTIF($E$4:$E$337,$A350&amp;" ضد "&amp;AK$341)+COUNTIF($E$4:$E$337,AK$341&amp;" ضد "&amp;$A350))</f>
        <v>0</v>
      </c>
      <c r="AL350" s="4">
        <f>IF($A350=AL$341,"",COUNTIF($E$4:$E$337,$A350&amp;" ضد "&amp;AL$341)+COUNTIF($E$4:$E$337,AL$341&amp;" ضد "&amp;$A350))</f>
        <v>0</v>
      </c>
    </row>
    <row r="351" spans="1:38" ht="14.5">
      <c r="A351" s="14">
        <v>10</v>
      </c>
      <c r="B351" s="4">
        <f>IF($A351=B$341,"",COUNTIF($E$4:$E$337,$A351&amp;" ضد "&amp;B$341)+COUNTIF($E$4:$E$337,B$341&amp;" ضد "&amp;$A351))</f>
        <v>1</v>
      </c>
      <c r="C351" s="4">
        <f>IF($A351=C$341,"",COUNTIF($E$4:$E$337,$A351&amp;" ضد "&amp;C$341)+COUNTIF($E$4:$E$337,C$341&amp;" ضد "&amp;$A351))</f>
        <v>1</v>
      </c>
      <c r="D351" s="4">
        <f>IF($A351=D$341,"",COUNTIF($E$4:$E$337,$A351&amp;" ضد "&amp;D$341)+COUNTIF($E$4:$E$337,D$341&amp;" ضد "&amp;$A351))</f>
        <v>1</v>
      </c>
      <c r="E351" s="4">
        <f>IF($A351=E$341,"",COUNTIF($E$4:$E$337,$A351&amp;" ضد "&amp;E$341)+COUNTIF($E$4:$E$337,E$341&amp;" ضد "&amp;$A351))</f>
        <v>1</v>
      </c>
      <c r="F351" s="4">
        <f>IF($A351=F$341,"",COUNTIF($E$4:$E$337,$A351&amp;" ضد "&amp;F$341)+COUNTIF($E$4:$E$337,F$341&amp;" ضد "&amp;$A351))</f>
        <v>1</v>
      </c>
      <c r="G351" s="4">
        <f>IF($A351=G$341,"",COUNTIF($E$4:$E$337,$A351&amp;" ضد "&amp;G$341)+COUNTIF($E$4:$E$337,G$341&amp;" ضد "&amp;$A351))</f>
        <v>1</v>
      </c>
      <c r="H351" s="4">
        <f>IF($A351=H$341,"",COUNTIF($E$4:$E$337,$A351&amp;" ضد "&amp;H$341)+COUNTIF($E$4:$E$337,H$341&amp;" ضد "&amp;$A351))</f>
        <v>1</v>
      </c>
      <c r="I351" s="4">
        <f>IF($A351=I$341,"",COUNTIF($E$4:$E$337,$A351&amp;" ضد "&amp;I$341)+COUNTIF($E$4:$E$337,I$341&amp;" ضد "&amp;$A351))</f>
        <v>1</v>
      </c>
      <c r="J351" s="4">
        <f>IF($A351=J$341,"",COUNTIF($E$4:$E$337,$A351&amp;" ضد "&amp;J$341)+COUNTIF($E$4:$E$337,J$341&amp;" ضد "&amp;$A351))</f>
        <v>1</v>
      </c>
      <c r="K351" s="4" t="str">
        <f>IF($A351=K$341,"",COUNTIF($E$4:$E$337,$A351&amp;" ضد "&amp;K$341)+COUNTIF($E$4:$E$337,K$341&amp;" ضد "&amp;$A351))</f>
        <v/>
      </c>
      <c r="L351" s="4">
        <f>IF($A351=L$341,"",COUNTIF($E$4:$E$337,$A351&amp;" ضد "&amp;L$341)+COUNTIF($E$4:$E$337,L$341&amp;" ضد "&amp;$A351))</f>
        <v>1</v>
      </c>
      <c r="M351" s="4">
        <f>IF($A351=M$341,"",COUNTIF($E$4:$E$337,$A351&amp;" ضد "&amp;M$341)+COUNTIF($E$4:$E$337,M$341&amp;" ضد "&amp;$A351))</f>
        <v>1</v>
      </c>
      <c r="N351" s="4">
        <f>IF($A351=N$341,"",COUNTIF($E$4:$E$337,$A351&amp;" ضد "&amp;N$341)+COUNTIF($E$4:$E$337,N$341&amp;" ضد "&amp;$A351))</f>
        <v>1</v>
      </c>
      <c r="O351" s="4">
        <f>IF($A351=O$341,"",COUNTIF($E$4:$E$337,$A351&amp;" ضد "&amp;O$341)+COUNTIF($E$4:$E$337,O$341&amp;" ضد "&amp;$A351))</f>
        <v>1</v>
      </c>
      <c r="P351" s="4">
        <f>IF($A351=P$341,"",COUNTIF($E$4:$E$337,$A351&amp;" ضد "&amp;P$341)+COUNTIF($E$4:$E$337,P$341&amp;" ضد "&amp;$A351))</f>
        <v>1</v>
      </c>
      <c r="Q351" s="4">
        <f>IF($A351=Q$341,"",COUNTIF($E$4:$E$337,$A351&amp;" ضد "&amp;Q$341)+COUNTIF($E$4:$E$337,Q$341&amp;" ضد "&amp;$A351))</f>
        <v>1</v>
      </c>
      <c r="R351" s="4">
        <f>IF($A351=R$341,"",COUNTIF($E$4:$E$337,$A351&amp;" ضد "&amp;R$341)+COUNTIF($E$4:$E$337,R$341&amp;" ضد "&amp;$A351))</f>
        <v>1</v>
      </c>
      <c r="S351" s="4">
        <f>IF($A351=S$341,"",COUNTIF($E$4:$E$337,$A351&amp;" ضد "&amp;S$341)+COUNTIF($E$4:$E$337,S$341&amp;" ضد "&amp;$A351))</f>
        <v>1</v>
      </c>
      <c r="T351" s="4">
        <f>IF($A351=T$341,"",COUNTIF($E$4:$E$337,$A351&amp;" ضد "&amp;T$341)+COUNTIF($E$4:$E$337,T$341&amp;" ضد "&amp;$A351))</f>
        <v>1</v>
      </c>
      <c r="U351" s="4">
        <f>IF($A351=U$341,"",COUNTIF($E$4:$E$337,$A351&amp;" ضد "&amp;U$341)+COUNTIF($E$4:$E$337,U$341&amp;" ضد "&amp;$A351))</f>
        <v>0</v>
      </c>
      <c r="V351" s="4">
        <f>IF($A351=V$341,"",COUNTIF($E$4:$E$337,$A351&amp;" ضد "&amp;V$341)+COUNTIF($E$4:$E$337,V$341&amp;" ضد "&amp;$A351))</f>
        <v>0</v>
      </c>
      <c r="W351" s="4">
        <f>IF($A351=W$341,"",COUNTIF($E$4:$E$337,$A351&amp;" ضد "&amp;W$341)+COUNTIF($E$4:$E$337,W$341&amp;" ضد "&amp;$A351))</f>
        <v>0</v>
      </c>
      <c r="X351" s="4">
        <f>IF($A351=X$341,"",COUNTIF($E$4:$E$337,$A351&amp;" ضد "&amp;X$341)+COUNTIF($E$4:$E$337,X$341&amp;" ضد "&amp;$A351))</f>
        <v>0</v>
      </c>
      <c r="Y351" s="4">
        <f>IF($A351=Y$341,"",COUNTIF($E$4:$E$337,$A351&amp;" ضد "&amp;Y$341)+COUNTIF($E$4:$E$337,Y$341&amp;" ضد "&amp;$A351))</f>
        <v>0</v>
      </c>
      <c r="Z351" s="4">
        <f>IF($A351=Z$341,"",COUNTIF($E$4:$E$337,$A351&amp;" ضد "&amp;Z$341)+COUNTIF($E$4:$E$337,Z$341&amp;" ضد "&amp;$A351))</f>
        <v>0</v>
      </c>
      <c r="AA351" s="4">
        <f>IF($A351=AA$341,"",COUNTIF($E$4:$E$337,$A351&amp;" ضد "&amp;AA$341)+COUNTIF($E$4:$E$337,AA$341&amp;" ضد "&amp;$A351))</f>
        <v>0</v>
      </c>
      <c r="AB351" s="4">
        <f>IF($A351=AB$341,"",COUNTIF($E$4:$E$337,$A351&amp;" ضد "&amp;AB$341)+COUNTIF($E$4:$E$337,AB$341&amp;" ضد "&amp;$A351))</f>
        <v>0</v>
      </c>
      <c r="AC351" s="4">
        <f>IF($A351=AC$341,"",COUNTIF($E$4:$E$337,$A351&amp;" ضد "&amp;AC$341)+COUNTIF($E$4:$E$337,AC$341&amp;" ضد "&amp;$A351))</f>
        <v>0</v>
      </c>
      <c r="AD351" s="4">
        <f>IF($A351=AD$341,"",COUNTIF($E$4:$E$337,$A351&amp;" ضد "&amp;AD$341)+COUNTIF($E$4:$E$337,AD$341&amp;" ضد "&amp;$A351))</f>
        <v>0</v>
      </c>
      <c r="AE351" s="4">
        <f>IF($A351=AE$341,"",COUNTIF($E$4:$E$337,$A351&amp;" ضد "&amp;AE$341)+COUNTIF($E$4:$E$337,AE$341&amp;" ضد "&amp;$A351))</f>
        <v>0</v>
      </c>
      <c r="AF351" s="4">
        <f>IF($A351=AF$341,"",COUNTIF($E$4:$E$337,$A351&amp;" ضد "&amp;AF$341)+COUNTIF($E$4:$E$337,AF$341&amp;" ضد "&amp;$A351))</f>
        <v>0</v>
      </c>
      <c r="AG351" s="4">
        <f>IF($A351=AG$341,"",COUNTIF($E$4:$E$337,$A351&amp;" ضد "&amp;AG$341)+COUNTIF($E$4:$E$337,AG$341&amp;" ضد "&amp;$A351))</f>
        <v>0</v>
      </c>
      <c r="AH351" s="4">
        <f>IF($A351=AH$341,"",COUNTIF($E$4:$E$337,$A351&amp;" ضد "&amp;AH$341)+COUNTIF($E$4:$E$337,AH$341&amp;" ضد "&amp;$A351))</f>
        <v>0</v>
      </c>
      <c r="AI351" s="4">
        <f>IF($A351=AI$341,"",COUNTIF($E$4:$E$337,$A351&amp;" ضد "&amp;AI$341)+COUNTIF($E$4:$E$337,AI$341&amp;" ضد "&amp;$A351))</f>
        <v>0</v>
      </c>
      <c r="AJ351" s="4">
        <f>IF($A351=AJ$341,"",COUNTIF($E$4:$E$337,$A351&amp;" ضد "&amp;AJ$341)+COUNTIF($E$4:$E$337,AJ$341&amp;" ضد "&amp;$A351))</f>
        <v>0</v>
      </c>
      <c r="AK351" s="4">
        <f>IF($A351=AK$341,"",COUNTIF($E$4:$E$337,$A351&amp;" ضد "&amp;AK$341)+COUNTIF($E$4:$E$337,AK$341&amp;" ضد "&amp;$A351))</f>
        <v>0</v>
      </c>
      <c r="AL351" s="4">
        <f>IF($A351=AL$341,"",COUNTIF($E$4:$E$337,$A351&amp;" ضد "&amp;AL$341)+COUNTIF($E$4:$E$337,AL$341&amp;" ضد "&amp;$A351))</f>
        <v>0</v>
      </c>
    </row>
    <row r="352" spans="1:38" ht="14.5">
      <c r="A352" s="14">
        <v>11</v>
      </c>
      <c r="B352" s="4">
        <f>IF($A352=B$341,"",COUNTIF($E$4:$E$337,$A352&amp;" ضد "&amp;B$341)+COUNTIF($E$4:$E$337,B$341&amp;" ضد "&amp;$A352))</f>
        <v>1</v>
      </c>
      <c r="C352" s="4">
        <f>IF($A352=C$341,"",COUNTIF($E$4:$E$337,$A352&amp;" ضد "&amp;C$341)+COUNTIF($E$4:$E$337,C$341&amp;" ضد "&amp;$A352))</f>
        <v>1</v>
      </c>
      <c r="D352" s="4">
        <f>IF($A352=D$341,"",COUNTIF($E$4:$E$337,$A352&amp;" ضد "&amp;D$341)+COUNTIF($E$4:$E$337,D$341&amp;" ضد "&amp;$A352))</f>
        <v>1</v>
      </c>
      <c r="E352" s="4">
        <f>IF($A352=E$341,"",COUNTIF($E$4:$E$337,$A352&amp;" ضد "&amp;E$341)+COUNTIF($E$4:$E$337,E$341&amp;" ضد "&amp;$A352))</f>
        <v>1</v>
      </c>
      <c r="F352" s="4">
        <f>IF($A352=F$341,"",COUNTIF($E$4:$E$337,$A352&amp;" ضد "&amp;F$341)+COUNTIF($E$4:$E$337,F$341&amp;" ضد "&amp;$A352))</f>
        <v>1</v>
      </c>
      <c r="G352" s="4">
        <f>IF($A352=G$341,"",COUNTIF($E$4:$E$337,$A352&amp;" ضد "&amp;G$341)+COUNTIF($E$4:$E$337,G$341&amp;" ضد "&amp;$A352))</f>
        <v>1</v>
      </c>
      <c r="H352" s="4">
        <f>IF($A352=H$341,"",COUNTIF($E$4:$E$337,$A352&amp;" ضد "&amp;H$341)+COUNTIF($E$4:$E$337,H$341&amp;" ضد "&amp;$A352))</f>
        <v>1</v>
      </c>
      <c r="I352" s="4">
        <f>IF($A352=I$341,"",COUNTIF($E$4:$E$337,$A352&amp;" ضد "&amp;I$341)+COUNTIF($E$4:$E$337,I$341&amp;" ضد "&amp;$A352))</f>
        <v>1</v>
      </c>
      <c r="J352" s="4">
        <f>IF($A352=J$341,"",COUNTIF($E$4:$E$337,$A352&amp;" ضد "&amp;J$341)+COUNTIF($E$4:$E$337,J$341&amp;" ضد "&amp;$A352))</f>
        <v>1</v>
      </c>
      <c r="K352" s="4">
        <f>IF($A352=K$341,"",COUNTIF($E$4:$E$337,$A352&amp;" ضد "&amp;K$341)+COUNTIF($E$4:$E$337,K$341&amp;" ضد "&amp;$A352))</f>
        <v>1</v>
      </c>
      <c r="L352" s="4" t="str">
        <f>IF($A352=L$341,"",COUNTIF($E$4:$E$337,$A352&amp;" ضد "&amp;L$341)+COUNTIF($E$4:$E$337,L$341&amp;" ضد "&amp;$A352))</f>
        <v/>
      </c>
      <c r="M352" s="4">
        <f>IF($A352=M$341,"",COUNTIF($E$4:$E$337,$A352&amp;" ضد "&amp;M$341)+COUNTIF($E$4:$E$337,M$341&amp;" ضد "&amp;$A352))</f>
        <v>1</v>
      </c>
      <c r="N352" s="4">
        <f>IF($A352=N$341,"",COUNTIF($E$4:$E$337,$A352&amp;" ضد "&amp;N$341)+COUNTIF($E$4:$E$337,N$341&amp;" ضد "&amp;$A352))</f>
        <v>1</v>
      </c>
      <c r="O352" s="4">
        <f>IF($A352=O$341,"",COUNTIF($E$4:$E$337,$A352&amp;" ضد "&amp;O$341)+COUNTIF($E$4:$E$337,O$341&amp;" ضد "&amp;$A352))</f>
        <v>1</v>
      </c>
      <c r="P352" s="4">
        <f>IF($A352=P$341,"",COUNTIF($E$4:$E$337,$A352&amp;" ضد "&amp;P$341)+COUNTIF($E$4:$E$337,P$341&amp;" ضد "&amp;$A352))</f>
        <v>1</v>
      </c>
      <c r="Q352" s="4">
        <f>IF($A352=Q$341,"",COUNTIF($E$4:$E$337,$A352&amp;" ضد "&amp;Q$341)+COUNTIF($E$4:$E$337,Q$341&amp;" ضد "&amp;$A352))</f>
        <v>1</v>
      </c>
      <c r="R352" s="4">
        <f>IF($A352=R$341,"",COUNTIF($E$4:$E$337,$A352&amp;" ضد "&amp;R$341)+COUNTIF($E$4:$E$337,R$341&amp;" ضد "&amp;$A352))</f>
        <v>1</v>
      </c>
      <c r="S352" s="4">
        <f>IF($A352=S$341,"",COUNTIF($E$4:$E$337,$A352&amp;" ضد "&amp;S$341)+COUNTIF($E$4:$E$337,S$341&amp;" ضد "&amp;$A352))</f>
        <v>1</v>
      </c>
      <c r="T352" s="4">
        <f>IF($A352=T$341,"",COUNTIF($E$4:$E$337,$A352&amp;" ضد "&amp;T$341)+COUNTIF($E$4:$E$337,T$341&amp;" ضد "&amp;$A352))</f>
        <v>1</v>
      </c>
      <c r="U352" s="4">
        <f>IF($A352=U$341,"",COUNTIF($E$4:$E$337,$A352&amp;" ضد "&amp;U$341)+COUNTIF($E$4:$E$337,U$341&amp;" ضد "&amp;$A352))</f>
        <v>0</v>
      </c>
      <c r="V352" s="4">
        <f>IF($A352=V$341,"",COUNTIF($E$4:$E$337,$A352&amp;" ضد "&amp;V$341)+COUNTIF($E$4:$E$337,V$341&amp;" ضد "&amp;$A352))</f>
        <v>0</v>
      </c>
      <c r="W352" s="4">
        <f>IF($A352=W$341,"",COUNTIF($E$4:$E$337,$A352&amp;" ضد "&amp;W$341)+COUNTIF($E$4:$E$337,W$341&amp;" ضد "&amp;$A352))</f>
        <v>0</v>
      </c>
      <c r="X352" s="4">
        <f>IF($A352=X$341,"",COUNTIF($E$4:$E$337,$A352&amp;" ضد "&amp;X$341)+COUNTIF($E$4:$E$337,X$341&amp;" ضد "&amp;$A352))</f>
        <v>0</v>
      </c>
      <c r="Y352" s="4">
        <f>IF($A352=Y$341,"",COUNTIF($E$4:$E$337,$A352&amp;" ضد "&amp;Y$341)+COUNTIF($E$4:$E$337,Y$341&amp;" ضد "&amp;$A352))</f>
        <v>0</v>
      </c>
      <c r="Z352" s="4">
        <f>IF($A352=Z$341,"",COUNTIF($E$4:$E$337,$A352&amp;" ضد "&amp;Z$341)+COUNTIF($E$4:$E$337,Z$341&amp;" ضد "&amp;$A352))</f>
        <v>0</v>
      </c>
      <c r="AA352" s="4">
        <f>IF($A352=AA$341,"",COUNTIF($E$4:$E$337,$A352&amp;" ضد "&amp;AA$341)+COUNTIF($E$4:$E$337,AA$341&amp;" ضد "&amp;$A352))</f>
        <v>0</v>
      </c>
      <c r="AB352" s="4">
        <f>IF($A352=AB$341,"",COUNTIF($E$4:$E$337,$A352&amp;" ضد "&amp;AB$341)+COUNTIF($E$4:$E$337,AB$341&amp;" ضد "&amp;$A352))</f>
        <v>0</v>
      </c>
      <c r="AC352" s="4">
        <f>IF($A352=AC$341,"",COUNTIF($E$4:$E$337,$A352&amp;" ضد "&amp;AC$341)+COUNTIF($E$4:$E$337,AC$341&amp;" ضد "&amp;$A352))</f>
        <v>0</v>
      </c>
      <c r="AD352" s="4">
        <f>IF($A352=AD$341,"",COUNTIF($E$4:$E$337,$A352&amp;" ضد "&amp;AD$341)+COUNTIF($E$4:$E$337,AD$341&amp;" ضد "&amp;$A352))</f>
        <v>0</v>
      </c>
      <c r="AE352" s="4">
        <f>IF($A352=AE$341,"",COUNTIF($E$4:$E$337,$A352&amp;" ضد "&amp;AE$341)+COUNTIF($E$4:$E$337,AE$341&amp;" ضد "&amp;$A352))</f>
        <v>0</v>
      </c>
      <c r="AF352" s="4">
        <f>IF($A352=AF$341,"",COUNTIF($E$4:$E$337,$A352&amp;" ضد "&amp;AF$341)+COUNTIF($E$4:$E$337,AF$341&amp;" ضد "&amp;$A352))</f>
        <v>0</v>
      </c>
      <c r="AG352" s="4">
        <f>IF($A352=AG$341,"",COUNTIF($E$4:$E$337,$A352&amp;" ضد "&amp;AG$341)+COUNTIF($E$4:$E$337,AG$341&amp;" ضد "&amp;$A352))</f>
        <v>0</v>
      </c>
      <c r="AH352" s="4">
        <f>IF($A352=AH$341,"",COUNTIF($E$4:$E$337,$A352&amp;" ضد "&amp;AH$341)+COUNTIF($E$4:$E$337,AH$341&amp;" ضد "&amp;$A352))</f>
        <v>0</v>
      </c>
      <c r="AI352" s="4">
        <f>IF($A352=AI$341,"",COUNTIF($E$4:$E$337,$A352&amp;" ضد "&amp;AI$341)+COUNTIF($E$4:$E$337,AI$341&amp;" ضد "&amp;$A352))</f>
        <v>0</v>
      </c>
      <c r="AJ352" s="4">
        <f>IF($A352=AJ$341,"",COUNTIF($E$4:$E$337,$A352&amp;" ضد "&amp;AJ$341)+COUNTIF($E$4:$E$337,AJ$341&amp;" ضد "&amp;$A352))</f>
        <v>0</v>
      </c>
      <c r="AK352" s="4">
        <f>IF($A352=AK$341,"",COUNTIF($E$4:$E$337,$A352&amp;" ضد "&amp;AK$341)+COUNTIF($E$4:$E$337,AK$341&amp;" ضد "&amp;$A352))</f>
        <v>0</v>
      </c>
      <c r="AL352" s="4">
        <f>IF($A352=AL$341,"",COUNTIF($E$4:$E$337,$A352&amp;" ضد "&amp;AL$341)+COUNTIF($E$4:$E$337,AL$341&amp;" ضد "&amp;$A352))</f>
        <v>0</v>
      </c>
    </row>
    <row r="353" spans="1:38" ht="14.5">
      <c r="A353" s="14">
        <v>12</v>
      </c>
      <c r="B353" s="4">
        <f>IF($A353=B$341,"",COUNTIF($E$4:$E$337,$A353&amp;" ضد "&amp;B$341)+COUNTIF($E$4:$E$337,B$341&amp;" ضد "&amp;$A353))</f>
        <v>1</v>
      </c>
      <c r="C353" s="4">
        <f>IF($A353=C$341,"",COUNTIF($E$4:$E$337,$A353&amp;" ضد "&amp;C$341)+COUNTIF($E$4:$E$337,C$341&amp;" ضد "&amp;$A353))</f>
        <v>1</v>
      </c>
      <c r="D353" s="4">
        <f>IF($A353=D$341,"",COUNTIF($E$4:$E$337,$A353&amp;" ضد "&amp;D$341)+COUNTIF($E$4:$E$337,D$341&amp;" ضد "&amp;$A353))</f>
        <v>1</v>
      </c>
      <c r="E353" s="4">
        <f>IF($A353=E$341,"",COUNTIF($E$4:$E$337,$A353&amp;" ضد "&amp;E$341)+COUNTIF($E$4:$E$337,E$341&amp;" ضد "&amp;$A353))</f>
        <v>1</v>
      </c>
      <c r="F353" s="4">
        <f>IF($A353=F$341,"",COUNTIF($E$4:$E$337,$A353&amp;" ضد "&amp;F$341)+COUNTIF($E$4:$E$337,F$341&amp;" ضد "&amp;$A353))</f>
        <v>1</v>
      </c>
      <c r="G353" s="4">
        <f>IF($A353=G$341,"",COUNTIF($E$4:$E$337,$A353&amp;" ضد "&amp;G$341)+COUNTIF($E$4:$E$337,G$341&amp;" ضد "&amp;$A353))</f>
        <v>1</v>
      </c>
      <c r="H353" s="4">
        <f>IF($A353=H$341,"",COUNTIF($E$4:$E$337,$A353&amp;" ضد "&amp;H$341)+COUNTIF($E$4:$E$337,H$341&amp;" ضد "&amp;$A353))</f>
        <v>1</v>
      </c>
      <c r="I353" s="4">
        <f>IF($A353=I$341,"",COUNTIF($E$4:$E$337,$A353&amp;" ضد "&amp;I$341)+COUNTIF($E$4:$E$337,I$341&amp;" ضد "&amp;$A353))</f>
        <v>1</v>
      </c>
      <c r="J353" s="4">
        <f>IF($A353=J$341,"",COUNTIF($E$4:$E$337,$A353&amp;" ضد "&amp;J$341)+COUNTIF($E$4:$E$337,J$341&amp;" ضد "&amp;$A353))</f>
        <v>1</v>
      </c>
      <c r="K353" s="4">
        <f>IF($A353=K$341,"",COUNTIF($E$4:$E$337,$A353&amp;" ضد "&amp;K$341)+COUNTIF($E$4:$E$337,K$341&amp;" ضد "&amp;$A353))</f>
        <v>1</v>
      </c>
      <c r="L353" s="4">
        <f>IF($A353=L$341,"",COUNTIF($E$4:$E$337,$A353&amp;" ضد "&amp;L$341)+COUNTIF($E$4:$E$337,L$341&amp;" ضد "&amp;$A353))</f>
        <v>1</v>
      </c>
      <c r="M353" s="4" t="str">
        <f>IF($A353=M$341,"",COUNTIF($E$4:$E$337,$A353&amp;" ضد "&amp;M$341)+COUNTIF($E$4:$E$337,M$341&amp;" ضد "&amp;$A353))</f>
        <v/>
      </c>
      <c r="N353" s="4">
        <f>IF($A353=N$341,"",COUNTIF($E$4:$E$337,$A353&amp;" ضد "&amp;N$341)+COUNTIF($E$4:$E$337,N$341&amp;" ضد "&amp;$A353))</f>
        <v>1</v>
      </c>
      <c r="O353" s="4">
        <f>IF($A353=O$341,"",COUNTIF($E$4:$E$337,$A353&amp;" ضد "&amp;O$341)+COUNTIF($E$4:$E$337,O$341&amp;" ضد "&amp;$A353))</f>
        <v>1</v>
      </c>
      <c r="P353" s="4">
        <f>IF($A353=P$341,"",COUNTIF($E$4:$E$337,$A353&amp;" ضد "&amp;P$341)+COUNTIF($E$4:$E$337,P$341&amp;" ضد "&amp;$A353))</f>
        <v>1</v>
      </c>
      <c r="Q353" s="4">
        <f>IF($A353=Q$341,"",COUNTIF($E$4:$E$337,$A353&amp;" ضد "&amp;Q$341)+COUNTIF($E$4:$E$337,Q$341&amp;" ضد "&amp;$A353))</f>
        <v>1</v>
      </c>
      <c r="R353" s="4">
        <f>IF($A353=R$341,"",COUNTIF($E$4:$E$337,$A353&amp;" ضد "&amp;R$341)+COUNTIF($E$4:$E$337,R$341&amp;" ضد "&amp;$A353))</f>
        <v>1</v>
      </c>
      <c r="S353" s="4">
        <f>IF($A353=S$341,"",COUNTIF($E$4:$E$337,$A353&amp;" ضد "&amp;S$341)+COUNTIF($E$4:$E$337,S$341&amp;" ضد "&amp;$A353))</f>
        <v>1</v>
      </c>
      <c r="T353" s="4">
        <f>IF($A353=T$341,"",COUNTIF($E$4:$E$337,$A353&amp;" ضد "&amp;T$341)+COUNTIF($E$4:$E$337,T$341&amp;" ضد "&amp;$A353))</f>
        <v>1</v>
      </c>
      <c r="U353" s="4">
        <f>IF($A353=U$341,"",COUNTIF($E$4:$E$337,$A353&amp;" ضد "&amp;U$341)+COUNTIF($E$4:$E$337,U$341&amp;" ضد "&amp;$A353))</f>
        <v>0</v>
      </c>
      <c r="V353" s="4">
        <f>IF($A353=V$341,"",COUNTIF($E$4:$E$337,$A353&amp;" ضد "&amp;V$341)+COUNTIF($E$4:$E$337,V$341&amp;" ضد "&amp;$A353))</f>
        <v>0</v>
      </c>
      <c r="W353" s="4">
        <f>IF($A353=W$341,"",COUNTIF($E$4:$E$337,$A353&amp;" ضد "&amp;W$341)+COUNTIF($E$4:$E$337,W$341&amp;" ضد "&amp;$A353))</f>
        <v>0</v>
      </c>
      <c r="X353" s="4">
        <f>IF($A353=X$341,"",COUNTIF($E$4:$E$337,$A353&amp;" ضد "&amp;X$341)+COUNTIF($E$4:$E$337,X$341&amp;" ضد "&amp;$A353))</f>
        <v>0</v>
      </c>
      <c r="Y353" s="4">
        <f>IF($A353=Y$341,"",COUNTIF($E$4:$E$337,$A353&amp;" ضد "&amp;Y$341)+COUNTIF($E$4:$E$337,Y$341&amp;" ضد "&amp;$A353))</f>
        <v>0</v>
      </c>
      <c r="Z353" s="4">
        <f>IF($A353=Z$341,"",COUNTIF($E$4:$E$337,$A353&amp;" ضد "&amp;Z$341)+COUNTIF($E$4:$E$337,Z$341&amp;" ضد "&amp;$A353))</f>
        <v>0</v>
      </c>
      <c r="AA353" s="4">
        <f>IF($A353=AA$341,"",COUNTIF($E$4:$E$337,$A353&amp;" ضد "&amp;AA$341)+COUNTIF($E$4:$E$337,AA$341&amp;" ضد "&amp;$A353))</f>
        <v>0</v>
      </c>
      <c r="AB353" s="4">
        <f>IF($A353=AB$341,"",COUNTIF($E$4:$E$337,$A353&amp;" ضد "&amp;AB$341)+COUNTIF($E$4:$E$337,AB$341&amp;" ضد "&amp;$A353))</f>
        <v>0</v>
      </c>
      <c r="AC353" s="4">
        <f>IF($A353=AC$341,"",COUNTIF($E$4:$E$337,$A353&amp;" ضد "&amp;AC$341)+COUNTIF($E$4:$E$337,AC$341&amp;" ضد "&amp;$A353))</f>
        <v>0</v>
      </c>
      <c r="AD353" s="4">
        <f>IF($A353=AD$341,"",COUNTIF($E$4:$E$337,$A353&amp;" ضد "&amp;AD$341)+COUNTIF($E$4:$E$337,AD$341&amp;" ضد "&amp;$A353))</f>
        <v>0</v>
      </c>
      <c r="AE353" s="4">
        <f>IF($A353=AE$341,"",COUNTIF($E$4:$E$337,$A353&amp;" ضد "&amp;AE$341)+COUNTIF($E$4:$E$337,AE$341&amp;" ضد "&amp;$A353))</f>
        <v>0</v>
      </c>
      <c r="AF353" s="4">
        <f>IF($A353=AF$341,"",COUNTIF($E$4:$E$337,$A353&amp;" ضد "&amp;AF$341)+COUNTIF($E$4:$E$337,AF$341&amp;" ضد "&amp;$A353))</f>
        <v>0</v>
      </c>
      <c r="AG353" s="4">
        <f>IF($A353=AG$341,"",COUNTIF($E$4:$E$337,$A353&amp;" ضد "&amp;AG$341)+COUNTIF($E$4:$E$337,AG$341&amp;" ضد "&amp;$A353))</f>
        <v>0</v>
      </c>
      <c r="AH353" s="4">
        <f>IF($A353=AH$341,"",COUNTIF($E$4:$E$337,$A353&amp;" ضد "&amp;AH$341)+COUNTIF($E$4:$E$337,AH$341&amp;" ضد "&amp;$A353))</f>
        <v>0</v>
      </c>
      <c r="AI353" s="4">
        <f>IF($A353=AI$341,"",COUNTIF($E$4:$E$337,$A353&amp;" ضد "&amp;AI$341)+COUNTIF($E$4:$E$337,AI$341&amp;" ضد "&amp;$A353))</f>
        <v>0</v>
      </c>
      <c r="AJ353" s="4">
        <f>IF($A353=AJ$341,"",COUNTIF($E$4:$E$337,$A353&amp;" ضد "&amp;AJ$341)+COUNTIF($E$4:$E$337,AJ$341&amp;" ضد "&amp;$A353))</f>
        <v>0</v>
      </c>
      <c r="AK353" s="4">
        <f>IF($A353=AK$341,"",COUNTIF($E$4:$E$337,$A353&amp;" ضد "&amp;AK$341)+COUNTIF($E$4:$E$337,AK$341&amp;" ضد "&amp;$A353))</f>
        <v>0</v>
      </c>
      <c r="AL353" s="4">
        <f>IF($A353=AL$341,"",COUNTIF($E$4:$E$337,$A353&amp;" ضد "&amp;AL$341)+COUNTIF($E$4:$E$337,AL$341&amp;" ضد "&amp;$A353))</f>
        <v>0</v>
      </c>
    </row>
    <row r="354" spans="1:38" ht="14.5">
      <c r="A354" s="14">
        <v>13</v>
      </c>
      <c r="B354" s="4">
        <f>IF($A354=B$341,"",COUNTIF($E$4:$E$337,$A354&amp;" ضد "&amp;B$341)+COUNTIF($E$4:$E$337,B$341&amp;" ضد "&amp;$A354))</f>
        <v>1</v>
      </c>
      <c r="C354" s="4">
        <f>IF($A354=C$341,"",COUNTIF($E$4:$E$337,$A354&amp;" ضد "&amp;C$341)+COUNTIF($E$4:$E$337,C$341&amp;" ضد "&amp;$A354))</f>
        <v>1</v>
      </c>
      <c r="D354" s="4">
        <f>IF($A354=D$341,"",COUNTIF($E$4:$E$337,$A354&amp;" ضد "&amp;D$341)+COUNTIF($E$4:$E$337,D$341&amp;" ضد "&amp;$A354))</f>
        <v>1</v>
      </c>
      <c r="E354" s="4">
        <f>IF($A354=E$341,"",COUNTIF($E$4:$E$337,$A354&amp;" ضد "&amp;E$341)+COUNTIF($E$4:$E$337,E$341&amp;" ضد "&amp;$A354))</f>
        <v>1</v>
      </c>
      <c r="F354" s="4">
        <f>IF($A354=F$341,"",COUNTIF($E$4:$E$337,$A354&amp;" ضد "&amp;F$341)+COUNTIF($E$4:$E$337,F$341&amp;" ضد "&amp;$A354))</f>
        <v>1</v>
      </c>
      <c r="G354" s="4">
        <f>IF($A354=G$341,"",COUNTIF($E$4:$E$337,$A354&amp;" ضد "&amp;G$341)+COUNTIF($E$4:$E$337,G$341&amp;" ضد "&amp;$A354))</f>
        <v>1</v>
      </c>
      <c r="H354" s="4">
        <f>IF($A354=H$341,"",COUNTIF($E$4:$E$337,$A354&amp;" ضد "&amp;H$341)+COUNTIF($E$4:$E$337,H$341&amp;" ضد "&amp;$A354))</f>
        <v>1</v>
      </c>
      <c r="I354" s="4">
        <f>IF($A354=I$341,"",COUNTIF($E$4:$E$337,$A354&amp;" ضد "&amp;I$341)+COUNTIF($E$4:$E$337,I$341&amp;" ضد "&amp;$A354))</f>
        <v>1</v>
      </c>
      <c r="J354" s="4">
        <f>IF($A354=J$341,"",COUNTIF($E$4:$E$337,$A354&amp;" ضد "&amp;J$341)+COUNTIF($E$4:$E$337,J$341&amp;" ضد "&amp;$A354))</f>
        <v>1</v>
      </c>
      <c r="K354" s="4">
        <f>IF($A354=K$341,"",COUNTIF($E$4:$E$337,$A354&amp;" ضد "&amp;K$341)+COUNTIF($E$4:$E$337,K$341&amp;" ضد "&amp;$A354))</f>
        <v>1</v>
      </c>
      <c r="L354" s="4">
        <f>IF($A354=L$341,"",COUNTIF($E$4:$E$337,$A354&amp;" ضد "&amp;L$341)+COUNTIF($E$4:$E$337,L$341&amp;" ضد "&amp;$A354))</f>
        <v>1</v>
      </c>
      <c r="M354" s="4">
        <f>IF($A354=M$341,"",COUNTIF($E$4:$E$337,$A354&amp;" ضد "&amp;M$341)+COUNTIF($E$4:$E$337,M$341&amp;" ضد "&amp;$A354))</f>
        <v>1</v>
      </c>
      <c r="N354" s="4" t="str">
        <f>IF($A354=N$341,"",COUNTIF($E$4:$E$337,$A354&amp;" ضد "&amp;N$341)+COUNTIF($E$4:$E$337,N$341&amp;" ضد "&amp;$A354))</f>
        <v/>
      </c>
      <c r="O354" s="4">
        <f>IF($A354=O$341,"",COUNTIF($E$4:$E$337,$A354&amp;" ضد "&amp;O$341)+COUNTIF($E$4:$E$337,O$341&amp;" ضد "&amp;$A354))</f>
        <v>1</v>
      </c>
      <c r="P354" s="4">
        <f>IF($A354=P$341,"",COUNTIF($E$4:$E$337,$A354&amp;" ضد "&amp;P$341)+COUNTIF($E$4:$E$337,P$341&amp;" ضد "&amp;$A354))</f>
        <v>1</v>
      </c>
      <c r="Q354" s="4">
        <f>IF($A354=Q$341,"",COUNTIF($E$4:$E$337,$A354&amp;" ضد "&amp;Q$341)+COUNTIF($E$4:$E$337,Q$341&amp;" ضد "&amp;$A354))</f>
        <v>1</v>
      </c>
      <c r="R354" s="4">
        <f>IF($A354=R$341,"",COUNTIF($E$4:$E$337,$A354&amp;" ضد "&amp;R$341)+COUNTIF($E$4:$E$337,R$341&amp;" ضد "&amp;$A354))</f>
        <v>1</v>
      </c>
      <c r="S354" s="4">
        <f>IF($A354=S$341,"",COUNTIF($E$4:$E$337,$A354&amp;" ضد "&amp;S$341)+COUNTIF($E$4:$E$337,S$341&amp;" ضد "&amp;$A354))</f>
        <v>1</v>
      </c>
      <c r="T354" s="4">
        <f>IF($A354=T$341,"",COUNTIF($E$4:$E$337,$A354&amp;" ضد "&amp;T$341)+COUNTIF($E$4:$E$337,T$341&amp;" ضد "&amp;$A354))</f>
        <v>1</v>
      </c>
      <c r="U354" s="4">
        <f>IF($A354=U$341,"",COUNTIF($E$4:$E$337,$A354&amp;" ضد "&amp;U$341)+COUNTIF($E$4:$E$337,U$341&amp;" ضد "&amp;$A354))</f>
        <v>0</v>
      </c>
      <c r="V354" s="4">
        <f>IF($A354=V$341,"",COUNTIF($E$4:$E$337,$A354&amp;" ضد "&amp;V$341)+COUNTIF($E$4:$E$337,V$341&amp;" ضد "&amp;$A354))</f>
        <v>0</v>
      </c>
      <c r="W354" s="4">
        <f>IF($A354=W$341,"",COUNTIF($E$4:$E$337,$A354&amp;" ضد "&amp;W$341)+COUNTIF($E$4:$E$337,W$341&amp;" ضد "&amp;$A354))</f>
        <v>0</v>
      </c>
      <c r="X354" s="4">
        <f>IF($A354=X$341,"",COUNTIF($E$4:$E$337,$A354&amp;" ضد "&amp;X$341)+COUNTIF($E$4:$E$337,X$341&amp;" ضد "&amp;$A354))</f>
        <v>0</v>
      </c>
      <c r="Y354" s="4">
        <f>IF($A354=Y$341,"",COUNTIF($E$4:$E$337,$A354&amp;" ضد "&amp;Y$341)+COUNTIF($E$4:$E$337,Y$341&amp;" ضد "&amp;$A354))</f>
        <v>0</v>
      </c>
      <c r="Z354" s="4">
        <f>IF($A354=Z$341,"",COUNTIF($E$4:$E$337,$A354&amp;" ضد "&amp;Z$341)+COUNTIF($E$4:$E$337,Z$341&amp;" ضد "&amp;$A354))</f>
        <v>0</v>
      </c>
      <c r="AA354" s="4">
        <f>IF($A354=AA$341,"",COUNTIF($E$4:$E$337,$A354&amp;" ضد "&amp;AA$341)+COUNTIF($E$4:$E$337,AA$341&amp;" ضد "&amp;$A354))</f>
        <v>0</v>
      </c>
      <c r="AB354" s="4">
        <f>IF($A354=AB$341,"",COUNTIF($E$4:$E$337,$A354&amp;" ضد "&amp;AB$341)+COUNTIF($E$4:$E$337,AB$341&amp;" ضد "&amp;$A354))</f>
        <v>0</v>
      </c>
      <c r="AC354" s="4">
        <f>IF($A354=AC$341,"",COUNTIF($E$4:$E$337,$A354&amp;" ضد "&amp;AC$341)+COUNTIF($E$4:$E$337,AC$341&amp;" ضد "&amp;$A354))</f>
        <v>0</v>
      </c>
      <c r="AD354" s="4">
        <f>IF($A354=AD$341,"",COUNTIF($E$4:$E$337,$A354&amp;" ضد "&amp;AD$341)+COUNTIF($E$4:$E$337,AD$341&amp;" ضد "&amp;$A354))</f>
        <v>0</v>
      </c>
      <c r="AE354" s="4">
        <f>IF($A354=AE$341,"",COUNTIF($E$4:$E$337,$A354&amp;" ضد "&amp;AE$341)+COUNTIF($E$4:$E$337,AE$341&amp;" ضد "&amp;$A354))</f>
        <v>0</v>
      </c>
      <c r="AF354" s="4">
        <f>IF($A354=AF$341,"",COUNTIF($E$4:$E$337,$A354&amp;" ضد "&amp;AF$341)+COUNTIF($E$4:$E$337,AF$341&amp;" ضد "&amp;$A354))</f>
        <v>0</v>
      </c>
      <c r="AG354" s="4">
        <f>IF($A354=AG$341,"",COUNTIF($E$4:$E$337,$A354&amp;" ضد "&amp;AG$341)+COUNTIF($E$4:$E$337,AG$341&amp;" ضد "&amp;$A354))</f>
        <v>0</v>
      </c>
      <c r="AH354" s="4">
        <f>IF($A354=AH$341,"",COUNTIF($E$4:$E$337,$A354&amp;" ضد "&amp;AH$341)+COUNTIF($E$4:$E$337,AH$341&amp;" ضد "&amp;$A354))</f>
        <v>0</v>
      </c>
      <c r="AI354" s="4">
        <f>IF($A354=AI$341,"",COUNTIF($E$4:$E$337,$A354&amp;" ضد "&amp;AI$341)+COUNTIF($E$4:$E$337,AI$341&amp;" ضد "&amp;$A354))</f>
        <v>0</v>
      </c>
      <c r="AJ354" s="4">
        <f>IF($A354=AJ$341,"",COUNTIF($E$4:$E$337,$A354&amp;" ضد "&amp;AJ$341)+COUNTIF($E$4:$E$337,AJ$341&amp;" ضد "&amp;$A354))</f>
        <v>0</v>
      </c>
      <c r="AK354" s="4">
        <f>IF($A354=AK$341,"",COUNTIF($E$4:$E$337,$A354&amp;" ضد "&amp;AK$341)+COUNTIF($E$4:$E$337,AK$341&amp;" ضد "&amp;$A354))</f>
        <v>0</v>
      </c>
      <c r="AL354" s="4">
        <f>IF($A354=AL$341,"",COUNTIF($E$4:$E$337,$A354&amp;" ضد "&amp;AL$341)+COUNTIF($E$4:$E$337,AL$341&amp;" ضد "&amp;$A354))</f>
        <v>0</v>
      </c>
    </row>
    <row r="355" spans="1:38" ht="14.5">
      <c r="A355" s="14">
        <v>14</v>
      </c>
      <c r="B355" s="4">
        <f>IF($A355=B$341,"",COUNTIF($E$4:$E$337,$A355&amp;" ضد "&amp;B$341)+COUNTIF($E$4:$E$337,B$341&amp;" ضد "&amp;$A355))</f>
        <v>1</v>
      </c>
      <c r="C355" s="4">
        <f>IF($A355=C$341,"",COUNTIF($E$4:$E$337,$A355&amp;" ضد "&amp;C$341)+COUNTIF($E$4:$E$337,C$341&amp;" ضد "&amp;$A355))</f>
        <v>1</v>
      </c>
      <c r="D355" s="4">
        <f>IF($A355=D$341,"",COUNTIF($E$4:$E$337,$A355&amp;" ضد "&amp;D$341)+COUNTIF($E$4:$E$337,D$341&amp;" ضد "&amp;$A355))</f>
        <v>1</v>
      </c>
      <c r="E355" s="4">
        <f>IF($A355=E$341,"",COUNTIF($E$4:$E$337,$A355&amp;" ضد "&amp;E$341)+COUNTIF($E$4:$E$337,E$341&amp;" ضد "&amp;$A355))</f>
        <v>1</v>
      </c>
      <c r="F355" s="4">
        <f>IF($A355=F$341,"",COUNTIF($E$4:$E$337,$A355&amp;" ضد "&amp;F$341)+COUNTIF($E$4:$E$337,F$341&amp;" ضد "&amp;$A355))</f>
        <v>1</v>
      </c>
      <c r="G355" s="4">
        <f>IF($A355=G$341,"",COUNTIF($E$4:$E$337,$A355&amp;" ضد "&amp;G$341)+COUNTIF($E$4:$E$337,G$341&amp;" ضد "&amp;$A355))</f>
        <v>1</v>
      </c>
      <c r="H355" s="4">
        <f>IF($A355=H$341,"",COUNTIF($E$4:$E$337,$A355&amp;" ضد "&amp;H$341)+COUNTIF($E$4:$E$337,H$341&amp;" ضد "&amp;$A355))</f>
        <v>1</v>
      </c>
      <c r="I355" s="4">
        <f>IF($A355=I$341,"",COUNTIF($E$4:$E$337,$A355&amp;" ضد "&amp;I$341)+COUNTIF($E$4:$E$337,I$341&amp;" ضد "&amp;$A355))</f>
        <v>1</v>
      </c>
      <c r="J355" s="4">
        <f>IF($A355=J$341,"",COUNTIF($E$4:$E$337,$A355&amp;" ضد "&amp;J$341)+COUNTIF($E$4:$E$337,J$341&amp;" ضد "&amp;$A355))</f>
        <v>1</v>
      </c>
      <c r="K355" s="4">
        <f>IF($A355=K$341,"",COUNTIF($E$4:$E$337,$A355&amp;" ضد "&amp;K$341)+COUNTIF($E$4:$E$337,K$341&amp;" ضد "&amp;$A355))</f>
        <v>1</v>
      </c>
      <c r="L355" s="4">
        <f>IF($A355=L$341,"",COUNTIF($E$4:$E$337,$A355&amp;" ضد "&amp;L$341)+COUNTIF($E$4:$E$337,L$341&amp;" ضد "&amp;$A355))</f>
        <v>1</v>
      </c>
      <c r="M355" s="4">
        <f>IF($A355=M$341,"",COUNTIF($E$4:$E$337,$A355&amp;" ضد "&amp;M$341)+COUNTIF($E$4:$E$337,M$341&amp;" ضد "&amp;$A355))</f>
        <v>1</v>
      </c>
      <c r="N355" s="4">
        <f>IF($A355=N$341,"",COUNTIF($E$4:$E$337,$A355&amp;" ضد "&amp;N$341)+COUNTIF($E$4:$E$337,N$341&amp;" ضد "&amp;$A355))</f>
        <v>1</v>
      </c>
      <c r="O355" s="4" t="str">
        <f>IF($A355=O$341,"",COUNTIF($E$4:$E$337,$A355&amp;" ضد "&amp;O$341)+COUNTIF($E$4:$E$337,O$341&amp;" ضد "&amp;$A355))</f>
        <v/>
      </c>
      <c r="P355" s="4">
        <f>IF($A355=P$341,"",COUNTIF($E$4:$E$337,$A355&amp;" ضد "&amp;P$341)+COUNTIF($E$4:$E$337,P$341&amp;" ضد "&amp;$A355))</f>
        <v>1</v>
      </c>
      <c r="Q355" s="4">
        <f>IF($A355=Q$341,"",COUNTIF($E$4:$E$337,$A355&amp;" ضد "&amp;Q$341)+COUNTIF($E$4:$E$337,Q$341&amp;" ضد "&amp;$A355))</f>
        <v>1</v>
      </c>
      <c r="R355" s="4">
        <f>IF($A355=R$341,"",COUNTIF($E$4:$E$337,$A355&amp;" ضد "&amp;R$341)+COUNTIF($E$4:$E$337,R$341&amp;" ضد "&amp;$A355))</f>
        <v>1</v>
      </c>
      <c r="S355" s="4">
        <f>IF($A355=S$341,"",COUNTIF($E$4:$E$337,$A355&amp;" ضد "&amp;S$341)+COUNTIF($E$4:$E$337,S$341&amp;" ضد "&amp;$A355))</f>
        <v>1</v>
      </c>
      <c r="T355" s="4">
        <f>IF($A355=T$341,"",COUNTIF($E$4:$E$337,$A355&amp;" ضد "&amp;T$341)+COUNTIF($E$4:$E$337,T$341&amp;" ضد "&amp;$A355))</f>
        <v>1</v>
      </c>
      <c r="U355" s="4">
        <f>IF($A355=U$341,"",COUNTIF($E$4:$E$337,$A355&amp;" ضد "&amp;U$341)+COUNTIF($E$4:$E$337,U$341&amp;" ضد "&amp;$A355))</f>
        <v>0</v>
      </c>
      <c r="V355" s="4">
        <f>IF($A355=V$341,"",COUNTIF($E$4:$E$337,$A355&amp;" ضد "&amp;V$341)+COUNTIF($E$4:$E$337,V$341&amp;" ضد "&amp;$A355))</f>
        <v>0</v>
      </c>
      <c r="W355" s="4">
        <f>IF($A355=W$341,"",COUNTIF($E$4:$E$337,$A355&amp;" ضد "&amp;W$341)+COUNTIF($E$4:$E$337,W$341&amp;" ضد "&amp;$A355))</f>
        <v>0</v>
      </c>
      <c r="X355" s="4">
        <f>IF($A355=X$341,"",COUNTIF($E$4:$E$337,$A355&amp;" ضد "&amp;X$341)+COUNTIF($E$4:$E$337,X$341&amp;" ضد "&amp;$A355))</f>
        <v>0</v>
      </c>
      <c r="Y355" s="4">
        <f>IF($A355=Y$341,"",COUNTIF($E$4:$E$337,$A355&amp;" ضد "&amp;Y$341)+COUNTIF($E$4:$E$337,Y$341&amp;" ضد "&amp;$A355))</f>
        <v>0</v>
      </c>
      <c r="Z355" s="4">
        <f>IF($A355=Z$341,"",COUNTIF($E$4:$E$337,$A355&amp;" ضد "&amp;Z$341)+COUNTIF($E$4:$E$337,Z$341&amp;" ضد "&amp;$A355))</f>
        <v>0</v>
      </c>
      <c r="AA355" s="4">
        <f>IF($A355=AA$341,"",COUNTIF($E$4:$E$337,$A355&amp;" ضد "&amp;AA$341)+COUNTIF($E$4:$E$337,AA$341&amp;" ضد "&amp;$A355))</f>
        <v>0</v>
      </c>
      <c r="AB355" s="4">
        <f>IF($A355=AB$341,"",COUNTIF($E$4:$E$337,$A355&amp;" ضد "&amp;AB$341)+COUNTIF($E$4:$E$337,AB$341&amp;" ضد "&amp;$A355))</f>
        <v>0</v>
      </c>
      <c r="AC355" s="4">
        <f>IF($A355=AC$341,"",COUNTIF($E$4:$E$337,$A355&amp;" ضد "&amp;AC$341)+COUNTIF($E$4:$E$337,AC$341&amp;" ضد "&amp;$A355))</f>
        <v>0</v>
      </c>
      <c r="AD355" s="4">
        <f>IF($A355=AD$341,"",COUNTIF($E$4:$E$337,$A355&amp;" ضد "&amp;AD$341)+COUNTIF($E$4:$E$337,AD$341&amp;" ضد "&amp;$A355))</f>
        <v>0</v>
      </c>
      <c r="AE355" s="4">
        <f>IF($A355=AE$341,"",COUNTIF($E$4:$E$337,$A355&amp;" ضد "&amp;AE$341)+COUNTIF($E$4:$E$337,AE$341&amp;" ضد "&amp;$A355))</f>
        <v>0</v>
      </c>
      <c r="AF355" s="4">
        <f>IF($A355=AF$341,"",COUNTIF($E$4:$E$337,$A355&amp;" ضد "&amp;AF$341)+COUNTIF($E$4:$E$337,AF$341&amp;" ضد "&amp;$A355))</f>
        <v>0</v>
      </c>
      <c r="AG355" s="4">
        <f>IF($A355=AG$341,"",COUNTIF($E$4:$E$337,$A355&amp;" ضد "&amp;AG$341)+COUNTIF($E$4:$E$337,AG$341&amp;" ضد "&amp;$A355))</f>
        <v>0</v>
      </c>
      <c r="AH355" s="4">
        <f>IF($A355=AH$341,"",COUNTIF($E$4:$E$337,$A355&amp;" ضد "&amp;AH$341)+COUNTIF($E$4:$E$337,AH$341&amp;" ضد "&amp;$A355))</f>
        <v>0</v>
      </c>
      <c r="AI355" s="4">
        <f>IF($A355=AI$341,"",COUNTIF($E$4:$E$337,$A355&amp;" ضد "&amp;AI$341)+COUNTIF($E$4:$E$337,AI$341&amp;" ضد "&amp;$A355))</f>
        <v>0</v>
      </c>
      <c r="AJ355" s="4">
        <f>IF($A355=AJ$341,"",COUNTIF($E$4:$E$337,$A355&amp;" ضد "&amp;AJ$341)+COUNTIF($E$4:$E$337,AJ$341&amp;" ضد "&amp;$A355))</f>
        <v>0</v>
      </c>
      <c r="AK355" s="4">
        <f>IF($A355=AK$341,"",COUNTIF($E$4:$E$337,$A355&amp;" ضد "&amp;AK$341)+COUNTIF($E$4:$E$337,AK$341&amp;" ضد "&amp;$A355))</f>
        <v>0</v>
      </c>
      <c r="AL355" s="4">
        <f>IF($A355=AL$341,"",COUNTIF($E$4:$E$337,$A355&amp;" ضد "&amp;AL$341)+COUNTIF($E$4:$E$337,AL$341&amp;" ضد "&amp;$A355))</f>
        <v>0</v>
      </c>
    </row>
    <row r="356" spans="1:38" ht="14.5">
      <c r="A356" s="14">
        <v>15</v>
      </c>
      <c r="B356" s="4">
        <f>IF($A356=B$341,"",COUNTIF($E$4:$E$337,$A356&amp;" ضد "&amp;B$341)+COUNTIF($E$4:$E$337,B$341&amp;" ضد "&amp;$A356))</f>
        <v>1</v>
      </c>
      <c r="C356" s="4">
        <f>IF($A356=C$341,"",COUNTIF($E$4:$E$337,$A356&amp;" ضد "&amp;C$341)+COUNTIF($E$4:$E$337,C$341&amp;" ضد "&amp;$A356))</f>
        <v>1</v>
      </c>
      <c r="D356" s="4">
        <f>IF($A356=D$341,"",COUNTIF($E$4:$E$337,$A356&amp;" ضد "&amp;D$341)+COUNTIF($E$4:$E$337,D$341&amp;" ضد "&amp;$A356))</f>
        <v>1</v>
      </c>
      <c r="E356" s="4">
        <f>IF($A356=E$341,"",COUNTIF($E$4:$E$337,$A356&amp;" ضد "&amp;E$341)+COUNTIF($E$4:$E$337,E$341&amp;" ضد "&amp;$A356))</f>
        <v>1</v>
      </c>
      <c r="F356" s="4">
        <f>IF($A356=F$341,"",COUNTIF($E$4:$E$337,$A356&amp;" ضد "&amp;F$341)+COUNTIF($E$4:$E$337,F$341&amp;" ضد "&amp;$A356))</f>
        <v>1</v>
      </c>
      <c r="G356" s="4">
        <f>IF($A356=G$341,"",COUNTIF($E$4:$E$337,$A356&amp;" ضد "&amp;G$341)+COUNTIF($E$4:$E$337,G$341&amp;" ضد "&amp;$A356))</f>
        <v>1</v>
      </c>
      <c r="H356" s="4">
        <f>IF($A356=H$341,"",COUNTIF($E$4:$E$337,$A356&amp;" ضد "&amp;H$341)+COUNTIF($E$4:$E$337,H$341&amp;" ضد "&amp;$A356))</f>
        <v>1</v>
      </c>
      <c r="I356" s="4">
        <f>IF($A356=I$341,"",COUNTIF($E$4:$E$337,$A356&amp;" ضد "&amp;I$341)+COUNTIF($E$4:$E$337,I$341&amp;" ضد "&amp;$A356))</f>
        <v>1</v>
      </c>
      <c r="J356" s="4">
        <f>IF($A356=J$341,"",COUNTIF($E$4:$E$337,$A356&amp;" ضد "&amp;J$341)+COUNTIF($E$4:$E$337,J$341&amp;" ضد "&amp;$A356))</f>
        <v>1</v>
      </c>
      <c r="K356" s="4">
        <f>IF($A356=K$341,"",COUNTIF($E$4:$E$337,$A356&amp;" ضد "&amp;K$341)+COUNTIF($E$4:$E$337,K$341&amp;" ضد "&amp;$A356))</f>
        <v>1</v>
      </c>
      <c r="L356" s="4">
        <f>IF($A356=L$341,"",COUNTIF($E$4:$E$337,$A356&amp;" ضد "&amp;L$341)+COUNTIF($E$4:$E$337,L$341&amp;" ضد "&amp;$A356))</f>
        <v>1</v>
      </c>
      <c r="M356" s="4">
        <f>IF($A356=M$341,"",COUNTIF($E$4:$E$337,$A356&amp;" ضد "&amp;M$341)+COUNTIF($E$4:$E$337,M$341&amp;" ضد "&amp;$A356))</f>
        <v>1</v>
      </c>
      <c r="N356" s="4">
        <f>IF($A356=N$341,"",COUNTIF($E$4:$E$337,$A356&amp;" ضد "&amp;N$341)+COUNTIF($E$4:$E$337,N$341&amp;" ضد "&amp;$A356))</f>
        <v>1</v>
      </c>
      <c r="O356" s="4">
        <f>IF($A356=O$341,"",COUNTIF($E$4:$E$337,$A356&amp;" ضد "&amp;O$341)+COUNTIF($E$4:$E$337,O$341&amp;" ضد "&amp;$A356))</f>
        <v>1</v>
      </c>
      <c r="P356" s="4" t="str">
        <f>IF($A356=P$341,"",COUNTIF($E$4:$E$337,$A356&amp;" ضد "&amp;P$341)+COUNTIF($E$4:$E$337,P$341&amp;" ضد "&amp;$A356))</f>
        <v/>
      </c>
      <c r="Q356" s="4">
        <f>IF($A356=Q$341,"",COUNTIF($E$4:$E$337,$A356&amp;" ضد "&amp;Q$341)+COUNTIF($E$4:$E$337,Q$341&amp;" ضد "&amp;$A356))</f>
        <v>1</v>
      </c>
      <c r="R356" s="4">
        <f>IF($A356=R$341,"",COUNTIF($E$4:$E$337,$A356&amp;" ضد "&amp;R$341)+COUNTIF($E$4:$E$337,R$341&amp;" ضد "&amp;$A356))</f>
        <v>1</v>
      </c>
      <c r="S356" s="4">
        <f>IF($A356=S$341,"",COUNTIF($E$4:$E$337,$A356&amp;" ضد "&amp;S$341)+COUNTIF($E$4:$E$337,S$341&amp;" ضد "&amp;$A356))</f>
        <v>1</v>
      </c>
      <c r="T356" s="4">
        <f>IF($A356=T$341,"",COUNTIF($E$4:$E$337,$A356&amp;" ضد "&amp;T$341)+COUNTIF($E$4:$E$337,T$341&amp;" ضد "&amp;$A356))</f>
        <v>1</v>
      </c>
      <c r="U356" s="4">
        <f>IF($A356=U$341,"",COUNTIF($E$4:$E$337,$A356&amp;" ضد "&amp;U$341)+COUNTIF($E$4:$E$337,U$341&amp;" ضد "&amp;$A356))</f>
        <v>0</v>
      </c>
      <c r="V356" s="4">
        <f>IF($A356=V$341,"",COUNTIF($E$4:$E$337,$A356&amp;" ضد "&amp;V$341)+COUNTIF($E$4:$E$337,V$341&amp;" ضد "&amp;$A356))</f>
        <v>0</v>
      </c>
      <c r="W356" s="4">
        <f>IF($A356=W$341,"",COUNTIF($E$4:$E$337,$A356&amp;" ضد "&amp;W$341)+COUNTIF($E$4:$E$337,W$341&amp;" ضد "&amp;$A356))</f>
        <v>0</v>
      </c>
      <c r="X356" s="4">
        <f>IF($A356=X$341,"",COUNTIF($E$4:$E$337,$A356&amp;" ضد "&amp;X$341)+COUNTIF($E$4:$E$337,X$341&amp;" ضد "&amp;$A356))</f>
        <v>0</v>
      </c>
      <c r="Y356" s="4">
        <f>IF($A356=Y$341,"",COUNTIF($E$4:$E$337,$A356&amp;" ضد "&amp;Y$341)+COUNTIF($E$4:$E$337,Y$341&amp;" ضد "&amp;$A356))</f>
        <v>0</v>
      </c>
      <c r="Z356" s="4">
        <f>IF($A356=Z$341,"",COUNTIF($E$4:$E$337,$A356&amp;" ضد "&amp;Z$341)+COUNTIF($E$4:$E$337,Z$341&amp;" ضد "&amp;$A356))</f>
        <v>0</v>
      </c>
      <c r="AA356" s="4">
        <f>IF($A356=AA$341,"",COUNTIF($E$4:$E$337,$A356&amp;" ضد "&amp;AA$341)+COUNTIF($E$4:$E$337,AA$341&amp;" ضد "&amp;$A356))</f>
        <v>0</v>
      </c>
      <c r="AB356" s="4">
        <f>IF($A356=AB$341,"",COUNTIF($E$4:$E$337,$A356&amp;" ضد "&amp;AB$341)+COUNTIF($E$4:$E$337,AB$341&amp;" ضد "&amp;$A356))</f>
        <v>0</v>
      </c>
      <c r="AC356" s="4">
        <f>IF($A356=AC$341,"",COUNTIF($E$4:$E$337,$A356&amp;" ضد "&amp;AC$341)+COUNTIF($E$4:$E$337,AC$341&amp;" ضد "&amp;$A356))</f>
        <v>0</v>
      </c>
      <c r="AD356" s="4">
        <f>IF($A356=AD$341,"",COUNTIF($E$4:$E$337,$A356&amp;" ضد "&amp;AD$341)+COUNTIF($E$4:$E$337,AD$341&amp;" ضد "&amp;$A356))</f>
        <v>0</v>
      </c>
      <c r="AE356" s="4">
        <f>IF($A356=AE$341,"",COUNTIF($E$4:$E$337,$A356&amp;" ضد "&amp;AE$341)+COUNTIF($E$4:$E$337,AE$341&amp;" ضد "&amp;$A356))</f>
        <v>0</v>
      </c>
      <c r="AF356" s="4">
        <f>IF($A356=AF$341,"",COUNTIF($E$4:$E$337,$A356&amp;" ضد "&amp;AF$341)+COUNTIF($E$4:$E$337,AF$341&amp;" ضد "&amp;$A356))</f>
        <v>0</v>
      </c>
      <c r="AG356" s="4">
        <f>IF($A356=AG$341,"",COUNTIF($E$4:$E$337,$A356&amp;" ضد "&amp;AG$341)+COUNTIF($E$4:$E$337,AG$341&amp;" ضد "&amp;$A356))</f>
        <v>0</v>
      </c>
      <c r="AH356" s="4">
        <f>IF($A356=AH$341,"",COUNTIF($E$4:$E$337,$A356&amp;" ضد "&amp;AH$341)+COUNTIF($E$4:$E$337,AH$341&amp;" ضد "&amp;$A356))</f>
        <v>0</v>
      </c>
      <c r="AI356" s="4">
        <f>IF($A356=AI$341,"",COUNTIF($E$4:$E$337,$A356&amp;" ضد "&amp;AI$341)+COUNTIF($E$4:$E$337,AI$341&amp;" ضد "&amp;$A356))</f>
        <v>0</v>
      </c>
      <c r="AJ356" s="4">
        <f>IF($A356=AJ$341,"",COUNTIF($E$4:$E$337,$A356&amp;" ضد "&amp;AJ$341)+COUNTIF($E$4:$E$337,AJ$341&amp;" ضد "&amp;$A356))</f>
        <v>0</v>
      </c>
      <c r="AK356" s="4">
        <f>IF($A356=AK$341,"",COUNTIF($E$4:$E$337,$A356&amp;" ضد "&amp;AK$341)+COUNTIF($E$4:$E$337,AK$341&amp;" ضد "&amp;$A356))</f>
        <v>0</v>
      </c>
      <c r="AL356" s="4">
        <f>IF($A356=AL$341,"",COUNTIF($E$4:$E$337,$A356&amp;" ضد "&amp;AL$341)+COUNTIF($E$4:$E$337,AL$341&amp;" ضد "&amp;$A356))</f>
        <v>0</v>
      </c>
    </row>
    <row r="357" spans="1:38" ht="14.5">
      <c r="A357" s="14">
        <v>16</v>
      </c>
      <c r="B357" s="4">
        <f>IF($A357=B$341,"",COUNTIF($E$4:$E$337,$A357&amp;" ضد "&amp;B$341)+COUNTIF($E$4:$E$337,B$341&amp;" ضد "&amp;$A357))</f>
        <v>1</v>
      </c>
      <c r="C357" s="4">
        <f>IF($A357=C$341,"",COUNTIF($E$4:$E$337,$A357&amp;" ضد "&amp;C$341)+COUNTIF($E$4:$E$337,C$341&amp;" ضد "&amp;$A357))</f>
        <v>1</v>
      </c>
      <c r="D357" s="4">
        <f>IF($A357=D$341,"",COUNTIF($E$4:$E$337,$A357&amp;" ضد "&amp;D$341)+COUNTIF($E$4:$E$337,D$341&amp;" ضد "&amp;$A357))</f>
        <v>1</v>
      </c>
      <c r="E357" s="4">
        <f>IF($A357=E$341,"",COUNTIF($E$4:$E$337,$A357&amp;" ضد "&amp;E$341)+COUNTIF($E$4:$E$337,E$341&amp;" ضد "&amp;$A357))</f>
        <v>1</v>
      </c>
      <c r="F357" s="4">
        <f>IF($A357=F$341,"",COUNTIF($E$4:$E$337,$A357&amp;" ضد "&amp;F$341)+COUNTIF($E$4:$E$337,F$341&amp;" ضد "&amp;$A357))</f>
        <v>1</v>
      </c>
      <c r="G357" s="4">
        <f>IF($A357=G$341,"",COUNTIF($E$4:$E$337,$A357&amp;" ضد "&amp;G$341)+COUNTIF($E$4:$E$337,G$341&amp;" ضد "&amp;$A357))</f>
        <v>1</v>
      </c>
      <c r="H357" s="4">
        <f>IF($A357=H$341,"",COUNTIF($E$4:$E$337,$A357&amp;" ضد "&amp;H$341)+COUNTIF($E$4:$E$337,H$341&amp;" ضد "&amp;$A357))</f>
        <v>1</v>
      </c>
      <c r="I357" s="4">
        <f>IF($A357=I$341,"",COUNTIF($E$4:$E$337,$A357&amp;" ضد "&amp;I$341)+COUNTIF($E$4:$E$337,I$341&amp;" ضد "&amp;$A357))</f>
        <v>1</v>
      </c>
      <c r="J357" s="4">
        <f>IF($A357=J$341,"",COUNTIF($E$4:$E$337,$A357&amp;" ضد "&amp;J$341)+COUNTIF($E$4:$E$337,J$341&amp;" ضد "&amp;$A357))</f>
        <v>1</v>
      </c>
      <c r="K357" s="4">
        <f>IF($A357=K$341,"",COUNTIF($E$4:$E$337,$A357&amp;" ضد "&amp;K$341)+COUNTIF($E$4:$E$337,K$341&amp;" ضد "&amp;$A357))</f>
        <v>1</v>
      </c>
      <c r="L357" s="4">
        <f>IF($A357=L$341,"",COUNTIF($E$4:$E$337,$A357&amp;" ضد "&amp;L$341)+COUNTIF($E$4:$E$337,L$341&amp;" ضد "&amp;$A357))</f>
        <v>1</v>
      </c>
      <c r="M357" s="4">
        <f>IF($A357=M$341,"",COUNTIF($E$4:$E$337,$A357&amp;" ضد "&amp;M$341)+COUNTIF($E$4:$E$337,M$341&amp;" ضد "&amp;$A357))</f>
        <v>1</v>
      </c>
      <c r="N357" s="4">
        <f>IF($A357=N$341,"",COUNTIF($E$4:$E$337,$A357&amp;" ضد "&amp;N$341)+COUNTIF($E$4:$E$337,N$341&amp;" ضد "&amp;$A357))</f>
        <v>1</v>
      </c>
      <c r="O357" s="4">
        <f>IF($A357=O$341,"",COUNTIF($E$4:$E$337,$A357&amp;" ضد "&amp;O$341)+COUNTIF($E$4:$E$337,O$341&amp;" ضد "&amp;$A357))</f>
        <v>1</v>
      </c>
      <c r="P357" s="4">
        <f>IF($A357=P$341,"",COUNTIF($E$4:$E$337,$A357&amp;" ضد "&amp;P$341)+COUNTIF($E$4:$E$337,P$341&amp;" ضد "&amp;$A357))</f>
        <v>1</v>
      </c>
      <c r="Q357" s="4" t="str">
        <f>IF($A357=Q$341,"",COUNTIF($E$4:$E$337,$A357&amp;" ضد "&amp;Q$341)+COUNTIF($E$4:$E$337,Q$341&amp;" ضد "&amp;$A357))</f>
        <v/>
      </c>
      <c r="R357" s="4">
        <f>IF($A357=R$341,"",COUNTIF($E$4:$E$337,$A357&amp;" ضد "&amp;R$341)+COUNTIF($E$4:$E$337,R$341&amp;" ضد "&amp;$A357))</f>
        <v>1</v>
      </c>
      <c r="S357" s="4">
        <f>IF($A357=S$341,"",COUNTIF($E$4:$E$337,$A357&amp;" ضد "&amp;S$341)+COUNTIF($E$4:$E$337,S$341&amp;" ضد "&amp;$A357))</f>
        <v>1</v>
      </c>
      <c r="T357" s="4">
        <f>IF($A357=T$341,"",COUNTIF($E$4:$E$337,$A357&amp;" ضد "&amp;T$341)+COUNTIF($E$4:$E$337,T$341&amp;" ضد "&amp;$A357))</f>
        <v>1</v>
      </c>
      <c r="U357" s="4">
        <f>IF($A357=U$341,"",COUNTIF($E$4:$E$337,$A357&amp;" ضد "&amp;U$341)+COUNTIF($E$4:$E$337,U$341&amp;" ضد "&amp;$A357))</f>
        <v>0</v>
      </c>
      <c r="V357" s="4">
        <f>IF($A357=V$341,"",COUNTIF($E$4:$E$337,$A357&amp;" ضد "&amp;V$341)+COUNTIF($E$4:$E$337,V$341&amp;" ضد "&amp;$A357))</f>
        <v>0</v>
      </c>
      <c r="W357" s="4">
        <f>IF($A357=W$341,"",COUNTIF($E$4:$E$337,$A357&amp;" ضد "&amp;W$341)+COUNTIF($E$4:$E$337,W$341&amp;" ضد "&amp;$A357))</f>
        <v>0</v>
      </c>
      <c r="X357" s="4">
        <f>IF($A357=X$341,"",COUNTIF($E$4:$E$337,$A357&amp;" ضد "&amp;X$341)+COUNTIF($E$4:$E$337,X$341&amp;" ضد "&amp;$A357))</f>
        <v>0</v>
      </c>
      <c r="Y357" s="4">
        <f>IF($A357=Y$341,"",COUNTIF($E$4:$E$337,$A357&amp;" ضد "&amp;Y$341)+COUNTIF($E$4:$E$337,Y$341&amp;" ضد "&amp;$A357))</f>
        <v>0</v>
      </c>
      <c r="Z357" s="4">
        <f>IF($A357=Z$341,"",COUNTIF($E$4:$E$337,$A357&amp;" ضد "&amp;Z$341)+COUNTIF($E$4:$E$337,Z$341&amp;" ضد "&amp;$A357))</f>
        <v>0</v>
      </c>
      <c r="AA357" s="4">
        <f>IF($A357=AA$341,"",COUNTIF($E$4:$E$337,$A357&amp;" ضد "&amp;AA$341)+COUNTIF($E$4:$E$337,AA$341&amp;" ضد "&amp;$A357))</f>
        <v>0</v>
      </c>
      <c r="AB357" s="4">
        <f>IF($A357=AB$341,"",COUNTIF($E$4:$E$337,$A357&amp;" ضد "&amp;AB$341)+COUNTIF($E$4:$E$337,AB$341&amp;" ضد "&amp;$A357))</f>
        <v>0</v>
      </c>
      <c r="AC357" s="4">
        <f>IF($A357=AC$341,"",COUNTIF($E$4:$E$337,$A357&amp;" ضد "&amp;AC$341)+COUNTIF($E$4:$E$337,AC$341&amp;" ضد "&amp;$A357))</f>
        <v>0</v>
      </c>
      <c r="AD357" s="4">
        <f>IF($A357=AD$341,"",COUNTIF($E$4:$E$337,$A357&amp;" ضد "&amp;AD$341)+COUNTIF($E$4:$E$337,AD$341&amp;" ضد "&amp;$A357))</f>
        <v>0</v>
      </c>
      <c r="AE357" s="4">
        <f>IF($A357=AE$341,"",COUNTIF($E$4:$E$337,$A357&amp;" ضد "&amp;AE$341)+COUNTIF($E$4:$E$337,AE$341&amp;" ضد "&amp;$A357))</f>
        <v>0</v>
      </c>
      <c r="AF357" s="4">
        <f>IF($A357=AF$341,"",COUNTIF($E$4:$E$337,$A357&amp;" ضد "&amp;AF$341)+COUNTIF($E$4:$E$337,AF$341&amp;" ضد "&amp;$A357))</f>
        <v>0</v>
      </c>
      <c r="AG357" s="4">
        <f>IF($A357=AG$341,"",COUNTIF($E$4:$E$337,$A357&amp;" ضد "&amp;AG$341)+COUNTIF($E$4:$E$337,AG$341&amp;" ضد "&amp;$A357))</f>
        <v>0</v>
      </c>
      <c r="AH357" s="4">
        <f>IF($A357=AH$341,"",COUNTIF($E$4:$E$337,$A357&amp;" ضد "&amp;AH$341)+COUNTIF($E$4:$E$337,AH$341&amp;" ضد "&amp;$A357))</f>
        <v>0</v>
      </c>
      <c r="AI357" s="4">
        <f>IF($A357=AI$341,"",COUNTIF($E$4:$E$337,$A357&amp;" ضد "&amp;AI$341)+COUNTIF($E$4:$E$337,AI$341&amp;" ضد "&amp;$A357))</f>
        <v>0</v>
      </c>
      <c r="AJ357" s="4">
        <f>IF($A357=AJ$341,"",COUNTIF($E$4:$E$337,$A357&amp;" ضد "&amp;AJ$341)+COUNTIF($E$4:$E$337,AJ$341&amp;" ضد "&amp;$A357))</f>
        <v>0</v>
      </c>
      <c r="AK357" s="4">
        <f>IF($A357=AK$341,"",COUNTIF($E$4:$E$337,$A357&amp;" ضد "&amp;AK$341)+COUNTIF($E$4:$E$337,AK$341&amp;" ضد "&amp;$A357))</f>
        <v>0</v>
      </c>
      <c r="AL357" s="4">
        <f>IF($A357=AL$341,"",COUNTIF($E$4:$E$337,$A357&amp;" ضد "&amp;AL$341)+COUNTIF($E$4:$E$337,AL$341&amp;" ضد "&amp;$A357))</f>
        <v>0</v>
      </c>
    </row>
    <row r="358" spans="1:38" ht="14.5">
      <c r="A358" s="14">
        <v>17</v>
      </c>
      <c r="B358" s="4">
        <f>IF($A358=B$341,"",COUNTIF($E$4:$E$337,$A358&amp;" ضد "&amp;B$341)+COUNTIF($E$4:$E$337,B$341&amp;" ضد "&amp;$A358))</f>
        <v>1</v>
      </c>
      <c r="C358" s="4">
        <f>IF($A358=C$341,"",COUNTIF($E$4:$E$337,$A358&amp;" ضد "&amp;C$341)+COUNTIF($E$4:$E$337,C$341&amp;" ضد "&amp;$A358))</f>
        <v>1</v>
      </c>
      <c r="D358" s="4">
        <f>IF($A358=D$341,"",COUNTIF($E$4:$E$337,$A358&amp;" ضد "&amp;D$341)+COUNTIF($E$4:$E$337,D$341&amp;" ضد "&amp;$A358))</f>
        <v>1</v>
      </c>
      <c r="E358" s="4">
        <f>IF($A358=E$341,"",COUNTIF($E$4:$E$337,$A358&amp;" ضد "&amp;E$341)+COUNTIF($E$4:$E$337,E$341&amp;" ضد "&amp;$A358))</f>
        <v>1</v>
      </c>
      <c r="F358" s="4">
        <f>IF($A358=F$341,"",COUNTIF($E$4:$E$337,$A358&amp;" ضد "&amp;F$341)+COUNTIF($E$4:$E$337,F$341&amp;" ضد "&amp;$A358))</f>
        <v>1</v>
      </c>
      <c r="G358" s="4">
        <f>IF($A358=G$341,"",COUNTIF($E$4:$E$337,$A358&amp;" ضد "&amp;G$341)+COUNTIF($E$4:$E$337,G$341&amp;" ضد "&amp;$A358))</f>
        <v>1</v>
      </c>
      <c r="H358" s="4">
        <f>IF($A358=H$341,"",COUNTIF($E$4:$E$337,$A358&amp;" ضد "&amp;H$341)+COUNTIF($E$4:$E$337,H$341&amp;" ضد "&amp;$A358))</f>
        <v>1</v>
      </c>
      <c r="I358" s="4">
        <f>IF($A358=I$341,"",COUNTIF($E$4:$E$337,$A358&amp;" ضد "&amp;I$341)+COUNTIF($E$4:$E$337,I$341&amp;" ضد "&amp;$A358))</f>
        <v>1</v>
      </c>
      <c r="J358" s="4">
        <f>IF($A358=J$341,"",COUNTIF($E$4:$E$337,$A358&amp;" ضد "&amp;J$341)+COUNTIF($E$4:$E$337,J$341&amp;" ضد "&amp;$A358))</f>
        <v>1</v>
      </c>
      <c r="K358" s="4">
        <f>IF($A358=K$341,"",COUNTIF($E$4:$E$337,$A358&amp;" ضد "&amp;K$341)+COUNTIF($E$4:$E$337,K$341&amp;" ضد "&amp;$A358))</f>
        <v>1</v>
      </c>
      <c r="L358" s="4">
        <f>IF($A358=L$341,"",COUNTIF($E$4:$E$337,$A358&amp;" ضد "&amp;L$341)+COUNTIF($E$4:$E$337,L$341&amp;" ضد "&amp;$A358))</f>
        <v>1</v>
      </c>
      <c r="M358" s="4">
        <f>IF($A358=M$341,"",COUNTIF($E$4:$E$337,$A358&amp;" ضد "&amp;M$341)+COUNTIF($E$4:$E$337,M$341&amp;" ضد "&amp;$A358))</f>
        <v>1</v>
      </c>
      <c r="N358" s="4">
        <f>IF($A358=N$341,"",COUNTIF($E$4:$E$337,$A358&amp;" ضد "&amp;N$341)+COUNTIF($E$4:$E$337,N$341&amp;" ضد "&amp;$A358))</f>
        <v>1</v>
      </c>
      <c r="O358" s="4">
        <f>IF($A358=O$341,"",COUNTIF($E$4:$E$337,$A358&amp;" ضد "&amp;O$341)+COUNTIF($E$4:$E$337,O$341&amp;" ضد "&amp;$A358))</f>
        <v>1</v>
      </c>
      <c r="P358" s="4">
        <f>IF($A358=P$341,"",COUNTIF($E$4:$E$337,$A358&amp;" ضد "&amp;P$341)+COUNTIF($E$4:$E$337,P$341&amp;" ضد "&amp;$A358))</f>
        <v>1</v>
      </c>
      <c r="Q358" s="4">
        <f>IF($A358=Q$341,"",COUNTIF($E$4:$E$337,$A358&amp;" ضد "&amp;Q$341)+COUNTIF($E$4:$E$337,Q$341&amp;" ضد "&amp;$A358))</f>
        <v>1</v>
      </c>
      <c r="R358" s="4" t="str">
        <f>IF($A358=R$341,"",COUNTIF($E$4:$E$337,$A358&amp;" ضد "&amp;R$341)+COUNTIF($E$4:$E$337,R$341&amp;" ضد "&amp;$A358))</f>
        <v/>
      </c>
      <c r="S358" s="4">
        <f>IF($A358=S$341,"",COUNTIF($E$4:$E$337,$A358&amp;" ضد "&amp;S$341)+COUNTIF($E$4:$E$337,S$341&amp;" ضد "&amp;$A358))</f>
        <v>1</v>
      </c>
      <c r="T358" s="4">
        <f>IF($A358=T$341,"",COUNTIF($E$4:$E$337,$A358&amp;" ضد "&amp;T$341)+COUNTIF($E$4:$E$337,T$341&amp;" ضد "&amp;$A358))</f>
        <v>1</v>
      </c>
      <c r="U358" s="4">
        <f>IF($A358=U$341,"",COUNTIF($E$4:$E$337,$A358&amp;" ضد "&amp;U$341)+COUNTIF($E$4:$E$337,U$341&amp;" ضد "&amp;$A358))</f>
        <v>0</v>
      </c>
      <c r="V358" s="4">
        <f>IF($A358=V$341,"",COUNTIF($E$4:$E$337,$A358&amp;" ضد "&amp;V$341)+COUNTIF($E$4:$E$337,V$341&amp;" ضد "&amp;$A358))</f>
        <v>0</v>
      </c>
      <c r="W358" s="4">
        <f>IF($A358=W$341,"",COUNTIF($E$4:$E$337,$A358&amp;" ضد "&amp;W$341)+COUNTIF($E$4:$E$337,W$341&amp;" ضد "&amp;$A358))</f>
        <v>0</v>
      </c>
      <c r="X358" s="4">
        <f>IF($A358=X$341,"",COUNTIF($E$4:$E$337,$A358&amp;" ضد "&amp;X$341)+COUNTIF($E$4:$E$337,X$341&amp;" ضد "&amp;$A358))</f>
        <v>0</v>
      </c>
      <c r="Y358" s="4">
        <f>IF($A358=Y$341,"",COUNTIF($E$4:$E$337,$A358&amp;" ضد "&amp;Y$341)+COUNTIF($E$4:$E$337,Y$341&amp;" ضد "&amp;$A358))</f>
        <v>0</v>
      </c>
      <c r="Z358" s="4">
        <f>IF($A358=Z$341,"",COUNTIF($E$4:$E$337,$A358&amp;" ضد "&amp;Z$341)+COUNTIF($E$4:$E$337,Z$341&amp;" ضد "&amp;$A358))</f>
        <v>0</v>
      </c>
      <c r="AA358" s="4">
        <f>IF($A358=AA$341,"",COUNTIF($E$4:$E$337,$A358&amp;" ضد "&amp;AA$341)+COUNTIF($E$4:$E$337,AA$341&amp;" ضد "&amp;$A358))</f>
        <v>0</v>
      </c>
      <c r="AB358" s="4">
        <f>IF($A358=AB$341,"",COUNTIF($E$4:$E$337,$A358&amp;" ضد "&amp;AB$341)+COUNTIF($E$4:$E$337,AB$341&amp;" ضد "&amp;$A358))</f>
        <v>0</v>
      </c>
      <c r="AC358" s="4">
        <f>IF($A358=AC$341,"",COUNTIF($E$4:$E$337,$A358&amp;" ضد "&amp;AC$341)+COUNTIF($E$4:$E$337,AC$341&amp;" ضد "&amp;$A358))</f>
        <v>0</v>
      </c>
      <c r="AD358" s="4">
        <f>IF($A358=AD$341,"",COUNTIF($E$4:$E$337,$A358&amp;" ضد "&amp;AD$341)+COUNTIF($E$4:$E$337,AD$341&amp;" ضد "&amp;$A358))</f>
        <v>0</v>
      </c>
      <c r="AE358" s="4">
        <f>IF($A358=AE$341,"",COUNTIF($E$4:$E$337,$A358&amp;" ضد "&amp;AE$341)+COUNTIF($E$4:$E$337,AE$341&amp;" ضد "&amp;$A358))</f>
        <v>0</v>
      </c>
      <c r="AF358" s="4">
        <f>IF($A358=AF$341,"",COUNTIF($E$4:$E$337,$A358&amp;" ضد "&amp;AF$341)+COUNTIF($E$4:$E$337,AF$341&amp;" ضد "&amp;$A358))</f>
        <v>0</v>
      </c>
      <c r="AG358" s="4">
        <f>IF($A358=AG$341,"",COUNTIF($E$4:$E$337,$A358&amp;" ضد "&amp;AG$341)+COUNTIF($E$4:$E$337,AG$341&amp;" ضد "&amp;$A358))</f>
        <v>0</v>
      </c>
      <c r="AH358" s="4">
        <f>IF($A358=AH$341,"",COUNTIF($E$4:$E$337,$A358&amp;" ضد "&amp;AH$341)+COUNTIF($E$4:$E$337,AH$341&amp;" ضد "&amp;$A358))</f>
        <v>0</v>
      </c>
      <c r="AI358" s="4">
        <f>IF($A358=AI$341,"",COUNTIF($E$4:$E$337,$A358&amp;" ضد "&amp;AI$341)+COUNTIF($E$4:$E$337,AI$341&amp;" ضد "&amp;$A358))</f>
        <v>0</v>
      </c>
      <c r="AJ358" s="4">
        <f>IF($A358=AJ$341,"",COUNTIF($E$4:$E$337,$A358&amp;" ضد "&amp;AJ$341)+COUNTIF($E$4:$E$337,AJ$341&amp;" ضد "&amp;$A358))</f>
        <v>0</v>
      </c>
      <c r="AK358" s="4">
        <f>IF($A358=AK$341,"",COUNTIF($E$4:$E$337,$A358&amp;" ضد "&amp;AK$341)+COUNTIF($E$4:$E$337,AK$341&amp;" ضد "&amp;$A358))</f>
        <v>0</v>
      </c>
      <c r="AL358" s="4">
        <f>IF($A358=AL$341,"",COUNTIF($E$4:$E$337,$A358&amp;" ضد "&amp;AL$341)+COUNTIF($E$4:$E$337,AL$341&amp;" ضد "&amp;$A358))</f>
        <v>0</v>
      </c>
    </row>
    <row r="359" spans="1:38" ht="14.5">
      <c r="A359" s="14">
        <v>18</v>
      </c>
      <c r="B359" s="4">
        <f>IF($A359=B$341,"",COUNTIF($E$4:$E$337,$A359&amp;" ضد "&amp;B$341)+COUNTIF($E$4:$E$337,B$341&amp;" ضد "&amp;$A359))</f>
        <v>1</v>
      </c>
      <c r="C359" s="4">
        <f>IF($A359=C$341,"",COUNTIF($E$4:$E$337,$A359&amp;" ضد "&amp;C$341)+COUNTIF($E$4:$E$337,C$341&amp;" ضد "&amp;$A359))</f>
        <v>1</v>
      </c>
      <c r="D359" s="4">
        <f>IF($A359=D$341,"",COUNTIF($E$4:$E$337,$A359&amp;" ضد "&amp;D$341)+COUNTIF($E$4:$E$337,D$341&amp;" ضد "&amp;$A359))</f>
        <v>1</v>
      </c>
      <c r="E359" s="4">
        <f>IF($A359=E$341,"",COUNTIF($E$4:$E$337,$A359&amp;" ضد "&amp;E$341)+COUNTIF($E$4:$E$337,E$341&amp;" ضد "&amp;$A359))</f>
        <v>1</v>
      </c>
      <c r="F359" s="4">
        <f>IF($A359=F$341,"",COUNTIF($E$4:$E$337,$A359&amp;" ضد "&amp;F$341)+COUNTIF($E$4:$E$337,F$341&amp;" ضد "&amp;$A359))</f>
        <v>1</v>
      </c>
      <c r="G359" s="4">
        <f>IF($A359=G$341,"",COUNTIF($E$4:$E$337,$A359&amp;" ضد "&amp;G$341)+COUNTIF($E$4:$E$337,G$341&amp;" ضد "&amp;$A359))</f>
        <v>1</v>
      </c>
      <c r="H359" s="4">
        <f>IF($A359=H$341,"",COUNTIF($E$4:$E$337,$A359&amp;" ضد "&amp;H$341)+COUNTIF($E$4:$E$337,H$341&amp;" ضد "&amp;$A359))</f>
        <v>1</v>
      </c>
      <c r="I359" s="4">
        <f>IF($A359=I$341,"",COUNTIF($E$4:$E$337,$A359&amp;" ضد "&amp;I$341)+COUNTIF($E$4:$E$337,I$341&amp;" ضد "&amp;$A359))</f>
        <v>1</v>
      </c>
      <c r="J359" s="4">
        <f>IF($A359=J$341,"",COUNTIF($E$4:$E$337,$A359&amp;" ضد "&amp;J$341)+COUNTIF($E$4:$E$337,J$341&amp;" ضد "&amp;$A359))</f>
        <v>1</v>
      </c>
      <c r="K359" s="4">
        <f>IF($A359=K$341,"",COUNTIF($E$4:$E$337,$A359&amp;" ضد "&amp;K$341)+COUNTIF($E$4:$E$337,K$341&amp;" ضد "&amp;$A359))</f>
        <v>1</v>
      </c>
      <c r="L359" s="4">
        <f>IF($A359=L$341,"",COUNTIF($E$4:$E$337,$A359&amp;" ضد "&amp;L$341)+COUNTIF($E$4:$E$337,L$341&amp;" ضد "&amp;$A359))</f>
        <v>1</v>
      </c>
      <c r="M359" s="4">
        <f>IF($A359=M$341,"",COUNTIF($E$4:$E$337,$A359&amp;" ضد "&amp;M$341)+COUNTIF($E$4:$E$337,M$341&amp;" ضد "&amp;$A359))</f>
        <v>1</v>
      </c>
      <c r="N359" s="4">
        <f>IF($A359=N$341,"",COUNTIF($E$4:$E$337,$A359&amp;" ضد "&amp;N$341)+COUNTIF($E$4:$E$337,N$341&amp;" ضد "&amp;$A359))</f>
        <v>1</v>
      </c>
      <c r="O359" s="4">
        <f>IF($A359=O$341,"",COUNTIF($E$4:$E$337,$A359&amp;" ضد "&amp;O$341)+COUNTIF($E$4:$E$337,O$341&amp;" ضد "&amp;$A359))</f>
        <v>1</v>
      </c>
      <c r="P359" s="4">
        <f>IF($A359=P$341,"",COUNTIF($E$4:$E$337,$A359&amp;" ضد "&amp;P$341)+COUNTIF($E$4:$E$337,P$341&amp;" ضد "&amp;$A359))</f>
        <v>1</v>
      </c>
      <c r="Q359" s="4">
        <f>IF($A359=Q$341,"",COUNTIF($E$4:$E$337,$A359&amp;" ضد "&amp;Q$341)+COUNTIF($E$4:$E$337,Q$341&amp;" ضد "&amp;$A359))</f>
        <v>1</v>
      </c>
      <c r="R359" s="4">
        <f>IF($A359=R$341,"",COUNTIF($E$4:$E$337,$A359&amp;" ضد "&amp;R$341)+COUNTIF($E$4:$E$337,R$341&amp;" ضد "&amp;$A359))</f>
        <v>1</v>
      </c>
      <c r="S359" s="4" t="str">
        <f>IF($A359=S$341,"",COUNTIF($E$4:$E$337,$A359&amp;" ضد "&amp;S$341)+COUNTIF($E$4:$E$337,S$341&amp;" ضد "&amp;$A359))</f>
        <v/>
      </c>
      <c r="T359" s="4">
        <f>IF($A359=T$341,"",COUNTIF($E$4:$E$337,$A359&amp;" ضد "&amp;T$341)+COUNTIF($E$4:$E$337,T$341&amp;" ضد "&amp;$A359))</f>
        <v>1</v>
      </c>
      <c r="U359" s="4">
        <f>IF($A359=U$341,"",COUNTIF($E$4:$E$337,$A359&amp;" ضد "&amp;U$341)+COUNTIF($E$4:$E$337,U$341&amp;" ضد "&amp;$A359))</f>
        <v>0</v>
      </c>
      <c r="V359" s="4">
        <f>IF($A359=V$341,"",COUNTIF($E$4:$E$337,$A359&amp;" ضد "&amp;V$341)+COUNTIF($E$4:$E$337,V$341&amp;" ضد "&amp;$A359))</f>
        <v>0</v>
      </c>
      <c r="W359" s="4">
        <f>IF($A359=W$341,"",COUNTIF($E$4:$E$337,$A359&amp;" ضد "&amp;W$341)+COUNTIF($E$4:$E$337,W$341&amp;" ضد "&amp;$A359))</f>
        <v>0</v>
      </c>
      <c r="X359" s="4">
        <f>IF($A359=X$341,"",COUNTIF($E$4:$E$337,$A359&amp;" ضد "&amp;X$341)+COUNTIF($E$4:$E$337,X$341&amp;" ضد "&amp;$A359))</f>
        <v>0</v>
      </c>
      <c r="Y359" s="4">
        <f>IF($A359=Y$341,"",COUNTIF($E$4:$E$337,$A359&amp;" ضد "&amp;Y$341)+COUNTIF($E$4:$E$337,Y$341&amp;" ضد "&amp;$A359))</f>
        <v>0</v>
      </c>
      <c r="Z359" s="4">
        <f>IF($A359=Z$341,"",COUNTIF($E$4:$E$337,$A359&amp;" ضد "&amp;Z$341)+COUNTIF($E$4:$E$337,Z$341&amp;" ضد "&amp;$A359))</f>
        <v>0</v>
      </c>
      <c r="AA359" s="4">
        <f>IF($A359=AA$341,"",COUNTIF($E$4:$E$337,$A359&amp;" ضد "&amp;AA$341)+COUNTIF($E$4:$E$337,AA$341&amp;" ضد "&amp;$A359))</f>
        <v>0</v>
      </c>
      <c r="AB359" s="4">
        <f>IF($A359=AB$341,"",COUNTIF($E$4:$E$337,$A359&amp;" ضد "&amp;AB$341)+COUNTIF($E$4:$E$337,AB$341&amp;" ضد "&amp;$A359))</f>
        <v>0</v>
      </c>
      <c r="AC359" s="4">
        <f>IF($A359=AC$341,"",COUNTIF($E$4:$E$337,$A359&amp;" ضد "&amp;AC$341)+COUNTIF($E$4:$E$337,AC$341&amp;" ضد "&amp;$A359))</f>
        <v>0</v>
      </c>
      <c r="AD359" s="4">
        <f>IF($A359=AD$341,"",COUNTIF($E$4:$E$337,$A359&amp;" ضد "&amp;AD$341)+COUNTIF($E$4:$E$337,AD$341&amp;" ضد "&amp;$A359))</f>
        <v>0</v>
      </c>
      <c r="AE359" s="4">
        <f>IF($A359=AE$341,"",COUNTIF($E$4:$E$337,$A359&amp;" ضد "&amp;AE$341)+COUNTIF($E$4:$E$337,AE$341&amp;" ضد "&amp;$A359))</f>
        <v>0</v>
      </c>
      <c r="AF359" s="4">
        <f>IF($A359=AF$341,"",COUNTIF($E$4:$E$337,$A359&amp;" ضد "&amp;AF$341)+COUNTIF($E$4:$E$337,AF$341&amp;" ضد "&amp;$A359))</f>
        <v>0</v>
      </c>
      <c r="AG359" s="4">
        <f>IF($A359=AG$341,"",COUNTIF($E$4:$E$337,$A359&amp;" ضد "&amp;AG$341)+COUNTIF($E$4:$E$337,AG$341&amp;" ضد "&amp;$A359))</f>
        <v>0</v>
      </c>
      <c r="AH359" s="4">
        <f>IF($A359=AH$341,"",COUNTIF($E$4:$E$337,$A359&amp;" ضد "&amp;AH$341)+COUNTIF($E$4:$E$337,AH$341&amp;" ضد "&amp;$A359))</f>
        <v>0</v>
      </c>
      <c r="AI359" s="4">
        <f>IF($A359=AI$341,"",COUNTIF($E$4:$E$337,$A359&amp;" ضد "&amp;AI$341)+COUNTIF($E$4:$E$337,AI$341&amp;" ضد "&amp;$A359))</f>
        <v>0</v>
      </c>
      <c r="AJ359" s="4">
        <f>IF($A359=AJ$341,"",COUNTIF($E$4:$E$337,$A359&amp;" ضد "&amp;AJ$341)+COUNTIF($E$4:$E$337,AJ$341&amp;" ضد "&amp;$A359))</f>
        <v>0</v>
      </c>
      <c r="AK359" s="4">
        <f>IF($A359=AK$341,"",COUNTIF($E$4:$E$337,$A359&amp;" ضد "&amp;AK$341)+COUNTIF($E$4:$E$337,AK$341&amp;" ضد "&amp;$A359))</f>
        <v>0</v>
      </c>
      <c r="AL359" s="4">
        <f>IF($A359=AL$341,"",COUNTIF($E$4:$E$337,$A359&amp;" ضد "&amp;AL$341)+COUNTIF($E$4:$E$337,AL$341&amp;" ضد "&amp;$A359))</f>
        <v>0</v>
      </c>
    </row>
    <row r="360" spans="1:38" ht="14.5">
      <c r="A360" s="14">
        <v>19</v>
      </c>
      <c r="B360" s="4">
        <f>IF($A360=B$341,"",COUNTIF($E$4:$E$337,$A360&amp;" ضد "&amp;B$341)+COUNTIF($E$4:$E$337,B$341&amp;" ضد "&amp;$A360))</f>
        <v>1</v>
      </c>
      <c r="C360" s="4">
        <f>IF($A360=C$341,"",COUNTIF($E$4:$E$337,$A360&amp;" ضد "&amp;C$341)+COUNTIF($E$4:$E$337,C$341&amp;" ضد "&amp;$A360))</f>
        <v>1</v>
      </c>
      <c r="D360" s="4">
        <f>IF($A360=D$341,"",COUNTIF($E$4:$E$337,$A360&amp;" ضد "&amp;D$341)+COUNTIF($E$4:$E$337,D$341&amp;" ضد "&amp;$A360))</f>
        <v>1</v>
      </c>
      <c r="E360" s="4">
        <f>IF($A360=E$341,"",COUNTIF($E$4:$E$337,$A360&amp;" ضد "&amp;E$341)+COUNTIF($E$4:$E$337,E$341&amp;" ضد "&amp;$A360))</f>
        <v>1</v>
      </c>
      <c r="F360" s="4">
        <f>IF($A360=F$341,"",COUNTIF($E$4:$E$337,$A360&amp;" ضد "&amp;F$341)+COUNTIF($E$4:$E$337,F$341&amp;" ضد "&amp;$A360))</f>
        <v>1</v>
      </c>
      <c r="G360" s="4">
        <f>IF($A360=G$341,"",COUNTIF($E$4:$E$337,$A360&amp;" ضد "&amp;G$341)+COUNTIF($E$4:$E$337,G$341&amp;" ضد "&amp;$A360))</f>
        <v>1</v>
      </c>
      <c r="H360" s="4">
        <f>IF($A360=H$341,"",COUNTIF($E$4:$E$337,$A360&amp;" ضد "&amp;H$341)+COUNTIF($E$4:$E$337,H$341&amp;" ضد "&amp;$A360))</f>
        <v>1</v>
      </c>
      <c r="I360" s="4">
        <f>IF($A360=I$341,"",COUNTIF($E$4:$E$337,$A360&amp;" ضد "&amp;I$341)+COUNTIF($E$4:$E$337,I$341&amp;" ضد "&amp;$A360))</f>
        <v>1</v>
      </c>
      <c r="J360" s="4">
        <f>IF($A360=J$341,"",COUNTIF($E$4:$E$337,$A360&amp;" ضد "&amp;J$341)+COUNTIF($E$4:$E$337,J$341&amp;" ضد "&amp;$A360))</f>
        <v>1</v>
      </c>
      <c r="K360" s="4">
        <f>IF($A360=K$341,"",COUNTIF($E$4:$E$337,$A360&amp;" ضد "&amp;K$341)+COUNTIF($E$4:$E$337,K$341&amp;" ضد "&amp;$A360))</f>
        <v>1</v>
      </c>
      <c r="L360" s="4">
        <f>IF($A360=L$341,"",COUNTIF($E$4:$E$337,$A360&amp;" ضد "&amp;L$341)+COUNTIF($E$4:$E$337,L$341&amp;" ضد "&amp;$A360))</f>
        <v>1</v>
      </c>
      <c r="M360" s="4">
        <f>IF($A360=M$341,"",COUNTIF($E$4:$E$337,$A360&amp;" ضد "&amp;M$341)+COUNTIF($E$4:$E$337,M$341&amp;" ضد "&amp;$A360))</f>
        <v>1</v>
      </c>
      <c r="N360" s="4">
        <f>IF($A360=N$341,"",COUNTIF($E$4:$E$337,$A360&amp;" ضد "&amp;N$341)+COUNTIF($E$4:$E$337,N$341&amp;" ضد "&amp;$A360))</f>
        <v>1</v>
      </c>
      <c r="O360" s="4">
        <f>IF($A360=O$341,"",COUNTIF($E$4:$E$337,$A360&amp;" ضد "&amp;O$341)+COUNTIF($E$4:$E$337,O$341&amp;" ضد "&amp;$A360))</f>
        <v>1</v>
      </c>
      <c r="P360" s="4">
        <f>IF($A360=P$341,"",COUNTIF($E$4:$E$337,$A360&amp;" ضد "&amp;P$341)+COUNTIF($E$4:$E$337,P$341&amp;" ضد "&amp;$A360))</f>
        <v>1</v>
      </c>
      <c r="Q360" s="4">
        <f>IF($A360=Q$341,"",COUNTIF($E$4:$E$337,$A360&amp;" ضد "&amp;Q$341)+COUNTIF($E$4:$E$337,Q$341&amp;" ضد "&amp;$A360))</f>
        <v>1</v>
      </c>
      <c r="R360" s="4">
        <f>IF($A360=R$341,"",COUNTIF($E$4:$E$337,$A360&amp;" ضد "&amp;R$341)+COUNTIF($E$4:$E$337,R$341&amp;" ضد "&amp;$A360))</f>
        <v>1</v>
      </c>
      <c r="S360" s="4">
        <f>IF($A360=S$341,"",COUNTIF($E$4:$E$337,$A360&amp;" ضد "&amp;S$341)+COUNTIF($E$4:$E$337,S$341&amp;" ضد "&amp;$A360))</f>
        <v>1</v>
      </c>
      <c r="T360" s="4" t="str">
        <f>IF($A360=T$341,"",COUNTIF($E$4:$E$337,$A360&amp;" ضد "&amp;T$341)+COUNTIF($E$4:$E$337,T$341&amp;" ضد "&amp;$A360))</f>
        <v/>
      </c>
      <c r="U360" s="4">
        <f>IF($A360=U$341,"",COUNTIF($E$4:$E$337,$A360&amp;" ضد "&amp;U$341)+COUNTIF($E$4:$E$337,U$341&amp;" ضد "&amp;$A360))</f>
        <v>0</v>
      </c>
      <c r="V360" s="4">
        <f>IF($A360=V$341,"",COUNTIF($E$4:$E$337,$A360&amp;" ضد "&amp;V$341)+COUNTIF($E$4:$E$337,V$341&amp;" ضد "&amp;$A360))</f>
        <v>0</v>
      </c>
      <c r="W360" s="4">
        <f>IF($A360=W$341,"",COUNTIF($E$4:$E$337,$A360&amp;" ضد "&amp;W$341)+COUNTIF($E$4:$E$337,W$341&amp;" ضد "&amp;$A360))</f>
        <v>0</v>
      </c>
      <c r="X360" s="4">
        <f>IF($A360=X$341,"",COUNTIF($E$4:$E$337,$A360&amp;" ضد "&amp;X$341)+COUNTIF($E$4:$E$337,X$341&amp;" ضد "&amp;$A360))</f>
        <v>0</v>
      </c>
      <c r="Y360" s="4">
        <f>IF($A360=Y$341,"",COUNTIF($E$4:$E$337,$A360&amp;" ضد "&amp;Y$341)+COUNTIF($E$4:$E$337,Y$341&amp;" ضد "&amp;$A360))</f>
        <v>0</v>
      </c>
      <c r="Z360" s="4">
        <f>IF($A360=Z$341,"",COUNTIF($E$4:$E$337,$A360&amp;" ضد "&amp;Z$341)+COUNTIF($E$4:$E$337,Z$341&amp;" ضد "&amp;$A360))</f>
        <v>0</v>
      </c>
      <c r="AA360" s="4">
        <f>IF($A360=AA$341,"",COUNTIF($E$4:$E$337,$A360&amp;" ضد "&amp;AA$341)+COUNTIF($E$4:$E$337,AA$341&amp;" ضد "&amp;$A360))</f>
        <v>0</v>
      </c>
      <c r="AB360" s="4">
        <f>IF($A360=AB$341,"",COUNTIF($E$4:$E$337,$A360&amp;" ضد "&amp;AB$341)+COUNTIF($E$4:$E$337,AB$341&amp;" ضد "&amp;$A360))</f>
        <v>0</v>
      </c>
      <c r="AC360" s="4">
        <f>IF($A360=AC$341,"",COUNTIF($E$4:$E$337,$A360&amp;" ضد "&amp;AC$341)+COUNTIF($E$4:$E$337,AC$341&amp;" ضد "&amp;$A360))</f>
        <v>0</v>
      </c>
      <c r="AD360" s="4">
        <f>IF($A360=AD$341,"",COUNTIF($E$4:$E$337,$A360&amp;" ضد "&amp;AD$341)+COUNTIF($E$4:$E$337,AD$341&amp;" ضد "&amp;$A360))</f>
        <v>0</v>
      </c>
      <c r="AE360" s="4">
        <f>IF($A360=AE$341,"",COUNTIF($E$4:$E$337,$A360&amp;" ضد "&amp;AE$341)+COUNTIF($E$4:$E$337,AE$341&amp;" ضد "&amp;$A360))</f>
        <v>0</v>
      </c>
      <c r="AF360" s="4">
        <f>IF($A360=AF$341,"",COUNTIF($E$4:$E$337,$A360&amp;" ضد "&amp;AF$341)+COUNTIF($E$4:$E$337,AF$341&amp;" ضد "&amp;$A360))</f>
        <v>0</v>
      </c>
      <c r="AG360" s="4">
        <f>IF($A360=AG$341,"",COUNTIF($E$4:$E$337,$A360&amp;" ضد "&amp;AG$341)+COUNTIF($E$4:$E$337,AG$341&amp;" ضد "&amp;$A360))</f>
        <v>0</v>
      </c>
      <c r="AH360" s="4">
        <f>IF($A360=AH$341,"",COUNTIF($E$4:$E$337,$A360&amp;" ضد "&amp;AH$341)+COUNTIF($E$4:$E$337,AH$341&amp;" ضد "&amp;$A360))</f>
        <v>0</v>
      </c>
      <c r="AI360" s="4">
        <f>IF($A360=AI$341,"",COUNTIF($E$4:$E$337,$A360&amp;" ضد "&amp;AI$341)+COUNTIF($E$4:$E$337,AI$341&amp;" ضد "&amp;$A360))</f>
        <v>0</v>
      </c>
      <c r="AJ360" s="4">
        <f>IF($A360=AJ$341,"",COUNTIF($E$4:$E$337,$A360&amp;" ضد "&amp;AJ$341)+COUNTIF($E$4:$E$337,AJ$341&amp;" ضد "&amp;$A360))</f>
        <v>0</v>
      </c>
      <c r="AK360" s="4">
        <f>IF($A360=AK$341,"",COUNTIF($E$4:$E$337,$A360&amp;" ضد "&amp;AK$341)+COUNTIF($E$4:$E$337,AK$341&amp;" ضد "&amp;$A360))</f>
        <v>0</v>
      </c>
      <c r="AL360" s="4">
        <f>IF($A360=AL$341,"",COUNTIF($E$4:$E$337,$A360&amp;" ضد "&amp;AL$341)+COUNTIF($E$4:$E$337,AL$341&amp;" ضد "&amp;$A360))</f>
        <v>0</v>
      </c>
    </row>
    <row r="361" spans="1:38" ht="14.5">
      <c r="A361" s="14">
        <v>20</v>
      </c>
      <c r="B361" s="4">
        <f>IF($A361=B$341,"",COUNTIF($E$4:$E$337,$A361&amp;" ضد "&amp;B$341)+COUNTIF($E$4:$E$337,B$341&amp;" ضد "&amp;$A361))</f>
        <v>0</v>
      </c>
      <c r="C361" s="4">
        <f>IF($A361=C$341,"",COUNTIF($E$4:$E$337,$A361&amp;" ضد "&amp;C$341)+COUNTIF($E$4:$E$337,C$341&amp;" ضد "&amp;$A361))</f>
        <v>0</v>
      </c>
      <c r="D361" s="4">
        <f>IF($A361=D$341,"",COUNTIF($E$4:$E$337,$A361&amp;" ضد "&amp;D$341)+COUNTIF($E$4:$E$337,D$341&amp;" ضد "&amp;$A361))</f>
        <v>0</v>
      </c>
      <c r="E361" s="4">
        <f>IF($A361=E$341,"",COUNTIF($E$4:$E$337,$A361&amp;" ضد "&amp;E$341)+COUNTIF($E$4:$E$337,E$341&amp;" ضد "&amp;$A361))</f>
        <v>0</v>
      </c>
      <c r="F361" s="4">
        <f>IF($A361=F$341,"",COUNTIF($E$4:$E$337,$A361&amp;" ضد "&amp;F$341)+COUNTIF($E$4:$E$337,F$341&amp;" ضد "&amp;$A361))</f>
        <v>0</v>
      </c>
      <c r="G361" s="4">
        <f>IF($A361=G$341,"",COUNTIF($E$4:$E$337,$A361&amp;" ضد "&amp;G$341)+COUNTIF($E$4:$E$337,G$341&amp;" ضد "&amp;$A361))</f>
        <v>0</v>
      </c>
      <c r="H361" s="4">
        <f>IF($A361=H$341,"",COUNTIF($E$4:$E$337,$A361&amp;" ضد "&amp;H$341)+COUNTIF($E$4:$E$337,H$341&amp;" ضد "&amp;$A361))</f>
        <v>0</v>
      </c>
      <c r="I361" s="4">
        <f>IF($A361=I$341,"",COUNTIF($E$4:$E$337,$A361&amp;" ضد "&amp;I$341)+COUNTIF($E$4:$E$337,I$341&amp;" ضد "&amp;$A361))</f>
        <v>0</v>
      </c>
      <c r="J361" s="4">
        <f>IF($A361=J$341,"",COUNTIF($E$4:$E$337,$A361&amp;" ضد "&amp;J$341)+COUNTIF($E$4:$E$337,J$341&amp;" ضد "&amp;$A361))</f>
        <v>0</v>
      </c>
      <c r="K361" s="4">
        <f>IF($A361=K$341,"",COUNTIF($E$4:$E$337,$A361&amp;" ضد "&amp;K$341)+COUNTIF($E$4:$E$337,K$341&amp;" ضد "&amp;$A361))</f>
        <v>0</v>
      </c>
      <c r="L361" s="4">
        <f>IF($A361=L$341,"",COUNTIF($E$4:$E$337,$A361&amp;" ضد "&amp;L$341)+COUNTIF($E$4:$E$337,L$341&amp;" ضد "&amp;$A361))</f>
        <v>0</v>
      </c>
      <c r="M361" s="4">
        <f>IF($A361=M$341,"",COUNTIF($E$4:$E$337,$A361&amp;" ضد "&amp;M$341)+COUNTIF($E$4:$E$337,M$341&amp;" ضد "&amp;$A361))</f>
        <v>0</v>
      </c>
      <c r="N361" s="4">
        <f>IF($A361=N$341,"",COUNTIF($E$4:$E$337,$A361&amp;" ضد "&amp;N$341)+COUNTIF($E$4:$E$337,N$341&amp;" ضد "&amp;$A361))</f>
        <v>0</v>
      </c>
      <c r="O361" s="4">
        <f>IF($A361=O$341,"",COUNTIF($E$4:$E$337,$A361&amp;" ضد "&amp;O$341)+COUNTIF($E$4:$E$337,O$341&amp;" ضد "&amp;$A361))</f>
        <v>0</v>
      </c>
      <c r="P361" s="4">
        <f>IF($A361=P$341,"",COUNTIF($E$4:$E$337,$A361&amp;" ضد "&amp;P$341)+COUNTIF($E$4:$E$337,P$341&amp;" ضد "&amp;$A361))</f>
        <v>0</v>
      </c>
      <c r="Q361" s="4">
        <f>IF($A361=Q$341,"",COUNTIF($E$4:$E$337,$A361&amp;" ضد "&amp;Q$341)+COUNTIF($E$4:$E$337,Q$341&amp;" ضد "&amp;$A361))</f>
        <v>0</v>
      </c>
      <c r="R361" s="4">
        <f>IF($A361=R$341,"",COUNTIF($E$4:$E$337,$A361&amp;" ضد "&amp;R$341)+COUNTIF($E$4:$E$337,R$341&amp;" ضد "&amp;$A361))</f>
        <v>0</v>
      </c>
      <c r="S361" s="4">
        <f>IF($A361=S$341,"",COUNTIF($E$4:$E$337,$A361&amp;" ضد "&amp;S$341)+COUNTIF($E$4:$E$337,S$341&amp;" ضد "&amp;$A361))</f>
        <v>0</v>
      </c>
      <c r="T361" s="4">
        <f>IF($A361=T$341,"",COUNTIF($E$4:$E$337,$A361&amp;" ضد "&amp;T$341)+COUNTIF($E$4:$E$337,T$341&amp;" ضد "&amp;$A361))</f>
        <v>0</v>
      </c>
      <c r="U361" s="4" t="str">
        <f>IF($A361=U$341,"",COUNTIF($E$4:$E$337,$A361&amp;" ضد "&amp;U$341)+COUNTIF($E$4:$E$337,U$341&amp;" ضد "&amp;$A361))</f>
        <v/>
      </c>
      <c r="V361" s="4">
        <f>IF($A361=V$341,"",COUNTIF($E$4:$E$337,$A361&amp;" ضد "&amp;V$341)+COUNTIF($E$4:$E$337,V$341&amp;" ضد "&amp;$A361))</f>
        <v>1</v>
      </c>
      <c r="W361" s="4">
        <f>IF($A361=W$341,"",COUNTIF($E$4:$E$337,$A361&amp;" ضد "&amp;W$341)+COUNTIF($E$4:$E$337,W$341&amp;" ضد "&amp;$A361))</f>
        <v>1</v>
      </c>
      <c r="X361" s="4">
        <f>IF($A361=X$341,"",COUNTIF($E$4:$E$337,$A361&amp;" ضد "&amp;X$341)+COUNTIF($E$4:$E$337,X$341&amp;" ضد "&amp;$A361))</f>
        <v>1</v>
      </c>
      <c r="Y361" s="4">
        <f>IF($A361=Y$341,"",COUNTIF($E$4:$E$337,$A361&amp;" ضد "&amp;Y$341)+COUNTIF($E$4:$E$337,Y$341&amp;" ضد "&amp;$A361))</f>
        <v>1</v>
      </c>
      <c r="Z361" s="4">
        <f>IF($A361=Z$341,"",COUNTIF($E$4:$E$337,$A361&amp;" ضد "&amp;Z$341)+COUNTIF($E$4:$E$337,Z$341&amp;" ضد "&amp;$A361))</f>
        <v>1</v>
      </c>
      <c r="AA361" s="4">
        <f>IF($A361=AA$341,"",COUNTIF($E$4:$E$337,$A361&amp;" ضد "&amp;AA$341)+COUNTIF($E$4:$E$337,AA$341&amp;" ضد "&amp;$A361))</f>
        <v>1</v>
      </c>
      <c r="AB361" s="4">
        <f>IF($A361=AB$341,"",COUNTIF($E$4:$E$337,$A361&amp;" ضد "&amp;AB$341)+COUNTIF($E$4:$E$337,AB$341&amp;" ضد "&amp;$A361))</f>
        <v>1</v>
      </c>
      <c r="AC361" s="4">
        <f>IF($A361=AC$341,"",COUNTIF($E$4:$E$337,$A361&amp;" ضد "&amp;AC$341)+COUNTIF($E$4:$E$337,AC$341&amp;" ضد "&amp;$A361))</f>
        <v>1</v>
      </c>
      <c r="AD361" s="4">
        <f>IF($A361=AD$341,"",COUNTIF($E$4:$E$337,$A361&amp;" ضد "&amp;AD$341)+COUNTIF($E$4:$E$337,AD$341&amp;" ضد "&amp;$A361))</f>
        <v>1</v>
      </c>
      <c r="AE361" s="4">
        <f>IF($A361=AE$341,"",COUNTIF($E$4:$E$337,$A361&amp;" ضد "&amp;AE$341)+COUNTIF($E$4:$E$337,AE$341&amp;" ضد "&amp;$A361))</f>
        <v>1</v>
      </c>
      <c r="AF361" s="4">
        <f>IF($A361=AF$341,"",COUNTIF($E$4:$E$337,$A361&amp;" ضد "&amp;AF$341)+COUNTIF($E$4:$E$337,AF$341&amp;" ضد "&amp;$A361))</f>
        <v>1</v>
      </c>
      <c r="AG361" s="4">
        <f>IF($A361=AG$341,"",COUNTIF($E$4:$E$337,$A361&amp;" ضد "&amp;AG$341)+COUNTIF($E$4:$E$337,AG$341&amp;" ضد "&amp;$A361))</f>
        <v>1</v>
      </c>
      <c r="AH361" s="4">
        <f>IF($A361=AH$341,"",COUNTIF($E$4:$E$337,$A361&amp;" ضد "&amp;AH$341)+COUNTIF($E$4:$E$337,AH$341&amp;" ضد "&amp;$A361))</f>
        <v>1</v>
      </c>
      <c r="AI361" s="4">
        <f>IF($A361=AI$341,"",COUNTIF($E$4:$E$337,$A361&amp;" ضد "&amp;AI$341)+COUNTIF($E$4:$E$337,AI$341&amp;" ضد "&amp;$A361))</f>
        <v>1</v>
      </c>
      <c r="AJ361" s="4">
        <f>IF($A361=AJ$341,"",COUNTIF($E$4:$E$337,$A361&amp;" ضد "&amp;AJ$341)+COUNTIF($E$4:$E$337,AJ$341&amp;" ضد "&amp;$A361))</f>
        <v>1</v>
      </c>
      <c r="AK361" s="4">
        <f>IF($A361=AK$341,"",COUNTIF($E$4:$E$337,$A361&amp;" ضد "&amp;AK$341)+COUNTIF($E$4:$E$337,AK$341&amp;" ضد "&amp;$A361))</f>
        <v>1</v>
      </c>
      <c r="AL361" s="4">
        <f>IF($A361=AL$341,"",COUNTIF($E$4:$E$337,$A361&amp;" ضد "&amp;AL$341)+COUNTIF($E$4:$E$337,AL$341&amp;" ضد "&amp;$A361))</f>
        <v>2</v>
      </c>
    </row>
    <row r="362" spans="1:38" ht="14.5">
      <c r="A362" s="14">
        <v>21</v>
      </c>
      <c r="B362" s="4">
        <f>IF($A362=B$341,"",COUNTIF($E$4:$E$337,$A362&amp;" ضد "&amp;B$341)+COUNTIF($E$4:$E$337,B$341&amp;" ضد "&amp;$A362))</f>
        <v>0</v>
      </c>
      <c r="C362" s="4">
        <f>IF($A362=C$341,"",COUNTIF($E$4:$E$337,$A362&amp;" ضد "&amp;C$341)+COUNTIF($E$4:$E$337,C$341&amp;" ضد "&amp;$A362))</f>
        <v>0</v>
      </c>
      <c r="D362" s="4">
        <f>IF($A362=D$341,"",COUNTIF($E$4:$E$337,$A362&amp;" ضد "&amp;D$341)+COUNTIF($E$4:$E$337,D$341&amp;" ضد "&amp;$A362))</f>
        <v>0</v>
      </c>
      <c r="E362" s="4">
        <f>IF($A362=E$341,"",COUNTIF($E$4:$E$337,$A362&amp;" ضد "&amp;E$341)+COUNTIF($E$4:$E$337,E$341&amp;" ضد "&amp;$A362))</f>
        <v>0</v>
      </c>
      <c r="F362" s="4">
        <f>IF($A362=F$341,"",COUNTIF($E$4:$E$337,$A362&amp;" ضد "&amp;F$341)+COUNTIF($E$4:$E$337,F$341&amp;" ضد "&amp;$A362))</f>
        <v>0</v>
      </c>
      <c r="G362" s="4">
        <f>IF($A362=G$341,"",COUNTIF($E$4:$E$337,$A362&amp;" ضد "&amp;G$341)+COUNTIF($E$4:$E$337,G$341&amp;" ضد "&amp;$A362))</f>
        <v>0</v>
      </c>
      <c r="H362" s="4">
        <f>IF($A362=H$341,"",COUNTIF($E$4:$E$337,$A362&amp;" ضد "&amp;H$341)+COUNTIF($E$4:$E$337,H$341&amp;" ضد "&amp;$A362))</f>
        <v>0</v>
      </c>
      <c r="I362" s="4">
        <f>IF($A362=I$341,"",COUNTIF($E$4:$E$337,$A362&amp;" ضد "&amp;I$341)+COUNTIF($E$4:$E$337,I$341&amp;" ضد "&amp;$A362))</f>
        <v>0</v>
      </c>
      <c r="J362" s="4">
        <f>IF($A362=J$341,"",COUNTIF($E$4:$E$337,$A362&amp;" ضد "&amp;J$341)+COUNTIF($E$4:$E$337,J$341&amp;" ضد "&amp;$A362))</f>
        <v>0</v>
      </c>
      <c r="K362" s="4">
        <f>IF($A362=K$341,"",COUNTIF($E$4:$E$337,$A362&amp;" ضد "&amp;K$341)+COUNTIF($E$4:$E$337,K$341&amp;" ضد "&amp;$A362))</f>
        <v>0</v>
      </c>
      <c r="L362" s="4">
        <f>IF($A362=L$341,"",COUNTIF($E$4:$E$337,$A362&amp;" ضد "&amp;L$341)+COUNTIF($E$4:$E$337,L$341&amp;" ضد "&amp;$A362))</f>
        <v>0</v>
      </c>
      <c r="M362" s="4">
        <f>IF($A362=M$341,"",COUNTIF($E$4:$E$337,$A362&amp;" ضد "&amp;M$341)+COUNTIF($E$4:$E$337,M$341&amp;" ضد "&amp;$A362))</f>
        <v>0</v>
      </c>
      <c r="N362" s="4">
        <f>IF($A362=N$341,"",COUNTIF($E$4:$E$337,$A362&amp;" ضد "&amp;N$341)+COUNTIF($E$4:$E$337,N$341&amp;" ضد "&amp;$A362))</f>
        <v>0</v>
      </c>
      <c r="O362" s="4">
        <f>IF($A362=O$341,"",COUNTIF($E$4:$E$337,$A362&amp;" ضد "&amp;O$341)+COUNTIF($E$4:$E$337,O$341&amp;" ضد "&amp;$A362))</f>
        <v>0</v>
      </c>
      <c r="P362" s="4">
        <f>IF($A362=P$341,"",COUNTIF($E$4:$E$337,$A362&amp;" ضد "&amp;P$341)+COUNTIF($E$4:$E$337,P$341&amp;" ضد "&amp;$A362))</f>
        <v>0</v>
      </c>
      <c r="Q362" s="4">
        <f>IF($A362=Q$341,"",COUNTIF($E$4:$E$337,$A362&amp;" ضد "&amp;Q$341)+COUNTIF($E$4:$E$337,Q$341&amp;" ضد "&amp;$A362))</f>
        <v>0</v>
      </c>
      <c r="R362" s="4">
        <f>IF($A362=R$341,"",COUNTIF($E$4:$E$337,$A362&amp;" ضد "&amp;R$341)+COUNTIF($E$4:$E$337,R$341&amp;" ضد "&amp;$A362))</f>
        <v>0</v>
      </c>
      <c r="S362" s="4">
        <f>IF($A362=S$341,"",COUNTIF($E$4:$E$337,$A362&amp;" ضد "&amp;S$341)+COUNTIF($E$4:$E$337,S$341&amp;" ضد "&amp;$A362))</f>
        <v>0</v>
      </c>
      <c r="T362" s="4">
        <f>IF($A362=T$341,"",COUNTIF($E$4:$E$337,$A362&amp;" ضد "&amp;T$341)+COUNTIF($E$4:$E$337,T$341&amp;" ضد "&amp;$A362))</f>
        <v>0</v>
      </c>
      <c r="U362" s="4">
        <f>IF($A362=U$341,"",COUNTIF($E$4:$E$337,$A362&amp;" ضد "&amp;U$341)+COUNTIF($E$4:$E$337,U$341&amp;" ضد "&amp;$A362))</f>
        <v>1</v>
      </c>
      <c r="V362" s="4" t="str">
        <f>IF($A362=V$341,"",COUNTIF($E$4:$E$337,$A362&amp;" ضد "&amp;V$341)+COUNTIF($E$4:$E$337,V$341&amp;" ضد "&amp;$A362))</f>
        <v/>
      </c>
      <c r="W362" s="4">
        <f>IF($A362=W$341,"",COUNTIF($E$4:$E$337,$A362&amp;" ضد "&amp;W$341)+COUNTIF($E$4:$E$337,W$341&amp;" ضد "&amp;$A362))</f>
        <v>1</v>
      </c>
      <c r="X362" s="4">
        <f>IF($A362=X$341,"",COUNTIF($E$4:$E$337,$A362&amp;" ضد "&amp;X$341)+COUNTIF($E$4:$E$337,X$341&amp;" ضد "&amp;$A362))</f>
        <v>1</v>
      </c>
      <c r="Y362" s="4">
        <f>IF($A362=Y$341,"",COUNTIF($E$4:$E$337,$A362&amp;" ضد "&amp;Y$341)+COUNTIF($E$4:$E$337,Y$341&amp;" ضد "&amp;$A362))</f>
        <v>1</v>
      </c>
      <c r="Z362" s="4">
        <f>IF($A362=Z$341,"",COUNTIF($E$4:$E$337,$A362&amp;" ضد "&amp;Z$341)+COUNTIF($E$4:$E$337,Z$341&amp;" ضد "&amp;$A362))</f>
        <v>1</v>
      </c>
      <c r="AA362" s="4">
        <f>IF($A362=AA$341,"",COUNTIF($E$4:$E$337,$A362&amp;" ضد "&amp;AA$341)+COUNTIF($E$4:$E$337,AA$341&amp;" ضد "&amp;$A362))</f>
        <v>1</v>
      </c>
      <c r="AB362" s="4">
        <f>IF($A362=AB$341,"",COUNTIF($E$4:$E$337,$A362&amp;" ضد "&amp;AB$341)+COUNTIF($E$4:$E$337,AB$341&amp;" ضد "&amp;$A362))</f>
        <v>1</v>
      </c>
      <c r="AC362" s="4">
        <f>IF($A362=AC$341,"",COUNTIF($E$4:$E$337,$A362&amp;" ضد "&amp;AC$341)+COUNTIF($E$4:$E$337,AC$341&amp;" ضد "&amp;$A362))</f>
        <v>1</v>
      </c>
      <c r="AD362" s="4">
        <f>IF($A362=AD$341,"",COUNTIF($E$4:$E$337,$A362&amp;" ضد "&amp;AD$341)+COUNTIF($E$4:$E$337,AD$341&amp;" ضد "&amp;$A362))</f>
        <v>1</v>
      </c>
      <c r="AE362" s="4">
        <f>IF($A362=AE$341,"",COUNTIF($E$4:$E$337,$A362&amp;" ضد "&amp;AE$341)+COUNTIF($E$4:$E$337,AE$341&amp;" ضد "&amp;$A362))</f>
        <v>1</v>
      </c>
      <c r="AF362" s="4">
        <f>IF($A362=AF$341,"",COUNTIF($E$4:$E$337,$A362&amp;" ضد "&amp;AF$341)+COUNTIF($E$4:$E$337,AF$341&amp;" ضد "&amp;$A362))</f>
        <v>1</v>
      </c>
      <c r="AG362" s="4">
        <f>IF($A362=AG$341,"",COUNTIF($E$4:$E$337,$A362&amp;" ضد "&amp;AG$341)+COUNTIF($E$4:$E$337,AG$341&amp;" ضد "&amp;$A362))</f>
        <v>1</v>
      </c>
      <c r="AH362" s="4">
        <f>IF($A362=AH$341,"",COUNTIF($E$4:$E$337,$A362&amp;" ضد "&amp;AH$341)+COUNTIF($E$4:$E$337,AH$341&amp;" ضد "&amp;$A362))</f>
        <v>1</v>
      </c>
      <c r="AI362" s="4">
        <f>IF($A362=AI$341,"",COUNTIF($E$4:$E$337,$A362&amp;" ضد "&amp;AI$341)+COUNTIF($E$4:$E$337,AI$341&amp;" ضد "&amp;$A362))</f>
        <v>1</v>
      </c>
      <c r="AJ362" s="4">
        <f>IF($A362=AJ$341,"",COUNTIF($E$4:$E$337,$A362&amp;" ضد "&amp;AJ$341)+COUNTIF($E$4:$E$337,AJ$341&amp;" ضد "&amp;$A362))</f>
        <v>1</v>
      </c>
      <c r="AK362" s="4">
        <f>IF($A362=AK$341,"",COUNTIF($E$4:$E$337,$A362&amp;" ضد "&amp;AK$341)+COUNTIF($E$4:$E$337,AK$341&amp;" ضد "&amp;$A362))</f>
        <v>2</v>
      </c>
      <c r="AL362" s="4">
        <f>IF($A362=AL$341,"",COUNTIF($E$4:$E$337,$A362&amp;" ضد "&amp;AL$341)+COUNTIF($E$4:$E$337,AL$341&amp;" ضد "&amp;$A362))</f>
        <v>1</v>
      </c>
    </row>
    <row r="363" spans="1:38" ht="14.5">
      <c r="A363" s="14">
        <v>22</v>
      </c>
      <c r="B363" s="4">
        <f>IF($A363=B$341,"",COUNTIF($E$4:$E$337,$A363&amp;" ضد "&amp;B$341)+COUNTIF($E$4:$E$337,B$341&amp;" ضد "&amp;$A363))</f>
        <v>0</v>
      </c>
      <c r="C363" s="4">
        <f>IF($A363=C$341,"",COUNTIF($E$4:$E$337,$A363&amp;" ضد "&amp;C$341)+COUNTIF($E$4:$E$337,C$341&amp;" ضد "&amp;$A363))</f>
        <v>0</v>
      </c>
      <c r="D363" s="4">
        <f>IF($A363=D$341,"",COUNTIF($E$4:$E$337,$A363&amp;" ضد "&amp;D$341)+COUNTIF($E$4:$E$337,D$341&amp;" ضد "&amp;$A363))</f>
        <v>0</v>
      </c>
      <c r="E363" s="4">
        <f>IF($A363=E$341,"",COUNTIF($E$4:$E$337,$A363&amp;" ضد "&amp;E$341)+COUNTIF($E$4:$E$337,E$341&amp;" ضد "&amp;$A363))</f>
        <v>0</v>
      </c>
      <c r="F363" s="4">
        <f>IF($A363=F$341,"",COUNTIF($E$4:$E$337,$A363&amp;" ضد "&amp;F$341)+COUNTIF($E$4:$E$337,F$341&amp;" ضد "&amp;$A363))</f>
        <v>0</v>
      </c>
      <c r="G363" s="4">
        <f>IF($A363=G$341,"",COUNTIF($E$4:$E$337,$A363&amp;" ضد "&amp;G$341)+COUNTIF($E$4:$E$337,G$341&amp;" ضد "&amp;$A363))</f>
        <v>0</v>
      </c>
      <c r="H363" s="4">
        <f>IF($A363=H$341,"",COUNTIF($E$4:$E$337,$A363&amp;" ضد "&amp;H$341)+COUNTIF($E$4:$E$337,H$341&amp;" ضد "&amp;$A363))</f>
        <v>0</v>
      </c>
      <c r="I363" s="4">
        <f>IF($A363=I$341,"",COUNTIF($E$4:$E$337,$A363&amp;" ضد "&amp;I$341)+COUNTIF($E$4:$E$337,I$341&amp;" ضد "&amp;$A363))</f>
        <v>0</v>
      </c>
      <c r="J363" s="4">
        <f>IF($A363=J$341,"",COUNTIF($E$4:$E$337,$A363&amp;" ضد "&amp;J$341)+COUNTIF($E$4:$E$337,J$341&amp;" ضد "&amp;$A363))</f>
        <v>0</v>
      </c>
      <c r="K363" s="4">
        <f>IF($A363=K$341,"",COUNTIF($E$4:$E$337,$A363&amp;" ضد "&amp;K$341)+COUNTIF($E$4:$E$337,K$341&amp;" ضد "&amp;$A363))</f>
        <v>0</v>
      </c>
      <c r="L363" s="4">
        <f>IF($A363=L$341,"",COUNTIF($E$4:$E$337,$A363&amp;" ضد "&amp;L$341)+COUNTIF($E$4:$E$337,L$341&amp;" ضد "&amp;$A363))</f>
        <v>0</v>
      </c>
      <c r="M363" s="4">
        <f>IF($A363=M$341,"",COUNTIF($E$4:$E$337,$A363&amp;" ضد "&amp;M$341)+COUNTIF($E$4:$E$337,M$341&amp;" ضد "&amp;$A363))</f>
        <v>0</v>
      </c>
      <c r="N363" s="4">
        <f>IF($A363=N$341,"",COUNTIF($E$4:$E$337,$A363&amp;" ضد "&amp;N$341)+COUNTIF($E$4:$E$337,N$341&amp;" ضد "&amp;$A363))</f>
        <v>0</v>
      </c>
      <c r="O363" s="4">
        <f>IF($A363=O$341,"",COUNTIF($E$4:$E$337,$A363&amp;" ضد "&amp;O$341)+COUNTIF($E$4:$E$337,O$341&amp;" ضد "&amp;$A363))</f>
        <v>0</v>
      </c>
      <c r="P363" s="4">
        <f>IF($A363=P$341,"",COUNTIF($E$4:$E$337,$A363&amp;" ضد "&amp;P$341)+COUNTIF($E$4:$E$337,P$341&amp;" ضد "&amp;$A363))</f>
        <v>0</v>
      </c>
      <c r="Q363" s="4">
        <f>IF($A363=Q$341,"",COUNTIF($E$4:$E$337,$A363&amp;" ضد "&amp;Q$341)+COUNTIF($E$4:$E$337,Q$341&amp;" ضد "&amp;$A363))</f>
        <v>0</v>
      </c>
      <c r="R363" s="4">
        <f>IF($A363=R$341,"",COUNTIF($E$4:$E$337,$A363&amp;" ضد "&amp;R$341)+COUNTIF($E$4:$E$337,R$341&amp;" ضد "&amp;$A363))</f>
        <v>0</v>
      </c>
      <c r="S363" s="4">
        <f>IF($A363=S$341,"",COUNTIF($E$4:$E$337,$A363&amp;" ضد "&amp;S$341)+COUNTIF($E$4:$E$337,S$341&amp;" ضد "&amp;$A363))</f>
        <v>0</v>
      </c>
      <c r="T363" s="4">
        <f>IF($A363=T$341,"",COUNTIF($E$4:$E$337,$A363&amp;" ضد "&amp;T$341)+COUNTIF($E$4:$E$337,T$341&amp;" ضد "&amp;$A363))</f>
        <v>0</v>
      </c>
      <c r="U363" s="4">
        <f>IF($A363=U$341,"",COUNTIF($E$4:$E$337,$A363&amp;" ضد "&amp;U$341)+COUNTIF($E$4:$E$337,U$341&amp;" ضد "&amp;$A363))</f>
        <v>1</v>
      </c>
      <c r="V363" s="4">
        <f>IF($A363=V$341,"",COUNTIF($E$4:$E$337,$A363&amp;" ضد "&amp;V$341)+COUNTIF($E$4:$E$337,V$341&amp;" ضد "&amp;$A363))</f>
        <v>1</v>
      </c>
      <c r="W363" s="4" t="str">
        <f>IF($A363=W$341,"",COUNTIF($E$4:$E$337,$A363&amp;" ضد "&amp;W$341)+COUNTIF($E$4:$E$337,W$341&amp;" ضد "&amp;$A363))</f>
        <v/>
      </c>
      <c r="X363" s="4">
        <f>IF($A363=X$341,"",COUNTIF($E$4:$E$337,$A363&amp;" ضد "&amp;X$341)+COUNTIF($E$4:$E$337,X$341&amp;" ضد "&amp;$A363))</f>
        <v>1</v>
      </c>
      <c r="Y363" s="4">
        <f>IF($A363=Y$341,"",COUNTIF($E$4:$E$337,$A363&amp;" ضد "&amp;Y$341)+COUNTIF($E$4:$E$337,Y$341&amp;" ضد "&amp;$A363))</f>
        <v>1</v>
      </c>
      <c r="Z363" s="4">
        <f>IF($A363=Z$341,"",COUNTIF($E$4:$E$337,$A363&amp;" ضد "&amp;Z$341)+COUNTIF($E$4:$E$337,Z$341&amp;" ضد "&amp;$A363))</f>
        <v>1</v>
      </c>
      <c r="AA363" s="4">
        <f>IF($A363=AA$341,"",COUNTIF($E$4:$E$337,$A363&amp;" ضد "&amp;AA$341)+COUNTIF($E$4:$E$337,AA$341&amp;" ضد "&amp;$A363))</f>
        <v>1</v>
      </c>
      <c r="AB363" s="4">
        <f>IF($A363=AB$341,"",COUNTIF($E$4:$E$337,$A363&amp;" ضد "&amp;AB$341)+COUNTIF($E$4:$E$337,AB$341&amp;" ضد "&amp;$A363))</f>
        <v>1</v>
      </c>
      <c r="AC363" s="4">
        <f>IF($A363=AC$341,"",COUNTIF($E$4:$E$337,$A363&amp;" ضد "&amp;AC$341)+COUNTIF($E$4:$E$337,AC$341&amp;" ضد "&amp;$A363))</f>
        <v>1</v>
      </c>
      <c r="AD363" s="4">
        <f>IF($A363=AD$341,"",COUNTIF($E$4:$E$337,$A363&amp;" ضد "&amp;AD$341)+COUNTIF($E$4:$E$337,AD$341&amp;" ضد "&amp;$A363))</f>
        <v>1</v>
      </c>
      <c r="AE363" s="4">
        <f>IF($A363=AE$341,"",COUNTIF($E$4:$E$337,$A363&amp;" ضد "&amp;AE$341)+COUNTIF($E$4:$E$337,AE$341&amp;" ضد "&amp;$A363))</f>
        <v>1</v>
      </c>
      <c r="AF363" s="4">
        <f>IF($A363=AF$341,"",COUNTIF($E$4:$E$337,$A363&amp;" ضد "&amp;AF$341)+COUNTIF($E$4:$E$337,AF$341&amp;" ضد "&amp;$A363))</f>
        <v>1</v>
      </c>
      <c r="AG363" s="4">
        <f>IF($A363=AG$341,"",COUNTIF($E$4:$E$337,$A363&amp;" ضد "&amp;AG$341)+COUNTIF($E$4:$E$337,AG$341&amp;" ضد "&amp;$A363))</f>
        <v>1</v>
      </c>
      <c r="AH363" s="4">
        <f>IF($A363=AH$341,"",COUNTIF($E$4:$E$337,$A363&amp;" ضد "&amp;AH$341)+COUNTIF($E$4:$E$337,AH$341&amp;" ضد "&amp;$A363))</f>
        <v>1</v>
      </c>
      <c r="AI363" s="4">
        <f>IF($A363=AI$341,"",COUNTIF($E$4:$E$337,$A363&amp;" ضد "&amp;AI$341)+COUNTIF($E$4:$E$337,AI$341&amp;" ضد "&amp;$A363))</f>
        <v>1</v>
      </c>
      <c r="AJ363" s="4">
        <f>IF($A363=AJ$341,"",COUNTIF($E$4:$E$337,$A363&amp;" ضد "&amp;AJ$341)+COUNTIF($E$4:$E$337,AJ$341&amp;" ضد "&amp;$A363))</f>
        <v>2</v>
      </c>
      <c r="AK363" s="4">
        <f>IF($A363=AK$341,"",COUNTIF($E$4:$E$337,$A363&amp;" ضد "&amp;AK$341)+COUNTIF($E$4:$E$337,AK$341&amp;" ضد "&amp;$A363))</f>
        <v>1</v>
      </c>
      <c r="AL363" s="4">
        <f>IF($A363=AL$341,"",COUNTIF($E$4:$E$337,$A363&amp;" ضد "&amp;AL$341)+COUNTIF($E$4:$E$337,AL$341&amp;" ضد "&amp;$A363))</f>
        <v>1</v>
      </c>
    </row>
    <row r="364" spans="1:38" ht="14.5">
      <c r="A364" s="14">
        <v>23</v>
      </c>
      <c r="B364" s="4">
        <f>IF($A364=B$341,"",COUNTIF($E$4:$E$337,$A364&amp;" ضد "&amp;B$341)+COUNTIF($E$4:$E$337,B$341&amp;" ضد "&amp;$A364))</f>
        <v>0</v>
      </c>
      <c r="C364" s="4">
        <f>IF($A364=C$341,"",COUNTIF($E$4:$E$337,$A364&amp;" ضد "&amp;C$341)+COUNTIF($E$4:$E$337,C$341&amp;" ضد "&amp;$A364))</f>
        <v>0</v>
      </c>
      <c r="D364" s="4">
        <f>IF($A364=D$341,"",COUNTIF($E$4:$E$337,$A364&amp;" ضد "&amp;D$341)+COUNTIF($E$4:$E$337,D$341&amp;" ضد "&amp;$A364))</f>
        <v>0</v>
      </c>
      <c r="E364" s="4">
        <f>IF($A364=E$341,"",COUNTIF($E$4:$E$337,$A364&amp;" ضد "&amp;E$341)+COUNTIF($E$4:$E$337,E$341&amp;" ضد "&amp;$A364))</f>
        <v>0</v>
      </c>
      <c r="F364" s="4">
        <f>IF($A364=F$341,"",COUNTIF($E$4:$E$337,$A364&amp;" ضد "&amp;F$341)+COUNTIF($E$4:$E$337,F$341&amp;" ضد "&amp;$A364))</f>
        <v>0</v>
      </c>
      <c r="G364" s="4">
        <f>IF($A364=G$341,"",COUNTIF($E$4:$E$337,$A364&amp;" ضد "&amp;G$341)+COUNTIF($E$4:$E$337,G$341&amp;" ضد "&amp;$A364))</f>
        <v>0</v>
      </c>
      <c r="H364" s="4">
        <f>IF($A364=H$341,"",COUNTIF($E$4:$E$337,$A364&amp;" ضد "&amp;H$341)+COUNTIF($E$4:$E$337,H$341&amp;" ضد "&amp;$A364))</f>
        <v>0</v>
      </c>
      <c r="I364" s="4">
        <f>IF($A364=I$341,"",COUNTIF($E$4:$E$337,$A364&amp;" ضد "&amp;I$341)+COUNTIF($E$4:$E$337,I$341&amp;" ضد "&amp;$A364))</f>
        <v>0</v>
      </c>
      <c r="J364" s="4">
        <f>IF($A364=J$341,"",COUNTIF($E$4:$E$337,$A364&amp;" ضد "&amp;J$341)+COUNTIF($E$4:$E$337,J$341&amp;" ضد "&amp;$A364))</f>
        <v>0</v>
      </c>
      <c r="K364" s="4">
        <f>IF($A364=K$341,"",COUNTIF($E$4:$E$337,$A364&amp;" ضد "&amp;K$341)+COUNTIF($E$4:$E$337,K$341&amp;" ضد "&amp;$A364))</f>
        <v>0</v>
      </c>
      <c r="L364" s="4">
        <f>IF($A364=L$341,"",COUNTIF($E$4:$E$337,$A364&amp;" ضد "&amp;L$341)+COUNTIF($E$4:$E$337,L$341&amp;" ضد "&amp;$A364))</f>
        <v>0</v>
      </c>
      <c r="M364" s="4">
        <f>IF($A364=M$341,"",COUNTIF($E$4:$E$337,$A364&amp;" ضد "&amp;M$341)+COUNTIF($E$4:$E$337,M$341&amp;" ضد "&amp;$A364))</f>
        <v>0</v>
      </c>
      <c r="N364" s="4">
        <f>IF($A364=N$341,"",COUNTIF($E$4:$E$337,$A364&amp;" ضد "&amp;N$341)+COUNTIF($E$4:$E$337,N$341&amp;" ضد "&amp;$A364))</f>
        <v>0</v>
      </c>
      <c r="O364" s="4">
        <f>IF($A364=O$341,"",COUNTIF($E$4:$E$337,$A364&amp;" ضد "&amp;O$341)+COUNTIF($E$4:$E$337,O$341&amp;" ضد "&amp;$A364))</f>
        <v>0</v>
      </c>
      <c r="P364" s="4">
        <f>IF($A364=P$341,"",COUNTIF($E$4:$E$337,$A364&amp;" ضد "&amp;P$341)+COUNTIF($E$4:$E$337,P$341&amp;" ضد "&amp;$A364))</f>
        <v>0</v>
      </c>
      <c r="Q364" s="4">
        <f>IF($A364=Q$341,"",COUNTIF($E$4:$E$337,$A364&amp;" ضد "&amp;Q$341)+COUNTIF($E$4:$E$337,Q$341&amp;" ضد "&amp;$A364))</f>
        <v>0</v>
      </c>
      <c r="R364" s="4">
        <f>IF($A364=R$341,"",COUNTIF($E$4:$E$337,$A364&amp;" ضد "&amp;R$341)+COUNTIF($E$4:$E$337,R$341&amp;" ضد "&amp;$A364))</f>
        <v>0</v>
      </c>
      <c r="S364" s="4">
        <f>IF($A364=S$341,"",COUNTIF($E$4:$E$337,$A364&amp;" ضد "&amp;S$341)+COUNTIF($E$4:$E$337,S$341&amp;" ضد "&amp;$A364))</f>
        <v>0</v>
      </c>
      <c r="T364" s="4">
        <f>IF($A364=T$341,"",COUNTIF($E$4:$E$337,$A364&amp;" ضد "&amp;T$341)+COUNTIF($E$4:$E$337,T$341&amp;" ضد "&amp;$A364))</f>
        <v>0</v>
      </c>
      <c r="U364" s="4">
        <f>IF($A364=U$341,"",COUNTIF($E$4:$E$337,$A364&amp;" ضد "&amp;U$341)+COUNTIF($E$4:$E$337,U$341&amp;" ضد "&amp;$A364))</f>
        <v>1</v>
      </c>
      <c r="V364" s="4">
        <f>IF($A364=V$341,"",COUNTIF($E$4:$E$337,$A364&amp;" ضد "&amp;V$341)+COUNTIF($E$4:$E$337,V$341&amp;" ضد "&amp;$A364))</f>
        <v>1</v>
      </c>
      <c r="W364" s="4">
        <f>IF($A364=W$341,"",COUNTIF($E$4:$E$337,$A364&amp;" ضد "&amp;W$341)+COUNTIF($E$4:$E$337,W$341&amp;" ضد "&amp;$A364))</f>
        <v>1</v>
      </c>
      <c r="X364" s="4" t="str">
        <f>IF($A364=X$341,"",COUNTIF($E$4:$E$337,$A364&amp;" ضد "&amp;X$341)+COUNTIF($E$4:$E$337,X$341&amp;" ضد "&amp;$A364))</f>
        <v/>
      </c>
      <c r="Y364" s="4">
        <f>IF($A364=Y$341,"",COUNTIF($E$4:$E$337,$A364&amp;" ضد "&amp;Y$341)+COUNTIF($E$4:$E$337,Y$341&amp;" ضد "&amp;$A364))</f>
        <v>1</v>
      </c>
      <c r="Z364" s="4">
        <f>IF($A364=Z$341,"",COUNTIF($E$4:$E$337,$A364&amp;" ضد "&amp;Z$341)+COUNTIF($E$4:$E$337,Z$341&amp;" ضد "&amp;$A364))</f>
        <v>1</v>
      </c>
      <c r="AA364" s="4">
        <f>IF($A364=AA$341,"",COUNTIF($E$4:$E$337,$A364&amp;" ضد "&amp;AA$341)+COUNTIF($E$4:$E$337,AA$341&amp;" ضد "&amp;$A364))</f>
        <v>1</v>
      </c>
      <c r="AB364" s="4">
        <f>IF($A364=AB$341,"",COUNTIF($E$4:$E$337,$A364&amp;" ضد "&amp;AB$341)+COUNTIF($E$4:$E$337,AB$341&amp;" ضد "&amp;$A364))</f>
        <v>1</v>
      </c>
      <c r="AC364" s="4">
        <f>IF($A364=AC$341,"",COUNTIF($E$4:$E$337,$A364&amp;" ضد "&amp;AC$341)+COUNTIF($E$4:$E$337,AC$341&amp;" ضد "&amp;$A364))</f>
        <v>1</v>
      </c>
      <c r="AD364" s="4">
        <f>IF($A364=AD$341,"",COUNTIF($E$4:$E$337,$A364&amp;" ضد "&amp;AD$341)+COUNTIF($E$4:$E$337,AD$341&amp;" ضد "&amp;$A364))</f>
        <v>1</v>
      </c>
      <c r="AE364" s="4">
        <f>IF($A364=AE$341,"",COUNTIF($E$4:$E$337,$A364&amp;" ضد "&amp;AE$341)+COUNTIF($E$4:$E$337,AE$341&amp;" ضد "&amp;$A364))</f>
        <v>1</v>
      </c>
      <c r="AF364" s="4">
        <f>IF($A364=AF$341,"",COUNTIF($E$4:$E$337,$A364&amp;" ضد "&amp;AF$341)+COUNTIF($E$4:$E$337,AF$341&amp;" ضد "&amp;$A364))</f>
        <v>1</v>
      </c>
      <c r="AG364" s="4">
        <f>IF($A364=AG$341,"",COUNTIF($E$4:$E$337,$A364&amp;" ضد "&amp;AG$341)+COUNTIF($E$4:$E$337,AG$341&amp;" ضد "&amp;$A364))</f>
        <v>1</v>
      </c>
      <c r="AH364" s="4">
        <f>IF($A364=AH$341,"",COUNTIF($E$4:$E$337,$A364&amp;" ضد "&amp;AH$341)+COUNTIF($E$4:$E$337,AH$341&amp;" ضد "&amp;$A364))</f>
        <v>1</v>
      </c>
      <c r="AI364" s="4">
        <f>IF($A364=AI$341,"",COUNTIF($E$4:$E$337,$A364&amp;" ضد "&amp;AI$341)+COUNTIF($E$4:$E$337,AI$341&amp;" ضد "&amp;$A364))</f>
        <v>2</v>
      </c>
      <c r="AJ364" s="4">
        <f>IF($A364=AJ$341,"",COUNTIF($E$4:$E$337,$A364&amp;" ضد "&amp;AJ$341)+COUNTIF($E$4:$E$337,AJ$341&amp;" ضد "&amp;$A364))</f>
        <v>1</v>
      </c>
      <c r="AK364" s="4">
        <f>IF($A364=AK$341,"",COUNTIF($E$4:$E$337,$A364&amp;" ضد "&amp;AK$341)+COUNTIF($E$4:$E$337,AK$341&amp;" ضد "&amp;$A364))</f>
        <v>1</v>
      </c>
      <c r="AL364" s="4">
        <f>IF($A364=AL$341,"",COUNTIF($E$4:$E$337,$A364&amp;" ضد "&amp;AL$341)+COUNTIF($E$4:$E$337,AL$341&amp;" ضد "&amp;$A364))</f>
        <v>1</v>
      </c>
    </row>
    <row r="365" spans="1:38" ht="14.5">
      <c r="A365" s="14">
        <v>24</v>
      </c>
      <c r="B365" s="4">
        <f>IF($A365=B$341,"",COUNTIF($E$4:$E$337,$A365&amp;" ضد "&amp;B$341)+COUNTIF($E$4:$E$337,B$341&amp;" ضد "&amp;$A365))</f>
        <v>0</v>
      </c>
      <c r="C365" s="4">
        <f>IF($A365=C$341,"",COUNTIF($E$4:$E$337,$A365&amp;" ضد "&amp;C$341)+COUNTIF($E$4:$E$337,C$341&amp;" ضد "&amp;$A365))</f>
        <v>0</v>
      </c>
      <c r="D365" s="4">
        <f>IF($A365=D$341,"",COUNTIF($E$4:$E$337,$A365&amp;" ضد "&amp;D$341)+COUNTIF($E$4:$E$337,D$341&amp;" ضد "&amp;$A365))</f>
        <v>0</v>
      </c>
      <c r="E365" s="4">
        <f>IF($A365=E$341,"",COUNTIF($E$4:$E$337,$A365&amp;" ضد "&amp;E$341)+COUNTIF($E$4:$E$337,E$341&amp;" ضد "&amp;$A365))</f>
        <v>0</v>
      </c>
      <c r="F365" s="4">
        <f>IF($A365=F$341,"",COUNTIF($E$4:$E$337,$A365&amp;" ضد "&amp;F$341)+COUNTIF($E$4:$E$337,F$341&amp;" ضد "&amp;$A365))</f>
        <v>0</v>
      </c>
      <c r="G365" s="4">
        <f>IF($A365=G$341,"",COUNTIF($E$4:$E$337,$A365&amp;" ضد "&amp;G$341)+COUNTIF($E$4:$E$337,G$341&amp;" ضد "&amp;$A365))</f>
        <v>0</v>
      </c>
      <c r="H365" s="4">
        <f>IF($A365=H$341,"",COUNTIF($E$4:$E$337,$A365&amp;" ضد "&amp;H$341)+COUNTIF($E$4:$E$337,H$341&amp;" ضد "&amp;$A365))</f>
        <v>0</v>
      </c>
      <c r="I365" s="4">
        <f>IF($A365=I$341,"",COUNTIF($E$4:$E$337,$A365&amp;" ضد "&amp;I$341)+COUNTIF($E$4:$E$337,I$341&amp;" ضد "&amp;$A365))</f>
        <v>0</v>
      </c>
      <c r="J365" s="4">
        <f>IF($A365=J$341,"",COUNTIF($E$4:$E$337,$A365&amp;" ضد "&amp;J$341)+COUNTIF($E$4:$E$337,J$341&amp;" ضد "&amp;$A365))</f>
        <v>0</v>
      </c>
      <c r="K365" s="4">
        <f>IF($A365=K$341,"",COUNTIF($E$4:$E$337,$A365&amp;" ضد "&amp;K$341)+COUNTIF($E$4:$E$337,K$341&amp;" ضد "&amp;$A365))</f>
        <v>0</v>
      </c>
      <c r="L365" s="4">
        <f>IF($A365=L$341,"",COUNTIF($E$4:$E$337,$A365&amp;" ضد "&amp;L$341)+COUNTIF($E$4:$E$337,L$341&amp;" ضد "&amp;$A365))</f>
        <v>0</v>
      </c>
      <c r="M365" s="4">
        <f>IF($A365=M$341,"",COUNTIF($E$4:$E$337,$A365&amp;" ضد "&amp;M$341)+COUNTIF($E$4:$E$337,M$341&amp;" ضد "&amp;$A365))</f>
        <v>0</v>
      </c>
      <c r="N365" s="4">
        <f>IF($A365=N$341,"",COUNTIF($E$4:$E$337,$A365&amp;" ضد "&amp;N$341)+COUNTIF($E$4:$E$337,N$341&amp;" ضد "&amp;$A365))</f>
        <v>0</v>
      </c>
      <c r="O365" s="4">
        <f>IF($A365=O$341,"",COUNTIF($E$4:$E$337,$A365&amp;" ضد "&amp;O$341)+COUNTIF($E$4:$E$337,O$341&amp;" ضد "&amp;$A365))</f>
        <v>0</v>
      </c>
      <c r="P365" s="4">
        <f>IF($A365=P$341,"",COUNTIF($E$4:$E$337,$A365&amp;" ضد "&amp;P$341)+COUNTIF($E$4:$E$337,P$341&amp;" ضد "&amp;$A365))</f>
        <v>0</v>
      </c>
      <c r="Q365" s="4">
        <f>IF($A365=Q$341,"",COUNTIF($E$4:$E$337,$A365&amp;" ضد "&amp;Q$341)+COUNTIF($E$4:$E$337,Q$341&amp;" ضد "&amp;$A365))</f>
        <v>0</v>
      </c>
      <c r="R365" s="4">
        <f>IF($A365=R$341,"",COUNTIF($E$4:$E$337,$A365&amp;" ضد "&amp;R$341)+COUNTIF($E$4:$E$337,R$341&amp;" ضد "&amp;$A365))</f>
        <v>0</v>
      </c>
      <c r="S365" s="4">
        <f>IF($A365=S$341,"",COUNTIF($E$4:$E$337,$A365&amp;" ضد "&amp;S$341)+COUNTIF($E$4:$E$337,S$341&amp;" ضد "&amp;$A365))</f>
        <v>0</v>
      </c>
      <c r="T365" s="4">
        <f>IF($A365=T$341,"",COUNTIF($E$4:$E$337,$A365&amp;" ضد "&amp;T$341)+COUNTIF($E$4:$E$337,T$341&amp;" ضد "&amp;$A365))</f>
        <v>0</v>
      </c>
      <c r="U365" s="4">
        <f>IF($A365=U$341,"",COUNTIF($E$4:$E$337,$A365&amp;" ضد "&amp;U$341)+COUNTIF($E$4:$E$337,U$341&amp;" ضد "&amp;$A365))</f>
        <v>1</v>
      </c>
      <c r="V365" s="4">
        <f>IF($A365=V$341,"",COUNTIF($E$4:$E$337,$A365&amp;" ضد "&amp;V$341)+COUNTIF($E$4:$E$337,V$341&amp;" ضد "&amp;$A365))</f>
        <v>1</v>
      </c>
      <c r="W365" s="4">
        <f>IF($A365=W$341,"",COUNTIF($E$4:$E$337,$A365&amp;" ضد "&amp;W$341)+COUNTIF($E$4:$E$337,W$341&amp;" ضد "&amp;$A365))</f>
        <v>1</v>
      </c>
      <c r="X365" s="4">
        <f>IF($A365=X$341,"",COUNTIF($E$4:$E$337,$A365&amp;" ضد "&amp;X$341)+COUNTIF($E$4:$E$337,X$341&amp;" ضد "&amp;$A365))</f>
        <v>1</v>
      </c>
      <c r="Y365" s="4" t="str">
        <f>IF($A365=Y$341,"",COUNTIF($E$4:$E$337,$A365&amp;" ضد "&amp;Y$341)+COUNTIF($E$4:$E$337,Y$341&amp;" ضد "&amp;$A365))</f>
        <v/>
      </c>
      <c r="Z365" s="4">
        <f>IF($A365=Z$341,"",COUNTIF($E$4:$E$337,$A365&amp;" ضد "&amp;Z$341)+COUNTIF($E$4:$E$337,Z$341&amp;" ضد "&amp;$A365))</f>
        <v>1</v>
      </c>
      <c r="AA365" s="4">
        <f>IF($A365=AA$341,"",COUNTIF($E$4:$E$337,$A365&amp;" ضد "&amp;AA$341)+COUNTIF($E$4:$E$337,AA$341&amp;" ضد "&amp;$A365))</f>
        <v>1</v>
      </c>
      <c r="AB365" s="4">
        <f>IF($A365=AB$341,"",COUNTIF($E$4:$E$337,$A365&amp;" ضد "&amp;AB$341)+COUNTIF($E$4:$E$337,AB$341&amp;" ضد "&amp;$A365))</f>
        <v>1</v>
      </c>
      <c r="AC365" s="4">
        <f>IF($A365=AC$341,"",COUNTIF($E$4:$E$337,$A365&amp;" ضد "&amp;AC$341)+COUNTIF($E$4:$E$337,AC$341&amp;" ضد "&amp;$A365))</f>
        <v>1</v>
      </c>
      <c r="AD365" s="4">
        <f>IF($A365=AD$341,"",COUNTIF($E$4:$E$337,$A365&amp;" ضد "&amp;AD$341)+COUNTIF($E$4:$E$337,AD$341&amp;" ضد "&amp;$A365))</f>
        <v>1</v>
      </c>
      <c r="AE365" s="4">
        <f>IF($A365=AE$341,"",COUNTIF($E$4:$E$337,$A365&amp;" ضد "&amp;AE$341)+COUNTIF($E$4:$E$337,AE$341&amp;" ضد "&amp;$A365))</f>
        <v>1</v>
      </c>
      <c r="AF365" s="4">
        <f>IF($A365=AF$341,"",COUNTIF($E$4:$E$337,$A365&amp;" ضد "&amp;AF$341)+COUNTIF($E$4:$E$337,AF$341&amp;" ضد "&amp;$A365))</f>
        <v>1</v>
      </c>
      <c r="AG365" s="4">
        <f>IF($A365=AG$341,"",COUNTIF($E$4:$E$337,$A365&amp;" ضد "&amp;AG$341)+COUNTIF($E$4:$E$337,AG$341&amp;" ضد "&amp;$A365))</f>
        <v>1</v>
      </c>
      <c r="AH365" s="4">
        <f>IF($A365=AH$341,"",COUNTIF($E$4:$E$337,$A365&amp;" ضد "&amp;AH$341)+COUNTIF($E$4:$E$337,AH$341&amp;" ضد "&amp;$A365))</f>
        <v>2</v>
      </c>
      <c r="AI365" s="4">
        <f>IF($A365=AI$341,"",COUNTIF($E$4:$E$337,$A365&amp;" ضد "&amp;AI$341)+COUNTIF($E$4:$E$337,AI$341&amp;" ضد "&amp;$A365))</f>
        <v>1</v>
      </c>
      <c r="AJ365" s="4">
        <f>IF($A365=AJ$341,"",COUNTIF($E$4:$E$337,$A365&amp;" ضد "&amp;AJ$341)+COUNTIF($E$4:$E$337,AJ$341&amp;" ضد "&amp;$A365))</f>
        <v>1</v>
      </c>
      <c r="AK365" s="4">
        <f>IF($A365=AK$341,"",COUNTIF($E$4:$E$337,$A365&amp;" ضد "&amp;AK$341)+COUNTIF($E$4:$E$337,AK$341&amp;" ضد "&amp;$A365))</f>
        <v>1</v>
      </c>
      <c r="AL365" s="4">
        <f>IF($A365=AL$341,"",COUNTIF($E$4:$E$337,$A365&amp;" ضد "&amp;AL$341)+COUNTIF($E$4:$E$337,AL$341&amp;" ضد "&amp;$A365))</f>
        <v>1</v>
      </c>
    </row>
    <row r="366" spans="1:38" ht="14.5">
      <c r="A366" s="14">
        <v>25</v>
      </c>
      <c r="B366" s="4">
        <f>IF($A366=B$341,"",COUNTIF($E$4:$E$337,$A366&amp;" ضد "&amp;B$341)+COUNTIF($E$4:$E$337,B$341&amp;" ضد "&amp;$A366))</f>
        <v>0</v>
      </c>
      <c r="C366" s="4">
        <f>IF($A366=C$341,"",COUNTIF($E$4:$E$337,$A366&amp;" ضد "&amp;C$341)+COUNTIF($E$4:$E$337,C$341&amp;" ضد "&amp;$A366))</f>
        <v>0</v>
      </c>
      <c r="D366" s="4">
        <f>IF($A366=D$341,"",COUNTIF($E$4:$E$337,$A366&amp;" ضد "&amp;D$341)+COUNTIF($E$4:$E$337,D$341&amp;" ضد "&amp;$A366))</f>
        <v>0</v>
      </c>
      <c r="E366" s="4">
        <f>IF($A366=E$341,"",COUNTIF($E$4:$E$337,$A366&amp;" ضد "&amp;E$341)+COUNTIF($E$4:$E$337,E$341&amp;" ضد "&amp;$A366))</f>
        <v>0</v>
      </c>
      <c r="F366" s="4">
        <f>IF($A366=F$341,"",COUNTIF($E$4:$E$337,$A366&amp;" ضد "&amp;F$341)+COUNTIF($E$4:$E$337,F$341&amp;" ضد "&amp;$A366))</f>
        <v>0</v>
      </c>
      <c r="G366" s="4">
        <f>IF($A366=G$341,"",COUNTIF($E$4:$E$337,$A366&amp;" ضد "&amp;G$341)+COUNTIF($E$4:$E$337,G$341&amp;" ضد "&amp;$A366))</f>
        <v>0</v>
      </c>
      <c r="H366" s="4">
        <f>IF($A366=H$341,"",COUNTIF($E$4:$E$337,$A366&amp;" ضد "&amp;H$341)+COUNTIF($E$4:$E$337,H$341&amp;" ضد "&amp;$A366))</f>
        <v>0</v>
      </c>
      <c r="I366" s="4">
        <f>IF($A366=I$341,"",COUNTIF($E$4:$E$337,$A366&amp;" ضد "&amp;I$341)+COUNTIF($E$4:$E$337,I$341&amp;" ضد "&amp;$A366))</f>
        <v>0</v>
      </c>
      <c r="J366" s="4">
        <f>IF($A366=J$341,"",COUNTIF($E$4:$E$337,$A366&amp;" ضد "&amp;J$341)+COUNTIF($E$4:$E$337,J$341&amp;" ضد "&amp;$A366))</f>
        <v>0</v>
      </c>
      <c r="K366" s="4">
        <f>IF($A366=K$341,"",COUNTIF($E$4:$E$337,$A366&amp;" ضد "&amp;K$341)+COUNTIF($E$4:$E$337,K$341&amp;" ضد "&amp;$A366))</f>
        <v>0</v>
      </c>
      <c r="L366" s="4">
        <f>IF($A366=L$341,"",COUNTIF($E$4:$E$337,$A366&amp;" ضد "&amp;L$341)+COUNTIF($E$4:$E$337,L$341&amp;" ضد "&amp;$A366))</f>
        <v>0</v>
      </c>
      <c r="M366" s="4">
        <f>IF($A366=M$341,"",COUNTIF($E$4:$E$337,$A366&amp;" ضد "&amp;M$341)+COUNTIF($E$4:$E$337,M$341&amp;" ضد "&amp;$A366))</f>
        <v>0</v>
      </c>
      <c r="N366" s="4">
        <f>IF($A366=N$341,"",COUNTIF($E$4:$E$337,$A366&amp;" ضد "&amp;N$341)+COUNTIF($E$4:$E$337,N$341&amp;" ضد "&amp;$A366))</f>
        <v>0</v>
      </c>
      <c r="O366" s="4">
        <f>IF($A366=O$341,"",COUNTIF($E$4:$E$337,$A366&amp;" ضد "&amp;O$341)+COUNTIF($E$4:$E$337,O$341&amp;" ضد "&amp;$A366))</f>
        <v>0</v>
      </c>
      <c r="P366" s="4">
        <f>IF($A366=P$341,"",COUNTIF($E$4:$E$337,$A366&amp;" ضد "&amp;P$341)+COUNTIF($E$4:$E$337,P$341&amp;" ضد "&amp;$A366))</f>
        <v>0</v>
      </c>
      <c r="Q366" s="4">
        <f>IF($A366=Q$341,"",COUNTIF($E$4:$E$337,$A366&amp;" ضد "&amp;Q$341)+COUNTIF($E$4:$E$337,Q$341&amp;" ضد "&amp;$A366))</f>
        <v>0</v>
      </c>
      <c r="R366" s="4">
        <f>IF($A366=R$341,"",COUNTIF($E$4:$E$337,$A366&amp;" ضد "&amp;R$341)+COUNTIF($E$4:$E$337,R$341&amp;" ضد "&amp;$A366))</f>
        <v>0</v>
      </c>
      <c r="S366" s="4">
        <f>IF($A366=S$341,"",COUNTIF($E$4:$E$337,$A366&amp;" ضد "&amp;S$341)+COUNTIF($E$4:$E$337,S$341&amp;" ضد "&amp;$A366))</f>
        <v>0</v>
      </c>
      <c r="T366" s="4">
        <f>IF($A366=T$341,"",COUNTIF($E$4:$E$337,$A366&amp;" ضد "&amp;T$341)+COUNTIF($E$4:$E$337,T$341&amp;" ضد "&amp;$A366))</f>
        <v>0</v>
      </c>
      <c r="U366" s="4">
        <f>IF($A366=U$341,"",COUNTIF($E$4:$E$337,$A366&amp;" ضد "&amp;U$341)+COUNTIF($E$4:$E$337,U$341&amp;" ضد "&amp;$A366))</f>
        <v>1</v>
      </c>
      <c r="V366" s="4">
        <f>IF($A366=V$341,"",COUNTIF($E$4:$E$337,$A366&amp;" ضد "&amp;V$341)+COUNTIF($E$4:$E$337,V$341&amp;" ضد "&amp;$A366))</f>
        <v>1</v>
      </c>
      <c r="W366" s="4">
        <f>IF($A366=W$341,"",COUNTIF($E$4:$E$337,$A366&amp;" ضد "&amp;W$341)+COUNTIF($E$4:$E$337,W$341&amp;" ضد "&amp;$A366))</f>
        <v>1</v>
      </c>
      <c r="X366" s="4">
        <f>IF($A366=X$341,"",COUNTIF($E$4:$E$337,$A366&amp;" ضد "&amp;X$341)+COUNTIF($E$4:$E$337,X$341&amp;" ضد "&amp;$A366))</f>
        <v>1</v>
      </c>
      <c r="Y366" s="4">
        <f>IF($A366=Y$341,"",COUNTIF($E$4:$E$337,$A366&amp;" ضد "&amp;Y$341)+COUNTIF($E$4:$E$337,Y$341&amp;" ضد "&amp;$A366))</f>
        <v>1</v>
      </c>
      <c r="Z366" s="4" t="str">
        <f>IF($A366=Z$341,"",COUNTIF($E$4:$E$337,$A366&amp;" ضد "&amp;Z$341)+COUNTIF($E$4:$E$337,Z$341&amp;" ضد "&amp;$A366))</f>
        <v/>
      </c>
      <c r="AA366" s="4">
        <f>IF($A366=AA$341,"",COUNTIF($E$4:$E$337,$A366&amp;" ضد "&amp;AA$341)+COUNTIF($E$4:$E$337,AA$341&amp;" ضد "&amp;$A366))</f>
        <v>1</v>
      </c>
      <c r="AB366" s="4">
        <f>IF($A366=AB$341,"",COUNTIF($E$4:$E$337,$A366&amp;" ضد "&amp;AB$341)+COUNTIF($E$4:$E$337,AB$341&amp;" ضد "&amp;$A366))</f>
        <v>1</v>
      </c>
      <c r="AC366" s="4">
        <f>IF($A366=AC$341,"",COUNTIF($E$4:$E$337,$A366&amp;" ضد "&amp;AC$341)+COUNTIF($E$4:$E$337,AC$341&amp;" ضد "&amp;$A366))</f>
        <v>1</v>
      </c>
      <c r="AD366" s="4">
        <f>IF($A366=AD$341,"",COUNTIF($E$4:$E$337,$A366&amp;" ضد "&amp;AD$341)+COUNTIF($E$4:$E$337,AD$341&amp;" ضد "&amp;$A366))</f>
        <v>1</v>
      </c>
      <c r="AE366" s="4">
        <f>IF($A366=AE$341,"",COUNTIF($E$4:$E$337,$A366&amp;" ضد "&amp;AE$341)+COUNTIF($E$4:$E$337,AE$341&amp;" ضد "&amp;$A366))</f>
        <v>1</v>
      </c>
      <c r="AF366" s="4">
        <f>IF($A366=AF$341,"",COUNTIF($E$4:$E$337,$A366&amp;" ضد "&amp;AF$341)+COUNTIF($E$4:$E$337,AF$341&amp;" ضد "&amp;$A366))</f>
        <v>1</v>
      </c>
      <c r="AG366" s="4">
        <f>IF($A366=AG$341,"",COUNTIF($E$4:$E$337,$A366&amp;" ضد "&amp;AG$341)+COUNTIF($E$4:$E$337,AG$341&amp;" ضد "&amp;$A366))</f>
        <v>2</v>
      </c>
      <c r="AH366" s="4">
        <f>IF($A366=AH$341,"",COUNTIF($E$4:$E$337,$A366&amp;" ضد "&amp;AH$341)+COUNTIF($E$4:$E$337,AH$341&amp;" ضد "&amp;$A366))</f>
        <v>1</v>
      </c>
      <c r="AI366" s="4">
        <f>IF($A366=AI$341,"",COUNTIF($E$4:$E$337,$A366&amp;" ضد "&amp;AI$341)+COUNTIF($E$4:$E$337,AI$341&amp;" ضد "&amp;$A366))</f>
        <v>1</v>
      </c>
      <c r="AJ366" s="4">
        <f>IF($A366=AJ$341,"",COUNTIF($E$4:$E$337,$A366&amp;" ضد "&amp;AJ$341)+COUNTIF($E$4:$E$337,AJ$341&amp;" ضد "&amp;$A366))</f>
        <v>1</v>
      </c>
      <c r="AK366" s="4">
        <f>IF($A366=AK$341,"",COUNTIF($E$4:$E$337,$A366&amp;" ضد "&amp;AK$341)+COUNTIF($E$4:$E$337,AK$341&amp;" ضد "&amp;$A366))</f>
        <v>1</v>
      </c>
      <c r="AL366" s="4">
        <f>IF($A366=AL$341,"",COUNTIF($E$4:$E$337,$A366&amp;" ضد "&amp;AL$341)+COUNTIF($E$4:$E$337,AL$341&amp;" ضد "&amp;$A366))</f>
        <v>1</v>
      </c>
    </row>
    <row r="367" spans="1:38" ht="14.5">
      <c r="A367" s="14">
        <v>26</v>
      </c>
      <c r="B367" s="4">
        <f>IF($A367=B$341,"",COUNTIF($E$4:$E$337,$A367&amp;" ضد "&amp;B$341)+COUNTIF($E$4:$E$337,B$341&amp;" ضد "&amp;$A367))</f>
        <v>0</v>
      </c>
      <c r="C367" s="4">
        <f>IF($A367=C$341,"",COUNTIF($E$4:$E$337,$A367&amp;" ضد "&amp;C$341)+COUNTIF($E$4:$E$337,C$341&amp;" ضد "&amp;$A367))</f>
        <v>0</v>
      </c>
      <c r="D367" s="4">
        <f>IF($A367=D$341,"",COUNTIF($E$4:$E$337,$A367&amp;" ضد "&amp;D$341)+COUNTIF($E$4:$E$337,D$341&amp;" ضد "&amp;$A367))</f>
        <v>0</v>
      </c>
      <c r="E367" s="4">
        <f>IF($A367=E$341,"",COUNTIF($E$4:$E$337,$A367&amp;" ضد "&amp;E$341)+COUNTIF($E$4:$E$337,E$341&amp;" ضد "&amp;$A367))</f>
        <v>0</v>
      </c>
      <c r="F367" s="4">
        <f>IF($A367=F$341,"",COUNTIF($E$4:$E$337,$A367&amp;" ضد "&amp;F$341)+COUNTIF($E$4:$E$337,F$341&amp;" ضد "&amp;$A367))</f>
        <v>0</v>
      </c>
      <c r="G367" s="4">
        <f>IF($A367=G$341,"",COUNTIF($E$4:$E$337,$A367&amp;" ضد "&amp;G$341)+COUNTIF($E$4:$E$337,G$341&amp;" ضد "&amp;$A367))</f>
        <v>0</v>
      </c>
      <c r="H367" s="4">
        <f>IF($A367=H$341,"",COUNTIF($E$4:$E$337,$A367&amp;" ضد "&amp;H$341)+COUNTIF($E$4:$E$337,H$341&amp;" ضد "&amp;$A367))</f>
        <v>0</v>
      </c>
      <c r="I367" s="4">
        <f>IF($A367=I$341,"",COUNTIF($E$4:$E$337,$A367&amp;" ضد "&amp;I$341)+COUNTIF($E$4:$E$337,I$341&amp;" ضد "&amp;$A367))</f>
        <v>0</v>
      </c>
      <c r="J367" s="4">
        <f>IF($A367=J$341,"",COUNTIF($E$4:$E$337,$A367&amp;" ضد "&amp;J$341)+COUNTIF($E$4:$E$337,J$341&amp;" ضد "&amp;$A367))</f>
        <v>0</v>
      </c>
      <c r="K367" s="4">
        <f>IF($A367=K$341,"",COUNTIF($E$4:$E$337,$A367&amp;" ضد "&amp;K$341)+COUNTIF($E$4:$E$337,K$341&amp;" ضد "&amp;$A367))</f>
        <v>0</v>
      </c>
      <c r="L367" s="4">
        <f>IF($A367=L$341,"",COUNTIF($E$4:$E$337,$A367&amp;" ضد "&amp;L$341)+COUNTIF($E$4:$E$337,L$341&amp;" ضد "&amp;$A367))</f>
        <v>0</v>
      </c>
      <c r="M367" s="4">
        <f>IF($A367=M$341,"",COUNTIF($E$4:$E$337,$A367&amp;" ضد "&amp;M$341)+COUNTIF($E$4:$E$337,M$341&amp;" ضد "&amp;$A367))</f>
        <v>0</v>
      </c>
      <c r="N367" s="4">
        <f>IF($A367=N$341,"",COUNTIF($E$4:$E$337,$A367&amp;" ضد "&amp;N$341)+COUNTIF($E$4:$E$337,N$341&amp;" ضد "&amp;$A367))</f>
        <v>0</v>
      </c>
      <c r="O367" s="4">
        <f>IF($A367=O$341,"",COUNTIF($E$4:$E$337,$A367&amp;" ضد "&amp;O$341)+COUNTIF($E$4:$E$337,O$341&amp;" ضد "&amp;$A367))</f>
        <v>0</v>
      </c>
      <c r="P367" s="4">
        <f>IF($A367=P$341,"",COUNTIF($E$4:$E$337,$A367&amp;" ضد "&amp;P$341)+COUNTIF($E$4:$E$337,P$341&amp;" ضد "&amp;$A367))</f>
        <v>0</v>
      </c>
      <c r="Q367" s="4">
        <f>IF($A367=Q$341,"",COUNTIF($E$4:$E$337,$A367&amp;" ضد "&amp;Q$341)+COUNTIF($E$4:$E$337,Q$341&amp;" ضد "&amp;$A367))</f>
        <v>0</v>
      </c>
      <c r="R367" s="4">
        <f>IF($A367=R$341,"",COUNTIF($E$4:$E$337,$A367&amp;" ضد "&amp;R$341)+COUNTIF($E$4:$E$337,R$341&amp;" ضد "&amp;$A367))</f>
        <v>0</v>
      </c>
      <c r="S367" s="4">
        <f>IF($A367=S$341,"",COUNTIF($E$4:$E$337,$A367&amp;" ضد "&amp;S$341)+COUNTIF($E$4:$E$337,S$341&amp;" ضد "&amp;$A367))</f>
        <v>0</v>
      </c>
      <c r="T367" s="4">
        <f>IF($A367=T$341,"",COUNTIF($E$4:$E$337,$A367&amp;" ضد "&amp;T$341)+COUNTIF($E$4:$E$337,T$341&amp;" ضد "&amp;$A367))</f>
        <v>0</v>
      </c>
      <c r="U367" s="4">
        <f>IF($A367=U$341,"",COUNTIF($E$4:$E$337,$A367&amp;" ضد "&amp;U$341)+COUNTIF($E$4:$E$337,U$341&amp;" ضد "&amp;$A367))</f>
        <v>1</v>
      </c>
      <c r="V367" s="4">
        <f>IF($A367=V$341,"",COUNTIF($E$4:$E$337,$A367&amp;" ضد "&amp;V$341)+COUNTIF($E$4:$E$337,V$341&amp;" ضد "&amp;$A367))</f>
        <v>1</v>
      </c>
      <c r="W367" s="4">
        <f>IF($A367=W$341,"",COUNTIF($E$4:$E$337,$A367&amp;" ضد "&amp;W$341)+COUNTIF($E$4:$E$337,W$341&amp;" ضد "&amp;$A367))</f>
        <v>1</v>
      </c>
      <c r="X367" s="4">
        <f>IF($A367=X$341,"",COUNTIF($E$4:$E$337,$A367&amp;" ضد "&amp;X$341)+COUNTIF($E$4:$E$337,X$341&amp;" ضد "&amp;$A367))</f>
        <v>1</v>
      </c>
      <c r="Y367" s="4">
        <f>IF($A367=Y$341,"",COUNTIF($E$4:$E$337,$A367&amp;" ضد "&amp;Y$341)+COUNTIF($E$4:$E$337,Y$341&amp;" ضد "&amp;$A367))</f>
        <v>1</v>
      </c>
      <c r="Z367" s="4">
        <f>IF($A367=Z$341,"",COUNTIF($E$4:$E$337,$A367&amp;" ضد "&amp;Z$341)+COUNTIF($E$4:$E$337,Z$341&amp;" ضد "&amp;$A367))</f>
        <v>1</v>
      </c>
      <c r="AA367" s="4" t="str">
        <f>IF($A367=AA$341,"",COUNTIF($E$4:$E$337,$A367&amp;" ضد "&amp;AA$341)+COUNTIF($E$4:$E$337,AA$341&amp;" ضد "&amp;$A367))</f>
        <v/>
      </c>
      <c r="AB367" s="4">
        <f>IF($A367=AB$341,"",COUNTIF($E$4:$E$337,$A367&amp;" ضد "&amp;AB$341)+COUNTIF($E$4:$E$337,AB$341&amp;" ضد "&amp;$A367))</f>
        <v>1</v>
      </c>
      <c r="AC367" s="4">
        <f>IF($A367=AC$341,"",COUNTIF($E$4:$E$337,$A367&amp;" ضد "&amp;AC$341)+COUNTIF($E$4:$E$337,AC$341&amp;" ضد "&amp;$A367))</f>
        <v>1</v>
      </c>
      <c r="AD367" s="4">
        <f>IF($A367=AD$341,"",COUNTIF($E$4:$E$337,$A367&amp;" ضد "&amp;AD$341)+COUNTIF($E$4:$E$337,AD$341&amp;" ضد "&amp;$A367))</f>
        <v>1</v>
      </c>
      <c r="AE367" s="4">
        <f>IF($A367=AE$341,"",COUNTIF($E$4:$E$337,$A367&amp;" ضد "&amp;AE$341)+COUNTIF($E$4:$E$337,AE$341&amp;" ضد "&amp;$A367))</f>
        <v>1</v>
      </c>
      <c r="AF367" s="4">
        <f>IF($A367=AF$341,"",COUNTIF($E$4:$E$337,$A367&amp;" ضد "&amp;AF$341)+COUNTIF($E$4:$E$337,AF$341&amp;" ضد "&amp;$A367))</f>
        <v>2</v>
      </c>
      <c r="AG367" s="4">
        <f>IF($A367=AG$341,"",COUNTIF($E$4:$E$337,$A367&amp;" ضد "&amp;AG$341)+COUNTIF($E$4:$E$337,AG$341&amp;" ضد "&amp;$A367))</f>
        <v>1</v>
      </c>
      <c r="AH367" s="4">
        <f>IF($A367=AH$341,"",COUNTIF($E$4:$E$337,$A367&amp;" ضد "&amp;AH$341)+COUNTIF($E$4:$E$337,AH$341&amp;" ضد "&amp;$A367))</f>
        <v>1</v>
      </c>
      <c r="AI367" s="4">
        <f>IF($A367=AI$341,"",COUNTIF($E$4:$E$337,$A367&amp;" ضد "&amp;AI$341)+COUNTIF($E$4:$E$337,AI$341&amp;" ضد "&amp;$A367))</f>
        <v>1</v>
      </c>
      <c r="AJ367" s="4">
        <f>IF($A367=AJ$341,"",COUNTIF($E$4:$E$337,$A367&amp;" ضد "&amp;AJ$341)+COUNTIF($E$4:$E$337,AJ$341&amp;" ضد "&amp;$A367))</f>
        <v>1</v>
      </c>
      <c r="AK367" s="4">
        <f>IF($A367=AK$341,"",COUNTIF($E$4:$E$337,$A367&amp;" ضد "&amp;AK$341)+COUNTIF($E$4:$E$337,AK$341&amp;" ضد "&amp;$A367))</f>
        <v>1</v>
      </c>
      <c r="AL367" s="4">
        <f>IF($A367=AL$341,"",COUNTIF($E$4:$E$337,$A367&amp;" ضد "&amp;AL$341)+COUNTIF($E$4:$E$337,AL$341&amp;" ضد "&amp;$A367))</f>
        <v>1</v>
      </c>
    </row>
    <row r="368" spans="1:38" ht="14.5">
      <c r="A368" s="14">
        <v>27</v>
      </c>
      <c r="B368" s="4">
        <f>IF($A368=B$341,"",COUNTIF($E$4:$E$337,$A368&amp;" ضد "&amp;B$341)+COUNTIF($E$4:$E$337,B$341&amp;" ضد "&amp;$A368))</f>
        <v>0</v>
      </c>
      <c r="C368" s="4">
        <f>IF($A368=C$341,"",COUNTIF($E$4:$E$337,$A368&amp;" ضد "&amp;C$341)+COUNTIF($E$4:$E$337,C$341&amp;" ضد "&amp;$A368))</f>
        <v>0</v>
      </c>
      <c r="D368" s="4">
        <f>IF($A368=D$341,"",COUNTIF($E$4:$E$337,$A368&amp;" ضد "&amp;D$341)+COUNTIF($E$4:$E$337,D$341&amp;" ضد "&amp;$A368))</f>
        <v>0</v>
      </c>
      <c r="E368" s="4">
        <f>IF($A368=E$341,"",COUNTIF($E$4:$E$337,$A368&amp;" ضد "&amp;E$341)+COUNTIF($E$4:$E$337,E$341&amp;" ضد "&amp;$A368))</f>
        <v>0</v>
      </c>
      <c r="F368" s="4">
        <f>IF($A368=F$341,"",COUNTIF($E$4:$E$337,$A368&amp;" ضد "&amp;F$341)+COUNTIF($E$4:$E$337,F$341&amp;" ضد "&amp;$A368))</f>
        <v>0</v>
      </c>
      <c r="G368" s="4">
        <f>IF($A368=G$341,"",COUNTIF($E$4:$E$337,$A368&amp;" ضد "&amp;G$341)+COUNTIF($E$4:$E$337,G$341&amp;" ضد "&amp;$A368))</f>
        <v>0</v>
      </c>
      <c r="H368" s="4">
        <f>IF($A368=H$341,"",COUNTIF($E$4:$E$337,$A368&amp;" ضد "&amp;H$341)+COUNTIF($E$4:$E$337,H$341&amp;" ضد "&amp;$A368))</f>
        <v>0</v>
      </c>
      <c r="I368" s="4">
        <f>IF($A368=I$341,"",COUNTIF($E$4:$E$337,$A368&amp;" ضد "&amp;I$341)+COUNTIF($E$4:$E$337,I$341&amp;" ضد "&amp;$A368))</f>
        <v>0</v>
      </c>
      <c r="J368" s="4">
        <f>IF($A368=J$341,"",COUNTIF($E$4:$E$337,$A368&amp;" ضد "&amp;J$341)+COUNTIF($E$4:$E$337,J$341&amp;" ضد "&amp;$A368))</f>
        <v>0</v>
      </c>
      <c r="K368" s="4">
        <f>IF($A368=K$341,"",COUNTIF($E$4:$E$337,$A368&amp;" ضد "&amp;K$341)+COUNTIF($E$4:$E$337,K$341&amp;" ضد "&amp;$A368))</f>
        <v>0</v>
      </c>
      <c r="L368" s="4">
        <f>IF($A368=L$341,"",COUNTIF($E$4:$E$337,$A368&amp;" ضد "&amp;L$341)+COUNTIF($E$4:$E$337,L$341&amp;" ضد "&amp;$A368))</f>
        <v>0</v>
      </c>
      <c r="M368" s="4">
        <f>IF($A368=M$341,"",COUNTIF($E$4:$E$337,$A368&amp;" ضد "&amp;M$341)+COUNTIF($E$4:$E$337,M$341&amp;" ضد "&amp;$A368))</f>
        <v>0</v>
      </c>
      <c r="N368" s="4">
        <f>IF($A368=N$341,"",COUNTIF($E$4:$E$337,$A368&amp;" ضد "&amp;N$341)+COUNTIF($E$4:$E$337,N$341&amp;" ضد "&amp;$A368))</f>
        <v>0</v>
      </c>
      <c r="O368" s="4">
        <f>IF($A368=O$341,"",COUNTIF($E$4:$E$337,$A368&amp;" ضد "&amp;O$341)+COUNTIF($E$4:$E$337,O$341&amp;" ضد "&amp;$A368))</f>
        <v>0</v>
      </c>
      <c r="P368" s="4">
        <f>IF($A368=P$341,"",COUNTIF($E$4:$E$337,$A368&amp;" ضد "&amp;P$341)+COUNTIF($E$4:$E$337,P$341&amp;" ضد "&amp;$A368))</f>
        <v>0</v>
      </c>
      <c r="Q368" s="4">
        <f>IF($A368=Q$341,"",COUNTIF($E$4:$E$337,$A368&amp;" ضد "&amp;Q$341)+COUNTIF($E$4:$E$337,Q$341&amp;" ضد "&amp;$A368))</f>
        <v>0</v>
      </c>
      <c r="R368" s="4">
        <f>IF($A368=R$341,"",COUNTIF($E$4:$E$337,$A368&amp;" ضد "&amp;R$341)+COUNTIF($E$4:$E$337,R$341&amp;" ضد "&amp;$A368))</f>
        <v>0</v>
      </c>
      <c r="S368" s="4">
        <f>IF($A368=S$341,"",COUNTIF($E$4:$E$337,$A368&amp;" ضد "&amp;S$341)+COUNTIF($E$4:$E$337,S$341&amp;" ضد "&amp;$A368))</f>
        <v>0</v>
      </c>
      <c r="T368" s="4">
        <f>IF($A368=T$341,"",COUNTIF($E$4:$E$337,$A368&amp;" ضد "&amp;T$341)+COUNTIF($E$4:$E$337,T$341&amp;" ضد "&amp;$A368))</f>
        <v>0</v>
      </c>
      <c r="U368" s="4">
        <f>IF($A368=U$341,"",COUNTIF($E$4:$E$337,$A368&amp;" ضد "&amp;U$341)+COUNTIF($E$4:$E$337,U$341&amp;" ضد "&amp;$A368))</f>
        <v>1</v>
      </c>
      <c r="V368" s="4">
        <f>IF($A368=V$341,"",COUNTIF($E$4:$E$337,$A368&amp;" ضد "&amp;V$341)+COUNTIF($E$4:$E$337,V$341&amp;" ضد "&amp;$A368))</f>
        <v>1</v>
      </c>
      <c r="W368" s="4">
        <f>IF($A368=W$341,"",COUNTIF($E$4:$E$337,$A368&amp;" ضد "&amp;W$341)+COUNTIF($E$4:$E$337,W$341&amp;" ضد "&amp;$A368))</f>
        <v>1</v>
      </c>
      <c r="X368" s="4">
        <f>IF($A368=X$341,"",COUNTIF($E$4:$E$337,$A368&amp;" ضد "&amp;X$341)+COUNTIF($E$4:$E$337,X$341&amp;" ضد "&amp;$A368))</f>
        <v>1</v>
      </c>
      <c r="Y368" s="4">
        <f>IF($A368=Y$341,"",COUNTIF($E$4:$E$337,$A368&amp;" ضد "&amp;Y$341)+COUNTIF($E$4:$E$337,Y$341&amp;" ضد "&amp;$A368))</f>
        <v>1</v>
      </c>
      <c r="Z368" s="4">
        <f>IF($A368=Z$341,"",COUNTIF($E$4:$E$337,$A368&amp;" ضد "&amp;Z$341)+COUNTIF($E$4:$E$337,Z$341&amp;" ضد "&amp;$A368))</f>
        <v>1</v>
      </c>
      <c r="AA368" s="4">
        <f>IF($A368=AA$341,"",COUNTIF($E$4:$E$337,$A368&amp;" ضد "&amp;AA$341)+COUNTIF($E$4:$E$337,AA$341&amp;" ضد "&amp;$A368))</f>
        <v>1</v>
      </c>
      <c r="AB368" s="4" t="str">
        <f>IF($A368=AB$341,"",COUNTIF($E$4:$E$337,$A368&amp;" ضد "&amp;AB$341)+COUNTIF($E$4:$E$337,AB$341&amp;" ضد "&amp;$A368))</f>
        <v/>
      </c>
      <c r="AC368" s="4">
        <f>IF($A368=AC$341,"",COUNTIF($E$4:$E$337,$A368&amp;" ضد "&amp;AC$341)+COUNTIF($E$4:$E$337,AC$341&amp;" ضد "&amp;$A368))</f>
        <v>1</v>
      </c>
      <c r="AD368" s="4">
        <f>IF($A368=AD$341,"",COUNTIF($E$4:$E$337,$A368&amp;" ضد "&amp;AD$341)+COUNTIF($E$4:$E$337,AD$341&amp;" ضد "&amp;$A368))</f>
        <v>1</v>
      </c>
      <c r="AE368" s="4">
        <f>IF($A368=AE$341,"",COUNTIF($E$4:$E$337,$A368&amp;" ضد "&amp;AE$341)+COUNTIF($E$4:$E$337,AE$341&amp;" ضد "&amp;$A368))</f>
        <v>2</v>
      </c>
      <c r="AF368" s="4">
        <f>IF($A368=AF$341,"",COUNTIF($E$4:$E$337,$A368&amp;" ضد "&amp;AF$341)+COUNTIF($E$4:$E$337,AF$341&amp;" ضد "&amp;$A368))</f>
        <v>1</v>
      </c>
      <c r="AG368" s="4">
        <f>IF($A368=AG$341,"",COUNTIF($E$4:$E$337,$A368&amp;" ضد "&amp;AG$341)+COUNTIF($E$4:$E$337,AG$341&amp;" ضد "&amp;$A368))</f>
        <v>1</v>
      </c>
      <c r="AH368" s="4">
        <f>IF($A368=AH$341,"",COUNTIF($E$4:$E$337,$A368&amp;" ضد "&amp;AH$341)+COUNTIF($E$4:$E$337,AH$341&amp;" ضد "&amp;$A368))</f>
        <v>1</v>
      </c>
      <c r="AI368" s="4">
        <f>IF($A368=AI$341,"",COUNTIF($E$4:$E$337,$A368&amp;" ضد "&amp;AI$341)+COUNTIF($E$4:$E$337,AI$341&amp;" ضد "&amp;$A368))</f>
        <v>1</v>
      </c>
      <c r="AJ368" s="4">
        <f>IF($A368=AJ$341,"",COUNTIF($E$4:$E$337,$A368&amp;" ضد "&amp;AJ$341)+COUNTIF($E$4:$E$337,AJ$341&amp;" ضد "&amp;$A368))</f>
        <v>1</v>
      </c>
      <c r="AK368" s="4">
        <f>IF($A368=AK$341,"",COUNTIF($E$4:$E$337,$A368&amp;" ضد "&amp;AK$341)+COUNTIF($E$4:$E$337,AK$341&amp;" ضد "&amp;$A368))</f>
        <v>1</v>
      </c>
      <c r="AL368" s="4">
        <f>IF($A368=AL$341,"",COUNTIF($E$4:$E$337,$A368&amp;" ضد "&amp;AL$341)+COUNTIF($E$4:$E$337,AL$341&amp;" ضد "&amp;$A368))</f>
        <v>1</v>
      </c>
    </row>
    <row r="369" spans="1:38" ht="14.5">
      <c r="A369" s="14">
        <v>28</v>
      </c>
      <c r="B369" s="4">
        <f>IF($A369=B$341,"",COUNTIF($E$4:$E$337,$A369&amp;" ضد "&amp;B$341)+COUNTIF($E$4:$E$337,B$341&amp;" ضد "&amp;$A369))</f>
        <v>0</v>
      </c>
      <c r="C369" s="4">
        <f>IF($A369=C$341,"",COUNTIF($E$4:$E$337,$A369&amp;" ضد "&amp;C$341)+COUNTIF($E$4:$E$337,C$341&amp;" ضد "&amp;$A369))</f>
        <v>0</v>
      </c>
      <c r="D369" s="4">
        <f>IF($A369=D$341,"",COUNTIF($E$4:$E$337,$A369&amp;" ضد "&amp;D$341)+COUNTIF($E$4:$E$337,D$341&amp;" ضد "&amp;$A369))</f>
        <v>0</v>
      </c>
      <c r="E369" s="4">
        <f>IF($A369=E$341,"",COUNTIF($E$4:$E$337,$A369&amp;" ضد "&amp;E$341)+COUNTIF($E$4:$E$337,E$341&amp;" ضد "&amp;$A369))</f>
        <v>0</v>
      </c>
      <c r="F369" s="4">
        <f>IF($A369=F$341,"",COUNTIF($E$4:$E$337,$A369&amp;" ضد "&amp;F$341)+COUNTIF($E$4:$E$337,F$341&amp;" ضد "&amp;$A369))</f>
        <v>0</v>
      </c>
      <c r="G369" s="4">
        <f>IF($A369=G$341,"",COUNTIF($E$4:$E$337,$A369&amp;" ضد "&amp;G$341)+COUNTIF($E$4:$E$337,G$341&amp;" ضد "&amp;$A369))</f>
        <v>0</v>
      </c>
      <c r="H369" s="4">
        <f>IF($A369=H$341,"",COUNTIF($E$4:$E$337,$A369&amp;" ضد "&amp;H$341)+COUNTIF($E$4:$E$337,H$341&amp;" ضد "&amp;$A369))</f>
        <v>0</v>
      </c>
      <c r="I369" s="4">
        <f>IF($A369=I$341,"",COUNTIF($E$4:$E$337,$A369&amp;" ضد "&amp;I$341)+COUNTIF($E$4:$E$337,I$341&amp;" ضد "&amp;$A369))</f>
        <v>0</v>
      </c>
      <c r="J369" s="4">
        <f>IF($A369=J$341,"",COUNTIF($E$4:$E$337,$A369&amp;" ضد "&amp;J$341)+COUNTIF($E$4:$E$337,J$341&amp;" ضد "&amp;$A369))</f>
        <v>0</v>
      </c>
      <c r="K369" s="4">
        <f>IF($A369=K$341,"",COUNTIF($E$4:$E$337,$A369&amp;" ضد "&amp;K$341)+COUNTIF($E$4:$E$337,K$341&amp;" ضد "&amp;$A369))</f>
        <v>0</v>
      </c>
      <c r="L369" s="4">
        <f>IF($A369=L$341,"",COUNTIF($E$4:$E$337,$A369&amp;" ضد "&amp;L$341)+COUNTIF($E$4:$E$337,L$341&amp;" ضد "&amp;$A369))</f>
        <v>0</v>
      </c>
      <c r="M369" s="4">
        <f>IF($A369=M$341,"",COUNTIF($E$4:$E$337,$A369&amp;" ضد "&amp;M$341)+COUNTIF($E$4:$E$337,M$341&amp;" ضد "&amp;$A369))</f>
        <v>0</v>
      </c>
      <c r="N369" s="4">
        <f>IF($A369=N$341,"",COUNTIF($E$4:$E$337,$A369&amp;" ضد "&amp;N$341)+COUNTIF($E$4:$E$337,N$341&amp;" ضد "&amp;$A369))</f>
        <v>0</v>
      </c>
      <c r="O369" s="4">
        <f>IF($A369=O$341,"",COUNTIF($E$4:$E$337,$A369&amp;" ضد "&amp;O$341)+COUNTIF($E$4:$E$337,O$341&amp;" ضد "&amp;$A369))</f>
        <v>0</v>
      </c>
      <c r="P369" s="4">
        <f>IF($A369=P$341,"",COUNTIF($E$4:$E$337,$A369&amp;" ضد "&amp;P$341)+COUNTIF($E$4:$E$337,P$341&amp;" ضد "&amp;$A369))</f>
        <v>0</v>
      </c>
      <c r="Q369" s="4">
        <f>IF($A369=Q$341,"",COUNTIF($E$4:$E$337,$A369&amp;" ضد "&amp;Q$341)+COUNTIF($E$4:$E$337,Q$341&amp;" ضد "&amp;$A369))</f>
        <v>0</v>
      </c>
      <c r="R369" s="4">
        <f>IF($A369=R$341,"",COUNTIF($E$4:$E$337,$A369&amp;" ضد "&amp;R$341)+COUNTIF($E$4:$E$337,R$341&amp;" ضد "&amp;$A369))</f>
        <v>0</v>
      </c>
      <c r="S369" s="4">
        <f>IF($A369=S$341,"",COUNTIF($E$4:$E$337,$A369&amp;" ضد "&amp;S$341)+COUNTIF($E$4:$E$337,S$341&amp;" ضد "&amp;$A369))</f>
        <v>0</v>
      </c>
      <c r="T369" s="4">
        <f>IF($A369=T$341,"",COUNTIF($E$4:$E$337,$A369&amp;" ضد "&amp;T$341)+COUNTIF($E$4:$E$337,T$341&amp;" ضد "&amp;$A369))</f>
        <v>0</v>
      </c>
      <c r="U369" s="4">
        <f>IF($A369=U$341,"",COUNTIF($E$4:$E$337,$A369&amp;" ضد "&amp;U$341)+COUNTIF($E$4:$E$337,U$341&amp;" ضد "&amp;$A369))</f>
        <v>1</v>
      </c>
      <c r="V369" s="4">
        <f>IF($A369=V$341,"",COUNTIF($E$4:$E$337,$A369&amp;" ضد "&amp;V$341)+COUNTIF($E$4:$E$337,V$341&amp;" ضد "&amp;$A369))</f>
        <v>1</v>
      </c>
      <c r="W369" s="4">
        <f>IF($A369=W$341,"",COUNTIF($E$4:$E$337,$A369&amp;" ضد "&amp;W$341)+COUNTIF($E$4:$E$337,W$341&amp;" ضد "&amp;$A369))</f>
        <v>1</v>
      </c>
      <c r="X369" s="4">
        <f>IF($A369=X$341,"",COUNTIF($E$4:$E$337,$A369&amp;" ضد "&amp;X$341)+COUNTIF($E$4:$E$337,X$341&amp;" ضد "&amp;$A369))</f>
        <v>1</v>
      </c>
      <c r="Y369" s="4">
        <f>IF($A369=Y$341,"",COUNTIF($E$4:$E$337,$A369&amp;" ضد "&amp;Y$341)+COUNTIF($E$4:$E$337,Y$341&amp;" ضد "&amp;$A369))</f>
        <v>1</v>
      </c>
      <c r="Z369" s="4">
        <f>IF($A369=Z$341,"",COUNTIF($E$4:$E$337,$A369&amp;" ضد "&amp;Z$341)+COUNTIF($E$4:$E$337,Z$341&amp;" ضد "&amp;$A369))</f>
        <v>1</v>
      </c>
      <c r="AA369" s="4">
        <f>IF($A369=AA$341,"",COUNTIF($E$4:$E$337,$A369&amp;" ضد "&amp;AA$341)+COUNTIF($E$4:$E$337,AA$341&amp;" ضد "&amp;$A369))</f>
        <v>1</v>
      </c>
      <c r="AB369" s="4">
        <f>IF($A369=AB$341,"",COUNTIF($E$4:$E$337,$A369&amp;" ضد "&amp;AB$341)+COUNTIF($E$4:$E$337,AB$341&amp;" ضد "&amp;$A369))</f>
        <v>1</v>
      </c>
      <c r="AC369" s="4" t="str">
        <f>IF($A369=AC$341,"",COUNTIF($E$4:$E$337,$A369&amp;" ضد "&amp;AC$341)+COUNTIF($E$4:$E$337,AC$341&amp;" ضد "&amp;$A369))</f>
        <v/>
      </c>
      <c r="AD369" s="4">
        <f>IF($A369=AD$341,"",COUNTIF($E$4:$E$337,$A369&amp;" ضد "&amp;AD$341)+COUNTIF($E$4:$E$337,AD$341&amp;" ضد "&amp;$A369))</f>
        <v>2</v>
      </c>
      <c r="AE369" s="4">
        <f>IF($A369=AE$341,"",COUNTIF($E$4:$E$337,$A369&amp;" ضد "&amp;AE$341)+COUNTIF($E$4:$E$337,AE$341&amp;" ضد "&amp;$A369))</f>
        <v>1</v>
      </c>
      <c r="AF369" s="4">
        <f>IF($A369=AF$341,"",COUNTIF($E$4:$E$337,$A369&amp;" ضد "&amp;AF$341)+COUNTIF($E$4:$E$337,AF$341&amp;" ضد "&amp;$A369))</f>
        <v>1</v>
      </c>
      <c r="AG369" s="4">
        <f>IF($A369=AG$341,"",COUNTIF($E$4:$E$337,$A369&amp;" ضد "&amp;AG$341)+COUNTIF($E$4:$E$337,AG$341&amp;" ضد "&amp;$A369))</f>
        <v>1</v>
      </c>
      <c r="AH369" s="4">
        <f>IF($A369=AH$341,"",COUNTIF($E$4:$E$337,$A369&amp;" ضد "&amp;AH$341)+COUNTIF($E$4:$E$337,AH$341&amp;" ضد "&amp;$A369))</f>
        <v>1</v>
      </c>
      <c r="AI369" s="4">
        <f>IF($A369=AI$341,"",COUNTIF($E$4:$E$337,$A369&amp;" ضد "&amp;AI$341)+COUNTIF($E$4:$E$337,AI$341&amp;" ضد "&amp;$A369))</f>
        <v>1</v>
      </c>
      <c r="AJ369" s="4">
        <f>IF($A369=AJ$341,"",COUNTIF($E$4:$E$337,$A369&amp;" ضد "&amp;AJ$341)+COUNTIF($E$4:$E$337,AJ$341&amp;" ضد "&amp;$A369))</f>
        <v>1</v>
      </c>
      <c r="AK369" s="4">
        <f>IF($A369=AK$341,"",COUNTIF($E$4:$E$337,$A369&amp;" ضد "&amp;AK$341)+COUNTIF($E$4:$E$337,AK$341&amp;" ضد "&amp;$A369))</f>
        <v>1</v>
      </c>
      <c r="AL369" s="4">
        <f>IF($A369=AL$341,"",COUNTIF($E$4:$E$337,$A369&amp;" ضد "&amp;AL$341)+COUNTIF($E$4:$E$337,AL$341&amp;" ضد "&amp;$A369))</f>
        <v>1</v>
      </c>
    </row>
    <row r="370" spans="1:38" ht="14.5">
      <c r="A370" s="14">
        <v>29</v>
      </c>
      <c r="B370" s="4">
        <f>IF($A370=B$341,"",COUNTIF($E$4:$E$337,$A370&amp;" ضد "&amp;B$341)+COUNTIF($E$4:$E$337,B$341&amp;" ضد "&amp;$A370))</f>
        <v>0</v>
      </c>
      <c r="C370" s="4">
        <f>IF($A370=C$341,"",COUNTIF($E$4:$E$337,$A370&amp;" ضد "&amp;C$341)+COUNTIF($E$4:$E$337,C$341&amp;" ضد "&amp;$A370))</f>
        <v>0</v>
      </c>
      <c r="D370" s="4">
        <f>IF($A370=D$341,"",COUNTIF($E$4:$E$337,$A370&amp;" ضد "&amp;D$341)+COUNTIF($E$4:$E$337,D$341&amp;" ضد "&amp;$A370))</f>
        <v>0</v>
      </c>
      <c r="E370" s="4">
        <f>IF($A370=E$341,"",COUNTIF($E$4:$E$337,$A370&amp;" ضد "&amp;E$341)+COUNTIF($E$4:$E$337,E$341&amp;" ضد "&amp;$A370))</f>
        <v>0</v>
      </c>
      <c r="F370" s="4">
        <f>IF($A370=F$341,"",COUNTIF($E$4:$E$337,$A370&amp;" ضد "&amp;F$341)+COUNTIF($E$4:$E$337,F$341&amp;" ضد "&amp;$A370))</f>
        <v>0</v>
      </c>
      <c r="G370" s="4">
        <f>IF($A370=G$341,"",COUNTIF($E$4:$E$337,$A370&amp;" ضد "&amp;G$341)+COUNTIF($E$4:$E$337,G$341&amp;" ضد "&amp;$A370))</f>
        <v>0</v>
      </c>
      <c r="H370" s="4">
        <f>IF($A370=H$341,"",COUNTIF($E$4:$E$337,$A370&amp;" ضد "&amp;H$341)+COUNTIF($E$4:$E$337,H$341&amp;" ضد "&amp;$A370))</f>
        <v>0</v>
      </c>
      <c r="I370" s="4">
        <f>IF($A370=I$341,"",COUNTIF($E$4:$E$337,$A370&amp;" ضد "&amp;I$341)+COUNTIF($E$4:$E$337,I$341&amp;" ضد "&amp;$A370))</f>
        <v>0</v>
      </c>
      <c r="J370" s="4">
        <f>IF($A370=J$341,"",COUNTIF($E$4:$E$337,$A370&amp;" ضد "&amp;J$341)+COUNTIF($E$4:$E$337,J$341&amp;" ضد "&amp;$A370))</f>
        <v>0</v>
      </c>
      <c r="K370" s="4">
        <f>IF($A370=K$341,"",COUNTIF($E$4:$E$337,$A370&amp;" ضد "&amp;K$341)+COUNTIF($E$4:$E$337,K$341&amp;" ضد "&amp;$A370))</f>
        <v>0</v>
      </c>
      <c r="L370" s="4">
        <f>IF($A370=L$341,"",COUNTIF($E$4:$E$337,$A370&amp;" ضد "&amp;L$341)+COUNTIF($E$4:$E$337,L$341&amp;" ضد "&amp;$A370))</f>
        <v>0</v>
      </c>
      <c r="M370" s="4">
        <f>IF($A370=M$341,"",COUNTIF($E$4:$E$337,$A370&amp;" ضد "&amp;M$341)+COUNTIF($E$4:$E$337,M$341&amp;" ضد "&amp;$A370))</f>
        <v>0</v>
      </c>
      <c r="N370" s="4">
        <f>IF($A370=N$341,"",COUNTIF($E$4:$E$337,$A370&amp;" ضد "&amp;N$341)+COUNTIF($E$4:$E$337,N$341&amp;" ضد "&amp;$A370))</f>
        <v>0</v>
      </c>
      <c r="O370" s="4">
        <f>IF($A370=O$341,"",COUNTIF($E$4:$E$337,$A370&amp;" ضد "&amp;O$341)+COUNTIF($E$4:$E$337,O$341&amp;" ضد "&amp;$A370))</f>
        <v>0</v>
      </c>
      <c r="P370" s="4">
        <f>IF($A370=P$341,"",COUNTIF($E$4:$E$337,$A370&amp;" ضد "&amp;P$341)+COUNTIF($E$4:$E$337,P$341&amp;" ضد "&amp;$A370))</f>
        <v>0</v>
      </c>
      <c r="Q370" s="4">
        <f>IF($A370=Q$341,"",COUNTIF($E$4:$E$337,$A370&amp;" ضد "&amp;Q$341)+COUNTIF($E$4:$E$337,Q$341&amp;" ضد "&amp;$A370))</f>
        <v>0</v>
      </c>
      <c r="R370" s="4">
        <f>IF($A370=R$341,"",COUNTIF($E$4:$E$337,$A370&amp;" ضد "&amp;R$341)+COUNTIF($E$4:$E$337,R$341&amp;" ضد "&amp;$A370))</f>
        <v>0</v>
      </c>
      <c r="S370" s="4">
        <f>IF($A370=S$341,"",COUNTIF($E$4:$E$337,$A370&amp;" ضد "&amp;S$341)+COUNTIF($E$4:$E$337,S$341&amp;" ضد "&amp;$A370))</f>
        <v>0</v>
      </c>
      <c r="T370" s="4">
        <f>IF($A370=T$341,"",COUNTIF($E$4:$E$337,$A370&amp;" ضد "&amp;T$341)+COUNTIF($E$4:$E$337,T$341&amp;" ضد "&amp;$A370))</f>
        <v>0</v>
      </c>
      <c r="U370" s="4">
        <f>IF($A370=U$341,"",COUNTIF($E$4:$E$337,$A370&amp;" ضد "&amp;U$341)+COUNTIF($E$4:$E$337,U$341&amp;" ضد "&amp;$A370))</f>
        <v>1</v>
      </c>
      <c r="V370" s="4">
        <f>IF($A370=V$341,"",COUNTIF($E$4:$E$337,$A370&amp;" ضد "&amp;V$341)+COUNTIF($E$4:$E$337,V$341&amp;" ضد "&amp;$A370))</f>
        <v>1</v>
      </c>
      <c r="W370" s="4">
        <f>IF($A370=W$341,"",COUNTIF($E$4:$E$337,$A370&amp;" ضد "&amp;W$341)+COUNTIF($E$4:$E$337,W$341&amp;" ضد "&amp;$A370))</f>
        <v>1</v>
      </c>
      <c r="X370" s="4">
        <f>IF($A370=X$341,"",COUNTIF($E$4:$E$337,$A370&amp;" ضد "&amp;X$341)+COUNTIF($E$4:$E$337,X$341&amp;" ضد "&amp;$A370))</f>
        <v>1</v>
      </c>
      <c r="Y370" s="4">
        <f>IF($A370=Y$341,"",COUNTIF($E$4:$E$337,$A370&amp;" ضد "&amp;Y$341)+COUNTIF($E$4:$E$337,Y$341&amp;" ضد "&amp;$A370))</f>
        <v>1</v>
      </c>
      <c r="Z370" s="4">
        <f>IF($A370=Z$341,"",COUNTIF($E$4:$E$337,$A370&amp;" ضد "&amp;Z$341)+COUNTIF($E$4:$E$337,Z$341&amp;" ضد "&amp;$A370))</f>
        <v>1</v>
      </c>
      <c r="AA370" s="4">
        <f>IF($A370=AA$341,"",COUNTIF($E$4:$E$337,$A370&amp;" ضد "&amp;AA$341)+COUNTIF($E$4:$E$337,AA$341&amp;" ضد "&amp;$A370))</f>
        <v>1</v>
      </c>
      <c r="AB370" s="4">
        <f>IF($A370=AB$341,"",COUNTIF($E$4:$E$337,$A370&amp;" ضد "&amp;AB$341)+COUNTIF($E$4:$E$337,AB$341&amp;" ضد "&amp;$A370))</f>
        <v>1</v>
      </c>
      <c r="AC370" s="4">
        <f>IF($A370=AC$341,"",COUNTIF($E$4:$E$337,$A370&amp;" ضد "&amp;AC$341)+COUNTIF($E$4:$E$337,AC$341&amp;" ضد "&amp;$A370))</f>
        <v>2</v>
      </c>
      <c r="AD370" s="4" t="str">
        <f>IF($A370=AD$341,"",COUNTIF($E$4:$E$337,$A370&amp;" ضد "&amp;AD$341)+COUNTIF($E$4:$E$337,AD$341&amp;" ضد "&amp;$A370))</f>
        <v/>
      </c>
      <c r="AE370" s="4">
        <f>IF($A370=AE$341,"",COUNTIF($E$4:$E$337,$A370&amp;" ضد "&amp;AE$341)+COUNTIF($E$4:$E$337,AE$341&amp;" ضد "&amp;$A370))</f>
        <v>1</v>
      </c>
      <c r="AF370" s="4">
        <f>IF($A370=AF$341,"",COUNTIF($E$4:$E$337,$A370&amp;" ضد "&amp;AF$341)+COUNTIF($E$4:$E$337,AF$341&amp;" ضد "&amp;$A370))</f>
        <v>1</v>
      </c>
      <c r="AG370" s="4">
        <f>IF($A370=AG$341,"",COUNTIF($E$4:$E$337,$A370&amp;" ضد "&amp;AG$341)+COUNTIF($E$4:$E$337,AG$341&amp;" ضد "&amp;$A370))</f>
        <v>1</v>
      </c>
      <c r="AH370" s="4">
        <f>IF($A370=AH$341,"",COUNTIF($E$4:$E$337,$A370&amp;" ضد "&amp;AH$341)+COUNTIF($E$4:$E$337,AH$341&amp;" ضد "&amp;$A370))</f>
        <v>1</v>
      </c>
      <c r="AI370" s="4">
        <f>IF($A370=AI$341,"",COUNTIF($E$4:$E$337,$A370&amp;" ضد "&amp;AI$341)+COUNTIF($E$4:$E$337,AI$341&amp;" ضد "&amp;$A370))</f>
        <v>1</v>
      </c>
      <c r="AJ370" s="4">
        <f>IF($A370=AJ$341,"",COUNTIF($E$4:$E$337,$A370&amp;" ضد "&amp;AJ$341)+COUNTIF($E$4:$E$337,AJ$341&amp;" ضد "&amp;$A370))</f>
        <v>1</v>
      </c>
      <c r="AK370" s="4">
        <f>IF($A370=AK$341,"",COUNTIF($E$4:$E$337,$A370&amp;" ضد "&amp;AK$341)+COUNTIF($E$4:$E$337,AK$341&amp;" ضد "&amp;$A370))</f>
        <v>1</v>
      </c>
      <c r="AL370" s="4">
        <f>IF($A370=AL$341,"",COUNTIF($E$4:$E$337,$A370&amp;" ضد "&amp;AL$341)+COUNTIF($E$4:$E$337,AL$341&amp;" ضد "&amp;$A370))</f>
        <v>1</v>
      </c>
    </row>
    <row r="371" spans="1:38" ht="14.5">
      <c r="A371" s="14">
        <v>30</v>
      </c>
      <c r="B371" s="4">
        <f>IF($A371=B$341,"",COUNTIF($E$4:$E$337,$A371&amp;" ضد "&amp;B$341)+COUNTIF($E$4:$E$337,B$341&amp;" ضد "&amp;$A371))</f>
        <v>0</v>
      </c>
      <c r="C371" s="4">
        <f>IF($A371=C$341,"",COUNTIF($E$4:$E$337,$A371&amp;" ضد "&amp;C$341)+COUNTIF($E$4:$E$337,C$341&amp;" ضد "&amp;$A371))</f>
        <v>0</v>
      </c>
      <c r="D371" s="4">
        <f>IF($A371=D$341,"",COUNTIF($E$4:$E$337,$A371&amp;" ضد "&amp;D$341)+COUNTIF($E$4:$E$337,D$341&amp;" ضد "&amp;$A371))</f>
        <v>0</v>
      </c>
      <c r="E371" s="4">
        <f>IF($A371=E$341,"",COUNTIF($E$4:$E$337,$A371&amp;" ضد "&amp;E$341)+COUNTIF($E$4:$E$337,E$341&amp;" ضد "&amp;$A371))</f>
        <v>0</v>
      </c>
      <c r="F371" s="4">
        <f>IF($A371=F$341,"",COUNTIF($E$4:$E$337,$A371&amp;" ضد "&amp;F$341)+COUNTIF($E$4:$E$337,F$341&amp;" ضد "&amp;$A371))</f>
        <v>0</v>
      </c>
      <c r="G371" s="4">
        <f>IF($A371=G$341,"",COUNTIF($E$4:$E$337,$A371&amp;" ضد "&amp;G$341)+COUNTIF($E$4:$E$337,G$341&amp;" ضد "&amp;$A371))</f>
        <v>0</v>
      </c>
      <c r="H371" s="4">
        <f>IF($A371=H$341,"",COUNTIF($E$4:$E$337,$A371&amp;" ضد "&amp;H$341)+COUNTIF($E$4:$E$337,H$341&amp;" ضد "&amp;$A371))</f>
        <v>0</v>
      </c>
      <c r="I371" s="4">
        <f>IF($A371=I$341,"",COUNTIF($E$4:$E$337,$A371&amp;" ضد "&amp;I$341)+COUNTIF($E$4:$E$337,I$341&amp;" ضد "&amp;$A371))</f>
        <v>0</v>
      </c>
      <c r="J371" s="4">
        <f>IF($A371=J$341,"",COUNTIF($E$4:$E$337,$A371&amp;" ضد "&amp;J$341)+COUNTIF($E$4:$E$337,J$341&amp;" ضد "&amp;$A371))</f>
        <v>0</v>
      </c>
      <c r="K371" s="4">
        <f>IF($A371=K$341,"",COUNTIF($E$4:$E$337,$A371&amp;" ضد "&amp;K$341)+COUNTIF($E$4:$E$337,K$341&amp;" ضد "&amp;$A371))</f>
        <v>0</v>
      </c>
      <c r="L371" s="4">
        <f>IF($A371=L$341,"",COUNTIF($E$4:$E$337,$A371&amp;" ضد "&amp;L$341)+COUNTIF($E$4:$E$337,L$341&amp;" ضد "&amp;$A371))</f>
        <v>0</v>
      </c>
      <c r="M371" s="4">
        <f>IF($A371=M$341,"",COUNTIF($E$4:$E$337,$A371&amp;" ضد "&amp;M$341)+COUNTIF($E$4:$E$337,M$341&amp;" ضد "&amp;$A371))</f>
        <v>0</v>
      </c>
      <c r="N371" s="4">
        <f>IF($A371=N$341,"",COUNTIF($E$4:$E$337,$A371&amp;" ضد "&amp;N$341)+COUNTIF($E$4:$E$337,N$341&amp;" ضد "&amp;$A371))</f>
        <v>0</v>
      </c>
      <c r="O371" s="4">
        <f>IF($A371=O$341,"",COUNTIF($E$4:$E$337,$A371&amp;" ضد "&amp;O$341)+COUNTIF($E$4:$E$337,O$341&amp;" ضد "&amp;$A371))</f>
        <v>0</v>
      </c>
      <c r="P371" s="4">
        <f>IF($A371=P$341,"",COUNTIF($E$4:$E$337,$A371&amp;" ضد "&amp;P$341)+COUNTIF($E$4:$E$337,P$341&amp;" ضد "&amp;$A371))</f>
        <v>0</v>
      </c>
      <c r="Q371" s="4">
        <f>IF($A371=Q$341,"",COUNTIF($E$4:$E$337,$A371&amp;" ضد "&amp;Q$341)+COUNTIF($E$4:$E$337,Q$341&amp;" ضد "&amp;$A371))</f>
        <v>0</v>
      </c>
      <c r="R371" s="4">
        <f>IF($A371=R$341,"",COUNTIF($E$4:$E$337,$A371&amp;" ضد "&amp;R$341)+COUNTIF($E$4:$E$337,R$341&amp;" ضد "&amp;$A371))</f>
        <v>0</v>
      </c>
      <c r="S371" s="4">
        <f>IF($A371=S$341,"",COUNTIF($E$4:$E$337,$A371&amp;" ضد "&amp;S$341)+COUNTIF($E$4:$E$337,S$341&amp;" ضد "&amp;$A371))</f>
        <v>0</v>
      </c>
      <c r="T371" s="4">
        <f>IF($A371=T$341,"",COUNTIF($E$4:$E$337,$A371&amp;" ضد "&amp;T$341)+COUNTIF($E$4:$E$337,T$341&amp;" ضد "&amp;$A371))</f>
        <v>0</v>
      </c>
      <c r="U371" s="4">
        <f>IF($A371=U$341,"",COUNTIF($E$4:$E$337,$A371&amp;" ضد "&amp;U$341)+COUNTIF($E$4:$E$337,U$341&amp;" ضد "&amp;$A371))</f>
        <v>1</v>
      </c>
      <c r="V371" s="4">
        <f>IF($A371=V$341,"",COUNTIF($E$4:$E$337,$A371&amp;" ضد "&amp;V$341)+COUNTIF($E$4:$E$337,V$341&amp;" ضد "&amp;$A371))</f>
        <v>1</v>
      </c>
      <c r="W371" s="4">
        <f>IF($A371=W$341,"",COUNTIF($E$4:$E$337,$A371&amp;" ضد "&amp;W$341)+COUNTIF($E$4:$E$337,W$341&amp;" ضد "&amp;$A371))</f>
        <v>1</v>
      </c>
      <c r="X371" s="4">
        <f>IF($A371=X$341,"",COUNTIF($E$4:$E$337,$A371&amp;" ضد "&amp;X$341)+COUNTIF($E$4:$E$337,X$341&amp;" ضد "&amp;$A371))</f>
        <v>1</v>
      </c>
      <c r="Y371" s="4">
        <f>IF($A371=Y$341,"",COUNTIF($E$4:$E$337,$A371&amp;" ضد "&amp;Y$341)+COUNTIF($E$4:$E$337,Y$341&amp;" ضد "&amp;$A371))</f>
        <v>1</v>
      </c>
      <c r="Z371" s="4">
        <f>IF($A371=Z$341,"",COUNTIF($E$4:$E$337,$A371&amp;" ضد "&amp;Z$341)+COUNTIF($E$4:$E$337,Z$341&amp;" ضد "&amp;$A371))</f>
        <v>1</v>
      </c>
      <c r="AA371" s="4">
        <f>IF($A371=AA$341,"",COUNTIF($E$4:$E$337,$A371&amp;" ضد "&amp;AA$341)+COUNTIF($E$4:$E$337,AA$341&amp;" ضد "&amp;$A371))</f>
        <v>1</v>
      </c>
      <c r="AB371" s="4">
        <f>IF($A371=AB$341,"",COUNTIF($E$4:$E$337,$A371&amp;" ضد "&amp;AB$341)+COUNTIF($E$4:$E$337,AB$341&amp;" ضد "&amp;$A371))</f>
        <v>2</v>
      </c>
      <c r="AC371" s="4">
        <f>IF($A371=AC$341,"",COUNTIF($E$4:$E$337,$A371&amp;" ضد "&amp;AC$341)+COUNTIF($E$4:$E$337,AC$341&amp;" ضد "&amp;$A371))</f>
        <v>1</v>
      </c>
      <c r="AD371" s="4">
        <f>IF($A371=AD$341,"",COUNTIF($E$4:$E$337,$A371&amp;" ضد "&amp;AD$341)+COUNTIF($E$4:$E$337,AD$341&amp;" ضد "&amp;$A371))</f>
        <v>1</v>
      </c>
      <c r="AE371" s="4" t="str">
        <f>IF($A371=AE$341,"",COUNTIF($E$4:$E$337,$A371&amp;" ضد "&amp;AE$341)+COUNTIF($E$4:$E$337,AE$341&amp;" ضد "&amp;$A371))</f>
        <v/>
      </c>
      <c r="AF371" s="4">
        <f>IF($A371=AF$341,"",COUNTIF($E$4:$E$337,$A371&amp;" ضد "&amp;AF$341)+COUNTIF($E$4:$E$337,AF$341&amp;" ضد "&amp;$A371))</f>
        <v>1</v>
      </c>
      <c r="AG371" s="4">
        <f>IF($A371=AG$341,"",COUNTIF($E$4:$E$337,$A371&amp;" ضد "&amp;AG$341)+COUNTIF($E$4:$E$337,AG$341&amp;" ضد "&amp;$A371))</f>
        <v>1</v>
      </c>
      <c r="AH371" s="4">
        <f>IF($A371=AH$341,"",COUNTIF($E$4:$E$337,$A371&amp;" ضد "&amp;AH$341)+COUNTIF($E$4:$E$337,AH$341&amp;" ضد "&amp;$A371))</f>
        <v>1</v>
      </c>
      <c r="AI371" s="4">
        <f>IF($A371=AI$341,"",COUNTIF($E$4:$E$337,$A371&amp;" ضد "&amp;AI$341)+COUNTIF($E$4:$E$337,AI$341&amp;" ضد "&amp;$A371))</f>
        <v>1</v>
      </c>
      <c r="AJ371" s="4">
        <f>IF($A371=AJ$341,"",COUNTIF($E$4:$E$337,$A371&amp;" ضد "&amp;AJ$341)+COUNTIF($E$4:$E$337,AJ$341&amp;" ضد "&amp;$A371))</f>
        <v>1</v>
      </c>
      <c r="AK371" s="4">
        <f>IF($A371=AK$341,"",COUNTIF($E$4:$E$337,$A371&amp;" ضد "&amp;AK$341)+COUNTIF($E$4:$E$337,AK$341&amp;" ضد "&amp;$A371))</f>
        <v>1</v>
      </c>
      <c r="AL371" s="4">
        <f>IF($A371=AL$341,"",COUNTIF($E$4:$E$337,$A371&amp;" ضد "&amp;AL$341)+COUNTIF($E$4:$E$337,AL$341&amp;" ضد "&amp;$A371))</f>
        <v>1</v>
      </c>
    </row>
    <row r="372" spans="1:38" ht="14.5">
      <c r="A372" s="14">
        <v>31</v>
      </c>
      <c r="B372" s="4">
        <f>IF($A372=B$341,"",COUNTIF($E$4:$E$337,$A372&amp;" ضد "&amp;B$341)+COUNTIF($E$4:$E$337,B$341&amp;" ضد "&amp;$A372))</f>
        <v>0</v>
      </c>
      <c r="C372" s="4">
        <f>IF($A372=C$341,"",COUNTIF($E$4:$E$337,$A372&amp;" ضد "&amp;C$341)+COUNTIF($E$4:$E$337,C$341&amp;" ضد "&amp;$A372))</f>
        <v>0</v>
      </c>
      <c r="D372" s="4">
        <f>IF($A372=D$341,"",COUNTIF($E$4:$E$337,$A372&amp;" ضد "&amp;D$341)+COUNTIF($E$4:$E$337,D$341&amp;" ضد "&amp;$A372))</f>
        <v>0</v>
      </c>
      <c r="E372" s="4">
        <f>IF($A372=E$341,"",COUNTIF($E$4:$E$337,$A372&amp;" ضد "&amp;E$341)+COUNTIF($E$4:$E$337,E$341&amp;" ضد "&amp;$A372))</f>
        <v>0</v>
      </c>
      <c r="F372" s="4">
        <f>IF($A372=F$341,"",COUNTIF($E$4:$E$337,$A372&amp;" ضد "&amp;F$341)+COUNTIF($E$4:$E$337,F$341&amp;" ضد "&amp;$A372))</f>
        <v>0</v>
      </c>
      <c r="G372" s="4">
        <f>IF($A372=G$341,"",COUNTIF($E$4:$E$337,$A372&amp;" ضد "&amp;G$341)+COUNTIF($E$4:$E$337,G$341&amp;" ضد "&amp;$A372))</f>
        <v>0</v>
      </c>
      <c r="H372" s="4">
        <f>IF($A372=H$341,"",COUNTIF($E$4:$E$337,$A372&amp;" ضد "&amp;H$341)+COUNTIF($E$4:$E$337,H$341&amp;" ضد "&amp;$A372))</f>
        <v>0</v>
      </c>
      <c r="I372" s="4">
        <f>IF($A372=I$341,"",COUNTIF($E$4:$E$337,$A372&amp;" ضد "&amp;I$341)+COUNTIF($E$4:$E$337,I$341&amp;" ضد "&amp;$A372))</f>
        <v>0</v>
      </c>
      <c r="J372" s="4">
        <f>IF($A372=J$341,"",COUNTIF($E$4:$E$337,$A372&amp;" ضد "&amp;J$341)+COUNTIF($E$4:$E$337,J$341&amp;" ضد "&amp;$A372))</f>
        <v>0</v>
      </c>
      <c r="K372" s="4">
        <f>IF($A372=K$341,"",COUNTIF($E$4:$E$337,$A372&amp;" ضد "&amp;K$341)+COUNTIF($E$4:$E$337,K$341&amp;" ضد "&amp;$A372))</f>
        <v>0</v>
      </c>
      <c r="L372" s="4">
        <f>IF($A372=L$341,"",COUNTIF($E$4:$E$337,$A372&amp;" ضد "&amp;L$341)+COUNTIF($E$4:$E$337,L$341&amp;" ضد "&amp;$A372))</f>
        <v>0</v>
      </c>
      <c r="M372" s="4">
        <f>IF($A372=M$341,"",COUNTIF($E$4:$E$337,$A372&amp;" ضد "&amp;M$341)+COUNTIF($E$4:$E$337,M$341&amp;" ضد "&amp;$A372))</f>
        <v>0</v>
      </c>
      <c r="N372" s="4">
        <f>IF($A372=N$341,"",COUNTIF($E$4:$E$337,$A372&amp;" ضد "&amp;N$341)+COUNTIF($E$4:$E$337,N$341&amp;" ضد "&amp;$A372))</f>
        <v>0</v>
      </c>
      <c r="O372" s="4">
        <f>IF($A372=O$341,"",COUNTIF($E$4:$E$337,$A372&amp;" ضد "&amp;O$341)+COUNTIF($E$4:$E$337,O$341&amp;" ضد "&amp;$A372))</f>
        <v>0</v>
      </c>
      <c r="P372" s="4">
        <f>IF($A372=P$341,"",COUNTIF($E$4:$E$337,$A372&amp;" ضد "&amp;P$341)+COUNTIF($E$4:$E$337,P$341&amp;" ضد "&amp;$A372))</f>
        <v>0</v>
      </c>
      <c r="Q372" s="4">
        <f>IF($A372=Q$341,"",COUNTIF($E$4:$E$337,$A372&amp;" ضد "&amp;Q$341)+COUNTIF($E$4:$E$337,Q$341&amp;" ضد "&amp;$A372))</f>
        <v>0</v>
      </c>
      <c r="R372" s="4">
        <f>IF($A372=R$341,"",COUNTIF($E$4:$E$337,$A372&amp;" ضد "&amp;R$341)+COUNTIF($E$4:$E$337,R$341&amp;" ضد "&amp;$A372))</f>
        <v>0</v>
      </c>
      <c r="S372" s="4">
        <f>IF($A372=S$341,"",COUNTIF($E$4:$E$337,$A372&amp;" ضد "&amp;S$341)+COUNTIF($E$4:$E$337,S$341&amp;" ضد "&amp;$A372))</f>
        <v>0</v>
      </c>
      <c r="T372" s="4">
        <f>IF($A372=T$341,"",COUNTIF($E$4:$E$337,$A372&amp;" ضد "&amp;T$341)+COUNTIF($E$4:$E$337,T$341&amp;" ضد "&amp;$A372))</f>
        <v>0</v>
      </c>
      <c r="U372" s="4">
        <f>IF($A372=U$341,"",COUNTIF($E$4:$E$337,$A372&amp;" ضد "&amp;U$341)+COUNTIF($E$4:$E$337,U$341&amp;" ضد "&amp;$A372))</f>
        <v>1</v>
      </c>
      <c r="V372" s="4">
        <f>IF($A372=V$341,"",COUNTIF($E$4:$E$337,$A372&amp;" ضد "&amp;V$341)+COUNTIF($E$4:$E$337,V$341&amp;" ضد "&amp;$A372))</f>
        <v>1</v>
      </c>
      <c r="W372" s="4">
        <f>IF($A372=W$341,"",COUNTIF($E$4:$E$337,$A372&amp;" ضد "&amp;W$341)+COUNTIF($E$4:$E$337,W$341&amp;" ضد "&amp;$A372))</f>
        <v>1</v>
      </c>
      <c r="X372" s="4">
        <f>IF($A372=X$341,"",COUNTIF($E$4:$E$337,$A372&amp;" ضد "&amp;X$341)+COUNTIF($E$4:$E$337,X$341&amp;" ضد "&amp;$A372))</f>
        <v>1</v>
      </c>
      <c r="Y372" s="4">
        <f>IF($A372=Y$341,"",COUNTIF($E$4:$E$337,$A372&amp;" ضد "&amp;Y$341)+COUNTIF($E$4:$E$337,Y$341&amp;" ضد "&amp;$A372))</f>
        <v>1</v>
      </c>
      <c r="Z372" s="4">
        <f>IF($A372=Z$341,"",COUNTIF($E$4:$E$337,$A372&amp;" ضد "&amp;Z$341)+COUNTIF($E$4:$E$337,Z$341&amp;" ضد "&amp;$A372))</f>
        <v>1</v>
      </c>
      <c r="AA372" s="4">
        <f>IF($A372=AA$341,"",COUNTIF($E$4:$E$337,$A372&amp;" ضد "&amp;AA$341)+COUNTIF($E$4:$E$337,AA$341&amp;" ضد "&amp;$A372))</f>
        <v>2</v>
      </c>
      <c r="AB372" s="4">
        <f>IF($A372=AB$341,"",COUNTIF($E$4:$E$337,$A372&amp;" ضد "&amp;AB$341)+COUNTIF($E$4:$E$337,AB$341&amp;" ضد "&amp;$A372))</f>
        <v>1</v>
      </c>
      <c r="AC372" s="4">
        <f>IF($A372=AC$341,"",COUNTIF($E$4:$E$337,$A372&amp;" ضد "&amp;AC$341)+COUNTIF($E$4:$E$337,AC$341&amp;" ضد "&amp;$A372))</f>
        <v>1</v>
      </c>
      <c r="AD372" s="4">
        <f>IF($A372=AD$341,"",COUNTIF($E$4:$E$337,$A372&amp;" ضد "&amp;AD$341)+COUNTIF($E$4:$E$337,AD$341&amp;" ضد "&amp;$A372))</f>
        <v>1</v>
      </c>
      <c r="AE372" s="4">
        <f>IF($A372=AE$341,"",COUNTIF($E$4:$E$337,$A372&amp;" ضد "&amp;AE$341)+COUNTIF($E$4:$E$337,AE$341&amp;" ضد "&amp;$A372))</f>
        <v>1</v>
      </c>
      <c r="AF372" s="4" t="str">
        <f>IF($A372=AF$341,"",COUNTIF($E$4:$E$337,$A372&amp;" ضد "&amp;AF$341)+COUNTIF($E$4:$E$337,AF$341&amp;" ضد "&amp;$A372))</f>
        <v/>
      </c>
      <c r="AG372" s="4">
        <f>IF($A372=AG$341,"",COUNTIF($E$4:$E$337,$A372&amp;" ضد "&amp;AG$341)+COUNTIF($E$4:$E$337,AG$341&amp;" ضد "&amp;$A372))</f>
        <v>1</v>
      </c>
      <c r="AH372" s="4">
        <f>IF($A372=AH$341,"",COUNTIF($E$4:$E$337,$A372&amp;" ضد "&amp;AH$341)+COUNTIF($E$4:$E$337,AH$341&amp;" ضد "&amp;$A372))</f>
        <v>1</v>
      </c>
      <c r="AI372" s="4">
        <f>IF($A372=AI$341,"",COUNTIF($E$4:$E$337,$A372&amp;" ضد "&amp;AI$341)+COUNTIF($E$4:$E$337,AI$341&amp;" ضد "&amp;$A372))</f>
        <v>1</v>
      </c>
      <c r="AJ372" s="4">
        <f>IF($A372=AJ$341,"",COUNTIF($E$4:$E$337,$A372&amp;" ضد "&amp;AJ$341)+COUNTIF($E$4:$E$337,AJ$341&amp;" ضد "&amp;$A372))</f>
        <v>1</v>
      </c>
      <c r="AK372" s="4">
        <f>IF($A372=AK$341,"",COUNTIF($E$4:$E$337,$A372&amp;" ضد "&amp;AK$341)+COUNTIF($E$4:$E$337,AK$341&amp;" ضد "&amp;$A372))</f>
        <v>1</v>
      </c>
      <c r="AL372" s="4">
        <f>IF($A372=AL$341,"",COUNTIF($E$4:$E$337,$A372&amp;" ضد "&amp;AL$341)+COUNTIF($E$4:$E$337,AL$341&amp;" ضد "&amp;$A372))</f>
        <v>1</v>
      </c>
    </row>
    <row r="373" spans="1:38" ht="14.5">
      <c r="A373" s="14">
        <v>32</v>
      </c>
      <c r="B373" s="4">
        <f>IF($A373=B$341,"",COUNTIF($E$4:$E$337,$A373&amp;" ضد "&amp;B$341)+COUNTIF($E$4:$E$337,B$341&amp;" ضد "&amp;$A373))</f>
        <v>0</v>
      </c>
      <c r="C373" s="4">
        <f>IF($A373=C$341,"",COUNTIF($E$4:$E$337,$A373&amp;" ضد "&amp;C$341)+COUNTIF($E$4:$E$337,C$341&amp;" ضد "&amp;$A373))</f>
        <v>0</v>
      </c>
      <c r="D373" s="4">
        <f>IF($A373=D$341,"",COUNTIF($E$4:$E$337,$A373&amp;" ضد "&amp;D$341)+COUNTIF($E$4:$E$337,D$341&amp;" ضد "&amp;$A373))</f>
        <v>0</v>
      </c>
      <c r="E373" s="4">
        <f>IF($A373=E$341,"",COUNTIF($E$4:$E$337,$A373&amp;" ضد "&amp;E$341)+COUNTIF($E$4:$E$337,E$341&amp;" ضد "&amp;$A373))</f>
        <v>0</v>
      </c>
      <c r="F373" s="4">
        <f>IF($A373=F$341,"",COUNTIF($E$4:$E$337,$A373&amp;" ضد "&amp;F$341)+COUNTIF($E$4:$E$337,F$341&amp;" ضد "&amp;$A373))</f>
        <v>0</v>
      </c>
      <c r="G373" s="4">
        <f>IF($A373=G$341,"",COUNTIF($E$4:$E$337,$A373&amp;" ضد "&amp;G$341)+COUNTIF($E$4:$E$337,G$341&amp;" ضد "&amp;$A373))</f>
        <v>0</v>
      </c>
      <c r="H373" s="4">
        <f>IF($A373=H$341,"",COUNTIF($E$4:$E$337,$A373&amp;" ضد "&amp;H$341)+COUNTIF($E$4:$E$337,H$341&amp;" ضد "&amp;$A373))</f>
        <v>0</v>
      </c>
      <c r="I373" s="4">
        <f>IF($A373=I$341,"",COUNTIF($E$4:$E$337,$A373&amp;" ضد "&amp;I$341)+COUNTIF($E$4:$E$337,I$341&amp;" ضد "&amp;$A373))</f>
        <v>0</v>
      </c>
      <c r="J373" s="4">
        <f>IF($A373=J$341,"",COUNTIF($E$4:$E$337,$A373&amp;" ضد "&amp;J$341)+COUNTIF($E$4:$E$337,J$341&amp;" ضد "&amp;$A373))</f>
        <v>0</v>
      </c>
      <c r="K373" s="4">
        <f>IF($A373=K$341,"",COUNTIF($E$4:$E$337,$A373&amp;" ضد "&amp;K$341)+COUNTIF($E$4:$E$337,K$341&amp;" ضد "&amp;$A373))</f>
        <v>0</v>
      </c>
      <c r="L373" s="4">
        <f>IF($A373=L$341,"",COUNTIF($E$4:$E$337,$A373&amp;" ضد "&amp;L$341)+COUNTIF($E$4:$E$337,L$341&amp;" ضد "&amp;$A373))</f>
        <v>0</v>
      </c>
      <c r="M373" s="4">
        <f>IF($A373=M$341,"",COUNTIF($E$4:$E$337,$A373&amp;" ضد "&amp;M$341)+COUNTIF($E$4:$E$337,M$341&amp;" ضد "&amp;$A373))</f>
        <v>0</v>
      </c>
      <c r="N373" s="4">
        <f>IF($A373=N$341,"",COUNTIF($E$4:$E$337,$A373&amp;" ضد "&amp;N$341)+COUNTIF($E$4:$E$337,N$341&amp;" ضد "&amp;$A373))</f>
        <v>0</v>
      </c>
      <c r="O373" s="4">
        <f>IF($A373=O$341,"",COUNTIF($E$4:$E$337,$A373&amp;" ضد "&amp;O$341)+COUNTIF($E$4:$E$337,O$341&amp;" ضد "&amp;$A373))</f>
        <v>0</v>
      </c>
      <c r="P373" s="4">
        <f>IF($A373=P$341,"",COUNTIF($E$4:$E$337,$A373&amp;" ضد "&amp;P$341)+COUNTIF($E$4:$E$337,P$341&amp;" ضد "&amp;$A373))</f>
        <v>0</v>
      </c>
      <c r="Q373" s="4">
        <f>IF($A373=Q$341,"",COUNTIF($E$4:$E$337,$A373&amp;" ضد "&amp;Q$341)+COUNTIF($E$4:$E$337,Q$341&amp;" ضد "&amp;$A373))</f>
        <v>0</v>
      </c>
      <c r="R373" s="4">
        <f>IF($A373=R$341,"",COUNTIF($E$4:$E$337,$A373&amp;" ضد "&amp;R$341)+COUNTIF($E$4:$E$337,R$341&amp;" ضد "&amp;$A373))</f>
        <v>0</v>
      </c>
      <c r="S373" s="4">
        <f>IF($A373=S$341,"",COUNTIF($E$4:$E$337,$A373&amp;" ضد "&amp;S$341)+COUNTIF($E$4:$E$337,S$341&amp;" ضد "&amp;$A373))</f>
        <v>0</v>
      </c>
      <c r="T373" s="4">
        <f>IF($A373=T$341,"",COUNTIF($E$4:$E$337,$A373&amp;" ضد "&amp;T$341)+COUNTIF($E$4:$E$337,T$341&amp;" ضد "&amp;$A373))</f>
        <v>0</v>
      </c>
      <c r="U373" s="4">
        <f>IF($A373=U$341,"",COUNTIF($E$4:$E$337,$A373&amp;" ضد "&amp;U$341)+COUNTIF($E$4:$E$337,U$341&amp;" ضد "&amp;$A373))</f>
        <v>1</v>
      </c>
      <c r="V373" s="4">
        <f>IF($A373=V$341,"",COUNTIF($E$4:$E$337,$A373&amp;" ضد "&amp;V$341)+COUNTIF($E$4:$E$337,V$341&amp;" ضد "&amp;$A373))</f>
        <v>1</v>
      </c>
      <c r="W373" s="4">
        <f>IF($A373=W$341,"",COUNTIF($E$4:$E$337,$A373&amp;" ضد "&amp;W$341)+COUNTIF($E$4:$E$337,W$341&amp;" ضد "&amp;$A373))</f>
        <v>1</v>
      </c>
      <c r="X373" s="4">
        <f>IF($A373=X$341,"",COUNTIF($E$4:$E$337,$A373&amp;" ضد "&amp;X$341)+COUNTIF($E$4:$E$337,X$341&amp;" ضد "&amp;$A373))</f>
        <v>1</v>
      </c>
      <c r="Y373" s="4">
        <f>IF($A373=Y$341,"",COUNTIF($E$4:$E$337,$A373&amp;" ضد "&amp;Y$341)+COUNTIF($E$4:$E$337,Y$341&amp;" ضد "&amp;$A373))</f>
        <v>1</v>
      </c>
      <c r="Z373" s="4">
        <f>IF($A373=Z$341,"",COUNTIF($E$4:$E$337,$A373&amp;" ضد "&amp;Z$341)+COUNTIF($E$4:$E$337,Z$341&amp;" ضد "&amp;$A373))</f>
        <v>2</v>
      </c>
      <c r="AA373" s="4">
        <f>IF($A373=AA$341,"",COUNTIF($E$4:$E$337,$A373&amp;" ضد "&amp;AA$341)+COUNTIF($E$4:$E$337,AA$341&amp;" ضد "&amp;$A373))</f>
        <v>1</v>
      </c>
      <c r="AB373" s="4">
        <f>IF($A373=AB$341,"",COUNTIF($E$4:$E$337,$A373&amp;" ضد "&amp;AB$341)+COUNTIF($E$4:$E$337,AB$341&amp;" ضد "&amp;$A373))</f>
        <v>1</v>
      </c>
      <c r="AC373" s="4">
        <f>IF($A373=AC$341,"",COUNTIF($E$4:$E$337,$A373&amp;" ضد "&amp;AC$341)+COUNTIF($E$4:$E$337,AC$341&amp;" ضد "&amp;$A373))</f>
        <v>1</v>
      </c>
      <c r="AD373" s="4">
        <f>IF($A373=AD$341,"",COUNTIF($E$4:$E$337,$A373&amp;" ضد "&amp;AD$341)+COUNTIF($E$4:$E$337,AD$341&amp;" ضد "&amp;$A373))</f>
        <v>1</v>
      </c>
      <c r="AE373" s="4">
        <f>IF($A373=AE$341,"",COUNTIF($E$4:$E$337,$A373&amp;" ضد "&amp;AE$341)+COUNTIF($E$4:$E$337,AE$341&amp;" ضد "&amp;$A373))</f>
        <v>1</v>
      </c>
      <c r="AF373" s="4">
        <f>IF($A373=AF$341,"",COUNTIF($E$4:$E$337,$A373&amp;" ضد "&amp;AF$341)+COUNTIF($E$4:$E$337,AF$341&amp;" ضد "&amp;$A373))</f>
        <v>1</v>
      </c>
      <c r="AG373" s="4" t="str">
        <f>IF($A373=AG$341,"",COUNTIF($E$4:$E$337,$A373&amp;" ضد "&amp;AG$341)+COUNTIF($E$4:$E$337,AG$341&amp;" ضد "&amp;$A373))</f>
        <v/>
      </c>
      <c r="AH373" s="4">
        <f>IF($A373=AH$341,"",COUNTIF($E$4:$E$337,$A373&amp;" ضد "&amp;AH$341)+COUNTIF($E$4:$E$337,AH$341&amp;" ضد "&amp;$A373))</f>
        <v>1</v>
      </c>
      <c r="AI373" s="4">
        <f>IF($A373=AI$341,"",COUNTIF($E$4:$E$337,$A373&amp;" ضد "&amp;AI$341)+COUNTIF($E$4:$E$337,AI$341&amp;" ضد "&amp;$A373))</f>
        <v>1</v>
      </c>
      <c r="AJ373" s="4">
        <f>IF($A373=AJ$341,"",COUNTIF($E$4:$E$337,$A373&amp;" ضد "&amp;AJ$341)+COUNTIF($E$4:$E$337,AJ$341&amp;" ضد "&amp;$A373))</f>
        <v>1</v>
      </c>
      <c r="AK373" s="4">
        <f>IF($A373=AK$341,"",COUNTIF($E$4:$E$337,$A373&amp;" ضد "&amp;AK$341)+COUNTIF($E$4:$E$337,AK$341&amp;" ضد "&amp;$A373))</f>
        <v>1</v>
      </c>
      <c r="AL373" s="4">
        <f>IF($A373=AL$341,"",COUNTIF($E$4:$E$337,$A373&amp;" ضد "&amp;AL$341)+COUNTIF($E$4:$E$337,AL$341&amp;" ضد "&amp;$A373))</f>
        <v>1</v>
      </c>
    </row>
    <row r="374" spans="1:38" ht="14.5">
      <c r="A374" s="14">
        <v>33</v>
      </c>
      <c r="B374" s="4">
        <f>IF($A374=B$341,"",COUNTIF($E$4:$E$337,$A374&amp;" ضد "&amp;B$341)+COUNTIF($E$4:$E$337,B$341&amp;" ضد "&amp;$A374))</f>
        <v>0</v>
      </c>
      <c r="C374" s="4">
        <f>IF($A374=C$341,"",COUNTIF($E$4:$E$337,$A374&amp;" ضد "&amp;C$341)+COUNTIF($E$4:$E$337,C$341&amp;" ضد "&amp;$A374))</f>
        <v>0</v>
      </c>
      <c r="D374" s="4">
        <f>IF($A374=D$341,"",COUNTIF($E$4:$E$337,$A374&amp;" ضد "&amp;D$341)+COUNTIF($E$4:$E$337,D$341&amp;" ضد "&amp;$A374))</f>
        <v>0</v>
      </c>
      <c r="E374" s="4">
        <f>IF($A374=E$341,"",COUNTIF($E$4:$E$337,$A374&amp;" ضد "&amp;E$341)+COUNTIF($E$4:$E$337,E$341&amp;" ضد "&amp;$A374))</f>
        <v>0</v>
      </c>
      <c r="F374" s="4">
        <f>IF($A374=F$341,"",COUNTIF($E$4:$E$337,$A374&amp;" ضد "&amp;F$341)+COUNTIF($E$4:$E$337,F$341&amp;" ضد "&amp;$A374))</f>
        <v>0</v>
      </c>
      <c r="G374" s="4">
        <f>IF($A374=G$341,"",COUNTIF($E$4:$E$337,$A374&amp;" ضد "&amp;G$341)+COUNTIF($E$4:$E$337,G$341&amp;" ضد "&amp;$A374))</f>
        <v>0</v>
      </c>
      <c r="H374" s="4">
        <f>IF($A374=H$341,"",COUNTIF($E$4:$E$337,$A374&amp;" ضد "&amp;H$341)+COUNTIF($E$4:$E$337,H$341&amp;" ضد "&amp;$A374))</f>
        <v>0</v>
      </c>
      <c r="I374" s="4">
        <f>IF($A374=I$341,"",COUNTIF($E$4:$E$337,$A374&amp;" ضد "&amp;I$341)+COUNTIF($E$4:$E$337,I$341&amp;" ضد "&amp;$A374))</f>
        <v>0</v>
      </c>
      <c r="J374" s="4">
        <f>IF($A374=J$341,"",COUNTIF($E$4:$E$337,$A374&amp;" ضد "&amp;J$341)+COUNTIF($E$4:$E$337,J$341&amp;" ضد "&amp;$A374))</f>
        <v>0</v>
      </c>
      <c r="K374" s="4">
        <f>IF($A374=K$341,"",COUNTIF($E$4:$E$337,$A374&amp;" ضد "&amp;K$341)+COUNTIF($E$4:$E$337,K$341&amp;" ضد "&amp;$A374))</f>
        <v>0</v>
      </c>
      <c r="L374" s="4">
        <f>IF($A374=L$341,"",COUNTIF($E$4:$E$337,$A374&amp;" ضد "&amp;L$341)+COUNTIF($E$4:$E$337,L$341&amp;" ضد "&amp;$A374))</f>
        <v>0</v>
      </c>
      <c r="M374" s="4">
        <f>IF($A374=M$341,"",COUNTIF($E$4:$E$337,$A374&amp;" ضد "&amp;M$341)+COUNTIF($E$4:$E$337,M$341&amp;" ضد "&amp;$A374))</f>
        <v>0</v>
      </c>
      <c r="N374" s="4">
        <f>IF($A374=N$341,"",COUNTIF($E$4:$E$337,$A374&amp;" ضد "&amp;N$341)+COUNTIF($E$4:$E$337,N$341&amp;" ضد "&amp;$A374))</f>
        <v>0</v>
      </c>
      <c r="O374" s="4">
        <f>IF($A374=O$341,"",COUNTIF($E$4:$E$337,$A374&amp;" ضد "&amp;O$341)+COUNTIF($E$4:$E$337,O$341&amp;" ضد "&amp;$A374))</f>
        <v>0</v>
      </c>
      <c r="P374" s="4">
        <f>IF($A374=P$341,"",COUNTIF($E$4:$E$337,$A374&amp;" ضد "&amp;P$341)+COUNTIF($E$4:$E$337,P$341&amp;" ضد "&amp;$A374))</f>
        <v>0</v>
      </c>
      <c r="Q374" s="4">
        <f>IF($A374=Q$341,"",COUNTIF($E$4:$E$337,$A374&amp;" ضد "&amp;Q$341)+COUNTIF($E$4:$E$337,Q$341&amp;" ضد "&amp;$A374))</f>
        <v>0</v>
      </c>
      <c r="R374" s="4">
        <f>IF($A374=R$341,"",COUNTIF($E$4:$E$337,$A374&amp;" ضد "&amp;R$341)+COUNTIF($E$4:$E$337,R$341&amp;" ضد "&amp;$A374))</f>
        <v>0</v>
      </c>
      <c r="S374" s="4">
        <f>IF($A374=S$341,"",COUNTIF($E$4:$E$337,$A374&amp;" ضد "&amp;S$341)+COUNTIF($E$4:$E$337,S$341&amp;" ضد "&amp;$A374))</f>
        <v>0</v>
      </c>
      <c r="T374" s="4">
        <f>IF($A374=T$341,"",COUNTIF($E$4:$E$337,$A374&amp;" ضد "&amp;T$341)+COUNTIF($E$4:$E$337,T$341&amp;" ضد "&amp;$A374))</f>
        <v>0</v>
      </c>
      <c r="U374" s="4">
        <f>IF($A374=U$341,"",COUNTIF($E$4:$E$337,$A374&amp;" ضد "&amp;U$341)+COUNTIF($E$4:$E$337,U$341&amp;" ضد "&amp;$A374))</f>
        <v>1</v>
      </c>
      <c r="V374" s="4">
        <f>IF($A374=V$341,"",COUNTIF($E$4:$E$337,$A374&amp;" ضد "&amp;V$341)+COUNTIF($E$4:$E$337,V$341&amp;" ضد "&amp;$A374))</f>
        <v>1</v>
      </c>
      <c r="W374" s="4">
        <f>IF($A374=W$341,"",COUNTIF($E$4:$E$337,$A374&amp;" ضد "&amp;W$341)+COUNTIF($E$4:$E$337,W$341&amp;" ضد "&amp;$A374))</f>
        <v>1</v>
      </c>
      <c r="X374" s="4">
        <f>IF($A374=X$341,"",COUNTIF($E$4:$E$337,$A374&amp;" ضد "&amp;X$341)+COUNTIF($E$4:$E$337,X$341&amp;" ضد "&amp;$A374))</f>
        <v>1</v>
      </c>
      <c r="Y374" s="4">
        <f>IF($A374=Y$341,"",COUNTIF($E$4:$E$337,$A374&amp;" ضد "&amp;Y$341)+COUNTIF($E$4:$E$337,Y$341&amp;" ضد "&amp;$A374))</f>
        <v>2</v>
      </c>
      <c r="Z374" s="4">
        <f>IF($A374=Z$341,"",COUNTIF($E$4:$E$337,$A374&amp;" ضد "&amp;Z$341)+COUNTIF($E$4:$E$337,Z$341&amp;" ضد "&amp;$A374))</f>
        <v>1</v>
      </c>
      <c r="AA374" s="4">
        <f>IF($A374=AA$341,"",COUNTIF($E$4:$E$337,$A374&amp;" ضد "&amp;AA$341)+COUNTIF($E$4:$E$337,AA$341&amp;" ضد "&amp;$A374))</f>
        <v>1</v>
      </c>
      <c r="AB374" s="4">
        <f>IF($A374=AB$341,"",COUNTIF($E$4:$E$337,$A374&amp;" ضد "&amp;AB$341)+COUNTIF($E$4:$E$337,AB$341&amp;" ضد "&amp;$A374))</f>
        <v>1</v>
      </c>
      <c r="AC374" s="4">
        <f>IF($A374=AC$341,"",COUNTIF($E$4:$E$337,$A374&amp;" ضد "&amp;AC$341)+COUNTIF($E$4:$E$337,AC$341&amp;" ضد "&amp;$A374))</f>
        <v>1</v>
      </c>
      <c r="AD374" s="4">
        <f>IF($A374=AD$341,"",COUNTIF($E$4:$E$337,$A374&amp;" ضد "&amp;AD$341)+COUNTIF($E$4:$E$337,AD$341&amp;" ضد "&amp;$A374))</f>
        <v>1</v>
      </c>
      <c r="AE374" s="4">
        <f>IF($A374=AE$341,"",COUNTIF($E$4:$E$337,$A374&amp;" ضد "&amp;AE$341)+COUNTIF($E$4:$E$337,AE$341&amp;" ضد "&amp;$A374))</f>
        <v>1</v>
      </c>
      <c r="AF374" s="4">
        <f>IF($A374=AF$341,"",COUNTIF($E$4:$E$337,$A374&amp;" ضد "&amp;AF$341)+COUNTIF($E$4:$E$337,AF$341&amp;" ضد "&amp;$A374))</f>
        <v>1</v>
      </c>
      <c r="AG374" s="4">
        <f>IF($A374=AG$341,"",COUNTIF($E$4:$E$337,$A374&amp;" ضد "&amp;AG$341)+COUNTIF($E$4:$E$337,AG$341&amp;" ضد "&amp;$A374))</f>
        <v>1</v>
      </c>
      <c r="AH374" s="4" t="str">
        <f>IF($A374=AH$341,"",COUNTIF($E$4:$E$337,$A374&amp;" ضد "&amp;AH$341)+COUNTIF($E$4:$E$337,AH$341&amp;" ضد "&amp;$A374))</f>
        <v/>
      </c>
      <c r="AI374" s="4">
        <f>IF($A374=AI$341,"",COUNTIF($E$4:$E$337,$A374&amp;" ضد "&amp;AI$341)+COUNTIF($E$4:$E$337,AI$341&amp;" ضد "&amp;$A374))</f>
        <v>1</v>
      </c>
      <c r="AJ374" s="4">
        <f>IF($A374=AJ$341,"",COUNTIF($E$4:$E$337,$A374&amp;" ضد "&amp;AJ$341)+COUNTIF($E$4:$E$337,AJ$341&amp;" ضد "&amp;$A374))</f>
        <v>1</v>
      </c>
      <c r="AK374" s="4">
        <f>IF($A374=AK$341,"",COUNTIF($E$4:$E$337,$A374&amp;" ضد "&amp;AK$341)+COUNTIF($E$4:$E$337,AK$341&amp;" ضد "&amp;$A374))</f>
        <v>1</v>
      </c>
      <c r="AL374" s="4">
        <f>IF($A374=AL$341,"",COUNTIF($E$4:$E$337,$A374&amp;" ضد "&amp;AL$341)+COUNTIF($E$4:$E$337,AL$341&amp;" ضد "&amp;$A374))</f>
        <v>1</v>
      </c>
    </row>
    <row r="375" spans="1:38" ht="14.5">
      <c r="A375" s="14">
        <v>34</v>
      </c>
      <c r="B375" s="4">
        <f>IF($A375=B$341,"",COUNTIF($E$4:$E$337,$A375&amp;" ضد "&amp;B$341)+COUNTIF($E$4:$E$337,B$341&amp;" ضد "&amp;$A375))</f>
        <v>0</v>
      </c>
      <c r="C375" s="4">
        <f>IF($A375=C$341,"",COUNTIF($E$4:$E$337,$A375&amp;" ضد "&amp;C$341)+COUNTIF($E$4:$E$337,C$341&amp;" ضد "&amp;$A375))</f>
        <v>0</v>
      </c>
      <c r="D375" s="4">
        <f>IF($A375=D$341,"",COUNTIF($E$4:$E$337,$A375&amp;" ضد "&amp;D$341)+COUNTIF($E$4:$E$337,D$341&amp;" ضد "&amp;$A375))</f>
        <v>0</v>
      </c>
      <c r="E375" s="4">
        <f>IF($A375=E$341,"",COUNTIF($E$4:$E$337,$A375&amp;" ضد "&amp;E$341)+COUNTIF($E$4:$E$337,E$341&amp;" ضد "&amp;$A375))</f>
        <v>0</v>
      </c>
      <c r="F375" s="4">
        <f>IF($A375=F$341,"",COUNTIF($E$4:$E$337,$A375&amp;" ضد "&amp;F$341)+COUNTIF($E$4:$E$337,F$341&amp;" ضد "&amp;$A375))</f>
        <v>0</v>
      </c>
      <c r="G375" s="4">
        <f>IF($A375=G$341,"",COUNTIF($E$4:$E$337,$A375&amp;" ضد "&amp;G$341)+COUNTIF($E$4:$E$337,G$341&amp;" ضد "&amp;$A375))</f>
        <v>0</v>
      </c>
      <c r="H375" s="4">
        <f>IF($A375=H$341,"",COUNTIF($E$4:$E$337,$A375&amp;" ضد "&amp;H$341)+COUNTIF($E$4:$E$337,H$341&amp;" ضد "&amp;$A375))</f>
        <v>0</v>
      </c>
      <c r="I375" s="4">
        <f>IF($A375=I$341,"",COUNTIF($E$4:$E$337,$A375&amp;" ضد "&amp;I$341)+COUNTIF($E$4:$E$337,I$341&amp;" ضد "&amp;$A375))</f>
        <v>0</v>
      </c>
      <c r="J375" s="4">
        <f>IF($A375=J$341,"",COUNTIF($E$4:$E$337,$A375&amp;" ضد "&amp;J$341)+COUNTIF($E$4:$E$337,J$341&amp;" ضد "&amp;$A375))</f>
        <v>0</v>
      </c>
      <c r="K375" s="4">
        <f>IF($A375=K$341,"",COUNTIF($E$4:$E$337,$A375&amp;" ضد "&amp;K$341)+COUNTIF($E$4:$E$337,K$341&amp;" ضد "&amp;$A375))</f>
        <v>0</v>
      </c>
      <c r="L375" s="4">
        <f>IF($A375=L$341,"",COUNTIF($E$4:$E$337,$A375&amp;" ضد "&amp;L$341)+COUNTIF($E$4:$E$337,L$341&amp;" ضد "&amp;$A375))</f>
        <v>0</v>
      </c>
      <c r="M375" s="4">
        <f>IF($A375=M$341,"",COUNTIF($E$4:$E$337,$A375&amp;" ضد "&amp;M$341)+COUNTIF($E$4:$E$337,M$341&amp;" ضد "&amp;$A375))</f>
        <v>0</v>
      </c>
      <c r="N375" s="4">
        <f>IF($A375=N$341,"",COUNTIF($E$4:$E$337,$A375&amp;" ضد "&amp;N$341)+COUNTIF($E$4:$E$337,N$341&amp;" ضد "&amp;$A375))</f>
        <v>0</v>
      </c>
      <c r="O375" s="4">
        <f>IF($A375=O$341,"",COUNTIF($E$4:$E$337,$A375&amp;" ضد "&amp;O$341)+COUNTIF($E$4:$E$337,O$341&amp;" ضد "&amp;$A375))</f>
        <v>0</v>
      </c>
      <c r="P375" s="4">
        <f>IF($A375=P$341,"",COUNTIF($E$4:$E$337,$A375&amp;" ضد "&amp;P$341)+COUNTIF($E$4:$E$337,P$341&amp;" ضد "&amp;$A375))</f>
        <v>0</v>
      </c>
      <c r="Q375" s="4">
        <f>IF($A375=Q$341,"",COUNTIF($E$4:$E$337,$A375&amp;" ضد "&amp;Q$341)+COUNTIF($E$4:$E$337,Q$341&amp;" ضد "&amp;$A375))</f>
        <v>0</v>
      </c>
      <c r="R375" s="4">
        <f>IF($A375=R$341,"",COUNTIF($E$4:$E$337,$A375&amp;" ضد "&amp;R$341)+COUNTIF($E$4:$E$337,R$341&amp;" ضد "&amp;$A375))</f>
        <v>0</v>
      </c>
      <c r="S375" s="4">
        <f>IF($A375=S$341,"",COUNTIF($E$4:$E$337,$A375&amp;" ضد "&amp;S$341)+COUNTIF($E$4:$E$337,S$341&amp;" ضد "&amp;$A375))</f>
        <v>0</v>
      </c>
      <c r="T375" s="4">
        <f>IF($A375=T$341,"",COUNTIF($E$4:$E$337,$A375&amp;" ضد "&amp;T$341)+COUNTIF($E$4:$E$337,T$341&amp;" ضد "&amp;$A375))</f>
        <v>0</v>
      </c>
      <c r="U375" s="4">
        <f>IF($A375=U$341,"",COUNTIF($E$4:$E$337,$A375&amp;" ضد "&amp;U$341)+COUNTIF($E$4:$E$337,U$341&amp;" ضد "&amp;$A375))</f>
        <v>1</v>
      </c>
      <c r="V375" s="4">
        <f>IF($A375=V$341,"",COUNTIF($E$4:$E$337,$A375&amp;" ضد "&amp;V$341)+COUNTIF($E$4:$E$337,V$341&amp;" ضد "&amp;$A375))</f>
        <v>1</v>
      </c>
      <c r="W375" s="4">
        <f>IF($A375=W$341,"",COUNTIF($E$4:$E$337,$A375&amp;" ضد "&amp;W$341)+COUNTIF($E$4:$E$337,W$341&amp;" ضد "&amp;$A375))</f>
        <v>1</v>
      </c>
      <c r="X375" s="4">
        <f>IF($A375=X$341,"",COUNTIF($E$4:$E$337,$A375&amp;" ضد "&amp;X$341)+COUNTIF($E$4:$E$337,X$341&amp;" ضد "&amp;$A375))</f>
        <v>2</v>
      </c>
      <c r="Y375" s="4">
        <f>IF($A375=Y$341,"",COUNTIF($E$4:$E$337,$A375&amp;" ضد "&amp;Y$341)+COUNTIF($E$4:$E$337,Y$341&amp;" ضد "&amp;$A375))</f>
        <v>1</v>
      </c>
      <c r="Z375" s="4">
        <f>IF($A375=Z$341,"",COUNTIF($E$4:$E$337,$A375&amp;" ضد "&amp;Z$341)+COUNTIF($E$4:$E$337,Z$341&amp;" ضد "&amp;$A375))</f>
        <v>1</v>
      </c>
      <c r="AA375" s="4">
        <f>IF($A375=AA$341,"",COUNTIF($E$4:$E$337,$A375&amp;" ضد "&amp;AA$341)+COUNTIF($E$4:$E$337,AA$341&amp;" ضد "&amp;$A375))</f>
        <v>1</v>
      </c>
      <c r="AB375" s="4">
        <f>IF($A375=AB$341,"",COUNTIF($E$4:$E$337,$A375&amp;" ضد "&amp;AB$341)+COUNTIF($E$4:$E$337,AB$341&amp;" ضد "&amp;$A375))</f>
        <v>1</v>
      </c>
      <c r="AC375" s="4">
        <f>IF($A375=AC$341,"",COUNTIF($E$4:$E$337,$A375&amp;" ضد "&amp;AC$341)+COUNTIF($E$4:$E$337,AC$341&amp;" ضد "&amp;$A375))</f>
        <v>1</v>
      </c>
      <c r="AD375" s="4">
        <f>IF($A375=AD$341,"",COUNTIF($E$4:$E$337,$A375&amp;" ضد "&amp;AD$341)+COUNTIF($E$4:$E$337,AD$341&amp;" ضد "&amp;$A375))</f>
        <v>1</v>
      </c>
      <c r="AE375" s="4">
        <f>IF($A375=AE$341,"",COUNTIF($E$4:$E$337,$A375&amp;" ضد "&amp;AE$341)+COUNTIF($E$4:$E$337,AE$341&amp;" ضد "&amp;$A375))</f>
        <v>1</v>
      </c>
      <c r="AF375" s="4">
        <f>IF($A375=AF$341,"",COUNTIF($E$4:$E$337,$A375&amp;" ضد "&amp;AF$341)+COUNTIF($E$4:$E$337,AF$341&amp;" ضد "&amp;$A375))</f>
        <v>1</v>
      </c>
      <c r="AG375" s="4">
        <f>IF($A375=AG$341,"",COUNTIF($E$4:$E$337,$A375&amp;" ضد "&amp;AG$341)+COUNTIF($E$4:$E$337,AG$341&amp;" ضد "&amp;$A375))</f>
        <v>1</v>
      </c>
      <c r="AH375" s="4">
        <f>IF($A375=AH$341,"",COUNTIF($E$4:$E$337,$A375&amp;" ضد "&amp;AH$341)+COUNTIF($E$4:$E$337,AH$341&amp;" ضد "&amp;$A375))</f>
        <v>1</v>
      </c>
      <c r="AI375" s="4" t="str">
        <f>IF($A375=AI$341,"",COUNTIF($E$4:$E$337,$A375&amp;" ضد "&amp;AI$341)+COUNTIF($E$4:$E$337,AI$341&amp;" ضد "&amp;$A375))</f>
        <v/>
      </c>
      <c r="AJ375" s="4">
        <f>IF($A375=AJ$341,"",COUNTIF($E$4:$E$337,$A375&amp;" ضد "&amp;AJ$341)+COUNTIF($E$4:$E$337,AJ$341&amp;" ضد "&amp;$A375))</f>
        <v>1</v>
      </c>
      <c r="AK375" s="4">
        <f>IF($A375=AK$341,"",COUNTIF($E$4:$E$337,$A375&amp;" ضد "&amp;AK$341)+COUNTIF($E$4:$E$337,AK$341&amp;" ضد "&amp;$A375))</f>
        <v>1</v>
      </c>
      <c r="AL375" s="4">
        <f>IF($A375=AL$341,"",COUNTIF($E$4:$E$337,$A375&amp;" ضد "&amp;AL$341)+COUNTIF($E$4:$E$337,AL$341&amp;" ضد "&amp;$A375))</f>
        <v>1</v>
      </c>
    </row>
    <row r="376" spans="1:38" ht="14.5">
      <c r="A376" s="14">
        <v>35</v>
      </c>
      <c r="B376" s="4">
        <f>IF($A376=B$341,"",COUNTIF($E$4:$E$337,$A376&amp;" ضد "&amp;B$341)+COUNTIF($E$4:$E$337,B$341&amp;" ضد "&amp;$A376))</f>
        <v>0</v>
      </c>
      <c r="C376" s="4">
        <f>IF($A376=C$341,"",COUNTIF($E$4:$E$337,$A376&amp;" ضد "&amp;C$341)+COUNTIF($E$4:$E$337,C$341&amp;" ضد "&amp;$A376))</f>
        <v>0</v>
      </c>
      <c r="D376" s="4">
        <f>IF($A376=D$341,"",COUNTIF($E$4:$E$337,$A376&amp;" ضد "&amp;D$341)+COUNTIF($E$4:$E$337,D$341&amp;" ضد "&amp;$A376))</f>
        <v>0</v>
      </c>
      <c r="E376" s="4">
        <f>IF($A376=E$341,"",COUNTIF($E$4:$E$337,$A376&amp;" ضد "&amp;E$341)+COUNTIF($E$4:$E$337,E$341&amp;" ضد "&amp;$A376))</f>
        <v>0</v>
      </c>
      <c r="F376" s="4">
        <f>IF($A376=F$341,"",COUNTIF($E$4:$E$337,$A376&amp;" ضد "&amp;F$341)+COUNTIF($E$4:$E$337,F$341&amp;" ضد "&amp;$A376))</f>
        <v>0</v>
      </c>
      <c r="G376" s="4">
        <f>IF($A376=G$341,"",COUNTIF($E$4:$E$337,$A376&amp;" ضد "&amp;G$341)+COUNTIF($E$4:$E$337,G$341&amp;" ضد "&amp;$A376))</f>
        <v>0</v>
      </c>
      <c r="H376" s="4">
        <f>IF($A376=H$341,"",COUNTIF($E$4:$E$337,$A376&amp;" ضد "&amp;H$341)+COUNTIF($E$4:$E$337,H$341&amp;" ضد "&amp;$A376))</f>
        <v>0</v>
      </c>
      <c r="I376" s="4">
        <f>IF($A376=I$341,"",COUNTIF($E$4:$E$337,$A376&amp;" ضد "&amp;I$341)+COUNTIF($E$4:$E$337,I$341&amp;" ضد "&amp;$A376))</f>
        <v>0</v>
      </c>
      <c r="J376" s="4">
        <f>IF($A376=J$341,"",COUNTIF($E$4:$E$337,$A376&amp;" ضد "&amp;J$341)+COUNTIF($E$4:$E$337,J$341&amp;" ضد "&amp;$A376))</f>
        <v>0</v>
      </c>
      <c r="K376" s="4">
        <f>IF($A376=K$341,"",COUNTIF($E$4:$E$337,$A376&amp;" ضد "&amp;K$341)+COUNTIF($E$4:$E$337,K$341&amp;" ضد "&amp;$A376))</f>
        <v>0</v>
      </c>
      <c r="L376" s="4">
        <f>IF($A376=L$341,"",COUNTIF($E$4:$E$337,$A376&amp;" ضد "&amp;L$341)+COUNTIF($E$4:$E$337,L$341&amp;" ضد "&amp;$A376))</f>
        <v>0</v>
      </c>
      <c r="M376" s="4">
        <f>IF($A376=M$341,"",COUNTIF($E$4:$E$337,$A376&amp;" ضد "&amp;M$341)+COUNTIF($E$4:$E$337,M$341&amp;" ضد "&amp;$A376))</f>
        <v>0</v>
      </c>
      <c r="N376" s="4">
        <f>IF($A376=N$341,"",COUNTIF($E$4:$E$337,$A376&amp;" ضد "&amp;N$341)+COUNTIF($E$4:$E$337,N$341&amp;" ضد "&amp;$A376))</f>
        <v>0</v>
      </c>
      <c r="O376" s="4">
        <f>IF($A376=O$341,"",COUNTIF($E$4:$E$337,$A376&amp;" ضد "&amp;O$341)+COUNTIF($E$4:$E$337,O$341&amp;" ضد "&amp;$A376))</f>
        <v>0</v>
      </c>
      <c r="P376" s="4">
        <f>IF($A376=P$341,"",COUNTIF($E$4:$E$337,$A376&amp;" ضد "&amp;P$341)+COUNTIF($E$4:$E$337,P$341&amp;" ضد "&amp;$A376))</f>
        <v>0</v>
      </c>
      <c r="Q376" s="4">
        <f>IF($A376=Q$341,"",COUNTIF($E$4:$E$337,$A376&amp;" ضد "&amp;Q$341)+COUNTIF($E$4:$E$337,Q$341&amp;" ضد "&amp;$A376))</f>
        <v>0</v>
      </c>
      <c r="R376" s="4">
        <f>IF($A376=R$341,"",COUNTIF($E$4:$E$337,$A376&amp;" ضد "&amp;R$341)+COUNTIF($E$4:$E$337,R$341&amp;" ضد "&amp;$A376))</f>
        <v>0</v>
      </c>
      <c r="S376" s="4">
        <f>IF($A376=S$341,"",COUNTIF($E$4:$E$337,$A376&amp;" ضد "&amp;S$341)+COUNTIF($E$4:$E$337,S$341&amp;" ضد "&amp;$A376))</f>
        <v>0</v>
      </c>
      <c r="T376" s="4">
        <f>IF($A376=T$341,"",COUNTIF($E$4:$E$337,$A376&amp;" ضد "&amp;T$341)+COUNTIF($E$4:$E$337,T$341&amp;" ضد "&amp;$A376))</f>
        <v>0</v>
      </c>
      <c r="U376" s="4">
        <f>IF($A376=U$341,"",COUNTIF($E$4:$E$337,$A376&amp;" ضد "&amp;U$341)+COUNTIF($E$4:$E$337,U$341&amp;" ضد "&amp;$A376))</f>
        <v>1</v>
      </c>
      <c r="V376" s="4">
        <f>IF($A376=V$341,"",COUNTIF($E$4:$E$337,$A376&amp;" ضد "&amp;V$341)+COUNTIF($E$4:$E$337,V$341&amp;" ضد "&amp;$A376))</f>
        <v>1</v>
      </c>
      <c r="W376" s="4">
        <f>IF($A376=W$341,"",COUNTIF($E$4:$E$337,$A376&amp;" ضد "&amp;W$341)+COUNTIF($E$4:$E$337,W$341&amp;" ضد "&amp;$A376))</f>
        <v>2</v>
      </c>
      <c r="X376" s="4">
        <f>IF($A376=X$341,"",COUNTIF($E$4:$E$337,$A376&amp;" ضد "&amp;X$341)+COUNTIF($E$4:$E$337,X$341&amp;" ضد "&amp;$A376))</f>
        <v>1</v>
      </c>
      <c r="Y376" s="4">
        <f>IF($A376=Y$341,"",COUNTIF($E$4:$E$337,$A376&amp;" ضد "&amp;Y$341)+COUNTIF($E$4:$E$337,Y$341&amp;" ضد "&amp;$A376))</f>
        <v>1</v>
      </c>
      <c r="Z376" s="4">
        <f>IF($A376=Z$341,"",COUNTIF($E$4:$E$337,$A376&amp;" ضد "&amp;Z$341)+COUNTIF($E$4:$E$337,Z$341&amp;" ضد "&amp;$A376))</f>
        <v>1</v>
      </c>
      <c r="AA376" s="4">
        <f>IF($A376=AA$341,"",COUNTIF($E$4:$E$337,$A376&amp;" ضد "&amp;AA$341)+COUNTIF($E$4:$E$337,AA$341&amp;" ضد "&amp;$A376))</f>
        <v>1</v>
      </c>
      <c r="AB376" s="4">
        <f>IF($A376=AB$341,"",COUNTIF($E$4:$E$337,$A376&amp;" ضد "&amp;AB$341)+COUNTIF($E$4:$E$337,AB$341&amp;" ضد "&amp;$A376))</f>
        <v>1</v>
      </c>
      <c r="AC376" s="4">
        <f>IF($A376=AC$341,"",COUNTIF($E$4:$E$337,$A376&amp;" ضد "&amp;AC$341)+COUNTIF($E$4:$E$337,AC$341&amp;" ضد "&amp;$A376))</f>
        <v>1</v>
      </c>
      <c r="AD376" s="4">
        <f>IF($A376=AD$341,"",COUNTIF($E$4:$E$337,$A376&amp;" ضد "&amp;AD$341)+COUNTIF($E$4:$E$337,AD$341&amp;" ضد "&amp;$A376))</f>
        <v>1</v>
      </c>
      <c r="AE376" s="4">
        <f>IF($A376=AE$341,"",COUNTIF($E$4:$E$337,$A376&amp;" ضد "&amp;AE$341)+COUNTIF($E$4:$E$337,AE$341&amp;" ضد "&amp;$A376))</f>
        <v>1</v>
      </c>
      <c r="AF376" s="4">
        <f>IF($A376=AF$341,"",COUNTIF($E$4:$E$337,$A376&amp;" ضد "&amp;AF$341)+COUNTIF($E$4:$E$337,AF$341&amp;" ضد "&amp;$A376))</f>
        <v>1</v>
      </c>
      <c r="AG376" s="4">
        <f>IF($A376=AG$341,"",COUNTIF($E$4:$E$337,$A376&amp;" ضد "&amp;AG$341)+COUNTIF($E$4:$E$337,AG$341&amp;" ضد "&amp;$A376))</f>
        <v>1</v>
      </c>
      <c r="AH376" s="4">
        <f>IF($A376=AH$341,"",COUNTIF($E$4:$E$337,$A376&amp;" ضد "&amp;AH$341)+COUNTIF($E$4:$E$337,AH$341&amp;" ضد "&amp;$A376))</f>
        <v>1</v>
      </c>
      <c r="AI376" s="4">
        <f>IF($A376=AI$341,"",COUNTIF($E$4:$E$337,$A376&amp;" ضد "&amp;AI$341)+COUNTIF($E$4:$E$337,AI$341&amp;" ضد "&amp;$A376))</f>
        <v>1</v>
      </c>
      <c r="AJ376" s="4" t="str">
        <f>IF($A376=AJ$341,"",COUNTIF($E$4:$E$337,$A376&amp;" ضد "&amp;AJ$341)+COUNTIF($E$4:$E$337,AJ$341&amp;" ضد "&amp;$A376))</f>
        <v/>
      </c>
      <c r="AK376" s="4">
        <f>IF($A376=AK$341,"",COUNTIF($E$4:$E$337,$A376&amp;" ضد "&amp;AK$341)+COUNTIF($E$4:$E$337,AK$341&amp;" ضد "&amp;$A376))</f>
        <v>1</v>
      </c>
      <c r="AL376" s="4">
        <f>IF($A376=AL$341,"",COUNTIF($E$4:$E$337,$A376&amp;" ضد "&amp;AL$341)+COUNTIF($E$4:$E$337,AL$341&amp;" ضد "&amp;$A376))</f>
        <v>1</v>
      </c>
    </row>
    <row r="377" spans="1:38" ht="14.5">
      <c r="A377" s="14">
        <v>36</v>
      </c>
      <c r="B377" s="4">
        <f>IF($A377=B$341,"",COUNTIF($E$4:$E$337,$A377&amp;" ضد "&amp;B$341)+COUNTIF($E$4:$E$337,B$341&amp;" ضد "&amp;$A377))</f>
        <v>0</v>
      </c>
      <c r="C377" s="4">
        <f>IF($A377=C$341,"",COUNTIF($E$4:$E$337,$A377&amp;" ضد "&amp;C$341)+COUNTIF($E$4:$E$337,C$341&amp;" ضد "&amp;$A377))</f>
        <v>0</v>
      </c>
      <c r="D377" s="4">
        <f>IF($A377=D$341,"",COUNTIF($E$4:$E$337,$A377&amp;" ضد "&amp;D$341)+COUNTIF($E$4:$E$337,D$341&amp;" ضد "&amp;$A377))</f>
        <v>0</v>
      </c>
      <c r="E377" s="4">
        <f>IF($A377=E$341,"",COUNTIF($E$4:$E$337,$A377&amp;" ضد "&amp;E$341)+COUNTIF($E$4:$E$337,E$341&amp;" ضد "&amp;$A377))</f>
        <v>0</v>
      </c>
      <c r="F377" s="4">
        <f>IF($A377=F$341,"",COUNTIF($E$4:$E$337,$A377&amp;" ضد "&amp;F$341)+COUNTIF($E$4:$E$337,F$341&amp;" ضد "&amp;$A377))</f>
        <v>0</v>
      </c>
      <c r="G377" s="4">
        <f>IF($A377=G$341,"",COUNTIF($E$4:$E$337,$A377&amp;" ضد "&amp;G$341)+COUNTIF($E$4:$E$337,G$341&amp;" ضد "&amp;$A377))</f>
        <v>0</v>
      </c>
      <c r="H377" s="4">
        <f>IF($A377=H$341,"",COUNTIF($E$4:$E$337,$A377&amp;" ضد "&amp;H$341)+COUNTIF($E$4:$E$337,H$341&amp;" ضد "&amp;$A377))</f>
        <v>0</v>
      </c>
      <c r="I377" s="4">
        <f>IF($A377=I$341,"",COUNTIF($E$4:$E$337,$A377&amp;" ضد "&amp;I$341)+COUNTIF($E$4:$E$337,I$341&amp;" ضد "&amp;$A377))</f>
        <v>0</v>
      </c>
      <c r="J377" s="4">
        <f>IF($A377=J$341,"",COUNTIF($E$4:$E$337,$A377&amp;" ضد "&amp;J$341)+COUNTIF($E$4:$E$337,J$341&amp;" ضد "&amp;$A377))</f>
        <v>0</v>
      </c>
      <c r="K377" s="4">
        <f>IF($A377=K$341,"",COUNTIF($E$4:$E$337,$A377&amp;" ضد "&amp;K$341)+COUNTIF($E$4:$E$337,K$341&amp;" ضد "&amp;$A377))</f>
        <v>0</v>
      </c>
      <c r="L377" s="4">
        <f>IF($A377=L$341,"",COUNTIF($E$4:$E$337,$A377&amp;" ضد "&amp;L$341)+COUNTIF($E$4:$E$337,L$341&amp;" ضد "&amp;$A377))</f>
        <v>0</v>
      </c>
      <c r="M377" s="4">
        <f>IF($A377=M$341,"",COUNTIF($E$4:$E$337,$A377&amp;" ضد "&amp;M$341)+COUNTIF($E$4:$E$337,M$341&amp;" ضد "&amp;$A377))</f>
        <v>0</v>
      </c>
      <c r="N377" s="4">
        <f>IF($A377=N$341,"",COUNTIF($E$4:$E$337,$A377&amp;" ضد "&amp;N$341)+COUNTIF($E$4:$E$337,N$341&amp;" ضد "&amp;$A377))</f>
        <v>0</v>
      </c>
      <c r="O377" s="4">
        <f>IF($A377=O$341,"",COUNTIF($E$4:$E$337,$A377&amp;" ضد "&amp;O$341)+COUNTIF($E$4:$E$337,O$341&amp;" ضد "&amp;$A377))</f>
        <v>0</v>
      </c>
      <c r="P377" s="4">
        <f>IF($A377=P$341,"",COUNTIF($E$4:$E$337,$A377&amp;" ضد "&amp;P$341)+COUNTIF($E$4:$E$337,P$341&amp;" ضد "&amp;$A377))</f>
        <v>0</v>
      </c>
      <c r="Q377" s="4">
        <f>IF($A377=Q$341,"",COUNTIF($E$4:$E$337,$A377&amp;" ضد "&amp;Q$341)+COUNTIF($E$4:$E$337,Q$341&amp;" ضد "&amp;$A377))</f>
        <v>0</v>
      </c>
      <c r="R377" s="4">
        <f>IF($A377=R$341,"",COUNTIF($E$4:$E$337,$A377&amp;" ضد "&amp;R$341)+COUNTIF($E$4:$E$337,R$341&amp;" ضد "&amp;$A377))</f>
        <v>0</v>
      </c>
      <c r="S377" s="4">
        <f>IF($A377=S$341,"",COUNTIF($E$4:$E$337,$A377&amp;" ضد "&amp;S$341)+COUNTIF($E$4:$E$337,S$341&amp;" ضد "&amp;$A377))</f>
        <v>0</v>
      </c>
      <c r="T377" s="4">
        <f>IF($A377=T$341,"",COUNTIF($E$4:$E$337,$A377&amp;" ضد "&amp;T$341)+COUNTIF($E$4:$E$337,T$341&amp;" ضد "&amp;$A377))</f>
        <v>0</v>
      </c>
      <c r="U377" s="4">
        <f>IF($A377=U$341,"",COUNTIF($E$4:$E$337,$A377&amp;" ضد "&amp;U$341)+COUNTIF($E$4:$E$337,U$341&amp;" ضد "&amp;$A377))</f>
        <v>1</v>
      </c>
      <c r="V377" s="4">
        <f>IF($A377=V$341,"",COUNTIF($E$4:$E$337,$A377&amp;" ضد "&amp;V$341)+COUNTIF($E$4:$E$337,V$341&amp;" ضد "&amp;$A377))</f>
        <v>2</v>
      </c>
      <c r="W377" s="4">
        <f>IF($A377=W$341,"",COUNTIF($E$4:$E$337,$A377&amp;" ضد "&amp;W$341)+COUNTIF($E$4:$E$337,W$341&amp;" ضد "&amp;$A377))</f>
        <v>1</v>
      </c>
      <c r="X377" s="4">
        <f>IF($A377=X$341,"",COUNTIF($E$4:$E$337,$A377&amp;" ضد "&amp;X$341)+COUNTIF($E$4:$E$337,X$341&amp;" ضد "&amp;$A377))</f>
        <v>1</v>
      </c>
      <c r="Y377" s="4">
        <f>IF($A377=Y$341,"",COUNTIF($E$4:$E$337,$A377&amp;" ضد "&amp;Y$341)+COUNTIF($E$4:$E$337,Y$341&amp;" ضد "&amp;$A377))</f>
        <v>1</v>
      </c>
      <c r="Z377" s="4">
        <f>IF($A377=Z$341,"",COUNTIF($E$4:$E$337,$A377&amp;" ضد "&amp;Z$341)+COUNTIF($E$4:$E$337,Z$341&amp;" ضد "&amp;$A377))</f>
        <v>1</v>
      </c>
      <c r="AA377" s="4">
        <f>IF($A377=AA$341,"",COUNTIF($E$4:$E$337,$A377&amp;" ضد "&amp;AA$341)+COUNTIF($E$4:$E$337,AA$341&amp;" ضد "&amp;$A377))</f>
        <v>1</v>
      </c>
      <c r="AB377" s="4">
        <f>IF($A377=AB$341,"",COUNTIF($E$4:$E$337,$A377&amp;" ضد "&amp;AB$341)+COUNTIF($E$4:$E$337,AB$341&amp;" ضد "&amp;$A377))</f>
        <v>1</v>
      </c>
      <c r="AC377" s="4">
        <f>IF($A377=AC$341,"",COUNTIF($E$4:$E$337,$A377&amp;" ضد "&amp;AC$341)+COUNTIF($E$4:$E$337,AC$341&amp;" ضد "&amp;$A377))</f>
        <v>1</v>
      </c>
      <c r="AD377" s="4">
        <f>IF($A377=AD$341,"",COUNTIF($E$4:$E$337,$A377&amp;" ضد "&amp;AD$341)+COUNTIF($E$4:$E$337,AD$341&amp;" ضد "&amp;$A377))</f>
        <v>1</v>
      </c>
      <c r="AE377" s="4">
        <f>IF($A377=AE$341,"",COUNTIF($E$4:$E$337,$A377&amp;" ضد "&amp;AE$341)+COUNTIF($E$4:$E$337,AE$341&amp;" ضد "&amp;$A377))</f>
        <v>1</v>
      </c>
      <c r="AF377" s="4">
        <f>IF($A377=AF$341,"",COUNTIF($E$4:$E$337,$A377&amp;" ضد "&amp;AF$341)+COUNTIF($E$4:$E$337,AF$341&amp;" ضد "&amp;$A377))</f>
        <v>1</v>
      </c>
      <c r="AG377" s="4">
        <f>IF($A377=AG$341,"",COUNTIF($E$4:$E$337,$A377&amp;" ضد "&amp;AG$341)+COUNTIF($E$4:$E$337,AG$341&amp;" ضد "&amp;$A377))</f>
        <v>1</v>
      </c>
      <c r="AH377" s="4">
        <f>IF($A377=AH$341,"",COUNTIF($E$4:$E$337,$A377&amp;" ضد "&amp;AH$341)+COUNTIF($E$4:$E$337,AH$341&amp;" ضد "&amp;$A377))</f>
        <v>1</v>
      </c>
      <c r="AI377" s="4">
        <f>IF($A377=AI$341,"",COUNTIF($E$4:$E$337,$A377&amp;" ضد "&amp;AI$341)+COUNTIF($E$4:$E$337,AI$341&amp;" ضد "&amp;$A377))</f>
        <v>1</v>
      </c>
      <c r="AJ377" s="4">
        <f>IF($A377=AJ$341,"",COUNTIF($E$4:$E$337,$A377&amp;" ضد "&amp;AJ$341)+COUNTIF($E$4:$E$337,AJ$341&amp;" ضد "&amp;$A377))</f>
        <v>1</v>
      </c>
      <c r="AK377" s="4" t="str">
        <f>IF($A377=AK$341,"",COUNTIF($E$4:$E$337,$A377&amp;" ضد "&amp;AK$341)+COUNTIF($E$4:$E$337,AK$341&amp;" ضد "&amp;$A377))</f>
        <v/>
      </c>
      <c r="AL377" s="4">
        <f>IF($A377=AL$341,"",COUNTIF($E$4:$E$337,$A377&amp;" ضد "&amp;AL$341)+COUNTIF($E$4:$E$337,AL$341&amp;" ضد "&amp;$A377))</f>
        <v>1</v>
      </c>
    </row>
    <row r="378" spans="1:38" ht="14.5">
      <c r="A378" s="14">
        <v>37</v>
      </c>
      <c r="B378" s="4">
        <f>IF($A378=B$341,"",COUNTIF($E$4:$E$337,$A378&amp;" ضد "&amp;B$341)+COUNTIF($E$4:$E$337,B$341&amp;" ضد "&amp;$A378))</f>
        <v>0</v>
      </c>
      <c r="C378" s="4">
        <f>IF($A378=C$341,"",COUNTIF($E$4:$E$337,$A378&amp;" ضد "&amp;C$341)+COUNTIF($E$4:$E$337,C$341&amp;" ضد "&amp;$A378))</f>
        <v>0</v>
      </c>
      <c r="D378" s="4">
        <f>IF($A378=D$341,"",COUNTIF($E$4:$E$337,$A378&amp;" ضد "&amp;D$341)+COUNTIF($E$4:$E$337,D$341&amp;" ضد "&amp;$A378))</f>
        <v>0</v>
      </c>
      <c r="E378" s="4">
        <f>IF($A378=E$341,"",COUNTIF($E$4:$E$337,$A378&amp;" ضد "&amp;E$341)+COUNTIF($E$4:$E$337,E$341&amp;" ضد "&amp;$A378))</f>
        <v>0</v>
      </c>
      <c r="F378" s="4">
        <f>IF($A378=F$341,"",COUNTIF($E$4:$E$337,$A378&amp;" ضد "&amp;F$341)+COUNTIF($E$4:$E$337,F$341&amp;" ضد "&amp;$A378))</f>
        <v>0</v>
      </c>
      <c r="G378" s="4">
        <f>IF($A378=G$341,"",COUNTIF($E$4:$E$337,$A378&amp;" ضد "&amp;G$341)+COUNTIF($E$4:$E$337,G$341&amp;" ضد "&amp;$A378))</f>
        <v>0</v>
      </c>
      <c r="H378" s="4">
        <f>IF($A378=H$341,"",COUNTIF($E$4:$E$337,$A378&amp;" ضد "&amp;H$341)+COUNTIF($E$4:$E$337,H$341&amp;" ضد "&amp;$A378))</f>
        <v>0</v>
      </c>
      <c r="I378" s="4">
        <f>IF($A378=I$341,"",COUNTIF($E$4:$E$337,$A378&amp;" ضد "&amp;I$341)+COUNTIF($E$4:$E$337,I$341&amp;" ضد "&amp;$A378))</f>
        <v>0</v>
      </c>
      <c r="J378" s="4">
        <f>IF($A378=J$341,"",COUNTIF($E$4:$E$337,$A378&amp;" ضد "&amp;J$341)+COUNTIF($E$4:$E$337,J$341&amp;" ضد "&amp;$A378))</f>
        <v>0</v>
      </c>
      <c r="K378" s="4">
        <f>IF($A378=K$341,"",COUNTIF($E$4:$E$337,$A378&amp;" ضد "&amp;K$341)+COUNTIF($E$4:$E$337,K$341&amp;" ضد "&amp;$A378))</f>
        <v>0</v>
      </c>
      <c r="L378" s="4">
        <f>IF($A378=L$341,"",COUNTIF($E$4:$E$337,$A378&amp;" ضد "&amp;L$341)+COUNTIF($E$4:$E$337,L$341&amp;" ضد "&amp;$A378))</f>
        <v>0</v>
      </c>
      <c r="M378" s="4">
        <f>IF($A378=M$341,"",COUNTIF($E$4:$E$337,$A378&amp;" ضد "&amp;M$341)+COUNTIF($E$4:$E$337,M$341&amp;" ضد "&amp;$A378))</f>
        <v>0</v>
      </c>
      <c r="N378" s="4">
        <f>IF($A378=N$341,"",COUNTIF($E$4:$E$337,$A378&amp;" ضد "&amp;N$341)+COUNTIF($E$4:$E$337,N$341&amp;" ضد "&amp;$A378))</f>
        <v>0</v>
      </c>
      <c r="O378" s="4">
        <f>IF($A378=O$341,"",COUNTIF($E$4:$E$337,$A378&amp;" ضد "&amp;O$341)+COUNTIF($E$4:$E$337,O$341&amp;" ضد "&amp;$A378))</f>
        <v>0</v>
      </c>
      <c r="P378" s="4">
        <f>IF($A378=P$341,"",COUNTIF($E$4:$E$337,$A378&amp;" ضد "&amp;P$341)+COUNTIF($E$4:$E$337,P$341&amp;" ضد "&amp;$A378))</f>
        <v>0</v>
      </c>
      <c r="Q378" s="4">
        <f>IF($A378=Q$341,"",COUNTIF($E$4:$E$337,$A378&amp;" ضد "&amp;Q$341)+COUNTIF($E$4:$E$337,Q$341&amp;" ضد "&amp;$A378))</f>
        <v>0</v>
      </c>
      <c r="R378" s="4">
        <f>IF($A378=R$341,"",COUNTIF($E$4:$E$337,$A378&amp;" ضد "&amp;R$341)+COUNTIF($E$4:$E$337,R$341&amp;" ضد "&amp;$A378))</f>
        <v>0</v>
      </c>
      <c r="S378" s="4">
        <f>IF($A378=S$341,"",COUNTIF($E$4:$E$337,$A378&amp;" ضد "&amp;S$341)+COUNTIF($E$4:$E$337,S$341&amp;" ضد "&amp;$A378))</f>
        <v>0</v>
      </c>
      <c r="T378" s="4">
        <f>IF($A378=T$341,"",COUNTIF($E$4:$E$337,$A378&amp;" ضد "&amp;T$341)+COUNTIF($E$4:$E$337,T$341&amp;" ضد "&amp;$A378))</f>
        <v>0</v>
      </c>
      <c r="U378" s="4">
        <f>IF($A378=U$341,"",COUNTIF($E$4:$E$337,$A378&amp;" ضد "&amp;U$341)+COUNTIF($E$4:$E$337,U$341&amp;" ضد "&amp;$A378))</f>
        <v>2</v>
      </c>
      <c r="V378" s="4">
        <f>IF($A378=V$341,"",COUNTIF($E$4:$E$337,$A378&amp;" ضد "&amp;V$341)+COUNTIF($E$4:$E$337,V$341&amp;" ضد "&amp;$A378))</f>
        <v>1</v>
      </c>
      <c r="W378" s="4">
        <f>IF($A378=W$341,"",COUNTIF($E$4:$E$337,$A378&amp;" ضد "&amp;W$341)+COUNTIF($E$4:$E$337,W$341&amp;" ضد "&amp;$A378))</f>
        <v>1</v>
      </c>
      <c r="X378" s="4">
        <f>IF($A378=X$341,"",COUNTIF($E$4:$E$337,$A378&amp;" ضد "&amp;X$341)+COUNTIF($E$4:$E$337,X$341&amp;" ضد "&amp;$A378))</f>
        <v>1</v>
      </c>
      <c r="Y378" s="4">
        <f>IF($A378=Y$341,"",COUNTIF($E$4:$E$337,$A378&amp;" ضد "&amp;Y$341)+COUNTIF($E$4:$E$337,Y$341&amp;" ضد "&amp;$A378))</f>
        <v>1</v>
      </c>
      <c r="Z378" s="4">
        <f>IF($A378=Z$341,"",COUNTIF($E$4:$E$337,$A378&amp;" ضد "&amp;Z$341)+COUNTIF($E$4:$E$337,Z$341&amp;" ضد "&amp;$A378))</f>
        <v>1</v>
      </c>
      <c r="AA378" s="4">
        <f>IF($A378=AA$341,"",COUNTIF($E$4:$E$337,$A378&amp;" ضد "&amp;AA$341)+COUNTIF($E$4:$E$337,AA$341&amp;" ضد "&amp;$A378))</f>
        <v>1</v>
      </c>
      <c r="AB378" s="4">
        <f>IF($A378=AB$341,"",COUNTIF($E$4:$E$337,$A378&amp;" ضد "&amp;AB$341)+COUNTIF($E$4:$E$337,AB$341&amp;" ضد "&amp;$A378))</f>
        <v>1</v>
      </c>
      <c r="AC378" s="4">
        <f>IF($A378=AC$341,"",COUNTIF($E$4:$E$337,$A378&amp;" ضد "&amp;AC$341)+COUNTIF($E$4:$E$337,AC$341&amp;" ضد "&amp;$A378))</f>
        <v>1</v>
      </c>
      <c r="AD378" s="4">
        <f>IF($A378=AD$341,"",COUNTIF($E$4:$E$337,$A378&amp;" ضد "&amp;AD$341)+COUNTIF($E$4:$E$337,AD$341&amp;" ضد "&amp;$A378))</f>
        <v>1</v>
      </c>
      <c r="AE378" s="4">
        <f>IF($A378=AE$341,"",COUNTIF($E$4:$E$337,$A378&amp;" ضد "&amp;AE$341)+COUNTIF($E$4:$E$337,AE$341&amp;" ضد "&amp;$A378))</f>
        <v>1</v>
      </c>
      <c r="AF378" s="4">
        <f>IF($A378=AF$341,"",COUNTIF($E$4:$E$337,$A378&amp;" ضد "&amp;AF$341)+COUNTIF($E$4:$E$337,AF$341&amp;" ضد "&amp;$A378))</f>
        <v>1</v>
      </c>
      <c r="AG378" s="4">
        <f>IF($A378=AG$341,"",COUNTIF($E$4:$E$337,$A378&amp;" ضد "&amp;AG$341)+COUNTIF($E$4:$E$337,AG$341&amp;" ضد "&amp;$A378))</f>
        <v>1</v>
      </c>
      <c r="AH378" s="4">
        <f>IF($A378=AH$341,"",COUNTIF($E$4:$E$337,$A378&amp;" ضد "&amp;AH$341)+COUNTIF($E$4:$E$337,AH$341&amp;" ضد "&amp;$A378))</f>
        <v>1</v>
      </c>
      <c r="AI378" s="4">
        <f>IF($A378=AI$341,"",COUNTIF($E$4:$E$337,$A378&amp;" ضد "&amp;AI$341)+COUNTIF($E$4:$E$337,AI$341&amp;" ضد "&amp;$A378))</f>
        <v>1</v>
      </c>
      <c r="AJ378" s="4">
        <f>IF($A378=AJ$341,"",COUNTIF($E$4:$E$337,$A378&amp;" ضد "&amp;AJ$341)+COUNTIF($E$4:$E$337,AJ$341&amp;" ضد "&amp;$A378))</f>
        <v>1</v>
      </c>
      <c r="AK378" s="4">
        <f>IF($A378=AK$341,"",COUNTIF($E$4:$E$337,$A378&amp;" ضد "&amp;AK$341)+COUNTIF($E$4:$E$337,AK$341&amp;" ضد "&amp;$A378))</f>
        <v>1</v>
      </c>
      <c r="AL378" s="4" t="str">
        <f>IF($A378=AL$341,"",COUNTIF($E$4:$E$337,$A378&amp;" ضد "&amp;AL$341)+COUNTIF($E$4:$E$337,AL$341&amp;" ضد "&amp;$A378))</f>
        <v/>
      </c>
    </row>
    <row r="379" spans="1:38" ht="14.5">
      <c r="A379" s="14" t="s">
        <v>1033</v>
      </c>
      <c r="B379" s="4" cm="1">
        <f t="array" ref="B379">MIN(IF(B342:AL378&gt;0,B342:AL378))</f>
        <v>1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t="14.5">
      <c r="A380" s="14" t="s">
        <v>830</v>
      </c>
      <c r="B380" s="4">
        <f>MAX(B342:AL378)</f>
        <v>2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</sheetData>
  <mergeCells count="2">
    <mergeCell ref="A1:E1"/>
    <mergeCell ref="A340:AL34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C3E5-1E8B-447C-BCB5-8C7D695CC2D6}">
  <dimension ref="A1:AU47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1001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34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23</v>
      </c>
      <c r="F5" s="2"/>
    </row>
    <row r="6" spans="1:6" ht="14" customHeight="1">
      <c r="A6" s="8">
        <v>1</v>
      </c>
      <c r="B6" s="7" t="str">
        <f>المدخلات!$F$5</f>
        <v>5:20–6:30 م</v>
      </c>
      <c r="C6" s="7">
        <v>1</v>
      </c>
      <c r="D6" s="7" t="s">
        <v>593</v>
      </c>
      <c r="E6" s="7" t="s">
        <v>50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2</v>
      </c>
      <c r="D7" s="7" t="s">
        <v>593</v>
      </c>
      <c r="E7" s="7" t="s">
        <v>35</v>
      </c>
      <c r="F7" s="2"/>
    </row>
    <row r="8" spans="1:6" ht="14" customHeight="1">
      <c r="A8" s="8">
        <v>1</v>
      </c>
      <c r="B8" s="7" t="str">
        <f>المدخلات!$F$6</f>
        <v>6:40–7:50 م</v>
      </c>
      <c r="C8" s="7">
        <v>1</v>
      </c>
      <c r="D8" s="7" t="s">
        <v>593</v>
      </c>
      <c r="E8" s="7" t="s">
        <v>62</v>
      </c>
      <c r="F8" s="2"/>
    </row>
    <row r="9" spans="1:6" ht="14" customHeight="1">
      <c r="A9" s="8">
        <v>1</v>
      </c>
      <c r="B9" s="7" t="str">
        <f>المدخلات!$F$6</f>
        <v>6:40–7:50 م</v>
      </c>
      <c r="C9" s="7">
        <v>2</v>
      </c>
      <c r="D9" s="7" t="s">
        <v>593</v>
      </c>
      <c r="E9" s="7" t="s">
        <v>55</v>
      </c>
      <c r="F9" s="2"/>
    </row>
    <row r="10" spans="1:6" ht="14" customHeight="1">
      <c r="A10" s="8">
        <v>1</v>
      </c>
      <c r="B10" s="7" t="str">
        <f>المدخلات!$F$4</f>
        <v>4:00–5:10 م</v>
      </c>
      <c r="C10" s="7">
        <v>3</v>
      </c>
      <c r="D10" s="7" t="s">
        <v>594</v>
      </c>
      <c r="E10" s="7" t="s">
        <v>197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177</v>
      </c>
      <c r="F11" s="2"/>
    </row>
    <row r="12" spans="1:6" ht="14" customHeight="1">
      <c r="A12" s="8">
        <v>1</v>
      </c>
      <c r="B12" s="7" t="str">
        <f>المدخلات!$F$5</f>
        <v>5:20–6:30 م</v>
      </c>
      <c r="C12" s="7">
        <v>3</v>
      </c>
      <c r="D12" s="7" t="s">
        <v>594</v>
      </c>
      <c r="E12" s="7" t="s">
        <v>226</v>
      </c>
      <c r="F12" s="2"/>
    </row>
    <row r="13" spans="1:6" ht="14" customHeight="1">
      <c r="A13" s="8">
        <v>1</v>
      </c>
      <c r="B13" s="7" t="str">
        <f>المدخلات!$F$5</f>
        <v>5:20–6:30 م</v>
      </c>
      <c r="C13" s="7">
        <v>4</v>
      </c>
      <c r="D13" s="7" t="s">
        <v>594</v>
      </c>
      <c r="E13" s="7" t="s">
        <v>212</v>
      </c>
      <c r="F13" s="2"/>
    </row>
    <row r="14" spans="1:6" ht="14" customHeight="1">
      <c r="A14" s="8">
        <v>1</v>
      </c>
      <c r="B14" s="7" t="str">
        <f>المدخلات!$F$6</f>
        <v>6:40–7:50 م</v>
      </c>
      <c r="C14" s="7">
        <v>3</v>
      </c>
      <c r="D14" s="7" t="s">
        <v>594</v>
      </c>
      <c r="E14" s="7" t="s">
        <v>918</v>
      </c>
      <c r="F14" s="2"/>
    </row>
    <row r="15" spans="1:6" ht="14" customHeight="1">
      <c r="A15" s="8">
        <v>1</v>
      </c>
      <c r="B15" s="7" t="str">
        <f>المدخلات!$F$6</f>
        <v>6:40–7:50 م</v>
      </c>
      <c r="C15" s="7">
        <v>4</v>
      </c>
      <c r="D15" s="7" t="s">
        <v>594</v>
      </c>
      <c r="E15" s="7" t="s">
        <v>834</v>
      </c>
      <c r="F15" s="2"/>
    </row>
    <row r="16" spans="1:6" ht="14" customHeight="1">
      <c r="A16" s="8">
        <v>1</v>
      </c>
      <c r="B16" s="7" t="str">
        <f>المدخلات!$F$4</f>
        <v>4:00–5:10 م</v>
      </c>
      <c r="C16" s="7">
        <v>5</v>
      </c>
      <c r="D16" s="7" t="s">
        <v>595</v>
      </c>
      <c r="E16" s="7" t="s">
        <v>292</v>
      </c>
      <c r="F16" s="2"/>
    </row>
    <row r="17" spans="1:6" ht="14" customHeight="1">
      <c r="A17" s="8">
        <v>1</v>
      </c>
      <c r="B17" s="7" t="str">
        <f>المدخلات!$F$4</f>
        <v>4:00–5:10 م</v>
      </c>
      <c r="C17" s="7">
        <v>6</v>
      </c>
      <c r="D17" s="7" t="s">
        <v>595</v>
      </c>
      <c r="E17" s="7" t="s">
        <v>283</v>
      </c>
      <c r="F17" s="2"/>
    </row>
    <row r="18" spans="1:6" ht="14" customHeight="1">
      <c r="A18" s="8">
        <v>1</v>
      </c>
      <c r="B18" s="7" t="str">
        <f>المدخلات!$F$5</f>
        <v>5:20–6:30 م</v>
      </c>
      <c r="C18" s="7">
        <v>5</v>
      </c>
      <c r="D18" s="7" t="s">
        <v>595</v>
      </c>
      <c r="E18" s="7" t="s">
        <v>330</v>
      </c>
      <c r="F18" s="2"/>
    </row>
    <row r="19" spans="1:6" ht="14" customHeight="1">
      <c r="A19" s="8">
        <v>1</v>
      </c>
      <c r="B19" s="7" t="str">
        <f>المدخلات!$F$5</f>
        <v>5:20–6:30 م</v>
      </c>
      <c r="C19" s="7">
        <v>6</v>
      </c>
      <c r="D19" s="7" t="s">
        <v>595</v>
      </c>
      <c r="E19" s="7" t="s">
        <v>303</v>
      </c>
      <c r="F19" s="2"/>
    </row>
    <row r="20" spans="1:6" ht="14" customHeight="1">
      <c r="A20" s="8">
        <v>1</v>
      </c>
      <c r="B20" s="7" t="str">
        <f>المدخلات!$F$6</f>
        <v>6:40–7:50 م</v>
      </c>
      <c r="C20" s="7">
        <v>5</v>
      </c>
      <c r="D20" s="7" t="s">
        <v>595</v>
      </c>
      <c r="E20" s="7" t="s">
        <v>371</v>
      </c>
      <c r="F20" s="2"/>
    </row>
    <row r="21" spans="1:6" ht="14" customHeight="1">
      <c r="A21" s="8">
        <v>1</v>
      </c>
      <c r="B21" s="7" t="str">
        <f>المدخلات!$F$6</f>
        <v>6:40–7:50 م</v>
      </c>
      <c r="C21" s="7">
        <v>6</v>
      </c>
      <c r="D21" s="7" t="s">
        <v>595</v>
      </c>
      <c r="E21" s="7" t="s">
        <v>372</v>
      </c>
      <c r="F21" s="2"/>
    </row>
    <row r="22" spans="1:6" ht="14" customHeight="1">
      <c r="A22" s="8">
        <v>1</v>
      </c>
      <c r="B22" s="7" t="str">
        <f>المدخلات!$F$4</f>
        <v>4:00–5:10 م</v>
      </c>
      <c r="C22" s="7">
        <v>7</v>
      </c>
      <c r="D22" s="7" t="s">
        <v>596</v>
      </c>
      <c r="E22" s="7" t="s">
        <v>430</v>
      </c>
      <c r="F22" s="2"/>
    </row>
    <row r="23" spans="1:6" ht="14" customHeight="1">
      <c r="A23" s="8">
        <v>1</v>
      </c>
      <c r="B23" s="7" t="str">
        <f>المدخلات!$F$4</f>
        <v>4:00–5:10 م</v>
      </c>
      <c r="C23" s="7">
        <v>8</v>
      </c>
      <c r="D23" s="7" t="s">
        <v>596</v>
      </c>
      <c r="E23" s="7" t="s">
        <v>420</v>
      </c>
      <c r="F23" s="2"/>
    </row>
    <row r="24" spans="1:6" ht="14" customHeight="1">
      <c r="A24" s="8">
        <v>1</v>
      </c>
      <c r="B24" s="7" t="str">
        <f>المدخلات!$F$5</f>
        <v>5:20–6:30 م</v>
      </c>
      <c r="C24" s="7">
        <v>7</v>
      </c>
      <c r="D24" s="7" t="s">
        <v>596</v>
      </c>
      <c r="E24" s="7" t="s">
        <v>477</v>
      </c>
      <c r="F24" s="2"/>
    </row>
    <row r="25" spans="1:6" ht="14" customHeight="1">
      <c r="A25" s="8">
        <v>1</v>
      </c>
      <c r="B25" s="7" t="str">
        <f>المدخلات!$F$5</f>
        <v>5:20–6:30 م</v>
      </c>
      <c r="C25" s="7">
        <v>8</v>
      </c>
      <c r="D25" s="7" t="s">
        <v>596</v>
      </c>
      <c r="E25" s="7" t="s">
        <v>410</v>
      </c>
      <c r="F25" s="2"/>
    </row>
    <row r="26" spans="1:6" ht="14" customHeight="1">
      <c r="A26" s="8">
        <v>1</v>
      </c>
      <c r="B26" s="7" t="str">
        <f>المدخلات!$F$6</f>
        <v>6:40–7:50 م</v>
      </c>
      <c r="C26" s="7">
        <v>7</v>
      </c>
      <c r="D26" s="7" t="s">
        <v>596</v>
      </c>
      <c r="E26" s="7" t="s">
        <v>428</v>
      </c>
      <c r="F26" s="2"/>
    </row>
    <row r="27" spans="1:6" ht="14" customHeight="1">
      <c r="A27" s="8">
        <v>2</v>
      </c>
      <c r="B27" s="7" t="str">
        <f>المدخلات!$F$4</f>
        <v>4:00–5:10 م</v>
      </c>
      <c r="C27" s="7">
        <v>1</v>
      </c>
      <c r="D27" s="7" t="s">
        <v>593</v>
      </c>
      <c r="E27" s="7" t="s">
        <v>64</v>
      </c>
      <c r="F27" s="2"/>
    </row>
    <row r="28" spans="1:6" ht="14" customHeight="1">
      <c r="A28" s="8">
        <v>2</v>
      </c>
      <c r="B28" s="7" t="str">
        <f>المدخلات!$F$4</f>
        <v>4:00–5:10 م</v>
      </c>
      <c r="C28" s="7">
        <v>2</v>
      </c>
      <c r="D28" s="7" t="s">
        <v>593</v>
      </c>
      <c r="E28" s="7" t="s">
        <v>1052</v>
      </c>
      <c r="F28" s="2"/>
    </row>
    <row r="29" spans="1:6" ht="14" customHeight="1">
      <c r="A29" s="8">
        <v>2</v>
      </c>
      <c r="B29" s="7" t="str">
        <f>المدخلات!$F$5</f>
        <v>5:20–6:30 م</v>
      </c>
      <c r="C29" s="7">
        <v>1</v>
      </c>
      <c r="D29" s="7" t="s">
        <v>593</v>
      </c>
      <c r="E29" s="7" t="s">
        <v>866</v>
      </c>
      <c r="F29" s="2"/>
    </row>
    <row r="30" spans="1:6" ht="14" customHeight="1">
      <c r="A30" s="8">
        <v>2</v>
      </c>
      <c r="B30" s="7" t="str">
        <f>المدخلات!$F$5</f>
        <v>5:20–6:30 م</v>
      </c>
      <c r="C30" s="7">
        <v>2</v>
      </c>
      <c r="D30" s="7" t="s">
        <v>593</v>
      </c>
      <c r="E30" s="7" t="s">
        <v>16</v>
      </c>
      <c r="F30" s="2"/>
    </row>
    <row r="31" spans="1:6" ht="14" customHeight="1">
      <c r="A31" s="8">
        <v>2</v>
      </c>
      <c r="B31" s="7" t="str">
        <f>المدخلات!$F$6</f>
        <v>6:40–7:50 م</v>
      </c>
      <c r="C31" s="7">
        <v>1</v>
      </c>
      <c r="D31" s="7" t="s">
        <v>593</v>
      </c>
      <c r="E31" s="7" t="s">
        <v>1048</v>
      </c>
      <c r="F31" s="2"/>
    </row>
    <row r="32" spans="1:6" ht="14" customHeight="1">
      <c r="A32" s="8">
        <v>2</v>
      </c>
      <c r="B32" s="7" t="str">
        <f>المدخلات!$F$6</f>
        <v>6:40–7:50 م</v>
      </c>
      <c r="C32" s="7">
        <v>2</v>
      </c>
      <c r="D32" s="7" t="s">
        <v>593</v>
      </c>
      <c r="E32" s="7" t="s">
        <v>1044</v>
      </c>
      <c r="F32" s="2"/>
    </row>
    <row r="33" spans="1:6" ht="14" customHeight="1">
      <c r="A33" s="8">
        <v>2</v>
      </c>
      <c r="B33" s="7" t="str">
        <f>المدخلات!$F$4</f>
        <v>4:00–5:10 م</v>
      </c>
      <c r="C33" s="7">
        <v>3</v>
      </c>
      <c r="D33" s="7" t="s">
        <v>594</v>
      </c>
      <c r="E33" s="7" t="s">
        <v>232</v>
      </c>
      <c r="F33" s="2"/>
    </row>
    <row r="34" spans="1:6" ht="14" customHeight="1">
      <c r="A34" s="8">
        <v>2</v>
      </c>
      <c r="B34" s="7" t="str">
        <f>المدخلات!$F$4</f>
        <v>4:00–5:10 م</v>
      </c>
      <c r="C34" s="7">
        <v>4</v>
      </c>
      <c r="D34" s="7" t="s">
        <v>594</v>
      </c>
      <c r="E34" s="7" t="s">
        <v>855</v>
      </c>
      <c r="F34" s="2"/>
    </row>
    <row r="35" spans="1:6" ht="14" customHeight="1">
      <c r="A35" s="8">
        <v>2</v>
      </c>
      <c r="B35" s="7" t="str">
        <f>المدخلات!$F$5</f>
        <v>5:20–6:30 م</v>
      </c>
      <c r="C35" s="7">
        <v>3</v>
      </c>
      <c r="D35" s="7" t="s">
        <v>594</v>
      </c>
      <c r="E35" s="7" t="s">
        <v>849</v>
      </c>
      <c r="F35" s="2"/>
    </row>
    <row r="36" spans="1:6" ht="14" customHeight="1">
      <c r="A36" s="8">
        <v>2</v>
      </c>
      <c r="B36" s="7" t="str">
        <f>المدخلات!$F$5</f>
        <v>5:20–6:30 م</v>
      </c>
      <c r="C36" s="7">
        <v>4</v>
      </c>
      <c r="D36" s="7" t="s">
        <v>594</v>
      </c>
      <c r="E36" s="7" t="s">
        <v>161</v>
      </c>
      <c r="F36" s="2"/>
    </row>
    <row r="37" spans="1:6" ht="14" customHeight="1">
      <c r="A37" s="8">
        <v>2</v>
      </c>
      <c r="B37" s="7" t="str">
        <f>المدخلات!$F$6</f>
        <v>6:40–7:50 م</v>
      </c>
      <c r="C37" s="7">
        <v>3</v>
      </c>
      <c r="D37" s="7" t="s">
        <v>594</v>
      </c>
      <c r="E37" s="7" t="s">
        <v>1146</v>
      </c>
      <c r="F37" s="2"/>
    </row>
    <row r="38" spans="1:6" ht="14" customHeight="1">
      <c r="A38" s="8">
        <v>2</v>
      </c>
      <c r="B38" s="7" t="str">
        <f>المدخلات!$F$6</f>
        <v>6:40–7:50 م</v>
      </c>
      <c r="C38" s="7">
        <v>4</v>
      </c>
      <c r="D38" s="7" t="s">
        <v>594</v>
      </c>
      <c r="E38" s="7" t="s">
        <v>1145</v>
      </c>
      <c r="F38" s="2"/>
    </row>
    <row r="39" spans="1:6" ht="14" customHeight="1">
      <c r="A39" s="8">
        <v>2</v>
      </c>
      <c r="B39" s="7" t="str">
        <f>المدخلات!$F$4</f>
        <v>4:00–5:10 م</v>
      </c>
      <c r="C39" s="7">
        <v>5</v>
      </c>
      <c r="D39" s="7" t="s">
        <v>595</v>
      </c>
      <c r="E39" s="7" t="s">
        <v>342</v>
      </c>
      <c r="F39" s="2"/>
    </row>
    <row r="40" spans="1:6" ht="14" customHeight="1">
      <c r="A40" s="8">
        <v>2</v>
      </c>
      <c r="B40" s="7" t="str">
        <f>المدخلات!$F$4</f>
        <v>4:00–5:10 م</v>
      </c>
      <c r="C40" s="7">
        <v>6</v>
      </c>
      <c r="D40" s="7" t="s">
        <v>595</v>
      </c>
      <c r="E40" s="7" t="s">
        <v>1203</v>
      </c>
      <c r="F40" s="2"/>
    </row>
    <row r="41" spans="1:6" ht="14" customHeight="1">
      <c r="A41" s="8">
        <v>2</v>
      </c>
      <c r="B41" s="7" t="str">
        <f>المدخلات!$F$5</f>
        <v>5:20–6:30 م</v>
      </c>
      <c r="C41" s="7">
        <v>5</v>
      </c>
      <c r="D41" s="7" t="s">
        <v>595</v>
      </c>
      <c r="E41" s="7" t="s">
        <v>906</v>
      </c>
      <c r="F41" s="2"/>
    </row>
    <row r="42" spans="1:6" ht="14" customHeight="1">
      <c r="A42" s="8">
        <v>2</v>
      </c>
      <c r="B42" s="7" t="str">
        <f>المدخلات!$F$5</f>
        <v>5:20–6:30 م</v>
      </c>
      <c r="C42" s="7">
        <v>6</v>
      </c>
      <c r="D42" s="7" t="s">
        <v>595</v>
      </c>
      <c r="E42" s="7" t="s">
        <v>273</v>
      </c>
      <c r="F42" s="2"/>
    </row>
    <row r="43" spans="1:6" ht="14" customHeight="1">
      <c r="A43" s="8">
        <v>2</v>
      </c>
      <c r="B43" s="7" t="str">
        <f>المدخلات!$F$6</f>
        <v>6:40–7:50 م</v>
      </c>
      <c r="C43" s="7">
        <v>5</v>
      </c>
      <c r="D43" s="7" t="s">
        <v>595</v>
      </c>
      <c r="E43" s="7" t="s">
        <v>1204</v>
      </c>
      <c r="F43" s="2"/>
    </row>
    <row r="44" spans="1:6" ht="14" customHeight="1">
      <c r="A44" s="8">
        <v>2</v>
      </c>
      <c r="B44" s="7" t="str">
        <f>المدخلات!$F$6</f>
        <v>6:40–7:50 م</v>
      </c>
      <c r="C44" s="7">
        <v>6</v>
      </c>
      <c r="D44" s="7" t="s">
        <v>595</v>
      </c>
      <c r="E44" s="7" t="s">
        <v>1205</v>
      </c>
      <c r="F44" s="2"/>
    </row>
    <row r="45" spans="1:6" ht="14" customHeight="1">
      <c r="A45" s="8">
        <v>2</v>
      </c>
      <c r="B45" s="7" t="str">
        <f>المدخلات!$F$4</f>
        <v>4:00–5:10 م</v>
      </c>
      <c r="C45" s="7">
        <v>7</v>
      </c>
      <c r="D45" s="7" t="s">
        <v>596</v>
      </c>
      <c r="E45" s="7" t="s">
        <v>438</v>
      </c>
      <c r="F45" s="2"/>
    </row>
    <row r="46" spans="1:6" ht="14" customHeight="1">
      <c r="A46" s="8">
        <v>2</v>
      </c>
      <c r="B46" s="7" t="str">
        <f>المدخلات!$F$4</f>
        <v>4:00–5:10 م</v>
      </c>
      <c r="C46" s="7">
        <v>8</v>
      </c>
      <c r="D46" s="7" t="s">
        <v>596</v>
      </c>
      <c r="E46" s="7" t="s">
        <v>405</v>
      </c>
      <c r="F46" s="2"/>
    </row>
    <row r="47" spans="1:6" ht="14" customHeight="1">
      <c r="A47" s="8">
        <v>2</v>
      </c>
      <c r="B47" s="7" t="str">
        <f>المدخلات!$F$5</f>
        <v>5:20–6:30 م</v>
      </c>
      <c r="C47" s="7">
        <v>7</v>
      </c>
      <c r="D47" s="7" t="s">
        <v>596</v>
      </c>
      <c r="E47" s="7" t="s">
        <v>800</v>
      </c>
      <c r="F47" s="2"/>
    </row>
    <row r="48" spans="1:6" ht="14" customHeight="1">
      <c r="A48" s="8">
        <v>2</v>
      </c>
      <c r="B48" s="7" t="str">
        <f>المدخلات!$F$5</f>
        <v>5:20–6:30 م</v>
      </c>
      <c r="C48" s="7">
        <v>8</v>
      </c>
      <c r="D48" s="7" t="s">
        <v>596</v>
      </c>
      <c r="E48" s="7" t="s">
        <v>1206</v>
      </c>
      <c r="F48" s="2"/>
    </row>
    <row r="49" spans="1:6" ht="14" customHeight="1">
      <c r="A49" s="8">
        <v>2</v>
      </c>
      <c r="B49" s="7" t="str">
        <f>المدخلات!$F$6</f>
        <v>6:40–7:50 م</v>
      </c>
      <c r="C49" s="7">
        <v>7</v>
      </c>
      <c r="D49" s="7" t="s">
        <v>596</v>
      </c>
      <c r="E49" s="7" t="s">
        <v>1207</v>
      </c>
      <c r="F49" s="2"/>
    </row>
    <row r="50" spans="1:6" ht="14" customHeight="1">
      <c r="A50" s="8">
        <v>3</v>
      </c>
      <c r="B50" s="7" t="str">
        <f>المدخلات!$F$4</f>
        <v>4:00–5:10 م</v>
      </c>
      <c r="C50" s="7">
        <v>1</v>
      </c>
      <c r="D50" s="7" t="s">
        <v>593</v>
      </c>
      <c r="E50" s="7" t="s">
        <v>12</v>
      </c>
      <c r="F50" s="2"/>
    </row>
    <row r="51" spans="1:6" ht="14" customHeight="1">
      <c r="A51" s="8">
        <v>3</v>
      </c>
      <c r="B51" s="7" t="str">
        <f>المدخلات!$F$4</f>
        <v>4:00–5:10 م</v>
      </c>
      <c r="C51" s="7">
        <v>2</v>
      </c>
      <c r="D51" s="7" t="s">
        <v>593</v>
      </c>
      <c r="E51" s="7" t="s">
        <v>10</v>
      </c>
      <c r="F51" s="2"/>
    </row>
    <row r="52" spans="1:6" ht="14" customHeight="1">
      <c r="A52" s="8">
        <v>3</v>
      </c>
      <c r="B52" s="7" t="str">
        <f>المدخلات!$F$5</f>
        <v>5:20–6:30 م</v>
      </c>
      <c r="C52" s="7">
        <v>1</v>
      </c>
      <c r="D52" s="7" t="s">
        <v>593</v>
      </c>
      <c r="E52" s="7" t="s">
        <v>722</v>
      </c>
      <c r="F52" s="2"/>
    </row>
    <row r="53" spans="1:6" ht="14" customHeight="1">
      <c r="A53" s="8">
        <v>3</v>
      </c>
      <c r="B53" s="7" t="str">
        <f>المدخلات!$F$5</f>
        <v>5:20–6:30 م</v>
      </c>
      <c r="C53" s="7">
        <v>2</v>
      </c>
      <c r="D53" s="7" t="s">
        <v>593</v>
      </c>
      <c r="E53" s="7" t="s">
        <v>22</v>
      </c>
      <c r="F53" s="2"/>
    </row>
    <row r="54" spans="1:6" ht="14" customHeight="1">
      <c r="A54" s="8">
        <v>3</v>
      </c>
      <c r="B54" s="7" t="str">
        <f>المدخلات!$F$6</f>
        <v>6:40–7:50 م</v>
      </c>
      <c r="C54" s="7">
        <v>1</v>
      </c>
      <c r="D54" s="7" t="s">
        <v>593</v>
      </c>
      <c r="E54" s="7" t="s">
        <v>43</v>
      </c>
      <c r="F54" s="2"/>
    </row>
    <row r="55" spans="1:6" ht="14" customHeight="1">
      <c r="A55" s="8">
        <v>3</v>
      </c>
      <c r="B55" s="7" t="str">
        <f>المدخلات!$F$6</f>
        <v>6:40–7:50 م</v>
      </c>
      <c r="C55" s="7">
        <v>2</v>
      </c>
      <c r="D55" s="7" t="s">
        <v>593</v>
      </c>
      <c r="E55" s="7" t="s">
        <v>52</v>
      </c>
      <c r="F55" s="2"/>
    </row>
    <row r="56" spans="1:6" ht="14" customHeight="1">
      <c r="A56" s="8">
        <v>3</v>
      </c>
      <c r="B56" s="7" t="str">
        <f>المدخلات!$F$4</f>
        <v>4:00–5:10 م</v>
      </c>
      <c r="C56" s="7">
        <v>3</v>
      </c>
      <c r="D56" s="7" t="s">
        <v>594</v>
      </c>
      <c r="E56" s="7" t="s">
        <v>162</v>
      </c>
      <c r="F56" s="2"/>
    </row>
    <row r="57" spans="1:6" ht="14" customHeight="1">
      <c r="A57" s="8">
        <v>3</v>
      </c>
      <c r="B57" s="7" t="str">
        <f>المدخلات!$F$4</f>
        <v>4:00–5:10 م</v>
      </c>
      <c r="C57" s="7">
        <v>4</v>
      </c>
      <c r="D57" s="7" t="s">
        <v>594</v>
      </c>
      <c r="E57" s="7" t="s">
        <v>151</v>
      </c>
      <c r="F57" s="2"/>
    </row>
    <row r="58" spans="1:6" ht="14" customHeight="1">
      <c r="A58" s="8">
        <v>3</v>
      </c>
      <c r="B58" s="7" t="str">
        <f>المدخلات!$F$5</f>
        <v>5:20–6:30 م</v>
      </c>
      <c r="C58" s="7">
        <v>3</v>
      </c>
      <c r="D58" s="7" t="s">
        <v>594</v>
      </c>
      <c r="E58" s="7" t="s">
        <v>612</v>
      </c>
      <c r="F58" s="2"/>
    </row>
    <row r="59" spans="1:6" ht="14" customHeight="1">
      <c r="A59" s="8">
        <v>3</v>
      </c>
      <c r="B59" s="7" t="str">
        <f>المدخلات!$F$5</f>
        <v>5:20–6:30 م</v>
      </c>
      <c r="C59" s="7">
        <v>4</v>
      </c>
      <c r="D59" s="7" t="s">
        <v>594</v>
      </c>
      <c r="E59" s="7" t="s">
        <v>179</v>
      </c>
      <c r="F59" s="2"/>
    </row>
    <row r="60" spans="1:6" ht="14" customHeight="1">
      <c r="A60" s="8">
        <v>3</v>
      </c>
      <c r="B60" s="7" t="str">
        <f>المدخلات!$F$6</f>
        <v>6:40–7:50 م</v>
      </c>
      <c r="C60" s="7">
        <v>3</v>
      </c>
      <c r="D60" s="7" t="s">
        <v>594</v>
      </c>
      <c r="E60" s="7" t="s">
        <v>217</v>
      </c>
      <c r="F60" s="2"/>
    </row>
    <row r="61" spans="1:6" ht="14" customHeight="1">
      <c r="A61" s="8">
        <v>3</v>
      </c>
      <c r="B61" s="7" t="str">
        <f>المدخلات!$F$6</f>
        <v>6:40–7:50 م</v>
      </c>
      <c r="C61" s="7">
        <v>4</v>
      </c>
      <c r="D61" s="7" t="s">
        <v>594</v>
      </c>
      <c r="E61" s="7" t="s">
        <v>229</v>
      </c>
      <c r="F61" s="2"/>
    </row>
    <row r="62" spans="1:6" ht="14" customHeight="1">
      <c r="A62" s="8">
        <v>3</v>
      </c>
      <c r="B62" s="7" t="str">
        <f>المدخلات!$F$4</f>
        <v>4:00–5:10 م</v>
      </c>
      <c r="C62" s="7">
        <v>5</v>
      </c>
      <c r="D62" s="7" t="s">
        <v>595</v>
      </c>
      <c r="E62" s="7" t="s">
        <v>274</v>
      </c>
      <c r="F62" s="2"/>
    </row>
    <row r="63" spans="1:6" ht="14" customHeight="1">
      <c r="A63" s="8">
        <v>3</v>
      </c>
      <c r="B63" s="7" t="str">
        <f>المدخلات!$F$4</f>
        <v>4:00–5:10 م</v>
      </c>
      <c r="C63" s="7">
        <v>6</v>
      </c>
      <c r="D63" s="7" t="s">
        <v>595</v>
      </c>
      <c r="E63" s="7" t="s">
        <v>267</v>
      </c>
      <c r="F63" s="2"/>
    </row>
    <row r="64" spans="1:6" ht="14" customHeight="1">
      <c r="A64" s="8">
        <v>3</v>
      </c>
      <c r="B64" s="7" t="str">
        <f>المدخلات!$F$5</f>
        <v>5:20–6:30 م</v>
      </c>
      <c r="C64" s="7">
        <v>5</v>
      </c>
      <c r="D64" s="7" t="s">
        <v>595</v>
      </c>
      <c r="E64" s="7" t="s">
        <v>890</v>
      </c>
      <c r="F64" s="2"/>
    </row>
    <row r="65" spans="1:6" ht="14" customHeight="1">
      <c r="A65" s="8">
        <v>3</v>
      </c>
      <c r="B65" s="7" t="str">
        <f>المدخلات!$F$5</f>
        <v>5:20–6:30 م</v>
      </c>
      <c r="C65" s="7">
        <v>6</v>
      </c>
      <c r="D65" s="7" t="s">
        <v>595</v>
      </c>
      <c r="E65" s="7" t="s">
        <v>285</v>
      </c>
      <c r="F65" s="2"/>
    </row>
    <row r="66" spans="1:6" ht="14" customHeight="1">
      <c r="A66" s="8">
        <v>3</v>
      </c>
      <c r="B66" s="7" t="str">
        <f>المدخلات!$F$6</f>
        <v>6:40–7:50 م</v>
      </c>
      <c r="C66" s="7">
        <v>5</v>
      </c>
      <c r="D66" s="7" t="s">
        <v>595</v>
      </c>
      <c r="E66" s="7" t="s">
        <v>331</v>
      </c>
      <c r="F66" s="2"/>
    </row>
    <row r="67" spans="1:6" ht="14" customHeight="1">
      <c r="A67" s="8">
        <v>3</v>
      </c>
      <c r="B67" s="7" t="str">
        <f>المدخلات!$F$6</f>
        <v>6:40–7:50 م</v>
      </c>
      <c r="C67" s="7">
        <v>6</v>
      </c>
      <c r="D67" s="7" t="s">
        <v>595</v>
      </c>
      <c r="E67" s="7" t="s">
        <v>337</v>
      </c>
      <c r="F67" s="2"/>
    </row>
    <row r="68" spans="1:6" ht="14" customHeight="1">
      <c r="A68" s="8">
        <v>3</v>
      </c>
      <c r="B68" s="7" t="str">
        <f>المدخلات!$F$4</f>
        <v>4:00–5:10 م</v>
      </c>
      <c r="C68" s="7">
        <v>7</v>
      </c>
      <c r="D68" s="7" t="s">
        <v>596</v>
      </c>
      <c r="E68" s="7" t="s">
        <v>429</v>
      </c>
      <c r="F68" s="2"/>
    </row>
    <row r="69" spans="1:6" ht="14" customHeight="1">
      <c r="A69" s="8">
        <v>3</v>
      </c>
      <c r="B69" s="7" t="str">
        <f>المدخلات!$F$4</f>
        <v>4:00–5:10 م</v>
      </c>
      <c r="C69" s="7">
        <v>8</v>
      </c>
      <c r="D69" s="7" t="s">
        <v>596</v>
      </c>
      <c r="E69" s="7" t="s">
        <v>406</v>
      </c>
      <c r="F69" s="2"/>
    </row>
    <row r="70" spans="1:6" ht="14" customHeight="1">
      <c r="A70" s="8">
        <v>3</v>
      </c>
      <c r="B70" s="7" t="str">
        <f>المدخلات!$F$5</f>
        <v>5:20–6:30 م</v>
      </c>
      <c r="C70" s="7">
        <v>7</v>
      </c>
      <c r="D70" s="7" t="s">
        <v>596</v>
      </c>
      <c r="E70" s="7" t="s">
        <v>396</v>
      </c>
      <c r="F70" s="2"/>
    </row>
    <row r="71" spans="1:6" ht="14" customHeight="1">
      <c r="A71" s="8">
        <v>3</v>
      </c>
      <c r="B71" s="7" t="str">
        <f>المدخلات!$F$5</f>
        <v>5:20–6:30 م</v>
      </c>
      <c r="C71" s="7">
        <v>8</v>
      </c>
      <c r="D71" s="7" t="s">
        <v>596</v>
      </c>
      <c r="E71" s="7" t="s">
        <v>432</v>
      </c>
      <c r="F71" s="2"/>
    </row>
    <row r="72" spans="1:6" ht="14" customHeight="1">
      <c r="A72" s="8">
        <v>3</v>
      </c>
      <c r="B72" s="7" t="str">
        <f>المدخلات!$F$6</f>
        <v>6:40–7:50 م</v>
      </c>
      <c r="C72" s="7">
        <v>7</v>
      </c>
      <c r="D72" s="7" t="s">
        <v>596</v>
      </c>
      <c r="E72" s="7" t="s">
        <v>642</v>
      </c>
      <c r="F72" s="2"/>
    </row>
    <row r="73" spans="1:6" ht="14" customHeight="1">
      <c r="A73" s="8">
        <v>4</v>
      </c>
      <c r="B73" s="7" t="str">
        <f>المدخلات!$F$4</f>
        <v>4:00–5:10 م</v>
      </c>
      <c r="C73" s="7">
        <v>1</v>
      </c>
      <c r="D73" s="7" t="s">
        <v>593</v>
      </c>
      <c r="E73" s="7" t="s">
        <v>60</v>
      </c>
      <c r="F73" s="2"/>
    </row>
    <row r="74" spans="1:6" ht="14" customHeight="1">
      <c r="A74" s="8">
        <v>4</v>
      </c>
      <c r="B74" s="7" t="str">
        <f>المدخلات!$F$4</f>
        <v>4:00–5:10 م</v>
      </c>
      <c r="C74" s="7">
        <v>2</v>
      </c>
      <c r="D74" s="7" t="s">
        <v>593</v>
      </c>
      <c r="E74" s="7" t="s">
        <v>36</v>
      </c>
      <c r="F74" s="2"/>
    </row>
    <row r="75" spans="1:6" ht="14" customHeight="1">
      <c r="A75" s="8">
        <v>4</v>
      </c>
      <c r="B75" s="7" t="str">
        <f>المدخلات!$F$5</f>
        <v>5:20–6:30 م</v>
      </c>
      <c r="C75" s="7">
        <v>1</v>
      </c>
      <c r="D75" s="7" t="s">
        <v>593</v>
      </c>
      <c r="E75" s="7" t="s">
        <v>19</v>
      </c>
      <c r="F75" s="2"/>
    </row>
    <row r="76" spans="1:6" ht="14" customHeight="1">
      <c r="A76" s="8">
        <v>4</v>
      </c>
      <c r="B76" s="7" t="str">
        <f>المدخلات!$F$5</f>
        <v>5:20–6:30 م</v>
      </c>
      <c r="C76" s="7">
        <v>2</v>
      </c>
      <c r="D76" s="7" t="s">
        <v>593</v>
      </c>
      <c r="E76" s="7" t="s">
        <v>45</v>
      </c>
      <c r="F76" s="2"/>
    </row>
    <row r="77" spans="1:6" ht="14" customHeight="1">
      <c r="A77" s="8">
        <v>4</v>
      </c>
      <c r="B77" s="7" t="str">
        <f>المدخلات!$F$6</f>
        <v>6:40–7:50 م</v>
      </c>
      <c r="C77" s="7">
        <v>1</v>
      </c>
      <c r="D77" s="7" t="s">
        <v>593</v>
      </c>
      <c r="E77" s="7" t="s">
        <v>69</v>
      </c>
      <c r="F77" s="2"/>
    </row>
    <row r="78" spans="1:6" ht="14" customHeight="1">
      <c r="A78" s="8">
        <v>4</v>
      </c>
      <c r="B78" s="7" t="str">
        <f>المدخلات!$F$6</f>
        <v>6:40–7:50 م</v>
      </c>
      <c r="C78" s="7">
        <v>2</v>
      </c>
      <c r="D78" s="7" t="s">
        <v>593</v>
      </c>
      <c r="E78" s="7" t="s">
        <v>7</v>
      </c>
      <c r="F78" s="2"/>
    </row>
    <row r="79" spans="1:6" ht="14" customHeight="1">
      <c r="A79" s="8">
        <v>4</v>
      </c>
      <c r="B79" s="7" t="str">
        <f>المدخلات!$F$4</f>
        <v>4:00–5:10 م</v>
      </c>
      <c r="C79" s="7">
        <v>3</v>
      </c>
      <c r="D79" s="7" t="s">
        <v>594</v>
      </c>
      <c r="E79" s="7" t="s">
        <v>228</v>
      </c>
      <c r="F79" s="2"/>
    </row>
    <row r="80" spans="1:6" ht="14" customHeight="1">
      <c r="A80" s="8">
        <v>4</v>
      </c>
      <c r="B80" s="7" t="str">
        <f>المدخلات!$F$4</f>
        <v>4:00–5:10 م</v>
      </c>
      <c r="C80" s="7">
        <v>4</v>
      </c>
      <c r="D80" s="7" t="s">
        <v>594</v>
      </c>
      <c r="E80" s="7" t="s">
        <v>208</v>
      </c>
      <c r="F80" s="2"/>
    </row>
    <row r="81" spans="1:6" ht="14" customHeight="1">
      <c r="A81" s="8">
        <v>4</v>
      </c>
      <c r="B81" s="7" t="str">
        <f>المدخلات!$F$5</f>
        <v>5:20–6:30 م</v>
      </c>
      <c r="C81" s="7">
        <v>3</v>
      </c>
      <c r="D81" s="7" t="s">
        <v>594</v>
      </c>
      <c r="E81" s="7" t="s">
        <v>129</v>
      </c>
      <c r="F81" s="2"/>
    </row>
    <row r="82" spans="1:6" ht="14" customHeight="1">
      <c r="A82" s="8">
        <v>4</v>
      </c>
      <c r="B82" s="7" t="str">
        <f>المدخلات!$F$5</f>
        <v>5:20–6:30 م</v>
      </c>
      <c r="C82" s="7">
        <v>4</v>
      </c>
      <c r="D82" s="7" t="s">
        <v>594</v>
      </c>
      <c r="E82" s="7" t="s">
        <v>219</v>
      </c>
      <c r="F82" s="2"/>
    </row>
    <row r="83" spans="1:6" ht="14" customHeight="1">
      <c r="A83" s="8">
        <v>4</v>
      </c>
      <c r="B83" s="7" t="str">
        <f>المدخلات!$F$6</f>
        <v>6:40–7:50 م</v>
      </c>
      <c r="C83" s="7">
        <v>3</v>
      </c>
      <c r="D83" s="7" t="s">
        <v>594</v>
      </c>
      <c r="E83" s="7" t="s">
        <v>325</v>
      </c>
      <c r="F83" s="2"/>
    </row>
    <row r="84" spans="1:6" ht="14" customHeight="1">
      <c r="A84" s="8">
        <v>4</v>
      </c>
      <c r="B84" s="7" t="str">
        <f>المدخلات!$F$6</f>
        <v>6:40–7:50 م</v>
      </c>
      <c r="C84" s="7">
        <v>4</v>
      </c>
      <c r="D84" s="7" t="s">
        <v>594</v>
      </c>
      <c r="E84" s="7" t="s">
        <v>152</v>
      </c>
      <c r="F84" s="2"/>
    </row>
    <row r="85" spans="1:6" ht="14" customHeight="1">
      <c r="A85" s="8">
        <v>4</v>
      </c>
      <c r="B85" s="7" t="str">
        <f>المدخلات!$F$4</f>
        <v>4:00–5:10 م</v>
      </c>
      <c r="C85" s="7">
        <v>5</v>
      </c>
      <c r="D85" s="7" t="s">
        <v>595</v>
      </c>
      <c r="E85" s="7" t="s">
        <v>338</v>
      </c>
      <c r="F85" s="2"/>
    </row>
    <row r="86" spans="1:6" ht="14" customHeight="1">
      <c r="A86" s="8">
        <v>4</v>
      </c>
      <c r="B86" s="7" t="str">
        <f>المدخلات!$F$4</f>
        <v>4:00–5:10 م</v>
      </c>
      <c r="C86" s="7">
        <v>6</v>
      </c>
      <c r="D86" s="7" t="s">
        <v>595</v>
      </c>
      <c r="E86" s="7" t="s">
        <v>300</v>
      </c>
      <c r="F86" s="2"/>
    </row>
    <row r="87" spans="1:6" ht="14" customHeight="1">
      <c r="A87" s="8">
        <v>4</v>
      </c>
      <c r="B87" s="7" t="str">
        <f>المدخلات!$F$5</f>
        <v>5:20–6:30 م</v>
      </c>
      <c r="C87" s="7">
        <v>5</v>
      </c>
      <c r="D87" s="7" t="s">
        <v>595</v>
      </c>
      <c r="E87" s="7" t="s">
        <v>259</v>
      </c>
      <c r="F87" s="2"/>
    </row>
    <row r="88" spans="1:6" ht="14" customHeight="1">
      <c r="A88" s="8">
        <v>4</v>
      </c>
      <c r="B88" s="7" t="str">
        <f>المدخلات!$F$5</f>
        <v>5:20–6:30 م</v>
      </c>
      <c r="C88" s="7">
        <v>6</v>
      </c>
      <c r="D88" s="7" t="s">
        <v>595</v>
      </c>
      <c r="E88" s="7" t="s">
        <v>308</v>
      </c>
      <c r="F88" s="2"/>
    </row>
    <row r="89" spans="1:6" ht="14" customHeight="1">
      <c r="A89" s="8">
        <v>4</v>
      </c>
      <c r="B89" s="7" t="str">
        <f>المدخلات!$F$6</f>
        <v>6:40–7:50 م</v>
      </c>
      <c r="C89" s="7">
        <v>5</v>
      </c>
      <c r="D89" s="7" t="s">
        <v>595</v>
      </c>
      <c r="E89" s="7" t="s">
        <v>353</v>
      </c>
      <c r="F89" s="2"/>
    </row>
    <row r="90" spans="1:6" ht="14" customHeight="1">
      <c r="A90" s="8">
        <v>4</v>
      </c>
      <c r="B90" s="7" t="str">
        <f>المدخلات!$F$6</f>
        <v>6:40–7:50 م</v>
      </c>
      <c r="C90" s="7">
        <v>6</v>
      </c>
      <c r="D90" s="7" t="s">
        <v>595</v>
      </c>
      <c r="E90" s="7" t="s">
        <v>268</v>
      </c>
      <c r="F90" s="2"/>
    </row>
    <row r="91" spans="1:6" ht="14" customHeight="1">
      <c r="A91" s="8">
        <v>4</v>
      </c>
      <c r="B91" s="7" t="str">
        <f>المدخلات!$F$4</f>
        <v>4:00–5:10 م</v>
      </c>
      <c r="C91" s="7">
        <v>7</v>
      </c>
      <c r="D91" s="7" t="s">
        <v>596</v>
      </c>
      <c r="E91" s="7" t="s">
        <v>391</v>
      </c>
      <c r="F91" s="2"/>
    </row>
    <row r="92" spans="1:6" ht="14" customHeight="1">
      <c r="A92" s="8">
        <v>4</v>
      </c>
      <c r="B92" s="7" t="str">
        <f>المدخلات!$F$4</f>
        <v>4:00–5:10 م</v>
      </c>
      <c r="C92" s="7">
        <v>8</v>
      </c>
      <c r="D92" s="7" t="s">
        <v>596</v>
      </c>
      <c r="E92" s="7" t="s">
        <v>417</v>
      </c>
      <c r="F92" s="2"/>
    </row>
    <row r="93" spans="1:6" ht="14" customHeight="1">
      <c r="A93" s="8">
        <v>4</v>
      </c>
      <c r="B93" s="7" t="str">
        <f>المدخلات!$F$5</f>
        <v>5:20–6:30 م</v>
      </c>
      <c r="C93" s="7">
        <v>7</v>
      </c>
      <c r="D93" s="7" t="s">
        <v>596</v>
      </c>
      <c r="E93" s="7" t="s">
        <v>424</v>
      </c>
      <c r="F93" s="2"/>
    </row>
    <row r="94" spans="1:6" ht="14" customHeight="1">
      <c r="A94" s="8">
        <v>4</v>
      </c>
      <c r="B94" s="7" t="str">
        <f>المدخلات!$F$5</f>
        <v>5:20–6:30 م</v>
      </c>
      <c r="C94" s="7">
        <v>8</v>
      </c>
      <c r="D94" s="7" t="s">
        <v>596</v>
      </c>
      <c r="E94" s="7" t="s">
        <v>755</v>
      </c>
      <c r="F94" s="2"/>
    </row>
    <row r="95" spans="1:6" ht="14" customHeight="1">
      <c r="A95" s="8">
        <v>4</v>
      </c>
      <c r="B95" s="7" t="str">
        <f>المدخلات!$F$6</f>
        <v>6:40–7:50 م</v>
      </c>
      <c r="C95" s="7">
        <v>7</v>
      </c>
      <c r="D95" s="7" t="s">
        <v>596</v>
      </c>
      <c r="E95" s="7" t="s">
        <v>433</v>
      </c>
      <c r="F95" s="2"/>
    </row>
    <row r="96" spans="1:6" ht="14" customHeight="1">
      <c r="A96" s="8">
        <v>5</v>
      </c>
      <c r="B96" s="7" t="str">
        <f>المدخلات!$F$4</f>
        <v>4:00–5:10 م</v>
      </c>
      <c r="C96" s="7">
        <v>1</v>
      </c>
      <c r="D96" s="7" t="s">
        <v>593</v>
      </c>
      <c r="E96" s="7" t="s">
        <v>17</v>
      </c>
      <c r="F96" s="2"/>
    </row>
    <row r="97" spans="1:6" ht="14" customHeight="1">
      <c r="A97" s="8">
        <v>5</v>
      </c>
      <c r="B97" s="7" t="str">
        <f>المدخلات!$F$4</f>
        <v>4:00–5:10 م</v>
      </c>
      <c r="C97" s="7">
        <v>2</v>
      </c>
      <c r="D97" s="7" t="s">
        <v>593</v>
      </c>
      <c r="E97" s="7" t="s">
        <v>767</v>
      </c>
      <c r="F97" s="2"/>
    </row>
    <row r="98" spans="1:6" ht="14" customHeight="1">
      <c r="A98" s="8">
        <v>5</v>
      </c>
      <c r="B98" s="7" t="str">
        <f>المدخلات!$F$5</f>
        <v>5:20–6:30 م</v>
      </c>
      <c r="C98" s="7">
        <v>1</v>
      </c>
      <c r="D98" s="7" t="s">
        <v>593</v>
      </c>
      <c r="E98" s="7" t="s">
        <v>766</v>
      </c>
      <c r="F98" s="2"/>
    </row>
    <row r="99" spans="1:6" ht="14" customHeight="1">
      <c r="A99" s="8">
        <v>5</v>
      </c>
      <c r="B99" s="7" t="str">
        <f>المدخلات!$F$5</f>
        <v>5:20–6:30 م</v>
      </c>
      <c r="C99" s="7">
        <v>2</v>
      </c>
      <c r="D99" s="7" t="s">
        <v>593</v>
      </c>
      <c r="E99" s="7" t="s">
        <v>1049</v>
      </c>
      <c r="F99" s="2"/>
    </row>
    <row r="100" spans="1:6" ht="14" customHeight="1">
      <c r="A100" s="8">
        <v>5</v>
      </c>
      <c r="B100" s="7" t="str">
        <f>المدخلات!$F$6</f>
        <v>6:40–7:50 م</v>
      </c>
      <c r="C100" s="7">
        <v>1</v>
      </c>
      <c r="D100" s="7" t="s">
        <v>593</v>
      </c>
      <c r="E100" s="7" t="s">
        <v>42</v>
      </c>
      <c r="F100" s="2"/>
    </row>
    <row r="101" spans="1:6" ht="14" customHeight="1">
      <c r="A101" s="8">
        <v>5</v>
      </c>
      <c r="B101" s="7" t="str">
        <f>المدخلات!$F$6</f>
        <v>6:40–7:50 م</v>
      </c>
      <c r="C101" s="7">
        <v>2</v>
      </c>
      <c r="D101" s="7" t="s">
        <v>593</v>
      </c>
      <c r="E101" s="7" t="s">
        <v>765</v>
      </c>
      <c r="F101" s="2"/>
    </row>
    <row r="102" spans="1:6" ht="14" customHeight="1">
      <c r="A102" s="8">
        <v>5</v>
      </c>
      <c r="B102" s="7" t="str">
        <f>المدخلات!$F$4</f>
        <v>4:00–5:10 م</v>
      </c>
      <c r="C102" s="7">
        <v>3</v>
      </c>
      <c r="D102" s="7" t="s">
        <v>594</v>
      </c>
      <c r="E102" s="7" t="s">
        <v>103</v>
      </c>
      <c r="F102" s="2"/>
    </row>
    <row r="103" spans="1:6" ht="14" customHeight="1">
      <c r="A103" s="8">
        <v>5</v>
      </c>
      <c r="B103" s="7" t="str">
        <f>المدخلات!$F$4</f>
        <v>4:00–5:10 م</v>
      </c>
      <c r="C103" s="7">
        <v>4</v>
      </c>
      <c r="D103" s="7" t="s">
        <v>594</v>
      </c>
      <c r="E103" s="7" t="s">
        <v>860</v>
      </c>
      <c r="F103" s="2"/>
    </row>
    <row r="104" spans="1:6" ht="14" customHeight="1">
      <c r="A104" s="8">
        <v>5</v>
      </c>
      <c r="B104" s="7" t="str">
        <f>المدخلات!$F$5</f>
        <v>5:20–6:30 م</v>
      </c>
      <c r="C104" s="7">
        <v>3</v>
      </c>
      <c r="D104" s="7" t="s">
        <v>594</v>
      </c>
      <c r="E104" s="7" t="s">
        <v>836</v>
      </c>
      <c r="F104" s="2"/>
    </row>
    <row r="105" spans="1:6" ht="14" customHeight="1">
      <c r="A105" s="8">
        <v>5</v>
      </c>
      <c r="B105" s="7" t="str">
        <f>المدخلات!$F$5</f>
        <v>5:20–6:30 م</v>
      </c>
      <c r="C105" s="7">
        <v>4</v>
      </c>
      <c r="D105" s="7" t="s">
        <v>594</v>
      </c>
      <c r="E105" s="7" t="s">
        <v>854</v>
      </c>
      <c r="F105" s="2"/>
    </row>
    <row r="106" spans="1:6" ht="14" customHeight="1">
      <c r="A106" s="8">
        <v>5</v>
      </c>
      <c r="B106" s="7" t="str">
        <f>المدخلات!$F$6</f>
        <v>6:40–7:50 م</v>
      </c>
      <c r="C106" s="7">
        <v>3</v>
      </c>
      <c r="D106" s="7" t="s">
        <v>594</v>
      </c>
      <c r="E106" s="7" t="s">
        <v>205</v>
      </c>
      <c r="F106" s="2"/>
    </row>
    <row r="107" spans="1:6" ht="14" customHeight="1">
      <c r="A107" s="8">
        <v>5</v>
      </c>
      <c r="B107" s="7" t="str">
        <f>المدخلات!$F$6</f>
        <v>6:40–7:50 م</v>
      </c>
      <c r="C107" s="7">
        <v>4</v>
      </c>
      <c r="D107" s="7" t="s">
        <v>594</v>
      </c>
      <c r="E107" s="7" t="s">
        <v>638</v>
      </c>
      <c r="F107" s="2"/>
    </row>
    <row r="108" spans="1:6" ht="14" customHeight="1">
      <c r="A108" s="8">
        <v>5</v>
      </c>
      <c r="B108" s="7" t="str">
        <f>المدخلات!$F$4</f>
        <v>4:00–5:10 م</v>
      </c>
      <c r="C108" s="7">
        <v>5</v>
      </c>
      <c r="D108" s="7" t="s">
        <v>595</v>
      </c>
      <c r="E108" s="7" t="s">
        <v>252</v>
      </c>
      <c r="F108" s="2"/>
    </row>
    <row r="109" spans="1:6" ht="14" customHeight="1">
      <c r="A109" s="8">
        <v>5</v>
      </c>
      <c r="B109" s="7" t="str">
        <f>المدخلات!$F$4</f>
        <v>4:00–5:10 م</v>
      </c>
      <c r="C109" s="7">
        <v>6</v>
      </c>
      <c r="D109" s="7" t="s">
        <v>595</v>
      </c>
      <c r="E109" s="7" t="s">
        <v>898</v>
      </c>
      <c r="F109" s="2"/>
    </row>
    <row r="110" spans="1:6" ht="14" customHeight="1">
      <c r="A110" s="8">
        <v>5</v>
      </c>
      <c r="B110" s="7" t="str">
        <f>المدخلات!$F$5</f>
        <v>5:20–6:30 م</v>
      </c>
      <c r="C110" s="7">
        <v>5</v>
      </c>
      <c r="D110" s="7" t="s">
        <v>595</v>
      </c>
      <c r="E110" s="7" t="s">
        <v>897</v>
      </c>
      <c r="F110" s="2"/>
    </row>
    <row r="111" spans="1:6" ht="14" customHeight="1">
      <c r="A111" s="8">
        <v>5</v>
      </c>
      <c r="B111" s="7" t="str">
        <f>المدخلات!$F$5</f>
        <v>5:20–6:30 م</v>
      </c>
      <c r="C111" s="7">
        <v>6</v>
      </c>
      <c r="D111" s="7" t="s">
        <v>595</v>
      </c>
      <c r="E111" s="7" t="s">
        <v>1208</v>
      </c>
      <c r="F111" s="2"/>
    </row>
    <row r="112" spans="1:6" ht="14" customHeight="1">
      <c r="A112" s="8">
        <v>5</v>
      </c>
      <c r="B112" s="7" t="str">
        <f>المدخلات!$F$6</f>
        <v>6:40–7:50 م</v>
      </c>
      <c r="C112" s="7">
        <v>5</v>
      </c>
      <c r="D112" s="7" t="s">
        <v>595</v>
      </c>
      <c r="E112" s="7" t="s">
        <v>297</v>
      </c>
      <c r="F112" s="2"/>
    </row>
    <row r="113" spans="1:6" ht="14" customHeight="1">
      <c r="A113" s="8">
        <v>5</v>
      </c>
      <c r="B113" s="7" t="str">
        <f>المدخلات!$F$6</f>
        <v>6:40–7:50 م</v>
      </c>
      <c r="C113" s="7">
        <v>6</v>
      </c>
      <c r="D113" s="7" t="s">
        <v>595</v>
      </c>
      <c r="E113" s="7" t="s">
        <v>676</v>
      </c>
      <c r="F113" s="2"/>
    </row>
    <row r="114" spans="1:6" ht="14" customHeight="1">
      <c r="A114" s="8">
        <v>5</v>
      </c>
      <c r="B114" s="7" t="str">
        <f>المدخلات!$F$4</f>
        <v>4:00–5:10 م</v>
      </c>
      <c r="C114" s="7">
        <v>7</v>
      </c>
      <c r="D114" s="7" t="s">
        <v>596</v>
      </c>
      <c r="E114" s="7" t="s">
        <v>778</v>
      </c>
      <c r="F114" s="2"/>
    </row>
    <row r="115" spans="1:6" ht="14" customHeight="1">
      <c r="A115" s="8">
        <v>5</v>
      </c>
      <c r="B115" s="7" t="str">
        <f>المدخلات!$F$4</f>
        <v>4:00–5:10 م</v>
      </c>
      <c r="C115" s="7">
        <v>8</v>
      </c>
      <c r="D115" s="7" t="s">
        <v>596</v>
      </c>
      <c r="E115" s="7" t="s">
        <v>777</v>
      </c>
      <c r="F115" s="2"/>
    </row>
    <row r="116" spans="1:6" ht="14" customHeight="1">
      <c r="A116" s="8">
        <v>5</v>
      </c>
      <c r="B116" s="7" t="str">
        <f>المدخلات!$F$5</f>
        <v>5:20–6:30 م</v>
      </c>
      <c r="C116" s="7">
        <v>7</v>
      </c>
      <c r="D116" s="7" t="s">
        <v>596</v>
      </c>
      <c r="E116" s="7" t="s">
        <v>416</v>
      </c>
      <c r="F116" s="2"/>
    </row>
    <row r="117" spans="1:6" ht="14" customHeight="1">
      <c r="A117" s="8">
        <v>5</v>
      </c>
      <c r="B117" s="7" t="str">
        <f>المدخلات!$F$5</f>
        <v>5:20–6:30 م</v>
      </c>
      <c r="C117" s="7">
        <v>8</v>
      </c>
      <c r="D117" s="7" t="s">
        <v>596</v>
      </c>
      <c r="E117" s="7" t="s">
        <v>779</v>
      </c>
      <c r="F117" s="2"/>
    </row>
    <row r="118" spans="1:6" ht="14" customHeight="1">
      <c r="A118" s="8">
        <v>5</v>
      </c>
      <c r="B118" s="7" t="str">
        <f>المدخلات!$F$6</f>
        <v>6:40–7:50 م</v>
      </c>
      <c r="C118" s="7">
        <v>7</v>
      </c>
      <c r="D118" s="7" t="s">
        <v>596</v>
      </c>
      <c r="E118" s="7" t="s">
        <v>1209</v>
      </c>
      <c r="F118" s="2"/>
    </row>
    <row r="119" spans="1:6" ht="14" customHeight="1">
      <c r="A119" s="8">
        <v>6</v>
      </c>
      <c r="B119" s="7" t="str">
        <f>المدخلات!$F$4</f>
        <v>4:00–5:10 م</v>
      </c>
      <c r="C119" s="7">
        <v>1</v>
      </c>
      <c r="D119" s="7" t="s">
        <v>593</v>
      </c>
      <c r="E119" s="7" t="s">
        <v>48</v>
      </c>
      <c r="F119" s="2"/>
    </row>
    <row r="120" spans="1:6" ht="14" customHeight="1">
      <c r="A120" s="8">
        <v>6</v>
      </c>
      <c r="B120" s="7" t="str">
        <f>المدخلات!$F$4</f>
        <v>4:00–5:10 م</v>
      </c>
      <c r="C120" s="7">
        <v>2</v>
      </c>
      <c r="D120" s="7" t="s">
        <v>593</v>
      </c>
      <c r="E120" s="7" t="s">
        <v>28</v>
      </c>
      <c r="F120" s="2"/>
    </row>
    <row r="121" spans="1:6" ht="14" customHeight="1">
      <c r="A121" s="8">
        <v>6</v>
      </c>
      <c r="B121" s="7" t="str">
        <f>المدخلات!$F$5</f>
        <v>5:20–6:30 م</v>
      </c>
      <c r="C121" s="7">
        <v>1</v>
      </c>
      <c r="D121" s="7" t="s">
        <v>593</v>
      </c>
      <c r="E121" s="7" t="s">
        <v>792</v>
      </c>
      <c r="F121" s="2"/>
    </row>
    <row r="122" spans="1:6" ht="14" customHeight="1">
      <c r="A122" s="8">
        <v>6</v>
      </c>
      <c r="B122" s="7" t="str">
        <f>المدخلات!$F$5</f>
        <v>5:20–6:30 م</v>
      </c>
      <c r="C122" s="7">
        <v>2</v>
      </c>
      <c r="D122" s="7" t="s">
        <v>593</v>
      </c>
      <c r="E122" s="7" t="s">
        <v>25</v>
      </c>
      <c r="F122" s="2"/>
    </row>
    <row r="123" spans="1:6" ht="14" customHeight="1">
      <c r="A123" s="8">
        <v>6</v>
      </c>
      <c r="B123" s="7" t="str">
        <f>المدخلات!$F$6</f>
        <v>6:40–7:50 م</v>
      </c>
      <c r="C123" s="7">
        <v>1</v>
      </c>
      <c r="D123" s="7" t="s">
        <v>593</v>
      </c>
      <c r="E123" s="7" t="s">
        <v>791</v>
      </c>
      <c r="F123" s="2"/>
    </row>
    <row r="124" spans="1:6" ht="14" customHeight="1">
      <c r="A124" s="8">
        <v>6</v>
      </c>
      <c r="B124" s="7" t="str">
        <f>المدخلات!$F$6</f>
        <v>6:40–7:50 م</v>
      </c>
      <c r="C124" s="7">
        <v>2</v>
      </c>
      <c r="D124" s="7" t="s">
        <v>593</v>
      </c>
      <c r="E124" s="7" t="s">
        <v>38</v>
      </c>
      <c r="F124" s="2"/>
    </row>
    <row r="125" spans="1:6" ht="14" customHeight="1">
      <c r="A125" s="8">
        <v>6</v>
      </c>
      <c r="B125" s="7" t="str">
        <f>المدخلات!$F$4</f>
        <v>4:00–5:10 م</v>
      </c>
      <c r="C125" s="7">
        <v>3</v>
      </c>
      <c r="D125" s="7" t="s">
        <v>594</v>
      </c>
      <c r="E125" s="7" t="s">
        <v>221</v>
      </c>
      <c r="F125" s="2"/>
    </row>
    <row r="126" spans="1:6" ht="14" customHeight="1">
      <c r="A126" s="8">
        <v>6</v>
      </c>
      <c r="B126" s="7" t="str">
        <f>المدخلات!$F$4</f>
        <v>4:00–5:10 م</v>
      </c>
      <c r="C126" s="7">
        <v>4</v>
      </c>
      <c r="D126" s="7" t="s">
        <v>594</v>
      </c>
      <c r="E126" s="7" t="s">
        <v>189</v>
      </c>
      <c r="F126" s="2"/>
    </row>
    <row r="127" spans="1:6" ht="14" customHeight="1">
      <c r="A127" s="8">
        <v>6</v>
      </c>
      <c r="B127" s="7" t="str">
        <f>المدخلات!$F$5</f>
        <v>5:20–6:30 م</v>
      </c>
      <c r="C127" s="7">
        <v>3</v>
      </c>
      <c r="D127" s="7" t="s">
        <v>594</v>
      </c>
      <c r="E127" s="7" t="s">
        <v>919</v>
      </c>
      <c r="F127" s="2"/>
    </row>
    <row r="128" spans="1:6" ht="14" customHeight="1">
      <c r="A128" s="8">
        <v>6</v>
      </c>
      <c r="B128" s="7" t="str">
        <f>المدخلات!$F$5</f>
        <v>5:20–6:30 م</v>
      </c>
      <c r="C128" s="7">
        <v>4</v>
      </c>
      <c r="D128" s="7" t="s">
        <v>594</v>
      </c>
      <c r="E128" s="7" t="s">
        <v>169</v>
      </c>
      <c r="F128" s="2"/>
    </row>
    <row r="129" spans="1:6" ht="14" customHeight="1">
      <c r="A129" s="8">
        <v>6</v>
      </c>
      <c r="B129" s="7" t="str">
        <f>المدخلات!$F$6</f>
        <v>6:40–7:50 م</v>
      </c>
      <c r="C129" s="7">
        <v>3</v>
      </c>
      <c r="D129" s="7" t="s">
        <v>594</v>
      </c>
      <c r="E129" s="7" t="s">
        <v>839</v>
      </c>
      <c r="F129" s="2"/>
    </row>
    <row r="130" spans="1:6" ht="14" customHeight="1">
      <c r="A130" s="8">
        <v>6</v>
      </c>
      <c r="B130" s="7" t="str">
        <f>المدخلات!$F$6</f>
        <v>6:40–7:50 م</v>
      </c>
      <c r="C130" s="7">
        <v>4</v>
      </c>
      <c r="D130" s="7" t="s">
        <v>594</v>
      </c>
      <c r="E130" s="7" t="s">
        <v>206</v>
      </c>
      <c r="F130" s="2"/>
    </row>
    <row r="131" spans="1:6" ht="14" customHeight="1">
      <c r="A131" s="8">
        <v>6</v>
      </c>
      <c r="B131" s="7" t="str">
        <f>المدخلات!$F$4</f>
        <v>4:00–5:10 م</v>
      </c>
      <c r="C131" s="7">
        <v>5</v>
      </c>
      <c r="D131" s="7" t="s">
        <v>595</v>
      </c>
      <c r="E131" s="7" t="s">
        <v>313</v>
      </c>
      <c r="F131" s="2"/>
    </row>
    <row r="132" spans="1:6" ht="14" customHeight="1">
      <c r="A132" s="8">
        <v>6</v>
      </c>
      <c r="B132" s="7" t="str">
        <f>المدخلات!$F$4</f>
        <v>4:00–5:10 م</v>
      </c>
      <c r="C132" s="7">
        <v>6</v>
      </c>
      <c r="D132" s="7" t="s">
        <v>595</v>
      </c>
      <c r="E132" s="7" t="s">
        <v>287</v>
      </c>
      <c r="F132" s="2"/>
    </row>
    <row r="133" spans="1:6" ht="14" customHeight="1">
      <c r="A133" s="8">
        <v>6</v>
      </c>
      <c r="B133" s="7" t="str">
        <f>المدخلات!$F$5</f>
        <v>5:20–6:30 م</v>
      </c>
      <c r="C133" s="7">
        <v>5</v>
      </c>
      <c r="D133" s="7" t="s">
        <v>595</v>
      </c>
      <c r="E133" s="7" t="s">
        <v>903</v>
      </c>
      <c r="F133" s="2"/>
    </row>
    <row r="134" spans="1:6" ht="14" customHeight="1">
      <c r="A134" s="8">
        <v>6</v>
      </c>
      <c r="B134" s="7" t="str">
        <f>المدخلات!$F$5</f>
        <v>5:20–6:30 م</v>
      </c>
      <c r="C134" s="7">
        <v>6</v>
      </c>
      <c r="D134" s="7" t="s">
        <v>595</v>
      </c>
      <c r="E134" s="7" t="s">
        <v>280</v>
      </c>
      <c r="F134" s="2"/>
    </row>
    <row r="135" spans="1:6" ht="14" customHeight="1">
      <c r="A135" s="8">
        <v>6</v>
      </c>
      <c r="B135" s="7" t="str">
        <f>المدخلات!$F$6</f>
        <v>6:40–7:50 م</v>
      </c>
      <c r="C135" s="7">
        <v>5</v>
      </c>
      <c r="D135" s="7" t="s">
        <v>595</v>
      </c>
      <c r="E135" s="7" t="s">
        <v>902</v>
      </c>
      <c r="F135" s="2"/>
    </row>
    <row r="136" spans="1:6" ht="14" customHeight="1">
      <c r="A136" s="8">
        <v>6</v>
      </c>
      <c r="B136" s="7" t="str">
        <f>المدخلات!$F$6</f>
        <v>6:40–7:50 م</v>
      </c>
      <c r="C136" s="7">
        <v>6</v>
      </c>
      <c r="D136" s="7" t="s">
        <v>595</v>
      </c>
      <c r="E136" s="7" t="s">
        <v>298</v>
      </c>
      <c r="F136" s="2"/>
    </row>
    <row r="137" spans="1:6" ht="14" customHeight="1">
      <c r="A137" s="8">
        <v>6</v>
      </c>
      <c r="B137" s="7" t="str">
        <f>المدخلات!$F$4</f>
        <v>4:00–5:10 م</v>
      </c>
      <c r="C137" s="7">
        <v>7</v>
      </c>
      <c r="D137" s="7" t="s">
        <v>596</v>
      </c>
      <c r="E137" s="7" t="s">
        <v>440</v>
      </c>
      <c r="F137" s="2"/>
    </row>
    <row r="138" spans="1:6" ht="14" customHeight="1">
      <c r="A138" s="8">
        <v>6</v>
      </c>
      <c r="B138" s="7" t="str">
        <f>المدخلات!$F$4</f>
        <v>4:00–5:10 م</v>
      </c>
      <c r="C138" s="7">
        <v>8</v>
      </c>
      <c r="D138" s="7" t="s">
        <v>596</v>
      </c>
      <c r="E138" s="7" t="s">
        <v>409</v>
      </c>
      <c r="F138" s="2"/>
    </row>
    <row r="139" spans="1:6" ht="14" customHeight="1">
      <c r="A139" s="8">
        <v>6</v>
      </c>
      <c r="B139" s="7" t="str">
        <f>المدخلات!$F$5</f>
        <v>5:20–6:30 م</v>
      </c>
      <c r="C139" s="7">
        <v>7</v>
      </c>
      <c r="D139" s="7" t="s">
        <v>596</v>
      </c>
      <c r="E139" s="7" t="s">
        <v>402</v>
      </c>
      <c r="F139" s="2"/>
    </row>
    <row r="140" spans="1:6" ht="14" customHeight="1">
      <c r="A140" s="8">
        <v>6</v>
      </c>
      <c r="B140" s="7" t="str">
        <f>المدخلات!$F$5</f>
        <v>5:20–6:30 م</v>
      </c>
      <c r="C140" s="7">
        <v>8</v>
      </c>
      <c r="D140" s="7" t="s">
        <v>596</v>
      </c>
      <c r="E140" s="7" t="s">
        <v>1210</v>
      </c>
      <c r="F140" s="2"/>
    </row>
    <row r="141" spans="1:6" ht="14" customHeight="1">
      <c r="A141" s="8">
        <v>6</v>
      </c>
      <c r="B141" s="7" t="str">
        <f>المدخلات!$F$6</f>
        <v>6:40–7:50 م</v>
      </c>
      <c r="C141" s="7">
        <v>7</v>
      </c>
      <c r="D141" s="7" t="s">
        <v>596</v>
      </c>
      <c r="E141" s="7" t="s">
        <v>799</v>
      </c>
      <c r="F141" s="2"/>
    </row>
    <row r="142" spans="1:6" ht="14" customHeight="1">
      <c r="A142" s="8">
        <v>7</v>
      </c>
      <c r="B142" s="7" t="str">
        <f>المدخلات!$F$4</f>
        <v>4:00–5:10 م</v>
      </c>
      <c r="C142" s="7">
        <v>1</v>
      </c>
      <c r="D142" s="7" t="s">
        <v>593</v>
      </c>
      <c r="E142" s="7" t="s">
        <v>72</v>
      </c>
      <c r="F142" s="2"/>
    </row>
    <row r="143" spans="1:6" ht="14" customHeight="1">
      <c r="A143" s="8">
        <v>7</v>
      </c>
      <c r="B143" s="7" t="str">
        <f>المدخلات!$F$4</f>
        <v>4:00–5:10 م</v>
      </c>
      <c r="C143" s="7">
        <v>2</v>
      </c>
      <c r="D143" s="7" t="s">
        <v>593</v>
      </c>
      <c r="E143" s="7" t="s">
        <v>805</v>
      </c>
      <c r="F143" s="2"/>
    </row>
    <row r="144" spans="1:6" ht="14" customHeight="1">
      <c r="A144" s="8">
        <v>7</v>
      </c>
      <c r="B144" s="7" t="str">
        <f>المدخلات!$F$5</f>
        <v>5:20–6:30 م</v>
      </c>
      <c r="C144" s="7">
        <v>1</v>
      </c>
      <c r="D144" s="7" t="s">
        <v>593</v>
      </c>
      <c r="E144" s="7" t="s">
        <v>804</v>
      </c>
      <c r="F144" s="2"/>
    </row>
    <row r="145" spans="1:6" ht="14" customHeight="1">
      <c r="A145" s="8">
        <v>7</v>
      </c>
      <c r="B145" s="7" t="str">
        <f>المدخلات!$F$5</f>
        <v>5:20–6:30 م</v>
      </c>
      <c r="C145" s="7">
        <v>2</v>
      </c>
      <c r="D145" s="7" t="s">
        <v>593</v>
      </c>
      <c r="E145" s="7" t="s">
        <v>24</v>
      </c>
      <c r="F145" s="2"/>
    </row>
    <row r="146" spans="1:6" ht="14" customHeight="1">
      <c r="A146" s="8">
        <v>7</v>
      </c>
      <c r="B146" s="7" t="str">
        <f>المدخلات!$F$6</f>
        <v>6:40–7:50 م</v>
      </c>
      <c r="C146" s="7">
        <v>1</v>
      </c>
      <c r="D146" s="7" t="s">
        <v>593</v>
      </c>
      <c r="E146" s="7" t="s">
        <v>32</v>
      </c>
      <c r="F146" s="2"/>
    </row>
    <row r="147" spans="1:6" ht="14" customHeight="1">
      <c r="A147" s="8">
        <v>7</v>
      </c>
      <c r="B147" s="7" t="str">
        <f>المدخلات!$F$6</f>
        <v>6:40–7:50 م</v>
      </c>
      <c r="C147" s="7">
        <v>2</v>
      </c>
      <c r="D147" s="7" t="s">
        <v>593</v>
      </c>
      <c r="E147" s="7" t="s">
        <v>1039</v>
      </c>
      <c r="F147" s="2"/>
    </row>
    <row r="148" spans="1:6" ht="14" customHeight="1">
      <c r="A148" s="8">
        <v>7</v>
      </c>
      <c r="B148" s="7" t="str">
        <f>المدخلات!$F$4</f>
        <v>4:00–5:10 م</v>
      </c>
      <c r="C148" s="7">
        <v>3</v>
      </c>
      <c r="D148" s="7" t="s">
        <v>594</v>
      </c>
      <c r="E148" s="7" t="s">
        <v>234</v>
      </c>
      <c r="F148" s="2"/>
    </row>
    <row r="149" spans="1:6" ht="14" customHeight="1">
      <c r="A149" s="8">
        <v>7</v>
      </c>
      <c r="B149" s="7" t="str">
        <f>المدخلات!$F$4</f>
        <v>4:00–5:10 م</v>
      </c>
      <c r="C149" s="7">
        <v>4</v>
      </c>
      <c r="D149" s="7" t="s">
        <v>594</v>
      </c>
      <c r="E149" s="7" t="s">
        <v>843</v>
      </c>
      <c r="F149" s="2"/>
    </row>
    <row r="150" spans="1:6" ht="14" customHeight="1">
      <c r="A150" s="8">
        <v>7</v>
      </c>
      <c r="B150" s="7" t="str">
        <f>المدخلات!$F$5</f>
        <v>5:20–6:30 م</v>
      </c>
      <c r="C150" s="7">
        <v>3</v>
      </c>
      <c r="D150" s="7" t="s">
        <v>594</v>
      </c>
      <c r="E150" s="7" t="s">
        <v>842</v>
      </c>
      <c r="F150" s="2"/>
    </row>
    <row r="151" spans="1:6" ht="14" customHeight="1">
      <c r="A151" s="8">
        <v>7</v>
      </c>
      <c r="B151" s="7" t="str">
        <f>المدخلات!$F$5</f>
        <v>5:20–6:30 م</v>
      </c>
      <c r="C151" s="7">
        <v>4</v>
      </c>
      <c r="D151" s="7" t="s">
        <v>594</v>
      </c>
      <c r="E151" s="7" t="s">
        <v>167</v>
      </c>
      <c r="F151" s="2"/>
    </row>
    <row r="152" spans="1:6" ht="14" customHeight="1">
      <c r="A152" s="8">
        <v>7</v>
      </c>
      <c r="B152" s="7" t="str">
        <f>المدخلات!$F$6</f>
        <v>6:40–7:50 م</v>
      </c>
      <c r="C152" s="7">
        <v>3</v>
      </c>
      <c r="D152" s="7" t="s">
        <v>594</v>
      </c>
      <c r="E152" s="7" t="s">
        <v>190</v>
      </c>
      <c r="F152" s="2"/>
    </row>
    <row r="153" spans="1:6" ht="14" customHeight="1">
      <c r="A153" s="8">
        <v>7</v>
      </c>
      <c r="B153" s="7" t="str">
        <f>المدخلات!$F$6</f>
        <v>6:40–7:50 م</v>
      </c>
      <c r="C153" s="7">
        <v>4</v>
      </c>
      <c r="D153" s="7" t="s">
        <v>594</v>
      </c>
      <c r="E153" s="7" t="s">
        <v>1093</v>
      </c>
      <c r="F153" s="2"/>
    </row>
    <row r="154" spans="1:6" ht="14" customHeight="1">
      <c r="A154" s="8">
        <v>7</v>
      </c>
      <c r="B154" s="7" t="str">
        <f>المدخلات!$F$4</f>
        <v>4:00–5:10 م</v>
      </c>
      <c r="C154" s="7">
        <v>5</v>
      </c>
      <c r="D154" s="7" t="s">
        <v>595</v>
      </c>
      <c r="E154" s="7" t="s">
        <v>344</v>
      </c>
      <c r="F154" s="2"/>
    </row>
    <row r="155" spans="1:6" ht="14" customHeight="1">
      <c r="A155" s="8">
        <v>7</v>
      </c>
      <c r="B155" s="7" t="str">
        <f>المدخلات!$F$4</f>
        <v>4:00–5:10 م</v>
      </c>
      <c r="C155" s="7">
        <v>6</v>
      </c>
      <c r="D155" s="7" t="s">
        <v>595</v>
      </c>
      <c r="E155" s="7" t="s">
        <v>690</v>
      </c>
      <c r="F155" s="2"/>
    </row>
    <row r="156" spans="1:6" ht="14" customHeight="1">
      <c r="A156" s="8">
        <v>7</v>
      </c>
      <c r="B156" s="7" t="str">
        <f>المدخلات!$F$5</f>
        <v>5:20–6:30 م</v>
      </c>
      <c r="C156" s="7">
        <v>5</v>
      </c>
      <c r="D156" s="7" t="s">
        <v>595</v>
      </c>
      <c r="E156" s="7" t="s">
        <v>689</v>
      </c>
      <c r="F156" s="2"/>
    </row>
    <row r="157" spans="1:6" ht="14" customHeight="1">
      <c r="A157" s="8">
        <v>7</v>
      </c>
      <c r="B157" s="7" t="str">
        <f>المدخلات!$F$5</f>
        <v>5:20–6:30 م</v>
      </c>
      <c r="C157" s="7">
        <v>6</v>
      </c>
      <c r="D157" s="7" t="s">
        <v>595</v>
      </c>
      <c r="E157" s="7" t="s">
        <v>278</v>
      </c>
      <c r="F157" s="2"/>
    </row>
    <row r="158" spans="1:6" ht="14" customHeight="1">
      <c r="A158" s="8">
        <v>7</v>
      </c>
      <c r="B158" s="7" t="str">
        <f>المدخلات!$F$6</f>
        <v>6:40–7:50 م</v>
      </c>
      <c r="C158" s="7">
        <v>5</v>
      </c>
      <c r="D158" s="7" t="s">
        <v>595</v>
      </c>
      <c r="E158" s="7" t="s">
        <v>288</v>
      </c>
      <c r="F158" s="2"/>
    </row>
    <row r="159" spans="1:6" ht="14" customHeight="1">
      <c r="A159" s="8">
        <v>7</v>
      </c>
      <c r="B159" s="7" t="str">
        <f>المدخلات!$F$6</f>
        <v>6:40–7:50 م</v>
      </c>
      <c r="C159" s="7">
        <v>6</v>
      </c>
      <c r="D159" s="7" t="s">
        <v>595</v>
      </c>
      <c r="E159" s="7" t="s">
        <v>1182</v>
      </c>
      <c r="F159" s="2"/>
    </row>
    <row r="160" spans="1:6" ht="14" customHeight="1">
      <c r="A160" s="8">
        <v>7</v>
      </c>
      <c r="B160" s="7" t="str">
        <f>المدخلات!$F$4</f>
        <v>4:00–5:10 م</v>
      </c>
      <c r="C160" s="7">
        <v>7</v>
      </c>
      <c r="D160" s="7" t="s">
        <v>596</v>
      </c>
      <c r="E160" s="7" t="s">
        <v>441</v>
      </c>
      <c r="F160" s="2"/>
    </row>
    <row r="161" spans="1:6" ht="14" customHeight="1">
      <c r="A161" s="8">
        <v>7</v>
      </c>
      <c r="B161" s="7" t="str">
        <f>المدخلات!$F$4</f>
        <v>4:00–5:10 م</v>
      </c>
      <c r="C161" s="7">
        <v>8</v>
      </c>
      <c r="D161" s="7" t="s">
        <v>596</v>
      </c>
      <c r="E161" s="7" t="s">
        <v>1211</v>
      </c>
      <c r="F161" s="2"/>
    </row>
    <row r="162" spans="1:6" ht="14" customHeight="1">
      <c r="A162" s="8">
        <v>7</v>
      </c>
      <c r="B162" s="7" t="str">
        <f>المدخلات!$F$5</f>
        <v>5:20–6:30 م</v>
      </c>
      <c r="C162" s="7">
        <v>7</v>
      </c>
      <c r="D162" s="7" t="s">
        <v>596</v>
      </c>
      <c r="E162" s="7" t="s">
        <v>434</v>
      </c>
      <c r="F162" s="2"/>
    </row>
    <row r="163" spans="1:6" ht="14" customHeight="1">
      <c r="A163" s="8">
        <v>7</v>
      </c>
      <c r="B163" s="7" t="str">
        <f>المدخلات!$F$5</f>
        <v>5:20–6:30 م</v>
      </c>
      <c r="C163" s="7">
        <v>8</v>
      </c>
      <c r="D163" s="7" t="s">
        <v>596</v>
      </c>
      <c r="E163" s="7" t="s">
        <v>1212</v>
      </c>
      <c r="F163" s="2"/>
    </row>
    <row r="164" spans="1:6" ht="14" customHeight="1">
      <c r="A164" s="8">
        <v>7</v>
      </c>
      <c r="B164" s="7" t="str">
        <f>المدخلات!$F$6</f>
        <v>6:40–7:50 م</v>
      </c>
      <c r="C164" s="7">
        <v>7</v>
      </c>
      <c r="D164" s="7" t="s">
        <v>596</v>
      </c>
      <c r="E164" s="7" t="s">
        <v>1213</v>
      </c>
      <c r="F164" s="2"/>
    </row>
    <row r="165" spans="1:6" ht="14" customHeight="1">
      <c r="A165" s="8">
        <v>8</v>
      </c>
      <c r="B165" s="7" t="str">
        <f>المدخلات!$F$4</f>
        <v>4:00–5:10 م</v>
      </c>
      <c r="C165" s="7">
        <v>1</v>
      </c>
      <c r="D165" s="7" t="s">
        <v>593</v>
      </c>
      <c r="E165" s="7" t="s">
        <v>20</v>
      </c>
      <c r="F165" s="2"/>
    </row>
    <row r="166" spans="1:6" ht="14" customHeight="1">
      <c r="A166" s="8">
        <v>8</v>
      </c>
      <c r="B166" s="7" t="str">
        <f>المدخلات!$F$4</f>
        <v>4:00–5:10 م</v>
      </c>
      <c r="C166" s="7">
        <v>2</v>
      </c>
      <c r="D166" s="7" t="s">
        <v>593</v>
      </c>
      <c r="E166" s="7" t="s">
        <v>67</v>
      </c>
      <c r="F166" s="2"/>
    </row>
    <row r="167" spans="1:6" ht="14" customHeight="1">
      <c r="A167" s="8">
        <v>8</v>
      </c>
      <c r="B167" s="7" t="str">
        <f>المدخلات!$F$5</f>
        <v>5:20–6:30 م</v>
      </c>
      <c r="C167" s="7">
        <v>1</v>
      </c>
      <c r="D167" s="7" t="s">
        <v>593</v>
      </c>
      <c r="E167" s="7" t="s">
        <v>9</v>
      </c>
      <c r="F167" s="2"/>
    </row>
    <row r="168" spans="1:6" ht="14" customHeight="1">
      <c r="A168" s="8">
        <v>8</v>
      </c>
      <c r="B168" s="7" t="str">
        <f>المدخلات!$F$5</f>
        <v>5:20–6:30 م</v>
      </c>
      <c r="C168" s="7">
        <v>2</v>
      </c>
      <c r="D168" s="7" t="s">
        <v>593</v>
      </c>
      <c r="E168" s="7" t="s">
        <v>56</v>
      </c>
      <c r="F168" s="2"/>
    </row>
    <row r="169" spans="1:6" ht="14" customHeight="1">
      <c r="A169" s="8">
        <v>8</v>
      </c>
      <c r="B169" s="7" t="str">
        <f>المدخلات!$F$6</f>
        <v>6:40–7:50 م</v>
      </c>
      <c r="C169" s="7">
        <v>1</v>
      </c>
      <c r="D169" s="7" t="s">
        <v>593</v>
      </c>
      <c r="E169" s="7" t="s">
        <v>27</v>
      </c>
      <c r="F169" s="2"/>
    </row>
    <row r="170" spans="1:6" ht="14" customHeight="1">
      <c r="A170" s="8">
        <v>8</v>
      </c>
      <c r="B170" s="7" t="str">
        <f>المدخلات!$F$6</f>
        <v>6:40–7:50 م</v>
      </c>
      <c r="C170" s="7">
        <v>2</v>
      </c>
      <c r="D170" s="7" t="s">
        <v>593</v>
      </c>
      <c r="E170" s="7" t="s">
        <v>623</v>
      </c>
      <c r="F170" s="2"/>
    </row>
    <row r="171" spans="1:6" ht="14" customHeight="1">
      <c r="A171" s="8">
        <v>8</v>
      </c>
      <c r="B171" s="7" t="str">
        <f>المدخلات!$F$4</f>
        <v>4:00–5:10 م</v>
      </c>
      <c r="C171" s="7">
        <v>3</v>
      </c>
      <c r="D171" s="7" t="s">
        <v>594</v>
      </c>
      <c r="E171" s="7" t="s">
        <v>146</v>
      </c>
      <c r="F171" s="2"/>
    </row>
    <row r="172" spans="1:6" ht="14" customHeight="1">
      <c r="A172" s="8">
        <v>8</v>
      </c>
      <c r="B172" s="7" t="str">
        <f>المدخلات!$F$4</f>
        <v>4:00–5:10 م</v>
      </c>
      <c r="C172" s="7">
        <v>4</v>
      </c>
      <c r="D172" s="7" t="s">
        <v>594</v>
      </c>
      <c r="E172" s="7" t="s">
        <v>235</v>
      </c>
      <c r="F172" s="2"/>
    </row>
    <row r="173" spans="1:6" ht="14" customHeight="1">
      <c r="A173" s="8">
        <v>8</v>
      </c>
      <c r="B173" s="7" t="str">
        <f>المدخلات!$F$5</f>
        <v>5:20–6:30 م</v>
      </c>
      <c r="C173" s="7">
        <v>3</v>
      </c>
      <c r="D173" s="7" t="s">
        <v>594</v>
      </c>
      <c r="E173" s="7" t="s">
        <v>159</v>
      </c>
      <c r="F173" s="2"/>
    </row>
    <row r="174" spans="1:6" ht="14" customHeight="1">
      <c r="A174" s="8">
        <v>8</v>
      </c>
      <c r="B174" s="7" t="str">
        <f>المدخلات!$F$5</f>
        <v>5:20–6:30 م</v>
      </c>
      <c r="C174" s="7">
        <v>4</v>
      </c>
      <c r="D174" s="7" t="s">
        <v>594</v>
      </c>
      <c r="E174" s="7" t="s">
        <v>230</v>
      </c>
      <c r="F174" s="2"/>
    </row>
    <row r="175" spans="1:6" ht="14" customHeight="1">
      <c r="A175" s="8">
        <v>8</v>
      </c>
      <c r="B175" s="7" t="str">
        <f>المدخلات!$F$6</f>
        <v>6:40–7:50 م</v>
      </c>
      <c r="C175" s="7">
        <v>3</v>
      </c>
      <c r="D175" s="7" t="s">
        <v>594</v>
      </c>
      <c r="E175" s="7" t="s">
        <v>168</v>
      </c>
      <c r="F175" s="2"/>
    </row>
    <row r="176" spans="1:6" ht="14" customHeight="1">
      <c r="A176" s="8">
        <v>8</v>
      </c>
      <c r="B176" s="7" t="str">
        <f>المدخلات!$F$6</f>
        <v>6:40–7:50 م</v>
      </c>
      <c r="C176" s="7">
        <v>4</v>
      </c>
      <c r="D176" s="7" t="s">
        <v>594</v>
      </c>
      <c r="E176" s="7" t="s">
        <v>846</v>
      </c>
      <c r="F176" s="2"/>
    </row>
    <row r="177" spans="1:6" ht="14" customHeight="1">
      <c r="A177" s="8">
        <v>8</v>
      </c>
      <c r="B177" s="7" t="str">
        <f>المدخلات!$F$4</f>
        <v>4:00–5:10 م</v>
      </c>
      <c r="C177" s="7">
        <v>5</v>
      </c>
      <c r="D177" s="7" t="s">
        <v>595</v>
      </c>
      <c r="E177" s="7" t="s">
        <v>265</v>
      </c>
      <c r="F177" s="2"/>
    </row>
    <row r="178" spans="1:6" ht="14" customHeight="1">
      <c r="A178" s="8">
        <v>8</v>
      </c>
      <c r="B178" s="7" t="str">
        <f>المدخلات!$F$4</f>
        <v>4:00–5:10 م</v>
      </c>
      <c r="C178" s="7">
        <v>6</v>
      </c>
      <c r="D178" s="7" t="s">
        <v>595</v>
      </c>
      <c r="E178" s="7" t="s">
        <v>345</v>
      </c>
      <c r="F178" s="2"/>
    </row>
    <row r="179" spans="1:6" ht="14" customHeight="1">
      <c r="A179" s="8">
        <v>8</v>
      </c>
      <c r="B179" s="7" t="str">
        <f>المدخلات!$F$5</f>
        <v>5:20–6:30 م</v>
      </c>
      <c r="C179" s="7">
        <v>5</v>
      </c>
      <c r="D179" s="7" t="s">
        <v>595</v>
      </c>
      <c r="E179" s="7" t="s">
        <v>271</v>
      </c>
      <c r="F179" s="2"/>
    </row>
    <row r="180" spans="1:6" ht="14" customHeight="1">
      <c r="A180" s="8">
        <v>8</v>
      </c>
      <c r="B180" s="7" t="str">
        <f>المدخلات!$F$5</f>
        <v>5:20–6:30 م</v>
      </c>
      <c r="C180" s="7">
        <v>6</v>
      </c>
      <c r="D180" s="7" t="s">
        <v>595</v>
      </c>
      <c r="E180" s="7" t="s">
        <v>339</v>
      </c>
      <c r="F180" s="2"/>
    </row>
    <row r="181" spans="1:6" ht="14" customHeight="1">
      <c r="A181" s="8">
        <v>8</v>
      </c>
      <c r="B181" s="7" t="str">
        <f>المدخلات!$F$6</f>
        <v>6:40–7:50 م</v>
      </c>
      <c r="C181" s="7">
        <v>5</v>
      </c>
      <c r="D181" s="7" t="s">
        <v>595</v>
      </c>
      <c r="E181" s="7" t="s">
        <v>279</v>
      </c>
      <c r="F181" s="2"/>
    </row>
    <row r="182" spans="1:6" ht="14" customHeight="1">
      <c r="A182" s="8">
        <v>8</v>
      </c>
      <c r="B182" s="7" t="str">
        <f>المدخلات!$F$6</f>
        <v>6:40–7:50 م</v>
      </c>
      <c r="C182" s="7">
        <v>6</v>
      </c>
      <c r="D182" s="7" t="s">
        <v>595</v>
      </c>
      <c r="E182" s="7" t="s">
        <v>630</v>
      </c>
      <c r="F182" s="2"/>
    </row>
    <row r="183" spans="1:6" ht="14" customHeight="1">
      <c r="A183" s="8">
        <v>8</v>
      </c>
      <c r="B183" s="7" t="str">
        <f>المدخلات!$F$4</f>
        <v>4:00–5:10 م</v>
      </c>
      <c r="C183" s="7">
        <v>7</v>
      </c>
      <c r="D183" s="7" t="s">
        <v>596</v>
      </c>
      <c r="E183" s="7" t="s">
        <v>435</v>
      </c>
      <c r="F183" s="2"/>
    </row>
    <row r="184" spans="1:6" ht="14" customHeight="1">
      <c r="A184" s="8">
        <v>8</v>
      </c>
      <c r="B184" s="7" t="str">
        <f>المدخلات!$F$4</f>
        <v>4:00–5:10 م</v>
      </c>
      <c r="C184" s="7">
        <v>8</v>
      </c>
      <c r="D184" s="7" t="s">
        <v>596</v>
      </c>
      <c r="E184" s="7" t="s">
        <v>386</v>
      </c>
      <c r="F184" s="2"/>
    </row>
    <row r="185" spans="1:6" ht="14" customHeight="1">
      <c r="A185" s="8">
        <v>8</v>
      </c>
      <c r="B185" s="7" t="str">
        <f>المدخلات!$F$5</f>
        <v>5:20–6:30 م</v>
      </c>
      <c r="C185" s="7">
        <v>7</v>
      </c>
      <c r="D185" s="7" t="s">
        <v>596</v>
      </c>
      <c r="E185" s="7" t="s">
        <v>1214</v>
      </c>
      <c r="F185" s="2"/>
    </row>
    <row r="186" spans="1:6" ht="14" customHeight="1">
      <c r="A186" s="8">
        <v>8</v>
      </c>
      <c r="B186" s="7" t="str">
        <f>المدخلات!$F$5</f>
        <v>5:20–6:30 م</v>
      </c>
      <c r="C186" s="7">
        <v>8</v>
      </c>
      <c r="D186" s="7" t="s">
        <v>596</v>
      </c>
      <c r="E186" s="7" t="s">
        <v>426</v>
      </c>
      <c r="F186" s="2"/>
    </row>
    <row r="187" spans="1:6" ht="14" customHeight="1">
      <c r="A187" s="8">
        <v>8</v>
      </c>
      <c r="B187" s="7" t="str">
        <f>المدخلات!$F$6</f>
        <v>6:40–7:50 م</v>
      </c>
      <c r="C187" s="7">
        <v>7</v>
      </c>
      <c r="D187" s="7" t="s">
        <v>596</v>
      </c>
      <c r="E187" s="7" t="s">
        <v>437</v>
      </c>
      <c r="F187" s="2"/>
    </row>
    <row r="188" spans="1:6" ht="14" customHeight="1">
      <c r="A188" s="8">
        <v>9</v>
      </c>
      <c r="B188" s="7" t="str">
        <f>المدخلات!$F$4</f>
        <v>4:00–5:10 م</v>
      </c>
      <c r="C188" s="7">
        <v>1</v>
      </c>
      <c r="D188" s="7" t="s">
        <v>593</v>
      </c>
      <c r="E188" s="7" t="s">
        <v>53</v>
      </c>
      <c r="F188" s="2"/>
    </row>
    <row r="189" spans="1:6" ht="14" customHeight="1">
      <c r="A189" s="8">
        <v>9</v>
      </c>
      <c r="B189" s="7" t="str">
        <f>المدخلات!$F$4</f>
        <v>4:00–5:10 م</v>
      </c>
      <c r="C189" s="7">
        <v>2</v>
      </c>
      <c r="D189" s="7" t="s">
        <v>593</v>
      </c>
      <c r="E189" s="7" t="s">
        <v>13</v>
      </c>
      <c r="F189" s="2"/>
    </row>
    <row r="190" spans="1:6" ht="14" customHeight="1">
      <c r="A190" s="8">
        <v>9</v>
      </c>
      <c r="B190" s="7" t="str">
        <f>المدخلات!$F$5</f>
        <v>5:20–6:30 م</v>
      </c>
      <c r="C190" s="7">
        <v>1</v>
      </c>
      <c r="D190" s="7" t="s">
        <v>593</v>
      </c>
      <c r="E190" s="7" t="s">
        <v>21</v>
      </c>
      <c r="F190" s="2"/>
    </row>
    <row r="191" spans="1:6" ht="14" customHeight="1">
      <c r="A191" s="8">
        <v>9</v>
      </c>
      <c r="B191" s="7" t="str">
        <f>المدخلات!$F$5</f>
        <v>5:20–6:30 م</v>
      </c>
      <c r="C191" s="7">
        <v>2</v>
      </c>
      <c r="D191" s="7" t="s">
        <v>593</v>
      </c>
      <c r="E191" s="7" t="s">
        <v>63</v>
      </c>
      <c r="F191" s="2"/>
    </row>
    <row r="192" spans="1:6" ht="14" customHeight="1">
      <c r="A192" s="8">
        <v>9</v>
      </c>
      <c r="B192" s="7" t="str">
        <f>المدخلات!$F$6</f>
        <v>6:40–7:50 م</v>
      </c>
      <c r="C192" s="7">
        <v>1</v>
      </c>
      <c r="D192" s="7" t="s">
        <v>593</v>
      </c>
      <c r="E192" s="7" t="s">
        <v>18</v>
      </c>
      <c r="F192" s="2"/>
    </row>
    <row r="193" spans="1:6" ht="14" customHeight="1">
      <c r="A193" s="8">
        <v>9</v>
      </c>
      <c r="B193" s="7" t="str">
        <f>المدخلات!$F$6</f>
        <v>6:40–7:50 م</v>
      </c>
      <c r="C193" s="7">
        <v>2</v>
      </c>
      <c r="D193" s="7" t="s">
        <v>593</v>
      </c>
      <c r="E193" s="7" t="s">
        <v>46</v>
      </c>
      <c r="F193" s="2"/>
    </row>
    <row r="194" spans="1:6" ht="14" customHeight="1">
      <c r="A194" s="8">
        <v>9</v>
      </c>
      <c r="B194" s="7" t="str">
        <f>المدخلات!$F$4</f>
        <v>4:00–5:10 م</v>
      </c>
      <c r="C194" s="7">
        <v>3</v>
      </c>
      <c r="D194" s="7" t="s">
        <v>594</v>
      </c>
      <c r="E194" s="7" t="s">
        <v>227</v>
      </c>
      <c r="F194" s="2"/>
    </row>
    <row r="195" spans="1:6" ht="14" customHeight="1">
      <c r="A195" s="8">
        <v>9</v>
      </c>
      <c r="B195" s="7" t="str">
        <f>المدخلات!$F$4</f>
        <v>4:00–5:10 م</v>
      </c>
      <c r="C195" s="7">
        <v>4</v>
      </c>
      <c r="D195" s="7" t="s">
        <v>594</v>
      </c>
      <c r="E195" s="7" t="s">
        <v>145</v>
      </c>
      <c r="F195" s="2"/>
    </row>
    <row r="196" spans="1:6" ht="14" customHeight="1">
      <c r="A196" s="8">
        <v>9</v>
      </c>
      <c r="B196" s="7" t="str">
        <f>المدخلات!$F$5</f>
        <v>5:20–6:30 م</v>
      </c>
      <c r="C196" s="7">
        <v>3</v>
      </c>
      <c r="D196" s="7" t="s">
        <v>594</v>
      </c>
      <c r="E196" s="7" t="s">
        <v>160</v>
      </c>
      <c r="F196" s="2"/>
    </row>
    <row r="197" spans="1:6" ht="14" customHeight="1">
      <c r="A197" s="8">
        <v>9</v>
      </c>
      <c r="B197" s="7" t="str">
        <f>المدخلات!$F$5</f>
        <v>5:20–6:30 م</v>
      </c>
      <c r="C197" s="7">
        <v>4</v>
      </c>
      <c r="D197" s="7" t="s">
        <v>594</v>
      </c>
      <c r="E197" s="7" t="s">
        <v>231</v>
      </c>
      <c r="F197" s="2"/>
    </row>
    <row r="198" spans="1:6" ht="14" customHeight="1">
      <c r="A198" s="8">
        <v>9</v>
      </c>
      <c r="B198" s="7" t="str">
        <f>المدخلات!$F$6</f>
        <v>6:40–7:50 م</v>
      </c>
      <c r="C198" s="7">
        <v>3</v>
      </c>
      <c r="D198" s="7" t="s">
        <v>594</v>
      </c>
      <c r="E198" s="7" t="s">
        <v>130</v>
      </c>
      <c r="F198" s="2"/>
    </row>
    <row r="199" spans="1:6" ht="14" customHeight="1">
      <c r="A199" s="8">
        <v>9</v>
      </c>
      <c r="B199" s="7" t="str">
        <f>المدخلات!$F$6</f>
        <v>6:40–7:50 م</v>
      </c>
      <c r="C199" s="7">
        <v>4</v>
      </c>
      <c r="D199" s="7" t="s">
        <v>594</v>
      </c>
      <c r="E199" s="7" t="s">
        <v>223</v>
      </c>
      <c r="F199" s="2"/>
    </row>
    <row r="200" spans="1:6" ht="14" customHeight="1">
      <c r="A200" s="8">
        <v>9</v>
      </c>
      <c r="B200" s="7" t="str">
        <f>المدخلات!$F$4</f>
        <v>4:00–5:10 م</v>
      </c>
      <c r="C200" s="7">
        <v>5</v>
      </c>
      <c r="D200" s="7" t="s">
        <v>595</v>
      </c>
      <c r="E200" s="7" t="s">
        <v>340</v>
      </c>
      <c r="F200" s="2"/>
    </row>
    <row r="201" spans="1:6" ht="14" customHeight="1">
      <c r="A201" s="8">
        <v>9</v>
      </c>
      <c r="B201" s="7" t="str">
        <f>المدخلات!$F$4</f>
        <v>4:00–5:10 م</v>
      </c>
      <c r="C201" s="7">
        <v>6</v>
      </c>
      <c r="D201" s="7" t="s">
        <v>595</v>
      </c>
      <c r="E201" s="7" t="s">
        <v>264</v>
      </c>
      <c r="F201" s="2"/>
    </row>
    <row r="202" spans="1:6" ht="14" customHeight="1">
      <c r="A202" s="8">
        <v>9</v>
      </c>
      <c r="B202" s="7" t="str">
        <f>المدخلات!$F$5</f>
        <v>5:20–6:30 م</v>
      </c>
      <c r="C202" s="7">
        <v>5</v>
      </c>
      <c r="D202" s="7" t="s">
        <v>595</v>
      </c>
      <c r="E202" s="7" t="s">
        <v>272</v>
      </c>
      <c r="F202" s="2"/>
    </row>
    <row r="203" spans="1:6" ht="14" customHeight="1">
      <c r="A203" s="8">
        <v>9</v>
      </c>
      <c r="B203" s="7" t="str">
        <f>المدخلات!$F$5</f>
        <v>5:20–6:30 م</v>
      </c>
      <c r="C203" s="7">
        <v>6</v>
      </c>
      <c r="D203" s="7" t="s">
        <v>595</v>
      </c>
      <c r="E203" s="7" t="s">
        <v>341</v>
      </c>
      <c r="F203" s="2"/>
    </row>
    <row r="204" spans="1:6" ht="14" customHeight="1">
      <c r="A204" s="8">
        <v>9</v>
      </c>
      <c r="B204" s="7" t="str">
        <f>المدخلات!$F$6</f>
        <v>6:40–7:50 م</v>
      </c>
      <c r="C204" s="7">
        <v>5</v>
      </c>
      <c r="D204" s="7" t="s">
        <v>595</v>
      </c>
      <c r="E204" s="7" t="s">
        <v>260</v>
      </c>
      <c r="F204" s="2"/>
    </row>
    <row r="205" spans="1:6" ht="14" customHeight="1">
      <c r="A205" s="8">
        <v>9</v>
      </c>
      <c r="B205" s="7" t="str">
        <f>المدخلات!$F$6</f>
        <v>6:40–7:50 م</v>
      </c>
      <c r="C205" s="7">
        <v>6</v>
      </c>
      <c r="D205" s="7" t="s">
        <v>595</v>
      </c>
      <c r="E205" s="7" t="s">
        <v>324</v>
      </c>
      <c r="F205" s="2"/>
    </row>
    <row r="206" spans="1:6" ht="14" customHeight="1">
      <c r="A206" s="8">
        <v>9</v>
      </c>
      <c r="B206" s="7" t="str">
        <f>المدخلات!$F$4</f>
        <v>4:00–5:10 م</v>
      </c>
      <c r="C206" s="7">
        <v>7</v>
      </c>
      <c r="D206" s="7" t="s">
        <v>596</v>
      </c>
      <c r="E206" s="7" t="s">
        <v>419</v>
      </c>
      <c r="F206" s="2"/>
    </row>
    <row r="207" spans="1:6" ht="14" customHeight="1">
      <c r="A207" s="8">
        <v>9</v>
      </c>
      <c r="B207" s="7" t="str">
        <f>المدخلات!$F$4</f>
        <v>4:00–5:10 م</v>
      </c>
      <c r="C207" s="7">
        <v>8</v>
      </c>
      <c r="D207" s="7" t="s">
        <v>596</v>
      </c>
      <c r="E207" s="7" t="s">
        <v>427</v>
      </c>
      <c r="F207" s="2"/>
    </row>
    <row r="208" spans="1:6" ht="14" customHeight="1">
      <c r="A208" s="8">
        <v>9</v>
      </c>
      <c r="B208" s="7" t="str">
        <f>المدخلات!$F$5</f>
        <v>5:20–6:30 م</v>
      </c>
      <c r="C208" s="7">
        <v>7</v>
      </c>
      <c r="D208" s="7" t="s">
        <v>596</v>
      </c>
      <c r="E208" s="7" t="s">
        <v>1215</v>
      </c>
      <c r="F208" s="2"/>
    </row>
    <row r="209" spans="1:6" ht="14" customHeight="1">
      <c r="A209" s="8">
        <v>9</v>
      </c>
      <c r="B209" s="7" t="str">
        <f>المدخلات!$F$5</f>
        <v>5:20–6:30 م</v>
      </c>
      <c r="C209" s="7">
        <v>8</v>
      </c>
      <c r="D209" s="7" t="s">
        <v>596</v>
      </c>
      <c r="E209" s="7" t="s">
        <v>377</v>
      </c>
      <c r="F209" s="2"/>
    </row>
    <row r="210" spans="1:6" ht="14" customHeight="1">
      <c r="A210" s="8">
        <v>9</v>
      </c>
      <c r="B210" s="7" t="str">
        <f>المدخلات!$F$6</f>
        <v>6:40–7:50 م</v>
      </c>
      <c r="C210" s="7">
        <v>7</v>
      </c>
      <c r="D210" s="7" t="s">
        <v>596</v>
      </c>
      <c r="E210" s="7" t="s">
        <v>1216</v>
      </c>
      <c r="F210" s="2"/>
    </row>
    <row r="211" spans="1:6" ht="14" customHeight="1">
      <c r="A211" s="8">
        <v>10</v>
      </c>
      <c r="B211" s="7" t="str">
        <f>المدخلات!$F$4</f>
        <v>4:00–5:10 م</v>
      </c>
      <c r="C211" s="7">
        <v>1</v>
      </c>
      <c r="D211" s="7" t="s">
        <v>593</v>
      </c>
      <c r="E211" s="7" t="s">
        <v>49</v>
      </c>
      <c r="F211" s="2"/>
    </row>
    <row r="212" spans="1:6" ht="14" customHeight="1">
      <c r="A212" s="8">
        <v>10</v>
      </c>
      <c r="B212" s="7" t="str">
        <f>المدخلات!$F$4</f>
        <v>4:00–5:10 م</v>
      </c>
      <c r="C212" s="7">
        <v>2</v>
      </c>
      <c r="D212" s="7" t="s">
        <v>593</v>
      </c>
      <c r="E212" s="7" t="s">
        <v>1040</v>
      </c>
      <c r="F212" s="2"/>
    </row>
    <row r="213" spans="1:6" ht="14" customHeight="1">
      <c r="A213" s="8">
        <v>10</v>
      </c>
      <c r="B213" s="7" t="str">
        <f>المدخلات!$F$5</f>
        <v>5:20–6:30 م</v>
      </c>
      <c r="C213" s="7">
        <v>1</v>
      </c>
      <c r="D213" s="7" t="s">
        <v>593</v>
      </c>
      <c r="E213" s="7" t="s">
        <v>41</v>
      </c>
      <c r="F213" s="2"/>
    </row>
    <row r="214" spans="1:6" ht="14" customHeight="1">
      <c r="A214" s="8">
        <v>10</v>
      </c>
      <c r="B214" s="7" t="str">
        <f>المدخلات!$F$5</f>
        <v>5:20–6:30 م</v>
      </c>
      <c r="C214" s="7">
        <v>2</v>
      </c>
      <c r="D214" s="7" t="s">
        <v>593</v>
      </c>
      <c r="E214" s="7" t="s">
        <v>14</v>
      </c>
      <c r="F214" s="2"/>
    </row>
    <row r="215" spans="1:6" ht="14" customHeight="1">
      <c r="A215" s="8">
        <v>10</v>
      </c>
      <c r="B215" s="7" t="str">
        <f>المدخلات!$F$6</f>
        <v>6:40–7:50 م</v>
      </c>
      <c r="C215" s="7">
        <v>1</v>
      </c>
      <c r="D215" s="7" t="s">
        <v>593</v>
      </c>
      <c r="E215" s="7" t="s">
        <v>1062</v>
      </c>
      <c r="F215" s="2"/>
    </row>
    <row r="216" spans="1:6" ht="14" customHeight="1">
      <c r="A216" s="8">
        <v>10</v>
      </c>
      <c r="B216" s="7" t="str">
        <f>المدخلات!$F$6</f>
        <v>6:40–7:50 م</v>
      </c>
      <c r="C216" s="7">
        <v>2</v>
      </c>
      <c r="D216" s="7" t="s">
        <v>593</v>
      </c>
      <c r="E216" s="7" t="s">
        <v>57</v>
      </c>
      <c r="F216" s="2"/>
    </row>
    <row r="217" spans="1:6" ht="14" customHeight="1">
      <c r="A217" s="8">
        <v>10</v>
      </c>
      <c r="B217" s="7" t="str">
        <f>المدخلات!$F$4</f>
        <v>4:00–5:10 م</v>
      </c>
      <c r="C217" s="7">
        <v>3</v>
      </c>
      <c r="D217" s="7" t="s">
        <v>594</v>
      </c>
      <c r="E217" s="7" t="s">
        <v>224</v>
      </c>
      <c r="F217" s="2"/>
    </row>
    <row r="218" spans="1:6" ht="14" customHeight="1">
      <c r="A218" s="8">
        <v>10</v>
      </c>
      <c r="B218" s="7" t="str">
        <f>المدخلات!$F$4</f>
        <v>4:00–5:10 م</v>
      </c>
      <c r="C218" s="7">
        <v>4</v>
      </c>
      <c r="D218" s="7" t="s">
        <v>594</v>
      </c>
      <c r="E218" s="7" t="s">
        <v>609</v>
      </c>
      <c r="F218" s="2"/>
    </row>
    <row r="219" spans="1:6" ht="14" customHeight="1">
      <c r="A219" s="8">
        <v>10</v>
      </c>
      <c r="B219" s="7" t="str">
        <f>المدخلات!$F$5</f>
        <v>5:20–6:30 م</v>
      </c>
      <c r="C219" s="7">
        <v>3</v>
      </c>
      <c r="D219" s="7" t="s">
        <v>594</v>
      </c>
      <c r="E219" s="7" t="s">
        <v>210</v>
      </c>
      <c r="F219" s="2"/>
    </row>
    <row r="220" spans="1:6" ht="14" customHeight="1">
      <c r="A220" s="8">
        <v>10</v>
      </c>
      <c r="B220" s="7" t="str">
        <f>المدخلات!$F$5</f>
        <v>5:20–6:30 م</v>
      </c>
      <c r="C220" s="7">
        <v>4</v>
      </c>
      <c r="D220" s="7" t="s">
        <v>594</v>
      </c>
      <c r="E220" s="7" t="s">
        <v>109</v>
      </c>
      <c r="F220" s="2"/>
    </row>
    <row r="221" spans="1:6" ht="14" customHeight="1">
      <c r="A221" s="8">
        <v>10</v>
      </c>
      <c r="B221" s="7" t="str">
        <f>المدخلات!$F$6</f>
        <v>6:40–7:50 م</v>
      </c>
      <c r="C221" s="7">
        <v>3</v>
      </c>
      <c r="D221" s="7" t="s">
        <v>594</v>
      </c>
      <c r="E221" s="7" t="s">
        <v>1153</v>
      </c>
      <c r="F221" s="2"/>
    </row>
    <row r="222" spans="1:6" ht="14" customHeight="1">
      <c r="A222" s="8">
        <v>10</v>
      </c>
      <c r="B222" s="7" t="str">
        <f>المدخلات!$F$6</f>
        <v>6:40–7:50 م</v>
      </c>
      <c r="C222" s="7">
        <v>4</v>
      </c>
      <c r="D222" s="7" t="s">
        <v>594</v>
      </c>
      <c r="E222" s="7" t="s">
        <v>328</v>
      </c>
      <c r="F222" s="2"/>
    </row>
    <row r="223" spans="1:6" ht="14" customHeight="1">
      <c r="A223" s="8">
        <v>10</v>
      </c>
      <c r="B223" s="7" t="str">
        <f>المدخلات!$F$4</f>
        <v>4:00–5:10 م</v>
      </c>
      <c r="C223" s="7">
        <v>5</v>
      </c>
      <c r="D223" s="7" t="s">
        <v>595</v>
      </c>
      <c r="E223" s="7" t="s">
        <v>327</v>
      </c>
      <c r="F223" s="2"/>
    </row>
    <row r="224" spans="1:6" ht="14" customHeight="1">
      <c r="A224" s="8">
        <v>10</v>
      </c>
      <c r="B224" s="7" t="str">
        <f>المدخلات!$F$4</f>
        <v>4:00–5:10 م</v>
      </c>
      <c r="C224" s="7">
        <v>6</v>
      </c>
      <c r="D224" s="7" t="s">
        <v>595</v>
      </c>
      <c r="E224" s="7" t="s">
        <v>747</v>
      </c>
      <c r="F224" s="2"/>
    </row>
    <row r="225" spans="1:6" ht="14" customHeight="1">
      <c r="A225" s="8">
        <v>10</v>
      </c>
      <c r="B225" s="7" t="str">
        <f>المدخلات!$F$5</f>
        <v>5:20–6:30 م</v>
      </c>
      <c r="C225" s="7">
        <v>5</v>
      </c>
      <c r="D225" s="7" t="s">
        <v>595</v>
      </c>
      <c r="E225" s="7" t="s">
        <v>301</v>
      </c>
      <c r="F225" s="2"/>
    </row>
    <row r="226" spans="1:6" ht="14" customHeight="1">
      <c r="A226" s="8">
        <v>10</v>
      </c>
      <c r="B226" s="7" t="str">
        <f>المدخلات!$F$5</f>
        <v>5:20–6:30 م</v>
      </c>
      <c r="C226" s="7">
        <v>6</v>
      </c>
      <c r="D226" s="7" t="s">
        <v>595</v>
      </c>
      <c r="E226" s="7" t="s">
        <v>257</v>
      </c>
      <c r="F226" s="2"/>
    </row>
    <row r="227" spans="1:6" ht="14" customHeight="1">
      <c r="A227" s="8">
        <v>10</v>
      </c>
      <c r="B227" s="7" t="str">
        <f>المدخلات!$F$6</f>
        <v>6:40–7:50 م</v>
      </c>
      <c r="C227" s="7">
        <v>5</v>
      </c>
      <c r="D227" s="7" t="s">
        <v>595</v>
      </c>
      <c r="E227" s="7" t="s">
        <v>1217</v>
      </c>
      <c r="F227" s="2"/>
    </row>
    <row r="228" spans="1:6" ht="14" customHeight="1">
      <c r="A228" s="8">
        <v>10</v>
      </c>
      <c r="B228" s="7" t="str">
        <f>المدخلات!$F$6</f>
        <v>6:40–7:50 م</v>
      </c>
      <c r="C228" s="7">
        <v>6</v>
      </c>
      <c r="D228" s="7" t="s">
        <v>595</v>
      </c>
      <c r="E228" s="7" t="s">
        <v>335</v>
      </c>
      <c r="F228" s="2"/>
    </row>
    <row r="229" spans="1:6" ht="14" customHeight="1">
      <c r="A229" s="8">
        <v>10</v>
      </c>
      <c r="B229" s="7" t="str">
        <f>المدخلات!$F$4</f>
        <v>4:00–5:10 م</v>
      </c>
      <c r="C229" s="7">
        <v>7</v>
      </c>
      <c r="D229" s="7" t="s">
        <v>596</v>
      </c>
      <c r="E229" s="7" t="s">
        <v>1218</v>
      </c>
      <c r="F229" s="2"/>
    </row>
    <row r="230" spans="1:6" ht="14" customHeight="1">
      <c r="A230" s="8">
        <v>10</v>
      </c>
      <c r="B230" s="7" t="str">
        <f>المدخلات!$F$4</f>
        <v>4:00–5:10 م</v>
      </c>
      <c r="C230" s="7">
        <v>8</v>
      </c>
      <c r="D230" s="7" t="s">
        <v>596</v>
      </c>
      <c r="E230" s="7" t="s">
        <v>1219</v>
      </c>
      <c r="F230" s="2"/>
    </row>
    <row r="231" spans="1:6" ht="14" customHeight="1">
      <c r="A231" s="8">
        <v>10</v>
      </c>
      <c r="B231" s="7" t="str">
        <f>المدخلات!$F$5</f>
        <v>5:20–6:30 م</v>
      </c>
      <c r="C231" s="7">
        <v>7</v>
      </c>
      <c r="D231" s="7" t="s">
        <v>596</v>
      </c>
      <c r="E231" s="7" t="s">
        <v>420</v>
      </c>
      <c r="F231" s="2"/>
    </row>
    <row r="232" spans="1:6" ht="14" customHeight="1">
      <c r="A232" s="8">
        <v>10</v>
      </c>
      <c r="B232" s="7" t="str">
        <f>المدخلات!$F$5</f>
        <v>5:20–6:30 م</v>
      </c>
      <c r="C232" s="7">
        <v>8</v>
      </c>
      <c r="D232" s="7" t="s">
        <v>596</v>
      </c>
      <c r="E232" s="7" t="s">
        <v>410</v>
      </c>
      <c r="F232" s="2"/>
    </row>
    <row r="233" spans="1:6" ht="14" customHeight="1">
      <c r="A233" s="8">
        <v>10</v>
      </c>
      <c r="B233" s="7" t="str">
        <f>المدخلات!$F$6</f>
        <v>6:40–7:50 م</v>
      </c>
      <c r="C233" s="7">
        <v>7</v>
      </c>
      <c r="D233" s="7" t="s">
        <v>596</v>
      </c>
      <c r="E233" s="7" t="s">
        <v>428</v>
      </c>
      <c r="F233" s="2"/>
    </row>
    <row r="234" spans="1:6" ht="14" customHeight="1">
      <c r="A234" s="8">
        <v>11</v>
      </c>
      <c r="B234" s="7" t="str">
        <f>المدخلات!$F$4</f>
        <v>4:00–5:10 م</v>
      </c>
      <c r="C234" s="7">
        <v>1</v>
      </c>
      <c r="D234" s="7" t="s">
        <v>593</v>
      </c>
      <c r="E234" s="7" t="s">
        <v>11</v>
      </c>
      <c r="F234" s="2"/>
    </row>
    <row r="235" spans="1:6" ht="14" customHeight="1">
      <c r="A235" s="8">
        <v>11</v>
      </c>
      <c r="B235" s="7" t="str">
        <f>المدخلات!$F$4</f>
        <v>4:00–5:10 م</v>
      </c>
      <c r="C235" s="7">
        <v>2</v>
      </c>
      <c r="D235" s="7" t="s">
        <v>593</v>
      </c>
      <c r="E235" s="7" t="s">
        <v>1056</v>
      </c>
      <c r="F235" s="2"/>
    </row>
    <row r="236" spans="1:6" ht="14" customHeight="1">
      <c r="A236" s="8">
        <v>11</v>
      </c>
      <c r="B236" s="7" t="str">
        <f>المدخلات!$F$5</f>
        <v>5:20–6:30 م</v>
      </c>
      <c r="C236" s="7">
        <v>1</v>
      </c>
      <c r="D236" s="7" t="s">
        <v>593</v>
      </c>
      <c r="E236" s="7" t="s">
        <v>37</v>
      </c>
      <c r="F236" s="2"/>
    </row>
    <row r="237" spans="1:6" ht="14" customHeight="1">
      <c r="A237" s="8">
        <v>11</v>
      </c>
      <c r="B237" s="7" t="str">
        <f>المدخلات!$F$5</f>
        <v>5:20–6:30 م</v>
      </c>
      <c r="C237" s="7">
        <v>2</v>
      </c>
      <c r="D237" s="7" t="s">
        <v>593</v>
      </c>
      <c r="E237" s="7" t="s">
        <v>47</v>
      </c>
      <c r="F237" s="2"/>
    </row>
    <row r="238" spans="1:6" ht="14" customHeight="1">
      <c r="A238" s="8">
        <v>11</v>
      </c>
      <c r="B238" s="7" t="str">
        <f>المدخلات!$F$6</f>
        <v>6:40–7:50 م</v>
      </c>
      <c r="C238" s="7">
        <v>1</v>
      </c>
      <c r="D238" s="7" t="s">
        <v>593</v>
      </c>
      <c r="E238" s="7" t="s">
        <v>30</v>
      </c>
      <c r="F238" s="2"/>
    </row>
    <row r="239" spans="1:6" ht="14" customHeight="1">
      <c r="A239" s="8">
        <v>11</v>
      </c>
      <c r="B239" s="7" t="str">
        <f>المدخلات!$F$6</f>
        <v>6:40–7:50 م</v>
      </c>
      <c r="C239" s="7">
        <v>2</v>
      </c>
      <c r="D239" s="7" t="s">
        <v>593</v>
      </c>
      <c r="E239" s="7" t="s">
        <v>1063</v>
      </c>
      <c r="F239" s="2"/>
    </row>
    <row r="240" spans="1:6" ht="14" customHeight="1">
      <c r="A240" s="8">
        <v>11</v>
      </c>
      <c r="B240" s="7" t="str">
        <f>المدخلات!$F$4</f>
        <v>4:00–5:10 م</v>
      </c>
      <c r="C240" s="7">
        <v>3</v>
      </c>
      <c r="D240" s="7" t="s">
        <v>594</v>
      </c>
      <c r="E240" s="7" t="s">
        <v>98</v>
      </c>
      <c r="F240" s="2"/>
    </row>
    <row r="241" spans="1:6" ht="14" customHeight="1">
      <c r="A241" s="8">
        <v>11</v>
      </c>
      <c r="B241" s="7" t="str">
        <f>المدخلات!$F$4</f>
        <v>4:00–5:10 م</v>
      </c>
      <c r="C241" s="7">
        <v>4</v>
      </c>
      <c r="D241" s="7" t="s">
        <v>594</v>
      </c>
      <c r="E241" s="7" t="s">
        <v>853</v>
      </c>
      <c r="F241" s="2"/>
    </row>
    <row r="242" spans="1:6" ht="14" customHeight="1">
      <c r="A242" s="8">
        <v>11</v>
      </c>
      <c r="B242" s="7" t="str">
        <f>المدخلات!$F$5</f>
        <v>5:20–6:30 م</v>
      </c>
      <c r="C242" s="7">
        <v>3</v>
      </c>
      <c r="D242" s="7" t="s">
        <v>594</v>
      </c>
      <c r="E242" s="7" t="s">
        <v>211</v>
      </c>
      <c r="F242" s="2"/>
    </row>
    <row r="243" spans="1:6" ht="14" customHeight="1">
      <c r="A243" s="8">
        <v>11</v>
      </c>
      <c r="B243" s="7" t="str">
        <f>المدخلات!$F$5</f>
        <v>5:20–6:30 م</v>
      </c>
      <c r="C243" s="7">
        <v>4</v>
      </c>
      <c r="D243" s="7" t="s">
        <v>594</v>
      </c>
      <c r="E243" s="7" t="s">
        <v>225</v>
      </c>
      <c r="F243" s="2"/>
    </row>
    <row r="244" spans="1:6" ht="14" customHeight="1">
      <c r="A244" s="8">
        <v>11</v>
      </c>
      <c r="B244" s="7" t="str">
        <f>المدخلات!$F$6</f>
        <v>6:40–7:50 م</v>
      </c>
      <c r="C244" s="7">
        <v>3</v>
      </c>
      <c r="D244" s="7" t="s">
        <v>594</v>
      </c>
      <c r="E244" s="7" t="s">
        <v>196</v>
      </c>
      <c r="F244" s="2"/>
    </row>
    <row r="245" spans="1:6" ht="14" customHeight="1">
      <c r="A245" s="8">
        <v>11</v>
      </c>
      <c r="B245" s="7" t="str">
        <f>المدخلات!$F$6</f>
        <v>6:40–7:50 م</v>
      </c>
      <c r="C245" s="7">
        <v>4</v>
      </c>
      <c r="D245" s="7" t="s">
        <v>594</v>
      </c>
      <c r="E245" s="7" t="s">
        <v>1155</v>
      </c>
      <c r="F245" s="2"/>
    </row>
    <row r="246" spans="1:6" ht="14" customHeight="1">
      <c r="A246" s="8">
        <v>11</v>
      </c>
      <c r="B246" s="7" t="str">
        <f>المدخلات!$F$4</f>
        <v>4:00–5:10 م</v>
      </c>
      <c r="C246" s="7">
        <v>5</v>
      </c>
      <c r="D246" s="7" t="s">
        <v>595</v>
      </c>
      <c r="E246" s="7" t="s">
        <v>243</v>
      </c>
      <c r="F246" s="2"/>
    </row>
    <row r="247" spans="1:6" ht="14" customHeight="1">
      <c r="A247" s="8">
        <v>11</v>
      </c>
      <c r="B247" s="7" t="str">
        <f>المدخلات!$F$4</f>
        <v>4:00–5:10 م</v>
      </c>
      <c r="C247" s="7">
        <v>6</v>
      </c>
      <c r="D247" s="7" t="s">
        <v>595</v>
      </c>
      <c r="E247" s="7" t="s">
        <v>1220</v>
      </c>
      <c r="F247" s="2"/>
    </row>
    <row r="248" spans="1:6" ht="14" customHeight="1">
      <c r="A248" s="8">
        <v>11</v>
      </c>
      <c r="B248" s="7" t="str">
        <f>المدخلات!$F$5</f>
        <v>5:20–6:30 م</v>
      </c>
      <c r="C248" s="7">
        <v>5</v>
      </c>
      <c r="D248" s="7" t="s">
        <v>595</v>
      </c>
      <c r="E248" s="7" t="s">
        <v>302</v>
      </c>
      <c r="F248" s="2"/>
    </row>
    <row r="249" spans="1:6" ht="14" customHeight="1">
      <c r="A249" s="8">
        <v>11</v>
      </c>
      <c r="B249" s="7" t="str">
        <f>المدخلات!$F$5</f>
        <v>5:20–6:30 م</v>
      </c>
      <c r="C249" s="7">
        <v>6</v>
      </c>
      <c r="D249" s="7" t="s">
        <v>595</v>
      </c>
      <c r="E249" s="7" t="s">
        <v>329</v>
      </c>
      <c r="F249" s="2"/>
    </row>
    <row r="250" spans="1:6" ht="14" customHeight="1">
      <c r="A250" s="8">
        <v>11</v>
      </c>
      <c r="B250" s="7" t="str">
        <f>المدخلات!$F$6</f>
        <v>6:40–7:50 م</v>
      </c>
      <c r="C250" s="7">
        <v>5</v>
      </c>
      <c r="D250" s="7" t="s">
        <v>595</v>
      </c>
      <c r="E250" s="7" t="s">
        <v>291</v>
      </c>
      <c r="F250" s="2"/>
    </row>
    <row r="251" spans="1:6" ht="14" customHeight="1">
      <c r="A251" s="8">
        <v>11</v>
      </c>
      <c r="B251" s="7" t="str">
        <f>المدخلات!$F$6</f>
        <v>6:40–7:50 م</v>
      </c>
      <c r="C251" s="7">
        <v>6</v>
      </c>
      <c r="D251" s="7" t="s">
        <v>595</v>
      </c>
      <c r="E251" s="7" t="s">
        <v>1221</v>
      </c>
      <c r="F251" s="2"/>
    </row>
    <row r="252" spans="1:6" ht="14" customHeight="1">
      <c r="A252" s="8">
        <v>11</v>
      </c>
      <c r="B252" s="7" t="str">
        <f>المدخلات!$F$4</f>
        <v>4:00–5:10 م</v>
      </c>
      <c r="C252" s="7">
        <v>7</v>
      </c>
      <c r="D252" s="7" t="s">
        <v>596</v>
      </c>
      <c r="E252" s="7" t="s">
        <v>411</v>
      </c>
      <c r="F252" s="2"/>
    </row>
    <row r="253" spans="1:6" ht="14" customHeight="1">
      <c r="A253" s="8">
        <v>11</v>
      </c>
      <c r="B253" s="7" t="str">
        <f>المدخلات!$F$4</f>
        <v>4:00–5:10 م</v>
      </c>
      <c r="C253" s="7">
        <v>8</v>
      </c>
      <c r="D253" s="7" t="s">
        <v>596</v>
      </c>
      <c r="E253" s="7" t="s">
        <v>405</v>
      </c>
      <c r="F253" s="2"/>
    </row>
    <row r="254" spans="1:6" ht="14" customHeight="1">
      <c r="A254" s="8">
        <v>11</v>
      </c>
      <c r="B254" s="7" t="str">
        <f>المدخلات!$F$5</f>
        <v>5:20–6:30 م</v>
      </c>
      <c r="C254" s="7">
        <v>7</v>
      </c>
      <c r="D254" s="7" t="s">
        <v>596</v>
      </c>
      <c r="E254" s="7" t="s">
        <v>438</v>
      </c>
      <c r="F254" s="2"/>
    </row>
    <row r="255" spans="1:6" ht="14" customHeight="1">
      <c r="A255" s="8">
        <v>11</v>
      </c>
      <c r="B255" s="7" t="str">
        <f>المدخلات!$F$5</f>
        <v>5:20–6:30 م</v>
      </c>
      <c r="C255" s="7">
        <v>8</v>
      </c>
      <c r="D255" s="7" t="s">
        <v>596</v>
      </c>
      <c r="E255" s="7" t="s">
        <v>800</v>
      </c>
      <c r="F255" s="2"/>
    </row>
    <row r="256" spans="1:6" ht="14" customHeight="1">
      <c r="A256" s="8">
        <v>11</v>
      </c>
      <c r="B256" s="7" t="str">
        <f>المدخلات!$F$6</f>
        <v>6:40–7:50 م</v>
      </c>
      <c r="C256" s="7">
        <v>7</v>
      </c>
      <c r="D256" s="7" t="s">
        <v>596</v>
      </c>
      <c r="E256" s="7" t="s">
        <v>1207</v>
      </c>
      <c r="F256" s="2"/>
    </row>
    <row r="257" spans="1:6" ht="14" customHeight="1">
      <c r="A257" s="8">
        <v>12</v>
      </c>
      <c r="B257" s="7" t="str">
        <f>المدخلات!$F$4</f>
        <v>4:00–5:10 م</v>
      </c>
      <c r="C257" s="7">
        <v>1</v>
      </c>
      <c r="D257" s="7" t="s">
        <v>593</v>
      </c>
      <c r="E257" s="7" t="s">
        <v>23</v>
      </c>
      <c r="F257" s="2"/>
    </row>
    <row r="258" spans="1:6" ht="14" customHeight="1">
      <c r="A258" s="8">
        <v>12</v>
      </c>
      <c r="B258" s="7" t="str">
        <f>المدخلات!$F$4</f>
        <v>4:00–5:10 م</v>
      </c>
      <c r="C258" s="7">
        <v>2</v>
      </c>
      <c r="D258" s="7" t="s">
        <v>593</v>
      </c>
      <c r="E258" s="7" t="s">
        <v>34</v>
      </c>
      <c r="F258" s="2"/>
    </row>
    <row r="259" spans="1:6" ht="14" customHeight="1">
      <c r="A259" s="8">
        <v>12</v>
      </c>
      <c r="B259" s="7" t="str">
        <f>المدخلات!$F$5</f>
        <v>5:20–6:30 م</v>
      </c>
      <c r="C259" s="7">
        <v>1</v>
      </c>
      <c r="D259" s="7" t="s">
        <v>593</v>
      </c>
      <c r="E259" s="7" t="s">
        <v>865</v>
      </c>
      <c r="F259" s="2"/>
    </row>
    <row r="260" spans="1:6" ht="14" customHeight="1">
      <c r="A260" s="8">
        <v>12</v>
      </c>
      <c r="B260" s="7" t="str">
        <f>المدخلات!$F$5</f>
        <v>5:20–6:30 م</v>
      </c>
      <c r="C260" s="7">
        <v>2</v>
      </c>
      <c r="D260" s="7" t="s">
        <v>593</v>
      </c>
      <c r="E260" s="7" t="s">
        <v>1064</v>
      </c>
      <c r="F260" s="2"/>
    </row>
    <row r="261" spans="1:6" ht="14" customHeight="1">
      <c r="A261" s="8">
        <v>12</v>
      </c>
      <c r="B261" s="7" t="str">
        <f>المدخلات!$F$6</f>
        <v>6:40–7:50 م</v>
      </c>
      <c r="C261" s="7">
        <v>1</v>
      </c>
      <c r="D261" s="7" t="s">
        <v>593</v>
      </c>
      <c r="E261" s="7" t="s">
        <v>1060</v>
      </c>
      <c r="F261" s="2"/>
    </row>
    <row r="262" spans="1:6" ht="14" customHeight="1">
      <c r="A262" s="8">
        <v>12</v>
      </c>
      <c r="B262" s="7" t="str">
        <f>المدخلات!$F$6</f>
        <v>6:40–7:50 م</v>
      </c>
      <c r="C262" s="7">
        <v>2</v>
      </c>
      <c r="D262" s="7" t="s">
        <v>593</v>
      </c>
      <c r="E262" s="7" t="s">
        <v>35</v>
      </c>
      <c r="F262" s="2"/>
    </row>
    <row r="263" spans="1:6" ht="14" customHeight="1">
      <c r="A263" s="8">
        <v>12</v>
      </c>
      <c r="B263" s="7" t="str">
        <f>المدخلات!$F$4</f>
        <v>4:00–5:10 م</v>
      </c>
      <c r="C263" s="7">
        <v>3</v>
      </c>
      <c r="D263" s="7" t="s">
        <v>594</v>
      </c>
      <c r="E263" s="7" t="s">
        <v>177</v>
      </c>
      <c r="F263" s="2"/>
    </row>
    <row r="264" spans="1:6" ht="14" customHeight="1">
      <c r="A264" s="8">
        <v>12</v>
      </c>
      <c r="B264" s="7" t="str">
        <f>المدخلات!$F$4</f>
        <v>4:00–5:10 م</v>
      </c>
      <c r="C264" s="7">
        <v>4</v>
      </c>
      <c r="D264" s="7" t="s">
        <v>594</v>
      </c>
      <c r="E264" s="7" t="s">
        <v>197</v>
      </c>
      <c r="F264" s="2"/>
    </row>
    <row r="265" spans="1:6" ht="14" customHeight="1">
      <c r="A265" s="8">
        <v>12</v>
      </c>
      <c r="B265" s="7" t="str">
        <f>المدخلات!$F$5</f>
        <v>5:20–6:30 م</v>
      </c>
      <c r="C265" s="7">
        <v>3</v>
      </c>
      <c r="D265" s="7" t="s">
        <v>594</v>
      </c>
      <c r="E265" s="7" t="s">
        <v>1222</v>
      </c>
      <c r="F265" s="2"/>
    </row>
    <row r="266" spans="1:6" ht="14" customHeight="1">
      <c r="A266" s="8">
        <v>12</v>
      </c>
      <c r="B266" s="7" t="str">
        <f>المدخلات!$F$5</f>
        <v>5:20–6:30 م</v>
      </c>
      <c r="C266" s="7">
        <v>4</v>
      </c>
      <c r="D266" s="7" t="s">
        <v>594</v>
      </c>
      <c r="E266" s="7" t="s">
        <v>856</v>
      </c>
      <c r="F266" s="2"/>
    </row>
    <row r="267" spans="1:6" ht="14" customHeight="1">
      <c r="A267" s="8">
        <v>12</v>
      </c>
      <c r="B267" s="7" t="str">
        <f>المدخلات!$F$6</f>
        <v>6:40–7:50 م</v>
      </c>
      <c r="C267" s="7">
        <v>3</v>
      </c>
      <c r="D267" s="7" t="s">
        <v>594</v>
      </c>
      <c r="E267" s="7" t="s">
        <v>851</v>
      </c>
      <c r="F267" s="2"/>
    </row>
    <row r="268" spans="1:6" ht="14" customHeight="1">
      <c r="A268" s="8">
        <v>12</v>
      </c>
      <c r="B268" s="7" t="str">
        <f>المدخلات!$F$6</f>
        <v>6:40–7:50 م</v>
      </c>
      <c r="C268" s="7">
        <v>4</v>
      </c>
      <c r="D268" s="7" t="s">
        <v>594</v>
      </c>
      <c r="E268" s="7" t="s">
        <v>212</v>
      </c>
      <c r="F268" s="2"/>
    </row>
    <row r="269" spans="1:6" ht="14" customHeight="1">
      <c r="A269" s="8">
        <v>12</v>
      </c>
      <c r="B269" s="7" t="str">
        <f>المدخلات!$F$4</f>
        <v>4:00–5:10 م</v>
      </c>
      <c r="C269" s="7">
        <v>5</v>
      </c>
      <c r="D269" s="7" t="s">
        <v>595</v>
      </c>
      <c r="E269" s="7" t="s">
        <v>283</v>
      </c>
      <c r="F269" s="2"/>
    </row>
    <row r="270" spans="1:6" ht="14" customHeight="1">
      <c r="A270" s="8">
        <v>12</v>
      </c>
      <c r="B270" s="7" t="str">
        <f>المدخلات!$F$4</f>
        <v>4:00–5:10 م</v>
      </c>
      <c r="C270" s="7">
        <v>6</v>
      </c>
      <c r="D270" s="7" t="s">
        <v>595</v>
      </c>
      <c r="E270" s="7" t="s">
        <v>292</v>
      </c>
      <c r="F270" s="2"/>
    </row>
    <row r="271" spans="1:6" ht="14" customHeight="1">
      <c r="A271" s="8">
        <v>12</v>
      </c>
      <c r="B271" s="7" t="str">
        <f>المدخلات!$F$5</f>
        <v>5:20–6:30 م</v>
      </c>
      <c r="C271" s="7">
        <v>5</v>
      </c>
      <c r="D271" s="7" t="s">
        <v>595</v>
      </c>
      <c r="E271" s="7" t="s">
        <v>1191</v>
      </c>
      <c r="F271" s="2"/>
    </row>
    <row r="272" spans="1:6" ht="14" customHeight="1">
      <c r="A272" s="8">
        <v>12</v>
      </c>
      <c r="B272" s="7" t="str">
        <f>المدخلات!$F$5</f>
        <v>5:20–6:30 م</v>
      </c>
      <c r="C272" s="7">
        <v>6</v>
      </c>
      <c r="D272" s="7" t="s">
        <v>595</v>
      </c>
      <c r="E272" s="7" t="s">
        <v>1223</v>
      </c>
      <c r="F272" s="2"/>
    </row>
    <row r="273" spans="1:6" ht="14" customHeight="1">
      <c r="A273" s="8">
        <v>12</v>
      </c>
      <c r="B273" s="7" t="str">
        <f>المدخلات!$F$6</f>
        <v>6:40–7:50 م</v>
      </c>
      <c r="C273" s="7">
        <v>5</v>
      </c>
      <c r="D273" s="7" t="s">
        <v>595</v>
      </c>
      <c r="E273" s="7" t="s">
        <v>1193</v>
      </c>
      <c r="F273" s="2"/>
    </row>
    <row r="274" spans="1:6" ht="14" customHeight="1">
      <c r="A274" s="8">
        <v>12</v>
      </c>
      <c r="B274" s="7" t="str">
        <f>المدخلات!$F$6</f>
        <v>6:40–7:50 م</v>
      </c>
      <c r="C274" s="7">
        <v>6</v>
      </c>
      <c r="D274" s="7" t="s">
        <v>595</v>
      </c>
      <c r="E274" s="7" t="s">
        <v>303</v>
      </c>
      <c r="F274" s="2"/>
    </row>
    <row r="275" spans="1:6" ht="14" customHeight="1">
      <c r="A275" s="8">
        <v>12</v>
      </c>
      <c r="B275" s="7" t="str">
        <f>المدخلات!$F$4</f>
        <v>4:00–5:10 م</v>
      </c>
      <c r="C275" s="7">
        <v>7</v>
      </c>
      <c r="D275" s="7" t="s">
        <v>596</v>
      </c>
      <c r="E275" s="7" t="s">
        <v>439</v>
      </c>
      <c r="F275" s="2"/>
    </row>
    <row r="276" spans="1:6" ht="14" customHeight="1">
      <c r="A276" s="8">
        <v>12</v>
      </c>
      <c r="B276" s="7" t="str">
        <f>المدخلات!$F$4</f>
        <v>4:00–5:10 م</v>
      </c>
      <c r="C276" s="7">
        <v>8</v>
      </c>
      <c r="D276" s="7" t="s">
        <v>596</v>
      </c>
      <c r="E276" s="7" t="s">
        <v>432</v>
      </c>
      <c r="F276" s="2"/>
    </row>
    <row r="277" spans="1:6" ht="14" customHeight="1">
      <c r="A277" s="8">
        <v>12</v>
      </c>
      <c r="B277" s="7" t="str">
        <f>المدخلات!$F$5</f>
        <v>5:20–6:30 م</v>
      </c>
      <c r="C277" s="7">
        <v>7</v>
      </c>
      <c r="D277" s="7" t="s">
        <v>596</v>
      </c>
      <c r="E277" s="7" t="s">
        <v>406</v>
      </c>
      <c r="F277" s="2"/>
    </row>
    <row r="278" spans="1:6" ht="14" customHeight="1">
      <c r="A278" s="8">
        <v>12</v>
      </c>
      <c r="B278" s="7" t="str">
        <f>المدخلات!$F$5</f>
        <v>5:20–6:30 م</v>
      </c>
      <c r="C278" s="7">
        <v>8</v>
      </c>
      <c r="D278" s="7" t="s">
        <v>596</v>
      </c>
      <c r="E278" s="7" t="s">
        <v>1224</v>
      </c>
      <c r="F278" s="2"/>
    </row>
    <row r="279" spans="1:6" ht="14" customHeight="1">
      <c r="A279" s="8">
        <v>12</v>
      </c>
      <c r="B279" s="7" t="str">
        <f>المدخلات!$F$6</f>
        <v>6:40–7:50 م</v>
      </c>
      <c r="C279" s="7">
        <v>7</v>
      </c>
      <c r="D279" s="7" t="s">
        <v>596</v>
      </c>
      <c r="E279" s="7" t="s">
        <v>396</v>
      </c>
      <c r="F279" s="2"/>
    </row>
    <row r="280" spans="1:6" ht="14" customHeight="1">
      <c r="A280" s="8">
        <v>13</v>
      </c>
      <c r="B280" s="7" t="str">
        <f>المدخلات!$F$4</f>
        <v>4:00–5:10 م</v>
      </c>
      <c r="C280" s="7">
        <v>1</v>
      </c>
      <c r="D280" s="7" t="s">
        <v>593</v>
      </c>
      <c r="E280" s="7" t="s">
        <v>1052</v>
      </c>
      <c r="F280" s="2"/>
    </row>
    <row r="281" spans="1:6" ht="14" customHeight="1">
      <c r="A281" s="8">
        <v>13</v>
      </c>
      <c r="B281" s="7" t="str">
        <f>المدخلات!$F$4</f>
        <v>4:00–5:10 م</v>
      </c>
      <c r="C281" s="7">
        <v>2</v>
      </c>
      <c r="D281" s="7" t="s">
        <v>593</v>
      </c>
      <c r="E281" s="7" t="s">
        <v>26</v>
      </c>
      <c r="F281" s="2"/>
    </row>
    <row r="282" spans="1:6" ht="14" customHeight="1">
      <c r="A282" s="8">
        <v>13</v>
      </c>
      <c r="B282" s="7" t="str">
        <f>المدخلات!$F$5</f>
        <v>5:20–6:30 م</v>
      </c>
      <c r="C282" s="7">
        <v>1</v>
      </c>
      <c r="D282" s="7" t="s">
        <v>593</v>
      </c>
      <c r="E282" s="7" t="s">
        <v>866</v>
      </c>
      <c r="F282" s="2"/>
    </row>
    <row r="283" spans="1:6" ht="14" customHeight="1">
      <c r="A283" s="8">
        <v>13</v>
      </c>
      <c r="B283" s="7" t="str">
        <f>المدخلات!$F$5</f>
        <v>5:20–6:30 م</v>
      </c>
      <c r="C283" s="7">
        <v>2</v>
      </c>
      <c r="D283" s="7" t="s">
        <v>593</v>
      </c>
      <c r="E283" s="7" t="s">
        <v>33</v>
      </c>
      <c r="F283" s="2"/>
    </row>
    <row r="284" spans="1:6" ht="14" customHeight="1">
      <c r="A284" s="8">
        <v>13</v>
      </c>
      <c r="B284" s="7" t="str">
        <f>المدخلات!$F$6</f>
        <v>6:40–7:50 م</v>
      </c>
      <c r="C284" s="7">
        <v>1</v>
      </c>
      <c r="D284" s="7" t="s">
        <v>593</v>
      </c>
      <c r="E284" s="7" t="s">
        <v>64</v>
      </c>
      <c r="F284" s="2"/>
    </row>
    <row r="285" spans="1:6" ht="14" customHeight="1">
      <c r="A285" s="8">
        <v>13</v>
      </c>
      <c r="B285" s="7" t="str">
        <f>المدخلات!$F$6</f>
        <v>6:40–7:50 م</v>
      </c>
      <c r="C285" s="7">
        <v>2</v>
      </c>
      <c r="D285" s="7" t="s">
        <v>593</v>
      </c>
      <c r="E285" s="7" t="s">
        <v>16</v>
      </c>
      <c r="F285" s="2"/>
    </row>
    <row r="286" spans="1:6" ht="14" customHeight="1">
      <c r="A286" s="8">
        <v>13</v>
      </c>
      <c r="B286" s="7" t="str">
        <f>المدخلات!$F$4</f>
        <v>4:00–5:10 م</v>
      </c>
      <c r="C286" s="7">
        <v>3</v>
      </c>
      <c r="D286" s="7" t="s">
        <v>594</v>
      </c>
      <c r="E286" s="7" t="s">
        <v>855</v>
      </c>
      <c r="F286" s="2"/>
    </row>
    <row r="287" spans="1:6" ht="14" customHeight="1">
      <c r="A287" s="8">
        <v>13</v>
      </c>
      <c r="B287" s="7" t="str">
        <f>المدخلات!$F$4</f>
        <v>4:00–5:10 م</v>
      </c>
      <c r="C287" s="7">
        <v>4</v>
      </c>
      <c r="D287" s="7" t="s">
        <v>594</v>
      </c>
      <c r="E287" s="7" t="s">
        <v>178</v>
      </c>
      <c r="F287" s="2"/>
    </row>
    <row r="288" spans="1:6" ht="14" customHeight="1">
      <c r="A288" s="8">
        <v>13</v>
      </c>
      <c r="B288" s="7" t="str">
        <f>المدخلات!$F$5</f>
        <v>5:20–6:30 م</v>
      </c>
      <c r="C288" s="7">
        <v>3</v>
      </c>
      <c r="D288" s="7" t="s">
        <v>594</v>
      </c>
      <c r="E288" s="7" t="s">
        <v>849</v>
      </c>
      <c r="F288" s="2"/>
    </row>
    <row r="289" spans="1:6" ht="14" customHeight="1">
      <c r="A289" s="8">
        <v>13</v>
      </c>
      <c r="B289" s="7" t="str">
        <f>المدخلات!$F$5</f>
        <v>5:20–6:30 م</v>
      </c>
      <c r="C289" s="7">
        <v>4</v>
      </c>
      <c r="D289" s="7" t="s">
        <v>594</v>
      </c>
      <c r="E289" s="7" t="s">
        <v>198</v>
      </c>
      <c r="F289" s="2"/>
    </row>
    <row r="290" spans="1:6" ht="14" customHeight="1">
      <c r="A290" s="8">
        <v>13</v>
      </c>
      <c r="B290" s="7" t="str">
        <f>المدخلات!$F$6</f>
        <v>6:40–7:50 م</v>
      </c>
      <c r="C290" s="7">
        <v>3</v>
      </c>
      <c r="D290" s="7" t="s">
        <v>594</v>
      </c>
      <c r="E290" s="7" t="s">
        <v>232</v>
      </c>
      <c r="F290" s="2"/>
    </row>
    <row r="291" spans="1:6" ht="14" customHeight="1">
      <c r="A291" s="8">
        <v>13</v>
      </c>
      <c r="B291" s="7" t="str">
        <f>المدخلات!$F$6</f>
        <v>6:40–7:50 م</v>
      </c>
      <c r="C291" s="7">
        <v>4</v>
      </c>
      <c r="D291" s="7" t="s">
        <v>594</v>
      </c>
      <c r="E291" s="7" t="s">
        <v>161</v>
      </c>
      <c r="F291" s="2"/>
    </row>
    <row r="292" spans="1:6" ht="14" customHeight="1">
      <c r="A292" s="8">
        <v>13</v>
      </c>
      <c r="B292" s="7" t="str">
        <f>المدخلات!$F$4</f>
        <v>4:00–5:10 م</v>
      </c>
      <c r="C292" s="7">
        <v>5</v>
      </c>
      <c r="D292" s="7" t="s">
        <v>595</v>
      </c>
      <c r="E292" s="7" t="s">
        <v>1203</v>
      </c>
      <c r="F292" s="2"/>
    </row>
    <row r="293" spans="1:6" ht="14" customHeight="1">
      <c r="A293" s="8">
        <v>13</v>
      </c>
      <c r="B293" s="7" t="str">
        <f>المدخلات!$F$4</f>
        <v>4:00–5:10 م</v>
      </c>
      <c r="C293" s="7">
        <v>6</v>
      </c>
      <c r="D293" s="7" t="s">
        <v>595</v>
      </c>
      <c r="E293" s="7" t="s">
        <v>284</v>
      </c>
      <c r="F293" s="2"/>
    </row>
    <row r="294" spans="1:6" ht="14" customHeight="1">
      <c r="A294" s="8">
        <v>13</v>
      </c>
      <c r="B294" s="7" t="str">
        <f>المدخلات!$F$5</f>
        <v>5:20–6:30 م</v>
      </c>
      <c r="C294" s="7">
        <v>5</v>
      </c>
      <c r="D294" s="7" t="s">
        <v>595</v>
      </c>
      <c r="E294" s="7" t="s">
        <v>906</v>
      </c>
      <c r="F294" s="2"/>
    </row>
    <row r="295" spans="1:6" ht="14" customHeight="1">
      <c r="A295" s="8">
        <v>13</v>
      </c>
      <c r="B295" s="7" t="str">
        <f>المدخلات!$F$5</f>
        <v>5:20–6:30 م</v>
      </c>
      <c r="C295" s="7">
        <v>6</v>
      </c>
      <c r="D295" s="7" t="s">
        <v>595</v>
      </c>
      <c r="E295" s="7" t="s">
        <v>293</v>
      </c>
      <c r="F295" s="2"/>
    </row>
    <row r="296" spans="1:6" ht="14" customHeight="1">
      <c r="A296" s="8">
        <v>13</v>
      </c>
      <c r="B296" s="7" t="str">
        <f>المدخلات!$F$6</f>
        <v>6:40–7:50 م</v>
      </c>
      <c r="C296" s="7">
        <v>5</v>
      </c>
      <c r="D296" s="7" t="s">
        <v>595</v>
      </c>
      <c r="E296" s="7" t="s">
        <v>342</v>
      </c>
      <c r="F296" s="2"/>
    </row>
    <row r="297" spans="1:6" ht="14" customHeight="1">
      <c r="A297" s="8">
        <v>13</v>
      </c>
      <c r="B297" s="7" t="str">
        <f>المدخلات!$F$6</f>
        <v>6:40–7:50 م</v>
      </c>
      <c r="C297" s="7">
        <v>6</v>
      </c>
      <c r="D297" s="7" t="s">
        <v>595</v>
      </c>
      <c r="E297" s="7" t="s">
        <v>273</v>
      </c>
      <c r="F297" s="2"/>
    </row>
    <row r="298" spans="1:6" ht="14" customHeight="1">
      <c r="A298" s="8">
        <v>13</v>
      </c>
      <c r="B298" s="7" t="str">
        <f>المدخلات!$F$4</f>
        <v>4:00–5:10 م</v>
      </c>
      <c r="C298" s="7">
        <v>7</v>
      </c>
      <c r="D298" s="7" t="s">
        <v>596</v>
      </c>
      <c r="E298" s="7" t="s">
        <v>424</v>
      </c>
      <c r="F298" s="2"/>
    </row>
    <row r="299" spans="1:6" ht="14" customHeight="1">
      <c r="A299" s="8">
        <v>13</v>
      </c>
      <c r="B299" s="7" t="str">
        <f>المدخلات!$F$4</f>
        <v>4:00–5:10 م</v>
      </c>
      <c r="C299" s="7">
        <v>8</v>
      </c>
      <c r="D299" s="7" t="s">
        <v>596</v>
      </c>
      <c r="E299" s="7" t="s">
        <v>417</v>
      </c>
      <c r="F299" s="2"/>
    </row>
    <row r="300" spans="1:6" ht="14" customHeight="1">
      <c r="A300" s="8">
        <v>13</v>
      </c>
      <c r="B300" s="7" t="str">
        <f>المدخلات!$F$5</f>
        <v>5:20–6:30 م</v>
      </c>
      <c r="C300" s="7">
        <v>7</v>
      </c>
      <c r="D300" s="7" t="s">
        <v>596</v>
      </c>
      <c r="E300" s="7" t="s">
        <v>755</v>
      </c>
      <c r="F300" s="2"/>
    </row>
    <row r="301" spans="1:6" ht="14" customHeight="1">
      <c r="A301" s="8">
        <v>13</v>
      </c>
      <c r="B301" s="7" t="str">
        <f>المدخلات!$F$5</f>
        <v>5:20–6:30 م</v>
      </c>
      <c r="C301" s="7">
        <v>8</v>
      </c>
      <c r="D301" s="7" t="s">
        <v>596</v>
      </c>
      <c r="E301" s="7" t="s">
        <v>391</v>
      </c>
      <c r="F301" s="2"/>
    </row>
    <row r="302" spans="1:6" ht="14" customHeight="1">
      <c r="A302" s="8">
        <v>13</v>
      </c>
      <c r="B302" s="7" t="str">
        <f>المدخلات!$F$6</f>
        <v>6:40–7:50 م</v>
      </c>
      <c r="C302" s="7">
        <v>7</v>
      </c>
      <c r="D302" s="7" t="s">
        <v>596</v>
      </c>
      <c r="E302" s="7" t="s">
        <v>433</v>
      </c>
      <c r="F302" s="2"/>
    </row>
    <row r="303" spans="1:6" ht="14" customHeight="1">
      <c r="A303" s="8">
        <v>14</v>
      </c>
      <c r="B303" s="7" t="str">
        <f>المدخلات!$F$4</f>
        <v>4:00–5:10 م</v>
      </c>
      <c r="C303" s="7">
        <v>1</v>
      </c>
      <c r="D303" s="7" t="s">
        <v>593</v>
      </c>
      <c r="E303" s="7" t="s">
        <v>12</v>
      </c>
      <c r="F303" s="2"/>
    </row>
    <row r="304" spans="1:6" ht="14" customHeight="1">
      <c r="A304" s="8">
        <v>14</v>
      </c>
      <c r="B304" s="7" t="str">
        <f>المدخلات!$F$4</f>
        <v>4:00–5:10 م</v>
      </c>
      <c r="C304" s="7">
        <v>2</v>
      </c>
      <c r="D304" s="7" t="s">
        <v>593</v>
      </c>
      <c r="E304" s="7" t="s">
        <v>1054</v>
      </c>
      <c r="F304" s="2"/>
    </row>
    <row r="305" spans="1:6" ht="14" customHeight="1">
      <c r="A305" s="8">
        <v>14</v>
      </c>
      <c r="B305" s="7" t="str">
        <f>المدخلات!$F$5</f>
        <v>5:20–6:30 م</v>
      </c>
      <c r="C305" s="7">
        <v>1</v>
      </c>
      <c r="D305" s="7" t="s">
        <v>593</v>
      </c>
      <c r="E305" s="7" t="s">
        <v>52</v>
      </c>
      <c r="F305" s="2"/>
    </row>
    <row r="306" spans="1:6" ht="14" customHeight="1">
      <c r="A306" s="8">
        <v>14</v>
      </c>
      <c r="B306" s="7" t="str">
        <f>المدخلات!$F$5</f>
        <v>5:20–6:30 م</v>
      </c>
      <c r="C306" s="7">
        <v>2</v>
      </c>
      <c r="D306" s="7" t="s">
        <v>593</v>
      </c>
      <c r="E306" s="7" t="s">
        <v>68</v>
      </c>
      <c r="F306" s="2"/>
    </row>
    <row r="307" spans="1:6" ht="14" customHeight="1">
      <c r="A307" s="8">
        <v>14</v>
      </c>
      <c r="B307" s="7" t="str">
        <f>المدخلات!$F$6</f>
        <v>6:40–7:50 م</v>
      </c>
      <c r="C307" s="7">
        <v>1</v>
      </c>
      <c r="D307" s="7" t="s">
        <v>593</v>
      </c>
      <c r="E307" s="7" t="s">
        <v>22</v>
      </c>
      <c r="F307" s="2"/>
    </row>
    <row r="308" spans="1:6" ht="14" customHeight="1">
      <c r="A308" s="8">
        <v>14</v>
      </c>
      <c r="B308" s="7" t="str">
        <f>المدخلات!$F$6</f>
        <v>6:40–7:50 م</v>
      </c>
      <c r="C308" s="7">
        <v>2</v>
      </c>
      <c r="D308" s="7" t="s">
        <v>593</v>
      </c>
      <c r="E308" s="7" t="s">
        <v>10</v>
      </c>
      <c r="F308" s="2"/>
    </row>
    <row r="309" spans="1:6" ht="14" customHeight="1">
      <c r="A309" s="8">
        <v>14</v>
      </c>
      <c r="B309" s="7" t="str">
        <f>المدخلات!$F$4</f>
        <v>4:00–5:10 م</v>
      </c>
      <c r="C309" s="7">
        <v>3</v>
      </c>
      <c r="D309" s="7" t="s">
        <v>594</v>
      </c>
      <c r="E309" s="7" t="s">
        <v>162</v>
      </c>
      <c r="F309" s="2"/>
    </row>
    <row r="310" spans="1:6" ht="14" customHeight="1">
      <c r="A310" s="8">
        <v>14</v>
      </c>
      <c r="B310" s="7" t="str">
        <f>المدخلات!$F$4</f>
        <v>4:00–5:10 م</v>
      </c>
      <c r="C310" s="7">
        <v>4</v>
      </c>
      <c r="D310" s="7" t="s">
        <v>594</v>
      </c>
      <c r="E310" s="7" t="s">
        <v>850</v>
      </c>
      <c r="F310" s="2"/>
    </row>
    <row r="311" spans="1:6" ht="14" customHeight="1">
      <c r="A311" s="8">
        <v>14</v>
      </c>
      <c r="B311" s="7" t="str">
        <f>المدخلات!$F$5</f>
        <v>5:20–6:30 م</v>
      </c>
      <c r="C311" s="7">
        <v>3</v>
      </c>
      <c r="D311" s="7" t="s">
        <v>594</v>
      </c>
      <c r="E311" s="7" t="s">
        <v>229</v>
      </c>
      <c r="F311" s="2"/>
    </row>
    <row r="312" spans="1:6" ht="14" customHeight="1">
      <c r="A312" s="8">
        <v>14</v>
      </c>
      <c r="B312" s="7" t="str">
        <f>المدخلات!$F$5</f>
        <v>5:20–6:30 م</v>
      </c>
      <c r="C312" s="7">
        <v>4</v>
      </c>
      <c r="D312" s="7" t="s">
        <v>594</v>
      </c>
      <c r="E312" s="7" t="s">
        <v>233</v>
      </c>
      <c r="F312" s="2"/>
    </row>
    <row r="313" spans="1:6" ht="14" customHeight="1">
      <c r="A313" s="8">
        <v>14</v>
      </c>
      <c r="B313" s="7" t="str">
        <f>المدخلات!$F$6</f>
        <v>6:40–7:50 م</v>
      </c>
      <c r="C313" s="7">
        <v>3</v>
      </c>
      <c r="D313" s="7" t="s">
        <v>594</v>
      </c>
      <c r="E313" s="7" t="s">
        <v>179</v>
      </c>
      <c r="F313" s="2"/>
    </row>
    <row r="314" spans="1:6" ht="14" customHeight="1">
      <c r="A314" s="8">
        <v>14</v>
      </c>
      <c r="B314" s="7" t="str">
        <f>المدخلات!$F$6</f>
        <v>6:40–7:50 م</v>
      </c>
      <c r="C314" s="7">
        <v>4</v>
      </c>
      <c r="D314" s="7" t="s">
        <v>594</v>
      </c>
      <c r="E314" s="7" t="s">
        <v>151</v>
      </c>
      <c r="F314" s="2"/>
    </row>
    <row r="315" spans="1:6" ht="14" customHeight="1">
      <c r="A315" s="8">
        <v>14</v>
      </c>
      <c r="B315" s="7" t="str">
        <f>المدخلات!$F$4</f>
        <v>4:00–5:10 م</v>
      </c>
      <c r="C315" s="7">
        <v>5</v>
      </c>
      <c r="D315" s="7" t="s">
        <v>595</v>
      </c>
      <c r="E315" s="7" t="s">
        <v>274</v>
      </c>
      <c r="F315" s="2"/>
    </row>
    <row r="316" spans="1:6" ht="14" customHeight="1">
      <c r="A316" s="8">
        <v>14</v>
      </c>
      <c r="B316" s="7" t="str">
        <f>المدخلات!$F$4</f>
        <v>4:00–5:10 م</v>
      </c>
      <c r="C316" s="7">
        <v>6</v>
      </c>
      <c r="D316" s="7" t="s">
        <v>595</v>
      </c>
      <c r="E316" s="7" t="s">
        <v>1225</v>
      </c>
      <c r="F316" s="2"/>
    </row>
    <row r="317" spans="1:6" ht="14" customHeight="1">
      <c r="A317" s="8">
        <v>14</v>
      </c>
      <c r="B317" s="7" t="str">
        <f>المدخلات!$F$5</f>
        <v>5:20–6:30 م</v>
      </c>
      <c r="C317" s="7">
        <v>5</v>
      </c>
      <c r="D317" s="7" t="s">
        <v>595</v>
      </c>
      <c r="E317" s="7" t="s">
        <v>337</v>
      </c>
      <c r="F317" s="2"/>
    </row>
    <row r="318" spans="1:6" ht="14" customHeight="1">
      <c r="A318" s="8">
        <v>14</v>
      </c>
      <c r="B318" s="7" t="str">
        <f>المدخلات!$F$5</f>
        <v>5:20–6:30 م</v>
      </c>
      <c r="C318" s="7">
        <v>6</v>
      </c>
      <c r="D318" s="7" t="s">
        <v>595</v>
      </c>
      <c r="E318" s="7" t="s">
        <v>343</v>
      </c>
      <c r="F318" s="2"/>
    </row>
    <row r="319" spans="1:6" ht="14" customHeight="1">
      <c r="A319" s="8">
        <v>14</v>
      </c>
      <c r="B319" s="7" t="str">
        <f>المدخلات!$F$6</f>
        <v>6:40–7:50 م</v>
      </c>
      <c r="C319" s="7">
        <v>5</v>
      </c>
      <c r="D319" s="7" t="s">
        <v>595</v>
      </c>
      <c r="E319" s="7" t="s">
        <v>285</v>
      </c>
      <c r="F319" s="2"/>
    </row>
    <row r="320" spans="1:6" ht="14" customHeight="1">
      <c r="A320" s="8">
        <v>14</v>
      </c>
      <c r="B320" s="7" t="str">
        <f>المدخلات!$F$6</f>
        <v>6:40–7:50 م</v>
      </c>
      <c r="C320" s="7">
        <v>6</v>
      </c>
      <c r="D320" s="7" t="s">
        <v>595</v>
      </c>
      <c r="E320" s="7" t="s">
        <v>267</v>
      </c>
      <c r="F320" s="2"/>
    </row>
    <row r="321" spans="1:6" ht="14" customHeight="1">
      <c r="A321" s="8">
        <v>14</v>
      </c>
      <c r="B321" s="7" t="str">
        <f>المدخلات!$F$4</f>
        <v>4:00–5:10 م</v>
      </c>
      <c r="C321" s="7">
        <v>7</v>
      </c>
      <c r="D321" s="7" t="s">
        <v>596</v>
      </c>
      <c r="E321" s="7" t="s">
        <v>779</v>
      </c>
      <c r="F321" s="2"/>
    </row>
    <row r="322" spans="1:6" ht="14" customHeight="1">
      <c r="A322" s="8">
        <v>14</v>
      </c>
      <c r="B322" s="7" t="str">
        <f>المدخلات!$F$4</f>
        <v>4:00–5:10 م</v>
      </c>
      <c r="C322" s="7">
        <v>8</v>
      </c>
      <c r="D322" s="7" t="s">
        <v>596</v>
      </c>
      <c r="E322" s="7" t="s">
        <v>425</v>
      </c>
      <c r="F322" s="2"/>
    </row>
    <row r="323" spans="1:6" ht="14" customHeight="1">
      <c r="A323" s="8">
        <v>14</v>
      </c>
      <c r="B323" s="7" t="str">
        <f>المدخلات!$F$5</f>
        <v>5:20–6:30 م</v>
      </c>
      <c r="C323" s="7">
        <v>7</v>
      </c>
      <c r="D323" s="7" t="s">
        <v>596</v>
      </c>
      <c r="E323" s="7" t="s">
        <v>778</v>
      </c>
      <c r="F323" s="2"/>
    </row>
    <row r="324" spans="1:6" ht="14" customHeight="1">
      <c r="A324" s="8">
        <v>14</v>
      </c>
      <c r="B324" s="7" t="str">
        <f>المدخلات!$F$5</f>
        <v>5:20–6:30 م</v>
      </c>
      <c r="C324" s="7">
        <v>8</v>
      </c>
      <c r="D324" s="7" t="s">
        <v>596</v>
      </c>
      <c r="E324" s="7" t="s">
        <v>776</v>
      </c>
      <c r="F324" s="2"/>
    </row>
    <row r="325" spans="1:6" ht="14" customHeight="1">
      <c r="A325" s="8">
        <v>14</v>
      </c>
      <c r="B325" s="7" t="str">
        <f>المدخلات!$F$6</f>
        <v>6:40–7:50 م</v>
      </c>
      <c r="C325" s="7">
        <v>7</v>
      </c>
      <c r="D325" s="7" t="s">
        <v>596</v>
      </c>
      <c r="E325" s="7" t="s">
        <v>412</v>
      </c>
      <c r="F325" s="2"/>
    </row>
    <row r="326" spans="1:6" ht="14" customHeight="1">
      <c r="A326" s="8">
        <v>15</v>
      </c>
      <c r="B326" s="7" t="str">
        <f>المدخلات!$F$4</f>
        <v>4:00–5:10 م</v>
      </c>
      <c r="C326" s="7">
        <v>1</v>
      </c>
      <c r="D326" s="7" t="s">
        <v>593</v>
      </c>
      <c r="E326" s="7" t="s">
        <v>60</v>
      </c>
      <c r="F326" s="2"/>
    </row>
    <row r="327" spans="1:6" ht="14" customHeight="1">
      <c r="A327" s="8">
        <v>15</v>
      </c>
      <c r="B327" s="7" t="str">
        <f>المدخلات!$F$4</f>
        <v>4:00–5:10 م</v>
      </c>
      <c r="C327" s="7">
        <v>2</v>
      </c>
      <c r="D327" s="7" t="s">
        <v>593</v>
      </c>
      <c r="E327" s="7" t="s">
        <v>19</v>
      </c>
      <c r="F327" s="2"/>
    </row>
    <row r="328" spans="1:6" ht="14" customHeight="1">
      <c r="A328" s="8">
        <v>15</v>
      </c>
      <c r="B328" s="7" t="str">
        <f>المدخلات!$F$5</f>
        <v>5:20–6:30 م</v>
      </c>
      <c r="C328" s="7">
        <v>1</v>
      </c>
      <c r="D328" s="7" t="s">
        <v>593</v>
      </c>
      <c r="E328" s="7" t="s">
        <v>7</v>
      </c>
      <c r="F328" s="2"/>
    </row>
    <row r="329" spans="1:6" ht="14" customHeight="1">
      <c r="A329" s="8">
        <v>15</v>
      </c>
      <c r="B329" s="7" t="str">
        <f>المدخلات!$F$5</f>
        <v>5:20–6:30 م</v>
      </c>
      <c r="C329" s="7">
        <v>2</v>
      </c>
      <c r="D329" s="7" t="s">
        <v>593</v>
      </c>
      <c r="E329" s="7" t="s">
        <v>742</v>
      </c>
      <c r="F329" s="2"/>
    </row>
    <row r="330" spans="1:6" ht="14" customHeight="1">
      <c r="A330" s="8">
        <v>15</v>
      </c>
      <c r="B330" s="7" t="str">
        <f>المدخلات!$F$6</f>
        <v>6:40–7:50 م</v>
      </c>
      <c r="C330" s="7">
        <v>1</v>
      </c>
      <c r="D330" s="7" t="s">
        <v>593</v>
      </c>
      <c r="E330" s="7" t="s">
        <v>45</v>
      </c>
      <c r="F330" s="2"/>
    </row>
    <row r="331" spans="1:6" ht="14" customHeight="1">
      <c r="A331" s="8">
        <v>15</v>
      </c>
      <c r="B331" s="7" t="str">
        <f>المدخلات!$F$6</f>
        <v>6:40–7:50 م</v>
      </c>
      <c r="C331" s="7">
        <v>2</v>
      </c>
      <c r="D331" s="7" t="s">
        <v>593</v>
      </c>
      <c r="E331" s="7" t="s">
        <v>36</v>
      </c>
      <c r="F331" s="2"/>
    </row>
    <row r="332" spans="1:6" ht="14" customHeight="1">
      <c r="A332" s="8">
        <v>15</v>
      </c>
      <c r="B332" s="7" t="str">
        <f>المدخلات!$F$4</f>
        <v>4:00–5:10 م</v>
      </c>
      <c r="C332" s="7">
        <v>3</v>
      </c>
      <c r="D332" s="7" t="s">
        <v>594</v>
      </c>
      <c r="E332" s="7" t="s">
        <v>228</v>
      </c>
      <c r="F332" s="2"/>
    </row>
    <row r="333" spans="1:6" ht="14" customHeight="1">
      <c r="A333" s="8">
        <v>15</v>
      </c>
      <c r="B333" s="7" t="str">
        <f>المدخلات!$F$4</f>
        <v>4:00–5:10 م</v>
      </c>
      <c r="C333" s="7">
        <v>4</v>
      </c>
      <c r="D333" s="7" t="s">
        <v>594</v>
      </c>
      <c r="E333" s="7" t="s">
        <v>129</v>
      </c>
      <c r="F333" s="2"/>
    </row>
    <row r="334" spans="1:6" ht="14" customHeight="1">
      <c r="A334" s="8">
        <v>15</v>
      </c>
      <c r="B334" s="7" t="str">
        <f>المدخلات!$F$5</f>
        <v>5:20–6:30 م</v>
      </c>
      <c r="C334" s="7">
        <v>3</v>
      </c>
      <c r="D334" s="7" t="s">
        <v>594</v>
      </c>
      <c r="E334" s="7" t="s">
        <v>152</v>
      </c>
      <c r="F334" s="2"/>
    </row>
    <row r="335" spans="1:6" ht="14" customHeight="1">
      <c r="A335" s="8">
        <v>15</v>
      </c>
      <c r="B335" s="7" t="str">
        <f>المدخلات!$F$5</f>
        <v>5:20–6:30 م</v>
      </c>
      <c r="C335" s="7">
        <v>4</v>
      </c>
      <c r="D335" s="7" t="s">
        <v>594</v>
      </c>
      <c r="E335" s="7" t="s">
        <v>629</v>
      </c>
      <c r="F335" s="2"/>
    </row>
    <row r="336" spans="1:6" ht="14" customHeight="1">
      <c r="A336" s="8">
        <v>15</v>
      </c>
      <c r="B336" s="7" t="str">
        <f>المدخلات!$F$6</f>
        <v>6:40–7:50 م</v>
      </c>
      <c r="C336" s="7">
        <v>3</v>
      </c>
      <c r="D336" s="7" t="s">
        <v>594</v>
      </c>
      <c r="E336" s="7" t="s">
        <v>219</v>
      </c>
      <c r="F336" s="2"/>
    </row>
    <row r="337" spans="1:6" ht="14" customHeight="1">
      <c r="A337" s="8">
        <v>15</v>
      </c>
      <c r="B337" s="7" t="str">
        <f>المدخلات!$F$6</f>
        <v>6:40–7:50 م</v>
      </c>
      <c r="C337" s="7">
        <v>4</v>
      </c>
      <c r="D337" s="7" t="s">
        <v>594</v>
      </c>
      <c r="E337" s="7" t="s">
        <v>208</v>
      </c>
      <c r="F337" s="2"/>
    </row>
    <row r="338" spans="1:6" ht="14" customHeight="1">
      <c r="A338" s="8">
        <v>15</v>
      </c>
      <c r="B338" s="7" t="str">
        <f>المدخلات!$F$4</f>
        <v>4:00–5:10 م</v>
      </c>
      <c r="C338" s="7">
        <v>5</v>
      </c>
      <c r="D338" s="7" t="s">
        <v>595</v>
      </c>
      <c r="E338" s="7" t="s">
        <v>338</v>
      </c>
      <c r="F338" s="2"/>
    </row>
    <row r="339" spans="1:6" ht="14" customHeight="1">
      <c r="A339" s="8">
        <v>15</v>
      </c>
      <c r="B339" s="7" t="str">
        <f>المدخلات!$F$4</f>
        <v>4:00–5:10 م</v>
      </c>
      <c r="C339" s="7">
        <v>6</v>
      </c>
      <c r="D339" s="7" t="s">
        <v>595</v>
      </c>
      <c r="E339" s="7" t="s">
        <v>259</v>
      </c>
      <c r="F339" s="2"/>
    </row>
    <row r="340" spans="1:6" ht="14" customHeight="1">
      <c r="A340" s="8">
        <v>15</v>
      </c>
      <c r="B340" s="7" t="str">
        <f>المدخلات!$F$5</f>
        <v>5:20–6:30 م</v>
      </c>
      <c r="C340" s="7">
        <v>5</v>
      </c>
      <c r="D340" s="7" t="s">
        <v>595</v>
      </c>
      <c r="E340" s="7" t="s">
        <v>268</v>
      </c>
      <c r="F340" s="2"/>
    </row>
    <row r="341" spans="1:6" ht="14" customHeight="1">
      <c r="A341" s="8">
        <v>15</v>
      </c>
      <c r="B341" s="7" t="str">
        <f>المدخلات!$F$5</f>
        <v>5:20–6:30 م</v>
      </c>
      <c r="C341" s="7">
        <v>6</v>
      </c>
      <c r="D341" s="7" t="s">
        <v>595</v>
      </c>
      <c r="E341" s="7" t="s">
        <v>894</v>
      </c>
      <c r="F341" s="2"/>
    </row>
    <row r="342" spans="1:6" ht="14" customHeight="1">
      <c r="A342" s="8">
        <v>15</v>
      </c>
      <c r="B342" s="7" t="str">
        <f>المدخلات!$F$6</f>
        <v>6:40–7:50 م</v>
      </c>
      <c r="C342" s="7">
        <v>5</v>
      </c>
      <c r="D342" s="7" t="s">
        <v>595</v>
      </c>
      <c r="E342" s="7" t="s">
        <v>308</v>
      </c>
      <c r="F342" s="2"/>
    </row>
    <row r="343" spans="1:6" ht="14" customHeight="1">
      <c r="A343" s="8">
        <v>15</v>
      </c>
      <c r="B343" s="7" t="str">
        <f>المدخلات!$F$6</f>
        <v>6:40–7:50 م</v>
      </c>
      <c r="C343" s="7">
        <v>6</v>
      </c>
      <c r="D343" s="7" t="s">
        <v>595</v>
      </c>
      <c r="E343" s="7" t="s">
        <v>300</v>
      </c>
      <c r="F343" s="2"/>
    </row>
    <row r="344" spans="1:6" ht="14" customHeight="1">
      <c r="A344" s="8">
        <v>15</v>
      </c>
      <c r="B344" s="7" t="str">
        <f>المدخلات!$F$4</f>
        <v>4:00–5:10 م</v>
      </c>
      <c r="C344" s="7">
        <v>7</v>
      </c>
      <c r="D344" s="7" t="s">
        <v>596</v>
      </c>
      <c r="E344" s="7" t="s">
        <v>816</v>
      </c>
      <c r="F344" s="2"/>
    </row>
    <row r="345" spans="1:6" ht="14" customHeight="1">
      <c r="A345" s="8">
        <v>15</v>
      </c>
      <c r="B345" s="7" t="str">
        <f>المدخلات!$F$4</f>
        <v>4:00–5:10 م</v>
      </c>
      <c r="C345" s="7">
        <v>8</v>
      </c>
      <c r="D345" s="7" t="s">
        <v>596</v>
      </c>
      <c r="E345" s="7" t="s">
        <v>440</v>
      </c>
      <c r="F345" s="2"/>
    </row>
    <row r="346" spans="1:6" ht="14" customHeight="1">
      <c r="A346" s="8">
        <v>15</v>
      </c>
      <c r="B346" s="7" t="str">
        <f>المدخلات!$F$5</f>
        <v>5:20–6:30 م</v>
      </c>
      <c r="C346" s="7">
        <v>7</v>
      </c>
      <c r="D346" s="7" t="s">
        <v>596</v>
      </c>
      <c r="E346" s="7" t="s">
        <v>409</v>
      </c>
      <c r="F346" s="2"/>
    </row>
    <row r="347" spans="1:6" ht="14" customHeight="1">
      <c r="A347" s="8">
        <v>15</v>
      </c>
      <c r="B347" s="7" t="str">
        <f>المدخلات!$F$5</f>
        <v>5:20–6:30 م</v>
      </c>
      <c r="C347" s="7">
        <v>8</v>
      </c>
      <c r="D347" s="7" t="s">
        <v>596</v>
      </c>
      <c r="E347" s="7" t="s">
        <v>799</v>
      </c>
      <c r="F347" s="2"/>
    </row>
    <row r="348" spans="1:6" ht="14" customHeight="1">
      <c r="A348" s="8">
        <v>15</v>
      </c>
      <c r="B348" s="7" t="str">
        <f>المدخلات!$F$6</f>
        <v>6:40–7:50 م</v>
      </c>
      <c r="C348" s="7">
        <v>7</v>
      </c>
      <c r="D348" s="7" t="s">
        <v>596</v>
      </c>
      <c r="E348" s="7" t="s">
        <v>1210</v>
      </c>
      <c r="F348" s="2"/>
    </row>
    <row r="349" spans="1:6" ht="14" customHeight="1">
      <c r="A349" s="8">
        <v>16</v>
      </c>
      <c r="B349" s="7" t="str">
        <f>المدخلات!$F$4</f>
        <v>4:00–5:10 م</v>
      </c>
      <c r="C349" s="7">
        <v>1</v>
      </c>
      <c r="D349" s="7" t="s">
        <v>593</v>
      </c>
      <c r="E349" s="7" t="s">
        <v>29</v>
      </c>
      <c r="F349" s="2"/>
    </row>
    <row r="350" spans="1:6" ht="14" customHeight="1">
      <c r="A350" s="8">
        <v>16</v>
      </c>
      <c r="B350" s="7" t="str">
        <f>المدخلات!$F$4</f>
        <v>4:00–5:10 م</v>
      </c>
      <c r="C350" s="7">
        <v>2</v>
      </c>
      <c r="D350" s="7" t="s">
        <v>593</v>
      </c>
      <c r="E350" s="7" t="s">
        <v>51</v>
      </c>
      <c r="F350" s="2"/>
    </row>
    <row r="351" spans="1:6" ht="14" customHeight="1">
      <c r="A351" s="8">
        <v>16</v>
      </c>
      <c r="B351" s="7" t="str">
        <f>المدخلات!$F$5</f>
        <v>5:20–6:30 م</v>
      </c>
      <c r="C351" s="7">
        <v>1</v>
      </c>
      <c r="D351" s="7" t="s">
        <v>593</v>
      </c>
      <c r="E351" s="7" t="s">
        <v>42</v>
      </c>
      <c r="F351" s="2"/>
    </row>
    <row r="352" spans="1:6" ht="14" customHeight="1">
      <c r="A352" s="8">
        <v>16</v>
      </c>
      <c r="B352" s="7" t="str">
        <f>المدخلات!$F$5</f>
        <v>5:20–6:30 م</v>
      </c>
      <c r="C352" s="7">
        <v>2</v>
      </c>
      <c r="D352" s="7" t="s">
        <v>593</v>
      </c>
      <c r="E352" s="7" t="s">
        <v>767</v>
      </c>
      <c r="F352" s="2"/>
    </row>
    <row r="353" spans="1:6" ht="14" customHeight="1">
      <c r="A353" s="8">
        <v>16</v>
      </c>
      <c r="B353" s="7" t="str">
        <f>المدخلات!$F$6</f>
        <v>6:40–7:50 م</v>
      </c>
      <c r="C353" s="7">
        <v>1</v>
      </c>
      <c r="D353" s="7" t="s">
        <v>593</v>
      </c>
      <c r="E353" s="7" t="s">
        <v>17</v>
      </c>
      <c r="F353" s="2"/>
    </row>
    <row r="354" spans="1:6" ht="14" customHeight="1">
      <c r="A354" s="8">
        <v>16</v>
      </c>
      <c r="B354" s="7" t="str">
        <f>المدخلات!$F$6</f>
        <v>6:40–7:50 م</v>
      </c>
      <c r="C354" s="7">
        <v>2</v>
      </c>
      <c r="D354" s="7" t="s">
        <v>593</v>
      </c>
      <c r="E354" s="7" t="s">
        <v>61</v>
      </c>
      <c r="F354" s="2"/>
    </row>
    <row r="355" spans="1:6" ht="14" customHeight="1">
      <c r="A355" s="8">
        <v>16</v>
      </c>
      <c r="B355" s="7" t="str">
        <f>المدخلات!$F$4</f>
        <v>4:00–5:10 م</v>
      </c>
      <c r="C355" s="7">
        <v>3</v>
      </c>
      <c r="D355" s="7" t="s">
        <v>594</v>
      </c>
      <c r="E355" s="7" t="s">
        <v>199</v>
      </c>
      <c r="F355" s="2"/>
    </row>
    <row r="356" spans="1:6" ht="14" customHeight="1">
      <c r="A356" s="8">
        <v>16</v>
      </c>
      <c r="B356" s="7" t="str">
        <f>المدخلات!$F$4</f>
        <v>4:00–5:10 م</v>
      </c>
      <c r="C356" s="7">
        <v>4</v>
      </c>
      <c r="D356" s="7" t="s">
        <v>594</v>
      </c>
      <c r="E356" s="7" t="s">
        <v>220</v>
      </c>
      <c r="F356" s="2"/>
    </row>
    <row r="357" spans="1:6" ht="14" customHeight="1">
      <c r="A357" s="8">
        <v>16</v>
      </c>
      <c r="B357" s="7" t="str">
        <f>المدخلات!$F$5</f>
        <v>5:20–6:30 م</v>
      </c>
      <c r="C357" s="7">
        <v>3</v>
      </c>
      <c r="D357" s="7" t="s">
        <v>594</v>
      </c>
      <c r="E357" s="7" t="s">
        <v>205</v>
      </c>
      <c r="F357" s="2"/>
    </row>
    <row r="358" spans="1:6" ht="14" customHeight="1">
      <c r="A358" s="8">
        <v>16</v>
      </c>
      <c r="B358" s="7" t="str">
        <f>المدخلات!$F$5</f>
        <v>5:20–6:30 م</v>
      </c>
      <c r="C358" s="7">
        <v>4</v>
      </c>
      <c r="D358" s="7" t="s">
        <v>594</v>
      </c>
      <c r="E358" s="7" t="s">
        <v>860</v>
      </c>
      <c r="F358" s="2"/>
    </row>
    <row r="359" spans="1:6" ht="14" customHeight="1">
      <c r="A359" s="8">
        <v>16</v>
      </c>
      <c r="B359" s="7" t="str">
        <f>المدخلات!$F$6</f>
        <v>6:40–7:50 م</v>
      </c>
      <c r="C359" s="7">
        <v>3</v>
      </c>
      <c r="D359" s="7" t="s">
        <v>594</v>
      </c>
      <c r="E359" s="7" t="s">
        <v>103</v>
      </c>
      <c r="F359" s="2"/>
    </row>
    <row r="360" spans="1:6" ht="14" customHeight="1">
      <c r="A360" s="8">
        <v>16</v>
      </c>
      <c r="B360" s="7" t="str">
        <f>المدخلات!$F$6</f>
        <v>6:40–7:50 م</v>
      </c>
      <c r="C360" s="7">
        <v>4</v>
      </c>
      <c r="D360" s="7" t="s">
        <v>594</v>
      </c>
      <c r="E360" s="7" t="s">
        <v>587</v>
      </c>
      <c r="F360" s="2"/>
    </row>
    <row r="361" spans="1:6" ht="14" customHeight="1">
      <c r="A361" s="8">
        <v>16</v>
      </c>
      <c r="B361" s="7" t="str">
        <f>المدخلات!$F$4</f>
        <v>4:00–5:10 م</v>
      </c>
      <c r="C361" s="7">
        <v>5</v>
      </c>
      <c r="D361" s="7" t="s">
        <v>595</v>
      </c>
      <c r="E361" s="7" t="s">
        <v>294</v>
      </c>
      <c r="F361" s="2"/>
    </row>
    <row r="362" spans="1:6" ht="14" customHeight="1">
      <c r="A362" s="8">
        <v>16</v>
      </c>
      <c r="B362" s="7" t="str">
        <f>المدخلات!$F$4</f>
        <v>4:00–5:10 م</v>
      </c>
      <c r="C362" s="7">
        <v>6</v>
      </c>
      <c r="D362" s="7" t="s">
        <v>595</v>
      </c>
      <c r="E362" s="7" t="s">
        <v>311</v>
      </c>
      <c r="F362" s="2"/>
    </row>
    <row r="363" spans="1:6" ht="14" customHeight="1">
      <c r="A363" s="8">
        <v>16</v>
      </c>
      <c r="B363" s="7" t="str">
        <f>المدخلات!$F$5</f>
        <v>5:20–6:30 م</v>
      </c>
      <c r="C363" s="7">
        <v>5</v>
      </c>
      <c r="D363" s="7" t="s">
        <v>595</v>
      </c>
      <c r="E363" s="7" t="s">
        <v>297</v>
      </c>
      <c r="F363" s="2"/>
    </row>
    <row r="364" spans="1:6" ht="14" customHeight="1">
      <c r="A364" s="8">
        <v>16</v>
      </c>
      <c r="B364" s="7" t="str">
        <f>المدخلات!$F$5</f>
        <v>5:20–6:30 م</v>
      </c>
      <c r="C364" s="7">
        <v>6</v>
      </c>
      <c r="D364" s="7" t="s">
        <v>595</v>
      </c>
      <c r="E364" s="7" t="s">
        <v>898</v>
      </c>
      <c r="F364" s="2"/>
    </row>
    <row r="365" spans="1:6" ht="14" customHeight="1">
      <c r="A365" s="8">
        <v>16</v>
      </c>
      <c r="B365" s="7" t="str">
        <f>المدخلات!$F$6</f>
        <v>6:40–7:50 م</v>
      </c>
      <c r="C365" s="7">
        <v>5</v>
      </c>
      <c r="D365" s="7" t="s">
        <v>595</v>
      </c>
      <c r="E365" s="7" t="s">
        <v>252</v>
      </c>
      <c r="F365" s="2"/>
    </row>
    <row r="366" spans="1:6" ht="14" customHeight="1">
      <c r="A366" s="8">
        <v>16</v>
      </c>
      <c r="B366" s="7" t="str">
        <f>المدخلات!$F$6</f>
        <v>6:40–7:50 م</v>
      </c>
      <c r="C366" s="7">
        <v>6</v>
      </c>
      <c r="D366" s="7" t="s">
        <v>595</v>
      </c>
      <c r="E366" s="7" t="s">
        <v>336</v>
      </c>
      <c r="F366" s="2"/>
    </row>
    <row r="367" spans="1:6" ht="14" customHeight="1">
      <c r="A367" s="8">
        <v>16</v>
      </c>
      <c r="B367" s="7" t="str">
        <f>المدخلات!$F$4</f>
        <v>4:00–5:10 م</v>
      </c>
      <c r="C367" s="7">
        <v>7</v>
      </c>
      <c r="D367" s="7" t="s">
        <v>596</v>
      </c>
      <c r="E367" s="7" t="s">
        <v>1212</v>
      </c>
      <c r="F367" s="2"/>
    </row>
    <row r="368" spans="1:6" ht="14" customHeight="1">
      <c r="A368" s="8">
        <v>16</v>
      </c>
      <c r="B368" s="7" t="str">
        <f>المدخلات!$F$4</f>
        <v>4:00–5:10 م</v>
      </c>
      <c r="C368" s="7">
        <v>8</v>
      </c>
      <c r="D368" s="7" t="s">
        <v>596</v>
      </c>
      <c r="E368" s="7" t="s">
        <v>1211</v>
      </c>
      <c r="F368" s="2"/>
    </row>
    <row r="369" spans="1:6" ht="14" customHeight="1">
      <c r="A369" s="8">
        <v>16</v>
      </c>
      <c r="B369" s="7" t="str">
        <f>المدخلات!$F$5</f>
        <v>5:20–6:30 م</v>
      </c>
      <c r="C369" s="7">
        <v>7</v>
      </c>
      <c r="D369" s="7" t="s">
        <v>596</v>
      </c>
      <c r="E369" s="7" t="s">
        <v>434</v>
      </c>
      <c r="F369" s="2"/>
    </row>
    <row r="370" spans="1:6" ht="14" customHeight="1">
      <c r="A370" s="8">
        <v>16</v>
      </c>
      <c r="B370" s="7" t="str">
        <f>المدخلات!$F$5</f>
        <v>5:20–6:30 م</v>
      </c>
      <c r="C370" s="7">
        <v>8</v>
      </c>
      <c r="D370" s="7" t="s">
        <v>596</v>
      </c>
      <c r="E370" s="7" t="s">
        <v>397</v>
      </c>
      <c r="F370" s="2"/>
    </row>
    <row r="371" spans="1:6" ht="14" customHeight="1">
      <c r="A371" s="8">
        <v>16</v>
      </c>
      <c r="B371" s="7" t="str">
        <f>المدخلات!$F$6</f>
        <v>6:40–7:50 م</v>
      </c>
      <c r="C371" s="7">
        <v>7</v>
      </c>
      <c r="D371" s="7" t="s">
        <v>596</v>
      </c>
      <c r="E371" s="7" t="s">
        <v>441</v>
      </c>
      <c r="F371" s="2"/>
    </row>
    <row r="372" spans="1:6" ht="14" customHeight="1">
      <c r="A372" s="8">
        <v>17</v>
      </c>
      <c r="B372" s="7" t="str">
        <f>المدخلات!$F$4</f>
        <v>4:00–5:10 م</v>
      </c>
      <c r="C372" s="7">
        <v>1</v>
      </c>
      <c r="D372" s="7" t="s">
        <v>593</v>
      </c>
      <c r="E372" s="7" t="s">
        <v>792</v>
      </c>
      <c r="F372" s="2"/>
    </row>
    <row r="373" spans="1:6" ht="14" customHeight="1">
      <c r="A373" s="8">
        <v>17</v>
      </c>
      <c r="B373" s="7" t="str">
        <f>المدخلات!$F$4</f>
        <v>4:00–5:10 م</v>
      </c>
      <c r="C373" s="7">
        <v>2</v>
      </c>
      <c r="D373" s="7" t="s">
        <v>593</v>
      </c>
      <c r="E373" s="7" t="s">
        <v>789</v>
      </c>
      <c r="F373" s="2"/>
    </row>
    <row r="374" spans="1:6" ht="14" customHeight="1">
      <c r="A374" s="8">
        <v>17</v>
      </c>
      <c r="B374" s="7" t="str">
        <f>المدخلات!$F$5</f>
        <v>5:20–6:30 م</v>
      </c>
      <c r="C374" s="7">
        <v>1</v>
      </c>
      <c r="D374" s="7" t="s">
        <v>593</v>
      </c>
      <c r="E374" s="7" t="s">
        <v>791</v>
      </c>
      <c r="F374" s="2"/>
    </row>
    <row r="375" spans="1:6" ht="14" customHeight="1">
      <c r="A375" s="8">
        <v>17</v>
      </c>
      <c r="B375" s="7" t="str">
        <f>المدخلات!$F$5</f>
        <v>5:20–6:30 م</v>
      </c>
      <c r="C375" s="7">
        <v>2</v>
      </c>
      <c r="D375" s="7" t="s">
        <v>593</v>
      </c>
      <c r="E375" s="7" t="s">
        <v>28</v>
      </c>
      <c r="F375" s="2"/>
    </row>
    <row r="376" spans="1:6" ht="14" customHeight="1">
      <c r="A376" s="8">
        <v>17</v>
      </c>
      <c r="B376" s="7" t="str">
        <f>المدخلات!$F$6</f>
        <v>6:40–7:50 م</v>
      </c>
      <c r="C376" s="7">
        <v>1</v>
      </c>
      <c r="D376" s="7" t="s">
        <v>593</v>
      </c>
      <c r="E376" s="7" t="s">
        <v>790</v>
      </c>
      <c r="F376" s="2"/>
    </row>
    <row r="377" spans="1:6" ht="14" customHeight="1">
      <c r="A377" s="8">
        <v>17</v>
      </c>
      <c r="B377" s="7" t="str">
        <f>المدخلات!$F$6</f>
        <v>6:40–7:50 م</v>
      </c>
      <c r="C377" s="7">
        <v>2</v>
      </c>
      <c r="D377" s="7" t="s">
        <v>593</v>
      </c>
      <c r="E377" s="7" t="s">
        <v>1047</v>
      </c>
      <c r="F377" s="2"/>
    </row>
    <row r="378" spans="1:6" ht="14" customHeight="1">
      <c r="A378" s="8">
        <v>17</v>
      </c>
      <c r="B378" s="7" t="str">
        <f>المدخلات!$F$4</f>
        <v>4:00–5:10 م</v>
      </c>
      <c r="C378" s="7">
        <v>3</v>
      </c>
      <c r="D378" s="7" t="s">
        <v>594</v>
      </c>
      <c r="E378" s="7" t="s">
        <v>919</v>
      </c>
      <c r="F378" s="2"/>
    </row>
    <row r="379" spans="1:6" ht="14" customHeight="1">
      <c r="A379" s="8">
        <v>17</v>
      </c>
      <c r="B379" s="7" t="str">
        <f>المدخلات!$F$4</f>
        <v>4:00–5:10 م</v>
      </c>
      <c r="C379" s="7">
        <v>4</v>
      </c>
      <c r="D379" s="7" t="s">
        <v>594</v>
      </c>
      <c r="E379" s="7" t="s">
        <v>837</v>
      </c>
      <c r="F379" s="2"/>
    </row>
    <row r="380" spans="1:6" ht="14" customHeight="1">
      <c r="A380" s="8">
        <v>17</v>
      </c>
      <c r="B380" s="7" t="str">
        <f>المدخلات!$F$5</f>
        <v>5:20–6:30 م</v>
      </c>
      <c r="C380" s="7">
        <v>3</v>
      </c>
      <c r="D380" s="7" t="s">
        <v>594</v>
      </c>
      <c r="E380" s="7" t="s">
        <v>839</v>
      </c>
      <c r="F380" s="2"/>
    </row>
    <row r="381" spans="1:6" ht="14" customHeight="1">
      <c r="A381" s="8">
        <v>17</v>
      </c>
      <c r="B381" s="7" t="str">
        <f>المدخلات!$F$5</f>
        <v>5:20–6:30 م</v>
      </c>
      <c r="C381" s="7">
        <v>4</v>
      </c>
      <c r="D381" s="7" t="s">
        <v>594</v>
      </c>
      <c r="E381" s="7" t="s">
        <v>189</v>
      </c>
      <c r="F381" s="2"/>
    </row>
    <row r="382" spans="1:6" ht="14" customHeight="1">
      <c r="A382" s="8">
        <v>17</v>
      </c>
      <c r="B382" s="7" t="str">
        <f>المدخلات!$F$6</f>
        <v>6:40–7:50 م</v>
      </c>
      <c r="C382" s="7">
        <v>3</v>
      </c>
      <c r="D382" s="7" t="s">
        <v>594</v>
      </c>
      <c r="E382" s="7" t="s">
        <v>838</v>
      </c>
      <c r="F382" s="2"/>
    </row>
    <row r="383" spans="1:6" ht="14" customHeight="1">
      <c r="A383" s="8">
        <v>17</v>
      </c>
      <c r="B383" s="7" t="str">
        <f>المدخلات!$F$6</f>
        <v>6:40–7:50 م</v>
      </c>
      <c r="C383" s="7">
        <v>4</v>
      </c>
      <c r="D383" s="7" t="s">
        <v>594</v>
      </c>
      <c r="E383" s="7" t="s">
        <v>892</v>
      </c>
      <c r="F383" s="2"/>
    </row>
    <row r="384" spans="1:6" ht="14" customHeight="1">
      <c r="A384" s="8">
        <v>17</v>
      </c>
      <c r="B384" s="7" t="str">
        <f>المدخلات!$F$4</f>
        <v>4:00–5:10 م</v>
      </c>
      <c r="C384" s="7">
        <v>5</v>
      </c>
      <c r="D384" s="7" t="s">
        <v>595</v>
      </c>
      <c r="E384" s="7" t="s">
        <v>903</v>
      </c>
      <c r="F384" s="2"/>
    </row>
    <row r="385" spans="1:6" ht="14" customHeight="1">
      <c r="A385" s="8">
        <v>17</v>
      </c>
      <c r="B385" s="7" t="str">
        <f>المدخلات!$F$4</f>
        <v>4:00–5:10 م</v>
      </c>
      <c r="C385" s="7">
        <v>6</v>
      </c>
      <c r="D385" s="7" t="s">
        <v>595</v>
      </c>
      <c r="E385" s="7" t="s">
        <v>682</v>
      </c>
      <c r="F385" s="2"/>
    </row>
    <row r="386" spans="1:6" ht="14" customHeight="1">
      <c r="A386" s="8">
        <v>17</v>
      </c>
      <c r="B386" s="7" t="str">
        <f>المدخلات!$F$5</f>
        <v>5:20–6:30 م</v>
      </c>
      <c r="C386" s="7">
        <v>5</v>
      </c>
      <c r="D386" s="7" t="s">
        <v>595</v>
      </c>
      <c r="E386" s="7" t="s">
        <v>902</v>
      </c>
      <c r="F386" s="2"/>
    </row>
    <row r="387" spans="1:6" ht="14" customHeight="1">
      <c r="A387" s="8">
        <v>17</v>
      </c>
      <c r="B387" s="7" t="str">
        <f>المدخلات!$F$5</f>
        <v>5:20–6:30 م</v>
      </c>
      <c r="C387" s="7">
        <v>6</v>
      </c>
      <c r="D387" s="7" t="s">
        <v>595</v>
      </c>
      <c r="E387" s="7" t="s">
        <v>287</v>
      </c>
      <c r="F387" s="2"/>
    </row>
    <row r="388" spans="1:6" ht="14" customHeight="1">
      <c r="A388" s="8">
        <v>17</v>
      </c>
      <c r="B388" s="7" t="str">
        <f>المدخلات!$F$6</f>
        <v>6:40–7:50 م</v>
      </c>
      <c r="C388" s="7">
        <v>5</v>
      </c>
      <c r="D388" s="7" t="s">
        <v>595</v>
      </c>
      <c r="E388" s="7" t="s">
        <v>683</v>
      </c>
      <c r="F388" s="2"/>
    </row>
    <row r="389" spans="1:6" ht="14" customHeight="1">
      <c r="A389" s="8">
        <v>17</v>
      </c>
      <c r="B389" s="7" t="str">
        <f>المدخلات!$F$6</f>
        <v>6:40–7:50 م</v>
      </c>
      <c r="C389" s="7">
        <v>6</v>
      </c>
      <c r="D389" s="7" t="s">
        <v>595</v>
      </c>
      <c r="E389" s="7" t="s">
        <v>710</v>
      </c>
      <c r="F389" s="2"/>
    </row>
    <row r="390" spans="1:6" ht="14" customHeight="1">
      <c r="A390" s="8">
        <v>17</v>
      </c>
      <c r="B390" s="7" t="str">
        <f>المدخلات!$F$4</f>
        <v>4:00–5:10 م</v>
      </c>
      <c r="C390" s="7">
        <v>7</v>
      </c>
      <c r="D390" s="7" t="s">
        <v>596</v>
      </c>
      <c r="E390" s="7" t="s">
        <v>426</v>
      </c>
      <c r="F390" s="2"/>
    </row>
    <row r="391" spans="1:6" ht="14" customHeight="1">
      <c r="A391" s="8">
        <v>17</v>
      </c>
      <c r="B391" s="7" t="str">
        <f>المدخلات!$F$4</f>
        <v>4:00–5:10 م</v>
      </c>
      <c r="C391" s="7">
        <v>8</v>
      </c>
      <c r="D391" s="7" t="s">
        <v>596</v>
      </c>
      <c r="E391" s="7" t="s">
        <v>386</v>
      </c>
      <c r="F391" s="2"/>
    </row>
    <row r="392" spans="1:6" ht="14" customHeight="1">
      <c r="A392" s="8">
        <v>17</v>
      </c>
      <c r="B392" s="7" t="str">
        <f>المدخلات!$F$5</f>
        <v>5:20–6:30 م</v>
      </c>
      <c r="C392" s="7">
        <v>7</v>
      </c>
      <c r="D392" s="7" t="s">
        <v>596</v>
      </c>
      <c r="E392" s="7" t="s">
        <v>1226</v>
      </c>
      <c r="F392" s="2"/>
    </row>
    <row r="393" spans="1:6" ht="14" customHeight="1">
      <c r="A393" s="8">
        <v>17</v>
      </c>
      <c r="B393" s="7" t="str">
        <f>المدخلات!$F$5</f>
        <v>5:20–6:30 م</v>
      </c>
      <c r="C393" s="7">
        <v>8</v>
      </c>
      <c r="D393" s="7" t="s">
        <v>596</v>
      </c>
      <c r="E393" s="7" t="s">
        <v>435</v>
      </c>
      <c r="F393" s="2"/>
    </row>
    <row r="394" spans="1:6" ht="14" customHeight="1">
      <c r="A394" s="8">
        <v>17</v>
      </c>
      <c r="B394" s="7" t="str">
        <f>المدخلات!$F$6</f>
        <v>6:40–7:50 م</v>
      </c>
      <c r="C394" s="7">
        <v>7</v>
      </c>
      <c r="D394" s="7" t="s">
        <v>596</v>
      </c>
      <c r="E394" s="7" t="s">
        <v>1214</v>
      </c>
      <c r="F394" s="2"/>
    </row>
    <row r="395" spans="1:6" ht="14" customHeight="1">
      <c r="A395" s="8">
        <v>18</v>
      </c>
      <c r="B395" s="7" t="str">
        <f>المدخلات!$F$4</f>
        <v>4:00–5:10 م</v>
      </c>
      <c r="C395" s="7">
        <v>1</v>
      </c>
      <c r="D395" s="7" t="s">
        <v>593</v>
      </c>
      <c r="E395" s="7" t="s">
        <v>32</v>
      </c>
      <c r="F395" s="2"/>
    </row>
    <row r="396" spans="1:6" ht="14" customHeight="1">
      <c r="A396" s="8">
        <v>18</v>
      </c>
      <c r="B396" s="7" t="str">
        <f>المدخلات!$F$4</f>
        <v>4:00–5:10 م</v>
      </c>
      <c r="C396" s="7">
        <v>2</v>
      </c>
      <c r="D396" s="7" t="s">
        <v>593</v>
      </c>
      <c r="E396" s="7" t="s">
        <v>15</v>
      </c>
      <c r="F396" s="2"/>
    </row>
    <row r="397" spans="1:6" ht="14" customHeight="1">
      <c r="A397" s="8">
        <v>18</v>
      </c>
      <c r="B397" s="7" t="str">
        <f>المدخلات!$F$5</f>
        <v>5:20–6:30 م</v>
      </c>
      <c r="C397" s="7">
        <v>1</v>
      </c>
      <c r="D397" s="7" t="s">
        <v>593</v>
      </c>
      <c r="E397" s="7" t="s">
        <v>24</v>
      </c>
      <c r="F397" s="2"/>
    </row>
    <row r="398" spans="1:6" ht="14" customHeight="1">
      <c r="A398" s="8">
        <v>18</v>
      </c>
      <c r="B398" s="7" t="str">
        <f>المدخلات!$F$5</f>
        <v>5:20–6:30 م</v>
      </c>
      <c r="C398" s="7">
        <v>2</v>
      </c>
      <c r="D398" s="7" t="s">
        <v>593</v>
      </c>
      <c r="E398" s="7" t="s">
        <v>805</v>
      </c>
      <c r="F398" s="2"/>
    </row>
    <row r="399" spans="1:6" ht="14" customHeight="1">
      <c r="A399" s="8">
        <v>18</v>
      </c>
      <c r="B399" s="7" t="str">
        <f>المدخلات!$F$6</f>
        <v>6:40–7:50 م</v>
      </c>
      <c r="C399" s="7">
        <v>1</v>
      </c>
      <c r="D399" s="7" t="s">
        <v>593</v>
      </c>
      <c r="E399" s="7" t="s">
        <v>804</v>
      </c>
      <c r="F399" s="2"/>
    </row>
    <row r="400" spans="1:6" ht="14" customHeight="1">
      <c r="A400" s="8">
        <v>18</v>
      </c>
      <c r="B400" s="7" t="str">
        <f>المدخلات!$F$6</f>
        <v>6:40–7:50 م</v>
      </c>
      <c r="C400" s="7">
        <v>2</v>
      </c>
      <c r="D400" s="7" t="s">
        <v>593</v>
      </c>
      <c r="E400" s="7" t="s">
        <v>72</v>
      </c>
      <c r="F400" s="2"/>
    </row>
    <row r="401" spans="1:6" ht="14" customHeight="1">
      <c r="A401" s="8">
        <v>18</v>
      </c>
      <c r="B401" s="7" t="str">
        <f>المدخلات!$F$4</f>
        <v>4:00–5:10 م</v>
      </c>
      <c r="C401" s="7">
        <v>3</v>
      </c>
      <c r="D401" s="7" t="s">
        <v>594</v>
      </c>
      <c r="E401" s="7" t="s">
        <v>190</v>
      </c>
      <c r="F401" s="2"/>
    </row>
    <row r="402" spans="1:6" ht="14" customHeight="1">
      <c r="A402" s="8">
        <v>18</v>
      </c>
      <c r="B402" s="7" t="str">
        <f>المدخلات!$F$4</f>
        <v>4:00–5:10 م</v>
      </c>
      <c r="C402" s="7">
        <v>4</v>
      </c>
      <c r="D402" s="7" t="s">
        <v>594</v>
      </c>
      <c r="E402" s="7" t="s">
        <v>158</v>
      </c>
      <c r="F402" s="2"/>
    </row>
    <row r="403" spans="1:6" ht="14" customHeight="1">
      <c r="A403" s="8">
        <v>18</v>
      </c>
      <c r="B403" s="7" t="str">
        <f>المدخلات!$F$5</f>
        <v>5:20–6:30 م</v>
      </c>
      <c r="C403" s="7">
        <v>3</v>
      </c>
      <c r="D403" s="7" t="s">
        <v>594</v>
      </c>
      <c r="E403" s="7" t="s">
        <v>167</v>
      </c>
      <c r="F403" s="2"/>
    </row>
    <row r="404" spans="1:6" ht="14" customHeight="1">
      <c r="A404" s="8">
        <v>18</v>
      </c>
      <c r="B404" s="7" t="str">
        <f>المدخلات!$F$5</f>
        <v>5:20–6:30 م</v>
      </c>
      <c r="C404" s="7">
        <v>4</v>
      </c>
      <c r="D404" s="7" t="s">
        <v>594</v>
      </c>
      <c r="E404" s="7" t="s">
        <v>843</v>
      </c>
      <c r="F404" s="2"/>
    </row>
    <row r="405" spans="1:6" ht="14" customHeight="1">
      <c r="A405" s="8">
        <v>18</v>
      </c>
      <c r="B405" s="7" t="str">
        <f>المدخلات!$F$6</f>
        <v>6:40–7:50 م</v>
      </c>
      <c r="C405" s="7">
        <v>3</v>
      </c>
      <c r="D405" s="7" t="s">
        <v>594</v>
      </c>
      <c r="E405" s="7" t="s">
        <v>842</v>
      </c>
      <c r="F405" s="2"/>
    </row>
    <row r="406" spans="1:6" ht="14" customHeight="1">
      <c r="A406" s="8">
        <v>18</v>
      </c>
      <c r="B406" s="7" t="str">
        <f>المدخلات!$F$6</f>
        <v>6:40–7:50 م</v>
      </c>
      <c r="C406" s="7">
        <v>4</v>
      </c>
      <c r="D406" s="7" t="s">
        <v>594</v>
      </c>
      <c r="E406" s="7" t="s">
        <v>234</v>
      </c>
      <c r="F406" s="2"/>
    </row>
    <row r="407" spans="1:6" ht="14" customHeight="1">
      <c r="A407" s="8">
        <v>18</v>
      </c>
      <c r="B407" s="7" t="str">
        <f>المدخلات!$F$4</f>
        <v>4:00–5:10 م</v>
      </c>
      <c r="C407" s="7">
        <v>5</v>
      </c>
      <c r="D407" s="7" t="s">
        <v>595</v>
      </c>
      <c r="E407" s="7" t="s">
        <v>288</v>
      </c>
      <c r="F407" s="2"/>
    </row>
    <row r="408" spans="1:6" ht="14" customHeight="1">
      <c r="A408" s="8">
        <v>18</v>
      </c>
      <c r="B408" s="7" t="str">
        <f>المدخلات!$F$4</f>
        <v>4:00–5:10 م</v>
      </c>
      <c r="C408" s="7">
        <v>6</v>
      </c>
      <c r="D408" s="7" t="s">
        <v>595</v>
      </c>
      <c r="E408" s="7" t="s">
        <v>270</v>
      </c>
      <c r="F408" s="2"/>
    </row>
    <row r="409" spans="1:6" ht="14" customHeight="1">
      <c r="A409" s="8">
        <v>18</v>
      </c>
      <c r="B409" s="7" t="str">
        <f>المدخلات!$F$5</f>
        <v>5:20–6:30 م</v>
      </c>
      <c r="C409" s="7">
        <v>5</v>
      </c>
      <c r="D409" s="7" t="s">
        <v>595</v>
      </c>
      <c r="E409" s="7" t="s">
        <v>278</v>
      </c>
      <c r="F409" s="2"/>
    </row>
    <row r="410" spans="1:6" ht="14" customHeight="1">
      <c r="A410" s="8">
        <v>18</v>
      </c>
      <c r="B410" s="7" t="str">
        <f>المدخلات!$F$5</f>
        <v>5:20–6:30 م</v>
      </c>
      <c r="C410" s="7">
        <v>6</v>
      </c>
      <c r="D410" s="7" t="s">
        <v>595</v>
      </c>
      <c r="E410" s="7" t="s">
        <v>690</v>
      </c>
      <c r="F410" s="2"/>
    </row>
    <row r="411" spans="1:6" ht="14" customHeight="1">
      <c r="A411" s="8">
        <v>18</v>
      </c>
      <c r="B411" s="7" t="str">
        <f>المدخلات!$F$6</f>
        <v>6:40–7:50 م</v>
      </c>
      <c r="C411" s="7">
        <v>5</v>
      </c>
      <c r="D411" s="7" t="s">
        <v>595</v>
      </c>
      <c r="E411" s="7" t="s">
        <v>689</v>
      </c>
      <c r="F411" s="2"/>
    </row>
    <row r="412" spans="1:6" ht="14" customHeight="1">
      <c r="A412" s="8">
        <v>18</v>
      </c>
      <c r="B412" s="7" t="str">
        <f>المدخلات!$F$6</f>
        <v>6:40–7:50 م</v>
      </c>
      <c r="C412" s="7">
        <v>6</v>
      </c>
      <c r="D412" s="7" t="s">
        <v>595</v>
      </c>
      <c r="E412" s="7" t="s">
        <v>344</v>
      </c>
      <c r="F412" s="2"/>
    </row>
    <row r="413" spans="1:6" ht="14" customHeight="1">
      <c r="A413" s="8">
        <v>18</v>
      </c>
      <c r="B413" s="7" t="str">
        <f>المدخلات!$F$4</f>
        <v>4:00–5:10 م</v>
      </c>
      <c r="C413" s="7">
        <v>7</v>
      </c>
      <c r="D413" s="7" t="s">
        <v>596</v>
      </c>
      <c r="E413" s="7" t="s">
        <v>436</v>
      </c>
      <c r="F413" s="2"/>
    </row>
    <row r="414" spans="1:6" ht="14" customHeight="1">
      <c r="A414" s="8">
        <v>18</v>
      </c>
      <c r="B414" s="7" t="str">
        <f>المدخلات!$F$4</f>
        <v>4:00–5:10 م</v>
      </c>
      <c r="C414" s="7">
        <v>8</v>
      </c>
      <c r="D414" s="7" t="s">
        <v>596</v>
      </c>
      <c r="E414" s="7" t="s">
        <v>1227</v>
      </c>
      <c r="F414" s="2"/>
    </row>
    <row r="415" spans="1:6" ht="14" customHeight="1">
      <c r="A415" s="8">
        <v>18</v>
      </c>
      <c r="B415" s="7" t="str">
        <f>المدخلات!$F$5</f>
        <v>5:20–6:30 م</v>
      </c>
      <c r="C415" s="7">
        <v>7</v>
      </c>
      <c r="D415" s="7" t="s">
        <v>596</v>
      </c>
      <c r="E415" s="7" t="s">
        <v>1215</v>
      </c>
      <c r="F415" s="2"/>
    </row>
    <row r="416" spans="1:6" ht="14" customHeight="1">
      <c r="A416" s="8">
        <v>18</v>
      </c>
      <c r="B416" s="7" t="str">
        <f>المدخلات!$F$5</f>
        <v>5:20–6:30 م</v>
      </c>
      <c r="C416" s="7">
        <v>8</v>
      </c>
      <c r="D416" s="7" t="s">
        <v>596</v>
      </c>
      <c r="E416" s="7" t="s">
        <v>419</v>
      </c>
      <c r="F416" s="2"/>
    </row>
    <row r="417" spans="1:47" ht="14" customHeight="1">
      <c r="A417" s="8">
        <v>18</v>
      </c>
      <c r="B417" s="7" t="str">
        <f>المدخلات!$F$6</f>
        <v>6:40–7:50 م</v>
      </c>
      <c r="C417" s="7">
        <v>7</v>
      </c>
      <c r="D417" s="7" t="s">
        <v>596</v>
      </c>
      <c r="E417" s="7" t="s">
        <v>427</v>
      </c>
      <c r="F417" s="2"/>
    </row>
    <row r="418" spans="1:47" ht="14" customHeight="1">
      <c r="A418" s="8">
        <v>19</v>
      </c>
      <c r="B418" s="7" t="str">
        <f>المدخلات!$F$4</f>
        <v>4:00–5:10 م</v>
      </c>
      <c r="C418" s="7">
        <v>1</v>
      </c>
      <c r="D418" s="7" t="s">
        <v>655</v>
      </c>
      <c r="E418" s="7" t="s">
        <v>820</v>
      </c>
      <c r="F418" s="2"/>
    </row>
    <row r="419" spans="1:47" ht="14" customHeight="1">
      <c r="A419" s="8">
        <v>19</v>
      </c>
      <c r="B419" s="7" t="str">
        <f>المدخلات!$F$4</f>
        <v>4:00–5:10 م</v>
      </c>
      <c r="C419" s="7">
        <v>2</v>
      </c>
      <c r="D419" s="7" t="s">
        <v>655</v>
      </c>
      <c r="E419" s="7" t="s">
        <v>821</v>
      </c>
      <c r="F419" s="2"/>
    </row>
    <row r="420" spans="1:47" ht="14" customHeight="1">
      <c r="A420" s="8">
        <v>20</v>
      </c>
      <c r="B420" s="7" t="str">
        <f>المدخلات!$F$4</f>
        <v>4:00–5:10 م</v>
      </c>
      <c r="C420" s="7">
        <v>1</v>
      </c>
      <c r="D420" s="7" t="s">
        <v>656</v>
      </c>
      <c r="E420" s="7" t="s">
        <v>657</v>
      </c>
      <c r="F420" s="2"/>
    </row>
    <row r="421" spans="1:47">
      <c r="A421" s="2"/>
      <c r="B421" s="2"/>
      <c r="C421" s="2"/>
      <c r="D421" s="2"/>
      <c r="E421" s="2"/>
    </row>
    <row r="422" spans="1:47">
      <c r="A422" s="2"/>
      <c r="B422" s="2"/>
      <c r="C422" s="2"/>
      <c r="D422" s="2"/>
      <c r="E422" s="2"/>
    </row>
    <row r="423" spans="1:47" ht="14.5">
      <c r="A423" s="17" t="s">
        <v>828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</row>
    <row r="424" spans="1:47" ht="14.5">
      <c r="A424" s="6" t="s">
        <v>829</v>
      </c>
      <c r="B424" s="6">
        <v>1</v>
      </c>
      <c r="C424" s="6">
        <v>2</v>
      </c>
      <c r="D424" s="6">
        <v>3</v>
      </c>
      <c r="E424" s="6">
        <v>4</v>
      </c>
      <c r="F424" s="6">
        <v>5</v>
      </c>
      <c r="G424" s="6">
        <v>6</v>
      </c>
      <c r="H424" s="6">
        <v>7</v>
      </c>
      <c r="I424" s="6">
        <v>8</v>
      </c>
      <c r="J424" s="6">
        <v>9</v>
      </c>
      <c r="K424" s="6">
        <v>10</v>
      </c>
      <c r="L424" s="6">
        <v>11</v>
      </c>
      <c r="M424" s="6">
        <v>12</v>
      </c>
      <c r="N424" s="6">
        <v>13</v>
      </c>
      <c r="O424" s="6">
        <v>14</v>
      </c>
      <c r="P424" s="6">
        <v>15</v>
      </c>
      <c r="Q424" s="6">
        <v>16</v>
      </c>
      <c r="R424" s="6">
        <v>17</v>
      </c>
      <c r="S424" s="6">
        <v>18</v>
      </c>
      <c r="T424" s="6">
        <v>19</v>
      </c>
      <c r="U424" s="6">
        <v>20</v>
      </c>
      <c r="V424" s="6">
        <v>21</v>
      </c>
      <c r="W424" s="6">
        <v>22</v>
      </c>
      <c r="X424" s="6">
        <v>23</v>
      </c>
      <c r="Y424" s="6">
        <v>24</v>
      </c>
      <c r="Z424" s="6">
        <v>25</v>
      </c>
      <c r="AA424" s="6">
        <v>26</v>
      </c>
      <c r="AB424" s="6">
        <v>27</v>
      </c>
      <c r="AC424" s="6">
        <v>28</v>
      </c>
      <c r="AD424" s="6">
        <v>29</v>
      </c>
      <c r="AE424" s="6">
        <v>30</v>
      </c>
      <c r="AF424" s="6">
        <v>31</v>
      </c>
      <c r="AG424" s="6">
        <v>32</v>
      </c>
      <c r="AH424" s="6">
        <v>33</v>
      </c>
      <c r="AI424" s="6">
        <v>34</v>
      </c>
      <c r="AJ424" s="6">
        <v>35</v>
      </c>
      <c r="AK424" s="6">
        <v>36</v>
      </c>
      <c r="AL424" s="6">
        <v>37</v>
      </c>
      <c r="AM424" s="6">
        <v>38</v>
      </c>
      <c r="AN424" s="6">
        <v>39</v>
      </c>
      <c r="AO424" s="6">
        <v>40</v>
      </c>
      <c r="AP424" s="6">
        <v>41</v>
      </c>
      <c r="AQ424" s="6">
        <v>42</v>
      </c>
      <c r="AR424" s="6">
        <v>43</v>
      </c>
      <c r="AS424" s="6">
        <v>44</v>
      </c>
      <c r="AT424" s="6">
        <v>45</v>
      </c>
      <c r="AU424" s="6">
        <v>46</v>
      </c>
    </row>
    <row r="425" spans="1:47" ht="14.5">
      <c r="A425" s="14">
        <v>1</v>
      </c>
      <c r="B425" s="4" t="str">
        <f>IF($A425=B$424,"",COUNTIF($E$4:$E$420,$A425&amp;" ضد "&amp;B$424)+COUNTIF($E$4:$E$420,B$424&amp;" ضد "&amp;$A425))</f>
        <v/>
      </c>
      <c r="C425" s="4">
        <f>IF($A425=C$424,"",COUNTIF($E$4:$E$420,$A425&amp;" ضد "&amp;C$424)+COUNTIF($E$4:$E$420,C$424&amp;" ضد "&amp;$A425))</f>
        <v>1</v>
      </c>
      <c r="D425" s="4">
        <f>IF($A425=D$424,"",COUNTIF($E$4:$E$420,$A425&amp;" ضد "&amp;D$424)+COUNTIF($E$4:$E$420,D$424&amp;" ضد "&amp;$A425))</f>
        <v>1</v>
      </c>
      <c r="E425" s="4">
        <f>IF($A425=E$424,"",COUNTIF($E$4:$E$420,$A425&amp;" ضد "&amp;E$424)+COUNTIF($E$4:$E$420,E$424&amp;" ضد "&amp;$A425))</f>
        <v>1</v>
      </c>
      <c r="F425" s="4">
        <f>IF($A425=F$424,"",COUNTIF($E$4:$E$420,$A425&amp;" ضد "&amp;F$424)+COUNTIF($E$4:$E$420,F$424&amp;" ضد "&amp;$A425))</f>
        <v>1</v>
      </c>
      <c r="G425" s="4">
        <f>IF($A425=G$424,"",COUNTIF($E$4:$E$420,$A425&amp;" ضد "&amp;G$424)+COUNTIF($E$4:$E$420,G$424&amp;" ضد "&amp;$A425))</f>
        <v>2</v>
      </c>
      <c r="H425" s="4">
        <f>IF($A425=H$424,"",COUNTIF($E$4:$E$420,$A425&amp;" ضد "&amp;H$424)+COUNTIF($E$4:$E$420,H$424&amp;" ضد "&amp;$A425))</f>
        <v>2</v>
      </c>
      <c r="I425" s="4">
        <f>IF($A425=I$424,"",COUNTIF($E$4:$E$420,$A425&amp;" ضد "&amp;I$424)+COUNTIF($E$4:$E$420,I$424&amp;" ضد "&amp;$A425))</f>
        <v>2</v>
      </c>
      <c r="J425" s="4">
        <f>IF($A425=J$424,"",COUNTIF($E$4:$E$420,$A425&amp;" ضد "&amp;J$424)+COUNTIF($E$4:$E$420,J$424&amp;" ضد "&amp;$A425))</f>
        <v>2</v>
      </c>
      <c r="K425" s="4">
        <f>IF($A425=K$424,"",COUNTIF($E$4:$E$420,$A425&amp;" ضد "&amp;K$424)+COUNTIF($E$4:$E$420,K$424&amp;" ضد "&amp;$A425))</f>
        <v>2</v>
      </c>
      <c r="L425" s="4">
        <f>IF($A425=L$424,"",COUNTIF($E$4:$E$420,$A425&amp;" ضد "&amp;L$424)+COUNTIF($E$4:$E$420,L$424&amp;" ضد "&amp;$A425))</f>
        <v>2</v>
      </c>
      <c r="M425" s="4">
        <f>IF($A425=M$424,"",COUNTIF($E$4:$E$420,$A425&amp;" ضد "&amp;M$424)+COUNTIF($E$4:$E$420,M$424&amp;" ضد "&amp;$A425))</f>
        <v>2</v>
      </c>
      <c r="N425" s="4">
        <f>IF($A425=N$424,"",COUNTIF($E$4:$E$420,$A425&amp;" ضد "&amp;N$424)+COUNTIF($E$4:$E$420,N$424&amp;" ضد "&amp;$A425))</f>
        <v>0</v>
      </c>
      <c r="O425" s="4">
        <f>IF($A425=O$424,"",COUNTIF($E$4:$E$420,$A425&amp;" ضد "&amp;O$424)+COUNTIF($E$4:$E$420,O$424&amp;" ضد "&amp;$A425))</f>
        <v>0</v>
      </c>
      <c r="P425" s="4">
        <f>IF($A425=P$424,"",COUNTIF($E$4:$E$420,$A425&amp;" ضد "&amp;P$424)+COUNTIF($E$4:$E$420,P$424&amp;" ضد "&amp;$A425))</f>
        <v>0</v>
      </c>
      <c r="Q425" s="4">
        <f>IF($A425=Q$424,"",COUNTIF($E$4:$E$420,$A425&amp;" ضد "&amp;Q$424)+COUNTIF($E$4:$E$420,Q$424&amp;" ضد "&amp;$A425))</f>
        <v>0</v>
      </c>
      <c r="R425" s="4">
        <f>IF($A425=R$424,"",COUNTIF($E$4:$E$420,$A425&amp;" ضد "&amp;R$424)+COUNTIF($E$4:$E$420,R$424&amp;" ضد "&amp;$A425))</f>
        <v>0</v>
      </c>
      <c r="S425" s="4">
        <f>IF($A425=S$424,"",COUNTIF($E$4:$E$420,$A425&amp;" ضد "&amp;S$424)+COUNTIF($E$4:$E$420,S$424&amp;" ضد "&amp;$A425))</f>
        <v>0</v>
      </c>
      <c r="T425" s="4">
        <f>IF($A425=T$424,"",COUNTIF($E$4:$E$420,$A425&amp;" ضد "&amp;T$424)+COUNTIF($E$4:$E$420,T$424&amp;" ضد "&amp;$A425))</f>
        <v>0</v>
      </c>
      <c r="U425" s="4">
        <f>IF($A425=U$424,"",COUNTIF($E$4:$E$420,$A425&amp;" ضد "&amp;U$424)+COUNTIF($E$4:$E$420,U$424&amp;" ضد "&amp;$A425))</f>
        <v>0</v>
      </c>
      <c r="V425" s="4">
        <f>IF($A425=V$424,"",COUNTIF($E$4:$E$420,$A425&amp;" ضد "&amp;V$424)+COUNTIF($E$4:$E$420,V$424&amp;" ضد "&amp;$A425))</f>
        <v>0</v>
      </c>
      <c r="W425" s="4">
        <f>IF($A425=W$424,"",COUNTIF($E$4:$E$420,$A425&amp;" ضد "&amp;W$424)+COUNTIF($E$4:$E$420,W$424&amp;" ضد "&amp;$A425))</f>
        <v>0</v>
      </c>
      <c r="X425" s="4">
        <f>IF($A425=X$424,"",COUNTIF($E$4:$E$420,$A425&amp;" ضد "&amp;X$424)+COUNTIF($E$4:$E$420,X$424&amp;" ضد "&amp;$A425))</f>
        <v>0</v>
      </c>
      <c r="Y425" s="4">
        <f>IF($A425=Y$424,"",COUNTIF($E$4:$E$420,$A425&amp;" ضد "&amp;Y$424)+COUNTIF($E$4:$E$420,Y$424&amp;" ضد "&amp;$A425))</f>
        <v>0</v>
      </c>
      <c r="Z425" s="4">
        <f>IF($A425=Z$424,"",COUNTIF($E$4:$E$420,$A425&amp;" ضد "&amp;Z$424)+COUNTIF($E$4:$E$420,Z$424&amp;" ضد "&amp;$A425))</f>
        <v>0</v>
      </c>
      <c r="AA425" s="4">
        <f>IF($A425=AA$424,"",COUNTIF($E$4:$E$420,$A425&amp;" ضد "&amp;AA$424)+COUNTIF($E$4:$E$420,AA$424&amp;" ضد "&amp;$A425))</f>
        <v>0</v>
      </c>
      <c r="AB425" s="4">
        <f>IF($A425=AB$424,"",COUNTIF($E$4:$E$420,$A425&amp;" ضد "&amp;AB$424)+COUNTIF($E$4:$E$420,AB$424&amp;" ضد "&amp;$A425))</f>
        <v>0</v>
      </c>
      <c r="AC425" s="4">
        <f>IF($A425=AC$424,"",COUNTIF($E$4:$E$420,$A425&amp;" ضد "&amp;AC$424)+COUNTIF($E$4:$E$420,AC$424&amp;" ضد "&amp;$A425))</f>
        <v>0</v>
      </c>
      <c r="AD425" s="4">
        <f>IF($A425=AD$424,"",COUNTIF($E$4:$E$420,$A425&amp;" ضد "&amp;AD$424)+COUNTIF($E$4:$E$420,AD$424&amp;" ضد "&amp;$A425))</f>
        <v>0</v>
      </c>
      <c r="AE425" s="4">
        <f>IF($A425=AE$424,"",COUNTIF($E$4:$E$420,$A425&amp;" ضد "&amp;AE$424)+COUNTIF($E$4:$E$420,AE$424&amp;" ضد "&amp;$A425))</f>
        <v>0</v>
      </c>
      <c r="AF425" s="4">
        <f>IF($A425=AF$424,"",COUNTIF($E$4:$E$420,$A425&amp;" ضد "&amp;AF$424)+COUNTIF($E$4:$E$420,AF$424&amp;" ضد "&amp;$A425))</f>
        <v>0</v>
      </c>
      <c r="AG425" s="4">
        <f>IF($A425=AG$424,"",COUNTIF($E$4:$E$420,$A425&amp;" ضد "&amp;AG$424)+COUNTIF($E$4:$E$420,AG$424&amp;" ضد "&amp;$A425))</f>
        <v>0</v>
      </c>
      <c r="AH425" s="4">
        <f>IF($A425=AH$424,"",COUNTIF($E$4:$E$420,$A425&amp;" ضد "&amp;AH$424)+COUNTIF($E$4:$E$420,AH$424&amp;" ضد "&amp;$A425))</f>
        <v>0</v>
      </c>
      <c r="AI425" s="4">
        <f>IF($A425=AI$424,"",COUNTIF($E$4:$E$420,$A425&amp;" ضد "&amp;AI$424)+COUNTIF($E$4:$E$420,AI$424&amp;" ضد "&amp;$A425))</f>
        <v>0</v>
      </c>
      <c r="AJ425" s="4">
        <f>IF($A425=AJ$424,"",COUNTIF($E$4:$E$420,$A425&amp;" ضد "&amp;AJ$424)+COUNTIF($E$4:$E$420,AJ$424&amp;" ضد "&amp;$A425))</f>
        <v>0</v>
      </c>
      <c r="AK425" s="4">
        <f>IF($A425=AK$424,"",COUNTIF($E$4:$E$420,$A425&amp;" ضد "&amp;AK$424)+COUNTIF($E$4:$E$420,AK$424&amp;" ضد "&amp;$A425))</f>
        <v>0</v>
      </c>
      <c r="AL425" s="4">
        <f>IF($A425=AL$424,"",COUNTIF($E$4:$E$420,$A425&amp;" ضد "&amp;AL$424)+COUNTIF($E$4:$E$420,AL$424&amp;" ضد "&amp;$A425))</f>
        <v>0</v>
      </c>
      <c r="AM425" s="4">
        <f>IF($A425=AM$424,"",COUNTIF($E$4:$E$420,$A425&amp;" ضد "&amp;AM$424)+COUNTIF($E$4:$E$420,AM$424&amp;" ضد "&amp;$A425))</f>
        <v>0</v>
      </c>
      <c r="AN425" s="4">
        <f>IF($A425=AN$424,"",COUNTIF($E$4:$E$420,$A425&amp;" ضد "&amp;AN$424)+COUNTIF($E$4:$E$420,AN$424&amp;" ضد "&amp;$A425))</f>
        <v>0</v>
      </c>
      <c r="AO425" s="4">
        <f>IF($A425=AO$424,"",COUNTIF($E$4:$E$420,$A425&amp;" ضد "&amp;AO$424)+COUNTIF($E$4:$E$420,AO$424&amp;" ضد "&amp;$A425))</f>
        <v>0</v>
      </c>
      <c r="AP425" s="4">
        <f>IF($A425=AP$424,"",COUNTIF($E$4:$E$420,$A425&amp;" ضد "&amp;AP$424)+COUNTIF($E$4:$E$420,AP$424&amp;" ضد "&amp;$A425))</f>
        <v>0</v>
      </c>
      <c r="AQ425" s="4">
        <f>IF($A425=AQ$424,"",COUNTIF($E$4:$E$420,$A425&amp;" ضد "&amp;AQ$424)+COUNTIF($E$4:$E$420,AQ$424&amp;" ضد "&amp;$A425))</f>
        <v>0</v>
      </c>
      <c r="AR425" s="4">
        <f>IF($A425=AR$424,"",COUNTIF($E$4:$E$420,$A425&amp;" ضد "&amp;AR$424)+COUNTIF($E$4:$E$420,AR$424&amp;" ضد "&amp;$A425))</f>
        <v>0</v>
      </c>
      <c r="AS425" s="4">
        <f>IF($A425=AS$424,"",COUNTIF($E$4:$E$420,$A425&amp;" ضد "&amp;AS$424)+COUNTIF($E$4:$E$420,AS$424&amp;" ضد "&amp;$A425))</f>
        <v>0</v>
      </c>
      <c r="AT425" s="4">
        <f>IF($A425=AT$424,"",COUNTIF($E$4:$E$420,$A425&amp;" ضد "&amp;AT$424)+COUNTIF($E$4:$E$420,AT$424&amp;" ضد "&amp;$A425))</f>
        <v>0</v>
      </c>
      <c r="AU425" s="4">
        <f>IF($A425=AU$424,"",COUNTIF($E$4:$E$420,$A425&amp;" ضد "&amp;AU$424)+COUNTIF($E$4:$E$420,AU$424&amp;" ضد "&amp;$A425))</f>
        <v>0</v>
      </c>
    </row>
    <row r="426" spans="1:47" ht="14.5">
      <c r="A426" s="14">
        <v>2</v>
      </c>
      <c r="B426" s="4">
        <f>IF($A426=B$424,"",COUNTIF($E$4:$E$420,$A426&amp;" ضد "&amp;B$424)+COUNTIF($E$4:$E$420,B$424&amp;" ضد "&amp;$A426))</f>
        <v>1</v>
      </c>
      <c r="C426" s="4" t="str">
        <f>IF($A426=C$424,"",COUNTIF($E$4:$E$420,$A426&amp;" ضد "&amp;C$424)+COUNTIF($E$4:$E$420,C$424&amp;" ضد "&amp;$A426))</f>
        <v/>
      </c>
      <c r="D426" s="4">
        <f>IF($A426=D$424,"",COUNTIF($E$4:$E$420,$A426&amp;" ضد "&amp;D$424)+COUNTIF($E$4:$E$420,D$424&amp;" ضد "&amp;$A426))</f>
        <v>2</v>
      </c>
      <c r="E426" s="4">
        <f>IF($A426=E$424,"",COUNTIF($E$4:$E$420,$A426&amp;" ضد "&amp;E$424)+COUNTIF($E$4:$E$420,E$424&amp;" ضد "&amp;$A426))</f>
        <v>1</v>
      </c>
      <c r="F426" s="4">
        <f>IF($A426=F$424,"",COUNTIF($E$4:$E$420,$A426&amp;" ضد "&amp;F$424)+COUNTIF($E$4:$E$420,F$424&amp;" ضد "&amp;$A426))</f>
        <v>2</v>
      </c>
      <c r="G426" s="4">
        <f>IF($A426=G$424,"",COUNTIF($E$4:$E$420,$A426&amp;" ضد "&amp;G$424)+COUNTIF($E$4:$E$420,G$424&amp;" ضد "&amp;$A426))</f>
        <v>1</v>
      </c>
      <c r="H426" s="4">
        <f>IF($A426=H$424,"",COUNTIF($E$4:$E$420,$A426&amp;" ضد "&amp;H$424)+COUNTIF($E$4:$E$420,H$424&amp;" ضد "&amp;$A426))</f>
        <v>2</v>
      </c>
      <c r="I426" s="4">
        <f>IF($A426=I$424,"",COUNTIF($E$4:$E$420,$A426&amp;" ضد "&amp;I$424)+COUNTIF($E$4:$E$420,I$424&amp;" ضد "&amp;$A426))</f>
        <v>1</v>
      </c>
      <c r="J426" s="4">
        <f>IF($A426=J$424,"",COUNTIF($E$4:$E$420,$A426&amp;" ضد "&amp;J$424)+COUNTIF($E$4:$E$420,J$424&amp;" ضد "&amp;$A426))</f>
        <v>2</v>
      </c>
      <c r="K426" s="4">
        <f>IF($A426=K$424,"",COUNTIF($E$4:$E$420,$A426&amp;" ضد "&amp;K$424)+COUNTIF($E$4:$E$420,K$424&amp;" ضد "&amp;$A426))</f>
        <v>2</v>
      </c>
      <c r="L426" s="4">
        <f>IF($A426=L$424,"",COUNTIF($E$4:$E$420,$A426&amp;" ضد "&amp;L$424)+COUNTIF($E$4:$E$420,L$424&amp;" ضد "&amp;$A426))</f>
        <v>2</v>
      </c>
      <c r="M426" s="4">
        <f>IF($A426=M$424,"",COUNTIF($E$4:$E$420,$A426&amp;" ضد "&amp;M$424)+COUNTIF($E$4:$E$420,M$424&amp;" ضد "&amp;$A426))</f>
        <v>2</v>
      </c>
      <c r="N426" s="4">
        <f>IF($A426=N$424,"",COUNTIF($E$4:$E$420,$A426&amp;" ضد "&amp;N$424)+COUNTIF($E$4:$E$420,N$424&amp;" ضد "&amp;$A426))</f>
        <v>0</v>
      </c>
      <c r="O426" s="4">
        <f>IF($A426=O$424,"",COUNTIF($E$4:$E$420,$A426&amp;" ضد "&amp;O$424)+COUNTIF($E$4:$E$420,O$424&amp;" ضد "&amp;$A426))</f>
        <v>0</v>
      </c>
      <c r="P426" s="4">
        <f>IF($A426=P$424,"",COUNTIF($E$4:$E$420,$A426&amp;" ضد "&amp;P$424)+COUNTIF($E$4:$E$420,P$424&amp;" ضد "&amp;$A426))</f>
        <v>0</v>
      </c>
      <c r="Q426" s="4">
        <f>IF($A426=Q$424,"",COUNTIF($E$4:$E$420,$A426&amp;" ضد "&amp;Q$424)+COUNTIF($E$4:$E$420,Q$424&amp;" ضد "&amp;$A426))</f>
        <v>0</v>
      </c>
      <c r="R426" s="4">
        <f>IF($A426=R$424,"",COUNTIF($E$4:$E$420,$A426&amp;" ضد "&amp;R$424)+COUNTIF($E$4:$E$420,R$424&amp;" ضد "&amp;$A426))</f>
        <v>0</v>
      </c>
      <c r="S426" s="4">
        <f>IF($A426=S$424,"",COUNTIF($E$4:$E$420,$A426&amp;" ضد "&amp;S$424)+COUNTIF($E$4:$E$420,S$424&amp;" ضد "&amp;$A426))</f>
        <v>0</v>
      </c>
      <c r="T426" s="4">
        <f>IF($A426=T$424,"",COUNTIF($E$4:$E$420,$A426&amp;" ضد "&amp;T$424)+COUNTIF($E$4:$E$420,T$424&amp;" ضد "&amp;$A426))</f>
        <v>0</v>
      </c>
      <c r="U426" s="4">
        <f>IF($A426=U$424,"",COUNTIF($E$4:$E$420,$A426&amp;" ضد "&amp;U$424)+COUNTIF($E$4:$E$420,U$424&amp;" ضد "&amp;$A426))</f>
        <v>0</v>
      </c>
      <c r="V426" s="4">
        <f>IF($A426=V$424,"",COUNTIF($E$4:$E$420,$A426&amp;" ضد "&amp;V$424)+COUNTIF($E$4:$E$420,V$424&amp;" ضد "&amp;$A426))</f>
        <v>0</v>
      </c>
      <c r="W426" s="4">
        <f>IF($A426=W$424,"",COUNTIF($E$4:$E$420,$A426&amp;" ضد "&amp;W$424)+COUNTIF($E$4:$E$420,W$424&amp;" ضد "&amp;$A426))</f>
        <v>0</v>
      </c>
      <c r="X426" s="4">
        <f>IF($A426=X$424,"",COUNTIF($E$4:$E$420,$A426&amp;" ضد "&amp;X$424)+COUNTIF($E$4:$E$420,X$424&amp;" ضد "&amp;$A426))</f>
        <v>0</v>
      </c>
      <c r="Y426" s="4">
        <f>IF($A426=Y$424,"",COUNTIF($E$4:$E$420,$A426&amp;" ضد "&amp;Y$424)+COUNTIF($E$4:$E$420,Y$424&amp;" ضد "&amp;$A426))</f>
        <v>0</v>
      </c>
      <c r="Z426" s="4">
        <f>IF($A426=Z$424,"",COUNTIF($E$4:$E$420,$A426&amp;" ضد "&amp;Z$424)+COUNTIF($E$4:$E$420,Z$424&amp;" ضد "&amp;$A426))</f>
        <v>0</v>
      </c>
      <c r="AA426" s="4">
        <f>IF($A426=AA$424,"",COUNTIF($E$4:$E$420,$A426&amp;" ضد "&amp;AA$424)+COUNTIF($E$4:$E$420,AA$424&amp;" ضد "&amp;$A426))</f>
        <v>0</v>
      </c>
      <c r="AB426" s="4">
        <f>IF($A426=AB$424,"",COUNTIF($E$4:$E$420,$A426&amp;" ضد "&amp;AB$424)+COUNTIF($E$4:$E$420,AB$424&amp;" ضد "&amp;$A426))</f>
        <v>0</v>
      </c>
      <c r="AC426" s="4">
        <f>IF($A426=AC$424,"",COUNTIF($E$4:$E$420,$A426&amp;" ضد "&amp;AC$424)+COUNTIF($E$4:$E$420,AC$424&amp;" ضد "&amp;$A426))</f>
        <v>0</v>
      </c>
      <c r="AD426" s="4">
        <f>IF($A426=AD$424,"",COUNTIF($E$4:$E$420,$A426&amp;" ضد "&amp;AD$424)+COUNTIF($E$4:$E$420,AD$424&amp;" ضد "&amp;$A426))</f>
        <v>0</v>
      </c>
      <c r="AE426" s="4">
        <f>IF($A426=AE$424,"",COUNTIF($E$4:$E$420,$A426&amp;" ضد "&amp;AE$424)+COUNTIF($E$4:$E$420,AE$424&amp;" ضد "&amp;$A426))</f>
        <v>0</v>
      </c>
      <c r="AF426" s="4">
        <f>IF($A426=AF$424,"",COUNTIF($E$4:$E$420,$A426&amp;" ضد "&amp;AF$424)+COUNTIF($E$4:$E$420,AF$424&amp;" ضد "&amp;$A426))</f>
        <v>0</v>
      </c>
      <c r="AG426" s="4">
        <f>IF($A426=AG$424,"",COUNTIF($E$4:$E$420,$A426&amp;" ضد "&amp;AG$424)+COUNTIF($E$4:$E$420,AG$424&amp;" ضد "&amp;$A426))</f>
        <v>0</v>
      </c>
      <c r="AH426" s="4">
        <f>IF($A426=AH$424,"",COUNTIF($E$4:$E$420,$A426&amp;" ضد "&amp;AH$424)+COUNTIF($E$4:$E$420,AH$424&amp;" ضد "&amp;$A426))</f>
        <v>0</v>
      </c>
      <c r="AI426" s="4">
        <f>IF($A426=AI$424,"",COUNTIF($E$4:$E$420,$A426&amp;" ضد "&amp;AI$424)+COUNTIF($E$4:$E$420,AI$424&amp;" ضد "&amp;$A426))</f>
        <v>0</v>
      </c>
      <c r="AJ426" s="4">
        <f>IF($A426=AJ$424,"",COUNTIF($E$4:$E$420,$A426&amp;" ضد "&amp;AJ$424)+COUNTIF($E$4:$E$420,AJ$424&amp;" ضد "&amp;$A426))</f>
        <v>0</v>
      </c>
      <c r="AK426" s="4">
        <f>IF($A426=AK$424,"",COUNTIF($E$4:$E$420,$A426&amp;" ضد "&amp;AK$424)+COUNTIF($E$4:$E$420,AK$424&amp;" ضد "&amp;$A426))</f>
        <v>0</v>
      </c>
      <c r="AL426" s="4">
        <f>IF($A426=AL$424,"",COUNTIF($E$4:$E$420,$A426&amp;" ضد "&amp;AL$424)+COUNTIF($E$4:$E$420,AL$424&amp;" ضد "&amp;$A426))</f>
        <v>0</v>
      </c>
      <c r="AM426" s="4">
        <f>IF($A426=AM$424,"",COUNTIF($E$4:$E$420,$A426&amp;" ضد "&amp;AM$424)+COUNTIF($E$4:$E$420,AM$424&amp;" ضد "&amp;$A426))</f>
        <v>0</v>
      </c>
      <c r="AN426" s="4">
        <f>IF($A426=AN$424,"",COUNTIF($E$4:$E$420,$A426&amp;" ضد "&amp;AN$424)+COUNTIF($E$4:$E$420,AN$424&amp;" ضد "&amp;$A426))</f>
        <v>0</v>
      </c>
      <c r="AO426" s="4">
        <f>IF($A426=AO$424,"",COUNTIF($E$4:$E$420,$A426&amp;" ضد "&amp;AO$424)+COUNTIF($E$4:$E$420,AO$424&amp;" ضد "&amp;$A426))</f>
        <v>0</v>
      </c>
      <c r="AP426" s="4">
        <f>IF($A426=AP$424,"",COUNTIF($E$4:$E$420,$A426&amp;" ضد "&amp;AP$424)+COUNTIF($E$4:$E$420,AP$424&amp;" ضد "&amp;$A426))</f>
        <v>0</v>
      </c>
      <c r="AQ426" s="4">
        <f>IF($A426=AQ$424,"",COUNTIF($E$4:$E$420,$A426&amp;" ضد "&amp;AQ$424)+COUNTIF($E$4:$E$420,AQ$424&amp;" ضد "&amp;$A426))</f>
        <v>0</v>
      </c>
      <c r="AR426" s="4">
        <f>IF($A426=AR$424,"",COUNTIF($E$4:$E$420,$A426&amp;" ضد "&amp;AR$424)+COUNTIF($E$4:$E$420,AR$424&amp;" ضد "&amp;$A426))</f>
        <v>0</v>
      </c>
      <c r="AS426" s="4">
        <f>IF($A426=AS$424,"",COUNTIF($E$4:$E$420,$A426&amp;" ضد "&amp;AS$424)+COUNTIF($E$4:$E$420,AS$424&amp;" ضد "&amp;$A426))</f>
        <v>0</v>
      </c>
      <c r="AT426" s="4">
        <f>IF($A426=AT$424,"",COUNTIF($E$4:$E$420,$A426&amp;" ضد "&amp;AT$424)+COUNTIF($E$4:$E$420,AT$424&amp;" ضد "&amp;$A426))</f>
        <v>0</v>
      </c>
      <c r="AU426" s="4">
        <f>IF($A426=AU$424,"",COUNTIF($E$4:$E$420,$A426&amp;" ضد "&amp;AU$424)+COUNTIF($E$4:$E$420,AU$424&amp;" ضد "&amp;$A426))</f>
        <v>0</v>
      </c>
    </row>
    <row r="427" spans="1:47" ht="14.5">
      <c r="A427" s="14">
        <v>3</v>
      </c>
      <c r="B427" s="4">
        <f>IF($A427=B$424,"",COUNTIF($E$4:$E$420,$A427&amp;" ضد "&amp;B$424)+COUNTIF($E$4:$E$420,B$424&amp;" ضد "&amp;$A427))</f>
        <v>1</v>
      </c>
      <c r="C427" s="4">
        <f>IF($A427=C$424,"",COUNTIF($E$4:$E$420,$A427&amp;" ضد "&amp;C$424)+COUNTIF($E$4:$E$420,C$424&amp;" ضد "&amp;$A427))</f>
        <v>2</v>
      </c>
      <c r="D427" s="4" t="str">
        <f>IF($A427=D$424,"",COUNTIF($E$4:$E$420,$A427&amp;" ضد "&amp;D$424)+COUNTIF($E$4:$E$420,D$424&amp;" ضد "&amp;$A427))</f>
        <v/>
      </c>
      <c r="E427" s="4">
        <f>IF($A427=E$424,"",COUNTIF($E$4:$E$420,$A427&amp;" ضد "&amp;E$424)+COUNTIF($E$4:$E$420,E$424&amp;" ضد "&amp;$A427))</f>
        <v>2</v>
      </c>
      <c r="F427" s="4">
        <f>IF($A427=F$424,"",COUNTIF($E$4:$E$420,$A427&amp;" ضد "&amp;F$424)+COUNTIF($E$4:$E$420,F$424&amp;" ضد "&amp;$A427))</f>
        <v>1</v>
      </c>
      <c r="G427" s="4">
        <f>IF($A427=G$424,"",COUNTIF($E$4:$E$420,$A427&amp;" ضد "&amp;G$424)+COUNTIF($E$4:$E$420,G$424&amp;" ضد "&amp;$A427))</f>
        <v>2</v>
      </c>
      <c r="H427" s="4">
        <f>IF($A427=H$424,"",COUNTIF($E$4:$E$420,$A427&amp;" ضد "&amp;H$424)+COUNTIF($E$4:$E$420,H$424&amp;" ضد "&amp;$A427))</f>
        <v>1</v>
      </c>
      <c r="I427" s="4">
        <f>IF($A427=I$424,"",COUNTIF($E$4:$E$420,$A427&amp;" ضد "&amp;I$424)+COUNTIF($E$4:$E$420,I$424&amp;" ضد "&amp;$A427))</f>
        <v>2</v>
      </c>
      <c r="J427" s="4">
        <f>IF($A427=J$424,"",COUNTIF($E$4:$E$420,$A427&amp;" ضد "&amp;J$424)+COUNTIF($E$4:$E$420,J$424&amp;" ضد "&amp;$A427))</f>
        <v>2</v>
      </c>
      <c r="K427" s="4">
        <f>IF($A427=K$424,"",COUNTIF($E$4:$E$420,$A427&amp;" ضد "&amp;K$424)+COUNTIF($E$4:$E$420,K$424&amp;" ضد "&amp;$A427))</f>
        <v>2</v>
      </c>
      <c r="L427" s="4">
        <f>IF($A427=L$424,"",COUNTIF($E$4:$E$420,$A427&amp;" ضد "&amp;L$424)+COUNTIF($E$4:$E$420,L$424&amp;" ضد "&amp;$A427))</f>
        <v>2</v>
      </c>
      <c r="M427" s="4">
        <f>IF($A427=M$424,"",COUNTIF($E$4:$E$420,$A427&amp;" ضد "&amp;M$424)+COUNTIF($E$4:$E$420,M$424&amp;" ضد "&amp;$A427))</f>
        <v>1</v>
      </c>
      <c r="N427" s="4">
        <f>IF($A427=N$424,"",COUNTIF($E$4:$E$420,$A427&amp;" ضد "&amp;N$424)+COUNTIF($E$4:$E$420,N$424&amp;" ضد "&amp;$A427))</f>
        <v>0</v>
      </c>
      <c r="O427" s="4">
        <f>IF($A427=O$424,"",COUNTIF($E$4:$E$420,$A427&amp;" ضد "&amp;O$424)+COUNTIF($E$4:$E$420,O$424&amp;" ضد "&amp;$A427))</f>
        <v>0</v>
      </c>
      <c r="P427" s="4">
        <f>IF($A427=P$424,"",COUNTIF($E$4:$E$420,$A427&amp;" ضد "&amp;P$424)+COUNTIF($E$4:$E$420,P$424&amp;" ضد "&amp;$A427))</f>
        <v>0</v>
      </c>
      <c r="Q427" s="4">
        <f>IF($A427=Q$424,"",COUNTIF($E$4:$E$420,$A427&amp;" ضد "&amp;Q$424)+COUNTIF($E$4:$E$420,Q$424&amp;" ضد "&amp;$A427))</f>
        <v>0</v>
      </c>
      <c r="R427" s="4">
        <f>IF($A427=R$424,"",COUNTIF($E$4:$E$420,$A427&amp;" ضد "&amp;R$424)+COUNTIF($E$4:$E$420,R$424&amp;" ضد "&amp;$A427))</f>
        <v>0</v>
      </c>
      <c r="S427" s="4">
        <f>IF($A427=S$424,"",COUNTIF($E$4:$E$420,$A427&amp;" ضد "&amp;S$424)+COUNTIF($E$4:$E$420,S$424&amp;" ضد "&amp;$A427))</f>
        <v>0</v>
      </c>
      <c r="T427" s="4">
        <f>IF($A427=T$424,"",COUNTIF($E$4:$E$420,$A427&amp;" ضد "&amp;T$424)+COUNTIF($E$4:$E$420,T$424&amp;" ضد "&amp;$A427))</f>
        <v>0</v>
      </c>
      <c r="U427" s="4">
        <f>IF($A427=U$424,"",COUNTIF($E$4:$E$420,$A427&amp;" ضد "&amp;U$424)+COUNTIF($E$4:$E$420,U$424&amp;" ضد "&amp;$A427))</f>
        <v>0</v>
      </c>
      <c r="V427" s="4">
        <f>IF($A427=V$424,"",COUNTIF($E$4:$E$420,$A427&amp;" ضد "&amp;V$424)+COUNTIF($E$4:$E$420,V$424&amp;" ضد "&amp;$A427))</f>
        <v>0</v>
      </c>
      <c r="W427" s="4">
        <f>IF($A427=W$424,"",COUNTIF($E$4:$E$420,$A427&amp;" ضد "&amp;W$424)+COUNTIF($E$4:$E$420,W$424&amp;" ضد "&amp;$A427))</f>
        <v>0</v>
      </c>
      <c r="X427" s="4">
        <f>IF($A427=X$424,"",COUNTIF($E$4:$E$420,$A427&amp;" ضد "&amp;X$424)+COUNTIF($E$4:$E$420,X$424&amp;" ضد "&amp;$A427))</f>
        <v>0</v>
      </c>
      <c r="Y427" s="4">
        <f>IF($A427=Y$424,"",COUNTIF($E$4:$E$420,$A427&amp;" ضد "&amp;Y$424)+COUNTIF($E$4:$E$420,Y$424&amp;" ضد "&amp;$A427))</f>
        <v>0</v>
      </c>
      <c r="Z427" s="4">
        <f>IF($A427=Z$424,"",COUNTIF($E$4:$E$420,$A427&amp;" ضد "&amp;Z$424)+COUNTIF($E$4:$E$420,Z$424&amp;" ضد "&amp;$A427))</f>
        <v>0</v>
      </c>
      <c r="AA427" s="4">
        <f>IF($A427=AA$424,"",COUNTIF($E$4:$E$420,$A427&amp;" ضد "&amp;AA$424)+COUNTIF($E$4:$E$420,AA$424&amp;" ضد "&amp;$A427))</f>
        <v>0</v>
      </c>
      <c r="AB427" s="4">
        <f>IF($A427=AB$424,"",COUNTIF($E$4:$E$420,$A427&amp;" ضد "&amp;AB$424)+COUNTIF($E$4:$E$420,AB$424&amp;" ضد "&amp;$A427))</f>
        <v>0</v>
      </c>
      <c r="AC427" s="4">
        <f>IF($A427=AC$424,"",COUNTIF($E$4:$E$420,$A427&amp;" ضد "&amp;AC$424)+COUNTIF($E$4:$E$420,AC$424&amp;" ضد "&amp;$A427))</f>
        <v>0</v>
      </c>
      <c r="AD427" s="4">
        <f>IF($A427=AD$424,"",COUNTIF($E$4:$E$420,$A427&amp;" ضد "&amp;AD$424)+COUNTIF($E$4:$E$420,AD$424&amp;" ضد "&amp;$A427))</f>
        <v>0</v>
      </c>
      <c r="AE427" s="4">
        <f>IF($A427=AE$424,"",COUNTIF($E$4:$E$420,$A427&amp;" ضد "&amp;AE$424)+COUNTIF($E$4:$E$420,AE$424&amp;" ضد "&amp;$A427))</f>
        <v>0</v>
      </c>
      <c r="AF427" s="4">
        <f>IF($A427=AF$424,"",COUNTIF($E$4:$E$420,$A427&amp;" ضد "&amp;AF$424)+COUNTIF($E$4:$E$420,AF$424&amp;" ضد "&amp;$A427))</f>
        <v>0</v>
      </c>
      <c r="AG427" s="4">
        <f>IF($A427=AG$424,"",COUNTIF($E$4:$E$420,$A427&amp;" ضد "&amp;AG$424)+COUNTIF($E$4:$E$420,AG$424&amp;" ضد "&amp;$A427))</f>
        <v>0</v>
      </c>
      <c r="AH427" s="4">
        <f>IF($A427=AH$424,"",COUNTIF($E$4:$E$420,$A427&amp;" ضد "&amp;AH$424)+COUNTIF($E$4:$E$420,AH$424&amp;" ضد "&amp;$A427))</f>
        <v>0</v>
      </c>
      <c r="AI427" s="4">
        <f>IF($A427=AI$424,"",COUNTIF($E$4:$E$420,$A427&amp;" ضد "&amp;AI$424)+COUNTIF($E$4:$E$420,AI$424&amp;" ضد "&amp;$A427))</f>
        <v>0</v>
      </c>
      <c r="AJ427" s="4">
        <f>IF($A427=AJ$424,"",COUNTIF($E$4:$E$420,$A427&amp;" ضد "&amp;AJ$424)+COUNTIF($E$4:$E$420,AJ$424&amp;" ضد "&amp;$A427))</f>
        <v>0</v>
      </c>
      <c r="AK427" s="4">
        <f>IF($A427=AK$424,"",COUNTIF($E$4:$E$420,$A427&amp;" ضد "&amp;AK$424)+COUNTIF($E$4:$E$420,AK$424&amp;" ضد "&amp;$A427))</f>
        <v>0</v>
      </c>
      <c r="AL427" s="4">
        <f>IF($A427=AL$424,"",COUNTIF($E$4:$E$420,$A427&amp;" ضد "&amp;AL$424)+COUNTIF($E$4:$E$420,AL$424&amp;" ضد "&amp;$A427))</f>
        <v>0</v>
      </c>
      <c r="AM427" s="4">
        <f>IF($A427=AM$424,"",COUNTIF($E$4:$E$420,$A427&amp;" ضد "&amp;AM$424)+COUNTIF($E$4:$E$420,AM$424&amp;" ضد "&amp;$A427))</f>
        <v>0</v>
      </c>
      <c r="AN427" s="4">
        <f>IF($A427=AN$424,"",COUNTIF($E$4:$E$420,$A427&amp;" ضد "&amp;AN$424)+COUNTIF($E$4:$E$420,AN$424&amp;" ضد "&amp;$A427))</f>
        <v>0</v>
      </c>
      <c r="AO427" s="4">
        <f>IF($A427=AO$424,"",COUNTIF($E$4:$E$420,$A427&amp;" ضد "&amp;AO$424)+COUNTIF($E$4:$E$420,AO$424&amp;" ضد "&amp;$A427))</f>
        <v>0</v>
      </c>
      <c r="AP427" s="4">
        <f>IF($A427=AP$424,"",COUNTIF($E$4:$E$420,$A427&amp;" ضد "&amp;AP$424)+COUNTIF($E$4:$E$420,AP$424&amp;" ضد "&amp;$A427))</f>
        <v>0</v>
      </c>
      <c r="AQ427" s="4">
        <f>IF($A427=AQ$424,"",COUNTIF($E$4:$E$420,$A427&amp;" ضد "&amp;AQ$424)+COUNTIF($E$4:$E$420,AQ$424&amp;" ضد "&amp;$A427))</f>
        <v>0</v>
      </c>
      <c r="AR427" s="4">
        <f>IF($A427=AR$424,"",COUNTIF($E$4:$E$420,$A427&amp;" ضد "&amp;AR$424)+COUNTIF($E$4:$E$420,AR$424&amp;" ضد "&amp;$A427))</f>
        <v>0</v>
      </c>
      <c r="AS427" s="4">
        <f>IF($A427=AS$424,"",COUNTIF($E$4:$E$420,$A427&amp;" ضد "&amp;AS$424)+COUNTIF($E$4:$E$420,AS$424&amp;" ضد "&amp;$A427))</f>
        <v>0</v>
      </c>
      <c r="AT427" s="4">
        <f>IF($A427=AT$424,"",COUNTIF($E$4:$E$420,$A427&amp;" ضد "&amp;AT$424)+COUNTIF($E$4:$E$420,AT$424&amp;" ضد "&amp;$A427))</f>
        <v>0</v>
      </c>
      <c r="AU427" s="4">
        <f>IF($A427=AU$424,"",COUNTIF($E$4:$E$420,$A427&amp;" ضد "&amp;AU$424)+COUNTIF($E$4:$E$420,AU$424&amp;" ضد "&amp;$A427))</f>
        <v>0</v>
      </c>
    </row>
    <row r="428" spans="1:47" ht="14.5">
      <c r="A428" s="14">
        <v>4</v>
      </c>
      <c r="B428" s="4">
        <f>IF($A428=B$424,"",COUNTIF($E$4:$E$420,$A428&amp;" ضد "&amp;B$424)+COUNTIF($E$4:$E$420,B$424&amp;" ضد "&amp;$A428))</f>
        <v>1</v>
      </c>
      <c r="C428" s="4">
        <f>IF($A428=C$424,"",COUNTIF($E$4:$E$420,$A428&amp;" ضد "&amp;C$424)+COUNTIF($E$4:$E$420,C$424&amp;" ضد "&amp;$A428))</f>
        <v>1</v>
      </c>
      <c r="D428" s="4">
        <f>IF($A428=D$424,"",COUNTIF($E$4:$E$420,$A428&amp;" ضد "&amp;D$424)+COUNTIF($E$4:$E$420,D$424&amp;" ضد "&amp;$A428))</f>
        <v>2</v>
      </c>
      <c r="E428" s="4" t="str">
        <f>IF($A428=E$424,"",COUNTIF($E$4:$E$420,$A428&amp;" ضد "&amp;E$424)+COUNTIF($E$4:$E$420,E$424&amp;" ضد "&amp;$A428))</f>
        <v/>
      </c>
      <c r="F428" s="4">
        <f>IF($A428=F$424,"",COUNTIF($E$4:$E$420,$A428&amp;" ضد "&amp;F$424)+COUNTIF($E$4:$E$420,F$424&amp;" ضد "&amp;$A428))</f>
        <v>2</v>
      </c>
      <c r="G428" s="4">
        <f>IF($A428=G$424,"",COUNTIF($E$4:$E$420,$A428&amp;" ضد "&amp;G$424)+COUNTIF($E$4:$E$420,G$424&amp;" ضد "&amp;$A428))</f>
        <v>1</v>
      </c>
      <c r="H428" s="4">
        <f>IF($A428=H$424,"",COUNTIF($E$4:$E$420,$A428&amp;" ضد "&amp;H$424)+COUNTIF($E$4:$E$420,H$424&amp;" ضد "&amp;$A428))</f>
        <v>2</v>
      </c>
      <c r="I428" s="4">
        <f>IF($A428=I$424,"",COUNTIF($E$4:$E$420,$A428&amp;" ضد "&amp;I$424)+COUNTIF($E$4:$E$420,I$424&amp;" ضد "&amp;$A428))</f>
        <v>2</v>
      </c>
      <c r="J428" s="4">
        <f>IF($A428=J$424,"",COUNTIF($E$4:$E$420,$A428&amp;" ضد "&amp;J$424)+COUNTIF($E$4:$E$420,J$424&amp;" ضد "&amp;$A428))</f>
        <v>2</v>
      </c>
      <c r="K428" s="4">
        <f>IF($A428=K$424,"",COUNTIF($E$4:$E$420,$A428&amp;" ضد "&amp;K$424)+COUNTIF($E$4:$E$420,K$424&amp;" ضد "&amp;$A428))</f>
        <v>2</v>
      </c>
      <c r="L428" s="4">
        <f>IF($A428=L$424,"",COUNTIF($E$4:$E$420,$A428&amp;" ضد "&amp;L$424)+COUNTIF($E$4:$E$420,L$424&amp;" ضد "&amp;$A428))</f>
        <v>1</v>
      </c>
      <c r="M428" s="4">
        <f>IF($A428=M$424,"",COUNTIF($E$4:$E$420,$A428&amp;" ضد "&amp;M$424)+COUNTIF($E$4:$E$420,M$424&amp;" ضد "&amp;$A428))</f>
        <v>2</v>
      </c>
      <c r="N428" s="4">
        <f>IF($A428=N$424,"",COUNTIF($E$4:$E$420,$A428&amp;" ضد "&amp;N$424)+COUNTIF($E$4:$E$420,N$424&amp;" ضد "&amp;$A428))</f>
        <v>0</v>
      </c>
      <c r="O428" s="4">
        <f>IF($A428=O$424,"",COUNTIF($E$4:$E$420,$A428&amp;" ضد "&amp;O$424)+COUNTIF($E$4:$E$420,O$424&amp;" ضد "&amp;$A428))</f>
        <v>0</v>
      </c>
      <c r="P428" s="4">
        <f>IF($A428=P$424,"",COUNTIF($E$4:$E$420,$A428&amp;" ضد "&amp;P$424)+COUNTIF($E$4:$E$420,P$424&amp;" ضد "&amp;$A428))</f>
        <v>0</v>
      </c>
      <c r="Q428" s="4">
        <f>IF($A428=Q$424,"",COUNTIF($E$4:$E$420,$A428&amp;" ضد "&amp;Q$424)+COUNTIF($E$4:$E$420,Q$424&amp;" ضد "&amp;$A428))</f>
        <v>0</v>
      </c>
      <c r="R428" s="4">
        <f>IF($A428=R$424,"",COUNTIF($E$4:$E$420,$A428&amp;" ضد "&amp;R$424)+COUNTIF($E$4:$E$420,R$424&amp;" ضد "&amp;$A428))</f>
        <v>0</v>
      </c>
      <c r="S428" s="4">
        <f>IF($A428=S$424,"",COUNTIF($E$4:$E$420,$A428&amp;" ضد "&amp;S$424)+COUNTIF($E$4:$E$420,S$424&amp;" ضد "&amp;$A428))</f>
        <v>0</v>
      </c>
      <c r="T428" s="4">
        <f>IF($A428=T$424,"",COUNTIF($E$4:$E$420,$A428&amp;" ضد "&amp;T$424)+COUNTIF($E$4:$E$420,T$424&amp;" ضد "&amp;$A428))</f>
        <v>0</v>
      </c>
      <c r="U428" s="4">
        <f>IF($A428=U$424,"",COUNTIF($E$4:$E$420,$A428&amp;" ضد "&amp;U$424)+COUNTIF($E$4:$E$420,U$424&amp;" ضد "&amp;$A428))</f>
        <v>0</v>
      </c>
      <c r="V428" s="4">
        <f>IF($A428=V$424,"",COUNTIF($E$4:$E$420,$A428&amp;" ضد "&amp;V$424)+COUNTIF($E$4:$E$420,V$424&amp;" ضد "&amp;$A428))</f>
        <v>0</v>
      </c>
      <c r="W428" s="4">
        <f>IF($A428=W$424,"",COUNTIF($E$4:$E$420,$A428&amp;" ضد "&amp;W$424)+COUNTIF($E$4:$E$420,W$424&amp;" ضد "&amp;$A428))</f>
        <v>0</v>
      </c>
      <c r="X428" s="4">
        <f>IF($A428=X$424,"",COUNTIF($E$4:$E$420,$A428&amp;" ضد "&amp;X$424)+COUNTIF($E$4:$E$420,X$424&amp;" ضد "&amp;$A428))</f>
        <v>0</v>
      </c>
      <c r="Y428" s="4">
        <f>IF($A428=Y$424,"",COUNTIF($E$4:$E$420,$A428&amp;" ضد "&amp;Y$424)+COUNTIF($E$4:$E$420,Y$424&amp;" ضد "&amp;$A428))</f>
        <v>0</v>
      </c>
      <c r="Z428" s="4">
        <f>IF($A428=Z$424,"",COUNTIF($E$4:$E$420,$A428&amp;" ضد "&amp;Z$424)+COUNTIF($E$4:$E$420,Z$424&amp;" ضد "&amp;$A428))</f>
        <v>0</v>
      </c>
      <c r="AA428" s="4">
        <f>IF($A428=AA$424,"",COUNTIF($E$4:$E$420,$A428&amp;" ضد "&amp;AA$424)+COUNTIF($E$4:$E$420,AA$424&amp;" ضد "&amp;$A428))</f>
        <v>0</v>
      </c>
      <c r="AB428" s="4">
        <f>IF($A428=AB$424,"",COUNTIF($E$4:$E$420,$A428&amp;" ضد "&amp;AB$424)+COUNTIF($E$4:$E$420,AB$424&amp;" ضد "&amp;$A428))</f>
        <v>0</v>
      </c>
      <c r="AC428" s="4">
        <f>IF($A428=AC$424,"",COUNTIF($E$4:$E$420,$A428&amp;" ضد "&amp;AC$424)+COUNTIF($E$4:$E$420,AC$424&amp;" ضد "&amp;$A428))</f>
        <v>0</v>
      </c>
      <c r="AD428" s="4">
        <f>IF($A428=AD$424,"",COUNTIF($E$4:$E$420,$A428&amp;" ضد "&amp;AD$424)+COUNTIF($E$4:$E$420,AD$424&amp;" ضد "&amp;$A428))</f>
        <v>0</v>
      </c>
      <c r="AE428" s="4">
        <f>IF($A428=AE$424,"",COUNTIF($E$4:$E$420,$A428&amp;" ضد "&amp;AE$424)+COUNTIF($E$4:$E$420,AE$424&amp;" ضد "&amp;$A428))</f>
        <v>0</v>
      </c>
      <c r="AF428" s="4">
        <f>IF($A428=AF$424,"",COUNTIF($E$4:$E$420,$A428&amp;" ضد "&amp;AF$424)+COUNTIF($E$4:$E$420,AF$424&amp;" ضد "&amp;$A428))</f>
        <v>0</v>
      </c>
      <c r="AG428" s="4">
        <f>IF($A428=AG$424,"",COUNTIF($E$4:$E$420,$A428&amp;" ضد "&amp;AG$424)+COUNTIF($E$4:$E$420,AG$424&amp;" ضد "&amp;$A428))</f>
        <v>0</v>
      </c>
      <c r="AH428" s="4">
        <f>IF($A428=AH$424,"",COUNTIF($E$4:$E$420,$A428&amp;" ضد "&amp;AH$424)+COUNTIF($E$4:$E$420,AH$424&amp;" ضد "&amp;$A428))</f>
        <v>0</v>
      </c>
      <c r="AI428" s="4">
        <f>IF($A428=AI$424,"",COUNTIF($E$4:$E$420,$A428&amp;" ضد "&amp;AI$424)+COUNTIF($E$4:$E$420,AI$424&amp;" ضد "&amp;$A428))</f>
        <v>0</v>
      </c>
      <c r="AJ428" s="4">
        <f>IF($A428=AJ$424,"",COUNTIF($E$4:$E$420,$A428&amp;" ضد "&amp;AJ$424)+COUNTIF($E$4:$E$420,AJ$424&amp;" ضد "&amp;$A428))</f>
        <v>0</v>
      </c>
      <c r="AK428" s="4">
        <f>IF($A428=AK$424,"",COUNTIF($E$4:$E$420,$A428&amp;" ضد "&amp;AK$424)+COUNTIF($E$4:$E$420,AK$424&amp;" ضد "&amp;$A428))</f>
        <v>0</v>
      </c>
      <c r="AL428" s="4">
        <f>IF($A428=AL$424,"",COUNTIF($E$4:$E$420,$A428&amp;" ضد "&amp;AL$424)+COUNTIF($E$4:$E$420,AL$424&amp;" ضد "&amp;$A428))</f>
        <v>0</v>
      </c>
      <c r="AM428" s="4">
        <f>IF($A428=AM$424,"",COUNTIF($E$4:$E$420,$A428&amp;" ضد "&amp;AM$424)+COUNTIF($E$4:$E$420,AM$424&amp;" ضد "&amp;$A428))</f>
        <v>0</v>
      </c>
      <c r="AN428" s="4">
        <f>IF($A428=AN$424,"",COUNTIF($E$4:$E$420,$A428&amp;" ضد "&amp;AN$424)+COUNTIF($E$4:$E$420,AN$424&amp;" ضد "&amp;$A428))</f>
        <v>0</v>
      </c>
      <c r="AO428" s="4">
        <f>IF($A428=AO$424,"",COUNTIF($E$4:$E$420,$A428&amp;" ضد "&amp;AO$424)+COUNTIF($E$4:$E$420,AO$424&amp;" ضد "&amp;$A428))</f>
        <v>0</v>
      </c>
      <c r="AP428" s="4">
        <f>IF($A428=AP$424,"",COUNTIF($E$4:$E$420,$A428&amp;" ضد "&amp;AP$424)+COUNTIF($E$4:$E$420,AP$424&amp;" ضد "&amp;$A428))</f>
        <v>0</v>
      </c>
      <c r="AQ428" s="4">
        <f>IF($A428=AQ$424,"",COUNTIF($E$4:$E$420,$A428&amp;" ضد "&amp;AQ$424)+COUNTIF($E$4:$E$420,AQ$424&amp;" ضد "&amp;$A428))</f>
        <v>0</v>
      </c>
      <c r="AR428" s="4">
        <f>IF($A428=AR$424,"",COUNTIF($E$4:$E$420,$A428&amp;" ضد "&amp;AR$424)+COUNTIF($E$4:$E$420,AR$424&amp;" ضد "&amp;$A428))</f>
        <v>0</v>
      </c>
      <c r="AS428" s="4">
        <f>IF($A428=AS$424,"",COUNTIF($E$4:$E$420,$A428&amp;" ضد "&amp;AS$424)+COUNTIF($E$4:$E$420,AS$424&amp;" ضد "&amp;$A428))</f>
        <v>0</v>
      </c>
      <c r="AT428" s="4">
        <f>IF($A428=AT$424,"",COUNTIF($E$4:$E$420,$A428&amp;" ضد "&amp;AT$424)+COUNTIF($E$4:$E$420,AT$424&amp;" ضد "&amp;$A428))</f>
        <v>0</v>
      </c>
      <c r="AU428" s="4">
        <f>IF($A428=AU$424,"",COUNTIF($E$4:$E$420,$A428&amp;" ضد "&amp;AU$424)+COUNTIF($E$4:$E$420,AU$424&amp;" ضد "&amp;$A428))</f>
        <v>0</v>
      </c>
    </row>
    <row r="429" spans="1:47" ht="14.5">
      <c r="A429" s="14">
        <v>5</v>
      </c>
      <c r="B429" s="4">
        <f>IF($A429=B$424,"",COUNTIF($E$4:$E$420,$A429&amp;" ضد "&amp;B$424)+COUNTIF($E$4:$E$420,B$424&amp;" ضد "&amp;$A429))</f>
        <v>1</v>
      </c>
      <c r="C429" s="4">
        <f>IF($A429=C$424,"",COUNTIF($E$4:$E$420,$A429&amp;" ضد "&amp;C$424)+COUNTIF($E$4:$E$420,C$424&amp;" ضد "&amp;$A429))</f>
        <v>2</v>
      </c>
      <c r="D429" s="4">
        <f>IF($A429=D$424,"",COUNTIF($E$4:$E$420,$A429&amp;" ضد "&amp;D$424)+COUNTIF($E$4:$E$420,D$424&amp;" ضد "&amp;$A429))</f>
        <v>1</v>
      </c>
      <c r="E429" s="4">
        <f>IF($A429=E$424,"",COUNTIF($E$4:$E$420,$A429&amp;" ضد "&amp;E$424)+COUNTIF($E$4:$E$420,E$424&amp;" ضد "&amp;$A429))</f>
        <v>2</v>
      </c>
      <c r="F429" s="4" t="str">
        <f>IF($A429=F$424,"",COUNTIF($E$4:$E$420,$A429&amp;" ضد "&amp;F$424)+COUNTIF($E$4:$E$420,F$424&amp;" ضد "&amp;$A429))</f>
        <v/>
      </c>
      <c r="G429" s="4">
        <f>IF($A429=G$424,"",COUNTIF($E$4:$E$420,$A429&amp;" ضد "&amp;G$424)+COUNTIF($E$4:$E$420,G$424&amp;" ضد "&amp;$A429))</f>
        <v>2</v>
      </c>
      <c r="H429" s="4">
        <f>IF($A429=H$424,"",COUNTIF($E$4:$E$420,$A429&amp;" ضد "&amp;H$424)+COUNTIF($E$4:$E$420,H$424&amp;" ضد "&amp;$A429))</f>
        <v>2</v>
      </c>
      <c r="I429" s="4">
        <f>IF($A429=I$424,"",COUNTIF($E$4:$E$420,$A429&amp;" ضد "&amp;I$424)+COUNTIF($E$4:$E$420,I$424&amp;" ضد "&amp;$A429))</f>
        <v>2</v>
      </c>
      <c r="J429" s="4">
        <f>IF($A429=J$424,"",COUNTIF($E$4:$E$420,$A429&amp;" ضد "&amp;J$424)+COUNTIF($E$4:$E$420,J$424&amp;" ضد "&amp;$A429))</f>
        <v>2</v>
      </c>
      <c r="K429" s="4">
        <f>IF($A429=K$424,"",COUNTIF($E$4:$E$420,$A429&amp;" ضد "&amp;K$424)+COUNTIF($E$4:$E$420,K$424&amp;" ضد "&amp;$A429))</f>
        <v>1</v>
      </c>
      <c r="L429" s="4">
        <f>IF($A429=L$424,"",COUNTIF($E$4:$E$420,$A429&amp;" ضد "&amp;L$424)+COUNTIF($E$4:$E$420,L$424&amp;" ضد "&amp;$A429))</f>
        <v>2</v>
      </c>
      <c r="M429" s="4">
        <f>IF($A429=M$424,"",COUNTIF($E$4:$E$420,$A429&amp;" ضد "&amp;M$424)+COUNTIF($E$4:$E$420,M$424&amp;" ضد "&amp;$A429))</f>
        <v>1</v>
      </c>
      <c r="N429" s="4">
        <f>IF($A429=N$424,"",COUNTIF($E$4:$E$420,$A429&amp;" ضد "&amp;N$424)+COUNTIF($E$4:$E$420,N$424&amp;" ضد "&amp;$A429))</f>
        <v>0</v>
      </c>
      <c r="O429" s="4">
        <f>IF($A429=O$424,"",COUNTIF($E$4:$E$420,$A429&amp;" ضد "&amp;O$424)+COUNTIF($E$4:$E$420,O$424&amp;" ضد "&amp;$A429))</f>
        <v>0</v>
      </c>
      <c r="P429" s="4">
        <f>IF($A429=P$424,"",COUNTIF($E$4:$E$420,$A429&amp;" ضد "&amp;P$424)+COUNTIF($E$4:$E$420,P$424&amp;" ضد "&amp;$A429))</f>
        <v>0</v>
      </c>
      <c r="Q429" s="4">
        <f>IF($A429=Q$424,"",COUNTIF($E$4:$E$420,$A429&amp;" ضد "&amp;Q$424)+COUNTIF($E$4:$E$420,Q$424&amp;" ضد "&amp;$A429))</f>
        <v>0</v>
      </c>
      <c r="R429" s="4">
        <f>IF($A429=R$424,"",COUNTIF($E$4:$E$420,$A429&amp;" ضد "&amp;R$424)+COUNTIF($E$4:$E$420,R$424&amp;" ضد "&amp;$A429))</f>
        <v>0</v>
      </c>
      <c r="S429" s="4">
        <f>IF($A429=S$424,"",COUNTIF($E$4:$E$420,$A429&amp;" ضد "&amp;S$424)+COUNTIF($E$4:$E$420,S$424&amp;" ضد "&amp;$A429))</f>
        <v>0</v>
      </c>
      <c r="T429" s="4">
        <f>IF($A429=T$424,"",COUNTIF($E$4:$E$420,$A429&amp;" ضد "&amp;T$424)+COUNTIF($E$4:$E$420,T$424&amp;" ضد "&amp;$A429))</f>
        <v>0</v>
      </c>
      <c r="U429" s="4">
        <f>IF($A429=U$424,"",COUNTIF($E$4:$E$420,$A429&amp;" ضد "&amp;U$424)+COUNTIF($E$4:$E$420,U$424&amp;" ضد "&amp;$A429))</f>
        <v>0</v>
      </c>
      <c r="V429" s="4">
        <f>IF($A429=V$424,"",COUNTIF($E$4:$E$420,$A429&amp;" ضد "&amp;V$424)+COUNTIF($E$4:$E$420,V$424&amp;" ضد "&amp;$A429))</f>
        <v>0</v>
      </c>
      <c r="W429" s="4">
        <f>IF($A429=W$424,"",COUNTIF($E$4:$E$420,$A429&amp;" ضد "&amp;W$424)+COUNTIF($E$4:$E$420,W$424&amp;" ضد "&amp;$A429))</f>
        <v>0</v>
      </c>
      <c r="X429" s="4">
        <f>IF($A429=X$424,"",COUNTIF($E$4:$E$420,$A429&amp;" ضد "&amp;X$424)+COUNTIF($E$4:$E$420,X$424&amp;" ضد "&amp;$A429))</f>
        <v>0</v>
      </c>
      <c r="Y429" s="4">
        <f>IF($A429=Y$424,"",COUNTIF($E$4:$E$420,$A429&amp;" ضد "&amp;Y$424)+COUNTIF($E$4:$E$420,Y$424&amp;" ضد "&amp;$A429))</f>
        <v>0</v>
      </c>
      <c r="Z429" s="4">
        <f>IF($A429=Z$424,"",COUNTIF($E$4:$E$420,$A429&amp;" ضد "&amp;Z$424)+COUNTIF($E$4:$E$420,Z$424&amp;" ضد "&amp;$A429))</f>
        <v>0</v>
      </c>
      <c r="AA429" s="4">
        <f>IF($A429=AA$424,"",COUNTIF($E$4:$E$420,$A429&amp;" ضد "&amp;AA$424)+COUNTIF($E$4:$E$420,AA$424&amp;" ضد "&amp;$A429))</f>
        <v>0</v>
      </c>
      <c r="AB429" s="4">
        <f>IF($A429=AB$424,"",COUNTIF($E$4:$E$420,$A429&amp;" ضد "&amp;AB$424)+COUNTIF($E$4:$E$420,AB$424&amp;" ضد "&amp;$A429))</f>
        <v>0</v>
      </c>
      <c r="AC429" s="4">
        <f>IF($A429=AC$424,"",COUNTIF($E$4:$E$420,$A429&amp;" ضد "&amp;AC$424)+COUNTIF($E$4:$E$420,AC$424&amp;" ضد "&amp;$A429))</f>
        <v>0</v>
      </c>
      <c r="AD429" s="4">
        <f>IF($A429=AD$424,"",COUNTIF($E$4:$E$420,$A429&amp;" ضد "&amp;AD$424)+COUNTIF($E$4:$E$420,AD$424&amp;" ضد "&amp;$A429))</f>
        <v>0</v>
      </c>
      <c r="AE429" s="4">
        <f>IF($A429=AE$424,"",COUNTIF($E$4:$E$420,$A429&amp;" ضد "&amp;AE$424)+COUNTIF($E$4:$E$420,AE$424&amp;" ضد "&amp;$A429))</f>
        <v>0</v>
      </c>
      <c r="AF429" s="4">
        <f>IF($A429=AF$424,"",COUNTIF($E$4:$E$420,$A429&amp;" ضد "&amp;AF$424)+COUNTIF($E$4:$E$420,AF$424&amp;" ضد "&amp;$A429))</f>
        <v>0</v>
      </c>
      <c r="AG429" s="4">
        <f>IF($A429=AG$424,"",COUNTIF($E$4:$E$420,$A429&amp;" ضد "&amp;AG$424)+COUNTIF($E$4:$E$420,AG$424&amp;" ضد "&amp;$A429))</f>
        <v>0</v>
      </c>
      <c r="AH429" s="4">
        <f>IF($A429=AH$424,"",COUNTIF($E$4:$E$420,$A429&amp;" ضد "&amp;AH$424)+COUNTIF($E$4:$E$420,AH$424&amp;" ضد "&amp;$A429))</f>
        <v>0</v>
      </c>
      <c r="AI429" s="4">
        <f>IF($A429=AI$424,"",COUNTIF($E$4:$E$420,$A429&amp;" ضد "&amp;AI$424)+COUNTIF($E$4:$E$420,AI$424&amp;" ضد "&amp;$A429))</f>
        <v>0</v>
      </c>
      <c r="AJ429" s="4">
        <f>IF($A429=AJ$424,"",COUNTIF($E$4:$E$420,$A429&amp;" ضد "&amp;AJ$424)+COUNTIF($E$4:$E$420,AJ$424&amp;" ضد "&amp;$A429))</f>
        <v>0</v>
      </c>
      <c r="AK429" s="4">
        <f>IF($A429=AK$424,"",COUNTIF($E$4:$E$420,$A429&amp;" ضد "&amp;AK$424)+COUNTIF($E$4:$E$420,AK$424&amp;" ضد "&amp;$A429))</f>
        <v>0</v>
      </c>
      <c r="AL429" s="4">
        <f>IF($A429=AL$424,"",COUNTIF($E$4:$E$420,$A429&amp;" ضد "&amp;AL$424)+COUNTIF($E$4:$E$420,AL$424&amp;" ضد "&amp;$A429))</f>
        <v>0</v>
      </c>
      <c r="AM429" s="4">
        <f>IF($A429=AM$424,"",COUNTIF($E$4:$E$420,$A429&amp;" ضد "&amp;AM$424)+COUNTIF($E$4:$E$420,AM$424&amp;" ضد "&amp;$A429))</f>
        <v>0</v>
      </c>
      <c r="AN429" s="4">
        <f>IF($A429=AN$424,"",COUNTIF($E$4:$E$420,$A429&amp;" ضد "&amp;AN$424)+COUNTIF($E$4:$E$420,AN$424&amp;" ضد "&amp;$A429))</f>
        <v>0</v>
      </c>
      <c r="AO429" s="4">
        <f>IF($A429=AO$424,"",COUNTIF($E$4:$E$420,$A429&amp;" ضد "&amp;AO$424)+COUNTIF($E$4:$E$420,AO$424&amp;" ضد "&amp;$A429))</f>
        <v>0</v>
      </c>
      <c r="AP429" s="4">
        <f>IF($A429=AP$424,"",COUNTIF($E$4:$E$420,$A429&amp;" ضد "&amp;AP$424)+COUNTIF($E$4:$E$420,AP$424&amp;" ضد "&amp;$A429))</f>
        <v>0</v>
      </c>
      <c r="AQ429" s="4">
        <f>IF($A429=AQ$424,"",COUNTIF($E$4:$E$420,$A429&amp;" ضد "&amp;AQ$424)+COUNTIF($E$4:$E$420,AQ$424&amp;" ضد "&amp;$A429))</f>
        <v>0</v>
      </c>
      <c r="AR429" s="4">
        <f>IF($A429=AR$424,"",COUNTIF($E$4:$E$420,$A429&amp;" ضد "&amp;AR$424)+COUNTIF($E$4:$E$420,AR$424&amp;" ضد "&amp;$A429))</f>
        <v>0</v>
      </c>
      <c r="AS429" s="4">
        <f>IF($A429=AS$424,"",COUNTIF($E$4:$E$420,$A429&amp;" ضد "&amp;AS$424)+COUNTIF($E$4:$E$420,AS$424&amp;" ضد "&amp;$A429))</f>
        <v>0</v>
      </c>
      <c r="AT429" s="4">
        <f>IF($A429=AT$424,"",COUNTIF($E$4:$E$420,$A429&amp;" ضد "&amp;AT$424)+COUNTIF($E$4:$E$420,AT$424&amp;" ضد "&amp;$A429))</f>
        <v>0</v>
      </c>
      <c r="AU429" s="4">
        <f>IF($A429=AU$424,"",COUNTIF($E$4:$E$420,$A429&amp;" ضد "&amp;AU$424)+COUNTIF($E$4:$E$420,AU$424&amp;" ضد "&amp;$A429))</f>
        <v>0</v>
      </c>
    </row>
    <row r="430" spans="1:47" ht="14.5">
      <c r="A430" s="14">
        <v>6</v>
      </c>
      <c r="B430" s="4">
        <f>IF($A430=B$424,"",COUNTIF($E$4:$E$420,$A430&amp;" ضد "&amp;B$424)+COUNTIF($E$4:$E$420,B$424&amp;" ضد "&amp;$A430))</f>
        <v>2</v>
      </c>
      <c r="C430" s="4">
        <f>IF($A430=C$424,"",COUNTIF($E$4:$E$420,$A430&amp;" ضد "&amp;C$424)+COUNTIF($E$4:$E$420,C$424&amp;" ضد "&amp;$A430))</f>
        <v>1</v>
      </c>
      <c r="D430" s="4">
        <f>IF($A430=D$424,"",COUNTIF($E$4:$E$420,$A430&amp;" ضد "&amp;D$424)+COUNTIF($E$4:$E$420,D$424&amp;" ضد "&amp;$A430))</f>
        <v>2</v>
      </c>
      <c r="E430" s="4">
        <f>IF($A430=E$424,"",COUNTIF($E$4:$E$420,$A430&amp;" ضد "&amp;E$424)+COUNTIF($E$4:$E$420,E$424&amp;" ضد "&amp;$A430))</f>
        <v>1</v>
      </c>
      <c r="F430" s="4">
        <f>IF($A430=F$424,"",COUNTIF($E$4:$E$420,$A430&amp;" ضد "&amp;F$424)+COUNTIF($E$4:$E$420,F$424&amp;" ضد "&amp;$A430))</f>
        <v>2</v>
      </c>
      <c r="G430" s="4" t="str">
        <f>IF($A430=G$424,"",COUNTIF($E$4:$E$420,$A430&amp;" ضد "&amp;G$424)+COUNTIF($E$4:$E$420,G$424&amp;" ضد "&amp;$A430))</f>
        <v/>
      </c>
      <c r="H430" s="4">
        <f>IF($A430=H$424,"",COUNTIF($E$4:$E$420,$A430&amp;" ضد "&amp;H$424)+COUNTIF($E$4:$E$420,H$424&amp;" ضد "&amp;$A430))</f>
        <v>2</v>
      </c>
      <c r="I430" s="4">
        <f>IF($A430=I$424,"",COUNTIF($E$4:$E$420,$A430&amp;" ضد "&amp;I$424)+COUNTIF($E$4:$E$420,I$424&amp;" ضد "&amp;$A430))</f>
        <v>2</v>
      </c>
      <c r="J430" s="4">
        <f>IF($A430=J$424,"",COUNTIF($E$4:$E$420,$A430&amp;" ضد "&amp;J$424)+COUNTIF($E$4:$E$420,J$424&amp;" ضد "&amp;$A430))</f>
        <v>1</v>
      </c>
      <c r="K430" s="4">
        <f>IF($A430=K$424,"",COUNTIF($E$4:$E$420,$A430&amp;" ضد "&amp;K$424)+COUNTIF($E$4:$E$420,K$424&amp;" ضد "&amp;$A430))</f>
        <v>2</v>
      </c>
      <c r="L430" s="4">
        <f>IF($A430=L$424,"",COUNTIF($E$4:$E$420,$A430&amp;" ضد "&amp;L$424)+COUNTIF($E$4:$E$420,L$424&amp;" ضد "&amp;$A430))</f>
        <v>1</v>
      </c>
      <c r="M430" s="4">
        <f>IF($A430=M$424,"",COUNTIF($E$4:$E$420,$A430&amp;" ضد "&amp;M$424)+COUNTIF($E$4:$E$420,M$424&amp;" ضد "&amp;$A430))</f>
        <v>2</v>
      </c>
      <c r="N430" s="4">
        <f>IF($A430=N$424,"",COUNTIF($E$4:$E$420,$A430&amp;" ضد "&amp;N$424)+COUNTIF($E$4:$E$420,N$424&amp;" ضد "&amp;$A430))</f>
        <v>0</v>
      </c>
      <c r="O430" s="4">
        <f>IF($A430=O$424,"",COUNTIF($E$4:$E$420,$A430&amp;" ضد "&amp;O$424)+COUNTIF($E$4:$E$420,O$424&amp;" ضد "&amp;$A430))</f>
        <v>0</v>
      </c>
      <c r="P430" s="4">
        <f>IF($A430=P$424,"",COUNTIF($E$4:$E$420,$A430&amp;" ضد "&amp;P$424)+COUNTIF($E$4:$E$420,P$424&amp;" ضد "&amp;$A430))</f>
        <v>0</v>
      </c>
      <c r="Q430" s="4">
        <f>IF($A430=Q$424,"",COUNTIF($E$4:$E$420,$A430&amp;" ضد "&amp;Q$424)+COUNTIF($E$4:$E$420,Q$424&amp;" ضد "&amp;$A430))</f>
        <v>0</v>
      </c>
      <c r="R430" s="4">
        <f>IF($A430=R$424,"",COUNTIF($E$4:$E$420,$A430&amp;" ضد "&amp;R$424)+COUNTIF($E$4:$E$420,R$424&amp;" ضد "&amp;$A430))</f>
        <v>0</v>
      </c>
      <c r="S430" s="4">
        <f>IF($A430=S$424,"",COUNTIF($E$4:$E$420,$A430&amp;" ضد "&amp;S$424)+COUNTIF($E$4:$E$420,S$424&amp;" ضد "&amp;$A430))</f>
        <v>0</v>
      </c>
      <c r="T430" s="4">
        <f>IF($A430=T$424,"",COUNTIF($E$4:$E$420,$A430&amp;" ضد "&amp;T$424)+COUNTIF($E$4:$E$420,T$424&amp;" ضد "&amp;$A430))</f>
        <v>0</v>
      </c>
      <c r="U430" s="4">
        <f>IF($A430=U$424,"",COUNTIF($E$4:$E$420,$A430&amp;" ضد "&amp;U$424)+COUNTIF($E$4:$E$420,U$424&amp;" ضد "&amp;$A430))</f>
        <v>0</v>
      </c>
      <c r="V430" s="4">
        <f>IF($A430=V$424,"",COUNTIF($E$4:$E$420,$A430&amp;" ضد "&amp;V$424)+COUNTIF($E$4:$E$420,V$424&amp;" ضد "&amp;$A430))</f>
        <v>0</v>
      </c>
      <c r="W430" s="4">
        <f>IF($A430=W$424,"",COUNTIF($E$4:$E$420,$A430&amp;" ضد "&amp;W$424)+COUNTIF($E$4:$E$420,W$424&amp;" ضد "&amp;$A430))</f>
        <v>0</v>
      </c>
      <c r="X430" s="4">
        <f>IF($A430=X$424,"",COUNTIF($E$4:$E$420,$A430&amp;" ضد "&amp;X$424)+COUNTIF($E$4:$E$420,X$424&amp;" ضد "&amp;$A430))</f>
        <v>0</v>
      </c>
      <c r="Y430" s="4">
        <f>IF($A430=Y$424,"",COUNTIF($E$4:$E$420,$A430&amp;" ضد "&amp;Y$424)+COUNTIF($E$4:$E$420,Y$424&amp;" ضد "&amp;$A430))</f>
        <v>0</v>
      </c>
      <c r="Z430" s="4">
        <f>IF($A430=Z$424,"",COUNTIF($E$4:$E$420,$A430&amp;" ضد "&amp;Z$424)+COUNTIF($E$4:$E$420,Z$424&amp;" ضد "&amp;$A430))</f>
        <v>0</v>
      </c>
      <c r="AA430" s="4">
        <f>IF($A430=AA$424,"",COUNTIF($E$4:$E$420,$A430&amp;" ضد "&amp;AA$424)+COUNTIF($E$4:$E$420,AA$424&amp;" ضد "&amp;$A430))</f>
        <v>0</v>
      </c>
      <c r="AB430" s="4">
        <f>IF($A430=AB$424,"",COUNTIF($E$4:$E$420,$A430&amp;" ضد "&amp;AB$424)+COUNTIF($E$4:$E$420,AB$424&amp;" ضد "&amp;$A430))</f>
        <v>0</v>
      </c>
      <c r="AC430" s="4">
        <f>IF($A430=AC$424,"",COUNTIF($E$4:$E$420,$A430&amp;" ضد "&amp;AC$424)+COUNTIF($E$4:$E$420,AC$424&amp;" ضد "&amp;$A430))</f>
        <v>0</v>
      </c>
      <c r="AD430" s="4">
        <f>IF($A430=AD$424,"",COUNTIF($E$4:$E$420,$A430&amp;" ضد "&amp;AD$424)+COUNTIF($E$4:$E$420,AD$424&amp;" ضد "&amp;$A430))</f>
        <v>0</v>
      </c>
      <c r="AE430" s="4">
        <f>IF($A430=AE$424,"",COUNTIF($E$4:$E$420,$A430&amp;" ضد "&amp;AE$424)+COUNTIF($E$4:$E$420,AE$424&amp;" ضد "&amp;$A430))</f>
        <v>0</v>
      </c>
      <c r="AF430" s="4">
        <f>IF($A430=AF$424,"",COUNTIF($E$4:$E$420,$A430&amp;" ضد "&amp;AF$424)+COUNTIF($E$4:$E$420,AF$424&amp;" ضد "&amp;$A430))</f>
        <v>0</v>
      </c>
      <c r="AG430" s="4">
        <f>IF($A430=AG$424,"",COUNTIF($E$4:$E$420,$A430&amp;" ضد "&amp;AG$424)+COUNTIF($E$4:$E$420,AG$424&amp;" ضد "&amp;$A430))</f>
        <v>0</v>
      </c>
      <c r="AH430" s="4">
        <f>IF($A430=AH$424,"",COUNTIF($E$4:$E$420,$A430&amp;" ضد "&amp;AH$424)+COUNTIF($E$4:$E$420,AH$424&amp;" ضد "&amp;$A430))</f>
        <v>0</v>
      </c>
      <c r="AI430" s="4">
        <f>IF($A430=AI$424,"",COUNTIF($E$4:$E$420,$A430&amp;" ضد "&amp;AI$424)+COUNTIF($E$4:$E$420,AI$424&amp;" ضد "&amp;$A430))</f>
        <v>0</v>
      </c>
      <c r="AJ430" s="4">
        <f>IF($A430=AJ$424,"",COUNTIF($E$4:$E$420,$A430&amp;" ضد "&amp;AJ$424)+COUNTIF($E$4:$E$420,AJ$424&amp;" ضد "&amp;$A430))</f>
        <v>0</v>
      </c>
      <c r="AK430" s="4">
        <f>IF($A430=AK$424,"",COUNTIF($E$4:$E$420,$A430&amp;" ضد "&amp;AK$424)+COUNTIF($E$4:$E$420,AK$424&amp;" ضد "&amp;$A430))</f>
        <v>0</v>
      </c>
      <c r="AL430" s="4">
        <f>IF($A430=AL$424,"",COUNTIF($E$4:$E$420,$A430&amp;" ضد "&amp;AL$424)+COUNTIF($E$4:$E$420,AL$424&amp;" ضد "&amp;$A430))</f>
        <v>0</v>
      </c>
      <c r="AM430" s="4">
        <f>IF($A430=AM$424,"",COUNTIF($E$4:$E$420,$A430&amp;" ضد "&amp;AM$424)+COUNTIF($E$4:$E$420,AM$424&amp;" ضد "&amp;$A430))</f>
        <v>0</v>
      </c>
      <c r="AN430" s="4">
        <f>IF($A430=AN$424,"",COUNTIF($E$4:$E$420,$A430&amp;" ضد "&amp;AN$424)+COUNTIF($E$4:$E$420,AN$424&amp;" ضد "&amp;$A430))</f>
        <v>0</v>
      </c>
      <c r="AO430" s="4">
        <f>IF($A430=AO$424,"",COUNTIF($E$4:$E$420,$A430&amp;" ضد "&amp;AO$424)+COUNTIF($E$4:$E$420,AO$424&amp;" ضد "&amp;$A430))</f>
        <v>0</v>
      </c>
      <c r="AP430" s="4">
        <f>IF($A430=AP$424,"",COUNTIF($E$4:$E$420,$A430&amp;" ضد "&amp;AP$424)+COUNTIF($E$4:$E$420,AP$424&amp;" ضد "&amp;$A430))</f>
        <v>0</v>
      </c>
      <c r="AQ430" s="4">
        <f>IF($A430=AQ$424,"",COUNTIF($E$4:$E$420,$A430&amp;" ضد "&amp;AQ$424)+COUNTIF($E$4:$E$420,AQ$424&amp;" ضد "&amp;$A430))</f>
        <v>0</v>
      </c>
      <c r="AR430" s="4">
        <f>IF($A430=AR$424,"",COUNTIF($E$4:$E$420,$A430&amp;" ضد "&amp;AR$424)+COUNTIF($E$4:$E$420,AR$424&amp;" ضد "&amp;$A430))</f>
        <v>0</v>
      </c>
      <c r="AS430" s="4">
        <f>IF($A430=AS$424,"",COUNTIF($E$4:$E$420,$A430&amp;" ضد "&amp;AS$424)+COUNTIF($E$4:$E$420,AS$424&amp;" ضد "&amp;$A430))</f>
        <v>0</v>
      </c>
      <c r="AT430" s="4">
        <f>IF($A430=AT$424,"",COUNTIF($E$4:$E$420,$A430&amp;" ضد "&amp;AT$424)+COUNTIF($E$4:$E$420,AT$424&amp;" ضد "&amp;$A430))</f>
        <v>0</v>
      </c>
      <c r="AU430" s="4">
        <f>IF($A430=AU$424,"",COUNTIF($E$4:$E$420,$A430&amp;" ضد "&amp;AU$424)+COUNTIF($E$4:$E$420,AU$424&amp;" ضد "&amp;$A430))</f>
        <v>0</v>
      </c>
    </row>
    <row r="431" spans="1:47" ht="14.5">
      <c r="A431" s="14">
        <v>7</v>
      </c>
      <c r="B431" s="4">
        <f>IF($A431=B$424,"",COUNTIF($E$4:$E$420,$A431&amp;" ضد "&amp;B$424)+COUNTIF($E$4:$E$420,B$424&amp;" ضد "&amp;$A431))</f>
        <v>2</v>
      </c>
      <c r="C431" s="4">
        <f>IF($A431=C$424,"",COUNTIF($E$4:$E$420,$A431&amp;" ضد "&amp;C$424)+COUNTIF($E$4:$E$420,C$424&amp;" ضد "&amp;$A431))</f>
        <v>2</v>
      </c>
      <c r="D431" s="4">
        <f>IF($A431=D$424,"",COUNTIF($E$4:$E$420,$A431&amp;" ضد "&amp;D$424)+COUNTIF($E$4:$E$420,D$424&amp;" ضد "&amp;$A431))</f>
        <v>1</v>
      </c>
      <c r="E431" s="4">
        <f>IF($A431=E$424,"",COUNTIF($E$4:$E$420,$A431&amp;" ضد "&amp;E$424)+COUNTIF($E$4:$E$420,E$424&amp;" ضد "&amp;$A431))</f>
        <v>2</v>
      </c>
      <c r="F431" s="4">
        <f>IF($A431=F$424,"",COUNTIF($E$4:$E$420,$A431&amp;" ضد "&amp;F$424)+COUNTIF($E$4:$E$420,F$424&amp;" ضد "&amp;$A431))</f>
        <v>2</v>
      </c>
      <c r="G431" s="4">
        <f>IF($A431=G$424,"",COUNTIF($E$4:$E$420,$A431&amp;" ضد "&amp;G$424)+COUNTIF($E$4:$E$420,G$424&amp;" ضد "&amp;$A431))</f>
        <v>2</v>
      </c>
      <c r="H431" s="4" t="str">
        <f>IF($A431=H$424,"",COUNTIF($E$4:$E$420,$A431&amp;" ضد "&amp;H$424)+COUNTIF($E$4:$E$420,H$424&amp;" ضد "&amp;$A431))</f>
        <v/>
      </c>
      <c r="I431" s="4">
        <f>IF($A431=I$424,"",COUNTIF($E$4:$E$420,$A431&amp;" ضد "&amp;I$424)+COUNTIF($E$4:$E$420,I$424&amp;" ضد "&amp;$A431))</f>
        <v>1</v>
      </c>
      <c r="J431" s="4">
        <f>IF($A431=J$424,"",COUNTIF($E$4:$E$420,$A431&amp;" ضد "&amp;J$424)+COUNTIF($E$4:$E$420,J$424&amp;" ضد "&amp;$A431))</f>
        <v>2</v>
      </c>
      <c r="K431" s="4">
        <f>IF($A431=K$424,"",COUNTIF($E$4:$E$420,$A431&amp;" ضد "&amp;K$424)+COUNTIF($E$4:$E$420,K$424&amp;" ضد "&amp;$A431))</f>
        <v>1</v>
      </c>
      <c r="L431" s="4">
        <f>IF($A431=L$424,"",COUNTIF($E$4:$E$420,$A431&amp;" ضد "&amp;L$424)+COUNTIF($E$4:$E$420,L$424&amp;" ضد "&amp;$A431))</f>
        <v>2</v>
      </c>
      <c r="M431" s="4">
        <f>IF($A431=M$424,"",COUNTIF($E$4:$E$420,$A431&amp;" ضد "&amp;M$424)+COUNTIF($E$4:$E$420,M$424&amp;" ضد "&amp;$A431))</f>
        <v>1</v>
      </c>
      <c r="N431" s="4">
        <f>IF($A431=N$424,"",COUNTIF($E$4:$E$420,$A431&amp;" ضد "&amp;N$424)+COUNTIF($E$4:$E$420,N$424&amp;" ضد "&amp;$A431))</f>
        <v>0</v>
      </c>
      <c r="O431" s="4">
        <f>IF($A431=O$424,"",COUNTIF($E$4:$E$420,$A431&amp;" ضد "&amp;O$424)+COUNTIF($E$4:$E$420,O$424&amp;" ضد "&amp;$A431))</f>
        <v>0</v>
      </c>
      <c r="P431" s="4">
        <f>IF($A431=P$424,"",COUNTIF($E$4:$E$420,$A431&amp;" ضد "&amp;P$424)+COUNTIF($E$4:$E$420,P$424&amp;" ضد "&amp;$A431))</f>
        <v>0</v>
      </c>
      <c r="Q431" s="4">
        <f>IF($A431=Q$424,"",COUNTIF($E$4:$E$420,$A431&amp;" ضد "&amp;Q$424)+COUNTIF($E$4:$E$420,Q$424&amp;" ضد "&amp;$A431))</f>
        <v>0</v>
      </c>
      <c r="R431" s="4">
        <f>IF($A431=R$424,"",COUNTIF($E$4:$E$420,$A431&amp;" ضد "&amp;R$424)+COUNTIF($E$4:$E$420,R$424&amp;" ضد "&amp;$A431))</f>
        <v>0</v>
      </c>
      <c r="S431" s="4">
        <f>IF($A431=S$424,"",COUNTIF($E$4:$E$420,$A431&amp;" ضد "&amp;S$424)+COUNTIF($E$4:$E$420,S$424&amp;" ضد "&amp;$A431))</f>
        <v>0</v>
      </c>
      <c r="T431" s="4">
        <f>IF($A431=T$424,"",COUNTIF($E$4:$E$420,$A431&amp;" ضد "&amp;T$424)+COUNTIF($E$4:$E$420,T$424&amp;" ضد "&amp;$A431))</f>
        <v>0</v>
      </c>
      <c r="U431" s="4">
        <f>IF($A431=U$424,"",COUNTIF($E$4:$E$420,$A431&amp;" ضد "&amp;U$424)+COUNTIF($E$4:$E$420,U$424&amp;" ضد "&amp;$A431))</f>
        <v>0</v>
      </c>
      <c r="V431" s="4">
        <f>IF($A431=V$424,"",COUNTIF($E$4:$E$420,$A431&amp;" ضد "&amp;V$424)+COUNTIF($E$4:$E$420,V$424&amp;" ضد "&amp;$A431))</f>
        <v>0</v>
      </c>
      <c r="W431" s="4">
        <f>IF($A431=W$424,"",COUNTIF($E$4:$E$420,$A431&amp;" ضد "&amp;W$424)+COUNTIF($E$4:$E$420,W$424&amp;" ضد "&amp;$A431))</f>
        <v>0</v>
      </c>
      <c r="X431" s="4">
        <f>IF($A431=X$424,"",COUNTIF($E$4:$E$420,$A431&amp;" ضد "&amp;X$424)+COUNTIF($E$4:$E$420,X$424&amp;" ضد "&amp;$A431))</f>
        <v>0</v>
      </c>
      <c r="Y431" s="4">
        <f>IF($A431=Y$424,"",COUNTIF($E$4:$E$420,$A431&amp;" ضد "&amp;Y$424)+COUNTIF($E$4:$E$420,Y$424&amp;" ضد "&amp;$A431))</f>
        <v>0</v>
      </c>
      <c r="Z431" s="4">
        <f>IF($A431=Z$424,"",COUNTIF($E$4:$E$420,$A431&amp;" ضد "&amp;Z$424)+COUNTIF($E$4:$E$420,Z$424&amp;" ضد "&amp;$A431))</f>
        <v>0</v>
      </c>
      <c r="AA431" s="4">
        <f>IF($A431=AA$424,"",COUNTIF($E$4:$E$420,$A431&amp;" ضد "&amp;AA$424)+COUNTIF($E$4:$E$420,AA$424&amp;" ضد "&amp;$A431))</f>
        <v>0</v>
      </c>
      <c r="AB431" s="4">
        <f>IF($A431=AB$424,"",COUNTIF($E$4:$E$420,$A431&amp;" ضد "&amp;AB$424)+COUNTIF($E$4:$E$420,AB$424&amp;" ضد "&amp;$A431))</f>
        <v>0</v>
      </c>
      <c r="AC431" s="4">
        <f>IF($A431=AC$424,"",COUNTIF($E$4:$E$420,$A431&amp;" ضد "&amp;AC$424)+COUNTIF($E$4:$E$420,AC$424&amp;" ضد "&amp;$A431))</f>
        <v>0</v>
      </c>
      <c r="AD431" s="4">
        <f>IF($A431=AD$424,"",COUNTIF($E$4:$E$420,$A431&amp;" ضد "&amp;AD$424)+COUNTIF($E$4:$E$420,AD$424&amp;" ضد "&amp;$A431))</f>
        <v>0</v>
      </c>
      <c r="AE431" s="4">
        <f>IF($A431=AE$424,"",COUNTIF($E$4:$E$420,$A431&amp;" ضد "&amp;AE$424)+COUNTIF($E$4:$E$420,AE$424&amp;" ضد "&amp;$A431))</f>
        <v>0</v>
      </c>
      <c r="AF431" s="4">
        <f>IF($A431=AF$424,"",COUNTIF($E$4:$E$420,$A431&amp;" ضد "&amp;AF$424)+COUNTIF($E$4:$E$420,AF$424&amp;" ضد "&amp;$A431))</f>
        <v>0</v>
      </c>
      <c r="AG431" s="4">
        <f>IF($A431=AG$424,"",COUNTIF($E$4:$E$420,$A431&amp;" ضد "&amp;AG$424)+COUNTIF($E$4:$E$420,AG$424&amp;" ضد "&amp;$A431))</f>
        <v>0</v>
      </c>
      <c r="AH431" s="4">
        <f>IF($A431=AH$424,"",COUNTIF($E$4:$E$420,$A431&amp;" ضد "&amp;AH$424)+COUNTIF($E$4:$E$420,AH$424&amp;" ضد "&amp;$A431))</f>
        <v>0</v>
      </c>
      <c r="AI431" s="4">
        <f>IF($A431=AI$424,"",COUNTIF($E$4:$E$420,$A431&amp;" ضد "&amp;AI$424)+COUNTIF($E$4:$E$420,AI$424&amp;" ضد "&amp;$A431))</f>
        <v>0</v>
      </c>
      <c r="AJ431" s="4">
        <f>IF($A431=AJ$424,"",COUNTIF($E$4:$E$420,$A431&amp;" ضد "&amp;AJ$424)+COUNTIF($E$4:$E$420,AJ$424&amp;" ضد "&amp;$A431))</f>
        <v>0</v>
      </c>
      <c r="AK431" s="4">
        <f>IF($A431=AK$424,"",COUNTIF($E$4:$E$420,$A431&amp;" ضد "&amp;AK$424)+COUNTIF($E$4:$E$420,AK$424&amp;" ضد "&amp;$A431))</f>
        <v>0</v>
      </c>
      <c r="AL431" s="4">
        <f>IF($A431=AL$424,"",COUNTIF($E$4:$E$420,$A431&amp;" ضد "&amp;AL$424)+COUNTIF($E$4:$E$420,AL$424&amp;" ضد "&amp;$A431))</f>
        <v>0</v>
      </c>
      <c r="AM431" s="4">
        <f>IF($A431=AM$424,"",COUNTIF($E$4:$E$420,$A431&amp;" ضد "&amp;AM$424)+COUNTIF($E$4:$E$420,AM$424&amp;" ضد "&amp;$A431))</f>
        <v>0</v>
      </c>
      <c r="AN431" s="4">
        <f>IF($A431=AN$424,"",COUNTIF($E$4:$E$420,$A431&amp;" ضد "&amp;AN$424)+COUNTIF($E$4:$E$420,AN$424&amp;" ضد "&amp;$A431))</f>
        <v>0</v>
      </c>
      <c r="AO431" s="4">
        <f>IF($A431=AO$424,"",COUNTIF($E$4:$E$420,$A431&amp;" ضد "&amp;AO$424)+COUNTIF($E$4:$E$420,AO$424&amp;" ضد "&amp;$A431))</f>
        <v>0</v>
      </c>
      <c r="AP431" s="4">
        <f>IF($A431=AP$424,"",COUNTIF($E$4:$E$420,$A431&amp;" ضد "&amp;AP$424)+COUNTIF($E$4:$E$420,AP$424&amp;" ضد "&amp;$A431))</f>
        <v>0</v>
      </c>
      <c r="AQ431" s="4">
        <f>IF($A431=AQ$424,"",COUNTIF($E$4:$E$420,$A431&amp;" ضد "&amp;AQ$424)+COUNTIF($E$4:$E$420,AQ$424&amp;" ضد "&amp;$A431))</f>
        <v>0</v>
      </c>
      <c r="AR431" s="4">
        <f>IF($A431=AR$424,"",COUNTIF($E$4:$E$420,$A431&amp;" ضد "&amp;AR$424)+COUNTIF($E$4:$E$420,AR$424&amp;" ضد "&amp;$A431))</f>
        <v>0</v>
      </c>
      <c r="AS431" s="4">
        <f>IF($A431=AS$424,"",COUNTIF($E$4:$E$420,$A431&amp;" ضد "&amp;AS$424)+COUNTIF($E$4:$E$420,AS$424&amp;" ضد "&amp;$A431))</f>
        <v>0</v>
      </c>
      <c r="AT431" s="4">
        <f>IF($A431=AT$424,"",COUNTIF($E$4:$E$420,$A431&amp;" ضد "&amp;AT$424)+COUNTIF($E$4:$E$420,AT$424&amp;" ضد "&amp;$A431))</f>
        <v>0</v>
      </c>
      <c r="AU431" s="4">
        <f>IF($A431=AU$424,"",COUNTIF($E$4:$E$420,$A431&amp;" ضد "&amp;AU$424)+COUNTIF($E$4:$E$420,AU$424&amp;" ضد "&amp;$A431))</f>
        <v>0</v>
      </c>
    </row>
    <row r="432" spans="1:47" ht="14.5">
      <c r="A432" s="14">
        <v>8</v>
      </c>
      <c r="B432" s="4">
        <f>IF($A432=B$424,"",COUNTIF($E$4:$E$420,$A432&amp;" ضد "&amp;B$424)+COUNTIF($E$4:$E$420,B$424&amp;" ضد "&amp;$A432))</f>
        <v>2</v>
      </c>
      <c r="C432" s="4">
        <f>IF($A432=C$424,"",COUNTIF($E$4:$E$420,$A432&amp;" ضد "&amp;C$424)+COUNTIF($E$4:$E$420,C$424&amp;" ضد "&amp;$A432))</f>
        <v>1</v>
      </c>
      <c r="D432" s="4">
        <f>IF($A432=D$424,"",COUNTIF($E$4:$E$420,$A432&amp;" ضد "&amp;D$424)+COUNTIF($E$4:$E$420,D$424&amp;" ضد "&amp;$A432))</f>
        <v>2</v>
      </c>
      <c r="E432" s="4">
        <f>IF($A432=E$424,"",COUNTIF($E$4:$E$420,$A432&amp;" ضد "&amp;E$424)+COUNTIF($E$4:$E$420,E$424&amp;" ضد "&amp;$A432))</f>
        <v>2</v>
      </c>
      <c r="F432" s="4">
        <f>IF($A432=F$424,"",COUNTIF($E$4:$E$420,$A432&amp;" ضد "&amp;F$424)+COUNTIF($E$4:$E$420,F$424&amp;" ضد "&amp;$A432))</f>
        <v>2</v>
      </c>
      <c r="G432" s="4">
        <f>IF($A432=G$424,"",COUNTIF($E$4:$E$420,$A432&amp;" ضد "&amp;G$424)+COUNTIF($E$4:$E$420,G$424&amp;" ضد "&amp;$A432))</f>
        <v>2</v>
      </c>
      <c r="H432" s="4">
        <f>IF($A432=H$424,"",COUNTIF($E$4:$E$420,$A432&amp;" ضد "&amp;H$424)+COUNTIF($E$4:$E$420,H$424&amp;" ضد "&amp;$A432))</f>
        <v>1</v>
      </c>
      <c r="I432" s="4" t="str">
        <f>IF($A432=I$424,"",COUNTIF($E$4:$E$420,$A432&amp;" ضد "&amp;I$424)+COUNTIF($E$4:$E$420,I$424&amp;" ضد "&amp;$A432))</f>
        <v/>
      </c>
      <c r="J432" s="4">
        <f>IF($A432=J$424,"",COUNTIF($E$4:$E$420,$A432&amp;" ضد "&amp;J$424)+COUNTIF($E$4:$E$420,J$424&amp;" ضد "&amp;$A432))</f>
        <v>1</v>
      </c>
      <c r="K432" s="4">
        <f>IF($A432=K$424,"",COUNTIF($E$4:$E$420,$A432&amp;" ضد "&amp;K$424)+COUNTIF($E$4:$E$420,K$424&amp;" ضد "&amp;$A432))</f>
        <v>2</v>
      </c>
      <c r="L432" s="4">
        <f>IF($A432=L$424,"",COUNTIF($E$4:$E$420,$A432&amp;" ضد "&amp;L$424)+COUNTIF($E$4:$E$420,L$424&amp;" ضد "&amp;$A432))</f>
        <v>1</v>
      </c>
      <c r="M432" s="4">
        <f>IF($A432=M$424,"",COUNTIF($E$4:$E$420,$A432&amp;" ضد "&amp;M$424)+COUNTIF($E$4:$E$420,M$424&amp;" ضد "&amp;$A432))</f>
        <v>2</v>
      </c>
      <c r="N432" s="4">
        <f>IF($A432=N$424,"",COUNTIF($E$4:$E$420,$A432&amp;" ضد "&amp;N$424)+COUNTIF($E$4:$E$420,N$424&amp;" ضد "&amp;$A432))</f>
        <v>0</v>
      </c>
      <c r="O432" s="4">
        <f>IF($A432=O$424,"",COUNTIF($E$4:$E$420,$A432&amp;" ضد "&amp;O$424)+COUNTIF($E$4:$E$420,O$424&amp;" ضد "&amp;$A432))</f>
        <v>0</v>
      </c>
      <c r="P432" s="4">
        <f>IF($A432=P$424,"",COUNTIF($E$4:$E$420,$A432&amp;" ضد "&amp;P$424)+COUNTIF($E$4:$E$420,P$424&amp;" ضد "&amp;$A432))</f>
        <v>0</v>
      </c>
      <c r="Q432" s="4">
        <f>IF($A432=Q$424,"",COUNTIF($E$4:$E$420,$A432&amp;" ضد "&amp;Q$424)+COUNTIF($E$4:$E$420,Q$424&amp;" ضد "&amp;$A432))</f>
        <v>0</v>
      </c>
      <c r="R432" s="4">
        <f>IF($A432=R$424,"",COUNTIF($E$4:$E$420,$A432&amp;" ضد "&amp;R$424)+COUNTIF($E$4:$E$420,R$424&amp;" ضد "&amp;$A432))</f>
        <v>0</v>
      </c>
      <c r="S432" s="4">
        <f>IF($A432=S$424,"",COUNTIF($E$4:$E$420,$A432&amp;" ضد "&amp;S$424)+COUNTIF($E$4:$E$420,S$424&amp;" ضد "&amp;$A432))</f>
        <v>0</v>
      </c>
      <c r="T432" s="4">
        <f>IF($A432=T$424,"",COUNTIF($E$4:$E$420,$A432&amp;" ضد "&amp;T$424)+COUNTIF($E$4:$E$420,T$424&amp;" ضد "&amp;$A432))</f>
        <v>0</v>
      </c>
      <c r="U432" s="4">
        <f>IF($A432=U$424,"",COUNTIF($E$4:$E$420,$A432&amp;" ضد "&amp;U$424)+COUNTIF($E$4:$E$420,U$424&amp;" ضد "&amp;$A432))</f>
        <v>0</v>
      </c>
      <c r="V432" s="4">
        <f>IF($A432=V$424,"",COUNTIF($E$4:$E$420,$A432&amp;" ضد "&amp;V$424)+COUNTIF($E$4:$E$420,V$424&amp;" ضد "&amp;$A432))</f>
        <v>0</v>
      </c>
      <c r="W432" s="4">
        <f>IF($A432=W$424,"",COUNTIF($E$4:$E$420,$A432&amp;" ضد "&amp;W$424)+COUNTIF($E$4:$E$420,W$424&amp;" ضد "&amp;$A432))</f>
        <v>0</v>
      </c>
      <c r="X432" s="4">
        <f>IF($A432=X$424,"",COUNTIF($E$4:$E$420,$A432&amp;" ضد "&amp;X$424)+COUNTIF($E$4:$E$420,X$424&amp;" ضد "&amp;$A432))</f>
        <v>0</v>
      </c>
      <c r="Y432" s="4">
        <f>IF($A432=Y$424,"",COUNTIF($E$4:$E$420,$A432&amp;" ضد "&amp;Y$424)+COUNTIF($E$4:$E$420,Y$424&amp;" ضد "&amp;$A432))</f>
        <v>0</v>
      </c>
      <c r="Z432" s="4">
        <f>IF($A432=Z$424,"",COUNTIF($E$4:$E$420,$A432&amp;" ضد "&amp;Z$424)+COUNTIF($E$4:$E$420,Z$424&amp;" ضد "&amp;$A432))</f>
        <v>0</v>
      </c>
      <c r="AA432" s="4">
        <f>IF($A432=AA$424,"",COUNTIF($E$4:$E$420,$A432&amp;" ضد "&amp;AA$424)+COUNTIF($E$4:$E$420,AA$424&amp;" ضد "&amp;$A432))</f>
        <v>0</v>
      </c>
      <c r="AB432" s="4">
        <f>IF($A432=AB$424,"",COUNTIF($E$4:$E$420,$A432&amp;" ضد "&amp;AB$424)+COUNTIF($E$4:$E$420,AB$424&amp;" ضد "&amp;$A432))</f>
        <v>0</v>
      </c>
      <c r="AC432" s="4">
        <f>IF($A432=AC$424,"",COUNTIF($E$4:$E$420,$A432&amp;" ضد "&amp;AC$424)+COUNTIF($E$4:$E$420,AC$424&amp;" ضد "&amp;$A432))</f>
        <v>0</v>
      </c>
      <c r="AD432" s="4">
        <f>IF($A432=AD$424,"",COUNTIF($E$4:$E$420,$A432&amp;" ضد "&amp;AD$424)+COUNTIF($E$4:$E$420,AD$424&amp;" ضد "&amp;$A432))</f>
        <v>0</v>
      </c>
      <c r="AE432" s="4">
        <f>IF($A432=AE$424,"",COUNTIF($E$4:$E$420,$A432&amp;" ضد "&amp;AE$424)+COUNTIF($E$4:$E$420,AE$424&amp;" ضد "&amp;$A432))</f>
        <v>0</v>
      </c>
      <c r="AF432" s="4">
        <f>IF($A432=AF$424,"",COUNTIF($E$4:$E$420,$A432&amp;" ضد "&amp;AF$424)+COUNTIF($E$4:$E$420,AF$424&amp;" ضد "&amp;$A432))</f>
        <v>0</v>
      </c>
      <c r="AG432" s="4">
        <f>IF($A432=AG$424,"",COUNTIF($E$4:$E$420,$A432&amp;" ضد "&amp;AG$424)+COUNTIF($E$4:$E$420,AG$424&amp;" ضد "&amp;$A432))</f>
        <v>0</v>
      </c>
      <c r="AH432" s="4">
        <f>IF($A432=AH$424,"",COUNTIF($E$4:$E$420,$A432&amp;" ضد "&amp;AH$424)+COUNTIF($E$4:$E$420,AH$424&amp;" ضد "&amp;$A432))</f>
        <v>0</v>
      </c>
      <c r="AI432" s="4">
        <f>IF($A432=AI$424,"",COUNTIF($E$4:$E$420,$A432&amp;" ضد "&amp;AI$424)+COUNTIF($E$4:$E$420,AI$424&amp;" ضد "&amp;$A432))</f>
        <v>0</v>
      </c>
      <c r="AJ432" s="4">
        <f>IF($A432=AJ$424,"",COUNTIF($E$4:$E$420,$A432&amp;" ضد "&amp;AJ$424)+COUNTIF($E$4:$E$420,AJ$424&amp;" ضد "&amp;$A432))</f>
        <v>0</v>
      </c>
      <c r="AK432" s="4">
        <f>IF($A432=AK$424,"",COUNTIF($E$4:$E$420,$A432&amp;" ضد "&amp;AK$424)+COUNTIF($E$4:$E$420,AK$424&amp;" ضد "&amp;$A432))</f>
        <v>0</v>
      </c>
      <c r="AL432" s="4">
        <f>IF($A432=AL$424,"",COUNTIF($E$4:$E$420,$A432&amp;" ضد "&amp;AL$424)+COUNTIF($E$4:$E$420,AL$424&amp;" ضد "&amp;$A432))</f>
        <v>0</v>
      </c>
      <c r="AM432" s="4">
        <f>IF($A432=AM$424,"",COUNTIF($E$4:$E$420,$A432&amp;" ضد "&amp;AM$424)+COUNTIF($E$4:$E$420,AM$424&amp;" ضد "&amp;$A432))</f>
        <v>0</v>
      </c>
      <c r="AN432" s="4">
        <f>IF($A432=AN$424,"",COUNTIF($E$4:$E$420,$A432&amp;" ضد "&amp;AN$424)+COUNTIF($E$4:$E$420,AN$424&amp;" ضد "&amp;$A432))</f>
        <v>0</v>
      </c>
      <c r="AO432" s="4">
        <f>IF($A432=AO$424,"",COUNTIF($E$4:$E$420,$A432&amp;" ضد "&amp;AO$424)+COUNTIF($E$4:$E$420,AO$424&amp;" ضد "&amp;$A432))</f>
        <v>0</v>
      </c>
      <c r="AP432" s="4">
        <f>IF($A432=AP$424,"",COUNTIF($E$4:$E$420,$A432&amp;" ضد "&amp;AP$424)+COUNTIF($E$4:$E$420,AP$424&amp;" ضد "&amp;$A432))</f>
        <v>0</v>
      </c>
      <c r="AQ432" s="4">
        <f>IF($A432=AQ$424,"",COUNTIF($E$4:$E$420,$A432&amp;" ضد "&amp;AQ$424)+COUNTIF($E$4:$E$420,AQ$424&amp;" ضد "&amp;$A432))</f>
        <v>0</v>
      </c>
      <c r="AR432" s="4">
        <f>IF($A432=AR$424,"",COUNTIF($E$4:$E$420,$A432&amp;" ضد "&amp;AR$424)+COUNTIF($E$4:$E$420,AR$424&amp;" ضد "&amp;$A432))</f>
        <v>0</v>
      </c>
      <c r="AS432" s="4">
        <f>IF($A432=AS$424,"",COUNTIF($E$4:$E$420,$A432&amp;" ضد "&amp;AS$424)+COUNTIF($E$4:$E$420,AS$424&amp;" ضد "&amp;$A432))</f>
        <v>0</v>
      </c>
      <c r="AT432" s="4">
        <f>IF($A432=AT$424,"",COUNTIF($E$4:$E$420,$A432&amp;" ضد "&amp;AT$424)+COUNTIF($E$4:$E$420,AT$424&amp;" ضد "&amp;$A432))</f>
        <v>0</v>
      </c>
      <c r="AU432" s="4">
        <f>IF($A432=AU$424,"",COUNTIF($E$4:$E$420,$A432&amp;" ضد "&amp;AU$424)+COUNTIF($E$4:$E$420,AU$424&amp;" ضد "&amp;$A432))</f>
        <v>0</v>
      </c>
    </row>
    <row r="433" spans="1:47" ht="14.5">
      <c r="A433" s="14">
        <v>9</v>
      </c>
      <c r="B433" s="4">
        <f>IF($A433=B$424,"",COUNTIF($E$4:$E$420,$A433&amp;" ضد "&amp;B$424)+COUNTIF($E$4:$E$420,B$424&amp;" ضد "&amp;$A433))</f>
        <v>2</v>
      </c>
      <c r="C433" s="4">
        <f>IF($A433=C$424,"",COUNTIF($E$4:$E$420,$A433&amp;" ضد "&amp;C$424)+COUNTIF($E$4:$E$420,C$424&amp;" ضد "&amp;$A433))</f>
        <v>2</v>
      </c>
      <c r="D433" s="4">
        <f>IF($A433=D$424,"",COUNTIF($E$4:$E$420,$A433&amp;" ضد "&amp;D$424)+COUNTIF($E$4:$E$420,D$424&amp;" ضد "&amp;$A433))</f>
        <v>2</v>
      </c>
      <c r="E433" s="4">
        <f>IF($A433=E$424,"",COUNTIF($E$4:$E$420,$A433&amp;" ضد "&amp;E$424)+COUNTIF($E$4:$E$420,E$424&amp;" ضد "&amp;$A433))</f>
        <v>2</v>
      </c>
      <c r="F433" s="4">
        <f>IF($A433=F$424,"",COUNTIF($E$4:$E$420,$A433&amp;" ضد "&amp;F$424)+COUNTIF($E$4:$E$420,F$424&amp;" ضد "&amp;$A433))</f>
        <v>2</v>
      </c>
      <c r="G433" s="4">
        <f>IF($A433=G$424,"",COUNTIF($E$4:$E$420,$A433&amp;" ضد "&amp;G$424)+COUNTIF($E$4:$E$420,G$424&amp;" ضد "&amp;$A433))</f>
        <v>1</v>
      </c>
      <c r="H433" s="4">
        <f>IF($A433=H$424,"",COUNTIF($E$4:$E$420,$A433&amp;" ضد "&amp;H$424)+COUNTIF($E$4:$E$420,H$424&amp;" ضد "&amp;$A433))</f>
        <v>2</v>
      </c>
      <c r="I433" s="4">
        <f>IF($A433=I$424,"",COUNTIF($E$4:$E$420,$A433&amp;" ضد "&amp;I$424)+COUNTIF($E$4:$E$420,I$424&amp;" ضد "&amp;$A433))</f>
        <v>1</v>
      </c>
      <c r="J433" s="4" t="str">
        <f>IF($A433=J$424,"",COUNTIF($E$4:$E$420,$A433&amp;" ضد "&amp;J$424)+COUNTIF($E$4:$E$420,J$424&amp;" ضد "&amp;$A433))</f>
        <v/>
      </c>
      <c r="K433" s="4">
        <f>IF($A433=K$424,"",COUNTIF($E$4:$E$420,$A433&amp;" ضد "&amp;K$424)+COUNTIF($E$4:$E$420,K$424&amp;" ضد "&amp;$A433))</f>
        <v>1</v>
      </c>
      <c r="L433" s="4">
        <f>IF($A433=L$424,"",COUNTIF($E$4:$E$420,$A433&amp;" ضد "&amp;L$424)+COUNTIF($E$4:$E$420,L$424&amp;" ضد "&amp;$A433))</f>
        <v>2</v>
      </c>
      <c r="M433" s="4">
        <f>IF($A433=M$424,"",COUNTIF($E$4:$E$420,$A433&amp;" ضد "&amp;M$424)+COUNTIF($E$4:$E$420,M$424&amp;" ضد "&amp;$A433))</f>
        <v>1</v>
      </c>
      <c r="N433" s="4">
        <f>IF($A433=N$424,"",COUNTIF($E$4:$E$420,$A433&amp;" ضد "&amp;N$424)+COUNTIF($E$4:$E$420,N$424&amp;" ضد "&amp;$A433))</f>
        <v>0</v>
      </c>
      <c r="O433" s="4">
        <f>IF($A433=O$424,"",COUNTIF($E$4:$E$420,$A433&amp;" ضد "&amp;O$424)+COUNTIF($E$4:$E$420,O$424&amp;" ضد "&amp;$A433))</f>
        <v>0</v>
      </c>
      <c r="P433" s="4">
        <f>IF($A433=P$424,"",COUNTIF($E$4:$E$420,$A433&amp;" ضد "&amp;P$424)+COUNTIF($E$4:$E$420,P$424&amp;" ضد "&amp;$A433))</f>
        <v>0</v>
      </c>
      <c r="Q433" s="4">
        <f>IF($A433=Q$424,"",COUNTIF($E$4:$E$420,$A433&amp;" ضد "&amp;Q$424)+COUNTIF($E$4:$E$420,Q$424&amp;" ضد "&amp;$A433))</f>
        <v>0</v>
      </c>
      <c r="R433" s="4">
        <f>IF($A433=R$424,"",COUNTIF($E$4:$E$420,$A433&amp;" ضد "&amp;R$424)+COUNTIF($E$4:$E$420,R$424&amp;" ضد "&amp;$A433))</f>
        <v>0</v>
      </c>
      <c r="S433" s="4">
        <f>IF($A433=S$424,"",COUNTIF($E$4:$E$420,$A433&amp;" ضد "&amp;S$424)+COUNTIF($E$4:$E$420,S$424&amp;" ضد "&amp;$A433))</f>
        <v>0</v>
      </c>
      <c r="T433" s="4">
        <f>IF($A433=T$424,"",COUNTIF($E$4:$E$420,$A433&amp;" ضد "&amp;T$424)+COUNTIF($E$4:$E$420,T$424&amp;" ضد "&amp;$A433))</f>
        <v>0</v>
      </c>
      <c r="U433" s="4">
        <f>IF($A433=U$424,"",COUNTIF($E$4:$E$420,$A433&amp;" ضد "&amp;U$424)+COUNTIF($E$4:$E$420,U$424&amp;" ضد "&amp;$A433))</f>
        <v>0</v>
      </c>
      <c r="V433" s="4">
        <f>IF($A433=V$424,"",COUNTIF($E$4:$E$420,$A433&amp;" ضد "&amp;V$424)+COUNTIF($E$4:$E$420,V$424&amp;" ضد "&amp;$A433))</f>
        <v>0</v>
      </c>
      <c r="W433" s="4">
        <f>IF($A433=W$424,"",COUNTIF($E$4:$E$420,$A433&amp;" ضد "&amp;W$424)+COUNTIF($E$4:$E$420,W$424&amp;" ضد "&amp;$A433))</f>
        <v>0</v>
      </c>
      <c r="X433" s="4">
        <f>IF($A433=X$424,"",COUNTIF($E$4:$E$420,$A433&amp;" ضد "&amp;X$424)+COUNTIF($E$4:$E$420,X$424&amp;" ضد "&amp;$A433))</f>
        <v>0</v>
      </c>
      <c r="Y433" s="4">
        <f>IF($A433=Y$424,"",COUNTIF($E$4:$E$420,$A433&amp;" ضد "&amp;Y$424)+COUNTIF($E$4:$E$420,Y$424&amp;" ضد "&amp;$A433))</f>
        <v>0</v>
      </c>
      <c r="Z433" s="4">
        <f>IF($A433=Z$424,"",COUNTIF($E$4:$E$420,$A433&amp;" ضد "&amp;Z$424)+COUNTIF($E$4:$E$420,Z$424&amp;" ضد "&amp;$A433))</f>
        <v>0</v>
      </c>
      <c r="AA433" s="4">
        <f>IF($A433=AA$424,"",COUNTIF($E$4:$E$420,$A433&amp;" ضد "&amp;AA$424)+COUNTIF($E$4:$E$420,AA$424&amp;" ضد "&amp;$A433))</f>
        <v>0</v>
      </c>
      <c r="AB433" s="4">
        <f>IF($A433=AB$424,"",COUNTIF($E$4:$E$420,$A433&amp;" ضد "&amp;AB$424)+COUNTIF($E$4:$E$420,AB$424&amp;" ضد "&amp;$A433))</f>
        <v>0</v>
      </c>
      <c r="AC433" s="4">
        <f>IF($A433=AC$424,"",COUNTIF($E$4:$E$420,$A433&amp;" ضد "&amp;AC$424)+COUNTIF($E$4:$E$420,AC$424&amp;" ضد "&amp;$A433))</f>
        <v>0</v>
      </c>
      <c r="AD433" s="4">
        <f>IF($A433=AD$424,"",COUNTIF($E$4:$E$420,$A433&amp;" ضد "&amp;AD$424)+COUNTIF($E$4:$E$420,AD$424&amp;" ضد "&amp;$A433))</f>
        <v>0</v>
      </c>
      <c r="AE433" s="4">
        <f>IF($A433=AE$424,"",COUNTIF($E$4:$E$420,$A433&amp;" ضد "&amp;AE$424)+COUNTIF($E$4:$E$420,AE$424&amp;" ضد "&amp;$A433))</f>
        <v>0</v>
      </c>
      <c r="AF433" s="4">
        <f>IF($A433=AF$424,"",COUNTIF($E$4:$E$420,$A433&amp;" ضد "&amp;AF$424)+COUNTIF($E$4:$E$420,AF$424&amp;" ضد "&amp;$A433))</f>
        <v>0</v>
      </c>
      <c r="AG433" s="4">
        <f>IF($A433=AG$424,"",COUNTIF($E$4:$E$420,$A433&amp;" ضد "&amp;AG$424)+COUNTIF($E$4:$E$420,AG$424&amp;" ضد "&amp;$A433))</f>
        <v>0</v>
      </c>
      <c r="AH433" s="4">
        <f>IF($A433=AH$424,"",COUNTIF($E$4:$E$420,$A433&amp;" ضد "&amp;AH$424)+COUNTIF($E$4:$E$420,AH$424&amp;" ضد "&amp;$A433))</f>
        <v>0</v>
      </c>
      <c r="AI433" s="4">
        <f>IF($A433=AI$424,"",COUNTIF($E$4:$E$420,$A433&amp;" ضد "&amp;AI$424)+COUNTIF($E$4:$E$420,AI$424&amp;" ضد "&amp;$A433))</f>
        <v>0</v>
      </c>
      <c r="AJ433" s="4">
        <f>IF($A433=AJ$424,"",COUNTIF($E$4:$E$420,$A433&amp;" ضد "&amp;AJ$424)+COUNTIF($E$4:$E$420,AJ$424&amp;" ضد "&amp;$A433))</f>
        <v>0</v>
      </c>
      <c r="AK433" s="4">
        <f>IF($A433=AK$424,"",COUNTIF($E$4:$E$420,$A433&amp;" ضد "&amp;AK$424)+COUNTIF($E$4:$E$420,AK$424&amp;" ضد "&amp;$A433))</f>
        <v>0</v>
      </c>
      <c r="AL433" s="4">
        <f>IF($A433=AL$424,"",COUNTIF($E$4:$E$420,$A433&amp;" ضد "&amp;AL$424)+COUNTIF($E$4:$E$420,AL$424&amp;" ضد "&amp;$A433))</f>
        <v>0</v>
      </c>
      <c r="AM433" s="4">
        <f>IF($A433=AM$424,"",COUNTIF($E$4:$E$420,$A433&amp;" ضد "&amp;AM$424)+COUNTIF($E$4:$E$420,AM$424&amp;" ضد "&amp;$A433))</f>
        <v>0</v>
      </c>
      <c r="AN433" s="4">
        <f>IF($A433=AN$424,"",COUNTIF($E$4:$E$420,$A433&amp;" ضد "&amp;AN$424)+COUNTIF($E$4:$E$420,AN$424&amp;" ضد "&amp;$A433))</f>
        <v>0</v>
      </c>
      <c r="AO433" s="4">
        <f>IF($A433=AO$424,"",COUNTIF($E$4:$E$420,$A433&amp;" ضد "&amp;AO$424)+COUNTIF($E$4:$E$420,AO$424&amp;" ضد "&amp;$A433))</f>
        <v>0</v>
      </c>
      <c r="AP433" s="4">
        <f>IF($A433=AP$424,"",COUNTIF($E$4:$E$420,$A433&amp;" ضد "&amp;AP$424)+COUNTIF($E$4:$E$420,AP$424&amp;" ضد "&amp;$A433))</f>
        <v>0</v>
      </c>
      <c r="AQ433" s="4">
        <f>IF($A433=AQ$424,"",COUNTIF($E$4:$E$420,$A433&amp;" ضد "&amp;AQ$424)+COUNTIF($E$4:$E$420,AQ$424&amp;" ضد "&amp;$A433))</f>
        <v>0</v>
      </c>
      <c r="AR433" s="4">
        <f>IF($A433=AR$424,"",COUNTIF($E$4:$E$420,$A433&amp;" ضد "&amp;AR$424)+COUNTIF($E$4:$E$420,AR$424&amp;" ضد "&amp;$A433))</f>
        <v>0</v>
      </c>
      <c r="AS433" s="4">
        <f>IF($A433=AS$424,"",COUNTIF($E$4:$E$420,$A433&amp;" ضد "&amp;AS$424)+COUNTIF($E$4:$E$420,AS$424&amp;" ضد "&amp;$A433))</f>
        <v>0</v>
      </c>
      <c r="AT433" s="4">
        <f>IF($A433=AT$424,"",COUNTIF($E$4:$E$420,$A433&amp;" ضد "&amp;AT$424)+COUNTIF($E$4:$E$420,AT$424&amp;" ضد "&amp;$A433))</f>
        <v>0</v>
      </c>
      <c r="AU433" s="4">
        <f>IF($A433=AU$424,"",COUNTIF($E$4:$E$420,$A433&amp;" ضد "&amp;AU$424)+COUNTIF($E$4:$E$420,AU$424&amp;" ضد "&amp;$A433))</f>
        <v>0</v>
      </c>
    </row>
    <row r="434" spans="1:47" ht="14.5">
      <c r="A434" s="14">
        <v>10</v>
      </c>
      <c r="B434" s="4">
        <f>IF($A434=B$424,"",COUNTIF($E$4:$E$420,$A434&amp;" ضد "&amp;B$424)+COUNTIF($E$4:$E$420,B$424&amp;" ضد "&amp;$A434))</f>
        <v>2</v>
      </c>
      <c r="C434" s="4">
        <f>IF($A434=C$424,"",COUNTIF($E$4:$E$420,$A434&amp;" ضد "&amp;C$424)+COUNTIF($E$4:$E$420,C$424&amp;" ضد "&amp;$A434))</f>
        <v>2</v>
      </c>
      <c r="D434" s="4">
        <f>IF($A434=D$424,"",COUNTIF($E$4:$E$420,$A434&amp;" ضد "&amp;D$424)+COUNTIF($E$4:$E$420,D$424&amp;" ضد "&amp;$A434))</f>
        <v>2</v>
      </c>
      <c r="E434" s="4">
        <f>IF($A434=E$424,"",COUNTIF($E$4:$E$420,$A434&amp;" ضد "&amp;E$424)+COUNTIF($E$4:$E$420,E$424&amp;" ضد "&amp;$A434))</f>
        <v>2</v>
      </c>
      <c r="F434" s="4">
        <f>IF($A434=F$424,"",COUNTIF($E$4:$E$420,$A434&amp;" ضد "&amp;F$424)+COUNTIF($E$4:$E$420,F$424&amp;" ضد "&amp;$A434))</f>
        <v>1</v>
      </c>
      <c r="G434" s="4">
        <f>IF($A434=G$424,"",COUNTIF($E$4:$E$420,$A434&amp;" ضد "&amp;G$424)+COUNTIF($E$4:$E$420,G$424&amp;" ضد "&amp;$A434))</f>
        <v>2</v>
      </c>
      <c r="H434" s="4">
        <f>IF($A434=H$424,"",COUNTIF($E$4:$E$420,$A434&amp;" ضد "&amp;H$424)+COUNTIF($E$4:$E$420,H$424&amp;" ضد "&amp;$A434))</f>
        <v>1</v>
      </c>
      <c r="I434" s="4">
        <f>IF($A434=I$424,"",COUNTIF($E$4:$E$420,$A434&amp;" ضد "&amp;I$424)+COUNTIF($E$4:$E$420,I$424&amp;" ضد "&amp;$A434))</f>
        <v>2</v>
      </c>
      <c r="J434" s="4">
        <f>IF($A434=J$424,"",COUNTIF($E$4:$E$420,$A434&amp;" ضد "&amp;J$424)+COUNTIF($E$4:$E$420,J$424&amp;" ضد "&amp;$A434))</f>
        <v>1</v>
      </c>
      <c r="K434" s="4" t="str">
        <f>IF($A434=K$424,"",COUNTIF($E$4:$E$420,$A434&amp;" ضد "&amp;K$424)+COUNTIF($E$4:$E$420,K$424&amp;" ضد "&amp;$A434))</f>
        <v/>
      </c>
      <c r="L434" s="4">
        <f>IF($A434=L$424,"",COUNTIF($E$4:$E$420,$A434&amp;" ضد "&amp;L$424)+COUNTIF($E$4:$E$420,L$424&amp;" ضد "&amp;$A434))</f>
        <v>1</v>
      </c>
      <c r="M434" s="4">
        <f>IF($A434=M$424,"",COUNTIF($E$4:$E$420,$A434&amp;" ضد "&amp;M$424)+COUNTIF($E$4:$E$420,M$424&amp;" ضد "&amp;$A434))</f>
        <v>2</v>
      </c>
      <c r="N434" s="4">
        <f>IF($A434=N$424,"",COUNTIF($E$4:$E$420,$A434&amp;" ضد "&amp;N$424)+COUNTIF($E$4:$E$420,N$424&amp;" ضد "&amp;$A434))</f>
        <v>0</v>
      </c>
      <c r="O434" s="4">
        <f>IF($A434=O$424,"",COUNTIF($E$4:$E$420,$A434&amp;" ضد "&amp;O$424)+COUNTIF($E$4:$E$420,O$424&amp;" ضد "&amp;$A434))</f>
        <v>0</v>
      </c>
      <c r="P434" s="4">
        <f>IF($A434=P$424,"",COUNTIF($E$4:$E$420,$A434&amp;" ضد "&amp;P$424)+COUNTIF($E$4:$E$420,P$424&amp;" ضد "&amp;$A434))</f>
        <v>0</v>
      </c>
      <c r="Q434" s="4">
        <f>IF($A434=Q$424,"",COUNTIF($E$4:$E$420,$A434&amp;" ضد "&amp;Q$424)+COUNTIF($E$4:$E$420,Q$424&amp;" ضد "&amp;$A434))</f>
        <v>0</v>
      </c>
      <c r="R434" s="4">
        <f>IF($A434=R$424,"",COUNTIF($E$4:$E$420,$A434&amp;" ضد "&amp;R$424)+COUNTIF($E$4:$E$420,R$424&amp;" ضد "&amp;$A434))</f>
        <v>0</v>
      </c>
      <c r="S434" s="4">
        <f>IF($A434=S$424,"",COUNTIF($E$4:$E$420,$A434&amp;" ضد "&amp;S$424)+COUNTIF($E$4:$E$420,S$424&amp;" ضد "&amp;$A434))</f>
        <v>0</v>
      </c>
      <c r="T434" s="4">
        <f>IF($A434=T$424,"",COUNTIF($E$4:$E$420,$A434&amp;" ضد "&amp;T$424)+COUNTIF($E$4:$E$420,T$424&amp;" ضد "&amp;$A434))</f>
        <v>0</v>
      </c>
      <c r="U434" s="4">
        <f>IF($A434=U$424,"",COUNTIF($E$4:$E$420,$A434&amp;" ضد "&amp;U$424)+COUNTIF($E$4:$E$420,U$424&amp;" ضد "&amp;$A434))</f>
        <v>0</v>
      </c>
      <c r="V434" s="4">
        <f>IF($A434=V$424,"",COUNTIF($E$4:$E$420,$A434&amp;" ضد "&amp;V$424)+COUNTIF($E$4:$E$420,V$424&amp;" ضد "&amp;$A434))</f>
        <v>0</v>
      </c>
      <c r="W434" s="4">
        <f>IF($A434=W$424,"",COUNTIF($E$4:$E$420,$A434&amp;" ضد "&amp;W$424)+COUNTIF($E$4:$E$420,W$424&amp;" ضد "&amp;$A434))</f>
        <v>0</v>
      </c>
      <c r="X434" s="4">
        <f>IF($A434=X$424,"",COUNTIF($E$4:$E$420,$A434&amp;" ضد "&amp;X$424)+COUNTIF($E$4:$E$420,X$424&amp;" ضد "&amp;$A434))</f>
        <v>0</v>
      </c>
      <c r="Y434" s="4">
        <f>IF($A434=Y$424,"",COUNTIF($E$4:$E$420,$A434&amp;" ضد "&amp;Y$424)+COUNTIF($E$4:$E$420,Y$424&amp;" ضد "&amp;$A434))</f>
        <v>0</v>
      </c>
      <c r="Z434" s="4">
        <f>IF($A434=Z$424,"",COUNTIF($E$4:$E$420,$A434&amp;" ضد "&amp;Z$424)+COUNTIF($E$4:$E$420,Z$424&amp;" ضد "&amp;$A434))</f>
        <v>0</v>
      </c>
      <c r="AA434" s="4">
        <f>IF($A434=AA$424,"",COUNTIF($E$4:$E$420,$A434&amp;" ضد "&amp;AA$424)+COUNTIF($E$4:$E$420,AA$424&amp;" ضد "&amp;$A434))</f>
        <v>0</v>
      </c>
      <c r="AB434" s="4">
        <f>IF($A434=AB$424,"",COUNTIF($E$4:$E$420,$A434&amp;" ضد "&amp;AB$424)+COUNTIF($E$4:$E$420,AB$424&amp;" ضد "&amp;$A434))</f>
        <v>0</v>
      </c>
      <c r="AC434" s="4">
        <f>IF($A434=AC$424,"",COUNTIF($E$4:$E$420,$A434&amp;" ضد "&amp;AC$424)+COUNTIF($E$4:$E$420,AC$424&amp;" ضد "&amp;$A434))</f>
        <v>0</v>
      </c>
      <c r="AD434" s="4">
        <f>IF($A434=AD$424,"",COUNTIF($E$4:$E$420,$A434&amp;" ضد "&amp;AD$424)+COUNTIF($E$4:$E$420,AD$424&amp;" ضد "&amp;$A434))</f>
        <v>0</v>
      </c>
      <c r="AE434" s="4">
        <f>IF($A434=AE$424,"",COUNTIF($E$4:$E$420,$A434&amp;" ضد "&amp;AE$424)+COUNTIF($E$4:$E$420,AE$424&amp;" ضد "&amp;$A434))</f>
        <v>0</v>
      </c>
      <c r="AF434" s="4">
        <f>IF($A434=AF$424,"",COUNTIF($E$4:$E$420,$A434&amp;" ضد "&amp;AF$424)+COUNTIF($E$4:$E$420,AF$424&amp;" ضد "&amp;$A434))</f>
        <v>0</v>
      </c>
      <c r="AG434" s="4">
        <f>IF($A434=AG$424,"",COUNTIF($E$4:$E$420,$A434&amp;" ضد "&amp;AG$424)+COUNTIF($E$4:$E$420,AG$424&amp;" ضد "&amp;$A434))</f>
        <v>0</v>
      </c>
      <c r="AH434" s="4">
        <f>IF($A434=AH$424,"",COUNTIF($E$4:$E$420,$A434&amp;" ضد "&amp;AH$424)+COUNTIF($E$4:$E$420,AH$424&amp;" ضد "&amp;$A434))</f>
        <v>0</v>
      </c>
      <c r="AI434" s="4">
        <f>IF($A434=AI$424,"",COUNTIF($E$4:$E$420,$A434&amp;" ضد "&amp;AI$424)+COUNTIF($E$4:$E$420,AI$424&amp;" ضد "&amp;$A434))</f>
        <v>0</v>
      </c>
      <c r="AJ434" s="4">
        <f>IF($A434=AJ$424,"",COUNTIF($E$4:$E$420,$A434&amp;" ضد "&amp;AJ$424)+COUNTIF($E$4:$E$420,AJ$424&amp;" ضد "&amp;$A434))</f>
        <v>0</v>
      </c>
      <c r="AK434" s="4">
        <f>IF($A434=AK$424,"",COUNTIF($E$4:$E$420,$A434&amp;" ضد "&amp;AK$424)+COUNTIF($E$4:$E$420,AK$424&amp;" ضد "&amp;$A434))</f>
        <v>0</v>
      </c>
      <c r="AL434" s="4">
        <f>IF($A434=AL$424,"",COUNTIF($E$4:$E$420,$A434&amp;" ضد "&amp;AL$424)+COUNTIF($E$4:$E$420,AL$424&amp;" ضد "&amp;$A434))</f>
        <v>0</v>
      </c>
      <c r="AM434" s="4">
        <f>IF($A434=AM$424,"",COUNTIF($E$4:$E$420,$A434&amp;" ضد "&amp;AM$424)+COUNTIF($E$4:$E$420,AM$424&amp;" ضد "&amp;$A434))</f>
        <v>0</v>
      </c>
      <c r="AN434" s="4">
        <f>IF($A434=AN$424,"",COUNTIF($E$4:$E$420,$A434&amp;" ضد "&amp;AN$424)+COUNTIF($E$4:$E$420,AN$424&amp;" ضد "&amp;$A434))</f>
        <v>0</v>
      </c>
      <c r="AO434" s="4">
        <f>IF($A434=AO$424,"",COUNTIF($E$4:$E$420,$A434&amp;" ضد "&amp;AO$424)+COUNTIF($E$4:$E$420,AO$424&amp;" ضد "&amp;$A434))</f>
        <v>0</v>
      </c>
      <c r="AP434" s="4">
        <f>IF($A434=AP$424,"",COUNTIF($E$4:$E$420,$A434&amp;" ضد "&amp;AP$424)+COUNTIF($E$4:$E$420,AP$424&amp;" ضد "&amp;$A434))</f>
        <v>0</v>
      </c>
      <c r="AQ434" s="4">
        <f>IF($A434=AQ$424,"",COUNTIF($E$4:$E$420,$A434&amp;" ضد "&amp;AQ$424)+COUNTIF($E$4:$E$420,AQ$424&amp;" ضد "&amp;$A434))</f>
        <v>0</v>
      </c>
      <c r="AR434" s="4">
        <f>IF($A434=AR$424,"",COUNTIF($E$4:$E$420,$A434&amp;" ضد "&amp;AR$424)+COUNTIF($E$4:$E$420,AR$424&amp;" ضد "&amp;$A434))</f>
        <v>0</v>
      </c>
      <c r="AS434" s="4">
        <f>IF($A434=AS$424,"",COUNTIF($E$4:$E$420,$A434&amp;" ضد "&amp;AS$424)+COUNTIF($E$4:$E$420,AS$424&amp;" ضد "&amp;$A434))</f>
        <v>0</v>
      </c>
      <c r="AT434" s="4">
        <f>IF($A434=AT$424,"",COUNTIF($E$4:$E$420,$A434&amp;" ضد "&amp;AT$424)+COUNTIF($E$4:$E$420,AT$424&amp;" ضد "&amp;$A434))</f>
        <v>0</v>
      </c>
      <c r="AU434" s="4">
        <f>IF($A434=AU$424,"",COUNTIF($E$4:$E$420,$A434&amp;" ضد "&amp;AU$424)+COUNTIF($E$4:$E$420,AU$424&amp;" ضد "&amp;$A434))</f>
        <v>0</v>
      </c>
    </row>
    <row r="435" spans="1:47" ht="14.5">
      <c r="A435" s="14">
        <v>11</v>
      </c>
      <c r="B435" s="4">
        <f>IF($A435=B$424,"",COUNTIF($E$4:$E$420,$A435&amp;" ضد "&amp;B$424)+COUNTIF($E$4:$E$420,B$424&amp;" ضد "&amp;$A435))</f>
        <v>2</v>
      </c>
      <c r="C435" s="4">
        <f>IF($A435=C$424,"",COUNTIF($E$4:$E$420,$A435&amp;" ضد "&amp;C$424)+COUNTIF($E$4:$E$420,C$424&amp;" ضد "&amp;$A435))</f>
        <v>2</v>
      </c>
      <c r="D435" s="4">
        <f>IF($A435=D$424,"",COUNTIF($E$4:$E$420,$A435&amp;" ضد "&amp;D$424)+COUNTIF($E$4:$E$420,D$424&amp;" ضد "&amp;$A435))</f>
        <v>2</v>
      </c>
      <c r="E435" s="4">
        <f>IF($A435=E$424,"",COUNTIF($E$4:$E$420,$A435&amp;" ضد "&amp;E$424)+COUNTIF($E$4:$E$420,E$424&amp;" ضد "&amp;$A435))</f>
        <v>1</v>
      </c>
      <c r="F435" s="4">
        <f>IF($A435=F$424,"",COUNTIF($E$4:$E$420,$A435&amp;" ضد "&amp;F$424)+COUNTIF($E$4:$E$420,F$424&amp;" ضد "&amp;$A435))</f>
        <v>2</v>
      </c>
      <c r="G435" s="4">
        <f>IF($A435=G$424,"",COUNTIF($E$4:$E$420,$A435&amp;" ضد "&amp;G$424)+COUNTIF($E$4:$E$420,G$424&amp;" ضد "&amp;$A435))</f>
        <v>1</v>
      </c>
      <c r="H435" s="4">
        <f>IF($A435=H$424,"",COUNTIF($E$4:$E$420,$A435&amp;" ضد "&amp;H$424)+COUNTIF($E$4:$E$420,H$424&amp;" ضد "&amp;$A435))</f>
        <v>2</v>
      </c>
      <c r="I435" s="4">
        <f>IF($A435=I$424,"",COUNTIF($E$4:$E$420,$A435&amp;" ضد "&amp;I$424)+COUNTIF($E$4:$E$420,I$424&amp;" ضد "&amp;$A435))</f>
        <v>1</v>
      </c>
      <c r="J435" s="4">
        <f>IF($A435=J$424,"",COUNTIF($E$4:$E$420,$A435&amp;" ضد "&amp;J$424)+COUNTIF($E$4:$E$420,J$424&amp;" ضد "&amp;$A435))</f>
        <v>2</v>
      </c>
      <c r="K435" s="4">
        <f>IF($A435=K$424,"",COUNTIF($E$4:$E$420,$A435&amp;" ضد "&amp;K$424)+COUNTIF($E$4:$E$420,K$424&amp;" ضد "&amp;$A435))</f>
        <v>1</v>
      </c>
      <c r="L435" s="4" t="str">
        <f>IF($A435=L$424,"",COUNTIF($E$4:$E$420,$A435&amp;" ضد "&amp;L$424)+COUNTIF($E$4:$E$420,L$424&amp;" ضد "&amp;$A435))</f>
        <v/>
      </c>
      <c r="M435" s="4">
        <f>IF($A435=M$424,"",COUNTIF($E$4:$E$420,$A435&amp;" ضد "&amp;M$424)+COUNTIF($E$4:$E$420,M$424&amp;" ضد "&amp;$A435))</f>
        <v>2</v>
      </c>
      <c r="N435" s="4">
        <f>IF($A435=N$424,"",COUNTIF($E$4:$E$420,$A435&amp;" ضد "&amp;N$424)+COUNTIF($E$4:$E$420,N$424&amp;" ضد "&amp;$A435))</f>
        <v>0</v>
      </c>
      <c r="O435" s="4">
        <f>IF($A435=O$424,"",COUNTIF($E$4:$E$420,$A435&amp;" ضد "&amp;O$424)+COUNTIF($E$4:$E$420,O$424&amp;" ضد "&amp;$A435))</f>
        <v>0</v>
      </c>
      <c r="P435" s="4">
        <f>IF($A435=P$424,"",COUNTIF($E$4:$E$420,$A435&amp;" ضد "&amp;P$424)+COUNTIF($E$4:$E$420,P$424&amp;" ضد "&amp;$A435))</f>
        <v>0</v>
      </c>
      <c r="Q435" s="4">
        <f>IF($A435=Q$424,"",COUNTIF($E$4:$E$420,$A435&amp;" ضد "&amp;Q$424)+COUNTIF($E$4:$E$420,Q$424&amp;" ضد "&amp;$A435))</f>
        <v>0</v>
      </c>
      <c r="R435" s="4">
        <f>IF($A435=R$424,"",COUNTIF($E$4:$E$420,$A435&amp;" ضد "&amp;R$424)+COUNTIF($E$4:$E$420,R$424&amp;" ضد "&amp;$A435))</f>
        <v>0</v>
      </c>
      <c r="S435" s="4">
        <f>IF($A435=S$424,"",COUNTIF($E$4:$E$420,$A435&amp;" ضد "&amp;S$424)+COUNTIF($E$4:$E$420,S$424&amp;" ضد "&amp;$A435))</f>
        <v>0</v>
      </c>
      <c r="T435" s="4">
        <f>IF($A435=T$424,"",COUNTIF($E$4:$E$420,$A435&amp;" ضد "&amp;T$424)+COUNTIF($E$4:$E$420,T$424&amp;" ضد "&amp;$A435))</f>
        <v>0</v>
      </c>
      <c r="U435" s="4">
        <f>IF($A435=U$424,"",COUNTIF($E$4:$E$420,$A435&amp;" ضد "&amp;U$424)+COUNTIF($E$4:$E$420,U$424&amp;" ضد "&amp;$A435))</f>
        <v>0</v>
      </c>
      <c r="V435" s="4">
        <f>IF($A435=V$424,"",COUNTIF($E$4:$E$420,$A435&amp;" ضد "&amp;V$424)+COUNTIF($E$4:$E$420,V$424&amp;" ضد "&amp;$A435))</f>
        <v>0</v>
      </c>
      <c r="W435" s="4">
        <f>IF($A435=W$424,"",COUNTIF($E$4:$E$420,$A435&amp;" ضد "&amp;W$424)+COUNTIF($E$4:$E$420,W$424&amp;" ضد "&amp;$A435))</f>
        <v>0</v>
      </c>
      <c r="X435" s="4">
        <f>IF($A435=X$424,"",COUNTIF($E$4:$E$420,$A435&amp;" ضد "&amp;X$424)+COUNTIF($E$4:$E$420,X$424&amp;" ضد "&amp;$A435))</f>
        <v>0</v>
      </c>
      <c r="Y435" s="4">
        <f>IF($A435=Y$424,"",COUNTIF($E$4:$E$420,$A435&amp;" ضد "&amp;Y$424)+COUNTIF($E$4:$E$420,Y$424&amp;" ضد "&amp;$A435))</f>
        <v>0</v>
      </c>
      <c r="Z435" s="4">
        <f>IF($A435=Z$424,"",COUNTIF($E$4:$E$420,$A435&amp;" ضد "&amp;Z$424)+COUNTIF($E$4:$E$420,Z$424&amp;" ضد "&amp;$A435))</f>
        <v>0</v>
      </c>
      <c r="AA435" s="4">
        <f>IF($A435=AA$424,"",COUNTIF($E$4:$E$420,$A435&amp;" ضد "&amp;AA$424)+COUNTIF($E$4:$E$420,AA$424&amp;" ضد "&amp;$A435))</f>
        <v>0</v>
      </c>
      <c r="AB435" s="4">
        <f>IF($A435=AB$424,"",COUNTIF($E$4:$E$420,$A435&amp;" ضد "&amp;AB$424)+COUNTIF($E$4:$E$420,AB$424&amp;" ضد "&amp;$A435))</f>
        <v>0</v>
      </c>
      <c r="AC435" s="4">
        <f>IF($A435=AC$424,"",COUNTIF($E$4:$E$420,$A435&amp;" ضد "&amp;AC$424)+COUNTIF($E$4:$E$420,AC$424&amp;" ضد "&amp;$A435))</f>
        <v>0</v>
      </c>
      <c r="AD435" s="4">
        <f>IF($A435=AD$424,"",COUNTIF($E$4:$E$420,$A435&amp;" ضد "&amp;AD$424)+COUNTIF($E$4:$E$420,AD$424&amp;" ضد "&amp;$A435))</f>
        <v>0</v>
      </c>
      <c r="AE435" s="4">
        <f>IF($A435=AE$424,"",COUNTIF($E$4:$E$420,$A435&amp;" ضد "&amp;AE$424)+COUNTIF($E$4:$E$420,AE$424&amp;" ضد "&amp;$A435))</f>
        <v>0</v>
      </c>
      <c r="AF435" s="4">
        <f>IF($A435=AF$424,"",COUNTIF($E$4:$E$420,$A435&amp;" ضد "&amp;AF$424)+COUNTIF($E$4:$E$420,AF$424&amp;" ضد "&amp;$A435))</f>
        <v>0</v>
      </c>
      <c r="AG435" s="4">
        <f>IF($A435=AG$424,"",COUNTIF($E$4:$E$420,$A435&amp;" ضد "&amp;AG$424)+COUNTIF($E$4:$E$420,AG$424&amp;" ضد "&amp;$A435))</f>
        <v>0</v>
      </c>
      <c r="AH435" s="4">
        <f>IF($A435=AH$424,"",COUNTIF($E$4:$E$420,$A435&amp;" ضد "&amp;AH$424)+COUNTIF($E$4:$E$420,AH$424&amp;" ضد "&amp;$A435))</f>
        <v>0</v>
      </c>
      <c r="AI435" s="4">
        <f>IF($A435=AI$424,"",COUNTIF($E$4:$E$420,$A435&amp;" ضد "&amp;AI$424)+COUNTIF($E$4:$E$420,AI$424&amp;" ضد "&amp;$A435))</f>
        <v>0</v>
      </c>
      <c r="AJ435" s="4">
        <f>IF($A435=AJ$424,"",COUNTIF($E$4:$E$420,$A435&amp;" ضد "&amp;AJ$424)+COUNTIF($E$4:$E$420,AJ$424&amp;" ضد "&amp;$A435))</f>
        <v>0</v>
      </c>
      <c r="AK435" s="4">
        <f>IF($A435=AK$424,"",COUNTIF($E$4:$E$420,$A435&amp;" ضد "&amp;AK$424)+COUNTIF($E$4:$E$420,AK$424&amp;" ضد "&amp;$A435))</f>
        <v>0</v>
      </c>
      <c r="AL435" s="4">
        <f>IF($A435=AL$424,"",COUNTIF($E$4:$E$420,$A435&amp;" ضد "&amp;AL$424)+COUNTIF($E$4:$E$420,AL$424&amp;" ضد "&amp;$A435))</f>
        <v>0</v>
      </c>
      <c r="AM435" s="4">
        <f>IF($A435=AM$424,"",COUNTIF($E$4:$E$420,$A435&amp;" ضد "&amp;AM$424)+COUNTIF($E$4:$E$420,AM$424&amp;" ضد "&amp;$A435))</f>
        <v>0</v>
      </c>
      <c r="AN435" s="4">
        <f>IF($A435=AN$424,"",COUNTIF($E$4:$E$420,$A435&amp;" ضد "&amp;AN$424)+COUNTIF($E$4:$E$420,AN$424&amp;" ضد "&amp;$A435))</f>
        <v>0</v>
      </c>
      <c r="AO435" s="4">
        <f>IF($A435=AO$424,"",COUNTIF($E$4:$E$420,$A435&amp;" ضد "&amp;AO$424)+COUNTIF($E$4:$E$420,AO$424&amp;" ضد "&amp;$A435))</f>
        <v>0</v>
      </c>
      <c r="AP435" s="4">
        <f>IF($A435=AP$424,"",COUNTIF($E$4:$E$420,$A435&amp;" ضد "&amp;AP$424)+COUNTIF($E$4:$E$420,AP$424&amp;" ضد "&amp;$A435))</f>
        <v>0</v>
      </c>
      <c r="AQ435" s="4">
        <f>IF($A435=AQ$424,"",COUNTIF($E$4:$E$420,$A435&amp;" ضد "&amp;AQ$424)+COUNTIF($E$4:$E$420,AQ$424&amp;" ضد "&amp;$A435))</f>
        <v>0</v>
      </c>
      <c r="AR435" s="4">
        <f>IF($A435=AR$424,"",COUNTIF($E$4:$E$420,$A435&amp;" ضد "&amp;AR$424)+COUNTIF($E$4:$E$420,AR$424&amp;" ضد "&amp;$A435))</f>
        <v>0</v>
      </c>
      <c r="AS435" s="4">
        <f>IF($A435=AS$424,"",COUNTIF($E$4:$E$420,$A435&amp;" ضد "&amp;AS$424)+COUNTIF($E$4:$E$420,AS$424&amp;" ضد "&amp;$A435))</f>
        <v>0</v>
      </c>
      <c r="AT435" s="4">
        <f>IF($A435=AT$424,"",COUNTIF($E$4:$E$420,$A435&amp;" ضد "&amp;AT$424)+COUNTIF($E$4:$E$420,AT$424&amp;" ضد "&amp;$A435))</f>
        <v>0</v>
      </c>
      <c r="AU435" s="4">
        <f>IF($A435=AU$424,"",COUNTIF($E$4:$E$420,$A435&amp;" ضد "&amp;AU$424)+COUNTIF($E$4:$E$420,AU$424&amp;" ضد "&amp;$A435))</f>
        <v>0</v>
      </c>
    </row>
    <row r="436" spans="1:47" ht="14.5">
      <c r="A436" s="14">
        <v>12</v>
      </c>
      <c r="B436" s="4">
        <f>IF($A436=B$424,"",COUNTIF($E$4:$E$420,$A436&amp;" ضد "&amp;B$424)+COUNTIF($E$4:$E$420,B$424&amp;" ضد "&amp;$A436))</f>
        <v>2</v>
      </c>
      <c r="C436" s="4">
        <f>IF($A436=C$424,"",COUNTIF($E$4:$E$420,$A436&amp;" ضد "&amp;C$424)+COUNTIF($E$4:$E$420,C$424&amp;" ضد "&amp;$A436))</f>
        <v>2</v>
      </c>
      <c r="D436" s="4">
        <f>IF($A436=D$424,"",COUNTIF($E$4:$E$420,$A436&amp;" ضد "&amp;D$424)+COUNTIF($E$4:$E$420,D$424&amp;" ضد "&amp;$A436))</f>
        <v>1</v>
      </c>
      <c r="E436" s="4">
        <f>IF($A436=E$424,"",COUNTIF($E$4:$E$420,$A436&amp;" ضد "&amp;E$424)+COUNTIF($E$4:$E$420,E$424&amp;" ضد "&amp;$A436))</f>
        <v>2</v>
      </c>
      <c r="F436" s="4">
        <f>IF($A436=F$424,"",COUNTIF($E$4:$E$420,$A436&amp;" ضد "&amp;F$424)+COUNTIF($E$4:$E$420,F$424&amp;" ضد "&amp;$A436))</f>
        <v>1</v>
      </c>
      <c r="G436" s="4">
        <f>IF($A436=G$424,"",COUNTIF($E$4:$E$420,$A436&amp;" ضد "&amp;G$424)+COUNTIF($E$4:$E$420,G$424&amp;" ضد "&amp;$A436))</f>
        <v>2</v>
      </c>
      <c r="H436" s="4">
        <f>IF($A436=H$424,"",COUNTIF($E$4:$E$420,$A436&amp;" ضد "&amp;H$424)+COUNTIF($E$4:$E$420,H$424&amp;" ضد "&amp;$A436))</f>
        <v>1</v>
      </c>
      <c r="I436" s="4">
        <f>IF($A436=I$424,"",COUNTIF($E$4:$E$420,$A436&amp;" ضد "&amp;I$424)+COUNTIF($E$4:$E$420,I$424&amp;" ضد "&amp;$A436))</f>
        <v>2</v>
      </c>
      <c r="J436" s="4">
        <f>IF($A436=J$424,"",COUNTIF($E$4:$E$420,$A436&amp;" ضد "&amp;J$424)+COUNTIF($E$4:$E$420,J$424&amp;" ضد "&amp;$A436))</f>
        <v>1</v>
      </c>
      <c r="K436" s="4">
        <f>IF($A436=K$424,"",COUNTIF($E$4:$E$420,$A436&amp;" ضد "&amp;K$424)+COUNTIF($E$4:$E$420,K$424&amp;" ضد "&amp;$A436))</f>
        <v>2</v>
      </c>
      <c r="L436" s="4">
        <f>IF($A436=L$424,"",COUNTIF($E$4:$E$420,$A436&amp;" ضد "&amp;L$424)+COUNTIF($E$4:$E$420,L$424&amp;" ضد "&amp;$A436))</f>
        <v>2</v>
      </c>
      <c r="M436" s="4" t="str">
        <f>IF($A436=M$424,"",COUNTIF($E$4:$E$420,$A436&amp;" ضد "&amp;M$424)+COUNTIF($E$4:$E$420,M$424&amp;" ضد "&amp;$A436))</f>
        <v/>
      </c>
      <c r="N436" s="4">
        <f>IF($A436=N$424,"",COUNTIF($E$4:$E$420,$A436&amp;" ضد "&amp;N$424)+COUNTIF($E$4:$E$420,N$424&amp;" ضد "&amp;$A436))</f>
        <v>0</v>
      </c>
      <c r="O436" s="4">
        <f>IF($A436=O$424,"",COUNTIF($E$4:$E$420,$A436&amp;" ضد "&amp;O$424)+COUNTIF($E$4:$E$420,O$424&amp;" ضد "&amp;$A436))</f>
        <v>0</v>
      </c>
      <c r="P436" s="4">
        <f>IF($A436=P$424,"",COUNTIF($E$4:$E$420,$A436&amp;" ضد "&amp;P$424)+COUNTIF($E$4:$E$420,P$424&amp;" ضد "&amp;$A436))</f>
        <v>0</v>
      </c>
      <c r="Q436" s="4">
        <f>IF($A436=Q$424,"",COUNTIF($E$4:$E$420,$A436&amp;" ضد "&amp;Q$424)+COUNTIF($E$4:$E$420,Q$424&amp;" ضد "&amp;$A436))</f>
        <v>0</v>
      </c>
      <c r="R436" s="4">
        <f>IF($A436=R$424,"",COUNTIF($E$4:$E$420,$A436&amp;" ضد "&amp;R$424)+COUNTIF($E$4:$E$420,R$424&amp;" ضد "&amp;$A436))</f>
        <v>0</v>
      </c>
      <c r="S436" s="4">
        <f>IF($A436=S$424,"",COUNTIF($E$4:$E$420,$A436&amp;" ضد "&amp;S$424)+COUNTIF($E$4:$E$420,S$424&amp;" ضد "&amp;$A436))</f>
        <v>0</v>
      </c>
      <c r="T436" s="4">
        <f>IF($A436=T$424,"",COUNTIF($E$4:$E$420,$A436&amp;" ضد "&amp;T$424)+COUNTIF($E$4:$E$420,T$424&amp;" ضد "&amp;$A436))</f>
        <v>0</v>
      </c>
      <c r="U436" s="4">
        <f>IF($A436=U$424,"",COUNTIF($E$4:$E$420,$A436&amp;" ضد "&amp;U$424)+COUNTIF($E$4:$E$420,U$424&amp;" ضد "&amp;$A436))</f>
        <v>0</v>
      </c>
      <c r="V436" s="4">
        <f>IF($A436=V$424,"",COUNTIF($E$4:$E$420,$A436&amp;" ضد "&amp;V$424)+COUNTIF($E$4:$E$420,V$424&amp;" ضد "&amp;$A436))</f>
        <v>0</v>
      </c>
      <c r="W436" s="4">
        <f>IF($A436=W$424,"",COUNTIF($E$4:$E$420,$A436&amp;" ضد "&amp;W$424)+COUNTIF($E$4:$E$420,W$424&amp;" ضد "&amp;$A436))</f>
        <v>0</v>
      </c>
      <c r="X436" s="4">
        <f>IF($A436=X$424,"",COUNTIF($E$4:$E$420,$A436&amp;" ضد "&amp;X$424)+COUNTIF($E$4:$E$420,X$424&amp;" ضد "&amp;$A436))</f>
        <v>0</v>
      </c>
      <c r="Y436" s="4">
        <f>IF($A436=Y$424,"",COUNTIF($E$4:$E$420,$A436&amp;" ضد "&amp;Y$424)+COUNTIF($E$4:$E$420,Y$424&amp;" ضد "&amp;$A436))</f>
        <v>0</v>
      </c>
      <c r="Z436" s="4">
        <f>IF($A436=Z$424,"",COUNTIF($E$4:$E$420,$A436&amp;" ضد "&amp;Z$424)+COUNTIF($E$4:$E$420,Z$424&amp;" ضد "&amp;$A436))</f>
        <v>0</v>
      </c>
      <c r="AA436" s="4">
        <f>IF($A436=AA$424,"",COUNTIF($E$4:$E$420,$A436&amp;" ضد "&amp;AA$424)+COUNTIF($E$4:$E$420,AA$424&amp;" ضد "&amp;$A436))</f>
        <v>0</v>
      </c>
      <c r="AB436" s="4">
        <f>IF($A436=AB$424,"",COUNTIF($E$4:$E$420,$A436&amp;" ضد "&amp;AB$424)+COUNTIF($E$4:$E$420,AB$424&amp;" ضد "&amp;$A436))</f>
        <v>0</v>
      </c>
      <c r="AC436" s="4">
        <f>IF($A436=AC$424,"",COUNTIF($E$4:$E$420,$A436&amp;" ضد "&amp;AC$424)+COUNTIF($E$4:$E$420,AC$424&amp;" ضد "&amp;$A436))</f>
        <v>0</v>
      </c>
      <c r="AD436" s="4">
        <f>IF($A436=AD$424,"",COUNTIF($E$4:$E$420,$A436&amp;" ضد "&amp;AD$424)+COUNTIF($E$4:$E$420,AD$424&amp;" ضد "&amp;$A436))</f>
        <v>0</v>
      </c>
      <c r="AE436" s="4">
        <f>IF($A436=AE$424,"",COUNTIF($E$4:$E$420,$A436&amp;" ضد "&amp;AE$424)+COUNTIF($E$4:$E$420,AE$424&amp;" ضد "&amp;$A436))</f>
        <v>0</v>
      </c>
      <c r="AF436" s="4">
        <f>IF($A436=AF$424,"",COUNTIF($E$4:$E$420,$A436&amp;" ضد "&amp;AF$424)+COUNTIF($E$4:$E$420,AF$424&amp;" ضد "&amp;$A436))</f>
        <v>0</v>
      </c>
      <c r="AG436" s="4">
        <f>IF($A436=AG$424,"",COUNTIF($E$4:$E$420,$A436&amp;" ضد "&amp;AG$424)+COUNTIF($E$4:$E$420,AG$424&amp;" ضد "&amp;$A436))</f>
        <v>0</v>
      </c>
      <c r="AH436" s="4">
        <f>IF($A436=AH$424,"",COUNTIF($E$4:$E$420,$A436&amp;" ضد "&amp;AH$424)+COUNTIF($E$4:$E$420,AH$424&amp;" ضد "&amp;$A436))</f>
        <v>0</v>
      </c>
      <c r="AI436" s="4">
        <f>IF($A436=AI$424,"",COUNTIF($E$4:$E$420,$A436&amp;" ضد "&amp;AI$424)+COUNTIF($E$4:$E$420,AI$424&amp;" ضد "&amp;$A436))</f>
        <v>0</v>
      </c>
      <c r="AJ436" s="4">
        <f>IF($A436=AJ$424,"",COUNTIF($E$4:$E$420,$A436&amp;" ضد "&amp;AJ$424)+COUNTIF($E$4:$E$420,AJ$424&amp;" ضد "&amp;$A436))</f>
        <v>0</v>
      </c>
      <c r="AK436" s="4">
        <f>IF($A436=AK$424,"",COUNTIF($E$4:$E$420,$A436&amp;" ضد "&amp;AK$424)+COUNTIF($E$4:$E$420,AK$424&amp;" ضد "&amp;$A436))</f>
        <v>0</v>
      </c>
      <c r="AL436" s="4">
        <f>IF($A436=AL$424,"",COUNTIF($E$4:$E$420,$A436&amp;" ضد "&amp;AL$424)+COUNTIF($E$4:$E$420,AL$424&amp;" ضد "&amp;$A436))</f>
        <v>0</v>
      </c>
      <c r="AM436" s="4">
        <f>IF($A436=AM$424,"",COUNTIF($E$4:$E$420,$A436&amp;" ضد "&amp;AM$424)+COUNTIF($E$4:$E$420,AM$424&amp;" ضد "&amp;$A436))</f>
        <v>0</v>
      </c>
      <c r="AN436" s="4">
        <f>IF($A436=AN$424,"",COUNTIF($E$4:$E$420,$A436&amp;" ضد "&amp;AN$424)+COUNTIF($E$4:$E$420,AN$424&amp;" ضد "&amp;$A436))</f>
        <v>0</v>
      </c>
      <c r="AO436" s="4">
        <f>IF($A436=AO$424,"",COUNTIF($E$4:$E$420,$A436&amp;" ضد "&amp;AO$424)+COUNTIF($E$4:$E$420,AO$424&amp;" ضد "&amp;$A436))</f>
        <v>0</v>
      </c>
      <c r="AP436" s="4">
        <f>IF($A436=AP$424,"",COUNTIF($E$4:$E$420,$A436&amp;" ضد "&amp;AP$424)+COUNTIF($E$4:$E$420,AP$424&amp;" ضد "&amp;$A436))</f>
        <v>0</v>
      </c>
      <c r="AQ436" s="4">
        <f>IF($A436=AQ$424,"",COUNTIF($E$4:$E$420,$A436&amp;" ضد "&amp;AQ$424)+COUNTIF($E$4:$E$420,AQ$424&amp;" ضد "&amp;$A436))</f>
        <v>0</v>
      </c>
      <c r="AR436" s="4">
        <f>IF($A436=AR$424,"",COUNTIF($E$4:$E$420,$A436&amp;" ضد "&amp;AR$424)+COUNTIF($E$4:$E$420,AR$424&amp;" ضد "&amp;$A436))</f>
        <v>0</v>
      </c>
      <c r="AS436" s="4">
        <f>IF($A436=AS$424,"",COUNTIF($E$4:$E$420,$A436&amp;" ضد "&amp;AS$424)+COUNTIF($E$4:$E$420,AS$424&amp;" ضد "&amp;$A436))</f>
        <v>0</v>
      </c>
      <c r="AT436" s="4">
        <f>IF($A436=AT$424,"",COUNTIF($E$4:$E$420,$A436&amp;" ضد "&amp;AT$424)+COUNTIF($E$4:$E$420,AT$424&amp;" ضد "&amp;$A436))</f>
        <v>0</v>
      </c>
      <c r="AU436" s="4">
        <f>IF($A436=AU$424,"",COUNTIF($E$4:$E$420,$A436&amp;" ضد "&amp;AU$424)+COUNTIF($E$4:$E$420,AU$424&amp;" ضد "&amp;$A436))</f>
        <v>0</v>
      </c>
    </row>
    <row r="437" spans="1:47" ht="14.5">
      <c r="A437" s="14">
        <v>13</v>
      </c>
      <c r="B437" s="4">
        <f>IF($A437=B$424,"",COUNTIF($E$4:$E$420,$A437&amp;" ضد "&amp;B$424)+COUNTIF($E$4:$E$420,B$424&amp;" ضد "&amp;$A437))</f>
        <v>0</v>
      </c>
      <c r="C437" s="4">
        <f>IF($A437=C$424,"",COUNTIF($E$4:$E$420,$A437&amp;" ضد "&amp;C$424)+COUNTIF($E$4:$E$420,C$424&amp;" ضد "&amp;$A437))</f>
        <v>0</v>
      </c>
      <c r="D437" s="4">
        <f>IF($A437=D$424,"",COUNTIF($E$4:$E$420,$A437&amp;" ضد "&amp;D$424)+COUNTIF($E$4:$E$420,D$424&amp;" ضد "&amp;$A437))</f>
        <v>0</v>
      </c>
      <c r="E437" s="4">
        <f>IF($A437=E$424,"",COUNTIF($E$4:$E$420,$A437&amp;" ضد "&amp;E$424)+COUNTIF($E$4:$E$420,E$424&amp;" ضد "&amp;$A437))</f>
        <v>0</v>
      </c>
      <c r="F437" s="4">
        <f>IF($A437=F$424,"",COUNTIF($E$4:$E$420,$A437&amp;" ضد "&amp;F$424)+COUNTIF($E$4:$E$420,F$424&amp;" ضد "&amp;$A437))</f>
        <v>0</v>
      </c>
      <c r="G437" s="4">
        <f>IF($A437=G$424,"",COUNTIF($E$4:$E$420,$A437&amp;" ضد "&amp;G$424)+COUNTIF($E$4:$E$420,G$424&amp;" ضد "&amp;$A437))</f>
        <v>0</v>
      </c>
      <c r="H437" s="4">
        <f>IF($A437=H$424,"",COUNTIF($E$4:$E$420,$A437&amp;" ضد "&amp;H$424)+COUNTIF($E$4:$E$420,H$424&amp;" ضد "&amp;$A437))</f>
        <v>0</v>
      </c>
      <c r="I437" s="4">
        <f>IF($A437=I$424,"",COUNTIF($E$4:$E$420,$A437&amp;" ضد "&amp;I$424)+COUNTIF($E$4:$E$420,I$424&amp;" ضد "&amp;$A437))</f>
        <v>0</v>
      </c>
      <c r="J437" s="4">
        <f>IF($A437=J$424,"",COUNTIF($E$4:$E$420,$A437&amp;" ضد "&amp;J$424)+COUNTIF($E$4:$E$420,J$424&amp;" ضد "&amp;$A437))</f>
        <v>0</v>
      </c>
      <c r="K437" s="4">
        <f>IF($A437=K$424,"",COUNTIF($E$4:$E$420,$A437&amp;" ضد "&amp;K$424)+COUNTIF($E$4:$E$420,K$424&amp;" ضد "&amp;$A437))</f>
        <v>0</v>
      </c>
      <c r="L437" s="4">
        <f>IF($A437=L$424,"",COUNTIF($E$4:$E$420,$A437&amp;" ضد "&amp;L$424)+COUNTIF($E$4:$E$420,L$424&amp;" ضد "&amp;$A437))</f>
        <v>0</v>
      </c>
      <c r="M437" s="4">
        <f>IF($A437=M$424,"",COUNTIF($E$4:$E$420,$A437&amp;" ضد "&amp;M$424)+COUNTIF($E$4:$E$420,M$424&amp;" ضد "&amp;$A437))</f>
        <v>0</v>
      </c>
      <c r="N437" s="4" t="str">
        <f>IF($A437=N$424,"",COUNTIF($E$4:$E$420,$A437&amp;" ضد "&amp;N$424)+COUNTIF($E$4:$E$420,N$424&amp;" ضد "&amp;$A437))</f>
        <v/>
      </c>
      <c r="O437" s="4">
        <f>IF($A437=O$424,"",COUNTIF($E$4:$E$420,$A437&amp;" ضد "&amp;O$424)+COUNTIF($E$4:$E$420,O$424&amp;" ضد "&amp;$A437))</f>
        <v>1</v>
      </c>
      <c r="P437" s="4">
        <f>IF($A437=P$424,"",COUNTIF($E$4:$E$420,$A437&amp;" ضد "&amp;P$424)+COUNTIF($E$4:$E$420,P$424&amp;" ضد "&amp;$A437))</f>
        <v>1</v>
      </c>
      <c r="Q437" s="4">
        <f>IF($A437=Q$424,"",COUNTIF($E$4:$E$420,$A437&amp;" ضد "&amp;Q$424)+COUNTIF($E$4:$E$420,Q$424&amp;" ضد "&amp;$A437))</f>
        <v>1</v>
      </c>
      <c r="R437" s="4">
        <f>IF($A437=R$424,"",COUNTIF($E$4:$E$420,$A437&amp;" ضد "&amp;R$424)+COUNTIF($E$4:$E$420,R$424&amp;" ضد "&amp;$A437))</f>
        <v>1</v>
      </c>
      <c r="S437" s="4">
        <f>IF($A437=S$424,"",COUNTIF($E$4:$E$420,$A437&amp;" ضد "&amp;S$424)+COUNTIF($E$4:$E$420,S$424&amp;" ضد "&amp;$A437))</f>
        <v>2</v>
      </c>
      <c r="T437" s="4">
        <f>IF($A437=T$424,"",COUNTIF($E$4:$E$420,$A437&amp;" ضد "&amp;T$424)+COUNTIF($E$4:$E$420,T$424&amp;" ضد "&amp;$A437))</f>
        <v>2</v>
      </c>
      <c r="U437" s="4">
        <f>IF($A437=U$424,"",COUNTIF($E$4:$E$420,$A437&amp;" ضد "&amp;U$424)+COUNTIF($E$4:$E$420,U$424&amp;" ضد "&amp;$A437))</f>
        <v>2</v>
      </c>
      <c r="V437" s="4">
        <f>IF($A437=V$424,"",COUNTIF($E$4:$E$420,$A437&amp;" ضد "&amp;V$424)+COUNTIF($E$4:$E$420,V$424&amp;" ضد "&amp;$A437))</f>
        <v>2</v>
      </c>
      <c r="W437" s="4">
        <f>IF($A437=W$424,"",COUNTIF($E$4:$E$420,$A437&amp;" ضد "&amp;W$424)+COUNTIF($E$4:$E$420,W$424&amp;" ضد "&amp;$A437))</f>
        <v>2</v>
      </c>
      <c r="X437" s="4">
        <f>IF($A437=X$424,"",COUNTIF($E$4:$E$420,$A437&amp;" ضد "&amp;X$424)+COUNTIF($E$4:$E$420,X$424&amp;" ضد "&amp;$A437))</f>
        <v>2</v>
      </c>
      <c r="Y437" s="4">
        <f>IF($A437=Y$424,"",COUNTIF($E$4:$E$420,$A437&amp;" ضد "&amp;Y$424)+COUNTIF($E$4:$E$420,Y$424&amp;" ضد "&amp;$A437))</f>
        <v>2</v>
      </c>
      <c r="Z437" s="4">
        <f>IF($A437=Z$424,"",COUNTIF($E$4:$E$420,$A437&amp;" ضد "&amp;Z$424)+COUNTIF($E$4:$E$420,Z$424&amp;" ضد "&amp;$A437))</f>
        <v>0</v>
      </c>
      <c r="AA437" s="4">
        <f>IF($A437=AA$424,"",COUNTIF($E$4:$E$420,$A437&amp;" ضد "&amp;AA$424)+COUNTIF($E$4:$E$420,AA$424&amp;" ضد "&amp;$A437))</f>
        <v>0</v>
      </c>
      <c r="AB437" s="4">
        <f>IF($A437=AB$424,"",COUNTIF($E$4:$E$420,$A437&amp;" ضد "&amp;AB$424)+COUNTIF($E$4:$E$420,AB$424&amp;" ضد "&amp;$A437))</f>
        <v>0</v>
      </c>
      <c r="AC437" s="4">
        <f>IF($A437=AC$424,"",COUNTIF($E$4:$E$420,$A437&amp;" ضد "&amp;AC$424)+COUNTIF($E$4:$E$420,AC$424&amp;" ضد "&amp;$A437))</f>
        <v>0</v>
      </c>
      <c r="AD437" s="4">
        <f>IF($A437=AD$424,"",COUNTIF($E$4:$E$420,$A437&amp;" ضد "&amp;AD$424)+COUNTIF($E$4:$E$420,AD$424&amp;" ضد "&amp;$A437))</f>
        <v>0</v>
      </c>
      <c r="AE437" s="4">
        <f>IF($A437=AE$424,"",COUNTIF($E$4:$E$420,$A437&amp;" ضد "&amp;AE$424)+COUNTIF($E$4:$E$420,AE$424&amp;" ضد "&amp;$A437))</f>
        <v>0</v>
      </c>
      <c r="AF437" s="4">
        <f>IF($A437=AF$424,"",COUNTIF($E$4:$E$420,$A437&amp;" ضد "&amp;AF$424)+COUNTIF($E$4:$E$420,AF$424&amp;" ضد "&amp;$A437))</f>
        <v>0</v>
      </c>
      <c r="AG437" s="4">
        <f>IF($A437=AG$424,"",COUNTIF($E$4:$E$420,$A437&amp;" ضد "&amp;AG$424)+COUNTIF($E$4:$E$420,AG$424&amp;" ضد "&amp;$A437))</f>
        <v>0</v>
      </c>
      <c r="AH437" s="4">
        <f>IF($A437=AH$424,"",COUNTIF($E$4:$E$420,$A437&amp;" ضد "&amp;AH$424)+COUNTIF($E$4:$E$420,AH$424&amp;" ضد "&amp;$A437))</f>
        <v>0</v>
      </c>
      <c r="AI437" s="4">
        <f>IF($A437=AI$424,"",COUNTIF($E$4:$E$420,$A437&amp;" ضد "&amp;AI$424)+COUNTIF($E$4:$E$420,AI$424&amp;" ضد "&amp;$A437))</f>
        <v>0</v>
      </c>
      <c r="AJ437" s="4">
        <f>IF($A437=AJ$424,"",COUNTIF($E$4:$E$420,$A437&amp;" ضد "&amp;AJ$424)+COUNTIF($E$4:$E$420,AJ$424&amp;" ضد "&amp;$A437))</f>
        <v>0</v>
      </c>
      <c r="AK437" s="4">
        <f>IF($A437=AK$424,"",COUNTIF($E$4:$E$420,$A437&amp;" ضد "&amp;AK$424)+COUNTIF($E$4:$E$420,AK$424&amp;" ضد "&amp;$A437))</f>
        <v>0</v>
      </c>
      <c r="AL437" s="4">
        <f>IF($A437=AL$424,"",COUNTIF($E$4:$E$420,$A437&amp;" ضد "&amp;AL$424)+COUNTIF($E$4:$E$420,AL$424&amp;" ضد "&amp;$A437))</f>
        <v>0</v>
      </c>
      <c r="AM437" s="4">
        <f>IF($A437=AM$424,"",COUNTIF($E$4:$E$420,$A437&amp;" ضد "&amp;AM$424)+COUNTIF($E$4:$E$420,AM$424&amp;" ضد "&amp;$A437))</f>
        <v>0</v>
      </c>
      <c r="AN437" s="4">
        <f>IF($A437=AN$424,"",COUNTIF($E$4:$E$420,$A437&amp;" ضد "&amp;AN$424)+COUNTIF($E$4:$E$420,AN$424&amp;" ضد "&amp;$A437))</f>
        <v>0</v>
      </c>
      <c r="AO437" s="4">
        <f>IF($A437=AO$424,"",COUNTIF($E$4:$E$420,$A437&amp;" ضد "&amp;AO$424)+COUNTIF($E$4:$E$420,AO$424&amp;" ضد "&amp;$A437))</f>
        <v>0</v>
      </c>
      <c r="AP437" s="4">
        <f>IF($A437=AP$424,"",COUNTIF($E$4:$E$420,$A437&amp;" ضد "&amp;AP$424)+COUNTIF($E$4:$E$420,AP$424&amp;" ضد "&amp;$A437))</f>
        <v>0</v>
      </c>
      <c r="AQ437" s="4">
        <f>IF($A437=AQ$424,"",COUNTIF($E$4:$E$420,$A437&amp;" ضد "&amp;AQ$424)+COUNTIF($E$4:$E$420,AQ$424&amp;" ضد "&amp;$A437))</f>
        <v>0</v>
      </c>
      <c r="AR437" s="4">
        <f>IF($A437=AR$424,"",COUNTIF($E$4:$E$420,$A437&amp;" ضد "&amp;AR$424)+COUNTIF($E$4:$E$420,AR$424&amp;" ضد "&amp;$A437))</f>
        <v>0</v>
      </c>
      <c r="AS437" s="4">
        <f>IF($A437=AS$424,"",COUNTIF($E$4:$E$420,$A437&amp;" ضد "&amp;AS$424)+COUNTIF($E$4:$E$420,AS$424&amp;" ضد "&amp;$A437))</f>
        <v>0</v>
      </c>
      <c r="AT437" s="4">
        <f>IF($A437=AT$424,"",COUNTIF($E$4:$E$420,$A437&amp;" ضد "&amp;AT$424)+COUNTIF($E$4:$E$420,AT$424&amp;" ضد "&amp;$A437))</f>
        <v>0</v>
      </c>
      <c r="AU437" s="4">
        <f>IF($A437=AU$424,"",COUNTIF($E$4:$E$420,$A437&amp;" ضد "&amp;AU$424)+COUNTIF($E$4:$E$420,AU$424&amp;" ضد "&amp;$A437))</f>
        <v>0</v>
      </c>
    </row>
    <row r="438" spans="1:47" ht="14.5">
      <c r="A438" s="14">
        <v>14</v>
      </c>
      <c r="B438" s="4">
        <f>IF($A438=B$424,"",COUNTIF($E$4:$E$420,$A438&amp;" ضد "&amp;B$424)+COUNTIF($E$4:$E$420,B$424&amp;" ضد "&amp;$A438))</f>
        <v>0</v>
      </c>
      <c r="C438" s="4">
        <f>IF($A438=C$424,"",COUNTIF($E$4:$E$420,$A438&amp;" ضد "&amp;C$424)+COUNTIF($E$4:$E$420,C$424&amp;" ضد "&amp;$A438))</f>
        <v>0</v>
      </c>
      <c r="D438" s="4">
        <f>IF($A438=D$424,"",COUNTIF($E$4:$E$420,$A438&amp;" ضد "&amp;D$424)+COUNTIF($E$4:$E$420,D$424&amp;" ضد "&amp;$A438))</f>
        <v>0</v>
      </c>
      <c r="E438" s="4">
        <f>IF($A438=E$424,"",COUNTIF($E$4:$E$420,$A438&amp;" ضد "&amp;E$424)+COUNTIF($E$4:$E$420,E$424&amp;" ضد "&amp;$A438))</f>
        <v>0</v>
      </c>
      <c r="F438" s="4">
        <f>IF($A438=F$424,"",COUNTIF($E$4:$E$420,$A438&amp;" ضد "&amp;F$424)+COUNTIF($E$4:$E$420,F$424&amp;" ضد "&amp;$A438))</f>
        <v>0</v>
      </c>
      <c r="G438" s="4">
        <f>IF($A438=G$424,"",COUNTIF($E$4:$E$420,$A438&amp;" ضد "&amp;G$424)+COUNTIF($E$4:$E$420,G$424&amp;" ضد "&amp;$A438))</f>
        <v>0</v>
      </c>
      <c r="H438" s="4">
        <f>IF($A438=H$424,"",COUNTIF($E$4:$E$420,$A438&amp;" ضد "&amp;H$424)+COUNTIF($E$4:$E$420,H$424&amp;" ضد "&amp;$A438))</f>
        <v>0</v>
      </c>
      <c r="I438" s="4">
        <f>IF($A438=I$424,"",COUNTIF($E$4:$E$420,$A438&amp;" ضد "&amp;I$424)+COUNTIF($E$4:$E$420,I$424&amp;" ضد "&amp;$A438))</f>
        <v>0</v>
      </c>
      <c r="J438" s="4">
        <f>IF($A438=J$424,"",COUNTIF($E$4:$E$420,$A438&amp;" ضد "&amp;J$424)+COUNTIF($E$4:$E$420,J$424&amp;" ضد "&amp;$A438))</f>
        <v>0</v>
      </c>
      <c r="K438" s="4">
        <f>IF($A438=K$424,"",COUNTIF($E$4:$E$420,$A438&amp;" ضد "&amp;K$424)+COUNTIF($E$4:$E$420,K$424&amp;" ضد "&amp;$A438))</f>
        <v>0</v>
      </c>
      <c r="L438" s="4">
        <f>IF($A438=L$424,"",COUNTIF($E$4:$E$420,$A438&amp;" ضد "&amp;L$424)+COUNTIF($E$4:$E$420,L$424&amp;" ضد "&amp;$A438))</f>
        <v>0</v>
      </c>
      <c r="M438" s="4">
        <f>IF($A438=M$424,"",COUNTIF($E$4:$E$420,$A438&amp;" ضد "&amp;M$424)+COUNTIF($E$4:$E$420,M$424&amp;" ضد "&amp;$A438))</f>
        <v>0</v>
      </c>
      <c r="N438" s="4">
        <f>IF($A438=N$424,"",COUNTIF($E$4:$E$420,$A438&amp;" ضد "&amp;N$424)+COUNTIF($E$4:$E$420,N$424&amp;" ضد "&amp;$A438))</f>
        <v>1</v>
      </c>
      <c r="O438" s="4" t="str">
        <f>IF($A438=O$424,"",COUNTIF($E$4:$E$420,$A438&amp;" ضد "&amp;O$424)+COUNTIF($E$4:$E$420,O$424&amp;" ضد "&amp;$A438))</f>
        <v/>
      </c>
      <c r="P438" s="4">
        <f>IF($A438=P$424,"",COUNTIF($E$4:$E$420,$A438&amp;" ضد "&amp;P$424)+COUNTIF($E$4:$E$420,P$424&amp;" ضد "&amp;$A438))</f>
        <v>2</v>
      </c>
      <c r="Q438" s="4">
        <f>IF($A438=Q$424,"",COUNTIF($E$4:$E$420,$A438&amp;" ضد "&amp;Q$424)+COUNTIF($E$4:$E$420,Q$424&amp;" ضد "&amp;$A438))</f>
        <v>1</v>
      </c>
      <c r="R438" s="4">
        <f>IF($A438=R$424,"",COUNTIF($E$4:$E$420,$A438&amp;" ضد "&amp;R$424)+COUNTIF($E$4:$E$420,R$424&amp;" ضد "&amp;$A438))</f>
        <v>2</v>
      </c>
      <c r="S438" s="4">
        <f>IF($A438=S$424,"",COUNTIF($E$4:$E$420,$A438&amp;" ضد "&amp;S$424)+COUNTIF($E$4:$E$420,S$424&amp;" ضد "&amp;$A438))</f>
        <v>1</v>
      </c>
      <c r="T438" s="4">
        <f>IF($A438=T$424,"",COUNTIF($E$4:$E$420,$A438&amp;" ضد "&amp;T$424)+COUNTIF($E$4:$E$420,T$424&amp;" ضد "&amp;$A438))</f>
        <v>2</v>
      </c>
      <c r="U438" s="4">
        <f>IF($A438=U$424,"",COUNTIF($E$4:$E$420,$A438&amp;" ضد "&amp;U$424)+COUNTIF($E$4:$E$420,U$424&amp;" ضد "&amp;$A438))</f>
        <v>1</v>
      </c>
      <c r="V438" s="4">
        <f>IF($A438=V$424,"",COUNTIF($E$4:$E$420,$A438&amp;" ضد "&amp;V$424)+COUNTIF($E$4:$E$420,V$424&amp;" ضد "&amp;$A438))</f>
        <v>2</v>
      </c>
      <c r="W438" s="4">
        <f>IF($A438=W$424,"",COUNTIF($E$4:$E$420,$A438&amp;" ضد "&amp;W$424)+COUNTIF($E$4:$E$420,W$424&amp;" ضد "&amp;$A438))</f>
        <v>2</v>
      </c>
      <c r="X438" s="4">
        <f>IF($A438=X$424,"",COUNTIF($E$4:$E$420,$A438&amp;" ضد "&amp;X$424)+COUNTIF($E$4:$E$420,X$424&amp;" ضد "&amp;$A438))</f>
        <v>2</v>
      </c>
      <c r="Y438" s="4">
        <f>IF($A438=Y$424,"",COUNTIF($E$4:$E$420,$A438&amp;" ضد "&amp;Y$424)+COUNTIF($E$4:$E$420,Y$424&amp;" ضد "&amp;$A438))</f>
        <v>2</v>
      </c>
      <c r="Z438" s="4">
        <f>IF($A438=Z$424,"",COUNTIF($E$4:$E$420,$A438&amp;" ضد "&amp;Z$424)+COUNTIF($E$4:$E$420,Z$424&amp;" ضد "&amp;$A438))</f>
        <v>0</v>
      </c>
      <c r="AA438" s="4">
        <f>IF($A438=AA$424,"",COUNTIF($E$4:$E$420,$A438&amp;" ضد "&amp;AA$424)+COUNTIF($E$4:$E$420,AA$424&amp;" ضد "&amp;$A438))</f>
        <v>0</v>
      </c>
      <c r="AB438" s="4">
        <f>IF($A438=AB$424,"",COUNTIF($E$4:$E$420,$A438&amp;" ضد "&amp;AB$424)+COUNTIF($E$4:$E$420,AB$424&amp;" ضد "&amp;$A438))</f>
        <v>0</v>
      </c>
      <c r="AC438" s="4">
        <f>IF($A438=AC$424,"",COUNTIF($E$4:$E$420,$A438&amp;" ضد "&amp;AC$424)+COUNTIF($E$4:$E$420,AC$424&amp;" ضد "&amp;$A438))</f>
        <v>0</v>
      </c>
      <c r="AD438" s="4">
        <f>IF($A438=AD$424,"",COUNTIF($E$4:$E$420,$A438&amp;" ضد "&amp;AD$424)+COUNTIF($E$4:$E$420,AD$424&amp;" ضد "&amp;$A438))</f>
        <v>0</v>
      </c>
      <c r="AE438" s="4">
        <f>IF($A438=AE$424,"",COUNTIF($E$4:$E$420,$A438&amp;" ضد "&amp;AE$424)+COUNTIF($E$4:$E$420,AE$424&amp;" ضد "&amp;$A438))</f>
        <v>0</v>
      </c>
      <c r="AF438" s="4">
        <f>IF($A438=AF$424,"",COUNTIF($E$4:$E$420,$A438&amp;" ضد "&amp;AF$424)+COUNTIF($E$4:$E$420,AF$424&amp;" ضد "&amp;$A438))</f>
        <v>0</v>
      </c>
      <c r="AG438" s="4">
        <f>IF($A438=AG$424,"",COUNTIF($E$4:$E$420,$A438&amp;" ضد "&amp;AG$424)+COUNTIF($E$4:$E$420,AG$424&amp;" ضد "&amp;$A438))</f>
        <v>0</v>
      </c>
      <c r="AH438" s="4">
        <f>IF($A438=AH$424,"",COUNTIF($E$4:$E$420,$A438&amp;" ضد "&amp;AH$424)+COUNTIF($E$4:$E$420,AH$424&amp;" ضد "&amp;$A438))</f>
        <v>0</v>
      </c>
      <c r="AI438" s="4">
        <f>IF($A438=AI$424,"",COUNTIF($E$4:$E$420,$A438&amp;" ضد "&amp;AI$424)+COUNTIF($E$4:$E$420,AI$424&amp;" ضد "&amp;$A438))</f>
        <v>0</v>
      </c>
      <c r="AJ438" s="4">
        <f>IF($A438=AJ$424,"",COUNTIF($E$4:$E$420,$A438&amp;" ضد "&amp;AJ$424)+COUNTIF($E$4:$E$420,AJ$424&amp;" ضد "&amp;$A438))</f>
        <v>0</v>
      </c>
      <c r="AK438" s="4">
        <f>IF($A438=AK$424,"",COUNTIF($E$4:$E$420,$A438&amp;" ضد "&amp;AK$424)+COUNTIF($E$4:$E$420,AK$424&amp;" ضد "&amp;$A438))</f>
        <v>0</v>
      </c>
      <c r="AL438" s="4">
        <f>IF($A438=AL$424,"",COUNTIF($E$4:$E$420,$A438&amp;" ضد "&amp;AL$424)+COUNTIF($E$4:$E$420,AL$424&amp;" ضد "&amp;$A438))</f>
        <v>0</v>
      </c>
      <c r="AM438" s="4">
        <f>IF($A438=AM$424,"",COUNTIF($E$4:$E$420,$A438&amp;" ضد "&amp;AM$424)+COUNTIF($E$4:$E$420,AM$424&amp;" ضد "&amp;$A438))</f>
        <v>0</v>
      </c>
      <c r="AN438" s="4">
        <f>IF($A438=AN$424,"",COUNTIF($E$4:$E$420,$A438&amp;" ضد "&amp;AN$424)+COUNTIF($E$4:$E$420,AN$424&amp;" ضد "&amp;$A438))</f>
        <v>0</v>
      </c>
      <c r="AO438" s="4">
        <f>IF($A438=AO$424,"",COUNTIF($E$4:$E$420,$A438&amp;" ضد "&amp;AO$424)+COUNTIF($E$4:$E$420,AO$424&amp;" ضد "&amp;$A438))</f>
        <v>0</v>
      </c>
      <c r="AP438" s="4">
        <f>IF($A438=AP$424,"",COUNTIF($E$4:$E$420,$A438&amp;" ضد "&amp;AP$424)+COUNTIF($E$4:$E$420,AP$424&amp;" ضد "&amp;$A438))</f>
        <v>0</v>
      </c>
      <c r="AQ438" s="4">
        <f>IF($A438=AQ$424,"",COUNTIF($E$4:$E$420,$A438&amp;" ضد "&amp;AQ$424)+COUNTIF($E$4:$E$420,AQ$424&amp;" ضد "&amp;$A438))</f>
        <v>0</v>
      </c>
      <c r="AR438" s="4">
        <f>IF($A438=AR$424,"",COUNTIF($E$4:$E$420,$A438&amp;" ضد "&amp;AR$424)+COUNTIF($E$4:$E$420,AR$424&amp;" ضد "&amp;$A438))</f>
        <v>0</v>
      </c>
      <c r="AS438" s="4">
        <f>IF($A438=AS$424,"",COUNTIF($E$4:$E$420,$A438&amp;" ضد "&amp;AS$424)+COUNTIF($E$4:$E$420,AS$424&amp;" ضد "&amp;$A438))</f>
        <v>0</v>
      </c>
      <c r="AT438" s="4">
        <f>IF($A438=AT$424,"",COUNTIF($E$4:$E$420,$A438&amp;" ضد "&amp;AT$424)+COUNTIF($E$4:$E$420,AT$424&amp;" ضد "&amp;$A438))</f>
        <v>0</v>
      </c>
      <c r="AU438" s="4">
        <f>IF($A438=AU$424,"",COUNTIF($E$4:$E$420,$A438&amp;" ضد "&amp;AU$424)+COUNTIF($E$4:$E$420,AU$424&amp;" ضد "&amp;$A438))</f>
        <v>0</v>
      </c>
    </row>
    <row r="439" spans="1:47" ht="14.5">
      <c r="A439" s="14">
        <v>15</v>
      </c>
      <c r="B439" s="4">
        <f>IF($A439=B$424,"",COUNTIF($E$4:$E$420,$A439&amp;" ضد "&amp;B$424)+COUNTIF($E$4:$E$420,B$424&amp;" ضد "&amp;$A439))</f>
        <v>0</v>
      </c>
      <c r="C439" s="4">
        <f>IF($A439=C$424,"",COUNTIF($E$4:$E$420,$A439&amp;" ضد "&amp;C$424)+COUNTIF($E$4:$E$420,C$424&amp;" ضد "&amp;$A439))</f>
        <v>0</v>
      </c>
      <c r="D439" s="4">
        <f>IF($A439=D$424,"",COUNTIF($E$4:$E$420,$A439&amp;" ضد "&amp;D$424)+COUNTIF($E$4:$E$420,D$424&amp;" ضد "&amp;$A439))</f>
        <v>0</v>
      </c>
      <c r="E439" s="4">
        <f>IF($A439=E$424,"",COUNTIF($E$4:$E$420,$A439&amp;" ضد "&amp;E$424)+COUNTIF($E$4:$E$420,E$424&amp;" ضد "&amp;$A439))</f>
        <v>0</v>
      </c>
      <c r="F439" s="4">
        <f>IF($A439=F$424,"",COUNTIF($E$4:$E$420,$A439&amp;" ضد "&amp;F$424)+COUNTIF($E$4:$E$420,F$424&amp;" ضد "&amp;$A439))</f>
        <v>0</v>
      </c>
      <c r="G439" s="4">
        <f>IF($A439=G$424,"",COUNTIF($E$4:$E$420,$A439&amp;" ضد "&amp;G$424)+COUNTIF($E$4:$E$420,G$424&amp;" ضد "&amp;$A439))</f>
        <v>0</v>
      </c>
      <c r="H439" s="4">
        <f>IF($A439=H$424,"",COUNTIF($E$4:$E$420,$A439&amp;" ضد "&amp;H$424)+COUNTIF($E$4:$E$420,H$424&amp;" ضد "&amp;$A439))</f>
        <v>0</v>
      </c>
      <c r="I439" s="4">
        <f>IF($A439=I$424,"",COUNTIF($E$4:$E$420,$A439&amp;" ضد "&amp;I$424)+COUNTIF($E$4:$E$420,I$424&amp;" ضد "&amp;$A439))</f>
        <v>0</v>
      </c>
      <c r="J439" s="4">
        <f>IF($A439=J$424,"",COUNTIF($E$4:$E$420,$A439&amp;" ضد "&amp;J$424)+COUNTIF($E$4:$E$420,J$424&amp;" ضد "&amp;$A439))</f>
        <v>0</v>
      </c>
      <c r="K439" s="4">
        <f>IF($A439=K$424,"",COUNTIF($E$4:$E$420,$A439&amp;" ضد "&amp;K$424)+COUNTIF($E$4:$E$420,K$424&amp;" ضد "&amp;$A439))</f>
        <v>0</v>
      </c>
      <c r="L439" s="4">
        <f>IF($A439=L$424,"",COUNTIF($E$4:$E$420,$A439&amp;" ضد "&amp;L$424)+COUNTIF($E$4:$E$420,L$424&amp;" ضد "&amp;$A439))</f>
        <v>0</v>
      </c>
      <c r="M439" s="4">
        <f>IF($A439=M$424,"",COUNTIF($E$4:$E$420,$A439&amp;" ضد "&amp;M$424)+COUNTIF($E$4:$E$420,M$424&amp;" ضد "&amp;$A439))</f>
        <v>0</v>
      </c>
      <c r="N439" s="4">
        <f>IF($A439=N$424,"",COUNTIF($E$4:$E$420,$A439&amp;" ضد "&amp;N$424)+COUNTIF($E$4:$E$420,N$424&amp;" ضد "&amp;$A439))</f>
        <v>1</v>
      </c>
      <c r="O439" s="4">
        <f>IF($A439=O$424,"",COUNTIF($E$4:$E$420,$A439&amp;" ضد "&amp;O$424)+COUNTIF($E$4:$E$420,O$424&amp;" ضد "&amp;$A439))</f>
        <v>2</v>
      </c>
      <c r="P439" s="4" t="str">
        <f>IF($A439=P$424,"",COUNTIF($E$4:$E$420,$A439&amp;" ضد "&amp;P$424)+COUNTIF($E$4:$E$420,P$424&amp;" ضد "&amp;$A439))</f>
        <v/>
      </c>
      <c r="Q439" s="4">
        <f>IF($A439=Q$424,"",COUNTIF($E$4:$E$420,$A439&amp;" ضد "&amp;Q$424)+COUNTIF($E$4:$E$420,Q$424&amp;" ضد "&amp;$A439))</f>
        <v>2</v>
      </c>
      <c r="R439" s="4">
        <f>IF($A439=R$424,"",COUNTIF($E$4:$E$420,$A439&amp;" ضد "&amp;R$424)+COUNTIF($E$4:$E$420,R$424&amp;" ضد "&amp;$A439))</f>
        <v>1</v>
      </c>
      <c r="S439" s="4">
        <f>IF($A439=S$424,"",COUNTIF($E$4:$E$420,$A439&amp;" ضد "&amp;S$424)+COUNTIF($E$4:$E$420,S$424&amp;" ضد "&amp;$A439))</f>
        <v>2</v>
      </c>
      <c r="T439" s="4">
        <f>IF($A439=T$424,"",COUNTIF($E$4:$E$420,$A439&amp;" ضد "&amp;T$424)+COUNTIF($E$4:$E$420,T$424&amp;" ضد "&amp;$A439))</f>
        <v>1</v>
      </c>
      <c r="U439" s="4">
        <f>IF($A439=U$424,"",COUNTIF($E$4:$E$420,$A439&amp;" ضد "&amp;U$424)+COUNTIF($E$4:$E$420,U$424&amp;" ضد "&amp;$A439))</f>
        <v>2</v>
      </c>
      <c r="V439" s="4">
        <f>IF($A439=V$424,"",COUNTIF($E$4:$E$420,$A439&amp;" ضد "&amp;V$424)+COUNTIF($E$4:$E$420,V$424&amp;" ضد "&amp;$A439))</f>
        <v>2</v>
      </c>
      <c r="W439" s="4">
        <f>IF($A439=W$424,"",COUNTIF($E$4:$E$420,$A439&amp;" ضد "&amp;W$424)+COUNTIF($E$4:$E$420,W$424&amp;" ضد "&amp;$A439))</f>
        <v>2</v>
      </c>
      <c r="X439" s="4">
        <f>IF($A439=X$424,"",COUNTIF($E$4:$E$420,$A439&amp;" ضد "&amp;X$424)+COUNTIF($E$4:$E$420,X$424&amp;" ضد "&amp;$A439))</f>
        <v>2</v>
      </c>
      <c r="Y439" s="4">
        <f>IF($A439=Y$424,"",COUNTIF($E$4:$E$420,$A439&amp;" ضد "&amp;Y$424)+COUNTIF($E$4:$E$420,Y$424&amp;" ضد "&amp;$A439))</f>
        <v>1</v>
      </c>
      <c r="Z439" s="4">
        <f>IF($A439=Z$424,"",COUNTIF($E$4:$E$420,$A439&amp;" ضد "&amp;Z$424)+COUNTIF($E$4:$E$420,Z$424&amp;" ضد "&amp;$A439))</f>
        <v>0</v>
      </c>
      <c r="AA439" s="4">
        <f>IF($A439=AA$424,"",COUNTIF($E$4:$E$420,$A439&amp;" ضد "&amp;AA$424)+COUNTIF($E$4:$E$420,AA$424&amp;" ضد "&amp;$A439))</f>
        <v>0</v>
      </c>
      <c r="AB439" s="4">
        <f>IF($A439=AB$424,"",COUNTIF($E$4:$E$420,$A439&amp;" ضد "&amp;AB$424)+COUNTIF($E$4:$E$420,AB$424&amp;" ضد "&amp;$A439))</f>
        <v>0</v>
      </c>
      <c r="AC439" s="4">
        <f>IF($A439=AC$424,"",COUNTIF($E$4:$E$420,$A439&amp;" ضد "&amp;AC$424)+COUNTIF($E$4:$E$420,AC$424&amp;" ضد "&amp;$A439))</f>
        <v>0</v>
      </c>
      <c r="AD439" s="4">
        <f>IF($A439=AD$424,"",COUNTIF($E$4:$E$420,$A439&amp;" ضد "&amp;AD$424)+COUNTIF($E$4:$E$420,AD$424&amp;" ضد "&amp;$A439))</f>
        <v>0</v>
      </c>
      <c r="AE439" s="4">
        <f>IF($A439=AE$424,"",COUNTIF($E$4:$E$420,$A439&amp;" ضد "&amp;AE$424)+COUNTIF($E$4:$E$420,AE$424&amp;" ضد "&amp;$A439))</f>
        <v>0</v>
      </c>
      <c r="AF439" s="4">
        <f>IF($A439=AF$424,"",COUNTIF($E$4:$E$420,$A439&amp;" ضد "&amp;AF$424)+COUNTIF($E$4:$E$420,AF$424&amp;" ضد "&amp;$A439))</f>
        <v>0</v>
      </c>
      <c r="AG439" s="4">
        <f>IF($A439=AG$424,"",COUNTIF($E$4:$E$420,$A439&amp;" ضد "&amp;AG$424)+COUNTIF($E$4:$E$420,AG$424&amp;" ضد "&amp;$A439))</f>
        <v>0</v>
      </c>
      <c r="AH439" s="4">
        <f>IF($A439=AH$424,"",COUNTIF($E$4:$E$420,$A439&amp;" ضد "&amp;AH$424)+COUNTIF($E$4:$E$420,AH$424&amp;" ضد "&amp;$A439))</f>
        <v>0</v>
      </c>
      <c r="AI439" s="4">
        <f>IF($A439=AI$424,"",COUNTIF($E$4:$E$420,$A439&amp;" ضد "&amp;AI$424)+COUNTIF($E$4:$E$420,AI$424&amp;" ضد "&amp;$A439))</f>
        <v>0</v>
      </c>
      <c r="AJ439" s="4">
        <f>IF($A439=AJ$424,"",COUNTIF($E$4:$E$420,$A439&amp;" ضد "&amp;AJ$424)+COUNTIF($E$4:$E$420,AJ$424&amp;" ضد "&amp;$A439))</f>
        <v>0</v>
      </c>
      <c r="AK439" s="4">
        <f>IF($A439=AK$424,"",COUNTIF($E$4:$E$420,$A439&amp;" ضد "&amp;AK$424)+COUNTIF($E$4:$E$420,AK$424&amp;" ضد "&amp;$A439))</f>
        <v>0</v>
      </c>
      <c r="AL439" s="4">
        <f>IF($A439=AL$424,"",COUNTIF($E$4:$E$420,$A439&amp;" ضد "&amp;AL$424)+COUNTIF($E$4:$E$420,AL$424&amp;" ضد "&amp;$A439))</f>
        <v>0</v>
      </c>
      <c r="AM439" s="4">
        <f>IF($A439=AM$424,"",COUNTIF($E$4:$E$420,$A439&amp;" ضد "&amp;AM$424)+COUNTIF($E$4:$E$420,AM$424&amp;" ضد "&amp;$A439))</f>
        <v>0</v>
      </c>
      <c r="AN439" s="4">
        <f>IF($A439=AN$424,"",COUNTIF($E$4:$E$420,$A439&amp;" ضد "&amp;AN$424)+COUNTIF($E$4:$E$420,AN$424&amp;" ضد "&amp;$A439))</f>
        <v>0</v>
      </c>
      <c r="AO439" s="4">
        <f>IF($A439=AO$424,"",COUNTIF($E$4:$E$420,$A439&amp;" ضد "&amp;AO$424)+COUNTIF($E$4:$E$420,AO$424&amp;" ضد "&amp;$A439))</f>
        <v>0</v>
      </c>
      <c r="AP439" s="4">
        <f>IF($A439=AP$424,"",COUNTIF($E$4:$E$420,$A439&amp;" ضد "&amp;AP$424)+COUNTIF($E$4:$E$420,AP$424&amp;" ضد "&amp;$A439))</f>
        <v>0</v>
      </c>
      <c r="AQ439" s="4">
        <f>IF($A439=AQ$424,"",COUNTIF($E$4:$E$420,$A439&amp;" ضد "&amp;AQ$424)+COUNTIF($E$4:$E$420,AQ$424&amp;" ضد "&amp;$A439))</f>
        <v>0</v>
      </c>
      <c r="AR439" s="4">
        <f>IF($A439=AR$424,"",COUNTIF($E$4:$E$420,$A439&amp;" ضد "&amp;AR$424)+COUNTIF($E$4:$E$420,AR$424&amp;" ضد "&amp;$A439))</f>
        <v>0</v>
      </c>
      <c r="AS439" s="4">
        <f>IF($A439=AS$424,"",COUNTIF($E$4:$E$420,$A439&amp;" ضد "&amp;AS$424)+COUNTIF($E$4:$E$420,AS$424&amp;" ضد "&amp;$A439))</f>
        <v>0</v>
      </c>
      <c r="AT439" s="4">
        <f>IF($A439=AT$424,"",COUNTIF($E$4:$E$420,$A439&amp;" ضد "&amp;AT$424)+COUNTIF($E$4:$E$420,AT$424&amp;" ضد "&amp;$A439))</f>
        <v>0</v>
      </c>
      <c r="AU439" s="4">
        <f>IF($A439=AU$424,"",COUNTIF($E$4:$E$420,$A439&amp;" ضد "&amp;AU$424)+COUNTIF($E$4:$E$420,AU$424&amp;" ضد "&amp;$A439))</f>
        <v>0</v>
      </c>
    </row>
    <row r="440" spans="1:47" ht="14.5">
      <c r="A440" s="14">
        <v>16</v>
      </c>
      <c r="B440" s="4">
        <f>IF($A440=B$424,"",COUNTIF($E$4:$E$420,$A440&amp;" ضد "&amp;B$424)+COUNTIF($E$4:$E$420,B$424&amp;" ضد "&amp;$A440))</f>
        <v>0</v>
      </c>
      <c r="C440" s="4">
        <f>IF($A440=C$424,"",COUNTIF($E$4:$E$420,$A440&amp;" ضد "&amp;C$424)+COUNTIF($E$4:$E$420,C$424&amp;" ضد "&amp;$A440))</f>
        <v>0</v>
      </c>
      <c r="D440" s="4">
        <f>IF($A440=D$424,"",COUNTIF($E$4:$E$420,$A440&amp;" ضد "&amp;D$424)+COUNTIF($E$4:$E$420,D$424&amp;" ضد "&amp;$A440))</f>
        <v>0</v>
      </c>
      <c r="E440" s="4">
        <f>IF($A440=E$424,"",COUNTIF($E$4:$E$420,$A440&amp;" ضد "&amp;E$424)+COUNTIF($E$4:$E$420,E$424&amp;" ضد "&amp;$A440))</f>
        <v>0</v>
      </c>
      <c r="F440" s="4">
        <f>IF($A440=F$424,"",COUNTIF($E$4:$E$420,$A440&amp;" ضد "&amp;F$424)+COUNTIF($E$4:$E$420,F$424&amp;" ضد "&amp;$A440))</f>
        <v>0</v>
      </c>
      <c r="G440" s="4">
        <f>IF($A440=G$424,"",COUNTIF($E$4:$E$420,$A440&amp;" ضد "&amp;G$424)+COUNTIF($E$4:$E$420,G$424&amp;" ضد "&amp;$A440))</f>
        <v>0</v>
      </c>
      <c r="H440" s="4">
        <f>IF($A440=H$424,"",COUNTIF($E$4:$E$420,$A440&amp;" ضد "&amp;H$424)+COUNTIF($E$4:$E$420,H$424&amp;" ضد "&amp;$A440))</f>
        <v>0</v>
      </c>
      <c r="I440" s="4">
        <f>IF($A440=I$424,"",COUNTIF($E$4:$E$420,$A440&amp;" ضد "&amp;I$424)+COUNTIF($E$4:$E$420,I$424&amp;" ضد "&amp;$A440))</f>
        <v>0</v>
      </c>
      <c r="J440" s="4">
        <f>IF($A440=J$424,"",COUNTIF($E$4:$E$420,$A440&amp;" ضد "&amp;J$424)+COUNTIF($E$4:$E$420,J$424&amp;" ضد "&amp;$A440))</f>
        <v>0</v>
      </c>
      <c r="K440" s="4">
        <f>IF($A440=K$424,"",COUNTIF($E$4:$E$420,$A440&amp;" ضد "&amp;K$424)+COUNTIF($E$4:$E$420,K$424&amp;" ضد "&amp;$A440))</f>
        <v>0</v>
      </c>
      <c r="L440" s="4">
        <f>IF($A440=L$424,"",COUNTIF($E$4:$E$420,$A440&amp;" ضد "&amp;L$424)+COUNTIF($E$4:$E$420,L$424&amp;" ضد "&amp;$A440))</f>
        <v>0</v>
      </c>
      <c r="M440" s="4">
        <f>IF($A440=M$424,"",COUNTIF($E$4:$E$420,$A440&amp;" ضد "&amp;M$424)+COUNTIF($E$4:$E$420,M$424&amp;" ضد "&amp;$A440))</f>
        <v>0</v>
      </c>
      <c r="N440" s="4">
        <f>IF($A440=N$424,"",COUNTIF($E$4:$E$420,$A440&amp;" ضد "&amp;N$424)+COUNTIF($E$4:$E$420,N$424&amp;" ضد "&amp;$A440))</f>
        <v>1</v>
      </c>
      <c r="O440" s="4">
        <f>IF($A440=O$424,"",COUNTIF($E$4:$E$420,$A440&amp;" ضد "&amp;O$424)+COUNTIF($E$4:$E$420,O$424&amp;" ضد "&amp;$A440))</f>
        <v>1</v>
      </c>
      <c r="P440" s="4">
        <f>IF($A440=P$424,"",COUNTIF($E$4:$E$420,$A440&amp;" ضد "&amp;P$424)+COUNTIF($E$4:$E$420,P$424&amp;" ضد "&amp;$A440))</f>
        <v>2</v>
      </c>
      <c r="Q440" s="4" t="str">
        <f>IF($A440=Q$424,"",COUNTIF($E$4:$E$420,$A440&amp;" ضد "&amp;Q$424)+COUNTIF($E$4:$E$420,Q$424&amp;" ضد "&amp;$A440))</f>
        <v/>
      </c>
      <c r="R440" s="4">
        <f>IF($A440=R$424,"",COUNTIF($E$4:$E$420,$A440&amp;" ضد "&amp;R$424)+COUNTIF($E$4:$E$420,R$424&amp;" ضد "&amp;$A440))</f>
        <v>2</v>
      </c>
      <c r="S440" s="4">
        <f>IF($A440=S$424,"",COUNTIF($E$4:$E$420,$A440&amp;" ضد "&amp;S$424)+COUNTIF($E$4:$E$420,S$424&amp;" ضد "&amp;$A440))</f>
        <v>1</v>
      </c>
      <c r="T440" s="4">
        <f>IF($A440=T$424,"",COUNTIF($E$4:$E$420,$A440&amp;" ضد "&amp;T$424)+COUNTIF($E$4:$E$420,T$424&amp;" ضد "&amp;$A440))</f>
        <v>2</v>
      </c>
      <c r="U440" s="4">
        <f>IF($A440=U$424,"",COUNTIF($E$4:$E$420,$A440&amp;" ضد "&amp;U$424)+COUNTIF($E$4:$E$420,U$424&amp;" ضد "&amp;$A440))</f>
        <v>2</v>
      </c>
      <c r="V440" s="4">
        <f>IF($A440=V$424,"",COUNTIF($E$4:$E$420,$A440&amp;" ضد "&amp;V$424)+COUNTIF($E$4:$E$420,V$424&amp;" ضد "&amp;$A440))</f>
        <v>2</v>
      </c>
      <c r="W440" s="4">
        <f>IF($A440=W$424,"",COUNTIF($E$4:$E$420,$A440&amp;" ضد "&amp;W$424)+COUNTIF($E$4:$E$420,W$424&amp;" ضد "&amp;$A440))</f>
        <v>2</v>
      </c>
      <c r="X440" s="4">
        <f>IF($A440=X$424,"",COUNTIF($E$4:$E$420,$A440&amp;" ضد "&amp;X$424)+COUNTIF($E$4:$E$420,X$424&amp;" ضد "&amp;$A440))</f>
        <v>1</v>
      </c>
      <c r="Y440" s="4">
        <f>IF($A440=Y$424,"",COUNTIF($E$4:$E$420,$A440&amp;" ضد "&amp;Y$424)+COUNTIF($E$4:$E$420,Y$424&amp;" ضد "&amp;$A440))</f>
        <v>2</v>
      </c>
      <c r="Z440" s="4">
        <f>IF($A440=Z$424,"",COUNTIF($E$4:$E$420,$A440&amp;" ضد "&amp;Z$424)+COUNTIF($E$4:$E$420,Z$424&amp;" ضد "&amp;$A440))</f>
        <v>0</v>
      </c>
      <c r="AA440" s="4">
        <f>IF($A440=AA$424,"",COUNTIF($E$4:$E$420,$A440&amp;" ضد "&amp;AA$424)+COUNTIF($E$4:$E$420,AA$424&amp;" ضد "&amp;$A440))</f>
        <v>0</v>
      </c>
      <c r="AB440" s="4">
        <f>IF($A440=AB$424,"",COUNTIF($E$4:$E$420,$A440&amp;" ضد "&amp;AB$424)+COUNTIF($E$4:$E$420,AB$424&amp;" ضد "&amp;$A440))</f>
        <v>0</v>
      </c>
      <c r="AC440" s="4">
        <f>IF($A440=AC$424,"",COUNTIF($E$4:$E$420,$A440&amp;" ضد "&amp;AC$424)+COUNTIF($E$4:$E$420,AC$424&amp;" ضد "&amp;$A440))</f>
        <v>0</v>
      </c>
      <c r="AD440" s="4">
        <f>IF($A440=AD$424,"",COUNTIF($E$4:$E$420,$A440&amp;" ضد "&amp;AD$424)+COUNTIF($E$4:$E$420,AD$424&amp;" ضد "&amp;$A440))</f>
        <v>0</v>
      </c>
      <c r="AE440" s="4">
        <f>IF($A440=AE$424,"",COUNTIF($E$4:$E$420,$A440&amp;" ضد "&amp;AE$424)+COUNTIF($E$4:$E$420,AE$424&amp;" ضد "&amp;$A440))</f>
        <v>0</v>
      </c>
      <c r="AF440" s="4">
        <f>IF($A440=AF$424,"",COUNTIF($E$4:$E$420,$A440&amp;" ضد "&amp;AF$424)+COUNTIF($E$4:$E$420,AF$424&amp;" ضد "&amp;$A440))</f>
        <v>0</v>
      </c>
      <c r="AG440" s="4">
        <f>IF($A440=AG$424,"",COUNTIF($E$4:$E$420,$A440&amp;" ضد "&amp;AG$424)+COUNTIF($E$4:$E$420,AG$424&amp;" ضد "&amp;$A440))</f>
        <v>0</v>
      </c>
      <c r="AH440" s="4">
        <f>IF($A440=AH$424,"",COUNTIF($E$4:$E$420,$A440&amp;" ضد "&amp;AH$424)+COUNTIF($E$4:$E$420,AH$424&amp;" ضد "&amp;$A440))</f>
        <v>0</v>
      </c>
      <c r="AI440" s="4">
        <f>IF($A440=AI$424,"",COUNTIF($E$4:$E$420,$A440&amp;" ضد "&amp;AI$424)+COUNTIF($E$4:$E$420,AI$424&amp;" ضد "&amp;$A440))</f>
        <v>0</v>
      </c>
      <c r="AJ440" s="4">
        <f>IF($A440=AJ$424,"",COUNTIF($E$4:$E$420,$A440&amp;" ضد "&amp;AJ$424)+COUNTIF($E$4:$E$420,AJ$424&amp;" ضد "&amp;$A440))</f>
        <v>0</v>
      </c>
      <c r="AK440" s="4">
        <f>IF($A440=AK$424,"",COUNTIF($E$4:$E$420,$A440&amp;" ضد "&amp;AK$424)+COUNTIF($E$4:$E$420,AK$424&amp;" ضد "&amp;$A440))</f>
        <v>0</v>
      </c>
      <c r="AL440" s="4">
        <f>IF($A440=AL$424,"",COUNTIF($E$4:$E$420,$A440&amp;" ضد "&amp;AL$424)+COUNTIF($E$4:$E$420,AL$424&amp;" ضد "&amp;$A440))</f>
        <v>0</v>
      </c>
      <c r="AM440" s="4">
        <f>IF($A440=AM$424,"",COUNTIF($E$4:$E$420,$A440&amp;" ضد "&amp;AM$424)+COUNTIF($E$4:$E$420,AM$424&amp;" ضد "&amp;$A440))</f>
        <v>0</v>
      </c>
      <c r="AN440" s="4">
        <f>IF($A440=AN$424,"",COUNTIF($E$4:$E$420,$A440&amp;" ضد "&amp;AN$424)+COUNTIF($E$4:$E$420,AN$424&amp;" ضد "&amp;$A440))</f>
        <v>0</v>
      </c>
      <c r="AO440" s="4">
        <f>IF($A440=AO$424,"",COUNTIF($E$4:$E$420,$A440&amp;" ضد "&amp;AO$424)+COUNTIF($E$4:$E$420,AO$424&amp;" ضد "&amp;$A440))</f>
        <v>0</v>
      </c>
      <c r="AP440" s="4">
        <f>IF($A440=AP$424,"",COUNTIF($E$4:$E$420,$A440&amp;" ضد "&amp;AP$424)+COUNTIF($E$4:$E$420,AP$424&amp;" ضد "&amp;$A440))</f>
        <v>0</v>
      </c>
      <c r="AQ440" s="4">
        <f>IF($A440=AQ$424,"",COUNTIF($E$4:$E$420,$A440&amp;" ضد "&amp;AQ$424)+COUNTIF($E$4:$E$420,AQ$424&amp;" ضد "&amp;$A440))</f>
        <v>0</v>
      </c>
      <c r="AR440" s="4">
        <f>IF($A440=AR$424,"",COUNTIF($E$4:$E$420,$A440&amp;" ضد "&amp;AR$424)+COUNTIF($E$4:$E$420,AR$424&amp;" ضد "&amp;$A440))</f>
        <v>0</v>
      </c>
      <c r="AS440" s="4">
        <f>IF($A440=AS$424,"",COUNTIF($E$4:$E$420,$A440&amp;" ضد "&amp;AS$424)+COUNTIF($E$4:$E$420,AS$424&amp;" ضد "&amp;$A440))</f>
        <v>0</v>
      </c>
      <c r="AT440" s="4">
        <f>IF($A440=AT$424,"",COUNTIF($E$4:$E$420,$A440&amp;" ضد "&amp;AT$424)+COUNTIF($E$4:$E$420,AT$424&amp;" ضد "&amp;$A440))</f>
        <v>0</v>
      </c>
      <c r="AU440" s="4">
        <f>IF($A440=AU$424,"",COUNTIF($E$4:$E$420,$A440&amp;" ضد "&amp;AU$424)+COUNTIF($E$4:$E$420,AU$424&amp;" ضد "&amp;$A440))</f>
        <v>0</v>
      </c>
    </row>
    <row r="441" spans="1:47" ht="14.5">
      <c r="A441" s="14">
        <v>17</v>
      </c>
      <c r="B441" s="4">
        <f>IF($A441=B$424,"",COUNTIF($E$4:$E$420,$A441&amp;" ضد "&amp;B$424)+COUNTIF($E$4:$E$420,B$424&amp;" ضد "&amp;$A441))</f>
        <v>0</v>
      </c>
      <c r="C441" s="4">
        <f>IF($A441=C$424,"",COUNTIF($E$4:$E$420,$A441&amp;" ضد "&amp;C$424)+COUNTIF($E$4:$E$420,C$424&amp;" ضد "&amp;$A441))</f>
        <v>0</v>
      </c>
      <c r="D441" s="4">
        <f>IF($A441=D$424,"",COUNTIF($E$4:$E$420,$A441&amp;" ضد "&amp;D$424)+COUNTIF($E$4:$E$420,D$424&amp;" ضد "&amp;$A441))</f>
        <v>0</v>
      </c>
      <c r="E441" s="4">
        <f>IF($A441=E$424,"",COUNTIF($E$4:$E$420,$A441&amp;" ضد "&amp;E$424)+COUNTIF($E$4:$E$420,E$424&amp;" ضد "&amp;$A441))</f>
        <v>0</v>
      </c>
      <c r="F441" s="4">
        <f>IF($A441=F$424,"",COUNTIF($E$4:$E$420,$A441&amp;" ضد "&amp;F$424)+COUNTIF($E$4:$E$420,F$424&amp;" ضد "&amp;$A441))</f>
        <v>0</v>
      </c>
      <c r="G441" s="4">
        <f>IF($A441=G$424,"",COUNTIF($E$4:$E$420,$A441&amp;" ضد "&amp;G$424)+COUNTIF($E$4:$E$420,G$424&amp;" ضد "&amp;$A441))</f>
        <v>0</v>
      </c>
      <c r="H441" s="4">
        <f>IF($A441=H$424,"",COUNTIF($E$4:$E$420,$A441&amp;" ضد "&amp;H$424)+COUNTIF($E$4:$E$420,H$424&amp;" ضد "&amp;$A441))</f>
        <v>0</v>
      </c>
      <c r="I441" s="4">
        <f>IF($A441=I$424,"",COUNTIF($E$4:$E$420,$A441&amp;" ضد "&amp;I$424)+COUNTIF($E$4:$E$420,I$424&amp;" ضد "&amp;$A441))</f>
        <v>0</v>
      </c>
      <c r="J441" s="4">
        <f>IF($A441=J$424,"",COUNTIF($E$4:$E$420,$A441&amp;" ضد "&amp;J$424)+COUNTIF($E$4:$E$420,J$424&amp;" ضد "&amp;$A441))</f>
        <v>0</v>
      </c>
      <c r="K441" s="4">
        <f>IF($A441=K$424,"",COUNTIF($E$4:$E$420,$A441&amp;" ضد "&amp;K$424)+COUNTIF($E$4:$E$420,K$424&amp;" ضد "&amp;$A441))</f>
        <v>0</v>
      </c>
      <c r="L441" s="4">
        <f>IF($A441=L$424,"",COUNTIF($E$4:$E$420,$A441&amp;" ضد "&amp;L$424)+COUNTIF($E$4:$E$420,L$424&amp;" ضد "&amp;$A441))</f>
        <v>0</v>
      </c>
      <c r="M441" s="4">
        <f>IF($A441=M$424,"",COUNTIF($E$4:$E$420,$A441&amp;" ضد "&amp;M$424)+COUNTIF($E$4:$E$420,M$424&amp;" ضد "&amp;$A441))</f>
        <v>0</v>
      </c>
      <c r="N441" s="4">
        <f>IF($A441=N$424,"",COUNTIF($E$4:$E$420,$A441&amp;" ضد "&amp;N$424)+COUNTIF($E$4:$E$420,N$424&amp;" ضد "&amp;$A441))</f>
        <v>1</v>
      </c>
      <c r="O441" s="4">
        <f>IF($A441=O$424,"",COUNTIF($E$4:$E$420,$A441&amp;" ضد "&amp;O$424)+COUNTIF($E$4:$E$420,O$424&amp;" ضد "&amp;$A441))</f>
        <v>2</v>
      </c>
      <c r="P441" s="4">
        <f>IF($A441=P$424,"",COUNTIF($E$4:$E$420,$A441&amp;" ضد "&amp;P$424)+COUNTIF($E$4:$E$420,P$424&amp;" ضد "&amp;$A441))</f>
        <v>1</v>
      </c>
      <c r="Q441" s="4">
        <f>IF($A441=Q$424,"",COUNTIF($E$4:$E$420,$A441&amp;" ضد "&amp;Q$424)+COUNTIF($E$4:$E$420,Q$424&amp;" ضد "&amp;$A441))</f>
        <v>2</v>
      </c>
      <c r="R441" s="4" t="str">
        <f>IF($A441=R$424,"",COUNTIF($E$4:$E$420,$A441&amp;" ضد "&amp;R$424)+COUNTIF($E$4:$E$420,R$424&amp;" ضد "&amp;$A441))</f>
        <v/>
      </c>
      <c r="S441" s="4">
        <f>IF($A441=S$424,"",COUNTIF($E$4:$E$420,$A441&amp;" ضد "&amp;S$424)+COUNTIF($E$4:$E$420,S$424&amp;" ضد "&amp;$A441))</f>
        <v>2</v>
      </c>
      <c r="T441" s="4">
        <f>IF($A441=T$424,"",COUNTIF($E$4:$E$420,$A441&amp;" ضد "&amp;T$424)+COUNTIF($E$4:$E$420,T$424&amp;" ضد "&amp;$A441))</f>
        <v>2</v>
      </c>
      <c r="U441" s="4">
        <f>IF($A441=U$424,"",COUNTIF($E$4:$E$420,$A441&amp;" ضد "&amp;U$424)+COUNTIF($E$4:$E$420,U$424&amp;" ضد "&amp;$A441))</f>
        <v>2</v>
      </c>
      <c r="V441" s="4">
        <f>IF($A441=V$424,"",COUNTIF($E$4:$E$420,$A441&amp;" ضد "&amp;V$424)+COUNTIF($E$4:$E$420,V$424&amp;" ضد "&amp;$A441))</f>
        <v>2</v>
      </c>
      <c r="W441" s="4">
        <f>IF($A441=W$424,"",COUNTIF($E$4:$E$420,$A441&amp;" ضد "&amp;W$424)+COUNTIF($E$4:$E$420,W$424&amp;" ضد "&amp;$A441))</f>
        <v>1</v>
      </c>
      <c r="X441" s="4">
        <f>IF($A441=X$424,"",COUNTIF($E$4:$E$420,$A441&amp;" ضد "&amp;X$424)+COUNTIF($E$4:$E$420,X$424&amp;" ضد "&amp;$A441))</f>
        <v>2</v>
      </c>
      <c r="Y441" s="4">
        <f>IF($A441=Y$424,"",COUNTIF($E$4:$E$420,$A441&amp;" ضد "&amp;Y$424)+COUNTIF($E$4:$E$420,Y$424&amp;" ضد "&amp;$A441))</f>
        <v>1</v>
      </c>
      <c r="Z441" s="4">
        <f>IF($A441=Z$424,"",COUNTIF($E$4:$E$420,$A441&amp;" ضد "&amp;Z$424)+COUNTIF($E$4:$E$420,Z$424&amp;" ضد "&amp;$A441))</f>
        <v>0</v>
      </c>
      <c r="AA441" s="4">
        <f>IF($A441=AA$424,"",COUNTIF($E$4:$E$420,$A441&amp;" ضد "&amp;AA$424)+COUNTIF($E$4:$E$420,AA$424&amp;" ضد "&amp;$A441))</f>
        <v>0</v>
      </c>
      <c r="AB441" s="4">
        <f>IF($A441=AB$424,"",COUNTIF($E$4:$E$420,$A441&amp;" ضد "&amp;AB$424)+COUNTIF($E$4:$E$420,AB$424&amp;" ضد "&amp;$A441))</f>
        <v>0</v>
      </c>
      <c r="AC441" s="4">
        <f>IF($A441=AC$424,"",COUNTIF($E$4:$E$420,$A441&amp;" ضد "&amp;AC$424)+COUNTIF($E$4:$E$420,AC$424&amp;" ضد "&amp;$A441))</f>
        <v>0</v>
      </c>
      <c r="AD441" s="4">
        <f>IF($A441=AD$424,"",COUNTIF($E$4:$E$420,$A441&amp;" ضد "&amp;AD$424)+COUNTIF($E$4:$E$420,AD$424&amp;" ضد "&amp;$A441))</f>
        <v>0</v>
      </c>
      <c r="AE441" s="4">
        <f>IF($A441=AE$424,"",COUNTIF($E$4:$E$420,$A441&amp;" ضد "&amp;AE$424)+COUNTIF($E$4:$E$420,AE$424&amp;" ضد "&amp;$A441))</f>
        <v>0</v>
      </c>
      <c r="AF441" s="4">
        <f>IF($A441=AF$424,"",COUNTIF($E$4:$E$420,$A441&amp;" ضد "&amp;AF$424)+COUNTIF($E$4:$E$420,AF$424&amp;" ضد "&amp;$A441))</f>
        <v>0</v>
      </c>
      <c r="AG441" s="4">
        <f>IF($A441=AG$424,"",COUNTIF($E$4:$E$420,$A441&amp;" ضد "&amp;AG$424)+COUNTIF($E$4:$E$420,AG$424&amp;" ضد "&amp;$A441))</f>
        <v>0</v>
      </c>
      <c r="AH441" s="4">
        <f>IF($A441=AH$424,"",COUNTIF($E$4:$E$420,$A441&amp;" ضد "&amp;AH$424)+COUNTIF($E$4:$E$420,AH$424&amp;" ضد "&amp;$A441))</f>
        <v>0</v>
      </c>
      <c r="AI441" s="4">
        <f>IF($A441=AI$424,"",COUNTIF($E$4:$E$420,$A441&amp;" ضد "&amp;AI$424)+COUNTIF($E$4:$E$420,AI$424&amp;" ضد "&amp;$A441))</f>
        <v>0</v>
      </c>
      <c r="AJ441" s="4">
        <f>IF($A441=AJ$424,"",COUNTIF($E$4:$E$420,$A441&amp;" ضد "&amp;AJ$424)+COUNTIF($E$4:$E$420,AJ$424&amp;" ضد "&amp;$A441))</f>
        <v>0</v>
      </c>
      <c r="AK441" s="4">
        <f>IF($A441=AK$424,"",COUNTIF($E$4:$E$420,$A441&amp;" ضد "&amp;AK$424)+COUNTIF($E$4:$E$420,AK$424&amp;" ضد "&amp;$A441))</f>
        <v>0</v>
      </c>
      <c r="AL441" s="4">
        <f>IF($A441=AL$424,"",COUNTIF($E$4:$E$420,$A441&amp;" ضد "&amp;AL$424)+COUNTIF($E$4:$E$420,AL$424&amp;" ضد "&amp;$A441))</f>
        <v>0</v>
      </c>
      <c r="AM441" s="4">
        <f>IF($A441=AM$424,"",COUNTIF($E$4:$E$420,$A441&amp;" ضد "&amp;AM$424)+COUNTIF($E$4:$E$420,AM$424&amp;" ضد "&amp;$A441))</f>
        <v>0</v>
      </c>
      <c r="AN441" s="4">
        <f>IF($A441=AN$424,"",COUNTIF($E$4:$E$420,$A441&amp;" ضد "&amp;AN$424)+COUNTIF($E$4:$E$420,AN$424&amp;" ضد "&amp;$A441))</f>
        <v>0</v>
      </c>
      <c r="AO441" s="4">
        <f>IF($A441=AO$424,"",COUNTIF($E$4:$E$420,$A441&amp;" ضد "&amp;AO$424)+COUNTIF($E$4:$E$420,AO$424&amp;" ضد "&amp;$A441))</f>
        <v>0</v>
      </c>
      <c r="AP441" s="4">
        <f>IF($A441=AP$424,"",COUNTIF($E$4:$E$420,$A441&amp;" ضد "&amp;AP$424)+COUNTIF($E$4:$E$420,AP$424&amp;" ضد "&amp;$A441))</f>
        <v>0</v>
      </c>
      <c r="AQ441" s="4">
        <f>IF($A441=AQ$424,"",COUNTIF($E$4:$E$420,$A441&amp;" ضد "&amp;AQ$424)+COUNTIF($E$4:$E$420,AQ$424&amp;" ضد "&amp;$A441))</f>
        <v>0</v>
      </c>
      <c r="AR441" s="4">
        <f>IF($A441=AR$424,"",COUNTIF($E$4:$E$420,$A441&amp;" ضد "&amp;AR$424)+COUNTIF($E$4:$E$420,AR$424&amp;" ضد "&amp;$A441))</f>
        <v>0</v>
      </c>
      <c r="AS441" s="4">
        <f>IF($A441=AS$424,"",COUNTIF($E$4:$E$420,$A441&amp;" ضد "&amp;AS$424)+COUNTIF($E$4:$E$420,AS$424&amp;" ضد "&amp;$A441))</f>
        <v>0</v>
      </c>
      <c r="AT441" s="4">
        <f>IF($A441=AT$424,"",COUNTIF($E$4:$E$420,$A441&amp;" ضد "&amp;AT$424)+COUNTIF($E$4:$E$420,AT$424&amp;" ضد "&amp;$A441))</f>
        <v>0</v>
      </c>
      <c r="AU441" s="4">
        <f>IF($A441=AU$424,"",COUNTIF($E$4:$E$420,$A441&amp;" ضد "&amp;AU$424)+COUNTIF($E$4:$E$420,AU$424&amp;" ضد "&amp;$A441))</f>
        <v>0</v>
      </c>
    </row>
    <row r="442" spans="1:47" ht="14.5">
      <c r="A442" s="14">
        <v>18</v>
      </c>
      <c r="B442" s="4">
        <f>IF($A442=B$424,"",COUNTIF($E$4:$E$420,$A442&amp;" ضد "&amp;B$424)+COUNTIF($E$4:$E$420,B$424&amp;" ضد "&amp;$A442))</f>
        <v>0</v>
      </c>
      <c r="C442" s="4">
        <f>IF($A442=C$424,"",COUNTIF($E$4:$E$420,$A442&amp;" ضد "&amp;C$424)+COUNTIF($E$4:$E$420,C$424&amp;" ضد "&amp;$A442))</f>
        <v>0</v>
      </c>
      <c r="D442" s="4">
        <f>IF($A442=D$424,"",COUNTIF($E$4:$E$420,$A442&amp;" ضد "&amp;D$424)+COUNTIF($E$4:$E$420,D$424&amp;" ضد "&amp;$A442))</f>
        <v>0</v>
      </c>
      <c r="E442" s="4">
        <f>IF($A442=E$424,"",COUNTIF($E$4:$E$420,$A442&amp;" ضد "&amp;E$424)+COUNTIF($E$4:$E$420,E$424&amp;" ضد "&amp;$A442))</f>
        <v>0</v>
      </c>
      <c r="F442" s="4">
        <f>IF($A442=F$424,"",COUNTIF($E$4:$E$420,$A442&amp;" ضد "&amp;F$424)+COUNTIF($E$4:$E$420,F$424&amp;" ضد "&amp;$A442))</f>
        <v>0</v>
      </c>
      <c r="G442" s="4">
        <f>IF($A442=G$424,"",COUNTIF($E$4:$E$420,$A442&amp;" ضد "&amp;G$424)+COUNTIF($E$4:$E$420,G$424&amp;" ضد "&amp;$A442))</f>
        <v>0</v>
      </c>
      <c r="H442" s="4">
        <f>IF($A442=H$424,"",COUNTIF($E$4:$E$420,$A442&amp;" ضد "&amp;H$424)+COUNTIF($E$4:$E$420,H$424&amp;" ضد "&amp;$A442))</f>
        <v>0</v>
      </c>
      <c r="I442" s="4">
        <f>IF($A442=I$424,"",COUNTIF($E$4:$E$420,$A442&amp;" ضد "&amp;I$424)+COUNTIF($E$4:$E$420,I$424&amp;" ضد "&amp;$A442))</f>
        <v>0</v>
      </c>
      <c r="J442" s="4">
        <f>IF($A442=J$424,"",COUNTIF($E$4:$E$420,$A442&amp;" ضد "&amp;J$424)+COUNTIF($E$4:$E$420,J$424&amp;" ضد "&amp;$A442))</f>
        <v>0</v>
      </c>
      <c r="K442" s="4">
        <f>IF($A442=K$424,"",COUNTIF($E$4:$E$420,$A442&amp;" ضد "&amp;K$424)+COUNTIF($E$4:$E$420,K$424&amp;" ضد "&amp;$A442))</f>
        <v>0</v>
      </c>
      <c r="L442" s="4">
        <f>IF($A442=L$424,"",COUNTIF($E$4:$E$420,$A442&amp;" ضد "&amp;L$424)+COUNTIF($E$4:$E$420,L$424&amp;" ضد "&amp;$A442))</f>
        <v>0</v>
      </c>
      <c r="M442" s="4">
        <f>IF($A442=M$424,"",COUNTIF($E$4:$E$420,$A442&amp;" ضد "&amp;M$424)+COUNTIF($E$4:$E$420,M$424&amp;" ضد "&amp;$A442))</f>
        <v>0</v>
      </c>
      <c r="N442" s="4">
        <f>IF($A442=N$424,"",COUNTIF($E$4:$E$420,$A442&amp;" ضد "&amp;N$424)+COUNTIF($E$4:$E$420,N$424&amp;" ضد "&amp;$A442))</f>
        <v>2</v>
      </c>
      <c r="O442" s="4">
        <f>IF($A442=O$424,"",COUNTIF($E$4:$E$420,$A442&amp;" ضد "&amp;O$424)+COUNTIF($E$4:$E$420,O$424&amp;" ضد "&amp;$A442))</f>
        <v>1</v>
      </c>
      <c r="P442" s="4">
        <f>IF($A442=P$424,"",COUNTIF($E$4:$E$420,$A442&amp;" ضد "&amp;P$424)+COUNTIF($E$4:$E$420,P$424&amp;" ضد "&amp;$A442))</f>
        <v>2</v>
      </c>
      <c r="Q442" s="4">
        <f>IF($A442=Q$424,"",COUNTIF($E$4:$E$420,$A442&amp;" ضد "&amp;Q$424)+COUNTIF($E$4:$E$420,Q$424&amp;" ضد "&amp;$A442))</f>
        <v>1</v>
      </c>
      <c r="R442" s="4">
        <f>IF($A442=R$424,"",COUNTIF($E$4:$E$420,$A442&amp;" ضد "&amp;R$424)+COUNTIF($E$4:$E$420,R$424&amp;" ضد "&amp;$A442))</f>
        <v>2</v>
      </c>
      <c r="S442" s="4" t="str">
        <f>IF($A442=S$424,"",COUNTIF($E$4:$E$420,$A442&amp;" ضد "&amp;S$424)+COUNTIF($E$4:$E$420,S$424&amp;" ضد "&amp;$A442))</f>
        <v/>
      </c>
      <c r="T442" s="4">
        <f>IF($A442=T$424,"",COUNTIF($E$4:$E$420,$A442&amp;" ضد "&amp;T$424)+COUNTIF($E$4:$E$420,T$424&amp;" ضد "&amp;$A442))</f>
        <v>2</v>
      </c>
      <c r="U442" s="4">
        <f>IF($A442=U$424,"",COUNTIF($E$4:$E$420,$A442&amp;" ضد "&amp;U$424)+COUNTIF($E$4:$E$420,U$424&amp;" ضد "&amp;$A442))</f>
        <v>2</v>
      </c>
      <c r="V442" s="4">
        <f>IF($A442=V$424,"",COUNTIF($E$4:$E$420,$A442&amp;" ضد "&amp;V$424)+COUNTIF($E$4:$E$420,V$424&amp;" ضد "&amp;$A442))</f>
        <v>1</v>
      </c>
      <c r="W442" s="4">
        <f>IF($A442=W$424,"",COUNTIF($E$4:$E$420,$A442&amp;" ضد "&amp;W$424)+COUNTIF($E$4:$E$420,W$424&amp;" ضد "&amp;$A442))</f>
        <v>2</v>
      </c>
      <c r="X442" s="4">
        <f>IF($A442=X$424,"",COUNTIF($E$4:$E$420,$A442&amp;" ضد "&amp;X$424)+COUNTIF($E$4:$E$420,X$424&amp;" ضد "&amp;$A442))</f>
        <v>1</v>
      </c>
      <c r="Y442" s="4">
        <f>IF($A442=Y$424,"",COUNTIF($E$4:$E$420,$A442&amp;" ضد "&amp;Y$424)+COUNTIF($E$4:$E$420,Y$424&amp;" ضد "&amp;$A442))</f>
        <v>2</v>
      </c>
      <c r="Z442" s="4">
        <f>IF($A442=Z$424,"",COUNTIF($E$4:$E$420,$A442&amp;" ضد "&amp;Z$424)+COUNTIF($E$4:$E$420,Z$424&amp;" ضد "&amp;$A442))</f>
        <v>0</v>
      </c>
      <c r="AA442" s="4">
        <f>IF($A442=AA$424,"",COUNTIF($E$4:$E$420,$A442&amp;" ضد "&amp;AA$424)+COUNTIF($E$4:$E$420,AA$424&amp;" ضد "&amp;$A442))</f>
        <v>0</v>
      </c>
      <c r="AB442" s="4">
        <f>IF($A442=AB$424,"",COUNTIF($E$4:$E$420,$A442&amp;" ضد "&amp;AB$424)+COUNTIF($E$4:$E$420,AB$424&amp;" ضد "&amp;$A442))</f>
        <v>0</v>
      </c>
      <c r="AC442" s="4">
        <f>IF($A442=AC$424,"",COUNTIF($E$4:$E$420,$A442&amp;" ضد "&amp;AC$424)+COUNTIF($E$4:$E$420,AC$424&amp;" ضد "&amp;$A442))</f>
        <v>0</v>
      </c>
      <c r="AD442" s="4">
        <f>IF($A442=AD$424,"",COUNTIF($E$4:$E$420,$A442&amp;" ضد "&amp;AD$424)+COUNTIF($E$4:$E$420,AD$424&amp;" ضد "&amp;$A442))</f>
        <v>0</v>
      </c>
      <c r="AE442" s="4">
        <f>IF($A442=AE$424,"",COUNTIF($E$4:$E$420,$A442&amp;" ضد "&amp;AE$424)+COUNTIF($E$4:$E$420,AE$424&amp;" ضد "&amp;$A442))</f>
        <v>0</v>
      </c>
      <c r="AF442" s="4">
        <f>IF($A442=AF$424,"",COUNTIF($E$4:$E$420,$A442&amp;" ضد "&amp;AF$424)+COUNTIF($E$4:$E$420,AF$424&amp;" ضد "&amp;$A442))</f>
        <v>0</v>
      </c>
      <c r="AG442" s="4">
        <f>IF($A442=AG$424,"",COUNTIF($E$4:$E$420,$A442&amp;" ضد "&amp;AG$424)+COUNTIF($E$4:$E$420,AG$424&amp;" ضد "&amp;$A442))</f>
        <v>0</v>
      </c>
      <c r="AH442" s="4">
        <f>IF($A442=AH$424,"",COUNTIF($E$4:$E$420,$A442&amp;" ضد "&amp;AH$424)+COUNTIF($E$4:$E$420,AH$424&amp;" ضد "&amp;$A442))</f>
        <v>0</v>
      </c>
      <c r="AI442" s="4">
        <f>IF($A442=AI$424,"",COUNTIF($E$4:$E$420,$A442&amp;" ضد "&amp;AI$424)+COUNTIF($E$4:$E$420,AI$424&amp;" ضد "&amp;$A442))</f>
        <v>0</v>
      </c>
      <c r="AJ442" s="4">
        <f>IF($A442=AJ$424,"",COUNTIF($E$4:$E$420,$A442&amp;" ضد "&amp;AJ$424)+COUNTIF($E$4:$E$420,AJ$424&amp;" ضد "&amp;$A442))</f>
        <v>0</v>
      </c>
      <c r="AK442" s="4">
        <f>IF($A442=AK$424,"",COUNTIF($E$4:$E$420,$A442&amp;" ضد "&amp;AK$424)+COUNTIF($E$4:$E$420,AK$424&amp;" ضد "&amp;$A442))</f>
        <v>0</v>
      </c>
      <c r="AL442" s="4">
        <f>IF($A442=AL$424,"",COUNTIF($E$4:$E$420,$A442&amp;" ضد "&amp;AL$424)+COUNTIF($E$4:$E$420,AL$424&amp;" ضد "&amp;$A442))</f>
        <v>0</v>
      </c>
      <c r="AM442" s="4">
        <f>IF($A442=AM$424,"",COUNTIF($E$4:$E$420,$A442&amp;" ضد "&amp;AM$424)+COUNTIF($E$4:$E$420,AM$424&amp;" ضد "&amp;$A442))</f>
        <v>0</v>
      </c>
      <c r="AN442" s="4">
        <f>IF($A442=AN$424,"",COUNTIF($E$4:$E$420,$A442&amp;" ضد "&amp;AN$424)+COUNTIF($E$4:$E$420,AN$424&amp;" ضد "&amp;$A442))</f>
        <v>0</v>
      </c>
      <c r="AO442" s="4">
        <f>IF($A442=AO$424,"",COUNTIF($E$4:$E$420,$A442&amp;" ضد "&amp;AO$424)+COUNTIF($E$4:$E$420,AO$424&amp;" ضد "&amp;$A442))</f>
        <v>0</v>
      </c>
      <c r="AP442" s="4">
        <f>IF($A442=AP$424,"",COUNTIF($E$4:$E$420,$A442&amp;" ضد "&amp;AP$424)+COUNTIF($E$4:$E$420,AP$424&amp;" ضد "&amp;$A442))</f>
        <v>0</v>
      </c>
      <c r="AQ442" s="4">
        <f>IF($A442=AQ$424,"",COUNTIF($E$4:$E$420,$A442&amp;" ضد "&amp;AQ$424)+COUNTIF($E$4:$E$420,AQ$424&amp;" ضد "&amp;$A442))</f>
        <v>0</v>
      </c>
      <c r="AR442" s="4">
        <f>IF($A442=AR$424,"",COUNTIF($E$4:$E$420,$A442&amp;" ضد "&amp;AR$424)+COUNTIF($E$4:$E$420,AR$424&amp;" ضد "&amp;$A442))</f>
        <v>0</v>
      </c>
      <c r="AS442" s="4">
        <f>IF($A442=AS$424,"",COUNTIF($E$4:$E$420,$A442&amp;" ضد "&amp;AS$424)+COUNTIF($E$4:$E$420,AS$424&amp;" ضد "&amp;$A442))</f>
        <v>0</v>
      </c>
      <c r="AT442" s="4">
        <f>IF($A442=AT$424,"",COUNTIF($E$4:$E$420,$A442&amp;" ضد "&amp;AT$424)+COUNTIF($E$4:$E$420,AT$424&amp;" ضد "&amp;$A442))</f>
        <v>0</v>
      </c>
      <c r="AU442" s="4">
        <f>IF($A442=AU$424,"",COUNTIF($E$4:$E$420,$A442&amp;" ضد "&amp;AU$424)+COUNTIF($E$4:$E$420,AU$424&amp;" ضد "&amp;$A442))</f>
        <v>0</v>
      </c>
    </row>
    <row r="443" spans="1:47" ht="14.5">
      <c r="A443" s="14">
        <v>19</v>
      </c>
      <c r="B443" s="4">
        <f>IF($A443=B$424,"",COUNTIF($E$4:$E$420,$A443&amp;" ضد "&amp;B$424)+COUNTIF($E$4:$E$420,B$424&amp;" ضد "&amp;$A443))</f>
        <v>0</v>
      </c>
      <c r="C443" s="4">
        <f>IF($A443=C$424,"",COUNTIF($E$4:$E$420,$A443&amp;" ضد "&amp;C$424)+COUNTIF($E$4:$E$420,C$424&amp;" ضد "&amp;$A443))</f>
        <v>0</v>
      </c>
      <c r="D443" s="4">
        <f>IF($A443=D$424,"",COUNTIF($E$4:$E$420,$A443&amp;" ضد "&amp;D$424)+COUNTIF($E$4:$E$420,D$424&amp;" ضد "&amp;$A443))</f>
        <v>0</v>
      </c>
      <c r="E443" s="4">
        <f>IF($A443=E$424,"",COUNTIF($E$4:$E$420,$A443&amp;" ضد "&amp;E$424)+COUNTIF($E$4:$E$420,E$424&amp;" ضد "&amp;$A443))</f>
        <v>0</v>
      </c>
      <c r="F443" s="4">
        <f>IF($A443=F$424,"",COUNTIF($E$4:$E$420,$A443&amp;" ضد "&amp;F$424)+COUNTIF($E$4:$E$420,F$424&amp;" ضد "&amp;$A443))</f>
        <v>0</v>
      </c>
      <c r="G443" s="4">
        <f>IF($A443=G$424,"",COUNTIF($E$4:$E$420,$A443&amp;" ضد "&amp;G$424)+COUNTIF($E$4:$E$420,G$424&amp;" ضد "&amp;$A443))</f>
        <v>0</v>
      </c>
      <c r="H443" s="4">
        <f>IF($A443=H$424,"",COUNTIF($E$4:$E$420,$A443&amp;" ضد "&amp;H$424)+COUNTIF($E$4:$E$420,H$424&amp;" ضد "&amp;$A443))</f>
        <v>0</v>
      </c>
      <c r="I443" s="4">
        <f>IF($A443=I$424,"",COUNTIF($E$4:$E$420,$A443&amp;" ضد "&amp;I$424)+COUNTIF($E$4:$E$420,I$424&amp;" ضد "&amp;$A443))</f>
        <v>0</v>
      </c>
      <c r="J443" s="4">
        <f>IF($A443=J$424,"",COUNTIF($E$4:$E$420,$A443&amp;" ضد "&amp;J$424)+COUNTIF($E$4:$E$420,J$424&amp;" ضد "&amp;$A443))</f>
        <v>0</v>
      </c>
      <c r="K443" s="4">
        <f>IF($A443=K$424,"",COUNTIF($E$4:$E$420,$A443&amp;" ضد "&amp;K$424)+COUNTIF($E$4:$E$420,K$424&amp;" ضد "&amp;$A443))</f>
        <v>0</v>
      </c>
      <c r="L443" s="4">
        <f>IF($A443=L$424,"",COUNTIF($E$4:$E$420,$A443&amp;" ضد "&amp;L$424)+COUNTIF($E$4:$E$420,L$424&amp;" ضد "&amp;$A443))</f>
        <v>0</v>
      </c>
      <c r="M443" s="4">
        <f>IF($A443=M$424,"",COUNTIF($E$4:$E$420,$A443&amp;" ضد "&amp;M$424)+COUNTIF($E$4:$E$420,M$424&amp;" ضد "&amp;$A443))</f>
        <v>0</v>
      </c>
      <c r="N443" s="4">
        <f>IF($A443=N$424,"",COUNTIF($E$4:$E$420,$A443&amp;" ضد "&amp;N$424)+COUNTIF($E$4:$E$420,N$424&amp;" ضد "&amp;$A443))</f>
        <v>2</v>
      </c>
      <c r="O443" s="4">
        <f>IF($A443=O$424,"",COUNTIF($E$4:$E$420,$A443&amp;" ضد "&amp;O$424)+COUNTIF($E$4:$E$420,O$424&amp;" ضد "&amp;$A443))</f>
        <v>2</v>
      </c>
      <c r="P443" s="4">
        <f>IF($A443=P$424,"",COUNTIF($E$4:$E$420,$A443&amp;" ضد "&amp;P$424)+COUNTIF($E$4:$E$420,P$424&amp;" ضد "&amp;$A443))</f>
        <v>1</v>
      </c>
      <c r="Q443" s="4">
        <f>IF($A443=Q$424,"",COUNTIF($E$4:$E$420,$A443&amp;" ضد "&amp;Q$424)+COUNTIF($E$4:$E$420,Q$424&amp;" ضد "&amp;$A443))</f>
        <v>2</v>
      </c>
      <c r="R443" s="4">
        <f>IF($A443=R$424,"",COUNTIF($E$4:$E$420,$A443&amp;" ضد "&amp;R$424)+COUNTIF($E$4:$E$420,R$424&amp;" ضد "&amp;$A443))</f>
        <v>2</v>
      </c>
      <c r="S443" s="4">
        <f>IF($A443=S$424,"",COUNTIF($E$4:$E$420,$A443&amp;" ضد "&amp;S$424)+COUNTIF($E$4:$E$420,S$424&amp;" ضد "&amp;$A443))</f>
        <v>2</v>
      </c>
      <c r="T443" s="4" t="str">
        <f>IF($A443=T$424,"",COUNTIF($E$4:$E$420,$A443&amp;" ضد "&amp;T$424)+COUNTIF($E$4:$E$420,T$424&amp;" ضد "&amp;$A443))</f>
        <v/>
      </c>
      <c r="U443" s="4">
        <f>IF($A443=U$424,"",COUNTIF($E$4:$E$420,$A443&amp;" ضد "&amp;U$424)+COUNTIF($E$4:$E$420,U$424&amp;" ضد "&amp;$A443))</f>
        <v>1</v>
      </c>
      <c r="V443" s="4">
        <f>IF($A443=V$424,"",COUNTIF($E$4:$E$420,$A443&amp;" ضد "&amp;V$424)+COUNTIF($E$4:$E$420,V$424&amp;" ضد "&amp;$A443))</f>
        <v>2</v>
      </c>
      <c r="W443" s="4">
        <f>IF($A443=W$424,"",COUNTIF($E$4:$E$420,$A443&amp;" ضد "&amp;W$424)+COUNTIF($E$4:$E$420,W$424&amp;" ضد "&amp;$A443))</f>
        <v>1</v>
      </c>
      <c r="X443" s="4">
        <f>IF($A443=X$424,"",COUNTIF($E$4:$E$420,$A443&amp;" ضد "&amp;X$424)+COUNTIF($E$4:$E$420,X$424&amp;" ضد "&amp;$A443))</f>
        <v>2</v>
      </c>
      <c r="Y443" s="4">
        <f>IF($A443=Y$424,"",COUNTIF($E$4:$E$420,$A443&amp;" ضد "&amp;Y$424)+COUNTIF($E$4:$E$420,Y$424&amp;" ضد "&amp;$A443))</f>
        <v>1</v>
      </c>
      <c r="Z443" s="4">
        <f>IF($A443=Z$424,"",COUNTIF($E$4:$E$420,$A443&amp;" ضد "&amp;Z$424)+COUNTIF($E$4:$E$420,Z$424&amp;" ضد "&amp;$A443))</f>
        <v>0</v>
      </c>
      <c r="AA443" s="4">
        <f>IF($A443=AA$424,"",COUNTIF($E$4:$E$420,$A443&amp;" ضد "&amp;AA$424)+COUNTIF($E$4:$E$420,AA$424&amp;" ضد "&amp;$A443))</f>
        <v>0</v>
      </c>
      <c r="AB443" s="4">
        <f>IF($A443=AB$424,"",COUNTIF($E$4:$E$420,$A443&amp;" ضد "&amp;AB$424)+COUNTIF($E$4:$E$420,AB$424&amp;" ضد "&amp;$A443))</f>
        <v>0</v>
      </c>
      <c r="AC443" s="4">
        <f>IF($A443=AC$424,"",COUNTIF($E$4:$E$420,$A443&amp;" ضد "&amp;AC$424)+COUNTIF($E$4:$E$420,AC$424&amp;" ضد "&amp;$A443))</f>
        <v>0</v>
      </c>
      <c r="AD443" s="4">
        <f>IF($A443=AD$424,"",COUNTIF($E$4:$E$420,$A443&amp;" ضد "&amp;AD$424)+COUNTIF($E$4:$E$420,AD$424&amp;" ضد "&amp;$A443))</f>
        <v>0</v>
      </c>
      <c r="AE443" s="4">
        <f>IF($A443=AE$424,"",COUNTIF($E$4:$E$420,$A443&amp;" ضد "&amp;AE$424)+COUNTIF($E$4:$E$420,AE$424&amp;" ضد "&amp;$A443))</f>
        <v>0</v>
      </c>
      <c r="AF443" s="4">
        <f>IF($A443=AF$424,"",COUNTIF($E$4:$E$420,$A443&amp;" ضد "&amp;AF$424)+COUNTIF($E$4:$E$420,AF$424&amp;" ضد "&amp;$A443))</f>
        <v>0</v>
      </c>
      <c r="AG443" s="4">
        <f>IF($A443=AG$424,"",COUNTIF($E$4:$E$420,$A443&amp;" ضد "&amp;AG$424)+COUNTIF($E$4:$E$420,AG$424&amp;" ضد "&amp;$A443))</f>
        <v>0</v>
      </c>
      <c r="AH443" s="4">
        <f>IF($A443=AH$424,"",COUNTIF($E$4:$E$420,$A443&amp;" ضد "&amp;AH$424)+COUNTIF($E$4:$E$420,AH$424&amp;" ضد "&amp;$A443))</f>
        <v>0</v>
      </c>
      <c r="AI443" s="4">
        <f>IF($A443=AI$424,"",COUNTIF($E$4:$E$420,$A443&amp;" ضد "&amp;AI$424)+COUNTIF($E$4:$E$420,AI$424&amp;" ضد "&amp;$A443))</f>
        <v>0</v>
      </c>
      <c r="AJ443" s="4">
        <f>IF($A443=AJ$424,"",COUNTIF($E$4:$E$420,$A443&amp;" ضد "&amp;AJ$424)+COUNTIF($E$4:$E$420,AJ$424&amp;" ضد "&amp;$A443))</f>
        <v>0</v>
      </c>
      <c r="AK443" s="4">
        <f>IF($A443=AK$424,"",COUNTIF($E$4:$E$420,$A443&amp;" ضد "&amp;AK$424)+COUNTIF($E$4:$E$420,AK$424&amp;" ضد "&amp;$A443))</f>
        <v>0</v>
      </c>
      <c r="AL443" s="4">
        <f>IF($A443=AL$424,"",COUNTIF($E$4:$E$420,$A443&amp;" ضد "&amp;AL$424)+COUNTIF($E$4:$E$420,AL$424&amp;" ضد "&amp;$A443))</f>
        <v>0</v>
      </c>
      <c r="AM443" s="4">
        <f>IF($A443=AM$424,"",COUNTIF($E$4:$E$420,$A443&amp;" ضد "&amp;AM$424)+COUNTIF($E$4:$E$420,AM$424&amp;" ضد "&amp;$A443))</f>
        <v>0</v>
      </c>
      <c r="AN443" s="4">
        <f>IF($A443=AN$424,"",COUNTIF($E$4:$E$420,$A443&amp;" ضد "&amp;AN$424)+COUNTIF($E$4:$E$420,AN$424&amp;" ضد "&amp;$A443))</f>
        <v>0</v>
      </c>
      <c r="AO443" s="4">
        <f>IF($A443=AO$424,"",COUNTIF($E$4:$E$420,$A443&amp;" ضد "&amp;AO$424)+COUNTIF($E$4:$E$420,AO$424&amp;" ضد "&amp;$A443))</f>
        <v>0</v>
      </c>
      <c r="AP443" s="4">
        <f>IF($A443=AP$424,"",COUNTIF($E$4:$E$420,$A443&amp;" ضد "&amp;AP$424)+COUNTIF($E$4:$E$420,AP$424&amp;" ضد "&amp;$A443))</f>
        <v>0</v>
      </c>
      <c r="AQ443" s="4">
        <f>IF($A443=AQ$424,"",COUNTIF($E$4:$E$420,$A443&amp;" ضد "&amp;AQ$424)+COUNTIF($E$4:$E$420,AQ$424&amp;" ضد "&amp;$A443))</f>
        <v>0</v>
      </c>
      <c r="AR443" s="4">
        <f>IF($A443=AR$424,"",COUNTIF($E$4:$E$420,$A443&amp;" ضد "&amp;AR$424)+COUNTIF($E$4:$E$420,AR$424&amp;" ضد "&amp;$A443))</f>
        <v>0</v>
      </c>
      <c r="AS443" s="4">
        <f>IF($A443=AS$424,"",COUNTIF($E$4:$E$420,$A443&amp;" ضد "&amp;AS$424)+COUNTIF($E$4:$E$420,AS$424&amp;" ضد "&amp;$A443))</f>
        <v>0</v>
      </c>
      <c r="AT443" s="4">
        <f>IF($A443=AT$424,"",COUNTIF($E$4:$E$420,$A443&amp;" ضد "&amp;AT$424)+COUNTIF($E$4:$E$420,AT$424&amp;" ضد "&amp;$A443))</f>
        <v>0</v>
      </c>
      <c r="AU443" s="4">
        <f>IF($A443=AU$424,"",COUNTIF($E$4:$E$420,$A443&amp;" ضد "&amp;AU$424)+COUNTIF($E$4:$E$420,AU$424&amp;" ضد "&amp;$A443))</f>
        <v>0</v>
      </c>
    </row>
    <row r="444" spans="1:47" ht="14.5">
      <c r="A444" s="14">
        <v>20</v>
      </c>
      <c r="B444" s="4">
        <f>IF($A444=B$424,"",COUNTIF($E$4:$E$420,$A444&amp;" ضد "&amp;B$424)+COUNTIF($E$4:$E$420,B$424&amp;" ضد "&amp;$A444))</f>
        <v>0</v>
      </c>
      <c r="C444" s="4">
        <f>IF($A444=C$424,"",COUNTIF($E$4:$E$420,$A444&amp;" ضد "&amp;C$424)+COUNTIF($E$4:$E$420,C$424&amp;" ضد "&amp;$A444))</f>
        <v>0</v>
      </c>
      <c r="D444" s="4">
        <f>IF($A444=D$424,"",COUNTIF($E$4:$E$420,$A444&amp;" ضد "&amp;D$424)+COUNTIF($E$4:$E$420,D$424&amp;" ضد "&amp;$A444))</f>
        <v>0</v>
      </c>
      <c r="E444" s="4">
        <f>IF($A444=E$424,"",COUNTIF($E$4:$E$420,$A444&amp;" ضد "&amp;E$424)+COUNTIF($E$4:$E$420,E$424&amp;" ضد "&amp;$A444))</f>
        <v>0</v>
      </c>
      <c r="F444" s="4">
        <f>IF($A444=F$424,"",COUNTIF($E$4:$E$420,$A444&amp;" ضد "&amp;F$424)+COUNTIF($E$4:$E$420,F$424&amp;" ضد "&amp;$A444))</f>
        <v>0</v>
      </c>
      <c r="G444" s="4">
        <f>IF($A444=G$424,"",COUNTIF($E$4:$E$420,$A444&amp;" ضد "&amp;G$424)+COUNTIF($E$4:$E$420,G$424&amp;" ضد "&amp;$A444))</f>
        <v>0</v>
      </c>
      <c r="H444" s="4">
        <f>IF($A444=H$424,"",COUNTIF($E$4:$E$420,$A444&amp;" ضد "&amp;H$424)+COUNTIF($E$4:$E$420,H$424&amp;" ضد "&amp;$A444))</f>
        <v>0</v>
      </c>
      <c r="I444" s="4">
        <f>IF($A444=I$424,"",COUNTIF($E$4:$E$420,$A444&amp;" ضد "&amp;I$424)+COUNTIF($E$4:$E$420,I$424&amp;" ضد "&amp;$A444))</f>
        <v>0</v>
      </c>
      <c r="J444" s="4">
        <f>IF($A444=J$424,"",COUNTIF($E$4:$E$420,$A444&amp;" ضد "&amp;J$424)+COUNTIF($E$4:$E$420,J$424&amp;" ضد "&amp;$A444))</f>
        <v>0</v>
      </c>
      <c r="K444" s="4">
        <f>IF($A444=K$424,"",COUNTIF($E$4:$E$420,$A444&amp;" ضد "&amp;K$424)+COUNTIF($E$4:$E$420,K$424&amp;" ضد "&amp;$A444))</f>
        <v>0</v>
      </c>
      <c r="L444" s="4">
        <f>IF($A444=L$424,"",COUNTIF($E$4:$E$420,$A444&amp;" ضد "&amp;L$424)+COUNTIF($E$4:$E$420,L$424&amp;" ضد "&amp;$A444))</f>
        <v>0</v>
      </c>
      <c r="M444" s="4">
        <f>IF($A444=M$424,"",COUNTIF($E$4:$E$420,$A444&amp;" ضد "&amp;M$424)+COUNTIF($E$4:$E$420,M$424&amp;" ضد "&amp;$A444))</f>
        <v>0</v>
      </c>
      <c r="N444" s="4">
        <f>IF($A444=N$424,"",COUNTIF($E$4:$E$420,$A444&amp;" ضد "&amp;N$424)+COUNTIF($E$4:$E$420,N$424&amp;" ضد "&amp;$A444))</f>
        <v>2</v>
      </c>
      <c r="O444" s="4">
        <f>IF($A444=O$424,"",COUNTIF($E$4:$E$420,$A444&amp;" ضد "&amp;O$424)+COUNTIF($E$4:$E$420,O$424&amp;" ضد "&amp;$A444))</f>
        <v>1</v>
      </c>
      <c r="P444" s="4">
        <f>IF($A444=P$424,"",COUNTIF($E$4:$E$420,$A444&amp;" ضد "&amp;P$424)+COUNTIF($E$4:$E$420,P$424&amp;" ضد "&amp;$A444))</f>
        <v>2</v>
      </c>
      <c r="Q444" s="4">
        <f>IF($A444=Q$424,"",COUNTIF($E$4:$E$420,$A444&amp;" ضد "&amp;Q$424)+COUNTIF($E$4:$E$420,Q$424&amp;" ضد "&amp;$A444))</f>
        <v>2</v>
      </c>
      <c r="R444" s="4">
        <f>IF($A444=R$424,"",COUNTIF($E$4:$E$420,$A444&amp;" ضد "&amp;R$424)+COUNTIF($E$4:$E$420,R$424&amp;" ضد "&amp;$A444))</f>
        <v>2</v>
      </c>
      <c r="S444" s="4">
        <f>IF($A444=S$424,"",COUNTIF($E$4:$E$420,$A444&amp;" ضد "&amp;S$424)+COUNTIF($E$4:$E$420,S$424&amp;" ضد "&amp;$A444))</f>
        <v>2</v>
      </c>
      <c r="T444" s="4">
        <f>IF($A444=T$424,"",COUNTIF($E$4:$E$420,$A444&amp;" ضد "&amp;T$424)+COUNTIF($E$4:$E$420,T$424&amp;" ضد "&amp;$A444))</f>
        <v>1</v>
      </c>
      <c r="U444" s="4" t="str">
        <f>IF($A444=U$424,"",COUNTIF($E$4:$E$420,$A444&amp;" ضد "&amp;U$424)+COUNTIF($E$4:$E$420,U$424&amp;" ضد "&amp;$A444))</f>
        <v/>
      </c>
      <c r="V444" s="4">
        <f>IF($A444=V$424,"",COUNTIF($E$4:$E$420,$A444&amp;" ضد "&amp;V$424)+COUNTIF($E$4:$E$420,V$424&amp;" ضد "&amp;$A444))</f>
        <v>1</v>
      </c>
      <c r="W444" s="4">
        <f>IF($A444=W$424,"",COUNTIF($E$4:$E$420,$A444&amp;" ضد "&amp;W$424)+COUNTIF($E$4:$E$420,W$424&amp;" ضد "&amp;$A444))</f>
        <v>2</v>
      </c>
      <c r="X444" s="4">
        <f>IF($A444=X$424,"",COUNTIF($E$4:$E$420,$A444&amp;" ضد "&amp;X$424)+COUNTIF($E$4:$E$420,X$424&amp;" ضد "&amp;$A444))</f>
        <v>1</v>
      </c>
      <c r="Y444" s="4">
        <f>IF($A444=Y$424,"",COUNTIF($E$4:$E$420,$A444&amp;" ضد "&amp;Y$424)+COUNTIF($E$4:$E$420,Y$424&amp;" ضد "&amp;$A444))</f>
        <v>2</v>
      </c>
      <c r="Z444" s="4">
        <f>IF($A444=Z$424,"",COUNTIF($E$4:$E$420,$A444&amp;" ضد "&amp;Z$424)+COUNTIF($E$4:$E$420,Z$424&amp;" ضد "&amp;$A444))</f>
        <v>0</v>
      </c>
      <c r="AA444" s="4">
        <f>IF($A444=AA$424,"",COUNTIF($E$4:$E$420,$A444&amp;" ضد "&amp;AA$424)+COUNTIF($E$4:$E$420,AA$424&amp;" ضد "&amp;$A444))</f>
        <v>0</v>
      </c>
      <c r="AB444" s="4">
        <f>IF($A444=AB$424,"",COUNTIF($E$4:$E$420,$A444&amp;" ضد "&amp;AB$424)+COUNTIF($E$4:$E$420,AB$424&amp;" ضد "&amp;$A444))</f>
        <v>0</v>
      </c>
      <c r="AC444" s="4">
        <f>IF($A444=AC$424,"",COUNTIF($E$4:$E$420,$A444&amp;" ضد "&amp;AC$424)+COUNTIF($E$4:$E$420,AC$424&amp;" ضد "&amp;$A444))</f>
        <v>0</v>
      </c>
      <c r="AD444" s="4">
        <f>IF($A444=AD$424,"",COUNTIF($E$4:$E$420,$A444&amp;" ضد "&amp;AD$424)+COUNTIF($E$4:$E$420,AD$424&amp;" ضد "&amp;$A444))</f>
        <v>0</v>
      </c>
      <c r="AE444" s="4">
        <f>IF($A444=AE$424,"",COUNTIF($E$4:$E$420,$A444&amp;" ضد "&amp;AE$424)+COUNTIF($E$4:$E$420,AE$424&amp;" ضد "&amp;$A444))</f>
        <v>0</v>
      </c>
      <c r="AF444" s="4">
        <f>IF($A444=AF$424,"",COUNTIF($E$4:$E$420,$A444&amp;" ضد "&amp;AF$424)+COUNTIF($E$4:$E$420,AF$424&amp;" ضد "&amp;$A444))</f>
        <v>0</v>
      </c>
      <c r="AG444" s="4">
        <f>IF($A444=AG$424,"",COUNTIF($E$4:$E$420,$A444&amp;" ضد "&amp;AG$424)+COUNTIF($E$4:$E$420,AG$424&amp;" ضد "&amp;$A444))</f>
        <v>0</v>
      </c>
      <c r="AH444" s="4">
        <f>IF($A444=AH$424,"",COUNTIF($E$4:$E$420,$A444&amp;" ضد "&amp;AH$424)+COUNTIF($E$4:$E$420,AH$424&amp;" ضد "&amp;$A444))</f>
        <v>0</v>
      </c>
      <c r="AI444" s="4">
        <f>IF($A444=AI$424,"",COUNTIF($E$4:$E$420,$A444&amp;" ضد "&amp;AI$424)+COUNTIF($E$4:$E$420,AI$424&amp;" ضد "&amp;$A444))</f>
        <v>0</v>
      </c>
      <c r="AJ444" s="4">
        <f>IF($A444=AJ$424,"",COUNTIF($E$4:$E$420,$A444&amp;" ضد "&amp;AJ$424)+COUNTIF($E$4:$E$420,AJ$424&amp;" ضد "&amp;$A444))</f>
        <v>0</v>
      </c>
      <c r="AK444" s="4">
        <f>IF($A444=AK$424,"",COUNTIF($E$4:$E$420,$A444&amp;" ضد "&amp;AK$424)+COUNTIF($E$4:$E$420,AK$424&amp;" ضد "&amp;$A444))</f>
        <v>0</v>
      </c>
      <c r="AL444" s="4">
        <f>IF($A444=AL$424,"",COUNTIF($E$4:$E$420,$A444&amp;" ضد "&amp;AL$424)+COUNTIF($E$4:$E$420,AL$424&amp;" ضد "&amp;$A444))</f>
        <v>0</v>
      </c>
      <c r="AM444" s="4">
        <f>IF($A444=AM$424,"",COUNTIF($E$4:$E$420,$A444&amp;" ضد "&amp;AM$424)+COUNTIF($E$4:$E$420,AM$424&amp;" ضد "&amp;$A444))</f>
        <v>0</v>
      </c>
      <c r="AN444" s="4">
        <f>IF($A444=AN$424,"",COUNTIF($E$4:$E$420,$A444&amp;" ضد "&amp;AN$424)+COUNTIF($E$4:$E$420,AN$424&amp;" ضد "&amp;$A444))</f>
        <v>0</v>
      </c>
      <c r="AO444" s="4">
        <f>IF($A444=AO$424,"",COUNTIF($E$4:$E$420,$A444&amp;" ضد "&amp;AO$424)+COUNTIF($E$4:$E$420,AO$424&amp;" ضد "&amp;$A444))</f>
        <v>0</v>
      </c>
      <c r="AP444" s="4">
        <f>IF($A444=AP$424,"",COUNTIF($E$4:$E$420,$A444&amp;" ضد "&amp;AP$424)+COUNTIF($E$4:$E$420,AP$424&amp;" ضد "&amp;$A444))</f>
        <v>0</v>
      </c>
      <c r="AQ444" s="4">
        <f>IF($A444=AQ$424,"",COUNTIF($E$4:$E$420,$A444&amp;" ضد "&amp;AQ$424)+COUNTIF($E$4:$E$420,AQ$424&amp;" ضد "&amp;$A444))</f>
        <v>0</v>
      </c>
      <c r="AR444" s="4">
        <f>IF($A444=AR$424,"",COUNTIF($E$4:$E$420,$A444&amp;" ضد "&amp;AR$424)+COUNTIF($E$4:$E$420,AR$424&amp;" ضد "&amp;$A444))</f>
        <v>0</v>
      </c>
      <c r="AS444" s="4">
        <f>IF($A444=AS$424,"",COUNTIF($E$4:$E$420,$A444&amp;" ضد "&amp;AS$424)+COUNTIF($E$4:$E$420,AS$424&amp;" ضد "&amp;$A444))</f>
        <v>0</v>
      </c>
      <c r="AT444" s="4">
        <f>IF($A444=AT$424,"",COUNTIF($E$4:$E$420,$A444&amp;" ضد "&amp;AT$424)+COUNTIF($E$4:$E$420,AT$424&amp;" ضد "&amp;$A444))</f>
        <v>0</v>
      </c>
      <c r="AU444" s="4">
        <f>IF($A444=AU$424,"",COUNTIF($E$4:$E$420,$A444&amp;" ضد "&amp;AU$424)+COUNTIF($E$4:$E$420,AU$424&amp;" ضد "&amp;$A444))</f>
        <v>0</v>
      </c>
    </row>
    <row r="445" spans="1:47" ht="14.5">
      <c r="A445" s="14">
        <v>21</v>
      </c>
      <c r="B445" s="4">
        <f>IF($A445=B$424,"",COUNTIF($E$4:$E$420,$A445&amp;" ضد "&amp;B$424)+COUNTIF($E$4:$E$420,B$424&amp;" ضد "&amp;$A445))</f>
        <v>0</v>
      </c>
      <c r="C445" s="4">
        <f>IF($A445=C$424,"",COUNTIF($E$4:$E$420,$A445&amp;" ضد "&amp;C$424)+COUNTIF($E$4:$E$420,C$424&amp;" ضد "&amp;$A445))</f>
        <v>0</v>
      </c>
      <c r="D445" s="4">
        <f>IF($A445=D$424,"",COUNTIF($E$4:$E$420,$A445&amp;" ضد "&amp;D$424)+COUNTIF($E$4:$E$420,D$424&amp;" ضد "&amp;$A445))</f>
        <v>0</v>
      </c>
      <c r="E445" s="4">
        <f>IF($A445=E$424,"",COUNTIF($E$4:$E$420,$A445&amp;" ضد "&amp;E$424)+COUNTIF($E$4:$E$420,E$424&amp;" ضد "&amp;$A445))</f>
        <v>0</v>
      </c>
      <c r="F445" s="4">
        <f>IF($A445=F$424,"",COUNTIF($E$4:$E$420,$A445&amp;" ضد "&amp;F$424)+COUNTIF($E$4:$E$420,F$424&amp;" ضد "&amp;$A445))</f>
        <v>0</v>
      </c>
      <c r="G445" s="4">
        <f>IF($A445=G$424,"",COUNTIF($E$4:$E$420,$A445&amp;" ضد "&amp;G$424)+COUNTIF($E$4:$E$420,G$424&amp;" ضد "&amp;$A445))</f>
        <v>0</v>
      </c>
      <c r="H445" s="4">
        <f>IF($A445=H$424,"",COUNTIF($E$4:$E$420,$A445&amp;" ضد "&amp;H$424)+COUNTIF($E$4:$E$420,H$424&amp;" ضد "&amp;$A445))</f>
        <v>0</v>
      </c>
      <c r="I445" s="4">
        <f>IF($A445=I$424,"",COUNTIF($E$4:$E$420,$A445&amp;" ضد "&amp;I$424)+COUNTIF($E$4:$E$420,I$424&amp;" ضد "&amp;$A445))</f>
        <v>0</v>
      </c>
      <c r="J445" s="4">
        <f>IF($A445=J$424,"",COUNTIF($E$4:$E$420,$A445&amp;" ضد "&amp;J$424)+COUNTIF($E$4:$E$420,J$424&amp;" ضد "&amp;$A445))</f>
        <v>0</v>
      </c>
      <c r="K445" s="4">
        <f>IF($A445=K$424,"",COUNTIF($E$4:$E$420,$A445&amp;" ضد "&amp;K$424)+COUNTIF($E$4:$E$420,K$424&amp;" ضد "&amp;$A445))</f>
        <v>0</v>
      </c>
      <c r="L445" s="4">
        <f>IF($A445=L$424,"",COUNTIF($E$4:$E$420,$A445&amp;" ضد "&amp;L$424)+COUNTIF($E$4:$E$420,L$424&amp;" ضد "&amp;$A445))</f>
        <v>0</v>
      </c>
      <c r="M445" s="4">
        <f>IF($A445=M$424,"",COUNTIF($E$4:$E$420,$A445&amp;" ضد "&amp;M$424)+COUNTIF($E$4:$E$420,M$424&amp;" ضد "&amp;$A445))</f>
        <v>0</v>
      </c>
      <c r="N445" s="4">
        <f>IF($A445=N$424,"",COUNTIF($E$4:$E$420,$A445&amp;" ضد "&amp;N$424)+COUNTIF($E$4:$E$420,N$424&amp;" ضد "&amp;$A445))</f>
        <v>2</v>
      </c>
      <c r="O445" s="4">
        <f>IF($A445=O$424,"",COUNTIF($E$4:$E$420,$A445&amp;" ضد "&amp;O$424)+COUNTIF($E$4:$E$420,O$424&amp;" ضد "&amp;$A445))</f>
        <v>2</v>
      </c>
      <c r="P445" s="4">
        <f>IF($A445=P$424,"",COUNTIF($E$4:$E$420,$A445&amp;" ضد "&amp;P$424)+COUNTIF($E$4:$E$420,P$424&amp;" ضد "&amp;$A445))</f>
        <v>2</v>
      </c>
      <c r="Q445" s="4">
        <f>IF($A445=Q$424,"",COUNTIF($E$4:$E$420,$A445&amp;" ضد "&amp;Q$424)+COUNTIF($E$4:$E$420,Q$424&amp;" ضد "&amp;$A445))</f>
        <v>2</v>
      </c>
      <c r="R445" s="4">
        <f>IF($A445=R$424,"",COUNTIF($E$4:$E$420,$A445&amp;" ضد "&amp;R$424)+COUNTIF($E$4:$E$420,R$424&amp;" ضد "&amp;$A445))</f>
        <v>2</v>
      </c>
      <c r="S445" s="4">
        <f>IF($A445=S$424,"",COUNTIF($E$4:$E$420,$A445&amp;" ضد "&amp;S$424)+COUNTIF($E$4:$E$420,S$424&amp;" ضد "&amp;$A445))</f>
        <v>1</v>
      </c>
      <c r="T445" s="4">
        <f>IF($A445=T$424,"",COUNTIF($E$4:$E$420,$A445&amp;" ضد "&amp;T$424)+COUNTIF($E$4:$E$420,T$424&amp;" ضد "&amp;$A445))</f>
        <v>2</v>
      </c>
      <c r="U445" s="4">
        <f>IF($A445=U$424,"",COUNTIF($E$4:$E$420,$A445&amp;" ضد "&amp;U$424)+COUNTIF($E$4:$E$420,U$424&amp;" ضد "&amp;$A445))</f>
        <v>1</v>
      </c>
      <c r="V445" s="4" t="str">
        <f>IF($A445=V$424,"",COUNTIF($E$4:$E$420,$A445&amp;" ضد "&amp;V$424)+COUNTIF($E$4:$E$420,V$424&amp;" ضد "&amp;$A445))</f>
        <v/>
      </c>
      <c r="W445" s="4">
        <f>IF($A445=W$424,"",COUNTIF($E$4:$E$420,$A445&amp;" ضد "&amp;W$424)+COUNTIF($E$4:$E$420,W$424&amp;" ضد "&amp;$A445))</f>
        <v>1</v>
      </c>
      <c r="X445" s="4">
        <f>IF($A445=X$424,"",COUNTIF($E$4:$E$420,$A445&amp;" ضد "&amp;X$424)+COUNTIF($E$4:$E$420,X$424&amp;" ضد "&amp;$A445))</f>
        <v>2</v>
      </c>
      <c r="Y445" s="4">
        <f>IF($A445=Y$424,"",COUNTIF($E$4:$E$420,$A445&amp;" ضد "&amp;Y$424)+COUNTIF($E$4:$E$420,Y$424&amp;" ضد "&amp;$A445))</f>
        <v>1</v>
      </c>
      <c r="Z445" s="4">
        <f>IF($A445=Z$424,"",COUNTIF($E$4:$E$420,$A445&amp;" ضد "&amp;Z$424)+COUNTIF($E$4:$E$420,Z$424&amp;" ضد "&amp;$A445))</f>
        <v>0</v>
      </c>
      <c r="AA445" s="4">
        <f>IF($A445=AA$424,"",COUNTIF($E$4:$E$420,$A445&amp;" ضد "&amp;AA$424)+COUNTIF($E$4:$E$420,AA$424&amp;" ضد "&amp;$A445))</f>
        <v>0</v>
      </c>
      <c r="AB445" s="4">
        <f>IF($A445=AB$424,"",COUNTIF($E$4:$E$420,$A445&amp;" ضد "&amp;AB$424)+COUNTIF($E$4:$E$420,AB$424&amp;" ضد "&amp;$A445))</f>
        <v>0</v>
      </c>
      <c r="AC445" s="4">
        <f>IF($A445=AC$424,"",COUNTIF($E$4:$E$420,$A445&amp;" ضد "&amp;AC$424)+COUNTIF($E$4:$E$420,AC$424&amp;" ضد "&amp;$A445))</f>
        <v>0</v>
      </c>
      <c r="AD445" s="4">
        <f>IF($A445=AD$424,"",COUNTIF($E$4:$E$420,$A445&amp;" ضد "&amp;AD$424)+COUNTIF($E$4:$E$420,AD$424&amp;" ضد "&amp;$A445))</f>
        <v>0</v>
      </c>
      <c r="AE445" s="4">
        <f>IF($A445=AE$424,"",COUNTIF($E$4:$E$420,$A445&amp;" ضد "&amp;AE$424)+COUNTIF($E$4:$E$420,AE$424&amp;" ضد "&amp;$A445))</f>
        <v>0</v>
      </c>
      <c r="AF445" s="4">
        <f>IF($A445=AF$424,"",COUNTIF($E$4:$E$420,$A445&amp;" ضد "&amp;AF$424)+COUNTIF($E$4:$E$420,AF$424&amp;" ضد "&amp;$A445))</f>
        <v>0</v>
      </c>
      <c r="AG445" s="4">
        <f>IF($A445=AG$424,"",COUNTIF($E$4:$E$420,$A445&amp;" ضد "&amp;AG$424)+COUNTIF($E$4:$E$420,AG$424&amp;" ضد "&amp;$A445))</f>
        <v>0</v>
      </c>
      <c r="AH445" s="4">
        <f>IF($A445=AH$424,"",COUNTIF($E$4:$E$420,$A445&amp;" ضد "&amp;AH$424)+COUNTIF($E$4:$E$420,AH$424&amp;" ضد "&amp;$A445))</f>
        <v>0</v>
      </c>
      <c r="AI445" s="4">
        <f>IF($A445=AI$424,"",COUNTIF($E$4:$E$420,$A445&amp;" ضد "&amp;AI$424)+COUNTIF($E$4:$E$420,AI$424&amp;" ضد "&amp;$A445))</f>
        <v>0</v>
      </c>
      <c r="AJ445" s="4">
        <f>IF($A445=AJ$424,"",COUNTIF($E$4:$E$420,$A445&amp;" ضد "&amp;AJ$424)+COUNTIF($E$4:$E$420,AJ$424&amp;" ضد "&amp;$A445))</f>
        <v>0</v>
      </c>
      <c r="AK445" s="4">
        <f>IF($A445=AK$424,"",COUNTIF($E$4:$E$420,$A445&amp;" ضد "&amp;AK$424)+COUNTIF($E$4:$E$420,AK$424&amp;" ضد "&amp;$A445))</f>
        <v>0</v>
      </c>
      <c r="AL445" s="4">
        <f>IF($A445=AL$424,"",COUNTIF($E$4:$E$420,$A445&amp;" ضد "&amp;AL$424)+COUNTIF($E$4:$E$420,AL$424&amp;" ضد "&amp;$A445))</f>
        <v>0</v>
      </c>
      <c r="AM445" s="4">
        <f>IF($A445=AM$424,"",COUNTIF($E$4:$E$420,$A445&amp;" ضد "&amp;AM$424)+COUNTIF($E$4:$E$420,AM$424&amp;" ضد "&amp;$A445))</f>
        <v>0</v>
      </c>
      <c r="AN445" s="4">
        <f>IF($A445=AN$424,"",COUNTIF($E$4:$E$420,$A445&amp;" ضد "&amp;AN$424)+COUNTIF($E$4:$E$420,AN$424&amp;" ضد "&amp;$A445))</f>
        <v>0</v>
      </c>
      <c r="AO445" s="4">
        <f>IF($A445=AO$424,"",COUNTIF($E$4:$E$420,$A445&amp;" ضد "&amp;AO$424)+COUNTIF($E$4:$E$420,AO$424&amp;" ضد "&amp;$A445))</f>
        <v>0</v>
      </c>
      <c r="AP445" s="4">
        <f>IF($A445=AP$424,"",COUNTIF($E$4:$E$420,$A445&amp;" ضد "&amp;AP$424)+COUNTIF($E$4:$E$420,AP$424&amp;" ضد "&amp;$A445))</f>
        <v>0</v>
      </c>
      <c r="AQ445" s="4">
        <f>IF($A445=AQ$424,"",COUNTIF($E$4:$E$420,$A445&amp;" ضد "&amp;AQ$424)+COUNTIF($E$4:$E$420,AQ$424&amp;" ضد "&amp;$A445))</f>
        <v>0</v>
      </c>
      <c r="AR445" s="4">
        <f>IF($A445=AR$424,"",COUNTIF($E$4:$E$420,$A445&amp;" ضد "&amp;AR$424)+COUNTIF($E$4:$E$420,AR$424&amp;" ضد "&amp;$A445))</f>
        <v>0</v>
      </c>
      <c r="AS445" s="4">
        <f>IF($A445=AS$424,"",COUNTIF($E$4:$E$420,$A445&amp;" ضد "&amp;AS$424)+COUNTIF($E$4:$E$420,AS$424&amp;" ضد "&amp;$A445))</f>
        <v>0</v>
      </c>
      <c r="AT445" s="4">
        <f>IF($A445=AT$424,"",COUNTIF($E$4:$E$420,$A445&amp;" ضد "&amp;AT$424)+COUNTIF($E$4:$E$420,AT$424&amp;" ضد "&amp;$A445))</f>
        <v>0</v>
      </c>
      <c r="AU445" s="4">
        <f>IF($A445=AU$424,"",COUNTIF($E$4:$E$420,$A445&amp;" ضد "&amp;AU$424)+COUNTIF($E$4:$E$420,AU$424&amp;" ضد "&amp;$A445))</f>
        <v>0</v>
      </c>
    </row>
    <row r="446" spans="1:47" ht="14.5">
      <c r="A446" s="14">
        <v>22</v>
      </c>
      <c r="B446" s="4">
        <f>IF($A446=B$424,"",COUNTIF($E$4:$E$420,$A446&amp;" ضد "&amp;B$424)+COUNTIF($E$4:$E$420,B$424&amp;" ضد "&amp;$A446))</f>
        <v>0</v>
      </c>
      <c r="C446" s="4">
        <f>IF($A446=C$424,"",COUNTIF($E$4:$E$420,$A446&amp;" ضد "&amp;C$424)+COUNTIF($E$4:$E$420,C$424&amp;" ضد "&amp;$A446))</f>
        <v>0</v>
      </c>
      <c r="D446" s="4">
        <f>IF($A446=D$424,"",COUNTIF($E$4:$E$420,$A446&amp;" ضد "&amp;D$424)+COUNTIF($E$4:$E$420,D$424&amp;" ضد "&amp;$A446))</f>
        <v>0</v>
      </c>
      <c r="E446" s="4">
        <f>IF($A446=E$424,"",COUNTIF($E$4:$E$420,$A446&amp;" ضد "&amp;E$424)+COUNTIF($E$4:$E$420,E$424&amp;" ضد "&amp;$A446))</f>
        <v>0</v>
      </c>
      <c r="F446" s="4">
        <f>IF($A446=F$424,"",COUNTIF($E$4:$E$420,$A446&amp;" ضد "&amp;F$424)+COUNTIF($E$4:$E$420,F$424&amp;" ضد "&amp;$A446))</f>
        <v>0</v>
      </c>
      <c r="G446" s="4">
        <f>IF($A446=G$424,"",COUNTIF($E$4:$E$420,$A446&amp;" ضد "&amp;G$424)+COUNTIF($E$4:$E$420,G$424&amp;" ضد "&amp;$A446))</f>
        <v>0</v>
      </c>
      <c r="H446" s="4">
        <f>IF($A446=H$424,"",COUNTIF($E$4:$E$420,$A446&amp;" ضد "&amp;H$424)+COUNTIF($E$4:$E$420,H$424&amp;" ضد "&amp;$A446))</f>
        <v>0</v>
      </c>
      <c r="I446" s="4">
        <f>IF($A446=I$424,"",COUNTIF($E$4:$E$420,$A446&amp;" ضد "&amp;I$424)+COUNTIF($E$4:$E$420,I$424&amp;" ضد "&amp;$A446))</f>
        <v>0</v>
      </c>
      <c r="J446" s="4">
        <f>IF($A446=J$424,"",COUNTIF($E$4:$E$420,$A446&amp;" ضد "&amp;J$424)+COUNTIF($E$4:$E$420,J$424&amp;" ضد "&amp;$A446))</f>
        <v>0</v>
      </c>
      <c r="K446" s="4">
        <f>IF($A446=K$424,"",COUNTIF($E$4:$E$420,$A446&amp;" ضد "&amp;K$424)+COUNTIF($E$4:$E$420,K$424&amp;" ضد "&amp;$A446))</f>
        <v>0</v>
      </c>
      <c r="L446" s="4">
        <f>IF($A446=L$424,"",COUNTIF($E$4:$E$420,$A446&amp;" ضد "&amp;L$424)+COUNTIF($E$4:$E$420,L$424&amp;" ضد "&amp;$A446))</f>
        <v>0</v>
      </c>
      <c r="M446" s="4">
        <f>IF($A446=M$424,"",COUNTIF($E$4:$E$420,$A446&amp;" ضد "&amp;M$424)+COUNTIF($E$4:$E$420,M$424&amp;" ضد "&amp;$A446))</f>
        <v>0</v>
      </c>
      <c r="N446" s="4">
        <f>IF($A446=N$424,"",COUNTIF($E$4:$E$420,$A446&amp;" ضد "&amp;N$424)+COUNTIF($E$4:$E$420,N$424&amp;" ضد "&amp;$A446))</f>
        <v>2</v>
      </c>
      <c r="O446" s="4">
        <f>IF($A446=O$424,"",COUNTIF($E$4:$E$420,$A446&amp;" ضد "&amp;O$424)+COUNTIF($E$4:$E$420,O$424&amp;" ضد "&amp;$A446))</f>
        <v>2</v>
      </c>
      <c r="P446" s="4">
        <f>IF($A446=P$424,"",COUNTIF($E$4:$E$420,$A446&amp;" ضد "&amp;P$424)+COUNTIF($E$4:$E$420,P$424&amp;" ضد "&amp;$A446))</f>
        <v>2</v>
      </c>
      <c r="Q446" s="4">
        <f>IF($A446=Q$424,"",COUNTIF($E$4:$E$420,$A446&amp;" ضد "&amp;Q$424)+COUNTIF($E$4:$E$420,Q$424&amp;" ضد "&amp;$A446))</f>
        <v>2</v>
      </c>
      <c r="R446" s="4">
        <f>IF($A446=R$424,"",COUNTIF($E$4:$E$420,$A446&amp;" ضد "&amp;R$424)+COUNTIF($E$4:$E$420,R$424&amp;" ضد "&amp;$A446))</f>
        <v>1</v>
      </c>
      <c r="S446" s="4">
        <f>IF($A446=S$424,"",COUNTIF($E$4:$E$420,$A446&amp;" ضد "&amp;S$424)+COUNTIF($E$4:$E$420,S$424&amp;" ضد "&amp;$A446))</f>
        <v>2</v>
      </c>
      <c r="T446" s="4">
        <f>IF($A446=T$424,"",COUNTIF($E$4:$E$420,$A446&amp;" ضد "&amp;T$424)+COUNTIF($E$4:$E$420,T$424&amp;" ضد "&amp;$A446))</f>
        <v>1</v>
      </c>
      <c r="U446" s="4">
        <f>IF($A446=U$424,"",COUNTIF($E$4:$E$420,$A446&amp;" ضد "&amp;U$424)+COUNTIF($E$4:$E$420,U$424&amp;" ضد "&amp;$A446))</f>
        <v>2</v>
      </c>
      <c r="V446" s="4">
        <f>IF($A446=V$424,"",COUNTIF($E$4:$E$420,$A446&amp;" ضد "&amp;V$424)+COUNTIF($E$4:$E$420,V$424&amp;" ضد "&amp;$A446))</f>
        <v>1</v>
      </c>
      <c r="W446" s="4" t="str">
        <f>IF($A446=W$424,"",COUNTIF($E$4:$E$420,$A446&amp;" ضد "&amp;W$424)+COUNTIF($E$4:$E$420,W$424&amp;" ضد "&amp;$A446))</f>
        <v/>
      </c>
      <c r="X446" s="4">
        <f>IF($A446=X$424,"",COUNTIF($E$4:$E$420,$A446&amp;" ضد "&amp;X$424)+COUNTIF($E$4:$E$420,X$424&amp;" ضد "&amp;$A446))</f>
        <v>1</v>
      </c>
      <c r="Y446" s="4">
        <f>IF($A446=Y$424,"",COUNTIF($E$4:$E$420,$A446&amp;" ضد "&amp;Y$424)+COUNTIF($E$4:$E$420,Y$424&amp;" ضد "&amp;$A446))</f>
        <v>2</v>
      </c>
      <c r="Z446" s="4">
        <f>IF($A446=Z$424,"",COUNTIF($E$4:$E$420,$A446&amp;" ضد "&amp;Z$424)+COUNTIF($E$4:$E$420,Z$424&amp;" ضد "&amp;$A446))</f>
        <v>0</v>
      </c>
      <c r="AA446" s="4">
        <f>IF($A446=AA$424,"",COUNTIF($E$4:$E$420,$A446&amp;" ضد "&amp;AA$424)+COUNTIF($E$4:$E$420,AA$424&amp;" ضد "&amp;$A446))</f>
        <v>0</v>
      </c>
      <c r="AB446" s="4">
        <f>IF($A446=AB$424,"",COUNTIF($E$4:$E$420,$A446&amp;" ضد "&amp;AB$424)+COUNTIF($E$4:$E$420,AB$424&amp;" ضد "&amp;$A446))</f>
        <v>0</v>
      </c>
      <c r="AC446" s="4">
        <f>IF($A446=AC$424,"",COUNTIF($E$4:$E$420,$A446&amp;" ضد "&amp;AC$424)+COUNTIF($E$4:$E$420,AC$424&amp;" ضد "&amp;$A446))</f>
        <v>0</v>
      </c>
      <c r="AD446" s="4">
        <f>IF($A446=AD$424,"",COUNTIF($E$4:$E$420,$A446&amp;" ضد "&amp;AD$424)+COUNTIF($E$4:$E$420,AD$424&amp;" ضد "&amp;$A446))</f>
        <v>0</v>
      </c>
      <c r="AE446" s="4">
        <f>IF($A446=AE$424,"",COUNTIF($E$4:$E$420,$A446&amp;" ضد "&amp;AE$424)+COUNTIF($E$4:$E$420,AE$424&amp;" ضد "&amp;$A446))</f>
        <v>0</v>
      </c>
      <c r="AF446" s="4">
        <f>IF($A446=AF$424,"",COUNTIF($E$4:$E$420,$A446&amp;" ضد "&amp;AF$424)+COUNTIF($E$4:$E$420,AF$424&amp;" ضد "&amp;$A446))</f>
        <v>0</v>
      </c>
      <c r="AG446" s="4">
        <f>IF($A446=AG$424,"",COUNTIF($E$4:$E$420,$A446&amp;" ضد "&amp;AG$424)+COUNTIF($E$4:$E$420,AG$424&amp;" ضد "&amp;$A446))</f>
        <v>0</v>
      </c>
      <c r="AH446" s="4">
        <f>IF($A446=AH$424,"",COUNTIF($E$4:$E$420,$A446&amp;" ضد "&amp;AH$424)+COUNTIF($E$4:$E$420,AH$424&amp;" ضد "&amp;$A446))</f>
        <v>0</v>
      </c>
      <c r="AI446" s="4">
        <f>IF($A446=AI$424,"",COUNTIF($E$4:$E$420,$A446&amp;" ضد "&amp;AI$424)+COUNTIF($E$4:$E$420,AI$424&amp;" ضد "&amp;$A446))</f>
        <v>0</v>
      </c>
      <c r="AJ446" s="4">
        <f>IF($A446=AJ$424,"",COUNTIF($E$4:$E$420,$A446&amp;" ضد "&amp;AJ$424)+COUNTIF($E$4:$E$420,AJ$424&amp;" ضد "&amp;$A446))</f>
        <v>0</v>
      </c>
      <c r="AK446" s="4">
        <f>IF($A446=AK$424,"",COUNTIF($E$4:$E$420,$A446&amp;" ضد "&amp;AK$424)+COUNTIF($E$4:$E$420,AK$424&amp;" ضد "&amp;$A446))</f>
        <v>0</v>
      </c>
      <c r="AL446" s="4">
        <f>IF($A446=AL$424,"",COUNTIF($E$4:$E$420,$A446&amp;" ضد "&amp;AL$424)+COUNTIF($E$4:$E$420,AL$424&amp;" ضد "&amp;$A446))</f>
        <v>0</v>
      </c>
      <c r="AM446" s="4">
        <f>IF($A446=AM$424,"",COUNTIF($E$4:$E$420,$A446&amp;" ضد "&amp;AM$424)+COUNTIF($E$4:$E$420,AM$424&amp;" ضد "&amp;$A446))</f>
        <v>0</v>
      </c>
      <c r="AN446" s="4">
        <f>IF($A446=AN$424,"",COUNTIF($E$4:$E$420,$A446&amp;" ضد "&amp;AN$424)+COUNTIF($E$4:$E$420,AN$424&amp;" ضد "&amp;$A446))</f>
        <v>0</v>
      </c>
      <c r="AO446" s="4">
        <f>IF($A446=AO$424,"",COUNTIF($E$4:$E$420,$A446&amp;" ضد "&amp;AO$424)+COUNTIF($E$4:$E$420,AO$424&amp;" ضد "&amp;$A446))</f>
        <v>0</v>
      </c>
      <c r="AP446" s="4">
        <f>IF($A446=AP$424,"",COUNTIF($E$4:$E$420,$A446&amp;" ضد "&amp;AP$424)+COUNTIF($E$4:$E$420,AP$424&amp;" ضد "&amp;$A446))</f>
        <v>0</v>
      </c>
      <c r="AQ446" s="4">
        <f>IF($A446=AQ$424,"",COUNTIF($E$4:$E$420,$A446&amp;" ضد "&amp;AQ$424)+COUNTIF($E$4:$E$420,AQ$424&amp;" ضد "&amp;$A446))</f>
        <v>0</v>
      </c>
      <c r="AR446" s="4">
        <f>IF($A446=AR$424,"",COUNTIF($E$4:$E$420,$A446&amp;" ضد "&amp;AR$424)+COUNTIF($E$4:$E$420,AR$424&amp;" ضد "&amp;$A446))</f>
        <v>0</v>
      </c>
      <c r="AS446" s="4">
        <f>IF($A446=AS$424,"",COUNTIF($E$4:$E$420,$A446&amp;" ضد "&amp;AS$424)+COUNTIF($E$4:$E$420,AS$424&amp;" ضد "&amp;$A446))</f>
        <v>0</v>
      </c>
      <c r="AT446" s="4">
        <f>IF($A446=AT$424,"",COUNTIF($E$4:$E$420,$A446&amp;" ضد "&amp;AT$424)+COUNTIF($E$4:$E$420,AT$424&amp;" ضد "&amp;$A446))</f>
        <v>0</v>
      </c>
      <c r="AU446" s="4">
        <f>IF($A446=AU$424,"",COUNTIF($E$4:$E$420,$A446&amp;" ضد "&amp;AU$424)+COUNTIF($E$4:$E$420,AU$424&amp;" ضد "&amp;$A446))</f>
        <v>0</v>
      </c>
    </row>
    <row r="447" spans="1:47" ht="14.5">
      <c r="A447" s="14">
        <v>23</v>
      </c>
      <c r="B447" s="4">
        <f>IF($A447=B$424,"",COUNTIF($E$4:$E$420,$A447&amp;" ضد "&amp;B$424)+COUNTIF($E$4:$E$420,B$424&amp;" ضد "&amp;$A447))</f>
        <v>0</v>
      </c>
      <c r="C447" s="4">
        <f>IF($A447=C$424,"",COUNTIF($E$4:$E$420,$A447&amp;" ضد "&amp;C$424)+COUNTIF($E$4:$E$420,C$424&amp;" ضد "&amp;$A447))</f>
        <v>0</v>
      </c>
      <c r="D447" s="4">
        <f>IF($A447=D$424,"",COUNTIF($E$4:$E$420,$A447&amp;" ضد "&amp;D$424)+COUNTIF($E$4:$E$420,D$424&amp;" ضد "&amp;$A447))</f>
        <v>0</v>
      </c>
      <c r="E447" s="4">
        <f>IF($A447=E$424,"",COUNTIF($E$4:$E$420,$A447&amp;" ضد "&amp;E$424)+COUNTIF($E$4:$E$420,E$424&amp;" ضد "&amp;$A447))</f>
        <v>0</v>
      </c>
      <c r="F447" s="4">
        <f>IF($A447=F$424,"",COUNTIF($E$4:$E$420,$A447&amp;" ضد "&amp;F$424)+COUNTIF($E$4:$E$420,F$424&amp;" ضد "&amp;$A447))</f>
        <v>0</v>
      </c>
      <c r="G447" s="4">
        <f>IF($A447=G$424,"",COUNTIF($E$4:$E$420,$A447&amp;" ضد "&amp;G$424)+COUNTIF($E$4:$E$420,G$424&amp;" ضد "&amp;$A447))</f>
        <v>0</v>
      </c>
      <c r="H447" s="4">
        <f>IF($A447=H$424,"",COUNTIF($E$4:$E$420,$A447&amp;" ضد "&amp;H$424)+COUNTIF($E$4:$E$420,H$424&amp;" ضد "&amp;$A447))</f>
        <v>0</v>
      </c>
      <c r="I447" s="4">
        <f>IF($A447=I$424,"",COUNTIF($E$4:$E$420,$A447&amp;" ضد "&amp;I$424)+COUNTIF($E$4:$E$420,I$424&amp;" ضد "&amp;$A447))</f>
        <v>0</v>
      </c>
      <c r="J447" s="4">
        <f>IF($A447=J$424,"",COUNTIF($E$4:$E$420,$A447&amp;" ضد "&amp;J$424)+COUNTIF($E$4:$E$420,J$424&amp;" ضد "&amp;$A447))</f>
        <v>0</v>
      </c>
      <c r="K447" s="4">
        <f>IF($A447=K$424,"",COUNTIF($E$4:$E$420,$A447&amp;" ضد "&amp;K$424)+COUNTIF($E$4:$E$420,K$424&amp;" ضد "&amp;$A447))</f>
        <v>0</v>
      </c>
      <c r="L447" s="4">
        <f>IF($A447=L$424,"",COUNTIF($E$4:$E$420,$A447&amp;" ضد "&amp;L$424)+COUNTIF($E$4:$E$420,L$424&amp;" ضد "&amp;$A447))</f>
        <v>0</v>
      </c>
      <c r="M447" s="4">
        <f>IF($A447=M$424,"",COUNTIF($E$4:$E$420,$A447&amp;" ضد "&amp;M$424)+COUNTIF($E$4:$E$420,M$424&amp;" ضد "&amp;$A447))</f>
        <v>0</v>
      </c>
      <c r="N447" s="4">
        <f>IF($A447=N$424,"",COUNTIF($E$4:$E$420,$A447&amp;" ضد "&amp;N$424)+COUNTIF($E$4:$E$420,N$424&amp;" ضد "&amp;$A447))</f>
        <v>2</v>
      </c>
      <c r="O447" s="4">
        <f>IF($A447=O$424,"",COUNTIF($E$4:$E$420,$A447&amp;" ضد "&amp;O$424)+COUNTIF($E$4:$E$420,O$424&amp;" ضد "&amp;$A447))</f>
        <v>2</v>
      </c>
      <c r="P447" s="4">
        <f>IF($A447=P$424,"",COUNTIF($E$4:$E$420,$A447&amp;" ضد "&amp;P$424)+COUNTIF($E$4:$E$420,P$424&amp;" ضد "&amp;$A447))</f>
        <v>2</v>
      </c>
      <c r="Q447" s="4">
        <f>IF($A447=Q$424,"",COUNTIF($E$4:$E$420,$A447&amp;" ضد "&amp;Q$424)+COUNTIF($E$4:$E$420,Q$424&amp;" ضد "&amp;$A447))</f>
        <v>1</v>
      </c>
      <c r="R447" s="4">
        <f>IF($A447=R$424,"",COUNTIF($E$4:$E$420,$A447&amp;" ضد "&amp;R$424)+COUNTIF($E$4:$E$420,R$424&amp;" ضد "&amp;$A447))</f>
        <v>2</v>
      </c>
      <c r="S447" s="4">
        <f>IF($A447=S$424,"",COUNTIF($E$4:$E$420,$A447&amp;" ضد "&amp;S$424)+COUNTIF($E$4:$E$420,S$424&amp;" ضد "&amp;$A447))</f>
        <v>1</v>
      </c>
      <c r="T447" s="4">
        <f>IF($A447=T$424,"",COUNTIF($E$4:$E$420,$A447&amp;" ضد "&amp;T$424)+COUNTIF($E$4:$E$420,T$424&amp;" ضد "&amp;$A447))</f>
        <v>2</v>
      </c>
      <c r="U447" s="4">
        <f>IF($A447=U$424,"",COUNTIF($E$4:$E$420,$A447&amp;" ضد "&amp;U$424)+COUNTIF($E$4:$E$420,U$424&amp;" ضد "&amp;$A447))</f>
        <v>1</v>
      </c>
      <c r="V447" s="4">
        <f>IF($A447=V$424,"",COUNTIF($E$4:$E$420,$A447&amp;" ضد "&amp;V$424)+COUNTIF($E$4:$E$420,V$424&amp;" ضد "&amp;$A447))</f>
        <v>2</v>
      </c>
      <c r="W447" s="4">
        <f>IF($A447=W$424,"",COUNTIF($E$4:$E$420,$A447&amp;" ضد "&amp;W$424)+COUNTIF($E$4:$E$420,W$424&amp;" ضد "&amp;$A447))</f>
        <v>1</v>
      </c>
      <c r="X447" s="4" t="str">
        <f>IF($A447=X$424,"",COUNTIF($E$4:$E$420,$A447&amp;" ضد "&amp;X$424)+COUNTIF($E$4:$E$420,X$424&amp;" ضد "&amp;$A447))</f>
        <v/>
      </c>
      <c r="Y447" s="4">
        <f>IF($A447=Y$424,"",COUNTIF($E$4:$E$420,$A447&amp;" ضد "&amp;Y$424)+COUNTIF($E$4:$E$420,Y$424&amp;" ضد "&amp;$A447))</f>
        <v>2</v>
      </c>
      <c r="Z447" s="4">
        <f>IF($A447=Z$424,"",COUNTIF($E$4:$E$420,$A447&amp;" ضد "&amp;Z$424)+COUNTIF($E$4:$E$420,Z$424&amp;" ضد "&amp;$A447))</f>
        <v>0</v>
      </c>
      <c r="AA447" s="4">
        <f>IF($A447=AA$424,"",COUNTIF($E$4:$E$420,$A447&amp;" ضد "&amp;AA$424)+COUNTIF($E$4:$E$420,AA$424&amp;" ضد "&amp;$A447))</f>
        <v>0</v>
      </c>
      <c r="AB447" s="4">
        <f>IF($A447=AB$424,"",COUNTIF($E$4:$E$420,$A447&amp;" ضد "&amp;AB$424)+COUNTIF($E$4:$E$420,AB$424&amp;" ضد "&amp;$A447))</f>
        <v>0</v>
      </c>
      <c r="AC447" s="4">
        <f>IF($A447=AC$424,"",COUNTIF($E$4:$E$420,$A447&amp;" ضد "&amp;AC$424)+COUNTIF($E$4:$E$420,AC$424&amp;" ضد "&amp;$A447))</f>
        <v>0</v>
      </c>
      <c r="AD447" s="4">
        <f>IF($A447=AD$424,"",COUNTIF($E$4:$E$420,$A447&amp;" ضد "&amp;AD$424)+COUNTIF($E$4:$E$420,AD$424&amp;" ضد "&amp;$A447))</f>
        <v>0</v>
      </c>
      <c r="AE447" s="4">
        <f>IF($A447=AE$424,"",COUNTIF($E$4:$E$420,$A447&amp;" ضد "&amp;AE$424)+COUNTIF($E$4:$E$420,AE$424&amp;" ضد "&amp;$A447))</f>
        <v>0</v>
      </c>
      <c r="AF447" s="4">
        <f>IF($A447=AF$424,"",COUNTIF($E$4:$E$420,$A447&amp;" ضد "&amp;AF$424)+COUNTIF($E$4:$E$420,AF$424&amp;" ضد "&amp;$A447))</f>
        <v>0</v>
      </c>
      <c r="AG447" s="4">
        <f>IF($A447=AG$424,"",COUNTIF($E$4:$E$420,$A447&amp;" ضد "&amp;AG$424)+COUNTIF($E$4:$E$420,AG$424&amp;" ضد "&amp;$A447))</f>
        <v>0</v>
      </c>
      <c r="AH447" s="4">
        <f>IF($A447=AH$424,"",COUNTIF($E$4:$E$420,$A447&amp;" ضد "&amp;AH$424)+COUNTIF($E$4:$E$420,AH$424&amp;" ضد "&amp;$A447))</f>
        <v>0</v>
      </c>
      <c r="AI447" s="4">
        <f>IF($A447=AI$424,"",COUNTIF($E$4:$E$420,$A447&amp;" ضد "&amp;AI$424)+COUNTIF($E$4:$E$420,AI$424&amp;" ضد "&amp;$A447))</f>
        <v>0</v>
      </c>
      <c r="AJ447" s="4">
        <f>IF($A447=AJ$424,"",COUNTIF($E$4:$E$420,$A447&amp;" ضد "&amp;AJ$424)+COUNTIF($E$4:$E$420,AJ$424&amp;" ضد "&amp;$A447))</f>
        <v>0</v>
      </c>
      <c r="AK447" s="4">
        <f>IF($A447=AK$424,"",COUNTIF($E$4:$E$420,$A447&amp;" ضد "&amp;AK$424)+COUNTIF($E$4:$E$420,AK$424&amp;" ضد "&amp;$A447))</f>
        <v>0</v>
      </c>
      <c r="AL447" s="4">
        <f>IF($A447=AL$424,"",COUNTIF($E$4:$E$420,$A447&amp;" ضد "&amp;AL$424)+COUNTIF($E$4:$E$420,AL$424&amp;" ضد "&amp;$A447))</f>
        <v>0</v>
      </c>
      <c r="AM447" s="4">
        <f>IF($A447=AM$424,"",COUNTIF($E$4:$E$420,$A447&amp;" ضد "&amp;AM$424)+COUNTIF($E$4:$E$420,AM$424&amp;" ضد "&amp;$A447))</f>
        <v>0</v>
      </c>
      <c r="AN447" s="4">
        <f>IF($A447=AN$424,"",COUNTIF($E$4:$E$420,$A447&amp;" ضد "&amp;AN$424)+COUNTIF($E$4:$E$420,AN$424&amp;" ضد "&amp;$A447))</f>
        <v>0</v>
      </c>
      <c r="AO447" s="4">
        <f>IF($A447=AO$424,"",COUNTIF($E$4:$E$420,$A447&amp;" ضد "&amp;AO$424)+COUNTIF($E$4:$E$420,AO$424&amp;" ضد "&amp;$A447))</f>
        <v>0</v>
      </c>
      <c r="AP447" s="4">
        <f>IF($A447=AP$424,"",COUNTIF($E$4:$E$420,$A447&amp;" ضد "&amp;AP$424)+COUNTIF($E$4:$E$420,AP$424&amp;" ضد "&amp;$A447))</f>
        <v>0</v>
      </c>
      <c r="AQ447" s="4">
        <f>IF($A447=AQ$424,"",COUNTIF($E$4:$E$420,$A447&amp;" ضد "&amp;AQ$424)+COUNTIF($E$4:$E$420,AQ$424&amp;" ضد "&amp;$A447))</f>
        <v>0</v>
      </c>
      <c r="AR447" s="4">
        <f>IF($A447=AR$424,"",COUNTIF($E$4:$E$420,$A447&amp;" ضد "&amp;AR$424)+COUNTIF($E$4:$E$420,AR$424&amp;" ضد "&amp;$A447))</f>
        <v>0</v>
      </c>
      <c r="AS447" s="4">
        <f>IF($A447=AS$424,"",COUNTIF($E$4:$E$420,$A447&amp;" ضد "&amp;AS$424)+COUNTIF($E$4:$E$420,AS$424&amp;" ضد "&amp;$A447))</f>
        <v>0</v>
      </c>
      <c r="AT447" s="4">
        <f>IF($A447=AT$424,"",COUNTIF($E$4:$E$420,$A447&amp;" ضد "&amp;AT$424)+COUNTIF($E$4:$E$420,AT$424&amp;" ضد "&amp;$A447))</f>
        <v>0</v>
      </c>
      <c r="AU447" s="4">
        <f>IF($A447=AU$424,"",COUNTIF($E$4:$E$420,$A447&amp;" ضد "&amp;AU$424)+COUNTIF($E$4:$E$420,AU$424&amp;" ضد "&amp;$A447))</f>
        <v>0</v>
      </c>
    </row>
    <row r="448" spans="1:47" ht="14.5">
      <c r="A448" s="14">
        <v>24</v>
      </c>
      <c r="B448" s="4">
        <f>IF($A448=B$424,"",COUNTIF($E$4:$E$420,$A448&amp;" ضد "&amp;B$424)+COUNTIF($E$4:$E$420,B$424&amp;" ضد "&amp;$A448))</f>
        <v>0</v>
      </c>
      <c r="C448" s="4">
        <f>IF($A448=C$424,"",COUNTIF($E$4:$E$420,$A448&amp;" ضد "&amp;C$424)+COUNTIF($E$4:$E$420,C$424&amp;" ضد "&amp;$A448))</f>
        <v>0</v>
      </c>
      <c r="D448" s="4">
        <f>IF($A448=D$424,"",COUNTIF($E$4:$E$420,$A448&amp;" ضد "&amp;D$424)+COUNTIF($E$4:$E$420,D$424&amp;" ضد "&amp;$A448))</f>
        <v>0</v>
      </c>
      <c r="E448" s="4">
        <f>IF($A448=E$424,"",COUNTIF($E$4:$E$420,$A448&amp;" ضد "&amp;E$424)+COUNTIF($E$4:$E$420,E$424&amp;" ضد "&amp;$A448))</f>
        <v>0</v>
      </c>
      <c r="F448" s="4">
        <f>IF($A448=F$424,"",COUNTIF($E$4:$E$420,$A448&amp;" ضد "&amp;F$424)+COUNTIF($E$4:$E$420,F$424&amp;" ضد "&amp;$A448))</f>
        <v>0</v>
      </c>
      <c r="G448" s="4">
        <f>IF($A448=G$424,"",COUNTIF($E$4:$E$420,$A448&amp;" ضد "&amp;G$424)+COUNTIF($E$4:$E$420,G$424&amp;" ضد "&amp;$A448))</f>
        <v>0</v>
      </c>
      <c r="H448" s="4">
        <f>IF($A448=H$424,"",COUNTIF($E$4:$E$420,$A448&amp;" ضد "&amp;H$424)+COUNTIF($E$4:$E$420,H$424&amp;" ضد "&amp;$A448))</f>
        <v>0</v>
      </c>
      <c r="I448" s="4">
        <f>IF($A448=I$424,"",COUNTIF($E$4:$E$420,$A448&amp;" ضد "&amp;I$424)+COUNTIF($E$4:$E$420,I$424&amp;" ضد "&amp;$A448))</f>
        <v>0</v>
      </c>
      <c r="J448" s="4">
        <f>IF($A448=J$424,"",COUNTIF($E$4:$E$420,$A448&amp;" ضد "&amp;J$424)+COUNTIF($E$4:$E$420,J$424&amp;" ضد "&amp;$A448))</f>
        <v>0</v>
      </c>
      <c r="K448" s="4">
        <f>IF($A448=K$424,"",COUNTIF($E$4:$E$420,$A448&amp;" ضد "&amp;K$424)+COUNTIF($E$4:$E$420,K$424&amp;" ضد "&amp;$A448))</f>
        <v>0</v>
      </c>
      <c r="L448" s="4">
        <f>IF($A448=L$424,"",COUNTIF($E$4:$E$420,$A448&amp;" ضد "&amp;L$424)+COUNTIF($E$4:$E$420,L$424&amp;" ضد "&amp;$A448))</f>
        <v>0</v>
      </c>
      <c r="M448" s="4">
        <f>IF($A448=M$424,"",COUNTIF($E$4:$E$420,$A448&amp;" ضد "&amp;M$424)+COUNTIF($E$4:$E$420,M$424&amp;" ضد "&amp;$A448))</f>
        <v>0</v>
      </c>
      <c r="N448" s="4">
        <f>IF($A448=N$424,"",COUNTIF($E$4:$E$420,$A448&amp;" ضد "&amp;N$424)+COUNTIF($E$4:$E$420,N$424&amp;" ضد "&amp;$A448))</f>
        <v>2</v>
      </c>
      <c r="O448" s="4">
        <f>IF($A448=O$424,"",COUNTIF($E$4:$E$420,$A448&amp;" ضد "&amp;O$424)+COUNTIF($E$4:$E$420,O$424&amp;" ضد "&amp;$A448))</f>
        <v>2</v>
      </c>
      <c r="P448" s="4">
        <f>IF($A448=P$424,"",COUNTIF($E$4:$E$420,$A448&amp;" ضد "&amp;P$424)+COUNTIF($E$4:$E$420,P$424&amp;" ضد "&amp;$A448))</f>
        <v>1</v>
      </c>
      <c r="Q448" s="4">
        <f>IF($A448=Q$424,"",COUNTIF($E$4:$E$420,$A448&amp;" ضد "&amp;Q$424)+COUNTIF($E$4:$E$420,Q$424&amp;" ضد "&amp;$A448))</f>
        <v>2</v>
      </c>
      <c r="R448" s="4">
        <f>IF($A448=R$424,"",COUNTIF($E$4:$E$420,$A448&amp;" ضد "&amp;R$424)+COUNTIF($E$4:$E$420,R$424&amp;" ضد "&amp;$A448))</f>
        <v>1</v>
      </c>
      <c r="S448" s="4">
        <f>IF($A448=S$424,"",COUNTIF($E$4:$E$420,$A448&amp;" ضد "&amp;S$424)+COUNTIF($E$4:$E$420,S$424&amp;" ضد "&amp;$A448))</f>
        <v>2</v>
      </c>
      <c r="T448" s="4">
        <f>IF($A448=T$424,"",COUNTIF($E$4:$E$420,$A448&amp;" ضد "&amp;T$424)+COUNTIF($E$4:$E$420,T$424&amp;" ضد "&amp;$A448))</f>
        <v>1</v>
      </c>
      <c r="U448" s="4">
        <f>IF($A448=U$424,"",COUNTIF($E$4:$E$420,$A448&amp;" ضد "&amp;U$424)+COUNTIF($E$4:$E$420,U$424&amp;" ضد "&amp;$A448))</f>
        <v>2</v>
      </c>
      <c r="V448" s="4">
        <f>IF($A448=V$424,"",COUNTIF($E$4:$E$420,$A448&amp;" ضد "&amp;V$424)+COUNTIF($E$4:$E$420,V$424&amp;" ضد "&amp;$A448))</f>
        <v>1</v>
      </c>
      <c r="W448" s="4">
        <f>IF($A448=W$424,"",COUNTIF($E$4:$E$420,$A448&amp;" ضد "&amp;W$424)+COUNTIF($E$4:$E$420,W$424&amp;" ضد "&amp;$A448))</f>
        <v>2</v>
      </c>
      <c r="X448" s="4">
        <f>IF($A448=X$424,"",COUNTIF($E$4:$E$420,$A448&amp;" ضد "&amp;X$424)+COUNTIF($E$4:$E$420,X$424&amp;" ضد "&amp;$A448))</f>
        <v>2</v>
      </c>
      <c r="Y448" s="4" t="str">
        <f>IF($A448=Y$424,"",COUNTIF($E$4:$E$420,$A448&amp;" ضد "&amp;Y$424)+COUNTIF($E$4:$E$420,Y$424&amp;" ضد "&amp;$A448))</f>
        <v/>
      </c>
      <c r="Z448" s="4">
        <f>IF($A448=Z$424,"",COUNTIF($E$4:$E$420,$A448&amp;" ضد "&amp;Z$424)+COUNTIF($E$4:$E$420,Z$424&amp;" ضد "&amp;$A448))</f>
        <v>0</v>
      </c>
      <c r="AA448" s="4">
        <f>IF($A448=AA$424,"",COUNTIF($E$4:$E$420,$A448&amp;" ضد "&amp;AA$424)+COUNTIF($E$4:$E$420,AA$424&amp;" ضد "&amp;$A448))</f>
        <v>0</v>
      </c>
      <c r="AB448" s="4">
        <f>IF($A448=AB$424,"",COUNTIF($E$4:$E$420,$A448&amp;" ضد "&amp;AB$424)+COUNTIF($E$4:$E$420,AB$424&amp;" ضد "&amp;$A448))</f>
        <v>0</v>
      </c>
      <c r="AC448" s="4">
        <f>IF($A448=AC$424,"",COUNTIF($E$4:$E$420,$A448&amp;" ضد "&amp;AC$424)+COUNTIF($E$4:$E$420,AC$424&amp;" ضد "&amp;$A448))</f>
        <v>0</v>
      </c>
      <c r="AD448" s="4">
        <f>IF($A448=AD$424,"",COUNTIF($E$4:$E$420,$A448&amp;" ضد "&amp;AD$424)+COUNTIF($E$4:$E$420,AD$424&amp;" ضد "&amp;$A448))</f>
        <v>0</v>
      </c>
      <c r="AE448" s="4">
        <f>IF($A448=AE$424,"",COUNTIF($E$4:$E$420,$A448&amp;" ضد "&amp;AE$424)+COUNTIF($E$4:$E$420,AE$424&amp;" ضد "&amp;$A448))</f>
        <v>0</v>
      </c>
      <c r="AF448" s="4">
        <f>IF($A448=AF$424,"",COUNTIF($E$4:$E$420,$A448&amp;" ضد "&amp;AF$424)+COUNTIF($E$4:$E$420,AF$424&amp;" ضد "&amp;$A448))</f>
        <v>0</v>
      </c>
      <c r="AG448" s="4">
        <f>IF($A448=AG$424,"",COUNTIF($E$4:$E$420,$A448&amp;" ضد "&amp;AG$424)+COUNTIF($E$4:$E$420,AG$424&amp;" ضد "&amp;$A448))</f>
        <v>0</v>
      </c>
      <c r="AH448" s="4">
        <f>IF($A448=AH$424,"",COUNTIF($E$4:$E$420,$A448&amp;" ضد "&amp;AH$424)+COUNTIF($E$4:$E$420,AH$424&amp;" ضد "&amp;$A448))</f>
        <v>0</v>
      </c>
      <c r="AI448" s="4">
        <f>IF($A448=AI$424,"",COUNTIF($E$4:$E$420,$A448&amp;" ضد "&amp;AI$424)+COUNTIF($E$4:$E$420,AI$424&amp;" ضد "&amp;$A448))</f>
        <v>0</v>
      </c>
      <c r="AJ448" s="4">
        <f>IF($A448=AJ$424,"",COUNTIF($E$4:$E$420,$A448&amp;" ضد "&amp;AJ$424)+COUNTIF($E$4:$E$420,AJ$424&amp;" ضد "&amp;$A448))</f>
        <v>0</v>
      </c>
      <c r="AK448" s="4">
        <f>IF($A448=AK$424,"",COUNTIF($E$4:$E$420,$A448&amp;" ضد "&amp;AK$424)+COUNTIF($E$4:$E$420,AK$424&amp;" ضد "&amp;$A448))</f>
        <v>0</v>
      </c>
      <c r="AL448" s="4">
        <f>IF($A448=AL$424,"",COUNTIF($E$4:$E$420,$A448&amp;" ضد "&amp;AL$424)+COUNTIF($E$4:$E$420,AL$424&amp;" ضد "&amp;$A448))</f>
        <v>0</v>
      </c>
      <c r="AM448" s="4">
        <f>IF($A448=AM$424,"",COUNTIF($E$4:$E$420,$A448&amp;" ضد "&amp;AM$424)+COUNTIF($E$4:$E$420,AM$424&amp;" ضد "&amp;$A448))</f>
        <v>0</v>
      </c>
      <c r="AN448" s="4">
        <f>IF($A448=AN$424,"",COUNTIF($E$4:$E$420,$A448&amp;" ضد "&amp;AN$424)+COUNTIF($E$4:$E$420,AN$424&amp;" ضد "&amp;$A448))</f>
        <v>0</v>
      </c>
      <c r="AO448" s="4">
        <f>IF($A448=AO$424,"",COUNTIF($E$4:$E$420,$A448&amp;" ضد "&amp;AO$424)+COUNTIF($E$4:$E$420,AO$424&amp;" ضد "&amp;$A448))</f>
        <v>0</v>
      </c>
      <c r="AP448" s="4">
        <f>IF($A448=AP$424,"",COUNTIF($E$4:$E$420,$A448&amp;" ضد "&amp;AP$424)+COUNTIF($E$4:$E$420,AP$424&amp;" ضد "&amp;$A448))</f>
        <v>0</v>
      </c>
      <c r="AQ448" s="4">
        <f>IF($A448=AQ$424,"",COUNTIF($E$4:$E$420,$A448&amp;" ضد "&amp;AQ$424)+COUNTIF($E$4:$E$420,AQ$424&amp;" ضد "&amp;$A448))</f>
        <v>0</v>
      </c>
      <c r="AR448" s="4">
        <f>IF($A448=AR$424,"",COUNTIF($E$4:$E$420,$A448&amp;" ضد "&amp;AR$424)+COUNTIF($E$4:$E$420,AR$424&amp;" ضد "&amp;$A448))</f>
        <v>0</v>
      </c>
      <c r="AS448" s="4">
        <f>IF($A448=AS$424,"",COUNTIF($E$4:$E$420,$A448&amp;" ضد "&amp;AS$424)+COUNTIF($E$4:$E$420,AS$424&amp;" ضد "&amp;$A448))</f>
        <v>0</v>
      </c>
      <c r="AT448" s="4">
        <f>IF($A448=AT$424,"",COUNTIF($E$4:$E$420,$A448&amp;" ضد "&amp;AT$424)+COUNTIF($E$4:$E$420,AT$424&amp;" ضد "&amp;$A448))</f>
        <v>0</v>
      </c>
      <c r="AU448" s="4">
        <f>IF($A448=AU$424,"",COUNTIF($E$4:$E$420,$A448&amp;" ضد "&amp;AU$424)+COUNTIF($E$4:$E$420,AU$424&amp;" ضد "&amp;$A448))</f>
        <v>0</v>
      </c>
    </row>
    <row r="449" spans="1:47" ht="14.5">
      <c r="A449" s="14">
        <v>25</v>
      </c>
      <c r="B449" s="4">
        <f>IF($A449=B$424,"",COUNTIF($E$4:$E$420,$A449&amp;" ضد "&amp;B$424)+COUNTIF($E$4:$E$420,B$424&amp;" ضد "&amp;$A449))</f>
        <v>0</v>
      </c>
      <c r="C449" s="4">
        <f>IF($A449=C$424,"",COUNTIF($E$4:$E$420,$A449&amp;" ضد "&amp;C$424)+COUNTIF($E$4:$E$420,C$424&amp;" ضد "&amp;$A449))</f>
        <v>0</v>
      </c>
      <c r="D449" s="4">
        <f>IF($A449=D$424,"",COUNTIF($E$4:$E$420,$A449&amp;" ضد "&amp;D$424)+COUNTIF($E$4:$E$420,D$424&amp;" ضد "&amp;$A449))</f>
        <v>0</v>
      </c>
      <c r="E449" s="4">
        <f>IF($A449=E$424,"",COUNTIF($E$4:$E$420,$A449&amp;" ضد "&amp;E$424)+COUNTIF($E$4:$E$420,E$424&amp;" ضد "&amp;$A449))</f>
        <v>0</v>
      </c>
      <c r="F449" s="4">
        <f>IF($A449=F$424,"",COUNTIF($E$4:$E$420,$A449&amp;" ضد "&amp;F$424)+COUNTIF($E$4:$E$420,F$424&amp;" ضد "&amp;$A449))</f>
        <v>0</v>
      </c>
      <c r="G449" s="4">
        <f>IF($A449=G$424,"",COUNTIF($E$4:$E$420,$A449&amp;" ضد "&amp;G$424)+COUNTIF($E$4:$E$420,G$424&amp;" ضد "&amp;$A449))</f>
        <v>0</v>
      </c>
      <c r="H449" s="4">
        <f>IF($A449=H$424,"",COUNTIF($E$4:$E$420,$A449&amp;" ضد "&amp;H$424)+COUNTIF($E$4:$E$420,H$424&amp;" ضد "&amp;$A449))</f>
        <v>0</v>
      </c>
      <c r="I449" s="4">
        <f>IF($A449=I$424,"",COUNTIF($E$4:$E$420,$A449&amp;" ضد "&amp;I$424)+COUNTIF($E$4:$E$420,I$424&amp;" ضد "&amp;$A449))</f>
        <v>0</v>
      </c>
      <c r="J449" s="4">
        <f>IF($A449=J$424,"",COUNTIF($E$4:$E$420,$A449&amp;" ضد "&amp;J$424)+COUNTIF($E$4:$E$420,J$424&amp;" ضد "&amp;$A449))</f>
        <v>0</v>
      </c>
      <c r="K449" s="4">
        <f>IF($A449=K$424,"",COUNTIF($E$4:$E$420,$A449&amp;" ضد "&amp;K$424)+COUNTIF($E$4:$E$420,K$424&amp;" ضد "&amp;$A449))</f>
        <v>0</v>
      </c>
      <c r="L449" s="4">
        <f>IF($A449=L$424,"",COUNTIF($E$4:$E$420,$A449&amp;" ضد "&amp;L$424)+COUNTIF($E$4:$E$420,L$424&amp;" ضد "&amp;$A449))</f>
        <v>0</v>
      </c>
      <c r="M449" s="4">
        <f>IF($A449=M$424,"",COUNTIF($E$4:$E$420,$A449&amp;" ضد "&amp;M$424)+COUNTIF($E$4:$E$420,M$424&amp;" ضد "&amp;$A449))</f>
        <v>0</v>
      </c>
      <c r="N449" s="4">
        <f>IF($A449=N$424,"",COUNTIF($E$4:$E$420,$A449&amp;" ضد "&amp;N$424)+COUNTIF($E$4:$E$420,N$424&amp;" ضد "&amp;$A449))</f>
        <v>0</v>
      </c>
      <c r="O449" s="4">
        <f>IF($A449=O$424,"",COUNTIF($E$4:$E$420,$A449&amp;" ضد "&amp;O$424)+COUNTIF($E$4:$E$420,O$424&amp;" ضد "&amp;$A449))</f>
        <v>0</v>
      </c>
      <c r="P449" s="4">
        <f>IF($A449=P$424,"",COUNTIF($E$4:$E$420,$A449&amp;" ضد "&amp;P$424)+COUNTIF($E$4:$E$420,P$424&amp;" ضد "&amp;$A449))</f>
        <v>0</v>
      </c>
      <c r="Q449" s="4">
        <f>IF($A449=Q$424,"",COUNTIF($E$4:$E$420,$A449&amp;" ضد "&amp;Q$424)+COUNTIF($E$4:$E$420,Q$424&amp;" ضد "&amp;$A449))</f>
        <v>0</v>
      </c>
      <c r="R449" s="4">
        <f>IF($A449=R$424,"",COUNTIF($E$4:$E$420,$A449&amp;" ضد "&amp;R$424)+COUNTIF($E$4:$E$420,R$424&amp;" ضد "&amp;$A449))</f>
        <v>0</v>
      </c>
      <c r="S449" s="4">
        <f>IF($A449=S$424,"",COUNTIF($E$4:$E$420,$A449&amp;" ضد "&amp;S$424)+COUNTIF($E$4:$E$420,S$424&amp;" ضد "&amp;$A449))</f>
        <v>0</v>
      </c>
      <c r="T449" s="4">
        <f>IF($A449=T$424,"",COUNTIF($E$4:$E$420,$A449&amp;" ضد "&amp;T$424)+COUNTIF($E$4:$E$420,T$424&amp;" ضد "&amp;$A449))</f>
        <v>0</v>
      </c>
      <c r="U449" s="4">
        <f>IF($A449=U$424,"",COUNTIF($E$4:$E$420,$A449&amp;" ضد "&amp;U$424)+COUNTIF($E$4:$E$420,U$424&amp;" ضد "&amp;$A449))</f>
        <v>0</v>
      </c>
      <c r="V449" s="4">
        <f>IF($A449=V$424,"",COUNTIF($E$4:$E$420,$A449&amp;" ضد "&amp;V$424)+COUNTIF($E$4:$E$420,V$424&amp;" ضد "&amp;$A449))</f>
        <v>0</v>
      </c>
      <c r="W449" s="4">
        <f>IF($A449=W$424,"",COUNTIF($E$4:$E$420,$A449&amp;" ضد "&amp;W$424)+COUNTIF($E$4:$E$420,W$424&amp;" ضد "&amp;$A449))</f>
        <v>0</v>
      </c>
      <c r="X449" s="4">
        <f>IF($A449=X$424,"",COUNTIF($E$4:$E$420,$A449&amp;" ضد "&amp;X$424)+COUNTIF($E$4:$E$420,X$424&amp;" ضد "&amp;$A449))</f>
        <v>0</v>
      </c>
      <c r="Y449" s="4">
        <f>IF($A449=Y$424,"",COUNTIF($E$4:$E$420,$A449&amp;" ضد "&amp;Y$424)+COUNTIF($E$4:$E$420,Y$424&amp;" ضد "&amp;$A449))</f>
        <v>0</v>
      </c>
      <c r="Z449" s="4" t="str">
        <f>IF($A449=Z$424,"",COUNTIF($E$4:$E$420,$A449&amp;" ضد "&amp;Z$424)+COUNTIF($E$4:$E$420,Z$424&amp;" ضد "&amp;$A449))</f>
        <v/>
      </c>
      <c r="AA449" s="4">
        <f>IF($A449=AA$424,"",COUNTIF($E$4:$E$420,$A449&amp;" ضد "&amp;AA$424)+COUNTIF($E$4:$E$420,AA$424&amp;" ضد "&amp;$A449))</f>
        <v>1</v>
      </c>
      <c r="AB449" s="4">
        <f>IF($A449=AB$424,"",COUNTIF($E$4:$E$420,$A449&amp;" ضد "&amp;AB$424)+COUNTIF($E$4:$E$420,AB$424&amp;" ضد "&amp;$A449))</f>
        <v>1</v>
      </c>
      <c r="AC449" s="4">
        <f>IF($A449=AC$424,"",COUNTIF($E$4:$E$420,$A449&amp;" ضد "&amp;AC$424)+COUNTIF($E$4:$E$420,AC$424&amp;" ضد "&amp;$A449))</f>
        <v>1</v>
      </c>
      <c r="AD449" s="4">
        <f>IF($A449=AD$424,"",COUNTIF($E$4:$E$420,$A449&amp;" ضد "&amp;AD$424)+COUNTIF($E$4:$E$420,AD$424&amp;" ضد "&amp;$A449))</f>
        <v>1</v>
      </c>
      <c r="AE449" s="4">
        <f>IF($A449=AE$424,"",COUNTIF($E$4:$E$420,$A449&amp;" ضد "&amp;AE$424)+COUNTIF($E$4:$E$420,AE$424&amp;" ضد "&amp;$A449))</f>
        <v>2</v>
      </c>
      <c r="AF449" s="4">
        <f>IF($A449=AF$424,"",COUNTIF($E$4:$E$420,$A449&amp;" ضد "&amp;AF$424)+COUNTIF($E$4:$E$420,AF$424&amp;" ضد "&amp;$A449))</f>
        <v>2</v>
      </c>
      <c r="AG449" s="4">
        <f>IF($A449=AG$424,"",COUNTIF($E$4:$E$420,$A449&amp;" ضد "&amp;AG$424)+COUNTIF($E$4:$E$420,AG$424&amp;" ضد "&amp;$A449))</f>
        <v>2</v>
      </c>
      <c r="AH449" s="4">
        <f>IF($A449=AH$424,"",COUNTIF($E$4:$E$420,$A449&amp;" ضد "&amp;AH$424)+COUNTIF($E$4:$E$420,AH$424&amp;" ضد "&amp;$A449))</f>
        <v>2</v>
      </c>
      <c r="AI449" s="4">
        <f>IF($A449=AI$424,"",COUNTIF($E$4:$E$420,$A449&amp;" ضد "&amp;AI$424)+COUNTIF($E$4:$E$420,AI$424&amp;" ضد "&amp;$A449))</f>
        <v>2</v>
      </c>
      <c r="AJ449" s="4">
        <f>IF($A449=AJ$424,"",COUNTIF($E$4:$E$420,$A449&amp;" ضد "&amp;AJ$424)+COUNTIF($E$4:$E$420,AJ$424&amp;" ضد "&amp;$A449))</f>
        <v>2</v>
      </c>
      <c r="AK449" s="4">
        <f>IF($A449=AK$424,"",COUNTIF($E$4:$E$420,$A449&amp;" ضد "&amp;AK$424)+COUNTIF($E$4:$E$420,AK$424&amp;" ضد "&amp;$A449))</f>
        <v>2</v>
      </c>
      <c r="AL449" s="4">
        <f>IF($A449=AL$424,"",COUNTIF($E$4:$E$420,$A449&amp;" ضد "&amp;AL$424)+COUNTIF($E$4:$E$420,AL$424&amp;" ضد "&amp;$A449))</f>
        <v>0</v>
      </c>
      <c r="AM449" s="4">
        <f>IF($A449=AM$424,"",COUNTIF($E$4:$E$420,$A449&amp;" ضد "&amp;AM$424)+COUNTIF($E$4:$E$420,AM$424&amp;" ضد "&amp;$A449))</f>
        <v>0</v>
      </c>
      <c r="AN449" s="4">
        <f>IF($A449=AN$424,"",COUNTIF($E$4:$E$420,$A449&amp;" ضد "&amp;AN$424)+COUNTIF($E$4:$E$420,AN$424&amp;" ضد "&amp;$A449))</f>
        <v>0</v>
      </c>
      <c r="AO449" s="4">
        <f>IF($A449=AO$424,"",COUNTIF($E$4:$E$420,$A449&amp;" ضد "&amp;AO$424)+COUNTIF($E$4:$E$420,AO$424&amp;" ضد "&amp;$A449))</f>
        <v>0</v>
      </c>
      <c r="AP449" s="4">
        <f>IF($A449=AP$424,"",COUNTIF($E$4:$E$420,$A449&amp;" ضد "&amp;AP$424)+COUNTIF($E$4:$E$420,AP$424&amp;" ضد "&amp;$A449))</f>
        <v>0</v>
      </c>
      <c r="AQ449" s="4">
        <f>IF($A449=AQ$424,"",COUNTIF($E$4:$E$420,$A449&amp;" ضد "&amp;AQ$424)+COUNTIF($E$4:$E$420,AQ$424&amp;" ضد "&amp;$A449))</f>
        <v>0</v>
      </c>
      <c r="AR449" s="4">
        <f>IF($A449=AR$424,"",COUNTIF($E$4:$E$420,$A449&amp;" ضد "&amp;AR$424)+COUNTIF($E$4:$E$420,AR$424&amp;" ضد "&amp;$A449))</f>
        <v>0</v>
      </c>
      <c r="AS449" s="4">
        <f>IF($A449=AS$424,"",COUNTIF($E$4:$E$420,$A449&amp;" ضد "&amp;AS$424)+COUNTIF($E$4:$E$420,AS$424&amp;" ضد "&amp;$A449))</f>
        <v>0</v>
      </c>
      <c r="AT449" s="4">
        <f>IF($A449=AT$424,"",COUNTIF($E$4:$E$420,$A449&amp;" ضد "&amp;AT$424)+COUNTIF($E$4:$E$420,AT$424&amp;" ضد "&amp;$A449))</f>
        <v>0</v>
      </c>
      <c r="AU449" s="4">
        <f>IF($A449=AU$424,"",COUNTIF($E$4:$E$420,$A449&amp;" ضد "&amp;AU$424)+COUNTIF($E$4:$E$420,AU$424&amp;" ضد "&amp;$A449))</f>
        <v>0</v>
      </c>
    </row>
    <row r="450" spans="1:47" ht="14.5">
      <c r="A450" s="14">
        <v>26</v>
      </c>
      <c r="B450" s="4">
        <f>IF($A450=B$424,"",COUNTIF($E$4:$E$420,$A450&amp;" ضد "&amp;B$424)+COUNTIF($E$4:$E$420,B$424&amp;" ضد "&amp;$A450))</f>
        <v>0</v>
      </c>
      <c r="C450" s="4">
        <f>IF($A450=C$424,"",COUNTIF($E$4:$E$420,$A450&amp;" ضد "&amp;C$424)+COUNTIF($E$4:$E$420,C$424&amp;" ضد "&amp;$A450))</f>
        <v>0</v>
      </c>
      <c r="D450" s="4">
        <f>IF($A450=D$424,"",COUNTIF($E$4:$E$420,$A450&amp;" ضد "&amp;D$424)+COUNTIF($E$4:$E$420,D$424&amp;" ضد "&amp;$A450))</f>
        <v>0</v>
      </c>
      <c r="E450" s="4">
        <f>IF($A450=E$424,"",COUNTIF($E$4:$E$420,$A450&amp;" ضد "&amp;E$424)+COUNTIF($E$4:$E$420,E$424&amp;" ضد "&amp;$A450))</f>
        <v>0</v>
      </c>
      <c r="F450" s="4">
        <f>IF($A450=F$424,"",COUNTIF($E$4:$E$420,$A450&amp;" ضد "&amp;F$424)+COUNTIF($E$4:$E$420,F$424&amp;" ضد "&amp;$A450))</f>
        <v>0</v>
      </c>
      <c r="G450" s="4">
        <f>IF($A450=G$424,"",COUNTIF($E$4:$E$420,$A450&amp;" ضد "&amp;G$424)+COUNTIF($E$4:$E$420,G$424&amp;" ضد "&amp;$A450))</f>
        <v>0</v>
      </c>
      <c r="H450" s="4">
        <f>IF($A450=H$424,"",COUNTIF($E$4:$E$420,$A450&amp;" ضد "&amp;H$424)+COUNTIF($E$4:$E$420,H$424&amp;" ضد "&amp;$A450))</f>
        <v>0</v>
      </c>
      <c r="I450" s="4">
        <f>IF($A450=I$424,"",COUNTIF($E$4:$E$420,$A450&amp;" ضد "&amp;I$424)+COUNTIF($E$4:$E$420,I$424&amp;" ضد "&amp;$A450))</f>
        <v>0</v>
      </c>
      <c r="J450" s="4">
        <f>IF($A450=J$424,"",COUNTIF($E$4:$E$420,$A450&amp;" ضد "&amp;J$424)+COUNTIF($E$4:$E$420,J$424&amp;" ضد "&amp;$A450))</f>
        <v>0</v>
      </c>
      <c r="K450" s="4">
        <f>IF($A450=K$424,"",COUNTIF($E$4:$E$420,$A450&amp;" ضد "&amp;K$424)+COUNTIF($E$4:$E$420,K$424&amp;" ضد "&amp;$A450))</f>
        <v>0</v>
      </c>
      <c r="L450" s="4">
        <f>IF($A450=L$424,"",COUNTIF($E$4:$E$420,$A450&amp;" ضد "&amp;L$424)+COUNTIF($E$4:$E$420,L$424&amp;" ضد "&amp;$A450))</f>
        <v>0</v>
      </c>
      <c r="M450" s="4">
        <f>IF($A450=M$424,"",COUNTIF($E$4:$E$420,$A450&amp;" ضد "&amp;M$424)+COUNTIF($E$4:$E$420,M$424&amp;" ضد "&amp;$A450))</f>
        <v>0</v>
      </c>
      <c r="N450" s="4">
        <f>IF($A450=N$424,"",COUNTIF($E$4:$E$420,$A450&amp;" ضد "&amp;N$424)+COUNTIF($E$4:$E$420,N$424&amp;" ضد "&amp;$A450))</f>
        <v>0</v>
      </c>
      <c r="O450" s="4">
        <f>IF($A450=O$424,"",COUNTIF($E$4:$E$420,$A450&amp;" ضد "&amp;O$424)+COUNTIF($E$4:$E$420,O$424&amp;" ضد "&amp;$A450))</f>
        <v>0</v>
      </c>
      <c r="P450" s="4">
        <f>IF($A450=P$424,"",COUNTIF($E$4:$E$420,$A450&amp;" ضد "&amp;P$424)+COUNTIF($E$4:$E$420,P$424&amp;" ضد "&amp;$A450))</f>
        <v>0</v>
      </c>
      <c r="Q450" s="4">
        <f>IF($A450=Q$424,"",COUNTIF($E$4:$E$420,$A450&amp;" ضد "&amp;Q$424)+COUNTIF($E$4:$E$420,Q$424&amp;" ضد "&amp;$A450))</f>
        <v>0</v>
      </c>
      <c r="R450" s="4">
        <f>IF($A450=R$424,"",COUNTIF($E$4:$E$420,$A450&amp;" ضد "&amp;R$424)+COUNTIF($E$4:$E$420,R$424&amp;" ضد "&amp;$A450))</f>
        <v>0</v>
      </c>
      <c r="S450" s="4">
        <f>IF($A450=S$424,"",COUNTIF($E$4:$E$420,$A450&amp;" ضد "&amp;S$424)+COUNTIF($E$4:$E$420,S$424&amp;" ضد "&amp;$A450))</f>
        <v>0</v>
      </c>
      <c r="T450" s="4">
        <f>IF($A450=T$424,"",COUNTIF($E$4:$E$420,$A450&amp;" ضد "&amp;T$424)+COUNTIF($E$4:$E$420,T$424&amp;" ضد "&amp;$A450))</f>
        <v>0</v>
      </c>
      <c r="U450" s="4">
        <f>IF($A450=U$424,"",COUNTIF($E$4:$E$420,$A450&amp;" ضد "&amp;U$424)+COUNTIF($E$4:$E$420,U$424&amp;" ضد "&amp;$A450))</f>
        <v>0</v>
      </c>
      <c r="V450" s="4">
        <f>IF($A450=V$424,"",COUNTIF($E$4:$E$420,$A450&amp;" ضد "&amp;V$424)+COUNTIF($E$4:$E$420,V$424&amp;" ضد "&amp;$A450))</f>
        <v>0</v>
      </c>
      <c r="W450" s="4">
        <f>IF($A450=W$424,"",COUNTIF($E$4:$E$420,$A450&amp;" ضد "&amp;W$424)+COUNTIF($E$4:$E$420,W$424&amp;" ضد "&amp;$A450))</f>
        <v>0</v>
      </c>
      <c r="X450" s="4">
        <f>IF($A450=X$424,"",COUNTIF($E$4:$E$420,$A450&amp;" ضد "&amp;X$424)+COUNTIF($E$4:$E$420,X$424&amp;" ضد "&amp;$A450))</f>
        <v>0</v>
      </c>
      <c r="Y450" s="4">
        <f>IF($A450=Y$424,"",COUNTIF($E$4:$E$420,$A450&amp;" ضد "&amp;Y$424)+COUNTIF($E$4:$E$420,Y$424&amp;" ضد "&amp;$A450))</f>
        <v>0</v>
      </c>
      <c r="Z450" s="4">
        <f>IF($A450=Z$424,"",COUNTIF($E$4:$E$420,$A450&amp;" ضد "&amp;Z$424)+COUNTIF($E$4:$E$420,Z$424&amp;" ضد "&amp;$A450))</f>
        <v>1</v>
      </c>
      <c r="AA450" s="4" t="str">
        <f>IF($A450=AA$424,"",COUNTIF($E$4:$E$420,$A450&amp;" ضد "&amp;AA$424)+COUNTIF($E$4:$E$420,AA$424&amp;" ضد "&amp;$A450))</f>
        <v/>
      </c>
      <c r="AB450" s="4">
        <f>IF($A450=AB$424,"",COUNTIF($E$4:$E$420,$A450&amp;" ضد "&amp;AB$424)+COUNTIF($E$4:$E$420,AB$424&amp;" ضد "&amp;$A450))</f>
        <v>2</v>
      </c>
      <c r="AC450" s="4">
        <f>IF($A450=AC$424,"",COUNTIF($E$4:$E$420,$A450&amp;" ضد "&amp;AC$424)+COUNTIF($E$4:$E$420,AC$424&amp;" ضد "&amp;$A450))</f>
        <v>1</v>
      </c>
      <c r="AD450" s="4">
        <f>IF($A450=AD$424,"",COUNTIF($E$4:$E$420,$A450&amp;" ضد "&amp;AD$424)+COUNTIF($E$4:$E$420,AD$424&amp;" ضد "&amp;$A450))</f>
        <v>2</v>
      </c>
      <c r="AE450" s="4">
        <f>IF($A450=AE$424,"",COUNTIF($E$4:$E$420,$A450&amp;" ضد "&amp;AE$424)+COUNTIF($E$4:$E$420,AE$424&amp;" ضد "&amp;$A450))</f>
        <v>1</v>
      </c>
      <c r="AF450" s="4">
        <f>IF($A450=AF$424,"",COUNTIF($E$4:$E$420,$A450&amp;" ضد "&amp;AF$424)+COUNTIF($E$4:$E$420,AF$424&amp;" ضد "&amp;$A450))</f>
        <v>2</v>
      </c>
      <c r="AG450" s="4">
        <f>IF($A450=AG$424,"",COUNTIF($E$4:$E$420,$A450&amp;" ضد "&amp;AG$424)+COUNTIF($E$4:$E$420,AG$424&amp;" ضد "&amp;$A450))</f>
        <v>1</v>
      </c>
      <c r="AH450" s="4">
        <f>IF($A450=AH$424,"",COUNTIF($E$4:$E$420,$A450&amp;" ضد "&amp;AH$424)+COUNTIF($E$4:$E$420,AH$424&amp;" ضد "&amp;$A450))</f>
        <v>2</v>
      </c>
      <c r="AI450" s="4">
        <f>IF($A450=AI$424,"",COUNTIF($E$4:$E$420,$A450&amp;" ضد "&amp;AI$424)+COUNTIF($E$4:$E$420,AI$424&amp;" ضد "&amp;$A450))</f>
        <v>2</v>
      </c>
      <c r="AJ450" s="4">
        <f>IF($A450=AJ$424,"",COUNTIF($E$4:$E$420,$A450&amp;" ضد "&amp;AJ$424)+COUNTIF($E$4:$E$420,AJ$424&amp;" ضد "&amp;$A450))</f>
        <v>2</v>
      </c>
      <c r="AK450" s="4">
        <f>IF($A450=AK$424,"",COUNTIF($E$4:$E$420,$A450&amp;" ضد "&amp;AK$424)+COUNTIF($E$4:$E$420,AK$424&amp;" ضد "&amp;$A450))</f>
        <v>2</v>
      </c>
      <c r="AL450" s="4">
        <f>IF($A450=AL$424,"",COUNTIF($E$4:$E$420,$A450&amp;" ضد "&amp;AL$424)+COUNTIF($E$4:$E$420,AL$424&amp;" ضد "&amp;$A450))</f>
        <v>0</v>
      </c>
      <c r="AM450" s="4">
        <f>IF($A450=AM$424,"",COUNTIF($E$4:$E$420,$A450&amp;" ضد "&amp;AM$424)+COUNTIF($E$4:$E$420,AM$424&amp;" ضد "&amp;$A450))</f>
        <v>0</v>
      </c>
      <c r="AN450" s="4">
        <f>IF($A450=AN$424,"",COUNTIF($E$4:$E$420,$A450&amp;" ضد "&amp;AN$424)+COUNTIF($E$4:$E$420,AN$424&amp;" ضد "&amp;$A450))</f>
        <v>0</v>
      </c>
      <c r="AO450" s="4">
        <f>IF($A450=AO$424,"",COUNTIF($E$4:$E$420,$A450&amp;" ضد "&amp;AO$424)+COUNTIF($E$4:$E$420,AO$424&amp;" ضد "&amp;$A450))</f>
        <v>0</v>
      </c>
      <c r="AP450" s="4">
        <f>IF($A450=AP$424,"",COUNTIF($E$4:$E$420,$A450&amp;" ضد "&amp;AP$424)+COUNTIF($E$4:$E$420,AP$424&amp;" ضد "&amp;$A450))</f>
        <v>0</v>
      </c>
      <c r="AQ450" s="4">
        <f>IF($A450=AQ$424,"",COUNTIF($E$4:$E$420,$A450&amp;" ضد "&amp;AQ$424)+COUNTIF($E$4:$E$420,AQ$424&amp;" ضد "&amp;$A450))</f>
        <v>0</v>
      </c>
      <c r="AR450" s="4">
        <f>IF($A450=AR$424,"",COUNTIF($E$4:$E$420,$A450&amp;" ضد "&amp;AR$424)+COUNTIF($E$4:$E$420,AR$424&amp;" ضد "&amp;$A450))</f>
        <v>0</v>
      </c>
      <c r="AS450" s="4">
        <f>IF($A450=AS$424,"",COUNTIF($E$4:$E$420,$A450&amp;" ضد "&amp;AS$424)+COUNTIF($E$4:$E$420,AS$424&amp;" ضد "&amp;$A450))</f>
        <v>0</v>
      </c>
      <c r="AT450" s="4">
        <f>IF($A450=AT$424,"",COUNTIF($E$4:$E$420,$A450&amp;" ضد "&amp;AT$424)+COUNTIF($E$4:$E$420,AT$424&amp;" ضد "&amp;$A450))</f>
        <v>0</v>
      </c>
      <c r="AU450" s="4">
        <f>IF($A450=AU$424,"",COUNTIF($E$4:$E$420,$A450&amp;" ضد "&amp;AU$424)+COUNTIF($E$4:$E$420,AU$424&amp;" ضد "&amp;$A450))</f>
        <v>0</v>
      </c>
    </row>
    <row r="451" spans="1:47" ht="14.5">
      <c r="A451" s="14">
        <v>27</v>
      </c>
      <c r="B451" s="4">
        <f>IF($A451=B$424,"",COUNTIF($E$4:$E$420,$A451&amp;" ضد "&amp;B$424)+COUNTIF($E$4:$E$420,B$424&amp;" ضد "&amp;$A451))</f>
        <v>0</v>
      </c>
      <c r="C451" s="4">
        <f>IF($A451=C$424,"",COUNTIF($E$4:$E$420,$A451&amp;" ضد "&amp;C$424)+COUNTIF($E$4:$E$420,C$424&amp;" ضد "&amp;$A451))</f>
        <v>0</v>
      </c>
      <c r="D451" s="4">
        <f>IF($A451=D$424,"",COUNTIF($E$4:$E$420,$A451&amp;" ضد "&amp;D$424)+COUNTIF($E$4:$E$420,D$424&amp;" ضد "&amp;$A451))</f>
        <v>0</v>
      </c>
      <c r="E451" s="4">
        <f>IF($A451=E$424,"",COUNTIF($E$4:$E$420,$A451&amp;" ضد "&amp;E$424)+COUNTIF($E$4:$E$420,E$424&amp;" ضد "&amp;$A451))</f>
        <v>0</v>
      </c>
      <c r="F451" s="4">
        <f>IF($A451=F$424,"",COUNTIF($E$4:$E$420,$A451&amp;" ضد "&amp;F$424)+COUNTIF($E$4:$E$420,F$424&amp;" ضد "&amp;$A451))</f>
        <v>0</v>
      </c>
      <c r="G451" s="4">
        <f>IF($A451=G$424,"",COUNTIF($E$4:$E$420,$A451&amp;" ضد "&amp;G$424)+COUNTIF($E$4:$E$420,G$424&amp;" ضد "&amp;$A451))</f>
        <v>0</v>
      </c>
      <c r="H451" s="4">
        <f>IF($A451=H$424,"",COUNTIF($E$4:$E$420,$A451&amp;" ضد "&amp;H$424)+COUNTIF($E$4:$E$420,H$424&amp;" ضد "&amp;$A451))</f>
        <v>0</v>
      </c>
      <c r="I451" s="4">
        <f>IF($A451=I$424,"",COUNTIF($E$4:$E$420,$A451&amp;" ضد "&amp;I$424)+COUNTIF($E$4:$E$420,I$424&amp;" ضد "&amp;$A451))</f>
        <v>0</v>
      </c>
      <c r="J451" s="4">
        <f>IF($A451=J$424,"",COUNTIF($E$4:$E$420,$A451&amp;" ضد "&amp;J$424)+COUNTIF($E$4:$E$420,J$424&amp;" ضد "&amp;$A451))</f>
        <v>0</v>
      </c>
      <c r="K451" s="4">
        <f>IF($A451=K$424,"",COUNTIF($E$4:$E$420,$A451&amp;" ضد "&amp;K$424)+COUNTIF($E$4:$E$420,K$424&amp;" ضد "&amp;$A451))</f>
        <v>0</v>
      </c>
      <c r="L451" s="4">
        <f>IF($A451=L$424,"",COUNTIF($E$4:$E$420,$A451&amp;" ضد "&amp;L$424)+COUNTIF($E$4:$E$420,L$424&amp;" ضد "&amp;$A451))</f>
        <v>0</v>
      </c>
      <c r="M451" s="4">
        <f>IF($A451=M$424,"",COUNTIF($E$4:$E$420,$A451&amp;" ضد "&amp;M$424)+COUNTIF($E$4:$E$420,M$424&amp;" ضد "&amp;$A451))</f>
        <v>0</v>
      </c>
      <c r="N451" s="4">
        <f>IF($A451=N$424,"",COUNTIF($E$4:$E$420,$A451&amp;" ضد "&amp;N$424)+COUNTIF($E$4:$E$420,N$424&amp;" ضد "&amp;$A451))</f>
        <v>0</v>
      </c>
      <c r="O451" s="4">
        <f>IF($A451=O$424,"",COUNTIF($E$4:$E$420,$A451&amp;" ضد "&amp;O$424)+COUNTIF($E$4:$E$420,O$424&amp;" ضد "&amp;$A451))</f>
        <v>0</v>
      </c>
      <c r="P451" s="4">
        <f>IF($A451=P$424,"",COUNTIF($E$4:$E$420,$A451&amp;" ضد "&amp;P$424)+COUNTIF($E$4:$E$420,P$424&amp;" ضد "&amp;$A451))</f>
        <v>0</v>
      </c>
      <c r="Q451" s="4">
        <f>IF($A451=Q$424,"",COUNTIF($E$4:$E$420,$A451&amp;" ضد "&amp;Q$424)+COUNTIF($E$4:$E$420,Q$424&amp;" ضد "&amp;$A451))</f>
        <v>0</v>
      </c>
      <c r="R451" s="4">
        <f>IF($A451=R$424,"",COUNTIF($E$4:$E$420,$A451&amp;" ضد "&amp;R$424)+COUNTIF($E$4:$E$420,R$424&amp;" ضد "&amp;$A451))</f>
        <v>0</v>
      </c>
      <c r="S451" s="4">
        <f>IF($A451=S$424,"",COUNTIF($E$4:$E$420,$A451&amp;" ضد "&amp;S$424)+COUNTIF($E$4:$E$420,S$424&amp;" ضد "&amp;$A451))</f>
        <v>0</v>
      </c>
      <c r="T451" s="4">
        <f>IF($A451=T$424,"",COUNTIF($E$4:$E$420,$A451&amp;" ضد "&amp;T$424)+COUNTIF($E$4:$E$420,T$424&amp;" ضد "&amp;$A451))</f>
        <v>0</v>
      </c>
      <c r="U451" s="4">
        <f>IF($A451=U$424,"",COUNTIF($E$4:$E$420,$A451&amp;" ضد "&amp;U$424)+COUNTIF($E$4:$E$420,U$424&amp;" ضد "&amp;$A451))</f>
        <v>0</v>
      </c>
      <c r="V451" s="4">
        <f>IF($A451=V$424,"",COUNTIF($E$4:$E$420,$A451&amp;" ضد "&amp;V$424)+COUNTIF($E$4:$E$420,V$424&amp;" ضد "&amp;$A451))</f>
        <v>0</v>
      </c>
      <c r="W451" s="4">
        <f>IF($A451=W$424,"",COUNTIF($E$4:$E$420,$A451&amp;" ضد "&amp;W$424)+COUNTIF($E$4:$E$420,W$424&amp;" ضد "&amp;$A451))</f>
        <v>0</v>
      </c>
      <c r="X451" s="4">
        <f>IF($A451=X$424,"",COUNTIF($E$4:$E$420,$A451&amp;" ضد "&amp;X$424)+COUNTIF($E$4:$E$420,X$424&amp;" ضد "&amp;$A451))</f>
        <v>0</v>
      </c>
      <c r="Y451" s="4">
        <f>IF($A451=Y$424,"",COUNTIF($E$4:$E$420,$A451&amp;" ضد "&amp;Y$424)+COUNTIF($E$4:$E$420,Y$424&amp;" ضد "&amp;$A451))</f>
        <v>0</v>
      </c>
      <c r="Z451" s="4">
        <f>IF($A451=Z$424,"",COUNTIF($E$4:$E$420,$A451&amp;" ضد "&amp;Z$424)+COUNTIF($E$4:$E$420,Z$424&amp;" ضد "&amp;$A451))</f>
        <v>1</v>
      </c>
      <c r="AA451" s="4">
        <f>IF($A451=AA$424,"",COUNTIF($E$4:$E$420,$A451&amp;" ضد "&amp;AA$424)+COUNTIF($E$4:$E$420,AA$424&amp;" ضد "&amp;$A451))</f>
        <v>2</v>
      </c>
      <c r="AB451" s="4" t="str">
        <f>IF($A451=AB$424,"",COUNTIF($E$4:$E$420,$A451&amp;" ضد "&amp;AB$424)+COUNTIF($E$4:$E$420,AB$424&amp;" ضد "&amp;$A451))</f>
        <v/>
      </c>
      <c r="AC451" s="4">
        <f>IF($A451=AC$424,"",COUNTIF($E$4:$E$420,$A451&amp;" ضد "&amp;AC$424)+COUNTIF($E$4:$E$420,AC$424&amp;" ضد "&amp;$A451))</f>
        <v>2</v>
      </c>
      <c r="AD451" s="4">
        <f>IF($A451=AD$424,"",COUNTIF($E$4:$E$420,$A451&amp;" ضد "&amp;AD$424)+COUNTIF($E$4:$E$420,AD$424&amp;" ضد "&amp;$A451))</f>
        <v>1</v>
      </c>
      <c r="AE451" s="4">
        <f>IF($A451=AE$424,"",COUNTIF($E$4:$E$420,$A451&amp;" ضد "&amp;AE$424)+COUNTIF($E$4:$E$420,AE$424&amp;" ضد "&amp;$A451))</f>
        <v>2</v>
      </c>
      <c r="AF451" s="4">
        <f>IF($A451=AF$424,"",COUNTIF($E$4:$E$420,$A451&amp;" ضد "&amp;AF$424)+COUNTIF($E$4:$E$420,AF$424&amp;" ضد "&amp;$A451))</f>
        <v>1</v>
      </c>
      <c r="AG451" s="4">
        <f>IF($A451=AG$424,"",COUNTIF($E$4:$E$420,$A451&amp;" ضد "&amp;AG$424)+COUNTIF($E$4:$E$420,AG$424&amp;" ضد "&amp;$A451))</f>
        <v>2</v>
      </c>
      <c r="AH451" s="4">
        <f>IF($A451=AH$424,"",COUNTIF($E$4:$E$420,$A451&amp;" ضد "&amp;AH$424)+COUNTIF($E$4:$E$420,AH$424&amp;" ضد "&amp;$A451))</f>
        <v>2</v>
      </c>
      <c r="AI451" s="4">
        <f>IF($A451=AI$424,"",COUNTIF($E$4:$E$420,$A451&amp;" ضد "&amp;AI$424)+COUNTIF($E$4:$E$420,AI$424&amp;" ضد "&amp;$A451))</f>
        <v>2</v>
      </c>
      <c r="AJ451" s="4">
        <f>IF($A451=AJ$424,"",COUNTIF($E$4:$E$420,$A451&amp;" ضد "&amp;AJ$424)+COUNTIF($E$4:$E$420,AJ$424&amp;" ضد "&amp;$A451))</f>
        <v>2</v>
      </c>
      <c r="AK451" s="4">
        <f>IF($A451=AK$424,"",COUNTIF($E$4:$E$420,$A451&amp;" ضد "&amp;AK$424)+COUNTIF($E$4:$E$420,AK$424&amp;" ضد "&amp;$A451))</f>
        <v>1</v>
      </c>
      <c r="AL451" s="4">
        <f>IF($A451=AL$424,"",COUNTIF($E$4:$E$420,$A451&amp;" ضد "&amp;AL$424)+COUNTIF($E$4:$E$420,AL$424&amp;" ضد "&amp;$A451))</f>
        <v>0</v>
      </c>
      <c r="AM451" s="4">
        <f>IF($A451=AM$424,"",COUNTIF($E$4:$E$420,$A451&amp;" ضد "&amp;AM$424)+COUNTIF($E$4:$E$420,AM$424&amp;" ضد "&amp;$A451))</f>
        <v>0</v>
      </c>
      <c r="AN451" s="4">
        <f>IF($A451=AN$424,"",COUNTIF($E$4:$E$420,$A451&amp;" ضد "&amp;AN$424)+COUNTIF($E$4:$E$420,AN$424&amp;" ضد "&amp;$A451))</f>
        <v>0</v>
      </c>
      <c r="AO451" s="4">
        <f>IF($A451=AO$424,"",COUNTIF($E$4:$E$420,$A451&amp;" ضد "&amp;AO$424)+COUNTIF($E$4:$E$420,AO$424&amp;" ضد "&amp;$A451))</f>
        <v>0</v>
      </c>
      <c r="AP451" s="4">
        <f>IF($A451=AP$424,"",COUNTIF($E$4:$E$420,$A451&amp;" ضد "&amp;AP$424)+COUNTIF($E$4:$E$420,AP$424&amp;" ضد "&amp;$A451))</f>
        <v>0</v>
      </c>
      <c r="AQ451" s="4">
        <f>IF($A451=AQ$424,"",COUNTIF($E$4:$E$420,$A451&amp;" ضد "&amp;AQ$424)+COUNTIF($E$4:$E$420,AQ$424&amp;" ضد "&amp;$A451))</f>
        <v>0</v>
      </c>
      <c r="AR451" s="4">
        <f>IF($A451=AR$424,"",COUNTIF($E$4:$E$420,$A451&amp;" ضد "&amp;AR$424)+COUNTIF($E$4:$E$420,AR$424&amp;" ضد "&amp;$A451))</f>
        <v>0</v>
      </c>
      <c r="AS451" s="4">
        <f>IF($A451=AS$424,"",COUNTIF($E$4:$E$420,$A451&amp;" ضد "&amp;AS$424)+COUNTIF($E$4:$E$420,AS$424&amp;" ضد "&amp;$A451))</f>
        <v>0</v>
      </c>
      <c r="AT451" s="4">
        <f>IF($A451=AT$424,"",COUNTIF($E$4:$E$420,$A451&amp;" ضد "&amp;AT$424)+COUNTIF($E$4:$E$420,AT$424&amp;" ضد "&amp;$A451))</f>
        <v>0</v>
      </c>
      <c r="AU451" s="4">
        <f>IF($A451=AU$424,"",COUNTIF($E$4:$E$420,$A451&amp;" ضد "&amp;AU$424)+COUNTIF($E$4:$E$420,AU$424&amp;" ضد "&amp;$A451))</f>
        <v>0</v>
      </c>
    </row>
    <row r="452" spans="1:47" ht="14.5">
      <c r="A452" s="14">
        <v>28</v>
      </c>
      <c r="B452" s="4">
        <f>IF($A452=B$424,"",COUNTIF($E$4:$E$420,$A452&amp;" ضد "&amp;B$424)+COUNTIF($E$4:$E$420,B$424&amp;" ضد "&amp;$A452))</f>
        <v>0</v>
      </c>
      <c r="C452" s="4">
        <f>IF($A452=C$424,"",COUNTIF($E$4:$E$420,$A452&amp;" ضد "&amp;C$424)+COUNTIF($E$4:$E$420,C$424&amp;" ضد "&amp;$A452))</f>
        <v>0</v>
      </c>
      <c r="D452" s="4">
        <f>IF($A452=D$424,"",COUNTIF($E$4:$E$420,$A452&amp;" ضد "&amp;D$424)+COUNTIF($E$4:$E$420,D$424&amp;" ضد "&amp;$A452))</f>
        <v>0</v>
      </c>
      <c r="E452" s="4">
        <f>IF($A452=E$424,"",COUNTIF($E$4:$E$420,$A452&amp;" ضد "&amp;E$424)+COUNTIF($E$4:$E$420,E$424&amp;" ضد "&amp;$A452))</f>
        <v>0</v>
      </c>
      <c r="F452" s="4">
        <f>IF($A452=F$424,"",COUNTIF($E$4:$E$420,$A452&amp;" ضد "&amp;F$424)+COUNTIF($E$4:$E$420,F$424&amp;" ضد "&amp;$A452))</f>
        <v>0</v>
      </c>
      <c r="G452" s="4">
        <f>IF($A452=G$424,"",COUNTIF($E$4:$E$420,$A452&amp;" ضد "&amp;G$424)+COUNTIF($E$4:$E$420,G$424&amp;" ضد "&amp;$A452))</f>
        <v>0</v>
      </c>
      <c r="H452" s="4">
        <f>IF($A452=H$424,"",COUNTIF($E$4:$E$420,$A452&amp;" ضد "&amp;H$424)+COUNTIF($E$4:$E$420,H$424&amp;" ضد "&amp;$A452))</f>
        <v>0</v>
      </c>
      <c r="I452" s="4">
        <f>IF($A452=I$424,"",COUNTIF($E$4:$E$420,$A452&amp;" ضد "&amp;I$424)+COUNTIF($E$4:$E$420,I$424&amp;" ضد "&amp;$A452))</f>
        <v>0</v>
      </c>
      <c r="J452" s="4">
        <f>IF($A452=J$424,"",COUNTIF($E$4:$E$420,$A452&amp;" ضد "&amp;J$424)+COUNTIF($E$4:$E$420,J$424&amp;" ضد "&amp;$A452))</f>
        <v>0</v>
      </c>
      <c r="K452" s="4">
        <f>IF($A452=K$424,"",COUNTIF($E$4:$E$420,$A452&amp;" ضد "&amp;K$424)+COUNTIF($E$4:$E$420,K$424&amp;" ضد "&amp;$A452))</f>
        <v>0</v>
      </c>
      <c r="L452" s="4">
        <f>IF($A452=L$424,"",COUNTIF($E$4:$E$420,$A452&amp;" ضد "&amp;L$424)+COUNTIF($E$4:$E$420,L$424&amp;" ضد "&amp;$A452))</f>
        <v>0</v>
      </c>
      <c r="M452" s="4">
        <f>IF($A452=M$424,"",COUNTIF($E$4:$E$420,$A452&amp;" ضد "&amp;M$424)+COUNTIF($E$4:$E$420,M$424&amp;" ضد "&amp;$A452))</f>
        <v>0</v>
      </c>
      <c r="N452" s="4">
        <f>IF($A452=N$424,"",COUNTIF($E$4:$E$420,$A452&amp;" ضد "&amp;N$424)+COUNTIF($E$4:$E$420,N$424&amp;" ضد "&amp;$A452))</f>
        <v>0</v>
      </c>
      <c r="O452" s="4">
        <f>IF($A452=O$424,"",COUNTIF($E$4:$E$420,$A452&amp;" ضد "&amp;O$424)+COUNTIF($E$4:$E$420,O$424&amp;" ضد "&amp;$A452))</f>
        <v>0</v>
      </c>
      <c r="P452" s="4">
        <f>IF($A452=P$424,"",COUNTIF($E$4:$E$420,$A452&amp;" ضد "&amp;P$424)+COUNTIF($E$4:$E$420,P$424&amp;" ضد "&amp;$A452))</f>
        <v>0</v>
      </c>
      <c r="Q452" s="4">
        <f>IF($A452=Q$424,"",COUNTIF($E$4:$E$420,$A452&amp;" ضد "&amp;Q$424)+COUNTIF($E$4:$E$420,Q$424&amp;" ضد "&amp;$A452))</f>
        <v>0</v>
      </c>
      <c r="R452" s="4">
        <f>IF($A452=R$424,"",COUNTIF($E$4:$E$420,$A452&amp;" ضد "&amp;R$424)+COUNTIF($E$4:$E$420,R$424&amp;" ضد "&amp;$A452))</f>
        <v>0</v>
      </c>
      <c r="S452" s="4">
        <f>IF($A452=S$424,"",COUNTIF($E$4:$E$420,$A452&amp;" ضد "&amp;S$424)+COUNTIF($E$4:$E$420,S$424&amp;" ضد "&amp;$A452))</f>
        <v>0</v>
      </c>
      <c r="T452" s="4">
        <f>IF($A452=T$424,"",COUNTIF($E$4:$E$420,$A452&amp;" ضد "&amp;T$424)+COUNTIF($E$4:$E$420,T$424&amp;" ضد "&amp;$A452))</f>
        <v>0</v>
      </c>
      <c r="U452" s="4">
        <f>IF($A452=U$424,"",COUNTIF($E$4:$E$420,$A452&amp;" ضد "&amp;U$424)+COUNTIF($E$4:$E$420,U$424&amp;" ضد "&amp;$A452))</f>
        <v>0</v>
      </c>
      <c r="V452" s="4">
        <f>IF($A452=V$424,"",COUNTIF($E$4:$E$420,$A452&amp;" ضد "&amp;V$424)+COUNTIF($E$4:$E$420,V$424&amp;" ضد "&amp;$A452))</f>
        <v>0</v>
      </c>
      <c r="W452" s="4">
        <f>IF($A452=W$424,"",COUNTIF($E$4:$E$420,$A452&amp;" ضد "&amp;W$424)+COUNTIF($E$4:$E$420,W$424&amp;" ضد "&amp;$A452))</f>
        <v>0</v>
      </c>
      <c r="X452" s="4">
        <f>IF($A452=X$424,"",COUNTIF($E$4:$E$420,$A452&amp;" ضد "&amp;X$424)+COUNTIF($E$4:$E$420,X$424&amp;" ضد "&amp;$A452))</f>
        <v>0</v>
      </c>
      <c r="Y452" s="4">
        <f>IF($A452=Y$424,"",COUNTIF($E$4:$E$420,$A452&amp;" ضد "&amp;Y$424)+COUNTIF($E$4:$E$420,Y$424&amp;" ضد "&amp;$A452))</f>
        <v>0</v>
      </c>
      <c r="Z452" s="4">
        <f>IF($A452=Z$424,"",COUNTIF($E$4:$E$420,$A452&amp;" ضد "&amp;Z$424)+COUNTIF($E$4:$E$420,Z$424&amp;" ضد "&amp;$A452))</f>
        <v>1</v>
      </c>
      <c r="AA452" s="4">
        <f>IF($A452=AA$424,"",COUNTIF($E$4:$E$420,$A452&amp;" ضد "&amp;AA$424)+COUNTIF($E$4:$E$420,AA$424&amp;" ضد "&amp;$A452))</f>
        <v>1</v>
      </c>
      <c r="AB452" s="4">
        <f>IF($A452=AB$424,"",COUNTIF($E$4:$E$420,$A452&amp;" ضد "&amp;AB$424)+COUNTIF($E$4:$E$420,AB$424&amp;" ضد "&amp;$A452))</f>
        <v>2</v>
      </c>
      <c r="AC452" s="4" t="str">
        <f>IF($A452=AC$424,"",COUNTIF($E$4:$E$420,$A452&amp;" ضد "&amp;AC$424)+COUNTIF($E$4:$E$420,AC$424&amp;" ضد "&amp;$A452))</f>
        <v/>
      </c>
      <c r="AD452" s="4">
        <f>IF($A452=AD$424,"",COUNTIF($E$4:$E$420,$A452&amp;" ضد "&amp;AD$424)+COUNTIF($E$4:$E$420,AD$424&amp;" ضد "&amp;$A452))</f>
        <v>2</v>
      </c>
      <c r="AE452" s="4">
        <f>IF($A452=AE$424,"",COUNTIF($E$4:$E$420,$A452&amp;" ضد "&amp;AE$424)+COUNTIF($E$4:$E$420,AE$424&amp;" ضد "&amp;$A452))</f>
        <v>1</v>
      </c>
      <c r="AF452" s="4">
        <f>IF($A452=AF$424,"",COUNTIF($E$4:$E$420,$A452&amp;" ضد "&amp;AF$424)+COUNTIF($E$4:$E$420,AF$424&amp;" ضد "&amp;$A452))</f>
        <v>2</v>
      </c>
      <c r="AG452" s="4">
        <f>IF($A452=AG$424,"",COUNTIF($E$4:$E$420,$A452&amp;" ضد "&amp;AG$424)+COUNTIF($E$4:$E$420,AG$424&amp;" ضد "&amp;$A452))</f>
        <v>2</v>
      </c>
      <c r="AH452" s="4">
        <f>IF($A452=AH$424,"",COUNTIF($E$4:$E$420,$A452&amp;" ضد "&amp;AH$424)+COUNTIF($E$4:$E$420,AH$424&amp;" ضد "&amp;$A452))</f>
        <v>2</v>
      </c>
      <c r="AI452" s="4">
        <f>IF($A452=AI$424,"",COUNTIF($E$4:$E$420,$A452&amp;" ضد "&amp;AI$424)+COUNTIF($E$4:$E$420,AI$424&amp;" ضد "&amp;$A452))</f>
        <v>2</v>
      </c>
      <c r="AJ452" s="4">
        <f>IF($A452=AJ$424,"",COUNTIF($E$4:$E$420,$A452&amp;" ضد "&amp;AJ$424)+COUNTIF($E$4:$E$420,AJ$424&amp;" ضد "&amp;$A452))</f>
        <v>1</v>
      </c>
      <c r="AK452" s="4">
        <f>IF($A452=AK$424,"",COUNTIF($E$4:$E$420,$A452&amp;" ضد "&amp;AK$424)+COUNTIF($E$4:$E$420,AK$424&amp;" ضد "&amp;$A452))</f>
        <v>2</v>
      </c>
      <c r="AL452" s="4">
        <f>IF($A452=AL$424,"",COUNTIF($E$4:$E$420,$A452&amp;" ضد "&amp;AL$424)+COUNTIF($E$4:$E$420,AL$424&amp;" ضد "&amp;$A452))</f>
        <v>0</v>
      </c>
      <c r="AM452" s="4">
        <f>IF($A452=AM$424,"",COUNTIF($E$4:$E$420,$A452&amp;" ضد "&amp;AM$424)+COUNTIF($E$4:$E$420,AM$424&amp;" ضد "&amp;$A452))</f>
        <v>0</v>
      </c>
      <c r="AN452" s="4">
        <f>IF($A452=AN$424,"",COUNTIF($E$4:$E$420,$A452&amp;" ضد "&amp;AN$424)+COUNTIF($E$4:$E$420,AN$424&amp;" ضد "&amp;$A452))</f>
        <v>0</v>
      </c>
      <c r="AO452" s="4">
        <f>IF($A452=AO$424,"",COUNTIF($E$4:$E$420,$A452&amp;" ضد "&amp;AO$424)+COUNTIF($E$4:$E$420,AO$424&amp;" ضد "&amp;$A452))</f>
        <v>0</v>
      </c>
      <c r="AP452" s="4">
        <f>IF($A452=AP$424,"",COUNTIF($E$4:$E$420,$A452&amp;" ضد "&amp;AP$424)+COUNTIF($E$4:$E$420,AP$424&amp;" ضد "&amp;$A452))</f>
        <v>0</v>
      </c>
      <c r="AQ452" s="4">
        <f>IF($A452=AQ$424,"",COUNTIF($E$4:$E$420,$A452&amp;" ضد "&amp;AQ$424)+COUNTIF($E$4:$E$420,AQ$424&amp;" ضد "&amp;$A452))</f>
        <v>0</v>
      </c>
      <c r="AR452" s="4">
        <f>IF($A452=AR$424,"",COUNTIF($E$4:$E$420,$A452&amp;" ضد "&amp;AR$424)+COUNTIF($E$4:$E$420,AR$424&amp;" ضد "&amp;$A452))</f>
        <v>0</v>
      </c>
      <c r="AS452" s="4">
        <f>IF($A452=AS$424,"",COUNTIF($E$4:$E$420,$A452&amp;" ضد "&amp;AS$424)+COUNTIF($E$4:$E$420,AS$424&amp;" ضد "&amp;$A452))</f>
        <v>0</v>
      </c>
      <c r="AT452" s="4">
        <f>IF($A452=AT$424,"",COUNTIF($E$4:$E$420,$A452&amp;" ضد "&amp;AT$424)+COUNTIF($E$4:$E$420,AT$424&amp;" ضد "&amp;$A452))</f>
        <v>0</v>
      </c>
      <c r="AU452" s="4">
        <f>IF($A452=AU$424,"",COUNTIF($E$4:$E$420,$A452&amp;" ضد "&amp;AU$424)+COUNTIF($E$4:$E$420,AU$424&amp;" ضد "&amp;$A452))</f>
        <v>0</v>
      </c>
    </row>
    <row r="453" spans="1:47" ht="14.5">
      <c r="A453" s="14">
        <v>29</v>
      </c>
      <c r="B453" s="4">
        <f>IF($A453=B$424,"",COUNTIF($E$4:$E$420,$A453&amp;" ضد "&amp;B$424)+COUNTIF($E$4:$E$420,B$424&amp;" ضد "&amp;$A453))</f>
        <v>0</v>
      </c>
      <c r="C453" s="4">
        <f>IF($A453=C$424,"",COUNTIF($E$4:$E$420,$A453&amp;" ضد "&amp;C$424)+COUNTIF($E$4:$E$420,C$424&amp;" ضد "&amp;$A453))</f>
        <v>0</v>
      </c>
      <c r="D453" s="4">
        <f>IF($A453=D$424,"",COUNTIF($E$4:$E$420,$A453&amp;" ضد "&amp;D$424)+COUNTIF($E$4:$E$420,D$424&amp;" ضد "&amp;$A453))</f>
        <v>0</v>
      </c>
      <c r="E453" s="4">
        <f>IF($A453=E$424,"",COUNTIF($E$4:$E$420,$A453&amp;" ضد "&amp;E$424)+COUNTIF($E$4:$E$420,E$424&amp;" ضد "&amp;$A453))</f>
        <v>0</v>
      </c>
      <c r="F453" s="4">
        <f>IF($A453=F$424,"",COUNTIF($E$4:$E$420,$A453&amp;" ضد "&amp;F$424)+COUNTIF($E$4:$E$420,F$424&amp;" ضد "&amp;$A453))</f>
        <v>0</v>
      </c>
      <c r="G453" s="4">
        <f>IF($A453=G$424,"",COUNTIF($E$4:$E$420,$A453&amp;" ضد "&amp;G$424)+COUNTIF($E$4:$E$420,G$424&amp;" ضد "&amp;$A453))</f>
        <v>0</v>
      </c>
      <c r="H453" s="4">
        <f>IF($A453=H$424,"",COUNTIF($E$4:$E$420,$A453&amp;" ضد "&amp;H$424)+COUNTIF($E$4:$E$420,H$424&amp;" ضد "&amp;$A453))</f>
        <v>0</v>
      </c>
      <c r="I453" s="4">
        <f>IF($A453=I$424,"",COUNTIF($E$4:$E$420,$A453&amp;" ضد "&amp;I$424)+COUNTIF($E$4:$E$420,I$424&amp;" ضد "&amp;$A453))</f>
        <v>0</v>
      </c>
      <c r="J453" s="4">
        <f>IF($A453=J$424,"",COUNTIF($E$4:$E$420,$A453&amp;" ضد "&amp;J$424)+COUNTIF($E$4:$E$420,J$424&amp;" ضد "&amp;$A453))</f>
        <v>0</v>
      </c>
      <c r="K453" s="4">
        <f>IF($A453=K$424,"",COUNTIF($E$4:$E$420,$A453&amp;" ضد "&amp;K$424)+COUNTIF($E$4:$E$420,K$424&amp;" ضد "&amp;$A453))</f>
        <v>0</v>
      </c>
      <c r="L453" s="4">
        <f>IF($A453=L$424,"",COUNTIF($E$4:$E$420,$A453&amp;" ضد "&amp;L$424)+COUNTIF($E$4:$E$420,L$424&amp;" ضد "&amp;$A453))</f>
        <v>0</v>
      </c>
      <c r="M453" s="4">
        <f>IF($A453=M$424,"",COUNTIF($E$4:$E$420,$A453&amp;" ضد "&amp;M$424)+COUNTIF($E$4:$E$420,M$424&amp;" ضد "&amp;$A453))</f>
        <v>0</v>
      </c>
      <c r="N453" s="4">
        <f>IF($A453=N$424,"",COUNTIF($E$4:$E$420,$A453&amp;" ضد "&amp;N$424)+COUNTIF($E$4:$E$420,N$424&amp;" ضد "&amp;$A453))</f>
        <v>0</v>
      </c>
      <c r="O453" s="4">
        <f>IF($A453=O$424,"",COUNTIF($E$4:$E$420,$A453&amp;" ضد "&amp;O$424)+COUNTIF($E$4:$E$420,O$424&amp;" ضد "&amp;$A453))</f>
        <v>0</v>
      </c>
      <c r="P453" s="4">
        <f>IF($A453=P$424,"",COUNTIF($E$4:$E$420,$A453&amp;" ضد "&amp;P$424)+COUNTIF($E$4:$E$420,P$424&amp;" ضد "&amp;$A453))</f>
        <v>0</v>
      </c>
      <c r="Q453" s="4">
        <f>IF($A453=Q$424,"",COUNTIF($E$4:$E$420,$A453&amp;" ضد "&amp;Q$424)+COUNTIF($E$4:$E$420,Q$424&amp;" ضد "&amp;$A453))</f>
        <v>0</v>
      </c>
      <c r="R453" s="4">
        <f>IF($A453=R$424,"",COUNTIF($E$4:$E$420,$A453&amp;" ضد "&amp;R$424)+COUNTIF($E$4:$E$420,R$424&amp;" ضد "&amp;$A453))</f>
        <v>0</v>
      </c>
      <c r="S453" s="4">
        <f>IF($A453=S$424,"",COUNTIF($E$4:$E$420,$A453&amp;" ضد "&amp;S$424)+COUNTIF($E$4:$E$420,S$424&amp;" ضد "&amp;$A453))</f>
        <v>0</v>
      </c>
      <c r="T453" s="4">
        <f>IF($A453=T$424,"",COUNTIF($E$4:$E$420,$A453&amp;" ضد "&amp;T$424)+COUNTIF($E$4:$E$420,T$424&amp;" ضد "&amp;$A453))</f>
        <v>0</v>
      </c>
      <c r="U453" s="4">
        <f>IF($A453=U$424,"",COUNTIF($E$4:$E$420,$A453&amp;" ضد "&amp;U$424)+COUNTIF($E$4:$E$420,U$424&amp;" ضد "&amp;$A453))</f>
        <v>0</v>
      </c>
      <c r="V453" s="4">
        <f>IF($A453=V$424,"",COUNTIF($E$4:$E$420,$A453&amp;" ضد "&amp;V$424)+COUNTIF($E$4:$E$420,V$424&amp;" ضد "&amp;$A453))</f>
        <v>0</v>
      </c>
      <c r="W453" s="4">
        <f>IF($A453=W$424,"",COUNTIF($E$4:$E$420,$A453&amp;" ضد "&amp;W$424)+COUNTIF($E$4:$E$420,W$424&amp;" ضد "&amp;$A453))</f>
        <v>0</v>
      </c>
      <c r="X453" s="4">
        <f>IF($A453=X$424,"",COUNTIF($E$4:$E$420,$A453&amp;" ضد "&amp;X$424)+COUNTIF($E$4:$E$420,X$424&amp;" ضد "&amp;$A453))</f>
        <v>0</v>
      </c>
      <c r="Y453" s="4">
        <f>IF($A453=Y$424,"",COUNTIF($E$4:$E$420,$A453&amp;" ضد "&amp;Y$424)+COUNTIF($E$4:$E$420,Y$424&amp;" ضد "&amp;$A453))</f>
        <v>0</v>
      </c>
      <c r="Z453" s="4">
        <f>IF($A453=Z$424,"",COUNTIF($E$4:$E$420,$A453&amp;" ضد "&amp;Z$424)+COUNTIF($E$4:$E$420,Z$424&amp;" ضد "&amp;$A453))</f>
        <v>1</v>
      </c>
      <c r="AA453" s="4">
        <f>IF($A453=AA$424,"",COUNTIF($E$4:$E$420,$A453&amp;" ضد "&amp;AA$424)+COUNTIF($E$4:$E$420,AA$424&amp;" ضد "&amp;$A453))</f>
        <v>2</v>
      </c>
      <c r="AB453" s="4">
        <f>IF($A453=AB$424,"",COUNTIF($E$4:$E$420,$A453&amp;" ضد "&amp;AB$424)+COUNTIF($E$4:$E$420,AB$424&amp;" ضد "&amp;$A453))</f>
        <v>1</v>
      </c>
      <c r="AC453" s="4">
        <f>IF($A453=AC$424,"",COUNTIF($E$4:$E$420,$A453&amp;" ضد "&amp;AC$424)+COUNTIF($E$4:$E$420,AC$424&amp;" ضد "&amp;$A453))</f>
        <v>2</v>
      </c>
      <c r="AD453" s="4" t="str">
        <f>IF($A453=AD$424,"",COUNTIF($E$4:$E$420,$A453&amp;" ضد "&amp;AD$424)+COUNTIF($E$4:$E$420,AD$424&amp;" ضد "&amp;$A453))</f>
        <v/>
      </c>
      <c r="AE453" s="4">
        <f>IF($A453=AE$424,"",COUNTIF($E$4:$E$420,$A453&amp;" ضد "&amp;AE$424)+COUNTIF($E$4:$E$420,AE$424&amp;" ضد "&amp;$A453))</f>
        <v>2</v>
      </c>
      <c r="AF453" s="4">
        <f>IF($A453=AF$424,"",COUNTIF($E$4:$E$420,$A453&amp;" ضد "&amp;AF$424)+COUNTIF($E$4:$E$420,AF$424&amp;" ضد "&amp;$A453))</f>
        <v>2</v>
      </c>
      <c r="AG453" s="4">
        <f>IF($A453=AG$424,"",COUNTIF($E$4:$E$420,$A453&amp;" ضد "&amp;AG$424)+COUNTIF($E$4:$E$420,AG$424&amp;" ضد "&amp;$A453))</f>
        <v>2</v>
      </c>
      <c r="AH453" s="4">
        <f>IF($A453=AH$424,"",COUNTIF($E$4:$E$420,$A453&amp;" ضد "&amp;AH$424)+COUNTIF($E$4:$E$420,AH$424&amp;" ضد "&amp;$A453))</f>
        <v>2</v>
      </c>
      <c r="AI453" s="4">
        <f>IF($A453=AI$424,"",COUNTIF($E$4:$E$420,$A453&amp;" ضد "&amp;AI$424)+COUNTIF($E$4:$E$420,AI$424&amp;" ضد "&amp;$A453))</f>
        <v>1</v>
      </c>
      <c r="AJ453" s="4">
        <f>IF($A453=AJ$424,"",COUNTIF($E$4:$E$420,$A453&amp;" ضد "&amp;AJ$424)+COUNTIF($E$4:$E$420,AJ$424&amp;" ضد "&amp;$A453))</f>
        <v>2</v>
      </c>
      <c r="AK453" s="4">
        <f>IF($A453=AK$424,"",COUNTIF($E$4:$E$420,$A453&amp;" ضد "&amp;AK$424)+COUNTIF($E$4:$E$420,AK$424&amp;" ضد "&amp;$A453))</f>
        <v>1</v>
      </c>
      <c r="AL453" s="4">
        <f>IF($A453=AL$424,"",COUNTIF($E$4:$E$420,$A453&amp;" ضد "&amp;AL$424)+COUNTIF($E$4:$E$420,AL$424&amp;" ضد "&amp;$A453))</f>
        <v>0</v>
      </c>
      <c r="AM453" s="4">
        <f>IF($A453=AM$424,"",COUNTIF($E$4:$E$420,$A453&amp;" ضد "&amp;AM$424)+COUNTIF($E$4:$E$420,AM$424&amp;" ضد "&amp;$A453))</f>
        <v>0</v>
      </c>
      <c r="AN453" s="4">
        <f>IF($A453=AN$424,"",COUNTIF($E$4:$E$420,$A453&amp;" ضد "&amp;AN$424)+COUNTIF($E$4:$E$420,AN$424&amp;" ضد "&amp;$A453))</f>
        <v>0</v>
      </c>
      <c r="AO453" s="4">
        <f>IF($A453=AO$424,"",COUNTIF($E$4:$E$420,$A453&amp;" ضد "&amp;AO$424)+COUNTIF($E$4:$E$420,AO$424&amp;" ضد "&amp;$A453))</f>
        <v>0</v>
      </c>
      <c r="AP453" s="4">
        <f>IF($A453=AP$424,"",COUNTIF($E$4:$E$420,$A453&amp;" ضد "&amp;AP$424)+COUNTIF($E$4:$E$420,AP$424&amp;" ضد "&amp;$A453))</f>
        <v>0</v>
      </c>
      <c r="AQ453" s="4">
        <f>IF($A453=AQ$424,"",COUNTIF($E$4:$E$420,$A453&amp;" ضد "&amp;AQ$424)+COUNTIF($E$4:$E$420,AQ$424&amp;" ضد "&amp;$A453))</f>
        <v>0</v>
      </c>
      <c r="AR453" s="4">
        <f>IF($A453=AR$424,"",COUNTIF($E$4:$E$420,$A453&amp;" ضد "&amp;AR$424)+COUNTIF($E$4:$E$420,AR$424&amp;" ضد "&amp;$A453))</f>
        <v>0</v>
      </c>
      <c r="AS453" s="4">
        <f>IF($A453=AS$424,"",COUNTIF($E$4:$E$420,$A453&amp;" ضد "&amp;AS$424)+COUNTIF($E$4:$E$420,AS$424&amp;" ضد "&amp;$A453))</f>
        <v>0</v>
      </c>
      <c r="AT453" s="4">
        <f>IF($A453=AT$424,"",COUNTIF($E$4:$E$420,$A453&amp;" ضد "&amp;AT$424)+COUNTIF($E$4:$E$420,AT$424&amp;" ضد "&amp;$A453))</f>
        <v>0</v>
      </c>
      <c r="AU453" s="4">
        <f>IF($A453=AU$424,"",COUNTIF($E$4:$E$420,$A453&amp;" ضد "&amp;AU$424)+COUNTIF($E$4:$E$420,AU$424&amp;" ضد "&amp;$A453))</f>
        <v>0</v>
      </c>
    </row>
    <row r="454" spans="1:47" ht="14.5">
      <c r="A454" s="14">
        <v>30</v>
      </c>
      <c r="B454" s="4">
        <f>IF($A454=B$424,"",COUNTIF($E$4:$E$420,$A454&amp;" ضد "&amp;B$424)+COUNTIF($E$4:$E$420,B$424&amp;" ضد "&amp;$A454))</f>
        <v>0</v>
      </c>
      <c r="C454" s="4">
        <f>IF($A454=C$424,"",COUNTIF($E$4:$E$420,$A454&amp;" ضد "&amp;C$424)+COUNTIF($E$4:$E$420,C$424&amp;" ضد "&amp;$A454))</f>
        <v>0</v>
      </c>
      <c r="D454" s="4">
        <f>IF($A454=D$424,"",COUNTIF($E$4:$E$420,$A454&amp;" ضد "&amp;D$424)+COUNTIF($E$4:$E$420,D$424&amp;" ضد "&amp;$A454))</f>
        <v>0</v>
      </c>
      <c r="E454" s="4">
        <f>IF($A454=E$424,"",COUNTIF($E$4:$E$420,$A454&amp;" ضد "&amp;E$424)+COUNTIF($E$4:$E$420,E$424&amp;" ضد "&amp;$A454))</f>
        <v>0</v>
      </c>
      <c r="F454" s="4">
        <f>IF($A454=F$424,"",COUNTIF($E$4:$E$420,$A454&amp;" ضد "&amp;F$424)+COUNTIF($E$4:$E$420,F$424&amp;" ضد "&amp;$A454))</f>
        <v>0</v>
      </c>
      <c r="G454" s="4">
        <f>IF($A454=G$424,"",COUNTIF($E$4:$E$420,$A454&amp;" ضد "&amp;G$424)+COUNTIF($E$4:$E$420,G$424&amp;" ضد "&amp;$A454))</f>
        <v>0</v>
      </c>
      <c r="H454" s="4">
        <f>IF($A454=H$424,"",COUNTIF($E$4:$E$420,$A454&amp;" ضد "&amp;H$424)+COUNTIF($E$4:$E$420,H$424&amp;" ضد "&amp;$A454))</f>
        <v>0</v>
      </c>
      <c r="I454" s="4">
        <f>IF($A454=I$424,"",COUNTIF($E$4:$E$420,$A454&amp;" ضد "&amp;I$424)+COUNTIF($E$4:$E$420,I$424&amp;" ضد "&amp;$A454))</f>
        <v>0</v>
      </c>
      <c r="J454" s="4">
        <f>IF($A454=J$424,"",COUNTIF($E$4:$E$420,$A454&amp;" ضد "&amp;J$424)+COUNTIF($E$4:$E$420,J$424&amp;" ضد "&amp;$A454))</f>
        <v>0</v>
      </c>
      <c r="K454" s="4">
        <f>IF($A454=K$424,"",COUNTIF($E$4:$E$420,$A454&amp;" ضد "&amp;K$424)+COUNTIF($E$4:$E$420,K$424&amp;" ضد "&amp;$A454))</f>
        <v>0</v>
      </c>
      <c r="L454" s="4">
        <f>IF($A454=L$424,"",COUNTIF($E$4:$E$420,$A454&amp;" ضد "&amp;L$424)+COUNTIF($E$4:$E$420,L$424&amp;" ضد "&amp;$A454))</f>
        <v>0</v>
      </c>
      <c r="M454" s="4">
        <f>IF($A454=M$424,"",COUNTIF($E$4:$E$420,$A454&amp;" ضد "&amp;M$424)+COUNTIF($E$4:$E$420,M$424&amp;" ضد "&amp;$A454))</f>
        <v>0</v>
      </c>
      <c r="N454" s="4">
        <f>IF($A454=N$424,"",COUNTIF($E$4:$E$420,$A454&amp;" ضد "&amp;N$424)+COUNTIF($E$4:$E$420,N$424&amp;" ضد "&amp;$A454))</f>
        <v>0</v>
      </c>
      <c r="O454" s="4">
        <f>IF($A454=O$424,"",COUNTIF($E$4:$E$420,$A454&amp;" ضد "&amp;O$424)+COUNTIF($E$4:$E$420,O$424&amp;" ضد "&amp;$A454))</f>
        <v>0</v>
      </c>
      <c r="P454" s="4">
        <f>IF($A454=P$424,"",COUNTIF($E$4:$E$420,$A454&amp;" ضد "&amp;P$424)+COUNTIF($E$4:$E$420,P$424&amp;" ضد "&amp;$A454))</f>
        <v>0</v>
      </c>
      <c r="Q454" s="4">
        <f>IF($A454=Q$424,"",COUNTIF($E$4:$E$420,$A454&amp;" ضد "&amp;Q$424)+COUNTIF($E$4:$E$420,Q$424&amp;" ضد "&amp;$A454))</f>
        <v>0</v>
      </c>
      <c r="R454" s="4">
        <f>IF($A454=R$424,"",COUNTIF($E$4:$E$420,$A454&amp;" ضد "&amp;R$424)+COUNTIF($E$4:$E$420,R$424&amp;" ضد "&amp;$A454))</f>
        <v>0</v>
      </c>
      <c r="S454" s="4">
        <f>IF($A454=S$424,"",COUNTIF($E$4:$E$420,$A454&amp;" ضد "&amp;S$424)+COUNTIF($E$4:$E$420,S$424&amp;" ضد "&amp;$A454))</f>
        <v>0</v>
      </c>
      <c r="T454" s="4">
        <f>IF($A454=T$424,"",COUNTIF($E$4:$E$420,$A454&amp;" ضد "&amp;T$424)+COUNTIF($E$4:$E$420,T$424&amp;" ضد "&amp;$A454))</f>
        <v>0</v>
      </c>
      <c r="U454" s="4">
        <f>IF($A454=U$424,"",COUNTIF($E$4:$E$420,$A454&amp;" ضد "&amp;U$424)+COUNTIF($E$4:$E$420,U$424&amp;" ضد "&amp;$A454))</f>
        <v>0</v>
      </c>
      <c r="V454" s="4">
        <f>IF($A454=V$424,"",COUNTIF($E$4:$E$420,$A454&amp;" ضد "&amp;V$424)+COUNTIF($E$4:$E$420,V$424&amp;" ضد "&amp;$A454))</f>
        <v>0</v>
      </c>
      <c r="W454" s="4">
        <f>IF($A454=W$424,"",COUNTIF($E$4:$E$420,$A454&amp;" ضد "&amp;W$424)+COUNTIF($E$4:$E$420,W$424&amp;" ضد "&amp;$A454))</f>
        <v>0</v>
      </c>
      <c r="X454" s="4">
        <f>IF($A454=X$424,"",COUNTIF($E$4:$E$420,$A454&amp;" ضد "&amp;X$424)+COUNTIF($E$4:$E$420,X$424&amp;" ضد "&amp;$A454))</f>
        <v>0</v>
      </c>
      <c r="Y454" s="4">
        <f>IF($A454=Y$424,"",COUNTIF($E$4:$E$420,$A454&amp;" ضد "&amp;Y$424)+COUNTIF($E$4:$E$420,Y$424&amp;" ضد "&amp;$A454))</f>
        <v>0</v>
      </c>
      <c r="Z454" s="4">
        <f>IF($A454=Z$424,"",COUNTIF($E$4:$E$420,$A454&amp;" ضد "&amp;Z$424)+COUNTIF($E$4:$E$420,Z$424&amp;" ضد "&amp;$A454))</f>
        <v>2</v>
      </c>
      <c r="AA454" s="4">
        <f>IF($A454=AA$424,"",COUNTIF($E$4:$E$420,$A454&amp;" ضد "&amp;AA$424)+COUNTIF($E$4:$E$420,AA$424&amp;" ضد "&amp;$A454))</f>
        <v>1</v>
      </c>
      <c r="AB454" s="4">
        <f>IF($A454=AB$424,"",COUNTIF($E$4:$E$420,$A454&amp;" ضد "&amp;AB$424)+COUNTIF($E$4:$E$420,AB$424&amp;" ضد "&amp;$A454))</f>
        <v>2</v>
      </c>
      <c r="AC454" s="4">
        <f>IF($A454=AC$424,"",COUNTIF($E$4:$E$420,$A454&amp;" ضد "&amp;AC$424)+COUNTIF($E$4:$E$420,AC$424&amp;" ضد "&amp;$A454))</f>
        <v>1</v>
      </c>
      <c r="AD454" s="4">
        <f>IF($A454=AD$424,"",COUNTIF($E$4:$E$420,$A454&amp;" ضد "&amp;AD$424)+COUNTIF($E$4:$E$420,AD$424&amp;" ضد "&amp;$A454))</f>
        <v>2</v>
      </c>
      <c r="AE454" s="4" t="str">
        <f>IF($A454=AE$424,"",COUNTIF($E$4:$E$420,$A454&amp;" ضد "&amp;AE$424)+COUNTIF($E$4:$E$420,AE$424&amp;" ضد "&amp;$A454))</f>
        <v/>
      </c>
      <c r="AF454" s="4">
        <f>IF($A454=AF$424,"",COUNTIF($E$4:$E$420,$A454&amp;" ضد "&amp;AF$424)+COUNTIF($E$4:$E$420,AF$424&amp;" ضد "&amp;$A454))</f>
        <v>2</v>
      </c>
      <c r="AG454" s="4">
        <f>IF($A454=AG$424,"",COUNTIF($E$4:$E$420,$A454&amp;" ضد "&amp;AG$424)+COUNTIF($E$4:$E$420,AG$424&amp;" ضد "&amp;$A454))</f>
        <v>2</v>
      </c>
      <c r="AH454" s="4">
        <f>IF($A454=AH$424,"",COUNTIF($E$4:$E$420,$A454&amp;" ضد "&amp;AH$424)+COUNTIF($E$4:$E$420,AH$424&amp;" ضد "&amp;$A454))</f>
        <v>1</v>
      </c>
      <c r="AI454" s="4">
        <f>IF($A454=AI$424,"",COUNTIF($E$4:$E$420,$A454&amp;" ضد "&amp;AI$424)+COUNTIF($E$4:$E$420,AI$424&amp;" ضد "&amp;$A454))</f>
        <v>2</v>
      </c>
      <c r="AJ454" s="4">
        <f>IF($A454=AJ$424,"",COUNTIF($E$4:$E$420,$A454&amp;" ضد "&amp;AJ$424)+COUNTIF($E$4:$E$420,AJ$424&amp;" ضد "&amp;$A454))</f>
        <v>1</v>
      </c>
      <c r="AK454" s="4">
        <f>IF($A454=AK$424,"",COUNTIF($E$4:$E$420,$A454&amp;" ضد "&amp;AK$424)+COUNTIF($E$4:$E$420,AK$424&amp;" ضد "&amp;$A454))</f>
        <v>2</v>
      </c>
      <c r="AL454" s="4">
        <f>IF($A454=AL$424,"",COUNTIF($E$4:$E$420,$A454&amp;" ضد "&amp;AL$424)+COUNTIF($E$4:$E$420,AL$424&amp;" ضد "&amp;$A454))</f>
        <v>0</v>
      </c>
      <c r="AM454" s="4">
        <f>IF($A454=AM$424,"",COUNTIF($E$4:$E$420,$A454&amp;" ضد "&amp;AM$424)+COUNTIF($E$4:$E$420,AM$424&amp;" ضد "&amp;$A454))</f>
        <v>0</v>
      </c>
      <c r="AN454" s="4">
        <f>IF($A454=AN$424,"",COUNTIF($E$4:$E$420,$A454&amp;" ضد "&amp;AN$424)+COUNTIF($E$4:$E$420,AN$424&amp;" ضد "&amp;$A454))</f>
        <v>0</v>
      </c>
      <c r="AO454" s="4">
        <f>IF($A454=AO$424,"",COUNTIF($E$4:$E$420,$A454&amp;" ضد "&amp;AO$424)+COUNTIF($E$4:$E$420,AO$424&amp;" ضد "&amp;$A454))</f>
        <v>0</v>
      </c>
      <c r="AP454" s="4">
        <f>IF($A454=AP$424,"",COUNTIF($E$4:$E$420,$A454&amp;" ضد "&amp;AP$424)+COUNTIF($E$4:$E$420,AP$424&amp;" ضد "&amp;$A454))</f>
        <v>0</v>
      </c>
      <c r="AQ454" s="4">
        <f>IF($A454=AQ$424,"",COUNTIF($E$4:$E$420,$A454&amp;" ضد "&amp;AQ$424)+COUNTIF($E$4:$E$420,AQ$424&amp;" ضد "&amp;$A454))</f>
        <v>0</v>
      </c>
      <c r="AR454" s="4">
        <f>IF($A454=AR$424,"",COUNTIF($E$4:$E$420,$A454&amp;" ضد "&amp;AR$424)+COUNTIF($E$4:$E$420,AR$424&amp;" ضد "&amp;$A454))</f>
        <v>0</v>
      </c>
      <c r="AS454" s="4">
        <f>IF($A454=AS$424,"",COUNTIF($E$4:$E$420,$A454&amp;" ضد "&amp;AS$424)+COUNTIF($E$4:$E$420,AS$424&amp;" ضد "&amp;$A454))</f>
        <v>0</v>
      </c>
      <c r="AT454" s="4">
        <f>IF($A454=AT$424,"",COUNTIF($E$4:$E$420,$A454&amp;" ضد "&amp;AT$424)+COUNTIF($E$4:$E$420,AT$424&amp;" ضد "&amp;$A454))</f>
        <v>0</v>
      </c>
      <c r="AU454" s="4">
        <f>IF($A454=AU$424,"",COUNTIF($E$4:$E$420,$A454&amp;" ضد "&amp;AU$424)+COUNTIF($E$4:$E$420,AU$424&amp;" ضد "&amp;$A454))</f>
        <v>0</v>
      </c>
    </row>
    <row r="455" spans="1:47" ht="14.5">
      <c r="A455" s="14">
        <v>31</v>
      </c>
      <c r="B455" s="4">
        <f>IF($A455=B$424,"",COUNTIF($E$4:$E$420,$A455&amp;" ضد "&amp;B$424)+COUNTIF($E$4:$E$420,B$424&amp;" ضد "&amp;$A455))</f>
        <v>0</v>
      </c>
      <c r="C455" s="4">
        <f>IF($A455=C$424,"",COUNTIF($E$4:$E$420,$A455&amp;" ضد "&amp;C$424)+COUNTIF($E$4:$E$420,C$424&amp;" ضد "&amp;$A455))</f>
        <v>0</v>
      </c>
      <c r="D455" s="4">
        <f>IF($A455=D$424,"",COUNTIF($E$4:$E$420,$A455&amp;" ضد "&amp;D$424)+COUNTIF($E$4:$E$420,D$424&amp;" ضد "&amp;$A455))</f>
        <v>0</v>
      </c>
      <c r="E455" s="4">
        <f>IF($A455=E$424,"",COUNTIF($E$4:$E$420,$A455&amp;" ضد "&amp;E$424)+COUNTIF($E$4:$E$420,E$424&amp;" ضد "&amp;$A455))</f>
        <v>0</v>
      </c>
      <c r="F455" s="4">
        <f>IF($A455=F$424,"",COUNTIF($E$4:$E$420,$A455&amp;" ضد "&amp;F$424)+COUNTIF($E$4:$E$420,F$424&amp;" ضد "&amp;$A455))</f>
        <v>0</v>
      </c>
      <c r="G455" s="4">
        <f>IF($A455=G$424,"",COUNTIF($E$4:$E$420,$A455&amp;" ضد "&amp;G$424)+COUNTIF($E$4:$E$420,G$424&amp;" ضد "&amp;$A455))</f>
        <v>0</v>
      </c>
      <c r="H455" s="4">
        <f>IF($A455=H$424,"",COUNTIF($E$4:$E$420,$A455&amp;" ضد "&amp;H$424)+COUNTIF($E$4:$E$420,H$424&amp;" ضد "&amp;$A455))</f>
        <v>0</v>
      </c>
      <c r="I455" s="4">
        <f>IF($A455=I$424,"",COUNTIF($E$4:$E$420,$A455&amp;" ضد "&amp;I$424)+COUNTIF($E$4:$E$420,I$424&amp;" ضد "&amp;$A455))</f>
        <v>0</v>
      </c>
      <c r="J455" s="4">
        <f>IF($A455=J$424,"",COUNTIF($E$4:$E$420,$A455&amp;" ضد "&amp;J$424)+COUNTIF($E$4:$E$420,J$424&amp;" ضد "&amp;$A455))</f>
        <v>0</v>
      </c>
      <c r="K455" s="4">
        <f>IF($A455=K$424,"",COUNTIF($E$4:$E$420,$A455&amp;" ضد "&amp;K$424)+COUNTIF($E$4:$E$420,K$424&amp;" ضد "&amp;$A455))</f>
        <v>0</v>
      </c>
      <c r="L455" s="4">
        <f>IF($A455=L$424,"",COUNTIF($E$4:$E$420,$A455&amp;" ضد "&amp;L$424)+COUNTIF($E$4:$E$420,L$424&amp;" ضد "&amp;$A455))</f>
        <v>0</v>
      </c>
      <c r="M455" s="4">
        <f>IF($A455=M$424,"",COUNTIF($E$4:$E$420,$A455&amp;" ضد "&amp;M$424)+COUNTIF($E$4:$E$420,M$424&amp;" ضد "&amp;$A455))</f>
        <v>0</v>
      </c>
      <c r="N455" s="4">
        <f>IF($A455=N$424,"",COUNTIF($E$4:$E$420,$A455&amp;" ضد "&amp;N$424)+COUNTIF($E$4:$E$420,N$424&amp;" ضد "&amp;$A455))</f>
        <v>0</v>
      </c>
      <c r="O455" s="4">
        <f>IF($A455=O$424,"",COUNTIF($E$4:$E$420,$A455&amp;" ضد "&amp;O$424)+COUNTIF($E$4:$E$420,O$424&amp;" ضد "&amp;$A455))</f>
        <v>0</v>
      </c>
      <c r="P455" s="4">
        <f>IF($A455=P$424,"",COUNTIF($E$4:$E$420,$A455&amp;" ضد "&amp;P$424)+COUNTIF($E$4:$E$420,P$424&amp;" ضد "&amp;$A455))</f>
        <v>0</v>
      </c>
      <c r="Q455" s="4">
        <f>IF($A455=Q$424,"",COUNTIF($E$4:$E$420,$A455&amp;" ضد "&amp;Q$424)+COUNTIF($E$4:$E$420,Q$424&amp;" ضد "&amp;$A455))</f>
        <v>0</v>
      </c>
      <c r="R455" s="4">
        <f>IF($A455=R$424,"",COUNTIF($E$4:$E$420,$A455&amp;" ضد "&amp;R$424)+COUNTIF($E$4:$E$420,R$424&amp;" ضد "&amp;$A455))</f>
        <v>0</v>
      </c>
      <c r="S455" s="4">
        <f>IF($A455=S$424,"",COUNTIF($E$4:$E$420,$A455&amp;" ضد "&amp;S$424)+COUNTIF($E$4:$E$420,S$424&amp;" ضد "&amp;$A455))</f>
        <v>0</v>
      </c>
      <c r="T455" s="4">
        <f>IF($A455=T$424,"",COUNTIF($E$4:$E$420,$A455&amp;" ضد "&amp;T$424)+COUNTIF($E$4:$E$420,T$424&amp;" ضد "&amp;$A455))</f>
        <v>0</v>
      </c>
      <c r="U455" s="4">
        <f>IF($A455=U$424,"",COUNTIF($E$4:$E$420,$A455&amp;" ضد "&amp;U$424)+COUNTIF($E$4:$E$420,U$424&amp;" ضد "&amp;$A455))</f>
        <v>0</v>
      </c>
      <c r="V455" s="4">
        <f>IF($A455=V$424,"",COUNTIF($E$4:$E$420,$A455&amp;" ضد "&amp;V$424)+COUNTIF($E$4:$E$420,V$424&amp;" ضد "&amp;$A455))</f>
        <v>0</v>
      </c>
      <c r="W455" s="4">
        <f>IF($A455=W$424,"",COUNTIF($E$4:$E$420,$A455&amp;" ضد "&amp;W$424)+COUNTIF($E$4:$E$420,W$424&amp;" ضد "&amp;$A455))</f>
        <v>0</v>
      </c>
      <c r="X455" s="4">
        <f>IF($A455=X$424,"",COUNTIF($E$4:$E$420,$A455&amp;" ضد "&amp;X$424)+COUNTIF($E$4:$E$420,X$424&amp;" ضد "&amp;$A455))</f>
        <v>0</v>
      </c>
      <c r="Y455" s="4">
        <f>IF($A455=Y$424,"",COUNTIF($E$4:$E$420,$A455&amp;" ضد "&amp;Y$424)+COUNTIF($E$4:$E$420,Y$424&amp;" ضد "&amp;$A455))</f>
        <v>0</v>
      </c>
      <c r="Z455" s="4">
        <f>IF($A455=Z$424,"",COUNTIF($E$4:$E$420,$A455&amp;" ضد "&amp;Z$424)+COUNTIF($E$4:$E$420,Z$424&amp;" ضد "&amp;$A455))</f>
        <v>2</v>
      </c>
      <c r="AA455" s="4">
        <f>IF($A455=AA$424,"",COUNTIF($E$4:$E$420,$A455&amp;" ضد "&amp;AA$424)+COUNTIF($E$4:$E$420,AA$424&amp;" ضد "&amp;$A455))</f>
        <v>2</v>
      </c>
      <c r="AB455" s="4">
        <f>IF($A455=AB$424,"",COUNTIF($E$4:$E$420,$A455&amp;" ضد "&amp;AB$424)+COUNTIF($E$4:$E$420,AB$424&amp;" ضد "&amp;$A455))</f>
        <v>1</v>
      </c>
      <c r="AC455" s="4">
        <f>IF($A455=AC$424,"",COUNTIF($E$4:$E$420,$A455&amp;" ضد "&amp;AC$424)+COUNTIF($E$4:$E$420,AC$424&amp;" ضد "&amp;$A455))</f>
        <v>2</v>
      </c>
      <c r="AD455" s="4">
        <f>IF($A455=AD$424,"",COUNTIF($E$4:$E$420,$A455&amp;" ضد "&amp;AD$424)+COUNTIF($E$4:$E$420,AD$424&amp;" ضد "&amp;$A455))</f>
        <v>2</v>
      </c>
      <c r="AE455" s="4">
        <f>IF($A455=AE$424,"",COUNTIF($E$4:$E$420,$A455&amp;" ضد "&amp;AE$424)+COUNTIF($E$4:$E$420,AE$424&amp;" ضد "&amp;$A455))</f>
        <v>2</v>
      </c>
      <c r="AF455" s="4" t="str">
        <f>IF($A455=AF$424,"",COUNTIF($E$4:$E$420,$A455&amp;" ضد "&amp;AF$424)+COUNTIF($E$4:$E$420,AF$424&amp;" ضد "&amp;$A455))</f>
        <v/>
      </c>
      <c r="AG455" s="4">
        <f>IF($A455=AG$424,"",COUNTIF($E$4:$E$420,$A455&amp;" ضد "&amp;AG$424)+COUNTIF($E$4:$E$420,AG$424&amp;" ضد "&amp;$A455))</f>
        <v>1</v>
      </c>
      <c r="AH455" s="4">
        <f>IF($A455=AH$424,"",COUNTIF($E$4:$E$420,$A455&amp;" ضد "&amp;AH$424)+COUNTIF($E$4:$E$420,AH$424&amp;" ضد "&amp;$A455))</f>
        <v>2</v>
      </c>
      <c r="AI455" s="4">
        <f>IF($A455=AI$424,"",COUNTIF($E$4:$E$420,$A455&amp;" ضد "&amp;AI$424)+COUNTIF($E$4:$E$420,AI$424&amp;" ضد "&amp;$A455))</f>
        <v>1</v>
      </c>
      <c r="AJ455" s="4">
        <f>IF($A455=AJ$424,"",COUNTIF($E$4:$E$420,$A455&amp;" ضد "&amp;AJ$424)+COUNTIF($E$4:$E$420,AJ$424&amp;" ضد "&amp;$A455))</f>
        <v>2</v>
      </c>
      <c r="AK455" s="4">
        <f>IF($A455=AK$424,"",COUNTIF($E$4:$E$420,$A455&amp;" ضد "&amp;AK$424)+COUNTIF($E$4:$E$420,AK$424&amp;" ضد "&amp;$A455))</f>
        <v>1</v>
      </c>
      <c r="AL455" s="4">
        <f>IF($A455=AL$424,"",COUNTIF($E$4:$E$420,$A455&amp;" ضد "&amp;AL$424)+COUNTIF($E$4:$E$420,AL$424&amp;" ضد "&amp;$A455))</f>
        <v>0</v>
      </c>
      <c r="AM455" s="4">
        <f>IF($A455=AM$424,"",COUNTIF($E$4:$E$420,$A455&amp;" ضد "&amp;AM$424)+COUNTIF($E$4:$E$420,AM$424&amp;" ضد "&amp;$A455))</f>
        <v>0</v>
      </c>
      <c r="AN455" s="4">
        <f>IF($A455=AN$424,"",COUNTIF($E$4:$E$420,$A455&amp;" ضد "&amp;AN$424)+COUNTIF($E$4:$E$420,AN$424&amp;" ضد "&amp;$A455))</f>
        <v>0</v>
      </c>
      <c r="AO455" s="4">
        <f>IF($A455=AO$424,"",COUNTIF($E$4:$E$420,$A455&amp;" ضد "&amp;AO$424)+COUNTIF($E$4:$E$420,AO$424&amp;" ضد "&amp;$A455))</f>
        <v>0</v>
      </c>
      <c r="AP455" s="4">
        <f>IF($A455=AP$424,"",COUNTIF($E$4:$E$420,$A455&amp;" ضد "&amp;AP$424)+COUNTIF($E$4:$E$420,AP$424&amp;" ضد "&amp;$A455))</f>
        <v>0</v>
      </c>
      <c r="AQ455" s="4">
        <f>IF($A455=AQ$424,"",COUNTIF($E$4:$E$420,$A455&amp;" ضد "&amp;AQ$424)+COUNTIF($E$4:$E$420,AQ$424&amp;" ضد "&amp;$A455))</f>
        <v>0</v>
      </c>
      <c r="AR455" s="4">
        <f>IF($A455=AR$424,"",COUNTIF($E$4:$E$420,$A455&amp;" ضد "&amp;AR$424)+COUNTIF($E$4:$E$420,AR$424&amp;" ضد "&amp;$A455))</f>
        <v>0</v>
      </c>
      <c r="AS455" s="4">
        <f>IF($A455=AS$424,"",COUNTIF($E$4:$E$420,$A455&amp;" ضد "&amp;AS$424)+COUNTIF($E$4:$E$420,AS$424&amp;" ضد "&amp;$A455))</f>
        <v>0</v>
      </c>
      <c r="AT455" s="4">
        <f>IF($A455=AT$424,"",COUNTIF($E$4:$E$420,$A455&amp;" ضد "&amp;AT$424)+COUNTIF($E$4:$E$420,AT$424&amp;" ضد "&amp;$A455))</f>
        <v>0</v>
      </c>
      <c r="AU455" s="4">
        <f>IF($A455=AU$424,"",COUNTIF($E$4:$E$420,$A455&amp;" ضد "&amp;AU$424)+COUNTIF($E$4:$E$420,AU$424&amp;" ضد "&amp;$A455))</f>
        <v>0</v>
      </c>
    </row>
    <row r="456" spans="1:47" ht="14.5">
      <c r="A456" s="14">
        <v>32</v>
      </c>
      <c r="B456" s="4">
        <f>IF($A456=B$424,"",COUNTIF($E$4:$E$420,$A456&amp;" ضد "&amp;B$424)+COUNTIF($E$4:$E$420,B$424&amp;" ضد "&amp;$A456))</f>
        <v>0</v>
      </c>
      <c r="C456" s="4">
        <f>IF($A456=C$424,"",COUNTIF($E$4:$E$420,$A456&amp;" ضد "&amp;C$424)+COUNTIF($E$4:$E$420,C$424&amp;" ضد "&amp;$A456))</f>
        <v>0</v>
      </c>
      <c r="D456" s="4">
        <f>IF($A456=D$424,"",COUNTIF($E$4:$E$420,$A456&amp;" ضد "&amp;D$424)+COUNTIF($E$4:$E$420,D$424&amp;" ضد "&amp;$A456))</f>
        <v>0</v>
      </c>
      <c r="E456" s="4">
        <f>IF($A456=E$424,"",COUNTIF($E$4:$E$420,$A456&amp;" ضد "&amp;E$424)+COUNTIF($E$4:$E$420,E$424&amp;" ضد "&amp;$A456))</f>
        <v>0</v>
      </c>
      <c r="F456" s="4">
        <f>IF($A456=F$424,"",COUNTIF($E$4:$E$420,$A456&amp;" ضد "&amp;F$424)+COUNTIF($E$4:$E$420,F$424&amp;" ضد "&amp;$A456))</f>
        <v>0</v>
      </c>
      <c r="G456" s="4">
        <f>IF($A456=G$424,"",COUNTIF($E$4:$E$420,$A456&amp;" ضد "&amp;G$424)+COUNTIF($E$4:$E$420,G$424&amp;" ضد "&amp;$A456))</f>
        <v>0</v>
      </c>
      <c r="H456" s="4">
        <f>IF($A456=H$424,"",COUNTIF($E$4:$E$420,$A456&amp;" ضد "&amp;H$424)+COUNTIF($E$4:$E$420,H$424&amp;" ضد "&amp;$A456))</f>
        <v>0</v>
      </c>
      <c r="I456" s="4">
        <f>IF($A456=I$424,"",COUNTIF($E$4:$E$420,$A456&amp;" ضد "&amp;I$424)+COUNTIF($E$4:$E$420,I$424&amp;" ضد "&amp;$A456))</f>
        <v>0</v>
      </c>
      <c r="J456" s="4">
        <f>IF($A456=J$424,"",COUNTIF($E$4:$E$420,$A456&amp;" ضد "&amp;J$424)+COUNTIF($E$4:$E$420,J$424&amp;" ضد "&amp;$A456))</f>
        <v>0</v>
      </c>
      <c r="K456" s="4">
        <f>IF($A456=K$424,"",COUNTIF($E$4:$E$420,$A456&amp;" ضد "&amp;K$424)+COUNTIF($E$4:$E$420,K$424&amp;" ضد "&amp;$A456))</f>
        <v>0</v>
      </c>
      <c r="L456" s="4">
        <f>IF($A456=L$424,"",COUNTIF($E$4:$E$420,$A456&amp;" ضد "&amp;L$424)+COUNTIF($E$4:$E$420,L$424&amp;" ضد "&amp;$A456))</f>
        <v>0</v>
      </c>
      <c r="M456" s="4">
        <f>IF($A456=M$424,"",COUNTIF($E$4:$E$420,$A456&amp;" ضد "&amp;M$424)+COUNTIF($E$4:$E$420,M$424&amp;" ضد "&amp;$A456))</f>
        <v>0</v>
      </c>
      <c r="N456" s="4">
        <f>IF($A456=N$424,"",COUNTIF($E$4:$E$420,$A456&amp;" ضد "&amp;N$424)+COUNTIF($E$4:$E$420,N$424&amp;" ضد "&amp;$A456))</f>
        <v>0</v>
      </c>
      <c r="O456" s="4">
        <f>IF($A456=O$424,"",COUNTIF($E$4:$E$420,$A456&amp;" ضد "&amp;O$424)+COUNTIF($E$4:$E$420,O$424&amp;" ضد "&amp;$A456))</f>
        <v>0</v>
      </c>
      <c r="P456" s="4">
        <f>IF($A456=P$424,"",COUNTIF($E$4:$E$420,$A456&amp;" ضد "&amp;P$424)+COUNTIF($E$4:$E$420,P$424&amp;" ضد "&amp;$A456))</f>
        <v>0</v>
      </c>
      <c r="Q456" s="4">
        <f>IF($A456=Q$424,"",COUNTIF($E$4:$E$420,$A456&amp;" ضد "&amp;Q$424)+COUNTIF($E$4:$E$420,Q$424&amp;" ضد "&amp;$A456))</f>
        <v>0</v>
      </c>
      <c r="R456" s="4">
        <f>IF($A456=R$424,"",COUNTIF($E$4:$E$420,$A456&amp;" ضد "&amp;R$424)+COUNTIF($E$4:$E$420,R$424&amp;" ضد "&amp;$A456))</f>
        <v>0</v>
      </c>
      <c r="S456" s="4">
        <f>IF($A456=S$424,"",COUNTIF($E$4:$E$420,$A456&amp;" ضد "&amp;S$424)+COUNTIF($E$4:$E$420,S$424&amp;" ضد "&amp;$A456))</f>
        <v>0</v>
      </c>
      <c r="T456" s="4">
        <f>IF($A456=T$424,"",COUNTIF($E$4:$E$420,$A456&amp;" ضد "&amp;T$424)+COUNTIF($E$4:$E$420,T$424&amp;" ضد "&amp;$A456))</f>
        <v>0</v>
      </c>
      <c r="U456" s="4">
        <f>IF($A456=U$424,"",COUNTIF($E$4:$E$420,$A456&amp;" ضد "&amp;U$424)+COUNTIF($E$4:$E$420,U$424&amp;" ضد "&amp;$A456))</f>
        <v>0</v>
      </c>
      <c r="V456" s="4">
        <f>IF($A456=V$424,"",COUNTIF($E$4:$E$420,$A456&amp;" ضد "&amp;V$424)+COUNTIF($E$4:$E$420,V$424&amp;" ضد "&amp;$A456))</f>
        <v>0</v>
      </c>
      <c r="W456" s="4">
        <f>IF($A456=W$424,"",COUNTIF($E$4:$E$420,$A456&amp;" ضد "&amp;W$424)+COUNTIF($E$4:$E$420,W$424&amp;" ضد "&amp;$A456))</f>
        <v>0</v>
      </c>
      <c r="X456" s="4">
        <f>IF($A456=X$424,"",COUNTIF($E$4:$E$420,$A456&amp;" ضد "&amp;X$424)+COUNTIF($E$4:$E$420,X$424&amp;" ضد "&amp;$A456))</f>
        <v>0</v>
      </c>
      <c r="Y456" s="4">
        <f>IF($A456=Y$424,"",COUNTIF($E$4:$E$420,$A456&amp;" ضد "&amp;Y$424)+COUNTIF($E$4:$E$420,Y$424&amp;" ضد "&amp;$A456))</f>
        <v>0</v>
      </c>
      <c r="Z456" s="4">
        <f>IF($A456=Z$424,"",COUNTIF($E$4:$E$420,$A456&amp;" ضد "&amp;Z$424)+COUNTIF($E$4:$E$420,Z$424&amp;" ضد "&amp;$A456))</f>
        <v>2</v>
      </c>
      <c r="AA456" s="4">
        <f>IF($A456=AA$424,"",COUNTIF($E$4:$E$420,$A456&amp;" ضد "&amp;AA$424)+COUNTIF($E$4:$E$420,AA$424&amp;" ضد "&amp;$A456))</f>
        <v>1</v>
      </c>
      <c r="AB456" s="4">
        <f>IF($A456=AB$424,"",COUNTIF($E$4:$E$420,$A456&amp;" ضد "&amp;AB$424)+COUNTIF($E$4:$E$420,AB$424&amp;" ضد "&amp;$A456))</f>
        <v>2</v>
      </c>
      <c r="AC456" s="4">
        <f>IF($A456=AC$424,"",COUNTIF($E$4:$E$420,$A456&amp;" ضد "&amp;AC$424)+COUNTIF($E$4:$E$420,AC$424&amp;" ضد "&amp;$A456))</f>
        <v>2</v>
      </c>
      <c r="AD456" s="4">
        <f>IF($A456=AD$424,"",COUNTIF($E$4:$E$420,$A456&amp;" ضد "&amp;AD$424)+COUNTIF($E$4:$E$420,AD$424&amp;" ضد "&amp;$A456))</f>
        <v>2</v>
      </c>
      <c r="AE456" s="4">
        <f>IF($A456=AE$424,"",COUNTIF($E$4:$E$420,$A456&amp;" ضد "&amp;AE$424)+COUNTIF($E$4:$E$420,AE$424&amp;" ضد "&amp;$A456))</f>
        <v>2</v>
      </c>
      <c r="AF456" s="4">
        <f>IF($A456=AF$424,"",COUNTIF($E$4:$E$420,$A456&amp;" ضد "&amp;AF$424)+COUNTIF($E$4:$E$420,AF$424&amp;" ضد "&amp;$A456))</f>
        <v>1</v>
      </c>
      <c r="AG456" s="4" t="str">
        <f>IF($A456=AG$424,"",COUNTIF($E$4:$E$420,$A456&amp;" ضد "&amp;AG$424)+COUNTIF($E$4:$E$420,AG$424&amp;" ضد "&amp;$A456))</f>
        <v/>
      </c>
      <c r="AH456" s="4">
        <f>IF($A456=AH$424,"",COUNTIF($E$4:$E$420,$A456&amp;" ضد "&amp;AH$424)+COUNTIF($E$4:$E$420,AH$424&amp;" ضد "&amp;$A456))</f>
        <v>1</v>
      </c>
      <c r="AI456" s="4">
        <f>IF($A456=AI$424,"",COUNTIF($E$4:$E$420,$A456&amp;" ضد "&amp;AI$424)+COUNTIF($E$4:$E$420,AI$424&amp;" ضد "&amp;$A456))</f>
        <v>2</v>
      </c>
      <c r="AJ456" s="4">
        <f>IF($A456=AJ$424,"",COUNTIF($E$4:$E$420,$A456&amp;" ضد "&amp;AJ$424)+COUNTIF($E$4:$E$420,AJ$424&amp;" ضد "&amp;$A456))</f>
        <v>1</v>
      </c>
      <c r="AK456" s="4">
        <f>IF($A456=AK$424,"",COUNTIF($E$4:$E$420,$A456&amp;" ضد "&amp;AK$424)+COUNTIF($E$4:$E$420,AK$424&amp;" ضد "&amp;$A456))</f>
        <v>2</v>
      </c>
      <c r="AL456" s="4">
        <f>IF($A456=AL$424,"",COUNTIF($E$4:$E$420,$A456&amp;" ضد "&amp;AL$424)+COUNTIF($E$4:$E$420,AL$424&amp;" ضد "&amp;$A456))</f>
        <v>0</v>
      </c>
      <c r="AM456" s="4">
        <f>IF($A456=AM$424,"",COUNTIF($E$4:$E$420,$A456&amp;" ضد "&amp;AM$424)+COUNTIF($E$4:$E$420,AM$424&amp;" ضد "&amp;$A456))</f>
        <v>0</v>
      </c>
      <c r="AN456" s="4">
        <f>IF($A456=AN$424,"",COUNTIF($E$4:$E$420,$A456&amp;" ضد "&amp;AN$424)+COUNTIF($E$4:$E$420,AN$424&amp;" ضد "&amp;$A456))</f>
        <v>0</v>
      </c>
      <c r="AO456" s="4">
        <f>IF($A456=AO$424,"",COUNTIF($E$4:$E$420,$A456&amp;" ضد "&amp;AO$424)+COUNTIF($E$4:$E$420,AO$424&amp;" ضد "&amp;$A456))</f>
        <v>0</v>
      </c>
      <c r="AP456" s="4">
        <f>IF($A456=AP$424,"",COUNTIF($E$4:$E$420,$A456&amp;" ضد "&amp;AP$424)+COUNTIF($E$4:$E$420,AP$424&amp;" ضد "&amp;$A456))</f>
        <v>0</v>
      </c>
      <c r="AQ456" s="4">
        <f>IF($A456=AQ$424,"",COUNTIF($E$4:$E$420,$A456&amp;" ضد "&amp;AQ$424)+COUNTIF($E$4:$E$420,AQ$424&amp;" ضد "&amp;$A456))</f>
        <v>0</v>
      </c>
      <c r="AR456" s="4">
        <f>IF($A456=AR$424,"",COUNTIF($E$4:$E$420,$A456&amp;" ضد "&amp;AR$424)+COUNTIF($E$4:$E$420,AR$424&amp;" ضد "&amp;$A456))</f>
        <v>0</v>
      </c>
      <c r="AS456" s="4">
        <f>IF($A456=AS$424,"",COUNTIF($E$4:$E$420,$A456&amp;" ضد "&amp;AS$424)+COUNTIF($E$4:$E$420,AS$424&amp;" ضد "&amp;$A456))</f>
        <v>0</v>
      </c>
      <c r="AT456" s="4">
        <f>IF($A456=AT$424,"",COUNTIF($E$4:$E$420,$A456&amp;" ضد "&amp;AT$424)+COUNTIF($E$4:$E$420,AT$424&amp;" ضد "&amp;$A456))</f>
        <v>0</v>
      </c>
      <c r="AU456" s="4">
        <f>IF($A456=AU$424,"",COUNTIF($E$4:$E$420,$A456&amp;" ضد "&amp;AU$424)+COUNTIF($E$4:$E$420,AU$424&amp;" ضد "&amp;$A456))</f>
        <v>0</v>
      </c>
    </row>
    <row r="457" spans="1:47" ht="14.5">
      <c r="A457" s="14">
        <v>33</v>
      </c>
      <c r="B457" s="4">
        <f>IF($A457=B$424,"",COUNTIF($E$4:$E$420,$A457&amp;" ضد "&amp;B$424)+COUNTIF($E$4:$E$420,B$424&amp;" ضد "&amp;$A457))</f>
        <v>0</v>
      </c>
      <c r="C457" s="4">
        <f>IF($A457=C$424,"",COUNTIF($E$4:$E$420,$A457&amp;" ضد "&amp;C$424)+COUNTIF($E$4:$E$420,C$424&amp;" ضد "&amp;$A457))</f>
        <v>0</v>
      </c>
      <c r="D457" s="4">
        <f>IF($A457=D$424,"",COUNTIF($E$4:$E$420,$A457&amp;" ضد "&amp;D$424)+COUNTIF($E$4:$E$420,D$424&amp;" ضد "&amp;$A457))</f>
        <v>0</v>
      </c>
      <c r="E457" s="4">
        <f>IF($A457=E$424,"",COUNTIF($E$4:$E$420,$A457&amp;" ضد "&amp;E$424)+COUNTIF($E$4:$E$420,E$424&amp;" ضد "&amp;$A457))</f>
        <v>0</v>
      </c>
      <c r="F457" s="4">
        <f>IF($A457=F$424,"",COUNTIF($E$4:$E$420,$A457&amp;" ضد "&amp;F$424)+COUNTIF($E$4:$E$420,F$424&amp;" ضد "&amp;$A457))</f>
        <v>0</v>
      </c>
      <c r="G457" s="4">
        <f>IF($A457=G$424,"",COUNTIF($E$4:$E$420,$A457&amp;" ضد "&amp;G$424)+COUNTIF($E$4:$E$420,G$424&amp;" ضد "&amp;$A457))</f>
        <v>0</v>
      </c>
      <c r="H457" s="4">
        <f>IF($A457=H$424,"",COUNTIF($E$4:$E$420,$A457&amp;" ضد "&amp;H$424)+COUNTIF($E$4:$E$420,H$424&amp;" ضد "&amp;$A457))</f>
        <v>0</v>
      </c>
      <c r="I457" s="4">
        <f>IF($A457=I$424,"",COUNTIF($E$4:$E$420,$A457&amp;" ضد "&amp;I$424)+COUNTIF($E$4:$E$420,I$424&amp;" ضد "&amp;$A457))</f>
        <v>0</v>
      </c>
      <c r="J457" s="4">
        <f>IF($A457=J$424,"",COUNTIF($E$4:$E$420,$A457&amp;" ضد "&amp;J$424)+COUNTIF($E$4:$E$420,J$424&amp;" ضد "&amp;$A457))</f>
        <v>0</v>
      </c>
      <c r="K457" s="4">
        <f>IF($A457=K$424,"",COUNTIF($E$4:$E$420,$A457&amp;" ضد "&amp;K$424)+COUNTIF($E$4:$E$420,K$424&amp;" ضد "&amp;$A457))</f>
        <v>0</v>
      </c>
      <c r="L457" s="4">
        <f>IF($A457=L$424,"",COUNTIF($E$4:$E$420,$A457&amp;" ضد "&amp;L$424)+COUNTIF($E$4:$E$420,L$424&amp;" ضد "&amp;$A457))</f>
        <v>0</v>
      </c>
      <c r="M457" s="4">
        <f>IF($A457=M$424,"",COUNTIF($E$4:$E$420,$A457&amp;" ضد "&amp;M$424)+COUNTIF($E$4:$E$420,M$424&amp;" ضد "&amp;$A457))</f>
        <v>0</v>
      </c>
      <c r="N457" s="4">
        <f>IF($A457=N$424,"",COUNTIF($E$4:$E$420,$A457&amp;" ضد "&amp;N$424)+COUNTIF($E$4:$E$420,N$424&amp;" ضد "&amp;$A457))</f>
        <v>0</v>
      </c>
      <c r="O457" s="4">
        <f>IF($A457=O$424,"",COUNTIF($E$4:$E$420,$A457&amp;" ضد "&amp;O$424)+COUNTIF($E$4:$E$420,O$424&amp;" ضد "&amp;$A457))</f>
        <v>0</v>
      </c>
      <c r="P457" s="4">
        <f>IF($A457=P$424,"",COUNTIF($E$4:$E$420,$A457&amp;" ضد "&amp;P$424)+COUNTIF($E$4:$E$420,P$424&amp;" ضد "&amp;$A457))</f>
        <v>0</v>
      </c>
      <c r="Q457" s="4">
        <f>IF($A457=Q$424,"",COUNTIF($E$4:$E$420,$A457&amp;" ضد "&amp;Q$424)+COUNTIF($E$4:$E$420,Q$424&amp;" ضد "&amp;$A457))</f>
        <v>0</v>
      </c>
      <c r="R457" s="4">
        <f>IF($A457=R$424,"",COUNTIF($E$4:$E$420,$A457&amp;" ضد "&amp;R$424)+COUNTIF($E$4:$E$420,R$424&amp;" ضد "&amp;$A457))</f>
        <v>0</v>
      </c>
      <c r="S457" s="4">
        <f>IF($A457=S$424,"",COUNTIF($E$4:$E$420,$A457&amp;" ضد "&amp;S$424)+COUNTIF($E$4:$E$420,S$424&amp;" ضد "&amp;$A457))</f>
        <v>0</v>
      </c>
      <c r="T457" s="4">
        <f>IF($A457=T$424,"",COUNTIF($E$4:$E$420,$A457&amp;" ضد "&amp;T$424)+COUNTIF($E$4:$E$420,T$424&amp;" ضد "&amp;$A457))</f>
        <v>0</v>
      </c>
      <c r="U457" s="4">
        <f>IF($A457=U$424,"",COUNTIF($E$4:$E$420,$A457&amp;" ضد "&amp;U$424)+COUNTIF($E$4:$E$420,U$424&amp;" ضد "&amp;$A457))</f>
        <v>0</v>
      </c>
      <c r="V457" s="4">
        <f>IF($A457=V$424,"",COUNTIF($E$4:$E$420,$A457&amp;" ضد "&amp;V$424)+COUNTIF($E$4:$E$420,V$424&amp;" ضد "&amp;$A457))</f>
        <v>0</v>
      </c>
      <c r="W457" s="4">
        <f>IF($A457=W$424,"",COUNTIF($E$4:$E$420,$A457&amp;" ضد "&amp;W$424)+COUNTIF($E$4:$E$420,W$424&amp;" ضد "&amp;$A457))</f>
        <v>0</v>
      </c>
      <c r="X457" s="4">
        <f>IF($A457=X$424,"",COUNTIF($E$4:$E$420,$A457&amp;" ضد "&amp;X$424)+COUNTIF($E$4:$E$420,X$424&amp;" ضد "&amp;$A457))</f>
        <v>0</v>
      </c>
      <c r="Y457" s="4">
        <f>IF($A457=Y$424,"",COUNTIF($E$4:$E$420,$A457&amp;" ضد "&amp;Y$424)+COUNTIF($E$4:$E$420,Y$424&amp;" ضد "&amp;$A457))</f>
        <v>0</v>
      </c>
      <c r="Z457" s="4">
        <f>IF($A457=Z$424,"",COUNTIF($E$4:$E$420,$A457&amp;" ضد "&amp;Z$424)+COUNTIF($E$4:$E$420,Z$424&amp;" ضد "&amp;$A457))</f>
        <v>2</v>
      </c>
      <c r="AA457" s="4">
        <f>IF($A457=AA$424,"",COUNTIF($E$4:$E$420,$A457&amp;" ضد "&amp;AA$424)+COUNTIF($E$4:$E$420,AA$424&amp;" ضد "&amp;$A457))</f>
        <v>2</v>
      </c>
      <c r="AB457" s="4">
        <f>IF($A457=AB$424,"",COUNTIF($E$4:$E$420,$A457&amp;" ضد "&amp;AB$424)+COUNTIF($E$4:$E$420,AB$424&amp;" ضد "&amp;$A457))</f>
        <v>2</v>
      </c>
      <c r="AC457" s="4">
        <f>IF($A457=AC$424,"",COUNTIF($E$4:$E$420,$A457&amp;" ضد "&amp;AC$424)+COUNTIF($E$4:$E$420,AC$424&amp;" ضد "&amp;$A457))</f>
        <v>2</v>
      </c>
      <c r="AD457" s="4">
        <f>IF($A457=AD$424,"",COUNTIF($E$4:$E$420,$A457&amp;" ضد "&amp;AD$424)+COUNTIF($E$4:$E$420,AD$424&amp;" ضد "&amp;$A457))</f>
        <v>2</v>
      </c>
      <c r="AE457" s="4">
        <f>IF($A457=AE$424,"",COUNTIF($E$4:$E$420,$A457&amp;" ضد "&amp;AE$424)+COUNTIF($E$4:$E$420,AE$424&amp;" ضد "&amp;$A457))</f>
        <v>1</v>
      </c>
      <c r="AF457" s="4">
        <f>IF($A457=AF$424,"",COUNTIF($E$4:$E$420,$A457&amp;" ضد "&amp;AF$424)+COUNTIF($E$4:$E$420,AF$424&amp;" ضد "&amp;$A457))</f>
        <v>2</v>
      </c>
      <c r="AG457" s="4">
        <f>IF($A457=AG$424,"",COUNTIF($E$4:$E$420,$A457&amp;" ضد "&amp;AG$424)+COUNTIF($E$4:$E$420,AG$424&amp;" ضد "&amp;$A457))</f>
        <v>1</v>
      </c>
      <c r="AH457" s="4" t="str">
        <f>IF($A457=AH$424,"",COUNTIF($E$4:$E$420,$A457&amp;" ضد "&amp;AH$424)+COUNTIF($E$4:$E$420,AH$424&amp;" ضد "&amp;$A457))</f>
        <v/>
      </c>
      <c r="AI457" s="4">
        <f>IF($A457=AI$424,"",COUNTIF($E$4:$E$420,$A457&amp;" ضد "&amp;AI$424)+COUNTIF($E$4:$E$420,AI$424&amp;" ضد "&amp;$A457))</f>
        <v>1</v>
      </c>
      <c r="AJ457" s="4">
        <f>IF($A457=AJ$424,"",COUNTIF($E$4:$E$420,$A457&amp;" ضد "&amp;AJ$424)+COUNTIF($E$4:$E$420,AJ$424&amp;" ضد "&amp;$A457))</f>
        <v>2</v>
      </c>
      <c r="AK457" s="4">
        <f>IF($A457=AK$424,"",COUNTIF($E$4:$E$420,$A457&amp;" ضد "&amp;AK$424)+COUNTIF($E$4:$E$420,AK$424&amp;" ضد "&amp;$A457))</f>
        <v>1</v>
      </c>
      <c r="AL457" s="4">
        <f>IF($A457=AL$424,"",COUNTIF($E$4:$E$420,$A457&amp;" ضد "&amp;AL$424)+COUNTIF($E$4:$E$420,AL$424&amp;" ضد "&amp;$A457))</f>
        <v>0</v>
      </c>
      <c r="AM457" s="4">
        <f>IF($A457=AM$424,"",COUNTIF($E$4:$E$420,$A457&amp;" ضد "&amp;AM$424)+COUNTIF($E$4:$E$420,AM$424&amp;" ضد "&amp;$A457))</f>
        <v>0</v>
      </c>
      <c r="AN457" s="4">
        <f>IF($A457=AN$424,"",COUNTIF($E$4:$E$420,$A457&amp;" ضد "&amp;AN$424)+COUNTIF($E$4:$E$420,AN$424&amp;" ضد "&amp;$A457))</f>
        <v>0</v>
      </c>
      <c r="AO457" s="4">
        <f>IF($A457=AO$424,"",COUNTIF($E$4:$E$420,$A457&amp;" ضد "&amp;AO$424)+COUNTIF($E$4:$E$420,AO$424&amp;" ضد "&amp;$A457))</f>
        <v>0</v>
      </c>
      <c r="AP457" s="4">
        <f>IF($A457=AP$424,"",COUNTIF($E$4:$E$420,$A457&amp;" ضد "&amp;AP$424)+COUNTIF($E$4:$E$420,AP$424&amp;" ضد "&amp;$A457))</f>
        <v>0</v>
      </c>
      <c r="AQ457" s="4">
        <f>IF($A457=AQ$424,"",COUNTIF($E$4:$E$420,$A457&amp;" ضد "&amp;AQ$424)+COUNTIF($E$4:$E$420,AQ$424&amp;" ضد "&amp;$A457))</f>
        <v>0</v>
      </c>
      <c r="AR457" s="4">
        <f>IF($A457=AR$424,"",COUNTIF($E$4:$E$420,$A457&amp;" ضد "&amp;AR$424)+COUNTIF($E$4:$E$420,AR$424&amp;" ضد "&amp;$A457))</f>
        <v>0</v>
      </c>
      <c r="AS457" s="4">
        <f>IF($A457=AS$424,"",COUNTIF($E$4:$E$420,$A457&amp;" ضد "&amp;AS$424)+COUNTIF($E$4:$E$420,AS$424&amp;" ضد "&amp;$A457))</f>
        <v>0</v>
      </c>
      <c r="AT457" s="4">
        <f>IF($A457=AT$424,"",COUNTIF($E$4:$E$420,$A457&amp;" ضد "&amp;AT$424)+COUNTIF($E$4:$E$420,AT$424&amp;" ضد "&amp;$A457))</f>
        <v>0</v>
      </c>
      <c r="AU457" s="4">
        <f>IF($A457=AU$424,"",COUNTIF($E$4:$E$420,$A457&amp;" ضد "&amp;AU$424)+COUNTIF($E$4:$E$420,AU$424&amp;" ضد "&amp;$A457))</f>
        <v>0</v>
      </c>
    </row>
    <row r="458" spans="1:47" ht="14.5">
      <c r="A458" s="14">
        <v>34</v>
      </c>
      <c r="B458" s="4">
        <f>IF($A458=B$424,"",COUNTIF($E$4:$E$420,$A458&amp;" ضد "&amp;B$424)+COUNTIF($E$4:$E$420,B$424&amp;" ضد "&amp;$A458))</f>
        <v>0</v>
      </c>
      <c r="C458" s="4">
        <f>IF($A458=C$424,"",COUNTIF($E$4:$E$420,$A458&amp;" ضد "&amp;C$424)+COUNTIF($E$4:$E$420,C$424&amp;" ضد "&amp;$A458))</f>
        <v>0</v>
      </c>
      <c r="D458" s="4">
        <f>IF($A458=D$424,"",COUNTIF($E$4:$E$420,$A458&amp;" ضد "&amp;D$424)+COUNTIF($E$4:$E$420,D$424&amp;" ضد "&amp;$A458))</f>
        <v>0</v>
      </c>
      <c r="E458" s="4">
        <f>IF($A458=E$424,"",COUNTIF($E$4:$E$420,$A458&amp;" ضد "&amp;E$424)+COUNTIF($E$4:$E$420,E$424&amp;" ضد "&amp;$A458))</f>
        <v>0</v>
      </c>
      <c r="F458" s="4">
        <f>IF($A458=F$424,"",COUNTIF($E$4:$E$420,$A458&amp;" ضد "&amp;F$424)+COUNTIF($E$4:$E$420,F$424&amp;" ضد "&amp;$A458))</f>
        <v>0</v>
      </c>
      <c r="G458" s="4">
        <f>IF($A458=G$424,"",COUNTIF($E$4:$E$420,$A458&amp;" ضد "&amp;G$424)+COUNTIF($E$4:$E$420,G$424&amp;" ضد "&amp;$A458))</f>
        <v>0</v>
      </c>
      <c r="H458" s="4">
        <f>IF($A458=H$424,"",COUNTIF($E$4:$E$420,$A458&amp;" ضد "&amp;H$424)+COUNTIF($E$4:$E$420,H$424&amp;" ضد "&amp;$A458))</f>
        <v>0</v>
      </c>
      <c r="I458" s="4">
        <f>IF($A458=I$424,"",COUNTIF($E$4:$E$420,$A458&amp;" ضد "&amp;I$424)+COUNTIF($E$4:$E$420,I$424&amp;" ضد "&amp;$A458))</f>
        <v>0</v>
      </c>
      <c r="J458" s="4">
        <f>IF($A458=J$424,"",COUNTIF($E$4:$E$420,$A458&amp;" ضد "&amp;J$424)+COUNTIF($E$4:$E$420,J$424&amp;" ضد "&amp;$A458))</f>
        <v>0</v>
      </c>
      <c r="K458" s="4">
        <f>IF($A458=K$424,"",COUNTIF($E$4:$E$420,$A458&amp;" ضد "&amp;K$424)+COUNTIF($E$4:$E$420,K$424&amp;" ضد "&amp;$A458))</f>
        <v>0</v>
      </c>
      <c r="L458" s="4">
        <f>IF($A458=L$424,"",COUNTIF($E$4:$E$420,$A458&amp;" ضد "&amp;L$424)+COUNTIF($E$4:$E$420,L$424&amp;" ضد "&amp;$A458))</f>
        <v>0</v>
      </c>
      <c r="M458" s="4">
        <f>IF($A458=M$424,"",COUNTIF($E$4:$E$420,$A458&amp;" ضد "&amp;M$424)+COUNTIF($E$4:$E$420,M$424&amp;" ضد "&amp;$A458))</f>
        <v>0</v>
      </c>
      <c r="N458" s="4">
        <f>IF($A458=N$424,"",COUNTIF($E$4:$E$420,$A458&amp;" ضد "&amp;N$424)+COUNTIF($E$4:$E$420,N$424&amp;" ضد "&amp;$A458))</f>
        <v>0</v>
      </c>
      <c r="O458" s="4">
        <f>IF($A458=O$424,"",COUNTIF($E$4:$E$420,$A458&amp;" ضد "&amp;O$424)+COUNTIF($E$4:$E$420,O$424&amp;" ضد "&amp;$A458))</f>
        <v>0</v>
      </c>
      <c r="P458" s="4">
        <f>IF($A458=P$424,"",COUNTIF($E$4:$E$420,$A458&amp;" ضد "&amp;P$424)+COUNTIF($E$4:$E$420,P$424&amp;" ضد "&amp;$A458))</f>
        <v>0</v>
      </c>
      <c r="Q458" s="4">
        <f>IF($A458=Q$424,"",COUNTIF($E$4:$E$420,$A458&amp;" ضد "&amp;Q$424)+COUNTIF($E$4:$E$420,Q$424&amp;" ضد "&amp;$A458))</f>
        <v>0</v>
      </c>
      <c r="R458" s="4">
        <f>IF($A458=R$424,"",COUNTIF($E$4:$E$420,$A458&amp;" ضد "&amp;R$424)+COUNTIF($E$4:$E$420,R$424&amp;" ضد "&amp;$A458))</f>
        <v>0</v>
      </c>
      <c r="S458" s="4">
        <f>IF($A458=S$424,"",COUNTIF($E$4:$E$420,$A458&amp;" ضد "&amp;S$424)+COUNTIF($E$4:$E$420,S$424&amp;" ضد "&amp;$A458))</f>
        <v>0</v>
      </c>
      <c r="T458" s="4">
        <f>IF($A458=T$424,"",COUNTIF($E$4:$E$420,$A458&amp;" ضد "&amp;T$424)+COUNTIF($E$4:$E$420,T$424&amp;" ضد "&amp;$A458))</f>
        <v>0</v>
      </c>
      <c r="U458" s="4">
        <f>IF($A458=U$424,"",COUNTIF($E$4:$E$420,$A458&amp;" ضد "&amp;U$424)+COUNTIF($E$4:$E$420,U$424&amp;" ضد "&amp;$A458))</f>
        <v>0</v>
      </c>
      <c r="V458" s="4">
        <f>IF($A458=V$424,"",COUNTIF($E$4:$E$420,$A458&amp;" ضد "&amp;V$424)+COUNTIF($E$4:$E$420,V$424&amp;" ضد "&amp;$A458))</f>
        <v>0</v>
      </c>
      <c r="W458" s="4">
        <f>IF($A458=W$424,"",COUNTIF($E$4:$E$420,$A458&amp;" ضد "&amp;W$424)+COUNTIF($E$4:$E$420,W$424&amp;" ضد "&amp;$A458))</f>
        <v>0</v>
      </c>
      <c r="X458" s="4">
        <f>IF($A458=X$424,"",COUNTIF($E$4:$E$420,$A458&amp;" ضد "&amp;X$424)+COUNTIF($E$4:$E$420,X$424&amp;" ضد "&amp;$A458))</f>
        <v>0</v>
      </c>
      <c r="Y458" s="4">
        <f>IF($A458=Y$424,"",COUNTIF($E$4:$E$420,$A458&amp;" ضد "&amp;Y$424)+COUNTIF($E$4:$E$420,Y$424&amp;" ضد "&amp;$A458))</f>
        <v>0</v>
      </c>
      <c r="Z458" s="4">
        <f>IF($A458=Z$424,"",COUNTIF($E$4:$E$420,$A458&amp;" ضد "&amp;Z$424)+COUNTIF($E$4:$E$420,Z$424&amp;" ضد "&amp;$A458))</f>
        <v>2</v>
      </c>
      <c r="AA458" s="4">
        <f>IF($A458=AA$424,"",COUNTIF($E$4:$E$420,$A458&amp;" ضد "&amp;AA$424)+COUNTIF($E$4:$E$420,AA$424&amp;" ضد "&amp;$A458))</f>
        <v>2</v>
      </c>
      <c r="AB458" s="4">
        <f>IF($A458=AB$424,"",COUNTIF($E$4:$E$420,$A458&amp;" ضد "&amp;AB$424)+COUNTIF($E$4:$E$420,AB$424&amp;" ضد "&amp;$A458))</f>
        <v>2</v>
      </c>
      <c r="AC458" s="4">
        <f>IF($A458=AC$424,"",COUNTIF($E$4:$E$420,$A458&amp;" ضد "&amp;AC$424)+COUNTIF($E$4:$E$420,AC$424&amp;" ضد "&amp;$A458))</f>
        <v>2</v>
      </c>
      <c r="AD458" s="4">
        <f>IF($A458=AD$424,"",COUNTIF($E$4:$E$420,$A458&amp;" ضد "&amp;AD$424)+COUNTIF($E$4:$E$420,AD$424&amp;" ضد "&amp;$A458))</f>
        <v>1</v>
      </c>
      <c r="AE458" s="4">
        <f>IF($A458=AE$424,"",COUNTIF($E$4:$E$420,$A458&amp;" ضد "&amp;AE$424)+COUNTIF($E$4:$E$420,AE$424&amp;" ضد "&amp;$A458))</f>
        <v>2</v>
      </c>
      <c r="AF458" s="4">
        <f>IF($A458=AF$424,"",COUNTIF($E$4:$E$420,$A458&amp;" ضد "&amp;AF$424)+COUNTIF($E$4:$E$420,AF$424&amp;" ضد "&amp;$A458))</f>
        <v>1</v>
      </c>
      <c r="AG458" s="4">
        <f>IF($A458=AG$424,"",COUNTIF($E$4:$E$420,$A458&amp;" ضد "&amp;AG$424)+COUNTIF($E$4:$E$420,AG$424&amp;" ضد "&amp;$A458))</f>
        <v>2</v>
      </c>
      <c r="AH458" s="4">
        <f>IF($A458=AH$424,"",COUNTIF($E$4:$E$420,$A458&amp;" ضد "&amp;AH$424)+COUNTIF($E$4:$E$420,AH$424&amp;" ضد "&amp;$A458))</f>
        <v>1</v>
      </c>
      <c r="AI458" s="4" t="str">
        <f>IF($A458=AI$424,"",COUNTIF($E$4:$E$420,$A458&amp;" ضد "&amp;AI$424)+COUNTIF($E$4:$E$420,AI$424&amp;" ضد "&amp;$A458))</f>
        <v/>
      </c>
      <c r="AJ458" s="4">
        <f>IF($A458=AJ$424,"",COUNTIF($E$4:$E$420,$A458&amp;" ضد "&amp;AJ$424)+COUNTIF($E$4:$E$420,AJ$424&amp;" ضد "&amp;$A458))</f>
        <v>1</v>
      </c>
      <c r="AK458" s="4">
        <f>IF($A458=AK$424,"",COUNTIF($E$4:$E$420,$A458&amp;" ضد "&amp;AK$424)+COUNTIF($E$4:$E$420,AK$424&amp;" ضد "&amp;$A458))</f>
        <v>2</v>
      </c>
      <c r="AL458" s="4">
        <f>IF($A458=AL$424,"",COUNTIF($E$4:$E$420,$A458&amp;" ضد "&amp;AL$424)+COUNTIF($E$4:$E$420,AL$424&amp;" ضد "&amp;$A458))</f>
        <v>0</v>
      </c>
      <c r="AM458" s="4">
        <f>IF($A458=AM$424,"",COUNTIF($E$4:$E$420,$A458&amp;" ضد "&amp;AM$424)+COUNTIF($E$4:$E$420,AM$424&amp;" ضد "&amp;$A458))</f>
        <v>0</v>
      </c>
      <c r="AN458" s="4">
        <f>IF($A458=AN$424,"",COUNTIF($E$4:$E$420,$A458&amp;" ضد "&amp;AN$424)+COUNTIF($E$4:$E$420,AN$424&amp;" ضد "&amp;$A458))</f>
        <v>0</v>
      </c>
      <c r="AO458" s="4">
        <f>IF($A458=AO$424,"",COUNTIF($E$4:$E$420,$A458&amp;" ضد "&amp;AO$424)+COUNTIF($E$4:$E$420,AO$424&amp;" ضد "&amp;$A458))</f>
        <v>0</v>
      </c>
      <c r="AP458" s="4">
        <f>IF($A458=AP$424,"",COUNTIF($E$4:$E$420,$A458&amp;" ضد "&amp;AP$424)+COUNTIF($E$4:$E$420,AP$424&amp;" ضد "&amp;$A458))</f>
        <v>0</v>
      </c>
      <c r="AQ458" s="4">
        <f>IF($A458=AQ$424,"",COUNTIF($E$4:$E$420,$A458&amp;" ضد "&amp;AQ$424)+COUNTIF($E$4:$E$420,AQ$424&amp;" ضد "&amp;$A458))</f>
        <v>0</v>
      </c>
      <c r="AR458" s="4">
        <f>IF($A458=AR$424,"",COUNTIF($E$4:$E$420,$A458&amp;" ضد "&amp;AR$424)+COUNTIF($E$4:$E$420,AR$424&amp;" ضد "&amp;$A458))</f>
        <v>0</v>
      </c>
      <c r="AS458" s="4">
        <f>IF($A458=AS$424,"",COUNTIF($E$4:$E$420,$A458&amp;" ضد "&amp;AS$424)+COUNTIF($E$4:$E$420,AS$424&amp;" ضد "&amp;$A458))</f>
        <v>0</v>
      </c>
      <c r="AT458" s="4">
        <f>IF($A458=AT$424,"",COUNTIF($E$4:$E$420,$A458&amp;" ضد "&amp;AT$424)+COUNTIF($E$4:$E$420,AT$424&amp;" ضد "&amp;$A458))</f>
        <v>0</v>
      </c>
      <c r="AU458" s="4">
        <f>IF($A458=AU$424,"",COUNTIF($E$4:$E$420,$A458&amp;" ضد "&amp;AU$424)+COUNTIF($E$4:$E$420,AU$424&amp;" ضد "&amp;$A458))</f>
        <v>0</v>
      </c>
    </row>
    <row r="459" spans="1:47" ht="14.5">
      <c r="A459" s="14">
        <v>35</v>
      </c>
      <c r="B459" s="4">
        <f>IF($A459=B$424,"",COUNTIF($E$4:$E$420,$A459&amp;" ضد "&amp;B$424)+COUNTIF($E$4:$E$420,B$424&amp;" ضد "&amp;$A459))</f>
        <v>0</v>
      </c>
      <c r="C459" s="4">
        <f>IF($A459=C$424,"",COUNTIF($E$4:$E$420,$A459&amp;" ضد "&amp;C$424)+COUNTIF($E$4:$E$420,C$424&amp;" ضد "&amp;$A459))</f>
        <v>0</v>
      </c>
      <c r="D459" s="4">
        <f>IF($A459=D$424,"",COUNTIF($E$4:$E$420,$A459&amp;" ضد "&amp;D$424)+COUNTIF($E$4:$E$420,D$424&amp;" ضد "&amp;$A459))</f>
        <v>0</v>
      </c>
      <c r="E459" s="4">
        <f>IF($A459=E$424,"",COUNTIF($E$4:$E$420,$A459&amp;" ضد "&amp;E$424)+COUNTIF($E$4:$E$420,E$424&amp;" ضد "&amp;$A459))</f>
        <v>0</v>
      </c>
      <c r="F459" s="4">
        <f>IF($A459=F$424,"",COUNTIF($E$4:$E$420,$A459&amp;" ضد "&amp;F$424)+COUNTIF($E$4:$E$420,F$424&amp;" ضد "&amp;$A459))</f>
        <v>0</v>
      </c>
      <c r="G459" s="4">
        <f>IF($A459=G$424,"",COUNTIF($E$4:$E$420,$A459&amp;" ضد "&amp;G$424)+COUNTIF($E$4:$E$420,G$424&amp;" ضد "&amp;$A459))</f>
        <v>0</v>
      </c>
      <c r="H459" s="4">
        <f>IF($A459=H$424,"",COUNTIF($E$4:$E$420,$A459&amp;" ضد "&amp;H$424)+COUNTIF($E$4:$E$420,H$424&amp;" ضد "&amp;$A459))</f>
        <v>0</v>
      </c>
      <c r="I459" s="4">
        <f>IF($A459=I$424,"",COUNTIF($E$4:$E$420,$A459&amp;" ضد "&amp;I$424)+COUNTIF($E$4:$E$420,I$424&amp;" ضد "&amp;$A459))</f>
        <v>0</v>
      </c>
      <c r="J459" s="4">
        <f>IF($A459=J$424,"",COUNTIF($E$4:$E$420,$A459&amp;" ضد "&amp;J$424)+COUNTIF($E$4:$E$420,J$424&amp;" ضد "&amp;$A459))</f>
        <v>0</v>
      </c>
      <c r="K459" s="4">
        <f>IF($A459=K$424,"",COUNTIF($E$4:$E$420,$A459&amp;" ضد "&amp;K$424)+COUNTIF($E$4:$E$420,K$424&amp;" ضد "&amp;$A459))</f>
        <v>0</v>
      </c>
      <c r="L459" s="4">
        <f>IF($A459=L$424,"",COUNTIF($E$4:$E$420,$A459&amp;" ضد "&amp;L$424)+COUNTIF($E$4:$E$420,L$424&amp;" ضد "&amp;$A459))</f>
        <v>0</v>
      </c>
      <c r="M459" s="4">
        <f>IF($A459=M$424,"",COUNTIF($E$4:$E$420,$A459&amp;" ضد "&amp;M$424)+COUNTIF($E$4:$E$420,M$424&amp;" ضد "&amp;$A459))</f>
        <v>0</v>
      </c>
      <c r="N459" s="4">
        <f>IF($A459=N$424,"",COUNTIF($E$4:$E$420,$A459&amp;" ضد "&amp;N$424)+COUNTIF($E$4:$E$420,N$424&amp;" ضد "&amp;$A459))</f>
        <v>0</v>
      </c>
      <c r="O459" s="4">
        <f>IF($A459=O$424,"",COUNTIF($E$4:$E$420,$A459&amp;" ضد "&amp;O$424)+COUNTIF($E$4:$E$420,O$424&amp;" ضد "&amp;$A459))</f>
        <v>0</v>
      </c>
      <c r="P459" s="4">
        <f>IF($A459=P$424,"",COUNTIF($E$4:$E$420,$A459&amp;" ضد "&amp;P$424)+COUNTIF($E$4:$E$420,P$424&amp;" ضد "&amp;$A459))</f>
        <v>0</v>
      </c>
      <c r="Q459" s="4">
        <f>IF($A459=Q$424,"",COUNTIF($E$4:$E$420,$A459&amp;" ضد "&amp;Q$424)+COUNTIF($E$4:$E$420,Q$424&amp;" ضد "&amp;$A459))</f>
        <v>0</v>
      </c>
      <c r="R459" s="4">
        <f>IF($A459=R$424,"",COUNTIF($E$4:$E$420,$A459&amp;" ضد "&amp;R$424)+COUNTIF($E$4:$E$420,R$424&amp;" ضد "&amp;$A459))</f>
        <v>0</v>
      </c>
      <c r="S459" s="4">
        <f>IF($A459=S$424,"",COUNTIF($E$4:$E$420,$A459&amp;" ضد "&amp;S$424)+COUNTIF($E$4:$E$420,S$424&amp;" ضد "&amp;$A459))</f>
        <v>0</v>
      </c>
      <c r="T459" s="4">
        <f>IF($A459=T$424,"",COUNTIF($E$4:$E$420,$A459&amp;" ضد "&amp;T$424)+COUNTIF($E$4:$E$420,T$424&amp;" ضد "&amp;$A459))</f>
        <v>0</v>
      </c>
      <c r="U459" s="4">
        <f>IF($A459=U$424,"",COUNTIF($E$4:$E$420,$A459&amp;" ضد "&amp;U$424)+COUNTIF($E$4:$E$420,U$424&amp;" ضد "&amp;$A459))</f>
        <v>0</v>
      </c>
      <c r="V459" s="4">
        <f>IF($A459=V$424,"",COUNTIF($E$4:$E$420,$A459&amp;" ضد "&amp;V$424)+COUNTIF($E$4:$E$420,V$424&amp;" ضد "&amp;$A459))</f>
        <v>0</v>
      </c>
      <c r="W459" s="4">
        <f>IF($A459=W$424,"",COUNTIF($E$4:$E$420,$A459&amp;" ضد "&amp;W$424)+COUNTIF($E$4:$E$420,W$424&amp;" ضد "&amp;$A459))</f>
        <v>0</v>
      </c>
      <c r="X459" s="4">
        <f>IF($A459=X$424,"",COUNTIF($E$4:$E$420,$A459&amp;" ضد "&amp;X$424)+COUNTIF($E$4:$E$420,X$424&amp;" ضد "&amp;$A459))</f>
        <v>0</v>
      </c>
      <c r="Y459" s="4">
        <f>IF($A459=Y$424,"",COUNTIF($E$4:$E$420,$A459&amp;" ضد "&amp;Y$424)+COUNTIF($E$4:$E$420,Y$424&amp;" ضد "&amp;$A459))</f>
        <v>0</v>
      </c>
      <c r="Z459" s="4">
        <f>IF($A459=Z$424,"",COUNTIF($E$4:$E$420,$A459&amp;" ضد "&amp;Z$424)+COUNTIF($E$4:$E$420,Z$424&amp;" ضد "&amp;$A459))</f>
        <v>2</v>
      </c>
      <c r="AA459" s="4">
        <f>IF($A459=AA$424,"",COUNTIF($E$4:$E$420,$A459&amp;" ضد "&amp;AA$424)+COUNTIF($E$4:$E$420,AA$424&amp;" ضد "&amp;$A459))</f>
        <v>2</v>
      </c>
      <c r="AB459" s="4">
        <f>IF($A459=AB$424,"",COUNTIF($E$4:$E$420,$A459&amp;" ضد "&amp;AB$424)+COUNTIF($E$4:$E$420,AB$424&amp;" ضد "&amp;$A459))</f>
        <v>2</v>
      </c>
      <c r="AC459" s="4">
        <f>IF($A459=AC$424,"",COUNTIF($E$4:$E$420,$A459&amp;" ضد "&amp;AC$424)+COUNTIF($E$4:$E$420,AC$424&amp;" ضد "&amp;$A459))</f>
        <v>1</v>
      </c>
      <c r="AD459" s="4">
        <f>IF($A459=AD$424,"",COUNTIF($E$4:$E$420,$A459&amp;" ضد "&amp;AD$424)+COUNTIF($E$4:$E$420,AD$424&amp;" ضد "&amp;$A459))</f>
        <v>2</v>
      </c>
      <c r="AE459" s="4">
        <f>IF($A459=AE$424,"",COUNTIF($E$4:$E$420,$A459&amp;" ضد "&amp;AE$424)+COUNTIF($E$4:$E$420,AE$424&amp;" ضد "&amp;$A459))</f>
        <v>1</v>
      </c>
      <c r="AF459" s="4">
        <f>IF($A459=AF$424,"",COUNTIF($E$4:$E$420,$A459&amp;" ضد "&amp;AF$424)+COUNTIF($E$4:$E$420,AF$424&amp;" ضد "&amp;$A459))</f>
        <v>2</v>
      </c>
      <c r="AG459" s="4">
        <f>IF($A459=AG$424,"",COUNTIF($E$4:$E$420,$A459&amp;" ضد "&amp;AG$424)+COUNTIF($E$4:$E$420,AG$424&amp;" ضد "&amp;$A459))</f>
        <v>1</v>
      </c>
      <c r="AH459" s="4">
        <f>IF($A459=AH$424,"",COUNTIF($E$4:$E$420,$A459&amp;" ضد "&amp;AH$424)+COUNTIF($E$4:$E$420,AH$424&amp;" ضد "&amp;$A459))</f>
        <v>2</v>
      </c>
      <c r="AI459" s="4">
        <f>IF($A459=AI$424,"",COUNTIF($E$4:$E$420,$A459&amp;" ضد "&amp;AI$424)+COUNTIF($E$4:$E$420,AI$424&amp;" ضد "&amp;$A459))</f>
        <v>1</v>
      </c>
      <c r="AJ459" s="4" t="str">
        <f>IF($A459=AJ$424,"",COUNTIF($E$4:$E$420,$A459&amp;" ضد "&amp;AJ$424)+COUNTIF($E$4:$E$420,AJ$424&amp;" ضد "&amp;$A459))</f>
        <v/>
      </c>
      <c r="AK459" s="4">
        <f>IF($A459=AK$424,"",COUNTIF($E$4:$E$420,$A459&amp;" ضد "&amp;AK$424)+COUNTIF($E$4:$E$420,AK$424&amp;" ضد "&amp;$A459))</f>
        <v>2</v>
      </c>
      <c r="AL459" s="4">
        <f>IF($A459=AL$424,"",COUNTIF($E$4:$E$420,$A459&amp;" ضد "&amp;AL$424)+COUNTIF($E$4:$E$420,AL$424&amp;" ضد "&amp;$A459))</f>
        <v>0</v>
      </c>
      <c r="AM459" s="4">
        <f>IF($A459=AM$424,"",COUNTIF($E$4:$E$420,$A459&amp;" ضد "&amp;AM$424)+COUNTIF($E$4:$E$420,AM$424&amp;" ضد "&amp;$A459))</f>
        <v>0</v>
      </c>
      <c r="AN459" s="4">
        <f>IF($A459=AN$424,"",COUNTIF($E$4:$E$420,$A459&amp;" ضد "&amp;AN$424)+COUNTIF($E$4:$E$420,AN$424&amp;" ضد "&amp;$A459))</f>
        <v>0</v>
      </c>
      <c r="AO459" s="4">
        <f>IF($A459=AO$424,"",COUNTIF($E$4:$E$420,$A459&amp;" ضد "&amp;AO$424)+COUNTIF($E$4:$E$420,AO$424&amp;" ضد "&amp;$A459))</f>
        <v>0</v>
      </c>
      <c r="AP459" s="4">
        <f>IF($A459=AP$424,"",COUNTIF($E$4:$E$420,$A459&amp;" ضد "&amp;AP$424)+COUNTIF($E$4:$E$420,AP$424&amp;" ضد "&amp;$A459))</f>
        <v>0</v>
      </c>
      <c r="AQ459" s="4">
        <f>IF($A459=AQ$424,"",COUNTIF($E$4:$E$420,$A459&amp;" ضد "&amp;AQ$424)+COUNTIF($E$4:$E$420,AQ$424&amp;" ضد "&amp;$A459))</f>
        <v>0</v>
      </c>
      <c r="AR459" s="4">
        <f>IF($A459=AR$424,"",COUNTIF($E$4:$E$420,$A459&amp;" ضد "&amp;AR$424)+COUNTIF($E$4:$E$420,AR$424&amp;" ضد "&amp;$A459))</f>
        <v>0</v>
      </c>
      <c r="AS459" s="4">
        <f>IF($A459=AS$424,"",COUNTIF($E$4:$E$420,$A459&amp;" ضد "&amp;AS$424)+COUNTIF($E$4:$E$420,AS$424&amp;" ضد "&amp;$A459))</f>
        <v>0</v>
      </c>
      <c r="AT459" s="4">
        <f>IF($A459=AT$424,"",COUNTIF($E$4:$E$420,$A459&amp;" ضد "&amp;AT$424)+COUNTIF($E$4:$E$420,AT$424&amp;" ضد "&amp;$A459))</f>
        <v>0</v>
      </c>
      <c r="AU459" s="4">
        <f>IF($A459=AU$424,"",COUNTIF($E$4:$E$420,$A459&amp;" ضد "&amp;AU$424)+COUNTIF($E$4:$E$420,AU$424&amp;" ضد "&amp;$A459))</f>
        <v>0</v>
      </c>
    </row>
    <row r="460" spans="1:47" ht="14.5">
      <c r="A460" s="14">
        <v>36</v>
      </c>
      <c r="B460" s="4">
        <f>IF($A460=B$424,"",COUNTIF($E$4:$E$420,$A460&amp;" ضد "&amp;B$424)+COUNTIF($E$4:$E$420,B$424&amp;" ضد "&amp;$A460))</f>
        <v>0</v>
      </c>
      <c r="C460" s="4">
        <f>IF($A460=C$424,"",COUNTIF($E$4:$E$420,$A460&amp;" ضد "&amp;C$424)+COUNTIF($E$4:$E$420,C$424&amp;" ضد "&amp;$A460))</f>
        <v>0</v>
      </c>
      <c r="D460" s="4">
        <f>IF($A460=D$424,"",COUNTIF($E$4:$E$420,$A460&amp;" ضد "&amp;D$424)+COUNTIF($E$4:$E$420,D$424&amp;" ضد "&amp;$A460))</f>
        <v>0</v>
      </c>
      <c r="E460" s="4">
        <f>IF($A460=E$424,"",COUNTIF($E$4:$E$420,$A460&amp;" ضد "&amp;E$424)+COUNTIF($E$4:$E$420,E$424&amp;" ضد "&amp;$A460))</f>
        <v>0</v>
      </c>
      <c r="F460" s="4">
        <f>IF($A460=F$424,"",COUNTIF($E$4:$E$420,$A460&amp;" ضد "&amp;F$424)+COUNTIF($E$4:$E$420,F$424&amp;" ضد "&amp;$A460))</f>
        <v>0</v>
      </c>
      <c r="G460" s="4">
        <f>IF($A460=G$424,"",COUNTIF($E$4:$E$420,$A460&amp;" ضد "&amp;G$424)+COUNTIF($E$4:$E$420,G$424&amp;" ضد "&amp;$A460))</f>
        <v>0</v>
      </c>
      <c r="H460" s="4">
        <f>IF($A460=H$424,"",COUNTIF($E$4:$E$420,$A460&amp;" ضد "&amp;H$424)+COUNTIF($E$4:$E$420,H$424&amp;" ضد "&amp;$A460))</f>
        <v>0</v>
      </c>
      <c r="I460" s="4">
        <f>IF($A460=I$424,"",COUNTIF($E$4:$E$420,$A460&amp;" ضد "&amp;I$424)+COUNTIF($E$4:$E$420,I$424&amp;" ضد "&amp;$A460))</f>
        <v>0</v>
      </c>
      <c r="J460" s="4">
        <f>IF($A460=J$424,"",COUNTIF($E$4:$E$420,$A460&amp;" ضد "&amp;J$424)+COUNTIF($E$4:$E$420,J$424&amp;" ضد "&amp;$A460))</f>
        <v>0</v>
      </c>
      <c r="K460" s="4">
        <f>IF($A460=K$424,"",COUNTIF($E$4:$E$420,$A460&amp;" ضد "&amp;K$424)+COUNTIF($E$4:$E$420,K$424&amp;" ضد "&amp;$A460))</f>
        <v>0</v>
      </c>
      <c r="L460" s="4">
        <f>IF($A460=L$424,"",COUNTIF($E$4:$E$420,$A460&amp;" ضد "&amp;L$424)+COUNTIF($E$4:$E$420,L$424&amp;" ضد "&amp;$A460))</f>
        <v>0</v>
      </c>
      <c r="M460" s="4">
        <f>IF($A460=M$424,"",COUNTIF($E$4:$E$420,$A460&amp;" ضد "&amp;M$424)+COUNTIF($E$4:$E$420,M$424&amp;" ضد "&amp;$A460))</f>
        <v>0</v>
      </c>
      <c r="N460" s="4">
        <f>IF($A460=N$424,"",COUNTIF($E$4:$E$420,$A460&amp;" ضد "&amp;N$424)+COUNTIF($E$4:$E$420,N$424&amp;" ضد "&amp;$A460))</f>
        <v>0</v>
      </c>
      <c r="O460" s="4">
        <f>IF($A460=O$424,"",COUNTIF($E$4:$E$420,$A460&amp;" ضد "&amp;O$424)+COUNTIF($E$4:$E$420,O$424&amp;" ضد "&amp;$A460))</f>
        <v>0</v>
      </c>
      <c r="P460" s="4">
        <f>IF($A460=P$424,"",COUNTIF($E$4:$E$420,$A460&amp;" ضد "&amp;P$424)+COUNTIF($E$4:$E$420,P$424&amp;" ضد "&amp;$A460))</f>
        <v>0</v>
      </c>
      <c r="Q460" s="4">
        <f>IF($A460=Q$424,"",COUNTIF($E$4:$E$420,$A460&amp;" ضد "&amp;Q$424)+COUNTIF($E$4:$E$420,Q$424&amp;" ضد "&amp;$A460))</f>
        <v>0</v>
      </c>
      <c r="R460" s="4">
        <f>IF($A460=R$424,"",COUNTIF($E$4:$E$420,$A460&amp;" ضد "&amp;R$424)+COUNTIF($E$4:$E$420,R$424&amp;" ضد "&amp;$A460))</f>
        <v>0</v>
      </c>
      <c r="S460" s="4">
        <f>IF($A460=S$424,"",COUNTIF($E$4:$E$420,$A460&amp;" ضد "&amp;S$424)+COUNTIF($E$4:$E$420,S$424&amp;" ضد "&amp;$A460))</f>
        <v>0</v>
      </c>
      <c r="T460" s="4">
        <f>IF($A460=T$424,"",COUNTIF($E$4:$E$420,$A460&amp;" ضد "&amp;T$424)+COUNTIF($E$4:$E$420,T$424&amp;" ضد "&amp;$A460))</f>
        <v>0</v>
      </c>
      <c r="U460" s="4">
        <f>IF($A460=U$424,"",COUNTIF($E$4:$E$420,$A460&amp;" ضد "&amp;U$424)+COUNTIF($E$4:$E$420,U$424&amp;" ضد "&amp;$A460))</f>
        <v>0</v>
      </c>
      <c r="V460" s="4">
        <f>IF($A460=V$424,"",COUNTIF($E$4:$E$420,$A460&amp;" ضد "&amp;V$424)+COUNTIF($E$4:$E$420,V$424&amp;" ضد "&amp;$A460))</f>
        <v>0</v>
      </c>
      <c r="W460" s="4">
        <f>IF($A460=W$424,"",COUNTIF($E$4:$E$420,$A460&amp;" ضد "&amp;W$424)+COUNTIF($E$4:$E$420,W$424&amp;" ضد "&amp;$A460))</f>
        <v>0</v>
      </c>
      <c r="X460" s="4">
        <f>IF($A460=X$424,"",COUNTIF($E$4:$E$420,$A460&amp;" ضد "&amp;X$424)+COUNTIF($E$4:$E$420,X$424&amp;" ضد "&amp;$A460))</f>
        <v>0</v>
      </c>
      <c r="Y460" s="4">
        <f>IF($A460=Y$424,"",COUNTIF($E$4:$E$420,$A460&amp;" ضد "&amp;Y$424)+COUNTIF($E$4:$E$420,Y$424&amp;" ضد "&amp;$A460))</f>
        <v>0</v>
      </c>
      <c r="Z460" s="4">
        <f>IF($A460=Z$424,"",COUNTIF($E$4:$E$420,$A460&amp;" ضد "&amp;Z$424)+COUNTIF($E$4:$E$420,Z$424&amp;" ضد "&amp;$A460))</f>
        <v>2</v>
      </c>
      <c r="AA460" s="4">
        <f>IF($A460=AA$424,"",COUNTIF($E$4:$E$420,$A460&amp;" ضد "&amp;AA$424)+COUNTIF($E$4:$E$420,AA$424&amp;" ضد "&amp;$A460))</f>
        <v>2</v>
      </c>
      <c r="AB460" s="4">
        <f>IF($A460=AB$424,"",COUNTIF($E$4:$E$420,$A460&amp;" ضد "&amp;AB$424)+COUNTIF($E$4:$E$420,AB$424&amp;" ضد "&amp;$A460))</f>
        <v>1</v>
      </c>
      <c r="AC460" s="4">
        <f>IF($A460=AC$424,"",COUNTIF($E$4:$E$420,$A460&amp;" ضد "&amp;AC$424)+COUNTIF($E$4:$E$420,AC$424&amp;" ضد "&amp;$A460))</f>
        <v>2</v>
      </c>
      <c r="AD460" s="4">
        <f>IF($A460=AD$424,"",COUNTIF($E$4:$E$420,$A460&amp;" ضد "&amp;AD$424)+COUNTIF($E$4:$E$420,AD$424&amp;" ضد "&amp;$A460))</f>
        <v>1</v>
      </c>
      <c r="AE460" s="4">
        <f>IF($A460=AE$424,"",COUNTIF($E$4:$E$420,$A460&amp;" ضد "&amp;AE$424)+COUNTIF($E$4:$E$420,AE$424&amp;" ضد "&amp;$A460))</f>
        <v>2</v>
      </c>
      <c r="AF460" s="4">
        <f>IF($A460=AF$424,"",COUNTIF($E$4:$E$420,$A460&amp;" ضد "&amp;AF$424)+COUNTIF($E$4:$E$420,AF$424&amp;" ضد "&amp;$A460))</f>
        <v>1</v>
      </c>
      <c r="AG460" s="4">
        <f>IF($A460=AG$424,"",COUNTIF($E$4:$E$420,$A460&amp;" ضد "&amp;AG$424)+COUNTIF($E$4:$E$420,AG$424&amp;" ضد "&amp;$A460))</f>
        <v>2</v>
      </c>
      <c r="AH460" s="4">
        <f>IF($A460=AH$424,"",COUNTIF($E$4:$E$420,$A460&amp;" ضد "&amp;AH$424)+COUNTIF($E$4:$E$420,AH$424&amp;" ضد "&amp;$A460))</f>
        <v>1</v>
      </c>
      <c r="AI460" s="4">
        <f>IF($A460=AI$424,"",COUNTIF($E$4:$E$420,$A460&amp;" ضد "&amp;AI$424)+COUNTIF($E$4:$E$420,AI$424&amp;" ضد "&amp;$A460))</f>
        <v>2</v>
      </c>
      <c r="AJ460" s="4">
        <f>IF($A460=AJ$424,"",COUNTIF($E$4:$E$420,$A460&amp;" ضد "&amp;AJ$424)+COUNTIF($E$4:$E$420,AJ$424&amp;" ضد "&amp;$A460))</f>
        <v>2</v>
      </c>
      <c r="AK460" s="4" t="str">
        <f>IF($A460=AK$424,"",COUNTIF($E$4:$E$420,$A460&amp;" ضد "&amp;AK$424)+COUNTIF($E$4:$E$420,AK$424&amp;" ضد "&amp;$A460))</f>
        <v/>
      </c>
      <c r="AL460" s="4">
        <f>IF($A460=AL$424,"",COUNTIF($E$4:$E$420,$A460&amp;" ضد "&amp;AL$424)+COUNTIF($E$4:$E$420,AL$424&amp;" ضد "&amp;$A460))</f>
        <v>0</v>
      </c>
      <c r="AM460" s="4">
        <f>IF($A460=AM$424,"",COUNTIF($E$4:$E$420,$A460&amp;" ضد "&amp;AM$424)+COUNTIF($E$4:$E$420,AM$424&amp;" ضد "&amp;$A460))</f>
        <v>0</v>
      </c>
      <c r="AN460" s="4">
        <f>IF($A460=AN$424,"",COUNTIF($E$4:$E$420,$A460&amp;" ضد "&amp;AN$424)+COUNTIF($E$4:$E$420,AN$424&amp;" ضد "&amp;$A460))</f>
        <v>0</v>
      </c>
      <c r="AO460" s="4">
        <f>IF($A460=AO$424,"",COUNTIF($E$4:$E$420,$A460&amp;" ضد "&amp;AO$424)+COUNTIF($E$4:$E$420,AO$424&amp;" ضد "&amp;$A460))</f>
        <v>0</v>
      </c>
      <c r="AP460" s="4">
        <f>IF($A460=AP$424,"",COUNTIF($E$4:$E$420,$A460&amp;" ضد "&amp;AP$424)+COUNTIF($E$4:$E$420,AP$424&amp;" ضد "&amp;$A460))</f>
        <v>0</v>
      </c>
      <c r="AQ460" s="4">
        <f>IF($A460=AQ$424,"",COUNTIF($E$4:$E$420,$A460&amp;" ضد "&amp;AQ$424)+COUNTIF($E$4:$E$420,AQ$424&amp;" ضد "&amp;$A460))</f>
        <v>0</v>
      </c>
      <c r="AR460" s="4">
        <f>IF($A460=AR$424,"",COUNTIF($E$4:$E$420,$A460&amp;" ضد "&amp;AR$424)+COUNTIF($E$4:$E$420,AR$424&amp;" ضد "&amp;$A460))</f>
        <v>0</v>
      </c>
      <c r="AS460" s="4">
        <f>IF($A460=AS$424,"",COUNTIF($E$4:$E$420,$A460&amp;" ضد "&amp;AS$424)+COUNTIF($E$4:$E$420,AS$424&amp;" ضد "&amp;$A460))</f>
        <v>0</v>
      </c>
      <c r="AT460" s="4">
        <f>IF($A460=AT$424,"",COUNTIF($E$4:$E$420,$A460&amp;" ضد "&amp;AT$424)+COUNTIF($E$4:$E$420,AT$424&amp;" ضد "&amp;$A460))</f>
        <v>0</v>
      </c>
      <c r="AU460" s="4">
        <f>IF($A460=AU$424,"",COUNTIF($E$4:$E$420,$A460&amp;" ضد "&amp;AU$424)+COUNTIF($E$4:$E$420,AU$424&amp;" ضد "&amp;$A460))</f>
        <v>0</v>
      </c>
    </row>
    <row r="461" spans="1:47" ht="14.5">
      <c r="A461" s="14">
        <v>37</v>
      </c>
      <c r="B461" s="4">
        <f>IF($A461=B$424,"",COUNTIF($E$4:$E$420,$A461&amp;" ضد "&amp;B$424)+COUNTIF($E$4:$E$420,B$424&amp;" ضد "&amp;$A461))</f>
        <v>0</v>
      </c>
      <c r="C461" s="4">
        <f>IF($A461=C$424,"",COUNTIF($E$4:$E$420,$A461&amp;" ضد "&amp;C$424)+COUNTIF($E$4:$E$420,C$424&amp;" ضد "&amp;$A461))</f>
        <v>0</v>
      </c>
      <c r="D461" s="4">
        <f>IF($A461=D$424,"",COUNTIF($E$4:$E$420,$A461&amp;" ضد "&amp;D$424)+COUNTIF($E$4:$E$420,D$424&amp;" ضد "&amp;$A461))</f>
        <v>0</v>
      </c>
      <c r="E461" s="4">
        <f>IF($A461=E$424,"",COUNTIF($E$4:$E$420,$A461&amp;" ضد "&amp;E$424)+COUNTIF($E$4:$E$420,E$424&amp;" ضد "&amp;$A461))</f>
        <v>0</v>
      </c>
      <c r="F461" s="4">
        <f>IF($A461=F$424,"",COUNTIF($E$4:$E$420,$A461&amp;" ضد "&amp;F$424)+COUNTIF($E$4:$E$420,F$424&amp;" ضد "&amp;$A461))</f>
        <v>0</v>
      </c>
      <c r="G461" s="4">
        <f>IF($A461=G$424,"",COUNTIF($E$4:$E$420,$A461&amp;" ضد "&amp;G$424)+COUNTIF($E$4:$E$420,G$424&amp;" ضد "&amp;$A461))</f>
        <v>0</v>
      </c>
      <c r="H461" s="4">
        <f>IF($A461=H$424,"",COUNTIF($E$4:$E$420,$A461&amp;" ضد "&amp;H$424)+COUNTIF($E$4:$E$420,H$424&amp;" ضد "&amp;$A461))</f>
        <v>0</v>
      </c>
      <c r="I461" s="4">
        <f>IF($A461=I$424,"",COUNTIF($E$4:$E$420,$A461&amp;" ضد "&amp;I$424)+COUNTIF($E$4:$E$420,I$424&amp;" ضد "&amp;$A461))</f>
        <v>0</v>
      </c>
      <c r="J461" s="4">
        <f>IF($A461=J$424,"",COUNTIF($E$4:$E$420,$A461&amp;" ضد "&amp;J$424)+COUNTIF($E$4:$E$420,J$424&amp;" ضد "&amp;$A461))</f>
        <v>0</v>
      </c>
      <c r="K461" s="4">
        <f>IF($A461=K$424,"",COUNTIF($E$4:$E$420,$A461&amp;" ضد "&amp;K$424)+COUNTIF($E$4:$E$420,K$424&amp;" ضد "&amp;$A461))</f>
        <v>0</v>
      </c>
      <c r="L461" s="4">
        <f>IF($A461=L$424,"",COUNTIF($E$4:$E$420,$A461&amp;" ضد "&amp;L$424)+COUNTIF($E$4:$E$420,L$424&amp;" ضد "&amp;$A461))</f>
        <v>0</v>
      </c>
      <c r="M461" s="4">
        <f>IF($A461=M$424,"",COUNTIF($E$4:$E$420,$A461&amp;" ضد "&amp;M$424)+COUNTIF($E$4:$E$420,M$424&amp;" ضد "&amp;$A461))</f>
        <v>0</v>
      </c>
      <c r="N461" s="4">
        <f>IF($A461=N$424,"",COUNTIF($E$4:$E$420,$A461&amp;" ضد "&amp;N$424)+COUNTIF($E$4:$E$420,N$424&amp;" ضد "&amp;$A461))</f>
        <v>0</v>
      </c>
      <c r="O461" s="4">
        <f>IF($A461=O$424,"",COUNTIF($E$4:$E$420,$A461&amp;" ضد "&amp;O$424)+COUNTIF($E$4:$E$420,O$424&amp;" ضد "&amp;$A461))</f>
        <v>0</v>
      </c>
      <c r="P461" s="4">
        <f>IF($A461=P$424,"",COUNTIF($E$4:$E$420,$A461&amp;" ضد "&amp;P$424)+COUNTIF($E$4:$E$420,P$424&amp;" ضد "&amp;$A461))</f>
        <v>0</v>
      </c>
      <c r="Q461" s="4">
        <f>IF($A461=Q$424,"",COUNTIF($E$4:$E$420,$A461&amp;" ضد "&amp;Q$424)+COUNTIF($E$4:$E$420,Q$424&amp;" ضد "&amp;$A461))</f>
        <v>0</v>
      </c>
      <c r="R461" s="4">
        <f>IF($A461=R$424,"",COUNTIF($E$4:$E$420,$A461&amp;" ضد "&amp;R$424)+COUNTIF($E$4:$E$420,R$424&amp;" ضد "&amp;$A461))</f>
        <v>0</v>
      </c>
      <c r="S461" s="4">
        <f>IF($A461=S$424,"",COUNTIF($E$4:$E$420,$A461&amp;" ضد "&amp;S$424)+COUNTIF($E$4:$E$420,S$424&amp;" ضد "&amp;$A461))</f>
        <v>0</v>
      </c>
      <c r="T461" s="4">
        <f>IF($A461=T$424,"",COUNTIF($E$4:$E$420,$A461&amp;" ضد "&amp;T$424)+COUNTIF($E$4:$E$420,T$424&amp;" ضد "&amp;$A461))</f>
        <v>0</v>
      </c>
      <c r="U461" s="4">
        <f>IF($A461=U$424,"",COUNTIF($E$4:$E$420,$A461&amp;" ضد "&amp;U$424)+COUNTIF($E$4:$E$420,U$424&amp;" ضد "&amp;$A461))</f>
        <v>0</v>
      </c>
      <c r="V461" s="4">
        <f>IF($A461=V$424,"",COUNTIF($E$4:$E$420,$A461&amp;" ضد "&amp;V$424)+COUNTIF($E$4:$E$420,V$424&amp;" ضد "&amp;$A461))</f>
        <v>0</v>
      </c>
      <c r="W461" s="4">
        <f>IF($A461=W$424,"",COUNTIF($E$4:$E$420,$A461&amp;" ضد "&amp;W$424)+COUNTIF($E$4:$E$420,W$424&amp;" ضد "&amp;$A461))</f>
        <v>0</v>
      </c>
      <c r="X461" s="4">
        <f>IF($A461=X$424,"",COUNTIF($E$4:$E$420,$A461&amp;" ضد "&amp;X$424)+COUNTIF($E$4:$E$420,X$424&amp;" ضد "&amp;$A461))</f>
        <v>0</v>
      </c>
      <c r="Y461" s="4">
        <f>IF($A461=Y$424,"",COUNTIF($E$4:$E$420,$A461&amp;" ضد "&amp;Y$424)+COUNTIF($E$4:$E$420,Y$424&amp;" ضد "&amp;$A461))</f>
        <v>0</v>
      </c>
      <c r="Z461" s="4">
        <f>IF($A461=Z$424,"",COUNTIF($E$4:$E$420,$A461&amp;" ضد "&amp;Z$424)+COUNTIF($E$4:$E$420,Z$424&amp;" ضد "&amp;$A461))</f>
        <v>0</v>
      </c>
      <c r="AA461" s="4">
        <f>IF($A461=AA$424,"",COUNTIF($E$4:$E$420,$A461&amp;" ضد "&amp;AA$424)+COUNTIF($E$4:$E$420,AA$424&amp;" ضد "&amp;$A461))</f>
        <v>0</v>
      </c>
      <c r="AB461" s="4">
        <f>IF($A461=AB$424,"",COUNTIF($E$4:$E$420,$A461&amp;" ضد "&amp;AB$424)+COUNTIF($E$4:$E$420,AB$424&amp;" ضد "&amp;$A461))</f>
        <v>0</v>
      </c>
      <c r="AC461" s="4">
        <f>IF($A461=AC$424,"",COUNTIF($E$4:$E$420,$A461&amp;" ضد "&amp;AC$424)+COUNTIF($E$4:$E$420,AC$424&amp;" ضد "&amp;$A461))</f>
        <v>0</v>
      </c>
      <c r="AD461" s="4">
        <f>IF($A461=AD$424,"",COUNTIF($E$4:$E$420,$A461&amp;" ضد "&amp;AD$424)+COUNTIF($E$4:$E$420,AD$424&amp;" ضد "&amp;$A461))</f>
        <v>0</v>
      </c>
      <c r="AE461" s="4">
        <f>IF($A461=AE$424,"",COUNTIF($E$4:$E$420,$A461&amp;" ضد "&amp;AE$424)+COUNTIF($E$4:$E$420,AE$424&amp;" ضد "&amp;$A461))</f>
        <v>0</v>
      </c>
      <c r="AF461" s="4">
        <f>IF($A461=AF$424,"",COUNTIF($E$4:$E$420,$A461&amp;" ضد "&amp;AF$424)+COUNTIF($E$4:$E$420,AF$424&amp;" ضد "&amp;$A461))</f>
        <v>0</v>
      </c>
      <c r="AG461" s="4">
        <f>IF($A461=AG$424,"",COUNTIF($E$4:$E$420,$A461&amp;" ضد "&amp;AG$424)+COUNTIF($E$4:$E$420,AG$424&amp;" ضد "&amp;$A461))</f>
        <v>0</v>
      </c>
      <c r="AH461" s="4">
        <f>IF($A461=AH$424,"",COUNTIF($E$4:$E$420,$A461&amp;" ضد "&amp;AH$424)+COUNTIF($E$4:$E$420,AH$424&amp;" ضد "&amp;$A461))</f>
        <v>0</v>
      </c>
      <c r="AI461" s="4">
        <f>IF($A461=AI$424,"",COUNTIF($E$4:$E$420,$A461&amp;" ضد "&amp;AI$424)+COUNTIF($E$4:$E$420,AI$424&amp;" ضد "&amp;$A461))</f>
        <v>0</v>
      </c>
      <c r="AJ461" s="4">
        <f>IF($A461=AJ$424,"",COUNTIF($E$4:$E$420,$A461&amp;" ضد "&amp;AJ$424)+COUNTIF($E$4:$E$420,AJ$424&amp;" ضد "&amp;$A461))</f>
        <v>0</v>
      </c>
      <c r="AK461" s="4">
        <f>IF($A461=AK$424,"",COUNTIF($E$4:$E$420,$A461&amp;" ضد "&amp;AK$424)+COUNTIF($E$4:$E$420,AK$424&amp;" ضد "&amp;$A461))</f>
        <v>0</v>
      </c>
      <c r="AL461" s="4" t="str">
        <f>IF($A461=AL$424,"",COUNTIF($E$4:$E$420,$A461&amp;" ضد "&amp;AL$424)+COUNTIF($E$4:$E$420,AL$424&amp;" ضد "&amp;$A461))</f>
        <v/>
      </c>
      <c r="AM461" s="4">
        <f>IF($A461=AM$424,"",COUNTIF($E$4:$E$420,$A461&amp;" ضد "&amp;AM$424)+COUNTIF($E$4:$E$420,AM$424&amp;" ضد "&amp;$A461))</f>
        <v>2</v>
      </c>
      <c r="AN461" s="4">
        <f>IF($A461=AN$424,"",COUNTIF($E$4:$E$420,$A461&amp;" ضد "&amp;AN$424)+COUNTIF($E$4:$E$420,AN$424&amp;" ضد "&amp;$A461))</f>
        <v>2</v>
      </c>
      <c r="AO461" s="4">
        <f>IF($A461=AO$424,"",COUNTIF($E$4:$E$420,$A461&amp;" ضد "&amp;AO$424)+COUNTIF($E$4:$E$420,AO$424&amp;" ضد "&amp;$A461))</f>
        <v>2</v>
      </c>
      <c r="AP461" s="4">
        <f>IF($A461=AP$424,"",COUNTIF($E$4:$E$420,$A461&amp;" ضد "&amp;AP$424)+COUNTIF($E$4:$E$420,AP$424&amp;" ضد "&amp;$A461))</f>
        <v>2</v>
      </c>
      <c r="AQ461" s="4">
        <f>IF($A461=AQ$424,"",COUNTIF($E$4:$E$420,$A461&amp;" ضد "&amp;AQ$424)+COUNTIF($E$4:$E$420,AQ$424&amp;" ضد "&amp;$A461))</f>
        <v>2</v>
      </c>
      <c r="AR461" s="4">
        <f>IF($A461=AR$424,"",COUNTIF($E$4:$E$420,$A461&amp;" ضد "&amp;AR$424)+COUNTIF($E$4:$E$420,AR$424&amp;" ضد "&amp;$A461))</f>
        <v>2</v>
      </c>
      <c r="AS461" s="4">
        <f>IF($A461=AS$424,"",COUNTIF($E$4:$E$420,$A461&amp;" ضد "&amp;AS$424)+COUNTIF($E$4:$E$420,AS$424&amp;" ضد "&amp;$A461))</f>
        <v>2</v>
      </c>
      <c r="AT461" s="4">
        <f>IF($A461=AT$424,"",COUNTIF($E$4:$E$420,$A461&amp;" ضد "&amp;AT$424)+COUNTIF($E$4:$E$420,AT$424&amp;" ضد "&amp;$A461))</f>
        <v>2</v>
      </c>
      <c r="AU461" s="4">
        <f>IF($A461=AU$424,"",COUNTIF($E$4:$E$420,$A461&amp;" ضد "&amp;AU$424)+COUNTIF($E$4:$E$420,AU$424&amp;" ضد "&amp;$A461))</f>
        <v>2</v>
      </c>
    </row>
    <row r="462" spans="1:47" ht="14.5">
      <c r="A462" s="14">
        <v>38</v>
      </c>
      <c r="B462" s="4">
        <f>IF($A462=B$424,"",COUNTIF($E$4:$E$420,$A462&amp;" ضد "&amp;B$424)+COUNTIF($E$4:$E$420,B$424&amp;" ضد "&amp;$A462))</f>
        <v>0</v>
      </c>
      <c r="C462" s="4">
        <f>IF($A462=C$424,"",COUNTIF($E$4:$E$420,$A462&amp;" ضد "&amp;C$424)+COUNTIF($E$4:$E$420,C$424&amp;" ضد "&amp;$A462))</f>
        <v>0</v>
      </c>
      <c r="D462" s="4">
        <f>IF($A462=D$424,"",COUNTIF($E$4:$E$420,$A462&amp;" ضد "&amp;D$424)+COUNTIF($E$4:$E$420,D$424&amp;" ضد "&amp;$A462))</f>
        <v>0</v>
      </c>
      <c r="E462" s="4">
        <f>IF($A462=E$424,"",COUNTIF($E$4:$E$420,$A462&amp;" ضد "&amp;E$424)+COUNTIF($E$4:$E$420,E$424&amp;" ضد "&amp;$A462))</f>
        <v>0</v>
      </c>
      <c r="F462" s="4">
        <f>IF($A462=F$424,"",COUNTIF($E$4:$E$420,$A462&amp;" ضد "&amp;F$424)+COUNTIF($E$4:$E$420,F$424&amp;" ضد "&amp;$A462))</f>
        <v>0</v>
      </c>
      <c r="G462" s="4">
        <f>IF($A462=G$424,"",COUNTIF($E$4:$E$420,$A462&amp;" ضد "&amp;G$424)+COUNTIF($E$4:$E$420,G$424&amp;" ضد "&amp;$A462))</f>
        <v>0</v>
      </c>
      <c r="H462" s="4">
        <f>IF($A462=H$424,"",COUNTIF($E$4:$E$420,$A462&amp;" ضد "&amp;H$424)+COUNTIF($E$4:$E$420,H$424&amp;" ضد "&amp;$A462))</f>
        <v>0</v>
      </c>
      <c r="I462" s="4">
        <f>IF($A462=I$424,"",COUNTIF($E$4:$E$420,$A462&amp;" ضد "&amp;I$424)+COUNTIF($E$4:$E$420,I$424&amp;" ضد "&amp;$A462))</f>
        <v>0</v>
      </c>
      <c r="J462" s="4">
        <f>IF($A462=J$424,"",COUNTIF($E$4:$E$420,$A462&amp;" ضد "&amp;J$424)+COUNTIF($E$4:$E$420,J$424&amp;" ضد "&amp;$A462))</f>
        <v>0</v>
      </c>
      <c r="K462" s="4">
        <f>IF($A462=K$424,"",COUNTIF($E$4:$E$420,$A462&amp;" ضد "&amp;K$424)+COUNTIF($E$4:$E$420,K$424&amp;" ضد "&amp;$A462))</f>
        <v>0</v>
      </c>
      <c r="L462" s="4">
        <f>IF($A462=L$424,"",COUNTIF($E$4:$E$420,$A462&amp;" ضد "&amp;L$424)+COUNTIF($E$4:$E$420,L$424&amp;" ضد "&amp;$A462))</f>
        <v>0</v>
      </c>
      <c r="M462" s="4">
        <f>IF($A462=M$424,"",COUNTIF($E$4:$E$420,$A462&amp;" ضد "&amp;M$424)+COUNTIF($E$4:$E$420,M$424&amp;" ضد "&amp;$A462))</f>
        <v>0</v>
      </c>
      <c r="N462" s="4">
        <f>IF($A462=N$424,"",COUNTIF($E$4:$E$420,$A462&amp;" ضد "&amp;N$424)+COUNTIF($E$4:$E$420,N$424&amp;" ضد "&amp;$A462))</f>
        <v>0</v>
      </c>
      <c r="O462" s="4">
        <f>IF($A462=O$424,"",COUNTIF($E$4:$E$420,$A462&amp;" ضد "&amp;O$424)+COUNTIF($E$4:$E$420,O$424&amp;" ضد "&amp;$A462))</f>
        <v>0</v>
      </c>
      <c r="P462" s="4">
        <f>IF($A462=P$424,"",COUNTIF($E$4:$E$420,$A462&amp;" ضد "&amp;P$424)+COUNTIF($E$4:$E$420,P$424&amp;" ضد "&amp;$A462))</f>
        <v>0</v>
      </c>
      <c r="Q462" s="4">
        <f>IF($A462=Q$424,"",COUNTIF($E$4:$E$420,$A462&amp;" ضد "&amp;Q$424)+COUNTIF($E$4:$E$420,Q$424&amp;" ضد "&amp;$A462))</f>
        <v>0</v>
      </c>
      <c r="R462" s="4">
        <f>IF($A462=R$424,"",COUNTIF($E$4:$E$420,$A462&amp;" ضد "&amp;R$424)+COUNTIF($E$4:$E$420,R$424&amp;" ضد "&amp;$A462))</f>
        <v>0</v>
      </c>
      <c r="S462" s="4">
        <f>IF($A462=S$424,"",COUNTIF($E$4:$E$420,$A462&amp;" ضد "&amp;S$424)+COUNTIF($E$4:$E$420,S$424&amp;" ضد "&amp;$A462))</f>
        <v>0</v>
      </c>
      <c r="T462" s="4">
        <f>IF($A462=T$424,"",COUNTIF($E$4:$E$420,$A462&amp;" ضد "&amp;T$424)+COUNTIF($E$4:$E$420,T$424&amp;" ضد "&amp;$A462))</f>
        <v>0</v>
      </c>
      <c r="U462" s="4">
        <f>IF($A462=U$424,"",COUNTIF($E$4:$E$420,$A462&amp;" ضد "&amp;U$424)+COUNTIF($E$4:$E$420,U$424&amp;" ضد "&amp;$A462))</f>
        <v>0</v>
      </c>
      <c r="V462" s="4">
        <f>IF($A462=V$424,"",COUNTIF($E$4:$E$420,$A462&amp;" ضد "&amp;V$424)+COUNTIF($E$4:$E$420,V$424&amp;" ضد "&amp;$A462))</f>
        <v>0</v>
      </c>
      <c r="W462" s="4">
        <f>IF($A462=W$424,"",COUNTIF($E$4:$E$420,$A462&amp;" ضد "&amp;W$424)+COUNTIF($E$4:$E$420,W$424&amp;" ضد "&amp;$A462))</f>
        <v>0</v>
      </c>
      <c r="X462" s="4">
        <f>IF($A462=X$424,"",COUNTIF($E$4:$E$420,$A462&amp;" ضد "&amp;X$424)+COUNTIF($E$4:$E$420,X$424&amp;" ضد "&amp;$A462))</f>
        <v>0</v>
      </c>
      <c r="Y462" s="4">
        <f>IF($A462=Y$424,"",COUNTIF($E$4:$E$420,$A462&amp;" ضد "&amp;Y$424)+COUNTIF($E$4:$E$420,Y$424&amp;" ضد "&amp;$A462))</f>
        <v>0</v>
      </c>
      <c r="Z462" s="4">
        <f>IF($A462=Z$424,"",COUNTIF($E$4:$E$420,$A462&amp;" ضد "&amp;Z$424)+COUNTIF($E$4:$E$420,Z$424&amp;" ضد "&amp;$A462))</f>
        <v>0</v>
      </c>
      <c r="AA462" s="4">
        <f>IF($A462=AA$424,"",COUNTIF($E$4:$E$420,$A462&amp;" ضد "&amp;AA$424)+COUNTIF($E$4:$E$420,AA$424&amp;" ضد "&amp;$A462))</f>
        <v>0</v>
      </c>
      <c r="AB462" s="4">
        <f>IF($A462=AB$424,"",COUNTIF($E$4:$E$420,$A462&amp;" ضد "&amp;AB$424)+COUNTIF($E$4:$E$420,AB$424&amp;" ضد "&amp;$A462))</f>
        <v>0</v>
      </c>
      <c r="AC462" s="4">
        <f>IF($A462=AC$424,"",COUNTIF($E$4:$E$420,$A462&amp;" ضد "&amp;AC$424)+COUNTIF($E$4:$E$420,AC$424&amp;" ضد "&amp;$A462))</f>
        <v>0</v>
      </c>
      <c r="AD462" s="4">
        <f>IF($A462=AD$424,"",COUNTIF($E$4:$E$420,$A462&amp;" ضد "&amp;AD$424)+COUNTIF($E$4:$E$420,AD$424&amp;" ضد "&amp;$A462))</f>
        <v>0</v>
      </c>
      <c r="AE462" s="4">
        <f>IF($A462=AE$424,"",COUNTIF($E$4:$E$420,$A462&amp;" ضد "&amp;AE$424)+COUNTIF($E$4:$E$420,AE$424&amp;" ضد "&amp;$A462))</f>
        <v>0</v>
      </c>
      <c r="AF462" s="4">
        <f>IF($A462=AF$424,"",COUNTIF($E$4:$E$420,$A462&amp;" ضد "&amp;AF$424)+COUNTIF($E$4:$E$420,AF$424&amp;" ضد "&amp;$A462))</f>
        <v>0</v>
      </c>
      <c r="AG462" s="4">
        <f>IF($A462=AG$424,"",COUNTIF($E$4:$E$420,$A462&amp;" ضد "&amp;AG$424)+COUNTIF($E$4:$E$420,AG$424&amp;" ضد "&amp;$A462))</f>
        <v>0</v>
      </c>
      <c r="AH462" s="4">
        <f>IF($A462=AH$424,"",COUNTIF($E$4:$E$420,$A462&amp;" ضد "&amp;AH$424)+COUNTIF($E$4:$E$420,AH$424&amp;" ضد "&amp;$A462))</f>
        <v>0</v>
      </c>
      <c r="AI462" s="4">
        <f>IF($A462=AI$424,"",COUNTIF($E$4:$E$420,$A462&amp;" ضد "&amp;AI$424)+COUNTIF($E$4:$E$420,AI$424&amp;" ضد "&amp;$A462))</f>
        <v>0</v>
      </c>
      <c r="AJ462" s="4">
        <f>IF($A462=AJ$424,"",COUNTIF($E$4:$E$420,$A462&amp;" ضد "&amp;AJ$424)+COUNTIF($E$4:$E$420,AJ$424&amp;" ضد "&amp;$A462))</f>
        <v>0</v>
      </c>
      <c r="AK462" s="4">
        <f>IF($A462=AK$424,"",COUNTIF($E$4:$E$420,$A462&amp;" ضد "&amp;AK$424)+COUNTIF($E$4:$E$420,AK$424&amp;" ضد "&amp;$A462))</f>
        <v>0</v>
      </c>
      <c r="AL462" s="4">
        <f>IF($A462=AL$424,"",COUNTIF($E$4:$E$420,$A462&amp;" ضد "&amp;AL$424)+COUNTIF($E$4:$E$420,AL$424&amp;" ضد "&amp;$A462))</f>
        <v>2</v>
      </c>
      <c r="AM462" s="4" t="str">
        <f>IF($A462=AM$424,"",COUNTIF($E$4:$E$420,$A462&amp;" ضد "&amp;AM$424)+COUNTIF($E$4:$E$420,AM$424&amp;" ضد "&amp;$A462))</f>
        <v/>
      </c>
      <c r="AN462" s="4">
        <f>IF($A462=AN$424,"",COUNTIF($E$4:$E$420,$A462&amp;" ضد "&amp;AN$424)+COUNTIF($E$4:$E$420,AN$424&amp;" ضد "&amp;$A462))</f>
        <v>2</v>
      </c>
      <c r="AO462" s="4">
        <f>IF($A462=AO$424,"",COUNTIF($E$4:$E$420,$A462&amp;" ضد "&amp;AO$424)+COUNTIF($E$4:$E$420,AO$424&amp;" ضد "&amp;$A462))</f>
        <v>2</v>
      </c>
      <c r="AP462" s="4">
        <f>IF($A462=AP$424,"",COUNTIF($E$4:$E$420,$A462&amp;" ضد "&amp;AP$424)+COUNTIF($E$4:$E$420,AP$424&amp;" ضد "&amp;$A462))</f>
        <v>2</v>
      </c>
      <c r="AQ462" s="4">
        <f>IF($A462=AQ$424,"",COUNTIF($E$4:$E$420,$A462&amp;" ضد "&amp;AQ$424)+COUNTIF($E$4:$E$420,AQ$424&amp;" ضد "&amp;$A462))</f>
        <v>2</v>
      </c>
      <c r="AR462" s="4">
        <f>IF($A462=AR$424,"",COUNTIF($E$4:$E$420,$A462&amp;" ضد "&amp;AR$424)+COUNTIF($E$4:$E$420,AR$424&amp;" ضد "&amp;$A462))</f>
        <v>2</v>
      </c>
      <c r="AS462" s="4">
        <f>IF($A462=AS$424,"",COUNTIF($E$4:$E$420,$A462&amp;" ضد "&amp;AS$424)+COUNTIF($E$4:$E$420,AS$424&amp;" ضد "&amp;$A462))</f>
        <v>2</v>
      </c>
      <c r="AT462" s="4">
        <f>IF($A462=AT$424,"",COUNTIF($E$4:$E$420,$A462&amp;" ضد "&amp;AT$424)+COUNTIF($E$4:$E$420,AT$424&amp;" ضد "&amp;$A462))</f>
        <v>2</v>
      </c>
      <c r="AU462" s="4">
        <f>IF($A462=AU$424,"",COUNTIF($E$4:$E$420,$A462&amp;" ضد "&amp;AU$424)+COUNTIF($E$4:$E$420,AU$424&amp;" ضد "&amp;$A462))</f>
        <v>2</v>
      </c>
    </row>
    <row r="463" spans="1:47" ht="14.5">
      <c r="A463" s="14">
        <v>39</v>
      </c>
      <c r="B463" s="4">
        <f>IF($A463=B$424,"",COUNTIF($E$4:$E$420,$A463&amp;" ضد "&amp;B$424)+COUNTIF($E$4:$E$420,B$424&amp;" ضد "&amp;$A463))</f>
        <v>0</v>
      </c>
      <c r="C463" s="4">
        <f>IF($A463=C$424,"",COUNTIF($E$4:$E$420,$A463&amp;" ضد "&amp;C$424)+COUNTIF($E$4:$E$420,C$424&amp;" ضد "&amp;$A463))</f>
        <v>0</v>
      </c>
      <c r="D463" s="4">
        <f>IF($A463=D$424,"",COUNTIF($E$4:$E$420,$A463&amp;" ضد "&amp;D$424)+COUNTIF($E$4:$E$420,D$424&amp;" ضد "&amp;$A463))</f>
        <v>0</v>
      </c>
      <c r="E463" s="4">
        <f>IF($A463=E$424,"",COUNTIF($E$4:$E$420,$A463&amp;" ضد "&amp;E$424)+COUNTIF($E$4:$E$420,E$424&amp;" ضد "&amp;$A463))</f>
        <v>0</v>
      </c>
      <c r="F463" s="4">
        <f>IF($A463=F$424,"",COUNTIF($E$4:$E$420,$A463&amp;" ضد "&amp;F$424)+COUNTIF($E$4:$E$420,F$424&amp;" ضد "&amp;$A463))</f>
        <v>0</v>
      </c>
      <c r="G463" s="4">
        <f>IF($A463=G$424,"",COUNTIF($E$4:$E$420,$A463&amp;" ضد "&amp;G$424)+COUNTIF($E$4:$E$420,G$424&amp;" ضد "&amp;$A463))</f>
        <v>0</v>
      </c>
      <c r="H463" s="4">
        <f>IF($A463=H$424,"",COUNTIF($E$4:$E$420,$A463&amp;" ضد "&amp;H$424)+COUNTIF($E$4:$E$420,H$424&amp;" ضد "&amp;$A463))</f>
        <v>0</v>
      </c>
      <c r="I463" s="4">
        <f>IF($A463=I$424,"",COUNTIF($E$4:$E$420,$A463&amp;" ضد "&amp;I$424)+COUNTIF($E$4:$E$420,I$424&amp;" ضد "&amp;$A463))</f>
        <v>0</v>
      </c>
      <c r="J463" s="4">
        <f>IF($A463=J$424,"",COUNTIF($E$4:$E$420,$A463&amp;" ضد "&amp;J$424)+COUNTIF($E$4:$E$420,J$424&amp;" ضد "&amp;$A463))</f>
        <v>0</v>
      </c>
      <c r="K463" s="4">
        <f>IF($A463=K$424,"",COUNTIF($E$4:$E$420,$A463&amp;" ضد "&amp;K$424)+COUNTIF($E$4:$E$420,K$424&amp;" ضد "&amp;$A463))</f>
        <v>0</v>
      </c>
      <c r="L463" s="4">
        <f>IF($A463=L$424,"",COUNTIF($E$4:$E$420,$A463&amp;" ضد "&amp;L$424)+COUNTIF($E$4:$E$420,L$424&amp;" ضد "&amp;$A463))</f>
        <v>0</v>
      </c>
      <c r="M463" s="4">
        <f>IF($A463=M$424,"",COUNTIF($E$4:$E$420,$A463&amp;" ضد "&amp;M$424)+COUNTIF($E$4:$E$420,M$424&amp;" ضد "&amp;$A463))</f>
        <v>0</v>
      </c>
      <c r="N463" s="4">
        <f>IF($A463=N$424,"",COUNTIF($E$4:$E$420,$A463&amp;" ضد "&amp;N$424)+COUNTIF($E$4:$E$420,N$424&amp;" ضد "&amp;$A463))</f>
        <v>0</v>
      </c>
      <c r="O463" s="4">
        <f>IF($A463=O$424,"",COUNTIF($E$4:$E$420,$A463&amp;" ضد "&amp;O$424)+COUNTIF($E$4:$E$420,O$424&amp;" ضد "&amp;$A463))</f>
        <v>0</v>
      </c>
      <c r="P463" s="4">
        <f>IF($A463=P$424,"",COUNTIF($E$4:$E$420,$A463&amp;" ضد "&amp;P$424)+COUNTIF($E$4:$E$420,P$424&amp;" ضد "&amp;$A463))</f>
        <v>0</v>
      </c>
      <c r="Q463" s="4">
        <f>IF($A463=Q$424,"",COUNTIF($E$4:$E$420,$A463&amp;" ضد "&amp;Q$424)+COUNTIF($E$4:$E$420,Q$424&amp;" ضد "&amp;$A463))</f>
        <v>0</v>
      </c>
      <c r="R463" s="4">
        <f>IF($A463=R$424,"",COUNTIF($E$4:$E$420,$A463&amp;" ضد "&amp;R$424)+COUNTIF($E$4:$E$420,R$424&amp;" ضد "&amp;$A463))</f>
        <v>0</v>
      </c>
      <c r="S463" s="4">
        <f>IF($A463=S$424,"",COUNTIF($E$4:$E$420,$A463&amp;" ضد "&amp;S$424)+COUNTIF($E$4:$E$420,S$424&amp;" ضد "&amp;$A463))</f>
        <v>0</v>
      </c>
      <c r="T463" s="4">
        <f>IF($A463=T$424,"",COUNTIF($E$4:$E$420,$A463&amp;" ضد "&amp;T$424)+COUNTIF($E$4:$E$420,T$424&amp;" ضد "&amp;$A463))</f>
        <v>0</v>
      </c>
      <c r="U463" s="4">
        <f>IF($A463=U$424,"",COUNTIF($E$4:$E$420,$A463&amp;" ضد "&amp;U$424)+COUNTIF($E$4:$E$420,U$424&amp;" ضد "&amp;$A463))</f>
        <v>0</v>
      </c>
      <c r="V463" s="4">
        <f>IF($A463=V$424,"",COUNTIF($E$4:$E$420,$A463&amp;" ضد "&amp;V$424)+COUNTIF($E$4:$E$420,V$424&amp;" ضد "&amp;$A463))</f>
        <v>0</v>
      </c>
      <c r="W463" s="4">
        <f>IF($A463=W$424,"",COUNTIF($E$4:$E$420,$A463&amp;" ضد "&amp;W$424)+COUNTIF($E$4:$E$420,W$424&amp;" ضد "&amp;$A463))</f>
        <v>0</v>
      </c>
      <c r="X463" s="4">
        <f>IF($A463=X$424,"",COUNTIF($E$4:$E$420,$A463&amp;" ضد "&amp;X$424)+COUNTIF($E$4:$E$420,X$424&amp;" ضد "&amp;$A463))</f>
        <v>0</v>
      </c>
      <c r="Y463" s="4">
        <f>IF($A463=Y$424,"",COUNTIF($E$4:$E$420,$A463&amp;" ضد "&amp;Y$424)+COUNTIF($E$4:$E$420,Y$424&amp;" ضد "&amp;$A463))</f>
        <v>0</v>
      </c>
      <c r="Z463" s="4">
        <f>IF($A463=Z$424,"",COUNTIF($E$4:$E$420,$A463&amp;" ضد "&amp;Z$424)+COUNTIF($E$4:$E$420,Z$424&amp;" ضد "&amp;$A463))</f>
        <v>0</v>
      </c>
      <c r="AA463" s="4">
        <f>IF($A463=AA$424,"",COUNTIF($E$4:$E$420,$A463&amp;" ضد "&amp;AA$424)+COUNTIF($E$4:$E$420,AA$424&amp;" ضد "&amp;$A463))</f>
        <v>0</v>
      </c>
      <c r="AB463" s="4">
        <f>IF($A463=AB$424,"",COUNTIF($E$4:$E$420,$A463&amp;" ضد "&amp;AB$424)+COUNTIF($E$4:$E$420,AB$424&amp;" ضد "&amp;$A463))</f>
        <v>0</v>
      </c>
      <c r="AC463" s="4">
        <f>IF($A463=AC$424,"",COUNTIF($E$4:$E$420,$A463&amp;" ضد "&amp;AC$424)+COUNTIF($E$4:$E$420,AC$424&amp;" ضد "&amp;$A463))</f>
        <v>0</v>
      </c>
      <c r="AD463" s="4">
        <f>IF($A463=AD$424,"",COUNTIF($E$4:$E$420,$A463&amp;" ضد "&amp;AD$424)+COUNTIF($E$4:$E$420,AD$424&amp;" ضد "&amp;$A463))</f>
        <v>0</v>
      </c>
      <c r="AE463" s="4">
        <f>IF($A463=AE$424,"",COUNTIF($E$4:$E$420,$A463&amp;" ضد "&amp;AE$424)+COUNTIF($E$4:$E$420,AE$424&amp;" ضد "&amp;$A463))</f>
        <v>0</v>
      </c>
      <c r="AF463" s="4">
        <f>IF($A463=AF$424,"",COUNTIF($E$4:$E$420,$A463&amp;" ضد "&amp;AF$424)+COUNTIF($E$4:$E$420,AF$424&amp;" ضد "&amp;$A463))</f>
        <v>0</v>
      </c>
      <c r="AG463" s="4">
        <f>IF($A463=AG$424,"",COUNTIF($E$4:$E$420,$A463&amp;" ضد "&amp;AG$424)+COUNTIF($E$4:$E$420,AG$424&amp;" ضد "&amp;$A463))</f>
        <v>0</v>
      </c>
      <c r="AH463" s="4">
        <f>IF($A463=AH$424,"",COUNTIF($E$4:$E$420,$A463&amp;" ضد "&amp;AH$424)+COUNTIF($E$4:$E$420,AH$424&amp;" ضد "&amp;$A463))</f>
        <v>0</v>
      </c>
      <c r="AI463" s="4">
        <f>IF($A463=AI$424,"",COUNTIF($E$4:$E$420,$A463&amp;" ضد "&amp;AI$424)+COUNTIF($E$4:$E$420,AI$424&amp;" ضد "&amp;$A463))</f>
        <v>0</v>
      </c>
      <c r="AJ463" s="4">
        <f>IF($A463=AJ$424,"",COUNTIF($E$4:$E$420,$A463&amp;" ضد "&amp;AJ$424)+COUNTIF($E$4:$E$420,AJ$424&amp;" ضد "&amp;$A463))</f>
        <v>0</v>
      </c>
      <c r="AK463" s="4">
        <f>IF($A463=AK$424,"",COUNTIF($E$4:$E$420,$A463&amp;" ضد "&amp;AK$424)+COUNTIF($E$4:$E$420,AK$424&amp;" ضد "&amp;$A463))</f>
        <v>0</v>
      </c>
      <c r="AL463" s="4">
        <f>IF($A463=AL$424,"",COUNTIF($E$4:$E$420,$A463&amp;" ضد "&amp;AL$424)+COUNTIF($E$4:$E$420,AL$424&amp;" ضد "&amp;$A463))</f>
        <v>2</v>
      </c>
      <c r="AM463" s="4">
        <f>IF($A463=AM$424,"",COUNTIF($E$4:$E$420,$A463&amp;" ضد "&amp;AM$424)+COUNTIF($E$4:$E$420,AM$424&amp;" ضد "&amp;$A463))</f>
        <v>2</v>
      </c>
      <c r="AN463" s="4" t="str">
        <f>IF($A463=AN$424,"",COUNTIF($E$4:$E$420,$A463&amp;" ضد "&amp;AN$424)+COUNTIF($E$4:$E$420,AN$424&amp;" ضد "&amp;$A463))</f>
        <v/>
      </c>
      <c r="AO463" s="4">
        <f>IF($A463=AO$424,"",COUNTIF($E$4:$E$420,$A463&amp;" ضد "&amp;AO$424)+COUNTIF($E$4:$E$420,AO$424&amp;" ضد "&amp;$A463))</f>
        <v>2</v>
      </c>
      <c r="AP463" s="4">
        <f>IF($A463=AP$424,"",COUNTIF($E$4:$E$420,$A463&amp;" ضد "&amp;AP$424)+COUNTIF($E$4:$E$420,AP$424&amp;" ضد "&amp;$A463))</f>
        <v>2</v>
      </c>
      <c r="AQ463" s="4">
        <f>IF($A463=AQ$424,"",COUNTIF($E$4:$E$420,$A463&amp;" ضد "&amp;AQ$424)+COUNTIF($E$4:$E$420,AQ$424&amp;" ضد "&amp;$A463))</f>
        <v>2</v>
      </c>
      <c r="AR463" s="4">
        <f>IF($A463=AR$424,"",COUNTIF($E$4:$E$420,$A463&amp;" ضد "&amp;AR$424)+COUNTIF($E$4:$E$420,AR$424&amp;" ضد "&amp;$A463))</f>
        <v>2</v>
      </c>
      <c r="AS463" s="4">
        <f>IF($A463=AS$424,"",COUNTIF($E$4:$E$420,$A463&amp;" ضد "&amp;AS$424)+COUNTIF($E$4:$E$420,AS$424&amp;" ضد "&amp;$A463))</f>
        <v>2</v>
      </c>
      <c r="AT463" s="4">
        <f>IF($A463=AT$424,"",COUNTIF($E$4:$E$420,$A463&amp;" ضد "&amp;AT$424)+COUNTIF($E$4:$E$420,AT$424&amp;" ضد "&amp;$A463))</f>
        <v>2</v>
      </c>
      <c r="AU463" s="4">
        <f>IF($A463=AU$424,"",COUNTIF($E$4:$E$420,$A463&amp;" ضد "&amp;AU$424)+COUNTIF($E$4:$E$420,AU$424&amp;" ضد "&amp;$A463))</f>
        <v>2</v>
      </c>
    </row>
    <row r="464" spans="1:47" ht="14.5">
      <c r="A464" s="14">
        <v>40</v>
      </c>
      <c r="B464" s="4">
        <f>IF($A464=B$424,"",COUNTIF($E$4:$E$420,$A464&amp;" ضد "&amp;B$424)+COUNTIF($E$4:$E$420,B$424&amp;" ضد "&amp;$A464))</f>
        <v>0</v>
      </c>
      <c r="C464" s="4">
        <f>IF($A464=C$424,"",COUNTIF($E$4:$E$420,$A464&amp;" ضد "&amp;C$424)+COUNTIF($E$4:$E$420,C$424&amp;" ضد "&amp;$A464))</f>
        <v>0</v>
      </c>
      <c r="D464" s="4">
        <f>IF($A464=D$424,"",COUNTIF($E$4:$E$420,$A464&amp;" ضد "&amp;D$424)+COUNTIF($E$4:$E$420,D$424&amp;" ضد "&amp;$A464))</f>
        <v>0</v>
      </c>
      <c r="E464" s="4">
        <f>IF($A464=E$424,"",COUNTIF($E$4:$E$420,$A464&amp;" ضد "&amp;E$424)+COUNTIF($E$4:$E$420,E$424&amp;" ضد "&amp;$A464))</f>
        <v>0</v>
      </c>
      <c r="F464" s="4">
        <f>IF($A464=F$424,"",COUNTIF($E$4:$E$420,$A464&amp;" ضد "&amp;F$424)+COUNTIF($E$4:$E$420,F$424&amp;" ضد "&amp;$A464))</f>
        <v>0</v>
      </c>
      <c r="G464" s="4">
        <f>IF($A464=G$424,"",COUNTIF($E$4:$E$420,$A464&amp;" ضد "&amp;G$424)+COUNTIF($E$4:$E$420,G$424&amp;" ضد "&amp;$A464))</f>
        <v>0</v>
      </c>
      <c r="H464" s="4">
        <f>IF($A464=H$424,"",COUNTIF($E$4:$E$420,$A464&amp;" ضد "&amp;H$424)+COUNTIF($E$4:$E$420,H$424&amp;" ضد "&amp;$A464))</f>
        <v>0</v>
      </c>
      <c r="I464" s="4">
        <f>IF($A464=I$424,"",COUNTIF($E$4:$E$420,$A464&amp;" ضد "&amp;I$424)+COUNTIF($E$4:$E$420,I$424&amp;" ضد "&amp;$A464))</f>
        <v>0</v>
      </c>
      <c r="J464" s="4">
        <f>IF($A464=J$424,"",COUNTIF($E$4:$E$420,$A464&amp;" ضد "&amp;J$424)+COUNTIF($E$4:$E$420,J$424&amp;" ضد "&amp;$A464))</f>
        <v>0</v>
      </c>
      <c r="K464" s="4">
        <f>IF($A464=K$424,"",COUNTIF($E$4:$E$420,$A464&amp;" ضد "&amp;K$424)+COUNTIF($E$4:$E$420,K$424&amp;" ضد "&amp;$A464))</f>
        <v>0</v>
      </c>
      <c r="L464" s="4">
        <f>IF($A464=L$424,"",COUNTIF($E$4:$E$420,$A464&amp;" ضد "&amp;L$424)+COUNTIF($E$4:$E$420,L$424&amp;" ضد "&amp;$A464))</f>
        <v>0</v>
      </c>
      <c r="M464" s="4">
        <f>IF($A464=M$424,"",COUNTIF($E$4:$E$420,$A464&amp;" ضد "&amp;M$424)+COUNTIF($E$4:$E$420,M$424&amp;" ضد "&amp;$A464))</f>
        <v>0</v>
      </c>
      <c r="N464" s="4">
        <f>IF($A464=N$424,"",COUNTIF($E$4:$E$420,$A464&amp;" ضد "&amp;N$424)+COUNTIF($E$4:$E$420,N$424&amp;" ضد "&amp;$A464))</f>
        <v>0</v>
      </c>
      <c r="O464" s="4">
        <f>IF($A464=O$424,"",COUNTIF($E$4:$E$420,$A464&amp;" ضد "&amp;O$424)+COUNTIF($E$4:$E$420,O$424&amp;" ضد "&amp;$A464))</f>
        <v>0</v>
      </c>
      <c r="P464" s="4">
        <f>IF($A464=P$424,"",COUNTIF($E$4:$E$420,$A464&amp;" ضد "&amp;P$424)+COUNTIF($E$4:$E$420,P$424&amp;" ضد "&amp;$A464))</f>
        <v>0</v>
      </c>
      <c r="Q464" s="4">
        <f>IF($A464=Q$424,"",COUNTIF($E$4:$E$420,$A464&amp;" ضد "&amp;Q$424)+COUNTIF($E$4:$E$420,Q$424&amp;" ضد "&amp;$A464))</f>
        <v>0</v>
      </c>
      <c r="R464" s="4">
        <f>IF($A464=R$424,"",COUNTIF($E$4:$E$420,$A464&amp;" ضد "&amp;R$424)+COUNTIF($E$4:$E$420,R$424&amp;" ضد "&amp;$A464))</f>
        <v>0</v>
      </c>
      <c r="S464" s="4">
        <f>IF($A464=S$424,"",COUNTIF($E$4:$E$420,$A464&amp;" ضد "&amp;S$424)+COUNTIF($E$4:$E$420,S$424&amp;" ضد "&amp;$A464))</f>
        <v>0</v>
      </c>
      <c r="T464" s="4">
        <f>IF($A464=T$424,"",COUNTIF($E$4:$E$420,$A464&amp;" ضد "&amp;T$424)+COUNTIF($E$4:$E$420,T$424&amp;" ضد "&amp;$A464))</f>
        <v>0</v>
      </c>
      <c r="U464" s="4">
        <f>IF($A464=U$424,"",COUNTIF($E$4:$E$420,$A464&amp;" ضد "&amp;U$424)+COUNTIF($E$4:$E$420,U$424&amp;" ضد "&amp;$A464))</f>
        <v>0</v>
      </c>
      <c r="V464" s="4">
        <f>IF($A464=V$424,"",COUNTIF($E$4:$E$420,$A464&amp;" ضد "&amp;V$424)+COUNTIF($E$4:$E$420,V$424&amp;" ضد "&amp;$A464))</f>
        <v>0</v>
      </c>
      <c r="W464" s="4">
        <f>IF($A464=W$424,"",COUNTIF($E$4:$E$420,$A464&amp;" ضد "&amp;W$424)+COUNTIF($E$4:$E$420,W$424&amp;" ضد "&amp;$A464))</f>
        <v>0</v>
      </c>
      <c r="X464" s="4">
        <f>IF($A464=X$424,"",COUNTIF($E$4:$E$420,$A464&amp;" ضد "&amp;X$424)+COUNTIF($E$4:$E$420,X$424&amp;" ضد "&amp;$A464))</f>
        <v>0</v>
      </c>
      <c r="Y464" s="4">
        <f>IF($A464=Y$424,"",COUNTIF($E$4:$E$420,$A464&amp;" ضد "&amp;Y$424)+COUNTIF($E$4:$E$420,Y$424&amp;" ضد "&amp;$A464))</f>
        <v>0</v>
      </c>
      <c r="Z464" s="4">
        <f>IF($A464=Z$424,"",COUNTIF($E$4:$E$420,$A464&amp;" ضد "&amp;Z$424)+COUNTIF($E$4:$E$420,Z$424&amp;" ضد "&amp;$A464))</f>
        <v>0</v>
      </c>
      <c r="AA464" s="4">
        <f>IF($A464=AA$424,"",COUNTIF($E$4:$E$420,$A464&amp;" ضد "&amp;AA$424)+COUNTIF($E$4:$E$420,AA$424&amp;" ضد "&amp;$A464))</f>
        <v>0</v>
      </c>
      <c r="AB464" s="4">
        <f>IF($A464=AB$424,"",COUNTIF($E$4:$E$420,$A464&amp;" ضد "&amp;AB$424)+COUNTIF($E$4:$E$420,AB$424&amp;" ضد "&amp;$A464))</f>
        <v>0</v>
      </c>
      <c r="AC464" s="4">
        <f>IF($A464=AC$424,"",COUNTIF($E$4:$E$420,$A464&amp;" ضد "&amp;AC$424)+COUNTIF($E$4:$E$420,AC$424&amp;" ضد "&amp;$A464))</f>
        <v>0</v>
      </c>
      <c r="AD464" s="4">
        <f>IF($A464=AD$424,"",COUNTIF($E$4:$E$420,$A464&amp;" ضد "&amp;AD$424)+COUNTIF($E$4:$E$420,AD$424&amp;" ضد "&amp;$A464))</f>
        <v>0</v>
      </c>
      <c r="AE464" s="4">
        <f>IF($A464=AE$424,"",COUNTIF($E$4:$E$420,$A464&amp;" ضد "&amp;AE$424)+COUNTIF($E$4:$E$420,AE$424&amp;" ضد "&amp;$A464))</f>
        <v>0</v>
      </c>
      <c r="AF464" s="4">
        <f>IF($A464=AF$424,"",COUNTIF($E$4:$E$420,$A464&amp;" ضد "&amp;AF$424)+COUNTIF($E$4:$E$420,AF$424&amp;" ضد "&amp;$A464))</f>
        <v>0</v>
      </c>
      <c r="AG464" s="4">
        <f>IF($A464=AG$424,"",COUNTIF($E$4:$E$420,$A464&amp;" ضد "&amp;AG$424)+COUNTIF($E$4:$E$420,AG$424&amp;" ضد "&amp;$A464))</f>
        <v>0</v>
      </c>
      <c r="AH464" s="4">
        <f>IF($A464=AH$424,"",COUNTIF($E$4:$E$420,$A464&amp;" ضد "&amp;AH$424)+COUNTIF($E$4:$E$420,AH$424&amp;" ضد "&amp;$A464))</f>
        <v>0</v>
      </c>
      <c r="AI464" s="4">
        <f>IF($A464=AI$424,"",COUNTIF($E$4:$E$420,$A464&amp;" ضد "&amp;AI$424)+COUNTIF($E$4:$E$420,AI$424&amp;" ضد "&amp;$A464))</f>
        <v>0</v>
      </c>
      <c r="AJ464" s="4">
        <f>IF($A464=AJ$424,"",COUNTIF($E$4:$E$420,$A464&amp;" ضد "&amp;AJ$424)+COUNTIF($E$4:$E$420,AJ$424&amp;" ضد "&amp;$A464))</f>
        <v>0</v>
      </c>
      <c r="AK464" s="4">
        <f>IF($A464=AK$424,"",COUNTIF($E$4:$E$420,$A464&amp;" ضد "&amp;AK$424)+COUNTIF($E$4:$E$420,AK$424&amp;" ضد "&amp;$A464))</f>
        <v>0</v>
      </c>
      <c r="AL464" s="4">
        <f>IF($A464=AL$424,"",COUNTIF($E$4:$E$420,$A464&amp;" ضد "&amp;AL$424)+COUNTIF($E$4:$E$420,AL$424&amp;" ضد "&amp;$A464))</f>
        <v>2</v>
      </c>
      <c r="AM464" s="4">
        <f>IF($A464=AM$424,"",COUNTIF($E$4:$E$420,$A464&amp;" ضد "&amp;AM$424)+COUNTIF($E$4:$E$420,AM$424&amp;" ضد "&amp;$A464))</f>
        <v>2</v>
      </c>
      <c r="AN464" s="4">
        <f>IF($A464=AN$424,"",COUNTIF($E$4:$E$420,$A464&amp;" ضد "&amp;AN$424)+COUNTIF($E$4:$E$420,AN$424&amp;" ضد "&amp;$A464))</f>
        <v>2</v>
      </c>
      <c r="AO464" s="4" t="str">
        <f>IF($A464=AO$424,"",COUNTIF($E$4:$E$420,$A464&amp;" ضد "&amp;AO$424)+COUNTIF($E$4:$E$420,AO$424&amp;" ضد "&amp;$A464))</f>
        <v/>
      </c>
      <c r="AP464" s="4">
        <f>IF($A464=AP$424,"",COUNTIF($E$4:$E$420,$A464&amp;" ضد "&amp;AP$424)+COUNTIF($E$4:$E$420,AP$424&amp;" ضد "&amp;$A464))</f>
        <v>2</v>
      </c>
      <c r="AQ464" s="4">
        <f>IF($A464=AQ$424,"",COUNTIF($E$4:$E$420,$A464&amp;" ضد "&amp;AQ$424)+COUNTIF($E$4:$E$420,AQ$424&amp;" ضد "&amp;$A464))</f>
        <v>2</v>
      </c>
      <c r="AR464" s="4">
        <f>IF($A464=AR$424,"",COUNTIF($E$4:$E$420,$A464&amp;" ضد "&amp;AR$424)+COUNTIF($E$4:$E$420,AR$424&amp;" ضد "&amp;$A464))</f>
        <v>2</v>
      </c>
      <c r="AS464" s="4">
        <f>IF($A464=AS$424,"",COUNTIF($E$4:$E$420,$A464&amp;" ضد "&amp;AS$424)+COUNTIF($E$4:$E$420,AS$424&amp;" ضد "&amp;$A464))</f>
        <v>2</v>
      </c>
      <c r="AT464" s="4">
        <f>IF($A464=AT$424,"",COUNTIF($E$4:$E$420,$A464&amp;" ضد "&amp;AT$424)+COUNTIF($E$4:$E$420,AT$424&amp;" ضد "&amp;$A464))</f>
        <v>2</v>
      </c>
      <c r="AU464" s="4">
        <f>IF($A464=AU$424,"",COUNTIF($E$4:$E$420,$A464&amp;" ضد "&amp;AU$424)+COUNTIF($E$4:$E$420,AU$424&amp;" ضد "&amp;$A464))</f>
        <v>2</v>
      </c>
    </row>
    <row r="465" spans="1:47" ht="14.5">
      <c r="A465" s="14">
        <v>41</v>
      </c>
      <c r="B465" s="4">
        <f>IF($A465=B$424,"",COUNTIF($E$4:$E$420,$A465&amp;" ضد "&amp;B$424)+COUNTIF($E$4:$E$420,B$424&amp;" ضد "&amp;$A465))</f>
        <v>0</v>
      </c>
      <c r="C465" s="4">
        <f>IF($A465=C$424,"",COUNTIF($E$4:$E$420,$A465&amp;" ضد "&amp;C$424)+COUNTIF($E$4:$E$420,C$424&amp;" ضد "&amp;$A465))</f>
        <v>0</v>
      </c>
      <c r="D465" s="4">
        <f>IF($A465=D$424,"",COUNTIF($E$4:$E$420,$A465&amp;" ضد "&amp;D$424)+COUNTIF($E$4:$E$420,D$424&amp;" ضد "&amp;$A465))</f>
        <v>0</v>
      </c>
      <c r="E465" s="4">
        <f>IF($A465=E$424,"",COUNTIF($E$4:$E$420,$A465&amp;" ضد "&amp;E$424)+COUNTIF($E$4:$E$420,E$424&amp;" ضد "&amp;$A465))</f>
        <v>0</v>
      </c>
      <c r="F465" s="4">
        <f>IF($A465=F$424,"",COUNTIF($E$4:$E$420,$A465&amp;" ضد "&amp;F$424)+COUNTIF($E$4:$E$420,F$424&amp;" ضد "&amp;$A465))</f>
        <v>0</v>
      </c>
      <c r="G465" s="4">
        <f>IF($A465=G$424,"",COUNTIF($E$4:$E$420,$A465&amp;" ضد "&amp;G$424)+COUNTIF($E$4:$E$420,G$424&amp;" ضد "&amp;$A465))</f>
        <v>0</v>
      </c>
      <c r="H465" s="4">
        <f>IF($A465=H$424,"",COUNTIF($E$4:$E$420,$A465&amp;" ضد "&amp;H$424)+COUNTIF($E$4:$E$420,H$424&amp;" ضد "&amp;$A465))</f>
        <v>0</v>
      </c>
      <c r="I465" s="4">
        <f>IF($A465=I$424,"",COUNTIF($E$4:$E$420,$A465&amp;" ضد "&amp;I$424)+COUNTIF($E$4:$E$420,I$424&amp;" ضد "&amp;$A465))</f>
        <v>0</v>
      </c>
      <c r="J465" s="4">
        <f>IF($A465=J$424,"",COUNTIF($E$4:$E$420,$A465&amp;" ضد "&amp;J$424)+COUNTIF($E$4:$E$420,J$424&amp;" ضد "&amp;$A465))</f>
        <v>0</v>
      </c>
      <c r="K465" s="4">
        <f>IF($A465=K$424,"",COUNTIF($E$4:$E$420,$A465&amp;" ضد "&amp;K$424)+COUNTIF($E$4:$E$420,K$424&amp;" ضد "&amp;$A465))</f>
        <v>0</v>
      </c>
      <c r="L465" s="4">
        <f>IF($A465=L$424,"",COUNTIF($E$4:$E$420,$A465&amp;" ضد "&amp;L$424)+COUNTIF($E$4:$E$420,L$424&amp;" ضد "&amp;$A465))</f>
        <v>0</v>
      </c>
      <c r="M465" s="4">
        <f>IF($A465=M$424,"",COUNTIF($E$4:$E$420,$A465&amp;" ضد "&amp;M$424)+COUNTIF($E$4:$E$420,M$424&amp;" ضد "&amp;$A465))</f>
        <v>0</v>
      </c>
      <c r="N465" s="4">
        <f>IF($A465=N$424,"",COUNTIF($E$4:$E$420,$A465&amp;" ضد "&amp;N$424)+COUNTIF($E$4:$E$420,N$424&amp;" ضد "&amp;$A465))</f>
        <v>0</v>
      </c>
      <c r="O465" s="4">
        <f>IF($A465=O$424,"",COUNTIF($E$4:$E$420,$A465&amp;" ضد "&amp;O$424)+COUNTIF($E$4:$E$420,O$424&amp;" ضد "&amp;$A465))</f>
        <v>0</v>
      </c>
      <c r="P465" s="4">
        <f>IF($A465=P$424,"",COUNTIF($E$4:$E$420,$A465&amp;" ضد "&amp;P$424)+COUNTIF($E$4:$E$420,P$424&amp;" ضد "&amp;$A465))</f>
        <v>0</v>
      </c>
      <c r="Q465" s="4">
        <f>IF($A465=Q$424,"",COUNTIF($E$4:$E$420,$A465&amp;" ضد "&amp;Q$424)+COUNTIF($E$4:$E$420,Q$424&amp;" ضد "&amp;$A465))</f>
        <v>0</v>
      </c>
      <c r="R465" s="4">
        <f>IF($A465=R$424,"",COUNTIF($E$4:$E$420,$A465&amp;" ضد "&amp;R$424)+COUNTIF($E$4:$E$420,R$424&amp;" ضد "&amp;$A465))</f>
        <v>0</v>
      </c>
      <c r="S465" s="4">
        <f>IF($A465=S$424,"",COUNTIF($E$4:$E$420,$A465&amp;" ضد "&amp;S$424)+COUNTIF($E$4:$E$420,S$424&amp;" ضد "&amp;$A465))</f>
        <v>0</v>
      </c>
      <c r="T465" s="4">
        <f>IF($A465=T$424,"",COUNTIF($E$4:$E$420,$A465&amp;" ضد "&amp;T$424)+COUNTIF($E$4:$E$420,T$424&amp;" ضد "&amp;$A465))</f>
        <v>0</v>
      </c>
      <c r="U465" s="4">
        <f>IF($A465=U$424,"",COUNTIF($E$4:$E$420,$A465&amp;" ضد "&amp;U$424)+COUNTIF($E$4:$E$420,U$424&amp;" ضد "&amp;$A465))</f>
        <v>0</v>
      </c>
      <c r="V465" s="4">
        <f>IF($A465=V$424,"",COUNTIF($E$4:$E$420,$A465&amp;" ضد "&amp;V$424)+COUNTIF($E$4:$E$420,V$424&amp;" ضد "&amp;$A465))</f>
        <v>0</v>
      </c>
      <c r="W465" s="4">
        <f>IF($A465=W$424,"",COUNTIF($E$4:$E$420,$A465&amp;" ضد "&amp;W$424)+COUNTIF($E$4:$E$420,W$424&amp;" ضد "&amp;$A465))</f>
        <v>0</v>
      </c>
      <c r="X465" s="4">
        <f>IF($A465=X$424,"",COUNTIF($E$4:$E$420,$A465&amp;" ضد "&amp;X$424)+COUNTIF($E$4:$E$420,X$424&amp;" ضد "&amp;$A465))</f>
        <v>0</v>
      </c>
      <c r="Y465" s="4">
        <f>IF($A465=Y$424,"",COUNTIF($E$4:$E$420,$A465&amp;" ضد "&amp;Y$424)+COUNTIF($E$4:$E$420,Y$424&amp;" ضد "&amp;$A465))</f>
        <v>0</v>
      </c>
      <c r="Z465" s="4">
        <f>IF($A465=Z$424,"",COUNTIF($E$4:$E$420,$A465&amp;" ضد "&amp;Z$424)+COUNTIF($E$4:$E$420,Z$424&amp;" ضد "&amp;$A465))</f>
        <v>0</v>
      </c>
      <c r="AA465" s="4">
        <f>IF($A465=AA$424,"",COUNTIF($E$4:$E$420,$A465&amp;" ضد "&amp;AA$424)+COUNTIF($E$4:$E$420,AA$424&amp;" ضد "&amp;$A465))</f>
        <v>0</v>
      </c>
      <c r="AB465" s="4">
        <f>IF($A465=AB$424,"",COUNTIF($E$4:$E$420,$A465&amp;" ضد "&amp;AB$424)+COUNTIF($E$4:$E$420,AB$424&amp;" ضد "&amp;$A465))</f>
        <v>0</v>
      </c>
      <c r="AC465" s="4">
        <f>IF($A465=AC$424,"",COUNTIF($E$4:$E$420,$A465&amp;" ضد "&amp;AC$424)+COUNTIF($E$4:$E$420,AC$424&amp;" ضد "&amp;$A465))</f>
        <v>0</v>
      </c>
      <c r="AD465" s="4">
        <f>IF($A465=AD$424,"",COUNTIF($E$4:$E$420,$A465&amp;" ضد "&amp;AD$424)+COUNTIF($E$4:$E$420,AD$424&amp;" ضد "&amp;$A465))</f>
        <v>0</v>
      </c>
      <c r="AE465" s="4">
        <f>IF($A465=AE$424,"",COUNTIF($E$4:$E$420,$A465&amp;" ضد "&amp;AE$424)+COUNTIF($E$4:$E$420,AE$424&amp;" ضد "&amp;$A465))</f>
        <v>0</v>
      </c>
      <c r="AF465" s="4">
        <f>IF($A465=AF$424,"",COUNTIF($E$4:$E$420,$A465&amp;" ضد "&amp;AF$424)+COUNTIF($E$4:$E$420,AF$424&amp;" ضد "&amp;$A465))</f>
        <v>0</v>
      </c>
      <c r="AG465" s="4">
        <f>IF($A465=AG$424,"",COUNTIF($E$4:$E$420,$A465&amp;" ضد "&amp;AG$424)+COUNTIF($E$4:$E$420,AG$424&amp;" ضد "&amp;$A465))</f>
        <v>0</v>
      </c>
      <c r="AH465" s="4">
        <f>IF($A465=AH$424,"",COUNTIF($E$4:$E$420,$A465&amp;" ضد "&amp;AH$424)+COUNTIF($E$4:$E$420,AH$424&amp;" ضد "&amp;$A465))</f>
        <v>0</v>
      </c>
      <c r="AI465" s="4">
        <f>IF($A465=AI$424,"",COUNTIF($E$4:$E$420,$A465&amp;" ضد "&amp;AI$424)+COUNTIF($E$4:$E$420,AI$424&amp;" ضد "&amp;$A465))</f>
        <v>0</v>
      </c>
      <c r="AJ465" s="4">
        <f>IF($A465=AJ$424,"",COUNTIF($E$4:$E$420,$A465&amp;" ضد "&amp;AJ$424)+COUNTIF($E$4:$E$420,AJ$424&amp;" ضد "&amp;$A465))</f>
        <v>0</v>
      </c>
      <c r="AK465" s="4">
        <f>IF($A465=AK$424,"",COUNTIF($E$4:$E$420,$A465&amp;" ضد "&amp;AK$424)+COUNTIF($E$4:$E$420,AK$424&amp;" ضد "&amp;$A465))</f>
        <v>0</v>
      </c>
      <c r="AL465" s="4">
        <f>IF($A465=AL$424,"",COUNTIF($E$4:$E$420,$A465&amp;" ضد "&amp;AL$424)+COUNTIF($E$4:$E$420,AL$424&amp;" ضد "&amp;$A465))</f>
        <v>2</v>
      </c>
      <c r="AM465" s="4">
        <f>IF($A465=AM$424,"",COUNTIF($E$4:$E$420,$A465&amp;" ضد "&amp;AM$424)+COUNTIF($E$4:$E$420,AM$424&amp;" ضد "&amp;$A465))</f>
        <v>2</v>
      </c>
      <c r="AN465" s="4">
        <f>IF($A465=AN$424,"",COUNTIF($E$4:$E$420,$A465&amp;" ضد "&amp;AN$424)+COUNTIF($E$4:$E$420,AN$424&amp;" ضد "&amp;$A465))</f>
        <v>2</v>
      </c>
      <c r="AO465" s="4">
        <f>IF($A465=AO$424,"",COUNTIF($E$4:$E$420,$A465&amp;" ضد "&amp;AO$424)+COUNTIF($E$4:$E$420,AO$424&amp;" ضد "&amp;$A465))</f>
        <v>2</v>
      </c>
      <c r="AP465" s="4" t="str">
        <f>IF($A465=AP$424,"",COUNTIF($E$4:$E$420,$A465&amp;" ضد "&amp;AP$424)+COUNTIF($E$4:$E$420,AP$424&amp;" ضد "&amp;$A465))</f>
        <v/>
      </c>
      <c r="AQ465" s="4">
        <f>IF($A465=AQ$424,"",COUNTIF($E$4:$E$420,$A465&amp;" ضد "&amp;AQ$424)+COUNTIF($E$4:$E$420,AQ$424&amp;" ضد "&amp;$A465))</f>
        <v>2</v>
      </c>
      <c r="AR465" s="4">
        <f>IF($A465=AR$424,"",COUNTIF($E$4:$E$420,$A465&amp;" ضد "&amp;AR$424)+COUNTIF($E$4:$E$420,AR$424&amp;" ضد "&amp;$A465))</f>
        <v>2</v>
      </c>
      <c r="AS465" s="4">
        <f>IF($A465=AS$424,"",COUNTIF($E$4:$E$420,$A465&amp;" ضد "&amp;AS$424)+COUNTIF($E$4:$E$420,AS$424&amp;" ضد "&amp;$A465))</f>
        <v>2</v>
      </c>
      <c r="AT465" s="4">
        <f>IF($A465=AT$424,"",COUNTIF($E$4:$E$420,$A465&amp;" ضد "&amp;AT$424)+COUNTIF($E$4:$E$420,AT$424&amp;" ضد "&amp;$A465))</f>
        <v>2</v>
      </c>
      <c r="AU465" s="4">
        <f>IF($A465=AU$424,"",COUNTIF($E$4:$E$420,$A465&amp;" ضد "&amp;AU$424)+COUNTIF($E$4:$E$420,AU$424&amp;" ضد "&amp;$A465))</f>
        <v>2</v>
      </c>
    </row>
    <row r="466" spans="1:47" ht="14.5">
      <c r="A466" s="14">
        <v>42</v>
      </c>
      <c r="B466" s="4">
        <f>IF($A466=B$424,"",COUNTIF($E$4:$E$420,$A466&amp;" ضد "&amp;B$424)+COUNTIF($E$4:$E$420,B$424&amp;" ضد "&amp;$A466))</f>
        <v>0</v>
      </c>
      <c r="C466" s="4">
        <f>IF($A466=C$424,"",COUNTIF($E$4:$E$420,$A466&amp;" ضد "&amp;C$424)+COUNTIF($E$4:$E$420,C$424&amp;" ضد "&amp;$A466))</f>
        <v>0</v>
      </c>
      <c r="D466" s="4">
        <f>IF($A466=D$424,"",COUNTIF($E$4:$E$420,$A466&amp;" ضد "&amp;D$424)+COUNTIF($E$4:$E$420,D$424&amp;" ضد "&amp;$A466))</f>
        <v>0</v>
      </c>
      <c r="E466" s="4">
        <f>IF($A466=E$424,"",COUNTIF($E$4:$E$420,$A466&amp;" ضد "&amp;E$424)+COUNTIF($E$4:$E$420,E$424&amp;" ضد "&amp;$A466))</f>
        <v>0</v>
      </c>
      <c r="F466" s="4">
        <f>IF($A466=F$424,"",COUNTIF($E$4:$E$420,$A466&amp;" ضد "&amp;F$424)+COUNTIF($E$4:$E$420,F$424&amp;" ضد "&amp;$A466))</f>
        <v>0</v>
      </c>
      <c r="G466" s="4">
        <f>IF($A466=G$424,"",COUNTIF($E$4:$E$420,$A466&amp;" ضد "&amp;G$424)+COUNTIF($E$4:$E$420,G$424&amp;" ضد "&amp;$A466))</f>
        <v>0</v>
      </c>
      <c r="H466" s="4">
        <f>IF($A466=H$424,"",COUNTIF($E$4:$E$420,$A466&amp;" ضد "&amp;H$424)+COUNTIF($E$4:$E$420,H$424&amp;" ضد "&amp;$A466))</f>
        <v>0</v>
      </c>
      <c r="I466" s="4">
        <f>IF($A466=I$424,"",COUNTIF($E$4:$E$420,$A466&amp;" ضد "&amp;I$424)+COUNTIF($E$4:$E$420,I$424&amp;" ضد "&amp;$A466))</f>
        <v>0</v>
      </c>
      <c r="J466" s="4">
        <f>IF($A466=J$424,"",COUNTIF($E$4:$E$420,$A466&amp;" ضد "&amp;J$424)+COUNTIF($E$4:$E$420,J$424&amp;" ضد "&amp;$A466))</f>
        <v>0</v>
      </c>
      <c r="K466" s="4">
        <f>IF($A466=K$424,"",COUNTIF($E$4:$E$420,$A466&amp;" ضد "&amp;K$424)+COUNTIF($E$4:$E$420,K$424&amp;" ضد "&amp;$A466))</f>
        <v>0</v>
      </c>
      <c r="L466" s="4">
        <f>IF($A466=L$424,"",COUNTIF($E$4:$E$420,$A466&amp;" ضد "&amp;L$424)+COUNTIF($E$4:$E$420,L$424&amp;" ضد "&amp;$A466))</f>
        <v>0</v>
      </c>
      <c r="M466" s="4">
        <f>IF($A466=M$424,"",COUNTIF($E$4:$E$420,$A466&amp;" ضد "&amp;M$424)+COUNTIF($E$4:$E$420,M$424&amp;" ضد "&amp;$A466))</f>
        <v>0</v>
      </c>
      <c r="N466" s="4">
        <f>IF($A466=N$424,"",COUNTIF($E$4:$E$420,$A466&amp;" ضد "&amp;N$424)+COUNTIF($E$4:$E$420,N$424&amp;" ضد "&amp;$A466))</f>
        <v>0</v>
      </c>
      <c r="O466" s="4">
        <f>IF($A466=O$424,"",COUNTIF($E$4:$E$420,$A466&amp;" ضد "&amp;O$424)+COUNTIF($E$4:$E$420,O$424&amp;" ضد "&amp;$A466))</f>
        <v>0</v>
      </c>
      <c r="P466" s="4">
        <f>IF($A466=P$424,"",COUNTIF($E$4:$E$420,$A466&amp;" ضد "&amp;P$424)+COUNTIF($E$4:$E$420,P$424&amp;" ضد "&amp;$A466))</f>
        <v>0</v>
      </c>
      <c r="Q466" s="4">
        <f>IF($A466=Q$424,"",COUNTIF($E$4:$E$420,$A466&amp;" ضد "&amp;Q$424)+COUNTIF($E$4:$E$420,Q$424&amp;" ضد "&amp;$A466))</f>
        <v>0</v>
      </c>
      <c r="R466" s="4">
        <f>IF($A466=R$424,"",COUNTIF($E$4:$E$420,$A466&amp;" ضد "&amp;R$424)+COUNTIF($E$4:$E$420,R$424&amp;" ضد "&amp;$A466))</f>
        <v>0</v>
      </c>
      <c r="S466" s="4">
        <f>IF($A466=S$424,"",COUNTIF($E$4:$E$420,$A466&amp;" ضد "&amp;S$424)+COUNTIF($E$4:$E$420,S$424&amp;" ضد "&amp;$A466))</f>
        <v>0</v>
      </c>
      <c r="T466" s="4">
        <f>IF($A466=T$424,"",COUNTIF($E$4:$E$420,$A466&amp;" ضد "&amp;T$424)+COUNTIF($E$4:$E$420,T$424&amp;" ضد "&amp;$A466))</f>
        <v>0</v>
      </c>
      <c r="U466" s="4">
        <f>IF($A466=U$424,"",COUNTIF($E$4:$E$420,$A466&amp;" ضد "&amp;U$424)+COUNTIF($E$4:$E$420,U$424&amp;" ضد "&amp;$A466))</f>
        <v>0</v>
      </c>
      <c r="V466" s="4">
        <f>IF($A466=V$424,"",COUNTIF($E$4:$E$420,$A466&amp;" ضد "&amp;V$424)+COUNTIF($E$4:$E$420,V$424&amp;" ضد "&amp;$A466))</f>
        <v>0</v>
      </c>
      <c r="W466" s="4">
        <f>IF($A466=W$424,"",COUNTIF($E$4:$E$420,$A466&amp;" ضد "&amp;W$424)+COUNTIF($E$4:$E$420,W$424&amp;" ضد "&amp;$A466))</f>
        <v>0</v>
      </c>
      <c r="X466" s="4">
        <f>IF($A466=X$424,"",COUNTIF($E$4:$E$420,$A466&amp;" ضد "&amp;X$424)+COUNTIF($E$4:$E$420,X$424&amp;" ضد "&amp;$A466))</f>
        <v>0</v>
      </c>
      <c r="Y466" s="4">
        <f>IF($A466=Y$424,"",COUNTIF($E$4:$E$420,$A466&amp;" ضد "&amp;Y$424)+COUNTIF($E$4:$E$420,Y$424&amp;" ضد "&amp;$A466))</f>
        <v>0</v>
      </c>
      <c r="Z466" s="4">
        <f>IF($A466=Z$424,"",COUNTIF($E$4:$E$420,$A466&amp;" ضد "&amp;Z$424)+COUNTIF($E$4:$E$420,Z$424&amp;" ضد "&amp;$A466))</f>
        <v>0</v>
      </c>
      <c r="AA466" s="4">
        <f>IF($A466=AA$424,"",COUNTIF($E$4:$E$420,$A466&amp;" ضد "&amp;AA$424)+COUNTIF($E$4:$E$420,AA$424&amp;" ضد "&amp;$A466))</f>
        <v>0</v>
      </c>
      <c r="AB466" s="4">
        <f>IF($A466=AB$424,"",COUNTIF($E$4:$E$420,$A466&amp;" ضد "&amp;AB$424)+COUNTIF($E$4:$E$420,AB$424&amp;" ضد "&amp;$A466))</f>
        <v>0</v>
      </c>
      <c r="AC466" s="4">
        <f>IF($A466=AC$424,"",COUNTIF($E$4:$E$420,$A466&amp;" ضد "&amp;AC$424)+COUNTIF($E$4:$E$420,AC$424&amp;" ضد "&amp;$A466))</f>
        <v>0</v>
      </c>
      <c r="AD466" s="4">
        <f>IF($A466=AD$424,"",COUNTIF($E$4:$E$420,$A466&amp;" ضد "&amp;AD$424)+COUNTIF($E$4:$E$420,AD$424&amp;" ضد "&amp;$A466))</f>
        <v>0</v>
      </c>
      <c r="AE466" s="4">
        <f>IF($A466=AE$424,"",COUNTIF($E$4:$E$420,$A466&amp;" ضد "&amp;AE$424)+COUNTIF($E$4:$E$420,AE$424&amp;" ضد "&amp;$A466))</f>
        <v>0</v>
      </c>
      <c r="AF466" s="4">
        <f>IF($A466=AF$424,"",COUNTIF($E$4:$E$420,$A466&amp;" ضد "&amp;AF$424)+COUNTIF($E$4:$E$420,AF$424&amp;" ضد "&amp;$A466))</f>
        <v>0</v>
      </c>
      <c r="AG466" s="4">
        <f>IF($A466=AG$424,"",COUNTIF($E$4:$E$420,$A466&amp;" ضد "&amp;AG$424)+COUNTIF($E$4:$E$420,AG$424&amp;" ضد "&amp;$A466))</f>
        <v>0</v>
      </c>
      <c r="AH466" s="4">
        <f>IF($A466=AH$424,"",COUNTIF($E$4:$E$420,$A466&amp;" ضد "&amp;AH$424)+COUNTIF($E$4:$E$420,AH$424&amp;" ضد "&amp;$A466))</f>
        <v>0</v>
      </c>
      <c r="AI466" s="4">
        <f>IF($A466=AI$424,"",COUNTIF($E$4:$E$420,$A466&amp;" ضد "&amp;AI$424)+COUNTIF($E$4:$E$420,AI$424&amp;" ضد "&amp;$A466))</f>
        <v>0</v>
      </c>
      <c r="AJ466" s="4">
        <f>IF($A466=AJ$424,"",COUNTIF($E$4:$E$420,$A466&amp;" ضد "&amp;AJ$424)+COUNTIF($E$4:$E$420,AJ$424&amp;" ضد "&amp;$A466))</f>
        <v>0</v>
      </c>
      <c r="AK466" s="4">
        <f>IF($A466=AK$424,"",COUNTIF($E$4:$E$420,$A466&amp;" ضد "&amp;AK$424)+COUNTIF($E$4:$E$420,AK$424&amp;" ضد "&amp;$A466))</f>
        <v>0</v>
      </c>
      <c r="AL466" s="4">
        <f>IF($A466=AL$424,"",COUNTIF($E$4:$E$420,$A466&amp;" ضد "&amp;AL$424)+COUNTIF($E$4:$E$420,AL$424&amp;" ضد "&amp;$A466))</f>
        <v>2</v>
      </c>
      <c r="AM466" s="4">
        <f>IF($A466=AM$424,"",COUNTIF($E$4:$E$420,$A466&amp;" ضد "&amp;AM$424)+COUNTIF($E$4:$E$420,AM$424&amp;" ضد "&amp;$A466))</f>
        <v>2</v>
      </c>
      <c r="AN466" s="4">
        <f>IF($A466=AN$424,"",COUNTIF($E$4:$E$420,$A466&amp;" ضد "&amp;AN$424)+COUNTIF($E$4:$E$420,AN$424&amp;" ضد "&amp;$A466))</f>
        <v>2</v>
      </c>
      <c r="AO466" s="4">
        <f>IF($A466=AO$424,"",COUNTIF($E$4:$E$420,$A466&amp;" ضد "&amp;AO$424)+COUNTIF($E$4:$E$420,AO$424&amp;" ضد "&amp;$A466))</f>
        <v>2</v>
      </c>
      <c r="AP466" s="4">
        <f>IF($A466=AP$424,"",COUNTIF($E$4:$E$420,$A466&amp;" ضد "&amp;AP$424)+COUNTIF($E$4:$E$420,AP$424&amp;" ضد "&amp;$A466))</f>
        <v>2</v>
      </c>
      <c r="AQ466" s="4" t="str">
        <f>IF($A466=AQ$424,"",COUNTIF($E$4:$E$420,$A466&amp;" ضد "&amp;AQ$424)+COUNTIF($E$4:$E$420,AQ$424&amp;" ضد "&amp;$A466))</f>
        <v/>
      </c>
      <c r="AR466" s="4">
        <f>IF($A466=AR$424,"",COUNTIF($E$4:$E$420,$A466&amp;" ضد "&amp;AR$424)+COUNTIF($E$4:$E$420,AR$424&amp;" ضد "&amp;$A466))</f>
        <v>2</v>
      </c>
      <c r="AS466" s="4">
        <f>IF($A466=AS$424,"",COUNTIF($E$4:$E$420,$A466&amp;" ضد "&amp;AS$424)+COUNTIF($E$4:$E$420,AS$424&amp;" ضد "&amp;$A466))</f>
        <v>2</v>
      </c>
      <c r="AT466" s="4">
        <f>IF($A466=AT$424,"",COUNTIF($E$4:$E$420,$A466&amp;" ضد "&amp;AT$424)+COUNTIF($E$4:$E$420,AT$424&amp;" ضد "&amp;$A466))</f>
        <v>2</v>
      </c>
      <c r="AU466" s="4">
        <f>IF($A466=AU$424,"",COUNTIF($E$4:$E$420,$A466&amp;" ضد "&amp;AU$424)+COUNTIF($E$4:$E$420,AU$424&amp;" ضد "&amp;$A466))</f>
        <v>2</v>
      </c>
    </row>
    <row r="467" spans="1:47" ht="14.5">
      <c r="A467" s="14">
        <v>43</v>
      </c>
      <c r="B467" s="4">
        <f>IF($A467=B$424,"",COUNTIF($E$4:$E$420,$A467&amp;" ضد "&amp;B$424)+COUNTIF($E$4:$E$420,B$424&amp;" ضد "&amp;$A467))</f>
        <v>0</v>
      </c>
      <c r="C467" s="4">
        <f>IF($A467=C$424,"",COUNTIF($E$4:$E$420,$A467&amp;" ضد "&amp;C$424)+COUNTIF($E$4:$E$420,C$424&amp;" ضد "&amp;$A467))</f>
        <v>0</v>
      </c>
      <c r="D467" s="4">
        <f>IF($A467=D$424,"",COUNTIF($E$4:$E$420,$A467&amp;" ضد "&amp;D$424)+COUNTIF($E$4:$E$420,D$424&amp;" ضد "&amp;$A467))</f>
        <v>0</v>
      </c>
      <c r="E467" s="4">
        <f>IF($A467=E$424,"",COUNTIF($E$4:$E$420,$A467&amp;" ضد "&amp;E$424)+COUNTIF($E$4:$E$420,E$424&amp;" ضد "&amp;$A467))</f>
        <v>0</v>
      </c>
      <c r="F467" s="4">
        <f>IF($A467=F$424,"",COUNTIF($E$4:$E$420,$A467&amp;" ضد "&amp;F$424)+COUNTIF($E$4:$E$420,F$424&amp;" ضد "&amp;$A467))</f>
        <v>0</v>
      </c>
      <c r="G467" s="4">
        <f>IF($A467=G$424,"",COUNTIF($E$4:$E$420,$A467&amp;" ضد "&amp;G$424)+COUNTIF($E$4:$E$420,G$424&amp;" ضد "&amp;$A467))</f>
        <v>0</v>
      </c>
      <c r="H467" s="4">
        <f>IF($A467=H$424,"",COUNTIF($E$4:$E$420,$A467&amp;" ضد "&amp;H$424)+COUNTIF($E$4:$E$420,H$424&amp;" ضد "&amp;$A467))</f>
        <v>0</v>
      </c>
      <c r="I467" s="4">
        <f>IF($A467=I$424,"",COUNTIF($E$4:$E$420,$A467&amp;" ضد "&amp;I$424)+COUNTIF($E$4:$E$420,I$424&amp;" ضد "&amp;$A467))</f>
        <v>0</v>
      </c>
      <c r="J467" s="4">
        <f>IF($A467=J$424,"",COUNTIF($E$4:$E$420,$A467&amp;" ضد "&amp;J$424)+COUNTIF($E$4:$E$420,J$424&amp;" ضد "&amp;$A467))</f>
        <v>0</v>
      </c>
      <c r="K467" s="4">
        <f>IF($A467=K$424,"",COUNTIF($E$4:$E$420,$A467&amp;" ضد "&amp;K$424)+COUNTIF($E$4:$E$420,K$424&amp;" ضد "&amp;$A467))</f>
        <v>0</v>
      </c>
      <c r="L467" s="4">
        <f>IF($A467=L$424,"",COUNTIF($E$4:$E$420,$A467&amp;" ضد "&amp;L$424)+COUNTIF($E$4:$E$420,L$424&amp;" ضد "&amp;$A467))</f>
        <v>0</v>
      </c>
      <c r="M467" s="4">
        <f>IF($A467=M$424,"",COUNTIF($E$4:$E$420,$A467&amp;" ضد "&amp;M$424)+COUNTIF($E$4:$E$420,M$424&amp;" ضد "&amp;$A467))</f>
        <v>0</v>
      </c>
      <c r="N467" s="4">
        <f>IF($A467=N$424,"",COUNTIF($E$4:$E$420,$A467&amp;" ضد "&amp;N$424)+COUNTIF($E$4:$E$420,N$424&amp;" ضد "&amp;$A467))</f>
        <v>0</v>
      </c>
      <c r="O467" s="4">
        <f>IF($A467=O$424,"",COUNTIF($E$4:$E$420,$A467&amp;" ضد "&amp;O$424)+COUNTIF($E$4:$E$420,O$424&amp;" ضد "&amp;$A467))</f>
        <v>0</v>
      </c>
      <c r="P467" s="4">
        <f>IF($A467=P$424,"",COUNTIF($E$4:$E$420,$A467&amp;" ضد "&amp;P$424)+COUNTIF($E$4:$E$420,P$424&amp;" ضد "&amp;$A467))</f>
        <v>0</v>
      </c>
      <c r="Q467" s="4">
        <f>IF($A467=Q$424,"",COUNTIF($E$4:$E$420,$A467&amp;" ضد "&amp;Q$424)+COUNTIF($E$4:$E$420,Q$424&amp;" ضد "&amp;$A467))</f>
        <v>0</v>
      </c>
      <c r="R467" s="4">
        <f>IF($A467=R$424,"",COUNTIF($E$4:$E$420,$A467&amp;" ضد "&amp;R$424)+COUNTIF($E$4:$E$420,R$424&amp;" ضد "&amp;$A467))</f>
        <v>0</v>
      </c>
      <c r="S467" s="4">
        <f>IF($A467=S$424,"",COUNTIF($E$4:$E$420,$A467&amp;" ضد "&amp;S$424)+COUNTIF($E$4:$E$420,S$424&amp;" ضد "&amp;$A467))</f>
        <v>0</v>
      </c>
      <c r="T467" s="4">
        <f>IF($A467=T$424,"",COUNTIF($E$4:$E$420,$A467&amp;" ضد "&amp;T$424)+COUNTIF($E$4:$E$420,T$424&amp;" ضد "&amp;$A467))</f>
        <v>0</v>
      </c>
      <c r="U467" s="4">
        <f>IF($A467=U$424,"",COUNTIF($E$4:$E$420,$A467&amp;" ضد "&amp;U$424)+COUNTIF($E$4:$E$420,U$424&amp;" ضد "&amp;$A467))</f>
        <v>0</v>
      </c>
      <c r="V467" s="4">
        <f>IF($A467=V$424,"",COUNTIF($E$4:$E$420,$A467&amp;" ضد "&amp;V$424)+COUNTIF($E$4:$E$420,V$424&amp;" ضد "&amp;$A467))</f>
        <v>0</v>
      </c>
      <c r="W467" s="4">
        <f>IF($A467=W$424,"",COUNTIF($E$4:$E$420,$A467&amp;" ضد "&amp;W$424)+COUNTIF($E$4:$E$420,W$424&amp;" ضد "&amp;$A467))</f>
        <v>0</v>
      </c>
      <c r="X467" s="4">
        <f>IF($A467=X$424,"",COUNTIF($E$4:$E$420,$A467&amp;" ضد "&amp;X$424)+COUNTIF($E$4:$E$420,X$424&amp;" ضد "&amp;$A467))</f>
        <v>0</v>
      </c>
      <c r="Y467" s="4">
        <f>IF($A467=Y$424,"",COUNTIF($E$4:$E$420,$A467&amp;" ضد "&amp;Y$424)+COUNTIF($E$4:$E$420,Y$424&amp;" ضد "&amp;$A467))</f>
        <v>0</v>
      </c>
      <c r="Z467" s="4">
        <f>IF($A467=Z$424,"",COUNTIF($E$4:$E$420,$A467&amp;" ضد "&amp;Z$424)+COUNTIF($E$4:$E$420,Z$424&amp;" ضد "&amp;$A467))</f>
        <v>0</v>
      </c>
      <c r="AA467" s="4">
        <f>IF($A467=AA$424,"",COUNTIF($E$4:$E$420,$A467&amp;" ضد "&amp;AA$424)+COUNTIF($E$4:$E$420,AA$424&amp;" ضد "&amp;$A467))</f>
        <v>0</v>
      </c>
      <c r="AB467" s="4">
        <f>IF($A467=AB$424,"",COUNTIF($E$4:$E$420,$A467&amp;" ضد "&amp;AB$424)+COUNTIF($E$4:$E$420,AB$424&amp;" ضد "&amp;$A467))</f>
        <v>0</v>
      </c>
      <c r="AC467" s="4">
        <f>IF($A467=AC$424,"",COUNTIF($E$4:$E$420,$A467&amp;" ضد "&amp;AC$424)+COUNTIF($E$4:$E$420,AC$424&amp;" ضد "&amp;$A467))</f>
        <v>0</v>
      </c>
      <c r="AD467" s="4">
        <f>IF($A467=AD$424,"",COUNTIF($E$4:$E$420,$A467&amp;" ضد "&amp;AD$424)+COUNTIF($E$4:$E$420,AD$424&amp;" ضد "&amp;$A467))</f>
        <v>0</v>
      </c>
      <c r="AE467" s="4">
        <f>IF($A467=AE$424,"",COUNTIF($E$4:$E$420,$A467&amp;" ضد "&amp;AE$424)+COUNTIF($E$4:$E$420,AE$424&amp;" ضد "&amp;$A467))</f>
        <v>0</v>
      </c>
      <c r="AF467" s="4">
        <f>IF($A467=AF$424,"",COUNTIF($E$4:$E$420,$A467&amp;" ضد "&amp;AF$424)+COUNTIF($E$4:$E$420,AF$424&amp;" ضد "&amp;$A467))</f>
        <v>0</v>
      </c>
      <c r="AG467" s="4">
        <f>IF($A467=AG$424,"",COUNTIF($E$4:$E$420,$A467&amp;" ضد "&amp;AG$424)+COUNTIF($E$4:$E$420,AG$424&amp;" ضد "&amp;$A467))</f>
        <v>0</v>
      </c>
      <c r="AH467" s="4">
        <f>IF($A467=AH$424,"",COUNTIF($E$4:$E$420,$A467&amp;" ضد "&amp;AH$424)+COUNTIF($E$4:$E$420,AH$424&amp;" ضد "&amp;$A467))</f>
        <v>0</v>
      </c>
      <c r="AI467" s="4">
        <f>IF($A467=AI$424,"",COUNTIF($E$4:$E$420,$A467&amp;" ضد "&amp;AI$424)+COUNTIF($E$4:$E$420,AI$424&amp;" ضد "&amp;$A467))</f>
        <v>0</v>
      </c>
      <c r="AJ467" s="4">
        <f>IF($A467=AJ$424,"",COUNTIF($E$4:$E$420,$A467&amp;" ضد "&amp;AJ$424)+COUNTIF($E$4:$E$420,AJ$424&amp;" ضد "&amp;$A467))</f>
        <v>0</v>
      </c>
      <c r="AK467" s="4">
        <f>IF($A467=AK$424,"",COUNTIF($E$4:$E$420,$A467&amp;" ضد "&amp;AK$424)+COUNTIF($E$4:$E$420,AK$424&amp;" ضد "&amp;$A467))</f>
        <v>0</v>
      </c>
      <c r="AL467" s="4">
        <f>IF($A467=AL$424,"",COUNTIF($E$4:$E$420,$A467&amp;" ضد "&amp;AL$424)+COUNTIF($E$4:$E$420,AL$424&amp;" ضد "&amp;$A467))</f>
        <v>2</v>
      </c>
      <c r="AM467" s="4">
        <f>IF($A467=AM$424,"",COUNTIF($E$4:$E$420,$A467&amp;" ضد "&amp;AM$424)+COUNTIF($E$4:$E$420,AM$424&amp;" ضد "&amp;$A467))</f>
        <v>2</v>
      </c>
      <c r="AN467" s="4">
        <f>IF($A467=AN$424,"",COUNTIF($E$4:$E$420,$A467&amp;" ضد "&amp;AN$424)+COUNTIF($E$4:$E$420,AN$424&amp;" ضد "&amp;$A467))</f>
        <v>2</v>
      </c>
      <c r="AO467" s="4">
        <f>IF($A467=AO$424,"",COUNTIF($E$4:$E$420,$A467&amp;" ضد "&amp;AO$424)+COUNTIF($E$4:$E$420,AO$424&amp;" ضد "&amp;$A467))</f>
        <v>2</v>
      </c>
      <c r="AP467" s="4">
        <f>IF($A467=AP$424,"",COUNTIF($E$4:$E$420,$A467&amp;" ضد "&amp;AP$424)+COUNTIF($E$4:$E$420,AP$424&amp;" ضد "&amp;$A467))</f>
        <v>2</v>
      </c>
      <c r="AQ467" s="4">
        <f>IF($A467=AQ$424,"",COUNTIF($E$4:$E$420,$A467&amp;" ضد "&amp;AQ$424)+COUNTIF($E$4:$E$420,AQ$424&amp;" ضد "&amp;$A467))</f>
        <v>2</v>
      </c>
      <c r="AR467" s="4" t="str">
        <f>IF($A467=AR$424,"",COUNTIF($E$4:$E$420,$A467&amp;" ضد "&amp;AR$424)+COUNTIF($E$4:$E$420,AR$424&amp;" ضد "&amp;$A467))</f>
        <v/>
      </c>
      <c r="AS467" s="4">
        <f>IF($A467=AS$424,"",COUNTIF($E$4:$E$420,$A467&amp;" ضد "&amp;AS$424)+COUNTIF($E$4:$E$420,AS$424&amp;" ضد "&amp;$A467))</f>
        <v>2</v>
      </c>
      <c r="AT467" s="4">
        <f>IF($A467=AT$424,"",COUNTIF($E$4:$E$420,$A467&amp;" ضد "&amp;AT$424)+COUNTIF($E$4:$E$420,AT$424&amp;" ضد "&amp;$A467))</f>
        <v>2</v>
      </c>
      <c r="AU467" s="4">
        <f>IF($A467=AU$424,"",COUNTIF($E$4:$E$420,$A467&amp;" ضد "&amp;AU$424)+COUNTIF($E$4:$E$420,AU$424&amp;" ضد "&amp;$A467))</f>
        <v>2</v>
      </c>
    </row>
    <row r="468" spans="1:47" ht="14.5">
      <c r="A468" s="14">
        <v>44</v>
      </c>
      <c r="B468" s="4">
        <f>IF($A468=B$424,"",COUNTIF($E$4:$E$420,$A468&amp;" ضد "&amp;B$424)+COUNTIF($E$4:$E$420,B$424&amp;" ضد "&amp;$A468))</f>
        <v>0</v>
      </c>
      <c r="C468" s="4">
        <f>IF($A468=C$424,"",COUNTIF($E$4:$E$420,$A468&amp;" ضد "&amp;C$424)+COUNTIF($E$4:$E$420,C$424&amp;" ضد "&amp;$A468))</f>
        <v>0</v>
      </c>
      <c r="D468" s="4">
        <f>IF($A468=D$424,"",COUNTIF($E$4:$E$420,$A468&amp;" ضد "&amp;D$424)+COUNTIF($E$4:$E$420,D$424&amp;" ضد "&amp;$A468))</f>
        <v>0</v>
      </c>
      <c r="E468" s="4">
        <f>IF($A468=E$424,"",COUNTIF($E$4:$E$420,$A468&amp;" ضد "&amp;E$424)+COUNTIF($E$4:$E$420,E$424&amp;" ضد "&amp;$A468))</f>
        <v>0</v>
      </c>
      <c r="F468" s="4">
        <f>IF($A468=F$424,"",COUNTIF($E$4:$E$420,$A468&amp;" ضد "&amp;F$424)+COUNTIF($E$4:$E$420,F$424&amp;" ضد "&amp;$A468))</f>
        <v>0</v>
      </c>
      <c r="G468" s="4">
        <f>IF($A468=G$424,"",COUNTIF($E$4:$E$420,$A468&amp;" ضد "&amp;G$424)+COUNTIF($E$4:$E$420,G$424&amp;" ضد "&amp;$A468))</f>
        <v>0</v>
      </c>
      <c r="H468" s="4">
        <f>IF($A468=H$424,"",COUNTIF($E$4:$E$420,$A468&amp;" ضد "&amp;H$424)+COUNTIF($E$4:$E$420,H$424&amp;" ضد "&amp;$A468))</f>
        <v>0</v>
      </c>
      <c r="I468" s="4">
        <f>IF($A468=I$424,"",COUNTIF($E$4:$E$420,$A468&amp;" ضد "&amp;I$424)+COUNTIF($E$4:$E$420,I$424&amp;" ضد "&amp;$A468))</f>
        <v>0</v>
      </c>
      <c r="J468" s="4">
        <f>IF($A468=J$424,"",COUNTIF($E$4:$E$420,$A468&amp;" ضد "&amp;J$424)+COUNTIF($E$4:$E$420,J$424&amp;" ضد "&amp;$A468))</f>
        <v>0</v>
      </c>
      <c r="K468" s="4">
        <f>IF($A468=K$424,"",COUNTIF($E$4:$E$420,$A468&amp;" ضد "&amp;K$424)+COUNTIF($E$4:$E$420,K$424&amp;" ضد "&amp;$A468))</f>
        <v>0</v>
      </c>
      <c r="L468" s="4">
        <f>IF($A468=L$424,"",COUNTIF($E$4:$E$420,$A468&amp;" ضد "&amp;L$424)+COUNTIF($E$4:$E$420,L$424&amp;" ضد "&amp;$A468))</f>
        <v>0</v>
      </c>
      <c r="M468" s="4">
        <f>IF($A468=M$424,"",COUNTIF($E$4:$E$420,$A468&amp;" ضد "&amp;M$424)+COUNTIF($E$4:$E$420,M$424&amp;" ضد "&amp;$A468))</f>
        <v>0</v>
      </c>
      <c r="N468" s="4">
        <f>IF($A468=N$424,"",COUNTIF($E$4:$E$420,$A468&amp;" ضد "&amp;N$424)+COUNTIF($E$4:$E$420,N$424&amp;" ضد "&amp;$A468))</f>
        <v>0</v>
      </c>
      <c r="O468" s="4">
        <f>IF($A468=O$424,"",COUNTIF($E$4:$E$420,$A468&amp;" ضد "&amp;O$424)+COUNTIF($E$4:$E$420,O$424&amp;" ضد "&amp;$A468))</f>
        <v>0</v>
      </c>
      <c r="P468" s="4">
        <f>IF($A468=P$424,"",COUNTIF($E$4:$E$420,$A468&amp;" ضد "&amp;P$424)+COUNTIF($E$4:$E$420,P$424&amp;" ضد "&amp;$A468))</f>
        <v>0</v>
      </c>
      <c r="Q468" s="4">
        <f>IF($A468=Q$424,"",COUNTIF($E$4:$E$420,$A468&amp;" ضد "&amp;Q$424)+COUNTIF($E$4:$E$420,Q$424&amp;" ضد "&amp;$A468))</f>
        <v>0</v>
      </c>
      <c r="R468" s="4">
        <f>IF($A468=R$424,"",COUNTIF($E$4:$E$420,$A468&amp;" ضد "&amp;R$424)+COUNTIF($E$4:$E$420,R$424&amp;" ضد "&amp;$A468))</f>
        <v>0</v>
      </c>
      <c r="S468" s="4">
        <f>IF($A468=S$424,"",COUNTIF($E$4:$E$420,$A468&amp;" ضد "&amp;S$424)+COUNTIF($E$4:$E$420,S$424&amp;" ضد "&amp;$A468))</f>
        <v>0</v>
      </c>
      <c r="T468" s="4">
        <f>IF($A468=T$424,"",COUNTIF($E$4:$E$420,$A468&amp;" ضد "&amp;T$424)+COUNTIF($E$4:$E$420,T$424&amp;" ضد "&amp;$A468))</f>
        <v>0</v>
      </c>
      <c r="U468" s="4">
        <f>IF($A468=U$424,"",COUNTIF($E$4:$E$420,$A468&amp;" ضد "&amp;U$424)+COUNTIF($E$4:$E$420,U$424&amp;" ضد "&amp;$A468))</f>
        <v>0</v>
      </c>
      <c r="V468" s="4">
        <f>IF($A468=V$424,"",COUNTIF($E$4:$E$420,$A468&amp;" ضد "&amp;V$424)+COUNTIF($E$4:$E$420,V$424&amp;" ضد "&amp;$A468))</f>
        <v>0</v>
      </c>
      <c r="W468" s="4">
        <f>IF($A468=W$424,"",COUNTIF($E$4:$E$420,$A468&amp;" ضد "&amp;W$424)+COUNTIF($E$4:$E$420,W$424&amp;" ضد "&amp;$A468))</f>
        <v>0</v>
      </c>
      <c r="X468" s="4">
        <f>IF($A468=X$424,"",COUNTIF($E$4:$E$420,$A468&amp;" ضد "&amp;X$424)+COUNTIF($E$4:$E$420,X$424&amp;" ضد "&amp;$A468))</f>
        <v>0</v>
      </c>
      <c r="Y468" s="4">
        <f>IF($A468=Y$424,"",COUNTIF($E$4:$E$420,$A468&amp;" ضد "&amp;Y$424)+COUNTIF($E$4:$E$420,Y$424&amp;" ضد "&amp;$A468))</f>
        <v>0</v>
      </c>
      <c r="Z468" s="4">
        <f>IF($A468=Z$424,"",COUNTIF($E$4:$E$420,$A468&amp;" ضد "&amp;Z$424)+COUNTIF($E$4:$E$420,Z$424&amp;" ضد "&amp;$A468))</f>
        <v>0</v>
      </c>
      <c r="AA468" s="4">
        <f>IF($A468=AA$424,"",COUNTIF($E$4:$E$420,$A468&amp;" ضد "&amp;AA$424)+COUNTIF($E$4:$E$420,AA$424&amp;" ضد "&amp;$A468))</f>
        <v>0</v>
      </c>
      <c r="AB468" s="4">
        <f>IF($A468=AB$424,"",COUNTIF($E$4:$E$420,$A468&amp;" ضد "&amp;AB$424)+COUNTIF($E$4:$E$420,AB$424&amp;" ضد "&amp;$A468))</f>
        <v>0</v>
      </c>
      <c r="AC468" s="4">
        <f>IF($A468=AC$424,"",COUNTIF($E$4:$E$420,$A468&amp;" ضد "&amp;AC$424)+COUNTIF($E$4:$E$420,AC$424&amp;" ضد "&amp;$A468))</f>
        <v>0</v>
      </c>
      <c r="AD468" s="4">
        <f>IF($A468=AD$424,"",COUNTIF($E$4:$E$420,$A468&amp;" ضد "&amp;AD$424)+COUNTIF($E$4:$E$420,AD$424&amp;" ضد "&amp;$A468))</f>
        <v>0</v>
      </c>
      <c r="AE468" s="4">
        <f>IF($A468=AE$424,"",COUNTIF($E$4:$E$420,$A468&amp;" ضد "&amp;AE$424)+COUNTIF($E$4:$E$420,AE$424&amp;" ضد "&amp;$A468))</f>
        <v>0</v>
      </c>
      <c r="AF468" s="4">
        <f>IF($A468=AF$424,"",COUNTIF($E$4:$E$420,$A468&amp;" ضد "&amp;AF$424)+COUNTIF($E$4:$E$420,AF$424&amp;" ضد "&amp;$A468))</f>
        <v>0</v>
      </c>
      <c r="AG468" s="4">
        <f>IF($A468=AG$424,"",COUNTIF($E$4:$E$420,$A468&amp;" ضد "&amp;AG$424)+COUNTIF($E$4:$E$420,AG$424&amp;" ضد "&amp;$A468))</f>
        <v>0</v>
      </c>
      <c r="AH468" s="4">
        <f>IF($A468=AH$424,"",COUNTIF($E$4:$E$420,$A468&amp;" ضد "&amp;AH$424)+COUNTIF($E$4:$E$420,AH$424&amp;" ضد "&amp;$A468))</f>
        <v>0</v>
      </c>
      <c r="AI468" s="4">
        <f>IF($A468=AI$424,"",COUNTIF($E$4:$E$420,$A468&amp;" ضد "&amp;AI$424)+COUNTIF($E$4:$E$420,AI$424&amp;" ضد "&amp;$A468))</f>
        <v>0</v>
      </c>
      <c r="AJ468" s="4">
        <f>IF($A468=AJ$424,"",COUNTIF($E$4:$E$420,$A468&amp;" ضد "&amp;AJ$424)+COUNTIF($E$4:$E$420,AJ$424&amp;" ضد "&amp;$A468))</f>
        <v>0</v>
      </c>
      <c r="AK468" s="4">
        <f>IF($A468=AK$424,"",COUNTIF($E$4:$E$420,$A468&amp;" ضد "&amp;AK$424)+COUNTIF($E$4:$E$420,AK$424&amp;" ضد "&amp;$A468))</f>
        <v>0</v>
      </c>
      <c r="AL468" s="4">
        <f>IF($A468=AL$424,"",COUNTIF($E$4:$E$420,$A468&amp;" ضد "&amp;AL$424)+COUNTIF($E$4:$E$420,AL$424&amp;" ضد "&amp;$A468))</f>
        <v>2</v>
      </c>
      <c r="AM468" s="4">
        <f>IF($A468=AM$424,"",COUNTIF($E$4:$E$420,$A468&amp;" ضد "&amp;AM$424)+COUNTIF($E$4:$E$420,AM$424&amp;" ضد "&amp;$A468))</f>
        <v>2</v>
      </c>
      <c r="AN468" s="4">
        <f>IF($A468=AN$424,"",COUNTIF($E$4:$E$420,$A468&amp;" ضد "&amp;AN$424)+COUNTIF($E$4:$E$420,AN$424&amp;" ضد "&amp;$A468))</f>
        <v>2</v>
      </c>
      <c r="AO468" s="4">
        <f>IF($A468=AO$424,"",COUNTIF($E$4:$E$420,$A468&amp;" ضد "&amp;AO$424)+COUNTIF($E$4:$E$420,AO$424&amp;" ضد "&amp;$A468))</f>
        <v>2</v>
      </c>
      <c r="AP468" s="4">
        <f>IF($A468=AP$424,"",COUNTIF($E$4:$E$420,$A468&amp;" ضد "&amp;AP$424)+COUNTIF($E$4:$E$420,AP$424&amp;" ضد "&amp;$A468))</f>
        <v>2</v>
      </c>
      <c r="AQ468" s="4">
        <f>IF($A468=AQ$424,"",COUNTIF($E$4:$E$420,$A468&amp;" ضد "&amp;AQ$424)+COUNTIF($E$4:$E$420,AQ$424&amp;" ضد "&amp;$A468))</f>
        <v>2</v>
      </c>
      <c r="AR468" s="4">
        <f>IF($A468=AR$424,"",COUNTIF($E$4:$E$420,$A468&amp;" ضد "&amp;AR$424)+COUNTIF($E$4:$E$420,AR$424&amp;" ضد "&amp;$A468))</f>
        <v>2</v>
      </c>
      <c r="AS468" s="4" t="str">
        <f>IF($A468=AS$424,"",COUNTIF($E$4:$E$420,$A468&amp;" ضد "&amp;AS$424)+COUNTIF($E$4:$E$420,AS$424&amp;" ضد "&amp;$A468))</f>
        <v/>
      </c>
      <c r="AT468" s="4">
        <f>IF($A468=AT$424,"",COUNTIF($E$4:$E$420,$A468&amp;" ضد "&amp;AT$424)+COUNTIF($E$4:$E$420,AT$424&amp;" ضد "&amp;$A468))</f>
        <v>2</v>
      </c>
      <c r="AU468" s="4">
        <f>IF($A468=AU$424,"",COUNTIF($E$4:$E$420,$A468&amp;" ضد "&amp;AU$424)+COUNTIF($E$4:$E$420,AU$424&amp;" ضد "&amp;$A468))</f>
        <v>2</v>
      </c>
    </row>
    <row r="469" spans="1:47" ht="14.5">
      <c r="A469" s="14">
        <v>45</v>
      </c>
      <c r="B469" s="4">
        <f>IF($A469=B$424,"",COUNTIF($E$4:$E$420,$A469&amp;" ضد "&amp;B$424)+COUNTIF($E$4:$E$420,B$424&amp;" ضد "&amp;$A469))</f>
        <v>0</v>
      </c>
      <c r="C469" s="4">
        <f>IF($A469=C$424,"",COUNTIF($E$4:$E$420,$A469&amp;" ضد "&amp;C$424)+COUNTIF($E$4:$E$420,C$424&amp;" ضد "&amp;$A469))</f>
        <v>0</v>
      </c>
      <c r="D469" s="4">
        <f>IF($A469=D$424,"",COUNTIF($E$4:$E$420,$A469&amp;" ضد "&amp;D$424)+COUNTIF($E$4:$E$420,D$424&amp;" ضد "&amp;$A469))</f>
        <v>0</v>
      </c>
      <c r="E469" s="4">
        <f>IF($A469=E$424,"",COUNTIF($E$4:$E$420,$A469&amp;" ضد "&amp;E$424)+COUNTIF($E$4:$E$420,E$424&amp;" ضد "&amp;$A469))</f>
        <v>0</v>
      </c>
      <c r="F469" s="4">
        <f>IF($A469=F$424,"",COUNTIF($E$4:$E$420,$A469&amp;" ضد "&amp;F$424)+COUNTIF($E$4:$E$420,F$424&amp;" ضد "&amp;$A469))</f>
        <v>0</v>
      </c>
      <c r="G469" s="4">
        <f>IF($A469=G$424,"",COUNTIF($E$4:$E$420,$A469&amp;" ضد "&amp;G$424)+COUNTIF($E$4:$E$420,G$424&amp;" ضد "&amp;$A469))</f>
        <v>0</v>
      </c>
      <c r="H469" s="4">
        <f>IF($A469=H$424,"",COUNTIF($E$4:$E$420,$A469&amp;" ضد "&amp;H$424)+COUNTIF($E$4:$E$420,H$424&amp;" ضد "&amp;$A469))</f>
        <v>0</v>
      </c>
      <c r="I469" s="4">
        <f>IF($A469=I$424,"",COUNTIF($E$4:$E$420,$A469&amp;" ضد "&amp;I$424)+COUNTIF($E$4:$E$420,I$424&amp;" ضد "&amp;$A469))</f>
        <v>0</v>
      </c>
      <c r="J469" s="4">
        <f>IF($A469=J$424,"",COUNTIF($E$4:$E$420,$A469&amp;" ضد "&amp;J$424)+COUNTIF($E$4:$E$420,J$424&amp;" ضد "&amp;$A469))</f>
        <v>0</v>
      </c>
      <c r="K469" s="4">
        <f>IF($A469=K$424,"",COUNTIF($E$4:$E$420,$A469&amp;" ضد "&amp;K$424)+COUNTIF($E$4:$E$420,K$424&amp;" ضد "&amp;$A469))</f>
        <v>0</v>
      </c>
      <c r="L469" s="4">
        <f>IF($A469=L$424,"",COUNTIF($E$4:$E$420,$A469&amp;" ضد "&amp;L$424)+COUNTIF($E$4:$E$420,L$424&amp;" ضد "&amp;$A469))</f>
        <v>0</v>
      </c>
      <c r="M469" s="4">
        <f>IF($A469=M$424,"",COUNTIF($E$4:$E$420,$A469&amp;" ضد "&amp;M$424)+COUNTIF($E$4:$E$420,M$424&amp;" ضد "&amp;$A469))</f>
        <v>0</v>
      </c>
      <c r="N469" s="4">
        <f>IF($A469=N$424,"",COUNTIF($E$4:$E$420,$A469&amp;" ضد "&amp;N$424)+COUNTIF($E$4:$E$420,N$424&amp;" ضد "&amp;$A469))</f>
        <v>0</v>
      </c>
      <c r="O469" s="4">
        <f>IF($A469=O$424,"",COUNTIF($E$4:$E$420,$A469&amp;" ضد "&amp;O$424)+COUNTIF($E$4:$E$420,O$424&amp;" ضد "&amp;$A469))</f>
        <v>0</v>
      </c>
      <c r="P469" s="4">
        <f>IF($A469=P$424,"",COUNTIF($E$4:$E$420,$A469&amp;" ضد "&amp;P$424)+COUNTIF($E$4:$E$420,P$424&amp;" ضد "&amp;$A469))</f>
        <v>0</v>
      </c>
      <c r="Q469" s="4">
        <f>IF($A469=Q$424,"",COUNTIF($E$4:$E$420,$A469&amp;" ضد "&amp;Q$424)+COUNTIF($E$4:$E$420,Q$424&amp;" ضد "&amp;$A469))</f>
        <v>0</v>
      </c>
      <c r="R469" s="4">
        <f>IF($A469=R$424,"",COUNTIF($E$4:$E$420,$A469&amp;" ضد "&amp;R$424)+COUNTIF($E$4:$E$420,R$424&amp;" ضد "&amp;$A469))</f>
        <v>0</v>
      </c>
      <c r="S469" s="4">
        <f>IF($A469=S$424,"",COUNTIF($E$4:$E$420,$A469&amp;" ضد "&amp;S$424)+COUNTIF($E$4:$E$420,S$424&amp;" ضد "&amp;$A469))</f>
        <v>0</v>
      </c>
      <c r="T469" s="4">
        <f>IF($A469=T$424,"",COUNTIF($E$4:$E$420,$A469&amp;" ضد "&amp;T$424)+COUNTIF($E$4:$E$420,T$424&amp;" ضد "&amp;$A469))</f>
        <v>0</v>
      </c>
      <c r="U469" s="4">
        <f>IF($A469=U$424,"",COUNTIF($E$4:$E$420,$A469&amp;" ضد "&amp;U$424)+COUNTIF($E$4:$E$420,U$424&amp;" ضد "&amp;$A469))</f>
        <v>0</v>
      </c>
      <c r="V469" s="4">
        <f>IF($A469=V$424,"",COUNTIF($E$4:$E$420,$A469&amp;" ضد "&amp;V$424)+COUNTIF($E$4:$E$420,V$424&amp;" ضد "&amp;$A469))</f>
        <v>0</v>
      </c>
      <c r="W469" s="4">
        <f>IF($A469=W$424,"",COUNTIF($E$4:$E$420,$A469&amp;" ضد "&amp;W$424)+COUNTIF($E$4:$E$420,W$424&amp;" ضد "&amp;$A469))</f>
        <v>0</v>
      </c>
      <c r="X469" s="4">
        <f>IF($A469=X$424,"",COUNTIF($E$4:$E$420,$A469&amp;" ضد "&amp;X$424)+COUNTIF($E$4:$E$420,X$424&amp;" ضد "&amp;$A469))</f>
        <v>0</v>
      </c>
      <c r="Y469" s="4">
        <f>IF($A469=Y$424,"",COUNTIF($E$4:$E$420,$A469&amp;" ضد "&amp;Y$424)+COUNTIF($E$4:$E$420,Y$424&amp;" ضد "&amp;$A469))</f>
        <v>0</v>
      </c>
      <c r="Z469" s="4">
        <f>IF($A469=Z$424,"",COUNTIF($E$4:$E$420,$A469&amp;" ضد "&amp;Z$424)+COUNTIF($E$4:$E$420,Z$424&amp;" ضد "&amp;$A469))</f>
        <v>0</v>
      </c>
      <c r="AA469" s="4">
        <f>IF($A469=AA$424,"",COUNTIF($E$4:$E$420,$A469&amp;" ضد "&amp;AA$424)+COUNTIF($E$4:$E$420,AA$424&amp;" ضد "&amp;$A469))</f>
        <v>0</v>
      </c>
      <c r="AB469" s="4">
        <f>IF($A469=AB$424,"",COUNTIF($E$4:$E$420,$A469&amp;" ضد "&amp;AB$424)+COUNTIF($E$4:$E$420,AB$424&amp;" ضد "&amp;$A469))</f>
        <v>0</v>
      </c>
      <c r="AC469" s="4">
        <f>IF($A469=AC$424,"",COUNTIF($E$4:$E$420,$A469&amp;" ضد "&amp;AC$424)+COUNTIF($E$4:$E$420,AC$424&amp;" ضد "&amp;$A469))</f>
        <v>0</v>
      </c>
      <c r="AD469" s="4">
        <f>IF($A469=AD$424,"",COUNTIF($E$4:$E$420,$A469&amp;" ضد "&amp;AD$424)+COUNTIF($E$4:$E$420,AD$424&amp;" ضد "&amp;$A469))</f>
        <v>0</v>
      </c>
      <c r="AE469" s="4">
        <f>IF($A469=AE$424,"",COUNTIF($E$4:$E$420,$A469&amp;" ضد "&amp;AE$424)+COUNTIF($E$4:$E$420,AE$424&amp;" ضد "&amp;$A469))</f>
        <v>0</v>
      </c>
      <c r="AF469" s="4">
        <f>IF($A469=AF$424,"",COUNTIF($E$4:$E$420,$A469&amp;" ضد "&amp;AF$424)+COUNTIF($E$4:$E$420,AF$424&amp;" ضد "&amp;$A469))</f>
        <v>0</v>
      </c>
      <c r="AG469" s="4">
        <f>IF($A469=AG$424,"",COUNTIF($E$4:$E$420,$A469&amp;" ضد "&amp;AG$424)+COUNTIF($E$4:$E$420,AG$424&amp;" ضد "&amp;$A469))</f>
        <v>0</v>
      </c>
      <c r="AH469" s="4">
        <f>IF($A469=AH$424,"",COUNTIF($E$4:$E$420,$A469&amp;" ضد "&amp;AH$424)+COUNTIF($E$4:$E$420,AH$424&amp;" ضد "&amp;$A469))</f>
        <v>0</v>
      </c>
      <c r="AI469" s="4">
        <f>IF($A469=AI$424,"",COUNTIF($E$4:$E$420,$A469&amp;" ضد "&amp;AI$424)+COUNTIF($E$4:$E$420,AI$424&amp;" ضد "&amp;$A469))</f>
        <v>0</v>
      </c>
      <c r="AJ469" s="4">
        <f>IF($A469=AJ$424,"",COUNTIF($E$4:$E$420,$A469&amp;" ضد "&amp;AJ$424)+COUNTIF($E$4:$E$420,AJ$424&amp;" ضد "&amp;$A469))</f>
        <v>0</v>
      </c>
      <c r="AK469" s="4">
        <f>IF($A469=AK$424,"",COUNTIF($E$4:$E$420,$A469&amp;" ضد "&amp;AK$424)+COUNTIF($E$4:$E$420,AK$424&amp;" ضد "&amp;$A469))</f>
        <v>0</v>
      </c>
      <c r="AL469" s="4">
        <f>IF($A469=AL$424,"",COUNTIF($E$4:$E$420,$A469&amp;" ضد "&amp;AL$424)+COUNTIF($E$4:$E$420,AL$424&amp;" ضد "&amp;$A469))</f>
        <v>2</v>
      </c>
      <c r="AM469" s="4">
        <f>IF($A469=AM$424,"",COUNTIF($E$4:$E$420,$A469&amp;" ضد "&amp;AM$424)+COUNTIF($E$4:$E$420,AM$424&amp;" ضد "&amp;$A469))</f>
        <v>2</v>
      </c>
      <c r="AN469" s="4">
        <f>IF($A469=AN$424,"",COUNTIF($E$4:$E$420,$A469&amp;" ضد "&amp;AN$424)+COUNTIF($E$4:$E$420,AN$424&amp;" ضد "&amp;$A469))</f>
        <v>2</v>
      </c>
      <c r="AO469" s="4">
        <f>IF($A469=AO$424,"",COUNTIF($E$4:$E$420,$A469&amp;" ضد "&amp;AO$424)+COUNTIF($E$4:$E$420,AO$424&amp;" ضد "&amp;$A469))</f>
        <v>2</v>
      </c>
      <c r="AP469" s="4">
        <f>IF($A469=AP$424,"",COUNTIF($E$4:$E$420,$A469&amp;" ضد "&amp;AP$424)+COUNTIF($E$4:$E$420,AP$424&amp;" ضد "&amp;$A469))</f>
        <v>2</v>
      </c>
      <c r="AQ469" s="4">
        <f>IF($A469=AQ$424,"",COUNTIF($E$4:$E$420,$A469&amp;" ضد "&amp;AQ$424)+COUNTIF($E$4:$E$420,AQ$424&amp;" ضد "&amp;$A469))</f>
        <v>2</v>
      </c>
      <c r="AR469" s="4">
        <f>IF($A469=AR$424,"",COUNTIF($E$4:$E$420,$A469&amp;" ضد "&amp;AR$424)+COUNTIF($E$4:$E$420,AR$424&amp;" ضد "&amp;$A469))</f>
        <v>2</v>
      </c>
      <c r="AS469" s="4">
        <f>IF($A469=AS$424,"",COUNTIF($E$4:$E$420,$A469&amp;" ضد "&amp;AS$424)+COUNTIF($E$4:$E$420,AS$424&amp;" ضد "&amp;$A469))</f>
        <v>2</v>
      </c>
      <c r="AT469" s="4" t="str">
        <f>IF($A469=AT$424,"",COUNTIF($E$4:$E$420,$A469&amp;" ضد "&amp;AT$424)+COUNTIF($E$4:$E$420,AT$424&amp;" ضد "&amp;$A469))</f>
        <v/>
      </c>
      <c r="AU469" s="4">
        <f>IF($A469=AU$424,"",COUNTIF($E$4:$E$420,$A469&amp;" ضد "&amp;AU$424)+COUNTIF($E$4:$E$420,AU$424&amp;" ضد "&amp;$A469))</f>
        <v>2</v>
      </c>
    </row>
    <row r="470" spans="1:47" ht="14.5">
      <c r="A470" s="14">
        <v>46</v>
      </c>
      <c r="B470" s="4">
        <f>IF($A470=B$424,"",COUNTIF($E$4:$E$420,$A470&amp;" ضد "&amp;B$424)+COUNTIF($E$4:$E$420,B$424&amp;" ضد "&amp;$A470))</f>
        <v>0</v>
      </c>
      <c r="C470" s="4">
        <f>IF($A470=C$424,"",COUNTIF($E$4:$E$420,$A470&amp;" ضد "&amp;C$424)+COUNTIF($E$4:$E$420,C$424&amp;" ضد "&amp;$A470))</f>
        <v>0</v>
      </c>
      <c r="D470" s="4">
        <f>IF($A470=D$424,"",COUNTIF($E$4:$E$420,$A470&amp;" ضد "&amp;D$424)+COUNTIF($E$4:$E$420,D$424&amp;" ضد "&amp;$A470))</f>
        <v>0</v>
      </c>
      <c r="E470" s="4">
        <f>IF($A470=E$424,"",COUNTIF($E$4:$E$420,$A470&amp;" ضد "&amp;E$424)+COUNTIF($E$4:$E$420,E$424&amp;" ضد "&amp;$A470))</f>
        <v>0</v>
      </c>
      <c r="F470" s="4">
        <f>IF($A470=F$424,"",COUNTIF($E$4:$E$420,$A470&amp;" ضد "&amp;F$424)+COUNTIF($E$4:$E$420,F$424&amp;" ضد "&amp;$A470))</f>
        <v>0</v>
      </c>
      <c r="G470" s="4">
        <f>IF($A470=G$424,"",COUNTIF($E$4:$E$420,$A470&amp;" ضد "&amp;G$424)+COUNTIF($E$4:$E$420,G$424&amp;" ضد "&amp;$A470))</f>
        <v>0</v>
      </c>
      <c r="H470" s="4">
        <f>IF($A470=H$424,"",COUNTIF($E$4:$E$420,$A470&amp;" ضد "&amp;H$424)+COUNTIF($E$4:$E$420,H$424&amp;" ضد "&amp;$A470))</f>
        <v>0</v>
      </c>
      <c r="I470" s="4">
        <f>IF($A470=I$424,"",COUNTIF($E$4:$E$420,$A470&amp;" ضد "&amp;I$424)+COUNTIF($E$4:$E$420,I$424&amp;" ضد "&amp;$A470))</f>
        <v>0</v>
      </c>
      <c r="J470" s="4">
        <f>IF($A470=J$424,"",COUNTIF($E$4:$E$420,$A470&amp;" ضد "&amp;J$424)+COUNTIF($E$4:$E$420,J$424&amp;" ضد "&amp;$A470))</f>
        <v>0</v>
      </c>
      <c r="K470" s="4">
        <f>IF($A470=K$424,"",COUNTIF($E$4:$E$420,$A470&amp;" ضد "&amp;K$424)+COUNTIF($E$4:$E$420,K$424&amp;" ضد "&amp;$A470))</f>
        <v>0</v>
      </c>
      <c r="L470" s="4">
        <f>IF($A470=L$424,"",COUNTIF($E$4:$E$420,$A470&amp;" ضد "&amp;L$424)+COUNTIF($E$4:$E$420,L$424&amp;" ضد "&amp;$A470))</f>
        <v>0</v>
      </c>
      <c r="M470" s="4">
        <f>IF($A470=M$424,"",COUNTIF($E$4:$E$420,$A470&amp;" ضد "&amp;M$424)+COUNTIF($E$4:$E$420,M$424&amp;" ضد "&amp;$A470))</f>
        <v>0</v>
      </c>
      <c r="N470" s="4">
        <f>IF($A470=N$424,"",COUNTIF($E$4:$E$420,$A470&amp;" ضد "&amp;N$424)+COUNTIF($E$4:$E$420,N$424&amp;" ضد "&amp;$A470))</f>
        <v>0</v>
      </c>
      <c r="O470" s="4">
        <f>IF($A470=O$424,"",COUNTIF($E$4:$E$420,$A470&amp;" ضد "&amp;O$424)+COUNTIF($E$4:$E$420,O$424&amp;" ضد "&amp;$A470))</f>
        <v>0</v>
      </c>
      <c r="P470" s="4">
        <f>IF($A470=P$424,"",COUNTIF($E$4:$E$420,$A470&amp;" ضد "&amp;P$424)+COUNTIF($E$4:$E$420,P$424&amp;" ضد "&amp;$A470))</f>
        <v>0</v>
      </c>
      <c r="Q470" s="4">
        <f>IF($A470=Q$424,"",COUNTIF($E$4:$E$420,$A470&amp;" ضد "&amp;Q$424)+COUNTIF($E$4:$E$420,Q$424&amp;" ضد "&amp;$A470))</f>
        <v>0</v>
      </c>
      <c r="R470" s="4">
        <f>IF($A470=R$424,"",COUNTIF($E$4:$E$420,$A470&amp;" ضد "&amp;R$424)+COUNTIF($E$4:$E$420,R$424&amp;" ضد "&amp;$A470))</f>
        <v>0</v>
      </c>
      <c r="S470" s="4">
        <f>IF($A470=S$424,"",COUNTIF($E$4:$E$420,$A470&amp;" ضد "&amp;S$424)+COUNTIF($E$4:$E$420,S$424&amp;" ضد "&amp;$A470))</f>
        <v>0</v>
      </c>
      <c r="T470" s="4">
        <f>IF($A470=T$424,"",COUNTIF($E$4:$E$420,$A470&amp;" ضد "&amp;T$424)+COUNTIF($E$4:$E$420,T$424&amp;" ضد "&amp;$A470))</f>
        <v>0</v>
      </c>
      <c r="U470" s="4">
        <f>IF($A470=U$424,"",COUNTIF($E$4:$E$420,$A470&amp;" ضد "&amp;U$424)+COUNTIF($E$4:$E$420,U$424&amp;" ضد "&amp;$A470))</f>
        <v>0</v>
      </c>
      <c r="V470" s="4">
        <f>IF($A470=V$424,"",COUNTIF($E$4:$E$420,$A470&amp;" ضد "&amp;V$424)+COUNTIF($E$4:$E$420,V$424&amp;" ضد "&amp;$A470))</f>
        <v>0</v>
      </c>
      <c r="W470" s="4">
        <f>IF($A470=W$424,"",COUNTIF($E$4:$E$420,$A470&amp;" ضد "&amp;W$424)+COUNTIF($E$4:$E$420,W$424&amp;" ضد "&amp;$A470))</f>
        <v>0</v>
      </c>
      <c r="X470" s="4">
        <f>IF($A470=X$424,"",COUNTIF($E$4:$E$420,$A470&amp;" ضد "&amp;X$424)+COUNTIF($E$4:$E$420,X$424&amp;" ضد "&amp;$A470))</f>
        <v>0</v>
      </c>
      <c r="Y470" s="4">
        <f>IF($A470=Y$424,"",COUNTIF($E$4:$E$420,$A470&amp;" ضد "&amp;Y$424)+COUNTIF($E$4:$E$420,Y$424&amp;" ضد "&amp;$A470))</f>
        <v>0</v>
      </c>
      <c r="Z470" s="4">
        <f>IF($A470=Z$424,"",COUNTIF($E$4:$E$420,$A470&amp;" ضد "&amp;Z$424)+COUNTIF($E$4:$E$420,Z$424&amp;" ضد "&amp;$A470))</f>
        <v>0</v>
      </c>
      <c r="AA470" s="4">
        <f>IF($A470=AA$424,"",COUNTIF($E$4:$E$420,$A470&amp;" ضد "&amp;AA$424)+COUNTIF($E$4:$E$420,AA$424&amp;" ضد "&amp;$A470))</f>
        <v>0</v>
      </c>
      <c r="AB470" s="4">
        <f>IF($A470=AB$424,"",COUNTIF($E$4:$E$420,$A470&amp;" ضد "&amp;AB$424)+COUNTIF($E$4:$E$420,AB$424&amp;" ضد "&amp;$A470))</f>
        <v>0</v>
      </c>
      <c r="AC470" s="4">
        <f>IF($A470=AC$424,"",COUNTIF($E$4:$E$420,$A470&amp;" ضد "&amp;AC$424)+COUNTIF($E$4:$E$420,AC$424&amp;" ضد "&amp;$A470))</f>
        <v>0</v>
      </c>
      <c r="AD470" s="4">
        <f>IF($A470=AD$424,"",COUNTIF($E$4:$E$420,$A470&amp;" ضد "&amp;AD$424)+COUNTIF($E$4:$E$420,AD$424&amp;" ضد "&amp;$A470))</f>
        <v>0</v>
      </c>
      <c r="AE470" s="4">
        <f>IF($A470=AE$424,"",COUNTIF($E$4:$E$420,$A470&amp;" ضد "&amp;AE$424)+COUNTIF($E$4:$E$420,AE$424&amp;" ضد "&amp;$A470))</f>
        <v>0</v>
      </c>
      <c r="AF470" s="4">
        <f>IF($A470=AF$424,"",COUNTIF($E$4:$E$420,$A470&amp;" ضد "&amp;AF$424)+COUNTIF($E$4:$E$420,AF$424&amp;" ضد "&amp;$A470))</f>
        <v>0</v>
      </c>
      <c r="AG470" s="4">
        <f>IF($A470=AG$424,"",COUNTIF($E$4:$E$420,$A470&amp;" ضد "&amp;AG$424)+COUNTIF($E$4:$E$420,AG$424&amp;" ضد "&amp;$A470))</f>
        <v>0</v>
      </c>
      <c r="AH470" s="4">
        <f>IF($A470=AH$424,"",COUNTIF($E$4:$E$420,$A470&amp;" ضد "&amp;AH$424)+COUNTIF($E$4:$E$420,AH$424&amp;" ضد "&amp;$A470))</f>
        <v>0</v>
      </c>
      <c r="AI470" s="4">
        <f>IF($A470=AI$424,"",COUNTIF($E$4:$E$420,$A470&amp;" ضد "&amp;AI$424)+COUNTIF($E$4:$E$420,AI$424&amp;" ضد "&amp;$A470))</f>
        <v>0</v>
      </c>
      <c r="AJ470" s="4">
        <f>IF($A470=AJ$424,"",COUNTIF($E$4:$E$420,$A470&amp;" ضد "&amp;AJ$424)+COUNTIF($E$4:$E$420,AJ$424&amp;" ضد "&amp;$A470))</f>
        <v>0</v>
      </c>
      <c r="AK470" s="4">
        <f>IF($A470=AK$424,"",COUNTIF($E$4:$E$420,$A470&amp;" ضد "&amp;AK$424)+COUNTIF($E$4:$E$420,AK$424&amp;" ضد "&amp;$A470))</f>
        <v>0</v>
      </c>
      <c r="AL470" s="4">
        <f>IF($A470=AL$424,"",COUNTIF($E$4:$E$420,$A470&amp;" ضد "&amp;AL$424)+COUNTIF($E$4:$E$420,AL$424&amp;" ضد "&amp;$A470))</f>
        <v>2</v>
      </c>
      <c r="AM470" s="4">
        <f>IF($A470=AM$424,"",COUNTIF($E$4:$E$420,$A470&amp;" ضد "&amp;AM$424)+COUNTIF($E$4:$E$420,AM$424&amp;" ضد "&amp;$A470))</f>
        <v>2</v>
      </c>
      <c r="AN470" s="4">
        <f>IF($A470=AN$424,"",COUNTIF($E$4:$E$420,$A470&amp;" ضد "&amp;AN$424)+COUNTIF($E$4:$E$420,AN$424&amp;" ضد "&amp;$A470))</f>
        <v>2</v>
      </c>
      <c r="AO470" s="4">
        <f>IF($A470=AO$424,"",COUNTIF($E$4:$E$420,$A470&amp;" ضد "&amp;AO$424)+COUNTIF($E$4:$E$420,AO$424&amp;" ضد "&amp;$A470))</f>
        <v>2</v>
      </c>
      <c r="AP470" s="4">
        <f>IF($A470=AP$424,"",COUNTIF($E$4:$E$420,$A470&amp;" ضد "&amp;AP$424)+COUNTIF($E$4:$E$420,AP$424&amp;" ضد "&amp;$A470))</f>
        <v>2</v>
      </c>
      <c r="AQ470" s="4">
        <f>IF($A470=AQ$424,"",COUNTIF($E$4:$E$420,$A470&amp;" ضد "&amp;AQ$424)+COUNTIF($E$4:$E$420,AQ$424&amp;" ضد "&amp;$A470))</f>
        <v>2</v>
      </c>
      <c r="AR470" s="4">
        <f>IF($A470=AR$424,"",COUNTIF($E$4:$E$420,$A470&amp;" ضد "&amp;AR$424)+COUNTIF($E$4:$E$420,AR$424&amp;" ضد "&amp;$A470))</f>
        <v>2</v>
      </c>
      <c r="AS470" s="4">
        <f>IF($A470=AS$424,"",COUNTIF($E$4:$E$420,$A470&amp;" ضد "&amp;AS$424)+COUNTIF($E$4:$E$420,AS$424&amp;" ضد "&amp;$A470))</f>
        <v>2</v>
      </c>
      <c r="AT470" s="4">
        <f>IF($A470=AT$424,"",COUNTIF($E$4:$E$420,$A470&amp;" ضد "&amp;AT$424)+COUNTIF($E$4:$E$420,AT$424&amp;" ضد "&amp;$A470))</f>
        <v>2</v>
      </c>
      <c r="AU470" s="4" t="str">
        <f>IF($A470=AU$424,"",COUNTIF($E$4:$E$420,$A470&amp;" ضد "&amp;AU$424)+COUNTIF($E$4:$E$420,AU$424&amp;" ضد "&amp;$A470))</f>
        <v/>
      </c>
    </row>
    <row r="471" spans="1:47" ht="14.5">
      <c r="A471" s="14" t="s">
        <v>1033</v>
      </c>
      <c r="B471" s="4" cm="1">
        <f t="array" ref="B471">MIN(IF(B425:AU470&gt;0,B425:AU470))</f>
        <v>1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spans="1:47" ht="14.5">
      <c r="A472" s="14" t="s">
        <v>830</v>
      </c>
      <c r="B472" s="4">
        <f>MAX(B425:AU470)</f>
        <v>2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</sheetData>
  <mergeCells count="2">
    <mergeCell ref="A1:E1"/>
    <mergeCell ref="A423:AU42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5455-14A0-4049-8D27-C18FE5EE85D7}">
  <dimension ref="A1:BC55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1002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30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110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47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58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111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37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65</v>
      </c>
      <c r="F10" s="2"/>
    </row>
    <row r="11" spans="1:6" ht="14" customHeight="1">
      <c r="A11" s="8">
        <v>1</v>
      </c>
      <c r="B11" s="7" t="str">
        <f>المدخلات!$F$4</f>
        <v>4:00–5:10 م</v>
      </c>
      <c r="C11" s="7">
        <v>4</v>
      </c>
      <c r="D11" s="7" t="s">
        <v>594</v>
      </c>
      <c r="E11" s="7" t="s">
        <v>223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5</v>
      </c>
      <c r="D12" s="7" t="s">
        <v>594</v>
      </c>
      <c r="E12" s="7" t="s">
        <v>873</v>
      </c>
      <c r="F12" s="2"/>
    </row>
    <row r="13" spans="1:6" ht="14" customHeight="1">
      <c r="A13" s="8">
        <v>1</v>
      </c>
      <c r="B13" s="7" t="str">
        <f>المدخلات!$F$4</f>
        <v>4:00–5:10 م</v>
      </c>
      <c r="C13" s="7">
        <v>6</v>
      </c>
      <c r="D13" s="7" t="s">
        <v>594</v>
      </c>
      <c r="E13" s="7" t="s">
        <v>231</v>
      </c>
      <c r="F13" s="2"/>
    </row>
    <row r="14" spans="1:6" ht="14" customHeight="1">
      <c r="A14" s="8">
        <v>1</v>
      </c>
      <c r="B14" s="7" t="str">
        <f>المدخلات!$F$5</f>
        <v>5:20–6:30 م</v>
      </c>
      <c r="C14" s="7">
        <v>4</v>
      </c>
      <c r="D14" s="7" t="s">
        <v>594</v>
      </c>
      <c r="E14" s="7" t="s">
        <v>322</v>
      </c>
      <c r="F14" s="2"/>
    </row>
    <row r="15" spans="1:6" ht="14" customHeight="1">
      <c r="A15" s="8">
        <v>1</v>
      </c>
      <c r="B15" s="7" t="str">
        <f>المدخلات!$F$5</f>
        <v>5:20–6:30 م</v>
      </c>
      <c r="C15" s="7">
        <v>5</v>
      </c>
      <c r="D15" s="7" t="s">
        <v>594</v>
      </c>
      <c r="E15" s="7" t="s">
        <v>920</v>
      </c>
      <c r="F15" s="2"/>
    </row>
    <row r="16" spans="1:6" ht="14" customHeight="1">
      <c r="A16" s="8">
        <v>1</v>
      </c>
      <c r="B16" s="7" t="str">
        <f>المدخلات!$F$5</f>
        <v>5:20–6:30 م</v>
      </c>
      <c r="C16" s="7">
        <v>6</v>
      </c>
      <c r="D16" s="7" t="s">
        <v>594</v>
      </c>
      <c r="E16" s="7" t="s">
        <v>227</v>
      </c>
      <c r="F16" s="2"/>
    </row>
    <row r="17" spans="1:6" ht="14" customHeight="1">
      <c r="A17" s="8">
        <v>1</v>
      </c>
      <c r="B17" s="7" t="str">
        <f>المدخلات!$F$6</f>
        <v>6:40–7:50 م</v>
      </c>
      <c r="C17" s="7">
        <v>4</v>
      </c>
      <c r="D17" s="7" t="s">
        <v>594</v>
      </c>
      <c r="E17" s="7" t="s">
        <v>872</v>
      </c>
      <c r="F17" s="2"/>
    </row>
    <row r="18" spans="1:6" ht="14" customHeight="1">
      <c r="A18" s="8">
        <v>1</v>
      </c>
      <c r="B18" s="7" t="str">
        <f>المدخلات!$F$4</f>
        <v>4:00–5:10 م</v>
      </c>
      <c r="C18" s="7">
        <v>7</v>
      </c>
      <c r="D18" s="7" t="s">
        <v>595</v>
      </c>
      <c r="E18" s="7" t="s">
        <v>344</v>
      </c>
      <c r="F18" s="2"/>
    </row>
    <row r="19" spans="1:6" ht="14" customHeight="1">
      <c r="A19" s="8">
        <v>1</v>
      </c>
      <c r="B19" s="7" t="str">
        <f>المدخلات!$F$4</f>
        <v>4:00–5:10 م</v>
      </c>
      <c r="C19" s="7">
        <v>8</v>
      </c>
      <c r="D19" s="7" t="s">
        <v>595</v>
      </c>
      <c r="E19" s="7" t="s">
        <v>408</v>
      </c>
      <c r="F19" s="2"/>
    </row>
    <row r="20" spans="1:6" ht="14" customHeight="1">
      <c r="A20" s="8">
        <v>1</v>
      </c>
      <c r="B20" s="7" t="str">
        <f>المدخلات!$F$4</f>
        <v>4:00–5:10 م</v>
      </c>
      <c r="C20" s="7">
        <v>9</v>
      </c>
      <c r="D20" s="7" t="s">
        <v>595</v>
      </c>
      <c r="E20" s="7" t="s">
        <v>379</v>
      </c>
      <c r="F20" s="2"/>
    </row>
    <row r="21" spans="1:6" ht="14" customHeight="1">
      <c r="A21" s="8">
        <v>1</v>
      </c>
      <c r="B21" s="7" t="str">
        <f>المدخلات!$F$5</f>
        <v>5:20–6:30 م</v>
      </c>
      <c r="C21" s="7">
        <v>7</v>
      </c>
      <c r="D21" s="7" t="s">
        <v>595</v>
      </c>
      <c r="E21" s="7" t="s">
        <v>394</v>
      </c>
      <c r="F21" s="2"/>
    </row>
    <row r="22" spans="1:6" ht="14" customHeight="1">
      <c r="A22" s="8">
        <v>1</v>
      </c>
      <c r="B22" s="7" t="str">
        <f>المدخلات!$F$5</f>
        <v>5:20–6:30 م</v>
      </c>
      <c r="C22" s="7">
        <v>8</v>
      </c>
      <c r="D22" s="7" t="s">
        <v>595</v>
      </c>
      <c r="E22" s="7" t="s">
        <v>414</v>
      </c>
      <c r="F22" s="2"/>
    </row>
    <row r="23" spans="1:6" ht="14" customHeight="1">
      <c r="A23" s="8">
        <v>1</v>
      </c>
      <c r="B23" s="7" t="str">
        <f>المدخلات!$F$5</f>
        <v>5:20–6:30 م</v>
      </c>
      <c r="C23" s="7">
        <v>9</v>
      </c>
      <c r="D23" s="7" t="s">
        <v>595</v>
      </c>
      <c r="E23" s="7" t="s">
        <v>363</v>
      </c>
      <c r="F23" s="2"/>
    </row>
    <row r="24" spans="1:6" ht="14" customHeight="1">
      <c r="A24" s="8">
        <v>1</v>
      </c>
      <c r="B24" s="7" t="str">
        <f>المدخلات!$F$6</f>
        <v>6:40–7:50 م</v>
      </c>
      <c r="C24" s="7">
        <v>7</v>
      </c>
      <c r="D24" s="7" t="s">
        <v>595</v>
      </c>
      <c r="E24" s="7" t="s">
        <v>400</v>
      </c>
      <c r="F24" s="2"/>
    </row>
    <row r="25" spans="1:6" ht="14" customHeight="1">
      <c r="A25" s="8">
        <v>1</v>
      </c>
      <c r="B25" s="7" t="str">
        <f>المدخلات!$F$4</f>
        <v>4:00–5:10 م</v>
      </c>
      <c r="C25" s="7">
        <v>10</v>
      </c>
      <c r="D25" s="7" t="s">
        <v>596</v>
      </c>
      <c r="E25" s="7" t="s">
        <v>468</v>
      </c>
      <c r="F25" s="2"/>
    </row>
    <row r="26" spans="1:6" ht="14" customHeight="1">
      <c r="A26" s="8">
        <v>1</v>
      </c>
      <c r="B26" s="7" t="str">
        <f>المدخلات!$F$4</f>
        <v>4:00–5:10 م</v>
      </c>
      <c r="C26" s="7">
        <v>11</v>
      </c>
      <c r="D26" s="7" t="s">
        <v>596</v>
      </c>
      <c r="E26" s="7" t="s">
        <v>456</v>
      </c>
      <c r="F26" s="2"/>
    </row>
    <row r="27" spans="1:6" ht="14" customHeight="1">
      <c r="A27" s="8">
        <v>1</v>
      </c>
      <c r="B27" s="7" t="str">
        <f>المدخلات!$F$5</f>
        <v>5:20–6:30 م</v>
      </c>
      <c r="C27" s="7">
        <v>10</v>
      </c>
      <c r="D27" s="7" t="s">
        <v>596</v>
      </c>
      <c r="E27" s="7" t="s">
        <v>502</v>
      </c>
      <c r="F27" s="2"/>
    </row>
    <row r="28" spans="1:6" ht="14" customHeight="1">
      <c r="A28" s="8">
        <v>1</v>
      </c>
      <c r="B28" s="7" t="str">
        <f>المدخلات!$F$5</f>
        <v>5:20–6:30 م</v>
      </c>
      <c r="C28" s="7">
        <v>11</v>
      </c>
      <c r="D28" s="7" t="s">
        <v>596</v>
      </c>
      <c r="E28" s="7" t="s">
        <v>489</v>
      </c>
      <c r="F28" s="2"/>
    </row>
    <row r="29" spans="1:6" ht="14" customHeight="1">
      <c r="A29" s="8">
        <v>1</v>
      </c>
      <c r="B29" s="7" t="str">
        <f>المدخلات!$F$6</f>
        <v>6:40–7:50 م</v>
      </c>
      <c r="C29" s="7">
        <v>10</v>
      </c>
      <c r="D29" s="7" t="s">
        <v>596</v>
      </c>
      <c r="E29" s="7" t="s">
        <v>537</v>
      </c>
      <c r="F29" s="2"/>
    </row>
    <row r="30" spans="1:6" ht="14" customHeight="1">
      <c r="A30" s="8">
        <v>1</v>
      </c>
      <c r="B30" s="7" t="str">
        <f>المدخلات!$F$6</f>
        <v>6:40–7:50 م</v>
      </c>
      <c r="C30" s="7">
        <v>11</v>
      </c>
      <c r="D30" s="7" t="s">
        <v>596</v>
      </c>
      <c r="E30" s="7" t="s">
        <v>512</v>
      </c>
      <c r="F30" s="2"/>
    </row>
    <row r="31" spans="1:6" ht="14" customHeight="1">
      <c r="A31" s="8">
        <v>2</v>
      </c>
      <c r="B31" s="7" t="str">
        <f>المدخلات!$F$4</f>
        <v>4:00–5:10 م</v>
      </c>
      <c r="C31" s="7">
        <v>1</v>
      </c>
      <c r="D31" s="7" t="s">
        <v>593</v>
      </c>
      <c r="E31" s="7" t="s">
        <v>1059</v>
      </c>
      <c r="F31" s="2"/>
    </row>
    <row r="32" spans="1:6" ht="14" customHeight="1">
      <c r="A32" s="8">
        <v>2</v>
      </c>
      <c r="B32" s="7" t="str">
        <f>المدخلات!$F$4</f>
        <v>4:00–5:10 م</v>
      </c>
      <c r="C32" s="7">
        <v>2</v>
      </c>
      <c r="D32" s="7" t="s">
        <v>593</v>
      </c>
      <c r="E32" s="7" t="s">
        <v>96</v>
      </c>
      <c r="F32" s="2"/>
    </row>
    <row r="33" spans="1:6" ht="14" customHeight="1">
      <c r="A33" s="8">
        <v>2</v>
      </c>
      <c r="B33" s="7" t="str">
        <f>المدخلات!$F$4</f>
        <v>4:00–5:10 م</v>
      </c>
      <c r="C33" s="7">
        <v>3</v>
      </c>
      <c r="D33" s="7" t="s">
        <v>593</v>
      </c>
      <c r="E33" s="7" t="s">
        <v>1060</v>
      </c>
      <c r="F33" s="2"/>
    </row>
    <row r="34" spans="1:6" ht="14" customHeight="1">
      <c r="A34" s="8">
        <v>2</v>
      </c>
      <c r="B34" s="7" t="str">
        <f>المدخلات!$F$5</f>
        <v>5:20–6:30 م</v>
      </c>
      <c r="C34" s="7">
        <v>1</v>
      </c>
      <c r="D34" s="7" t="s">
        <v>593</v>
      </c>
      <c r="E34" s="7" t="s">
        <v>1064</v>
      </c>
      <c r="F34" s="2"/>
    </row>
    <row r="35" spans="1:6" ht="14" customHeight="1">
      <c r="A35" s="8">
        <v>2</v>
      </c>
      <c r="B35" s="7" t="str">
        <f>المدخلات!$F$5</f>
        <v>5:20–6:30 م</v>
      </c>
      <c r="C35" s="7">
        <v>2</v>
      </c>
      <c r="D35" s="7" t="s">
        <v>593</v>
      </c>
      <c r="E35" s="7" t="s">
        <v>1050</v>
      </c>
      <c r="F35" s="2"/>
    </row>
    <row r="36" spans="1:6" ht="14" customHeight="1">
      <c r="A36" s="8">
        <v>2</v>
      </c>
      <c r="B36" s="7" t="str">
        <f>المدخلات!$F$5</f>
        <v>5:20–6:30 م</v>
      </c>
      <c r="C36" s="7">
        <v>3</v>
      </c>
      <c r="D36" s="7" t="s">
        <v>593</v>
      </c>
      <c r="E36" s="7" t="s">
        <v>863</v>
      </c>
      <c r="F36" s="2"/>
    </row>
    <row r="37" spans="1:6" ht="14" customHeight="1">
      <c r="A37" s="8">
        <v>2</v>
      </c>
      <c r="B37" s="7" t="str">
        <f>المدخلات!$F$6</f>
        <v>6:40–7:50 م</v>
      </c>
      <c r="C37" s="7">
        <v>1</v>
      </c>
      <c r="D37" s="7" t="s">
        <v>593</v>
      </c>
      <c r="E37" s="7" t="s">
        <v>23</v>
      </c>
      <c r="F37" s="2"/>
    </row>
    <row r="38" spans="1:6" ht="14" customHeight="1">
      <c r="A38" s="8">
        <v>2</v>
      </c>
      <c r="B38" s="7" t="str">
        <f>المدخلات!$F$4</f>
        <v>4:00–5:10 م</v>
      </c>
      <c r="C38" s="7">
        <v>4</v>
      </c>
      <c r="D38" s="7" t="s">
        <v>594</v>
      </c>
      <c r="E38" s="7" t="s">
        <v>1147</v>
      </c>
      <c r="F38" s="2"/>
    </row>
    <row r="39" spans="1:6" ht="14" customHeight="1">
      <c r="A39" s="8">
        <v>2</v>
      </c>
      <c r="B39" s="7" t="str">
        <f>المدخلات!$F$4</f>
        <v>4:00–5:10 م</v>
      </c>
      <c r="C39" s="7">
        <v>5</v>
      </c>
      <c r="D39" s="7" t="s">
        <v>594</v>
      </c>
      <c r="E39" s="7" t="s">
        <v>257</v>
      </c>
      <c r="F39" s="2"/>
    </row>
    <row r="40" spans="1:6" ht="14" customHeight="1">
      <c r="A40" s="8">
        <v>2</v>
      </c>
      <c r="B40" s="7" t="str">
        <f>المدخلات!$F$4</f>
        <v>4:00–5:10 م</v>
      </c>
      <c r="C40" s="7">
        <v>6</v>
      </c>
      <c r="D40" s="7" t="s">
        <v>594</v>
      </c>
      <c r="E40" s="7" t="s">
        <v>1154</v>
      </c>
      <c r="F40" s="2"/>
    </row>
    <row r="41" spans="1:6" ht="14" customHeight="1">
      <c r="A41" s="8">
        <v>2</v>
      </c>
      <c r="B41" s="7" t="str">
        <f>المدخلات!$F$5</f>
        <v>5:20–6:30 م</v>
      </c>
      <c r="C41" s="7">
        <v>4</v>
      </c>
      <c r="D41" s="7" t="s">
        <v>594</v>
      </c>
      <c r="E41" s="7" t="s">
        <v>1153</v>
      </c>
      <c r="F41" s="2"/>
    </row>
    <row r="42" spans="1:6" ht="14" customHeight="1">
      <c r="A42" s="8">
        <v>2</v>
      </c>
      <c r="B42" s="7" t="str">
        <f>المدخلات!$F$5</f>
        <v>5:20–6:30 م</v>
      </c>
      <c r="C42" s="7">
        <v>5</v>
      </c>
      <c r="D42" s="7" t="s">
        <v>594</v>
      </c>
      <c r="E42" s="7" t="s">
        <v>1161</v>
      </c>
      <c r="F42" s="2"/>
    </row>
    <row r="43" spans="1:6" ht="14" customHeight="1">
      <c r="A43" s="8">
        <v>2</v>
      </c>
      <c r="B43" s="7" t="str">
        <f>المدخلات!$F$5</f>
        <v>5:20–6:30 م</v>
      </c>
      <c r="C43" s="7">
        <v>6</v>
      </c>
      <c r="D43" s="7" t="s">
        <v>594</v>
      </c>
      <c r="E43" s="7" t="s">
        <v>876</v>
      </c>
      <c r="F43" s="2"/>
    </row>
    <row r="44" spans="1:6" ht="14" customHeight="1">
      <c r="A44" s="8">
        <v>2</v>
      </c>
      <c r="B44" s="7" t="str">
        <f>المدخلات!$F$6</f>
        <v>6:40–7:50 م</v>
      </c>
      <c r="C44" s="7">
        <v>4</v>
      </c>
      <c r="D44" s="7" t="s">
        <v>594</v>
      </c>
      <c r="E44" s="7" t="s">
        <v>210</v>
      </c>
      <c r="F44" s="2"/>
    </row>
    <row r="45" spans="1:6" ht="14" customHeight="1">
      <c r="A45" s="8">
        <v>2</v>
      </c>
      <c r="B45" s="7" t="str">
        <f>المدخلات!$F$4</f>
        <v>4:00–5:10 م</v>
      </c>
      <c r="C45" s="7">
        <v>7</v>
      </c>
      <c r="D45" s="7" t="s">
        <v>595</v>
      </c>
      <c r="E45" s="7" t="s">
        <v>1229</v>
      </c>
      <c r="F45" s="2"/>
    </row>
    <row r="46" spans="1:6" ht="14" customHeight="1">
      <c r="A46" s="8">
        <v>2</v>
      </c>
      <c r="B46" s="7" t="str">
        <f>المدخلات!$F$4</f>
        <v>4:00–5:10 م</v>
      </c>
      <c r="C46" s="7">
        <v>8</v>
      </c>
      <c r="D46" s="7" t="s">
        <v>595</v>
      </c>
      <c r="E46" s="7" t="s">
        <v>409</v>
      </c>
      <c r="F46" s="2"/>
    </row>
    <row r="47" spans="1:6" ht="14" customHeight="1">
      <c r="A47" s="8">
        <v>2</v>
      </c>
      <c r="B47" s="7" t="str">
        <f>المدخلات!$F$4</f>
        <v>4:00–5:10 م</v>
      </c>
      <c r="C47" s="7">
        <v>9</v>
      </c>
      <c r="D47" s="7" t="s">
        <v>595</v>
      </c>
      <c r="E47" s="7" t="s">
        <v>1232</v>
      </c>
      <c r="F47" s="2"/>
    </row>
    <row r="48" spans="1:6" ht="14" customHeight="1">
      <c r="A48" s="8">
        <v>2</v>
      </c>
      <c r="B48" s="7" t="str">
        <f>المدخلات!$F$5</f>
        <v>5:20–6:30 م</v>
      </c>
      <c r="C48" s="7">
        <v>7</v>
      </c>
      <c r="D48" s="7" t="s">
        <v>595</v>
      </c>
      <c r="E48" s="7" t="s">
        <v>1228</v>
      </c>
      <c r="F48" s="2"/>
    </row>
    <row r="49" spans="1:6" ht="14" customHeight="1">
      <c r="A49" s="8">
        <v>2</v>
      </c>
      <c r="B49" s="7" t="str">
        <f>المدخلات!$F$5</f>
        <v>5:20–6:30 م</v>
      </c>
      <c r="C49" s="7">
        <v>8</v>
      </c>
      <c r="D49" s="7" t="s">
        <v>595</v>
      </c>
      <c r="E49" s="7" t="s">
        <v>1230</v>
      </c>
      <c r="F49" s="2"/>
    </row>
    <row r="50" spans="1:6" ht="14" customHeight="1">
      <c r="A50" s="8">
        <v>2</v>
      </c>
      <c r="B50" s="7" t="str">
        <f>المدخلات!$F$5</f>
        <v>5:20–6:30 م</v>
      </c>
      <c r="C50" s="7">
        <v>9</v>
      </c>
      <c r="D50" s="7" t="s">
        <v>595</v>
      </c>
      <c r="E50" s="7" t="s">
        <v>1231</v>
      </c>
      <c r="F50" s="2"/>
    </row>
    <row r="51" spans="1:6" ht="14" customHeight="1">
      <c r="A51" s="8">
        <v>2</v>
      </c>
      <c r="B51" s="7" t="str">
        <f>المدخلات!$F$6</f>
        <v>6:40–7:50 م</v>
      </c>
      <c r="C51" s="7">
        <v>7</v>
      </c>
      <c r="D51" s="7" t="s">
        <v>595</v>
      </c>
      <c r="E51" s="7" t="s">
        <v>339</v>
      </c>
      <c r="F51" s="2"/>
    </row>
    <row r="52" spans="1:6" ht="14" customHeight="1">
      <c r="A52" s="8">
        <v>2</v>
      </c>
      <c r="B52" s="7" t="str">
        <f>المدخلات!$F$4</f>
        <v>4:00–5:10 م</v>
      </c>
      <c r="C52" s="7">
        <v>10</v>
      </c>
      <c r="D52" s="7" t="s">
        <v>596</v>
      </c>
      <c r="E52" s="7" t="s">
        <v>516</v>
      </c>
      <c r="F52" s="2"/>
    </row>
    <row r="53" spans="1:6" ht="14" customHeight="1">
      <c r="A53" s="8">
        <v>2</v>
      </c>
      <c r="B53" s="7" t="str">
        <f>المدخلات!$F$4</f>
        <v>4:00–5:10 م</v>
      </c>
      <c r="C53" s="7">
        <v>11</v>
      </c>
      <c r="D53" s="7" t="s">
        <v>596</v>
      </c>
      <c r="E53" s="7" t="s">
        <v>1233</v>
      </c>
      <c r="F53" s="2"/>
    </row>
    <row r="54" spans="1:6" ht="14" customHeight="1">
      <c r="A54" s="8">
        <v>2</v>
      </c>
      <c r="B54" s="7" t="str">
        <f>المدخلات!$F$5</f>
        <v>5:20–6:30 م</v>
      </c>
      <c r="C54" s="7">
        <v>10</v>
      </c>
      <c r="D54" s="7" t="s">
        <v>596</v>
      </c>
      <c r="E54" s="7" t="s">
        <v>1234</v>
      </c>
      <c r="F54" s="2"/>
    </row>
    <row r="55" spans="1:6" ht="14" customHeight="1">
      <c r="A55" s="8">
        <v>2</v>
      </c>
      <c r="B55" s="7" t="str">
        <f>المدخلات!$F$5</f>
        <v>5:20–6:30 م</v>
      </c>
      <c r="C55" s="7">
        <v>11</v>
      </c>
      <c r="D55" s="7" t="s">
        <v>596</v>
      </c>
      <c r="E55" s="7" t="s">
        <v>450</v>
      </c>
      <c r="F55" s="2"/>
    </row>
    <row r="56" spans="1:6" ht="14" customHeight="1">
      <c r="A56" s="8">
        <v>2</v>
      </c>
      <c r="B56" s="7" t="str">
        <f>المدخلات!$F$6</f>
        <v>6:40–7:50 م</v>
      </c>
      <c r="C56" s="7">
        <v>10</v>
      </c>
      <c r="D56" s="7" t="s">
        <v>596</v>
      </c>
      <c r="E56" s="7" t="s">
        <v>1235</v>
      </c>
      <c r="F56" s="2"/>
    </row>
    <row r="57" spans="1:6" ht="14" customHeight="1">
      <c r="A57" s="8">
        <v>2</v>
      </c>
      <c r="B57" s="7" t="str">
        <f>المدخلات!$F$6</f>
        <v>6:40–7:50 م</v>
      </c>
      <c r="C57" s="7">
        <v>11</v>
      </c>
      <c r="D57" s="7" t="s">
        <v>596</v>
      </c>
      <c r="E57" s="7" t="s">
        <v>1236</v>
      </c>
      <c r="F57" s="2"/>
    </row>
    <row r="58" spans="1:6" ht="14" customHeight="1">
      <c r="A58" s="8">
        <v>3</v>
      </c>
      <c r="B58" s="7" t="str">
        <f>المدخلات!$F$4</f>
        <v>4:00–5:10 م</v>
      </c>
      <c r="C58" s="7">
        <v>1</v>
      </c>
      <c r="D58" s="7" t="s">
        <v>593</v>
      </c>
      <c r="E58" s="7" t="s">
        <v>62</v>
      </c>
      <c r="F58" s="2"/>
    </row>
    <row r="59" spans="1:6" ht="14" customHeight="1">
      <c r="A59" s="8">
        <v>3</v>
      </c>
      <c r="B59" s="7" t="str">
        <f>المدخلات!$F$4</f>
        <v>4:00–5:10 م</v>
      </c>
      <c r="C59" s="7">
        <v>2</v>
      </c>
      <c r="D59" s="7" t="s">
        <v>593</v>
      </c>
      <c r="E59" s="7" t="s">
        <v>636</v>
      </c>
      <c r="F59" s="2"/>
    </row>
    <row r="60" spans="1:6" ht="14" customHeight="1">
      <c r="A60" s="8">
        <v>3</v>
      </c>
      <c r="B60" s="7" t="str">
        <f>المدخلات!$F$4</f>
        <v>4:00–5:10 م</v>
      </c>
      <c r="C60" s="7">
        <v>3</v>
      </c>
      <c r="D60" s="7" t="s">
        <v>593</v>
      </c>
      <c r="E60" s="7" t="s">
        <v>90</v>
      </c>
      <c r="F60" s="2"/>
    </row>
    <row r="61" spans="1:6" ht="14" customHeight="1">
      <c r="A61" s="8">
        <v>3</v>
      </c>
      <c r="B61" s="7" t="str">
        <f>المدخلات!$F$5</f>
        <v>5:20–6:30 م</v>
      </c>
      <c r="C61" s="7">
        <v>1</v>
      </c>
      <c r="D61" s="7" t="s">
        <v>593</v>
      </c>
      <c r="E61" s="7" t="s">
        <v>26</v>
      </c>
      <c r="F61" s="2"/>
    </row>
    <row r="62" spans="1:6" ht="14" customHeight="1">
      <c r="A62" s="8">
        <v>3</v>
      </c>
      <c r="B62" s="7" t="str">
        <f>المدخلات!$F$5</f>
        <v>5:20–6:30 م</v>
      </c>
      <c r="C62" s="7">
        <v>2</v>
      </c>
      <c r="D62" s="7" t="s">
        <v>593</v>
      </c>
      <c r="E62" s="7" t="s">
        <v>16</v>
      </c>
      <c r="F62" s="2"/>
    </row>
    <row r="63" spans="1:6" ht="14" customHeight="1">
      <c r="A63" s="8">
        <v>3</v>
      </c>
      <c r="B63" s="7" t="str">
        <f>المدخلات!$F$5</f>
        <v>5:20–6:30 م</v>
      </c>
      <c r="C63" s="7">
        <v>3</v>
      </c>
      <c r="D63" s="7" t="s">
        <v>593</v>
      </c>
      <c r="E63" s="7" t="s">
        <v>33</v>
      </c>
      <c r="F63" s="2"/>
    </row>
    <row r="64" spans="1:6" ht="14" customHeight="1">
      <c r="A64" s="8">
        <v>3</v>
      </c>
      <c r="B64" s="7" t="str">
        <f>المدخلات!$F$6</f>
        <v>6:40–7:50 م</v>
      </c>
      <c r="C64" s="7">
        <v>1</v>
      </c>
      <c r="D64" s="7" t="s">
        <v>593</v>
      </c>
      <c r="E64" s="7" t="s">
        <v>40</v>
      </c>
      <c r="F64" s="2"/>
    </row>
    <row r="65" spans="1:6" ht="14" customHeight="1">
      <c r="A65" s="8">
        <v>3</v>
      </c>
      <c r="B65" s="7" t="str">
        <f>المدخلات!$F$4</f>
        <v>4:00–5:10 م</v>
      </c>
      <c r="C65" s="7">
        <v>4</v>
      </c>
      <c r="D65" s="7" t="s">
        <v>594</v>
      </c>
      <c r="E65" s="7" t="s">
        <v>867</v>
      </c>
      <c r="F65" s="2"/>
    </row>
    <row r="66" spans="1:6" ht="14" customHeight="1">
      <c r="A66" s="8">
        <v>3</v>
      </c>
      <c r="B66" s="7" t="str">
        <f>المدخلات!$F$4</f>
        <v>4:00–5:10 م</v>
      </c>
      <c r="C66" s="7">
        <v>5</v>
      </c>
      <c r="D66" s="7" t="s">
        <v>594</v>
      </c>
      <c r="E66" s="7" t="s">
        <v>748</v>
      </c>
      <c r="F66" s="2"/>
    </row>
    <row r="67" spans="1:6" ht="14" customHeight="1">
      <c r="A67" s="8">
        <v>3</v>
      </c>
      <c r="B67" s="7" t="str">
        <f>المدخلات!$F$4</f>
        <v>4:00–5:10 م</v>
      </c>
      <c r="C67" s="7">
        <v>6</v>
      </c>
      <c r="D67" s="7" t="s">
        <v>594</v>
      </c>
      <c r="E67" s="7" t="s">
        <v>248</v>
      </c>
      <c r="F67" s="2"/>
    </row>
    <row r="68" spans="1:6" ht="14" customHeight="1">
      <c r="A68" s="8">
        <v>3</v>
      </c>
      <c r="B68" s="7" t="str">
        <f>المدخلات!$F$5</f>
        <v>5:20–6:30 م</v>
      </c>
      <c r="C68" s="7">
        <v>4</v>
      </c>
      <c r="D68" s="7" t="s">
        <v>594</v>
      </c>
      <c r="E68" s="7" t="s">
        <v>211</v>
      </c>
      <c r="F68" s="2"/>
    </row>
    <row r="69" spans="1:6" ht="14" customHeight="1">
      <c r="A69" s="8">
        <v>3</v>
      </c>
      <c r="B69" s="7" t="str">
        <f>المدخلات!$F$5</f>
        <v>5:20–6:30 م</v>
      </c>
      <c r="C69" s="7">
        <v>5</v>
      </c>
      <c r="D69" s="7" t="s">
        <v>594</v>
      </c>
      <c r="E69" s="7" t="s">
        <v>196</v>
      </c>
      <c r="F69" s="2"/>
    </row>
    <row r="70" spans="1:6" ht="14" customHeight="1">
      <c r="A70" s="8">
        <v>3</v>
      </c>
      <c r="B70" s="7" t="str">
        <f>المدخلات!$F$5</f>
        <v>5:20–6:30 م</v>
      </c>
      <c r="C70" s="7">
        <v>6</v>
      </c>
      <c r="D70" s="7" t="s">
        <v>594</v>
      </c>
      <c r="E70" s="7" t="s">
        <v>225</v>
      </c>
      <c r="F70" s="2"/>
    </row>
    <row r="71" spans="1:6" ht="14" customHeight="1">
      <c r="A71" s="8">
        <v>3</v>
      </c>
      <c r="B71" s="7" t="str">
        <f>المدخلات!$F$6</f>
        <v>6:40–7:50 م</v>
      </c>
      <c r="C71" s="7">
        <v>4</v>
      </c>
      <c r="D71" s="7" t="s">
        <v>594</v>
      </c>
      <c r="E71" s="7" t="s">
        <v>848</v>
      </c>
      <c r="F71" s="2"/>
    </row>
    <row r="72" spans="1:6" ht="14" customHeight="1">
      <c r="A72" s="8">
        <v>3</v>
      </c>
      <c r="B72" s="7" t="str">
        <f>المدخلات!$F$4</f>
        <v>4:00–5:10 م</v>
      </c>
      <c r="C72" s="7">
        <v>7</v>
      </c>
      <c r="D72" s="7" t="s">
        <v>595</v>
      </c>
      <c r="E72" s="7" t="s">
        <v>401</v>
      </c>
      <c r="F72" s="2"/>
    </row>
    <row r="73" spans="1:6" ht="14" customHeight="1">
      <c r="A73" s="8">
        <v>3</v>
      </c>
      <c r="B73" s="7" t="str">
        <f>المدخلات!$F$4</f>
        <v>4:00–5:10 م</v>
      </c>
      <c r="C73" s="7">
        <v>8</v>
      </c>
      <c r="D73" s="7" t="s">
        <v>595</v>
      </c>
      <c r="E73" s="7" t="s">
        <v>809</v>
      </c>
      <c r="F73" s="2"/>
    </row>
    <row r="74" spans="1:6" ht="14" customHeight="1">
      <c r="A74" s="8">
        <v>3</v>
      </c>
      <c r="B74" s="7" t="str">
        <f>المدخلات!$F$4</f>
        <v>4:00–5:10 م</v>
      </c>
      <c r="C74" s="7">
        <v>9</v>
      </c>
      <c r="D74" s="7" t="s">
        <v>595</v>
      </c>
      <c r="E74" s="7" t="s">
        <v>1211</v>
      </c>
      <c r="F74" s="2"/>
    </row>
    <row r="75" spans="1:6" ht="14" customHeight="1">
      <c r="A75" s="8">
        <v>3</v>
      </c>
      <c r="B75" s="7" t="str">
        <f>المدخلات!$F$5</f>
        <v>5:20–6:30 م</v>
      </c>
      <c r="C75" s="7">
        <v>7</v>
      </c>
      <c r="D75" s="7" t="s">
        <v>595</v>
      </c>
      <c r="E75" s="7" t="s">
        <v>340</v>
      </c>
      <c r="F75" s="2"/>
    </row>
    <row r="76" spans="1:6" ht="14" customHeight="1">
      <c r="A76" s="8">
        <v>3</v>
      </c>
      <c r="B76" s="7" t="str">
        <f>المدخلات!$F$5</f>
        <v>5:20–6:30 م</v>
      </c>
      <c r="C76" s="7">
        <v>8</v>
      </c>
      <c r="D76" s="7" t="s">
        <v>595</v>
      </c>
      <c r="E76" s="7" t="s">
        <v>324</v>
      </c>
      <c r="F76" s="2"/>
    </row>
    <row r="77" spans="1:6" ht="14" customHeight="1">
      <c r="A77" s="8">
        <v>3</v>
      </c>
      <c r="B77" s="7" t="str">
        <f>المدخلات!$F$5</f>
        <v>5:20–6:30 م</v>
      </c>
      <c r="C77" s="7">
        <v>9</v>
      </c>
      <c r="D77" s="7" t="s">
        <v>595</v>
      </c>
      <c r="E77" s="7" t="s">
        <v>341</v>
      </c>
      <c r="F77" s="2"/>
    </row>
    <row r="78" spans="1:6" ht="14" customHeight="1">
      <c r="A78" s="8">
        <v>3</v>
      </c>
      <c r="B78" s="7" t="str">
        <f>المدخلات!$F$6</f>
        <v>6:40–7:50 م</v>
      </c>
      <c r="C78" s="7">
        <v>7</v>
      </c>
      <c r="D78" s="7" t="s">
        <v>595</v>
      </c>
      <c r="E78" s="7" t="s">
        <v>365</v>
      </c>
      <c r="F78" s="2"/>
    </row>
    <row r="79" spans="1:6" ht="14" customHeight="1">
      <c r="A79" s="8">
        <v>3</v>
      </c>
      <c r="B79" s="7" t="str">
        <f>المدخلات!$F$4</f>
        <v>4:00–5:10 م</v>
      </c>
      <c r="C79" s="7">
        <v>10</v>
      </c>
      <c r="D79" s="7" t="s">
        <v>596</v>
      </c>
      <c r="E79" s="7" t="s">
        <v>451</v>
      </c>
      <c r="F79" s="2"/>
    </row>
    <row r="80" spans="1:6" ht="14" customHeight="1">
      <c r="A80" s="8">
        <v>3</v>
      </c>
      <c r="B80" s="7" t="str">
        <f>المدخلات!$F$4</f>
        <v>4:00–5:10 م</v>
      </c>
      <c r="C80" s="7">
        <v>11</v>
      </c>
      <c r="D80" s="7" t="s">
        <v>596</v>
      </c>
      <c r="E80" s="7" t="s">
        <v>445</v>
      </c>
      <c r="F80" s="2"/>
    </row>
    <row r="81" spans="1:6" ht="14" customHeight="1">
      <c r="A81" s="8">
        <v>3</v>
      </c>
      <c r="B81" s="7" t="str">
        <f>المدخلات!$F$5</f>
        <v>5:20–6:30 م</v>
      </c>
      <c r="C81" s="7">
        <v>10</v>
      </c>
      <c r="D81" s="7" t="s">
        <v>596</v>
      </c>
      <c r="E81" s="7" t="s">
        <v>643</v>
      </c>
      <c r="F81" s="2"/>
    </row>
    <row r="82" spans="1:6" ht="14" customHeight="1">
      <c r="A82" s="8">
        <v>3</v>
      </c>
      <c r="B82" s="7" t="str">
        <f>المدخلات!$F$5</f>
        <v>5:20–6:30 م</v>
      </c>
      <c r="C82" s="7">
        <v>11</v>
      </c>
      <c r="D82" s="7" t="s">
        <v>596</v>
      </c>
      <c r="E82" s="7" t="s">
        <v>452</v>
      </c>
      <c r="F82" s="2"/>
    </row>
    <row r="83" spans="1:6" ht="14" customHeight="1">
      <c r="A83" s="8">
        <v>3</v>
      </c>
      <c r="B83" s="7" t="str">
        <f>المدخلات!$F$6</f>
        <v>6:40–7:50 م</v>
      </c>
      <c r="C83" s="7">
        <v>10</v>
      </c>
      <c r="D83" s="7" t="s">
        <v>596</v>
      </c>
      <c r="E83" s="7" t="s">
        <v>503</v>
      </c>
      <c r="F83" s="2"/>
    </row>
    <row r="84" spans="1:6" ht="14" customHeight="1">
      <c r="A84" s="8">
        <v>3</v>
      </c>
      <c r="B84" s="7" t="str">
        <f>المدخلات!$F$6</f>
        <v>6:40–7:50 م</v>
      </c>
      <c r="C84" s="7">
        <v>11</v>
      </c>
      <c r="D84" s="7" t="s">
        <v>596</v>
      </c>
      <c r="E84" s="7" t="s">
        <v>504</v>
      </c>
      <c r="F84" s="2"/>
    </row>
    <row r="85" spans="1:6" ht="14" customHeight="1">
      <c r="A85" s="8">
        <v>4</v>
      </c>
      <c r="B85" s="7" t="str">
        <f>المدخلات!$F$4</f>
        <v>4:00–5:10 م</v>
      </c>
      <c r="C85" s="7">
        <v>1</v>
      </c>
      <c r="D85" s="7" t="s">
        <v>593</v>
      </c>
      <c r="E85" s="7" t="s">
        <v>12</v>
      </c>
      <c r="F85" s="2"/>
    </row>
    <row r="86" spans="1:6" ht="14" customHeight="1">
      <c r="A86" s="8">
        <v>4</v>
      </c>
      <c r="B86" s="7" t="str">
        <f>المدخلات!$F$4</f>
        <v>4:00–5:10 م</v>
      </c>
      <c r="C86" s="7">
        <v>2</v>
      </c>
      <c r="D86" s="7" t="s">
        <v>593</v>
      </c>
      <c r="E86" s="7" t="s">
        <v>10</v>
      </c>
      <c r="F86" s="2"/>
    </row>
    <row r="87" spans="1:6" ht="14" customHeight="1">
      <c r="A87" s="8">
        <v>4</v>
      </c>
      <c r="B87" s="7" t="str">
        <f>المدخلات!$F$4</f>
        <v>4:00–5:10 م</v>
      </c>
      <c r="C87" s="7">
        <v>3</v>
      </c>
      <c r="D87" s="7" t="s">
        <v>593</v>
      </c>
      <c r="E87" s="7" t="s">
        <v>54</v>
      </c>
      <c r="F87" s="2"/>
    </row>
    <row r="88" spans="1:6" ht="14" customHeight="1">
      <c r="A88" s="8">
        <v>4</v>
      </c>
      <c r="B88" s="7" t="str">
        <f>المدخلات!$F$5</f>
        <v>5:20–6:30 م</v>
      </c>
      <c r="C88" s="7">
        <v>1</v>
      </c>
      <c r="D88" s="7" t="s">
        <v>593</v>
      </c>
      <c r="E88" s="7" t="s">
        <v>64</v>
      </c>
      <c r="F88" s="2"/>
    </row>
    <row r="89" spans="1:6" ht="14" customHeight="1">
      <c r="A89" s="8">
        <v>4</v>
      </c>
      <c r="B89" s="7" t="str">
        <f>المدخلات!$F$5</f>
        <v>5:20–6:30 م</v>
      </c>
      <c r="C89" s="7">
        <v>2</v>
      </c>
      <c r="D89" s="7" t="s">
        <v>593</v>
      </c>
      <c r="E89" s="7" t="s">
        <v>1045</v>
      </c>
      <c r="F89" s="2"/>
    </row>
    <row r="90" spans="1:6" ht="14" customHeight="1">
      <c r="A90" s="8">
        <v>4</v>
      </c>
      <c r="B90" s="7" t="str">
        <f>المدخلات!$F$5</f>
        <v>5:20–6:30 م</v>
      </c>
      <c r="C90" s="7">
        <v>3</v>
      </c>
      <c r="D90" s="7" t="s">
        <v>593</v>
      </c>
      <c r="E90" s="7" t="s">
        <v>91</v>
      </c>
      <c r="F90" s="2"/>
    </row>
    <row r="91" spans="1:6" ht="14" customHeight="1">
      <c r="A91" s="8">
        <v>4</v>
      </c>
      <c r="B91" s="7" t="str">
        <f>المدخلات!$F$6</f>
        <v>6:40–7:50 م</v>
      </c>
      <c r="C91" s="7">
        <v>1</v>
      </c>
      <c r="D91" s="7" t="s">
        <v>593</v>
      </c>
      <c r="E91" s="7" t="s">
        <v>95</v>
      </c>
      <c r="F91" s="2"/>
    </row>
    <row r="92" spans="1:6" ht="14" customHeight="1">
      <c r="A92" s="8">
        <v>4</v>
      </c>
      <c r="B92" s="7" t="str">
        <f>المدخلات!$F$4</f>
        <v>4:00–5:10 م</v>
      </c>
      <c r="C92" s="7">
        <v>4</v>
      </c>
      <c r="D92" s="7" t="s">
        <v>594</v>
      </c>
      <c r="E92" s="7" t="s">
        <v>197</v>
      </c>
      <c r="F92" s="2"/>
    </row>
    <row r="93" spans="1:6" ht="14" customHeight="1">
      <c r="A93" s="8">
        <v>4</v>
      </c>
      <c r="B93" s="7" t="str">
        <f>المدخلات!$F$4</f>
        <v>4:00–5:10 م</v>
      </c>
      <c r="C93" s="7">
        <v>5</v>
      </c>
      <c r="D93" s="7" t="s">
        <v>594</v>
      </c>
      <c r="E93" s="7" t="s">
        <v>177</v>
      </c>
      <c r="F93" s="2"/>
    </row>
    <row r="94" spans="1:6" ht="14" customHeight="1">
      <c r="A94" s="8">
        <v>4</v>
      </c>
      <c r="B94" s="7" t="str">
        <f>المدخلات!$F$4</f>
        <v>4:00–5:10 م</v>
      </c>
      <c r="C94" s="7">
        <v>6</v>
      </c>
      <c r="D94" s="7" t="s">
        <v>594</v>
      </c>
      <c r="E94" s="7" t="s">
        <v>868</v>
      </c>
      <c r="F94" s="2"/>
    </row>
    <row r="95" spans="1:6" ht="14" customHeight="1">
      <c r="A95" s="8">
        <v>4</v>
      </c>
      <c r="B95" s="7" t="str">
        <f>المدخلات!$F$5</f>
        <v>5:20–6:30 م</v>
      </c>
      <c r="C95" s="7">
        <v>4</v>
      </c>
      <c r="D95" s="7" t="s">
        <v>594</v>
      </c>
      <c r="E95" s="7" t="s">
        <v>241</v>
      </c>
      <c r="F95" s="2"/>
    </row>
    <row r="96" spans="1:6" ht="14" customHeight="1">
      <c r="A96" s="8">
        <v>4</v>
      </c>
      <c r="B96" s="7" t="str">
        <f>المدخلات!$F$5</f>
        <v>5:20–6:30 م</v>
      </c>
      <c r="C96" s="7">
        <v>5</v>
      </c>
      <c r="D96" s="7" t="s">
        <v>594</v>
      </c>
      <c r="E96" s="7" t="s">
        <v>1149</v>
      </c>
      <c r="F96" s="2"/>
    </row>
    <row r="97" spans="1:6" ht="14" customHeight="1">
      <c r="A97" s="8">
        <v>4</v>
      </c>
      <c r="B97" s="7" t="str">
        <f>المدخلات!$F$5</f>
        <v>5:20–6:30 م</v>
      </c>
      <c r="C97" s="7">
        <v>6</v>
      </c>
      <c r="D97" s="7" t="s">
        <v>594</v>
      </c>
      <c r="E97" s="7" t="s">
        <v>249</v>
      </c>
      <c r="F97" s="2"/>
    </row>
    <row r="98" spans="1:6" ht="14" customHeight="1">
      <c r="A98" s="8">
        <v>4</v>
      </c>
      <c r="B98" s="7" t="str">
        <f>المدخلات!$F$6</f>
        <v>6:40–7:50 م</v>
      </c>
      <c r="C98" s="7">
        <v>4</v>
      </c>
      <c r="D98" s="7" t="s">
        <v>594</v>
      </c>
      <c r="E98" s="7" t="s">
        <v>256</v>
      </c>
      <c r="F98" s="2"/>
    </row>
    <row r="99" spans="1:6" ht="14" customHeight="1">
      <c r="A99" s="8">
        <v>4</v>
      </c>
      <c r="B99" s="7" t="str">
        <f>المدخلات!$F$4</f>
        <v>4:00–5:10 م</v>
      </c>
      <c r="C99" s="7">
        <v>7</v>
      </c>
      <c r="D99" s="7" t="s">
        <v>595</v>
      </c>
      <c r="E99" s="7" t="s">
        <v>327</v>
      </c>
      <c r="F99" s="2"/>
    </row>
    <row r="100" spans="1:6" ht="14" customHeight="1">
      <c r="A100" s="8">
        <v>4</v>
      </c>
      <c r="B100" s="7" t="str">
        <f>المدخلات!$F$4</f>
        <v>4:00–5:10 م</v>
      </c>
      <c r="C100" s="7">
        <v>8</v>
      </c>
      <c r="D100" s="7" t="s">
        <v>595</v>
      </c>
      <c r="E100" s="7" t="s">
        <v>301</v>
      </c>
      <c r="F100" s="2"/>
    </row>
    <row r="101" spans="1:6" ht="14" customHeight="1">
      <c r="A101" s="8">
        <v>4</v>
      </c>
      <c r="B101" s="7" t="str">
        <f>المدخلات!$F$4</f>
        <v>4:00–5:10 م</v>
      </c>
      <c r="C101" s="7">
        <v>9</v>
      </c>
      <c r="D101" s="7" t="s">
        <v>595</v>
      </c>
      <c r="E101" s="7" t="s">
        <v>389</v>
      </c>
      <c r="F101" s="2"/>
    </row>
    <row r="102" spans="1:6" ht="14" customHeight="1">
      <c r="A102" s="8">
        <v>4</v>
      </c>
      <c r="B102" s="7" t="str">
        <f>المدخلات!$F$5</f>
        <v>5:20–6:30 م</v>
      </c>
      <c r="C102" s="7">
        <v>7</v>
      </c>
      <c r="D102" s="7" t="s">
        <v>595</v>
      </c>
      <c r="E102" s="7" t="s">
        <v>1214</v>
      </c>
      <c r="F102" s="2"/>
    </row>
    <row r="103" spans="1:6" ht="14" customHeight="1">
      <c r="A103" s="8">
        <v>4</v>
      </c>
      <c r="B103" s="7" t="str">
        <f>المدخلات!$F$5</f>
        <v>5:20–6:30 م</v>
      </c>
      <c r="C103" s="7">
        <v>8</v>
      </c>
      <c r="D103" s="7" t="s">
        <v>595</v>
      </c>
      <c r="E103" s="7" t="s">
        <v>1237</v>
      </c>
      <c r="F103" s="2"/>
    </row>
    <row r="104" spans="1:6" ht="14" customHeight="1">
      <c r="A104" s="8">
        <v>4</v>
      </c>
      <c r="B104" s="7" t="str">
        <f>المدخلات!$F$5</f>
        <v>5:20–6:30 م</v>
      </c>
      <c r="C104" s="7">
        <v>9</v>
      </c>
      <c r="D104" s="7" t="s">
        <v>595</v>
      </c>
      <c r="E104" s="7" t="s">
        <v>402</v>
      </c>
      <c r="F104" s="2"/>
    </row>
    <row r="105" spans="1:6" ht="14" customHeight="1">
      <c r="A105" s="8">
        <v>4</v>
      </c>
      <c r="B105" s="7" t="str">
        <f>المدخلات!$F$6</f>
        <v>6:40–7:50 م</v>
      </c>
      <c r="C105" s="7">
        <v>7</v>
      </c>
      <c r="D105" s="7" t="s">
        <v>595</v>
      </c>
      <c r="E105" s="7" t="s">
        <v>1238</v>
      </c>
      <c r="F105" s="2"/>
    </row>
    <row r="106" spans="1:6" ht="14" customHeight="1">
      <c r="A106" s="8">
        <v>4</v>
      </c>
      <c r="B106" s="7" t="str">
        <f>المدخلات!$F$4</f>
        <v>4:00–5:10 م</v>
      </c>
      <c r="C106" s="7">
        <v>10</v>
      </c>
      <c r="D106" s="7" t="s">
        <v>596</v>
      </c>
      <c r="E106" s="7" t="s">
        <v>505</v>
      </c>
      <c r="F106" s="2"/>
    </row>
    <row r="107" spans="1:6" ht="14" customHeight="1">
      <c r="A107" s="8">
        <v>4</v>
      </c>
      <c r="B107" s="7" t="str">
        <f>المدخلات!$F$4</f>
        <v>4:00–5:10 م</v>
      </c>
      <c r="C107" s="7">
        <v>11</v>
      </c>
      <c r="D107" s="7" t="s">
        <v>596</v>
      </c>
      <c r="E107" s="7" t="s">
        <v>482</v>
      </c>
      <c r="F107" s="2"/>
    </row>
    <row r="108" spans="1:6" ht="14" customHeight="1">
      <c r="A108" s="8">
        <v>4</v>
      </c>
      <c r="B108" s="7" t="str">
        <f>المدخلات!$F$5</f>
        <v>5:20–6:30 م</v>
      </c>
      <c r="C108" s="7">
        <v>10</v>
      </c>
      <c r="D108" s="7" t="s">
        <v>596</v>
      </c>
      <c r="E108" s="7" t="s">
        <v>440</v>
      </c>
      <c r="F108" s="2"/>
    </row>
    <row r="109" spans="1:6" ht="14" customHeight="1">
      <c r="A109" s="8">
        <v>4</v>
      </c>
      <c r="B109" s="7" t="str">
        <f>المدخلات!$F$5</f>
        <v>5:20–6:30 م</v>
      </c>
      <c r="C109" s="7">
        <v>11</v>
      </c>
      <c r="D109" s="7" t="s">
        <v>596</v>
      </c>
      <c r="E109" s="7" t="s">
        <v>494</v>
      </c>
      <c r="F109" s="2"/>
    </row>
    <row r="110" spans="1:6" ht="14" customHeight="1">
      <c r="A110" s="8">
        <v>4</v>
      </c>
      <c r="B110" s="7" t="str">
        <f>المدخلات!$F$6</f>
        <v>6:40–7:50 م</v>
      </c>
      <c r="C110" s="7">
        <v>10</v>
      </c>
      <c r="D110" s="7" t="s">
        <v>596</v>
      </c>
      <c r="E110" s="7" t="s">
        <v>524</v>
      </c>
      <c r="F110" s="2"/>
    </row>
    <row r="111" spans="1:6" ht="14" customHeight="1">
      <c r="A111" s="8">
        <v>4</v>
      </c>
      <c r="B111" s="7" t="str">
        <f>المدخلات!$F$6</f>
        <v>6:40–7:50 م</v>
      </c>
      <c r="C111" s="7">
        <v>11</v>
      </c>
      <c r="D111" s="7" t="s">
        <v>596</v>
      </c>
      <c r="E111" s="7" t="s">
        <v>446</v>
      </c>
      <c r="F111" s="2"/>
    </row>
    <row r="112" spans="1:6" ht="14" customHeight="1">
      <c r="A112" s="8">
        <v>5</v>
      </c>
      <c r="B112" s="7" t="str">
        <f>المدخلات!$F$4</f>
        <v>4:00–5:10 م</v>
      </c>
      <c r="C112" s="7">
        <v>1</v>
      </c>
      <c r="D112" s="7" t="s">
        <v>593</v>
      </c>
      <c r="E112" s="7" t="s">
        <v>723</v>
      </c>
      <c r="F112" s="2"/>
    </row>
    <row r="113" spans="1:6" ht="14" customHeight="1">
      <c r="A113" s="8">
        <v>5</v>
      </c>
      <c r="B113" s="7" t="str">
        <f>المدخلات!$F$4</f>
        <v>4:00–5:10 م</v>
      </c>
      <c r="C113" s="7">
        <v>2</v>
      </c>
      <c r="D113" s="7" t="s">
        <v>593</v>
      </c>
      <c r="E113" s="7" t="s">
        <v>722</v>
      </c>
      <c r="F113" s="2"/>
    </row>
    <row r="114" spans="1:6" ht="14" customHeight="1">
      <c r="A114" s="8">
        <v>5</v>
      </c>
      <c r="B114" s="7" t="str">
        <f>المدخلات!$F$4</f>
        <v>4:00–5:10 م</v>
      </c>
      <c r="C114" s="7">
        <v>3</v>
      </c>
      <c r="D114" s="7" t="s">
        <v>593</v>
      </c>
      <c r="E114" s="7" t="s">
        <v>19</v>
      </c>
      <c r="F114" s="2"/>
    </row>
    <row r="115" spans="1:6" ht="14" customHeight="1">
      <c r="A115" s="8">
        <v>5</v>
      </c>
      <c r="B115" s="7" t="str">
        <f>المدخلات!$F$5</f>
        <v>5:20–6:30 م</v>
      </c>
      <c r="C115" s="7">
        <v>1</v>
      </c>
      <c r="D115" s="7" t="s">
        <v>593</v>
      </c>
      <c r="E115" s="7" t="s">
        <v>52</v>
      </c>
      <c r="F115" s="2"/>
    </row>
    <row r="116" spans="1:6" ht="14" customHeight="1">
      <c r="A116" s="8">
        <v>5</v>
      </c>
      <c r="B116" s="7" t="str">
        <f>المدخلات!$F$5</f>
        <v>5:20–6:30 م</v>
      </c>
      <c r="C116" s="7">
        <v>2</v>
      </c>
      <c r="D116" s="7" t="s">
        <v>593</v>
      </c>
      <c r="E116" s="7" t="s">
        <v>7</v>
      </c>
      <c r="F116" s="2"/>
    </row>
    <row r="117" spans="1:6" ht="14" customHeight="1">
      <c r="A117" s="8">
        <v>5</v>
      </c>
      <c r="B117" s="7" t="str">
        <f>المدخلات!$F$5</f>
        <v>5:20–6:30 م</v>
      </c>
      <c r="C117" s="7">
        <v>3</v>
      </c>
      <c r="D117" s="7" t="s">
        <v>593</v>
      </c>
      <c r="E117" s="7" t="s">
        <v>724</v>
      </c>
      <c r="F117" s="2"/>
    </row>
    <row r="118" spans="1:6" ht="14" customHeight="1">
      <c r="A118" s="8">
        <v>5</v>
      </c>
      <c r="B118" s="7" t="str">
        <f>المدخلات!$F$6</f>
        <v>6:40–7:50 م</v>
      </c>
      <c r="C118" s="7">
        <v>1</v>
      </c>
      <c r="D118" s="7" t="s">
        <v>593</v>
      </c>
      <c r="E118" s="7" t="s">
        <v>1054</v>
      </c>
      <c r="F118" s="2"/>
    </row>
    <row r="119" spans="1:6" ht="14" customHeight="1">
      <c r="A119" s="8">
        <v>5</v>
      </c>
      <c r="B119" s="7" t="str">
        <f>المدخلات!$F$4</f>
        <v>4:00–5:10 م</v>
      </c>
      <c r="C119" s="7">
        <v>4</v>
      </c>
      <c r="D119" s="7" t="s">
        <v>594</v>
      </c>
      <c r="E119" s="7" t="s">
        <v>795</v>
      </c>
      <c r="F119" s="2"/>
    </row>
    <row r="120" spans="1:6" ht="14" customHeight="1">
      <c r="A120" s="8">
        <v>5</v>
      </c>
      <c r="B120" s="7" t="str">
        <f>المدخلات!$F$4</f>
        <v>4:00–5:10 م</v>
      </c>
      <c r="C120" s="7">
        <v>5</v>
      </c>
      <c r="D120" s="7" t="s">
        <v>594</v>
      </c>
      <c r="E120" s="7" t="s">
        <v>794</v>
      </c>
      <c r="F120" s="2"/>
    </row>
    <row r="121" spans="1:6" ht="14" customHeight="1">
      <c r="A121" s="8">
        <v>5</v>
      </c>
      <c r="B121" s="7" t="str">
        <f>المدخلات!$F$4</f>
        <v>4:00–5:10 م</v>
      </c>
      <c r="C121" s="7">
        <v>6</v>
      </c>
      <c r="D121" s="7" t="s">
        <v>594</v>
      </c>
      <c r="E121" s="7" t="s">
        <v>161</v>
      </c>
      <c r="F121" s="2"/>
    </row>
    <row r="122" spans="1:6" ht="14" customHeight="1">
      <c r="A122" s="8">
        <v>5</v>
      </c>
      <c r="B122" s="7" t="str">
        <f>المدخلات!$F$5</f>
        <v>5:20–6:30 م</v>
      </c>
      <c r="C122" s="7">
        <v>4</v>
      </c>
      <c r="D122" s="7" t="s">
        <v>594</v>
      </c>
      <c r="E122" s="7" t="s">
        <v>238</v>
      </c>
      <c r="F122" s="2"/>
    </row>
    <row r="123" spans="1:6" ht="14" customHeight="1">
      <c r="A123" s="8">
        <v>5</v>
      </c>
      <c r="B123" s="7" t="str">
        <f>المدخلات!$F$5</f>
        <v>5:20–6:30 م</v>
      </c>
      <c r="C123" s="7">
        <v>5</v>
      </c>
      <c r="D123" s="7" t="s">
        <v>594</v>
      </c>
      <c r="E123" s="7" t="s">
        <v>178</v>
      </c>
      <c r="F123" s="2"/>
    </row>
    <row r="124" spans="1:6" ht="14" customHeight="1">
      <c r="A124" s="8">
        <v>5</v>
      </c>
      <c r="B124" s="7" t="str">
        <f>المدخلات!$F$5</f>
        <v>5:20–6:30 م</v>
      </c>
      <c r="C124" s="7">
        <v>6</v>
      </c>
      <c r="D124" s="7" t="s">
        <v>594</v>
      </c>
      <c r="E124" s="7" t="s">
        <v>796</v>
      </c>
      <c r="F124" s="2"/>
    </row>
    <row r="125" spans="1:6" ht="14" customHeight="1">
      <c r="A125" s="8">
        <v>5</v>
      </c>
      <c r="B125" s="7" t="str">
        <f>المدخلات!$F$6</f>
        <v>6:40–7:50 م</v>
      </c>
      <c r="C125" s="7">
        <v>4</v>
      </c>
      <c r="D125" s="7" t="s">
        <v>594</v>
      </c>
      <c r="E125" s="7" t="s">
        <v>1155</v>
      </c>
      <c r="F125" s="2"/>
    </row>
    <row r="126" spans="1:6" ht="14" customHeight="1">
      <c r="A126" s="8">
        <v>5</v>
      </c>
      <c r="B126" s="7" t="str">
        <f>المدخلات!$F$4</f>
        <v>4:00–5:10 م</v>
      </c>
      <c r="C126" s="7">
        <v>7</v>
      </c>
      <c r="D126" s="7" t="s">
        <v>595</v>
      </c>
      <c r="E126" s="7" t="s">
        <v>923</v>
      </c>
      <c r="F126" s="2"/>
    </row>
    <row r="127" spans="1:6" ht="14" customHeight="1">
      <c r="A127" s="8">
        <v>5</v>
      </c>
      <c r="B127" s="7" t="str">
        <f>المدخلات!$F$4</f>
        <v>4:00–5:10 م</v>
      </c>
      <c r="C127" s="7">
        <v>8</v>
      </c>
      <c r="D127" s="7" t="s">
        <v>595</v>
      </c>
      <c r="E127" s="7" t="s">
        <v>616</v>
      </c>
      <c r="F127" s="2"/>
    </row>
    <row r="128" spans="1:6" ht="14" customHeight="1">
      <c r="A128" s="8">
        <v>5</v>
      </c>
      <c r="B128" s="7" t="str">
        <f>المدخلات!$F$4</f>
        <v>4:00–5:10 م</v>
      </c>
      <c r="C128" s="7">
        <v>9</v>
      </c>
      <c r="D128" s="7" t="s">
        <v>595</v>
      </c>
      <c r="E128" s="7" t="s">
        <v>291</v>
      </c>
      <c r="F128" s="2"/>
    </row>
    <row r="129" spans="1:6" ht="14" customHeight="1">
      <c r="A129" s="8">
        <v>5</v>
      </c>
      <c r="B129" s="7" t="str">
        <f>المدخلات!$F$5</f>
        <v>5:20–6:30 م</v>
      </c>
      <c r="C129" s="7">
        <v>7</v>
      </c>
      <c r="D129" s="7" t="s">
        <v>595</v>
      </c>
      <c r="E129" s="7" t="s">
        <v>386</v>
      </c>
      <c r="F129" s="2"/>
    </row>
    <row r="130" spans="1:6" ht="14" customHeight="1">
      <c r="A130" s="8">
        <v>5</v>
      </c>
      <c r="B130" s="7" t="str">
        <f>المدخلات!$F$5</f>
        <v>5:20–6:30 م</v>
      </c>
      <c r="C130" s="7">
        <v>8</v>
      </c>
      <c r="D130" s="7" t="s">
        <v>595</v>
      </c>
      <c r="E130" s="7" t="s">
        <v>302</v>
      </c>
      <c r="F130" s="2"/>
    </row>
    <row r="131" spans="1:6" ht="14" customHeight="1">
      <c r="A131" s="8">
        <v>5</v>
      </c>
      <c r="B131" s="7" t="str">
        <f>المدخلات!$F$5</f>
        <v>5:20–6:30 م</v>
      </c>
      <c r="C131" s="7">
        <v>9</v>
      </c>
      <c r="D131" s="7" t="s">
        <v>595</v>
      </c>
      <c r="E131" s="7" t="s">
        <v>924</v>
      </c>
      <c r="F131" s="2"/>
    </row>
    <row r="132" spans="1:6" ht="14" customHeight="1">
      <c r="A132" s="8">
        <v>5</v>
      </c>
      <c r="B132" s="7" t="str">
        <f>المدخلات!$F$6</f>
        <v>6:40–7:50 م</v>
      </c>
      <c r="C132" s="7">
        <v>7</v>
      </c>
      <c r="D132" s="7" t="s">
        <v>595</v>
      </c>
      <c r="E132" s="7" t="s">
        <v>1239</v>
      </c>
      <c r="F132" s="2"/>
    </row>
    <row r="133" spans="1:6" ht="14" customHeight="1">
      <c r="A133" s="8">
        <v>5</v>
      </c>
      <c r="B133" s="7" t="str">
        <f>المدخلات!$F$4</f>
        <v>4:00–5:10 م</v>
      </c>
      <c r="C133" s="7">
        <v>10</v>
      </c>
      <c r="D133" s="7" t="s">
        <v>596</v>
      </c>
      <c r="E133" s="7" t="s">
        <v>434</v>
      </c>
      <c r="F133" s="2"/>
    </row>
    <row r="134" spans="1:6" ht="14" customHeight="1">
      <c r="A134" s="8">
        <v>5</v>
      </c>
      <c r="B134" s="7" t="str">
        <f>المدخلات!$F$4</f>
        <v>4:00–5:10 م</v>
      </c>
      <c r="C134" s="7">
        <v>11</v>
      </c>
      <c r="D134" s="7" t="s">
        <v>596</v>
      </c>
      <c r="E134" s="7" t="s">
        <v>927</v>
      </c>
      <c r="F134" s="2"/>
    </row>
    <row r="135" spans="1:6" ht="14" customHeight="1">
      <c r="A135" s="8">
        <v>5</v>
      </c>
      <c r="B135" s="7" t="str">
        <f>المدخلات!$F$5</f>
        <v>5:20–6:30 م</v>
      </c>
      <c r="C135" s="7">
        <v>10</v>
      </c>
      <c r="D135" s="7" t="s">
        <v>596</v>
      </c>
      <c r="E135" s="7" t="s">
        <v>926</v>
      </c>
      <c r="F135" s="2"/>
    </row>
    <row r="136" spans="1:6" ht="14" customHeight="1">
      <c r="A136" s="8">
        <v>5</v>
      </c>
      <c r="B136" s="7" t="str">
        <f>المدخلات!$F$5</f>
        <v>5:20–6:30 م</v>
      </c>
      <c r="C136" s="7">
        <v>11</v>
      </c>
      <c r="D136" s="7" t="s">
        <v>596</v>
      </c>
      <c r="E136" s="7" t="s">
        <v>1240</v>
      </c>
      <c r="F136" s="2"/>
    </row>
    <row r="137" spans="1:6" ht="14" customHeight="1">
      <c r="A137" s="8">
        <v>5</v>
      </c>
      <c r="B137" s="7" t="str">
        <f>المدخلات!$F$6</f>
        <v>6:40–7:50 م</v>
      </c>
      <c r="C137" s="7">
        <v>10</v>
      </c>
      <c r="D137" s="7" t="s">
        <v>596</v>
      </c>
      <c r="E137" s="7" t="s">
        <v>476</v>
      </c>
      <c r="F137" s="2"/>
    </row>
    <row r="138" spans="1:6" ht="14" customHeight="1">
      <c r="A138" s="8">
        <v>5</v>
      </c>
      <c r="B138" s="7" t="str">
        <f>المدخلات!$F$6</f>
        <v>6:40–7:50 م</v>
      </c>
      <c r="C138" s="7">
        <v>11</v>
      </c>
      <c r="D138" s="7" t="s">
        <v>596</v>
      </c>
      <c r="E138" s="7" t="s">
        <v>925</v>
      </c>
      <c r="F138" s="2"/>
    </row>
    <row r="139" spans="1:6" ht="14" customHeight="1">
      <c r="A139" s="8">
        <v>6</v>
      </c>
      <c r="B139" s="7" t="str">
        <f>المدخلات!$F$4</f>
        <v>4:00–5:10 م</v>
      </c>
      <c r="C139" s="7">
        <v>1</v>
      </c>
      <c r="D139" s="7" t="s">
        <v>593</v>
      </c>
      <c r="E139" s="7" t="s">
        <v>36</v>
      </c>
      <c r="F139" s="2"/>
    </row>
    <row r="140" spans="1:6" ht="14" customHeight="1">
      <c r="A140" s="8">
        <v>6</v>
      </c>
      <c r="B140" s="7" t="str">
        <f>المدخلات!$F$4</f>
        <v>4:00–5:10 م</v>
      </c>
      <c r="C140" s="7">
        <v>2</v>
      </c>
      <c r="D140" s="7" t="s">
        <v>593</v>
      </c>
      <c r="E140" s="7" t="s">
        <v>17</v>
      </c>
      <c r="F140" s="2"/>
    </row>
    <row r="141" spans="1:6" ht="14" customHeight="1">
      <c r="A141" s="8">
        <v>6</v>
      </c>
      <c r="B141" s="7" t="str">
        <f>المدخلات!$F$4</f>
        <v>4:00–5:10 م</v>
      </c>
      <c r="C141" s="7">
        <v>3</v>
      </c>
      <c r="D141" s="7" t="s">
        <v>593</v>
      </c>
      <c r="E141" s="7" t="s">
        <v>60</v>
      </c>
      <c r="F141" s="2"/>
    </row>
    <row r="142" spans="1:6" ht="14" customHeight="1">
      <c r="A142" s="8">
        <v>6</v>
      </c>
      <c r="B142" s="7" t="str">
        <f>المدخلات!$F$5</f>
        <v>5:20–6:30 م</v>
      </c>
      <c r="C142" s="7">
        <v>1</v>
      </c>
      <c r="D142" s="7" t="s">
        <v>593</v>
      </c>
      <c r="E142" s="7" t="s">
        <v>45</v>
      </c>
      <c r="F142" s="2"/>
    </row>
    <row r="143" spans="1:6" ht="14" customHeight="1">
      <c r="A143" s="8">
        <v>6</v>
      </c>
      <c r="B143" s="7" t="str">
        <f>المدخلات!$F$5</f>
        <v>5:20–6:30 م</v>
      </c>
      <c r="C143" s="7">
        <v>2</v>
      </c>
      <c r="D143" s="7" t="s">
        <v>593</v>
      </c>
      <c r="E143" s="7" t="s">
        <v>69</v>
      </c>
      <c r="F143" s="2"/>
    </row>
    <row r="144" spans="1:6" ht="14" customHeight="1">
      <c r="A144" s="8">
        <v>6</v>
      </c>
      <c r="B144" s="7" t="str">
        <f>المدخلات!$F$5</f>
        <v>5:20–6:30 م</v>
      </c>
      <c r="C144" s="7">
        <v>3</v>
      </c>
      <c r="D144" s="7" t="s">
        <v>593</v>
      </c>
      <c r="E144" s="7" t="s">
        <v>744</v>
      </c>
      <c r="F144" s="2"/>
    </row>
    <row r="145" spans="1:6" ht="14" customHeight="1">
      <c r="A145" s="8">
        <v>6</v>
      </c>
      <c r="B145" s="7" t="str">
        <f>المدخلات!$F$6</f>
        <v>6:40–7:50 م</v>
      </c>
      <c r="C145" s="7">
        <v>1</v>
      </c>
      <c r="D145" s="7" t="s">
        <v>593</v>
      </c>
      <c r="E145" s="7" t="s">
        <v>123</v>
      </c>
      <c r="F145" s="2"/>
    </row>
    <row r="146" spans="1:6" ht="14" customHeight="1">
      <c r="A146" s="8">
        <v>6</v>
      </c>
      <c r="B146" s="7" t="str">
        <f>المدخلات!$F$4</f>
        <v>4:00–5:10 م</v>
      </c>
      <c r="C146" s="7">
        <v>4</v>
      </c>
      <c r="D146" s="7" t="s">
        <v>594</v>
      </c>
      <c r="E146" s="7" t="s">
        <v>869</v>
      </c>
      <c r="F146" s="2"/>
    </row>
    <row r="147" spans="1:6" ht="14" customHeight="1">
      <c r="A147" s="8">
        <v>6</v>
      </c>
      <c r="B147" s="7" t="str">
        <f>المدخلات!$F$4</f>
        <v>4:00–5:10 م</v>
      </c>
      <c r="C147" s="7">
        <v>5</v>
      </c>
      <c r="D147" s="7" t="s">
        <v>594</v>
      </c>
      <c r="E147" s="7" t="s">
        <v>151</v>
      </c>
      <c r="F147" s="2"/>
    </row>
    <row r="148" spans="1:6" ht="14" customHeight="1">
      <c r="A148" s="8">
        <v>6</v>
      </c>
      <c r="B148" s="7" t="str">
        <f>المدخلات!$F$4</f>
        <v>4:00–5:10 م</v>
      </c>
      <c r="C148" s="7">
        <v>6</v>
      </c>
      <c r="D148" s="7" t="s">
        <v>594</v>
      </c>
      <c r="E148" s="7" t="s">
        <v>237</v>
      </c>
      <c r="F148" s="2"/>
    </row>
    <row r="149" spans="1:6" ht="14" customHeight="1">
      <c r="A149" s="8">
        <v>6</v>
      </c>
      <c r="B149" s="7" t="str">
        <f>المدخلات!$F$5</f>
        <v>5:20–6:30 م</v>
      </c>
      <c r="C149" s="7">
        <v>4</v>
      </c>
      <c r="D149" s="7" t="s">
        <v>594</v>
      </c>
      <c r="E149" s="7" t="s">
        <v>232</v>
      </c>
      <c r="F149" s="2"/>
    </row>
    <row r="150" spans="1:6" ht="14" customHeight="1">
      <c r="A150" s="8">
        <v>6</v>
      </c>
      <c r="B150" s="7" t="str">
        <f>المدخلات!$F$5</f>
        <v>5:20–6:30 م</v>
      </c>
      <c r="C150" s="7">
        <v>5</v>
      </c>
      <c r="D150" s="7" t="s">
        <v>594</v>
      </c>
      <c r="E150" s="7" t="s">
        <v>251</v>
      </c>
      <c r="F150" s="2"/>
    </row>
    <row r="151" spans="1:6" ht="14" customHeight="1">
      <c r="A151" s="8">
        <v>6</v>
      </c>
      <c r="B151" s="7" t="str">
        <f>المدخلات!$F$5</f>
        <v>5:20–6:30 م</v>
      </c>
      <c r="C151" s="7">
        <v>6</v>
      </c>
      <c r="D151" s="7" t="s">
        <v>594</v>
      </c>
      <c r="E151" s="7" t="s">
        <v>883</v>
      </c>
      <c r="F151" s="2"/>
    </row>
    <row r="152" spans="1:6" ht="14" customHeight="1">
      <c r="A152" s="8">
        <v>6</v>
      </c>
      <c r="B152" s="7" t="str">
        <f>المدخلات!$F$6</f>
        <v>6:40–7:50 م</v>
      </c>
      <c r="C152" s="7">
        <v>4</v>
      </c>
      <c r="D152" s="7" t="s">
        <v>594</v>
      </c>
      <c r="E152" s="7" t="s">
        <v>1162</v>
      </c>
      <c r="F152" s="2"/>
    </row>
    <row r="153" spans="1:6" ht="14" customHeight="1">
      <c r="A153" s="8">
        <v>6</v>
      </c>
      <c r="B153" s="7" t="str">
        <f>المدخلات!$F$4</f>
        <v>4:00–5:10 م</v>
      </c>
      <c r="C153" s="7">
        <v>7</v>
      </c>
      <c r="D153" s="7" t="s">
        <v>595</v>
      </c>
      <c r="E153" s="7" t="s">
        <v>354</v>
      </c>
      <c r="F153" s="2"/>
    </row>
    <row r="154" spans="1:6" ht="14" customHeight="1">
      <c r="A154" s="8">
        <v>6</v>
      </c>
      <c r="B154" s="7" t="str">
        <f>المدخلات!$F$4</f>
        <v>4:00–5:10 م</v>
      </c>
      <c r="C154" s="7">
        <v>8</v>
      </c>
      <c r="D154" s="7" t="s">
        <v>595</v>
      </c>
      <c r="E154" s="7" t="s">
        <v>283</v>
      </c>
      <c r="F154" s="2"/>
    </row>
    <row r="155" spans="1:6" ht="14" customHeight="1">
      <c r="A155" s="8">
        <v>6</v>
      </c>
      <c r="B155" s="7" t="str">
        <f>المدخلات!$F$4</f>
        <v>4:00–5:10 م</v>
      </c>
      <c r="C155" s="7">
        <v>9</v>
      </c>
      <c r="D155" s="7" t="s">
        <v>595</v>
      </c>
      <c r="E155" s="7" t="s">
        <v>387</v>
      </c>
      <c r="F155" s="2"/>
    </row>
    <row r="156" spans="1:6" ht="14" customHeight="1">
      <c r="A156" s="8">
        <v>6</v>
      </c>
      <c r="B156" s="7" t="str">
        <f>المدخلات!$F$5</f>
        <v>5:20–6:30 م</v>
      </c>
      <c r="C156" s="7">
        <v>7</v>
      </c>
      <c r="D156" s="7" t="s">
        <v>595</v>
      </c>
      <c r="E156" s="7" t="s">
        <v>373</v>
      </c>
      <c r="F156" s="2"/>
    </row>
    <row r="157" spans="1:6" ht="14" customHeight="1">
      <c r="A157" s="8">
        <v>6</v>
      </c>
      <c r="B157" s="7" t="str">
        <f>المدخلات!$F$5</f>
        <v>5:20–6:30 م</v>
      </c>
      <c r="C157" s="7">
        <v>8</v>
      </c>
      <c r="D157" s="7" t="s">
        <v>595</v>
      </c>
      <c r="E157" s="7" t="s">
        <v>1241</v>
      </c>
      <c r="F157" s="2"/>
    </row>
    <row r="158" spans="1:6" ht="14" customHeight="1">
      <c r="A158" s="8">
        <v>6</v>
      </c>
      <c r="B158" s="7" t="str">
        <f>المدخلات!$F$5</f>
        <v>5:20–6:30 م</v>
      </c>
      <c r="C158" s="7">
        <v>9</v>
      </c>
      <c r="D158" s="7" t="s">
        <v>595</v>
      </c>
      <c r="E158" s="7" t="s">
        <v>928</v>
      </c>
      <c r="F158" s="2"/>
    </row>
    <row r="159" spans="1:6" ht="14" customHeight="1">
      <c r="A159" s="8">
        <v>6</v>
      </c>
      <c r="B159" s="7" t="str">
        <f>المدخلات!$F$6</f>
        <v>6:40–7:50 م</v>
      </c>
      <c r="C159" s="7">
        <v>7</v>
      </c>
      <c r="D159" s="7" t="s">
        <v>595</v>
      </c>
      <c r="E159" s="7" t="s">
        <v>404</v>
      </c>
      <c r="F159" s="2"/>
    </row>
    <row r="160" spans="1:6" ht="14" customHeight="1">
      <c r="A160" s="8">
        <v>6</v>
      </c>
      <c r="B160" s="7" t="str">
        <f>المدخلات!$F$4</f>
        <v>4:00–5:10 م</v>
      </c>
      <c r="C160" s="7">
        <v>10</v>
      </c>
      <c r="D160" s="7" t="s">
        <v>596</v>
      </c>
      <c r="E160" s="7" t="s">
        <v>496</v>
      </c>
      <c r="F160" s="2"/>
    </row>
    <row r="161" spans="1:6" ht="14" customHeight="1">
      <c r="A161" s="8">
        <v>6</v>
      </c>
      <c r="B161" s="7" t="str">
        <f>المدخلات!$F$4</f>
        <v>4:00–5:10 م</v>
      </c>
      <c r="C161" s="7">
        <v>11</v>
      </c>
      <c r="D161" s="7" t="s">
        <v>596</v>
      </c>
      <c r="E161" s="7" t="s">
        <v>461</v>
      </c>
      <c r="F161" s="2"/>
    </row>
    <row r="162" spans="1:6" ht="14" customHeight="1">
      <c r="A162" s="8">
        <v>6</v>
      </c>
      <c r="B162" s="7" t="str">
        <f>المدخلات!$F$5</f>
        <v>5:20–6:30 م</v>
      </c>
      <c r="C162" s="7">
        <v>10</v>
      </c>
      <c r="D162" s="7" t="s">
        <v>596</v>
      </c>
      <c r="E162" s="7" t="s">
        <v>931</v>
      </c>
      <c r="F162" s="2"/>
    </row>
    <row r="163" spans="1:6" ht="14" customHeight="1">
      <c r="A163" s="8">
        <v>6</v>
      </c>
      <c r="B163" s="7" t="str">
        <f>المدخلات!$F$5</f>
        <v>5:20–6:30 م</v>
      </c>
      <c r="C163" s="7">
        <v>11</v>
      </c>
      <c r="D163" s="7" t="s">
        <v>596</v>
      </c>
      <c r="E163" s="7" t="s">
        <v>453</v>
      </c>
      <c r="F163" s="2"/>
    </row>
    <row r="164" spans="1:6" ht="14" customHeight="1">
      <c r="A164" s="8">
        <v>6</v>
      </c>
      <c r="B164" s="7" t="str">
        <f>المدخلات!$F$6</f>
        <v>6:40–7:50 م</v>
      </c>
      <c r="C164" s="7">
        <v>10</v>
      </c>
      <c r="D164" s="7" t="s">
        <v>596</v>
      </c>
      <c r="E164" s="7" t="s">
        <v>930</v>
      </c>
      <c r="F164" s="2"/>
    </row>
    <row r="165" spans="1:6" ht="14" customHeight="1">
      <c r="A165" s="8">
        <v>6</v>
      </c>
      <c r="B165" s="7" t="str">
        <f>المدخلات!$F$6</f>
        <v>6:40–7:50 م</v>
      </c>
      <c r="C165" s="7">
        <v>11</v>
      </c>
      <c r="D165" s="7" t="s">
        <v>596</v>
      </c>
      <c r="E165" s="7" t="s">
        <v>478</v>
      </c>
      <c r="F165" s="2"/>
    </row>
    <row r="166" spans="1:6" ht="14" customHeight="1">
      <c r="A166" s="8">
        <v>7</v>
      </c>
      <c r="B166" s="7" t="str">
        <f>المدخلات!$F$4</f>
        <v>4:00–5:10 م</v>
      </c>
      <c r="C166" s="7">
        <v>1</v>
      </c>
      <c r="D166" s="7" t="s">
        <v>593</v>
      </c>
      <c r="E166" s="7" t="s">
        <v>51</v>
      </c>
      <c r="F166" s="2"/>
    </row>
    <row r="167" spans="1:6" ht="14" customHeight="1">
      <c r="A167" s="8">
        <v>7</v>
      </c>
      <c r="B167" s="7" t="str">
        <f>المدخلات!$F$4</f>
        <v>4:00–5:10 م</v>
      </c>
      <c r="C167" s="7">
        <v>2</v>
      </c>
      <c r="D167" s="7" t="s">
        <v>593</v>
      </c>
      <c r="E167" s="7" t="s">
        <v>1049</v>
      </c>
      <c r="F167" s="2"/>
    </row>
    <row r="168" spans="1:6" ht="14" customHeight="1">
      <c r="A168" s="8">
        <v>7</v>
      </c>
      <c r="B168" s="7" t="str">
        <f>المدخلات!$F$4</f>
        <v>4:00–5:10 م</v>
      </c>
      <c r="C168" s="7">
        <v>3</v>
      </c>
      <c r="D168" s="7" t="s">
        <v>593</v>
      </c>
      <c r="E168" s="7" t="s">
        <v>766</v>
      </c>
      <c r="F168" s="2"/>
    </row>
    <row r="169" spans="1:6" ht="14" customHeight="1">
      <c r="A169" s="8">
        <v>7</v>
      </c>
      <c r="B169" s="7" t="str">
        <f>المدخلات!$F$5</f>
        <v>5:20–6:30 م</v>
      </c>
      <c r="C169" s="7">
        <v>1</v>
      </c>
      <c r="D169" s="7" t="s">
        <v>593</v>
      </c>
      <c r="E169" s="7" t="s">
        <v>768</v>
      </c>
      <c r="F169" s="2"/>
    </row>
    <row r="170" spans="1:6" ht="14" customHeight="1">
      <c r="A170" s="8">
        <v>7</v>
      </c>
      <c r="B170" s="7" t="str">
        <f>المدخلات!$F$5</f>
        <v>5:20–6:30 م</v>
      </c>
      <c r="C170" s="7">
        <v>2</v>
      </c>
      <c r="D170" s="7" t="s">
        <v>593</v>
      </c>
      <c r="E170" s="7" t="s">
        <v>42</v>
      </c>
      <c r="F170" s="2"/>
    </row>
    <row r="171" spans="1:6" ht="14" customHeight="1">
      <c r="A171" s="8">
        <v>7</v>
      </c>
      <c r="B171" s="7" t="str">
        <f>المدخلات!$F$5</f>
        <v>5:20–6:30 م</v>
      </c>
      <c r="C171" s="7">
        <v>3</v>
      </c>
      <c r="D171" s="7" t="s">
        <v>593</v>
      </c>
      <c r="E171" s="7" t="s">
        <v>769</v>
      </c>
      <c r="F171" s="2"/>
    </row>
    <row r="172" spans="1:6" ht="14" customHeight="1">
      <c r="A172" s="8">
        <v>7</v>
      </c>
      <c r="B172" s="7" t="str">
        <f>المدخلات!$F$6</f>
        <v>6:40–7:50 م</v>
      </c>
      <c r="C172" s="7">
        <v>1</v>
      </c>
      <c r="D172" s="7" t="s">
        <v>593</v>
      </c>
      <c r="E172" s="7" t="s">
        <v>767</v>
      </c>
      <c r="F172" s="2"/>
    </row>
    <row r="173" spans="1:6" ht="14" customHeight="1">
      <c r="A173" s="8">
        <v>7</v>
      </c>
      <c r="B173" s="7" t="str">
        <f>المدخلات!$F$4</f>
        <v>4:00–5:10 م</v>
      </c>
      <c r="C173" s="7">
        <v>4</v>
      </c>
      <c r="D173" s="7" t="s">
        <v>594</v>
      </c>
      <c r="E173" s="7" t="s">
        <v>233</v>
      </c>
      <c r="F173" s="2"/>
    </row>
    <row r="174" spans="1:6" ht="14" customHeight="1">
      <c r="A174" s="8">
        <v>7</v>
      </c>
      <c r="B174" s="7" t="str">
        <f>المدخلات!$F$4</f>
        <v>4:00–5:10 م</v>
      </c>
      <c r="C174" s="7">
        <v>5</v>
      </c>
      <c r="D174" s="7" t="s">
        <v>594</v>
      </c>
      <c r="E174" s="7" t="s">
        <v>856</v>
      </c>
      <c r="F174" s="2"/>
    </row>
    <row r="175" spans="1:6" ht="14" customHeight="1">
      <c r="A175" s="8">
        <v>7</v>
      </c>
      <c r="B175" s="7" t="str">
        <f>المدخلات!$F$4</f>
        <v>4:00–5:10 م</v>
      </c>
      <c r="C175" s="7">
        <v>6</v>
      </c>
      <c r="D175" s="7" t="s">
        <v>594</v>
      </c>
      <c r="E175" s="7" t="s">
        <v>815</v>
      </c>
      <c r="F175" s="2"/>
    </row>
    <row r="176" spans="1:6" ht="14" customHeight="1">
      <c r="A176" s="8">
        <v>7</v>
      </c>
      <c r="B176" s="7" t="str">
        <f>المدخلات!$F$5</f>
        <v>5:20–6:30 م</v>
      </c>
      <c r="C176" s="7">
        <v>4</v>
      </c>
      <c r="D176" s="7" t="s">
        <v>594</v>
      </c>
      <c r="E176" s="7" t="s">
        <v>875</v>
      </c>
      <c r="F176" s="2"/>
    </row>
    <row r="177" spans="1:6" ht="14" customHeight="1">
      <c r="A177" s="8">
        <v>7</v>
      </c>
      <c r="B177" s="7" t="str">
        <f>المدخلات!$F$5</f>
        <v>5:20–6:30 م</v>
      </c>
      <c r="C177" s="7">
        <v>5</v>
      </c>
      <c r="D177" s="7" t="s">
        <v>594</v>
      </c>
      <c r="E177" s="7" t="s">
        <v>229</v>
      </c>
      <c r="F177" s="2"/>
    </row>
    <row r="178" spans="1:6" ht="14" customHeight="1">
      <c r="A178" s="8">
        <v>7</v>
      </c>
      <c r="B178" s="7" t="str">
        <f>المدخلات!$F$5</f>
        <v>5:20–6:30 م</v>
      </c>
      <c r="C178" s="7">
        <v>6</v>
      </c>
      <c r="D178" s="7" t="s">
        <v>594</v>
      </c>
      <c r="E178" s="7" t="s">
        <v>932</v>
      </c>
      <c r="F178" s="2"/>
    </row>
    <row r="179" spans="1:6" ht="14" customHeight="1">
      <c r="A179" s="8">
        <v>7</v>
      </c>
      <c r="B179" s="7" t="str">
        <f>المدخلات!$F$6</f>
        <v>6:40–7:50 م</v>
      </c>
      <c r="C179" s="7">
        <v>4</v>
      </c>
      <c r="D179" s="7" t="s">
        <v>594</v>
      </c>
      <c r="E179" s="7" t="s">
        <v>870</v>
      </c>
      <c r="F179" s="2"/>
    </row>
    <row r="180" spans="1:6" ht="14" customHeight="1">
      <c r="A180" s="8">
        <v>7</v>
      </c>
      <c r="B180" s="7" t="str">
        <f>المدخلات!$F$4</f>
        <v>4:00–5:10 م</v>
      </c>
      <c r="C180" s="7">
        <v>7</v>
      </c>
      <c r="D180" s="7" t="s">
        <v>595</v>
      </c>
      <c r="E180" s="7" t="s">
        <v>374</v>
      </c>
      <c r="F180" s="2"/>
    </row>
    <row r="181" spans="1:6" ht="14" customHeight="1">
      <c r="A181" s="8">
        <v>7</v>
      </c>
      <c r="B181" s="7" t="str">
        <f>المدخلات!$F$4</f>
        <v>4:00–5:10 م</v>
      </c>
      <c r="C181" s="7">
        <v>8</v>
      </c>
      <c r="D181" s="7" t="s">
        <v>595</v>
      </c>
      <c r="E181" s="7" t="s">
        <v>1217</v>
      </c>
      <c r="F181" s="2"/>
    </row>
    <row r="182" spans="1:6" ht="14" customHeight="1">
      <c r="A182" s="8">
        <v>7</v>
      </c>
      <c r="B182" s="7" t="str">
        <f>المدخلات!$F$4</f>
        <v>4:00–5:10 م</v>
      </c>
      <c r="C182" s="7">
        <v>9</v>
      </c>
      <c r="D182" s="7" t="s">
        <v>595</v>
      </c>
      <c r="E182" s="7" t="s">
        <v>933</v>
      </c>
      <c r="F182" s="2"/>
    </row>
    <row r="183" spans="1:6" ht="14" customHeight="1">
      <c r="A183" s="8">
        <v>7</v>
      </c>
      <c r="B183" s="7" t="str">
        <f>المدخلات!$F$5</f>
        <v>5:20–6:30 م</v>
      </c>
      <c r="C183" s="7">
        <v>7</v>
      </c>
      <c r="D183" s="7" t="s">
        <v>595</v>
      </c>
      <c r="E183" s="7" t="s">
        <v>935</v>
      </c>
      <c r="F183" s="2"/>
    </row>
    <row r="184" spans="1:6" ht="14" customHeight="1">
      <c r="A184" s="8">
        <v>7</v>
      </c>
      <c r="B184" s="7" t="str">
        <f>المدخلات!$F$5</f>
        <v>5:20–6:30 م</v>
      </c>
      <c r="C184" s="7">
        <v>8</v>
      </c>
      <c r="D184" s="7" t="s">
        <v>595</v>
      </c>
      <c r="E184" s="7" t="s">
        <v>349</v>
      </c>
      <c r="F184" s="2"/>
    </row>
    <row r="185" spans="1:6" ht="14" customHeight="1">
      <c r="A185" s="8">
        <v>7</v>
      </c>
      <c r="B185" s="7" t="str">
        <f>المدخلات!$F$5</f>
        <v>5:20–6:30 م</v>
      </c>
      <c r="C185" s="7">
        <v>9</v>
      </c>
      <c r="D185" s="7" t="s">
        <v>595</v>
      </c>
      <c r="E185" s="7" t="s">
        <v>936</v>
      </c>
      <c r="F185" s="2"/>
    </row>
    <row r="186" spans="1:6" ht="14" customHeight="1">
      <c r="A186" s="8">
        <v>7</v>
      </c>
      <c r="B186" s="7" t="str">
        <f>المدخلات!$F$6</f>
        <v>6:40–7:50 م</v>
      </c>
      <c r="C186" s="7">
        <v>7</v>
      </c>
      <c r="D186" s="7" t="s">
        <v>595</v>
      </c>
      <c r="E186" s="7" t="s">
        <v>934</v>
      </c>
      <c r="F186" s="2"/>
    </row>
    <row r="187" spans="1:6" ht="14" customHeight="1">
      <c r="A187" s="8">
        <v>7</v>
      </c>
      <c r="B187" s="7" t="str">
        <f>المدخلات!$F$4</f>
        <v>4:00–5:10 م</v>
      </c>
      <c r="C187" s="7">
        <v>10</v>
      </c>
      <c r="D187" s="7" t="s">
        <v>596</v>
      </c>
      <c r="E187" s="7" t="s">
        <v>518</v>
      </c>
      <c r="F187" s="2"/>
    </row>
    <row r="188" spans="1:6" ht="14" customHeight="1">
      <c r="A188" s="8">
        <v>7</v>
      </c>
      <c r="B188" s="7" t="str">
        <f>المدخلات!$F$4</f>
        <v>4:00–5:10 م</v>
      </c>
      <c r="C188" s="7">
        <v>11</v>
      </c>
      <c r="D188" s="7" t="s">
        <v>596</v>
      </c>
      <c r="E188" s="7" t="s">
        <v>937</v>
      </c>
      <c r="F188" s="2"/>
    </row>
    <row r="189" spans="1:6" ht="14" customHeight="1">
      <c r="A189" s="8">
        <v>7</v>
      </c>
      <c r="B189" s="7" t="str">
        <f>المدخلات!$F$5</f>
        <v>5:20–6:30 م</v>
      </c>
      <c r="C189" s="7">
        <v>10</v>
      </c>
      <c r="D189" s="7" t="s">
        <v>596</v>
      </c>
      <c r="E189" s="7" t="s">
        <v>684</v>
      </c>
      <c r="F189" s="2"/>
    </row>
    <row r="190" spans="1:6" ht="14" customHeight="1">
      <c r="A190" s="8">
        <v>7</v>
      </c>
      <c r="B190" s="7" t="str">
        <f>المدخلات!$F$5</f>
        <v>5:20–6:30 م</v>
      </c>
      <c r="C190" s="7">
        <v>11</v>
      </c>
      <c r="D190" s="7" t="s">
        <v>596</v>
      </c>
      <c r="E190" s="7" t="s">
        <v>454</v>
      </c>
      <c r="F190" s="2"/>
    </row>
    <row r="191" spans="1:6" ht="14" customHeight="1">
      <c r="A191" s="8">
        <v>7</v>
      </c>
      <c r="B191" s="7" t="str">
        <f>المدخلات!$F$6</f>
        <v>6:40–7:50 م</v>
      </c>
      <c r="C191" s="7">
        <v>10</v>
      </c>
      <c r="D191" s="7" t="s">
        <v>596</v>
      </c>
      <c r="E191" s="7" t="s">
        <v>462</v>
      </c>
      <c r="F191" s="2"/>
    </row>
    <row r="192" spans="1:6" ht="14" customHeight="1">
      <c r="A192" s="8">
        <v>7</v>
      </c>
      <c r="B192" s="7" t="str">
        <f>المدخلات!$F$6</f>
        <v>6:40–7:50 م</v>
      </c>
      <c r="C192" s="7">
        <v>11</v>
      </c>
      <c r="D192" s="7" t="s">
        <v>596</v>
      </c>
      <c r="E192" s="7" t="s">
        <v>1242</v>
      </c>
      <c r="F192" s="2"/>
    </row>
    <row r="193" spans="1:6" ht="14" customHeight="1">
      <c r="A193" s="8">
        <v>8</v>
      </c>
      <c r="B193" s="7" t="str">
        <f>المدخلات!$F$4</f>
        <v>4:00–5:10 م</v>
      </c>
      <c r="C193" s="7">
        <v>1</v>
      </c>
      <c r="D193" s="7" t="s">
        <v>593</v>
      </c>
      <c r="E193" s="7" t="s">
        <v>38</v>
      </c>
      <c r="F193" s="2"/>
    </row>
    <row r="194" spans="1:6" ht="14" customHeight="1">
      <c r="A194" s="8">
        <v>8</v>
      </c>
      <c r="B194" s="7" t="str">
        <f>المدخلات!$F$4</f>
        <v>4:00–5:10 م</v>
      </c>
      <c r="C194" s="7">
        <v>2</v>
      </c>
      <c r="D194" s="7" t="s">
        <v>593</v>
      </c>
      <c r="E194" s="7" t="s">
        <v>28</v>
      </c>
      <c r="F194" s="2"/>
    </row>
    <row r="195" spans="1:6" ht="14" customHeight="1">
      <c r="A195" s="8">
        <v>8</v>
      </c>
      <c r="B195" s="7" t="str">
        <f>المدخلات!$F$4</f>
        <v>4:00–5:10 م</v>
      </c>
      <c r="C195" s="7">
        <v>3</v>
      </c>
      <c r="D195" s="7" t="s">
        <v>593</v>
      </c>
      <c r="E195" s="7" t="s">
        <v>98</v>
      </c>
      <c r="F195" s="2"/>
    </row>
    <row r="196" spans="1:6" ht="14" customHeight="1">
      <c r="A196" s="8">
        <v>8</v>
      </c>
      <c r="B196" s="7" t="str">
        <f>المدخلات!$F$5</f>
        <v>5:20–6:30 م</v>
      </c>
      <c r="C196" s="7">
        <v>1</v>
      </c>
      <c r="D196" s="7" t="s">
        <v>593</v>
      </c>
      <c r="E196" s="7" t="s">
        <v>25</v>
      </c>
      <c r="F196" s="2"/>
    </row>
    <row r="197" spans="1:6" ht="14" customHeight="1">
      <c r="A197" s="8">
        <v>8</v>
      </c>
      <c r="B197" s="7" t="str">
        <f>المدخلات!$F$5</f>
        <v>5:20–6:30 م</v>
      </c>
      <c r="C197" s="7">
        <v>2</v>
      </c>
      <c r="D197" s="7" t="s">
        <v>593</v>
      </c>
      <c r="E197" s="7" t="s">
        <v>792</v>
      </c>
      <c r="F197" s="2"/>
    </row>
    <row r="198" spans="1:6" ht="14" customHeight="1">
      <c r="A198" s="8">
        <v>8</v>
      </c>
      <c r="B198" s="7" t="str">
        <f>المدخلات!$F$5</f>
        <v>5:20–6:30 م</v>
      </c>
      <c r="C198" s="7">
        <v>3</v>
      </c>
      <c r="D198" s="7" t="s">
        <v>593</v>
      </c>
      <c r="E198" s="7" t="s">
        <v>48</v>
      </c>
      <c r="F198" s="2"/>
    </row>
    <row r="199" spans="1:6" ht="14" customHeight="1">
      <c r="A199" s="8">
        <v>8</v>
      </c>
      <c r="B199" s="7" t="str">
        <f>المدخلات!$F$6</f>
        <v>6:40–7:50 م</v>
      </c>
      <c r="C199" s="7">
        <v>1</v>
      </c>
      <c r="D199" s="7" t="s">
        <v>593</v>
      </c>
      <c r="E199" s="7" t="s">
        <v>791</v>
      </c>
      <c r="F199" s="2"/>
    </row>
    <row r="200" spans="1:6" ht="14" customHeight="1">
      <c r="A200" s="8">
        <v>8</v>
      </c>
      <c r="B200" s="7" t="str">
        <f>المدخلات!$F$4</f>
        <v>4:00–5:10 م</v>
      </c>
      <c r="C200" s="7">
        <v>4</v>
      </c>
      <c r="D200" s="7" t="s">
        <v>594</v>
      </c>
      <c r="E200" s="7" t="s">
        <v>228</v>
      </c>
      <c r="F200" s="2"/>
    </row>
    <row r="201" spans="1:6" ht="14" customHeight="1">
      <c r="A201" s="8">
        <v>8</v>
      </c>
      <c r="B201" s="7" t="str">
        <f>المدخلات!$F$4</f>
        <v>4:00–5:10 م</v>
      </c>
      <c r="C201" s="7">
        <v>5</v>
      </c>
      <c r="D201" s="7" t="s">
        <v>594</v>
      </c>
      <c r="E201" s="7" t="s">
        <v>219</v>
      </c>
      <c r="F201" s="2"/>
    </row>
    <row r="202" spans="1:6" ht="14" customHeight="1">
      <c r="A202" s="8">
        <v>8</v>
      </c>
      <c r="B202" s="7" t="str">
        <f>المدخلات!$F$4</f>
        <v>4:00–5:10 م</v>
      </c>
      <c r="C202" s="7">
        <v>6</v>
      </c>
      <c r="D202" s="7" t="s">
        <v>594</v>
      </c>
      <c r="E202" s="7" t="s">
        <v>259</v>
      </c>
      <c r="F202" s="2"/>
    </row>
    <row r="203" spans="1:6" ht="14" customHeight="1">
      <c r="A203" s="8">
        <v>8</v>
      </c>
      <c r="B203" s="7" t="str">
        <f>المدخلات!$F$5</f>
        <v>5:20–6:30 م</v>
      </c>
      <c r="C203" s="7">
        <v>4</v>
      </c>
      <c r="D203" s="7" t="s">
        <v>594</v>
      </c>
      <c r="E203" s="7" t="s">
        <v>207</v>
      </c>
      <c r="F203" s="2"/>
    </row>
    <row r="204" spans="1:6" ht="14" customHeight="1">
      <c r="A204" s="8">
        <v>8</v>
      </c>
      <c r="B204" s="7" t="str">
        <f>المدخلات!$F$5</f>
        <v>5:20–6:30 م</v>
      </c>
      <c r="C204" s="7">
        <v>5</v>
      </c>
      <c r="D204" s="7" t="s">
        <v>594</v>
      </c>
      <c r="E204" s="7" t="s">
        <v>871</v>
      </c>
      <c r="F204" s="2"/>
    </row>
    <row r="205" spans="1:6" ht="14" customHeight="1">
      <c r="A205" s="8">
        <v>8</v>
      </c>
      <c r="B205" s="7" t="str">
        <f>المدخلات!$F$5</f>
        <v>5:20–6:30 م</v>
      </c>
      <c r="C205" s="7">
        <v>6</v>
      </c>
      <c r="D205" s="7" t="s">
        <v>594</v>
      </c>
      <c r="E205" s="7" t="s">
        <v>325</v>
      </c>
      <c r="F205" s="2"/>
    </row>
    <row r="206" spans="1:6" ht="14" customHeight="1">
      <c r="A206" s="8">
        <v>8</v>
      </c>
      <c r="B206" s="7" t="str">
        <f>المدخلات!$F$6</f>
        <v>6:40–7:50 م</v>
      </c>
      <c r="C206" s="7">
        <v>4</v>
      </c>
      <c r="D206" s="7" t="s">
        <v>594</v>
      </c>
      <c r="E206" s="7" t="s">
        <v>859</v>
      </c>
      <c r="F206" s="2"/>
    </row>
    <row r="207" spans="1:6" ht="14" customHeight="1">
      <c r="A207" s="8">
        <v>8</v>
      </c>
      <c r="B207" s="7" t="str">
        <f>المدخلات!$F$4</f>
        <v>4:00–5:10 م</v>
      </c>
      <c r="C207" s="7">
        <v>7</v>
      </c>
      <c r="D207" s="7" t="s">
        <v>595</v>
      </c>
      <c r="E207" s="7" t="s">
        <v>351</v>
      </c>
      <c r="F207" s="2"/>
    </row>
    <row r="208" spans="1:6" ht="14" customHeight="1">
      <c r="A208" s="8">
        <v>8</v>
      </c>
      <c r="B208" s="7" t="str">
        <f>المدخلات!$F$4</f>
        <v>4:00–5:10 م</v>
      </c>
      <c r="C208" s="7">
        <v>8</v>
      </c>
      <c r="D208" s="7" t="s">
        <v>595</v>
      </c>
      <c r="E208" s="7" t="s">
        <v>342</v>
      </c>
      <c r="F208" s="2"/>
    </row>
    <row r="209" spans="1:6" ht="14" customHeight="1">
      <c r="A209" s="8">
        <v>8</v>
      </c>
      <c r="B209" s="7" t="str">
        <f>المدخلات!$F$4</f>
        <v>4:00–5:10 م</v>
      </c>
      <c r="C209" s="7">
        <v>9</v>
      </c>
      <c r="D209" s="7" t="s">
        <v>595</v>
      </c>
      <c r="E209" s="7" t="s">
        <v>410</v>
      </c>
      <c r="F209" s="2"/>
    </row>
    <row r="210" spans="1:6" ht="14" customHeight="1">
      <c r="A210" s="8">
        <v>8</v>
      </c>
      <c r="B210" s="7" t="str">
        <f>المدخلات!$F$5</f>
        <v>5:20–6:30 م</v>
      </c>
      <c r="C210" s="7">
        <v>7</v>
      </c>
      <c r="D210" s="7" t="s">
        <v>595</v>
      </c>
      <c r="E210" s="7" t="s">
        <v>336</v>
      </c>
      <c r="F210" s="2"/>
    </row>
    <row r="211" spans="1:6" ht="14" customHeight="1">
      <c r="A211" s="8">
        <v>8</v>
      </c>
      <c r="B211" s="7" t="str">
        <f>المدخلات!$F$5</f>
        <v>5:20–6:30 م</v>
      </c>
      <c r="C211" s="7">
        <v>8</v>
      </c>
      <c r="D211" s="7" t="s">
        <v>595</v>
      </c>
      <c r="E211" s="7" t="s">
        <v>940</v>
      </c>
      <c r="F211" s="2"/>
    </row>
    <row r="212" spans="1:6" ht="14" customHeight="1">
      <c r="A212" s="8">
        <v>8</v>
      </c>
      <c r="B212" s="7" t="str">
        <f>المدخلات!$F$5</f>
        <v>5:20–6:30 م</v>
      </c>
      <c r="C212" s="7">
        <v>9</v>
      </c>
      <c r="D212" s="7" t="s">
        <v>595</v>
      </c>
      <c r="E212" s="7" t="s">
        <v>375</v>
      </c>
      <c r="F212" s="2"/>
    </row>
    <row r="213" spans="1:6" ht="14" customHeight="1">
      <c r="A213" s="8">
        <v>8</v>
      </c>
      <c r="B213" s="7" t="str">
        <f>المدخلات!$F$6</f>
        <v>6:40–7:50 م</v>
      </c>
      <c r="C213" s="7">
        <v>7</v>
      </c>
      <c r="D213" s="7" t="s">
        <v>595</v>
      </c>
      <c r="E213" s="7" t="s">
        <v>939</v>
      </c>
      <c r="F213" s="2"/>
    </row>
    <row r="214" spans="1:6" ht="14" customHeight="1">
      <c r="A214" s="8">
        <v>8</v>
      </c>
      <c r="B214" s="7" t="str">
        <f>المدخلات!$F$4</f>
        <v>4:00–5:10 م</v>
      </c>
      <c r="C214" s="7">
        <v>10</v>
      </c>
      <c r="D214" s="7" t="s">
        <v>596</v>
      </c>
      <c r="E214" s="7" t="s">
        <v>444</v>
      </c>
      <c r="F214" s="2"/>
    </row>
    <row r="215" spans="1:6" ht="14" customHeight="1">
      <c r="A215" s="8">
        <v>8</v>
      </c>
      <c r="B215" s="7" t="str">
        <f>المدخلات!$F$4</f>
        <v>4:00–5:10 م</v>
      </c>
      <c r="C215" s="7">
        <v>11</v>
      </c>
      <c r="D215" s="7" t="s">
        <v>596</v>
      </c>
      <c r="E215" s="7" t="s">
        <v>519</v>
      </c>
      <c r="F215" s="2"/>
    </row>
    <row r="216" spans="1:6" ht="14" customHeight="1">
      <c r="A216" s="8">
        <v>8</v>
      </c>
      <c r="B216" s="7" t="str">
        <f>المدخلات!$F$5</f>
        <v>5:20–6:30 م</v>
      </c>
      <c r="C216" s="7">
        <v>10</v>
      </c>
      <c r="D216" s="7" t="s">
        <v>596</v>
      </c>
      <c r="E216" s="7" t="s">
        <v>448</v>
      </c>
      <c r="F216" s="2"/>
    </row>
    <row r="217" spans="1:6" ht="14" customHeight="1">
      <c r="A217" s="8">
        <v>8</v>
      </c>
      <c r="B217" s="7" t="str">
        <f>المدخلات!$F$5</f>
        <v>5:20–6:30 م</v>
      </c>
      <c r="C217" s="7">
        <v>11</v>
      </c>
      <c r="D217" s="7" t="s">
        <v>596</v>
      </c>
      <c r="E217" s="7" t="s">
        <v>508</v>
      </c>
      <c r="F217" s="2"/>
    </row>
    <row r="218" spans="1:6" ht="14" customHeight="1">
      <c r="A218" s="8">
        <v>8</v>
      </c>
      <c r="B218" s="7" t="str">
        <f>المدخلات!$F$6</f>
        <v>6:40–7:50 م</v>
      </c>
      <c r="C218" s="7">
        <v>10</v>
      </c>
      <c r="D218" s="7" t="s">
        <v>596</v>
      </c>
      <c r="E218" s="7" t="s">
        <v>455</v>
      </c>
      <c r="F218" s="2"/>
    </row>
    <row r="219" spans="1:6" ht="14" customHeight="1">
      <c r="A219" s="8">
        <v>8</v>
      </c>
      <c r="B219" s="7" t="str">
        <f>المدخلات!$F$6</f>
        <v>6:40–7:50 م</v>
      </c>
      <c r="C219" s="7">
        <v>11</v>
      </c>
      <c r="D219" s="7" t="s">
        <v>596</v>
      </c>
      <c r="E219" s="7" t="s">
        <v>692</v>
      </c>
      <c r="F219" s="2"/>
    </row>
    <row r="220" spans="1:6" ht="14" customHeight="1">
      <c r="A220" s="8">
        <v>9</v>
      </c>
      <c r="B220" s="7" t="str">
        <f>المدخلات!$F$4</f>
        <v>4:00–5:10 م</v>
      </c>
      <c r="C220" s="7">
        <v>1</v>
      </c>
      <c r="D220" s="7" t="s">
        <v>593</v>
      </c>
      <c r="E220" s="7" t="s">
        <v>15</v>
      </c>
      <c r="F220" s="2"/>
    </row>
    <row r="221" spans="1:6" ht="14" customHeight="1">
      <c r="A221" s="8">
        <v>9</v>
      </c>
      <c r="B221" s="7" t="str">
        <f>المدخلات!$F$4</f>
        <v>4:00–5:10 م</v>
      </c>
      <c r="C221" s="7">
        <v>2</v>
      </c>
      <c r="D221" s="7" t="s">
        <v>593</v>
      </c>
      <c r="E221" s="7" t="s">
        <v>24</v>
      </c>
      <c r="F221" s="2"/>
    </row>
    <row r="222" spans="1:6" ht="14" customHeight="1">
      <c r="A222" s="8">
        <v>9</v>
      </c>
      <c r="B222" s="7" t="str">
        <f>المدخلات!$F$4</f>
        <v>4:00–5:10 م</v>
      </c>
      <c r="C222" s="7">
        <v>3</v>
      </c>
      <c r="D222" s="7" t="s">
        <v>593</v>
      </c>
      <c r="E222" s="7" t="s">
        <v>32</v>
      </c>
      <c r="F222" s="2"/>
    </row>
    <row r="223" spans="1:6" ht="14" customHeight="1">
      <c r="A223" s="8">
        <v>9</v>
      </c>
      <c r="B223" s="7" t="str">
        <f>المدخلات!$F$5</f>
        <v>5:20–6:30 م</v>
      </c>
      <c r="C223" s="7">
        <v>1</v>
      </c>
      <c r="D223" s="7" t="s">
        <v>593</v>
      </c>
      <c r="E223" s="7" t="s">
        <v>92</v>
      </c>
      <c r="F223" s="2"/>
    </row>
    <row r="224" spans="1:6" ht="14" customHeight="1">
      <c r="A224" s="8">
        <v>9</v>
      </c>
      <c r="B224" s="7" t="str">
        <f>المدخلات!$F$5</f>
        <v>5:20–6:30 م</v>
      </c>
      <c r="C224" s="7">
        <v>2</v>
      </c>
      <c r="D224" s="7" t="s">
        <v>593</v>
      </c>
      <c r="E224" s="7" t="s">
        <v>99</v>
      </c>
      <c r="F224" s="2"/>
    </row>
    <row r="225" spans="1:6" ht="14" customHeight="1">
      <c r="A225" s="8">
        <v>9</v>
      </c>
      <c r="B225" s="7" t="str">
        <f>المدخلات!$F$5</f>
        <v>5:20–6:30 م</v>
      </c>
      <c r="C225" s="7">
        <v>3</v>
      </c>
      <c r="D225" s="7" t="s">
        <v>593</v>
      </c>
      <c r="E225" s="7" t="s">
        <v>804</v>
      </c>
      <c r="F225" s="2"/>
    </row>
    <row r="226" spans="1:6" ht="14" customHeight="1">
      <c r="A226" s="8">
        <v>9</v>
      </c>
      <c r="B226" s="7" t="str">
        <f>المدخلات!$F$6</f>
        <v>6:40–7:50 م</v>
      </c>
      <c r="C226" s="7">
        <v>1</v>
      </c>
      <c r="D226" s="7" t="s">
        <v>593</v>
      </c>
      <c r="E226" s="7" t="s">
        <v>805</v>
      </c>
      <c r="F226" s="2"/>
    </row>
    <row r="227" spans="1:6" ht="14" customHeight="1">
      <c r="A227" s="8">
        <v>9</v>
      </c>
      <c r="B227" s="7" t="str">
        <f>المدخلات!$F$4</f>
        <v>4:00–5:10 م</v>
      </c>
      <c r="C227" s="7">
        <v>4</v>
      </c>
      <c r="D227" s="7" t="s">
        <v>594</v>
      </c>
      <c r="E227" s="7" t="s">
        <v>198</v>
      </c>
      <c r="F227" s="2"/>
    </row>
    <row r="228" spans="1:6" ht="14" customHeight="1">
      <c r="A228" s="8">
        <v>9</v>
      </c>
      <c r="B228" s="7" t="str">
        <f>المدخلات!$F$4</f>
        <v>4:00–5:10 م</v>
      </c>
      <c r="C228" s="7">
        <v>5</v>
      </c>
      <c r="D228" s="7" t="s">
        <v>594</v>
      </c>
      <c r="E228" s="7" t="s">
        <v>205</v>
      </c>
      <c r="F228" s="2"/>
    </row>
    <row r="229" spans="1:6" ht="14" customHeight="1">
      <c r="A229" s="8">
        <v>9</v>
      </c>
      <c r="B229" s="7" t="str">
        <f>المدخلات!$F$4</f>
        <v>4:00–5:10 م</v>
      </c>
      <c r="C229" s="7">
        <v>6</v>
      </c>
      <c r="D229" s="7" t="s">
        <v>594</v>
      </c>
      <c r="E229" s="7" t="s">
        <v>220</v>
      </c>
      <c r="F229" s="2"/>
    </row>
    <row r="230" spans="1:6" ht="14" customHeight="1">
      <c r="A230" s="8">
        <v>9</v>
      </c>
      <c r="B230" s="7" t="str">
        <f>المدخلات!$F$5</f>
        <v>5:20–6:30 م</v>
      </c>
      <c r="C230" s="7">
        <v>4</v>
      </c>
      <c r="D230" s="7" t="s">
        <v>594</v>
      </c>
      <c r="E230" s="7" t="s">
        <v>252</v>
      </c>
      <c r="F230" s="2"/>
    </row>
    <row r="231" spans="1:6" ht="14" customHeight="1">
      <c r="A231" s="8">
        <v>9</v>
      </c>
      <c r="B231" s="7" t="str">
        <f>المدخلات!$F$5</f>
        <v>5:20–6:30 م</v>
      </c>
      <c r="C231" s="7">
        <v>5</v>
      </c>
      <c r="D231" s="7" t="s">
        <v>594</v>
      </c>
      <c r="E231" s="7" t="s">
        <v>260</v>
      </c>
      <c r="F231" s="2"/>
    </row>
    <row r="232" spans="1:6" ht="14" customHeight="1">
      <c r="A232" s="8">
        <v>9</v>
      </c>
      <c r="B232" s="7" t="str">
        <f>المدخلات!$F$5</f>
        <v>5:20–6:30 م</v>
      </c>
      <c r="C232" s="7">
        <v>6</v>
      </c>
      <c r="D232" s="7" t="s">
        <v>594</v>
      </c>
      <c r="E232" s="7" t="s">
        <v>836</v>
      </c>
      <c r="F232" s="2"/>
    </row>
    <row r="233" spans="1:6" ht="14" customHeight="1">
      <c r="A233" s="8">
        <v>9</v>
      </c>
      <c r="B233" s="7" t="str">
        <f>المدخلات!$F$6</f>
        <v>6:40–7:50 م</v>
      </c>
      <c r="C233" s="7">
        <v>4</v>
      </c>
      <c r="D233" s="7" t="s">
        <v>594</v>
      </c>
      <c r="E233" s="7" t="s">
        <v>860</v>
      </c>
      <c r="F233" s="2"/>
    </row>
    <row r="234" spans="1:6" ht="14" customHeight="1">
      <c r="A234" s="8">
        <v>9</v>
      </c>
      <c r="B234" s="7" t="str">
        <f>المدخلات!$F$4</f>
        <v>4:00–5:10 م</v>
      </c>
      <c r="C234" s="7">
        <v>7</v>
      </c>
      <c r="D234" s="7" t="s">
        <v>595</v>
      </c>
      <c r="E234" s="7" t="s">
        <v>329</v>
      </c>
      <c r="F234" s="2"/>
    </row>
    <row r="235" spans="1:6" ht="14" customHeight="1">
      <c r="A235" s="8">
        <v>9</v>
      </c>
      <c r="B235" s="7" t="str">
        <f>المدخلات!$F$4</f>
        <v>4:00–5:10 م</v>
      </c>
      <c r="C235" s="7">
        <v>8</v>
      </c>
      <c r="D235" s="7" t="s">
        <v>595</v>
      </c>
      <c r="E235" s="7" t="s">
        <v>337</v>
      </c>
      <c r="F235" s="2"/>
    </row>
    <row r="236" spans="1:6" ht="14" customHeight="1">
      <c r="A236" s="8">
        <v>9</v>
      </c>
      <c r="B236" s="7" t="str">
        <f>المدخلات!$F$4</f>
        <v>4:00–5:10 م</v>
      </c>
      <c r="C236" s="7">
        <v>9</v>
      </c>
      <c r="D236" s="7" t="s">
        <v>595</v>
      </c>
      <c r="E236" s="7" t="s">
        <v>343</v>
      </c>
      <c r="F236" s="2"/>
    </row>
    <row r="237" spans="1:6" ht="14" customHeight="1">
      <c r="A237" s="8">
        <v>9</v>
      </c>
      <c r="B237" s="7" t="str">
        <f>المدخلات!$F$5</f>
        <v>5:20–6:30 م</v>
      </c>
      <c r="C237" s="7">
        <v>7</v>
      </c>
      <c r="D237" s="7" t="s">
        <v>595</v>
      </c>
      <c r="E237" s="7" t="s">
        <v>405</v>
      </c>
      <c r="F237" s="2"/>
    </row>
    <row r="238" spans="1:6" ht="14" customHeight="1">
      <c r="A238" s="8">
        <v>9</v>
      </c>
      <c r="B238" s="7" t="str">
        <f>المدخلات!$F$5</f>
        <v>5:20–6:30 م</v>
      </c>
      <c r="C238" s="7">
        <v>8</v>
      </c>
      <c r="D238" s="7" t="s">
        <v>595</v>
      </c>
      <c r="E238" s="7" t="s">
        <v>411</v>
      </c>
      <c r="F238" s="2"/>
    </row>
    <row r="239" spans="1:6" ht="14" customHeight="1">
      <c r="A239" s="8">
        <v>9</v>
      </c>
      <c r="B239" s="7" t="str">
        <f>المدخلات!$F$5</f>
        <v>5:20–6:30 م</v>
      </c>
      <c r="C239" s="7">
        <v>9</v>
      </c>
      <c r="D239" s="7" t="s">
        <v>595</v>
      </c>
      <c r="E239" s="7" t="s">
        <v>891</v>
      </c>
      <c r="F239" s="2"/>
    </row>
    <row r="240" spans="1:6" ht="14" customHeight="1">
      <c r="A240" s="8">
        <v>9</v>
      </c>
      <c r="B240" s="7" t="str">
        <f>المدخلات!$F$6</f>
        <v>6:40–7:50 م</v>
      </c>
      <c r="C240" s="7">
        <v>7</v>
      </c>
      <c r="D240" s="7" t="s">
        <v>595</v>
      </c>
      <c r="E240" s="7" t="s">
        <v>941</v>
      </c>
      <c r="F240" s="2"/>
    </row>
    <row r="241" spans="1:6" ht="14" customHeight="1">
      <c r="A241" s="8">
        <v>9</v>
      </c>
      <c r="B241" s="7" t="str">
        <f>المدخلات!$F$4</f>
        <v>4:00–5:10 م</v>
      </c>
      <c r="C241" s="7">
        <v>10</v>
      </c>
      <c r="D241" s="7" t="s">
        <v>596</v>
      </c>
      <c r="E241" s="7" t="s">
        <v>509</v>
      </c>
      <c r="F241" s="2"/>
    </row>
    <row r="242" spans="1:6" ht="14" customHeight="1">
      <c r="A242" s="8">
        <v>9</v>
      </c>
      <c r="B242" s="7" t="str">
        <f>المدخلات!$F$4</f>
        <v>4:00–5:10 م</v>
      </c>
      <c r="C242" s="7">
        <v>11</v>
      </c>
      <c r="D242" s="7" t="s">
        <v>596</v>
      </c>
      <c r="E242" s="7" t="s">
        <v>443</v>
      </c>
      <c r="F242" s="2"/>
    </row>
    <row r="243" spans="1:6" ht="14" customHeight="1">
      <c r="A243" s="8">
        <v>9</v>
      </c>
      <c r="B243" s="7" t="str">
        <f>المدخلات!$F$5</f>
        <v>5:20–6:30 م</v>
      </c>
      <c r="C243" s="7">
        <v>10</v>
      </c>
      <c r="D243" s="7" t="s">
        <v>596</v>
      </c>
      <c r="E243" s="7" t="s">
        <v>449</v>
      </c>
      <c r="F243" s="2"/>
    </row>
    <row r="244" spans="1:6" ht="14" customHeight="1">
      <c r="A244" s="8">
        <v>9</v>
      </c>
      <c r="B244" s="7" t="str">
        <f>المدخلات!$F$5</f>
        <v>5:20–6:30 م</v>
      </c>
      <c r="C244" s="7">
        <v>11</v>
      </c>
      <c r="D244" s="7" t="s">
        <v>596</v>
      </c>
      <c r="E244" s="7" t="s">
        <v>515</v>
      </c>
      <c r="F244" s="2"/>
    </row>
    <row r="245" spans="1:6" ht="14" customHeight="1">
      <c r="A245" s="8">
        <v>9</v>
      </c>
      <c r="B245" s="7" t="str">
        <f>المدخلات!$F$6</f>
        <v>6:40–7:50 م</v>
      </c>
      <c r="C245" s="7">
        <v>10</v>
      </c>
      <c r="D245" s="7" t="s">
        <v>596</v>
      </c>
      <c r="E245" s="7" t="s">
        <v>441</v>
      </c>
      <c r="F245" s="2"/>
    </row>
    <row r="246" spans="1:6" ht="14" customHeight="1">
      <c r="A246" s="8">
        <v>9</v>
      </c>
      <c r="B246" s="7" t="str">
        <f>المدخلات!$F$6</f>
        <v>6:40–7:50 م</v>
      </c>
      <c r="C246" s="7">
        <v>11</v>
      </c>
      <c r="D246" s="7" t="s">
        <v>596</v>
      </c>
      <c r="E246" s="7" t="s">
        <v>499</v>
      </c>
      <c r="F246" s="2"/>
    </row>
    <row r="247" spans="1:6" ht="14" customHeight="1">
      <c r="A247" s="8">
        <v>10</v>
      </c>
      <c r="B247" s="7" t="str">
        <f>المدخلات!$F$4</f>
        <v>4:00–5:10 م</v>
      </c>
      <c r="C247" s="7">
        <v>1</v>
      </c>
      <c r="D247" s="7" t="s">
        <v>593</v>
      </c>
      <c r="E247" s="7" t="s">
        <v>94</v>
      </c>
      <c r="F247" s="2"/>
    </row>
    <row r="248" spans="1:6" ht="14" customHeight="1">
      <c r="A248" s="8">
        <v>10</v>
      </c>
      <c r="B248" s="7" t="str">
        <f>المدخلات!$F$4</f>
        <v>4:00–5:10 م</v>
      </c>
      <c r="C248" s="7">
        <v>2</v>
      </c>
      <c r="D248" s="7" t="s">
        <v>593</v>
      </c>
      <c r="E248" s="7" t="s">
        <v>27</v>
      </c>
      <c r="F248" s="2"/>
    </row>
    <row r="249" spans="1:6" ht="14" customHeight="1">
      <c r="A249" s="8">
        <v>10</v>
      </c>
      <c r="B249" s="7" t="str">
        <f>المدخلات!$F$4</f>
        <v>4:00–5:10 م</v>
      </c>
      <c r="C249" s="7">
        <v>3</v>
      </c>
      <c r="D249" s="7" t="s">
        <v>593</v>
      </c>
      <c r="E249" s="7" t="s">
        <v>93</v>
      </c>
      <c r="F249" s="2"/>
    </row>
    <row r="250" spans="1:6" ht="14" customHeight="1">
      <c r="A250" s="8">
        <v>10</v>
      </c>
      <c r="B250" s="7" t="str">
        <f>المدخلات!$F$5</f>
        <v>5:20–6:30 م</v>
      </c>
      <c r="C250" s="7">
        <v>1</v>
      </c>
      <c r="D250" s="7" t="s">
        <v>593</v>
      </c>
      <c r="E250" s="7" t="s">
        <v>31</v>
      </c>
      <c r="F250" s="2"/>
    </row>
    <row r="251" spans="1:6" ht="14" customHeight="1">
      <c r="A251" s="8">
        <v>10</v>
      </c>
      <c r="B251" s="7" t="str">
        <f>المدخلات!$F$5</f>
        <v>5:20–6:30 م</v>
      </c>
      <c r="C251" s="7">
        <v>2</v>
      </c>
      <c r="D251" s="7" t="s">
        <v>593</v>
      </c>
      <c r="E251" s="7" t="s">
        <v>72</v>
      </c>
      <c r="F251" s="2"/>
    </row>
    <row r="252" spans="1:6" ht="14" customHeight="1">
      <c r="A252" s="8">
        <v>10</v>
      </c>
      <c r="B252" s="7" t="str">
        <f>المدخلات!$F$5</f>
        <v>5:20–6:30 م</v>
      </c>
      <c r="C252" s="7">
        <v>3</v>
      </c>
      <c r="D252" s="7" t="s">
        <v>593</v>
      </c>
      <c r="E252" s="7" t="s">
        <v>9</v>
      </c>
      <c r="F252" s="2"/>
    </row>
    <row r="253" spans="1:6" ht="14" customHeight="1">
      <c r="A253" s="8">
        <v>10</v>
      </c>
      <c r="B253" s="7" t="str">
        <f>المدخلات!$F$6</f>
        <v>6:40–7:50 م</v>
      </c>
      <c r="C253" s="7">
        <v>1</v>
      </c>
      <c r="D253" s="7" t="s">
        <v>593</v>
      </c>
      <c r="E253" s="7" t="s">
        <v>1035</v>
      </c>
      <c r="F253" s="2"/>
    </row>
    <row r="254" spans="1:6" ht="14" customHeight="1">
      <c r="A254" s="8">
        <v>10</v>
      </c>
      <c r="B254" s="7" t="str">
        <f>المدخلات!$F$4</f>
        <v>4:00–5:10 م</v>
      </c>
      <c r="C254" s="7">
        <v>4</v>
      </c>
      <c r="D254" s="7" t="s">
        <v>594</v>
      </c>
      <c r="E254" s="7" t="s">
        <v>255</v>
      </c>
      <c r="F254" s="2"/>
    </row>
    <row r="255" spans="1:6" ht="14" customHeight="1">
      <c r="A255" s="8">
        <v>10</v>
      </c>
      <c r="B255" s="7" t="str">
        <f>المدخلات!$F$4</f>
        <v>4:00–5:10 م</v>
      </c>
      <c r="C255" s="7">
        <v>5</v>
      </c>
      <c r="D255" s="7" t="s">
        <v>594</v>
      </c>
      <c r="E255" s="7" t="s">
        <v>206</v>
      </c>
      <c r="F255" s="2"/>
    </row>
    <row r="256" spans="1:6" ht="14" customHeight="1">
      <c r="A256" s="8">
        <v>10</v>
      </c>
      <c r="B256" s="7" t="str">
        <f>المدخلات!$F$4</f>
        <v>4:00–5:10 م</v>
      </c>
      <c r="C256" s="7">
        <v>6</v>
      </c>
      <c r="D256" s="7" t="s">
        <v>594</v>
      </c>
      <c r="E256" s="7" t="s">
        <v>253</v>
      </c>
      <c r="F256" s="2"/>
    </row>
    <row r="257" spans="1:6" ht="14" customHeight="1">
      <c r="A257" s="8">
        <v>10</v>
      </c>
      <c r="B257" s="7" t="str">
        <f>المدخلات!$F$5</f>
        <v>5:20–6:30 م</v>
      </c>
      <c r="C257" s="7">
        <v>4</v>
      </c>
      <c r="D257" s="7" t="s">
        <v>594</v>
      </c>
      <c r="E257" s="7" t="s">
        <v>221</v>
      </c>
      <c r="F257" s="2"/>
    </row>
    <row r="258" spans="1:6" ht="14" customHeight="1">
      <c r="A258" s="8">
        <v>10</v>
      </c>
      <c r="B258" s="7" t="str">
        <f>المدخلات!$F$5</f>
        <v>5:20–6:30 م</v>
      </c>
      <c r="C258" s="7">
        <v>5</v>
      </c>
      <c r="D258" s="7" t="s">
        <v>594</v>
      </c>
      <c r="E258" s="7" t="s">
        <v>243</v>
      </c>
      <c r="F258" s="2"/>
    </row>
    <row r="259" spans="1:6" ht="14" customHeight="1">
      <c r="A259" s="8">
        <v>10</v>
      </c>
      <c r="B259" s="7" t="str">
        <f>المدخلات!$F$5</f>
        <v>5:20–6:30 م</v>
      </c>
      <c r="C259" s="7">
        <v>6</v>
      </c>
      <c r="D259" s="7" t="s">
        <v>594</v>
      </c>
      <c r="E259" s="7" t="s">
        <v>189</v>
      </c>
      <c r="F259" s="2"/>
    </row>
    <row r="260" spans="1:6" ht="14" customHeight="1">
      <c r="A260" s="8">
        <v>10</v>
      </c>
      <c r="B260" s="7" t="str">
        <f>المدخلات!$F$6</f>
        <v>6:40–7:50 م</v>
      </c>
      <c r="C260" s="7">
        <v>4</v>
      </c>
      <c r="D260" s="7" t="s">
        <v>594</v>
      </c>
      <c r="E260" s="7" t="s">
        <v>845</v>
      </c>
      <c r="F260" s="2"/>
    </row>
    <row r="261" spans="1:6" ht="14" customHeight="1">
      <c r="A261" s="8">
        <v>10</v>
      </c>
      <c r="B261" s="7" t="str">
        <f>المدخلات!$F$4</f>
        <v>4:00–5:10 م</v>
      </c>
      <c r="C261" s="7">
        <v>7</v>
      </c>
      <c r="D261" s="7" t="s">
        <v>595</v>
      </c>
      <c r="E261" s="7" t="s">
        <v>412</v>
      </c>
      <c r="F261" s="2"/>
    </row>
    <row r="262" spans="1:6" ht="14" customHeight="1">
      <c r="A262" s="8">
        <v>10</v>
      </c>
      <c r="B262" s="7" t="str">
        <f>المدخلات!$F$4</f>
        <v>4:00–5:10 م</v>
      </c>
      <c r="C262" s="7">
        <v>8</v>
      </c>
      <c r="D262" s="7" t="s">
        <v>595</v>
      </c>
      <c r="E262" s="7" t="s">
        <v>338</v>
      </c>
      <c r="F262" s="2"/>
    </row>
    <row r="263" spans="1:6" ht="14" customHeight="1">
      <c r="A263" s="8">
        <v>10</v>
      </c>
      <c r="B263" s="7" t="str">
        <f>المدخلات!$F$4</f>
        <v>4:00–5:10 م</v>
      </c>
      <c r="C263" s="7">
        <v>9</v>
      </c>
      <c r="D263" s="7" t="s">
        <v>595</v>
      </c>
      <c r="E263" s="7" t="s">
        <v>406</v>
      </c>
      <c r="F263" s="2"/>
    </row>
    <row r="264" spans="1:6" ht="14" customHeight="1">
      <c r="A264" s="8">
        <v>10</v>
      </c>
      <c r="B264" s="7" t="str">
        <f>المدخلات!$F$5</f>
        <v>5:20–6:30 م</v>
      </c>
      <c r="C264" s="7">
        <v>7</v>
      </c>
      <c r="D264" s="7" t="s">
        <v>595</v>
      </c>
      <c r="E264" s="7" t="s">
        <v>353</v>
      </c>
      <c r="F264" s="2"/>
    </row>
    <row r="265" spans="1:6" ht="14" customHeight="1">
      <c r="A265" s="8">
        <v>10</v>
      </c>
      <c r="B265" s="7" t="str">
        <f>المدخلات!$F$5</f>
        <v>5:20–6:30 م</v>
      </c>
      <c r="C265" s="7">
        <v>8</v>
      </c>
      <c r="D265" s="7" t="s">
        <v>595</v>
      </c>
      <c r="E265" s="7" t="s">
        <v>396</v>
      </c>
      <c r="F265" s="2"/>
    </row>
    <row r="266" spans="1:6" ht="14" customHeight="1">
      <c r="A266" s="8">
        <v>10</v>
      </c>
      <c r="B266" s="7" t="str">
        <f>المدخلات!$F$5</f>
        <v>5:20–6:30 م</v>
      </c>
      <c r="C266" s="7">
        <v>9</v>
      </c>
      <c r="D266" s="7" t="s">
        <v>595</v>
      </c>
      <c r="E266" s="7" t="s">
        <v>308</v>
      </c>
      <c r="F266" s="2"/>
    </row>
    <row r="267" spans="1:6" ht="14" customHeight="1">
      <c r="A267" s="8">
        <v>10</v>
      </c>
      <c r="B267" s="7" t="str">
        <f>المدخلات!$F$6</f>
        <v>6:40–7:50 م</v>
      </c>
      <c r="C267" s="7">
        <v>7</v>
      </c>
      <c r="D267" s="7" t="s">
        <v>595</v>
      </c>
      <c r="E267" s="7" t="s">
        <v>682</v>
      </c>
      <c r="F267" s="2"/>
    </row>
    <row r="268" spans="1:6" ht="14" customHeight="1">
      <c r="A268" s="8">
        <v>10</v>
      </c>
      <c r="B268" s="7" t="str">
        <f>المدخلات!$F$4</f>
        <v>4:00–5:10 م</v>
      </c>
      <c r="C268" s="7">
        <v>10</v>
      </c>
      <c r="D268" s="7" t="s">
        <v>596</v>
      </c>
      <c r="E268" s="7" t="s">
        <v>500</v>
      </c>
      <c r="F268" s="2"/>
    </row>
    <row r="269" spans="1:6" ht="14" customHeight="1">
      <c r="A269" s="8">
        <v>10</v>
      </c>
      <c r="B269" s="7" t="str">
        <f>المدخلات!$F$4</f>
        <v>4:00–5:10 م</v>
      </c>
      <c r="C269" s="7">
        <v>11</v>
      </c>
      <c r="D269" s="7" t="s">
        <v>596</v>
      </c>
      <c r="E269" s="7" t="s">
        <v>641</v>
      </c>
      <c r="F269" s="2"/>
    </row>
    <row r="270" spans="1:6" ht="14" customHeight="1">
      <c r="A270" s="8">
        <v>10</v>
      </c>
      <c r="B270" s="7" t="str">
        <f>المدخلات!$F$5</f>
        <v>5:20–6:30 م</v>
      </c>
      <c r="C270" s="7">
        <v>10</v>
      </c>
      <c r="D270" s="7" t="s">
        <v>596</v>
      </c>
      <c r="E270" s="7" t="s">
        <v>487</v>
      </c>
      <c r="F270" s="2"/>
    </row>
    <row r="271" spans="1:6" ht="14" customHeight="1">
      <c r="A271" s="8">
        <v>10</v>
      </c>
      <c r="B271" s="7" t="str">
        <f>المدخلات!$F$5</f>
        <v>5:20–6:30 م</v>
      </c>
      <c r="C271" s="7">
        <v>11</v>
      </c>
      <c r="D271" s="7" t="s">
        <v>596</v>
      </c>
      <c r="E271" s="7" t="s">
        <v>438</v>
      </c>
      <c r="F271" s="2"/>
    </row>
    <row r="272" spans="1:6" ht="14" customHeight="1">
      <c r="A272" s="8">
        <v>10</v>
      </c>
      <c r="B272" s="7" t="str">
        <f>المدخلات!$F$6</f>
        <v>6:40–7:50 م</v>
      </c>
      <c r="C272" s="7">
        <v>10</v>
      </c>
      <c r="D272" s="7" t="s">
        <v>596</v>
      </c>
      <c r="E272" s="7" t="s">
        <v>1243</v>
      </c>
      <c r="F272" s="2"/>
    </row>
    <row r="273" spans="1:6" ht="14" customHeight="1">
      <c r="A273" s="8">
        <v>10</v>
      </c>
      <c r="B273" s="7" t="str">
        <f>المدخلات!$F$6</f>
        <v>6:40–7:50 م</v>
      </c>
      <c r="C273" s="7">
        <v>11</v>
      </c>
      <c r="D273" s="7" t="s">
        <v>596</v>
      </c>
      <c r="E273" s="7" t="s">
        <v>510</v>
      </c>
      <c r="F273" s="2"/>
    </row>
    <row r="274" spans="1:6" ht="14" customHeight="1">
      <c r="A274" s="8">
        <v>11</v>
      </c>
      <c r="B274" s="7" t="str">
        <f>المدخلات!$F$4</f>
        <v>4:00–5:10 م</v>
      </c>
      <c r="C274" s="7">
        <v>1</v>
      </c>
      <c r="D274" s="7" t="s">
        <v>593</v>
      </c>
      <c r="E274" s="7" t="s">
        <v>67</v>
      </c>
      <c r="F274" s="2"/>
    </row>
    <row r="275" spans="1:6" ht="14" customHeight="1">
      <c r="A275" s="8">
        <v>11</v>
      </c>
      <c r="B275" s="7" t="str">
        <f>المدخلات!$F$4</f>
        <v>4:00–5:10 م</v>
      </c>
      <c r="C275" s="7">
        <v>2</v>
      </c>
      <c r="D275" s="7" t="s">
        <v>593</v>
      </c>
      <c r="E275" s="7" t="s">
        <v>21</v>
      </c>
      <c r="F275" s="2"/>
    </row>
    <row r="276" spans="1:6" ht="14" customHeight="1">
      <c r="A276" s="8">
        <v>11</v>
      </c>
      <c r="B276" s="7" t="str">
        <f>المدخلات!$F$4</f>
        <v>4:00–5:10 م</v>
      </c>
      <c r="C276" s="7">
        <v>3</v>
      </c>
      <c r="D276" s="7" t="s">
        <v>593</v>
      </c>
      <c r="E276" s="7" t="s">
        <v>138</v>
      </c>
      <c r="F276" s="2"/>
    </row>
    <row r="277" spans="1:6" ht="14" customHeight="1">
      <c r="A277" s="8">
        <v>11</v>
      </c>
      <c r="B277" s="7" t="str">
        <f>المدخلات!$F$5</f>
        <v>5:20–6:30 م</v>
      </c>
      <c r="C277" s="7">
        <v>1</v>
      </c>
      <c r="D277" s="7" t="s">
        <v>593</v>
      </c>
      <c r="E277" s="7" t="s">
        <v>13</v>
      </c>
      <c r="F277" s="2"/>
    </row>
    <row r="278" spans="1:6" ht="14" customHeight="1">
      <c r="A278" s="8">
        <v>11</v>
      </c>
      <c r="B278" s="7" t="str">
        <f>المدخلات!$F$5</f>
        <v>5:20–6:30 م</v>
      </c>
      <c r="C278" s="7">
        <v>2</v>
      </c>
      <c r="D278" s="7" t="s">
        <v>593</v>
      </c>
      <c r="E278" s="7" t="s">
        <v>56</v>
      </c>
      <c r="F278" s="2"/>
    </row>
    <row r="279" spans="1:6" ht="14" customHeight="1">
      <c r="A279" s="8">
        <v>11</v>
      </c>
      <c r="B279" s="7" t="str">
        <f>المدخلات!$F$5</f>
        <v>5:20–6:30 م</v>
      </c>
      <c r="C279" s="7">
        <v>3</v>
      </c>
      <c r="D279" s="7" t="s">
        <v>593</v>
      </c>
      <c r="E279" s="7" t="s">
        <v>18</v>
      </c>
      <c r="F279" s="2"/>
    </row>
    <row r="280" spans="1:6" ht="14" customHeight="1">
      <c r="A280" s="8">
        <v>11</v>
      </c>
      <c r="B280" s="7" t="str">
        <f>المدخلات!$F$6</f>
        <v>6:40–7:50 م</v>
      </c>
      <c r="C280" s="7">
        <v>1</v>
      </c>
      <c r="D280" s="7" t="s">
        <v>593</v>
      </c>
      <c r="E280" s="7" t="s">
        <v>89</v>
      </c>
      <c r="F280" s="2"/>
    </row>
    <row r="281" spans="1:6" ht="14" customHeight="1">
      <c r="A281" s="8">
        <v>11</v>
      </c>
      <c r="B281" s="7" t="str">
        <f>المدخلات!$F$4</f>
        <v>4:00–5:10 م</v>
      </c>
      <c r="C281" s="7">
        <v>4</v>
      </c>
      <c r="D281" s="7" t="s">
        <v>594</v>
      </c>
      <c r="E281" s="7" t="s">
        <v>244</v>
      </c>
      <c r="F281" s="2"/>
    </row>
    <row r="282" spans="1:6" ht="14" customHeight="1">
      <c r="A282" s="8">
        <v>11</v>
      </c>
      <c r="B282" s="7" t="str">
        <f>المدخلات!$F$4</f>
        <v>4:00–5:10 م</v>
      </c>
      <c r="C282" s="7">
        <v>5</v>
      </c>
      <c r="D282" s="7" t="s">
        <v>594</v>
      </c>
      <c r="E282" s="7" t="s">
        <v>190</v>
      </c>
      <c r="F282" s="2"/>
    </row>
    <row r="283" spans="1:6" ht="14" customHeight="1">
      <c r="A283" s="8">
        <v>11</v>
      </c>
      <c r="B283" s="7" t="str">
        <f>المدخلات!$F$4</f>
        <v>4:00–5:10 م</v>
      </c>
      <c r="C283" s="7">
        <v>6</v>
      </c>
      <c r="D283" s="7" t="s">
        <v>594</v>
      </c>
      <c r="E283" s="7" t="s">
        <v>263</v>
      </c>
      <c r="F283" s="2"/>
    </row>
    <row r="284" spans="1:6" ht="14" customHeight="1">
      <c r="A284" s="8">
        <v>11</v>
      </c>
      <c r="B284" s="7" t="str">
        <f>المدخلات!$F$5</f>
        <v>5:20–6:30 م</v>
      </c>
      <c r="C284" s="7">
        <v>4</v>
      </c>
      <c r="D284" s="7" t="s">
        <v>594</v>
      </c>
      <c r="E284" s="7" t="s">
        <v>167</v>
      </c>
      <c r="F284" s="2"/>
    </row>
    <row r="285" spans="1:6" ht="14" customHeight="1">
      <c r="A285" s="8">
        <v>11</v>
      </c>
      <c r="B285" s="7" t="str">
        <f>المدخلات!$F$5</f>
        <v>5:20–6:30 م</v>
      </c>
      <c r="C285" s="7">
        <v>5</v>
      </c>
      <c r="D285" s="7" t="s">
        <v>594</v>
      </c>
      <c r="E285" s="7" t="s">
        <v>239</v>
      </c>
      <c r="F285" s="2"/>
    </row>
    <row r="286" spans="1:6" ht="14" customHeight="1">
      <c r="A286" s="8">
        <v>11</v>
      </c>
      <c r="B286" s="7" t="str">
        <f>المدخلات!$F$5</f>
        <v>5:20–6:30 م</v>
      </c>
      <c r="C286" s="7">
        <v>6</v>
      </c>
      <c r="D286" s="7" t="s">
        <v>594</v>
      </c>
      <c r="E286" s="7" t="s">
        <v>162</v>
      </c>
      <c r="F286" s="2"/>
    </row>
    <row r="287" spans="1:6" ht="14" customHeight="1">
      <c r="A287" s="8">
        <v>11</v>
      </c>
      <c r="B287" s="7" t="str">
        <f>المدخلات!$F$6</f>
        <v>6:40–7:50 م</v>
      </c>
      <c r="C287" s="7">
        <v>4</v>
      </c>
      <c r="D287" s="7" t="s">
        <v>594</v>
      </c>
      <c r="E287" s="7" t="s">
        <v>254</v>
      </c>
      <c r="F287" s="2"/>
    </row>
    <row r="288" spans="1:6" ht="14" customHeight="1">
      <c r="A288" s="8">
        <v>11</v>
      </c>
      <c r="B288" s="7" t="str">
        <f>المدخلات!$F$4</f>
        <v>4:00–5:10 م</v>
      </c>
      <c r="C288" s="7">
        <v>7</v>
      </c>
      <c r="D288" s="7" t="s">
        <v>595</v>
      </c>
      <c r="E288" s="7" t="s">
        <v>397</v>
      </c>
      <c r="F288" s="2"/>
    </row>
    <row r="289" spans="1:6" ht="14" customHeight="1">
      <c r="A289" s="8">
        <v>11</v>
      </c>
      <c r="B289" s="7" t="str">
        <f>المدخلات!$F$4</f>
        <v>4:00–5:10 م</v>
      </c>
      <c r="C289" s="7">
        <v>8</v>
      </c>
      <c r="D289" s="7" t="s">
        <v>595</v>
      </c>
      <c r="E289" s="7" t="s">
        <v>311</v>
      </c>
      <c r="F289" s="2"/>
    </row>
    <row r="290" spans="1:6" ht="14" customHeight="1">
      <c r="A290" s="8">
        <v>11</v>
      </c>
      <c r="B290" s="7" t="str">
        <f>المدخلات!$F$4</f>
        <v>4:00–5:10 م</v>
      </c>
      <c r="C290" s="7">
        <v>9</v>
      </c>
      <c r="D290" s="7" t="s">
        <v>595</v>
      </c>
      <c r="E290" s="7" t="s">
        <v>413</v>
      </c>
      <c r="F290" s="2"/>
    </row>
    <row r="291" spans="1:6" ht="14" customHeight="1">
      <c r="A291" s="8">
        <v>11</v>
      </c>
      <c r="B291" s="7" t="str">
        <f>المدخلات!$F$5</f>
        <v>5:20–6:30 م</v>
      </c>
      <c r="C291" s="7">
        <v>7</v>
      </c>
      <c r="D291" s="7" t="s">
        <v>595</v>
      </c>
      <c r="E291" s="7" t="s">
        <v>297</v>
      </c>
      <c r="F291" s="2"/>
    </row>
    <row r="292" spans="1:6" ht="14" customHeight="1">
      <c r="A292" s="8">
        <v>11</v>
      </c>
      <c r="B292" s="7" t="str">
        <f>المدخلات!$F$5</f>
        <v>5:20–6:30 م</v>
      </c>
      <c r="C292" s="7">
        <v>8</v>
      </c>
      <c r="D292" s="7" t="s">
        <v>595</v>
      </c>
      <c r="E292" s="7" t="s">
        <v>391</v>
      </c>
      <c r="F292" s="2"/>
    </row>
    <row r="293" spans="1:6" ht="14" customHeight="1">
      <c r="A293" s="8">
        <v>11</v>
      </c>
      <c r="B293" s="7" t="str">
        <f>المدخلات!$F$5</f>
        <v>5:20–6:30 م</v>
      </c>
      <c r="C293" s="7">
        <v>9</v>
      </c>
      <c r="D293" s="7" t="s">
        <v>595</v>
      </c>
      <c r="E293" s="7" t="s">
        <v>292</v>
      </c>
      <c r="F293" s="2"/>
    </row>
    <row r="294" spans="1:6" ht="14" customHeight="1">
      <c r="A294" s="8">
        <v>11</v>
      </c>
      <c r="B294" s="7" t="str">
        <f>المدخلات!$F$6</f>
        <v>6:40–7:50 م</v>
      </c>
      <c r="C294" s="7">
        <v>7</v>
      </c>
      <c r="D294" s="7" t="s">
        <v>595</v>
      </c>
      <c r="E294" s="7" t="s">
        <v>407</v>
      </c>
      <c r="F294" s="2"/>
    </row>
    <row r="295" spans="1:6" ht="14" customHeight="1">
      <c r="A295" s="8">
        <v>11</v>
      </c>
      <c r="B295" s="7" t="str">
        <f>المدخلات!$F$4</f>
        <v>4:00–5:10 م</v>
      </c>
      <c r="C295" s="7">
        <v>10</v>
      </c>
      <c r="D295" s="7" t="s">
        <v>596</v>
      </c>
      <c r="E295" s="7" t="s">
        <v>426</v>
      </c>
      <c r="F295" s="2"/>
    </row>
    <row r="296" spans="1:6" ht="14" customHeight="1">
      <c r="A296" s="8">
        <v>11</v>
      </c>
      <c r="B296" s="7" t="str">
        <f>المدخلات!$F$4</f>
        <v>4:00–5:10 م</v>
      </c>
      <c r="C296" s="7">
        <v>11</v>
      </c>
      <c r="D296" s="7" t="s">
        <v>596</v>
      </c>
      <c r="E296" s="7" t="s">
        <v>1244</v>
      </c>
      <c r="F296" s="2"/>
    </row>
    <row r="297" spans="1:6" ht="14" customHeight="1">
      <c r="A297" s="8">
        <v>11</v>
      </c>
      <c r="B297" s="7" t="str">
        <f>المدخلات!$F$5</f>
        <v>5:20–6:30 م</v>
      </c>
      <c r="C297" s="7">
        <v>10</v>
      </c>
      <c r="D297" s="7" t="s">
        <v>596</v>
      </c>
      <c r="E297" s="7" t="s">
        <v>488</v>
      </c>
      <c r="F297" s="2"/>
    </row>
    <row r="298" spans="1:6" ht="14" customHeight="1">
      <c r="A298" s="8">
        <v>11</v>
      </c>
      <c r="B298" s="7" t="str">
        <f>المدخلات!$F$5</f>
        <v>5:20–6:30 م</v>
      </c>
      <c r="C298" s="7">
        <v>11</v>
      </c>
      <c r="D298" s="7" t="s">
        <v>596</v>
      </c>
      <c r="E298" s="7" t="s">
        <v>501</v>
      </c>
      <c r="F298" s="2"/>
    </row>
    <row r="299" spans="1:6" ht="14" customHeight="1">
      <c r="A299" s="8">
        <v>11</v>
      </c>
      <c r="B299" s="7" t="str">
        <f>المدخلات!$F$6</f>
        <v>6:40–7:50 م</v>
      </c>
      <c r="C299" s="7">
        <v>10</v>
      </c>
      <c r="D299" s="7" t="s">
        <v>596</v>
      </c>
      <c r="E299" s="7" t="s">
        <v>467</v>
      </c>
      <c r="F299" s="2"/>
    </row>
    <row r="300" spans="1:6" ht="14" customHeight="1">
      <c r="A300" s="8">
        <v>11</v>
      </c>
      <c r="B300" s="7" t="str">
        <f>المدخلات!$F$6</f>
        <v>6:40–7:50 م</v>
      </c>
      <c r="C300" s="7">
        <v>11</v>
      </c>
      <c r="D300" s="7" t="s">
        <v>596</v>
      </c>
      <c r="E300" s="7" t="s">
        <v>1245</v>
      </c>
      <c r="F300" s="2"/>
    </row>
    <row r="301" spans="1:6" ht="14" customHeight="1">
      <c r="A301" s="8">
        <v>12</v>
      </c>
      <c r="B301" s="7" t="str">
        <f>المدخلات!$F$4</f>
        <v>4:00–5:10 م</v>
      </c>
      <c r="C301" s="7">
        <v>1</v>
      </c>
      <c r="D301" s="7" t="s">
        <v>593</v>
      </c>
      <c r="E301" s="7" t="s">
        <v>46</v>
      </c>
      <c r="F301" s="2"/>
    </row>
    <row r="302" spans="1:6" ht="14" customHeight="1">
      <c r="A302" s="8">
        <v>12</v>
      </c>
      <c r="B302" s="7" t="str">
        <f>المدخلات!$F$4</f>
        <v>4:00–5:10 م</v>
      </c>
      <c r="C302" s="7">
        <v>2</v>
      </c>
      <c r="D302" s="7" t="s">
        <v>593</v>
      </c>
      <c r="E302" s="7" t="s">
        <v>1040</v>
      </c>
      <c r="F302" s="2"/>
    </row>
    <row r="303" spans="1:6" ht="14" customHeight="1">
      <c r="A303" s="8">
        <v>12</v>
      </c>
      <c r="B303" s="7" t="str">
        <f>المدخلات!$F$4</f>
        <v>4:00–5:10 م</v>
      </c>
      <c r="C303" s="7">
        <v>3</v>
      </c>
      <c r="D303" s="7" t="s">
        <v>593</v>
      </c>
      <c r="E303" s="7" t="s">
        <v>1098</v>
      </c>
      <c r="F303" s="2"/>
    </row>
    <row r="304" spans="1:6" ht="14" customHeight="1">
      <c r="A304" s="8">
        <v>12</v>
      </c>
      <c r="B304" s="7" t="str">
        <f>المدخلات!$F$5</f>
        <v>5:20–6:30 م</v>
      </c>
      <c r="C304" s="7">
        <v>1</v>
      </c>
      <c r="D304" s="7" t="s">
        <v>593</v>
      </c>
      <c r="E304" s="7" t="s">
        <v>53</v>
      </c>
      <c r="F304" s="2"/>
    </row>
    <row r="305" spans="1:6" ht="14" customHeight="1">
      <c r="A305" s="8">
        <v>12</v>
      </c>
      <c r="B305" s="7" t="str">
        <f>المدخلات!$F$5</f>
        <v>5:20–6:30 م</v>
      </c>
      <c r="C305" s="7">
        <v>2</v>
      </c>
      <c r="D305" s="7" t="s">
        <v>593</v>
      </c>
      <c r="E305" s="7" t="s">
        <v>63</v>
      </c>
      <c r="F305" s="2"/>
    </row>
    <row r="306" spans="1:6" ht="14" customHeight="1">
      <c r="A306" s="8">
        <v>12</v>
      </c>
      <c r="B306" s="7" t="str">
        <f>المدخلات!$F$5</f>
        <v>5:20–6:30 م</v>
      </c>
      <c r="C306" s="7">
        <v>3</v>
      </c>
      <c r="D306" s="7" t="s">
        <v>593</v>
      </c>
      <c r="E306" s="7" t="s">
        <v>1099</v>
      </c>
      <c r="F306" s="2"/>
    </row>
    <row r="307" spans="1:6" ht="14" customHeight="1">
      <c r="A307" s="8">
        <v>12</v>
      </c>
      <c r="B307" s="7" t="str">
        <f>المدخلات!$F$6</f>
        <v>6:40–7:50 م</v>
      </c>
      <c r="C307" s="7">
        <v>1</v>
      </c>
      <c r="D307" s="7" t="s">
        <v>593</v>
      </c>
      <c r="E307" s="7" t="s">
        <v>14</v>
      </c>
      <c r="F307" s="2"/>
    </row>
    <row r="308" spans="1:6" ht="14" customHeight="1">
      <c r="A308" s="8">
        <v>12</v>
      </c>
      <c r="B308" s="7" t="str">
        <f>المدخلات!$F$4</f>
        <v>4:00–5:10 م</v>
      </c>
      <c r="C308" s="7">
        <v>4</v>
      </c>
      <c r="D308" s="7" t="s">
        <v>594</v>
      </c>
      <c r="E308" s="7" t="s">
        <v>234</v>
      </c>
      <c r="F308" s="2"/>
    </row>
    <row r="309" spans="1:6" ht="14" customHeight="1">
      <c r="A309" s="8">
        <v>12</v>
      </c>
      <c r="B309" s="7" t="str">
        <f>المدخلات!$F$4</f>
        <v>4:00–5:10 م</v>
      </c>
      <c r="C309" s="7">
        <v>5</v>
      </c>
      <c r="D309" s="7" t="s">
        <v>594</v>
      </c>
      <c r="E309" s="7" t="s">
        <v>669</v>
      </c>
      <c r="F309" s="2"/>
    </row>
    <row r="310" spans="1:6" ht="14" customHeight="1">
      <c r="A310" s="8">
        <v>12</v>
      </c>
      <c r="B310" s="7" t="str">
        <f>المدخلات!$F$4</f>
        <v>4:00–5:10 م</v>
      </c>
      <c r="C310" s="7">
        <v>6</v>
      </c>
      <c r="D310" s="7" t="s">
        <v>594</v>
      </c>
      <c r="E310" s="7" t="s">
        <v>1173</v>
      </c>
      <c r="F310" s="2"/>
    </row>
    <row r="311" spans="1:6" ht="14" customHeight="1">
      <c r="A311" s="8">
        <v>12</v>
      </c>
      <c r="B311" s="7" t="str">
        <f>المدخلات!$F$5</f>
        <v>5:20–6:30 م</v>
      </c>
      <c r="C311" s="7">
        <v>4</v>
      </c>
      <c r="D311" s="7" t="s">
        <v>594</v>
      </c>
      <c r="E311" s="7" t="s">
        <v>236</v>
      </c>
      <c r="F311" s="2"/>
    </row>
    <row r="312" spans="1:6" ht="14" customHeight="1">
      <c r="A312" s="8">
        <v>12</v>
      </c>
      <c r="B312" s="7" t="str">
        <f>المدخلات!$F$5</f>
        <v>5:20–6:30 م</v>
      </c>
      <c r="C312" s="7">
        <v>5</v>
      </c>
      <c r="D312" s="7" t="s">
        <v>594</v>
      </c>
      <c r="E312" s="7" t="s">
        <v>240</v>
      </c>
      <c r="F312" s="2"/>
    </row>
    <row r="313" spans="1:6" ht="14" customHeight="1">
      <c r="A313" s="8">
        <v>12</v>
      </c>
      <c r="B313" s="7" t="str">
        <f>المدخلات!$F$5</f>
        <v>5:20–6:30 م</v>
      </c>
      <c r="C313" s="7">
        <v>6</v>
      </c>
      <c r="D313" s="7" t="s">
        <v>594</v>
      </c>
      <c r="E313" s="7" t="s">
        <v>1164</v>
      </c>
      <c r="F313" s="2"/>
    </row>
    <row r="314" spans="1:6" ht="14" customHeight="1">
      <c r="A314" s="8">
        <v>12</v>
      </c>
      <c r="B314" s="7" t="str">
        <f>المدخلات!$F$6</f>
        <v>6:40–7:50 م</v>
      </c>
      <c r="C314" s="7">
        <v>4</v>
      </c>
      <c r="D314" s="7" t="s">
        <v>594</v>
      </c>
      <c r="E314" s="7" t="s">
        <v>159</v>
      </c>
      <c r="F314" s="2"/>
    </row>
    <row r="315" spans="1:6" ht="14" customHeight="1">
      <c r="A315" s="8">
        <v>12</v>
      </c>
      <c r="B315" s="7" t="str">
        <f>المدخلات!$F$4</f>
        <v>4:00–5:10 م</v>
      </c>
      <c r="C315" s="7">
        <v>7</v>
      </c>
      <c r="D315" s="7" t="s">
        <v>595</v>
      </c>
      <c r="E315" s="7" t="s">
        <v>377</v>
      </c>
      <c r="F315" s="2"/>
    </row>
    <row r="316" spans="1:6" ht="14" customHeight="1">
      <c r="A316" s="8">
        <v>12</v>
      </c>
      <c r="B316" s="7" t="str">
        <f>المدخلات!$F$4</f>
        <v>4:00–5:10 م</v>
      </c>
      <c r="C316" s="7">
        <v>8</v>
      </c>
      <c r="D316" s="7" t="s">
        <v>595</v>
      </c>
      <c r="E316" s="7" t="s">
        <v>613</v>
      </c>
      <c r="F316" s="2"/>
    </row>
    <row r="317" spans="1:6" ht="14" customHeight="1">
      <c r="A317" s="8">
        <v>12</v>
      </c>
      <c r="B317" s="7" t="str">
        <f>المدخلات!$F$4</f>
        <v>4:00–5:10 م</v>
      </c>
      <c r="C317" s="7">
        <v>9</v>
      </c>
      <c r="D317" s="7" t="s">
        <v>595</v>
      </c>
      <c r="E317" s="7" t="s">
        <v>1247</v>
      </c>
      <c r="F317" s="2"/>
    </row>
    <row r="318" spans="1:6" ht="14" customHeight="1">
      <c r="A318" s="8">
        <v>12</v>
      </c>
      <c r="B318" s="7" t="str">
        <f>المدخلات!$F$5</f>
        <v>5:20–6:30 م</v>
      </c>
      <c r="C318" s="7">
        <v>7</v>
      </c>
      <c r="D318" s="7" t="s">
        <v>595</v>
      </c>
      <c r="E318" s="7" t="s">
        <v>392</v>
      </c>
      <c r="F318" s="2"/>
    </row>
    <row r="319" spans="1:6" ht="14" customHeight="1">
      <c r="A319" s="8">
        <v>12</v>
      </c>
      <c r="B319" s="7" t="str">
        <f>المدخلات!$F$5</f>
        <v>5:20–6:30 م</v>
      </c>
      <c r="C319" s="7">
        <v>8</v>
      </c>
      <c r="D319" s="7" t="s">
        <v>595</v>
      </c>
      <c r="E319" s="7" t="s">
        <v>398</v>
      </c>
      <c r="F319" s="2"/>
    </row>
    <row r="320" spans="1:6" ht="14" customHeight="1">
      <c r="A320" s="8">
        <v>12</v>
      </c>
      <c r="B320" s="7" t="str">
        <f>المدخلات!$F$5</f>
        <v>5:20–6:30 م</v>
      </c>
      <c r="C320" s="7">
        <v>9</v>
      </c>
      <c r="D320" s="7" t="s">
        <v>595</v>
      </c>
      <c r="E320" s="7" t="s">
        <v>1246</v>
      </c>
      <c r="F320" s="2"/>
    </row>
    <row r="321" spans="1:6" ht="14" customHeight="1">
      <c r="A321" s="8">
        <v>12</v>
      </c>
      <c r="B321" s="7" t="str">
        <f>المدخلات!$F$6</f>
        <v>6:40–7:50 م</v>
      </c>
      <c r="C321" s="7">
        <v>7</v>
      </c>
      <c r="D321" s="7" t="s">
        <v>595</v>
      </c>
      <c r="E321" s="7" t="s">
        <v>287</v>
      </c>
      <c r="F321" s="2"/>
    </row>
    <row r="322" spans="1:6" ht="14" customHeight="1">
      <c r="A322" s="8">
        <v>12</v>
      </c>
      <c r="B322" s="7" t="str">
        <f>المدخلات!$F$4</f>
        <v>4:00–5:10 م</v>
      </c>
      <c r="C322" s="7">
        <v>10</v>
      </c>
      <c r="D322" s="7" t="s">
        <v>596</v>
      </c>
      <c r="E322" s="7" t="s">
        <v>456</v>
      </c>
      <c r="F322" s="2"/>
    </row>
    <row r="323" spans="1:6" ht="14" customHeight="1">
      <c r="A323" s="8">
        <v>12</v>
      </c>
      <c r="B323" s="7" t="str">
        <f>المدخلات!$F$4</f>
        <v>4:00–5:10 م</v>
      </c>
      <c r="C323" s="7">
        <v>11</v>
      </c>
      <c r="D323" s="7" t="s">
        <v>596</v>
      </c>
      <c r="E323" s="7" t="s">
        <v>468</v>
      </c>
      <c r="F323" s="2"/>
    </row>
    <row r="324" spans="1:6" ht="14" customHeight="1">
      <c r="A324" s="8">
        <v>12</v>
      </c>
      <c r="B324" s="7" t="str">
        <f>المدخلات!$F$5</f>
        <v>5:20–6:30 م</v>
      </c>
      <c r="C324" s="7">
        <v>10</v>
      </c>
      <c r="D324" s="7" t="s">
        <v>596</v>
      </c>
      <c r="E324" s="7" t="s">
        <v>1250</v>
      </c>
      <c r="F324" s="2"/>
    </row>
    <row r="325" spans="1:6" ht="14" customHeight="1">
      <c r="A325" s="8">
        <v>12</v>
      </c>
      <c r="B325" s="7" t="str">
        <f>المدخلات!$F$5</f>
        <v>5:20–6:30 م</v>
      </c>
      <c r="C325" s="7">
        <v>11</v>
      </c>
      <c r="D325" s="7" t="s">
        <v>596</v>
      </c>
      <c r="E325" s="7" t="s">
        <v>1248</v>
      </c>
      <c r="F325" s="2"/>
    </row>
    <row r="326" spans="1:6" ht="14" customHeight="1">
      <c r="A326" s="8">
        <v>12</v>
      </c>
      <c r="B326" s="7" t="str">
        <f>المدخلات!$F$6</f>
        <v>6:40–7:50 م</v>
      </c>
      <c r="C326" s="7">
        <v>10</v>
      </c>
      <c r="D326" s="7" t="s">
        <v>596</v>
      </c>
      <c r="E326" s="7" t="s">
        <v>1249</v>
      </c>
      <c r="F326" s="2"/>
    </row>
    <row r="327" spans="1:6" ht="14" customHeight="1">
      <c r="A327" s="8">
        <v>12</v>
      </c>
      <c r="B327" s="7" t="str">
        <f>المدخلات!$F$6</f>
        <v>6:40–7:50 م</v>
      </c>
      <c r="C327" s="7">
        <v>11</v>
      </c>
      <c r="D327" s="7" t="s">
        <v>596</v>
      </c>
      <c r="E327" s="7" t="s">
        <v>489</v>
      </c>
      <c r="F327" s="2"/>
    </row>
    <row r="328" spans="1:6" ht="14" customHeight="1">
      <c r="A328" s="8">
        <v>13</v>
      </c>
      <c r="B328" s="7" t="str">
        <f>المدخلات!$F$4</f>
        <v>4:00–5:10 م</v>
      </c>
      <c r="C328" s="7">
        <v>1</v>
      </c>
      <c r="D328" s="7" t="s">
        <v>593</v>
      </c>
      <c r="E328" s="7" t="s">
        <v>1081</v>
      </c>
      <c r="F328" s="2"/>
    </row>
    <row r="329" spans="1:6" ht="14" customHeight="1">
      <c r="A329" s="8">
        <v>13</v>
      </c>
      <c r="B329" s="7" t="str">
        <f>المدخلات!$F$4</f>
        <v>4:00–5:10 م</v>
      </c>
      <c r="C329" s="7">
        <v>2</v>
      </c>
      <c r="D329" s="7" t="s">
        <v>593</v>
      </c>
      <c r="E329" s="7" t="s">
        <v>1079</v>
      </c>
      <c r="F329" s="2"/>
    </row>
    <row r="330" spans="1:6" ht="14" customHeight="1">
      <c r="A330" s="8">
        <v>13</v>
      </c>
      <c r="B330" s="7" t="str">
        <f>المدخلات!$F$4</f>
        <v>4:00–5:10 م</v>
      </c>
      <c r="C330" s="7">
        <v>3</v>
      </c>
      <c r="D330" s="7" t="s">
        <v>593</v>
      </c>
      <c r="E330" s="7" t="s">
        <v>41</v>
      </c>
      <c r="F330" s="2"/>
    </row>
    <row r="331" spans="1:6" ht="14" customHeight="1">
      <c r="A331" s="8">
        <v>13</v>
      </c>
      <c r="B331" s="7" t="str">
        <f>المدخلات!$F$5</f>
        <v>5:20–6:30 م</v>
      </c>
      <c r="C331" s="7">
        <v>1</v>
      </c>
      <c r="D331" s="7" t="s">
        <v>593</v>
      </c>
      <c r="E331" s="7" t="s">
        <v>11</v>
      </c>
      <c r="F331" s="2"/>
    </row>
    <row r="332" spans="1:6" ht="14" customHeight="1">
      <c r="A332" s="8">
        <v>13</v>
      </c>
      <c r="B332" s="7" t="str">
        <f>المدخلات!$F$5</f>
        <v>5:20–6:30 م</v>
      </c>
      <c r="C332" s="7">
        <v>2</v>
      </c>
      <c r="D332" s="7" t="s">
        <v>593</v>
      </c>
      <c r="E332" s="7" t="s">
        <v>1062</v>
      </c>
      <c r="F332" s="2"/>
    </row>
    <row r="333" spans="1:6" ht="14" customHeight="1">
      <c r="A333" s="8">
        <v>13</v>
      </c>
      <c r="B333" s="7" t="str">
        <f>المدخلات!$F$5</f>
        <v>5:20–6:30 م</v>
      </c>
      <c r="C333" s="7">
        <v>3</v>
      </c>
      <c r="D333" s="7" t="s">
        <v>593</v>
      </c>
      <c r="E333" s="7" t="s">
        <v>49</v>
      </c>
      <c r="F333" s="2"/>
    </row>
    <row r="334" spans="1:6" ht="14" customHeight="1">
      <c r="A334" s="8">
        <v>13</v>
      </c>
      <c r="B334" s="7" t="str">
        <f>المدخلات!$F$6</f>
        <v>6:40–7:50 م</v>
      </c>
      <c r="C334" s="7">
        <v>1</v>
      </c>
      <c r="D334" s="7" t="s">
        <v>593</v>
      </c>
      <c r="E334" s="7" t="s">
        <v>57</v>
      </c>
      <c r="F334" s="2"/>
    </row>
    <row r="335" spans="1:6" ht="14" customHeight="1">
      <c r="A335" s="8">
        <v>13</v>
      </c>
      <c r="B335" s="7" t="str">
        <f>المدخلات!$F$4</f>
        <v>4:00–5:10 م</v>
      </c>
      <c r="C335" s="7">
        <v>4</v>
      </c>
      <c r="D335" s="7" t="s">
        <v>594</v>
      </c>
      <c r="E335" s="7" t="s">
        <v>1166</v>
      </c>
      <c r="F335" s="2"/>
    </row>
    <row r="336" spans="1:6" ht="14" customHeight="1">
      <c r="A336" s="8">
        <v>13</v>
      </c>
      <c r="B336" s="7" t="str">
        <f>المدخلات!$F$4</f>
        <v>4:00–5:10 م</v>
      </c>
      <c r="C336" s="7">
        <v>5</v>
      </c>
      <c r="D336" s="7" t="s">
        <v>594</v>
      </c>
      <c r="E336" s="7" t="s">
        <v>1175</v>
      </c>
      <c r="F336" s="2"/>
    </row>
    <row r="337" spans="1:6" ht="14" customHeight="1">
      <c r="A337" s="8">
        <v>13</v>
      </c>
      <c r="B337" s="7" t="str">
        <f>المدخلات!$F$4</f>
        <v>4:00–5:10 م</v>
      </c>
      <c r="C337" s="7">
        <v>6</v>
      </c>
      <c r="D337" s="7" t="s">
        <v>594</v>
      </c>
      <c r="E337" s="7" t="s">
        <v>230</v>
      </c>
      <c r="F337" s="2"/>
    </row>
    <row r="338" spans="1:6" ht="14" customHeight="1">
      <c r="A338" s="8">
        <v>13</v>
      </c>
      <c r="B338" s="7" t="str">
        <f>المدخلات!$F$5</f>
        <v>5:20–6:30 م</v>
      </c>
      <c r="C338" s="7">
        <v>4</v>
      </c>
      <c r="D338" s="7" t="s">
        <v>594</v>
      </c>
      <c r="E338" s="7" t="s">
        <v>129</v>
      </c>
      <c r="F338" s="2"/>
    </row>
    <row r="339" spans="1:6" ht="14" customHeight="1">
      <c r="A339" s="8">
        <v>13</v>
      </c>
      <c r="B339" s="7" t="str">
        <f>المدخلات!$F$5</f>
        <v>5:20–6:30 م</v>
      </c>
      <c r="C339" s="7">
        <v>5</v>
      </c>
      <c r="D339" s="7" t="s">
        <v>594</v>
      </c>
      <c r="E339" s="7" t="s">
        <v>1159</v>
      </c>
      <c r="F339" s="2"/>
    </row>
    <row r="340" spans="1:6" ht="14" customHeight="1">
      <c r="A340" s="8">
        <v>13</v>
      </c>
      <c r="B340" s="7" t="str">
        <f>المدخلات!$F$5</f>
        <v>5:20–6:30 م</v>
      </c>
      <c r="C340" s="7">
        <v>6</v>
      </c>
      <c r="D340" s="7" t="s">
        <v>594</v>
      </c>
      <c r="E340" s="7" t="s">
        <v>235</v>
      </c>
      <c r="F340" s="2"/>
    </row>
    <row r="341" spans="1:6" ht="14" customHeight="1">
      <c r="A341" s="8">
        <v>13</v>
      </c>
      <c r="B341" s="7" t="str">
        <f>المدخلات!$F$6</f>
        <v>6:40–7:50 م</v>
      </c>
      <c r="C341" s="7">
        <v>4</v>
      </c>
      <c r="D341" s="7" t="s">
        <v>594</v>
      </c>
      <c r="E341" s="7" t="s">
        <v>246</v>
      </c>
      <c r="F341" s="2"/>
    </row>
    <row r="342" spans="1:6" ht="14" customHeight="1">
      <c r="A342" s="8">
        <v>13</v>
      </c>
      <c r="B342" s="7" t="str">
        <f>المدخلات!$F$4</f>
        <v>4:00–5:10 م</v>
      </c>
      <c r="C342" s="7">
        <v>7</v>
      </c>
      <c r="D342" s="7" t="s">
        <v>595</v>
      </c>
      <c r="E342" s="7" t="s">
        <v>1253</v>
      </c>
      <c r="F342" s="2"/>
    </row>
    <row r="343" spans="1:6" ht="14" customHeight="1">
      <c r="A343" s="8">
        <v>13</v>
      </c>
      <c r="B343" s="7" t="str">
        <f>المدخلات!$F$4</f>
        <v>4:00–5:10 م</v>
      </c>
      <c r="C343" s="7">
        <v>8</v>
      </c>
      <c r="D343" s="7" t="s">
        <v>595</v>
      </c>
      <c r="E343" s="7" t="s">
        <v>1252</v>
      </c>
      <c r="F343" s="2"/>
    </row>
    <row r="344" spans="1:6" ht="14" customHeight="1">
      <c r="A344" s="8">
        <v>13</v>
      </c>
      <c r="B344" s="7" t="str">
        <f>المدخلات!$F$4</f>
        <v>4:00–5:10 م</v>
      </c>
      <c r="C344" s="7">
        <v>9</v>
      </c>
      <c r="D344" s="7" t="s">
        <v>595</v>
      </c>
      <c r="E344" s="7" t="s">
        <v>362</v>
      </c>
      <c r="F344" s="2"/>
    </row>
    <row r="345" spans="1:6" ht="14" customHeight="1">
      <c r="A345" s="8">
        <v>13</v>
      </c>
      <c r="B345" s="7" t="str">
        <f>المدخلات!$F$5</f>
        <v>5:20–6:30 م</v>
      </c>
      <c r="C345" s="7">
        <v>7</v>
      </c>
      <c r="D345" s="7" t="s">
        <v>595</v>
      </c>
      <c r="E345" s="7" t="s">
        <v>273</v>
      </c>
      <c r="F345" s="2"/>
    </row>
    <row r="346" spans="1:6" ht="14" customHeight="1">
      <c r="A346" s="8">
        <v>13</v>
      </c>
      <c r="B346" s="7" t="str">
        <f>المدخلات!$F$5</f>
        <v>5:20–6:30 م</v>
      </c>
      <c r="C346" s="7">
        <v>8</v>
      </c>
      <c r="D346" s="7" t="s">
        <v>595</v>
      </c>
      <c r="E346" s="7" t="s">
        <v>1251</v>
      </c>
      <c r="F346" s="2"/>
    </row>
    <row r="347" spans="1:6" ht="14" customHeight="1">
      <c r="A347" s="8">
        <v>13</v>
      </c>
      <c r="B347" s="7" t="str">
        <f>المدخلات!$F$5</f>
        <v>5:20–6:30 م</v>
      </c>
      <c r="C347" s="7">
        <v>9</v>
      </c>
      <c r="D347" s="7" t="s">
        <v>595</v>
      </c>
      <c r="E347" s="7" t="s">
        <v>378</v>
      </c>
      <c r="F347" s="2"/>
    </row>
    <row r="348" spans="1:6" ht="14" customHeight="1">
      <c r="A348" s="8">
        <v>13</v>
      </c>
      <c r="B348" s="7" t="str">
        <f>المدخلات!$F$6</f>
        <v>6:40–7:50 م</v>
      </c>
      <c r="C348" s="7">
        <v>7</v>
      </c>
      <c r="D348" s="7" t="s">
        <v>595</v>
      </c>
      <c r="E348" s="7" t="s">
        <v>393</v>
      </c>
      <c r="F348" s="2"/>
    </row>
    <row r="349" spans="1:6" ht="14" customHeight="1">
      <c r="A349" s="8">
        <v>13</v>
      </c>
      <c r="B349" s="7" t="str">
        <f>المدخلات!$F$4</f>
        <v>4:00–5:10 م</v>
      </c>
      <c r="C349" s="7">
        <v>10</v>
      </c>
      <c r="D349" s="7" t="s">
        <v>596</v>
      </c>
      <c r="E349" s="7" t="s">
        <v>1233</v>
      </c>
      <c r="F349" s="2"/>
    </row>
    <row r="350" spans="1:6" ht="14" customHeight="1">
      <c r="A350" s="8">
        <v>13</v>
      </c>
      <c r="B350" s="7" t="str">
        <f>المدخلات!$F$4</f>
        <v>4:00–5:10 م</v>
      </c>
      <c r="C350" s="7">
        <v>11</v>
      </c>
      <c r="D350" s="7" t="s">
        <v>596</v>
      </c>
      <c r="E350" s="7" t="s">
        <v>457</v>
      </c>
      <c r="F350" s="2"/>
    </row>
    <row r="351" spans="1:6" ht="14" customHeight="1">
      <c r="A351" s="8">
        <v>13</v>
      </c>
      <c r="B351" s="7" t="str">
        <f>المدخلات!$F$5</f>
        <v>5:20–6:30 م</v>
      </c>
      <c r="C351" s="7">
        <v>10</v>
      </c>
      <c r="D351" s="7" t="s">
        <v>596</v>
      </c>
      <c r="E351" s="7" t="s">
        <v>1234</v>
      </c>
      <c r="F351" s="2"/>
    </row>
    <row r="352" spans="1:6" ht="14" customHeight="1">
      <c r="A352" s="8">
        <v>13</v>
      </c>
      <c r="B352" s="7" t="str">
        <f>المدخلات!$F$5</f>
        <v>5:20–6:30 م</v>
      </c>
      <c r="C352" s="7">
        <v>11</v>
      </c>
      <c r="D352" s="7" t="s">
        <v>596</v>
      </c>
      <c r="E352" s="7" t="s">
        <v>469</v>
      </c>
      <c r="F352" s="2"/>
    </row>
    <row r="353" spans="1:6" ht="14" customHeight="1">
      <c r="A353" s="8">
        <v>13</v>
      </c>
      <c r="B353" s="7" t="str">
        <f>المدخلات!$F$6</f>
        <v>6:40–7:50 م</v>
      </c>
      <c r="C353" s="7">
        <v>10</v>
      </c>
      <c r="D353" s="7" t="s">
        <v>596</v>
      </c>
      <c r="E353" s="7" t="s">
        <v>516</v>
      </c>
      <c r="F353" s="2"/>
    </row>
    <row r="354" spans="1:6" ht="14" customHeight="1">
      <c r="A354" s="8">
        <v>13</v>
      </c>
      <c r="B354" s="7" t="str">
        <f>المدخلات!$F$6</f>
        <v>6:40–7:50 م</v>
      </c>
      <c r="C354" s="7">
        <v>11</v>
      </c>
      <c r="D354" s="7" t="s">
        <v>596</v>
      </c>
      <c r="E354" s="7" t="s">
        <v>450</v>
      </c>
      <c r="F354" s="2"/>
    </row>
    <row r="355" spans="1:6" ht="14" customHeight="1">
      <c r="A355" s="8">
        <v>14</v>
      </c>
      <c r="B355" s="7" t="str">
        <f>المدخلات!$F$4</f>
        <v>4:00–5:10 م</v>
      </c>
      <c r="C355" s="7">
        <v>1</v>
      </c>
      <c r="D355" s="7" t="s">
        <v>593</v>
      </c>
      <c r="E355" s="7" t="s">
        <v>58</v>
      </c>
      <c r="F355" s="2"/>
    </row>
    <row r="356" spans="1:6" ht="14" customHeight="1">
      <c r="A356" s="8">
        <v>14</v>
      </c>
      <c r="B356" s="7" t="str">
        <f>المدخلات!$F$4</f>
        <v>4:00–5:10 م</v>
      </c>
      <c r="C356" s="7">
        <v>2</v>
      </c>
      <c r="D356" s="7" t="s">
        <v>593</v>
      </c>
      <c r="E356" s="7" t="s">
        <v>1063</v>
      </c>
      <c r="F356" s="2"/>
    </row>
    <row r="357" spans="1:6" ht="14" customHeight="1">
      <c r="A357" s="8">
        <v>14</v>
      </c>
      <c r="B357" s="7" t="str">
        <f>المدخلات!$F$4</f>
        <v>4:00–5:10 م</v>
      </c>
      <c r="C357" s="7">
        <v>3</v>
      </c>
      <c r="D357" s="7" t="s">
        <v>593</v>
      </c>
      <c r="E357" s="7" t="s">
        <v>47</v>
      </c>
      <c r="F357" s="2"/>
    </row>
    <row r="358" spans="1:6" ht="14" customHeight="1">
      <c r="A358" s="8">
        <v>14</v>
      </c>
      <c r="B358" s="7" t="str">
        <f>المدخلات!$F$5</f>
        <v>5:20–6:30 م</v>
      </c>
      <c r="C358" s="7">
        <v>1</v>
      </c>
      <c r="D358" s="7" t="s">
        <v>593</v>
      </c>
      <c r="E358" s="7" t="s">
        <v>37</v>
      </c>
      <c r="F358" s="2"/>
    </row>
    <row r="359" spans="1:6" ht="14" customHeight="1">
      <c r="A359" s="8">
        <v>14</v>
      </c>
      <c r="B359" s="7" t="str">
        <f>المدخلات!$F$5</f>
        <v>5:20–6:30 م</v>
      </c>
      <c r="C359" s="7">
        <v>2</v>
      </c>
      <c r="D359" s="7" t="s">
        <v>593</v>
      </c>
      <c r="E359" s="7" t="s">
        <v>864</v>
      </c>
      <c r="F359" s="2"/>
    </row>
    <row r="360" spans="1:6" ht="14" customHeight="1">
      <c r="A360" s="8">
        <v>14</v>
      </c>
      <c r="B360" s="7" t="str">
        <f>المدخلات!$F$5</f>
        <v>5:20–6:30 م</v>
      </c>
      <c r="C360" s="7">
        <v>3</v>
      </c>
      <c r="D360" s="7" t="s">
        <v>593</v>
      </c>
      <c r="E360" s="7" t="s">
        <v>30</v>
      </c>
      <c r="F360" s="2"/>
    </row>
    <row r="361" spans="1:6" ht="14" customHeight="1">
      <c r="A361" s="8">
        <v>14</v>
      </c>
      <c r="B361" s="7" t="str">
        <f>المدخلات!$F$6</f>
        <v>6:40–7:50 م</v>
      </c>
      <c r="C361" s="7">
        <v>1</v>
      </c>
      <c r="D361" s="7" t="s">
        <v>593</v>
      </c>
      <c r="E361" s="7" t="s">
        <v>886</v>
      </c>
      <c r="F361" s="2"/>
    </row>
    <row r="362" spans="1:6" ht="14" customHeight="1">
      <c r="A362" s="8">
        <v>14</v>
      </c>
      <c r="B362" s="7" t="str">
        <f>المدخلات!$F$4</f>
        <v>4:00–5:10 م</v>
      </c>
      <c r="C362" s="7">
        <v>4</v>
      </c>
      <c r="D362" s="7" t="s">
        <v>594</v>
      </c>
      <c r="E362" s="7" t="s">
        <v>322</v>
      </c>
      <c r="F362" s="2"/>
    </row>
    <row r="363" spans="1:6" ht="14" customHeight="1">
      <c r="A363" s="8">
        <v>14</v>
      </c>
      <c r="B363" s="7" t="str">
        <f>المدخلات!$F$4</f>
        <v>4:00–5:10 م</v>
      </c>
      <c r="C363" s="7">
        <v>5</v>
      </c>
      <c r="D363" s="7" t="s">
        <v>594</v>
      </c>
      <c r="E363" s="7" t="s">
        <v>1160</v>
      </c>
      <c r="F363" s="2"/>
    </row>
    <row r="364" spans="1:6" ht="14" customHeight="1">
      <c r="A364" s="8">
        <v>14</v>
      </c>
      <c r="B364" s="7" t="str">
        <f>المدخلات!$F$4</f>
        <v>4:00–5:10 م</v>
      </c>
      <c r="C364" s="7">
        <v>6</v>
      </c>
      <c r="D364" s="7" t="s">
        <v>594</v>
      </c>
      <c r="E364" s="7" t="s">
        <v>231</v>
      </c>
      <c r="F364" s="2"/>
    </row>
    <row r="365" spans="1:6" ht="14" customHeight="1">
      <c r="A365" s="8">
        <v>14</v>
      </c>
      <c r="B365" s="7" t="str">
        <f>المدخلات!$F$5</f>
        <v>5:20–6:30 م</v>
      </c>
      <c r="C365" s="7">
        <v>4</v>
      </c>
      <c r="D365" s="7" t="s">
        <v>594</v>
      </c>
      <c r="E365" s="7" t="s">
        <v>227</v>
      </c>
      <c r="F365" s="2"/>
    </row>
    <row r="366" spans="1:6" ht="14" customHeight="1">
      <c r="A366" s="8">
        <v>14</v>
      </c>
      <c r="B366" s="7" t="str">
        <f>المدخلات!$F$5</f>
        <v>5:20–6:30 م</v>
      </c>
      <c r="C366" s="7">
        <v>5</v>
      </c>
      <c r="D366" s="7" t="s">
        <v>594</v>
      </c>
      <c r="E366" s="7" t="s">
        <v>877</v>
      </c>
      <c r="F366" s="2"/>
    </row>
    <row r="367" spans="1:6" ht="14" customHeight="1">
      <c r="A367" s="8">
        <v>14</v>
      </c>
      <c r="B367" s="7" t="str">
        <f>المدخلات!$F$5</f>
        <v>5:20–6:30 م</v>
      </c>
      <c r="C367" s="7">
        <v>6</v>
      </c>
      <c r="D367" s="7" t="s">
        <v>594</v>
      </c>
      <c r="E367" s="7" t="s">
        <v>223</v>
      </c>
      <c r="F367" s="2"/>
    </row>
    <row r="368" spans="1:6" ht="14" customHeight="1">
      <c r="A368" s="8">
        <v>14</v>
      </c>
      <c r="B368" s="7" t="str">
        <f>المدخلات!$F$6</f>
        <v>6:40–7:50 م</v>
      </c>
      <c r="C368" s="7">
        <v>4</v>
      </c>
      <c r="D368" s="7" t="s">
        <v>594</v>
      </c>
      <c r="E368" s="7" t="s">
        <v>1254</v>
      </c>
      <c r="F368" s="2"/>
    </row>
    <row r="369" spans="1:6" ht="14" customHeight="1">
      <c r="A369" s="8">
        <v>14</v>
      </c>
      <c r="B369" s="7" t="str">
        <f>المدخلات!$F$4</f>
        <v>4:00–5:10 م</v>
      </c>
      <c r="C369" s="7">
        <v>7</v>
      </c>
      <c r="D369" s="7" t="s">
        <v>595</v>
      </c>
      <c r="E369" s="7" t="s">
        <v>394</v>
      </c>
      <c r="F369" s="2"/>
    </row>
    <row r="370" spans="1:6" ht="14" customHeight="1">
      <c r="A370" s="8">
        <v>14</v>
      </c>
      <c r="B370" s="7" t="str">
        <f>المدخلات!$F$4</f>
        <v>4:00–5:10 م</v>
      </c>
      <c r="C370" s="7">
        <v>8</v>
      </c>
      <c r="D370" s="7" t="s">
        <v>595</v>
      </c>
      <c r="E370" s="7" t="s">
        <v>1256</v>
      </c>
      <c r="F370" s="2"/>
    </row>
    <row r="371" spans="1:6" ht="14" customHeight="1">
      <c r="A371" s="8">
        <v>14</v>
      </c>
      <c r="B371" s="7" t="str">
        <f>المدخلات!$F$4</f>
        <v>4:00–5:10 م</v>
      </c>
      <c r="C371" s="7">
        <v>9</v>
      </c>
      <c r="D371" s="7" t="s">
        <v>595</v>
      </c>
      <c r="E371" s="7" t="s">
        <v>379</v>
      </c>
      <c r="F371" s="2"/>
    </row>
    <row r="372" spans="1:6" ht="14" customHeight="1">
      <c r="A372" s="8">
        <v>14</v>
      </c>
      <c r="B372" s="7" t="str">
        <f>المدخلات!$F$5</f>
        <v>5:20–6:30 م</v>
      </c>
      <c r="C372" s="7">
        <v>7</v>
      </c>
      <c r="D372" s="7" t="s">
        <v>595</v>
      </c>
      <c r="E372" s="7" t="s">
        <v>363</v>
      </c>
      <c r="F372" s="2"/>
    </row>
    <row r="373" spans="1:6" ht="14" customHeight="1">
      <c r="A373" s="8">
        <v>14</v>
      </c>
      <c r="B373" s="7" t="str">
        <f>المدخلات!$F$5</f>
        <v>5:20–6:30 م</v>
      </c>
      <c r="C373" s="7">
        <v>8</v>
      </c>
      <c r="D373" s="7" t="s">
        <v>595</v>
      </c>
      <c r="E373" s="7" t="s">
        <v>1257</v>
      </c>
      <c r="F373" s="2"/>
    </row>
    <row r="374" spans="1:6" ht="14" customHeight="1">
      <c r="A374" s="8">
        <v>14</v>
      </c>
      <c r="B374" s="7" t="str">
        <f>المدخلات!$F$5</f>
        <v>5:20–6:30 م</v>
      </c>
      <c r="C374" s="7">
        <v>9</v>
      </c>
      <c r="D374" s="7" t="s">
        <v>595</v>
      </c>
      <c r="E374" s="7" t="s">
        <v>344</v>
      </c>
      <c r="F374" s="2"/>
    </row>
    <row r="375" spans="1:6" ht="14" customHeight="1">
      <c r="A375" s="8">
        <v>14</v>
      </c>
      <c r="B375" s="7" t="str">
        <f>المدخلات!$F$6</f>
        <v>6:40–7:50 م</v>
      </c>
      <c r="C375" s="7">
        <v>7</v>
      </c>
      <c r="D375" s="7" t="s">
        <v>595</v>
      </c>
      <c r="E375" s="7" t="s">
        <v>1255</v>
      </c>
      <c r="F375" s="2"/>
    </row>
    <row r="376" spans="1:6" ht="14" customHeight="1">
      <c r="A376" s="8">
        <v>14</v>
      </c>
      <c r="B376" s="7" t="str">
        <f>المدخلات!$F$4</f>
        <v>4:00–5:10 م</v>
      </c>
      <c r="C376" s="7">
        <v>10</v>
      </c>
      <c r="D376" s="7" t="s">
        <v>596</v>
      </c>
      <c r="E376" s="7" t="s">
        <v>451</v>
      </c>
      <c r="F376" s="2"/>
    </row>
    <row r="377" spans="1:6" ht="14" customHeight="1">
      <c r="A377" s="8">
        <v>14</v>
      </c>
      <c r="B377" s="7" t="str">
        <f>المدخلات!$F$4</f>
        <v>4:00–5:10 م</v>
      </c>
      <c r="C377" s="7">
        <v>11</v>
      </c>
      <c r="D377" s="7" t="s">
        <v>596</v>
      </c>
      <c r="E377" s="7" t="s">
        <v>1258</v>
      </c>
      <c r="F377" s="2"/>
    </row>
    <row r="378" spans="1:6" ht="14" customHeight="1">
      <c r="A378" s="8">
        <v>14</v>
      </c>
      <c r="B378" s="7" t="str">
        <f>المدخلات!$F$5</f>
        <v>5:20–6:30 م</v>
      </c>
      <c r="C378" s="7">
        <v>10</v>
      </c>
      <c r="D378" s="7" t="s">
        <v>596</v>
      </c>
      <c r="E378" s="7" t="s">
        <v>504</v>
      </c>
      <c r="F378" s="2"/>
    </row>
    <row r="379" spans="1:6" ht="14" customHeight="1">
      <c r="A379" s="8">
        <v>14</v>
      </c>
      <c r="B379" s="7" t="str">
        <f>المدخلات!$F$5</f>
        <v>5:20–6:30 م</v>
      </c>
      <c r="C379" s="7">
        <v>11</v>
      </c>
      <c r="D379" s="7" t="s">
        <v>596</v>
      </c>
      <c r="E379" s="7" t="s">
        <v>517</v>
      </c>
      <c r="F379" s="2"/>
    </row>
    <row r="380" spans="1:6" ht="14" customHeight="1">
      <c r="A380" s="8">
        <v>14</v>
      </c>
      <c r="B380" s="7" t="str">
        <f>المدخلات!$F$6</f>
        <v>6:40–7:50 م</v>
      </c>
      <c r="C380" s="7">
        <v>10</v>
      </c>
      <c r="D380" s="7" t="s">
        <v>596</v>
      </c>
      <c r="E380" s="7" t="s">
        <v>452</v>
      </c>
      <c r="F380" s="2"/>
    </row>
    <row r="381" spans="1:6" ht="14" customHeight="1">
      <c r="A381" s="8">
        <v>14</v>
      </c>
      <c r="B381" s="7" t="str">
        <f>المدخلات!$F$6</f>
        <v>6:40–7:50 م</v>
      </c>
      <c r="C381" s="7">
        <v>11</v>
      </c>
      <c r="D381" s="7" t="s">
        <v>596</v>
      </c>
      <c r="E381" s="7" t="s">
        <v>445</v>
      </c>
      <c r="F381" s="2"/>
    </row>
    <row r="382" spans="1:6" ht="14" customHeight="1">
      <c r="A382" s="8">
        <v>15</v>
      </c>
      <c r="B382" s="7" t="str">
        <f>المدخلات!$F$4</f>
        <v>4:00–5:10 م</v>
      </c>
      <c r="C382" s="7">
        <v>1</v>
      </c>
      <c r="D382" s="7" t="s">
        <v>593</v>
      </c>
      <c r="E382" s="7" t="s">
        <v>1060</v>
      </c>
      <c r="F382" s="2"/>
    </row>
    <row r="383" spans="1:6" ht="14" customHeight="1">
      <c r="A383" s="8">
        <v>15</v>
      </c>
      <c r="B383" s="7" t="str">
        <f>المدخلات!$F$4</f>
        <v>4:00–5:10 م</v>
      </c>
      <c r="C383" s="7">
        <v>2</v>
      </c>
      <c r="D383" s="7" t="s">
        <v>593</v>
      </c>
      <c r="E383" s="7" t="s">
        <v>23</v>
      </c>
      <c r="F383" s="2"/>
    </row>
    <row r="384" spans="1:6" ht="14" customHeight="1">
      <c r="A384" s="8">
        <v>15</v>
      </c>
      <c r="B384" s="7" t="str">
        <f>المدخلات!$F$4</f>
        <v>4:00–5:10 م</v>
      </c>
      <c r="C384" s="7">
        <v>3</v>
      </c>
      <c r="D384" s="7" t="s">
        <v>593</v>
      </c>
      <c r="E384" s="7" t="s">
        <v>96</v>
      </c>
      <c r="F384" s="2"/>
    </row>
    <row r="385" spans="1:6" ht="14" customHeight="1">
      <c r="A385" s="8">
        <v>15</v>
      </c>
      <c r="B385" s="7" t="str">
        <f>المدخلات!$F$5</f>
        <v>5:20–6:30 م</v>
      </c>
      <c r="C385" s="7">
        <v>1</v>
      </c>
      <c r="D385" s="7" t="s">
        <v>593</v>
      </c>
      <c r="E385" s="7" t="s">
        <v>34</v>
      </c>
      <c r="F385" s="2"/>
    </row>
    <row r="386" spans="1:6" ht="14" customHeight="1">
      <c r="A386" s="8">
        <v>15</v>
      </c>
      <c r="B386" s="7" t="str">
        <f>المدخلات!$F$5</f>
        <v>5:20–6:30 م</v>
      </c>
      <c r="C386" s="7">
        <v>2</v>
      </c>
      <c r="D386" s="7" t="s">
        <v>593</v>
      </c>
      <c r="E386" s="7" t="s">
        <v>863</v>
      </c>
      <c r="F386" s="2"/>
    </row>
    <row r="387" spans="1:6" ht="14" customHeight="1">
      <c r="A387" s="8">
        <v>15</v>
      </c>
      <c r="B387" s="7" t="str">
        <f>المدخلات!$F$5</f>
        <v>5:20–6:30 م</v>
      </c>
      <c r="C387" s="7">
        <v>3</v>
      </c>
      <c r="D387" s="7" t="s">
        <v>593</v>
      </c>
      <c r="E387" s="7" t="s">
        <v>1064</v>
      </c>
      <c r="F387" s="2"/>
    </row>
    <row r="388" spans="1:6" ht="14" customHeight="1">
      <c r="A388" s="8">
        <v>15</v>
      </c>
      <c r="B388" s="7" t="str">
        <f>المدخلات!$F$6</f>
        <v>6:40–7:50 م</v>
      </c>
      <c r="C388" s="7">
        <v>1</v>
      </c>
      <c r="D388" s="7" t="s">
        <v>593</v>
      </c>
      <c r="E388" s="7" t="s">
        <v>35</v>
      </c>
      <c r="F388" s="2"/>
    </row>
    <row r="389" spans="1:6" ht="14" customHeight="1">
      <c r="A389" s="8">
        <v>15</v>
      </c>
      <c r="B389" s="7" t="str">
        <f>المدخلات!$F$4</f>
        <v>4:00–5:10 م</v>
      </c>
      <c r="C389" s="7">
        <v>4</v>
      </c>
      <c r="D389" s="7" t="s">
        <v>594</v>
      </c>
      <c r="E389" s="7" t="s">
        <v>1154</v>
      </c>
      <c r="F389" s="2"/>
    </row>
    <row r="390" spans="1:6" ht="14" customHeight="1">
      <c r="A390" s="8">
        <v>15</v>
      </c>
      <c r="B390" s="7" t="str">
        <f>المدخلات!$F$4</f>
        <v>4:00–5:10 م</v>
      </c>
      <c r="C390" s="7">
        <v>5</v>
      </c>
      <c r="D390" s="7" t="s">
        <v>594</v>
      </c>
      <c r="E390" s="7" t="s">
        <v>210</v>
      </c>
      <c r="F390" s="2"/>
    </row>
    <row r="391" spans="1:6" ht="14" customHeight="1">
      <c r="A391" s="8">
        <v>15</v>
      </c>
      <c r="B391" s="7" t="str">
        <f>المدخلات!$F$4</f>
        <v>4:00–5:10 م</v>
      </c>
      <c r="C391" s="7">
        <v>6</v>
      </c>
      <c r="D391" s="7" t="s">
        <v>594</v>
      </c>
      <c r="E391" s="7" t="s">
        <v>257</v>
      </c>
      <c r="F391" s="2"/>
    </row>
    <row r="392" spans="1:6" ht="14" customHeight="1">
      <c r="A392" s="8">
        <v>15</v>
      </c>
      <c r="B392" s="7" t="str">
        <f>المدخلات!$F$5</f>
        <v>5:20–6:30 م</v>
      </c>
      <c r="C392" s="7">
        <v>4</v>
      </c>
      <c r="D392" s="7" t="s">
        <v>594</v>
      </c>
      <c r="E392" s="7" t="s">
        <v>224</v>
      </c>
      <c r="F392" s="2"/>
    </row>
    <row r="393" spans="1:6" ht="14" customHeight="1">
      <c r="A393" s="8">
        <v>15</v>
      </c>
      <c r="B393" s="7" t="str">
        <f>المدخلات!$F$5</f>
        <v>5:20–6:30 م</v>
      </c>
      <c r="C393" s="7">
        <v>5</v>
      </c>
      <c r="D393" s="7" t="s">
        <v>594</v>
      </c>
      <c r="E393" s="7" t="s">
        <v>876</v>
      </c>
      <c r="F393" s="2"/>
    </row>
    <row r="394" spans="1:6" ht="14" customHeight="1">
      <c r="A394" s="8">
        <v>15</v>
      </c>
      <c r="B394" s="7" t="str">
        <f>المدخلات!$F$5</f>
        <v>5:20–6:30 م</v>
      </c>
      <c r="C394" s="7">
        <v>6</v>
      </c>
      <c r="D394" s="7" t="s">
        <v>594</v>
      </c>
      <c r="E394" s="7" t="s">
        <v>1153</v>
      </c>
      <c r="F394" s="2"/>
    </row>
    <row r="395" spans="1:6" ht="14" customHeight="1">
      <c r="A395" s="8">
        <v>15</v>
      </c>
      <c r="B395" s="7" t="str">
        <f>المدخلات!$F$6</f>
        <v>6:40–7:50 م</v>
      </c>
      <c r="C395" s="7">
        <v>4</v>
      </c>
      <c r="D395" s="7" t="s">
        <v>594</v>
      </c>
      <c r="E395" s="7" t="s">
        <v>328</v>
      </c>
      <c r="F395" s="2"/>
    </row>
    <row r="396" spans="1:6" ht="14" customHeight="1">
      <c r="A396" s="8">
        <v>15</v>
      </c>
      <c r="B396" s="7" t="str">
        <f>المدخلات!$F$4</f>
        <v>4:00–5:10 م</v>
      </c>
      <c r="C396" s="7">
        <v>7</v>
      </c>
      <c r="D396" s="7" t="s">
        <v>595</v>
      </c>
      <c r="E396" s="7" t="s">
        <v>1232</v>
      </c>
      <c r="F396" s="2"/>
    </row>
    <row r="397" spans="1:6" ht="14" customHeight="1">
      <c r="A397" s="8">
        <v>15</v>
      </c>
      <c r="B397" s="7" t="str">
        <f>المدخلات!$F$4</f>
        <v>4:00–5:10 م</v>
      </c>
      <c r="C397" s="7">
        <v>8</v>
      </c>
      <c r="D397" s="7" t="s">
        <v>595</v>
      </c>
      <c r="E397" s="7" t="s">
        <v>339</v>
      </c>
      <c r="F397" s="2"/>
    </row>
    <row r="398" spans="1:6" ht="14" customHeight="1">
      <c r="A398" s="8">
        <v>15</v>
      </c>
      <c r="B398" s="7" t="str">
        <f>المدخلات!$F$4</f>
        <v>4:00–5:10 م</v>
      </c>
      <c r="C398" s="7">
        <v>9</v>
      </c>
      <c r="D398" s="7" t="s">
        <v>595</v>
      </c>
      <c r="E398" s="7" t="s">
        <v>409</v>
      </c>
      <c r="F398" s="2"/>
    </row>
    <row r="399" spans="1:6" ht="14" customHeight="1">
      <c r="A399" s="8">
        <v>15</v>
      </c>
      <c r="B399" s="7" t="str">
        <f>المدخلات!$F$5</f>
        <v>5:20–6:30 م</v>
      </c>
      <c r="C399" s="7">
        <v>7</v>
      </c>
      <c r="D399" s="7" t="s">
        <v>595</v>
      </c>
      <c r="E399" s="7" t="s">
        <v>345</v>
      </c>
      <c r="F399" s="2"/>
    </row>
    <row r="400" spans="1:6" ht="14" customHeight="1">
      <c r="A400" s="8">
        <v>15</v>
      </c>
      <c r="B400" s="7" t="str">
        <f>المدخلات!$F$5</f>
        <v>5:20–6:30 م</v>
      </c>
      <c r="C400" s="7">
        <v>8</v>
      </c>
      <c r="D400" s="7" t="s">
        <v>595</v>
      </c>
      <c r="E400" s="7" t="s">
        <v>1231</v>
      </c>
      <c r="F400" s="2"/>
    </row>
    <row r="401" spans="1:6" ht="14" customHeight="1">
      <c r="A401" s="8">
        <v>15</v>
      </c>
      <c r="B401" s="7" t="str">
        <f>المدخلات!$F$5</f>
        <v>5:20–6:30 م</v>
      </c>
      <c r="C401" s="7">
        <v>9</v>
      </c>
      <c r="D401" s="7" t="s">
        <v>595</v>
      </c>
      <c r="E401" s="7" t="s">
        <v>1228</v>
      </c>
      <c r="F401" s="2"/>
    </row>
    <row r="402" spans="1:6" ht="14" customHeight="1">
      <c r="A402" s="8">
        <v>15</v>
      </c>
      <c r="B402" s="7" t="str">
        <f>المدخلات!$F$6</f>
        <v>6:40–7:50 م</v>
      </c>
      <c r="C402" s="7">
        <v>7</v>
      </c>
      <c r="D402" s="7" t="s">
        <v>595</v>
      </c>
      <c r="E402" s="7" t="s">
        <v>364</v>
      </c>
      <c r="F402" s="2"/>
    </row>
    <row r="403" spans="1:6" ht="14" customHeight="1">
      <c r="A403" s="8">
        <v>15</v>
      </c>
      <c r="B403" s="7" t="str">
        <f>المدخلات!$F$4</f>
        <v>4:00–5:10 م</v>
      </c>
      <c r="C403" s="7">
        <v>10</v>
      </c>
      <c r="D403" s="7" t="s">
        <v>596</v>
      </c>
      <c r="E403" s="7" t="s">
        <v>505</v>
      </c>
      <c r="F403" s="2"/>
    </row>
    <row r="404" spans="1:6" ht="14" customHeight="1">
      <c r="A404" s="8">
        <v>15</v>
      </c>
      <c r="B404" s="7" t="str">
        <f>المدخلات!$F$4</f>
        <v>4:00–5:10 م</v>
      </c>
      <c r="C404" s="7">
        <v>11</v>
      </c>
      <c r="D404" s="7" t="s">
        <v>596</v>
      </c>
      <c r="E404" s="7" t="s">
        <v>440</v>
      </c>
      <c r="F404" s="2"/>
    </row>
    <row r="405" spans="1:6" ht="14" customHeight="1">
      <c r="A405" s="8">
        <v>15</v>
      </c>
      <c r="B405" s="7" t="str">
        <f>المدخلات!$F$5</f>
        <v>5:20–6:30 م</v>
      </c>
      <c r="C405" s="7">
        <v>10</v>
      </c>
      <c r="D405" s="7" t="s">
        <v>596</v>
      </c>
      <c r="E405" s="7" t="s">
        <v>446</v>
      </c>
      <c r="F405" s="2"/>
    </row>
    <row r="406" spans="1:6" ht="14" customHeight="1">
      <c r="A406" s="8">
        <v>15</v>
      </c>
      <c r="B406" s="7" t="str">
        <f>المدخلات!$F$5</f>
        <v>5:20–6:30 م</v>
      </c>
      <c r="C406" s="7">
        <v>11</v>
      </c>
      <c r="D406" s="7" t="s">
        <v>596</v>
      </c>
      <c r="E406" s="7" t="s">
        <v>922</v>
      </c>
      <c r="F406" s="2"/>
    </row>
    <row r="407" spans="1:6" ht="14" customHeight="1">
      <c r="A407" s="8">
        <v>15</v>
      </c>
      <c r="B407" s="7" t="str">
        <f>المدخلات!$F$6</f>
        <v>6:40–7:50 م</v>
      </c>
      <c r="C407" s="7">
        <v>10</v>
      </c>
      <c r="D407" s="7" t="s">
        <v>596</v>
      </c>
      <c r="E407" s="7" t="s">
        <v>494</v>
      </c>
      <c r="F407" s="2"/>
    </row>
    <row r="408" spans="1:6" ht="14" customHeight="1">
      <c r="A408" s="8">
        <v>15</v>
      </c>
      <c r="B408" s="7" t="str">
        <f>المدخلات!$F$6</f>
        <v>6:40–7:50 م</v>
      </c>
      <c r="C408" s="7">
        <v>11</v>
      </c>
      <c r="D408" s="7" t="s">
        <v>596</v>
      </c>
      <c r="E408" s="7" t="s">
        <v>482</v>
      </c>
      <c r="F408" s="2"/>
    </row>
    <row r="409" spans="1:6" ht="14" customHeight="1">
      <c r="A409" s="8">
        <v>16</v>
      </c>
      <c r="B409" s="7" t="str">
        <f>المدخلات!$F$4</f>
        <v>4:00–5:10 م</v>
      </c>
      <c r="C409" s="7">
        <v>1</v>
      </c>
      <c r="D409" s="7" t="s">
        <v>593</v>
      </c>
      <c r="E409" s="7" t="s">
        <v>62</v>
      </c>
      <c r="F409" s="2"/>
    </row>
    <row r="410" spans="1:6" ht="14" customHeight="1">
      <c r="A410" s="8">
        <v>16</v>
      </c>
      <c r="B410" s="7" t="str">
        <f>المدخلات!$F$4</f>
        <v>4:00–5:10 م</v>
      </c>
      <c r="C410" s="7">
        <v>2</v>
      </c>
      <c r="D410" s="7" t="s">
        <v>593</v>
      </c>
      <c r="E410" s="7" t="s">
        <v>40</v>
      </c>
      <c r="F410" s="2"/>
    </row>
    <row r="411" spans="1:6" ht="14" customHeight="1">
      <c r="A411" s="8">
        <v>16</v>
      </c>
      <c r="B411" s="7" t="str">
        <f>المدخلات!$F$4</f>
        <v>4:00–5:10 م</v>
      </c>
      <c r="C411" s="7">
        <v>3</v>
      </c>
      <c r="D411" s="7" t="s">
        <v>593</v>
      </c>
      <c r="E411" s="7" t="s">
        <v>33</v>
      </c>
      <c r="F411" s="2"/>
    </row>
    <row r="412" spans="1:6" ht="14" customHeight="1">
      <c r="A412" s="8">
        <v>16</v>
      </c>
      <c r="B412" s="7" t="str">
        <f>المدخلات!$F$5</f>
        <v>5:20–6:30 م</v>
      </c>
      <c r="C412" s="7">
        <v>1</v>
      </c>
      <c r="D412" s="7" t="s">
        <v>593</v>
      </c>
      <c r="E412" s="7" t="s">
        <v>26</v>
      </c>
      <c r="F412" s="2"/>
    </row>
    <row r="413" spans="1:6" ht="14" customHeight="1">
      <c r="A413" s="8">
        <v>16</v>
      </c>
      <c r="B413" s="7" t="str">
        <f>المدخلات!$F$5</f>
        <v>5:20–6:30 م</v>
      </c>
      <c r="C413" s="7">
        <v>2</v>
      </c>
      <c r="D413" s="7" t="s">
        <v>593</v>
      </c>
      <c r="E413" s="7" t="s">
        <v>90</v>
      </c>
      <c r="F413" s="2"/>
    </row>
    <row r="414" spans="1:6" ht="14" customHeight="1">
      <c r="A414" s="8">
        <v>16</v>
      </c>
      <c r="B414" s="7" t="str">
        <f>المدخلات!$F$5</f>
        <v>5:20–6:30 م</v>
      </c>
      <c r="C414" s="7">
        <v>3</v>
      </c>
      <c r="D414" s="7" t="s">
        <v>593</v>
      </c>
      <c r="E414" s="7" t="s">
        <v>16</v>
      </c>
      <c r="F414" s="2"/>
    </row>
    <row r="415" spans="1:6" ht="14" customHeight="1">
      <c r="A415" s="8">
        <v>16</v>
      </c>
      <c r="B415" s="7" t="str">
        <f>المدخلات!$F$6</f>
        <v>6:40–7:50 م</v>
      </c>
      <c r="C415" s="7">
        <v>1</v>
      </c>
      <c r="D415" s="7" t="s">
        <v>593</v>
      </c>
      <c r="E415" s="7" t="s">
        <v>97</v>
      </c>
      <c r="F415" s="2"/>
    </row>
    <row r="416" spans="1:6" ht="14" customHeight="1">
      <c r="A416" s="8">
        <v>16</v>
      </c>
      <c r="B416" s="7" t="str">
        <f>المدخلات!$F$4</f>
        <v>4:00–5:10 م</v>
      </c>
      <c r="C416" s="7">
        <v>4</v>
      </c>
      <c r="D416" s="7" t="s">
        <v>594</v>
      </c>
      <c r="E416" s="7" t="s">
        <v>867</v>
      </c>
      <c r="F416" s="2"/>
    </row>
    <row r="417" spans="1:6" ht="14" customHeight="1">
      <c r="A417" s="8">
        <v>16</v>
      </c>
      <c r="B417" s="7" t="str">
        <f>المدخلات!$F$4</f>
        <v>4:00–5:10 م</v>
      </c>
      <c r="C417" s="7">
        <v>5</v>
      </c>
      <c r="D417" s="7" t="s">
        <v>594</v>
      </c>
      <c r="E417" s="7" t="s">
        <v>848</v>
      </c>
      <c r="F417" s="2"/>
    </row>
    <row r="418" spans="1:6" ht="14" customHeight="1">
      <c r="A418" s="8">
        <v>16</v>
      </c>
      <c r="B418" s="7" t="str">
        <f>المدخلات!$F$4</f>
        <v>4:00–5:10 م</v>
      </c>
      <c r="C418" s="7">
        <v>6</v>
      </c>
      <c r="D418" s="7" t="s">
        <v>594</v>
      </c>
      <c r="E418" s="7" t="s">
        <v>225</v>
      </c>
      <c r="F418" s="2"/>
    </row>
    <row r="419" spans="1:6" ht="14" customHeight="1">
      <c r="A419" s="8">
        <v>16</v>
      </c>
      <c r="B419" s="7" t="str">
        <f>المدخلات!$F$5</f>
        <v>5:20–6:30 م</v>
      </c>
      <c r="C419" s="7">
        <v>4</v>
      </c>
      <c r="D419" s="7" t="s">
        <v>594</v>
      </c>
      <c r="E419" s="7" t="s">
        <v>211</v>
      </c>
      <c r="F419" s="2"/>
    </row>
    <row r="420" spans="1:6" ht="14" customHeight="1">
      <c r="A420" s="8">
        <v>16</v>
      </c>
      <c r="B420" s="7" t="str">
        <f>المدخلات!$F$5</f>
        <v>5:20–6:30 م</v>
      </c>
      <c r="C420" s="7">
        <v>5</v>
      </c>
      <c r="D420" s="7" t="s">
        <v>594</v>
      </c>
      <c r="E420" s="7" t="s">
        <v>248</v>
      </c>
      <c r="F420" s="2"/>
    </row>
    <row r="421" spans="1:6" ht="14" customHeight="1">
      <c r="A421" s="8">
        <v>16</v>
      </c>
      <c r="B421" s="7" t="str">
        <f>المدخلات!$F$5</f>
        <v>5:20–6:30 م</v>
      </c>
      <c r="C421" s="7">
        <v>6</v>
      </c>
      <c r="D421" s="7" t="s">
        <v>594</v>
      </c>
      <c r="E421" s="7" t="s">
        <v>196</v>
      </c>
      <c r="F421" s="2"/>
    </row>
    <row r="422" spans="1:6" ht="14" customHeight="1">
      <c r="A422" s="8">
        <v>16</v>
      </c>
      <c r="B422" s="7" t="str">
        <f>المدخلات!$F$6</f>
        <v>6:40–7:50 م</v>
      </c>
      <c r="C422" s="7">
        <v>4</v>
      </c>
      <c r="D422" s="7" t="s">
        <v>594</v>
      </c>
      <c r="E422" s="7" t="s">
        <v>258</v>
      </c>
      <c r="F422" s="2"/>
    </row>
    <row r="423" spans="1:6" ht="14" customHeight="1">
      <c r="A423" s="8">
        <v>16</v>
      </c>
      <c r="B423" s="7" t="str">
        <f>المدخلات!$F$4</f>
        <v>4:00–5:10 م</v>
      </c>
      <c r="C423" s="7">
        <v>7</v>
      </c>
      <c r="D423" s="7" t="s">
        <v>595</v>
      </c>
      <c r="E423" s="7" t="s">
        <v>401</v>
      </c>
      <c r="F423" s="2"/>
    </row>
    <row r="424" spans="1:6" ht="14" customHeight="1">
      <c r="A424" s="8">
        <v>16</v>
      </c>
      <c r="B424" s="7" t="str">
        <f>المدخلات!$F$4</f>
        <v>4:00–5:10 م</v>
      </c>
      <c r="C424" s="7">
        <v>8</v>
      </c>
      <c r="D424" s="7" t="s">
        <v>595</v>
      </c>
      <c r="E424" s="7" t="s">
        <v>365</v>
      </c>
      <c r="F424" s="2"/>
    </row>
    <row r="425" spans="1:6" ht="14" customHeight="1">
      <c r="A425" s="8">
        <v>16</v>
      </c>
      <c r="B425" s="7" t="str">
        <f>المدخلات!$F$4</f>
        <v>4:00–5:10 م</v>
      </c>
      <c r="C425" s="7">
        <v>9</v>
      </c>
      <c r="D425" s="7" t="s">
        <v>595</v>
      </c>
      <c r="E425" s="7" t="s">
        <v>341</v>
      </c>
      <c r="F425" s="2"/>
    </row>
    <row r="426" spans="1:6" ht="14" customHeight="1">
      <c r="A426" s="8">
        <v>16</v>
      </c>
      <c r="B426" s="7" t="str">
        <f>المدخلات!$F$5</f>
        <v>5:20–6:30 م</v>
      </c>
      <c r="C426" s="7">
        <v>7</v>
      </c>
      <c r="D426" s="7" t="s">
        <v>595</v>
      </c>
      <c r="E426" s="7" t="s">
        <v>340</v>
      </c>
      <c r="F426" s="2"/>
    </row>
    <row r="427" spans="1:6" ht="14" customHeight="1">
      <c r="A427" s="8">
        <v>16</v>
      </c>
      <c r="B427" s="7" t="str">
        <f>المدخلات!$F$5</f>
        <v>5:20–6:30 م</v>
      </c>
      <c r="C427" s="7">
        <v>8</v>
      </c>
      <c r="D427" s="7" t="s">
        <v>595</v>
      </c>
      <c r="E427" s="7" t="s">
        <v>1211</v>
      </c>
      <c r="F427" s="2"/>
    </row>
    <row r="428" spans="1:6" ht="14" customHeight="1">
      <c r="A428" s="8">
        <v>16</v>
      </c>
      <c r="B428" s="7" t="str">
        <f>المدخلات!$F$5</f>
        <v>5:20–6:30 م</v>
      </c>
      <c r="C428" s="7">
        <v>9</v>
      </c>
      <c r="D428" s="7" t="s">
        <v>595</v>
      </c>
      <c r="E428" s="7" t="s">
        <v>324</v>
      </c>
      <c r="F428" s="2"/>
    </row>
    <row r="429" spans="1:6" ht="14" customHeight="1">
      <c r="A429" s="8">
        <v>16</v>
      </c>
      <c r="B429" s="7" t="str">
        <f>المدخلات!$F$6</f>
        <v>6:40–7:50 م</v>
      </c>
      <c r="C429" s="7">
        <v>7</v>
      </c>
      <c r="D429" s="7" t="s">
        <v>595</v>
      </c>
      <c r="E429" s="7" t="s">
        <v>1212</v>
      </c>
      <c r="F429" s="2"/>
    </row>
    <row r="430" spans="1:6" ht="14" customHeight="1">
      <c r="A430" s="8">
        <v>16</v>
      </c>
      <c r="B430" s="7" t="str">
        <f>المدخلات!$F$4</f>
        <v>4:00–5:10 م</v>
      </c>
      <c r="C430" s="7">
        <v>10</v>
      </c>
      <c r="D430" s="7" t="s">
        <v>596</v>
      </c>
      <c r="E430" s="7" t="s">
        <v>470</v>
      </c>
      <c r="F430" s="2"/>
    </row>
    <row r="431" spans="1:6" ht="14" customHeight="1">
      <c r="A431" s="8">
        <v>16</v>
      </c>
      <c r="B431" s="7" t="str">
        <f>المدخلات!$F$4</f>
        <v>4:00–5:10 م</v>
      </c>
      <c r="C431" s="7">
        <v>11</v>
      </c>
      <c r="D431" s="7" t="s">
        <v>596</v>
      </c>
      <c r="E431" s="7" t="s">
        <v>495</v>
      </c>
      <c r="F431" s="2"/>
    </row>
    <row r="432" spans="1:6" ht="14" customHeight="1">
      <c r="A432" s="8">
        <v>16</v>
      </c>
      <c r="B432" s="7" t="str">
        <f>المدخلات!$F$5</f>
        <v>5:20–6:30 م</v>
      </c>
      <c r="C432" s="7">
        <v>10</v>
      </c>
      <c r="D432" s="7" t="s">
        <v>596</v>
      </c>
      <c r="E432" s="7" t="s">
        <v>476</v>
      </c>
      <c r="F432" s="2"/>
    </row>
    <row r="433" spans="1:6" ht="14" customHeight="1">
      <c r="A433" s="8">
        <v>16</v>
      </c>
      <c r="B433" s="7" t="str">
        <f>المدخلات!$F$5</f>
        <v>5:20–6:30 م</v>
      </c>
      <c r="C433" s="7">
        <v>11</v>
      </c>
      <c r="D433" s="7" t="s">
        <v>596</v>
      </c>
      <c r="E433" s="7" t="s">
        <v>927</v>
      </c>
      <c r="F433" s="2"/>
    </row>
    <row r="434" spans="1:6" ht="14" customHeight="1">
      <c r="A434" s="8">
        <v>16</v>
      </c>
      <c r="B434" s="7" t="str">
        <f>المدخلات!$F$6</f>
        <v>6:40–7:50 م</v>
      </c>
      <c r="C434" s="7">
        <v>10</v>
      </c>
      <c r="D434" s="7" t="s">
        <v>596</v>
      </c>
      <c r="E434" s="7" t="s">
        <v>434</v>
      </c>
      <c r="F434" s="2"/>
    </row>
    <row r="435" spans="1:6" ht="14" customHeight="1">
      <c r="A435" s="8">
        <v>16</v>
      </c>
      <c r="B435" s="7" t="str">
        <f>المدخلات!$F$6</f>
        <v>6:40–7:50 م</v>
      </c>
      <c r="C435" s="7">
        <v>11</v>
      </c>
      <c r="D435" s="7" t="s">
        <v>596</v>
      </c>
      <c r="E435" s="7" t="s">
        <v>506</v>
      </c>
      <c r="F435" s="2"/>
    </row>
    <row r="436" spans="1:6" ht="14" customHeight="1">
      <c r="A436" s="8">
        <v>17</v>
      </c>
      <c r="B436" s="7" t="str">
        <f>المدخلات!$F$4</f>
        <v>4:00–5:10 م</v>
      </c>
      <c r="C436" s="7">
        <v>1</v>
      </c>
      <c r="D436" s="7" t="s">
        <v>593</v>
      </c>
      <c r="E436" s="7" t="s">
        <v>22</v>
      </c>
      <c r="F436" s="2"/>
    </row>
    <row r="437" spans="1:6" ht="14" customHeight="1">
      <c r="A437" s="8">
        <v>17</v>
      </c>
      <c r="B437" s="7" t="str">
        <f>المدخلات!$F$4</f>
        <v>4:00–5:10 م</v>
      </c>
      <c r="C437" s="7">
        <v>2</v>
      </c>
      <c r="D437" s="7" t="s">
        <v>593</v>
      </c>
      <c r="E437" s="7" t="s">
        <v>10</v>
      </c>
      <c r="F437" s="2"/>
    </row>
    <row r="438" spans="1:6" ht="14" customHeight="1">
      <c r="A438" s="8">
        <v>17</v>
      </c>
      <c r="B438" s="7" t="str">
        <f>المدخلات!$F$4</f>
        <v>4:00–5:10 م</v>
      </c>
      <c r="C438" s="7">
        <v>3</v>
      </c>
      <c r="D438" s="7" t="s">
        <v>593</v>
      </c>
      <c r="E438" s="7" t="s">
        <v>91</v>
      </c>
      <c r="F438" s="2"/>
    </row>
    <row r="439" spans="1:6" ht="14" customHeight="1">
      <c r="A439" s="8">
        <v>17</v>
      </c>
      <c r="B439" s="7" t="str">
        <f>المدخلات!$F$5</f>
        <v>5:20–6:30 م</v>
      </c>
      <c r="C439" s="7">
        <v>1</v>
      </c>
      <c r="D439" s="7" t="s">
        <v>593</v>
      </c>
      <c r="E439" s="7" t="s">
        <v>95</v>
      </c>
      <c r="F439" s="2"/>
    </row>
    <row r="440" spans="1:6" ht="14" customHeight="1">
      <c r="A440" s="8">
        <v>17</v>
      </c>
      <c r="B440" s="7" t="str">
        <f>المدخلات!$F$5</f>
        <v>5:20–6:30 م</v>
      </c>
      <c r="C440" s="7">
        <v>2</v>
      </c>
      <c r="D440" s="7" t="s">
        <v>593</v>
      </c>
      <c r="E440" s="7" t="s">
        <v>866</v>
      </c>
      <c r="F440" s="2"/>
    </row>
    <row r="441" spans="1:6" ht="14" customHeight="1">
      <c r="A441" s="8">
        <v>17</v>
      </c>
      <c r="B441" s="7" t="str">
        <f>المدخلات!$F$5</f>
        <v>5:20–6:30 م</v>
      </c>
      <c r="C441" s="7">
        <v>3</v>
      </c>
      <c r="D441" s="7" t="s">
        <v>593</v>
      </c>
      <c r="E441" s="7" t="s">
        <v>64</v>
      </c>
      <c r="F441" s="2"/>
    </row>
    <row r="442" spans="1:6" ht="14" customHeight="1">
      <c r="A442" s="8">
        <v>17</v>
      </c>
      <c r="B442" s="7" t="str">
        <f>المدخلات!$F$6</f>
        <v>6:40–7:50 م</v>
      </c>
      <c r="C442" s="7">
        <v>1</v>
      </c>
      <c r="D442" s="7" t="s">
        <v>593</v>
      </c>
      <c r="E442" s="7" t="s">
        <v>12</v>
      </c>
      <c r="F442" s="2"/>
    </row>
    <row r="443" spans="1:6" ht="14" customHeight="1">
      <c r="A443" s="8">
        <v>17</v>
      </c>
      <c r="B443" s="7" t="str">
        <f>المدخلات!$F$4</f>
        <v>4:00–5:10 م</v>
      </c>
      <c r="C443" s="7">
        <v>4</v>
      </c>
      <c r="D443" s="7" t="s">
        <v>594</v>
      </c>
      <c r="E443" s="7" t="s">
        <v>212</v>
      </c>
      <c r="F443" s="2"/>
    </row>
    <row r="444" spans="1:6" ht="14" customHeight="1">
      <c r="A444" s="8">
        <v>17</v>
      </c>
      <c r="B444" s="7" t="str">
        <f>المدخلات!$F$4</f>
        <v>4:00–5:10 م</v>
      </c>
      <c r="C444" s="7">
        <v>5</v>
      </c>
      <c r="D444" s="7" t="s">
        <v>594</v>
      </c>
      <c r="E444" s="7" t="s">
        <v>177</v>
      </c>
      <c r="F444" s="2"/>
    </row>
    <row r="445" spans="1:6" ht="14" customHeight="1">
      <c r="A445" s="8">
        <v>17</v>
      </c>
      <c r="B445" s="7" t="str">
        <f>المدخلات!$F$4</f>
        <v>4:00–5:10 م</v>
      </c>
      <c r="C445" s="7">
        <v>6</v>
      </c>
      <c r="D445" s="7" t="s">
        <v>594</v>
      </c>
      <c r="E445" s="7" t="s">
        <v>249</v>
      </c>
      <c r="F445" s="2"/>
    </row>
    <row r="446" spans="1:6" ht="14" customHeight="1">
      <c r="A446" s="8">
        <v>17</v>
      </c>
      <c r="B446" s="7" t="str">
        <f>المدخلات!$F$5</f>
        <v>5:20–6:30 م</v>
      </c>
      <c r="C446" s="7">
        <v>4</v>
      </c>
      <c r="D446" s="7" t="s">
        <v>594</v>
      </c>
      <c r="E446" s="7" t="s">
        <v>256</v>
      </c>
      <c r="F446" s="2"/>
    </row>
    <row r="447" spans="1:6" ht="14" customHeight="1">
      <c r="A447" s="8">
        <v>17</v>
      </c>
      <c r="B447" s="7" t="str">
        <f>المدخلات!$F$5</f>
        <v>5:20–6:30 م</v>
      </c>
      <c r="C447" s="7">
        <v>5</v>
      </c>
      <c r="D447" s="7" t="s">
        <v>594</v>
      </c>
      <c r="E447" s="7" t="s">
        <v>861</v>
      </c>
      <c r="F447" s="2"/>
    </row>
    <row r="448" spans="1:6" ht="14" customHeight="1">
      <c r="A448" s="8">
        <v>17</v>
      </c>
      <c r="B448" s="7" t="str">
        <f>المدخلات!$F$5</f>
        <v>5:20–6:30 م</v>
      </c>
      <c r="C448" s="7">
        <v>6</v>
      </c>
      <c r="D448" s="7" t="s">
        <v>594</v>
      </c>
      <c r="E448" s="7" t="s">
        <v>241</v>
      </c>
      <c r="F448" s="2"/>
    </row>
    <row r="449" spans="1:6" ht="14" customHeight="1">
      <c r="A449" s="8">
        <v>17</v>
      </c>
      <c r="B449" s="7" t="str">
        <f>المدخلات!$F$6</f>
        <v>6:40–7:50 م</v>
      </c>
      <c r="C449" s="7">
        <v>4</v>
      </c>
      <c r="D449" s="7" t="s">
        <v>594</v>
      </c>
      <c r="E449" s="7" t="s">
        <v>197</v>
      </c>
      <c r="F449" s="2"/>
    </row>
    <row r="450" spans="1:6" ht="14" customHeight="1">
      <c r="A450" s="8">
        <v>17</v>
      </c>
      <c r="B450" s="7" t="str">
        <f>المدخلات!$F$4</f>
        <v>4:00–5:10 م</v>
      </c>
      <c r="C450" s="7">
        <v>7</v>
      </c>
      <c r="D450" s="7" t="s">
        <v>595</v>
      </c>
      <c r="E450" s="7" t="s">
        <v>335</v>
      </c>
      <c r="F450" s="2"/>
    </row>
    <row r="451" spans="1:6" ht="14" customHeight="1">
      <c r="A451" s="8">
        <v>17</v>
      </c>
      <c r="B451" s="7" t="str">
        <f>المدخلات!$F$4</f>
        <v>4:00–5:10 م</v>
      </c>
      <c r="C451" s="7">
        <v>8</v>
      </c>
      <c r="D451" s="7" t="s">
        <v>595</v>
      </c>
      <c r="E451" s="7" t="s">
        <v>301</v>
      </c>
      <c r="F451" s="2"/>
    </row>
    <row r="452" spans="1:6" ht="14" customHeight="1">
      <c r="A452" s="8">
        <v>17</v>
      </c>
      <c r="B452" s="7" t="str">
        <f>المدخلات!$F$4</f>
        <v>4:00–5:10 م</v>
      </c>
      <c r="C452" s="7">
        <v>9</v>
      </c>
      <c r="D452" s="7" t="s">
        <v>595</v>
      </c>
      <c r="E452" s="7" t="s">
        <v>402</v>
      </c>
      <c r="F452" s="2"/>
    </row>
    <row r="453" spans="1:6" ht="14" customHeight="1">
      <c r="A453" s="8">
        <v>17</v>
      </c>
      <c r="B453" s="7" t="str">
        <f>المدخلات!$F$5</f>
        <v>5:20–6:30 م</v>
      </c>
      <c r="C453" s="7">
        <v>7</v>
      </c>
      <c r="D453" s="7" t="s">
        <v>595</v>
      </c>
      <c r="E453" s="7" t="s">
        <v>1238</v>
      </c>
      <c r="F453" s="2"/>
    </row>
    <row r="454" spans="1:6" ht="14" customHeight="1">
      <c r="A454" s="8">
        <v>17</v>
      </c>
      <c r="B454" s="7" t="str">
        <f>المدخلات!$F$5</f>
        <v>5:20–6:30 م</v>
      </c>
      <c r="C454" s="7">
        <v>8</v>
      </c>
      <c r="D454" s="7" t="s">
        <v>595</v>
      </c>
      <c r="E454" s="7" t="s">
        <v>1259</v>
      </c>
      <c r="F454" s="2"/>
    </row>
    <row r="455" spans="1:6" ht="14" customHeight="1">
      <c r="A455" s="8">
        <v>17</v>
      </c>
      <c r="B455" s="7" t="str">
        <f>المدخلات!$F$5</f>
        <v>5:20–6:30 م</v>
      </c>
      <c r="C455" s="7">
        <v>9</v>
      </c>
      <c r="D455" s="7" t="s">
        <v>595</v>
      </c>
      <c r="E455" s="7" t="s">
        <v>1214</v>
      </c>
      <c r="F455" s="2"/>
    </row>
    <row r="456" spans="1:6" ht="14" customHeight="1">
      <c r="A456" s="8">
        <v>17</v>
      </c>
      <c r="B456" s="7" t="str">
        <f>المدخلات!$F$6</f>
        <v>6:40–7:50 م</v>
      </c>
      <c r="C456" s="7">
        <v>7</v>
      </c>
      <c r="D456" s="7" t="s">
        <v>595</v>
      </c>
      <c r="E456" s="7" t="s">
        <v>327</v>
      </c>
      <c r="F456" s="2"/>
    </row>
    <row r="457" spans="1:6" ht="14" customHeight="1">
      <c r="A457" s="8">
        <v>17</v>
      </c>
      <c r="B457" s="7" t="str">
        <f>المدخلات!$F$4</f>
        <v>4:00–5:10 م</v>
      </c>
      <c r="C457" s="7">
        <v>10</v>
      </c>
      <c r="D457" s="7" t="s">
        <v>596</v>
      </c>
      <c r="E457" s="7" t="s">
        <v>931</v>
      </c>
      <c r="F457" s="2"/>
    </row>
    <row r="458" spans="1:6" ht="14" customHeight="1">
      <c r="A458" s="8">
        <v>17</v>
      </c>
      <c r="B458" s="7" t="str">
        <f>المدخلات!$F$4</f>
        <v>4:00–5:10 م</v>
      </c>
      <c r="C458" s="7">
        <v>11</v>
      </c>
      <c r="D458" s="7" t="s">
        <v>596</v>
      </c>
      <c r="E458" s="7" t="s">
        <v>678</v>
      </c>
      <c r="F458" s="2"/>
    </row>
    <row r="459" spans="1:6" ht="14" customHeight="1">
      <c r="A459" s="8">
        <v>17</v>
      </c>
      <c r="B459" s="7" t="str">
        <f>المدخلات!$F$5</f>
        <v>5:20–6:30 م</v>
      </c>
      <c r="C459" s="7">
        <v>10</v>
      </c>
      <c r="D459" s="7" t="s">
        <v>596</v>
      </c>
      <c r="E459" s="7" t="s">
        <v>930</v>
      </c>
      <c r="F459" s="2"/>
    </row>
    <row r="460" spans="1:6" ht="14" customHeight="1">
      <c r="A460" s="8">
        <v>17</v>
      </c>
      <c r="B460" s="7" t="str">
        <f>المدخلات!$F$5</f>
        <v>5:20–6:30 م</v>
      </c>
      <c r="C460" s="7">
        <v>11</v>
      </c>
      <c r="D460" s="7" t="s">
        <v>596</v>
      </c>
      <c r="E460" s="7" t="s">
        <v>461</v>
      </c>
      <c r="F460" s="2"/>
    </row>
    <row r="461" spans="1:6" ht="14" customHeight="1">
      <c r="A461" s="8">
        <v>17</v>
      </c>
      <c r="B461" s="7" t="str">
        <f>المدخلات!$F$6</f>
        <v>6:40–7:50 م</v>
      </c>
      <c r="C461" s="7">
        <v>10</v>
      </c>
      <c r="D461" s="7" t="s">
        <v>596</v>
      </c>
      <c r="E461" s="7" t="s">
        <v>929</v>
      </c>
      <c r="F461" s="2"/>
    </row>
    <row r="462" spans="1:6" ht="14" customHeight="1">
      <c r="A462" s="8">
        <v>17</v>
      </c>
      <c r="B462" s="7" t="str">
        <f>المدخلات!$F$6</f>
        <v>6:40–7:50 م</v>
      </c>
      <c r="C462" s="7">
        <v>11</v>
      </c>
      <c r="D462" s="7" t="s">
        <v>596</v>
      </c>
      <c r="E462" s="7" t="s">
        <v>701</v>
      </c>
      <c r="F462" s="2"/>
    </row>
    <row r="463" spans="1:6" ht="14" customHeight="1">
      <c r="A463" s="8">
        <v>18</v>
      </c>
      <c r="B463" s="7" t="str">
        <f>المدخلات!$F$4</f>
        <v>4:00–5:10 م</v>
      </c>
      <c r="C463" s="7">
        <v>1</v>
      </c>
      <c r="D463" s="7" t="s">
        <v>593</v>
      </c>
      <c r="E463" s="7" t="s">
        <v>43</v>
      </c>
      <c r="F463" s="2"/>
    </row>
    <row r="464" spans="1:6" ht="14" customHeight="1">
      <c r="A464" s="8">
        <v>18</v>
      </c>
      <c r="B464" s="7" t="str">
        <f>المدخلات!$F$4</f>
        <v>4:00–5:10 م</v>
      </c>
      <c r="C464" s="7">
        <v>2</v>
      </c>
      <c r="D464" s="7" t="s">
        <v>593</v>
      </c>
      <c r="E464" s="7" t="s">
        <v>724</v>
      </c>
      <c r="F464" s="2"/>
    </row>
    <row r="465" spans="1:6" ht="14" customHeight="1">
      <c r="A465" s="8">
        <v>18</v>
      </c>
      <c r="B465" s="7" t="str">
        <f>المدخلات!$F$4</f>
        <v>4:00–5:10 م</v>
      </c>
      <c r="C465" s="7">
        <v>3</v>
      </c>
      <c r="D465" s="7" t="s">
        <v>593</v>
      </c>
      <c r="E465" s="7" t="s">
        <v>68</v>
      </c>
      <c r="F465" s="2"/>
    </row>
    <row r="466" spans="1:6" ht="14" customHeight="1">
      <c r="A466" s="8">
        <v>18</v>
      </c>
      <c r="B466" s="7" t="str">
        <f>المدخلات!$F$5</f>
        <v>5:20–6:30 م</v>
      </c>
      <c r="C466" s="7">
        <v>1</v>
      </c>
      <c r="D466" s="7" t="s">
        <v>593</v>
      </c>
      <c r="E466" s="7" t="s">
        <v>19</v>
      </c>
      <c r="F466" s="2"/>
    </row>
    <row r="467" spans="1:6" ht="14" customHeight="1">
      <c r="A467" s="8">
        <v>18</v>
      </c>
      <c r="B467" s="7" t="str">
        <f>المدخلات!$F$5</f>
        <v>5:20–6:30 م</v>
      </c>
      <c r="C467" s="7">
        <v>2</v>
      </c>
      <c r="D467" s="7" t="s">
        <v>593</v>
      </c>
      <c r="E467" s="7" t="s">
        <v>52</v>
      </c>
      <c r="F467" s="2"/>
    </row>
    <row r="468" spans="1:6" ht="14" customHeight="1">
      <c r="A468" s="8">
        <v>18</v>
      </c>
      <c r="B468" s="7" t="str">
        <f>المدخلات!$F$5</f>
        <v>5:20–6:30 م</v>
      </c>
      <c r="C468" s="7">
        <v>3</v>
      </c>
      <c r="D468" s="7" t="s">
        <v>593</v>
      </c>
      <c r="E468" s="7" t="s">
        <v>7</v>
      </c>
      <c r="F468" s="2"/>
    </row>
    <row r="469" spans="1:6" ht="14" customHeight="1">
      <c r="A469" s="8">
        <v>18</v>
      </c>
      <c r="B469" s="7" t="str">
        <f>المدخلات!$F$6</f>
        <v>6:40–7:50 م</v>
      </c>
      <c r="C469" s="7">
        <v>1</v>
      </c>
      <c r="D469" s="7" t="s">
        <v>593</v>
      </c>
      <c r="E469" s="7" t="s">
        <v>119</v>
      </c>
      <c r="F469" s="2"/>
    </row>
    <row r="470" spans="1:6" ht="14" customHeight="1">
      <c r="A470" s="8">
        <v>18</v>
      </c>
      <c r="B470" s="7" t="str">
        <f>المدخلات!$F$4</f>
        <v>4:00–5:10 م</v>
      </c>
      <c r="C470" s="7">
        <v>4</v>
      </c>
      <c r="D470" s="7" t="s">
        <v>594</v>
      </c>
      <c r="E470" s="7" t="s">
        <v>858</v>
      </c>
      <c r="F470" s="2"/>
    </row>
    <row r="471" spans="1:6" ht="14" customHeight="1">
      <c r="A471" s="8">
        <v>18</v>
      </c>
      <c r="B471" s="7" t="str">
        <f>المدخلات!$F$4</f>
        <v>4:00–5:10 م</v>
      </c>
      <c r="C471" s="7">
        <v>5</v>
      </c>
      <c r="D471" s="7" t="s">
        <v>594</v>
      </c>
      <c r="E471" s="7" t="s">
        <v>796</v>
      </c>
      <c r="F471" s="2"/>
    </row>
    <row r="472" spans="1:6" ht="14" customHeight="1">
      <c r="A472" s="8">
        <v>18</v>
      </c>
      <c r="B472" s="7" t="str">
        <f>المدخلات!$F$4</f>
        <v>4:00–5:10 م</v>
      </c>
      <c r="C472" s="7">
        <v>6</v>
      </c>
      <c r="D472" s="7" t="s">
        <v>594</v>
      </c>
      <c r="E472" s="7" t="s">
        <v>242</v>
      </c>
      <c r="F472" s="2"/>
    </row>
    <row r="473" spans="1:6" ht="14" customHeight="1">
      <c r="A473" s="8">
        <v>18</v>
      </c>
      <c r="B473" s="7" t="str">
        <f>المدخلات!$F$5</f>
        <v>5:20–6:30 م</v>
      </c>
      <c r="C473" s="7">
        <v>4</v>
      </c>
      <c r="D473" s="7" t="s">
        <v>594</v>
      </c>
      <c r="E473" s="7" t="s">
        <v>161</v>
      </c>
      <c r="F473" s="2"/>
    </row>
    <row r="474" spans="1:6" ht="14" customHeight="1">
      <c r="A474" s="8">
        <v>18</v>
      </c>
      <c r="B474" s="7" t="str">
        <f>المدخلات!$F$5</f>
        <v>5:20–6:30 م</v>
      </c>
      <c r="C474" s="7">
        <v>5</v>
      </c>
      <c r="D474" s="7" t="s">
        <v>594</v>
      </c>
      <c r="E474" s="7" t="s">
        <v>238</v>
      </c>
      <c r="F474" s="2"/>
    </row>
    <row r="475" spans="1:6" ht="14" customHeight="1">
      <c r="A475" s="8">
        <v>18</v>
      </c>
      <c r="B475" s="7" t="str">
        <f>المدخلات!$F$5</f>
        <v>5:20–6:30 م</v>
      </c>
      <c r="C475" s="7">
        <v>6</v>
      </c>
      <c r="D475" s="7" t="s">
        <v>594</v>
      </c>
      <c r="E475" s="7" t="s">
        <v>178</v>
      </c>
      <c r="F475" s="2"/>
    </row>
    <row r="476" spans="1:6" ht="14" customHeight="1">
      <c r="A476" s="8">
        <v>18</v>
      </c>
      <c r="B476" s="7" t="str">
        <f>المدخلات!$F$6</f>
        <v>6:40–7:50 م</v>
      </c>
      <c r="C476" s="7">
        <v>4</v>
      </c>
      <c r="D476" s="7" t="s">
        <v>594</v>
      </c>
      <c r="E476" s="7" t="s">
        <v>250</v>
      </c>
      <c r="F476" s="2"/>
    </row>
    <row r="477" spans="1:6" ht="14" customHeight="1">
      <c r="A477" s="8">
        <v>18</v>
      </c>
      <c r="B477" s="7" t="str">
        <f>المدخلات!$F$4</f>
        <v>4:00–5:10 م</v>
      </c>
      <c r="C477" s="7">
        <v>7</v>
      </c>
      <c r="D477" s="7" t="s">
        <v>595</v>
      </c>
      <c r="E477" s="7" t="s">
        <v>381</v>
      </c>
      <c r="F477" s="2"/>
    </row>
    <row r="478" spans="1:6" ht="14" customHeight="1">
      <c r="A478" s="8">
        <v>18</v>
      </c>
      <c r="B478" s="7" t="str">
        <f>المدخلات!$F$4</f>
        <v>4:00–5:10 م</v>
      </c>
      <c r="C478" s="7">
        <v>8</v>
      </c>
      <c r="D478" s="7" t="s">
        <v>595</v>
      </c>
      <c r="E478" s="7" t="s">
        <v>924</v>
      </c>
      <c r="F478" s="2"/>
    </row>
    <row r="479" spans="1:6" ht="14" customHeight="1">
      <c r="A479" s="8">
        <v>18</v>
      </c>
      <c r="B479" s="7" t="str">
        <f>المدخلات!$F$4</f>
        <v>4:00–5:10 م</v>
      </c>
      <c r="C479" s="7">
        <v>9</v>
      </c>
      <c r="D479" s="7" t="s">
        <v>595</v>
      </c>
      <c r="E479" s="7" t="s">
        <v>1260</v>
      </c>
      <c r="F479" s="2"/>
    </row>
    <row r="480" spans="1:6" ht="14" customHeight="1">
      <c r="A480" s="8">
        <v>18</v>
      </c>
      <c r="B480" s="7" t="str">
        <f>المدخلات!$F$5</f>
        <v>5:20–6:30 م</v>
      </c>
      <c r="C480" s="7">
        <v>7</v>
      </c>
      <c r="D480" s="7" t="s">
        <v>595</v>
      </c>
      <c r="E480" s="7" t="s">
        <v>291</v>
      </c>
      <c r="F480" s="2"/>
    </row>
    <row r="481" spans="1:55" ht="14" customHeight="1">
      <c r="A481" s="8">
        <v>18</v>
      </c>
      <c r="B481" s="7" t="str">
        <f>المدخلات!$F$5</f>
        <v>5:20–6:30 م</v>
      </c>
      <c r="C481" s="7">
        <v>8</v>
      </c>
      <c r="D481" s="7" t="s">
        <v>595</v>
      </c>
      <c r="E481" s="7" t="s">
        <v>386</v>
      </c>
      <c r="F481" s="2"/>
    </row>
    <row r="482" spans="1:55" ht="14" customHeight="1">
      <c r="A482" s="8">
        <v>18</v>
      </c>
      <c r="B482" s="7" t="str">
        <f>المدخلات!$F$5</f>
        <v>5:20–6:30 م</v>
      </c>
      <c r="C482" s="7">
        <v>9</v>
      </c>
      <c r="D482" s="7" t="s">
        <v>595</v>
      </c>
      <c r="E482" s="7" t="s">
        <v>302</v>
      </c>
      <c r="F482" s="2"/>
    </row>
    <row r="483" spans="1:55" ht="14" customHeight="1">
      <c r="A483" s="8">
        <v>18</v>
      </c>
      <c r="B483" s="7" t="str">
        <f>المدخلات!$F$6</f>
        <v>6:40–7:50 م</v>
      </c>
      <c r="C483" s="7">
        <v>7</v>
      </c>
      <c r="D483" s="7" t="s">
        <v>595</v>
      </c>
      <c r="E483" s="7" t="s">
        <v>403</v>
      </c>
      <c r="F483" s="2"/>
    </row>
    <row r="484" spans="1:55" ht="14" customHeight="1">
      <c r="A484" s="8">
        <v>18</v>
      </c>
      <c r="B484" s="7" t="str">
        <f>المدخلات!$F$4</f>
        <v>4:00–5:10 م</v>
      </c>
      <c r="C484" s="7">
        <v>10</v>
      </c>
      <c r="D484" s="7" t="s">
        <v>596</v>
      </c>
      <c r="E484" s="7" t="s">
        <v>462</v>
      </c>
      <c r="F484" s="2"/>
    </row>
    <row r="485" spans="1:55" ht="14" customHeight="1">
      <c r="A485" s="8">
        <v>18</v>
      </c>
      <c r="B485" s="7" t="str">
        <f>المدخلات!$F$4</f>
        <v>4:00–5:10 م</v>
      </c>
      <c r="C485" s="7">
        <v>11</v>
      </c>
      <c r="D485" s="7" t="s">
        <v>596</v>
      </c>
      <c r="E485" s="7" t="s">
        <v>447</v>
      </c>
      <c r="F485" s="2"/>
    </row>
    <row r="486" spans="1:55" ht="14" customHeight="1">
      <c r="A486" s="8">
        <v>18</v>
      </c>
      <c r="B486" s="7" t="str">
        <f>المدخلات!$F$5</f>
        <v>5:20–6:30 م</v>
      </c>
      <c r="C486" s="7">
        <v>10</v>
      </c>
      <c r="D486" s="7" t="s">
        <v>596</v>
      </c>
      <c r="E486" s="7" t="s">
        <v>454</v>
      </c>
      <c r="F486" s="2"/>
    </row>
    <row r="487" spans="1:55" ht="14" customHeight="1">
      <c r="A487" s="8">
        <v>18</v>
      </c>
      <c r="B487" s="7" t="str">
        <f>المدخلات!$F$5</f>
        <v>5:20–6:30 م</v>
      </c>
      <c r="C487" s="7">
        <v>11</v>
      </c>
      <c r="D487" s="7" t="s">
        <v>596</v>
      </c>
      <c r="E487" s="7" t="s">
        <v>937</v>
      </c>
      <c r="F487" s="2"/>
    </row>
    <row r="488" spans="1:55" ht="14" customHeight="1">
      <c r="A488" s="8">
        <v>18</v>
      </c>
      <c r="B488" s="7" t="str">
        <f>المدخلات!$F$6</f>
        <v>6:40–7:50 م</v>
      </c>
      <c r="C488" s="7">
        <v>10</v>
      </c>
      <c r="D488" s="7" t="s">
        <v>596</v>
      </c>
      <c r="E488" s="7" t="s">
        <v>684</v>
      </c>
      <c r="F488" s="2"/>
    </row>
    <row r="489" spans="1:55" ht="14" customHeight="1">
      <c r="A489" s="8">
        <v>18</v>
      </c>
      <c r="B489" s="7" t="str">
        <f>المدخلات!$F$6</f>
        <v>6:40–7:50 م</v>
      </c>
      <c r="C489" s="7">
        <v>11</v>
      </c>
      <c r="D489" s="7" t="s">
        <v>596</v>
      </c>
      <c r="E489" s="7" t="s">
        <v>518</v>
      </c>
      <c r="F489" s="2"/>
    </row>
    <row r="490" spans="1:55" ht="14" customHeight="1">
      <c r="A490" s="8">
        <v>19</v>
      </c>
      <c r="B490" s="7" t="str">
        <f>المدخلات!$F$4</f>
        <v>4:00–5:10 م</v>
      </c>
      <c r="C490" s="7">
        <v>1</v>
      </c>
      <c r="D490" s="7" t="s">
        <v>655</v>
      </c>
      <c r="E490" s="7" t="s">
        <v>820</v>
      </c>
      <c r="F490" s="2"/>
    </row>
    <row r="491" spans="1:55" ht="14" customHeight="1">
      <c r="A491" s="8">
        <v>19</v>
      </c>
      <c r="B491" s="7" t="str">
        <f>المدخلات!$F$4</f>
        <v>4:00–5:10 م</v>
      </c>
      <c r="C491" s="7">
        <v>2</v>
      </c>
      <c r="D491" s="7" t="s">
        <v>655</v>
      </c>
      <c r="E491" s="7" t="s">
        <v>821</v>
      </c>
      <c r="F491" s="2"/>
    </row>
    <row r="492" spans="1:55" ht="14" customHeight="1">
      <c r="A492" s="8">
        <v>20</v>
      </c>
      <c r="B492" s="7" t="str">
        <f>المدخلات!$F$4</f>
        <v>4:00–5:10 م</v>
      </c>
      <c r="C492" s="7">
        <v>1</v>
      </c>
      <c r="D492" s="7" t="s">
        <v>656</v>
      </c>
      <c r="E492" s="7" t="s">
        <v>657</v>
      </c>
      <c r="F492" s="2"/>
    </row>
    <row r="493" spans="1:55">
      <c r="A493" s="2"/>
      <c r="B493" s="2"/>
      <c r="C493" s="2"/>
      <c r="D493" s="2"/>
      <c r="E493" s="2"/>
    </row>
    <row r="494" spans="1:55">
      <c r="A494" s="2"/>
      <c r="B494" s="2"/>
      <c r="C494" s="2"/>
      <c r="D494" s="2"/>
      <c r="E494" s="2"/>
    </row>
    <row r="495" spans="1:55" ht="14.5">
      <c r="A495" s="17" t="s">
        <v>828</v>
      </c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</row>
    <row r="496" spans="1:55" ht="14.5">
      <c r="A496" s="6" t="s">
        <v>829</v>
      </c>
      <c r="B496" s="6">
        <v>1</v>
      </c>
      <c r="C496" s="6">
        <v>2</v>
      </c>
      <c r="D496" s="6">
        <v>3</v>
      </c>
      <c r="E496" s="6">
        <v>4</v>
      </c>
      <c r="F496" s="6">
        <v>5</v>
      </c>
      <c r="G496" s="6">
        <v>6</v>
      </c>
      <c r="H496" s="6">
        <v>7</v>
      </c>
      <c r="I496" s="6">
        <v>8</v>
      </c>
      <c r="J496" s="6">
        <v>9</v>
      </c>
      <c r="K496" s="6">
        <v>10</v>
      </c>
      <c r="L496" s="6">
        <v>11</v>
      </c>
      <c r="M496" s="6">
        <v>12</v>
      </c>
      <c r="N496" s="6">
        <v>13</v>
      </c>
      <c r="O496" s="6">
        <v>14</v>
      </c>
      <c r="P496" s="6">
        <v>15</v>
      </c>
      <c r="Q496" s="6">
        <v>16</v>
      </c>
      <c r="R496" s="6">
        <v>17</v>
      </c>
      <c r="S496" s="6">
        <v>18</v>
      </c>
      <c r="T496" s="6">
        <v>19</v>
      </c>
      <c r="U496" s="6">
        <v>20</v>
      </c>
      <c r="V496" s="6">
        <v>21</v>
      </c>
      <c r="W496" s="6">
        <v>22</v>
      </c>
      <c r="X496" s="6">
        <v>23</v>
      </c>
      <c r="Y496" s="6">
        <v>24</v>
      </c>
      <c r="Z496" s="6">
        <v>25</v>
      </c>
      <c r="AA496" s="6">
        <v>26</v>
      </c>
      <c r="AB496" s="6">
        <v>27</v>
      </c>
      <c r="AC496" s="6">
        <v>28</v>
      </c>
      <c r="AD496" s="6">
        <v>29</v>
      </c>
      <c r="AE496" s="6">
        <v>30</v>
      </c>
      <c r="AF496" s="6">
        <v>31</v>
      </c>
      <c r="AG496" s="6">
        <v>32</v>
      </c>
      <c r="AH496" s="6">
        <v>33</v>
      </c>
      <c r="AI496" s="6">
        <v>34</v>
      </c>
      <c r="AJ496" s="6">
        <v>35</v>
      </c>
      <c r="AK496" s="6">
        <v>36</v>
      </c>
      <c r="AL496" s="6">
        <v>37</v>
      </c>
      <c r="AM496" s="6">
        <v>38</v>
      </c>
      <c r="AN496" s="6">
        <v>39</v>
      </c>
      <c r="AO496" s="6">
        <v>40</v>
      </c>
      <c r="AP496" s="6">
        <v>41</v>
      </c>
      <c r="AQ496" s="6">
        <v>42</v>
      </c>
      <c r="AR496" s="6">
        <v>43</v>
      </c>
      <c r="AS496" s="6">
        <v>44</v>
      </c>
      <c r="AT496" s="6">
        <v>45</v>
      </c>
      <c r="AU496" s="6">
        <v>46</v>
      </c>
      <c r="AV496" s="6">
        <v>47</v>
      </c>
      <c r="AW496" s="6">
        <v>48</v>
      </c>
      <c r="AX496" s="6">
        <v>49</v>
      </c>
      <c r="AY496" s="6">
        <v>50</v>
      </c>
      <c r="AZ496" s="6">
        <v>51</v>
      </c>
      <c r="BA496" s="6">
        <v>52</v>
      </c>
      <c r="BB496" s="6">
        <v>53</v>
      </c>
      <c r="BC496" s="6">
        <v>54</v>
      </c>
    </row>
    <row r="497" spans="1:55" ht="14.5">
      <c r="A497" s="14">
        <v>1</v>
      </c>
      <c r="B497" s="4" t="str">
        <f>IF($A497=B$496,"",COUNTIF($E$4:$E$492,$A497&amp;" ضد "&amp;B$496)+COUNTIF($E$4:$E$492,B$496&amp;" ضد "&amp;$A497))</f>
        <v/>
      </c>
      <c r="C497" s="4">
        <f>IF($A497=C$496,"",COUNTIF($E$4:$E$492,$A497&amp;" ضد "&amp;C$496)+COUNTIF($E$4:$E$492,C$496&amp;" ضد "&amp;$A497))</f>
        <v>1</v>
      </c>
      <c r="D497" s="4">
        <f>IF($A497=D$496,"",COUNTIF($E$4:$E$492,$A497&amp;" ضد "&amp;D$496)+COUNTIF($E$4:$E$492,D$496&amp;" ضد "&amp;$A497))</f>
        <v>1</v>
      </c>
      <c r="E497" s="4">
        <f>IF($A497=E$496,"",COUNTIF($E$4:$E$492,$A497&amp;" ضد "&amp;E$496)+COUNTIF($E$4:$E$492,E$496&amp;" ضد "&amp;$A497))</f>
        <v>1</v>
      </c>
      <c r="F497" s="4">
        <f>IF($A497=F$496,"",COUNTIF($E$4:$E$492,$A497&amp;" ضد "&amp;F$496)+COUNTIF($E$4:$E$492,F$496&amp;" ضد "&amp;$A497))</f>
        <v>1</v>
      </c>
      <c r="G497" s="4">
        <f>IF($A497=G$496,"",COUNTIF($E$4:$E$492,$A497&amp;" ضد "&amp;G$496)+COUNTIF($E$4:$E$492,G$496&amp;" ضد "&amp;$A497))</f>
        <v>1</v>
      </c>
      <c r="H497" s="4">
        <f>IF($A497=H$496,"",COUNTIF($E$4:$E$492,$A497&amp;" ضد "&amp;H$496)+COUNTIF($E$4:$E$492,H$496&amp;" ضد "&amp;$A497))</f>
        <v>1</v>
      </c>
      <c r="I497" s="4">
        <f>IF($A497=I$496,"",COUNTIF($E$4:$E$492,$A497&amp;" ضد "&amp;I$496)+COUNTIF($E$4:$E$492,I$496&amp;" ضد "&amp;$A497))</f>
        <v>1</v>
      </c>
      <c r="J497" s="4">
        <f>IF($A497=J$496,"",COUNTIF($E$4:$E$492,$A497&amp;" ضد "&amp;J$496)+COUNTIF($E$4:$E$492,J$496&amp;" ضد "&amp;$A497))</f>
        <v>1</v>
      </c>
      <c r="K497" s="4">
        <f>IF($A497=K$496,"",COUNTIF($E$4:$E$492,$A497&amp;" ضد "&amp;K$496)+COUNTIF($E$4:$E$492,K$496&amp;" ضد "&amp;$A497))</f>
        <v>2</v>
      </c>
      <c r="L497" s="4">
        <f>IF($A497=L$496,"",COUNTIF($E$4:$E$492,$A497&amp;" ضد "&amp;L$496)+COUNTIF($E$4:$E$492,L$496&amp;" ضد "&amp;$A497))</f>
        <v>2</v>
      </c>
      <c r="M497" s="4">
        <f>IF($A497=M$496,"",COUNTIF($E$4:$E$492,$A497&amp;" ضد "&amp;M$496)+COUNTIF($E$4:$E$492,M$496&amp;" ضد "&amp;$A497))</f>
        <v>2</v>
      </c>
      <c r="N497" s="4">
        <f>IF($A497=N$496,"",COUNTIF($E$4:$E$492,$A497&amp;" ضد "&amp;N$496)+COUNTIF($E$4:$E$492,N$496&amp;" ضد "&amp;$A497))</f>
        <v>2</v>
      </c>
      <c r="O497" s="4">
        <f>IF($A497=O$496,"",COUNTIF($E$4:$E$492,$A497&amp;" ضد "&amp;O$496)+COUNTIF($E$4:$E$492,O$496&amp;" ضد "&amp;$A497))</f>
        <v>2</v>
      </c>
      <c r="P497" s="4">
        <f>IF($A497=P$496,"",COUNTIF($E$4:$E$492,$A497&amp;" ضد "&amp;P$496)+COUNTIF($E$4:$E$492,P$496&amp;" ضد "&amp;$A497))</f>
        <v>0</v>
      </c>
      <c r="Q497" s="4">
        <f>IF($A497=Q$496,"",COUNTIF($E$4:$E$492,$A497&amp;" ضد "&amp;Q$496)+COUNTIF($E$4:$E$492,Q$496&amp;" ضد "&amp;$A497))</f>
        <v>0</v>
      </c>
      <c r="R497" s="4">
        <f>IF($A497=R$496,"",COUNTIF($E$4:$E$492,$A497&amp;" ضد "&amp;R$496)+COUNTIF($E$4:$E$492,R$496&amp;" ضد "&amp;$A497))</f>
        <v>0</v>
      </c>
      <c r="S497" s="4">
        <f>IF($A497=S$496,"",COUNTIF($E$4:$E$492,$A497&amp;" ضد "&amp;S$496)+COUNTIF($E$4:$E$492,S$496&amp;" ضد "&amp;$A497))</f>
        <v>0</v>
      </c>
      <c r="T497" s="4">
        <f>IF($A497=T$496,"",COUNTIF($E$4:$E$492,$A497&amp;" ضد "&amp;T$496)+COUNTIF($E$4:$E$492,T$496&amp;" ضد "&amp;$A497))</f>
        <v>0</v>
      </c>
      <c r="U497" s="4">
        <f>IF($A497=U$496,"",COUNTIF($E$4:$E$492,$A497&amp;" ضد "&amp;U$496)+COUNTIF($E$4:$E$492,U$496&amp;" ضد "&amp;$A497))</f>
        <v>0</v>
      </c>
      <c r="V497" s="4">
        <f>IF($A497=V$496,"",COUNTIF($E$4:$E$492,$A497&amp;" ضد "&amp;V$496)+COUNTIF($E$4:$E$492,V$496&amp;" ضد "&amp;$A497))</f>
        <v>0</v>
      </c>
      <c r="W497" s="4">
        <f>IF($A497=W$496,"",COUNTIF($E$4:$E$492,$A497&amp;" ضد "&amp;W$496)+COUNTIF($E$4:$E$492,W$496&amp;" ضد "&amp;$A497))</f>
        <v>0</v>
      </c>
      <c r="X497" s="4">
        <f>IF($A497=X$496,"",COUNTIF($E$4:$E$492,$A497&amp;" ضد "&amp;X$496)+COUNTIF($E$4:$E$492,X$496&amp;" ضد "&amp;$A497))</f>
        <v>0</v>
      </c>
      <c r="Y497" s="4">
        <f>IF($A497=Y$496,"",COUNTIF($E$4:$E$492,$A497&amp;" ضد "&amp;Y$496)+COUNTIF($E$4:$E$492,Y$496&amp;" ضد "&amp;$A497))</f>
        <v>0</v>
      </c>
      <c r="Z497" s="4">
        <f>IF($A497=Z$496,"",COUNTIF($E$4:$E$492,$A497&amp;" ضد "&amp;Z$496)+COUNTIF($E$4:$E$492,Z$496&amp;" ضد "&amp;$A497))</f>
        <v>0</v>
      </c>
      <c r="AA497" s="4">
        <f>IF($A497=AA$496,"",COUNTIF($E$4:$E$492,$A497&amp;" ضد "&amp;AA$496)+COUNTIF($E$4:$E$492,AA$496&amp;" ضد "&amp;$A497))</f>
        <v>0</v>
      </c>
      <c r="AB497" s="4">
        <f>IF($A497=AB$496,"",COUNTIF($E$4:$E$492,$A497&amp;" ضد "&amp;AB$496)+COUNTIF($E$4:$E$492,AB$496&amp;" ضد "&amp;$A497))</f>
        <v>0</v>
      </c>
      <c r="AC497" s="4">
        <f>IF($A497=AC$496,"",COUNTIF($E$4:$E$492,$A497&amp;" ضد "&amp;AC$496)+COUNTIF($E$4:$E$492,AC$496&amp;" ضد "&amp;$A497))</f>
        <v>0</v>
      </c>
      <c r="AD497" s="4">
        <f>IF($A497=AD$496,"",COUNTIF($E$4:$E$492,$A497&amp;" ضد "&amp;AD$496)+COUNTIF($E$4:$E$492,AD$496&amp;" ضد "&amp;$A497))</f>
        <v>0</v>
      </c>
      <c r="AE497" s="4">
        <f>IF($A497=AE$496,"",COUNTIF($E$4:$E$492,$A497&amp;" ضد "&amp;AE$496)+COUNTIF($E$4:$E$492,AE$496&amp;" ضد "&amp;$A497))</f>
        <v>0</v>
      </c>
      <c r="AF497" s="4">
        <f>IF($A497=AF$496,"",COUNTIF($E$4:$E$492,$A497&amp;" ضد "&amp;AF$496)+COUNTIF($E$4:$E$492,AF$496&amp;" ضد "&amp;$A497))</f>
        <v>0</v>
      </c>
      <c r="AG497" s="4">
        <f>IF($A497=AG$496,"",COUNTIF($E$4:$E$492,$A497&amp;" ضد "&amp;AG$496)+COUNTIF($E$4:$E$492,AG$496&amp;" ضد "&amp;$A497))</f>
        <v>0</v>
      </c>
      <c r="AH497" s="4">
        <f>IF($A497=AH$496,"",COUNTIF($E$4:$E$492,$A497&amp;" ضد "&amp;AH$496)+COUNTIF($E$4:$E$492,AH$496&amp;" ضد "&amp;$A497))</f>
        <v>0</v>
      </c>
      <c r="AI497" s="4">
        <f>IF($A497=AI$496,"",COUNTIF($E$4:$E$492,$A497&amp;" ضد "&amp;AI$496)+COUNTIF($E$4:$E$492,AI$496&amp;" ضد "&amp;$A497))</f>
        <v>0</v>
      </c>
      <c r="AJ497" s="4">
        <f>IF($A497=AJ$496,"",COUNTIF($E$4:$E$492,$A497&amp;" ضد "&amp;AJ$496)+COUNTIF($E$4:$E$492,AJ$496&amp;" ضد "&amp;$A497))</f>
        <v>0</v>
      </c>
      <c r="AK497" s="4">
        <f>IF($A497=AK$496,"",COUNTIF($E$4:$E$492,$A497&amp;" ضد "&amp;AK$496)+COUNTIF($E$4:$E$492,AK$496&amp;" ضد "&amp;$A497))</f>
        <v>0</v>
      </c>
      <c r="AL497" s="4">
        <f>IF($A497=AL$496,"",COUNTIF($E$4:$E$492,$A497&amp;" ضد "&amp;AL$496)+COUNTIF($E$4:$E$492,AL$496&amp;" ضد "&amp;$A497))</f>
        <v>0</v>
      </c>
      <c r="AM497" s="4">
        <f>IF($A497=AM$496,"",COUNTIF($E$4:$E$492,$A497&amp;" ضد "&amp;AM$496)+COUNTIF($E$4:$E$492,AM$496&amp;" ضد "&amp;$A497))</f>
        <v>0</v>
      </c>
      <c r="AN497" s="4">
        <f>IF($A497=AN$496,"",COUNTIF($E$4:$E$492,$A497&amp;" ضد "&amp;AN$496)+COUNTIF($E$4:$E$492,AN$496&amp;" ضد "&amp;$A497))</f>
        <v>0</v>
      </c>
      <c r="AO497" s="4">
        <f>IF($A497=AO$496,"",COUNTIF($E$4:$E$492,$A497&amp;" ضد "&amp;AO$496)+COUNTIF($E$4:$E$492,AO$496&amp;" ضد "&amp;$A497))</f>
        <v>0</v>
      </c>
      <c r="AP497" s="4">
        <f>IF($A497=AP$496,"",COUNTIF($E$4:$E$492,$A497&amp;" ضد "&amp;AP$496)+COUNTIF($E$4:$E$492,AP$496&amp;" ضد "&amp;$A497))</f>
        <v>0</v>
      </c>
      <c r="AQ497" s="4">
        <f>IF($A497=AQ$496,"",COUNTIF($E$4:$E$492,$A497&amp;" ضد "&amp;AQ$496)+COUNTIF($E$4:$E$492,AQ$496&amp;" ضد "&amp;$A497))</f>
        <v>0</v>
      </c>
      <c r="AR497" s="4">
        <f>IF($A497=AR$496,"",COUNTIF($E$4:$E$492,$A497&amp;" ضد "&amp;AR$496)+COUNTIF($E$4:$E$492,AR$496&amp;" ضد "&amp;$A497))</f>
        <v>0</v>
      </c>
      <c r="AS497" s="4">
        <f>IF($A497=AS$496,"",COUNTIF($E$4:$E$492,$A497&amp;" ضد "&amp;AS$496)+COUNTIF($E$4:$E$492,AS$496&amp;" ضد "&amp;$A497))</f>
        <v>0</v>
      </c>
      <c r="AT497" s="4">
        <f>IF($A497=AT$496,"",COUNTIF($E$4:$E$492,$A497&amp;" ضد "&amp;AT$496)+COUNTIF($E$4:$E$492,AT$496&amp;" ضد "&amp;$A497))</f>
        <v>0</v>
      </c>
      <c r="AU497" s="4">
        <f>IF($A497=AU$496,"",COUNTIF($E$4:$E$492,$A497&amp;" ضد "&amp;AU$496)+COUNTIF($E$4:$E$492,AU$496&amp;" ضد "&amp;$A497))</f>
        <v>0</v>
      </c>
      <c r="AV497" s="4">
        <f>IF($A497=AV$496,"",COUNTIF($E$4:$E$492,$A497&amp;" ضد "&amp;AV$496)+COUNTIF($E$4:$E$492,AV$496&amp;" ضد "&amp;$A497))</f>
        <v>0</v>
      </c>
      <c r="AW497" s="4">
        <f>IF($A497=AW$496,"",COUNTIF($E$4:$E$492,$A497&amp;" ضد "&amp;AW$496)+COUNTIF($E$4:$E$492,AW$496&amp;" ضد "&amp;$A497))</f>
        <v>0</v>
      </c>
      <c r="AX497" s="4">
        <f>IF($A497=AX$496,"",COUNTIF($E$4:$E$492,$A497&amp;" ضد "&amp;AX$496)+COUNTIF($E$4:$E$492,AX$496&amp;" ضد "&amp;$A497))</f>
        <v>0</v>
      </c>
      <c r="AY497" s="4">
        <f>IF($A497=AY$496,"",COUNTIF($E$4:$E$492,$A497&amp;" ضد "&amp;AY$496)+COUNTIF($E$4:$E$492,AY$496&amp;" ضد "&amp;$A497))</f>
        <v>0</v>
      </c>
      <c r="AZ497" s="4">
        <f>IF($A497=AZ$496,"",COUNTIF($E$4:$E$492,$A497&amp;" ضد "&amp;AZ$496)+COUNTIF($E$4:$E$492,AZ$496&amp;" ضد "&amp;$A497))</f>
        <v>0</v>
      </c>
      <c r="BA497" s="4">
        <f>IF($A497=BA$496,"",COUNTIF($E$4:$E$492,$A497&amp;" ضد "&amp;BA$496)+COUNTIF($E$4:$E$492,BA$496&amp;" ضد "&amp;$A497))</f>
        <v>0</v>
      </c>
      <c r="BB497" s="4">
        <f>IF($A497=BB$496,"",COUNTIF($E$4:$E$492,$A497&amp;" ضد "&amp;BB$496)+COUNTIF($E$4:$E$492,BB$496&amp;" ضد "&amp;$A497))</f>
        <v>0</v>
      </c>
      <c r="BC497" s="4">
        <f>IF($A497=BC$496,"",COUNTIF($E$4:$E$492,$A497&amp;" ضد "&amp;BC$496)+COUNTIF($E$4:$E$492,BC$496&amp;" ضد "&amp;$A497))</f>
        <v>0</v>
      </c>
    </row>
    <row r="498" spans="1:55" ht="14.5">
      <c r="A498" s="14">
        <v>2</v>
      </c>
      <c r="B498" s="4">
        <f>IF($A498=B$496,"",COUNTIF($E$4:$E$492,$A498&amp;" ضد "&amp;B$496)+COUNTIF($E$4:$E$492,B$496&amp;" ضد "&amp;$A498))</f>
        <v>1</v>
      </c>
      <c r="C498" s="4" t="str">
        <f>IF($A498=C$496,"",COUNTIF($E$4:$E$492,$A498&amp;" ضد "&amp;C$496)+COUNTIF($E$4:$E$492,C$496&amp;" ضد "&amp;$A498))</f>
        <v/>
      </c>
      <c r="D498" s="4">
        <f>IF($A498=D$496,"",COUNTIF($E$4:$E$492,$A498&amp;" ضد "&amp;D$496)+COUNTIF($E$4:$E$492,D$496&amp;" ضد "&amp;$A498))</f>
        <v>1</v>
      </c>
      <c r="E498" s="4">
        <f>IF($A498=E$496,"",COUNTIF($E$4:$E$492,$A498&amp;" ضد "&amp;E$496)+COUNTIF($E$4:$E$492,E$496&amp;" ضد "&amp;$A498))</f>
        <v>1</v>
      </c>
      <c r="F498" s="4">
        <f>IF($A498=F$496,"",COUNTIF($E$4:$E$492,$A498&amp;" ضد "&amp;F$496)+COUNTIF($E$4:$E$492,F$496&amp;" ضد "&amp;$A498))</f>
        <v>2</v>
      </c>
      <c r="G498" s="4">
        <f>IF($A498=G$496,"",COUNTIF($E$4:$E$492,$A498&amp;" ضد "&amp;G$496)+COUNTIF($E$4:$E$492,G$496&amp;" ضد "&amp;$A498))</f>
        <v>1</v>
      </c>
      <c r="H498" s="4">
        <f>IF($A498=H$496,"",COUNTIF($E$4:$E$492,$A498&amp;" ضد "&amp;H$496)+COUNTIF($E$4:$E$492,H$496&amp;" ضد "&amp;$A498))</f>
        <v>2</v>
      </c>
      <c r="I498" s="4">
        <f>IF($A498=I$496,"",COUNTIF($E$4:$E$492,$A498&amp;" ضد "&amp;I$496)+COUNTIF($E$4:$E$492,I$496&amp;" ضد "&amp;$A498))</f>
        <v>1</v>
      </c>
      <c r="J498" s="4">
        <f>IF($A498=J$496,"",COUNTIF($E$4:$E$492,$A498&amp;" ضد "&amp;J$496)+COUNTIF($E$4:$E$492,J$496&amp;" ضد "&amp;$A498))</f>
        <v>2</v>
      </c>
      <c r="K498" s="4">
        <f>IF($A498=K$496,"",COUNTIF($E$4:$E$492,$A498&amp;" ضد "&amp;K$496)+COUNTIF($E$4:$E$492,K$496&amp;" ضد "&amp;$A498))</f>
        <v>1</v>
      </c>
      <c r="L498" s="4">
        <f>IF($A498=L$496,"",COUNTIF($E$4:$E$492,$A498&amp;" ضد "&amp;L$496)+COUNTIF($E$4:$E$492,L$496&amp;" ضد "&amp;$A498))</f>
        <v>2</v>
      </c>
      <c r="M498" s="4">
        <f>IF($A498=M$496,"",COUNTIF($E$4:$E$492,$A498&amp;" ضد "&amp;M$496)+COUNTIF($E$4:$E$492,M$496&amp;" ضد "&amp;$A498))</f>
        <v>1</v>
      </c>
      <c r="N498" s="4">
        <f>IF($A498=N$496,"",COUNTIF($E$4:$E$492,$A498&amp;" ضد "&amp;N$496)+COUNTIF($E$4:$E$492,N$496&amp;" ضد "&amp;$A498))</f>
        <v>2</v>
      </c>
      <c r="O498" s="4">
        <f>IF($A498=O$496,"",COUNTIF($E$4:$E$492,$A498&amp;" ضد "&amp;O$496)+COUNTIF($E$4:$E$492,O$496&amp;" ضد "&amp;$A498))</f>
        <v>1</v>
      </c>
      <c r="P498" s="4">
        <f>IF($A498=P$496,"",COUNTIF($E$4:$E$492,$A498&amp;" ضد "&amp;P$496)+COUNTIF($E$4:$E$492,P$496&amp;" ضد "&amp;$A498))</f>
        <v>0</v>
      </c>
      <c r="Q498" s="4">
        <f>IF($A498=Q$496,"",COUNTIF($E$4:$E$492,$A498&amp;" ضد "&amp;Q$496)+COUNTIF($E$4:$E$492,Q$496&amp;" ضد "&amp;$A498))</f>
        <v>0</v>
      </c>
      <c r="R498" s="4">
        <f>IF($A498=R$496,"",COUNTIF($E$4:$E$492,$A498&amp;" ضد "&amp;R$496)+COUNTIF($E$4:$E$492,R$496&amp;" ضد "&amp;$A498))</f>
        <v>0</v>
      </c>
      <c r="S498" s="4">
        <f>IF($A498=S$496,"",COUNTIF($E$4:$E$492,$A498&amp;" ضد "&amp;S$496)+COUNTIF($E$4:$E$492,S$496&amp;" ضد "&amp;$A498))</f>
        <v>0</v>
      </c>
      <c r="T498" s="4">
        <f>IF($A498=T$496,"",COUNTIF($E$4:$E$492,$A498&amp;" ضد "&amp;T$496)+COUNTIF($E$4:$E$492,T$496&amp;" ضد "&amp;$A498))</f>
        <v>0</v>
      </c>
      <c r="U498" s="4">
        <f>IF($A498=U$496,"",COUNTIF($E$4:$E$492,$A498&amp;" ضد "&amp;U$496)+COUNTIF($E$4:$E$492,U$496&amp;" ضد "&amp;$A498))</f>
        <v>0</v>
      </c>
      <c r="V498" s="4">
        <f>IF($A498=V$496,"",COUNTIF($E$4:$E$492,$A498&amp;" ضد "&amp;V$496)+COUNTIF($E$4:$E$492,V$496&amp;" ضد "&amp;$A498))</f>
        <v>0</v>
      </c>
      <c r="W498" s="4">
        <f>IF($A498=W$496,"",COUNTIF($E$4:$E$492,$A498&amp;" ضد "&amp;W$496)+COUNTIF($E$4:$E$492,W$496&amp;" ضد "&amp;$A498))</f>
        <v>0</v>
      </c>
      <c r="X498" s="4">
        <f>IF($A498=X$496,"",COUNTIF($E$4:$E$492,$A498&amp;" ضد "&amp;X$496)+COUNTIF($E$4:$E$492,X$496&amp;" ضد "&amp;$A498))</f>
        <v>0</v>
      </c>
      <c r="Y498" s="4">
        <f>IF($A498=Y$496,"",COUNTIF($E$4:$E$492,$A498&amp;" ضد "&amp;Y$496)+COUNTIF($E$4:$E$492,Y$496&amp;" ضد "&amp;$A498))</f>
        <v>0</v>
      </c>
      <c r="Z498" s="4">
        <f>IF($A498=Z$496,"",COUNTIF($E$4:$E$492,$A498&amp;" ضد "&amp;Z$496)+COUNTIF($E$4:$E$492,Z$496&amp;" ضد "&amp;$A498))</f>
        <v>0</v>
      </c>
      <c r="AA498" s="4">
        <f>IF($A498=AA$496,"",COUNTIF($E$4:$E$492,$A498&amp;" ضد "&amp;AA$496)+COUNTIF($E$4:$E$492,AA$496&amp;" ضد "&amp;$A498))</f>
        <v>0</v>
      </c>
      <c r="AB498" s="4">
        <f>IF($A498=AB$496,"",COUNTIF($E$4:$E$492,$A498&amp;" ضد "&amp;AB$496)+COUNTIF($E$4:$E$492,AB$496&amp;" ضد "&amp;$A498))</f>
        <v>0</v>
      </c>
      <c r="AC498" s="4">
        <f>IF($A498=AC$496,"",COUNTIF($E$4:$E$492,$A498&amp;" ضد "&amp;AC$496)+COUNTIF($E$4:$E$492,AC$496&amp;" ضد "&amp;$A498))</f>
        <v>0</v>
      </c>
      <c r="AD498" s="4">
        <f>IF($A498=AD$496,"",COUNTIF($E$4:$E$492,$A498&amp;" ضد "&amp;AD$496)+COUNTIF($E$4:$E$492,AD$496&amp;" ضد "&amp;$A498))</f>
        <v>0</v>
      </c>
      <c r="AE498" s="4">
        <f>IF($A498=AE$496,"",COUNTIF($E$4:$E$492,$A498&amp;" ضد "&amp;AE$496)+COUNTIF($E$4:$E$492,AE$496&amp;" ضد "&amp;$A498))</f>
        <v>0</v>
      </c>
      <c r="AF498" s="4">
        <f>IF($A498=AF$496,"",COUNTIF($E$4:$E$492,$A498&amp;" ضد "&amp;AF$496)+COUNTIF($E$4:$E$492,AF$496&amp;" ضد "&amp;$A498))</f>
        <v>0</v>
      </c>
      <c r="AG498" s="4">
        <f>IF($A498=AG$496,"",COUNTIF($E$4:$E$492,$A498&amp;" ضد "&amp;AG$496)+COUNTIF($E$4:$E$492,AG$496&amp;" ضد "&amp;$A498))</f>
        <v>0</v>
      </c>
      <c r="AH498" s="4">
        <f>IF($A498=AH$496,"",COUNTIF($E$4:$E$492,$A498&amp;" ضد "&amp;AH$496)+COUNTIF($E$4:$E$492,AH$496&amp;" ضد "&amp;$A498))</f>
        <v>0</v>
      </c>
      <c r="AI498" s="4">
        <f>IF($A498=AI$496,"",COUNTIF($E$4:$E$492,$A498&amp;" ضد "&amp;AI$496)+COUNTIF($E$4:$E$492,AI$496&amp;" ضد "&amp;$A498))</f>
        <v>0</v>
      </c>
      <c r="AJ498" s="4">
        <f>IF($A498=AJ$496,"",COUNTIF($E$4:$E$492,$A498&amp;" ضد "&amp;AJ$496)+COUNTIF($E$4:$E$492,AJ$496&amp;" ضد "&amp;$A498))</f>
        <v>0</v>
      </c>
      <c r="AK498" s="4">
        <f>IF($A498=AK$496,"",COUNTIF($E$4:$E$492,$A498&amp;" ضد "&amp;AK$496)+COUNTIF($E$4:$E$492,AK$496&amp;" ضد "&amp;$A498))</f>
        <v>0</v>
      </c>
      <c r="AL498" s="4">
        <f>IF($A498=AL$496,"",COUNTIF($E$4:$E$492,$A498&amp;" ضد "&amp;AL$496)+COUNTIF($E$4:$E$492,AL$496&amp;" ضد "&amp;$A498))</f>
        <v>0</v>
      </c>
      <c r="AM498" s="4">
        <f>IF($A498=AM$496,"",COUNTIF($E$4:$E$492,$A498&amp;" ضد "&amp;AM$496)+COUNTIF($E$4:$E$492,AM$496&amp;" ضد "&amp;$A498))</f>
        <v>0</v>
      </c>
      <c r="AN498" s="4">
        <f>IF($A498=AN$496,"",COUNTIF($E$4:$E$492,$A498&amp;" ضد "&amp;AN$496)+COUNTIF($E$4:$E$492,AN$496&amp;" ضد "&amp;$A498))</f>
        <v>0</v>
      </c>
      <c r="AO498" s="4">
        <f>IF($A498=AO$496,"",COUNTIF($E$4:$E$492,$A498&amp;" ضد "&amp;AO$496)+COUNTIF($E$4:$E$492,AO$496&amp;" ضد "&amp;$A498))</f>
        <v>0</v>
      </c>
      <c r="AP498" s="4">
        <f>IF($A498=AP$496,"",COUNTIF($E$4:$E$492,$A498&amp;" ضد "&amp;AP$496)+COUNTIF($E$4:$E$492,AP$496&amp;" ضد "&amp;$A498))</f>
        <v>0</v>
      </c>
      <c r="AQ498" s="4">
        <f>IF($A498=AQ$496,"",COUNTIF($E$4:$E$492,$A498&amp;" ضد "&amp;AQ$496)+COUNTIF($E$4:$E$492,AQ$496&amp;" ضد "&amp;$A498))</f>
        <v>0</v>
      </c>
      <c r="AR498" s="4">
        <f>IF($A498=AR$496,"",COUNTIF($E$4:$E$492,$A498&amp;" ضد "&amp;AR$496)+COUNTIF($E$4:$E$492,AR$496&amp;" ضد "&amp;$A498))</f>
        <v>0</v>
      </c>
      <c r="AS498" s="4">
        <f>IF($A498=AS$496,"",COUNTIF($E$4:$E$492,$A498&amp;" ضد "&amp;AS$496)+COUNTIF($E$4:$E$492,AS$496&amp;" ضد "&amp;$A498))</f>
        <v>0</v>
      </c>
      <c r="AT498" s="4">
        <f>IF($A498=AT$496,"",COUNTIF($E$4:$E$492,$A498&amp;" ضد "&amp;AT$496)+COUNTIF($E$4:$E$492,AT$496&amp;" ضد "&amp;$A498))</f>
        <v>0</v>
      </c>
      <c r="AU498" s="4">
        <f>IF($A498=AU$496,"",COUNTIF($E$4:$E$492,$A498&amp;" ضد "&amp;AU$496)+COUNTIF($E$4:$E$492,AU$496&amp;" ضد "&amp;$A498))</f>
        <v>0</v>
      </c>
      <c r="AV498" s="4">
        <f>IF($A498=AV$496,"",COUNTIF($E$4:$E$492,$A498&amp;" ضد "&amp;AV$496)+COUNTIF($E$4:$E$492,AV$496&amp;" ضد "&amp;$A498))</f>
        <v>0</v>
      </c>
      <c r="AW498" s="4">
        <f>IF($A498=AW$496,"",COUNTIF($E$4:$E$492,$A498&amp;" ضد "&amp;AW$496)+COUNTIF($E$4:$E$492,AW$496&amp;" ضد "&amp;$A498))</f>
        <v>0</v>
      </c>
      <c r="AX498" s="4">
        <f>IF($A498=AX$496,"",COUNTIF($E$4:$E$492,$A498&amp;" ضد "&amp;AX$496)+COUNTIF($E$4:$E$492,AX$496&amp;" ضد "&amp;$A498))</f>
        <v>0</v>
      </c>
      <c r="AY498" s="4">
        <f>IF($A498=AY$496,"",COUNTIF($E$4:$E$492,$A498&amp;" ضد "&amp;AY$496)+COUNTIF($E$4:$E$492,AY$496&amp;" ضد "&amp;$A498))</f>
        <v>0</v>
      </c>
      <c r="AZ498" s="4">
        <f>IF($A498=AZ$496,"",COUNTIF($E$4:$E$492,$A498&amp;" ضد "&amp;AZ$496)+COUNTIF($E$4:$E$492,AZ$496&amp;" ضد "&amp;$A498))</f>
        <v>0</v>
      </c>
      <c r="BA498" s="4">
        <f>IF($A498=BA$496,"",COUNTIF($E$4:$E$492,$A498&amp;" ضد "&amp;BA$496)+COUNTIF($E$4:$E$492,BA$496&amp;" ضد "&amp;$A498))</f>
        <v>0</v>
      </c>
      <c r="BB498" s="4">
        <f>IF($A498=BB$496,"",COUNTIF($E$4:$E$492,$A498&amp;" ضد "&amp;BB$496)+COUNTIF($E$4:$E$492,BB$496&amp;" ضد "&amp;$A498))</f>
        <v>0</v>
      </c>
      <c r="BC498" s="4">
        <f>IF($A498=BC$496,"",COUNTIF($E$4:$E$492,$A498&amp;" ضد "&amp;BC$496)+COUNTIF($E$4:$E$492,BC$496&amp;" ضد "&amp;$A498))</f>
        <v>0</v>
      </c>
    </row>
    <row r="499" spans="1:55" ht="14.5">
      <c r="A499" s="14">
        <v>3</v>
      </c>
      <c r="B499" s="4">
        <f>IF($A499=B$496,"",COUNTIF($E$4:$E$492,$A499&amp;" ضد "&amp;B$496)+COUNTIF($E$4:$E$492,B$496&amp;" ضد "&amp;$A499))</f>
        <v>1</v>
      </c>
      <c r="C499" s="4">
        <f>IF($A499=C$496,"",COUNTIF($E$4:$E$492,$A499&amp;" ضد "&amp;C$496)+COUNTIF($E$4:$E$492,C$496&amp;" ضد "&amp;$A499))</f>
        <v>1</v>
      </c>
      <c r="D499" s="4" t="str">
        <f>IF($A499=D$496,"",COUNTIF($E$4:$E$492,$A499&amp;" ضد "&amp;D$496)+COUNTIF($E$4:$E$492,D$496&amp;" ضد "&amp;$A499))</f>
        <v/>
      </c>
      <c r="E499" s="4">
        <f>IF($A499=E$496,"",COUNTIF($E$4:$E$492,$A499&amp;" ضد "&amp;E$496)+COUNTIF($E$4:$E$492,E$496&amp;" ضد "&amp;$A499))</f>
        <v>2</v>
      </c>
      <c r="F499" s="4">
        <f>IF($A499=F$496,"",COUNTIF($E$4:$E$492,$A499&amp;" ضد "&amp;F$496)+COUNTIF($E$4:$E$492,F$496&amp;" ضد "&amp;$A499))</f>
        <v>1</v>
      </c>
      <c r="G499" s="4">
        <f>IF($A499=G$496,"",COUNTIF($E$4:$E$492,$A499&amp;" ضد "&amp;G$496)+COUNTIF($E$4:$E$492,G$496&amp;" ضد "&amp;$A499))</f>
        <v>2</v>
      </c>
      <c r="H499" s="4">
        <f>IF($A499=H$496,"",COUNTIF($E$4:$E$492,$A499&amp;" ضد "&amp;H$496)+COUNTIF($E$4:$E$492,H$496&amp;" ضد "&amp;$A499))</f>
        <v>1</v>
      </c>
      <c r="I499" s="4">
        <f>IF($A499=I$496,"",COUNTIF($E$4:$E$492,$A499&amp;" ضد "&amp;I$496)+COUNTIF($E$4:$E$492,I$496&amp;" ضد "&amp;$A499))</f>
        <v>2</v>
      </c>
      <c r="J499" s="4">
        <f>IF($A499=J$496,"",COUNTIF($E$4:$E$492,$A499&amp;" ضد "&amp;J$496)+COUNTIF($E$4:$E$492,J$496&amp;" ضد "&amp;$A499))</f>
        <v>1</v>
      </c>
      <c r="K499" s="4">
        <f>IF($A499=K$496,"",COUNTIF($E$4:$E$492,$A499&amp;" ضد "&amp;K$496)+COUNTIF($E$4:$E$492,K$496&amp;" ضد "&amp;$A499))</f>
        <v>2</v>
      </c>
      <c r="L499" s="4">
        <f>IF($A499=L$496,"",COUNTIF($E$4:$E$492,$A499&amp;" ضد "&amp;L$496)+COUNTIF($E$4:$E$492,L$496&amp;" ضد "&amp;$A499))</f>
        <v>1</v>
      </c>
      <c r="M499" s="4">
        <f>IF($A499=M$496,"",COUNTIF($E$4:$E$492,$A499&amp;" ضد "&amp;M$496)+COUNTIF($E$4:$E$492,M$496&amp;" ضد "&amp;$A499))</f>
        <v>2</v>
      </c>
      <c r="N499" s="4">
        <f>IF($A499=N$496,"",COUNTIF($E$4:$E$492,$A499&amp;" ضد "&amp;N$496)+COUNTIF($E$4:$E$492,N$496&amp;" ضد "&amp;$A499))</f>
        <v>1</v>
      </c>
      <c r="O499" s="4">
        <f>IF($A499=O$496,"",COUNTIF($E$4:$E$492,$A499&amp;" ضد "&amp;O$496)+COUNTIF($E$4:$E$492,O$496&amp;" ضد "&amp;$A499))</f>
        <v>1</v>
      </c>
      <c r="P499" s="4">
        <f>IF($A499=P$496,"",COUNTIF($E$4:$E$492,$A499&amp;" ضد "&amp;P$496)+COUNTIF($E$4:$E$492,P$496&amp;" ضد "&amp;$A499))</f>
        <v>0</v>
      </c>
      <c r="Q499" s="4">
        <f>IF($A499=Q$496,"",COUNTIF($E$4:$E$492,$A499&amp;" ضد "&amp;Q$496)+COUNTIF($E$4:$E$492,Q$496&amp;" ضد "&amp;$A499))</f>
        <v>0</v>
      </c>
      <c r="R499" s="4">
        <f>IF($A499=R$496,"",COUNTIF($E$4:$E$492,$A499&amp;" ضد "&amp;R$496)+COUNTIF($E$4:$E$492,R$496&amp;" ضد "&amp;$A499))</f>
        <v>0</v>
      </c>
      <c r="S499" s="4">
        <f>IF($A499=S$496,"",COUNTIF($E$4:$E$492,$A499&amp;" ضد "&amp;S$496)+COUNTIF($E$4:$E$492,S$496&amp;" ضد "&amp;$A499))</f>
        <v>0</v>
      </c>
      <c r="T499" s="4">
        <f>IF($A499=T$496,"",COUNTIF($E$4:$E$492,$A499&amp;" ضد "&amp;T$496)+COUNTIF($E$4:$E$492,T$496&amp;" ضد "&amp;$A499))</f>
        <v>0</v>
      </c>
      <c r="U499" s="4">
        <f>IF($A499=U$496,"",COUNTIF($E$4:$E$492,$A499&amp;" ضد "&amp;U$496)+COUNTIF($E$4:$E$492,U$496&amp;" ضد "&amp;$A499))</f>
        <v>0</v>
      </c>
      <c r="V499" s="4">
        <f>IF($A499=V$496,"",COUNTIF($E$4:$E$492,$A499&amp;" ضد "&amp;V$496)+COUNTIF($E$4:$E$492,V$496&amp;" ضد "&amp;$A499))</f>
        <v>0</v>
      </c>
      <c r="W499" s="4">
        <f>IF($A499=W$496,"",COUNTIF($E$4:$E$492,$A499&amp;" ضد "&amp;W$496)+COUNTIF($E$4:$E$492,W$496&amp;" ضد "&amp;$A499))</f>
        <v>0</v>
      </c>
      <c r="X499" s="4">
        <f>IF($A499=X$496,"",COUNTIF($E$4:$E$492,$A499&amp;" ضد "&amp;X$496)+COUNTIF($E$4:$E$492,X$496&amp;" ضد "&amp;$A499))</f>
        <v>0</v>
      </c>
      <c r="Y499" s="4">
        <f>IF($A499=Y$496,"",COUNTIF($E$4:$E$492,$A499&amp;" ضد "&amp;Y$496)+COUNTIF($E$4:$E$492,Y$496&amp;" ضد "&amp;$A499))</f>
        <v>0</v>
      </c>
      <c r="Z499" s="4">
        <f>IF($A499=Z$496,"",COUNTIF($E$4:$E$492,$A499&amp;" ضد "&amp;Z$496)+COUNTIF($E$4:$E$492,Z$496&amp;" ضد "&amp;$A499))</f>
        <v>0</v>
      </c>
      <c r="AA499" s="4">
        <f>IF($A499=AA$496,"",COUNTIF($E$4:$E$492,$A499&amp;" ضد "&amp;AA$496)+COUNTIF($E$4:$E$492,AA$496&amp;" ضد "&amp;$A499))</f>
        <v>0</v>
      </c>
      <c r="AB499" s="4">
        <f>IF($A499=AB$496,"",COUNTIF($E$4:$E$492,$A499&amp;" ضد "&amp;AB$496)+COUNTIF($E$4:$E$492,AB$496&amp;" ضد "&amp;$A499))</f>
        <v>0</v>
      </c>
      <c r="AC499" s="4">
        <f>IF($A499=AC$496,"",COUNTIF($E$4:$E$492,$A499&amp;" ضد "&amp;AC$496)+COUNTIF($E$4:$E$492,AC$496&amp;" ضد "&amp;$A499))</f>
        <v>0</v>
      </c>
      <c r="AD499" s="4">
        <f>IF($A499=AD$496,"",COUNTIF($E$4:$E$492,$A499&amp;" ضد "&amp;AD$496)+COUNTIF($E$4:$E$492,AD$496&amp;" ضد "&amp;$A499))</f>
        <v>0</v>
      </c>
      <c r="AE499" s="4">
        <f>IF($A499=AE$496,"",COUNTIF($E$4:$E$492,$A499&amp;" ضد "&amp;AE$496)+COUNTIF($E$4:$E$492,AE$496&amp;" ضد "&amp;$A499))</f>
        <v>0</v>
      </c>
      <c r="AF499" s="4">
        <f>IF($A499=AF$496,"",COUNTIF($E$4:$E$492,$A499&amp;" ضد "&amp;AF$496)+COUNTIF($E$4:$E$492,AF$496&amp;" ضد "&amp;$A499))</f>
        <v>0</v>
      </c>
      <c r="AG499" s="4">
        <f>IF($A499=AG$496,"",COUNTIF($E$4:$E$492,$A499&amp;" ضد "&amp;AG$496)+COUNTIF($E$4:$E$492,AG$496&amp;" ضد "&amp;$A499))</f>
        <v>0</v>
      </c>
      <c r="AH499" s="4">
        <f>IF($A499=AH$496,"",COUNTIF($E$4:$E$492,$A499&amp;" ضد "&amp;AH$496)+COUNTIF($E$4:$E$492,AH$496&amp;" ضد "&amp;$A499))</f>
        <v>0</v>
      </c>
      <c r="AI499" s="4">
        <f>IF($A499=AI$496,"",COUNTIF($E$4:$E$492,$A499&amp;" ضد "&amp;AI$496)+COUNTIF($E$4:$E$492,AI$496&amp;" ضد "&amp;$A499))</f>
        <v>0</v>
      </c>
      <c r="AJ499" s="4">
        <f>IF($A499=AJ$496,"",COUNTIF($E$4:$E$492,$A499&amp;" ضد "&amp;AJ$496)+COUNTIF($E$4:$E$492,AJ$496&amp;" ضد "&amp;$A499))</f>
        <v>0</v>
      </c>
      <c r="AK499" s="4">
        <f>IF($A499=AK$496,"",COUNTIF($E$4:$E$492,$A499&amp;" ضد "&amp;AK$496)+COUNTIF($E$4:$E$492,AK$496&amp;" ضد "&amp;$A499))</f>
        <v>0</v>
      </c>
      <c r="AL499" s="4">
        <f>IF($A499=AL$496,"",COUNTIF($E$4:$E$492,$A499&amp;" ضد "&amp;AL$496)+COUNTIF($E$4:$E$492,AL$496&amp;" ضد "&amp;$A499))</f>
        <v>0</v>
      </c>
      <c r="AM499" s="4">
        <f>IF($A499=AM$496,"",COUNTIF($E$4:$E$492,$A499&amp;" ضد "&amp;AM$496)+COUNTIF($E$4:$E$492,AM$496&amp;" ضد "&amp;$A499))</f>
        <v>0</v>
      </c>
      <c r="AN499" s="4">
        <f>IF($A499=AN$496,"",COUNTIF($E$4:$E$492,$A499&amp;" ضد "&amp;AN$496)+COUNTIF($E$4:$E$492,AN$496&amp;" ضد "&amp;$A499))</f>
        <v>0</v>
      </c>
      <c r="AO499" s="4">
        <f>IF($A499=AO$496,"",COUNTIF($E$4:$E$492,$A499&amp;" ضد "&amp;AO$496)+COUNTIF($E$4:$E$492,AO$496&amp;" ضد "&amp;$A499))</f>
        <v>0</v>
      </c>
      <c r="AP499" s="4">
        <f>IF($A499=AP$496,"",COUNTIF($E$4:$E$492,$A499&amp;" ضد "&amp;AP$496)+COUNTIF($E$4:$E$492,AP$496&amp;" ضد "&amp;$A499))</f>
        <v>0</v>
      </c>
      <c r="AQ499" s="4">
        <f>IF($A499=AQ$496,"",COUNTIF($E$4:$E$492,$A499&amp;" ضد "&amp;AQ$496)+COUNTIF($E$4:$E$492,AQ$496&amp;" ضد "&amp;$A499))</f>
        <v>0</v>
      </c>
      <c r="AR499" s="4">
        <f>IF($A499=AR$496,"",COUNTIF($E$4:$E$492,$A499&amp;" ضد "&amp;AR$496)+COUNTIF($E$4:$E$492,AR$496&amp;" ضد "&amp;$A499))</f>
        <v>0</v>
      </c>
      <c r="AS499" s="4">
        <f>IF($A499=AS$496,"",COUNTIF($E$4:$E$492,$A499&amp;" ضد "&amp;AS$496)+COUNTIF($E$4:$E$492,AS$496&amp;" ضد "&amp;$A499))</f>
        <v>0</v>
      </c>
      <c r="AT499" s="4">
        <f>IF($A499=AT$496,"",COUNTIF($E$4:$E$492,$A499&amp;" ضد "&amp;AT$496)+COUNTIF($E$4:$E$492,AT$496&amp;" ضد "&amp;$A499))</f>
        <v>0</v>
      </c>
      <c r="AU499" s="4">
        <f>IF($A499=AU$496,"",COUNTIF($E$4:$E$492,$A499&amp;" ضد "&amp;AU$496)+COUNTIF($E$4:$E$492,AU$496&amp;" ضد "&amp;$A499))</f>
        <v>0</v>
      </c>
      <c r="AV499" s="4">
        <f>IF($A499=AV$496,"",COUNTIF($E$4:$E$492,$A499&amp;" ضد "&amp;AV$496)+COUNTIF($E$4:$E$492,AV$496&amp;" ضد "&amp;$A499))</f>
        <v>0</v>
      </c>
      <c r="AW499" s="4">
        <f>IF($A499=AW$496,"",COUNTIF($E$4:$E$492,$A499&amp;" ضد "&amp;AW$496)+COUNTIF($E$4:$E$492,AW$496&amp;" ضد "&amp;$A499))</f>
        <v>0</v>
      </c>
      <c r="AX499" s="4">
        <f>IF($A499=AX$496,"",COUNTIF($E$4:$E$492,$A499&amp;" ضد "&amp;AX$496)+COUNTIF($E$4:$E$492,AX$496&amp;" ضد "&amp;$A499))</f>
        <v>0</v>
      </c>
      <c r="AY499" s="4">
        <f>IF($A499=AY$496,"",COUNTIF($E$4:$E$492,$A499&amp;" ضد "&amp;AY$496)+COUNTIF($E$4:$E$492,AY$496&amp;" ضد "&amp;$A499))</f>
        <v>0</v>
      </c>
      <c r="AZ499" s="4">
        <f>IF($A499=AZ$496,"",COUNTIF($E$4:$E$492,$A499&amp;" ضد "&amp;AZ$496)+COUNTIF($E$4:$E$492,AZ$496&amp;" ضد "&amp;$A499))</f>
        <v>0</v>
      </c>
      <c r="BA499" s="4">
        <f>IF($A499=BA$496,"",COUNTIF($E$4:$E$492,$A499&amp;" ضد "&amp;BA$496)+COUNTIF($E$4:$E$492,BA$496&amp;" ضد "&amp;$A499))</f>
        <v>0</v>
      </c>
      <c r="BB499" s="4">
        <f>IF($A499=BB$496,"",COUNTIF($E$4:$E$492,$A499&amp;" ضد "&amp;BB$496)+COUNTIF($E$4:$E$492,BB$496&amp;" ضد "&amp;$A499))</f>
        <v>0</v>
      </c>
      <c r="BC499" s="4">
        <f>IF($A499=BC$496,"",COUNTIF($E$4:$E$492,$A499&amp;" ضد "&amp;BC$496)+COUNTIF($E$4:$E$492,BC$496&amp;" ضد "&amp;$A499))</f>
        <v>0</v>
      </c>
    </row>
    <row r="500" spans="1:55" ht="14.5">
      <c r="A500" s="14">
        <v>4</v>
      </c>
      <c r="B500" s="4">
        <f>IF($A500=B$496,"",COUNTIF($E$4:$E$492,$A500&amp;" ضد "&amp;B$496)+COUNTIF($E$4:$E$492,B$496&amp;" ضد "&amp;$A500))</f>
        <v>1</v>
      </c>
      <c r="C500" s="4">
        <f>IF($A500=C$496,"",COUNTIF($E$4:$E$492,$A500&amp;" ضد "&amp;C$496)+COUNTIF($E$4:$E$492,C$496&amp;" ضد "&amp;$A500))</f>
        <v>1</v>
      </c>
      <c r="D500" s="4">
        <f>IF($A500=D$496,"",COUNTIF($E$4:$E$492,$A500&amp;" ضد "&amp;D$496)+COUNTIF($E$4:$E$492,D$496&amp;" ضد "&amp;$A500))</f>
        <v>2</v>
      </c>
      <c r="E500" s="4" t="str">
        <f>IF($A500=E$496,"",COUNTIF($E$4:$E$492,$A500&amp;" ضد "&amp;E$496)+COUNTIF($E$4:$E$492,E$496&amp;" ضد "&amp;$A500))</f>
        <v/>
      </c>
      <c r="F500" s="4">
        <f>IF($A500=F$496,"",COUNTIF($E$4:$E$492,$A500&amp;" ضد "&amp;F$496)+COUNTIF($E$4:$E$492,F$496&amp;" ضد "&amp;$A500))</f>
        <v>2</v>
      </c>
      <c r="G500" s="4">
        <f>IF($A500=G$496,"",COUNTIF($E$4:$E$492,$A500&amp;" ضد "&amp;G$496)+COUNTIF($E$4:$E$492,G$496&amp;" ضد "&amp;$A500))</f>
        <v>1</v>
      </c>
      <c r="H500" s="4">
        <f>IF($A500=H$496,"",COUNTIF($E$4:$E$492,$A500&amp;" ضد "&amp;H$496)+COUNTIF($E$4:$E$492,H$496&amp;" ضد "&amp;$A500))</f>
        <v>2</v>
      </c>
      <c r="I500" s="4">
        <f>IF($A500=I$496,"",COUNTIF($E$4:$E$492,$A500&amp;" ضد "&amp;I$496)+COUNTIF($E$4:$E$492,I$496&amp;" ضد "&amp;$A500))</f>
        <v>1</v>
      </c>
      <c r="J500" s="4">
        <f>IF($A500=J$496,"",COUNTIF($E$4:$E$492,$A500&amp;" ضد "&amp;J$496)+COUNTIF($E$4:$E$492,J$496&amp;" ضد "&amp;$A500))</f>
        <v>2</v>
      </c>
      <c r="K500" s="4">
        <f>IF($A500=K$496,"",COUNTIF($E$4:$E$492,$A500&amp;" ضد "&amp;K$496)+COUNTIF($E$4:$E$492,K$496&amp;" ضد "&amp;$A500))</f>
        <v>1</v>
      </c>
      <c r="L500" s="4">
        <f>IF($A500=L$496,"",COUNTIF($E$4:$E$492,$A500&amp;" ضد "&amp;L$496)+COUNTIF($E$4:$E$492,L$496&amp;" ضد "&amp;$A500))</f>
        <v>2</v>
      </c>
      <c r="M500" s="4">
        <f>IF($A500=M$496,"",COUNTIF($E$4:$E$492,$A500&amp;" ضد "&amp;M$496)+COUNTIF($E$4:$E$492,M$496&amp;" ضد "&amp;$A500))</f>
        <v>1</v>
      </c>
      <c r="N500" s="4">
        <f>IF($A500=N$496,"",COUNTIF($E$4:$E$492,$A500&amp;" ضد "&amp;N$496)+COUNTIF($E$4:$E$492,N$496&amp;" ضد "&amp;$A500))</f>
        <v>1</v>
      </c>
      <c r="O500" s="4">
        <f>IF($A500=O$496,"",COUNTIF($E$4:$E$492,$A500&amp;" ضد "&amp;O$496)+COUNTIF($E$4:$E$492,O$496&amp;" ضد "&amp;$A500))</f>
        <v>1</v>
      </c>
      <c r="P500" s="4">
        <f>IF($A500=P$496,"",COUNTIF($E$4:$E$492,$A500&amp;" ضد "&amp;P$496)+COUNTIF($E$4:$E$492,P$496&amp;" ضد "&amp;$A500))</f>
        <v>0</v>
      </c>
      <c r="Q500" s="4">
        <f>IF($A500=Q$496,"",COUNTIF($E$4:$E$492,$A500&amp;" ضد "&amp;Q$496)+COUNTIF($E$4:$E$492,Q$496&amp;" ضد "&amp;$A500))</f>
        <v>0</v>
      </c>
      <c r="R500" s="4">
        <f>IF($A500=R$496,"",COUNTIF($E$4:$E$492,$A500&amp;" ضد "&amp;R$496)+COUNTIF($E$4:$E$492,R$496&amp;" ضد "&amp;$A500))</f>
        <v>0</v>
      </c>
      <c r="S500" s="4">
        <f>IF($A500=S$496,"",COUNTIF($E$4:$E$492,$A500&amp;" ضد "&amp;S$496)+COUNTIF($E$4:$E$492,S$496&amp;" ضد "&amp;$A500))</f>
        <v>0</v>
      </c>
      <c r="T500" s="4">
        <f>IF($A500=T$496,"",COUNTIF($E$4:$E$492,$A500&amp;" ضد "&amp;T$496)+COUNTIF($E$4:$E$492,T$496&amp;" ضد "&amp;$A500))</f>
        <v>0</v>
      </c>
      <c r="U500" s="4">
        <f>IF($A500=U$496,"",COUNTIF($E$4:$E$492,$A500&amp;" ضد "&amp;U$496)+COUNTIF($E$4:$E$492,U$496&amp;" ضد "&amp;$A500))</f>
        <v>0</v>
      </c>
      <c r="V500" s="4">
        <f>IF($A500=V$496,"",COUNTIF($E$4:$E$492,$A500&amp;" ضد "&amp;V$496)+COUNTIF($E$4:$E$492,V$496&amp;" ضد "&amp;$A500))</f>
        <v>0</v>
      </c>
      <c r="W500" s="4">
        <f>IF($A500=W$496,"",COUNTIF($E$4:$E$492,$A500&amp;" ضد "&amp;W$496)+COUNTIF($E$4:$E$492,W$496&amp;" ضد "&amp;$A500))</f>
        <v>0</v>
      </c>
      <c r="X500" s="4">
        <f>IF($A500=X$496,"",COUNTIF($E$4:$E$492,$A500&amp;" ضد "&amp;X$496)+COUNTIF($E$4:$E$492,X$496&amp;" ضد "&amp;$A500))</f>
        <v>0</v>
      </c>
      <c r="Y500" s="4">
        <f>IF($A500=Y$496,"",COUNTIF($E$4:$E$492,$A500&amp;" ضد "&amp;Y$496)+COUNTIF($E$4:$E$492,Y$496&amp;" ضد "&amp;$A500))</f>
        <v>0</v>
      </c>
      <c r="Z500" s="4">
        <f>IF($A500=Z$496,"",COUNTIF($E$4:$E$492,$A500&amp;" ضد "&amp;Z$496)+COUNTIF($E$4:$E$492,Z$496&amp;" ضد "&amp;$A500))</f>
        <v>0</v>
      </c>
      <c r="AA500" s="4">
        <f>IF($A500=AA$496,"",COUNTIF($E$4:$E$492,$A500&amp;" ضد "&amp;AA$496)+COUNTIF($E$4:$E$492,AA$496&amp;" ضد "&amp;$A500))</f>
        <v>0</v>
      </c>
      <c r="AB500" s="4">
        <f>IF($A500=AB$496,"",COUNTIF($E$4:$E$492,$A500&amp;" ضد "&amp;AB$496)+COUNTIF($E$4:$E$492,AB$496&amp;" ضد "&amp;$A500))</f>
        <v>0</v>
      </c>
      <c r="AC500" s="4">
        <f>IF($A500=AC$496,"",COUNTIF($E$4:$E$492,$A500&amp;" ضد "&amp;AC$496)+COUNTIF($E$4:$E$492,AC$496&amp;" ضد "&amp;$A500))</f>
        <v>0</v>
      </c>
      <c r="AD500" s="4">
        <f>IF($A500=AD$496,"",COUNTIF($E$4:$E$492,$A500&amp;" ضد "&amp;AD$496)+COUNTIF($E$4:$E$492,AD$496&amp;" ضد "&amp;$A500))</f>
        <v>0</v>
      </c>
      <c r="AE500" s="4">
        <f>IF($A500=AE$496,"",COUNTIF($E$4:$E$492,$A500&amp;" ضد "&amp;AE$496)+COUNTIF($E$4:$E$492,AE$496&amp;" ضد "&amp;$A500))</f>
        <v>0</v>
      </c>
      <c r="AF500" s="4">
        <f>IF($A500=AF$496,"",COUNTIF($E$4:$E$492,$A500&amp;" ضد "&amp;AF$496)+COUNTIF($E$4:$E$492,AF$496&amp;" ضد "&amp;$A500))</f>
        <v>0</v>
      </c>
      <c r="AG500" s="4">
        <f>IF($A500=AG$496,"",COUNTIF($E$4:$E$492,$A500&amp;" ضد "&amp;AG$496)+COUNTIF($E$4:$E$492,AG$496&amp;" ضد "&amp;$A500))</f>
        <v>0</v>
      </c>
      <c r="AH500" s="4">
        <f>IF($A500=AH$496,"",COUNTIF($E$4:$E$492,$A500&amp;" ضد "&amp;AH$496)+COUNTIF($E$4:$E$492,AH$496&amp;" ضد "&amp;$A500))</f>
        <v>0</v>
      </c>
      <c r="AI500" s="4">
        <f>IF($A500=AI$496,"",COUNTIF($E$4:$E$492,$A500&amp;" ضد "&amp;AI$496)+COUNTIF($E$4:$E$492,AI$496&amp;" ضد "&amp;$A500))</f>
        <v>0</v>
      </c>
      <c r="AJ500" s="4">
        <f>IF($A500=AJ$496,"",COUNTIF($E$4:$E$492,$A500&amp;" ضد "&amp;AJ$496)+COUNTIF($E$4:$E$492,AJ$496&amp;" ضد "&amp;$A500))</f>
        <v>0</v>
      </c>
      <c r="AK500" s="4">
        <f>IF($A500=AK$496,"",COUNTIF($E$4:$E$492,$A500&amp;" ضد "&amp;AK$496)+COUNTIF($E$4:$E$492,AK$496&amp;" ضد "&amp;$A500))</f>
        <v>0</v>
      </c>
      <c r="AL500" s="4">
        <f>IF($A500=AL$496,"",COUNTIF($E$4:$E$492,$A500&amp;" ضد "&amp;AL$496)+COUNTIF($E$4:$E$492,AL$496&amp;" ضد "&amp;$A500))</f>
        <v>0</v>
      </c>
      <c r="AM500" s="4">
        <f>IF($A500=AM$496,"",COUNTIF($E$4:$E$492,$A500&amp;" ضد "&amp;AM$496)+COUNTIF($E$4:$E$492,AM$496&amp;" ضد "&amp;$A500))</f>
        <v>0</v>
      </c>
      <c r="AN500" s="4">
        <f>IF($A500=AN$496,"",COUNTIF($E$4:$E$492,$A500&amp;" ضد "&amp;AN$496)+COUNTIF($E$4:$E$492,AN$496&amp;" ضد "&amp;$A500))</f>
        <v>0</v>
      </c>
      <c r="AO500" s="4">
        <f>IF($A500=AO$496,"",COUNTIF($E$4:$E$492,$A500&amp;" ضد "&amp;AO$496)+COUNTIF($E$4:$E$492,AO$496&amp;" ضد "&amp;$A500))</f>
        <v>0</v>
      </c>
      <c r="AP500" s="4">
        <f>IF($A500=AP$496,"",COUNTIF($E$4:$E$492,$A500&amp;" ضد "&amp;AP$496)+COUNTIF($E$4:$E$492,AP$496&amp;" ضد "&amp;$A500))</f>
        <v>0</v>
      </c>
      <c r="AQ500" s="4">
        <f>IF($A500=AQ$496,"",COUNTIF($E$4:$E$492,$A500&amp;" ضد "&amp;AQ$496)+COUNTIF($E$4:$E$492,AQ$496&amp;" ضد "&amp;$A500))</f>
        <v>0</v>
      </c>
      <c r="AR500" s="4">
        <f>IF($A500=AR$496,"",COUNTIF($E$4:$E$492,$A500&amp;" ضد "&amp;AR$496)+COUNTIF($E$4:$E$492,AR$496&amp;" ضد "&amp;$A500))</f>
        <v>0</v>
      </c>
      <c r="AS500" s="4">
        <f>IF($A500=AS$496,"",COUNTIF($E$4:$E$492,$A500&amp;" ضد "&amp;AS$496)+COUNTIF($E$4:$E$492,AS$496&amp;" ضد "&amp;$A500))</f>
        <v>0</v>
      </c>
      <c r="AT500" s="4">
        <f>IF($A500=AT$496,"",COUNTIF($E$4:$E$492,$A500&amp;" ضد "&amp;AT$496)+COUNTIF($E$4:$E$492,AT$496&amp;" ضد "&amp;$A500))</f>
        <v>0</v>
      </c>
      <c r="AU500" s="4">
        <f>IF($A500=AU$496,"",COUNTIF($E$4:$E$492,$A500&amp;" ضد "&amp;AU$496)+COUNTIF($E$4:$E$492,AU$496&amp;" ضد "&amp;$A500))</f>
        <v>0</v>
      </c>
      <c r="AV500" s="4">
        <f>IF($A500=AV$496,"",COUNTIF($E$4:$E$492,$A500&amp;" ضد "&amp;AV$496)+COUNTIF($E$4:$E$492,AV$496&amp;" ضد "&amp;$A500))</f>
        <v>0</v>
      </c>
      <c r="AW500" s="4">
        <f>IF($A500=AW$496,"",COUNTIF($E$4:$E$492,$A500&amp;" ضد "&amp;AW$496)+COUNTIF($E$4:$E$492,AW$496&amp;" ضد "&amp;$A500))</f>
        <v>0</v>
      </c>
      <c r="AX500" s="4">
        <f>IF($A500=AX$496,"",COUNTIF($E$4:$E$492,$A500&amp;" ضد "&amp;AX$496)+COUNTIF($E$4:$E$492,AX$496&amp;" ضد "&amp;$A500))</f>
        <v>0</v>
      </c>
      <c r="AY500" s="4">
        <f>IF($A500=AY$496,"",COUNTIF($E$4:$E$492,$A500&amp;" ضد "&amp;AY$496)+COUNTIF($E$4:$E$492,AY$496&amp;" ضد "&amp;$A500))</f>
        <v>0</v>
      </c>
      <c r="AZ500" s="4">
        <f>IF($A500=AZ$496,"",COUNTIF($E$4:$E$492,$A500&amp;" ضد "&amp;AZ$496)+COUNTIF($E$4:$E$492,AZ$496&amp;" ضد "&amp;$A500))</f>
        <v>0</v>
      </c>
      <c r="BA500" s="4">
        <f>IF($A500=BA$496,"",COUNTIF($E$4:$E$492,$A500&amp;" ضد "&amp;BA$496)+COUNTIF($E$4:$E$492,BA$496&amp;" ضد "&amp;$A500))</f>
        <v>0</v>
      </c>
      <c r="BB500" s="4">
        <f>IF($A500=BB$496,"",COUNTIF($E$4:$E$492,$A500&amp;" ضد "&amp;BB$496)+COUNTIF($E$4:$E$492,BB$496&amp;" ضد "&amp;$A500))</f>
        <v>0</v>
      </c>
      <c r="BC500" s="4">
        <f>IF($A500=BC$496,"",COUNTIF($E$4:$E$492,$A500&amp;" ضد "&amp;BC$496)+COUNTIF($E$4:$E$492,BC$496&amp;" ضد "&amp;$A500))</f>
        <v>0</v>
      </c>
    </row>
    <row r="501" spans="1:55" ht="14.5">
      <c r="A501" s="14">
        <v>5</v>
      </c>
      <c r="B501" s="4">
        <f>IF($A501=B$496,"",COUNTIF($E$4:$E$492,$A501&amp;" ضد "&amp;B$496)+COUNTIF($E$4:$E$492,B$496&amp;" ضد "&amp;$A501))</f>
        <v>1</v>
      </c>
      <c r="C501" s="4">
        <f>IF($A501=C$496,"",COUNTIF($E$4:$E$492,$A501&amp;" ضد "&amp;C$496)+COUNTIF($E$4:$E$492,C$496&amp;" ضد "&amp;$A501))</f>
        <v>2</v>
      </c>
      <c r="D501" s="4">
        <f>IF($A501=D$496,"",COUNTIF($E$4:$E$492,$A501&amp;" ضد "&amp;D$496)+COUNTIF($E$4:$E$492,D$496&amp;" ضد "&amp;$A501))</f>
        <v>1</v>
      </c>
      <c r="E501" s="4">
        <f>IF($A501=E$496,"",COUNTIF($E$4:$E$492,$A501&amp;" ضد "&amp;E$496)+COUNTIF($E$4:$E$492,E$496&amp;" ضد "&amp;$A501))</f>
        <v>2</v>
      </c>
      <c r="F501" s="4" t="str">
        <f>IF($A501=F$496,"",COUNTIF($E$4:$E$492,$A501&amp;" ضد "&amp;F$496)+COUNTIF($E$4:$E$492,F$496&amp;" ضد "&amp;$A501))</f>
        <v/>
      </c>
      <c r="G501" s="4">
        <f>IF($A501=G$496,"",COUNTIF($E$4:$E$492,$A501&amp;" ضد "&amp;G$496)+COUNTIF($E$4:$E$492,G$496&amp;" ضد "&amp;$A501))</f>
        <v>2</v>
      </c>
      <c r="H501" s="4">
        <f>IF($A501=H$496,"",COUNTIF($E$4:$E$492,$A501&amp;" ضد "&amp;H$496)+COUNTIF($E$4:$E$492,H$496&amp;" ضد "&amp;$A501))</f>
        <v>1</v>
      </c>
      <c r="I501" s="4">
        <f>IF($A501=I$496,"",COUNTIF($E$4:$E$492,$A501&amp;" ضد "&amp;I$496)+COUNTIF($E$4:$E$492,I$496&amp;" ضد "&amp;$A501))</f>
        <v>2</v>
      </c>
      <c r="J501" s="4">
        <f>IF($A501=J$496,"",COUNTIF($E$4:$E$492,$A501&amp;" ضد "&amp;J$496)+COUNTIF($E$4:$E$492,J$496&amp;" ضد "&amp;$A501))</f>
        <v>1</v>
      </c>
      <c r="K501" s="4">
        <f>IF($A501=K$496,"",COUNTIF($E$4:$E$492,$A501&amp;" ضد "&amp;K$496)+COUNTIF($E$4:$E$492,K$496&amp;" ضد "&amp;$A501))</f>
        <v>2</v>
      </c>
      <c r="L501" s="4">
        <f>IF($A501=L$496,"",COUNTIF($E$4:$E$492,$A501&amp;" ضد "&amp;L$496)+COUNTIF($E$4:$E$492,L$496&amp;" ضد "&amp;$A501))</f>
        <v>1</v>
      </c>
      <c r="M501" s="4">
        <f>IF($A501=M$496,"",COUNTIF($E$4:$E$492,$A501&amp;" ضد "&amp;M$496)+COUNTIF($E$4:$E$492,M$496&amp;" ضد "&amp;$A501))</f>
        <v>1</v>
      </c>
      <c r="N501" s="4">
        <f>IF($A501=N$496,"",COUNTIF($E$4:$E$492,$A501&amp;" ضد "&amp;N$496)+COUNTIF($E$4:$E$492,N$496&amp;" ضد "&amp;$A501))</f>
        <v>1</v>
      </c>
      <c r="O501" s="4">
        <f>IF($A501=O$496,"",COUNTIF($E$4:$E$492,$A501&amp;" ضد "&amp;O$496)+COUNTIF($E$4:$E$492,O$496&amp;" ضد "&amp;$A501))</f>
        <v>1</v>
      </c>
      <c r="P501" s="4">
        <f>IF($A501=P$496,"",COUNTIF($E$4:$E$492,$A501&amp;" ضد "&amp;P$496)+COUNTIF($E$4:$E$492,P$496&amp;" ضد "&amp;$A501))</f>
        <v>0</v>
      </c>
      <c r="Q501" s="4">
        <f>IF($A501=Q$496,"",COUNTIF($E$4:$E$492,$A501&amp;" ضد "&amp;Q$496)+COUNTIF($E$4:$E$492,Q$496&amp;" ضد "&amp;$A501))</f>
        <v>0</v>
      </c>
      <c r="R501" s="4">
        <f>IF($A501=R$496,"",COUNTIF($E$4:$E$492,$A501&amp;" ضد "&amp;R$496)+COUNTIF($E$4:$E$492,R$496&amp;" ضد "&amp;$A501))</f>
        <v>0</v>
      </c>
      <c r="S501" s="4">
        <f>IF($A501=S$496,"",COUNTIF($E$4:$E$492,$A501&amp;" ضد "&amp;S$496)+COUNTIF($E$4:$E$492,S$496&amp;" ضد "&amp;$A501))</f>
        <v>0</v>
      </c>
      <c r="T501" s="4">
        <f>IF($A501=T$496,"",COUNTIF($E$4:$E$492,$A501&amp;" ضد "&amp;T$496)+COUNTIF($E$4:$E$492,T$496&amp;" ضد "&amp;$A501))</f>
        <v>0</v>
      </c>
      <c r="U501" s="4">
        <f>IF($A501=U$496,"",COUNTIF($E$4:$E$492,$A501&amp;" ضد "&amp;U$496)+COUNTIF($E$4:$E$492,U$496&amp;" ضد "&amp;$A501))</f>
        <v>0</v>
      </c>
      <c r="V501" s="4">
        <f>IF($A501=V$496,"",COUNTIF($E$4:$E$492,$A501&amp;" ضد "&amp;V$496)+COUNTIF($E$4:$E$492,V$496&amp;" ضد "&amp;$A501))</f>
        <v>0</v>
      </c>
      <c r="W501" s="4">
        <f>IF($A501=W$496,"",COUNTIF($E$4:$E$492,$A501&amp;" ضد "&amp;W$496)+COUNTIF($E$4:$E$492,W$496&amp;" ضد "&amp;$A501))</f>
        <v>0</v>
      </c>
      <c r="X501" s="4">
        <f>IF($A501=X$496,"",COUNTIF($E$4:$E$492,$A501&amp;" ضد "&amp;X$496)+COUNTIF($E$4:$E$492,X$496&amp;" ضد "&amp;$A501))</f>
        <v>0</v>
      </c>
      <c r="Y501" s="4">
        <f>IF($A501=Y$496,"",COUNTIF($E$4:$E$492,$A501&amp;" ضد "&amp;Y$496)+COUNTIF($E$4:$E$492,Y$496&amp;" ضد "&amp;$A501))</f>
        <v>0</v>
      </c>
      <c r="Z501" s="4">
        <f>IF($A501=Z$496,"",COUNTIF($E$4:$E$492,$A501&amp;" ضد "&amp;Z$496)+COUNTIF($E$4:$E$492,Z$496&amp;" ضد "&amp;$A501))</f>
        <v>0</v>
      </c>
      <c r="AA501" s="4">
        <f>IF($A501=AA$496,"",COUNTIF($E$4:$E$492,$A501&amp;" ضد "&amp;AA$496)+COUNTIF($E$4:$E$492,AA$496&amp;" ضد "&amp;$A501))</f>
        <v>0</v>
      </c>
      <c r="AB501" s="4">
        <f>IF($A501=AB$496,"",COUNTIF($E$4:$E$492,$A501&amp;" ضد "&amp;AB$496)+COUNTIF($E$4:$E$492,AB$496&amp;" ضد "&amp;$A501))</f>
        <v>0</v>
      </c>
      <c r="AC501" s="4">
        <f>IF($A501=AC$496,"",COUNTIF($E$4:$E$492,$A501&amp;" ضد "&amp;AC$496)+COUNTIF($E$4:$E$492,AC$496&amp;" ضد "&amp;$A501))</f>
        <v>0</v>
      </c>
      <c r="AD501" s="4">
        <f>IF($A501=AD$496,"",COUNTIF($E$4:$E$492,$A501&amp;" ضد "&amp;AD$496)+COUNTIF($E$4:$E$492,AD$496&amp;" ضد "&amp;$A501))</f>
        <v>0</v>
      </c>
      <c r="AE501" s="4">
        <f>IF($A501=AE$496,"",COUNTIF($E$4:$E$492,$A501&amp;" ضد "&amp;AE$496)+COUNTIF($E$4:$E$492,AE$496&amp;" ضد "&amp;$A501))</f>
        <v>0</v>
      </c>
      <c r="AF501" s="4">
        <f>IF($A501=AF$496,"",COUNTIF($E$4:$E$492,$A501&amp;" ضد "&amp;AF$496)+COUNTIF($E$4:$E$492,AF$496&amp;" ضد "&amp;$A501))</f>
        <v>0</v>
      </c>
      <c r="AG501" s="4">
        <f>IF($A501=AG$496,"",COUNTIF($E$4:$E$492,$A501&amp;" ضد "&amp;AG$496)+COUNTIF($E$4:$E$492,AG$496&amp;" ضد "&amp;$A501))</f>
        <v>0</v>
      </c>
      <c r="AH501" s="4">
        <f>IF($A501=AH$496,"",COUNTIF($E$4:$E$492,$A501&amp;" ضد "&amp;AH$496)+COUNTIF($E$4:$E$492,AH$496&amp;" ضد "&amp;$A501))</f>
        <v>0</v>
      </c>
      <c r="AI501" s="4">
        <f>IF($A501=AI$496,"",COUNTIF($E$4:$E$492,$A501&amp;" ضد "&amp;AI$496)+COUNTIF($E$4:$E$492,AI$496&amp;" ضد "&amp;$A501))</f>
        <v>0</v>
      </c>
      <c r="AJ501" s="4">
        <f>IF($A501=AJ$496,"",COUNTIF($E$4:$E$492,$A501&amp;" ضد "&amp;AJ$496)+COUNTIF($E$4:$E$492,AJ$496&amp;" ضد "&amp;$A501))</f>
        <v>0</v>
      </c>
      <c r="AK501" s="4">
        <f>IF($A501=AK$496,"",COUNTIF($E$4:$E$492,$A501&amp;" ضد "&amp;AK$496)+COUNTIF($E$4:$E$492,AK$496&amp;" ضد "&amp;$A501))</f>
        <v>0</v>
      </c>
      <c r="AL501" s="4">
        <f>IF($A501=AL$496,"",COUNTIF($E$4:$E$492,$A501&amp;" ضد "&amp;AL$496)+COUNTIF($E$4:$E$492,AL$496&amp;" ضد "&amp;$A501))</f>
        <v>0</v>
      </c>
      <c r="AM501" s="4">
        <f>IF($A501=AM$496,"",COUNTIF($E$4:$E$492,$A501&amp;" ضد "&amp;AM$496)+COUNTIF($E$4:$E$492,AM$496&amp;" ضد "&amp;$A501))</f>
        <v>0</v>
      </c>
      <c r="AN501" s="4">
        <f>IF($A501=AN$496,"",COUNTIF($E$4:$E$492,$A501&amp;" ضد "&amp;AN$496)+COUNTIF($E$4:$E$492,AN$496&amp;" ضد "&amp;$A501))</f>
        <v>0</v>
      </c>
      <c r="AO501" s="4">
        <f>IF($A501=AO$496,"",COUNTIF($E$4:$E$492,$A501&amp;" ضد "&amp;AO$496)+COUNTIF($E$4:$E$492,AO$496&amp;" ضد "&amp;$A501))</f>
        <v>0</v>
      </c>
      <c r="AP501" s="4">
        <f>IF($A501=AP$496,"",COUNTIF($E$4:$E$492,$A501&amp;" ضد "&amp;AP$496)+COUNTIF($E$4:$E$492,AP$496&amp;" ضد "&amp;$A501))</f>
        <v>0</v>
      </c>
      <c r="AQ501" s="4">
        <f>IF($A501=AQ$496,"",COUNTIF($E$4:$E$492,$A501&amp;" ضد "&amp;AQ$496)+COUNTIF($E$4:$E$492,AQ$496&amp;" ضد "&amp;$A501))</f>
        <v>0</v>
      </c>
      <c r="AR501" s="4">
        <f>IF($A501=AR$496,"",COUNTIF($E$4:$E$492,$A501&amp;" ضد "&amp;AR$496)+COUNTIF($E$4:$E$492,AR$496&amp;" ضد "&amp;$A501))</f>
        <v>0</v>
      </c>
      <c r="AS501" s="4">
        <f>IF($A501=AS$496,"",COUNTIF($E$4:$E$492,$A501&amp;" ضد "&amp;AS$496)+COUNTIF($E$4:$E$492,AS$496&amp;" ضد "&amp;$A501))</f>
        <v>0</v>
      </c>
      <c r="AT501" s="4">
        <f>IF($A501=AT$496,"",COUNTIF($E$4:$E$492,$A501&amp;" ضد "&amp;AT$496)+COUNTIF($E$4:$E$492,AT$496&amp;" ضد "&amp;$A501))</f>
        <v>0</v>
      </c>
      <c r="AU501" s="4">
        <f>IF($A501=AU$496,"",COUNTIF($E$4:$E$492,$A501&amp;" ضد "&amp;AU$496)+COUNTIF($E$4:$E$492,AU$496&amp;" ضد "&amp;$A501))</f>
        <v>0</v>
      </c>
      <c r="AV501" s="4">
        <f>IF($A501=AV$496,"",COUNTIF($E$4:$E$492,$A501&amp;" ضد "&amp;AV$496)+COUNTIF($E$4:$E$492,AV$496&amp;" ضد "&amp;$A501))</f>
        <v>0</v>
      </c>
      <c r="AW501" s="4">
        <f>IF($A501=AW$496,"",COUNTIF($E$4:$E$492,$A501&amp;" ضد "&amp;AW$496)+COUNTIF($E$4:$E$492,AW$496&amp;" ضد "&amp;$A501))</f>
        <v>0</v>
      </c>
      <c r="AX501" s="4">
        <f>IF($A501=AX$496,"",COUNTIF($E$4:$E$492,$A501&amp;" ضد "&amp;AX$496)+COUNTIF($E$4:$E$492,AX$496&amp;" ضد "&amp;$A501))</f>
        <v>0</v>
      </c>
      <c r="AY501" s="4">
        <f>IF($A501=AY$496,"",COUNTIF($E$4:$E$492,$A501&amp;" ضد "&amp;AY$496)+COUNTIF($E$4:$E$492,AY$496&amp;" ضد "&amp;$A501))</f>
        <v>0</v>
      </c>
      <c r="AZ501" s="4">
        <f>IF($A501=AZ$496,"",COUNTIF($E$4:$E$492,$A501&amp;" ضد "&amp;AZ$496)+COUNTIF($E$4:$E$492,AZ$496&amp;" ضد "&amp;$A501))</f>
        <v>0</v>
      </c>
      <c r="BA501" s="4">
        <f>IF($A501=BA$496,"",COUNTIF($E$4:$E$492,$A501&amp;" ضد "&amp;BA$496)+COUNTIF($E$4:$E$492,BA$496&amp;" ضد "&amp;$A501))</f>
        <v>0</v>
      </c>
      <c r="BB501" s="4">
        <f>IF($A501=BB$496,"",COUNTIF($E$4:$E$492,$A501&amp;" ضد "&amp;BB$496)+COUNTIF($E$4:$E$492,BB$496&amp;" ضد "&amp;$A501))</f>
        <v>0</v>
      </c>
      <c r="BC501" s="4">
        <f>IF($A501=BC$496,"",COUNTIF($E$4:$E$492,$A501&amp;" ضد "&amp;BC$496)+COUNTIF($E$4:$E$492,BC$496&amp;" ضد "&amp;$A501))</f>
        <v>0</v>
      </c>
    </row>
    <row r="502" spans="1:55" ht="14.5">
      <c r="A502" s="14">
        <v>6</v>
      </c>
      <c r="B502" s="4">
        <f>IF($A502=B$496,"",COUNTIF($E$4:$E$492,$A502&amp;" ضد "&amp;B$496)+COUNTIF($E$4:$E$492,B$496&amp;" ضد "&amp;$A502))</f>
        <v>1</v>
      </c>
      <c r="C502" s="4">
        <f>IF($A502=C$496,"",COUNTIF($E$4:$E$492,$A502&amp;" ضد "&amp;C$496)+COUNTIF($E$4:$E$492,C$496&amp;" ضد "&amp;$A502))</f>
        <v>1</v>
      </c>
      <c r="D502" s="4">
        <f>IF($A502=D$496,"",COUNTIF($E$4:$E$492,$A502&amp;" ضد "&amp;D$496)+COUNTIF($E$4:$E$492,D$496&amp;" ضد "&amp;$A502))</f>
        <v>2</v>
      </c>
      <c r="E502" s="4">
        <f>IF($A502=E$496,"",COUNTIF($E$4:$E$492,$A502&amp;" ضد "&amp;E$496)+COUNTIF($E$4:$E$492,E$496&amp;" ضد "&amp;$A502))</f>
        <v>1</v>
      </c>
      <c r="F502" s="4">
        <f>IF($A502=F$496,"",COUNTIF($E$4:$E$492,$A502&amp;" ضد "&amp;F$496)+COUNTIF($E$4:$E$492,F$496&amp;" ضد "&amp;$A502))</f>
        <v>2</v>
      </c>
      <c r="G502" s="4" t="str">
        <f>IF($A502=G$496,"",COUNTIF($E$4:$E$492,$A502&amp;" ضد "&amp;G$496)+COUNTIF($E$4:$E$492,G$496&amp;" ضد "&amp;$A502))</f>
        <v/>
      </c>
      <c r="H502" s="4">
        <f>IF($A502=H$496,"",COUNTIF($E$4:$E$492,$A502&amp;" ضد "&amp;H$496)+COUNTIF($E$4:$E$492,H$496&amp;" ضد "&amp;$A502))</f>
        <v>2</v>
      </c>
      <c r="I502" s="4">
        <f>IF($A502=I$496,"",COUNTIF($E$4:$E$492,$A502&amp;" ضد "&amp;I$496)+COUNTIF($E$4:$E$492,I$496&amp;" ضد "&amp;$A502))</f>
        <v>1</v>
      </c>
      <c r="J502" s="4">
        <f>IF($A502=J$496,"",COUNTIF($E$4:$E$492,$A502&amp;" ضد "&amp;J$496)+COUNTIF($E$4:$E$492,J$496&amp;" ضد "&amp;$A502))</f>
        <v>2</v>
      </c>
      <c r="K502" s="4">
        <f>IF($A502=K$496,"",COUNTIF($E$4:$E$492,$A502&amp;" ضد "&amp;K$496)+COUNTIF($E$4:$E$492,K$496&amp;" ضد "&amp;$A502))</f>
        <v>1</v>
      </c>
      <c r="L502" s="4">
        <f>IF($A502=L$496,"",COUNTIF($E$4:$E$492,$A502&amp;" ضد "&amp;L$496)+COUNTIF($E$4:$E$492,L$496&amp;" ضد "&amp;$A502))</f>
        <v>1</v>
      </c>
      <c r="M502" s="4">
        <f>IF($A502=M$496,"",COUNTIF($E$4:$E$492,$A502&amp;" ضد "&amp;M$496)+COUNTIF($E$4:$E$492,M$496&amp;" ضد "&amp;$A502))</f>
        <v>1</v>
      </c>
      <c r="N502" s="4">
        <f>IF($A502=N$496,"",COUNTIF($E$4:$E$492,$A502&amp;" ضد "&amp;N$496)+COUNTIF($E$4:$E$492,N$496&amp;" ضد "&amp;$A502))</f>
        <v>1</v>
      </c>
      <c r="O502" s="4">
        <f>IF($A502=O$496,"",COUNTIF($E$4:$E$492,$A502&amp;" ضد "&amp;O$496)+COUNTIF($E$4:$E$492,O$496&amp;" ضد "&amp;$A502))</f>
        <v>2</v>
      </c>
      <c r="P502" s="4">
        <f>IF($A502=P$496,"",COUNTIF($E$4:$E$492,$A502&amp;" ضد "&amp;P$496)+COUNTIF($E$4:$E$492,P$496&amp;" ضد "&amp;$A502))</f>
        <v>0</v>
      </c>
      <c r="Q502" s="4">
        <f>IF($A502=Q$496,"",COUNTIF($E$4:$E$492,$A502&amp;" ضد "&amp;Q$496)+COUNTIF($E$4:$E$492,Q$496&amp;" ضد "&amp;$A502))</f>
        <v>0</v>
      </c>
      <c r="R502" s="4">
        <f>IF($A502=R$496,"",COUNTIF($E$4:$E$492,$A502&amp;" ضد "&amp;R$496)+COUNTIF($E$4:$E$492,R$496&amp;" ضد "&amp;$A502))</f>
        <v>0</v>
      </c>
      <c r="S502" s="4">
        <f>IF($A502=S$496,"",COUNTIF($E$4:$E$492,$A502&amp;" ضد "&amp;S$496)+COUNTIF($E$4:$E$492,S$496&amp;" ضد "&amp;$A502))</f>
        <v>0</v>
      </c>
      <c r="T502" s="4">
        <f>IF($A502=T$496,"",COUNTIF($E$4:$E$492,$A502&amp;" ضد "&amp;T$496)+COUNTIF($E$4:$E$492,T$496&amp;" ضد "&amp;$A502))</f>
        <v>0</v>
      </c>
      <c r="U502" s="4">
        <f>IF($A502=U$496,"",COUNTIF($E$4:$E$492,$A502&amp;" ضد "&amp;U$496)+COUNTIF($E$4:$E$492,U$496&amp;" ضد "&amp;$A502))</f>
        <v>0</v>
      </c>
      <c r="V502" s="4">
        <f>IF($A502=V$496,"",COUNTIF($E$4:$E$492,$A502&amp;" ضد "&amp;V$496)+COUNTIF($E$4:$E$492,V$496&amp;" ضد "&amp;$A502))</f>
        <v>0</v>
      </c>
      <c r="W502" s="4">
        <f>IF($A502=W$496,"",COUNTIF($E$4:$E$492,$A502&amp;" ضد "&amp;W$496)+COUNTIF($E$4:$E$492,W$496&amp;" ضد "&amp;$A502))</f>
        <v>0</v>
      </c>
      <c r="X502" s="4">
        <f>IF($A502=X$496,"",COUNTIF($E$4:$E$492,$A502&amp;" ضد "&amp;X$496)+COUNTIF($E$4:$E$492,X$496&amp;" ضد "&amp;$A502))</f>
        <v>0</v>
      </c>
      <c r="Y502" s="4">
        <f>IF($A502=Y$496,"",COUNTIF($E$4:$E$492,$A502&amp;" ضد "&amp;Y$496)+COUNTIF($E$4:$E$492,Y$496&amp;" ضد "&amp;$A502))</f>
        <v>0</v>
      </c>
      <c r="Z502" s="4">
        <f>IF($A502=Z$496,"",COUNTIF($E$4:$E$492,$A502&amp;" ضد "&amp;Z$496)+COUNTIF($E$4:$E$492,Z$496&amp;" ضد "&amp;$A502))</f>
        <v>0</v>
      </c>
      <c r="AA502" s="4">
        <f>IF($A502=AA$496,"",COUNTIF($E$4:$E$492,$A502&amp;" ضد "&amp;AA$496)+COUNTIF($E$4:$E$492,AA$496&amp;" ضد "&amp;$A502))</f>
        <v>0</v>
      </c>
      <c r="AB502" s="4">
        <f>IF($A502=AB$496,"",COUNTIF($E$4:$E$492,$A502&amp;" ضد "&amp;AB$496)+COUNTIF($E$4:$E$492,AB$496&amp;" ضد "&amp;$A502))</f>
        <v>0</v>
      </c>
      <c r="AC502" s="4">
        <f>IF($A502=AC$496,"",COUNTIF($E$4:$E$492,$A502&amp;" ضد "&amp;AC$496)+COUNTIF($E$4:$E$492,AC$496&amp;" ضد "&amp;$A502))</f>
        <v>0</v>
      </c>
      <c r="AD502" s="4">
        <f>IF($A502=AD$496,"",COUNTIF($E$4:$E$492,$A502&amp;" ضد "&amp;AD$496)+COUNTIF($E$4:$E$492,AD$496&amp;" ضد "&amp;$A502))</f>
        <v>0</v>
      </c>
      <c r="AE502" s="4">
        <f>IF($A502=AE$496,"",COUNTIF($E$4:$E$492,$A502&amp;" ضد "&amp;AE$496)+COUNTIF($E$4:$E$492,AE$496&amp;" ضد "&amp;$A502))</f>
        <v>0</v>
      </c>
      <c r="AF502" s="4">
        <f>IF($A502=AF$496,"",COUNTIF($E$4:$E$492,$A502&amp;" ضد "&amp;AF$496)+COUNTIF($E$4:$E$492,AF$496&amp;" ضد "&amp;$A502))</f>
        <v>0</v>
      </c>
      <c r="AG502" s="4">
        <f>IF($A502=AG$496,"",COUNTIF($E$4:$E$492,$A502&amp;" ضد "&amp;AG$496)+COUNTIF($E$4:$E$492,AG$496&amp;" ضد "&amp;$A502))</f>
        <v>0</v>
      </c>
      <c r="AH502" s="4">
        <f>IF($A502=AH$496,"",COUNTIF($E$4:$E$492,$A502&amp;" ضد "&amp;AH$496)+COUNTIF($E$4:$E$492,AH$496&amp;" ضد "&amp;$A502))</f>
        <v>0</v>
      </c>
      <c r="AI502" s="4">
        <f>IF($A502=AI$496,"",COUNTIF($E$4:$E$492,$A502&amp;" ضد "&amp;AI$496)+COUNTIF($E$4:$E$492,AI$496&amp;" ضد "&amp;$A502))</f>
        <v>0</v>
      </c>
      <c r="AJ502" s="4">
        <f>IF($A502=AJ$496,"",COUNTIF($E$4:$E$492,$A502&amp;" ضد "&amp;AJ$496)+COUNTIF($E$4:$E$492,AJ$496&amp;" ضد "&amp;$A502))</f>
        <v>0</v>
      </c>
      <c r="AK502" s="4">
        <f>IF($A502=AK$496,"",COUNTIF($E$4:$E$492,$A502&amp;" ضد "&amp;AK$496)+COUNTIF($E$4:$E$492,AK$496&amp;" ضد "&amp;$A502))</f>
        <v>0</v>
      </c>
      <c r="AL502" s="4">
        <f>IF($A502=AL$496,"",COUNTIF($E$4:$E$492,$A502&amp;" ضد "&amp;AL$496)+COUNTIF($E$4:$E$492,AL$496&amp;" ضد "&amp;$A502))</f>
        <v>0</v>
      </c>
      <c r="AM502" s="4">
        <f>IF($A502=AM$496,"",COUNTIF($E$4:$E$492,$A502&amp;" ضد "&amp;AM$496)+COUNTIF($E$4:$E$492,AM$496&amp;" ضد "&amp;$A502))</f>
        <v>0</v>
      </c>
      <c r="AN502" s="4">
        <f>IF($A502=AN$496,"",COUNTIF($E$4:$E$492,$A502&amp;" ضد "&amp;AN$496)+COUNTIF($E$4:$E$492,AN$496&amp;" ضد "&amp;$A502))</f>
        <v>0</v>
      </c>
      <c r="AO502" s="4">
        <f>IF($A502=AO$496,"",COUNTIF($E$4:$E$492,$A502&amp;" ضد "&amp;AO$496)+COUNTIF($E$4:$E$492,AO$496&amp;" ضد "&amp;$A502))</f>
        <v>0</v>
      </c>
      <c r="AP502" s="4">
        <f>IF($A502=AP$496,"",COUNTIF($E$4:$E$492,$A502&amp;" ضد "&amp;AP$496)+COUNTIF($E$4:$E$492,AP$496&amp;" ضد "&amp;$A502))</f>
        <v>0</v>
      </c>
      <c r="AQ502" s="4">
        <f>IF($A502=AQ$496,"",COUNTIF($E$4:$E$492,$A502&amp;" ضد "&amp;AQ$496)+COUNTIF($E$4:$E$492,AQ$496&amp;" ضد "&amp;$A502))</f>
        <v>0</v>
      </c>
      <c r="AR502" s="4">
        <f>IF($A502=AR$496,"",COUNTIF($E$4:$E$492,$A502&amp;" ضد "&amp;AR$496)+COUNTIF($E$4:$E$492,AR$496&amp;" ضد "&amp;$A502))</f>
        <v>0</v>
      </c>
      <c r="AS502" s="4">
        <f>IF($A502=AS$496,"",COUNTIF($E$4:$E$492,$A502&amp;" ضد "&amp;AS$496)+COUNTIF($E$4:$E$492,AS$496&amp;" ضد "&amp;$A502))</f>
        <v>0</v>
      </c>
      <c r="AT502" s="4">
        <f>IF($A502=AT$496,"",COUNTIF($E$4:$E$492,$A502&amp;" ضد "&amp;AT$496)+COUNTIF($E$4:$E$492,AT$496&amp;" ضد "&amp;$A502))</f>
        <v>0</v>
      </c>
      <c r="AU502" s="4">
        <f>IF($A502=AU$496,"",COUNTIF($E$4:$E$492,$A502&amp;" ضد "&amp;AU$496)+COUNTIF($E$4:$E$492,AU$496&amp;" ضد "&amp;$A502))</f>
        <v>0</v>
      </c>
      <c r="AV502" s="4">
        <f>IF($A502=AV$496,"",COUNTIF($E$4:$E$492,$A502&amp;" ضد "&amp;AV$496)+COUNTIF($E$4:$E$492,AV$496&amp;" ضد "&amp;$A502))</f>
        <v>0</v>
      </c>
      <c r="AW502" s="4">
        <f>IF($A502=AW$496,"",COUNTIF($E$4:$E$492,$A502&amp;" ضد "&amp;AW$496)+COUNTIF($E$4:$E$492,AW$496&amp;" ضد "&amp;$A502))</f>
        <v>0</v>
      </c>
      <c r="AX502" s="4">
        <f>IF($A502=AX$496,"",COUNTIF($E$4:$E$492,$A502&amp;" ضد "&amp;AX$496)+COUNTIF($E$4:$E$492,AX$496&amp;" ضد "&amp;$A502))</f>
        <v>0</v>
      </c>
      <c r="AY502" s="4">
        <f>IF($A502=AY$496,"",COUNTIF($E$4:$E$492,$A502&amp;" ضد "&amp;AY$496)+COUNTIF($E$4:$E$492,AY$496&amp;" ضد "&amp;$A502))</f>
        <v>0</v>
      </c>
      <c r="AZ502" s="4">
        <f>IF($A502=AZ$496,"",COUNTIF($E$4:$E$492,$A502&amp;" ضد "&amp;AZ$496)+COUNTIF($E$4:$E$492,AZ$496&amp;" ضد "&amp;$A502))</f>
        <v>0</v>
      </c>
      <c r="BA502" s="4">
        <f>IF($A502=BA$496,"",COUNTIF($E$4:$E$492,$A502&amp;" ضد "&amp;BA$496)+COUNTIF($E$4:$E$492,BA$496&amp;" ضد "&amp;$A502))</f>
        <v>0</v>
      </c>
      <c r="BB502" s="4">
        <f>IF($A502=BB$496,"",COUNTIF($E$4:$E$492,$A502&amp;" ضد "&amp;BB$496)+COUNTIF($E$4:$E$492,BB$496&amp;" ضد "&amp;$A502))</f>
        <v>0</v>
      </c>
      <c r="BC502" s="4">
        <f>IF($A502=BC$496,"",COUNTIF($E$4:$E$492,$A502&amp;" ضد "&amp;BC$496)+COUNTIF($E$4:$E$492,BC$496&amp;" ضد "&amp;$A502))</f>
        <v>0</v>
      </c>
    </row>
    <row r="503" spans="1:55" ht="14.5">
      <c r="A503" s="14">
        <v>7</v>
      </c>
      <c r="B503" s="4">
        <f>IF($A503=B$496,"",COUNTIF($E$4:$E$492,$A503&amp;" ضد "&amp;B$496)+COUNTIF($E$4:$E$492,B$496&amp;" ضد "&amp;$A503))</f>
        <v>1</v>
      </c>
      <c r="C503" s="4">
        <f>IF($A503=C$496,"",COUNTIF($E$4:$E$492,$A503&amp;" ضد "&amp;C$496)+COUNTIF($E$4:$E$492,C$496&amp;" ضد "&amp;$A503))</f>
        <v>2</v>
      </c>
      <c r="D503" s="4">
        <f>IF($A503=D$496,"",COUNTIF($E$4:$E$492,$A503&amp;" ضد "&amp;D$496)+COUNTIF($E$4:$E$492,D$496&amp;" ضد "&amp;$A503))</f>
        <v>1</v>
      </c>
      <c r="E503" s="4">
        <f>IF($A503=E$496,"",COUNTIF($E$4:$E$492,$A503&amp;" ضد "&amp;E$496)+COUNTIF($E$4:$E$492,E$496&amp;" ضد "&amp;$A503))</f>
        <v>2</v>
      </c>
      <c r="F503" s="4">
        <f>IF($A503=F$496,"",COUNTIF($E$4:$E$492,$A503&amp;" ضد "&amp;F$496)+COUNTIF($E$4:$E$492,F$496&amp;" ضد "&amp;$A503))</f>
        <v>1</v>
      </c>
      <c r="G503" s="4">
        <f>IF($A503=G$496,"",COUNTIF($E$4:$E$492,$A503&amp;" ضد "&amp;G$496)+COUNTIF($E$4:$E$492,G$496&amp;" ضد "&amp;$A503))</f>
        <v>2</v>
      </c>
      <c r="H503" s="4" t="str">
        <f>IF($A503=H$496,"",COUNTIF($E$4:$E$492,$A503&amp;" ضد "&amp;H$496)+COUNTIF($E$4:$E$492,H$496&amp;" ضد "&amp;$A503))</f>
        <v/>
      </c>
      <c r="I503" s="4">
        <f>IF($A503=I$496,"",COUNTIF($E$4:$E$492,$A503&amp;" ضد "&amp;I$496)+COUNTIF($E$4:$E$492,I$496&amp;" ضد "&amp;$A503))</f>
        <v>2</v>
      </c>
      <c r="J503" s="4">
        <f>IF($A503=J$496,"",COUNTIF($E$4:$E$492,$A503&amp;" ضد "&amp;J$496)+COUNTIF($E$4:$E$492,J$496&amp;" ضد "&amp;$A503))</f>
        <v>1</v>
      </c>
      <c r="K503" s="4">
        <f>IF($A503=K$496,"",COUNTIF($E$4:$E$492,$A503&amp;" ضد "&amp;K$496)+COUNTIF($E$4:$E$492,K$496&amp;" ضد "&amp;$A503))</f>
        <v>1</v>
      </c>
      <c r="L503" s="4">
        <f>IF($A503=L$496,"",COUNTIF($E$4:$E$492,$A503&amp;" ضد "&amp;L$496)+COUNTIF($E$4:$E$492,L$496&amp;" ضد "&amp;$A503))</f>
        <v>1</v>
      </c>
      <c r="M503" s="4">
        <f>IF($A503=M$496,"",COUNTIF($E$4:$E$492,$A503&amp;" ضد "&amp;M$496)+COUNTIF($E$4:$E$492,M$496&amp;" ضد "&amp;$A503))</f>
        <v>1</v>
      </c>
      <c r="N503" s="4">
        <f>IF($A503=N$496,"",COUNTIF($E$4:$E$492,$A503&amp;" ضد "&amp;N$496)+COUNTIF($E$4:$E$492,N$496&amp;" ضد "&amp;$A503))</f>
        <v>2</v>
      </c>
      <c r="O503" s="4">
        <f>IF($A503=O$496,"",COUNTIF($E$4:$E$492,$A503&amp;" ضد "&amp;O$496)+COUNTIF($E$4:$E$492,O$496&amp;" ضد "&amp;$A503))</f>
        <v>1</v>
      </c>
      <c r="P503" s="4">
        <f>IF($A503=P$496,"",COUNTIF($E$4:$E$492,$A503&amp;" ضد "&amp;P$496)+COUNTIF($E$4:$E$492,P$496&amp;" ضد "&amp;$A503))</f>
        <v>0</v>
      </c>
      <c r="Q503" s="4">
        <f>IF($A503=Q$496,"",COUNTIF($E$4:$E$492,$A503&amp;" ضد "&amp;Q$496)+COUNTIF($E$4:$E$492,Q$496&amp;" ضد "&amp;$A503))</f>
        <v>0</v>
      </c>
      <c r="R503" s="4">
        <f>IF($A503=R$496,"",COUNTIF($E$4:$E$492,$A503&amp;" ضد "&amp;R$496)+COUNTIF($E$4:$E$492,R$496&amp;" ضد "&amp;$A503))</f>
        <v>0</v>
      </c>
      <c r="S503" s="4">
        <f>IF($A503=S$496,"",COUNTIF($E$4:$E$492,$A503&amp;" ضد "&amp;S$496)+COUNTIF($E$4:$E$492,S$496&amp;" ضد "&amp;$A503))</f>
        <v>0</v>
      </c>
      <c r="T503" s="4">
        <f>IF($A503=T$496,"",COUNTIF($E$4:$E$492,$A503&amp;" ضد "&amp;T$496)+COUNTIF($E$4:$E$492,T$496&amp;" ضد "&amp;$A503))</f>
        <v>0</v>
      </c>
      <c r="U503" s="4">
        <f>IF($A503=U$496,"",COUNTIF($E$4:$E$492,$A503&amp;" ضد "&amp;U$496)+COUNTIF($E$4:$E$492,U$496&amp;" ضد "&amp;$A503))</f>
        <v>0</v>
      </c>
      <c r="V503" s="4">
        <f>IF($A503=V$496,"",COUNTIF($E$4:$E$492,$A503&amp;" ضد "&amp;V$496)+COUNTIF($E$4:$E$492,V$496&amp;" ضد "&amp;$A503))</f>
        <v>0</v>
      </c>
      <c r="W503" s="4">
        <f>IF($A503=W$496,"",COUNTIF($E$4:$E$492,$A503&amp;" ضد "&amp;W$496)+COUNTIF($E$4:$E$492,W$496&amp;" ضد "&amp;$A503))</f>
        <v>0</v>
      </c>
      <c r="X503" s="4">
        <f>IF($A503=X$496,"",COUNTIF($E$4:$E$492,$A503&amp;" ضد "&amp;X$496)+COUNTIF($E$4:$E$492,X$496&amp;" ضد "&amp;$A503))</f>
        <v>0</v>
      </c>
      <c r="Y503" s="4">
        <f>IF($A503=Y$496,"",COUNTIF($E$4:$E$492,$A503&amp;" ضد "&amp;Y$496)+COUNTIF($E$4:$E$492,Y$496&amp;" ضد "&amp;$A503))</f>
        <v>0</v>
      </c>
      <c r="Z503" s="4">
        <f>IF($A503=Z$496,"",COUNTIF($E$4:$E$492,$A503&amp;" ضد "&amp;Z$496)+COUNTIF($E$4:$E$492,Z$496&amp;" ضد "&amp;$A503))</f>
        <v>0</v>
      </c>
      <c r="AA503" s="4">
        <f>IF($A503=AA$496,"",COUNTIF($E$4:$E$492,$A503&amp;" ضد "&amp;AA$496)+COUNTIF($E$4:$E$492,AA$496&amp;" ضد "&amp;$A503))</f>
        <v>0</v>
      </c>
      <c r="AB503" s="4">
        <f>IF($A503=AB$496,"",COUNTIF($E$4:$E$492,$A503&amp;" ضد "&amp;AB$496)+COUNTIF($E$4:$E$492,AB$496&amp;" ضد "&amp;$A503))</f>
        <v>0</v>
      </c>
      <c r="AC503" s="4">
        <f>IF($A503=AC$496,"",COUNTIF($E$4:$E$492,$A503&amp;" ضد "&amp;AC$496)+COUNTIF($E$4:$E$492,AC$496&amp;" ضد "&amp;$A503))</f>
        <v>0</v>
      </c>
      <c r="AD503" s="4">
        <f>IF($A503=AD$496,"",COUNTIF($E$4:$E$492,$A503&amp;" ضد "&amp;AD$496)+COUNTIF($E$4:$E$492,AD$496&amp;" ضد "&amp;$A503))</f>
        <v>0</v>
      </c>
      <c r="AE503" s="4">
        <f>IF($A503=AE$496,"",COUNTIF($E$4:$E$492,$A503&amp;" ضد "&amp;AE$496)+COUNTIF($E$4:$E$492,AE$496&amp;" ضد "&amp;$A503))</f>
        <v>0</v>
      </c>
      <c r="AF503" s="4">
        <f>IF($A503=AF$496,"",COUNTIF($E$4:$E$492,$A503&amp;" ضد "&amp;AF$496)+COUNTIF($E$4:$E$492,AF$496&amp;" ضد "&amp;$A503))</f>
        <v>0</v>
      </c>
      <c r="AG503" s="4">
        <f>IF($A503=AG$496,"",COUNTIF($E$4:$E$492,$A503&amp;" ضد "&amp;AG$496)+COUNTIF($E$4:$E$492,AG$496&amp;" ضد "&amp;$A503))</f>
        <v>0</v>
      </c>
      <c r="AH503" s="4">
        <f>IF($A503=AH$496,"",COUNTIF($E$4:$E$492,$A503&amp;" ضد "&amp;AH$496)+COUNTIF($E$4:$E$492,AH$496&amp;" ضد "&amp;$A503))</f>
        <v>0</v>
      </c>
      <c r="AI503" s="4">
        <f>IF($A503=AI$496,"",COUNTIF($E$4:$E$492,$A503&amp;" ضد "&amp;AI$496)+COUNTIF($E$4:$E$492,AI$496&amp;" ضد "&amp;$A503))</f>
        <v>0</v>
      </c>
      <c r="AJ503" s="4">
        <f>IF($A503=AJ$496,"",COUNTIF($E$4:$E$492,$A503&amp;" ضد "&amp;AJ$496)+COUNTIF($E$4:$E$492,AJ$496&amp;" ضد "&amp;$A503))</f>
        <v>0</v>
      </c>
      <c r="AK503" s="4">
        <f>IF($A503=AK$496,"",COUNTIF($E$4:$E$492,$A503&amp;" ضد "&amp;AK$496)+COUNTIF($E$4:$E$492,AK$496&amp;" ضد "&amp;$A503))</f>
        <v>0</v>
      </c>
      <c r="AL503" s="4">
        <f>IF($A503=AL$496,"",COUNTIF($E$4:$E$492,$A503&amp;" ضد "&amp;AL$496)+COUNTIF($E$4:$E$492,AL$496&amp;" ضد "&amp;$A503))</f>
        <v>0</v>
      </c>
      <c r="AM503" s="4">
        <f>IF($A503=AM$496,"",COUNTIF($E$4:$E$492,$A503&amp;" ضد "&amp;AM$496)+COUNTIF($E$4:$E$492,AM$496&amp;" ضد "&amp;$A503))</f>
        <v>0</v>
      </c>
      <c r="AN503" s="4">
        <f>IF($A503=AN$496,"",COUNTIF($E$4:$E$492,$A503&amp;" ضد "&amp;AN$496)+COUNTIF($E$4:$E$492,AN$496&amp;" ضد "&amp;$A503))</f>
        <v>0</v>
      </c>
      <c r="AO503" s="4">
        <f>IF($A503=AO$496,"",COUNTIF($E$4:$E$492,$A503&amp;" ضد "&amp;AO$496)+COUNTIF($E$4:$E$492,AO$496&amp;" ضد "&amp;$A503))</f>
        <v>0</v>
      </c>
      <c r="AP503" s="4">
        <f>IF($A503=AP$496,"",COUNTIF($E$4:$E$492,$A503&amp;" ضد "&amp;AP$496)+COUNTIF($E$4:$E$492,AP$496&amp;" ضد "&amp;$A503))</f>
        <v>0</v>
      </c>
      <c r="AQ503" s="4">
        <f>IF($A503=AQ$496,"",COUNTIF($E$4:$E$492,$A503&amp;" ضد "&amp;AQ$496)+COUNTIF($E$4:$E$492,AQ$496&amp;" ضد "&amp;$A503))</f>
        <v>0</v>
      </c>
      <c r="AR503" s="4">
        <f>IF($A503=AR$496,"",COUNTIF($E$4:$E$492,$A503&amp;" ضد "&amp;AR$496)+COUNTIF($E$4:$E$492,AR$496&amp;" ضد "&amp;$A503))</f>
        <v>0</v>
      </c>
      <c r="AS503" s="4">
        <f>IF($A503=AS$496,"",COUNTIF($E$4:$E$492,$A503&amp;" ضد "&amp;AS$496)+COUNTIF($E$4:$E$492,AS$496&amp;" ضد "&amp;$A503))</f>
        <v>0</v>
      </c>
      <c r="AT503" s="4">
        <f>IF($A503=AT$496,"",COUNTIF($E$4:$E$492,$A503&amp;" ضد "&amp;AT$496)+COUNTIF($E$4:$E$492,AT$496&amp;" ضد "&amp;$A503))</f>
        <v>0</v>
      </c>
      <c r="AU503" s="4">
        <f>IF($A503=AU$496,"",COUNTIF($E$4:$E$492,$A503&amp;" ضد "&amp;AU$496)+COUNTIF($E$4:$E$492,AU$496&amp;" ضد "&amp;$A503))</f>
        <v>0</v>
      </c>
      <c r="AV503" s="4">
        <f>IF($A503=AV$496,"",COUNTIF($E$4:$E$492,$A503&amp;" ضد "&amp;AV$496)+COUNTIF($E$4:$E$492,AV$496&amp;" ضد "&amp;$A503))</f>
        <v>0</v>
      </c>
      <c r="AW503" s="4">
        <f>IF($A503=AW$496,"",COUNTIF($E$4:$E$492,$A503&amp;" ضد "&amp;AW$496)+COUNTIF($E$4:$E$492,AW$496&amp;" ضد "&amp;$A503))</f>
        <v>0</v>
      </c>
      <c r="AX503" s="4">
        <f>IF($A503=AX$496,"",COUNTIF($E$4:$E$492,$A503&amp;" ضد "&amp;AX$496)+COUNTIF($E$4:$E$492,AX$496&amp;" ضد "&amp;$A503))</f>
        <v>0</v>
      </c>
      <c r="AY503" s="4">
        <f>IF($A503=AY$496,"",COUNTIF($E$4:$E$492,$A503&amp;" ضد "&amp;AY$496)+COUNTIF($E$4:$E$492,AY$496&amp;" ضد "&amp;$A503))</f>
        <v>0</v>
      </c>
      <c r="AZ503" s="4">
        <f>IF($A503=AZ$496,"",COUNTIF($E$4:$E$492,$A503&amp;" ضد "&amp;AZ$496)+COUNTIF($E$4:$E$492,AZ$496&amp;" ضد "&amp;$A503))</f>
        <v>0</v>
      </c>
      <c r="BA503" s="4">
        <f>IF($A503=BA$496,"",COUNTIF($E$4:$E$492,$A503&amp;" ضد "&amp;BA$496)+COUNTIF($E$4:$E$492,BA$496&amp;" ضد "&amp;$A503))</f>
        <v>0</v>
      </c>
      <c r="BB503" s="4">
        <f>IF($A503=BB$496,"",COUNTIF($E$4:$E$492,$A503&amp;" ضد "&amp;BB$496)+COUNTIF($E$4:$E$492,BB$496&amp;" ضد "&amp;$A503))</f>
        <v>0</v>
      </c>
      <c r="BC503" s="4">
        <f>IF($A503=BC$496,"",COUNTIF($E$4:$E$492,$A503&amp;" ضد "&amp;BC$496)+COUNTIF($E$4:$E$492,BC$496&amp;" ضد "&amp;$A503))</f>
        <v>0</v>
      </c>
    </row>
    <row r="504" spans="1:55" ht="14.5">
      <c r="A504" s="14">
        <v>8</v>
      </c>
      <c r="B504" s="4">
        <f>IF($A504=B$496,"",COUNTIF($E$4:$E$492,$A504&amp;" ضد "&amp;B$496)+COUNTIF($E$4:$E$492,B$496&amp;" ضد "&amp;$A504))</f>
        <v>1</v>
      </c>
      <c r="C504" s="4">
        <f>IF($A504=C$496,"",COUNTIF($E$4:$E$492,$A504&amp;" ضد "&amp;C$496)+COUNTIF($E$4:$E$492,C$496&amp;" ضد "&amp;$A504))</f>
        <v>1</v>
      </c>
      <c r="D504" s="4">
        <f>IF($A504=D$496,"",COUNTIF($E$4:$E$492,$A504&amp;" ضد "&amp;D$496)+COUNTIF($E$4:$E$492,D$496&amp;" ضد "&amp;$A504))</f>
        <v>2</v>
      </c>
      <c r="E504" s="4">
        <f>IF($A504=E$496,"",COUNTIF($E$4:$E$492,$A504&amp;" ضد "&amp;E$496)+COUNTIF($E$4:$E$492,E$496&amp;" ضد "&amp;$A504))</f>
        <v>1</v>
      </c>
      <c r="F504" s="4">
        <f>IF($A504=F$496,"",COUNTIF($E$4:$E$492,$A504&amp;" ضد "&amp;F$496)+COUNTIF($E$4:$E$492,F$496&amp;" ضد "&amp;$A504))</f>
        <v>2</v>
      </c>
      <c r="G504" s="4">
        <f>IF($A504=G$496,"",COUNTIF($E$4:$E$492,$A504&amp;" ضد "&amp;G$496)+COUNTIF($E$4:$E$492,G$496&amp;" ضد "&amp;$A504))</f>
        <v>1</v>
      </c>
      <c r="H504" s="4">
        <f>IF($A504=H$496,"",COUNTIF($E$4:$E$492,$A504&amp;" ضد "&amp;H$496)+COUNTIF($E$4:$E$492,H$496&amp;" ضد "&amp;$A504))</f>
        <v>2</v>
      </c>
      <c r="I504" s="4" t="str">
        <f>IF($A504=I$496,"",COUNTIF($E$4:$E$492,$A504&amp;" ضد "&amp;I$496)+COUNTIF($E$4:$E$492,I$496&amp;" ضد "&amp;$A504))</f>
        <v/>
      </c>
      <c r="J504" s="4">
        <f>IF($A504=J$496,"",COUNTIF($E$4:$E$492,$A504&amp;" ضد "&amp;J$496)+COUNTIF($E$4:$E$492,J$496&amp;" ضد "&amp;$A504))</f>
        <v>1</v>
      </c>
      <c r="K504" s="4">
        <f>IF($A504=K$496,"",COUNTIF($E$4:$E$492,$A504&amp;" ضد "&amp;K$496)+COUNTIF($E$4:$E$492,K$496&amp;" ضد "&amp;$A504))</f>
        <v>1</v>
      </c>
      <c r="L504" s="4">
        <f>IF($A504=L$496,"",COUNTIF($E$4:$E$492,$A504&amp;" ضد "&amp;L$496)+COUNTIF($E$4:$E$492,L$496&amp;" ضد "&amp;$A504))</f>
        <v>1</v>
      </c>
      <c r="M504" s="4">
        <f>IF($A504=M$496,"",COUNTIF($E$4:$E$492,$A504&amp;" ضد "&amp;M$496)+COUNTIF($E$4:$E$492,M$496&amp;" ضد "&amp;$A504))</f>
        <v>2</v>
      </c>
      <c r="N504" s="4">
        <f>IF($A504=N$496,"",COUNTIF($E$4:$E$492,$A504&amp;" ضد "&amp;N$496)+COUNTIF($E$4:$E$492,N$496&amp;" ضد "&amp;$A504))</f>
        <v>1</v>
      </c>
      <c r="O504" s="4">
        <f>IF($A504=O$496,"",COUNTIF($E$4:$E$492,$A504&amp;" ضد "&amp;O$496)+COUNTIF($E$4:$E$492,O$496&amp;" ضد "&amp;$A504))</f>
        <v>2</v>
      </c>
      <c r="P504" s="4">
        <f>IF($A504=P$496,"",COUNTIF($E$4:$E$492,$A504&amp;" ضد "&amp;P$496)+COUNTIF($E$4:$E$492,P$496&amp;" ضد "&amp;$A504))</f>
        <v>0</v>
      </c>
      <c r="Q504" s="4">
        <f>IF($A504=Q$496,"",COUNTIF($E$4:$E$492,$A504&amp;" ضد "&amp;Q$496)+COUNTIF($E$4:$E$492,Q$496&amp;" ضد "&amp;$A504))</f>
        <v>0</v>
      </c>
      <c r="R504" s="4">
        <f>IF($A504=R$496,"",COUNTIF($E$4:$E$492,$A504&amp;" ضد "&amp;R$496)+COUNTIF($E$4:$E$492,R$496&amp;" ضد "&amp;$A504))</f>
        <v>0</v>
      </c>
      <c r="S504" s="4">
        <f>IF($A504=S$496,"",COUNTIF($E$4:$E$492,$A504&amp;" ضد "&amp;S$496)+COUNTIF($E$4:$E$492,S$496&amp;" ضد "&amp;$A504))</f>
        <v>0</v>
      </c>
      <c r="T504" s="4">
        <f>IF($A504=T$496,"",COUNTIF($E$4:$E$492,$A504&amp;" ضد "&amp;T$496)+COUNTIF($E$4:$E$492,T$496&amp;" ضد "&amp;$A504))</f>
        <v>0</v>
      </c>
      <c r="U504" s="4">
        <f>IF($A504=U$496,"",COUNTIF($E$4:$E$492,$A504&amp;" ضد "&amp;U$496)+COUNTIF($E$4:$E$492,U$496&amp;" ضد "&amp;$A504))</f>
        <v>0</v>
      </c>
      <c r="V504" s="4">
        <f>IF($A504=V$496,"",COUNTIF($E$4:$E$492,$A504&amp;" ضد "&amp;V$496)+COUNTIF($E$4:$E$492,V$496&amp;" ضد "&amp;$A504))</f>
        <v>0</v>
      </c>
      <c r="W504" s="4">
        <f>IF($A504=W$496,"",COUNTIF($E$4:$E$492,$A504&amp;" ضد "&amp;W$496)+COUNTIF($E$4:$E$492,W$496&amp;" ضد "&amp;$A504))</f>
        <v>0</v>
      </c>
      <c r="X504" s="4">
        <f>IF($A504=X$496,"",COUNTIF($E$4:$E$492,$A504&amp;" ضد "&amp;X$496)+COUNTIF($E$4:$E$492,X$496&amp;" ضد "&amp;$A504))</f>
        <v>0</v>
      </c>
      <c r="Y504" s="4">
        <f>IF($A504=Y$496,"",COUNTIF($E$4:$E$492,$A504&amp;" ضد "&amp;Y$496)+COUNTIF($E$4:$E$492,Y$496&amp;" ضد "&amp;$A504))</f>
        <v>0</v>
      </c>
      <c r="Z504" s="4">
        <f>IF($A504=Z$496,"",COUNTIF($E$4:$E$492,$A504&amp;" ضد "&amp;Z$496)+COUNTIF($E$4:$E$492,Z$496&amp;" ضد "&amp;$A504))</f>
        <v>0</v>
      </c>
      <c r="AA504" s="4">
        <f>IF($A504=AA$496,"",COUNTIF($E$4:$E$492,$A504&amp;" ضد "&amp;AA$496)+COUNTIF($E$4:$E$492,AA$496&amp;" ضد "&amp;$A504))</f>
        <v>0</v>
      </c>
      <c r="AB504" s="4">
        <f>IF($A504=AB$496,"",COUNTIF($E$4:$E$492,$A504&amp;" ضد "&amp;AB$496)+COUNTIF($E$4:$E$492,AB$496&amp;" ضد "&amp;$A504))</f>
        <v>0</v>
      </c>
      <c r="AC504" s="4">
        <f>IF($A504=AC$496,"",COUNTIF($E$4:$E$492,$A504&amp;" ضد "&amp;AC$496)+COUNTIF($E$4:$E$492,AC$496&amp;" ضد "&amp;$A504))</f>
        <v>0</v>
      </c>
      <c r="AD504" s="4">
        <f>IF($A504=AD$496,"",COUNTIF($E$4:$E$492,$A504&amp;" ضد "&amp;AD$496)+COUNTIF($E$4:$E$492,AD$496&amp;" ضد "&amp;$A504))</f>
        <v>0</v>
      </c>
      <c r="AE504" s="4">
        <f>IF($A504=AE$496,"",COUNTIF($E$4:$E$492,$A504&amp;" ضد "&amp;AE$496)+COUNTIF($E$4:$E$492,AE$496&amp;" ضد "&amp;$A504))</f>
        <v>0</v>
      </c>
      <c r="AF504" s="4">
        <f>IF($A504=AF$496,"",COUNTIF($E$4:$E$492,$A504&amp;" ضد "&amp;AF$496)+COUNTIF($E$4:$E$492,AF$496&amp;" ضد "&amp;$A504))</f>
        <v>0</v>
      </c>
      <c r="AG504" s="4">
        <f>IF($A504=AG$496,"",COUNTIF($E$4:$E$492,$A504&amp;" ضد "&amp;AG$496)+COUNTIF($E$4:$E$492,AG$496&amp;" ضد "&amp;$A504))</f>
        <v>0</v>
      </c>
      <c r="AH504" s="4">
        <f>IF($A504=AH$496,"",COUNTIF($E$4:$E$492,$A504&amp;" ضد "&amp;AH$496)+COUNTIF($E$4:$E$492,AH$496&amp;" ضد "&amp;$A504))</f>
        <v>0</v>
      </c>
      <c r="AI504" s="4">
        <f>IF($A504=AI$496,"",COUNTIF($E$4:$E$492,$A504&amp;" ضد "&amp;AI$496)+COUNTIF($E$4:$E$492,AI$496&amp;" ضد "&amp;$A504))</f>
        <v>0</v>
      </c>
      <c r="AJ504" s="4">
        <f>IF($A504=AJ$496,"",COUNTIF($E$4:$E$492,$A504&amp;" ضد "&amp;AJ$496)+COUNTIF($E$4:$E$492,AJ$496&amp;" ضد "&amp;$A504))</f>
        <v>0</v>
      </c>
      <c r="AK504" s="4">
        <f>IF($A504=AK$496,"",COUNTIF($E$4:$E$492,$A504&amp;" ضد "&amp;AK$496)+COUNTIF($E$4:$E$492,AK$496&amp;" ضد "&amp;$A504))</f>
        <v>0</v>
      </c>
      <c r="AL504" s="4">
        <f>IF($A504=AL$496,"",COUNTIF($E$4:$E$492,$A504&amp;" ضد "&amp;AL$496)+COUNTIF($E$4:$E$492,AL$496&amp;" ضد "&amp;$A504))</f>
        <v>0</v>
      </c>
      <c r="AM504" s="4">
        <f>IF($A504=AM$496,"",COUNTIF($E$4:$E$492,$A504&amp;" ضد "&amp;AM$496)+COUNTIF($E$4:$E$492,AM$496&amp;" ضد "&amp;$A504))</f>
        <v>0</v>
      </c>
      <c r="AN504" s="4">
        <f>IF($A504=AN$496,"",COUNTIF($E$4:$E$492,$A504&amp;" ضد "&amp;AN$496)+COUNTIF($E$4:$E$492,AN$496&amp;" ضد "&amp;$A504))</f>
        <v>0</v>
      </c>
      <c r="AO504" s="4">
        <f>IF($A504=AO$496,"",COUNTIF($E$4:$E$492,$A504&amp;" ضد "&amp;AO$496)+COUNTIF($E$4:$E$492,AO$496&amp;" ضد "&amp;$A504))</f>
        <v>0</v>
      </c>
      <c r="AP504" s="4">
        <f>IF($A504=AP$496,"",COUNTIF($E$4:$E$492,$A504&amp;" ضد "&amp;AP$496)+COUNTIF($E$4:$E$492,AP$496&amp;" ضد "&amp;$A504))</f>
        <v>0</v>
      </c>
      <c r="AQ504" s="4">
        <f>IF($A504=AQ$496,"",COUNTIF($E$4:$E$492,$A504&amp;" ضد "&amp;AQ$496)+COUNTIF($E$4:$E$492,AQ$496&amp;" ضد "&amp;$A504))</f>
        <v>0</v>
      </c>
      <c r="AR504" s="4">
        <f>IF($A504=AR$496,"",COUNTIF($E$4:$E$492,$A504&amp;" ضد "&amp;AR$496)+COUNTIF($E$4:$E$492,AR$496&amp;" ضد "&amp;$A504))</f>
        <v>0</v>
      </c>
      <c r="AS504" s="4">
        <f>IF($A504=AS$496,"",COUNTIF($E$4:$E$492,$A504&amp;" ضد "&amp;AS$496)+COUNTIF($E$4:$E$492,AS$496&amp;" ضد "&amp;$A504))</f>
        <v>0</v>
      </c>
      <c r="AT504" s="4">
        <f>IF($A504=AT$496,"",COUNTIF($E$4:$E$492,$A504&amp;" ضد "&amp;AT$496)+COUNTIF($E$4:$E$492,AT$496&amp;" ضد "&amp;$A504))</f>
        <v>0</v>
      </c>
      <c r="AU504" s="4">
        <f>IF($A504=AU$496,"",COUNTIF($E$4:$E$492,$A504&amp;" ضد "&amp;AU$496)+COUNTIF($E$4:$E$492,AU$496&amp;" ضد "&amp;$A504))</f>
        <v>0</v>
      </c>
      <c r="AV504" s="4">
        <f>IF($A504=AV$496,"",COUNTIF($E$4:$E$492,$A504&amp;" ضد "&amp;AV$496)+COUNTIF($E$4:$E$492,AV$496&amp;" ضد "&amp;$A504))</f>
        <v>0</v>
      </c>
      <c r="AW504" s="4">
        <f>IF($A504=AW$496,"",COUNTIF($E$4:$E$492,$A504&amp;" ضد "&amp;AW$496)+COUNTIF($E$4:$E$492,AW$496&amp;" ضد "&amp;$A504))</f>
        <v>0</v>
      </c>
      <c r="AX504" s="4">
        <f>IF($A504=AX$496,"",COUNTIF($E$4:$E$492,$A504&amp;" ضد "&amp;AX$496)+COUNTIF($E$4:$E$492,AX$496&amp;" ضد "&amp;$A504))</f>
        <v>0</v>
      </c>
      <c r="AY504" s="4">
        <f>IF($A504=AY$496,"",COUNTIF($E$4:$E$492,$A504&amp;" ضد "&amp;AY$496)+COUNTIF($E$4:$E$492,AY$496&amp;" ضد "&amp;$A504))</f>
        <v>0</v>
      </c>
      <c r="AZ504" s="4">
        <f>IF($A504=AZ$496,"",COUNTIF($E$4:$E$492,$A504&amp;" ضد "&amp;AZ$496)+COUNTIF($E$4:$E$492,AZ$496&amp;" ضد "&amp;$A504))</f>
        <v>0</v>
      </c>
      <c r="BA504" s="4">
        <f>IF($A504=BA$496,"",COUNTIF($E$4:$E$492,$A504&amp;" ضد "&amp;BA$496)+COUNTIF($E$4:$E$492,BA$496&amp;" ضد "&amp;$A504))</f>
        <v>0</v>
      </c>
      <c r="BB504" s="4">
        <f>IF($A504=BB$496,"",COUNTIF($E$4:$E$492,$A504&amp;" ضد "&amp;BB$496)+COUNTIF($E$4:$E$492,BB$496&amp;" ضد "&amp;$A504))</f>
        <v>0</v>
      </c>
      <c r="BC504" s="4">
        <f>IF($A504=BC$496,"",COUNTIF($E$4:$E$492,$A504&amp;" ضد "&amp;BC$496)+COUNTIF($E$4:$E$492,BC$496&amp;" ضد "&amp;$A504))</f>
        <v>0</v>
      </c>
    </row>
    <row r="505" spans="1:55" ht="14.5">
      <c r="A505" s="14">
        <v>9</v>
      </c>
      <c r="B505" s="4">
        <f>IF($A505=B$496,"",COUNTIF($E$4:$E$492,$A505&amp;" ضد "&amp;B$496)+COUNTIF($E$4:$E$492,B$496&amp;" ضد "&amp;$A505))</f>
        <v>1</v>
      </c>
      <c r="C505" s="4">
        <f>IF($A505=C$496,"",COUNTIF($E$4:$E$492,$A505&amp;" ضد "&amp;C$496)+COUNTIF($E$4:$E$492,C$496&amp;" ضد "&amp;$A505))</f>
        <v>2</v>
      </c>
      <c r="D505" s="4">
        <f>IF($A505=D$496,"",COUNTIF($E$4:$E$492,$A505&amp;" ضد "&amp;D$496)+COUNTIF($E$4:$E$492,D$496&amp;" ضد "&amp;$A505))</f>
        <v>1</v>
      </c>
      <c r="E505" s="4">
        <f>IF($A505=E$496,"",COUNTIF($E$4:$E$492,$A505&amp;" ضد "&amp;E$496)+COUNTIF($E$4:$E$492,E$496&amp;" ضد "&amp;$A505))</f>
        <v>2</v>
      </c>
      <c r="F505" s="4">
        <f>IF($A505=F$496,"",COUNTIF($E$4:$E$492,$A505&amp;" ضد "&amp;F$496)+COUNTIF($E$4:$E$492,F$496&amp;" ضد "&amp;$A505))</f>
        <v>1</v>
      </c>
      <c r="G505" s="4">
        <f>IF($A505=G$496,"",COUNTIF($E$4:$E$492,$A505&amp;" ضد "&amp;G$496)+COUNTIF($E$4:$E$492,G$496&amp;" ضد "&amp;$A505))</f>
        <v>2</v>
      </c>
      <c r="H505" s="4">
        <f>IF($A505=H$496,"",COUNTIF($E$4:$E$492,$A505&amp;" ضد "&amp;H$496)+COUNTIF($E$4:$E$492,H$496&amp;" ضد "&amp;$A505))</f>
        <v>1</v>
      </c>
      <c r="I505" s="4">
        <f>IF($A505=I$496,"",COUNTIF($E$4:$E$492,$A505&amp;" ضد "&amp;I$496)+COUNTIF($E$4:$E$492,I$496&amp;" ضد "&amp;$A505))</f>
        <v>1</v>
      </c>
      <c r="J505" s="4" t="str">
        <f>IF($A505=J$496,"",COUNTIF($E$4:$E$492,$A505&amp;" ضد "&amp;J$496)+COUNTIF($E$4:$E$492,J$496&amp;" ضد "&amp;$A505))</f>
        <v/>
      </c>
      <c r="K505" s="4">
        <f>IF($A505=K$496,"",COUNTIF($E$4:$E$492,$A505&amp;" ضد "&amp;K$496)+COUNTIF($E$4:$E$492,K$496&amp;" ضد "&amp;$A505))</f>
        <v>1</v>
      </c>
      <c r="L505" s="4">
        <f>IF($A505=L$496,"",COUNTIF($E$4:$E$492,$A505&amp;" ضد "&amp;L$496)+COUNTIF($E$4:$E$492,L$496&amp;" ضد "&amp;$A505))</f>
        <v>2</v>
      </c>
      <c r="M505" s="4">
        <f>IF($A505=M$496,"",COUNTIF($E$4:$E$492,$A505&amp;" ضد "&amp;M$496)+COUNTIF($E$4:$E$492,M$496&amp;" ضد "&amp;$A505))</f>
        <v>1</v>
      </c>
      <c r="N505" s="4">
        <f>IF($A505=N$496,"",COUNTIF($E$4:$E$492,$A505&amp;" ضد "&amp;N$496)+COUNTIF($E$4:$E$492,N$496&amp;" ضد "&amp;$A505))</f>
        <v>2</v>
      </c>
      <c r="O505" s="4">
        <f>IF($A505=O$496,"",COUNTIF($E$4:$E$492,$A505&amp;" ضد "&amp;O$496)+COUNTIF($E$4:$E$492,O$496&amp;" ضد "&amp;$A505))</f>
        <v>1</v>
      </c>
      <c r="P505" s="4">
        <f>IF($A505=P$496,"",COUNTIF($E$4:$E$492,$A505&amp;" ضد "&amp;P$496)+COUNTIF($E$4:$E$492,P$496&amp;" ضد "&amp;$A505))</f>
        <v>0</v>
      </c>
      <c r="Q505" s="4">
        <f>IF($A505=Q$496,"",COUNTIF($E$4:$E$492,$A505&amp;" ضد "&amp;Q$496)+COUNTIF($E$4:$E$492,Q$496&amp;" ضد "&amp;$A505))</f>
        <v>0</v>
      </c>
      <c r="R505" s="4">
        <f>IF($A505=R$496,"",COUNTIF($E$4:$E$492,$A505&amp;" ضد "&amp;R$496)+COUNTIF($E$4:$E$492,R$496&amp;" ضد "&amp;$A505))</f>
        <v>0</v>
      </c>
      <c r="S505" s="4">
        <f>IF($A505=S$496,"",COUNTIF($E$4:$E$492,$A505&amp;" ضد "&amp;S$496)+COUNTIF($E$4:$E$492,S$496&amp;" ضد "&amp;$A505))</f>
        <v>0</v>
      </c>
      <c r="T505" s="4">
        <f>IF($A505=T$496,"",COUNTIF($E$4:$E$492,$A505&amp;" ضد "&amp;T$496)+COUNTIF($E$4:$E$492,T$496&amp;" ضد "&amp;$A505))</f>
        <v>0</v>
      </c>
      <c r="U505" s="4">
        <f>IF($A505=U$496,"",COUNTIF($E$4:$E$492,$A505&amp;" ضد "&amp;U$496)+COUNTIF($E$4:$E$492,U$496&amp;" ضد "&amp;$A505))</f>
        <v>0</v>
      </c>
      <c r="V505" s="4">
        <f>IF($A505=V$496,"",COUNTIF($E$4:$E$492,$A505&amp;" ضد "&amp;V$496)+COUNTIF($E$4:$E$492,V$496&amp;" ضد "&amp;$A505))</f>
        <v>0</v>
      </c>
      <c r="W505" s="4">
        <f>IF($A505=W$496,"",COUNTIF($E$4:$E$492,$A505&amp;" ضد "&amp;W$496)+COUNTIF($E$4:$E$492,W$496&amp;" ضد "&amp;$A505))</f>
        <v>0</v>
      </c>
      <c r="X505" s="4">
        <f>IF($A505=X$496,"",COUNTIF($E$4:$E$492,$A505&amp;" ضد "&amp;X$496)+COUNTIF($E$4:$E$492,X$496&amp;" ضد "&amp;$A505))</f>
        <v>0</v>
      </c>
      <c r="Y505" s="4">
        <f>IF($A505=Y$496,"",COUNTIF($E$4:$E$492,$A505&amp;" ضد "&amp;Y$496)+COUNTIF($E$4:$E$492,Y$496&amp;" ضد "&amp;$A505))</f>
        <v>0</v>
      </c>
      <c r="Z505" s="4">
        <f>IF($A505=Z$496,"",COUNTIF($E$4:$E$492,$A505&amp;" ضد "&amp;Z$496)+COUNTIF($E$4:$E$492,Z$496&amp;" ضد "&amp;$A505))</f>
        <v>0</v>
      </c>
      <c r="AA505" s="4">
        <f>IF($A505=AA$496,"",COUNTIF($E$4:$E$492,$A505&amp;" ضد "&amp;AA$496)+COUNTIF($E$4:$E$492,AA$496&amp;" ضد "&amp;$A505))</f>
        <v>0</v>
      </c>
      <c r="AB505" s="4">
        <f>IF($A505=AB$496,"",COUNTIF($E$4:$E$492,$A505&amp;" ضد "&amp;AB$496)+COUNTIF($E$4:$E$492,AB$496&amp;" ضد "&amp;$A505))</f>
        <v>0</v>
      </c>
      <c r="AC505" s="4">
        <f>IF($A505=AC$496,"",COUNTIF($E$4:$E$492,$A505&amp;" ضد "&amp;AC$496)+COUNTIF($E$4:$E$492,AC$496&amp;" ضد "&amp;$A505))</f>
        <v>0</v>
      </c>
      <c r="AD505" s="4">
        <f>IF($A505=AD$496,"",COUNTIF($E$4:$E$492,$A505&amp;" ضد "&amp;AD$496)+COUNTIF($E$4:$E$492,AD$496&amp;" ضد "&amp;$A505))</f>
        <v>0</v>
      </c>
      <c r="AE505" s="4">
        <f>IF($A505=AE$496,"",COUNTIF($E$4:$E$492,$A505&amp;" ضد "&amp;AE$496)+COUNTIF($E$4:$E$492,AE$496&amp;" ضد "&amp;$A505))</f>
        <v>0</v>
      </c>
      <c r="AF505" s="4">
        <f>IF($A505=AF$496,"",COUNTIF($E$4:$E$492,$A505&amp;" ضد "&amp;AF$496)+COUNTIF($E$4:$E$492,AF$496&amp;" ضد "&amp;$A505))</f>
        <v>0</v>
      </c>
      <c r="AG505" s="4">
        <f>IF($A505=AG$496,"",COUNTIF($E$4:$E$492,$A505&amp;" ضد "&amp;AG$496)+COUNTIF($E$4:$E$492,AG$496&amp;" ضد "&amp;$A505))</f>
        <v>0</v>
      </c>
      <c r="AH505" s="4">
        <f>IF($A505=AH$496,"",COUNTIF($E$4:$E$492,$A505&amp;" ضد "&amp;AH$496)+COUNTIF($E$4:$E$492,AH$496&amp;" ضد "&amp;$A505))</f>
        <v>0</v>
      </c>
      <c r="AI505" s="4">
        <f>IF($A505=AI$496,"",COUNTIF($E$4:$E$492,$A505&amp;" ضد "&amp;AI$496)+COUNTIF($E$4:$E$492,AI$496&amp;" ضد "&amp;$A505))</f>
        <v>0</v>
      </c>
      <c r="AJ505" s="4">
        <f>IF($A505=AJ$496,"",COUNTIF($E$4:$E$492,$A505&amp;" ضد "&amp;AJ$496)+COUNTIF($E$4:$E$492,AJ$496&amp;" ضد "&amp;$A505))</f>
        <v>0</v>
      </c>
      <c r="AK505" s="4">
        <f>IF($A505=AK$496,"",COUNTIF($E$4:$E$492,$A505&amp;" ضد "&amp;AK$496)+COUNTIF($E$4:$E$492,AK$496&amp;" ضد "&amp;$A505))</f>
        <v>0</v>
      </c>
      <c r="AL505" s="4">
        <f>IF($A505=AL$496,"",COUNTIF($E$4:$E$492,$A505&amp;" ضد "&amp;AL$496)+COUNTIF($E$4:$E$492,AL$496&amp;" ضد "&amp;$A505))</f>
        <v>0</v>
      </c>
      <c r="AM505" s="4">
        <f>IF($A505=AM$496,"",COUNTIF($E$4:$E$492,$A505&amp;" ضد "&amp;AM$496)+COUNTIF($E$4:$E$492,AM$496&amp;" ضد "&amp;$A505))</f>
        <v>0</v>
      </c>
      <c r="AN505" s="4">
        <f>IF($A505=AN$496,"",COUNTIF($E$4:$E$492,$A505&amp;" ضد "&amp;AN$496)+COUNTIF($E$4:$E$492,AN$496&amp;" ضد "&amp;$A505))</f>
        <v>0</v>
      </c>
      <c r="AO505" s="4">
        <f>IF($A505=AO$496,"",COUNTIF($E$4:$E$492,$A505&amp;" ضد "&amp;AO$496)+COUNTIF($E$4:$E$492,AO$496&amp;" ضد "&amp;$A505))</f>
        <v>0</v>
      </c>
      <c r="AP505" s="4">
        <f>IF($A505=AP$496,"",COUNTIF($E$4:$E$492,$A505&amp;" ضد "&amp;AP$496)+COUNTIF($E$4:$E$492,AP$496&amp;" ضد "&amp;$A505))</f>
        <v>0</v>
      </c>
      <c r="AQ505" s="4">
        <f>IF($A505=AQ$496,"",COUNTIF($E$4:$E$492,$A505&amp;" ضد "&amp;AQ$496)+COUNTIF($E$4:$E$492,AQ$496&amp;" ضد "&amp;$A505))</f>
        <v>0</v>
      </c>
      <c r="AR505" s="4">
        <f>IF($A505=AR$496,"",COUNTIF($E$4:$E$492,$A505&amp;" ضد "&amp;AR$496)+COUNTIF($E$4:$E$492,AR$496&amp;" ضد "&amp;$A505))</f>
        <v>0</v>
      </c>
      <c r="AS505" s="4">
        <f>IF($A505=AS$496,"",COUNTIF($E$4:$E$492,$A505&amp;" ضد "&amp;AS$496)+COUNTIF($E$4:$E$492,AS$496&amp;" ضد "&amp;$A505))</f>
        <v>0</v>
      </c>
      <c r="AT505" s="4">
        <f>IF($A505=AT$496,"",COUNTIF($E$4:$E$492,$A505&amp;" ضد "&amp;AT$496)+COUNTIF($E$4:$E$492,AT$496&amp;" ضد "&amp;$A505))</f>
        <v>0</v>
      </c>
      <c r="AU505" s="4">
        <f>IF($A505=AU$496,"",COUNTIF($E$4:$E$492,$A505&amp;" ضد "&amp;AU$496)+COUNTIF($E$4:$E$492,AU$496&amp;" ضد "&amp;$A505))</f>
        <v>0</v>
      </c>
      <c r="AV505" s="4">
        <f>IF($A505=AV$496,"",COUNTIF($E$4:$E$492,$A505&amp;" ضد "&amp;AV$496)+COUNTIF($E$4:$E$492,AV$496&amp;" ضد "&amp;$A505))</f>
        <v>0</v>
      </c>
      <c r="AW505" s="4">
        <f>IF($A505=AW$496,"",COUNTIF($E$4:$E$492,$A505&amp;" ضد "&amp;AW$496)+COUNTIF($E$4:$E$492,AW$496&amp;" ضد "&amp;$A505))</f>
        <v>0</v>
      </c>
      <c r="AX505" s="4">
        <f>IF($A505=AX$496,"",COUNTIF($E$4:$E$492,$A505&amp;" ضد "&amp;AX$496)+COUNTIF($E$4:$E$492,AX$496&amp;" ضد "&amp;$A505))</f>
        <v>0</v>
      </c>
      <c r="AY505" s="4">
        <f>IF($A505=AY$496,"",COUNTIF($E$4:$E$492,$A505&amp;" ضد "&amp;AY$496)+COUNTIF($E$4:$E$492,AY$496&amp;" ضد "&amp;$A505))</f>
        <v>0</v>
      </c>
      <c r="AZ505" s="4">
        <f>IF($A505=AZ$496,"",COUNTIF($E$4:$E$492,$A505&amp;" ضد "&amp;AZ$496)+COUNTIF($E$4:$E$492,AZ$496&amp;" ضد "&amp;$A505))</f>
        <v>0</v>
      </c>
      <c r="BA505" s="4">
        <f>IF($A505=BA$496,"",COUNTIF($E$4:$E$492,$A505&amp;" ضد "&amp;BA$496)+COUNTIF($E$4:$E$492,BA$496&amp;" ضد "&amp;$A505))</f>
        <v>0</v>
      </c>
      <c r="BB505" s="4">
        <f>IF($A505=BB$496,"",COUNTIF($E$4:$E$492,$A505&amp;" ضد "&amp;BB$496)+COUNTIF($E$4:$E$492,BB$496&amp;" ضد "&amp;$A505))</f>
        <v>0</v>
      </c>
      <c r="BC505" s="4">
        <f>IF($A505=BC$496,"",COUNTIF($E$4:$E$492,$A505&amp;" ضد "&amp;BC$496)+COUNTIF($E$4:$E$492,BC$496&amp;" ضد "&amp;$A505))</f>
        <v>0</v>
      </c>
    </row>
    <row r="506" spans="1:55" ht="14.5">
      <c r="A506" s="14">
        <v>10</v>
      </c>
      <c r="B506" s="4">
        <f>IF($A506=B$496,"",COUNTIF($E$4:$E$492,$A506&amp;" ضد "&amp;B$496)+COUNTIF($E$4:$E$492,B$496&amp;" ضد "&amp;$A506))</f>
        <v>2</v>
      </c>
      <c r="C506" s="4">
        <f>IF($A506=C$496,"",COUNTIF($E$4:$E$492,$A506&amp;" ضد "&amp;C$496)+COUNTIF($E$4:$E$492,C$496&amp;" ضد "&amp;$A506))</f>
        <v>1</v>
      </c>
      <c r="D506" s="4">
        <f>IF($A506=D$496,"",COUNTIF($E$4:$E$492,$A506&amp;" ضد "&amp;D$496)+COUNTIF($E$4:$E$492,D$496&amp;" ضد "&amp;$A506))</f>
        <v>2</v>
      </c>
      <c r="E506" s="4">
        <f>IF($A506=E$496,"",COUNTIF($E$4:$E$492,$A506&amp;" ضد "&amp;E$496)+COUNTIF($E$4:$E$492,E$496&amp;" ضد "&amp;$A506))</f>
        <v>1</v>
      </c>
      <c r="F506" s="4">
        <f>IF($A506=F$496,"",COUNTIF($E$4:$E$492,$A506&amp;" ضد "&amp;F$496)+COUNTIF($E$4:$E$492,F$496&amp;" ضد "&amp;$A506))</f>
        <v>2</v>
      </c>
      <c r="G506" s="4">
        <f>IF($A506=G$496,"",COUNTIF($E$4:$E$492,$A506&amp;" ضد "&amp;G$496)+COUNTIF($E$4:$E$492,G$496&amp;" ضد "&amp;$A506))</f>
        <v>1</v>
      </c>
      <c r="H506" s="4">
        <f>IF($A506=H$496,"",COUNTIF($E$4:$E$492,$A506&amp;" ضد "&amp;H$496)+COUNTIF($E$4:$E$492,H$496&amp;" ضد "&amp;$A506))</f>
        <v>1</v>
      </c>
      <c r="I506" s="4">
        <f>IF($A506=I$496,"",COUNTIF($E$4:$E$492,$A506&amp;" ضد "&amp;I$496)+COUNTIF($E$4:$E$492,I$496&amp;" ضد "&amp;$A506))</f>
        <v>1</v>
      </c>
      <c r="J506" s="4">
        <f>IF($A506=J$496,"",COUNTIF($E$4:$E$492,$A506&amp;" ضد "&amp;J$496)+COUNTIF($E$4:$E$492,J$496&amp;" ضد "&amp;$A506))</f>
        <v>1</v>
      </c>
      <c r="K506" s="4" t="str">
        <f>IF($A506=K$496,"",COUNTIF($E$4:$E$492,$A506&amp;" ضد "&amp;K$496)+COUNTIF($E$4:$E$492,K$496&amp;" ضد "&amp;$A506))</f>
        <v/>
      </c>
      <c r="L506" s="4">
        <f>IF($A506=L$496,"",COUNTIF($E$4:$E$492,$A506&amp;" ضد "&amp;L$496)+COUNTIF($E$4:$E$492,L$496&amp;" ضد "&amp;$A506))</f>
        <v>1</v>
      </c>
      <c r="M506" s="4">
        <f>IF($A506=M$496,"",COUNTIF($E$4:$E$492,$A506&amp;" ضد "&amp;M$496)+COUNTIF($E$4:$E$492,M$496&amp;" ضد "&amp;$A506))</f>
        <v>2</v>
      </c>
      <c r="N506" s="4">
        <f>IF($A506=N$496,"",COUNTIF($E$4:$E$492,$A506&amp;" ضد "&amp;N$496)+COUNTIF($E$4:$E$492,N$496&amp;" ضد "&amp;$A506))</f>
        <v>1</v>
      </c>
      <c r="O506" s="4">
        <f>IF($A506=O$496,"",COUNTIF($E$4:$E$492,$A506&amp;" ضد "&amp;O$496)+COUNTIF($E$4:$E$492,O$496&amp;" ضد "&amp;$A506))</f>
        <v>2</v>
      </c>
      <c r="P506" s="4">
        <f>IF($A506=P$496,"",COUNTIF($E$4:$E$492,$A506&amp;" ضد "&amp;P$496)+COUNTIF($E$4:$E$492,P$496&amp;" ضد "&amp;$A506))</f>
        <v>0</v>
      </c>
      <c r="Q506" s="4">
        <f>IF($A506=Q$496,"",COUNTIF($E$4:$E$492,$A506&amp;" ضد "&amp;Q$496)+COUNTIF($E$4:$E$492,Q$496&amp;" ضد "&amp;$A506))</f>
        <v>0</v>
      </c>
      <c r="R506" s="4">
        <f>IF($A506=R$496,"",COUNTIF($E$4:$E$492,$A506&amp;" ضد "&amp;R$496)+COUNTIF($E$4:$E$492,R$496&amp;" ضد "&amp;$A506))</f>
        <v>0</v>
      </c>
      <c r="S506" s="4">
        <f>IF($A506=S$496,"",COUNTIF($E$4:$E$492,$A506&amp;" ضد "&amp;S$496)+COUNTIF($E$4:$E$492,S$496&amp;" ضد "&amp;$A506))</f>
        <v>0</v>
      </c>
      <c r="T506" s="4">
        <f>IF($A506=T$496,"",COUNTIF($E$4:$E$492,$A506&amp;" ضد "&amp;T$496)+COUNTIF($E$4:$E$492,T$496&amp;" ضد "&amp;$A506))</f>
        <v>0</v>
      </c>
      <c r="U506" s="4">
        <f>IF($A506=U$496,"",COUNTIF($E$4:$E$492,$A506&amp;" ضد "&amp;U$496)+COUNTIF($E$4:$E$492,U$496&amp;" ضد "&amp;$A506))</f>
        <v>0</v>
      </c>
      <c r="V506" s="4">
        <f>IF($A506=V$496,"",COUNTIF($E$4:$E$492,$A506&amp;" ضد "&amp;V$496)+COUNTIF($E$4:$E$492,V$496&amp;" ضد "&amp;$A506))</f>
        <v>0</v>
      </c>
      <c r="W506" s="4">
        <f>IF($A506=W$496,"",COUNTIF($E$4:$E$492,$A506&amp;" ضد "&amp;W$496)+COUNTIF($E$4:$E$492,W$496&amp;" ضد "&amp;$A506))</f>
        <v>0</v>
      </c>
      <c r="X506" s="4">
        <f>IF($A506=X$496,"",COUNTIF($E$4:$E$492,$A506&amp;" ضد "&amp;X$496)+COUNTIF($E$4:$E$492,X$496&amp;" ضد "&amp;$A506))</f>
        <v>0</v>
      </c>
      <c r="Y506" s="4">
        <f>IF($A506=Y$496,"",COUNTIF($E$4:$E$492,$A506&amp;" ضد "&amp;Y$496)+COUNTIF($E$4:$E$492,Y$496&amp;" ضد "&amp;$A506))</f>
        <v>0</v>
      </c>
      <c r="Z506" s="4">
        <f>IF($A506=Z$496,"",COUNTIF($E$4:$E$492,$A506&amp;" ضد "&amp;Z$496)+COUNTIF($E$4:$E$492,Z$496&amp;" ضد "&amp;$A506))</f>
        <v>0</v>
      </c>
      <c r="AA506" s="4">
        <f>IF($A506=AA$496,"",COUNTIF($E$4:$E$492,$A506&amp;" ضد "&amp;AA$496)+COUNTIF($E$4:$E$492,AA$496&amp;" ضد "&amp;$A506))</f>
        <v>0</v>
      </c>
      <c r="AB506" s="4">
        <f>IF($A506=AB$496,"",COUNTIF($E$4:$E$492,$A506&amp;" ضد "&amp;AB$496)+COUNTIF($E$4:$E$492,AB$496&amp;" ضد "&amp;$A506))</f>
        <v>0</v>
      </c>
      <c r="AC506" s="4">
        <f>IF($A506=AC$496,"",COUNTIF($E$4:$E$492,$A506&amp;" ضد "&amp;AC$496)+COUNTIF($E$4:$E$492,AC$496&amp;" ضد "&amp;$A506))</f>
        <v>0</v>
      </c>
      <c r="AD506" s="4">
        <f>IF($A506=AD$496,"",COUNTIF($E$4:$E$492,$A506&amp;" ضد "&amp;AD$496)+COUNTIF($E$4:$E$492,AD$496&amp;" ضد "&amp;$A506))</f>
        <v>0</v>
      </c>
      <c r="AE506" s="4">
        <f>IF($A506=AE$496,"",COUNTIF($E$4:$E$492,$A506&amp;" ضد "&amp;AE$496)+COUNTIF($E$4:$E$492,AE$496&amp;" ضد "&amp;$A506))</f>
        <v>0</v>
      </c>
      <c r="AF506" s="4">
        <f>IF($A506=AF$496,"",COUNTIF($E$4:$E$492,$A506&amp;" ضد "&amp;AF$496)+COUNTIF($E$4:$E$492,AF$496&amp;" ضد "&amp;$A506))</f>
        <v>0</v>
      </c>
      <c r="AG506" s="4">
        <f>IF($A506=AG$496,"",COUNTIF($E$4:$E$492,$A506&amp;" ضد "&amp;AG$496)+COUNTIF($E$4:$E$492,AG$496&amp;" ضد "&amp;$A506))</f>
        <v>0</v>
      </c>
      <c r="AH506" s="4">
        <f>IF($A506=AH$496,"",COUNTIF($E$4:$E$492,$A506&amp;" ضد "&amp;AH$496)+COUNTIF($E$4:$E$492,AH$496&amp;" ضد "&amp;$A506))</f>
        <v>0</v>
      </c>
      <c r="AI506" s="4">
        <f>IF($A506=AI$496,"",COUNTIF($E$4:$E$492,$A506&amp;" ضد "&amp;AI$496)+COUNTIF($E$4:$E$492,AI$496&amp;" ضد "&amp;$A506))</f>
        <v>0</v>
      </c>
      <c r="AJ506" s="4">
        <f>IF($A506=AJ$496,"",COUNTIF($E$4:$E$492,$A506&amp;" ضد "&amp;AJ$496)+COUNTIF($E$4:$E$492,AJ$496&amp;" ضد "&amp;$A506))</f>
        <v>0</v>
      </c>
      <c r="AK506" s="4">
        <f>IF($A506=AK$496,"",COUNTIF($E$4:$E$492,$A506&amp;" ضد "&amp;AK$496)+COUNTIF($E$4:$E$492,AK$496&amp;" ضد "&amp;$A506))</f>
        <v>0</v>
      </c>
      <c r="AL506" s="4">
        <f>IF($A506=AL$496,"",COUNTIF($E$4:$E$492,$A506&amp;" ضد "&amp;AL$496)+COUNTIF($E$4:$E$492,AL$496&amp;" ضد "&amp;$A506))</f>
        <v>0</v>
      </c>
      <c r="AM506" s="4">
        <f>IF($A506=AM$496,"",COUNTIF($E$4:$E$492,$A506&amp;" ضد "&amp;AM$496)+COUNTIF($E$4:$E$492,AM$496&amp;" ضد "&amp;$A506))</f>
        <v>0</v>
      </c>
      <c r="AN506" s="4">
        <f>IF($A506=AN$496,"",COUNTIF($E$4:$E$492,$A506&amp;" ضد "&amp;AN$496)+COUNTIF($E$4:$E$492,AN$496&amp;" ضد "&amp;$A506))</f>
        <v>0</v>
      </c>
      <c r="AO506" s="4">
        <f>IF($A506=AO$496,"",COUNTIF($E$4:$E$492,$A506&amp;" ضد "&amp;AO$496)+COUNTIF($E$4:$E$492,AO$496&amp;" ضد "&amp;$A506))</f>
        <v>0</v>
      </c>
      <c r="AP506" s="4">
        <f>IF($A506=AP$496,"",COUNTIF($E$4:$E$492,$A506&amp;" ضد "&amp;AP$496)+COUNTIF($E$4:$E$492,AP$496&amp;" ضد "&amp;$A506))</f>
        <v>0</v>
      </c>
      <c r="AQ506" s="4">
        <f>IF($A506=AQ$496,"",COUNTIF($E$4:$E$492,$A506&amp;" ضد "&amp;AQ$496)+COUNTIF($E$4:$E$492,AQ$496&amp;" ضد "&amp;$A506))</f>
        <v>0</v>
      </c>
      <c r="AR506" s="4">
        <f>IF($A506=AR$496,"",COUNTIF($E$4:$E$492,$A506&amp;" ضد "&amp;AR$496)+COUNTIF($E$4:$E$492,AR$496&amp;" ضد "&amp;$A506))</f>
        <v>0</v>
      </c>
      <c r="AS506" s="4">
        <f>IF($A506=AS$496,"",COUNTIF($E$4:$E$492,$A506&amp;" ضد "&amp;AS$496)+COUNTIF($E$4:$E$492,AS$496&amp;" ضد "&amp;$A506))</f>
        <v>0</v>
      </c>
      <c r="AT506" s="4">
        <f>IF($A506=AT$496,"",COUNTIF($E$4:$E$492,$A506&amp;" ضد "&amp;AT$496)+COUNTIF($E$4:$E$492,AT$496&amp;" ضد "&amp;$A506))</f>
        <v>0</v>
      </c>
      <c r="AU506" s="4">
        <f>IF($A506=AU$496,"",COUNTIF($E$4:$E$492,$A506&amp;" ضد "&amp;AU$496)+COUNTIF($E$4:$E$492,AU$496&amp;" ضد "&amp;$A506))</f>
        <v>0</v>
      </c>
      <c r="AV506" s="4">
        <f>IF($A506=AV$496,"",COUNTIF($E$4:$E$492,$A506&amp;" ضد "&amp;AV$496)+COUNTIF($E$4:$E$492,AV$496&amp;" ضد "&amp;$A506))</f>
        <v>0</v>
      </c>
      <c r="AW506" s="4">
        <f>IF($A506=AW$496,"",COUNTIF($E$4:$E$492,$A506&amp;" ضد "&amp;AW$496)+COUNTIF($E$4:$E$492,AW$496&amp;" ضد "&amp;$A506))</f>
        <v>0</v>
      </c>
      <c r="AX506" s="4">
        <f>IF($A506=AX$496,"",COUNTIF($E$4:$E$492,$A506&amp;" ضد "&amp;AX$496)+COUNTIF($E$4:$E$492,AX$496&amp;" ضد "&amp;$A506))</f>
        <v>0</v>
      </c>
      <c r="AY506" s="4">
        <f>IF($A506=AY$496,"",COUNTIF($E$4:$E$492,$A506&amp;" ضد "&amp;AY$496)+COUNTIF($E$4:$E$492,AY$496&amp;" ضد "&amp;$A506))</f>
        <v>0</v>
      </c>
      <c r="AZ506" s="4">
        <f>IF($A506=AZ$496,"",COUNTIF($E$4:$E$492,$A506&amp;" ضد "&amp;AZ$496)+COUNTIF($E$4:$E$492,AZ$496&amp;" ضد "&amp;$A506))</f>
        <v>0</v>
      </c>
      <c r="BA506" s="4">
        <f>IF($A506=BA$496,"",COUNTIF($E$4:$E$492,$A506&amp;" ضد "&amp;BA$496)+COUNTIF($E$4:$E$492,BA$496&amp;" ضد "&amp;$A506))</f>
        <v>0</v>
      </c>
      <c r="BB506" s="4">
        <f>IF($A506=BB$496,"",COUNTIF($E$4:$E$492,$A506&amp;" ضد "&amp;BB$496)+COUNTIF($E$4:$E$492,BB$496&amp;" ضد "&amp;$A506))</f>
        <v>0</v>
      </c>
      <c r="BC506" s="4">
        <f>IF($A506=BC$496,"",COUNTIF($E$4:$E$492,$A506&amp;" ضد "&amp;BC$496)+COUNTIF($E$4:$E$492,BC$496&amp;" ضد "&amp;$A506))</f>
        <v>0</v>
      </c>
    </row>
    <row r="507" spans="1:55" ht="14.5">
      <c r="A507" s="14">
        <v>11</v>
      </c>
      <c r="B507" s="4">
        <f>IF($A507=B$496,"",COUNTIF($E$4:$E$492,$A507&amp;" ضد "&amp;B$496)+COUNTIF($E$4:$E$492,B$496&amp;" ضد "&amp;$A507))</f>
        <v>2</v>
      </c>
      <c r="C507" s="4">
        <f>IF($A507=C$496,"",COUNTIF($E$4:$E$492,$A507&amp;" ضد "&amp;C$496)+COUNTIF($E$4:$E$492,C$496&amp;" ضد "&amp;$A507))</f>
        <v>2</v>
      </c>
      <c r="D507" s="4">
        <f>IF($A507=D$496,"",COUNTIF($E$4:$E$492,$A507&amp;" ضد "&amp;D$496)+COUNTIF($E$4:$E$492,D$496&amp;" ضد "&amp;$A507))</f>
        <v>1</v>
      </c>
      <c r="E507" s="4">
        <f>IF($A507=E$496,"",COUNTIF($E$4:$E$492,$A507&amp;" ضد "&amp;E$496)+COUNTIF($E$4:$E$492,E$496&amp;" ضد "&amp;$A507))</f>
        <v>2</v>
      </c>
      <c r="F507" s="4">
        <f>IF($A507=F$496,"",COUNTIF($E$4:$E$492,$A507&amp;" ضد "&amp;F$496)+COUNTIF($E$4:$E$492,F$496&amp;" ضد "&amp;$A507))</f>
        <v>1</v>
      </c>
      <c r="G507" s="4">
        <f>IF($A507=G$496,"",COUNTIF($E$4:$E$492,$A507&amp;" ضد "&amp;G$496)+COUNTIF($E$4:$E$492,G$496&amp;" ضد "&amp;$A507))</f>
        <v>1</v>
      </c>
      <c r="H507" s="4">
        <f>IF($A507=H$496,"",COUNTIF($E$4:$E$492,$A507&amp;" ضد "&amp;H$496)+COUNTIF($E$4:$E$492,H$496&amp;" ضد "&amp;$A507))</f>
        <v>1</v>
      </c>
      <c r="I507" s="4">
        <f>IF($A507=I$496,"",COUNTIF($E$4:$E$492,$A507&amp;" ضد "&amp;I$496)+COUNTIF($E$4:$E$492,I$496&amp;" ضد "&amp;$A507))</f>
        <v>1</v>
      </c>
      <c r="J507" s="4">
        <f>IF($A507=J$496,"",COUNTIF($E$4:$E$492,$A507&amp;" ضد "&amp;J$496)+COUNTIF($E$4:$E$492,J$496&amp;" ضد "&amp;$A507))</f>
        <v>2</v>
      </c>
      <c r="K507" s="4">
        <f>IF($A507=K$496,"",COUNTIF($E$4:$E$492,$A507&amp;" ضد "&amp;K$496)+COUNTIF($E$4:$E$492,K$496&amp;" ضد "&amp;$A507))</f>
        <v>1</v>
      </c>
      <c r="L507" s="4" t="str">
        <f>IF($A507=L$496,"",COUNTIF($E$4:$E$492,$A507&amp;" ضد "&amp;L$496)+COUNTIF($E$4:$E$492,L$496&amp;" ضد "&amp;$A507))</f>
        <v/>
      </c>
      <c r="M507" s="4">
        <f>IF($A507=M$496,"",COUNTIF($E$4:$E$492,$A507&amp;" ضد "&amp;M$496)+COUNTIF($E$4:$E$492,M$496&amp;" ضد "&amp;$A507))</f>
        <v>1</v>
      </c>
      <c r="N507" s="4">
        <f>IF($A507=N$496,"",COUNTIF($E$4:$E$492,$A507&amp;" ضد "&amp;N$496)+COUNTIF($E$4:$E$492,N$496&amp;" ضد "&amp;$A507))</f>
        <v>2</v>
      </c>
      <c r="O507" s="4">
        <f>IF($A507=O$496,"",COUNTIF($E$4:$E$492,$A507&amp;" ضد "&amp;O$496)+COUNTIF($E$4:$E$492,O$496&amp;" ضد "&amp;$A507))</f>
        <v>1</v>
      </c>
      <c r="P507" s="4">
        <f>IF($A507=P$496,"",COUNTIF($E$4:$E$492,$A507&amp;" ضد "&amp;P$496)+COUNTIF($E$4:$E$492,P$496&amp;" ضد "&amp;$A507))</f>
        <v>0</v>
      </c>
      <c r="Q507" s="4">
        <f>IF($A507=Q$496,"",COUNTIF($E$4:$E$492,$A507&amp;" ضد "&amp;Q$496)+COUNTIF($E$4:$E$492,Q$496&amp;" ضد "&amp;$A507))</f>
        <v>0</v>
      </c>
      <c r="R507" s="4">
        <f>IF($A507=R$496,"",COUNTIF($E$4:$E$492,$A507&amp;" ضد "&amp;R$496)+COUNTIF($E$4:$E$492,R$496&amp;" ضد "&amp;$A507))</f>
        <v>0</v>
      </c>
      <c r="S507" s="4">
        <f>IF($A507=S$496,"",COUNTIF($E$4:$E$492,$A507&amp;" ضد "&amp;S$496)+COUNTIF($E$4:$E$492,S$496&amp;" ضد "&amp;$A507))</f>
        <v>0</v>
      </c>
      <c r="T507" s="4">
        <f>IF($A507=T$496,"",COUNTIF($E$4:$E$492,$A507&amp;" ضد "&amp;T$496)+COUNTIF($E$4:$E$492,T$496&amp;" ضد "&amp;$A507))</f>
        <v>0</v>
      </c>
      <c r="U507" s="4">
        <f>IF($A507=U$496,"",COUNTIF($E$4:$E$492,$A507&amp;" ضد "&amp;U$496)+COUNTIF($E$4:$E$492,U$496&amp;" ضد "&amp;$A507))</f>
        <v>0</v>
      </c>
      <c r="V507" s="4">
        <f>IF($A507=V$496,"",COUNTIF($E$4:$E$492,$A507&amp;" ضد "&amp;V$496)+COUNTIF($E$4:$E$492,V$496&amp;" ضد "&amp;$A507))</f>
        <v>0</v>
      </c>
      <c r="W507" s="4">
        <f>IF($A507=W$496,"",COUNTIF($E$4:$E$492,$A507&amp;" ضد "&amp;W$496)+COUNTIF($E$4:$E$492,W$496&amp;" ضد "&amp;$A507))</f>
        <v>0</v>
      </c>
      <c r="X507" s="4">
        <f>IF($A507=X$496,"",COUNTIF($E$4:$E$492,$A507&amp;" ضد "&amp;X$496)+COUNTIF($E$4:$E$492,X$496&amp;" ضد "&amp;$A507))</f>
        <v>0</v>
      </c>
      <c r="Y507" s="4">
        <f>IF($A507=Y$496,"",COUNTIF($E$4:$E$492,$A507&amp;" ضد "&amp;Y$496)+COUNTIF($E$4:$E$492,Y$496&amp;" ضد "&amp;$A507))</f>
        <v>0</v>
      </c>
      <c r="Z507" s="4">
        <f>IF($A507=Z$496,"",COUNTIF($E$4:$E$492,$A507&amp;" ضد "&amp;Z$496)+COUNTIF($E$4:$E$492,Z$496&amp;" ضد "&amp;$A507))</f>
        <v>0</v>
      </c>
      <c r="AA507" s="4">
        <f>IF($A507=AA$496,"",COUNTIF($E$4:$E$492,$A507&amp;" ضد "&amp;AA$496)+COUNTIF($E$4:$E$492,AA$496&amp;" ضد "&amp;$A507))</f>
        <v>0</v>
      </c>
      <c r="AB507" s="4">
        <f>IF($A507=AB$496,"",COUNTIF($E$4:$E$492,$A507&amp;" ضد "&amp;AB$496)+COUNTIF($E$4:$E$492,AB$496&amp;" ضد "&amp;$A507))</f>
        <v>0</v>
      </c>
      <c r="AC507" s="4">
        <f>IF($A507=AC$496,"",COUNTIF($E$4:$E$492,$A507&amp;" ضد "&amp;AC$496)+COUNTIF($E$4:$E$492,AC$496&amp;" ضد "&amp;$A507))</f>
        <v>0</v>
      </c>
      <c r="AD507" s="4">
        <f>IF($A507=AD$496,"",COUNTIF($E$4:$E$492,$A507&amp;" ضد "&amp;AD$496)+COUNTIF($E$4:$E$492,AD$496&amp;" ضد "&amp;$A507))</f>
        <v>0</v>
      </c>
      <c r="AE507" s="4">
        <f>IF($A507=AE$496,"",COUNTIF($E$4:$E$492,$A507&amp;" ضد "&amp;AE$496)+COUNTIF($E$4:$E$492,AE$496&amp;" ضد "&amp;$A507))</f>
        <v>0</v>
      </c>
      <c r="AF507" s="4">
        <f>IF($A507=AF$496,"",COUNTIF($E$4:$E$492,$A507&amp;" ضد "&amp;AF$496)+COUNTIF($E$4:$E$492,AF$496&amp;" ضد "&amp;$A507))</f>
        <v>0</v>
      </c>
      <c r="AG507" s="4">
        <f>IF($A507=AG$496,"",COUNTIF($E$4:$E$492,$A507&amp;" ضد "&amp;AG$496)+COUNTIF($E$4:$E$492,AG$496&amp;" ضد "&amp;$A507))</f>
        <v>0</v>
      </c>
      <c r="AH507" s="4">
        <f>IF($A507=AH$496,"",COUNTIF($E$4:$E$492,$A507&amp;" ضد "&amp;AH$496)+COUNTIF($E$4:$E$492,AH$496&amp;" ضد "&amp;$A507))</f>
        <v>0</v>
      </c>
      <c r="AI507" s="4">
        <f>IF($A507=AI$496,"",COUNTIF($E$4:$E$492,$A507&amp;" ضد "&amp;AI$496)+COUNTIF($E$4:$E$492,AI$496&amp;" ضد "&amp;$A507))</f>
        <v>0</v>
      </c>
      <c r="AJ507" s="4">
        <f>IF($A507=AJ$496,"",COUNTIF($E$4:$E$492,$A507&amp;" ضد "&amp;AJ$496)+COUNTIF($E$4:$E$492,AJ$496&amp;" ضد "&amp;$A507))</f>
        <v>0</v>
      </c>
      <c r="AK507" s="4">
        <f>IF($A507=AK$496,"",COUNTIF($E$4:$E$492,$A507&amp;" ضد "&amp;AK$496)+COUNTIF($E$4:$E$492,AK$496&amp;" ضد "&amp;$A507))</f>
        <v>0</v>
      </c>
      <c r="AL507" s="4">
        <f>IF($A507=AL$496,"",COUNTIF($E$4:$E$492,$A507&amp;" ضد "&amp;AL$496)+COUNTIF($E$4:$E$492,AL$496&amp;" ضد "&amp;$A507))</f>
        <v>0</v>
      </c>
      <c r="AM507" s="4">
        <f>IF($A507=AM$496,"",COUNTIF($E$4:$E$492,$A507&amp;" ضد "&amp;AM$496)+COUNTIF($E$4:$E$492,AM$496&amp;" ضد "&amp;$A507))</f>
        <v>0</v>
      </c>
      <c r="AN507" s="4">
        <f>IF($A507=AN$496,"",COUNTIF($E$4:$E$492,$A507&amp;" ضد "&amp;AN$496)+COUNTIF($E$4:$E$492,AN$496&amp;" ضد "&amp;$A507))</f>
        <v>0</v>
      </c>
      <c r="AO507" s="4">
        <f>IF($A507=AO$496,"",COUNTIF($E$4:$E$492,$A507&amp;" ضد "&amp;AO$496)+COUNTIF($E$4:$E$492,AO$496&amp;" ضد "&amp;$A507))</f>
        <v>0</v>
      </c>
      <c r="AP507" s="4">
        <f>IF($A507=AP$496,"",COUNTIF($E$4:$E$492,$A507&amp;" ضد "&amp;AP$496)+COUNTIF($E$4:$E$492,AP$496&amp;" ضد "&amp;$A507))</f>
        <v>0</v>
      </c>
      <c r="AQ507" s="4">
        <f>IF($A507=AQ$496,"",COUNTIF($E$4:$E$492,$A507&amp;" ضد "&amp;AQ$496)+COUNTIF($E$4:$E$492,AQ$496&amp;" ضد "&amp;$A507))</f>
        <v>0</v>
      </c>
      <c r="AR507" s="4">
        <f>IF($A507=AR$496,"",COUNTIF($E$4:$E$492,$A507&amp;" ضد "&amp;AR$496)+COUNTIF($E$4:$E$492,AR$496&amp;" ضد "&amp;$A507))</f>
        <v>0</v>
      </c>
      <c r="AS507" s="4">
        <f>IF($A507=AS$496,"",COUNTIF($E$4:$E$492,$A507&amp;" ضد "&amp;AS$496)+COUNTIF($E$4:$E$492,AS$496&amp;" ضد "&amp;$A507))</f>
        <v>0</v>
      </c>
      <c r="AT507" s="4">
        <f>IF($A507=AT$496,"",COUNTIF($E$4:$E$492,$A507&amp;" ضد "&amp;AT$496)+COUNTIF($E$4:$E$492,AT$496&amp;" ضد "&amp;$A507))</f>
        <v>0</v>
      </c>
      <c r="AU507" s="4">
        <f>IF($A507=AU$496,"",COUNTIF($E$4:$E$492,$A507&amp;" ضد "&amp;AU$496)+COUNTIF($E$4:$E$492,AU$496&amp;" ضد "&amp;$A507))</f>
        <v>0</v>
      </c>
      <c r="AV507" s="4">
        <f>IF($A507=AV$496,"",COUNTIF($E$4:$E$492,$A507&amp;" ضد "&amp;AV$496)+COUNTIF($E$4:$E$492,AV$496&amp;" ضد "&amp;$A507))</f>
        <v>0</v>
      </c>
      <c r="AW507" s="4">
        <f>IF($A507=AW$496,"",COUNTIF($E$4:$E$492,$A507&amp;" ضد "&amp;AW$496)+COUNTIF($E$4:$E$492,AW$496&amp;" ضد "&amp;$A507))</f>
        <v>0</v>
      </c>
      <c r="AX507" s="4">
        <f>IF($A507=AX$496,"",COUNTIF($E$4:$E$492,$A507&amp;" ضد "&amp;AX$496)+COUNTIF($E$4:$E$492,AX$496&amp;" ضد "&amp;$A507))</f>
        <v>0</v>
      </c>
      <c r="AY507" s="4">
        <f>IF($A507=AY$496,"",COUNTIF($E$4:$E$492,$A507&amp;" ضد "&amp;AY$496)+COUNTIF($E$4:$E$492,AY$496&amp;" ضد "&amp;$A507))</f>
        <v>0</v>
      </c>
      <c r="AZ507" s="4">
        <f>IF($A507=AZ$496,"",COUNTIF($E$4:$E$492,$A507&amp;" ضد "&amp;AZ$496)+COUNTIF($E$4:$E$492,AZ$496&amp;" ضد "&amp;$A507))</f>
        <v>0</v>
      </c>
      <c r="BA507" s="4">
        <f>IF($A507=BA$496,"",COUNTIF($E$4:$E$492,$A507&amp;" ضد "&amp;BA$496)+COUNTIF($E$4:$E$492,BA$496&amp;" ضد "&amp;$A507))</f>
        <v>0</v>
      </c>
      <c r="BB507" s="4">
        <f>IF($A507=BB$496,"",COUNTIF($E$4:$E$492,$A507&amp;" ضد "&amp;BB$496)+COUNTIF($E$4:$E$492,BB$496&amp;" ضد "&amp;$A507))</f>
        <v>0</v>
      </c>
      <c r="BC507" s="4">
        <f>IF($A507=BC$496,"",COUNTIF($E$4:$E$492,$A507&amp;" ضد "&amp;BC$496)+COUNTIF($E$4:$E$492,BC$496&amp;" ضد "&amp;$A507))</f>
        <v>0</v>
      </c>
    </row>
    <row r="508" spans="1:55" ht="14.5">
      <c r="A508" s="14">
        <v>12</v>
      </c>
      <c r="B508" s="4">
        <f>IF($A508=B$496,"",COUNTIF($E$4:$E$492,$A508&amp;" ضد "&amp;B$496)+COUNTIF($E$4:$E$492,B$496&amp;" ضد "&amp;$A508))</f>
        <v>2</v>
      </c>
      <c r="C508" s="4">
        <f>IF($A508=C$496,"",COUNTIF($E$4:$E$492,$A508&amp;" ضد "&amp;C$496)+COUNTIF($E$4:$E$492,C$496&amp;" ضد "&amp;$A508))</f>
        <v>1</v>
      </c>
      <c r="D508" s="4">
        <f>IF($A508=D$496,"",COUNTIF($E$4:$E$492,$A508&amp;" ضد "&amp;D$496)+COUNTIF($E$4:$E$492,D$496&amp;" ضد "&amp;$A508))</f>
        <v>2</v>
      </c>
      <c r="E508" s="4">
        <f>IF($A508=E$496,"",COUNTIF($E$4:$E$492,$A508&amp;" ضد "&amp;E$496)+COUNTIF($E$4:$E$492,E$496&amp;" ضد "&amp;$A508))</f>
        <v>1</v>
      </c>
      <c r="F508" s="4">
        <f>IF($A508=F$496,"",COUNTIF($E$4:$E$492,$A508&amp;" ضد "&amp;F$496)+COUNTIF($E$4:$E$492,F$496&amp;" ضد "&amp;$A508))</f>
        <v>1</v>
      </c>
      <c r="G508" s="4">
        <f>IF($A508=G$496,"",COUNTIF($E$4:$E$492,$A508&amp;" ضد "&amp;G$496)+COUNTIF($E$4:$E$492,G$496&amp;" ضد "&amp;$A508))</f>
        <v>1</v>
      </c>
      <c r="H508" s="4">
        <f>IF($A508=H$496,"",COUNTIF($E$4:$E$492,$A508&amp;" ضد "&amp;H$496)+COUNTIF($E$4:$E$492,H$496&amp;" ضد "&amp;$A508))</f>
        <v>1</v>
      </c>
      <c r="I508" s="4">
        <f>IF($A508=I$496,"",COUNTIF($E$4:$E$492,$A508&amp;" ضد "&amp;I$496)+COUNTIF($E$4:$E$492,I$496&amp;" ضد "&amp;$A508))</f>
        <v>2</v>
      </c>
      <c r="J508" s="4">
        <f>IF($A508=J$496,"",COUNTIF($E$4:$E$492,$A508&amp;" ضد "&amp;J$496)+COUNTIF($E$4:$E$492,J$496&amp;" ضد "&amp;$A508))</f>
        <v>1</v>
      </c>
      <c r="K508" s="4">
        <f>IF($A508=K$496,"",COUNTIF($E$4:$E$492,$A508&amp;" ضد "&amp;K$496)+COUNTIF($E$4:$E$492,K$496&amp;" ضد "&amp;$A508))</f>
        <v>2</v>
      </c>
      <c r="L508" s="4">
        <f>IF($A508=L$496,"",COUNTIF($E$4:$E$492,$A508&amp;" ضد "&amp;L$496)+COUNTIF($E$4:$E$492,L$496&amp;" ضد "&amp;$A508))</f>
        <v>1</v>
      </c>
      <c r="M508" s="4" t="str">
        <f>IF($A508=M$496,"",COUNTIF($E$4:$E$492,$A508&amp;" ضد "&amp;M$496)+COUNTIF($E$4:$E$492,M$496&amp;" ضد "&amp;$A508))</f>
        <v/>
      </c>
      <c r="N508" s="4">
        <f>IF($A508=N$496,"",COUNTIF($E$4:$E$492,$A508&amp;" ضد "&amp;N$496)+COUNTIF($E$4:$E$492,N$496&amp;" ضد "&amp;$A508))</f>
        <v>1</v>
      </c>
      <c r="O508" s="4">
        <f>IF($A508=O$496,"",COUNTIF($E$4:$E$492,$A508&amp;" ضد "&amp;O$496)+COUNTIF($E$4:$E$492,O$496&amp;" ضد "&amp;$A508))</f>
        <v>2</v>
      </c>
      <c r="P508" s="4">
        <f>IF($A508=P$496,"",COUNTIF($E$4:$E$492,$A508&amp;" ضد "&amp;P$496)+COUNTIF($E$4:$E$492,P$496&amp;" ضد "&amp;$A508))</f>
        <v>0</v>
      </c>
      <c r="Q508" s="4">
        <f>IF($A508=Q$496,"",COUNTIF($E$4:$E$492,$A508&amp;" ضد "&amp;Q$496)+COUNTIF($E$4:$E$492,Q$496&amp;" ضد "&amp;$A508))</f>
        <v>0</v>
      </c>
      <c r="R508" s="4">
        <f>IF($A508=R$496,"",COUNTIF($E$4:$E$492,$A508&amp;" ضد "&amp;R$496)+COUNTIF($E$4:$E$492,R$496&amp;" ضد "&amp;$A508))</f>
        <v>0</v>
      </c>
      <c r="S508" s="4">
        <f>IF($A508=S$496,"",COUNTIF($E$4:$E$492,$A508&amp;" ضد "&amp;S$496)+COUNTIF($E$4:$E$492,S$496&amp;" ضد "&amp;$A508))</f>
        <v>0</v>
      </c>
      <c r="T508" s="4">
        <f>IF($A508=T$496,"",COUNTIF($E$4:$E$492,$A508&amp;" ضد "&amp;T$496)+COUNTIF($E$4:$E$492,T$496&amp;" ضد "&amp;$A508))</f>
        <v>0</v>
      </c>
      <c r="U508" s="4">
        <f>IF($A508=U$496,"",COUNTIF($E$4:$E$492,$A508&amp;" ضد "&amp;U$496)+COUNTIF($E$4:$E$492,U$496&amp;" ضد "&amp;$A508))</f>
        <v>0</v>
      </c>
      <c r="V508" s="4">
        <f>IF($A508=V$496,"",COUNTIF($E$4:$E$492,$A508&amp;" ضد "&amp;V$496)+COUNTIF($E$4:$E$492,V$496&amp;" ضد "&amp;$A508))</f>
        <v>0</v>
      </c>
      <c r="W508" s="4">
        <f>IF($A508=W$496,"",COUNTIF($E$4:$E$492,$A508&amp;" ضد "&amp;W$496)+COUNTIF($E$4:$E$492,W$496&amp;" ضد "&amp;$A508))</f>
        <v>0</v>
      </c>
      <c r="X508" s="4">
        <f>IF($A508=X$496,"",COUNTIF($E$4:$E$492,$A508&amp;" ضد "&amp;X$496)+COUNTIF($E$4:$E$492,X$496&amp;" ضد "&amp;$A508))</f>
        <v>0</v>
      </c>
      <c r="Y508" s="4">
        <f>IF($A508=Y$496,"",COUNTIF($E$4:$E$492,$A508&amp;" ضد "&amp;Y$496)+COUNTIF($E$4:$E$492,Y$496&amp;" ضد "&amp;$A508))</f>
        <v>0</v>
      </c>
      <c r="Z508" s="4">
        <f>IF($A508=Z$496,"",COUNTIF($E$4:$E$492,$A508&amp;" ضد "&amp;Z$496)+COUNTIF($E$4:$E$492,Z$496&amp;" ضد "&amp;$A508))</f>
        <v>0</v>
      </c>
      <c r="AA508" s="4">
        <f>IF($A508=AA$496,"",COUNTIF($E$4:$E$492,$A508&amp;" ضد "&amp;AA$496)+COUNTIF($E$4:$E$492,AA$496&amp;" ضد "&amp;$A508))</f>
        <v>0</v>
      </c>
      <c r="AB508" s="4">
        <f>IF($A508=AB$496,"",COUNTIF($E$4:$E$492,$A508&amp;" ضد "&amp;AB$496)+COUNTIF($E$4:$E$492,AB$496&amp;" ضد "&amp;$A508))</f>
        <v>0</v>
      </c>
      <c r="AC508" s="4">
        <f>IF($A508=AC$496,"",COUNTIF($E$4:$E$492,$A508&amp;" ضد "&amp;AC$496)+COUNTIF($E$4:$E$492,AC$496&amp;" ضد "&amp;$A508))</f>
        <v>0</v>
      </c>
      <c r="AD508" s="4">
        <f>IF($A508=AD$496,"",COUNTIF($E$4:$E$492,$A508&amp;" ضد "&amp;AD$496)+COUNTIF($E$4:$E$492,AD$496&amp;" ضد "&amp;$A508))</f>
        <v>0</v>
      </c>
      <c r="AE508" s="4">
        <f>IF($A508=AE$496,"",COUNTIF($E$4:$E$492,$A508&amp;" ضد "&amp;AE$496)+COUNTIF($E$4:$E$492,AE$496&amp;" ضد "&amp;$A508))</f>
        <v>0</v>
      </c>
      <c r="AF508" s="4">
        <f>IF($A508=AF$496,"",COUNTIF($E$4:$E$492,$A508&amp;" ضد "&amp;AF$496)+COUNTIF($E$4:$E$492,AF$496&amp;" ضد "&amp;$A508))</f>
        <v>0</v>
      </c>
      <c r="AG508" s="4">
        <f>IF($A508=AG$496,"",COUNTIF($E$4:$E$492,$A508&amp;" ضد "&amp;AG$496)+COUNTIF($E$4:$E$492,AG$496&amp;" ضد "&amp;$A508))</f>
        <v>0</v>
      </c>
      <c r="AH508" s="4">
        <f>IF($A508=AH$496,"",COUNTIF($E$4:$E$492,$A508&amp;" ضد "&amp;AH$496)+COUNTIF($E$4:$E$492,AH$496&amp;" ضد "&amp;$A508))</f>
        <v>0</v>
      </c>
      <c r="AI508" s="4">
        <f>IF($A508=AI$496,"",COUNTIF($E$4:$E$492,$A508&amp;" ضد "&amp;AI$496)+COUNTIF($E$4:$E$492,AI$496&amp;" ضد "&amp;$A508))</f>
        <v>0</v>
      </c>
      <c r="AJ508" s="4">
        <f>IF($A508=AJ$496,"",COUNTIF($E$4:$E$492,$A508&amp;" ضد "&amp;AJ$496)+COUNTIF($E$4:$E$492,AJ$496&amp;" ضد "&amp;$A508))</f>
        <v>0</v>
      </c>
      <c r="AK508" s="4">
        <f>IF($A508=AK$496,"",COUNTIF($E$4:$E$492,$A508&amp;" ضد "&amp;AK$496)+COUNTIF($E$4:$E$492,AK$496&amp;" ضد "&amp;$A508))</f>
        <v>0</v>
      </c>
      <c r="AL508" s="4">
        <f>IF($A508=AL$496,"",COUNTIF($E$4:$E$492,$A508&amp;" ضد "&amp;AL$496)+COUNTIF($E$4:$E$492,AL$496&amp;" ضد "&amp;$A508))</f>
        <v>0</v>
      </c>
      <c r="AM508" s="4">
        <f>IF($A508=AM$496,"",COUNTIF($E$4:$E$492,$A508&amp;" ضد "&amp;AM$496)+COUNTIF($E$4:$E$492,AM$496&amp;" ضد "&amp;$A508))</f>
        <v>0</v>
      </c>
      <c r="AN508" s="4">
        <f>IF($A508=AN$496,"",COUNTIF($E$4:$E$492,$A508&amp;" ضد "&amp;AN$496)+COUNTIF($E$4:$E$492,AN$496&amp;" ضد "&amp;$A508))</f>
        <v>0</v>
      </c>
      <c r="AO508" s="4">
        <f>IF($A508=AO$496,"",COUNTIF($E$4:$E$492,$A508&amp;" ضد "&amp;AO$496)+COUNTIF($E$4:$E$492,AO$496&amp;" ضد "&amp;$A508))</f>
        <v>0</v>
      </c>
      <c r="AP508" s="4">
        <f>IF($A508=AP$496,"",COUNTIF($E$4:$E$492,$A508&amp;" ضد "&amp;AP$496)+COUNTIF($E$4:$E$492,AP$496&amp;" ضد "&amp;$A508))</f>
        <v>0</v>
      </c>
      <c r="AQ508" s="4">
        <f>IF($A508=AQ$496,"",COUNTIF($E$4:$E$492,$A508&amp;" ضد "&amp;AQ$496)+COUNTIF($E$4:$E$492,AQ$496&amp;" ضد "&amp;$A508))</f>
        <v>0</v>
      </c>
      <c r="AR508" s="4">
        <f>IF($A508=AR$496,"",COUNTIF($E$4:$E$492,$A508&amp;" ضد "&amp;AR$496)+COUNTIF($E$4:$E$492,AR$496&amp;" ضد "&amp;$A508))</f>
        <v>0</v>
      </c>
      <c r="AS508" s="4">
        <f>IF($A508=AS$496,"",COUNTIF($E$4:$E$492,$A508&amp;" ضد "&amp;AS$496)+COUNTIF($E$4:$E$492,AS$496&amp;" ضد "&amp;$A508))</f>
        <v>0</v>
      </c>
      <c r="AT508" s="4">
        <f>IF($A508=AT$496,"",COUNTIF($E$4:$E$492,$A508&amp;" ضد "&amp;AT$496)+COUNTIF($E$4:$E$492,AT$496&amp;" ضد "&amp;$A508))</f>
        <v>0</v>
      </c>
      <c r="AU508" s="4">
        <f>IF($A508=AU$496,"",COUNTIF($E$4:$E$492,$A508&amp;" ضد "&amp;AU$496)+COUNTIF($E$4:$E$492,AU$496&amp;" ضد "&amp;$A508))</f>
        <v>0</v>
      </c>
      <c r="AV508" s="4">
        <f>IF($A508=AV$496,"",COUNTIF($E$4:$E$492,$A508&amp;" ضد "&amp;AV$496)+COUNTIF($E$4:$E$492,AV$496&amp;" ضد "&amp;$A508))</f>
        <v>0</v>
      </c>
      <c r="AW508" s="4">
        <f>IF($A508=AW$496,"",COUNTIF($E$4:$E$492,$A508&amp;" ضد "&amp;AW$496)+COUNTIF($E$4:$E$492,AW$496&amp;" ضد "&amp;$A508))</f>
        <v>0</v>
      </c>
      <c r="AX508" s="4">
        <f>IF($A508=AX$496,"",COUNTIF($E$4:$E$492,$A508&amp;" ضد "&amp;AX$496)+COUNTIF($E$4:$E$492,AX$496&amp;" ضد "&amp;$A508))</f>
        <v>0</v>
      </c>
      <c r="AY508" s="4">
        <f>IF($A508=AY$496,"",COUNTIF($E$4:$E$492,$A508&amp;" ضد "&amp;AY$496)+COUNTIF($E$4:$E$492,AY$496&amp;" ضد "&amp;$A508))</f>
        <v>0</v>
      </c>
      <c r="AZ508" s="4">
        <f>IF($A508=AZ$496,"",COUNTIF($E$4:$E$492,$A508&amp;" ضد "&amp;AZ$496)+COUNTIF($E$4:$E$492,AZ$496&amp;" ضد "&amp;$A508))</f>
        <v>0</v>
      </c>
      <c r="BA508" s="4">
        <f>IF($A508=BA$496,"",COUNTIF($E$4:$E$492,$A508&amp;" ضد "&amp;BA$496)+COUNTIF($E$4:$E$492,BA$496&amp;" ضد "&amp;$A508))</f>
        <v>0</v>
      </c>
      <c r="BB508" s="4">
        <f>IF($A508=BB$496,"",COUNTIF($E$4:$E$492,$A508&amp;" ضد "&amp;BB$496)+COUNTIF($E$4:$E$492,BB$496&amp;" ضد "&amp;$A508))</f>
        <v>0</v>
      </c>
      <c r="BC508" s="4">
        <f>IF($A508=BC$496,"",COUNTIF($E$4:$E$492,$A508&amp;" ضد "&amp;BC$496)+COUNTIF($E$4:$E$492,BC$496&amp;" ضد "&amp;$A508))</f>
        <v>0</v>
      </c>
    </row>
    <row r="509" spans="1:55" ht="14.5">
      <c r="A509" s="14">
        <v>13</v>
      </c>
      <c r="B509" s="4">
        <f>IF($A509=B$496,"",COUNTIF($E$4:$E$492,$A509&amp;" ضد "&amp;B$496)+COUNTIF($E$4:$E$492,B$496&amp;" ضد "&amp;$A509))</f>
        <v>2</v>
      </c>
      <c r="C509" s="4">
        <f>IF($A509=C$496,"",COUNTIF($E$4:$E$492,$A509&amp;" ضد "&amp;C$496)+COUNTIF($E$4:$E$492,C$496&amp;" ضد "&amp;$A509))</f>
        <v>2</v>
      </c>
      <c r="D509" s="4">
        <f>IF($A509=D$496,"",COUNTIF($E$4:$E$492,$A509&amp;" ضد "&amp;D$496)+COUNTIF($E$4:$E$492,D$496&amp;" ضد "&amp;$A509))</f>
        <v>1</v>
      </c>
      <c r="E509" s="4">
        <f>IF($A509=E$496,"",COUNTIF($E$4:$E$492,$A509&amp;" ضد "&amp;E$496)+COUNTIF($E$4:$E$492,E$496&amp;" ضد "&amp;$A509))</f>
        <v>1</v>
      </c>
      <c r="F509" s="4">
        <f>IF($A509=F$496,"",COUNTIF($E$4:$E$492,$A509&amp;" ضد "&amp;F$496)+COUNTIF($E$4:$E$492,F$496&amp;" ضد "&amp;$A509))</f>
        <v>1</v>
      </c>
      <c r="G509" s="4">
        <f>IF($A509=G$496,"",COUNTIF($E$4:$E$492,$A509&amp;" ضد "&amp;G$496)+COUNTIF($E$4:$E$492,G$496&amp;" ضد "&amp;$A509))</f>
        <v>1</v>
      </c>
      <c r="H509" s="4">
        <f>IF($A509=H$496,"",COUNTIF($E$4:$E$492,$A509&amp;" ضد "&amp;H$496)+COUNTIF($E$4:$E$492,H$496&amp;" ضد "&amp;$A509))</f>
        <v>2</v>
      </c>
      <c r="I509" s="4">
        <f>IF($A509=I$496,"",COUNTIF($E$4:$E$492,$A509&amp;" ضد "&amp;I$496)+COUNTIF($E$4:$E$492,I$496&amp;" ضد "&amp;$A509))</f>
        <v>1</v>
      </c>
      <c r="J509" s="4">
        <f>IF($A509=J$496,"",COUNTIF($E$4:$E$492,$A509&amp;" ضد "&amp;J$496)+COUNTIF($E$4:$E$492,J$496&amp;" ضد "&amp;$A509))</f>
        <v>2</v>
      </c>
      <c r="K509" s="4">
        <f>IF($A509=K$496,"",COUNTIF($E$4:$E$492,$A509&amp;" ضد "&amp;K$496)+COUNTIF($E$4:$E$492,K$496&amp;" ضد "&amp;$A509))</f>
        <v>1</v>
      </c>
      <c r="L509" s="4">
        <f>IF($A509=L$496,"",COUNTIF($E$4:$E$492,$A509&amp;" ضد "&amp;L$496)+COUNTIF($E$4:$E$492,L$496&amp;" ضد "&amp;$A509))</f>
        <v>2</v>
      </c>
      <c r="M509" s="4">
        <f>IF($A509=M$496,"",COUNTIF($E$4:$E$492,$A509&amp;" ضد "&amp;M$496)+COUNTIF($E$4:$E$492,M$496&amp;" ضد "&amp;$A509))</f>
        <v>1</v>
      </c>
      <c r="N509" s="4" t="str">
        <f>IF($A509=N$496,"",COUNTIF($E$4:$E$492,$A509&amp;" ضد "&amp;N$496)+COUNTIF($E$4:$E$492,N$496&amp;" ضد "&amp;$A509))</f>
        <v/>
      </c>
      <c r="O509" s="4">
        <f>IF($A509=O$496,"",COUNTIF($E$4:$E$492,$A509&amp;" ضد "&amp;O$496)+COUNTIF($E$4:$E$492,O$496&amp;" ضد "&amp;$A509))</f>
        <v>1</v>
      </c>
      <c r="P509" s="4">
        <f>IF($A509=P$496,"",COUNTIF($E$4:$E$492,$A509&amp;" ضد "&amp;P$496)+COUNTIF($E$4:$E$492,P$496&amp;" ضد "&amp;$A509))</f>
        <v>0</v>
      </c>
      <c r="Q509" s="4">
        <f>IF($A509=Q$496,"",COUNTIF($E$4:$E$492,$A509&amp;" ضد "&amp;Q$496)+COUNTIF($E$4:$E$492,Q$496&amp;" ضد "&amp;$A509))</f>
        <v>0</v>
      </c>
      <c r="R509" s="4">
        <f>IF($A509=R$496,"",COUNTIF($E$4:$E$492,$A509&amp;" ضد "&amp;R$496)+COUNTIF($E$4:$E$492,R$496&amp;" ضد "&amp;$A509))</f>
        <v>0</v>
      </c>
      <c r="S509" s="4">
        <f>IF($A509=S$496,"",COUNTIF($E$4:$E$492,$A509&amp;" ضد "&amp;S$496)+COUNTIF($E$4:$E$492,S$496&amp;" ضد "&amp;$A509))</f>
        <v>0</v>
      </c>
      <c r="T509" s="4">
        <f>IF($A509=T$496,"",COUNTIF($E$4:$E$492,$A509&amp;" ضد "&amp;T$496)+COUNTIF($E$4:$E$492,T$496&amp;" ضد "&amp;$A509))</f>
        <v>0</v>
      </c>
      <c r="U509" s="4">
        <f>IF($A509=U$496,"",COUNTIF($E$4:$E$492,$A509&amp;" ضد "&amp;U$496)+COUNTIF($E$4:$E$492,U$496&amp;" ضد "&amp;$A509))</f>
        <v>0</v>
      </c>
      <c r="V509" s="4">
        <f>IF($A509=V$496,"",COUNTIF($E$4:$E$492,$A509&amp;" ضد "&amp;V$496)+COUNTIF($E$4:$E$492,V$496&amp;" ضد "&amp;$A509))</f>
        <v>0</v>
      </c>
      <c r="W509" s="4">
        <f>IF($A509=W$496,"",COUNTIF($E$4:$E$492,$A509&amp;" ضد "&amp;W$496)+COUNTIF($E$4:$E$492,W$496&amp;" ضد "&amp;$A509))</f>
        <v>0</v>
      </c>
      <c r="X509" s="4">
        <f>IF($A509=X$496,"",COUNTIF($E$4:$E$492,$A509&amp;" ضد "&amp;X$496)+COUNTIF($E$4:$E$492,X$496&amp;" ضد "&amp;$A509))</f>
        <v>0</v>
      </c>
      <c r="Y509" s="4">
        <f>IF($A509=Y$496,"",COUNTIF($E$4:$E$492,$A509&amp;" ضد "&amp;Y$496)+COUNTIF($E$4:$E$492,Y$496&amp;" ضد "&amp;$A509))</f>
        <v>0</v>
      </c>
      <c r="Z509" s="4">
        <f>IF($A509=Z$496,"",COUNTIF($E$4:$E$492,$A509&amp;" ضد "&amp;Z$496)+COUNTIF($E$4:$E$492,Z$496&amp;" ضد "&amp;$A509))</f>
        <v>0</v>
      </c>
      <c r="AA509" s="4">
        <f>IF($A509=AA$496,"",COUNTIF($E$4:$E$492,$A509&amp;" ضد "&amp;AA$496)+COUNTIF($E$4:$E$492,AA$496&amp;" ضد "&amp;$A509))</f>
        <v>0</v>
      </c>
      <c r="AB509" s="4">
        <f>IF($A509=AB$496,"",COUNTIF($E$4:$E$492,$A509&amp;" ضد "&amp;AB$496)+COUNTIF($E$4:$E$492,AB$496&amp;" ضد "&amp;$A509))</f>
        <v>0</v>
      </c>
      <c r="AC509" s="4">
        <f>IF($A509=AC$496,"",COUNTIF($E$4:$E$492,$A509&amp;" ضد "&amp;AC$496)+COUNTIF($E$4:$E$492,AC$496&amp;" ضد "&amp;$A509))</f>
        <v>0</v>
      </c>
      <c r="AD509" s="4">
        <f>IF($A509=AD$496,"",COUNTIF($E$4:$E$492,$A509&amp;" ضد "&amp;AD$496)+COUNTIF($E$4:$E$492,AD$496&amp;" ضد "&amp;$A509))</f>
        <v>0</v>
      </c>
      <c r="AE509" s="4">
        <f>IF($A509=AE$496,"",COUNTIF($E$4:$E$492,$A509&amp;" ضد "&amp;AE$496)+COUNTIF($E$4:$E$492,AE$496&amp;" ضد "&amp;$A509))</f>
        <v>0</v>
      </c>
      <c r="AF509" s="4">
        <f>IF($A509=AF$496,"",COUNTIF($E$4:$E$492,$A509&amp;" ضد "&amp;AF$496)+COUNTIF($E$4:$E$492,AF$496&amp;" ضد "&amp;$A509))</f>
        <v>0</v>
      </c>
      <c r="AG509" s="4">
        <f>IF($A509=AG$496,"",COUNTIF($E$4:$E$492,$A509&amp;" ضد "&amp;AG$496)+COUNTIF($E$4:$E$492,AG$496&amp;" ضد "&amp;$A509))</f>
        <v>0</v>
      </c>
      <c r="AH509" s="4">
        <f>IF($A509=AH$496,"",COUNTIF($E$4:$E$492,$A509&amp;" ضد "&amp;AH$496)+COUNTIF($E$4:$E$492,AH$496&amp;" ضد "&amp;$A509))</f>
        <v>0</v>
      </c>
      <c r="AI509" s="4">
        <f>IF($A509=AI$496,"",COUNTIF($E$4:$E$492,$A509&amp;" ضد "&amp;AI$496)+COUNTIF($E$4:$E$492,AI$496&amp;" ضد "&amp;$A509))</f>
        <v>0</v>
      </c>
      <c r="AJ509" s="4">
        <f>IF($A509=AJ$496,"",COUNTIF($E$4:$E$492,$A509&amp;" ضد "&amp;AJ$496)+COUNTIF($E$4:$E$492,AJ$496&amp;" ضد "&amp;$A509))</f>
        <v>0</v>
      </c>
      <c r="AK509" s="4">
        <f>IF($A509=AK$496,"",COUNTIF($E$4:$E$492,$A509&amp;" ضد "&amp;AK$496)+COUNTIF($E$4:$E$492,AK$496&amp;" ضد "&amp;$A509))</f>
        <v>0</v>
      </c>
      <c r="AL509" s="4">
        <f>IF($A509=AL$496,"",COUNTIF($E$4:$E$492,$A509&amp;" ضد "&amp;AL$496)+COUNTIF($E$4:$E$492,AL$496&amp;" ضد "&amp;$A509))</f>
        <v>0</v>
      </c>
      <c r="AM509" s="4">
        <f>IF($A509=AM$496,"",COUNTIF($E$4:$E$492,$A509&amp;" ضد "&amp;AM$496)+COUNTIF($E$4:$E$492,AM$496&amp;" ضد "&amp;$A509))</f>
        <v>0</v>
      </c>
      <c r="AN509" s="4">
        <f>IF($A509=AN$496,"",COUNTIF($E$4:$E$492,$A509&amp;" ضد "&amp;AN$496)+COUNTIF($E$4:$E$492,AN$496&amp;" ضد "&amp;$A509))</f>
        <v>0</v>
      </c>
      <c r="AO509" s="4">
        <f>IF($A509=AO$496,"",COUNTIF($E$4:$E$492,$A509&amp;" ضد "&amp;AO$496)+COUNTIF($E$4:$E$492,AO$496&amp;" ضد "&amp;$A509))</f>
        <v>0</v>
      </c>
      <c r="AP509" s="4">
        <f>IF($A509=AP$496,"",COUNTIF($E$4:$E$492,$A509&amp;" ضد "&amp;AP$496)+COUNTIF($E$4:$E$492,AP$496&amp;" ضد "&amp;$A509))</f>
        <v>0</v>
      </c>
      <c r="AQ509" s="4">
        <f>IF($A509=AQ$496,"",COUNTIF($E$4:$E$492,$A509&amp;" ضد "&amp;AQ$496)+COUNTIF($E$4:$E$492,AQ$496&amp;" ضد "&amp;$A509))</f>
        <v>0</v>
      </c>
      <c r="AR509" s="4">
        <f>IF($A509=AR$496,"",COUNTIF($E$4:$E$492,$A509&amp;" ضد "&amp;AR$496)+COUNTIF($E$4:$E$492,AR$496&amp;" ضد "&amp;$A509))</f>
        <v>0</v>
      </c>
      <c r="AS509" s="4">
        <f>IF($A509=AS$496,"",COUNTIF($E$4:$E$492,$A509&amp;" ضد "&amp;AS$496)+COUNTIF($E$4:$E$492,AS$496&amp;" ضد "&amp;$A509))</f>
        <v>0</v>
      </c>
      <c r="AT509" s="4">
        <f>IF($A509=AT$496,"",COUNTIF($E$4:$E$492,$A509&amp;" ضد "&amp;AT$496)+COUNTIF($E$4:$E$492,AT$496&amp;" ضد "&amp;$A509))</f>
        <v>0</v>
      </c>
      <c r="AU509" s="4">
        <f>IF($A509=AU$496,"",COUNTIF($E$4:$E$492,$A509&amp;" ضد "&amp;AU$496)+COUNTIF($E$4:$E$492,AU$496&amp;" ضد "&amp;$A509))</f>
        <v>0</v>
      </c>
      <c r="AV509" s="4">
        <f>IF($A509=AV$496,"",COUNTIF($E$4:$E$492,$A509&amp;" ضد "&amp;AV$496)+COUNTIF($E$4:$E$492,AV$496&amp;" ضد "&amp;$A509))</f>
        <v>0</v>
      </c>
      <c r="AW509" s="4">
        <f>IF($A509=AW$496,"",COUNTIF($E$4:$E$492,$A509&amp;" ضد "&amp;AW$496)+COUNTIF($E$4:$E$492,AW$496&amp;" ضد "&amp;$A509))</f>
        <v>0</v>
      </c>
      <c r="AX509" s="4">
        <f>IF($A509=AX$496,"",COUNTIF($E$4:$E$492,$A509&amp;" ضد "&amp;AX$496)+COUNTIF($E$4:$E$492,AX$496&amp;" ضد "&amp;$A509))</f>
        <v>0</v>
      </c>
      <c r="AY509" s="4">
        <f>IF($A509=AY$496,"",COUNTIF($E$4:$E$492,$A509&amp;" ضد "&amp;AY$496)+COUNTIF($E$4:$E$492,AY$496&amp;" ضد "&amp;$A509))</f>
        <v>0</v>
      </c>
      <c r="AZ509" s="4">
        <f>IF($A509=AZ$496,"",COUNTIF($E$4:$E$492,$A509&amp;" ضد "&amp;AZ$496)+COUNTIF($E$4:$E$492,AZ$496&amp;" ضد "&amp;$A509))</f>
        <v>0</v>
      </c>
      <c r="BA509" s="4">
        <f>IF($A509=BA$496,"",COUNTIF($E$4:$E$492,$A509&amp;" ضد "&amp;BA$496)+COUNTIF($E$4:$E$492,BA$496&amp;" ضد "&amp;$A509))</f>
        <v>0</v>
      </c>
      <c r="BB509" s="4">
        <f>IF($A509=BB$496,"",COUNTIF($E$4:$E$492,$A509&amp;" ضد "&amp;BB$496)+COUNTIF($E$4:$E$492,BB$496&amp;" ضد "&amp;$A509))</f>
        <v>0</v>
      </c>
      <c r="BC509" s="4">
        <f>IF($A509=BC$496,"",COUNTIF($E$4:$E$492,$A509&amp;" ضد "&amp;BC$496)+COUNTIF($E$4:$E$492,BC$496&amp;" ضد "&amp;$A509))</f>
        <v>0</v>
      </c>
    </row>
    <row r="510" spans="1:55" ht="14.5">
      <c r="A510" s="14">
        <v>14</v>
      </c>
      <c r="B510" s="4">
        <f>IF($A510=B$496,"",COUNTIF($E$4:$E$492,$A510&amp;" ضد "&amp;B$496)+COUNTIF($E$4:$E$492,B$496&amp;" ضد "&amp;$A510))</f>
        <v>2</v>
      </c>
      <c r="C510" s="4">
        <f>IF($A510=C$496,"",COUNTIF($E$4:$E$492,$A510&amp;" ضد "&amp;C$496)+COUNTIF($E$4:$E$492,C$496&amp;" ضد "&amp;$A510))</f>
        <v>1</v>
      </c>
      <c r="D510" s="4">
        <f>IF($A510=D$496,"",COUNTIF($E$4:$E$492,$A510&amp;" ضد "&amp;D$496)+COUNTIF($E$4:$E$492,D$496&amp;" ضد "&amp;$A510))</f>
        <v>1</v>
      </c>
      <c r="E510" s="4">
        <f>IF($A510=E$496,"",COUNTIF($E$4:$E$492,$A510&amp;" ضد "&amp;E$496)+COUNTIF($E$4:$E$492,E$496&amp;" ضد "&amp;$A510))</f>
        <v>1</v>
      </c>
      <c r="F510" s="4">
        <f>IF($A510=F$496,"",COUNTIF($E$4:$E$492,$A510&amp;" ضد "&amp;F$496)+COUNTIF($E$4:$E$492,F$496&amp;" ضد "&amp;$A510))</f>
        <v>1</v>
      </c>
      <c r="G510" s="4">
        <f>IF($A510=G$496,"",COUNTIF($E$4:$E$492,$A510&amp;" ضد "&amp;G$496)+COUNTIF($E$4:$E$492,G$496&amp;" ضد "&amp;$A510))</f>
        <v>2</v>
      </c>
      <c r="H510" s="4">
        <f>IF($A510=H$496,"",COUNTIF($E$4:$E$492,$A510&amp;" ضد "&amp;H$496)+COUNTIF($E$4:$E$492,H$496&amp;" ضد "&amp;$A510))</f>
        <v>1</v>
      </c>
      <c r="I510" s="4">
        <f>IF($A510=I$496,"",COUNTIF($E$4:$E$492,$A510&amp;" ضد "&amp;I$496)+COUNTIF($E$4:$E$492,I$496&amp;" ضد "&amp;$A510))</f>
        <v>2</v>
      </c>
      <c r="J510" s="4">
        <f>IF($A510=J$496,"",COUNTIF($E$4:$E$492,$A510&amp;" ضد "&amp;J$496)+COUNTIF($E$4:$E$492,J$496&amp;" ضد "&amp;$A510))</f>
        <v>1</v>
      </c>
      <c r="K510" s="4">
        <f>IF($A510=K$496,"",COUNTIF($E$4:$E$492,$A510&amp;" ضد "&amp;K$496)+COUNTIF($E$4:$E$492,K$496&amp;" ضد "&amp;$A510))</f>
        <v>2</v>
      </c>
      <c r="L510" s="4">
        <f>IF($A510=L$496,"",COUNTIF($E$4:$E$492,$A510&amp;" ضد "&amp;L$496)+COUNTIF($E$4:$E$492,L$496&amp;" ضد "&amp;$A510))</f>
        <v>1</v>
      </c>
      <c r="M510" s="4">
        <f>IF($A510=M$496,"",COUNTIF($E$4:$E$492,$A510&amp;" ضد "&amp;M$496)+COUNTIF($E$4:$E$492,M$496&amp;" ضد "&amp;$A510))</f>
        <v>2</v>
      </c>
      <c r="N510" s="4">
        <f>IF($A510=N$496,"",COUNTIF($E$4:$E$492,$A510&amp;" ضد "&amp;N$496)+COUNTIF($E$4:$E$492,N$496&amp;" ضد "&amp;$A510))</f>
        <v>1</v>
      </c>
      <c r="O510" s="4" t="str">
        <f>IF($A510=O$496,"",COUNTIF($E$4:$E$492,$A510&amp;" ضد "&amp;O$496)+COUNTIF($E$4:$E$492,O$496&amp;" ضد "&amp;$A510))</f>
        <v/>
      </c>
      <c r="P510" s="4">
        <f>IF($A510=P$496,"",COUNTIF($E$4:$E$492,$A510&amp;" ضد "&amp;P$496)+COUNTIF($E$4:$E$492,P$496&amp;" ضد "&amp;$A510))</f>
        <v>0</v>
      </c>
      <c r="Q510" s="4">
        <f>IF($A510=Q$496,"",COUNTIF($E$4:$E$492,$A510&amp;" ضد "&amp;Q$496)+COUNTIF($E$4:$E$492,Q$496&amp;" ضد "&amp;$A510))</f>
        <v>0</v>
      </c>
      <c r="R510" s="4">
        <f>IF($A510=R$496,"",COUNTIF($E$4:$E$492,$A510&amp;" ضد "&amp;R$496)+COUNTIF($E$4:$E$492,R$496&amp;" ضد "&amp;$A510))</f>
        <v>0</v>
      </c>
      <c r="S510" s="4">
        <f>IF($A510=S$496,"",COUNTIF($E$4:$E$492,$A510&amp;" ضد "&amp;S$496)+COUNTIF($E$4:$E$492,S$496&amp;" ضد "&amp;$A510))</f>
        <v>0</v>
      </c>
      <c r="T510" s="4">
        <f>IF($A510=T$496,"",COUNTIF($E$4:$E$492,$A510&amp;" ضد "&amp;T$496)+COUNTIF($E$4:$E$492,T$496&amp;" ضد "&amp;$A510))</f>
        <v>0</v>
      </c>
      <c r="U510" s="4">
        <f>IF($A510=U$496,"",COUNTIF($E$4:$E$492,$A510&amp;" ضد "&amp;U$496)+COUNTIF($E$4:$E$492,U$496&amp;" ضد "&amp;$A510))</f>
        <v>0</v>
      </c>
      <c r="V510" s="4">
        <f>IF($A510=V$496,"",COUNTIF($E$4:$E$492,$A510&amp;" ضد "&amp;V$496)+COUNTIF($E$4:$E$492,V$496&amp;" ضد "&amp;$A510))</f>
        <v>0</v>
      </c>
      <c r="W510" s="4">
        <f>IF($A510=W$496,"",COUNTIF($E$4:$E$492,$A510&amp;" ضد "&amp;W$496)+COUNTIF($E$4:$E$492,W$496&amp;" ضد "&amp;$A510))</f>
        <v>0</v>
      </c>
      <c r="X510" s="4">
        <f>IF($A510=X$496,"",COUNTIF($E$4:$E$492,$A510&amp;" ضد "&amp;X$496)+COUNTIF($E$4:$E$492,X$496&amp;" ضد "&amp;$A510))</f>
        <v>0</v>
      </c>
      <c r="Y510" s="4">
        <f>IF($A510=Y$496,"",COUNTIF($E$4:$E$492,$A510&amp;" ضد "&amp;Y$496)+COUNTIF($E$4:$E$492,Y$496&amp;" ضد "&amp;$A510))</f>
        <v>0</v>
      </c>
      <c r="Z510" s="4">
        <f>IF($A510=Z$496,"",COUNTIF($E$4:$E$492,$A510&amp;" ضد "&amp;Z$496)+COUNTIF($E$4:$E$492,Z$496&amp;" ضد "&amp;$A510))</f>
        <v>0</v>
      </c>
      <c r="AA510" s="4">
        <f>IF($A510=AA$496,"",COUNTIF($E$4:$E$492,$A510&amp;" ضد "&amp;AA$496)+COUNTIF($E$4:$E$492,AA$496&amp;" ضد "&amp;$A510))</f>
        <v>0</v>
      </c>
      <c r="AB510" s="4">
        <f>IF($A510=AB$496,"",COUNTIF($E$4:$E$492,$A510&amp;" ضد "&amp;AB$496)+COUNTIF($E$4:$E$492,AB$496&amp;" ضد "&amp;$A510))</f>
        <v>0</v>
      </c>
      <c r="AC510" s="4">
        <f>IF($A510=AC$496,"",COUNTIF($E$4:$E$492,$A510&amp;" ضد "&amp;AC$496)+COUNTIF($E$4:$E$492,AC$496&amp;" ضد "&amp;$A510))</f>
        <v>0</v>
      </c>
      <c r="AD510" s="4">
        <f>IF($A510=AD$496,"",COUNTIF($E$4:$E$492,$A510&amp;" ضد "&amp;AD$496)+COUNTIF($E$4:$E$492,AD$496&amp;" ضد "&amp;$A510))</f>
        <v>0</v>
      </c>
      <c r="AE510" s="4">
        <f>IF($A510=AE$496,"",COUNTIF($E$4:$E$492,$A510&amp;" ضد "&amp;AE$496)+COUNTIF($E$4:$E$492,AE$496&amp;" ضد "&amp;$A510))</f>
        <v>0</v>
      </c>
      <c r="AF510" s="4">
        <f>IF($A510=AF$496,"",COUNTIF($E$4:$E$492,$A510&amp;" ضد "&amp;AF$496)+COUNTIF($E$4:$E$492,AF$496&amp;" ضد "&amp;$A510))</f>
        <v>0</v>
      </c>
      <c r="AG510" s="4">
        <f>IF($A510=AG$496,"",COUNTIF($E$4:$E$492,$A510&amp;" ضد "&amp;AG$496)+COUNTIF($E$4:$E$492,AG$496&amp;" ضد "&amp;$A510))</f>
        <v>0</v>
      </c>
      <c r="AH510" s="4">
        <f>IF($A510=AH$496,"",COUNTIF($E$4:$E$492,$A510&amp;" ضد "&amp;AH$496)+COUNTIF($E$4:$E$492,AH$496&amp;" ضد "&amp;$A510))</f>
        <v>0</v>
      </c>
      <c r="AI510" s="4">
        <f>IF($A510=AI$496,"",COUNTIF($E$4:$E$492,$A510&amp;" ضد "&amp;AI$496)+COUNTIF($E$4:$E$492,AI$496&amp;" ضد "&amp;$A510))</f>
        <v>0</v>
      </c>
      <c r="AJ510" s="4">
        <f>IF($A510=AJ$496,"",COUNTIF($E$4:$E$492,$A510&amp;" ضد "&amp;AJ$496)+COUNTIF($E$4:$E$492,AJ$496&amp;" ضد "&amp;$A510))</f>
        <v>0</v>
      </c>
      <c r="AK510" s="4">
        <f>IF($A510=AK$496,"",COUNTIF($E$4:$E$492,$A510&amp;" ضد "&amp;AK$496)+COUNTIF($E$4:$E$492,AK$496&amp;" ضد "&amp;$A510))</f>
        <v>0</v>
      </c>
      <c r="AL510" s="4">
        <f>IF($A510=AL$496,"",COUNTIF($E$4:$E$492,$A510&amp;" ضد "&amp;AL$496)+COUNTIF($E$4:$E$492,AL$496&amp;" ضد "&amp;$A510))</f>
        <v>0</v>
      </c>
      <c r="AM510" s="4">
        <f>IF($A510=AM$496,"",COUNTIF($E$4:$E$492,$A510&amp;" ضد "&amp;AM$496)+COUNTIF($E$4:$E$492,AM$496&amp;" ضد "&amp;$A510))</f>
        <v>0</v>
      </c>
      <c r="AN510" s="4">
        <f>IF($A510=AN$496,"",COUNTIF($E$4:$E$492,$A510&amp;" ضد "&amp;AN$496)+COUNTIF($E$4:$E$492,AN$496&amp;" ضد "&amp;$A510))</f>
        <v>0</v>
      </c>
      <c r="AO510" s="4">
        <f>IF($A510=AO$496,"",COUNTIF($E$4:$E$492,$A510&amp;" ضد "&amp;AO$496)+COUNTIF($E$4:$E$492,AO$496&amp;" ضد "&amp;$A510))</f>
        <v>0</v>
      </c>
      <c r="AP510" s="4">
        <f>IF($A510=AP$496,"",COUNTIF($E$4:$E$492,$A510&amp;" ضد "&amp;AP$496)+COUNTIF($E$4:$E$492,AP$496&amp;" ضد "&amp;$A510))</f>
        <v>0</v>
      </c>
      <c r="AQ510" s="4">
        <f>IF($A510=AQ$496,"",COUNTIF($E$4:$E$492,$A510&amp;" ضد "&amp;AQ$496)+COUNTIF($E$4:$E$492,AQ$496&amp;" ضد "&amp;$A510))</f>
        <v>0</v>
      </c>
      <c r="AR510" s="4">
        <f>IF($A510=AR$496,"",COUNTIF($E$4:$E$492,$A510&amp;" ضد "&amp;AR$496)+COUNTIF($E$4:$E$492,AR$496&amp;" ضد "&amp;$A510))</f>
        <v>0</v>
      </c>
      <c r="AS510" s="4">
        <f>IF($A510=AS$496,"",COUNTIF($E$4:$E$492,$A510&amp;" ضد "&amp;AS$496)+COUNTIF($E$4:$E$492,AS$496&amp;" ضد "&amp;$A510))</f>
        <v>0</v>
      </c>
      <c r="AT510" s="4">
        <f>IF($A510=AT$496,"",COUNTIF($E$4:$E$492,$A510&amp;" ضد "&amp;AT$496)+COUNTIF($E$4:$E$492,AT$496&amp;" ضد "&amp;$A510))</f>
        <v>0</v>
      </c>
      <c r="AU510" s="4">
        <f>IF($A510=AU$496,"",COUNTIF($E$4:$E$492,$A510&amp;" ضد "&amp;AU$496)+COUNTIF($E$4:$E$492,AU$496&amp;" ضد "&amp;$A510))</f>
        <v>0</v>
      </c>
      <c r="AV510" s="4">
        <f>IF($A510=AV$496,"",COUNTIF($E$4:$E$492,$A510&amp;" ضد "&amp;AV$496)+COUNTIF($E$4:$E$492,AV$496&amp;" ضد "&amp;$A510))</f>
        <v>0</v>
      </c>
      <c r="AW510" s="4">
        <f>IF($A510=AW$496,"",COUNTIF($E$4:$E$492,$A510&amp;" ضد "&amp;AW$496)+COUNTIF($E$4:$E$492,AW$496&amp;" ضد "&amp;$A510))</f>
        <v>0</v>
      </c>
      <c r="AX510" s="4">
        <f>IF($A510=AX$496,"",COUNTIF($E$4:$E$492,$A510&amp;" ضد "&amp;AX$496)+COUNTIF($E$4:$E$492,AX$496&amp;" ضد "&amp;$A510))</f>
        <v>0</v>
      </c>
      <c r="AY510" s="4">
        <f>IF($A510=AY$496,"",COUNTIF($E$4:$E$492,$A510&amp;" ضد "&amp;AY$496)+COUNTIF($E$4:$E$492,AY$496&amp;" ضد "&amp;$A510))</f>
        <v>0</v>
      </c>
      <c r="AZ510" s="4">
        <f>IF($A510=AZ$496,"",COUNTIF($E$4:$E$492,$A510&amp;" ضد "&amp;AZ$496)+COUNTIF($E$4:$E$492,AZ$496&amp;" ضد "&amp;$A510))</f>
        <v>0</v>
      </c>
      <c r="BA510" s="4">
        <f>IF($A510=BA$496,"",COUNTIF($E$4:$E$492,$A510&amp;" ضد "&amp;BA$496)+COUNTIF($E$4:$E$492,BA$496&amp;" ضد "&amp;$A510))</f>
        <v>0</v>
      </c>
      <c r="BB510" s="4">
        <f>IF($A510=BB$496,"",COUNTIF($E$4:$E$492,$A510&amp;" ضد "&amp;BB$496)+COUNTIF($E$4:$E$492,BB$496&amp;" ضد "&amp;$A510))</f>
        <v>0</v>
      </c>
      <c r="BC510" s="4">
        <f>IF($A510=BC$496,"",COUNTIF($E$4:$E$492,$A510&amp;" ضد "&amp;BC$496)+COUNTIF($E$4:$E$492,BC$496&amp;" ضد "&amp;$A510))</f>
        <v>0</v>
      </c>
    </row>
    <row r="511" spans="1:55" ht="14.5">
      <c r="A511" s="14">
        <v>15</v>
      </c>
      <c r="B511" s="4">
        <f>IF($A511=B$496,"",COUNTIF($E$4:$E$492,$A511&amp;" ضد "&amp;B$496)+COUNTIF($E$4:$E$492,B$496&amp;" ضد "&amp;$A511))</f>
        <v>0</v>
      </c>
      <c r="C511" s="4">
        <f>IF($A511=C$496,"",COUNTIF($E$4:$E$492,$A511&amp;" ضد "&amp;C$496)+COUNTIF($E$4:$E$492,C$496&amp;" ضد "&amp;$A511))</f>
        <v>0</v>
      </c>
      <c r="D511" s="4">
        <f>IF($A511=D$496,"",COUNTIF($E$4:$E$492,$A511&amp;" ضد "&amp;D$496)+COUNTIF($E$4:$E$492,D$496&amp;" ضد "&amp;$A511))</f>
        <v>0</v>
      </c>
      <c r="E511" s="4">
        <f>IF($A511=E$496,"",COUNTIF($E$4:$E$492,$A511&amp;" ضد "&amp;E$496)+COUNTIF($E$4:$E$492,E$496&amp;" ضد "&amp;$A511))</f>
        <v>0</v>
      </c>
      <c r="F511" s="4">
        <f>IF($A511=F$496,"",COUNTIF($E$4:$E$492,$A511&amp;" ضد "&amp;F$496)+COUNTIF($E$4:$E$492,F$496&amp;" ضد "&amp;$A511))</f>
        <v>0</v>
      </c>
      <c r="G511" s="4">
        <f>IF($A511=G$496,"",COUNTIF($E$4:$E$492,$A511&amp;" ضد "&amp;G$496)+COUNTIF($E$4:$E$492,G$496&amp;" ضد "&amp;$A511))</f>
        <v>0</v>
      </c>
      <c r="H511" s="4">
        <f>IF($A511=H$496,"",COUNTIF($E$4:$E$492,$A511&amp;" ضد "&amp;H$496)+COUNTIF($E$4:$E$492,H$496&amp;" ضد "&amp;$A511))</f>
        <v>0</v>
      </c>
      <c r="I511" s="4">
        <f>IF($A511=I$496,"",COUNTIF($E$4:$E$492,$A511&amp;" ضد "&amp;I$496)+COUNTIF($E$4:$E$492,I$496&amp;" ضد "&amp;$A511))</f>
        <v>0</v>
      </c>
      <c r="J511" s="4">
        <f>IF($A511=J$496,"",COUNTIF($E$4:$E$492,$A511&amp;" ضد "&amp;J$496)+COUNTIF($E$4:$E$492,J$496&amp;" ضد "&amp;$A511))</f>
        <v>0</v>
      </c>
      <c r="K511" s="4">
        <f>IF($A511=K$496,"",COUNTIF($E$4:$E$492,$A511&amp;" ضد "&amp;K$496)+COUNTIF($E$4:$E$492,K$496&amp;" ضد "&amp;$A511))</f>
        <v>0</v>
      </c>
      <c r="L511" s="4">
        <f>IF($A511=L$496,"",COUNTIF($E$4:$E$492,$A511&amp;" ضد "&amp;L$496)+COUNTIF($E$4:$E$492,L$496&amp;" ضد "&amp;$A511))</f>
        <v>0</v>
      </c>
      <c r="M511" s="4">
        <f>IF($A511=M$496,"",COUNTIF($E$4:$E$492,$A511&amp;" ضد "&amp;M$496)+COUNTIF($E$4:$E$492,M$496&amp;" ضد "&amp;$A511))</f>
        <v>0</v>
      </c>
      <c r="N511" s="4">
        <f>IF($A511=N$496,"",COUNTIF($E$4:$E$492,$A511&amp;" ضد "&amp;N$496)+COUNTIF($E$4:$E$492,N$496&amp;" ضد "&amp;$A511))</f>
        <v>0</v>
      </c>
      <c r="O511" s="4">
        <f>IF($A511=O$496,"",COUNTIF($E$4:$E$492,$A511&amp;" ضد "&amp;O$496)+COUNTIF($E$4:$E$492,O$496&amp;" ضد "&amp;$A511))</f>
        <v>0</v>
      </c>
      <c r="P511" s="4" t="str">
        <f>IF($A511=P$496,"",COUNTIF($E$4:$E$492,$A511&amp;" ضد "&amp;P$496)+COUNTIF($E$4:$E$492,P$496&amp;" ضد "&amp;$A511))</f>
        <v/>
      </c>
      <c r="Q511" s="4">
        <f>IF($A511=Q$496,"",COUNTIF($E$4:$E$492,$A511&amp;" ضد "&amp;Q$496)+COUNTIF($E$4:$E$492,Q$496&amp;" ضد "&amp;$A511))</f>
        <v>1</v>
      </c>
      <c r="R511" s="4">
        <f>IF($A511=R$496,"",COUNTIF($E$4:$E$492,$A511&amp;" ضد "&amp;R$496)+COUNTIF($E$4:$E$492,R$496&amp;" ضد "&amp;$A511))</f>
        <v>1</v>
      </c>
      <c r="S511" s="4">
        <f>IF($A511=S$496,"",COUNTIF($E$4:$E$492,$A511&amp;" ضد "&amp;S$496)+COUNTIF($E$4:$E$492,S$496&amp;" ضد "&amp;$A511))</f>
        <v>1</v>
      </c>
      <c r="T511" s="4">
        <f>IF($A511=T$496,"",COUNTIF($E$4:$E$492,$A511&amp;" ضد "&amp;T$496)+COUNTIF($E$4:$E$492,T$496&amp;" ضد "&amp;$A511))</f>
        <v>1</v>
      </c>
      <c r="U511" s="4">
        <f>IF($A511=U$496,"",COUNTIF($E$4:$E$492,$A511&amp;" ضد "&amp;U$496)+COUNTIF($E$4:$E$492,U$496&amp;" ضد "&amp;$A511))</f>
        <v>1</v>
      </c>
      <c r="V511" s="4">
        <f>IF($A511=V$496,"",COUNTIF($E$4:$E$492,$A511&amp;" ضد "&amp;V$496)+COUNTIF($E$4:$E$492,V$496&amp;" ضد "&amp;$A511))</f>
        <v>1</v>
      </c>
      <c r="W511" s="4">
        <f>IF($A511=W$496,"",COUNTIF($E$4:$E$492,$A511&amp;" ضد "&amp;W$496)+COUNTIF($E$4:$E$492,W$496&amp;" ضد "&amp;$A511))</f>
        <v>1</v>
      </c>
      <c r="X511" s="4">
        <f>IF($A511=X$496,"",COUNTIF($E$4:$E$492,$A511&amp;" ضد "&amp;X$496)+COUNTIF($E$4:$E$492,X$496&amp;" ضد "&amp;$A511))</f>
        <v>1</v>
      </c>
      <c r="Y511" s="4">
        <f>IF($A511=Y$496,"",COUNTIF($E$4:$E$492,$A511&amp;" ضد "&amp;Y$496)+COUNTIF($E$4:$E$492,Y$496&amp;" ضد "&amp;$A511))</f>
        <v>2</v>
      </c>
      <c r="Z511" s="4">
        <f>IF($A511=Z$496,"",COUNTIF($E$4:$E$492,$A511&amp;" ضد "&amp;Z$496)+COUNTIF($E$4:$E$492,Z$496&amp;" ضد "&amp;$A511))</f>
        <v>2</v>
      </c>
      <c r="AA511" s="4">
        <f>IF($A511=AA$496,"",COUNTIF($E$4:$E$492,$A511&amp;" ضد "&amp;AA$496)+COUNTIF($E$4:$E$492,AA$496&amp;" ضد "&amp;$A511))</f>
        <v>2</v>
      </c>
      <c r="AB511" s="4">
        <f>IF($A511=AB$496,"",COUNTIF($E$4:$E$492,$A511&amp;" ضد "&amp;AB$496)+COUNTIF($E$4:$E$492,AB$496&amp;" ضد "&amp;$A511))</f>
        <v>2</v>
      </c>
      <c r="AC511" s="4">
        <f>IF($A511=AC$496,"",COUNTIF($E$4:$E$492,$A511&amp;" ضد "&amp;AC$496)+COUNTIF($E$4:$E$492,AC$496&amp;" ضد "&amp;$A511))</f>
        <v>2</v>
      </c>
      <c r="AD511" s="4">
        <f>IF($A511=AD$496,"",COUNTIF($E$4:$E$492,$A511&amp;" ضد "&amp;AD$496)+COUNTIF($E$4:$E$492,AD$496&amp;" ضد "&amp;$A511))</f>
        <v>0</v>
      </c>
      <c r="AE511" s="4">
        <f>IF($A511=AE$496,"",COUNTIF($E$4:$E$492,$A511&amp;" ضد "&amp;AE$496)+COUNTIF($E$4:$E$492,AE$496&amp;" ضد "&amp;$A511))</f>
        <v>0</v>
      </c>
      <c r="AF511" s="4">
        <f>IF($A511=AF$496,"",COUNTIF($E$4:$E$492,$A511&amp;" ضد "&amp;AF$496)+COUNTIF($E$4:$E$492,AF$496&amp;" ضد "&amp;$A511))</f>
        <v>0</v>
      </c>
      <c r="AG511" s="4">
        <f>IF($A511=AG$496,"",COUNTIF($E$4:$E$492,$A511&amp;" ضد "&amp;AG$496)+COUNTIF($E$4:$E$492,AG$496&amp;" ضد "&amp;$A511))</f>
        <v>0</v>
      </c>
      <c r="AH511" s="4">
        <f>IF($A511=AH$496,"",COUNTIF($E$4:$E$492,$A511&amp;" ضد "&amp;AH$496)+COUNTIF($E$4:$E$492,AH$496&amp;" ضد "&amp;$A511))</f>
        <v>0</v>
      </c>
      <c r="AI511" s="4">
        <f>IF($A511=AI$496,"",COUNTIF($E$4:$E$492,$A511&amp;" ضد "&amp;AI$496)+COUNTIF($E$4:$E$492,AI$496&amp;" ضد "&amp;$A511))</f>
        <v>0</v>
      </c>
      <c r="AJ511" s="4">
        <f>IF($A511=AJ$496,"",COUNTIF($E$4:$E$492,$A511&amp;" ضد "&amp;AJ$496)+COUNTIF($E$4:$E$492,AJ$496&amp;" ضد "&amp;$A511))</f>
        <v>0</v>
      </c>
      <c r="AK511" s="4">
        <f>IF($A511=AK$496,"",COUNTIF($E$4:$E$492,$A511&amp;" ضد "&amp;AK$496)+COUNTIF($E$4:$E$492,AK$496&amp;" ضد "&amp;$A511))</f>
        <v>0</v>
      </c>
      <c r="AL511" s="4">
        <f>IF($A511=AL$496,"",COUNTIF($E$4:$E$492,$A511&amp;" ضد "&amp;AL$496)+COUNTIF($E$4:$E$492,AL$496&amp;" ضد "&amp;$A511))</f>
        <v>0</v>
      </c>
      <c r="AM511" s="4">
        <f>IF($A511=AM$496,"",COUNTIF($E$4:$E$492,$A511&amp;" ضد "&amp;AM$496)+COUNTIF($E$4:$E$492,AM$496&amp;" ضد "&amp;$A511))</f>
        <v>0</v>
      </c>
      <c r="AN511" s="4">
        <f>IF($A511=AN$496,"",COUNTIF($E$4:$E$492,$A511&amp;" ضد "&amp;AN$496)+COUNTIF($E$4:$E$492,AN$496&amp;" ضد "&amp;$A511))</f>
        <v>0</v>
      </c>
      <c r="AO511" s="4">
        <f>IF($A511=AO$496,"",COUNTIF($E$4:$E$492,$A511&amp;" ضد "&amp;AO$496)+COUNTIF($E$4:$E$492,AO$496&amp;" ضد "&amp;$A511))</f>
        <v>0</v>
      </c>
      <c r="AP511" s="4">
        <f>IF($A511=AP$496,"",COUNTIF($E$4:$E$492,$A511&amp;" ضد "&amp;AP$496)+COUNTIF($E$4:$E$492,AP$496&amp;" ضد "&amp;$A511))</f>
        <v>0</v>
      </c>
      <c r="AQ511" s="4">
        <f>IF($A511=AQ$496,"",COUNTIF($E$4:$E$492,$A511&amp;" ضد "&amp;AQ$496)+COUNTIF($E$4:$E$492,AQ$496&amp;" ضد "&amp;$A511))</f>
        <v>0</v>
      </c>
      <c r="AR511" s="4">
        <f>IF($A511=AR$496,"",COUNTIF($E$4:$E$492,$A511&amp;" ضد "&amp;AR$496)+COUNTIF($E$4:$E$492,AR$496&amp;" ضد "&amp;$A511))</f>
        <v>0</v>
      </c>
      <c r="AS511" s="4">
        <f>IF($A511=AS$496,"",COUNTIF($E$4:$E$492,$A511&amp;" ضد "&amp;AS$496)+COUNTIF($E$4:$E$492,AS$496&amp;" ضد "&amp;$A511))</f>
        <v>0</v>
      </c>
      <c r="AT511" s="4">
        <f>IF($A511=AT$496,"",COUNTIF($E$4:$E$492,$A511&amp;" ضد "&amp;AT$496)+COUNTIF($E$4:$E$492,AT$496&amp;" ضد "&amp;$A511))</f>
        <v>0</v>
      </c>
      <c r="AU511" s="4">
        <f>IF($A511=AU$496,"",COUNTIF($E$4:$E$492,$A511&amp;" ضد "&amp;AU$496)+COUNTIF($E$4:$E$492,AU$496&amp;" ضد "&amp;$A511))</f>
        <v>0</v>
      </c>
      <c r="AV511" s="4">
        <f>IF($A511=AV$496,"",COUNTIF($E$4:$E$492,$A511&amp;" ضد "&amp;AV$496)+COUNTIF($E$4:$E$492,AV$496&amp;" ضد "&amp;$A511))</f>
        <v>0</v>
      </c>
      <c r="AW511" s="4">
        <f>IF($A511=AW$496,"",COUNTIF($E$4:$E$492,$A511&amp;" ضد "&amp;AW$496)+COUNTIF($E$4:$E$492,AW$496&amp;" ضد "&amp;$A511))</f>
        <v>0</v>
      </c>
      <c r="AX511" s="4">
        <f>IF($A511=AX$496,"",COUNTIF($E$4:$E$492,$A511&amp;" ضد "&amp;AX$496)+COUNTIF($E$4:$E$492,AX$496&amp;" ضد "&amp;$A511))</f>
        <v>0</v>
      </c>
      <c r="AY511" s="4">
        <f>IF($A511=AY$496,"",COUNTIF($E$4:$E$492,$A511&amp;" ضد "&amp;AY$496)+COUNTIF($E$4:$E$492,AY$496&amp;" ضد "&amp;$A511))</f>
        <v>0</v>
      </c>
      <c r="AZ511" s="4">
        <f>IF($A511=AZ$496,"",COUNTIF($E$4:$E$492,$A511&amp;" ضد "&amp;AZ$496)+COUNTIF($E$4:$E$492,AZ$496&amp;" ضد "&amp;$A511))</f>
        <v>0</v>
      </c>
      <c r="BA511" s="4">
        <f>IF($A511=BA$496,"",COUNTIF($E$4:$E$492,$A511&amp;" ضد "&amp;BA$496)+COUNTIF($E$4:$E$492,BA$496&amp;" ضد "&amp;$A511))</f>
        <v>0</v>
      </c>
      <c r="BB511" s="4">
        <f>IF($A511=BB$496,"",COUNTIF($E$4:$E$492,$A511&amp;" ضد "&amp;BB$496)+COUNTIF($E$4:$E$492,BB$496&amp;" ضد "&amp;$A511))</f>
        <v>0</v>
      </c>
      <c r="BC511" s="4">
        <f>IF($A511=BC$496,"",COUNTIF($E$4:$E$492,$A511&amp;" ضد "&amp;BC$496)+COUNTIF($E$4:$E$492,BC$496&amp;" ضد "&amp;$A511))</f>
        <v>0</v>
      </c>
    </row>
    <row r="512" spans="1:55" ht="14.5">
      <c r="A512" s="14">
        <v>16</v>
      </c>
      <c r="B512" s="4">
        <f>IF($A512=B$496,"",COUNTIF($E$4:$E$492,$A512&amp;" ضد "&amp;B$496)+COUNTIF($E$4:$E$492,B$496&amp;" ضد "&amp;$A512))</f>
        <v>0</v>
      </c>
      <c r="C512" s="4">
        <f>IF($A512=C$496,"",COUNTIF($E$4:$E$492,$A512&amp;" ضد "&amp;C$496)+COUNTIF($E$4:$E$492,C$496&amp;" ضد "&amp;$A512))</f>
        <v>0</v>
      </c>
      <c r="D512" s="4">
        <f>IF($A512=D$496,"",COUNTIF($E$4:$E$492,$A512&amp;" ضد "&amp;D$496)+COUNTIF($E$4:$E$492,D$496&amp;" ضد "&amp;$A512))</f>
        <v>0</v>
      </c>
      <c r="E512" s="4">
        <f>IF($A512=E$496,"",COUNTIF($E$4:$E$492,$A512&amp;" ضد "&amp;E$496)+COUNTIF($E$4:$E$492,E$496&amp;" ضد "&amp;$A512))</f>
        <v>0</v>
      </c>
      <c r="F512" s="4">
        <f>IF($A512=F$496,"",COUNTIF($E$4:$E$492,$A512&amp;" ضد "&amp;F$496)+COUNTIF($E$4:$E$492,F$496&amp;" ضد "&amp;$A512))</f>
        <v>0</v>
      </c>
      <c r="G512" s="4">
        <f>IF($A512=G$496,"",COUNTIF($E$4:$E$492,$A512&amp;" ضد "&amp;G$496)+COUNTIF($E$4:$E$492,G$496&amp;" ضد "&amp;$A512))</f>
        <v>0</v>
      </c>
      <c r="H512" s="4">
        <f>IF($A512=H$496,"",COUNTIF($E$4:$E$492,$A512&amp;" ضد "&amp;H$496)+COUNTIF($E$4:$E$492,H$496&amp;" ضد "&amp;$A512))</f>
        <v>0</v>
      </c>
      <c r="I512" s="4">
        <f>IF($A512=I$496,"",COUNTIF($E$4:$E$492,$A512&amp;" ضد "&amp;I$496)+COUNTIF($E$4:$E$492,I$496&amp;" ضد "&amp;$A512))</f>
        <v>0</v>
      </c>
      <c r="J512" s="4">
        <f>IF($A512=J$496,"",COUNTIF($E$4:$E$492,$A512&amp;" ضد "&amp;J$496)+COUNTIF($E$4:$E$492,J$496&amp;" ضد "&amp;$A512))</f>
        <v>0</v>
      </c>
      <c r="K512" s="4">
        <f>IF($A512=K$496,"",COUNTIF($E$4:$E$492,$A512&amp;" ضد "&amp;K$496)+COUNTIF($E$4:$E$492,K$496&amp;" ضد "&amp;$A512))</f>
        <v>0</v>
      </c>
      <c r="L512" s="4">
        <f>IF($A512=L$496,"",COUNTIF($E$4:$E$492,$A512&amp;" ضد "&amp;L$496)+COUNTIF($E$4:$E$492,L$496&amp;" ضد "&amp;$A512))</f>
        <v>0</v>
      </c>
      <c r="M512" s="4">
        <f>IF($A512=M$496,"",COUNTIF($E$4:$E$492,$A512&amp;" ضد "&amp;M$496)+COUNTIF($E$4:$E$492,M$496&amp;" ضد "&amp;$A512))</f>
        <v>0</v>
      </c>
      <c r="N512" s="4">
        <f>IF($A512=N$496,"",COUNTIF($E$4:$E$492,$A512&amp;" ضد "&amp;N$496)+COUNTIF($E$4:$E$492,N$496&amp;" ضد "&amp;$A512))</f>
        <v>0</v>
      </c>
      <c r="O512" s="4">
        <f>IF($A512=O$496,"",COUNTIF($E$4:$E$492,$A512&amp;" ضد "&amp;O$496)+COUNTIF($E$4:$E$492,O$496&amp;" ضد "&amp;$A512))</f>
        <v>0</v>
      </c>
      <c r="P512" s="4">
        <f>IF($A512=P$496,"",COUNTIF($E$4:$E$492,$A512&amp;" ضد "&amp;P$496)+COUNTIF($E$4:$E$492,P$496&amp;" ضد "&amp;$A512))</f>
        <v>1</v>
      </c>
      <c r="Q512" s="4" t="str">
        <f>IF($A512=Q$496,"",COUNTIF($E$4:$E$492,$A512&amp;" ضد "&amp;Q$496)+COUNTIF($E$4:$E$492,Q$496&amp;" ضد "&amp;$A512))</f>
        <v/>
      </c>
      <c r="R512" s="4">
        <f>IF($A512=R$496,"",COUNTIF($E$4:$E$492,$A512&amp;" ضد "&amp;R$496)+COUNTIF($E$4:$E$492,R$496&amp;" ضد "&amp;$A512))</f>
        <v>1</v>
      </c>
      <c r="S512" s="4">
        <f>IF($A512=S$496,"",COUNTIF($E$4:$E$492,$A512&amp;" ضد "&amp;S$496)+COUNTIF($E$4:$E$492,S$496&amp;" ضد "&amp;$A512))</f>
        <v>1</v>
      </c>
      <c r="T512" s="4">
        <f>IF($A512=T$496,"",COUNTIF($E$4:$E$492,$A512&amp;" ضد "&amp;T$496)+COUNTIF($E$4:$E$492,T$496&amp;" ضد "&amp;$A512))</f>
        <v>2</v>
      </c>
      <c r="U512" s="4">
        <f>IF($A512=U$496,"",COUNTIF($E$4:$E$492,$A512&amp;" ضد "&amp;U$496)+COUNTIF($E$4:$E$492,U$496&amp;" ضد "&amp;$A512))</f>
        <v>1</v>
      </c>
      <c r="V512" s="4">
        <f>IF($A512=V$496,"",COUNTIF($E$4:$E$492,$A512&amp;" ضد "&amp;V$496)+COUNTIF($E$4:$E$492,V$496&amp;" ضد "&amp;$A512))</f>
        <v>2</v>
      </c>
      <c r="W512" s="4">
        <f>IF($A512=W$496,"",COUNTIF($E$4:$E$492,$A512&amp;" ضد "&amp;W$496)+COUNTIF($E$4:$E$492,W$496&amp;" ضد "&amp;$A512))</f>
        <v>1</v>
      </c>
      <c r="X512" s="4">
        <f>IF($A512=X$496,"",COUNTIF($E$4:$E$492,$A512&amp;" ضد "&amp;X$496)+COUNTIF($E$4:$E$492,X$496&amp;" ضد "&amp;$A512))</f>
        <v>2</v>
      </c>
      <c r="Y512" s="4">
        <f>IF($A512=Y$496,"",COUNTIF($E$4:$E$492,$A512&amp;" ضد "&amp;Y$496)+COUNTIF($E$4:$E$492,Y$496&amp;" ضد "&amp;$A512))</f>
        <v>1</v>
      </c>
      <c r="Z512" s="4">
        <f>IF($A512=Z$496,"",COUNTIF($E$4:$E$492,$A512&amp;" ضد "&amp;Z$496)+COUNTIF($E$4:$E$492,Z$496&amp;" ضد "&amp;$A512))</f>
        <v>2</v>
      </c>
      <c r="AA512" s="4">
        <f>IF($A512=AA$496,"",COUNTIF($E$4:$E$492,$A512&amp;" ضد "&amp;AA$496)+COUNTIF($E$4:$E$492,AA$496&amp;" ضد "&amp;$A512))</f>
        <v>1</v>
      </c>
      <c r="AB512" s="4">
        <f>IF($A512=AB$496,"",COUNTIF($E$4:$E$492,$A512&amp;" ضد "&amp;AB$496)+COUNTIF($E$4:$E$492,AB$496&amp;" ضد "&amp;$A512))</f>
        <v>2</v>
      </c>
      <c r="AC512" s="4">
        <f>IF($A512=AC$496,"",COUNTIF($E$4:$E$492,$A512&amp;" ضد "&amp;AC$496)+COUNTIF($E$4:$E$492,AC$496&amp;" ضد "&amp;$A512))</f>
        <v>1</v>
      </c>
      <c r="AD512" s="4">
        <f>IF($A512=AD$496,"",COUNTIF($E$4:$E$492,$A512&amp;" ضد "&amp;AD$496)+COUNTIF($E$4:$E$492,AD$496&amp;" ضد "&amp;$A512))</f>
        <v>0</v>
      </c>
      <c r="AE512" s="4">
        <f>IF($A512=AE$496,"",COUNTIF($E$4:$E$492,$A512&amp;" ضد "&amp;AE$496)+COUNTIF($E$4:$E$492,AE$496&amp;" ضد "&amp;$A512))</f>
        <v>0</v>
      </c>
      <c r="AF512" s="4">
        <f>IF($A512=AF$496,"",COUNTIF($E$4:$E$492,$A512&amp;" ضد "&amp;AF$496)+COUNTIF($E$4:$E$492,AF$496&amp;" ضد "&amp;$A512))</f>
        <v>0</v>
      </c>
      <c r="AG512" s="4">
        <f>IF($A512=AG$496,"",COUNTIF($E$4:$E$492,$A512&amp;" ضد "&amp;AG$496)+COUNTIF($E$4:$E$492,AG$496&amp;" ضد "&amp;$A512))</f>
        <v>0</v>
      </c>
      <c r="AH512" s="4">
        <f>IF($A512=AH$496,"",COUNTIF($E$4:$E$492,$A512&amp;" ضد "&amp;AH$496)+COUNTIF($E$4:$E$492,AH$496&amp;" ضد "&amp;$A512))</f>
        <v>0</v>
      </c>
      <c r="AI512" s="4">
        <f>IF($A512=AI$496,"",COUNTIF($E$4:$E$492,$A512&amp;" ضد "&amp;AI$496)+COUNTIF($E$4:$E$492,AI$496&amp;" ضد "&amp;$A512))</f>
        <v>0</v>
      </c>
      <c r="AJ512" s="4">
        <f>IF($A512=AJ$496,"",COUNTIF($E$4:$E$492,$A512&amp;" ضد "&amp;AJ$496)+COUNTIF($E$4:$E$492,AJ$496&amp;" ضد "&amp;$A512))</f>
        <v>0</v>
      </c>
      <c r="AK512" s="4">
        <f>IF($A512=AK$496,"",COUNTIF($E$4:$E$492,$A512&amp;" ضد "&amp;AK$496)+COUNTIF($E$4:$E$492,AK$496&amp;" ضد "&amp;$A512))</f>
        <v>0</v>
      </c>
      <c r="AL512" s="4">
        <f>IF($A512=AL$496,"",COUNTIF($E$4:$E$492,$A512&amp;" ضد "&amp;AL$496)+COUNTIF($E$4:$E$492,AL$496&amp;" ضد "&amp;$A512))</f>
        <v>0</v>
      </c>
      <c r="AM512" s="4">
        <f>IF($A512=AM$496,"",COUNTIF($E$4:$E$492,$A512&amp;" ضد "&amp;AM$496)+COUNTIF($E$4:$E$492,AM$496&amp;" ضد "&amp;$A512))</f>
        <v>0</v>
      </c>
      <c r="AN512" s="4">
        <f>IF($A512=AN$496,"",COUNTIF($E$4:$E$492,$A512&amp;" ضد "&amp;AN$496)+COUNTIF($E$4:$E$492,AN$496&amp;" ضد "&amp;$A512))</f>
        <v>0</v>
      </c>
      <c r="AO512" s="4">
        <f>IF($A512=AO$496,"",COUNTIF($E$4:$E$492,$A512&amp;" ضد "&amp;AO$496)+COUNTIF($E$4:$E$492,AO$496&amp;" ضد "&amp;$A512))</f>
        <v>0</v>
      </c>
      <c r="AP512" s="4">
        <f>IF($A512=AP$496,"",COUNTIF($E$4:$E$492,$A512&amp;" ضد "&amp;AP$496)+COUNTIF($E$4:$E$492,AP$496&amp;" ضد "&amp;$A512))</f>
        <v>0</v>
      </c>
      <c r="AQ512" s="4">
        <f>IF($A512=AQ$496,"",COUNTIF($E$4:$E$492,$A512&amp;" ضد "&amp;AQ$496)+COUNTIF($E$4:$E$492,AQ$496&amp;" ضد "&amp;$A512))</f>
        <v>0</v>
      </c>
      <c r="AR512" s="4">
        <f>IF($A512=AR$496,"",COUNTIF($E$4:$E$492,$A512&amp;" ضد "&amp;AR$496)+COUNTIF($E$4:$E$492,AR$496&amp;" ضد "&amp;$A512))</f>
        <v>0</v>
      </c>
      <c r="AS512" s="4">
        <f>IF($A512=AS$496,"",COUNTIF($E$4:$E$492,$A512&amp;" ضد "&amp;AS$496)+COUNTIF($E$4:$E$492,AS$496&amp;" ضد "&amp;$A512))</f>
        <v>0</v>
      </c>
      <c r="AT512" s="4">
        <f>IF($A512=AT$496,"",COUNTIF($E$4:$E$492,$A512&amp;" ضد "&amp;AT$496)+COUNTIF($E$4:$E$492,AT$496&amp;" ضد "&amp;$A512))</f>
        <v>0</v>
      </c>
      <c r="AU512" s="4">
        <f>IF($A512=AU$496,"",COUNTIF($E$4:$E$492,$A512&amp;" ضد "&amp;AU$496)+COUNTIF($E$4:$E$492,AU$496&amp;" ضد "&amp;$A512))</f>
        <v>0</v>
      </c>
      <c r="AV512" s="4">
        <f>IF($A512=AV$496,"",COUNTIF($E$4:$E$492,$A512&amp;" ضد "&amp;AV$496)+COUNTIF($E$4:$E$492,AV$496&amp;" ضد "&amp;$A512))</f>
        <v>0</v>
      </c>
      <c r="AW512" s="4">
        <f>IF($A512=AW$496,"",COUNTIF($E$4:$E$492,$A512&amp;" ضد "&amp;AW$496)+COUNTIF($E$4:$E$492,AW$496&amp;" ضد "&amp;$A512))</f>
        <v>0</v>
      </c>
      <c r="AX512" s="4">
        <f>IF($A512=AX$496,"",COUNTIF($E$4:$E$492,$A512&amp;" ضد "&amp;AX$496)+COUNTIF($E$4:$E$492,AX$496&amp;" ضد "&amp;$A512))</f>
        <v>0</v>
      </c>
      <c r="AY512" s="4">
        <f>IF($A512=AY$496,"",COUNTIF($E$4:$E$492,$A512&amp;" ضد "&amp;AY$496)+COUNTIF($E$4:$E$492,AY$496&amp;" ضد "&amp;$A512))</f>
        <v>0</v>
      </c>
      <c r="AZ512" s="4">
        <f>IF($A512=AZ$496,"",COUNTIF($E$4:$E$492,$A512&amp;" ضد "&amp;AZ$496)+COUNTIF($E$4:$E$492,AZ$496&amp;" ضد "&amp;$A512))</f>
        <v>0</v>
      </c>
      <c r="BA512" s="4">
        <f>IF($A512=BA$496,"",COUNTIF($E$4:$E$492,$A512&amp;" ضد "&amp;BA$496)+COUNTIF($E$4:$E$492,BA$496&amp;" ضد "&amp;$A512))</f>
        <v>0</v>
      </c>
      <c r="BB512" s="4">
        <f>IF($A512=BB$496,"",COUNTIF($E$4:$E$492,$A512&amp;" ضد "&amp;BB$496)+COUNTIF($E$4:$E$492,BB$496&amp;" ضد "&amp;$A512))</f>
        <v>0</v>
      </c>
      <c r="BC512" s="4">
        <f>IF($A512=BC$496,"",COUNTIF($E$4:$E$492,$A512&amp;" ضد "&amp;BC$496)+COUNTIF($E$4:$E$492,BC$496&amp;" ضد "&amp;$A512))</f>
        <v>0</v>
      </c>
    </row>
    <row r="513" spans="1:55" ht="14.5">
      <c r="A513" s="14">
        <v>17</v>
      </c>
      <c r="B513" s="4">
        <f>IF($A513=B$496,"",COUNTIF($E$4:$E$492,$A513&amp;" ضد "&amp;B$496)+COUNTIF($E$4:$E$492,B$496&amp;" ضد "&amp;$A513))</f>
        <v>0</v>
      </c>
      <c r="C513" s="4">
        <f>IF($A513=C$496,"",COUNTIF($E$4:$E$492,$A513&amp;" ضد "&amp;C$496)+COUNTIF($E$4:$E$492,C$496&amp;" ضد "&amp;$A513))</f>
        <v>0</v>
      </c>
      <c r="D513" s="4">
        <f>IF($A513=D$496,"",COUNTIF($E$4:$E$492,$A513&amp;" ضد "&amp;D$496)+COUNTIF($E$4:$E$492,D$496&amp;" ضد "&amp;$A513))</f>
        <v>0</v>
      </c>
      <c r="E513" s="4">
        <f>IF($A513=E$496,"",COUNTIF($E$4:$E$492,$A513&amp;" ضد "&amp;E$496)+COUNTIF($E$4:$E$492,E$496&amp;" ضد "&amp;$A513))</f>
        <v>0</v>
      </c>
      <c r="F513" s="4">
        <f>IF($A513=F$496,"",COUNTIF($E$4:$E$492,$A513&amp;" ضد "&amp;F$496)+COUNTIF($E$4:$E$492,F$496&amp;" ضد "&amp;$A513))</f>
        <v>0</v>
      </c>
      <c r="G513" s="4">
        <f>IF($A513=G$496,"",COUNTIF($E$4:$E$492,$A513&amp;" ضد "&amp;G$496)+COUNTIF($E$4:$E$492,G$496&amp;" ضد "&amp;$A513))</f>
        <v>0</v>
      </c>
      <c r="H513" s="4">
        <f>IF($A513=H$496,"",COUNTIF($E$4:$E$492,$A513&amp;" ضد "&amp;H$496)+COUNTIF($E$4:$E$492,H$496&amp;" ضد "&amp;$A513))</f>
        <v>0</v>
      </c>
      <c r="I513" s="4">
        <f>IF($A513=I$496,"",COUNTIF($E$4:$E$492,$A513&amp;" ضد "&amp;I$496)+COUNTIF($E$4:$E$492,I$496&amp;" ضد "&amp;$A513))</f>
        <v>0</v>
      </c>
      <c r="J513" s="4">
        <f>IF($A513=J$496,"",COUNTIF($E$4:$E$492,$A513&amp;" ضد "&amp;J$496)+COUNTIF($E$4:$E$492,J$496&amp;" ضد "&amp;$A513))</f>
        <v>0</v>
      </c>
      <c r="K513" s="4">
        <f>IF($A513=K$496,"",COUNTIF($E$4:$E$492,$A513&amp;" ضد "&amp;K$496)+COUNTIF($E$4:$E$492,K$496&amp;" ضد "&amp;$A513))</f>
        <v>0</v>
      </c>
      <c r="L513" s="4">
        <f>IF($A513=L$496,"",COUNTIF($E$4:$E$492,$A513&amp;" ضد "&amp;L$496)+COUNTIF($E$4:$E$492,L$496&amp;" ضد "&amp;$A513))</f>
        <v>0</v>
      </c>
      <c r="M513" s="4">
        <f>IF($A513=M$496,"",COUNTIF($E$4:$E$492,$A513&amp;" ضد "&amp;M$496)+COUNTIF($E$4:$E$492,M$496&amp;" ضد "&amp;$A513))</f>
        <v>0</v>
      </c>
      <c r="N513" s="4">
        <f>IF($A513=N$496,"",COUNTIF($E$4:$E$492,$A513&amp;" ضد "&amp;N$496)+COUNTIF($E$4:$E$492,N$496&amp;" ضد "&amp;$A513))</f>
        <v>0</v>
      </c>
      <c r="O513" s="4">
        <f>IF($A513=O$496,"",COUNTIF($E$4:$E$492,$A513&amp;" ضد "&amp;O$496)+COUNTIF($E$4:$E$492,O$496&amp;" ضد "&amp;$A513))</f>
        <v>0</v>
      </c>
      <c r="P513" s="4">
        <f>IF($A513=P$496,"",COUNTIF($E$4:$E$492,$A513&amp;" ضد "&amp;P$496)+COUNTIF($E$4:$E$492,P$496&amp;" ضد "&amp;$A513))</f>
        <v>1</v>
      </c>
      <c r="Q513" s="4">
        <f>IF($A513=Q$496,"",COUNTIF($E$4:$E$492,$A513&amp;" ضد "&amp;Q$496)+COUNTIF($E$4:$E$492,Q$496&amp;" ضد "&amp;$A513))</f>
        <v>1</v>
      </c>
      <c r="R513" s="4" t="str">
        <f>IF($A513=R$496,"",COUNTIF($E$4:$E$492,$A513&amp;" ضد "&amp;R$496)+COUNTIF($E$4:$E$492,R$496&amp;" ضد "&amp;$A513))</f>
        <v/>
      </c>
      <c r="S513" s="4">
        <f>IF($A513=S$496,"",COUNTIF($E$4:$E$492,$A513&amp;" ضد "&amp;S$496)+COUNTIF($E$4:$E$492,S$496&amp;" ضد "&amp;$A513))</f>
        <v>2</v>
      </c>
      <c r="T513" s="4">
        <f>IF($A513=T$496,"",COUNTIF($E$4:$E$492,$A513&amp;" ضد "&amp;T$496)+COUNTIF($E$4:$E$492,T$496&amp;" ضد "&amp;$A513))</f>
        <v>1</v>
      </c>
      <c r="U513" s="4">
        <f>IF($A513=U$496,"",COUNTIF($E$4:$E$492,$A513&amp;" ضد "&amp;U$496)+COUNTIF($E$4:$E$492,U$496&amp;" ضد "&amp;$A513))</f>
        <v>2</v>
      </c>
      <c r="V513" s="4">
        <f>IF($A513=V$496,"",COUNTIF($E$4:$E$492,$A513&amp;" ضد "&amp;V$496)+COUNTIF($E$4:$E$492,V$496&amp;" ضد "&amp;$A513))</f>
        <v>1</v>
      </c>
      <c r="W513" s="4">
        <f>IF($A513=W$496,"",COUNTIF($E$4:$E$492,$A513&amp;" ضد "&amp;W$496)+COUNTIF($E$4:$E$492,W$496&amp;" ضد "&amp;$A513))</f>
        <v>2</v>
      </c>
      <c r="X513" s="4">
        <f>IF($A513=X$496,"",COUNTIF($E$4:$E$492,$A513&amp;" ضد "&amp;X$496)+COUNTIF($E$4:$E$492,X$496&amp;" ضد "&amp;$A513))</f>
        <v>1</v>
      </c>
      <c r="Y513" s="4">
        <f>IF($A513=Y$496,"",COUNTIF($E$4:$E$492,$A513&amp;" ضد "&amp;Y$496)+COUNTIF($E$4:$E$492,Y$496&amp;" ضد "&amp;$A513))</f>
        <v>2</v>
      </c>
      <c r="Z513" s="4">
        <f>IF($A513=Z$496,"",COUNTIF($E$4:$E$492,$A513&amp;" ضد "&amp;Z$496)+COUNTIF($E$4:$E$492,Z$496&amp;" ضد "&amp;$A513))</f>
        <v>1</v>
      </c>
      <c r="AA513" s="4">
        <f>IF($A513=AA$496,"",COUNTIF($E$4:$E$492,$A513&amp;" ضد "&amp;AA$496)+COUNTIF($E$4:$E$492,AA$496&amp;" ضد "&amp;$A513))</f>
        <v>2</v>
      </c>
      <c r="AB513" s="4">
        <f>IF($A513=AB$496,"",COUNTIF($E$4:$E$492,$A513&amp;" ضد "&amp;AB$496)+COUNTIF($E$4:$E$492,AB$496&amp;" ضد "&amp;$A513))</f>
        <v>1</v>
      </c>
      <c r="AC513" s="4">
        <f>IF($A513=AC$496,"",COUNTIF($E$4:$E$492,$A513&amp;" ضد "&amp;AC$496)+COUNTIF($E$4:$E$492,AC$496&amp;" ضد "&amp;$A513))</f>
        <v>1</v>
      </c>
      <c r="AD513" s="4">
        <f>IF($A513=AD$496,"",COUNTIF($E$4:$E$492,$A513&amp;" ضد "&amp;AD$496)+COUNTIF($E$4:$E$492,AD$496&amp;" ضد "&amp;$A513))</f>
        <v>0</v>
      </c>
      <c r="AE513" s="4">
        <f>IF($A513=AE$496,"",COUNTIF($E$4:$E$492,$A513&amp;" ضد "&amp;AE$496)+COUNTIF($E$4:$E$492,AE$496&amp;" ضد "&amp;$A513))</f>
        <v>0</v>
      </c>
      <c r="AF513" s="4">
        <f>IF($A513=AF$496,"",COUNTIF($E$4:$E$492,$A513&amp;" ضد "&amp;AF$496)+COUNTIF($E$4:$E$492,AF$496&amp;" ضد "&amp;$A513))</f>
        <v>0</v>
      </c>
      <c r="AG513" s="4">
        <f>IF($A513=AG$496,"",COUNTIF($E$4:$E$492,$A513&amp;" ضد "&amp;AG$496)+COUNTIF($E$4:$E$492,AG$496&amp;" ضد "&amp;$A513))</f>
        <v>0</v>
      </c>
      <c r="AH513" s="4">
        <f>IF($A513=AH$496,"",COUNTIF($E$4:$E$492,$A513&amp;" ضد "&amp;AH$496)+COUNTIF($E$4:$E$492,AH$496&amp;" ضد "&amp;$A513))</f>
        <v>0</v>
      </c>
      <c r="AI513" s="4">
        <f>IF($A513=AI$496,"",COUNTIF($E$4:$E$492,$A513&amp;" ضد "&amp;AI$496)+COUNTIF($E$4:$E$492,AI$496&amp;" ضد "&amp;$A513))</f>
        <v>0</v>
      </c>
      <c r="AJ513" s="4">
        <f>IF($A513=AJ$496,"",COUNTIF($E$4:$E$492,$A513&amp;" ضد "&amp;AJ$496)+COUNTIF($E$4:$E$492,AJ$496&amp;" ضد "&amp;$A513))</f>
        <v>0</v>
      </c>
      <c r="AK513" s="4">
        <f>IF($A513=AK$496,"",COUNTIF($E$4:$E$492,$A513&amp;" ضد "&amp;AK$496)+COUNTIF($E$4:$E$492,AK$496&amp;" ضد "&amp;$A513))</f>
        <v>0</v>
      </c>
      <c r="AL513" s="4">
        <f>IF($A513=AL$496,"",COUNTIF($E$4:$E$492,$A513&amp;" ضد "&amp;AL$496)+COUNTIF($E$4:$E$492,AL$496&amp;" ضد "&amp;$A513))</f>
        <v>0</v>
      </c>
      <c r="AM513" s="4">
        <f>IF($A513=AM$496,"",COUNTIF($E$4:$E$492,$A513&amp;" ضد "&amp;AM$496)+COUNTIF($E$4:$E$492,AM$496&amp;" ضد "&amp;$A513))</f>
        <v>0</v>
      </c>
      <c r="AN513" s="4">
        <f>IF($A513=AN$496,"",COUNTIF($E$4:$E$492,$A513&amp;" ضد "&amp;AN$496)+COUNTIF($E$4:$E$492,AN$496&amp;" ضد "&amp;$A513))</f>
        <v>0</v>
      </c>
      <c r="AO513" s="4">
        <f>IF($A513=AO$496,"",COUNTIF($E$4:$E$492,$A513&amp;" ضد "&amp;AO$496)+COUNTIF($E$4:$E$492,AO$496&amp;" ضد "&amp;$A513))</f>
        <v>0</v>
      </c>
      <c r="AP513" s="4">
        <f>IF($A513=AP$496,"",COUNTIF($E$4:$E$492,$A513&amp;" ضد "&amp;AP$496)+COUNTIF($E$4:$E$492,AP$496&amp;" ضد "&amp;$A513))</f>
        <v>0</v>
      </c>
      <c r="AQ513" s="4">
        <f>IF($A513=AQ$496,"",COUNTIF($E$4:$E$492,$A513&amp;" ضد "&amp;AQ$496)+COUNTIF($E$4:$E$492,AQ$496&amp;" ضد "&amp;$A513))</f>
        <v>0</v>
      </c>
      <c r="AR513" s="4">
        <f>IF($A513=AR$496,"",COUNTIF($E$4:$E$492,$A513&amp;" ضد "&amp;AR$496)+COUNTIF($E$4:$E$492,AR$496&amp;" ضد "&amp;$A513))</f>
        <v>0</v>
      </c>
      <c r="AS513" s="4">
        <f>IF($A513=AS$496,"",COUNTIF($E$4:$E$492,$A513&amp;" ضد "&amp;AS$496)+COUNTIF($E$4:$E$492,AS$496&amp;" ضد "&amp;$A513))</f>
        <v>0</v>
      </c>
      <c r="AT513" s="4">
        <f>IF($A513=AT$496,"",COUNTIF($E$4:$E$492,$A513&amp;" ضد "&amp;AT$496)+COUNTIF($E$4:$E$492,AT$496&amp;" ضد "&amp;$A513))</f>
        <v>0</v>
      </c>
      <c r="AU513" s="4">
        <f>IF($A513=AU$496,"",COUNTIF($E$4:$E$492,$A513&amp;" ضد "&amp;AU$496)+COUNTIF($E$4:$E$492,AU$496&amp;" ضد "&amp;$A513))</f>
        <v>0</v>
      </c>
      <c r="AV513" s="4">
        <f>IF($A513=AV$496,"",COUNTIF($E$4:$E$492,$A513&amp;" ضد "&amp;AV$496)+COUNTIF($E$4:$E$492,AV$496&amp;" ضد "&amp;$A513))</f>
        <v>0</v>
      </c>
      <c r="AW513" s="4">
        <f>IF($A513=AW$496,"",COUNTIF($E$4:$E$492,$A513&amp;" ضد "&amp;AW$496)+COUNTIF($E$4:$E$492,AW$496&amp;" ضد "&amp;$A513))</f>
        <v>0</v>
      </c>
      <c r="AX513" s="4">
        <f>IF($A513=AX$496,"",COUNTIF($E$4:$E$492,$A513&amp;" ضد "&amp;AX$496)+COUNTIF($E$4:$E$492,AX$496&amp;" ضد "&amp;$A513))</f>
        <v>0</v>
      </c>
      <c r="AY513" s="4">
        <f>IF($A513=AY$496,"",COUNTIF($E$4:$E$492,$A513&amp;" ضد "&amp;AY$496)+COUNTIF($E$4:$E$492,AY$496&amp;" ضد "&amp;$A513))</f>
        <v>0</v>
      </c>
      <c r="AZ513" s="4">
        <f>IF($A513=AZ$496,"",COUNTIF($E$4:$E$492,$A513&amp;" ضد "&amp;AZ$496)+COUNTIF($E$4:$E$492,AZ$496&amp;" ضد "&amp;$A513))</f>
        <v>0</v>
      </c>
      <c r="BA513" s="4">
        <f>IF($A513=BA$496,"",COUNTIF($E$4:$E$492,$A513&amp;" ضد "&amp;BA$496)+COUNTIF($E$4:$E$492,BA$496&amp;" ضد "&amp;$A513))</f>
        <v>0</v>
      </c>
      <c r="BB513" s="4">
        <f>IF($A513=BB$496,"",COUNTIF($E$4:$E$492,$A513&amp;" ضد "&amp;BB$496)+COUNTIF($E$4:$E$492,BB$496&amp;" ضد "&amp;$A513))</f>
        <v>0</v>
      </c>
      <c r="BC513" s="4">
        <f>IF($A513=BC$496,"",COUNTIF($E$4:$E$492,$A513&amp;" ضد "&amp;BC$496)+COUNTIF($E$4:$E$492,BC$496&amp;" ضد "&amp;$A513))</f>
        <v>0</v>
      </c>
    </row>
    <row r="514" spans="1:55" ht="14.5">
      <c r="A514" s="14">
        <v>18</v>
      </c>
      <c r="B514" s="4">
        <f>IF($A514=B$496,"",COUNTIF($E$4:$E$492,$A514&amp;" ضد "&amp;B$496)+COUNTIF($E$4:$E$492,B$496&amp;" ضد "&amp;$A514))</f>
        <v>0</v>
      </c>
      <c r="C514" s="4">
        <f>IF($A514=C$496,"",COUNTIF($E$4:$E$492,$A514&amp;" ضد "&amp;C$496)+COUNTIF($E$4:$E$492,C$496&amp;" ضد "&amp;$A514))</f>
        <v>0</v>
      </c>
      <c r="D514" s="4">
        <f>IF($A514=D$496,"",COUNTIF($E$4:$E$492,$A514&amp;" ضد "&amp;D$496)+COUNTIF($E$4:$E$492,D$496&amp;" ضد "&amp;$A514))</f>
        <v>0</v>
      </c>
      <c r="E514" s="4">
        <f>IF($A514=E$496,"",COUNTIF($E$4:$E$492,$A514&amp;" ضد "&amp;E$496)+COUNTIF($E$4:$E$492,E$496&amp;" ضد "&amp;$A514))</f>
        <v>0</v>
      </c>
      <c r="F514" s="4">
        <f>IF($A514=F$496,"",COUNTIF($E$4:$E$492,$A514&amp;" ضد "&amp;F$496)+COUNTIF($E$4:$E$492,F$496&amp;" ضد "&amp;$A514))</f>
        <v>0</v>
      </c>
      <c r="G514" s="4">
        <f>IF($A514=G$496,"",COUNTIF($E$4:$E$492,$A514&amp;" ضد "&amp;G$496)+COUNTIF($E$4:$E$492,G$496&amp;" ضد "&amp;$A514))</f>
        <v>0</v>
      </c>
      <c r="H514" s="4">
        <f>IF($A514=H$496,"",COUNTIF($E$4:$E$492,$A514&amp;" ضد "&amp;H$496)+COUNTIF($E$4:$E$492,H$496&amp;" ضد "&amp;$A514))</f>
        <v>0</v>
      </c>
      <c r="I514" s="4">
        <f>IF($A514=I$496,"",COUNTIF($E$4:$E$492,$A514&amp;" ضد "&amp;I$496)+COUNTIF($E$4:$E$492,I$496&amp;" ضد "&amp;$A514))</f>
        <v>0</v>
      </c>
      <c r="J514" s="4">
        <f>IF($A514=J$496,"",COUNTIF($E$4:$E$492,$A514&amp;" ضد "&amp;J$496)+COUNTIF($E$4:$E$492,J$496&amp;" ضد "&amp;$A514))</f>
        <v>0</v>
      </c>
      <c r="K514" s="4">
        <f>IF($A514=K$496,"",COUNTIF($E$4:$E$492,$A514&amp;" ضد "&amp;K$496)+COUNTIF($E$4:$E$492,K$496&amp;" ضد "&amp;$A514))</f>
        <v>0</v>
      </c>
      <c r="L514" s="4">
        <f>IF($A514=L$496,"",COUNTIF($E$4:$E$492,$A514&amp;" ضد "&amp;L$496)+COUNTIF($E$4:$E$492,L$496&amp;" ضد "&amp;$A514))</f>
        <v>0</v>
      </c>
      <c r="M514" s="4">
        <f>IF($A514=M$496,"",COUNTIF($E$4:$E$492,$A514&amp;" ضد "&amp;M$496)+COUNTIF($E$4:$E$492,M$496&amp;" ضد "&amp;$A514))</f>
        <v>0</v>
      </c>
      <c r="N514" s="4">
        <f>IF($A514=N$496,"",COUNTIF($E$4:$E$492,$A514&amp;" ضد "&amp;N$496)+COUNTIF($E$4:$E$492,N$496&amp;" ضد "&amp;$A514))</f>
        <v>0</v>
      </c>
      <c r="O514" s="4">
        <f>IF($A514=O$496,"",COUNTIF($E$4:$E$492,$A514&amp;" ضد "&amp;O$496)+COUNTIF($E$4:$E$492,O$496&amp;" ضد "&amp;$A514))</f>
        <v>0</v>
      </c>
      <c r="P514" s="4">
        <f>IF($A514=P$496,"",COUNTIF($E$4:$E$492,$A514&amp;" ضد "&amp;P$496)+COUNTIF($E$4:$E$492,P$496&amp;" ضد "&amp;$A514))</f>
        <v>1</v>
      </c>
      <c r="Q514" s="4">
        <f>IF($A514=Q$496,"",COUNTIF($E$4:$E$492,$A514&amp;" ضد "&amp;Q$496)+COUNTIF($E$4:$E$492,Q$496&amp;" ضد "&amp;$A514))</f>
        <v>1</v>
      </c>
      <c r="R514" s="4">
        <f>IF($A514=R$496,"",COUNTIF($E$4:$E$492,$A514&amp;" ضد "&amp;R$496)+COUNTIF($E$4:$E$492,R$496&amp;" ضد "&amp;$A514))</f>
        <v>2</v>
      </c>
      <c r="S514" s="4" t="str">
        <f>IF($A514=S$496,"",COUNTIF($E$4:$E$492,$A514&amp;" ضد "&amp;S$496)+COUNTIF($E$4:$E$492,S$496&amp;" ضد "&amp;$A514))</f>
        <v/>
      </c>
      <c r="T514" s="4">
        <f>IF($A514=T$496,"",COUNTIF($E$4:$E$492,$A514&amp;" ضد "&amp;T$496)+COUNTIF($E$4:$E$492,T$496&amp;" ضد "&amp;$A514))</f>
        <v>2</v>
      </c>
      <c r="U514" s="4">
        <f>IF($A514=U$496,"",COUNTIF($E$4:$E$492,$A514&amp;" ضد "&amp;U$496)+COUNTIF($E$4:$E$492,U$496&amp;" ضد "&amp;$A514))</f>
        <v>1</v>
      </c>
      <c r="V514" s="4">
        <f>IF($A514=V$496,"",COUNTIF($E$4:$E$492,$A514&amp;" ضد "&amp;V$496)+COUNTIF($E$4:$E$492,V$496&amp;" ضد "&amp;$A514))</f>
        <v>2</v>
      </c>
      <c r="W514" s="4">
        <f>IF($A514=W$496,"",COUNTIF($E$4:$E$492,$A514&amp;" ضد "&amp;W$496)+COUNTIF($E$4:$E$492,W$496&amp;" ضد "&amp;$A514))</f>
        <v>1</v>
      </c>
      <c r="X514" s="4">
        <f>IF($A514=X$496,"",COUNTIF($E$4:$E$492,$A514&amp;" ضد "&amp;X$496)+COUNTIF($E$4:$E$492,X$496&amp;" ضد "&amp;$A514))</f>
        <v>2</v>
      </c>
      <c r="Y514" s="4">
        <f>IF($A514=Y$496,"",COUNTIF($E$4:$E$492,$A514&amp;" ضد "&amp;Y$496)+COUNTIF($E$4:$E$492,Y$496&amp;" ضد "&amp;$A514))</f>
        <v>1</v>
      </c>
      <c r="Z514" s="4">
        <f>IF($A514=Z$496,"",COUNTIF($E$4:$E$492,$A514&amp;" ضد "&amp;Z$496)+COUNTIF($E$4:$E$492,Z$496&amp;" ضد "&amp;$A514))</f>
        <v>2</v>
      </c>
      <c r="AA514" s="4">
        <f>IF($A514=AA$496,"",COUNTIF($E$4:$E$492,$A514&amp;" ضد "&amp;AA$496)+COUNTIF($E$4:$E$492,AA$496&amp;" ضد "&amp;$A514))</f>
        <v>1</v>
      </c>
      <c r="AB514" s="4">
        <f>IF($A514=AB$496,"",COUNTIF($E$4:$E$492,$A514&amp;" ضد "&amp;AB$496)+COUNTIF($E$4:$E$492,AB$496&amp;" ضد "&amp;$A514))</f>
        <v>1</v>
      </c>
      <c r="AC514" s="4">
        <f>IF($A514=AC$496,"",COUNTIF($E$4:$E$492,$A514&amp;" ضد "&amp;AC$496)+COUNTIF($E$4:$E$492,AC$496&amp;" ضد "&amp;$A514))</f>
        <v>1</v>
      </c>
      <c r="AD514" s="4">
        <f>IF($A514=AD$496,"",COUNTIF($E$4:$E$492,$A514&amp;" ضد "&amp;AD$496)+COUNTIF($E$4:$E$492,AD$496&amp;" ضد "&amp;$A514))</f>
        <v>0</v>
      </c>
      <c r="AE514" s="4">
        <f>IF($A514=AE$496,"",COUNTIF($E$4:$E$492,$A514&amp;" ضد "&amp;AE$496)+COUNTIF($E$4:$E$492,AE$496&amp;" ضد "&amp;$A514))</f>
        <v>0</v>
      </c>
      <c r="AF514" s="4">
        <f>IF($A514=AF$496,"",COUNTIF($E$4:$E$492,$A514&amp;" ضد "&amp;AF$496)+COUNTIF($E$4:$E$492,AF$496&amp;" ضد "&amp;$A514))</f>
        <v>0</v>
      </c>
      <c r="AG514" s="4">
        <f>IF($A514=AG$496,"",COUNTIF($E$4:$E$492,$A514&amp;" ضد "&amp;AG$496)+COUNTIF($E$4:$E$492,AG$496&amp;" ضد "&amp;$A514))</f>
        <v>0</v>
      </c>
      <c r="AH514" s="4">
        <f>IF($A514=AH$496,"",COUNTIF($E$4:$E$492,$A514&amp;" ضد "&amp;AH$496)+COUNTIF($E$4:$E$492,AH$496&amp;" ضد "&amp;$A514))</f>
        <v>0</v>
      </c>
      <c r="AI514" s="4">
        <f>IF($A514=AI$496,"",COUNTIF($E$4:$E$492,$A514&amp;" ضد "&amp;AI$496)+COUNTIF($E$4:$E$492,AI$496&amp;" ضد "&amp;$A514))</f>
        <v>0</v>
      </c>
      <c r="AJ514" s="4">
        <f>IF($A514=AJ$496,"",COUNTIF($E$4:$E$492,$A514&amp;" ضد "&amp;AJ$496)+COUNTIF($E$4:$E$492,AJ$496&amp;" ضد "&amp;$A514))</f>
        <v>0</v>
      </c>
      <c r="AK514" s="4">
        <f>IF($A514=AK$496,"",COUNTIF($E$4:$E$492,$A514&amp;" ضد "&amp;AK$496)+COUNTIF($E$4:$E$492,AK$496&amp;" ضد "&amp;$A514))</f>
        <v>0</v>
      </c>
      <c r="AL514" s="4">
        <f>IF($A514=AL$496,"",COUNTIF($E$4:$E$492,$A514&amp;" ضد "&amp;AL$496)+COUNTIF($E$4:$E$492,AL$496&amp;" ضد "&amp;$A514))</f>
        <v>0</v>
      </c>
      <c r="AM514" s="4">
        <f>IF($A514=AM$496,"",COUNTIF($E$4:$E$492,$A514&amp;" ضد "&amp;AM$496)+COUNTIF($E$4:$E$492,AM$496&amp;" ضد "&amp;$A514))</f>
        <v>0</v>
      </c>
      <c r="AN514" s="4">
        <f>IF($A514=AN$496,"",COUNTIF($E$4:$E$492,$A514&amp;" ضد "&amp;AN$496)+COUNTIF($E$4:$E$492,AN$496&amp;" ضد "&amp;$A514))</f>
        <v>0</v>
      </c>
      <c r="AO514" s="4">
        <f>IF($A514=AO$496,"",COUNTIF($E$4:$E$492,$A514&amp;" ضد "&amp;AO$496)+COUNTIF($E$4:$E$492,AO$496&amp;" ضد "&amp;$A514))</f>
        <v>0</v>
      </c>
      <c r="AP514" s="4">
        <f>IF($A514=AP$496,"",COUNTIF($E$4:$E$492,$A514&amp;" ضد "&amp;AP$496)+COUNTIF($E$4:$E$492,AP$496&amp;" ضد "&amp;$A514))</f>
        <v>0</v>
      </c>
      <c r="AQ514" s="4">
        <f>IF($A514=AQ$496,"",COUNTIF($E$4:$E$492,$A514&amp;" ضد "&amp;AQ$496)+COUNTIF($E$4:$E$492,AQ$496&amp;" ضد "&amp;$A514))</f>
        <v>0</v>
      </c>
      <c r="AR514" s="4">
        <f>IF($A514=AR$496,"",COUNTIF($E$4:$E$492,$A514&amp;" ضد "&amp;AR$496)+COUNTIF($E$4:$E$492,AR$496&amp;" ضد "&amp;$A514))</f>
        <v>0</v>
      </c>
      <c r="AS514" s="4">
        <f>IF($A514=AS$496,"",COUNTIF($E$4:$E$492,$A514&amp;" ضد "&amp;AS$496)+COUNTIF($E$4:$E$492,AS$496&amp;" ضد "&amp;$A514))</f>
        <v>0</v>
      </c>
      <c r="AT514" s="4">
        <f>IF($A514=AT$496,"",COUNTIF($E$4:$E$492,$A514&amp;" ضد "&amp;AT$496)+COUNTIF($E$4:$E$492,AT$496&amp;" ضد "&amp;$A514))</f>
        <v>0</v>
      </c>
      <c r="AU514" s="4">
        <f>IF($A514=AU$496,"",COUNTIF($E$4:$E$492,$A514&amp;" ضد "&amp;AU$496)+COUNTIF($E$4:$E$492,AU$496&amp;" ضد "&amp;$A514))</f>
        <v>0</v>
      </c>
      <c r="AV514" s="4">
        <f>IF($A514=AV$496,"",COUNTIF($E$4:$E$492,$A514&amp;" ضد "&amp;AV$496)+COUNTIF($E$4:$E$492,AV$496&amp;" ضد "&amp;$A514))</f>
        <v>0</v>
      </c>
      <c r="AW514" s="4">
        <f>IF($A514=AW$496,"",COUNTIF($E$4:$E$492,$A514&amp;" ضد "&amp;AW$496)+COUNTIF($E$4:$E$492,AW$496&amp;" ضد "&amp;$A514))</f>
        <v>0</v>
      </c>
      <c r="AX514" s="4">
        <f>IF($A514=AX$496,"",COUNTIF($E$4:$E$492,$A514&amp;" ضد "&amp;AX$496)+COUNTIF($E$4:$E$492,AX$496&amp;" ضد "&amp;$A514))</f>
        <v>0</v>
      </c>
      <c r="AY514" s="4">
        <f>IF($A514=AY$496,"",COUNTIF($E$4:$E$492,$A514&amp;" ضد "&amp;AY$496)+COUNTIF($E$4:$E$492,AY$496&amp;" ضد "&amp;$A514))</f>
        <v>0</v>
      </c>
      <c r="AZ514" s="4">
        <f>IF($A514=AZ$496,"",COUNTIF($E$4:$E$492,$A514&amp;" ضد "&amp;AZ$496)+COUNTIF($E$4:$E$492,AZ$496&amp;" ضد "&amp;$A514))</f>
        <v>0</v>
      </c>
      <c r="BA514" s="4">
        <f>IF($A514=BA$496,"",COUNTIF($E$4:$E$492,$A514&amp;" ضد "&amp;BA$496)+COUNTIF($E$4:$E$492,BA$496&amp;" ضد "&amp;$A514))</f>
        <v>0</v>
      </c>
      <c r="BB514" s="4">
        <f>IF($A514=BB$496,"",COUNTIF($E$4:$E$492,$A514&amp;" ضد "&amp;BB$496)+COUNTIF($E$4:$E$492,BB$496&amp;" ضد "&amp;$A514))</f>
        <v>0</v>
      </c>
      <c r="BC514" s="4">
        <f>IF($A514=BC$496,"",COUNTIF($E$4:$E$492,$A514&amp;" ضد "&amp;BC$496)+COUNTIF($E$4:$E$492,BC$496&amp;" ضد "&amp;$A514))</f>
        <v>0</v>
      </c>
    </row>
    <row r="515" spans="1:55" ht="14.5">
      <c r="A515" s="14">
        <v>19</v>
      </c>
      <c r="B515" s="4">
        <f>IF($A515=B$496,"",COUNTIF($E$4:$E$492,$A515&amp;" ضد "&amp;B$496)+COUNTIF($E$4:$E$492,B$496&amp;" ضد "&amp;$A515))</f>
        <v>0</v>
      </c>
      <c r="C515" s="4">
        <f>IF($A515=C$496,"",COUNTIF($E$4:$E$492,$A515&amp;" ضد "&amp;C$496)+COUNTIF($E$4:$E$492,C$496&amp;" ضد "&amp;$A515))</f>
        <v>0</v>
      </c>
      <c r="D515" s="4">
        <f>IF($A515=D$496,"",COUNTIF($E$4:$E$492,$A515&amp;" ضد "&amp;D$496)+COUNTIF($E$4:$E$492,D$496&amp;" ضد "&amp;$A515))</f>
        <v>0</v>
      </c>
      <c r="E515" s="4">
        <f>IF($A515=E$496,"",COUNTIF($E$4:$E$492,$A515&amp;" ضد "&amp;E$496)+COUNTIF($E$4:$E$492,E$496&amp;" ضد "&amp;$A515))</f>
        <v>0</v>
      </c>
      <c r="F515" s="4">
        <f>IF($A515=F$496,"",COUNTIF($E$4:$E$492,$A515&amp;" ضد "&amp;F$496)+COUNTIF($E$4:$E$492,F$496&amp;" ضد "&amp;$A515))</f>
        <v>0</v>
      </c>
      <c r="G515" s="4">
        <f>IF($A515=G$496,"",COUNTIF($E$4:$E$492,$A515&amp;" ضد "&amp;G$496)+COUNTIF($E$4:$E$492,G$496&amp;" ضد "&amp;$A515))</f>
        <v>0</v>
      </c>
      <c r="H515" s="4">
        <f>IF($A515=H$496,"",COUNTIF($E$4:$E$492,$A515&amp;" ضد "&amp;H$496)+COUNTIF($E$4:$E$492,H$496&amp;" ضد "&amp;$A515))</f>
        <v>0</v>
      </c>
      <c r="I515" s="4">
        <f>IF($A515=I$496,"",COUNTIF($E$4:$E$492,$A515&amp;" ضد "&amp;I$496)+COUNTIF($E$4:$E$492,I$496&amp;" ضد "&amp;$A515))</f>
        <v>0</v>
      </c>
      <c r="J515" s="4">
        <f>IF($A515=J$496,"",COUNTIF($E$4:$E$492,$A515&amp;" ضد "&amp;J$496)+COUNTIF($E$4:$E$492,J$496&amp;" ضد "&amp;$A515))</f>
        <v>0</v>
      </c>
      <c r="K515" s="4">
        <f>IF($A515=K$496,"",COUNTIF($E$4:$E$492,$A515&amp;" ضد "&amp;K$496)+COUNTIF($E$4:$E$492,K$496&amp;" ضد "&amp;$A515))</f>
        <v>0</v>
      </c>
      <c r="L515" s="4">
        <f>IF($A515=L$496,"",COUNTIF($E$4:$E$492,$A515&amp;" ضد "&amp;L$496)+COUNTIF($E$4:$E$492,L$496&amp;" ضد "&amp;$A515))</f>
        <v>0</v>
      </c>
      <c r="M515" s="4">
        <f>IF($A515=M$496,"",COUNTIF($E$4:$E$492,$A515&amp;" ضد "&amp;M$496)+COUNTIF($E$4:$E$492,M$496&amp;" ضد "&amp;$A515))</f>
        <v>0</v>
      </c>
      <c r="N515" s="4">
        <f>IF($A515=N$496,"",COUNTIF($E$4:$E$492,$A515&amp;" ضد "&amp;N$496)+COUNTIF($E$4:$E$492,N$496&amp;" ضد "&amp;$A515))</f>
        <v>0</v>
      </c>
      <c r="O515" s="4">
        <f>IF($A515=O$496,"",COUNTIF($E$4:$E$492,$A515&amp;" ضد "&amp;O$496)+COUNTIF($E$4:$E$492,O$496&amp;" ضد "&amp;$A515))</f>
        <v>0</v>
      </c>
      <c r="P515" s="4">
        <f>IF($A515=P$496,"",COUNTIF($E$4:$E$492,$A515&amp;" ضد "&amp;P$496)+COUNTIF($E$4:$E$492,P$496&amp;" ضد "&amp;$A515))</f>
        <v>1</v>
      </c>
      <c r="Q515" s="4">
        <f>IF($A515=Q$496,"",COUNTIF($E$4:$E$492,$A515&amp;" ضد "&amp;Q$496)+COUNTIF($E$4:$E$492,Q$496&amp;" ضد "&amp;$A515))</f>
        <v>2</v>
      </c>
      <c r="R515" s="4">
        <f>IF($A515=R$496,"",COUNTIF($E$4:$E$492,$A515&amp;" ضد "&amp;R$496)+COUNTIF($E$4:$E$492,R$496&amp;" ضد "&amp;$A515))</f>
        <v>1</v>
      </c>
      <c r="S515" s="4">
        <f>IF($A515=S$496,"",COUNTIF($E$4:$E$492,$A515&amp;" ضد "&amp;S$496)+COUNTIF($E$4:$E$492,S$496&amp;" ضد "&amp;$A515))</f>
        <v>2</v>
      </c>
      <c r="T515" s="4" t="str">
        <f>IF($A515=T$496,"",COUNTIF($E$4:$E$492,$A515&amp;" ضد "&amp;T$496)+COUNTIF($E$4:$E$492,T$496&amp;" ضد "&amp;$A515))</f>
        <v/>
      </c>
      <c r="U515" s="4">
        <f>IF($A515=U$496,"",COUNTIF($E$4:$E$492,$A515&amp;" ضد "&amp;U$496)+COUNTIF($E$4:$E$492,U$496&amp;" ضد "&amp;$A515))</f>
        <v>2</v>
      </c>
      <c r="V515" s="4">
        <f>IF($A515=V$496,"",COUNTIF($E$4:$E$492,$A515&amp;" ضد "&amp;V$496)+COUNTIF($E$4:$E$492,V$496&amp;" ضد "&amp;$A515))</f>
        <v>1</v>
      </c>
      <c r="W515" s="4">
        <f>IF($A515=W$496,"",COUNTIF($E$4:$E$492,$A515&amp;" ضد "&amp;W$496)+COUNTIF($E$4:$E$492,W$496&amp;" ضد "&amp;$A515))</f>
        <v>2</v>
      </c>
      <c r="X515" s="4">
        <f>IF($A515=X$496,"",COUNTIF($E$4:$E$492,$A515&amp;" ضد "&amp;X$496)+COUNTIF($E$4:$E$492,X$496&amp;" ضد "&amp;$A515))</f>
        <v>1</v>
      </c>
      <c r="Y515" s="4">
        <f>IF($A515=Y$496,"",COUNTIF($E$4:$E$492,$A515&amp;" ضد "&amp;Y$496)+COUNTIF($E$4:$E$492,Y$496&amp;" ضد "&amp;$A515))</f>
        <v>2</v>
      </c>
      <c r="Z515" s="4">
        <f>IF($A515=Z$496,"",COUNTIF($E$4:$E$492,$A515&amp;" ضد "&amp;Z$496)+COUNTIF($E$4:$E$492,Z$496&amp;" ضد "&amp;$A515))</f>
        <v>1</v>
      </c>
      <c r="AA515" s="4">
        <f>IF($A515=AA$496,"",COUNTIF($E$4:$E$492,$A515&amp;" ضد "&amp;AA$496)+COUNTIF($E$4:$E$492,AA$496&amp;" ضد "&amp;$A515))</f>
        <v>1</v>
      </c>
      <c r="AB515" s="4">
        <f>IF($A515=AB$496,"",COUNTIF($E$4:$E$492,$A515&amp;" ضد "&amp;AB$496)+COUNTIF($E$4:$E$492,AB$496&amp;" ضد "&amp;$A515))</f>
        <v>1</v>
      </c>
      <c r="AC515" s="4">
        <f>IF($A515=AC$496,"",COUNTIF($E$4:$E$492,$A515&amp;" ضد "&amp;AC$496)+COUNTIF($E$4:$E$492,AC$496&amp;" ضد "&amp;$A515))</f>
        <v>1</v>
      </c>
      <c r="AD515" s="4">
        <f>IF($A515=AD$496,"",COUNTIF($E$4:$E$492,$A515&amp;" ضد "&amp;AD$496)+COUNTIF($E$4:$E$492,AD$496&amp;" ضد "&amp;$A515))</f>
        <v>0</v>
      </c>
      <c r="AE515" s="4">
        <f>IF($A515=AE$496,"",COUNTIF($E$4:$E$492,$A515&amp;" ضد "&amp;AE$496)+COUNTIF($E$4:$E$492,AE$496&amp;" ضد "&amp;$A515))</f>
        <v>0</v>
      </c>
      <c r="AF515" s="4">
        <f>IF($A515=AF$496,"",COUNTIF($E$4:$E$492,$A515&amp;" ضد "&amp;AF$496)+COUNTIF($E$4:$E$492,AF$496&amp;" ضد "&amp;$A515))</f>
        <v>0</v>
      </c>
      <c r="AG515" s="4">
        <f>IF($A515=AG$496,"",COUNTIF($E$4:$E$492,$A515&amp;" ضد "&amp;AG$496)+COUNTIF($E$4:$E$492,AG$496&amp;" ضد "&amp;$A515))</f>
        <v>0</v>
      </c>
      <c r="AH515" s="4">
        <f>IF($A515=AH$496,"",COUNTIF($E$4:$E$492,$A515&amp;" ضد "&amp;AH$496)+COUNTIF($E$4:$E$492,AH$496&amp;" ضد "&amp;$A515))</f>
        <v>0</v>
      </c>
      <c r="AI515" s="4">
        <f>IF($A515=AI$496,"",COUNTIF($E$4:$E$492,$A515&amp;" ضد "&amp;AI$496)+COUNTIF($E$4:$E$492,AI$496&amp;" ضد "&amp;$A515))</f>
        <v>0</v>
      </c>
      <c r="AJ515" s="4">
        <f>IF($A515=AJ$496,"",COUNTIF($E$4:$E$492,$A515&amp;" ضد "&amp;AJ$496)+COUNTIF($E$4:$E$492,AJ$496&amp;" ضد "&amp;$A515))</f>
        <v>0</v>
      </c>
      <c r="AK515" s="4">
        <f>IF($A515=AK$496,"",COUNTIF($E$4:$E$492,$A515&amp;" ضد "&amp;AK$496)+COUNTIF($E$4:$E$492,AK$496&amp;" ضد "&amp;$A515))</f>
        <v>0</v>
      </c>
      <c r="AL515" s="4">
        <f>IF($A515=AL$496,"",COUNTIF($E$4:$E$492,$A515&amp;" ضد "&amp;AL$496)+COUNTIF($E$4:$E$492,AL$496&amp;" ضد "&amp;$A515))</f>
        <v>0</v>
      </c>
      <c r="AM515" s="4">
        <f>IF($A515=AM$496,"",COUNTIF($E$4:$E$492,$A515&amp;" ضد "&amp;AM$496)+COUNTIF($E$4:$E$492,AM$496&amp;" ضد "&amp;$A515))</f>
        <v>0</v>
      </c>
      <c r="AN515" s="4">
        <f>IF($A515=AN$496,"",COUNTIF($E$4:$E$492,$A515&amp;" ضد "&amp;AN$496)+COUNTIF($E$4:$E$492,AN$496&amp;" ضد "&amp;$A515))</f>
        <v>0</v>
      </c>
      <c r="AO515" s="4">
        <f>IF($A515=AO$496,"",COUNTIF($E$4:$E$492,$A515&amp;" ضد "&amp;AO$496)+COUNTIF($E$4:$E$492,AO$496&amp;" ضد "&amp;$A515))</f>
        <v>0</v>
      </c>
      <c r="AP515" s="4">
        <f>IF($A515=AP$496,"",COUNTIF($E$4:$E$492,$A515&amp;" ضد "&amp;AP$496)+COUNTIF($E$4:$E$492,AP$496&amp;" ضد "&amp;$A515))</f>
        <v>0</v>
      </c>
      <c r="AQ515" s="4">
        <f>IF($A515=AQ$496,"",COUNTIF($E$4:$E$492,$A515&amp;" ضد "&amp;AQ$496)+COUNTIF($E$4:$E$492,AQ$496&amp;" ضد "&amp;$A515))</f>
        <v>0</v>
      </c>
      <c r="AR515" s="4">
        <f>IF($A515=AR$496,"",COUNTIF($E$4:$E$492,$A515&amp;" ضد "&amp;AR$496)+COUNTIF($E$4:$E$492,AR$496&amp;" ضد "&amp;$A515))</f>
        <v>0</v>
      </c>
      <c r="AS515" s="4">
        <f>IF($A515=AS$496,"",COUNTIF($E$4:$E$492,$A515&amp;" ضد "&amp;AS$496)+COUNTIF($E$4:$E$492,AS$496&amp;" ضد "&amp;$A515))</f>
        <v>0</v>
      </c>
      <c r="AT515" s="4">
        <f>IF($A515=AT$496,"",COUNTIF($E$4:$E$492,$A515&amp;" ضد "&amp;AT$496)+COUNTIF($E$4:$E$492,AT$496&amp;" ضد "&amp;$A515))</f>
        <v>0</v>
      </c>
      <c r="AU515" s="4">
        <f>IF($A515=AU$496,"",COUNTIF($E$4:$E$492,$A515&amp;" ضد "&amp;AU$496)+COUNTIF($E$4:$E$492,AU$496&amp;" ضد "&amp;$A515))</f>
        <v>0</v>
      </c>
      <c r="AV515" s="4">
        <f>IF($A515=AV$496,"",COUNTIF($E$4:$E$492,$A515&amp;" ضد "&amp;AV$496)+COUNTIF($E$4:$E$492,AV$496&amp;" ضد "&amp;$A515))</f>
        <v>0</v>
      </c>
      <c r="AW515" s="4">
        <f>IF($A515=AW$496,"",COUNTIF($E$4:$E$492,$A515&amp;" ضد "&amp;AW$496)+COUNTIF($E$4:$E$492,AW$496&amp;" ضد "&amp;$A515))</f>
        <v>0</v>
      </c>
      <c r="AX515" s="4">
        <f>IF($A515=AX$496,"",COUNTIF($E$4:$E$492,$A515&amp;" ضد "&amp;AX$496)+COUNTIF($E$4:$E$492,AX$496&amp;" ضد "&amp;$A515))</f>
        <v>0</v>
      </c>
      <c r="AY515" s="4">
        <f>IF($A515=AY$496,"",COUNTIF($E$4:$E$492,$A515&amp;" ضد "&amp;AY$496)+COUNTIF($E$4:$E$492,AY$496&amp;" ضد "&amp;$A515))</f>
        <v>0</v>
      </c>
      <c r="AZ515" s="4">
        <f>IF($A515=AZ$496,"",COUNTIF($E$4:$E$492,$A515&amp;" ضد "&amp;AZ$496)+COUNTIF($E$4:$E$492,AZ$496&amp;" ضد "&amp;$A515))</f>
        <v>0</v>
      </c>
      <c r="BA515" s="4">
        <f>IF($A515=BA$496,"",COUNTIF($E$4:$E$492,$A515&amp;" ضد "&amp;BA$496)+COUNTIF($E$4:$E$492,BA$496&amp;" ضد "&amp;$A515))</f>
        <v>0</v>
      </c>
      <c r="BB515" s="4">
        <f>IF($A515=BB$496,"",COUNTIF($E$4:$E$492,$A515&amp;" ضد "&amp;BB$496)+COUNTIF($E$4:$E$492,BB$496&amp;" ضد "&amp;$A515))</f>
        <v>0</v>
      </c>
      <c r="BC515" s="4">
        <f>IF($A515=BC$496,"",COUNTIF($E$4:$E$492,$A515&amp;" ضد "&amp;BC$496)+COUNTIF($E$4:$E$492,BC$496&amp;" ضد "&amp;$A515))</f>
        <v>0</v>
      </c>
    </row>
    <row r="516" spans="1:55" ht="14.5">
      <c r="A516" s="14">
        <v>20</v>
      </c>
      <c r="B516" s="4">
        <f>IF($A516=B$496,"",COUNTIF($E$4:$E$492,$A516&amp;" ضد "&amp;B$496)+COUNTIF($E$4:$E$492,B$496&amp;" ضد "&amp;$A516))</f>
        <v>0</v>
      </c>
      <c r="C516" s="4">
        <f>IF($A516=C$496,"",COUNTIF($E$4:$E$492,$A516&amp;" ضد "&amp;C$496)+COUNTIF($E$4:$E$492,C$496&amp;" ضد "&amp;$A516))</f>
        <v>0</v>
      </c>
      <c r="D516" s="4">
        <f>IF($A516=D$496,"",COUNTIF($E$4:$E$492,$A516&amp;" ضد "&amp;D$496)+COUNTIF($E$4:$E$492,D$496&amp;" ضد "&amp;$A516))</f>
        <v>0</v>
      </c>
      <c r="E516" s="4">
        <f>IF($A516=E$496,"",COUNTIF($E$4:$E$492,$A516&amp;" ضد "&amp;E$496)+COUNTIF($E$4:$E$492,E$496&amp;" ضد "&amp;$A516))</f>
        <v>0</v>
      </c>
      <c r="F516" s="4">
        <f>IF($A516=F$496,"",COUNTIF($E$4:$E$492,$A516&amp;" ضد "&amp;F$496)+COUNTIF($E$4:$E$492,F$496&amp;" ضد "&amp;$A516))</f>
        <v>0</v>
      </c>
      <c r="G516" s="4">
        <f>IF($A516=G$496,"",COUNTIF($E$4:$E$492,$A516&amp;" ضد "&amp;G$496)+COUNTIF($E$4:$E$492,G$496&amp;" ضد "&amp;$A516))</f>
        <v>0</v>
      </c>
      <c r="H516" s="4">
        <f>IF($A516=H$496,"",COUNTIF($E$4:$E$492,$A516&amp;" ضد "&amp;H$496)+COUNTIF($E$4:$E$492,H$496&amp;" ضد "&amp;$A516))</f>
        <v>0</v>
      </c>
      <c r="I516" s="4">
        <f>IF($A516=I$496,"",COUNTIF($E$4:$E$492,$A516&amp;" ضد "&amp;I$496)+COUNTIF($E$4:$E$492,I$496&amp;" ضد "&amp;$A516))</f>
        <v>0</v>
      </c>
      <c r="J516" s="4">
        <f>IF($A516=J$496,"",COUNTIF($E$4:$E$492,$A516&amp;" ضد "&amp;J$496)+COUNTIF($E$4:$E$492,J$496&amp;" ضد "&amp;$A516))</f>
        <v>0</v>
      </c>
      <c r="K516" s="4">
        <f>IF($A516=K$496,"",COUNTIF($E$4:$E$492,$A516&amp;" ضد "&amp;K$496)+COUNTIF($E$4:$E$492,K$496&amp;" ضد "&amp;$A516))</f>
        <v>0</v>
      </c>
      <c r="L516" s="4">
        <f>IF($A516=L$496,"",COUNTIF($E$4:$E$492,$A516&amp;" ضد "&amp;L$496)+COUNTIF($E$4:$E$492,L$496&amp;" ضد "&amp;$A516))</f>
        <v>0</v>
      </c>
      <c r="M516" s="4">
        <f>IF($A516=M$496,"",COUNTIF($E$4:$E$492,$A516&amp;" ضد "&amp;M$496)+COUNTIF($E$4:$E$492,M$496&amp;" ضد "&amp;$A516))</f>
        <v>0</v>
      </c>
      <c r="N516" s="4">
        <f>IF($A516=N$496,"",COUNTIF($E$4:$E$492,$A516&amp;" ضد "&amp;N$496)+COUNTIF($E$4:$E$492,N$496&amp;" ضد "&amp;$A516))</f>
        <v>0</v>
      </c>
      <c r="O516" s="4">
        <f>IF($A516=O$496,"",COUNTIF($E$4:$E$492,$A516&amp;" ضد "&amp;O$496)+COUNTIF($E$4:$E$492,O$496&amp;" ضد "&amp;$A516))</f>
        <v>0</v>
      </c>
      <c r="P516" s="4">
        <f>IF($A516=P$496,"",COUNTIF($E$4:$E$492,$A516&amp;" ضد "&amp;P$496)+COUNTIF($E$4:$E$492,P$496&amp;" ضد "&amp;$A516))</f>
        <v>1</v>
      </c>
      <c r="Q516" s="4">
        <f>IF($A516=Q$496,"",COUNTIF($E$4:$E$492,$A516&amp;" ضد "&amp;Q$496)+COUNTIF($E$4:$E$492,Q$496&amp;" ضد "&amp;$A516))</f>
        <v>1</v>
      </c>
      <c r="R516" s="4">
        <f>IF($A516=R$496,"",COUNTIF($E$4:$E$492,$A516&amp;" ضد "&amp;R$496)+COUNTIF($E$4:$E$492,R$496&amp;" ضد "&amp;$A516))</f>
        <v>2</v>
      </c>
      <c r="S516" s="4">
        <f>IF($A516=S$496,"",COUNTIF($E$4:$E$492,$A516&amp;" ضد "&amp;S$496)+COUNTIF($E$4:$E$492,S$496&amp;" ضد "&amp;$A516))</f>
        <v>1</v>
      </c>
      <c r="T516" s="4">
        <f>IF($A516=T$496,"",COUNTIF($E$4:$E$492,$A516&amp;" ضد "&amp;T$496)+COUNTIF($E$4:$E$492,T$496&amp;" ضد "&amp;$A516))</f>
        <v>2</v>
      </c>
      <c r="U516" s="4" t="str">
        <f>IF($A516=U$496,"",COUNTIF($E$4:$E$492,$A516&amp;" ضد "&amp;U$496)+COUNTIF($E$4:$E$492,U$496&amp;" ضد "&amp;$A516))</f>
        <v/>
      </c>
      <c r="V516" s="4">
        <f>IF($A516=V$496,"",COUNTIF($E$4:$E$492,$A516&amp;" ضد "&amp;V$496)+COUNTIF($E$4:$E$492,V$496&amp;" ضد "&amp;$A516))</f>
        <v>2</v>
      </c>
      <c r="W516" s="4">
        <f>IF($A516=W$496,"",COUNTIF($E$4:$E$492,$A516&amp;" ضد "&amp;W$496)+COUNTIF($E$4:$E$492,W$496&amp;" ضد "&amp;$A516))</f>
        <v>1</v>
      </c>
      <c r="X516" s="4">
        <f>IF($A516=X$496,"",COUNTIF($E$4:$E$492,$A516&amp;" ضد "&amp;X$496)+COUNTIF($E$4:$E$492,X$496&amp;" ضد "&amp;$A516))</f>
        <v>2</v>
      </c>
      <c r="Y516" s="4">
        <f>IF($A516=Y$496,"",COUNTIF($E$4:$E$492,$A516&amp;" ضد "&amp;Y$496)+COUNTIF($E$4:$E$492,Y$496&amp;" ضد "&amp;$A516))</f>
        <v>1</v>
      </c>
      <c r="Z516" s="4">
        <f>IF($A516=Z$496,"",COUNTIF($E$4:$E$492,$A516&amp;" ضد "&amp;Z$496)+COUNTIF($E$4:$E$492,Z$496&amp;" ضد "&amp;$A516))</f>
        <v>1</v>
      </c>
      <c r="AA516" s="4">
        <f>IF($A516=AA$496,"",COUNTIF($E$4:$E$492,$A516&amp;" ضد "&amp;AA$496)+COUNTIF($E$4:$E$492,AA$496&amp;" ضد "&amp;$A516))</f>
        <v>1</v>
      </c>
      <c r="AB516" s="4">
        <f>IF($A516=AB$496,"",COUNTIF($E$4:$E$492,$A516&amp;" ضد "&amp;AB$496)+COUNTIF($E$4:$E$492,AB$496&amp;" ضد "&amp;$A516))</f>
        <v>1</v>
      </c>
      <c r="AC516" s="4">
        <f>IF($A516=AC$496,"",COUNTIF($E$4:$E$492,$A516&amp;" ضد "&amp;AC$496)+COUNTIF($E$4:$E$492,AC$496&amp;" ضد "&amp;$A516))</f>
        <v>2</v>
      </c>
      <c r="AD516" s="4">
        <f>IF($A516=AD$496,"",COUNTIF($E$4:$E$492,$A516&amp;" ضد "&amp;AD$496)+COUNTIF($E$4:$E$492,AD$496&amp;" ضد "&amp;$A516))</f>
        <v>0</v>
      </c>
      <c r="AE516" s="4">
        <f>IF($A516=AE$496,"",COUNTIF($E$4:$E$492,$A516&amp;" ضد "&amp;AE$496)+COUNTIF($E$4:$E$492,AE$496&amp;" ضد "&amp;$A516))</f>
        <v>0</v>
      </c>
      <c r="AF516" s="4">
        <f>IF($A516=AF$496,"",COUNTIF($E$4:$E$492,$A516&amp;" ضد "&amp;AF$496)+COUNTIF($E$4:$E$492,AF$496&amp;" ضد "&amp;$A516))</f>
        <v>0</v>
      </c>
      <c r="AG516" s="4">
        <f>IF($A516=AG$496,"",COUNTIF($E$4:$E$492,$A516&amp;" ضد "&amp;AG$496)+COUNTIF($E$4:$E$492,AG$496&amp;" ضد "&amp;$A516))</f>
        <v>0</v>
      </c>
      <c r="AH516" s="4">
        <f>IF($A516=AH$496,"",COUNTIF($E$4:$E$492,$A516&amp;" ضد "&amp;AH$496)+COUNTIF($E$4:$E$492,AH$496&amp;" ضد "&amp;$A516))</f>
        <v>0</v>
      </c>
      <c r="AI516" s="4">
        <f>IF($A516=AI$496,"",COUNTIF($E$4:$E$492,$A516&amp;" ضد "&amp;AI$496)+COUNTIF($E$4:$E$492,AI$496&amp;" ضد "&amp;$A516))</f>
        <v>0</v>
      </c>
      <c r="AJ516" s="4">
        <f>IF($A516=AJ$496,"",COUNTIF($E$4:$E$492,$A516&amp;" ضد "&amp;AJ$496)+COUNTIF($E$4:$E$492,AJ$496&amp;" ضد "&amp;$A516))</f>
        <v>0</v>
      </c>
      <c r="AK516" s="4">
        <f>IF($A516=AK$496,"",COUNTIF($E$4:$E$492,$A516&amp;" ضد "&amp;AK$496)+COUNTIF($E$4:$E$492,AK$496&amp;" ضد "&amp;$A516))</f>
        <v>0</v>
      </c>
      <c r="AL516" s="4">
        <f>IF($A516=AL$496,"",COUNTIF($E$4:$E$492,$A516&amp;" ضد "&amp;AL$496)+COUNTIF($E$4:$E$492,AL$496&amp;" ضد "&amp;$A516))</f>
        <v>0</v>
      </c>
      <c r="AM516" s="4">
        <f>IF($A516=AM$496,"",COUNTIF($E$4:$E$492,$A516&amp;" ضد "&amp;AM$496)+COUNTIF($E$4:$E$492,AM$496&amp;" ضد "&amp;$A516))</f>
        <v>0</v>
      </c>
      <c r="AN516" s="4">
        <f>IF($A516=AN$496,"",COUNTIF($E$4:$E$492,$A516&amp;" ضد "&amp;AN$496)+COUNTIF($E$4:$E$492,AN$496&amp;" ضد "&amp;$A516))</f>
        <v>0</v>
      </c>
      <c r="AO516" s="4">
        <f>IF($A516=AO$496,"",COUNTIF($E$4:$E$492,$A516&amp;" ضد "&amp;AO$496)+COUNTIF($E$4:$E$492,AO$496&amp;" ضد "&amp;$A516))</f>
        <v>0</v>
      </c>
      <c r="AP516" s="4">
        <f>IF($A516=AP$496,"",COUNTIF($E$4:$E$492,$A516&amp;" ضد "&amp;AP$496)+COUNTIF($E$4:$E$492,AP$496&amp;" ضد "&amp;$A516))</f>
        <v>0</v>
      </c>
      <c r="AQ516" s="4">
        <f>IF($A516=AQ$496,"",COUNTIF($E$4:$E$492,$A516&amp;" ضد "&amp;AQ$496)+COUNTIF($E$4:$E$492,AQ$496&amp;" ضد "&amp;$A516))</f>
        <v>0</v>
      </c>
      <c r="AR516" s="4">
        <f>IF($A516=AR$496,"",COUNTIF($E$4:$E$492,$A516&amp;" ضد "&amp;AR$496)+COUNTIF($E$4:$E$492,AR$496&amp;" ضد "&amp;$A516))</f>
        <v>0</v>
      </c>
      <c r="AS516" s="4">
        <f>IF($A516=AS$496,"",COUNTIF($E$4:$E$492,$A516&amp;" ضد "&amp;AS$496)+COUNTIF($E$4:$E$492,AS$496&amp;" ضد "&amp;$A516))</f>
        <v>0</v>
      </c>
      <c r="AT516" s="4">
        <f>IF($A516=AT$496,"",COUNTIF($E$4:$E$492,$A516&amp;" ضد "&amp;AT$496)+COUNTIF($E$4:$E$492,AT$496&amp;" ضد "&amp;$A516))</f>
        <v>0</v>
      </c>
      <c r="AU516" s="4">
        <f>IF($A516=AU$496,"",COUNTIF($E$4:$E$492,$A516&amp;" ضد "&amp;AU$496)+COUNTIF($E$4:$E$492,AU$496&amp;" ضد "&amp;$A516))</f>
        <v>0</v>
      </c>
      <c r="AV516" s="4">
        <f>IF($A516=AV$496,"",COUNTIF($E$4:$E$492,$A516&amp;" ضد "&amp;AV$496)+COUNTIF($E$4:$E$492,AV$496&amp;" ضد "&amp;$A516))</f>
        <v>0</v>
      </c>
      <c r="AW516" s="4">
        <f>IF($A516=AW$496,"",COUNTIF($E$4:$E$492,$A516&amp;" ضد "&amp;AW$496)+COUNTIF($E$4:$E$492,AW$496&amp;" ضد "&amp;$A516))</f>
        <v>0</v>
      </c>
      <c r="AX516" s="4">
        <f>IF($A516=AX$496,"",COUNTIF($E$4:$E$492,$A516&amp;" ضد "&amp;AX$496)+COUNTIF($E$4:$E$492,AX$496&amp;" ضد "&amp;$A516))</f>
        <v>0</v>
      </c>
      <c r="AY516" s="4">
        <f>IF($A516=AY$496,"",COUNTIF($E$4:$E$492,$A516&amp;" ضد "&amp;AY$496)+COUNTIF($E$4:$E$492,AY$496&amp;" ضد "&amp;$A516))</f>
        <v>0</v>
      </c>
      <c r="AZ516" s="4">
        <f>IF($A516=AZ$496,"",COUNTIF($E$4:$E$492,$A516&amp;" ضد "&amp;AZ$496)+COUNTIF($E$4:$E$492,AZ$496&amp;" ضد "&amp;$A516))</f>
        <v>0</v>
      </c>
      <c r="BA516" s="4">
        <f>IF($A516=BA$496,"",COUNTIF($E$4:$E$492,$A516&amp;" ضد "&amp;BA$496)+COUNTIF($E$4:$E$492,BA$496&amp;" ضد "&amp;$A516))</f>
        <v>0</v>
      </c>
      <c r="BB516" s="4">
        <f>IF($A516=BB$496,"",COUNTIF($E$4:$E$492,$A516&amp;" ضد "&amp;BB$496)+COUNTIF($E$4:$E$492,BB$496&amp;" ضد "&amp;$A516))</f>
        <v>0</v>
      </c>
      <c r="BC516" s="4">
        <f>IF($A516=BC$496,"",COUNTIF($E$4:$E$492,$A516&amp;" ضد "&amp;BC$496)+COUNTIF($E$4:$E$492,BC$496&amp;" ضد "&amp;$A516))</f>
        <v>0</v>
      </c>
    </row>
    <row r="517" spans="1:55" ht="14.5">
      <c r="A517" s="14">
        <v>21</v>
      </c>
      <c r="B517" s="4">
        <f>IF($A517=B$496,"",COUNTIF($E$4:$E$492,$A517&amp;" ضد "&amp;B$496)+COUNTIF($E$4:$E$492,B$496&amp;" ضد "&amp;$A517))</f>
        <v>0</v>
      </c>
      <c r="C517" s="4">
        <f>IF($A517=C$496,"",COUNTIF($E$4:$E$492,$A517&amp;" ضد "&amp;C$496)+COUNTIF($E$4:$E$492,C$496&amp;" ضد "&amp;$A517))</f>
        <v>0</v>
      </c>
      <c r="D517" s="4">
        <f>IF($A517=D$496,"",COUNTIF($E$4:$E$492,$A517&amp;" ضد "&amp;D$496)+COUNTIF($E$4:$E$492,D$496&amp;" ضد "&amp;$A517))</f>
        <v>0</v>
      </c>
      <c r="E517" s="4">
        <f>IF($A517=E$496,"",COUNTIF($E$4:$E$492,$A517&amp;" ضد "&amp;E$496)+COUNTIF($E$4:$E$492,E$496&amp;" ضد "&amp;$A517))</f>
        <v>0</v>
      </c>
      <c r="F517" s="4">
        <f>IF($A517=F$496,"",COUNTIF($E$4:$E$492,$A517&amp;" ضد "&amp;F$496)+COUNTIF($E$4:$E$492,F$496&amp;" ضد "&amp;$A517))</f>
        <v>0</v>
      </c>
      <c r="G517" s="4">
        <f>IF($A517=G$496,"",COUNTIF($E$4:$E$492,$A517&amp;" ضد "&amp;G$496)+COUNTIF($E$4:$E$492,G$496&amp;" ضد "&amp;$A517))</f>
        <v>0</v>
      </c>
      <c r="H517" s="4">
        <f>IF($A517=H$496,"",COUNTIF($E$4:$E$492,$A517&amp;" ضد "&amp;H$496)+COUNTIF($E$4:$E$492,H$496&amp;" ضد "&amp;$A517))</f>
        <v>0</v>
      </c>
      <c r="I517" s="4">
        <f>IF($A517=I$496,"",COUNTIF($E$4:$E$492,$A517&amp;" ضد "&amp;I$496)+COUNTIF($E$4:$E$492,I$496&amp;" ضد "&amp;$A517))</f>
        <v>0</v>
      </c>
      <c r="J517" s="4">
        <f>IF($A517=J$496,"",COUNTIF($E$4:$E$492,$A517&amp;" ضد "&amp;J$496)+COUNTIF($E$4:$E$492,J$496&amp;" ضد "&amp;$A517))</f>
        <v>0</v>
      </c>
      <c r="K517" s="4">
        <f>IF($A517=K$496,"",COUNTIF($E$4:$E$492,$A517&amp;" ضد "&amp;K$496)+COUNTIF($E$4:$E$492,K$496&amp;" ضد "&amp;$A517))</f>
        <v>0</v>
      </c>
      <c r="L517" s="4">
        <f>IF($A517=L$496,"",COUNTIF($E$4:$E$492,$A517&amp;" ضد "&amp;L$496)+COUNTIF($E$4:$E$492,L$496&amp;" ضد "&amp;$A517))</f>
        <v>0</v>
      </c>
      <c r="M517" s="4">
        <f>IF($A517=M$496,"",COUNTIF($E$4:$E$492,$A517&amp;" ضد "&amp;M$496)+COUNTIF($E$4:$E$492,M$496&amp;" ضد "&amp;$A517))</f>
        <v>0</v>
      </c>
      <c r="N517" s="4">
        <f>IF($A517=N$496,"",COUNTIF($E$4:$E$492,$A517&amp;" ضد "&amp;N$496)+COUNTIF($E$4:$E$492,N$496&amp;" ضد "&amp;$A517))</f>
        <v>0</v>
      </c>
      <c r="O517" s="4">
        <f>IF($A517=O$496,"",COUNTIF($E$4:$E$492,$A517&amp;" ضد "&amp;O$496)+COUNTIF($E$4:$E$492,O$496&amp;" ضد "&amp;$A517))</f>
        <v>0</v>
      </c>
      <c r="P517" s="4">
        <f>IF($A517=P$496,"",COUNTIF($E$4:$E$492,$A517&amp;" ضد "&amp;P$496)+COUNTIF($E$4:$E$492,P$496&amp;" ضد "&amp;$A517))</f>
        <v>1</v>
      </c>
      <c r="Q517" s="4">
        <f>IF($A517=Q$496,"",COUNTIF($E$4:$E$492,$A517&amp;" ضد "&amp;Q$496)+COUNTIF($E$4:$E$492,Q$496&amp;" ضد "&amp;$A517))</f>
        <v>2</v>
      </c>
      <c r="R517" s="4">
        <f>IF($A517=R$496,"",COUNTIF($E$4:$E$492,$A517&amp;" ضد "&amp;R$496)+COUNTIF($E$4:$E$492,R$496&amp;" ضد "&amp;$A517))</f>
        <v>1</v>
      </c>
      <c r="S517" s="4">
        <f>IF($A517=S$496,"",COUNTIF($E$4:$E$492,$A517&amp;" ضد "&amp;S$496)+COUNTIF($E$4:$E$492,S$496&amp;" ضد "&amp;$A517))</f>
        <v>2</v>
      </c>
      <c r="T517" s="4">
        <f>IF($A517=T$496,"",COUNTIF($E$4:$E$492,$A517&amp;" ضد "&amp;T$496)+COUNTIF($E$4:$E$492,T$496&amp;" ضد "&amp;$A517))</f>
        <v>1</v>
      </c>
      <c r="U517" s="4">
        <f>IF($A517=U$496,"",COUNTIF($E$4:$E$492,$A517&amp;" ضد "&amp;U$496)+COUNTIF($E$4:$E$492,U$496&amp;" ضد "&amp;$A517))</f>
        <v>2</v>
      </c>
      <c r="V517" s="4" t="str">
        <f>IF($A517=V$496,"",COUNTIF($E$4:$E$492,$A517&amp;" ضد "&amp;V$496)+COUNTIF($E$4:$E$492,V$496&amp;" ضد "&amp;$A517))</f>
        <v/>
      </c>
      <c r="W517" s="4">
        <f>IF($A517=W$496,"",COUNTIF($E$4:$E$492,$A517&amp;" ضد "&amp;W$496)+COUNTIF($E$4:$E$492,W$496&amp;" ضد "&amp;$A517))</f>
        <v>2</v>
      </c>
      <c r="X517" s="4">
        <f>IF($A517=X$496,"",COUNTIF($E$4:$E$492,$A517&amp;" ضد "&amp;X$496)+COUNTIF($E$4:$E$492,X$496&amp;" ضد "&amp;$A517))</f>
        <v>1</v>
      </c>
      <c r="Y517" s="4">
        <f>IF($A517=Y$496,"",COUNTIF($E$4:$E$492,$A517&amp;" ضد "&amp;Y$496)+COUNTIF($E$4:$E$492,Y$496&amp;" ضد "&amp;$A517))</f>
        <v>1</v>
      </c>
      <c r="Z517" s="4">
        <f>IF($A517=Z$496,"",COUNTIF($E$4:$E$492,$A517&amp;" ضد "&amp;Z$496)+COUNTIF($E$4:$E$492,Z$496&amp;" ضد "&amp;$A517))</f>
        <v>1</v>
      </c>
      <c r="AA517" s="4">
        <f>IF($A517=AA$496,"",COUNTIF($E$4:$E$492,$A517&amp;" ضد "&amp;AA$496)+COUNTIF($E$4:$E$492,AA$496&amp;" ضد "&amp;$A517))</f>
        <v>1</v>
      </c>
      <c r="AB517" s="4">
        <f>IF($A517=AB$496,"",COUNTIF($E$4:$E$492,$A517&amp;" ضد "&amp;AB$496)+COUNTIF($E$4:$E$492,AB$496&amp;" ضد "&amp;$A517))</f>
        <v>2</v>
      </c>
      <c r="AC517" s="4">
        <f>IF($A517=AC$496,"",COUNTIF($E$4:$E$492,$A517&amp;" ضد "&amp;AC$496)+COUNTIF($E$4:$E$492,AC$496&amp;" ضد "&amp;$A517))</f>
        <v>1</v>
      </c>
      <c r="AD517" s="4">
        <f>IF($A517=AD$496,"",COUNTIF($E$4:$E$492,$A517&amp;" ضد "&amp;AD$496)+COUNTIF($E$4:$E$492,AD$496&amp;" ضد "&amp;$A517))</f>
        <v>0</v>
      </c>
      <c r="AE517" s="4">
        <f>IF($A517=AE$496,"",COUNTIF($E$4:$E$492,$A517&amp;" ضد "&amp;AE$496)+COUNTIF($E$4:$E$492,AE$496&amp;" ضد "&amp;$A517))</f>
        <v>0</v>
      </c>
      <c r="AF517" s="4">
        <f>IF($A517=AF$496,"",COUNTIF($E$4:$E$492,$A517&amp;" ضد "&amp;AF$496)+COUNTIF($E$4:$E$492,AF$496&amp;" ضد "&amp;$A517))</f>
        <v>0</v>
      </c>
      <c r="AG517" s="4">
        <f>IF($A517=AG$496,"",COUNTIF($E$4:$E$492,$A517&amp;" ضد "&amp;AG$496)+COUNTIF($E$4:$E$492,AG$496&amp;" ضد "&amp;$A517))</f>
        <v>0</v>
      </c>
      <c r="AH517" s="4">
        <f>IF($A517=AH$496,"",COUNTIF($E$4:$E$492,$A517&amp;" ضد "&amp;AH$496)+COUNTIF($E$4:$E$492,AH$496&amp;" ضد "&amp;$A517))</f>
        <v>0</v>
      </c>
      <c r="AI517" s="4">
        <f>IF($A517=AI$496,"",COUNTIF($E$4:$E$492,$A517&amp;" ضد "&amp;AI$496)+COUNTIF($E$4:$E$492,AI$496&amp;" ضد "&amp;$A517))</f>
        <v>0</v>
      </c>
      <c r="AJ517" s="4">
        <f>IF($A517=AJ$496,"",COUNTIF($E$4:$E$492,$A517&amp;" ضد "&amp;AJ$496)+COUNTIF($E$4:$E$492,AJ$496&amp;" ضد "&amp;$A517))</f>
        <v>0</v>
      </c>
      <c r="AK517" s="4">
        <f>IF($A517=AK$496,"",COUNTIF($E$4:$E$492,$A517&amp;" ضد "&amp;AK$496)+COUNTIF($E$4:$E$492,AK$496&amp;" ضد "&amp;$A517))</f>
        <v>0</v>
      </c>
      <c r="AL517" s="4">
        <f>IF($A517=AL$496,"",COUNTIF($E$4:$E$492,$A517&amp;" ضد "&amp;AL$496)+COUNTIF($E$4:$E$492,AL$496&amp;" ضد "&amp;$A517))</f>
        <v>0</v>
      </c>
      <c r="AM517" s="4">
        <f>IF($A517=AM$496,"",COUNTIF($E$4:$E$492,$A517&amp;" ضد "&amp;AM$496)+COUNTIF($E$4:$E$492,AM$496&amp;" ضد "&amp;$A517))</f>
        <v>0</v>
      </c>
      <c r="AN517" s="4">
        <f>IF($A517=AN$496,"",COUNTIF($E$4:$E$492,$A517&amp;" ضد "&amp;AN$496)+COUNTIF($E$4:$E$492,AN$496&amp;" ضد "&amp;$A517))</f>
        <v>0</v>
      </c>
      <c r="AO517" s="4">
        <f>IF($A517=AO$496,"",COUNTIF($E$4:$E$492,$A517&amp;" ضد "&amp;AO$496)+COUNTIF($E$4:$E$492,AO$496&amp;" ضد "&amp;$A517))</f>
        <v>0</v>
      </c>
      <c r="AP517" s="4">
        <f>IF($A517=AP$496,"",COUNTIF($E$4:$E$492,$A517&amp;" ضد "&amp;AP$496)+COUNTIF($E$4:$E$492,AP$496&amp;" ضد "&amp;$A517))</f>
        <v>0</v>
      </c>
      <c r="AQ517" s="4">
        <f>IF($A517=AQ$496,"",COUNTIF($E$4:$E$492,$A517&amp;" ضد "&amp;AQ$496)+COUNTIF($E$4:$E$492,AQ$496&amp;" ضد "&amp;$A517))</f>
        <v>0</v>
      </c>
      <c r="AR517" s="4">
        <f>IF($A517=AR$496,"",COUNTIF($E$4:$E$492,$A517&amp;" ضد "&amp;AR$496)+COUNTIF($E$4:$E$492,AR$496&amp;" ضد "&amp;$A517))</f>
        <v>0</v>
      </c>
      <c r="AS517" s="4">
        <f>IF($A517=AS$496,"",COUNTIF($E$4:$E$492,$A517&amp;" ضد "&amp;AS$496)+COUNTIF($E$4:$E$492,AS$496&amp;" ضد "&amp;$A517))</f>
        <v>0</v>
      </c>
      <c r="AT517" s="4">
        <f>IF($A517=AT$496,"",COUNTIF($E$4:$E$492,$A517&amp;" ضد "&amp;AT$496)+COUNTIF($E$4:$E$492,AT$496&amp;" ضد "&amp;$A517))</f>
        <v>0</v>
      </c>
      <c r="AU517" s="4">
        <f>IF($A517=AU$496,"",COUNTIF($E$4:$E$492,$A517&amp;" ضد "&amp;AU$496)+COUNTIF($E$4:$E$492,AU$496&amp;" ضد "&amp;$A517))</f>
        <v>0</v>
      </c>
      <c r="AV517" s="4">
        <f>IF($A517=AV$496,"",COUNTIF($E$4:$E$492,$A517&amp;" ضد "&amp;AV$496)+COUNTIF($E$4:$E$492,AV$496&amp;" ضد "&amp;$A517))</f>
        <v>0</v>
      </c>
      <c r="AW517" s="4">
        <f>IF($A517=AW$496,"",COUNTIF($E$4:$E$492,$A517&amp;" ضد "&amp;AW$496)+COUNTIF($E$4:$E$492,AW$496&amp;" ضد "&amp;$A517))</f>
        <v>0</v>
      </c>
      <c r="AX517" s="4">
        <f>IF($A517=AX$496,"",COUNTIF($E$4:$E$492,$A517&amp;" ضد "&amp;AX$496)+COUNTIF($E$4:$E$492,AX$496&amp;" ضد "&amp;$A517))</f>
        <v>0</v>
      </c>
      <c r="AY517" s="4">
        <f>IF($A517=AY$496,"",COUNTIF($E$4:$E$492,$A517&amp;" ضد "&amp;AY$496)+COUNTIF($E$4:$E$492,AY$496&amp;" ضد "&amp;$A517))</f>
        <v>0</v>
      </c>
      <c r="AZ517" s="4">
        <f>IF($A517=AZ$496,"",COUNTIF($E$4:$E$492,$A517&amp;" ضد "&amp;AZ$496)+COUNTIF($E$4:$E$492,AZ$496&amp;" ضد "&amp;$A517))</f>
        <v>0</v>
      </c>
      <c r="BA517" s="4">
        <f>IF($A517=BA$496,"",COUNTIF($E$4:$E$492,$A517&amp;" ضد "&amp;BA$496)+COUNTIF($E$4:$E$492,BA$496&amp;" ضد "&amp;$A517))</f>
        <v>0</v>
      </c>
      <c r="BB517" s="4">
        <f>IF($A517=BB$496,"",COUNTIF($E$4:$E$492,$A517&amp;" ضد "&amp;BB$496)+COUNTIF($E$4:$E$492,BB$496&amp;" ضد "&amp;$A517))</f>
        <v>0</v>
      </c>
      <c r="BC517" s="4">
        <f>IF($A517=BC$496,"",COUNTIF($E$4:$E$492,$A517&amp;" ضد "&amp;BC$496)+COUNTIF($E$4:$E$492,BC$496&amp;" ضد "&amp;$A517))</f>
        <v>0</v>
      </c>
    </row>
    <row r="518" spans="1:55" ht="14.5">
      <c r="A518" s="14">
        <v>22</v>
      </c>
      <c r="B518" s="4">
        <f>IF($A518=B$496,"",COUNTIF($E$4:$E$492,$A518&amp;" ضد "&amp;B$496)+COUNTIF($E$4:$E$492,B$496&amp;" ضد "&amp;$A518))</f>
        <v>0</v>
      </c>
      <c r="C518" s="4">
        <f>IF($A518=C$496,"",COUNTIF($E$4:$E$492,$A518&amp;" ضد "&amp;C$496)+COUNTIF($E$4:$E$492,C$496&amp;" ضد "&amp;$A518))</f>
        <v>0</v>
      </c>
      <c r="D518" s="4">
        <f>IF($A518=D$496,"",COUNTIF($E$4:$E$492,$A518&amp;" ضد "&amp;D$496)+COUNTIF($E$4:$E$492,D$496&amp;" ضد "&amp;$A518))</f>
        <v>0</v>
      </c>
      <c r="E518" s="4">
        <f>IF($A518=E$496,"",COUNTIF($E$4:$E$492,$A518&amp;" ضد "&amp;E$496)+COUNTIF($E$4:$E$492,E$496&amp;" ضد "&amp;$A518))</f>
        <v>0</v>
      </c>
      <c r="F518" s="4">
        <f>IF($A518=F$496,"",COUNTIF($E$4:$E$492,$A518&amp;" ضد "&amp;F$496)+COUNTIF($E$4:$E$492,F$496&amp;" ضد "&amp;$A518))</f>
        <v>0</v>
      </c>
      <c r="G518" s="4">
        <f>IF($A518=G$496,"",COUNTIF($E$4:$E$492,$A518&amp;" ضد "&amp;G$496)+COUNTIF($E$4:$E$492,G$496&amp;" ضد "&amp;$A518))</f>
        <v>0</v>
      </c>
      <c r="H518" s="4">
        <f>IF($A518=H$496,"",COUNTIF($E$4:$E$492,$A518&amp;" ضد "&amp;H$496)+COUNTIF($E$4:$E$492,H$496&amp;" ضد "&amp;$A518))</f>
        <v>0</v>
      </c>
      <c r="I518" s="4">
        <f>IF($A518=I$496,"",COUNTIF($E$4:$E$492,$A518&amp;" ضد "&amp;I$496)+COUNTIF($E$4:$E$492,I$496&amp;" ضد "&amp;$A518))</f>
        <v>0</v>
      </c>
      <c r="J518" s="4">
        <f>IF($A518=J$496,"",COUNTIF($E$4:$E$492,$A518&amp;" ضد "&amp;J$496)+COUNTIF($E$4:$E$492,J$496&amp;" ضد "&amp;$A518))</f>
        <v>0</v>
      </c>
      <c r="K518" s="4">
        <f>IF($A518=K$496,"",COUNTIF($E$4:$E$492,$A518&amp;" ضد "&amp;K$496)+COUNTIF($E$4:$E$492,K$496&amp;" ضد "&amp;$A518))</f>
        <v>0</v>
      </c>
      <c r="L518" s="4">
        <f>IF($A518=L$496,"",COUNTIF($E$4:$E$492,$A518&amp;" ضد "&amp;L$496)+COUNTIF($E$4:$E$492,L$496&amp;" ضد "&amp;$A518))</f>
        <v>0</v>
      </c>
      <c r="M518" s="4">
        <f>IF($A518=M$496,"",COUNTIF($E$4:$E$492,$A518&amp;" ضد "&amp;M$496)+COUNTIF($E$4:$E$492,M$496&amp;" ضد "&amp;$A518))</f>
        <v>0</v>
      </c>
      <c r="N518" s="4">
        <f>IF($A518=N$496,"",COUNTIF($E$4:$E$492,$A518&amp;" ضد "&amp;N$496)+COUNTIF($E$4:$E$492,N$496&amp;" ضد "&amp;$A518))</f>
        <v>0</v>
      </c>
      <c r="O518" s="4">
        <f>IF($A518=O$496,"",COUNTIF($E$4:$E$492,$A518&amp;" ضد "&amp;O$496)+COUNTIF($E$4:$E$492,O$496&amp;" ضد "&amp;$A518))</f>
        <v>0</v>
      </c>
      <c r="P518" s="4">
        <f>IF($A518=P$496,"",COUNTIF($E$4:$E$492,$A518&amp;" ضد "&amp;P$496)+COUNTIF($E$4:$E$492,P$496&amp;" ضد "&amp;$A518))</f>
        <v>1</v>
      </c>
      <c r="Q518" s="4">
        <f>IF($A518=Q$496,"",COUNTIF($E$4:$E$492,$A518&amp;" ضد "&amp;Q$496)+COUNTIF($E$4:$E$492,Q$496&amp;" ضد "&amp;$A518))</f>
        <v>1</v>
      </c>
      <c r="R518" s="4">
        <f>IF($A518=R$496,"",COUNTIF($E$4:$E$492,$A518&amp;" ضد "&amp;R$496)+COUNTIF($E$4:$E$492,R$496&amp;" ضد "&amp;$A518))</f>
        <v>2</v>
      </c>
      <c r="S518" s="4">
        <f>IF($A518=S$496,"",COUNTIF($E$4:$E$492,$A518&amp;" ضد "&amp;S$496)+COUNTIF($E$4:$E$492,S$496&amp;" ضد "&amp;$A518))</f>
        <v>1</v>
      </c>
      <c r="T518" s="4">
        <f>IF($A518=T$496,"",COUNTIF($E$4:$E$492,$A518&amp;" ضد "&amp;T$496)+COUNTIF($E$4:$E$492,T$496&amp;" ضد "&amp;$A518))</f>
        <v>2</v>
      </c>
      <c r="U518" s="4">
        <f>IF($A518=U$496,"",COUNTIF($E$4:$E$492,$A518&amp;" ضد "&amp;U$496)+COUNTIF($E$4:$E$492,U$496&amp;" ضد "&amp;$A518))</f>
        <v>1</v>
      </c>
      <c r="V518" s="4">
        <f>IF($A518=V$496,"",COUNTIF($E$4:$E$492,$A518&amp;" ضد "&amp;V$496)+COUNTIF($E$4:$E$492,V$496&amp;" ضد "&amp;$A518))</f>
        <v>2</v>
      </c>
      <c r="W518" s="4" t="str">
        <f>IF($A518=W$496,"",COUNTIF($E$4:$E$492,$A518&amp;" ضد "&amp;W$496)+COUNTIF($E$4:$E$492,W$496&amp;" ضد "&amp;$A518))</f>
        <v/>
      </c>
      <c r="X518" s="4">
        <f>IF($A518=X$496,"",COUNTIF($E$4:$E$492,$A518&amp;" ضد "&amp;X$496)+COUNTIF($E$4:$E$492,X$496&amp;" ضد "&amp;$A518))</f>
        <v>1</v>
      </c>
      <c r="Y518" s="4">
        <f>IF($A518=Y$496,"",COUNTIF($E$4:$E$492,$A518&amp;" ضد "&amp;Y$496)+COUNTIF($E$4:$E$492,Y$496&amp;" ضد "&amp;$A518))</f>
        <v>1</v>
      </c>
      <c r="Z518" s="4">
        <f>IF($A518=Z$496,"",COUNTIF($E$4:$E$492,$A518&amp;" ضد "&amp;Z$496)+COUNTIF($E$4:$E$492,Z$496&amp;" ضد "&amp;$A518))</f>
        <v>1</v>
      </c>
      <c r="AA518" s="4">
        <f>IF($A518=AA$496,"",COUNTIF($E$4:$E$492,$A518&amp;" ضد "&amp;AA$496)+COUNTIF($E$4:$E$492,AA$496&amp;" ضد "&amp;$A518))</f>
        <v>2</v>
      </c>
      <c r="AB518" s="4">
        <f>IF($A518=AB$496,"",COUNTIF($E$4:$E$492,$A518&amp;" ضد "&amp;AB$496)+COUNTIF($E$4:$E$492,AB$496&amp;" ضد "&amp;$A518))</f>
        <v>1</v>
      </c>
      <c r="AC518" s="4">
        <f>IF($A518=AC$496,"",COUNTIF($E$4:$E$492,$A518&amp;" ضد "&amp;AC$496)+COUNTIF($E$4:$E$492,AC$496&amp;" ضد "&amp;$A518))</f>
        <v>2</v>
      </c>
      <c r="AD518" s="4">
        <f>IF($A518=AD$496,"",COUNTIF($E$4:$E$492,$A518&amp;" ضد "&amp;AD$496)+COUNTIF($E$4:$E$492,AD$496&amp;" ضد "&amp;$A518))</f>
        <v>0</v>
      </c>
      <c r="AE518" s="4">
        <f>IF($A518=AE$496,"",COUNTIF($E$4:$E$492,$A518&amp;" ضد "&amp;AE$496)+COUNTIF($E$4:$E$492,AE$496&amp;" ضد "&amp;$A518))</f>
        <v>0</v>
      </c>
      <c r="AF518" s="4">
        <f>IF($A518=AF$496,"",COUNTIF($E$4:$E$492,$A518&amp;" ضد "&amp;AF$496)+COUNTIF($E$4:$E$492,AF$496&amp;" ضد "&amp;$A518))</f>
        <v>0</v>
      </c>
      <c r="AG518" s="4">
        <f>IF($A518=AG$496,"",COUNTIF($E$4:$E$492,$A518&amp;" ضد "&amp;AG$496)+COUNTIF($E$4:$E$492,AG$496&amp;" ضد "&amp;$A518))</f>
        <v>0</v>
      </c>
      <c r="AH518" s="4">
        <f>IF($A518=AH$496,"",COUNTIF($E$4:$E$492,$A518&amp;" ضد "&amp;AH$496)+COUNTIF($E$4:$E$492,AH$496&amp;" ضد "&amp;$A518))</f>
        <v>0</v>
      </c>
      <c r="AI518" s="4">
        <f>IF($A518=AI$496,"",COUNTIF($E$4:$E$492,$A518&amp;" ضد "&amp;AI$496)+COUNTIF($E$4:$E$492,AI$496&amp;" ضد "&amp;$A518))</f>
        <v>0</v>
      </c>
      <c r="AJ518" s="4">
        <f>IF($A518=AJ$496,"",COUNTIF($E$4:$E$492,$A518&amp;" ضد "&amp;AJ$496)+COUNTIF($E$4:$E$492,AJ$496&amp;" ضد "&amp;$A518))</f>
        <v>0</v>
      </c>
      <c r="AK518" s="4">
        <f>IF($A518=AK$496,"",COUNTIF($E$4:$E$492,$A518&amp;" ضد "&amp;AK$496)+COUNTIF($E$4:$E$492,AK$496&amp;" ضد "&amp;$A518))</f>
        <v>0</v>
      </c>
      <c r="AL518" s="4">
        <f>IF($A518=AL$496,"",COUNTIF($E$4:$E$492,$A518&amp;" ضد "&amp;AL$496)+COUNTIF($E$4:$E$492,AL$496&amp;" ضد "&amp;$A518))</f>
        <v>0</v>
      </c>
      <c r="AM518" s="4">
        <f>IF($A518=AM$496,"",COUNTIF($E$4:$E$492,$A518&amp;" ضد "&amp;AM$496)+COUNTIF($E$4:$E$492,AM$496&amp;" ضد "&amp;$A518))</f>
        <v>0</v>
      </c>
      <c r="AN518" s="4">
        <f>IF($A518=AN$496,"",COUNTIF($E$4:$E$492,$A518&amp;" ضد "&amp;AN$496)+COUNTIF($E$4:$E$492,AN$496&amp;" ضد "&amp;$A518))</f>
        <v>0</v>
      </c>
      <c r="AO518" s="4">
        <f>IF($A518=AO$496,"",COUNTIF($E$4:$E$492,$A518&amp;" ضد "&amp;AO$496)+COUNTIF($E$4:$E$492,AO$496&amp;" ضد "&amp;$A518))</f>
        <v>0</v>
      </c>
      <c r="AP518" s="4">
        <f>IF($A518=AP$496,"",COUNTIF($E$4:$E$492,$A518&amp;" ضد "&amp;AP$496)+COUNTIF($E$4:$E$492,AP$496&amp;" ضد "&amp;$A518))</f>
        <v>0</v>
      </c>
      <c r="AQ518" s="4">
        <f>IF($A518=AQ$496,"",COUNTIF($E$4:$E$492,$A518&amp;" ضد "&amp;AQ$496)+COUNTIF($E$4:$E$492,AQ$496&amp;" ضد "&amp;$A518))</f>
        <v>0</v>
      </c>
      <c r="AR518" s="4">
        <f>IF($A518=AR$496,"",COUNTIF($E$4:$E$492,$A518&amp;" ضد "&amp;AR$496)+COUNTIF($E$4:$E$492,AR$496&amp;" ضد "&amp;$A518))</f>
        <v>0</v>
      </c>
      <c r="AS518" s="4">
        <f>IF($A518=AS$496,"",COUNTIF($E$4:$E$492,$A518&amp;" ضد "&amp;AS$496)+COUNTIF($E$4:$E$492,AS$496&amp;" ضد "&amp;$A518))</f>
        <v>0</v>
      </c>
      <c r="AT518" s="4">
        <f>IF($A518=AT$496,"",COUNTIF($E$4:$E$492,$A518&amp;" ضد "&amp;AT$496)+COUNTIF($E$4:$E$492,AT$496&amp;" ضد "&amp;$A518))</f>
        <v>0</v>
      </c>
      <c r="AU518" s="4">
        <f>IF($A518=AU$496,"",COUNTIF($E$4:$E$492,$A518&amp;" ضد "&amp;AU$496)+COUNTIF($E$4:$E$492,AU$496&amp;" ضد "&amp;$A518))</f>
        <v>0</v>
      </c>
      <c r="AV518" s="4">
        <f>IF($A518=AV$496,"",COUNTIF($E$4:$E$492,$A518&amp;" ضد "&amp;AV$496)+COUNTIF($E$4:$E$492,AV$496&amp;" ضد "&amp;$A518))</f>
        <v>0</v>
      </c>
      <c r="AW518" s="4">
        <f>IF($A518=AW$496,"",COUNTIF($E$4:$E$492,$A518&amp;" ضد "&amp;AW$496)+COUNTIF($E$4:$E$492,AW$496&amp;" ضد "&amp;$A518))</f>
        <v>0</v>
      </c>
      <c r="AX518" s="4">
        <f>IF($A518=AX$496,"",COUNTIF($E$4:$E$492,$A518&amp;" ضد "&amp;AX$496)+COUNTIF($E$4:$E$492,AX$496&amp;" ضد "&amp;$A518))</f>
        <v>0</v>
      </c>
      <c r="AY518" s="4">
        <f>IF($A518=AY$496,"",COUNTIF($E$4:$E$492,$A518&amp;" ضد "&amp;AY$496)+COUNTIF($E$4:$E$492,AY$496&amp;" ضد "&amp;$A518))</f>
        <v>0</v>
      </c>
      <c r="AZ518" s="4">
        <f>IF($A518=AZ$496,"",COUNTIF($E$4:$E$492,$A518&amp;" ضد "&amp;AZ$496)+COUNTIF($E$4:$E$492,AZ$496&amp;" ضد "&amp;$A518))</f>
        <v>0</v>
      </c>
      <c r="BA518" s="4">
        <f>IF($A518=BA$496,"",COUNTIF($E$4:$E$492,$A518&amp;" ضد "&amp;BA$496)+COUNTIF($E$4:$E$492,BA$496&amp;" ضد "&amp;$A518))</f>
        <v>0</v>
      </c>
      <c r="BB518" s="4">
        <f>IF($A518=BB$496,"",COUNTIF($E$4:$E$492,$A518&amp;" ضد "&amp;BB$496)+COUNTIF($E$4:$E$492,BB$496&amp;" ضد "&amp;$A518))</f>
        <v>0</v>
      </c>
      <c r="BC518" s="4">
        <f>IF($A518=BC$496,"",COUNTIF($E$4:$E$492,$A518&amp;" ضد "&amp;BC$496)+COUNTIF($E$4:$E$492,BC$496&amp;" ضد "&amp;$A518))</f>
        <v>0</v>
      </c>
    </row>
    <row r="519" spans="1:55" ht="14.5">
      <c r="A519" s="14">
        <v>23</v>
      </c>
      <c r="B519" s="4">
        <f>IF($A519=B$496,"",COUNTIF($E$4:$E$492,$A519&amp;" ضد "&amp;B$496)+COUNTIF($E$4:$E$492,B$496&amp;" ضد "&amp;$A519))</f>
        <v>0</v>
      </c>
      <c r="C519" s="4">
        <f>IF($A519=C$496,"",COUNTIF($E$4:$E$492,$A519&amp;" ضد "&amp;C$496)+COUNTIF($E$4:$E$492,C$496&amp;" ضد "&amp;$A519))</f>
        <v>0</v>
      </c>
      <c r="D519" s="4">
        <f>IF($A519=D$496,"",COUNTIF($E$4:$E$492,$A519&amp;" ضد "&amp;D$496)+COUNTIF($E$4:$E$492,D$496&amp;" ضد "&amp;$A519))</f>
        <v>0</v>
      </c>
      <c r="E519" s="4">
        <f>IF($A519=E$496,"",COUNTIF($E$4:$E$492,$A519&amp;" ضد "&amp;E$496)+COUNTIF($E$4:$E$492,E$496&amp;" ضد "&amp;$A519))</f>
        <v>0</v>
      </c>
      <c r="F519" s="4">
        <f>IF($A519=F$496,"",COUNTIF($E$4:$E$492,$A519&amp;" ضد "&amp;F$496)+COUNTIF($E$4:$E$492,F$496&amp;" ضد "&amp;$A519))</f>
        <v>0</v>
      </c>
      <c r="G519" s="4">
        <f>IF($A519=G$496,"",COUNTIF($E$4:$E$492,$A519&amp;" ضد "&amp;G$496)+COUNTIF($E$4:$E$492,G$496&amp;" ضد "&amp;$A519))</f>
        <v>0</v>
      </c>
      <c r="H519" s="4">
        <f>IF($A519=H$496,"",COUNTIF($E$4:$E$492,$A519&amp;" ضد "&amp;H$496)+COUNTIF($E$4:$E$492,H$496&amp;" ضد "&amp;$A519))</f>
        <v>0</v>
      </c>
      <c r="I519" s="4">
        <f>IF($A519=I$496,"",COUNTIF($E$4:$E$492,$A519&amp;" ضد "&amp;I$496)+COUNTIF($E$4:$E$492,I$496&amp;" ضد "&amp;$A519))</f>
        <v>0</v>
      </c>
      <c r="J519" s="4">
        <f>IF($A519=J$496,"",COUNTIF($E$4:$E$492,$A519&amp;" ضد "&amp;J$496)+COUNTIF($E$4:$E$492,J$496&amp;" ضد "&amp;$A519))</f>
        <v>0</v>
      </c>
      <c r="K519" s="4">
        <f>IF($A519=K$496,"",COUNTIF($E$4:$E$492,$A519&amp;" ضد "&amp;K$496)+COUNTIF($E$4:$E$492,K$496&amp;" ضد "&amp;$A519))</f>
        <v>0</v>
      </c>
      <c r="L519" s="4">
        <f>IF($A519=L$496,"",COUNTIF($E$4:$E$492,$A519&amp;" ضد "&amp;L$496)+COUNTIF($E$4:$E$492,L$496&amp;" ضد "&amp;$A519))</f>
        <v>0</v>
      </c>
      <c r="M519" s="4">
        <f>IF($A519=M$496,"",COUNTIF($E$4:$E$492,$A519&amp;" ضد "&amp;M$496)+COUNTIF($E$4:$E$492,M$496&amp;" ضد "&amp;$A519))</f>
        <v>0</v>
      </c>
      <c r="N519" s="4">
        <f>IF($A519=N$496,"",COUNTIF($E$4:$E$492,$A519&amp;" ضد "&amp;N$496)+COUNTIF($E$4:$E$492,N$496&amp;" ضد "&amp;$A519))</f>
        <v>0</v>
      </c>
      <c r="O519" s="4">
        <f>IF($A519=O$496,"",COUNTIF($E$4:$E$492,$A519&amp;" ضد "&amp;O$496)+COUNTIF($E$4:$E$492,O$496&amp;" ضد "&amp;$A519))</f>
        <v>0</v>
      </c>
      <c r="P519" s="4">
        <f>IF($A519=P$496,"",COUNTIF($E$4:$E$492,$A519&amp;" ضد "&amp;P$496)+COUNTIF($E$4:$E$492,P$496&amp;" ضد "&amp;$A519))</f>
        <v>1</v>
      </c>
      <c r="Q519" s="4">
        <f>IF($A519=Q$496,"",COUNTIF($E$4:$E$492,$A519&amp;" ضد "&amp;Q$496)+COUNTIF($E$4:$E$492,Q$496&amp;" ضد "&amp;$A519))</f>
        <v>2</v>
      </c>
      <c r="R519" s="4">
        <f>IF($A519=R$496,"",COUNTIF($E$4:$E$492,$A519&amp;" ضد "&amp;R$496)+COUNTIF($E$4:$E$492,R$496&amp;" ضد "&amp;$A519))</f>
        <v>1</v>
      </c>
      <c r="S519" s="4">
        <f>IF($A519=S$496,"",COUNTIF($E$4:$E$492,$A519&amp;" ضد "&amp;S$496)+COUNTIF($E$4:$E$492,S$496&amp;" ضد "&amp;$A519))</f>
        <v>2</v>
      </c>
      <c r="T519" s="4">
        <f>IF($A519=T$496,"",COUNTIF($E$4:$E$492,$A519&amp;" ضد "&amp;T$496)+COUNTIF($E$4:$E$492,T$496&amp;" ضد "&amp;$A519))</f>
        <v>1</v>
      </c>
      <c r="U519" s="4">
        <f>IF($A519=U$496,"",COUNTIF($E$4:$E$492,$A519&amp;" ضد "&amp;U$496)+COUNTIF($E$4:$E$492,U$496&amp;" ضد "&amp;$A519))</f>
        <v>2</v>
      </c>
      <c r="V519" s="4">
        <f>IF($A519=V$496,"",COUNTIF($E$4:$E$492,$A519&amp;" ضد "&amp;V$496)+COUNTIF($E$4:$E$492,V$496&amp;" ضد "&amp;$A519))</f>
        <v>1</v>
      </c>
      <c r="W519" s="4">
        <f>IF($A519=W$496,"",COUNTIF($E$4:$E$492,$A519&amp;" ضد "&amp;W$496)+COUNTIF($E$4:$E$492,W$496&amp;" ضد "&amp;$A519))</f>
        <v>1</v>
      </c>
      <c r="X519" s="4" t="str">
        <f>IF($A519=X$496,"",COUNTIF($E$4:$E$492,$A519&amp;" ضد "&amp;X$496)+COUNTIF($E$4:$E$492,X$496&amp;" ضد "&amp;$A519))</f>
        <v/>
      </c>
      <c r="Y519" s="4">
        <f>IF($A519=Y$496,"",COUNTIF($E$4:$E$492,$A519&amp;" ضد "&amp;Y$496)+COUNTIF($E$4:$E$492,Y$496&amp;" ضد "&amp;$A519))</f>
        <v>1</v>
      </c>
      <c r="Z519" s="4">
        <f>IF($A519=Z$496,"",COUNTIF($E$4:$E$492,$A519&amp;" ضد "&amp;Z$496)+COUNTIF($E$4:$E$492,Z$496&amp;" ضد "&amp;$A519))</f>
        <v>2</v>
      </c>
      <c r="AA519" s="4">
        <f>IF($A519=AA$496,"",COUNTIF($E$4:$E$492,$A519&amp;" ضد "&amp;AA$496)+COUNTIF($E$4:$E$492,AA$496&amp;" ضد "&amp;$A519))</f>
        <v>1</v>
      </c>
      <c r="AB519" s="4">
        <f>IF($A519=AB$496,"",COUNTIF($E$4:$E$492,$A519&amp;" ضد "&amp;AB$496)+COUNTIF($E$4:$E$492,AB$496&amp;" ضد "&amp;$A519))</f>
        <v>2</v>
      </c>
      <c r="AC519" s="4">
        <f>IF($A519=AC$496,"",COUNTIF($E$4:$E$492,$A519&amp;" ضد "&amp;AC$496)+COUNTIF($E$4:$E$492,AC$496&amp;" ضد "&amp;$A519))</f>
        <v>1</v>
      </c>
      <c r="AD519" s="4">
        <f>IF($A519=AD$496,"",COUNTIF($E$4:$E$492,$A519&amp;" ضد "&amp;AD$496)+COUNTIF($E$4:$E$492,AD$496&amp;" ضد "&amp;$A519))</f>
        <v>0</v>
      </c>
      <c r="AE519" s="4">
        <f>IF($A519=AE$496,"",COUNTIF($E$4:$E$492,$A519&amp;" ضد "&amp;AE$496)+COUNTIF($E$4:$E$492,AE$496&amp;" ضد "&amp;$A519))</f>
        <v>0</v>
      </c>
      <c r="AF519" s="4">
        <f>IF($A519=AF$496,"",COUNTIF($E$4:$E$492,$A519&amp;" ضد "&amp;AF$496)+COUNTIF($E$4:$E$492,AF$496&amp;" ضد "&amp;$A519))</f>
        <v>0</v>
      </c>
      <c r="AG519" s="4">
        <f>IF($A519=AG$496,"",COUNTIF($E$4:$E$492,$A519&amp;" ضد "&amp;AG$496)+COUNTIF($E$4:$E$492,AG$496&amp;" ضد "&amp;$A519))</f>
        <v>0</v>
      </c>
      <c r="AH519" s="4">
        <f>IF($A519=AH$496,"",COUNTIF($E$4:$E$492,$A519&amp;" ضد "&amp;AH$496)+COUNTIF($E$4:$E$492,AH$496&amp;" ضد "&amp;$A519))</f>
        <v>0</v>
      </c>
      <c r="AI519" s="4">
        <f>IF($A519=AI$496,"",COUNTIF($E$4:$E$492,$A519&amp;" ضد "&amp;AI$496)+COUNTIF($E$4:$E$492,AI$496&amp;" ضد "&amp;$A519))</f>
        <v>0</v>
      </c>
      <c r="AJ519" s="4">
        <f>IF($A519=AJ$496,"",COUNTIF($E$4:$E$492,$A519&amp;" ضد "&amp;AJ$496)+COUNTIF($E$4:$E$492,AJ$496&amp;" ضد "&amp;$A519))</f>
        <v>0</v>
      </c>
      <c r="AK519" s="4">
        <f>IF($A519=AK$496,"",COUNTIF($E$4:$E$492,$A519&amp;" ضد "&amp;AK$496)+COUNTIF($E$4:$E$492,AK$496&amp;" ضد "&amp;$A519))</f>
        <v>0</v>
      </c>
      <c r="AL519" s="4">
        <f>IF($A519=AL$496,"",COUNTIF($E$4:$E$492,$A519&amp;" ضد "&amp;AL$496)+COUNTIF($E$4:$E$492,AL$496&amp;" ضد "&amp;$A519))</f>
        <v>0</v>
      </c>
      <c r="AM519" s="4">
        <f>IF($A519=AM$496,"",COUNTIF($E$4:$E$492,$A519&amp;" ضد "&amp;AM$496)+COUNTIF($E$4:$E$492,AM$496&amp;" ضد "&amp;$A519))</f>
        <v>0</v>
      </c>
      <c r="AN519" s="4">
        <f>IF($A519=AN$496,"",COUNTIF($E$4:$E$492,$A519&amp;" ضد "&amp;AN$496)+COUNTIF($E$4:$E$492,AN$496&amp;" ضد "&amp;$A519))</f>
        <v>0</v>
      </c>
      <c r="AO519" s="4">
        <f>IF($A519=AO$496,"",COUNTIF($E$4:$E$492,$A519&amp;" ضد "&amp;AO$496)+COUNTIF($E$4:$E$492,AO$496&amp;" ضد "&amp;$A519))</f>
        <v>0</v>
      </c>
      <c r="AP519" s="4">
        <f>IF($A519=AP$496,"",COUNTIF($E$4:$E$492,$A519&amp;" ضد "&amp;AP$496)+COUNTIF($E$4:$E$492,AP$496&amp;" ضد "&amp;$A519))</f>
        <v>0</v>
      </c>
      <c r="AQ519" s="4">
        <f>IF($A519=AQ$496,"",COUNTIF($E$4:$E$492,$A519&amp;" ضد "&amp;AQ$496)+COUNTIF($E$4:$E$492,AQ$496&amp;" ضد "&amp;$A519))</f>
        <v>0</v>
      </c>
      <c r="AR519" s="4">
        <f>IF($A519=AR$496,"",COUNTIF($E$4:$E$492,$A519&amp;" ضد "&amp;AR$496)+COUNTIF($E$4:$E$492,AR$496&amp;" ضد "&amp;$A519))</f>
        <v>0</v>
      </c>
      <c r="AS519" s="4">
        <f>IF($A519=AS$496,"",COUNTIF($E$4:$E$492,$A519&amp;" ضد "&amp;AS$496)+COUNTIF($E$4:$E$492,AS$496&amp;" ضد "&amp;$A519))</f>
        <v>0</v>
      </c>
      <c r="AT519" s="4">
        <f>IF($A519=AT$496,"",COUNTIF($E$4:$E$492,$A519&amp;" ضد "&amp;AT$496)+COUNTIF($E$4:$E$492,AT$496&amp;" ضد "&amp;$A519))</f>
        <v>0</v>
      </c>
      <c r="AU519" s="4">
        <f>IF($A519=AU$496,"",COUNTIF($E$4:$E$492,$A519&amp;" ضد "&amp;AU$496)+COUNTIF($E$4:$E$492,AU$496&amp;" ضد "&amp;$A519))</f>
        <v>0</v>
      </c>
      <c r="AV519" s="4">
        <f>IF($A519=AV$496,"",COUNTIF($E$4:$E$492,$A519&amp;" ضد "&amp;AV$496)+COUNTIF($E$4:$E$492,AV$496&amp;" ضد "&amp;$A519))</f>
        <v>0</v>
      </c>
      <c r="AW519" s="4">
        <f>IF($A519=AW$496,"",COUNTIF($E$4:$E$492,$A519&amp;" ضد "&amp;AW$496)+COUNTIF($E$4:$E$492,AW$496&amp;" ضد "&amp;$A519))</f>
        <v>0</v>
      </c>
      <c r="AX519" s="4">
        <f>IF($A519=AX$496,"",COUNTIF($E$4:$E$492,$A519&amp;" ضد "&amp;AX$496)+COUNTIF($E$4:$E$492,AX$496&amp;" ضد "&amp;$A519))</f>
        <v>0</v>
      </c>
      <c r="AY519" s="4">
        <f>IF($A519=AY$496,"",COUNTIF($E$4:$E$492,$A519&amp;" ضد "&amp;AY$496)+COUNTIF($E$4:$E$492,AY$496&amp;" ضد "&amp;$A519))</f>
        <v>0</v>
      </c>
      <c r="AZ519" s="4">
        <f>IF($A519=AZ$496,"",COUNTIF($E$4:$E$492,$A519&amp;" ضد "&amp;AZ$496)+COUNTIF($E$4:$E$492,AZ$496&amp;" ضد "&amp;$A519))</f>
        <v>0</v>
      </c>
      <c r="BA519" s="4">
        <f>IF($A519=BA$496,"",COUNTIF($E$4:$E$492,$A519&amp;" ضد "&amp;BA$496)+COUNTIF($E$4:$E$492,BA$496&amp;" ضد "&amp;$A519))</f>
        <v>0</v>
      </c>
      <c r="BB519" s="4">
        <f>IF($A519=BB$496,"",COUNTIF($E$4:$E$492,$A519&amp;" ضد "&amp;BB$496)+COUNTIF($E$4:$E$492,BB$496&amp;" ضد "&amp;$A519))</f>
        <v>0</v>
      </c>
      <c r="BC519" s="4">
        <f>IF($A519=BC$496,"",COUNTIF($E$4:$E$492,$A519&amp;" ضد "&amp;BC$496)+COUNTIF($E$4:$E$492,BC$496&amp;" ضد "&amp;$A519))</f>
        <v>0</v>
      </c>
    </row>
    <row r="520" spans="1:55" ht="14.5">
      <c r="A520" s="14">
        <v>24</v>
      </c>
      <c r="B520" s="4">
        <f>IF($A520=B$496,"",COUNTIF($E$4:$E$492,$A520&amp;" ضد "&amp;B$496)+COUNTIF($E$4:$E$492,B$496&amp;" ضد "&amp;$A520))</f>
        <v>0</v>
      </c>
      <c r="C520" s="4">
        <f>IF($A520=C$496,"",COUNTIF($E$4:$E$492,$A520&amp;" ضد "&amp;C$496)+COUNTIF($E$4:$E$492,C$496&amp;" ضد "&amp;$A520))</f>
        <v>0</v>
      </c>
      <c r="D520" s="4">
        <f>IF($A520=D$496,"",COUNTIF($E$4:$E$492,$A520&amp;" ضد "&amp;D$496)+COUNTIF($E$4:$E$492,D$496&amp;" ضد "&amp;$A520))</f>
        <v>0</v>
      </c>
      <c r="E520" s="4">
        <f>IF($A520=E$496,"",COUNTIF($E$4:$E$492,$A520&amp;" ضد "&amp;E$496)+COUNTIF($E$4:$E$492,E$496&amp;" ضد "&amp;$A520))</f>
        <v>0</v>
      </c>
      <c r="F520" s="4">
        <f>IF($A520=F$496,"",COUNTIF($E$4:$E$492,$A520&amp;" ضد "&amp;F$496)+COUNTIF($E$4:$E$492,F$496&amp;" ضد "&amp;$A520))</f>
        <v>0</v>
      </c>
      <c r="G520" s="4">
        <f>IF($A520=G$496,"",COUNTIF($E$4:$E$492,$A520&amp;" ضد "&amp;G$496)+COUNTIF($E$4:$E$492,G$496&amp;" ضد "&amp;$A520))</f>
        <v>0</v>
      </c>
      <c r="H520" s="4">
        <f>IF($A520=H$496,"",COUNTIF($E$4:$E$492,$A520&amp;" ضد "&amp;H$496)+COUNTIF($E$4:$E$492,H$496&amp;" ضد "&amp;$A520))</f>
        <v>0</v>
      </c>
      <c r="I520" s="4">
        <f>IF($A520=I$496,"",COUNTIF($E$4:$E$492,$A520&amp;" ضد "&amp;I$496)+COUNTIF($E$4:$E$492,I$496&amp;" ضد "&amp;$A520))</f>
        <v>0</v>
      </c>
      <c r="J520" s="4">
        <f>IF($A520=J$496,"",COUNTIF($E$4:$E$492,$A520&amp;" ضد "&amp;J$496)+COUNTIF($E$4:$E$492,J$496&amp;" ضد "&amp;$A520))</f>
        <v>0</v>
      </c>
      <c r="K520" s="4">
        <f>IF($A520=K$496,"",COUNTIF($E$4:$E$492,$A520&amp;" ضد "&amp;K$496)+COUNTIF($E$4:$E$492,K$496&amp;" ضد "&amp;$A520))</f>
        <v>0</v>
      </c>
      <c r="L520" s="4">
        <f>IF($A520=L$496,"",COUNTIF($E$4:$E$492,$A520&amp;" ضد "&amp;L$496)+COUNTIF($E$4:$E$492,L$496&amp;" ضد "&amp;$A520))</f>
        <v>0</v>
      </c>
      <c r="M520" s="4">
        <f>IF($A520=M$496,"",COUNTIF($E$4:$E$492,$A520&amp;" ضد "&amp;M$496)+COUNTIF($E$4:$E$492,M$496&amp;" ضد "&amp;$A520))</f>
        <v>0</v>
      </c>
      <c r="N520" s="4">
        <f>IF($A520=N$496,"",COUNTIF($E$4:$E$492,$A520&amp;" ضد "&amp;N$496)+COUNTIF($E$4:$E$492,N$496&amp;" ضد "&amp;$A520))</f>
        <v>0</v>
      </c>
      <c r="O520" s="4">
        <f>IF($A520=O$496,"",COUNTIF($E$4:$E$492,$A520&amp;" ضد "&amp;O$496)+COUNTIF($E$4:$E$492,O$496&amp;" ضد "&amp;$A520))</f>
        <v>0</v>
      </c>
      <c r="P520" s="4">
        <f>IF($A520=P$496,"",COUNTIF($E$4:$E$492,$A520&amp;" ضد "&amp;P$496)+COUNTIF($E$4:$E$492,P$496&amp;" ضد "&amp;$A520))</f>
        <v>2</v>
      </c>
      <c r="Q520" s="4">
        <f>IF($A520=Q$496,"",COUNTIF($E$4:$E$492,$A520&amp;" ضد "&amp;Q$496)+COUNTIF($E$4:$E$492,Q$496&amp;" ضد "&amp;$A520))</f>
        <v>1</v>
      </c>
      <c r="R520" s="4">
        <f>IF($A520=R$496,"",COUNTIF($E$4:$E$492,$A520&amp;" ضد "&amp;R$496)+COUNTIF($E$4:$E$492,R$496&amp;" ضد "&amp;$A520))</f>
        <v>2</v>
      </c>
      <c r="S520" s="4">
        <f>IF($A520=S$496,"",COUNTIF($E$4:$E$492,$A520&amp;" ضد "&amp;S$496)+COUNTIF($E$4:$E$492,S$496&amp;" ضد "&amp;$A520))</f>
        <v>1</v>
      </c>
      <c r="T520" s="4">
        <f>IF($A520=T$496,"",COUNTIF($E$4:$E$492,$A520&amp;" ضد "&amp;T$496)+COUNTIF($E$4:$E$492,T$496&amp;" ضد "&amp;$A520))</f>
        <v>2</v>
      </c>
      <c r="U520" s="4">
        <f>IF($A520=U$496,"",COUNTIF($E$4:$E$492,$A520&amp;" ضد "&amp;U$496)+COUNTIF($E$4:$E$492,U$496&amp;" ضد "&amp;$A520))</f>
        <v>1</v>
      </c>
      <c r="V520" s="4">
        <f>IF($A520=V$496,"",COUNTIF($E$4:$E$492,$A520&amp;" ضد "&amp;V$496)+COUNTIF($E$4:$E$492,V$496&amp;" ضد "&amp;$A520))</f>
        <v>1</v>
      </c>
      <c r="W520" s="4">
        <f>IF($A520=W$496,"",COUNTIF($E$4:$E$492,$A520&amp;" ضد "&amp;W$496)+COUNTIF($E$4:$E$492,W$496&amp;" ضد "&amp;$A520))</f>
        <v>1</v>
      </c>
      <c r="X520" s="4">
        <f>IF($A520=X$496,"",COUNTIF($E$4:$E$492,$A520&amp;" ضد "&amp;X$496)+COUNTIF($E$4:$E$492,X$496&amp;" ضد "&amp;$A520))</f>
        <v>1</v>
      </c>
      <c r="Y520" s="4" t="str">
        <f>IF($A520=Y$496,"",COUNTIF($E$4:$E$492,$A520&amp;" ضد "&amp;Y$496)+COUNTIF($E$4:$E$492,Y$496&amp;" ضد "&amp;$A520))</f>
        <v/>
      </c>
      <c r="Z520" s="4">
        <f>IF($A520=Z$496,"",COUNTIF($E$4:$E$492,$A520&amp;" ضد "&amp;Z$496)+COUNTIF($E$4:$E$492,Z$496&amp;" ضد "&amp;$A520))</f>
        <v>1</v>
      </c>
      <c r="AA520" s="4">
        <f>IF($A520=AA$496,"",COUNTIF($E$4:$E$492,$A520&amp;" ضد "&amp;AA$496)+COUNTIF($E$4:$E$492,AA$496&amp;" ضد "&amp;$A520))</f>
        <v>2</v>
      </c>
      <c r="AB520" s="4">
        <f>IF($A520=AB$496,"",COUNTIF($E$4:$E$492,$A520&amp;" ضد "&amp;AB$496)+COUNTIF($E$4:$E$492,AB$496&amp;" ضد "&amp;$A520))</f>
        <v>1</v>
      </c>
      <c r="AC520" s="4">
        <f>IF($A520=AC$496,"",COUNTIF($E$4:$E$492,$A520&amp;" ضد "&amp;AC$496)+COUNTIF($E$4:$E$492,AC$496&amp;" ضد "&amp;$A520))</f>
        <v>2</v>
      </c>
      <c r="AD520" s="4">
        <f>IF($A520=AD$496,"",COUNTIF($E$4:$E$492,$A520&amp;" ضد "&amp;AD$496)+COUNTIF($E$4:$E$492,AD$496&amp;" ضد "&amp;$A520))</f>
        <v>0</v>
      </c>
      <c r="AE520" s="4">
        <f>IF($A520=AE$496,"",COUNTIF($E$4:$E$492,$A520&amp;" ضد "&amp;AE$496)+COUNTIF($E$4:$E$492,AE$496&amp;" ضد "&amp;$A520))</f>
        <v>0</v>
      </c>
      <c r="AF520" s="4">
        <f>IF($A520=AF$496,"",COUNTIF($E$4:$E$492,$A520&amp;" ضد "&amp;AF$496)+COUNTIF($E$4:$E$492,AF$496&amp;" ضد "&amp;$A520))</f>
        <v>0</v>
      </c>
      <c r="AG520" s="4">
        <f>IF($A520=AG$496,"",COUNTIF($E$4:$E$492,$A520&amp;" ضد "&amp;AG$496)+COUNTIF($E$4:$E$492,AG$496&amp;" ضد "&amp;$A520))</f>
        <v>0</v>
      </c>
      <c r="AH520" s="4">
        <f>IF($A520=AH$496,"",COUNTIF($E$4:$E$492,$A520&amp;" ضد "&amp;AH$496)+COUNTIF($E$4:$E$492,AH$496&amp;" ضد "&amp;$A520))</f>
        <v>0</v>
      </c>
      <c r="AI520" s="4">
        <f>IF($A520=AI$496,"",COUNTIF($E$4:$E$492,$A520&amp;" ضد "&amp;AI$496)+COUNTIF($E$4:$E$492,AI$496&amp;" ضد "&amp;$A520))</f>
        <v>0</v>
      </c>
      <c r="AJ520" s="4">
        <f>IF($A520=AJ$496,"",COUNTIF($E$4:$E$492,$A520&amp;" ضد "&amp;AJ$496)+COUNTIF($E$4:$E$492,AJ$496&amp;" ضد "&amp;$A520))</f>
        <v>0</v>
      </c>
      <c r="AK520" s="4">
        <f>IF($A520=AK$496,"",COUNTIF($E$4:$E$492,$A520&amp;" ضد "&amp;AK$496)+COUNTIF($E$4:$E$492,AK$496&amp;" ضد "&amp;$A520))</f>
        <v>0</v>
      </c>
      <c r="AL520" s="4">
        <f>IF($A520=AL$496,"",COUNTIF($E$4:$E$492,$A520&amp;" ضد "&amp;AL$496)+COUNTIF($E$4:$E$492,AL$496&amp;" ضد "&amp;$A520))</f>
        <v>0</v>
      </c>
      <c r="AM520" s="4">
        <f>IF($A520=AM$496,"",COUNTIF($E$4:$E$492,$A520&amp;" ضد "&amp;AM$496)+COUNTIF($E$4:$E$492,AM$496&amp;" ضد "&amp;$A520))</f>
        <v>0</v>
      </c>
      <c r="AN520" s="4">
        <f>IF($A520=AN$496,"",COUNTIF($E$4:$E$492,$A520&amp;" ضد "&amp;AN$496)+COUNTIF($E$4:$E$492,AN$496&amp;" ضد "&amp;$A520))</f>
        <v>0</v>
      </c>
      <c r="AO520" s="4">
        <f>IF($A520=AO$496,"",COUNTIF($E$4:$E$492,$A520&amp;" ضد "&amp;AO$496)+COUNTIF($E$4:$E$492,AO$496&amp;" ضد "&amp;$A520))</f>
        <v>0</v>
      </c>
      <c r="AP520" s="4">
        <f>IF($A520=AP$496,"",COUNTIF($E$4:$E$492,$A520&amp;" ضد "&amp;AP$496)+COUNTIF($E$4:$E$492,AP$496&amp;" ضد "&amp;$A520))</f>
        <v>0</v>
      </c>
      <c r="AQ520" s="4">
        <f>IF($A520=AQ$496,"",COUNTIF($E$4:$E$492,$A520&amp;" ضد "&amp;AQ$496)+COUNTIF($E$4:$E$492,AQ$496&amp;" ضد "&amp;$A520))</f>
        <v>0</v>
      </c>
      <c r="AR520" s="4">
        <f>IF($A520=AR$496,"",COUNTIF($E$4:$E$492,$A520&amp;" ضد "&amp;AR$496)+COUNTIF($E$4:$E$492,AR$496&amp;" ضد "&amp;$A520))</f>
        <v>0</v>
      </c>
      <c r="AS520" s="4">
        <f>IF($A520=AS$496,"",COUNTIF($E$4:$E$492,$A520&amp;" ضد "&amp;AS$496)+COUNTIF($E$4:$E$492,AS$496&amp;" ضد "&amp;$A520))</f>
        <v>0</v>
      </c>
      <c r="AT520" s="4">
        <f>IF($A520=AT$496,"",COUNTIF($E$4:$E$492,$A520&amp;" ضد "&amp;AT$496)+COUNTIF($E$4:$E$492,AT$496&amp;" ضد "&amp;$A520))</f>
        <v>0</v>
      </c>
      <c r="AU520" s="4">
        <f>IF($A520=AU$496,"",COUNTIF($E$4:$E$492,$A520&amp;" ضد "&amp;AU$496)+COUNTIF($E$4:$E$492,AU$496&amp;" ضد "&amp;$A520))</f>
        <v>0</v>
      </c>
      <c r="AV520" s="4">
        <f>IF($A520=AV$496,"",COUNTIF($E$4:$E$492,$A520&amp;" ضد "&amp;AV$496)+COUNTIF($E$4:$E$492,AV$496&amp;" ضد "&amp;$A520))</f>
        <v>0</v>
      </c>
      <c r="AW520" s="4">
        <f>IF($A520=AW$496,"",COUNTIF($E$4:$E$492,$A520&amp;" ضد "&amp;AW$496)+COUNTIF($E$4:$E$492,AW$496&amp;" ضد "&amp;$A520))</f>
        <v>0</v>
      </c>
      <c r="AX520" s="4">
        <f>IF($A520=AX$496,"",COUNTIF($E$4:$E$492,$A520&amp;" ضد "&amp;AX$496)+COUNTIF($E$4:$E$492,AX$496&amp;" ضد "&amp;$A520))</f>
        <v>0</v>
      </c>
      <c r="AY520" s="4">
        <f>IF($A520=AY$496,"",COUNTIF($E$4:$E$492,$A520&amp;" ضد "&amp;AY$496)+COUNTIF($E$4:$E$492,AY$496&amp;" ضد "&amp;$A520))</f>
        <v>0</v>
      </c>
      <c r="AZ520" s="4">
        <f>IF($A520=AZ$496,"",COUNTIF($E$4:$E$492,$A520&amp;" ضد "&amp;AZ$496)+COUNTIF($E$4:$E$492,AZ$496&amp;" ضد "&amp;$A520))</f>
        <v>0</v>
      </c>
      <c r="BA520" s="4">
        <f>IF($A520=BA$496,"",COUNTIF($E$4:$E$492,$A520&amp;" ضد "&amp;BA$496)+COUNTIF($E$4:$E$492,BA$496&amp;" ضد "&amp;$A520))</f>
        <v>0</v>
      </c>
      <c r="BB520" s="4">
        <f>IF($A520=BB$496,"",COUNTIF($E$4:$E$492,$A520&amp;" ضد "&amp;BB$496)+COUNTIF($E$4:$E$492,BB$496&amp;" ضد "&amp;$A520))</f>
        <v>0</v>
      </c>
      <c r="BC520" s="4">
        <f>IF($A520=BC$496,"",COUNTIF($E$4:$E$492,$A520&amp;" ضد "&amp;BC$496)+COUNTIF($E$4:$E$492,BC$496&amp;" ضد "&amp;$A520))</f>
        <v>0</v>
      </c>
    </row>
    <row r="521" spans="1:55" ht="14.5">
      <c r="A521" s="14">
        <v>25</v>
      </c>
      <c r="B521" s="4">
        <f>IF($A521=B$496,"",COUNTIF($E$4:$E$492,$A521&amp;" ضد "&amp;B$496)+COUNTIF($E$4:$E$492,B$496&amp;" ضد "&amp;$A521))</f>
        <v>0</v>
      </c>
      <c r="C521" s="4">
        <f>IF($A521=C$496,"",COUNTIF($E$4:$E$492,$A521&amp;" ضد "&amp;C$496)+COUNTIF($E$4:$E$492,C$496&amp;" ضد "&amp;$A521))</f>
        <v>0</v>
      </c>
      <c r="D521" s="4">
        <f>IF($A521=D$496,"",COUNTIF($E$4:$E$492,$A521&amp;" ضد "&amp;D$496)+COUNTIF($E$4:$E$492,D$496&amp;" ضد "&amp;$A521))</f>
        <v>0</v>
      </c>
      <c r="E521" s="4">
        <f>IF($A521=E$496,"",COUNTIF($E$4:$E$492,$A521&amp;" ضد "&amp;E$496)+COUNTIF($E$4:$E$492,E$496&amp;" ضد "&amp;$A521))</f>
        <v>0</v>
      </c>
      <c r="F521" s="4">
        <f>IF($A521=F$496,"",COUNTIF($E$4:$E$492,$A521&amp;" ضد "&amp;F$496)+COUNTIF($E$4:$E$492,F$496&amp;" ضد "&amp;$A521))</f>
        <v>0</v>
      </c>
      <c r="G521" s="4">
        <f>IF($A521=G$496,"",COUNTIF($E$4:$E$492,$A521&amp;" ضد "&amp;G$496)+COUNTIF($E$4:$E$492,G$496&amp;" ضد "&amp;$A521))</f>
        <v>0</v>
      </c>
      <c r="H521" s="4">
        <f>IF($A521=H$496,"",COUNTIF($E$4:$E$492,$A521&amp;" ضد "&amp;H$496)+COUNTIF($E$4:$E$492,H$496&amp;" ضد "&amp;$A521))</f>
        <v>0</v>
      </c>
      <c r="I521" s="4">
        <f>IF($A521=I$496,"",COUNTIF($E$4:$E$492,$A521&amp;" ضد "&amp;I$496)+COUNTIF($E$4:$E$492,I$496&amp;" ضد "&amp;$A521))</f>
        <v>0</v>
      </c>
      <c r="J521" s="4">
        <f>IF($A521=J$496,"",COUNTIF($E$4:$E$492,$A521&amp;" ضد "&amp;J$496)+COUNTIF($E$4:$E$492,J$496&amp;" ضد "&amp;$A521))</f>
        <v>0</v>
      </c>
      <c r="K521" s="4">
        <f>IF($A521=K$496,"",COUNTIF($E$4:$E$492,$A521&amp;" ضد "&amp;K$496)+COUNTIF($E$4:$E$492,K$496&amp;" ضد "&amp;$A521))</f>
        <v>0</v>
      </c>
      <c r="L521" s="4">
        <f>IF($A521=L$496,"",COUNTIF($E$4:$E$492,$A521&amp;" ضد "&amp;L$496)+COUNTIF($E$4:$E$492,L$496&amp;" ضد "&amp;$A521))</f>
        <v>0</v>
      </c>
      <c r="M521" s="4">
        <f>IF($A521=M$496,"",COUNTIF($E$4:$E$492,$A521&amp;" ضد "&amp;M$496)+COUNTIF($E$4:$E$492,M$496&amp;" ضد "&amp;$A521))</f>
        <v>0</v>
      </c>
      <c r="N521" s="4">
        <f>IF($A521=N$496,"",COUNTIF($E$4:$E$492,$A521&amp;" ضد "&amp;N$496)+COUNTIF($E$4:$E$492,N$496&amp;" ضد "&amp;$A521))</f>
        <v>0</v>
      </c>
      <c r="O521" s="4">
        <f>IF($A521=O$496,"",COUNTIF($E$4:$E$492,$A521&amp;" ضد "&amp;O$496)+COUNTIF($E$4:$E$492,O$496&amp;" ضد "&amp;$A521))</f>
        <v>0</v>
      </c>
      <c r="P521" s="4">
        <f>IF($A521=P$496,"",COUNTIF($E$4:$E$492,$A521&amp;" ضد "&amp;P$496)+COUNTIF($E$4:$E$492,P$496&amp;" ضد "&amp;$A521))</f>
        <v>2</v>
      </c>
      <c r="Q521" s="4">
        <f>IF($A521=Q$496,"",COUNTIF($E$4:$E$492,$A521&amp;" ضد "&amp;Q$496)+COUNTIF($E$4:$E$492,Q$496&amp;" ضد "&amp;$A521))</f>
        <v>2</v>
      </c>
      <c r="R521" s="4">
        <f>IF($A521=R$496,"",COUNTIF($E$4:$E$492,$A521&amp;" ضد "&amp;R$496)+COUNTIF($E$4:$E$492,R$496&amp;" ضد "&amp;$A521))</f>
        <v>1</v>
      </c>
      <c r="S521" s="4">
        <f>IF($A521=S$496,"",COUNTIF($E$4:$E$492,$A521&amp;" ضد "&amp;S$496)+COUNTIF($E$4:$E$492,S$496&amp;" ضد "&amp;$A521))</f>
        <v>2</v>
      </c>
      <c r="T521" s="4">
        <f>IF($A521=T$496,"",COUNTIF($E$4:$E$492,$A521&amp;" ضد "&amp;T$496)+COUNTIF($E$4:$E$492,T$496&amp;" ضد "&amp;$A521))</f>
        <v>1</v>
      </c>
      <c r="U521" s="4">
        <f>IF($A521=U$496,"",COUNTIF($E$4:$E$492,$A521&amp;" ضد "&amp;U$496)+COUNTIF($E$4:$E$492,U$496&amp;" ضد "&amp;$A521))</f>
        <v>1</v>
      </c>
      <c r="V521" s="4">
        <f>IF($A521=V$496,"",COUNTIF($E$4:$E$492,$A521&amp;" ضد "&amp;V$496)+COUNTIF($E$4:$E$492,V$496&amp;" ضد "&amp;$A521))</f>
        <v>1</v>
      </c>
      <c r="W521" s="4">
        <f>IF($A521=W$496,"",COUNTIF($E$4:$E$492,$A521&amp;" ضد "&amp;W$496)+COUNTIF($E$4:$E$492,W$496&amp;" ضد "&amp;$A521))</f>
        <v>1</v>
      </c>
      <c r="X521" s="4">
        <f>IF($A521=X$496,"",COUNTIF($E$4:$E$492,$A521&amp;" ضد "&amp;X$496)+COUNTIF($E$4:$E$492,X$496&amp;" ضد "&amp;$A521))</f>
        <v>2</v>
      </c>
      <c r="Y521" s="4">
        <f>IF($A521=Y$496,"",COUNTIF($E$4:$E$492,$A521&amp;" ضد "&amp;Y$496)+COUNTIF($E$4:$E$492,Y$496&amp;" ضد "&amp;$A521))</f>
        <v>1</v>
      </c>
      <c r="Z521" s="4" t="str">
        <f>IF($A521=Z$496,"",COUNTIF($E$4:$E$492,$A521&amp;" ضد "&amp;Z$496)+COUNTIF($E$4:$E$492,Z$496&amp;" ضد "&amp;$A521))</f>
        <v/>
      </c>
      <c r="AA521" s="4">
        <f>IF($A521=AA$496,"",COUNTIF($E$4:$E$492,$A521&amp;" ضد "&amp;AA$496)+COUNTIF($E$4:$E$492,AA$496&amp;" ضد "&amp;$A521))</f>
        <v>1</v>
      </c>
      <c r="AB521" s="4">
        <f>IF($A521=AB$496,"",COUNTIF($E$4:$E$492,$A521&amp;" ضد "&amp;AB$496)+COUNTIF($E$4:$E$492,AB$496&amp;" ضد "&amp;$A521))</f>
        <v>2</v>
      </c>
      <c r="AC521" s="4">
        <f>IF($A521=AC$496,"",COUNTIF($E$4:$E$492,$A521&amp;" ضد "&amp;AC$496)+COUNTIF($E$4:$E$492,AC$496&amp;" ضد "&amp;$A521))</f>
        <v>1</v>
      </c>
      <c r="AD521" s="4">
        <f>IF($A521=AD$496,"",COUNTIF($E$4:$E$492,$A521&amp;" ضد "&amp;AD$496)+COUNTIF($E$4:$E$492,AD$496&amp;" ضد "&amp;$A521))</f>
        <v>0</v>
      </c>
      <c r="AE521" s="4">
        <f>IF($A521=AE$496,"",COUNTIF($E$4:$E$492,$A521&amp;" ضد "&amp;AE$496)+COUNTIF($E$4:$E$492,AE$496&amp;" ضد "&amp;$A521))</f>
        <v>0</v>
      </c>
      <c r="AF521" s="4">
        <f>IF($A521=AF$496,"",COUNTIF($E$4:$E$492,$A521&amp;" ضد "&amp;AF$496)+COUNTIF($E$4:$E$492,AF$496&amp;" ضد "&amp;$A521))</f>
        <v>0</v>
      </c>
      <c r="AG521" s="4">
        <f>IF($A521=AG$496,"",COUNTIF($E$4:$E$492,$A521&amp;" ضد "&amp;AG$496)+COUNTIF($E$4:$E$492,AG$496&amp;" ضد "&amp;$A521))</f>
        <v>0</v>
      </c>
      <c r="AH521" s="4">
        <f>IF($A521=AH$496,"",COUNTIF($E$4:$E$492,$A521&amp;" ضد "&amp;AH$496)+COUNTIF($E$4:$E$492,AH$496&amp;" ضد "&amp;$A521))</f>
        <v>0</v>
      </c>
      <c r="AI521" s="4">
        <f>IF($A521=AI$496,"",COUNTIF($E$4:$E$492,$A521&amp;" ضد "&amp;AI$496)+COUNTIF($E$4:$E$492,AI$496&amp;" ضد "&amp;$A521))</f>
        <v>0</v>
      </c>
      <c r="AJ521" s="4">
        <f>IF($A521=AJ$496,"",COUNTIF($E$4:$E$492,$A521&amp;" ضد "&amp;AJ$496)+COUNTIF($E$4:$E$492,AJ$496&amp;" ضد "&amp;$A521))</f>
        <v>0</v>
      </c>
      <c r="AK521" s="4">
        <f>IF($A521=AK$496,"",COUNTIF($E$4:$E$492,$A521&amp;" ضد "&amp;AK$496)+COUNTIF($E$4:$E$492,AK$496&amp;" ضد "&amp;$A521))</f>
        <v>0</v>
      </c>
      <c r="AL521" s="4">
        <f>IF($A521=AL$496,"",COUNTIF($E$4:$E$492,$A521&amp;" ضد "&amp;AL$496)+COUNTIF($E$4:$E$492,AL$496&amp;" ضد "&amp;$A521))</f>
        <v>0</v>
      </c>
      <c r="AM521" s="4">
        <f>IF($A521=AM$496,"",COUNTIF($E$4:$E$492,$A521&amp;" ضد "&amp;AM$496)+COUNTIF($E$4:$E$492,AM$496&amp;" ضد "&amp;$A521))</f>
        <v>0</v>
      </c>
      <c r="AN521" s="4">
        <f>IF($A521=AN$496,"",COUNTIF($E$4:$E$492,$A521&amp;" ضد "&amp;AN$496)+COUNTIF($E$4:$E$492,AN$496&amp;" ضد "&amp;$A521))</f>
        <v>0</v>
      </c>
      <c r="AO521" s="4">
        <f>IF($A521=AO$496,"",COUNTIF($E$4:$E$492,$A521&amp;" ضد "&amp;AO$496)+COUNTIF($E$4:$E$492,AO$496&amp;" ضد "&amp;$A521))</f>
        <v>0</v>
      </c>
      <c r="AP521" s="4">
        <f>IF($A521=AP$496,"",COUNTIF($E$4:$E$492,$A521&amp;" ضد "&amp;AP$496)+COUNTIF($E$4:$E$492,AP$496&amp;" ضد "&amp;$A521))</f>
        <v>0</v>
      </c>
      <c r="AQ521" s="4">
        <f>IF($A521=AQ$496,"",COUNTIF($E$4:$E$492,$A521&amp;" ضد "&amp;AQ$496)+COUNTIF($E$4:$E$492,AQ$496&amp;" ضد "&amp;$A521))</f>
        <v>0</v>
      </c>
      <c r="AR521" s="4">
        <f>IF($A521=AR$496,"",COUNTIF($E$4:$E$492,$A521&amp;" ضد "&amp;AR$496)+COUNTIF($E$4:$E$492,AR$496&amp;" ضد "&amp;$A521))</f>
        <v>0</v>
      </c>
      <c r="AS521" s="4">
        <f>IF($A521=AS$496,"",COUNTIF($E$4:$E$492,$A521&amp;" ضد "&amp;AS$496)+COUNTIF($E$4:$E$492,AS$496&amp;" ضد "&amp;$A521))</f>
        <v>0</v>
      </c>
      <c r="AT521" s="4">
        <f>IF($A521=AT$496,"",COUNTIF($E$4:$E$492,$A521&amp;" ضد "&amp;AT$496)+COUNTIF($E$4:$E$492,AT$496&amp;" ضد "&amp;$A521))</f>
        <v>0</v>
      </c>
      <c r="AU521" s="4">
        <f>IF($A521=AU$496,"",COUNTIF($E$4:$E$492,$A521&amp;" ضد "&amp;AU$496)+COUNTIF($E$4:$E$492,AU$496&amp;" ضد "&amp;$A521))</f>
        <v>0</v>
      </c>
      <c r="AV521" s="4">
        <f>IF($A521=AV$496,"",COUNTIF($E$4:$E$492,$A521&amp;" ضد "&amp;AV$496)+COUNTIF($E$4:$E$492,AV$496&amp;" ضد "&amp;$A521))</f>
        <v>0</v>
      </c>
      <c r="AW521" s="4">
        <f>IF($A521=AW$496,"",COUNTIF($E$4:$E$492,$A521&amp;" ضد "&amp;AW$496)+COUNTIF($E$4:$E$492,AW$496&amp;" ضد "&amp;$A521))</f>
        <v>0</v>
      </c>
      <c r="AX521" s="4">
        <f>IF($A521=AX$496,"",COUNTIF($E$4:$E$492,$A521&amp;" ضد "&amp;AX$496)+COUNTIF($E$4:$E$492,AX$496&amp;" ضد "&amp;$A521))</f>
        <v>0</v>
      </c>
      <c r="AY521" s="4">
        <f>IF($A521=AY$496,"",COUNTIF($E$4:$E$492,$A521&amp;" ضد "&amp;AY$496)+COUNTIF($E$4:$E$492,AY$496&amp;" ضد "&amp;$A521))</f>
        <v>0</v>
      </c>
      <c r="AZ521" s="4">
        <f>IF($A521=AZ$496,"",COUNTIF($E$4:$E$492,$A521&amp;" ضد "&amp;AZ$496)+COUNTIF($E$4:$E$492,AZ$496&amp;" ضد "&amp;$A521))</f>
        <v>0</v>
      </c>
      <c r="BA521" s="4">
        <f>IF($A521=BA$496,"",COUNTIF($E$4:$E$492,$A521&amp;" ضد "&amp;BA$496)+COUNTIF($E$4:$E$492,BA$496&amp;" ضد "&amp;$A521))</f>
        <v>0</v>
      </c>
      <c r="BB521" s="4">
        <f>IF($A521=BB$496,"",COUNTIF($E$4:$E$492,$A521&amp;" ضد "&amp;BB$496)+COUNTIF($E$4:$E$492,BB$496&amp;" ضد "&amp;$A521))</f>
        <v>0</v>
      </c>
      <c r="BC521" s="4">
        <f>IF($A521=BC$496,"",COUNTIF($E$4:$E$492,$A521&amp;" ضد "&amp;BC$496)+COUNTIF($E$4:$E$492,BC$496&amp;" ضد "&amp;$A521))</f>
        <v>0</v>
      </c>
    </row>
    <row r="522" spans="1:55" ht="14.5">
      <c r="A522" s="14">
        <v>26</v>
      </c>
      <c r="B522" s="4">
        <f>IF($A522=B$496,"",COUNTIF($E$4:$E$492,$A522&amp;" ضد "&amp;B$496)+COUNTIF($E$4:$E$492,B$496&amp;" ضد "&amp;$A522))</f>
        <v>0</v>
      </c>
      <c r="C522" s="4">
        <f>IF($A522=C$496,"",COUNTIF($E$4:$E$492,$A522&amp;" ضد "&amp;C$496)+COUNTIF($E$4:$E$492,C$496&amp;" ضد "&amp;$A522))</f>
        <v>0</v>
      </c>
      <c r="D522" s="4">
        <f>IF($A522=D$496,"",COUNTIF($E$4:$E$492,$A522&amp;" ضد "&amp;D$496)+COUNTIF($E$4:$E$492,D$496&amp;" ضد "&amp;$A522))</f>
        <v>0</v>
      </c>
      <c r="E522" s="4">
        <f>IF($A522=E$496,"",COUNTIF($E$4:$E$492,$A522&amp;" ضد "&amp;E$496)+COUNTIF($E$4:$E$492,E$496&amp;" ضد "&amp;$A522))</f>
        <v>0</v>
      </c>
      <c r="F522" s="4">
        <f>IF($A522=F$496,"",COUNTIF($E$4:$E$492,$A522&amp;" ضد "&amp;F$496)+COUNTIF($E$4:$E$492,F$496&amp;" ضد "&amp;$A522))</f>
        <v>0</v>
      </c>
      <c r="G522" s="4">
        <f>IF($A522=G$496,"",COUNTIF($E$4:$E$492,$A522&amp;" ضد "&amp;G$496)+COUNTIF($E$4:$E$492,G$496&amp;" ضد "&amp;$A522))</f>
        <v>0</v>
      </c>
      <c r="H522" s="4">
        <f>IF($A522=H$496,"",COUNTIF($E$4:$E$492,$A522&amp;" ضد "&amp;H$496)+COUNTIF($E$4:$E$492,H$496&amp;" ضد "&amp;$A522))</f>
        <v>0</v>
      </c>
      <c r="I522" s="4">
        <f>IF($A522=I$496,"",COUNTIF($E$4:$E$492,$A522&amp;" ضد "&amp;I$496)+COUNTIF($E$4:$E$492,I$496&amp;" ضد "&amp;$A522))</f>
        <v>0</v>
      </c>
      <c r="J522" s="4">
        <f>IF($A522=J$496,"",COUNTIF($E$4:$E$492,$A522&amp;" ضد "&amp;J$496)+COUNTIF($E$4:$E$492,J$496&amp;" ضد "&amp;$A522))</f>
        <v>0</v>
      </c>
      <c r="K522" s="4">
        <f>IF($A522=K$496,"",COUNTIF($E$4:$E$492,$A522&amp;" ضد "&amp;K$496)+COUNTIF($E$4:$E$492,K$496&amp;" ضد "&amp;$A522))</f>
        <v>0</v>
      </c>
      <c r="L522" s="4">
        <f>IF($A522=L$496,"",COUNTIF($E$4:$E$492,$A522&amp;" ضد "&amp;L$496)+COUNTIF($E$4:$E$492,L$496&amp;" ضد "&amp;$A522))</f>
        <v>0</v>
      </c>
      <c r="M522" s="4">
        <f>IF($A522=M$496,"",COUNTIF($E$4:$E$492,$A522&amp;" ضد "&amp;M$496)+COUNTIF($E$4:$E$492,M$496&amp;" ضد "&amp;$A522))</f>
        <v>0</v>
      </c>
      <c r="N522" s="4">
        <f>IF($A522=N$496,"",COUNTIF($E$4:$E$492,$A522&amp;" ضد "&amp;N$496)+COUNTIF($E$4:$E$492,N$496&amp;" ضد "&amp;$A522))</f>
        <v>0</v>
      </c>
      <c r="O522" s="4">
        <f>IF($A522=O$496,"",COUNTIF($E$4:$E$492,$A522&amp;" ضد "&amp;O$496)+COUNTIF($E$4:$E$492,O$496&amp;" ضد "&amp;$A522))</f>
        <v>0</v>
      </c>
      <c r="P522" s="4">
        <f>IF($A522=P$496,"",COUNTIF($E$4:$E$492,$A522&amp;" ضد "&amp;P$496)+COUNTIF($E$4:$E$492,P$496&amp;" ضد "&amp;$A522))</f>
        <v>2</v>
      </c>
      <c r="Q522" s="4">
        <f>IF($A522=Q$496,"",COUNTIF($E$4:$E$492,$A522&amp;" ضد "&amp;Q$496)+COUNTIF($E$4:$E$492,Q$496&amp;" ضد "&amp;$A522))</f>
        <v>1</v>
      </c>
      <c r="R522" s="4">
        <f>IF($A522=R$496,"",COUNTIF($E$4:$E$492,$A522&amp;" ضد "&amp;R$496)+COUNTIF($E$4:$E$492,R$496&amp;" ضد "&amp;$A522))</f>
        <v>2</v>
      </c>
      <c r="S522" s="4">
        <f>IF($A522=S$496,"",COUNTIF($E$4:$E$492,$A522&amp;" ضد "&amp;S$496)+COUNTIF($E$4:$E$492,S$496&amp;" ضد "&amp;$A522))</f>
        <v>1</v>
      </c>
      <c r="T522" s="4">
        <f>IF($A522=T$496,"",COUNTIF($E$4:$E$492,$A522&amp;" ضد "&amp;T$496)+COUNTIF($E$4:$E$492,T$496&amp;" ضد "&amp;$A522))</f>
        <v>1</v>
      </c>
      <c r="U522" s="4">
        <f>IF($A522=U$496,"",COUNTIF($E$4:$E$492,$A522&amp;" ضد "&amp;U$496)+COUNTIF($E$4:$E$492,U$496&amp;" ضد "&amp;$A522))</f>
        <v>1</v>
      </c>
      <c r="V522" s="4">
        <f>IF($A522=V$496,"",COUNTIF($E$4:$E$492,$A522&amp;" ضد "&amp;V$496)+COUNTIF($E$4:$E$492,V$496&amp;" ضد "&amp;$A522))</f>
        <v>1</v>
      </c>
      <c r="W522" s="4">
        <f>IF($A522=W$496,"",COUNTIF($E$4:$E$492,$A522&amp;" ضد "&amp;W$496)+COUNTIF($E$4:$E$492,W$496&amp;" ضد "&amp;$A522))</f>
        <v>2</v>
      </c>
      <c r="X522" s="4">
        <f>IF($A522=X$496,"",COUNTIF($E$4:$E$492,$A522&amp;" ضد "&amp;X$496)+COUNTIF($E$4:$E$492,X$496&amp;" ضد "&amp;$A522))</f>
        <v>1</v>
      </c>
      <c r="Y522" s="4">
        <f>IF($A522=Y$496,"",COUNTIF($E$4:$E$492,$A522&amp;" ضد "&amp;Y$496)+COUNTIF($E$4:$E$492,Y$496&amp;" ضد "&amp;$A522))</f>
        <v>2</v>
      </c>
      <c r="Z522" s="4">
        <f>IF($A522=Z$496,"",COUNTIF($E$4:$E$492,$A522&amp;" ضد "&amp;Z$496)+COUNTIF($E$4:$E$492,Z$496&amp;" ضد "&amp;$A522))</f>
        <v>1</v>
      </c>
      <c r="AA522" s="4" t="str">
        <f>IF($A522=AA$496,"",COUNTIF($E$4:$E$492,$A522&amp;" ضد "&amp;AA$496)+COUNTIF($E$4:$E$492,AA$496&amp;" ضد "&amp;$A522))</f>
        <v/>
      </c>
      <c r="AB522" s="4">
        <f>IF($A522=AB$496,"",COUNTIF($E$4:$E$492,$A522&amp;" ضد "&amp;AB$496)+COUNTIF($E$4:$E$492,AB$496&amp;" ضد "&amp;$A522))</f>
        <v>1</v>
      </c>
      <c r="AC522" s="4">
        <f>IF($A522=AC$496,"",COUNTIF($E$4:$E$492,$A522&amp;" ضد "&amp;AC$496)+COUNTIF($E$4:$E$492,AC$496&amp;" ضد "&amp;$A522))</f>
        <v>2</v>
      </c>
      <c r="AD522" s="4">
        <f>IF($A522=AD$496,"",COUNTIF($E$4:$E$492,$A522&amp;" ضد "&amp;AD$496)+COUNTIF($E$4:$E$492,AD$496&amp;" ضد "&amp;$A522))</f>
        <v>0</v>
      </c>
      <c r="AE522" s="4">
        <f>IF($A522=AE$496,"",COUNTIF($E$4:$E$492,$A522&amp;" ضد "&amp;AE$496)+COUNTIF($E$4:$E$492,AE$496&amp;" ضد "&amp;$A522))</f>
        <v>0</v>
      </c>
      <c r="AF522" s="4">
        <f>IF($A522=AF$496,"",COUNTIF($E$4:$E$492,$A522&amp;" ضد "&amp;AF$496)+COUNTIF($E$4:$E$492,AF$496&amp;" ضد "&amp;$A522))</f>
        <v>0</v>
      </c>
      <c r="AG522" s="4">
        <f>IF($A522=AG$496,"",COUNTIF($E$4:$E$492,$A522&amp;" ضد "&amp;AG$496)+COUNTIF($E$4:$E$492,AG$496&amp;" ضد "&amp;$A522))</f>
        <v>0</v>
      </c>
      <c r="AH522" s="4">
        <f>IF($A522=AH$496,"",COUNTIF($E$4:$E$492,$A522&amp;" ضد "&amp;AH$496)+COUNTIF($E$4:$E$492,AH$496&amp;" ضد "&amp;$A522))</f>
        <v>0</v>
      </c>
      <c r="AI522" s="4">
        <f>IF($A522=AI$496,"",COUNTIF($E$4:$E$492,$A522&amp;" ضد "&amp;AI$496)+COUNTIF($E$4:$E$492,AI$496&amp;" ضد "&amp;$A522))</f>
        <v>0</v>
      </c>
      <c r="AJ522" s="4">
        <f>IF($A522=AJ$496,"",COUNTIF($E$4:$E$492,$A522&amp;" ضد "&amp;AJ$496)+COUNTIF($E$4:$E$492,AJ$496&amp;" ضد "&amp;$A522))</f>
        <v>0</v>
      </c>
      <c r="AK522" s="4">
        <f>IF($A522=AK$496,"",COUNTIF($E$4:$E$492,$A522&amp;" ضد "&amp;AK$496)+COUNTIF($E$4:$E$492,AK$496&amp;" ضد "&amp;$A522))</f>
        <v>0</v>
      </c>
      <c r="AL522" s="4">
        <f>IF($A522=AL$496,"",COUNTIF($E$4:$E$492,$A522&amp;" ضد "&amp;AL$496)+COUNTIF($E$4:$E$492,AL$496&amp;" ضد "&amp;$A522))</f>
        <v>0</v>
      </c>
      <c r="AM522" s="4">
        <f>IF($A522=AM$496,"",COUNTIF($E$4:$E$492,$A522&amp;" ضد "&amp;AM$496)+COUNTIF($E$4:$E$492,AM$496&amp;" ضد "&amp;$A522))</f>
        <v>0</v>
      </c>
      <c r="AN522" s="4">
        <f>IF($A522=AN$496,"",COUNTIF($E$4:$E$492,$A522&amp;" ضد "&amp;AN$496)+COUNTIF($E$4:$E$492,AN$496&amp;" ضد "&amp;$A522))</f>
        <v>0</v>
      </c>
      <c r="AO522" s="4">
        <f>IF($A522=AO$496,"",COUNTIF($E$4:$E$492,$A522&amp;" ضد "&amp;AO$496)+COUNTIF($E$4:$E$492,AO$496&amp;" ضد "&amp;$A522))</f>
        <v>0</v>
      </c>
      <c r="AP522" s="4">
        <f>IF($A522=AP$496,"",COUNTIF($E$4:$E$492,$A522&amp;" ضد "&amp;AP$496)+COUNTIF($E$4:$E$492,AP$496&amp;" ضد "&amp;$A522))</f>
        <v>0</v>
      </c>
      <c r="AQ522" s="4">
        <f>IF($A522=AQ$496,"",COUNTIF($E$4:$E$492,$A522&amp;" ضد "&amp;AQ$496)+COUNTIF($E$4:$E$492,AQ$496&amp;" ضد "&amp;$A522))</f>
        <v>0</v>
      </c>
      <c r="AR522" s="4">
        <f>IF($A522=AR$496,"",COUNTIF($E$4:$E$492,$A522&amp;" ضد "&amp;AR$496)+COUNTIF($E$4:$E$492,AR$496&amp;" ضد "&amp;$A522))</f>
        <v>0</v>
      </c>
      <c r="AS522" s="4">
        <f>IF($A522=AS$496,"",COUNTIF($E$4:$E$492,$A522&amp;" ضد "&amp;AS$496)+COUNTIF($E$4:$E$492,AS$496&amp;" ضد "&amp;$A522))</f>
        <v>0</v>
      </c>
      <c r="AT522" s="4">
        <f>IF($A522=AT$496,"",COUNTIF($E$4:$E$492,$A522&amp;" ضد "&amp;AT$496)+COUNTIF($E$4:$E$492,AT$496&amp;" ضد "&amp;$A522))</f>
        <v>0</v>
      </c>
      <c r="AU522" s="4">
        <f>IF($A522=AU$496,"",COUNTIF($E$4:$E$492,$A522&amp;" ضد "&amp;AU$496)+COUNTIF($E$4:$E$492,AU$496&amp;" ضد "&amp;$A522))</f>
        <v>0</v>
      </c>
      <c r="AV522" s="4">
        <f>IF($A522=AV$496,"",COUNTIF($E$4:$E$492,$A522&amp;" ضد "&amp;AV$496)+COUNTIF($E$4:$E$492,AV$496&amp;" ضد "&amp;$A522))</f>
        <v>0</v>
      </c>
      <c r="AW522" s="4">
        <f>IF($A522=AW$496,"",COUNTIF($E$4:$E$492,$A522&amp;" ضد "&amp;AW$496)+COUNTIF($E$4:$E$492,AW$496&amp;" ضد "&amp;$A522))</f>
        <v>0</v>
      </c>
      <c r="AX522" s="4">
        <f>IF($A522=AX$496,"",COUNTIF($E$4:$E$492,$A522&amp;" ضد "&amp;AX$496)+COUNTIF($E$4:$E$492,AX$496&amp;" ضد "&amp;$A522))</f>
        <v>0</v>
      </c>
      <c r="AY522" s="4">
        <f>IF($A522=AY$496,"",COUNTIF($E$4:$E$492,$A522&amp;" ضد "&amp;AY$496)+COUNTIF($E$4:$E$492,AY$496&amp;" ضد "&amp;$A522))</f>
        <v>0</v>
      </c>
      <c r="AZ522" s="4">
        <f>IF($A522=AZ$496,"",COUNTIF($E$4:$E$492,$A522&amp;" ضد "&amp;AZ$496)+COUNTIF($E$4:$E$492,AZ$496&amp;" ضد "&amp;$A522))</f>
        <v>0</v>
      </c>
      <c r="BA522" s="4">
        <f>IF($A522=BA$496,"",COUNTIF($E$4:$E$492,$A522&amp;" ضد "&amp;BA$496)+COUNTIF($E$4:$E$492,BA$496&amp;" ضد "&amp;$A522))</f>
        <v>0</v>
      </c>
      <c r="BB522" s="4">
        <f>IF($A522=BB$496,"",COUNTIF($E$4:$E$492,$A522&amp;" ضد "&amp;BB$496)+COUNTIF($E$4:$E$492,BB$496&amp;" ضد "&amp;$A522))</f>
        <v>0</v>
      </c>
      <c r="BC522" s="4">
        <f>IF($A522=BC$496,"",COUNTIF($E$4:$E$492,$A522&amp;" ضد "&amp;BC$496)+COUNTIF($E$4:$E$492,BC$496&amp;" ضد "&amp;$A522))</f>
        <v>0</v>
      </c>
    </row>
    <row r="523" spans="1:55" ht="14.5">
      <c r="A523" s="14">
        <v>27</v>
      </c>
      <c r="B523" s="4">
        <f>IF($A523=B$496,"",COUNTIF($E$4:$E$492,$A523&amp;" ضد "&amp;B$496)+COUNTIF($E$4:$E$492,B$496&amp;" ضد "&amp;$A523))</f>
        <v>0</v>
      </c>
      <c r="C523" s="4">
        <f>IF($A523=C$496,"",COUNTIF($E$4:$E$492,$A523&amp;" ضد "&amp;C$496)+COUNTIF($E$4:$E$492,C$496&amp;" ضد "&amp;$A523))</f>
        <v>0</v>
      </c>
      <c r="D523" s="4">
        <f>IF($A523=D$496,"",COUNTIF($E$4:$E$492,$A523&amp;" ضد "&amp;D$496)+COUNTIF($E$4:$E$492,D$496&amp;" ضد "&amp;$A523))</f>
        <v>0</v>
      </c>
      <c r="E523" s="4">
        <f>IF($A523=E$496,"",COUNTIF($E$4:$E$492,$A523&amp;" ضد "&amp;E$496)+COUNTIF($E$4:$E$492,E$496&amp;" ضد "&amp;$A523))</f>
        <v>0</v>
      </c>
      <c r="F523" s="4">
        <f>IF($A523=F$496,"",COUNTIF($E$4:$E$492,$A523&amp;" ضد "&amp;F$496)+COUNTIF($E$4:$E$492,F$496&amp;" ضد "&amp;$A523))</f>
        <v>0</v>
      </c>
      <c r="G523" s="4">
        <f>IF($A523=G$496,"",COUNTIF($E$4:$E$492,$A523&amp;" ضد "&amp;G$496)+COUNTIF($E$4:$E$492,G$496&amp;" ضد "&amp;$A523))</f>
        <v>0</v>
      </c>
      <c r="H523" s="4">
        <f>IF($A523=H$496,"",COUNTIF($E$4:$E$492,$A523&amp;" ضد "&amp;H$496)+COUNTIF($E$4:$E$492,H$496&amp;" ضد "&amp;$A523))</f>
        <v>0</v>
      </c>
      <c r="I523" s="4">
        <f>IF($A523=I$496,"",COUNTIF($E$4:$E$492,$A523&amp;" ضد "&amp;I$496)+COUNTIF($E$4:$E$492,I$496&amp;" ضد "&amp;$A523))</f>
        <v>0</v>
      </c>
      <c r="J523" s="4">
        <f>IF($A523=J$496,"",COUNTIF($E$4:$E$492,$A523&amp;" ضد "&amp;J$496)+COUNTIF($E$4:$E$492,J$496&amp;" ضد "&amp;$A523))</f>
        <v>0</v>
      </c>
      <c r="K523" s="4">
        <f>IF($A523=K$496,"",COUNTIF($E$4:$E$492,$A523&amp;" ضد "&amp;K$496)+COUNTIF($E$4:$E$492,K$496&amp;" ضد "&amp;$A523))</f>
        <v>0</v>
      </c>
      <c r="L523" s="4">
        <f>IF($A523=L$496,"",COUNTIF($E$4:$E$492,$A523&amp;" ضد "&amp;L$496)+COUNTIF($E$4:$E$492,L$496&amp;" ضد "&amp;$A523))</f>
        <v>0</v>
      </c>
      <c r="M523" s="4">
        <f>IF($A523=M$496,"",COUNTIF($E$4:$E$492,$A523&amp;" ضد "&amp;M$496)+COUNTIF($E$4:$E$492,M$496&amp;" ضد "&amp;$A523))</f>
        <v>0</v>
      </c>
      <c r="N523" s="4">
        <f>IF($A523=N$496,"",COUNTIF($E$4:$E$492,$A523&amp;" ضد "&amp;N$496)+COUNTIF($E$4:$E$492,N$496&amp;" ضد "&amp;$A523))</f>
        <v>0</v>
      </c>
      <c r="O523" s="4">
        <f>IF($A523=O$496,"",COUNTIF($E$4:$E$492,$A523&amp;" ضد "&amp;O$496)+COUNTIF($E$4:$E$492,O$496&amp;" ضد "&amp;$A523))</f>
        <v>0</v>
      </c>
      <c r="P523" s="4">
        <f>IF($A523=P$496,"",COUNTIF($E$4:$E$492,$A523&amp;" ضد "&amp;P$496)+COUNTIF($E$4:$E$492,P$496&amp;" ضد "&amp;$A523))</f>
        <v>2</v>
      </c>
      <c r="Q523" s="4">
        <f>IF($A523=Q$496,"",COUNTIF($E$4:$E$492,$A523&amp;" ضد "&amp;Q$496)+COUNTIF($E$4:$E$492,Q$496&amp;" ضد "&amp;$A523))</f>
        <v>2</v>
      </c>
      <c r="R523" s="4">
        <f>IF($A523=R$496,"",COUNTIF($E$4:$E$492,$A523&amp;" ضد "&amp;R$496)+COUNTIF($E$4:$E$492,R$496&amp;" ضد "&amp;$A523))</f>
        <v>1</v>
      </c>
      <c r="S523" s="4">
        <f>IF($A523=S$496,"",COUNTIF($E$4:$E$492,$A523&amp;" ضد "&amp;S$496)+COUNTIF($E$4:$E$492,S$496&amp;" ضد "&amp;$A523))</f>
        <v>1</v>
      </c>
      <c r="T523" s="4">
        <f>IF($A523=T$496,"",COUNTIF($E$4:$E$492,$A523&amp;" ضد "&amp;T$496)+COUNTIF($E$4:$E$492,T$496&amp;" ضد "&amp;$A523))</f>
        <v>1</v>
      </c>
      <c r="U523" s="4">
        <f>IF($A523=U$496,"",COUNTIF($E$4:$E$492,$A523&amp;" ضد "&amp;U$496)+COUNTIF($E$4:$E$492,U$496&amp;" ضد "&amp;$A523))</f>
        <v>1</v>
      </c>
      <c r="V523" s="4">
        <f>IF($A523=V$496,"",COUNTIF($E$4:$E$492,$A523&amp;" ضد "&amp;V$496)+COUNTIF($E$4:$E$492,V$496&amp;" ضد "&amp;$A523))</f>
        <v>2</v>
      </c>
      <c r="W523" s="4">
        <f>IF($A523=W$496,"",COUNTIF($E$4:$E$492,$A523&amp;" ضد "&amp;W$496)+COUNTIF($E$4:$E$492,W$496&amp;" ضد "&amp;$A523))</f>
        <v>1</v>
      </c>
      <c r="X523" s="4">
        <f>IF($A523=X$496,"",COUNTIF($E$4:$E$492,$A523&amp;" ضد "&amp;X$496)+COUNTIF($E$4:$E$492,X$496&amp;" ضد "&amp;$A523))</f>
        <v>2</v>
      </c>
      <c r="Y523" s="4">
        <f>IF($A523=Y$496,"",COUNTIF($E$4:$E$492,$A523&amp;" ضد "&amp;Y$496)+COUNTIF($E$4:$E$492,Y$496&amp;" ضد "&amp;$A523))</f>
        <v>1</v>
      </c>
      <c r="Z523" s="4">
        <f>IF($A523=Z$496,"",COUNTIF($E$4:$E$492,$A523&amp;" ضد "&amp;Z$496)+COUNTIF($E$4:$E$492,Z$496&amp;" ضد "&amp;$A523))</f>
        <v>2</v>
      </c>
      <c r="AA523" s="4">
        <f>IF($A523=AA$496,"",COUNTIF($E$4:$E$492,$A523&amp;" ضد "&amp;AA$496)+COUNTIF($E$4:$E$492,AA$496&amp;" ضد "&amp;$A523))</f>
        <v>1</v>
      </c>
      <c r="AB523" s="4" t="str">
        <f>IF($A523=AB$496,"",COUNTIF($E$4:$E$492,$A523&amp;" ضد "&amp;AB$496)+COUNTIF($E$4:$E$492,AB$496&amp;" ضد "&amp;$A523))</f>
        <v/>
      </c>
      <c r="AC523" s="4">
        <f>IF($A523=AC$496,"",COUNTIF($E$4:$E$492,$A523&amp;" ضد "&amp;AC$496)+COUNTIF($E$4:$E$492,AC$496&amp;" ضد "&amp;$A523))</f>
        <v>1</v>
      </c>
      <c r="AD523" s="4">
        <f>IF($A523=AD$496,"",COUNTIF($E$4:$E$492,$A523&amp;" ضد "&amp;AD$496)+COUNTIF($E$4:$E$492,AD$496&amp;" ضد "&amp;$A523))</f>
        <v>0</v>
      </c>
      <c r="AE523" s="4">
        <f>IF($A523=AE$496,"",COUNTIF($E$4:$E$492,$A523&amp;" ضد "&amp;AE$496)+COUNTIF($E$4:$E$492,AE$496&amp;" ضد "&amp;$A523))</f>
        <v>0</v>
      </c>
      <c r="AF523" s="4">
        <f>IF($A523=AF$496,"",COUNTIF($E$4:$E$492,$A523&amp;" ضد "&amp;AF$496)+COUNTIF($E$4:$E$492,AF$496&amp;" ضد "&amp;$A523))</f>
        <v>0</v>
      </c>
      <c r="AG523" s="4">
        <f>IF($A523=AG$496,"",COUNTIF($E$4:$E$492,$A523&amp;" ضد "&amp;AG$496)+COUNTIF($E$4:$E$492,AG$496&amp;" ضد "&amp;$A523))</f>
        <v>0</v>
      </c>
      <c r="AH523" s="4">
        <f>IF($A523=AH$496,"",COUNTIF($E$4:$E$492,$A523&amp;" ضد "&amp;AH$496)+COUNTIF($E$4:$E$492,AH$496&amp;" ضد "&amp;$A523))</f>
        <v>0</v>
      </c>
      <c r="AI523" s="4">
        <f>IF($A523=AI$496,"",COUNTIF($E$4:$E$492,$A523&amp;" ضد "&amp;AI$496)+COUNTIF($E$4:$E$492,AI$496&amp;" ضد "&amp;$A523))</f>
        <v>0</v>
      </c>
      <c r="AJ523" s="4">
        <f>IF($A523=AJ$496,"",COUNTIF($E$4:$E$492,$A523&amp;" ضد "&amp;AJ$496)+COUNTIF($E$4:$E$492,AJ$496&amp;" ضد "&amp;$A523))</f>
        <v>0</v>
      </c>
      <c r="AK523" s="4">
        <f>IF($A523=AK$496,"",COUNTIF($E$4:$E$492,$A523&amp;" ضد "&amp;AK$496)+COUNTIF($E$4:$E$492,AK$496&amp;" ضد "&amp;$A523))</f>
        <v>0</v>
      </c>
      <c r="AL523" s="4">
        <f>IF($A523=AL$496,"",COUNTIF($E$4:$E$492,$A523&amp;" ضد "&amp;AL$496)+COUNTIF($E$4:$E$492,AL$496&amp;" ضد "&amp;$A523))</f>
        <v>0</v>
      </c>
      <c r="AM523" s="4">
        <f>IF($A523=AM$496,"",COUNTIF($E$4:$E$492,$A523&amp;" ضد "&amp;AM$496)+COUNTIF($E$4:$E$492,AM$496&amp;" ضد "&amp;$A523))</f>
        <v>0</v>
      </c>
      <c r="AN523" s="4">
        <f>IF($A523=AN$496,"",COUNTIF($E$4:$E$492,$A523&amp;" ضد "&amp;AN$496)+COUNTIF($E$4:$E$492,AN$496&amp;" ضد "&amp;$A523))</f>
        <v>0</v>
      </c>
      <c r="AO523" s="4">
        <f>IF($A523=AO$496,"",COUNTIF($E$4:$E$492,$A523&amp;" ضد "&amp;AO$496)+COUNTIF($E$4:$E$492,AO$496&amp;" ضد "&amp;$A523))</f>
        <v>0</v>
      </c>
      <c r="AP523" s="4">
        <f>IF($A523=AP$496,"",COUNTIF($E$4:$E$492,$A523&amp;" ضد "&amp;AP$496)+COUNTIF($E$4:$E$492,AP$496&amp;" ضد "&amp;$A523))</f>
        <v>0</v>
      </c>
      <c r="AQ523" s="4">
        <f>IF($A523=AQ$496,"",COUNTIF($E$4:$E$492,$A523&amp;" ضد "&amp;AQ$496)+COUNTIF($E$4:$E$492,AQ$496&amp;" ضد "&amp;$A523))</f>
        <v>0</v>
      </c>
      <c r="AR523" s="4">
        <f>IF($A523=AR$496,"",COUNTIF($E$4:$E$492,$A523&amp;" ضد "&amp;AR$496)+COUNTIF($E$4:$E$492,AR$496&amp;" ضد "&amp;$A523))</f>
        <v>0</v>
      </c>
      <c r="AS523" s="4">
        <f>IF($A523=AS$496,"",COUNTIF($E$4:$E$492,$A523&amp;" ضد "&amp;AS$496)+COUNTIF($E$4:$E$492,AS$496&amp;" ضد "&amp;$A523))</f>
        <v>0</v>
      </c>
      <c r="AT523" s="4">
        <f>IF($A523=AT$496,"",COUNTIF($E$4:$E$492,$A523&amp;" ضد "&amp;AT$496)+COUNTIF($E$4:$E$492,AT$496&amp;" ضد "&amp;$A523))</f>
        <v>0</v>
      </c>
      <c r="AU523" s="4">
        <f>IF($A523=AU$496,"",COUNTIF($E$4:$E$492,$A523&amp;" ضد "&amp;AU$496)+COUNTIF($E$4:$E$492,AU$496&amp;" ضد "&amp;$A523))</f>
        <v>0</v>
      </c>
      <c r="AV523" s="4">
        <f>IF($A523=AV$496,"",COUNTIF($E$4:$E$492,$A523&amp;" ضد "&amp;AV$496)+COUNTIF($E$4:$E$492,AV$496&amp;" ضد "&amp;$A523))</f>
        <v>0</v>
      </c>
      <c r="AW523" s="4">
        <f>IF($A523=AW$496,"",COUNTIF($E$4:$E$492,$A523&amp;" ضد "&amp;AW$496)+COUNTIF($E$4:$E$492,AW$496&amp;" ضد "&amp;$A523))</f>
        <v>0</v>
      </c>
      <c r="AX523" s="4">
        <f>IF($A523=AX$496,"",COUNTIF($E$4:$E$492,$A523&amp;" ضد "&amp;AX$496)+COUNTIF($E$4:$E$492,AX$496&amp;" ضد "&amp;$A523))</f>
        <v>0</v>
      </c>
      <c r="AY523" s="4">
        <f>IF($A523=AY$496,"",COUNTIF($E$4:$E$492,$A523&amp;" ضد "&amp;AY$496)+COUNTIF($E$4:$E$492,AY$496&amp;" ضد "&amp;$A523))</f>
        <v>0</v>
      </c>
      <c r="AZ523" s="4">
        <f>IF($A523=AZ$496,"",COUNTIF($E$4:$E$492,$A523&amp;" ضد "&amp;AZ$496)+COUNTIF($E$4:$E$492,AZ$496&amp;" ضد "&amp;$A523))</f>
        <v>0</v>
      </c>
      <c r="BA523" s="4">
        <f>IF($A523=BA$496,"",COUNTIF($E$4:$E$492,$A523&amp;" ضد "&amp;BA$496)+COUNTIF($E$4:$E$492,BA$496&amp;" ضد "&amp;$A523))</f>
        <v>0</v>
      </c>
      <c r="BB523" s="4">
        <f>IF($A523=BB$496,"",COUNTIF($E$4:$E$492,$A523&amp;" ضد "&amp;BB$496)+COUNTIF($E$4:$E$492,BB$496&amp;" ضد "&amp;$A523))</f>
        <v>0</v>
      </c>
      <c r="BC523" s="4">
        <f>IF($A523=BC$496,"",COUNTIF($E$4:$E$492,$A523&amp;" ضد "&amp;BC$496)+COUNTIF($E$4:$E$492,BC$496&amp;" ضد "&amp;$A523))</f>
        <v>0</v>
      </c>
    </row>
    <row r="524" spans="1:55" ht="14.5">
      <c r="A524" s="14">
        <v>28</v>
      </c>
      <c r="B524" s="4">
        <f>IF($A524=B$496,"",COUNTIF($E$4:$E$492,$A524&amp;" ضد "&amp;B$496)+COUNTIF($E$4:$E$492,B$496&amp;" ضد "&amp;$A524))</f>
        <v>0</v>
      </c>
      <c r="C524" s="4">
        <f>IF($A524=C$496,"",COUNTIF($E$4:$E$492,$A524&amp;" ضد "&amp;C$496)+COUNTIF($E$4:$E$492,C$496&amp;" ضد "&amp;$A524))</f>
        <v>0</v>
      </c>
      <c r="D524" s="4">
        <f>IF($A524=D$496,"",COUNTIF($E$4:$E$492,$A524&amp;" ضد "&amp;D$496)+COUNTIF($E$4:$E$492,D$496&amp;" ضد "&amp;$A524))</f>
        <v>0</v>
      </c>
      <c r="E524" s="4">
        <f>IF($A524=E$496,"",COUNTIF($E$4:$E$492,$A524&amp;" ضد "&amp;E$496)+COUNTIF($E$4:$E$492,E$496&amp;" ضد "&amp;$A524))</f>
        <v>0</v>
      </c>
      <c r="F524" s="4">
        <f>IF($A524=F$496,"",COUNTIF($E$4:$E$492,$A524&amp;" ضد "&amp;F$496)+COUNTIF($E$4:$E$492,F$496&amp;" ضد "&amp;$A524))</f>
        <v>0</v>
      </c>
      <c r="G524" s="4">
        <f>IF($A524=G$496,"",COUNTIF($E$4:$E$492,$A524&amp;" ضد "&amp;G$496)+COUNTIF($E$4:$E$492,G$496&amp;" ضد "&amp;$A524))</f>
        <v>0</v>
      </c>
      <c r="H524" s="4">
        <f>IF($A524=H$496,"",COUNTIF($E$4:$E$492,$A524&amp;" ضد "&amp;H$496)+COUNTIF($E$4:$E$492,H$496&amp;" ضد "&amp;$A524))</f>
        <v>0</v>
      </c>
      <c r="I524" s="4">
        <f>IF($A524=I$496,"",COUNTIF($E$4:$E$492,$A524&amp;" ضد "&amp;I$496)+COUNTIF($E$4:$E$492,I$496&amp;" ضد "&amp;$A524))</f>
        <v>0</v>
      </c>
      <c r="J524" s="4">
        <f>IF($A524=J$496,"",COUNTIF($E$4:$E$492,$A524&amp;" ضد "&amp;J$496)+COUNTIF($E$4:$E$492,J$496&amp;" ضد "&amp;$A524))</f>
        <v>0</v>
      </c>
      <c r="K524" s="4">
        <f>IF($A524=K$496,"",COUNTIF($E$4:$E$492,$A524&amp;" ضد "&amp;K$496)+COUNTIF($E$4:$E$492,K$496&amp;" ضد "&amp;$A524))</f>
        <v>0</v>
      </c>
      <c r="L524" s="4">
        <f>IF($A524=L$496,"",COUNTIF($E$4:$E$492,$A524&amp;" ضد "&amp;L$496)+COUNTIF($E$4:$E$492,L$496&amp;" ضد "&amp;$A524))</f>
        <v>0</v>
      </c>
      <c r="M524" s="4">
        <f>IF($A524=M$496,"",COUNTIF($E$4:$E$492,$A524&amp;" ضد "&amp;M$496)+COUNTIF($E$4:$E$492,M$496&amp;" ضد "&amp;$A524))</f>
        <v>0</v>
      </c>
      <c r="N524" s="4">
        <f>IF($A524=N$496,"",COUNTIF($E$4:$E$492,$A524&amp;" ضد "&amp;N$496)+COUNTIF($E$4:$E$492,N$496&amp;" ضد "&amp;$A524))</f>
        <v>0</v>
      </c>
      <c r="O524" s="4">
        <f>IF($A524=O$496,"",COUNTIF($E$4:$E$492,$A524&amp;" ضد "&amp;O$496)+COUNTIF($E$4:$E$492,O$496&amp;" ضد "&amp;$A524))</f>
        <v>0</v>
      </c>
      <c r="P524" s="4">
        <f>IF($A524=P$496,"",COUNTIF($E$4:$E$492,$A524&amp;" ضد "&amp;P$496)+COUNTIF($E$4:$E$492,P$496&amp;" ضد "&amp;$A524))</f>
        <v>2</v>
      </c>
      <c r="Q524" s="4">
        <f>IF($A524=Q$496,"",COUNTIF($E$4:$E$492,$A524&amp;" ضد "&amp;Q$496)+COUNTIF($E$4:$E$492,Q$496&amp;" ضد "&amp;$A524))</f>
        <v>1</v>
      </c>
      <c r="R524" s="4">
        <f>IF($A524=R$496,"",COUNTIF($E$4:$E$492,$A524&amp;" ضد "&amp;R$496)+COUNTIF($E$4:$E$492,R$496&amp;" ضد "&amp;$A524))</f>
        <v>1</v>
      </c>
      <c r="S524" s="4">
        <f>IF($A524=S$496,"",COUNTIF($E$4:$E$492,$A524&amp;" ضد "&amp;S$496)+COUNTIF($E$4:$E$492,S$496&amp;" ضد "&amp;$A524))</f>
        <v>1</v>
      </c>
      <c r="T524" s="4">
        <f>IF($A524=T$496,"",COUNTIF($E$4:$E$492,$A524&amp;" ضد "&amp;T$496)+COUNTIF($E$4:$E$492,T$496&amp;" ضد "&amp;$A524))</f>
        <v>1</v>
      </c>
      <c r="U524" s="4">
        <f>IF($A524=U$496,"",COUNTIF($E$4:$E$492,$A524&amp;" ضد "&amp;U$496)+COUNTIF($E$4:$E$492,U$496&amp;" ضد "&amp;$A524))</f>
        <v>2</v>
      </c>
      <c r="V524" s="4">
        <f>IF($A524=V$496,"",COUNTIF($E$4:$E$492,$A524&amp;" ضد "&amp;V$496)+COUNTIF($E$4:$E$492,V$496&amp;" ضد "&amp;$A524))</f>
        <v>1</v>
      </c>
      <c r="W524" s="4">
        <f>IF($A524=W$496,"",COUNTIF($E$4:$E$492,$A524&amp;" ضد "&amp;W$496)+COUNTIF($E$4:$E$492,W$496&amp;" ضد "&amp;$A524))</f>
        <v>2</v>
      </c>
      <c r="X524" s="4">
        <f>IF($A524=X$496,"",COUNTIF($E$4:$E$492,$A524&amp;" ضد "&amp;X$496)+COUNTIF($E$4:$E$492,X$496&amp;" ضد "&amp;$A524))</f>
        <v>1</v>
      </c>
      <c r="Y524" s="4">
        <f>IF($A524=Y$496,"",COUNTIF($E$4:$E$492,$A524&amp;" ضد "&amp;Y$496)+COUNTIF($E$4:$E$492,Y$496&amp;" ضد "&amp;$A524))</f>
        <v>2</v>
      </c>
      <c r="Z524" s="4">
        <f>IF($A524=Z$496,"",COUNTIF($E$4:$E$492,$A524&amp;" ضد "&amp;Z$496)+COUNTIF($E$4:$E$492,Z$496&amp;" ضد "&amp;$A524))</f>
        <v>1</v>
      </c>
      <c r="AA524" s="4">
        <f>IF($A524=AA$496,"",COUNTIF($E$4:$E$492,$A524&amp;" ضد "&amp;AA$496)+COUNTIF($E$4:$E$492,AA$496&amp;" ضد "&amp;$A524))</f>
        <v>2</v>
      </c>
      <c r="AB524" s="4">
        <f>IF($A524=AB$496,"",COUNTIF($E$4:$E$492,$A524&amp;" ضد "&amp;AB$496)+COUNTIF($E$4:$E$492,AB$496&amp;" ضد "&amp;$A524))</f>
        <v>1</v>
      </c>
      <c r="AC524" s="4" t="str">
        <f>IF($A524=AC$496,"",COUNTIF($E$4:$E$492,$A524&amp;" ضد "&amp;AC$496)+COUNTIF($E$4:$E$492,AC$496&amp;" ضد "&amp;$A524))</f>
        <v/>
      </c>
      <c r="AD524" s="4">
        <f>IF($A524=AD$496,"",COUNTIF($E$4:$E$492,$A524&amp;" ضد "&amp;AD$496)+COUNTIF($E$4:$E$492,AD$496&amp;" ضد "&amp;$A524))</f>
        <v>0</v>
      </c>
      <c r="AE524" s="4">
        <f>IF($A524=AE$496,"",COUNTIF($E$4:$E$492,$A524&amp;" ضد "&amp;AE$496)+COUNTIF($E$4:$E$492,AE$496&amp;" ضد "&amp;$A524))</f>
        <v>0</v>
      </c>
      <c r="AF524" s="4">
        <f>IF($A524=AF$496,"",COUNTIF($E$4:$E$492,$A524&amp;" ضد "&amp;AF$496)+COUNTIF($E$4:$E$492,AF$496&amp;" ضد "&amp;$A524))</f>
        <v>0</v>
      </c>
      <c r="AG524" s="4">
        <f>IF($A524=AG$496,"",COUNTIF($E$4:$E$492,$A524&amp;" ضد "&amp;AG$496)+COUNTIF($E$4:$E$492,AG$496&amp;" ضد "&amp;$A524))</f>
        <v>0</v>
      </c>
      <c r="AH524" s="4">
        <f>IF($A524=AH$496,"",COUNTIF($E$4:$E$492,$A524&amp;" ضد "&amp;AH$496)+COUNTIF($E$4:$E$492,AH$496&amp;" ضد "&amp;$A524))</f>
        <v>0</v>
      </c>
      <c r="AI524" s="4">
        <f>IF($A524=AI$496,"",COUNTIF($E$4:$E$492,$A524&amp;" ضد "&amp;AI$496)+COUNTIF($E$4:$E$492,AI$496&amp;" ضد "&amp;$A524))</f>
        <v>0</v>
      </c>
      <c r="AJ524" s="4">
        <f>IF($A524=AJ$496,"",COUNTIF($E$4:$E$492,$A524&amp;" ضد "&amp;AJ$496)+COUNTIF($E$4:$E$492,AJ$496&amp;" ضد "&amp;$A524))</f>
        <v>0</v>
      </c>
      <c r="AK524" s="4">
        <f>IF($A524=AK$496,"",COUNTIF($E$4:$E$492,$A524&amp;" ضد "&amp;AK$496)+COUNTIF($E$4:$E$492,AK$496&amp;" ضد "&amp;$A524))</f>
        <v>0</v>
      </c>
      <c r="AL524" s="4">
        <f>IF($A524=AL$496,"",COUNTIF($E$4:$E$492,$A524&amp;" ضد "&amp;AL$496)+COUNTIF($E$4:$E$492,AL$496&amp;" ضد "&amp;$A524))</f>
        <v>0</v>
      </c>
      <c r="AM524" s="4">
        <f>IF($A524=AM$496,"",COUNTIF($E$4:$E$492,$A524&amp;" ضد "&amp;AM$496)+COUNTIF($E$4:$E$492,AM$496&amp;" ضد "&amp;$A524))</f>
        <v>0</v>
      </c>
      <c r="AN524" s="4">
        <f>IF($A524=AN$496,"",COUNTIF($E$4:$E$492,$A524&amp;" ضد "&amp;AN$496)+COUNTIF($E$4:$E$492,AN$496&amp;" ضد "&amp;$A524))</f>
        <v>0</v>
      </c>
      <c r="AO524" s="4">
        <f>IF($A524=AO$496,"",COUNTIF($E$4:$E$492,$A524&amp;" ضد "&amp;AO$496)+COUNTIF($E$4:$E$492,AO$496&amp;" ضد "&amp;$A524))</f>
        <v>0</v>
      </c>
      <c r="AP524" s="4">
        <f>IF($A524=AP$496,"",COUNTIF($E$4:$E$492,$A524&amp;" ضد "&amp;AP$496)+COUNTIF($E$4:$E$492,AP$496&amp;" ضد "&amp;$A524))</f>
        <v>0</v>
      </c>
      <c r="AQ524" s="4">
        <f>IF($A524=AQ$496,"",COUNTIF($E$4:$E$492,$A524&amp;" ضد "&amp;AQ$496)+COUNTIF($E$4:$E$492,AQ$496&amp;" ضد "&amp;$A524))</f>
        <v>0</v>
      </c>
      <c r="AR524" s="4">
        <f>IF($A524=AR$496,"",COUNTIF($E$4:$E$492,$A524&amp;" ضد "&amp;AR$496)+COUNTIF($E$4:$E$492,AR$496&amp;" ضد "&amp;$A524))</f>
        <v>0</v>
      </c>
      <c r="AS524" s="4">
        <f>IF($A524=AS$496,"",COUNTIF($E$4:$E$492,$A524&amp;" ضد "&amp;AS$496)+COUNTIF($E$4:$E$492,AS$496&amp;" ضد "&amp;$A524))</f>
        <v>0</v>
      </c>
      <c r="AT524" s="4">
        <f>IF($A524=AT$496,"",COUNTIF($E$4:$E$492,$A524&amp;" ضد "&amp;AT$496)+COUNTIF($E$4:$E$492,AT$496&amp;" ضد "&amp;$A524))</f>
        <v>0</v>
      </c>
      <c r="AU524" s="4">
        <f>IF($A524=AU$496,"",COUNTIF($E$4:$E$492,$A524&amp;" ضد "&amp;AU$496)+COUNTIF($E$4:$E$492,AU$496&amp;" ضد "&amp;$A524))</f>
        <v>0</v>
      </c>
      <c r="AV524" s="4">
        <f>IF($A524=AV$496,"",COUNTIF($E$4:$E$492,$A524&amp;" ضد "&amp;AV$496)+COUNTIF($E$4:$E$492,AV$496&amp;" ضد "&amp;$A524))</f>
        <v>0</v>
      </c>
      <c r="AW524" s="4">
        <f>IF($A524=AW$496,"",COUNTIF($E$4:$E$492,$A524&amp;" ضد "&amp;AW$496)+COUNTIF($E$4:$E$492,AW$496&amp;" ضد "&amp;$A524))</f>
        <v>0</v>
      </c>
      <c r="AX524" s="4">
        <f>IF($A524=AX$496,"",COUNTIF($E$4:$E$492,$A524&amp;" ضد "&amp;AX$496)+COUNTIF($E$4:$E$492,AX$496&amp;" ضد "&amp;$A524))</f>
        <v>0</v>
      </c>
      <c r="AY524" s="4">
        <f>IF($A524=AY$496,"",COUNTIF($E$4:$E$492,$A524&amp;" ضد "&amp;AY$496)+COUNTIF($E$4:$E$492,AY$496&amp;" ضد "&amp;$A524))</f>
        <v>0</v>
      </c>
      <c r="AZ524" s="4">
        <f>IF($A524=AZ$496,"",COUNTIF($E$4:$E$492,$A524&amp;" ضد "&amp;AZ$496)+COUNTIF($E$4:$E$492,AZ$496&amp;" ضد "&amp;$A524))</f>
        <v>0</v>
      </c>
      <c r="BA524" s="4">
        <f>IF($A524=BA$496,"",COUNTIF($E$4:$E$492,$A524&amp;" ضد "&amp;BA$496)+COUNTIF($E$4:$E$492,BA$496&amp;" ضد "&amp;$A524))</f>
        <v>0</v>
      </c>
      <c r="BB524" s="4">
        <f>IF($A524=BB$496,"",COUNTIF($E$4:$E$492,$A524&amp;" ضد "&amp;BB$496)+COUNTIF($E$4:$E$492,BB$496&amp;" ضد "&amp;$A524))</f>
        <v>0</v>
      </c>
      <c r="BC524" s="4">
        <f>IF($A524=BC$496,"",COUNTIF($E$4:$E$492,$A524&amp;" ضد "&amp;BC$496)+COUNTIF($E$4:$E$492,BC$496&amp;" ضد "&amp;$A524))</f>
        <v>0</v>
      </c>
    </row>
    <row r="525" spans="1:55" ht="14.5">
      <c r="A525" s="14">
        <v>29</v>
      </c>
      <c r="B525" s="4">
        <f>IF($A525=B$496,"",COUNTIF($E$4:$E$492,$A525&amp;" ضد "&amp;B$496)+COUNTIF($E$4:$E$492,B$496&amp;" ضد "&amp;$A525))</f>
        <v>0</v>
      </c>
      <c r="C525" s="4">
        <f>IF($A525=C$496,"",COUNTIF($E$4:$E$492,$A525&amp;" ضد "&amp;C$496)+COUNTIF($E$4:$E$492,C$496&amp;" ضد "&amp;$A525))</f>
        <v>0</v>
      </c>
      <c r="D525" s="4">
        <f>IF($A525=D$496,"",COUNTIF($E$4:$E$492,$A525&amp;" ضد "&amp;D$496)+COUNTIF($E$4:$E$492,D$496&amp;" ضد "&amp;$A525))</f>
        <v>0</v>
      </c>
      <c r="E525" s="4">
        <f>IF($A525=E$496,"",COUNTIF($E$4:$E$492,$A525&amp;" ضد "&amp;E$496)+COUNTIF($E$4:$E$492,E$496&amp;" ضد "&amp;$A525))</f>
        <v>0</v>
      </c>
      <c r="F525" s="4">
        <f>IF($A525=F$496,"",COUNTIF($E$4:$E$492,$A525&amp;" ضد "&amp;F$496)+COUNTIF($E$4:$E$492,F$496&amp;" ضد "&amp;$A525))</f>
        <v>0</v>
      </c>
      <c r="G525" s="4">
        <f>IF($A525=G$496,"",COUNTIF($E$4:$E$492,$A525&amp;" ضد "&amp;G$496)+COUNTIF($E$4:$E$492,G$496&amp;" ضد "&amp;$A525))</f>
        <v>0</v>
      </c>
      <c r="H525" s="4">
        <f>IF($A525=H$496,"",COUNTIF($E$4:$E$492,$A525&amp;" ضد "&amp;H$496)+COUNTIF($E$4:$E$492,H$496&amp;" ضد "&amp;$A525))</f>
        <v>0</v>
      </c>
      <c r="I525" s="4">
        <f>IF($A525=I$496,"",COUNTIF($E$4:$E$492,$A525&amp;" ضد "&amp;I$496)+COUNTIF($E$4:$E$492,I$496&amp;" ضد "&amp;$A525))</f>
        <v>0</v>
      </c>
      <c r="J525" s="4">
        <f>IF($A525=J$496,"",COUNTIF($E$4:$E$492,$A525&amp;" ضد "&amp;J$496)+COUNTIF($E$4:$E$492,J$496&amp;" ضد "&amp;$A525))</f>
        <v>0</v>
      </c>
      <c r="K525" s="4">
        <f>IF($A525=K$496,"",COUNTIF($E$4:$E$492,$A525&amp;" ضد "&amp;K$496)+COUNTIF($E$4:$E$492,K$496&amp;" ضد "&amp;$A525))</f>
        <v>0</v>
      </c>
      <c r="L525" s="4">
        <f>IF($A525=L$496,"",COUNTIF($E$4:$E$492,$A525&amp;" ضد "&amp;L$496)+COUNTIF($E$4:$E$492,L$496&amp;" ضد "&amp;$A525))</f>
        <v>0</v>
      </c>
      <c r="M525" s="4">
        <f>IF($A525=M$496,"",COUNTIF($E$4:$E$492,$A525&amp;" ضد "&amp;M$496)+COUNTIF($E$4:$E$492,M$496&amp;" ضد "&amp;$A525))</f>
        <v>0</v>
      </c>
      <c r="N525" s="4">
        <f>IF($A525=N$496,"",COUNTIF($E$4:$E$492,$A525&amp;" ضد "&amp;N$496)+COUNTIF($E$4:$E$492,N$496&amp;" ضد "&amp;$A525))</f>
        <v>0</v>
      </c>
      <c r="O525" s="4">
        <f>IF($A525=O$496,"",COUNTIF($E$4:$E$492,$A525&amp;" ضد "&amp;O$496)+COUNTIF($E$4:$E$492,O$496&amp;" ضد "&amp;$A525))</f>
        <v>0</v>
      </c>
      <c r="P525" s="4">
        <f>IF($A525=P$496,"",COUNTIF($E$4:$E$492,$A525&amp;" ضد "&amp;P$496)+COUNTIF($E$4:$E$492,P$496&amp;" ضد "&amp;$A525))</f>
        <v>0</v>
      </c>
      <c r="Q525" s="4">
        <f>IF($A525=Q$496,"",COUNTIF($E$4:$E$492,$A525&amp;" ضد "&amp;Q$496)+COUNTIF($E$4:$E$492,Q$496&amp;" ضد "&amp;$A525))</f>
        <v>0</v>
      </c>
      <c r="R525" s="4">
        <f>IF($A525=R$496,"",COUNTIF($E$4:$E$492,$A525&amp;" ضد "&amp;R$496)+COUNTIF($E$4:$E$492,R$496&amp;" ضد "&amp;$A525))</f>
        <v>0</v>
      </c>
      <c r="S525" s="4">
        <f>IF($A525=S$496,"",COUNTIF($E$4:$E$492,$A525&amp;" ضد "&amp;S$496)+COUNTIF($E$4:$E$492,S$496&amp;" ضد "&amp;$A525))</f>
        <v>0</v>
      </c>
      <c r="T525" s="4">
        <f>IF($A525=T$496,"",COUNTIF($E$4:$E$492,$A525&amp;" ضد "&amp;T$496)+COUNTIF($E$4:$E$492,T$496&amp;" ضد "&amp;$A525))</f>
        <v>0</v>
      </c>
      <c r="U525" s="4">
        <f>IF($A525=U$496,"",COUNTIF($E$4:$E$492,$A525&amp;" ضد "&amp;U$496)+COUNTIF($E$4:$E$492,U$496&amp;" ضد "&amp;$A525))</f>
        <v>0</v>
      </c>
      <c r="V525" s="4">
        <f>IF($A525=V$496,"",COUNTIF($E$4:$E$492,$A525&amp;" ضد "&amp;V$496)+COUNTIF($E$4:$E$492,V$496&amp;" ضد "&amp;$A525))</f>
        <v>0</v>
      </c>
      <c r="W525" s="4">
        <f>IF($A525=W$496,"",COUNTIF($E$4:$E$492,$A525&amp;" ضد "&amp;W$496)+COUNTIF($E$4:$E$492,W$496&amp;" ضد "&amp;$A525))</f>
        <v>0</v>
      </c>
      <c r="X525" s="4">
        <f>IF($A525=X$496,"",COUNTIF($E$4:$E$492,$A525&amp;" ضد "&amp;X$496)+COUNTIF($E$4:$E$492,X$496&amp;" ضد "&amp;$A525))</f>
        <v>0</v>
      </c>
      <c r="Y525" s="4">
        <f>IF($A525=Y$496,"",COUNTIF($E$4:$E$492,$A525&amp;" ضد "&amp;Y$496)+COUNTIF($E$4:$E$492,Y$496&amp;" ضد "&amp;$A525))</f>
        <v>0</v>
      </c>
      <c r="Z525" s="4">
        <f>IF($A525=Z$496,"",COUNTIF($E$4:$E$492,$A525&amp;" ضد "&amp;Z$496)+COUNTIF($E$4:$E$492,Z$496&amp;" ضد "&amp;$A525))</f>
        <v>0</v>
      </c>
      <c r="AA525" s="4">
        <f>IF($A525=AA$496,"",COUNTIF($E$4:$E$492,$A525&amp;" ضد "&amp;AA$496)+COUNTIF($E$4:$E$492,AA$496&amp;" ضد "&amp;$A525))</f>
        <v>0</v>
      </c>
      <c r="AB525" s="4">
        <f>IF($A525=AB$496,"",COUNTIF($E$4:$E$492,$A525&amp;" ضد "&amp;AB$496)+COUNTIF($E$4:$E$492,AB$496&amp;" ضد "&amp;$A525))</f>
        <v>0</v>
      </c>
      <c r="AC525" s="4">
        <f>IF($A525=AC$496,"",COUNTIF($E$4:$E$492,$A525&amp;" ضد "&amp;AC$496)+COUNTIF($E$4:$E$492,AC$496&amp;" ضد "&amp;$A525))</f>
        <v>0</v>
      </c>
      <c r="AD525" s="4" t="str">
        <f>IF($A525=AD$496,"",COUNTIF($E$4:$E$492,$A525&amp;" ضد "&amp;AD$496)+COUNTIF($E$4:$E$492,AD$496&amp;" ضد "&amp;$A525))</f>
        <v/>
      </c>
      <c r="AE525" s="4">
        <f>IF($A525=AE$496,"",COUNTIF($E$4:$E$492,$A525&amp;" ضد "&amp;AE$496)+COUNTIF($E$4:$E$492,AE$496&amp;" ضد "&amp;$A525))</f>
        <v>1</v>
      </c>
      <c r="AF525" s="4">
        <f>IF($A525=AF$496,"",COUNTIF($E$4:$E$492,$A525&amp;" ضد "&amp;AF$496)+COUNTIF($E$4:$E$492,AF$496&amp;" ضد "&amp;$A525))</f>
        <v>1</v>
      </c>
      <c r="AG525" s="4">
        <f>IF($A525=AG$496,"",COUNTIF($E$4:$E$492,$A525&amp;" ضد "&amp;AG$496)+COUNTIF($E$4:$E$492,AG$496&amp;" ضد "&amp;$A525))</f>
        <v>1</v>
      </c>
      <c r="AH525" s="4">
        <f>IF($A525=AH$496,"",COUNTIF($E$4:$E$492,$A525&amp;" ضد "&amp;AH$496)+COUNTIF($E$4:$E$492,AH$496&amp;" ضد "&amp;$A525))</f>
        <v>1</v>
      </c>
      <c r="AI525" s="4">
        <f>IF($A525=AI$496,"",COUNTIF($E$4:$E$492,$A525&amp;" ضد "&amp;AI$496)+COUNTIF($E$4:$E$492,AI$496&amp;" ضد "&amp;$A525))</f>
        <v>1</v>
      </c>
      <c r="AJ525" s="4">
        <f>IF($A525=AJ$496,"",COUNTIF($E$4:$E$492,$A525&amp;" ضد "&amp;AJ$496)+COUNTIF($E$4:$E$492,AJ$496&amp;" ضد "&amp;$A525))</f>
        <v>1</v>
      </c>
      <c r="AK525" s="4">
        <f>IF($A525=AK$496,"",COUNTIF($E$4:$E$492,$A525&amp;" ضد "&amp;AK$496)+COUNTIF($E$4:$E$492,AK$496&amp;" ضد "&amp;$A525))</f>
        <v>1</v>
      </c>
      <c r="AL525" s="4">
        <f>IF($A525=AL$496,"",COUNTIF($E$4:$E$492,$A525&amp;" ضد "&amp;AL$496)+COUNTIF($E$4:$E$492,AL$496&amp;" ضد "&amp;$A525))</f>
        <v>1</v>
      </c>
      <c r="AM525" s="4">
        <f>IF($A525=AM$496,"",COUNTIF($E$4:$E$492,$A525&amp;" ضد "&amp;AM$496)+COUNTIF($E$4:$E$492,AM$496&amp;" ضد "&amp;$A525))</f>
        <v>2</v>
      </c>
      <c r="AN525" s="4">
        <f>IF($A525=AN$496,"",COUNTIF($E$4:$E$492,$A525&amp;" ضد "&amp;AN$496)+COUNTIF($E$4:$E$492,AN$496&amp;" ضد "&amp;$A525))</f>
        <v>2</v>
      </c>
      <c r="AO525" s="4">
        <f>IF($A525=AO$496,"",COUNTIF($E$4:$E$492,$A525&amp;" ضد "&amp;AO$496)+COUNTIF($E$4:$E$492,AO$496&amp;" ضد "&amp;$A525))</f>
        <v>2</v>
      </c>
      <c r="AP525" s="4">
        <f>IF($A525=AP$496,"",COUNTIF($E$4:$E$492,$A525&amp;" ضد "&amp;AP$496)+COUNTIF($E$4:$E$492,AP$496&amp;" ضد "&amp;$A525))</f>
        <v>2</v>
      </c>
      <c r="AQ525" s="4">
        <f>IF($A525=AQ$496,"",COUNTIF($E$4:$E$492,$A525&amp;" ضد "&amp;AQ$496)+COUNTIF($E$4:$E$492,AQ$496&amp;" ضد "&amp;$A525))</f>
        <v>2</v>
      </c>
      <c r="AR525" s="4">
        <f>IF($A525=AR$496,"",COUNTIF($E$4:$E$492,$A525&amp;" ضد "&amp;AR$496)+COUNTIF($E$4:$E$492,AR$496&amp;" ضد "&amp;$A525))</f>
        <v>0</v>
      </c>
      <c r="AS525" s="4">
        <f>IF($A525=AS$496,"",COUNTIF($E$4:$E$492,$A525&amp;" ضد "&amp;AS$496)+COUNTIF($E$4:$E$492,AS$496&amp;" ضد "&amp;$A525))</f>
        <v>0</v>
      </c>
      <c r="AT525" s="4">
        <f>IF($A525=AT$496,"",COUNTIF($E$4:$E$492,$A525&amp;" ضد "&amp;AT$496)+COUNTIF($E$4:$E$492,AT$496&amp;" ضد "&amp;$A525))</f>
        <v>0</v>
      </c>
      <c r="AU525" s="4">
        <f>IF($A525=AU$496,"",COUNTIF($E$4:$E$492,$A525&amp;" ضد "&amp;AU$496)+COUNTIF($E$4:$E$492,AU$496&amp;" ضد "&amp;$A525))</f>
        <v>0</v>
      </c>
      <c r="AV525" s="4">
        <f>IF($A525=AV$496,"",COUNTIF($E$4:$E$492,$A525&amp;" ضد "&amp;AV$496)+COUNTIF($E$4:$E$492,AV$496&amp;" ضد "&amp;$A525))</f>
        <v>0</v>
      </c>
      <c r="AW525" s="4">
        <f>IF($A525=AW$496,"",COUNTIF($E$4:$E$492,$A525&amp;" ضد "&amp;AW$496)+COUNTIF($E$4:$E$492,AW$496&amp;" ضد "&amp;$A525))</f>
        <v>0</v>
      </c>
      <c r="AX525" s="4">
        <f>IF($A525=AX$496,"",COUNTIF($E$4:$E$492,$A525&amp;" ضد "&amp;AX$496)+COUNTIF($E$4:$E$492,AX$496&amp;" ضد "&amp;$A525))</f>
        <v>0</v>
      </c>
      <c r="AY525" s="4">
        <f>IF($A525=AY$496,"",COUNTIF($E$4:$E$492,$A525&amp;" ضد "&amp;AY$496)+COUNTIF($E$4:$E$492,AY$496&amp;" ضد "&amp;$A525))</f>
        <v>0</v>
      </c>
      <c r="AZ525" s="4">
        <f>IF($A525=AZ$496,"",COUNTIF($E$4:$E$492,$A525&amp;" ضد "&amp;AZ$496)+COUNTIF($E$4:$E$492,AZ$496&amp;" ضد "&amp;$A525))</f>
        <v>0</v>
      </c>
      <c r="BA525" s="4">
        <f>IF($A525=BA$496,"",COUNTIF($E$4:$E$492,$A525&amp;" ضد "&amp;BA$496)+COUNTIF($E$4:$E$492,BA$496&amp;" ضد "&amp;$A525))</f>
        <v>0</v>
      </c>
      <c r="BB525" s="4">
        <f>IF($A525=BB$496,"",COUNTIF($E$4:$E$492,$A525&amp;" ضد "&amp;BB$496)+COUNTIF($E$4:$E$492,BB$496&amp;" ضد "&amp;$A525))</f>
        <v>0</v>
      </c>
      <c r="BC525" s="4">
        <f>IF($A525=BC$496,"",COUNTIF($E$4:$E$492,$A525&amp;" ضد "&amp;BC$496)+COUNTIF($E$4:$E$492,BC$496&amp;" ضد "&amp;$A525))</f>
        <v>0</v>
      </c>
    </row>
    <row r="526" spans="1:55" ht="14.5">
      <c r="A526" s="14">
        <v>30</v>
      </c>
      <c r="B526" s="4">
        <f>IF($A526=B$496,"",COUNTIF($E$4:$E$492,$A526&amp;" ضد "&amp;B$496)+COUNTIF($E$4:$E$492,B$496&amp;" ضد "&amp;$A526))</f>
        <v>0</v>
      </c>
      <c r="C526" s="4">
        <f>IF($A526=C$496,"",COUNTIF($E$4:$E$492,$A526&amp;" ضد "&amp;C$496)+COUNTIF($E$4:$E$492,C$496&amp;" ضد "&amp;$A526))</f>
        <v>0</v>
      </c>
      <c r="D526" s="4">
        <f>IF($A526=D$496,"",COUNTIF($E$4:$E$492,$A526&amp;" ضد "&amp;D$496)+COUNTIF($E$4:$E$492,D$496&amp;" ضد "&amp;$A526))</f>
        <v>0</v>
      </c>
      <c r="E526" s="4">
        <f>IF($A526=E$496,"",COUNTIF($E$4:$E$492,$A526&amp;" ضد "&amp;E$496)+COUNTIF($E$4:$E$492,E$496&amp;" ضد "&amp;$A526))</f>
        <v>0</v>
      </c>
      <c r="F526" s="4">
        <f>IF($A526=F$496,"",COUNTIF($E$4:$E$492,$A526&amp;" ضد "&amp;F$496)+COUNTIF($E$4:$E$492,F$496&amp;" ضد "&amp;$A526))</f>
        <v>0</v>
      </c>
      <c r="G526" s="4">
        <f>IF($A526=G$496,"",COUNTIF($E$4:$E$492,$A526&amp;" ضد "&amp;G$496)+COUNTIF($E$4:$E$492,G$496&amp;" ضد "&amp;$A526))</f>
        <v>0</v>
      </c>
      <c r="H526" s="4">
        <f>IF($A526=H$496,"",COUNTIF($E$4:$E$492,$A526&amp;" ضد "&amp;H$496)+COUNTIF($E$4:$E$492,H$496&amp;" ضد "&amp;$A526))</f>
        <v>0</v>
      </c>
      <c r="I526" s="4">
        <f>IF($A526=I$496,"",COUNTIF($E$4:$E$492,$A526&amp;" ضد "&amp;I$496)+COUNTIF($E$4:$E$492,I$496&amp;" ضد "&amp;$A526))</f>
        <v>0</v>
      </c>
      <c r="J526" s="4">
        <f>IF($A526=J$496,"",COUNTIF($E$4:$E$492,$A526&amp;" ضد "&amp;J$496)+COUNTIF($E$4:$E$492,J$496&amp;" ضد "&amp;$A526))</f>
        <v>0</v>
      </c>
      <c r="K526" s="4">
        <f>IF($A526=K$496,"",COUNTIF($E$4:$E$492,$A526&amp;" ضد "&amp;K$496)+COUNTIF($E$4:$E$492,K$496&amp;" ضد "&amp;$A526))</f>
        <v>0</v>
      </c>
      <c r="L526" s="4">
        <f>IF($A526=L$496,"",COUNTIF($E$4:$E$492,$A526&amp;" ضد "&amp;L$496)+COUNTIF($E$4:$E$492,L$496&amp;" ضد "&amp;$A526))</f>
        <v>0</v>
      </c>
      <c r="M526" s="4">
        <f>IF($A526=M$496,"",COUNTIF($E$4:$E$492,$A526&amp;" ضد "&amp;M$496)+COUNTIF($E$4:$E$492,M$496&amp;" ضد "&amp;$A526))</f>
        <v>0</v>
      </c>
      <c r="N526" s="4">
        <f>IF($A526=N$496,"",COUNTIF($E$4:$E$492,$A526&amp;" ضد "&amp;N$496)+COUNTIF($E$4:$E$492,N$496&amp;" ضد "&amp;$A526))</f>
        <v>0</v>
      </c>
      <c r="O526" s="4">
        <f>IF($A526=O$496,"",COUNTIF($E$4:$E$492,$A526&amp;" ضد "&amp;O$496)+COUNTIF($E$4:$E$492,O$496&amp;" ضد "&amp;$A526))</f>
        <v>0</v>
      </c>
      <c r="P526" s="4">
        <f>IF($A526=P$496,"",COUNTIF($E$4:$E$492,$A526&amp;" ضد "&amp;P$496)+COUNTIF($E$4:$E$492,P$496&amp;" ضد "&amp;$A526))</f>
        <v>0</v>
      </c>
      <c r="Q526" s="4">
        <f>IF($A526=Q$496,"",COUNTIF($E$4:$E$492,$A526&amp;" ضد "&amp;Q$496)+COUNTIF($E$4:$E$492,Q$496&amp;" ضد "&amp;$A526))</f>
        <v>0</v>
      </c>
      <c r="R526" s="4">
        <f>IF($A526=R$496,"",COUNTIF($E$4:$E$492,$A526&amp;" ضد "&amp;R$496)+COUNTIF($E$4:$E$492,R$496&amp;" ضد "&amp;$A526))</f>
        <v>0</v>
      </c>
      <c r="S526" s="4">
        <f>IF($A526=S$496,"",COUNTIF($E$4:$E$492,$A526&amp;" ضد "&amp;S$496)+COUNTIF($E$4:$E$492,S$496&amp;" ضد "&amp;$A526))</f>
        <v>0</v>
      </c>
      <c r="T526" s="4">
        <f>IF($A526=T$496,"",COUNTIF($E$4:$E$492,$A526&amp;" ضد "&amp;T$496)+COUNTIF($E$4:$E$492,T$496&amp;" ضد "&amp;$A526))</f>
        <v>0</v>
      </c>
      <c r="U526" s="4">
        <f>IF($A526=U$496,"",COUNTIF($E$4:$E$492,$A526&amp;" ضد "&amp;U$496)+COUNTIF($E$4:$E$492,U$496&amp;" ضد "&amp;$A526))</f>
        <v>0</v>
      </c>
      <c r="V526" s="4">
        <f>IF($A526=V$496,"",COUNTIF($E$4:$E$492,$A526&amp;" ضد "&amp;V$496)+COUNTIF($E$4:$E$492,V$496&amp;" ضد "&amp;$A526))</f>
        <v>0</v>
      </c>
      <c r="W526" s="4">
        <f>IF($A526=W$496,"",COUNTIF($E$4:$E$492,$A526&amp;" ضد "&amp;W$496)+COUNTIF($E$4:$E$492,W$496&amp;" ضد "&amp;$A526))</f>
        <v>0</v>
      </c>
      <c r="X526" s="4">
        <f>IF($A526=X$496,"",COUNTIF($E$4:$E$492,$A526&amp;" ضد "&amp;X$496)+COUNTIF($E$4:$E$492,X$496&amp;" ضد "&amp;$A526))</f>
        <v>0</v>
      </c>
      <c r="Y526" s="4">
        <f>IF($A526=Y$496,"",COUNTIF($E$4:$E$492,$A526&amp;" ضد "&amp;Y$496)+COUNTIF($E$4:$E$492,Y$496&amp;" ضد "&amp;$A526))</f>
        <v>0</v>
      </c>
      <c r="Z526" s="4">
        <f>IF($A526=Z$496,"",COUNTIF($E$4:$E$492,$A526&amp;" ضد "&amp;Z$496)+COUNTIF($E$4:$E$492,Z$496&amp;" ضد "&amp;$A526))</f>
        <v>0</v>
      </c>
      <c r="AA526" s="4">
        <f>IF($A526=AA$496,"",COUNTIF($E$4:$E$492,$A526&amp;" ضد "&amp;AA$496)+COUNTIF($E$4:$E$492,AA$496&amp;" ضد "&amp;$A526))</f>
        <v>0</v>
      </c>
      <c r="AB526" s="4">
        <f>IF($A526=AB$496,"",COUNTIF($E$4:$E$492,$A526&amp;" ضد "&amp;AB$496)+COUNTIF($E$4:$E$492,AB$496&amp;" ضد "&amp;$A526))</f>
        <v>0</v>
      </c>
      <c r="AC526" s="4">
        <f>IF($A526=AC$496,"",COUNTIF($E$4:$E$492,$A526&amp;" ضد "&amp;AC$496)+COUNTIF($E$4:$E$492,AC$496&amp;" ضد "&amp;$A526))</f>
        <v>0</v>
      </c>
      <c r="AD526" s="4">
        <f>IF($A526=AD$496,"",COUNTIF($E$4:$E$492,$A526&amp;" ضد "&amp;AD$496)+COUNTIF($E$4:$E$492,AD$496&amp;" ضد "&amp;$A526))</f>
        <v>1</v>
      </c>
      <c r="AE526" s="4" t="str">
        <f>IF($A526=AE$496,"",COUNTIF($E$4:$E$492,$A526&amp;" ضد "&amp;AE$496)+COUNTIF($E$4:$E$492,AE$496&amp;" ضد "&amp;$A526))</f>
        <v/>
      </c>
      <c r="AF526" s="4">
        <f>IF($A526=AF$496,"",COUNTIF($E$4:$E$492,$A526&amp;" ضد "&amp;AF$496)+COUNTIF($E$4:$E$492,AF$496&amp;" ضد "&amp;$A526))</f>
        <v>1</v>
      </c>
      <c r="AG526" s="4">
        <f>IF($A526=AG$496,"",COUNTIF($E$4:$E$492,$A526&amp;" ضد "&amp;AG$496)+COUNTIF($E$4:$E$492,AG$496&amp;" ضد "&amp;$A526))</f>
        <v>1</v>
      </c>
      <c r="AH526" s="4">
        <f>IF($A526=AH$496,"",COUNTIF($E$4:$E$492,$A526&amp;" ضد "&amp;AH$496)+COUNTIF($E$4:$E$492,AH$496&amp;" ضد "&amp;$A526))</f>
        <v>2</v>
      </c>
      <c r="AI526" s="4">
        <f>IF($A526=AI$496,"",COUNTIF($E$4:$E$492,$A526&amp;" ضد "&amp;AI$496)+COUNTIF($E$4:$E$492,AI$496&amp;" ضد "&amp;$A526))</f>
        <v>1</v>
      </c>
      <c r="AJ526" s="4">
        <f>IF($A526=AJ$496,"",COUNTIF($E$4:$E$492,$A526&amp;" ضد "&amp;AJ$496)+COUNTIF($E$4:$E$492,AJ$496&amp;" ضد "&amp;$A526))</f>
        <v>2</v>
      </c>
      <c r="AK526" s="4">
        <f>IF($A526=AK$496,"",COUNTIF($E$4:$E$492,$A526&amp;" ضد "&amp;AK$496)+COUNTIF($E$4:$E$492,AK$496&amp;" ضد "&amp;$A526))</f>
        <v>1</v>
      </c>
      <c r="AL526" s="4">
        <f>IF($A526=AL$496,"",COUNTIF($E$4:$E$492,$A526&amp;" ضد "&amp;AL$496)+COUNTIF($E$4:$E$492,AL$496&amp;" ضد "&amp;$A526))</f>
        <v>2</v>
      </c>
      <c r="AM526" s="4">
        <f>IF($A526=AM$496,"",COUNTIF($E$4:$E$492,$A526&amp;" ضد "&amp;AM$496)+COUNTIF($E$4:$E$492,AM$496&amp;" ضد "&amp;$A526))</f>
        <v>1</v>
      </c>
      <c r="AN526" s="4">
        <f>IF($A526=AN$496,"",COUNTIF($E$4:$E$492,$A526&amp;" ضد "&amp;AN$496)+COUNTIF($E$4:$E$492,AN$496&amp;" ضد "&amp;$A526))</f>
        <v>2</v>
      </c>
      <c r="AO526" s="4">
        <f>IF($A526=AO$496,"",COUNTIF($E$4:$E$492,$A526&amp;" ضد "&amp;AO$496)+COUNTIF($E$4:$E$492,AO$496&amp;" ضد "&amp;$A526))</f>
        <v>1</v>
      </c>
      <c r="AP526" s="4">
        <f>IF($A526=AP$496,"",COUNTIF($E$4:$E$492,$A526&amp;" ضد "&amp;AP$496)+COUNTIF($E$4:$E$492,AP$496&amp;" ضد "&amp;$A526))</f>
        <v>2</v>
      </c>
      <c r="AQ526" s="4">
        <f>IF($A526=AQ$496,"",COUNTIF($E$4:$E$492,$A526&amp;" ضد "&amp;AQ$496)+COUNTIF($E$4:$E$492,AQ$496&amp;" ضد "&amp;$A526))</f>
        <v>1</v>
      </c>
      <c r="AR526" s="4">
        <f>IF($A526=AR$496,"",COUNTIF($E$4:$E$492,$A526&amp;" ضد "&amp;AR$496)+COUNTIF($E$4:$E$492,AR$496&amp;" ضد "&amp;$A526))</f>
        <v>0</v>
      </c>
      <c r="AS526" s="4">
        <f>IF($A526=AS$496,"",COUNTIF($E$4:$E$492,$A526&amp;" ضد "&amp;AS$496)+COUNTIF($E$4:$E$492,AS$496&amp;" ضد "&amp;$A526))</f>
        <v>0</v>
      </c>
      <c r="AT526" s="4">
        <f>IF($A526=AT$496,"",COUNTIF($E$4:$E$492,$A526&amp;" ضد "&amp;AT$496)+COUNTIF($E$4:$E$492,AT$496&amp;" ضد "&amp;$A526))</f>
        <v>0</v>
      </c>
      <c r="AU526" s="4">
        <f>IF($A526=AU$496,"",COUNTIF($E$4:$E$492,$A526&amp;" ضد "&amp;AU$496)+COUNTIF($E$4:$E$492,AU$496&amp;" ضد "&amp;$A526))</f>
        <v>0</v>
      </c>
      <c r="AV526" s="4">
        <f>IF($A526=AV$496,"",COUNTIF($E$4:$E$492,$A526&amp;" ضد "&amp;AV$496)+COUNTIF($E$4:$E$492,AV$496&amp;" ضد "&amp;$A526))</f>
        <v>0</v>
      </c>
      <c r="AW526" s="4">
        <f>IF($A526=AW$496,"",COUNTIF($E$4:$E$492,$A526&amp;" ضد "&amp;AW$496)+COUNTIF($E$4:$E$492,AW$496&amp;" ضد "&amp;$A526))</f>
        <v>0</v>
      </c>
      <c r="AX526" s="4">
        <f>IF($A526=AX$496,"",COUNTIF($E$4:$E$492,$A526&amp;" ضد "&amp;AX$496)+COUNTIF($E$4:$E$492,AX$496&amp;" ضد "&amp;$A526))</f>
        <v>0</v>
      </c>
      <c r="AY526" s="4">
        <f>IF($A526=AY$496,"",COUNTIF($E$4:$E$492,$A526&amp;" ضد "&amp;AY$496)+COUNTIF($E$4:$E$492,AY$496&amp;" ضد "&amp;$A526))</f>
        <v>0</v>
      </c>
      <c r="AZ526" s="4">
        <f>IF($A526=AZ$496,"",COUNTIF($E$4:$E$492,$A526&amp;" ضد "&amp;AZ$496)+COUNTIF($E$4:$E$492,AZ$496&amp;" ضد "&amp;$A526))</f>
        <v>0</v>
      </c>
      <c r="BA526" s="4">
        <f>IF($A526=BA$496,"",COUNTIF($E$4:$E$492,$A526&amp;" ضد "&amp;BA$496)+COUNTIF($E$4:$E$492,BA$496&amp;" ضد "&amp;$A526))</f>
        <v>0</v>
      </c>
      <c r="BB526" s="4">
        <f>IF($A526=BB$496,"",COUNTIF($E$4:$E$492,$A526&amp;" ضد "&amp;BB$496)+COUNTIF($E$4:$E$492,BB$496&amp;" ضد "&amp;$A526))</f>
        <v>0</v>
      </c>
      <c r="BC526" s="4">
        <f>IF($A526=BC$496,"",COUNTIF($E$4:$E$492,$A526&amp;" ضد "&amp;BC$496)+COUNTIF($E$4:$E$492,BC$496&amp;" ضد "&amp;$A526))</f>
        <v>0</v>
      </c>
    </row>
    <row r="527" spans="1:55" ht="14.5">
      <c r="A527" s="14">
        <v>31</v>
      </c>
      <c r="B527" s="4">
        <f>IF($A527=B$496,"",COUNTIF($E$4:$E$492,$A527&amp;" ضد "&amp;B$496)+COUNTIF($E$4:$E$492,B$496&amp;" ضد "&amp;$A527))</f>
        <v>0</v>
      </c>
      <c r="C527" s="4">
        <f>IF($A527=C$496,"",COUNTIF($E$4:$E$492,$A527&amp;" ضد "&amp;C$496)+COUNTIF($E$4:$E$492,C$496&amp;" ضد "&amp;$A527))</f>
        <v>0</v>
      </c>
      <c r="D527" s="4">
        <f>IF($A527=D$496,"",COUNTIF($E$4:$E$492,$A527&amp;" ضد "&amp;D$496)+COUNTIF($E$4:$E$492,D$496&amp;" ضد "&amp;$A527))</f>
        <v>0</v>
      </c>
      <c r="E527" s="4">
        <f>IF($A527=E$496,"",COUNTIF($E$4:$E$492,$A527&amp;" ضد "&amp;E$496)+COUNTIF($E$4:$E$492,E$496&amp;" ضد "&amp;$A527))</f>
        <v>0</v>
      </c>
      <c r="F527" s="4">
        <f>IF($A527=F$496,"",COUNTIF($E$4:$E$492,$A527&amp;" ضد "&amp;F$496)+COUNTIF($E$4:$E$492,F$496&amp;" ضد "&amp;$A527))</f>
        <v>0</v>
      </c>
      <c r="G527" s="4">
        <f>IF($A527=G$496,"",COUNTIF($E$4:$E$492,$A527&amp;" ضد "&amp;G$496)+COUNTIF($E$4:$E$492,G$496&amp;" ضد "&amp;$A527))</f>
        <v>0</v>
      </c>
      <c r="H527" s="4">
        <f>IF($A527=H$496,"",COUNTIF($E$4:$E$492,$A527&amp;" ضد "&amp;H$496)+COUNTIF($E$4:$E$492,H$496&amp;" ضد "&amp;$A527))</f>
        <v>0</v>
      </c>
      <c r="I527" s="4">
        <f>IF($A527=I$496,"",COUNTIF($E$4:$E$492,$A527&amp;" ضد "&amp;I$496)+COUNTIF($E$4:$E$492,I$496&amp;" ضد "&amp;$A527))</f>
        <v>0</v>
      </c>
      <c r="J527" s="4">
        <f>IF($A527=J$496,"",COUNTIF($E$4:$E$492,$A527&amp;" ضد "&amp;J$496)+COUNTIF($E$4:$E$492,J$496&amp;" ضد "&amp;$A527))</f>
        <v>0</v>
      </c>
      <c r="K527" s="4">
        <f>IF($A527=K$496,"",COUNTIF($E$4:$E$492,$A527&amp;" ضد "&amp;K$496)+COUNTIF($E$4:$E$492,K$496&amp;" ضد "&amp;$A527))</f>
        <v>0</v>
      </c>
      <c r="L527" s="4">
        <f>IF($A527=L$496,"",COUNTIF($E$4:$E$492,$A527&amp;" ضد "&amp;L$496)+COUNTIF($E$4:$E$492,L$496&amp;" ضد "&amp;$A527))</f>
        <v>0</v>
      </c>
      <c r="M527" s="4">
        <f>IF($A527=M$496,"",COUNTIF($E$4:$E$492,$A527&amp;" ضد "&amp;M$496)+COUNTIF($E$4:$E$492,M$496&amp;" ضد "&amp;$A527))</f>
        <v>0</v>
      </c>
      <c r="N527" s="4">
        <f>IF($A527=N$496,"",COUNTIF($E$4:$E$492,$A527&amp;" ضد "&amp;N$496)+COUNTIF($E$4:$E$492,N$496&amp;" ضد "&amp;$A527))</f>
        <v>0</v>
      </c>
      <c r="O527" s="4">
        <f>IF($A527=O$496,"",COUNTIF($E$4:$E$492,$A527&amp;" ضد "&amp;O$496)+COUNTIF($E$4:$E$492,O$496&amp;" ضد "&amp;$A527))</f>
        <v>0</v>
      </c>
      <c r="P527" s="4">
        <f>IF($A527=P$496,"",COUNTIF($E$4:$E$492,$A527&amp;" ضد "&amp;P$496)+COUNTIF($E$4:$E$492,P$496&amp;" ضد "&amp;$A527))</f>
        <v>0</v>
      </c>
      <c r="Q527" s="4">
        <f>IF($A527=Q$496,"",COUNTIF($E$4:$E$492,$A527&amp;" ضد "&amp;Q$496)+COUNTIF($E$4:$E$492,Q$496&amp;" ضد "&amp;$A527))</f>
        <v>0</v>
      </c>
      <c r="R527" s="4">
        <f>IF($A527=R$496,"",COUNTIF($E$4:$E$492,$A527&amp;" ضد "&amp;R$496)+COUNTIF($E$4:$E$492,R$496&amp;" ضد "&amp;$A527))</f>
        <v>0</v>
      </c>
      <c r="S527" s="4">
        <f>IF($A527=S$496,"",COUNTIF($E$4:$E$492,$A527&amp;" ضد "&amp;S$496)+COUNTIF($E$4:$E$492,S$496&amp;" ضد "&amp;$A527))</f>
        <v>0</v>
      </c>
      <c r="T527" s="4">
        <f>IF($A527=T$496,"",COUNTIF($E$4:$E$492,$A527&amp;" ضد "&amp;T$496)+COUNTIF($E$4:$E$492,T$496&amp;" ضد "&amp;$A527))</f>
        <v>0</v>
      </c>
      <c r="U527" s="4">
        <f>IF($A527=U$496,"",COUNTIF($E$4:$E$492,$A527&amp;" ضد "&amp;U$496)+COUNTIF($E$4:$E$492,U$496&amp;" ضد "&amp;$A527))</f>
        <v>0</v>
      </c>
      <c r="V527" s="4">
        <f>IF($A527=V$496,"",COUNTIF($E$4:$E$492,$A527&amp;" ضد "&amp;V$496)+COUNTIF($E$4:$E$492,V$496&amp;" ضد "&amp;$A527))</f>
        <v>0</v>
      </c>
      <c r="W527" s="4">
        <f>IF($A527=W$496,"",COUNTIF($E$4:$E$492,$A527&amp;" ضد "&amp;W$496)+COUNTIF($E$4:$E$492,W$496&amp;" ضد "&amp;$A527))</f>
        <v>0</v>
      </c>
      <c r="X527" s="4">
        <f>IF($A527=X$496,"",COUNTIF($E$4:$E$492,$A527&amp;" ضد "&amp;X$496)+COUNTIF($E$4:$E$492,X$496&amp;" ضد "&amp;$A527))</f>
        <v>0</v>
      </c>
      <c r="Y527" s="4">
        <f>IF($A527=Y$496,"",COUNTIF($E$4:$E$492,$A527&amp;" ضد "&amp;Y$496)+COUNTIF($E$4:$E$492,Y$496&amp;" ضد "&amp;$A527))</f>
        <v>0</v>
      </c>
      <c r="Z527" s="4">
        <f>IF($A527=Z$496,"",COUNTIF($E$4:$E$492,$A527&amp;" ضد "&amp;Z$496)+COUNTIF($E$4:$E$492,Z$496&amp;" ضد "&amp;$A527))</f>
        <v>0</v>
      </c>
      <c r="AA527" s="4">
        <f>IF($A527=AA$496,"",COUNTIF($E$4:$E$492,$A527&amp;" ضد "&amp;AA$496)+COUNTIF($E$4:$E$492,AA$496&amp;" ضد "&amp;$A527))</f>
        <v>0</v>
      </c>
      <c r="AB527" s="4">
        <f>IF($A527=AB$496,"",COUNTIF($E$4:$E$492,$A527&amp;" ضد "&amp;AB$496)+COUNTIF($E$4:$E$492,AB$496&amp;" ضد "&amp;$A527))</f>
        <v>0</v>
      </c>
      <c r="AC527" s="4">
        <f>IF($A527=AC$496,"",COUNTIF($E$4:$E$492,$A527&amp;" ضد "&amp;AC$496)+COUNTIF($E$4:$E$492,AC$496&amp;" ضد "&amp;$A527))</f>
        <v>0</v>
      </c>
      <c r="AD527" s="4">
        <f>IF($A527=AD$496,"",COUNTIF($E$4:$E$492,$A527&amp;" ضد "&amp;AD$496)+COUNTIF($E$4:$E$492,AD$496&amp;" ضد "&amp;$A527))</f>
        <v>1</v>
      </c>
      <c r="AE527" s="4">
        <f>IF($A527=AE$496,"",COUNTIF($E$4:$E$492,$A527&amp;" ضد "&amp;AE$496)+COUNTIF($E$4:$E$492,AE$496&amp;" ضد "&amp;$A527))</f>
        <v>1</v>
      </c>
      <c r="AF527" s="4" t="str">
        <f>IF($A527=AF$496,"",COUNTIF($E$4:$E$492,$A527&amp;" ضد "&amp;AF$496)+COUNTIF($E$4:$E$492,AF$496&amp;" ضد "&amp;$A527))</f>
        <v/>
      </c>
      <c r="AG527" s="4">
        <f>IF($A527=AG$496,"",COUNTIF($E$4:$E$492,$A527&amp;" ضد "&amp;AG$496)+COUNTIF($E$4:$E$492,AG$496&amp;" ضد "&amp;$A527))</f>
        <v>2</v>
      </c>
      <c r="AH527" s="4">
        <f>IF($A527=AH$496,"",COUNTIF($E$4:$E$492,$A527&amp;" ضد "&amp;AH$496)+COUNTIF($E$4:$E$492,AH$496&amp;" ضد "&amp;$A527))</f>
        <v>1</v>
      </c>
      <c r="AI527" s="4">
        <f>IF($A527=AI$496,"",COUNTIF($E$4:$E$492,$A527&amp;" ضد "&amp;AI$496)+COUNTIF($E$4:$E$492,AI$496&amp;" ضد "&amp;$A527))</f>
        <v>2</v>
      </c>
      <c r="AJ527" s="4">
        <f>IF($A527=AJ$496,"",COUNTIF($E$4:$E$492,$A527&amp;" ضد "&amp;AJ$496)+COUNTIF($E$4:$E$492,AJ$496&amp;" ضد "&amp;$A527))</f>
        <v>1</v>
      </c>
      <c r="AK527" s="4">
        <f>IF($A527=AK$496,"",COUNTIF($E$4:$E$492,$A527&amp;" ضد "&amp;AK$496)+COUNTIF($E$4:$E$492,AK$496&amp;" ضد "&amp;$A527))</f>
        <v>2</v>
      </c>
      <c r="AL527" s="4">
        <f>IF($A527=AL$496,"",COUNTIF($E$4:$E$492,$A527&amp;" ضد "&amp;AL$496)+COUNTIF($E$4:$E$492,AL$496&amp;" ضد "&amp;$A527))</f>
        <v>1</v>
      </c>
      <c r="AM527" s="4">
        <f>IF($A527=AM$496,"",COUNTIF($E$4:$E$492,$A527&amp;" ضد "&amp;AM$496)+COUNTIF($E$4:$E$492,AM$496&amp;" ضد "&amp;$A527))</f>
        <v>2</v>
      </c>
      <c r="AN527" s="4">
        <f>IF($A527=AN$496,"",COUNTIF($E$4:$E$492,$A527&amp;" ضد "&amp;AN$496)+COUNTIF($E$4:$E$492,AN$496&amp;" ضد "&amp;$A527))</f>
        <v>1</v>
      </c>
      <c r="AO527" s="4">
        <f>IF($A527=AO$496,"",COUNTIF($E$4:$E$492,$A527&amp;" ضد "&amp;AO$496)+COUNTIF($E$4:$E$492,AO$496&amp;" ضد "&amp;$A527))</f>
        <v>2</v>
      </c>
      <c r="AP527" s="4">
        <f>IF($A527=AP$496,"",COUNTIF($E$4:$E$492,$A527&amp;" ضد "&amp;AP$496)+COUNTIF($E$4:$E$492,AP$496&amp;" ضد "&amp;$A527))</f>
        <v>1</v>
      </c>
      <c r="AQ527" s="4">
        <f>IF($A527=AQ$496,"",COUNTIF($E$4:$E$492,$A527&amp;" ضد "&amp;AQ$496)+COUNTIF($E$4:$E$492,AQ$496&amp;" ضد "&amp;$A527))</f>
        <v>1</v>
      </c>
      <c r="AR527" s="4">
        <f>IF($A527=AR$496,"",COUNTIF($E$4:$E$492,$A527&amp;" ضد "&amp;AR$496)+COUNTIF($E$4:$E$492,AR$496&amp;" ضد "&amp;$A527))</f>
        <v>0</v>
      </c>
      <c r="AS527" s="4">
        <f>IF($A527=AS$496,"",COUNTIF($E$4:$E$492,$A527&amp;" ضد "&amp;AS$496)+COUNTIF($E$4:$E$492,AS$496&amp;" ضد "&amp;$A527))</f>
        <v>0</v>
      </c>
      <c r="AT527" s="4">
        <f>IF($A527=AT$496,"",COUNTIF($E$4:$E$492,$A527&amp;" ضد "&amp;AT$496)+COUNTIF($E$4:$E$492,AT$496&amp;" ضد "&amp;$A527))</f>
        <v>0</v>
      </c>
      <c r="AU527" s="4">
        <f>IF($A527=AU$496,"",COUNTIF($E$4:$E$492,$A527&amp;" ضد "&amp;AU$496)+COUNTIF($E$4:$E$492,AU$496&amp;" ضد "&amp;$A527))</f>
        <v>0</v>
      </c>
      <c r="AV527" s="4">
        <f>IF($A527=AV$496,"",COUNTIF($E$4:$E$492,$A527&amp;" ضد "&amp;AV$496)+COUNTIF($E$4:$E$492,AV$496&amp;" ضد "&amp;$A527))</f>
        <v>0</v>
      </c>
      <c r="AW527" s="4">
        <f>IF($A527=AW$496,"",COUNTIF($E$4:$E$492,$A527&amp;" ضد "&amp;AW$496)+COUNTIF($E$4:$E$492,AW$496&amp;" ضد "&amp;$A527))</f>
        <v>0</v>
      </c>
      <c r="AX527" s="4">
        <f>IF($A527=AX$496,"",COUNTIF($E$4:$E$492,$A527&amp;" ضد "&amp;AX$496)+COUNTIF($E$4:$E$492,AX$496&amp;" ضد "&amp;$A527))</f>
        <v>0</v>
      </c>
      <c r="AY527" s="4">
        <f>IF($A527=AY$496,"",COUNTIF($E$4:$E$492,$A527&amp;" ضد "&amp;AY$496)+COUNTIF($E$4:$E$492,AY$496&amp;" ضد "&amp;$A527))</f>
        <v>0</v>
      </c>
      <c r="AZ527" s="4">
        <f>IF($A527=AZ$496,"",COUNTIF($E$4:$E$492,$A527&amp;" ضد "&amp;AZ$496)+COUNTIF($E$4:$E$492,AZ$496&amp;" ضد "&amp;$A527))</f>
        <v>0</v>
      </c>
      <c r="BA527" s="4">
        <f>IF($A527=BA$496,"",COUNTIF($E$4:$E$492,$A527&amp;" ضد "&amp;BA$496)+COUNTIF($E$4:$E$492,BA$496&amp;" ضد "&amp;$A527))</f>
        <v>0</v>
      </c>
      <c r="BB527" s="4">
        <f>IF($A527=BB$496,"",COUNTIF($E$4:$E$492,$A527&amp;" ضد "&amp;BB$496)+COUNTIF($E$4:$E$492,BB$496&amp;" ضد "&amp;$A527))</f>
        <v>0</v>
      </c>
      <c r="BC527" s="4">
        <f>IF($A527=BC$496,"",COUNTIF($E$4:$E$492,$A527&amp;" ضد "&amp;BC$496)+COUNTIF($E$4:$E$492,BC$496&amp;" ضد "&amp;$A527))</f>
        <v>0</v>
      </c>
    </row>
    <row r="528" spans="1:55" ht="14.5">
      <c r="A528" s="14">
        <v>32</v>
      </c>
      <c r="B528" s="4">
        <f>IF($A528=B$496,"",COUNTIF($E$4:$E$492,$A528&amp;" ضد "&amp;B$496)+COUNTIF($E$4:$E$492,B$496&amp;" ضد "&amp;$A528))</f>
        <v>0</v>
      </c>
      <c r="C528" s="4">
        <f>IF($A528=C$496,"",COUNTIF($E$4:$E$492,$A528&amp;" ضد "&amp;C$496)+COUNTIF($E$4:$E$492,C$496&amp;" ضد "&amp;$A528))</f>
        <v>0</v>
      </c>
      <c r="D528" s="4">
        <f>IF($A528=D$496,"",COUNTIF($E$4:$E$492,$A528&amp;" ضد "&amp;D$496)+COUNTIF($E$4:$E$492,D$496&amp;" ضد "&amp;$A528))</f>
        <v>0</v>
      </c>
      <c r="E528" s="4">
        <f>IF($A528=E$496,"",COUNTIF($E$4:$E$492,$A528&amp;" ضد "&amp;E$496)+COUNTIF($E$4:$E$492,E$496&amp;" ضد "&amp;$A528))</f>
        <v>0</v>
      </c>
      <c r="F528" s="4">
        <f>IF($A528=F$496,"",COUNTIF($E$4:$E$492,$A528&amp;" ضد "&amp;F$496)+COUNTIF($E$4:$E$492,F$496&amp;" ضد "&amp;$A528))</f>
        <v>0</v>
      </c>
      <c r="G528" s="4">
        <f>IF($A528=G$496,"",COUNTIF($E$4:$E$492,$A528&amp;" ضد "&amp;G$496)+COUNTIF($E$4:$E$492,G$496&amp;" ضد "&amp;$A528))</f>
        <v>0</v>
      </c>
      <c r="H528" s="4">
        <f>IF($A528=H$496,"",COUNTIF($E$4:$E$492,$A528&amp;" ضد "&amp;H$496)+COUNTIF($E$4:$E$492,H$496&amp;" ضد "&amp;$A528))</f>
        <v>0</v>
      </c>
      <c r="I528" s="4">
        <f>IF($A528=I$496,"",COUNTIF($E$4:$E$492,$A528&amp;" ضد "&amp;I$496)+COUNTIF($E$4:$E$492,I$496&amp;" ضد "&amp;$A528))</f>
        <v>0</v>
      </c>
      <c r="J528" s="4">
        <f>IF($A528=J$496,"",COUNTIF($E$4:$E$492,$A528&amp;" ضد "&amp;J$496)+COUNTIF($E$4:$E$492,J$496&amp;" ضد "&amp;$A528))</f>
        <v>0</v>
      </c>
      <c r="K528" s="4">
        <f>IF($A528=K$496,"",COUNTIF($E$4:$E$492,$A528&amp;" ضد "&amp;K$496)+COUNTIF($E$4:$E$492,K$496&amp;" ضد "&amp;$A528))</f>
        <v>0</v>
      </c>
      <c r="L528" s="4">
        <f>IF($A528=L$496,"",COUNTIF($E$4:$E$492,$A528&amp;" ضد "&amp;L$496)+COUNTIF($E$4:$E$492,L$496&amp;" ضد "&amp;$A528))</f>
        <v>0</v>
      </c>
      <c r="M528" s="4">
        <f>IF($A528=M$496,"",COUNTIF($E$4:$E$492,$A528&amp;" ضد "&amp;M$496)+COUNTIF($E$4:$E$492,M$496&amp;" ضد "&amp;$A528))</f>
        <v>0</v>
      </c>
      <c r="N528" s="4">
        <f>IF($A528=N$496,"",COUNTIF($E$4:$E$492,$A528&amp;" ضد "&amp;N$496)+COUNTIF($E$4:$E$492,N$496&amp;" ضد "&amp;$A528))</f>
        <v>0</v>
      </c>
      <c r="O528" s="4">
        <f>IF($A528=O$496,"",COUNTIF($E$4:$E$492,$A528&amp;" ضد "&amp;O$496)+COUNTIF($E$4:$E$492,O$496&amp;" ضد "&amp;$A528))</f>
        <v>0</v>
      </c>
      <c r="P528" s="4">
        <f>IF($A528=P$496,"",COUNTIF($E$4:$E$492,$A528&amp;" ضد "&amp;P$496)+COUNTIF($E$4:$E$492,P$496&amp;" ضد "&amp;$A528))</f>
        <v>0</v>
      </c>
      <c r="Q528" s="4">
        <f>IF($A528=Q$496,"",COUNTIF($E$4:$E$492,$A528&amp;" ضد "&amp;Q$496)+COUNTIF($E$4:$E$492,Q$496&amp;" ضد "&amp;$A528))</f>
        <v>0</v>
      </c>
      <c r="R528" s="4">
        <f>IF($A528=R$496,"",COUNTIF($E$4:$E$492,$A528&amp;" ضد "&amp;R$496)+COUNTIF($E$4:$E$492,R$496&amp;" ضد "&amp;$A528))</f>
        <v>0</v>
      </c>
      <c r="S528" s="4">
        <f>IF($A528=S$496,"",COUNTIF($E$4:$E$492,$A528&amp;" ضد "&amp;S$496)+COUNTIF($E$4:$E$492,S$496&amp;" ضد "&amp;$A528))</f>
        <v>0</v>
      </c>
      <c r="T528" s="4">
        <f>IF($A528=T$496,"",COUNTIF($E$4:$E$492,$A528&amp;" ضد "&amp;T$496)+COUNTIF($E$4:$E$492,T$496&amp;" ضد "&amp;$A528))</f>
        <v>0</v>
      </c>
      <c r="U528" s="4">
        <f>IF($A528=U$496,"",COUNTIF($E$4:$E$492,$A528&amp;" ضد "&amp;U$496)+COUNTIF($E$4:$E$492,U$496&amp;" ضد "&amp;$A528))</f>
        <v>0</v>
      </c>
      <c r="V528" s="4">
        <f>IF($A528=V$496,"",COUNTIF($E$4:$E$492,$A528&amp;" ضد "&amp;V$496)+COUNTIF($E$4:$E$492,V$496&amp;" ضد "&amp;$A528))</f>
        <v>0</v>
      </c>
      <c r="W528" s="4">
        <f>IF($A528=W$496,"",COUNTIF($E$4:$E$492,$A528&amp;" ضد "&amp;W$496)+COUNTIF($E$4:$E$492,W$496&amp;" ضد "&amp;$A528))</f>
        <v>0</v>
      </c>
      <c r="X528" s="4">
        <f>IF($A528=X$496,"",COUNTIF($E$4:$E$492,$A528&amp;" ضد "&amp;X$496)+COUNTIF($E$4:$E$492,X$496&amp;" ضد "&amp;$A528))</f>
        <v>0</v>
      </c>
      <c r="Y528" s="4">
        <f>IF($A528=Y$496,"",COUNTIF($E$4:$E$492,$A528&amp;" ضد "&amp;Y$496)+COUNTIF($E$4:$E$492,Y$496&amp;" ضد "&amp;$A528))</f>
        <v>0</v>
      </c>
      <c r="Z528" s="4">
        <f>IF($A528=Z$496,"",COUNTIF($E$4:$E$492,$A528&amp;" ضد "&amp;Z$496)+COUNTIF($E$4:$E$492,Z$496&amp;" ضد "&amp;$A528))</f>
        <v>0</v>
      </c>
      <c r="AA528" s="4">
        <f>IF($A528=AA$496,"",COUNTIF($E$4:$E$492,$A528&amp;" ضد "&amp;AA$496)+COUNTIF($E$4:$E$492,AA$496&amp;" ضد "&amp;$A528))</f>
        <v>0</v>
      </c>
      <c r="AB528" s="4">
        <f>IF($A528=AB$496,"",COUNTIF($E$4:$E$492,$A528&amp;" ضد "&amp;AB$496)+COUNTIF($E$4:$E$492,AB$496&amp;" ضد "&amp;$A528))</f>
        <v>0</v>
      </c>
      <c r="AC528" s="4">
        <f>IF($A528=AC$496,"",COUNTIF($E$4:$E$492,$A528&amp;" ضد "&amp;AC$496)+COUNTIF($E$4:$E$492,AC$496&amp;" ضد "&amp;$A528))</f>
        <v>0</v>
      </c>
      <c r="AD528" s="4">
        <f>IF($A528=AD$496,"",COUNTIF($E$4:$E$492,$A528&amp;" ضد "&amp;AD$496)+COUNTIF($E$4:$E$492,AD$496&amp;" ضد "&amp;$A528))</f>
        <v>1</v>
      </c>
      <c r="AE528" s="4">
        <f>IF($A528=AE$496,"",COUNTIF($E$4:$E$492,$A528&amp;" ضد "&amp;AE$496)+COUNTIF($E$4:$E$492,AE$496&amp;" ضد "&amp;$A528))</f>
        <v>1</v>
      </c>
      <c r="AF528" s="4">
        <f>IF($A528=AF$496,"",COUNTIF($E$4:$E$492,$A528&amp;" ضد "&amp;AF$496)+COUNTIF($E$4:$E$492,AF$496&amp;" ضد "&amp;$A528))</f>
        <v>2</v>
      </c>
      <c r="AG528" s="4" t="str">
        <f>IF($A528=AG$496,"",COUNTIF($E$4:$E$492,$A528&amp;" ضد "&amp;AG$496)+COUNTIF($E$4:$E$492,AG$496&amp;" ضد "&amp;$A528))</f>
        <v/>
      </c>
      <c r="AH528" s="4">
        <f>IF($A528=AH$496,"",COUNTIF($E$4:$E$492,$A528&amp;" ضد "&amp;AH$496)+COUNTIF($E$4:$E$492,AH$496&amp;" ضد "&amp;$A528))</f>
        <v>2</v>
      </c>
      <c r="AI528" s="4">
        <f>IF($A528=AI$496,"",COUNTIF($E$4:$E$492,$A528&amp;" ضد "&amp;AI$496)+COUNTIF($E$4:$E$492,AI$496&amp;" ضد "&amp;$A528))</f>
        <v>1</v>
      </c>
      <c r="AJ528" s="4">
        <f>IF($A528=AJ$496,"",COUNTIF($E$4:$E$492,$A528&amp;" ضد "&amp;AJ$496)+COUNTIF($E$4:$E$492,AJ$496&amp;" ضد "&amp;$A528))</f>
        <v>2</v>
      </c>
      <c r="AK528" s="4">
        <f>IF($A528=AK$496,"",COUNTIF($E$4:$E$492,$A528&amp;" ضد "&amp;AK$496)+COUNTIF($E$4:$E$492,AK$496&amp;" ضد "&amp;$A528))</f>
        <v>1</v>
      </c>
      <c r="AL528" s="4">
        <f>IF($A528=AL$496,"",COUNTIF($E$4:$E$492,$A528&amp;" ضد "&amp;AL$496)+COUNTIF($E$4:$E$492,AL$496&amp;" ضد "&amp;$A528))</f>
        <v>2</v>
      </c>
      <c r="AM528" s="4">
        <f>IF($A528=AM$496,"",COUNTIF($E$4:$E$492,$A528&amp;" ضد "&amp;AM$496)+COUNTIF($E$4:$E$492,AM$496&amp;" ضد "&amp;$A528))</f>
        <v>1</v>
      </c>
      <c r="AN528" s="4">
        <f>IF($A528=AN$496,"",COUNTIF($E$4:$E$492,$A528&amp;" ضد "&amp;AN$496)+COUNTIF($E$4:$E$492,AN$496&amp;" ضد "&amp;$A528))</f>
        <v>2</v>
      </c>
      <c r="AO528" s="4">
        <f>IF($A528=AO$496,"",COUNTIF($E$4:$E$492,$A528&amp;" ضد "&amp;AO$496)+COUNTIF($E$4:$E$492,AO$496&amp;" ضد "&amp;$A528))</f>
        <v>1</v>
      </c>
      <c r="AP528" s="4">
        <f>IF($A528=AP$496,"",COUNTIF($E$4:$E$492,$A528&amp;" ضد "&amp;AP$496)+COUNTIF($E$4:$E$492,AP$496&amp;" ضد "&amp;$A528))</f>
        <v>1</v>
      </c>
      <c r="AQ528" s="4">
        <f>IF($A528=AQ$496,"",COUNTIF($E$4:$E$492,$A528&amp;" ضد "&amp;AQ$496)+COUNTIF($E$4:$E$492,AQ$496&amp;" ضد "&amp;$A528))</f>
        <v>1</v>
      </c>
      <c r="AR528" s="4">
        <f>IF($A528=AR$496,"",COUNTIF($E$4:$E$492,$A528&amp;" ضد "&amp;AR$496)+COUNTIF($E$4:$E$492,AR$496&amp;" ضد "&amp;$A528))</f>
        <v>0</v>
      </c>
      <c r="AS528" s="4">
        <f>IF($A528=AS$496,"",COUNTIF($E$4:$E$492,$A528&amp;" ضد "&amp;AS$496)+COUNTIF($E$4:$E$492,AS$496&amp;" ضد "&amp;$A528))</f>
        <v>0</v>
      </c>
      <c r="AT528" s="4">
        <f>IF($A528=AT$496,"",COUNTIF($E$4:$E$492,$A528&amp;" ضد "&amp;AT$496)+COUNTIF($E$4:$E$492,AT$496&amp;" ضد "&amp;$A528))</f>
        <v>0</v>
      </c>
      <c r="AU528" s="4">
        <f>IF($A528=AU$496,"",COUNTIF($E$4:$E$492,$A528&amp;" ضد "&amp;AU$496)+COUNTIF($E$4:$E$492,AU$496&amp;" ضد "&amp;$A528))</f>
        <v>0</v>
      </c>
      <c r="AV528" s="4">
        <f>IF($A528=AV$496,"",COUNTIF($E$4:$E$492,$A528&amp;" ضد "&amp;AV$496)+COUNTIF($E$4:$E$492,AV$496&amp;" ضد "&amp;$A528))</f>
        <v>0</v>
      </c>
      <c r="AW528" s="4">
        <f>IF($A528=AW$496,"",COUNTIF($E$4:$E$492,$A528&amp;" ضد "&amp;AW$496)+COUNTIF($E$4:$E$492,AW$496&amp;" ضد "&amp;$A528))</f>
        <v>0</v>
      </c>
      <c r="AX528" s="4">
        <f>IF($A528=AX$496,"",COUNTIF($E$4:$E$492,$A528&amp;" ضد "&amp;AX$496)+COUNTIF($E$4:$E$492,AX$496&amp;" ضد "&amp;$A528))</f>
        <v>0</v>
      </c>
      <c r="AY528" s="4">
        <f>IF($A528=AY$496,"",COUNTIF($E$4:$E$492,$A528&amp;" ضد "&amp;AY$496)+COUNTIF($E$4:$E$492,AY$496&amp;" ضد "&amp;$A528))</f>
        <v>0</v>
      </c>
      <c r="AZ528" s="4">
        <f>IF($A528=AZ$496,"",COUNTIF($E$4:$E$492,$A528&amp;" ضد "&amp;AZ$496)+COUNTIF($E$4:$E$492,AZ$496&amp;" ضد "&amp;$A528))</f>
        <v>0</v>
      </c>
      <c r="BA528" s="4">
        <f>IF($A528=BA$496,"",COUNTIF($E$4:$E$492,$A528&amp;" ضد "&amp;BA$496)+COUNTIF($E$4:$E$492,BA$496&amp;" ضد "&amp;$A528))</f>
        <v>0</v>
      </c>
      <c r="BB528" s="4">
        <f>IF($A528=BB$496,"",COUNTIF($E$4:$E$492,$A528&amp;" ضد "&amp;BB$496)+COUNTIF($E$4:$E$492,BB$496&amp;" ضد "&amp;$A528))</f>
        <v>0</v>
      </c>
      <c r="BC528" s="4">
        <f>IF($A528=BC$496,"",COUNTIF($E$4:$E$492,$A528&amp;" ضد "&amp;BC$496)+COUNTIF($E$4:$E$492,BC$496&amp;" ضد "&amp;$A528))</f>
        <v>0</v>
      </c>
    </row>
    <row r="529" spans="1:55" ht="14.5">
      <c r="A529" s="14">
        <v>33</v>
      </c>
      <c r="B529" s="4">
        <f>IF($A529=B$496,"",COUNTIF($E$4:$E$492,$A529&amp;" ضد "&amp;B$496)+COUNTIF($E$4:$E$492,B$496&amp;" ضد "&amp;$A529))</f>
        <v>0</v>
      </c>
      <c r="C529" s="4">
        <f>IF($A529=C$496,"",COUNTIF($E$4:$E$492,$A529&amp;" ضد "&amp;C$496)+COUNTIF($E$4:$E$492,C$496&amp;" ضد "&amp;$A529))</f>
        <v>0</v>
      </c>
      <c r="D529" s="4">
        <f>IF($A529=D$496,"",COUNTIF($E$4:$E$492,$A529&amp;" ضد "&amp;D$496)+COUNTIF($E$4:$E$492,D$496&amp;" ضد "&amp;$A529))</f>
        <v>0</v>
      </c>
      <c r="E529" s="4">
        <f>IF($A529=E$496,"",COUNTIF($E$4:$E$492,$A529&amp;" ضد "&amp;E$496)+COUNTIF($E$4:$E$492,E$496&amp;" ضد "&amp;$A529))</f>
        <v>0</v>
      </c>
      <c r="F529" s="4">
        <f>IF($A529=F$496,"",COUNTIF($E$4:$E$492,$A529&amp;" ضد "&amp;F$496)+COUNTIF($E$4:$E$492,F$496&amp;" ضد "&amp;$A529))</f>
        <v>0</v>
      </c>
      <c r="G529" s="4">
        <f>IF($A529=G$496,"",COUNTIF($E$4:$E$492,$A529&amp;" ضد "&amp;G$496)+COUNTIF($E$4:$E$492,G$496&amp;" ضد "&amp;$A529))</f>
        <v>0</v>
      </c>
      <c r="H529" s="4">
        <f>IF($A529=H$496,"",COUNTIF($E$4:$E$492,$A529&amp;" ضد "&amp;H$496)+COUNTIF($E$4:$E$492,H$496&amp;" ضد "&amp;$A529))</f>
        <v>0</v>
      </c>
      <c r="I529" s="4">
        <f>IF($A529=I$496,"",COUNTIF($E$4:$E$492,$A529&amp;" ضد "&amp;I$496)+COUNTIF($E$4:$E$492,I$496&amp;" ضد "&amp;$A529))</f>
        <v>0</v>
      </c>
      <c r="J529" s="4">
        <f>IF($A529=J$496,"",COUNTIF($E$4:$E$492,$A529&amp;" ضد "&amp;J$496)+COUNTIF($E$4:$E$492,J$496&amp;" ضد "&amp;$A529))</f>
        <v>0</v>
      </c>
      <c r="K529" s="4">
        <f>IF($A529=K$496,"",COUNTIF($E$4:$E$492,$A529&amp;" ضد "&amp;K$496)+COUNTIF($E$4:$E$492,K$496&amp;" ضد "&amp;$A529))</f>
        <v>0</v>
      </c>
      <c r="L529" s="4">
        <f>IF($A529=L$496,"",COUNTIF($E$4:$E$492,$A529&amp;" ضد "&amp;L$496)+COUNTIF($E$4:$E$492,L$496&amp;" ضد "&amp;$A529))</f>
        <v>0</v>
      </c>
      <c r="M529" s="4">
        <f>IF($A529=M$496,"",COUNTIF($E$4:$E$492,$A529&amp;" ضد "&amp;M$496)+COUNTIF($E$4:$E$492,M$496&amp;" ضد "&amp;$A529))</f>
        <v>0</v>
      </c>
      <c r="N529" s="4">
        <f>IF($A529=N$496,"",COUNTIF($E$4:$E$492,$A529&amp;" ضد "&amp;N$496)+COUNTIF($E$4:$E$492,N$496&amp;" ضد "&amp;$A529))</f>
        <v>0</v>
      </c>
      <c r="O529" s="4">
        <f>IF($A529=O$496,"",COUNTIF($E$4:$E$492,$A529&amp;" ضد "&amp;O$496)+COUNTIF($E$4:$E$492,O$496&amp;" ضد "&amp;$A529))</f>
        <v>0</v>
      </c>
      <c r="P529" s="4">
        <f>IF($A529=P$496,"",COUNTIF($E$4:$E$492,$A529&amp;" ضد "&amp;P$496)+COUNTIF($E$4:$E$492,P$496&amp;" ضد "&amp;$A529))</f>
        <v>0</v>
      </c>
      <c r="Q529" s="4">
        <f>IF($A529=Q$496,"",COUNTIF($E$4:$E$492,$A529&amp;" ضد "&amp;Q$496)+COUNTIF($E$4:$E$492,Q$496&amp;" ضد "&amp;$A529))</f>
        <v>0</v>
      </c>
      <c r="R529" s="4">
        <f>IF($A529=R$496,"",COUNTIF($E$4:$E$492,$A529&amp;" ضد "&amp;R$496)+COUNTIF($E$4:$E$492,R$496&amp;" ضد "&amp;$A529))</f>
        <v>0</v>
      </c>
      <c r="S529" s="4">
        <f>IF($A529=S$496,"",COUNTIF($E$4:$E$492,$A529&amp;" ضد "&amp;S$496)+COUNTIF($E$4:$E$492,S$496&amp;" ضد "&amp;$A529))</f>
        <v>0</v>
      </c>
      <c r="T529" s="4">
        <f>IF($A529=T$496,"",COUNTIF($E$4:$E$492,$A529&amp;" ضد "&amp;T$496)+COUNTIF($E$4:$E$492,T$496&amp;" ضد "&amp;$A529))</f>
        <v>0</v>
      </c>
      <c r="U529" s="4">
        <f>IF($A529=U$496,"",COUNTIF($E$4:$E$492,$A529&amp;" ضد "&amp;U$496)+COUNTIF($E$4:$E$492,U$496&amp;" ضد "&amp;$A529))</f>
        <v>0</v>
      </c>
      <c r="V529" s="4">
        <f>IF($A529=V$496,"",COUNTIF($E$4:$E$492,$A529&amp;" ضد "&amp;V$496)+COUNTIF($E$4:$E$492,V$496&amp;" ضد "&amp;$A529))</f>
        <v>0</v>
      </c>
      <c r="W529" s="4">
        <f>IF($A529=W$496,"",COUNTIF($E$4:$E$492,$A529&amp;" ضد "&amp;W$496)+COUNTIF($E$4:$E$492,W$496&amp;" ضد "&amp;$A529))</f>
        <v>0</v>
      </c>
      <c r="X529" s="4">
        <f>IF($A529=X$496,"",COUNTIF($E$4:$E$492,$A529&amp;" ضد "&amp;X$496)+COUNTIF($E$4:$E$492,X$496&amp;" ضد "&amp;$A529))</f>
        <v>0</v>
      </c>
      <c r="Y529" s="4">
        <f>IF($A529=Y$496,"",COUNTIF($E$4:$E$492,$A529&amp;" ضد "&amp;Y$496)+COUNTIF($E$4:$E$492,Y$496&amp;" ضد "&amp;$A529))</f>
        <v>0</v>
      </c>
      <c r="Z529" s="4">
        <f>IF($A529=Z$496,"",COUNTIF($E$4:$E$492,$A529&amp;" ضد "&amp;Z$496)+COUNTIF($E$4:$E$492,Z$496&amp;" ضد "&amp;$A529))</f>
        <v>0</v>
      </c>
      <c r="AA529" s="4">
        <f>IF($A529=AA$496,"",COUNTIF($E$4:$E$492,$A529&amp;" ضد "&amp;AA$496)+COUNTIF($E$4:$E$492,AA$496&amp;" ضد "&amp;$A529))</f>
        <v>0</v>
      </c>
      <c r="AB529" s="4">
        <f>IF($A529=AB$496,"",COUNTIF($E$4:$E$492,$A529&amp;" ضد "&amp;AB$496)+COUNTIF($E$4:$E$492,AB$496&amp;" ضد "&amp;$A529))</f>
        <v>0</v>
      </c>
      <c r="AC529" s="4">
        <f>IF($A529=AC$496,"",COUNTIF($E$4:$E$492,$A529&amp;" ضد "&amp;AC$496)+COUNTIF($E$4:$E$492,AC$496&amp;" ضد "&amp;$A529))</f>
        <v>0</v>
      </c>
      <c r="AD529" s="4">
        <f>IF($A529=AD$496,"",COUNTIF($E$4:$E$492,$A529&amp;" ضد "&amp;AD$496)+COUNTIF($E$4:$E$492,AD$496&amp;" ضد "&amp;$A529))</f>
        <v>1</v>
      </c>
      <c r="AE529" s="4">
        <f>IF($A529=AE$496,"",COUNTIF($E$4:$E$492,$A529&amp;" ضد "&amp;AE$496)+COUNTIF($E$4:$E$492,AE$496&amp;" ضد "&amp;$A529))</f>
        <v>2</v>
      </c>
      <c r="AF529" s="4">
        <f>IF($A529=AF$496,"",COUNTIF($E$4:$E$492,$A529&amp;" ضد "&amp;AF$496)+COUNTIF($E$4:$E$492,AF$496&amp;" ضد "&amp;$A529))</f>
        <v>1</v>
      </c>
      <c r="AG529" s="4">
        <f>IF($A529=AG$496,"",COUNTIF($E$4:$E$492,$A529&amp;" ضد "&amp;AG$496)+COUNTIF($E$4:$E$492,AG$496&amp;" ضد "&amp;$A529))</f>
        <v>2</v>
      </c>
      <c r="AH529" s="4" t="str">
        <f>IF($A529=AH$496,"",COUNTIF($E$4:$E$492,$A529&amp;" ضد "&amp;AH$496)+COUNTIF($E$4:$E$492,AH$496&amp;" ضد "&amp;$A529))</f>
        <v/>
      </c>
      <c r="AI529" s="4">
        <f>IF($A529=AI$496,"",COUNTIF($E$4:$E$492,$A529&amp;" ضد "&amp;AI$496)+COUNTIF($E$4:$E$492,AI$496&amp;" ضد "&amp;$A529))</f>
        <v>2</v>
      </c>
      <c r="AJ529" s="4">
        <f>IF($A529=AJ$496,"",COUNTIF($E$4:$E$492,$A529&amp;" ضد "&amp;AJ$496)+COUNTIF($E$4:$E$492,AJ$496&amp;" ضد "&amp;$A529))</f>
        <v>1</v>
      </c>
      <c r="AK529" s="4">
        <f>IF($A529=AK$496,"",COUNTIF($E$4:$E$492,$A529&amp;" ضد "&amp;AK$496)+COUNTIF($E$4:$E$492,AK$496&amp;" ضد "&amp;$A529))</f>
        <v>2</v>
      </c>
      <c r="AL529" s="4">
        <f>IF($A529=AL$496,"",COUNTIF($E$4:$E$492,$A529&amp;" ضد "&amp;AL$496)+COUNTIF($E$4:$E$492,AL$496&amp;" ضد "&amp;$A529))</f>
        <v>1</v>
      </c>
      <c r="AM529" s="4">
        <f>IF($A529=AM$496,"",COUNTIF($E$4:$E$492,$A529&amp;" ضد "&amp;AM$496)+COUNTIF($E$4:$E$492,AM$496&amp;" ضد "&amp;$A529))</f>
        <v>2</v>
      </c>
      <c r="AN529" s="4">
        <f>IF($A529=AN$496,"",COUNTIF($E$4:$E$492,$A529&amp;" ضد "&amp;AN$496)+COUNTIF($E$4:$E$492,AN$496&amp;" ضد "&amp;$A529))</f>
        <v>1</v>
      </c>
      <c r="AO529" s="4">
        <f>IF($A529=AO$496,"",COUNTIF($E$4:$E$492,$A529&amp;" ضد "&amp;AO$496)+COUNTIF($E$4:$E$492,AO$496&amp;" ضد "&amp;$A529))</f>
        <v>1</v>
      </c>
      <c r="AP529" s="4">
        <f>IF($A529=AP$496,"",COUNTIF($E$4:$E$492,$A529&amp;" ضد "&amp;AP$496)+COUNTIF($E$4:$E$492,AP$496&amp;" ضد "&amp;$A529))</f>
        <v>1</v>
      </c>
      <c r="AQ529" s="4">
        <f>IF($A529=AQ$496,"",COUNTIF($E$4:$E$492,$A529&amp;" ضد "&amp;AQ$496)+COUNTIF($E$4:$E$492,AQ$496&amp;" ضد "&amp;$A529))</f>
        <v>1</v>
      </c>
      <c r="AR529" s="4">
        <f>IF($A529=AR$496,"",COUNTIF($E$4:$E$492,$A529&amp;" ضد "&amp;AR$496)+COUNTIF($E$4:$E$492,AR$496&amp;" ضد "&amp;$A529))</f>
        <v>0</v>
      </c>
      <c r="AS529" s="4">
        <f>IF($A529=AS$496,"",COUNTIF($E$4:$E$492,$A529&amp;" ضد "&amp;AS$496)+COUNTIF($E$4:$E$492,AS$496&amp;" ضد "&amp;$A529))</f>
        <v>0</v>
      </c>
      <c r="AT529" s="4">
        <f>IF($A529=AT$496,"",COUNTIF($E$4:$E$492,$A529&amp;" ضد "&amp;AT$496)+COUNTIF($E$4:$E$492,AT$496&amp;" ضد "&amp;$A529))</f>
        <v>0</v>
      </c>
      <c r="AU529" s="4">
        <f>IF($A529=AU$496,"",COUNTIF($E$4:$E$492,$A529&amp;" ضد "&amp;AU$496)+COUNTIF($E$4:$E$492,AU$496&amp;" ضد "&amp;$A529))</f>
        <v>0</v>
      </c>
      <c r="AV529" s="4">
        <f>IF($A529=AV$496,"",COUNTIF($E$4:$E$492,$A529&amp;" ضد "&amp;AV$496)+COUNTIF($E$4:$E$492,AV$496&amp;" ضد "&amp;$A529))</f>
        <v>0</v>
      </c>
      <c r="AW529" s="4">
        <f>IF($A529=AW$496,"",COUNTIF($E$4:$E$492,$A529&amp;" ضد "&amp;AW$496)+COUNTIF($E$4:$E$492,AW$496&amp;" ضد "&amp;$A529))</f>
        <v>0</v>
      </c>
      <c r="AX529" s="4">
        <f>IF($A529=AX$496,"",COUNTIF($E$4:$E$492,$A529&amp;" ضد "&amp;AX$496)+COUNTIF($E$4:$E$492,AX$496&amp;" ضد "&amp;$A529))</f>
        <v>0</v>
      </c>
      <c r="AY529" s="4">
        <f>IF($A529=AY$496,"",COUNTIF($E$4:$E$492,$A529&amp;" ضد "&amp;AY$496)+COUNTIF($E$4:$E$492,AY$496&amp;" ضد "&amp;$A529))</f>
        <v>0</v>
      </c>
      <c r="AZ529" s="4">
        <f>IF($A529=AZ$496,"",COUNTIF($E$4:$E$492,$A529&amp;" ضد "&amp;AZ$496)+COUNTIF($E$4:$E$492,AZ$496&amp;" ضد "&amp;$A529))</f>
        <v>0</v>
      </c>
      <c r="BA529" s="4">
        <f>IF($A529=BA$496,"",COUNTIF($E$4:$E$492,$A529&amp;" ضد "&amp;BA$496)+COUNTIF($E$4:$E$492,BA$496&amp;" ضد "&amp;$A529))</f>
        <v>0</v>
      </c>
      <c r="BB529" s="4">
        <f>IF($A529=BB$496,"",COUNTIF($E$4:$E$492,$A529&amp;" ضد "&amp;BB$496)+COUNTIF($E$4:$E$492,BB$496&amp;" ضد "&amp;$A529))</f>
        <v>0</v>
      </c>
      <c r="BC529" s="4">
        <f>IF($A529=BC$496,"",COUNTIF($E$4:$E$492,$A529&amp;" ضد "&amp;BC$496)+COUNTIF($E$4:$E$492,BC$496&amp;" ضد "&amp;$A529))</f>
        <v>0</v>
      </c>
    </row>
    <row r="530" spans="1:55" ht="14.5">
      <c r="A530" s="14">
        <v>34</v>
      </c>
      <c r="B530" s="4">
        <f>IF($A530=B$496,"",COUNTIF($E$4:$E$492,$A530&amp;" ضد "&amp;B$496)+COUNTIF($E$4:$E$492,B$496&amp;" ضد "&amp;$A530))</f>
        <v>0</v>
      </c>
      <c r="C530" s="4">
        <f>IF($A530=C$496,"",COUNTIF($E$4:$E$492,$A530&amp;" ضد "&amp;C$496)+COUNTIF($E$4:$E$492,C$496&amp;" ضد "&amp;$A530))</f>
        <v>0</v>
      </c>
      <c r="D530" s="4">
        <f>IF($A530=D$496,"",COUNTIF($E$4:$E$492,$A530&amp;" ضد "&amp;D$496)+COUNTIF($E$4:$E$492,D$496&amp;" ضد "&amp;$A530))</f>
        <v>0</v>
      </c>
      <c r="E530" s="4">
        <f>IF($A530=E$496,"",COUNTIF($E$4:$E$492,$A530&amp;" ضد "&amp;E$496)+COUNTIF($E$4:$E$492,E$496&amp;" ضد "&amp;$A530))</f>
        <v>0</v>
      </c>
      <c r="F530" s="4">
        <f>IF($A530=F$496,"",COUNTIF($E$4:$E$492,$A530&amp;" ضد "&amp;F$496)+COUNTIF($E$4:$E$492,F$496&amp;" ضد "&amp;$A530))</f>
        <v>0</v>
      </c>
      <c r="G530" s="4">
        <f>IF($A530=G$496,"",COUNTIF($E$4:$E$492,$A530&amp;" ضد "&amp;G$496)+COUNTIF($E$4:$E$492,G$496&amp;" ضد "&amp;$A530))</f>
        <v>0</v>
      </c>
      <c r="H530" s="4">
        <f>IF($A530=H$496,"",COUNTIF($E$4:$E$492,$A530&amp;" ضد "&amp;H$496)+COUNTIF($E$4:$E$492,H$496&amp;" ضد "&amp;$A530))</f>
        <v>0</v>
      </c>
      <c r="I530" s="4">
        <f>IF($A530=I$496,"",COUNTIF($E$4:$E$492,$A530&amp;" ضد "&amp;I$496)+COUNTIF($E$4:$E$492,I$496&amp;" ضد "&amp;$A530))</f>
        <v>0</v>
      </c>
      <c r="J530" s="4">
        <f>IF($A530=J$496,"",COUNTIF($E$4:$E$492,$A530&amp;" ضد "&amp;J$496)+COUNTIF($E$4:$E$492,J$496&amp;" ضد "&amp;$A530))</f>
        <v>0</v>
      </c>
      <c r="K530" s="4">
        <f>IF($A530=K$496,"",COUNTIF($E$4:$E$492,$A530&amp;" ضد "&amp;K$496)+COUNTIF($E$4:$E$492,K$496&amp;" ضد "&amp;$A530))</f>
        <v>0</v>
      </c>
      <c r="L530" s="4">
        <f>IF($A530=L$496,"",COUNTIF($E$4:$E$492,$A530&amp;" ضد "&amp;L$496)+COUNTIF($E$4:$E$492,L$496&amp;" ضد "&amp;$A530))</f>
        <v>0</v>
      </c>
      <c r="M530" s="4">
        <f>IF($A530=M$496,"",COUNTIF($E$4:$E$492,$A530&amp;" ضد "&amp;M$496)+COUNTIF($E$4:$E$492,M$496&amp;" ضد "&amp;$A530))</f>
        <v>0</v>
      </c>
      <c r="N530" s="4">
        <f>IF($A530=N$496,"",COUNTIF($E$4:$E$492,$A530&amp;" ضد "&amp;N$496)+COUNTIF($E$4:$E$492,N$496&amp;" ضد "&amp;$A530))</f>
        <v>0</v>
      </c>
      <c r="O530" s="4">
        <f>IF($A530=O$496,"",COUNTIF($E$4:$E$492,$A530&amp;" ضد "&amp;O$496)+COUNTIF($E$4:$E$492,O$496&amp;" ضد "&amp;$A530))</f>
        <v>0</v>
      </c>
      <c r="P530" s="4">
        <f>IF($A530=P$496,"",COUNTIF($E$4:$E$492,$A530&amp;" ضد "&amp;P$496)+COUNTIF($E$4:$E$492,P$496&amp;" ضد "&amp;$A530))</f>
        <v>0</v>
      </c>
      <c r="Q530" s="4">
        <f>IF($A530=Q$496,"",COUNTIF($E$4:$E$492,$A530&amp;" ضد "&amp;Q$496)+COUNTIF($E$4:$E$492,Q$496&amp;" ضد "&amp;$A530))</f>
        <v>0</v>
      </c>
      <c r="R530" s="4">
        <f>IF($A530=R$496,"",COUNTIF($E$4:$E$492,$A530&amp;" ضد "&amp;R$496)+COUNTIF($E$4:$E$492,R$496&amp;" ضد "&amp;$A530))</f>
        <v>0</v>
      </c>
      <c r="S530" s="4">
        <f>IF($A530=S$496,"",COUNTIF($E$4:$E$492,$A530&amp;" ضد "&amp;S$496)+COUNTIF($E$4:$E$492,S$496&amp;" ضد "&amp;$A530))</f>
        <v>0</v>
      </c>
      <c r="T530" s="4">
        <f>IF($A530=T$496,"",COUNTIF($E$4:$E$492,$A530&amp;" ضد "&amp;T$496)+COUNTIF($E$4:$E$492,T$496&amp;" ضد "&amp;$A530))</f>
        <v>0</v>
      </c>
      <c r="U530" s="4">
        <f>IF($A530=U$496,"",COUNTIF($E$4:$E$492,$A530&amp;" ضد "&amp;U$496)+COUNTIF($E$4:$E$492,U$496&amp;" ضد "&amp;$A530))</f>
        <v>0</v>
      </c>
      <c r="V530" s="4">
        <f>IF($A530=V$496,"",COUNTIF($E$4:$E$492,$A530&amp;" ضد "&amp;V$496)+COUNTIF($E$4:$E$492,V$496&amp;" ضد "&amp;$A530))</f>
        <v>0</v>
      </c>
      <c r="W530" s="4">
        <f>IF($A530=W$496,"",COUNTIF($E$4:$E$492,$A530&amp;" ضد "&amp;W$496)+COUNTIF($E$4:$E$492,W$496&amp;" ضد "&amp;$A530))</f>
        <v>0</v>
      </c>
      <c r="X530" s="4">
        <f>IF($A530=X$496,"",COUNTIF($E$4:$E$492,$A530&amp;" ضد "&amp;X$496)+COUNTIF($E$4:$E$492,X$496&amp;" ضد "&amp;$A530))</f>
        <v>0</v>
      </c>
      <c r="Y530" s="4">
        <f>IF($A530=Y$496,"",COUNTIF($E$4:$E$492,$A530&amp;" ضد "&amp;Y$496)+COUNTIF($E$4:$E$492,Y$496&amp;" ضد "&amp;$A530))</f>
        <v>0</v>
      </c>
      <c r="Z530" s="4">
        <f>IF($A530=Z$496,"",COUNTIF($E$4:$E$492,$A530&amp;" ضد "&amp;Z$496)+COUNTIF($E$4:$E$492,Z$496&amp;" ضد "&amp;$A530))</f>
        <v>0</v>
      </c>
      <c r="AA530" s="4">
        <f>IF($A530=AA$496,"",COUNTIF($E$4:$E$492,$A530&amp;" ضد "&amp;AA$496)+COUNTIF($E$4:$E$492,AA$496&amp;" ضد "&amp;$A530))</f>
        <v>0</v>
      </c>
      <c r="AB530" s="4">
        <f>IF($A530=AB$496,"",COUNTIF($E$4:$E$492,$A530&amp;" ضد "&amp;AB$496)+COUNTIF($E$4:$E$492,AB$496&amp;" ضد "&amp;$A530))</f>
        <v>0</v>
      </c>
      <c r="AC530" s="4">
        <f>IF($A530=AC$496,"",COUNTIF($E$4:$E$492,$A530&amp;" ضد "&amp;AC$496)+COUNTIF($E$4:$E$492,AC$496&amp;" ضد "&amp;$A530))</f>
        <v>0</v>
      </c>
      <c r="AD530" s="4">
        <f>IF($A530=AD$496,"",COUNTIF($E$4:$E$492,$A530&amp;" ضد "&amp;AD$496)+COUNTIF($E$4:$E$492,AD$496&amp;" ضد "&amp;$A530))</f>
        <v>1</v>
      </c>
      <c r="AE530" s="4">
        <f>IF($A530=AE$496,"",COUNTIF($E$4:$E$492,$A530&amp;" ضد "&amp;AE$496)+COUNTIF($E$4:$E$492,AE$496&amp;" ضد "&amp;$A530))</f>
        <v>1</v>
      </c>
      <c r="AF530" s="4">
        <f>IF($A530=AF$496,"",COUNTIF($E$4:$E$492,$A530&amp;" ضد "&amp;AF$496)+COUNTIF($E$4:$E$492,AF$496&amp;" ضد "&amp;$A530))</f>
        <v>2</v>
      </c>
      <c r="AG530" s="4">
        <f>IF($A530=AG$496,"",COUNTIF($E$4:$E$492,$A530&amp;" ضد "&amp;AG$496)+COUNTIF($E$4:$E$492,AG$496&amp;" ضد "&amp;$A530))</f>
        <v>1</v>
      </c>
      <c r="AH530" s="4">
        <f>IF($A530=AH$496,"",COUNTIF($E$4:$E$492,$A530&amp;" ضد "&amp;AH$496)+COUNTIF($E$4:$E$492,AH$496&amp;" ضد "&amp;$A530))</f>
        <v>2</v>
      </c>
      <c r="AI530" s="4" t="str">
        <f>IF($A530=AI$496,"",COUNTIF($E$4:$E$492,$A530&amp;" ضد "&amp;AI$496)+COUNTIF($E$4:$E$492,AI$496&amp;" ضد "&amp;$A530))</f>
        <v/>
      </c>
      <c r="AJ530" s="4">
        <f>IF($A530=AJ$496,"",COUNTIF($E$4:$E$492,$A530&amp;" ضد "&amp;AJ$496)+COUNTIF($E$4:$E$492,AJ$496&amp;" ضد "&amp;$A530))</f>
        <v>2</v>
      </c>
      <c r="AK530" s="4">
        <f>IF($A530=AK$496,"",COUNTIF($E$4:$E$492,$A530&amp;" ضد "&amp;AK$496)+COUNTIF($E$4:$E$492,AK$496&amp;" ضد "&amp;$A530))</f>
        <v>1</v>
      </c>
      <c r="AL530" s="4">
        <f>IF($A530=AL$496,"",COUNTIF($E$4:$E$492,$A530&amp;" ضد "&amp;AL$496)+COUNTIF($E$4:$E$492,AL$496&amp;" ضد "&amp;$A530))</f>
        <v>2</v>
      </c>
      <c r="AM530" s="4">
        <f>IF($A530=AM$496,"",COUNTIF($E$4:$E$492,$A530&amp;" ضد "&amp;AM$496)+COUNTIF($E$4:$E$492,AM$496&amp;" ضد "&amp;$A530))</f>
        <v>1</v>
      </c>
      <c r="AN530" s="4">
        <f>IF($A530=AN$496,"",COUNTIF($E$4:$E$492,$A530&amp;" ضد "&amp;AN$496)+COUNTIF($E$4:$E$492,AN$496&amp;" ضد "&amp;$A530))</f>
        <v>1</v>
      </c>
      <c r="AO530" s="4">
        <f>IF($A530=AO$496,"",COUNTIF($E$4:$E$492,$A530&amp;" ضد "&amp;AO$496)+COUNTIF($E$4:$E$492,AO$496&amp;" ضد "&amp;$A530))</f>
        <v>1</v>
      </c>
      <c r="AP530" s="4">
        <f>IF($A530=AP$496,"",COUNTIF($E$4:$E$492,$A530&amp;" ضد "&amp;AP$496)+COUNTIF($E$4:$E$492,AP$496&amp;" ضد "&amp;$A530))</f>
        <v>1</v>
      </c>
      <c r="AQ530" s="4">
        <f>IF($A530=AQ$496,"",COUNTIF($E$4:$E$492,$A530&amp;" ضد "&amp;AQ$496)+COUNTIF($E$4:$E$492,AQ$496&amp;" ضد "&amp;$A530))</f>
        <v>2</v>
      </c>
      <c r="AR530" s="4">
        <f>IF($A530=AR$496,"",COUNTIF($E$4:$E$492,$A530&amp;" ضد "&amp;AR$496)+COUNTIF($E$4:$E$492,AR$496&amp;" ضد "&amp;$A530))</f>
        <v>0</v>
      </c>
      <c r="AS530" s="4">
        <f>IF($A530=AS$496,"",COUNTIF($E$4:$E$492,$A530&amp;" ضد "&amp;AS$496)+COUNTIF($E$4:$E$492,AS$496&amp;" ضد "&amp;$A530))</f>
        <v>0</v>
      </c>
      <c r="AT530" s="4">
        <f>IF($A530=AT$496,"",COUNTIF($E$4:$E$492,$A530&amp;" ضد "&amp;AT$496)+COUNTIF($E$4:$E$492,AT$496&amp;" ضد "&amp;$A530))</f>
        <v>0</v>
      </c>
      <c r="AU530" s="4">
        <f>IF($A530=AU$496,"",COUNTIF($E$4:$E$492,$A530&amp;" ضد "&amp;AU$496)+COUNTIF($E$4:$E$492,AU$496&amp;" ضد "&amp;$A530))</f>
        <v>0</v>
      </c>
      <c r="AV530" s="4">
        <f>IF($A530=AV$496,"",COUNTIF($E$4:$E$492,$A530&amp;" ضد "&amp;AV$496)+COUNTIF($E$4:$E$492,AV$496&amp;" ضد "&amp;$A530))</f>
        <v>0</v>
      </c>
      <c r="AW530" s="4">
        <f>IF($A530=AW$496,"",COUNTIF($E$4:$E$492,$A530&amp;" ضد "&amp;AW$496)+COUNTIF($E$4:$E$492,AW$496&amp;" ضد "&amp;$A530))</f>
        <v>0</v>
      </c>
      <c r="AX530" s="4">
        <f>IF($A530=AX$496,"",COUNTIF($E$4:$E$492,$A530&amp;" ضد "&amp;AX$496)+COUNTIF($E$4:$E$492,AX$496&amp;" ضد "&amp;$A530))</f>
        <v>0</v>
      </c>
      <c r="AY530" s="4">
        <f>IF($A530=AY$496,"",COUNTIF($E$4:$E$492,$A530&amp;" ضد "&amp;AY$496)+COUNTIF($E$4:$E$492,AY$496&amp;" ضد "&amp;$A530))</f>
        <v>0</v>
      </c>
      <c r="AZ530" s="4">
        <f>IF($A530=AZ$496,"",COUNTIF($E$4:$E$492,$A530&amp;" ضد "&amp;AZ$496)+COUNTIF($E$4:$E$492,AZ$496&amp;" ضد "&amp;$A530))</f>
        <v>0</v>
      </c>
      <c r="BA530" s="4">
        <f>IF($A530=BA$496,"",COUNTIF($E$4:$E$492,$A530&amp;" ضد "&amp;BA$496)+COUNTIF($E$4:$E$492,BA$496&amp;" ضد "&amp;$A530))</f>
        <v>0</v>
      </c>
      <c r="BB530" s="4">
        <f>IF($A530=BB$496,"",COUNTIF($E$4:$E$492,$A530&amp;" ضد "&amp;BB$496)+COUNTIF($E$4:$E$492,BB$496&amp;" ضد "&amp;$A530))</f>
        <v>0</v>
      </c>
      <c r="BC530" s="4">
        <f>IF($A530=BC$496,"",COUNTIF($E$4:$E$492,$A530&amp;" ضد "&amp;BC$496)+COUNTIF($E$4:$E$492,BC$496&amp;" ضد "&amp;$A530))</f>
        <v>0</v>
      </c>
    </row>
    <row r="531" spans="1:55" ht="14.5">
      <c r="A531" s="14">
        <v>35</v>
      </c>
      <c r="B531" s="4">
        <f>IF($A531=B$496,"",COUNTIF($E$4:$E$492,$A531&amp;" ضد "&amp;B$496)+COUNTIF($E$4:$E$492,B$496&amp;" ضد "&amp;$A531))</f>
        <v>0</v>
      </c>
      <c r="C531" s="4">
        <f>IF($A531=C$496,"",COUNTIF($E$4:$E$492,$A531&amp;" ضد "&amp;C$496)+COUNTIF($E$4:$E$492,C$496&amp;" ضد "&amp;$A531))</f>
        <v>0</v>
      </c>
      <c r="D531" s="4">
        <f>IF($A531=D$496,"",COUNTIF($E$4:$E$492,$A531&amp;" ضد "&amp;D$496)+COUNTIF($E$4:$E$492,D$496&amp;" ضد "&amp;$A531))</f>
        <v>0</v>
      </c>
      <c r="E531" s="4">
        <f>IF($A531=E$496,"",COUNTIF($E$4:$E$492,$A531&amp;" ضد "&amp;E$496)+COUNTIF($E$4:$E$492,E$496&amp;" ضد "&amp;$A531))</f>
        <v>0</v>
      </c>
      <c r="F531" s="4">
        <f>IF($A531=F$496,"",COUNTIF($E$4:$E$492,$A531&amp;" ضد "&amp;F$496)+COUNTIF($E$4:$E$492,F$496&amp;" ضد "&amp;$A531))</f>
        <v>0</v>
      </c>
      <c r="G531" s="4">
        <f>IF($A531=G$496,"",COUNTIF($E$4:$E$492,$A531&amp;" ضد "&amp;G$496)+COUNTIF($E$4:$E$492,G$496&amp;" ضد "&amp;$A531))</f>
        <v>0</v>
      </c>
      <c r="H531" s="4">
        <f>IF($A531=H$496,"",COUNTIF($E$4:$E$492,$A531&amp;" ضد "&amp;H$496)+COUNTIF($E$4:$E$492,H$496&amp;" ضد "&amp;$A531))</f>
        <v>0</v>
      </c>
      <c r="I531" s="4">
        <f>IF($A531=I$496,"",COUNTIF($E$4:$E$492,$A531&amp;" ضد "&amp;I$496)+COUNTIF($E$4:$E$492,I$496&amp;" ضد "&amp;$A531))</f>
        <v>0</v>
      </c>
      <c r="J531" s="4">
        <f>IF($A531=J$496,"",COUNTIF($E$4:$E$492,$A531&amp;" ضد "&amp;J$496)+COUNTIF($E$4:$E$492,J$496&amp;" ضد "&amp;$A531))</f>
        <v>0</v>
      </c>
      <c r="K531" s="4">
        <f>IF($A531=K$496,"",COUNTIF($E$4:$E$492,$A531&amp;" ضد "&amp;K$496)+COUNTIF($E$4:$E$492,K$496&amp;" ضد "&amp;$A531))</f>
        <v>0</v>
      </c>
      <c r="L531" s="4">
        <f>IF($A531=L$496,"",COUNTIF($E$4:$E$492,$A531&amp;" ضد "&amp;L$496)+COUNTIF($E$4:$E$492,L$496&amp;" ضد "&amp;$A531))</f>
        <v>0</v>
      </c>
      <c r="M531" s="4">
        <f>IF($A531=M$496,"",COUNTIF($E$4:$E$492,$A531&amp;" ضد "&amp;M$496)+COUNTIF($E$4:$E$492,M$496&amp;" ضد "&amp;$A531))</f>
        <v>0</v>
      </c>
      <c r="N531" s="4">
        <f>IF($A531=N$496,"",COUNTIF($E$4:$E$492,$A531&amp;" ضد "&amp;N$496)+COUNTIF($E$4:$E$492,N$496&amp;" ضد "&amp;$A531))</f>
        <v>0</v>
      </c>
      <c r="O531" s="4">
        <f>IF($A531=O$496,"",COUNTIF($E$4:$E$492,$A531&amp;" ضد "&amp;O$496)+COUNTIF($E$4:$E$492,O$496&amp;" ضد "&amp;$A531))</f>
        <v>0</v>
      </c>
      <c r="P531" s="4">
        <f>IF($A531=P$496,"",COUNTIF($E$4:$E$492,$A531&amp;" ضد "&amp;P$496)+COUNTIF($E$4:$E$492,P$496&amp;" ضد "&amp;$A531))</f>
        <v>0</v>
      </c>
      <c r="Q531" s="4">
        <f>IF($A531=Q$496,"",COUNTIF($E$4:$E$492,$A531&amp;" ضد "&amp;Q$496)+COUNTIF($E$4:$E$492,Q$496&amp;" ضد "&amp;$A531))</f>
        <v>0</v>
      </c>
      <c r="R531" s="4">
        <f>IF($A531=R$496,"",COUNTIF($E$4:$E$492,$A531&amp;" ضد "&amp;R$496)+COUNTIF($E$4:$E$492,R$496&amp;" ضد "&amp;$A531))</f>
        <v>0</v>
      </c>
      <c r="S531" s="4">
        <f>IF($A531=S$496,"",COUNTIF($E$4:$E$492,$A531&amp;" ضد "&amp;S$496)+COUNTIF($E$4:$E$492,S$496&amp;" ضد "&amp;$A531))</f>
        <v>0</v>
      </c>
      <c r="T531" s="4">
        <f>IF($A531=T$496,"",COUNTIF($E$4:$E$492,$A531&amp;" ضد "&amp;T$496)+COUNTIF($E$4:$E$492,T$496&amp;" ضد "&amp;$A531))</f>
        <v>0</v>
      </c>
      <c r="U531" s="4">
        <f>IF($A531=U$496,"",COUNTIF($E$4:$E$492,$A531&amp;" ضد "&amp;U$496)+COUNTIF($E$4:$E$492,U$496&amp;" ضد "&amp;$A531))</f>
        <v>0</v>
      </c>
      <c r="V531" s="4">
        <f>IF($A531=V$496,"",COUNTIF($E$4:$E$492,$A531&amp;" ضد "&amp;V$496)+COUNTIF($E$4:$E$492,V$496&amp;" ضد "&amp;$A531))</f>
        <v>0</v>
      </c>
      <c r="W531" s="4">
        <f>IF($A531=W$496,"",COUNTIF($E$4:$E$492,$A531&amp;" ضد "&amp;W$496)+COUNTIF($E$4:$E$492,W$496&amp;" ضد "&amp;$A531))</f>
        <v>0</v>
      </c>
      <c r="X531" s="4">
        <f>IF($A531=X$496,"",COUNTIF($E$4:$E$492,$A531&amp;" ضد "&amp;X$496)+COUNTIF($E$4:$E$492,X$496&amp;" ضد "&amp;$A531))</f>
        <v>0</v>
      </c>
      <c r="Y531" s="4">
        <f>IF($A531=Y$496,"",COUNTIF($E$4:$E$492,$A531&amp;" ضد "&amp;Y$496)+COUNTIF($E$4:$E$492,Y$496&amp;" ضد "&amp;$A531))</f>
        <v>0</v>
      </c>
      <c r="Z531" s="4">
        <f>IF($A531=Z$496,"",COUNTIF($E$4:$E$492,$A531&amp;" ضد "&amp;Z$496)+COUNTIF($E$4:$E$492,Z$496&amp;" ضد "&amp;$A531))</f>
        <v>0</v>
      </c>
      <c r="AA531" s="4">
        <f>IF($A531=AA$496,"",COUNTIF($E$4:$E$492,$A531&amp;" ضد "&amp;AA$496)+COUNTIF($E$4:$E$492,AA$496&amp;" ضد "&amp;$A531))</f>
        <v>0</v>
      </c>
      <c r="AB531" s="4">
        <f>IF($A531=AB$496,"",COUNTIF($E$4:$E$492,$A531&amp;" ضد "&amp;AB$496)+COUNTIF($E$4:$E$492,AB$496&amp;" ضد "&amp;$A531))</f>
        <v>0</v>
      </c>
      <c r="AC531" s="4">
        <f>IF($A531=AC$496,"",COUNTIF($E$4:$E$492,$A531&amp;" ضد "&amp;AC$496)+COUNTIF($E$4:$E$492,AC$496&amp;" ضد "&amp;$A531))</f>
        <v>0</v>
      </c>
      <c r="AD531" s="4">
        <f>IF($A531=AD$496,"",COUNTIF($E$4:$E$492,$A531&amp;" ضد "&amp;AD$496)+COUNTIF($E$4:$E$492,AD$496&amp;" ضد "&amp;$A531))</f>
        <v>1</v>
      </c>
      <c r="AE531" s="4">
        <f>IF($A531=AE$496,"",COUNTIF($E$4:$E$492,$A531&amp;" ضد "&amp;AE$496)+COUNTIF($E$4:$E$492,AE$496&amp;" ضد "&amp;$A531))</f>
        <v>2</v>
      </c>
      <c r="AF531" s="4">
        <f>IF($A531=AF$496,"",COUNTIF($E$4:$E$492,$A531&amp;" ضد "&amp;AF$496)+COUNTIF($E$4:$E$492,AF$496&amp;" ضد "&amp;$A531))</f>
        <v>1</v>
      </c>
      <c r="AG531" s="4">
        <f>IF($A531=AG$496,"",COUNTIF($E$4:$E$492,$A531&amp;" ضد "&amp;AG$496)+COUNTIF($E$4:$E$492,AG$496&amp;" ضد "&amp;$A531))</f>
        <v>2</v>
      </c>
      <c r="AH531" s="4">
        <f>IF($A531=AH$496,"",COUNTIF($E$4:$E$492,$A531&amp;" ضد "&amp;AH$496)+COUNTIF($E$4:$E$492,AH$496&amp;" ضد "&amp;$A531))</f>
        <v>1</v>
      </c>
      <c r="AI531" s="4">
        <f>IF($A531=AI$496,"",COUNTIF($E$4:$E$492,$A531&amp;" ضد "&amp;AI$496)+COUNTIF($E$4:$E$492,AI$496&amp;" ضد "&amp;$A531))</f>
        <v>2</v>
      </c>
      <c r="AJ531" s="4" t="str">
        <f>IF($A531=AJ$496,"",COUNTIF($E$4:$E$492,$A531&amp;" ضد "&amp;AJ$496)+COUNTIF($E$4:$E$492,AJ$496&amp;" ضد "&amp;$A531))</f>
        <v/>
      </c>
      <c r="AK531" s="4">
        <f>IF($A531=AK$496,"",COUNTIF($E$4:$E$492,$A531&amp;" ضد "&amp;AK$496)+COUNTIF($E$4:$E$492,AK$496&amp;" ضد "&amp;$A531))</f>
        <v>2</v>
      </c>
      <c r="AL531" s="4">
        <f>IF($A531=AL$496,"",COUNTIF($E$4:$E$492,$A531&amp;" ضد "&amp;AL$496)+COUNTIF($E$4:$E$492,AL$496&amp;" ضد "&amp;$A531))</f>
        <v>1</v>
      </c>
      <c r="AM531" s="4">
        <f>IF($A531=AM$496,"",COUNTIF($E$4:$E$492,$A531&amp;" ضد "&amp;AM$496)+COUNTIF($E$4:$E$492,AM$496&amp;" ضد "&amp;$A531))</f>
        <v>1</v>
      </c>
      <c r="AN531" s="4">
        <f>IF($A531=AN$496,"",COUNTIF($E$4:$E$492,$A531&amp;" ضد "&amp;AN$496)+COUNTIF($E$4:$E$492,AN$496&amp;" ضد "&amp;$A531))</f>
        <v>1</v>
      </c>
      <c r="AO531" s="4">
        <f>IF($A531=AO$496,"",COUNTIF($E$4:$E$492,$A531&amp;" ضد "&amp;AO$496)+COUNTIF($E$4:$E$492,AO$496&amp;" ضد "&amp;$A531))</f>
        <v>1</v>
      </c>
      <c r="AP531" s="4">
        <f>IF($A531=AP$496,"",COUNTIF($E$4:$E$492,$A531&amp;" ضد "&amp;AP$496)+COUNTIF($E$4:$E$492,AP$496&amp;" ضد "&amp;$A531))</f>
        <v>2</v>
      </c>
      <c r="AQ531" s="4">
        <f>IF($A531=AQ$496,"",COUNTIF($E$4:$E$492,$A531&amp;" ضد "&amp;AQ$496)+COUNTIF($E$4:$E$492,AQ$496&amp;" ضد "&amp;$A531))</f>
        <v>1</v>
      </c>
      <c r="AR531" s="4">
        <f>IF($A531=AR$496,"",COUNTIF($E$4:$E$492,$A531&amp;" ضد "&amp;AR$496)+COUNTIF($E$4:$E$492,AR$496&amp;" ضد "&amp;$A531))</f>
        <v>0</v>
      </c>
      <c r="AS531" s="4">
        <f>IF($A531=AS$496,"",COUNTIF($E$4:$E$492,$A531&amp;" ضد "&amp;AS$496)+COUNTIF($E$4:$E$492,AS$496&amp;" ضد "&amp;$A531))</f>
        <v>0</v>
      </c>
      <c r="AT531" s="4">
        <f>IF($A531=AT$496,"",COUNTIF($E$4:$E$492,$A531&amp;" ضد "&amp;AT$496)+COUNTIF($E$4:$E$492,AT$496&amp;" ضد "&amp;$A531))</f>
        <v>0</v>
      </c>
      <c r="AU531" s="4">
        <f>IF($A531=AU$496,"",COUNTIF($E$4:$E$492,$A531&amp;" ضد "&amp;AU$496)+COUNTIF($E$4:$E$492,AU$496&amp;" ضد "&amp;$A531))</f>
        <v>0</v>
      </c>
      <c r="AV531" s="4">
        <f>IF($A531=AV$496,"",COUNTIF($E$4:$E$492,$A531&amp;" ضد "&amp;AV$496)+COUNTIF($E$4:$E$492,AV$496&amp;" ضد "&amp;$A531))</f>
        <v>0</v>
      </c>
      <c r="AW531" s="4">
        <f>IF($A531=AW$496,"",COUNTIF($E$4:$E$492,$A531&amp;" ضد "&amp;AW$496)+COUNTIF($E$4:$E$492,AW$496&amp;" ضد "&amp;$A531))</f>
        <v>0</v>
      </c>
      <c r="AX531" s="4">
        <f>IF($A531=AX$496,"",COUNTIF($E$4:$E$492,$A531&amp;" ضد "&amp;AX$496)+COUNTIF($E$4:$E$492,AX$496&amp;" ضد "&amp;$A531))</f>
        <v>0</v>
      </c>
      <c r="AY531" s="4">
        <f>IF($A531=AY$496,"",COUNTIF($E$4:$E$492,$A531&amp;" ضد "&amp;AY$496)+COUNTIF($E$4:$E$492,AY$496&amp;" ضد "&amp;$A531))</f>
        <v>0</v>
      </c>
      <c r="AZ531" s="4">
        <f>IF($A531=AZ$496,"",COUNTIF($E$4:$E$492,$A531&amp;" ضد "&amp;AZ$496)+COUNTIF($E$4:$E$492,AZ$496&amp;" ضد "&amp;$A531))</f>
        <v>0</v>
      </c>
      <c r="BA531" s="4">
        <f>IF($A531=BA$496,"",COUNTIF($E$4:$E$492,$A531&amp;" ضد "&amp;BA$496)+COUNTIF($E$4:$E$492,BA$496&amp;" ضد "&amp;$A531))</f>
        <v>0</v>
      </c>
      <c r="BB531" s="4">
        <f>IF($A531=BB$496,"",COUNTIF($E$4:$E$492,$A531&amp;" ضد "&amp;BB$496)+COUNTIF($E$4:$E$492,BB$496&amp;" ضد "&amp;$A531))</f>
        <v>0</v>
      </c>
      <c r="BC531" s="4">
        <f>IF($A531=BC$496,"",COUNTIF($E$4:$E$492,$A531&amp;" ضد "&amp;BC$496)+COUNTIF($E$4:$E$492,BC$496&amp;" ضد "&amp;$A531))</f>
        <v>0</v>
      </c>
    </row>
    <row r="532" spans="1:55" ht="14.5">
      <c r="A532" s="14">
        <v>36</v>
      </c>
      <c r="B532" s="4">
        <f>IF($A532=B$496,"",COUNTIF($E$4:$E$492,$A532&amp;" ضد "&amp;B$496)+COUNTIF($E$4:$E$492,B$496&amp;" ضد "&amp;$A532))</f>
        <v>0</v>
      </c>
      <c r="C532" s="4">
        <f>IF($A532=C$496,"",COUNTIF($E$4:$E$492,$A532&amp;" ضد "&amp;C$496)+COUNTIF($E$4:$E$492,C$496&amp;" ضد "&amp;$A532))</f>
        <v>0</v>
      </c>
      <c r="D532" s="4">
        <f>IF($A532=D$496,"",COUNTIF($E$4:$E$492,$A532&amp;" ضد "&amp;D$496)+COUNTIF($E$4:$E$492,D$496&amp;" ضد "&amp;$A532))</f>
        <v>0</v>
      </c>
      <c r="E532" s="4">
        <f>IF($A532=E$496,"",COUNTIF($E$4:$E$492,$A532&amp;" ضد "&amp;E$496)+COUNTIF($E$4:$E$492,E$496&amp;" ضد "&amp;$A532))</f>
        <v>0</v>
      </c>
      <c r="F532" s="4">
        <f>IF($A532=F$496,"",COUNTIF($E$4:$E$492,$A532&amp;" ضد "&amp;F$496)+COUNTIF($E$4:$E$492,F$496&amp;" ضد "&amp;$A532))</f>
        <v>0</v>
      </c>
      <c r="G532" s="4">
        <f>IF($A532=G$496,"",COUNTIF($E$4:$E$492,$A532&amp;" ضد "&amp;G$496)+COUNTIF($E$4:$E$492,G$496&amp;" ضد "&amp;$A532))</f>
        <v>0</v>
      </c>
      <c r="H532" s="4">
        <f>IF($A532=H$496,"",COUNTIF($E$4:$E$492,$A532&amp;" ضد "&amp;H$496)+COUNTIF($E$4:$E$492,H$496&amp;" ضد "&amp;$A532))</f>
        <v>0</v>
      </c>
      <c r="I532" s="4">
        <f>IF($A532=I$496,"",COUNTIF($E$4:$E$492,$A532&amp;" ضد "&amp;I$496)+COUNTIF($E$4:$E$492,I$496&amp;" ضد "&amp;$A532))</f>
        <v>0</v>
      </c>
      <c r="J532" s="4">
        <f>IF($A532=J$496,"",COUNTIF($E$4:$E$492,$A532&amp;" ضد "&amp;J$496)+COUNTIF($E$4:$E$492,J$496&amp;" ضد "&amp;$A532))</f>
        <v>0</v>
      </c>
      <c r="K532" s="4">
        <f>IF($A532=K$496,"",COUNTIF($E$4:$E$492,$A532&amp;" ضد "&amp;K$496)+COUNTIF($E$4:$E$492,K$496&amp;" ضد "&amp;$A532))</f>
        <v>0</v>
      </c>
      <c r="L532" s="4">
        <f>IF($A532=L$496,"",COUNTIF($E$4:$E$492,$A532&amp;" ضد "&amp;L$496)+COUNTIF($E$4:$E$492,L$496&amp;" ضد "&amp;$A532))</f>
        <v>0</v>
      </c>
      <c r="M532" s="4">
        <f>IF($A532=M$496,"",COUNTIF($E$4:$E$492,$A532&amp;" ضد "&amp;M$496)+COUNTIF($E$4:$E$492,M$496&amp;" ضد "&amp;$A532))</f>
        <v>0</v>
      </c>
      <c r="N532" s="4">
        <f>IF($A532=N$496,"",COUNTIF($E$4:$E$492,$A532&amp;" ضد "&amp;N$496)+COUNTIF($E$4:$E$492,N$496&amp;" ضد "&amp;$A532))</f>
        <v>0</v>
      </c>
      <c r="O532" s="4">
        <f>IF($A532=O$496,"",COUNTIF($E$4:$E$492,$A532&amp;" ضد "&amp;O$496)+COUNTIF($E$4:$E$492,O$496&amp;" ضد "&amp;$A532))</f>
        <v>0</v>
      </c>
      <c r="P532" s="4">
        <f>IF($A532=P$496,"",COUNTIF($E$4:$E$492,$A532&amp;" ضد "&amp;P$496)+COUNTIF($E$4:$E$492,P$496&amp;" ضد "&amp;$A532))</f>
        <v>0</v>
      </c>
      <c r="Q532" s="4">
        <f>IF($A532=Q$496,"",COUNTIF($E$4:$E$492,$A532&amp;" ضد "&amp;Q$496)+COUNTIF($E$4:$E$492,Q$496&amp;" ضد "&amp;$A532))</f>
        <v>0</v>
      </c>
      <c r="R532" s="4">
        <f>IF($A532=R$496,"",COUNTIF($E$4:$E$492,$A532&amp;" ضد "&amp;R$496)+COUNTIF($E$4:$E$492,R$496&amp;" ضد "&amp;$A532))</f>
        <v>0</v>
      </c>
      <c r="S532" s="4">
        <f>IF($A532=S$496,"",COUNTIF($E$4:$E$492,$A532&amp;" ضد "&amp;S$496)+COUNTIF($E$4:$E$492,S$496&amp;" ضد "&amp;$A532))</f>
        <v>0</v>
      </c>
      <c r="T532" s="4">
        <f>IF($A532=T$496,"",COUNTIF($E$4:$E$492,$A532&amp;" ضد "&amp;T$496)+COUNTIF($E$4:$E$492,T$496&amp;" ضد "&amp;$A532))</f>
        <v>0</v>
      </c>
      <c r="U532" s="4">
        <f>IF($A532=U$496,"",COUNTIF($E$4:$E$492,$A532&amp;" ضد "&amp;U$496)+COUNTIF($E$4:$E$492,U$496&amp;" ضد "&amp;$A532))</f>
        <v>0</v>
      </c>
      <c r="V532" s="4">
        <f>IF($A532=V$496,"",COUNTIF($E$4:$E$492,$A532&amp;" ضد "&amp;V$496)+COUNTIF($E$4:$E$492,V$496&amp;" ضد "&amp;$A532))</f>
        <v>0</v>
      </c>
      <c r="W532" s="4">
        <f>IF($A532=W$496,"",COUNTIF($E$4:$E$492,$A532&amp;" ضد "&amp;W$496)+COUNTIF($E$4:$E$492,W$496&amp;" ضد "&amp;$A532))</f>
        <v>0</v>
      </c>
      <c r="X532" s="4">
        <f>IF($A532=X$496,"",COUNTIF($E$4:$E$492,$A532&amp;" ضد "&amp;X$496)+COUNTIF($E$4:$E$492,X$496&amp;" ضد "&amp;$A532))</f>
        <v>0</v>
      </c>
      <c r="Y532" s="4">
        <f>IF($A532=Y$496,"",COUNTIF($E$4:$E$492,$A532&amp;" ضد "&amp;Y$496)+COUNTIF($E$4:$E$492,Y$496&amp;" ضد "&amp;$A532))</f>
        <v>0</v>
      </c>
      <c r="Z532" s="4">
        <f>IF($A532=Z$496,"",COUNTIF($E$4:$E$492,$A532&amp;" ضد "&amp;Z$496)+COUNTIF($E$4:$E$492,Z$496&amp;" ضد "&amp;$A532))</f>
        <v>0</v>
      </c>
      <c r="AA532" s="4">
        <f>IF($A532=AA$496,"",COUNTIF($E$4:$E$492,$A532&amp;" ضد "&amp;AA$496)+COUNTIF($E$4:$E$492,AA$496&amp;" ضد "&amp;$A532))</f>
        <v>0</v>
      </c>
      <c r="AB532" s="4">
        <f>IF($A532=AB$496,"",COUNTIF($E$4:$E$492,$A532&amp;" ضد "&amp;AB$496)+COUNTIF($E$4:$E$492,AB$496&amp;" ضد "&amp;$A532))</f>
        <v>0</v>
      </c>
      <c r="AC532" s="4">
        <f>IF($A532=AC$496,"",COUNTIF($E$4:$E$492,$A532&amp;" ضد "&amp;AC$496)+COUNTIF($E$4:$E$492,AC$496&amp;" ضد "&amp;$A532))</f>
        <v>0</v>
      </c>
      <c r="AD532" s="4">
        <f>IF($A532=AD$496,"",COUNTIF($E$4:$E$492,$A532&amp;" ضد "&amp;AD$496)+COUNTIF($E$4:$E$492,AD$496&amp;" ضد "&amp;$A532))</f>
        <v>1</v>
      </c>
      <c r="AE532" s="4">
        <f>IF($A532=AE$496,"",COUNTIF($E$4:$E$492,$A532&amp;" ضد "&amp;AE$496)+COUNTIF($E$4:$E$492,AE$496&amp;" ضد "&amp;$A532))</f>
        <v>1</v>
      </c>
      <c r="AF532" s="4">
        <f>IF($A532=AF$496,"",COUNTIF($E$4:$E$492,$A532&amp;" ضد "&amp;AF$496)+COUNTIF($E$4:$E$492,AF$496&amp;" ضد "&amp;$A532))</f>
        <v>2</v>
      </c>
      <c r="AG532" s="4">
        <f>IF($A532=AG$496,"",COUNTIF($E$4:$E$492,$A532&amp;" ضد "&amp;AG$496)+COUNTIF($E$4:$E$492,AG$496&amp;" ضد "&amp;$A532))</f>
        <v>1</v>
      </c>
      <c r="AH532" s="4">
        <f>IF($A532=AH$496,"",COUNTIF($E$4:$E$492,$A532&amp;" ضد "&amp;AH$496)+COUNTIF($E$4:$E$492,AH$496&amp;" ضد "&amp;$A532))</f>
        <v>2</v>
      </c>
      <c r="AI532" s="4">
        <f>IF($A532=AI$496,"",COUNTIF($E$4:$E$492,$A532&amp;" ضد "&amp;AI$496)+COUNTIF($E$4:$E$492,AI$496&amp;" ضد "&amp;$A532))</f>
        <v>1</v>
      </c>
      <c r="AJ532" s="4">
        <f>IF($A532=AJ$496,"",COUNTIF($E$4:$E$492,$A532&amp;" ضد "&amp;AJ$496)+COUNTIF($E$4:$E$492,AJ$496&amp;" ضد "&amp;$A532))</f>
        <v>2</v>
      </c>
      <c r="AK532" s="4" t="str">
        <f>IF($A532=AK$496,"",COUNTIF($E$4:$E$492,$A532&amp;" ضد "&amp;AK$496)+COUNTIF($E$4:$E$492,AK$496&amp;" ضد "&amp;$A532))</f>
        <v/>
      </c>
      <c r="AL532" s="4">
        <f>IF($A532=AL$496,"",COUNTIF($E$4:$E$492,$A532&amp;" ضد "&amp;AL$496)+COUNTIF($E$4:$E$492,AL$496&amp;" ضد "&amp;$A532))</f>
        <v>1</v>
      </c>
      <c r="AM532" s="4">
        <f>IF($A532=AM$496,"",COUNTIF($E$4:$E$492,$A532&amp;" ضد "&amp;AM$496)+COUNTIF($E$4:$E$492,AM$496&amp;" ضد "&amp;$A532))</f>
        <v>1</v>
      </c>
      <c r="AN532" s="4">
        <f>IF($A532=AN$496,"",COUNTIF($E$4:$E$492,$A532&amp;" ضد "&amp;AN$496)+COUNTIF($E$4:$E$492,AN$496&amp;" ضد "&amp;$A532))</f>
        <v>1</v>
      </c>
      <c r="AO532" s="4">
        <f>IF($A532=AO$496,"",COUNTIF($E$4:$E$492,$A532&amp;" ضد "&amp;AO$496)+COUNTIF($E$4:$E$492,AO$496&amp;" ضد "&amp;$A532))</f>
        <v>2</v>
      </c>
      <c r="AP532" s="4">
        <f>IF($A532=AP$496,"",COUNTIF($E$4:$E$492,$A532&amp;" ضد "&amp;AP$496)+COUNTIF($E$4:$E$492,AP$496&amp;" ضد "&amp;$A532))</f>
        <v>1</v>
      </c>
      <c r="AQ532" s="4">
        <f>IF($A532=AQ$496,"",COUNTIF($E$4:$E$492,$A532&amp;" ضد "&amp;AQ$496)+COUNTIF($E$4:$E$492,AQ$496&amp;" ضد "&amp;$A532))</f>
        <v>2</v>
      </c>
      <c r="AR532" s="4">
        <f>IF($A532=AR$496,"",COUNTIF($E$4:$E$492,$A532&amp;" ضد "&amp;AR$496)+COUNTIF($E$4:$E$492,AR$496&amp;" ضد "&amp;$A532))</f>
        <v>0</v>
      </c>
      <c r="AS532" s="4">
        <f>IF($A532=AS$496,"",COUNTIF($E$4:$E$492,$A532&amp;" ضد "&amp;AS$496)+COUNTIF($E$4:$E$492,AS$496&amp;" ضد "&amp;$A532))</f>
        <v>0</v>
      </c>
      <c r="AT532" s="4">
        <f>IF($A532=AT$496,"",COUNTIF($E$4:$E$492,$A532&amp;" ضد "&amp;AT$496)+COUNTIF($E$4:$E$492,AT$496&amp;" ضد "&amp;$A532))</f>
        <v>0</v>
      </c>
      <c r="AU532" s="4">
        <f>IF($A532=AU$496,"",COUNTIF($E$4:$E$492,$A532&amp;" ضد "&amp;AU$496)+COUNTIF($E$4:$E$492,AU$496&amp;" ضد "&amp;$A532))</f>
        <v>0</v>
      </c>
      <c r="AV532" s="4">
        <f>IF($A532=AV$496,"",COUNTIF($E$4:$E$492,$A532&amp;" ضد "&amp;AV$496)+COUNTIF($E$4:$E$492,AV$496&amp;" ضد "&amp;$A532))</f>
        <v>0</v>
      </c>
      <c r="AW532" s="4">
        <f>IF($A532=AW$496,"",COUNTIF($E$4:$E$492,$A532&amp;" ضد "&amp;AW$496)+COUNTIF($E$4:$E$492,AW$496&amp;" ضد "&amp;$A532))</f>
        <v>0</v>
      </c>
      <c r="AX532" s="4">
        <f>IF($A532=AX$496,"",COUNTIF($E$4:$E$492,$A532&amp;" ضد "&amp;AX$496)+COUNTIF($E$4:$E$492,AX$496&amp;" ضد "&amp;$A532))</f>
        <v>0</v>
      </c>
      <c r="AY532" s="4">
        <f>IF($A532=AY$496,"",COUNTIF($E$4:$E$492,$A532&amp;" ضد "&amp;AY$496)+COUNTIF($E$4:$E$492,AY$496&amp;" ضد "&amp;$A532))</f>
        <v>0</v>
      </c>
      <c r="AZ532" s="4">
        <f>IF($A532=AZ$496,"",COUNTIF($E$4:$E$492,$A532&amp;" ضد "&amp;AZ$496)+COUNTIF($E$4:$E$492,AZ$496&amp;" ضد "&amp;$A532))</f>
        <v>0</v>
      </c>
      <c r="BA532" s="4">
        <f>IF($A532=BA$496,"",COUNTIF($E$4:$E$492,$A532&amp;" ضد "&amp;BA$496)+COUNTIF($E$4:$E$492,BA$496&amp;" ضد "&amp;$A532))</f>
        <v>0</v>
      </c>
      <c r="BB532" s="4">
        <f>IF($A532=BB$496,"",COUNTIF($E$4:$E$492,$A532&amp;" ضد "&amp;BB$496)+COUNTIF($E$4:$E$492,BB$496&amp;" ضد "&amp;$A532))</f>
        <v>0</v>
      </c>
      <c r="BC532" s="4">
        <f>IF($A532=BC$496,"",COUNTIF($E$4:$E$492,$A532&amp;" ضد "&amp;BC$496)+COUNTIF($E$4:$E$492,BC$496&amp;" ضد "&amp;$A532))</f>
        <v>0</v>
      </c>
    </row>
    <row r="533" spans="1:55" ht="14.5">
      <c r="A533" s="14">
        <v>37</v>
      </c>
      <c r="B533" s="4">
        <f>IF($A533=B$496,"",COUNTIF($E$4:$E$492,$A533&amp;" ضد "&amp;B$496)+COUNTIF($E$4:$E$492,B$496&amp;" ضد "&amp;$A533))</f>
        <v>0</v>
      </c>
      <c r="C533" s="4">
        <f>IF($A533=C$496,"",COUNTIF($E$4:$E$492,$A533&amp;" ضد "&amp;C$496)+COUNTIF($E$4:$E$492,C$496&amp;" ضد "&amp;$A533))</f>
        <v>0</v>
      </c>
      <c r="D533" s="4">
        <f>IF($A533=D$496,"",COUNTIF($E$4:$E$492,$A533&amp;" ضد "&amp;D$496)+COUNTIF($E$4:$E$492,D$496&amp;" ضد "&amp;$A533))</f>
        <v>0</v>
      </c>
      <c r="E533" s="4">
        <f>IF($A533=E$496,"",COUNTIF($E$4:$E$492,$A533&amp;" ضد "&amp;E$496)+COUNTIF($E$4:$E$492,E$496&amp;" ضد "&amp;$A533))</f>
        <v>0</v>
      </c>
      <c r="F533" s="4">
        <f>IF($A533=F$496,"",COUNTIF($E$4:$E$492,$A533&amp;" ضد "&amp;F$496)+COUNTIF($E$4:$E$492,F$496&amp;" ضد "&amp;$A533))</f>
        <v>0</v>
      </c>
      <c r="G533" s="4">
        <f>IF($A533=G$496,"",COUNTIF($E$4:$E$492,$A533&amp;" ضد "&amp;G$496)+COUNTIF($E$4:$E$492,G$496&amp;" ضد "&amp;$A533))</f>
        <v>0</v>
      </c>
      <c r="H533" s="4">
        <f>IF($A533=H$496,"",COUNTIF($E$4:$E$492,$A533&amp;" ضد "&amp;H$496)+COUNTIF($E$4:$E$492,H$496&amp;" ضد "&amp;$A533))</f>
        <v>0</v>
      </c>
      <c r="I533" s="4">
        <f>IF($A533=I$496,"",COUNTIF($E$4:$E$492,$A533&amp;" ضد "&amp;I$496)+COUNTIF($E$4:$E$492,I$496&amp;" ضد "&amp;$A533))</f>
        <v>0</v>
      </c>
      <c r="J533" s="4">
        <f>IF($A533=J$496,"",COUNTIF($E$4:$E$492,$A533&amp;" ضد "&amp;J$496)+COUNTIF($E$4:$E$492,J$496&amp;" ضد "&amp;$A533))</f>
        <v>0</v>
      </c>
      <c r="K533" s="4">
        <f>IF($A533=K$496,"",COUNTIF($E$4:$E$492,$A533&amp;" ضد "&amp;K$496)+COUNTIF($E$4:$E$492,K$496&amp;" ضد "&amp;$A533))</f>
        <v>0</v>
      </c>
      <c r="L533" s="4">
        <f>IF($A533=L$496,"",COUNTIF($E$4:$E$492,$A533&amp;" ضد "&amp;L$496)+COUNTIF($E$4:$E$492,L$496&amp;" ضد "&amp;$A533))</f>
        <v>0</v>
      </c>
      <c r="M533" s="4">
        <f>IF($A533=M$496,"",COUNTIF($E$4:$E$492,$A533&amp;" ضد "&amp;M$496)+COUNTIF($E$4:$E$492,M$496&amp;" ضد "&amp;$A533))</f>
        <v>0</v>
      </c>
      <c r="N533" s="4">
        <f>IF($A533=N$496,"",COUNTIF($E$4:$E$492,$A533&amp;" ضد "&amp;N$496)+COUNTIF($E$4:$E$492,N$496&amp;" ضد "&amp;$A533))</f>
        <v>0</v>
      </c>
      <c r="O533" s="4">
        <f>IF($A533=O$496,"",COUNTIF($E$4:$E$492,$A533&amp;" ضد "&amp;O$496)+COUNTIF($E$4:$E$492,O$496&amp;" ضد "&amp;$A533))</f>
        <v>0</v>
      </c>
      <c r="P533" s="4">
        <f>IF($A533=P$496,"",COUNTIF($E$4:$E$492,$A533&amp;" ضد "&amp;P$496)+COUNTIF($E$4:$E$492,P$496&amp;" ضد "&amp;$A533))</f>
        <v>0</v>
      </c>
      <c r="Q533" s="4">
        <f>IF($A533=Q$496,"",COUNTIF($E$4:$E$492,$A533&amp;" ضد "&amp;Q$496)+COUNTIF($E$4:$E$492,Q$496&amp;" ضد "&amp;$A533))</f>
        <v>0</v>
      </c>
      <c r="R533" s="4">
        <f>IF($A533=R$496,"",COUNTIF($E$4:$E$492,$A533&amp;" ضد "&amp;R$496)+COUNTIF($E$4:$E$492,R$496&amp;" ضد "&amp;$A533))</f>
        <v>0</v>
      </c>
      <c r="S533" s="4">
        <f>IF($A533=S$496,"",COUNTIF($E$4:$E$492,$A533&amp;" ضد "&amp;S$496)+COUNTIF($E$4:$E$492,S$496&amp;" ضد "&amp;$A533))</f>
        <v>0</v>
      </c>
      <c r="T533" s="4">
        <f>IF($A533=T$496,"",COUNTIF($E$4:$E$492,$A533&amp;" ضد "&amp;T$496)+COUNTIF($E$4:$E$492,T$496&amp;" ضد "&amp;$A533))</f>
        <v>0</v>
      </c>
      <c r="U533" s="4">
        <f>IF($A533=U$496,"",COUNTIF($E$4:$E$492,$A533&amp;" ضد "&amp;U$496)+COUNTIF($E$4:$E$492,U$496&amp;" ضد "&amp;$A533))</f>
        <v>0</v>
      </c>
      <c r="V533" s="4">
        <f>IF($A533=V$496,"",COUNTIF($E$4:$E$492,$A533&amp;" ضد "&amp;V$496)+COUNTIF($E$4:$E$492,V$496&amp;" ضد "&amp;$A533))</f>
        <v>0</v>
      </c>
      <c r="W533" s="4">
        <f>IF($A533=W$496,"",COUNTIF($E$4:$E$492,$A533&amp;" ضد "&amp;W$496)+COUNTIF($E$4:$E$492,W$496&amp;" ضد "&amp;$A533))</f>
        <v>0</v>
      </c>
      <c r="X533" s="4">
        <f>IF($A533=X$496,"",COUNTIF($E$4:$E$492,$A533&amp;" ضد "&amp;X$496)+COUNTIF($E$4:$E$492,X$496&amp;" ضد "&amp;$A533))</f>
        <v>0</v>
      </c>
      <c r="Y533" s="4">
        <f>IF($A533=Y$496,"",COUNTIF($E$4:$E$492,$A533&amp;" ضد "&amp;Y$496)+COUNTIF($E$4:$E$492,Y$496&amp;" ضد "&amp;$A533))</f>
        <v>0</v>
      </c>
      <c r="Z533" s="4">
        <f>IF($A533=Z$496,"",COUNTIF($E$4:$E$492,$A533&amp;" ضد "&amp;Z$496)+COUNTIF($E$4:$E$492,Z$496&amp;" ضد "&amp;$A533))</f>
        <v>0</v>
      </c>
      <c r="AA533" s="4">
        <f>IF($A533=AA$496,"",COUNTIF($E$4:$E$492,$A533&amp;" ضد "&amp;AA$496)+COUNTIF($E$4:$E$492,AA$496&amp;" ضد "&amp;$A533))</f>
        <v>0</v>
      </c>
      <c r="AB533" s="4">
        <f>IF($A533=AB$496,"",COUNTIF($E$4:$E$492,$A533&amp;" ضد "&amp;AB$496)+COUNTIF($E$4:$E$492,AB$496&amp;" ضد "&amp;$A533))</f>
        <v>0</v>
      </c>
      <c r="AC533" s="4">
        <f>IF($A533=AC$496,"",COUNTIF($E$4:$E$492,$A533&amp;" ضد "&amp;AC$496)+COUNTIF($E$4:$E$492,AC$496&amp;" ضد "&amp;$A533))</f>
        <v>0</v>
      </c>
      <c r="AD533" s="4">
        <f>IF($A533=AD$496,"",COUNTIF($E$4:$E$492,$A533&amp;" ضد "&amp;AD$496)+COUNTIF($E$4:$E$492,AD$496&amp;" ضد "&amp;$A533))</f>
        <v>1</v>
      </c>
      <c r="AE533" s="4">
        <f>IF($A533=AE$496,"",COUNTIF($E$4:$E$492,$A533&amp;" ضد "&amp;AE$496)+COUNTIF($E$4:$E$492,AE$496&amp;" ضد "&amp;$A533))</f>
        <v>2</v>
      </c>
      <c r="AF533" s="4">
        <f>IF($A533=AF$496,"",COUNTIF($E$4:$E$492,$A533&amp;" ضد "&amp;AF$496)+COUNTIF($E$4:$E$492,AF$496&amp;" ضد "&amp;$A533))</f>
        <v>1</v>
      </c>
      <c r="AG533" s="4">
        <f>IF($A533=AG$496,"",COUNTIF($E$4:$E$492,$A533&amp;" ضد "&amp;AG$496)+COUNTIF($E$4:$E$492,AG$496&amp;" ضد "&amp;$A533))</f>
        <v>2</v>
      </c>
      <c r="AH533" s="4">
        <f>IF($A533=AH$496,"",COUNTIF($E$4:$E$492,$A533&amp;" ضد "&amp;AH$496)+COUNTIF($E$4:$E$492,AH$496&amp;" ضد "&amp;$A533))</f>
        <v>1</v>
      </c>
      <c r="AI533" s="4">
        <f>IF($A533=AI$496,"",COUNTIF($E$4:$E$492,$A533&amp;" ضد "&amp;AI$496)+COUNTIF($E$4:$E$492,AI$496&amp;" ضد "&amp;$A533))</f>
        <v>2</v>
      </c>
      <c r="AJ533" s="4">
        <f>IF($A533=AJ$496,"",COUNTIF($E$4:$E$492,$A533&amp;" ضد "&amp;AJ$496)+COUNTIF($E$4:$E$492,AJ$496&amp;" ضد "&amp;$A533))</f>
        <v>1</v>
      </c>
      <c r="AK533" s="4">
        <f>IF($A533=AK$496,"",COUNTIF($E$4:$E$492,$A533&amp;" ضد "&amp;AK$496)+COUNTIF($E$4:$E$492,AK$496&amp;" ضد "&amp;$A533))</f>
        <v>1</v>
      </c>
      <c r="AL533" s="4" t="str">
        <f>IF($A533=AL$496,"",COUNTIF($E$4:$E$492,$A533&amp;" ضد "&amp;AL$496)+COUNTIF($E$4:$E$492,AL$496&amp;" ضد "&amp;$A533))</f>
        <v/>
      </c>
      <c r="AM533" s="4">
        <f>IF($A533=AM$496,"",COUNTIF($E$4:$E$492,$A533&amp;" ضد "&amp;AM$496)+COUNTIF($E$4:$E$492,AM$496&amp;" ضد "&amp;$A533))</f>
        <v>1</v>
      </c>
      <c r="AN533" s="4">
        <f>IF($A533=AN$496,"",COUNTIF($E$4:$E$492,$A533&amp;" ضد "&amp;AN$496)+COUNTIF($E$4:$E$492,AN$496&amp;" ضد "&amp;$A533))</f>
        <v>2</v>
      </c>
      <c r="AO533" s="4">
        <f>IF($A533=AO$496,"",COUNTIF($E$4:$E$492,$A533&amp;" ضد "&amp;AO$496)+COUNTIF($E$4:$E$492,AO$496&amp;" ضد "&amp;$A533))</f>
        <v>1</v>
      </c>
      <c r="AP533" s="4">
        <f>IF($A533=AP$496,"",COUNTIF($E$4:$E$492,$A533&amp;" ضد "&amp;AP$496)+COUNTIF($E$4:$E$492,AP$496&amp;" ضد "&amp;$A533))</f>
        <v>2</v>
      </c>
      <c r="AQ533" s="4">
        <f>IF($A533=AQ$496,"",COUNTIF($E$4:$E$492,$A533&amp;" ضد "&amp;AQ$496)+COUNTIF($E$4:$E$492,AQ$496&amp;" ضد "&amp;$A533))</f>
        <v>1</v>
      </c>
      <c r="AR533" s="4">
        <f>IF($A533=AR$496,"",COUNTIF($E$4:$E$492,$A533&amp;" ضد "&amp;AR$496)+COUNTIF($E$4:$E$492,AR$496&amp;" ضد "&amp;$A533))</f>
        <v>0</v>
      </c>
      <c r="AS533" s="4">
        <f>IF($A533=AS$496,"",COUNTIF($E$4:$E$492,$A533&amp;" ضد "&amp;AS$496)+COUNTIF($E$4:$E$492,AS$496&amp;" ضد "&amp;$A533))</f>
        <v>0</v>
      </c>
      <c r="AT533" s="4">
        <f>IF($A533=AT$496,"",COUNTIF($E$4:$E$492,$A533&amp;" ضد "&amp;AT$496)+COUNTIF($E$4:$E$492,AT$496&amp;" ضد "&amp;$A533))</f>
        <v>0</v>
      </c>
      <c r="AU533" s="4">
        <f>IF($A533=AU$496,"",COUNTIF($E$4:$E$492,$A533&amp;" ضد "&amp;AU$496)+COUNTIF($E$4:$E$492,AU$496&amp;" ضد "&amp;$A533))</f>
        <v>0</v>
      </c>
      <c r="AV533" s="4">
        <f>IF($A533=AV$496,"",COUNTIF($E$4:$E$492,$A533&amp;" ضد "&amp;AV$496)+COUNTIF($E$4:$E$492,AV$496&amp;" ضد "&amp;$A533))</f>
        <v>0</v>
      </c>
      <c r="AW533" s="4">
        <f>IF($A533=AW$496,"",COUNTIF($E$4:$E$492,$A533&amp;" ضد "&amp;AW$496)+COUNTIF($E$4:$E$492,AW$496&amp;" ضد "&amp;$A533))</f>
        <v>0</v>
      </c>
      <c r="AX533" s="4">
        <f>IF($A533=AX$496,"",COUNTIF($E$4:$E$492,$A533&amp;" ضد "&amp;AX$496)+COUNTIF($E$4:$E$492,AX$496&amp;" ضد "&amp;$A533))</f>
        <v>0</v>
      </c>
      <c r="AY533" s="4">
        <f>IF($A533=AY$496,"",COUNTIF($E$4:$E$492,$A533&amp;" ضد "&amp;AY$496)+COUNTIF($E$4:$E$492,AY$496&amp;" ضد "&amp;$A533))</f>
        <v>0</v>
      </c>
      <c r="AZ533" s="4">
        <f>IF($A533=AZ$496,"",COUNTIF($E$4:$E$492,$A533&amp;" ضد "&amp;AZ$496)+COUNTIF($E$4:$E$492,AZ$496&amp;" ضد "&amp;$A533))</f>
        <v>0</v>
      </c>
      <c r="BA533" s="4">
        <f>IF($A533=BA$496,"",COUNTIF($E$4:$E$492,$A533&amp;" ضد "&amp;BA$496)+COUNTIF($E$4:$E$492,BA$496&amp;" ضد "&amp;$A533))</f>
        <v>0</v>
      </c>
      <c r="BB533" s="4">
        <f>IF($A533=BB$496,"",COUNTIF($E$4:$E$492,$A533&amp;" ضد "&amp;BB$496)+COUNTIF($E$4:$E$492,BB$496&amp;" ضد "&amp;$A533))</f>
        <v>0</v>
      </c>
      <c r="BC533" s="4">
        <f>IF($A533=BC$496,"",COUNTIF($E$4:$E$492,$A533&amp;" ضد "&amp;BC$496)+COUNTIF($E$4:$E$492,BC$496&amp;" ضد "&amp;$A533))</f>
        <v>0</v>
      </c>
    </row>
    <row r="534" spans="1:55" ht="14.5">
      <c r="A534" s="14">
        <v>38</v>
      </c>
      <c r="B534" s="4">
        <f>IF($A534=B$496,"",COUNTIF($E$4:$E$492,$A534&amp;" ضد "&amp;B$496)+COUNTIF($E$4:$E$492,B$496&amp;" ضد "&amp;$A534))</f>
        <v>0</v>
      </c>
      <c r="C534" s="4">
        <f>IF($A534=C$496,"",COUNTIF($E$4:$E$492,$A534&amp;" ضد "&amp;C$496)+COUNTIF($E$4:$E$492,C$496&amp;" ضد "&amp;$A534))</f>
        <v>0</v>
      </c>
      <c r="D534" s="4">
        <f>IF($A534=D$496,"",COUNTIF($E$4:$E$492,$A534&amp;" ضد "&amp;D$496)+COUNTIF($E$4:$E$492,D$496&amp;" ضد "&amp;$A534))</f>
        <v>0</v>
      </c>
      <c r="E534" s="4">
        <f>IF($A534=E$496,"",COUNTIF($E$4:$E$492,$A534&amp;" ضد "&amp;E$496)+COUNTIF($E$4:$E$492,E$496&amp;" ضد "&amp;$A534))</f>
        <v>0</v>
      </c>
      <c r="F534" s="4">
        <f>IF($A534=F$496,"",COUNTIF($E$4:$E$492,$A534&amp;" ضد "&amp;F$496)+COUNTIF($E$4:$E$492,F$496&amp;" ضد "&amp;$A534))</f>
        <v>0</v>
      </c>
      <c r="G534" s="4">
        <f>IF($A534=G$496,"",COUNTIF($E$4:$E$492,$A534&amp;" ضد "&amp;G$496)+COUNTIF($E$4:$E$492,G$496&amp;" ضد "&amp;$A534))</f>
        <v>0</v>
      </c>
      <c r="H534" s="4">
        <f>IF($A534=H$496,"",COUNTIF($E$4:$E$492,$A534&amp;" ضد "&amp;H$496)+COUNTIF($E$4:$E$492,H$496&amp;" ضد "&amp;$A534))</f>
        <v>0</v>
      </c>
      <c r="I534" s="4">
        <f>IF($A534=I$496,"",COUNTIF($E$4:$E$492,$A534&amp;" ضد "&amp;I$496)+COUNTIF($E$4:$E$492,I$496&amp;" ضد "&amp;$A534))</f>
        <v>0</v>
      </c>
      <c r="J534" s="4">
        <f>IF($A534=J$496,"",COUNTIF($E$4:$E$492,$A534&amp;" ضد "&amp;J$496)+COUNTIF($E$4:$E$492,J$496&amp;" ضد "&amp;$A534))</f>
        <v>0</v>
      </c>
      <c r="K534" s="4">
        <f>IF($A534=K$496,"",COUNTIF($E$4:$E$492,$A534&amp;" ضد "&amp;K$496)+COUNTIF($E$4:$E$492,K$496&amp;" ضد "&amp;$A534))</f>
        <v>0</v>
      </c>
      <c r="L534" s="4">
        <f>IF($A534=L$496,"",COUNTIF($E$4:$E$492,$A534&amp;" ضد "&amp;L$496)+COUNTIF($E$4:$E$492,L$496&amp;" ضد "&amp;$A534))</f>
        <v>0</v>
      </c>
      <c r="M534" s="4">
        <f>IF($A534=M$496,"",COUNTIF($E$4:$E$492,$A534&amp;" ضد "&amp;M$496)+COUNTIF($E$4:$E$492,M$496&amp;" ضد "&amp;$A534))</f>
        <v>0</v>
      </c>
      <c r="N534" s="4">
        <f>IF($A534=N$496,"",COUNTIF($E$4:$E$492,$A534&amp;" ضد "&amp;N$496)+COUNTIF($E$4:$E$492,N$496&amp;" ضد "&amp;$A534))</f>
        <v>0</v>
      </c>
      <c r="O534" s="4">
        <f>IF($A534=O$496,"",COUNTIF($E$4:$E$492,$A534&amp;" ضد "&amp;O$496)+COUNTIF($E$4:$E$492,O$496&amp;" ضد "&amp;$A534))</f>
        <v>0</v>
      </c>
      <c r="P534" s="4">
        <f>IF($A534=P$496,"",COUNTIF($E$4:$E$492,$A534&amp;" ضد "&amp;P$496)+COUNTIF($E$4:$E$492,P$496&amp;" ضد "&amp;$A534))</f>
        <v>0</v>
      </c>
      <c r="Q534" s="4">
        <f>IF($A534=Q$496,"",COUNTIF($E$4:$E$492,$A534&amp;" ضد "&amp;Q$496)+COUNTIF($E$4:$E$492,Q$496&amp;" ضد "&amp;$A534))</f>
        <v>0</v>
      </c>
      <c r="R534" s="4">
        <f>IF($A534=R$496,"",COUNTIF($E$4:$E$492,$A534&amp;" ضد "&amp;R$496)+COUNTIF($E$4:$E$492,R$496&amp;" ضد "&amp;$A534))</f>
        <v>0</v>
      </c>
      <c r="S534" s="4">
        <f>IF($A534=S$496,"",COUNTIF($E$4:$E$492,$A534&amp;" ضد "&amp;S$496)+COUNTIF($E$4:$E$492,S$496&amp;" ضد "&amp;$A534))</f>
        <v>0</v>
      </c>
      <c r="T534" s="4">
        <f>IF($A534=T$496,"",COUNTIF($E$4:$E$492,$A534&amp;" ضد "&amp;T$496)+COUNTIF($E$4:$E$492,T$496&amp;" ضد "&amp;$A534))</f>
        <v>0</v>
      </c>
      <c r="U534" s="4">
        <f>IF($A534=U$496,"",COUNTIF($E$4:$E$492,$A534&amp;" ضد "&amp;U$496)+COUNTIF($E$4:$E$492,U$496&amp;" ضد "&amp;$A534))</f>
        <v>0</v>
      </c>
      <c r="V534" s="4">
        <f>IF($A534=V$496,"",COUNTIF($E$4:$E$492,$A534&amp;" ضد "&amp;V$496)+COUNTIF($E$4:$E$492,V$496&amp;" ضد "&amp;$A534))</f>
        <v>0</v>
      </c>
      <c r="W534" s="4">
        <f>IF($A534=W$496,"",COUNTIF($E$4:$E$492,$A534&amp;" ضد "&amp;W$496)+COUNTIF($E$4:$E$492,W$496&amp;" ضد "&amp;$A534))</f>
        <v>0</v>
      </c>
      <c r="X534" s="4">
        <f>IF($A534=X$496,"",COUNTIF($E$4:$E$492,$A534&amp;" ضد "&amp;X$496)+COUNTIF($E$4:$E$492,X$496&amp;" ضد "&amp;$A534))</f>
        <v>0</v>
      </c>
      <c r="Y534" s="4">
        <f>IF($A534=Y$496,"",COUNTIF($E$4:$E$492,$A534&amp;" ضد "&amp;Y$496)+COUNTIF($E$4:$E$492,Y$496&amp;" ضد "&amp;$A534))</f>
        <v>0</v>
      </c>
      <c r="Z534" s="4">
        <f>IF($A534=Z$496,"",COUNTIF($E$4:$E$492,$A534&amp;" ضد "&amp;Z$496)+COUNTIF($E$4:$E$492,Z$496&amp;" ضد "&amp;$A534))</f>
        <v>0</v>
      </c>
      <c r="AA534" s="4">
        <f>IF($A534=AA$496,"",COUNTIF($E$4:$E$492,$A534&amp;" ضد "&amp;AA$496)+COUNTIF($E$4:$E$492,AA$496&amp;" ضد "&amp;$A534))</f>
        <v>0</v>
      </c>
      <c r="AB534" s="4">
        <f>IF($A534=AB$496,"",COUNTIF($E$4:$E$492,$A534&amp;" ضد "&amp;AB$496)+COUNTIF($E$4:$E$492,AB$496&amp;" ضد "&amp;$A534))</f>
        <v>0</v>
      </c>
      <c r="AC534" s="4">
        <f>IF($A534=AC$496,"",COUNTIF($E$4:$E$492,$A534&amp;" ضد "&amp;AC$496)+COUNTIF($E$4:$E$492,AC$496&amp;" ضد "&amp;$A534))</f>
        <v>0</v>
      </c>
      <c r="AD534" s="4">
        <f>IF($A534=AD$496,"",COUNTIF($E$4:$E$492,$A534&amp;" ضد "&amp;AD$496)+COUNTIF($E$4:$E$492,AD$496&amp;" ضد "&amp;$A534))</f>
        <v>2</v>
      </c>
      <c r="AE534" s="4">
        <f>IF($A534=AE$496,"",COUNTIF($E$4:$E$492,$A534&amp;" ضد "&amp;AE$496)+COUNTIF($E$4:$E$492,AE$496&amp;" ضد "&amp;$A534))</f>
        <v>1</v>
      </c>
      <c r="AF534" s="4">
        <f>IF($A534=AF$496,"",COUNTIF($E$4:$E$492,$A534&amp;" ضد "&amp;AF$496)+COUNTIF($E$4:$E$492,AF$496&amp;" ضد "&amp;$A534))</f>
        <v>2</v>
      </c>
      <c r="AG534" s="4">
        <f>IF($A534=AG$496,"",COUNTIF($E$4:$E$492,$A534&amp;" ضد "&amp;AG$496)+COUNTIF($E$4:$E$492,AG$496&amp;" ضد "&amp;$A534))</f>
        <v>1</v>
      </c>
      <c r="AH534" s="4">
        <f>IF($A534=AH$496,"",COUNTIF($E$4:$E$492,$A534&amp;" ضد "&amp;AH$496)+COUNTIF($E$4:$E$492,AH$496&amp;" ضد "&amp;$A534))</f>
        <v>2</v>
      </c>
      <c r="AI534" s="4">
        <f>IF($A534=AI$496,"",COUNTIF($E$4:$E$492,$A534&amp;" ضد "&amp;AI$496)+COUNTIF($E$4:$E$492,AI$496&amp;" ضد "&amp;$A534))</f>
        <v>1</v>
      </c>
      <c r="AJ534" s="4">
        <f>IF($A534=AJ$496,"",COUNTIF($E$4:$E$492,$A534&amp;" ضد "&amp;AJ$496)+COUNTIF($E$4:$E$492,AJ$496&amp;" ضد "&amp;$A534))</f>
        <v>1</v>
      </c>
      <c r="AK534" s="4">
        <f>IF($A534=AK$496,"",COUNTIF($E$4:$E$492,$A534&amp;" ضد "&amp;AK$496)+COUNTIF($E$4:$E$492,AK$496&amp;" ضد "&amp;$A534))</f>
        <v>1</v>
      </c>
      <c r="AL534" s="4">
        <f>IF($A534=AL$496,"",COUNTIF($E$4:$E$492,$A534&amp;" ضد "&amp;AL$496)+COUNTIF($E$4:$E$492,AL$496&amp;" ضد "&amp;$A534))</f>
        <v>1</v>
      </c>
      <c r="AM534" s="4" t="str">
        <f>IF($A534=AM$496,"",COUNTIF($E$4:$E$492,$A534&amp;" ضد "&amp;AM$496)+COUNTIF($E$4:$E$492,AM$496&amp;" ضد "&amp;$A534))</f>
        <v/>
      </c>
      <c r="AN534" s="4">
        <f>IF($A534=AN$496,"",COUNTIF($E$4:$E$492,$A534&amp;" ضد "&amp;AN$496)+COUNTIF($E$4:$E$492,AN$496&amp;" ضد "&amp;$A534))</f>
        <v>1</v>
      </c>
      <c r="AO534" s="4">
        <f>IF($A534=AO$496,"",COUNTIF($E$4:$E$492,$A534&amp;" ضد "&amp;AO$496)+COUNTIF($E$4:$E$492,AO$496&amp;" ضد "&amp;$A534))</f>
        <v>2</v>
      </c>
      <c r="AP534" s="4">
        <f>IF($A534=AP$496,"",COUNTIF($E$4:$E$492,$A534&amp;" ضد "&amp;AP$496)+COUNTIF($E$4:$E$492,AP$496&amp;" ضد "&amp;$A534))</f>
        <v>1</v>
      </c>
      <c r="AQ534" s="4">
        <f>IF($A534=AQ$496,"",COUNTIF($E$4:$E$492,$A534&amp;" ضد "&amp;AQ$496)+COUNTIF($E$4:$E$492,AQ$496&amp;" ضد "&amp;$A534))</f>
        <v>2</v>
      </c>
      <c r="AR534" s="4">
        <f>IF($A534=AR$496,"",COUNTIF($E$4:$E$492,$A534&amp;" ضد "&amp;AR$496)+COUNTIF($E$4:$E$492,AR$496&amp;" ضد "&amp;$A534))</f>
        <v>0</v>
      </c>
      <c r="AS534" s="4">
        <f>IF($A534=AS$496,"",COUNTIF($E$4:$E$492,$A534&amp;" ضد "&amp;AS$496)+COUNTIF($E$4:$E$492,AS$496&amp;" ضد "&amp;$A534))</f>
        <v>0</v>
      </c>
      <c r="AT534" s="4">
        <f>IF($A534=AT$496,"",COUNTIF($E$4:$E$492,$A534&amp;" ضد "&amp;AT$496)+COUNTIF($E$4:$E$492,AT$496&amp;" ضد "&amp;$A534))</f>
        <v>0</v>
      </c>
      <c r="AU534" s="4">
        <f>IF($A534=AU$496,"",COUNTIF($E$4:$E$492,$A534&amp;" ضد "&amp;AU$496)+COUNTIF($E$4:$E$492,AU$496&amp;" ضد "&amp;$A534))</f>
        <v>0</v>
      </c>
      <c r="AV534" s="4">
        <f>IF($A534=AV$496,"",COUNTIF($E$4:$E$492,$A534&amp;" ضد "&amp;AV$496)+COUNTIF($E$4:$E$492,AV$496&amp;" ضد "&amp;$A534))</f>
        <v>0</v>
      </c>
      <c r="AW534" s="4">
        <f>IF($A534=AW$496,"",COUNTIF($E$4:$E$492,$A534&amp;" ضد "&amp;AW$496)+COUNTIF($E$4:$E$492,AW$496&amp;" ضد "&amp;$A534))</f>
        <v>0</v>
      </c>
      <c r="AX534" s="4">
        <f>IF($A534=AX$496,"",COUNTIF($E$4:$E$492,$A534&amp;" ضد "&amp;AX$496)+COUNTIF($E$4:$E$492,AX$496&amp;" ضد "&amp;$A534))</f>
        <v>0</v>
      </c>
      <c r="AY534" s="4">
        <f>IF($A534=AY$496,"",COUNTIF($E$4:$E$492,$A534&amp;" ضد "&amp;AY$496)+COUNTIF($E$4:$E$492,AY$496&amp;" ضد "&amp;$A534))</f>
        <v>0</v>
      </c>
      <c r="AZ534" s="4">
        <f>IF($A534=AZ$496,"",COUNTIF($E$4:$E$492,$A534&amp;" ضد "&amp;AZ$496)+COUNTIF($E$4:$E$492,AZ$496&amp;" ضد "&amp;$A534))</f>
        <v>0</v>
      </c>
      <c r="BA534" s="4">
        <f>IF($A534=BA$496,"",COUNTIF($E$4:$E$492,$A534&amp;" ضد "&amp;BA$496)+COUNTIF($E$4:$E$492,BA$496&amp;" ضد "&amp;$A534))</f>
        <v>0</v>
      </c>
      <c r="BB534" s="4">
        <f>IF($A534=BB$496,"",COUNTIF($E$4:$E$492,$A534&amp;" ضد "&amp;BB$496)+COUNTIF($E$4:$E$492,BB$496&amp;" ضد "&amp;$A534))</f>
        <v>0</v>
      </c>
      <c r="BC534" s="4">
        <f>IF($A534=BC$496,"",COUNTIF($E$4:$E$492,$A534&amp;" ضد "&amp;BC$496)+COUNTIF($E$4:$E$492,BC$496&amp;" ضد "&amp;$A534))</f>
        <v>0</v>
      </c>
    </row>
    <row r="535" spans="1:55" ht="14.5">
      <c r="A535" s="14">
        <v>39</v>
      </c>
      <c r="B535" s="4">
        <f>IF($A535=B$496,"",COUNTIF($E$4:$E$492,$A535&amp;" ضد "&amp;B$496)+COUNTIF($E$4:$E$492,B$496&amp;" ضد "&amp;$A535))</f>
        <v>0</v>
      </c>
      <c r="C535" s="4">
        <f>IF($A535=C$496,"",COUNTIF($E$4:$E$492,$A535&amp;" ضد "&amp;C$496)+COUNTIF($E$4:$E$492,C$496&amp;" ضد "&amp;$A535))</f>
        <v>0</v>
      </c>
      <c r="D535" s="4">
        <f>IF($A535=D$496,"",COUNTIF($E$4:$E$492,$A535&amp;" ضد "&amp;D$496)+COUNTIF($E$4:$E$492,D$496&amp;" ضد "&amp;$A535))</f>
        <v>0</v>
      </c>
      <c r="E535" s="4">
        <f>IF($A535=E$496,"",COUNTIF($E$4:$E$492,$A535&amp;" ضد "&amp;E$496)+COUNTIF($E$4:$E$492,E$496&amp;" ضد "&amp;$A535))</f>
        <v>0</v>
      </c>
      <c r="F535" s="4">
        <f>IF($A535=F$496,"",COUNTIF($E$4:$E$492,$A535&amp;" ضد "&amp;F$496)+COUNTIF($E$4:$E$492,F$496&amp;" ضد "&amp;$A535))</f>
        <v>0</v>
      </c>
      <c r="G535" s="4">
        <f>IF($A535=G$496,"",COUNTIF($E$4:$E$492,$A535&amp;" ضد "&amp;G$496)+COUNTIF($E$4:$E$492,G$496&amp;" ضد "&amp;$A535))</f>
        <v>0</v>
      </c>
      <c r="H535" s="4">
        <f>IF($A535=H$496,"",COUNTIF($E$4:$E$492,$A535&amp;" ضد "&amp;H$496)+COUNTIF($E$4:$E$492,H$496&amp;" ضد "&amp;$A535))</f>
        <v>0</v>
      </c>
      <c r="I535" s="4">
        <f>IF($A535=I$496,"",COUNTIF($E$4:$E$492,$A535&amp;" ضد "&amp;I$496)+COUNTIF($E$4:$E$492,I$496&amp;" ضد "&amp;$A535))</f>
        <v>0</v>
      </c>
      <c r="J535" s="4">
        <f>IF($A535=J$496,"",COUNTIF($E$4:$E$492,$A535&amp;" ضد "&amp;J$496)+COUNTIF($E$4:$E$492,J$496&amp;" ضد "&amp;$A535))</f>
        <v>0</v>
      </c>
      <c r="K535" s="4">
        <f>IF($A535=K$496,"",COUNTIF($E$4:$E$492,$A535&amp;" ضد "&amp;K$496)+COUNTIF($E$4:$E$492,K$496&amp;" ضد "&amp;$A535))</f>
        <v>0</v>
      </c>
      <c r="L535" s="4">
        <f>IF($A535=L$496,"",COUNTIF($E$4:$E$492,$A535&amp;" ضد "&amp;L$496)+COUNTIF($E$4:$E$492,L$496&amp;" ضد "&amp;$A535))</f>
        <v>0</v>
      </c>
      <c r="M535" s="4">
        <f>IF($A535=M$496,"",COUNTIF($E$4:$E$492,$A535&amp;" ضد "&amp;M$496)+COUNTIF($E$4:$E$492,M$496&amp;" ضد "&amp;$A535))</f>
        <v>0</v>
      </c>
      <c r="N535" s="4">
        <f>IF($A535=N$496,"",COUNTIF($E$4:$E$492,$A535&amp;" ضد "&amp;N$496)+COUNTIF($E$4:$E$492,N$496&amp;" ضد "&amp;$A535))</f>
        <v>0</v>
      </c>
      <c r="O535" s="4">
        <f>IF($A535=O$496,"",COUNTIF($E$4:$E$492,$A535&amp;" ضد "&amp;O$496)+COUNTIF($E$4:$E$492,O$496&amp;" ضد "&amp;$A535))</f>
        <v>0</v>
      </c>
      <c r="P535" s="4">
        <f>IF($A535=P$496,"",COUNTIF($E$4:$E$492,$A535&amp;" ضد "&amp;P$496)+COUNTIF($E$4:$E$492,P$496&amp;" ضد "&amp;$A535))</f>
        <v>0</v>
      </c>
      <c r="Q535" s="4">
        <f>IF($A535=Q$496,"",COUNTIF($E$4:$E$492,$A535&amp;" ضد "&amp;Q$496)+COUNTIF($E$4:$E$492,Q$496&amp;" ضد "&amp;$A535))</f>
        <v>0</v>
      </c>
      <c r="R535" s="4">
        <f>IF($A535=R$496,"",COUNTIF($E$4:$E$492,$A535&amp;" ضد "&amp;R$496)+COUNTIF($E$4:$E$492,R$496&amp;" ضد "&amp;$A535))</f>
        <v>0</v>
      </c>
      <c r="S535" s="4">
        <f>IF($A535=S$496,"",COUNTIF($E$4:$E$492,$A535&amp;" ضد "&amp;S$496)+COUNTIF($E$4:$E$492,S$496&amp;" ضد "&amp;$A535))</f>
        <v>0</v>
      </c>
      <c r="T535" s="4">
        <f>IF($A535=T$496,"",COUNTIF($E$4:$E$492,$A535&amp;" ضد "&amp;T$496)+COUNTIF($E$4:$E$492,T$496&amp;" ضد "&amp;$A535))</f>
        <v>0</v>
      </c>
      <c r="U535" s="4">
        <f>IF($A535=U$496,"",COUNTIF($E$4:$E$492,$A535&amp;" ضد "&amp;U$496)+COUNTIF($E$4:$E$492,U$496&amp;" ضد "&amp;$A535))</f>
        <v>0</v>
      </c>
      <c r="V535" s="4">
        <f>IF($A535=V$496,"",COUNTIF($E$4:$E$492,$A535&amp;" ضد "&amp;V$496)+COUNTIF($E$4:$E$492,V$496&amp;" ضد "&amp;$A535))</f>
        <v>0</v>
      </c>
      <c r="W535" s="4">
        <f>IF($A535=W$496,"",COUNTIF($E$4:$E$492,$A535&amp;" ضد "&amp;W$496)+COUNTIF($E$4:$E$492,W$496&amp;" ضد "&amp;$A535))</f>
        <v>0</v>
      </c>
      <c r="X535" s="4">
        <f>IF($A535=X$496,"",COUNTIF($E$4:$E$492,$A535&amp;" ضد "&amp;X$496)+COUNTIF($E$4:$E$492,X$496&amp;" ضد "&amp;$A535))</f>
        <v>0</v>
      </c>
      <c r="Y535" s="4">
        <f>IF($A535=Y$496,"",COUNTIF($E$4:$E$492,$A535&amp;" ضد "&amp;Y$496)+COUNTIF($E$4:$E$492,Y$496&amp;" ضد "&amp;$A535))</f>
        <v>0</v>
      </c>
      <c r="Z535" s="4">
        <f>IF($A535=Z$496,"",COUNTIF($E$4:$E$492,$A535&amp;" ضد "&amp;Z$496)+COUNTIF($E$4:$E$492,Z$496&amp;" ضد "&amp;$A535))</f>
        <v>0</v>
      </c>
      <c r="AA535" s="4">
        <f>IF($A535=AA$496,"",COUNTIF($E$4:$E$492,$A535&amp;" ضد "&amp;AA$496)+COUNTIF($E$4:$E$492,AA$496&amp;" ضد "&amp;$A535))</f>
        <v>0</v>
      </c>
      <c r="AB535" s="4">
        <f>IF($A535=AB$496,"",COUNTIF($E$4:$E$492,$A535&amp;" ضد "&amp;AB$496)+COUNTIF($E$4:$E$492,AB$496&amp;" ضد "&amp;$A535))</f>
        <v>0</v>
      </c>
      <c r="AC535" s="4">
        <f>IF($A535=AC$496,"",COUNTIF($E$4:$E$492,$A535&amp;" ضد "&amp;AC$496)+COUNTIF($E$4:$E$492,AC$496&amp;" ضد "&amp;$A535))</f>
        <v>0</v>
      </c>
      <c r="AD535" s="4">
        <f>IF($A535=AD$496,"",COUNTIF($E$4:$E$492,$A535&amp;" ضد "&amp;AD$496)+COUNTIF($E$4:$E$492,AD$496&amp;" ضد "&amp;$A535))</f>
        <v>2</v>
      </c>
      <c r="AE535" s="4">
        <f>IF($A535=AE$496,"",COUNTIF($E$4:$E$492,$A535&amp;" ضد "&amp;AE$496)+COUNTIF($E$4:$E$492,AE$496&amp;" ضد "&amp;$A535))</f>
        <v>2</v>
      </c>
      <c r="AF535" s="4">
        <f>IF($A535=AF$496,"",COUNTIF($E$4:$E$492,$A535&amp;" ضد "&amp;AF$496)+COUNTIF($E$4:$E$492,AF$496&amp;" ضد "&amp;$A535))</f>
        <v>1</v>
      </c>
      <c r="AG535" s="4">
        <f>IF($A535=AG$496,"",COUNTIF($E$4:$E$492,$A535&amp;" ضد "&amp;AG$496)+COUNTIF($E$4:$E$492,AG$496&amp;" ضد "&amp;$A535))</f>
        <v>2</v>
      </c>
      <c r="AH535" s="4">
        <f>IF($A535=AH$496,"",COUNTIF($E$4:$E$492,$A535&amp;" ضد "&amp;AH$496)+COUNTIF($E$4:$E$492,AH$496&amp;" ضد "&amp;$A535))</f>
        <v>1</v>
      </c>
      <c r="AI535" s="4">
        <f>IF($A535=AI$496,"",COUNTIF($E$4:$E$492,$A535&amp;" ضد "&amp;AI$496)+COUNTIF($E$4:$E$492,AI$496&amp;" ضد "&amp;$A535))</f>
        <v>1</v>
      </c>
      <c r="AJ535" s="4">
        <f>IF($A535=AJ$496,"",COUNTIF($E$4:$E$492,$A535&amp;" ضد "&amp;AJ$496)+COUNTIF($E$4:$E$492,AJ$496&amp;" ضد "&amp;$A535))</f>
        <v>1</v>
      </c>
      <c r="AK535" s="4">
        <f>IF($A535=AK$496,"",COUNTIF($E$4:$E$492,$A535&amp;" ضد "&amp;AK$496)+COUNTIF($E$4:$E$492,AK$496&amp;" ضد "&amp;$A535))</f>
        <v>1</v>
      </c>
      <c r="AL535" s="4">
        <f>IF($A535=AL$496,"",COUNTIF($E$4:$E$492,$A535&amp;" ضد "&amp;AL$496)+COUNTIF($E$4:$E$492,AL$496&amp;" ضد "&amp;$A535))</f>
        <v>2</v>
      </c>
      <c r="AM535" s="4">
        <f>IF($A535=AM$496,"",COUNTIF($E$4:$E$492,$A535&amp;" ضد "&amp;AM$496)+COUNTIF($E$4:$E$492,AM$496&amp;" ضد "&amp;$A535))</f>
        <v>1</v>
      </c>
      <c r="AN535" s="4" t="str">
        <f>IF($A535=AN$496,"",COUNTIF($E$4:$E$492,$A535&amp;" ضد "&amp;AN$496)+COUNTIF($E$4:$E$492,AN$496&amp;" ضد "&amp;$A535))</f>
        <v/>
      </c>
      <c r="AO535" s="4">
        <f>IF($A535=AO$496,"",COUNTIF($E$4:$E$492,$A535&amp;" ضد "&amp;AO$496)+COUNTIF($E$4:$E$492,AO$496&amp;" ضد "&amp;$A535))</f>
        <v>1</v>
      </c>
      <c r="AP535" s="4">
        <f>IF($A535=AP$496,"",COUNTIF($E$4:$E$492,$A535&amp;" ضد "&amp;AP$496)+COUNTIF($E$4:$E$492,AP$496&amp;" ضد "&amp;$A535))</f>
        <v>2</v>
      </c>
      <c r="AQ535" s="4">
        <f>IF($A535=AQ$496,"",COUNTIF($E$4:$E$492,$A535&amp;" ضد "&amp;AQ$496)+COUNTIF($E$4:$E$492,AQ$496&amp;" ضد "&amp;$A535))</f>
        <v>1</v>
      </c>
      <c r="AR535" s="4">
        <f>IF($A535=AR$496,"",COUNTIF($E$4:$E$492,$A535&amp;" ضد "&amp;AR$496)+COUNTIF($E$4:$E$492,AR$496&amp;" ضد "&amp;$A535))</f>
        <v>0</v>
      </c>
      <c r="AS535" s="4">
        <f>IF($A535=AS$496,"",COUNTIF($E$4:$E$492,$A535&amp;" ضد "&amp;AS$496)+COUNTIF($E$4:$E$492,AS$496&amp;" ضد "&amp;$A535))</f>
        <v>0</v>
      </c>
      <c r="AT535" s="4">
        <f>IF($A535=AT$496,"",COUNTIF($E$4:$E$492,$A535&amp;" ضد "&amp;AT$496)+COUNTIF($E$4:$E$492,AT$496&amp;" ضد "&amp;$A535))</f>
        <v>0</v>
      </c>
      <c r="AU535" s="4">
        <f>IF($A535=AU$496,"",COUNTIF($E$4:$E$492,$A535&amp;" ضد "&amp;AU$496)+COUNTIF($E$4:$E$492,AU$496&amp;" ضد "&amp;$A535))</f>
        <v>0</v>
      </c>
      <c r="AV535" s="4">
        <f>IF($A535=AV$496,"",COUNTIF($E$4:$E$492,$A535&amp;" ضد "&amp;AV$496)+COUNTIF($E$4:$E$492,AV$496&amp;" ضد "&amp;$A535))</f>
        <v>0</v>
      </c>
      <c r="AW535" s="4">
        <f>IF($A535=AW$496,"",COUNTIF($E$4:$E$492,$A535&amp;" ضد "&amp;AW$496)+COUNTIF($E$4:$E$492,AW$496&amp;" ضد "&amp;$A535))</f>
        <v>0</v>
      </c>
      <c r="AX535" s="4">
        <f>IF($A535=AX$496,"",COUNTIF($E$4:$E$492,$A535&amp;" ضد "&amp;AX$496)+COUNTIF($E$4:$E$492,AX$496&amp;" ضد "&amp;$A535))</f>
        <v>0</v>
      </c>
      <c r="AY535" s="4">
        <f>IF($A535=AY$496,"",COUNTIF($E$4:$E$492,$A535&amp;" ضد "&amp;AY$496)+COUNTIF($E$4:$E$492,AY$496&amp;" ضد "&amp;$A535))</f>
        <v>0</v>
      </c>
      <c r="AZ535" s="4">
        <f>IF($A535=AZ$496,"",COUNTIF($E$4:$E$492,$A535&amp;" ضد "&amp;AZ$496)+COUNTIF($E$4:$E$492,AZ$496&amp;" ضد "&amp;$A535))</f>
        <v>0</v>
      </c>
      <c r="BA535" s="4">
        <f>IF($A535=BA$496,"",COUNTIF($E$4:$E$492,$A535&amp;" ضد "&amp;BA$496)+COUNTIF($E$4:$E$492,BA$496&amp;" ضد "&amp;$A535))</f>
        <v>0</v>
      </c>
      <c r="BB535" s="4">
        <f>IF($A535=BB$496,"",COUNTIF($E$4:$E$492,$A535&amp;" ضد "&amp;BB$496)+COUNTIF($E$4:$E$492,BB$496&amp;" ضد "&amp;$A535))</f>
        <v>0</v>
      </c>
      <c r="BC535" s="4">
        <f>IF($A535=BC$496,"",COUNTIF($E$4:$E$492,$A535&amp;" ضد "&amp;BC$496)+COUNTIF($E$4:$E$492,BC$496&amp;" ضد "&amp;$A535))</f>
        <v>0</v>
      </c>
    </row>
    <row r="536" spans="1:55" ht="14.5">
      <c r="A536" s="14">
        <v>40</v>
      </c>
      <c r="B536" s="4">
        <f>IF($A536=B$496,"",COUNTIF($E$4:$E$492,$A536&amp;" ضد "&amp;B$496)+COUNTIF($E$4:$E$492,B$496&amp;" ضد "&amp;$A536))</f>
        <v>0</v>
      </c>
      <c r="C536" s="4">
        <f>IF($A536=C$496,"",COUNTIF($E$4:$E$492,$A536&amp;" ضد "&amp;C$496)+COUNTIF($E$4:$E$492,C$496&amp;" ضد "&amp;$A536))</f>
        <v>0</v>
      </c>
      <c r="D536" s="4">
        <f>IF($A536=D$496,"",COUNTIF($E$4:$E$492,$A536&amp;" ضد "&amp;D$496)+COUNTIF($E$4:$E$492,D$496&amp;" ضد "&amp;$A536))</f>
        <v>0</v>
      </c>
      <c r="E536" s="4">
        <f>IF($A536=E$496,"",COUNTIF($E$4:$E$492,$A536&amp;" ضد "&amp;E$496)+COUNTIF($E$4:$E$492,E$496&amp;" ضد "&amp;$A536))</f>
        <v>0</v>
      </c>
      <c r="F536" s="4">
        <f>IF($A536=F$496,"",COUNTIF($E$4:$E$492,$A536&amp;" ضد "&amp;F$496)+COUNTIF($E$4:$E$492,F$496&amp;" ضد "&amp;$A536))</f>
        <v>0</v>
      </c>
      <c r="G536" s="4">
        <f>IF($A536=G$496,"",COUNTIF($E$4:$E$492,$A536&amp;" ضد "&amp;G$496)+COUNTIF($E$4:$E$492,G$496&amp;" ضد "&amp;$A536))</f>
        <v>0</v>
      </c>
      <c r="H536" s="4">
        <f>IF($A536=H$496,"",COUNTIF($E$4:$E$492,$A536&amp;" ضد "&amp;H$496)+COUNTIF($E$4:$E$492,H$496&amp;" ضد "&amp;$A536))</f>
        <v>0</v>
      </c>
      <c r="I536" s="4">
        <f>IF($A536=I$496,"",COUNTIF($E$4:$E$492,$A536&amp;" ضد "&amp;I$496)+COUNTIF($E$4:$E$492,I$496&amp;" ضد "&amp;$A536))</f>
        <v>0</v>
      </c>
      <c r="J536" s="4">
        <f>IF($A536=J$496,"",COUNTIF($E$4:$E$492,$A536&amp;" ضد "&amp;J$496)+COUNTIF($E$4:$E$492,J$496&amp;" ضد "&amp;$A536))</f>
        <v>0</v>
      </c>
      <c r="K536" s="4">
        <f>IF($A536=K$496,"",COUNTIF($E$4:$E$492,$A536&amp;" ضد "&amp;K$496)+COUNTIF($E$4:$E$492,K$496&amp;" ضد "&amp;$A536))</f>
        <v>0</v>
      </c>
      <c r="L536" s="4">
        <f>IF($A536=L$496,"",COUNTIF($E$4:$E$492,$A536&amp;" ضد "&amp;L$496)+COUNTIF($E$4:$E$492,L$496&amp;" ضد "&amp;$A536))</f>
        <v>0</v>
      </c>
      <c r="M536" s="4">
        <f>IF($A536=M$496,"",COUNTIF($E$4:$E$492,$A536&amp;" ضد "&amp;M$496)+COUNTIF($E$4:$E$492,M$496&amp;" ضد "&amp;$A536))</f>
        <v>0</v>
      </c>
      <c r="N536" s="4">
        <f>IF($A536=N$496,"",COUNTIF($E$4:$E$492,$A536&amp;" ضد "&amp;N$496)+COUNTIF($E$4:$E$492,N$496&amp;" ضد "&amp;$A536))</f>
        <v>0</v>
      </c>
      <c r="O536" s="4">
        <f>IF($A536=O$496,"",COUNTIF($E$4:$E$492,$A536&amp;" ضد "&amp;O$496)+COUNTIF($E$4:$E$492,O$496&amp;" ضد "&amp;$A536))</f>
        <v>0</v>
      </c>
      <c r="P536" s="4">
        <f>IF($A536=P$496,"",COUNTIF($E$4:$E$492,$A536&amp;" ضد "&amp;P$496)+COUNTIF($E$4:$E$492,P$496&amp;" ضد "&amp;$A536))</f>
        <v>0</v>
      </c>
      <c r="Q536" s="4">
        <f>IF($A536=Q$496,"",COUNTIF($E$4:$E$492,$A536&amp;" ضد "&amp;Q$496)+COUNTIF($E$4:$E$492,Q$496&amp;" ضد "&amp;$A536))</f>
        <v>0</v>
      </c>
      <c r="R536" s="4">
        <f>IF($A536=R$496,"",COUNTIF($E$4:$E$492,$A536&amp;" ضد "&amp;R$496)+COUNTIF($E$4:$E$492,R$496&amp;" ضد "&amp;$A536))</f>
        <v>0</v>
      </c>
      <c r="S536" s="4">
        <f>IF($A536=S$496,"",COUNTIF($E$4:$E$492,$A536&amp;" ضد "&amp;S$496)+COUNTIF($E$4:$E$492,S$496&amp;" ضد "&amp;$A536))</f>
        <v>0</v>
      </c>
      <c r="T536" s="4">
        <f>IF($A536=T$496,"",COUNTIF($E$4:$E$492,$A536&amp;" ضد "&amp;T$496)+COUNTIF($E$4:$E$492,T$496&amp;" ضد "&amp;$A536))</f>
        <v>0</v>
      </c>
      <c r="U536" s="4">
        <f>IF($A536=U$496,"",COUNTIF($E$4:$E$492,$A536&amp;" ضد "&amp;U$496)+COUNTIF($E$4:$E$492,U$496&amp;" ضد "&amp;$A536))</f>
        <v>0</v>
      </c>
      <c r="V536" s="4">
        <f>IF($A536=V$496,"",COUNTIF($E$4:$E$492,$A536&amp;" ضد "&amp;V$496)+COUNTIF($E$4:$E$492,V$496&amp;" ضد "&amp;$A536))</f>
        <v>0</v>
      </c>
      <c r="W536" s="4">
        <f>IF($A536=W$496,"",COUNTIF($E$4:$E$492,$A536&amp;" ضد "&amp;W$496)+COUNTIF($E$4:$E$492,W$496&amp;" ضد "&amp;$A536))</f>
        <v>0</v>
      </c>
      <c r="X536" s="4">
        <f>IF($A536=X$496,"",COUNTIF($E$4:$E$492,$A536&amp;" ضد "&amp;X$496)+COUNTIF($E$4:$E$492,X$496&amp;" ضد "&amp;$A536))</f>
        <v>0</v>
      </c>
      <c r="Y536" s="4">
        <f>IF($A536=Y$496,"",COUNTIF($E$4:$E$492,$A536&amp;" ضد "&amp;Y$496)+COUNTIF($E$4:$E$492,Y$496&amp;" ضد "&amp;$A536))</f>
        <v>0</v>
      </c>
      <c r="Z536" s="4">
        <f>IF($A536=Z$496,"",COUNTIF($E$4:$E$492,$A536&amp;" ضد "&amp;Z$496)+COUNTIF($E$4:$E$492,Z$496&amp;" ضد "&amp;$A536))</f>
        <v>0</v>
      </c>
      <c r="AA536" s="4">
        <f>IF($A536=AA$496,"",COUNTIF($E$4:$E$492,$A536&amp;" ضد "&amp;AA$496)+COUNTIF($E$4:$E$492,AA$496&amp;" ضد "&amp;$A536))</f>
        <v>0</v>
      </c>
      <c r="AB536" s="4">
        <f>IF($A536=AB$496,"",COUNTIF($E$4:$E$492,$A536&amp;" ضد "&amp;AB$496)+COUNTIF($E$4:$E$492,AB$496&amp;" ضد "&amp;$A536))</f>
        <v>0</v>
      </c>
      <c r="AC536" s="4">
        <f>IF($A536=AC$496,"",COUNTIF($E$4:$E$492,$A536&amp;" ضد "&amp;AC$496)+COUNTIF($E$4:$E$492,AC$496&amp;" ضد "&amp;$A536))</f>
        <v>0</v>
      </c>
      <c r="AD536" s="4">
        <f>IF($A536=AD$496,"",COUNTIF($E$4:$E$492,$A536&amp;" ضد "&amp;AD$496)+COUNTIF($E$4:$E$492,AD$496&amp;" ضد "&amp;$A536))</f>
        <v>2</v>
      </c>
      <c r="AE536" s="4">
        <f>IF($A536=AE$496,"",COUNTIF($E$4:$E$492,$A536&amp;" ضد "&amp;AE$496)+COUNTIF($E$4:$E$492,AE$496&amp;" ضد "&amp;$A536))</f>
        <v>1</v>
      </c>
      <c r="AF536" s="4">
        <f>IF($A536=AF$496,"",COUNTIF($E$4:$E$492,$A536&amp;" ضد "&amp;AF$496)+COUNTIF($E$4:$E$492,AF$496&amp;" ضد "&amp;$A536))</f>
        <v>2</v>
      </c>
      <c r="AG536" s="4">
        <f>IF($A536=AG$496,"",COUNTIF($E$4:$E$492,$A536&amp;" ضد "&amp;AG$496)+COUNTIF($E$4:$E$492,AG$496&amp;" ضد "&amp;$A536))</f>
        <v>1</v>
      </c>
      <c r="AH536" s="4">
        <f>IF($A536=AH$496,"",COUNTIF($E$4:$E$492,$A536&amp;" ضد "&amp;AH$496)+COUNTIF($E$4:$E$492,AH$496&amp;" ضد "&amp;$A536))</f>
        <v>1</v>
      </c>
      <c r="AI536" s="4">
        <f>IF($A536=AI$496,"",COUNTIF($E$4:$E$492,$A536&amp;" ضد "&amp;AI$496)+COUNTIF($E$4:$E$492,AI$496&amp;" ضد "&amp;$A536))</f>
        <v>1</v>
      </c>
      <c r="AJ536" s="4">
        <f>IF($A536=AJ$496,"",COUNTIF($E$4:$E$492,$A536&amp;" ضد "&amp;AJ$496)+COUNTIF($E$4:$E$492,AJ$496&amp;" ضد "&amp;$A536))</f>
        <v>1</v>
      </c>
      <c r="AK536" s="4">
        <f>IF($A536=AK$496,"",COUNTIF($E$4:$E$492,$A536&amp;" ضد "&amp;AK$496)+COUNTIF($E$4:$E$492,AK$496&amp;" ضد "&amp;$A536))</f>
        <v>2</v>
      </c>
      <c r="AL536" s="4">
        <f>IF($A536=AL$496,"",COUNTIF($E$4:$E$492,$A536&amp;" ضد "&amp;AL$496)+COUNTIF($E$4:$E$492,AL$496&amp;" ضد "&amp;$A536))</f>
        <v>1</v>
      </c>
      <c r="AM536" s="4">
        <f>IF($A536=AM$496,"",COUNTIF($E$4:$E$492,$A536&amp;" ضد "&amp;AM$496)+COUNTIF($E$4:$E$492,AM$496&amp;" ضد "&amp;$A536))</f>
        <v>2</v>
      </c>
      <c r="AN536" s="4">
        <f>IF($A536=AN$496,"",COUNTIF($E$4:$E$492,$A536&amp;" ضد "&amp;AN$496)+COUNTIF($E$4:$E$492,AN$496&amp;" ضد "&amp;$A536))</f>
        <v>1</v>
      </c>
      <c r="AO536" s="4" t="str">
        <f>IF($A536=AO$496,"",COUNTIF($E$4:$E$492,$A536&amp;" ضد "&amp;AO$496)+COUNTIF($E$4:$E$492,AO$496&amp;" ضد "&amp;$A536))</f>
        <v/>
      </c>
      <c r="AP536" s="4">
        <f>IF($A536=AP$496,"",COUNTIF($E$4:$E$492,$A536&amp;" ضد "&amp;AP$496)+COUNTIF($E$4:$E$492,AP$496&amp;" ضد "&amp;$A536))</f>
        <v>1</v>
      </c>
      <c r="AQ536" s="4">
        <f>IF($A536=AQ$496,"",COUNTIF($E$4:$E$492,$A536&amp;" ضد "&amp;AQ$496)+COUNTIF($E$4:$E$492,AQ$496&amp;" ضد "&amp;$A536))</f>
        <v>2</v>
      </c>
      <c r="AR536" s="4">
        <f>IF($A536=AR$496,"",COUNTIF($E$4:$E$492,$A536&amp;" ضد "&amp;AR$496)+COUNTIF($E$4:$E$492,AR$496&amp;" ضد "&amp;$A536))</f>
        <v>0</v>
      </c>
      <c r="AS536" s="4">
        <f>IF($A536=AS$496,"",COUNTIF($E$4:$E$492,$A536&amp;" ضد "&amp;AS$496)+COUNTIF($E$4:$E$492,AS$496&amp;" ضد "&amp;$A536))</f>
        <v>0</v>
      </c>
      <c r="AT536" s="4">
        <f>IF($A536=AT$496,"",COUNTIF($E$4:$E$492,$A536&amp;" ضد "&amp;AT$496)+COUNTIF($E$4:$E$492,AT$496&amp;" ضد "&amp;$A536))</f>
        <v>0</v>
      </c>
      <c r="AU536" s="4">
        <f>IF($A536=AU$496,"",COUNTIF($E$4:$E$492,$A536&amp;" ضد "&amp;AU$496)+COUNTIF($E$4:$E$492,AU$496&amp;" ضد "&amp;$A536))</f>
        <v>0</v>
      </c>
      <c r="AV536" s="4">
        <f>IF($A536=AV$496,"",COUNTIF($E$4:$E$492,$A536&amp;" ضد "&amp;AV$496)+COUNTIF($E$4:$E$492,AV$496&amp;" ضد "&amp;$A536))</f>
        <v>0</v>
      </c>
      <c r="AW536" s="4">
        <f>IF($A536=AW$496,"",COUNTIF($E$4:$E$492,$A536&amp;" ضد "&amp;AW$496)+COUNTIF($E$4:$E$492,AW$496&amp;" ضد "&amp;$A536))</f>
        <v>0</v>
      </c>
      <c r="AX536" s="4">
        <f>IF($A536=AX$496,"",COUNTIF($E$4:$E$492,$A536&amp;" ضد "&amp;AX$496)+COUNTIF($E$4:$E$492,AX$496&amp;" ضد "&amp;$A536))</f>
        <v>0</v>
      </c>
      <c r="AY536" s="4">
        <f>IF($A536=AY$496,"",COUNTIF($E$4:$E$492,$A536&amp;" ضد "&amp;AY$496)+COUNTIF($E$4:$E$492,AY$496&amp;" ضد "&amp;$A536))</f>
        <v>0</v>
      </c>
      <c r="AZ536" s="4">
        <f>IF($A536=AZ$496,"",COUNTIF($E$4:$E$492,$A536&amp;" ضد "&amp;AZ$496)+COUNTIF($E$4:$E$492,AZ$496&amp;" ضد "&amp;$A536))</f>
        <v>0</v>
      </c>
      <c r="BA536" s="4">
        <f>IF($A536=BA$496,"",COUNTIF($E$4:$E$492,$A536&amp;" ضد "&amp;BA$496)+COUNTIF($E$4:$E$492,BA$496&amp;" ضد "&amp;$A536))</f>
        <v>0</v>
      </c>
      <c r="BB536" s="4">
        <f>IF($A536=BB$496,"",COUNTIF($E$4:$E$492,$A536&amp;" ضد "&amp;BB$496)+COUNTIF($E$4:$E$492,BB$496&amp;" ضد "&amp;$A536))</f>
        <v>0</v>
      </c>
      <c r="BC536" s="4">
        <f>IF($A536=BC$496,"",COUNTIF($E$4:$E$492,$A536&amp;" ضد "&amp;BC$496)+COUNTIF($E$4:$E$492,BC$496&amp;" ضد "&amp;$A536))</f>
        <v>0</v>
      </c>
    </row>
    <row r="537" spans="1:55" ht="14.5">
      <c r="A537" s="14">
        <v>41</v>
      </c>
      <c r="B537" s="4">
        <f>IF($A537=B$496,"",COUNTIF($E$4:$E$492,$A537&amp;" ضد "&amp;B$496)+COUNTIF($E$4:$E$492,B$496&amp;" ضد "&amp;$A537))</f>
        <v>0</v>
      </c>
      <c r="C537" s="4">
        <f>IF($A537=C$496,"",COUNTIF($E$4:$E$492,$A537&amp;" ضد "&amp;C$496)+COUNTIF($E$4:$E$492,C$496&amp;" ضد "&amp;$A537))</f>
        <v>0</v>
      </c>
      <c r="D537" s="4">
        <f>IF($A537=D$496,"",COUNTIF($E$4:$E$492,$A537&amp;" ضد "&amp;D$496)+COUNTIF($E$4:$E$492,D$496&amp;" ضد "&amp;$A537))</f>
        <v>0</v>
      </c>
      <c r="E537" s="4">
        <f>IF($A537=E$496,"",COUNTIF($E$4:$E$492,$A537&amp;" ضد "&amp;E$496)+COUNTIF($E$4:$E$492,E$496&amp;" ضد "&amp;$A537))</f>
        <v>0</v>
      </c>
      <c r="F537" s="4">
        <f>IF($A537=F$496,"",COUNTIF($E$4:$E$492,$A537&amp;" ضد "&amp;F$496)+COUNTIF($E$4:$E$492,F$496&amp;" ضد "&amp;$A537))</f>
        <v>0</v>
      </c>
      <c r="G537" s="4">
        <f>IF($A537=G$496,"",COUNTIF($E$4:$E$492,$A537&amp;" ضد "&amp;G$496)+COUNTIF($E$4:$E$492,G$496&amp;" ضد "&amp;$A537))</f>
        <v>0</v>
      </c>
      <c r="H537" s="4">
        <f>IF($A537=H$496,"",COUNTIF($E$4:$E$492,$A537&amp;" ضد "&amp;H$496)+COUNTIF($E$4:$E$492,H$496&amp;" ضد "&amp;$A537))</f>
        <v>0</v>
      </c>
      <c r="I537" s="4">
        <f>IF($A537=I$496,"",COUNTIF($E$4:$E$492,$A537&amp;" ضد "&amp;I$496)+COUNTIF($E$4:$E$492,I$496&amp;" ضد "&amp;$A537))</f>
        <v>0</v>
      </c>
      <c r="J537" s="4">
        <f>IF($A537=J$496,"",COUNTIF($E$4:$E$492,$A537&amp;" ضد "&amp;J$496)+COUNTIF($E$4:$E$492,J$496&amp;" ضد "&amp;$A537))</f>
        <v>0</v>
      </c>
      <c r="K537" s="4">
        <f>IF($A537=K$496,"",COUNTIF($E$4:$E$492,$A537&amp;" ضد "&amp;K$496)+COUNTIF($E$4:$E$492,K$496&amp;" ضد "&amp;$A537))</f>
        <v>0</v>
      </c>
      <c r="L537" s="4">
        <f>IF($A537=L$496,"",COUNTIF($E$4:$E$492,$A537&amp;" ضد "&amp;L$496)+COUNTIF($E$4:$E$492,L$496&amp;" ضد "&amp;$A537))</f>
        <v>0</v>
      </c>
      <c r="M537" s="4">
        <f>IF($A537=M$496,"",COUNTIF($E$4:$E$492,$A537&amp;" ضد "&amp;M$496)+COUNTIF($E$4:$E$492,M$496&amp;" ضد "&amp;$A537))</f>
        <v>0</v>
      </c>
      <c r="N537" s="4">
        <f>IF($A537=N$496,"",COUNTIF($E$4:$E$492,$A537&amp;" ضد "&amp;N$496)+COUNTIF($E$4:$E$492,N$496&amp;" ضد "&amp;$A537))</f>
        <v>0</v>
      </c>
      <c r="O537" s="4">
        <f>IF($A537=O$496,"",COUNTIF($E$4:$E$492,$A537&amp;" ضد "&amp;O$496)+COUNTIF($E$4:$E$492,O$496&amp;" ضد "&amp;$A537))</f>
        <v>0</v>
      </c>
      <c r="P537" s="4">
        <f>IF($A537=P$496,"",COUNTIF($E$4:$E$492,$A537&amp;" ضد "&amp;P$496)+COUNTIF($E$4:$E$492,P$496&amp;" ضد "&amp;$A537))</f>
        <v>0</v>
      </c>
      <c r="Q537" s="4">
        <f>IF($A537=Q$496,"",COUNTIF($E$4:$E$492,$A537&amp;" ضد "&amp;Q$496)+COUNTIF($E$4:$E$492,Q$496&amp;" ضد "&amp;$A537))</f>
        <v>0</v>
      </c>
      <c r="R537" s="4">
        <f>IF($A537=R$496,"",COUNTIF($E$4:$E$492,$A537&amp;" ضد "&amp;R$496)+COUNTIF($E$4:$E$492,R$496&amp;" ضد "&amp;$A537))</f>
        <v>0</v>
      </c>
      <c r="S537" s="4">
        <f>IF($A537=S$496,"",COUNTIF($E$4:$E$492,$A537&amp;" ضد "&amp;S$496)+COUNTIF($E$4:$E$492,S$496&amp;" ضد "&amp;$A537))</f>
        <v>0</v>
      </c>
      <c r="T537" s="4">
        <f>IF($A537=T$496,"",COUNTIF($E$4:$E$492,$A537&amp;" ضد "&amp;T$496)+COUNTIF($E$4:$E$492,T$496&amp;" ضد "&amp;$A537))</f>
        <v>0</v>
      </c>
      <c r="U537" s="4">
        <f>IF($A537=U$496,"",COUNTIF($E$4:$E$492,$A537&amp;" ضد "&amp;U$496)+COUNTIF($E$4:$E$492,U$496&amp;" ضد "&amp;$A537))</f>
        <v>0</v>
      </c>
      <c r="V537" s="4">
        <f>IF($A537=V$496,"",COUNTIF($E$4:$E$492,$A537&amp;" ضد "&amp;V$496)+COUNTIF($E$4:$E$492,V$496&amp;" ضد "&amp;$A537))</f>
        <v>0</v>
      </c>
      <c r="W537" s="4">
        <f>IF($A537=W$496,"",COUNTIF($E$4:$E$492,$A537&amp;" ضد "&amp;W$496)+COUNTIF($E$4:$E$492,W$496&amp;" ضد "&amp;$A537))</f>
        <v>0</v>
      </c>
      <c r="X537" s="4">
        <f>IF($A537=X$496,"",COUNTIF($E$4:$E$492,$A537&amp;" ضد "&amp;X$496)+COUNTIF($E$4:$E$492,X$496&amp;" ضد "&amp;$A537))</f>
        <v>0</v>
      </c>
      <c r="Y537" s="4">
        <f>IF($A537=Y$496,"",COUNTIF($E$4:$E$492,$A537&amp;" ضد "&amp;Y$496)+COUNTIF($E$4:$E$492,Y$496&amp;" ضد "&amp;$A537))</f>
        <v>0</v>
      </c>
      <c r="Z537" s="4">
        <f>IF($A537=Z$496,"",COUNTIF($E$4:$E$492,$A537&amp;" ضد "&amp;Z$496)+COUNTIF($E$4:$E$492,Z$496&amp;" ضد "&amp;$A537))</f>
        <v>0</v>
      </c>
      <c r="AA537" s="4">
        <f>IF($A537=AA$496,"",COUNTIF($E$4:$E$492,$A537&amp;" ضد "&amp;AA$496)+COUNTIF($E$4:$E$492,AA$496&amp;" ضد "&amp;$A537))</f>
        <v>0</v>
      </c>
      <c r="AB537" s="4">
        <f>IF($A537=AB$496,"",COUNTIF($E$4:$E$492,$A537&amp;" ضد "&amp;AB$496)+COUNTIF($E$4:$E$492,AB$496&amp;" ضد "&amp;$A537))</f>
        <v>0</v>
      </c>
      <c r="AC537" s="4">
        <f>IF($A537=AC$496,"",COUNTIF($E$4:$E$492,$A537&amp;" ضد "&amp;AC$496)+COUNTIF($E$4:$E$492,AC$496&amp;" ضد "&amp;$A537))</f>
        <v>0</v>
      </c>
      <c r="AD537" s="4">
        <f>IF($A537=AD$496,"",COUNTIF($E$4:$E$492,$A537&amp;" ضد "&amp;AD$496)+COUNTIF($E$4:$E$492,AD$496&amp;" ضد "&amp;$A537))</f>
        <v>2</v>
      </c>
      <c r="AE537" s="4">
        <f>IF($A537=AE$496,"",COUNTIF($E$4:$E$492,$A537&amp;" ضد "&amp;AE$496)+COUNTIF($E$4:$E$492,AE$496&amp;" ضد "&amp;$A537))</f>
        <v>2</v>
      </c>
      <c r="AF537" s="4">
        <f>IF($A537=AF$496,"",COUNTIF($E$4:$E$492,$A537&amp;" ضد "&amp;AF$496)+COUNTIF($E$4:$E$492,AF$496&amp;" ضد "&amp;$A537))</f>
        <v>1</v>
      </c>
      <c r="AG537" s="4">
        <f>IF($A537=AG$496,"",COUNTIF($E$4:$E$492,$A537&amp;" ضد "&amp;AG$496)+COUNTIF($E$4:$E$492,AG$496&amp;" ضد "&amp;$A537))</f>
        <v>1</v>
      </c>
      <c r="AH537" s="4">
        <f>IF($A537=AH$496,"",COUNTIF($E$4:$E$492,$A537&amp;" ضد "&amp;AH$496)+COUNTIF($E$4:$E$492,AH$496&amp;" ضد "&amp;$A537))</f>
        <v>1</v>
      </c>
      <c r="AI537" s="4">
        <f>IF($A537=AI$496,"",COUNTIF($E$4:$E$492,$A537&amp;" ضد "&amp;AI$496)+COUNTIF($E$4:$E$492,AI$496&amp;" ضد "&amp;$A537))</f>
        <v>1</v>
      </c>
      <c r="AJ537" s="4">
        <f>IF($A537=AJ$496,"",COUNTIF($E$4:$E$492,$A537&amp;" ضد "&amp;AJ$496)+COUNTIF($E$4:$E$492,AJ$496&amp;" ضد "&amp;$A537))</f>
        <v>2</v>
      </c>
      <c r="AK537" s="4">
        <f>IF($A537=AK$496,"",COUNTIF($E$4:$E$492,$A537&amp;" ضد "&amp;AK$496)+COUNTIF($E$4:$E$492,AK$496&amp;" ضد "&amp;$A537))</f>
        <v>1</v>
      </c>
      <c r="AL537" s="4">
        <f>IF($A537=AL$496,"",COUNTIF($E$4:$E$492,$A537&amp;" ضد "&amp;AL$496)+COUNTIF($E$4:$E$492,AL$496&amp;" ضد "&amp;$A537))</f>
        <v>2</v>
      </c>
      <c r="AM537" s="4">
        <f>IF($A537=AM$496,"",COUNTIF($E$4:$E$492,$A537&amp;" ضد "&amp;AM$496)+COUNTIF($E$4:$E$492,AM$496&amp;" ضد "&amp;$A537))</f>
        <v>1</v>
      </c>
      <c r="AN537" s="4">
        <f>IF($A537=AN$496,"",COUNTIF($E$4:$E$492,$A537&amp;" ضد "&amp;AN$496)+COUNTIF($E$4:$E$492,AN$496&amp;" ضد "&amp;$A537))</f>
        <v>2</v>
      </c>
      <c r="AO537" s="4">
        <f>IF($A537=AO$496,"",COUNTIF($E$4:$E$492,$A537&amp;" ضد "&amp;AO$496)+COUNTIF($E$4:$E$492,AO$496&amp;" ضد "&amp;$A537))</f>
        <v>1</v>
      </c>
      <c r="AP537" s="4" t="str">
        <f>IF($A537=AP$496,"",COUNTIF($E$4:$E$492,$A537&amp;" ضد "&amp;AP$496)+COUNTIF($E$4:$E$492,AP$496&amp;" ضد "&amp;$A537))</f>
        <v/>
      </c>
      <c r="AQ537" s="4">
        <f>IF($A537=AQ$496,"",COUNTIF($E$4:$E$492,$A537&amp;" ضد "&amp;AQ$496)+COUNTIF($E$4:$E$492,AQ$496&amp;" ضد "&amp;$A537))</f>
        <v>1</v>
      </c>
      <c r="AR537" s="4">
        <f>IF($A537=AR$496,"",COUNTIF($E$4:$E$492,$A537&amp;" ضد "&amp;AR$496)+COUNTIF($E$4:$E$492,AR$496&amp;" ضد "&amp;$A537))</f>
        <v>0</v>
      </c>
      <c r="AS537" s="4">
        <f>IF($A537=AS$496,"",COUNTIF($E$4:$E$492,$A537&amp;" ضد "&amp;AS$496)+COUNTIF($E$4:$E$492,AS$496&amp;" ضد "&amp;$A537))</f>
        <v>0</v>
      </c>
      <c r="AT537" s="4">
        <f>IF($A537=AT$496,"",COUNTIF($E$4:$E$492,$A537&amp;" ضد "&amp;AT$496)+COUNTIF($E$4:$E$492,AT$496&amp;" ضد "&amp;$A537))</f>
        <v>0</v>
      </c>
      <c r="AU537" s="4">
        <f>IF($A537=AU$496,"",COUNTIF($E$4:$E$492,$A537&amp;" ضد "&amp;AU$496)+COUNTIF($E$4:$E$492,AU$496&amp;" ضد "&amp;$A537))</f>
        <v>0</v>
      </c>
      <c r="AV537" s="4">
        <f>IF($A537=AV$496,"",COUNTIF($E$4:$E$492,$A537&amp;" ضد "&amp;AV$496)+COUNTIF($E$4:$E$492,AV$496&amp;" ضد "&amp;$A537))</f>
        <v>0</v>
      </c>
      <c r="AW537" s="4">
        <f>IF($A537=AW$496,"",COUNTIF($E$4:$E$492,$A537&amp;" ضد "&amp;AW$496)+COUNTIF($E$4:$E$492,AW$496&amp;" ضد "&amp;$A537))</f>
        <v>0</v>
      </c>
      <c r="AX537" s="4">
        <f>IF($A537=AX$496,"",COUNTIF($E$4:$E$492,$A537&amp;" ضد "&amp;AX$496)+COUNTIF($E$4:$E$492,AX$496&amp;" ضد "&amp;$A537))</f>
        <v>0</v>
      </c>
      <c r="AY537" s="4">
        <f>IF($A537=AY$496,"",COUNTIF($E$4:$E$492,$A537&amp;" ضد "&amp;AY$496)+COUNTIF($E$4:$E$492,AY$496&amp;" ضد "&amp;$A537))</f>
        <v>0</v>
      </c>
      <c r="AZ537" s="4">
        <f>IF($A537=AZ$496,"",COUNTIF($E$4:$E$492,$A537&amp;" ضد "&amp;AZ$496)+COUNTIF($E$4:$E$492,AZ$496&amp;" ضد "&amp;$A537))</f>
        <v>0</v>
      </c>
      <c r="BA537" s="4">
        <f>IF($A537=BA$496,"",COUNTIF($E$4:$E$492,$A537&amp;" ضد "&amp;BA$496)+COUNTIF($E$4:$E$492,BA$496&amp;" ضد "&amp;$A537))</f>
        <v>0</v>
      </c>
      <c r="BB537" s="4">
        <f>IF($A537=BB$496,"",COUNTIF($E$4:$E$492,$A537&amp;" ضد "&amp;BB$496)+COUNTIF($E$4:$E$492,BB$496&amp;" ضد "&amp;$A537))</f>
        <v>0</v>
      </c>
      <c r="BC537" s="4">
        <f>IF($A537=BC$496,"",COUNTIF($E$4:$E$492,$A537&amp;" ضد "&amp;BC$496)+COUNTIF($E$4:$E$492,BC$496&amp;" ضد "&amp;$A537))</f>
        <v>0</v>
      </c>
    </row>
    <row r="538" spans="1:55" ht="14.5">
      <c r="A538" s="14">
        <v>42</v>
      </c>
      <c r="B538" s="4">
        <f>IF($A538=B$496,"",COUNTIF($E$4:$E$492,$A538&amp;" ضد "&amp;B$496)+COUNTIF($E$4:$E$492,B$496&amp;" ضد "&amp;$A538))</f>
        <v>0</v>
      </c>
      <c r="C538" s="4">
        <f>IF($A538=C$496,"",COUNTIF($E$4:$E$492,$A538&amp;" ضد "&amp;C$496)+COUNTIF($E$4:$E$492,C$496&amp;" ضد "&amp;$A538))</f>
        <v>0</v>
      </c>
      <c r="D538" s="4">
        <f>IF($A538=D$496,"",COUNTIF($E$4:$E$492,$A538&amp;" ضد "&amp;D$496)+COUNTIF($E$4:$E$492,D$496&amp;" ضد "&amp;$A538))</f>
        <v>0</v>
      </c>
      <c r="E538" s="4">
        <f>IF($A538=E$496,"",COUNTIF($E$4:$E$492,$A538&amp;" ضد "&amp;E$496)+COUNTIF($E$4:$E$492,E$496&amp;" ضد "&amp;$A538))</f>
        <v>0</v>
      </c>
      <c r="F538" s="4">
        <f>IF($A538=F$496,"",COUNTIF($E$4:$E$492,$A538&amp;" ضد "&amp;F$496)+COUNTIF($E$4:$E$492,F$496&amp;" ضد "&amp;$A538))</f>
        <v>0</v>
      </c>
      <c r="G538" s="4">
        <f>IF($A538=G$496,"",COUNTIF($E$4:$E$492,$A538&amp;" ضد "&amp;G$496)+COUNTIF($E$4:$E$492,G$496&amp;" ضد "&amp;$A538))</f>
        <v>0</v>
      </c>
      <c r="H538" s="4">
        <f>IF($A538=H$496,"",COUNTIF($E$4:$E$492,$A538&amp;" ضد "&amp;H$496)+COUNTIF($E$4:$E$492,H$496&amp;" ضد "&amp;$A538))</f>
        <v>0</v>
      </c>
      <c r="I538" s="4">
        <f>IF($A538=I$496,"",COUNTIF($E$4:$E$492,$A538&amp;" ضد "&amp;I$496)+COUNTIF($E$4:$E$492,I$496&amp;" ضد "&amp;$A538))</f>
        <v>0</v>
      </c>
      <c r="J538" s="4">
        <f>IF($A538=J$496,"",COUNTIF($E$4:$E$492,$A538&amp;" ضد "&amp;J$496)+COUNTIF($E$4:$E$492,J$496&amp;" ضد "&amp;$A538))</f>
        <v>0</v>
      </c>
      <c r="K538" s="4">
        <f>IF($A538=K$496,"",COUNTIF($E$4:$E$492,$A538&amp;" ضد "&amp;K$496)+COUNTIF($E$4:$E$492,K$496&amp;" ضد "&amp;$A538))</f>
        <v>0</v>
      </c>
      <c r="L538" s="4">
        <f>IF($A538=L$496,"",COUNTIF($E$4:$E$492,$A538&amp;" ضد "&amp;L$496)+COUNTIF($E$4:$E$492,L$496&amp;" ضد "&amp;$A538))</f>
        <v>0</v>
      </c>
      <c r="M538" s="4">
        <f>IF($A538=M$496,"",COUNTIF($E$4:$E$492,$A538&amp;" ضد "&amp;M$496)+COUNTIF($E$4:$E$492,M$496&amp;" ضد "&amp;$A538))</f>
        <v>0</v>
      </c>
      <c r="N538" s="4">
        <f>IF($A538=N$496,"",COUNTIF($E$4:$E$492,$A538&amp;" ضد "&amp;N$496)+COUNTIF($E$4:$E$492,N$496&amp;" ضد "&amp;$A538))</f>
        <v>0</v>
      </c>
      <c r="O538" s="4">
        <f>IF($A538=O$496,"",COUNTIF($E$4:$E$492,$A538&amp;" ضد "&amp;O$496)+COUNTIF($E$4:$E$492,O$496&amp;" ضد "&amp;$A538))</f>
        <v>0</v>
      </c>
      <c r="P538" s="4">
        <f>IF($A538=P$496,"",COUNTIF($E$4:$E$492,$A538&amp;" ضد "&amp;P$496)+COUNTIF($E$4:$E$492,P$496&amp;" ضد "&amp;$A538))</f>
        <v>0</v>
      </c>
      <c r="Q538" s="4">
        <f>IF($A538=Q$496,"",COUNTIF($E$4:$E$492,$A538&amp;" ضد "&amp;Q$496)+COUNTIF($E$4:$E$492,Q$496&amp;" ضد "&amp;$A538))</f>
        <v>0</v>
      </c>
      <c r="R538" s="4">
        <f>IF($A538=R$496,"",COUNTIF($E$4:$E$492,$A538&amp;" ضد "&amp;R$496)+COUNTIF($E$4:$E$492,R$496&amp;" ضد "&amp;$A538))</f>
        <v>0</v>
      </c>
      <c r="S538" s="4">
        <f>IF($A538=S$496,"",COUNTIF($E$4:$E$492,$A538&amp;" ضد "&amp;S$496)+COUNTIF($E$4:$E$492,S$496&amp;" ضد "&amp;$A538))</f>
        <v>0</v>
      </c>
      <c r="T538" s="4">
        <f>IF($A538=T$496,"",COUNTIF($E$4:$E$492,$A538&amp;" ضد "&amp;T$496)+COUNTIF($E$4:$E$492,T$496&amp;" ضد "&amp;$A538))</f>
        <v>0</v>
      </c>
      <c r="U538" s="4">
        <f>IF($A538=U$496,"",COUNTIF($E$4:$E$492,$A538&amp;" ضد "&amp;U$496)+COUNTIF($E$4:$E$492,U$496&amp;" ضد "&amp;$A538))</f>
        <v>0</v>
      </c>
      <c r="V538" s="4">
        <f>IF($A538=V$496,"",COUNTIF($E$4:$E$492,$A538&amp;" ضد "&amp;V$496)+COUNTIF($E$4:$E$492,V$496&amp;" ضد "&amp;$A538))</f>
        <v>0</v>
      </c>
      <c r="W538" s="4">
        <f>IF($A538=W$496,"",COUNTIF($E$4:$E$492,$A538&amp;" ضد "&amp;W$496)+COUNTIF($E$4:$E$492,W$496&amp;" ضد "&amp;$A538))</f>
        <v>0</v>
      </c>
      <c r="X538" s="4">
        <f>IF($A538=X$496,"",COUNTIF($E$4:$E$492,$A538&amp;" ضد "&amp;X$496)+COUNTIF($E$4:$E$492,X$496&amp;" ضد "&amp;$A538))</f>
        <v>0</v>
      </c>
      <c r="Y538" s="4">
        <f>IF($A538=Y$496,"",COUNTIF($E$4:$E$492,$A538&amp;" ضد "&amp;Y$496)+COUNTIF($E$4:$E$492,Y$496&amp;" ضد "&amp;$A538))</f>
        <v>0</v>
      </c>
      <c r="Z538" s="4">
        <f>IF($A538=Z$496,"",COUNTIF($E$4:$E$492,$A538&amp;" ضد "&amp;Z$496)+COUNTIF($E$4:$E$492,Z$496&amp;" ضد "&amp;$A538))</f>
        <v>0</v>
      </c>
      <c r="AA538" s="4">
        <f>IF($A538=AA$496,"",COUNTIF($E$4:$E$492,$A538&amp;" ضد "&amp;AA$496)+COUNTIF($E$4:$E$492,AA$496&amp;" ضد "&amp;$A538))</f>
        <v>0</v>
      </c>
      <c r="AB538" s="4">
        <f>IF($A538=AB$496,"",COUNTIF($E$4:$E$492,$A538&amp;" ضد "&amp;AB$496)+COUNTIF($E$4:$E$492,AB$496&amp;" ضد "&amp;$A538))</f>
        <v>0</v>
      </c>
      <c r="AC538" s="4">
        <f>IF($A538=AC$496,"",COUNTIF($E$4:$E$492,$A538&amp;" ضد "&amp;AC$496)+COUNTIF($E$4:$E$492,AC$496&amp;" ضد "&amp;$A538))</f>
        <v>0</v>
      </c>
      <c r="AD538" s="4">
        <f>IF($A538=AD$496,"",COUNTIF($E$4:$E$492,$A538&amp;" ضد "&amp;AD$496)+COUNTIF($E$4:$E$492,AD$496&amp;" ضد "&amp;$A538))</f>
        <v>2</v>
      </c>
      <c r="AE538" s="4">
        <f>IF($A538=AE$496,"",COUNTIF($E$4:$E$492,$A538&amp;" ضد "&amp;AE$496)+COUNTIF($E$4:$E$492,AE$496&amp;" ضد "&amp;$A538))</f>
        <v>1</v>
      </c>
      <c r="AF538" s="4">
        <f>IF($A538=AF$496,"",COUNTIF($E$4:$E$492,$A538&amp;" ضد "&amp;AF$496)+COUNTIF($E$4:$E$492,AF$496&amp;" ضد "&amp;$A538))</f>
        <v>1</v>
      </c>
      <c r="AG538" s="4">
        <f>IF($A538=AG$496,"",COUNTIF($E$4:$E$492,$A538&amp;" ضد "&amp;AG$496)+COUNTIF($E$4:$E$492,AG$496&amp;" ضد "&amp;$A538))</f>
        <v>1</v>
      </c>
      <c r="AH538" s="4">
        <f>IF($A538=AH$496,"",COUNTIF($E$4:$E$492,$A538&amp;" ضد "&amp;AH$496)+COUNTIF($E$4:$E$492,AH$496&amp;" ضد "&amp;$A538))</f>
        <v>1</v>
      </c>
      <c r="AI538" s="4">
        <f>IF($A538=AI$496,"",COUNTIF($E$4:$E$492,$A538&amp;" ضد "&amp;AI$496)+COUNTIF($E$4:$E$492,AI$496&amp;" ضد "&amp;$A538))</f>
        <v>2</v>
      </c>
      <c r="AJ538" s="4">
        <f>IF($A538=AJ$496,"",COUNTIF($E$4:$E$492,$A538&amp;" ضد "&amp;AJ$496)+COUNTIF($E$4:$E$492,AJ$496&amp;" ضد "&amp;$A538))</f>
        <v>1</v>
      </c>
      <c r="AK538" s="4">
        <f>IF($A538=AK$496,"",COUNTIF($E$4:$E$492,$A538&amp;" ضد "&amp;AK$496)+COUNTIF($E$4:$E$492,AK$496&amp;" ضد "&amp;$A538))</f>
        <v>2</v>
      </c>
      <c r="AL538" s="4">
        <f>IF($A538=AL$496,"",COUNTIF($E$4:$E$492,$A538&amp;" ضد "&amp;AL$496)+COUNTIF($E$4:$E$492,AL$496&amp;" ضد "&amp;$A538))</f>
        <v>1</v>
      </c>
      <c r="AM538" s="4">
        <f>IF($A538=AM$496,"",COUNTIF($E$4:$E$492,$A538&amp;" ضد "&amp;AM$496)+COUNTIF($E$4:$E$492,AM$496&amp;" ضد "&amp;$A538))</f>
        <v>2</v>
      </c>
      <c r="AN538" s="4">
        <f>IF($A538=AN$496,"",COUNTIF($E$4:$E$492,$A538&amp;" ضد "&amp;AN$496)+COUNTIF($E$4:$E$492,AN$496&amp;" ضد "&amp;$A538))</f>
        <v>1</v>
      </c>
      <c r="AO538" s="4">
        <f>IF($A538=AO$496,"",COUNTIF($E$4:$E$492,$A538&amp;" ضد "&amp;AO$496)+COUNTIF($E$4:$E$492,AO$496&amp;" ضد "&amp;$A538))</f>
        <v>2</v>
      </c>
      <c r="AP538" s="4">
        <f>IF($A538=AP$496,"",COUNTIF($E$4:$E$492,$A538&amp;" ضد "&amp;AP$496)+COUNTIF($E$4:$E$492,AP$496&amp;" ضد "&amp;$A538))</f>
        <v>1</v>
      </c>
      <c r="AQ538" s="4" t="str">
        <f>IF($A538=AQ$496,"",COUNTIF($E$4:$E$492,$A538&amp;" ضد "&amp;AQ$496)+COUNTIF($E$4:$E$492,AQ$496&amp;" ضد "&amp;$A538))</f>
        <v/>
      </c>
      <c r="AR538" s="4">
        <f>IF($A538=AR$496,"",COUNTIF($E$4:$E$492,$A538&amp;" ضد "&amp;AR$496)+COUNTIF($E$4:$E$492,AR$496&amp;" ضد "&amp;$A538))</f>
        <v>0</v>
      </c>
      <c r="AS538" s="4">
        <f>IF($A538=AS$496,"",COUNTIF($E$4:$E$492,$A538&amp;" ضد "&amp;AS$496)+COUNTIF($E$4:$E$492,AS$496&amp;" ضد "&amp;$A538))</f>
        <v>0</v>
      </c>
      <c r="AT538" s="4">
        <f>IF($A538=AT$496,"",COUNTIF($E$4:$E$492,$A538&amp;" ضد "&amp;AT$496)+COUNTIF($E$4:$E$492,AT$496&amp;" ضد "&amp;$A538))</f>
        <v>0</v>
      </c>
      <c r="AU538" s="4">
        <f>IF($A538=AU$496,"",COUNTIF($E$4:$E$492,$A538&amp;" ضد "&amp;AU$496)+COUNTIF($E$4:$E$492,AU$496&amp;" ضد "&amp;$A538))</f>
        <v>0</v>
      </c>
      <c r="AV538" s="4">
        <f>IF($A538=AV$496,"",COUNTIF($E$4:$E$492,$A538&amp;" ضد "&amp;AV$496)+COUNTIF($E$4:$E$492,AV$496&amp;" ضد "&amp;$A538))</f>
        <v>0</v>
      </c>
      <c r="AW538" s="4">
        <f>IF($A538=AW$496,"",COUNTIF($E$4:$E$492,$A538&amp;" ضد "&amp;AW$496)+COUNTIF($E$4:$E$492,AW$496&amp;" ضد "&amp;$A538))</f>
        <v>0</v>
      </c>
      <c r="AX538" s="4">
        <f>IF($A538=AX$496,"",COUNTIF($E$4:$E$492,$A538&amp;" ضد "&amp;AX$496)+COUNTIF($E$4:$E$492,AX$496&amp;" ضد "&amp;$A538))</f>
        <v>0</v>
      </c>
      <c r="AY538" s="4">
        <f>IF($A538=AY$496,"",COUNTIF($E$4:$E$492,$A538&amp;" ضد "&amp;AY$496)+COUNTIF($E$4:$E$492,AY$496&amp;" ضد "&amp;$A538))</f>
        <v>0</v>
      </c>
      <c r="AZ538" s="4">
        <f>IF($A538=AZ$496,"",COUNTIF($E$4:$E$492,$A538&amp;" ضد "&amp;AZ$496)+COUNTIF($E$4:$E$492,AZ$496&amp;" ضد "&amp;$A538))</f>
        <v>0</v>
      </c>
      <c r="BA538" s="4">
        <f>IF($A538=BA$496,"",COUNTIF($E$4:$E$492,$A538&amp;" ضد "&amp;BA$496)+COUNTIF($E$4:$E$492,BA$496&amp;" ضد "&amp;$A538))</f>
        <v>0</v>
      </c>
      <c r="BB538" s="4">
        <f>IF($A538=BB$496,"",COUNTIF($E$4:$E$492,$A538&amp;" ضد "&amp;BB$496)+COUNTIF($E$4:$E$492,BB$496&amp;" ضد "&amp;$A538))</f>
        <v>0</v>
      </c>
      <c r="BC538" s="4">
        <f>IF($A538=BC$496,"",COUNTIF($E$4:$E$492,$A538&amp;" ضد "&amp;BC$496)+COUNTIF($E$4:$E$492,BC$496&amp;" ضد "&amp;$A538))</f>
        <v>0</v>
      </c>
    </row>
    <row r="539" spans="1:55" ht="14.5">
      <c r="A539" s="14">
        <v>43</v>
      </c>
      <c r="B539" s="4">
        <f>IF($A539=B$496,"",COUNTIF($E$4:$E$492,$A539&amp;" ضد "&amp;B$496)+COUNTIF($E$4:$E$492,B$496&amp;" ضد "&amp;$A539))</f>
        <v>0</v>
      </c>
      <c r="C539" s="4">
        <f>IF($A539=C$496,"",COUNTIF($E$4:$E$492,$A539&amp;" ضد "&amp;C$496)+COUNTIF($E$4:$E$492,C$496&amp;" ضد "&amp;$A539))</f>
        <v>0</v>
      </c>
      <c r="D539" s="4">
        <f>IF($A539=D$496,"",COUNTIF($E$4:$E$492,$A539&amp;" ضد "&amp;D$496)+COUNTIF($E$4:$E$492,D$496&amp;" ضد "&amp;$A539))</f>
        <v>0</v>
      </c>
      <c r="E539" s="4">
        <f>IF($A539=E$496,"",COUNTIF($E$4:$E$492,$A539&amp;" ضد "&amp;E$496)+COUNTIF($E$4:$E$492,E$496&amp;" ضد "&amp;$A539))</f>
        <v>0</v>
      </c>
      <c r="F539" s="4">
        <f>IF($A539=F$496,"",COUNTIF($E$4:$E$492,$A539&amp;" ضد "&amp;F$496)+COUNTIF($E$4:$E$492,F$496&amp;" ضد "&amp;$A539))</f>
        <v>0</v>
      </c>
      <c r="G539" s="4">
        <f>IF($A539=G$496,"",COUNTIF($E$4:$E$492,$A539&amp;" ضد "&amp;G$496)+COUNTIF($E$4:$E$492,G$496&amp;" ضد "&amp;$A539))</f>
        <v>0</v>
      </c>
      <c r="H539" s="4">
        <f>IF($A539=H$496,"",COUNTIF($E$4:$E$492,$A539&amp;" ضد "&amp;H$496)+COUNTIF($E$4:$E$492,H$496&amp;" ضد "&amp;$A539))</f>
        <v>0</v>
      </c>
      <c r="I539" s="4">
        <f>IF($A539=I$496,"",COUNTIF($E$4:$E$492,$A539&amp;" ضد "&amp;I$496)+COUNTIF($E$4:$E$492,I$496&amp;" ضد "&amp;$A539))</f>
        <v>0</v>
      </c>
      <c r="J539" s="4">
        <f>IF($A539=J$496,"",COUNTIF($E$4:$E$492,$A539&amp;" ضد "&amp;J$496)+COUNTIF($E$4:$E$492,J$496&amp;" ضد "&amp;$A539))</f>
        <v>0</v>
      </c>
      <c r="K539" s="4">
        <f>IF($A539=K$496,"",COUNTIF($E$4:$E$492,$A539&amp;" ضد "&amp;K$496)+COUNTIF($E$4:$E$492,K$496&amp;" ضد "&amp;$A539))</f>
        <v>0</v>
      </c>
      <c r="L539" s="4">
        <f>IF($A539=L$496,"",COUNTIF($E$4:$E$492,$A539&amp;" ضد "&amp;L$496)+COUNTIF($E$4:$E$492,L$496&amp;" ضد "&amp;$A539))</f>
        <v>0</v>
      </c>
      <c r="M539" s="4">
        <f>IF($A539=M$496,"",COUNTIF($E$4:$E$492,$A539&amp;" ضد "&amp;M$496)+COUNTIF($E$4:$E$492,M$496&amp;" ضد "&amp;$A539))</f>
        <v>0</v>
      </c>
      <c r="N539" s="4">
        <f>IF($A539=N$496,"",COUNTIF($E$4:$E$492,$A539&amp;" ضد "&amp;N$496)+COUNTIF($E$4:$E$492,N$496&amp;" ضد "&amp;$A539))</f>
        <v>0</v>
      </c>
      <c r="O539" s="4">
        <f>IF($A539=O$496,"",COUNTIF($E$4:$E$492,$A539&amp;" ضد "&amp;O$496)+COUNTIF($E$4:$E$492,O$496&amp;" ضد "&amp;$A539))</f>
        <v>0</v>
      </c>
      <c r="P539" s="4">
        <f>IF($A539=P$496,"",COUNTIF($E$4:$E$492,$A539&amp;" ضد "&amp;P$496)+COUNTIF($E$4:$E$492,P$496&amp;" ضد "&amp;$A539))</f>
        <v>0</v>
      </c>
      <c r="Q539" s="4">
        <f>IF($A539=Q$496,"",COUNTIF($E$4:$E$492,$A539&amp;" ضد "&amp;Q$496)+COUNTIF($E$4:$E$492,Q$496&amp;" ضد "&amp;$A539))</f>
        <v>0</v>
      </c>
      <c r="R539" s="4">
        <f>IF($A539=R$496,"",COUNTIF($E$4:$E$492,$A539&amp;" ضد "&amp;R$496)+COUNTIF($E$4:$E$492,R$496&amp;" ضد "&amp;$A539))</f>
        <v>0</v>
      </c>
      <c r="S539" s="4">
        <f>IF($A539=S$496,"",COUNTIF($E$4:$E$492,$A539&amp;" ضد "&amp;S$496)+COUNTIF($E$4:$E$492,S$496&amp;" ضد "&amp;$A539))</f>
        <v>0</v>
      </c>
      <c r="T539" s="4">
        <f>IF($A539=T$496,"",COUNTIF($E$4:$E$492,$A539&amp;" ضد "&amp;T$496)+COUNTIF($E$4:$E$492,T$496&amp;" ضد "&amp;$A539))</f>
        <v>0</v>
      </c>
      <c r="U539" s="4">
        <f>IF($A539=U$496,"",COUNTIF($E$4:$E$492,$A539&amp;" ضد "&amp;U$496)+COUNTIF($E$4:$E$492,U$496&amp;" ضد "&amp;$A539))</f>
        <v>0</v>
      </c>
      <c r="V539" s="4">
        <f>IF($A539=V$496,"",COUNTIF($E$4:$E$492,$A539&amp;" ضد "&amp;V$496)+COUNTIF($E$4:$E$492,V$496&amp;" ضد "&amp;$A539))</f>
        <v>0</v>
      </c>
      <c r="W539" s="4">
        <f>IF($A539=W$496,"",COUNTIF($E$4:$E$492,$A539&amp;" ضد "&amp;W$496)+COUNTIF($E$4:$E$492,W$496&amp;" ضد "&amp;$A539))</f>
        <v>0</v>
      </c>
      <c r="X539" s="4">
        <f>IF($A539=X$496,"",COUNTIF($E$4:$E$492,$A539&amp;" ضد "&amp;X$496)+COUNTIF($E$4:$E$492,X$496&amp;" ضد "&amp;$A539))</f>
        <v>0</v>
      </c>
      <c r="Y539" s="4">
        <f>IF($A539=Y$496,"",COUNTIF($E$4:$E$492,$A539&amp;" ضد "&amp;Y$496)+COUNTIF($E$4:$E$492,Y$496&amp;" ضد "&amp;$A539))</f>
        <v>0</v>
      </c>
      <c r="Z539" s="4">
        <f>IF($A539=Z$496,"",COUNTIF($E$4:$E$492,$A539&amp;" ضد "&amp;Z$496)+COUNTIF($E$4:$E$492,Z$496&amp;" ضد "&amp;$A539))</f>
        <v>0</v>
      </c>
      <c r="AA539" s="4">
        <f>IF($A539=AA$496,"",COUNTIF($E$4:$E$492,$A539&amp;" ضد "&amp;AA$496)+COUNTIF($E$4:$E$492,AA$496&amp;" ضد "&amp;$A539))</f>
        <v>0</v>
      </c>
      <c r="AB539" s="4">
        <f>IF($A539=AB$496,"",COUNTIF($E$4:$E$492,$A539&amp;" ضد "&amp;AB$496)+COUNTIF($E$4:$E$492,AB$496&amp;" ضد "&amp;$A539))</f>
        <v>0</v>
      </c>
      <c r="AC539" s="4">
        <f>IF($A539=AC$496,"",COUNTIF($E$4:$E$492,$A539&amp;" ضد "&amp;AC$496)+COUNTIF($E$4:$E$492,AC$496&amp;" ضد "&amp;$A539))</f>
        <v>0</v>
      </c>
      <c r="AD539" s="4">
        <f>IF($A539=AD$496,"",COUNTIF($E$4:$E$492,$A539&amp;" ضد "&amp;AD$496)+COUNTIF($E$4:$E$492,AD$496&amp;" ضد "&amp;$A539))</f>
        <v>0</v>
      </c>
      <c r="AE539" s="4">
        <f>IF($A539=AE$496,"",COUNTIF($E$4:$E$492,$A539&amp;" ضد "&amp;AE$496)+COUNTIF($E$4:$E$492,AE$496&amp;" ضد "&amp;$A539))</f>
        <v>0</v>
      </c>
      <c r="AF539" s="4">
        <f>IF($A539=AF$496,"",COUNTIF($E$4:$E$492,$A539&amp;" ضد "&amp;AF$496)+COUNTIF($E$4:$E$492,AF$496&amp;" ضد "&amp;$A539))</f>
        <v>0</v>
      </c>
      <c r="AG539" s="4">
        <f>IF($A539=AG$496,"",COUNTIF($E$4:$E$492,$A539&amp;" ضد "&amp;AG$496)+COUNTIF($E$4:$E$492,AG$496&amp;" ضد "&amp;$A539))</f>
        <v>0</v>
      </c>
      <c r="AH539" s="4">
        <f>IF($A539=AH$496,"",COUNTIF($E$4:$E$492,$A539&amp;" ضد "&amp;AH$496)+COUNTIF($E$4:$E$492,AH$496&amp;" ضد "&amp;$A539))</f>
        <v>0</v>
      </c>
      <c r="AI539" s="4">
        <f>IF($A539=AI$496,"",COUNTIF($E$4:$E$492,$A539&amp;" ضد "&amp;AI$496)+COUNTIF($E$4:$E$492,AI$496&amp;" ضد "&amp;$A539))</f>
        <v>0</v>
      </c>
      <c r="AJ539" s="4">
        <f>IF($A539=AJ$496,"",COUNTIF($E$4:$E$492,$A539&amp;" ضد "&amp;AJ$496)+COUNTIF($E$4:$E$492,AJ$496&amp;" ضد "&amp;$A539))</f>
        <v>0</v>
      </c>
      <c r="AK539" s="4">
        <f>IF($A539=AK$496,"",COUNTIF($E$4:$E$492,$A539&amp;" ضد "&amp;AK$496)+COUNTIF($E$4:$E$492,AK$496&amp;" ضد "&amp;$A539))</f>
        <v>0</v>
      </c>
      <c r="AL539" s="4">
        <f>IF($A539=AL$496,"",COUNTIF($E$4:$E$492,$A539&amp;" ضد "&amp;AL$496)+COUNTIF($E$4:$E$492,AL$496&amp;" ضد "&amp;$A539))</f>
        <v>0</v>
      </c>
      <c r="AM539" s="4">
        <f>IF($A539=AM$496,"",COUNTIF($E$4:$E$492,$A539&amp;" ضد "&amp;AM$496)+COUNTIF($E$4:$E$492,AM$496&amp;" ضد "&amp;$A539))</f>
        <v>0</v>
      </c>
      <c r="AN539" s="4">
        <f>IF($A539=AN$496,"",COUNTIF($E$4:$E$492,$A539&amp;" ضد "&amp;AN$496)+COUNTIF($E$4:$E$492,AN$496&amp;" ضد "&amp;$A539))</f>
        <v>0</v>
      </c>
      <c r="AO539" s="4">
        <f>IF($A539=AO$496,"",COUNTIF($E$4:$E$492,$A539&amp;" ضد "&amp;AO$496)+COUNTIF($E$4:$E$492,AO$496&amp;" ضد "&amp;$A539))</f>
        <v>0</v>
      </c>
      <c r="AP539" s="4">
        <f>IF($A539=AP$496,"",COUNTIF($E$4:$E$492,$A539&amp;" ضد "&amp;AP$496)+COUNTIF($E$4:$E$492,AP$496&amp;" ضد "&amp;$A539))</f>
        <v>0</v>
      </c>
      <c r="AQ539" s="4">
        <f>IF($A539=AQ$496,"",COUNTIF($E$4:$E$492,$A539&amp;" ضد "&amp;AQ$496)+COUNTIF($E$4:$E$492,AQ$496&amp;" ضد "&amp;$A539))</f>
        <v>0</v>
      </c>
      <c r="AR539" s="4" t="str">
        <f>IF($A539=AR$496,"",COUNTIF($E$4:$E$492,$A539&amp;" ضد "&amp;AR$496)+COUNTIF($E$4:$E$492,AR$496&amp;" ضد "&amp;$A539))</f>
        <v/>
      </c>
      <c r="AS539" s="4">
        <f>IF($A539=AS$496,"",COUNTIF($E$4:$E$492,$A539&amp;" ضد "&amp;AS$496)+COUNTIF($E$4:$E$492,AS$496&amp;" ضد "&amp;$A539))</f>
        <v>1</v>
      </c>
      <c r="AT539" s="4">
        <f>IF($A539=AT$496,"",COUNTIF($E$4:$E$492,$A539&amp;" ضد "&amp;AT$496)+COUNTIF($E$4:$E$492,AT$496&amp;" ضد "&amp;$A539))</f>
        <v>1</v>
      </c>
      <c r="AU539" s="4">
        <f>IF($A539=AU$496,"",COUNTIF($E$4:$E$492,$A539&amp;" ضد "&amp;AU$496)+COUNTIF($E$4:$E$492,AU$496&amp;" ضد "&amp;$A539))</f>
        <v>1</v>
      </c>
      <c r="AV539" s="4">
        <f>IF($A539=AV$496,"",COUNTIF($E$4:$E$492,$A539&amp;" ضد "&amp;AV$496)+COUNTIF($E$4:$E$492,AV$496&amp;" ضد "&amp;$A539))</f>
        <v>1</v>
      </c>
      <c r="AW539" s="4">
        <f>IF($A539=AW$496,"",COUNTIF($E$4:$E$492,$A539&amp;" ضد "&amp;AW$496)+COUNTIF($E$4:$E$492,AW$496&amp;" ضد "&amp;$A539))</f>
        <v>2</v>
      </c>
      <c r="AX539" s="4">
        <f>IF($A539=AX$496,"",COUNTIF($E$4:$E$492,$A539&amp;" ضد "&amp;AX$496)+COUNTIF($E$4:$E$492,AX$496&amp;" ضد "&amp;$A539))</f>
        <v>2</v>
      </c>
      <c r="AY539" s="4">
        <f>IF($A539=AY$496,"",COUNTIF($E$4:$E$492,$A539&amp;" ضد "&amp;AY$496)+COUNTIF($E$4:$E$492,AY$496&amp;" ضد "&amp;$A539))</f>
        <v>2</v>
      </c>
      <c r="AZ539" s="4">
        <f>IF($A539=AZ$496,"",COUNTIF($E$4:$E$492,$A539&amp;" ضد "&amp;AZ$496)+COUNTIF($E$4:$E$492,AZ$496&amp;" ضد "&amp;$A539))</f>
        <v>2</v>
      </c>
      <c r="BA539" s="4">
        <f>IF($A539=BA$496,"",COUNTIF($E$4:$E$492,$A539&amp;" ضد "&amp;BA$496)+COUNTIF($E$4:$E$492,BA$496&amp;" ضد "&amp;$A539))</f>
        <v>2</v>
      </c>
      <c r="BB539" s="4">
        <f>IF($A539=BB$496,"",COUNTIF($E$4:$E$492,$A539&amp;" ضد "&amp;BB$496)+COUNTIF($E$4:$E$492,BB$496&amp;" ضد "&amp;$A539))</f>
        <v>2</v>
      </c>
      <c r="BC539" s="4">
        <f>IF($A539=BC$496,"",COUNTIF($E$4:$E$492,$A539&amp;" ضد "&amp;BC$496)+COUNTIF($E$4:$E$492,BC$496&amp;" ضد "&amp;$A539))</f>
        <v>2</v>
      </c>
    </row>
    <row r="540" spans="1:55" ht="14.5">
      <c r="A540" s="14">
        <v>44</v>
      </c>
      <c r="B540" s="4">
        <f>IF($A540=B$496,"",COUNTIF($E$4:$E$492,$A540&amp;" ضد "&amp;B$496)+COUNTIF($E$4:$E$492,B$496&amp;" ضد "&amp;$A540))</f>
        <v>0</v>
      </c>
      <c r="C540" s="4">
        <f>IF($A540=C$496,"",COUNTIF($E$4:$E$492,$A540&amp;" ضد "&amp;C$496)+COUNTIF($E$4:$E$492,C$496&amp;" ضد "&amp;$A540))</f>
        <v>0</v>
      </c>
      <c r="D540" s="4">
        <f>IF($A540=D$496,"",COUNTIF($E$4:$E$492,$A540&amp;" ضد "&amp;D$496)+COUNTIF($E$4:$E$492,D$496&amp;" ضد "&amp;$A540))</f>
        <v>0</v>
      </c>
      <c r="E540" s="4">
        <f>IF($A540=E$496,"",COUNTIF($E$4:$E$492,$A540&amp;" ضد "&amp;E$496)+COUNTIF($E$4:$E$492,E$496&amp;" ضد "&amp;$A540))</f>
        <v>0</v>
      </c>
      <c r="F540" s="4">
        <f>IF($A540=F$496,"",COUNTIF($E$4:$E$492,$A540&amp;" ضد "&amp;F$496)+COUNTIF($E$4:$E$492,F$496&amp;" ضد "&amp;$A540))</f>
        <v>0</v>
      </c>
      <c r="G540" s="4">
        <f>IF($A540=G$496,"",COUNTIF($E$4:$E$492,$A540&amp;" ضد "&amp;G$496)+COUNTIF($E$4:$E$492,G$496&amp;" ضد "&amp;$A540))</f>
        <v>0</v>
      </c>
      <c r="H540" s="4">
        <f>IF($A540=H$496,"",COUNTIF($E$4:$E$492,$A540&amp;" ضد "&amp;H$496)+COUNTIF($E$4:$E$492,H$496&amp;" ضد "&amp;$A540))</f>
        <v>0</v>
      </c>
      <c r="I540" s="4">
        <f>IF($A540=I$496,"",COUNTIF($E$4:$E$492,$A540&amp;" ضد "&amp;I$496)+COUNTIF($E$4:$E$492,I$496&amp;" ضد "&amp;$A540))</f>
        <v>0</v>
      </c>
      <c r="J540" s="4">
        <f>IF($A540=J$496,"",COUNTIF($E$4:$E$492,$A540&amp;" ضد "&amp;J$496)+COUNTIF($E$4:$E$492,J$496&amp;" ضد "&amp;$A540))</f>
        <v>0</v>
      </c>
      <c r="K540" s="4">
        <f>IF($A540=K$496,"",COUNTIF($E$4:$E$492,$A540&amp;" ضد "&amp;K$496)+COUNTIF($E$4:$E$492,K$496&amp;" ضد "&amp;$A540))</f>
        <v>0</v>
      </c>
      <c r="L540" s="4">
        <f>IF($A540=L$496,"",COUNTIF($E$4:$E$492,$A540&amp;" ضد "&amp;L$496)+COUNTIF($E$4:$E$492,L$496&amp;" ضد "&amp;$A540))</f>
        <v>0</v>
      </c>
      <c r="M540" s="4">
        <f>IF($A540=M$496,"",COUNTIF($E$4:$E$492,$A540&amp;" ضد "&amp;M$496)+COUNTIF($E$4:$E$492,M$496&amp;" ضد "&amp;$A540))</f>
        <v>0</v>
      </c>
      <c r="N540" s="4">
        <f>IF($A540=N$496,"",COUNTIF($E$4:$E$492,$A540&amp;" ضد "&amp;N$496)+COUNTIF($E$4:$E$492,N$496&amp;" ضد "&amp;$A540))</f>
        <v>0</v>
      </c>
      <c r="O540" s="4">
        <f>IF($A540=O$496,"",COUNTIF($E$4:$E$492,$A540&amp;" ضد "&amp;O$496)+COUNTIF($E$4:$E$492,O$496&amp;" ضد "&amp;$A540))</f>
        <v>0</v>
      </c>
      <c r="P540" s="4">
        <f>IF($A540=P$496,"",COUNTIF($E$4:$E$492,$A540&amp;" ضد "&amp;P$496)+COUNTIF($E$4:$E$492,P$496&amp;" ضد "&amp;$A540))</f>
        <v>0</v>
      </c>
      <c r="Q540" s="4">
        <f>IF($A540=Q$496,"",COUNTIF($E$4:$E$492,$A540&amp;" ضد "&amp;Q$496)+COUNTIF($E$4:$E$492,Q$496&amp;" ضد "&amp;$A540))</f>
        <v>0</v>
      </c>
      <c r="R540" s="4">
        <f>IF($A540=R$496,"",COUNTIF($E$4:$E$492,$A540&amp;" ضد "&amp;R$496)+COUNTIF($E$4:$E$492,R$496&amp;" ضد "&amp;$A540))</f>
        <v>0</v>
      </c>
      <c r="S540" s="4">
        <f>IF($A540=S$496,"",COUNTIF($E$4:$E$492,$A540&amp;" ضد "&amp;S$496)+COUNTIF($E$4:$E$492,S$496&amp;" ضد "&amp;$A540))</f>
        <v>0</v>
      </c>
      <c r="T540" s="4">
        <f>IF($A540=T$496,"",COUNTIF($E$4:$E$492,$A540&amp;" ضد "&amp;T$496)+COUNTIF($E$4:$E$492,T$496&amp;" ضد "&amp;$A540))</f>
        <v>0</v>
      </c>
      <c r="U540" s="4">
        <f>IF($A540=U$496,"",COUNTIF($E$4:$E$492,$A540&amp;" ضد "&amp;U$496)+COUNTIF($E$4:$E$492,U$496&amp;" ضد "&amp;$A540))</f>
        <v>0</v>
      </c>
      <c r="V540" s="4">
        <f>IF($A540=V$496,"",COUNTIF($E$4:$E$492,$A540&amp;" ضد "&amp;V$496)+COUNTIF($E$4:$E$492,V$496&amp;" ضد "&amp;$A540))</f>
        <v>0</v>
      </c>
      <c r="W540" s="4">
        <f>IF($A540=W$496,"",COUNTIF($E$4:$E$492,$A540&amp;" ضد "&amp;W$496)+COUNTIF($E$4:$E$492,W$496&amp;" ضد "&amp;$A540))</f>
        <v>0</v>
      </c>
      <c r="X540" s="4">
        <f>IF($A540=X$496,"",COUNTIF($E$4:$E$492,$A540&amp;" ضد "&amp;X$496)+COUNTIF($E$4:$E$492,X$496&amp;" ضد "&amp;$A540))</f>
        <v>0</v>
      </c>
      <c r="Y540" s="4">
        <f>IF($A540=Y$496,"",COUNTIF($E$4:$E$492,$A540&amp;" ضد "&amp;Y$496)+COUNTIF($E$4:$E$492,Y$496&amp;" ضد "&amp;$A540))</f>
        <v>0</v>
      </c>
      <c r="Z540" s="4">
        <f>IF($A540=Z$496,"",COUNTIF($E$4:$E$492,$A540&amp;" ضد "&amp;Z$496)+COUNTIF($E$4:$E$492,Z$496&amp;" ضد "&amp;$A540))</f>
        <v>0</v>
      </c>
      <c r="AA540" s="4">
        <f>IF($A540=AA$496,"",COUNTIF($E$4:$E$492,$A540&amp;" ضد "&amp;AA$496)+COUNTIF($E$4:$E$492,AA$496&amp;" ضد "&amp;$A540))</f>
        <v>0</v>
      </c>
      <c r="AB540" s="4">
        <f>IF($A540=AB$496,"",COUNTIF($E$4:$E$492,$A540&amp;" ضد "&amp;AB$496)+COUNTIF($E$4:$E$492,AB$496&amp;" ضد "&amp;$A540))</f>
        <v>0</v>
      </c>
      <c r="AC540" s="4">
        <f>IF($A540=AC$496,"",COUNTIF($E$4:$E$492,$A540&amp;" ضد "&amp;AC$496)+COUNTIF($E$4:$E$492,AC$496&amp;" ضد "&amp;$A540))</f>
        <v>0</v>
      </c>
      <c r="AD540" s="4">
        <f>IF($A540=AD$496,"",COUNTIF($E$4:$E$492,$A540&amp;" ضد "&amp;AD$496)+COUNTIF($E$4:$E$492,AD$496&amp;" ضد "&amp;$A540))</f>
        <v>0</v>
      </c>
      <c r="AE540" s="4">
        <f>IF($A540=AE$496,"",COUNTIF($E$4:$E$492,$A540&amp;" ضد "&amp;AE$496)+COUNTIF($E$4:$E$492,AE$496&amp;" ضد "&amp;$A540))</f>
        <v>0</v>
      </c>
      <c r="AF540" s="4">
        <f>IF($A540=AF$496,"",COUNTIF($E$4:$E$492,$A540&amp;" ضد "&amp;AF$496)+COUNTIF($E$4:$E$492,AF$496&amp;" ضد "&amp;$A540))</f>
        <v>0</v>
      </c>
      <c r="AG540" s="4">
        <f>IF($A540=AG$496,"",COUNTIF($E$4:$E$492,$A540&amp;" ضد "&amp;AG$496)+COUNTIF($E$4:$E$492,AG$496&amp;" ضد "&amp;$A540))</f>
        <v>0</v>
      </c>
      <c r="AH540" s="4">
        <f>IF($A540=AH$496,"",COUNTIF($E$4:$E$492,$A540&amp;" ضد "&amp;AH$496)+COUNTIF($E$4:$E$492,AH$496&amp;" ضد "&amp;$A540))</f>
        <v>0</v>
      </c>
      <c r="AI540" s="4">
        <f>IF($A540=AI$496,"",COUNTIF($E$4:$E$492,$A540&amp;" ضد "&amp;AI$496)+COUNTIF($E$4:$E$492,AI$496&amp;" ضد "&amp;$A540))</f>
        <v>0</v>
      </c>
      <c r="AJ540" s="4">
        <f>IF($A540=AJ$496,"",COUNTIF($E$4:$E$492,$A540&amp;" ضد "&amp;AJ$496)+COUNTIF($E$4:$E$492,AJ$496&amp;" ضد "&amp;$A540))</f>
        <v>0</v>
      </c>
      <c r="AK540" s="4">
        <f>IF($A540=AK$496,"",COUNTIF($E$4:$E$492,$A540&amp;" ضد "&amp;AK$496)+COUNTIF($E$4:$E$492,AK$496&amp;" ضد "&amp;$A540))</f>
        <v>0</v>
      </c>
      <c r="AL540" s="4">
        <f>IF($A540=AL$496,"",COUNTIF($E$4:$E$492,$A540&amp;" ضد "&amp;AL$496)+COUNTIF($E$4:$E$492,AL$496&amp;" ضد "&amp;$A540))</f>
        <v>0</v>
      </c>
      <c r="AM540" s="4">
        <f>IF($A540=AM$496,"",COUNTIF($E$4:$E$492,$A540&amp;" ضد "&amp;AM$496)+COUNTIF($E$4:$E$492,AM$496&amp;" ضد "&amp;$A540))</f>
        <v>0</v>
      </c>
      <c r="AN540" s="4">
        <f>IF($A540=AN$496,"",COUNTIF($E$4:$E$492,$A540&amp;" ضد "&amp;AN$496)+COUNTIF($E$4:$E$492,AN$496&amp;" ضد "&amp;$A540))</f>
        <v>0</v>
      </c>
      <c r="AO540" s="4">
        <f>IF($A540=AO$496,"",COUNTIF($E$4:$E$492,$A540&amp;" ضد "&amp;AO$496)+COUNTIF($E$4:$E$492,AO$496&amp;" ضد "&amp;$A540))</f>
        <v>0</v>
      </c>
      <c r="AP540" s="4">
        <f>IF($A540=AP$496,"",COUNTIF($E$4:$E$492,$A540&amp;" ضد "&amp;AP$496)+COUNTIF($E$4:$E$492,AP$496&amp;" ضد "&amp;$A540))</f>
        <v>0</v>
      </c>
      <c r="AQ540" s="4">
        <f>IF($A540=AQ$496,"",COUNTIF($E$4:$E$492,$A540&amp;" ضد "&amp;AQ$496)+COUNTIF($E$4:$E$492,AQ$496&amp;" ضد "&amp;$A540))</f>
        <v>0</v>
      </c>
      <c r="AR540" s="4">
        <f>IF($A540=AR$496,"",COUNTIF($E$4:$E$492,$A540&amp;" ضد "&amp;AR$496)+COUNTIF($E$4:$E$492,AR$496&amp;" ضد "&amp;$A540))</f>
        <v>1</v>
      </c>
      <c r="AS540" s="4" t="str">
        <f>IF($A540=AS$496,"",COUNTIF($E$4:$E$492,$A540&amp;" ضد "&amp;AS$496)+COUNTIF($E$4:$E$492,AS$496&amp;" ضد "&amp;$A540))</f>
        <v/>
      </c>
      <c r="AT540" s="4">
        <f>IF($A540=AT$496,"",COUNTIF($E$4:$E$492,$A540&amp;" ضد "&amp;AT$496)+COUNTIF($E$4:$E$492,AT$496&amp;" ضد "&amp;$A540))</f>
        <v>2</v>
      </c>
      <c r="AU540" s="4">
        <f>IF($A540=AU$496,"",COUNTIF($E$4:$E$492,$A540&amp;" ضد "&amp;AU$496)+COUNTIF($E$4:$E$492,AU$496&amp;" ضد "&amp;$A540))</f>
        <v>1</v>
      </c>
      <c r="AV540" s="4">
        <f>IF($A540=AV$496,"",COUNTIF($E$4:$E$492,$A540&amp;" ضد "&amp;AV$496)+COUNTIF($E$4:$E$492,AV$496&amp;" ضد "&amp;$A540))</f>
        <v>2</v>
      </c>
      <c r="AW540" s="4">
        <f>IF($A540=AW$496,"",COUNTIF($E$4:$E$492,$A540&amp;" ضد "&amp;AW$496)+COUNTIF($E$4:$E$492,AW$496&amp;" ضد "&amp;$A540))</f>
        <v>1</v>
      </c>
      <c r="AX540" s="4">
        <f>IF($A540=AX$496,"",COUNTIF($E$4:$E$492,$A540&amp;" ضد "&amp;AX$496)+COUNTIF($E$4:$E$492,AX$496&amp;" ضد "&amp;$A540))</f>
        <v>2</v>
      </c>
      <c r="AY540" s="4">
        <f>IF($A540=AY$496,"",COUNTIF($E$4:$E$492,$A540&amp;" ضد "&amp;AY$496)+COUNTIF($E$4:$E$492,AY$496&amp;" ضد "&amp;$A540))</f>
        <v>1</v>
      </c>
      <c r="AZ540" s="4">
        <f>IF($A540=AZ$496,"",COUNTIF($E$4:$E$492,$A540&amp;" ضد "&amp;AZ$496)+COUNTIF($E$4:$E$492,AZ$496&amp;" ضد "&amp;$A540))</f>
        <v>2</v>
      </c>
      <c r="BA540" s="4">
        <f>IF($A540=BA$496,"",COUNTIF($E$4:$E$492,$A540&amp;" ضد "&amp;BA$496)+COUNTIF($E$4:$E$492,BA$496&amp;" ضد "&amp;$A540))</f>
        <v>2</v>
      </c>
      <c r="BB540" s="4">
        <f>IF($A540=BB$496,"",COUNTIF($E$4:$E$492,$A540&amp;" ضد "&amp;BB$496)+COUNTIF($E$4:$E$492,BB$496&amp;" ضد "&amp;$A540))</f>
        <v>2</v>
      </c>
      <c r="BC540" s="4">
        <f>IF($A540=BC$496,"",COUNTIF($E$4:$E$492,$A540&amp;" ضد "&amp;BC$496)+COUNTIF($E$4:$E$492,BC$496&amp;" ضد "&amp;$A540))</f>
        <v>2</v>
      </c>
    </row>
    <row r="541" spans="1:55" ht="14.5">
      <c r="A541" s="14">
        <v>45</v>
      </c>
      <c r="B541" s="4">
        <f>IF($A541=B$496,"",COUNTIF($E$4:$E$492,$A541&amp;" ضد "&amp;B$496)+COUNTIF($E$4:$E$492,B$496&amp;" ضد "&amp;$A541))</f>
        <v>0</v>
      </c>
      <c r="C541" s="4">
        <f>IF($A541=C$496,"",COUNTIF($E$4:$E$492,$A541&amp;" ضد "&amp;C$496)+COUNTIF($E$4:$E$492,C$496&amp;" ضد "&amp;$A541))</f>
        <v>0</v>
      </c>
      <c r="D541" s="4">
        <f>IF($A541=D$496,"",COUNTIF($E$4:$E$492,$A541&amp;" ضد "&amp;D$496)+COUNTIF($E$4:$E$492,D$496&amp;" ضد "&amp;$A541))</f>
        <v>0</v>
      </c>
      <c r="E541" s="4">
        <f>IF($A541=E$496,"",COUNTIF($E$4:$E$492,$A541&amp;" ضد "&amp;E$496)+COUNTIF($E$4:$E$492,E$496&amp;" ضد "&amp;$A541))</f>
        <v>0</v>
      </c>
      <c r="F541" s="4">
        <f>IF($A541=F$496,"",COUNTIF($E$4:$E$492,$A541&amp;" ضد "&amp;F$496)+COUNTIF($E$4:$E$492,F$496&amp;" ضد "&amp;$A541))</f>
        <v>0</v>
      </c>
      <c r="G541" s="4">
        <f>IF($A541=G$496,"",COUNTIF($E$4:$E$492,$A541&amp;" ضد "&amp;G$496)+COUNTIF($E$4:$E$492,G$496&amp;" ضد "&amp;$A541))</f>
        <v>0</v>
      </c>
      <c r="H541" s="4">
        <f>IF($A541=H$496,"",COUNTIF($E$4:$E$492,$A541&amp;" ضد "&amp;H$496)+COUNTIF($E$4:$E$492,H$496&amp;" ضد "&amp;$A541))</f>
        <v>0</v>
      </c>
      <c r="I541" s="4">
        <f>IF($A541=I$496,"",COUNTIF($E$4:$E$492,$A541&amp;" ضد "&amp;I$496)+COUNTIF($E$4:$E$492,I$496&amp;" ضد "&amp;$A541))</f>
        <v>0</v>
      </c>
      <c r="J541" s="4">
        <f>IF($A541=J$496,"",COUNTIF($E$4:$E$492,$A541&amp;" ضد "&amp;J$496)+COUNTIF($E$4:$E$492,J$496&amp;" ضد "&amp;$A541))</f>
        <v>0</v>
      </c>
      <c r="K541" s="4">
        <f>IF($A541=K$496,"",COUNTIF($E$4:$E$492,$A541&amp;" ضد "&amp;K$496)+COUNTIF($E$4:$E$492,K$496&amp;" ضد "&amp;$A541))</f>
        <v>0</v>
      </c>
      <c r="L541" s="4">
        <f>IF($A541=L$496,"",COUNTIF($E$4:$E$492,$A541&amp;" ضد "&amp;L$496)+COUNTIF($E$4:$E$492,L$496&amp;" ضد "&amp;$A541))</f>
        <v>0</v>
      </c>
      <c r="M541" s="4">
        <f>IF($A541=M$496,"",COUNTIF($E$4:$E$492,$A541&amp;" ضد "&amp;M$496)+COUNTIF($E$4:$E$492,M$496&amp;" ضد "&amp;$A541))</f>
        <v>0</v>
      </c>
      <c r="N541" s="4">
        <f>IF($A541=N$496,"",COUNTIF($E$4:$E$492,$A541&amp;" ضد "&amp;N$496)+COUNTIF($E$4:$E$492,N$496&amp;" ضد "&amp;$A541))</f>
        <v>0</v>
      </c>
      <c r="O541" s="4">
        <f>IF($A541=O$496,"",COUNTIF($E$4:$E$492,$A541&amp;" ضد "&amp;O$496)+COUNTIF($E$4:$E$492,O$496&amp;" ضد "&amp;$A541))</f>
        <v>0</v>
      </c>
      <c r="P541" s="4">
        <f>IF($A541=P$496,"",COUNTIF($E$4:$E$492,$A541&amp;" ضد "&amp;P$496)+COUNTIF($E$4:$E$492,P$496&amp;" ضد "&amp;$A541))</f>
        <v>0</v>
      </c>
      <c r="Q541" s="4">
        <f>IF($A541=Q$496,"",COUNTIF($E$4:$E$492,$A541&amp;" ضد "&amp;Q$496)+COUNTIF($E$4:$E$492,Q$496&amp;" ضد "&amp;$A541))</f>
        <v>0</v>
      </c>
      <c r="R541" s="4">
        <f>IF($A541=R$496,"",COUNTIF($E$4:$E$492,$A541&amp;" ضد "&amp;R$496)+COUNTIF($E$4:$E$492,R$496&amp;" ضد "&amp;$A541))</f>
        <v>0</v>
      </c>
      <c r="S541" s="4">
        <f>IF($A541=S$496,"",COUNTIF($E$4:$E$492,$A541&amp;" ضد "&amp;S$496)+COUNTIF($E$4:$E$492,S$496&amp;" ضد "&amp;$A541))</f>
        <v>0</v>
      </c>
      <c r="T541" s="4">
        <f>IF($A541=T$496,"",COUNTIF($E$4:$E$492,$A541&amp;" ضد "&amp;T$496)+COUNTIF($E$4:$E$492,T$496&amp;" ضد "&amp;$A541))</f>
        <v>0</v>
      </c>
      <c r="U541" s="4">
        <f>IF($A541=U$496,"",COUNTIF($E$4:$E$492,$A541&amp;" ضد "&amp;U$496)+COUNTIF($E$4:$E$492,U$496&amp;" ضد "&amp;$A541))</f>
        <v>0</v>
      </c>
      <c r="V541" s="4">
        <f>IF($A541=V$496,"",COUNTIF($E$4:$E$492,$A541&amp;" ضد "&amp;V$496)+COUNTIF($E$4:$E$492,V$496&amp;" ضد "&amp;$A541))</f>
        <v>0</v>
      </c>
      <c r="W541" s="4">
        <f>IF($A541=W$496,"",COUNTIF($E$4:$E$492,$A541&amp;" ضد "&amp;W$496)+COUNTIF($E$4:$E$492,W$496&amp;" ضد "&amp;$A541))</f>
        <v>0</v>
      </c>
      <c r="X541" s="4">
        <f>IF($A541=X$496,"",COUNTIF($E$4:$E$492,$A541&amp;" ضد "&amp;X$496)+COUNTIF($E$4:$E$492,X$496&amp;" ضد "&amp;$A541))</f>
        <v>0</v>
      </c>
      <c r="Y541" s="4">
        <f>IF($A541=Y$496,"",COUNTIF($E$4:$E$492,$A541&amp;" ضد "&amp;Y$496)+COUNTIF($E$4:$E$492,Y$496&amp;" ضد "&amp;$A541))</f>
        <v>0</v>
      </c>
      <c r="Z541" s="4">
        <f>IF($A541=Z$496,"",COUNTIF($E$4:$E$492,$A541&amp;" ضد "&amp;Z$496)+COUNTIF($E$4:$E$492,Z$496&amp;" ضد "&amp;$A541))</f>
        <v>0</v>
      </c>
      <c r="AA541" s="4">
        <f>IF($A541=AA$496,"",COUNTIF($E$4:$E$492,$A541&amp;" ضد "&amp;AA$496)+COUNTIF($E$4:$E$492,AA$496&amp;" ضد "&amp;$A541))</f>
        <v>0</v>
      </c>
      <c r="AB541" s="4">
        <f>IF($A541=AB$496,"",COUNTIF($E$4:$E$492,$A541&amp;" ضد "&amp;AB$496)+COUNTIF($E$4:$E$492,AB$496&amp;" ضد "&amp;$A541))</f>
        <v>0</v>
      </c>
      <c r="AC541" s="4">
        <f>IF($A541=AC$496,"",COUNTIF($E$4:$E$492,$A541&amp;" ضد "&amp;AC$496)+COUNTIF($E$4:$E$492,AC$496&amp;" ضد "&amp;$A541))</f>
        <v>0</v>
      </c>
      <c r="AD541" s="4">
        <f>IF($A541=AD$496,"",COUNTIF($E$4:$E$492,$A541&amp;" ضد "&amp;AD$496)+COUNTIF($E$4:$E$492,AD$496&amp;" ضد "&amp;$A541))</f>
        <v>0</v>
      </c>
      <c r="AE541" s="4">
        <f>IF($A541=AE$496,"",COUNTIF($E$4:$E$492,$A541&amp;" ضد "&amp;AE$496)+COUNTIF($E$4:$E$492,AE$496&amp;" ضد "&amp;$A541))</f>
        <v>0</v>
      </c>
      <c r="AF541" s="4">
        <f>IF($A541=AF$496,"",COUNTIF($E$4:$E$492,$A541&amp;" ضد "&amp;AF$496)+COUNTIF($E$4:$E$492,AF$496&amp;" ضد "&amp;$A541))</f>
        <v>0</v>
      </c>
      <c r="AG541" s="4">
        <f>IF($A541=AG$496,"",COUNTIF($E$4:$E$492,$A541&amp;" ضد "&amp;AG$496)+COUNTIF($E$4:$E$492,AG$496&amp;" ضد "&amp;$A541))</f>
        <v>0</v>
      </c>
      <c r="AH541" s="4">
        <f>IF($A541=AH$496,"",COUNTIF($E$4:$E$492,$A541&amp;" ضد "&amp;AH$496)+COUNTIF($E$4:$E$492,AH$496&amp;" ضد "&amp;$A541))</f>
        <v>0</v>
      </c>
      <c r="AI541" s="4">
        <f>IF($A541=AI$496,"",COUNTIF($E$4:$E$492,$A541&amp;" ضد "&amp;AI$496)+COUNTIF($E$4:$E$492,AI$496&amp;" ضد "&amp;$A541))</f>
        <v>0</v>
      </c>
      <c r="AJ541" s="4">
        <f>IF($A541=AJ$496,"",COUNTIF($E$4:$E$492,$A541&amp;" ضد "&amp;AJ$496)+COUNTIF($E$4:$E$492,AJ$496&amp;" ضد "&amp;$A541))</f>
        <v>0</v>
      </c>
      <c r="AK541" s="4">
        <f>IF($A541=AK$496,"",COUNTIF($E$4:$E$492,$A541&amp;" ضد "&amp;AK$496)+COUNTIF($E$4:$E$492,AK$496&amp;" ضد "&amp;$A541))</f>
        <v>0</v>
      </c>
      <c r="AL541" s="4">
        <f>IF($A541=AL$496,"",COUNTIF($E$4:$E$492,$A541&amp;" ضد "&amp;AL$496)+COUNTIF($E$4:$E$492,AL$496&amp;" ضد "&amp;$A541))</f>
        <v>0</v>
      </c>
      <c r="AM541" s="4">
        <f>IF($A541=AM$496,"",COUNTIF($E$4:$E$492,$A541&amp;" ضد "&amp;AM$496)+COUNTIF($E$4:$E$492,AM$496&amp;" ضد "&amp;$A541))</f>
        <v>0</v>
      </c>
      <c r="AN541" s="4">
        <f>IF($A541=AN$496,"",COUNTIF($E$4:$E$492,$A541&amp;" ضد "&amp;AN$496)+COUNTIF($E$4:$E$492,AN$496&amp;" ضد "&amp;$A541))</f>
        <v>0</v>
      </c>
      <c r="AO541" s="4">
        <f>IF($A541=AO$496,"",COUNTIF($E$4:$E$492,$A541&amp;" ضد "&amp;AO$496)+COUNTIF($E$4:$E$492,AO$496&amp;" ضد "&amp;$A541))</f>
        <v>0</v>
      </c>
      <c r="AP541" s="4">
        <f>IF($A541=AP$496,"",COUNTIF($E$4:$E$492,$A541&amp;" ضد "&amp;AP$496)+COUNTIF($E$4:$E$492,AP$496&amp;" ضد "&amp;$A541))</f>
        <v>0</v>
      </c>
      <c r="AQ541" s="4">
        <f>IF($A541=AQ$496,"",COUNTIF($E$4:$E$492,$A541&amp;" ضد "&amp;AQ$496)+COUNTIF($E$4:$E$492,AQ$496&amp;" ضد "&amp;$A541))</f>
        <v>0</v>
      </c>
      <c r="AR541" s="4">
        <f>IF($A541=AR$496,"",COUNTIF($E$4:$E$492,$A541&amp;" ضد "&amp;AR$496)+COUNTIF($E$4:$E$492,AR$496&amp;" ضد "&amp;$A541))</f>
        <v>1</v>
      </c>
      <c r="AS541" s="4">
        <f>IF($A541=AS$496,"",COUNTIF($E$4:$E$492,$A541&amp;" ضد "&amp;AS$496)+COUNTIF($E$4:$E$492,AS$496&amp;" ضد "&amp;$A541))</f>
        <v>2</v>
      </c>
      <c r="AT541" s="4" t="str">
        <f>IF($A541=AT$496,"",COUNTIF($E$4:$E$492,$A541&amp;" ضد "&amp;AT$496)+COUNTIF($E$4:$E$492,AT$496&amp;" ضد "&amp;$A541))</f>
        <v/>
      </c>
      <c r="AU541" s="4">
        <f>IF($A541=AU$496,"",COUNTIF($E$4:$E$492,$A541&amp;" ضد "&amp;AU$496)+COUNTIF($E$4:$E$492,AU$496&amp;" ضد "&amp;$A541))</f>
        <v>2</v>
      </c>
      <c r="AV541" s="4">
        <f>IF($A541=AV$496,"",COUNTIF($E$4:$E$492,$A541&amp;" ضد "&amp;AV$496)+COUNTIF($E$4:$E$492,AV$496&amp;" ضد "&amp;$A541))</f>
        <v>1</v>
      </c>
      <c r="AW541" s="4">
        <f>IF($A541=AW$496,"",COUNTIF($E$4:$E$492,$A541&amp;" ضد "&amp;AW$496)+COUNTIF($E$4:$E$492,AW$496&amp;" ضد "&amp;$A541))</f>
        <v>2</v>
      </c>
      <c r="AX541" s="4">
        <f>IF($A541=AX$496,"",COUNTIF($E$4:$E$492,$A541&amp;" ضد "&amp;AX$496)+COUNTIF($E$4:$E$492,AX$496&amp;" ضد "&amp;$A541))</f>
        <v>1</v>
      </c>
      <c r="AY541" s="4">
        <f>IF($A541=AY$496,"",COUNTIF($E$4:$E$492,$A541&amp;" ضد "&amp;AY$496)+COUNTIF($E$4:$E$492,AY$496&amp;" ضد "&amp;$A541))</f>
        <v>2</v>
      </c>
      <c r="AZ541" s="4">
        <f>IF($A541=AZ$496,"",COUNTIF($E$4:$E$492,$A541&amp;" ضد "&amp;AZ$496)+COUNTIF($E$4:$E$492,AZ$496&amp;" ضد "&amp;$A541))</f>
        <v>2</v>
      </c>
      <c r="BA541" s="4">
        <f>IF($A541=BA$496,"",COUNTIF($E$4:$E$492,$A541&amp;" ضد "&amp;BA$496)+COUNTIF($E$4:$E$492,BA$496&amp;" ضد "&amp;$A541))</f>
        <v>2</v>
      </c>
      <c r="BB541" s="4">
        <f>IF($A541=BB$496,"",COUNTIF($E$4:$E$492,$A541&amp;" ضد "&amp;BB$496)+COUNTIF($E$4:$E$492,BB$496&amp;" ضد "&amp;$A541))</f>
        <v>2</v>
      </c>
      <c r="BC541" s="4">
        <f>IF($A541=BC$496,"",COUNTIF($E$4:$E$492,$A541&amp;" ضد "&amp;BC$496)+COUNTIF($E$4:$E$492,BC$496&amp;" ضد "&amp;$A541))</f>
        <v>1</v>
      </c>
    </row>
    <row r="542" spans="1:55" ht="14.5">
      <c r="A542" s="14">
        <v>46</v>
      </c>
      <c r="B542" s="4">
        <f>IF($A542=B$496,"",COUNTIF($E$4:$E$492,$A542&amp;" ضد "&amp;B$496)+COUNTIF($E$4:$E$492,B$496&amp;" ضد "&amp;$A542))</f>
        <v>0</v>
      </c>
      <c r="C542" s="4">
        <f>IF($A542=C$496,"",COUNTIF($E$4:$E$492,$A542&amp;" ضد "&amp;C$496)+COUNTIF($E$4:$E$492,C$496&amp;" ضد "&amp;$A542))</f>
        <v>0</v>
      </c>
      <c r="D542" s="4">
        <f>IF($A542=D$496,"",COUNTIF($E$4:$E$492,$A542&amp;" ضد "&amp;D$496)+COUNTIF($E$4:$E$492,D$496&amp;" ضد "&amp;$A542))</f>
        <v>0</v>
      </c>
      <c r="E542" s="4">
        <f>IF($A542=E$496,"",COUNTIF($E$4:$E$492,$A542&amp;" ضد "&amp;E$496)+COUNTIF($E$4:$E$492,E$496&amp;" ضد "&amp;$A542))</f>
        <v>0</v>
      </c>
      <c r="F542" s="4">
        <f>IF($A542=F$496,"",COUNTIF($E$4:$E$492,$A542&amp;" ضد "&amp;F$496)+COUNTIF($E$4:$E$492,F$496&amp;" ضد "&amp;$A542))</f>
        <v>0</v>
      </c>
      <c r="G542" s="4">
        <f>IF($A542=G$496,"",COUNTIF($E$4:$E$492,$A542&amp;" ضد "&amp;G$496)+COUNTIF($E$4:$E$492,G$496&amp;" ضد "&amp;$A542))</f>
        <v>0</v>
      </c>
      <c r="H542" s="4">
        <f>IF($A542=H$496,"",COUNTIF($E$4:$E$492,$A542&amp;" ضد "&amp;H$496)+COUNTIF($E$4:$E$492,H$496&amp;" ضد "&amp;$A542))</f>
        <v>0</v>
      </c>
      <c r="I542" s="4">
        <f>IF($A542=I$496,"",COUNTIF($E$4:$E$492,$A542&amp;" ضد "&amp;I$496)+COUNTIF($E$4:$E$492,I$496&amp;" ضد "&amp;$A542))</f>
        <v>0</v>
      </c>
      <c r="J542" s="4">
        <f>IF($A542=J$496,"",COUNTIF($E$4:$E$492,$A542&amp;" ضد "&amp;J$496)+COUNTIF($E$4:$E$492,J$496&amp;" ضد "&amp;$A542))</f>
        <v>0</v>
      </c>
      <c r="K542" s="4">
        <f>IF($A542=K$496,"",COUNTIF($E$4:$E$492,$A542&amp;" ضد "&amp;K$496)+COUNTIF($E$4:$E$492,K$496&amp;" ضد "&amp;$A542))</f>
        <v>0</v>
      </c>
      <c r="L542" s="4">
        <f>IF($A542=L$496,"",COUNTIF($E$4:$E$492,$A542&amp;" ضد "&amp;L$496)+COUNTIF($E$4:$E$492,L$496&amp;" ضد "&amp;$A542))</f>
        <v>0</v>
      </c>
      <c r="M542" s="4">
        <f>IF($A542=M$496,"",COUNTIF($E$4:$E$492,$A542&amp;" ضد "&amp;M$496)+COUNTIF($E$4:$E$492,M$496&amp;" ضد "&amp;$A542))</f>
        <v>0</v>
      </c>
      <c r="N542" s="4">
        <f>IF($A542=N$496,"",COUNTIF($E$4:$E$492,$A542&amp;" ضد "&amp;N$496)+COUNTIF($E$4:$E$492,N$496&amp;" ضد "&amp;$A542))</f>
        <v>0</v>
      </c>
      <c r="O542" s="4">
        <f>IF($A542=O$496,"",COUNTIF($E$4:$E$492,$A542&amp;" ضد "&amp;O$496)+COUNTIF($E$4:$E$492,O$496&amp;" ضد "&amp;$A542))</f>
        <v>0</v>
      </c>
      <c r="P542" s="4">
        <f>IF($A542=P$496,"",COUNTIF($E$4:$E$492,$A542&amp;" ضد "&amp;P$496)+COUNTIF($E$4:$E$492,P$496&amp;" ضد "&amp;$A542))</f>
        <v>0</v>
      </c>
      <c r="Q542" s="4">
        <f>IF($A542=Q$496,"",COUNTIF($E$4:$E$492,$A542&amp;" ضد "&amp;Q$496)+COUNTIF($E$4:$E$492,Q$496&amp;" ضد "&amp;$A542))</f>
        <v>0</v>
      </c>
      <c r="R542" s="4">
        <f>IF($A542=R$496,"",COUNTIF($E$4:$E$492,$A542&amp;" ضد "&amp;R$496)+COUNTIF($E$4:$E$492,R$496&amp;" ضد "&amp;$A542))</f>
        <v>0</v>
      </c>
      <c r="S542" s="4">
        <f>IF($A542=S$496,"",COUNTIF($E$4:$E$492,$A542&amp;" ضد "&amp;S$496)+COUNTIF($E$4:$E$492,S$496&amp;" ضد "&amp;$A542))</f>
        <v>0</v>
      </c>
      <c r="T542" s="4">
        <f>IF($A542=T$496,"",COUNTIF($E$4:$E$492,$A542&amp;" ضد "&amp;T$496)+COUNTIF($E$4:$E$492,T$496&amp;" ضد "&amp;$A542))</f>
        <v>0</v>
      </c>
      <c r="U542" s="4">
        <f>IF($A542=U$496,"",COUNTIF($E$4:$E$492,$A542&amp;" ضد "&amp;U$496)+COUNTIF($E$4:$E$492,U$496&amp;" ضد "&amp;$A542))</f>
        <v>0</v>
      </c>
      <c r="V542" s="4">
        <f>IF($A542=V$496,"",COUNTIF($E$4:$E$492,$A542&amp;" ضد "&amp;V$496)+COUNTIF($E$4:$E$492,V$496&amp;" ضد "&amp;$A542))</f>
        <v>0</v>
      </c>
      <c r="W542" s="4">
        <f>IF($A542=W$496,"",COUNTIF($E$4:$E$492,$A542&amp;" ضد "&amp;W$496)+COUNTIF($E$4:$E$492,W$496&amp;" ضد "&amp;$A542))</f>
        <v>0</v>
      </c>
      <c r="X542" s="4">
        <f>IF($A542=X$496,"",COUNTIF($E$4:$E$492,$A542&amp;" ضد "&amp;X$496)+COUNTIF($E$4:$E$492,X$496&amp;" ضد "&amp;$A542))</f>
        <v>0</v>
      </c>
      <c r="Y542" s="4">
        <f>IF($A542=Y$496,"",COUNTIF($E$4:$E$492,$A542&amp;" ضد "&amp;Y$496)+COUNTIF($E$4:$E$492,Y$496&amp;" ضد "&amp;$A542))</f>
        <v>0</v>
      </c>
      <c r="Z542" s="4">
        <f>IF($A542=Z$496,"",COUNTIF($E$4:$E$492,$A542&amp;" ضد "&amp;Z$496)+COUNTIF($E$4:$E$492,Z$496&amp;" ضد "&amp;$A542))</f>
        <v>0</v>
      </c>
      <c r="AA542" s="4">
        <f>IF($A542=AA$496,"",COUNTIF($E$4:$E$492,$A542&amp;" ضد "&amp;AA$496)+COUNTIF($E$4:$E$492,AA$496&amp;" ضد "&amp;$A542))</f>
        <v>0</v>
      </c>
      <c r="AB542" s="4">
        <f>IF($A542=AB$496,"",COUNTIF($E$4:$E$492,$A542&amp;" ضد "&amp;AB$496)+COUNTIF($E$4:$E$492,AB$496&amp;" ضد "&amp;$A542))</f>
        <v>0</v>
      </c>
      <c r="AC542" s="4">
        <f>IF($A542=AC$496,"",COUNTIF($E$4:$E$492,$A542&amp;" ضد "&amp;AC$496)+COUNTIF($E$4:$E$492,AC$496&amp;" ضد "&amp;$A542))</f>
        <v>0</v>
      </c>
      <c r="AD542" s="4">
        <f>IF($A542=AD$496,"",COUNTIF($E$4:$E$492,$A542&amp;" ضد "&amp;AD$496)+COUNTIF($E$4:$E$492,AD$496&amp;" ضد "&amp;$A542))</f>
        <v>0</v>
      </c>
      <c r="AE542" s="4">
        <f>IF($A542=AE$496,"",COUNTIF($E$4:$E$492,$A542&amp;" ضد "&amp;AE$496)+COUNTIF($E$4:$E$492,AE$496&amp;" ضد "&amp;$A542))</f>
        <v>0</v>
      </c>
      <c r="AF542" s="4">
        <f>IF($A542=AF$496,"",COUNTIF($E$4:$E$492,$A542&amp;" ضد "&amp;AF$496)+COUNTIF($E$4:$E$492,AF$496&amp;" ضد "&amp;$A542))</f>
        <v>0</v>
      </c>
      <c r="AG542" s="4">
        <f>IF($A542=AG$496,"",COUNTIF($E$4:$E$492,$A542&amp;" ضد "&amp;AG$496)+COUNTIF($E$4:$E$492,AG$496&amp;" ضد "&amp;$A542))</f>
        <v>0</v>
      </c>
      <c r="AH542" s="4">
        <f>IF($A542=AH$496,"",COUNTIF($E$4:$E$492,$A542&amp;" ضد "&amp;AH$496)+COUNTIF($E$4:$E$492,AH$496&amp;" ضد "&amp;$A542))</f>
        <v>0</v>
      </c>
      <c r="AI542" s="4">
        <f>IF($A542=AI$496,"",COUNTIF($E$4:$E$492,$A542&amp;" ضد "&amp;AI$496)+COUNTIF($E$4:$E$492,AI$496&amp;" ضد "&amp;$A542))</f>
        <v>0</v>
      </c>
      <c r="AJ542" s="4">
        <f>IF($A542=AJ$496,"",COUNTIF($E$4:$E$492,$A542&amp;" ضد "&amp;AJ$496)+COUNTIF($E$4:$E$492,AJ$496&amp;" ضد "&amp;$A542))</f>
        <v>0</v>
      </c>
      <c r="AK542" s="4">
        <f>IF($A542=AK$496,"",COUNTIF($E$4:$E$492,$A542&amp;" ضد "&amp;AK$496)+COUNTIF($E$4:$E$492,AK$496&amp;" ضد "&amp;$A542))</f>
        <v>0</v>
      </c>
      <c r="AL542" s="4">
        <f>IF($A542=AL$496,"",COUNTIF($E$4:$E$492,$A542&amp;" ضد "&amp;AL$496)+COUNTIF($E$4:$E$492,AL$496&amp;" ضد "&amp;$A542))</f>
        <v>0</v>
      </c>
      <c r="AM542" s="4">
        <f>IF($A542=AM$496,"",COUNTIF($E$4:$E$492,$A542&amp;" ضد "&amp;AM$496)+COUNTIF($E$4:$E$492,AM$496&amp;" ضد "&amp;$A542))</f>
        <v>0</v>
      </c>
      <c r="AN542" s="4">
        <f>IF($A542=AN$496,"",COUNTIF($E$4:$E$492,$A542&amp;" ضد "&amp;AN$496)+COUNTIF($E$4:$E$492,AN$496&amp;" ضد "&amp;$A542))</f>
        <v>0</v>
      </c>
      <c r="AO542" s="4">
        <f>IF($A542=AO$496,"",COUNTIF($E$4:$E$492,$A542&amp;" ضد "&amp;AO$496)+COUNTIF($E$4:$E$492,AO$496&amp;" ضد "&amp;$A542))</f>
        <v>0</v>
      </c>
      <c r="AP542" s="4">
        <f>IF($A542=AP$496,"",COUNTIF($E$4:$E$492,$A542&amp;" ضد "&amp;AP$496)+COUNTIF($E$4:$E$492,AP$496&amp;" ضد "&amp;$A542))</f>
        <v>0</v>
      </c>
      <c r="AQ542" s="4">
        <f>IF($A542=AQ$496,"",COUNTIF($E$4:$E$492,$A542&amp;" ضد "&amp;AQ$496)+COUNTIF($E$4:$E$492,AQ$496&amp;" ضد "&amp;$A542))</f>
        <v>0</v>
      </c>
      <c r="AR542" s="4">
        <f>IF($A542=AR$496,"",COUNTIF($E$4:$E$492,$A542&amp;" ضد "&amp;AR$496)+COUNTIF($E$4:$E$492,AR$496&amp;" ضد "&amp;$A542))</f>
        <v>1</v>
      </c>
      <c r="AS542" s="4">
        <f>IF($A542=AS$496,"",COUNTIF($E$4:$E$492,$A542&amp;" ضد "&amp;AS$496)+COUNTIF($E$4:$E$492,AS$496&amp;" ضد "&amp;$A542))</f>
        <v>1</v>
      </c>
      <c r="AT542" s="4">
        <f>IF($A542=AT$496,"",COUNTIF($E$4:$E$492,$A542&amp;" ضد "&amp;AT$496)+COUNTIF($E$4:$E$492,AT$496&amp;" ضد "&amp;$A542))</f>
        <v>2</v>
      </c>
      <c r="AU542" s="4" t="str">
        <f>IF($A542=AU$496,"",COUNTIF($E$4:$E$492,$A542&amp;" ضد "&amp;AU$496)+COUNTIF($E$4:$E$492,AU$496&amp;" ضد "&amp;$A542))</f>
        <v/>
      </c>
      <c r="AV542" s="4">
        <f>IF($A542=AV$496,"",COUNTIF($E$4:$E$492,$A542&amp;" ضد "&amp;AV$496)+COUNTIF($E$4:$E$492,AV$496&amp;" ضد "&amp;$A542))</f>
        <v>2</v>
      </c>
      <c r="AW542" s="4">
        <f>IF($A542=AW$496,"",COUNTIF($E$4:$E$492,$A542&amp;" ضد "&amp;AW$496)+COUNTIF($E$4:$E$492,AW$496&amp;" ضد "&amp;$A542))</f>
        <v>1</v>
      </c>
      <c r="AX542" s="4">
        <f>IF($A542=AX$496,"",COUNTIF($E$4:$E$492,$A542&amp;" ضد "&amp;AX$496)+COUNTIF($E$4:$E$492,AX$496&amp;" ضد "&amp;$A542))</f>
        <v>2</v>
      </c>
      <c r="AY542" s="4">
        <f>IF($A542=AY$496,"",COUNTIF($E$4:$E$492,$A542&amp;" ضد "&amp;AY$496)+COUNTIF($E$4:$E$492,AY$496&amp;" ضد "&amp;$A542))</f>
        <v>2</v>
      </c>
      <c r="AZ542" s="4">
        <f>IF($A542=AZ$496,"",COUNTIF($E$4:$E$492,$A542&amp;" ضد "&amp;AZ$496)+COUNTIF($E$4:$E$492,AZ$496&amp;" ضد "&amp;$A542))</f>
        <v>2</v>
      </c>
      <c r="BA542" s="4">
        <f>IF($A542=BA$496,"",COUNTIF($E$4:$E$492,$A542&amp;" ضد "&amp;BA$496)+COUNTIF($E$4:$E$492,BA$496&amp;" ضد "&amp;$A542))</f>
        <v>2</v>
      </c>
      <c r="BB542" s="4">
        <f>IF($A542=BB$496,"",COUNTIF($E$4:$E$492,$A542&amp;" ضد "&amp;BB$496)+COUNTIF($E$4:$E$492,BB$496&amp;" ضد "&amp;$A542))</f>
        <v>1</v>
      </c>
      <c r="BC542" s="4">
        <f>IF($A542=BC$496,"",COUNTIF($E$4:$E$492,$A542&amp;" ضد "&amp;BC$496)+COUNTIF($E$4:$E$492,BC$496&amp;" ضد "&amp;$A542))</f>
        <v>2</v>
      </c>
    </row>
    <row r="543" spans="1:55" ht="14.5">
      <c r="A543" s="14">
        <v>47</v>
      </c>
      <c r="B543" s="4">
        <f>IF($A543=B$496,"",COUNTIF($E$4:$E$492,$A543&amp;" ضد "&amp;B$496)+COUNTIF($E$4:$E$492,B$496&amp;" ضد "&amp;$A543))</f>
        <v>0</v>
      </c>
      <c r="C543" s="4">
        <f>IF($A543=C$496,"",COUNTIF($E$4:$E$492,$A543&amp;" ضد "&amp;C$496)+COUNTIF($E$4:$E$492,C$496&amp;" ضد "&amp;$A543))</f>
        <v>0</v>
      </c>
      <c r="D543" s="4">
        <f>IF($A543=D$496,"",COUNTIF($E$4:$E$492,$A543&amp;" ضد "&amp;D$496)+COUNTIF($E$4:$E$492,D$496&amp;" ضد "&amp;$A543))</f>
        <v>0</v>
      </c>
      <c r="E543" s="4">
        <f>IF($A543=E$496,"",COUNTIF($E$4:$E$492,$A543&amp;" ضد "&amp;E$496)+COUNTIF($E$4:$E$492,E$496&amp;" ضد "&amp;$A543))</f>
        <v>0</v>
      </c>
      <c r="F543" s="4">
        <f>IF($A543=F$496,"",COUNTIF($E$4:$E$492,$A543&amp;" ضد "&amp;F$496)+COUNTIF($E$4:$E$492,F$496&amp;" ضد "&amp;$A543))</f>
        <v>0</v>
      </c>
      <c r="G543" s="4">
        <f>IF($A543=G$496,"",COUNTIF($E$4:$E$492,$A543&amp;" ضد "&amp;G$496)+COUNTIF($E$4:$E$492,G$496&amp;" ضد "&amp;$A543))</f>
        <v>0</v>
      </c>
      <c r="H543" s="4">
        <f>IF($A543=H$496,"",COUNTIF($E$4:$E$492,$A543&amp;" ضد "&amp;H$496)+COUNTIF($E$4:$E$492,H$496&amp;" ضد "&amp;$A543))</f>
        <v>0</v>
      </c>
      <c r="I543" s="4">
        <f>IF($A543=I$496,"",COUNTIF($E$4:$E$492,$A543&amp;" ضد "&amp;I$496)+COUNTIF($E$4:$E$492,I$496&amp;" ضد "&amp;$A543))</f>
        <v>0</v>
      </c>
      <c r="J543" s="4">
        <f>IF($A543=J$496,"",COUNTIF($E$4:$E$492,$A543&amp;" ضد "&amp;J$496)+COUNTIF($E$4:$E$492,J$496&amp;" ضد "&amp;$A543))</f>
        <v>0</v>
      </c>
      <c r="K543" s="4">
        <f>IF($A543=K$496,"",COUNTIF($E$4:$E$492,$A543&amp;" ضد "&amp;K$496)+COUNTIF($E$4:$E$492,K$496&amp;" ضد "&amp;$A543))</f>
        <v>0</v>
      </c>
      <c r="L543" s="4">
        <f>IF($A543=L$496,"",COUNTIF($E$4:$E$492,$A543&amp;" ضد "&amp;L$496)+COUNTIF($E$4:$E$492,L$496&amp;" ضد "&amp;$A543))</f>
        <v>0</v>
      </c>
      <c r="M543" s="4">
        <f>IF($A543=M$496,"",COUNTIF($E$4:$E$492,$A543&amp;" ضد "&amp;M$496)+COUNTIF($E$4:$E$492,M$496&amp;" ضد "&amp;$A543))</f>
        <v>0</v>
      </c>
      <c r="N543" s="4">
        <f>IF($A543=N$496,"",COUNTIF($E$4:$E$492,$A543&amp;" ضد "&amp;N$496)+COUNTIF($E$4:$E$492,N$496&amp;" ضد "&amp;$A543))</f>
        <v>0</v>
      </c>
      <c r="O543" s="4">
        <f>IF($A543=O$496,"",COUNTIF($E$4:$E$492,$A543&amp;" ضد "&amp;O$496)+COUNTIF($E$4:$E$492,O$496&amp;" ضد "&amp;$A543))</f>
        <v>0</v>
      </c>
      <c r="P543" s="4">
        <f>IF($A543=P$496,"",COUNTIF($E$4:$E$492,$A543&amp;" ضد "&amp;P$496)+COUNTIF($E$4:$E$492,P$496&amp;" ضد "&amp;$A543))</f>
        <v>0</v>
      </c>
      <c r="Q543" s="4">
        <f>IF($A543=Q$496,"",COUNTIF($E$4:$E$492,$A543&amp;" ضد "&amp;Q$496)+COUNTIF($E$4:$E$492,Q$496&amp;" ضد "&amp;$A543))</f>
        <v>0</v>
      </c>
      <c r="R543" s="4">
        <f>IF($A543=R$496,"",COUNTIF($E$4:$E$492,$A543&amp;" ضد "&amp;R$496)+COUNTIF($E$4:$E$492,R$496&amp;" ضد "&amp;$A543))</f>
        <v>0</v>
      </c>
      <c r="S543" s="4">
        <f>IF($A543=S$496,"",COUNTIF($E$4:$E$492,$A543&amp;" ضد "&amp;S$496)+COUNTIF($E$4:$E$492,S$496&amp;" ضد "&amp;$A543))</f>
        <v>0</v>
      </c>
      <c r="T543" s="4">
        <f>IF($A543=T$496,"",COUNTIF($E$4:$E$492,$A543&amp;" ضد "&amp;T$496)+COUNTIF($E$4:$E$492,T$496&amp;" ضد "&amp;$A543))</f>
        <v>0</v>
      </c>
      <c r="U543" s="4">
        <f>IF($A543=U$496,"",COUNTIF($E$4:$E$492,$A543&amp;" ضد "&amp;U$496)+COUNTIF($E$4:$E$492,U$496&amp;" ضد "&amp;$A543))</f>
        <v>0</v>
      </c>
      <c r="V543" s="4">
        <f>IF($A543=V$496,"",COUNTIF($E$4:$E$492,$A543&amp;" ضد "&amp;V$496)+COUNTIF($E$4:$E$492,V$496&amp;" ضد "&amp;$A543))</f>
        <v>0</v>
      </c>
      <c r="W543" s="4">
        <f>IF($A543=W$496,"",COUNTIF($E$4:$E$492,$A543&amp;" ضد "&amp;W$496)+COUNTIF($E$4:$E$492,W$496&amp;" ضد "&amp;$A543))</f>
        <v>0</v>
      </c>
      <c r="X543" s="4">
        <f>IF($A543=X$496,"",COUNTIF($E$4:$E$492,$A543&amp;" ضد "&amp;X$496)+COUNTIF($E$4:$E$492,X$496&amp;" ضد "&amp;$A543))</f>
        <v>0</v>
      </c>
      <c r="Y543" s="4">
        <f>IF($A543=Y$496,"",COUNTIF($E$4:$E$492,$A543&amp;" ضد "&amp;Y$496)+COUNTIF($E$4:$E$492,Y$496&amp;" ضد "&amp;$A543))</f>
        <v>0</v>
      </c>
      <c r="Z543" s="4">
        <f>IF($A543=Z$496,"",COUNTIF($E$4:$E$492,$A543&amp;" ضد "&amp;Z$496)+COUNTIF($E$4:$E$492,Z$496&amp;" ضد "&amp;$A543))</f>
        <v>0</v>
      </c>
      <c r="AA543" s="4">
        <f>IF($A543=AA$496,"",COUNTIF($E$4:$E$492,$A543&amp;" ضد "&amp;AA$496)+COUNTIF($E$4:$E$492,AA$496&amp;" ضد "&amp;$A543))</f>
        <v>0</v>
      </c>
      <c r="AB543" s="4">
        <f>IF($A543=AB$496,"",COUNTIF($E$4:$E$492,$A543&amp;" ضد "&amp;AB$496)+COUNTIF($E$4:$E$492,AB$496&amp;" ضد "&amp;$A543))</f>
        <v>0</v>
      </c>
      <c r="AC543" s="4">
        <f>IF($A543=AC$496,"",COUNTIF($E$4:$E$492,$A543&amp;" ضد "&amp;AC$496)+COUNTIF($E$4:$E$492,AC$496&amp;" ضد "&amp;$A543))</f>
        <v>0</v>
      </c>
      <c r="AD543" s="4">
        <f>IF($A543=AD$496,"",COUNTIF($E$4:$E$492,$A543&amp;" ضد "&amp;AD$496)+COUNTIF($E$4:$E$492,AD$496&amp;" ضد "&amp;$A543))</f>
        <v>0</v>
      </c>
      <c r="AE543" s="4">
        <f>IF($A543=AE$496,"",COUNTIF($E$4:$E$492,$A543&amp;" ضد "&amp;AE$496)+COUNTIF($E$4:$E$492,AE$496&amp;" ضد "&amp;$A543))</f>
        <v>0</v>
      </c>
      <c r="AF543" s="4">
        <f>IF($A543=AF$496,"",COUNTIF($E$4:$E$492,$A543&amp;" ضد "&amp;AF$496)+COUNTIF($E$4:$E$492,AF$496&amp;" ضد "&amp;$A543))</f>
        <v>0</v>
      </c>
      <c r="AG543" s="4">
        <f>IF($A543=AG$496,"",COUNTIF($E$4:$E$492,$A543&amp;" ضد "&amp;AG$496)+COUNTIF($E$4:$E$492,AG$496&amp;" ضد "&amp;$A543))</f>
        <v>0</v>
      </c>
      <c r="AH543" s="4">
        <f>IF($A543=AH$496,"",COUNTIF($E$4:$E$492,$A543&amp;" ضد "&amp;AH$496)+COUNTIF($E$4:$E$492,AH$496&amp;" ضد "&amp;$A543))</f>
        <v>0</v>
      </c>
      <c r="AI543" s="4">
        <f>IF($A543=AI$496,"",COUNTIF($E$4:$E$492,$A543&amp;" ضد "&amp;AI$496)+COUNTIF($E$4:$E$492,AI$496&amp;" ضد "&amp;$A543))</f>
        <v>0</v>
      </c>
      <c r="AJ543" s="4">
        <f>IF($A543=AJ$496,"",COUNTIF($E$4:$E$492,$A543&amp;" ضد "&amp;AJ$496)+COUNTIF($E$4:$E$492,AJ$496&amp;" ضد "&amp;$A543))</f>
        <v>0</v>
      </c>
      <c r="AK543" s="4">
        <f>IF($A543=AK$496,"",COUNTIF($E$4:$E$492,$A543&amp;" ضد "&amp;AK$496)+COUNTIF($E$4:$E$492,AK$496&amp;" ضد "&amp;$A543))</f>
        <v>0</v>
      </c>
      <c r="AL543" s="4">
        <f>IF($A543=AL$496,"",COUNTIF($E$4:$E$492,$A543&amp;" ضد "&amp;AL$496)+COUNTIF($E$4:$E$492,AL$496&amp;" ضد "&amp;$A543))</f>
        <v>0</v>
      </c>
      <c r="AM543" s="4">
        <f>IF($A543=AM$496,"",COUNTIF($E$4:$E$492,$A543&amp;" ضد "&amp;AM$496)+COUNTIF($E$4:$E$492,AM$496&amp;" ضد "&amp;$A543))</f>
        <v>0</v>
      </c>
      <c r="AN543" s="4">
        <f>IF($A543=AN$496,"",COUNTIF($E$4:$E$492,$A543&amp;" ضد "&amp;AN$496)+COUNTIF($E$4:$E$492,AN$496&amp;" ضد "&amp;$A543))</f>
        <v>0</v>
      </c>
      <c r="AO543" s="4">
        <f>IF($A543=AO$496,"",COUNTIF($E$4:$E$492,$A543&amp;" ضد "&amp;AO$496)+COUNTIF($E$4:$E$492,AO$496&amp;" ضد "&amp;$A543))</f>
        <v>0</v>
      </c>
      <c r="AP543" s="4">
        <f>IF($A543=AP$496,"",COUNTIF($E$4:$E$492,$A543&amp;" ضد "&amp;AP$496)+COUNTIF($E$4:$E$492,AP$496&amp;" ضد "&amp;$A543))</f>
        <v>0</v>
      </c>
      <c r="AQ543" s="4">
        <f>IF($A543=AQ$496,"",COUNTIF($E$4:$E$492,$A543&amp;" ضد "&amp;AQ$496)+COUNTIF($E$4:$E$492,AQ$496&amp;" ضد "&amp;$A543))</f>
        <v>0</v>
      </c>
      <c r="AR543" s="4">
        <f>IF($A543=AR$496,"",COUNTIF($E$4:$E$492,$A543&amp;" ضد "&amp;AR$496)+COUNTIF($E$4:$E$492,AR$496&amp;" ضد "&amp;$A543))</f>
        <v>1</v>
      </c>
      <c r="AS543" s="4">
        <f>IF($A543=AS$496,"",COUNTIF($E$4:$E$492,$A543&amp;" ضد "&amp;AS$496)+COUNTIF($E$4:$E$492,AS$496&amp;" ضد "&amp;$A543))</f>
        <v>2</v>
      </c>
      <c r="AT543" s="4">
        <f>IF($A543=AT$496,"",COUNTIF($E$4:$E$492,$A543&amp;" ضد "&amp;AT$496)+COUNTIF($E$4:$E$492,AT$496&amp;" ضد "&amp;$A543))</f>
        <v>1</v>
      </c>
      <c r="AU543" s="4">
        <f>IF($A543=AU$496,"",COUNTIF($E$4:$E$492,$A543&amp;" ضد "&amp;AU$496)+COUNTIF($E$4:$E$492,AU$496&amp;" ضد "&amp;$A543))</f>
        <v>2</v>
      </c>
      <c r="AV543" s="4" t="str">
        <f>IF($A543=AV$496,"",COUNTIF($E$4:$E$492,$A543&amp;" ضد "&amp;AV$496)+COUNTIF($E$4:$E$492,AV$496&amp;" ضد "&amp;$A543))</f>
        <v/>
      </c>
      <c r="AW543" s="4">
        <f>IF($A543=AW$496,"",COUNTIF($E$4:$E$492,$A543&amp;" ضد "&amp;AW$496)+COUNTIF($E$4:$E$492,AW$496&amp;" ضد "&amp;$A543))</f>
        <v>2</v>
      </c>
      <c r="AX543" s="4">
        <f>IF($A543=AX$496,"",COUNTIF($E$4:$E$492,$A543&amp;" ضد "&amp;AX$496)+COUNTIF($E$4:$E$492,AX$496&amp;" ضد "&amp;$A543))</f>
        <v>2</v>
      </c>
      <c r="AY543" s="4">
        <f>IF($A543=AY$496,"",COUNTIF($E$4:$E$492,$A543&amp;" ضد "&amp;AY$496)+COUNTIF($E$4:$E$492,AY$496&amp;" ضد "&amp;$A543))</f>
        <v>2</v>
      </c>
      <c r="AZ543" s="4">
        <f>IF($A543=AZ$496,"",COUNTIF($E$4:$E$492,$A543&amp;" ضد "&amp;AZ$496)+COUNTIF($E$4:$E$492,AZ$496&amp;" ضد "&amp;$A543))</f>
        <v>2</v>
      </c>
      <c r="BA543" s="4">
        <f>IF($A543=BA$496,"",COUNTIF($E$4:$E$492,$A543&amp;" ضد "&amp;BA$496)+COUNTIF($E$4:$E$492,BA$496&amp;" ضد "&amp;$A543))</f>
        <v>1</v>
      </c>
      <c r="BB543" s="4">
        <f>IF($A543=BB$496,"",COUNTIF($E$4:$E$492,$A543&amp;" ضد "&amp;BB$496)+COUNTIF($E$4:$E$492,BB$496&amp;" ضد "&amp;$A543))</f>
        <v>2</v>
      </c>
      <c r="BC543" s="4">
        <f>IF($A543=BC$496,"",COUNTIF($E$4:$E$492,$A543&amp;" ضد "&amp;BC$496)+COUNTIF($E$4:$E$492,BC$496&amp;" ضد "&amp;$A543))</f>
        <v>1</v>
      </c>
    </row>
    <row r="544" spans="1:55" ht="14.5">
      <c r="A544" s="14">
        <v>48</v>
      </c>
      <c r="B544" s="4">
        <f>IF($A544=B$496,"",COUNTIF($E$4:$E$492,$A544&amp;" ضد "&amp;B$496)+COUNTIF($E$4:$E$492,B$496&amp;" ضد "&amp;$A544))</f>
        <v>0</v>
      </c>
      <c r="C544" s="4">
        <f>IF($A544=C$496,"",COUNTIF($E$4:$E$492,$A544&amp;" ضد "&amp;C$496)+COUNTIF($E$4:$E$492,C$496&amp;" ضد "&amp;$A544))</f>
        <v>0</v>
      </c>
      <c r="D544" s="4">
        <f>IF($A544=D$496,"",COUNTIF($E$4:$E$492,$A544&amp;" ضد "&amp;D$496)+COUNTIF($E$4:$E$492,D$496&amp;" ضد "&amp;$A544))</f>
        <v>0</v>
      </c>
      <c r="E544" s="4">
        <f>IF($A544=E$496,"",COUNTIF($E$4:$E$492,$A544&amp;" ضد "&amp;E$496)+COUNTIF($E$4:$E$492,E$496&amp;" ضد "&amp;$A544))</f>
        <v>0</v>
      </c>
      <c r="F544" s="4">
        <f>IF($A544=F$496,"",COUNTIF($E$4:$E$492,$A544&amp;" ضد "&amp;F$496)+COUNTIF($E$4:$E$492,F$496&amp;" ضد "&amp;$A544))</f>
        <v>0</v>
      </c>
      <c r="G544" s="4">
        <f>IF($A544=G$496,"",COUNTIF($E$4:$E$492,$A544&amp;" ضد "&amp;G$496)+COUNTIF($E$4:$E$492,G$496&amp;" ضد "&amp;$A544))</f>
        <v>0</v>
      </c>
      <c r="H544" s="4">
        <f>IF($A544=H$496,"",COUNTIF($E$4:$E$492,$A544&amp;" ضد "&amp;H$496)+COUNTIF($E$4:$E$492,H$496&amp;" ضد "&amp;$A544))</f>
        <v>0</v>
      </c>
      <c r="I544" s="4">
        <f>IF($A544=I$496,"",COUNTIF($E$4:$E$492,$A544&amp;" ضد "&amp;I$496)+COUNTIF($E$4:$E$492,I$496&amp;" ضد "&amp;$A544))</f>
        <v>0</v>
      </c>
      <c r="J544" s="4">
        <f>IF($A544=J$496,"",COUNTIF($E$4:$E$492,$A544&amp;" ضد "&amp;J$496)+COUNTIF($E$4:$E$492,J$496&amp;" ضد "&amp;$A544))</f>
        <v>0</v>
      </c>
      <c r="K544" s="4">
        <f>IF($A544=K$496,"",COUNTIF($E$4:$E$492,$A544&amp;" ضد "&amp;K$496)+COUNTIF($E$4:$E$492,K$496&amp;" ضد "&amp;$A544))</f>
        <v>0</v>
      </c>
      <c r="L544" s="4">
        <f>IF($A544=L$496,"",COUNTIF($E$4:$E$492,$A544&amp;" ضد "&amp;L$496)+COUNTIF($E$4:$E$492,L$496&amp;" ضد "&amp;$A544))</f>
        <v>0</v>
      </c>
      <c r="M544" s="4">
        <f>IF($A544=M$496,"",COUNTIF($E$4:$E$492,$A544&amp;" ضد "&amp;M$496)+COUNTIF($E$4:$E$492,M$496&amp;" ضد "&amp;$A544))</f>
        <v>0</v>
      </c>
      <c r="N544" s="4">
        <f>IF($A544=N$496,"",COUNTIF($E$4:$E$492,$A544&amp;" ضد "&amp;N$496)+COUNTIF($E$4:$E$492,N$496&amp;" ضد "&amp;$A544))</f>
        <v>0</v>
      </c>
      <c r="O544" s="4">
        <f>IF($A544=O$496,"",COUNTIF($E$4:$E$492,$A544&amp;" ضد "&amp;O$496)+COUNTIF($E$4:$E$492,O$496&amp;" ضد "&amp;$A544))</f>
        <v>0</v>
      </c>
      <c r="P544" s="4">
        <f>IF($A544=P$496,"",COUNTIF($E$4:$E$492,$A544&amp;" ضد "&amp;P$496)+COUNTIF($E$4:$E$492,P$496&amp;" ضد "&amp;$A544))</f>
        <v>0</v>
      </c>
      <c r="Q544" s="4">
        <f>IF($A544=Q$496,"",COUNTIF($E$4:$E$492,$A544&amp;" ضد "&amp;Q$496)+COUNTIF($E$4:$E$492,Q$496&amp;" ضد "&amp;$A544))</f>
        <v>0</v>
      </c>
      <c r="R544" s="4">
        <f>IF($A544=R$496,"",COUNTIF($E$4:$E$492,$A544&amp;" ضد "&amp;R$496)+COUNTIF($E$4:$E$492,R$496&amp;" ضد "&amp;$A544))</f>
        <v>0</v>
      </c>
      <c r="S544" s="4">
        <f>IF($A544=S$496,"",COUNTIF($E$4:$E$492,$A544&amp;" ضد "&amp;S$496)+COUNTIF($E$4:$E$492,S$496&amp;" ضد "&amp;$A544))</f>
        <v>0</v>
      </c>
      <c r="T544" s="4">
        <f>IF($A544=T$496,"",COUNTIF($E$4:$E$492,$A544&amp;" ضد "&amp;T$496)+COUNTIF($E$4:$E$492,T$496&amp;" ضد "&amp;$A544))</f>
        <v>0</v>
      </c>
      <c r="U544" s="4">
        <f>IF($A544=U$496,"",COUNTIF($E$4:$E$492,$A544&amp;" ضد "&amp;U$496)+COUNTIF($E$4:$E$492,U$496&amp;" ضد "&amp;$A544))</f>
        <v>0</v>
      </c>
      <c r="V544" s="4">
        <f>IF($A544=V$496,"",COUNTIF($E$4:$E$492,$A544&amp;" ضد "&amp;V$496)+COUNTIF($E$4:$E$492,V$496&amp;" ضد "&amp;$A544))</f>
        <v>0</v>
      </c>
      <c r="W544" s="4">
        <f>IF($A544=W$496,"",COUNTIF($E$4:$E$492,$A544&amp;" ضد "&amp;W$496)+COUNTIF($E$4:$E$492,W$496&amp;" ضد "&amp;$A544))</f>
        <v>0</v>
      </c>
      <c r="X544" s="4">
        <f>IF($A544=X$496,"",COUNTIF($E$4:$E$492,$A544&amp;" ضد "&amp;X$496)+COUNTIF($E$4:$E$492,X$496&amp;" ضد "&amp;$A544))</f>
        <v>0</v>
      </c>
      <c r="Y544" s="4">
        <f>IF($A544=Y$496,"",COUNTIF($E$4:$E$492,$A544&amp;" ضد "&amp;Y$496)+COUNTIF($E$4:$E$492,Y$496&amp;" ضد "&amp;$A544))</f>
        <v>0</v>
      </c>
      <c r="Z544" s="4">
        <f>IF($A544=Z$496,"",COUNTIF($E$4:$E$492,$A544&amp;" ضد "&amp;Z$496)+COUNTIF($E$4:$E$492,Z$496&amp;" ضد "&amp;$A544))</f>
        <v>0</v>
      </c>
      <c r="AA544" s="4">
        <f>IF($A544=AA$496,"",COUNTIF($E$4:$E$492,$A544&amp;" ضد "&amp;AA$496)+COUNTIF($E$4:$E$492,AA$496&amp;" ضد "&amp;$A544))</f>
        <v>0</v>
      </c>
      <c r="AB544" s="4">
        <f>IF($A544=AB$496,"",COUNTIF($E$4:$E$492,$A544&amp;" ضد "&amp;AB$496)+COUNTIF($E$4:$E$492,AB$496&amp;" ضد "&amp;$A544))</f>
        <v>0</v>
      </c>
      <c r="AC544" s="4">
        <f>IF($A544=AC$496,"",COUNTIF($E$4:$E$492,$A544&amp;" ضد "&amp;AC$496)+COUNTIF($E$4:$E$492,AC$496&amp;" ضد "&amp;$A544))</f>
        <v>0</v>
      </c>
      <c r="AD544" s="4">
        <f>IF($A544=AD$496,"",COUNTIF($E$4:$E$492,$A544&amp;" ضد "&amp;AD$496)+COUNTIF($E$4:$E$492,AD$496&amp;" ضد "&amp;$A544))</f>
        <v>0</v>
      </c>
      <c r="AE544" s="4">
        <f>IF($A544=AE$496,"",COUNTIF($E$4:$E$492,$A544&amp;" ضد "&amp;AE$496)+COUNTIF($E$4:$E$492,AE$496&amp;" ضد "&amp;$A544))</f>
        <v>0</v>
      </c>
      <c r="AF544" s="4">
        <f>IF($A544=AF$496,"",COUNTIF($E$4:$E$492,$A544&amp;" ضد "&amp;AF$496)+COUNTIF($E$4:$E$492,AF$496&amp;" ضد "&amp;$A544))</f>
        <v>0</v>
      </c>
      <c r="AG544" s="4">
        <f>IF($A544=AG$496,"",COUNTIF($E$4:$E$492,$A544&amp;" ضد "&amp;AG$496)+COUNTIF($E$4:$E$492,AG$496&amp;" ضد "&amp;$A544))</f>
        <v>0</v>
      </c>
      <c r="AH544" s="4">
        <f>IF($A544=AH$496,"",COUNTIF($E$4:$E$492,$A544&amp;" ضد "&amp;AH$496)+COUNTIF($E$4:$E$492,AH$496&amp;" ضد "&amp;$A544))</f>
        <v>0</v>
      </c>
      <c r="AI544" s="4">
        <f>IF($A544=AI$496,"",COUNTIF($E$4:$E$492,$A544&amp;" ضد "&amp;AI$496)+COUNTIF($E$4:$E$492,AI$496&amp;" ضد "&amp;$A544))</f>
        <v>0</v>
      </c>
      <c r="AJ544" s="4">
        <f>IF($A544=AJ$496,"",COUNTIF($E$4:$E$492,$A544&amp;" ضد "&amp;AJ$496)+COUNTIF($E$4:$E$492,AJ$496&amp;" ضد "&amp;$A544))</f>
        <v>0</v>
      </c>
      <c r="AK544" s="4">
        <f>IF($A544=AK$496,"",COUNTIF($E$4:$E$492,$A544&amp;" ضد "&amp;AK$496)+COUNTIF($E$4:$E$492,AK$496&amp;" ضد "&amp;$A544))</f>
        <v>0</v>
      </c>
      <c r="AL544" s="4">
        <f>IF($A544=AL$496,"",COUNTIF($E$4:$E$492,$A544&amp;" ضد "&amp;AL$496)+COUNTIF($E$4:$E$492,AL$496&amp;" ضد "&amp;$A544))</f>
        <v>0</v>
      </c>
      <c r="AM544" s="4">
        <f>IF($A544=AM$496,"",COUNTIF($E$4:$E$492,$A544&amp;" ضد "&amp;AM$496)+COUNTIF($E$4:$E$492,AM$496&amp;" ضد "&amp;$A544))</f>
        <v>0</v>
      </c>
      <c r="AN544" s="4">
        <f>IF($A544=AN$496,"",COUNTIF($E$4:$E$492,$A544&amp;" ضد "&amp;AN$496)+COUNTIF($E$4:$E$492,AN$496&amp;" ضد "&amp;$A544))</f>
        <v>0</v>
      </c>
      <c r="AO544" s="4">
        <f>IF($A544=AO$496,"",COUNTIF($E$4:$E$492,$A544&amp;" ضد "&amp;AO$496)+COUNTIF($E$4:$E$492,AO$496&amp;" ضد "&amp;$A544))</f>
        <v>0</v>
      </c>
      <c r="AP544" s="4">
        <f>IF($A544=AP$496,"",COUNTIF($E$4:$E$492,$A544&amp;" ضد "&amp;AP$496)+COUNTIF($E$4:$E$492,AP$496&amp;" ضد "&amp;$A544))</f>
        <v>0</v>
      </c>
      <c r="AQ544" s="4">
        <f>IF($A544=AQ$496,"",COUNTIF($E$4:$E$492,$A544&amp;" ضد "&amp;AQ$496)+COUNTIF($E$4:$E$492,AQ$496&amp;" ضد "&amp;$A544))</f>
        <v>0</v>
      </c>
      <c r="AR544" s="4">
        <f>IF($A544=AR$496,"",COUNTIF($E$4:$E$492,$A544&amp;" ضد "&amp;AR$496)+COUNTIF($E$4:$E$492,AR$496&amp;" ضد "&amp;$A544))</f>
        <v>2</v>
      </c>
      <c r="AS544" s="4">
        <f>IF($A544=AS$496,"",COUNTIF($E$4:$E$492,$A544&amp;" ضد "&amp;AS$496)+COUNTIF($E$4:$E$492,AS$496&amp;" ضد "&amp;$A544))</f>
        <v>1</v>
      </c>
      <c r="AT544" s="4">
        <f>IF($A544=AT$496,"",COUNTIF($E$4:$E$492,$A544&amp;" ضد "&amp;AT$496)+COUNTIF($E$4:$E$492,AT$496&amp;" ضد "&amp;$A544))</f>
        <v>2</v>
      </c>
      <c r="AU544" s="4">
        <f>IF($A544=AU$496,"",COUNTIF($E$4:$E$492,$A544&amp;" ضد "&amp;AU$496)+COUNTIF($E$4:$E$492,AU$496&amp;" ضد "&amp;$A544))</f>
        <v>1</v>
      </c>
      <c r="AV544" s="4">
        <f>IF($A544=AV$496,"",COUNTIF($E$4:$E$492,$A544&amp;" ضد "&amp;AV$496)+COUNTIF($E$4:$E$492,AV$496&amp;" ضد "&amp;$A544))</f>
        <v>2</v>
      </c>
      <c r="AW544" s="4" t="str">
        <f>IF($A544=AW$496,"",COUNTIF($E$4:$E$492,$A544&amp;" ضد "&amp;AW$496)+COUNTIF($E$4:$E$492,AW$496&amp;" ضد "&amp;$A544))</f>
        <v/>
      </c>
      <c r="AX544" s="4">
        <f>IF($A544=AX$496,"",COUNTIF($E$4:$E$492,$A544&amp;" ضد "&amp;AX$496)+COUNTIF($E$4:$E$492,AX$496&amp;" ضد "&amp;$A544))</f>
        <v>2</v>
      </c>
      <c r="AY544" s="4">
        <f>IF($A544=AY$496,"",COUNTIF($E$4:$E$492,$A544&amp;" ضد "&amp;AY$496)+COUNTIF($E$4:$E$492,AY$496&amp;" ضد "&amp;$A544))</f>
        <v>2</v>
      </c>
      <c r="AZ544" s="4">
        <f>IF($A544=AZ$496,"",COUNTIF($E$4:$E$492,$A544&amp;" ضد "&amp;AZ$496)+COUNTIF($E$4:$E$492,AZ$496&amp;" ضد "&amp;$A544))</f>
        <v>1</v>
      </c>
      <c r="BA544" s="4">
        <f>IF($A544=BA$496,"",COUNTIF($E$4:$E$492,$A544&amp;" ضد "&amp;BA$496)+COUNTIF($E$4:$E$492,BA$496&amp;" ضد "&amp;$A544))</f>
        <v>2</v>
      </c>
      <c r="BB544" s="4">
        <f>IF($A544=BB$496,"",COUNTIF($E$4:$E$492,$A544&amp;" ضد "&amp;BB$496)+COUNTIF($E$4:$E$492,BB$496&amp;" ضد "&amp;$A544))</f>
        <v>1</v>
      </c>
      <c r="BC544" s="4">
        <f>IF($A544=BC$496,"",COUNTIF($E$4:$E$492,$A544&amp;" ضد "&amp;BC$496)+COUNTIF($E$4:$E$492,BC$496&amp;" ضد "&amp;$A544))</f>
        <v>2</v>
      </c>
    </row>
    <row r="545" spans="1:55" ht="14.5">
      <c r="A545" s="14">
        <v>49</v>
      </c>
      <c r="B545" s="4">
        <f>IF($A545=B$496,"",COUNTIF($E$4:$E$492,$A545&amp;" ضد "&amp;B$496)+COUNTIF($E$4:$E$492,B$496&amp;" ضد "&amp;$A545))</f>
        <v>0</v>
      </c>
      <c r="C545" s="4">
        <f>IF($A545=C$496,"",COUNTIF($E$4:$E$492,$A545&amp;" ضد "&amp;C$496)+COUNTIF($E$4:$E$492,C$496&amp;" ضد "&amp;$A545))</f>
        <v>0</v>
      </c>
      <c r="D545" s="4">
        <f>IF($A545=D$496,"",COUNTIF($E$4:$E$492,$A545&amp;" ضد "&amp;D$496)+COUNTIF($E$4:$E$492,D$496&amp;" ضد "&amp;$A545))</f>
        <v>0</v>
      </c>
      <c r="E545" s="4">
        <f>IF($A545=E$496,"",COUNTIF($E$4:$E$492,$A545&amp;" ضد "&amp;E$496)+COUNTIF($E$4:$E$492,E$496&amp;" ضد "&amp;$A545))</f>
        <v>0</v>
      </c>
      <c r="F545" s="4">
        <f>IF($A545=F$496,"",COUNTIF($E$4:$E$492,$A545&amp;" ضد "&amp;F$496)+COUNTIF($E$4:$E$492,F$496&amp;" ضد "&amp;$A545))</f>
        <v>0</v>
      </c>
      <c r="G545" s="4">
        <f>IF($A545=G$496,"",COUNTIF($E$4:$E$492,$A545&amp;" ضد "&amp;G$496)+COUNTIF($E$4:$E$492,G$496&amp;" ضد "&amp;$A545))</f>
        <v>0</v>
      </c>
      <c r="H545" s="4">
        <f>IF($A545=H$496,"",COUNTIF($E$4:$E$492,$A545&amp;" ضد "&amp;H$496)+COUNTIF($E$4:$E$492,H$496&amp;" ضد "&amp;$A545))</f>
        <v>0</v>
      </c>
      <c r="I545" s="4">
        <f>IF($A545=I$496,"",COUNTIF($E$4:$E$492,$A545&amp;" ضد "&amp;I$496)+COUNTIF($E$4:$E$492,I$496&amp;" ضد "&amp;$A545))</f>
        <v>0</v>
      </c>
      <c r="J545" s="4">
        <f>IF($A545=J$496,"",COUNTIF($E$4:$E$492,$A545&amp;" ضد "&amp;J$496)+COUNTIF($E$4:$E$492,J$496&amp;" ضد "&amp;$A545))</f>
        <v>0</v>
      </c>
      <c r="K545" s="4">
        <f>IF($A545=K$496,"",COUNTIF($E$4:$E$492,$A545&amp;" ضد "&amp;K$496)+COUNTIF($E$4:$E$492,K$496&amp;" ضد "&amp;$A545))</f>
        <v>0</v>
      </c>
      <c r="L545" s="4">
        <f>IF($A545=L$496,"",COUNTIF($E$4:$E$492,$A545&amp;" ضد "&amp;L$496)+COUNTIF($E$4:$E$492,L$496&amp;" ضد "&amp;$A545))</f>
        <v>0</v>
      </c>
      <c r="M545" s="4">
        <f>IF($A545=M$496,"",COUNTIF($E$4:$E$492,$A545&amp;" ضد "&amp;M$496)+COUNTIF($E$4:$E$492,M$496&amp;" ضد "&amp;$A545))</f>
        <v>0</v>
      </c>
      <c r="N545" s="4">
        <f>IF($A545=N$496,"",COUNTIF($E$4:$E$492,$A545&amp;" ضد "&amp;N$496)+COUNTIF($E$4:$E$492,N$496&amp;" ضد "&amp;$A545))</f>
        <v>0</v>
      </c>
      <c r="O545" s="4">
        <f>IF($A545=O$496,"",COUNTIF($E$4:$E$492,$A545&amp;" ضد "&amp;O$496)+COUNTIF($E$4:$E$492,O$496&amp;" ضد "&amp;$A545))</f>
        <v>0</v>
      </c>
      <c r="P545" s="4">
        <f>IF($A545=P$496,"",COUNTIF($E$4:$E$492,$A545&amp;" ضد "&amp;P$496)+COUNTIF($E$4:$E$492,P$496&amp;" ضد "&amp;$A545))</f>
        <v>0</v>
      </c>
      <c r="Q545" s="4">
        <f>IF($A545=Q$496,"",COUNTIF($E$4:$E$492,$A545&amp;" ضد "&amp;Q$496)+COUNTIF($E$4:$E$492,Q$496&amp;" ضد "&amp;$A545))</f>
        <v>0</v>
      </c>
      <c r="R545" s="4">
        <f>IF($A545=R$496,"",COUNTIF($E$4:$E$492,$A545&amp;" ضد "&amp;R$496)+COUNTIF($E$4:$E$492,R$496&amp;" ضد "&amp;$A545))</f>
        <v>0</v>
      </c>
      <c r="S545" s="4">
        <f>IF($A545=S$496,"",COUNTIF($E$4:$E$492,$A545&amp;" ضد "&amp;S$496)+COUNTIF($E$4:$E$492,S$496&amp;" ضد "&amp;$A545))</f>
        <v>0</v>
      </c>
      <c r="T545" s="4">
        <f>IF($A545=T$496,"",COUNTIF($E$4:$E$492,$A545&amp;" ضد "&amp;T$496)+COUNTIF($E$4:$E$492,T$496&amp;" ضد "&amp;$A545))</f>
        <v>0</v>
      </c>
      <c r="U545" s="4">
        <f>IF($A545=U$496,"",COUNTIF($E$4:$E$492,$A545&amp;" ضد "&amp;U$496)+COUNTIF($E$4:$E$492,U$496&amp;" ضد "&amp;$A545))</f>
        <v>0</v>
      </c>
      <c r="V545" s="4">
        <f>IF($A545=V$496,"",COUNTIF($E$4:$E$492,$A545&amp;" ضد "&amp;V$496)+COUNTIF($E$4:$E$492,V$496&amp;" ضد "&amp;$A545))</f>
        <v>0</v>
      </c>
      <c r="W545" s="4">
        <f>IF($A545=W$496,"",COUNTIF($E$4:$E$492,$A545&amp;" ضد "&amp;W$496)+COUNTIF($E$4:$E$492,W$496&amp;" ضد "&amp;$A545))</f>
        <v>0</v>
      </c>
      <c r="X545" s="4">
        <f>IF($A545=X$496,"",COUNTIF($E$4:$E$492,$A545&amp;" ضد "&amp;X$496)+COUNTIF($E$4:$E$492,X$496&amp;" ضد "&amp;$A545))</f>
        <v>0</v>
      </c>
      <c r="Y545" s="4">
        <f>IF($A545=Y$496,"",COUNTIF($E$4:$E$492,$A545&amp;" ضد "&amp;Y$496)+COUNTIF($E$4:$E$492,Y$496&amp;" ضد "&amp;$A545))</f>
        <v>0</v>
      </c>
      <c r="Z545" s="4">
        <f>IF($A545=Z$496,"",COUNTIF($E$4:$E$492,$A545&amp;" ضد "&amp;Z$496)+COUNTIF($E$4:$E$492,Z$496&amp;" ضد "&amp;$A545))</f>
        <v>0</v>
      </c>
      <c r="AA545" s="4">
        <f>IF($A545=AA$496,"",COUNTIF($E$4:$E$492,$A545&amp;" ضد "&amp;AA$496)+COUNTIF($E$4:$E$492,AA$496&amp;" ضد "&amp;$A545))</f>
        <v>0</v>
      </c>
      <c r="AB545" s="4">
        <f>IF($A545=AB$496,"",COUNTIF($E$4:$E$492,$A545&amp;" ضد "&amp;AB$496)+COUNTIF($E$4:$E$492,AB$496&amp;" ضد "&amp;$A545))</f>
        <v>0</v>
      </c>
      <c r="AC545" s="4">
        <f>IF($A545=AC$496,"",COUNTIF($E$4:$E$492,$A545&amp;" ضد "&amp;AC$496)+COUNTIF($E$4:$E$492,AC$496&amp;" ضد "&amp;$A545))</f>
        <v>0</v>
      </c>
      <c r="AD545" s="4">
        <f>IF($A545=AD$496,"",COUNTIF($E$4:$E$492,$A545&amp;" ضد "&amp;AD$496)+COUNTIF($E$4:$E$492,AD$496&amp;" ضد "&amp;$A545))</f>
        <v>0</v>
      </c>
      <c r="AE545" s="4">
        <f>IF($A545=AE$496,"",COUNTIF($E$4:$E$492,$A545&amp;" ضد "&amp;AE$496)+COUNTIF($E$4:$E$492,AE$496&amp;" ضد "&amp;$A545))</f>
        <v>0</v>
      </c>
      <c r="AF545" s="4">
        <f>IF($A545=AF$496,"",COUNTIF($E$4:$E$492,$A545&amp;" ضد "&amp;AF$496)+COUNTIF($E$4:$E$492,AF$496&amp;" ضد "&amp;$A545))</f>
        <v>0</v>
      </c>
      <c r="AG545" s="4">
        <f>IF($A545=AG$496,"",COUNTIF($E$4:$E$492,$A545&amp;" ضد "&amp;AG$496)+COUNTIF($E$4:$E$492,AG$496&amp;" ضد "&amp;$A545))</f>
        <v>0</v>
      </c>
      <c r="AH545" s="4">
        <f>IF($A545=AH$496,"",COUNTIF($E$4:$E$492,$A545&amp;" ضد "&amp;AH$496)+COUNTIF($E$4:$E$492,AH$496&amp;" ضد "&amp;$A545))</f>
        <v>0</v>
      </c>
      <c r="AI545" s="4">
        <f>IF($A545=AI$496,"",COUNTIF($E$4:$E$492,$A545&amp;" ضد "&amp;AI$496)+COUNTIF($E$4:$E$492,AI$496&amp;" ضد "&amp;$A545))</f>
        <v>0</v>
      </c>
      <c r="AJ545" s="4">
        <f>IF($A545=AJ$496,"",COUNTIF($E$4:$E$492,$A545&amp;" ضد "&amp;AJ$496)+COUNTIF($E$4:$E$492,AJ$496&amp;" ضد "&amp;$A545))</f>
        <v>0</v>
      </c>
      <c r="AK545" s="4">
        <f>IF($A545=AK$496,"",COUNTIF($E$4:$E$492,$A545&amp;" ضد "&amp;AK$496)+COUNTIF($E$4:$E$492,AK$496&amp;" ضد "&amp;$A545))</f>
        <v>0</v>
      </c>
      <c r="AL545" s="4">
        <f>IF($A545=AL$496,"",COUNTIF($E$4:$E$492,$A545&amp;" ضد "&amp;AL$496)+COUNTIF($E$4:$E$492,AL$496&amp;" ضد "&amp;$A545))</f>
        <v>0</v>
      </c>
      <c r="AM545" s="4">
        <f>IF($A545=AM$496,"",COUNTIF($E$4:$E$492,$A545&amp;" ضد "&amp;AM$496)+COUNTIF($E$4:$E$492,AM$496&amp;" ضد "&amp;$A545))</f>
        <v>0</v>
      </c>
      <c r="AN545" s="4">
        <f>IF($A545=AN$496,"",COUNTIF($E$4:$E$492,$A545&amp;" ضد "&amp;AN$496)+COUNTIF($E$4:$E$492,AN$496&amp;" ضد "&amp;$A545))</f>
        <v>0</v>
      </c>
      <c r="AO545" s="4">
        <f>IF($A545=AO$496,"",COUNTIF($E$4:$E$492,$A545&amp;" ضد "&amp;AO$496)+COUNTIF($E$4:$E$492,AO$496&amp;" ضد "&amp;$A545))</f>
        <v>0</v>
      </c>
      <c r="AP545" s="4">
        <f>IF($A545=AP$496,"",COUNTIF($E$4:$E$492,$A545&amp;" ضد "&amp;AP$496)+COUNTIF($E$4:$E$492,AP$496&amp;" ضد "&amp;$A545))</f>
        <v>0</v>
      </c>
      <c r="AQ545" s="4">
        <f>IF($A545=AQ$496,"",COUNTIF($E$4:$E$492,$A545&amp;" ضد "&amp;AQ$496)+COUNTIF($E$4:$E$492,AQ$496&amp;" ضد "&amp;$A545))</f>
        <v>0</v>
      </c>
      <c r="AR545" s="4">
        <f>IF($A545=AR$496,"",COUNTIF($E$4:$E$492,$A545&amp;" ضد "&amp;AR$496)+COUNTIF($E$4:$E$492,AR$496&amp;" ضد "&amp;$A545))</f>
        <v>2</v>
      </c>
      <c r="AS545" s="4">
        <f>IF($A545=AS$496,"",COUNTIF($E$4:$E$492,$A545&amp;" ضد "&amp;AS$496)+COUNTIF($E$4:$E$492,AS$496&amp;" ضد "&amp;$A545))</f>
        <v>2</v>
      </c>
      <c r="AT545" s="4">
        <f>IF($A545=AT$496,"",COUNTIF($E$4:$E$492,$A545&amp;" ضد "&amp;AT$496)+COUNTIF($E$4:$E$492,AT$496&amp;" ضد "&amp;$A545))</f>
        <v>1</v>
      </c>
      <c r="AU545" s="4">
        <f>IF($A545=AU$496,"",COUNTIF($E$4:$E$492,$A545&amp;" ضد "&amp;AU$496)+COUNTIF($E$4:$E$492,AU$496&amp;" ضد "&amp;$A545))</f>
        <v>2</v>
      </c>
      <c r="AV545" s="4">
        <f>IF($A545=AV$496,"",COUNTIF($E$4:$E$492,$A545&amp;" ضد "&amp;AV$496)+COUNTIF($E$4:$E$492,AV$496&amp;" ضد "&amp;$A545))</f>
        <v>2</v>
      </c>
      <c r="AW545" s="4">
        <f>IF($A545=AW$496,"",COUNTIF($E$4:$E$492,$A545&amp;" ضد "&amp;AW$496)+COUNTIF($E$4:$E$492,AW$496&amp;" ضد "&amp;$A545))</f>
        <v>2</v>
      </c>
      <c r="AX545" s="4" t="str">
        <f>IF($A545=AX$496,"",COUNTIF($E$4:$E$492,$A545&amp;" ضد "&amp;AX$496)+COUNTIF($E$4:$E$492,AX$496&amp;" ضد "&amp;$A545))</f>
        <v/>
      </c>
      <c r="AY545" s="4">
        <f>IF($A545=AY$496,"",COUNTIF($E$4:$E$492,$A545&amp;" ضد "&amp;AY$496)+COUNTIF($E$4:$E$492,AY$496&amp;" ضد "&amp;$A545))</f>
        <v>1</v>
      </c>
      <c r="AZ545" s="4">
        <f>IF($A545=AZ$496,"",COUNTIF($E$4:$E$492,$A545&amp;" ضد "&amp;AZ$496)+COUNTIF($E$4:$E$492,AZ$496&amp;" ضد "&amp;$A545))</f>
        <v>2</v>
      </c>
      <c r="BA545" s="4">
        <f>IF($A545=BA$496,"",COUNTIF($E$4:$E$492,$A545&amp;" ضد "&amp;BA$496)+COUNTIF($E$4:$E$492,BA$496&amp;" ضد "&amp;$A545))</f>
        <v>1</v>
      </c>
      <c r="BB545" s="4">
        <f>IF($A545=BB$496,"",COUNTIF($E$4:$E$492,$A545&amp;" ضد "&amp;BB$496)+COUNTIF($E$4:$E$492,BB$496&amp;" ضد "&amp;$A545))</f>
        <v>2</v>
      </c>
      <c r="BC545" s="4">
        <f>IF($A545=BC$496,"",COUNTIF($E$4:$E$492,$A545&amp;" ضد "&amp;BC$496)+COUNTIF($E$4:$E$492,BC$496&amp;" ضد "&amp;$A545))</f>
        <v>1</v>
      </c>
    </row>
    <row r="546" spans="1:55" ht="14.5">
      <c r="A546" s="14">
        <v>50</v>
      </c>
      <c r="B546" s="4">
        <f>IF($A546=B$496,"",COUNTIF($E$4:$E$492,$A546&amp;" ضد "&amp;B$496)+COUNTIF($E$4:$E$492,B$496&amp;" ضد "&amp;$A546))</f>
        <v>0</v>
      </c>
      <c r="C546" s="4">
        <f>IF($A546=C$496,"",COUNTIF($E$4:$E$492,$A546&amp;" ضد "&amp;C$496)+COUNTIF($E$4:$E$492,C$496&amp;" ضد "&amp;$A546))</f>
        <v>0</v>
      </c>
      <c r="D546" s="4">
        <f>IF($A546=D$496,"",COUNTIF($E$4:$E$492,$A546&amp;" ضد "&amp;D$496)+COUNTIF($E$4:$E$492,D$496&amp;" ضد "&amp;$A546))</f>
        <v>0</v>
      </c>
      <c r="E546" s="4">
        <f>IF($A546=E$496,"",COUNTIF($E$4:$E$492,$A546&amp;" ضد "&amp;E$496)+COUNTIF($E$4:$E$492,E$496&amp;" ضد "&amp;$A546))</f>
        <v>0</v>
      </c>
      <c r="F546" s="4">
        <f>IF($A546=F$496,"",COUNTIF($E$4:$E$492,$A546&amp;" ضد "&amp;F$496)+COUNTIF($E$4:$E$492,F$496&amp;" ضد "&amp;$A546))</f>
        <v>0</v>
      </c>
      <c r="G546" s="4">
        <f>IF($A546=G$496,"",COUNTIF($E$4:$E$492,$A546&amp;" ضد "&amp;G$496)+COUNTIF($E$4:$E$492,G$496&amp;" ضد "&amp;$A546))</f>
        <v>0</v>
      </c>
      <c r="H546" s="4">
        <f>IF($A546=H$496,"",COUNTIF($E$4:$E$492,$A546&amp;" ضد "&amp;H$496)+COUNTIF($E$4:$E$492,H$496&amp;" ضد "&amp;$A546))</f>
        <v>0</v>
      </c>
      <c r="I546" s="4">
        <f>IF($A546=I$496,"",COUNTIF($E$4:$E$492,$A546&amp;" ضد "&amp;I$496)+COUNTIF($E$4:$E$492,I$496&amp;" ضد "&amp;$A546))</f>
        <v>0</v>
      </c>
      <c r="J546" s="4">
        <f>IF($A546=J$496,"",COUNTIF($E$4:$E$492,$A546&amp;" ضد "&amp;J$496)+COUNTIF($E$4:$E$492,J$496&amp;" ضد "&amp;$A546))</f>
        <v>0</v>
      </c>
      <c r="K546" s="4">
        <f>IF($A546=K$496,"",COUNTIF($E$4:$E$492,$A546&amp;" ضد "&amp;K$496)+COUNTIF($E$4:$E$492,K$496&amp;" ضد "&amp;$A546))</f>
        <v>0</v>
      </c>
      <c r="L546" s="4">
        <f>IF($A546=L$496,"",COUNTIF($E$4:$E$492,$A546&amp;" ضد "&amp;L$496)+COUNTIF($E$4:$E$492,L$496&amp;" ضد "&amp;$A546))</f>
        <v>0</v>
      </c>
      <c r="M546" s="4">
        <f>IF($A546=M$496,"",COUNTIF($E$4:$E$492,$A546&amp;" ضد "&amp;M$496)+COUNTIF($E$4:$E$492,M$496&amp;" ضد "&amp;$A546))</f>
        <v>0</v>
      </c>
      <c r="N546" s="4">
        <f>IF($A546=N$496,"",COUNTIF($E$4:$E$492,$A546&amp;" ضد "&amp;N$496)+COUNTIF($E$4:$E$492,N$496&amp;" ضد "&amp;$A546))</f>
        <v>0</v>
      </c>
      <c r="O546" s="4">
        <f>IF($A546=O$496,"",COUNTIF($E$4:$E$492,$A546&amp;" ضد "&amp;O$496)+COUNTIF($E$4:$E$492,O$496&amp;" ضد "&amp;$A546))</f>
        <v>0</v>
      </c>
      <c r="P546" s="4">
        <f>IF($A546=P$496,"",COUNTIF($E$4:$E$492,$A546&amp;" ضد "&amp;P$496)+COUNTIF($E$4:$E$492,P$496&amp;" ضد "&amp;$A546))</f>
        <v>0</v>
      </c>
      <c r="Q546" s="4">
        <f>IF($A546=Q$496,"",COUNTIF($E$4:$E$492,$A546&amp;" ضد "&amp;Q$496)+COUNTIF($E$4:$E$492,Q$496&amp;" ضد "&amp;$A546))</f>
        <v>0</v>
      </c>
      <c r="R546" s="4">
        <f>IF($A546=R$496,"",COUNTIF($E$4:$E$492,$A546&amp;" ضد "&amp;R$496)+COUNTIF($E$4:$E$492,R$496&amp;" ضد "&amp;$A546))</f>
        <v>0</v>
      </c>
      <c r="S546" s="4">
        <f>IF($A546=S$496,"",COUNTIF($E$4:$E$492,$A546&amp;" ضد "&amp;S$496)+COUNTIF($E$4:$E$492,S$496&amp;" ضد "&amp;$A546))</f>
        <v>0</v>
      </c>
      <c r="T546" s="4">
        <f>IF($A546=T$496,"",COUNTIF($E$4:$E$492,$A546&amp;" ضد "&amp;T$496)+COUNTIF($E$4:$E$492,T$496&amp;" ضد "&amp;$A546))</f>
        <v>0</v>
      </c>
      <c r="U546" s="4">
        <f>IF($A546=U$496,"",COUNTIF($E$4:$E$492,$A546&amp;" ضد "&amp;U$496)+COUNTIF($E$4:$E$492,U$496&amp;" ضد "&amp;$A546))</f>
        <v>0</v>
      </c>
      <c r="V546" s="4">
        <f>IF($A546=V$496,"",COUNTIF($E$4:$E$492,$A546&amp;" ضد "&amp;V$496)+COUNTIF($E$4:$E$492,V$496&amp;" ضد "&amp;$A546))</f>
        <v>0</v>
      </c>
      <c r="W546" s="4">
        <f>IF($A546=W$496,"",COUNTIF($E$4:$E$492,$A546&amp;" ضد "&amp;W$496)+COUNTIF($E$4:$E$492,W$496&amp;" ضد "&amp;$A546))</f>
        <v>0</v>
      </c>
      <c r="X546" s="4">
        <f>IF($A546=X$496,"",COUNTIF($E$4:$E$492,$A546&amp;" ضد "&amp;X$496)+COUNTIF($E$4:$E$492,X$496&amp;" ضد "&amp;$A546))</f>
        <v>0</v>
      </c>
      <c r="Y546" s="4">
        <f>IF($A546=Y$496,"",COUNTIF($E$4:$E$492,$A546&amp;" ضد "&amp;Y$496)+COUNTIF($E$4:$E$492,Y$496&amp;" ضد "&amp;$A546))</f>
        <v>0</v>
      </c>
      <c r="Z546" s="4">
        <f>IF($A546=Z$496,"",COUNTIF($E$4:$E$492,$A546&amp;" ضد "&amp;Z$496)+COUNTIF($E$4:$E$492,Z$496&amp;" ضد "&amp;$A546))</f>
        <v>0</v>
      </c>
      <c r="AA546" s="4">
        <f>IF($A546=AA$496,"",COUNTIF($E$4:$E$492,$A546&amp;" ضد "&amp;AA$496)+COUNTIF($E$4:$E$492,AA$496&amp;" ضد "&amp;$A546))</f>
        <v>0</v>
      </c>
      <c r="AB546" s="4">
        <f>IF($A546=AB$496,"",COUNTIF($E$4:$E$492,$A546&amp;" ضد "&amp;AB$496)+COUNTIF($E$4:$E$492,AB$496&amp;" ضد "&amp;$A546))</f>
        <v>0</v>
      </c>
      <c r="AC546" s="4">
        <f>IF($A546=AC$496,"",COUNTIF($E$4:$E$492,$A546&amp;" ضد "&amp;AC$496)+COUNTIF($E$4:$E$492,AC$496&amp;" ضد "&amp;$A546))</f>
        <v>0</v>
      </c>
      <c r="AD546" s="4">
        <f>IF($A546=AD$496,"",COUNTIF($E$4:$E$492,$A546&amp;" ضد "&amp;AD$496)+COUNTIF($E$4:$E$492,AD$496&amp;" ضد "&amp;$A546))</f>
        <v>0</v>
      </c>
      <c r="AE546" s="4">
        <f>IF($A546=AE$496,"",COUNTIF($E$4:$E$492,$A546&amp;" ضد "&amp;AE$496)+COUNTIF($E$4:$E$492,AE$496&amp;" ضد "&amp;$A546))</f>
        <v>0</v>
      </c>
      <c r="AF546" s="4">
        <f>IF($A546=AF$496,"",COUNTIF($E$4:$E$492,$A546&amp;" ضد "&amp;AF$496)+COUNTIF($E$4:$E$492,AF$496&amp;" ضد "&amp;$A546))</f>
        <v>0</v>
      </c>
      <c r="AG546" s="4">
        <f>IF($A546=AG$496,"",COUNTIF($E$4:$E$492,$A546&amp;" ضد "&amp;AG$496)+COUNTIF($E$4:$E$492,AG$496&amp;" ضد "&amp;$A546))</f>
        <v>0</v>
      </c>
      <c r="AH546" s="4">
        <f>IF($A546=AH$496,"",COUNTIF($E$4:$E$492,$A546&amp;" ضد "&amp;AH$496)+COUNTIF($E$4:$E$492,AH$496&amp;" ضد "&amp;$A546))</f>
        <v>0</v>
      </c>
      <c r="AI546" s="4">
        <f>IF($A546=AI$496,"",COUNTIF($E$4:$E$492,$A546&amp;" ضد "&amp;AI$496)+COUNTIF($E$4:$E$492,AI$496&amp;" ضد "&amp;$A546))</f>
        <v>0</v>
      </c>
      <c r="AJ546" s="4">
        <f>IF($A546=AJ$496,"",COUNTIF($E$4:$E$492,$A546&amp;" ضد "&amp;AJ$496)+COUNTIF($E$4:$E$492,AJ$496&amp;" ضد "&amp;$A546))</f>
        <v>0</v>
      </c>
      <c r="AK546" s="4">
        <f>IF($A546=AK$496,"",COUNTIF($E$4:$E$492,$A546&amp;" ضد "&amp;AK$496)+COUNTIF($E$4:$E$492,AK$496&amp;" ضد "&amp;$A546))</f>
        <v>0</v>
      </c>
      <c r="AL546" s="4">
        <f>IF($A546=AL$496,"",COUNTIF($E$4:$E$492,$A546&amp;" ضد "&amp;AL$496)+COUNTIF($E$4:$E$492,AL$496&amp;" ضد "&amp;$A546))</f>
        <v>0</v>
      </c>
      <c r="AM546" s="4">
        <f>IF($A546=AM$496,"",COUNTIF($E$4:$E$492,$A546&amp;" ضد "&amp;AM$496)+COUNTIF($E$4:$E$492,AM$496&amp;" ضد "&amp;$A546))</f>
        <v>0</v>
      </c>
      <c r="AN546" s="4">
        <f>IF($A546=AN$496,"",COUNTIF($E$4:$E$492,$A546&amp;" ضد "&amp;AN$496)+COUNTIF($E$4:$E$492,AN$496&amp;" ضد "&amp;$A546))</f>
        <v>0</v>
      </c>
      <c r="AO546" s="4">
        <f>IF($A546=AO$496,"",COUNTIF($E$4:$E$492,$A546&amp;" ضد "&amp;AO$496)+COUNTIF($E$4:$E$492,AO$496&amp;" ضد "&amp;$A546))</f>
        <v>0</v>
      </c>
      <c r="AP546" s="4">
        <f>IF($A546=AP$496,"",COUNTIF($E$4:$E$492,$A546&amp;" ضد "&amp;AP$496)+COUNTIF($E$4:$E$492,AP$496&amp;" ضد "&amp;$A546))</f>
        <v>0</v>
      </c>
      <c r="AQ546" s="4">
        <f>IF($A546=AQ$496,"",COUNTIF($E$4:$E$492,$A546&amp;" ضد "&amp;AQ$496)+COUNTIF($E$4:$E$492,AQ$496&amp;" ضد "&amp;$A546))</f>
        <v>0</v>
      </c>
      <c r="AR546" s="4">
        <f>IF($A546=AR$496,"",COUNTIF($E$4:$E$492,$A546&amp;" ضد "&amp;AR$496)+COUNTIF($E$4:$E$492,AR$496&amp;" ضد "&amp;$A546))</f>
        <v>2</v>
      </c>
      <c r="AS546" s="4">
        <f>IF($A546=AS$496,"",COUNTIF($E$4:$E$492,$A546&amp;" ضد "&amp;AS$496)+COUNTIF($E$4:$E$492,AS$496&amp;" ضد "&amp;$A546))</f>
        <v>1</v>
      </c>
      <c r="AT546" s="4">
        <f>IF($A546=AT$496,"",COUNTIF($E$4:$E$492,$A546&amp;" ضد "&amp;AT$496)+COUNTIF($E$4:$E$492,AT$496&amp;" ضد "&amp;$A546))</f>
        <v>2</v>
      </c>
      <c r="AU546" s="4">
        <f>IF($A546=AU$496,"",COUNTIF($E$4:$E$492,$A546&amp;" ضد "&amp;AU$496)+COUNTIF($E$4:$E$492,AU$496&amp;" ضد "&amp;$A546))</f>
        <v>2</v>
      </c>
      <c r="AV546" s="4">
        <f>IF($A546=AV$496,"",COUNTIF($E$4:$E$492,$A546&amp;" ضد "&amp;AV$496)+COUNTIF($E$4:$E$492,AV$496&amp;" ضد "&amp;$A546))</f>
        <v>2</v>
      </c>
      <c r="AW546" s="4">
        <f>IF($A546=AW$496,"",COUNTIF($E$4:$E$492,$A546&amp;" ضد "&amp;AW$496)+COUNTIF($E$4:$E$492,AW$496&amp;" ضد "&amp;$A546))</f>
        <v>2</v>
      </c>
      <c r="AX546" s="4">
        <f>IF($A546=AX$496,"",COUNTIF($E$4:$E$492,$A546&amp;" ضد "&amp;AX$496)+COUNTIF($E$4:$E$492,AX$496&amp;" ضد "&amp;$A546))</f>
        <v>1</v>
      </c>
      <c r="AY546" s="4" t="str">
        <f>IF($A546=AY$496,"",COUNTIF($E$4:$E$492,$A546&amp;" ضد "&amp;AY$496)+COUNTIF($E$4:$E$492,AY$496&amp;" ضد "&amp;$A546))</f>
        <v/>
      </c>
      <c r="AZ546" s="4">
        <f>IF($A546=AZ$496,"",COUNTIF($E$4:$E$492,$A546&amp;" ضد "&amp;AZ$496)+COUNTIF($E$4:$E$492,AZ$496&amp;" ضد "&amp;$A546))</f>
        <v>1</v>
      </c>
      <c r="BA546" s="4">
        <f>IF($A546=BA$496,"",COUNTIF($E$4:$E$492,$A546&amp;" ضد "&amp;BA$496)+COUNTIF($E$4:$E$492,BA$496&amp;" ضد "&amp;$A546))</f>
        <v>2</v>
      </c>
      <c r="BB546" s="4">
        <f>IF($A546=BB$496,"",COUNTIF($E$4:$E$492,$A546&amp;" ضد "&amp;BB$496)+COUNTIF($E$4:$E$492,BB$496&amp;" ضد "&amp;$A546))</f>
        <v>1</v>
      </c>
      <c r="BC546" s="4">
        <f>IF($A546=BC$496,"",COUNTIF($E$4:$E$492,$A546&amp;" ضد "&amp;BC$496)+COUNTIF($E$4:$E$492,BC$496&amp;" ضد "&amp;$A546))</f>
        <v>2</v>
      </c>
    </row>
    <row r="547" spans="1:55" ht="14.5">
      <c r="A547" s="14">
        <v>51</v>
      </c>
      <c r="B547" s="4">
        <f>IF($A547=B$496,"",COUNTIF($E$4:$E$492,$A547&amp;" ضد "&amp;B$496)+COUNTIF($E$4:$E$492,B$496&amp;" ضد "&amp;$A547))</f>
        <v>0</v>
      </c>
      <c r="C547" s="4">
        <f>IF($A547=C$496,"",COUNTIF($E$4:$E$492,$A547&amp;" ضد "&amp;C$496)+COUNTIF($E$4:$E$492,C$496&amp;" ضد "&amp;$A547))</f>
        <v>0</v>
      </c>
      <c r="D547" s="4">
        <f>IF($A547=D$496,"",COUNTIF($E$4:$E$492,$A547&amp;" ضد "&amp;D$496)+COUNTIF($E$4:$E$492,D$496&amp;" ضد "&amp;$A547))</f>
        <v>0</v>
      </c>
      <c r="E547" s="4">
        <f>IF($A547=E$496,"",COUNTIF($E$4:$E$492,$A547&amp;" ضد "&amp;E$496)+COUNTIF($E$4:$E$492,E$496&amp;" ضد "&amp;$A547))</f>
        <v>0</v>
      </c>
      <c r="F547" s="4">
        <f>IF($A547=F$496,"",COUNTIF($E$4:$E$492,$A547&amp;" ضد "&amp;F$496)+COUNTIF($E$4:$E$492,F$496&amp;" ضد "&amp;$A547))</f>
        <v>0</v>
      </c>
      <c r="G547" s="4">
        <f>IF($A547=G$496,"",COUNTIF($E$4:$E$492,$A547&amp;" ضد "&amp;G$496)+COUNTIF($E$4:$E$492,G$496&amp;" ضد "&amp;$A547))</f>
        <v>0</v>
      </c>
      <c r="H547" s="4">
        <f>IF($A547=H$496,"",COUNTIF($E$4:$E$492,$A547&amp;" ضد "&amp;H$496)+COUNTIF($E$4:$E$492,H$496&amp;" ضد "&amp;$A547))</f>
        <v>0</v>
      </c>
      <c r="I547" s="4">
        <f>IF($A547=I$496,"",COUNTIF($E$4:$E$492,$A547&amp;" ضد "&amp;I$496)+COUNTIF($E$4:$E$492,I$496&amp;" ضد "&amp;$A547))</f>
        <v>0</v>
      </c>
      <c r="J547" s="4">
        <f>IF($A547=J$496,"",COUNTIF($E$4:$E$492,$A547&amp;" ضد "&amp;J$496)+COUNTIF($E$4:$E$492,J$496&amp;" ضد "&amp;$A547))</f>
        <v>0</v>
      </c>
      <c r="K547" s="4">
        <f>IF($A547=K$496,"",COUNTIF($E$4:$E$492,$A547&amp;" ضد "&amp;K$496)+COUNTIF($E$4:$E$492,K$496&amp;" ضد "&amp;$A547))</f>
        <v>0</v>
      </c>
      <c r="L547" s="4">
        <f>IF($A547=L$496,"",COUNTIF($E$4:$E$492,$A547&amp;" ضد "&amp;L$496)+COUNTIF($E$4:$E$492,L$496&amp;" ضد "&amp;$A547))</f>
        <v>0</v>
      </c>
      <c r="M547" s="4">
        <f>IF($A547=M$496,"",COUNTIF($E$4:$E$492,$A547&amp;" ضد "&amp;M$496)+COUNTIF($E$4:$E$492,M$496&amp;" ضد "&amp;$A547))</f>
        <v>0</v>
      </c>
      <c r="N547" s="4">
        <f>IF($A547=N$496,"",COUNTIF($E$4:$E$492,$A547&amp;" ضد "&amp;N$496)+COUNTIF($E$4:$E$492,N$496&amp;" ضد "&amp;$A547))</f>
        <v>0</v>
      </c>
      <c r="O547" s="4">
        <f>IF($A547=O$496,"",COUNTIF($E$4:$E$492,$A547&amp;" ضد "&amp;O$496)+COUNTIF($E$4:$E$492,O$496&amp;" ضد "&amp;$A547))</f>
        <v>0</v>
      </c>
      <c r="P547" s="4">
        <f>IF($A547=P$496,"",COUNTIF($E$4:$E$492,$A547&amp;" ضد "&amp;P$496)+COUNTIF($E$4:$E$492,P$496&amp;" ضد "&amp;$A547))</f>
        <v>0</v>
      </c>
      <c r="Q547" s="4">
        <f>IF($A547=Q$496,"",COUNTIF($E$4:$E$492,$A547&amp;" ضد "&amp;Q$496)+COUNTIF($E$4:$E$492,Q$496&amp;" ضد "&amp;$A547))</f>
        <v>0</v>
      </c>
      <c r="R547" s="4">
        <f>IF($A547=R$496,"",COUNTIF($E$4:$E$492,$A547&amp;" ضد "&amp;R$496)+COUNTIF($E$4:$E$492,R$496&amp;" ضد "&amp;$A547))</f>
        <v>0</v>
      </c>
      <c r="S547" s="4">
        <f>IF($A547=S$496,"",COUNTIF($E$4:$E$492,$A547&amp;" ضد "&amp;S$496)+COUNTIF($E$4:$E$492,S$496&amp;" ضد "&amp;$A547))</f>
        <v>0</v>
      </c>
      <c r="T547" s="4">
        <f>IF($A547=T$496,"",COUNTIF($E$4:$E$492,$A547&amp;" ضد "&amp;T$496)+COUNTIF($E$4:$E$492,T$496&amp;" ضد "&amp;$A547))</f>
        <v>0</v>
      </c>
      <c r="U547" s="4">
        <f>IF($A547=U$496,"",COUNTIF($E$4:$E$492,$A547&amp;" ضد "&amp;U$496)+COUNTIF($E$4:$E$492,U$496&amp;" ضد "&amp;$A547))</f>
        <v>0</v>
      </c>
      <c r="V547" s="4">
        <f>IF($A547=V$496,"",COUNTIF($E$4:$E$492,$A547&amp;" ضد "&amp;V$496)+COUNTIF($E$4:$E$492,V$496&amp;" ضد "&amp;$A547))</f>
        <v>0</v>
      </c>
      <c r="W547" s="4">
        <f>IF($A547=W$496,"",COUNTIF($E$4:$E$492,$A547&amp;" ضد "&amp;W$496)+COUNTIF($E$4:$E$492,W$496&amp;" ضد "&amp;$A547))</f>
        <v>0</v>
      </c>
      <c r="X547" s="4">
        <f>IF($A547=X$496,"",COUNTIF($E$4:$E$492,$A547&amp;" ضد "&amp;X$496)+COUNTIF($E$4:$E$492,X$496&amp;" ضد "&amp;$A547))</f>
        <v>0</v>
      </c>
      <c r="Y547" s="4">
        <f>IF($A547=Y$496,"",COUNTIF($E$4:$E$492,$A547&amp;" ضد "&amp;Y$496)+COUNTIF($E$4:$E$492,Y$496&amp;" ضد "&amp;$A547))</f>
        <v>0</v>
      </c>
      <c r="Z547" s="4">
        <f>IF($A547=Z$496,"",COUNTIF($E$4:$E$492,$A547&amp;" ضد "&amp;Z$496)+COUNTIF($E$4:$E$492,Z$496&amp;" ضد "&amp;$A547))</f>
        <v>0</v>
      </c>
      <c r="AA547" s="4">
        <f>IF($A547=AA$496,"",COUNTIF($E$4:$E$492,$A547&amp;" ضد "&amp;AA$496)+COUNTIF($E$4:$E$492,AA$496&amp;" ضد "&amp;$A547))</f>
        <v>0</v>
      </c>
      <c r="AB547" s="4">
        <f>IF($A547=AB$496,"",COUNTIF($E$4:$E$492,$A547&amp;" ضد "&amp;AB$496)+COUNTIF($E$4:$E$492,AB$496&amp;" ضد "&amp;$A547))</f>
        <v>0</v>
      </c>
      <c r="AC547" s="4">
        <f>IF($A547=AC$496,"",COUNTIF($E$4:$E$492,$A547&amp;" ضد "&amp;AC$496)+COUNTIF($E$4:$E$492,AC$496&amp;" ضد "&amp;$A547))</f>
        <v>0</v>
      </c>
      <c r="AD547" s="4">
        <f>IF($A547=AD$496,"",COUNTIF($E$4:$E$492,$A547&amp;" ضد "&amp;AD$496)+COUNTIF($E$4:$E$492,AD$496&amp;" ضد "&amp;$A547))</f>
        <v>0</v>
      </c>
      <c r="AE547" s="4">
        <f>IF($A547=AE$496,"",COUNTIF($E$4:$E$492,$A547&amp;" ضد "&amp;AE$496)+COUNTIF($E$4:$E$492,AE$496&amp;" ضد "&amp;$A547))</f>
        <v>0</v>
      </c>
      <c r="AF547" s="4">
        <f>IF($A547=AF$496,"",COUNTIF($E$4:$E$492,$A547&amp;" ضد "&amp;AF$496)+COUNTIF($E$4:$E$492,AF$496&amp;" ضد "&amp;$A547))</f>
        <v>0</v>
      </c>
      <c r="AG547" s="4">
        <f>IF($A547=AG$496,"",COUNTIF($E$4:$E$492,$A547&amp;" ضد "&amp;AG$496)+COUNTIF($E$4:$E$492,AG$496&amp;" ضد "&amp;$A547))</f>
        <v>0</v>
      </c>
      <c r="AH547" s="4">
        <f>IF($A547=AH$496,"",COUNTIF($E$4:$E$492,$A547&amp;" ضد "&amp;AH$496)+COUNTIF($E$4:$E$492,AH$496&amp;" ضد "&amp;$A547))</f>
        <v>0</v>
      </c>
      <c r="AI547" s="4">
        <f>IF($A547=AI$496,"",COUNTIF($E$4:$E$492,$A547&amp;" ضد "&amp;AI$496)+COUNTIF($E$4:$E$492,AI$496&amp;" ضد "&amp;$A547))</f>
        <v>0</v>
      </c>
      <c r="AJ547" s="4">
        <f>IF($A547=AJ$496,"",COUNTIF($E$4:$E$492,$A547&amp;" ضد "&amp;AJ$496)+COUNTIF($E$4:$E$492,AJ$496&amp;" ضد "&amp;$A547))</f>
        <v>0</v>
      </c>
      <c r="AK547" s="4">
        <f>IF($A547=AK$496,"",COUNTIF($E$4:$E$492,$A547&amp;" ضد "&amp;AK$496)+COUNTIF($E$4:$E$492,AK$496&amp;" ضد "&amp;$A547))</f>
        <v>0</v>
      </c>
      <c r="AL547" s="4">
        <f>IF($A547=AL$496,"",COUNTIF($E$4:$E$492,$A547&amp;" ضد "&amp;AL$496)+COUNTIF($E$4:$E$492,AL$496&amp;" ضد "&amp;$A547))</f>
        <v>0</v>
      </c>
      <c r="AM547" s="4">
        <f>IF($A547=AM$496,"",COUNTIF($E$4:$E$492,$A547&amp;" ضد "&amp;AM$496)+COUNTIF($E$4:$E$492,AM$496&amp;" ضد "&amp;$A547))</f>
        <v>0</v>
      </c>
      <c r="AN547" s="4">
        <f>IF($A547=AN$496,"",COUNTIF($E$4:$E$492,$A547&amp;" ضد "&amp;AN$496)+COUNTIF($E$4:$E$492,AN$496&amp;" ضد "&amp;$A547))</f>
        <v>0</v>
      </c>
      <c r="AO547" s="4">
        <f>IF($A547=AO$496,"",COUNTIF($E$4:$E$492,$A547&amp;" ضد "&amp;AO$496)+COUNTIF($E$4:$E$492,AO$496&amp;" ضد "&amp;$A547))</f>
        <v>0</v>
      </c>
      <c r="AP547" s="4">
        <f>IF($A547=AP$496,"",COUNTIF($E$4:$E$492,$A547&amp;" ضد "&amp;AP$496)+COUNTIF($E$4:$E$492,AP$496&amp;" ضد "&amp;$A547))</f>
        <v>0</v>
      </c>
      <c r="AQ547" s="4">
        <f>IF($A547=AQ$496,"",COUNTIF($E$4:$E$492,$A547&amp;" ضد "&amp;AQ$496)+COUNTIF($E$4:$E$492,AQ$496&amp;" ضد "&amp;$A547))</f>
        <v>0</v>
      </c>
      <c r="AR547" s="4">
        <f>IF($A547=AR$496,"",COUNTIF($E$4:$E$492,$A547&amp;" ضد "&amp;AR$496)+COUNTIF($E$4:$E$492,AR$496&amp;" ضد "&amp;$A547))</f>
        <v>2</v>
      </c>
      <c r="AS547" s="4">
        <f>IF($A547=AS$496,"",COUNTIF($E$4:$E$492,$A547&amp;" ضد "&amp;AS$496)+COUNTIF($E$4:$E$492,AS$496&amp;" ضد "&amp;$A547))</f>
        <v>2</v>
      </c>
      <c r="AT547" s="4">
        <f>IF($A547=AT$496,"",COUNTIF($E$4:$E$492,$A547&amp;" ضد "&amp;AT$496)+COUNTIF($E$4:$E$492,AT$496&amp;" ضد "&amp;$A547))</f>
        <v>2</v>
      </c>
      <c r="AU547" s="4">
        <f>IF($A547=AU$496,"",COUNTIF($E$4:$E$492,$A547&amp;" ضد "&amp;AU$496)+COUNTIF($E$4:$E$492,AU$496&amp;" ضد "&amp;$A547))</f>
        <v>2</v>
      </c>
      <c r="AV547" s="4">
        <f>IF($A547=AV$496,"",COUNTIF($E$4:$E$492,$A547&amp;" ضد "&amp;AV$496)+COUNTIF($E$4:$E$492,AV$496&amp;" ضد "&amp;$A547))</f>
        <v>2</v>
      </c>
      <c r="AW547" s="4">
        <f>IF($A547=AW$496,"",COUNTIF($E$4:$E$492,$A547&amp;" ضد "&amp;AW$496)+COUNTIF($E$4:$E$492,AW$496&amp;" ضد "&amp;$A547))</f>
        <v>1</v>
      </c>
      <c r="AX547" s="4">
        <f>IF($A547=AX$496,"",COUNTIF($E$4:$E$492,$A547&amp;" ضد "&amp;AX$496)+COUNTIF($E$4:$E$492,AX$496&amp;" ضد "&amp;$A547))</f>
        <v>2</v>
      </c>
      <c r="AY547" s="4">
        <f>IF($A547=AY$496,"",COUNTIF($E$4:$E$492,$A547&amp;" ضد "&amp;AY$496)+COUNTIF($E$4:$E$492,AY$496&amp;" ضد "&amp;$A547))</f>
        <v>1</v>
      </c>
      <c r="AZ547" s="4" t="str">
        <f>IF($A547=AZ$496,"",COUNTIF($E$4:$E$492,$A547&amp;" ضد "&amp;AZ$496)+COUNTIF($E$4:$E$492,AZ$496&amp;" ضد "&amp;$A547))</f>
        <v/>
      </c>
      <c r="BA547" s="4">
        <f>IF($A547=BA$496,"",COUNTIF($E$4:$E$492,$A547&amp;" ضد "&amp;BA$496)+COUNTIF($E$4:$E$492,BA$496&amp;" ضد "&amp;$A547))</f>
        <v>1</v>
      </c>
      <c r="BB547" s="4">
        <f>IF($A547=BB$496,"",COUNTIF($E$4:$E$492,$A547&amp;" ضد "&amp;BB$496)+COUNTIF($E$4:$E$492,BB$496&amp;" ضد "&amp;$A547))</f>
        <v>2</v>
      </c>
      <c r="BC547" s="4">
        <f>IF($A547=BC$496,"",COUNTIF($E$4:$E$492,$A547&amp;" ضد "&amp;BC$496)+COUNTIF($E$4:$E$492,BC$496&amp;" ضد "&amp;$A547))</f>
        <v>1</v>
      </c>
    </row>
    <row r="548" spans="1:55" ht="14.5">
      <c r="A548" s="14">
        <v>52</v>
      </c>
      <c r="B548" s="4">
        <f>IF($A548=B$496,"",COUNTIF($E$4:$E$492,$A548&amp;" ضد "&amp;B$496)+COUNTIF($E$4:$E$492,B$496&amp;" ضد "&amp;$A548))</f>
        <v>0</v>
      </c>
      <c r="C548" s="4">
        <f>IF($A548=C$496,"",COUNTIF($E$4:$E$492,$A548&amp;" ضد "&amp;C$496)+COUNTIF($E$4:$E$492,C$496&amp;" ضد "&amp;$A548))</f>
        <v>0</v>
      </c>
      <c r="D548" s="4">
        <f>IF($A548=D$496,"",COUNTIF($E$4:$E$492,$A548&amp;" ضد "&amp;D$496)+COUNTIF($E$4:$E$492,D$496&amp;" ضد "&amp;$A548))</f>
        <v>0</v>
      </c>
      <c r="E548" s="4">
        <f>IF($A548=E$496,"",COUNTIF($E$4:$E$492,$A548&amp;" ضد "&amp;E$496)+COUNTIF($E$4:$E$492,E$496&amp;" ضد "&amp;$A548))</f>
        <v>0</v>
      </c>
      <c r="F548" s="4">
        <f>IF($A548=F$496,"",COUNTIF($E$4:$E$492,$A548&amp;" ضد "&amp;F$496)+COUNTIF($E$4:$E$492,F$496&amp;" ضد "&amp;$A548))</f>
        <v>0</v>
      </c>
      <c r="G548" s="4">
        <f>IF($A548=G$496,"",COUNTIF($E$4:$E$492,$A548&amp;" ضد "&amp;G$496)+COUNTIF($E$4:$E$492,G$496&amp;" ضد "&amp;$A548))</f>
        <v>0</v>
      </c>
      <c r="H548" s="4">
        <f>IF($A548=H$496,"",COUNTIF($E$4:$E$492,$A548&amp;" ضد "&amp;H$496)+COUNTIF($E$4:$E$492,H$496&amp;" ضد "&amp;$A548))</f>
        <v>0</v>
      </c>
      <c r="I548" s="4">
        <f>IF($A548=I$496,"",COUNTIF($E$4:$E$492,$A548&amp;" ضد "&amp;I$496)+COUNTIF($E$4:$E$492,I$496&amp;" ضد "&amp;$A548))</f>
        <v>0</v>
      </c>
      <c r="J548" s="4">
        <f>IF($A548=J$496,"",COUNTIF($E$4:$E$492,$A548&amp;" ضد "&amp;J$496)+COUNTIF($E$4:$E$492,J$496&amp;" ضد "&amp;$A548))</f>
        <v>0</v>
      </c>
      <c r="K548" s="4">
        <f>IF($A548=K$496,"",COUNTIF($E$4:$E$492,$A548&amp;" ضد "&amp;K$496)+COUNTIF($E$4:$E$492,K$496&amp;" ضد "&amp;$A548))</f>
        <v>0</v>
      </c>
      <c r="L548" s="4">
        <f>IF($A548=L$496,"",COUNTIF($E$4:$E$492,$A548&amp;" ضد "&amp;L$496)+COUNTIF($E$4:$E$492,L$496&amp;" ضد "&amp;$A548))</f>
        <v>0</v>
      </c>
      <c r="M548" s="4">
        <f>IF($A548=M$496,"",COUNTIF($E$4:$E$492,$A548&amp;" ضد "&amp;M$496)+COUNTIF($E$4:$E$492,M$496&amp;" ضد "&amp;$A548))</f>
        <v>0</v>
      </c>
      <c r="N548" s="4">
        <f>IF($A548=N$496,"",COUNTIF($E$4:$E$492,$A548&amp;" ضد "&amp;N$496)+COUNTIF($E$4:$E$492,N$496&amp;" ضد "&amp;$A548))</f>
        <v>0</v>
      </c>
      <c r="O548" s="4">
        <f>IF($A548=O$496,"",COUNTIF($E$4:$E$492,$A548&amp;" ضد "&amp;O$496)+COUNTIF($E$4:$E$492,O$496&amp;" ضد "&amp;$A548))</f>
        <v>0</v>
      </c>
      <c r="P548" s="4">
        <f>IF($A548=P$496,"",COUNTIF($E$4:$E$492,$A548&amp;" ضد "&amp;P$496)+COUNTIF($E$4:$E$492,P$496&amp;" ضد "&amp;$A548))</f>
        <v>0</v>
      </c>
      <c r="Q548" s="4">
        <f>IF($A548=Q$496,"",COUNTIF($E$4:$E$492,$A548&amp;" ضد "&amp;Q$496)+COUNTIF($E$4:$E$492,Q$496&amp;" ضد "&amp;$A548))</f>
        <v>0</v>
      </c>
      <c r="R548" s="4">
        <f>IF($A548=R$496,"",COUNTIF($E$4:$E$492,$A548&amp;" ضد "&amp;R$496)+COUNTIF($E$4:$E$492,R$496&amp;" ضد "&amp;$A548))</f>
        <v>0</v>
      </c>
      <c r="S548" s="4">
        <f>IF($A548=S$496,"",COUNTIF($E$4:$E$492,$A548&amp;" ضد "&amp;S$496)+COUNTIF($E$4:$E$492,S$496&amp;" ضد "&amp;$A548))</f>
        <v>0</v>
      </c>
      <c r="T548" s="4">
        <f>IF($A548=T$496,"",COUNTIF($E$4:$E$492,$A548&amp;" ضد "&amp;T$496)+COUNTIF($E$4:$E$492,T$496&amp;" ضد "&amp;$A548))</f>
        <v>0</v>
      </c>
      <c r="U548" s="4">
        <f>IF($A548=U$496,"",COUNTIF($E$4:$E$492,$A548&amp;" ضد "&amp;U$496)+COUNTIF($E$4:$E$492,U$496&amp;" ضد "&amp;$A548))</f>
        <v>0</v>
      </c>
      <c r="V548" s="4">
        <f>IF($A548=V$496,"",COUNTIF($E$4:$E$492,$A548&amp;" ضد "&amp;V$496)+COUNTIF($E$4:$E$492,V$496&amp;" ضد "&amp;$A548))</f>
        <v>0</v>
      </c>
      <c r="W548" s="4">
        <f>IF($A548=W$496,"",COUNTIF($E$4:$E$492,$A548&amp;" ضد "&amp;W$496)+COUNTIF($E$4:$E$492,W$496&amp;" ضد "&amp;$A548))</f>
        <v>0</v>
      </c>
      <c r="X548" s="4">
        <f>IF($A548=X$496,"",COUNTIF($E$4:$E$492,$A548&amp;" ضد "&amp;X$496)+COUNTIF($E$4:$E$492,X$496&amp;" ضد "&amp;$A548))</f>
        <v>0</v>
      </c>
      <c r="Y548" s="4">
        <f>IF($A548=Y$496,"",COUNTIF($E$4:$E$492,$A548&amp;" ضد "&amp;Y$496)+COUNTIF($E$4:$E$492,Y$496&amp;" ضد "&amp;$A548))</f>
        <v>0</v>
      </c>
      <c r="Z548" s="4">
        <f>IF($A548=Z$496,"",COUNTIF($E$4:$E$492,$A548&amp;" ضد "&amp;Z$496)+COUNTIF($E$4:$E$492,Z$496&amp;" ضد "&amp;$A548))</f>
        <v>0</v>
      </c>
      <c r="AA548" s="4">
        <f>IF($A548=AA$496,"",COUNTIF($E$4:$E$492,$A548&amp;" ضد "&amp;AA$496)+COUNTIF($E$4:$E$492,AA$496&amp;" ضد "&amp;$A548))</f>
        <v>0</v>
      </c>
      <c r="AB548" s="4">
        <f>IF($A548=AB$496,"",COUNTIF($E$4:$E$492,$A548&amp;" ضد "&amp;AB$496)+COUNTIF($E$4:$E$492,AB$496&amp;" ضد "&amp;$A548))</f>
        <v>0</v>
      </c>
      <c r="AC548" s="4">
        <f>IF($A548=AC$496,"",COUNTIF($E$4:$E$492,$A548&amp;" ضد "&amp;AC$496)+COUNTIF($E$4:$E$492,AC$496&amp;" ضد "&amp;$A548))</f>
        <v>0</v>
      </c>
      <c r="AD548" s="4">
        <f>IF($A548=AD$496,"",COUNTIF($E$4:$E$492,$A548&amp;" ضد "&amp;AD$496)+COUNTIF($E$4:$E$492,AD$496&amp;" ضد "&amp;$A548))</f>
        <v>0</v>
      </c>
      <c r="AE548" s="4">
        <f>IF($A548=AE$496,"",COUNTIF($E$4:$E$492,$A548&amp;" ضد "&amp;AE$496)+COUNTIF($E$4:$E$492,AE$496&amp;" ضد "&amp;$A548))</f>
        <v>0</v>
      </c>
      <c r="AF548" s="4">
        <f>IF($A548=AF$496,"",COUNTIF($E$4:$E$492,$A548&amp;" ضد "&amp;AF$496)+COUNTIF($E$4:$E$492,AF$496&amp;" ضد "&amp;$A548))</f>
        <v>0</v>
      </c>
      <c r="AG548" s="4">
        <f>IF($A548=AG$496,"",COUNTIF($E$4:$E$492,$A548&amp;" ضد "&amp;AG$496)+COUNTIF($E$4:$E$492,AG$496&amp;" ضد "&amp;$A548))</f>
        <v>0</v>
      </c>
      <c r="AH548" s="4">
        <f>IF($A548=AH$496,"",COUNTIF($E$4:$E$492,$A548&amp;" ضد "&amp;AH$496)+COUNTIF($E$4:$E$492,AH$496&amp;" ضد "&amp;$A548))</f>
        <v>0</v>
      </c>
      <c r="AI548" s="4">
        <f>IF($A548=AI$496,"",COUNTIF($E$4:$E$492,$A548&amp;" ضد "&amp;AI$496)+COUNTIF($E$4:$E$492,AI$496&amp;" ضد "&amp;$A548))</f>
        <v>0</v>
      </c>
      <c r="AJ548" s="4">
        <f>IF($A548=AJ$496,"",COUNTIF($E$4:$E$492,$A548&amp;" ضد "&amp;AJ$496)+COUNTIF($E$4:$E$492,AJ$496&amp;" ضد "&amp;$A548))</f>
        <v>0</v>
      </c>
      <c r="AK548" s="4">
        <f>IF($A548=AK$496,"",COUNTIF($E$4:$E$492,$A548&amp;" ضد "&amp;AK$496)+COUNTIF($E$4:$E$492,AK$496&amp;" ضد "&amp;$A548))</f>
        <v>0</v>
      </c>
      <c r="AL548" s="4">
        <f>IF($A548=AL$496,"",COUNTIF($E$4:$E$492,$A548&amp;" ضد "&amp;AL$496)+COUNTIF($E$4:$E$492,AL$496&amp;" ضد "&amp;$A548))</f>
        <v>0</v>
      </c>
      <c r="AM548" s="4">
        <f>IF($A548=AM$496,"",COUNTIF($E$4:$E$492,$A548&amp;" ضد "&amp;AM$496)+COUNTIF($E$4:$E$492,AM$496&amp;" ضد "&amp;$A548))</f>
        <v>0</v>
      </c>
      <c r="AN548" s="4">
        <f>IF($A548=AN$496,"",COUNTIF($E$4:$E$492,$A548&amp;" ضد "&amp;AN$496)+COUNTIF($E$4:$E$492,AN$496&amp;" ضد "&amp;$A548))</f>
        <v>0</v>
      </c>
      <c r="AO548" s="4">
        <f>IF($A548=AO$496,"",COUNTIF($E$4:$E$492,$A548&amp;" ضد "&amp;AO$496)+COUNTIF($E$4:$E$492,AO$496&amp;" ضد "&amp;$A548))</f>
        <v>0</v>
      </c>
      <c r="AP548" s="4">
        <f>IF($A548=AP$496,"",COUNTIF($E$4:$E$492,$A548&amp;" ضد "&amp;AP$496)+COUNTIF($E$4:$E$492,AP$496&amp;" ضد "&amp;$A548))</f>
        <v>0</v>
      </c>
      <c r="AQ548" s="4">
        <f>IF($A548=AQ$496,"",COUNTIF($E$4:$E$492,$A548&amp;" ضد "&amp;AQ$496)+COUNTIF($E$4:$E$492,AQ$496&amp;" ضد "&amp;$A548))</f>
        <v>0</v>
      </c>
      <c r="AR548" s="4">
        <f>IF($A548=AR$496,"",COUNTIF($E$4:$E$492,$A548&amp;" ضد "&amp;AR$496)+COUNTIF($E$4:$E$492,AR$496&amp;" ضد "&amp;$A548))</f>
        <v>2</v>
      </c>
      <c r="AS548" s="4">
        <f>IF($A548=AS$496,"",COUNTIF($E$4:$E$492,$A548&amp;" ضد "&amp;AS$496)+COUNTIF($E$4:$E$492,AS$496&amp;" ضد "&amp;$A548))</f>
        <v>2</v>
      </c>
      <c r="AT548" s="4">
        <f>IF($A548=AT$496,"",COUNTIF($E$4:$E$492,$A548&amp;" ضد "&amp;AT$496)+COUNTIF($E$4:$E$492,AT$496&amp;" ضد "&amp;$A548))</f>
        <v>2</v>
      </c>
      <c r="AU548" s="4">
        <f>IF($A548=AU$496,"",COUNTIF($E$4:$E$492,$A548&amp;" ضد "&amp;AU$496)+COUNTIF($E$4:$E$492,AU$496&amp;" ضد "&amp;$A548))</f>
        <v>2</v>
      </c>
      <c r="AV548" s="4">
        <f>IF($A548=AV$496,"",COUNTIF($E$4:$E$492,$A548&amp;" ضد "&amp;AV$496)+COUNTIF($E$4:$E$492,AV$496&amp;" ضد "&amp;$A548))</f>
        <v>1</v>
      </c>
      <c r="AW548" s="4">
        <f>IF($A548=AW$496,"",COUNTIF($E$4:$E$492,$A548&amp;" ضد "&amp;AW$496)+COUNTIF($E$4:$E$492,AW$496&amp;" ضد "&amp;$A548))</f>
        <v>2</v>
      </c>
      <c r="AX548" s="4">
        <f>IF($A548=AX$496,"",COUNTIF($E$4:$E$492,$A548&amp;" ضد "&amp;AX$496)+COUNTIF($E$4:$E$492,AX$496&amp;" ضد "&amp;$A548))</f>
        <v>1</v>
      </c>
      <c r="AY548" s="4">
        <f>IF($A548=AY$496,"",COUNTIF($E$4:$E$492,$A548&amp;" ضد "&amp;AY$496)+COUNTIF($E$4:$E$492,AY$496&amp;" ضد "&amp;$A548))</f>
        <v>2</v>
      </c>
      <c r="AZ548" s="4">
        <f>IF($A548=AZ$496,"",COUNTIF($E$4:$E$492,$A548&amp;" ضد "&amp;AZ$496)+COUNTIF($E$4:$E$492,AZ$496&amp;" ضد "&amp;$A548))</f>
        <v>1</v>
      </c>
      <c r="BA548" s="4" t="str">
        <f>IF($A548=BA$496,"",COUNTIF($E$4:$E$492,$A548&amp;" ضد "&amp;BA$496)+COUNTIF($E$4:$E$492,BA$496&amp;" ضد "&amp;$A548))</f>
        <v/>
      </c>
      <c r="BB548" s="4">
        <f>IF($A548=BB$496,"",COUNTIF($E$4:$E$492,$A548&amp;" ضد "&amp;BB$496)+COUNTIF($E$4:$E$492,BB$496&amp;" ضد "&amp;$A548))</f>
        <v>1</v>
      </c>
      <c r="BC548" s="4">
        <f>IF($A548=BC$496,"",COUNTIF($E$4:$E$492,$A548&amp;" ضد "&amp;BC$496)+COUNTIF($E$4:$E$492,BC$496&amp;" ضد "&amp;$A548))</f>
        <v>2</v>
      </c>
    </row>
    <row r="549" spans="1:55" ht="14.5">
      <c r="A549" s="14">
        <v>53</v>
      </c>
      <c r="B549" s="4">
        <f>IF($A549=B$496,"",COUNTIF($E$4:$E$492,$A549&amp;" ضد "&amp;B$496)+COUNTIF($E$4:$E$492,B$496&amp;" ضد "&amp;$A549))</f>
        <v>0</v>
      </c>
      <c r="C549" s="4">
        <f>IF($A549=C$496,"",COUNTIF($E$4:$E$492,$A549&amp;" ضد "&amp;C$496)+COUNTIF($E$4:$E$492,C$496&amp;" ضد "&amp;$A549))</f>
        <v>0</v>
      </c>
      <c r="D549" s="4">
        <f>IF($A549=D$496,"",COUNTIF($E$4:$E$492,$A549&amp;" ضد "&amp;D$496)+COUNTIF($E$4:$E$492,D$496&amp;" ضد "&amp;$A549))</f>
        <v>0</v>
      </c>
      <c r="E549" s="4">
        <f>IF($A549=E$496,"",COUNTIF($E$4:$E$492,$A549&amp;" ضد "&amp;E$496)+COUNTIF($E$4:$E$492,E$496&amp;" ضد "&amp;$A549))</f>
        <v>0</v>
      </c>
      <c r="F549" s="4">
        <f>IF($A549=F$496,"",COUNTIF($E$4:$E$492,$A549&amp;" ضد "&amp;F$496)+COUNTIF($E$4:$E$492,F$496&amp;" ضد "&amp;$A549))</f>
        <v>0</v>
      </c>
      <c r="G549" s="4">
        <f>IF($A549=G$496,"",COUNTIF($E$4:$E$492,$A549&amp;" ضد "&amp;G$496)+COUNTIF($E$4:$E$492,G$496&amp;" ضد "&amp;$A549))</f>
        <v>0</v>
      </c>
      <c r="H549" s="4">
        <f>IF($A549=H$496,"",COUNTIF($E$4:$E$492,$A549&amp;" ضد "&amp;H$496)+COUNTIF($E$4:$E$492,H$496&amp;" ضد "&amp;$A549))</f>
        <v>0</v>
      </c>
      <c r="I549" s="4">
        <f>IF($A549=I$496,"",COUNTIF($E$4:$E$492,$A549&amp;" ضد "&amp;I$496)+COUNTIF($E$4:$E$492,I$496&amp;" ضد "&amp;$A549))</f>
        <v>0</v>
      </c>
      <c r="J549" s="4">
        <f>IF($A549=J$496,"",COUNTIF($E$4:$E$492,$A549&amp;" ضد "&amp;J$496)+COUNTIF($E$4:$E$492,J$496&amp;" ضد "&amp;$A549))</f>
        <v>0</v>
      </c>
      <c r="K549" s="4">
        <f>IF($A549=K$496,"",COUNTIF($E$4:$E$492,$A549&amp;" ضد "&amp;K$496)+COUNTIF($E$4:$E$492,K$496&amp;" ضد "&amp;$A549))</f>
        <v>0</v>
      </c>
      <c r="L549" s="4">
        <f>IF($A549=L$496,"",COUNTIF($E$4:$E$492,$A549&amp;" ضد "&amp;L$496)+COUNTIF($E$4:$E$492,L$496&amp;" ضد "&amp;$A549))</f>
        <v>0</v>
      </c>
      <c r="M549" s="4">
        <f>IF($A549=M$496,"",COUNTIF($E$4:$E$492,$A549&amp;" ضد "&amp;M$496)+COUNTIF($E$4:$E$492,M$496&amp;" ضد "&amp;$A549))</f>
        <v>0</v>
      </c>
      <c r="N549" s="4">
        <f>IF($A549=N$496,"",COUNTIF($E$4:$E$492,$A549&amp;" ضد "&amp;N$496)+COUNTIF($E$4:$E$492,N$496&amp;" ضد "&amp;$A549))</f>
        <v>0</v>
      </c>
      <c r="O549" s="4">
        <f>IF($A549=O$496,"",COUNTIF($E$4:$E$492,$A549&amp;" ضد "&amp;O$496)+COUNTIF($E$4:$E$492,O$496&amp;" ضد "&amp;$A549))</f>
        <v>0</v>
      </c>
      <c r="P549" s="4">
        <f>IF($A549=P$496,"",COUNTIF($E$4:$E$492,$A549&amp;" ضد "&amp;P$496)+COUNTIF($E$4:$E$492,P$496&amp;" ضد "&amp;$A549))</f>
        <v>0</v>
      </c>
      <c r="Q549" s="4">
        <f>IF($A549=Q$496,"",COUNTIF($E$4:$E$492,$A549&amp;" ضد "&amp;Q$496)+COUNTIF($E$4:$E$492,Q$496&amp;" ضد "&amp;$A549))</f>
        <v>0</v>
      </c>
      <c r="R549" s="4">
        <f>IF($A549=R$496,"",COUNTIF($E$4:$E$492,$A549&amp;" ضد "&amp;R$496)+COUNTIF($E$4:$E$492,R$496&amp;" ضد "&amp;$A549))</f>
        <v>0</v>
      </c>
      <c r="S549" s="4">
        <f>IF($A549=S$496,"",COUNTIF($E$4:$E$492,$A549&amp;" ضد "&amp;S$496)+COUNTIF($E$4:$E$492,S$496&amp;" ضد "&amp;$A549))</f>
        <v>0</v>
      </c>
      <c r="T549" s="4">
        <f>IF($A549=T$496,"",COUNTIF($E$4:$E$492,$A549&amp;" ضد "&amp;T$496)+COUNTIF($E$4:$E$492,T$496&amp;" ضد "&amp;$A549))</f>
        <v>0</v>
      </c>
      <c r="U549" s="4">
        <f>IF($A549=U$496,"",COUNTIF($E$4:$E$492,$A549&amp;" ضد "&amp;U$496)+COUNTIF($E$4:$E$492,U$496&amp;" ضد "&amp;$A549))</f>
        <v>0</v>
      </c>
      <c r="V549" s="4">
        <f>IF($A549=V$496,"",COUNTIF($E$4:$E$492,$A549&amp;" ضد "&amp;V$496)+COUNTIF($E$4:$E$492,V$496&amp;" ضد "&amp;$A549))</f>
        <v>0</v>
      </c>
      <c r="W549" s="4">
        <f>IF($A549=W$496,"",COUNTIF($E$4:$E$492,$A549&amp;" ضد "&amp;W$496)+COUNTIF($E$4:$E$492,W$496&amp;" ضد "&amp;$A549))</f>
        <v>0</v>
      </c>
      <c r="X549" s="4">
        <f>IF($A549=X$496,"",COUNTIF($E$4:$E$492,$A549&amp;" ضد "&amp;X$496)+COUNTIF($E$4:$E$492,X$496&amp;" ضد "&amp;$A549))</f>
        <v>0</v>
      </c>
      <c r="Y549" s="4">
        <f>IF($A549=Y$496,"",COUNTIF($E$4:$E$492,$A549&amp;" ضد "&amp;Y$496)+COUNTIF($E$4:$E$492,Y$496&amp;" ضد "&amp;$A549))</f>
        <v>0</v>
      </c>
      <c r="Z549" s="4">
        <f>IF($A549=Z$496,"",COUNTIF($E$4:$E$492,$A549&amp;" ضد "&amp;Z$496)+COUNTIF($E$4:$E$492,Z$496&amp;" ضد "&amp;$A549))</f>
        <v>0</v>
      </c>
      <c r="AA549" s="4">
        <f>IF($A549=AA$496,"",COUNTIF($E$4:$E$492,$A549&amp;" ضد "&amp;AA$496)+COUNTIF($E$4:$E$492,AA$496&amp;" ضد "&amp;$A549))</f>
        <v>0</v>
      </c>
      <c r="AB549" s="4">
        <f>IF($A549=AB$496,"",COUNTIF($E$4:$E$492,$A549&amp;" ضد "&amp;AB$496)+COUNTIF($E$4:$E$492,AB$496&amp;" ضد "&amp;$A549))</f>
        <v>0</v>
      </c>
      <c r="AC549" s="4">
        <f>IF($A549=AC$496,"",COUNTIF($E$4:$E$492,$A549&amp;" ضد "&amp;AC$496)+COUNTIF($E$4:$E$492,AC$496&amp;" ضد "&amp;$A549))</f>
        <v>0</v>
      </c>
      <c r="AD549" s="4">
        <f>IF($A549=AD$496,"",COUNTIF($E$4:$E$492,$A549&amp;" ضد "&amp;AD$496)+COUNTIF($E$4:$E$492,AD$496&amp;" ضد "&amp;$A549))</f>
        <v>0</v>
      </c>
      <c r="AE549" s="4">
        <f>IF($A549=AE$496,"",COUNTIF($E$4:$E$492,$A549&amp;" ضد "&amp;AE$496)+COUNTIF($E$4:$E$492,AE$496&amp;" ضد "&amp;$A549))</f>
        <v>0</v>
      </c>
      <c r="AF549" s="4">
        <f>IF($A549=AF$496,"",COUNTIF($E$4:$E$492,$A549&amp;" ضد "&amp;AF$496)+COUNTIF($E$4:$E$492,AF$496&amp;" ضد "&amp;$A549))</f>
        <v>0</v>
      </c>
      <c r="AG549" s="4">
        <f>IF($A549=AG$496,"",COUNTIF($E$4:$E$492,$A549&amp;" ضد "&amp;AG$496)+COUNTIF($E$4:$E$492,AG$496&amp;" ضد "&amp;$A549))</f>
        <v>0</v>
      </c>
      <c r="AH549" s="4">
        <f>IF($A549=AH$496,"",COUNTIF($E$4:$E$492,$A549&amp;" ضد "&amp;AH$496)+COUNTIF($E$4:$E$492,AH$496&amp;" ضد "&amp;$A549))</f>
        <v>0</v>
      </c>
      <c r="AI549" s="4">
        <f>IF($A549=AI$496,"",COUNTIF($E$4:$E$492,$A549&amp;" ضد "&amp;AI$496)+COUNTIF($E$4:$E$492,AI$496&amp;" ضد "&amp;$A549))</f>
        <v>0</v>
      </c>
      <c r="AJ549" s="4">
        <f>IF($A549=AJ$496,"",COUNTIF($E$4:$E$492,$A549&amp;" ضد "&amp;AJ$496)+COUNTIF($E$4:$E$492,AJ$496&amp;" ضد "&amp;$A549))</f>
        <v>0</v>
      </c>
      <c r="AK549" s="4">
        <f>IF($A549=AK$496,"",COUNTIF($E$4:$E$492,$A549&amp;" ضد "&amp;AK$496)+COUNTIF($E$4:$E$492,AK$496&amp;" ضد "&amp;$A549))</f>
        <v>0</v>
      </c>
      <c r="AL549" s="4">
        <f>IF($A549=AL$496,"",COUNTIF($E$4:$E$492,$A549&amp;" ضد "&amp;AL$496)+COUNTIF($E$4:$E$492,AL$496&amp;" ضد "&amp;$A549))</f>
        <v>0</v>
      </c>
      <c r="AM549" s="4">
        <f>IF($A549=AM$496,"",COUNTIF($E$4:$E$492,$A549&amp;" ضد "&amp;AM$496)+COUNTIF($E$4:$E$492,AM$496&amp;" ضد "&amp;$A549))</f>
        <v>0</v>
      </c>
      <c r="AN549" s="4">
        <f>IF($A549=AN$496,"",COUNTIF($E$4:$E$492,$A549&amp;" ضد "&amp;AN$496)+COUNTIF($E$4:$E$492,AN$496&amp;" ضد "&amp;$A549))</f>
        <v>0</v>
      </c>
      <c r="AO549" s="4">
        <f>IF($A549=AO$496,"",COUNTIF($E$4:$E$492,$A549&amp;" ضد "&amp;AO$496)+COUNTIF($E$4:$E$492,AO$496&amp;" ضد "&amp;$A549))</f>
        <v>0</v>
      </c>
      <c r="AP549" s="4">
        <f>IF($A549=AP$496,"",COUNTIF($E$4:$E$492,$A549&amp;" ضد "&amp;AP$496)+COUNTIF($E$4:$E$492,AP$496&amp;" ضد "&amp;$A549))</f>
        <v>0</v>
      </c>
      <c r="AQ549" s="4">
        <f>IF($A549=AQ$496,"",COUNTIF($E$4:$E$492,$A549&amp;" ضد "&amp;AQ$496)+COUNTIF($E$4:$E$492,AQ$496&amp;" ضد "&amp;$A549))</f>
        <v>0</v>
      </c>
      <c r="AR549" s="4">
        <f>IF($A549=AR$496,"",COUNTIF($E$4:$E$492,$A549&amp;" ضد "&amp;AR$496)+COUNTIF($E$4:$E$492,AR$496&amp;" ضد "&amp;$A549))</f>
        <v>2</v>
      </c>
      <c r="AS549" s="4">
        <f>IF($A549=AS$496,"",COUNTIF($E$4:$E$492,$A549&amp;" ضد "&amp;AS$496)+COUNTIF($E$4:$E$492,AS$496&amp;" ضد "&amp;$A549))</f>
        <v>2</v>
      </c>
      <c r="AT549" s="4">
        <f>IF($A549=AT$496,"",COUNTIF($E$4:$E$492,$A549&amp;" ضد "&amp;AT$496)+COUNTIF($E$4:$E$492,AT$496&amp;" ضد "&amp;$A549))</f>
        <v>2</v>
      </c>
      <c r="AU549" s="4">
        <f>IF($A549=AU$496,"",COUNTIF($E$4:$E$492,$A549&amp;" ضد "&amp;AU$496)+COUNTIF($E$4:$E$492,AU$496&amp;" ضد "&amp;$A549))</f>
        <v>1</v>
      </c>
      <c r="AV549" s="4">
        <f>IF($A549=AV$496,"",COUNTIF($E$4:$E$492,$A549&amp;" ضد "&amp;AV$496)+COUNTIF($E$4:$E$492,AV$496&amp;" ضد "&amp;$A549))</f>
        <v>2</v>
      </c>
      <c r="AW549" s="4">
        <f>IF($A549=AW$496,"",COUNTIF($E$4:$E$492,$A549&amp;" ضد "&amp;AW$496)+COUNTIF($E$4:$E$492,AW$496&amp;" ضد "&amp;$A549))</f>
        <v>1</v>
      </c>
      <c r="AX549" s="4">
        <f>IF($A549=AX$496,"",COUNTIF($E$4:$E$492,$A549&amp;" ضد "&amp;AX$496)+COUNTIF($E$4:$E$492,AX$496&amp;" ضد "&amp;$A549))</f>
        <v>2</v>
      </c>
      <c r="AY549" s="4">
        <f>IF($A549=AY$496,"",COUNTIF($E$4:$E$492,$A549&amp;" ضد "&amp;AY$496)+COUNTIF($E$4:$E$492,AY$496&amp;" ضد "&amp;$A549))</f>
        <v>1</v>
      </c>
      <c r="AZ549" s="4">
        <f>IF($A549=AZ$496,"",COUNTIF($E$4:$E$492,$A549&amp;" ضد "&amp;AZ$496)+COUNTIF($E$4:$E$492,AZ$496&amp;" ضد "&amp;$A549))</f>
        <v>2</v>
      </c>
      <c r="BA549" s="4">
        <f>IF($A549=BA$496,"",COUNTIF($E$4:$E$492,$A549&amp;" ضد "&amp;BA$496)+COUNTIF($E$4:$E$492,BA$496&amp;" ضد "&amp;$A549))</f>
        <v>1</v>
      </c>
      <c r="BB549" s="4" t="str">
        <f>IF($A549=BB$496,"",COUNTIF($E$4:$E$492,$A549&amp;" ضد "&amp;BB$496)+COUNTIF($E$4:$E$492,BB$496&amp;" ضد "&amp;$A549))</f>
        <v/>
      </c>
      <c r="BC549" s="4">
        <f>IF($A549=BC$496,"",COUNTIF($E$4:$E$492,$A549&amp;" ضد "&amp;BC$496)+COUNTIF($E$4:$E$492,BC$496&amp;" ضد "&amp;$A549))</f>
        <v>2</v>
      </c>
    </row>
    <row r="550" spans="1:55" ht="14.5">
      <c r="A550" s="14">
        <v>54</v>
      </c>
      <c r="B550" s="4">
        <f>IF($A550=B$496,"",COUNTIF($E$4:$E$492,$A550&amp;" ضد "&amp;B$496)+COUNTIF($E$4:$E$492,B$496&amp;" ضد "&amp;$A550))</f>
        <v>0</v>
      </c>
      <c r="C550" s="4">
        <f>IF($A550=C$496,"",COUNTIF($E$4:$E$492,$A550&amp;" ضد "&amp;C$496)+COUNTIF($E$4:$E$492,C$496&amp;" ضد "&amp;$A550))</f>
        <v>0</v>
      </c>
      <c r="D550" s="4">
        <f>IF($A550=D$496,"",COUNTIF($E$4:$E$492,$A550&amp;" ضد "&amp;D$496)+COUNTIF($E$4:$E$492,D$496&amp;" ضد "&amp;$A550))</f>
        <v>0</v>
      </c>
      <c r="E550" s="4">
        <f>IF($A550=E$496,"",COUNTIF($E$4:$E$492,$A550&amp;" ضد "&amp;E$496)+COUNTIF($E$4:$E$492,E$496&amp;" ضد "&amp;$A550))</f>
        <v>0</v>
      </c>
      <c r="F550" s="4">
        <f>IF($A550=F$496,"",COUNTIF($E$4:$E$492,$A550&amp;" ضد "&amp;F$496)+COUNTIF($E$4:$E$492,F$496&amp;" ضد "&amp;$A550))</f>
        <v>0</v>
      </c>
      <c r="G550" s="4">
        <f>IF($A550=G$496,"",COUNTIF($E$4:$E$492,$A550&amp;" ضد "&amp;G$496)+COUNTIF($E$4:$E$492,G$496&amp;" ضد "&amp;$A550))</f>
        <v>0</v>
      </c>
      <c r="H550" s="4">
        <f>IF($A550=H$496,"",COUNTIF($E$4:$E$492,$A550&amp;" ضد "&amp;H$496)+COUNTIF($E$4:$E$492,H$496&amp;" ضد "&amp;$A550))</f>
        <v>0</v>
      </c>
      <c r="I550" s="4">
        <f>IF($A550=I$496,"",COUNTIF($E$4:$E$492,$A550&amp;" ضد "&amp;I$496)+COUNTIF($E$4:$E$492,I$496&amp;" ضد "&amp;$A550))</f>
        <v>0</v>
      </c>
      <c r="J550" s="4">
        <f>IF($A550=J$496,"",COUNTIF($E$4:$E$492,$A550&amp;" ضد "&amp;J$496)+COUNTIF($E$4:$E$492,J$496&amp;" ضد "&amp;$A550))</f>
        <v>0</v>
      </c>
      <c r="K550" s="4">
        <f>IF($A550=K$496,"",COUNTIF($E$4:$E$492,$A550&amp;" ضد "&amp;K$496)+COUNTIF($E$4:$E$492,K$496&amp;" ضد "&amp;$A550))</f>
        <v>0</v>
      </c>
      <c r="L550" s="4">
        <f>IF($A550=L$496,"",COUNTIF($E$4:$E$492,$A550&amp;" ضد "&amp;L$496)+COUNTIF($E$4:$E$492,L$496&amp;" ضد "&amp;$A550))</f>
        <v>0</v>
      </c>
      <c r="M550" s="4">
        <f>IF($A550=M$496,"",COUNTIF($E$4:$E$492,$A550&amp;" ضد "&amp;M$496)+COUNTIF($E$4:$E$492,M$496&amp;" ضد "&amp;$A550))</f>
        <v>0</v>
      </c>
      <c r="N550" s="4">
        <f>IF($A550=N$496,"",COUNTIF($E$4:$E$492,$A550&amp;" ضد "&amp;N$496)+COUNTIF($E$4:$E$492,N$496&amp;" ضد "&amp;$A550))</f>
        <v>0</v>
      </c>
      <c r="O550" s="4">
        <f>IF($A550=O$496,"",COUNTIF($E$4:$E$492,$A550&amp;" ضد "&amp;O$496)+COUNTIF($E$4:$E$492,O$496&amp;" ضد "&amp;$A550))</f>
        <v>0</v>
      </c>
      <c r="P550" s="4">
        <f>IF($A550=P$496,"",COUNTIF($E$4:$E$492,$A550&amp;" ضد "&amp;P$496)+COUNTIF($E$4:$E$492,P$496&amp;" ضد "&amp;$A550))</f>
        <v>0</v>
      </c>
      <c r="Q550" s="4">
        <f>IF($A550=Q$496,"",COUNTIF($E$4:$E$492,$A550&amp;" ضد "&amp;Q$496)+COUNTIF($E$4:$E$492,Q$496&amp;" ضد "&amp;$A550))</f>
        <v>0</v>
      </c>
      <c r="R550" s="4">
        <f>IF($A550=R$496,"",COUNTIF($E$4:$E$492,$A550&amp;" ضد "&amp;R$496)+COUNTIF($E$4:$E$492,R$496&amp;" ضد "&amp;$A550))</f>
        <v>0</v>
      </c>
      <c r="S550" s="4">
        <f>IF($A550=S$496,"",COUNTIF($E$4:$E$492,$A550&amp;" ضد "&amp;S$496)+COUNTIF($E$4:$E$492,S$496&amp;" ضد "&amp;$A550))</f>
        <v>0</v>
      </c>
      <c r="T550" s="4">
        <f>IF($A550=T$496,"",COUNTIF($E$4:$E$492,$A550&amp;" ضد "&amp;T$496)+COUNTIF($E$4:$E$492,T$496&amp;" ضد "&amp;$A550))</f>
        <v>0</v>
      </c>
      <c r="U550" s="4">
        <f>IF($A550=U$496,"",COUNTIF($E$4:$E$492,$A550&amp;" ضد "&amp;U$496)+COUNTIF($E$4:$E$492,U$496&amp;" ضد "&amp;$A550))</f>
        <v>0</v>
      </c>
      <c r="V550" s="4">
        <f>IF($A550=V$496,"",COUNTIF($E$4:$E$492,$A550&amp;" ضد "&amp;V$496)+COUNTIF($E$4:$E$492,V$496&amp;" ضد "&amp;$A550))</f>
        <v>0</v>
      </c>
      <c r="W550" s="4">
        <f>IF($A550=W$496,"",COUNTIF($E$4:$E$492,$A550&amp;" ضد "&amp;W$496)+COUNTIF($E$4:$E$492,W$496&amp;" ضد "&amp;$A550))</f>
        <v>0</v>
      </c>
      <c r="X550" s="4">
        <f>IF($A550=X$496,"",COUNTIF($E$4:$E$492,$A550&amp;" ضد "&amp;X$496)+COUNTIF($E$4:$E$492,X$496&amp;" ضد "&amp;$A550))</f>
        <v>0</v>
      </c>
      <c r="Y550" s="4">
        <f>IF($A550=Y$496,"",COUNTIF($E$4:$E$492,$A550&amp;" ضد "&amp;Y$496)+COUNTIF($E$4:$E$492,Y$496&amp;" ضد "&amp;$A550))</f>
        <v>0</v>
      </c>
      <c r="Z550" s="4">
        <f>IF($A550=Z$496,"",COUNTIF($E$4:$E$492,$A550&amp;" ضد "&amp;Z$496)+COUNTIF($E$4:$E$492,Z$496&amp;" ضد "&amp;$A550))</f>
        <v>0</v>
      </c>
      <c r="AA550" s="4">
        <f>IF($A550=AA$496,"",COUNTIF($E$4:$E$492,$A550&amp;" ضد "&amp;AA$496)+COUNTIF($E$4:$E$492,AA$496&amp;" ضد "&amp;$A550))</f>
        <v>0</v>
      </c>
      <c r="AB550" s="4">
        <f>IF($A550=AB$496,"",COUNTIF($E$4:$E$492,$A550&amp;" ضد "&amp;AB$496)+COUNTIF($E$4:$E$492,AB$496&amp;" ضد "&amp;$A550))</f>
        <v>0</v>
      </c>
      <c r="AC550" s="4">
        <f>IF($A550=AC$496,"",COUNTIF($E$4:$E$492,$A550&amp;" ضد "&amp;AC$496)+COUNTIF($E$4:$E$492,AC$496&amp;" ضد "&amp;$A550))</f>
        <v>0</v>
      </c>
      <c r="AD550" s="4">
        <f>IF($A550=AD$496,"",COUNTIF($E$4:$E$492,$A550&amp;" ضد "&amp;AD$496)+COUNTIF($E$4:$E$492,AD$496&amp;" ضد "&amp;$A550))</f>
        <v>0</v>
      </c>
      <c r="AE550" s="4">
        <f>IF($A550=AE$496,"",COUNTIF($E$4:$E$492,$A550&amp;" ضد "&amp;AE$496)+COUNTIF($E$4:$E$492,AE$496&amp;" ضد "&amp;$A550))</f>
        <v>0</v>
      </c>
      <c r="AF550" s="4">
        <f>IF($A550=AF$496,"",COUNTIF($E$4:$E$492,$A550&amp;" ضد "&amp;AF$496)+COUNTIF($E$4:$E$492,AF$496&amp;" ضد "&amp;$A550))</f>
        <v>0</v>
      </c>
      <c r="AG550" s="4">
        <f>IF($A550=AG$496,"",COUNTIF($E$4:$E$492,$A550&amp;" ضد "&amp;AG$496)+COUNTIF($E$4:$E$492,AG$496&amp;" ضد "&amp;$A550))</f>
        <v>0</v>
      </c>
      <c r="AH550" s="4">
        <f>IF($A550=AH$496,"",COUNTIF($E$4:$E$492,$A550&amp;" ضد "&amp;AH$496)+COUNTIF($E$4:$E$492,AH$496&amp;" ضد "&amp;$A550))</f>
        <v>0</v>
      </c>
      <c r="AI550" s="4">
        <f>IF($A550=AI$496,"",COUNTIF($E$4:$E$492,$A550&amp;" ضد "&amp;AI$496)+COUNTIF($E$4:$E$492,AI$496&amp;" ضد "&amp;$A550))</f>
        <v>0</v>
      </c>
      <c r="AJ550" s="4">
        <f>IF($A550=AJ$496,"",COUNTIF($E$4:$E$492,$A550&amp;" ضد "&amp;AJ$496)+COUNTIF($E$4:$E$492,AJ$496&amp;" ضد "&amp;$A550))</f>
        <v>0</v>
      </c>
      <c r="AK550" s="4">
        <f>IF($A550=AK$496,"",COUNTIF($E$4:$E$492,$A550&amp;" ضد "&amp;AK$496)+COUNTIF($E$4:$E$492,AK$496&amp;" ضد "&amp;$A550))</f>
        <v>0</v>
      </c>
      <c r="AL550" s="4">
        <f>IF($A550=AL$496,"",COUNTIF($E$4:$E$492,$A550&amp;" ضد "&amp;AL$496)+COUNTIF($E$4:$E$492,AL$496&amp;" ضد "&amp;$A550))</f>
        <v>0</v>
      </c>
      <c r="AM550" s="4">
        <f>IF($A550=AM$496,"",COUNTIF($E$4:$E$492,$A550&amp;" ضد "&amp;AM$496)+COUNTIF($E$4:$E$492,AM$496&amp;" ضد "&amp;$A550))</f>
        <v>0</v>
      </c>
      <c r="AN550" s="4">
        <f>IF($A550=AN$496,"",COUNTIF($E$4:$E$492,$A550&amp;" ضد "&amp;AN$496)+COUNTIF($E$4:$E$492,AN$496&amp;" ضد "&amp;$A550))</f>
        <v>0</v>
      </c>
      <c r="AO550" s="4">
        <f>IF($A550=AO$496,"",COUNTIF($E$4:$E$492,$A550&amp;" ضد "&amp;AO$496)+COUNTIF($E$4:$E$492,AO$496&amp;" ضد "&amp;$A550))</f>
        <v>0</v>
      </c>
      <c r="AP550" s="4">
        <f>IF($A550=AP$496,"",COUNTIF($E$4:$E$492,$A550&amp;" ضد "&amp;AP$496)+COUNTIF($E$4:$E$492,AP$496&amp;" ضد "&amp;$A550))</f>
        <v>0</v>
      </c>
      <c r="AQ550" s="4">
        <f>IF($A550=AQ$496,"",COUNTIF($E$4:$E$492,$A550&amp;" ضد "&amp;AQ$496)+COUNTIF($E$4:$E$492,AQ$496&amp;" ضد "&amp;$A550))</f>
        <v>0</v>
      </c>
      <c r="AR550" s="4">
        <f>IF($A550=AR$496,"",COUNTIF($E$4:$E$492,$A550&amp;" ضد "&amp;AR$496)+COUNTIF($E$4:$E$492,AR$496&amp;" ضد "&amp;$A550))</f>
        <v>2</v>
      </c>
      <c r="AS550" s="4">
        <f>IF($A550=AS$496,"",COUNTIF($E$4:$E$492,$A550&amp;" ضد "&amp;AS$496)+COUNTIF($E$4:$E$492,AS$496&amp;" ضد "&amp;$A550))</f>
        <v>2</v>
      </c>
      <c r="AT550" s="4">
        <f>IF($A550=AT$496,"",COUNTIF($E$4:$E$492,$A550&amp;" ضد "&amp;AT$496)+COUNTIF($E$4:$E$492,AT$496&amp;" ضد "&amp;$A550))</f>
        <v>1</v>
      </c>
      <c r="AU550" s="4">
        <f>IF($A550=AU$496,"",COUNTIF($E$4:$E$492,$A550&amp;" ضد "&amp;AU$496)+COUNTIF($E$4:$E$492,AU$496&amp;" ضد "&amp;$A550))</f>
        <v>2</v>
      </c>
      <c r="AV550" s="4">
        <f>IF($A550=AV$496,"",COUNTIF($E$4:$E$492,$A550&amp;" ضد "&amp;AV$496)+COUNTIF($E$4:$E$492,AV$496&amp;" ضد "&amp;$A550))</f>
        <v>1</v>
      </c>
      <c r="AW550" s="4">
        <f>IF($A550=AW$496,"",COUNTIF($E$4:$E$492,$A550&amp;" ضد "&amp;AW$496)+COUNTIF($E$4:$E$492,AW$496&amp;" ضد "&amp;$A550))</f>
        <v>2</v>
      </c>
      <c r="AX550" s="4">
        <f>IF($A550=AX$496,"",COUNTIF($E$4:$E$492,$A550&amp;" ضد "&amp;AX$496)+COUNTIF($E$4:$E$492,AX$496&amp;" ضد "&amp;$A550))</f>
        <v>1</v>
      </c>
      <c r="AY550" s="4">
        <f>IF($A550=AY$496,"",COUNTIF($E$4:$E$492,$A550&amp;" ضد "&amp;AY$496)+COUNTIF($E$4:$E$492,AY$496&amp;" ضد "&amp;$A550))</f>
        <v>2</v>
      </c>
      <c r="AZ550" s="4">
        <f>IF($A550=AZ$496,"",COUNTIF($E$4:$E$492,$A550&amp;" ضد "&amp;AZ$496)+COUNTIF($E$4:$E$492,AZ$496&amp;" ضد "&amp;$A550))</f>
        <v>1</v>
      </c>
      <c r="BA550" s="4">
        <f>IF($A550=BA$496,"",COUNTIF($E$4:$E$492,$A550&amp;" ضد "&amp;BA$496)+COUNTIF($E$4:$E$492,BA$496&amp;" ضد "&amp;$A550))</f>
        <v>2</v>
      </c>
      <c r="BB550" s="4">
        <f>IF($A550=BB$496,"",COUNTIF($E$4:$E$492,$A550&amp;" ضد "&amp;BB$496)+COUNTIF($E$4:$E$492,BB$496&amp;" ضد "&amp;$A550))</f>
        <v>2</v>
      </c>
      <c r="BC550" s="4" t="str">
        <f>IF($A550=BC$496,"",COUNTIF($E$4:$E$492,$A550&amp;" ضد "&amp;BC$496)+COUNTIF($E$4:$E$492,BC$496&amp;" ضد "&amp;$A550))</f>
        <v/>
      </c>
    </row>
    <row r="551" spans="1:55" ht="14.5">
      <c r="A551" s="14" t="s">
        <v>1033</v>
      </c>
      <c r="B551" s="4" cm="1">
        <f t="array" ref="B551">MIN(IF(B497:BC550&gt;0,B497:BC550))</f>
        <v>1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4.5">
      <c r="A552" s="14" t="s">
        <v>830</v>
      </c>
      <c r="B552" s="4">
        <f>MAX(B497:BC550)</f>
        <v>2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</sheetData>
  <mergeCells count="2">
    <mergeCell ref="A1:E1"/>
    <mergeCell ref="A495:BC49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3BB9-BDBC-4AA5-93A4-C70A8F570A88}">
  <dimension ref="A1:BG60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.5">
      <c r="A1" s="15" t="s">
        <v>1003</v>
      </c>
      <c r="B1" s="15"/>
      <c r="C1" s="15"/>
      <c r="D1" s="15"/>
      <c r="E1" s="15"/>
      <c r="F1" s="2"/>
    </row>
    <row r="2" spans="1:6" ht="14.5">
      <c r="A2" s="5"/>
      <c r="B2" s="5"/>
      <c r="C2" s="5"/>
      <c r="D2" s="5"/>
      <c r="E2" s="5"/>
      <c r="F2" s="2"/>
    </row>
    <row r="3" spans="1:6" ht="14.5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.5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164</v>
      </c>
      <c r="F4" s="2"/>
    </row>
    <row r="5" spans="1:6" ht="14.5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157</v>
      </c>
      <c r="F5" s="2"/>
    </row>
    <row r="6" spans="1:6" ht="14.5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138</v>
      </c>
      <c r="F6" s="2"/>
    </row>
    <row r="7" spans="1:6" ht="14.5">
      <c r="A7" s="8">
        <v>1</v>
      </c>
      <c r="B7" s="7" t="str">
        <f>المدخلات!$F$4</f>
        <v>4:00–5:10 م</v>
      </c>
      <c r="C7" s="7">
        <v>4</v>
      </c>
      <c r="D7" s="7" t="s">
        <v>593</v>
      </c>
      <c r="E7" s="7" t="s">
        <v>89</v>
      </c>
      <c r="F7" s="2"/>
    </row>
    <row r="8" spans="1:6" ht="14.5">
      <c r="A8" s="8">
        <v>1</v>
      </c>
      <c r="B8" s="7" t="str">
        <f>المدخلات!$F$5</f>
        <v>5:20–6:30 م</v>
      </c>
      <c r="C8" s="7">
        <v>1</v>
      </c>
      <c r="D8" s="7" t="s">
        <v>593</v>
      </c>
      <c r="E8" s="7" t="s">
        <v>188</v>
      </c>
      <c r="F8" s="2"/>
    </row>
    <row r="9" spans="1:6" ht="14.5">
      <c r="A9" s="8">
        <v>1</v>
      </c>
      <c r="B9" s="7" t="str">
        <f>المدخلات!$F$5</f>
        <v>5:20–6:30 م</v>
      </c>
      <c r="C9" s="7">
        <v>2</v>
      </c>
      <c r="D9" s="7" t="s">
        <v>593</v>
      </c>
      <c r="E9" s="7" t="s">
        <v>163</v>
      </c>
      <c r="F9" s="2"/>
    </row>
    <row r="10" spans="1:6" ht="14.5">
      <c r="A10" s="8">
        <v>1</v>
      </c>
      <c r="B10" s="7" t="str">
        <f>المدخلات!$F$5</f>
        <v>5:20–6:30 م</v>
      </c>
      <c r="C10" s="7">
        <v>3</v>
      </c>
      <c r="D10" s="7" t="s">
        <v>593</v>
      </c>
      <c r="E10" s="7" t="s">
        <v>67</v>
      </c>
      <c r="F10" s="2"/>
    </row>
    <row r="11" spans="1:6" ht="14.5">
      <c r="A11" s="8">
        <v>1</v>
      </c>
      <c r="B11" s="7" t="str">
        <f>المدخلات!$F$5</f>
        <v>5:20–6:30 م</v>
      </c>
      <c r="C11" s="7">
        <v>4</v>
      </c>
      <c r="D11" s="7" t="s">
        <v>593</v>
      </c>
      <c r="E11" s="7" t="s">
        <v>56</v>
      </c>
      <c r="F11" s="2"/>
    </row>
    <row r="12" spans="1:6" ht="14.5">
      <c r="A12" s="8">
        <v>1</v>
      </c>
      <c r="B12" s="7" t="str">
        <f>المدخلات!$F$6</f>
        <v>6:40–7:50 م</v>
      </c>
      <c r="C12" s="7">
        <v>1</v>
      </c>
      <c r="D12" s="7" t="s">
        <v>593</v>
      </c>
      <c r="E12" s="7" t="s">
        <v>136</v>
      </c>
      <c r="F12" s="2"/>
    </row>
    <row r="13" spans="1:6" ht="14.5">
      <c r="A13" s="8">
        <v>1</v>
      </c>
      <c r="B13" s="7" t="str">
        <f>المدخلات!$F$6</f>
        <v>6:40–7:50 م</v>
      </c>
      <c r="C13" s="7">
        <v>2</v>
      </c>
      <c r="D13" s="7" t="s">
        <v>593</v>
      </c>
      <c r="E13" s="7" t="s">
        <v>137</v>
      </c>
      <c r="F13" s="2"/>
    </row>
    <row r="14" spans="1:6" ht="14.5">
      <c r="A14" s="8">
        <v>1</v>
      </c>
      <c r="B14" s="7" t="str">
        <f>المدخلات!$F$4</f>
        <v>4:00–5:10 م</v>
      </c>
      <c r="C14" s="7">
        <v>5</v>
      </c>
      <c r="D14" s="7" t="s">
        <v>594</v>
      </c>
      <c r="E14" s="7" t="s">
        <v>303</v>
      </c>
      <c r="F14" s="2"/>
    </row>
    <row r="15" spans="1:6" ht="14.5">
      <c r="A15" s="8">
        <v>1</v>
      </c>
      <c r="B15" s="7" t="str">
        <f>المدخلات!$F$4</f>
        <v>4:00–5:10 م</v>
      </c>
      <c r="C15" s="7">
        <v>6</v>
      </c>
      <c r="D15" s="7" t="s">
        <v>594</v>
      </c>
      <c r="E15" s="7" t="s">
        <v>292</v>
      </c>
      <c r="F15" s="2"/>
    </row>
    <row r="16" spans="1:6" ht="14.5">
      <c r="A16" s="8">
        <v>1</v>
      </c>
      <c r="B16" s="7" t="str">
        <f>المدخلات!$F$4</f>
        <v>4:00–5:10 م</v>
      </c>
      <c r="C16" s="7">
        <v>7</v>
      </c>
      <c r="D16" s="7" t="s">
        <v>594</v>
      </c>
      <c r="E16" s="7" t="s">
        <v>283</v>
      </c>
      <c r="F16" s="2"/>
    </row>
    <row r="17" spans="1:6" ht="14.5">
      <c r="A17" s="8">
        <v>1</v>
      </c>
      <c r="B17" s="7" t="str">
        <f>المدخلات!$F$5</f>
        <v>5:20–6:30 م</v>
      </c>
      <c r="C17" s="7">
        <v>5</v>
      </c>
      <c r="D17" s="7" t="s">
        <v>594</v>
      </c>
      <c r="E17" s="7" t="s">
        <v>371</v>
      </c>
      <c r="F17" s="2"/>
    </row>
    <row r="18" spans="1:6" ht="14.5">
      <c r="A18" s="8">
        <v>1</v>
      </c>
      <c r="B18" s="7" t="str">
        <f>المدخلات!$F$5</f>
        <v>5:20–6:30 م</v>
      </c>
      <c r="C18" s="7">
        <v>6</v>
      </c>
      <c r="D18" s="7" t="s">
        <v>594</v>
      </c>
      <c r="E18" s="7" t="s">
        <v>372</v>
      </c>
      <c r="F18" s="2"/>
    </row>
    <row r="19" spans="1:6" ht="14.5">
      <c r="A19" s="8">
        <v>1</v>
      </c>
      <c r="B19" s="7" t="str">
        <f>المدخلات!$F$5</f>
        <v>5:20–6:30 م</v>
      </c>
      <c r="C19" s="7">
        <v>7</v>
      </c>
      <c r="D19" s="7" t="s">
        <v>594</v>
      </c>
      <c r="E19" s="7" t="s">
        <v>330</v>
      </c>
      <c r="F19" s="2"/>
    </row>
    <row r="20" spans="1:6" ht="14.5">
      <c r="A20" s="8">
        <v>1</v>
      </c>
      <c r="B20" s="7" t="str">
        <f>المدخلات!$F$6</f>
        <v>6:40–7:50 م</v>
      </c>
      <c r="C20" s="7">
        <v>5</v>
      </c>
      <c r="D20" s="7" t="s">
        <v>594</v>
      </c>
      <c r="E20" s="7" t="s">
        <v>384</v>
      </c>
      <c r="F20" s="2"/>
    </row>
    <row r="21" spans="1:6" ht="14.5">
      <c r="A21" s="8">
        <v>1</v>
      </c>
      <c r="B21" s="7" t="str">
        <f>المدخلات!$F$6</f>
        <v>6:40–7:50 م</v>
      </c>
      <c r="C21" s="7">
        <v>6</v>
      </c>
      <c r="D21" s="7" t="s">
        <v>594</v>
      </c>
      <c r="E21" s="7" t="s">
        <v>383</v>
      </c>
      <c r="F21" s="2"/>
    </row>
    <row r="22" spans="1:6" ht="14.5">
      <c r="A22" s="8">
        <v>1</v>
      </c>
      <c r="B22" s="7" t="str">
        <f>المدخلات!$F$6</f>
        <v>6:40–7:50 م</v>
      </c>
      <c r="C22" s="7">
        <v>7</v>
      </c>
      <c r="D22" s="7" t="s">
        <v>594</v>
      </c>
      <c r="E22" s="7" t="s">
        <v>370</v>
      </c>
      <c r="F22" s="2"/>
    </row>
    <row r="23" spans="1:6" ht="14.5">
      <c r="A23" s="8">
        <v>1</v>
      </c>
      <c r="B23" s="7" t="str">
        <f>المدخلات!$F$4</f>
        <v>4:00–5:10 م</v>
      </c>
      <c r="C23" s="7">
        <v>8</v>
      </c>
      <c r="D23" s="7" t="s">
        <v>595</v>
      </c>
      <c r="E23" s="7" t="s">
        <v>501</v>
      </c>
      <c r="F23" s="2"/>
    </row>
    <row r="24" spans="1:6" ht="14.5">
      <c r="A24" s="8">
        <v>1</v>
      </c>
      <c r="B24" s="7" t="str">
        <f>المدخلات!$F$4</f>
        <v>4:00–5:10 م</v>
      </c>
      <c r="C24" s="7">
        <v>9</v>
      </c>
      <c r="D24" s="7" t="s">
        <v>595</v>
      </c>
      <c r="E24" s="7" t="s">
        <v>488</v>
      </c>
      <c r="F24" s="2"/>
    </row>
    <row r="25" spans="1:6" ht="14.5">
      <c r="A25" s="8">
        <v>1</v>
      </c>
      <c r="B25" s="7" t="str">
        <f>المدخلات!$F$4</f>
        <v>4:00–5:10 م</v>
      </c>
      <c r="C25" s="7">
        <v>10</v>
      </c>
      <c r="D25" s="7" t="s">
        <v>595</v>
      </c>
      <c r="E25" s="7" t="s">
        <v>467</v>
      </c>
      <c r="F25" s="2"/>
    </row>
    <row r="26" spans="1:6" ht="14.5">
      <c r="A26" s="8">
        <v>1</v>
      </c>
      <c r="B26" s="7" t="str">
        <f>المدخلات!$F$5</f>
        <v>5:20–6:30 م</v>
      </c>
      <c r="C26" s="7">
        <v>8</v>
      </c>
      <c r="D26" s="7" t="s">
        <v>595</v>
      </c>
      <c r="E26" s="7" t="s">
        <v>556</v>
      </c>
      <c r="F26" s="2"/>
    </row>
    <row r="27" spans="1:6" ht="14.5">
      <c r="A27" s="8">
        <v>1</v>
      </c>
      <c r="B27" s="7" t="str">
        <f>المدخلات!$F$5</f>
        <v>5:20–6:30 م</v>
      </c>
      <c r="C27" s="7">
        <v>9</v>
      </c>
      <c r="D27" s="7" t="s">
        <v>595</v>
      </c>
      <c r="E27" s="7" t="s">
        <v>521</v>
      </c>
      <c r="F27" s="2"/>
    </row>
    <row r="28" spans="1:6" ht="14.5">
      <c r="A28" s="8">
        <v>1</v>
      </c>
      <c r="B28" s="7" t="str">
        <f>المدخلات!$F$5</f>
        <v>5:20–6:30 م</v>
      </c>
      <c r="C28" s="7">
        <v>10</v>
      </c>
      <c r="D28" s="7" t="s">
        <v>595</v>
      </c>
      <c r="E28" s="7" t="s">
        <v>511</v>
      </c>
      <c r="F28" s="2"/>
    </row>
    <row r="29" spans="1:6" ht="14.5">
      <c r="A29" s="8">
        <v>1</v>
      </c>
      <c r="B29" s="7" t="str">
        <f>المدخلات!$F$6</f>
        <v>6:40–7:50 م</v>
      </c>
      <c r="C29" s="7">
        <v>8</v>
      </c>
      <c r="D29" s="7" t="s">
        <v>595</v>
      </c>
      <c r="E29" s="7" t="s">
        <v>557</v>
      </c>
      <c r="F29" s="2"/>
    </row>
    <row r="30" spans="1:6" ht="14.5">
      <c r="A30" s="8">
        <v>1</v>
      </c>
      <c r="B30" s="7" t="str">
        <f>المدخلات!$F$6</f>
        <v>6:40–7:50 م</v>
      </c>
      <c r="C30" s="7">
        <v>9</v>
      </c>
      <c r="D30" s="7" t="s">
        <v>595</v>
      </c>
      <c r="E30" s="7" t="s">
        <v>554</v>
      </c>
      <c r="F30" s="2"/>
    </row>
    <row r="31" spans="1:6" ht="14.5">
      <c r="A31" s="8">
        <v>1</v>
      </c>
      <c r="B31" s="7" t="str">
        <f>المدخلات!$F$6</f>
        <v>6:40–7:50 م</v>
      </c>
      <c r="C31" s="7">
        <v>10</v>
      </c>
      <c r="D31" s="7" t="s">
        <v>595</v>
      </c>
      <c r="E31" s="7" t="s">
        <v>555</v>
      </c>
      <c r="F31" s="2"/>
    </row>
    <row r="32" spans="1:6" ht="14.5">
      <c r="A32" s="8">
        <v>2</v>
      </c>
      <c r="B32" s="7" t="str">
        <f>المدخلات!$F$4</f>
        <v>4:00–5:10 م</v>
      </c>
      <c r="C32" s="7">
        <v>1</v>
      </c>
      <c r="D32" s="7" t="s">
        <v>593</v>
      </c>
      <c r="E32" s="7" t="s">
        <v>1108</v>
      </c>
      <c r="F32" s="2"/>
    </row>
    <row r="33" spans="1:6" ht="14.5">
      <c r="A33" s="8">
        <v>2</v>
      </c>
      <c r="B33" s="7" t="str">
        <f>المدخلات!$F$4</f>
        <v>4:00–5:10 م</v>
      </c>
      <c r="C33" s="7">
        <v>2</v>
      </c>
      <c r="D33" s="7" t="s">
        <v>593</v>
      </c>
      <c r="E33" s="7" t="s">
        <v>1092</v>
      </c>
      <c r="F33" s="2"/>
    </row>
    <row r="34" spans="1:6" ht="14.5">
      <c r="A34" s="8">
        <v>2</v>
      </c>
      <c r="B34" s="7" t="str">
        <f>المدخلات!$F$4</f>
        <v>4:00–5:10 م</v>
      </c>
      <c r="C34" s="7">
        <v>3</v>
      </c>
      <c r="D34" s="7" t="s">
        <v>593</v>
      </c>
      <c r="E34" s="7" t="s">
        <v>189</v>
      </c>
      <c r="F34" s="2"/>
    </row>
    <row r="35" spans="1:6" ht="14.5">
      <c r="A35" s="8">
        <v>2</v>
      </c>
      <c r="B35" s="7" t="str">
        <f>المدخلات!$F$4</f>
        <v>4:00–5:10 م</v>
      </c>
      <c r="C35" s="7">
        <v>4</v>
      </c>
      <c r="D35" s="7" t="s">
        <v>593</v>
      </c>
      <c r="E35" s="7" t="s">
        <v>1097</v>
      </c>
      <c r="F35" s="2"/>
    </row>
    <row r="36" spans="1:6" ht="14.5">
      <c r="A36" s="8">
        <v>2</v>
      </c>
      <c r="B36" s="7" t="str">
        <f>المدخلات!$F$5</f>
        <v>5:20–6:30 م</v>
      </c>
      <c r="C36" s="7">
        <v>1</v>
      </c>
      <c r="D36" s="7" t="s">
        <v>593</v>
      </c>
      <c r="E36" s="7" t="s">
        <v>1095</v>
      </c>
      <c r="F36" s="2"/>
    </row>
    <row r="37" spans="1:6" ht="14.5">
      <c r="A37" s="8">
        <v>2</v>
      </c>
      <c r="B37" s="7" t="str">
        <f>المدخلات!$F$5</f>
        <v>5:20–6:30 م</v>
      </c>
      <c r="C37" s="7">
        <v>2</v>
      </c>
      <c r="D37" s="7" t="s">
        <v>593</v>
      </c>
      <c r="E37" s="7" t="s">
        <v>1096</v>
      </c>
      <c r="F37" s="2"/>
    </row>
    <row r="38" spans="1:6" ht="14.5">
      <c r="A38" s="8">
        <v>2</v>
      </c>
      <c r="B38" s="7" t="str">
        <f>المدخلات!$F$5</f>
        <v>5:20–6:30 م</v>
      </c>
      <c r="C38" s="7">
        <v>3</v>
      </c>
      <c r="D38" s="7" t="s">
        <v>593</v>
      </c>
      <c r="E38" s="7" t="s">
        <v>1098</v>
      </c>
      <c r="F38" s="2"/>
    </row>
    <row r="39" spans="1:6" ht="14.5">
      <c r="A39" s="8">
        <v>2</v>
      </c>
      <c r="B39" s="7" t="str">
        <f>المدخلات!$F$5</f>
        <v>5:20–6:30 م</v>
      </c>
      <c r="C39" s="7">
        <v>4</v>
      </c>
      <c r="D39" s="7" t="s">
        <v>593</v>
      </c>
      <c r="E39" s="7" t="s">
        <v>1099</v>
      </c>
      <c r="F39" s="2"/>
    </row>
    <row r="40" spans="1:6" ht="14.5">
      <c r="A40" s="8">
        <v>2</v>
      </c>
      <c r="B40" s="7" t="str">
        <f>المدخلات!$F$6</f>
        <v>6:40–7:50 م</v>
      </c>
      <c r="C40" s="7">
        <v>1</v>
      </c>
      <c r="D40" s="7" t="s">
        <v>593</v>
      </c>
      <c r="E40" s="7" t="s">
        <v>1061</v>
      </c>
      <c r="F40" s="2"/>
    </row>
    <row r="41" spans="1:6" ht="14.5">
      <c r="A41" s="8">
        <v>2</v>
      </c>
      <c r="B41" s="7" t="str">
        <f>المدخلات!$F$6</f>
        <v>6:40–7:50 م</v>
      </c>
      <c r="C41" s="7">
        <v>2</v>
      </c>
      <c r="D41" s="7" t="s">
        <v>593</v>
      </c>
      <c r="E41" s="7" t="s">
        <v>46</v>
      </c>
      <c r="F41" s="2"/>
    </row>
    <row r="42" spans="1:6" ht="14.5">
      <c r="A42" s="8">
        <v>2</v>
      </c>
      <c r="B42" s="7" t="str">
        <f>المدخلات!$F$4</f>
        <v>4:00–5:10 م</v>
      </c>
      <c r="C42" s="7">
        <v>5</v>
      </c>
      <c r="D42" s="7" t="s">
        <v>594</v>
      </c>
      <c r="E42" s="7" t="s">
        <v>1197</v>
      </c>
      <c r="F42" s="2"/>
    </row>
    <row r="43" spans="1:6" ht="14.5">
      <c r="A43" s="8">
        <v>2</v>
      </c>
      <c r="B43" s="7" t="str">
        <f>المدخلات!$F$4</f>
        <v>4:00–5:10 م</v>
      </c>
      <c r="C43" s="7">
        <v>6</v>
      </c>
      <c r="D43" s="7" t="s">
        <v>594</v>
      </c>
      <c r="E43" s="7" t="s">
        <v>1195</v>
      </c>
      <c r="F43" s="2"/>
    </row>
    <row r="44" spans="1:6" ht="14.5">
      <c r="A44" s="8">
        <v>2</v>
      </c>
      <c r="B44" s="7" t="str">
        <f>المدخلات!$F$4</f>
        <v>4:00–5:10 م</v>
      </c>
      <c r="C44" s="7">
        <v>7</v>
      </c>
      <c r="D44" s="7" t="s">
        <v>594</v>
      </c>
      <c r="E44" s="7" t="s">
        <v>385</v>
      </c>
      <c r="F44" s="2"/>
    </row>
    <row r="45" spans="1:6" ht="14.5">
      <c r="A45" s="8">
        <v>2</v>
      </c>
      <c r="B45" s="7" t="str">
        <f>المدخلات!$F$5</f>
        <v>5:20–6:30 م</v>
      </c>
      <c r="C45" s="7">
        <v>5</v>
      </c>
      <c r="D45" s="7" t="s">
        <v>594</v>
      </c>
      <c r="E45" s="7" t="s">
        <v>273</v>
      </c>
      <c r="F45" s="2"/>
    </row>
    <row r="46" spans="1:6" ht="14.5">
      <c r="A46" s="8">
        <v>2</v>
      </c>
      <c r="B46" s="7" t="str">
        <f>المدخلات!$F$5</f>
        <v>5:20–6:30 م</v>
      </c>
      <c r="C46" s="7">
        <v>6</v>
      </c>
      <c r="D46" s="7" t="s">
        <v>594</v>
      </c>
      <c r="E46" s="7" t="s">
        <v>1196</v>
      </c>
      <c r="F46" s="2"/>
    </row>
    <row r="47" spans="1:6" ht="14.5">
      <c r="A47" s="8">
        <v>2</v>
      </c>
      <c r="B47" s="7" t="str">
        <f>المدخلات!$F$5</f>
        <v>5:20–6:30 م</v>
      </c>
      <c r="C47" s="7">
        <v>7</v>
      </c>
      <c r="D47" s="7" t="s">
        <v>594</v>
      </c>
      <c r="E47" s="7" t="s">
        <v>1205</v>
      </c>
      <c r="F47" s="2"/>
    </row>
    <row r="48" spans="1:6" ht="14.5">
      <c r="A48" s="8">
        <v>2</v>
      </c>
      <c r="B48" s="7" t="str">
        <f>المدخلات!$F$6</f>
        <v>6:40–7:50 م</v>
      </c>
      <c r="C48" s="7">
        <v>5</v>
      </c>
      <c r="D48" s="7" t="s">
        <v>594</v>
      </c>
      <c r="E48" s="7" t="s">
        <v>1225</v>
      </c>
      <c r="F48" s="2"/>
    </row>
    <row r="49" spans="1:6" ht="14.5">
      <c r="A49" s="8">
        <v>2</v>
      </c>
      <c r="B49" s="7" t="str">
        <f>المدخلات!$F$6</f>
        <v>6:40–7:50 م</v>
      </c>
      <c r="C49" s="7">
        <v>6</v>
      </c>
      <c r="D49" s="7" t="s">
        <v>594</v>
      </c>
      <c r="E49" s="7" t="s">
        <v>1203</v>
      </c>
      <c r="F49" s="2"/>
    </row>
    <row r="50" spans="1:6" ht="14.5">
      <c r="A50" s="8">
        <v>2</v>
      </c>
      <c r="B50" s="7" t="str">
        <f>المدخلات!$F$6</f>
        <v>6:40–7:50 م</v>
      </c>
      <c r="C50" s="7">
        <v>7</v>
      </c>
      <c r="D50" s="7" t="s">
        <v>594</v>
      </c>
      <c r="E50" s="7" t="s">
        <v>1204</v>
      </c>
      <c r="F50" s="2"/>
    </row>
    <row r="51" spans="1:6" ht="14.5">
      <c r="A51" s="8">
        <v>2</v>
      </c>
      <c r="B51" s="7" t="str">
        <f>المدخلات!$F$4</f>
        <v>4:00–5:10 م</v>
      </c>
      <c r="C51" s="7">
        <v>8</v>
      </c>
      <c r="D51" s="7" t="s">
        <v>595</v>
      </c>
      <c r="E51" s="7" t="s">
        <v>1261</v>
      </c>
      <c r="F51" s="2"/>
    </row>
    <row r="52" spans="1:6" ht="14.5">
      <c r="A52" s="8">
        <v>2</v>
      </c>
      <c r="B52" s="7" t="str">
        <f>المدخلات!$F$4</f>
        <v>4:00–5:10 م</v>
      </c>
      <c r="C52" s="7">
        <v>9</v>
      </c>
      <c r="D52" s="7" t="s">
        <v>595</v>
      </c>
      <c r="E52" s="7" t="s">
        <v>1250</v>
      </c>
      <c r="F52" s="2"/>
    </row>
    <row r="53" spans="1:6" ht="14.5">
      <c r="A53" s="8">
        <v>2</v>
      </c>
      <c r="B53" s="7" t="str">
        <f>المدخلات!$F$4</f>
        <v>4:00–5:10 م</v>
      </c>
      <c r="C53" s="7">
        <v>10</v>
      </c>
      <c r="D53" s="7" t="s">
        <v>595</v>
      </c>
      <c r="E53" s="7" t="s">
        <v>558</v>
      </c>
      <c r="F53" s="2"/>
    </row>
    <row r="54" spans="1:6" ht="14.5">
      <c r="A54" s="8">
        <v>2</v>
      </c>
      <c r="B54" s="7" t="str">
        <f>المدخلات!$F$5</f>
        <v>5:20–6:30 م</v>
      </c>
      <c r="C54" s="7">
        <v>8</v>
      </c>
      <c r="D54" s="7" t="s">
        <v>595</v>
      </c>
      <c r="E54" s="7" t="s">
        <v>456</v>
      </c>
      <c r="F54" s="2"/>
    </row>
    <row r="55" spans="1:6" ht="14.5">
      <c r="A55" s="8">
        <v>2</v>
      </c>
      <c r="B55" s="7" t="str">
        <f>المدخلات!$F$5</f>
        <v>5:20–6:30 م</v>
      </c>
      <c r="C55" s="7">
        <v>9</v>
      </c>
      <c r="D55" s="7" t="s">
        <v>595</v>
      </c>
      <c r="E55" s="7" t="s">
        <v>1262</v>
      </c>
      <c r="F55" s="2"/>
    </row>
    <row r="56" spans="1:6" ht="14.5">
      <c r="A56" s="8">
        <v>2</v>
      </c>
      <c r="B56" s="7" t="str">
        <f>المدخلات!$F$5</f>
        <v>5:20–6:30 م</v>
      </c>
      <c r="C56" s="7">
        <v>10</v>
      </c>
      <c r="D56" s="7" t="s">
        <v>595</v>
      </c>
      <c r="E56" s="7" t="s">
        <v>1263</v>
      </c>
      <c r="F56" s="2"/>
    </row>
    <row r="57" spans="1:6" ht="14.5">
      <c r="A57" s="8">
        <v>2</v>
      </c>
      <c r="B57" s="7" t="str">
        <f>المدخلات!$F$6</f>
        <v>6:40–7:50 م</v>
      </c>
      <c r="C57" s="7">
        <v>8</v>
      </c>
      <c r="D57" s="7" t="s">
        <v>595</v>
      </c>
      <c r="E57" s="7" t="s">
        <v>1249</v>
      </c>
      <c r="F57" s="2"/>
    </row>
    <row r="58" spans="1:6" ht="14.5">
      <c r="A58" s="8">
        <v>2</v>
      </c>
      <c r="B58" s="7" t="str">
        <f>المدخلات!$F$6</f>
        <v>6:40–7:50 م</v>
      </c>
      <c r="C58" s="7">
        <v>9</v>
      </c>
      <c r="D58" s="7" t="s">
        <v>595</v>
      </c>
      <c r="E58" s="7" t="s">
        <v>1248</v>
      </c>
      <c r="F58" s="2"/>
    </row>
    <row r="59" spans="1:6" ht="14.5">
      <c r="A59" s="8">
        <v>2</v>
      </c>
      <c r="B59" s="7" t="str">
        <f>المدخلات!$F$6</f>
        <v>6:40–7:50 م</v>
      </c>
      <c r="C59" s="7">
        <v>10</v>
      </c>
      <c r="D59" s="7" t="s">
        <v>595</v>
      </c>
      <c r="E59" s="7" t="s">
        <v>1264</v>
      </c>
      <c r="F59" s="2"/>
    </row>
    <row r="60" spans="1:6" ht="14.5">
      <c r="A60" s="8">
        <v>3</v>
      </c>
      <c r="B60" s="7" t="str">
        <f>المدخلات!$F$4</f>
        <v>4:00–5:10 م</v>
      </c>
      <c r="C60" s="7">
        <v>1</v>
      </c>
      <c r="D60" s="7" t="s">
        <v>593</v>
      </c>
      <c r="E60" s="7" t="s">
        <v>57</v>
      </c>
      <c r="F60" s="2"/>
    </row>
    <row r="61" spans="1:6" ht="14.5">
      <c r="A61" s="8">
        <v>3</v>
      </c>
      <c r="B61" s="7" t="str">
        <f>المدخلات!$F$4</f>
        <v>4:00–5:10 م</v>
      </c>
      <c r="C61" s="7">
        <v>2</v>
      </c>
      <c r="D61" s="7" t="s">
        <v>593</v>
      </c>
      <c r="E61" s="7" t="s">
        <v>841</v>
      </c>
      <c r="F61" s="2"/>
    </row>
    <row r="62" spans="1:6" ht="14.5">
      <c r="A62" s="8">
        <v>3</v>
      </c>
      <c r="B62" s="7" t="str">
        <f>المدخلات!$F$4</f>
        <v>4:00–5:10 م</v>
      </c>
      <c r="C62" s="7">
        <v>3</v>
      </c>
      <c r="D62" s="7" t="s">
        <v>593</v>
      </c>
      <c r="E62" s="7" t="s">
        <v>105</v>
      </c>
      <c r="F62" s="2"/>
    </row>
    <row r="63" spans="1:6" ht="14.5">
      <c r="A63" s="8">
        <v>3</v>
      </c>
      <c r="B63" s="7" t="str">
        <f>المدخلات!$F$4</f>
        <v>4:00–5:10 م</v>
      </c>
      <c r="C63" s="7">
        <v>4</v>
      </c>
      <c r="D63" s="7" t="s">
        <v>593</v>
      </c>
      <c r="E63" s="7" t="s">
        <v>70</v>
      </c>
      <c r="F63" s="2"/>
    </row>
    <row r="64" spans="1:6" ht="14.5">
      <c r="A64" s="8">
        <v>3</v>
      </c>
      <c r="B64" s="7" t="str">
        <f>المدخلات!$F$5</f>
        <v>5:20–6:30 م</v>
      </c>
      <c r="C64" s="7">
        <v>1</v>
      </c>
      <c r="D64" s="7" t="s">
        <v>593</v>
      </c>
      <c r="E64" s="7" t="s">
        <v>49</v>
      </c>
      <c r="F64" s="2"/>
    </row>
    <row r="65" spans="1:6" ht="14.5">
      <c r="A65" s="8">
        <v>3</v>
      </c>
      <c r="B65" s="7" t="str">
        <f>المدخلات!$F$5</f>
        <v>5:20–6:30 م</v>
      </c>
      <c r="C65" s="7">
        <v>2</v>
      </c>
      <c r="D65" s="7" t="s">
        <v>593</v>
      </c>
      <c r="E65" s="7" t="s">
        <v>41</v>
      </c>
      <c r="F65" s="2"/>
    </row>
    <row r="66" spans="1:6" ht="14.5">
      <c r="A66" s="8">
        <v>3</v>
      </c>
      <c r="B66" s="7" t="str">
        <f>المدخلات!$F$5</f>
        <v>5:20–6:30 م</v>
      </c>
      <c r="C66" s="7">
        <v>3</v>
      </c>
      <c r="D66" s="7" t="s">
        <v>593</v>
      </c>
      <c r="E66" s="7" t="s">
        <v>166</v>
      </c>
      <c r="F66" s="2"/>
    </row>
    <row r="67" spans="1:6" ht="14.5">
      <c r="A67" s="8">
        <v>3</v>
      </c>
      <c r="B67" s="7" t="str">
        <f>المدخلات!$F$5</f>
        <v>5:20–6:30 م</v>
      </c>
      <c r="C67" s="7">
        <v>4</v>
      </c>
      <c r="D67" s="7" t="s">
        <v>593</v>
      </c>
      <c r="E67" s="7" t="s">
        <v>107</v>
      </c>
      <c r="F67" s="2"/>
    </row>
    <row r="68" spans="1:6" ht="14.5">
      <c r="A68" s="8">
        <v>3</v>
      </c>
      <c r="B68" s="7" t="str">
        <f>المدخلات!$F$6</f>
        <v>6:40–7:50 م</v>
      </c>
      <c r="C68" s="7">
        <v>1</v>
      </c>
      <c r="D68" s="7" t="s">
        <v>593</v>
      </c>
      <c r="E68" s="7" t="s">
        <v>167</v>
      </c>
      <c r="F68" s="2"/>
    </row>
    <row r="69" spans="1:6" ht="14.5">
      <c r="A69" s="8">
        <v>3</v>
      </c>
      <c r="B69" s="7" t="str">
        <f>المدخلات!$F$6</f>
        <v>6:40–7:50 م</v>
      </c>
      <c r="C69" s="7">
        <v>2</v>
      </c>
      <c r="D69" s="7" t="s">
        <v>593</v>
      </c>
      <c r="E69" s="7" t="s">
        <v>106</v>
      </c>
      <c r="F69" s="2"/>
    </row>
    <row r="70" spans="1:6" ht="14.5">
      <c r="A70" s="8">
        <v>3</v>
      </c>
      <c r="B70" s="7" t="str">
        <f>المدخلات!$F$4</f>
        <v>4:00–5:10 م</v>
      </c>
      <c r="C70" s="7">
        <v>5</v>
      </c>
      <c r="D70" s="7" t="s">
        <v>594</v>
      </c>
      <c r="E70" s="7" t="s">
        <v>285</v>
      </c>
      <c r="F70" s="2"/>
    </row>
    <row r="71" spans="1:6" ht="14.5">
      <c r="A71" s="8">
        <v>3</v>
      </c>
      <c r="B71" s="7" t="str">
        <f>المدخلات!$F$4</f>
        <v>4:00–5:10 م</v>
      </c>
      <c r="C71" s="7">
        <v>6</v>
      </c>
      <c r="D71" s="7" t="s">
        <v>594</v>
      </c>
      <c r="E71" s="7" t="s">
        <v>274</v>
      </c>
      <c r="F71" s="2"/>
    </row>
    <row r="72" spans="1:6" ht="14.5">
      <c r="A72" s="8">
        <v>3</v>
      </c>
      <c r="B72" s="7" t="str">
        <f>المدخلات!$F$4</f>
        <v>4:00–5:10 م</v>
      </c>
      <c r="C72" s="7">
        <v>7</v>
      </c>
      <c r="D72" s="7" t="s">
        <v>594</v>
      </c>
      <c r="E72" s="7" t="s">
        <v>294</v>
      </c>
      <c r="F72" s="2"/>
    </row>
    <row r="73" spans="1:6" ht="14.5">
      <c r="A73" s="8">
        <v>3</v>
      </c>
      <c r="B73" s="7" t="str">
        <f>المدخلات!$F$5</f>
        <v>5:20–6:30 م</v>
      </c>
      <c r="C73" s="7">
        <v>5</v>
      </c>
      <c r="D73" s="7" t="s">
        <v>594</v>
      </c>
      <c r="E73" s="7" t="s">
        <v>295</v>
      </c>
      <c r="F73" s="2"/>
    </row>
    <row r="74" spans="1:6" ht="14.5">
      <c r="A74" s="8">
        <v>3</v>
      </c>
      <c r="B74" s="7" t="str">
        <f>المدخلات!$F$5</f>
        <v>5:20–6:30 م</v>
      </c>
      <c r="C74" s="7">
        <v>6</v>
      </c>
      <c r="D74" s="7" t="s">
        <v>594</v>
      </c>
      <c r="E74" s="7" t="s">
        <v>332</v>
      </c>
      <c r="F74" s="2"/>
    </row>
    <row r="75" spans="1:6" ht="14.5">
      <c r="A75" s="8">
        <v>3</v>
      </c>
      <c r="B75" s="7" t="str">
        <f>المدخلات!$F$5</f>
        <v>5:20–6:30 م</v>
      </c>
      <c r="C75" s="7">
        <v>7</v>
      </c>
      <c r="D75" s="7" t="s">
        <v>594</v>
      </c>
      <c r="E75" s="7" t="s">
        <v>615</v>
      </c>
      <c r="F75" s="2"/>
    </row>
    <row r="76" spans="1:6" ht="14.5">
      <c r="A76" s="8">
        <v>3</v>
      </c>
      <c r="B76" s="7" t="str">
        <f>المدخلات!$F$6</f>
        <v>6:40–7:50 م</v>
      </c>
      <c r="C76" s="7">
        <v>5</v>
      </c>
      <c r="D76" s="7" t="s">
        <v>594</v>
      </c>
      <c r="E76" s="7" t="s">
        <v>267</v>
      </c>
      <c r="F76" s="2"/>
    </row>
    <row r="77" spans="1:6" ht="14.5">
      <c r="A77" s="8">
        <v>3</v>
      </c>
      <c r="B77" s="7" t="str">
        <f>المدخلات!$F$6</f>
        <v>6:40–7:50 م</v>
      </c>
      <c r="C77" s="7">
        <v>6</v>
      </c>
      <c r="D77" s="7" t="s">
        <v>594</v>
      </c>
      <c r="E77" s="7" t="s">
        <v>348</v>
      </c>
      <c r="F77" s="2"/>
    </row>
    <row r="78" spans="1:6" ht="14.5">
      <c r="A78" s="8">
        <v>3</v>
      </c>
      <c r="B78" s="7" t="str">
        <f>المدخلات!$F$6</f>
        <v>6:40–7:50 م</v>
      </c>
      <c r="C78" s="7">
        <v>7</v>
      </c>
      <c r="D78" s="7" t="s">
        <v>594</v>
      </c>
      <c r="E78" s="7" t="s">
        <v>1265</v>
      </c>
      <c r="F78" s="2"/>
    </row>
    <row r="79" spans="1:6" ht="14.5">
      <c r="A79" s="8">
        <v>3</v>
      </c>
      <c r="B79" s="7" t="str">
        <f>المدخلات!$F$4</f>
        <v>4:00–5:10 م</v>
      </c>
      <c r="C79" s="7">
        <v>8</v>
      </c>
      <c r="D79" s="7" t="s">
        <v>595</v>
      </c>
      <c r="E79" s="7" t="s">
        <v>469</v>
      </c>
      <c r="F79" s="2"/>
    </row>
    <row r="80" spans="1:6" ht="14.5">
      <c r="A80" s="8">
        <v>3</v>
      </c>
      <c r="B80" s="7" t="str">
        <f>المدخلات!$F$4</f>
        <v>4:00–5:10 م</v>
      </c>
      <c r="C80" s="7">
        <v>9</v>
      </c>
      <c r="D80" s="7" t="s">
        <v>595</v>
      </c>
      <c r="E80" s="7" t="s">
        <v>457</v>
      </c>
      <c r="F80" s="2"/>
    </row>
    <row r="81" spans="1:6" ht="14.5">
      <c r="A81" s="8">
        <v>3</v>
      </c>
      <c r="B81" s="7" t="str">
        <f>المدخلات!$F$4</f>
        <v>4:00–5:10 م</v>
      </c>
      <c r="C81" s="7">
        <v>10</v>
      </c>
      <c r="D81" s="7" t="s">
        <v>595</v>
      </c>
      <c r="E81" s="7" t="s">
        <v>490</v>
      </c>
      <c r="F81" s="2"/>
    </row>
    <row r="82" spans="1:6" ht="14.5">
      <c r="A82" s="8">
        <v>3</v>
      </c>
      <c r="B82" s="7" t="str">
        <f>المدخلات!$F$5</f>
        <v>5:20–6:30 م</v>
      </c>
      <c r="C82" s="7">
        <v>8</v>
      </c>
      <c r="D82" s="7" t="s">
        <v>595</v>
      </c>
      <c r="E82" s="7" t="s">
        <v>503</v>
      </c>
      <c r="F82" s="2"/>
    </row>
    <row r="83" spans="1:6" ht="14.5">
      <c r="A83" s="8">
        <v>3</v>
      </c>
      <c r="B83" s="7" t="str">
        <f>المدخلات!$F$5</f>
        <v>5:20–6:30 م</v>
      </c>
      <c r="C83" s="7">
        <v>9</v>
      </c>
      <c r="D83" s="7" t="s">
        <v>595</v>
      </c>
      <c r="E83" s="7" t="s">
        <v>513</v>
      </c>
      <c r="F83" s="2"/>
    </row>
    <row r="84" spans="1:6" ht="14.5">
      <c r="A84" s="8">
        <v>3</v>
      </c>
      <c r="B84" s="7" t="str">
        <f>المدخلات!$F$5</f>
        <v>5:20–6:30 م</v>
      </c>
      <c r="C84" s="7">
        <v>10</v>
      </c>
      <c r="D84" s="7" t="s">
        <v>595</v>
      </c>
      <c r="E84" s="7" t="s">
        <v>782</v>
      </c>
      <c r="F84" s="2"/>
    </row>
    <row r="85" spans="1:6" ht="14.5">
      <c r="A85" s="8">
        <v>3</v>
      </c>
      <c r="B85" s="7" t="str">
        <f>المدخلات!$F$6</f>
        <v>6:40–7:50 م</v>
      </c>
      <c r="C85" s="7">
        <v>8</v>
      </c>
      <c r="D85" s="7" t="s">
        <v>595</v>
      </c>
      <c r="E85" s="7" t="s">
        <v>450</v>
      </c>
      <c r="F85" s="2"/>
    </row>
    <row r="86" spans="1:6" ht="14.5">
      <c r="A86" s="8">
        <v>3</v>
      </c>
      <c r="B86" s="7" t="str">
        <f>المدخلات!$F$6</f>
        <v>6:40–7:50 م</v>
      </c>
      <c r="C86" s="7">
        <v>9</v>
      </c>
      <c r="D86" s="7" t="s">
        <v>595</v>
      </c>
      <c r="E86" s="7" t="s">
        <v>539</v>
      </c>
      <c r="F86" s="2"/>
    </row>
    <row r="87" spans="1:6" ht="14.5">
      <c r="A87" s="8">
        <v>3</v>
      </c>
      <c r="B87" s="7" t="str">
        <f>المدخلات!$F$6</f>
        <v>6:40–7:50 م</v>
      </c>
      <c r="C87" s="7">
        <v>10</v>
      </c>
      <c r="D87" s="7" t="s">
        <v>595</v>
      </c>
      <c r="E87" s="7" t="s">
        <v>1266</v>
      </c>
      <c r="F87" s="2"/>
    </row>
    <row r="88" spans="1:6" ht="14.5">
      <c r="A88" s="8">
        <v>4</v>
      </c>
      <c r="B88" s="7" t="str">
        <f>المدخلات!$F$4</f>
        <v>4:00–5:10 م</v>
      </c>
      <c r="C88" s="7">
        <v>1</v>
      </c>
      <c r="D88" s="7" t="s">
        <v>593</v>
      </c>
      <c r="E88" s="7" t="s">
        <v>37</v>
      </c>
      <c r="F88" s="2"/>
    </row>
    <row r="89" spans="1:6" ht="14.5">
      <c r="A89" s="8">
        <v>4</v>
      </c>
      <c r="B89" s="7" t="str">
        <f>المدخلات!$F$4</f>
        <v>4:00–5:10 م</v>
      </c>
      <c r="C89" s="7">
        <v>2</v>
      </c>
      <c r="D89" s="7" t="s">
        <v>593</v>
      </c>
      <c r="E89" s="7" t="s">
        <v>1058</v>
      </c>
      <c r="F89" s="2"/>
    </row>
    <row r="90" spans="1:6" ht="14.5">
      <c r="A90" s="8">
        <v>4</v>
      </c>
      <c r="B90" s="7" t="str">
        <f>المدخلات!$F$4</f>
        <v>4:00–5:10 م</v>
      </c>
      <c r="C90" s="7">
        <v>3</v>
      </c>
      <c r="D90" s="7" t="s">
        <v>593</v>
      </c>
      <c r="E90" s="7" t="s">
        <v>1056</v>
      </c>
      <c r="F90" s="2"/>
    </row>
    <row r="91" spans="1:6" ht="14.5">
      <c r="A91" s="8">
        <v>4</v>
      </c>
      <c r="B91" s="7" t="str">
        <f>المدخلات!$F$4</f>
        <v>4:00–5:10 م</v>
      </c>
      <c r="C91" s="7">
        <v>4</v>
      </c>
      <c r="D91" s="7" t="s">
        <v>593</v>
      </c>
      <c r="E91" s="7" t="s">
        <v>159</v>
      </c>
      <c r="F91" s="2"/>
    </row>
    <row r="92" spans="1:6" ht="14.5">
      <c r="A92" s="8">
        <v>4</v>
      </c>
      <c r="B92" s="7" t="str">
        <f>المدخلات!$F$5</f>
        <v>5:20–6:30 م</v>
      </c>
      <c r="C92" s="7">
        <v>1</v>
      </c>
      <c r="D92" s="7" t="s">
        <v>593</v>
      </c>
      <c r="E92" s="7" t="s">
        <v>1063</v>
      </c>
      <c r="F92" s="2"/>
    </row>
    <row r="93" spans="1:6" ht="14.5">
      <c r="A93" s="8">
        <v>4</v>
      </c>
      <c r="B93" s="7" t="str">
        <f>المدخلات!$F$5</f>
        <v>5:20–6:30 م</v>
      </c>
      <c r="C93" s="7">
        <v>2</v>
      </c>
      <c r="D93" s="7" t="s">
        <v>593</v>
      </c>
      <c r="E93" s="7" t="s">
        <v>144</v>
      </c>
      <c r="F93" s="2"/>
    </row>
    <row r="94" spans="1:6" ht="14.5">
      <c r="A94" s="8">
        <v>4</v>
      </c>
      <c r="B94" s="7" t="str">
        <f>المدخلات!$F$5</f>
        <v>5:20–6:30 م</v>
      </c>
      <c r="C94" s="7">
        <v>3</v>
      </c>
      <c r="D94" s="7" t="s">
        <v>593</v>
      </c>
      <c r="E94" s="7" t="s">
        <v>191</v>
      </c>
      <c r="F94" s="2"/>
    </row>
    <row r="95" spans="1:6" ht="14.5">
      <c r="A95" s="8">
        <v>4</v>
      </c>
      <c r="B95" s="7" t="str">
        <f>المدخلات!$F$5</f>
        <v>5:20–6:30 م</v>
      </c>
      <c r="C95" s="7">
        <v>4</v>
      </c>
      <c r="D95" s="7" t="s">
        <v>593</v>
      </c>
      <c r="E95" s="7" t="s">
        <v>168</v>
      </c>
      <c r="F95" s="2"/>
    </row>
    <row r="96" spans="1:6" ht="14.5">
      <c r="A96" s="8">
        <v>4</v>
      </c>
      <c r="B96" s="7" t="str">
        <f>المدخلات!$F$6</f>
        <v>6:40–7:50 م</v>
      </c>
      <c r="C96" s="7">
        <v>1</v>
      </c>
      <c r="D96" s="7" t="s">
        <v>593</v>
      </c>
      <c r="E96" s="7" t="s">
        <v>864</v>
      </c>
      <c r="F96" s="2"/>
    </row>
    <row r="97" spans="1:6" ht="14.5">
      <c r="A97" s="8">
        <v>4</v>
      </c>
      <c r="B97" s="7" t="str">
        <f>المدخلات!$F$6</f>
        <v>6:40–7:50 م</v>
      </c>
      <c r="C97" s="7">
        <v>2</v>
      </c>
      <c r="D97" s="7" t="s">
        <v>593</v>
      </c>
      <c r="E97" s="7" t="s">
        <v>30</v>
      </c>
      <c r="F97" s="2"/>
    </row>
    <row r="98" spans="1:6" ht="14.5">
      <c r="A98" s="8">
        <v>4</v>
      </c>
      <c r="B98" s="7" t="str">
        <f>المدخلات!$F$4</f>
        <v>4:00–5:10 م</v>
      </c>
      <c r="C98" s="7">
        <v>5</v>
      </c>
      <c r="D98" s="7" t="s">
        <v>594</v>
      </c>
      <c r="E98" s="7" t="s">
        <v>1177</v>
      </c>
      <c r="F98" s="2"/>
    </row>
    <row r="99" spans="1:6" ht="14.5">
      <c r="A99" s="8">
        <v>4</v>
      </c>
      <c r="B99" s="7" t="str">
        <f>المدخلات!$F$4</f>
        <v>4:00–5:10 م</v>
      </c>
      <c r="C99" s="7">
        <v>6</v>
      </c>
      <c r="D99" s="7" t="s">
        <v>594</v>
      </c>
      <c r="E99" s="7" t="s">
        <v>361</v>
      </c>
      <c r="F99" s="2"/>
    </row>
    <row r="100" spans="1:6" ht="14.5">
      <c r="A100" s="8">
        <v>4</v>
      </c>
      <c r="B100" s="7" t="str">
        <f>المدخلات!$F$4</f>
        <v>4:00–5:10 م</v>
      </c>
      <c r="C100" s="7">
        <v>7</v>
      </c>
      <c r="D100" s="7" t="s">
        <v>594</v>
      </c>
      <c r="E100" s="7" t="s">
        <v>268</v>
      </c>
      <c r="F100" s="2"/>
    </row>
    <row r="101" spans="1:6" ht="14.5">
      <c r="A101" s="8">
        <v>4</v>
      </c>
      <c r="B101" s="7" t="str">
        <f>المدخلات!$F$5</f>
        <v>5:20–6:30 م</v>
      </c>
      <c r="C101" s="7">
        <v>5</v>
      </c>
      <c r="D101" s="7" t="s">
        <v>594</v>
      </c>
      <c r="E101" s="7" t="s">
        <v>373</v>
      </c>
      <c r="F101" s="2"/>
    </row>
    <row r="102" spans="1:6" ht="14.5">
      <c r="A102" s="8">
        <v>4</v>
      </c>
      <c r="B102" s="7" t="str">
        <f>المدخلات!$F$5</f>
        <v>5:20–6:30 م</v>
      </c>
      <c r="C102" s="7">
        <v>6</v>
      </c>
      <c r="D102" s="7" t="s">
        <v>594</v>
      </c>
      <c r="E102" s="7" t="s">
        <v>387</v>
      </c>
      <c r="F102" s="2"/>
    </row>
    <row r="103" spans="1:6" ht="14.5">
      <c r="A103" s="8">
        <v>4</v>
      </c>
      <c r="B103" s="7" t="str">
        <f>المدخلات!$F$5</f>
        <v>5:20–6:30 م</v>
      </c>
      <c r="C103" s="7">
        <v>7</v>
      </c>
      <c r="D103" s="7" t="s">
        <v>594</v>
      </c>
      <c r="E103" s="7" t="s">
        <v>259</v>
      </c>
      <c r="F103" s="2"/>
    </row>
    <row r="104" spans="1:6" ht="14.5">
      <c r="A104" s="8">
        <v>4</v>
      </c>
      <c r="B104" s="7" t="str">
        <f>المدخلات!$F$6</f>
        <v>6:40–7:50 م</v>
      </c>
      <c r="C104" s="7">
        <v>5</v>
      </c>
      <c r="D104" s="7" t="s">
        <v>594</v>
      </c>
      <c r="E104" s="7" t="s">
        <v>1181</v>
      </c>
      <c r="F104" s="2"/>
    </row>
    <row r="105" spans="1:6" ht="14.5">
      <c r="A105" s="8">
        <v>4</v>
      </c>
      <c r="B105" s="7" t="str">
        <f>المدخلات!$F$6</f>
        <v>6:40–7:50 م</v>
      </c>
      <c r="C105" s="7">
        <v>6</v>
      </c>
      <c r="D105" s="7" t="s">
        <v>594</v>
      </c>
      <c r="E105" s="7" t="s">
        <v>1182</v>
      </c>
      <c r="F105" s="2"/>
    </row>
    <row r="106" spans="1:6" ht="14.5">
      <c r="A106" s="8">
        <v>4</v>
      </c>
      <c r="B106" s="7" t="str">
        <f>المدخلات!$F$6</f>
        <v>6:40–7:50 م</v>
      </c>
      <c r="C106" s="7">
        <v>7</v>
      </c>
      <c r="D106" s="7" t="s">
        <v>594</v>
      </c>
      <c r="E106" s="7" t="s">
        <v>1180</v>
      </c>
      <c r="F106" s="2"/>
    </row>
    <row r="107" spans="1:6" ht="14.5">
      <c r="A107" s="8">
        <v>4</v>
      </c>
      <c r="B107" s="7" t="str">
        <f>المدخلات!$F$4</f>
        <v>4:00–5:10 م</v>
      </c>
      <c r="C107" s="7">
        <v>8</v>
      </c>
      <c r="D107" s="7" t="s">
        <v>595</v>
      </c>
      <c r="E107" s="7" t="s">
        <v>1267</v>
      </c>
      <c r="F107" s="2"/>
    </row>
    <row r="108" spans="1:6" ht="14.5">
      <c r="A108" s="8">
        <v>4</v>
      </c>
      <c r="B108" s="7" t="str">
        <f>المدخلات!$F$4</f>
        <v>4:00–5:10 م</v>
      </c>
      <c r="C108" s="7">
        <v>9</v>
      </c>
      <c r="D108" s="7" t="s">
        <v>595</v>
      </c>
      <c r="E108" s="7" t="s">
        <v>546</v>
      </c>
      <c r="F108" s="2"/>
    </row>
    <row r="109" spans="1:6" ht="14.5">
      <c r="A109" s="8">
        <v>4</v>
      </c>
      <c r="B109" s="7" t="str">
        <f>المدخلات!$F$4</f>
        <v>4:00–5:10 م</v>
      </c>
      <c r="C109" s="7">
        <v>10</v>
      </c>
      <c r="D109" s="7" t="s">
        <v>595</v>
      </c>
      <c r="E109" s="7" t="s">
        <v>451</v>
      </c>
      <c r="F109" s="2"/>
    </row>
    <row r="110" spans="1:6" ht="14.5">
      <c r="A110" s="8">
        <v>4</v>
      </c>
      <c r="B110" s="7" t="str">
        <f>المدخلات!$F$5</f>
        <v>5:20–6:30 م</v>
      </c>
      <c r="C110" s="7">
        <v>8</v>
      </c>
      <c r="D110" s="7" t="s">
        <v>595</v>
      </c>
      <c r="E110" s="7" t="s">
        <v>540</v>
      </c>
      <c r="F110" s="2"/>
    </row>
    <row r="111" spans="1:6" ht="14.5">
      <c r="A111" s="8">
        <v>4</v>
      </c>
      <c r="B111" s="7" t="str">
        <f>المدخلات!$F$5</f>
        <v>5:20–6:30 م</v>
      </c>
      <c r="C111" s="7">
        <v>9</v>
      </c>
      <c r="D111" s="7" t="s">
        <v>595</v>
      </c>
      <c r="E111" s="7" t="s">
        <v>560</v>
      </c>
      <c r="F111" s="2"/>
    </row>
    <row r="112" spans="1:6" ht="14.5">
      <c r="A112" s="8">
        <v>4</v>
      </c>
      <c r="B112" s="7" t="str">
        <f>المدخلات!$F$5</f>
        <v>5:20–6:30 م</v>
      </c>
      <c r="C112" s="7">
        <v>10</v>
      </c>
      <c r="D112" s="7" t="s">
        <v>595</v>
      </c>
      <c r="E112" s="7" t="s">
        <v>445</v>
      </c>
      <c r="F112" s="2"/>
    </row>
    <row r="113" spans="1:6" ht="14.5">
      <c r="A113" s="8">
        <v>4</v>
      </c>
      <c r="B113" s="7" t="str">
        <f>المدخلات!$F$6</f>
        <v>6:40–7:50 م</v>
      </c>
      <c r="C113" s="7">
        <v>8</v>
      </c>
      <c r="D113" s="7" t="s">
        <v>595</v>
      </c>
      <c r="E113" s="7" t="s">
        <v>1240</v>
      </c>
      <c r="F113" s="2"/>
    </row>
    <row r="114" spans="1:6" ht="14.5">
      <c r="A114" s="8">
        <v>4</v>
      </c>
      <c r="B114" s="7" t="str">
        <f>المدخلات!$F$6</f>
        <v>6:40–7:50 م</v>
      </c>
      <c r="C114" s="7">
        <v>9</v>
      </c>
      <c r="D114" s="7" t="s">
        <v>595</v>
      </c>
      <c r="E114" s="7" t="s">
        <v>1269</v>
      </c>
      <c r="F114" s="2"/>
    </row>
    <row r="115" spans="1:6" ht="14.5">
      <c r="A115" s="8">
        <v>4</v>
      </c>
      <c r="B115" s="7" t="str">
        <f>المدخلات!$F$6</f>
        <v>6:40–7:50 م</v>
      </c>
      <c r="C115" s="7">
        <v>10</v>
      </c>
      <c r="D115" s="7" t="s">
        <v>595</v>
      </c>
      <c r="E115" s="7" t="s">
        <v>1268</v>
      </c>
      <c r="F115" s="2"/>
    </row>
    <row r="116" spans="1:6" ht="14.5">
      <c r="A116" s="8">
        <v>5</v>
      </c>
      <c r="B116" s="7" t="str">
        <f>المدخلات!$F$4</f>
        <v>4:00–5:10 م</v>
      </c>
      <c r="C116" s="7">
        <v>1</v>
      </c>
      <c r="D116" s="7" t="s">
        <v>593</v>
      </c>
      <c r="E116" s="7" t="s">
        <v>892</v>
      </c>
      <c r="F116" s="2"/>
    </row>
    <row r="117" spans="1:6" ht="14.5">
      <c r="A117" s="8">
        <v>5</v>
      </c>
      <c r="B117" s="7" t="str">
        <f>المدخلات!$F$4</f>
        <v>4:00–5:10 م</v>
      </c>
      <c r="C117" s="7">
        <v>2</v>
      </c>
      <c r="D117" s="7" t="s">
        <v>593</v>
      </c>
      <c r="E117" s="7" t="s">
        <v>50</v>
      </c>
      <c r="F117" s="2"/>
    </row>
    <row r="118" spans="1:6" ht="14.5">
      <c r="A118" s="8">
        <v>5</v>
      </c>
      <c r="B118" s="7" t="str">
        <f>المدخلات!$F$4</f>
        <v>4:00–5:10 م</v>
      </c>
      <c r="C118" s="7">
        <v>3</v>
      </c>
      <c r="D118" s="7" t="s">
        <v>593</v>
      </c>
      <c r="E118" s="7" t="s">
        <v>1082</v>
      </c>
      <c r="F118" s="2"/>
    </row>
    <row r="119" spans="1:6" ht="14.5">
      <c r="A119" s="8">
        <v>5</v>
      </c>
      <c r="B119" s="7" t="str">
        <f>المدخلات!$F$4</f>
        <v>4:00–5:10 م</v>
      </c>
      <c r="C119" s="7">
        <v>4</v>
      </c>
      <c r="D119" s="7" t="s">
        <v>593</v>
      </c>
      <c r="E119" s="7" t="s">
        <v>35</v>
      </c>
      <c r="F119" s="2"/>
    </row>
    <row r="120" spans="1:6" ht="14.5">
      <c r="A120" s="8">
        <v>5</v>
      </c>
      <c r="B120" s="7" t="str">
        <f>المدخلات!$F$5</f>
        <v>5:20–6:30 م</v>
      </c>
      <c r="C120" s="7">
        <v>1</v>
      </c>
      <c r="D120" s="7" t="s">
        <v>593</v>
      </c>
      <c r="E120" s="7" t="s">
        <v>55</v>
      </c>
      <c r="F120" s="2"/>
    </row>
    <row r="121" spans="1:6" ht="14.5">
      <c r="A121" s="8">
        <v>5</v>
      </c>
      <c r="B121" s="7" t="str">
        <f>المدخلات!$F$5</f>
        <v>5:20–6:30 م</v>
      </c>
      <c r="C121" s="7">
        <v>2</v>
      </c>
      <c r="D121" s="7" t="s">
        <v>593</v>
      </c>
      <c r="E121" s="7" t="s">
        <v>23</v>
      </c>
      <c r="F121" s="2"/>
    </row>
    <row r="122" spans="1:6" ht="14.5">
      <c r="A122" s="8">
        <v>5</v>
      </c>
      <c r="B122" s="7" t="str">
        <f>المدخلات!$F$5</f>
        <v>5:20–6:30 م</v>
      </c>
      <c r="C122" s="7">
        <v>3</v>
      </c>
      <c r="D122" s="7" t="s">
        <v>593</v>
      </c>
      <c r="E122" s="7" t="s">
        <v>34</v>
      </c>
      <c r="F122" s="2"/>
    </row>
    <row r="123" spans="1:6" ht="14.5">
      <c r="A123" s="8">
        <v>5</v>
      </c>
      <c r="B123" s="7" t="str">
        <f>المدخلات!$F$5</f>
        <v>5:20–6:30 م</v>
      </c>
      <c r="C123" s="7">
        <v>4</v>
      </c>
      <c r="D123" s="7" t="s">
        <v>593</v>
      </c>
      <c r="E123" s="7" t="s">
        <v>145</v>
      </c>
      <c r="F123" s="2"/>
    </row>
    <row r="124" spans="1:6" ht="14.5">
      <c r="A124" s="8">
        <v>5</v>
      </c>
      <c r="B124" s="7" t="str">
        <f>المدخلات!$F$6</f>
        <v>6:40–7:50 م</v>
      </c>
      <c r="C124" s="7">
        <v>1</v>
      </c>
      <c r="D124" s="7" t="s">
        <v>593</v>
      </c>
      <c r="E124" s="7" t="s">
        <v>1109</v>
      </c>
      <c r="F124" s="2"/>
    </row>
    <row r="125" spans="1:6" ht="14.5">
      <c r="A125" s="8">
        <v>5</v>
      </c>
      <c r="B125" s="7" t="str">
        <f>المدخلات!$F$6</f>
        <v>6:40–7:50 م</v>
      </c>
      <c r="C125" s="7">
        <v>2</v>
      </c>
      <c r="D125" s="7" t="s">
        <v>593</v>
      </c>
      <c r="E125" s="7" t="s">
        <v>847</v>
      </c>
      <c r="F125" s="2"/>
    </row>
    <row r="126" spans="1:6" ht="14.5">
      <c r="A126" s="8">
        <v>5</v>
      </c>
      <c r="B126" s="7" t="str">
        <f>المدخلات!$F$4</f>
        <v>4:00–5:10 م</v>
      </c>
      <c r="C126" s="7">
        <v>5</v>
      </c>
      <c r="D126" s="7" t="s">
        <v>594</v>
      </c>
      <c r="E126" s="7" t="s">
        <v>374</v>
      </c>
      <c r="F126" s="2"/>
    </row>
    <row r="127" spans="1:6" ht="14.5">
      <c r="A127" s="8">
        <v>5</v>
      </c>
      <c r="B127" s="7" t="str">
        <f>المدخلات!$F$4</f>
        <v>4:00–5:10 م</v>
      </c>
      <c r="C127" s="7">
        <v>6</v>
      </c>
      <c r="D127" s="7" t="s">
        <v>594</v>
      </c>
      <c r="E127" s="7" t="s">
        <v>260</v>
      </c>
      <c r="F127" s="2"/>
    </row>
    <row r="128" spans="1:6" ht="14.5">
      <c r="A128" s="8">
        <v>5</v>
      </c>
      <c r="B128" s="7" t="str">
        <f>المدخلات!$F$4</f>
        <v>4:00–5:10 م</v>
      </c>
      <c r="C128" s="7">
        <v>7</v>
      </c>
      <c r="D128" s="7" t="s">
        <v>594</v>
      </c>
      <c r="E128" s="7" t="s">
        <v>252</v>
      </c>
      <c r="F128" s="2"/>
    </row>
    <row r="129" spans="1:6" ht="14.5">
      <c r="A129" s="8">
        <v>5</v>
      </c>
      <c r="B129" s="7" t="str">
        <f>المدخلات!$F$5</f>
        <v>5:20–6:30 م</v>
      </c>
      <c r="C129" s="7">
        <v>5</v>
      </c>
      <c r="D129" s="7" t="s">
        <v>594</v>
      </c>
      <c r="E129" s="7" t="s">
        <v>276</v>
      </c>
      <c r="F129" s="2"/>
    </row>
    <row r="130" spans="1:6" ht="14.5">
      <c r="A130" s="8">
        <v>5</v>
      </c>
      <c r="B130" s="7" t="str">
        <f>المدخلات!$F$5</f>
        <v>5:20–6:30 م</v>
      </c>
      <c r="C130" s="7">
        <v>6</v>
      </c>
      <c r="D130" s="7" t="s">
        <v>594</v>
      </c>
      <c r="E130" s="7" t="s">
        <v>275</v>
      </c>
      <c r="F130" s="2"/>
    </row>
    <row r="131" spans="1:6" ht="14.5">
      <c r="A131" s="8">
        <v>5</v>
      </c>
      <c r="B131" s="7" t="str">
        <f>المدخلات!$F$5</f>
        <v>5:20–6:30 م</v>
      </c>
      <c r="C131" s="7">
        <v>7</v>
      </c>
      <c r="D131" s="7" t="s">
        <v>594</v>
      </c>
      <c r="E131" s="7" t="s">
        <v>269</v>
      </c>
      <c r="F131" s="2"/>
    </row>
    <row r="132" spans="1:6" ht="14.5">
      <c r="A132" s="8">
        <v>5</v>
      </c>
      <c r="B132" s="7" t="str">
        <f>المدخلات!$F$6</f>
        <v>6:40–7:50 م</v>
      </c>
      <c r="C132" s="7">
        <v>5</v>
      </c>
      <c r="D132" s="7" t="s">
        <v>594</v>
      </c>
      <c r="E132" s="7" t="s">
        <v>347</v>
      </c>
      <c r="F132" s="2"/>
    </row>
    <row r="133" spans="1:6" ht="14.5">
      <c r="A133" s="8">
        <v>5</v>
      </c>
      <c r="B133" s="7" t="str">
        <f>المدخلات!$F$6</f>
        <v>6:40–7:50 م</v>
      </c>
      <c r="C133" s="7">
        <v>6</v>
      </c>
      <c r="D133" s="7" t="s">
        <v>594</v>
      </c>
      <c r="E133" s="7" t="s">
        <v>640</v>
      </c>
      <c r="F133" s="2"/>
    </row>
    <row r="134" spans="1:6" ht="14.5">
      <c r="A134" s="8">
        <v>5</v>
      </c>
      <c r="B134" s="7" t="str">
        <f>المدخلات!$F$6</f>
        <v>6:40–7:50 م</v>
      </c>
      <c r="C134" s="7">
        <v>7</v>
      </c>
      <c r="D134" s="7" t="s">
        <v>594</v>
      </c>
      <c r="E134" s="7" t="s">
        <v>933</v>
      </c>
      <c r="F134" s="2"/>
    </row>
    <row r="135" spans="1:6" ht="14.5">
      <c r="A135" s="8">
        <v>5</v>
      </c>
      <c r="B135" s="7" t="str">
        <f>المدخلات!$F$4</f>
        <v>4:00–5:10 م</v>
      </c>
      <c r="C135" s="7">
        <v>8</v>
      </c>
      <c r="D135" s="7" t="s">
        <v>595</v>
      </c>
      <c r="E135" s="7" t="s">
        <v>541</v>
      </c>
      <c r="F135" s="2"/>
    </row>
    <row r="136" spans="1:6" ht="14.5">
      <c r="A136" s="8">
        <v>5</v>
      </c>
      <c r="B136" s="7" t="str">
        <f>المدخلات!$F$4</f>
        <v>4:00–5:10 م</v>
      </c>
      <c r="C136" s="7">
        <v>9</v>
      </c>
      <c r="D136" s="7" t="s">
        <v>595</v>
      </c>
      <c r="E136" s="7" t="s">
        <v>446</v>
      </c>
      <c r="F136" s="2"/>
    </row>
    <row r="137" spans="1:6" ht="14.5">
      <c r="A137" s="8">
        <v>5</v>
      </c>
      <c r="B137" s="7" t="str">
        <f>المدخلات!$F$4</f>
        <v>4:00–5:10 م</v>
      </c>
      <c r="C137" s="7">
        <v>10</v>
      </c>
      <c r="D137" s="7" t="s">
        <v>595</v>
      </c>
      <c r="E137" s="7" t="s">
        <v>440</v>
      </c>
      <c r="F137" s="2"/>
    </row>
    <row r="138" spans="1:6" ht="14.5">
      <c r="A138" s="8">
        <v>5</v>
      </c>
      <c r="B138" s="7" t="str">
        <f>المدخلات!$F$5</f>
        <v>5:20–6:30 م</v>
      </c>
      <c r="C138" s="7">
        <v>8</v>
      </c>
      <c r="D138" s="7" t="s">
        <v>595</v>
      </c>
      <c r="E138" s="7" t="s">
        <v>459</v>
      </c>
      <c r="F138" s="2"/>
    </row>
    <row r="139" spans="1:6" ht="14.5">
      <c r="A139" s="8">
        <v>5</v>
      </c>
      <c r="B139" s="7" t="str">
        <f>المدخلات!$F$5</f>
        <v>5:20–6:30 م</v>
      </c>
      <c r="C139" s="7">
        <v>9</v>
      </c>
      <c r="D139" s="7" t="s">
        <v>595</v>
      </c>
      <c r="E139" s="7" t="s">
        <v>458</v>
      </c>
      <c r="F139" s="2"/>
    </row>
    <row r="140" spans="1:6" ht="14.5">
      <c r="A140" s="8">
        <v>5</v>
      </c>
      <c r="B140" s="7" t="str">
        <f>المدخلات!$F$5</f>
        <v>5:20–6:30 م</v>
      </c>
      <c r="C140" s="7">
        <v>10</v>
      </c>
      <c r="D140" s="7" t="s">
        <v>595</v>
      </c>
      <c r="E140" s="7" t="s">
        <v>447</v>
      </c>
      <c r="F140" s="2"/>
    </row>
    <row r="141" spans="1:6" ht="14.5">
      <c r="A141" s="8">
        <v>5</v>
      </c>
      <c r="B141" s="7" t="str">
        <f>المدخلات!$F$6</f>
        <v>6:40–7:50 م</v>
      </c>
      <c r="C141" s="7">
        <v>8</v>
      </c>
      <c r="D141" s="7" t="s">
        <v>595</v>
      </c>
      <c r="E141" s="7" t="s">
        <v>538</v>
      </c>
      <c r="F141" s="2"/>
    </row>
    <row r="142" spans="1:6" ht="14.5">
      <c r="A142" s="8">
        <v>5</v>
      </c>
      <c r="B142" s="7" t="str">
        <f>المدخلات!$F$6</f>
        <v>6:40–7:50 م</v>
      </c>
      <c r="C142" s="7">
        <v>9</v>
      </c>
      <c r="D142" s="7" t="s">
        <v>595</v>
      </c>
      <c r="E142" s="7" t="s">
        <v>605</v>
      </c>
      <c r="F142" s="2"/>
    </row>
    <row r="143" spans="1:6" ht="14.5">
      <c r="A143" s="8">
        <v>5</v>
      </c>
      <c r="B143" s="7" t="str">
        <f>المدخلات!$F$6</f>
        <v>6:40–7:50 م</v>
      </c>
      <c r="C143" s="7">
        <v>10</v>
      </c>
      <c r="D143" s="7" t="s">
        <v>595</v>
      </c>
      <c r="E143" s="7" t="s">
        <v>971</v>
      </c>
      <c r="F143" s="2"/>
    </row>
    <row r="144" spans="1:6" ht="14.5">
      <c r="A144" s="8">
        <v>6</v>
      </c>
      <c r="B144" s="7" t="str">
        <f>المدخلات!$F$4</f>
        <v>4:00–5:10 م</v>
      </c>
      <c r="C144" s="7">
        <v>1</v>
      </c>
      <c r="D144" s="7" t="s">
        <v>593</v>
      </c>
      <c r="E144" s="7" t="s">
        <v>1048</v>
      </c>
      <c r="F144" s="2"/>
    </row>
    <row r="145" spans="1:6" ht="14.5">
      <c r="A145" s="8">
        <v>6</v>
      </c>
      <c r="B145" s="7" t="str">
        <f>المدخلات!$F$4</f>
        <v>4:00–5:10 م</v>
      </c>
      <c r="C145" s="7">
        <v>2</v>
      </c>
      <c r="D145" s="7" t="s">
        <v>593</v>
      </c>
      <c r="E145" s="7" t="s">
        <v>1052</v>
      </c>
      <c r="F145" s="2"/>
    </row>
    <row r="146" spans="1:6" ht="14.5">
      <c r="A146" s="8">
        <v>6</v>
      </c>
      <c r="B146" s="7" t="str">
        <f>المدخلات!$F$4</f>
        <v>4:00–5:10 م</v>
      </c>
      <c r="C146" s="7">
        <v>3</v>
      </c>
      <c r="D146" s="7" t="s">
        <v>593</v>
      </c>
      <c r="E146" s="7" t="s">
        <v>171</v>
      </c>
      <c r="F146" s="2"/>
    </row>
    <row r="147" spans="1:6" ht="14.5">
      <c r="A147" s="8">
        <v>6</v>
      </c>
      <c r="B147" s="7" t="str">
        <f>المدخلات!$F$4</f>
        <v>4:00–5:10 م</v>
      </c>
      <c r="C147" s="7">
        <v>4</v>
      </c>
      <c r="D147" s="7" t="s">
        <v>593</v>
      </c>
      <c r="E147" s="7" t="s">
        <v>146</v>
      </c>
      <c r="F147" s="2"/>
    </row>
    <row r="148" spans="1:6" ht="14.5">
      <c r="A148" s="8">
        <v>6</v>
      </c>
      <c r="B148" s="7" t="str">
        <f>المدخلات!$F$5</f>
        <v>5:20–6:30 م</v>
      </c>
      <c r="C148" s="7">
        <v>1</v>
      </c>
      <c r="D148" s="7" t="s">
        <v>593</v>
      </c>
      <c r="E148" s="7" t="s">
        <v>170</v>
      </c>
      <c r="F148" s="2"/>
    </row>
    <row r="149" spans="1:6" ht="14.5">
      <c r="A149" s="8">
        <v>6</v>
      </c>
      <c r="B149" s="7" t="str">
        <f>المدخلات!$F$5</f>
        <v>5:20–6:30 م</v>
      </c>
      <c r="C149" s="7">
        <v>2</v>
      </c>
      <c r="D149" s="7" t="s">
        <v>593</v>
      </c>
      <c r="E149" s="7" t="s">
        <v>109</v>
      </c>
      <c r="F149" s="2"/>
    </row>
    <row r="150" spans="1:6" ht="14.5">
      <c r="A150" s="8">
        <v>6</v>
      </c>
      <c r="B150" s="7" t="str">
        <f>المدخلات!$F$5</f>
        <v>5:20–6:30 م</v>
      </c>
      <c r="C150" s="7">
        <v>3</v>
      </c>
      <c r="D150" s="7" t="s">
        <v>593</v>
      </c>
      <c r="E150" s="7" t="s">
        <v>16</v>
      </c>
      <c r="F150" s="2"/>
    </row>
    <row r="151" spans="1:6" ht="14.5">
      <c r="A151" s="8">
        <v>6</v>
      </c>
      <c r="B151" s="7" t="str">
        <f>المدخلات!$F$5</f>
        <v>5:20–6:30 م</v>
      </c>
      <c r="C151" s="7">
        <v>4</v>
      </c>
      <c r="D151" s="7" t="s">
        <v>593</v>
      </c>
      <c r="E151" s="7" t="s">
        <v>193</v>
      </c>
      <c r="F151" s="2"/>
    </row>
    <row r="152" spans="1:6" ht="14.5">
      <c r="A152" s="8">
        <v>6</v>
      </c>
      <c r="B152" s="7" t="str">
        <f>المدخلات!$F$6</f>
        <v>6:40–7:50 م</v>
      </c>
      <c r="C152" s="7">
        <v>1</v>
      </c>
      <c r="D152" s="7" t="s">
        <v>593</v>
      </c>
      <c r="E152" s="7" t="s">
        <v>26</v>
      </c>
      <c r="F152" s="2"/>
    </row>
    <row r="153" spans="1:6" ht="14.5">
      <c r="A153" s="8">
        <v>6</v>
      </c>
      <c r="B153" s="7" t="str">
        <f>المدخلات!$F$6</f>
        <v>6:40–7:50 م</v>
      </c>
      <c r="C153" s="7">
        <v>2</v>
      </c>
      <c r="D153" s="7" t="s">
        <v>593</v>
      </c>
      <c r="E153" s="7" t="s">
        <v>108</v>
      </c>
      <c r="F153" s="2"/>
    </row>
    <row r="154" spans="1:6" ht="14.5">
      <c r="A154" s="8">
        <v>6</v>
      </c>
      <c r="B154" s="7" t="str">
        <f>المدخلات!$F$4</f>
        <v>4:00–5:10 م</v>
      </c>
      <c r="C154" s="7">
        <v>5</v>
      </c>
      <c r="D154" s="7" t="s">
        <v>594</v>
      </c>
      <c r="E154" s="7" t="s">
        <v>388</v>
      </c>
      <c r="F154" s="2"/>
    </row>
    <row r="155" spans="1:6" ht="14.5">
      <c r="A155" s="8">
        <v>6</v>
      </c>
      <c r="B155" s="7" t="str">
        <f>المدخلات!$F$4</f>
        <v>4:00–5:10 م</v>
      </c>
      <c r="C155" s="7">
        <v>6</v>
      </c>
      <c r="D155" s="7" t="s">
        <v>594</v>
      </c>
      <c r="E155" s="7" t="s">
        <v>1185</v>
      </c>
      <c r="F155" s="2"/>
    </row>
    <row r="156" spans="1:6" ht="14.5">
      <c r="A156" s="8">
        <v>6</v>
      </c>
      <c r="B156" s="7" t="str">
        <f>المدخلات!$F$4</f>
        <v>4:00–5:10 م</v>
      </c>
      <c r="C156" s="7">
        <v>7</v>
      </c>
      <c r="D156" s="7" t="s">
        <v>594</v>
      </c>
      <c r="E156" s="7" t="s">
        <v>253</v>
      </c>
      <c r="F156" s="2"/>
    </row>
    <row r="157" spans="1:6" ht="14.5">
      <c r="A157" s="8">
        <v>6</v>
      </c>
      <c r="B157" s="7" t="str">
        <f>المدخلات!$F$5</f>
        <v>5:20–6:30 م</v>
      </c>
      <c r="C157" s="7">
        <v>5</v>
      </c>
      <c r="D157" s="7" t="s">
        <v>594</v>
      </c>
      <c r="E157" s="7" t="s">
        <v>938</v>
      </c>
      <c r="F157" s="2"/>
    </row>
    <row r="158" spans="1:6" ht="14.5">
      <c r="A158" s="8">
        <v>6</v>
      </c>
      <c r="B158" s="7" t="str">
        <f>المدخلات!$F$5</f>
        <v>5:20–6:30 م</v>
      </c>
      <c r="C158" s="7">
        <v>6</v>
      </c>
      <c r="D158" s="7" t="s">
        <v>594</v>
      </c>
      <c r="E158" s="7" t="s">
        <v>916</v>
      </c>
      <c r="F158" s="2"/>
    </row>
    <row r="159" spans="1:6" ht="14.5">
      <c r="A159" s="8">
        <v>6</v>
      </c>
      <c r="B159" s="7" t="str">
        <f>المدخلات!$F$5</f>
        <v>5:20–6:30 م</v>
      </c>
      <c r="C159" s="7">
        <v>7</v>
      </c>
      <c r="D159" s="7" t="s">
        <v>594</v>
      </c>
      <c r="E159" s="7" t="s">
        <v>351</v>
      </c>
      <c r="F159" s="2"/>
    </row>
    <row r="160" spans="1:6" ht="14.5">
      <c r="A160" s="8">
        <v>6</v>
      </c>
      <c r="B160" s="7" t="str">
        <f>المدخلات!$F$6</f>
        <v>6:40–7:50 م</v>
      </c>
      <c r="C160" s="7">
        <v>5</v>
      </c>
      <c r="D160" s="7" t="s">
        <v>594</v>
      </c>
      <c r="E160" s="7" t="s">
        <v>342</v>
      </c>
      <c r="F160" s="2"/>
    </row>
    <row r="161" spans="1:6" ht="14.5">
      <c r="A161" s="8">
        <v>6</v>
      </c>
      <c r="B161" s="7" t="str">
        <f>المدخلات!$F$6</f>
        <v>6:40–7:50 م</v>
      </c>
      <c r="C161" s="7">
        <v>6</v>
      </c>
      <c r="D161" s="7" t="s">
        <v>594</v>
      </c>
      <c r="E161" s="7" t="s">
        <v>1184</v>
      </c>
      <c r="F161" s="2"/>
    </row>
    <row r="162" spans="1:6" ht="14.5">
      <c r="A162" s="8">
        <v>6</v>
      </c>
      <c r="B162" s="7" t="str">
        <f>المدخلات!$F$6</f>
        <v>6:40–7:50 م</v>
      </c>
      <c r="C162" s="7">
        <v>7</v>
      </c>
      <c r="D162" s="7" t="s">
        <v>594</v>
      </c>
      <c r="E162" s="7" t="s">
        <v>243</v>
      </c>
      <c r="F162" s="2"/>
    </row>
    <row r="163" spans="1:6" ht="14.5">
      <c r="A163" s="8">
        <v>6</v>
      </c>
      <c r="B163" s="7" t="str">
        <f>المدخلات!$F$4</f>
        <v>4:00–5:10 م</v>
      </c>
      <c r="C163" s="7">
        <v>8</v>
      </c>
      <c r="D163" s="7" t="s">
        <v>595</v>
      </c>
      <c r="E163" s="7" t="s">
        <v>562</v>
      </c>
      <c r="F163" s="2"/>
    </row>
    <row r="164" spans="1:6" ht="14.5">
      <c r="A164" s="8">
        <v>6</v>
      </c>
      <c r="B164" s="7" t="str">
        <f>المدخلات!$F$4</f>
        <v>4:00–5:10 م</v>
      </c>
      <c r="C164" s="7">
        <v>9</v>
      </c>
      <c r="D164" s="7" t="s">
        <v>595</v>
      </c>
      <c r="E164" s="7" t="s">
        <v>1272</v>
      </c>
      <c r="F164" s="2"/>
    </row>
    <row r="165" spans="1:6" ht="14.5">
      <c r="A165" s="8">
        <v>6</v>
      </c>
      <c r="B165" s="7" t="str">
        <f>المدخلات!$F$4</f>
        <v>4:00–5:10 م</v>
      </c>
      <c r="C165" s="7">
        <v>10</v>
      </c>
      <c r="D165" s="7" t="s">
        <v>595</v>
      </c>
      <c r="E165" s="7" t="s">
        <v>441</v>
      </c>
      <c r="F165" s="2"/>
    </row>
    <row r="166" spans="1:6" ht="14.5">
      <c r="A166" s="8">
        <v>6</v>
      </c>
      <c r="B166" s="7" t="str">
        <f>المدخلات!$F$5</f>
        <v>5:20–6:30 م</v>
      </c>
      <c r="C166" s="7">
        <v>8</v>
      </c>
      <c r="D166" s="7" t="s">
        <v>595</v>
      </c>
      <c r="E166" s="7" t="s">
        <v>973</v>
      </c>
      <c r="F166" s="2"/>
    </row>
    <row r="167" spans="1:6" ht="14.5">
      <c r="A167" s="8">
        <v>6</v>
      </c>
      <c r="B167" s="7" t="str">
        <f>المدخلات!$F$5</f>
        <v>5:20–6:30 م</v>
      </c>
      <c r="C167" s="7">
        <v>9</v>
      </c>
      <c r="D167" s="7" t="s">
        <v>595</v>
      </c>
      <c r="E167" s="7" t="s">
        <v>1270</v>
      </c>
      <c r="F167" s="2"/>
    </row>
    <row r="168" spans="1:6" ht="14.5">
      <c r="A168" s="8">
        <v>6</v>
      </c>
      <c r="B168" s="7" t="str">
        <f>المدخلات!$F$5</f>
        <v>5:20–6:30 م</v>
      </c>
      <c r="C168" s="7">
        <v>10</v>
      </c>
      <c r="D168" s="7" t="s">
        <v>595</v>
      </c>
      <c r="E168" s="7" t="s">
        <v>534</v>
      </c>
      <c r="F168" s="2"/>
    </row>
    <row r="169" spans="1:6" ht="14.5">
      <c r="A169" s="8">
        <v>6</v>
      </c>
      <c r="B169" s="7" t="str">
        <f>المدخلات!$F$6</f>
        <v>6:40–7:50 م</v>
      </c>
      <c r="C169" s="7">
        <v>8</v>
      </c>
      <c r="D169" s="7" t="s">
        <v>595</v>
      </c>
      <c r="E169" s="7" t="s">
        <v>522</v>
      </c>
      <c r="F169" s="2"/>
    </row>
    <row r="170" spans="1:6" ht="14.5">
      <c r="A170" s="8">
        <v>6</v>
      </c>
      <c r="B170" s="7" t="str">
        <f>المدخلات!$F$6</f>
        <v>6:40–7:50 م</v>
      </c>
      <c r="C170" s="7">
        <v>9</v>
      </c>
      <c r="D170" s="7" t="s">
        <v>595</v>
      </c>
      <c r="E170" s="7" t="s">
        <v>1271</v>
      </c>
      <c r="F170" s="2"/>
    </row>
    <row r="171" spans="1:6" ht="14.5">
      <c r="A171" s="8">
        <v>6</v>
      </c>
      <c r="B171" s="7" t="str">
        <f>المدخلات!$F$6</f>
        <v>6:40–7:50 م</v>
      </c>
      <c r="C171" s="7">
        <v>10</v>
      </c>
      <c r="D171" s="7" t="s">
        <v>595</v>
      </c>
      <c r="E171" s="7" t="s">
        <v>434</v>
      </c>
      <c r="F171" s="2"/>
    </row>
    <row r="172" spans="1:6" ht="14.5">
      <c r="A172" s="8">
        <v>7</v>
      </c>
      <c r="B172" s="7" t="str">
        <f>المدخلات!$F$4</f>
        <v>4:00–5:10 م</v>
      </c>
      <c r="C172" s="7">
        <v>1</v>
      </c>
      <c r="D172" s="7" t="s">
        <v>593</v>
      </c>
      <c r="E172" s="7" t="s">
        <v>886</v>
      </c>
      <c r="F172" s="2"/>
    </row>
    <row r="173" spans="1:6" ht="14.5">
      <c r="A173" s="8">
        <v>7</v>
      </c>
      <c r="B173" s="7" t="str">
        <f>المدخلات!$F$4</f>
        <v>4:00–5:10 م</v>
      </c>
      <c r="C173" s="7">
        <v>2</v>
      </c>
      <c r="D173" s="7" t="s">
        <v>593</v>
      </c>
      <c r="E173" s="7" t="s">
        <v>1110</v>
      </c>
      <c r="F173" s="2"/>
    </row>
    <row r="174" spans="1:6" ht="14.5">
      <c r="A174" s="8">
        <v>7</v>
      </c>
      <c r="B174" s="7" t="str">
        <f>المدخلات!$F$4</f>
        <v>4:00–5:10 م</v>
      </c>
      <c r="C174" s="7">
        <v>3</v>
      </c>
      <c r="D174" s="7" t="s">
        <v>593</v>
      </c>
      <c r="E174" s="7" t="s">
        <v>12</v>
      </c>
      <c r="F174" s="2"/>
    </row>
    <row r="175" spans="1:6" ht="14.5">
      <c r="A175" s="8">
        <v>7</v>
      </c>
      <c r="B175" s="7" t="str">
        <f>المدخلات!$F$4</f>
        <v>4:00–5:10 م</v>
      </c>
      <c r="C175" s="7">
        <v>4</v>
      </c>
      <c r="D175" s="7" t="s">
        <v>593</v>
      </c>
      <c r="E175" s="7" t="s">
        <v>10</v>
      </c>
      <c r="F175" s="2"/>
    </row>
    <row r="176" spans="1:6" ht="14.5">
      <c r="A176" s="8">
        <v>7</v>
      </c>
      <c r="B176" s="7" t="str">
        <f>المدخلات!$F$5</f>
        <v>5:20–6:30 م</v>
      </c>
      <c r="C176" s="7">
        <v>1</v>
      </c>
      <c r="D176" s="7" t="s">
        <v>593</v>
      </c>
      <c r="E176" s="7" t="s">
        <v>901</v>
      </c>
      <c r="F176" s="2"/>
    </row>
    <row r="177" spans="1:6" ht="14.5">
      <c r="A177" s="8">
        <v>7</v>
      </c>
      <c r="B177" s="7" t="str">
        <f>المدخلات!$F$5</f>
        <v>5:20–6:30 م</v>
      </c>
      <c r="C177" s="7">
        <v>2</v>
      </c>
      <c r="D177" s="7" t="s">
        <v>593</v>
      </c>
      <c r="E177" s="7" t="s">
        <v>22</v>
      </c>
      <c r="F177" s="2"/>
    </row>
    <row r="178" spans="1:6" ht="14.5">
      <c r="A178" s="8">
        <v>7</v>
      </c>
      <c r="B178" s="7" t="str">
        <f>المدخلات!$F$5</f>
        <v>5:20–6:30 م</v>
      </c>
      <c r="C178" s="7">
        <v>3</v>
      </c>
      <c r="D178" s="7" t="s">
        <v>593</v>
      </c>
      <c r="E178" s="7" t="s">
        <v>102</v>
      </c>
      <c r="F178" s="2"/>
    </row>
    <row r="179" spans="1:6" ht="14.5">
      <c r="A179" s="8">
        <v>7</v>
      </c>
      <c r="B179" s="7" t="str">
        <f>المدخلات!$F$5</f>
        <v>5:20–6:30 م</v>
      </c>
      <c r="C179" s="7">
        <v>4</v>
      </c>
      <c r="D179" s="7" t="s">
        <v>593</v>
      </c>
      <c r="E179" s="7" t="s">
        <v>112</v>
      </c>
      <c r="F179" s="2"/>
    </row>
    <row r="180" spans="1:6" ht="14.5">
      <c r="A180" s="8">
        <v>7</v>
      </c>
      <c r="B180" s="7" t="str">
        <f>المدخلات!$F$6</f>
        <v>6:40–7:50 م</v>
      </c>
      <c r="C180" s="7">
        <v>1</v>
      </c>
      <c r="D180" s="7" t="s">
        <v>593</v>
      </c>
      <c r="E180" s="7" t="s">
        <v>900</v>
      </c>
      <c r="F180" s="2"/>
    </row>
    <row r="181" spans="1:6" ht="14.5">
      <c r="A181" s="8">
        <v>7</v>
      </c>
      <c r="B181" s="7" t="str">
        <f>المدخلات!$F$6</f>
        <v>6:40–7:50 م</v>
      </c>
      <c r="C181" s="7">
        <v>2</v>
      </c>
      <c r="D181" s="7" t="s">
        <v>593</v>
      </c>
      <c r="E181" s="7" t="s">
        <v>681</v>
      </c>
      <c r="F181" s="2"/>
    </row>
    <row r="182" spans="1:6" ht="14.5">
      <c r="A182" s="8">
        <v>7</v>
      </c>
      <c r="B182" s="7" t="str">
        <f>المدخلات!$F$4</f>
        <v>4:00–5:10 م</v>
      </c>
      <c r="C182" s="7">
        <v>5</v>
      </c>
      <c r="D182" s="7" t="s">
        <v>594</v>
      </c>
      <c r="E182" s="7" t="s">
        <v>343</v>
      </c>
      <c r="F182" s="2"/>
    </row>
    <row r="183" spans="1:6" ht="14.5">
      <c r="A183" s="8">
        <v>7</v>
      </c>
      <c r="B183" s="7" t="str">
        <f>المدخلات!$F$4</f>
        <v>4:00–5:10 م</v>
      </c>
      <c r="C183" s="7">
        <v>6</v>
      </c>
      <c r="D183" s="7" t="s">
        <v>594</v>
      </c>
      <c r="E183" s="7" t="s">
        <v>1259</v>
      </c>
      <c r="F183" s="2"/>
    </row>
    <row r="184" spans="1:6" ht="14.5">
      <c r="A184" s="8">
        <v>7</v>
      </c>
      <c r="B184" s="7" t="str">
        <f>المدخلات!$F$4</f>
        <v>4:00–5:10 م</v>
      </c>
      <c r="C184" s="7">
        <v>7</v>
      </c>
      <c r="D184" s="7" t="s">
        <v>594</v>
      </c>
      <c r="E184" s="7" t="s">
        <v>254</v>
      </c>
      <c r="F184" s="2"/>
    </row>
    <row r="185" spans="1:6" ht="14.5">
      <c r="A185" s="8">
        <v>7</v>
      </c>
      <c r="B185" s="7" t="str">
        <f>المدخلات!$F$5</f>
        <v>5:20–6:30 م</v>
      </c>
      <c r="C185" s="7">
        <v>5</v>
      </c>
      <c r="D185" s="7" t="s">
        <v>594</v>
      </c>
      <c r="E185" s="7" t="s">
        <v>333</v>
      </c>
      <c r="F185" s="2"/>
    </row>
    <row r="186" spans="1:6" ht="14.5">
      <c r="A186" s="8">
        <v>7</v>
      </c>
      <c r="B186" s="7" t="str">
        <f>المدخلات!$F$5</f>
        <v>5:20–6:30 م</v>
      </c>
      <c r="C186" s="7">
        <v>6</v>
      </c>
      <c r="D186" s="7" t="s">
        <v>594</v>
      </c>
      <c r="E186" s="7" t="s">
        <v>239</v>
      </c>
      <c r="F186" s="2"/>
    </row>
    <row r="187" spans="1:6" ht="14.5">
      <c r="A187" s="8">
        <v>7</v>
      </c>
      <c r="B187" s="7" t="str">
        <f>المدخلات!$F$5</f>
        <v>5:20–6:30 م</v>
      </c>
      <c r="C187" s="7">
        <v>7</v>
      </c>
      <c r="D187" s="7" t="s">
        <v>594</v>
      </c>
      <c r="E187" s="7" t="s">
        <v>244</v>
      </c>
      <c r="F187" s="2"/>
    </row>
    <row r="188" spans="1:6" ht="14.5">
      <c r="A188" s="8">
        <v>7</v>
      </c>
      <c r="B188" s="7" t="str">
        <f>المدخلات!$F$6</f>
        <v>6:40–7:50 م</v>
      </c>
      <c r="C188" s="7">
        <v>5</v>
      </c>
      <c r="D188" s="7" t="s">
        <v>594</v>
      </c>
      <c r="E188" s="7" t="s">
        <v>891</v>
      </c>
      <c r="F188" s="2"/>
    </row>
    <row r="189" spans="1:6" ht="14.5">
      <c r="A189" s="8">
        <v>7</v>
      </c>
      <c r="B189" s="7" t="str">
        <f>المدخلات!$F$6</f>
        <v>6:40–7:50 م</v>
      </c>
      <c r="C189" s="7">
        <v>6</v>
      </c>
      <c r="D189" s="7" t="s">
        <v>594</v>
      </c>
      <c r="E189" s="7" t="s">
        <v>376</v>
      </c>
      <c r="F189" s="2"/>
    </row>
    <row r="190" spans="1:6" ht="14.5">
      <c r="A190" s="8">
        <v>7</v>
      </c>
      <c r="B190" s="7" t="str">
        <f>المدخلات!$F$6</f>
        <v>6:40–7:50 م</v>
      </c>
      <c r="C190" s="7">
        <v>7</v>
      </c>
      <c r="D190" s="7" t="s">
        <v>594</v>
      </c>
      <c r="E190" s="7" t="s">
        <v>337</v>
      </c>
      <c r="F190" s="2"/>
    </row>
    <row r="191" spans="1:6" ht="14.5">
      <c r="A191" s="8">
        <v>7</v>
      </c>
      <c r="B191" s="7" t="str">
        <f>المدخلات!$F$4</f>
        <v>4:00–5:10 م</v>
      </c>
      <c r="C191" s="7">
        <v>8</v>
      </c>
      <c r="D191" s="7" t="s">
        <v>595</v>
      </c>
      <c r="E191" s="7" t="s">
        <v>523</v>
      </c>
      <c r="F191" s="2"/>
    </row>
    <row r="192" spans="1:6" ht="14.5">
      <c r="A192" s="8">
        <v>7</v>
      </c>
      <c r="B192" s="7" t="str">
        <f>المدخلات!$F$4</f>
        <v>4:00–5:10 م</v>
      </c>
      <c r="C192" s="7">
        <v>9</v>
      </c>
      <c r="D192" s="7" t="s">
        <v>595</v>
      </c>
      <c r="E192" s="7" t="s">
        <v>1273</v>
      </c>
      <c r="F192" s="2"/>
    </row>
    <row r="193" spans="1:6" ht="14.5">
      <c r="A193" s="8">
        <v>7</v>
      </c>
      <c r="B193" s="7" t="str">
        <f>المدخلات!$F$4</f>
        <v>4:00–5:10 م</v>
      </c>
      <c r="C193" s="7">
        <v>10</v>
      </c>
      <c r="D193" s="7" t="s">
        <v>595</v>
      </c>
      <c r="E193" s="7" t="s">
        <v>437</v>
      </c>
      <c r="F193" s="2"/>
    </row>
    <row r="194" spans="1:6" ht="14.5">
      <c r="A194" s="8">
        <v>7</v>
      </c>
      <c r="B194" s="7" t="str">
        <f>المدخلات!$F$5</f>
        <v>5:20–6:30 م</v>
      </c>
      <c r="C194" s="7">
        <v>8</v>
      </c>
      <c r="D194" s="7" t="s">
        <v>595</v>
      </c>
      <c r="E194" s="7" t="s">
        <v>514</v>
      </c>
      <c r="F194" s="2"/>
    </row>
    <row r="195" spans="1:6" ht="14.5">
      <c r="A195" s="8">
        <v>7</v>
      </c>
      <c r="B195" s="7" t="str">
        <f>المدخلات!$F$5</f>
        <v>5:20–6:30 م</v>
      </c>
      <c r="C195" s="7">
        <v>9</v>
      </c>
      <c r="D195" s="7" t="s">
        <v>595</v>
      </c>
      <c r="E195" s="7" t="s">
        <v>426</v>
      </c>
      <c r="F195" s="2"/>
    </row>
    <row r="196" spans="1:6" ht="14.5">
      <c r="A196" s="8">
        <v>7</v>
      </c>
      <c r="B196" s="7" t="str">
        <f>المدخلات!$F$5</f>
        <v>5:20–6:30 م</v>
      </c>
      <c r="C196" s="7">
        <v>10</v>
      </c>
      <c r="D196" s="7" t="s">
        <v>595</v>
      </c>
      <c r="E196" s="7" t="s">
        <v>435</v>
      </c>
      <c r="F196" s="2"/>
    </row>
    <row r="197" spans="1:6" ht="14.5">
      <c r="A197" s="8">
        <v>7</v>
      </c>
      <c r="B197" s="7" t="str">
        <f>المدخلات!$F$6</f>
        <v>6:40–7:50 م</v>
      </c>
      <c r="C197" s="7">
        <v>8</v>
      </c>
      <c r="D197" s="7" t="s">
        <v>595</v>
      </c>
      <c r="E197" s="7" t="s">
        <v>632</v>
      </c>
      <c r="F197" s="2"/>
    </row>
    <row r="198" spans="1:6" ht="14.5">
      <c r="A198" s="8">
        <v>7</v>
      </c>
      <c r="B198" s="7" t="str">
        <f>المدخلات!$F$6</f>
        <v>6:40–7:50 م</v>
      </c>
      <c r="C198" s="7">
        <v>9</v>
      </c>
      <c r="D198" s="7" t="s">
        <v>595</v>
      </c>
      <c r="E198" s="7" t="s">
        <v>542</v>
      </c>
      <c r="F198" s="2"/>
    </row>
    <row r="199" spans="1:6" ht="14.5">
      <c r="A199" s="8">
        <v>7</v>
      </c>
      <c r="B199" s="7" t="str">
        <f>المدخلات!$F$6</f>
        <v>6:40–7:50 م</v>
      </c>
      <c r="C199" s="7">
        <v>10</v>
      </c>
      <c r="D199" s="7" t="s">
        <v>595</v>
      </c>
      <c r="E199" s="7" t="s">
        <v>516</v>
      </c>
      <c r="F199" s="2"/>
    </row>
    <row r="200" spans="1:6" ht="14.5">
      <c r="A200" s="8">
        <v>8</v>
      </c>
      <c r="B200" s="7" t="str">
        <f>المدخلات!$F$4</f>
        <v>4:00–5:10 م</v>
      </c>
      <c r="C200" s="7">
        <v>1</v>
      </c>
      <c r="D200" s="7" t="s">
        <v>593</v>
      </c>
      <c r="E200" s="7" t="s">
        <v>96</v>
      </c>
      <c r="F200" s="2"/>
    </row>
    <row r="201" spans="1:6" ht="14.5">
      <c r="A201" s="8">
        <v>8</v>
      </c>
      <c r="B201" s="7" t="str">
        <f>المدخلات!$F$4</f>
        <v>4:00–5:10 م</v>
      </c>
      <c r="C201" s="7">
        <v>2</v>
      </c>
      <c r="D201" s="7" t="s">
        <v>593</v>
      </c>
      <c r="E201" s="7" t="s">
        <v>101</v>
      </c>
      <c r="F201" s="2"/>
    </row>
    <row r="202" spans="1:6" ht="14.5">
      <c r="A202" s="8">
        <v>8</v>
      </c>
      <c r="B202" s="7" t="str">
        <f>المدخلات!$F$4</f>
        <v>4:00–5:10 م</v>
      </c>
      <c r="C202" s="7">
        <v>3</v>
      </c>
      <c r="D202" s="7" t="s">
        <v>593</v>
      </c>
      <c r="E202" s="7" t="s">
        <v>174</v>
      </c>
      <c r="F202" s="2"/>
    </row>
    <row r="203" spans="1:6" ht="14.5">
      <c r="A203" s="8">
        <v>8</v>
      </c>
      <c r="B203" s="7" t="str">
        <f>المدخلات!$F$4</f>
        <v>4:00–5:10 م</v>
      </c>
      <c r="C203" s="7">
        <v>4</v>
      </c>
      <c r="D203" s="7" t="s">
        <v>593</v>
      </c>
      <c r="E203" s="7" t="s">
        <v>113</v>
      </c>
      <c r="F203" s="2"/>
    </row>
    <row r="204" spans="1:6" ht="14.5">
      <c r="A204" s="8">
        <v>8</v>
      </c>
      <c r="B204" s="7" t="str">
        <f>المدخلات!$F$5</f>
        <v>5:20–6:30 م</v>
      </c>
      <c r="C204" s="7">
        <v>1</v>
      </c>
      <c r="D204" s="7" t="s">
        <v>593</v>
      </c>
      <c r="E204" s="7" t="s">
        <v>173</v>
      </c>
      <c r="F204" s="2"/>
    </row>
    <row r="205" spans="1:6" ht="14.5">
      <c r="A205" s="8">
        <v>8</v>
      </c>
      <c r="B205" s="7" t="str">
        <f>المدخلات!$F$5</f>
        <v>5:20–6:30 م</v>
      </c>
      <c r="C205" s="7">
        <v>2</v>
      </c>
      <c r="D205" s="7" t="s">
        <v>593</v>
      </c>
      <c r="E205" s="7" t="s">
        <v>19</v>
      </c>
      <c r="F205" s="2"/>
    </row>
    <row r="206" spans="1:6" ht="14.5">
      <c r="A206" s="8">
        <v>8</v>
      </c>
      <c r="B206" s="7" t="str">
        <f>المدخلات!$F$5</f>
        <v>5:20–6:30 م</v>
      </c>
      <c r="C206" s="7">
        <v>3</v>
      </c>
      <c r="D206" s="7" t="s">
        <v>593</v>
      </c>
      <c r="E206" s="7" t="s">
        <v>147</v>
      </c>
      <c r="F206" s="2"/>
    </row>
    <row r="207" spans="1:6" ht="14.5">
      <c r="A207" s="8">
        <v>8</v>
      </c>
      <c r="B207" s="7" t="str">
        <f>المدخلات!$F$5</f>
        <v>5:20–6:30 م</v>
      </c>
      <c r="C207" s="7">
        <v>4</v>
      </c>
      <c r="D207" s="7" t="s">
        <v>593</v>
      </c>
      <c r="E207" s="7" t="s">
        <v>114</v>
      </c>
      <c r="F207" s="2"/>
    </row>
    <row r="208" spans="1:6" ht="14.5">
      <c r="A208" s="8">
        <v>8</v>
      </c>
      <c r="B208" s="7" t="str">
        <f>المدخلات!$F$6</f>
        <v>6:40–7:50 م</v>
      </c>
      <c r="C208" s="7">
        <v>1</v>
      </c>
      <c r="D208" s="7" t="s">
        <v>593</v>
      </c>
      <c r="E208" s="7" t="s">
        <v>7</v>
      </c>
      <c r="F208" s="2"/>
    </row>
    <row r="209" spans="1:6" ht="14.5">
      <c r="A209" s="8">
        <v>8</v>
      </c>
      <c r="B209" s="7" t="str">
        <f>المدخلات!$F$6</f>
        <v>6:40–7:50 م</v>
      </c>
      <c r="C209" s="7">
        <v>2</v>
      </c>
      <c r="D209" s="7" t="s">
        <v>593</v>
      </c>
      <c r="E209" s="7" t="s">
        <v>1111</v>
      </c>
      <c r="F209" s="2"/>
    </row>
    <row r="210" spans="1:6" ht="14.5">
      <c r="A210" s="8">
        <v>8</v>
      </c>
      <c r="B210" s="7" t="str">
        <f>المدخلات!$F$4</f>
        <v>4:00–5:10 م</v>
      </c>
      <c r="C210" s="7">
        <v>5</v>
      </c>
      <c r="D210" s="7" t="s">
        <v>594</v>
      </c>
      <c r="E210" s="7" t="s">
        <v>354</v>
      </c>
      <c r="F210" s="2"/>
    </row>
    <row r="211" spans="1:6" ht="14.5">
      <c r="A211" s="8">
        <v>8</v>
      </c>
      <c r="B211" s="7" t="str">
        <f>المدخلات!$F$4</f>
        <v>4:00–5:10 م</v>
      </c>
      <c r="C211" s="7">
        <v>6</v>
      </c>
      <c r="D211" s="7" t="s">
        <v>594</v>
      </c>
      <c r="E211" s="7" t="s">
        <v>318</v>
      </c>
      <c r="F211" s="2"/>
    </row>
    <row r="212" spans="1:6" ht="14.5">
      <c r="A212" s="8">
        <v>8</v>
      </c>
      <c r="B212" s="7" t="str">
        <f>المدخلات!$F$4</f>
        <v>4:00–5:10 م</v>
      </c>
      <c r="C212" s="7">
        <v>7</v>
      </c>
      <c r="D212" s="7" t="s">
        <v>594</v>
      </c>
      <c r="E212" s="7" t="s">
        <v>338</v>
      </c>
      <c r="F212" s="2"/>
    </row>
    <row r="213" spans="1:6" ht="14.5">
      <c r="A213" s="8">
        <v>8</v>
      </c>
      <c r="B213" s="7" t="str">
        <f>المدخلات!$F$5</f>
        <v>5:20–6:30 م</v>
      </c>
      <c r="C213" s="7">
        <v>5</v>
      </c>
      <c r="D213" s="7" t="s">
        <v>594</v>
      </c>
      <c r="E213" s="7" t="s">
        <v>894</v>
      </c>
      <c r="F213" s="2"/>
    </row>
    <row r="214" spans="1:6" ht="14.5">
      <c r="A214" s="8">
        <v>8</v>
      </c>
      <c r="B214" s="7" t="str">
        <f>المدخلات!$F$5</f>
        <v>5:20–6:30 م</v>
      </c>
      <c r="C214" s="7">
        <v>6</v>
      </c>
      <c r="D214" s="7" t="s">
        <v>594</v>
      </c>
      <c r="E214" s="7" t="s">
        <v>1274</v>
      </c>
      <c r="F214" s="2"/>
    </row>
    <row r="215" spans="1:6" ht="14.5">
      <c r="A215" s="8">
        <v>8</v>
      </c>
      <c r="B215" s="7" t="str">
        <f>المدخلات!$F$5</f>
        <v>5:20–6:30 م</v>
      </c>
      <c r="C215" s="7">
        <v>7</v>
      </c>
      <c r="D215" s="7" t="s">
        <v>594</v>
      </c>
      <c r="E215" s="7" t="s">
        <v>236</v>
      </c>
      <c r="F215" s="2"/>
    </row>
    <row r="216" spans="1:6" ht="14.5">
      <c r="A216" s="8">
        <v>8</v>
      </c>
      <c r="B216" s="7" t="str">
        <f>المدخلات!$F$6</f>
        <v>6:40–7:50 م</v>
      </c>
      <c r="C216" s="7">
        <v>5</v>
      </c>
      <c r="D216" s="7" t="s">
        <v>594</v>
      </c>
      <c r="E216" s="7" t="s">
        <v>390</v>
      </c>
      <c r="F216" s="2"/>
    </row>
    <row r="217" spans="1:6" ht="14.5">
      <c r="A217" s="8">
        <v>8</v>
      </c>
      <c r="B217" s="7" t="str">
        <f>المدخلات!$F$6</f>
        <v>6:40–7:50 م</v>
      </c>
      <c r="C217" s="7">
        <v>6</v>
      </c>
      <c r="D217" s="7" t="s">
        <v>594</v>
      </c>
      <c r="E217" s="7" t="s">
        <v>234</v>
      </c>
      <c r="F217" s="2"/>
    </row>
    <row r="218" spans="1:6" ht="14.5">
      <c r="A218" s="8">
        <v>8</v>
      </c>
      <c r="B218" s="7" t="str">
        <f>المدخلات!$F$6</f>
        <v>6:40–7:50 م</v>
      </c>
      <c r="C218" s="7">
        <v>7</v>
      </c>
      <c r="D218" s="7" t="s">
        <v>594</v>
      </c>
      <c r="E218" s="7" t="s">
        <v>308</v>
      </c>
      <c r="F218" s="2"/>
    </row>
    <row r="219" spans="1:6" ht="14.5">
      <c r="A219" s="8">
        <v>8</v>
      </c>
      <c r="B219" s="7" t="str">
        <f>المدخلات!$F$4</f>
        <v>4:00–5:10 م</v>
      </c>
      <c r="C219" s="7">
        <v>8</v>
      </c>
      <c r="D219" s="7" t="s">
        <v>595</v>
      </c>
      <c r="E219" s="7" t="s">
        <v>543</v>
      </c>
      <c r="F219" s="2"/>
    </row>
    <row r="220" spans="1:6" ht="14.5">
      <c r="A220" s="8">
        <v>8</v>
      </c>
      <c r="B220" s="7" t="str">
        <f>المدخلات!$F$4</f>
        <v>4:00–5:10 م</v>
      </c>
      <c r="C220" s="7">
        <v>9</v>
      </c>
      <c r="D220" s="7" t="s">
        <v>595</v>
      </c>
      <c r="E220" s="7" t="s">
        <v>498</v>
      </c>
      <c r="F220" s="2"/>
    </row>
    <row r="221" spans="1:6" ht="14.5">
      <c r="A221" s="8">
        <v>8</v>
      </c>
      <c r="B221" s="7" t="str">
        <f>المدخلات!$F$4</f>
        <v>4:00–5:10 م</v>
      </c>
      <c r="C221" s="7">
        <v>10</v>
      </c>
      <c r="D221" s="7" t="s">
        <v>595</v>
      </c>
      <c r="E221" s="7" t="s">
        <v>517</v>
      </c>
      <c r="F221" s="2"/>
    </row>
    <row r="222" spans="1:6" ht="14.5">
      <c r="A222" s="8">
        <v>8</v>
      </c>
      <c r="B222" s="7" t="str">
        <f>المدخلات!$F$5</f>
        <v>5:20–6:30 م</v>
      </c>
      <c r="C222" s="7">
        <v>8</v>
      </c>
      <c r="D222" s="7" t="s">
        <v>595</v>
      </c>
      <c r="E222" s="7" t="s">
        <v>1275</v>
      </c>
      <c r="F222" s="2"/>
    </row>
    <row r="223" spans="1:6" ht="14.5">
      <c r="A223" s="8">
        <v>8</v>
      </c>
      <c r="B223" s="7" t="str">
        <f>المدخلات!$F$5</f>
        <v>5:20–6:30 م</v>
      </c>
      <c r="C223" s="7">
        <v>9</v>
      </c>
      <c r="D223" s="7" t="s">
        <v>595</v>
      </c>
      <c r="E223" s="7" t="s">
        <v>1276</v>
      </c>
      <c r="F223" s="2"/>
    </row>
    <row r="224" spans="1:6" ht="14.5">
      <c r="A224" s="8">
        <v>8</v>
      </c>
      <c r="B224" s="7" t="str">
        <f>المدخلات!$F$5</f>
        <v>5:20–6:30 م</v>
      </c>
      <c r="C224" s="7">
        <v>10</v>
      </c>
      <c r="D224" s="7" t="s">
        <v>595</v>
      </c>
      <c r="E224" s="7" t="s">
        <v>427</v>
      </c>
      <c r="F224" s="2"/>
    </row>
    <row r="225" spans="1:6" ht="14.5">
      <c r="A225" s="8">
        <v>8</v>
      </c>
      <c r="B225" s="7" t="str">
        <f>المدخلات!$F$6</f>
        <v>6:40–7:50 م</v>
      </c>
      <c r="C225" s="7">
        <v>8</v>
      </c>
      <c r="D225" s="7" t="s">
        <v>595</v>
      </c>
      <c r="E225" s="7" t="s">
        <v>563</v>
      </c>
      <c r="F225" s="2"/>
    </row>
    <row r="226" spans="1:6" ht="14.5">
      <c r="A226" s="8">
        <v>8</v>
      </c>
      <c r="B226" s="7" t="str">
        <f>المدخلات!$F$6</f>
        <v>6:40–7:50 م</v>
      </c>
      <c r="C226" s="7">
        <v>9</v>
      </c>
      <c r="D226" s="7" t="s">
        <v>595</v>
      </c>
      <c r="E226" s="7" t="s">
        <v>419</v>
      </c>
      <c r="F226" s="2"/>
    </row>
    <row r="227" spans="1:6" ht="14.5">
      <c r="A227" s="8">
        <v>8</v>
      </c>
      <c r="B227" s="7" t="str">
        <f>المدخلات!$F$6</f>
        <v>6:40–7:50 م</v>
      </c>
      <c r="C227" s="7">
        <v>10</v>
      </c>
      <c r="D227" s="7" t="s">
        <v>595</v>
      </c>
      <c r="E227" s="7" t="s">
        <v>504</v>
      </c>
      <c r="F227" s="2"/>
    </row>
    <row r="228" spans="1:6" ht="14.5">
      <c r="A228" s="8">
        <v>9</v>
      </c>
      <c r="B228" s="7" t="str">
        <f>المدخلات!$F$4</f>
        <v>4:00–5:10 م</v>
      </c>
      <c r="C228" s="7">
        <v>1</v>
      </c>
      <c r="D228" s="7" t="s">
        <v>593</v>
      </c>
      <c r="E228" s="7" t="s">
        <v>97</v>
      </c>
      <c r="F228" s="2"/>
    </row>
    <row r="229" spans="1:6" ht="14.5">
      <c r="A229" s="8">
        <v>9</v>
      </c>
      <c r="B229" s="7" t="str">
        <f>المدخلات!$F$4</f>
        <v>4:00–5:10 م</v>
      </c>
      <c r="C229" s="7">
        <v>2</v>
      </c>
      <c r="D229" s="7" t="s">
        <v>593</v>
      </c>
      <c r="E229" s="7" t="s">
        <v>696</v>
      </c>
      <c r="F229" s="2"/>
    </row>
    <row r="230" spans="1:6" ht="14.5">
      <c r="A230" s="8">
        <v>9</v>
      </c>
      <c r="B230" s="7" t="str">
        <f>المدخلات!$F$4</f>
        <v>4:00–5:10 م</v>
      </c>
      <c r="C230" s="7">
        <v>3</v>
      </c>
      <c r="D230" s="7" t="s">
        <v>593</v>
      </c>
      <c r="E230" s="7" t="s">
        <v>697</v>
      </c>
      <c r="F230" s="2"/>
    </row>
    <row r="231" spans="1:6" ht="14.5">
      <c r="A231" s="8">
        <v>9</v>
      </c>
      <c r="B231" s="7" t="str">
        <f>المدخلات!$F$4</f>
        <v>4:00–5:10 م</v>
      </c>
      <c r="C231" s="7">
        <v>4</v>
      </c>
      <c r="D231" s="7" t="s">
        <v>593</v>
      </c>
      <c r="E231" s="7" t="s">
        <v>910</v>
      </c>
      <c r="F231" s="2"/>
    </row>
    <row r="232" spans="1:6" ht="14.5">
      <c r="A232" s="8">
        <v>9</v>
      </c>
      <c r="B232" s="7" t="str">
        <f>المدخلات!$F$5</f>
        <v>5:20–6:30 م</v>
      </c>
      <c r="C232" s="7">
        <v>1</v>
      </c>
      <c r="D232" s="7" t="s">
        <v>593</v>
      </c>
      <c r="E232" s="7" t="s">
        <v>909</v>
      </c>
      <c r="F232" s="2"/>
    </row>
    <row r="233" spans="1:6" ht="14.5">
      <c r="A233" s="8">
        <v>9</v>
      </c>
      <c r="B233" s="7" t="str">
        <f>المدخلات!$F$5</f>
        <v>5:20–6:30 م</v>
      </c>
      <c r="C233" s="7">
        <v>2</v>
      </c>
      <c r="D233" s="7" t="s">
        <v>593</v>
      </c>
      <c r="E233" s="7" t="s">
        <v>17</v>
      </c>
      <c r="F233" s="2"/>
    </row>
    <row r="234" spans="1:6" ht="14.5">
      <c r="A234" s="8">
        <v>9</v>
      </c>
      <c r="B234" s="7" t="str">
        <f>المدخلات!$F$5</f>
        <v>5:20–6:30 م</v>
      </c>
      <c r="C234" s="7">
        <v>3</v>
      </c>
      <c r="D234" s="7" t="s">
        <v>593</v>
      </c>
      <c r="E234" s="7" t="s">
        <v>1112</v>
      </c>
      <c r="F234" s="2"/>
    </row>
    <row r="235" spans="1:6" ht="14.5">
      <c r="A235" s="8">
        <v>9</v>
      </c>
      <c r="B235" s="7" t="str">
        <f>المدخلات!$F$5</f>
        <v>5:20–6:30 م</v>
      </c>
      <c r="C235" s="7">
        <v>4</v>
      </c>
      <c r="D235" s="7" t="s">
        <v>593</v>
      </c>
      <c r="E235" s="7" t="s">
        <v>698</v>
      </c>
      <c r="F235" s="2"/>
    </row>
    <row r="236" spans="1:6" ht="14.5">
      <c r="A236" s="8">
        <v>9</v>
      </c>
      <c r="B236" s="7" t="str">
        <f>المدخلات!$F$6</f>
        <v>6:40–7:50 م</v>
      </c>
      <c r="C236" s="7">
        <v>1</v>
      </c>
      <c r="D236" s="7" t="s">
        <v>593</v>
      </c>
      <c r="E236" s="7" t="s">
        <v>62</v>
      </c>
      <c r="F236" s="2"/>
    </row>
    <row r="237" spans="1:6" ht="14.5">
      <c r="A237" s="8">
        <v>9</v>
      </c>
      <c r="B237" s="7" t="str">
        <f>المدخلات!$F$6</f>
        <v>6:40–7:50 م</v>
      </c>
      <c r="C237" s="7">
        <v>2</v>
      </c>
      <c r="D237" s="7" t="s">
        <v>593</v>
      </c>
      <c r="E237" s="7" t="s">
        <v>90</v>
      </c>
      <c r="F237" s="2"/>
    </row>
    <row r="238" spans="1:6" ht="14.5">
      <c r="A238" s="8">
        <v>9</v>
      </c>
      <c r="B238" s="7" t="str">
        <f>المدخلات!$F$4</f>
        <v>4:00–5:10 م</v>
      </c>
      <c r="C238" s="7">
        <v>5</v>
      </c>
      <c r="D238" s="7" t="s">
        <v>594</v>
      </c>
      <c r="E238" s="7" t="s">
        <v>311</v>
      </c>
      <c r="F238" s="2"/>
    </row>
    <row r="239" spans="1:6" ht="14.5">
      <c r="A239" s="8">
        <v>9</v>
      </c>
      <c r="B239" s="7" t="str">
        <f>المدخلات!$F$4</f>
        <v>4:00–5:10 م</v>
      </c>
      <c r="C239" s="7">
        <v>6</v>
      </c>
      <c r="D239" s="7" t="s">
        <v>594</v>
      </c>
      <c r="E239" s="7" t="s">
        <v>230</v>
      </c>
      <c r="F239" s="2"/>
    </row>
    <row r="240" spans="1:6" ht="14.5">
      <c r="A240" s="8">
        <v>9</v>
      </c>
      <c r="B240" s="7" t="str">
        <f>المدخلات!$F$4</f>
        <v>4:00–5:10 م</v>
      </c>
      <c r="C240" s="7">
        <v>7</v>
      </c>
      <c r="D240" s="7" t="s">
        <v>594</v>
      </c>
      <c r="E240" s="7" t="s">
        <v>899</v>
      </c>
      <c r="F240" s="2"/>
    </row>
    <row r="241" spans="1:6" ht="14.5">
      <c r="A241" s="8">
        <v>9</v>
      </c>
      <c r="B241" s="7" t="str">
        <f>المدخلات!$F$5</f>
        <v>5:20–6:30 م</v>
      </c>
      <c r="C241" s="7">
        <v>5</v>
      </c>
      <c r="D241" s="7" t="s">
        <v>594</v>
      </c>
      <c r="E241" s="7" t="s">
        <v>1279</v>
      </c>
      <c r="F241" s="2"/>
    </row>
    <row r="242" spans="1:6" ht="14.5">
      <c r="A242" s="8">
        <v>9</v>
      </c>
      <c r="B242" s="7" t="str">
        <f>المدخلات!$F$5</f>
        <v>5:20–6:30 م</v>
      </c>
      <c r="C242" s="7">
        <v>6</v>
      </c>
      <c r="D242" s="7" t="s">
        <v>594</v>
      </c>
      <c r="E242" s="7" t="s">
        <v>1277</v>
      </c>
      <c r="F242" s="2"/>
    </row>
    <row r="243" spans="1:6" ht="14.5">
      <c r="A243" s="8">
        <v>9</v>
      </c>
      <c r="B243" s="7" t="str">
        <f>المدخلات!$F$5</f>
        <v>5:20–6:30 م</v>
      </c>
      <c r="C243" s="7">
        <v>7</v>
      </c>
      <c r="D243" s="7" t="s">
        <v>594</v>
      </c>
      <c r="E243" s="7" t="s">
        <v>1278</v>
      </c>
      <c r="F243" s="2"/>
    </row>
    <row r="244" spans="1:6" ht="14.5">
      <c r="A244" s="8">
        <v>9</v>
      </c>
      <c r="B244" s="7" t="str">
        <f>المدخلات!$F$6</f>
        <v>6:40–7:50 م</v>
      </c>
      <c r="C244" s="7">
        <v>5</v>
      </c>
      <c r="D244" s="7" t="s">
        <v>594</v>
      </c>
      <c r="E244" s="7" t="s">
        <v>355</v>
      </c>
      <c r="F244" s="2"/>
    </row>
    <row r="245" spans="1:6" ht="14.5">
      <c r="A245" s="8">
        <v>9</v>
      </c>
      <c r="B245" s="7" t="str">
        <f>المدخلات!$F$6</f>
        <v>6:40–7:50 م</v>
      </c>
      <c r="C245" s="7">
        <v>6</v>
      </c>
      <c r="D245" s="7" t="s">
        <v>594</v>
      </c>
      <c r="E245" s="7" t="s">
        <v>297</v>
      </c>
      <c r="F245" s="2"/>
    </row>
    <row r="246" spans="1:6" ht="14.5">
      <c r="A246" s="8">
        <v>9</v>
      </c>
      <c r="B246" s="7" t="str">
        <f>المدخلات!$F$6</f>
        <v>6:40–7:50 م</v>
      </c>
      <c r="C246" s="7">
        <v>7</v>
      </c>
      <c r="D246" s="7" t="s">
        <v>594</v>
      </c>
      <c r="E246" s="7" t="s">
        <v>897</v>
      </c>
      <c r="F246" s="2"/>
    </row>
    <row r="247" spans="1:6" ht="14.5">
      <c r="A247" s="8">
        <v>9</v>
      </c>
      <c r="B247" s="7" t="str">
        <f>المدخلات!$F$4</f>
        <v>4:00–5:10 م</v>
      </c>
      <c r="C247" s="7">
        <v>8</v>
      </c>
      <c r="D247" s="7" t="s">
        <v>595</v>
      </c>
      <c r="E247" s="7" t="s">
        <v>505</v>
      </c>
      <c r="F247" s="2"/>
    </row>
    <row r="248" spans="1:6" ht="14.5">
      <c r="A248" s="8">
        <v>9</v>
      </c>
      <c r="B248" s="7" t="str">
        <f>المدخلات!$F$4</f>
        <v>4:00–5:10 م</v>
      </c>
      <c r="C248" s="7">
        <v>9</v>
      </c>
      <c r="D248" s="7" t="s">
        <v>595</v>
      </c>
      <c r="E248" s="7" t="s">
        <v>410</v>
      </c>
      <c r="F248" s="2"/>
    </row>
    <row r="249" spans="1:6" ht="14.5">
      <c r="A249" s="8">
        <v>9</v>
      </c>
      <c r="B249" s="7" t="str">
        <f>المدخلات!$F$4</f>
        <v>4:00–5:10 م</v>
      </c>
      <c r="C249" s="7">
        <v>10</v>
      </c>
      <c r="D249" s="7" t="s">
        <v>595</v>
      </c>
      <c r="E249" s="7" t="s">
        <v>1281</v>
      </c>
      <c r="F249" s="2"/>
    </row>
    <row r="250" spans="1:6" ht="14.5">
      <c r="A250" s="8">
        <v>9</v>
      </c>
      <c r="B250" s="7" t="str">
        <f>المدخلات!$F$5</f>
        <v>5:20–6:30 م</v>
      </c>
      <c r="C250" s="7">
        <v>8</v>
      </c>
      <c r="D250" s="7" t="s">
        <v>595</v>
      </c>
      <c r="E250" s="7" t="s">
        <v>1283</v>
      </c>
      <c r="F250" s="2"/>
    </row>
    <row r="251" spans="1:6" ht="14.5">
      <c r="A251" s="8">
        <v>9</v>
      </c>
      <c r="B251" s="7" t="str">
        <f>المدخلات!$F$5</f>
        <v>5:20–6:30 م</v>
      </c>
      <c r="C251" s="7">
        <v>9</v>
      </c>
      <c r="D251" s="7" t="s">
        <v>595</v>
      </c>
      <c r="E251" s="7" t="s">
        <v>1280</v>
      </c>
      <c r="F251" s="2"/>
    </row>
    <row r="252" spans="1:6" ht="14.5">
      <c r="A252" s="8">
        <v>9</v>
      </c>
      <c r="B252" s="7" t="str">
        <f>المدخلات!$F$5</f>
        <v>5:20–6:30 م</v>
      </c>
      <c r="C252" s="7">
        <v>10</v>
      </c>
      <c r="D252" s="7" t="s">
        <v>595</v>
      </c>
      <c r="E252" s="7" t="s">
        <v>1282</v>
      </c>
      <c r="F252" s="2"/>
    </row>
    <row r="253" spans="1:6" ht="14.5">
      <c r="A253" s="8">
        <v>9</v>
      </c>
      <c r="B253" s="7" t="str">
        <f>المدخلات!$F$6</f>
        <v>6:40–7:50 م</v>
      </c>
      <c r="C253" s="7">
        <v>8</v>
      </c>
      <c r="D253" s="7" t="s">
        <v>595</v>
      </c>
      <c r="E253" s="7" t="s">
        <v>525</v>
      </c>
      <c r="F253" s="2"/>
    </row>
    <row r="254" spans="1:6" ht="14.5">
      <c r="A254" s="8">
        <v>9</v>
      </c>
      <c r="B254" s="7" t="str">
        <f>المدخلات!$F$6</f>
        <v>6:40–7:50 م</v>
      </c>
      <c r="C254" s="7">
        <v>9</v>
      </c>
      <c r="D254" s="7" t="s">
        <v>595</v>
      </c>
      <c r="E254" s="7" t="s">
        <v>494</v>
      </c>
      <c r="F254" s="2"/>
    </row>
    <row r="255" spans="1:6" ht="14.5">
      <c r="A255" s="8">
        <v>9</v>
      </c>
      <c r="B255" s="7" t="str">
        <f>المدخلات!$F$6</f>
        <v>6:40–7:50 م</v>
      </c>
      <c r="C255" s="7">
        <v>10</v>
      </c>
      <c r="D255" s="7" t="s">
        <v>595</v>
      </c>
      <c r="E255" s="7" t="s">
        <v>922</v>
      </c>
      <c r="F255" s="2"/>
    </row>
    <row r="256" spans="1:6" ht="14.5">
      <c r="A256" s="8">
        <v>10</v>
      </c>
      <c r="B256" s="7" t="str">
        <f>المدخلات!$F$4</f>
        <v>4:00–5:10 م</v>
      </c>
      <c r="C256" s="7">
        <v>1</v>
      </c>
      <c r="D256" s="7" t="s">
        <v>593</v>
      </c>
      <c r="E256" s="7" t="s">
        <v>117</v>
      </c>
      <c r="F256" s="2"/>
    </row>
    <row r="257" spans="1:6" ht="14.5">
      <c r="A257" s="8">
        <v>10</v>
      </c>
      <c r="B257" s="7" t="str">
        <f>المدخلات!$F$4</f>
        <v>4:00–5:10 م</v>
      </c>
      <c r="C257" s="7">
        <v>2</v>
      </c>
      <c r="D257" s="7" t="s">
        <v>593</v>
      </c>
      <c r="E257" s="7" t="s">
        <v>1113</v>
      </c>
      <c r="F257" s="2"/>
    </row>
    <row r="258" spans="1:6" ht="14.5">
      <c r="A258" s="8">
        <v>10</v>
      </c>
      <c r="B258" s="7" t="str">
        <f>المدخلات!$F$4</f>
        <v>4:00–5:10 م</v>
      </c>
      <c r="C258" s="7">
        <v>3</v>
      </c>
      <c r="D258" s="7" t="s">
        <v>593</v>
      </c>
      <c r="E258" s="7" t="s">
        <v>64</v>
      </c>
      <c r="F258" s="2"/>
    </row>
    <row r="259" spans="1:6" ht="14.5">
      <c r="A259" s="8">
        <v>10</v>
      </c>
      <c r="B259" s="7" t="str">
        <f>المدخلات!$F$4</f>
        <v>4:00–5:10 م</v>
      </c>
      <c r="C259" s="7">
        <v>4</v>
      </c>
      <c r="D259" s="7" t="s">
        <v>593</v>
      </c>
      <c r="E259" s="7" t="s">
        <v>914</v>
      </c>
      <c r="F259" s="2"/>
    </row>
    <row r="260" spans="1:6" ht="14.5">
      <c r="A260" s="8">
        <v>10</v>
      </c>
      <c r="B260" s="7" t="str">
        <f>المدخلات!$F$5</f>
        <v>5:20–6:30 م</v>
      </c>
      <c r="C260" s="7">
        <v>1</v>
      </c>
      <c r="D260" s="7" t="s">
        <v>593</v>
      </c>
      <c r="E260" s="7" t="s">
        <v>866</v>
      </c>
      <c r="F260" s="2"/>
    </row>
    <row r="261" spans="1:6" ht="14.5">
      <c r="A261" s="8">
        <v>10</v>
      </c>
      <c r="B261" s="7" t="str">
        <f>المدخلات!$F$5</f>
        <v>5:20–6:30 م</v>
      </c>
      <c r="C261" s="7">
        <v>2</v>
      </c>
      <c r="D261" s="7" t="s">
        <v>593</v>
      </c>
      <c r="E261" s="7" t="s">
        <v>95</v>
      </c>
      <c r="F261" s="2"/>
    </row>
    <row r="262" spans="1:6" ht="14.5">
      <c r="A262" s="8">
        <v>10</v>
      </c>
      <c r="B262" s="7" t="str">
        <f>المدخلات!$F$5</f>
        <v>5:20–6:30 م</v>
      </c>
      <c r="C262" s="7">
        <v>3</v>
      </c>
      <c r="D262" s="7" t="s">
        <v>593</v>
      </c>
      <c r="E262" s="7" t="s">
        <v>149</v>
      </c>
      <c r="F262" s="2"/>
    </row>
    <row r="263" spans="1:6" ht="14.5">
      <c r="A263" s="8">
        <v>10</v>
      </c>
      <c r="B263" s="7" t="str">
        <f>المدخلات!$F$5</f>
        <v>5:20–6:30 م</v>
      </c>
      <c r="C263" s="7">
        <v>4</v>
      </c>
      <c r="D263" s="7" t="s">
        <v>593</v>
      </c>
      <c r="E263" s="7" t="s">
        <v>91</v>
      </c>
      <c r="F263" s="2"/>
    </row>
    <row r="264" spans="1:6" ht="14.5">
      <c r="A264" s="8">
        <v>10</v>
      </c>
      <c r="B264" s="7" t="str">
        <f>المدخلات!$F$6</f>
        <v>6:40–7:50 م</v>
      </c>
      <c r="C264" s="7">
        <v>1</v>
      </c>
      <c r="D264" s="7" t="s">
        <v>593</v>
      </c>
      <c r="E264" s="7" t="s">
        <v>915</v>
      </c>
      <c r="F264" s="2"/>
    </row>
    <row r="265" spans="1:6" ht="14.5">
      <c r="A265" s="8">
        <v>10</v>
      </c>
      <c r="B265" s="7" t="str">
        <f>المدخلات!$F$6</f>
        <v>6:40–7:50 م</v>
      </c>
      <c r="C265" s="7">
        <v>2</v>
      </c>
      <c r="D265" s="7" t="s">
        <v>593</v>
      </c>
      <c r="E265" s="7" t="s">
        <v>118</v>
      </c>
      <c r="F265" s="2"/>
    </row>
    <row r="266" spans="1:6" ht="14.5">
      <c r="A266" s="8">
        <v>10</v>
      </c>
      <c r="B266" s="7" t="str">
        <f>المدخلات!$F$4</f>
        <v>4:00–5:10 م</v>
      </c>
      <c r="C266" s="7">
        <v>5</v>
      </c>
      <c r="D266" s="7" t="s">
        <v>594</v>
      </c>
      <c r="E266" s="7" t="s">
        <v>1285</v>
      </c>
      <c r="F266" s="2"/>
    </row>
    <row r="267" spans="1:6" ht="14.5">
      <c r="A267" s="8">
        <v>10</v>
      </c>
      <c r="B267" s="7" t="str">
        <f>المدخلات!$F$4</f>
        <v>4:00–5:10 م</v>
      </c>
      <c r="C267" s="7">
        <v>6</v>
      </c>
      <c r="D267" s="7" t="s">
        <v>594</v>
      </c>
      <c r="E267" s="7" t="s">
        <v>358</v>
      </c>
      <c r="F267" s="2"/>
    </row>
    <row r="268" spans="1:6" ht="14.5">
      <c r="A268" s="8">
        <v>10</v>
      </c>
      <c r="B268" s="7" t="str">
        <f>المدخلات!$F$4</f>
        <v>4:00–5:10 م</v>
      </c>
      <c r="C268" s="7">
        <v>7</v>
      </c>
      <c r="D268" s="7" t="s">
        <v>594</v>
      </c>
      <c r="E268" s="7" t="s">
        <v>1284</v>
      </c>
      <c r="F268" s="2"/>
    </row>
    <row r="269" spans="1:6" ht="14.5">
      <c r="A269" s="8">
        <v>10</v>
      </c>
      <c r="B269" s="7" t="str">
        <f>المدخلات!$F$5</f>
        <v>5:20–6:30 م</v>
      </c>
      <c r="C269" s="7">
        <v>5</v>
      </c>
      <c r="D269" s="7" t="s">
        <v>594</v>
      </c>
      <c r="E269" s="7" t="s">
        <v>298</v>
      </c>
      <c r="F269" s="2"/>
    </row>
    <row r="270" spans="1:6" ht="14.5">
      <c r="A270" s="8">
        <v>10</v>
      </c>
      <c r="B270" s="7" t="str">
        <f>المدخلات!$F$5</f>
        <v>5:20–6:30 م</v>
      </c>
      <c r="C270" s="7">
        <v>6</v>
      </c>
      <c r="D270" s="7" t="s">
        <v>594</v>
      </c>
      <c r="E270" s="7" t="s">
        <v>357</v>
      </c>
      <c r="F270" s="2"/>
    </row>
    <row r="271" spans="1:6" ht="14.5">
      <c r="A271" s="8">
        <v>10</v>
      </c>
      <c r="B271" s="7" t="str">
        <f>المدخلات!$F$5</f>
        <v>5:20–6:30 م</v>
      </c>
      <c r="C271" s="7">
        <v>7</v>
      </c>
      <c r="D271" s="7" t="s">
        <v>594</v>
      </c>
      <c r="E271" s="7" t="s">
        <v>320</v>
      </c>
      <c r="F271" s="2"/>
    </row>
    <row r="272" spans="1:6" ht="14.5">
      <c r="A272" s="8">
        <v>10</v>
      </c>
      <c r="B272" s="7" t="str">
        <f>المدخلات!$F$6</f>
        <v>6:40–7:50 م</v>
      </c>
      <c r="C272" s="7">
        <v>5</v>
      </c>
      <c r="D272" s="7" t="s">
        <v>594</v>
      </c>
      <c r="E272" s="7" t="s">
        <v>287</v>
      </c>
      <c r="F272" s="2"/>
    </row>
    <row r="273" spans="1:6" ht="14.5">
      <c r="A273" s="8">
        <v>10</v>
      </c>
      <c r="B273" s="7" t="str">
        <f>المدخلات!$F$6</f>
        <v>6:40–7:50 م</v>
      </c>
      <c r="C273" s="7">
        <v>6</v>
      </c>
      <c r="D273" s="7" t="s">
        <v>594</v>
      </c>
      <c r="E273" s="7" t="s">
        <v>903</v>
      </c>
      <c r="F273" s="2"/>
    </row>
    <row r="274" spans="1:6" ht="14.5">
      <c r="A274" s="8">
        <v>10</v>
      </c>
      <c r="B274" s="7" t="str">
        <f>المدخلات!$F$6</f>
        <v>6:40–7:50 م</v>
      </c>
      <c r="C274" s="7">
        <v>7</v>
      </c>
      <c r="D274" s="7" t="s">
        <v>594</v>
      </c>
      <c r="E274" s="7" t="s">
        <v>683</v>
      </c>
      <c r="F274" s="2"/>
    </row>
    <row r="275" spans="1:6" ht="14.5">
      <c r="A275" s="8">
        <v>10</v>
      </c>
      <c r="B275" s="7" t="str">
        <f>المدخلات!$F$4</f>
        <v>4:00–5:10 م</v>
      </c>
      <c r="C275" s="7">
        <v>8</v>
      </c>
      <c r="D275" s="7" t="s">
        <v>595</v>
      </c>
      <c r="E275" s="7" t="s">
        <v>1288</v>
      </c>
      <c r="F275" s="2"/>
    </row>
    <row r="276" spans="1:6" ht="14.5">
      <c r="A276" s="8">
        <v>10</v>
      </c>
      <c r="B276" s="7" t="str">
        <f>المدخلات!$F$4</f>
        <v>4:00–5:10 م</v>
      </c>
      <c r="C276" s="7">
        <v>9</v>
      </c>
      <c r="D276" s="7" t="s">
        <v>595</v>
      </c>
      <c r="E276" s="7" t="s">
        <v>544</v>
      </c>
      <c r="F276" s="2"/>
    </row>
    <row r="277" spans="1:6" ht="14.5">
      <c r="A277" s="8">
        <v>10</v>
      </c>
      <c r="B277" s="7" t="str">
        <f>المدخلات!$F$4</f>
        <v>4:00–5:10 م</v>
      </c>
      <c r="C277" s="7">
        <v>10</v>
      </c>
      <c r="D277" s="7" t="s">
        <v>595</v>
      </c>
      <c r="E277" s="7" t="s">
        <v>1286</v>
      </c>
      <c r="F277" s="2"/>
    </row>
    <row r="278" spans="1:6" ht="14.5">
      <c r="A278" s="8">
        <v>10</v>
      </c>
      <c r="B278" s="7" t="str">
        <f>المدخلات!$F$5</f>
        <v>5:20–6:30 م</v>
      </c>
      <c r="C278" s="7">
        <v>8</v>
      </c>
      <c r="D278" s="7" t="s">
        <v>595</v>
      </c>
      <c r="E278" s="7" t="s">
        <v>495</v>
      </c>
      <c r="F278" s="2"/>
    </row>
    <row r="279" spans="1:6" ht="14.5">
      <c r="A279" s="8">
        <v>10</v>
      </c>
      <c r="B279" s="7" t="str">
        <f>المدخلات!$F$5</f>
        <v>5:20–6:30 م</v>
      </c>
      <c r="C279" s="7">
        <v>9</v>
      </c>
      <c r="D279" s="7" t="s">
        <v>595</v>
      </c>
      <c r="E279" s="7" t="s">
        <v>526</v>
      </c>
      <c r="F279" s="2"/>
    </row>
    <row r="280" spans="1:6" ht="14.5">
      <c r="A280" s="8">
        <v>10</v>
      </c>
      <c r="B280" s="7" t="str">
        <f>المدخلات!$F$5</f>
        <v>5:20–6:30 م</v>
      </c>
      <c r="C280" s="7">
        <v>10</v>
      </c>
      <c r="D280" s="7" t="s">
        <v>595</v>
      </c>
      <c r="E280" s="7" t="s">
        <v>484</v>
      </c>
      <c r="F280" s="2"/>
    </row>
    <row r="281" spans="1:6" ht="14.5">
      <c r="A281" s="8">
        <v>10</v>
      </c>
      <c r="B281" s="7" t="str">
        <f>المدخلات!$F$6</f>
        <v>6:40–7:50 م</v>
      </c>
      <c r="C281" s="7">
        <v>8</v>
      </c>
      <c r="D281" s="7" t="s">
        <v>595</v>
      </c>
      <c r="E281" s="7" t="s">
        <v>476</v>
      </c>
      <c r="F281" s="2"/>
    </row>
    <row r="282" spans="1:6" ht="14.5">
      <c r="A282" s="8">
        <v>10</v>
      </c>
      <c r="B282" s="7" t="str">
        <f>المدخلات!$F$6</f>
        <v>6:40–7:50 م</v>
      </c>
      <c r="C282" s="7">
        <v>9</v>
      </c>
      <c r="D282" s="7" t="s">
        <v>595</v>
      </c>
      <c r="E282" s="7" t="s">
        <v>1287</v>
      </c>
      <c r="F282" s="2"/>
    </row>
    <row r="283" spans="1:6" ht="14.5">
      <c r="A283" s="8">
        <v>10</v>
      </c>
      <c r="B283" s="7" t="str">
        <f>المدخلات!$F$6</f>
        <v>6:40–7:50 م</v>
      </c>
      <c r="C283" s="7">
        <v>10</v>
      </c>
      <c r="D283" s="7" t="s">
        <v>595</v>
      </c>
      <c r="E283" s="7" t="s">
        <v>926</v>
      </c>
      <c r="F283" s="2"/>
    </row>
    <row r="284" spans="1:6" ht="14.5">
      <c r="A284" s="8">
        <v>11</v>
      </c>
      <c r="B284" s="7" t="str">
        <f>المدخلات!$F$4</f>
        <v>4:00–5:10 م</v>
      </c>
      <c r="C284" s="7">
        <v>1</v>
      </c>
      <c r="D284" s="7" t="s">
        <v>593</v>
      </c>
      <c r="E284" s="7" t="s">
        <v>724</v>
      </c>
      <c r="F284" s="2"/>
    </row>
    <row r="285" spans="1:6" ht="14.5">
      <c r="A285" s="8">
        <v>11</v>
      </c>
      <c r="B285" s="7" t="str">
        <f>المدخلات!$F$4</f>
        <v>4:00–5:10 م</v>
      </c>
      <c r="C285" s="7">
        <v>2</v>
      </c>
      <c r="D285" s="7" t="s">
        <v>593</v>
      </c>
      <c r="E285" s="7" t="s">
        <v>727</v>
      </c>
      <c r="F285" s="2"/>
    </row>
    <row r="286" spans="1:6" ht="14.5">
      <c r="A286" s="8">
        <v>11</v>
      </c>
      <c r="B286" s="7" t="str">
        <f>المدخلات!$F$4</f>
        <v>4:00–5:10 م</v>
      </c>
      <c r="C286" s="7">
        <v>3</v>
      </c>
      <c r="D286" s="7" t="s">
        <v>593</v>
      </c>
      <c r="E286" s="7" t="s">
        <v>52</v>
      </c>
      <c r="F286" s="2"/>
    </row>
    <row r="287" spans="1:6" ht="14.5">
      <c r="A287" s="8">
        <v>11</v>
      </c>
      <c r="B287" s="7" t="str">
        <f>المدخلات!$F$4</f>
        <v>4:00–5:10 م</v>
      </c>
      <c r="C287" s="7">
        <v>4</v>
      </c>
      <c r="D287" s="7" t="s">
        <v>593</v>
      </c>
      <c r="E287" s="7" t="s">
        <v>917</v>
      </c>
      <c r="F287" s="2"/>
    </row>
    <row r="288" spans="1:6" ht="14.5">
      <c r="A288" s="8">
        <v>11</v>
      </c>
      <c r="B288" s="7" t="str">
        <f>المدخلات!$F$5</f>
        <v>5:20–6:30 م</v>
      </c>
      <c r="C288" s="7">
        <v>1</v>
      </c>
      <c r="D288" s="7" t="s">
        <v>593</v>
      </c>
      <c r="E288" s="7" t="s">
        <v>196</v>
      </c>
      <c r="F288" s="2"/>
    </row>
    <row r="289" spans="1:6" ht="14.5">
      <c r="A289" s="8">
        <v>11</v>
      </c>
      <c r="B289" s="7" t="str">
        <f>المدخلات!$F$5</f>
        <v>5:20–6:30 م</v>
      </c>
      <c r="C289" s="7">
        <v>2</v>
      </c>
      <c r="D289" s="7" t="s">
        <v>593</v>
      </c>
      <c r="E289" s="7" t="s">
        <v>723</v>
      </c>
      <c r="F289" s="2"/>
    </row>
    <row r="290" spans="1:6" ht="14.5">
      <c r="A290" s="8">
        <v>11</v>
      </c>
      <c r="B290" s="7" t="str">
        <f>المدخلات!$F$5</f>
        <v>5:20–6:30 م</v>
      </c>
      <c r="C290" s="7">
        <v>3</v>
      </c>
      <c r="D290" s="7" t="s">
        <v>593</v>
      </c>
      <c r="E290" s="7" t="s">
        <v>725</v>
      </c>
      <c r="F290" s="2"/>
    </row>
    <row r="291" spans="1:6" ht="14.5">
      <c r="A291" s="8">
        <v>11</v>
      </c>
      <c r="B291" s="7" t="str">
        <f>المدخلات!$F$5</f>
        <v>5:20–6:30 م</v>
      </c>
      <c r="C291" s="7">
        <v>4</v>
      </c>
      <c r="D291" s="7" t="s">
        <v>593</v>
      </c>
      <c r="E291" s="7" t="s">
        <v>43</v>
      </c>
      <c r="F291" s="2"/>
    </row>
    <row r="292" spans="1:6" ht="14.5">
      <c r="A292" s="8">
        <v>11</v>
      </c>
      <c r="B292" s="7" t="str">
        <f>المدخلات!$F$6</f>
        <v>6:40–7:50 م</v>
      </c>
      <c r="C292" s="7">
        <v>1</v>
      </c>
      <c r="D292" s="7" t="s">
        <v>593</v>
      </c>
      <c r="E292" s="7" t="s">
        <v>726</v>
      </c>
      <c r="F292" s="2"/>
    </row>
    <row r="293" spans="1:6" ht="14.5">
      <c r="A293" s="8">
        <v>11</v>
      </c>
      <c r="B293" s="7" t="str">
        <f>المدخلات!$F$6</f>
        <v>6:40–7:50 م</v>
      </c>
      <c r="C293" s="7">
        <v>2</v>
      </c>
      <c r="D293" s="7" t="s">
        <v>593</v>
      </c>
      <c r="E293" s="7" t="s">
        <v>68</v>
      </c>
      <c r="F293" s="2"/>
    </row>
    <row r="294" spans="1:6" ht="14.5">
      <c r="A294" s="8">
        <v>11</v>
      </c>
      <c r="B294" s="7" t="str">
        <f>المدخلات!$F$4</f>
        <v>4:00–5:10 م</v>
      </c>
      <c r="C294" s="7">
        <v>5</v>
      </c>
      <c r="D294" s="7" t="s">
        <v>594</v>
      </c>
      <c r="E294" s="7" t="s">
        <v>906</v>
      </c>
      <c r="F294" s="2"/>
    </row>
    <row r="295" spans="1:6" ht="14.5">
      <c r="A295" s="8">
        <v>11</v>
      </c>
      <c r="B295" s="7" t="str">
        <f>المدخلات!$F$4</f>
        <v>4:00–5:10 م</v>
      </c>
      <c r="C295" s="7">
        <v>6</v>
      </c>
      <c r="D295" s="7" t="s">
        <v>594</v>
      </c>
      <c r="E295" s="7" t="s">
        <v>1289</v>
      </c>
      <c r="F295" s="2"/>
    </row>
    <row r="296" spans="1:6" ht="14.5">
      <c r="A296" s="8">
        <v>11</v>
      </c>
      <c r="B296" s="7" t="str">
        <f>المدخلات!$F$4</f>
        <v>4:00–5:10 م</v>
      </c>
      <c r="C296" s="7">
        <v>7</v>
      </c>
      <c r="D296" s="7" t="s">
        <v>594</v>
      </c>
      <c r="E296" s="7" t="s">
        <v>907</v>
      </c>
      <c r="F296" s="2"/>
    </row>
    <row r="297" spans="1:6" ht="14.5">
      <c r="A297" s="8">
        <v>11</v>
      </c>
      <c r="B297" s="7" t="str">
        <f>المدخلات!$F$5</f>
        <v>5:20–6:30 م</v>
      </c>
      <c r="C297" s="7">
        <v>5</v>
      </c>
      <c r="D297" s="7" t="s">
        <v>594</v>
      </c>
      <c r="E297" s="7" t="s">
        <v>288</v>
      </c>
      <c r="F297" s="2"/>
    </row>
    <row r="298" spans="1:6" ht="14.5">
      <c r="A298" s="8">
        <v>11</v>
      </c>
      <c r="B298" s="7" t="str">
        <f>المدخلات!$F$5</f>
        <v>5:20–6:30 م</v>
      </c>
      <c r="C298" s="7">
        <v>6</v>
      </c>
      <c r="D298" s="7" t="s">
        <v>594</v>
      </c>
      <c r="E298" s="7" t="s">
        <v>314</v>
      </c>
      <c r="F298" s="2"/>
    </row>
    <row r="299" spans="1:6" ht="14.5">
      <c r="A299" s="8">
        <v>11</v>
      </c>
      <c r="B299" s="7" t="str">
        <f>المدخلات!$F$5</f>
        <v>5:20–6:30 م</v>
      </c>
      <c r="C299" s="7">
        <v>7</v>
      </c>
      <c r="D299" s="7" t="s">
        <v>594</v>
      </c>
      <c r="E299" s="7" t="s">
        <v>908</v>
      </c>
      <c r="F299" s="2"/>
    </row>
    <row r="300" spans="1:6" ht="14.5">
      <c r="A300" s="8">
        <v>11</v>
      </c>
      <c r="B300" s="7" t="str">
        <f>المدخلات!$F$6</f>
        <v>6:40–7:50 م</v>
      </c>
      <c r="C300" s="7">
        <v>5</v>
      </c>
      <c r="D300" s="7" t="s">
        <v>594</v>
      </c>
      <c r="E300" s="7" t="s">
        <v>1183</v>
      </c>
      <c r="F300" s="2"/>
    </row>
    <row r="301" spans="1:6" ht="14.5">
      <c r="A301" s="8">
        <v>11</v>
      </c>
      <c r="B301" s="7" t="str">
        <f>المدخلات!$F$6</f>
        <v>6:40–7:50 م</v>
      </c>
      <c r="C301" s="7">
        <v>6</v>
      </c>
      <c r="D301" s="7" t="s">
        <v>594</v>
      </c>
      <c r="E301" s="7" t="s">
        <v>689</v>
      </c>
      <c r="F301" s="2"/>
    </row>
    <row r="302" spans="1:6" ht="14.5">
      <c r="A302" s="8">
        <v>11</v>
      </c>
      <c r="B302" s="7" t="str">
        <f>المدخلات!$F$6</f>
        <v>6:40–7:50 م</v>
      </c>
      <c r="C302" s="7">
        <v>7</v>
      </c>
      <c r="D302" s="7" t="s">
        <v>594</v>
      </c>
      <c r="E302" s="7" t="s">
        <v>278</v>
      </c>
      <c r="F302" s="2"/>
    </row>
    <row r="303" spans="1:6" ht="14.5">
      <c r="A303" s="8">
        <v>11</v>
      </c>
      <c r="B303" s="7" t="str">
        <f>المدخلات!$F$4</f>
        <v>4:00–5:10 م</v>
      </c>
      <c r="C303" s="7">
        <v>8</v>
      </c>
      <c r="D303" s="7" t="s">
        <v>595</v>
      </c>
      <c r="E303" s="7" t="s">
        <v>931</v>
      </c>
      <c r="F303" s="2"/>
    </row>
    <row r="304" spans="1:6" ht="14.5">
      <c r="A304" s="8">
        <v>11</v>
      </c>
      <c r="B304" s="7" t="str">
        <f>المدخلات!$F$4</f>
        <v>4:00–5:10 م</v>
      </c>
      <c r="C304" s="7">
        <v>9</v>
      </c>
      <c r="D304" s="7" t="s">
        <v>595</v>
      </c>
      <c r="E304" s="7" t="s">
        <v>1291</v>
      </c>
      <c r="F304" s="2"/>
    </row>
    <row r="305" spans="1:6" ht="14.5">
      <c r="A305" s="8">
        <v>11</v>
      </c>
      <c r="B305" s="7" t="str">
        <f>المدخلات!$F$4</f>
        <v>4:00–5:10 م</v>
      </c>
      <c r="C305" s="7">
        <v>10</v>
      </c>
      <c r="D305" s="7" t="s">
        <v>595</v>
      </c>
      <c r="E305" s="7" t="s">
        <v>1290</v>
      </c>
      <c r="F305" s="2"/>
    </row>
    <row r="306" spans="1:6" ht="14.5">
      <c r="A306" s="8">
        <v>11</v>
      </c>
      <c r="B306" s="7" t="str">
        <f>المدخلات!$F$5</f>
        <v>5:20–6:30 م</v>
      </c>
      <c r="C306" s="7">
        <v>8</v>
      </c>
      <c r="D306" s="7" t="s">
        <v>595</v>
      </c>
      <c r="E306" s="7" t="s">
        <v>478</v>
      </c>
      <c r="F306" s="2"/>
    </row>
    <row r="307" spans="1:6" ht="14.5">
      <c r="A307" s="8">
        <v>11</v>
      </c>
      <c r="B307" s="7" t="str">
        <f>المدخلات!$F$5</f>
        <v>5:20–6:30 م</v>
      </c>
      <c r="C307" s="7">
        <v>9</v>
      </c>
      <c r="D307" s="7" t="s">
        <v>595</v>
      </c>
      <c r="E307" s="7" t="s">
        <v>507</v>
      </c>
      <c r="F307" s="2"/>
    </row>
    <row r="308" spans="1:6" ht="14.5">
      <c r="A308" s="8">
        <v>11</v>
      </c>
      <c r="B308" s="7" t="str">
        <f>المدخلات!$F$5</f>
        <v>5:20–6:30 م</v>
      </c>
      <c r="C308" s="7">
        <v>10</v>
      </c>
      <c r="D308" s="7" t="s">
        <v>595</v>
      </c>
      <c r="E308" s="7" t="s">
        <v>1292</v>
      </c>
      <c r="F308" s="2"/>
    </row>
    <row r="309" spans="1:6" ht="14.5">
      <c r="A309" s="8">
        <v>11</v>
      </c>
      <c r="B309" s="7" t="str">
        <f>المدخلات!$F$6</f>
        <v>6:40–7:50 م</v>
      </c>
      <c r="C309" s="7">
        <v>8</v>
      </c>
      <c r="D309" s="7" t="s">
        <v>595</v>
      </c>
      <c r="E309" s="7" t="s">
        <v>1293</v>
      </c>
      <c r="F309" s="2"/>
    </row>
    <row r="310" spans="1:6" ht="14.5">
      <c r="A310" s="8">
        <v>11</v>
      </c>
      <c r="B310" s="7" t="str">
        <f>المدخلات!$F$6</f>
        <v>6:40–7:50 م</v>
      </c>
      <c r="C310" s="7">
        <v>9</v>
      </c>
      <c r="D310" s="7" t="s">
        <v>595</v>
      </c>
      <c r="E310" s="7" t="s">
        <v>929</v>
      </c>
      <c r="F310" s="2"/>
    </row>
    <row r="311" spans="1:6" ht="14.5">
      <c r="A311" s="8">
        <v>11</v>
      </c>
      <c r="B311" s="7" t="str">
        <f>المدخلات!$F$6</f>
        <v>6:40–7:50 م</v>
      </c>
      <c r="C311" s="7">
        <v>10</v>
      </c>
      <c r="D311" s="7" t="s">
        <v>595</v>
      </c>
      <c r="E311" s="7" t="s">
        <v>461</v>
      </c>
      <c r="F311" s="2"/>
    </row>
    <row r="312" spans="1:6" ht="14.5">
      <c r="A312" s="8">
        <v>12</v>
      </c>
      <c r="B312" s="7" t="str">
        <f>المدخلات!$F$4</f>
        <v>4:00–5:10 م</v>
      </c>
      <c r="C312" s="7">
        <v>1</v>
      </c>
      <c r="D312" s="7" t="s">
        <v>593</v>
      </c>
      <c r="E312" s="7" t="s">
        <v>45</v>
      </c>
      <c r="F312" s="2"/>
    </row>
    <row r="313" spans="1:6" ht="14.5">
      <c r="A313" s="8">
        <v>12</v>
      </c>
      <c r="B313" s="7" t="str">
        <f>المدخلات!$F$4</f>
        <v>4:00–5:10 م</v>
      </c>
      <c r="C313" s="7">
        <v>2</v>
      </c>
      <c r="D313" s="7" t="s">
        <v>593</v>
      </c>
      <c r="E313" s="7" t="s">
        <v>197</v>
      </c>
      <c r="F313" s="2"/>
    </row>
    <row r="314" spans="1:6" ht="14.5">
      <c r="A314" s="8">
        <v>12</v>
      </c>
      <c r="B314" s="7" t="str">
        <f>المدخلات!$F$4</f>
        <v>4:00–5:10 م</v>
      </c>
      <c r="C314" s="7">
        <v>3</v>
      </c>
      <c r="D314" s="7" t="s">
        <v>593</v>
      </c>
      <c r="E314" s="7" t="s">
        <v>123</v>
      </c>
      <c r="F314" s="2"/>
    </row>
    <row r="315" spans="1:6" ht="14.5">
      <c r="A315" s="8">
        <v>12</v>
      </c>
      <c r="B315" s="7" t="str">
        <f>المدخلات!$F$4</f>
        <v>4:00–5:10 م</v>
      </c>
      <c r="C315" s="7">
        <v>4</v>
      </c>
      <c r="D315" s="7" t="s">
        <v>593</v>
      </c>
      <c r="E315" s="7" t="s">
        <v>746</v>
      </c>
      <c r="F315" s="2"/>
    </row>
    <row r="316" spans="1:6" ht="14.5">
      <c r="A316" s="8">
        <v>12</v>
      </c>
      <c r="B316" s="7" t="str">
        <f>المدخلات!$F$5</f>
        <v>5:20–6:30 م</v>
      </c>
      <c r="C316" s="7">
        <v>1</v>
      </c>
      <c r="D316" s="7" t="s">
        <v>593</v>
      </c>
      <c r="E316" s="7" t="s">
        <v>124</v>
      </c>
      <c r="F316" s="2"/>
    </row>
    <row r="317" spans="1:6" ht="14.5">
      <c r="A317" s="8">
        <v>12</v>
      </c>
      <c r="B317" s="7" t="str">
        <f>المدخلات!$F$5</f>
        <v>5:20–6:30 م</v>
      </c>
      <c r="C317" s="7">
        <v>2</v>
      </c>
      <c r="D317" s="7" t="s">
        <v>593</v>
      </c>
      <c r="E317" s="7" t="s">
        <v>60</v>
      </c>
      <c r="F317" s="2"/>
    </row>
    <row r="318" spans="1:6" ht="14.5">
      <c r="A318" s="8">
        <v>12</v>
      </c>
      <c r="B318" s="7" t="str">
        <f>المدخلات!$F$5</f>
        <v>5:20–6:30 م</v>
      </c>
      <c r="C318" s="7">
        <v>3</v>
      </c>
      <c r="D318" s="7" t="s">
        <v>593</v>
      </c>
      <c r="E318" s="7" t="s">
        <v>69</v>
      </c>
      <c r="F318" s="2"/>
    </row>
    <row r="319" spans="1:6" ht="14.5">
      <c r="A319" s="8">
        <v>12</v>
      </c>
      <c r="B319" s="7" t="str">
        <f>المدخلات!$F$5</f>
        <v>5:20–6:30 م</v>
      </c>
      <c r="C319" s="7">
        <v>4</v>
      </c>
      <c r="D319" s="7" t="s">
        <v>593</v>
      </c>
      <c r="E319" s="7" t="s">
        <v>177</v>
      </c>
      <c r="F319" s="2"/>
    </row>
    <row r="320" spans="1:6" ht="14.5">
      <c r="A320" s="8">
        <v>12</v>
      </c>
      <c r="B320" s="7" t="str">
        <f>المدخلات!$F$6</f>
        <v>6:40–7:50 م</v>
      </c>
      <c r="C320" s="7">
        <v>1</v>
      </c>
      <c r="D320" s="7" t="s">
        <v>593</v>
      </c>
      <c r="E320" s="7" t="s">
        <v>832</v>
      </c>
      <c r="F320" s="2"/>
    </row>
    <row r="321" spans="1:6" ht="14.5">
      <c r="A321" s="8">
        <v>12</v>
      </c>
      <c r="B321" s="7" t="str">
        <f>المدخلات!$F$6</f>
        <v>6:40–7:50 م</v>
      </c>
      <c r="C321" s="7">
        <v>2</v>
      </c>
      <c r="D321" s="7" t="s">
        <v>593</v>
      </c>
      <c r="E321" s="7" t="s">
        <v>125</v>
      </c>
      <c r="F321" s="2"/>
    </row>
    <row r="322" spans="1:6" ht="14.5">
      <c r="A322" s="8">
        <v>12</v>
      </c>
      <c r="B322" s="7" t="str">
        <f>المدخلات!$F$4</f>
        <v>4:00–5:10 م</v>
      </c>
      <c r="C322" s="7">
        <v>5</v>
      </c>
      <c r="D322" s="7" t="s">
        <v>594</v>
      </c>
      <c r="E322" s="7" t="s">
        <v>289</v>
      </c>
      <c r="F322" s="2"/>
    </row>
    <row r="323" spans="1:6" ht="14.5">
      <c r="A323" s="8">
        <v>12</v>
      </c>
      <c r="B323" s="7" t="str">
        <f>المدخلات!$F$4</f>
        <v>4:00–5:10 م</v>
      </c>
      <c r="C323" s="7">
        <v>6</v>
      </c>
      <c r="D323" s="7" t="s">
        <v>594</v>
      </c>
      <c r="E323" s="7" t="s">
        <v>300</v>
      </c>
      <c r="F323" s="2"/>
    </row>
    <row r="324" spans="1:6" ht="14.5">
      <c r="A324" s="8">
        <v>12</v>
      </c>
      <c r="B324" s="7" t="str">
        <f>المدخلات!$F$4</f>
        <v>4:00–5:10 م</v>
      </c>
      <c r="C324" s="7">
        <v>7</v>
      </c>
      <c r="D324" s="7" t="s">
        <v>594</v>
      </c>
      <c r="E324" s="7" t="s">
        <v>262</v>
      </c>
      <c r="F324" s="2"/>
    </row>
    <row r="325" spans="1:6" ht="14.5">
      <c r="A325" s="8">
        <v>12</v>
      </c>
      <c r="B325" s="7" t="str">
        <f>المدخلات!$F$5</f>
        <v>5:20–6:30 م</v>
      </c>
      <c r="C325" s="7">
        <v>5</v>
      </c>
      <c r="D325" s="7" t="s">
        <v>594</v>
      </c>
      <c r="E325" s="7" t="s">
        <v>279</v>
      </c>
      <c r="F325" s="2"/>
    </row>
    <row r="326" spans="1:6" ht="14.5">
      <c r="A326" s="8">
        <v>12</v>
      </c>
      <c r="B326" s="7" t="str">
        <f>المدخلات!$F$5</f>
        <v>5:20–6:30 م</v>
      </c>
      <c r="C326" s="7">
        <v>6</v>
      </c>
      <c r="D326" s="7" t="s">
        <v>594</v>
      </c>
      <c r="E326" s="7" t="s">
        <v>912</v>
      </c>
      <c r="F326" s="2"/>
    </row>
    <row r="327" spans="1:6" ht="14.5">
      <c r="A327" s="8">
        <v>12</v>
      </c>
      <c r="B327" s="7" t="str">
        <f>المدخلات!$F$5</f>
        <v>5:20–6:30 م</v>
      </c>
      <c r="C327" s="7">
        <v>7</v>
      </c>
      <c r="D327" s="7" t="s">
        <v>594</v>
      </c>
      <c r="E327" s="7" t="s">
        <v>271</v>
      </c>
      <c r="F327" s="2"/>
    </row>
    <row r="328" spans="1:6" ht="14.5">
      <c r="A328" s="8">
        <v>12</v>
      </c>
      <c r="B328" s="7" t="str">
        <f>المدخلات!$F$6</f>
        <v>6:40–7:50 م</v>
      </c>
      <c r="C328" s="7">
        <v>5</v>
      </c>
      <c r="D328" s="7" t="s">
        <v>594</v>
      </c>
      <c r="E328" s="7" t="s">
        <v>1294</v>
      </c>
      <c r="F328" s="2"/>
    </row>
    <row r="329" spans="1:6" ht="14.5">
      <c r="A329" s="8">
        <v>12</v>
      </c>
      <c r="B329" s="7" t="str">
        <f>المدخلات!$F$6</f>
        <v>6:40–7:50 م</v>
      </c>
      <c r="C329" s="7">
        <v>6</v>
      </c>
      <c r="D329" s="7" t="s">
        <v>594</v>
      </c>
      <c r="E329" s="7" t="s">
        <v>360</v>
      </c>
      <c r="F329" s="2"/>
    </row>
    <row r="330" spans="1:6" ht="14.5">
      <c r="A330" s="8">
        <v>12</v>
      </c>
      <c r="B330" s="7" t="str">
        <f>المدخلات!$F$6</f>
        <v>6:40–7:50 م</v>
      </c>
      <c r="C330" s="7">
        <v>7</v>
      </c>
      <c r="D330" s="7" t="s">
        <v>594</v>
      </c>
      <c r="E330" s="7" t="s">
        <v>700</v>
      </c>
      <c r="F330" s="2"/>
    </row>
    <row r="331" spans="1:6" ht="14.5">
      <c r="A331" s="8">
        <v>12</v>
      </c>
      <c r="B331" s="7" t="str">
        <f>المدخلات!$F$4</f>
        <v>4:00–5:10 م</v>
      </c>
      <c r="C331" s="7">
        <v>8</v>
      </c>
      <c r="D331" s="7" t="s">
        <v>595</v>
      </c>
      <c r="E331" s="7" t="s">
        <v>481</v>
      </c>
      <c r="F331" s="2"/>
    </row>
    <row r="332" spans="1:6" ht="14.5">
      <c r="A332" s="8">
        <v>12</v>
      </c>
      <c r="B332" s="7" t="str">
        <f>المدخلات!$F$4</f>
        <v>4:00–5:10 م</v>
      </c>
      <c r="C332" s="7">
        <v>9</v>
      </c>
      <c r="D332" s="7" t="s">
        <v>595</v>
      </c>
      <c r="E332" s="7" t="s">
        <v>497</v>
      </c>
      <c r="F332" s="2"/>
    </row>
    <row r="333" spans="1:6" ht="14.5">
      <c r="A333" s="8">
        <v>12</v>
      </c>
      <c r="B333" s="7" t="str">
        <f>المدخلات!$F$4</f>
        <v>4:00–5:10 م</v>
      </c>
      <c r="C333" s="7">
        <v>10</v>
      </c>
      <c r="D333" s="7" t="s">
        <v>595</v>
      </c>
      <c r="E333" s="7" t="s">
        <v>485</v>
      </c>
      <c r="F333" s="2"/>
    </row>
    <row r="334" spans="1:6" ht="14.5">
      <c r="A334" s="8">
        <v>12</v>
      </c>
      <c r="B334" s="7" t="str">
        <f>المدخلات!$F$5</f>
        <v>5:20–6:30 م</v>
      </c>
      <c r="C334" s="7">
        <v>8</v>
      </c>
      <c r="D334" s="7" t="s">
        <v>595</v>
      </c>
      <c r="E334" s="7" t="s">
        <v>462</v>
      </c>
      <c r="F334" s="2"/>
    </row>
    <row r="335" spans="1:6" ht="14.5">
      <c r="A335" s="8">
        <v>12</v>
      </c>
      <c r="B335" s="7" t="str">
        <f>المدخلات!$F$5</f>
        <v>5:20–6:30 م</v>
      </c>
      <c r="C335" s="7">
        <v>9</v>
      </c>
      <c r="D335" s="7" t="s">
        <v>595</v>
      </c>
      <c r="E335" s="7" t="s">
        <v>1295</v>
      </c>
      <c r="F335" s="2"/>
    </row>
    <row r="336" spans="1:6" ht="14.5">
      <c r="A336" s="8">
        <v>12</v>
      </c>
      <c r="B336" s="7" t="str">
        <f>المدخلات!$F$5</f>
        <v>5:20–6:30 م</v>
      </c>
      <c r="C336" s="7">
        <v>10</v>
      </c>
      <c r="D336" s="7" t="s">
        <v>595</v>
      </c>
      <c r="E336" s="7" t="s">
        <v>454</v>
      </c>
      <c r="F336" s="2"/>
    </row>
    <row r="337" spans="1:6" ht="14.5">
      <c r="A337" s="8">
        <v>12</v>
      </c>
      <c r="B337" s="7" t="str">
        <f>المدخلات!$F$6</f>
        <v>6:40–7:50 م</v>
      </c>
      <c r="C337" s="7">
        <v>8</v>
      </c>
      <c r="D337" s="7" t="s">
        <v>595</v>
      </c>
      <c r="E337" s="7" t="s">
        <v>1296</v>
      </c>
      <c r="F337" s="2"/>
    </row>
    <row r="338" spans="1:6" ht="14.5">
      <c r="A338" s="8">
        <v>12</v>
      </c>
      <c r="B338" s="7" t="str">
        <f>المدخلات!$F$6</f>
        <v>6:40–7:50 م</v>
      </c>
      <c r="C338" s="7">
        <v>9</v>
      </c>
      <c r="D338" s="7" t="s">
        <v>595</v>
      </c>
      <c r="E338" s="7" t="s">
        <v>545</v>
      </c>
      <c r="F338" s="2"/>
    </row>
    <row r="339" spans="1:6" ht="14.5">
      <c r="A339" s="8">
        <v>12</v>
      </c>
      <c r="B339" s="7" t="str">
        <f>المدخلات!$F$6</f>
        <v>6:40–7:50 م</v>
      </c>
      <c r="C339" s="7">
        <v>10</v>
      </c>
      <c r="D339" s="7" t="s">
        <v>595</v>
      </c>
      <c r="E339" s="7" t="s">
        <v>1234</v>
      </c>
      <c r="F339" s="2"/>
    </row>
    <row r="340" spans="1:6" ht="14.5">
      <c r="A340" s="8">
        <v>13</v>
      </c>
      <c r="B340" s="7" t="str">
        <f>المدخلات!$F$4</f>
        <v>4:00–5:10 م</v>
      </c>
      <c r="C340" s="7">
        <v>1</v>
      </c>
      <c r="D340" s="7" t="s">
        <v>593</v>
      </c>
      <c r="E340" s="7" t="s">
        <v>198</v>
      </c>
      <c r="F340" s="2"/>
    </row>
    <row r="341" spans="1:6" ht="14.5">
      <c r="A341" s="8">
        <v>13</v>
      </c>
      <c r="B341" s="7" t="str">
        <f>المدخلات!$F$4</f>
        <v>4:00–5:10 م</v>
      </c>
      <c r="C341" s="7">
        <v>2</v>
      </c>
      <c r="D341" s="7" t="s">
        <v>593</v>
      </c>
      <c r="E341" s="7" t="s">
        <v>767</v>
      </c>
      <c r="F341" s="2"/>
    </row>
    <row r="342" spans="1:6" ht="14.5">
      <c r="A342" s="8">
        <v>13</v>
      </c>
      <c r="B342" s="7" t="str">
        <f>المدخلات!$F$4</f>
        <v>4:00–5:10 م</v>
      </c>
      <c r="C342" s="7">
        <v>3</v>
      </c>
      <c r="D342" s="7" t="s">
        <v>593</v>
      </c>
      <c r="E342" s="7" t="s">
        <v>51</v>
      </c>
      <c r="F342" s="2"/>
    </row>
    <row r="343" spans="1:6" ht="14.5">
      <c r="A343" s="8">
        <v>13</v>
      </c>
      <c r="B343" s="7" t="str">
        <f>المدخلات!$F$4</f>
        <v>4:00–5:10 م</v>
      </c>
      <c r="C343" s="7">
        <v>4</v>
      </c>
      <c r="D343" s="7" t="s">
        <v>593</v>
      </c>
      <c r="E343" s="7" t="s">
        <v>42</v>
      </c>
      <c r="F343" s="2"/>
    </row>
    <row r="344" spans="1:6" ht="14.5">
      <c r="A344" s="8">
        <v>13</v>
      </c>
      <c r="B344" s="7" t="str">
        <f>المدخلات!$F$5</f>
        <v>5:20–6:30 م</v>
      </c>
      <c r="C344" s="7">
        <v>1</v>
      </c>
      <c r="D344" s="7" t="s">
        <v>593</v>
      </c>
      <c r="E344" s="7" t="s">
        <v>29</v>
      </c>
      <c r="F344" s="2"/>
    </row>
    <row r="345" spans="1:6" ht="14.5">
      <c r="A345" s="8">
        <v>13</v>
      </c>
      <c r="B345" s="7" t="str">
        <f>المدخلات!$F$5</f>
        <v>5:20–6:30 م</v>
      </c>
      <c r="C345" s="7">
        <v>2</v>
      </c>
      <c r="D345" s="7" t="s">
        <v>593</v>
      </c>
      <c r="E345" s="7" t="s">
        <v>61</v>
      </c>
      <c r="F345" s="2"/>
    </row>
    <row r="346" spans="1:6" ht="14.5">
      <c r="A346" s="8">
        <v>13</v>
      </c>
      <c r="B346" s="7" t="str">
        <f>المدخلات!$F$5</f>
        <v>5:20–6:30 م</v>
      </c>
      <c r="C346" s="7">
        <v>3</v>
      </c>
      <c r="D346" s="7" t="s">
        <v>593</v>
      </c>
      <c r="E346" s="7" t="s">
        <v>178</v>
      </c>
      <c r="F346" s="2"/>
    </row>
    <row r="347" spans="1:6" ht="14.5">
      <c r="A347" s="8">
        <v>13</v>
      </c>
      <c r="B347" s="7" t="str">
        <f>المدخلات!$F$5</f>
        <v>5:20–6:30 م</v>
      </c>
      <c r="C347" s="7">
        <v>4</v>
      </c>
      <c r="D347" s="7" t="s">
        <v>593</v>
      </c>
      <c r="E347" s="7" t="s">
        <v>768</v>
      </c>
      <c r="F347" s="2"/>
    </row>
    <row r="348" spans="1:6" ht="14.5">
      <c r="A348" s="8">
        <v>13</v>
      </c>
      <c r="B348" s="7" t="str">
        <f>المدخلات!$F$6</f>
        <v>6:40–7:50 م</v>
      </c>
      <c r="C348" s="7">
        <v>1</v>
      </c>
      <c r="D348" s="7" t="s">
        <v>593</v>
      </c>
      <c r="E348" s="7" t="s">
        <v>769</v>
      </c>
      <c r="F348" s="2"/>
    </row>
    <row r="349" spans="1:6" ht="14.5">
      <c r="A349" s="8">
        <v>13</v>
      </c>
      <c r="B349" s="7" t="str">
        <f>المدخلات!$F$6</f>
        <v>6:40–7:50 م</v>
      </c>
      <c r="C349" s="7">
        <v>2</v>
      </c>
      <c r="D349" s="7" t="s">
        <v>593</v>
      </c>
      <c r="E349" s="7" t="s">
        <v>161</v>
      </c>
      <c r="F349" s="2"/>
    </row>
    <row r="350" spans="1:6" ht="14.5">
      <c r="A350" s="8">
        <v>13</v>
      </c>
      <c r="B350" s="7" t="str">
        <f>المدخلات!$F$4</f>
        <v>4:00–5:10 م</v>
      </c>
      <c r="C350" s="7">
        <v>5</v>
      </c>
      <c r="D350" s="7" t="s">
        <v>594</v>
      </c>
      <c r="E350" s="7" t="s">
        <v>713</v>
      </c>
      <c r="F350" s="2"/>
    </row>
    <row r="351" spans="1:6" ht="14.5">
      <c r="A351" s="8">
        <v>13</v>
      </c>
      <c r="B351" s="7" t="str">
        <f>المدخلات!$F$4</f>
        <v>4:00–5:10 م</v>
      </c>
      <c r="C351" s="7">
        <v>6</v>
      </c>
      <c r="D351" s="7" t="s">
        <v>594</v>
      </c>
      <c r="E351" s="7" t="s">
        <v>377</v>
      </c>
      <c r="F351" s="2"/>
    </row>
    <row r="352" spans="1:6" ht="14.5">
      <c r="A352" s="8">
        <v>13</v>
      </c>
      <c r="B352" s="7" t="str">
        <f>المدخلات!$F$4</f>
        <v>4:00–5:10 م</v>
      </c>
      <c r="C352" s="7">
        <v>7</v>
      </c>
      <c r="D352" s="7" t="s">
        <v>594</v>
      </c>
      <c r="E352" s="7" t="s">
        <v>710</v>
      </c>
      <c r="F352" s="2"/>
    </row>
    <row r="353" spans="1:6" ht="14.5">
      <c r="A353" s="8">
        <v>13</v>
      </c>
      <c r="B353" s="7" t="str">
        <f>المدخلات!$F$5</f>
        <v>5:20–6:30 م</v>
      </c>
      <c r="C353" s="7">
        <v>5</v>
      </c>
      <c r="D353" s="7" t="s">
        <v>594</v>
      </c>
      <c r="E353" s="7" t="s">
        <v>290</v>
      </c>
      <c r="F353" s="2"/>
    </row>
    <row r="354" spans="1:6" ht="14.5">
      <c r="A354" s="8">
        <v>13</v>
      </c>
      <c r="B354" s="7" t="str">
        <f>المدخلات!$F$5</f>
        <v>5:20–6:30 م</v>
      </c>
      <c r="C354" s="7">
        <v>6</v>
      </c>
      <c r="D354" s="7" t="s">
        <v>594</v>
      </c>
      <c r="E354" s="7" t="s">
        <v>712</v>
      </c>
      <c r="F354" s="2"/>
    </row>
    <row r="355" spans="1:6" ht="14.5">
      <c r="A355" s="8">
        <v>13</v>
      </c>
      <c r="B355" s="7" t="str">
        <f>المدخلات!$F$5</f>
        <v>5:20–6:30 م</v>
      </c>
      <c r="C355" s="7">
        <v>7</v>
      </c>
      <c r="D355" s="7" t="s">
        <v>594</v>
      </c>
      <c r="E355" s="7" t="s">
        <v>392</v>
      </c>
      <c r="F355" s="2"/>
    </row>
    <row r="356" spans="1:6" ht="14.5">
      <c r="A356" s="8">
        <v>13</v>
      </c>
      <c r="B356" s="7" t="str">
        <f>المدخلات!$F$6</f>
        <v>6:40–7:50 م</v>
      </c>
      <c r="C356" s="7">
        <v>5</v>
      </c>
      <c r="D356" s="7" t="s">
        <v>594</v>
      </c>
      <c r="E356" s="7" t="s">
        <v>1170</v>
      </c>
      <c r="F356" s="2"/>
    </row>
    <row r="357" spans="1:6" ht="14.5">
      <c r="A357" s="8">
        <v>13</v>
      </c>
      <c r="B357" s="7" t="str">
        <f>المدخلات!$F$6</f>
        <v>6:40–7:50 م</v>
      </c>
      <c r="C357" s="7">
        <v>6</v>
      </c>
      <c r="D357" s="7" t="s">
        <v>594</v>
      </c>
      <c r="E357" s="7" t="s">
        <v>264</v>
      </c>
      <c r="F357" s="2"/>
    </row>
    <row r="358" spans="1:6" ht="14.5">
      <c r="A358" s="8">
        <v>13</v>
      </c>
      <c r="B358" s="7" t="str">
        <f>المدخلات!$F$6</f>
        <v>6:40–7:50 م</v>
      </c>
      <c r="C358" s="7">
        <v>7</v>
      </c>
      <c r="D358" s="7" t="s">
        <v>594</v>
      </c>
      <c r="E358" s="7" t="s">
        <v>272</v>
      </c>
      <c r="F358" s="2"/>
    </row>
    <row r="359" spans="1:6" ht="14.5">
      <c r="A359" s="8">
        <v>13</v>
      </c>
      <c r="B359" s="7" t="str">
        <f>المدخلات!$F$4</f>
        <v>4:00–5:10 م</v>
      </c>
      <c r="C359" s="7">
        <v>8</v>
      </c>
      <c r="D359" s="7" t="s">
        <v>595</v>
      </c>
      <c r="E359" s="7" t="s">
        <v>1297</v>
      </c>
      <c r="F359" s="2"/>
    </row>
    <row r="360" spans="1:6" ht="14.5">
      <c r="A360" s="8">
        <v>13</v>
      </c>
      <c r="B360" s="7" t="str">
        <f>المدخلات!$F$4</f>
        <v>4:00–5:10 م</v>
      </c>
      <c r="C360" s="7">
        <v>9</v>
      </c>
      <c r="D360" s="7" t="s">
        <v>595</v>
      </c>
      <c r="E360" s="7" t="s">
        <v>547</v>
      </c>
      <c r="F360" s="2"/>
    </row>
    <row r="361" spans="1:6" ht="14.5">
      <c r="A361" s="8">
        <v>13</v>
      </c>
      <c r="B361" s="7" t="str">
        <f>المدخلات!$F$4</f>
        <v>4:00–5:10 م</v>
      </c>
      <c r="C361" s="7">
        <v>10</v>
      </c>
      <c r="D361" s="7" t="s">
        <v>595</v>
      </c>
      <c r="E361" s="7" t="s">
        <v>692</v>
      </c>
      <c r="F361" s="2"/>
    </row>
    <row r="362" spans="1:6" ht="14.5">
      <c r="A362" s="8">
        <v>13</v>
      </c>
      <c r="B362" s="7" t="str">
        <f>المدخلات!$F$5</f>
        <v>5:20–6:30 م</v>
      </c>
      <c r="C362" s="7">
        <v>8</v>
      </c>
      <c r="D362" s="7" t="s">
        <v>595</v>
      </c>
      <c r="E362" s="7" t="s">
        <v>482</v>
      </c>
      <c r="F362" s="2"/>
    </row>
    <row r="363" spans="1:6" ht="14.5">
      <c r="A363" s="8">
        <v>13</v>
      </c>
      <c r="B363" s="7" t="str">
        <f>المدخلات!$F$5</f>
        <v>5:20–6:30 م</v>
      </c>
      <c r="C363" s="7">
        <v>9</v>
      </c>
      <c r="D363" s="7" t="s">
        <v>595</v>
      </c>
      <c r="E363" s="7" t="s">
        <v>1299</v>
      </c>
      <c r="F363" s="2"/>
    </row>
    <row r="364" spans="1:6" ht="14.5">
      <c r="A364" s="8">
        <v>13</v>
      </c>
      <c r="B364" s="7" t="str">
        <f>المدخلات!$F$5</f>
        <v>5:20–6:30 م</v>
      </c>
      <c r="C364" s="7">
        <v>10</v>
      </c>
      <c r="D364" s="7" t="s">
        <v>595</v>
      </c>
      <c r="E364" s="7" t="s">
        <v>565</v>
      </c>
      <c r="F364" s="2"/>
    </row>
    <row r="365" spans="1:6" ht="14.5">
      <c r="A365" s="8">
        <v>13</v>
      </c>
      <c r="B365" s="7" t="str">
        <f>المدخلات!$F$6</f>
        <v>6:40–7:50 م</v>
      </c>
      <c r="C365" s="7">
        <v>8</v>
      </c>
      <c r="D365" s="7" t="s">
        <v>595</v>
      </c>
      <c r="E365" s="7" t="s">
        <v>1298</v>
      </c>
      <c r="F365" s="2"/>
    </row>
    <row r="366" spans="1:6" ht="14.5">
      <c r="A366" s="8">
        <v>13</v>
      </c>
      <c r="B366" s="7" t="str">
        <f>المدخلات!$F$6</f>
        <v>6:40–7:50 م</v>
      </c>
      <c r="C366" s="7">
        <v>9</v>
      </c>
      <c r="D366" s="7" t="s">
        <v>595</v>
      </c>
      <c r="E366" s="7" t="s">
        <v>448</v>
      </c>
      <c r="F366" s="2"/>
    </row>
    <row r="367" spans="1:6" ht="14.5">
      <c r="A367" s="8">
        <v>13</v>
      </c>
      <c r="B367" s="7" t="str">
        <f>المدخلات!$F$6</f>
        <v>6:40–7:50 م</v>
      </c>
      <c r="C367" s="7">
        <v>10</v>
      </c>
      <c r="D367" s="7" t="s">
        <v>595</v>
      </c>
      <c r="E367" s="7" t="s">
        <v>455</v>
      </c>
      <c r="F367" s="2"/>
    </row>
    <row r="368" spans="1:6" ht="14.5">
      <c r="A368" s="8">
        <v>14</v>
      </c>
      <c r="B368" s="7" t="str">
        <f>المدخلات!$F$4</f>
        <v>4:00–5:10 م</v>
      </c>
      <c r="C368" s="7">
        <v>1</v>
      </c>
      <c r="D368" s="7" t="s">
        <v>593</v>
      </c>
      <c r="E368" s="7" t="s">
        <v>1047</v>
      </c>
      <c r="F368" s="2"/>
    </row>
    <row r="369" spans="1:6" ht="14.5">
      <c r="A369" s="8">
        <v>14</v>
      </c>
      <c r="B369" s="7" t="str">
        <f>المدخلات!$F$4</f>
        <v>4:00–5:10 م</v>
      </c>
      <c r="C369" s="7">
        <v>2</v>
      </c>
      <c r="D369" s="7" t="s">
        <v>593</v>
      </c>
      <c r="E369" s="7" t="s">
        <v>179</v>
      </c>
      <c r="F369" s="2"/>
    </row>
    <row r="370" spans="1:6" ht="14.5">
      <c r="A370" s="8">
        <v>14</v>
      </c>
      <c r="B370" s="7" t="str">
        <f>المدخلات!$F$4</f>
        <v>4:00–5:10 م</v>
      </c>
      <c r="C370" s="7">
        <v>3</v>
      </c>
      <c r="D370" s="7" t="s">
        <v>593</v>
      </c>
      <c r="E370" s="7" t="s">
        <v>28</v>
      </c>
      <c r="F370" s="2"/>
    </row>
    <row r="371" spans="1:6" ht="14.5">
      <c r="A371" s="8">
        <v>14</v>
      </c>
      <c r="B371" s="7" t="str">
        <f>المدخلات!$F$4</f>
        <v>4:00–5:10 م</v>
      </c>
      <c r="C371" s="7">
        <v>4</v>
      </c>
      <c r="D371" s="7" t="s">
        <v>593</v>
      </c>
      <c r="E371" s="7" t="s">
        <v>48</v>
      </c>
      <c r="F371" s="2"/>
    </row>
    <row r="372" spans="1:6" ht="14.5">
      <c r="A372" s="8">
        <v>14</v>
      </c>
      <c r="B372" s="7" t="str">
        <f>المدخلات!$F$5</f>
        <v>5:20–6:30 م</v>
      </c>
      <c r="C372" s="7">
        <v>1</v>
      </c>
      <c r="D372" s="7" t="s">
        <v>593</v>
      </c>
      <c r="E372" s="7" t="s">
        <v>66</v>
      </c>
      <c r="F372" s="2"/>
    </row>
    <row r="373" spans="1:6" ht="14.5">
      <c r="A373" s="8">
        <v>14</v>
      </c>
      <c r="B373" s="7" t="str">
        <f>المدخلات!$F$5</f>
        <v>5:20–6:30 م</v>
      </c>
      <c r="C373" s="7">
        <v>2</v>
      </c>
      <c r="D373" s="7" t="s">
        <v>593</v>
      </c>
      <c r="E373" s="7" t="s">
        <v>162</v>
      </c>
      <c r="F373" s="2"/>
    </row>
    <row r="374" spans="1:6" ht="14.5">
      <c r="A374" s="8">
        <v>14</v>
      </c>
      <c r="B374" s="7" t="str">
        <f>المدخلات!$F$5</f>
        <v>5:20–6:30 م</v>
      </c>
      <c r="C374" s="7">
        <v>3</v>
      </c>
      <c r="D374" s="7" t="s">
        <v>593</v>
      </c>
      <c r="E374" s="7" t="s">
        <v>59</v>
      </c>
      <c r="F374" s="2"/>
    </row>
    <row r="375" spans="1:6" ht="14.5">
      <c r="A375" s="8">
        <v>14</v>
      </c>
      <c r="B375" s="7" t="str">
        <f>المدخلات!$F$5</f>
        <v>5:20–6:30 م</v>
      </c>
      <c r="C375" s="7">
        <v>4</v>
      </c>
      <c r="D375" s="7" t="s">
        <v>593</v>
      </c>
      <c r="E375" s="7" t="s">
        <v>151</v>
      </c>
      <c r="F375" s="2"/>
    </row>
    <row r="376" spans="1:6" ht="14.5">
      <c r="A376" s="8">
        <v>14</v>
      </c>
      <c r="B376" s="7" t="str">
        <f>المدخلات!$F$6</f>
        <v>6:40–7:50 م</v>
      </c>
      <c r="C376" s="7">
        <v>1</v>
      </c>
      <c r="D376" s="7" t="s">
        <v>593</v>
      </c>
      <c r="E376" s="7" t="s">
        <v>199</v>
      </c>
      <c r="F376" s="2"/>
    </row>
    <row r="377" spans="1:6" ht="14.5">
      <c r="A377" s="8">
        <v>14</v>
      </c>
      <c r="B377" s="7" t="str">
        <f>المدخلات!$F$6</f>
        <v>6:40–7:50 م</v>
      </c>
      <c r="C377" s="7">
        <v>2</v>
      </c>
      <c r="D377" s="7" t="s">
        <v>593</v>
      </c>
      <c r="E377" s="7" t="s">
        <v>38</v>
      </c>
      <c r="F377" s="2"/>
    </row>
    <row r="378" spans="1:6" ht="14.5">
      <c r="A378" s="8">
        <v>14</v>
      </c>
      <c r="B378" s="7" t="str">
        <f>المدخلات!$F$4</f>
        <v>4:00–5:10 م</v>
      </c>
      <c r="C378" s="7">
        <v>5</v>
      </c>
      <c r="D378" s="7" t="s">
        <v>594</v>
      </c>
      <c r="E378" s="7" t="s">
        <v>378</v>
      </c>
      <c r="F378" s="2"/>
    </row>
    <row r="379" spans="1:6" ht="14.5">
      <c r="A379" s="8">
        <v>14</v>
      </c>
      <c r="B379" s="7" t="str">
        <f>المدخلات!$F$4</f>
        <v>4:00–5:10 م</v>
      </c>
      <c r="C379" s="7">
        <v>6</v>
      </c>
      <c r="D379" s="7" t="s">
        <v>594</v>
      </c>
      <c r="E379" s="7" t="s">
        <v>257</v>
      </c>
      <c r="F379" s="2"/>
    </row>
    <row r="380" spans="1:6" ht="14.5">
      <c r="A380" s="8">
        <v>14</v>
      </c>
      <c r="B380" s="7" t="str">
        <f>المدخلات!$F$4</f>
        <v>4:00–5:10 م</v>
      </c>
      <c r="C380" s="7">
        <v>7</v>
      </c>
      <c r="D380" s="7" t="s">
        <v>594</v>
      </c>
      <c r="E380" s="7" t="s">
        <v>281</v>
      </c>
      <c r="F380" s="2"/>
    </row>
    <row r="381" spans="1:6" ht="14.5">
      <c r="A381" s="8">
        <v>14</v>
      </c>
      <c r="B381" s="7" t="str">
        <f>المدخلات!$F$5</f>
        <v>5:20–6:30 م</v>
      </c>
      <c r="C381" s="7">
        <v>5</v>
      </c>
      <c r="D381" s="7" t="s">
        <v>594</v>
      </c>
      <c r="E381" s="7" t="s">
        <v>265</v>
      </c>
      <c r="F381" s="2"/>
    </row>
    <row r="382" spans="1:6" ht="14.5">
      <c r="A382" s="8">
        <v>14</v>
      </c>
      <c r="B382" s="7" t="str">
        <f>المدخلات!$F$5</f>
        <v>5:20–6:30 م</v>
      </c>
      <c r="C382" s="7">
        <v>6</v>
      </c>
      <c r="D382" s="7" t="s">
        <v>594</v>
      </c>
      <c r="E382" s="7" t="s">
        <v>393</v>
      </c>
      <c r="F382" s="2"/>
    </row>
    <row r="383" spans="1:6" ht="14.5">
      <c r="A383" s="8">
        <v>14</v>
      </c>
      <c r="B383" s="7" t="str">
        <f>المدخلات!$F$5</f>
        <v>5:20–6:30 م</v>
      </c>
      <c r="C383" s="7">
        <v>7</v>
      </c>
      <c r="D383" s="7" t="s">
        <v>594</v>
      </c>
      <c r="E383" s="7" t="s">
        <v>250</v>
      </c>
      <c r="F383" s="2"/>
    </row>
    <row r="384" spans="1:6" ht="14.5">
      <c r="A384" s="8">
        <v>14</v>
      </c>
      <c r="B384" s="7" t="str">
        <f>المدخلات!$F$6</f>
        <v>6:40–7:50 م</v>
      </c>
      <c r="C384" s="7">
        <v>5</v>
      </c>
      <c r="D384" s="7" t="s">
        <v>594</v>
      </c>
      <c r="E384" s="7" t="s">
        <v>731</v>
      </c>
      <c r="F384" s="2"/>
    </row>
    <row r="385" spans="1:6" ht="14.5">
      <c r="A385" s="8">
        <v>14</v>
      </c>
      <c r="B385" s="7" t="str">
        <f>المدخلات!$F$6</f>
        <v>6:40–7:50 م</v>
      </c>
      <c r="C385" s="7">
        <v>6</v>
      </c>
      <c r="D385" s="7" t="s">
        <v>594</v>
      </c>
      <c r="E385" s="7" t="s">
        <v>1300</v>
      </c>
      <c r="F385" s="2"/>
    </row>
    <row r="386" spans="1:6" ht="14.5">
      <c r="A386" s="8">
        <v>14</v>
      </c>
      <c r="B386" s="7" t="str">
        <f>المدخلات!$F$6</f>
        <v>6:40–7:50 م</v>
      </c>
      <c r="C386" s="7">
        <v>7</v>
      </c>
      <c r="D386" s="7" t="s">
        <v>594</v>
      </c>
      <c r="E386" s="7" t="s">
        <v>282</v>
      </c>
      <c r="F386" s="2"/>
    </row>
    <row r="387" spans="1:6" ht="14.5">
      <c r="A387" s="8">
        <v>14</v>
      </c>
      <c r="B387" s="7" t="str">
        <f>المدخلات!$F$4</f>
        <v>4:00–5:10 م</v>
      </c>
      <c r="C387" s="7">
        <v>8</v>
      </c>
      <c r="D387" s="7" t="s">
        <v>595</v>
      </c>
      <c r="E387" s="7" t="s">
        <v>548</v>
      </c>
      <c r="F387" s="2"/>
    </row>
    <row r="388" spans="1:6" ht="14.5">
      <c r="A388" s="8">
        <v>14</v>
      </c>
      <c r="B388" s="7" t="str">
        <f>المدخلات!$F$4</f>
        <v>4:00–5:10 م</v>
      </c>
      <c r="C388" s="7">
        <v>9</v>
      </c>
      <c r="D388" s="7" t="s">
        <v>595</v>
      </c>
      <c r="E388" s="7" t="s">
        <v>443</v>
      </c>
      <c r="F388" s="2"/>
    </row>
    <row r="389" spans="1:6" ht="14.5">
      <c r="A389" s="8">
        <v>14</v>
      </c>
      <c r="B389" s="7" t="str">
        <f>المدخلات!$F$4</f>
        <v>4:00–5:10 م</v>
      </c>
      <c r="C389" s="7">
        <v>10</v>
      </c>
      <c r="D389" s="7" t="s">
        <v>595</v>
      </c>
      <c r="E389" s="7" t="s">
        <v>453</v>
      </c>
      <c r="F389" s="2"/>
    </row>
    <row r="390" spans="1:6" ht="14.5">
      <c r="A390" s="8">
        <v>14</v>
      </c>
      <c r="B390" s="7" t="str">
        <f>المدخلات!$F$5</f>
        <v>5:20–6:30 م</v>
      </c>
      <c r="C390" s="7">
        <v>8</v>
      </c>
      <c r="D390" s="7" t="s">
        <v>595</v>
      </c>
      <c r="E390" s="7" t="s">
        <v>449</v>
      </c>
      <c r="F390" s="2"/>
    </row>
    <row r="391" spans="1:6" ht="14.5">
      <c r="A391" s="8">
        <v>14</v>
      </c>
      <c r="B391" s="7" t="str">
        <f>المدخلات!$F$5</f>
        <v>5:20–6:30 م</v>
      </c>
      <c r="C391" s="7">
        <v>9</v>
      </c>
      <c r="D391" s="7" t="s">
        <v>595</v>
      </c>
      <c r="E391" s="7" t="s">
        <v>566</v>
      </c>
      <c r="F391" s="2"/>
    </row>
    <row r="392" spans="1:6" ht="14.5">
      <c r="A392" s="8">
        <v>14</v>
      </c>
      <c r="B392" s="7" t="str">
        <f>المدخلات!$F$5</f>
        <v>5:20–6:30 م</v>
      </c>
      <c r="C392" s="7">
        <v>10</v>
      </c>
      <c r="D392" s="7" t="s">
        <v>595</v>
      </c>
      <c r="E392" s="7" t="s">
        <v>486</v>
      </c>
      <c r="F392" s="2"/>
    </row>
    <row r="393" spans="1:6" ht="14.5">
      <c r="A393" s="8">
        <v>14</v>
      </c>
      <c r="B393" s="7" t="str">
        <f>المدخلات!$F$6</f>
        <v>6:40–7:50 م</v>
      </c>
      <c r="C393" s="7">
        <v>8</v>
      </c>
      <c r="D393" s="7" t="s">
        <v>595</v>
      </c>
      <c r="E393" s="7" t="s">
        <v>702</v>
      </c>
      <c r="F393" s="2"/>
    </row>
    <row r="394" spans="1:6" ht="14.5">
      <c r="A394" s="8">
        <v>14</v>
      </c>
      <c r="B394" s="7" t="str">
        <f>المدخلات!$F$6</f>
        <v>6:40–7:50 م</v>
      </c>
      <c r="C394" s="7">
        <v>9</v>
      </c>
      <c r="D394" s="7" t="s">
        <v>595</v>
      </c>
      <c r="E394" s="7" t="s">
        <v>1301</v>
      </c>
      <c r="F394" s="2"/>
    </row>
    <row r="395" spans="1:6" ht="14.5">
      <c r="A395" s="8">
        <v>14</v>
      </c>
      <c r="B395" s="7" t="str">
        <f>المدخلات!$F$6</f>
        <v>6:40–7:50 م</v>
      </c>
      <c r="C395" s="7">
        <v>10</v>
      </c>
      <c r="D395" s="7" t="s">
        <v>595</v>
      </c>
      <c r="E395" s="7" t="s">
        <v>465</v>
      </c>
      <c r="F395" s="2"/>
    </row>
    <row r="396" spans="1:6" ht="14.5">
      <c r="A396" s="8">
        <v>15</v>
      </c>
      <c r="B396" s="7" t="str">
        <f>المدخلات!$F$4</f>
        <v>4:00–5:10 م</v>
      </c>
      <c r="C396" s="7">
        <v>1</v>
      </c>
      <c r="D396" s="7" t="s">
        <v>593</v>
      </c>
      <c r="E396" s="7" t="s">
        <v>129</v>
      </c>
      <c r="F396" s="2"/>
    </row>
    <row r="397" spans="1:6" ht="14.5">
      <c r="A397" s="8">
        <v>15</v>
      </c>
      <c r="B397" s="7" t="str">
        <f>المدخلات!$F$4</f>
        <v>4:00–5:10 م</v>
      </c>
      <c r="C397" s="7">
        <v>2</v>
      </c>
      <c r="D397" s="7" t="s">
        <v>593</v>
      </c>
      <c r="E397" s="7" t="s">
        <v>158</v>
      </c>
      <c r="F397" s="2"/>
    </row>
    <row r="398" spans="1:6" ht="14.5">
      <c r="A398" s="8">
        <v>15</v>
      </c>
      <c r="B398" s="7" t="str">
        <f>المدخلات!$F$4</f>
        <v>4:00–5:10 م</v>
      </c>
      <c r="C398" s="7">
        <v>3</v>
      </c>
      <c r="D398" s="7" t="s">
        <v>593</v>
      </c>
      <c r="E398" s="7" t="s">
        <v>24</v>
      </c>
      <c r="F398" s="2"/>
    </row>
    <row r="399" spans="1:6" ht="14.5">
      <c r="A399" s="8">
        <v>15</v>
      </c>
      <c r="B399" s="7" t="str">
        <f>المدخلات!$F$4</f>
        <v>4:00–5:10 م</v>
      </c>
      <c r="C399" s="7">
        <v>4</v>
      </c>
      <c r="D399" s="7" t="s">
        <v>593</v>
      </c>
      <c r="E399" s="7" t="s">
        <v>180</v>
      </c>
      <c r="F399" s="2"/>
    </row>
    <row r="400" spans="1:6" ht="14.5">
      <c r="A400" s="8">
        <v>15</v>
      </c>
      <c r="B400" s="7" t="str">
        <f>المدخلات!$F$5</f>
        <v>5:20–6:30 م</v>
      </c>
      <c r="C400" s="7">
        <v>1</v>
      </c>
      <c r="D400" s="7" t="s">
        <v>593</v>
      </c>
      <c r="E400" s="7" t="s">
        <v>15</v>
      </c>
      <c r="F400" s="2"/>
    </row>
    <row r="401" spans="1:6" ht="14.5">
      <c r="A401" s="8">
        <v>15</v>
      </c>
      <c r="B401" s="7" t="str">
        <f>المدخلات!$F$5</f>
        <v>5:20–6:30 م</v>
      </c>
      <c r="C401" s="7">
        <v>2</v>
      </c>
      <c r="D401" s="7" t="s">
        <v>593</v>
      </c>
      <c r="E401" s="7" t="s">
        <v>39</v>
      </c>
      <c r="F401" s="2"/>
    </row>
    <row r="402" spans="1:6" ht="14.5">
      <c r="A402" s="8">
        <v>15</v>
      </c>
      <c r="B402" s="7" t="str">
        <f>المدخلات!$F$5</f>
        <v>5:20–6:30 م</v>
      </c>
      <c r="C402" s="7">
        <v>3</v>
      </c>
      <c r="D402" s="7" t="s">
        <v>593</v>
      </c>
      <c r="E402" s="7" t="s">
        <v>152</v>
      </c>
      <c r="F402" s="2"/>
    </row>
    <row r="403" spans="1:6" ht="14.5">
      <c r="A403" s="8">
        <v>15</v>
      </c>
      <c r="B403" s="7" t="str">
        <f>المدخلات!$F$5</f>
        <v>5:20–6:30 م</v>
      </c>
      <c r="C403" s="7">
        <v>4</v>
      </c>
      <c r="D403" s="7" t="s">
        <v>593</v>
      </c>
      <c r="E403" s="7" t="s">
        <v>200</v>
      </c>
      <c r="F403" s="2"/>
    </row>
    <row r="404" spans="1:6" ht="14.5">
      <c r="A404" s="8">
        <v>15</v>
      </c>
      <c r="B404" s="7" t="str">
        <f>المدخلات!$F$6</f>
        <v>6:40–7:50 م</v>
      </c>
      <c r="C404" s="7">
        <v>1</v>
      </c>
      <c r="D404" s="7" t="s">
        <v>593</v>
      </c>
      <c r="E404" s="7" t="s">
        <v>805</v>
      </c>
      <c r="F404" s="2"/>
    </row>
    <row r="405" spans="1:6" ht="14.5">
      <c r="A405" s="8">
        <v>15</v>
      </c>
      <c r="B405" s="7" t="str">
        <f>المدخلات!$F$6</f>
        <v>6:40–7:50 م</v>
      </c>
      <c r="C405" s="7">
        <v>2</v>
      </c>
      <c r="D405" s="7" t="s">
        <v>593</v>
      </c>
      <c r="E405" s="7" t="s">
        <v>32</v>
      </c>
      <c r="F405" s="2"/>
    </row>
    <row r="406" spans="1:6" ht="14.5">
      <c r="A406" s="8">
        <v>15</v>
      </c>
      <c r="B406" s="7" t="str">
        <f>المدخلات!$F$4</f>
        <v>4:00–5:10 م</v>
      </c>
      <c r="C406" s="7">
        <v>5</v>
      </c>
      <c r="D406" s="7" t="s">
        <v>594</v>
      </c>
      <c r="E406" s="7" t="s">
        <v>344</v>
      </c>
      <c r="F406" s="2"/>
    </row>
    <row r="407" spans="1:6" ht="14.5">
      <c r="A407" s="8">
        <v>15</v>
      </c>
      <c r="B407" s="7" t="str">
        <f>المدخلات!$F$4</f>
        <v>4:00–5:10 م</v>
      </c>
      <c r="C407" s="7">
        <v>6</v>
      </c>
      <c r="D407" s="7" t="s">
        <v>594</v>
      </c>
      <c r="E407" s="7" t="s">
        <v>363</v>
      </c>
      <c r="F407" s="2"/>
    </row>
    <row r="408" spans="1:6" ht="14.5">
      <c r="A408" s="8">
        <v>15</v>
      </c>
      <c r="B408" s="7" t="str">
        <f>المدخلات!$F$4</f>
        <v>4:00–5:10 م</v>
      </c>
      <c r="C408" s="7">
        <v>7</v>
      </c>
      <c r="D408" s="7" t="s">
        <v>594</v>
      </c>
      <c r="E408" s="7" t="s">
        <v>394</v>
      </c>
      <c r="F408" s="2"/>
    </row>
    <row r="409" spans="1:6" ht="14.5">
      <c r="A409" s="8">
        <v>15</v>
      </c>
      <c r="B409" s="7" t="str">
        <f>المدخلات!$F$5</f>
        <v>5:20–6:30 م</v>
      </c>
      <c r="C409" s="7">
        <v>5</v>
      </c>
      <c r="D409" s="7" t="s">
        <v>594</v>
      </c>
      <c r="E409" s="7" t="s">
        <v>277</v>
      </c>
      <c r="F409" s="2"/>
    </row>
    <row r="410" spans="1:6" ht="14.5">
      <c r="A410" s="8">
        <v>15</v>
      </c>
      <c r="B410" s="7" t="str">
        <f>المدخلات!$F$5</f>
        <v>5:20–6:30 م</v>
      </c>
      <c r="C410" s="7">
        <v>6</v>
      </c>
      <c r="D410" s="7" t="s">
        <v>594</v>
      </c>
      <c r="E410" s="7" t="s">
        <v>379</v>
      </c>
      <c r="F410" s="2"/>
    </row>
    <row r="411" spans="1:6" ht="14.5">
      <c r="A411" s="8">
        <v>15</v>
      </c>
      <c r="B411" s="7" t="str">
        <f>المدخلات!$F$5</f>
        <v>5:20–6:30 م</v>
      </c>
      <c r="C411" s="7">
        <v>7</v>
      </c>
      <c r="D411" s="7" t="s">
        <v>594</v>
      </c>
      <c r="E411" s="7" t="s">
        <v>749</v>
      </c>
      <c r="F411" s="2"/>
    </row>
    <row r="412" spans="1:6" ht="14.5">
      <c r="A412" s="8">
        <v>15</v>
      </c>
      <c r="B412" s="7" t="str">
        <f>المدخلات!$F$6</f>
        <v>6:40–7:50 م</v>
      </c>
      <c r="C412" s="7">
        <v>5</v>
      </c>
      <c r="D412" s="7" t="s">
        <v>594</v>
      </c>
      <c r="E412" s="7" t="s">
        <v>248</v>
      </c>
      <c r="F412" s="2"/>
    </row>
    <row r="413" spans="1:6" ht="14.5">
      <c r="A413" s="8">
        <v>15</v>
      </c>
      <c r="B413" s="7" t="str">
        <f>المدخلات!$F$6</f>
        <v>6:40–7:50 م</v>
      </c>
      <c r="C413" s="7">
        <v>6</v>
      </c>
      <c r="D413" s="7" t="s">
        <v>594</v>
      </c>
      <c r="E413" s="7" t="s">
        <v>240</v>
      </c>
      <c r="F413" s="2"/>
    </row>
    <row r="414" spans="1:6" ht="14.5">
      <c r="A414" s="8">
        <v>15</v>
      </c>
      <c r="B414" s="7" t="str">
        <f>المدخلات!$F$6</f>
        <v>6:40–7:50 م</v>
      </c>
      <c r="C414" s="7">
        <v>7</v>
      </c>
      <c r="D414" s="7" t="s">
        <v>594</v>
      </c>
      <c r="E414" s="7" t="s">
        <v>258</v>
      </c>
      <c r="F414" s="2"/>
    </row>
    <row r="415" spans="1:6" ht="14.5">
      <c r="A415" s="8">
        <v>15</v>
      </c>
      <c r="B415" s="7" t="str">
        <f>المدخلات!$F$4</f>
        <v>4:00–5:10 م</v>
      </c>
      <c r="C415" s="7">
        <v>8</v>
      </c>
      <c r="D415" s="7" t="s">
        <v>595</v>
      </c>
      <c r="E415" s="7" t="s">
        <v>527</v>
      </c>
      <c r="F415" s="2"/>
    </row>
    <row r="416" spans="1:6" ht="14.5">
      <c r="A416" s="8">
        <v>15</v>
      </c>
      <c r="B416" s="7" t="str">
        <f>المدخلات!$F$4</f>
        <v>4:00–5:10 م</v>
      </c>
      <c r="C416" s="7">
        <v>9</v>
      </c>
      <c r="D416" s="7" t="s">
        <v>595</v>
      </c>
      <c r="E416" s="7" t="s">
        <v>536</v>
      </c>
      <c r="F416" s="2"/>
    </row>
    <row r="417" spans="1:6" ht="14.5">
      <c r="A417" s="8">
        <v>15</v>
      </c>
      <c r="B417" s="7" t="str">
        <f>المدخلات!$F$4</f>
        <v>4:00–5:10 م</v>
      </c>
      <c r="C417" s="7">
        <v>10</v>
      </c>
      <c r="D417" s="7" t="s">
        <v>595</v>
      </c>
      <c r="E417" s="7" t="s">
        <v>567</v>
      </c>
      <c r="F417" s="2"/>
    </row>
    <row r="418" spans="1:6" ht="14.5">
      <c r="A418" s="8">
        <v>15</v>
      </c>
      <c r="B418" s="7" t="str">
        <f>المدخلات!$F$5</f>
        <v>5:20–6:30 م</v>
      </c>
      <c r="C418" s="7">
        <v>8</v>
      </c>
      <c r="D418" s="7" t="s">
        <v>595</v>
      </c>
      <c r="E418" s="7" t="s">
        <v>460</v>
      </c>
      <c r="F418" s="2"/>
    </row>
    <row r="419" spans="1:6" ht="14.5">
      <c r="A419" s="8">
        <v>15</v>
      </c>
      <c r="B419" s="7" t="str">
        <f>المدخلات!$F$5</f>
        <v>5:20–6:30 م</v>
      </c>
      <c r="C419" s="7">
        <v>9</v>
      </c>
      <c r="D419" s="7" t="s">
        <v>595</v>
      </c>
      <c r="E419" s="7" t="s">
        <v>549</v>
      </c>
      <c r="F419" s="2"/>
    </row>
    <row r="420" spans="1:6" ht="14.5">
      <c r="A420" s="8">
        <v>15</v>
      </c>
      <c r="B420" s="7" t="str">
        <f>المدخلات!$F$5</f>
        <v>5:20–6:30 م</v>
      </c>
      <c r="C420" s="7">
        <v>10</v>
      </c>
      <c r="D420" s="7" t="s">
        <v>595</v>
      </c>
      <c r="E420" s="7" t="s">
        <v>631</v>
      </c>
      <c r="F420" s="2"/>
    </row>
    <row r="421" spans="1:6" ht="14.5">
      <c r="A421" s="8">
        <v>15</v>
      </c>
      <c r="B421" s="7" t="str">
        <f>المدخلات!$F$6</f>
        <v>6:40–7:50 م</v>
      </c>
      <c r="C421" s="7">
        <v>8</v>
      </c>
      <c r="D421" s="7" t="s">
        <v>595</v>
      </c>
      <c r="E421" s="7" t="s">
        <v>438</v>
      </c>
      <c r="F421" s="2"/>
    </row>
    <row r="422" spans="1:6" ht="14.5">
      <c r="A422" s="8">
        <v>15</v>
      </c>
      <c r="B422" s="7" t="str">
        <f>المدخلات!$F$6</f>
        <v>6:40–7:50 م</v>
      </c>
      <c r="C422" s="7">
        <v>9</v>
      </c>
      <c r="D422" s="7" t="s">
        <v>595</v>
      </c>
      <c r="E422" s="7" t="s">
        <v>436</v>
      </c>
      <c r="F422" s="2"/>
    </row>
    <row r="423" spans="1:6" ht="14.5">
      <c r="A423" s="8">
        <v>15</v>
      </c>
      <c r="B423" s="7" t="str">
        <f>المدخلات!$F$6</f>
        <v>6:40–7:50 م</v>
      </c>
      <c r="C423" s="7">
        <v>10</v>
      </c>
      <c r="D423" s="7" t="s">
        <v>595</v>
      </c>
      <c r="E423" s="7" t="s">
        <v>444</v>
      </c>
      <c r="F423" s="2"/>
    </row>
    <row r="424" spans="1:6" ht="14.5">
      <c r="A424" s="8">
        <v>16</v>
      </c>
      <c r="B424" s="7" t="str">
        <f>المدخلات!$F$4</f>
        <v>4:00–5:10 م</v>
      </c>
      <c r="C424" s="7">
        <v>1</v>
      </c>
      <c r="D424" s="7" t="s">
        <v>593</v>
      </c>
      <c r="E424" s="7" t="s">
        <v>153</v>
      </c>
      <c r="F424" s="2"/>
    </row>
    <row r="425" spans="1:6" ht="14.5">
      <c r="A425" s="8">
        <v>16</v>
      </c>
      <c r="B425" s="7" t="str">
        <f>المدخلات!$F$4</f>
        <v>4:00–5:10 م</v>
      </c>
      <c r="C425" s="7">
        <v>2</v>
      </c>
      <c r="D425" s="7" t="s">
        <v>593</v>
      </c>
      <c r="E425" s="7" t="s">
        <v>20</v>
      </c>
      <c r="F425" s="2"/>
    </row>
    <row r="426" spans="1:6" ht="14.5">
      <c r="A426" s="8">
        <v>16</v>
      </c>
      <c r="B426" s="7" t="str">
        <f>المدخلات!$F$4</f>
        <v>4:00–5:10 م</v>
      </c>
      <c r="C426" s="7">
        <v>3</v>
      </c>
      <c r="D426" s="7" t="s">
        <v>593</v>
      </c>
      <c r="E426" s="7" t="s">
        <v>182</v>
      </c>
      <c r="F426" s="2"/>
    </row>
    <row r="427" spans="1:6" ht="14.5">
      <c r="A427" s="8">
        <v>16</v>
      </c>
      <c r="B427" s="7" t="str">
        <f>المدخلات!$F$4</f>
        <v>4:00–5:10 م</v>
      </c>
      <c r="C427" s="7">
        <v>4</v>
      </c>
      <c r="D427" s="7" t="s">
        <v>593</v>
      </c>
      <c r="E427" s="7" t="s">
        <v>1115</v>
      </c>
      <c r="F427" s="2"/>
    </row>
    <row r="428" spans="1:6" ht="14.5">
      <c r="A428" s="8">
        <v>16</v>
      </c>
      <c r="B428" s="7" t="str">
        <f>المدخلات!$F$5</f>
        <v>5:20–6:30 م</v>
      </c>
      <c r="C428" s="7">
        <v>1</v>
      </c>
      <c r="D428" s="7" t="s">
        <v>593</v>
      </c>
      <c r="E428" s="7" t="s">
        <v>31</v>
      </c>
      <c r="F428" s="2"/>
    </row>
    <row r="429" spans="1:6" ht="14.5">
      <c r="A429" s="8">
        <v>16</v>
      </c>
      <c r="B429" s="7" t="str">
        <f>المدخلات!$F$5</f>
        <v>5:20–6:30 م</v>
      </c>
      <c r="C429" s="7">
        <v>2</v>
      </c>
      <c r="D429" s="7" t="s">
        <v>593</v>
      </c>
      <c r="E429" s="7" t="s">
        <v>9</v>
      </c>
      <c r="F429" s="2"/>
    </row>
    <row r="430" spans="1:6" ht="14.5">
      <c r="A430" s="8">
        <v>16</v>
      </c>
      <c r="B430" s="7" t="str">
        <f>المدخلات!$F$5</f>
        <v>5:20–6:30 م</v>
      </c>
      <c r="C430" s="7">
        <v>3</v>
      </c>
      <c r="D430" s="7" t="s">
        <v>593</v>
      </c>
      <c r="E430" s="7" t="s">
        <v>130</v>
      </c>
      <c r="F430" s="2"/>
    </row>
    <row r="431" spans="1:6" ht="14.5">
      <c r="A431" s="8">
        <v>16</v>
      </c>
      <c r="B431" s="7" t="str">
        <f>المدخلات!$F$5</f>
        <v>5:20–6:30 م</v>
      </c>
      <c r="C431" s="7">
        <v>4</v>
      </c>
      <c r="D431" s="7" t="s">
        <v>593</v>
      </c>
      <c r="E431" s="7" t="s">
        <v>103</v>
      </c>
      <c r="F431" s="2"/>
    </row>
    <row r="432" spans="1:6" ht="14.5">
      <c r="A432" s="8">
        <v>16</v>
      </c>
      <c r="B432" s="7" t="str">
        <f>المدخلات!$F$6</f>
        <v>6:40–7:50 م</v>
      </c>
      <c r="C432" s="7">
        <v>1</v>
      </c>
      <c r="D432" s="7" t="s">
        <v>593</v>
      </c>
      <c r="E432" s="7" t="s">
        <v>27</v>
      </c>
      <c r="F432" s="2"/>
    </row>
    <row r="433" spans="1:6" ht="14.5">
      <c r="A433" s="8">
        <v>16</v>
      </c>
      <c r="B433" s="7" t="str">
        <f>المدخلات!$F$6</f>
        <v>6:40–7:50 م</v>
      </c>
      <c r="C433" s="7">
        <v>2</v>
      </c>
      <c r="D433" s="7" t="s">
        <v>593</v>
      </c>
      <c r="E433" s="7" t="s">
        <v>1114</v>
      </c>
      <c r="F433" s="2"/>
    </row>
    <row r="434" spans="1:6" ht="14.5">
      <c r="A434" s="8">
        <v>16</v>
      </c>
      <c r="B434" s="7" t="str">
        <f>المدخلات!$F$4</f>
        <v>4:00–5:10 م</v>
      </c>
      <c r="C434" s="7">
        <v>5</v>
      </c>
      <c r="D434" s="7" t="s">
        <v>594</v>
      </c>
      <c r="E434" s="7" t="s">
        <v>249</v>
      </c>
      <c r="F434" s="2"/>
    </row>
    <row r="435" spans="1:6" ht="14.5">
      <c r="A435" s="8">
        <v>16</v>
      </c>
      <c r="B435" s="7" t="str">
        <f>المدخلات!$F$4</f>
        <v>4:00–5:10 م</v>
      </c>
      <c r="C435" s="7">
        <v>6</v>
      </c>
      <c r="D435" s="7" t="s">
        <v>594</v>
      </c>
      <c r="E435" s="7" t="s">
        <v>256</v>
      </c>
      <c r="F435" s="2"/>
    </row>
    <row r="436" spans="1:6" ht="14.5">
      <c r="A436" s="8">
        <v>16</v>
      </c>
      <c r="B436" s="7" t="str">
        <f>المدخلات!$F$4</f>
        <v>4:00–5:10 م</v>
      </c>
      <c r="C436" s="7">
        <v>7</v>
      </c>
      <c r="D436" s="7" t="s">
        <v>594</v>
      </c>
      <c r="E436" s="7" t="s">
        <v>806</v>
      </c>
      <c r="F436" s="2"/>
    </row>
    <row r="437" spans="1:6" ht="14.5">
      <c r="A437" s="8">
        <v>16</v>
      </c>
      <c r="B437" s="7" t="str">
        <f>المدخلات!$F$5</f>
        <v>5:20–6:30 م</v>
      </c>
      <c r="C437" s="7">
        <v>5</v>
      </c>
      <c r="D437" s="7" t="s">
        <v>594</v>
      </c>
      <c r="E437" s="7" t="s">
        <v>241</v>
      </c>
      <c r="F437" s="2"/>
    </row>
    <row r="438" spans="1:6" ht="14.5">
      <c r="A438" s="8">
        <v>16</v>
      </c>
      <c r="B438" s="7" t="str">
        <f>المدخلات!$F$5</f>
        <v>5:20–6:30 م</v>
      </c>
      <c r="C438" s="7">
        <v>6</v>
      </c>
      <c r="D438" s="7" t="s">
        <v>594</v>
      </c>
      <c r="E438" s="7" t="s">
        <v>1302</v>
      </c>
      <c r="F438" s="2"/>
    </row>
    <row r="439" spans="1:6" ht="14.5">
      <c r="A439" s="8">
        <v>16</v>
      </c>
      <c r="B439" s="7" t="str">
        <f>المدخلات!$F$5</f>
        <v>5:20–6:30 م</v>
      </c>
      <c r="C439" s="7">
        <v>7</v>
      </c>
      <c r="D439" s="7" t="s">
        <v>594</v>
      </c>
      <c r="E439" s="7" t="s">
        <v>345</v>
      </c>
      <c r="F439" s="2"/>
    </row>
    <row r="440" spans="1:6" ht="14.5">
      <c r="A440" s="8">
        <v>16</v>
      </c>
      <c r="B440" s="7" t="str">
        <f>المدخلات!$F$6</f>
        <v>6:40–7:50 م</v>
      </c>
      <c r="C440" s="7">
        <v>5</v>
      </c>
      <c r="D440" s="7" t="s">
        <v>594</v>
      </c>
      <c r="E440" s="7" t="s">
        <v>395</v>
      </c>
      <c r="F440" s="2"/>
    </row>
    <row r="441" spans="1:6" ht="14.5">
      <c r="A441" s="8">
        <v>16</v>
      </c>
      <c r="B441" s="7" t="str">
        <f>المدخلات!$F$6</f>
        <v>6:40–7:50 م</v>
      </c>
      <c r="C441" s="7">
        <v>6</v>
      </c>
      <c r="D441" s="7" t="s">
        <v>594</v>
      </c>
      <c r="E441" s="7" t="s">
        <v>364</v>
      </c>
      <c r="F441" s="2"/>
    </row>
    <row r="442" spans="1:6" ht="14.5">
      <c r="A442" s="8">
        <v>16</v>
      </c>
      <c r="B442" s="7" t="str">
        <f>المدخلات!$F$6</f>
        <v>6:40–7:50 م</v>
      </c>
      <c r="C442" s="7">
        <v>7</v>
      </c>
      <c r="D442" s="7" t="s">
        <v>594</v>
      </c>
      <c r="E442" s="7" t="s">
        <v>380</v>
      </c>
      <c r="F442" s="2"/>
    </row>
    <row r="443" spans="1:6" ht="14.5">
      <c r="A443" s="8">
        <v>16</v>
      </c>
      <c r="B443" s="7" t="str">
        <f>المدخلات!$F$4</f>
        <v>4:00–5:10 م</v>
      </c>
      <c r="C443" s="7">
        <v>8</v>
      </c>
      <c r="D443" s="7" t="s">
        <v>595</v>
      </c>
      <c r="E443" s="7" t="s">
        <v>439</v>
      </c>
      <c r="F443" s="2"/>
    </row>
    <row r="444" spans="1:6" ht="14.5">
      <c r="A444" s="8">
        <v>16</v>
      </c>
      <c r="B444" s="7" t="str">
        <f>المدخلات!$F$4</f>
        <v>4:00–5:10 م</v>
      </c>
      <c r="C444" s="7">
        <v>9</v>
      </c>
      <c r="D444" s="7" t="s">
        <v>595</v>
      </c>
      <c r="E444" s="7" t="s">
        <v>463</v>
      </c>
      <c r="F444" s="2"/>
    </row>
    <row r="445" spans="1:6" ht="14.5">
      <c r="A445" s="8">
        <v>16</v>
      </c>
      <c r="B445" s="7" t="str">
        <f>المدخلات!$F$4</f>
        <v>4:00–5:10 م</v>
      </c>
      <c r="C445" s="7">
        <v>10</v>
      </c>
      <c r="D445" s="7" t="s">
        <v>595</v>
      </c>
      <c r="E445" s="7" t="s">
        <v>777</v>
      </c>
      <c r="F445" s="2"/>
    </row>
    <row r="446" spans="1:6" ht="14.5">
      <c r="A446" s="8">
        <v>16</v>
      </c>
      <c r="B446" s="7" t="str">
        <f>المدخلات!$F$5</f>
        <v>5:20–6:30 م</v>
      </c>
      <c r="C446" s="7">
        <v>8</v>
      </c>
      <c r="D446" s="7" t="s">
        <v>595</v>
      </c>
      <c r="E446" s="7" t="s">
        <v>432</v>
      </c>
      <c r="F446" s="2"/>
    </row>
    <row r="447" spans="1:6" ht="14.5">
      <c r="A447" s="8">
        <v>16</v>
      </c>
      <c r="B447" s="7" t="str">
        <f>المدخلات!$F$5</f>
        <v>5:20–6:30 م</v>
      </c>
      <c r="C447" s="7">
        <v>9</v>
      </c>
      <c r="D447" s="7" t="s">
        <v>595</v>
      </c>
      <c r="E447" s="7" t="s">
        <v>1303</v>
      </c>
      <c r="F447" s="2"/>
    </row>
    <row r="448" spans="1:6" ht="14.5">
      <c r="A448" s="8">
        <v>16</v>
      </c>
      <c r="B448" s="7" t="str">
        <f>المدخلات!$F$5</f>
        <v>5:20–6:30 م</v>
      </c>
      <c r="C448" s="7">
        <v>10</v>
      </c>
      <c r="D448" s="7" t="s">
        <v>595</v>
      </c>
      <c r="E448" s="7" t="s">
        <v>528</v>
      </c>
      <c r="F448" s="2"/>
    </row>
    <row r="449" spans="1:6" ht="14.5">
      <c r="A449" s="8">
        <v>16</v>
      </c>
      <c r="B449" s="7" t="str">
        <f>المدخلات!$F$6</f>
        <v>6:40–7:50 م</v>
      </c>
      <c r="C449" s="7">
        <v>8</v>
      </c>
      <c r="D449" s="7" t="s">
        <v>595</v>
      </c>
      <c r="E449" s="7" t="s">
        <v>568</v>
      </c>
      <c r="F449" s="2"/>
    </row>
    <row r="450" spans="1:6" ht="14.5">
      <c r="A450" s="8">
        <v>16</v>
      </c>
      <c r="B450" s="7" t="str">
        <f>المدخلات!$F$6</f>
        <v>6:40–7:50 م</v>
      </c>
      <c r="C450" s="7">
        <v>9</v>
      </c>
      <c r="D450" s="7" t="s">
        <v>595</v>
      </c>
      <c r="E450" s="7" t="s">
        <v>531</v>
      </c>
      <c r="F450" s="2"/>
    </row>
    <row r="451" spans="1:6" ht="14.5">
      <c r="A451" s="8">
        <v>16</v>
      </c>
      <c r="B451" s="7" t="str">
        <f>المدخلات!$F$6</f>
        <v>6:40–7:50 م</v>
      </c>
      <c r="C451" s="7">
        <v>10</v>
      </c>
      <c r="D451" s="7" t="s">
        <v>595</v>
      </c>
      <c r="E451" s="7" t="s">
        <v>550</v>
      </c>
      <c r="F451" s="2"/>
    </row>
    <row r="452" spans="1:6" ht="14.5">
      <c r="A452" s="8">
        <v>17</v>
      </c>
      <c r="B452" s="7" t="str">
        <f>المدخلات!$F$4</f>
        <v>4:00–5:10 م</v>
      </c>
      <c r="C452" s="7">
        <v>1</v>
      </c>
      <c r="D452" s="7" t="s">
        <v>593</v>
      </c>
      <c r="E452" s="7" t="s">
        <v>13</v>
      </c>
      <c r="F452" s="2"/>
    </row>
    <row r="453" spans="1:6" ht="14.5">
      <c r="A453" s="8">
        <v>17</v>
      </c>
      <c r="B453" s="7" t="str">
        <f>المدخلات!$F$4</f>
        <v>4:00–5:10 م</v>
      </c>
      <c r="C453" s="7">
        <v>2</v>
      </c>
      <c r="D453" s="7" t="s">
        <v>593</v>
      </c>
      <c r="E453" s="7" t="s">
        <v>131</v>
      </c>
      <c r="F453" s="2"/>
    </row>
    <row r="454" spans="1:6" ht="14.5">
      <c r="A454" s="8">
        <v>17</v>
      </c>
      <c r="B454" s="7" t="str">
        <f>المدخلات!$F$4</f>
        <v>4:00–5:10 م</v>
      </c>
      <c r="C454" s="7">
        <v>3</v>
      </c>
      <c r="D454" s="7" t="s">
        <v>593</v>
      </c>
      <c r="E454" s="7" t="s">
        <v>100</v>
      </c>
      <c r="F454" s="2"/>
    </row>
    <row r="455" spans="1:6" ht="14.5">
      <c r="A455" s="8">
        <v>17</v>
      </c>
      <c r="B455" s="7" t="str">
        <f>المدخلات!$F$4</f>
        <v>4:00–5:10 م</v>
      </c>
      <c r="C455" s="7">
        <v>4</v>
      </c>
      <c r="D455" s="7" t="s">
        <v>593</v>
      </c>
      <c r="E455" s="7" t="s">
        <v>1043</v>
      </c>
      <c r="F455" s="2"/>
    </row>
    <row r="456" spans="1:6" ht="14.5">
      <c r="A456" s="8">
        <v>17</v>
      </c>
      <c r="B456" s="7" t="str">
        <f>المدخلات!$F$5</f>
        <v>5:20–6:30 م</v>
      </c>
      <c r="C456" s="7">
        <v>1</v>
      </c>
      <c r="D456" s="7" t="s">
        <v>593</v>
      </c>
      <c r="E456" s="7" t="s">
        <v>183</v>
      </c>
      <c r="F456" s="2"/>
    </row>
    <row r="457" spans="1:6" ht="14.5">
      <c r="A457" s="8">
        <v>17</v>
      </c>
      <c r="B457" s="7" t="str">
        <f>المدخلات!$F$5</f>
        <v>5:20–6:30 م</v>
      </c>
      <c r="C457" s="7">
        <v>2</v>
      </c>
      <c r="D457" s="7" t="s">
        <v>593</v>
      </c>
      <c r="E457" s="7" t="s">
        <v>1116</v>
      </c>
      <c r="F457" s="2"/>
    </row>
    <row r="458" spans="1:6" ht="14.5">
      <c r="A458" s="8">
        <v>17</v>
      </c>
      <c r="B458" s="7" t="str">
        <f>المدخلات!$F$5</f>
        <v>5:20–6:30 م</v>
      </c>
      <c r="C458" s="7">
        <v>3</v>
      </c>
      <c r="D458" s="7" t="s">
        <v>593</v>
      </c>
      <c r="E458" s="7" t="s">
        <v>154</v>
      </c>
      <c r="F458" s="2"/>
    </row>
    <row r="459" spans="1:6" ht="14.5">
      <c r="A459" s="8">
        <v>17</v>
      </c>
      <c r="B459" s="7" t="str">
        <f>المدخلات!$F$5</f>
        <v>5:20–6:30 م</v>
      </c>
      <c r="C459" s="7">
        <v>4</v>
      </c>
      <c r="D459" s="7" t="s">
        <v>593</v>
      </c>
      <c r="E459" s="7" t="s">
        <v>21</v>
      </c>
      <c r="F459" s="2"/>
    </row>
    <row r="460" spans="1:6" ht="14.5">
      <c r="A460" s="8">
        <v>17</v>
      </c>
      <c r="B460" s="7" t="str">
        <f>المدخلات!$F$6</f>
        <v>6:40–7:50 م</v>
      </c>
      <c r="C460" s="7">
        <v>1</v>
      </c>
      <c r="D460" s="7" t="s">
        <v>593</v>
      </c>
      <c r="E460" s="7" t="s">
        <v>184</v>
      </c>
      <c r="F460" s="2"/>
    </row>
    <row r="461" spans="1:6" ht="14.5">
      <c r="A461" s="8">
        <v>17</v>
      </c>
      <c r="B461" s="7" t="str">
        <f>المدخلات!$F$6</f>
        <v>6:40–7:50 م</v>
      </c>
      <c r="C461" s="7">
        <v>2</v>
      </c>
      <c r="D461" s="7" t="s">
        <v>593</v>
      </c>
      <c r="E461" s="7" t="s">
        <v>98</v>
      </c>
      <c r="F461" s="2"/>
    </row>
    <row r="462" spans="1:6" ht="14.5">
      <c r="A462" s="8">
        <v>17</v>
      </c>
      <c r="B462" s="7" t="str">
        <f>المدخلات!$F$4</f>
        <v>4:00–5:10 م</v>
      </c>
      <c r="C462" s="7">
        <v>5</v>
      </c>
      <c r="D462" s="7" t="s">
        <v>594</v>
      </c>
      <c r="E462" s="7" t="s">
        <v>324</v>
      </c>
      <c r="F462" s="2"/>
    </row>
    <row r="463" spans="1:6" ht="14.5">
      <c r="A463" s="8">
        <v>17</v>
      </c>
      <c r="B463" s="7" t="str">
        <f>المدخلات!$F$4</f>
        <v>4:00–5:10 م</v>
      </c>
      <c r="C463" s="7">
        <v>6</v>
      </c>
      <c r="D463" s="7" t="s">
        <v>594</v>
      </c>
      <c r="E463" s="7" t="s">
        <v>341</v>
      </c>
      <c r="F463" s="2"/>
    </row>
    <row r="464" spans="1:6" ht="14.5">
      <c r="A464" s="8">
        <v>17</v>
      </c>
      <c r="B464" s="7" t="str">
        <f>المدخلات!$F$4</f>
        <v>4:00–5:10 م</v>
      </c>
      <c r="C464" s="7">
        <v>7</v>
      </c>
      <c r="D464" s="7" t="s">
        <v>594</v>
      </c>
      <c r="E464" s="7" t="s">
        <v>1304</v>
      </c>
      <c r="F464" s="2"/>
    </row>
    <row r="465" spans="1:6" ht="14.5">
      <c r="A465" s="8">
        <v>17</v>
      </c>
      <c r="B465" s="7" t="str">
        <f>المدخلات!$F$5</f>
        <v>5:20–6:30 م</v>
      </c>
      <c r="C465" s="7">
        <v>5</v>
      </c>
      <c r="D465" s="7" t="s">
        <v>594</v>
      </c>
      <c r="E465" s="7" t="s">
        <v>340</v>
      </c>
      <c r="F465" s="2"/>
    </row>
    <row r="466" spans="1:6" ht="14.5">
      <c r="A466" s="8">
        <v>17</v>
      </c>
      <c r="B466" s="7" t="str">
        <f>المدخلات!$F$5</f>
        <v>5:20–6:30 م</v>
      </c>
      <c r="C466" s="7">
        <v>6</v>
      </c>
      <c r="D466" s="7" t="s">
        <v>594</v>
      </c>
      <c r="E466" s="7" t="s">
        <v>365</v>
      </c>
      <c r="F466" s="2"/>
    </row>
    <row r="467" spans="1:6" ht="14.5">
      <c r="A467" s="8">
        <v>17</v>
      </c>
      <c r="B467" s="7" t="str">
        <f>المدخلات!$F$5</f>
        <v>5:20–6:30 م</v>
      </c>
      <c r="C467" s="7">
        <v>7</v>
      </c>
      <c r="D467" s="7" t="s">
        <v>594</v>
      </c>
      <c r="E467" s="7" t="s">
        <v>1239</v>
      </c>
      <c r="F467" s="2"/>
    </row>
    <row r="468" spans="1:6" ht="14.5">
      <c r="A468" s="8">
        <v>17</v>
      </c>
      <c r="B468" s="7" t="str">
        <f>المدخلات!$F$6</f>
        <v>6:40–7:50 م</v>
      </c>
      <c r="C468" s="7">
        <v>5</v>
      </c>
      <c r="D468" s="7" t="s">
        <v>594</v>
      </c>
      <c r="E468" s="7" t="s">
        <v>242</v>
      </c>
      <c r="F468" s="2"/>
    </row>
    <row r="469" spans="1:6" ht="14.5">
      <c r="A469" s="8">
        <v>17</v>
      </c>
      <c r="B469" s="7" t="str">
        <f>المدخلات!$F$6</f>
        <v>6:40–7:50 م</v>
      </c>
      <c r="C469" s="7">
        <v>6</v>
      </c>
      <c r="D469" s="7" t="s">
        <v>594</v>
      </c>
      <c r="E469" s="7" t="s">
        <v>238</v>
      </c>
      <c r="F469" s="2"/>
    </row>
    <row r="470" spans="1:6" ht="14.5">
      <c r="A470" s="8">
        <v>17</v>
      </c>
      <c r="B470" s="7" t="str">
        <f>المدخلات!$F$6</f>
        <v>6:40–7:50 م</v>
      </c>
      <c r="C470" s="7">
        <v>7</v>
      </c>
      <c r="D470" s="7" t="s">
        <v>594</v>
      </c>
      <c r="E470" s="7" t="s">
        <v>235</v>
      </c>
      <c r="F470" s="2"/>
    </row>
    <row r="471" spans="1:6" ht="14.5">
      <c r="A471" s="8">
        <v>17</v>
      </c>
      <c r="B471" s="7" t="str">
        <f>المدخلات!$F$4</f>
        <v>4:00–5:10 م</v>
      </c>
      <c r="C471" s="7">
        <v>8</v>
      </c>
      <c r="D471" s="7" t="s">
        <v>595</v>
      </c>
      <c r="E471" s="7" t="s">
        <v>508</v>
      </c>
      <c r="F471" s="2"/>
    </row>
    <row r="472" spans="1:6" ht="14.5">
      <c r="A472" s="8">
        <v>17</v>
      </c>
      <c r="B472" s="7" t="str">
        <f>المدخلات!$F$4</f>
        <v>4:00–5:10 م</v>
      </c>
      <c r="C472" s="7">
        <v>9</v>
      </c>
      <c r="D472" s="7" t="s">
        <v>595</v>
      </c>
      <c r="E472" s="7" t="s">
        <v>529</v>
      </c>
      <c r="F472" s="2"/>
    </row>
    <row r="473" spans="1:6" ht="14.5">
      <c r="A473" s="8">
        <v>17</v>
      </c>
      <c r="B473" s="7" t="str">
        <f>المدخلات!$F$4</f>
        <v>4:00–5:10 م</v>
      </c>
      <c r="C473" s="7">
        <v>10</v>
      </c>
      <c r="D473" s="7" t="s">
        <v>595</v>
      </c>
      <c r="E473" s="7" t="s">
        <v>1306</v>
      </c>
      <c r="F473" s="2"/>
    </row>
    <row r="474" spans="1:6" ht="14.5">
      <c r="A474" s="8">
        <v>17</v>
      </c>
      <c r="B474" s="7" t="str">
        <f>المدخلات!$F$5</f>
        <v>5:20–6:30 م</v>
      </c>
      <c r="C474" s="7">
        <v>8</v>
      </c>
      <c r="D474" s="7" t="s">
        <v>595</v>
      </c>
      <c r="E474" s="7" t="s">
        <v>519</v>
      </c>
      <c r="F474" s="2"/>
    </row>
    <row r="475" spans="1:6" ht="14.5">
      <c r="A475" s="8">
        <v>17</v>
      </c>
      <c r="B475" s="7" t="str">
        <f>المدخلات!$F$5</f>
        <v>5:20–6:30 م</v>
      </c>
      <c r="C475" s="7">
        <v>9</v>
      </c>
      <c r="D475" s="7" t="s">
        <v>595</v>
      </c>
      <c r="E475" s="7" t="s">
        <v>551</v>
      </c>
      <c r="F475" s="2"/>
    </row>
    <row r="476" spans="1:6" ht="14.5">
      <c r="A476" s="8">
        <v>17</v>
      </c>
      <c r="B476" s="7" t="str">
        <f>المدخلات!$F$5</f>
        <v>5:20–6:30 م</v>
      </c>
      <c r="C476" s="7">
        <v>10</v>
      </c>
      <c r="D476" s="7" t="s">
        <v>595</v>
      </c>
      <c r="E476" s="7" t="s">
        <v>1305</v>
      </c>
      <c r="F476" s="2"/>
    </row>
    <row r="477" spans="1:6" ht="14.5">
      <c r="A477" s="8">
        <v>17</v>
      </c>
      <c r="B477" s="7" t="str">
        <f>المدخلات!$F$6</f>
        <v>6:40–7:50 م</v>
      </c>
      <c r="C477" s="7">
        <v>8</v>
      </c>
      <c r="D477" s="7" t="s">
        <v>595</v>
      </c>
      <c r="E477" s="7" t="s">
        <v>433</v>
      </c>
      <c r="F477" s="2"/>
    </row>
    <row r="478" spans="1:6" ht="14.5">
      <c r="A478" s="8">
        <v>17</v>
      </c>
      <c r="B478" s="7" t="str">
        <f>المدخلات!$F$6</f>
        <v>6:40–7:50 م</v>
      </c>
      <c r="C478" s="7">
        <v>9</v>
      </c>
      <c r="D478" s="7" t="s">
        <v>595</v>
      </c>
      <c r="E478" s="7" t="s">
        <v>424</v>
      </c>
      <c r="F478" s="2"/>
    </row>
    <row r="479" spans="1:6" ht="14.5">
      <c r="A479" s="8">
        <v>17</v>
      </c>
      <c r="B479" s="7" t="str">
        <f>المدخلات!$F$6</f>
        <v>6:40–7:50 م</v>
      </c>
      <c r="C479" s="7">
        <v>10</v>
      </c>
      <c r="D479" s="7" t="s">
        <v>595</v>
      </c>
      <c r="E479" s="7" t="s">
        <v>420</v>
      </c>
      <c r="F479" s="2"/>
    </row>
    <row r="480" spans="1:6" ht="14.5">
      <c r="A480" s="8">
        <v>18</v>
      </c>
      <c r="B480" s="7" t="str">
        <f>المدخلات!$F$4</f>
        <v>4:00–5:10 م</v>
      </c>
      <c r="C480" s="7">
        <v>1</v>
      </c>
      <c r="D480" s="7" t="s">
        <v>593</v>
      </c>
      <c r="E480" s="7" t="s">
        <v>1083</v>
      </c>
      <c r="F480" s="2"/>
    </row>
    <row r="481" spans="1:6" ht="14.5">
      <c r="A481" s="8">
        <v>18</v>
      </c>
      <c r="B481" s="7" t="str">
        <f>المدخلات!$F$4</f>
        <v>4:00–5:10 م</v>
      </c>
      <c r="C481" s="7">
        <v>2</v>
      </c>
      <c r="D481" s="7" t="s">
        <v>593</v>
      </c>
      <c r="E481" s="7" t="s">
        <v>99</v>
      </c>
      <c r="F481" s="2"/>
    </row>
    <row r="482" spans="1:6" ht="14.5">
      <c r="A482" s="8">
        <v>18</v>
      </c>
      <c r="B482" s="7" t="str">
        <f>المدخلات!$F$4</f>
        <v>4:00–5:10 م</v>
      </c>
      <c r="C482" s="7">
        <v>3</v>
      </c>
      <c r="D482" s="7" t="s">
        <v>593</v>
      </c>
      <c r="E482" s="7" t="s">
        <v>8</v>
      </c>
      <c r="F482" s="2"/>
    </row>
    <row r="483" spans="1:6" ht="14.5">
      <c r="A483" s="8">
        <v>18</v>
      </c>
      <c r="B483" s="7" t="str">
        <f>المدخلات!$F$4</f>
        <v>4:00–5:10 م</v>
      </c>
      <c r="C483" s="7">
        <v>4</v>
      </c>
      <c r="D483" s="7" t="s">
        <v>593</v>
      </c>
      <c r="E483" s="7" t="s">
        <v>92</v>
      </c>
      <c r="F483" s="2"/>
    </row>
    <row r="484" spans="1:6" ht="14.5">
      <c r="A484" s="8">
        <v>18</v>
      </c>
      <c r="B484" s="7" t="str">
        <f>المدخلات!$F$5</f>
        <v>5:20–6:30 م</v>
      </c>
      <c r="C484" s="7">
        <v>1</v>
      </c>
      <c r="D484" s="7" t="s">
        <v>593</v>
      </c>
      <c r="E484" s="7" t="s">
        <v>14</v>
      </c>
      <c r="F484" s="2"/>
    </row>
    <row r="485" spans="1:6" ht="14.5">
      <c r="A485" s="8">
        <v>18</v>
      </c>
      <c r="B485" s="7" t="str">
        <f>المدخلات!$F$5</f>
        <v>5:20–6:30 م</v>
      </c>
      <c r="C485" s="7">
        <v>2</v>
      </c>
      <c r="D485" s="7" t="s">
        <v>593</v>
      </c>
      <c r="E485" s="7" t="s">
        <v>132</v>
      </c>
      <c r="F485" s="2"/>
    </row>
    <row r="486" spans="1:6" ht="14.5">
      <c r="A486" s="8">
        <v>18</v>
      </c>
      <c r="B486" s="7" t="str">
        <f>المدخلات!$F$5</f>
        <v>5:20–6:30 م</v>
      </c>
      <c r="C486" s="7">
        <v>3</v>
      </c>
      <c r="D486" s="7" t="s">
        <v>593</v>
      </c>
      <c r="E486" s="7" t="s">
        <v>133</v>
      </c>
      <c r="F486" s="2"/>
    </row>
    <row r="487" spans="1:6" ht="14.5">
      <c r="A487" s="8">
        <v>18</v>
      </c>
      <c r="B487" s="7" t="str">
        <f>المدخلات!$F$5</f>
        <v>5:20–6:30 م</v>
      </c>
      <c r="C487" s="7">
        <v>4</v>
      </c>
      <c r="D487" s="7" t="s">
        <v>593</v>
      </c>
      <c r="E487" s="7" t="s">
        <v>1118</v>
      </c>
      <c r="F487" s="2"/>
    </row>
    <row r="488" spans="1:6" ht="14.5">
      <c r="A488" s="8">
        <v>18</v>
      </c>
      <c r="B488" s="7" t="str">
        <f>المدخلات!$F$6</f>
        <v>6:40–7:50 م</v>
      </c>
      <c r="C488" s="7">
        <v>1</v>
      </c>
      <c r="D488" s="7" t="s">
        <v>593</v>
      </c>
      <c r="E488" s="7" t="s">
        <v>1117</v>
      </c>
      <c r="F488" s="2"/>
    </row>
    <row r="489" spans="1:6" ht="14.5">
      <c r="A489" s="8">
        <v>18</v>
      </c>
      <c r="B489" s="7" t="str">
        <f>المدخلات!$F$6</f>
        <v>6:40–7:50 م</v>
      </c>
      <c r="C489" s="7">
        <v>2</v>
      </c>
      <c r="D489" s="7" t="s">
        <v>593</v>
      </c>
      <c r="E489" s="7" t="s">
        <v>1104</v>
      </c>
      <c r="F489" s="2"/>
    </row>
    <row r="490" spans="1:6" ht="14.5">
      <c r="A490" s="8">
        <v>18</v>
      </c>
      <c r="B490" s="7" t="str">
        <f>المدخلات!$F$4</f>
        <v>4:00–5:10 م</v>
      </c>
      <c r="C490" s="7">
        <v>5</v>
      </c>
      <c r="D490" s="7" t="s">
        <v>594</v>
      </c>
      <c r="E490" s="7" t="s">
        <v>335</v>
      </c>
      <c r="F490" s="2"/>
    </row>
    <row r="491" spans="1:6" ht="14.5">
      <c r="A491" s="8">
        <v>18</v>
      </c>
      <c r="B491" s="7" t="str">
        <f>المدخلات!$F$4</f>
        <v>4:00–5:10 م</v>
      </c>
      <c r="C491" s="7">
        <v>6</v>
      </c>
      <c r="D491" s="7" t="s">
        <v>594</v>
      </c>
      <c r="E491" s="7" t="s">
        <v>611</v>
      </c>
      <c r="F491" s="2"/>
    </row>
    <row r="492" spans="1:6" ht="14.5">
      <c r="A492" s="8">
        <v>18</v>
      </c>
      <c r="B492" s="7" t="str">
        <f>المدخلات!$F$4</f>
        <v>4:00–5:10 م</v>
      </c>
      <c r="C492" s="7">
        <v>7</v>
      </c>
      <c r="D492" s="7" t="s">
        <v>594</v>
      </c>
      <c r="E492" s="7" t="s">
        <v>301</v>
      </c>
      <c r="F492" s="2"/>
    </row>
    <row r="493" spans="1:6" ht="14.5">
      <c r="A493" s="8">
        <v>18</v>
      </c>
      <c r="B493" s="7" t="str">
        <f>المدخلات!$F$5</f>
        <v>5:20–6:30 م</v>
      </c>
      <c r="C493" s="7">
        <v>5</v>
      </c>
      <c r="D493" s="7" t="s">
        <v>594</v>
      </c>
      <c r="E493" s="7" t="s">
        <v>327</v>
      </c>
      <c r="F493" s="2"/>
    </row>
    <row r="494" spans="1:6" ht="14.5">
      <c r="A494" s="8">
        <v>18</v>
      </c>
      <c r="B494" s="7" t="str">
        <f>المدخلات!$F$5</f>
        <v>5:20–6:30 م</v>
      </c>
      <c r="C494" s="7">
        <v>6</v>
      </c>
      <c r="D494" s="7" t="s">
        <v>594</v>
      </c>
      <c r="E494" s="7" t="s">
        <v>1307</v>
      </c>
      <c r="F494" s="2"/>
    </row>
    <row r="495" spans="1:6" ht="14.5">
      <c r="A495" s="8">
        <v>18</v>
      </c>
      <c r="B495" s="7" t="str">
        <f>المدخلات!$F$5</f>
        <v>5:20–6:30 م</v>
      </c>
      <c r="C495" s="7">
        <v>7</v>
      </c>
      <c r="D495" s="7" t="s">
        <v>594</v>
      </c>
      <c r="E495" s="7" t="s">
        <v>232</v>
      </c>
      <c r="F495" s="2"/>
    </row>
    <row r="496" spans="1:6" ht="14.5">
      <c r="A496" s="8">
        <v>18</v>
      </c>
      <c r="B496" s="7" t="str">
        <f>المدخلات!$F$6</f>
        <v>6:40–7:50 م</v>
      </c>
      <c r="C496" s="7">
        <v>5</v>
      </c>
      <c r="D496" s="7" t="s">
        <v>594</v>
      </c>
      <c r="E496" s="7" t="s">
        <v>366</v>
      </c>
      <c r="F496" s="2"/>
    </row>
    <row r="497" spans="1:6" ht="14.5">
      <c r="A497" s="8">
        <v>18</v>
      </c>
      <c r="B497" s="7" t="str">
        <f>المدخلات!$F$6</f>
        <v>6:40–7:50 م</v>
      </c>
      <c r="C497" s="7">
        <v>6</v>
      </c>
      <c r="D497" s="7" t="s">
        <v>594</v>
      </c>
      <c r="E497" s="7" t="s">
        <v>382</v>
      </c>
      <c r="F497" s="2"/>
    </row>
    <row r="498" spans="1:6" ht="14.5">
      <c r="A498" s="8">
        <v>18</v>
      </c>
      <c r="B498" s="7" t="str">
        <f>المدخلات!$F$6</f>
        <v>6:40–7:50 م</v>
      </c>
      <c r="C498" s="7">
        <v>7</v>
      </c>
      <c r="D498" s="7" t="s">
        <v>594</v>
      </c>
      <c r="E498" s="7" t="s">
        <v>367</v>
      </c>
      <c r="F498" s="2"/>
    </row>
    <row r="499" spans="1:6" ht="14.5">
      <c r="A499" s="8">
        <v>18</v>
      </c>
      <c r="B499" s="7" t="str">
        <f>المدخلات!$F$4</f>
        <v>4:00–5:10 م</v>
      </c>
      <c r="C499" s="7">
        <v>8</v>
      </c>
      <c r="D499" s="7" t="s">
        <v>595</v>
      </c>
      <c r="E499" s="7" t="s">
        <v>515</v>
      </c>
      <c r="F499" s="2"/>
    </row>
    <row r="500" spans="1:6" ht="14.5">
      <c r="A500" s="8">
        <v>18</v>
      </c>
      <c r="B500" s="7" t="str">
        <f>المدخلات!$F$4</f>
        <v>4:00–5:10 م</v>
      </c>
      <c r="C500" s="7">
        <v>9</v>
      </c>
      <c r="D500" s="7" t="s">
        <v>595</v>
      </c>
      <c r="E500" s="7" t="s">
        <v>798</v>
      </c>
      <c r="F500" s="2"/>
    </row>
    <row r="501" spans="1:6" ht="14.5">
      <c r="A501" s="8">
        <v>18</v>
      </c>
      <c r="B501" s="7" t="str">
        <f>المدخلات!$F$4</f>
        <v>4:00–5:10 م</v>
      </c>
      <c r="C501" s="7">
        <v>10</v>
      </c>
      <c r="D501" s="7" t="s">
        <v>595</v>
      </c>
      <c r="E501" s="7" t="s">
        <v>499</v>
      </c>
      <c r="F501" s="2"/>
    </row>
    <row r="502" spans="1:6" ht="14.5">
      <c r="A502" s="8">
        <v>18</v>
      </c>
      <c r="B502" s="7" t="str">
        <f>المدخلات!$F$5</f>
        <v>5:20–6:30 م</v>
      </c>
      <c r="C502" s="7">
        <v>8</v>
      </c>
      <c r="D502" s="7" t="s">
        <v>595</v>
      </c>
      <c r="E502" s="7" t="s">
        <v>509</v>
      </c>
      <c r="F502" s="2"/>
    </row>
    <row r="503" spans="1:6" ht="14.5">
      <c r="A503" s="8">
        <v>18</v>
      </c>
      <c r="B503" s="7" t="str">
        <f>المدخلات!$F$5</f>
        <v>5:20–6:30 م</v>
      </c>
      <c r="C503" s="7">
        <v>9</v>
      </c>
      <c r="D503" s="7" t="s">
        <v>595</v>
      </c>
      <c r="E503" s="7" t="s">
        <v>1308</v>
      </c>
      <c r="F503" s="2"/>
    </row>
    <row r="504" spans="1:6" ht="14.5">
      <c r="A504" s="8">
        <v>18</v>
      </c>
      <c r="B504" s="7" t="str">
        <f>المدخلات!$F$5</f>
        <v>5:20–6:30 م</v>
      </c>
      <c r="C504" s="7">
        <v>10</v>
      </c>
      <c r="D504" s="7" t="s">
        <v>595</v>
      </c>
      <c r="E504" s="7" t="s">
        <v>416</v>
      </c>
      <c r="F504" s="2"/>
    </row>
    <row r="505" spans="1:6" ht="14.5">
      <c r="A505" s="8">
        <v>18</v>
      </c>
      <c r="B505" s="7" t="str">
        <f>المدخلات!$F$6</f>
        <v>6:40–7:50 م</v>
      </c>
      <c r="C505" s="7">
        <v>8</v>
      </c>
      <c r="D505" s="7" t="s">
        <v>595</v>
      </c>
      <c r="E505" s="7" t="s">
        <v>553</v>
      </c>
      <c r="F505" s="2"/>
    </row>
    <row r="506" spans="1:6" ht="14.5">
      <c r="A506" s="8">
        <v>18</v>
      </c>
      <c r="B506" s="7" t="str">
        <f>المدخلات!$F$6</f>
        <v>6:40–7:50 م</v>
      </c>
      <c r="C506" s="7">
        <v>9</v>
      </c>
      <c r="D506" s="7" t="s">
        <v>595</v>
      </c>
      <c r="E506" s="7" t="s">
        <v>552</v>
      </c>
      <c r="F506" s="2"/>
    </row>
    <row r="507" spans="1:6" ht="14.5">
      <c r="A507" s="8">
        <v>18</v>
      </c>
      <c r="B507" s="7" t="str">
        <f>المدخلات!$F$6</f>
        <v>6:40–7:50 م</v>
      </c>
      <c r="C507" s="7">
        <v>10</v>
      </c>
      <c r="D507" s="7" t="s">
        <v>595</v>
      </c>
      <c r="E507" s="7" t="s">
        <v>530</v>
      </c>
      <c r="F507" s="2"/>
    </row>
    <row r="508" spans="1:6" ht="14.5">
      <c r="A508" s="8">
        <v>19</v>
      </c>
      <c r="B508" s="7" t="str">
        <f>المدخلات!$F$4</f>
        <v>4:00–5:10 م</v>
      </c>
      <c r="C508" s="7">
        <v>1</v>
      </c>
      <c r="D508" s="7" t="s">
        <v>593</v>
      </c>
      <c r="E508" s="7" t="s">
        <v>156</v>
      </c>
      <c r="F508" s="2"/>
    </row>
    <row r="509" spans="1:6" ht="14.5">
      <c r="A509" s="8">
        <v>19</v>
      </c>
      <c r="B509" s="7" t="str">
        <f>المدخلات!$F$4</f>
        <v>4:00–5:10 م</v>
      </c>
      <c r="C509" s="7">
        <v>2</v>
      </c>
      <c r="D509" s="7" t="s">
        <v>593</v>
      </c>
      <c r="E509" s="7" t="s">
        <v>135</v>
      </c>
      <c r="F509" s="2"/>
    </row>
    <row r="510" spans="1:6" ht="14.5">
      <c r="A510" s="8">
        <v>19</v>
      </c>
      <c r="B510" s="7" t="str">
        <f>المدخلات!$F$4</f>
        <v>4:00–5:10 م</v>
      </c>
      <c r="C510" s="7">
        <v>3</v>
      </c>
      <c r="D510" s="7" t="s">
        <v>593</v>
      </c>
      <c r="E510" s="7" t="s">
        <v>1037</v>
      </c>
      <c r="F510" s="2"/>
    </row>
    <row r="511" spans="1:6" ht="14.5">
      <c r="A511" s="8">
        <v>19</v>
      </c>
      <c r="B511" s="7" t="str">
        <f>المدخلات!$F$4</f>
        <v>4:00–5:10 م</v>
      </c>
      <c r="C511" s="7">
        <v>4</v>
      </c>
      <c r="D511" s="7" t="s">
        <v>593</v>
      </c>
      <c r="E511" s="7" t="s">
        <v>93</v>
      </c>
      <c r="F511" s="2"/>
    </row>
    <row r="512" spans="1:6" ht="14.5">
      <c r="A512" s="8">
        <v>19</v>
      </c>
      <c r="B512" s="7" t="str">
        <f>المدخلات!$F$5</f>
        <v>5:20–6:30 م</v>
      </c>
      <c r="C512" s="7">
        <v>1</v>
      </c>
      <c r="D512" s="7" t="s">
        <v>593</v>
      </c>
      <c r="E512" s="7" t="s">
        <v>1105</v>
      </c>
      <c r="F512" s="2"/>
    </row>
    <row r="513" spans="1:6" ht="14.5">
      <c r="A513" s="8">
        <v>19</v>
      </c>
      <c r="B513" s="7" t="str">
        <f>المدخلات!$F$5</f>
        <v>5:20–6:30 م</v>
      </c>
      <c r="C513" s="7">
        <v>2</v>
      </c>
      <c r="D513" s="7" t="s">
        <v>593</v>
      </c>
      <c r="E513" s="7" t="s">
        <v>1119</v>
      </c>
      <c r="F513" s="2"/>
    </row>
    <row r="514" spans="1:6" ht="14.5">
      <c r="A514" s="8">
        <v>19</v>
      </c>
      <c r="B514" s="7" t="str">
        <f>المدخلات!$F$5</f>
        <v>5:20–6:30 م</v>
      </c>
      <c r="C514" s="7">
        <v>3</v>
      </c>
      <c r="D514" s="7" t="s">
        <v>593</v>
      </c>
      <c r="E514" s="7" t="s">
        <v>1106</v>
      </c>
      <c r="F514" s="2"/>
    </row>
    <row r="515" spans="1:6" ht="14.5">
      <c r="A515" s="8">
        <v>19</v>
      </c>
      <c r="B515" s="7" t="str">
        <f>المدخلات!$F$5</f>
        <v>5:20–6:30 م</v>
      </c>
      <c r="C515" s="7">
        <v>4</v>
      </c>
      <c r="D515" s="7" t="s">
        <v>593</v>
      </c>
      <c r="E515" s="7" t="s">
        <v>94</v>
      </c>
      <c r="F515" s="2"/>
    </row>
    <row r="516" spans="1:6" ht="14.5">
      <c r="A516" s="8">
        <v>19</v>
      </c>
      <c r="B516" s="7" t="str">
        <f>المدخلات!$F$6</f>
        <v>6:40–7:50 م</v>
      </c>
      <c r="C516" s="7">
        <v>1</v>
      </c>
      <c r="D516" s="7" t="s">
        <v>593</v>
      </c>
      <c r="E516" s="7" t="s">
        <v>134</v>
      </c>
      <c r="F516" s="2"/>
    </row>
    <row r="517" spans="1:6" ht="14.5">
      <c r="A517" s="8">
        <v>19</v>
      </c>
      <c r="B517" s="7" t="str">
        <f>المدخلات!$F$6</f>
        <v>6:40–7:50 م</v>
      </c>
      <c r="C517" s="7">
        <v>2</v>
      </c>
      <c r="D517" s="7" t="s">
        <v>593</v>
      </c>
      <c r="E517" s="7" t="s">
        <v>72</v>
      </c>
      <c r="F517" s="2"/>
    </row>
    <row r="518" spans="1:6" ht="14.5">
      <c r="A518" s="8">
        <v>19</v>
      </c>
      <c r="B518" s="7" t="str">
        <f>المدخلات!$F$4</f>
        <v>4:00–5:10 م</v>
      </c>
      <c r="C518" s="7">
        <v>5</v>
      </c>
      <c r="D518" s="7" t="s">
        <v>594</v>
      </c>
      <c r="E518" s="7" t="s">
        <v>329</v>
      </c>
      <c r="F518" s="2"/>
    </row>
    <row r="519" spans="1:6" ht="14.5">
      <c r="A519" s="8">
        <v>19</v>
      </c>
      <c r="B519" s="7" t="str">
        <f>المدخلات!$F$4</f>
        <v>4:00–5:10 م</v>
      </c>
      <c r="C519" s="7">
        <v>6</v>
      </c>
      <c r="D519" s="7" t="s">
        <v>594</v>
      </c>
      <c r="E519" s="7" t="s">
        <v>1190</v>
      </c>
      <c r="F519" s="2"/>
    </row>
    <row r="520" spans="1:6" ht="14.5">
      <c r="A520" s="8">
        <v>19</v>
      </c>
      <c r="B520" s="7" t="str">
        <f>المدخلات!$F$4</f>
        <v>4:00–5:10 م</v>
      </c>
      <c r="C520" s="7">
        <v>7</v>
      </c>
      <c r="D520" s="7" t="s">
        <v>594</v>
      </c>
      <c r="E520" s="7" t="s">
        <v>369</v>
      </c>
      <c r="F520" s="2"/>
    </row>
    <row r="521" spans="1:6" ht="14.5">
      <c r="A521" s="8">
        <v>19</v>
      </c>
      <c r="B521" s="7" t="str">
        <f>المدخلات!$F$5</f>
        <v>5:20–6:30 م</v>
      </c>
      <c r="C521" s="7">
        <v>5</v>
      </c>
      <c r="D521" s="7" t="s">
        <v>594</v>
      </c>
      <c r="E521" s="7" t="s">
        <v>291</v>
      </c>
      <c r="F521" s="2"/>
    </row>
    <row r="522" spans="1:6" ht="14.5">
      <c r="A522" s="8">
        <v>19</v>
      </c>
      <c r="B522" s="7" t="str">
        <f>المدخلات!$F$5</f>
        <v>5:20–6:30 م</v>
      </c>
      <c r="C522" s="7">
        <v>6</v>
      </c>
      <c r="D522" s="7" t="s">
        <v>594</v>
      </c>
      <c r="E522" s="7" t="s">
        <v>1309</v>
      </c>
      <c r="F522" s="2"/>
    </row>
    <row r="523" spans="1:6" ht="14.5">
      <c r="A523" s="8">
        <v>19</v>
      </c>
      <c r="B523" s="7" t="str">
        <f>المدخلات!$F$5</f>
        <v>5:20–6:30 م</v>
      </c>
      <c r="C523" s="7">
        <v>7</v>
      </c>
      <c r="D523" s="7" t="s">
        <v>594</v>
      </c>
      <c r="E523" s="7" t="s">
        <v>1221</v>
      </c>
      <c r="F523" s="2"/>
    </row>
    <row r="524" spans="1:6" ht="14.5">
      <c r="A524" s="8">
        <v>19</v>
      </c>
      <c r="B524" s="7" t="str">
        <f>المدخلات!$F$6</f>
        <v>6:40–7:50 م</v>
      </c>
      <c r="C524" s="7">
        <v>5</v>
      </c>
      <c r="D524" s="7" t="s">
        <v>594</v>
      </c>
      <c r="E524" s="7" t="s">
        <v>223</v>
      </c>
      <c r="F524" s="2"/>
    </row>
    <row r="525" spans="1:6" ht="14.5">
      <c r="A525" s="8">
        <v>19</v>
      </c>
      <c r="B525" s="7" t="str">
        <f>المدخلات!$F$6</f>
        <v>6:40–7:50 م</v>
      </c>
      <c r="C525" s="7">
        <v>6</v>
      </c>
      <c r="D525" s="7" t="s">
        <v>594</v>
      </c>
      <c r="E525" s="7" t="s">
        <v>1310</v>
      </c>
      <c r="F525" s="2"/>
    </row>
    <row r="526" spans="1:6" ht="14.5">
      <c r="A526" s="8">
        <v>19</v>
      </c>
      <c r="B526" s="7" t="str">
        <f>المدخلات!$F$6</f>
        <v>6:40–7:50 م</v>
      </c>
      <c r="C526" s="7">
        <v>7</v>
      </c>
      <c r="D526" s="7" t="s">
        <v>594</v>
      </c>
      <c r="E526" s="7" t="s">
        <v>302</v>
      </c>
      <c r="F526" s="2"/>
    </row>
    <row r="527" spans="1:6" ht="14.5">
      <c r="A527" s="8">
        <v>19</v>
      </c>
      <c r="B527" s="7" t="str">
        <f>المدخلات!$F$4</f>
        <v>4:00–5:10 م</v>
      </c>
      <c r="C527" s="7">
        <v>8</v>
      </c>
      <c r="D527" s="7" t="s">
        <v>595</v>
      </c>
      <c r="E527" s="7" t="s">
        <v>510</v>
      </c>
      <c r="F527" s="2"/>
    </row>
    <row r="528" spans="1:6" ht="14.5">
      <c r="A528" s="8">
        <v>19</v>
      </c>
      <c r="B528" s="7" t="str">
        <f>المدخلات!$F$4</f>
        <v>4:00–5:10 م</v>
      </c>
      <c r="C528" s="7">
        <v>9</v>
      </c>
      <c r="D528" s="7" t="s">
        <v>595</v>
      </c>
      <c r="E528" s="7" t="s">
        <v>1312</v>
      </c>
      <c r="F528" s="2"/>
    </row>
    <row r="529" spans="1:59" ht="14.5">
      <c r="A529" s="8">
        <v>19</v>
      </c>
      <c r="B529" s="7" t="str">
        <f>المدخلات!$F$4</f>
        <v>4:00–5:10 م</v>
      </c>
      <c r="C529" s="7">
        <v>10</v>
      </c>
      <c r="D529" s="7" t="s">
        <v>595</v>
      </c>
      <c r="E529" s="7" t="s">
        <v>520</v>
      </c>
      <c r="F529" s="2"/>
    </row>
    <row r="530" spans="1:59" ht="14.5">
      <c r="A530" s="8">
        <v>19</v>
      </c>
      <c r="B530" s="7" t="str">
        <f>المدخلات!$F$5</f>
        <v>5:20–6:30 م</v>
      </c>
      <c r="C530" s="7">
        <v>8</v>
      </c>
      <c r="D530" s="7" t="s">
        <v>595</v>
      </c>
      <c r="E530" s="7" t="s">
        <v>487</v>
      </c>
      <c r="F530" s="2"/>
    </row>
    <row r="531" spans="1:59" ht="14.5">
      <c r="A531" s="8">
        <v>19</v>
      </c>
      <c r="B531" s="7" t="str">
        <f>المدخلات!$F$5</f>
        <v>5:20–6:30 م</v>
      </c>
      <c r="C531" s="7">
        <v>9</v>
      </c>
      <c r="D531" s="7" t="s">
        <v>595</v>
      </c>
      <c r="E531" s="7" t="s">
        <v>1311</v>
      </c>
      <c r="F531" s="2"/>
    </row>
    <row r="532" spans="1:59" ht="14.5">
      <c r="A532" s="8">
        <v>19</v>
      </c>
      <c r="B532" s="7" t="str">
        <f>المدخلات!$F$5</f>
        <v>5:20–6:30 م</v>
      </c>
      <c r="C532" s="7">
        <v>10</v>
      </c>
      <c r="D532" s="7" t="s">
        <v>595</v>
      </c>
      <c r="E532" s="7" t="s">
        <v>1314</v>
      </c>
      <c r="F532" s="2"/>
    </row>
    <row r="533" spans="1:59" ht="14.5">
      <c r="A533" s="8">
        <v>19</v>
      </c>
      <c r="B533" s="7" t="str">
        <f>المدخلات!$F$6</f>
        <v>6:40–7:50 م</v>
      </c>
      <c r="C533" s="7">
        <v>8</v>
      </c>
      <c r="D533" s="7" t="s">
        <v>595</v>
      </c>
      <c r="E533" s="7" t="s">
        <v>405</v>
      </c>
      <c r="F533" s="2"/>
    </row>
    <row r="534" spans="1:59" ht="14.5">
      <c r="A534" s="8">
        <v>19</v>
      </c>
      <c r="B534" s="7" t="str">
        <f>المدخلات!$F$6</f>
        <v>6:40–7:50 م</v>
      </c>
      <c r="C534" s="7">
        <v>9</v>
      </c>
      <c r="D534" s="7" t="s">
        <v>595</v>
      </c>
      <c r="E534" s="7" t="s">
        <v>1313</v>
      </c>
      <c r="F534" s="2"/>
    </row>
    <row r="535" spans="1:59" ht="14.5">
      <c r="A535" s="8">
        <v>19</v>
      </c>
      <c r="B535" s="7" t="str">
        <f>المدخلات!$F$6</f>
        <v>6:40–7:50 م</v>
      </c>
      <c r="C535" s="7">
        <v>10</v>
      </c>
      <c r="D535" s="7" t="s">
        <v>595</v>
      </c>
      <c r="E535" s="7" t="s">
        <v>500</v>
      </c>
      <c r="F535" s="2"/>
    </row>
    <row r="536" spans="1:59" ht="14.5">
      <c r="A536" s="8">
        <v>20</v>
      </c>
      <c r="B536" s="7" t="str">
        <f>المدخلات!$F$4</f>
        <v>4:00–5:10 م</v>
      </c>
      <c r="C536" s="7">
        <v>1</v>
      </c>
      <c r="D536" s="7" t="s">
        <v>580</v>
      </c>
      <c r="E536" s="7" t="s">
        <v>1034</v>
      </c>
      <c r="F536" s="2"/>
    </row>
    <row r="537" spans="1:59" ht="14.5">
      <c r="A537" s="8">
        <v>20</v>
      </c>
      <c r="B537" s="7" t="str">
        <f>المدخلات!$F$4</f>
        <v>4:00–5:10 م</v>
      </c>
      <c r="C537" s="7">
        <v>2</v>
      </c>
      <c r="D537" s="7" t="s">
        <v>580</v>
      </c>
      <c r="E537" s="7" t="s">
        <v>821</v>
      </c>
      <c r="F537" s="2"/>
    </row>
    <row r="538" spans="1:59" ht="14.5">
      <c r="A538" s="8">
        <v>21</v>
      </c>
      <c r="B538" s="7" t="str">
        <f>المدخلات!$F$4</f>
        <v>4:00–5:10 م</v>
      </c>
      <c r="C538" s="7">
        <v>1</v>
      </c>
      <c r="D538" s="7" t="s">
        <v>581</v>
      </c>
      <c r="E538" s="7" t="s">
        <v>582</v>
      </c>
      <c r="F538" s="2"/>
    </row>
    <row r="539" spans="1:59">
      <c r="A539" s="2"/>
      <c r="B539" s="2"/>
      <c r="C539" s="2"/>
      <c r="D539" s="2"/>
      <c r="E539" s="2"/>
    </row>
    <row r="540" spans="1:59">
      <c r="A540" s="2"/>
      <c r="B540" s="2"/>
      <c r="C540" s="2"/>
      <c r="D540" s="2"/>
      <c r="E540" s="2"/>
    </row>
    <row r="541" spans="1:59" ht="14.5">
      <c r="A541" s="17" t="s">
        <v>828</v>
      </c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</row>
    <row r="542" spans="1:59" ht="14.5">
      <c r="A542" s="6" t="s">
        <v>829</v>
      </c>
      <c r="B542" s="6">
        <v>1</v>
      </c>
      <c r="C542" s="6">
        <v>2</v>
      </c>
      <c r="D542" s="6">
        <v>3</v>
      </c>
      <c r="E542" s="6">
        <v>4</v>
      </c>
      <c r="F542" s="6">
        <v>5</v>
      </c>
      <c r="G542" s="6">
        <v>6</v>
      </c>
      <c r="H542" s="6">
        <v>7</v>
      </c>
      <c r="I542" s="6">
        <v>8</v>
      </c>
      <c r="J542" s="6">
        <v>9</v>
      </c>
      <c r="K542" s="6">
        <v>10</v>
      </c>
      <c r="L542" s="6">
        <v>11</v>
      </c>
      <c r="M542" s="6">
        <v>12</v>
      </c>
      <c r="N542" s="6">
        <v>13</v>
      </c>
      <c r="O542" s="6">
        <v>14</v>
      </c>
      <c r="P542" s="6">
        <v>15</v>
      </c>
      <c r="Q542" s="6">
        <v>16</v>
      </c>
      <c r="R542" s="6">
        <v>17</v>
      </c>
      <c r="S542" s="6">
        <v>18</v>
      </c>
      <c r="T542" s="6">
        <v>19</v>
      </c>
      <c r="U542" s="6">
        <v>20</v>
      </c>
      <c r="V542" s="6">
        <v>21</v>
      </c>
      <c r="W542" s="6">
        <v>22</v>
      </c>
      <c r="X542" s="6">
        <v>23</v>
      </c>
      <c r="Y542" s="6">
        <v>24</v>
      </c>
      <c r="Z542" s="6">
        <v>25</v>
      </c>
      <c r="AA542" s="6">
        <v>26</v>
      </c>
      <c r="AB542" s="6">
        <v>27</v>
      </c>
      <c r="AC542" s="6">
        <v>28</v>
      </c>
      <c r="AD542" s="6">
        <v>29</v>
      </c>
      <c r="AE542" s="6">
        <v>30</v>
      </c>
      <c r="AF542" s="6">
        <v>31</v>
      </c>
      <c r="AG542" s="6">
        <v>32</v>
      </c>
      <c r="AH542" s="6">
        <v>33</v>
      </c>
      <c r="AI542" s="6">
        <v>34</v>
      </c>
      <c r="AJ542" s="6">
        <v>35</v>
      </c>
      <c r="AK542" s="6">
        <v>36</v>
      </c>
      <c r="AL542" s="6">
        <v>37</v>
      </c>
      <c r="AM542" s="6">
        <v>38</v>
      </c>
      <c r="AN542" s="6">
        <v>39</v>
      </c>
      <c r="AO542" s="6">
        <v>40</v>
      </c>
      <c r="AP542" s="6">
        <v>41</v>
      </c>
      <c r="AQ542" s="6">
        <v>42</v>
      </c>
      <c r="AR542" s="6">
        <v>43</v>
      </c>
      <c r="AS542" s="6">
        <v>44</v>
      </c>
      <c r="AT542" s="6">
        <v>45</v>
      </c>
      <c r="AU542" s="6">
        <v>46</v>
      </c>
      <c r="AV542" s="6">
        <v>47</v>
      </c>
      <c r="AW542" s="6">
        <v>48</v>
      </c>
      <c r="AX542" s="6">
        <v>49</v>
      </c>
      <c r="AY542" s="6">
        <v>50</v>
      </c>
      <c r="AZ542" s="6">
        <v>51</v>
      </c>
      <c r="BA542" s="6">
        <v>52</v>
      </c>
      <c r="BB542" s="6">
        <v>53</v>
      </c>
      <c r="BC542" s="6">
        <v>54</v>
      </c>
      <c r="BD542" s="6">
        <v>55</v>
      </c>
      <c r="BE542" s="6">
        <v>56</v>
      </c>
      <c r="BF542" s="6">
        <v>57</v>
      </c>
      <c r="BG542" s="6">
        <v>58</v>
      </c>
    </row>
    <row r="543" spans="1:59" ht="14.5">
      <c r="A543" s="14">
        <v>1</v>
      </c>
      <c r="B543" s="4" t="str">
        <f>IF($A543=B$542,"",COUNTIF($E$4:$E$538,$A543&amp;" ضد "&amp;B$542)+COUNTIF($E$4:$E$538,B$542&amp;" ضد "&amp;$A543))</f>
        <v/>
      </c>
      <c r="C543" s="4">
        <f>IF($A543=C$542,"",COUNTIF($E$4:$E$538,$A543&amp;" ضد "&amp;C$542)+COUNTIF($E$4:$E$538,C$542&amp;" ضد "&amp;$A543))</f>
        <v>1</v>
      </c>
      <c r="D543" s="4">
        <f>IF($A543=D$542,"",COUNTIF($E$4:$E$538,$A543&amp;" ضد "&amp;D$542)+COUNTIF($E$4:$E$538,D$542&amp;" ضد "&amp;$A543))</f>
        <v>1</v>
      </c>
      <c r="E543" s="4">
        <f>IF($A543=E$542,"",COUNTIF($E$4:$E$538,$A543&amp;" ضد "&amp;E$542)+COUNTIF($E$4:$E$538,E$542&amp;" ضد "&amp;$A543))</f>
        <v>1</v>
      </c>
      <c r="F543" s="4">
        <f>IF($A543=F$542,"",COUNTIF($E$4:$E$538,$A543&amp;" ضد "&amp;F$542)+COUNTIF($E$4:$E$538,F$542&amp;" ضد "&amp;$A543))</f>
        <v>1</v>
      </c>
      <c r="G543" s="4">
        <f>IF($A543=G$542,"",COUNTIF($E$4:$E$538,$A543&amp;" ضد "&amp;G$542)+COUNTIF($E$4:$E$538,G$542&amp;" ضد "&amp;$A543))</f>
        <v>1</v>
      </c>
      <c r="H543" s="4">
        <f>IF($A543=H$542,"",COUNTIF($E$4:$E$538,$A543&amp;" ضد "&amp;H$542)+COUNTIF($E$4:$E$538,H$542&amp;" ضد "&amp;$A543))</f>
        <v>1</v>
      </c>
      <c r="I543" s="4">
        <f>IF($A543=I$542,"",COUNTIF($E$4:$E$538,$A543&amp;" ضد "&amp;I$542)+COUNTIF($E$4:$E$538,I$542&amp;" ضد "&amp;$A543))</f>
        <v>1</v>
      </c>
      <c r="J543" s="4">
        <f>IF($A543=J$542,"",COUNTIF($E$4:$E$538,$A543&amp;" ضد "&amp;J$542)+COUNTIF($E$4:$E$538,J$542&amp;" ضد "&amp;$A543))</f>
        <v>1</v>
      </c>
      <c r="K543" s="4">
        <f>IF($A543=K$542,"",COUNTIF($E$4:$E$538,$A543&amp;" ضد "&amp;K$542)+COUNTIF($E$4:$E$538,K$542&amp;" ضد "&amp;$A543))</f>
        <v>1</v>
      </c>
      <c r="L543" s="4">
        <f>IF($A543=L$542,"",COUNTIF($E$4:$E$538,$A543&amp;" ضد "&amp;L$542)+COUNTIF($E$4:$E$538,L$542&amp;" ضد "&amp;$A543))</f>
        <v>1</v>
      </c>
      <c r="M543" s="4">
        <f>IF($A543=M$542,"",COUNTIF($E$4:$E$538,$A543&amp;" ضد "&amp;M$542)+COUNTIF($E$4:$E$538,M$542&amp;" ضد "&amp;$A543))</f>
        <v>1</v>
      </c>
      <c r="N543" s="4">
        <f>IF($A543=N$542,"",COUNTIF($E$4:$E$538,$A543&amp;" ضد "&amp;N$542)+COUNTIF($E$4:$E$538,N$542&amp;" ضد "&amp;$A543))</f>
        <v>1</v>
      </c>
      <c r="O543" s="4">
        <f>IF($A543=O$542,"",COUNTIF($E$4:$E$538,$A543&amp;" ضد "&amp;O$542)+COUNTIF($E$4:$E$538,O$542&amp;" ضد "&amp;$A543))</f>
        <v>1</v>
      </c>
      <c r="P543" s="4">
        <f>IF($A543=P$542,"",COUNTIF($E$4:$E$538,$A543&amp;" ضد "&amp;P$542)+COUNTIF($E$4:$E$538,P$542&amp;" ضد "&amp;$A543))</f>
        <v>1</v>
      </c>
      <c r="Q543" s="4">
        <f>IF($A543=Q$542,"",COUNTIF($E$4:$E$538,$A543&amp;" ضد "&amp;Q$542)+COUNTIF($E$4:$E$538,Q$542&amp;" ضد "&amp;$A543))</f>
        <v>1</v>
      </c>
      <c r="R543" s="4">
        <f>IF($A543=R$542,"",COUNTIF($E$4:$E$538,$A543&amp;" ضد "&amp;R$542)+COUNTIF($E$4:$E$538,R$542&amp;" ضد "&amp;$A543))</f>
        <v>1</v>
      </c>
      <c r="S543" s="4">
        <f>IF($A543=S$542,"",COUNTIF($E$4:$E$538,$A543&amp;" ضد "&amp;S$542)+COUNTIF($E$4:$E$538,S$542&amp;" ضد "&amp;$A543))</f>
        <v>1</v>
      </c>
      <c r="T543" s="4">
        <f>IF($A543=T$542,"",COUNTIF($E$4:$E$538,$A543&amp;" ضد "&amp;T$542)+COUNTIF($E$4:$E$538,T$542&amp;" ضد "&amp;$A543))</f>
        <v>1</v>
      </c>
      <c r="U543" s="4">
        <f>IF($A543=U$542,"",COUNTIF($E$4:$E$538,$A543&amp;" ضد "&amp;U$542)+COUNTIF($E$4:$E$538,U$542&amp;" ضد "&amp;$A543))</f>
        <v>1</v>
      </c>
      <c r="V543" s="4">
        <f>IF($A543=V$542,"",COUNTIF($E$4:$E$538,$A543&amp;" ضد "&amp;V$542)+COUNTIF($E$4:$E$538,V$542&amp;" ضد "&amp;$A543))</f>
        <v>0</v>
      </c>
      <c r="W543" s="4">
        <f>IF($A543=W$542,"",COUNTIF($E$4:$E$538,$A543&amp;" ضد "&amp;W$542)+COUNTIF($E$4:$E$538,W$542&amp;" ضد "&amp;$A543))</f>
        <v>0</v>
      </c>
      <c r="X543" s="4">
        <f>IF($A543=X$542,"",COUNTIF($E$4:$E$538,$A543&amp;" ضد "&amp;X$542)+COUNTIF($E$4:$E$538,X$542&amp;" ضد "&amp;$A543))</f>
        <v>0</v>
      </c>
      <c r="Y543" s="4">
        <f>IF($A543=Y$542,"",COUNTIF($E$4:$E$538,$A543&amp;" ضد "&amp;Y$542)+COUNTIF($E$4:$E$538,Y$542&amp;" ضد "&amp;$A543))</f>
        <v>0</v>
      </c>
      <c r="Z543" s="4">
        <f>IF($A543=Z$542,"",COUNTIF($E$4:$E$538,$A543&amp;" ضد "&amp;Z$542)+COUNTIF($E$4:$E$538,Z$542&amp;" ضد "&amp;$A543))</f>
        <v>0</v>
      </c>
      <c r="AA543" s="4">
        <f>IF($A543=AA$542,"",COUNTIF($E$4:$E$538,$A543&amp;" ضد "&amp;AA$542)+COUNTIF($E$4:$E$538,AA$542&amp;" ضد "&amp;$A543))</f>
        <v>0</v>
      </c>
      <c r="AB543" s="4">
        <f>IF($A543=AB$542,"",COUNTIF($E$4:$E$538,$A543&amp;" ضد "&amp;AB$542)+COUNTIF($E$4:$E$538,AB$542&amp;" ضد "&amp;$A543))</f>
        <v>0</v>
      </c>
      <c r="AC543" s="4">
        <f>IF($A543=AC$542,"",COUNTIF($E$4:$E$538,$A543&amp;" ضد "&amp;AC$542)+COUNTIF($E$4:$E$538,AC$542&amp;" ضد "&amp;$A543))</f>
        <v>0</v>
      </c>
      <c r="AD543" s="4">
        <f>IF($A543=AD$542,"",COUNTIF($E$4:$E$538,$A543&amp;" ضد "&amp;AD$542)+COUNTIF($E$4:$E$538,AD$542&amp;" ضد "&amp;$A543))</f>
        <v>0</v>
      </c>
      <c r="AE543" s="4">
        <f>IF($A543=AE$542,"",COUNTIF($E$4:$E$538,$A543&amp;" ضد "&amp;AE$542)+COUNTIF($E$4:$E$538,AE$542&amp;" ضد "&amp;$A543))</f>
        <v>0</v>
      </c>
      <c r="AF543" s="4">
        <f>IF($A543=AF$542,"",COUNTIF($E$4:$E$538,$A543&amp;" ضد "&amp;AF$542)+COUNTIF($E$4:$E$538,AF$542&amp;" ضد "&amp;$A543))</f>
        <v>0</v>
      </c>
      <c r="AG543" s="4">
        <f>IF($A543=AG$542,"",COUNTIF($E$4:$E$538,$A543&amp;" ضد "&amp;AG$542)+COUNTIF($E$4:$E$538,AG$542&amp;" ضد "&amp;$A543))</f>
        <v>0</v>
      </c>
      <c r="AH543" s="4">
        <f>IF($A543=AH$542,"",COUNTIF($E$4:$E$538,$A543&amp;" ضد "&amp;AH$542)+COUNTIF($E$4:$E$538,AH$542&amp;" ضد "&amp;$A543))</f>
        <v>0</v>
      </c>
      <c r="AI543" s="4">
        <f>IF($A543=AI$542,"",COUNTIF($E$4:$E$538,$A543&amp;" ضد "&amp;AI$542)+COUNTIF($E$4:$E$538,AI$542&amp;" ضد "&amp;$A543))</f>
        <v>0</v>
      </c>
      <c r="AJ543" s="4">
        <f>IF($A543=AJ$542,"",COUNTIF($E$4:$E$538,$A543&amp;" ضد "&amp;AJ$542)+COUNTIF($E$4:$E$538,AJ$542&amp;" ضد "&amp;$A543))</f>
        <v>0</v>
      </c>
      <c r="AK543" s="4">
        <f>IF($A543=AK$542,"",COUNTIF($E$4:$E$538,$A543&amp;" ضد "&amp;AK$542)+COUNTIF($E$4:$E$538,AK$542&amp;" ضد "&amp;$A543))</f>
        <v>0</v>
      </c>
      <c r="AL543" s="4">
        <f>IF($A543=AL$542,"",COUNTIF($E$4:$E$538,$A543&amp;" ضد "&amp;AL$542)+COUNTIF($E$4:$E$538,AL$542&amp;" ضد "&amp;$A543))</f>
        <v>0</v>
      </c>
      <c r="AM543" s="4">
        <f>IF($A543=AM$542,"",COUNTIF($E$4:$E$538,$A543&amp;" ضد "&amp;AM$542)+COUNTIF($E$4:$E$538,AM$542&amp;" ضد "&amp;$A543))</f>
        <v>0</v>
      </c>
      <c r="AN543" s="4">
        <f>IF($A543=AN$542,"",COUNTIF($E$4:$E$538,$A543&amp;" ضد "&amp;AN$542)+COUNTIF($E$4:$E$538,AN$542&amp;" ضد "&amp;$A543))</f>
        <v>0</v>
      </c>
      <c r="AO543" s="4">
        <f>IF($A543=AO$542,"",COUNTIF($E$4:$E$538,$A543&amp;" ضد "&amp;AO$542)+COUNTIF($E$4:$E$538,AO$542&amp;" ضد "&amp;$A543))</f>
        <v>0</v>
      </c>
      <c r="AP543" s="4">
        <f>IF($A543=AP$542,"",COUNTIF($E$4:$E$538,$A543&amp;" ضد "&amp;AP$542)+COUNTIF($E$4:$E$538,AP$542&amp;" ضد "&amp;$A543))</f>
        <v>0</v>
      </c>
      <c r="AQ543" s="4">
        <f>IF($A543=AQ$542,"",COUNTIF($E$4:$E$538,$A543&amp;" ضد "&amp;AQ$542)+COUNTIF($E$4:$E$538,AQ$542&amp;" ضد "&amp;$A543))</f>
        <v>0</v>
      </c>
      <c r="AR543" s="4">
        <f>IF($A543=AR$542,"",COUNTIF($E$4:$E$538,$A543&amp;" ضد "&amp;AR$542)+COUNTIF($E$4:$E$538,AR$542&amp;" ضد "&amp;$A543))</f>
        <v>0</v>
      </c>
      <c r="AS543" s="4">
        <f>IF($A543=AS$542,"",COUNTIF($E$4:$E$538,$A543&amp;" ضد "&amp;AS$542)+COUNTIF($E$4:$E$538,AS$542&amp;" ضد "&amp;$A543))</f>
        <v>0</v>
      </c>
      <c r="AT543" s="4">
        <f>IF($A543=AT$542,"",COUNTIF($E$4:$E$538,$A543&amp;" ضد "&amp;AT$542)+COUNTIF($E$4:$E$538,AT$542&amp;" ضد "&amp;$A543))</f>
        <v>0</v>
      </c>
      <c r="AU543" s="4">
        <f>IF($A543=AU$542,"",COUNTIF($E$4:$E$538,$A543&amp;" ضد "&amp;AU$542)+COUNTIF($E$4:$E$538,AU$542&amp;" ضد "&amp;$A543))</f>
        <v>0</v>
      </c>
      <c r="AV543" s="4">
        <f>IF($A543=AV$542,"",COUNTIF($E$4:$E$538,$A543&amp;" ضد "&amp;AV$542)+COUNTIF($E$4:$E$538,AV$542&amp;" ضد "&amp;$A543))</f>
        <v>0</v>
      </c>
      <c r="AW543" s="4">
        <f>IF($A543=AW$542,"",COUNTIF($E$4:$E$538,$A543&amp;" ضد "&amp;AW$542)+COUNTIF($E$4:$E$538,AW$542&amp;" ضد "&amp;$A543))</f>
        <v>0</v>
      </c>
      <c r="AX543" s="4">
        <f>IF($A543=AX$542,"",COUNTIF($E$4:$E$538,$A543&amp;" ضد "&amp;AX$542)+COUNTIF($E$4:$E$538,AX$542&amp;" ضد "&amp;$A543))</f>
        <v>0</v>
      </c>
      <c r="AY543" s="4">
        <f>IF($A543=AY$542,"",COUNTIF($E$4:$E$538,$A543&amp;" ضد "&amp;AY$542)+COUNTIF($E$4:$E$538,AY$542&amp;" ضد "&amp;$A543))</f>
        <v>0</v>
      </c>
      <c r="AZ543" s="4">
        <f>IF($A543=AZ$542,"",COUNTIF($E$4:$E$538,$A543&amp;" ضد "&amp;AZ$542)+COUNTIF($E$4:$E$538,AZ$542&amp;" ضد "&amp;$A543))</f>
        <v>0</v>
      </c>
      <c r="BA543" s="4">
        <f>IF($A543=BA$542,"",COUNTIF($E$4:$E$538,$A543&amp;" ضد "&amp;BA$542)+COUNTIF($E$4:$E$538,BA$542&amp;" ضد "&amp;$A543))</f>
        <v>0</v>
      </c>
      <c r="BB543" s="4">
        <f>IF($A543=BB$542,"",COUNTIF($E$4:$E$538,$A543&amp;" ضد "&amp;BB$542)+COUNTIF($E$4:$E$538,BB$542&amp;" ضد "&amp;$A543))</f>
        <v>0</v>
      </c>
      <c r="BC543" s="4">
        <f>IF($A543=BC$542,"",COUNTIF($E$4:$E$538,$A543&amp;" ضد "&amp;BC$542)+COUNTIF($E$4:$E$538,BC$542&amp;" ضد "&amp;$A543))</f>
        <v>0</v>
      </c>
      <c r="BD543" s="4">
        <f>IF($A543=BD$542,"",COUNTIF($E$4:$E$538,$A543&amp;" ضد "&amp;BD$542)+COUNTIF($E$4:$E$538,BD$542&amp;" ضد "&amp;$A543))</f>
        <v>0</v>
      </c>
      <c r="BE543" s="4">
        <f>IF($A543=BE$542,"",COUNTIF($E$4:$E$538,$A543&amp;" ضد "&amp;BE$542)+COUNTIF($E$4:$E$538,BE$542&amp;" ضد "&amp;$A543))</f>
        <v>0</v>
      </c>
      <c r="BF543" s="4">
        <f>IF($A543=BF$542,"",COUNTIF($E$4:$E$538,$A543&amp;" ضد "&amp;BF$542)+COUNTIF($E$4:$E$538,BF$542&amp;" ضد "&amp;$A543))</f>
        <v>0</v>
      </c>
      <c r="BG543" s="4">
        <f>IF($A543=BG$542,"",COUNTIF($E$4:$E$538,$A543&amp;" ضد "&amp;BG$542)+COUNTIF($E$4:$E$538,BG$542&amp;" ضد "&amp;$A543))</f>
        <v>0</v>
      </c>
    </row>
    <row r="544" spans="1:59" ht="14.5">
      <c r="A544" s="14">
        <v>2</v>
      </c>
      <c r="B544" s="4">
        <f>IF($A544=B$542,"",COUNTIF($E$4:$E$538,$A544&amp;" ضد "&amp;B$542)+COUNTIF($E$4:$E$538,B$542&amp;" ضد "&amp;$A544))</f>
        <v>1</v>
      </c>
      <c r="C544" s="4" t="str">
        <f>IF($A544=C$542,"",COUNTIF($E$4:$E$538,$A544&amp;" ضد "&amp;C$542)+COUNTIF($E$4:$E$538,C$542&amp;" ضد "&amp;$A544))</f>
        <v/>
      </c>
      <c r="D544" s="4">
        <f>IF($A544=D$542,"",COUNTIF($E$4:$E$538,$A544&amp;" ضد "&amp;D$542)+COUNTIF($E$4:$E$538,D$542&amp;" ضد "&amp;$A544))</f>
        <v>1</v>
      </c>
      <c r="E544" s="4">
        <f>IF($A544=E$542,"",COUNTIF($E$4:$E$538,$A544&amp;" ضد "&amp;E$542)+COUNTIF($E$4:$E$538,E$542&amp;" ضد "&amp;$A544))</f>
        <v>1</v>
      </c>
      <c r="F544" s="4">
        <f>IF($A544=F$542,"",COUNTIF($E$4:$E$538,$A544&amp;" ضد "&amp;F$542)+COUNTIF($E$4:$E$538,F$542&amp;" ضد "&amp;$A544))</f>
        <v>1</v>
      </c>
      <c r="G544" s="4">
        <f>IF($A544=G$542,"",COUNTIF($E$4:$E$538,$A544&amp;" ضد "&amp;G$542)+COUNTIF($E$4:$E$538,G$542&amp;" ضد "&amp;$A544))</f>
        <v>1</v>
      </c>
      <c r="H544" s="4">
        <f>IF($A544=H$542,"",COUNTIF($E$4:$E$538,$A544&amp;" ضد "&amp;H$542)+COUNTIF($E$4:$E$538,H$542&amp;" ضد "&amp;$A544))</f>
        <v>1</v>
      </c>
      <c r="I544" s="4">
        <f>IF($A544=I$542,"",COUNTIF($E$4:$E$538,$A544&amp;" ضد "&amp;I$542)+COUNTIF($E$4:$E$538,I$542&amp;" ضد "&amp;$A544))</f>
        <v>1</v>
      </c>
      <c r="J544" s="4">
        <f>IF($A544=J$542,"",COUNTIF($E$4:$E$538,$A544&amp;" ضد "&amp;J$542)+COUNTIF($E$4:$E$538,J$542&amp;" ضد "&amp;$A544))</f>
        <v>1</v>
      </c>
      <c r="K544" s="4">
        <f>IF($A544=K$542,"",COUNTIF($E$4:$E$538,$A544&amp;" ضد "&amp;K$542)+COUNTIF($E$4:$E$538,K$542&amp;" ضد "&amp;$A544))</f>
        <v>1</v>
      </c>
      <c r="L544" s="4">
        <f>IF($A544=L$542,"",COUNTIF($E$4:$E$538,$A544&amp;" ضد "&amp;L$542)+COUNTIF($E$4:$E$538,L$542&amp;" ضد "&amp;$A544))</f>
        <v>1</v>
      </c>
      <c r="M544" s="4">
        <f>IF($A544=M$542,"",COUNTIF($E$4:$E$538,$A544&amp;" ضد "&amp;M$542)+COUNTIF($E$4:$E$538,M$542&amp;" ضد "&amp;$A544))</f>
        <v>1</v>
      </c>
      <c r="N544" s="4">
        <f>IF($A544=N$542,"",COUNTIF($E$4:$E$538,$A544&amp;" ضد "&amp;N$542)+COUNTIF($E$4:$E$538,N$542&amp;" ضد "&amp;$A544))</f>
        <v>1</v>
      </c>
      <c r="O544" s="4">
        <f>IF($A544=O$542,"",COUNTIF($E$4:$E$538,$A544&amp;" ضد "&amp;O$542)+COUNTIF($E$4:$E$538,O$542&amp;" ضد "&amp;$A544))</f>
        <v>1</v>
      </c>
      <c r="P544" s="4">
        <f>IF($A544=P$542,"",COUNTIF($E$4:$E$538,$A544&amp;" ضد "&amp;P$542)+COUNTIF($E$4:$E$538,P$542&amp;" ضد "&amp;$A544))</f>
        <v>1</v>
      </c>
      <c r="Q544" s="4">
        <f>IF($A544=Q$542,"",COUNTIF($E$4:$E$538,$A544&amp;" ضد "&amp;Q$542)+COUNTIF($E$4:$E$538,Q$542&amp;" ضد "&amp;$A544))</f>
        <v>1</v>
      </c>
      <c r="R544" s="4">
        <f>IF($A544=R$542,"",COUNTIF($E$4:$E$538,$A544&amp;" ضد "&amp;R$542)+COUNTIF($E$4:$E$538,R$542&amp;" ضد "&amp;$A544))</f>
        <v>1</v>
      </c>
      <c r="S544" s="4">
        <f>IF($A544=S$542,"",COUNTIF($E$4:$E$538,$A544&amp;" ضد "&amp;S$542)+COUNTIF($E$4:$E$538,S$542&amp;" ضد "&amp;$A544))</f>
        <v>1</v>
      </c>
      <c r="T544" s="4">
        <f>IF($A544=T$542,"",COUNTIF($E$4:$E$538,$A544&amp;" ضد "&amp;T$542)+COUNTIF($E$4:$E$538,T$542&amp;" ضد "&amp;$A544))</f>
        <v>1</v>
      </c>
      <c r="U544" s="4">
        <f>IF($A544=U$542,"",COUNTIF($E$4:$E$538,$A544&amp;" ضد "&amp;U$542)+COUNTIF($E$4:$E$538,U$542&amp;" ضد "&amp;$A544))</f>
        <v>1</v>
      </c>
      <c r="V544" s="4">
        <f>IF($A544=V$542,"",COUNTIF($E$4:$E$538,$A544&amp;" ضد "&amp;V$542)+COUNTIF($E$4:$E$538,V$542&amp;" ضد "&amp;$A544))</f>
        <v>0</v>
      </c>
      <c r="W544" s="4">
        <f>IF($A544=W$542,"",COUNTIF($E$4:$E$538,$A544&amp;" ضد "&amp;W$542)+COUNTIF($E$4:$E$538,W$542&amp;" ضد "&amp;$A544))</f>
        <v>0</v>
      </c>
      <c r="X544" s="4">
        <f>IF($A544=X$542,"",COUNTIF($E$4:$E$538,$A544&amp;" ضد "&amp;X$542)+COUNTIF($E$4:$E$538,X$542&amp;" ضد "&amp;$A544))</f>
        <v>0</v>
      </c>
      <c r="Y544" s="4">
        <f>IF($A544=Y$542,"",COUNTIF($E$4:$E$538,$A544&amp;" ضد "&amp;Y$542)+COUNTIF($E$4:$E$538,Y$542&amp;" ضد "&amp;$A544))</f>
        <v>0</v>
      </c>
      <c r="Z544" s="4">
        <f>IF($A544=Z$542,"",COUNTIF($E$4:$E$538,$A544&amp;" ضد "&amp;Z$542)+COUNTIF($E$4:$E$538,Z$542&amp;" ضد "&amp;$A544))</f>
        <v>0</v>
      </c>
      <c r="AA544" s="4">
        <f>IF($A544=AA$542,"",COUNTIF($E$4:$E$538,$A544&amp;" ضد "&amp;AA$542)+COUNTIF($E$4:$E$538,AA$542&amp;" ضد "&amp;$A544))</f>
        <v>0</v>
      </c>
      <c r="AB544" s="4">
        <f>IF($A544=AB$542,"",COUNTIF($E$4:$E$538,$A544&amp;" ضد "&amp;AB$542)+COUNTIF($E$4:$E$538,AB$542&amp;" ضد "&amp;$A544))</f>
        <v>0</v>
      </c>
      <c r="AC544" s="4">
        <f>IF($A544=AC$542,"",COUNTIF($E$4:$E$538,$A544&amp;" ضد "&amp;AC$542)+COUNTIF($E$4:$E$538,AC$542&amp;" ضد "&amp;$A544))</f>
        <v>0</v>
      </c>
      <c r="AD544" s="4">
        <f>IF($A544=AD$542,"",COUNTIF($E$4:$E$538,$A544&amp;" ضد "&amp;AD$542)+COUNTIF($E$4:$E$538,AD$542&amp;" ضد "&amp;$A544))</f>
        <v>0</v>
      </c>
      <c r="AE544" s="4">
        <f>IF($A544=AE$542,"",COUNTIF($E$4:$E$538,$A544&amp;" ضد "&amp;AE$542)+COUNTIF($E$4:$E$538,AE$542&amp;" ضد "&amp;$A544))</f>
        <v>0</v>
      </c>
      <c r="AF544" s="4">
        <f>IF($A544=AF$542,"",COUNTIF($E$4:$E$538,$A544&amp;" ضد "&amp;AF$542)+COUNTIF($E$4:$E$538,AF$542&amp;" ضد "&amp;$A544))</f>
        <v>0</v>
      </c>
      <c r="AG544" s="4">
        <f>IF($A544=AG$542,"",COUNTIF($E$4:$E$538,$A544&amp;" ضد "&amp;AG$542)+COUNTIF($E$4:$E$538,AG$542&amp;" ضد "&amp;$A544))</f>
        <v>0</v>
      </c>
      <c r="AH544" s="4">
        <f>IF($A544=AH$542,"",COUNTIF($E$4:$E$538,$A544&amp;" ضد "&amp;AH$542)+COUNTIF($E$4:$E$538,AH$542&amp;" ضد "&amp;$A544))</f>
        <v>0</v>
      </c>
      <c r="AI544" s="4">
        <f>IF($A544=AI$542,"",COUNTIF($E$4:$E$538,$A544&amp;" ضد "&amp;AI$542)+COUNTIF($E$4:$E$538,AI$542&amp;" ضد "&amp;$A544))</f>
        <v>0</v>
      </c>
      <c r="AJ544" s="4">
        <f>IF($A544=AJ$542,"",COUNTIF($E$4:$E$538,$A544&amp;" ضد "&amp;AJ$542)+COUNTIF($E$4:$E$538,AJ$542&amp;" ضد "&amp;$A544))</f>
        <v>0</v>
      </c>
      <c r="AK544" s="4">
        <f>IF($A544=AK$542,"",COUNTIF($E$4:$E$538,$A544&amp;" ضد "&amp;AK$542)+COUNTIF($E$4:$E$538,AK$542&amp;" ضد "&amp;$A544))</f>
        <v>0</v>
      </c>
      <c r="AL544" s="4">
        <f>IF($A544=AL$542,"",COUNTIF($E$4:$E$538,$A544&amp;" ضد "&amp;AL$542)+COUNTIF($E$4:$E$538,AL$542&amp;" ضد "&amp;$A544))</f>
        <v>0</v>
      </c>
      <c r="AM544" s="4">
        <f>IF($A544=AM$542,"",COUNTIF($E$4:$E$538,$A544&amp;" ضد "&amp;AM$542)+COUNTIF($E$4:$E$538,AM$542&amp;" ضد "&amp;$A544))</f>
        <v>0</v>
      </c>
      <c r="AN544" s="4">
        <f>IF($A544=AN$542,"",COUNTIF($E$4:$E$538,$A544&amp;" ضد "&amp;AN$542)+COUNTIF($E$4:$E$538,AN$542&amp;" ضد "&amp;$A544))</f>
        <v>0</v>
      </c>
      <c r="AO544" s="4">
        <f>IF($A544=AO$542,"",COUNTIF($E$4:$E$538,$A544&amp;" ضد "&amp;AO$542)+COUNTIF($E$4:$E$538,AO$542&amp;" ضد "&amp;$A544))</f>
        <v>0</v>
      </c>
      <c r="AP544" s="4">
        <f>IF($A544=AP$542,"",COUNTIF($E$4:$E$538,$A544&amp;" ضد "&amp;AP$542)+COUNTIF($E$4:$E$538,AP$542&amp;" ضد "&amp;$A544))</f>
        <v>0</v>
      </c>
      <c r="AQ544" s="4">
        <f>IF($A544=AQ$542,"",COUNTIF($E$4:$E$538,$A544&amp;" ضد "&amp;AQ$542)+COUNTIF($E$4:$E$538,AQ$542&amp;" ضد "&amp;$A544))</f>
        <v>0</v>
      </c>
      <c r="AR544" s="4">
        <f>IF($A544=AR$542,"",COUNTIF($E$4:$E$538,$A544&amp;" ضد "&amp;AR$542)+COUNTIF($E$4:$E$538,AR$542&amp;" ضد "&amp;$A544))</f>
        <v>0</v>
      </c>
      <c r="AS544" s="4">
        <f>IF($A544=AS$542,"",COUNTIF($E$4:$E$538,$A544&amp;" ضد "&amp;AS$542)+COUNTIF($E$4:$E$538,AS$542&amp;" ضد "&amp;$A544))</f>
        <v>0</v>
      </c>
      <c r="AT544" s="4">
        <f>IF($A544=AT$542,"",COUNTIF($E$4:$E$538,$A544&amp;" ضد "&amp;AT$542)+COUNTIF($E$4:$E$538,AT$542&amp;" ضد "&amp;$A544))</f>
        <v>0</v>
      </c>
      <c r="AU544" s="4">
        <f>IF($A544=AU$542,"",COUNTIF($E$4:$E$538,$A544&amp;" ضد "&amp;AU$542)+COUNTIF($E$4:$E$538,AU$542&amp;" ضد "&amp;$A544))</f>
        <v>0</v>
      </c>
      <c r="AV544" s="4">
        <f>IF($A544=AV$542,"",COUNTIF($E$4:$E$538,$A544&amp;" ضد "&amp;AV$542)+COUNTIF($E$4:$E$538,AV$542&amp;" ضد "&amp;$A544))</f>
        <v>0</v>
      </c>
      <c r="AW544" s="4">
        <f>IF($A544=AW$542,"",COUNTIF($E$4:$E$538,$A544&amp;" ضد "&amp;AW$542)+COUNTIF($E$4:$E$538,AW$542&amp;" ضد "&amp;$A544))</f>
        <v>0</v>
      </c>
      <c r="AX544" s="4">
        <f>IF($A544=AX$542,"",COUNTIF($E$4:$E$538,$A544&amp;" ضد "&amp;AX$542)+COUNTIF($E$4:$E$538,AX$542&amp;" ضد "&amp;$A544))</f>
        <v>0</v>
      </c>
      <c r="AY544" s="4">
        <f>IF($A544=AY$542,"",COUNTIF($E$4:$E$538,$A544&amp;" ضد "&amp;AY$542)+COUNTIF($E$4:$E$538,AY$542&amp;" ضد "&amp;$A544))</f>
        <v>0</v>
      </c>
      <c r="AZ544" s="4">
        <f>IF($A544=AZ$542,"",COUNTIF($E$4:$E$538,$A544&amp;" ضد "&amp;AZ$542)+COUNTIF($E$4:$E$538,AZ$542&amp;" ضد "&amp;$A544))</f>
        <v>0</v>
      </c>
      <c r="BA544" s="4">
        <f>IF($A544=BA$542,"",COUNTIF($E$4:$E$538,$A544&amp;" ضد "&amp;BA$542)+COUNTIF($E$4:$E$538,BA$542&amp;" ضد "&amp;$A544))</f>
        <v>0</v>
      </c>
      <c r="BB544" s="4">
        <f>IF($A544=BB$542,"",COUNTIF($E$4:$E$538,$A544&amp;" ضد "&amp;BB$542)+COUNTIF($E$4:$E$538,BB$542&amp;" ضد "&amp;$A544))</f>
        <v>0</v>
      </c>
      <c r="BC544" s="4">
        <f>IF($A544=BC$542,"",COUNTIF($E$4:$E$538,$A544&amp;" ضد "&amp;BC$542)+COUNTIF($E$4:$E$538,BC$542&amp;" ضد "&amp;$A544))</f>
        <v>0</v>
      </c>
      <c r="BD544" s="4">
        <f>IF($A544=BD$542,"",COUNTIF($E$4:$E$538,$A544&amp;" ضد "&amp;BD$542)+COUNTIF($E$4:$E$538,BD$542&amp;" ضد "&amp;$A544))</f>
        <v>0</v>
      </c>
      <c r="BE544" s="4">
        <f>IF($A544=BE$542,"",COUNTIF($E$4:$E$538,$A544&amp;" ضد "&amp;BE$542)+COUNTIF($E$4:$E$538,BE$542&amp;" ضد "&amp;$A544))</f>
        <v>0</v>
      </c>
      <c r="BF544" s="4">
        <f>IF($A544=BF$542,"",COUNTIF($E$4:$E$538,$A544&amp;" ضد "&amp;BF$542)+COUNTIF($E$4:$E$538,BF$542&amp;" ضد "&amp;$A544))</f>
        <v>0</v>
      </c>
      <c r="BG544" s="4">
        <f>IF($A544=BG$542,"",COUNTIF($E$4:$E$538,$A544&amp;" ضد "&amp;BG$542)+COUNTIF($E$4:$E$538,BG$542&amp;" ضد "&amp;$A544))</f>
        <v>0</v>
      </c>
    </row>
    <row r="545" spans="1:59" ht="14.5">
      <c r="A545" s="14">
        <v>3</v>
      </c>
      <c r="B545" s="4">
        <f>IF($A545=B$542,"",COUNTIF($E$4:$E$538,$A545&amp;" ضد "&amp;B$542)+COUNTIF($E$4:$E$538,B$542&amp;" ضد "&amp;$A545))</f>
        <v>1</v>
      </c>
      <c r="C545" s="4">
        <f>IF($A545=C$542,"",COUNTIF($E$4:$E$538,$A545&amp;" ضد "&amp;C$542)+COUNTIF($E$4:$E$538,C$542&amp;" ضد "&amp;$A545))</f>
        <v>1</v>
      </c>
      <c r="D545" s="4" t="str">
        <f>IF($A545=D$542,"",COUNTIF($E$4:$E$538,$A545&amp;" ضد "&amp;D$542)+COUNTIF($E$4:$E$538,D$542&amp;" ضد "&amp;$A545))</f>
        <v/>
      </c>
      <c r="E545" s="4">
        <f>IF($A545=E$542,"",COUNTIF($E$4:$E$538,$A545&amp;" ضد "&amp;E$542)+COUNTIF($E$4:$E$538,E$542&amp;" ضد "&amp;$A545))</f>
        <v>1</v>
      </c>
      <c r="F545" s="4">
        <f>IF($A545=F$542,"",COUNTIF($E$4:$E$538,$A545&amp;" ضد "&amp;F$542)+COUNTIF($E$4:$E$538,F$542&amp;" ضد "&amp;$A545))</f>
        <v>1</v>
      </c>
      <c r="G545" s="4">
        <f>IF($A545=G$542,"",COUNTIF($E$4:$E$538,$A545&amp;" ضد "&amp;G$542)+COUNTIF($E$4:$E$538,G$542&amp;" ضد "&amp;$A545))</f>
        <v>1</v>
      </c>
      <c r="H545" s="4">
        <f>IF($A545=H$542,"",COUNTIF($E$4:$E$538,$A545&amp;" ضد "&amp;H$542)+COUNTIF($E$4:$E$538,H$542&amp;" ضد "&amp;$A545))</f>
        <v>1</v>
      </c>
      <c r="I545" s="4">
        <f>IF($A545=I$542,"",COUNTIF($E$4:$E$538,$A545&amp;" ضد "&amp;I$542)+COUNTIF($E$4:$E$538,I$542&amp;" ضد "&amp;$A545))</f>
        <v>1</v>
      </c>
      <c r="J545" s="4">
        <f>IF($A545=J$542,"",COUNTIF($E$4:$E$538,$A545&amp;" ضد "&amp;J$542)+COUNTIF($E$4:$E$538,J$542&amp;" ضد "&amp;$A545))</f>
        <v>1</v>
      </c>
      <c r="K545" s="4">
        <f>IF($A545=K$542,"",COUNTIF($E$4:$E$538,$A545&amp;" ضد "&amp;K$542)+COUNTIF($E$4:$E$538,K$542&amp;" ضد "&amp;$A545))</f>
        <v>1</v>
      </c>
      <c r="L545" s="4">
        <f>IF($A545=L$542,"",COUNTIF($E$4:$E$538,$A545&amp;" ضد "&amp;L$542)+COUNTIF($E$4:$E$538,L$542&amp;" ضد "&amp;$A545))</f>
        <v>1</v>
      </c>
      <c r="M545" s="4">
        <f>IF($A545=M$542,"",COUNTIF($E$4:$E$538,$A545&amp;" ضد "&amp;M$542)+COUNTIF($E$4:$E$538,M$542&amp;" ضد "&amp;$A545))</f>
        <v>1</v>
      </c>
      <c r="N545" s="4">
        <f>IF($A545=N$542,"",COUNTIF($E$4:$E$538,$A545&amp;" ضد "&amp;N$542)+COUNTIF($E$4:$E$538,N$542&amp;" ضد "&amp;$A545))</f>
        <v>1</v>
      </c>
      <c r="O545" s="4">
        <f>IF($A545=O$542,"",COUNTIF($E$4:$E$538,$A545&amp;" ضد "&amp;O$542)+COUNTIF($E$4:$E$538,O$542&amp;" ضد "&amp;$A545))</f>
        <v>1</v>
      </c>
      <c r="P545" s="4">
        <f>IF($A545=P$542,"",COUNTIF($E$4:$E$538,$A545&amp;" ضد "&amp;P$542)+COUNTIF($E$4:$E$538,P$542&amp;" ضد "&amp;$A545))</f>
        <v>1</v>
      </c>
      <c r="Q545" s="4">
        <f>IF($A545=Q$542,"",COUNTIF($E$4:$E$538,$A545&amp;" ضد "&amp;Q$542)+COUNTIF($E$4:$E$538,Q$542&amp;" ضد "&amp;$A545))</f>
        <v>1</v>
      </c>
      <c r="R545" s="4">
        <f>IF($A545=R$542,"",COUNTIF($E$4:$E$538,$A545&amp;" ضد "&amp;R$542)+COUNTIF($E$4:$E$538,R$542&amp;" ضد "&amp;$A545))</f>
        <v>1</v>
      </c>
      <c r="S545" s="4">
        <f>IF($A545=S$542,"",COUNTIF($E$4:$E$538,$A545&amp;" ضد "&amp;S$542)+COUNTIF($E$4:$E$538,S$542&amp;" ضد "&amp;$A545))</f>
        <v>1</v>
      </c>
      <c r="T545" s="4">
        <f>IF($A545=T$542,"",COUNTIF($E$4:$E$538,$A545&amp;" ضد "&amp;T$542)+COUNTIF($E$4:$E$538,T$542&amp;" ضد "&amp;$A545))</f>
        <v>1</v>
      </c>
      <c r="U545" s="4">
        <f>IF($A545=U$542,"",COUNTIF($E$4:$E$538,$A545&amp;" ضد "&amp;U$542)+COUNTIF($E$4:$E$538,U$542&amp;" ضد "&amp;$A545))</f>
        <v>1</v>
      </c>
      <c r="V545" s="4">
        <f>IF($A545=V$542,"",COUNTIF($E$4:$E$538,$A545&amp;" ضد "&amp;V$542)+COUNTIF($E$4:$E$538,V$542&amp;" ضد "&amp;$A545))</f>
        <v>0</v>
      </c>
      <c r="W545" s="4">
        <f>IF($A545=W$542,"",COUNTIF($E$4:$E$538,$A545&amp;" ضد "&amp;W$542)+COUNTIF($E$4:$E$538,W$542&amp;" ضد "&amp;$A545))</f>
        <v>0</v>
      </c>
      <c r="X545" s="4">
        <f>IF($A545=X$542,"",COUNTIF($E$4:$E$538,$A545&amp;" ضد "&amp;X$542)+COUNTIF($E$4:$E$538,X$542&amp;" ضد "&amp;$A545))</f>
        <v>0</v>
      </c>
      <c r="Y545" s="4">
        <f>IF($A545=Y$542,"",COUNTIF($E$4:$E$538,$A545&amp;" ضد "&amp;Y$542)+COUNTIF($E$4:$E$538,Y$542&amp;" ضد "&amp;$A545))</f>
        <v>0</v>
      </c>
      <c r="Z545" s="4">
        <f>IF($A545=Z$542,"",COUNTIF($E$4:$E$538,$A545&amp;" ضد "&amp;Z$542)+COUNTIF($E$4:$E$538,Z$542&amp;" ضد "&amp;$A545))</f>
        <v>0</v>
      </c>
      <c r="AA545" s="4">
        <f>IF($A545=AA$542,"",COUNTIF($E$4:$E$538,$A545&amp;" ضد "&amp;AA$542)+COUNTIF($E$4:$E$538,AA$542&amp;" ضد "&amp;$A545))</f>
        <v>0</v>
      </c>
      <c r="AB545" s="4">
        <f>IF($A545=AB$542,"",COUNTIF($E$4:$E$538,$A545&amp;" ضد "&amp;AB$542)+COUNTIF($E$4:$E$538,AB$542&amp;" ضد "&amp;$A545))</f>
        <v>0</v>
      </c>
      <c r="AC545" s="4">
        <f>IF($A545=AC$542,"",COUNTIF($E$4:$E$538,$A545&amp;" ضد "&amp;AC$542)+COUNTIF($E$4:$E$538,AC$542&amp;" ضد "&amp;$A545))</f>
        <v>0</v>
      </c>
      <c r="AD545" s="4">
        <f>IF($A545=AD$542,"",COUNTIF($E$4:$E$538,$A545&amp;" ضد "&amp;AD$542)+COUNTIF($E$4:$E$538,AD$542&amp;" ضد "&amp;$A545))</f>
        <v>0</v>
      </c>
      <c r="AE545" s="4">
        <f>IF($A545=AE$542,"",COUNTIF($E$4:$E$538,$A545&amp;" ضد "&amp;AE$542)+COUNTIF($E$4:$E$538,AE$542&amp;" ضد "&amp;$A545))</f>
        <v>0</v>
      </c>
      <c r="AF545" s="4">
        <f>IF($A545=AF$542,"",COUNTIF($E$4:$E$538,$A545&amp;" ضد "&amp;AF$542)+COUNTIF($E$4:$E$538,AF$542&amp;" ضد "&amp;$A545))</f>
        <v>0</v>
      </c>
      <c r="AG545" s="4">
        <f>IF($A545=AG$542,"",COUNTIF($E$4:$E$538,$A545&amp;" ضد "&amp;AG$542)+COUNTIF($E$4:$E$538,AG$542&amp;" ضد "&amp;$A545))</f>
        <v>0</v>
      </c>
      <c r="AH545" s="4">
        <f>IF($A545=AH$542,"",COUNTIF($E$4:$E$538,$A545&amp;" ضد "&amp;AH$542)+COUNTIF($E$4:$E$538,AH$542&amp;" ضد "&amp;$A545))</f>
        <v>0</v>
      </c>
      <c r="AI545" s="4">
        <f>IF($A545=AI$542,"",COUNTIF($E$4:$E$538,$A545&amp;" ضد "&amp;AI$542)+COUNTIF($E$4:$E$538,AI$542&amp;" ضد "&amp;$A545))</f>
        <v>0</v>
      </c>
      <c r="AJ545" s="4">
        <f>IF($A545=AJ$542,"",COUNTIF($E$4:$E$538,$A545&amp;" ضد "&amp;AJ$542)+COUNTIF($E$4:$E$538,AJ$542&amp;" ضد "&amp;$A545))</f>
        <v>0</v>
      </c>
      <c r="AK545" s="4">
        <f>IF($A545=AK$542,"",COUNTIF($E$4:$E$538,$A545&amp;" ضد "&amp;AK$542)+COUNTIF($E$4:$E$538,AK$542&amp;" ضد "&amp;$A545))</f>
        <v>0</v>
      </c>
      <c r="AL545" s="4">
        <f>IF($A545=AL$542,"",COUNTIF($E$4:$E$538,$A545&amp;" ضد "&amp;AL$542)+COUNTIF($E$4:$E$538,AL$542&amp;" ضد "&amp;$A545))</f>
        <v>0</v>
      </c>
      <c r="AM545" s="4">
        <f>IF($A545=AM$542,"",COUNTIF($E$4:$E$538,$A545&amp;" ضد "&amp;AM$542)+COUNTIF($E$4:$E$538,AM$542&amp;" ضد "&amp;$A545))</f>
        <v>0</v>
      </c>
      <c r="AN545" s="4">
        <f>IF($A545=AN$542,"",COUNTIF($E$4:$E$538,$A545&amp;" ضد "&amp;AN$542)+COUNTIF($E$4:$E$538,AN$542&amp;" ضد "&amp;$A545))</f>
        <v>0</v>
      </c>
      <c r="AO545" s="4">
        <f>IF($A545=AO$542,"",COUNTIF($E$4:$E$538,$A545&amp;" ضد "&amp;AO$542)+COUNTIF($E$4:$E$538,AO$542&amp;" ضد "&amp;$A545))</f>
        <v>0</v>
      </c>
      <c r="AP545" s="4">
        <f>IF($A545=AP$542,"",COUNTIF($E$4:$E$538,$A545&amp;" ضد "&amp;AP$542)+COUNTIF($E$4:$E$538,AP$542&amp;" ضد "&amp;$A545))</f>
        <v>0</v>
      </c>
      <c r="AQ545" s="4">
        <f>IF($A545=AQ$542,"",COUNTIF($E$4:$E$538,$A545&amp;" ضد "&amp;AQ$542)+COUNTIF($E$4:$E$538,AQ$542&amp;" ضد "&amp;$A545))</f>
        <v>0</v>
      </c>
      <c r="AR545" s="4">
        <f>IF($A545=AR$542,"",COUNTIF($E$4:$E$538,$A545&amp;" ضد "&amp;AR$542)+COUNTIF($E$4:$E$538,AR$542&amp;" ضد "&amp;$A545))</f>
        <v>0</v>
      </c>
      <c r="AS545" s="4">
        <f>IF($A545=AS$542,"",COUNTIF($E$4:$E$538,$A545&amp;" ضد "&amp;AS$542)+COUNTIF($E$4:$E$538,AS$542&amp;" ضد "&amp;$A545))</f>
        <v>0</v>
      </c>
      <c r="AT545" s="4">
        <f>IF($A545=AT$542,"",COUNTIF($E$4:$E$538,$A545&amp;" ضد "&amp;AT$542)+COUNTIF($E$4:$E$538,AT$542&amp;" ضد "&amp;$A545))</f>
        <v>0</v>
      </c>
      <c r="AU545" s="4">
        <f>IF($A545=AU$542,"",COUNTIF($E$4:$E$538,$A545&amp;" ضد "&amp;AU$542)+COUNTIF($E$4:$E$538,AU$542&amp;" ضد "&amp;$A545))</f>
        <v>0</v>
      </c>
      <c r="AV545" s="4">
        <f>IF($A545=AV$542,"",COUNTIF($E$4:$E$538,$A545&amp;" ضد "&amp;AV$542)+COUNTIF($E$4:$E$538,AV$542&amp;" ضد "&amp;$A545))</f>
        <v>0</v>
      </c>
      <c r="AW545" s="4">
        <f>IF($A545=AW$542,"",COUNTIF($E$4:$E$538,$A545&amp;" ضد "&amp;AW$542)+COUNTIF($E$4:$E$538,AW$542&amp;" ضد "&amp;$A545))</f>
        <v>0</v>
      </c>
      <c r="AX545" s="4">
        <f>IF($A545=AX$542,"",COUNTIF($E$4:$E$538,$A545&amp;" ضد "&amp;AX$542)+COUNTIF($E$4:$E$538,AX$542&amp;" ضد "&amp;$A545))</f>
        <v>0</v>
      </c>
      <c r="AY545" s="4">
        <f>IF($A545=AY$542,"",COUNTIF($E$4:$E$538,$A545&amp;" ضد "&amp;AY$542)+COUNTIF($E$4:$E$538,AY$542&amp;" ضد "&amp;$A545))</f>
        <v>0</v>
      </c>
      <c r="AZ545" s="4">
        <f>IF($A545=AZ$542,"",COUNTIF($E$4:$E$538,$A545&amp;" ضد "&amp;AZ$542)+COUNTIF($E$4:$E$538,AZ$542&amp;" ضد "&amp;$A545))</f>
        <v>0</v>
      </c>
      <c r="BA545" s="4">
        <f>IF($A545=BA$542,"",COUNTIF($E$4:$E$538,$A545&amp;" ضد "&amp;BA$542)+COUNTIF($E$4:$E$538,BA$542&amp;" ضد "&amp;$A545))</f>
        <v>0</v>
      </c>
      <c r="BB545" s="4">
        <f>IF($A545=BB$542,"",COUNTIF($E$4:$E$538,$A545&amp;" ضد "&amp;BB$542)+COUNTIF($E$4:$E$538,BB$542&amp;" ضد "&amp;$A545))</f>
        <v>0</v>
      </c>
      <c r="BC545" s="4">
        <f>IF($A545=BC$542,"",COUNTIF($E$4:$E$538,$A545&amp;" ضد "&amp;BC$542)+COUNTIF($E$4:$E$538,BC$542&amp;" ضد "&amp;$A545))</f>
        <v>0</v>
      </c>
      <c r="BD545" s="4">
        <f>IF($A545=BD$542,"",COUNTIF($E$4:$E$538,$A545&amp;" ضد "&amp;BD$542)+COUNTIF($E$4:$E$538,BD$542&amp;" ضد "&amp;$A545))</f>
        <v>0</v>
      </c>
      <c r="BE545" s="4">
        <f>IF($A545=BE$542,"",COUNTIF($E$4:$E$538,$A545&amp;" ضد "&amp;BE$542)+COUNTIF($E$4:$E$538,BE$542&amp;" ضد "&amp;$A545))</f>
        <v>0</v>
      </c>
      <c r="BF545" s="4">
        <f>IF($A545=BF$542,"",COUNTIF($E$4:$E$538,$A545&amp;" ضد "&amp;BF$542)+COUNTIF($E$4:$E$538,BF$542&amp;" ضد "&amp;$A545))</f>
        <v>0</v>
      </c>
      <c r="BG545" s="4">
        <f>IF($A545=BG$542,"",COUNTIF($E$4:$E$538,$A545&amp;" ضد "&amp;BG$542)+COUNTIF($E$4:$E$538,BG$542&amp;" ضد "&amp;$A545))</f>
        <v>0</v>
      </c>
    </row>
    <row r="546" spans="1:59" ht="14.5">
      <c r="A546" s="14">
        <v>4</v>
      </c>
      <c r="B546" s="4">
        <f>IF($A546=B$542,"",COUNTIF($E$4:$E$538,$A546&amp;" ضد "&amp;B$542)+COUNTIF($E$4:$E$538,B$542&amp;" ضد "&amp;$A546))</f>
        <v>1</v>
      </c>
      <c r="C546" s="4">
        <f>IF($A546=C$542,"",COUNTIF($E$4:$E$538,$A546&amp;" ضد "&amp;C$542)+COUNTIF($E$4:$E$538,C$542&amp;" ضد "&amp;$A546))</f>
        <v>1</v>
      </c>
      <c r="D546" s="4">
        <f>IF($A546=D$542,"",COUNTIF($E$4:$E$538,$A546&amp;" ضد "&amp;D$542)+COUNTIF($E$4:$E$538,D$542&amp;" ضد "&amp;$A546))</f>
        <v>1</v>
      </c>
      <c r="E546" s="4" t="str">
        <f>IF($A546=E$542,"",COUNTIF($E$4:$E$538,$A546&amp;" ضد "&amp;E$542)+COUNTIF($E$4:$E$538,E$542&amp;" ضد "&amp;$A546))</f>
        <v/>
      </c>
      <c r="F546" s="4">
        <f>IF($A546=F$542,"",COUNTIF($E$4:$E$538,$A546&amp;" ضد "&amp;F$542)+COUNTIF($E$4:$E$538,F$542&amp;" ضد "&amp;$A546))</f>
        <v>1</v>
      </c>
      <c r="G546" s="4">
        <f>IF($A546=G$542,"",COUNTIF($E$4:$E$538,$A546&amp;" ضد "&amp;G$542)+COUNTIF($E$4:$E$538,G$542&amp;" ضد "&amp;$A546))</f>
        <v>1</v>
      </c>
      <c r="H546" s="4">
        <f>IF($A546=H$542,"",COUNTIF($E$4:$E$538,$A546&amp;" ضد "&amp;H$542)+COUNTIF($E$4:$E$538,H$542&amp;" ضد "&amp;$A546))</f>
        <v>1</v>
      </c>
      <c r="I546" s="4">
        <f>IF($A546=I$542,"",COUNTIF($E$4:$E$538,$A546&amp;" ضد "&amp;I$542)+COUNTIF($E$4:$E$538,I$542&amp;" ضد "&amp;$A546))</f>
        <v>1</v>
      </c>
      <c r="J546" s="4">
        <f>IF($A546=J$542,"",COUNTIF($E$4:$E$538,$A546&amp;" ضد "&amp;J$542)+COUNTIF($E$4:$E$538,J$542&amp;" ضد "&amp;$A546))</f>
        <v>1</v>
      </c>
      <c r="K546" s="4">
        <f>IF($A546=K$542,"",COUNTIF($E$4:$E$538,$A546&amp;" ضد "&amp;K$542)+COUNTIF($E$4:$E$538,K$542&amp;" ضد "&amp;$A546))</f>
        <v>1</v>
      </c>
      <c r="L546" s="4">
        <f>IF($A546=L$542,"",COUNTIF($E$4:$E$538,$A546&amp;" ضد "&amp;L$542)+COUNTIF($E$4:$E$538,L$542&amp;" ضد "&amp;$A546))</f>
        <v>1</v>
      </c>
      <c r="M546" s="4">
        <f>IF($A546=M$542,"",COUNTIF($E$4:$E$538,$A546&amp;" ضد "&amp;M$542)+COUNTIF($E$4:$E$538,M$542&amp;" ضد "&amp;$A546))</f>
        <v>1</v>
      </c>
      <c r="N546" s="4">
        <f>IF($A546=N$542,"",COUNTIF($E$4:$E$538,$A546&amp;" ضد "&amp;N$542)+COUNTIF($E$4:$E$538,N$542&amp;" ضد "&amp;$A546))</f>
        <v>1</v>
      </c>
      <c r="O546" s="4">
        <f>IF($A546=O$542,"",COUNTIF($E$4:$E$538,$A546&amp;" ضد "&amp;O$542)+COUNTIF($E$4:$E$538,O$542&amp;" ضد "&amp;$A546))</f>
        <v>1</v>
      </c>
      <c r="P546" s="4">
        <f>IF($A546=P$542,"",COUNTIF($E$4:$E$538,$A546&amp;" ضد "&amp;P$542)+COUNTIF($E$4:$E$538,P$542&amp;" ضد "&amp;$A546))</f>
        <v>1</v>
      </c>
      <c r="Q546" s="4">
        <f>IF($A546=Q$542,"",COUNTIF($E$4:$E$538,$A546&amp;" ضد "&amp;Q$542)+COUNTIF($E$4:$E$538,Q$542&amp;" ضد "&amp;$A546))</f>
        <v>1</v>
      </c>
      <c r="R546" s="4">
        <f>IF($A546=R$542,"",COUNTIF($E$4:$E$538,$A546&amp;" ضد "&amp;R$542)+COUNTIF($E$4:$E$538,R$542&amp;" ضد "&amp;$A546))</f>
        <v>1</v>
      </c>
      <c r="S546" s="4">
        <f>IF($A546=S$542,"",COUNTIF($E$4:$E$538,$A546&amp;" ضد "&amp;S$542)+COUNTIF($E$4:$E$538,S$542&amp;" ضد "&amp;$A546))</f>
        <v>1</v>
      </c>
      <c r="T546" s="4">
        <f>IF($A546=T$542,"",COUNTIF($E$4:$E$538,$A546&amp;" ضد "&amp;T$542)+COUNTIF($E$4:$E$538,T$542&amp;" ضد "&amp;$A546))</f>
        <v>1</v>
      </c>
      <c r="U546" s="4">
        <f>IF($A546=U$542,"",COUNTIF($E$4:$E$538,$A546&amp;" ضد "&amp;U$542)+COUNTIF($E$4:$E$538,U$542&amp;" ضد "&amp;$A546))</f>
        <v>1</v>
      </c>
      <c r="V546" s="4">
        <f>IF($A546=V$542,"",COUNTIF($E$4:$E$538,$A546&amp;" ضد "&amp;V$542)+COUNTIF($E$4:$E$538,V$542&amp;" ضد "&amp;$A546))</f>
        <v>0</v>
      </c>
      <c r="W546" s="4">
        <f>IF($A546=W$542,"",COUNTIF($E$4:$E$538,$A546&amp;" ضد "&amp;W$542)+COUNTIF($E$4:$E$538,W$542&amp;" ضد "&amp;$A546))</f>
        <v>0</v>
      </c>
      <c r="X546" s="4">
        <f>IF($A546=X$542,"",COUNTIF($E$4:$E$538,$A546&amp;" ضد "&amp;X$542)+COUNTIF($E$4:$E$538,X$542&amp;" ضد "&amp;$A546))</f>
        <v>0</v>
      </c>
      <c r="Y546" s="4">
        <f>IF($A546=Y$542,"",COUNTIF($E$4:$E$538,$A546&amp;" ضد "&amp;Y$542)+COUNTIF($E$4:$E$538,Y$542&amp;" ضد "&amp;$A546))</f>
        <v>0</v>
      </c>
      <c r="Z546" s="4">
        <f>IF($A546=Z$542,"",COUNTIF($E$4:$E$538,$A546&amp;" ضد "&amp;Z$542)+COUNTIF($E$4:$E$538,Z$542&amp;" ضد "&amp;$A546))</f>
        <v>0</v>
      </c>
      <c r="AA546" s="4">
        <f>IF($A546=AA$542,"",COUNTIF($E$4:$E$538,$A546&amp;" ضد "&amp;AA$542)+COUNTIF($E$4:$E$538,AA$542&amp;" ضد "&amp;$A546))</f>
        <v>0</v>
      </c>
      <c r="AB546" s="4">
        <f>IF($A546=AB$542,"",COUNTIF($E$4:$E$538,$A546&amp;" ضد "&amp;AB$542)+COUNTIF($E$4:$E$538,AB$542&amp;" ضد "&amp;$A546))</f>
        <v>0</v>
      </c>
      <c r="AC546" s="4">
        <f>IF($A546=AC$542,"",COUNTIF($E$4:$E$538,$A546&amp;" ضد "&amp;AC$542)+COUNTIF($E$4:$E$538,AC$542&amp;" ضد "&amp;$A546))</f>
        <v>0</v>
      </c>
      <c r="AD546" s="4">
        <f>IF($A546=AD$542,"",COUNTIF($E$4:$E$538,$A546&amp;" ضد "&amp;AD$542)+COUNTIF($E$4:$E$538,AD$542&amp;" ضد "&amp;$A546))</f>
        <v>0</v>
      </c>
      <c r="AE546" s="4">
        <f>IF($A546=AE$542,"",COUNTIF($E$4:$E$538,$A546&amp;" ضد "&amp;AE$542)+COUNTIF($E$4:$E$538,AE$542&amp;" ضد "&amp;$A546))</f>
        <v>0</v>
      </c>
      <c r="AF546" s="4">
        <f>IF($A546=AF$542,"",COUNTIF($E$4:$E$538,$A546&amp;" ضد "&amp;AF$542)+COUNTIF($E$4:$E$538,AF$542&amp;" ضد "&amp;$A546))</f>
        <v>0</v>
      </c>
      <c r="AG546" s="4">
        <f>IF($A546=AG$542,"",COUNTIF($E$4:$E$538,$A546&amp;" ضد "&amp;AG$542)+COUNTIF($E$4:$E$538,AG$542&amp;" ضد "&amp;$A546))</f>
        <v>0</v>
      </c>
      <c r="AH546" s="4">
        <f>IF($A546=AH$542,"",COUNTIF($E$4:$E$538,$A546&amp;" ضد "&amp;AH$542)+COUNTIF($E$4:$E$538,AH$542&amp;" ضد "&amp;$A546))</f>
        <v>0</v>
      </c>
      <c r="AI546" s="4">
        <f>IF($A546=AI$542,"",COUNTIF($E$4:$E$538,$A546&amp;" ضد "&amp;AI$542)+COUNTIF($E$4:$E$538,AI$542&amp;" ضد "&amp;$A546))</f>
        <v>0</v>
      </c>
      <c r="AJ546" s="4">
        <f>IF($A546=AJ$542,"",COUNTIF($E$4:$E$538,$A546&amp;" ضد "&amp;AJ$542)+COUNTIF($E$4:$E$538,AJ$542&amp;" ضد "&amp;$A546))</f>
        <v>0</v>
      </c>
      <c r="AK546" s="4">
        <f>IF($A546=AK$542,"",COUNTIF($E$4:$E$538,$A546&amp;" ضد "&amp;AK$542)+COUNTIF($E$4:$E$538,AK$542&amp;" ضد "&amp;$A546))</f>
        <v>0</v>
      </c>
      <c r="AL546" s="4">
        <f>IF($A546=AL$542,"",COUNTIF($E$4:$E$538,$A546&amp;" ضد "&amp;AL$542)+COUNTIF($E$4:$E$538,AL$542&amp;" ضد "&amp;$A546))</f>
        <v>0</v>
      </c>
      <c r="AM546" s="4">
        <f>IF($A546=AM$542,"",COUNTIF($E$4:$E$538,$A546&amp;" ضد "&amp;AM$542)+COUNTIF($E$4:$E$538,AM$542&amp;" ضد "&amp;$A546))</f>
        <v>0</v>
      </c>
      <c r="AN546" s="4">
        <f>IF($A546=AN$542,"",COUNTIF($E$4:$E$538,$A546&amp;" ضد "&amp;AN$542)+COUNTIF($E$4:$E$538,AN$542&amp;" ضد "&amp;$A546))</f>
        <v>0</v>
      </c>
      <c r="AO546" s="4">
        <f>IF($A546=AO$542,"",COUNTIF($E$4:$E$538,$A546&amp;" ضد "&amp;AO$542)+COUNTIF($E$4:$E$538,AO$542&amp;" ضد "&amp;$A546))</f>
        <v>0</v>
      </c>
      <c r="AP546" s="4">
        <f>IF($A546=AP$542,"",COUNTIF($E$4:$E$538,$A546&amp;" ضد "&amp;AP$542)+COUNTIF($E$4:$E$538,AP$542&amp;" ضد "&amp;$A546))</f>
        <v>0</v>
      </c>
      <c r="AQ546" s="4">
        <f>IF($A546=AQ$542,"",COUNTIF($E$4:$E$538,$A546&amp;" ضد "&amp;AQ$542)+COUNTIF($E$4:$E$538,AQ$542&amp;" ضد "&amp;$A546))</f>
        <v>0</v>
      </c>
      <c r="AR546" s="4">
        <f>IF($A546=AR$542,"",COUNTIF($E$4:$E$538,$A546&amp;" ضد "&amp;AR$542)+COUNTIF($E$4:$E$538,AR$542&amp;" ضد "&amp;$A546))</f>
        <v>0</v>
      </c>
      <c r="AS546" s="4">
        <f>IF($A546=AS$542,"",COUNTIF($E$4:$E$538,$A546&amp;" ضد "&amp;AS$542)+COUNTIF($E$4:$E$538,AS$542&amp;" ضد "&amp;$A546))</f>
        <v>0</v>
      </c>
      <c r="AT546" s="4">
        <f>IF($A546=AT$542,"",COUNTIF($E$4:$E$538,$A546&amp;" ضد "&amp;AT$542)+COUNTIF($E$4:$E$538,AT$542&amp;" ضد "&amp;$A546))</f>
        <v>0</v>
      </c>
      <c r="AU546" s="4">
        <f>IF($A546=AU$542,"",COUNTIF($E$4:$E$538,$A546&amp;" ضد "&amp;AU$542)+COUNTIF($E$4:$E$538,AU$542&amp;" ضد "&amp;$A546))</f>
        <v>0</v>
      </c>
      <c r="AV546" s="4">
        <f>IF($A546=AV$542,"",COUNTIF($E$4:$E$538,$A546&amp;" ضد "&amp;AV$542)+COUNTIF($E$4:$E$538,AV$542&amp;" ضد "&amp;$A546))</f>
        <v>0</v>
      </c>
      <c r="AW546" s="4">
        <f>IF($A546=AW$542,"",COUNTIF($E$4:$E$538,$A546&amp;" ضد "&amp;AW$542)+COUNTIF($E$4:$E$538,AW$542&amp;" ضد "&amp;$A546))</f>
        <v>0</v>
      </c>
      <c r="AX546" s="4">
        <f>IF($A546=AX$542,"",COUNTIF($E$4:$E$538,$A546&amp;" ضد "&amp;AX$542)+COUNTIF($E$4:$E$538,AX$542&amp;" ضد "&amp;$A546))</f>
        <v>0</v>
      </c>
      <c r="AY546" s="4">
        <f>IF($A546=AY$542,"",COUNTIF($E$4:$E$538,$A546&amp;" ضد "&amp;AY$542)+COUNTIF($E$4:$E$538,AY$542&amp;" ضد "&amp;$A546))</f>
        <v>0</v>
      </c>
      <c r="AZ546" s="4">
        <f>IF($A546=AZ$542,"",COUNTIF($E$4:$E$538,$A546&amp;" ضد "&amp;AZ$542)+COUNTIF($E$4:$E$538,AZ$542&amp;" ضد "&amp;$A546))</f>
        <v>0</v>
      </c>
      <c r="BA546" s="4">
        <f>IF($A546=BA$542,"",COUNTIF($E$4:$E$538,$A546&amp;" ضد "&amp;BA$542)+COUNTIF($E$4:$E$538,BA$542&amp;" ضد "&amp;$A546))</f>
        <v>0</v>
      </c>
      <c r="BB546" s="4">
        <f>IF($A546=BB$542,"",COUNTIF($E$4:$E$538,$A546&amp;" ضد "&amp;BB$542)+COUNTIF($E$4:$E$538,BB$542&amp;" ضد "&amp;$A546))</f>
        <v>0</v>
      </c>
      <c r="BC546" s="4">
        <f>IF($A546=BC$542,"",COUNTIF($E$4:$E$538,$A546&amp;" ضد "&amp;BC$542)+COUNTIF($E$4:$E$538,BC$542&amp;" ضد "&amp;$A546))</f>
        <v>0</v>
      </c>
      <c r="BD546" s="4">
        <f>IF($A546=BD$542,"",COUNTIF($E$4:$E$538,$A546&amp;" ضد "&amp;BD$542)+COUNTIF($E$4:$E$538,BD$542&amp;" ضد "&amp;$A546))</f>
        <v>0</v>
      </c>
      <c r="BE546" s="4">
        <f>IF($A546=BE$542,"",COUNTIF($E$4:$E$538,$A546&amp;" ضد "&amp;BE$542)+COUNTIF($E$4:$E$538,BE$542&amp;" ضد "&amp;$A546))</f>
        <v>0</v>
      </c>
      <c r="BF546" s="4">
        <f>IF($A546=BF$542,"",COUNTIF($E$4:$E$538,$A546&amp;" ضد "&amp;BF$542)+COUNTIF($E$4:$E$538,BF$542&amp;" ضد "&amp;$A546))</f>
        <v>0</v>
      </c>
      <c r="BG546" s="4">
        <f>IF($A546=BG$542,"",COUNTIF($E$4:$E$538,$A546&amp;" ضد "&amp;BG$542)+COUNTIF($E$4:$E$538,BG$542&amp;" ضد "&amp;$A546))</f>
        <v>0</v>
      </c>
    </row>
    <row r="547" spans="1:59" ht="14.5">
      <c r="A547" s="14">
        <v>5</v>
      </c>
      <c r="B547" s="4">
        <f>IF($A547=B$542,"",COUNTIF($E$4:$E$538,$A547&amp;" ضد "&amp;B$542)+COUNTIF($E$4:$E$538,B$542&amp;" ضد "&amp;$A547))</f>
        <v>1</v>
      </c>
      <c r="C547" s="4">
        <f>IF($A547=C$542,"",COUNTIF($E$4:$E$538,$A547&amp;" ضد "&amp;C$542)+COUNTIF($E$4:$E$538,C$542&amp;" ضد "&amp;$A547))</f>
        <v>1</v>
      </c>
      <c r="D547" s="4">
        <f>IF($A547=D$542,"",COUNTIF($E$4:$E$538,$A547&amp;" ضد "&amp;D$542)+COUNTIF($E$4:$E$538,D$542&amp;" ضد "&amp;$A547))</f>
        <v>1</v>
      </c>
      <c r="E547" s="4">
        <f>IF($A547=E$542,"",COUNTIF($E$4:$E$538,$A547&amp;" ضد "&amp;E$542)+COUNTIF($E$4:$E$538,E$542&amp;" ضد "&amp;$A547))</f>
        <v>1</v>
      </c>
      <c r="F547" s="4" t="str">
        <f>IF($A547=F$542,"",COUNTIF($E$4:$E$538,$A547&amp;" ضد "&amp;F$542)+COUNTIF($E$4:$E$538,F$542&amp;" ضد "&amp;$A547))</f>
        <v/>
      </c>
      <c r="G547" s="4">
        <f>IF($A547=G$542,"",COUNTIF($E$4:$E$538,$A547&amp;" ضد "&amp;G$542)+COUNTIF($E$4:$E$538,G$542&amp;" ضد "&amp;$A547))</f>
        <v>1</v>
      </c>
      <c r="H547" s="4">
        <f>IF($A547=H$542,"",COUNTIF($E$4:$E$538,$A547&amp;" ضد "&amp;H$542)+COUNTIF($E$4:$E$538,H$542&amp;" ضد "&amp;$A547))</f>
        <v>1</v>
      </c>
      <c r="I547" s="4">
        <f>IF($A547=I$542,"",COUNTIF($E$4:$E$538,$A547&amp;" ضد "&amp;I$542)+COUNTIF($E$4:$E$538,I$542&amp;" ضد "&amp;$A547))</f>
        <v>1</v>
      </c>
      <c r="J547" s="4">
        <f>IF($A547=J$542,"",COUNTIF($E$4:$E$538,$A547&amp;" ضد "&amp;J$542)+COUNTIF($E$4:$E$538,J$542&amp;" ضد "&amp;$A547))</f>
        <v>1</v>
      </c>
      <c r="K547" s="4">
        <f>IF($A547=K$542,"",COUNTIF($E$4:$E$538,$A547&amp;" ضد "&amp;K$542)+COUNTIF($E$4:$E$538,K$542&amp;" ضد "&amp;$A547))</f>
        <v>1</v>
      </c>
      <c r="L547" s="4">
        <f>IF($A547=L$542,"",COUNTIF($E$4:$E$538,$A547&amp;" ضد "&amp;L$542)+COUNTIF($E$4:$E$538,L$542&amp;" ضد "&amp;$A547))</f>
        <v>1</v>
      </c>
      <c r="M547" s="4">
        <f>IF($A547=M$542,"",COUNTIF($E$4:$E$538,$A547&amp;" ضد "&amp;M$542)+COUNTIF($E$4:$E$538,M$542&amp;" ضد "&amp;$A547))</f>
        <v>1</v>
      </c>
      <c r="N547" s="4">
        <f>IF($A547=N$542,"",COUNTIF($E$4:$E$538,$A547&amp;" ضد "&amp;N$542)+COUNTIF($E$4:$E$538,N$542&amp;" ضد "&amp;$A547))</f>
        <v>1</v>
      </c>
      <c r="O547" s="4">
        <f>IF($A547=O$542,"",COUNTIF($E$4:$E$538,$A547&amp;" ضد "&amp;O$542)+COUNTIF($E$4:$E$538,O$542&amp;" ضد "&amp;$A547))</f>
        <v>1</v>
      </c>
      <c r="P547" s="4">
        <f>IF($A547=P$542,"",COUNTIF($E$4:$E$538,$A547&amp;" ضد "&amp;P$542)+COUNTIF($E$4:$E$538,P$542&amp;" ضد "&amp;$A547))</f>
        <v>1</v>
      </c>
      <c r="Q547" s="4">
        <f>IF($A547=Q$542,"",COUNTIF($E$4:$E$538,$A547&amp;" ضد "&amp;Q$542)+COUNTIF($E$4:$E$538,Q$542&amp;" ضد "&amp;$A547))</f>
        <v>1</v>
      </c>
      <c r="R547" s="4">
        <f>IF($A547=R$542,"",COUNTIF($E$4:$E$538,$A547&amp;" ضد "&amp;R$542)+COUNTIF($E$4:$E$538,R$542&amp;" ضد "&amp;$A547))</f>
        <v>1</v>
      </c>
      <c r="S547" s="4">
        <f>IF($A547=S$542,"",COUNTIF($E$4:$E$538,$A547&amp;" ضد "&amp;S$542)+COUNTIF($E$4:$E$538,S$542&amp;" ضد "&amp;$A547))</f>
        <v>1</v>
      </c>
      <c r="T547" s="4">
        <f>IF($A547=T$542,"",COUNTIF($E$4:$E$538,$A547&amp;" ضد "&amp;T$542)+COUNTIF($E$4:$E$538,T$542&amp;" ضد "&amp;$A547))</f>
        <v>1</v>
      </c>
      <c r="U547" s="4">
        <f>IF($A547=U$542,"",COUNTIF($E$4:$E$538,$A547&amp;" ضد "&amp;U$542)+COUNTIF($E$4:$E$538,U$542&amp;" ضد "&amp;$A547))</f>
        <v>1</v>
      </c>
      <c r="V547" s="4">
        <f>IF($A547=V$542,"",COUNTIF($E$4:$E$538,$A547&amp;" ضد "&amp;V$542)+COUNTIF($E$4:$E$538,V$542&amp;" ضد "&amp;$A547))</f>
        <v>0</v>
      </c>
      <c r="W547" s="4">
        <f>IF($A547=W$542,"",COUNTIF($E$4:$E$538,$A547&amp;" ضد "&amp;W$542)+COUNTIF($E$4:$E$538,W$542&amp;" ضد "&amp;$A547))</f>
        <v>0</v>
      </c>
      <c r="X547" s="4">
        <f>IF($A547=X$542,"",COUNTIF($E$4:$E$538,$A547&amp;" ضد "&amp;X$542)+COUNTIF($E$4:$E$538,X$542&amp;" ضد "&amp;$A547))</f>
        <v>0</v>
      </c>
      <c r="Y547" s="4">
        <f>IF($A547=Y$542,"",COUNTIF($E$4:$E$538,$A547&amp;" ضد "&amp;Y$542)+COUNTIF($E$4:$E$538,Y$542&amp;" ضد "&amp;$A547))</f>
        <v>0</v>
      </c>
      <c r="Z547" s="4">
        <f>IF($A547=Z$542,"",COUNTIF($E$4:$E$538,$A547&amp;" ضد "&amp;Z$542)+COUNTIF($E$4:$E$538,Z$542&amp;" ضد "&amp;$A547))</f>
        <v>0</v>
      </c>
      <c r="AA547" s="4">
        <f>IF($A547=AA$542,"",COUNTIF($E$4:$E$538,$A547&amp;" ضد "&amp;AA$542)+COUNTIF($E$4:$E$538,AA$542&amp;" ضد "&amp;$A547))</f>
        <v>0</v>
      </c>
      <c r="AB547" s="4">
        <f>IF($A547=AB$542,"",COUNTIF($E$4:$E$538,$A547&amp;" ضد "&amp;AB$542)+COUNTIF($E$4:$E$538,AB$542&amp;" ضد "&amp;$A547))</f>
        <v>0</v>
      </c>
      <c r="AC547" s="4">
        <f>IF($A547=AC$542,"",COUNTIF($E$4:$E$538,$A547&amp;" ضد "&amp;AC$542)+COUNTIF($E$4:$E$538,AC$542&amp;" ضد "&amp;$A547))</f>
        <v>0</v>
      </c>
      <c r="AD547" s="4">
        <f>IF($A547=AD$542,"",COUNTIF($E$4:$E$538,$A547&amp;" ضد "&amp;AD$542)+COUNTIF($E$4:$E$538,AD$542&amp;" ضد "&amp;$A547))</f>
        <v>0</v>
      </c>
      <c r="AE547" s="4">
        <f>IF($A547=AE$542,"",COUNTIF($E$4:$E$538,$A547&amp;" ضد "&amp;AE$542)+COUNTIF($E$4:$E$538,AE$542&amp;" ضد "&amp;$A547))</f>
        <v>0</v>
      </c>
      <c r="AF547" s="4">
        <f>IF($A547=AF$542,"",COUNTIF($E$4:$E$538,$A547&amp;" ضد "&amp;AF$542)+COUNTIF($E$4:$E$538,AF$542&amp;" ضد "&amp;$A547))</f>
        <v>0</v>
      </c>
      <c r="AG547" s="4">
        <f>IF($A547=AG$542,"",COUNTIF($E$4:$E$538,$A547&amp;" ضد "&amp;AG$542)+COUNTIF($E$4:$E$538,AG$542&amp;" ضد "&amp;$A547))</f>
        <v>0</v>
      </c>
      <c r="AH547" s="4">
        <f>IF($A547=AH$542,"",COUNTIF($E$4:$E$538,$A547&amp;" ضد "&amp;AH$542)+COUNTIF($E$4:$E$538,AH$542&amp;" ضد "&amp;$A547))</f>
        <v>0</v>
      </c>
      <c r="AI547" s="4">
        <f>IF($A547=AI$542,"",COUNTIF($E$4:$E$538,$A547&amp;" ضد "&amp;AI$542)+COUNTIF($E$4:$E$538,AI$542&amp;" ضد "&amp;$A547))</f>
        <v>0</v>
      </c>
      <c r="AJ547" s="4">
        <f>IF($A547=AJ$542,"",COUNTIF($E$4:$E$538,$A547&amp;" ضد "&amp;AJ$542)+COUNTIF($E$4:$E$538,AJ$542&amp;" ضد "&amp;$A547))</f>
        <v>0</v>
      </c>
      <c r="AK547" s="4">
        <f>IF($A547=AK$542,"",COUNTIF($E$4:$E$538,$A547&amp;" ضد "&amp;AK$542)+COUNTIF($E$4:$E$538,AK$542&amp;" ضد "&amp;$A547))</f>
        <v>0</v>
      </c>
      <c r="AL547" s="4">
        <f>IF($A547=AL$542,"",COUNTIF($E$4:$E$538,$A547&amp;" ضد "&amp;AL$542)+COUNTIF($E$4:$E$538,AL$542&amp;" ضد "&amp;$A547))</f>
        <v>0</v>
      </c>
      <c r="AM547" s="4">
        <f>IF($A547=AM$542,"",COUNTIF($E$4:$E$538,$A547&amp;" ضد "&amp;AM$542)+COUNTIF($E$4:$E$538,AM$542&amp;" ضد "&amp;$A547))</f>
        <v>0</v>
      </c>
      <c r="AN547" s="4">
        <f>IF($A547=AN$542,"",COUNTIF($E$4:$E$538,$A547&amp;" ضد "&amp;AN$542)+COUNTIF($E$4:$E$538,AN$542&amp;" ضد "&amp;$A547))</f>
        <v>0</v>
      </c>
      <c r="AO547" s="4">
        <f>IF($A547=AO$542,"",COUNTIF($E$4:$E$538,$A547&amp;" ضد "&amp;AO$542)+COUNTIF($E$4:$E$538,AO$542&amp;" ضد "&amp;$A547))</f>
        <v>0</v>
      </c>
      <c r="AP547" s="4">
        <f>IF($A547=AP$542,"",COUNTIF($E$4:$E$538,$A547&amp;" ضد "&amp;AP$542)+COUNTIF($E$4:$E$538,AP$542&amp;" ضد "&amp;$A547))</f>
        <v>0</v>
      </c>
      <c r="AQ547" s="4">
        <f>IF($A547=AQ$542,"",COUNTIF($E$4:$E$538,$A547&amp;" ضد "&amp;AQ$542)+COUNTIF($E$4:$E$538,AQ$542&amp;" ضد "&amp;$A547))</f>
        <v>0</v>
      </c>
      <c r="AR547" s="4">
        <f>IF($A547=AR$542,"",COUNTIF($E$4:$E$538,$A547&amp;" ضد "&amp;AR$542)+COUNTIF($E$4:$E$538,AR$542&amp;" ضد "&amp;$A547))</f>
        <v>0</v>
      </c>
      <c r="AS547" s="4">
        <f>IF($A547=AS$542,"",COUNTIF($E$4:$E$538,$A547&amp;" ضد "&amp;AS$542)+COUNTIF($E$4:$E$538,AS$542&amp;" ضد "&amp;$A547))</f>
        <v>0</v>
      </c>
      <c r="AT547" s="4">
        <f>IF($A547=AT$542,"",COUNTIF($E$4:$E$538,$A547&amp;" ضد "&amp;AT$542)+COUNTIF($E$4:$E$538,AT$542&amp;" ضد "&amp;$A547))</f>
        <v>0</v>
      </c>
      <c r="AU547" s="4">
        <f>IF($A547=AU$542,"",COUNTIF($E$4:$E$538,$A547&amp;" ضد "&amp;AU$542)+COUNTIF($E$4:$E$538,AU$542&amp;" ضد "&amp;$A547))</f>
        <v>0</v>
      </c>
      <c r="AV547" s="4">
        <f>IF($A547=AV$542,"",COUNTIF($E$4:$E$538,$A547&amp;" ضد "&amp;AV$542)+COUNTIF($E$4:$E$538,AV$542&amp;" ضد "&amp;$A547))</f>
        <v>0</v>
      </c>
      <c r="AW547" s="4">
        <f>IF($A547=AW$542,"",COUNTIF($E$4:$E$538,$A547&amp;" ضد "&amp;AW$542)+COUNTIF($E$4:$E$538,AW$542&amp;" ضد "&amp;$A547))</f>
        <v>0</v>
      </c>
      <c r="AX547" s="4">
        <f>IF($A547=AX$542,"",COUNTIF($E$4:$E$538,$A547&amp;" ضد "&amp;AX$542)+COUNTIF($E$4:$E$538,AX$542&amp;" ضد "&amp;$A547))</f>
        <v>0</v>
      </c>
      <c r="AY547" s="4">
        <f>IF($A547=AY$542,"",COUNTIF($E$4:$E$538,$A547&amp;" ضد "&amp;AY$542)+COUNTIF($E$4:$E$538,AY$542&amp;" ضد "&amp;$A547))</f>
        <v>0</v>
      </c>
      <c r="AZ547" s="4">
        <f>IF($A547=AZ$542,"",COUNTIF($E$4:$E$538,$A547&amp;" ضد "&amp;AZ$542)+COUNTIF($E$4:$E$538,AZ$542&amp;" ضد "&amp;$A547))</f>
        <v>0</v>
      </c>
      <c r="BA547" s="4">
        <f>IF($A547=BA$542,"",COUNTIF($E$4:$E$538,$A547&amp;" ضد "&amp;BA$542)+COUNTIF($E$4:$E$538,BA$542&amp;" ضد "&amp;$A547))</f>
        <v>0</v>
      </c>
      <c r="BB547" s="4">
        <f>IF($A547=BB$542,"",COUNTIF($E$4:$E$538,$A547&amp;" ضد "&amp;BB$542)+COUNTIF($E$4:$E$538,BB$542&amp;" ضد "&amp;$A547))</f>
        <v>0</v>
      </c>
      <c r="BC547" s="4">
        <f>IF($A547=BC$542,"",COUNTIF($E$4:$E$538,$A547&amp;" ضد "&amp;BC$542)+COUNTIF($E$4:$E$538,BC$542&amp;" ضد "&amp;$A547))</f>
        <v>0</v>
      </c>
      <c r="BD547" s="4">
        <f>IF($A547=BD$542,"",COUNTIF($E$4:$E$538,$A547&amp;" ضد "&amp;BD$542)+COUNTIF($E$4:$E$538,BD$542&amp;" ضد "&amp;$A547))</f>
        <v>0</v>
      </c>
      <c r="BE547" s="4">
        <f>IF($A547=BE$542,"",COUNTIF($E$4:$E$538,$A547&amp;" ضد "&amp;BE$542)+COUNTIF($E$4:$E$538,BE$542&amp;" ضد "&amp;$A547))</f>
        <v>0</v>
      </c>
      <c r="BF547" s="4">
        <f>IF($A547=BF$542,"",COUNTIF($E$4:$E$538,$A547&amp;" ضد "&amp;BF$542)+COUNTIF($E$4:$E$538,BF$542&amp;" ضد "&amp;$A547))</f>
        <v>0</v>
      </c>
      <c r="BG547" s="4">
        <f>IF($A547=BG$542,"",COUNTIF($E$4:$E$538,$A547&amp;" ضد "&amp;BG$542)+COUNTIF($E$4:$E$538,BG$542&amp;" ضد "&amp;$A547))</f>
        <v>0</v>
      </c>
    </row>
    <row r="548" spans="1:59" ht="14.5">
      <c r="A548" s="14">
        <v>6</v>
      </c>
      <c r="B548" s="4">
        <f>IF($A548=B$542,"",COUNTIF($E$4:$E$538,$A548&amp;" ضد "&amp;B$542)+COUNTIF($E$4:$E$538,B$542&amp;" ضد "&amp;$A548))</f>
        <v>1</v>
      </c>
      <c r="C548" s="4">
        <f>IF($A548=C$542,"",COUNTIF($E$4:$E$538,$A548&amp;" ضد "&amp;C$542)+COUNTIF($E$4:$E$538,C$542&amp;" ضد "&amp;$A548))</f>
        <v>1</v>
      </c>
      <c r="D548" s="4">
        <f>IF($A548=D$542,"",COUNTIF($E$4:$E$538,$A548&amp;" ضد "&amp;D$542)+COUNTIF($E$4:$E$538,D$542&amp;" ضد "&amp;$A548))</f>
        <v>1</v>
      </c>
      <c r="E548" s="4">
        <f>IF($A548=E$542,"",COUNTIF($E$4:$E$538,$A548&amp;" ضد "&amp;E$542)+COUNTIF($E$4:$E$538,E$542&amp;" ضد "&amp;$A548))</f>
        <v>1</v>
      </c>
      <c r="F548" s="4">
        <f>IF($A548=F$542,"",COUNTIF($E$4:$E$538,$A548&amp;" ضد "&amp;F$542)+COUNTIF($E$4:$E$538,F$542&amp;" ضد "&amp;$A548))</f>
        <v>1</v>
      </c>
      <c r="G548" s="4" t="str">
        <f>IF($A548=G$542,"",COUNTIF($E$4:$E$538,$A548&amp;" ضد "&amp;G$542)+COUNTIF($E$4:$E$538,G$542&amp;" ضد "&amp;$A548))</f>
        <v/>
      </c>
      <c r="H548" s="4">
        <f>IF($A548=H$542,"",COUNTIF($E$4:$E$538,$A548&amp;" ضد "&amp;H$542)+COUNTIF($E$4:$E$538,H$542&amp;" ضد "&amp;$A548))</f>
        <v>1</v>
      </c>
      <c r="I548" s="4">
        <f>IF($A548=I$542,"",COUNTIF($E$4:$E$538,$A548&amp;" ضد "&amp;I$542)+COUNTIF($E$4:$E$538,I$542&amp;" ضد "&amp;$A548))</f>
        <v>1</v>
      </c>
      <c r="J548" s="4">
        <f>IF($A548=J$542,"",COUNTIF($E$4:$E$538,$A548&amp;" ضد "&amp;J$542)+COUNTIF($E$4:$E$538,J$542&amp;" ضد "&amp;$A548))</f>
        <v>1</v>
      </c>
      <c r="K548" s="4">
        <f>IF($A548=K$542,"",COUNTIF($E$4:$E$538,$A548&amp;" ضد "&amp;K$542)+COUNTIF($E$4:$E$538,K$542&amp;" ضد "&amp;$A548))</f>
        <v>1</v>
      </c>
      <c r="L548" s="4">
        <f>IF($A548=L$542,"",COUNTIF($E$4:$E$538,$A548&amp;" ضد "&amp;L$542)+COUNTIF($E$4:$E$538,L$542&amp;" ضد "&amp;$A548))</f>
        <v>1</v>
      </c>
      <c r="M548" s="4">
        <f>IF($A548=M$542,"",COUNTIF($E$4:$E$538,$A548&amp;" ضد "&amp;M$542)+COUNTIF($E$4:$E$538,M$542&amp;" ضد "&amp;$A548))</f>
        <v>1</v>
      </c>
      <c r="N548" s="4">
        <f>IF($A548=N$542,"",COUNTIF($E$4:$E$538,$A548&amp;" ضد "&amp;N$542)+COUNTIF($E$4:$E$538,N$542&amp;" ضد "&amp;$A548))</f>
        <v>1</v>
      </c>
      <c r="O548" s="4">
        <f>IF($A548=O$542,"",COUNTIF($E$4:$E$538,$A548&amp;" ضد "&amp;O$542)+COUNTIF($E$4:$E$538,O$542&amp;" ضد "&amp;$A548))</f>
        <v>1</v>
      </c>
      <c r="P548" s="4">
        <f>IF($A548=P$542,"",COUNTIF($E$4:$E$538,$A548&amp;" ضد "&amp;P$542)+COUNTIF($E$4:$E$538,P$542&amp;" ضد "&amp;$A548))</f>
        <v>1</v>
      </c>
      <c r="Q548" s="4">
        <f>IF($A548=Q$542,"",COUNTIF($E$4:$E$538,$A548&amp;" ضد "&amp;Q$542)+COUNTIF($E$4:$E$538,Q$542&amp;" ضد "&amp;$A548))</f>
        <v>1</v>
      </c>
      <c r="R548" s="4">
        <f>IF($A548=R$542,"",COUNTIF($E$4:$E$538,$A548&amp;" ضد "&amp;R$542)+COUNTIF($E$4:$E$538,R$542&amp;" ضد "&amp;$A548))</f>
        <v>1</v>
      </c>
      <c r="S548" s="4">
        <f>IF($A548=S$542,"",COUNTIF($E$4:$E$538,$A548&amp;" ضد "&amp;S$542)+COUNTIF($E$4:$E$538,S$542&amp;" ضد "&amp;$A548))</f>
        <v>1</v>
      </c>
      <c r="T548" s="4">
        <f>IF($A548=T$542,"",COUNTIF($E$4:$E$538,$A548&amp;" ضد "&amp;T$542)+COUNTIF($E$4:$E$538,T$542&amp;" ضد "&amp;$A548))</f>
        <v>1</v>
      </c>
      <c r="U548" s="4">
        <f>IF($A548=U$542,"",COUNTIF($E$4:$E$538,$A548&amp;" ضد "&amp;U$542)+COUNTIF($E$4:$E$538,U$542&amp;" ضد "&amp;$A548))</f>
        <v>1</v>
      </c>
      <c r="V548" s="4">
        <f>IF($A548=V$542,"",COUNTIF($E$4:$E$538,$A548&amp;" ضد "&amp;V$542)+COUNTIF($E$4:$E$538,V$542&amp;" ضد "&amp;$A548))</f>
        <v>0</v>
      </c>
      <c r="W548" s="4">
        <f>IF($A548=W$542,"",COUNTIF($E$4:$E$538,$A548&amp;" ضد "&amp;W$542)+COUNTIF($E$4:$E$538,W$542&amp;" ضد "&amp;$A548))</f>
        <v>0</v>
      </c>
      <c r="X548" s="4">
        <f>IF($A548=X$542,"",COUNTIF($E$4:$E$538,$A548&amp;" ضد "&amp;X$542)+COUNTIF($E$4:$E$538,X$542&amp;" ضد "&amp;$A548))</f>
        <v>0</v>
      </c>
      <c r="Y548" s="4">
        <f>IF($A548=Y$542,"",COUNTIF($E$4:$E$538,$A548&amp;" ضد "&amp;Y$542)+COUNTIF($E$4:$E$538,Y$542&amp;" ضد "&amp;$A548))</f>
        <v>0</v>
      </c>
      <c r="Z548" s="4">
        <f>IF($A548=Z$542,"",COUNTIF($E$4:$E$538,$A548&amp;" ضد "&amp;Z$542)+COUNTIF($E$4:$E$538,Z$542&amp;" ضد "&amp;$A548))</f>
        <v>0</v>
      </c>
      <c r="AA548" s="4">
        <f>IF($A548=AA$542,"",COUNTIF($E$4:$E$538,$A548&amp;" ضد "&amp;AA$542)+COUNTIF($E$4:$E$538,AA$542&amp;" ضد "&amp;$A548))</f>
        <v>0</v>
      </c>
      <c r="AB548" s="4">
        <f>IF($A548=AB$542,"",COUNTIF($E$4:$E$538,$A548&amp;" ضد "&amp;AB$542)+COUNTIF($E$4:$E$538,AB$542&amp;" ضد "&amp;$A548))</f>
        <v>0</v>
      </c>
      <c r="AC548" s="4">
        <f>IF($A548=AC$542,"",COUNTIF($E$4:$E$538,$A548&amp;" ضد "&amp;AC$542)+COUNTIF($E$4:$E$538,AC$542&amp;" ضد "&amp;$A548))</f>
        <v>0</v>
      </c>
      <c r="AD548" s="4">
        <f>IF($A548=AD$542,"",COUNTIF($E$4:$E$538,$A548&amp;" ضد "&amp;AD$542)+COUNTIF($E$4:$E$538,AD$542&amp;" ضد "&amp;$A548))</f>
        <v>0</v>
      </c>
      <c r="AE548" s="4">
        <f>IF($A548=AE$542,"",COUNTIF($E$4:$E$538,$A548&amp;" ضد "&amp;AE$542)+COUNTIF($E$4:$E$538,AE$542&amp;" ضد "&amp;$A548))</f>
        <v>0</v>
      </c>
      <c r="AF548" s="4">
        <f>IF($A548=AF$542,"",COUNTIF($E$4:$E$538,$A548&amp;" ضد "&amp;AF$542)+COUNTIF($E$4:$E$538,AF$542&amp;" ضد "&amp;$A548))</f>
        <v>0</v>
      </c>
      <c r="AG548" s="4">
        <f>IF($A548=AG$542,"",COUNTIF($E$4:$E$538,$A548&amp;" ضد "&amp;AG$542)+COUNTIF($E$4:$E$538,AG$542&amp;" ضد "&amp;$A548))</f>
        <v>0</v>
      </c>
      <c r="AH548" s="4">
        <f>IF($A548=AH$542,"",COUNTIF($E$4:$E$538,$A548&amp;" ضد "&amp;AH$542)+COUNTIF($E$4:$E$538,AH$542&amp;" ضد "&amp;$A548))</f>
        <v>0</v>
      </c>
      <c r="AI548" s="4">
        <f>IF($A548=AI$542,"",COUNTIF($E$4:$E$538,$A548&amp;" ضد "&amp;AI$542)+COUNTIF($E$4:$E$538,AI$542&amp;" ضد "&amp;$A548))</f>
        <v>0</v>
      </c>
      <c r="AJ548" s="4">
        <f>IF($A548=AJ$542,"",COUNTIF($E$4:$E$538,$A548&amp;" ضد "&amp;AJ$542)+COUNTIF($E$4:$E$538,AJ$542&amp;" ضد "&amp;$A548))</f>
        <v>0</v>
      </c>
      <c r="AK548" s="4">
        <f>IF($A548=AK$542,"",COUNTIF($E$4:$E$538,$A548&amp;" ضد "&amp;AK$542)+COUNTIF($E$4:$E$538,AK$542&amp;" ضد "&amp;$A548))</f>
        <v>0</v>
      </c>
      <c r="AL548" s="4">
        <f>IF($A548=AL$542,"",COUNTIF($E$4:$E$538,$A548&amp;" ضد "&amp;AL$542)+COUNTIF($E$4:$E$538,AL$542&amp;" ضد "&amp;$A548))</f>
        <v>0</v>
      </c>
      <c r="AM548" s="4">
        <f>IF($A548=AM$542,"",COUNTIF($E$4:$E$538,$A548&amp;" ضد "&amp;AM$542)+COUNTIF($E$4:$E$538,AM$542&amp;" ضد "&amp;$A548))</f>
        <v>0</v>
      </c>
      <c r="AN548" s="4">
        <f>IF($A548=AN$542,"",COUNTIF($E$4:$E$538,$A548&amp;" ضد "&amp;AN$542)+COUNTIF($E$4:$E$538,AN$542&amp;" ضد "&amp;$A548))</f>
        <v>0</v>
      </c>
      <c r="AO548" s="4">
        <f>IF($A548=AO$542,"",COUNTIF($E$4:$E$538,$A548&amp;" ضد "&amp;AO$542)+COUNTIF($E$4:$E$538,AO$542&amp;" ضد "&amp;$A548))</f>
        <v>0</v>
      </c>
      <c r="AP548" s="4">
        <f>IF($A548=AP$542,"",COUNTIF($E$4:$E$538,$A548&amp;" ضد "&amp;AP$542)+COUNTIF($E$4:$E$538,AP$542&amp;" ضد "&amp;$A548))</f>
        <v>0</v>
      </c>
      <c r="AQ548" s="4">
        <f>IF($A548=AQ$542,"",COUNTIF($E$4:$E$538,$A548&amp;" ضد "&amp;AQ$542)+COUNTIF($E$4:$E$538,AQ$542&amp;" ضد "&amp;$A548))</f>
        <v>0</v>
      </c>
      <c r="AR548" s="4">
        <f>IF($A548=AR$542,"",COUNTIF($E$4:$E$538,$A548&amp;" ضد "&amp;AR$542)+COUNTIF($E$4:$E$538,AR$542&amp;" ضد "&amp;$A548))</f>
        <v>0</v>
      </c>
      <c r="AS548" s="4">
        <f>IF($A548=AS$542,"",COUNTIF($E$4:$E$538,$A548&amp;" ضد "&amp;AS$542)+COUNTIF($E$4:$E$538,AS$542&amp;" ضد "&amp;$A548))</f>
        <v>0</v>
      </c>
      <c r="AT548" s="4">
        <f>IF($A548=AT$542,"",COUNTIF($E$4:$E$538,$A548&amp;" ضد "&amp;AT$542)+COUNTIF($E$4:$E$538,AT$542&amp;" ضد "&amp;$A548))</f>
        <v>0</v>
      </c>
      <c r="AU548" s="4">
        <f>IF($A548=AU$542,"",COUNTIF($E$4:$E$538,$A548&amp;" ضد "&amp;AU$542)+COUNTIF($E$4:$E$538,AU$542&amp;" ضد "&amp;$A548))</f>
        <v>0</v>
      </c>
      <c r="AV548" s="4">
        <f>IF($A548=AV$542,"",COUNTIF($E$4:$E$538,$A548&amp;" ضد "&amp;AV$542)+COUNTIF($E$4:$E$538,AV$542&amp;" ضد "&amp;$A548))</f>
        <v>0</v>
      </c>
      <c r="AW548" s="4">
        <f>IF($A548=AW$542,"",COUNTIF($E$4:$E$538,$A548&amp;" ضد "&amp;AW$542)+COUNTIF($E$4:$E$538,AW$542&amp;" ضد "&amp;$A548))</f>
        <v>0</v>
      </c>
      <c r="AX548" s="4">
        <f>IF($A548=AX$542,"",COUNTIF($E$4:$E$538,$A548&amp;" ضد "&amp;AX$542)+COUNTIF($E$4:$E$538,AX$542&amp;" ضد "&amp;$A548))</f>
        <v>0</v>
      </c>
      <c r="AY548" s="4">
        <f>IF($A548=AY$542,"",COUNTIF($E$4:$E$538,$A548&amp;" ضد "&amp;AY$542)+COUNTIF($E$4:$E$538,AY$542&amp;" ضد "&amp;$A548))</f>
        <v>0</v>
      </c>
      <c r="AZ548" s="4">
        <f>IF($A548=AZ$542,"",COUNTIF($E$4:$E$538,$A548&amp;" ضد "&amp;AZ$542)+COUNTIF($E$4:$E$538,AZ$542&amp;" ضد "&amp;$A548))</f>
        <v>0</v>
      </c>
      <c r="BA548" s="4">
        <f>IF($A548=BA$542,"",COUNTIF($E$4:$E$538,$A548&amp;" ضد "&amp;BA$542)+COUNTIF($E$4:$E$538,BA$542&amp;" ضد "&amp;$A548))</f>
        <v>0</v>
      </c>
      <c r="BB548" s="4">
        <f>IF($A548=BB$542,"",COUNTIF($E$4:$E$538,$A548&amp;" ضد "&amp;BB$542)+COUNTIF($E$4:$E$538,BB$542&amp;" ضد "&amp;$A548))</f>
        <v>0</v>
      </c>
      <c r="BC548" s="4">
        <f>IF($A548=BC$542,"",COUNTIF($E$4:$E$538,$A548&amp;" ضد "&amp;BC$542)+COUNTIF($E$4:$E$538,BC$542&amp;" ضد "&amp;$A548))</f>
        <v>0</v>
      </c>
      <c r="BD548" s="4">
        <f>IF($A548=BD$542,"",COUNTIF($E$4:$E$538,$A548&amp;" ضد "&amp;BD$542)+COUNTIF($E$4:$E$538,BD$542&amp;" ضد "&amp;$A548))</f>
        <v>0</v>
      </c>
      <c r="BE548" s="4">
        <f>IF($A548=BE$542,"",COUNTIF($E$4:$E$538,$A548&amp;" ضد "&amp;BE$542)+COUNTIF($E$4:$E$538,BE$542&amp;" ضد "&amp;$A548))</f>
        <v>0</v>
      </c>
      <c r="BF548" s="4">
        <f>IF($A548=BF$542,"",COUNTIF($E$4:$E$538,$A548&amp;" ضد "&amp;BF$542)+COUNTIF($E$4:$E$538,BF$542&amp;" ضد "&amp;$A548))</f>
        <v>0</v>
      </c>
      <c r="BG548" s="4">
        <f>IF($A548=BG$542,"",COUNTIF($E$4:$E$538,$A548&amp;" ضد "&amp;BG$542)+COUNTIF($E$4:$E$538,BG$542&amp;" ضد "&amp;$A548))</f>
        <v>0</v>
      </c>
    </row>
    <row r="549" spans="1:59" ht="14.5">
      <c r="A549" s="14">
        <v>7</v>
      </c>
      <c r="B549" s="4">
        <f>IF($A549=B$542,"",COUNTIF($E$4:$E$538,$A549&amp;" ضد "&amp;B$542)+COUNTIF($E$4:$E$538,B$542&amp;" ضد "&amp;$A549))</f>
        <v>1</v>
      </c>
      <c r="C549" s="4">
        <f>IF($A549=C$542,"",COUNTIF($E$4:$E$538,$A549&amp;" ضد "&amp;C$542)+COUNTIF($E$4:$E$538,C$542&amp;" ضد "&amp;$A549))</f>
        <v>1</v>
      </c>
      <c r="D549" s="4">
        <f>IF($A549=D$542,"",COUNTIF($E$4:$E$538,$A549&amp;" ضد "&amp;D$542)+COUNTIF($E$4:$E$538,D$542&amp;" ضد "&amp;$A549))</f>
        <v>1</v>
      </c>
      <c r="E549" s="4">
        <f>IF($A549=E$542,"",COUNTIF($E$4:$E$538,$A549&amp;" ضد "&amp;E$542)+COUNTIF($E$4:$E$538,E$542&amp;" ضد "&amp;$A549))</f>
        <v>1</v>
      </c>
      <c r="F549" s="4">
        <f>IF($A549=F$542,"",COUNTIF($E$4:$E$538,$A549&amp;" ضد "&amp;F$542)+COUNTIF($E$4:$E$538,F$542&amp;" ضد "&amp;$A549))</f>
        <v>1</v>
      </c>
      <c r="G549" s="4">
        <f>IF($A549=G$542,"",COUNTIF($E$4:$E$538,$A549&amp;" ضد "&amp;G$542)+COUNTIF($E$4:$E$538,G$542&amp;" ضد "&amp;$A549))</f>
        <v>1</v>
      </c>
      <c r="H549" s="4" t="str">
        <f>IF($A549=H$542,"",COUNTIF($E$4:$E$538,$A549&amp;" ضد "&amp;H$542)+COUNTIF($E$4:$E$538,H$542&amp;" ضد "&amp;$A549))</f>
        <v/>
      </c>
      <c r="I549" s="4">
        <f>IF($A549=I$542,"",COUNTIF($E$4:$E$538,$A549&amp;" ضد "&amp;I$542)+COUNTIF($E$4:$E$538,I$542&amp;" ضد "&amp;$A549))</f>
        <v>1</v>
      </c>
      <c r="J549" s="4">
        <f>IF($A549=J$542,"",COUNTIF($E$4:$E$538,$A549&amp;" ضد "&amp;J$542)+COUNTIF($E$4:$E$538,J$542&amp;" ضد "&amp;$A549))</f>
        <v>1</v>
      </c>
      <c r="K549" s="4">
        <f>IF($A549=K$542,"",COUNTIF($E$4:$E$538,$A549&amp;" ضد "&amp;K$542)+COUNTIF($E$4:$E$538,K$542&amp;" ضد "&amp;$A549))</f>
        <v>1</v>
      </c>
      <c r="L549" s="4">
        <f>IF($A549=L$542,"",COUNTIF($E$4:$E$538,$A549&amp;" ضد "&amp;L$542)+COUNTIF($E$4:$E$538,L$542&amp;" ضد "&amp;$A549))</f>
        <v>1</v>
      </c>
      <c r="M549" s="4">
        <f>IF($A549=M$542,"",COUNTIF($E$4:$E$538,$A549&amp;" ضد "&amp;M$542)+COUNTIF($E$4:$E$538,M$542&amp;" ضد "&amp;$A549))</f>
        <v>1</v>
      </c>
      <c r="N549" s="4">
        <f>IF($A549=N$542,"",COUNTIF($E$4:$E$538,$A549&amp;" ضد "&amp;N$542)+COUNTIF($E$4:$E$538,N$542&amp;" ضد "&amp;$A549))</f>
        <v>1</v>
      </c>
      <c r="O549" s="4">
        <f>IF($A549=O$542,"",COUNTIF($E$4:$E$538,$A549&amp;" ضد "&amp;O$542)+COUNTIF($E$4:$E$538,O$542&amp;" ضد "&amp;$A549))</f>
        <v>1</v>
      </c>
      <c r="P549" s="4">
        <f>IF($A549=P$542,"",COUNTIF($E$4:$E$538,$A549&amp;" ضد "&amp;P$542)+COUNTIF($E$4:$E$538,P$542&amp;" ضد "&amp;$A549))</f>
        <v>1</v>
      </c>
      <c r="Q549" s="4">
        <f>IF($A549=Q$542,"",COUNTIF($E$4:$E$538,$A549&amp;" ضد "&amp;Q$542)+COUNTIF($E$4:$E$538,Q$542&amp;" ضد "&amp;$A549))</f>
        <v>1</v>
      </c>
      <c r="R549" s="4">
        <f>IF($A549=R$542,"",COUNTIF($E$4:$E$538,$A549&amp;" ضد "&amp;R$542)+COUNTIF($E$4:$E$538,R$542&amp;" ضد "&amp;$A549))</f>
        <v>1</v>
      </c>
      <c r="S549" s="4">
        <f>IF($A549=S$542,"",COUNTIF($E$4:$E$538,$A549&amp;" ضد "&amp;S$542)+COUNTIF($E$4:$E$538,S$542&amp;" ضد "&amp;$A549))</f>
        <v>1</v>
      </c>
      <c r="T549" s="4">
        <f>IF($A549=T$542,"",COUNTIF($E$4:$E$538,$A549&amp;" ضد "&amp;T$542)+COUNTIF($E$4:$E$538,T$542&amp;" ضد "&amp;$A549))</f>
        <v>1</v>
      </c>
      <c r="U549" s="4">
        <f>IF($A549=U$542,"",COUNTIF($E$4:$E$538,$A549&amp;" ضد "&amp;U$542)+COUNTIF($E$4:$E$538,U$542&amp;" ضد "&amp;$A549))</f>
        <v>1</v>
      </c>
      <c r="V549" s="4">
        <f>IF($A549=V$542,"",COUNTIF($E$4:$E$538,$A549&amp;" ضد "&amp;V$542)+COUNTIF($E$4:$E$538,V$542&amp;" ضد "&amp;$A549))</f>
        <v>0</v>
      </c>
      <c r="W549" s="4">
        <f>IF($A549=W$542,"",COUNTIF($E$4:$E$538,$A549&amp;" ضد "&amp;W$542)+COUNTIF($E$4:$E$538,W$542&amp;" ضد "&amp;$A549))</f>
        <v>0</v>
      </c>
      <c r="X549" s="4">
        <f>IF($A549=X$542,"",COUNTIF($E$4:$E$538,$A549&amp;" ضد "&amp;X$542)+COUNTIF($E$4:$E$538,X$542&amp;" ضد "&amp;$A549))</f>
        <v>0</v>
      </c>
      <c r="Y549" s="4">
        <f>IF($A549=Y$542,"",COUNTIF($E$4:$E$538,$A549&amp;" ضد "&amp;Y$542)+COUNTIF($E$4:$E$538,Y$542&amp;" ضد "&amp;$A549))</f>
        <v>0</v>
      </c>
      <c r="Z549" s="4">
        <f>IF($A549=Z$542,"",COUNTIF($E$4:$E$538,$A549&amp;" ضد "&amp;Z$542)+COUNTIF($E$4:$E$538,Z$542&amp;" ضد "&amp;$A549))</f>
        <v>0</v>
      </c>
      <c r="AA549" s="4">
        <f>IF($A549=AA$542,"",COUNTIF($E$4:$E$538,$A549&amp;" ضد "&amp;AA$542)+COUNTIF($E$4:$E$538,AA$542&amp;" ضد "&amp;$A549))</f>
        <v>0</v>
      </c>
      <c r="AB549" s="4">
        <f>IF($A549=AB$542,"",COUNTIF($E$4:$E$538,$A549&amp;" ضد "&amp;AB$542)+COUNTIF($E$4:$E$538,AB$542&amp;" ضد "&amp;$A549))</f>
        <v>0</v>
      </c>
      <c r="AC549" s="4">
        <f>IF($A549=AC$542,"",COUNTIF($E$4:$E$538,$A549&amp;" ضد "&amp;AC$542)+COUNTIF($E$4:$E$538,AC$542&amp;" ضد "&amp;$A549))</f>
        <v>0</v>
      </c>
      <c r="AD549" s="4">
        <f>IF($A549=AD$542,"",COUNTIF($E$4:$E$538,$A549&amp;" ضد "&amp;AD$542)+COUNTIF($E$4:$E$538,AD$542&amp;" ضد "&amp;$A549))</f>
        <v>0</v>
      </c>
      <c r="AE549" s="4">
        <f>IF($A549=AE$542,"",COUNTIF($E$4:$E$538,$A549&amp;" ضد "&amp;AE$542)+COUNTIF($E$4:$E$538,AE$542&amp;" ضد "&amp;$A549))</f>
        <v>0</v>
      </c>
      <c r="AF549" s="4">
        <f>IF($A549=AF$542,"",COUNTIF($E$4:$E$538,$A549&amp;" ضد "&amp;AF$542)+COUNTIF($E$4:$E$538,AF$542&amp;" ضد "&amp;$A549))</f>
        <v>0</v>
      </c>
      <c r="AG549" s="4">
        <f>IF($A549=AG$542,"",COUNTIF($E$4:$E$538,$A549&amp;" ضد "&amp;AG$542)+COUNTIF($E$4:$E$538,AG$542&amp;" ضد "&amp;$A549))</f>
        <v>0</v>
      </c>
      <c r="AH549" s="4">
        <f>IF($A549=AH$542,"",COUNTIF($E$4:$E$538,$A549&amp;" ضد "&amp;AH$542)+COUNTIF($E$4:$E$538,AH$542&amp;" ضد "&amp;$A549))</f>
        <v>0</v>
      </c>
      <c r="AI549" s="4">
        <f>IF($A549=AI$542,"",COUNTIF($E$4:$E$538,$A549&amp;" ضد "&amp;AI$542)+COUNTIF($E$4:$E$538,AI$542&amp;" ضد "&amp;$A549))</f>
        <v>0</v>
      </c>
      <c r="AJ549" s="4">
        <f>IF($A549=AJ$542,"",COUNTIF($E$4:$E$538,$A549&amp;" ضد "&amp;AJ$542)+COUNTIF($E$4:$E$538,AJ$542&amp;" ضد "&amp;$A549))</f>
        <v>0</v>
      </c>
      <c r="AK549" s="4">
        <f>IF($A549=AK$542,"",COUNTIF($E$4:$E$538,$A549&amp;" ضد "&amp;AK$542)+COUNTIF($E$4:$E$538,AK$542&amp;" ضد "&amp;$A549))</f>
        <v>0</v>
      </c>
      <c r="AL549" s="4">
        <f>IF($A549=AL$542,"",COUNTIF($E$4:$E$538,$A549&amp;" ضد "&amp;AL$542)+COUNTIF($E$4:$E$538,AL$542&amp;" ضد "&amp;$A549))</f>
        <v>0</v>
      </c>
      <c r="AM549" s="4">
        <f>IF($A549=AM$542,"",COUNTIF($E$4:$E$538,$A549&amp;" ضد "&amp;AM$542)+COUNTIF($E$4:$E$538,AM$542&amp;" ضد "&amp;$A549))</f>
        <v>0</v>
      </c>
      <c r="AN549" s="4">
        <f>IF($A549=AN$542,"",COUNTIF($E$4:$E$538,$A549&amp;" ضد "&amp;AN$542)+COUNTIF($E$4:$E$538,AN$542&amp;" ضد "&amp;$A549))</f>
        <v>0</v>
      </c>
      <c r="AO549" s="4">
        <f>IF($A549=AO$542,"",COUNTIF($E$4:$E$538,$A549&amp;" ضد "&amp;AO$542)+COUNTIF($E$4:$E$538,AO$542&amp;" ضد "&amp;$A549))</f>
        <v>0</v>
      </c>
      <c r="AP549" s="4">
        <f>IF($A549=AP$542,"",COUNTIF($E$4:$E$538,$A549&amp;" ضد "&amp;AP$542)+COUNTIF($E$4:$E$538,AP$542&amp;" ضد "&amp;$A549))</f>
        <v>0</v>
      </c>
      <c r="AQ549" s="4">
        <f>IF($A549=AQ$542,"",COUNTIF($E$4:$E$538,$A549&amp;" ضد "&amp;AQ$542)+COUNTIF($E$4:$E$538,AQ$542&amp;" ضد "&amp;$A549))</f>
        <v>0</v>
      </c>
      <c r="AR549" s="4">
        <f>IF($A549=AR$542,"",COUNTIF($E$4:$E$538,$A549&amp;" ضد "&amp;AR$542)+COUNTIF($E$4:$E$538,AR$542&amp;" ضد "&amp;$A549))</f>
        <v>0</v>
      </c>
      <c r="AS549" s="4">
        <f>IF($A549=AS$542,"",COUNTIF($E$4:$E$538,$A549&amp;" ضد "&amp;AS$542)+COUNTIF($E$4:$E$538,AS$542&amp;" ضد "&amp;$A549))</f>
        <v>0</v>
      </c>
      <c r="AT549" s="4">
        <f>IF($A549=AT$542,"",COUNTIF($E$4:$E$538,$A549&amp;" ضد "&amp;AT$542)+COUNTIF($E$4:$E$538,AT$542&amp;" ضد "&amp;$A549))</f>
        <v>0</v>
      </c>
      <c r="AU549" s="4">
        <f>IF($A549=AU$542,"",COUNTIF($E$4:$E$538,$A549&amp;" ضد "&amp;AU$542)+COUNTIF($E$4:$E$538,AU$542&amp;" ضد "&amp;$A549))</f>
        <v>0</v>
      </c>
      <c r="AV549" s="4">
        <f>IF($A549=AV$542,"",COUNTIF($E$4:$E$538,$A549&amp;" ضد "&amp;AV$542)+COUNTIF($E$4:$E$538,AV$542&amp;" ضد "&amp;$A549))</f>
        <v>0</v>
      </c>
      <c r="AW549" s="4">
        <f>IF($A549=AW$542,"",COUNTIF($E$4:$E$538,$A549&amp;" ضد "&amp;AW$542)+COUNTIF($E$4:$E$538,AW$542&amp;" ضد "&amp;$A549))</f>
        <v>0</v>
      </c>
      <c r="AX549" s="4">
        <f>IF($A549=AX$542,"",COUNTIF($E$4:$E$538,$A549&amp;" ضد "&amp;AX$542)+COUNTIF($E$4:$E$538,AX$542&amp;" ضد "&amp;$A549))</f>
        <v>0</v>
      </c>
      <c r="AY549" s="4">
        <f>IF($A549=AY$542,"",COUNTIF($E$4:$E$538,$A549&amp;" ضد "&amp;AY$542)+COUNTIF($E$4:$E$538,AY$542&amp;" ضد "&amp;$A549))</f>
        <v>0</v>
      </c>
      <c r="AZ549" s="4">
        <f>IF($A549=AZ$542,"",COUNTIF($E$4:$E$538,$A549&amp;" ضد "&amp;AZ$542)+COUNTIF($E$4:$E$538,AZ$542&amp;" ضد "&amp;$A549))</f>
        <v>0</v>
      </c>
      <c r="BA549" s="4">
        <f>IF($A549=BA$542,"",COUNTIF($E$4:$E$538,$A549&amp;" ضد "&amp;BA$542)+COUNTIF($E$4:$E$538,BA$542&amp;" ضد "&amp;$A549))</f>
        <v>0</v>
      </c>
      <c r="BB549" s="4">
        <f>IF($A549=BB$542,"",COUNTIF($E$4:$E$538,$A549&amp;" ضد "&amp;BB$542)+COUNTIF($E$4:$E$538,BB$542&amp;" ضد "&amp;$A549))</f>
        <v>0</v>
      </c>
      <c r="BC549" s="4">
        <f>IF($A549=BC$542,"",COUNTIF($E$4:$E$538,$A549&amp;" ضد "&amp;BC$542)+COUNTIF($E$4:$E$538,BC$542&amp;" ضد "&amp;$A549))</f>
        <v>0</v>
      </c>
      <c r="BD549" s="4">
        <f>IF($A549=BD$542,"",COUNTIF($E$4:$E$538,$A549&amp;" ضد "&amp;BD$542)+COUNTIF($E$4:$E$538,BD$542&amp;" ضد "&amp;$A549))</f>
        <v>0</v>
      </c>
      <c r="BE549" s="4">
        <f>IF($A549=BE$542,"",COUNTIF($E$4:$E$538,$A549&amp;" ضد "&amp;BE$542)+COUNTIF($E$4:$E$538,BE$542&amp;" ضد "&amp;$A549))</f>
        <v>0</v>
      </c>
      <c r="BF549" s="4">
        <f>IF($A549=BF$542,"",COUNTIF($E$4:$E$538,$A549&amp;" ضد "&amp;BF$542)+COUNTIF($E$4:$E$538,BF$542&amp;" ضد "&amp;$A549))</f>
        <v>0</v>
      </c>
      <c r="BG549" s="4">
        <f>IF($A549=BG$542,"",COUNTIF($E$4:$E$538,$A549&amp;" ضد "&amp;BG$542)+COUNTIF($E$4:$E$538,BG$542&amp;" ضد "&amp;$A549))</f>
        <v>0</v>
      </c>
    </row>
    <row r="550" spans="1:59" ht="14.5">
      <c r="A550" s="14">
        <v>8</v>
      </c>
      <c r="B550" s="4">
        <f>IF($A550=B$542,"",COUNTIF($E$4:$E$538,$A550&amp;" ضد "&amp;B$542)+COUNTIF($E$4:$E$538,B$542&amp;" ضد "&amp;$A550))</f>
        <v>1</v>
      </c>
      <c r="C550" s="4">
        <f>IF($A550=C$542,"",COUNTIF($E$4:$E$538,$A550&amp;" ضد "&amp;C$542)+COUNTIF($E$4:$E$538,C$542&amp;" ضد "&amp;$A550))</f>
        <v>1</v>
      </c>
      <c r="D550" s="4">
        <f>IF($A550=D$542,"",COUNTIF($E$4:$E$538,$A550&amp;" ضد "&amp;D$542)+COUNTIF($E$4:$E$538,D$542&amp;" ضد "&amp;$A550))</f>
        <v>1</v>
      </c>
      <c r="E550" s="4">
        <f>IF($A550=E$542,"",COUNTIF($E$4:$E$538,$A550&amp;" ضد "&amp;E$542)+COUNTIF($E$4:$E$538,E$542&amp;" ضد "&amp;$A550))</f>
        <v>1</v>
      </c>
      <c r="F550" s="4">
        <f>IF($A550=F$542,"",COUNTIF($E$4:$E$538,$A550&amp;" ضد "&amp;F$542)+COUNTIF($E$4:$E$538,F$542&amp;" ضد "&amp;$A550))</f>
        <v>1</v>
      </c>
      <c r="G550" s="4">
        <f>IF($A550=G$542,"",COUNTIF($E$4:$E$538,$A550&amp;" ضد "&amp;G$542)+COUNTIF($E$4:$E$538,G$542&amp;" ضد "&amp;$A550))</f>
        <v>1</v>
      </c>
      <c r="H550" s="4">
        <f>IF($A550=H$542,"",COUNTIF($E$4:$E$538,$A550&amp;" ضد "&amp;H$542)+COUNTIF($E$4:$E$538,H$542&amp;" ضد "&amp;$A550))</f>
        <v>1</v>
      </c>
      <c r="I550" s="4" t="str">
        <f>IF($A550=I$542,"",COUNTIF($E$4:$E$538,$A550&amp;" ضد "&amp;I$542)+COUNTIF($E$4:$E$538,I$542&amp;" ضد "&amp;$A550))</f>
        <v/>
      </c>
      <c r="J550" s="4">
        <f>IF($A550=J$542,"",COUNTIF($E$4:$E$538,$A550&amp;" ضد "&amp;J$542)+COUNTIF($E$4:$E$538,J$542&amp;" ضد "&amp;$A550))</f>
        <v>1</v>
      </c>
      <c r="K550" s="4">
        <f>IF($A550=K$542,"",COUNTIF($E$4:$E$538,$A550&amp;" ضد "&amp;K$542)+COUNTIF($E$4:$E$538,K$542&amp;" ضد "&amp;$A550))</f>
        <v>1</v>
      </c>
      <c r="L550" s="4">
        <f>IF($A550=L$542,"",COUNTIF($E$4:$E$538,$A550&amp;" ضد "&amp;L$542)+COUNTIF($E$4:$E$538,L$542&amp;" ضد "&amp;$A550))</f>
        <v>1</v>
      </c>
      <c r="M550" s="4">
        <f>IF($A550=M$542,"",COUNTIF($E$4:$E$538,$A550&amp;" ضد "&amp;M$542)+COUNTIF($E$4:$E$538,M$542&amp;" ضد "&amp;$A550))</f>
        <v>1</v>
      </c>
      <c r="N550" s="4">
        <f>IF($A550=N$542,"",COUNTIF($E$4:$E$538,$A550&amp;" ضد "&amp;N$542)+COUNTIF($E$4:$E$538,N$542&amp;" ضد "&amp;$A550))</f>
        <v>1</v>
      </c>
      <c r="O550" s="4">
        <f>IF($A550=O$542,"",COUNTIF($E$4:$E$538,$A550&amp;" ضد "&amp;O$542)+COUNTIF($E$4:$E$538,O$542&amp;" ضد "&amp;$A550))</f>
        <v>1</v>
      </c>
      <c r="P550" s="4">
        <f>IF($A550=P$542,"",COUNTIF($E$4:$E$538,$A550&amp;" ضد "&amp;P$542)+COUNTIF($E$4:$E$538,P$542&amp;" ضد "&amp;$A550))</f>
        <v>1</v>
      </c>
      <c r="Q550" s="4">
        <f>IF($A550=Q$542,"",COUNTIF($E$4:$E$538,$A550&amp;" ضد "&amp;Q$542)+COUNTIF($E$4:$E$538,Q$542&amp;" ضد "&amp;$A550))</f>
        <v>1</v>
      </c>
      <c r="R550" s="4">
        <f>IF($A550=R$542,"",COUNTIF($E$4:$E$538,$A550&amp;" ضد "&amp;R$542)+COUNTIF($E$4:$E$538,R$542&amp;" ضد "&amp;$A550))</f>
        <v>1</v>
      </c>
      <c r="S550" s="4">
        <f>IF($A550=S$542,"",COUNTIF($E$4:$E$538,$A550&amp;" ضد "&amp;S$542)+COUNTIF($E$4:$E$538,S$542&amp;" ضد "&amp;$A550))</f>
        <v>1</v>
      </c>
      <c r="T550" s="4">
        <f>IF($A550=T$542,"",COUNTIF($E$4:$E$538,$A550&amp;" ضد "&amp;T$542)+COUNTIF($E$4:$E$538,T$542&amp;" ضد "&amp;$A550))</f>
        <v>1</v>
      </c>
      <c r="U550" s="4">
        <f>IF($A550=U$542,"",COUNTIF($E$4:$E$538,$A550&amp;" ضد "&amp;U$542)+COUNTIF($E$4:$E$538,U$542&amp;" ضد "&amp;$A550))</f>
        <v>1</v>
      </c>
      <c r="V550" s="4">
        <f>IF($A550=V$542,"",COUNTIF($E$4:$E$538,$A550&amp;" ضد "&amp;V$542)+COUNTIF($E$4:$E$538,V$542&amp;" ضد "&amp;$A550))</f>
        <v>0</v>
      </c>
      <c r="W550" s="4">
        <f>IF($A550=W$542,"",COUNTIF($E$4:$E$538,$A550&amp;" ضد "&amp;W$542)+COUNTIF($E$4:$E$538,W$542&amp;" ضد "&amp;$A550))</f>
        <v>0</v>
      </c>
      <c r="X550" s="4">
        <f>IF($A550=X$542,"",COUNTIF($E$4:$E$538,$A550&amp;" ضد "&amp;X$542)+COUNTIF($E$4:$E$538,X$542&amp;" ضد "&amp;$A550))</f>
        <v>0</v>
      </c>
      <c r="Y550" s="4">
        <f>IF($A550=Y$542,"",COUNTIF($E$4:$E$538,$A550&amp;" ضد "&amp;Y$542)+COUNTIF($E$4:$E$538,Y$542&amp;" ضد "&amp;$A550))</f>
        <v>0</v>
      </c>
      <c r="Z550" s="4">
        <f>IF($A550=Z$542,"",COUNTIF($E$4:$E$538,$A550&amp;" ضد "&amp;Z$542)+COUNTIF($E$4:$E$538,Z$542&amp;" ضد "&amp;$A550))</f>
        <v>0</v>
      </c>
      <c r="AA550" s="4">
        <f>IF($A550=AA$542,"",COUNTIF($E$4:$E$538,$A550&amp;" ضد "&amp;AA$542)+COUNTIF($E$4:$E$538,AA$542&amp;" ضد "&amp;$A550))</f>
        <v>0</v>
      </c>
      <c r="AB550" s="4">
        <f>IF($A550=AB$542,"",COUNTIF($E$4:$E$538,$A550&amp;" ضد "&amp;AB$542)+COUNTIF($E$4:$E$538,AB$542&amp;" ضد "&amp;$A550))</f>
        <v>0</v>
      </c>
      <c r="AC550" s="4">
        <f>IF($A550=AC$542,"",COUNTIF($E$4:$E$538,$A550&amp;" ضد "&amp;AC$542)+COUNTIF($E$4:$E$538,AC$542&amp;" ضد "&amp;$A550))</f>
        <v>0</v>
      </c>
      <c r="AD550" s="4">
        <f>IF($A550=AD$542,"",COUNTIF($E$4:$E$538,$A550&amp;" ضد "&amp;AD$542)+COUNTIF($E$4:$E$538,AD$542&amp;" ضد "&amp;$A550))</f>
        <v>0</v>
      </c>
      <c r="AE550" s="4">
        <f>IF($A550=AE$542,"",COUNTIF($E$4:$E$538,$A550&amp;" ضد "&amp;AE$542)+COUNTIF($E$4:$E$538,AE$542&amp;" ضد "&amp;$A550))</f>
        <v>0</v>
      </c>
      <c r="AF550" s="4">
        <f>IF($A550=AF$542,"",COUNTIF($E$4:$E$538,$A550&amp;" ضد "&amp;AF$542)+COUNTIF($E$4:$E$538,AF$542&amp;" ضد "&amp;$A550))</f>
        <v>0</v>
      </c>
      <c r="AG550" s="4">
        <f>IF($A550=AG$542,"",COUNTIF($E$4:$E$538,$A550&amp;" ضد "&amp;AG$542)+COUNTIF($E$4:$E$538,AG$542&amp;" ضد "&amp;$A550))</f>
        <v>0</v>
      </c>
      <c r="AH550" s="4">
        <f>IF($A550=AH$542,"",COUNTIF($E$4:$E$538,$A550&amp;" ضد "&amp;AH$542)+COUNTIF($E$4:$E$538,AH$542&amp;" ضد "&amp;$A550))</f>
        <v>0</v>
      </c>
      <c r="AI550" s="4">
        <f>IF($A550=AI$542,"",COUNTIF($E$4:$E$538,$A550&amp;" ضد "&amp;AI$542)+COUNTIF($E$4:$E$538,AI$542&amp;" ضد "&amp;$A550))</f>
        <v>0</v>
      </c>
      <c r="AJ550" s="4">
        <f>IF($A550=AJ$542,"",COUNTIF($E$4:$E$538,$A550&amp;" ضد "&amp;AJ$542)+COUNTIF($E$4:$E$538,AJ$542&amp;" ضد "&amp;$A550))</f>
        <v>0</v>
      </c>
      <c r="AK550" s="4">
        <f>IF($A550=AK$542,"",COUNTIF($E$4:$E$538,$A550&amp;" ضد "&amp;AK$542)+COUNTIF($E$4:$E$538,AK$542&amp;" ضد "&amp;$A550))</f>
        <v>0</v>
      </c>
      <c r="AL550" s="4">
        <f>IF($A550=AL$542,"",COUNTIF($E$4:$E$538,$A550&amp;" ضد "&amp;AL$542)+COUNTIF($E$4:$E$538,AL$542&amp;" ضد "&amp;$A550))</f>
        <v>0</v>
      </c>
      <c r="AM550" s="4">
        <f>IF($A550=AM$542,"",COUNTIF($E$4:$E$538,$A550&amp;" ضد "&amp;AM$542)+COUNTIF($E$4:$E$538,AM$542&amp;" ضد "&amp;$A550))</f>
        <v>0</v>
      </c>
      <c r="AN550" s="4">
        <f>IF($A550=AN$542,"",COUNTIF($E$4:$E$538,$A550&amp;" ضد "&amp;AN$542)+COUNTIF($E$4:$E$538,AN$542&amp;" ضد "&amp;$A550))</f>
        <v>0</v>
      </c>
      <c r="AO550" s="4">
        <f>IF($A550=AO$542,"",COUNTIF($E$4:$E$538,$A550&amp;" ضد "&amp;AO$542)+COUNTIF($E$4:$E$538,AO$542&amp;" ضد "&amp;$A550))</f>
        <v>0</v>
      </c>
      <c r="AP550" s="4">
        <f>IF($A550=AP$542,"",COUNTIF($E$4:$E$538,$A550&amp;" ضد "&amp;AP$542)+COUNTIF($E$4:$E$538,AP$542&amp;" ضد "&amp;$A550))</f>
        <v>0</v>
      </c>
      <c r="AQ550" s="4">
        <f>IF($A550=AQ$542,"",COUNTIF($E$4:$E$538,$A550&amp;" ضد "&amp;AQ$542)+COUNTIF($E$4:$E$538,AQ$542&amp;" ضد "&amp;$A550))</f>
        <v>0</v>
      </c>
      <c r="AR550" s="4">
        <f>IF($A550=AR$542,"",COUNTIF($E$4:$E$538,$A550&amp;" ضد "&amp;AR$542)+COUNTIF($E$4:$E$538,AR$542&amp;" ضد "&amp;$A550))</f>
        <v>0</v>
      </c>
      <c r="AS550" s="4">
        <f>IF($A550=AS$542,"",COUNTIF($E$4:$E$538,$A550&amp;" ضد "&amp;AS$542)+COUNTIF($E$4:$E$538,AS$542&amp;" ضد "&amp;$A550))</f>
        <v>0</v>
      </c>
      <c r="AT550" s="4">
        <f>IF($A550=AT$542,"",COUNTIF($E$4:$E$538,$A550&amp;" ضد "&amp;AT$542)+COUNTIF($E$4:$E$538,AT$542&amp;" ضد "&amp;$A550))</f>
        <v>0</v>
      </c>
      <c r="AU550" s="4">
        <f>IF($A550=AU$542,"",COUNTIF($E$4:$E$538,$A550&amp;" ضد "&amp;AU$542)+COUNTIF($E$4:$E$538,AU$542&amp;" ضد "&amp;$A550))</f>
        <v>0</v>
      </c>
      <c r="AV550" s="4">
        <f>IF($A550=AV$542,"",COUNTIF($E$4:$E$538,$A550&amp;" ضد "&amp;AV$542)+COUNTIF($E$4:$E$538,AV$542&amp;" ضد "&amp;$A550))</f>
        <v>0</v>
      </c>
      <c r="AW550" s="4">
        <f>IF($A550=AW$542,"",COUNTIF($E$4:$E$538,$A550&amp;" ضد "&amp;AW$542)+COUNTIF($E$4:$E$538,AW$542&amp;" ضد "&amp;$A550))</f>
        <v>0</v>
      </c>
      <c r="AX550" s="4">
        <f>IF($A550=AX$542,"",COUNTIF($E$4:$E$538,$A550&amp;" ضد "&amp;AX$542)+COUNTIF($E$4:$E$538,AX$542&amp;" ضد "&amp;$A550))</f>
        <v>0</v>
      </c>
      <c r="AY550" s="4">
        <f>IF($A550=AY$542,"",COUNTIF($E$4:$E$538,$A550&amp;" ضد "&amp;AY$542)+COUNTIF($E$4:$E$538,AY$542&amp;" ضد "&amp;$A550))</f>
        <v>0</v>
      </c>
      <c r="AZ550" s="4">
        <f>IF($A550=AZ$542,"",COUNTIF($E$4:$E$538,$A550&amp;" ضد "&amp;AZ$542)+COUNTIF($E$4:$E$538,AZ$542&amp;" ضد "&amp;$A550))</f>
        <v>0</v>
      </c>
      <c r="BA550" s="4">
        <f>IF($A550=BA$542,"",COUNTIF($E$4:$E$538,$A550&amp;" ضد "&amp;BA$542)+COUNTIF($E$4:$E$538,BA$542&amp;" ضد "&amp;$A550))</f>
        <v>0</v>
      </c>
      <c r="BB550" s="4">
        <f>IF($A550=BB$542,"",COUNTIF($E$4:$E$538,$A550&amp;" ضد "&amp;BB$542)+COUNTIF($E$4:$E$538,BB$542&amp;" ضد "&amp;$A550))</f>
        <v>0</v>
      </c>
      <c r="BC550" s="4">
        <f>IF($A550=BC$542,"",COUNTIF($E$4:$E$538,$A550&amp;" ضد "&amp;BC$542)+COUNTIF($E$4:$E$538,BC$542&amp;" ضد "&amp;$A550))</f>
        <v>0</v>
      </c>
      <c r="BD550" s="4">
        <f>IF($A550=BD$542,"",COUNTIF($E$4:$E$538,$A550&amp;" ضد "&amp;BD$542)+COUNTIF($E$4:$E$538,BD$542&amp;" ضد "&amp;$A550))</f>
        <v>0</v>
      </c>
      <c r="BE550" s="4">
        <f>IF($A550=BE$542,"",COUNTIF($E$4:$E$538,$A550&amp;" ضد "&amp;BE$542)+COUNTIF($E$4:$E$538,BE$542&amp;" ضد "&amp;$A550))</f>
        <v>0</v>
      </c>
      <c r="BF550" s="4">
        <f>IF($A550=BF$542,"",COUNTIF($E$4:$E$538,$A550&amp;" ضد "&amp;BF$542)+COUNTIF($E$4:$E$538,BF$542&amp;" ضد "&amp;$A550))</f>
        <v>0</v>
      </c>
      <c r="BG550" s="4">
        <f>IF($A550=BG$542,"",COUNTIF($E$4:$E$538,$A550&amp;" ضد "&amp;BG$542)+COUNTIF($E$4:$E$538,BG$542&amp;" ضد "&amp;$A550))</f>
        <v>0</v>
      </c>
    </row>
    <row r="551" spans="1:59" ht="14.5">
      <c r="A551" s="14">
        <v>9</v>
      </c>
      <c r="B551" s="4">
        <f>IF($A551=B$542,"",COUNTIF($E$4:$E$538,$A551&amp;" ضد "&amp;B$542)+COUNTIF($E$4:$E$538,B$542&amp;" ضد "&amp;$A551))</f>
        <v>1</v>
      </c>
      <c r="C551" s="4">
        <f>IF($A551=C$542,"",COUNTIF($E$4:$E$538,$A551&amp;" ضد "&amp;C$542)+COUNTIF($E$4:$E$538,C$542&amp;" ضد "&amp;$A551))</f>
        <v>1</v>
      </c>
      <c r="D551" s="4">
        <f>IF($A551=D$542,"",COUNTIF($E$4:$E$538,$A551&amp;" ضد "&amp;D$542)+COUNTIF($E$4:$E$538,D$542&amp;" ضد "&amp;$A551))</f>
        <v>1</v>
      </c>
      <c r="E551" s="4">
        <f>IF($A551=E$542,"",COUNTIF($E$4:$E$538,$A551&amp;" ضد "&amp;E$542)+COUNTIF($E$4:$E$538,E$542&amp;" ضد "&amp;$A551))</f>
        <v>1</v>
      </c>
      <c r="F551" s="4">
        <f>IF($A551=F$542,"",COUNTIF($E$4:$E$538,$A551&amp;" ضد "&amp;F$542)+COUNTIF($E$4:$E$538,F$542&amp;" ضد "&amp;$A551))</f>
        <v>1</v>
      </c>
      <c r="G551" s="4">
        <f>IF($A551=G$542,"",COUNTIF($E$4:$E$538,$A551&amp;" ضد "&amp;G$542)+COUNTIF($E$4:$E$538,G$542&amp;" ضد "&amp;$A551))</f>
        <v>1</v>
      </c>
      <c r="H551" s="4">
        <f>IF($A551=H$542,"",COUNTIF($E$4:$E$538,$A551&amp;" ضد "&amp;H$542)+COUNTIF($E$4:$E$538,H$542&amp;" ضد "&amp;$A551))</f>
        <v>1</v>
      </c>
      <c r="I551" s="4">
        <f>IF($A551=I$542,"",COUNTIF($E$4:$E$538,$A551&amp;" ضد "&amp;I$542)+COUNTIF($E$4:$E$538,I$542&amp;" ضد "&amp;$A551))</f>
        <v>1</v>
      </c>
      <c r="J551" s="4" t="str">
        <f>IF($A551=J$542,"",COUNTIF($E$4:$E$538,$A551&amp;" ضد "&amp;J$542)+COUNTIF($E$4:$E$538,J$542&amp;" ضد "&amp;$A551))</f>
        <v/>
      </c>
      <c r="K551" s="4">
        <f>IF($A551=K$542,"",COUNTIF($E$4:$E$538,$A551&amp;" ضد "&amp;K$542)+COUNTIF($E$4:$E$538,K$542&amp;" ضد "&amp;$A551))</f>
        <v>1</v>
      </c>
      <c r="L551" s="4">
        <f>IF($A551=L$542,"",COUNTIF($E$4:$E$538,$A551&amp;" ضد "&amp;L$542)+COUNTIF($E$4:$E$538,L$542&amp;" ضد "&amp;$A551))</f>
        <v>1</v>
      </c>
      <c r="M551" s="4">
        <f>IF($A551=M$542,"",COUNTIF($E$4:$E$538,$A551&amp;" ضد "&amp;M$542)+COUNTIF($E$4:$E$538,M$542&amp;" ضد "&amp;$A551))</f>
        <v>1</v>
      </c>
      <c r="N551" s="4">
        <f>IF($A551=N$542,"",COUNTIF($E$4:$E$538,$A551&amp;" ضد "&amp;N$542)+COUNTIF($E$4:$E$538,N$542&amp;" ضد "&amp;$A551))</f>
        <v>1</v>
      </c>
      <c r="O551" s="4">
        <f>IF($A551=O$542,"",COUNTIF($E$4:$E$538,$A551&amp;" ضد "&amp;O$542)+COUNTIF($E$4:$E$538,O$542&amp;" ضد "&amp;$A551))</f>
        <v>1</v>
      </c>
      <c r="P551" s="4">
        <f>IF($A551=P$542,"",COUNTIF($E$4:$E$538,$A551&amp;" ضد "&amp;P$542)+COUNTIF($E$4:$E$538,P$542&amp;" ضد "&amp;$A551))</f>
        <v>1</v>
      </c>
      <c r="Q551" s="4">
        <f>IF($A551=Q$542,"",COUNTIF($E$4:$E$538,$A551&amp;" ضد "&amp;Q$542)+COUNTIF($E$4:$E$538,Q$542&amp;" ضد "&amp;$A551))</f>
        <v>1</v>
      </c>
      <c r="R551" s="4">
        <f>IF($A551=R$542,"",COUNTIF($E$4:$E$538,$A551&amp;" ضد "&amp;R$542)+COUNTIF($E$4:$E$538,R$542&amp;" ضد "&amp;$A551))</f>
        <v>1</v>
      </c>
      <c r="S551" s="4">
        <f>IF($A551=S$542,"",COUNTIF($E$4:$E$538,$A551&amp;" ضد "&amp;S$542)+COUNTIF($E$4:$E$538,S$542&amp;" ضد "&amp;$A551))</f>
        <v>1</v>
      </c>
      <c r="T551" s="4">
        <f>IF($A551=T$542,"",COUNTIF($E$4:$E$538,$A551&amp;" ضد "&amp;T$542)+COUNTIF($E$4:$E$538,T$542&amp;" ضد "&amp;$A551))</f>
        <v>1</v>
      </c>
      <c r="U551" s="4">
        <f>IF($A551=U$542,"",COUNTIF($E$4:$E$538,$A551&amp;" ضد "&amp;U$542)+COUNTIF($E$4:$E$538,U$542&amp;" ضد "&amp;$A551))</f>
        <v>1</v>
      </c>
      <c r="V551" s="4">
        <f>IF($A551=V$542,"",COUNTIF($E$4:$E$538,$A551&amp;" ضد "&amp;V$542)+COUNTIF($E$4:$E$538,V$542&amp;" ضد "&amp;$A551))</f>
        <v>0</v>
      </c>
      <c r="W551" s="4">
        <f>IF($A551=W$542,"",COUNTIF($E$4:$E$538,$A551&amp;" ضد "&amp;W$542)+COUNTIF($E$4:$E$538,W$542&amp;" ضد "&amp;$A551))</f>
        <v>0</v>
      </c>
      <c r="X551" s="4">
        <f>IF($A551=X$542,"",COUNTIF($E$4:$E$538,$A551&amp;" ضد "&amp;X$542)+COUNTIF($E$4:$E$538,X$542&amp;" ضد "&amp;$A551))</f>
        <v>0</v>
      </c>
      <c r="Y551" s="4">
        <f>IF($A551=Y$542,"",COUNTIF($E$4:$E$538,$A551&amp;" ضد "&amp;Y$542)+COUNTIF($E$4:$E$538,Y$542&amp;" ضد "&amp;$A551))</f>
        <v>0</v>
      </c>
      <c r="Z551" s="4">
        <f>IF($A551=Z$542,"",COUNTIF($E$4:$E$538,$A551&amp;" ضد "&amp;Z$542)+COUNTIF($E$4:$E$538,Z$542&amp;" ضد "&amp;$A551))</f>
        <v>0</v>
      </c>
      <c r="AA551" s="4">
        <f>IF($A551=AA$542,"",COUNTIF($E$4:$E$538,$A551&amp;" ضد "&amp;AA$542)+COUNTIF($E$4:$E$538,AA$542&amp;" ضد "&amp;$A551))</f>
        <v>0</v>
      </c>
      <c r="AB551" s="4">
        <f>IF($A551=AB$542,"",COUNTIF($E$4:$E$538,$A551&amp;" ضد "&amp;AB$542)+COUNTIF($E$4:$E$538,AB$542&amp;" ضد "&amp;$A551))</f>
        <v>0</v>
      </c>
      <c r="AC551" s="4">
        <f>IF($A551=AC$542,"",COUNTIF($E$4:$E$538,$A551&amp;" ضد "&amp;AC$542)+COUNTIF($E$4:$E$538,AC$542&amp;" ضد "&amp;$A551))</f>
        <v>0</v>
      </c>
      <c r="AD551" s="4">
        <f>IF($A551=AD$542,"",COUNTIF($E$4:$E$538,$A551&amp;" ضد "&amp;AD$542)+COUNTIF($E$4:$E$538,AD$542&amp;" ضد "&amp;$A551))</f>
        <v>0</v>
      </c>
      <c r="AE551" s="4">
        <f>IF($A551=AE$542,"",COUNTIF($E$4:$E$538,$A551&amp;" ضد "&amp;AE$542)+COUNTIF($E$4:$E$538,AE$542&amp;" ضد "&amp;$A551))</f>
        <v>0</v>
      </c>
      <c r="AF551" s="4">
        <f>IF($A551=AF$542,"",COUNTIF($E$4:$E$538,$A551&amp;" ضد "&amp;AF$542)+COUNTIF($E$4:$E$538,AF$542&amp;" ضد "&amp;$A551))</f>
        <v>0</v>
      </c>
      <c r="AG551" s="4">
        <f>IF($A551=AG$542,"",COUNTIF($E$4:$E$538,$A551&amp;" ضد "&amp;AG$542)+COUNTIF($E$4:$E$538,AG$542&amp;" ضد "&amp;$A551))</f>
        <v>0</v>
      </c>
      <c r="AH551" s="4">
        <f>IF($A551=AH$542,"",COUNTIF($E$4:$E$538,$A551&amp;" ضد "&amp;AH$542)+COUNTIF($E$4:$E$538,AH$542&amp;" ضد "&amp;$A551))</f>
        <v>0</v>
      </c>
      <c r="AI551" s="4">
        <f>IF($A551=AI$542,"",COUNTIF($E$4:$E$538,$A551&amp;" ضد "&amp;AI$542)+COUNTIF($E$4:$E$538,AI$542&amp;" ضد "&amp;$A551))</f>
        <v>0</v>
      </c>
      <c r="AJ551" s="4">
        <f>IF($A551=AJ$542,"",COUNTIF($E$4:$E$538,$A551&amp;" ضد "&amp;AJ$542)+COUNTIF($E$4:$E$538,AJ$542&amp;" ضد "&amp;$A551))</f>
        <v>0</v>
      </c>
      <c r="AK551" s="4">
        <f>IF($A551=AK$542,"",COUNTIF($E$4:$E$538,$A551&amp;" ضد "&amp;AK$542)+COUNTIF($E$4:$E$538,AK$542&amp;" ضد "&amp;$A551))</f>
        <v>0</v>
      </c>
      <c r="AL551" s="4">
        <f>IF($A551=AL$542,"",COUNTIF($E$4:$E$538,$A551&amp;" ضد "&amp;AL$542)+COUNTIF($E$4:$E$538,AL$542&amp;" ضد "&amp;$A551))</f>
        <v>0</v>
      </c>
      <c r="AM551" s="4">
        <f>IF($A551=AM$542,"",COUNTIF($E$4:$E$538,$A551&amp;" ضد "&amp;AM$542)+COUNTIF($E$4:$E$538,AM$542&amp;" ضد "&amp;$A551))</f>
        <v>0</v>
      </c>
      <c r="AN551" s="4">
        <f>IF($A551=AN$542,"",COUNTIF($E$4:$E$538,$A551&amp;" ضد "&amp;AN$542)+COUNTIF($E$4:$E$538,AN$542&amp;" ضد "&amp;$A551))</f>
        <v>0</v>
      </c>
      <c r="AO551" s="4">
        <f>IF($A551=AO$542,"",COUNTIF($E$4:$E$538,$A551&amp;" ضد "&amp;AO$542)+COUNTIF($E$4:$E$538,AO$542&amp;" ضد "&amp;$A551))</f>
        <v>0</v>
      </c>
      <c r="AP551" s="4">
        <f>IF($A551=AP$542,"",COUNTIF($E$4:$E$538,$A551&amp;" ضد "&amp;AP$542)+COUNTIF($E$4:$E$538,AP$542&amp;" ضد "&amp;$A551))</f>
        <v>0</v>
      </c>
      <c r="AQ551" s="4">
        <f>IF($A551=AQ$542,"",COUNTIF($E$4:$E$538,$A551&amp;" ضد "&amp;AQ$542)+COUNTIF($E$4:$E$538,AQ$542&amp;" ضد "&amp;$A551))</f>
        <v>0</v>
      </c>
      <c r="AR551" s="4">
        <f>IF($A551=AR$542,"",COUNTIF($E$4:$E$538,$A551&amp;" ضد "&amp;AR$542)+COUNTIF($E$4:$E$538,AR$542&amp;" ضد "&amp;$A551))</f>
        <v>0</v>
      </c>
      <c r="AS551" s="4">
        <f>IF($A551=AS$542,"",COUNTIF($E$4:$E$538,$A551&amp;" ضد "&amp;AS$542)+COUNTIF($E$4:$E$538,AS$542&amp;" ضد "&amp;$A551))</f>
        <v>0</v>
      </c>
      <c r="AT551" s="4">
        <f>IF($A551=AT$542,"",COUNTIF($E$4:$E$538,$A551&amp;" ضد "&amp;AT$542)+COUNTIF($E$4:$E$538,AT$542&amp;" ضد "&amp;$A551))</f>
        <v>0</v>
      </c>
      <c r="AU551" s="4">
        <f>IF($A551=AU$542,"",COUNTIF($E$4:$E$538,$A551&amp;" ضد "&amp;AU$542)+COUNTIF($E$4:$E$538,AU$542&amp;" ضد "&amp;$A551))</f>
        <v>0</v>
      </c>
      <c r="AV551" s="4">
        <f>IF($A551=AV$542,"",COUNTIF($E$4:$E$538,$A551&amp;" ضد "&amp;AV$542)+COUNTIF($E$4:$E$538,AV$542&amp;" ضد "&amp;$A551))</f>
        <v>0</v>
      </c>
      <c r="AW551" s="4">
        <f>IF($A551=AW$542,"",COUNTIF($E$4:$E$538,$A551&amp;" ضد "&amp;AW$542)+COUNTIF($E$4:$E$538,AW$542&amp;" ضد "&amp;$A551))</f>
        <v>0</v>
      </c>
      <c r="AX551" s="4">
        <f>IF($A551=AX$542,"",COUNTIF($E$4:$E$538,$A551&amp;" ضد "&amp;AX$542)+COUNTIF($E$4:$E$538,AX$542&amp;" ضد "&amp;$A551))</f>
        <v>0</v>
      </c>
      <c r="AY551" s="4">
        <f>IF($A551=AY$542,"",COUNTIF($E$4:$E$538,$A551&amp;" ضد "&amp;AY$542)+COUNTIF($E$4:$E$538,AY$542&amp;" ضد "&amp;$A551))</f>
        <v>0</v>
      </c>
      <c r="AZ551" s="4">
        <f>IF($A551=AZ$542,"",COUNTIF($E$4:$E$538,$A551&amp;" ضد "&amp;AZ$542)+COUNTIF($E$4:$E$538,AZ$542&amp;" ضد "&amp;$A551))</f>
        <v>0</v>
      </c>
      <c r="BA551" s="4">
        <f>IF($A551=BA$542,"",COUNTIF($E$4:$E$538,$A551&amp;" ضد "&amp;BA$542)+COUNTIF($E$4:$E$538,BA$542&amp;" ضد "&amp;$A551))</f>
        <v>0</v>
      </c>
      <c r="BB551" s="4">
        <f>IF($A551=BB$542,"",COUNTIF($E$4:$E$538,$A551&amp;" ضد "&amp;BB$542)+COUNTIF($E$4:$E$538,BB$542&amp;" ضد "&amp;$A551))</f>
        <v>0</v>
      </c>
      <c r="BC551" s="4">
        <f>IF($A551=BC$542,"",COUNTIF($E$4:$E$538,$A551&amp;" ضد "&amp;BC$542)+COUNTIF($E$4:$E$538,BC$542&amp;" ضد "&amp;$A551))</f>
        <v>0</v>
      </c>
      <c r="BD551" s="4">
        <f>IF($A551=BD$542,"",COUNTIF($E$4:$E$538,$A551&amp;" ضد "&amp;BD$542)+COUNTIF($E$4:$E$538,BD$542&amp;" ضد "&amp;$A551))</f>
        <v>0</v>
      </c>
      <c r="BE551" s="4">
        <f>IF($A551=BE$542,"",COUNTIF($E$4:$E$538,$A551&amp;" ضد "&amp;BE$542)+COUNTIF($E$4:$E$538,BE$542&amp;" ضد "&amp;$A551))</f>
        <v>0</v>
      </c>
      <c r="BF551" s="4">
        <f>IF($A551=BF$542,"",COUNTIF($E$4:$E$538,$A551&amp;" ضد "&amp;BF$542)+COUNTIF($E$4:$E$538,BF$542&amp;" ضد "&amp;$A551))</f>
        <v>0</v>
      </c>
      <c r="BG551" s="4">
        <f>IF($A551=BG$542,"",COUNTIF($E$4:$E$538,$A551&amp;" ضد "&amp;BG$542)+COUNTIF($E$4:$E$538,BG$542&amp;" ضد "&amp;$A551))</f>
        <v>0</v>
      </c>
    </row>
    <row r="552" spans="1:59" ht="14.5">
      <c r="A552" s="14">
        <v>10</v>
      </c>
      <c r="B552" s="4">
        <f>IF($A552=B$542,"",COUNTIF($E$4:$E$538,$A552&amp;" ضد "&amp;B$542)+COUNTIF($E$4:$E$538,B$542&amp;" ضد "&amp;$A552))</f>
        <v>1</v>
      </c>
      <c r="C552" s="4">
        <f>IF($A552=C$542,"",COUNTIF($E$4:$E$538,$A552&amp;" ضد "&amp;C$542)+COUNTIF($E$4:$E$538,C$542&amp;" ضد "&amp;$A552))</f>
        <v>1</v>
      </c>
      <c r="D552" s="4">
        <f>IF($A552=D$542,"",COUNTIF($E$4:$E$538,$A552&amp;" ضد "&amp;D$542)+COUNTIF($E$4:$E$538,D$542&amp;" ضد "&amp;$A552))</f>
        <v>1</v>
      </c>
      <c r="E552" s="4">
        <f>IF($A552=E$542,"",COUNTIF($E$4:$E$538,$A552&amp;" ضد "&amp;E$542)+COUNTIF($E$4:$E$538,E$542&amp;" ضد "&amp;$A552))</f>
        <v>1</v>
      </c>
      <c r="F552" s="4">
        <f>IF($A552=F$542,"",COUNTIF($E$4:$E$538,$A552&amp;" ضد "&amp;F$542)+COUNTIF($E$4:$E$538,F$542&amp;" ضد "&amp;$A552))</f>
        <v>1</v>
      </c>
      <c r="G552" s="4">
        <f>IF($A552=G$542,"",COUNTIF($E$4:$E$538,$A552&amp;" ضد "&amp;G$542)+COUNTIF($E$4:$E$538,G$542&amp;" ضد "&amp;$A552))</f>
        <v>1</v>
      </c>
      <c r="H552" s="4">
        <f>IF($A552=H$542,"",COUNTIF($E$4:$E$538,$A552&amp;" ضد "&amp;H$542)+COUNTIF($E$4:$E$538,H$542&amp;" ضد "&amp;$A552))</f>
        <v>1</v>
      </c>
      <c r="I552" s="4">
        <f>IF($A552=I$542,"",COUNTIF($E$4:$E$538,$A552&amp;" ضد "&amp;I$542)+COUNTIF($E$4:$E$538,I$542&amp;" ضد "&amp;$A552))</f>
        <v>1</v>
      </c>
      <c r="J552" s="4">
        <f>IF($A552=J$542,"",COUNTIF($E$4:$E$538,$A552&amp;" ضد "&amp;J$542)+COUNTIF($E$4:$E$538,J$542&amp;" ضد "&amp;$A552))</f>
        <v>1</v>
      </c>
      <c r="K552" s="4" t="str">
        <f>IF($A552=K$542,"",COUNTIF($E$4:$E$538,$A552&amp;" ضد "&amp;K$542)+COUNTIF($E$4:$E$538,K$542&amp;" ضد "&amp;$A552))</f>
        <v/>
      </c>
      <c r="L552" s="4">
        <f>IF($A552=L$542,"",COUNTIF($E$4:$E$538,$A552&amp;" ضد "&amp;L$542)+COUNTIF($E$4:$E$538,L$542&amp;" ضد "&amp;$A552))</f>
        <v>1</v>
      </c>
      <c r="M552" s="4">
        <f>IF($A552=M$542,"",COUNTIF($E$4:$E$538,$A552&amp;" ضد "&amp;M$542)+COUNTIF($E$4:$E$538,M$542&amp;" ضد "&amp;$A552))</f>
        <v>1</v>
      </c>
      <c r="N552" s="4">
        <f>IF($A552=N$542,"",COUNTIF($E$4:$E$538,$A552&amp;" ضد "&amp;N$542)+COUNTIF($E$4:$E$538,N$542&amp;" ضد "&amp;$A552))</f>
        <v>1</v>
      </c>
      <c r="O552" s="4">
        <f>IF($A552=O$542,"",COUNTIF($E$4:$E$538,$A552&amp;" ضد "&amp;O$542)+COUNTIF($E$4:$E$538,O$542&amp;" ضد "&amp;$A552))</f>
        <v>1</v>
      </c>
      <c r="P552" s="4">
        <f>IF($A552=P$542,"",COUNTIF($E$4:$E$538,$A552&amp;" ضد "&amp;P$542)+COUNTIF($E$4:$E$538,P$542&amp;" ضد "&amp;$A552))</f>
        <v>1</v>
      </c>
      <c r="Q552" s="4">
        <f>IF($A552=Q$542,"",COUNTIF($E$4:$E$538,$A552&amp;" ضد "&amp;Q$542)+COUNTIF($E$4:$E$538,Q$542&amp;" ضد "&amp;$A552))</f>
        <v>1</v>
      </c>
      <c r="R552" s="4">
        <f>IF($A552=R$542,"",COUNTIF($E$4:$E$538,$A552&amp;" ضد "&amp;R$542)+COUNTIF($E$4:$E$538,R$542&amp;" ضد "&amp;$A552))</f>
        <v>1</v>
      </c>
      <c r="S552" s="4">
        <f>IF($A552=S$542,"",COUNTIF($E$4:$E$538,$A552&amp;" ضد "&amp;S$542)+COUNTIF($E$4:$E$538,S$542&amp;" ضد "&amp;$A552))</f>
        <v>1</v>
      </c>
      <c r="T552" s="4">
        <f>IF($A552=T$542,"",COUNTIF($E$4:$E$538,$A552&amp;" ضد "&amp;T$542)+COUNTIF($E$4:$E$538,T$542&amp;" ضد "&amp;$A552))</f>
        <v>1</v>
      </c>
      <c r="U552" s="4">
        <f>IF($A552=U$542,"",COUNTIF($E$4:$E$538,$A552&amp;" ضد "&amp;U$542)+COUNTIF($E$4:$E$538,U$542&amp;" ضد "&amp;$A552))</f>
        <v>1</v>
      </c>
      <c r="V552" s="4">
        <f>IF($A552=V$542,"",COUNTIF($E$4:$E$538,$A552&amp;" ضد "&amp;V$542)+COUNTIF($E$4:$E$538,V$542&amp;" ضد "&amp;$A552))</f>
        <v>0</v>
      </c>
      <c r="W552" s="4">
        <f>IF($A552=W$542,"",COUNTIF($E$4:$E$538,$A552&amp;" ضد "&amp;W$542)+COUNTIF($E$4:$E$538,W$542&amp;" ضد "&amp;$A552))</f>
        <v>0</v>
      </c>
      <c r="X552" s="4">
        <f>IF($A552=X$542,"",COUNTIF($E$4:$E$538,$A552&amp;" ضد "&amp;X$542)+COUNTIF($E$4:$E$538,X$542&amp;" ضد "&amp;$A552))</f>
        <v>0</v>
      </c>
      <c r="Y552" s="4">
        <f>IF($A552=Y$542,"",COUNTIF($E$4:$E$538,$A552&amp;" ضد "&amp;Y$542)+COUNTIF($E$4:$E$538,Y$542&amp;" ضد "&amp;$A552))</f>
        <v>0</v>
      </c>
      <c r="Z552" s="4">
        <f>IF($A552=Z$542,"",COUNTIF($E$4:$E$538,$A552&amp;" ضد "&amp;Z$542)+COUNTIF($E$4:$E$538,Z$542&amp;" ضد "&amp;$A552))</f>
        <v>0</v>
      </c>
      <c r="AA552" s="4">
        <f>IF($A552=AA$542,"",COUNTIF($E$4:$E$538,$A552&amp;" ضد "&amp;AA$542)+COUNTIF($E$4:$E$538,AA$542&amp;" ضد "&amp;$A552))</f>
        <v>0</v>
      </c>
      <c r="AB552" s="4">
        <f>IF($A552=AB$542,"",COUNTIF($E$4:$E$538,$A552&amp;" ضد "&amp;AB$542)+COUNTIF($E$4:$E$538,AB$542&amp;" ضد "&amp;$A552))</f>
        <v>0</v>
      </c>
      <c r="AC552" s="4">
        <f>IF($A552=AC$542,"",COUNTIF($E$4:$E$538,$A552&amp;" ضد "&amp;AC$542)+COUNTIF($E$4:$E$538,AC$542&amp;" ضد "&amp;$A552))</f>
        <v>0</v>
      </c>
      <c r="AD552" s="4">
        <f>IF($A552=AD$542,"",COUNTIF($E$4:$E$538,$A552&amp;" ضد "&amp;AD$542)+COUNTIF($E$4:$E$538,AD$542&amp;" ضد "&amp;$A552))</f>
        <v>0</v>
      </c>
      <c r="AE552" s="4">
        <f>IF($A552=AE$542,"",COUNTIF($E$4:$E$538,$A552&amp;" ضد "&amp;AE$542)+COUNTIF($E$4:$E$538,AE$542&amp;" ضد "&amp;$A552))</f>
        <v>0</v>
      </c>
      <c r="AF552" s="4">
        <f>IF($A552=AF$542,"",COUNTIF($E$4:$E$538,$A552&amp;" ضد "&amp;AF$542)+COUNTIF($E$4:$E$538,AF$542&amp;" ضد "&amp;$A552))</f>
        <v>0</v>
      </c>
      <c r="AG552" s="4">
        <f>IF($A552=AG$542,"",COUNTIF($E$4:$E$538,$A552&amp;" ضد "&amp;AG$542)+COUNTIF($E$4:$E$538,AG$542&amp;" ضد "&amp;$A552))</f>
        <v>0</v>
      </c>
      <c r="AH552" s="4">
        <f>IF($A552=AH$542,"",COUNTIF($E$4:$E$538,$A552&amp;" ضد "&amp;AH$542)+COUNTIF($E$4:$E$538,AH$542&amp;" ضد "&amp;$A552))</f>
        <v>0</v>
      </c>
      <c r="AI552" s="4">
        <f>IF($A552=AI$542,"",COUNTIF($E$4:$E$538,$A552&amp;" ضد "&amp;AI$542)+COUNTIF($E$4:$E$538,AI$542&amp;" ضد "&amp;$A552))</f>
        <v>0</v>
      </c>
      <c r="AJ552" s="4">
        <f>IF($A552=AJ$542,"",COUNTIF($E$4:$E$538,$A552&amp;" ضد "&amp;AJ$542)+COUNTIF($E$4:$E$538,AJ$542&amp;" ضد "&amp;$A552))</f>
        <v>0</v>
      </c>
      <c r="AK552" s="4">
        <f>IF($A552=AK$542,"",COUNTIF($E$4:$E$538,$A552&amp;" ضد "&amp;AK$542)+COUNTIF($E$4:$E$538,AK$542&amp;" ضد "&amp;$A552))</f>
        <v>0</v>
      </c>
      <c r="AL552" s="4">
        <f>IF($A552=AL$542,"",COUNTIF($E$4:$E$538,$A552&amp;" ضد "&amp;AL$542)+COUNTIF($E$4:$E$538,AL$542&amp;" ضد "&amp;$A552))</f>
        <v>0</v>
      </c>
      <c r="AM552" s="4">
        <f>IF($A552=AM$542,"",COUNTIF($E$4:$E$538,$A552&amp;" ضد "&amp;AM$542)+COUNTIF($E$4:$E$538,AM$542&amp;" ضد "&amp;$A552))</f>
        <v>0</v>
      </c>
      <c r="AN552" s="4">
        <f>IF($A552=AN$542,"",COUNTIF($E$4:$E$538,$A552&amp;" ضد "&amp;AN$542)+COUNTIF($E$4:$E$538,AN$542&amp;" ضد "&amp;$A552))</f>
        <v>0</v>
      </c>
      <c r="AO552" s="4">
        <f>IF($A552=AO$542,"",COUNTIF($E$4:$E$538,$A552&amp;" ضد "&amp;AO$542)+COUNTIF($E$4:$E$538,AO$542&amp;" ضد "&amp;$A552))</f>
        <v>0</v>
      </c>
      <c r="AP552" s="4">
        <f>IF($A552=AP$542,"",COUNTIF($E$4:$E$538,$A552&amp;" ضد "&amp;AP$542)+COUNTIF($E$4:$E$538,AP$542&amp;" ضد "&amp;$A552))</f>
        <v>0</v>
      </c>
      <c r="AQ552" s="4">
        <f>IF($A552=AQ$542,"",COUNTIF($E$4:$E$538,$A552&amp;" ضد "&amp;AQ$542)+COUNTIF($E$4:$E$538,AQ$542&amp;" ضد "&amp;$A552))</f>
        <v>0</v>
      </c>
      <c r="AR552" s="4">
        <f>IF($A552=AR$542,"",COUNTIF($E$4:$E$538,$A552&amp;" ضد "&amp;AR$542)+COUNTIF($E$4:$E$538,AR$542&amp;" ضد "&amp;$A552))</f>
        <v>0</v>
      </c>
      <c r="AS552" s="4">
        <f>IF($A552=AS$542,"",COUNTIF($E$4:$E$538,$A552&amp;" ضد "&amp;AS$542)+COUNTIF($E$4:$E$538,AS$542&amp;" ضد "&amp;$A552))</f>
        <v>0</v>
      </c>
      <c r="AT552" s="4">
        <f>IF($A552=AT$542,"",COUNTIF($E$4:$E$538,$A552&amp;" ضد "&amp;AT$542)+COUNTIF($E$4:$E$538,AT$542&amp;" ضد "&amp;$A552))</f>
        <v>0</v>
      </c>
      <c r="AU552" s="4">
        <f>IF($A552=AU$542,"",COUNTIF($E$4:$E$538,$A552&amp;" ضد "&amp;AU$542)+COUNTIF($E$4:$E$538,AU$542&amp;" ضد "&amp;$A552))</f>
        <v>0</v>
      </c>
      <c r="AV552" s="4">
        <f>IF($A552=AV$542,"",COUNTIF($E$4:$E$538,$A552&amp;" ضد "&amp;AV$542)+COUNTIF($E$4:$E$538,AV$542&amp;" ضد "&amp;$A552))</f>
        <v>0</v>
      </c>
      <c r="AW552" s="4">
        <f>IF($A552=AW$542,"",COUNTIF($E$4:$E$538,$A552&amp;" ضد "&amp;AW$542)+COUNTIF($E$4:$E$538,AW$542&amp;" ضد "&amp;$A552))</f>
        <v>0</v>
      </c>
      <c r="AX552" s="4">
        <f>IF($A552=AX$542,"",COUNTIF($E$4:$E$538,$A552&amp;" ضد "&amp;AX$542)+COUNTIF($E$4:$E$538,AX$542&amp;" ضد "&amp;$A552))</f>
        <v>0</v>
      </c>
      <c r="AY552" s="4">
        <f>IF($A552=AY$542,"",COUNTIF($E$4:$E$538,$A552&amp;" ضد "&amp;AY$542)+COUNTIF($E$4:$E$538,AY$542&amp;" ضد "&amp;$A552))</f>
        <v>0</v>
      </c>
      <c r="AZ552" s="4">
        <f>IF($A552=AZ$542,"",COUNTIF($E$4:$E$538,$A552&amp;" ضد "&amp;AZ$542)+COUNTIF($E$4:$E$538,AZ$542&amp;" ضد "&amp;$A552))</f>
        <v>0</v>
      </c>
      <c r="BA552" s="4">
        <f>IF($A552=BA$542,"",COUNTIF($E$4:$E$538,$A552&amp;" ضد "&amp;BA$542)+COUNTIF($E$4:$E$538,BA$542&amp;" ضد "&amp;$A552))</f>
        <v>0</v>
      </c>
      <c r="BB552" s="4">
        <f>IF($A552=BB$542,"",COUNTIF($E$4:$E$538,$A552&amp;" ضد "&amp;BB$542)+COUNTIF($E$4:$E$538,BB$542&amp;" ضد "&amp;$A552))</f>
        <v>0</v>
      </c>
      <c r="BC552" s="4">
        <f>IF($A552=BC$542,"",COUNTIF($E$4:$E$538,$A552&amp;" ضد "&amp;BC$542)+COUNTIF($E$4:$E$538,BC$542&amp;" ضد "&amp;$A552))</f>
        <v>0</v>
      </c>
      <c r="BD552" s="4">
        <f>IF($A552=BD$542,"",COUNTIF($E$4:$E$538,$A552&amp;" ضد "&amp;BD$542)+COUNTIF($E$4:$E$538,BD$542&amp;" ضد "&amp;$A552))</f>
        <v>0</v>
      </c>
      <c r="BE552" s="4">
        <f>IF($A552=BE$542,"",COUNTIF($E$4:$E$538,$A552&amp;" ضد "&amp;BE$542)+COUNTIF($E$4:$E$538,BE$542&amp;" ضد "&amp;$A552))</f>
        <v>0</v>
      </c>
      <c r="BF552" s="4">
        <f>IF($A552=BF$542,"",COUNTIF($E$4:$E$538,$A552&amp;" ضد "&amp;BF$542)+COUNTIF($E$4:$E$538,BF$542&amp;" ضد "&amp;$A552))</f>
        <v>0</v>
      </c>
      <c r="BG552" s="4">
        <f>IF($A552=BG$542,"",COUNTIF($E$4:$E$538,$A552&amp;" ضد "&amp;BG$542)+COUNTIF($E$4:$E$538,BG$542&amp;" ضد "&amp;$A552))</f>
        <v>0</v>
      </c>
    </row>
    <row r="553" spans="1:59" ht="14.5">
      <c r="A553" s="14">
        <v>11</v>
      </c>
      <c r="B553" s="4">
        <f>IF($A553=B$542,"",COUNTIF($E$4:$E$538,$A553&amp;" ضد "&amp;B$542)+COUNTIF($E$4:$E$538,B$542&amp;" ضد "&amp;$A553))</f>
        <v>1</v>
      </c>
      <c r="C553" s="4">
        <f>IF($A553=C$542,"",COUNTIF($E$4:$E$538,$A553&amp;" ضد "&amp;C$542)+COUNTIF($E$4:$E$538,C$542&amp;" ضد "&amp;$A553))</f>
        <v>1</v>
      </c>
      <c r="D553" s="4">
        <f>IF($A553=D$542,"",COUNTIF($E$4:$E$538,$A553&amp;" ضد "&amp;D$542)+COUNTIF($E$4:$E$538,D$542&amp;" ضد "&amp;$A553))</f>
        <v>1</v>
      </c>
      <c r="E553" s="4">
        <f>IF($A553=E$542,"",COUNTIF($E$4:$E$538,$A553&amp;" ضد "&amp;E$542)+COUNTIF($E$4:$E$538,E$542&amp;" ضد "&amp;$A553))</f>
        <v>1</v>
      </c>
      <c r="F553" s="4">
        <f>IF($A553=F$542,"",COUNTIF($E$4:$E$538,$A553&amp;" ضد "&amp;F$542)+COUNTIF($E$4:$E$538,F$542&amp;" ضد "&amp;$A553))</f>
        <v>1</v>
      </c>
      <c r="G553" s="4">
        <f>IF($A553=G$542,"",COUNTIF($E$4:$E$538,$A553&amp;" ضد "&amp;G$542)+COUNTIF($E$4:$E$538,G$542&amp;" ضد "&amp;$A553))</f>
        <v>1</v>
      </c>
      <c r="H553" s="4">
        <f>IF($A553=H$542,"",COUNTIF($E$4:$E$538,$A553&amp;" ضد "&amp;H$542)+COUNTIF($E$4:$E$538,H$542&amp;" ضد "&amp;$A553))</f>
        <v>1</v>
      </c>
      <c r="I553" s="4">
        <f>IF($A553=I$542,"",COUNTIF($E$4:$E$538,$A553&amp;" ضد "&amp;I$542)+COUNTIF($E$4:$E$538,I$542&amp;" ضد "&amp;$A553))</f>
        <v>1</v>
      </c>
      <c r="J553" s="4">
        <f>IF($A553=J$542,"",COUNTIF($E$4:$E$538,$A553&amp;" ضد "&amp;J$542)+COUNTIF($E$4:$E$538,J$542&amp;" ضد "&amp;$A553))</f>
        <v>1</v>
      </c>
      <c r="K553" s="4">
        <f>IF($A553=K$542,"",COUNTIF($E$4:$E$538,$A553&amp;" ضد "&amp;K$542)+COUNTIF($E$4:$E$538,K$542&amp;" ضد "&amp;$A553))</f>
        <v>1</v>
      </c>
      <c r="L553" s="4" t="str">
        <f>IF($A553=L$542,"",COUNTIF($E$4:$E$538,$A553&amp;" ضد "&amp;L$542)+COUNTIF($E$4:$E$538,L$542&amp;" ضد "&amp;$A553))</f>
        <v/>
      </c>
      <c r="M553" s="4">
        <f>IF($A553=M$542,"",COUNTIF($E$4:$E$538,$A553&amp;" ضد "&amp;M$542)+COUNTIF($E$4:$E$538,M$542&amp;" ضد "&amp;$A553))</f>
        <v>1</v>
      </c>
      <c r="N553" s="4">
        <f>IF($A553=N$542,"",COUNTIF($E$4:$E$538,$A553&amp;" ضد "&amp;N$542)+COUNTIF($E$4:$E$538,N$542&amp;" ضد "&amp;$A553))</f>
        <v>1</v>
      </c>
      <c r="O553" s="4">
        <f>IF($A553=O$542,"",COUNTIF($E$4:$E$538,$A553&amp;" ضد "&amp;O$542)+COUNTIF($E$4:$E$538,O$542&amp;" ضد "&amp;$A553))</f>
        <v>1</v>
      </c>
      <c r="P553" s="4">
        <f>IF($A553=P$542,"",COUNTIF($E$4:$E$538,$A553&amp;" ضد "&amp;P$542)+COUNTIF($E$4:$E$538,P$542&amp;" ضد "&amp;$A553))</f>
        <v>1</v>
      </c>
      <c r="Q553" s="4">
        <f>IF($A553=Q$542,"",COUNTIF($E$4:$E$538,$A553&amp;" ضد "&amp;Q$542)+COUNTIF($E$4:$E$538,Q$542&amp;" ضد "&amp;$A553))</f>
        <v>1</v>
      </c>
      <c r="R553" s="4">
        <f>IF($A553=R$542,"",COUNTIF($E$4:$E$538,$A553&amp;" ضد "&amp;R$542)+COUNTIF($E$4:$E$538,R$542&amp;" ضد "&amp;$A553))</f>
        <v>1</v>
      </c>
      <c r="S553" s="4">
        <f>IF($A553=S$542,"",COUNTIF($E$4:$E$538,$A553&amp;" ضد "&amp;S$542)+COUNTIF($E$4:$E$538,S$542&amp;" ضد "&amp;$A553))</f>
        <v>1</v>
      </c>
      <c r="T553" s="4">
        <f>IF($A553=T$542,"",COUNTIF($E$4:$E$538,$A553&amp;" ضد "&amp;T$542)+COUNTIF($E$4:$E$538,T$542&amp;" ضد "&amp;$A553))</f>
        <v>1</v>
      </c>
      <c r="U553" s="4">
        <f>IF($A553=U$542,"",COUNTIF($E$4:$E$538,$A553&amp;" ضد "&amp;U$542)+COUNTIF($E$4:$E$538,U$542&amp;" ضد "&amp;$A553))</f>
        <v>1</v>
      </c>
      <c r="V553" s="4">
        <f>IF($A553=V$542,"",COUNTIF($E$4:$E$538,$A553&amp;" ضد "&amp;V$542)+COUNTIF($E$4:$E$538,V$542&amp;" ضد "&amp;$A553))</f>
        <v>0</v>
      </c>
      <c r="W553" s="4">
        <f>IF($A553=W$542,"",COUNTIF($E$4:$E$538,$A553&amp;" ضد "&amp;W$542)+COUNTIF($E$4:$E$538,W$542&amp;" ضد "&amp;$A553))</f>
        <v>0</v>
      </c>
      <c r="X553" s="4">
        <f>IF($A553=X$542,"",COUNTIF($E$4:$E$538,$A553&amp;" ضد "&amp;X$542)+COUNTIF($E$4:$E$538,X$542&amp;" ضد "&amp;$A553))</f>
        <v>0</v>
      </c>
      <c r="Y553" s="4">
        <f>IF($A553=Y$542,"",COUNTIF($E$4:$E$538,$A553&amp;" ضد "&amp;Y$542)+COUNTIF($E$4:$E$538,Y$542&amp;" ضد "&amp;$A553))</f>
        <v>0</v>
      </c>
      <c r="Z553" s="4">
        <f>IF($A553=Z$542,"",COUNTIF($E$4:$E$538,$A553&amp;" ضد "&amp;Z$542)+COUNTIF($E$4:$E$538,Z$542&amp;" ضد "&amp;$A553))</f>
        <v>0</v>
      </c>
      <c r="AA553" s="4">
        <f>IF($A553=AA$542,"",COUNTIF($E$4:$E$538,$A553&amp;" ضد "&amp;AA$542)+COUNTIF($E$4:$E$538,AA$542&amp;" ضد "&amp;$A553))</f>
        <v>0</v>
      </c>
      <c r="AB553" s="4">
        <f>IF($A553=AB$542,"",COUNTIF($E$4:$E$538,$A553&amp;" ضد "&amp;AB$542)+COUNTIF($E$4:$E$538,AB$542&amp;" ضد "&amp;$A553))</f>
        <v>0</v>
      </c>
      <c r="AC553" s="4">
        <f>IF($A553=AC$542,"",COUNTIF($E$4:$E$538,$A553&amp;" ضد "&amp;AC$542)+COUNTIF($E$4:$E$538,AC$542&amp;" ضد "&amp;$A553))</f>
        <v>0</v>
      </c>
      <c r="AD553" s="4">
        <f>IF($A553=AD$542,"",COUNTIF($E$4:$E$538,$A553&amp;" ضد "&amp;AD$542)+COUNTIF($E$4:$E$538,AD$542&amp;" ضد "&amp;$A553))</f>
        <v>0</v>
      </c>
      <c r="AE553" s="4">
        <f>IF($A553=AE$542,"",COUNTIF($E$4:$E$538,$A553&amp;" ضد "&amp;AE$542)+COUNTIF($E$4:$E$538,AE$542&amp;" ضد "&amp;$A553))</f>
        <v>0</v>
      </c>
      <c r="AF553" s="4">
        <f>IF($A553=AF$542,"",COUNTIF($E$4:$E$538,$A553&amp;" ضد "&amp;AF$542)+COUNTIF($E$4:$E$538,AF$542&amp;" ضد "&amp;$A553))</f>
        <v>0</v>
      </c>
      <c r="AG553" s="4">
        <f>IF($A553=AG$542,"",COUNTIF($E$4:$E$538,$A553&amp;" ضد "&amp;AG$542)+COUNTIF($E$4:$E$538,AG$542&amp;" ضد "&amp;$A553))</f>
        <v>0</v>
      </c>
      <c r="AH553" s="4">
        <f>IF($A553=AH$542,"",COUNTIF($E$4:$E$538,$A553&amp;" ضد "&amp;AH$542)+COUNTIF($E$4:$E$538,AH$542&amp;" ضد "&amp;$A553))</f>
        <v>0</v>
      </c>
      <c r="AI553" s="4">
        <f>IF($A553=AI$542,"",COUNTIF($E$4:$E$538,$A553&amp;" ضد "&amp;AI$542)+COUNTIF($E$4:$E$538,AI$542&amp;" ضد "&amp;$A553))</f>
        <v>0</v>
      </c>
      <c r="AJ553" s="4">
        <f>IF($A553=AJ$542,"",COUNTIF($E$4:$E$538,$A553&amp;" ضد "&amp;AJ$542)+COUNTIF($E$4:$E$538,AJ$542&amp;" ضد "&amp;$A553))</f>
        <v>0</v>
      </c>
      <c r="AK553" s="4">
        <f>IF($A553=AK$542,"",COUNTIF($E$4:$E$538,$A553&amp;" ضد "&amp;AK$542)+COUNTIF($E$4:$E$538,AK$542&amp;" ضد "&amp;$A553))</f>
        <v>0</v>
      </c>
      <c r="AL553" s="4">
        <f>IF($A553=AL$542,"",COUNTIF($E$4:$E$538,$A553&amp;" ضد "&amp;AL$542)+COUNTIF($E$4:$E$538,AL$542&amp;" ضد "&amp;$A553))</f>
        <v>0</v>
      </c>
      <c r="AM553" s="4">
        <f>IF($A553=AM$542,"",COUNTIF($E$4:$E$538,$A553&amp;" ضد "&amp;AM$542)+COUNTIF($E$4:$E$538,AM$542&amp;" ضد "&amp;$A553))</f>
        <v>0</v>
      </c>
      <c r="AN553" s="4">
        <f>IF($A553=AN$542,"",COUNTIF($E$4:$E$538,$A553&amp;" ضد "&amp;AN$542)+COUNTIF($E$4:$E$538,AN$542&amp;" ضد "&amp;$A553))</f>
        <v>0</v>
      </c>
      <c r="AO553" s="4">
        <f>IF($A553=AO$542,"",COUNTIF($E$4:$E$538,$A553&amp;" ضد "&amp;AO$542)+COUNTIF($E$4:$E$538,AO$542&amp;" ضد "&amp;$A553))</f>
        <v>0</v>
      </c>
      <c r="AP553" s="4">
        <f>IF($A553=AP$542,"",COUNTIF($E$4:$E$538,$A553&amp;" ضد "&amp;AP$542)+COUNTIF($E$4:$E$538,AP$542&amp;" ضد "&amp;$A553))</f>
        <v>0</v>
      </c>
      <c r="AQ553" s="4">
        <f>IF($A553=AQ$542,"",COUNTIF($E$4:$E$538,$A553&amp;" ضد "&amp;AQ$542)+COUNTIF($E$4:$E$538,AQ$542&amp;" ضد "&amp;$A553))</f>
        <v>0</v>
      </c>
      <c r="AR553" s="4">
        <f>IF($A553=AR$542,"",COUNTIF($E$4:$E$538,$A553&amp;" ضد "&amp;AR$542)+COUNTIF($E$4:$E$538,AR$542&amp;" ضد "&amp;$A553))</f>
        <v>0</v>
      </c>
      <c r="AS553" s="4">
        <f>IF($A553=AS$542,"",COUNTIF($E$4:$E$538,$A553&amp;" ضد "&amp;AS$542)+COUNTIF($E$4:$E$538,AS$542&amp;" ضد "&amp;$A553))</f>
        <v>0</v>
      </c>
      <c r="AT553" s="4">
        <f>IF($A553=AT$542,"",COUNTIF($E$4:$E$538,$A553&amp;" ضد "&amp;AT$542)+COUNTIF($E$4:$E$538,AT$542&amp;" ضد "&amp;$A553))</f>
        <v>0</v>
      </c>
      <c r="AU553" s="4">
        <f>IF($A553=AU$542,"",COUNTIF($E$4:$E$538,$A553&amp;" ضد "&amp;AU$542)+COUNTIF($E$4:$E$538,AU$542&amp;" ضد "&amp;$A553))</f>
        <v>0</v>
      </c>
      <c r="AV553" s="4">
        <f>IF($A553=AV$542,"",COUNTIF($E$4:$E$538,$A553&amp;" ضد "&amp;AV$542)+COUNTIF($E$4:$E$538,AV$542&amp;" ضد "&amp;$A553))</f>
        <v>0</v>
      </c>
      <c r="AW553" s="4">
        <f>IF($A553=AW$542,"",COUNTIF($E$4:$E$538,$A553&amp;" ضد "&amp;AW$542)+COUNTIF($E$4:$E$538,AW$542&amp;" ضد "&amp;$A553))</f>
        <v>0</v>
      </c>
      <c r="AX553" s="4">
        <f>IF($A553=AX$542,"",COUNTIF($E$4:$E$538,$A553&amp;" ضد "&amp;AX$542)+COUNTIF($E$4:$E$538,AX$542&amp;" ضد "&amp;$A553))</f>
        <v>0</v>
      </c>
      <c r="AY553" s="4">
        <f>IF($A553=AY$542,"",COUNTIF($E$4:$E$538,$A553&amp;" ضد "&amp;AY$542)+COUNTIF($E$4:$E$538,AY$542&amp;" ضد "&amp;$A553))</f>
        <v>0</v>
      </c>
      <c r="AZ553" s="4">
        <f>IF($A553=AZ$542,"",COUNTIF($E$4:$E$538,$A553&amp;" ضد "&amp;AZ$542)+COUNTIF($E$4:$E$538,AZ$542&amp;" ضد "&amp;$A553))</f>
        <v>0</v>
      </c>
      <c r="BA553" s="4">
        <f>IF($A553=BA$542,"",COUNTIF($E$4:$E$538,$A553&amp;" ضد "&amp;BA$542)+COUNTIF($E$4:$E$538,BA$542&amp;" ضد "&amp;$A553))</f>
        <v>0</v>
      </c>
      <c r="BB553" s="4">
        <f>IF($A553=BB$542,"",COUNTIF($E$4:$E$538,$A553&amp;" ضد "&amp;BB$542)+COUNTIF($E$4:$E$538,BB$542&amp;" ضد "&amp;$A553))</f>
        <v>0</v>
      </c>
      <c r="BC553" s="4">
        <f>IF($A553=BC$542,"",COUNTIF($E$4:$E$538,$A553&amp;" ضد "&amp;BC$542)+COUNTIF($E$4:$E$538,BC$542&amp;" ضد "&amp;$A553))</f>
        <v>0</v>
      </c>
      <c r="BD553" s="4">
        <f>IF($A553=BD$542,"",COUNTIF($E$4:$E$538,$A553&amp;" ضد "&amp;BD$542)+COUNTIF($E$4:$E$538,BD$542&amp;" ضد "&amp;$A553))</f>
        <v>0</v>
      </c>
      <c r="BE553" s="4">
        <f>IF($A553=BE$542,"",COUNTIF($E$4:$E$538,$A553&amp;" ضد "&amp;BE$542)+COUNTIF($E$4:$E$538,BE$542&amp;" ضد "&amp;$A553))</f>
        <v>0</v>
      </c>
      <c r="BF553" s="4">
        <f>IF($A553=BF$542,"",COUNTIF($E$4:$E$538,$A553&amp;" ضد "&amp;BF$542)+COUNTIF($E$4:$E$538,BF$542&amp;" ضد "&amp;$A553))</f>
        <v>0</v>
      </c>
      <c r="BG553" s="4">
        <f>IF($A553=BG$542,"",COUNTIF($E$4:$E$538,$A553&amp;" ضد "&amp;BG$542)+COUNTIF($E$4:$E$538,BG$542&amp;" ضد "&amp;$A553))</f>
        <v>0</v>
      </c>
    </row>
    <row r="554" spans="1:59" ht="14.5">
      <c r="A554" s="14">
        <v>12</v>
      </c>
      <c r="B554" s="4">
        <f>IF($A554=B$542,"",COUNTIF($E$4:$E$538,$A554&amp;" ضد "&amp;B$542)+COUNTIF($E$4:$E$538,B$542&amp;" ضد "&amp;$A554))</f>
        <v>1</v>
      </c>
      <c r="C554" s="4">
        <f>IF($A554=C$542,"",COUNTIF($E$4:$E$538,$A554&amp;" ضد "&amp;C$542)+COUNTIF($E$4:$E$538,C$542&amp;" ضد "&amp;$A554))</f>
        <v>1</v>
      </c>
      <c r="D554" s="4">
        <f>IF($A554=D$542,"",COUNTIF($E$4:$E$538,$A554&amp;" ضد "&amp;D$542)+COUNTIF($E$4:$E$538,D$542&amp;" ضد "&amp;$A554))</f>
        <v>1</v>
      </c>
      <c r="E554" s="4">
        <f>IF($A554=E$542,"",COUNTIF($E$4:$E$538,$A554&amp;" ضد "&amp;E$542)+COUNTIF($E$4:$E$538,E$542&amp;" ضد "&amp;$A554))</f>
        <v>1</v>
      </c>
      <c r="F554" s="4">
        <f>IF($A554=F$542,"",COUNTIF($E$4:$E$538,$A554&amp;" ضد "&amp;F$542)+COUNTIF($E$4:$E$538,F$542&amp;" ضد "&amp;$A554))</f>
        <v>1</v>
      </c>
      <c r="G554" s="4">
        <f>IF($A554=G$542,"",COUNTIF($E$4:$E$538,$A554&amp;" ضد "&amp;G$542)+COUNTIF($E$4:$E$538,G$542&amp;" ضد "&amp;$A554))</f>
        <v>1</v>
      </c>
      <c r="H554" s="4">
        <f>IF($A554=H$542,"",COUNTIF($E$4:$E$538,$A554&amp;" ضد "&amp;H$542)+COUNTIF($E$4:$E$538,H$542&amp;" ضد "&amp;$A554))</f>
        <v>1</v>
      </c>
      <c r="I554" s="4">
        <f>IF($A554=I$542,"",COUNTIF($E$4:$E$538,$A554&amp;" ضد "&amp;I$542)+COUNTIF($E$4:$E$538,I$542&amp;" ضد "&amp;$A554))</f>
        <v>1</v>
      </c>
      <c r="J554" s="4">
        <f>IF($A554=J$542,"",COUNTIF($E$4:$E$538,$A554&amp;" ضد "&amp;J$542)+COUNTIF($E$4:$E$538,J$542&amp;" ضد "&amp;$A554))</f>
        <v>1</v>
      </c>
      <c r="K554" s="4">
        <f>IF($A554=K$542,"",COUNTIF($E$4:$E$538,$A554&amp;" ضد "&amp;K$542)+COUNTIF($E$4:$E$538,K$542&amp;" ضد "&amp;$A554))</f>
        <v>1</v>
      </c>
      <c r="L554" s="4">
        <f>IF($A554=L$542,"",COUNTIF($E$4:$E$538,$A554&amp;" ضد "&amp;L$542)+COUNTIF($E$4:$E$538,L$542&amp;" ضد "&amp;$A554))</f>
        <v>1</v>
      </c>
      <c r="M554" s="4" t="str">
        <f>IF($A554=M$542,"",COUNTIF($E$4:$E$538,$A554&amp;" ضد "&amp;M$542)+COUNTIF($E$4:$E$538,M$542&amp;" ضد "&amp;$A554))</f>
        <v/>
      </c>
      <c r="N554" s="4">
        <f>IF($A554=N$542,"",COUNTIF($E$4:$E$538,$A554&amp;" ضد "&amp;N$542)+COUNTIF($E$4:$E$538,N$542&amp;" ضد "&amp;$A554))</f>
        <v>1</v>
      </c>
      <c r="O554" s="4">
        <f>IF($A554=O$542,"",COUNTIF($E$4:$E$538,$A554&amp;" ضد "&amp;O$542)+COUNTIF($E$4:$E$538,O$542&amp;" ضد "&amp;$A554))</f>
        <v>1</v>
      </c>
      <c r="P554" s="4">
        <f>IF($A554=P$542,"",COUNTIF($E$4:$E$538,$A554&amp;" ضد "&amp;P$542)+COUNTIF($E$4:$E$538,P$542&amp;" ضد "&amp;$A554))</f>
        <v>1</v>
      </c>
      <c r="Q554" s="4">
        <f>IF($A554=Q$542,"",COUNTIF($E$4:$E$538,$A554&amp;" ضد "&amp;Q$542)+COUNTIF($E$4:$E$538,Q$542&amp;" ضد "&amp;$A554))</f>
        <v>1</v>
      </c>
      <c r="R554" s="4">
        <f>IF($A554=R$542,"",COUNTIF($E$4:$E$538,$A554&amp;" ضد "&amp;R$542)+COUNTIF($E$4:$E$538,R$542&amp;" ضد "&amp;$A554))</f>
        <v>1</v>
      </c>
      <c r="S554" s="4">
        <f>IF($A554=S$542,"",COUNTIF($E$4:$E$538,$A554&amp;" ضد "&amp;S$542)+COUNTIF($E$4:$E$538,S$542&amp;" ضد "&amp;$A554))</f>
        <v>1</v>
      </c>
      <c r="T554" s="4">
        <f>IF($A554=T$542,"",COUNTIF($E$4:$E$538,$A554&amp;" ضد "&amp;T$542)+COUNTIF($E$4:$E$538,T$542&amp;" ضد "&amp;$A554))</f>
        <v>1</v>
      </c>
      <c r="U554" s="4">
        <f>IF($A554=U$542,"",COUNTIF($E$4:$E$538,$A554&amp;" ضد "&amp;U$542)+COUNTIF($E$4:$E$538,U$542&amp;" ضد "&amp;$A554))</f>
        <v>1</v>
      </c>
      <c r="V554" s="4">
        <f>IF($A554=V$542,"",COUNTIF($E$4:$E$538,$A554&amp;" ضد "&amp;V$542)+COUNTIF($E$4:$E$538,V$542&amp;" ضد "&amp;$A554))</f>
        <v>0</v>
      </c>
      <c r="W554" s="4">
        <f>IF($A554=W$542,"",COUNTIF($E$4:$E$538,$A554&amp;" ضد "&amp;W$542)+COUNTIF($E$4:$E$538,W$542&amp;" ضد "&amp;$A554))</f>
        <v>0</v>
      </c>
      <c r="X554" s="4">
        <f>IF($A554=X$542,"",COUNTIF($E$4:$E$538,$A554&amp;" ضد "&amp;X$542)+COUNTIF($E$4:$E$538,X$542&amp;" ضد "&amp;$A554))</f>
        <v>0</v>
      </c>
      <c r="Y554" s="4">
        <f>IF($A554=Y$542,"",COUNTIF($E$4:$E$538,$A554&amp;" ضد "&amp;Y$542)+COUNTIF($E$4:$E$538,Y$542&amp;" ضد "&amp;$A554))</f>
        <v>0</v>
      </c>
      <c r="Z554" s="4">
        <f>IF($A554=Z$542,"",COUNTIF($E$4:$E$538,$A554&amp;" ضد "&amp;Z$542)+COUNTIF($E$4:$E$538,Z$542&amp;" ضد "&amp;$A554))</f>
        <v>0</v>
      </c>
      <c r="AA554" s="4">
        <f>IF($A554=AA$542,"",COUNTIF($E$4:$E$538,$A554&amp;" ضد "&amp;AA$542)+COUNTIF($E$4:$E$538,AA$542&amp;" ضد "&amp;$A554))</f>
        <v>0</v>
      </c>
      <c r="AB554" s="4">
        <f>IF($A554=AB$542,"",COUNTIF($E$4:$E$538,$A554&amp;" ضد "&amp;AB$542)+COUNTIF($E$4:$E$538,AB$542&amp;" ضد "&amp;$A554))</f>
        <v>0</v>
      </c>
      <c r="AC554" s="4">
        <f>IF($A554=AC$542,"",COUNTIF($E$4:$E$538,$A554&amp;" ضد "&amp;AC$542)+COUNTIF($E$4:$E$538,AC$542&amp;" ضد "&amp;$A554))</f>
        <v>0</v>
      </c>
      <c r="AD554" s="4">
        <f>IF($A554=AD$542,"",COUNTIF($E$4:$E$538,$A554&amp;" ضد "&amp;AD$542)+COUNTIF($E$4:$E$538,AD$542&amp;" ضد "&amp;$A554))</f>
        <v>0</v>
      </c>
      <c r="AE554" s="4">
        <f>IF($A554=AE$542,"",COUNTIF($E$4:$E$538,$A554&amp;" ضد "&amp;AE$542)+COUNTIF($E$4:$E$538,AE$542&amp;" ضد "&amp;$A554))</f>
        <v>0</v>
      </c>
      <c r="AF554" s="4">
        <f>IF($A554=AF$542,"",COUNTIF($E$4:$E$538,$A554&amp;" ضد "&amp;AF$542)+COUNTIF($E$4:$E$538,AF$542&amp;" ضد "&amp;$A554))</f>
        <v>0</v>
      </c>
      <c r="AG554" s="4">
        <f>IF($A554=AG$542,"",COUNTIF($E$4:$E$538,$A554&amp;" ضد "&amp;AG$542)+COUNTIF($E$4:$E$538,AG$542&amp;" ضد "&amp;$A554))</f>
        <v>0</v>
      </c>
      <c r="AH554" s="4">
        <f>IF($A554=AH$542,"",COUNTIF($E$4:$E$538,$A554&amp;" ضد "&amp;AH$542)+COUNTIF($E$4:$E$538,AH$542&amp;" ضد "&amp;$A554))</f>
        <v>0</v>
      </c>
      <c r="AI554" s="4">
        <f>IF($A554=AI$542,"",COUNTIF($E$4:$E$538,$A554&amp;" ضد "&amp;AI$542)+COUNTIF($E$4:$E$538,AI$542&amp;" ضد "&amp;$A554))</f>
        <v>0</v>
      </c>
      <c r="AJ554" s="4">
        <f>IF($A554=AJ$542,"",COUNTIF($E$4:$E$538,$A554&amp;" ضد "&amp;AJ$542)+COUNTIF($E$4:$E$538,AJ$542&amp;" ضد "&amp;$A554))</f>
        <v>0</v>
      </c>
      <c r="AK554" s="4">
        <f>IF($A554=AK$542,"",COUNTIF($E$4:$E$538,$A554&amp;" ضد "&amp;AK$542)+COUNTIF($E$4:$E$538,AK$542&amp;" ضد "&amp;$A554))</f>
        <v>0</v>
      </c>
      <c r="AL554" s="4">
        <f>IF($A554=AL$542,"",COUNTIF($E$4:$E$538,$A554&amp;" ضد "&amp;AL$542)+COUNTIF($E$4:$E$538,AL$542&amp;" ضد "&amp;$A554))</f>
        <v>0</v>
      </c>
      <c r="AM554" s="4">
        <f>IF($A554=AM$542,"",COUNTIF($E$4:$E$538,$A554&amp;" ضد "&amp;AM$542)+COUNTIF($E$4:$E$538,AM$542&amp;" ضد "&amp;$A554))</f>
        <v>0</v>
      </c>
      <c r="AN554" s="4">
        <f>IF($A554=AN$542,"",COUNTIF($E$4:$E$538,$A554&amp;" ضد "&amp;AN$542)+COUNTIF($E$4:$E$538,AN$542&amp;" ضد "&amp;$A554))</f>
        <v>0</v>
      </c>
      <c r="AO554" s="4">
        <f>IF($A554=AO$542,"",COUNTIF($E$4:$E$538,$A554&amp;" ضد "&amp;AO$542)+COUNTIF($E$4:$E$538,AO$542&amp;" ضد "&amp;$A554))</f>
        <v>0</v>
      </c>
      <c r="AP554" s="4">
        <f>IF($A554=AP$542,"",COUNTIF($E$4:$E$538,$A554&amp;" ضد "&amp;AP$542)+COUNTIF($E$4:$E$538,AP$542&amp;" ضد "&amp;$A554))</f>
        <v>0</v>
      </c>
      <c r="AQ554" s="4">
        <f>IF($A554=AQ$542,"",COUNTIF($E$4:$E$538,$A554&amp;" ضد "&amp;AQ$542)+COUNTIF($E$4:$E$538,AQ$542&amp;" ضد "&amp;$A554))</f>
        <v>0</v>
      </c>
      <c r="AR554" s="4">
        <f>IF($A554=AR$542,"",COUNTIF($E$4:$E$538,$A554&amp;" ضد "&amp;AR$542)+COUNTIF($E$4:$E$538,AR$542&amp;" ضد "&amp;$A554))</f>
        <v>0</v>
      </c>
      <c r="AS554" s="4">
        <f>IF($A554=AS$542,"",COUNTIF($E$4:$E$538,$A554&amp;" ضد "&amp;AS$542)+COUNTIF($E$4:$E$538,AS$542&amp;" ضد "&amp;$A554))</f>
        <v>0</v>
      </c>
      <c r="AT554" s="4">
        <f>IF($A554=AT$542,"",COUNTIF($E$4:$E$538,$A554&amp;" ضد "&amp;AT$542)+COUNTIF($E$4:$E$538,AT$542&amp;" ضد "&amp;$A554))</f>
        <v>0</v>
      </c>
      <c r="AU554" s="4">
        <f>IF($A554=AU$542,"",COUNTIF($E$4:$E$538,$A554&amp;" ضد "&amp;AU$542)+COUNTIF($E$4:$E$538,AU$542&amp;" ضد "&amp;$A554))</f>
        <v>0</v>
      </c>
      <c r="AV554" s="4">
        <f>IF($A554=AV$542,"",COUNTIF($E$4:$E$538,$A554&amp;" ضد "&amp;AV$542)+COUNTIF($E$4:$E$538,AV$542&amp;" ضد "&amp;$A554))</f>
        <v>0</v>
      </c>
      <c r="AW554" s="4">
        <f>IF($A554=AW$542,"",COUNTIF($E$4:$E$538,$A554&amp;" ضد "&amp;AW$542)+COUNTIF($E$4:$E$538,AW$542&amp;" ضد "&amp;$A554))</f>
        <v>0</v>
      </c>
      <c r="AX554" s="4">
        <f>IF($A554=AX$542,"",COUNTIF($E$4:$E$538,$A554&amp;" ضد "&amp;AX$542)+COUNTIF($E$4:$E$538,AX$542&amp;" ضد "&amp;$A554))</f>
        <v>0</v>
      </c>
      <c r="AY554" s="4">
        <f>IF($A554=AY$542,"",COUNTIF($E$4:$E$538,$A554&amp;" ضد "&amp;AY$542)+COUNTIF($E$4:$E$538,AY$542&amp;" ضد "&amp;$A554))</f>
        <v>0</v>
      </c>
      <c r="AZ554" s="4">
        <f>IF($A554=AZ$542,"",COUNTIF($E$4:$E$538,$A554&amp;" ضد "&amp;AZ$542)+COUNTIF($E$4:$E$538,AZ$542&amp;" ضد "&amp;$A554))</f>
        <v>0</v>
      </c>
      <c r="BA554" s="4">
        <f>IF($A554=BA$542,"",COUNTIF($E$4:$E$538,$A554&amp;" ضد "&amp;BA$542)+COUNTIF($E$4:$E$538,BA$542&amp;" ضد "&amp;$A554))</f>
        <v>0</v>
      </c>
      <c r="BB554" s="4">
        <f>IF($A554=BB$542,"",COUNTIF($E$4:$E$538,$A554&amp;" ضد "&amp;BB$542)+COUNTIF($E$4:$E$538,BB$542&amp;" ضد "&amp;$A554))</f>
        <v>0</v>
      </c>
      <c r="BC554" s="4">
        <f>IF($A554=BC$542,"",COUNTIF($E$4:$E$538,$A554&amp;" ضد "&amp;BC$542)+COUNTIF($E$4:$E$538,BC$542&amp;" ضد "&amp;$A554))</f>
        <v>0</v>
      </c>
      <c r="BD554" s="4">
        <f>IF($A554=BD$542,"",COUNTIF($E$4:$E$538,$A554&amp;" ضد "&amp;BD$542)+COUNTIF($E$4:$E$538,BD$542&amp;" ضد "&amp;$A554))</f>
        <v>0</v>
      </c>
      <c r="BE554" s="4">
        <f>IF($A554=BE$542,"",COUNTIF($E$4:$E$538,$A554&amp;" ضد "&amp;BE$542)+COUNTIF($E$4:$E$538,BE$542&amp;" ضد "&amp;$A554))</f>
        <v>0</v>
      </c>
      <c r="BF554" s="4">
        <f>IF($A554=BF$542,"",COUNTIF($E$4:$E$538,$A554&amp;" ضد "&amp;BF$542)+COUNTIF($E$4:$E$538,BF$542&amp;" ضد "&amp;$A554))</f>
        <v>0</v>
      </c>
      <c r="BG554" s="4">
        <f>IF($A554=BG$542,"",COUNTIF($E$4:$E$538,$A554&amp;" ضد "&amp;BG$542)+COUNTIF($E$4:$E$538,BG$542&amp;" ضد "&amp;$A554))</f>
        <v>0</v>
      </c>
    </row>
    <row r="555" spans="1:59" ht="14.5">
      <c r="A555" s="14">
        <v>13</v>
      </c>
      <c r="B555" s="4">
        <f>IF($A555=B$542,"",COUNTIF($E$4:$E$538,$A555&amp;" ضد "&amp;B$542)+COUNTIF($E$4:$E$538,B$542&amp;" ضد "&amp;$A555))</f>
        <v>1</v>
      </c>
      <c r="C555" s="4">
        <f>IF($A555=C$542,"",COUNTIF($E$4:$E$538,$A555&amp;" ضد "&amp;C$542)+COUNTIF($E$4:$E$538,C$542&amp;" ضد "&amp;$A555))</f>
        <v>1</v>
      </c>
      <c r="D555" s="4">
        <f>IF($A555=D$542,"",COUNTIF($E$4:$E$538,$A555&amp;" ضد "&amp;D$542)+COUNTIF($E$4:$E$538,D$542&amp;" ضد "&amp;$A555))</f>
        <v>1</v>
      </c>
      <c r="E555" s="4">
        <f>IF($A555=E$542,"",COUNTIF($E$4:$E$538,$A555&amp;" ضد "&amp;E$542)+COUNTIF($E$4:$E$538,E$542&amp;" ضد "&amp;$A555))</f>
        <v>1</v>
      </c>
      <c r="F555" s="4">
        <f>IF($A555=F$542,"",COUNTIF($E$4:$E$538,$A555&amp;" ضد "&amp;F$542)+COUNTIF($E$4:$E$538,F$542&amp;" ضد "&amp;$A555))</f>
        <v>1</v>
      </c>
      <c r="G555" s="4">
        <f>IF($A555=G$542,"",COUNTIF($E$4:$E$538,$A555&amp;" ضد "&amp;G$542)+COUNTIF($E$4:$E$538,G$542&amp;" ضد "&amp;$A555))</f>
        <v>1</v>
      </c>
      <c r="H555" s="4">
        <f>IF($A555=H$542,"",COUNTIF($E$4:$E$538,$A555&amp;" ضد "&amp;H$542)+COUNTIF($E$4:$E$538,H$542&amp;" ضد "&amp;$A555))</f>
        <v>1</v>
      </c>
      <c r="I555" s="4">
        <f>IF($A555=I$542,"",COUNTIF($E$4:$E$538,$A555&amp;" ضد "&amp;I$542)+COUNTIF($E$4:$E$538,I$542&amp;" ضد "&amp;$A555))</f>
        <v>1</v>
      </c>
      <c r="J555" s="4">
        <f>IF($A555=J$542,"",COUNTIF($E$4:$E$538,$A555&amp;" ضد "&amp;J$542)+COUNTIF($E$4:$E$538,J$542&amp;" ضد "&amp;$A555))</f>
        <v>1</v>
      </c>
      <c r="K555" s="4">
        <f>IF($A555=K$542,"",COUNTIF($E$4:$E$538,$A555&amp;" ضد "&amp;K$542)+COUNTIF($E$4:$E$538,K$542&amp;" ضد "&amp;$A555))</f>
        <v>1</v>
      </c>
      <c r="L555" s="4">
        <f>IF($A555=L$542,"",COUNTIF($E$4:$E$538,$A555&amp;" ضد "&amp;L$542)+COUNTIF($E$4:$E$538,L$542&amp;" ضد "&amp;$A555))</f>
        <v>1</v>
      </c>
      <c r="M555" s="4">
        <f>IF($A555=M$542,"",COUNTIF($E$4:$E$538,$A555&amp;" ضد "&amp;M$542)+COUNTIF($E$4:$E$538,M$542&amp;" ضد "&amp;$A555))</f>
        <v>1</v>
      </c>
      <c r="N555" s="4" t="str">
        <f>IF($A555=N$542,"",COUNTIF($E$4:$E$538,$A555&amp;" ضد "&amp;N$542)+COUNTIF($E$4:$E$538,N$542&amp;" ضد "&amp;$A555))</f>
        <v/>
      </c>
      <c r="O555" s="4">
        <f>IF($A555=O$542,"",COUNTIF($E$4:$E$538,$A555&amp;" ضد "&amp;O$542)+COUNTIF($E$4:$E$538,O$542&amp;" ضد "&amp;$A555))</f>
        <v>1</v>
      </c>
      <c r="P555" s="4">
        <f>IF($A555=P$542,"",COUNTIF($E$4:$E$538,$A555&amp;" ضد "&amp;P$542)+COUNTIF($E$4:$E$538,P$542&amp;" ضد "&amp;$A555))</f>
        <v>1</v>
      </c>
      <c r="Q555" s="4">
        <f>IF($A555=Q$542,"",COUNTIF($E$4:$E$538,$A555&amp;" ضد "&amp;Q$542)+COUNTIF($E$4:$E$538,Q$542&amp;" ضد "&amp;$A555))</f>
        <v>1</v>
      </c>
      <c r="R555" s="4">
        <f>IF($A555=R$542,"",COUNTIF($E$4:$E$538,$A555&amp;" ضد "&amp;R$542)+COUNTIF($E$4:$E$538,R$542&amp;" ضد "&amp;$A555))</f>
        <v>1</v>
      </c>
      <c r="S555" s="4">
        <f>IF($A555=S$542,"",COUNTIF($E$4:$E$538,$A555&amp;" ضد "&amp;S$542)+COUNTIF($E$4:$E$538,S$542&amp;" ضد "&amp;$A555))</f>
        <v>1</v>
      </c>
      <c r="T555" s="4">
        <f>IF($A555=T$542,"",COUNTIF($E$4:$E$538,$A555&amp;" ضد "&amp;T$542)+COUNTIF($E$4:$E$538,T$542&amp;" ضد "&amp;$A555))</f>
        <v>1</v>
      </c>
      <c r="U555" s="4">
        <f>IF($A555=U$542,"",COUNTIF($E$4:$E$538,$A555&amp;" ضد "&amp;U$542)+COUNTIF($E$4:$E$538,U$542&amp;" ضد "&amp;$A555))</f>
        <v>1</v>
      </c>
      <c r="V555" s="4">
        <f>IF($A555=V$542,"",COUNTIF($E$4:$E$538,$A555&amp;" ضد "&amp;V$542)+COUNTIF($E$4:$E$538,V$542&amp;" ضد "&amp;$A555))</f>
        <v>0</v>
      </c>
      <c r="W555" s="4">
        <f>IF($A555=W$542,"",COUNTIF($E$4:$E$538,$A555&amp;" ضد "&amp;W$542)+COUNTIF($E$4:$E$538,W$542&amp;" ضد "&amp;$A555))</f>
        <v>0</v>
      </c>
      <c r="X555" s="4">
        <f>IF($A555=X$542,"",COUNTIF($E$4:$E$538,$A555&amp;" ضد "&amp;X$542)+COUNTIF($E$4:$E$538,X$542&amp;" ضد "&amp;$A555))</f>
        <v>0</v>
      </c>
      <c r="Y555" s="4">
        <f>IF($A555=Y$542,"",COUNTIF($E$4:$E$538,$A555&amp;" ضد "&amp;Y$542)+COUNTIF($E$4:$E$538,Y$542&amp;" ضد "&amp;$A555))</f>
        <v>0</v>
      </c>
      <c r="Z555" s="4">
        <f>IF($A555=Z$542,"",COUNTIF($E$4:$E$538,$A555&amp;" ضد "&amp;Z$542)+COUNTIF($E$4:$E$538,Z$542&amp;" ضد "&amp;$A555))</f>
        <v>0</v>
      </c>
      <c r="AA555" s="4">
        <f>IF($A555=AA$542,"",COUNTIF($E$4:$E$538,$A555&amp;" ضد "&amp;AA$542)+COUNTIF($E$4:$E$538,AA$542&amp;" ضد "&amp;$A555))</f>
        <v>0</v>
      </c>
      <c r="AB555" s="4">
        <f>IF($A555=AB$542,"",COUNTIF($E$4:$E$538,$A555&amp;" ضد "&amp;AB$542)+COUNTIF($E$4:$E$538,AB$542&amp;" ضد "&amp;$A555))</f>
        <v>0</v>
      </c>
      <c r="AC555" s="4">
        <f>IF($A555=AC$542,"",COUNTIF($E$4:$E$538,$A555&amp;" ضد "&amp;AC$542)+COUNTIF($E$4:$E$538,AC$542&amp;" ضد "&amp;$A555))</f>
        <v>0</v>
      </c>
      <c r="AD555" s="4">
        <f>IF($A555=AD$542,"",COUNTIF($E$4:$E$538,$A555&amp;" ضد "&amp;AD$542)+COUNTIF($E$4:$E$538,AD$542&amp;" ضد "&amp;$A555))</f>
        <v>0</v>
      </c>
      <c r="AE555" s="4">
        <f>IF($A555=AE$542,"",COUNTIF($E$4:$E$538,$A555&amp;" ضد "&amp;AE$542)+COUNTIF($E$4:$E$538,AE$542&amp;" ضد "&amp;$A555))</f>
        <v>0</v>
      </c>
      <c r="AF555" s="4">
        <f>IF($A555=AF$542,"",COUNTIF($E$4:$E$538,$A555&amp;" ضد "&amp;AF$542)+COUNTIF($E$4:$E$538,AF$542&amp;" ضد "&amp;$A555))</f>
        <v>0</v>
      </c>
      <c r="AG555" s="4">
        <f>IF($A555=AG$542,"",COUNTIF($E$4:$E$538,$A555&amp;" ضد "&amp;AG$542)+COUNTIF($E$4:$E$538,AG$542&amp;" ضد "&amp;$A555))</f>
        <v>0</v>
      </c>
      <c r="AH555" s="4">
        <f>IF($A555=AH$542,"",COUNTIF($E$4:$E$538,$A555&amp;" ضد "&amp;AH$542)+COUNTIF($E$4:$E$538,AH$542&amp;" ضد "&amp;$A555))</f>
        <v>0</v>
      </c>
      <c r="AI555" s="4">
        <f>IF($A555=AI$542,"",COUNTIF($E$4:$E$538,$A555&amp;" ضد "&amp;AI$542)+COUNTIF($E$4:$E$538,AI$542&amp;" ضد "&amp;$A555))</f>
        <v>0</v>
      </c>
      <c r="AJ555" s="4">
        <f>IF($A555=AJ$542,"",COUNTIF($E$4:$E$538,$A555&amp;" ضد "&amp;AJ$542)+COUNTIF($E$4:$E$538,AJ$542&amp;" ضد "&amp;$A555))</f>
        <v>0</v>
      </c>
      <c r="AK555" s="4">
        <f>IF($A555=AK$542,"",COUNTIF($E$4:$E$538,$A555&amp;" ضد "&amp;AK$542)+COUNTIF($E$4:$E$538,AK$542&amp;" ضد "&amp;$A555))</f>
        <v>0</v>
      </c>
      <c r="AL555" s="4">
        <f>IF($A555=AL$542,"",COUNTIF($E$4:$E$538,$A555&amp;" ضد "&amp;AL$542)+COUNTIF($E$4:$E$538,AL$542&amp;" ضد "&amp;$A555))</f>
        <v>0</v>
      </c>
      <c r="AM555" s="4">
        <f>IF($A555=AM$542,"",COUNTIF($E$4:$E$538,$A555&amp;" ضد "&amp;AM$542)+COUNTIF($E$4:$E$538,AM$542&amp;" ضد "&amp;$A555))</f>
        <v>0</v>
      </c>
      <c r="AN555" s="4">
        <f>IF($A555=AN$542,"",COUNTIF($E$4:$E$538,$A555&amp;" ضد "&amp;AN$542)+COUNTIF($E$4:$E$538,AN$542&amp;" ضد "&amp;$A555))</f>
        <v>0</v>
      </c>
      <c r="AO555" s="4">
        <f>IF($A555=AO$542,"",COUNTIF($E$4:$E$538,$A555&amp;" ضد "&amp;AO$542)+COUNTIF($E$4:$E$538,AO$542&amp;" ضد "&amp;$A555))</f>
        <v>0</v>
      </c>
      <c r="AP555" s="4">
        <f>IF($A555=AP$542,"",COUNTIF($E$4:$E$538,$A555&amp;" ضد "&amp;AP$542)+COUNTIF($E$4:$E$538,AP$542&amp;" ضد "&amp;$A555))</f>
        <v>0</v>
      </c>
      <c r="AQ555" s="4">
        <f>IF($A555=AQ$542,"",COUNTIF($E$4:$E$538,$A555&amp;" ضد "&amp;AQ$542)+COUNTIF($E$4:$E$538,AQ$542&amp;" ضد "&amp;$A555))</f>
        <v>0</v>
      </c>
      <c r="AR555" s="4">
        <f>IF($A555=AR$542,"",COUNTIF($E$4:$E$538,$A555&amp;" ضد "&amp;AR$542)+COUNTIF($E$4:$E$538,AR$542&amp;" ضد "&amp;$A555))</f>
        <v>0</v>
      </c>
      <c r="AS555" s="4">
        <f>IF($A555=AS$542,"",COUNTIF($E$4:$E$538,$A555&amp;" ضد "&amp;AS$542)+COUNTIF($E$4:$E$538,AS$542&amp;" ضد "&amp;$A555))</f>
        <v>0</v>
      </c>
      <c r="AT555" s="4">
        <f>IF($A555=AT$542,"",COUNTIF($E$4:$E$538,$A555&amp;" ضد "&amp;AT$542)+COUNTIF($E$4:$E$538,AT$542&amp;" ضد "&amp;$A555))</f>
        <v>0</v>
      </c>
      <c r="AU555" s="4">
        <f>IF($A555=AU$542,"",COUNTIF($E$4:$E$538,$A555&amp;" ضد "&amp;AU$542)+COUNTIF($E$4:$E$538,AU$542&amp;" ضد "&amp;$A555))</f>
        <v>0</v>
      </c>
      <c r="AV555" s="4">
        <f>IF($A555=AV$542,"",COUNTIF($E$4:$E$538,$A555&amp;" ضد "&amp;AV$542)+COUNTIF($E$4:$E$538,AV$542&amp;" ضد "&amp;$A555))</f>
        <v>0</v>
      </c>
      <c r="AW555" s="4">
        <f>IF($A555=AW$542,"",COUNTIF($E$4:$E$538,$A555&amp;" ضد "&amp;AW$542)+COUNTIF($E$4:$E$538,AW$542&amp;" ضد "&amp;$A555))</f>
        <v>0</v>
      </c>
      <c r="AX555" s="4">
        <f>IF($A555=AX$542,"",COUNTIF($E$4:$E$538,$A555&amp;" ضد "&amp;AX$542)+COUNTIF($E$4:$E$538,AX$542&amp;" ضد "&amp;$A555))</f>
        <v>0</v>
      </c>
      <c r="AY555" s="4">
        <f>IF($A555=AY$542,"",COUNTIF($E$4:$E$538,$A555&amp;" ضد "&amp;AY$542)+COUNTIF($E$4:$E$538,AY$542&amp;" ضد "&amp;$A555))</f>
        <v>0</v>
      </c>
      <c r="AZ555" s="4">
        <f>IF($A555=AZ$542,"",COUNTIF($E$4:$E$538,$A555&amp;" ضد "&amp;AZ$542)+COUNTIF($E$4:$E$538,AZ$542&amp;" ضد "&amp;$A555))</f>
        <v>0</v>
      </c>
      <c r="BA555" s="4">
        <f>IF($A555=BA$542,"",COUNTIF($E$4:$E$538,$A555&amp;" ضد "&amp;BA$542)+COUNTIF($E$4:$E$538,BA$542&amp;" ضد "&amp;$A555))</f>
        <v>0</v>
      </c>
      <c r="BB555" s="4">
        <f>IF($A555=BB$542,"",COUNTIF($E$4:$E$538,$A555&amp;" ضد "&amp;BB$542)+COUNTIF($E$4:$E$538,BB$542&amp;" ضد "&amp;$A555))</f>
        <v>0</v>
      </c>
      <c r="BC555" s="4">
        <f>IF($A555=BC$542,"",COUNTIF($E$4:$E$538,$A555&amp;" ضد "&amp;BC$542)+COUNTIF($E$4:$E$538,BC$542&amp;" ضد "&amp;$A555))</f>
        <v>0</v>
      </c>
      <c r="BD555" s="4">
        <f>IF($A555=BD$542,"",COUNTIF($E$4:$E$538,$A555&amp;" ضد "&amp;BD$542)+COUNTIF($E$4:$E$538,BD$542&amp;" ضد "&amp;$A555))</f>
        <v>0</v>
      </c>
      <c r="BE555" s="4">
        <f>IF($A555=BE$542,"",COUNTIF($E$4:$E$538,$A555&amp;" ضد "&amp;BE$542)+COUNTIF($E$4:$E$538,BE$542&amp;" ضد "&amp;$A555))</f>
        <v>0</v>
      </c>
      <c r="BF555" s="4">
        <f>IF($A555=BF$542,"",COUNTIF($E$4:$E$538,$A555&amp;" ضد "&amp;BF$542)+COUNTIF($E$4:$E$538,BF$542&amp;" ضد "&amp;$A555))</f>
        <v>0</v>
      </c>
      <c r="BG555" s="4">
        <f>IF($A555=BG$542,"",COUNTIF($E$4:$E$538,$A555&amp;" ضد "&amp;BG$542)+COUNTIF($E$4:$E$538,BG$542&amp;" ضد "&amp;$A555))</f>
        <v>0</v>
      </c>
    </row>
    <row r="556" spans="1:59" ht="14.5">
      <c r="A556" s="14">
        <v>14</v>
      </c>
      <c r="B556" s="4">
        <f>IF($A556=B$542,"",COUNTIF($E$4:$E$538,$A556&amp;" ضد "&amp;B$542)+COUNTIF($E$4:$E$538,B$542&amp;" ضد "&amp;$A556))</f>
        <v>1</v>
      </c>
      <c r="C556" s="4">
        <f>IF($A556=C$542,"",COUNTIF($E$4:$E$538,$A556&amp;" ضد "&amp;C$542)+COUNTIF($E$4:$E$538,C$542&amp;" ضد "&amp;$A556))</f>
        <v>1</v>
      </c>
      <c r="D556" s="4">
        <f>IF($A556=D$542,"",COUNTIF($E$4:$E$538,$A556&amp;" ضد "&amp;D$542)+COUNTIF($E$4:$E$538,D$542&amp;" ضد "&amp;$A556))</f>
        <v>1</v>
      </c>
      <c r="E556" s="4">
        <f>IF($A556=E$542,"",COUNTIF($E$4:$E$538,$A556&amp;" ضد "&amp;E$542)+COUNTIF($E$4:$E$538,E$542&amp;" ضد "&amp;$A556))</f>
        <v>1</v>
      </c>
      <c r="F556" s="4">
        <f>IF($A556=F$542,"",COUNTIF($E$4:$E$538,$A556&amp;" ضد "&amp;F$542)+COUNTIF($E$4:$E$538,F$542&amp;" ضد "&amp;$A556))</f>
        <v>1</v>
      </c>
      <c r="G556" s="4">
        <f>IF($A556=G$542,"",COUNTIF($E$4:$E$538,$A556&amp;" ضد "&amp;G$542)+COUNTIF($E$4:$E$538,G$542&amp;" ضد "&amp;$A556))</f>
        <v>1</v>
      </c>
      <c r="H556" s="4">
        <f>IF($A556=H$542,"",COUNTIF($E$4:$E$538,$A556&amp;" ضد "&amp;H$542)+COUNTIF($E$4:$E$538,H$542&amp;" ضد "&amp;$A556))</f>
        <v>1</v>
      </c>
      <c r="I556" s="4">
        <f>IF($A556=I$542,"",COUNTIF($E$4:$E$538,$A556&amp;" ضد "&amp;I$542)+COUNTIF($E$4:$E$538,I$542&amp;" ضد "&amp;$A556))</f>
        <v>1</v>
      </c>
      <c r="J556" s="4">
        <f>IF($A556=J$542,"",COUNTIF($E$4:$E$538,$A556&amp;" ضد "&amp;J$542)+COUNTIF($E$4:$E$538,J$542&amp;" ضد "&amp;$A556))</f>
        <v>1</v>
      </c>
      <c r="K556" s="4">
        <f>IF($A556=K$542,"",COUNTIF($E$4:$E$538,$A556&amp;" ضد "&amp;K$542)+COUNTIF($E$4:$E$538,K$542&amp;" ضد "&amp;$A556))</f>
        <v>1</v>
      </c>
      <c r="L556" s="4">
        <f>IF($A556=L$542,"",COUNTIF($E$4:$E$538,$A556&amp;" ضد "&amp;L$542)+COUNTIF($E$4:$E$538,L$542&amp;" ضد "&amp;$A556))</f>
        <v>1</v>
      </c>
      <c r="M556" s="4">
        <f>IF($A556=M$542,"",COUNTIF($E$4:$E$538,$A556&amp;" ضد "&amp;M$542)+COUNTIF($E$4:$E$538,M$542&amp;" ضد "&amp;$A556))</f>
        <v>1</v>
      </c>
      <c r="N556" s="4">
        <f>IF($A556=N$542,"",COUNTIF($E$4:$E$538,$A556&amp;" ضد "&amp;N$542)+COUNTIF($E$4:$E$538,N$542&amp;" ضد "&amp;$A556))</f>
        <v>1</v>
      </c>
      <c r="O556" s="4" t="str">
        <f>IF($A556=O$542,"",COUNTIF($E$4:$E$538,$A556&amp;" ضد "&amp;O$542)+COUNTIF($E$4:$E$538,O$542&amp;" ضد "&amp;$A556))</f>
        <v/>
      </c>
      <c r="P556" s="4">
        <f>IF($A556=P$542,"",COUNTIF($E$4:$E$538,$A556&amp;" ضد "&amp;P$542)+COUNTIF($E$4:$E$538,P$542&amp;" ضد "&amp;$A556))</f>
        <v>1</v>
      </c>
      <c r="Q556" s="4">
        <f>IF($A556=Q$542,"",COUNTIF($E$4:$E$538,$A556&amp;" ضد "&amp;Q$542)+COUNTIF($E$4:$E$538,Q$542&amp;" ضد "&amp;$A556))</f>
        <v>1</v>
      </c>
      <c r="R556" s="4">
        <f>IF($A556=R$542,"",COUNTIF($E$4:$E$538,$A556&amp;" ضد "&amp;R$542)+COUNTIF($E$4:$E$538,R$542&amp;" ضد "&amp;$A556))</f>
        <v>1</v>
      </c>
      <c r="S556" s="4">
        <f>IF($A556=S$542,"",COUNTIF($E$4:$E$538,$A556&amp;" ضد "&amp;S$542)+COUNTIF($E$4:$E$538,S$542&amp;" ضد "&amp;$A556))</f>
        <v>1</v>
      </c>
      <c r="T556" s="4">
        <f>IF($A556=T$542,"",COUNTIF($E$4:$E$538,$A556&amp;" ضد "&amp;T$542)+COUNTIF($E$4:$E$538,T$542&amp;" ضد "&amp;$A556))</f>
        <v>1</v>
      </c>
      <c r="U556" s="4">
        <f>IF($A556=U$542,"",COUNTIF($E$4:$E$538,$A556&amp;" ضد "&amp;U$542)+COUNTIF($E$4:$E$538,U$542&amp;" ضد "&amp;$A556))</f>
        <v>1</v>
      </c>
      <c r="V556" s="4">
        <f>IF($A556=V$542,"",COUNTIF($E$4:$E$538,$A556&amp;" ضد "&amp;V$542)+COUNTIF($E$4:$E$538,V$542&amp;" ضد "&amp;$A556))</f>
        <v>0</v>
      </c>
      <c r="W556" s="4">
        <f>IF($A556=W$542,"",COUNTIF($E$4:$E$538,$A556&amp;" ضد "&amp;W$542)+COUNTIF($E$4:$E$538,W$542&amp;" ضد "&amp;$A556))</f>
        <v>0</v>
      </c>
      <c r="X556" s="4">
        <f>IF($A556=X$542,"",COUNTIF($E$4:$E$538,$A556&amp;" ضد "&amp;X$542)+COUNTIF($E$4:$E$538,X$542&amp;" ضد "&amp;$A556))</f>
        <v>0</v>
      </c>
      <c r="Y556" s="4">
        <f>IF($A556=Y$542,"",COUNTIF($E$4:$E$538,$A556&amp;" ضد "&amp;Y$542)+COUNTIF($E$4:$E$538,Y$542&amp;" ضد "&amp;$A556))</f>
        <v>0</v>
      </c>
      <c r="Z556" s="4">
        <f>IF($A556=Z$542,"",COUNTIF($E$4:$E$538,$A556&amp;" ضد "&amp;Z$542)+COUNTIF($E$4:$E$538,Z$542&amp;" ضد "&amp;$A556))</f>
        <v>0</v>
      </c>
      <c r="AA556" s="4">
        <f>IF($A556=AA$542,"",COUNTIF($E$4:$E$538,$A556&amp;" ضد "&amp;AA$542)+COUNTIF($E$4:$E$538,AA$542&amp;" ضد "&amp;$A556))</f>
        <v>0</v>
      </c>
      <c r="AB556" s="4">
        <f>IF($A556=AB$542,"",COUNTIF($E$4:$E$538,$A556&amp;" ضد "&amp;AB$542)+COUNTIF($E$4:$E$538,AB$542&amp;" ضد "&amp;$A556))</f>
        <v>0</v>
      </c>
      <c r="AC556" s="4">
        <f>IF($A556=AC$542,"",COUNTIF($E$4:$E$538,$A556&amp;" ضد "&amp;AC$542)+COUNTIF($E$4:$E$538,AC$542&amp;" ضد "&amp;$A556))</f>
        <v>0</v>
      </c>
      <c r="AD556" s="4">
        <f>IF($A556=AD$542,"",COUNTIF($E$4:$E$538,$A556&amp;" ضد "&amp;AD$542)+COUNTIF($E$4:$E$538,AD$542&amp;" ضد "&amp;$A556))</f>
        <v>0</v>
      </c>
      <c r="AE556" s="4">
        <f>IF($A556=AE$542,"",COUNTIF($E$4:$E$538,$A556&amp;" ضد "&amp;AE$542)+COUNTIF($E$4:$E$538,AE$542&amp;" ضد "&amp;$A556))</f>
        <v>0</v>
      </c>
      <c r="AF556" s="4">
        <f>IF($A556=AF$542,"",COUNTIF($E$4:$E$538,$A556&amp;" ضد "&amp;AF$542)+COUNTIF($E$4:$E$538,AF$542&amp;" ضد "&amp;$A556))</f>
        <v>0</v>
      </c>
      <c r="AG556" s="4">
        <f>IF($A556=AG$542,"",COUNTIF($E$4:$E$538,$A556&amp;" ضد "&amp;AG$542)+COUNTIF($E$4:$E$538,AG$542&amp;" ضد "&amp;$A556))</f>
        <v>0</v>
      </c>
      <c r="AH556" s="4">
        <f>IF($A556=AH$542,"",COUNTIF($E$4:$E$538,$A556&amp;" ضد "&amp;AH$542)+COUNTIF($E$4:$E$538,AH$542&amp;" ضد "&amp;$A556))</f>
        <v>0</v>
      </c>
      <c r="AI556" s="4">
        <f>IF($A556=AI$542,"",COUNTIF($E$4:$E$538,$A556&amp;" ضد "&amp;AI$542)+COUNTIF($E$4:$E$538,AI$542&amp;" ضد "&amp;$A556))</f>
        <v>0</v>
      </c>
      <c r="AJ556" s="4">
        <f>IF($A556=AJ$542,"",COUNTIF($E$4:$E$538,$A556&amp;" ضد "&amp;AJ$542)+COUNTIF($E$4:$E$538,AJ$542&amp;" ضد "&amp;$A556))</f>
        <v>0</v>
      </c>
      <c r="AK556" s="4">
        <f>IF($A556=AK$542,"",COUNTIF($E$4:$E$538,$A556&amp;" ضد "&amp;AK$542)+COUNTIF($E$4:$E$538,AK$542&amp;" ضد "&amp;$A556))</f>
        <v>0</v>
      </c>
      <c r="AL556" s="4">
        <f>IF($A556=AL$542,"",COUNTIF($E$4:$E$538,$A556&amp;" ضد "&amp;AL$542)+COUNTIF($E$4:$E$538,AL$542&amp;" ضد "&amp;$A556))</f>
        <v>0</v>
      </c>
      <c r="AM556" s="4">
        <f>IF($A556=AM$542,"",COUNTIF($E$4:$E$538,$A556&amp;" ضد "&amp;AM$542)+COUNTIF($E$4:$E$538,AM$542&amp;" ضد "&amp;$A556))</f>
        <v>0</v>
      </c>
      <c r="AN556" s="4">
        <f>IF($A556=AN$542,"",COUNTIF($E$4:$E$538,$A556&amp;" ضد "&amp;AN$542)+COUNTIF($E$4:$E$538,AN$542&amp;" ضد "&amp;$A556))</f>
        <v>0</v>
      </c>
      <c r="AO556" s="4">
        <f>IF($A556=AO$542,"",COUNTIF($E$4:$E$538,$A556&amp;" ضد "&amp;AO$542)+COUNTIF($E$4:$E$538,AO$542&amp;" ضد "&amp;$A556))</f>
        <v>0</v>
      </c>
      <c r="AP556" s="4">
        <f>IF($A556=AP$542,"",COUNTIF($E$4:$E$538,$A556&amp;" ضد "&amp;AP$542)+COUNTIF($E$4:$E$538,AP$542&amp;" ضد "&amp;$A556))</f>
        <v>0</v>
      </c>
      <c r="AQ556" s="4">
        <f>IF($A556=AQ$542,"",COUNTIF($E$4:$E$538,$A556&amp;" ضد "&amp;AQ$542)+COUNTIF($E$4:$E$538,AQ$542&amp;" ضد "&amp;$A556))</f>
        <v>0</v>
      </c>
      <c r="AR556" s="4">
        <f>IF($A556=AR$542,"",COUNTIF($E$4:$E$538,$A556&amp;" ضد "&amp;AR$542)+COUNTIF($E$4:$E$538,AR$542&amp;" ضد "&amp;$A556))</f>
        <v>0</v>
      </c>
      <c r="AS556" s="4">
        <f>IF($A556=AS$542,"",COUNTIF($E$4:$E$538,$A556&amp;" ضد "&amp;AS$542)+COUNTIF($E$4:$E$538,AS$542&amp;" ضد "&amp;$A556))</f>
        <v>0</v>
      </c>
      <c r="AT556" s="4">
        <f>IF($A556=AT$542,"",COUNTIF($E$4:$E$538,$A556&amp;" ضد "&amp;AT$542)+COUNTIF($E$4:$E$538,AT$542&amp;" ضد "&amp;$A556))</f>
        <v>0</v>
      </c>
      <c r="AU556" s="4">
        <f>IF($A556=AU$542,"",COUNTIF($E$4:$E$538,$A556&amp;" ضد "&amp;AU$542)+COUNTIF($E$4:$E$538,AU$542&amp;" ضد "&amp;$A556))</f>
        <v>0</v>
      </c>
      <c r="AV556" s="4">
        <f>IF($A556=AV$542,"",COUNTIF($E$4:$E$538,$A556&amp;" ضد "&amp;AV$542)+COUNTIF($E$4:$E$538,AV$542&amp;" ضد "&amp;$A556))</f>
        <v>0</v>
      </c>
      <c r="AW556" s="4">
        <f>IF($A556=AW$542,"",COUNTIF($E$4:$E$538,$A556&amp;" ضد "&amp;AW$542)+COUNTIF($E$4:$E$538,AW$542&amp;" ضد "&amp;$A556))</f>
        <v>0</v>
      </c>
      <c r="AX556" s="4">
        <f>IF($A556=AX$542,"",COUNTIF($E$4:$E$538,$A556&amp;" ضد "&amp;AX$542)+COUNTIF($E$4:$E$538,AX$542&amp;" ضد "&amp;$A556))</f>
        <v>0</v>
      </c>
      <c r="AY556" s="4">
        <f>IF($A556=AY$542,"",COUNTIF($E$4:$E$538,$A556&amp;" ضد "&amp;AY$542)+COUNTIF($E$4:$E$538,AY$542&amp;" ضد "&amp;$A556))</f>
        <v>0</v>
      </c>
      <c r="AZ556" s="4">
        <f>IF($A556=AZ$542,"",COUNTIF($E$4:$E$538,$A556&amp;" ضد "&amp;AZ$542)+COUNTIF($E$4:$E$538,AZ$542&amp;" ضد "&amp;$A556))</f>
        <v>0</v>
      </c>
      <c r="BA556" s="4">
        <f>IF($A556=BA$542,"",COUNTIF($E$4:$E$538,$A556&amp;" ضد "&amp;BA$542)+COUNTIF($E$4:$E$538,BA$542&amp;" ضد "&amp;$A556))</f>
        <v>0</v>
      </c>
      <c r="BB556" s="4">
        <f>IF($A556=BB$542,"",COUNTIF($E$4:$E$538,$A556&amp;" ضد "&amp;BB$542)+COUNTIF($E$4:$E$538,BB$542&amp;" ضد "&amp;$A556))</f>
        <v>0</v>
      </c>
      <c r="BC556" s="4">
        <f>IF($A556=BC$542,"",COUNTIF($E$4:$E$538,$A556&amp;" ضد "&amp;BC$542)+COUNTIF($E$4:$E$538,BC$542&amp;" ضد "&amp;$A556))</f>
        <v>0</v>
      </c>
      <c r="BD556" s="4">
        <f>IF($A556=BD$542,"",COUNTIF($E$4:$E$538,$A556&amp;" ضد "&amp;BD$542)+COUNTIF($E$4:$E$538,BD$542&amp;" ضد "&amp;$A556))</f>
        <v>0</v>
      </c>
      <c r="BE556" s="4">
        <f>IF($A556=BE$542,"",COUNTIF($E$4:$E$538,$A556&amp;" ضد "&amp;BE$542)+COUNTIF($E$4:$E$538,BE$542&amp;" ضد "&amp;$A556))</f>
        <v>0</v>
      </c>
      <c r="BF556" s="4">
        <f>IF($A556=BF$542,"",COUNTIF($E$4:$E$538,$A556&amp;" ضد "&amp;BF$542)+COUNTIF($E$4:$E$538,BF$542&amp;" ضد "&amp;$A556))</f>
        <v>0</v>
      </c>
      <c r="BG556" s="4">
        <f>IF($A556=BG$542,"",COUNTIF($E$4:$E$538,$A556&amp;" ضد "&amp;BG$542)+COUNTIF($E$4:$E$538,BG$542&amp;" ضد "&amp;$A556))</f>
        <v>0</v>
      </c>
    </row>
    <row r="557" spans="1:59" ht="14.5">
      <c r="A557" s="14">
        <v>15</v>
      </c>
      <c r="B557" s="4">
        <f>IF($A557=B$542,"",COUNTIF($E$4:$E$538,$A557&amp;" ضد "&amp;B$542)+COUNTIF($E$4:$E$538,B$542&amp;" ضد "&amp;$A557))</f>
        <v>1</v>
      </c>
      <c r="C557" s="4">
        <f>IF($A557=C$542,"",COUNTIF($E$4:$E$538,$A557&amp;" ضد "&amp;C$542)+COUNTIF($E$4:$E$538,C$542&amp;" ضد "&amp;$A557))</f>
        <v>1</v>
      </c>
      <c r="D557" s="4">
        <f>IF($A557=D$542,"",COUNTIF($E$4:$E$538,$A557&amp;" ضد "&amp;D$542)+COUNTIF($E$4:$E$538,D$542&amp;" ضد "&amp;$A557))</f>
        <v>1</v>
      </c>
      <c r="E557" s="4">
        <f>IF($A557=E$542,"",COUNTIF($E$4:$E$538,$A557&amp;" ضد "&amp;E$542)+COUNTIF($E$4:$E$538,E$542&amp;" ضد "&amp;$A557))</f>
        <v>1</v>
      </c>
      <c r="F557" s="4">
        <f>IF($A557=F$542,"",COUNTIF($E$4:$E$538,$A557&amp;" ضد "&amp;F$542)+COUNTIF($E$4:$E$538,F$542&amp;" ضد "&amp;$A557))</f>
        <v>1</v>
      </c>
      <c r="G557" s="4">
        <f>IF($A557=G$542,"",COUNTIF($E$4:$E$538,$A557&amp;" ضد "&amp;G$542)+COUNTIF($E$4:$E$538,G$542&amp;" ضد "&amp;$A557))</f>
        <v>1</v>
      </c>
      <c r="H557" s="4">
        <f>IF($A557=H$542,"",COUNTIF($E$4:$E$538,$A557&amp;" ضد "&amp;H$542)+COUNTIF($E$4:$E$538,H$542&amp;" ضد "&amp;$A557))</f>
        <v>1</v>
      </c>
      <c r="I557" s="4">
        <f>IF($A557=I$542,"",COUNTIF($E$4:$E$538,$A557&amp;" ضد "&amp;I$542)+COUNTIF($E$4:$E$538,I$542&amp;" ضد "&amp;$A557))</f>
        <v>1</v>
      </c>
      <c r="J557" s="4">
        <f>IF($A557=J$542,"",COUNTIF($E$4:$E$538,$A557&amp;" ضد "&amp;J$542)+COUNTIF($E$4:$E$538,J$542&amp;" ضد "&amp;$A557))</f>
        <v>1</v>
      </c>
      <c r="K557" s="4">
        <f>IF($A557=K$542,"",COUNTIF($E$4:$E$538,$A557&amp;" ضد "&amp;K$542)+COUNTIF($E$4:$E$538,K$542&amp;" ضد "&amp;$A557))</f>
        <v>1</v>
      </c>
      <c r="L557" s="4">
        <f>IF($A557=L$542,"",COUNTIF($E$4:$E$538,$A557&amp;" ضد "&amp;L$542)+COUNTIF($E$4:$E$538,L$542&amp;" ضد "&amp;$A557))</f>
        <v>1</v>
      </c>
      <c r="M557" s="4">
        <f>IF($A557=M$542,"",COUNTIF($E$4:$E$538,$A557&amp;" ضد "&amp;M$542)+COUNTIF($E$4:$E$538,M$542&amp;" ضد "&amp;$A557))</f>
        <v>1</v>
      </c>
      <c r="N557" s="4">
        <f>IF($A557=N$542,"",COUNTIF($E$4:$E$538,$A557&amp;" ضد "&amp;N$542)+COUNTIF($E$4:$E$538,N$542&amp;" ضد "&amp;$A557))</f>
        <v>1</v>
      </c>
      <c r="O557" s="4">
        <f>IF($A557=O$542,"",COUNTIF($E$4:$E$538,$A557&amp;" ضد "&amp;O$542)+COUNTIF($E$4:$E$538,O$542&amp;" ضد "&amp;$A557))</f>
        <v>1</v>
      </c>
      <c r="P557" s="4" t="str">
        <f>IF($A557=P$542,"",COUNTIF($E$4:$E$538,$A557&amp;" ضد "&amp;P$542)+COUNTIF($E$4:$E$538,P$542&amp;" ضد "&amp;$A557))</f>
        <v/>
      </c>
      <c r="Q557" s="4">
        <f>IF($A557=Q$542,"",COUNTIF($E$4:$E$538,$A557&amp;" ضد "&amp;Q$542)+COUNTIF($E$4:$E$538,Q$542&amp;" ضد "&amp;$A557))</f>
        <v>1</v>
      </c>
      <c r="R557" s="4">
        <f>IF($A557=R$542,"",COUNTIF($E$4:$E$538,$A557&amp;" ضد "&amp;R$542)+COUNTIF($E$4:$E$538,R$542&amp;" ضد "&amp;$A557))</f>
        <v>1</v>
      </c>
      <c r="S557" s="4">
        <f>IF($A557=S$542,"",COUNTIF($E$4:$E$538,$A557&amp;" ضد "&amp;S$542)+COUNTIF($E$4:$E$538,S$542&amp;" ضد "&amp;$A557))</f>
        <v>1</v>
      </c>
      <c r="T557" s="4">
        <f>IF($A557=T$542,"",COUNTIF($E$4:$E$538,$A557&amp;" ضد "&amp;T$542)+COUNTIF($E$4:$E$538,T$542&amp;" ضد "&amp;$A557))</f>
        <v>1</v>
      </c>
      <c r="U557" s="4">
        <f>IF($A557=U$542,"",COUNTIF($E$4:$E$538,$A557&amp;" ضد "&amp;U$542)+COUNTIF($E$4:$E$538,U$542&amp;" ضد "&amp;$A557))</f>
        <v>1</v>
      </c>
      <c r="V557" s="4">
        <f>IF($A557=V$542,"",COUNTIF($E$4:$E$538,$A557&amp;" ضد "&amp;V$542)+COUNTIF($E$4:$E$538,V$542&amp;" ضد "&amp;$A557))</f>
        <v>0</v>
      </c>
      <c r="W557" s="4">
        <f>IF($A557=W$542,"",COUNTIF($E$4:$E$538,$A557&amp;" ضد "&amp;W$542)+COUNTIF($E$4:$E$538,W$542&amp;" ضد "&amp;$A557))</f>
        <v>0</v>
      </c>
      <c r="X557" s="4">
        <f>IF($A557=X$542,"",COUNTIF($E$4:$E$538,$A557&amp;" ضد "&amp;X$542)+COUNTIF($E$4:$E$538,X$542&amp;" ضد "&amp;$A557))</f>
        <v>0</v>
      </c>
      <c r="Y557" s="4">
        <f>IF($A557=Y$542,"",COUNTIF($E$4:$E$538,$A557&amp;" ضد "&amp;Y$542)+COUNTIF($E$4:$E$538,Y$542&amp;" ضد "&amp;$A557))</f>
        <v>0</v>
      </c>
      <c r="Z557" s="4">
        <f>IF($A557=Z$542,"",COUNTIF($E$4:$E$538,$A557&amp;" ضد "&amp;Z$542)+COUNTIF($E$4:$E$538,Z$542&amp;" ضد "&amp;$A557))</f>
        <v>0</v>
      </c>
      <c r="AA557" s="4">
        <f>IF($A557=AA$542,"",COUNTIF($E$4:$E$538,$A557&amp;" ضد "&amp;AA$542)+COUNTIF($E$4:$E$538,AA$542&amp;" ضد "&amp;$A557))</f>
        <v>0</v>
      </c>
      <c r="AB557" s="4">
        <f>IF($A557=AB$542,"",COUNTIF($E$4:$E$538,$A557&amp;" ضد "&amp;AB$542)+COUNTIF($E$4:$E$538,AB$542&amp;" ضد "&amp;$A557))</f>
        <v>0</v>
      </c>
      <c r="AC557" s="4">
        <f>IF($A557=AC$542,"",COUNTIF($E$4:$E$538,$A557&amp;" ضد "&amp;AC$542)+COUNTIF($E$4:$E$538,AC$542&amp;" ضد "&amp;$A557))</f>
        <v>0</v>
      </c>
      <c r="AD557" s="4">
        <f>IF($A557=AD$542,"",COUNTIF($E$4:$E$538,$A557&amp;" ضد "&amp;AD$542)+COUNTIF($E$4:$E$538,AD$542&amp;" ضد "&amp;$A557))</f>
        <v>0</v>
      </c>
      <c r="AE557" s="4">
        <f>IF($A557=AE$542,"",COUNTIF($E$4:$E$538,$A557&amp;" ضد "&amp;AE$542)+COUNTIF($E$4:$E$538,AE$542&amp;" ضد "&amp;$A557))</f>
        <v>0</v>
      </c>
      <c r="AF557" s="4">
        <f>IF($A557=AF$542,"",COUNTIF($E$4:$E$538,$A557&amp;" ضد "&amp;AF$542)+COUNTIF($E$4:$E$538,AF$542&amp;" ضد "&amp;$A557))</f>
        <v>0</v>
      </c>
      <c r="AG557" s="4">
        <f>IF($A557=AG$542,"",COUNTIF($E$4:$E$538,$A557&amp;" ضد "&amp;AG$542)+COUNTIF($E$4:$E$538,AG$542&amp;" ضد "&amp;$A557))</f>
        <v>0</v>
      </c>
      <c r="AH557" s="4">
        <f>IF($A557=AH$542,"",COUNTIF($E$4:$E$538,$A557&amp;" ضد "&amp;AH$542)+COUNTIF($E$4:$E$538,AH$542&amp;" ضد "&amp;$A557))</f>
        <v>0</v>
      </c>
      <c r="AI557" s="4">
        <f>IF($A557=AI$542,"",COUNTIF($E$4:$E$538,$A557&amp;" ضد "&amp;AI$542)+COUNTIF($E$4:$E$538,AI$542&amp;" ضد "&amp;$A557))</f>
        <v>0</v>
      </c>
      <c r="AJ557" s="4">
        <f>IF($A557=AJ$542,"",COUNTIF($E$4:$E$538,$A557&amp;" ضد "&amp;AJ$542)+COUNTIF($E$4:$E$538,AJ$542&amp;" ضد "&amp;$A557))</f>
        <v>0</v>
      </c>
      <c r="AK557" s="4">
        <f>IF($A557=AK$542,"",COUNTIF($E$4:$E$538,$A557&amp;" ضد "&amp;AK$542)+COUNTIF($E$4:$E$538,AK$542&amp;" ضد "&amp;$A557))</f>
        <v>0</v>
      </c>
      <c r="AL557" s="4">
        <f>IF($A557=AL$542,"",COUNTIF($E$4:$E$538,$A557&amp;" ضد "&amp;AL$542)+COUNTIF($E$4:$E$538,AL$542&amp;" ضد "&amp;$A557))</f>
        <v>0</v>
      </c>
      <c r="AM557" s="4">
        <f>IF($A557=AM$542,"",COUNTIF($E$4:$E$538,$A557&amp;" ضد "&amp;AM$542)+COUNTIF($E$4:$E$538,AM$542&amp;" ضد "&amp;$A557))</f>
        <v>0</v>
      </c>
      <c r="AN557" s="4">
        <f>IF($A557=AN$542,"",COUNTIF($E$4:$E$538,$A557&amp;" ضد "&amp;AN$542)+COUNTIF($E$4:$E$538,AN$542&amp;" ضد "&amp;$A557))</f>
        <v>0</v>
      </c>
      <c r="AO557" s="4">
        <f>IF($A557=AO$542,"",COUNTIF($E$4:$E$538,$A557&amp;" ضد "&amp;AO$542)+COUNTIF($E$4:$E$538,AO$542&amp;" ضد "&amp;$A557))</f>
        <v>0</v>
      </c>
      <c r="AP557" s="4">
        <f>IF($A557=AP$542,"",COUNTIF($E$4:$E$538,$A557&amp;" ضد "&amp;AP$542)+COUNTIF($E$4:$E$538,AP$542&amp;" ضد "&amp;$A557))</f>
        <v>0</v>
      </c>
      <c r="AQ557" s="4">
        <f>IF($A557=AQ$542,"",COUNTIF($E$4:$E$538,$A557&amp;" ضد "&amp;AQ$542)+COUNTIF($E$4:$E$538,AQ$542&amp;" ضد "&amp;$A557))</f>
        <v>0</v>
      </c>
      <c r="AR557" s="4">
        <f>IF($A557=AR$542,"",COUNTIF($E$4:$E$538,$A557&amp;" ضد "&amp;AR$542)+COUNTIF($E$4:$E$538,AR$542&amp;" ضد "&amp;$A557))</f>
        <v>0</v>
      </c>
      <c r="AS557" s="4">
        <f>IF($A557=AS$542,"",COUNTIF($E$4:$E$538,$A557&amp;" ضد "&amp;AS$542)+COUNTIF($E$4:$E$538,AS$542&amp;" ضد "&amp;$A557))</f>
        <v>0</v>
      </c>
      <c r="AT557" s="4">
        <f>IF($A557=AT$542,"",COUNTIF($E$4:$E$538,$A557&amp;" ضد "&amp;AT$542)+COUNTIF($E$4:$E$538,AT$542&amp;" ضد "&amp;$A557))</f>
        <v>0</v>
      </c>
      <c r="AU557" s="4">
        <f>IF($A557=AU$542,"",COUNTIF($E$4:$E$538,$A557&amp;" ضد "&amp;AU$542)+COUNTIF($E$4:$E$538,AU$542&amp;" ضد "&amp;$A557))</f>
        <v>0</v>
      </c>
      <c r="AV557" s="4">
        <f>IF($A557=AV$542,"",COUNTIF($E$4:$E$538,$A557&amp;" ضد "&amp;AV$542)+COUNTIF($E$4:$E$538,AV$542&amp;" ضد "&amp;$A557))</f>
        <v>0</v>
      </c>
      <c r="AW557" s="4">
        <f>IF($A557=AW$542,"",COUNTIF($E$4:$E$538,$A557&amp;" ضد "&amp;AW$542)+COUNTIF($E$4:$E$538,AW$542&amp;" ضد "&amp;$A557))</f>
        <v>0</v>
      </c>
      <c r="AX557" s="4">
        <f>IF($A557=AX$542,"",COUNTIF($E$4:$E$538,$A557&amp;" ضد "&amp;AX$542)+COUNTIF($E$4:$E$538,AX$542&amp;" ضد "&amp;$A557))</f>
        <v>0</v>
      </c>
      <c r="AY557" s="4">
        <f>IF($A557=AY$542,"",COUNTIF($E$4:$E$538,$A557&amp;" ضد "&amp;AY$542)+COUNTIF($E$4:$E$538,AY$542&amp;" ضد "&amp;$A557))</f>
        <v>0</v>
      </c>
      <c r="AZ557" s="4">
        <f>IF($A557=AZ$542,"",COUNTIF($E$4:$E$538,$A557&amp;" ضد "&amp;AZ$542)+COUNTIF($E$4:$E$538,AZ$542&amp;" ضد "&amp;$A557))</f>
        <v>0</v>
      </c>
      <c r="BA557" s="4">
        <f>IF($A557=BA$542,"",COUNTIF($E$4:$E$538,$A557&amp;" ضد "&amp;BA$542)+COUNTIF($E$4:$E$538,BA$542&amp;" ضد "&amp;$A557))</f>
        <v>0</v>
      </c>
      <c r="BB557" s="4">
        <f>IF($A557=BB$542,"",COUNTIF($E$4:$E$538,$A557&amp;" ضد "&amp;BB$542)+COUNTIF($E$4:$E$538,BB$542&amp;" ضد "&amp;$A557))</f>
        <v>0</v>
      </c>
      <c r="BC557" s="4">
        <f>IF($A557=BC$542,"",COUNTIF($E$4:$E$538,$A557&amp;" ضد "&amp;BC$542)+COUNTIF($E$4:$E$538,BC$542&amp;" ضد "&amp;$A557))</f>
        <v>0</v>
      </c>
      <c r="BD557" s="4">
        <f>IF($A557=BD$542,"",COUNTIF($E$4:$E$538,$A557&amp;" ضد "&amp;BD$542)+COUNTIF($E$4:$E$538,BD$542&amp;" ضد "&amp;$A557))</f>
        <v>0</v>
      </c>
      <c r="BE557" s="4">
        <f>IF($A557=BE$542,"",COUNTIF($E$4:$E$538,$A557&amp;" ضد "&amp;BE$542)+COUNTIF($E$4:$E$538,BE$542&amp;" ضد "&amp;$A557))</f>
        <v>0</v>
      </c>
      <c r="BF557" s="4">
        <f>IF($A557=BF$542,"",COUNTIF($E$4:$E$538,$A557&amp;" ضد "&amp;BF$542)+COUNTIF($E$4:$E$538,BF$542&amp;" ضد "&amp;$A557))</f>
        <v>0</v>
      </c>
      <c r="BG557" s="4">
        <f>IF($A557=BG$542,"",COUNTIF($E$4:$E$538,$A557&amp;" ضد "&amp;BG$542)+COUNTIF($E$4:$E$538,BG$542&amp;" ضد "&amp;$A557))</f>
        <v>0</v>
      </c>
    </row>
    <row r="558" spans="1:59" ht="14.5">
      <c r="A558" s="14">
        <v>16</v>
      </c>
      <c r="B558" s="4">
        <f>IF($A558=B$542,"",COUNTIF($E$4:$E$538,$A558&amp;" ضد "&amp;B$542)+COUNTIF($E$4:$E$538,B$542&amp;" ضد "&amp;$A558))</f>
        <v>1</v>
      </c>
      <c r="C558" s="4">
        <f>IF($A558=C$542,"",COUNTIF($E$4:$E$538,$A558&amp;" ضد "&amp;C$542)+COUNTIF($E$4:$E$538,C$542&amp;" ضد "&amp;$A558))</f>
        <v>1</v>
      </c>
      <c r="D558" s="4">
        <f>IF($A558=D$542,"",COUNTIF($E$4:$E$538,$A558&amp;" ضد "&amp;D$542)+COUNTIF($E$4:$E$538,D$542&amp;" ضد "&amp;$A558))</f>
        <v>1</v>
      </c>
      <c r="E558" s="4">
        <f>IF($A558=E$542,"",COUNTIF($E$4:$E$538,$A558&amp;" ضد "&amp;E$542)+COUNTIF($E$4:$E$538,E$542&amp;" ضد "&amp;$A558))</f>
        <v>1</v>
      </c>
      <c r="F558" s="4">
        <f>IF($A558=F$542,"",COUNTIF($E$4:$E$538,$A558&amp;" ضد "&amp;F$542)+COUNTIF($E$4:$E$538,F$542&amp;" ضد "&amp;$A558))</f>
        <v>1</v>
      </c>
      <c r="G558" s="4">
        <f>IF($A558=G$542,"",COUNTIF($E$4:$E$538,$A558&amp;" ضد "&amp;G$542)+COUNTIF($E$4:$E$538,G$542&amp;" ضد "&amp;$A558))</f>
        <v>1</v>
      </c>
      <c r="H558" s="4">
        <f>IF($A558=H$542,"",COUNTIF($E$4:$E$538,$A558&amp;" ضد "&amp;H$542)+COUNTIF($E$4:$E$538,H$542&amp;" ضد "&amp;$A558))</f>
        <v>1</v>
      </c>
      <c r="I558" s="4">
        <f>IF($A558=I$542,"",COUNTIF($E$4:$E$538,$A558&amp;" ضد "&amp;I$542)+COUNTIF($E$4:$E$538,I$542&amp;" ضد "&amp;$A558))</f>
        <v>1</v>
      </c>
      <c r="J558" s="4">
        <f>IF($A558=J$542,"",COUNTIF($E$4:$E$538,$A558&amp;" ضد "&amp;J$542)+COUNTIF($E$4:$E$538,J$542&amp;" ضد "&amp;$A558))</f>
        <v>1</v>
      </c>
      <c r="K558" s="4">
        <f>IF($A558=K$542,"",COUNTIF($E$4:$E$538,$A558&amp;" ضد "&amp;K$542)+COUNTIF($E$4:$E$538,K$542&amp;" ضد "&amp;$A558))</f>
        <v>1</v>
      </c>
      <c r="L558" s="4">
        <f>IF($A558=L$542,"",COUNTIF($E$4:$E$538,$A558&amp;" ضد "&amp;L$542)+COUNTIF($E$4:$E$538,L$542&amp;" ضد "&amp;$A558))</f>
        <v>1</v>
      </c>
      <c r="M558" s="4">
        <f>IF($A558=M$542,"",COUNTIF($E$4:$E$538,$A558&amp;" ضد "&amp;M$542)+COUNTIF($E$4:$E$538,M$542&amp;" ضد "&amp;$A558))</f>
        <v>1</v>
      </c>
      <c r="N558" s="4">
        <f>IF($A558=N$542,"",COUNTIF($E$4:$E$538,$A558&amp;" ضد "&amp;N$542)+COUNTIF($E$4:$E$538,N$542&amp;" ضد "&amp;$A558))</f>
        <v>1</v>
      </c>
      <c r="O558" s="4">
        <f>IF($A558=O$542,"",COUNTIF($E$4:$E$538,$A558&amp;" ضد "&amp;O$542)+COUNTIF($E$4:$E$538,O$542&amp;" ضد "&amp;$A558))</f>
        <v>1</v>
      </c>
      <c r="P558" s="4">
        <f>IF($A558=P$542,"",COUNTIF($E$4:$E$538,$A558&amp;" ضد "&amp;P$542)+COUNTIF($E$4:$E$538,P$542&amp;" ضد "&amp;$A558))</f>
        <v>1</v>
      </c>
      <c r="Q558" s="4" t="str">
        <f>IF($A558=Q$542,"",COUNTIF($E$4:$E$538,$A558&amp;" ضد "&amp;Q$542)+COUNTIF($E$4:$E$538,Q$542&amp;" ضد "&amp;$A558))</f>
        <v/>
      </c>
      <c r="R558" s="4">
        <f>IF($A558=R$542,"",COUNTIF($E$4:$E$538,$A558&amp;" ضد "&amp;R$542)+COUNTIF($E$4:$E$538,R$542&amp;" ضد "&amp;$A558))</f>
        <v>1</v>
      </c>
      <c r="S558" s="4">
        <f>IF($A558=S$542,"",COUNTIF($E$4:$E$538,$A558&amp;" ضد "&amp;S$542)+COUNTIF($E$4:$E$538,S$542&amp;" ضد "&amp;$A558))</f>
        <v>1</v>
      </c>
      <c r="T558" s="4">
        <f>IF($A558=T$542,"",COUNTIF($E$4:$E$538,$A558&amp;" ضد "&amp;T$542)+COUNTIF($E$4:$E$538,T$542&amp;" ضد "&amp;$A558))</f>
        <v>1</v>
      </c>
      <c r="U558" s="4">
        <f>IF($A558=U$542,"",COUNTIF($E$4:$E$538,$A558&amp;" ضد "&amp;U$542)+COUNTIF($E$4:$E$538,U$542&amp;" ضد "&amp;$A558))</f>
        <v>1</v>
      </c>
      <c r="V558" s="4">
        <f>IF($A558=V$542,"",COUNTIF($E$4:$E$538,$A558&amp;" ضد "&amp;V$542)+COUNTIF($E$4:$E$538,V$542&amp;" ضد "&amp;$A558))</f>
        <v>0</v>
      </c>
      <c r="W558" s="4">
        <f>IF($A558=W$542,"",COUNTIF($E$4:$E$538,$A558&amp;" ضد "&amp;W$542)+COUNTIF($E$4:$E$538,W$542&amp;" ضد "&amp;$A558))</f>
        <v>0</v>
      </c>
      <c r="X558" s="4">
        <f>IF($A558=X$542,"",COUNTIF($E$4:$E$538,$A558&amp;" ضد "&amp;X$542)+COUNTIF($E$4:$E$538,X$542&amp;" ضد "&amp;$A558))</f>
        <v>0</v>
      </c>
      <c r="Y558" s="4">
        <f>IF($A558=Y$542,"",COUNTIF($E$4:$E$538,$A558&amp;" ضد "&amp;Y$542)+COUNTIF($E$4:$E$538,Y$542&amp;" ضد "&amp;$A558))</f>
        <v>0</v>
      </c>
      <c r="Z558" s="4">
        <f>IF($A558=Z$542,"",COUNTIF($E$4:$E$538,$A558&amp;" ضد "&amp;Z$542)+COUNTIF($E$4:$E$538,Z$542&amp;" ضد "&amp;$A558))</f>
        <v>0</v>
      </c>
      <c r="AA558" s="4">
        <f>IF($A558=AA$542,"",COUNTIF($E$4:$E$538,$A558&amp;" ضد "&amp;AA$542)+COUNTIF($E$4:$E$538,AA$542&amp;" ضد "&amp;$A558))</f>
        <v>0</v>
      </c>
      <c r="AB558" s="4">
        <f>IF($A558=AB$542,"",COUNTIF($E$4:$E$538,$A558&amp;" ضد "&amp;AB$542)+COUNTIF($E$4:$E$538,AB$542&amp;" ضد "&amp;$A558))</f>
        <v>0</v>
      </c>
      <c r="AC558" s="4">
        <f>IF($A558=AC$542,"",COUNTIF($E$4:$E$538,$A558&amp;" ضد "&amp;AC$542)+COUNTIF($E$4:$E$538,AC$542&amp;" ضد "&amp;$A558))</f>
        <v>0</v>
      </c>
      <c r="AD558" s="4">
        <f>IF($A558=AD$542,"",COUNTIF($E$4:$E$538,$A558&amp;" ضد "&amp;AD$542)+COUNTIF($E$4:$E$538,AD$542&amp;" ضد "&amp;$A558))</f>
        <v>0</v>
      </c>
      <c r="AE558" s="4">
        <f>IF($A558=AE$542,"",COUNTIF($E$4:$E$538,$A558&amp;" ضد "&amp;AE$542)+COUNTIF($E$4:$E$538,AE$542&amp;" ضد "&amp;$A558))</f>
        <v>0</v>
      </c>
      <c r="AF558" s="4">
        <f>IF($A558=AF$542,"",COUNTIF($E$4:$E$538,$A558&amp;" ضد "&amp;AF$542)+COUNTIF($E$4:$E$538,AF$542&amp;" ضد "&amp;$A558))</f>
        <v>0</v>
      </c>
      <c r="AG558" s="4">
        <f>IF($A558=AG$542,"",COUNTIF($E$4:$E$538,$A558&amp;" ضد "&amp;AG$542)+COUNTIF($E$4:$E$538,AG$542&amp;" ضد "&amp;$A558))</f>
        <v>0</v>
      </c>
      <c r="AH558" s="4">
        <f>IF($A558=AH$542,"",COUNTIF($E$4:$E$538,$A558&amp;" ضد "&amp;AH$542)+COUNTIF($E$4:$E$538,AH$542&amp;" ضد "&amp;$A558))</f>
        <v>0</v>
      </c>
      <c r="AI558" s="4">
        <f>IF($A558=AI$542,"",COUNTIF($E$4:$E$538,$A558&amp;" ضد "&amp;AI$542)+COUNTIF($E$4:$E$538,AI$542&amp;" ضد "&amp;$A558))</f>
        <v>0</v>
      </c>
      <c r="AJ558" s="4">
        <f>IF($A558=AJ$542,"",COUNTIF($E$4:$E$538,$A558&amp;" ضد "&amp;AJ$542)+COUNTIF($E$4:$E$538,AJ$542&amp;" ضد "&amp;$A558))</f>
        <v>0</v>
      </c>
      <c r="AK558" s="4">
        <f>IF($A558=AK$542,"",COUNTIF($E$4:$E$538,$A558&amp;" ضد "&amp;AK$542)+COUNTIF($E$4:$E$538,AK$542&amp;" ضد "&amp;$A558))</f>
        <v>0</v>
      </c>
      <c r="AL558" s="4">
        <f>IF($A558=AL$542,"",COUNTIF($E$4:$E$538,$A558&amp;" ضد "&amp;AL$542)+COUNTIF($E$4:$E$538,AL$542&amp;" ضد "&amp;$A558))</f>
        <v>0</v>
      </c>
      <c r="AM558" s="4">
        <f>IF($A558=AM$542,"",COUNTIF($E$4:$E$538,$A558&amp;" ضد "&amp;AM$542)+COUNTIF($E$4:$E$538,AM$542&amp;" ضد "&amp;$A558))</f>
        <v>0</v>
      </c>
      <c r="AN558" s="4">
        <f>IF($A558=AN$542,"",COUNTIF($E$4:$E$538,$A558&amp;" ضد "&amp;AN$542)+COUNTIF($E$4:$E$538,AN$542&amp;" ضد "&amp;$A558))</f>
        <v>0</v>
      </c>
      <c r="AO558" s="4">
        <f>IF($A558=AO$542,"",COUNTIF($E$4:$E$538,$A558&amp;" ضد "&amp;AO$542)+COUNTIF($E$4:$E$538,AO$542&amp;" ضد "&amp;$A558))</f>
        <v>0</v>
      </c>
      <c r="AP558" s="4">
        <f>IF($A558=AP$542,"",COUNTIF($E$4:$E$538,$A558&amp;" ضد "&amp;AP$542)+COUNTIF($E$4:$E$538,AP$542&amp;" ضد "&amp;$A558))</f>
        <v>0</v>
      </c>
      <c r="AQ558" s="4">
        <f>IF($A558=AQ$542,"",COUNTIF($E$4:$E$538,$A558&amp;" ضد "&amp;AQ$542)+COUNTIF($E$4:$E$538,AQ$542&amp;" ضد "&amp;$A558))</f>
        <v>0</v>
      </c>
      <c r="AR558" s="4">
        <f>IF($A558=AR$542,"",COUNTIF($E$4:$E$538,$A558&amp;" ضد "&amp;AR$542)+COUNTIF($E$4:$E$538,AR$542&amp;" ضد "&amp;$A558))</f>
        <v>0</v>
      </c>
      <c r="AS558" s="4">
        <f>IF($A558=AS$542,"",COUNTIF($E$4:$E$538,$A558&amp;" ضد "&amp;AS$542)+COUNTIF($E$4:$E$538,AS$542&amp;" ضد "&amp;$A558))</f>
        <v>0</v>
      </c>
      <c r="AT558" s="4">
        <f>IF($A558=AT$542,"",COUNTIF($E$4:$E$538,$A558&amp;" ضد "&amp;AT$542)+COUNTIF($E$4:$E$538,AT$542&amp;" ضد "&amp;$A558))</f>
        <v>0</v>
      </c>
      <c r="AU558" s="4">
        <f>IF($A558=AU$542,"",COUNTIF($E$4:$E$538,$A558&amp;" ضد "&amp;AU$542)+COUNTIF($E$4:$E$538,AU$542&amp;" ضد "&amp;$A558))</f>
        <v>0</v>
      </c>
      <c r="AV558" s="4">
        <f>IF($A558=AV$542,"",COUNTIF($E$4:$E$538,$A558&amp;" ضد "&amp;AV$542)+COUNTIF($E$4:$E$538,AV$542&amp;" ضد "&amp;$A558))</f>
        <v>0</v>
      </c>
      <c r="AW558" s="4">
        <f>IF($A558=AW$542,"",COUNTIF($E$4:$E$538,$A558&amp;" ضد "&amp;AW$542)+COUNTIF($E$4:$E$538,AW$542&amp;" ضد "&amp;$A558))</f>
        <v>0</v>
      </c>
      <c r="AX558" s="4">
        <f>IF($A558=AX$542,"",COUNTIF($E$4:$E$538,$A558&amp;" ضد "&amp;AX$542)+COUNTIF($E$4:$E$538,AX$542&amp;" ضد "&amp;$A558))</f>
        <v>0</v>
      </c>
      <c r="AY558" s="4">
        <f>IF($A558=AY$542,"",COUNTIF($E$4:$E$538,$A558&amp;" ضد "&amp;AY$542)+COUNTIF($E$4:$E$538,AY$542&amp;" ضد "&amp;$A558))</f>
        <v>0</v>
      </c>
      <c r="AZ558" s="4">
        <f>IF($A558=AZ$542,"",COUNTIF($E$4:$E$538,$A558&amp;" ضد "&amp;AZ$542)+COUNTIF($E$4:$E$538,AZ$542&amp;" ضد "&amp;$A558))</f>
        <v>0</v>
      </c>
      <c r="BA558" s="4">
        <f>IF($A558=BA$542,"",COUNTIF($E$4:$E$538,$A558&amp;" ضد "&amp;BA$542)+COUNTIF($E$4:$E$538,BA$542&amp;" ضد "&amp;$A558))</f>
        <v>0</v>
      </c>
      <c r="BB558" s="4">
        <f>IF($A558=BB$542,"",COUNTIF($E$4:$E$538,$A558&amp;" ضد "&amp;BB$542)+COUNTIF($E$4:$E$538,BB$542&amp;" ضد "&amp;$A558))</f>
        <v>0</v>
      </c>
      <c r="BC558" s="4">
        <f>IF($A558=BC$542,"",COUNTIF($E$4:$E$538,$A558&amp;" ضد "&amp;BC$542)+COUNTIF($E$4:$E$538,BC$542&amp;" ضد "&amp;$A558))</f>
        <v>0</v>
      </c>
      <c r="BD558" s="4">
        <f>IF($A558=BD$542,"",COUNTIF($E$4:$E$538,$A558&amp;" ضد "&amp;BD$542)+COUNTIF($E$4:$E$538,BD$542&amp;" ضد "&amp;$A558))</f>
        <v>0</v>
      </c>
      <c r="BE558" s="4">
        <f>IF($A558=BE$542,"",COUNTIF($E$4:$E$538,$A558&amp;" ضد "&amp;BE$542)+COUNTIF($E$4:$E$538,BE$542&amp;" ضد "&amp;$A558))</f>
        <v>0</v>
      </c>
      <c r="BF558" s="4">
        <f>IF($A558=BF$542,"",COUNTIF($E$4:$E$538,$A558&amp;" ضد "&amp;BF$542)+COUNTIF($E$4:$E$538,BF$542&amp;" ضد "&amp;$A558))</f>
        <v>0</v>
      </c>
      <c r="BG558" s="4">
        <f>IF($A558=BG$542,"",COUNTIF($E$4:$E$538,$A558&amp;" ضد "&amp;BG$542)+COUNTIF($E$4:$E$538,BG$542&amp;" ضد "&amp;$A558))</f>
        <v>0</v>
      </c>
    </row>
    <row r="559" spans="1:59" ht="14.5">
      <c r="A559" s="14">
        <v>17</v>
      </c>
      <c r="B559" s="4">
        <f>IF($A559=B$542,"",COUNTIF($E$4:$E$538,$A559&amp;" ضد "&amp;B$542)+COUNTIF($E$4:$E$538,B$542&amp;" ضد "&amp;$A559))</f>
        <v>1</v>
      </c>
      <c r="C559" s="4">
        <f>IF($A559=C$542,"",COUNTIF($E$4:$E$538,$A559&amp;" ضد "&amp;C$542)+COUNTIF($E$4:$E$538,C$542&amp;" ضد "&amp;$A559))</f>
        <v>1</v>
      </c>
      <c r="D559" s="4">
        <f>IF($A559=D$542,"",COUNTIF($E$4:$E$538,$A559&amp;" ضد "&amp;D$542)+COUNTIF($E$4:$E$538,D$542&amp;" ضد "&amp;$A559))</f>
        <v>1</v>
      </c>
      <c r="E559" s="4">
        <f>IF($A559=E$542,"",COUNTIF($E$4:$E$538,$A559&amp;" ضد "&amp;E$542)+COUNTIF($E$4:$E$538,E$542&amp;" ضد "&amp;$A559))</f>
        <v>1</v>
      </c>
      <c r="F559" s="4">
        <f>IF($A559=F$542,"",COUNTIF($E$4:$E$538,$A559&amp;" ضد "&amp;F$542)+COUNTIF($E$4:$E$538,F$542&amp;" ضد "&amp;$A559))</f>
        <v>1</v>
      </c>
      <c r="G559" s="4">
        <f>IF($A559=G$542,"",COUNTIF($E$4:$E$538,$A559&amp;" ضد "&amp;G$542)+COUNTIF($E$4:$E$538,G$542&amp;" ضد "&amp;$A559))</f>
        <v>1</v>
      </c>
      <c r="H559" s="4">
        <f>IF($A559=H$542,"",COUNTIF($E$4:$E$538,$A559&amp;" ضد "&amp;H$542)+COUNTIF($E$4:$E$538,H$542&amp;" ضد "&amp;$A559))</f>
        <v>1</v>
      </c>
      <c r="I559" s="4">
        <f>IF($A559=I$542,"",COUNTIF($E$4:$E$538,$A559&amp;" ضد "&amp;I$542)+COUNTIF($E$4:$E$538,I$542&amp;" ضد "&amp;$A559))</f>
        <v>1</v>
      </c>
      <c r="J559" s="4">
        <f>IF($A559=J$542,"",COUNTIF($E$4:$E$538,$A559&amp;" ضد "&amp;J$542)+COUNTIF($E$4:$E$538,J$542&amp;" ضد "&amp;$A559))</f>
        <v>1</v>
      </c>
      <c r="K559" s="4">
        <f>IF($A559=K$542,"",COUNTIF($E$4:$E$538,$A559&amp;" ضد "&amp;K$542)+COUNTIF($E$4:$E$538,K$542&amp;" ضد "&amp;$A559))</f>
        <v>1</v>
      </c>
      <c r="L559" s="4">
        <f>IF($A559=L$542,"",COUNTIF($E$4:$E$538,$A559&amp;" ضد "&amp;L$542)+COUNTIF($E$4:$E$538,L$542&amp;" ضد "&amp;$A559))</f>
        <v>1</v>
      </c>
      <c r="M559" s="4">
        <f>IF($A559=M$542,"",COUNTIF($E$4:$E$538,$A559&amp;" ضد "&amp;M$542)+COUNTIF($E$4:$E$538,M$542&amp;" ضد "&amp;$A559))</f>
        <v>1</v>
      </c>
      <c r="N559" s="4">
        <f>IF($A559=N$542,"",COUNTIF($E$4:$E$538,$A559&amp;" ضد "&amp;N$542)+COUNTIF($E$4:$E$538,N$542&amp;" ضد "&amp;$A559))</f>
        <v>1</v>
      </c>
      <c r="O559" s="4">
        <f>IF($A559=O$542,"",COUNTIF($E$4:$E$538,$A559&amp;" ضد "&amp;O$542)+COUNTIF($E$4:$E$538,O$542&amp;" ضد "&amp;$A559))</f>
        <v>1</v>
      </c>
      <c r="P559" s="4">
        <f>IF($A559=P$542,"",COUNTIF($E$4:$E$538,$A559&amp;" ضد "&amp;P$542)+COUNTIF($E$4:$E$538,P$542&amp;" ضد "&amp;$A559))</f>
        <v>1</v>
      </c>
      <c r="Q559" s="4">
        <f>IF($A559=Q$542,"",COUNTIF($E$4:$E$538,$A559&amp;" ضد "&amp;Q$542)+COUNTIF($E$4:$E$538,Q$542&amp;" ضد "&amp;$A559))</f>
        <v>1</v>
      </c>
      <c r="R559" s="4" t="str">
        <f>IF($A559=R$542,"",COUNTIF($E$4:$E$538,$A559&amp;" ضد "&amp;R$542)+COUNTIF($E$4:$E$538,R$542&amp;" ضد "&amp;$A559))</f>
        <v/>
      </c>
      <c r="S559" s="4">
        <f>IF($A559=S$542,"",COUNTIF($E$4:$E$538,$A559&amp;" ضد "&amp;S$542)+COUNTIF($E$4:$E$538,S$542&amp;" ضد "&amp;$A559))</f>
        <v>1</v>
      </c>
      <c r="T559" s="4">
        <f>IF($A559=T$542,"",COUNTIF($E$4:$E$538,$A559&amp;" ضد "&amp;T$542)+COUNTIF($E$4:$E$538,T$542&amp;" ضد "&amp;$A559))</f>
        <v>1</v>
      </c>
      <c r="U559" s="4">
        <f>IF($A559=U$542,"",COUNTIF($E$4:$E$538,$A559&amp;" ضد "&amp;U$542)+COUNTIF($E$4:$E$538,U$542&amp;" ضد "&amp;$A559))</f>
        <v>1</v>
      </c>
      <c r="V559" s="4">
        <f>IF($A559=V$542,"",COUNTIF($E$4:$E$538,$A559&amp;" ضد "&amp;V$542)+COUNTIF($E$4:$E$538,V$542&amp;" ضد "&amp;$A559))</f>
        <v>0</v>
      </c>
      <c r="W559" s="4">
        <f>IF($A559=W$542,"",COUNTIF($E$4:$E$538,$A559&amp;" ضد "&amp;W$542)+COUNTIF($E$4:$E$538,W$542&amp;" ضد "&amp;$A559))</f>
        <v>0</v>
      </c>
      <c r="X559" s="4">
        <f>IF($A559=X$542,"",COUNTIF($E$4:$E$538,$A559&amp;" ضد "&amp;X$542)+COUNTIF($E$4:$E$538,X$542&amp;" ضد "&amp;$A559))</f>
        <v>0</v>
      </c>
      <c r="Y559" s="4">
        <f>IF($A559=Y$542,"",COUNTIF($E$4:$E$538,$A559&amp;" ضد "&amp;Y$542)+COUNTIF($E$4:$E$538,Y$542&amp;" ضد "&amp;$A559))</f>
        <v>0</v>
      </c>
      <c r="Z559" s="4">
        <f>IF($A559=Z$542,"",COUNTIF($E$4:$E$538,$A559&amp;" ضد "&amp;Z$542)+COUNTIF($E$4:$E$538,Z$542&amp;" ضد "&amp;$A559))</f>
        <v>0</v>
      </c>
      <c r="AA559" s="4">
        <f>IF($A559=AA$542,"",COUNTIF($E$4:$E$538,$A559&amp;" ضد "&amp;AA$542)+COUNTIF($E$4:$E$538,AA$542&amp;" ضد "&amp;$A559))</f>
        <v>0</v>
      </c>
      <c r="AB559" s="4">
        <f>IF($A559=AB$542,"",COUNTIF($E$4:$E$538,$A559&amp;" ضد "&amp;AB$542)+COUNTIF($E$4:$E$538,AB$542&amp;" ضد "&amp;$A559))</f>
        <v>0</v>
      </c>
      <c r="AC559" s="4">
        <f>IF($A559=AC$542,"",COUNTIF($E$4:$E$538,$A559&amp;" ضد "&amp;AC$542)+COUNTIF($E$4:$E$538,AC$542&amp;" ضد "&amp;$A559))</f>
        <v>0</v>
      </c>
      <c r="AD559" s="4">
        <f>IF($A559=AD$542,"",COUNTIF($E$4:$E$538,$A559&amp;" ضد "&amp;AD$542)+COUNTIF($E$4:$E$538,AD$542&amp;" ضد "&amp;$A559))</f>
        <v>0</v>
      </c>
      <c r="AE559" s="4">
        <f>IF($A559=AE$542,"",COUNTIF($E$4:$E$538,$A559&amp;" ضد "&amp;AE$542)+COUNTIF($E$4:$E$538,AE$542&amp;" ضد "&amp;$A559))</f>
        <v>0</v>
      </c>
      <c r="AF559" s="4">
        <f>IF($A559=AF$542,"",COUNTIF($E$4:$E$538,$A559&amp;" ضد "&amp;AF$542)+COUNTIF($E$4:$E$538,AF$542&amp;" ضد "&amp;$A559))</f>
        <v>0</v>
      </c>
      <c r="AG559" s="4">
        <f>IF($A559=AG$542,"",COUNTIF($E$4:$E$538,$A559&amp;" ضد "&amp;AG$542)+COUNTIF($E$4:$E$538,AG$542&amp;" ضد "&amp;$A559))</f>
        <v>0</v>
      </c>
      <c r="AH559" s="4">
        <f>IF($A559=AH$542,"",COUNTIF($E$4:$E$538,$A559&amp;" ضد "&amp;AH$542)+COUNTIF($E$4:$E$538,AH$542&amp;" ضد "&amp;$A559))</f>
        <v>0</v>
      </c>
      <c r="AI559" s="4">
        <f>IF($A559=AI$542,"",COUNTIF($E$4:$E$538,$A559&amp;" ضد "&amp;AI$542)+COUNTIF($E$4:$E$538,AI$542&amp;" ضد "&amp;$A559))</f>
        <v>0</v>
      </c>
      <c r="AJ559" s="4">
        <f>IF($A559=AJ$542,"",COUNTIF($E$4:$E$538,$A559&amp;" ضد "&amp;AJ$542)+COUNTIF($E$4:$E$538,AJ$542&amp;" ضد "&amp;$A559))</f>
        <v>0</v>
      </c>
      <c r="AK559" s="4">
        <f>IF($A559=AK$542,"",COUNTIF($E$4:$E$538,$A559&amp;" ضد "&amp;AK$542)+COUNTIF($E$4:$E$538,AK$542&amp;" ضد "&amp;$A559))</f>
        <v>0</v>
      </c>
      <c r="AL559" s="4">
        <f>IF($A559=AL$542,"",COUNTIF($E$4:$E$538,$A559&amp;" ضد "&amp;AL$542)+COUNTIF($E$4:$E$538,AL$542&amp;" ضد "&amp;$A559))</f>
        <v>0</v>
      </c>
      <c r="AM559" s="4">
        <f>IF($A559=AM$542,"",COUNTIF($E$4:$E$538,$A559&amp;" ضد "&amp;AM$542)+COUNTIF($E$4:$E$538,AM$542&amp;" ضد "&amp;$A559))</f>
        <v>0</v>
      </c>
      <c r="AN559" s="4">
        <f>IF($A559=AN$542,"",COUNTIF($E$4:$E$538,$A559&amp;" ضد "&amp;AN$542)+COUNTIF($E$4:$E$538,AN$542&amp;" ضد "&amp;$A559))</f>
        <v>0</v>
      </c>
      <c r="AO559" s="4">
        <f>IF($A559=AO$542,"",COUNTIF($E$4:$E$538,$A559&amp;" ضد "&amp;AO$542)+COUNTIF($E$4:$E$538,AO$542&amp;" ضد "&amp;$A559))</f>
        <v>0</v>
      </c>
      <c r="AP559" s="4">
        <f>IF($A559=AP$542,"",COUNTIF($E$4:$E$538,$A559&amp;" ضد "&amp;AP$542)+COUNTIF($E$4:$E$538,AP$542&amp;" ضد "&amp;$A559))</f>
        <v>0</v>
      </c>
      <c r="AQ559" s="4">
        <f>IF($A559=AQ$542,"",COUNTIF($E$4:$E$538,$A559&amp;" ضد "&amp;AQ$542)+COUNTIF($E$4:$E$538,AQ$542&amp;" ضد "&amp;$A559))</f>
        <v>0</v>
      </c>
      <c r="AR559" s="4">
        <f>IF($A559=AR$542,"",COUNTIF($E$4:$E$538,$A559&amp;" ضد "&amp;AR$542)+COUNTIF($E$4:$E$538,AR$542&amp;" ضد "&amp;$A559))</f>
        <v>0</v>
      </c>
      <c r="AS559" s="4">
        <f>IF($A559=AS$542,"",COUNTIF($E$4:$E$538,$A559&amp;" ضد "&amp;AS$542)+COUNTIF($E$4:$E$538,AS$542&amp;" ضد "&amp;$A559))</f>
        <v>0</v>
      </c>
      <c r="AT559" s="4">
        <f>IF($A559=AT$542,"",COUNTIF($E$4:$E$538,$A559&amp;" ضد "&amp;AT$542)+COUNTIF($E$4:$E$538,AT$542&amp;" ضد "&amp;$A559))</f>
        <v>0</v>
      </c>
      <c r="AU559" s="4">
        <f>IF($A559=AU$542,"",COUNTIF($E$4:$E$538,$A559&amp;" ضد "&amp;AU$542)+COUNTIF($E$4:$E$538,AU$542&amp;" ضد "&amp;$A559))</f>
        <v>0</v>
      </c>
      <c r="AV559" s="4">
        <f>IF($A559=AV$542,"",COUNTIF($E$4:$E$538,$A559&amp;" ضد "&amp;AV$542)+COUNTIF($E$4:$E$538,AV$542&amp;" ضد "&amp;$A559))</f>
        <v>0</v>
      </c>
      <c r="AW559" s="4">
        <f>IF($A559=AW$542,"",COUNTIF($E$4:$E$538,$A559&amp;" ضد "&amp;AW$542)+COUNTIF($E$4:$E$538,AW$542&amp;" ضد "&amp;$A559))</f>
        <v>0</v>
      </c>
      <c r="AX559" s="4">
        <f>IF($A559=AX$542,"",COUNTIF($E$4:$E$538,$A559&amp;" ضد "&amp;AX$542)+COUNTIF($E$4:$E$538,AX$542&amp;" ضد "&amp;$A559))</f>
        <v>0</v>
      </c>
      <c r="AY559" s="4">
        <f>IF($A559=AY$542,"",COUNTIF($E$4:$E$538,$A559&amp;" ضد "&amp;AY$542)+COUNTIF($E$4:$E$538,AY$542&amp;" ضد "&amp;$A559))</f>
        <v>0</v>
      </c>
      <c r="AZ559" s="4">
        <f>IF($A559=AZ$542,"",COUNTIF($E$4:$E$538,$A559&amp;" ضد "&amp;AZ$542)+COUNTIF($E$4:$E$538,AZ$542&amp;" ضد "&amp;$A559))</f>
        <v>0</v>
      </c>
      <c r="BA559" s="4">
        <f>IF($A559=BA$542,"",COUNTIF($E$4:$E$538,$A559&amp;" ضد "&amp;BA$542)+COUNTIF($E$4:$E$538,BA$542&amp;" ضد "&amp;$A559))</f>
        <v>0</v>
      </c>
      <c r="BB559" s="4">
        <f>IF($A559=BB$542,"",COUNTIF($E$4:$E$538,$A559&amp;" ضد "&amp;BB$542)+COUNTIF($E$4:$E$538,BB$542&amp;" ضد "&amp;$A559))</f>
        <v>0</v>
      </c>
      <c r="BC559" s="4">
        <f>IF($A559=BC$542,"",COUNTIF($E$4:$E$538,$A559&amp;" ضد "&amp;BC$542)+COUNTIF($E$4:$E$538,BC$542&amp;" ضد "&amp;$A559))</f>
        <v>0</v>
      </c>
      <c r="BD559" s="4">
        <f>IF($A559=BD$542,"",COUNTIF($E$4:$E$538,$A559&amp;" ضد "&amp;BD$542)+COUNTIF($E$4:$E$538,BD$542&amp;" ضد "&amp;$A559))</f>
        <v>0</v>
      </c>
      <c r="BE559" s="4">
        <f>IF($A559=BE$542,"",COUNTIF($E$4:$E$538,$A559&amp;" ضد "&amp;BE$542)+COUNTIF($E$4:$E$538,BE$542&amp;" ضد "&amp;$A559))</f>
        <v>0</v>
      </c>
      <c r="BF559" s="4">
        <f>IF($A559=BF$542,"",COUNTIF($E$4:$E$538,$A559&amp;" ضد "&amp;BF$542)+COUNTIF($E$4:$E$538,BF$542&amp;" ضد "&amp;$A559))</f>
        <v>0</v>
      </c>
      <c r="BG559" s="4">
        <f>IF($A559=BG$542,"",COUNTIF($E$4:$E$538,$A559&amp;" ضد "&amp;BG$542)+COUNTIF($E$4:$E$538,BG$542&amp;" ضد "&amp;$A559))</f>
        <v>0</v>
      </c>
    </row>
    <row r="560" spans="1:59" ht="14.5">
      <c r="A560" s="14">
        <v>18</v>
      </c>
      <c r="B560" s="4">
        <f>IF($A560=B$542,"",COUNTIF($E$4:$E$538,$A560&amp;" ضد "&amp;B$542)+COUNTIF($E$4:$E$538,B$542&amp;" ضد "&amp;$A560))</f>
        <v>1</v>
      </c>
      <c r="C560" s="4">
        <f>IF($A560=C$542,"",COUNTIF($E$4:$E$538,$A560&amp;" ضد "&amp;C$542)+COUNTIF($E$4:$E$538,C$542&amp;" ضد "&amp;$A560))</f>
        <v>1</v>
      </c>
      <c r="D560" s="4">
        <f>IF($A560=D$542,"",COUNTIF($E$4:$E$538,$A560&amp;" ضد "&amp;D$542)+COUNTIF($E$4:$E$538,D$542&amp;" ضد "&amp;$A560))</f>
        <v>1</v>
      </c>
      <c r="E560" s="4">
        <f>IF($A560=E$542,"",COUNTIF($E$4:$E$538,$A560&amp;" ضد "&amp;E$542)+COUNTIF($E$4:$E$538,E$542&amp;" ضد "&amp;$A560))</f>
        <v>1</v>
      </c>
      <c r="F560" s="4">
        <f>IF($A560=F$542,"",COUNTIF($E$4:$E$538,$A560&amp;" ضد "&amp;F$542)+COUNTIF($E$4:$E$538,F$542&amp;" ضد "&amp;$A560))</f>
        <v>1</v>
      </c>
      <c r="G560" s="4">
        <f>IF($A560=G$542,"",COUNTIF($E$4:$E$538,$A560&amp;" ضد "&amp;G$542)+COUNTIF($E$4:$E$538,G$542&amp;" ضد "&amp;$A560))</f>
        <v>1</v>
      </c>
      <c r="H560" s="4">
        <f>IF($A560=H$542,"",COUNTIF($E$4:$E$538,$A560&amp;" ضد "&amp;H$542)+COUNTIF($E$4:$E$538,H$542&amp;" ضد "&amp;$A560))</f>
        <v>1</v>
      </c>
      <c r="I560" s="4">
        <f>IF($A560=I$542,"",COUNTIF($E$4:$E$538,$A560&amp;" ضد "&amp;I$542)+COUNTIF($E$4:$E$538,I$542&amp;" ضد "&amp;$A560))</f>
        <v>1</v>
      </c>
      <c r="J560" s="4">
        <f>IF($A560=J$542,"",COUNTIF($E$4:$E$538,$A560&amp;" ضد "&amp;J$542)+COUNTIF($E$4:$E$538,J$542&amp;" ضد "&amp;$A560))</f>
        <v>1</v>
      </c>
      <c r="K560" s="4">
        <f>IF($A560=K$542,"",COUNTIF($E$4:$E$538,$A560&amp;" ضد "&amp;K$542)+COUNTIF($E$4:$E$538,K$542&amp;" ضد "&amp;$A560))</f>
        <v>1</v>
      </c>
      <c r="L560" s="4">
        <f>IF($A560=L$542,"",COUNTIF($E$4:$E$538,$A560&amp;" ضد "&amp;L$542)+COUNTIF($E$4:$E$538,L$542&amp;" ضد "&amp;$A560))</f>
        <v>1</v>
      </c>
      <c r="M560" s="4">
        <f>IF($A560=M$542,"",COUNTIF($E$4:$E$538,$A560&amp;" ضد "&amp;M$542)+COUNTIF($E$4:$E$538,M$542&amp;" ضد "&amp;$A560))</f>
        <v>1</v>
      </c>
      <c r="N560" s="4">
        <f>IF($A560=N$542,"",COUNTIF($E$4:$E$538,$A560&amp;" ضد "&amp;N$542)+COUNTIF($E$4:$E$538,N$542&amp;" ضد "&amp;$A560))</f>
        <v>1</v>
      </c>
      <c r="O560" s="4">
        <f>IF($A560=O$542,"",COUNTIF($E$4:$E$538,$A560&amp;" ضد "&amp;O$542)+COUNTIF($E$4:$E$538,O$542&amp;" ضد "&amp;$A560))</f>
        <v>1</v>
      </c>
      <c r="P560" s="4">
        <f>IF($A560=P$542,"",COUNTIF($E$4:$E$538,$A560&amp;" ضد "&amp;P$542)+COUNTIF($E$4:$E$538,P$542&amp;" ضد "&amp;$A560))</f>
        <v>1</v>
      </c>
      <c r="Q560" s="4">
        <f>IF($A560=Q$542,"",COUNTIF($E$4:$E$538,$A560&amp;" ضد "&amp;Q$542)+COUNTIF($E$4:$E$538,Q$542&amp;" ضد "&amp;$A560))</f>
        <v>1</v>
      </c>
      <c r="R560" s="4">
        <f>IF($A560=R$542,"",COUNTIF($E$4:$E$538,$A560&amp;" ضد "&amp;R$542)+COUNTIF($E$4:$E$538,R$542&amp;" ضد "&amp;$A560))</f>
        <v>1</v>
      </c>
      <c r="S560" s="4" t="str">
        <f>IF($A560=S$542,"",COUNTIF($E$4:$E$538,$A560&amp;" ضد "&amp;S$542)+COUNTIF($E$4:$E$538,S$542&amp;" ضد "&amp;$A560))</f>
        <v/>
      </c>
      <c r="T560" s="4">
        <f>IF($A560=T$542,"",COUNTIF($E$4:$E$538,$A560&amp;" ضد "&amp;T$542)+COUNTIF($E$4:$E$538,T$542&amp;" ضد "&amp;$A560))</f>
        <v>1</v>
      </c>
      <c r="U560" s="4">
        <f>IF($A560=U$542,"",COUNTIF($E$4:$E$538,$A560&amp;" ضد "&amp;U$542)+COUNTIF($E$4:$E$538,U$542&amp;" ضد "&amp;$A560))</f>
        <v>1</v>
      </c>
      <c r="V560" s="4">
        <f>IF($A560=V$542,"",COUNTIF($E$4:$E$538,$A560&amp;" ضد "&amp;V$542)+COUNTIF($E$4:$E$538,V$542&amp;" ضد "&amp;$A560))</f>
        <v>0</v>
      </c>
      <c r="W560" s="4">
        <f>IF($A560=W$542,"",COUNTIF($E$4:$E$538,$A560&amp;" ضد "&amp;W$542)+COUNTIF($E$4:$E$538,W$542&amp;" ضد "&amp;$A560))</f>
        <v>0</v>
      </c>
      <c r="X560" s="4">
        <f>IF($A560=X$542,"",COUNTIF($E$4:$E$538,$A560&amp;" ضد "&amp;X$542)+COUNTIF($E$4:$E$538,X$542&amp;" ضد "&amp;$A560))</f>
        <v>0</v>
      </c>
      <c r="Y560" s="4">
        <f>IF($A560=Y$542,"",COUNTIF($E$4:$E$538,$A560&amp;" ضد "&amp;Y$542)+COUNTIF($E$4:$E$538,Y$542&amp;" ضد "&amp;$A560))</f>
        <v>0</v>
      </c>
      <c r="Z560" s="4">
        <f>IF($A560=Z$542,"",COUNTIF($E$4:$E$538,$A560&amp;" ضد "&amp;Z$542)+COUNTIF($E$4:$E$538,Z$542&amp;" ضد "&amp;$A560))</f>
        <v>0</v>
      </c>
      <c r="AA560" s="4">
        <f>IF($A560=AA$542,"",COUNTIF($E$4:$E$538,$A560&amp;" ضد "&amp;AA$542)+COUNTIF($E$4:$E$538,AA$542&amp;" ضد "&amp;$A560))</f>
        <v>0</v>
      </c>
      <c r="AB560" s="4">
        <f>IF($A560=AB$542,"",COUNTIF($E$4:$E$538,$A560&amp;" ضد "&amp;AB$542)+COUNTIF($E$4:$E$538,AB$542&amp;" ضد "&amp;$A560))</f>
        <v>0</v>
      </c>
      <c r="AC560" s="4">
        <f>IF($A560=AC$542,"",COUNTIF($E$4:$E$538,$A560&amp;" ضد "&amp;AC$542)+COUNTIF($E$4:$E$538,AC$542&amp;" ضد "&amp;$A560))</f>
        <v>0</v>
      </c>
      <c r="AD560" s="4">
        <f>IF($A560=AD$542,"",COUNTIF($E$4:$E$538,$A560&amp;" ضد "&amp;AD$542)+COUNTIF($E$4:$E$538,AD$542&amp;" ضد "&amp;$A560))</f>
        <v>0</v>
      </c>
      <c r="AE560" s="4">
        <f>IF($A560=AE$542,"",COUNTIF($E$4:$E$538,$A560&amp;" ضد "&amp;AE$542)+COUNTIF($E$4:$E$538,AE$542&amp;" ضد "&amp;$A560))</f>
        <v>0</v>
      </c>
      <c r="AF560" s="4">
        <f>IF($A560=AF$542,"",COUNTIF($E$4:$E$538,$A560&amp;" ضد "&amp;AF$542)+COUNTIF($E$4:$E$538,AF$542&amp;" ضد "&amp;$A560))</f>
        <v>0</v>
      </c>
      <c r="AG560" s="4">
        <f>IF($A560=AG$542,"",COUNTIF($E$4:$E$538,$A560&amp;" ضد "&amp;AG$542)+COUNTIF($E$4:$E$538,AG$542&amp;" ضد "&amp;$A560))</f>
        <v>0</v>
      </c>
      <c r="AH560" s="4">
        <f>IF($A560=AH$542,"",COUNTIF($E$4:$E$538,$A560&amp;" ضد "&amp;AH$542)+COUNTIF($E$4:$E$538,AH$542&amp;" ضد "&amp;$A560))</f>
        <v>0</v>
      </c>
      <c r="AI560" s="4">
        <f>IF($A560=AI$542,"",COUNTIF($E$4:$E$538,$A560&amp;" ضد "&amp;AI$542)+COUNTIF($E$4:$E$538,AI$542&amp;" ضد "&amp;$A560))</f>
        <v>0</v>
      </c>
      <c r="AJ560" s="4">
        <f>IF($A560=AJ$542,"",COUNTIF($E$4:$E$538,$A560&amp;" ضد "&amp;AJ$542)+COUNTIF($E$4:$E$538,AJ$542&amp;" ضد "&amp;$A560))</f>
        <v>0</v>
      </c>
      <c r="AK560" s="4">
        <f>IF($A560=AK$542,"",COUNTIF($E$4:$E$538,$A560&amp;" ضد "&amp;AK$542)+COUNTIF($E$4:$E$538,AK$542&amp;" ضد "&amp;$A560))</f>
        <v>0</v>
      </c>
      <c r="AL560" s="4">
        <f>IF($A560=AL$542,"",COUNTIF($E$4:$E$538,$A560&amp;" ضد "&amp;AL$542)+COUNTIF($E$4:$E$538,AL$542&amp;" ضد "&amp;$A560))</f>
        <v>0</v>
      </c>
      <c r="AM560" s="4">
        <f>IF($A560=AM$542,"",COUNTIF($E$4:$E$538,$A560&amp;" ضد "&amp;AM$542)+COUNTIF($E$4:$E$538,AM$542&amp;" ضد "&amp;$A560))</f>
        <v>0</v>
      </c>
      <c r="AN560" s="4">
        <f>IF($A560=AN$542,"",COUNTIF($E$4:$E$538,$A560&amp;" ضد "&amp;AN$542)+COUNTIF($E$4:$E$538,AN$542&amp;" ضد "&amp;$A560))</f>
        <v>0</v>
      </c>
      <c r="AO560" s="4">
        <f>IF($A560=AO$542,"",COUNTIF($E$4:$E$538,$A560&amp;" ضد "&amp;AO$542)+COUNTIF($E$4:$E$538,AO$542&amp;" ضد "&amp;$A560))</f>
        <v>0</v>
      </c>
      <c r="AP560" s="4">
        <f>IF($A560=AP$542,"",COUNTIF($E$4:$E$538,$A560&amp;" ضد "&amp;AP$542)+COUNTIF($E$4:$E$538,AP$542&amp;" ضد "&amp;$A560))</f>
        <v>0</v>
      </c>
      <c r="AQ560" s="4">
        <f>IF($A560=AQ$542,"",COUNTIF($E$4:$E$538,$A560&amp;" ضد "&amp;AQ$542)+COUNTIF($E$4:$E$538,AQ$542&amp;" ضد "&amp;$A560))</f>
        <v>0</v>
      </c>
      <c r="AR560" s="4">
        <f>IF($A560=AR$542,"",COUNTIF($E$4:$E$538,$A560&amp;" ضد "&amp;AR$542)+COUNTIF($E$4:$E$538,AR$542&amp;" ضد "&amp;$A560))</f>
        <v>0</v>
      </c>
      <c r="AS560" s="4">
        <f>IF($A560=AS$542,"",COUNTIF($E$4:$E$538,$A560&amp;" ضد "&amp;AS$542)+COUNTIF($E$4:$E$538,AS$542&amp;" ضد "&amp;$A560))</f>
        <v>0</v>
      </c>
      <c r="AT560" s="4">
        <f>IF($A560=AT$542,"",COUNTIF($E$4:$E$538,$A560&amp;" ضد "&amp;AT$542)+COUNTIF($E$4:$E$538,AT$542&amp;" ضد "&amp;$A560))</f>
        <v>0</v>
      </c>
      <c r="AU560" s="4">
        <f>IF($A560=AU$542,"",COUNTIF($E$4:$E$538,$A560&amp;" ضد "&amp;AU$542)+COUNTIF($E$4:$E$538,AU$542&amp;" ضد "&amp;$A560))</f>
        <v>0</v>
      </c>
      <c r="AV560" s="4">
        <f>IF($A560=AV$542,"",COUNTIF($E$4:$E$538,$A560&amp;" ضد "&amp;AV$542)+COUNTIF($E$4:$E$538,AV$542&amp;" ضد "&amp;$A560))</f>
        <v>0</v>
      </c>
      <c r="AW560" s="4">
        <f>IF($A560=AW$542,"",COUNTIF($E$4:$E$538,$A560&amp;" ضد "&amp;AW$542)+COUNTIF($E$4:$E$538,AW$542&amp;" ضد "&amp;$A560))</f>
        <v>0</v>
      </c>
      <c r="AX560" s="4">
        <f>IF($A560=AX$542,"",COUNTIF($E$4:$E$538,$A560&amp;" ضد "&amp;AX$542)+COUNTIF($E$4:$E$538,AX$542&amp;" ضد "&amp;$A560))</f>
        <v>0</v>
      </c>
      <c r="AY560" s="4">
        <f>IF($A560=AY$542,"",COUNTIF($E$4:$E$538,$A560&amp;" ضد "&amp;AY$542)+COUNTIF($E$4:$E$538,AY$542&amp;" ضد "&amp;$A560))</f>
        <v>0</v>
      </c>
      <c r="AZ560" s="4">
        <f>IF($A560=AZ$542,"",COUNTIF($E$4:$E$538,$A560&amp;" ضد "&amp;AZ$542)+COUNTIF($E$4:$E$538,AZ$542&amp;" ضد "&amp;$A560))</f>
        <v>0</v>
      </c>
      <c r="BA560" s="4">
        <f>IF($A560=BA$542,"",COUNTIF($E$4:$E$538,$A560&amp;" ضد "&amp;BA$542)+COUNTIF($E$4:$E$538,BA$542&amp;" ضد "&amp;$A560))</f>
        <v>0</v>
      </c>
      <c r="BB560" s="4">
        <f>IF($A560=BB$542,"",COUNTIF($E$4:$E$538,$A560&amp;" ضد "&amp;BB$542)+COUNTIF($E$4:$E$538,BB$542&amp;" ضد "&amp;$A560))</f>
        <v>0</v>
      </c>
      <c r="BC560" s="4">
        <f>IF($A560=BC$542,"",COUNTIF($E$4:$E$538,$A560&amp;" ضد "&amp;BC$542)+COUNTIF($E$4:$E$538,BC$542&amp;" ضد "&amp;$A560))</f>
        <v>0</v>
      </c>
      <c r="BD560" s="4">
        <f>IF($A560=BD$542,"",COUNTIF($E$4:$E$538,$A560&amp;" ضد "&amp;BD$542)+COUNTIF($E$4:$E$538,BD$542&amp;" ضد "&amp;$A560))</f>
        <v>0</v>
      </c>
      <c r="BE560" s="4">
        <f>IF($A560=BE$542,"",COUNTIF($E$4:$E$538,$A560&amp;" ضد "&amp;BE$542)+COUNTIF($E$4:$E$538,BE$542&amp;" ضد "&amp;$A560))</f>
        <v>0</v>
      </c>
      <c r="BF560" s="4">
        <f>IF($A560=BF$542,"",COUNTIF($E$4:$E$538,$A560&amp;" ضد "&amp;BF$542)+COUNTIF($E$4:$E$538,BF$542&amp;" ضد "&amp;$A560))</f>
        <v>0</v>
      </c>
      <c r="BG560" s="4">
        <f>IF($A560=BG$542,"",COUNTIF($E$4:$E$538,$A560&amp;" ضد "&amp;BG$542)+COUNTIF($E$4:$E$538,BG$542&amp;" ضد "&amp;$A560))</f>
        <v>0</v>
      </c>
    </row>
    <row r="561" spans="1:59" ht="14.5">
      <c r="A561" s="14">
        <v>19</v>
      </c>
      <c r="B561" s="4">
        <f>IF($A561=B$542,"",COUNTIF($E$4:$E$538,$A561&amp;" ضد "&amp;B$542)+COUNTIF($E$4:$E$538,B$542&amp;" ضد "&amp;$A561))</f>
        <v>1</v>
      </c>
      <c r="C561" s="4">
        <f>IF($A561=C$542,"",COUNTIF($E$4:$E$538,$A561&amp;" ضد "&amp;C$542)+COUNTIF($E$4:$E$538,C$542&amp;" ضد "&amp;$A561))</f>
        <v>1</v>
      </c>
      <c r="D561" s="4">
        <f>IF($A561=D$542,"",COUNTIF($E$4:$E$538,$A561&amp;" ضد "&amp;D$542)+COUNTIF($E$4:$E$538,D$542&amp;" ضد "&amp;$A561))</f>
        <v>1</v>
      </c>
      <c r="E561" s="4">
        <f>IF($A561=E$542,"",COUNTIF($E$4:$E$538,$A561&amp;" ضد "&amp;E$542)+COUNTIF($E$4:$E$538,E$542&amp;" ضد "&amp;$A561))</f>
        <v>1</v>
      </c>
      <c r="F561" s="4">
        <f>IF($A561=F$542,"",COUNTIF($E$4:$E$538,$A561&amp;" ضد "&amp;F$542)+COUNTIF($E$4:$E$538,F$542&amp;" ضد "&amp;$A561))</f>
        <v>1</v>
      </c>
      <c r="G561" s="4">
        <f>IF($A561=G$542,"",COUNTIF($E$4:$E$538,$A561&amp;" ضد "&amp;G$542)+COUNTIF($E$4:$E$538,G$542&amp;" ضد "&amp;$A561))</f>
        <v>1</v>
      </c>
      <c r="H561" s="4">
        <f>IF($A561=H$542,"",COUNTIF($E$4:$E$538,$A561&amp;" ضد "&amp;H$542)+COUNTIF($E$4:$E$538,H$542&amp;" ضد "&amp;$A561))</f>
        <v>1</v>
      </c>
      <c r="I561" s="4">
        <f>IF($A561=I$542,"",COUNTIF($E$4:$E$538,$A561&amp;" ضد "&amp;I$542)+COUNTIF($E$4:$E$538,I$542&amp;" ضد "&amp;$A561))</f>
        <v>1</v>
      </c>
      <c r="J561" s="4">
        <f>IF($A561=J$542,"",COUNTIF($E$4:$E$538,$A561&amp;" ضد "&amp;J$542)+COUNTIF($E$4:$E$538,J$542&amp;" ضد "&amp;$A561))</f>
        <v>1</v>
      </c>
      <c r="K561" s="4">
        <f>IF($A561=K$542,"",COUNTIF($E$4:$E$538,$A561&amp;" ضد "&amp;K$542)+COUNTIF($E$4:$E$538,K$542&amp;" ضد "&amp;$A561))</f>
        <v>1</v>
      </c>
      <c r="L561" s="4">
        <f>IF($A561=L$542,"",COUNTIF($E$4:$E$538,$A561&amp;" ضد "&amp;L$542)+COUNTIF($E$4:$E$538,L$542&amp;" ضد "&amp;$A561))</f>
        <v>1</v>
      </c>
      <c r="M561" s="4">
        <f>IF($A561=M$542,"",COUNTIF($E$4:$E$538,$A561&amp;" ضد "&amp;M$542)+COUNTIF($E$4:$E$538,M$542&amp;" ضد "&amp;$A561))</f>
        <v>1</v>
      </c>
      <c r="N561" s="4">
        <f>IF($A561=N$542,"",COUNTIF($E$4:$E$538,$A561&amp;" ضد "&amp;N$542)+COUNTIF($E$4:$E$538,N$542&amp;" ضد "&amp;$A561))</f>
        <v>1</v>
      </c>
      <c r="O561" s="4">
        <f>IF($A561=O$542,"",COUNTIF($E$4:$E$538,$A561&amp;" ضد "&amp;O$542)+COUNTIF($E$4:$E$538,O$542&amp;" ضد "&amp;$A561))</f>
        <v>1</v>
      </c>
      <c r="P561" s="4">
        <f>IF($A561=P$542,"",COUNTIF($E$4:$E$538,$A561&amp;" ضد "&amp;P$542)+COUNTIF($E$4:$E$538,P$542&amp;" ضد "&amp;$A561))</f>
        <v>1</v>
      </c>
      <c r="Q561" s="4">
        <f>IF($A561=Q$542,"",COUNTIF($E$4:$E$538,$A561&amp;" ضد "&amp;Q$542)+COUNTIF($E$4:$E$538,Q$542&amp;" ضد "&amp;$A561))</f>
        <v>1</v>
      </c>
      <c r="R561" s="4">
        <f>IF($A561=R$542,"",COUNTIF($E$4:$E$538,$A561&amp;" ضد "&amp;R$542)+COUNTIF($E$4:$E$538,R$542&amp;" ضد "&amp;$A561))</f>
        <v>1</v>
      </c>
      <c r="S561" s="4">
        <f>IF($A561=S$542,"",COUNTIF($E$4:$E$538,$A561&amp;" ضد "&amp;S$542)+COUNTIF($E$4:$E$538,S$542&amp;" ضد "&amp;$A561))</f>
        <v>1</v>
      </c>
      <c r="T561" s="4" t="str">
        <f>IF($A561=T$542,"",COUNTIF($E$4:$E$538,$A561&amp;" ضد "&amp;T$542)+COUNTIF($E$4:$E$538,T$542&amp;" ضد "&amp;$A561))</f>
        <v/>
      </c>
      <c r="U561" s="4">
        <f>IF($A561=U$542,"",COUNTIF($E$4:$E$538,$A561&amp;" ضد "&amp;U$542)+COUNTIF($E$4:$E$538,U$542&amp;" ضد "&amp;$A561))</f>
        <v>1</v>
      </c>
      <c r="V561" s="4">
        <f>IF($A561=V$542,"",COUNTIF($E$4:$E$538,$A561&amp;" ضد "&amp;V$542)+COUNTIF($E$4:$E$538,V$542&amp;" ضد "&amp;$A561))</f>
        <v>0</v>
      </c>
      <c r="W561" s="4">
        <f>IF($A561=W$542,"",COUNTIF($E$4:$E$538,$A561&amp;" ضد "&amp;W$542)+COUNTIF($E$4:$E$538,W$542&amp;" ضد "&amp;$A561))</f>
        <v>0</v>
      </c>
      <c r="X561" s="4">
        <f>IF($A561=X$542,"",COUNTIF($E$4:$E$538,$A561&amp;" ضد "&amp;X$542)+COUNTIF($E$4:$E$538,X$542&amp;" ضد "&amp;$A561))</f>
        <v>0</v>
      </c>
      <c r="Y561" s="4">
        <f>IF($A561=Y$542,"",COUNTIF($E$4:$E$538,$A561&amp;" ضد "&amp;Y$542)+COUNTIF($E$4:$E$538,Y$542&amp;" ضد "&amp;$A561))</f>
        <v>0</v>
      </c>
      <c r="Z561" s="4">
        <f>IF($A561=Z$542,"",COUNTIF($E$4:$E$538,$A561&amp;" ضد "&amp;Z$542)+COUNTIF($E$4:$E$538,Z$542&amp;" ضد "&amp;$A561))</f>
        <v>0</v>
      </c>
      <c r="AA561" s="4">
        <f>IF($A561=AA$542,"",COUNTIF($E$4:$E$538,$A561&amp;" ضد "&amp;AA$542)+COUNTIF($E$4:$E$538,AA$542&amp;" ضد "&amp;$A561))</f>
        <v>0</v>
      </c>
      <c r="AB561" s="4">
        <f>IF($A561=AB$542,"",COUNTIF($E$4:$E$538,$A561&amp;" ضد "&amp;AB$542)+COUNTIF($E$4:$E$538,AB$542&amp;" ضد "&amp;$A561))</f>
        <v>0</v>
      </c>
      <c r="AC561" s="4">
        <f>IF($A561=AC$542,"",COUNTIF($E$4:$E$538,$A561&amp;" ضد "&amp;AC$542)+COUNTIF($E$4:$E$538,AC$542&amp;" ضد "&amp;$A561))</f>
        <v>0</v>
      </c>
      <c r="AD561" s="4">
        <f>IF($A561=AD$542,"",COUNTIF($E$4:$E$538,$A561&amp;" ضد "&amp;AD$542)+COUNTIF($E$4:$E$538,AD$542&amp;" ضد "&amp;$A561))</f>
        <v>0</v>
      </c>
      <c r="AE561" s="4">
        <f>IF($A561=AE$542,"",COUNTIF($E$4:$E$538,$A561&amp;" ضد "&amp;AE$542)+COUNTIF($E$4:$E$538,AE$542&amp;" ضد "&amp;$A561))</f>
        <v>0</v>
      </c>
      <c r="AF561" s="4">
        <f>IF($A561=AF$542,"",COUNTIF($E$4:$E$538,$A561&amp;" ضد "&amp;AF$542)+COUNTIF($E$4:$E$538,AF$542&amp;" ضد "&amp;$A561))</f>
        <v>0</v>
      </c>
      <c r="AG561" s="4">
        <f>IF($A561=AG$542,"",COUNTIF($E$4:$E$538,$A561&amp;" ضد "&amp;AG$542)+COUNTIF($E$4:$E$538,AG$542&amp;" ضد "&amp;$A561))</f>
        <v>0</v>
      </c>
      <c r="AH561" s="4">
        <f>IF($A561=AH$542,"",COUNTIF($E$4:$E$538,$A561&amp;" ضد "&amp;AH$542)+COUNTIF($E$4:$E$538,AH$542&amp;" ضد "&amp;$A561))</f>
        <v>0</v>
      </c>
      <c r="AI561" s="4">
        <f>IF($A561=AI$542,"",COUNTIF($E$4:$E$538,$A561&amp;" ضد "&amp;AI$542)+COUNTIF($E$4:$E$538,AI$542&amp;" ضد "&amp;$A561))</f>
        <v>0</v>
      </c>
      <c r="AJ561" s="4">
        <f>IF($A561=AJ$542,"",COUNTIF($E$4:$E$538,$A561&amp;" ضد "&amp;AJ$542)+COUNTIF($E$4:$E$538,AJ$542&amp;" ضد "&amp;$A561))</f>
        <v>0</v>
      </c>
      <c r="AK561" s="4">
        <f>IF($A561=AK$542,"",COUNTIF($E$4:$E$538,$A561&amp;" ضد "&amp;AK$542)+COUNTIF($E$4:$E$538,AK$542&amp;" ضد "&amp;$A561))</f>
        <v>0</v>
      </c>
      <c r="AL561" s="4">
        <f>IF($A561=AL$542,"",COUNTIF($E$4:$E$538,$A561&amp;" ضد "&amp;AL$542)+COUNTIF($E$4:$E$538,AL$542&amp;" ضد "&amp;$A561))</f>
        <v>0</v>
      </c>
      <c r="AM561" s="4">
        <f>IF($A561=AM$542,"",COUNTIF($E$4:$E$538,$A561&amp;" ضد "&amp;AM$542)+COUNTIF($E$4:$E$538,AM$542&amp;" ضد "&amp;$A561))</f>
        <v>0</v>
      </c>
      <c r="AN561" s="4">
        <f>IF($A561=AN$542,"",COUNTIF($E$4:$E$538,$A561&amp;" ضد "&amp;AN$542)+COUNTIF($E$4:$E$538,AN$542&amp;" ضد "&amp;$A561))</f>
        <v>0</v>
      </c>
      <c r="AO561" s="4">
        <f>IF($A561=AO$542,"",COUNTIF($E$4:$E$538,$A561&amp;" ضد "&amp;AO$542)+COUNTIF($E$4:$E$538,AO$542&amp;" ضد "&amp;$A561))</f>
        <v>0</v>
      </c>
      <c r="AP561" s="4">
        <f>IF($A561=AP$542,"",COUNTIF($E$4:$E$538,$A561&amp;" ضد "&amp;AP$542)+COUNTIF($E$4:$E$538,AP$542&amp;" ضد "&amp;$A561))</f>
        <v>0</v>
      </c>
      <c r="AQ561" s="4">
        <f>IF($A561=AQ$542,"",COUNTIF($E$4:$E$538,$A561&amp;" ضد "&amp;AQ$542)+COUNTIF($E$4:$E$538,AQ$542&amp;" ضد "&amp;$A561))</f>
        <v>0</v>
      </c>
      <c r="AR561" s="4">
        <f>IF($A561=AR$542,"",COUNTIF($E$4:$E$538,$A561&amp;" ضد "&amp;AR$542)+COUNTIF($E$4:$E$538,AR$542&amp;" ضد "&amp;$A561))</f>
        <v>0</v>
      </c>
      <c r="AS561" s="4">
        <f>IF($A561=AS$542,"",COUNTIF($E$4:$E$538,$A561&amp;" ضد "&amp;AS$542)+COUNTIF($E$4:$E$538,AS$542&amp;" ضد "&amp;$A561))</f>
        <v>0</v>
      </c>
      <c r="AT561" s="4">
        <f>IF($A561=AT$542,"",COUNTIF($E$4:$E$538,$A561&amp;" ضد "&amp;AT$542)+COUNTIF($E$4:$E$538,AT$542&amp;" ضد "&amp;$A561))</f>
        <v>0</v>
      </c>
      <c r="AU561" s="4">
        <f>IF($A561=AU$542,"",COUNTIF($E$4:$E$538,$A561&amp;" ضد "&amp;AU$542)+COUNTIF($E$4:$E$538,AU$542&amp;" ضد "&amp;$A561))</f>
        <v>0</v>
      </c>
      <c r="AV561" s="4">
        <f>IF($A561=AV$542,"",COUNTIF($E$4:$E$538,$A561&amp;" ضد "&amp;AV$542)+COUNTIF($E$4:$E$538,AV$542&amp;" ضد "&amp;$A561))</f>
        <v>0</v>
      </c>
      <c r="AW561" s="4">
        <f>IF($A561=AW$542,"",COUNTIF($E$4:$E$538,$A561&amp;" ضد "&amp;AW$542)+COUNTIF($E$4:$E$538,AW$542&amp;" ضد "&amp;$A561))</f>
        <v>0</v>
      </c>
      <c r="AX561" s="4">
        <f>IF($A561=AX$542,"",COUNTIF($E$4:$E$538,$A561&amp;" ضد "&amp;AX$542)+COUNTIF($E$4:$E$538,AX$542&amp;" ضد "&amp;$A561))</f>
        <v>0</v>
      </c>
      <c r="AY561" s="4">
        <f>IF($A561=AY$542,"",COUNTIF($E$4:$E$538,$A561&amp;" ضد "&amp;AY$542)+COUNTIF($E$4:$E$538,AY$542&amp;" ضد "&amp;$A561))</f>
        <v>0</v>
      </c>
      <c r="AZ561" s="4">
        <f>IF($A561=AZ$542,"",COUNTIF($E$4:$E$538,$A561&amp;" ضد "&amp;AZ$542)+COUNTIF($E$4:$E$538,AZ$542&amp;" ضد "&amp;$A561))</f>
        <v>0</v>
      </c>
      <c r="BA561" s="4">
        <f>IF($A561=BA$542,"",COUNTIF($E$4:$E$538,$A561&amp;" ضد "&amp;BA$542)+COUNTIF($E$4:$E$538,BA$542&amp;" ضد "&amp;$A561))</f>
        <v>0</v>
      </c>
      <c r="BB561" s="4">
        <f>IF($A561=BB$542,"",COUNTIF($E$4:$E$538,$A561&amp;" ضد "&amp;BB$542)+COUNTIF($E$4:$E$538,BB$542&amp;" ضد "&amp;$A561))</f>
        <v>0</v>
      </c>
      <c r="BC561" s="4">
        <f>IF($A561=BC$542,"",COUNTIF($E$4:$E$538,$A561&amp;" ضد "&amp;BC$542)+COUNTIF($E$4:$E$538,BC$542&amp;" ضد "&amp;$A561))</f>
        <v>0</v>
      </c>
      <c r="BD561" s="4">
        <f>IF($A561=BD$542,"",COUNTIF($E$4:$E$538,$A561&amp;" ضد "&amp;BD$542)+COUNTIF($E$4:$E$538,BD$542&amp;" ضد "&amp;$A561))</f>
        <v>0</v>
      </c>
      <c r="BE561" s="4">
        <f>IF($A561=BE$542,"",COUNTIF($E$4:$E$538,$A561&amp;" ضد "&amp;BE$542)+COUNTIF($E$4:$E$538,BE$542&amp;" ضد "&amp;$A561))</f>
        <v>0</v>
      </c>
      <c r="BF561" s="4">
        <f>IF($A561=BF$542,"",COUNTIF($E$4:$E$538,$A561&amp;" ضد "&amp;BF$542)+COUNTIF($E$4:$E$538,BF$542&amp;" ضد "&amp;$A561))</f>
        <v>0</v>
      </c>
      <c r="BG561" s="4">
        <f>IF($A561=BG$542,"",COUNTIF($E$4:$E$538,$A561&amp;" ضد "&amp;BG$542)+COUNTIF($E$4:$E$538,BG$542&amp;" ضد "&amp;$A561))</f>
        <v>0</v>
      </c>
    </row>
    <row r="562" spans="1:59" ht="14.5">
      <c r="A562" s="14">
        <v>20</v>
      </c>
      <c r="B562" s="4">
        <f>IF($A562=B$542,"",COUNTIF($E$4:$E$538,$A562&amp;" ضد "&amp;B$542)+COUNTIF($E$4:$E$538,B$542&amp;" ضد "&amp;$A562))</f>
        <v>1</v>
      </c>
      <c r="C562" s="4">
        <f>IF($A562=C$542,"",COUNTIF($E$4:$E$538,$A562&amp;" ضد "&amp;C$542)+COUNTIF($E$4:$E$538,C$542&amp;" ضد "&amp;$A562))</f>
        <v>1</v>
      </c>
      <c r="D562" s="4">
        <f>IF($A562=D$542,"",COUNTIF($E$4:$E$538,$A562&amp;" ضد "&amp;D$542)+COUNTIF($E$4:$E$538,D$542&amp;" ضد "&amp;$A562))</f>
        <v>1</v>
      </c>
      <c r="E562" s="4">
        <f>IF($A562=E$542,"",COUNTIF($E$4:$E$538,$A562&amp;" ضد "&amp;E$542)+COUNTIF($E$4:$E$538,E$542&amp;" ضد "&amp;$A562))</f>
        <v>1</v>
      </c>
      <c r="F562" s="4">
        <f>IF($A562=F$542,"",COUNTIF($E$4:$E$538,$A562&amp;" ضد "&amp;F$542)+COUNTIF($E$4:$E$538,F$542&amp;" ضد "&amp;$A562))</f>
        <v>1</v>
      </c>
      <c r="G562" s="4">
        <f>IF($A562=G$542,"",COUNTIF($E$4:$E$538,$A562&amp;" ضد "&amp;G$542)+COUNTIF($E$4:$E$538,G$542&amp;" ضد "&amp;$A562))</f>
        <v>1</v>
      </c>
      <c r="H562" s="4">
        <f>IF($A562=H$542,"",COUNTIF($E$4:$E$538,$A562&amp;" ضد "&amp;H$542)+COUNTIF($E$4:$E$538,H$542&amp;" ضد "&amp;$A562))</f>
        <v>1</v>
      </c>
      <c r="I562" s="4">
        <f>IF($A562=I$542,"",COUNTIF($E$4:$E$538,$A562&amp;" ضد "&amp;I$542)+COUNTIF($E$4:$E$538,I$542&amp;" ضد "&amp;$A562))</f>
        <v>1</v>
      </c>
      <c r="J562" s="4">
        <f>IF($A562=J$542,"",COUNTIF($E$4:$E$538,$A562&amp;" ضد "&amp;J$542)+COUNTIF($E$4:$E$538,J$542&amp;" ضد "&amp;$A562))</f>
        <v>1</v>
      </c>
      <c r="K562" s="4">
        <f>IF($A562=K$542,"",COUNTIF($E$4:$E$538,$A562&amp;" ضد "&amp;K$542)+COUNTIF($E$4:$E$538,K$542&amp;" ضد "&amp;$A562))</f>
        <v>1</v>
      </c>
      <c r="L562" s="4">
        <f>IF($A562=L$542,"",COUNTIF($E$4:$E$538,$A562&amp;" ضد "&amp;L$542)+COUNTIF($E$4:$E$538,L$542&amp;" ضد "&amp;$A562))</f>
        <v>1</v>
      </c>
      <c r="M562" s="4">
        <f>IF($A562=M$542,"",COUNTIF($E$4:$E$538,$A562&amp;" ضد "&amp;M$542)+COUNTIF($E$4:$E$538,M$542&amp;" ضد "&amp;$A562))</f>
        <v>1</v>
      </c>
      <c r="N562" s="4">
        <f>IF($A562=N$542,"",COUNTIF($E$4:$E$538,$A562&amp;" ضد "&amp;N$542)+COUNTIF($E$4:$E$538,N$542&amp;" ضد "&amp;$A562))</f>
        <v>1</v>
      </c>
      <c r="O562" s="4">
        <f>IF($A562=O$542,"",COUNTIF($E$4:$E$538,$A562&amp;" ضد "&amp;O$542)+COUNTIF($E$4:$E$538,O$542&amp;" ضد "&amp;$A562))</f>
        <v>1</v>
      </c>
      <c r="P562" s="4">
        <f>IF($A562=P$542,"",COUNTIF($E$4:$E$538,$A562&amp;" ضد "&amp;P$542)+COUNTIF($E$4:$E$538,P$542&amp;" ضد "&amp;$A562))</f>
        <v>1</v>
      </c>
      <c r="Q562" s="4">
        <f>IF($A562=Q$542,"",COUNTIF($E$4:$E$538,$A562&amp;" ضد "&amp;Q$542)+COUNTIF($E$4:$E$538,Q$542&amp;" ضد "&amp;$A562))</f>
        <v>1</v>
      </c>
      <c r="R562" s="4">
        <f>IF($A562=R$542,"",COUNTIF($E$4:$E$538,$A562&amp;" ضد "&amp;R$542)+COUNTIF($E$4:$E$538,R$542&amp;" ضد "&amp;$A562))</f>
        <v>1</v>
      </c>
      <c r="S562" s="4">
        <f>IF($A562=S$542,"",COUNTIF($E$4:$E$538,$A562&amp;" ضد "&amp;S$542)+COUNTIF($E$4:$E$538,S$542&amp;" ضد "&amp;$A562))</f>
        <v>1</v>
      </c>
      <c r="T562" s="4">
        <f>IF($A562=T$542,"",COUNTIF($E$4:$E$538,$A562&amp;" ضد "&amp;T$542)+COUNTIF($E$4:$E$538,T$542&amp;" ضد "&amp;$A562))</f>
        <v>1</v>
      </c>
      <c r="U562" s="4" t="str">
        <f>IF($A562=U$542,"",COUNTIF($E$4:$E$538,$A562&amp;" ضد "&amp;U$542)+COUNTIF($E$4:$E$538,U$542&amp;" ضد "&amp;$A562))</f>
        <v/>
      </c>
      <c r="V562" s="4">
        <f>IF($A562=V$542,"",COUNTIF($E$4:$E$538,$A562&amp;" ضد "&amp;V$542)+COUNTIF($E$4:$E$538,V$542&amp;" ضد "&amp;$A562))</f>
        <v>0</v>
      </c>
      <c r="W562" s="4">
        <f>IF($A562=W$542,"",COUNTIF($E$4:$E$538,$A562&amp;" ضد "&amp;W$542)+COUNTIF($E$4:$E$538,W$542&amp;" ضد "&amp;$A562))</f>
        <v>0</v>
      </c>
      <c r="X562" s="4">
        <f>IF($A562=X$542,"",COUNTIF($E$4:$E$538,$A562&amp;" ضد "&amp;X$542)+COUNTIF($E$4:$E$538,X$542&amp;" ضد "&amp;$A562))</f>
        <v>0</v>
      </c>
      <c r="Y562" s="4">
        <f>IF($A562=Y$542,"",COUNTIF($E$4:$E$538,$A562&amp;" ضد "&amp;Y$542)+COUNTIF($E$4:$E$538,Y$542&amp;" ضد "&amp;$A562))</f>
        <v>0</v>
      </c>
      <c r="Z562" s="4">
        <f>IF($A562=Z$542,"",COUNTIF($E$4:$E$538,$A562&amp;" ضد "&amp;Z$542)+COUNTIF($E$4:$E$538,Z$542&amp;" ضد "&amp;$A562))</f>
        <v>0</v>
      </c>
      <c r="AA562" s="4">
        <f>IF($A562=AA$542,"",COUNTIF($E$4:$E$538,$A562&amp;" ضد "&amp;AA$542)+COUNTIF($E$4:$E$538,AA$542&amp;" ضد "&amp;$A562))</f>
        <v>0</v>
      </c>
      <c r="AB562" s="4">
        <f>IF($A562=AB$542,"",COUNTIF($E$4:$E$538,$A562&amp;" ضد "&amp;AB$542)+COUNTIF($E$4:$E$538,AB$542&amp;" ضد "&amp;$A562))</f>
        <v>0</v>
      </c>
      <c r="AC562" s="4">
        <f>IF($A562=AC$542,"",COUNTIF($E$4:$E$538,$A562&amp;" ضد "&amp;AC$542)+COUNTIF($E$4:$E$538,AC$542&amp;" ضد "&amp;$A562))</f>
        <v>0</v>
      </c>
      <c r="AD562" s="4">
        <f>IF($A562=AD$542,"",COUNTIF($E$4:$E$538,$A562&amp;" ضد "&amp;AD$542)+COUNTIF($E$4:$E$538,AD$542&amp;" ضد "&amp;$A562))</f>
        <v>0</v>
      </c>
      <c r="AE562" s="4">
        <f>IF($A562=AE$542,"",COUNTIF($E$4:$E$538,$A562&amp;" ضد "&amp;AE$542)+COUNTIF($E$4:$E$538,AE$542&amp;" ضد "&amp;$A562))</f>
        <v>0</v>
      </c>
      <c r="AF562" s="4">
        <f>IF($A562=AF$542,"",COUNTIF($E$4:$E$538,$A562&amp;" ضد "&amp;AF$542)+COUNTIF($E$4:$E$538,AF$542&amp;" ضد "&amp;$A562))</f>
        <v>0</v>
      </c>
      <c r="AG562" s="4">
        <f>IF($A562=AG$542,"",COUNTIF($E$4:$E$538,$A562&amp;" ضد "&amp;AG$542)+COUNTIF($E$4:$E$538,AG$542&amp;" ضد "&amp;$A562))</f>
        <v>0</v>
      </c>
      <c r="AH562" s="4">
        <f>IF($A562=AH$542,"",COUNTIF($E$4:$E$538,$A562&amp;" ضد "&amp;AH$542)+COUNTIF($E$4:$E$538,AH$542&amp;" ضد "&amp;$A562))</f>
        <v>0</v>
      </c>
      <c r="AI562" s="4">
        <f>IF($A562=AI$542,"",COUNTIF($E$4:$E$538,$A562&amp;" ضد "&amp;AI$542)+COUNTIF($E$4:$E$538,AI$542&amp;" ضد "&amp;$A562))</f>
        <v>0</v>
      </c>
      <c r="AJ562" s="4">
        <f>IF($A562=AJ$542,"",COUNTIF($E$4:$E$538,$A562&amp;" ضد "&amp;AJ$542)+COUNTIF($E$4:$E$538,AJ$542&amp;" ضد "&amp;$A562))</f>
        <v>0</v>
      </c>
      <c r="AK562" s="4">
        <f>IF($A562=AK$542,"",COUNTIF($E$4:$E$538,$A562&amp;" ضد "&amp;AK$542)+COUNTIF($E$4:$E$538,AK$542&amp;" ضد "&amp;$A562))</f>
        <v>0</v>
      </c>
      <c r="AL562" s="4">
        <f>IF($A562=AL$542,"",COUNTIF($E$4:$E$538,$A562&amp;" ضد "&amp;AL$542)+COUNTIF($E$4:$E$538,AL$542&amp;" ضد "&amp;$A562))</f>
        <v>0</v>
      </c>
      <c r="AM562" s="4">
        <f>IF($A562=AM$542,"",COUNTIF($E$4:$E$538,$A562&amp;" ضد "&amp;AM$542)+COUNTIF($E$4:$E$538,AM$542&amp;" ضد "&amp;$A562))</f>
        <v>0</v>
      </c>
      <c r="AN562" s="4">
        <f>IF($A562=AN$542,"",COUNTIF($E$4:$E$538,$A562&amp;" ضد "&amp;AN$542)+COUNTIF($E$4:$E$538,AN$542&amp;" ضد "&amp;$A562))</f>
        <v>0</v>
      </c>
      <c r="AO562" s="4">
        <f>IF($A562=AO$542,"",COUNTIF($E$4:$E$538,$A562&amp;" ضد "&amp;AO$542)+COUNTIF($E$4:$E$538,AO$542&amp;" ضد "&amp;$A562))</f>
        <v>0</v>
      </c>
      <c r="AP562" s="4">
        <f>IF($A562=AP$542,"",COUNTIF($E$4:$E$538,$A562&amp;" ضد "&amp;AP$542)+COUNTIF($E$4:$E$538,AP$542&amp;" ضد "&amp;$A562))</f>
        <v>0</v>
      </c>
      <c r="AQ562" s="4">
        <f>IF($A562=AQ$542,"",COUNTIF($E$4:$E$538,$A562&amp;" ضد "&amp;AQ$542)+COUNTIF($E$4:$E$538,AQ$542&amp;" ضد "&amp;$A562))</f>
        <v>0</v>
      </c>
      <c r="AR562" s="4">
        <f>IF($A562=AR$542,"",COUNTIF($E$4:$E$538,$A562&amp;" ضد "&amp;AR$542)+COUNTIF($E$4:$E$538,AR$542&amp;" ضد "&amp;$A562))</f>
        <v>0</v>
      </c>
      <c r="AS562" s="4">
        <f>IF($A562=AS$542,"",COUNTIF($E$4:$E$538,$A562&amp;" ضد "&amp;AS$542)+COUNTIF($E$4:$E$538,AS$542&amp;" ضد "&amp;$A562))</f>
        <v>0</v>
      </c>
      <c r="AT562" s="4">
        <f>IF($A562=AT$542,"",COUNTIF($E$4:$E$538,$A562&amp;" ضد "&amp;AT$542)+COUNTIF($E$4:$E$538,AT$542&amp;" ضد "&amp;$A562))</f>
        <v>0</v>
      </c>
      <c r="AU562" s="4">
        <f>IF($A562=AU$542,"",COUNTIF($E$4:$E$538,$A562&amp;" ضد "&amp;AU$542)+COUNTIF($E$4:$E$538,AU$542&amp;" ضد "&amp;$A562))</f>
        <v>0</v>
      </c>
      <c r="AV562" s="4">
        <f>IF($A562=AV$542,"",COUNTIF($E$4:$E$538,$A562&amp;" ضد "&amp;AV$542)+COUNTIF($E$4:$E$538,AV$542&amp;" ضد "&amp;$A562))</f>
        <v>0</v>
      </c>
      <c r="AW562" s="4">
        <f>IF($A562=AW$542,"",COUNTIF($E$4:$E$538,$A562&amp;" ضد "&amp;AW$542)+COUNTIF($E$4:$E$538,AW$542&amp;" ضد "&amp;$A562))</f>
        <v>0</v>
      </c>
      <c r="AX562" s="4">
        <f>IF($A562=AX$542,"",COUNTIF($E$4:$E$538,$A562&amp;" ضد "&amp;AX$542)+COUNTIF($E$4:$E$538,AX$542&amp;" ضد "&amp;$A562))</f>
        <v>0</v>
      </c>
      <c r="AY562" s="4">
        <f>IF($A562=AY$542,"",COUNTIF($E$4:$E$538,$A562&amp;" ضد "&amp;AY$542)+COUNTIF($E$4:$E$538,AY$542&amp;" ضد "&amp;$A562))</f>
        <v>0</v>
      </c>
      <c r="AZ562" s="4">
        <f>IF($A562=AZ$542,"",COUNTIF($E$4:$E$538,$A562&amp;" ضد "&amp;AZ$542)+COUNTIF($E$4:$E$538,AZ$542&amp;" ضد "&amp;$A562))</f>
        <v>0</v>
      </c>
      <c r="BA562" s="4">
        <f>IF($A562=BA$542,"",COUNTIF($E$4:$E$538,$A562&amp;" ضد "&amp;BA$542)+COUNTIF($E$4:$E$538,BA$542&amp;" ضد "&amp;$A562))</f>
        <v>0</v>
      </c>
      <c r="BB562" s="4">
        <f>IF($A562=BB$542,"",COUNTIF($E$4:$E$538,$A562&amp;" ضد "&amp;BB$542)+COUNTIF($E$4:$E$538,BB$542&amp;" ضد "&amp;$A562))</f>
        <v>0</v>
      </c>
      <c r="BC562" s="4">
        <f>IF($A562=BC$542,"",COUNTIF($E$4:$E$538,$A562&amp;" ضد "&amp;BC$542)+COUNTIF($E$4:$E$538,BC$542&amp;" ضد "&amp;$A562))</f>
        <v>0</v>
      </c>
      <c r="BD562" s="4">
        <f>IF($A562=BD$542,"",COUNTIF($E$4:$E$538,$A562&amp;" ضد "&amp;BD$542)+COUNTIF($E$4:$E$538,BD$542&amp;" ضد "&amp;$A562))</f>
        <v>0</v>
      </c>
      <c r="BE562" s="4">
        <f>IF($A562=BE$542,"",COUNTIF($E$4:$E$538,$A562&amp;" ضد "&amp;BE$542)+COUNTIF($E$4:$E$538,BE$542&amp;" ضد "&amp;$A562))</f>
        <v>0</v>
      </c>
      <c r="BF562" s="4">
        <f>IF($A562=BF$542,"",COUNTIF($E$4:$E$538,$A562&amp;" ضد "&amp;BF$542)+COUNTIF($E$4:$E$538,BF$542&amp;" ضد "&amp;$A562))</f>
        <v>0</v>
      </c>
      <c r="BG562" s="4">
        <f>IF($A562=BG$542,"",COUNTIF($E$4:$E$538,$A562&amp;" ضد "&amp;BG$542)+COUNTIF($E$4:$E$538,BG$542&amp;" ضد "&amp;$A562))</f>
        <v>0</v>
      </c>
    </row>
    <row r="563" spans="1:59" ht="14.5">
      <c r="A563" s="14">
        <v>21</v>
      </c>
      <c r="B563" s="4">
        <f>IF($A563=B$542,"",COUNTIF($E$4:$E$538,$A563&amp;" ضد "&amp;B$542)+COUNTIF($E$4:$E$538,B$542&amp;" ضد "&amp;$A563))</f>
        <v>0</v>
      </c>
      <c r="C563" s="4">
        <f>IF($A563=C$542,"",COUNTIF($E$4:$E$538,$A563&amp;" ضد "&amp;C$542)+COUNTIF($E$4:$E$538,C$542&amp;" ضد "&amp;$A563))</f>
        <v>0</v>
      </c>
      <c r="D563" s="4">
        <f>IF($A563=D$542,"",COUNTIF($E$4:$E$538,$A563&amp;" ضد "&amp;D$542)+COUNTIF($E$4:$E$538,D$542&amp;" ضد "&amp;$A563))</f>
        <v>0</v>
      </c>
      <c r="E563" s="4">
        <f>IF($A563=E$542,"",COUNTIF($E$4:$E$538,$A563&amp;" ضد "&amp;E$542)+COUNTIF($E$4:$E$538,E$542&amp;" ضد "&amp;$A563))</f>
        <v>0</v>
      </c>
      <c r="F563" s="4">
        <f>IF($A563=F$542,"",COUNTIF($E$4:$E$538,$A563&amp;" ضد "&amp;F$542)+COUNTIF($E$4:$E$538,F$542&amp;" ضد "&amp;$A563))</f>
        <v>0</v>
      </c>
      <c r="G563" s="4">
        <f>IF($A563=G$542,"",COUNTIF($E$4:$E$538,$A563&amp;" ضد "&amp;G$542)+COUNTIF($E$4:$E$538,G$542&amp;" ضد "&amp;$A563))</f>
        <v>0</v>
      </c>
      <c r="H563" s="4">
        <f>IF($A563=H$542,"",COUNTIF($E$4:$E$538,$A563&amp;" ضد "&amp;H$542)+COUNTIF($E$4:$E$538,H$542&amp;" ضد "&amp;$A563))</f>
        <v>0</v>
      </c>
      <c r="I563" s="4">
        <f>IF($A563=I$542,"",COUNTIF($E$4:$E$538,$A563&amp;" ضد "&amp;I$542)+COUNTIF($E$4:$E$538,I$542&amp;" ضد "&amp;$A563))</f>
        <v>0</v>
      </c>
      <c r="J563" s="4">
        <f>IF($A563=J$542,"",COUNTIF($E$4:$E$538,$A563&amp;" ضد "&amp;J$542)+COUNTIF($E$4:$E$538,J$542&amp;" ضد "&amp;$A563))</f>
        <v>0</v>
      </c>
      <c r="K563" s="4">
        <f>IF($A563=K$542,"",COUNTIF($E$4:$E$538,$A563&amp;" ضد "&amp;K$542)+COUNTIF($E$4:$E$538,K$542&amp;" ضد "&amp;$A563))</f>
        <v>0</v>
      </c>
      <c r="L563" s="4">
        <f>IF($A563=L$542,"",COUNTIF($E$4:$E$538,$A563&amp;" ضد "&amp;L$542)+COUNTIF($E$4:$E$538,L$542&amp;" ضد "&amp;$A563))</f>
        <v>0</v>
      </c>
      <c r="M563" s="4">
        <f>IF($A563=M$542,"",COUNTIF($E$4:$E$538,$A563&amp;" ضد "&amp;M$542)+COUNTIF($E$4:$E$538,M$542&amp;" ضد "&amp;$A563))</f>
        <v>0</v>
      </c>
      <c r="N563" s="4">
        <f>IF($A563=N$542,"",COUNTIF($E$4:$E$538,$A563&amp;" ضد "&amp;N$542)+COUNTIF($E$4:$E$538,N$542&amp;" ضد "&amp;$A563))</f>
        <v>0</v>
      </c>
      <c r="O563" s="4">
        <f>IF($A563=O$542,"",COUNTIF($E$4:$E$538,$A563&amp;" ضد "&amp;O$542)+COUNTIF($E$4:$E$538,O$542&amp;" ضد "&amp;$A563))</f>
        <v>0</v>
      </c>
      <c r="P563" s="4">
        <f>IF($A563=P$542,"",COUNTIF($E$4:$E$538,$A563&amp;" ضد "&amp;P$542)+COUNTIF($E$4:$E$538,P$542&amp;" ضد "&amp;$A563))</f>
        <v>0</v>
      </c>
      <c r="Q563" s="4">
        <f>IF($A563=Q$542,"",COUNTIF($E$4:$E$538,$A563&amp;" ضد "&amp;Q$542)+COUNTIF($E$4:$E$538,Q$542&amp;" ضد "&amp;$A563))</f>
        <v>0</v>
      </c>
      <c r="R563" s="4">
        <f>IF($A563=R$542,"",COUNTIF($E$4:$E$538,$A563&amp;" ضد "&amp;R$542)+COUNTIF($E$4:$E$538,R$542&amp;" ضد "&amp;$A563))</f>
        <v>0</v>
      </c>
      <c r="S563" s="4">
        <f>IF($A563=S$542,"",COUNTIF($E$4:$E$538,$A563&amp;" ضد "&amp;S$542)+COUNTIF($E$4:$E$538,S$542&amp;" ضد "&amp;$A563))</f>
        <v>0</v>
      </c>
      <c r="T563" s="4">
        <f>IF($A563=T$542,"",COUNTIF($E$4:$E$538,$A563&amp;" ضد "&amp;T$542)+COUNTIF($E$4:$E$538,T$542&amp;" ضد "&amp;$A563))</f>
        <v>0</v>
      </c>
      <c r="U563" s="4">
        <f>IF($A563=U$542,"",COUNTIF($E$4:$E$538,$A563&amp;" ضد "&amp;U$542)+COUNTIF($E$4:$E$538,U$542&amp;" ضد "&amp;$A563))</f>
        <v>0</v>
      </c>
      <c r="V563" s="4" t="str">
        <f>IF($A563=V$542,"",COUNTIF($E$4:$E$538,$A563&amp;" ضد "&amp;V$542)+COUNTIF($E$4:$E$538,V$542&amp;" ضد "&amp;$A563))</f>
        <v/>
      </c>
      <c r="W563" s="4">
        <f>IF($A563=W$542,"",COUNTIF($E$4:$E$538,$A563&amp;" ضد "&amp;W$542)+COUNTIF($E$4:$E$538,W$542&amp;" ضد "&amp;$A563))</f>
        <v>1</v>
      </c>
      <c r="X563" s="4">
        <f>IF($A563=X$542,"",COUNTIF($E$4:$E$538,$A563&amp;" ضد "&amp;X$542)+COUNTIF($E$4:$E$538,X$542&amp;" ضد "&amp;$A563))</f>
        <v>1</v>
      </c>
      <c r="Y563" s="4">
        <f>IF($A563=Y$542,"",COUNTIF($E$4:$E$538,$A563&amp;" ضد "&amp;Y$542)+COUNTIF($E$4:$E$538,Y$542&amp;" ضد "&amp;$A563))</f>
        <v>1</v>
      </c>
      <c r="Z563" s="4">
        <f>IF($A563=Z$542,"",COUNTIF($E$4:$E$538,$A563&amp;" ضد "&amp;Z$542)+COUNTIF($E$4:$E$538,Z$542&amp;" ضد "&amp;$A563))</f>
        <v>1</v>
      </c>
      <c r="AA563" s="4">
        <f>IF($A563=AA$542,"",COUNTIF($E$4:$E$538,$A563&amp;" ضد "&amp;AA$542)+COUNTIF($E$4:$E$538,AA$542&amp;" ضد "&amp;$A563))</f>
        <v>1</v>
      </c>
      <c r="AB563" s="4">
        <f>IF($A563=AB$542,"",COUNTIF($E$4:$E$538,$A563&amp;" ضد "&amp;AB$542)+COUNTIF($E$4:$E$538,AB$542&amp;" ضد "&amp;$A563))</f>
        <v>1</v>
      </c>
      <c r="AC563" s="4">
        <f>IF($A563=AC$542,"",COUNTIF($E$4:$E$538,$A563&amp;" ضد "&amp;AC$542)+COUNTIF($E$4:$E$538,AC$542&amp;" ضد "&amp;$A563))</f>
        <v>1</v>
      </c>
      <c r="AD563" s="4">
        <f>IF($A563=AD$542,"",COUNTIF($E$4:$E$538,$A563&amp;" ضد "&amp;AD$542)+COUNTIF($E$4:$E$538,AD$542&amp;" ضد "&amp;$A563))</f>
        <v>1</v>
      </c>
      <c r="AE563" s="4">
        <f>IF($A563=AE$542,"",COUNTIF($E$4:$E$538,$A563&amp;" ضد "&amp;AE$542)+COUNTIF($E$4:$E$538,AE$542&amp;" ضد "&amp;$A563))</f>
        <v>1</v>
      </c>
      <c r="AF563" s="4">
        <f>IF($A563=AF$542,"",COUNTIF($E$4:$E$538,$A563&amp;" ضد "&amp;AF$542)+COUNTIF($E$4:$E$538,AF$542&amp;" ضد "&amp;$A563))</f>
        <v>1</v>
      </c>
      <c r="AG563" s="4">
        <f>IF($A563=AG$542,"",COUNTIF($E$4:$E$538,$A563&amp;" ضد "&amp;AG$542)+COUNTIF($E$4:$E$538,AG$542&amp;" ضد "&amp;$A563))</f>
        <v>1</v>
      </c>
      <c r="AH563" s="4">
        <f>IF($A563=AH$542,"",COUNTIF($E$4:$E$538,$A563&amp;" ضد "&amp;AH$542)+COUNTIF($E$4:$E$538,AH$542&amp;" ضد "&amp;$A563))</f>
        <v>1</v>
      </c>
      <c r="AI563" s="4">
        <f>IF($A563=AI$542,"",COUNTIF($E$4:$E$538,$A563&amp;" ضد "&amp;AI$542)+COUNTIF($E$4:$E$538,AI$542&amp;" ضد "&amp;$A563))</f>
        <v>1</v>
      </c>
      <c r="AJ563" s="4">
        <f>IF($A563=AJ$542,"",COUNTIF($E$4:$E$538,$A563&amp;" ضد "&amp;AJ$542)+COUNTIF($E$4:$E$538,AJ$542&amp;" ضد "&amp;$A563))</f>
        <v>1</v>
      </c>
      <c r="AK563" s="4">
        <f>IF($A563=AK$542,"",COUNTIF($E$4:$E$538,$A563&amp;" ضد "&amp;AK$542)+COUNTIF($E$4:$E$538,AK$542&amp;" ضد "&amp;$A563))</f>
        <v>1</v>
      </c>
      <c r="AL563" s="4">
        <f>IF($A563=AL$542,"",COUNTIF($E$4:$E$538,$A563&amp;" ضد "&amp;AL$542)+COUNTIF($E$4:$E$538,AL$542&amp;" ضد "&amp;$A563))</f>
        <v>1</v>
      </c>
      <c r="AM563" s="4">
        <f>IF($A563=AM$542,"",COUNTIF($E$4:$E$538,$A563&amp;" ضد "&amp;AM$542)+COUNTIF($E$4:$E$538,AM$542&amp;" ضد "&amp;$A563))</f>
        <v>1</v>
      </c>
      <c r="AN563" s="4">
        <f>IF($A563=AN$542,"",COUNTIF($E$4:$E$538,$A563&amp;" ضد "&amp;AN$542)+COUNTIF($E$4:$E$538,AN$542&amp;" ضد "&amp;$A563))</f>
        <v>1</v>
      </c>
      <c r="AO563" s="4">
        <f>IF($A563=AO$542,"",COUNTIF($E$4:$E$538,$A563&amp;" ضد "&amp;AO$542)+COUNTIF($E$4:$E$538,AO$542&amp;" ضد "&amp;$A563))</f>
        <v>0</v>
      </c>
      <c r="AP563" s="4">
        <f>IF($A563=AP$542,"",COUNTIF($E$4:$E$538,$A563&amp;" ضد "&amp;AP$542)+COUNTIF($E$4:$E$538,AP$542&amp;" ضد "&amp;$A563))</f>
        <v>0</v>
      </c>
      <c r="AQ563" s="4">
        <f>IF($A563=AQ$542,"",COUNTIF($E$4:$E$538,$A563&amp;" ضد "&amp;AQ$542)+COUNTIF($E$4:$E$538,AQ$542&amp;" ضد "&amp;$A563))</f>
        <v>0</v>
      </c>
      <c r="AR563" s="4">
        <f>IF($A563=AR$542,"",COUNTIF($E$4:$E$538,$A563&amp;" ضد "&amp;AR$542)+COUNTIF($E$4:$E$538,AR$542&amp;" ضد "&amp;$A563))</f>
        <v>0</v>
      </c>
      <c r="AS563" s="4">
        <f>IF($A563=AS$542,"",COUNTIF($E$4:$E$538,$A563&amp;" ضد "&amp;AS$542)+COUNTIF($E$4:$E$538,AS$542&amp;" ضد "&amp;$A563))</f>
        <v>0</v>
      </c>
      <c r="AT563" s="4">
        <f>IF($A563=AT$542,"",COUNTIF($E$4:$E$538,$A563&amp;" ضد "&amp;AT$542)+COUNTIF($E$4:$E$538,AT$542&amp;" ضد "&amp;$A563))</f>
        <v>0</v>
      </c>
      <c r="AU563" s="4">
        <f>IF($A563=AU$542,"",COUNTIF($E$4:$E$538,$A563&amp;" ضد "&amp;AU$542)+COUNTIF($E$4:$E$538,AU$542&amp;" ضد "&amp;$A563))</f>
        <v>0</v>
      </c>
      <c r="AV563" s="4">
        <f>IF($A563=AV$542,"",COUNTIF($E$4:$E$538,$A563&amp;" ضد "&amp;AV$542)+COUNTIF($E$4:$E$538,AV$542&amp;" ضد "&amp;$A563))</f>
        <v>0</v>
      </c>
      <c r="AW563" s="4">
        <f>IF($A563=AW$542,"",COUNTIF($E$4:$E$538,$A563&amp;" ضد "&amp;AW$542)+COUNTIF($E$4:$E$538,AW$542&amp;" ضد "&amp;$A563))</f>
        <v>0</v>
      </c>
      <c r="AX563" s="4">
        <f>IF($A563=AX$542,"",COUNTIF($E$4:$E$538,$A563&amp;" ضد "&amp;AX$542)+COUNTIF($E$4:$E$538,AX$542&amp;" ضد "&amp;$A563))</f>
        <v>0</v>
      </c>
      <c r="AY563" s="4">
        <f>IF($A563=AY$542,"",COUNTIF($E$4:$E$538,$A563&amp;" ضد "&amp;AY$542)+COUNTIF($E$4:$E$538,AY$542&amp;" ضد "&amp;$A563))</f>
        <v>0</v>
      </c>
      <c r="AZ563" s="4">
        <f>IF($A563=AZ$542,"",COUNTIF($E$4:$E$538,$A563&amp;" ضد "&amp;AZ$542)+COUNTIF($E$4:$E$538,AZ$542&amp;" ضد "&amp;$A563))</f>
        <v>0</v>
      </c>
      <c r="BA563" s="4">
        <f>IF($A563=BA$542,"",COUNTIF($E$4:$E$538,$A563&amp;" ضد "&amp;BA$542)+COUNTIF($E$4:$E$538,BA$542&amp;" ضد "&amp;$A563))</f>
        <v>0</v>
      </c>
      <c r="BB563" s="4">
        <f>IF($A563=BB$542,"",COUNTIF($E$4:$E$538,$A563&amp;" ضد "&amp;BB$542)+COUNTIF($E$4:$E$538,BB$542&amp;" ضد "&amp;$A563))</f>
        <v>0</v>
      </c>
      <c r="BC563" s="4">
        <f>IF($A563=BC$542,"",COUNTIF($E$4:$E$538,$A563&amp;" ضد "&amp;BC$542)+COUNTIF($E$4:$E$538,BC$542&amp;" ضد "&amp;$A563))</f>
        <v>0</v>
      </c>
      <c r="BD563" s="4">
        <f>IF($A563=BD$542,"",COUNTIF($E$4:$E$538,$A563&amp;" ضد "&amp;BD$542)+COUNTIF($E$4:$E$538,BD$542&amp;" ضد "&amp;$A563))</f>
        <v>0</v>
      </c>
      <c r="BE563" s="4">
        <f>IF($A563=BE$542,"",COUNTIF($E$4:$E$538,$A563&amp;" ضد "&amp;BE$542)+COUNTIF($E$4:$E$538,BE$542&amp;" ضد "&amp;$A563))</f>
        <v>0</v>
      </c>
      <c r="BF563" s="4">
        <f>IF($A563=BF$542,"",COUNTIF($E$4:$E$538,$A563&amp;" ضد "&amp;BF$542)+COUNTIF($E$4:$E$538,BF$542&amp;" ضد "&amp;$A563))</f>
        <v>0</v>
      </c>
      <c r="BG563" s="4">
        <f>IF($A563=BG$542,"",COUNTIF($E$4:$E$538,$A563&amp;" ضد "&amp;BG$542)+COUNTIF($E$4:$E$538,BG$542&amp;" ضد "&amp;$A563))</f>
        <v>0</v>
      </c>
    </row>
    <row r="564" spans="1:59" ht="14.5">
      <c r="A564" s="14">
        <v>22</v>
      </c>
      <c r="B564" s="4">
        <f>IF($A564=B$542,"",COUNTIF($E$4:$E$538,$A564&amp;" ضد "&amp;B$542)+COUNTIF($E$4:$E$538,B$542&amp;" ضد "&amp;$A564))</f>
        <v>0</v>
      </c>
      <c r="C564" s="4">
        <f>IF($A564=C$542,"",COUNTIF($E$4:$E$538,$A564&amp;" ضد "&amp;C$542)+COUNTIF($E$4:$E$538,C$542&amp;" ضد "&amp;$A564))</f>
        <v>0</v>
      </c>
      <c r="D564" s="4">
        <f>IF($A564=D$542,"",COUNTIF($E$4:$E$538,$A564&amp;" ضد "&amp;D$542)+COUNTIF($E$4:$E$538,D$542&amp;" ضد "&amp;$A564))</f>
        <v>0</v>
      </c>
      <c r="E564" s="4">
        <f>IF($A564=E$542,"",COUNTIF($E$4:$E$538,$A564&amp;" ضد "&amp;E$542)+COUNTIF($E$4:$E$538,E$542&amp;" ضد "&amp;$A564))</f>
        <v>0</v>
      </c>
      <c r="F564" s="4">
        <f>IF($A564=F$542,"",COUNTIF($E$4:$E$538,$A564&amp;" ضد "&amp;F$542)+COUNTIF($E$4:$E$538,F$542&amp;" ضد "&amp;$A564))</f>
        <v>0</v>
      </c>
      <c r="G564" s="4">
        <f>IF($A564=G$542,"",COUNTIF($E$4:$E$538,$A564&amp;" ضد "&amp;G$542)+COUNTIF($E$4:$E$538,G$542&amp;" ضد "&amp;$A564))</f>
        <v>0</v>
      </c>
      <c r="H564" s="4">
        <f>IF($A564=H$542,"",COUNTIF($E$4:$E$538,$A564&amp;" ضد "&amp;H$542)+COUNTIF($E$4:$E$538,H$542&amp;" ضد "&amp;$A564))</f>
        <v>0</v>
      </c>
      <c r="I564" s="4">
        <f>IF($A564=I$542,"",COUNTIF($E$4:$E$538,$A564&amp;" ضد "&amp;I$542)+COUNTIF($E$4:$E$538,I$542&amp;" ضد "&amp;$A564))</f>
        <v>0</v>
      </c>
      <c r="J564" s="4">
        <f>IF($A564=J$542,"",COUNTIF($E$4:$E$538,$A564&amp;" ضد "&amp;J$542)+COUNTIF($E$4:$E$538,J$542&amp;" ضد "&amp;$A564))</f>
        <v>0</v>
      </c>
      <c r="K564" s="4">
        <f>IF($A564=K$542,"",COUNTIF($E$4:$E$538,$A564&amp;" ضد "&amp;K$542)+COUNTIF($E$4:$E$538,K$542&amp;" ضد "&amp;$A564))</f>
        <v>0</v>
      </c>
      <c r="L564" s="4">
        <f>IF($A564=L$542,"",COUNTIF($E$4:$E$538,$A564&amp;" ضد "&amp;L$542)+COUNTIF($E$4:$E$538,L$542&amp;" ضد "&amp;$A564))</f>
        <v>0</v>
      </c>
      <c r="M564" s="4">
        <f>IF($A564=M$542,"",COUNTIF($E$4:$E$538,$A564&amp;" ضد "&amp;M$542)+COUNTIF($E$4:$E$538,M$542&amp;" ضد "&amp;$A564))</f>
        <v>0</v>
      </c>
      <c r="N564" s="4">
        <f>IF($A564=N$542,"",COUNTIF($E$4:$E$538,$A564&amp;" ضد "&amp;N$542)+COUNTIF($E$4:$E$538,N$542&amp;" ضد "&amp;$A564))</f>
        <v>0</v>
      </c>
      <c r="O564" s="4">
        <f>IF($A564=O$542,"",COUNTIF($E$4:$E$538,$A564&amp;" ضد "&amp;O$542)+COUNTIF($E$4:$E$538,O$542&amp;" ضد "&amp;$A564))</f>
        <v>0</v>
      </c>
      <c r="P564" s="4">
        <f>IF($A564=P$542,"",COUNTIF($E$4:$E$538,$A564&amp;" ضد "&amp;P$542)+COUNTIF($E$4:$E$538,P$542&amp;" ضد "&amp;$A564))</f>
        <v>0</v>
      </c>
      <c r="Q564" s="4">
        <f>IF($A564=Q$542,"",COUNTIF($E$4:$E$538,$A564&amp;" ضد "&amp;Q$542)+COUNTIF($E$4:$E$538,Q$542&amp;" ضد "&amp;$A564))</f>
        <v>0</v>
      </c>
      <c r="R564" s="4">
        <f>IF($A564=R$542,"",COUNTIF($E$4:$E$538,$A564&amp;" ضد "&amp;R$542)+COUNTIF($E$4:$E$538,R$542&amp;" ضد "&amp;$A564))</f>
        <v>0</v>
      </c>
      <c r="S564" s="4">
        <f>IF($A564=S$542,"",COUNTIF($E$4:$E$538,$A564&amp;" ضد "&amp;S$542)+COUNTIF($E$4:$E$538,S$542&amp;" ضد "&amp;$A564))</f>
        <v>0</v>
      </c>
      <c r="T564" s="4">
        <f>IF($A564=T$542,"",COUNTIF($E$4:$E$538,$A564&amp;" ضد "&amp;T$542)+COUNTIF($E$4:$E$538,T$542&amp;" ضد "&amp;$A564))</f>
        <v>0</v>
      </c>
      <c r="U564" s="4">
        <f>IF($A564=U$542,"",COUNTIF($E$4:$E$538,$A564&amp;" ضد "&amp;U$542)+COUNTIF($E$4:$E$538,U$542&amp;" ضد "&amp;$A564))</f>
        <v>0</v>
      </c>
      <c r="V564" s="4">
        <f>IF($A564=V$542,"",COUNTIF($E$4:$E$538,$A564&amp;" ضد "&amp;V$542)+COUNTIF($E$4:$E$538,V$542&amp;" ضد "&amp;$A564))</f>
        <v>1</v>
      </c>
      <c r="W564" s="4" t="str">
        <f>IF($A564=W$542,"",COUNTIF($E$4:$E$538,$A564&amp;" ضد "&amp;W$542)+COUNTIF($E$4:$E$538,W$542&amp;" ضد "&amp;$A564))</f>
        <v/>
      </c>
      <c r="X564" s="4">
        <f>IF($A564=X$542,"",COUNTIF($E$4:$E$538,$A564&amp;" ضد "&amp;X$542)+COUNTIF($E$4:$E$538,X$542&amp;" ضد "&amp;$A564))</f>
        <v>1</v>
      </c>
      <c r="Y564" s="4">
        <f>IF($A564=Y$542,"",COUNTIF($E$4:$E$538,$A564&amp;" ضد "&amp;Y$542)+COUNTIF($E$4:$E$538,Y$542&amp;" ضد "&amp;$A564))</f>
        <v>1</v>
      </c>
      <c r="Z564" s="4">
        <f>IF($A564=Z$542,"",COUNTIF($E$4:$E$538,$A564&amp;" ضد "&amp;Z$542)+COUNTIF($E$4:$E$538,Z$542&amp;" ضد "&amp;$A564))</f>
        <v>1</v>
      </c>
      <c r="AA564" s="4">
        <f>IF($A564=AA$542,"",COUNTIF($E$4:$E$538,$A564&amp;" ضد "&amp;AA$542)+COUNTIF($E$4:$E$538,AA$542&amp;" ضد "&amp;$A564))</f>
        <v>1</v>
      </c>
      <c r="AB564" s="4">
        <f>IF($A564=AB$542,"",COUNTIF($E$4:$E$538,$A564&amp;" ضد "&amp;AB$542)+COUNTIF($E$4:$E$538,AB$542&amp;" ضد "&amp;$A564))</f>
        <v>1</v>
      </c>
      <c r="AC564" s="4">
        <f>IF($A564=AC$542,"",COUNTIF($E$4:$E$538,$A564&amp;" ضد "&amp;AC$542)+COUNTIF($E$4:$E$538,AC$542&amp;" ضد "&amp;$A564))</f>
        <v>1</v>
      </c>
      <c r="AD564" s="4">
        <f>IF($A564=AD$542,"",COUNTIF($E$4:$E$538,$A564&amp;" ضد "&amp;AD$542)+COUNTIF($E$4:$E$538,AD$542&amp;" ضد "&amp;$A564))</f>
        <v>1</v>
      </c>
      <c r="AE564" s="4">
        <f>IF($A564=AE$542,"",COUNTIF($E$4:$E$538,$A564&amp;" ضد "&amp;AE$542)+COUNTIF($E$4:$E$538,AE$542&amp;" ضد "&amp;$A564))</f>
        <v>1</v>
      </c>
      <c r="AF564" s="4">
        <f>IF($A564=AF$542,"",COUNTIF($E$4:$E$538,$A564&amp;" ضد "&amp;AF$542)+COUNTIF($E$4:$E$538,AF$542&amp;" ضد "&amp;$A564))</f>
        <v>1</v>
      </c>
      <c r="AG564" s="4">
        <f>IF($A564=AG$542,"",COUNTIF($E$4:$E$538,$A564&amp;" ضد "&amp;AG$542)+COUNTIF($E$4:$E$538,AG$542&amp;" ضد "&amp;$A564))</f>
        <v>1</v>
      </c>
      <c r="AH564" s="4">
        <f>IF($A564=AH$542,"",COUNTIF($E$4:$E$538,$A564&amp;" ضد "&amp;AH$542)+COUNTIF($E$4:$E$538,AH$542&amp;" ضد "&amp;$A564))</f>
        <v>1</v>
      </c>
      <c r="AI564" s="4">
        <f>IF($A564=AI$542,"",COUNTIF($E$4:$E$538,$A564&amp;" ضد "&amp;AI$542)+COUNTIF($E$4:$E$538,AI$542&amp;" ضد "&amp;$A564))</f>
        <v>1</v>
      </c>
      <c r="AJ564" s="4">
        <f>IF($A564=AJ$542,"",COUNTIF($E$4:$E$538,$A564&amp;" ضد "&amp;AJ$542)+COUNTIF($E$4:$E$538,AJ$542&amp;" ضد "&amp;$A564))</f>
        <v>1</v>
      </c>
      <c r="AK564" s="4">
        <f>IF($A564=AK$542,"",COUNTIF($E$4:$E$538,$A564&amp;" ضد "&amp;AK$542)+COUNTIF($E$4:$E$538,AK$542&amp;" ضد "&amp;$A564))</f>
        <v>1</v>
      </c>
      <c r="AL564" s="4">
        <f>IF($A564=AL$542,"",COUNTIF($E$4:$E$538,$A564&amp;" ضد "&amp;AL$542)+COUNTIF($E$4:$E$538,AL$542&amp;" ضد "&amp;$A564))</f>
        <v>1</v>
      </c>
      <c r="AM564" s="4">
        <f>IF($A564=AM$542,"",COUNTIF($E$4:$E$538,$A564&amp;" ضد "&amp;AM$542)+COUNTIF($E$4:$E$538,AM$542&amp;" ضد "&amp;$A564))</f>
        <v>1</v>
      </c>
      <c r="AN564" s="4">
        <f>IF($A564=AN$542,"",COUNTIF($E$4:$E$538,$A564&amp;" ضد "&amp;AN$542)+COUNTIF($E$4:$E$538,AN$542&amp;" ضد "&amp;$A564))</f>
        <v>1</v>
      </c>
      <c r="AO564" s="4">
        <f>IF($A564=AO$542,"",COUNTIF($E$4:$E$538,$A564&amp;" ضد "&amp;AO$542)+COUNTIF($E$4:$E$538,AO$542&amp;" ضد "&amp;$A564))</f>
        <v>0</v>
      </c>
      <c r="AP564" s="4">
        <f>IF($A564=AP$542,"",COUNTIF($E$4:$E$538,$A564&amp;" ضد "&amp;AP$542)+COUNTIF($E$4:$E$538,AP$542&amp;" ضد "&amp;$A564))</f>
        <v>0</v>
      </c>
      <c r="AQ564" s="4">
        <f>IF($A564=AQ$542,"",COUNTIF($E$4:$E$538,$A564&amp;" ضد "&amp;AQ$542)+COUNTIF($E$4:$E$538,AQ$542&amp;" ضد "&amp;$A564))</f>
        <v>0</v>
      </c>
      <c r="AR564" s="4">
        <f>IF($A564=AR$542,"",COUNTIF($E$4:$E$538,$A564&amp;" ضد "&amp;AR$542)+COUNTIF($E$4:$E$538,AR$542&amp;" ضد "&amp;$A564))</f>
        <v>0</v>
      </c>
      <c r="AS564" s="4">
        <f>IF($A564=AS$542,"",COUNTIF($E$4:$E$538,$A564&amp;" ضد "&amp;AS$542)+COUNTIF($E$4:$E$538,AS$542&amp;" ضد "&amp;$A564))</f>
        <v>0</v>
      </c>
      <c r="AT564" s="4">
        <f>IF($A564=AT$542,"",COUNTIF($E$4:$E$538,$A564&amp;" ضد "&amp;AT$542)+COUNTIF($E$4:$E$538,AT$542&amp;" ضد "&amp;$A564))</f>
        <v>0</v>
      </c>
      <c r="AU564" s="4">
        <f>IF($A564=AU$542,"",COUNTIF($E$4:$E$538,$A564&amp;" ضد "&amp;AU$542)+COUNTIF($E$4:$E$538,AU$542&amp;" ضد "&amp;$A564))</f>
        <v>0</v>
      </c>
      <c r="AV564" s="4">
        <f>IF($A564=AV$542,"",COUNTIF($E$4:$E$538,$A564&amp;" ضد "&amp;AV$542)+COUNTIF($E$4:$E$538,AV$542&amp;" ضد "&amp;$A564))</f>
        <v>0</v>
      </c>
      <c r="AW564" s="4">
        <f>IF($A564=AW$542,"",COUNTIF($E$4:$E$538,$A564&amp;" ضد "&amp;AW$542)+COUNTIF($E$4:$E$538,AW$542&amp;" ضد "&amp;$A564))</f>
        <v>0</v>
      </c>
      <c r="AX564" s="4">
        <f>IF($A564=AX$542,"",COUNTIF($E$4:$E$538,$A564&amp;" ضد "&amp;AX$542)+COUNTIF($E$4:$E$538,AX$542&amp;" ضد "&amp;$A564))</f>
        <v>0</v>
      </c>
      <c r="AY564" s="4">
        <f>IF($A564=AY$542,"",COUNTIF($E$4:$E$538,$A564&amp;" ضد "&amp;AY$542)+COUNTIF($E$4:$E$538,AY$542&amp;" ضد "&amp;$A564))</f>
        <v>0</v>
      </c>
      <c r="AZ564" s="4">
        <f>IF($A564=AZ$542,"",COUNTIF($E$4:$E$538,$A564&amp;" ضد "&amp;AZ$542)+COUNTIF($E$4:$E$538,AZ$542&amp;" ضد "&amp;$A564))</f>
        <v>0</v>
      </c>
      <c r="BA564" s="4">
        <f>IF($A564=BA$542,"",COUNTIF($E$4:$E$538,$A564&amp;" ضد "&amp;BA$542)+COUNTIF($E$4:$E$538,BA$542&amp;" ضد "&amp;$A564))</f>
        <v>0</v>
      </c>
      <c r="BB564" s="4">
        <f>IF($A564=BB$542,"",COUNTIF($E$4:$E$538,$A564&amp;" ضد "&amp;BB$542)+COUNTIF($E$4:$E$538,BB$542&amp;" ضد "&amp;$A564))</f>
        <v>0</v>
      </c>
      <c r="BC564" s="4">
        <f>IF($A564=BC$542,"",COUNTIF($E$4:$E$538,$A564&amp;" ضد "&amp;BC$542)+COUNTIF($E$4:$E$538,BC$542&amp;" ضد "&amp;$A564))</f>
        <v>0</v>
      </c>
      <c r="BD564" s="4">
        <f>IF($A564=BD$542,"",COUNTIF($E$4:$E$538,$A564&amp;" ضد "&amp;BD$542)+COUNTIF($E$4:$E$538,BD$542&amp;" ضد "&amp;$A564))</f>
        <v>0</v>
      </c>
      <c r="BE564" s="4">
        <f>IF($A564=BE$542,"",COUNTIF($E$4:$E$538,$A564&amp;" ضد "&amp;BE$542)+COUNTIF($E$4:$E$538,BE$542&amp;" ضد "&amp;$A564))</f>
        <v>0</v>
      </c>
      <c r="BF564" s="4">
        <f>IF($A564=BF$542,"",COUNTIF($E$4:$E$538,$A564&amp;" ضد "&amp;BF$542)+COUNTIF($E$4:$E$538,BF$542&amp;" ضد "&amp;$A564))</f>
        <v>0</v>
      </c>
      <c r="BG564" s="4">
        <f>IF($A564=BG$542,"",COUNTIF($E$4:$E$538,$A564&amp;" ضد "&amp;BG$542)+COUNTIF($E$4:$E$538,BG$542&amp;" ضد "&amp;$A564))</f>
        <v>0</v>
      </c>
    </row>
    <row r="565" spans="1:59" ht="14.5">
      <c r="A565" s="14">
        <v>23</v>
      </c>
      <c r="B565" s="4">
        <f>IF($A565=B$542,"",COUNTIF($E$4:$E$538,$A565&amp;" ضد "&amp;B$542)+COUNTIF($E$4:$E$538,B$542&amp;" ضد "&amp;$A565))</f>
        <v>0</v>
      </c>
      <c r="C565" s="4">
        <f>IF($A565=C$542,"",COUNTIF($E$4:$E$538,$A565&amp;" ضد "&amp;C$542)+COUNTIF($E$4:$E$538,C$542&amp;" ضد "&amp;$A565))</f>
        <v>0</v>
      </c>
      <c r="D565" s="4">
        <f>IF($A565=D$542,"",COUNTIF($E$4:$E$538,$A565&amp;" ضد "&amp;D$542)+COUNTIF($E$4:$E$538,D$542&amp;" ضد "&amp;$A565))</f>
        <v>0</v>
      </c>
      <c r="E565" s="4">
        <f>IF($A565=E$542,"",COUNTIF($E$4:$E$538,$A565&amp;" ضد "&amp;E$542)+COUNTIF($E$4:$E$538,E$542&amp;" ضد "&amp;$A565))</f>
        <v>0</v>
      </c>
      <c r="F565" s="4">
        <f>IF($A565=F$542,"",COUNTIF($E$4:$E$538,$A565&amp;" ضد "&amp;F$542)+COUNTIF($E$4:$E$538,F$542&amp;" ضد "&amp;$A565))</f>
        <v>0</v>
      </c>
      <c r="G565" s="4">
        <f>IF($A565=G$542,"",COUNTIF($E$4:$E$538,$A565&amp;" ضد "&amp;G$542)+COUNTIF($E$4:$E$538,G$542&amp;" ضد "&amp;$A565))</f>
        <v>0</v>
      </c>
      <c r="H565" s="4">
        <f>IF($A565=H$542,"",COUNTIF($E$4:$E$538,$A565&amp;" ضد "&amp;H$542)+COUNTIF($E$4:$E$538,H$542&amp;" ضد "&amp;$A565))</f>
        <v>0</v>
      </c>
      <c r="I565" s="4">
        <f>IF($A565=I$542,"",COUNTIF($E$4:$E$538,$A565&amp;" ضد "&amp;I$542)+COUNTIF($E$4:$E$538,I$542&amp;" ضد "&amp;$A565))</f>
        <v>0</v>
      </c>
      <c r="J565" s="4">
        <f>IF($A565=J$542,"",COUNTIF($E$4:$E$538,$A565&amp;" ضد "&amp;J$542)+COUNTIF($E$4:$E$538,J$542&amp;" ضد "&amp;$A565))</f>
        <v>0</v>
      </c>
      <c r="K565" s="4">
        <f>IF($A565=K$542,"",COUNTIF($E$4:$E$538,$A565&amp;" ضد "&amp;K$542)+COUNTIF($E$4:$E$538,K$542&amp;" ضد "&amp;$A565))</f>
        <v>0</v>
      </c>
      <c r="L565" s="4">
        <f>IF($A565=L$542,"",COUNTIF($E$4:$E$538,$A565&amp;" ضد "&amp;L$542)+COUNTIF($E$4:$E$538,L$542&amp;" ضد "&amp;$A565))</f>
        <v>0</v>
      </c>
      <c r="M565" s="4">
        <f>IF($A565=M$542,"",COUNTIF($E$4:$E$538,$A565&amp;" ضد "&amp;M$542)+COUNTIF($E$4:$E$538,M$542&amp;" ضد "&amp;$A565))</f>
        <v>0</v>
      </c>
      <c r="N565" s="4">
        <f>IF($A565=N$542,"",COUNTIF($E$4:$E$538,$A565&amp;" ضد "&amp;N$542)+COUNTIF($E$4:$E$538,N$542&amp;" ضد "&amp;$A565))</f>
        <v>0</v>
      </c>
      <c r="O565" s="4">
        <f>IF($A565=O$542,"",COUNTIF($E$4:$E$538,$A565&amp;" ضد "&amp;O$542)+COUNTIF($E$4:$E$538,O$542&amp;" ضد "&amp;$A565))</f>
        <v>0</v>
      </c>
      <c r="P565" s="4">
        <f>IF($A565=P$542,"",COUNTIF($E$4:$E$538,$A565&amp;" ضد "&amp;P$542)+COUNTIF($E$4:$E$538,P$542&amp;" ضد "&amp;$A565))</f>
        <v>0</v>
      </c>
      <c r="Q565" s="4">
        <f>IF($A565=Q$542,"",COUNTIF($E$4:$E$538,$A565&amp;" ضد "&amp;Q$542)+COUNTIF($E$4:$E$538,Q$542&amp;" ضد "&amp;$A565))</f>
        <v>0</v>
      </c>
      <c r="R565" s="4">
        <f>IF($A565=R$542,"",COUNTIF($E$4:$E$538,$A565&amp;" ضد "&amp;R$542)+COUNTIF($E$4:$E$538,R$542&amp;" ضد "&amp;$A565))</f>
        <v>0</v>
      </c>
      <c r="S565" s="4">
        <f>IF($A565=S$542,"",COUNTIF($E$4:$E$538,$A565&amp;" ضد "&amp;S$542)+COUNTIF($E$4:$E$538,S$542&amp;" ضد "&amp;$A565))</f>
        <v>0</v>
      </c>
      <c r="T565" s="4">
        <f>IF($A565=T$542,"",COUNTIF($E$4:$E$538,$A565&amp;" ضد "&amp;T$542)+COUNTIF($E$4:$E$538,T$542&amp;" ضد "&amp;$A565))</f>
        <v>0</v>
      </c>
      <c r="U565" s="4">
        <f>IF($A565=U$542,"",COUNTIF($E$4:$E$538,$A565&amp;" ضد "&amp;U$542)+COUNTIF($E$4:$E$538,U$542&amp;" ضد "&amp;$A565))</f>
        <v>0</v>
      </c>
      <c r="V565" s="4">
        <f>IF($A565=V$542,"",COUNTIF($E$4:$E$538,$A565&amp;" ضد "&amp;V$542)+COUNTIF($E$4:$E$538,V$542&amp;" ضد "&amp;$A565))</f>
        <v>1</v>
      </c>
      <c r="W565" s="4">
        <f>IF($A565=W$542,"",COUNTIF($E$4:$E$538,$A565&amp;" ضد "&amp;W$542)+COUNTIF($E$4:$E$538,W$542&amp;" ضد "&amp;$A565))</f>
        <v>1</v>
      </c>
      <c r="X565" s="4" t="str">
        <f>IF($A565=X$542,"",COUNTIF($E$4:$E$538,$A565&amp;" ضد "&amp;X$542)+COUNTIF($E$4:$E$538,X$542&amp;" ضد "&amp;$A565))</f>
        <v/>
      </c>
      <c r="Y565" s="4">
        <f>IF($A565=Y$542,"",COUNTIF($E$4:$E$538,$A565&amp;" ضد "&amp;Y$542)+COUNTIF($E$4:$E$538,Y$542&amp;" ضد "&amp;$A565))</f>
        <v>1</v>
      </c>
      <c r="Z565" s="4">
        <f>IF($A565=Z$542,"",COUNTIF($E$4:$E$538,$A565&amp;" ضد "&amp;Z$542)+COUNTIF($E$4:$E$538,Z$542&amp;" ضد "&amp;$A565))</f>
        <v>1</v>
      </c>
      <c r="AA565" s="4">
        <f>IF($A565=AA$542,"",COUNTIF($E$4:$E$538,$A565&amp;" ضد "&amp;AA$542)+COUNTIF($E$4:$E$538,AA$542&amp;" ضد "&amp;$A565))</f>
        <v>1</v>
      </c>
      <c r="AB565" s="4">
        <f>IF($A565=AB$542,"",COUNTIF($E$4:$E$538,$A565&amp;" ضد "&amp;AB$542)+COUNTIF($E$4:$E$538,AB$542&amp;" ضد "&amp;$A565))</f>
        <v>1</v>
      </c>
      <c r="AC565" s="4">
        <f>IF($A565=AC$542,"",COUNTIF($E$4:$E$538,$A565&amp;" ضد "&amp;AC$542)+COUNTIF($E$4:$E$538,AC$542&amp;" ضد "&amp;$A565))</f>
        <v>1</v>
      </c>
      <c r="AD565" s="4">
        <f>IF($A565=AD$542,"",COUNTIF($E$4:$E$538,$A565&amp;" ضد "&amp;AD$542)+COUNTIF($E$4:$E$538,AD$542&amp;" ضد "&amp;$A565))</f>
        <v>1</v>
      </c>
      <c r="AE565" s="4">
        <f>IF($A565=AE$542,"",COUNTIF($E$4:$E$538,$A565&amp;" ضد "&amp;AE$542)+COUNTIF($E$4:$E$538,AE$542&amp;" ضد "&amp;$A565))</f>
        <v>1</v>
      </c>
      <c r="AF565" s="4">
        <f>IF($A565=AF$542,"",COUNTIF($E$4:$E$538,$A565&amp;" ضد "&amp;AF$542)+COUNTIF($E$4:$E$538,AF$542&amp;" ضد "&amp;$A565))</f>
        <v>1</v>
      </c>
      <c r="AG565" s="4">
        <f>IF($A565=AG$542,"",COUNTIF($E$4:$E$538,$A565&amp;" ضد "&amp;AG$542)+COUNTIF($E$4:$E$538,AG$542&amp;" ضد "&amp;$A565))</f>
        <v>1</v>
      </c>
      <c r="AH565" s="4">
        <f>IF($A565=AH$542,"",COUNTIF($E$4:$E$538,$A565&amp;" ضد "&amp;AH$542)+COUNTIF($E$4:$E$538,AH$542&amp;" ضد "&amp;$A565))</f>
        <v>1</v>
      </c>
      <c r="AI565" s="4">
        <f>IF($A565=AI$542,"",COUNTIF($E$4:$E$538,$A565&amp;" ضد "&amp;AI$542)+COUNTIF($E$4:$E$538,AI$542&amp;" ضد "&amp;$A565))</f>
        <v>1</v>
      </c>
      <c r="AJ565" s="4">
        <f>IF($A565=AJ$542,"",COUNTIF($E$4:$E$538,$A565&amp;" ضد "&amp;AJ$542)+COUNTIF($E$4:$E$538,AJ$542&amp;" ضد "&amp;$A565))</f>
        <v>1</v>
      </c>
      <c r="AK565" s="4">
        <f>IF($A565=AK$542,"",COUNTIF($E$4:$E$538,$A565&amp;" ضد "&amp;AK$542)+COUNTIF($E$4:$E$538,AK$542&amp;" ضد "&amp;$A565))</f>
        <v>1</v>
      </c>
      <c r="AL565" s="4">
        <f>IF($A565=AL$542,"",COUNTIF($E$4:$E$538,$A565&amp;" ضد "&amp;AL$542)+COUNTIF($E$4:$E$538,AL$542&amp;" ضد "&amp;$A565))</f>
        <v>1</v>
      </c>
      <c r="AM565" s="4">
        <f>IF($A565=AM$542,"",COUNTIF($E$4:$E$538,$A565&amp;" ضد "&amp;AM$542)+COUNTIF($E$4:$E$538,AM$542&amp;" ضد "&amp;$A565))</f>
        <v>1</v>
      </c>
      <c r="AN565" s="4">
        <f>IF($A565=AN$542,"",COUNTIF($E$4:$E$538,$A565&amp;" ضد "&amp;AN$542)+COUNTIF($E$4:$E$538,AN$542&amp;" ضد "&amp;$A565))</f>
        <v>1</v>
      </c>
      <c r="AO565" s="4">
        <f>IF($A565=AO$542,"",COUNTIF($E$4:$E$538,$A565&amp;" ضد "&amp;AO$542)+COUNTIF($E$4:$E$538,AO$542&amp;" ضد "&amp;$A565))</f>
        <v>0</v>
      </c>
      <c r="AP565" s="4">
        <f>IF($A565=AP$542,"",COUNTIF($E$4:$E$538,$A565&amp;" ضد "&amp;AP$542)+COUNTIF($E$4:$E$538,AP$542&amp;" ضد "&amp;$A565))</f>
        <v>0</v>
      </c>
      <c r="AQ565" s="4">
        <f>IF($A565=AQ$542,"",COUNTIF($E$4:$E$538,$A565&amp;" ضد "&amp;AQ$542)+COUNTIF($E$4:$E$538,AQ$542&amp;" ضد "&amp;$A565))</f>
        <v>0</v>
      </c>
      <c r="AR565" s="4">
        <f>IF($A565=AR$542,"",COUNTIF($E$4:$E$538,$A565&amp;" ضد "&amp;AR$542)+COUNTIF($E$4:$E$538,AR$542&amp;" ضد "&amp;$A565))</f>
        <v>0</v>
      </c>
      <c r="AS565" s="4">
        <f>IF($A565=AS$542,"",COUNTIF($E$4:$E$538,$A565&amp;" ضد "&amp;AS$542)+COUNTIF($E$4:$E$538,AS$542&amp;" ضد "&amp;$A565))</f>
        <v>0</v>
      </c>
      <c r="AT565" s="4">
        <f>IF($A565=AT$542,"",COUNTIF($E$4:$E$538,$A565&amp;" ضد "&amp;AT$542)+COUNTIF($E$4:$E$538,AT$542&amp;" ضد "&amp;$A565))</f>
        <v>0</v>
      </c>
      <c r="AU565" s="4">
        <f>IF($A565=AU$542,"",COUNTIF($E$4:$E$538,$A565&amp;" ضد "&amp;AU$542)+COUNTIF($E$4:$E$538,AU$542&amp;" ضد "&amp;$A565))</f>
        <v>0</v>
      </c>
      <c r="AV565" s="4">
        <f>IF($A565=AV$542,"",COUNTIF($E$4:$E$538,$A565&amp;" ضد "&amp;AV$542)+COUNTIF($E$4:$E$538,AV$542&amp;" ضد "&amp;$A565))</f>
        <v>0</v>
      </c>
      <c r="AW565" s="4">
        <f>IF($A565=AW$542,"",COUNTIF($E$4:$E$538,$A565&amp;" ضد "&amp;AW$542)+COUNTIF($E$4:$E$538,AW$542&amp;" ضد "&amp;$A565))</f>
        <v>0</v>
      </c>
      <c r="AX565" s="4">
        <f>IF($A565=AX$542,"",COUNTIF($E$4:$E$538,$A565&amp;" ضد "&amp;AX$542)+COUNTIF($E$4:$E$538,AX$542&amp;" ضد "&amp;$A565))</f>
        <v>0</v>
      </c>
      <c r="AY565" s="4">
        <f>IF($A565=AY$542,"",COUNTIF($E$4:$E$538,$A565&amp;" ضد "&amp;AY$542)+COUNTIF($E$4:$E$538,AY$542&amp;" ضد "&amp;$A565))</f>
        <v>0</v>
      </c>
      <c r="AZ565" s="4">
        <f>IF($A565=AZ$542,"",COUNTIF($E$4:$E$538,$A565&amp;" ضد "&amp;AZ$542)+COUNTIF($E$4:$E$538,AZ$542&amp;" ضد "&amp;$A565))</f>
        <v>0</v>
      </c>
      <c r="BA565" s="4">
        <f>IF($A565=BA$542,"",COUNTIF($E$4:$E$538,$A565&amp;" ضد "&amp;BA$542)+COUNTIF($E$4:$E$538,BA$542&amp;" ضد "&amp;$A565))</f>
        <v>0</v>
      </c>
      <c r="BB565" s="4">
        <f>IF($A565=BB$542,"",COUNTIF($E$4:$E$538,$A565&amp;" ضد "&amp;BB$542)+COUNTIF($E$4:$E$538,BB$542&amp;" ضد "&amp;$A565))</f>
        <v>0</v>
      </c>
      <c r="BC565" s="4">
        <f>IF($A565=BC$542,"",COUNTIF($E$4:$E$538,$A565&amp;" ضد "&amp;BC$542)+COUNTIF($E$4:$E$538,BC$542&amp;" ضد "&amp;$A565))</f>
        <v>0</v>
      </c>
      <c r="BD565" s="4">
        <f>IF($A565=BD$542,"",COUNTIF($E$4:$E$538,$A565&amp;" ضد "&amp;BD$542)+COUNTIF($E$4:$E$538,BD$542&amp;" ضد "&amp;$A565))</f>
        <v>0</v>
      </c>
      <c r="BE565" s="4">
        <f>IF($A565=BE$542,"",COUNTIF($E$4:$E$538,$A565&amp;" ضد "&amp;BE$542)+COUNTIF($E$4:$E$538,BE$542&amp;" ضد "&amp;$A565))</f>
        <v>0</v>
      </c>
      <c r="BF565" s="4">
        <f>IF($A565=BF$542,"",COUNTIF($E$4:$E$538,$A565&amp;" ضد "&amp;BF$542)+COUNTIF($E$4:$E$538,BF$542&amp;" ضد "&amp;$A565))</f>
        <v>0</v>
      </c>
      <c r="BG565" s="4">
        <f>IF($A565=BG$542,"",COUNTIF($E$4:$E$538,$A565&amp;" ضد "&amp;BG$542)+COUNTIF($E$4:$E$538,BG$542&amp;" ضد "&amp;$A565))</f>
        <v>0</v>
      </c>
    </row>
    <row r="566" spans="1:59" ht="14.5">
      <c r="A566" s="14">
        <v>24</v>
      </c>
      <c r="B566" s="4">
        <f>IF($A566=B$542,"",COUNTIF($E$4:$E$538,$A566&amp;" ضد "&amp;B$542)+COUNTIF($E$4:$E$538,B$542&amp;" ضد "&amp;$A566))</f>
        <v>0</v>
      </c>
      <c r="C566" s="4">
        <f>IF($A566=C$542,"",COUNTIF($E$4:$E$538,$A566&amp;" ضد "&amp;C$542)+COUNTIF($E$4:$E$538,C$542&amp;" ضد "&amp;$A566))</f>
        <v>0</v>
      </c>
      <c r="D566" s="4">
        <f>IF($A566=D$542,"",COUNTIF($E$4:$E$538,$A566&amp;" ضد "&amp;D$542)+COUNTIF($E$4:$E$538,D$542&amp;" ضد "&amp;$A566))</f>
        <v>0</v>
      </c>
      <c r="E566" s="4">
        <f>IF($A566=E$542,"",COUNTIF($E$4:$E$538,$A566&amp;" ضد "&amp;E$542)+COUNTIF($E$4:$E$538,E$542&amp;" ضد "&amp;$A566))</f>
        <v>0</v>
      </c>
      <c r="F566" s="4">
        <f>IF($A566=F$542,"",COUNTIF($E$4:$E$538,$A566&amp;" ضد "&amp;F$542)+COUNTIF($E$4:$E$538,F$542&amp;" ضد "&amp;$A566))</f>
        <v>0</v>
      </c>
      <c r="G566" s="4">
        <f>IF($A566=G$542,"",COUNTIF($E$4:$E$538,$A566&amp;" ضد "&amp;G$542)+COUNTIF($E$4:$E$538,G$542&amp;" ضد "&amp;$A566))</f>
        <v>0</v>
      </c>
      <c r="H566" s="4">
        <f>IF($A566=H$542,"",COUNTIF($E$4:$E$538,$A566&amp;" ضد "&amp;H$542)+COUNTIF($E$4:$E$538,H$542&amp;" ضد "&amp;$A566))</f>
        <v>0</v>
      </c>
      <c r="I566" s="4">
        <f>IF($A566=I$542,"",COUNTIF($E$4:$E$538,$A566&amp;" ضد "&amp;I$542)+COUNTIF($E$4:$E$538,I$542&amp;" ضد "&amp;$A566))</f>
        <v>0</v>
      </c>
      <c r="J566" s="4">
        <f>IF($A566=J$542,"",COUNTIF($E$4:$E$538,$A566&amp;" ضد "&amp;J$542)+COUNTIF($E$4:$E$538,J$542&amp;" ضد "&amp;$A566))</f>
        <v>0</v>
      </c>
      <c r="K566" s="4">
        <f>IF($A566=K$542,"",COUNTIF($E$4:$E$538,$A566&amp;" ضد "&amp;K$542)+COUNTIF($E$4:$E$538,K$542&amp;" ضد "&amp;$A566))</f>
        <v>0</v>
      </c>
      <c r="L566" s="4">
        <f>IF($A566=L$542,"",COUNTIF($E$4:$E$538,$A566&amp;" ضد "&amp;L$542)+COUNTIF($E$4:$E$538,L$542&amp;" ضد "&amp;$A566))</f>
        <v>0</v>
      </c>
      <c r="M566" s="4">
        <f>IF($A566=M$542,"",COUNTIF($E$4:$E$538,$A566&amp;" ضد "&amp;M$542)+COUNTIF($E$4:$E$538,M$542&amp;" ضد "&amp;$A566))</f>
        <v>0</v>
      </c>
      <c r="N566" s="4">
        <f>IF($A566=N$542,"",COUNTIF($E$4:$E$538,$A566&amp;" ضد "&amp;N$542)+COUNTIF($E$4:$E$538,N$542&amp;" ضد "&amp;$A566))</f>
        <v>0</v>
      </c>
      <c r="O566" s="4">
        <f>IF($A566=O$542,"",COUNTIF($E$4:$E$538,$A566&amp;" ضد "&amp;O$542)+COUNTIF($E$4:$E$538,O$542&amp;" ضد "&amp;$A566))</f>
        <v>0</v>
      </c>
      <c r="P566" s="4">
        <f>IF($A566=P$542,"",COUNTIF($E$4:$E$538,$A566&amp;" ضد "&amp;P$542)+COUNTIF($E$4:$E$538,P$542&amp;" ضد "&amp;$A566))</f>
        <v>0</v>
      </c>
      <c r="Q566" s="4">
        <f>IF($A566=Q$542,"",COUNTIF($E$4:$E$538,$A566&amp;" ضد "&amp;Q$542)+COUNTIF($E$4:$E$538,Q$542&amp;" ضد "&amp;$A566))</f>
        <v>0</v>
      </c>
      <c r="R566" s="4">
        <f>IF($A566=R$542,"",COUNTIF($E$4:$E$538,$A566&amp;" ضد "&amp;R$542)+COUNTIF($E$4:$E$538,R$542&amp;" ضد "&amp;$A566))</f>
        <v>0</v>
      </c>
      <c r="S566" s="4">
        <f>IF($A566=S$542,"",COUNTIF($E$4:$E$538,$A566&amp;" ضد "&amp;S$542)+COUNTIF($E$4:$E$538,S$542&amp;" ضد "&amp;$A566))</f>
        <v>0</v>
      </c>
      <c r="T566" s="4">
        <f>IF($A566=T$542,"",COUNTIF($E$4:$E$538,$A566&amp;" ضد "&amp;T$542)+COUNTIF($E$4:$E$538,T$542&amp;" ضد "&amp;$A566))</f>
        <v>0</v>
      </c>
      <c r="U566" s="4">
        <f>IF($A566=U$542,"",COUNTIF($E$4:$E$538,$A566&amp;" ضد "&amp;U$542)+COUNTIF($E$4:$E$538,U$542&amp;" ضد "&amp;$A566))</f>
        <v>0</v>
      </c>
      <c r="V566" s="4">
        <f>IF($A566=V$542,"",COUNTIF($E$4:$E$538,$A566&amp;" ضد "&amp;V$542)+COUNTIF($E$4:$E$538,V$542&amp;" ضد "&amp;$A566))</f>
        <v>1</v>
      </c>
      <c r="W566" s="4">
        <f>IF($A566=W$542,"",COUNTIF($E$4:$E$538,$A566&amp;" ضد "&amp;W$542)+COUNTIF($E$4:$E$538,W$542&amp;" ضد "&amp;$A566))</f>
        <v>1</v>
      </c>
      <c r="X566" s="4">
        <f>IF($A566=X$542,"",COUNTIF($E$4:$E$538,$A566&amp;" ضد "&amp;X$542)+COUNTIF($E$4:$E$538,X$542&amp;" ضد "&amp;$A566))</f>
        <v>1</v>
      </c>
      <c r="Y566" s="4" t="str">
        <f>IF($A566=Y$542,"",COUNTIF($E$4:$E$538,$A566&amp;" ضد "&amp;Y$542)+COUNTIF($E$4:$E$538,Y$542&amp;" ضد "&amp;$A566))</f>
        <v/>
      </c>
      <c r="Z566" s="4">
        <f>IF($A566=Z$542,"",COUNTIF($E$4:$E$538,$A566&amp;" ضد "&amp;Z$542)+COUNTIF($E$4:$E$538,Z$542&amp;" ضد "&amp;$A566))</f>
        <v>1</v>
      </c>
      <c r="AA566" s="4">
        <f>IF($A566=AA$542,"",COUNTIF($E$4:$E$538,$A566&amp;" ضد "&amp;AA$542)+COUNTIF($E$4:$E$538,AA$542&amp;" ضد "&amp;$A566))</f>
        <v>1</v>
      </c>
      <c r="AB566" s="4">
        <f>IF($A566=AB$542,"",COUNTIF($E$4:$E$538,$A566&amp;" ضد "&amp;AB$542)+COUNTIF($E$4:$E$538,AB$542&amp;" ضد "&amp;$A566))</f>
        <v>1</v>
      </c>
      <c r="AC566" s="4">
        <f>IF($A566=AC$542,"",COUNTIF($E$4:$E$538,$A566&amp;" ضد "&amp;AC$542)+COUNTIF($E$4:$E$538,AC$542&amp;" ضد "&amp;$A566))</f>
        <v>1</v>
      </c>
      <c r="AD566" s="4">
        <f>IF($A566=AD$542,"",COUNTIF($E$4:$E$538,$A566&amp;" ضد "&amp;AD$542)+COUNTIF($E$4:$E$538,AD$542&amp;" ضد "&amp;$A566))</f>
        <v>1</v>
      </c>
      <c r="AE566" s="4">
        <f>IF($A566=AE$542,"",COUNTIF($E$4:$E$538,$A566&amp;" ضد "&amp;AE$542)+COUNTIF($E$4:$E$538,AE$542&amp;" ضد "&amp;$A566))</f>
        <v>1</v>
      </c>
      <c r="AF566" s="4">
        <f>IF($A566=AF$542,"",COUNTIF($E$4:$E$538,$A566&amp;" ضد "&amp;AF$542)+COUNTIF($E$4:$E$538,AF$542&amp;" ضد "&amp;$A566))</f>
        <v>1</v>
      </c>
      <c r="AG566" s="4">
        <f>IF($A566=AG$542,"",COUNTIF($E$4:$E$538,$A566&amp;" ضد "&amp;AG$542)+COUNTIF($E$4:$E$538,AG$542&amp;" ضد "&amp;$A566))</f>
        <v>1</v>
      </c>
      <c r="AH566" s="4">
        <f>IF($A566=AH$542,"",COUNTIF($E$4:$E$538,$A566&amp;" ضد "&amp;AH$542)+COUNTIF($E$4:$E$538,AH$542&amp;" ضد "&amp;$A566))</f>
        <v>1</v>
      </c>
      <c r="AI566" s="4">
        <f>IF($A566=AI$542,"",COUNTIF($E$4:$E$538,$A566&amp;" ضد "&amp;AI$542)+COUNTIF($E$4:$E$538,AI$542&amp;" ضد "&amp;$A566))</f>
        <v>1</v>
      </c>
      <c r="AJ566" s="4">
        <f>IF($A566=AJ$542,"",COUNTIF($E$4:$E$538,$A566&amp;" ضد "&amp;AJ$542)+COUNTIF($E$4:$E$538,AJ$542&amp;" ضد "&amp;$A566))</f>
        <v>1</v>
      </c>
      <c r="AK566" s="4">
        <f>IF($A566=AK$542,"",COUNTIF($E$4:$E$538,$A566&amp;" ضد "&amp;AK$542)+COUNTIF($E$4:$E$538,AK$542&amp;" ضد "&amp;$A566))</f>
        <v>1</v>
      </c>
      <c r="AL566" s="4">
        <f>IF($A566=AL$542,"",COUNTIF($E$4:$E$538,$A566&amp;" ضد "&amp;AL$542)+COUNTIF($E$4:$E$538,AL$542&amp;" ضد "&amp;$A566))</f>
        <v>1</v>
      </c>
      <c r="AM566" s="4">
        <f>IF($A566=AM$542,"",COUNTIF($E$4:$E$538,$A566&amp;" ضد "&amp;AM$542)+COUNTIF($E$4:$E$538,AM$542&amp;" ضد "&amp;$A566))</f>
        <v>1</v>
      </c>
      <c r="AN566" s="4">
        <f>IF($A566=AN$542,"",COUNTIF($E$4:$E$538,$A566&amp;" ضد "&amp;AN$542)+COUNTIF($E$4:$E$538,AN$542&amp;" ضد "&amp;$A566))</f>
        <v>1</v>
      </c>
      <c r="AO566" s="4">
        <f>IF($A566=AO$542,"",COUNTIF($E$4:$E$538,$A566&amp;" ضد "&amp;AO$542)+COUNTIF($E$4:$E$538,AO$542&amp;" ضد "&amp;$A566))</f>
        <v>0</v>
      </c>
      <c r="AP566" s="4">
        <f>IF($A566=AP$542,"",COUNTIF($E$4:$E$538,$A566&amp;" ضد "&amp;AP$542)+COUNTIF($E$4:$E$538,AP$542&amp;" ضد "&amp;$A566))</f>
        <v>0</v>
      </c>
      <c r="AQ566" s="4">
        <f>IF($A566=AQ$542,"",COUNTIF($E$4:$E$538,$A566&amp;" ضد "&amp;AQ$542)+COUNTIF($E$4:$E$538,AQ$542&amp;" ضد "&amp;$A566))</f>
        <v>0</v>
      </c>
      <c r="AR566" s="4">
        <f>IF($A566=AR$542,"",COUNTIF($E$4:$E$538,$A566&amp;" ضد "&amp;AR$542)+COUNTIF($E$4:$E$538,AR$542&amp;" ضد "&amp;$A566))</f>
        <v>0</v>
      </c>
      <c r="AS566" s="4">
        <f>IF($A566=AS$542,"",COUNTIF($E$4:$E$538,$A566&amp;" ضد "&amp;AS$542)+COUNTIF($E$4:$E$538,AS$542&amp;" ضد "&amp;$A566))</f>
        <v>0</v>
      </c>
      <c r="AT566" s="4">
        <f>IF($A566=AT$542,"",COUNTIF($E$4:$E$538,$A566&amp;" ضد "&amp;AT$542)+COUNTIF($E$4:$E$538,AT$542&amp;" ضد "&amp;$A566))</f>
        <v>0</v>
      </c>
      <c r="AU566" s="4">
        <f>IF($A566=AU$542,"",COUNTIF($E$4:$E$538,$A566&amp;" ضد "&amp;AU$542)+COUNTIF($E$4:$E$538,AU$542&amp;" ضد "&amp;$A566))</f>
        <v>0</v>
      </c>
      <c r="AV566" s="4">
        <f>IF($A566=AV$542,"",COUNTIF($E$4:$E$538,$A566&amp;" ضد "&amp;AV$542)+COUNTIF($E$4:$E$538,AV$542&amp;" ضد "&amp;$A566))</f>
        <v>0</v>
      </c>
      <c r="AW566" s="4">
        <f>IF($A566=AW$542,"",COUNTIF($E$4:$E$538,$A566&amp;" ضد "&amp;AW$542)+COUNTIF($E$4:$E$538,AW$542&amp;" ضد "&amp;$A566))</f>
        <v>0</v>
      </c>
      <c r="AX566" s="4">
        <f>IF($A566=AX$542,"",COUNTIF($E$4:$E$538,$A566&amp;" ضد "&amp;AX$542)+COUNTIF($E$4:$E$538,AX$542&amp;" ضد "&amp;$A566))</f>
        <v>0</v>
      </c>
      <c r="AY566" s="4">
        <f>IF($A566=AY$542,"",COUNTIF($E$4:$E$538,$A566&amp;" ضد "&amp;AY$542)+COUNTIF($E$4:$E$538,AY$542&amp;" ضد "&amp;$A566))</f>
        <v>0</v>
      </c>
      <c r="AZ566" s="4">
        <f>IF($A566=AZ$542,"",COUNTIF($E$4:$E$538,$A566&amp;" ضد "&amp;AZ$542)+COUNTIF($E$4:$E$538,AZ$542&amp;" ضد "&amp;$A566))</f>
        <v>0</v>
      </c>
      <c r="BA566" s="4">
        <f>IF($A566=BA$542,"",COUNTIF($E$4:$E$538,$A566&amp;" ضد "&amp;BA$542)+COUNTIF($E$4:$E$538,BA$542&amp;" ضد "&amp;$A566))</f>
        <v>0</v>
      </c>
      <c r="BB566" s="4">
        <f>IF($A566=BB$542,"",COUNTIF($E$4:$E$538,$A566&amp;" ضد "&amp;BB$542)+COUNTIF($E$4:$E$538,BB$542&amp;" ضد "&amp;$A566))</f>
        <v>0</v>
      </c>
      <c r="BC566" s="4">
        <f>IF($A566=BC$542,"",COUNTIF($E$4:$E$538,$A566&amp;" ضد "&amp;BC$542)+COUNTIF($E$4:$E$538,BC$542&amp;" ضد "&amp;$A566))</f>
        <v>0</v>
      </c>
      <c r="BD566" s="4">
        <f>IF($A566=BD$542,"",COUNTIF($E$4:$E$538,$A566&amp;" ضد "&amp;BD$542)+COUNTIF($E$4:$E$538,BD$542&amp;" ضد "&amp;$A566))</f>
        <v>0</v>
      </c>
      <c r="BE566" s="4">
        <f>IF($A566=BE$542,"",COUNTIF($E$4:$E$538,$A566&amp;" ضد "&amp;BE$542)+COUNTIF($E$4:$E$538,BE$542&amp;" ضد "&amp;$A566))</f>
        <v>0</v>
      </c>
      <c r="BF566" s="4">
        <f>IF($A566=BF$542,"",COUNTIF($E$4:$E$538,$A566&amp;" ضد "&amp;BF$542)+COUNTIF($E$4:$E$538,BF$542&amp;" ضد "&amp;$A566))</f>
        <v>0</v>
      </c>
      <c r="BG566" s="4">
        <f>IF($A566=BG$542,"",COUNTIF($E$4:$E$538,$A566&amp;" ضد "&amp;BG$542)+COUNTIF($E$4:$E$538,BG$542&amp;" ضد "&amp;$A566))</f>
        <v>0</v>
      </c>
    </row>
    <row r="567" spans="1:59" ht="14.5">
      <c r="A567" s="14">
        <v>25</v>
      </c>
      <c r="B567" s="4">
        <f>IF($A567=B$542,"",COUNTIF($E$4:$E$538,$A567&amp;" ضد "&amp;B$542)+COUNTIF($E$4:$E$538,B$542&amp;" ضد "&amp;$A567))</f>
        <v>0</v>
      </c>
      <c r="C567" s="4">
        <f>IF($A567=C$542,"",COUNTIF($E$4:$E$538,$A567&amp;" ضد "&amp;C$542)+COUNTIF($E$4:$E$538,C$542&amp;" ضد "&amp;$A567))</f>
        <v>0</v>
      </c>
      <c r="D567" s="4">
        <f>IF($A567=D$542,"",COUNTIF($E$4:$E$538,$A567&amp;" ضد "&amp;D$542)+COUNTIF($E$4:$E$538,D$542&amp;" ضد "&amp;$A567))</f>
        <v>0</v>
      </c>
      <c r="E567" s="4">
        <f>IF($A567=E$542,"",COUNTIF($E$4:$E$538,$A567&amp;" ضد "&amp;E$542)+COUNTIF($E$4:$E$538,E$542&amp;" ضد "&amp;$A567))</f>
        <v>0</v>
      </c>
      <c r="F567" s="4">
        <f>IF($A567=F$542,"",COUNTIF($E$4:$E$538,$A567&amp;" ضد "&amp;F$542)+COUNTIF($E$4:$E$538,F$542&amp;" ضد "&amp;$A567))</f>
        <v>0</v>
      </c>
      <c r="G567" s="4">
        <f>IF($A567=G$542,"",COUNTIF($E$4:$E$538,$A567&amp;" ضد "&amp;G$542)+COUNTIF($E$4:$E$538,G$542&amp;" ضد "&amp;$A567))</f>
        <v>0</v>
      </c>
      <c r="H567" s="4">
        <f>IF($A567=H$542,"",COUNTIF($E$4:$E$538,$A567&amp;" ضد "&amp;H$542)+COUNTIF($E$4:$E$538,H$542&amp;" ضد "&amp;$A567))</f>
        <v>0</v>
      </c>
      <c r="I567" s="4">
        <f>IF($A567=I$542,"",COUNTIF($E$4:$E$538,$A567&amp;" ضد "&amp;I$542)+COUNTIF($E$4:$E$538,I$542&amp;" ضد "&amp;$A567))</f>
        <v>0</v>
      </c>
      <c r="J567" s="4">
        <f>IF($A567=J$542,"",COUNTIF($E$4:$E$538,$A567&amp;" ضد "&amp;J$542)+COUNTIF($E$4:$E$538,J$542&amp;" ضد "&amp;$A567))</f>
        <v>0</v>
      </c>
      <c r="K567" s="4">
        <f>IF($A567=K$542,"",COUNTIF($E$4:$E$538,$A567&amp;" ضد "&amp;K$542)+COUNTIF($E$4:$E$538,K$542&amp;" ضد "&amp;$A567))</f>
        <v>0</v>
      </c>
      <c r="L567" s="4">
        <f>IF($A567=L$542,"",COUNTIF($E$4:$E$538,$A567&amp;" ضد "&amp;L$542)+COUNTIF($E$4:$E$538,L$542&amp;" ضد "&amp;$A567))</f>
        <v>0</v>
      </c>
      <c r="M567" s="4">
        <f>IF($A567=M$542,"",COUNTIF($E$4:$E$538,$A567&amp;" ضد "&amp;M$542)+COUNTIF($E$4:$E$538,M$542&amp;" ضد "&amp;$A567))</f>
        <v>0</v>
      </c>
      <c r="N567" s="4">
        <f>IF($A567=N$542,"",COUNTIF($E$4:$E$538,$A567&amp;" ضد "&amp;N$542)+COUNTIF($E$4:$E$538,N$542&amp;" ضد "&amp;$A567))</f>
        <v>0</v>
      </c>
      <c r="O567" s="4">
        <f>IF($A567=O$542,"",COUNTIF($E$4:$E$538,$A567&amp;" ضد "&amp;O$542)+COUNTIF($E$4:$E$538,O$542&amp;" ضد "&amp;$A567))</f>
        <v>0</v>
      </c>
      <c r="P567" s="4">
        <f>IF($A567=P$542,"",COUNTIF($E$4:$E$538,$A567&amp;" ضد "&amp;P$542)+COUNTIF($E$4:$E$538,P$542&amp;" ضد "&amp;$A567))</f>
        <v>0</v>
      </c>
      <c r="Q567" s="4">
        <f>IF($A567=Q$542,"",COUNTIF($E$4:$E$538,$A567&amp;" ضد "&amp;Q$542)+COUNTIF($E$4:$E$538,Q$542&amp;" ضد "&amp;$A567))</f>
        <v>0</v>
      </c>
      <c r="R567" s="4">
        <f>IF($A567=R$542,"",COUNTIF($E$4:$E$538,$A567&amp;" ضد "&amp;R$542)+COUNTIF($E$4:$E$538,R$542&amp;" ضد "&amp;$A567))</f>
        <v>0</v>
      </c>
      <c r="S567" s="4">
        <f>IF($A567=S$542,"",COUNTIF($E$4:$E$538,$A567&amp;" ضد "&amp;S$542)+COUNTIF($E$4:$E$538,S$542&amp;" ضد "&amp;$A567))</f>
        <v>0</v>
      </c>
      <c r="T567" s="4">
        <f>IF($A567=T$542,"",COUNTIF($E$4:$E$538,$A567&amp;" ضد "&amp;T$542)+COUNTIF($E$4:$E$538,T$542&amp;" ضد "&amp;$A567))</f>
        <v>0</v>
      </c>
      <c r="U567" s="4">
        <f>IF($A567=U$542,"",COUNTIF($E$4:$E$538,$A567&amp;" ضد "&amp;U$542)+COUNTIF($E$4:$E$538,U$542&amp;" ضد "&amp;$A567))</f>
        <v>0</v>
      </c>
      <c r="V567" s="4">
        <f>IF($A567=V$542,"",COUNTIF($E$4:$E$538,$A567&amp;" ضد "&amp;V$542)+COUNTIF($E$4:$E$538,V$542&amp;" ضد "&amp;$A567))</f>
        <v>1</v>
      </c>
      <c r="W567" s="4">
        <f>IF($A567=W$542,"",COUNTIF($E$4:$E$538,$A567&amp;" ضد "&amp;W$542)+COUNTIF($E$4:$E$538,W$542&amp;" ضد "&amp;$A567))</f>
        <v>1</v>
      </c>
      <c r="X567" s="4">
        <f>IF($A567=X$542,"",COUNTIF($E$4:$E$538,$A567&amp;" ضد "&amp;X$542)+COUNTIF($E$4:$E$538,X$542&amp;" ضد "&amp;$A567))</f>
        <v>1</v>
      </c>
      <c r="Y567" s="4">
        <f>IF($A567=Y$542,"",COUNTIF($E$4:$E$538,$A567&amp;" ضد "&amp;Y$542)+COUNTIF($E$4:$E$538,Y$542&amp;" ضد "&amp;$A567))</f>
        <v>1</v>
      </c>
      <c r="Z567" s="4" t="str">
        <f>IF($A567=Z$542,"",COUNTIF($E$4:$E$538,$A567&amp;" ضد "&amp;Z$542)+COUNTIF($E$4:$E$538,Z$542&amp;" ضد "&amp;$A567))</f>
        <v/>
      </c>
      <c r="AA567" s="4">
        <f>IF($A567=AA$542,"",COUNTIF($E$4:$E$538,$A567&amp;" ضد "&amp;AA$542)+COUNTIF($E$4:$E$538,AA$542&amp;" ضد "&amp;$A567))</f>
        <v>1</v>
      </c>
      <c r="AB567" s="4">
        <f>IF($A567=AB$542,"",COUNTIF($E$4:$E$538,$A567&amp;" ضد "&amp;AB$542)+COUNTIF($E$4:$E$538,AB$542&amp;" ضد "&amp;$A567))</f>
        <v>1</v>
      </c>
      <c r="AC567" s="4">
        <f>IF($A567=AC$542,"",COUNTIF($E$4:$E$538,$A567&amp;" ضد "&amp;AC$542)+COUNTIF($E$4:$E$538,AC$542&amp;" ضد "&amp;$A567))</f>
        <v>1</v>
      </c>
      <c r="AD567" s="4">
        <f>IF($A567=AD$542,"",COUNTIF($E$4:$E$538,$A567&amp;" ضد "&amp;AD$542)+COUNTIF($E$4:$E$538,AD$542&amp;" ضد "&amp;$A567))</f>
        <v>1</v>
      </c>
      <c r="AE567" s="4">
        <f>IF($A567=AE$542,"",COUNTIF($E$4:$E$538,$A567&amp;" ضد "&amp;AE$542)+COUNTIF($E$4:$E$538,AE$542&amp;" ضد "&amp;$A567))</f>
        <v>1</v>
      </c>
      <c r="AF567" s="4">
        <f>IF($A567=AF$542,"",COUNTIF($E$4:$E$538,$A567&amp;" ضد "&amp;AF$542)+COUNTIF($E$4:$E$538,AF$542&amp;" ضد "&amp;$A567))</f>
        <v>1</v>
      </c>
      <c r="AG567" s="4">
        <f>IF($A567=AG$542,"",COUNTIF($E$4:$E$538,$A567&amp;" ضد "&amp;AG$542)+COUNTIF($E$4:$E$538,AG$542&amp;" ضد "&amp;$A567))</f>
        <v>1</v>
      </c>
      <c r="AH567" s="4">
        <f>IF($A567=AH$542,"",COUNTIF($E$4:$E$538,$A567&amp;" ضد "&amp;AH$542)+COUNTIF($E$4:$E$538,AH$542&amp;" ضد "&amp;$A567))</f>
        <v>1</v>
      </c>
      <c r="AI567" s="4">
        <f>IF($A567=AI$542,"",COUNTIF($E$4:$E$538,$A567&amp;" ضد "&amp;AI$542)+COUNTIF($E$4:$E$538,AI$542&amp;" ضد "&amp;$A567))</f>
        <v>1</v>
      </c>
      <c r="AJ567" s="4">
        <f>IF($A567=AJ$542,"",COUNTIF($E$4:$E$538,$A567&amp;" ضد "&amp;AJ$542)+COUNTIF($E$4:$E$538,AJ$542&amp;" ضد "&amp;$A567))</f>
        <v>1</v>
      </c>
      <c r="AK567" s="4">
        <f>IF($A567=AK$542,"",COUNTIF($E$4:$E$538,$A567&amp;" ضد "&amp;AK$542)+COUNTIF($E$4:$E$538,AK$542&amp;" ضد "&amp;$A567))</f>
        <v>1</v>
      </c>
      <c r="AL567" s="4">
        <f>IF($A567=AL$542,"",COUNTIF($E$4:$E$538,$A567&amp;" ضد "&amp;AL$542)+COUNTIF($E$4:$E$538,AL$542&amp;" ضد "&amp;$A567))</f>
        <v>1</v>
      </c>
      <c r="AM567" s="4">
        <f>IF($A567=AM$542,"",COUNTIF($E$4:$E$538,$A567&amp;" ضد "&amp;AM$542)+COUNTIF($E$4:$E$538,AM$542&amp;" ضد "&amp;$A567))</f>
        <v>1</v>
      </c>
      <c r="AN567" s="4">
        <f>IF($A567=AN$542,"",COUNTIF($E$4:$E$538,$A567&amp;" ضد "&amp;AN$542)+COUNTIF($E$4:$E$538,AN$542&amp;" ضد "&amp;$A567))</f>
        <v>1</v>
      </c>
      <c r="AO567" s="4">
        <f>IF($A567=AO$542,"",COUNTIF($E$4:$E$538,$A567&amp;" ضد "&amp;AO$542)+COUNTIF($E$4:$E$538,AO$542&amp;" ضد "&amp;$A567))</f>
        <v>0</v>
      </c>
      <c r="AP567" s="4">
        <f>IF($A567=AP$542,"",COUNTIF($E$4:$E$538,$A567&amp;" ضد "&amp;AP$542)+COUNTIF($E$4:$E$538,AP$542&amp;" ضد "&amp;$A567))</f>
        <v>0</v>
      </c>
      <c r="AQ567" s="4">
        <f>IF($A567=AQ$542,"",COUNTIF($E$4:$E$538,$A567&amp;" ضد "&amp;AQ$542)+COUNTIF($E$4:$E$538,AQ$542&amp;" ضد "&amp;$A567))</f>
        <v>0</v>
      </c>
      <c r="AR567" s="4">
        <f>IF($A567=AR$542,"",COUNTIF($E$4:$E$538,$A567&amp;" ضد "&amp;AR$542)+COUNTIF($E$4:$E$538,AR$542&amp;" ضد "&amp;$A567))</f>
        <v>0</v>
      </c>
      <c r="AS567" s="4">
        <f>IF($A567=AS$542,"",COUNTIF($E$4:$E$538,$A567&amp;" ضد "&amp;AS$542)+COUNTIF($E$4:$E$538,AS$542&amp;" ضد "&amp;$A567))</f>
        <v>0</v>
      </c>
      <c r="AT567" s="4">
        <f>IF($A567=AT$542,"",COUNTIF($E$4:$E$538,$A567&amp;" ضد "&amp;AT$542)+COUNTIF($E$4:$E$538,AT$542&amp;" ضد "&amp;$A567))</f>
        <v>0</v>
      </c>
      <c r="AU567" s="4">
        <f>IF($A567=AU$542,"",COUNTIF($E$4:$E$538,$A567&amp;" ضد "&amp;AU$542)+COUNTIF($E$4:$E$538,AU$542&amp;" ضد "&amp;$A567))</f>
        <v>0</v>
      </c>
      <c r="AV567" s="4">
        <f>IF($A567=AV$542,"",COUNTIF($E$4:$E$538,$A567&amp;" ضد "&amp;AV$542)+COUNTIF($E$4:$E$538,AV$542&amp;" ضد "&amp;$A567))</f>
        <v>0</v>
      </c>
      <c r="AW567" s="4">
        <f>IF($A567=AW$542,"",COUNTIF($E$4:$E$538,$A567&amp;" ضد "&amp;AW$542)+COUNTIF($E$4:$E$538,AW$542&amp;" ضد "&amp;$A567))</f>
        <v>0</v>
      </c>
      <c r="AX567" s="4">
        <f>IF($A567=AX$542,"",COUNTIF($E$4:$E$538,$A567&amp;" ضد "&amp;AX$542)+COUNTIF($E$4:$E$538,AX$542&amp;" ضد "&amp;$A567))</f>
        <v>0</v>
      </c>
      <c r="AY567" s="4">
        <f>IF($A567=AY$542,"",COUNTIF($E$4:$E$538,$A567&amp;" ضد "&amp;AY$542)+COUNTIF($E$4:$E$538,AY$542&amp;" ضد "&amp;$A567))</f>
        <v>0</v>
      </c>
      <c r="AZ567" s="4">
        <f>IF($A567=AZ$542,"",COUNTIF($E$4:$E$538,$A567&amp;" ضد "&amp;AZ$542)+COUNTIF($E$4:$E$538,AZ$542&amp;" ضد "&amp;$A567))</f>
        <v>0</v>
      </c>
      <c r="BA567" s="4">
        <f>IF($A567=BA$542,"",COUNTIF($E$4:$E$538,$A567&amp;" ضد "&amp;BA$542)+COUNTIF($E$4:$E$538,BA$542&amp;" ضد "&amp;$A567))</f>
        <v>0</v>
      </c>
      <c r="BB567" s="4">
        <f>IF($A567=BB$542,"",COUNTIF($E$4:$E$538,$A567&amp;" ضد "&amp;BB$542)+COUNTIF($E$4:$E$538,BB$542&amp;" ضد "&amp;$A567))</f>
        <v>0</v>
      </c>
      <c r="BC567" s="4">
        <f>IF($A567=BC$542,"",COUNTIF($E$4:$E$538,$A567&amp;" ضد "&amp;BC$542)+COUNTIF($E$4:$E$538,BC$542&amp;" ضد "&amp;$A567))</f>
        <v>0</v>
      </c>
      <c r="BD567" s="4">
        <f>IF($A567=BD$542,"",COUNTIF($E$4:$E$538,$A567&amp;" ضد "&amp;BD$542)+COUNTIF($E$4:$E$538,BD$542&amp;" ضد "&amp;$A567))</f>
        <v>0</v>
      </c>
      <c r="BE567" s="4">
        <f>IF($A567=BE$542,"",COUNTIF($E$4:$E$538,$A567&amp;" ضد "&amp;BE$542)+COUNTIF($E$4:$E$538,BE$542&amp;" ضد "&amp;$A567))</f>
        <v>0</v>
      </c>
      <c r="BF567" s="4">
        <f>IF($A567=BF$542,"",COUNTIF($E$4:$E$538,$A567&amp;" ضد "&amp;BF$542)+COUNTIF($E$4:$E$538,BF$542&amp;" ضد "&amp;$A567))</f>
        <v>0</v>
      </c>
      <c r="BG567" s="4">
        <f>IF($A567=BG$542,"",COUNTIF($E$4:$E$538,$A567&amp;" ضد "&amp;BG$542)+COUNTIF($E$4:$E$538,BG$542&amp;" ضد "&amp;$A567))</f>
        <v>0</v>
      </c>
    </row>
    <row r="568" spans="1:59" ht="14.5">
      <c r="A568" s="14">
        <v>26</v>
      </c>
      <c r="B568" s="4">
        <f>IF($A568=B$542,"",COUNTIF($E$4:$E$538,$A568&amp;" ضد "&amp;B$542)+COUNTIF($E$4:$E$538,B$542&amp;" ضد "&amp;$A568))</f>
        <v>0</v>
      </c>
      <c r="C568" s="4">
        <f>IF($A568=C$542,"",COUNTIF($E$4:$E$538,$A568&amp;" ضد "&amp;C$542)+COUNTIF($E$4:$E$538,C$542&amp;" ضد "&amp;$A568))</f>
        <v>0</v>
      </c>
      <c r="D568" s="4">
        <f>IF($A568=D$542,"",COUNTIF($E$4:$E$538,$A568&amp;" ضد "&amp;D$542)+COUNTIF($E$4:$E$538,D$542&amp;" ضد "&amp;$A568))</f>
        <v>0</v>
      </c>
      <c r="E568" s="4">
        <f>IF($A568=E$542,"",COUNTIF($E$4:$E$538,$A568&amp;" ضد "&amp;E$542)+COUNTIF($E$4:$E$538,E$542&amp;" ضد "&amp;$A568))</f>
        <v>0</v>
      </c>
      <c r="F568" s="4">
        <f>IF($A568=F$542,"",COUNTIF($E$4:$E$538,$A568&amp;" ضد "&amp;F$542)+COUNTIF($E$4:$E$538,F$542&amp;" ضد "&amp;$A568))</f>
        <v>0</v>
      </c>
      <c r="G568" s="4">
        <f>IF($A568=G$542,"",COUNTIF($E$4:$E$538,$A568&amp;" ضد "&amp;G$542)+COUNTIF($E$4:$E$538,G$542&amp;" ضد "&amp;$A568))</f>
        <v>0</v>
      </c>
      <c r="H568" s="4">
        <f>IF($A568=H$542,"",COUNTIF($E$4:$E$538,$A568&amp;" ضد "&amp;H$542)+COUNTIF($E$4:$E$538,H$542&amp;" ضد "&amp;$A568))</f>
        <v>0</v>
      </c>
      <c r="I568" s="4">
        <f>IF($A568=I$542,"",COUNTIF($E$4:$E$538,$A568&amp;" ضد "&amp;I$542)+COUNTIF($E$4:$E$538,I$542&amp;" ضد "&amp;$A568))</f>
        <v>0</v>
      </c>
      <c r="J568" s="4">
        <f>IF($A568=J$542,"",COUNTIF($E$4:$E$538,$A568&amp;" ضد "&amp;J$542)+COUNTIF($E$4:$E$538,J$542&amp;" ضد "&amp;$A568))</f>
        <v>0</v>
      </c>
      <c r="K568" s="4">
        <f>IF($A568=K$542,"",COUNTIF($E$4:$E$538,$A568&amp;" ضد "&amp;K$542)+COUNTIF($E$4:$E$538,K$542&amp;" ضد "&amp;$A568))</f>
        <v>0</v>
      </c>
      <c r="L568" s="4">
        <f>IF($A568=L$542,"",COUNTIF($E$4:$E$538,$A568&amp;" ضد "&amp;L$542)+COUNTIF($E$4:$E$538,L$542&amp;" ضد "&amp;$A568))</f>
        <v>0</v>
      </c>
      <c r="M568" s="4">
        <f>IF($A568=M$542,"",COUNTIF($E$4:$E$538,$A568&amp;" ضد "&amp;M$542)+COUNTIF($E$4:$E$538,M$542&amp;" ضد "&amp;$A568))</f>
        <v>0</v>
      </c>
      <c r="N568" s="4">
        <f>IF($A568=N$542,"",COUNTIF($E$4:$E$538,$A568&amp;" ضد "&amp;N$542)+COUNTIF($E$4:$E$538,N$542&amp;" ضد "&amp;$A568))</f>
        <v>0</v>
      </c>
      <c r="O568" s="4">
        <f>IF($A568=O$542,"",COUNTIF($E$4:$E$538,$A568&amp;" ضد "&amp;O$542)+COUNTIF($E$4:$E$538,O$542&amp;" ضد "&amp;$A568))</f>
        <v>0</v>
      </c>
      <c r="P568" s="4">
        <f>IF($A568=P$542,"",COUNTIF($E$4:$E$538,$A568&amp;" ضد "&amp;P$542)+COUNTIF($E$4:$E$538,P$542&amp;" ضد "&amp;$A568))</f>
        <v>0</v>
      </c>
      <c r="Q568" s="4">
        <f>IF($A568=Q$542,"",COUNTIF($E$4:$E$538,$A568&amp;" ضد "&amp;Q$542)+COUNTIF($E$4:$E$538,Q$542&amp;" ضد "&amp;$A568))</f>
        <v>0</v>
      </c>
      <c r="R568" s="4">
        <f>IF($A568=R$542,"",COUNTIF($E$4:$E$538,$A568&amp;" ضد "&amp;R$542)+COUNTIF($E$4:$E$538,R$542&amp;" ضد "&amp;$A568))</f>
        <v>0</v>
      </c>
      <c r="S568" s="4">
        <f>IF($A568=S$542,"",COUNTIF($E$4:$E$538,$A568&amp;" ضد "&amp;S$542)+COUNTIF($E$4:$E$538,S$542&amp;" ضد "&amp;$A568))</f>
        <v>0</v>
      </c>
      <c r="T568" s="4">
        <f>IF($A568=T$542,"",COUNTIF($E$4:$E$538,$A568&amp;" ضد "&amp;T$542)+COUNTIF($E$4:$E$538,T$542&amp;" ضد "&amp;$A568))</f>
        <v>0</v>
      </c>
      <c r="U568" s="4">
        <f>IF($A568=U$542,"",COUNTIF($E$4:$E$538,$A568&amp;" ضد "&amp;U$542)+COUNTIF($E$4:$E$538,U$542&amp;" ضد "&amp;$A568))</f>
        <v>0</v>
      </c>
      <c r="V568" s="4">
        <f>IF($A568=V$542,"",COUNTIF($E$4:$E$538,$A568&amp;" ضد "&amp;V$542)+COUNTIF($E$4:$E$538,V$542&amp;" ضد "&amp;$A568))</f>
        <v>1</v>
      </c>
      <c r="W568" s="4">
        <f>IF($A568=W$542,"",COUNTIF($E$4:$E$538,$A568&amp;" ضد "&amp;W$542)+COUNTIF($E$4:$E$538,W$542&amp;" ضد "&amp;$A568))</f>
        <v>1</v>
      </c>
      <c r="X568" s="4">
        <f>IF($A568=X$542,"",COUNTIF($E$4:$E$538,$A568&amp;" ضد "&amp;X$542)+COUNTIF($E$4:$E$538,X$542&amp;" ضد "&amp;$A568))</f>
        <v>1</v>
      </c>
      <c r="Y568" s="4">
        <f>IF($A568=Y$542,"",COUNTIF($E$4:$E$538,$A568&amp;" ضد "&amp;Y$542)+COUNTIF($E$4:$E$538,Y$542&amp;" ضد "&amp;$A568))</f>
        <v>1</v>
      </c>
      <c r="Z568" s="4">
        <f>IF($A568=Z$542,"",COUNTIF($E$4:$E$538,$A568&amp;" ضد "&amp;Z$542)+COUNTIF($E$4:$E$538,Z$542&amp;" ضد "&amp;$A568))</f>
        <v>1</v>
      </c>
      <c r="AA568" s="4" t="str">
        <f>IF($A568=AA$542,"",COUNTIF($E$4:$E$538,$A568&amp;" ضد "&amp;AA$542)+COUNTIF($E$4:$E$538,AA$542&amp;" ضد "&amp;$A568))</f>
        <v/>
      </c>
      <c r="AB568" s="4">
        <f>IF($A568=AB$542,"",COUNTIF($E$4:$E$538,$A568&amp;" ضد "&amp;AB$542)+COUNTIF($E$4:$E$538,AB$542&amp;" ضد "&amp;$A568))</f>
        <v>1</v>
      </c>
      <c r="AC568" s="4">
        <f>IF($A568=AC$542,"",COUNTIF($E$4:$E$538,$A568&amp;" ضد "&amp;AC$542)+COUNTIF($E$4:$E$538,AC$542&amp;" ضد "&amp;$A568))</f>
        <v>1</v>
      </c>
      <c r="AD568" s="4">
        <f>IF($A568=AD$542,"",COUNTIF($E$4:$E$538,$A568&amp;" ضد "&amp;AD$542)+COUNTIF($E$4:$E$538,AD$542&amp;" ضد "&amp;$A568))</f>
        <v>1</v>
      </c>
      <c r="AE568" s="4">
        <f>IF($A568=AE$542,"",COUNTIF($E$4:$E$538,$A568&amp;" ضد "&amp;AE$542)+COUNTIF($E$4:$E$538,AE$542&amp;" ضد "&amp;$A568))</f>
        <v>1</v>
      </c>
      <c r="AF568" s="4">
        <f>IF($A568=AF$542,"",COUNTIF($E$4:$E$538,$A568&amp;" ضد "&amp;AF$542)+COUNTIF($E$4:$E$538,AF$542&amp;" ضد "&amp;$A568))</f>
        <v>1</v>
      </c>
      <c r="AG568" s="4">
        <f>IF($A568=AG$542,"",COUNTIF($E$4:$E$538,$A568&amp;" ضد "&amp;AG$542)+COUNTIF($E$4:$E$538,AG$542&amp;" ضد "&amp;$A568))</f>
        <v>1</v>
      </c>
      <c r="AH568" s="4">
        <f>IF($A568=AH$542,"",COUNTIF($E$4:$E$538,$A568&amp;" ضد "&amp;AH$542)+COUNTIF($E$4:$E$538,AH$542&amp;" ضد "&amp;$A568))</f>
        <v>1</v>
      </c>
      <c r="AI568" s="4">
        <f>IF($A568=AI$542,"",COUNTIF($E$4:$E$538,$A568&amp;" ضد "&amp;AI$542)+COUNTIF($E$4:$E$538,AI$542&amp;" ضد "&amp;$A568))</f>
        <v>1</v>
      </c>
      <c r="AJ568" s="4">
        <f>IF($A568=AJ$542,"",COUNTIF($E$4:$E$538,$A568&amp;" ضد "&amp;AJ$542)+COUNTIF($E$4:$E$538,AJ$542&amp;" ضد "&amp;$A568))</f>
        <v>1</v>
      </c>
      <c r="AK568" s="4">
        <f>IF($A568=AK$542,"",COUNTIF($E$4:$E$538,$A568&amp;" ضد "&amp;AK$542)+COUNTIF($E$4:$E$538,AK$542&amp;" ضد "&amp;$A568))</f>
        <v>1</v>
      </c>
      <c r="AL568" s="4">
        <f>IF($A568=AL$542,"",COUNTIF($E$4:$E$538,$A568&amp;" ضد "&amp;AL$542)+COUNTIF($E$4:$E$538,AL$542&amp;" ضد "&amp;$A568))</f>
        <v>1</v>
      </c>
      <c r="AM568" s="4">
        <f>IF($A568=AM$542,"",COUNTIF($E$4:$E$538,$A568&amp;" ضد "&amp;AM$542)+COUNTIF($E$4:$E$538,AM$542&amp;" ضد "&amp;$A568))</f>
        <v>1</v>
      </c>
      <c r="AN568" s="4">
        <f>IF($A568=AN$542,"",COUNTIF($E$4:$E$538,$A568&amp;" ضد "&amp;AN$542)+COUNTIF($E$4:$E$538,AN$542&amp;" ضد "&amp;$A568))</f>
        <v>1</v>
      </c>
      <c r="AO568" s="4">
        <f>IF($A568=AO$542,"",COUNTIF($E$4:$E$538,$A568&amp;" ضد "&amp;AO$542)+COUNTIF($E$4:$E$538,AO$542&amp;" ضد "&amp;$A568))</f>
        <v>0</v>
      </c>
      <c r="AP568" s="4">
        <f>IF($A568=AP$542,"",COUNTIF($E$4:$E$538,$A568&amp;" ضد "&amp;AP$542)+COUNTIF($E$4:$E$538,AP$542&amp;" ضد "&amp;$A568))</f>
        <v>0</v>
      </c>
      <c r="AQ568" s="4">
        <f>IF($A568=AQ$542,"",COUNTIF($E$4:$E$538,$A568&amp;" ضد "&amp;AQ$542)+COUNTIF($E$4:$E$538,AQ$542&amp;" ضد "&amp;$A568))</f>
        <v>0</v>
      </c>
      <c r="AR568" s="4">
        <f>IF($A568=AR$542,"",COUNTIF($E$4:$E$538,$A568&amp;" ضد "&amp;AR$542)+COUNTIF($E$4:$E$538,AR$542&amp;" ضد "&amp;$A568))</f>
        <v>0</v>
      </c>
      <c r="AS568" s="4">
        <f>IF($A568=AS$542,"",COUNTIF($E$4:$E$538,$A568&amp;" ضد "&amp;AS$542)+COUNTIF($E$4:$E$538,AS$542&amp;" ضد "&amp;$A568))</f>
        <v>0</v>
      </c>
      <c r="AT568" s="4">
        <f>IF($A568=AT$542,"",COUNTIF($E$4:$E$538,$A568&amp;" ضد "&amp;AT$542)+COUNTIF($E$4:$E$538,AT$542&amp;" ضد "&amp;$A568))</f>
        <v>0</v>
      </c>
      <c r="AU568" s="4">
        <f>IF($A568=AU$542,"",COUNTIF($E$4:$E$538,$A568&amp;" ضد "&amp;AU$542)+COUNTIF($E$4:$E$538,AU$542&amp;" ضد "&amp;$A568))</f>
        <v>0</v>
      </c>
      <c r="AV568" s="4">
        <f>IF($A568=AV$542,"",COUNTIF($E$4:$E$538,$A568&amp;" ضد "&amp;AV$542)+COUNTIF($E$4:$E$538,AV$542&amp;" ضد "&amp;$A568))</f>
        <v>0</v>
      </c>
      <c r="AW568" s="4">
        <f>IF($A568=AW$542,"",COUNTIF($E$4:$E$538,$A568&amp;" ضد "&amp;AW$542)+COUNTIF($E$4:$E$538,AW$542&amp;" ضد "&amp;$A568))</f>
        <v>0</v>
      </c>
      <c r="AX568" s="4">
        <f>IF($A568=AX$542,"",COUNTIF($E$4:$E$538,$A568&amp;" ضد "&amp;AX$542)+COUNTIF($E$4:$E$538,AX$542&amp;" ضد "&amp;$A568))</f>
        <v>0</v>
      </c>
      <c r="AY568" s="4">
        <f>IF($A568=AY$542,"",COUNTIF($E$4:$E$538,$A568&amp;" ضد "&amp;AY$542)+COUNTIF($E$4:$E$538,AY$542&amp;" ضد "&amp;$A568))</f>
        <v>0</v>
      </c>
      <c r="AZ568" s="4">
        <f>IF($A568=AZ$542,"",COUNTIF($E$4:$E$538,$A568&amp;" ضد "&amp;AZ$542)+COUNTIF($E$4:$E$538,AZ$542&amp;" ضد "&amp;$A568))</f>
        <v>0</v>
      </c>
      <c r="BA568" s="4">
        <f>IF($A568=BA$542,"",COUNTIF($E$4:$E$538,$A568&amp;" ضد "&amp;BA$542)+COUNTIF($E$4:$E$538,BA$542&amp;" ضد "&amp;$A568))</f>
        <v>0</v>
      </c>
      <c r="BB568" s="4">
        <f>IF($A568=BB$542,"",COUNTIF($E$4:$E$538,$A568&amp;" ضد "&amp;BB$542)+COUNTIF($E$4:$E$538,BB$542&amp;" ضد "&amp;$A568))</f>
        <v>0</v>
      </c>
      <c r="BC568" s="4">
        <f>IF($A568=BC$542,"",COUNTIF($E$4:$E$538,$A568&amp;" ضد "&amp;BC$542)+COUNTIF($E$4:$E$538,BC$542&amp;" ضد "&amp;$A568))</f>
        <v>0</v>
      </c>
      <c r="BD568" s="4">
        <f>IF($A568=BD$542,"",COUNTIF($E$4:$E$538,$A568&amp;" ضد "&amp;BD$542)+COUNTIF($E$4:$E$538,BD$542&amp;" ضد "&amp;$A568))</f>
        <v>0</v>
      </c>
      <c r="BE568" s="4">
        <f>IF($A568=BE$542,"",COUNTIF($E$4:$E$538,$A568&amp;" ضد "&amp;BE$542)+COUNTIF($E$4:$E$538,BE$542&amp;" ضد "&amp;$A568))</f>
        <v>0</v>
      </c>
      <c r="BF568" s="4">
        <f>IF($A568=BF$542,"",COUNTIF($E$4:$E$538,$A568&amp;" ضد "&amp;BF$542)+COUNTIF($E$4:$E$538,BF$542&amp;" ضد "&amp;$A568))</f>
        <v>0</v>
      </c>
      <c r="BG568" s="4">
        <f>IF($A568=BG$542,"",COUNTIF($E$4:$E$538,$A568&amp;" ضد "&amp;BG$542)+COUNTIF($E$4:$E$538,BG$542&amp;" ضد "&amp;$A568))</f>
        <v>0</v>
      </c>
    </row>
    <row r="569" spans="1:59" ht="14.5">
      <c r="A569" s="14">
        <v>27</v>
      </c>
      <c r="B569" s="4">
        <f>IF($A569=B$542,"",COUNTIF($E$4:$E$538,$A569&amp;" ضد "&amp;B$542)+COUNTIF($E$4:$E$538,B$542&amp;" ضد "&amp;$A569))</f>
        <v>0</v>
      </c>
      <c r="C569" s="4">
        <f>IF($A569=C$542,"",COUNTIF($E$4:$E$538,$A569&amp;" ضد "&amp;C$542)+COUNTIF($E$4:$E$538,C$542&amp;" ضد "&amp;$A569))</f>
        <v>0</v>
      </c>
      <c r="D569" s="4">
        <f>IF($A569=D$542,"",COUNTIF($E$4:$E$538,$A569&amp;" ضد "&amp;D$542)+COUNTIF($E$4:$E$538,D$542&amp;" ضد "&amp;$A569))</f>
        <v>0</v>
      </c>
      <c r="E569" s="4">
        <f>IF($A569=E$542,"",COUNTIF($E$4:$E$538,$A569&amp;" ضد "&amp;E$542)+COUNTIF($E$4:$E$538,E$542&amp;" ضد "&amp;$A569))</f>
        <v>0</v>
      </c>
      <c r="F569" s="4">
        <f>IF($A569=F$542,"",COUNTIF($E$4:$E$538,$A569&amp;" ضد "&amp;F$542)+COUNTIF($E$4:$E$538,F$542&amp;" ضد "&amp;$A569))</f>
        <v>0</v>
      </c>
      <c r="G569" s="4">
        <f>IF($A569=G$542,"",COUNTIF($E$4:$E$538,$A569&amp;" ضد "&amp;G$542)+COUNTIF($E$4:$E$538,G$542&amp;" ضد "&amp;$A569))</f>
        <v>0</v>
      </c>
      <c r="H569" s="4">
        <f>IF($A569=H$542,"",COUNTIF($E$4:$E$538,$A569&amp;" ضد "&amp;H$542)+COUNTIF($E$4:$E$538,H$542&amp;" ضد "&amp;$A569))</f>
        <v>0</v>
      </c>
      <c r="I569" s="4">
        <f>IF($A569=I$542,"",COUNTIF($E$4:$E$538,$A569&amp;" ضد "&amp;I$542)+COUNTIF($E$4:$E$538,I$542&amp;" ضد "&amp;$A569))</f>
        <v>0</v>
      </c>
      <c r="J569" s="4">
        <f>IF($A569=J$542,"",COUNTIF($E$4:$E$538,$A569&amp;" ضد "&amp;J$542)+COUNTIF($E$4:$E$538,J$542&amp;" ضد "&amp;$A569))</f>
        <v>0</v>
      </c>
      <c r="K569" s="4">
        <f>IF($A569=K$542,"",COUNTIF($E$4:$E$538,$A569&amp;" ضد "&amp;K$542)+COUNTIF($E$4:$E$538,K$542&amp;" ضد "&amp;$A569))</f>
        <v>0</v>
      </c>
      <c r="L569" s="4">
        <f>IF($A569=L$542,"",COUNTIF($E$4:$E$538,$A569&amp;" ضد "&amp;L$542)+COUNTIF($E$4:$E$538,L$542&amp;" ضد "&amp;$A569))</f>
        <v>0</v>
      </c>
      <c r="M569" s="4">
        <f>IF($A569=M$542,"",COUNTIF($E$4:$E$538,$A569&amp;" ضد "&amp;M$542)+COUNTIF($E$4:$E$538,M$542&amp;" ضد "&amp;$A569))</f>
        <v>0</v>
      </c>
      <c r="N569" s="4">
        <f>IF($A569=N$542,"",COUNTIF($E$4:$E$538,$A569&amp;" ضد "&amp;N$542)+COUNTIF($E$4:$E$538,N$542&amp;" ضد "&amp;$A569))</f>
        <v>0</v>
      </c>
      <c r="O569" s="4">
        <f>IF($A569=O$542,"",COUNTIF($E$4:$E$538,$A569&amp;" ضد "&amp;O$542)+COUNTIF($E$4:$E$538,O$542&amp;" ضد "&amp;$A569))</f>
        <v>0</v>
      </c>
      <c r="P569" s="4">
        <f>IF($A569=P$542,"",COUNTIF($E$4:$E$538,$A569&amp;" ضد "&amp;P$542)+COUNTIF($E$4:$E$538,P$542&amp;" ضد "&amp;$A569))</f>
        <v>0</v>
      </c>
      <c r="Q569" s="4">
        <f>IF($A569=Q$542,"",COUNTIF($E$4:$E$538,$A569&amp;" ضد "&amp;Q$542)+COUNTIF($E$4:$E$538,Q$542&amp;" ضد "&amp;$A569))</f>
        <v>0</v>
      </c>
      <c r="R569" s="4">
        <f>IF($A569=R$542,"",COUNTIF($E$4:$E$538,$A569&amp;" ضد "&amp;R$542)+COUNTIF($E$4:$E$538,R$542&amp;" ضد "&amp;$A569))</f>
        <v>0</v>
      </c>
      <c r="S569" s="4">
        <f>IF($A569=S$542,"",COUNTIF($E$4:$E$538,$A569&amp;" ضد "&amp;S$542)+COUNTIF($E$4:$E$538,S$542&amp;" ضد "&amp;$A569))</f>
        <v>0</v>
      </c>
      <c r="T569" s="4">
        <f>IF($A569=T$542,"",COUNTIF($E$4:$E$538,$A569&amp;" ضد "&amp;T$542)+COUNTIF($E$4:$E$538,T$542&amp;" ضد "&amp;$A569))</f>
        <v>0</v>
      </c>
      <c r="U569" s="4">
        <f>IF($A569=U$542,"",COUNTIF($E$4:$E$538,$A569&amp;" ضد "&amp;U$542)+COUNTIF($E$4:$E$538,U$542&amp;" ضد "&amp;$A569))</f>
        <v>0</v>
      </c>
      <c r="V569" s="4">
        <f>IF($A569=V$542,"",COUNTIF($E$4:$E$538,$A569&amp;" ضد "&amp;V$542)+COUNTIF($E$4:$E$538,V$542&amp;" ضد "&amp;$A569))</f>
        <v>1</v>
      </c>
      <c r="W569" s="4">
        <f>IF($A569=W$542,"",COUNTIF($E$4:$E$538,$A569&amp;" ضد "&amp;W$542)+COUNTIF($E$4:$E$538,W$542&amp;" ضد "&amp;$A569))</f>
        <v>1</v>
      </c>
      <c r="X569" s="4">
        <f>IF($A569=X$542,"",COUNTIF($E$4:$E$538,$A569&amp;" ضد "&amp;X$542)+COUNTIF($E$4:$E$538,X$542&amp;" ضد "&amp;$A569))</f>
        <v>1</v>
      </c>
      <c r="Y569" s="4">
        <f>IF($A569=Y$542,"",COUNTIF($E$4:$E$538,$A569&amp;" ضد "&amp;Y$542)+COUNTIF($E$4:$E$538,Y$542&amp;" ضد "&amp;$A569))</f>
        <v>1</v>
      </c>
      <c r="Z569" s="4">
        <f>IF($A569=Z$542,"",COUNTIF($E$4:$E$538,$A569&amp;" ضد "&amp;Z$542)+COUNTIF($E$4:$E$538,Z$542&amp;" ضد "&amp;$A569))</f>
        <v>1</v>
      </c>
      <c r="AA569" s="4">
        <f>IF($A569=AA$542,"",COUNTIF($E$4:$E$538,$A569&amp;" ضد "&amp;AA$542)+COUNTIF($E$4:$E$538,AA$542&amp;" ضد "&amp;$A569))</f>
        <v>1</v>
      </c>
      <c r="AB569" s="4" t="str">
        <f>IF($A569=AB$542,"",COUNTIF($E$4:$E$538,$A569&amp;" ضد "&amp;AB$542)+COUNTIF($E$4:$E$538,AB$542&amp;" ضد "&amp;$A569))</f>
        <v/>
      </c>
      <c r="AC569" s="4">
        <f>IF($A569=AC$542,"",COUNTIF($E$4:$E$538,$A569&amp;" ضد "&amp;AC$542)+COUNTIF($E$4:$E$538,AC$542&amp;" ضد "&amp;$A569))</f>
        <v>1</v>
      </c>
      <c r="AD569" s="4">
        <f>IF($A569=AD$542,"",COUNTIF($E$4:$E$538,$A569&amp;" ضد "&amp;AD$542)+COUNTIF($E$4:$E$538,AD$542&amp;" ضد "&amp;$A569))</f>
        <v>1</v>
      </c>
      <c r="AE569" s="4">
        <f>IF($A569=AE$542,"",COUNTIF($E$4:$E$538,$A569&amp;" ضد "&amp;AE$542)+COUNTIF($E$4:$E$538,AE$542&amp;" ضد "&amp;$A569))</f>
        <v>1</v>
      </c>
      <c r="AF569" s="4">
        <f>IF($A569=AF$542,"",COUNTIF($E$4:$E$538,$A569&amp;" ضد "&amp;AF$542)+COUNTIF($E$4:$E$538,AF$542&amp;" ضد "&amp;$A569))</f>
        <v>1</v>
      </c>
      <c r="AG569" s="4">
        <f>IF($A569=AG$542,"",COUNTIF($E$4:$E$538,$A569&amp;" ضد "&amp;AG$542)+COUNTIF($E$4:$E$538,AG$542&amp;" ضد "&amp;$A569))</f>
        <v>1</v>
      </c>
      <c r="AH569" s="4">
        <f>IF($A569=AH$542,"",COUNTIF($E$4:$E$538,$A569&amp;" ضد "&amp;AH$542)+COUNTIF($E$4:$E$538,AH$542&amp;" ضد "&amp;$A569))</f>
        <v>1</v>
      </c>
      <c r="AI569" s="4">
        <f>IF($A569=AI$542,"",COUNTIF($E$4:$E$538,$A569&amp;" ضد "&amp;AI$542)+COUNTIF($E$4:$E$538,AI$542&amp;" ضد "&amp;$A569))</f>
        <v>1</v>
      </c>
      <c r="AJ569" s="4">
        <f>IF($A569=AJ$542,"",COUNTIF($E$4:$E$538,$A569&amp;" ضد "&amp;AJ$542)+COUNTIF($E$4:$E$538,AJ$542&amp;" ضد "&amp;$A569))</f>
        <v>1</v>
      </c>
      <c r="AK569" s="4">
        <f>IF($A569=AK$542,"",COUNTIF($E$4:$E$538,$A569&amp;" ضد "&amp;AK$542)+COUNTIF($E$4:$E$538,AK$542&amp;" ضد "&amp;$A569))</f>
        <v>1</v>
      </c>
      <c r="AL569" s="4">
        <f>IF($A569=AL$542,"",COUNTIF($E$4:$E$538,$A569&amp;" ضد "&amp;AL$542)+COUNTIF($E$4:$E$538,AL$542&amp;" ضد "&amp;$A569))</f>
        <v>1</v>
      </c>
      <c r="AM569" s="4">
        <f>IF($A569=AM$542,"",COUNTIF($E$4:$E$538,$A569&amp;" ضد "&amp;AM$542)+COUNTIF($E$4:$E$538,AM$542&amp;" ضد "&amp;$A569))</f>
        <v>1</v>
      </c>
      <c r="AN569" s="4">
        <f>IF($A569=AN$542,"",COUNTIF($E$4:$E$538,$A569&amp;" ضد "&amp;AN$542)+COUNTIF($E$4:$E$538,AN$542&amp;" ضد "&amp;$A569))</f>
        <v>1</v>
      </c>
      <c r="AO569" s="4">
        <f>IF($A569=AO$542,"",COUNTIF($E$4:$E$538,$A569&amp;" ضد "&amp;AO$542)+COUNTIF($E$4:$E$538,AO$542&amp;" ضد "&amp;$A569))</f>
        <v>0</v>
      </c>
      <c r="AP569" s="4">
        <f>IF($A569=AP$542,"",COUNTIF($E$4:$E$538,$A569&amp;" ضد "&amp;AP$542)+COUNTIF($E$4:$E$538,AP$542&amp;" ضد "&amp;$A569))</f>
        <v>0</v>
      </c>
      <c r="AQ569" s="4">
        <f>IF($A569=AQ$542,"",COUNTIF($E$4:$E$538,$A569&amp;" ضد "&amp;AQ$542)+COUNTIF($E$4:$E$538,AQ$542&amp;" ضد "&amp;$A569))</f>
        <v>0</v>
      </c>
      <c r="AR569" s="4">
        <f>IF($A569=AR$542,"",COUNTIF($E$4:$E$538,$A569&amp;" ضد "&amp;AR$542)+COUNTIF($E$4:$E$538,AR$542&amp;" ضد "&amp;$A569))</f>
        <v>0</v>
      </c>
      <c r="AS569" s="4">
        <f>IF($A569=AS$542,"",COUNTIF($E$4:$E$538,$A569&amp;" ضد "&amp;AS$542)+COUNTIF($E$4:$E$538,AS$542&amp;" ضد "&amp;$A569))</f>
        <v>0</v>
      </c>
      <c r="AT569" s="4">
        <f>IF($A569=AT$542,"",COUNTIF($E$4:$E$538,$A569&amp;" ضد "&amp;AT$542)+COUNTIF($E$4:$E$538,AT$542&amp;" ضد "&amp;$A569))</f>
        <v>0</v>
      </c>
      <c r="AU569" s="4">
        <f>IF($A569=AU$542,"",COUNTIF($E$4:$E$538,$A569&amp;" ضد "&amp;AU$542)+COUNTIF($E$4:$E$538,AU$542&amp;" ضد "&amp;$A569))</f>
        <v>0</v>
      </c>
      <c r="AV569" s="4">
        <f>IF($A569=AV$542,"",COUNTIF($E$4:$E$538,$A569&amp;" ضد "&amp;AV$542)+COUNTIF($E$4:$E$538,AV$542&amp;" ضد "&amp;$A569))</f>
        <v>0</v>
      </c>
      <c r="AW569" s="4">
        <f>IF($A569=AW$542,"",COUNTIF($E$4:$E$538,$A569&amp;" ضد "&amp;AW$542)+COUNTIF($E$4:$E$538,AW$542&amp;" ضد "&amp;$A569))</f>
        <v>0</v>
      </c>
      <c r="AX569" s="4">
        <f>IF($A569=AX$542,"",COUNTIF($E$4:$E$538,$A569&amp;" ضد "&amp;AX$542)+COUNTIF($E$4:$E$538,AX$542&amp;" ضد "&amp;$A569))</f>
        <v>0</v>
      </c>
      <c r="AY569" s="4">
        <f>IF($A569=AY$542,"",COUNTIF($E$4:$E$538,$A569&amp;" ضد "&amp;AY$542)+COUNTIF($E$4:$E$538,AY$542&amp;" ضد "&amp;$A569))</f>
        <v>0</v>
      </c>
      <c r="AZ569" s="4">
        <f>IF($A569=AZ$542,"",COUNTIF($E$4:$E$538,$A569&amp;" ضد "&amp;AZ$542)+COUNTIF($E$4:$E$538,AZ$542&amp;" ضد "&amp;$A569))</f>
        <v>0</v>
      </c>
      <c r="BA569" s="4">
        <f>IF($A569=BA$542,"",COUNTIF($E$4:$E$538,$A569&amp;" ضد "&amp;BA$542)+COUNTIF($E$4:$E$538,BA$542&amp;" ضد "&amp;$A569))</f>
        <v>0</v>
      </c>
      <c r="BB569" s="4">
        <f>IF($A569=BB$542,"",COUNTIF($E$4:$E$538,$A569&amp;" ضد "&amp;BB$542)+COUNTIF($E$4:$E$538,BB$542&amp;" ضد "&amp;$A569))</f>
        <v>0</v>
      </c>
      <c r="BC569" s="4">
        <f>IF($A569=BC$542,"",COUNTIF($E$4:$E$538,$A569&amp;" ضد "&amp;BC$542)+COUNTIF($E$4:$E$538,BC$542&amp;" ضد "&amp;$A569))</f>
        <v>0</v>
      </c>
      <c r="BD569" s="4">
        <f>IF($A569=BD$542,"",COUNTIF($E$4:$E$538,$A569&amp;" ضد "&amp;BD$542)+COUNTIF($E$4:$E$538,BD$542&amp;" ضد "&amp;$A569))</f>
        <v>0</v>
      </c>
      <c r="BE569" s="4">
        <f>IF($A569=BE$542,"",COUNTIF($E$4:$E$538,$A569&amp;" ضد "&amp;BE$542)+COUNTIF($E$4:$E$538,BE$542&amp;" ضد "&amp;$A569))</f>
        <v>0</v>
      </c>
      <c r="BF569" s="4">
        <f>IF($A569=BF$542,"",COUNTIF($E$4:$E$538,$A569&amp;" ضد "&amp;BF$542)+COUNTIF($E$4:$E$538,BF$542&amp;" ضد "&amp;$A569))</f>
        <v>0</v>
      </c>
      <c r="BG569" s="4">
        <f>IF($A569=BG$542,"",COUNTIF($E$4:$E$538,$A569&amp;" ضد "&amp;BG$542)+COUNTIF($E$4:$E$538,BG$542&amp;" ضد "&amp;$A569))</f>
        <v>0</v>
      </c>
    </row>
    <row r="570" spans="1:59" ht="14.5">
      <c r="A570" s="14">
        <v>28</v>
      </c>
      <c r="B570" s="4">
        <f>IF($A570=B$542,"",COUNTIF($E$4:$E$538,$A570&amp;" ضد "&amp;B$542)+COUNTIF($E$4:$E$538,B$542&amp;" ضد "&amp;$A570))</f>
        <v>0</v>
      </c>
      <c r="C570" s="4">
        <f>IF($A570=C$542,"",COUNTIF($E$4:$E$538,$A570&amp;" ضد "&amp;C$542)+COUNTIF($E$4:$E$538,C$542&amp;" ضد "&amp;$A570))</f>
        <v>0</v>
      </c>
      <c r="D570" s="4">
        <f>IF($A570=D$542,"",COUNTIF($E$4:$E$538,$A570&amp;" ضد "&amp;D$542)+COUNTIF($E$4:$E$538,D$542&amp;" ضد "&amp;$A570))</f>
        <v>0</v>
      </c>
      <c r="E570" s="4">
        <f>IF($A570=E$542,"",COUNTIF($E$4:$E$538,$A570&amp;" ضد "&amp;E$542)+COUNTIF($E$4:$E$538,E$542&amp;" ضد "&amp;$A570))</f>
        <v>0</v>
      </c>
      <c r="F570" s="4">
        <f>IF($A570=F$542,"",COUNTIF($E$4:$E$538,$A570&amp;" ضد "&amp;F$542)+COUNTIF($E$4:$E$538,F$542&amp;" ضد "&amp;$A570))</f>
        <v>0</v>
      </c>
      <c r="G570" s="4">
        <f>IF($A570=G$542,"",COUNTIF($E$4:$E$538,$A570&amp;" ضد "&amp;G$542)+COUNTIF($E$4:$E$538,G$542&amp;" ضد "&amp;$A570))</f>
        <v>0</v>
      </c>
      <c r="H570" s="4">
        <f>IF($A570=H$542,"",COUNTIF($E$4:$E$538,$A570&amp;" ضد "&amp;H$542)+COUNTIF($E$4:$E$538,H$542&amp;" ضد "&amp;$A570))</f>
        <v>0</v>
      </c>
      <c r="I570" s="4">
        <f>IF($A570=I$542,"",COUNTIF($E$4:$E$538,$A570&amp;" ضد "&amp;I$542)+COUNTIF($E$4:$E$538,I$542&amp;" ضد "&amp;$A570))</f>
        <v>0</v>
      </c>
      <c r="J570" s="4">
        <f>IF($A570=J$542,"",COUNTIF($E$4:$E$538,$A570&amp;" ضد "&amp;J$542)+COUNTIF($E$4:$E$538,J$542&amp;" ضد "&amp;$A570))</f>
        <v>0</v>
      </c>
      <c r="K570" s="4">
        <f>IF($A570=K$542,"",COUNTIF($E$4:$E$538,$A570&amp;" ضد "&amp;K$542)+COUNTIF($E$4:$E$538,K$542&amp;" ضد "&amp;$A570))</f>
        <v>0</v>
      </c>
      <c r="L570" s="4">
        <f>IF($A570=L$542,"",COUNTIF($E$4:$E$538,$A570&amp;" ضد "&amp;L$542)+COUNTIF($E$4:$E$538,L$542&amp;" ضد "&amp;$A570))</f>
        <v>0</v>
      </c>
      <c r="M570" s="4">
        <f>IF($A570=M$542,"",COUNTIF($E$4:$E$538,$A570&amp;" ضد "&amp;M$542)+COUNTIF($E$4:$E$538,M$542&amp;" ضد "&amp;$A570))</f>
        <v>0</v>
      </c>
      <c r="N570" s="4">
        <f>IF($A570=N$542,"",COUNTIF($E$4:$E$538,$A570&amp;" ضد "&amp;N$542)+COUNTIF($E$4:$E$538,N$542&amp;" ضد "&amp;$A570))</f>
        <v>0</v>
      </c>
      <c r="O570" s="4">
        <f>IF($A570=O$542,"",COUNTIF($E$4:$E$538,$A570&amp;" ضد "&amp;O$542)+COUNTIF($E$4:$E$538,O$542&amp;" ضد "&amp;$A570))</f>
        <v>0</v>
      </c>
      <c r="P570" s="4">
        <f>IF($A570=P$542,"",COUNTIF($E$4:$E$538,$A570&amp;" ضد "&amp;P$542)+COUNTIF($E$4:$E$538,P$542&amp;" ضد "&amp;$A570))</f>
        <v>0</v>
      </c>
      <c r="Q570" s="4">
        <f>IF($A570=Q$542,"",COUNTIF($E$4:$E$538,$A570&amp;" ضد "&amp;Q$542)+COUNTIF($E$4:$E$538,Q$542&amp;" ضد "&amp;$A570))</f>
        <v>0</v>
      </c>
      <c r="R570" s="4">
        <f>IF($A570=R$542,"",COUNTIF($E$4:$E$538,$A570&amp;" ضد "&amp;R$542)+COUNTIF($E$4:$E$538,R$542&amp;" ضد "&amp;$A570))</f>
        <v>0</v>
      </c>
      <c r="S570" s="4">
        <f>IF($A570=S$542,"",COUNTIF($E$4:$E$538,$A570&amp;" ضد "&amp;S$542)+COUNTIF($E$4:$E$538,S$542&amp;" ضد "&amp;$A570))</f>
        <v>0</v>
      </c>
      <c r="T570" s="4">
        <f>IF($A570=T$542,"",COUNTIF($E$4:$E$538,$A570&amp;" ضد "&amp;T$542)+COUNTIF($E$4:$E$538,T$542&amp;" ضد "&amp;$A570))</f>
        <v>0</v>
      </c>
      <c r="U570" s="4">
        <f>IF($A570=U$542,"",COUNTIF($E$4:$E$538,$A570&amp;" ضد "&amp;U$542)+COUNTIF($E$4:$E$538,U$542&amp;" ضد "&amp;$A570))</f>
        <v>0</v>
      </c>
      <c r="V570" s="4">
        <f>IF($A570=V$542,"",COUNTIF($E$4:$E$538,$A570&amp;" ضد "&amp;V$542)+COUNTIF($E$4:$E$538,V$542&amp;" ضد "&amp;$A570))</f>
        <v>1</v>
      </c>
      <c r="W570" s="4">
        <f>IF($A570=W$542,"",COUNTIF($E$4:$E$538,$A570&amp;" ضد "&amp;W$542)+COUNTIF($E$4:$E$538,W$542&amp;" ضد "&amp;$A570))</f>
        <v>1</v>
      </c>
      <c r="X570" s="4">
        <f>IF($A570=X$542,"",COUNTIF($E$4:$E$538,$A570&amp;" ضد "&amp;X$542)+COUNTIF($E$4:$E$538,X$542&amp;" ضد "&amp;$A570))</f>
        <v>1</v>
      </c>
      <c r="Y570" s="4">
        <f>IF($A570=Y$542,"",COUNTIF($E$4:$E$538,$A570&amp;" ضد "&amp;Y$542)+COUNTIF($E$4:$E$538,Y$542&amp;" ضد "&amp;$A570))</f>
        <v>1</v>
      </c>
      <c r="Z570" s="4">
        <f>IF($A570=Z$542,"",COUNTIF($E$4:$E$538,$A570&amp;" ضد "&amp;Z$542)+COUNTIF($E$4:$E$538,Z$542&amp;" ضد "&amp;$A570))</f>
        <v>1</v>
      </c>
      <c r="AA570" s="4">
        <f>IF($A570=AA$542,"",COUNTIF($E$4:$E$538,$A570&amp;" ضد "&amp;AA$542)+COUNTIF($E$4:$E$538,AA$542&amp;" ضد "&amp;$A570))</f>
        <v>1</v>
      </c>
      <c r="AB570" s="4">
        <f>IF($A570=AB$542,"",COUNTIF($E$4:$E$538,$A570&amp;" ضد "&amp;AB$542)+COUNTIF($E$4:$E$538,AB$542&amp;" ضد "&amp;$A570))</f>
        <v>1</v>
      </c>
      <c r="AC570" s="4" t="str">
        <f>IF($A570=AC$542,"",COUNTIF($E$4:$E$538,$A570&amp;" ضد "&amp;AC$542)+COUNTIF($E$4:$E$538,AC$542&amp;" ضد "&amp;$A570))</f>
        <v/>
      </c>
      <c r="AD570" s="4">
        <f>IF($A570=AD$542,"",COUNTIF($E$4:$E$538,$A570&amp;" ضد "&amp;AD$542)+COUNTIF($E$4:$E$538,AD$542&amp;" ضد "&amp;$A570))</f>
        <v>1</v>
      </c>
      <c r="AE570" s="4">
        <f>IF($A570=AE$542,"",COUNTIF($E$4:$E$538,$A570&amp;" ضد "&amp;AE$542)+COUNTIF($E$4:$E$538,AE$542&amp;" ضد "&amp;$A570))</f>
        <v>1</v>
      </c>
      <c r="AF570" s="4">
        <f>IF($A570=AF$542,"",COUNTIF($E$4:$E$538,$A570&amp;" ضد "&amp;AF$542)+COUNTIF($E$4:$E$538,AF$542&amp;" ضد "&amp;$A570))</f>
        <v>1</v>
      </c>
      <c r="AG570" s="4">
        <f>IF($A570=AG$542,"",COUNTIF($E$4:$E$538,$A570&amp;" ضد "&amp;AG$542)+COUNTIF($E$4:$E$538,AG$542&amp;" ضد "&amp;$A570))</f>
        <v>1</v>
      </c>
      <c r="AH570" s="4">
        <f>IF($A570=AH$542,"",COUNTIF($E$4:$E$538,$A570&amp;" ضد "&amp;AH$542)+COUNTIF($E$4:$E$538,AH$542&amp;" ضد "&amp;$A570))</f>
        <v>1</v>
      </c>
      <c r="AI570" s="4">
        <f>IF($A570=AI$542,"",COUNTIF($E$4:$E$538,$A570&amp;" ضد "&amp;AI$542)+COUNTIF($E$4:$E$538,AI$542&amp;" ضد "&amp;$A570))</f>
        <v>1</v>
      </c>
      <c r="AJ570" s="4">
        <f>IF($A570=AJ$542,"",COUNTIF($E$4:$E$538,$A570&amp;" ضد "&amp;AJ$542)+COUNTIF($E$4:$E$538,AJ$542&amp;" ضد "&amp;$A570))</f>
        <v>1</v>
      </c>
      <c r="AK570" s="4">
        <f>IF($A570=AK$542,"",COUNTIF($E$4:$E$538,$A570&amp;" ضد "&amp;AK$542)+COUNTIF($E$4:$E$538,AK$542&amp;" ضد "&amp;$A570))</f>
        <v>1</v>
      </c>
      <c r="AL570" s="4">
        <f>IF($A570=AL$542,"",COUNTIF($E$4:$E$538,$A570&amp;" ضد "&amp;AL$542)+COUNTIF($E$4:$E$538,AL$542&amp;" ضد "&amp;$A570))</f>
        <v>1</v>
      </c>
      <c r="AM570" s="4">
        <f>IF($A570=AM$542,"",COUNTIF($E$4:$E$538,$A570&amp;" ضد "&amp;AM$542)+COUNTIF($E$4:$E$538,AM$542&amp;" ضد "&amp;$A570))</f>
        <v>1</v>
      </c>
      <c r="AN570" s="4">
        <f>IF($A570=AN$542,"",COUNTIF($E$4:$E$538,$A570&amp;" ضد "&amp;AN$542)+COUNTIF($E$4:$E$538,AN$542&amp;" ضد "&amp;$A570))</f>
        <v>1</v>
      </c>
      <c r="AO570" s="4">
        <f>IF($A570=AO$542,"",COUNTIF($E$4:$E$538,$A570&amp;" ضد "&amp;AO$542)+COUNTIF($E$4:$E$538,AO$542&amp;" ضد "&amp;$A570))</f>
        <v>0</v>
      </c>
      <c r="AP570" s="4">
        <f>IF($A570=AP$542,"",COUNTIF($E$4:$E$538,$A570&amp;" ضد "&amp;AP$542)+COUNTIF($E$4:$E$538,AP$542&amp;" ضد "&amp;$A570))</f>
        <v>0</v>
      </c>
      <c r="AQ570" s="4">
        <f>IF($A570=AQ$542,"",COUNTIF($E$4:$E$538,$A570&amp;" ضد "&amp;AQ$542)+COUNTIF($E$4:$E$538,AQ$542&amp;" ضد "&amp;$A570))</f>
        <v>0</v>
      </c>
      <c r="AR570" s="4">
        <f>IF($A570=AR$542,"",COUNTIF($E$4:$E$538,$A570&amp;" ضد "&amp;AR$542)+COUNTIF($E$4:$E$538,AR$542&amp;" ضد "&amp;$A570))</f>
        <v>0</v>
      </c>
      <c r="AS570" s="4">
        <f>IF($A570=AS$542,"",COUNTIF($E$4:$E$538,$A570&amp;" ضد "&amp;AS$542)+COUNTIF($E$4:$E$538,AS$542&amp;" ضد "&amp;$A570))</f>
        <v>0</v>
      </c>
      <c r="AT570" s="4">
        <f>IF($A570=AT$542,"",COUNTIF($E$4:$E$538,$A570&amp;" ضد "&amp;AT$542)+COUNTIF($E$4:$E$538,AT$542&amp;" ضد "&amp;$A570))</f>
        <v>0</v>
      </c>
      <c r="AU570" s="4">
        <f>IF($A570=AU$542,"",COUNTIF($E$4:$E$538,$A570&amp;" ضد "&amp;AU$542)+COUNTIF($E$4:$E$538,AU$542&amp;" ضد "&amp;$A570))</f>
        <v>0</v>
      </c>
      <c r="AV570" s="4">
        <f>IF($A570=AV$542,"",COUNTIF($E$4:$E$538,$A570&amp;" ضد "&amp;AV$542)+COUNTIF($E$4:$E$538,AV$542&amp;" ضد "&amp;$A570))</f>
        <v>0</v>
      </c>
      <c r="AW570" s="4">
        <f>IF($A570=AW$542,"",COUNTIF($E$4:$E$538,$A570&amp;" ضد "&amp;AW$542)+COUNTIF($E$4:$E$538,AW$542&amp;" ضد "&amp;$A570))</f>
        <v>0</v>
      </c>
      <c r="AX570" s="4">
        <f>IF($A570=AX$542,"",COUNTIF($E$4:$E$538,$A570&amp;" ضد "&amp;AX$542)+COUNTIF($E$4:$E$538,AX$542&amp;" ضد "&amp;$A570))</f>
        <v>0</v>
      </c>
      <c r="AY570" s="4">
        <f>IF($A570=AY$542,"",COUNTIF($E$4:$E$538,$A570&amp;" ضد "&amp;AY$542)+COUNTIF($E$4:$E$538,AY$542&amp;" ضد "&amp;$A570))</f>
        <v>0</v>
      </c>
      <c r="AZ570" s="4">
        <f>IF($A570=AZ$542,"",COUNTIF($E$4:$E$538,$A570&amp;" ضد "&amp;AZ$542)+COUNTIF($E$4:$E$538,AZ$542&amp;" ضد "&amp;$A570))</f>
        <v>0</v>
      </c>
      <c r="BA570" s="4">
        <f>IF($A570=BA$542,"",COUNTIF($E$4:$E$538,$A570&amp;" ضد "&amp;BA$542)+COUNTIF($E$4:$E$538,BA$542&amp;" ضد "&amp;$A570))</f>
        <v>0</v>
      </c>
      <c r="BB570" s="4">
        <f>IF($A570=BB$542,"",COUNTIF($E$4:$E$538,$A570&amp;" ضد "&amp;BB$542)+COUNTIF($E$4:$E$538,BB$542&amp;" ضد "&amp;$A570))</f>
        <v>0</v>
      </c>
      <c r="BC570" s="4">
        <f>IF($A570=BC$542,"",COUNTIF($E$4:$E$538,$A570&amp;" ضد "&amp;BC$542)+COUNTIF($E$4:$E$538,BC$542&amp;" ضد "&amp;$A570))</f>
        <v>0</v>
      </c>
      <c r="BD570" s="4">
        <f>IF($A570=BD$542,"",COUNTIF($E$4:$E$538,$A570&amp;" ضد "&amp;BD$542)+COUNTIF($E$4:$E$538,BD$542&amp;" ضد "&amp;$A570))</f>
        <v>0</v>
      </c>
      <c r="BE570" s="4">
        <f>IF($A570=BE$542,"",COUNTIF($E$4:$E$538,$A570&amp;" ضد "&amp;BE$542)+COUNTIF($E$4:$E$538,BE$542&amp;" ضد "&amp;$A570))</f>
        <v>0</v>
      </c>
      <c r="BF570" s="4">
        <f>IF($A570=BF$542,"",COUNTIF($E$4:$E$538,$A570&amp;" ضد "&amp;BF$542)+COUNTIF($E$4:$E$538,BF$542&amp;" ضد "&amp;$A570))</f>
        <v>0</v>
      </c>
      <c r="BG570" s="4">
        <f>IF($A570=BG$542,"",COUNTIF($E$4:$E$538,$A570&amp;" ضد "&amp;BG$542)+COUNTIF($E$4:$E$538,BG$542&amp;" ضد "&amp;$A570))</f>
        <v>0</v>
      </c>
    </row>
    <row r="571" spans="1:59" ht="14.5">
      <c r="A571" s="14">
        <v>29</v>
      </c>
      <c r="B571" s="4">
        <f>IF($A571=B$542,"",COUNTIF($E$4:$E$538,$A571&amp;" ضد "&amp;B$542)+COUNTIF($E$4:$E$538,B$542&amp;" ضد "&amp;$A571))</f>
        <v>0</v>
      </c>
      <c r="C571" s="4">
        <f>IF($A571=C$542,"",COUNTIF($E$4:$E$538,$A571&amp;" ضد "&amp;C$542)+COUNTIF($E$4:$E$538,C$542&amp;" ضد "&amp;$A571))</f>
        <v>0</v>
      </c>
      <c r="D571" s="4">
        <f>IF($A571=D$542,"",COUNTIF($E$4:$E$538,$A571&amp;" ضد "&amp;D$542)+COUNTIF($E$4:$E$538,D$542&amp;" ضد "&amp;$A571))</f>
        <v>0</v>
      </c>
      <c r="E571" s="4">
        <f>IF($A571=E$542,"",COUNTIF($E$4:$E$538,$A571&amp;" ضد "&amp;E$542)+COUNTIF($E$4:$E$538,E$542&amp;" ضد "&amp;$A571))</f>
        <v>0</v>
      </c>
      <c r="F571" s="4">
        <f>IF($A571=F$542,"",COUNTIF($E$4:$E$538,$A571&amp;" ضد "&amp;F$542)+COUNTIF($E$4:$E$538,F$542&amp;" ضد "&amp;$A571))</f>
        <v>0</v>
      </c>
      <c r="G571" s="4">
        <f>IF($A571=G$542,"",COUNTIF($E$4:$E$538,$A571&amp;" ضد "&amp;G$542)+COUNTIF($E$4:$E$538,G$542&amp;" ضد "&amp;$A571))</f>
        <v>0</v>
      </c>
      <c r="H571" s="4">
        <f>IF($A571=H$542,"",COUNTIF($E$4:$E$538,$A571&amp;" ضد "&amp;H$542)+COUNTIF($E$4:$E$538,H$542&amp;" ضد "&amp;$A571))</f>
        <v>0</v>
      </c>
      <c r="I571" s="4">
        <f>IF($A571=I$542,"",COUNTIF($E$4:$E$538,$A571&amp;" ضد "&amp;I$542)+COUNTIF($E$4:$E$538,I$542&amp;" ضد "&amp;$A571))</f>
        <v>0</v>
      </c>
      <c r="J571" s="4">
        <f>IF($A571=J$542,"",COUNTIF($E$4:$E$538,$A571&amp;" ضد "&amp;J$542)+COUNTIF($E$4:$E$538,J$542&amp;" ضد "&amp;$A571))</f>
        <v>0</v>
      </c>
      <c r="K571" s="4">
        <f>IF($A571=K$542,"",COUNTIF($E$4:$E$538,$A571&amp;" ضد "&amp;K$542)+COUNTIF($E$4:$E$538,K$542&amp;" ضد "&amp;$A571))</f>
        <v>0</v>
      </c>
      <c r="L571" s="4">
        <f>IF($A571=L$542,"",COUNTIF($E$4:$E$538,$A571&amp;" ضد "&amp;L$542)+COUNTIF($E$4:$E$538,L$542&amp;" ضد "&amp;$A571))</f>
        <v>0</v>
      </c>
      <c r="M571" s="4">
        <f>IF($A571=M$542,"",COUNTIF($E$4:$E$538,$A571&amp;" ضد "&amp;M$542)+COUNTIF($E$4:$E$538,M$542&amp;" ضد "&amp;$A571))</f>
        <v>0</v>
      </c>
      <c r="N571" s="4">
        <f>IF($A571=N$542,"",COUNTIF($E$4:$E$538,$A571&amp;" ضد "&amp;N$542)+COUNTIF($E$4:$E$538,N$542&amp;" ضد "&amp;$A571))</f>
        <v>0</v>
      </c>
      <c r="O571" s="4">
        <f>IF($A571=O$542,"",COUNTIF($E$4:$E$538,$A571&amp;" ضد "&amp;O$542)+COUNTIF($E$4:$E$538,O$542&amp;" ضد "&amp;$A571))</f>
        <v>0</v>
      </c>
      <c r="P571" s="4">
        <f>IF($A571=P$542,"",COUNTIF($E$4:$E$538,$A571&amp;" ضد "&amp;P$542)+COUNTIF($E$4:$E$538,P$542&amp;" ضد "&amp;$A571))</f>
        <v>0</v>
      </c>
      <c r="Q571" s="4">
        <f>IF($A571=Q$542,"",COUNTIF($E$4:$E$538,$A571&amp;" ضد "&amp;Q$542)+COUNTIF($E$4:$E$538,Q$542&amp;" ضد "&amp;$A571))</f>
        <v>0</v>
      </c>
      <c r="R571" s="4">
        <f>IF($A571=R$542,"",COUNTIF($E$4:$E$538,$A571&amp;" ضد "&amp;R$542)+COUNTIF($E$4:$E$538,R$542&amp;" ضد "&amp;$A571))</f>
        <v>0</v>
      </c>
      <c r="S571" s="4">
        <f>IF($A571=S$542,"",COUNTIF($E$4:$E$538,$A571&amp;" ضد "&amp;S$542)+COUNTIF($E$4:$E$538,S$542&amp;" ضد "&amp;$A571))</f>
        <v>0</v>
      </c>
      <c r="T571" s="4">
        <f>IF($A571=T$542,"",COUNTIF($E$4:$E$538,$A571&amp;" ضد "&amp;T$542)+COUNTIF($E$4:$E$538,T$542&amp;" ضد "&amp;$A571))</f>
        <v>0</v>
      </c>
      <c r="U571" s="4">
        <f>IF($A571=U$542,"",COUNTIF($E$4:$E$538,$A571&amp;" ضد "&amp;U$542)+COUNTIF($E$4:$E$538,U$542&amp;" ضد "&amp;$A571))</f>
        <v>0</v>
      </c>
      <c r="V571" s="4">
        <f>IF($A571=V$542,"",COUNTIF($E$4:$E$538,$A571&amp;" ضد "&amp;V$542)+COUNTIF($E$4:$E$538,V$542&amp;" ضد "&amp;$A571))</f>
        <v>1</v>
      </c>
      <c r="W571" s="4">
        <f>IF($A571=W$542,"",COUNTIF($E$4:$E$538,$A571&amp;" ضد "&amp;W$542)+COUNTIF($E$4:$E$538,W$542&amp;" ضد "&amp;$A571))</f>
        <v>1</v>
      </c>
      <c r="X571" s="4">
        <f>IF($A571=X$542,"",COUNTIF($E$4:$E$538,$A571&amp;" ضد "&amp;X$542)+COUNTIF($E$4:$E$538,X$542&amp;" ضد "&amp;$A571))</f>
        <v>1</v>
      </c>
      <c r="Y571" s="4">
        <f>IF($A571=Y$542,"",COUNTIF($E$4:$E$538,$A571&amp;" ضد "&amp;Y$542)+COUNTIF($E$4:$E$538,Y$542&amp;" ضد "&amp;$A571))</f>
        <v>1</v>
      </c>
      <c r="Z571" s="4">
        <f>IF($A571=Z$542,"",COUNTIF($E$4:$E$538,$A571&amp;" ضد "&amp;Z$542)+COUNTIF($E$4:$E$538,Z$542&amp;" ضد "&amp;$A571))</f>
        <v>1</v>
      </c>
      <c r="AA571" s="4">
        <f>IF($A571=AA$542,"",COUNTIF($E$4:$E$538,$A571&amp;" ضد "&amp;AA$542)+COUNTIF($E$4:$E$538,AA$542&amp;" ضد "&amp;$A571))</f>
        <v>1</v>
      </c>
      <c r="AB571" s="4">
        <f>IF($A571=AB$542,"",COUNTIF($E$4:$E$538,$A571&amp;" ضد "&amp;AB$542)+COUNTIF($E$4:$E$538,AB$542&amp;" ضد "&amp;$A571))</f>
        <v>1</v>
      </c>
      <c r="AC571" s="4">
        <f>IF($A571=AC$542,"",COUNTIF($E$4:$E$538,$A571&amp;" ضد "&amp;AC$542)+COUNTIF($E$4:$E$538,AC$542&amp;" ضد "&amp;$A571))</f>
        <v>1</v>
      </c>
      <c r="AD571" s="4" t="str">
        <f>IF($A571=AD$542,"",COUNTIF($E$4:$E$538,$A571&amp;" ضد "&amp;AD$542)+COUNTIF($E$4:$E$538,AD$542&amp;" ضد "&amp;$A571))</f>
        <v/>
      </c>
      <c r="AE571" s="4">
        <f>IF($A571=AE$542,"",COUNTIF($E$4:$E$538,$A571&amp;" ضد "&amp;AE$542)+COUNTIF($E$4:$E$538,AE$542&amp;" ضد "&amp;$A571))</f>
        <v>1</v>
      </c>
      <c r="AF571" s="4">
        <f>IF($A571=AF$542,"",COUNTIF($E$4:$E$538,$A571&amp;" ضد "&amp;AF$542)+COUNTIF($E$4:$E$538,AF$542&amp;" ضد "&amp;$A571))</f>
        <v>1</v>
      </c>
      <c r="AG571" s="4">
        <f>IF($A571=AG$542,"",COUNTIF($E$4:$E$538,$A571&amp;" ضد "&amp;AG$542)+COUNTIF($E$4:$E$538,AG$542&amp;" ضد "&amp;$A571))</f>
        <v>1</v>
      </c>
      <c r="AH571" s="4">
        <f>IF($A571=AH$542,"",COUNTIF($E$4:$E$538,$A571&amp;" ضد "&amp;AH$542)+COUNTIF($E$4:$E$538,AH$542&amp;" ضد "&amp;$A571))</f>
        <v>1</v>
      </c>
      <c r="AI571" s="4">
        <f>IF($A571=AI$542,"",COUNTIF($E$4:$E$538,$A571&amp;" ضد "&amp;AI$542)+COUNTIF($E$4:$E$538,AI$542&amp;" ضد "&amp;$A571))</f>
        <v>1</v>
      </c>
      <c r="AJ571" s="4">
        <f>IF($A571=AJ$542,"",COUNTIF($E$4:$E$538,$A571&amp;" ضد "&amp;AJ$542)+COUNTIF($E$4:$E$538,AJ$542&amp;" ضد "&amp;$A571))</f>
        <v>1</v>
      </c>
      <c r="AK571" s="4">
        <f>IF($A571=AK$542,"",COUNTIF($E$4:$E$538,$A571&amp;" ضد "&amp;AK$542)+COUNTIF($E$4:$E$538,AK$542&amp;" ضد "&amp;$A571))</f>
        <v>1</v>
      </c>
      <c r="AL571" s="4">
        <f>IF($A571=AL$542,"",COUNTIF($E$4:$E$538,$A571&amp;" ضد "&amp;AL$542)+COUNTIF($E$4:$E$538,AL$542&amp;" ضد "&amp;$A571))</f>
        <v>1</v>
      </c>
      <c r="AM571" s="4">
        <f>IF($A571=AM$542,"",COUNTIF($E$4:$E$538,$A571&amp;" ضد "&amp;AM$542)+COUNTIF($E$4:$E$538,AM$542&amp;" ضد "&amp;$A571))</f>
        <v>1</v>
      </c>
      <c r="AN571" s="4">
        <f>IF($A571=AN$542,"",COUNTIF($E$4:$E$538,$A571&amp;" ضد "&amp;AN$542)+COUNTIF($E$4:$E$538,AN$542&amp;" ضد "&amp;$A571))</f>
        <v>1</v>
      </c>
      <c r="AO571" s="4">
        <f>IF($A571=AO$542,"",COUNTIF($E$4:$E$538,$A571&amp;" ضد "&amp;AO$542)+COUNTIF($E$4:$E$538,AO$542&amp;" ضد "&amp;$A571))</f>
        <v>0</v>
      </c>
      <c r="AP571" s="4">
        <f>IF($A571=AP$542,"",COUNTIF($E$4:$E$538,$A571&amp;" ضد "&amp;AP$542)+COUNTIF($E$4:$E$538,AP$542&amp;" ضد "&amp;$A571))</f>
        <v>0</v>
      </c>
      <c r="AQ571" s="4">
        <f>IF($A571=AQ$542,"",COUNTIF($E$4:$E$538,$A571&amp;" ضد "&amp;AQ$542)+COUNTIF($E$4:$E$538,AQ$542&amp;" ضد "&amp;$A571))</f>
        <v>0</v>
      </c>
      <c r="AR571" s="4">
        <f>IF($A571=AR$542,"",COUNTIF($E$4:$E$538,$A571&amp;" ضد "&amp;AR$542)+COUNTIF($E$4:$E$538,AR$542&amp;" ضد "&amp;$A571))</f>
        <v>0</v>
      </c>
      <c r="AS571" s="4">
        <f>IF($A571=AS$542,"",COUNTIF($E$4:$E$538,$A571&amp;" ضد "&amp;AS$542)+COUNTIF($E$4:$E$538,AS$542&amp;" ضد "&amp;$A571))</f>
        <v>0</v>
      </c>
      <c r="AT571" s="4">
        <f>IF($A571=AT$542,"",COUNTIF($E$4:$E$538,$A571&amp;" ضد "&amp;AT$542)+COUNTIF($E$4:$E$538,AT$542&amp;" ضد "&amp;$A571))</f>
        <v>0</v>
      </c>
      <c r="AU571" s="4">
        <f>IF($A571=AU$542,"",COUNTIF($E$4:$E$538,$A571&amp;" ضد "&amp;AU$542)+COUNTIF($E$4:$E$538,AU$542&amp;" ضد "&amp;$A571))</f>
        <v>0</v>
      </c>
      <c r="AV571" s="4">
        <f>IF($A571=AV$542,"",COUNTIF($E$4:$E$538,$A571&amp;" ضد "&amp;AV$542)+COUNTIF($E$4:$E$538,AV$542&amp;" ضد "&amp;$A571))</f>
        <v>0</v>
      </c>
      <c r="AW571" s="4">
        <f>IF($A571=AW$542,"",COUNTIF($E$4:$E$538,$A571&amp;" ضد "&amp;AW$542)+COUNTIF($E$4:$E$538,AW$542&amp;" ضد "&amp;$A571))</f>
        <v>0</v>
      </c>
      <c r="AX571" s="4">
        <f>IF($A571=AX$542,"",COUNTIF($E$4:$E$538,$A571&amp;" ضد "&amp;AX$542)+COUNTIF($E$4:$E$538,AX$542&amp;" ضد "&amp;$A571))</f>
        <v>0</v>
      </c>
      <c r="AY571" s="4">
        <f>IF($A571=AY$542,"",COUNTIF($E$4:$E$538,$A571&amp;" ضد "&amp;AY$542)+COUNTIF($E$4:$E$538,AY$542&amp;" ضد "&amp;$A571))</f>
        <v>0</v>
      </c>
      <c r="AZ571" s="4">
        <f>IF($A571=AZ$542,"",COUNTIF($E$4:$E$538,$A571&amp;" ضد "&amp;AZ$542)+COUNTIF($E$4:$E$538,AZ$542&amp;" ضد "&amp;$A571))</f>
        <v>0</v>
      </c>
      <c r="BA571" s="4">
        <f>IF($A571=BA$542,"",COUNTIF($E$4:$E$538,$A571&amp;" ضد "&amp;BA$542)+COUNTIF($E$4:$E$538,BA$542&amp;" ضد "&amp;$A571))</f>
        <v>0</v>
      </c>
      <c r="BB571" s="4">
        <f>IF($A571=BB$542,"",COUNTIF($E$4:$E$538,$A571&amp;" ضد "&amp;BB$542)+COUNTIF($E$4:$E$538,BB$542&amp;" ضد "&amp;$A571))</f>
        <v>0</v>
      </c>
      <c r="BC571" s="4">
        <f>IF($A571=BC$542,"",COUNTIF($E$4:$E$538,$A571&amp;" ضد "&amp;BC$542)+COUNTIF($E$4:$E$538,BC$542&amp;" ضد "&amp;$A571))</f>
        <v>0</v>
      </c>
      <c r="BD571" s="4">
        <f>IF($A571=BD$542,"",COUNTIF($E$4:$E$538,$A571&amp;" ضد "&amp;BD$542)+COUNTIF($E$4:$E$538,BD$542&amp;" ضد "&amp;$A571))</f>
        <v>0</v>
      </c>
      <c r="BE571" s="4">
        <f>IF($A571=BE$542,"",COUNTIF($E$4:$E$538,$A571&amp;" ضد "&amp;BE$542)+COUNTIF($E$4:$E$538,BE$542&amp;" ضد "&amp;$A571))</f>
        <v>0</v>
      </c>
      <c r="BF571" s="4">
        <f>IF($A571=BF$542,"",COUNTIF($E$4:$E$538,$A571&amp;" ضد "&amp;BF$542)+COUNTIF($E$4:$E$538,BF$542&amp;" ضد "&amp;$A571))</f>
        <v>0</v>
      </c>
      <c r="BG571" s="4">
        <f>IF($A571=BG$542,"",COUNTIF($E$4:$E$538,$A571&amp;" ضد "&amp;BG$542)+COUNTIF($E$4:$E$538,BG$542&amp;" ضد "&amp;$A571))</f>
        <v>0</v>
      </c>
    </row>
    <row r="572" spans="1:59" ht="14.5">
      <c r="A572" s="14">
        <v>30</v>
      </c>
      <c r="B572" s="4">
        <f>IF($A572=B$542,"",COUNTIF($E$4:$E$538,$A572&amp;" ضد "&amp;B$542)+COUNTIF($E$4:$E$538,B$542&amp;" ضد "&amp;$A572))</f>
        <v>0</v>
      </c>
      <c r="C572" s="4">
        <f>IF($A572=C$542,"",COUNTIF($E$4:$E$538,$A572&amp;" ضد "&amp;C$542)+COUNTIF($E$4:$E$538,C$542&amp;" ضد "&amp;$A572))</f>
        <v>0</v>
      </c>
      <c r="D572" s="4">
        <f>IF($A572=D$542,"",COUNTIF($E$4:$E$538,$A572&amp;" ضد "&amp;D$542)+COUNTIF($E$4:$E$538,D$542&amp;" ضد "&amp;$A572))</f>
        <v>0</v>
      </c>
      <c r="E572" s="4">
        <f>IF($A572=E$542,"",COUNTIF($E$4:$E$538,$A572&amp;" ضد "&amp;E$542)+COUNTIF($E$4:$E$538,E$542&amp;" ضد "&amp;$A572))</f>
        <v>0</v>
      </c>
      <c r="F572" s="4">
        <f>IF($A572=F$542,"",COUNTIF($E$4:$E$538,$A572&amp;" ضد "&amp;F$542)+COUNTIF($E$4:$E$538,F$542&amp;" ضد "&amp;$A572))</f>
        <v>0</v>
      </c>
      <c r="G572" s="4">
        <f>IF($A572=G$542,"",COUNTIF($E$4:$E$538,$A572&amp;" ضد "&amp;G$542)+COUNTIF($E$4:$E$538,G$542&amp;" ضد "&amp;$A572))</f>
        <v>0</v>
      </c>
      <c r="H572" s="4">
        <f>IF($A572=H$542,"",COUNTIF($E$4:$E$538,$A572&amp;" ضد "&amp;H$542)+COUNTIF($E$4:$E$538,H$542&amp;" ضد "&amp;$A572))</f>
        <v>0</v>
      </c>
      <c r="I572" s="4">
        <f>IF($A572=I$542,"",COUNTIF($E$4:$E$538,$A572&amp;" ضد "&amp;I$542)+COUNTIF($E$4:$E$538,I$542&amp;" ضد "&amp;$A572))</f>
        <v>0</v>
      </c>
      <c r="J572" s="4">
        <f>IF($A572=J$542,"",COUNTIF($E$4:$E$538,$A572&amp;" ضد "&amp;J$542)+COUNTIF($E$4:$E$538,J$542&amp;" ضد "&amp;$A572))</f>
        <v>0</v>
      </c>
      <c r="K572" s="4">
        <f>IF($A572=K$542,"",COUNTIF($E$4:$E$538,$A572&amp;" ضد "&amp;K$542)+COUNTIF($E$4:$E$538,K$542&amp;" ضد "&amp;$A572))</f>
        <v>0</v>
      </c>
      <c r="L572" s="4">
        <f>IF($A572=L$542,"",COUNTIF($E$4:$E$538,$A572&amp;" ضد "&amp;L$542)+COUNTIF($E$4:$E$538,L$542&amp;" ضد "&amp;$A572))</f>
        <v>0</v>
      </c>
      <c r="M572" s="4">
        <f>IF($A572=M$542,"",COUNTIF($E$4:$E$538,$A572&amp;" ضد "&amp;M$542)+COUNTIF($E$4:$E$538,M$542&amp;" ضد "&amp;$A572))</f>
        <v>0</v>
      </c>
      <c r="N572" s="4">
        <f>IF($A572=N$542,"",COUNTIF($E$4:$E$538,$A572&amp;" ضد "&amp;N$542)+COUNTIF($E$4:$E$538,N$542&amp;" ضد "&amp;$A572))</f>
        <v>0</v>
      </c>
      <c r="O572" s="4">
        <f>IF($A572=O$542,"",COUNTIF($E$4:$E$538,$A572&amp;" ضد "&amp;O$542)+COUNTIF($E$4:$E$538,O$542&amp;" ضد "&amp;$A572))</f>
        <v>0</v>
      </c>
      <c r="P572" s="4">
        <f>IF($A572=P$542,"",COUNTIF($E$4:$E$538,$A572&amp;" ضد "&amp;P$542)+COUNTIF($E$4:$E$538,P$542&amp;" ضد "&amp;$A572))</f>
        <v>0</v>
      </c>
      <c r="Q572" s="4">
        <f>IF($A572=Q$542,"",COUNTIF($E$4:$E$538,$A572&amp;" ضد "&amp;Q$542)+COUNTIF($E$4:$E$538,Q$542&amp;" ضد "&amp;$A572))</f>
        <v>0</v>
      </c>
      <c r="R572" s="4">
        <f>IF($A572=R$542,"",COUNTIF($E$4:$E$538,$A572&amp;" ضد "&amp;R$542)+COUNTIF($E$4:$E$538,R$542&amp;" ضد "&amp;$A572))</f>
        <v>0</v>
      </c>
      <c r="S572" s="4">
        <f>IF($A572=S$542,"",COUNTIF($E$4:$E$538,$A572&amp;" ضد "&amp;S$542)+COUNTIF($E$4:$E$538,S$542&amp;" ضد "&amp;$A572))</f>
        <v>0</v>
      </c>
      <c r="T572" s="4">
        <f>IF($A572=T$542,"",COUNTIF($E$4:$E$538,$A572&amp;" ضد "&amp;T$542)+COUNTIF($E$4:$E$538,T$542&amp;" ضد "&amp;$A572))</f>
        <v>0</v>
      </c>
      <c r="U572" s="4">
        <f>IF($A572=U$542,"",COUNTIF($E$4:$E$538,$A572&amp;" ضد "&amp;U$542)+COUNTIF($E$4:$E$538,U$542&amp;" ضد "&amp;$A572))</f>
        <v>0</v>
      </c>
      <c r="V572" s="4">
        <f>IF($A572=V$542,"",COUNTIF($E$4:$E$538,$A572&amp;" ضد "&amp;V$542)+COUNTIF($E$4:$E$538,V$542&amp;" ضد "&amp;$A572))</f>
        <v>1</v>
      </c>
      <c r="W572" s="4">
        <f>IF($A572=W$542,"",COUNTIF($E$4:$E$538,$A572&amp;" ضد "&amp;W$542)+COUNTIF($E$4:$E$538,W$542&amp;" ضد "&amp;$A572))</f>
        <v>1</v>
      </c>
      <c r="X572" s="4">
        <f>IF($A572=X$542,"",COUNTIF($E$4:$E$538,$A572&amp;" ضد "&amp;X$542)+COUNTIF($E$4:$E$538,X$542&amp;" ضد "&amp;$A572))</f>
        <v>1</v>
      </c>
      <c r="Y572" s="4">
        <f>IF($A572=Y$542,"",COUNTIF($E$4:$E$538,$A572&amp;" ضد "&amp;Y$542)+COUNTIF($E$4:$E$538,Y$542&amp;" ضد "&amp;$A572))</f>
        <v>1</v>
      </c>
      <c r="Z572" s="4">
        <f>IF($A572=Z$542,"",COUNTIF($E$4:$E$538,$A572&amp;" ضد "&amp;Z$542)+COUNTIF($E$4:$E$538,Z$542&amp;" ضد "&amp;$A572))</f>
        <v>1</v>
      </c>
      <c r="AA572" s="4">
        <f>IF($A572=AA$542,"",COUNTIF($E$4:$E$538,$A572&amp;" ضد "&amp;AA$542)+COUNTIF($E$4:$E$538,AA$542&amp;" ضد "&amp;$A572))</f>
        <v>1</v>
      </c>
      <c r="AB572" s="4">
        <f>IF($A572=AB$542,"",COUNTIF($E$4:$E$538,$A572&amp;" ضد "&amp;AB$542)+COUNTIF($E$4:$E$538,AB$542&amp;" ضد "&amp;$A572))</f>
        <v>1</v>
      </c>
      <c r="AC572" s="4">
        <f>IF($A572=AC$542,"",COUNTIF($E$4:$E$538,$A572&amp;" ضد "&amp;AC$542)+COUNTIF($E$4:$E$538,AC$542&amp;" ضد "&amp;$A572))</f>
        <v>1</v>
      </c>
      <c r="AD572" s="4">
        <f>IF($A572=AD$542,"",COUNTIF($E$4:$E$538,$A572&amp;" ضد "&amp;AD$542)+COUNTIF($E$4:$E$538,AD$542&amp;" ضد "&amp;$A572))</f>
        <v>1</v>
      </c>
      <c r="AE572" s="4" t="str">
        <f>IF($A572=AE$542,"",COUNTIF($E$4:$E$538,$A572&amp;" ضد "&amp;AE$542)+COUNTIF($E$4:$E$538,AE$542&amp;" ضد "&amp;$A572))</f>
        <v/>
      </c>
      <c r="AF572" s="4">
        <f>IF($A572=AF$542,"",COUNTIF($E$4:$E$538,$A572&amp;" ضد "&amp;AF$542)+COUNTIF($E$4:$E$538,AF$542&amp;" ضد "&amp;$A572))</f>
        <v>1</v>
      </c>
      <c r="AG572" s="4">
        <f>IF($A572=AG$542,"",COUNTIF($E$4:$E$538,$A572&amp;" ضد "&amp;AG$542)+COUNTIF($E$4:$E$538,AG$542&amp;" ضد "&amp;$A572))</f>
        <v>1</v>
      </c>
      <c r="AH572" s="4">
        <f>IF($A572=AH$542,"",COUNTIF($E$4:$E$538,$A572&amp;" ضد "&amp;AH$542)+COUNTIF($E$4:$E$538,AH$542&amp;" ضد "&amp;$A572))</f>
        <v>1</v>
      </c>
      <c r="AI572" s="4">
        <f>IF($A572=AI$542,"",COUNTIF($E$4:$E$538,$A572&amp;" ضد "&amp;AI$542)+COUNTIF($E$4:$E$538,AI$542&amp;" ضد "&amp;$A572))</f>
        <v>1</v>
      </c>
      <c r="AJ572" s="4">
        <f>IF($A572=AJ$542,"",COUNTIF($E$4:$E$538,$A572&amp;" ضد "&amp;AJ$542)+COUNTIF($E$4:$E$538,AJ$542&amp;" ضد "&amp;$A572))</f>
        <v>1</v>
      </c>
      <c r="AK572" s="4">
        <f>IF($A572=AK$542,"",COUNTIF($E$4:$E$538,$A572&amp;" ضد "&amp;AK$542)+COUNTIF($E$4:$E$538,AK$542&amp;" ضد "&amp;$A572))</f>
        <v>1</v>
      </c>
      <c r="AL572" s="4">
        <f>IF($A572=AL$542,"",COUNTIF($E$4:$E$538,$A572&amp;" ضد "&amp;AL$542)+COUNTIF($E$4:$E$538,AL$542&amp;" ضد "&amp;$A572))</f>
        <v>1</v>
      </c>
      <c r="AM572" s="4">
        <f>IF($A572=AM$542,"",COUNTIF($E$4:$E$538,$A572&amp;" ضد "&amp;AM$542)+COUNTIF($E$4:$E$538,AM$542&amp;" ضد "&amp;$A572))</f>
        <v>1</v>
      </c>
      <c r="AN572" s="4">
        <f>IF($A572=AN$542,"",COUNTIF($E$4:$E$538,$A572&amp;" ضد "&amp;AN$542)+COUNTIF($E$4:$E$538,AN$542&amp;" ضد "&amp;$A572))</f>
        <v>1</v>
      </c>
      <c r="AO572" s="4">
        <f>IF($A572=AO$542,"",COUNTIF($E$4:$E$538,$A572&amp;" ضد "&amp;AO$542)+COUNTIF($E$4:$E$538,AO$542&amp;" ضد "&amp;$A572))</f>
        <v>0</v>
      </c>
      <c r="AP572" s="4">
        <f>IF($A572=AP$542,"",COUNTIF($E$4:$E$538,$A572&amp;" ضد "&amp;AP$542)+COUNTIF($E$4:$E$538,AP$542&amp;" ضد "&amp;$A572))</f>
        <v>0</v>
      </c>
      <c r="AQ572" s="4">
        <f>IF($A572=AQ$542,"",COUNTIF($E$4:$E$538,$A572&amp;" ضد "&amp;AQ$542)+COUNTIF($E$4:$E$538,AQ$542&amp;" ضد "&amp;$A572))</f>
        <v>0</v>
      </c>
      <c r="AR572" s="4">
        <f>IF($A572=AR$542,"",COUNTIF($E$4:$E$538,$A572&amp;" ضد "&amp;AR$542)+COUNTIF($E$4:$E$538,AR$542&amp;" ضد "&amp;$A572))</f>
        <v>0</v>
      </c>
      <c r="AS572" s="4">
        <f>IF($A572=AS$542,"",COUNTIF($E$4:$E$538,$A572&amp;" ضد "&amp;AS$542)+COUNTIF($E$4:$E$538,AS$542&amp;" ضد "&amp;$A572))</f>
        <v>0</v>
      </c>
      <c r="AT572" s="4">
        <f>IF($A572=AT$542,"",COUNTIF($E$4:$E$538,$A572&amp;" ضد "&amp;AT$542)+COUNTIF($E$4:$E$538,AT$542&amp;" ضد "&amp;$A572))</f>
        <v>0</v>
      </c>
      <c r="AU572" s="4">
        <f>IF($A572=AU$542,"",COUNTIF($E$4:$E$538,$A572&amp;" ضد "&amp;AU$542)+COUNTIF($E$4:$E$538,AU$542&amp;" ضد "&amp;$A572))</f>
        <v>0</v>
      </c>
      <c r="AV572" s="4">
        <f>IF($A572=AV$542,"",COUNTIF($E$4:$E$538,$A572&amp;" ضد "&amp;AV$542)+COUNTIF($E$4:$E$538,AV$542&amp;" ضد "&amp;$A572))</f>
        <v>0</v>
      </c>
      <c r="AW572" s="4">
        <f>IF($A572=AW$542,"",COUNTIF($E$4:$E$538,$A572&amp;" ضد "&amp;AW$542)+COUNTIF($E$4:$E$538,AW$542&amp;" ضد "&amp;$A572))</f>
        <v>0</v>
      </c>
      <c r="AX572" s="4">
        <f>IF($A572=AX$542,"",COUNTIF($E$4:$E$538,$A572&amp;" ضد "&amp;AX$542)+COUNTIF($E$4:$E$538,AX$542&amp;" ضد "&amp;$A572))</f>
        <v>0</v>
      </c>
      <c r="AY572" s="4">
        <f>IF($A572=AY$542,"",COUNTIF($E$4:$E$538,$A572&amp;" ضد "&amp;AY$542)+COUNTIF($E$4:$E$538,AY$542&amp;" ضد "&amp;$A572))</f>
        <v>0</v>
      </c>
      <c r="AZ572" s="4">
        <f>IF($A572=AZ$542,"",COUNTIF($E$4:$E$538,$A572&amp;" ضد "&amp;AZ$542)+COUNTIF($E$4:$E$538,AZ$542&amp;" ضد "&amp;$A572))</f>
        <v>0</v>
      </c>
      <c r="BA572" s="4">
        <f>IF($A572=BA$542,"",COUNTIF($E$4:$E$538,$A572&amp;" ضد "&amp;BA$542)+COUNTIF($E$4:$E$538,BA$542&amp;" ضد "&amp;$A572))</f>
        <v>0</v>
      </c>
      <c r="BB572" s="4">
        <f>IF($A572=BB$542,"",COUNTIF($E$4:$E$538,$A572&amp;" ضد "&amp;BB$542)+COUNTIF($E$4:$E$538,BB$542&amp;" ضد "&amp;$A572))</f>
        <v>0</v>
      </c>
      <c r="BC572" s="4">
        <f>IF($A572=BC$542,"",COUNTIF($E$4:$E$538,$A572&amp;" ضد "&amp;BC$542)+COUNTIF($E$4:$E$538,BC$542&amp;" ضد "&amp;$A572))</f>
        <v>0</v>
      </c>
      <c r="BD572" s="4">
        <f>IF($A572=BD$542,"",COUNTIF($E$4:$E$538,$A572&amp;" ضد "&amp;BD$542)+COUNTIF($E$4:$E$538,BD$542&amp;" ضد "&amp;$A572))</f>
        <v>0</v>
      </c>
      <c r="BE572" s="4">
        <f>IF($A572=BE$542,"",COUNTIF($E$4:$E$538,$A572&amp;" ضد "&amp;BE$542)+COUNTIF($E$4:$E$538,BE$542&amp;" ضد "&amp;$A572))</f>
        <v>0</v>
      </c>
      <c r="BF572" s="4">
        <f>IF($A572=BF$542,"",COUNTIF($E$4:$E$538,$A572&amp;" ضد "&amp;BF$542)+COUNTIF($E$4:$E$538,BF$542&amp;" ضد "&amp;$A572))</f>
        <v>0</v>
      </c>
      <c r="BG572" s="4">
        <f>IF($A572=BG$542,"",COUNTIF($E$4:$E$538,$A572&amp;" ضد "&amp;BG$542)+COUNTIF($E$4:$E$538,BG$542&amp;" ضد "&amp;$A572))</f>
        <v>0</v>
      </c>
    </row>
    <row r="573" spans="1:59" ht="14.5">
      <c r="A573" s="14">
        <v>31</v>
      </c>
      <c r="B573" s="4">
        <f>IF($A573=B$542,"",COUNTIF($E$4:$E$538,$A573&amp;" ضد "&amp;B$542)+COUNTIF($E$4:$E$538,B$542&amp;" ضد "&amp;$A573))</f>
        <v>0</v>
      </c>
      <c r="C573" s="4">
        <f>IF($A573=C$542,"",COUNTIF($E$4:$E$538,$A573&amp;" ضد "&amp;C$542)+COUNTIF($E$4:$E$538,C$542&amp;" ضد "&amp;$A573))</f>
        <v>0</v>
      </c>
      <c r="D573" s="4">
        <f>IF($A573=D$542,"",COUNTIF($E$4:$E$538,$A573&amp;" ضد "&amp;D$542)+COUNTIF($E$4:$E$538,D$542&amp;" ضد "&amp;$A573))</f>
        <v>0</v>
      </c>
      <c r="E573" s="4">
        <f>IF($A573=E$542,"",COUNTIF($E$4:$E$538,$A573&amp;" ضد "&amp;E$542)+COUNTIF($E$4:$E$538,E$542&amp;" ضد "&amp;$A573))</f>
        <v>0</v>
      </c>
      <c r="F573" s="4">
        <f>IF($A573=F$542,"",COUNTIF($E$4:$E$538,$A573&amp;" ضد "&amp;F$542)+COUNTIF($E$4:$E$538,F$542&amp;" ضد "&amp;$A573))</f>
        <v>0</v>
      </c>
      <c r="G573" s="4">
        <f>IF($A573=G$542,"",COUNTIF($E$4:$E$538,$A573&amp;" ضد "&amp;G$542)+COUNTIF($E$4:$E$538,G$542&amp;" ضد "&amp;$A573))</f>
        <v>0</v>
      </c>
      <c r="H573" s="4">
        <f>IF($A573=H$542,"",COUNTIF($E$4:$E$538,$A573&amp;" ضد "&amp;H$542)+COUNTIF($E$4:$E$538,H$542&amp;" ضد "&amp;$A573))</f>
        <v>0</v>
      </c>
      <c r="I573" s="4">
        <f>IF($A573=I$542,"",COUNTIF($E$4:$E$538,$A573&amp;" ضد "&amp;I$542)+COUNTIF($E$4:$E$538,I$542&amp;" ضد "&amp;$A573))</f>
        <v>0</v>
      </c>
      <c r="J573" s="4">
        <f>IF($A573=J$542,"",COUNTIF($E$4:$E$538,$A573&amp;" ضد "&amp;J$542)+COUNTIF($E$4:$E$538,J$542&amp;" ضد "&amp;$A573))</f>
        <v>0</v>
      </c>
      <c r="K573" s="4">
        <f>IF($A573=K$542,"",COUNTIF($E$4:$E$538,$A573&amp;" ضد "&amp;K$542)+COUNTIF($E$4:$E$538,K$542&amp;" ضد "&amp;$A573))</f>
        <v>0</v>
      </c>
      <c r="L573" s="4">
        <f>IF($A573=L$542,"",COUNTIF($E$4:$E$538,$A573&amp;" ضد "&amp;L$542)+COUNTIF($E$4:$E$538,L$542&amp;" ضد "&amp;$A573))</f>
        <v>0</v>
      </c>
      <c r="M573" s="4">
        <f>IF($A573=M$542,"",COUNTIF($E$4:$E$538,$A573&amp;" ضد "&amp;M$542)+COUNTIF($E$4:$E$538,M$542&amp;" ضد "&amp;$A573))</f>
        <v>0</v>
      </c>
      <c r="N573" s="4">
        <f>IF($A573=N$542,"",COUNTIF($E$4:$E$538,$A573&amp;" ضد "&amp;N$542)+COUNTIF($E$4:$E$538,N$542&amp;" ضد "&amp;$A573))</f>
        <v>0</v>
      </c>
      <c r="O573" s="4">
        <f>IF($A573=O$542,"",COUNTIF($E$4:$E$538,$A573&amp;" ضد "&amp;O$542)+COUNTIF($E$4:$E$538,O$542&amp;" ضد "&amp;$A573))</f>
        <v>0</v>
      </c>
      <c r="P573" s="4">
        <f>IF($A573=P$542,"",COUNTIF($E$4:$E$538,$A573&amp;" ضد "&amp;P$542)+COUNTIF($E$4:$E$538,P$542&amp;" ضد "&amp;$A573))</f>
        <v>0</v>
      </c>
      <c r="Q573" s="4">
        <f>IF($A573=Q$542,"",COUNTIF($E$4:$E$538,$A573&amp;" ضد "&amp;Q$542)+COUNTIF($E$4:$E$538,Q$542&amp;" ضد "&amp;$A573))</f>
        <v>0</v>
      </c>
      <c r="R573" s="4">
        <f>IF($A573=R$542,"",COUNTIF($E$4:$E$538,$A573&amp;" ضد "&amp;R$542)+COUNTIF($E$4:$E$538,R$542&amp;" ضد "&amp;$A573))</f>
        <v>0</v>
      </c>
      <c r="S573" s="4">
        <f>IF($A573=S$542,"",COUNTIF($E$4:$E$538,$A573&amp;" ضد "&amp;S$542)+COUNTIF($E$4:$E$538,S$542&amp;" ضد "&amp;$A573))</f>
        <v>0</v>
      </c>
      <c r="T573" s="4">
        <f>IF($A573=T$542,"",COUNTIF($E$4:$E$538,$A573&amp;" ضد "&amp;T$542)+COUNTIF($E$4:$E$538,T$542&amp;" ضد "&amp;$A573))</f>
        <v>0</v>
      </c>
      <c r="U573" s="4">
        <f>IF($A573=U$542,"",COUNTIF($E$4:$E$538,$A573&amp;" ضد "&amp;U$542)+COUNTIF($E$4:$E$538,U$542&amp;" ضد "&amp;$A573))</f>
        <v>0</v>
      </c>
      <c r="V573" s="4">
        <f>IF($A573=V$542,"",COUNTIF($E$4:$E$538,$A573&amp;" ضد "&amp;V$542)+COUNTIF($E$4:$E$538,V$542&amp;" ضد "&amp;$A573))</f>
        <v>1</v>
      </c>
      <c r="W573" s="4">
        <f>IF($A573=W$542,"",COUNTIF($E$4:$E$538,$A573&amp;" ضد "&amp;W$542)+COUNTIF($E$4:$E$538,W$542&amp;" ضد "&amp;$A573))</f>
        <v>1</v>
      </c>
      <c r="X573" s="4">
        <f>IF($A573=X$542,"",COUNTIF($E$4:$E$538,$A573&amp;" ضد "&amp;X$542)+COUNTIF($E$4:$E$538,X$542&amp;" ضد "&amp;$A573))</f>
        <v>1</v>
      </c>
      <c r="Y573" s="4">
        <f>IF($A573=Y$542,"",COUNTIF($E$4:$E$538,$A573&amp;" ضد "&amp;Y$542)+COUNTIF($E$4:$E$538,Y$542&amp;" ضد "&amp;$A573))</f>
        <v>1</v>
      </c>
      <c r="Z573" s="4">
        <f>IF($A573=Z$542,"",COUNTIF($E$4:$E$538,$A573&amp;" ضد "&amp;Z$542)+COUNTIF($E$4:$E$538,Z$542&amp;" ضد "&amp;$A573))</f>
        <v>1</v>
      </c>
      <c r="AA573" s="4">
        <f>IF($A573=AA$542,"",COUNTIF($E$4:$E$538,$A573&amp;" ضد "&amp;AA$542)+COUNTIF($E$4:$E$538,AA$542&amp;" ضد "&amp;$A573))</f>
        <v>1</v>
      </c>
      <c r="AB573" s="4">
        <f>IF($A573=AB$542,"",COUNTIF($E$4:$E$538,$A573&amp;" ضد "&amp;AB$542)+COUNTIF($E$4:$E$538,AB$542&amp;" ضد "&amp;$A573))</f>
        <v>1</v>
      </c>
      <c r="AC573" s="4">
        <f>IF($A573=AC$542,"",COUNTIF($E$4:$E$538,$A573&amp;" ضد "&amp;AC$542)+COUNTIF($E$4:$E$538,AC$542&amp;" ضد "&amp;$A573))</f>
        <v>1</v>
      </c>
      <c r="AD573" s="4">
        <f>IF($A573=AD$542,"",COUNTIF($E$4:$E$538,$A573&amp;" ضد "&amp;AD$542)+COUNTIF($E$4:$E$538,AD$542&amp;" ضد "&amp;$A573))</f>
        <v>1</v>
      </c>
      <c r="AE573" s="4">
        <f>IF($A573=AE$542,"",COUNTIF($E$4:$E$538,$A573&amp;" ضد "&amp;AE$542)+COUNTIF($E$4:$E$538,AE$542&amp;" ضد "&amp;$A573))</f>
        <v>1</v>
      </c>
      <c r="AF573" s="4" t="str">
        <f>IF($A573=AF$542,"",COUNTIF($E$4:$E$538,$A573&amp;" ضد "&amp;AF$542)+COUNTIF($E$4:$E$538,AF$542&amp;" ضد "&amp;$A573))</f>
        <v/>
      </c>
      <c r="AG573" s="4">
        <f>IF($A573=AG$542,"",COUNTIF($E$4:$E$538,$A573&amp;" ضد "&amp;AG$542)+COUNTIF($E$4:$E$538,AG$542&amp;" ضد "&amp;$A573))</f>
        <v>1</v>
      </c>
      <c r="AH573" s="4">
        <f>IF($A573=AH$542,"",COUNTIF($E$4:$E$538,$A573&amp;" ضد "&amp;AH$542)+COUNTIF($E$4:$E$538,AH$542&amp;" ضد "&amp;$A573))</f>
        <v>1</v>
      </c>
      <c r="AI573" s="4">
        <f>IF($A573=AI$542,"",COUNTIF($E$4:$E$538,$A573&amp;" ضد "&amp;AI$542)+COUNTIF($E$4:$E$538,AI$542&amp;" ضد "&amp;$A573))</f>
        <v>1</v>
      </c>
      <c r="AJ573" s="4">
        <f>IF($A573=AJ$542,"",COUNTIF($E$4:$E$538,$A573&amp;" ضد "&amp;AJ$542)+COUNTIF($E$4:$E$538,AJ$542&amp;" ضد "&amp;$A573))</f>
        <v>1</v>
      </c>
      <c r="AK573" s="4">
        <f>IF($A573=AK$542,"",COUNTIF($E$4:$E$538,$A573&amp;" ضد "&amp;AK$542)+COUNTIF($E$4:$E$538,AK$542&amp;" ضد "&amp;$A573))</f>
        <v>1</v>
      </c>
      <c r="AL573" s="4">
        <f>IF($A573=AL$542,"",COUNTIF($E$4:$E$538,$A573&amp;" ضد "&amp;AL$542)+COUNTIF($E$4:$E$538,AL$542&amp;" ضد "&amp;$A573))</f>
        <v>1</v>
      </c>
      <c r="AM573" s="4">
        <f>IF($A573=AM$542,"",COUNTIF($E$4:$E$538,$A573&amp;" ضد "&amp;AM$542)+COUNTIF($E$4:$E$538,AM$542&amp;" ضد "&amp;$A573))</f>
        <v>1</v>
      </c>
      <c r="AN573" s="4">
        <f>IF($A573=AN$542,"",COUNTIF($E$4:$E$538,$A573&amp;" ضد "&amp;AN$542)+COUNTIF($E$4:$E$538,AN$542&amp;" ضد "&amp;$A573))</f>
        <v>1</v>
      </c>
      <c r="AO573" s="4">
        <f>IF($A573=AO$542,"",COUNTIF($E$4:$E$538,$A573&amp;" ضد "&amp;AO$542)+COUNTIF($E$4:$E$538,AO$542&amp;" ضد "&amp;$A573))</f>
        <v>0</v>
      </c>
      <c r="AP573" s="4">
        <f>IF($A573=AP$542,"",COUNTIF($E$4:$E$538,$A573&amp;" ضد "&amp;AP$542)+COUNTIF($E$4:$E$538,AP$542&amp;" ضد "&amp;$A573))</f>
        <v>0</v>
      </c>
      <c r="AQ573" s="4">
        <f>IF($A573=AQ$542,"",COUNTIF($E$4:$E$538,$A573&amp;" ضد "&amp;AQ$542)+COUNTIF($E$4:$E$538,AQ$542&amp;" ضد "&amp;$A573))</f>
        <v>0</v>
      </c>
      <c r="AR573" s="4">
        <f>IF($A573=AR$542,"",COUNTIF($E$4:$E$538,$A573&amp;" ضد "&amp;AR$542)+COUNTIF($E$4:$E$538,AR$542&amp;" ضد "&amp;$A573))</f>
        <v>0</v>
      </c>
      <c r="AS573" s="4">
        <f>IF($A573=AS$542,"",COUNTIF($E$4:$E$538,$A573&amp;" ضد "&amp;AS$542)+COUNTIF($E$4:$E$538,AS$542&amp;" ضد "&amp;$A573))</f>
        <v>0</v>
      </c>
      <c r="AT573" s="4">
        <f>IF($A573=AT$542,"",COUNTIF($E$4:$E$538,$A573&amp;" ضد "&amp;AT$542)+COUNTIF($E$4:$E$538,AT$542&amp;" ضد "&amp;$A573))</f>
        <v>0</v>
      </c>
      <c r="AU573" s="4">
        <f>IF($A573=AU$542,"",COUNTIF($E$4:$E$538,$A573&amp;" ضد "&amp;AU$542)+COUNTIF($E$4:$E$538,AU$542&amp;" ضد "&amp;$A573))</f>
        <v>0</v>
      </c>
      <c r="AV573" s="4">
        <f>IF($A573=AV$542,"",COUNTIF($E$4:$E$538,$A573&amp;" ضد "&amp;AV$542)+COUNTIF($E$4:$E$538,AV$542&amp;" ضد "&amp;$A573))</f>
        <v>0</v>
      </c>
      <c r="AW573" s="4">
        <f>IF($A573=AW$542,"",COUNTIF($E$4:$E$538,$A573&amp;" ضد "&amp;AW$542)+COUNTIF($E$4:$E$538,AW$542&amp;" ضد "&amp;$A573))</f>
        <v>0</v>
      </c>
      <c r="AX573" s="4">
        <f>IF($A573=AX$542,"",COUNTIF($E$4:$E$538,$A573&amp;" ضد "&amp;AX$542)+COUNTIF($E$4:$E$538,AX$542&amp;" ضد "&amp;$A573))</f>
        <v>0</v>
      </c>
      <c r="AY573" s="4">
        <f>IF($A573=AY$542,"",COUNTIF($E$4:$E$538,$A573&amp;" ضد "&amp;AY$542)+COUNTIF($E$4:$E$538,AY$542&amp;" ضد "&amp;$A573))</f>
        <v>0</v>
      </c>
      <c r="AZ573" s="4">
        <f>IF($A573=AZ$542,"",COUNTIF($E$4:$E$538,$A573&amp;" ضد "&amp;AZ$542)+COUNTIF($E$4:$E$538,AZ$542&amp;" ضد "&amp;$A573))</f>
        <v>0</v>
      </c>
      <c r="BA573" s="4">
        <f>IF($A573=BA$542,"",COUNTIF($E$4:$E$538,$A573&amp;" ضد "&amp;BA$542)+COUNTIF($E$4:$E$538,BA$542&amp;" ضد "&amp;$A573))</f>
        <v>0</v>
      </c>
      <c r="BB573" s="4">
        <f>IF($A573=BB$542,"",COUNTIF($E$4:$E$538,$A573&amp;" ضد "&amp;BB$542)+COUNTIF($E$4:$E$538,BB$542&amp;" ضد "&amp;$A573))</f>
        <v>0</v>
      </c>
      <c r="BC573" s="4">
        <f>IF($A573=BC$542,"",COUNTIF($E$4:$E$538,$A573&amp;" ضد "&amp;BC$542)+COUNTIF($E$4:$E$538,BC$542&amp;" ضد "&amp;$A573))</f>
        <v>0</v>
      </c>
      <c r="BD573" s="4">
        <f>IF($A573=BD$542,"",COUNTIF($E$4:$E$538,$A573&amp;" ضد "&amp;BD$542)+COUNTIF($E$4:$E$538,BD$542&amp;" ضد "&amp;$A573))</f>
        <v>0</v>
      </c>
      <c r="BE573" s="4">
        <f>IF($A573=BE$542,"",COUNTIF($E$4:$E$538,$A573&amp;" ضد "&amp;BE$542)+COUNTIF($E$4:$E$538,BE$542&amp;" ضد "&amp;$A573))</f>
        <v>0</v>
      </c>
      <c r="BF573" s="4">
        <f>IF($A573=BF$542,"",COUNTIF($E$4:$E$538,$A573&amp;" ضد "&amp;BF$542)+COUNTIF($E$4:$E$538,BF$542&amp;" ضد "&amp;$A573))</f>
        <v>0</v>
      </c>
      <c r="BG573" s="4">
        <f>IF($A573=BG$542,"",COUNTIF($E$4:$E$538,$A573&amp;" ضد "&amp;BG$542)+COUNTIF($E$4:$E$538,BG$542&amp;" ضد "&amp;$A573))</f>
        <v>0</v>
      </c>
    </row>
    <row r="574" spans="1:59" ht="14.5">
      <c r="A574" s="14">
        <v>32</v>
      </c>
      <c r="B574" s="4">
        <f>IF($A574=B$542,"",COUNTIF($E$4:$E$538,$A574&amp;" ضد "&amp;B$542)+COUNTIF($E$4:$E$538,B$542&amp;" ضد "&amp;$A574))</f>
        <v>0</v>
      </c>
      <c r="C574" s="4">
        <f>IF($A574=C$542,"",COUNTIF($E$4:$E$538,$A574&amp;" ضد "&amp;C$542)+COUNTIF($E$4:$E$538,C$542&amp;" ضد "&amp;$A574))</f>
        <v>0</v>
      </c>
      <c r="D574" s="4">
        <f>IF($A574=D$542,"",COUNTIF($E$4:$E$538,$A574&amp;" ضد "&amp;D$542)+COUNTIF($E$4:$E$538,D$542&amp;" ضد "&amp;$A574))</f>
        <v>0</v>
      </c>
      <c r="E574" s="4">
        <f>IF($A574=E$542,"",COUNTIF($E$4:$E$538,$A574&amp;" ضد "&amp;E$542)+COUNTIF($E$4:$E$538,E$542&amp;" ضد "&amp;$A574))</f>
        <v>0</v>
      </c>
      <c r="F574" s="4">
        <f>IF($A574=F$542,"",COUNTIF($E$4:$E$538,$A574&amp;" ضد "&amp;F$542)+COUNTIF($E$4:$E$538,F$542&amp;" ضد "&amp;$A574))</f>
        <v>0</v>
      </c>
      <c r="G574" s="4">
        <f>IF($A574=G$542,"",COUNTIF($E$4:$E$538,$A574&amp;" ضد "&amp;G$542)+COUNTIF($E$4:$E$538,G$542&amp;" ضد "&amp;$A574))</f>
        <v>0</v>
      </c>
      <c r="H574" s="4">
        <f>IF($A574=H$542,"",COUNTIF($E$4:$E$538,$A574&amp;" ضد "&amp;H$542)+COUNTIF($E$4:$E$538,H$542&amp;" ضد "&amp;$A574))</f>
        <v>0</v>
      </c>
      <c r="I574" s="4">
        <f>IF($A574=I$542,"",COUNTIF($E$4:$E$538,$A574&amp;" ضد "&amp;I$542)+COUNTIF($E$4:$E$538,I$542&amp;" ضد "&amp;$A574))</f>
        <v>0</v>
      </c>
      <c r="J574" s="4">
        <f>IF($A574=J$542,"",COUNTIF($E$4:$E$538,$A574&amp;" ضد "&amp;J$542)+COUNTIF($E$4:$E$538,J$542&amp;" ضد "&amp;$A574))</f>
        <v>0</v>
      </c>
      <c r="K574" s="4">
        <f>IF($A574=K$542,"",COUNTIF($E$4:$E$538,$A574&amp;" ضد "&amp;K$542)+COUNTIF($E$4:$E$538,K$542&amp;" ضد "&amp;$A574))</f>
        <v>0</v>
      </c>
      <c r="L574" s="4">
        <f>IF($A574=L$542,"",COUNTIF($E$4:$E$538,$A574&amp;" ضد "&amp;L$542)+COUNTIF($E$4:$E$538,L$542&amp;" ضد "&amp;$A574))</f>
        <v>0</v>
      </c>
      <c r="M574" s="4">
        <f>IF($A574=M$542,"",COUNTIF($E$4:$E$538,$A574&amp;" ضد "&amp;M$542)+COUNTIF($E$4:$E$538,M$542&amp;" ضد "&amp;$A574))</f>
        <v>0</v>
      </c>
      <c r="N574" s="4">
        <f>IF($A574=N$542,"",COUNTIF($E$4:$E$538,$A574&amp;" ضد "&amp;N$542)+COUNTIF($E$4:$E$538,N$542&amp;" ضد "&amp;$A574))</f>
        <v>0</v>
      </c>
      <c r="O574" s="4">
        <f>IF($A574=O$542,"",COUNTIF($E$4:$E$538,$A574&amp;" ضد "&amp;O$542)+COUNTIF($E$4:$E$538,O$542&amp;" ضد "&amp;$A574))</f>
        <v>0</v>
      </c>
      <c r="P574" s="4">
        <f>IF($A574=P$542,"",COUNTIF($E$4:$E$538,$A574&amp;" ضد "&amp;P$542)+COUNTIF($E$4:$E$538,P$542&amp;" ضد "&amp;$A574))</f>
        <v>0</v>
      </c>
      <c r="Q574" s="4">
        <f>IF($A574=Q$542,"",COUNTIF($E$4:$E$538,$A574&amp;" ضد "&amp;Q$542)+COUNTIF($E$4:$E$538,Q$542&amp;" ضد "&amp;$A574))</f>
        <v>0</v>
      </c>
      <c r="R574" s="4">
        <f>IF($A574=R$542,"",COUNTIF($E$4:$E$538,$A574&amp;" ضد "&amp;R$542)+COUNTIF($E$4:$E$538,R$542&amp;" ضد "&amp;$A574))</f>
        <v>0</v>
      </c>
      <c r="S574" s="4">
        <f>IF($A574=S$542,"",COUNTIF($E$4:$E$538,$A574&amp;" ضد "&amp;S$542)+COUNTIF($E$4:$E$538,S$542&amp;" ضد "&amp;$A574))</f>
        <v>0</v>
      </c>
      <c r="T574" s="4">
        <f>IF($A574=T$542,"",COUNTIF($E$4:$E$538,$A574&amp;" ضد "&amp;T$542)+COUNTIF($E$4:$E$538,T$542&amp;" ضد "&amp;$A574))</f>
        <v>0</v>
      </c>
      <c r="U574" s="4">
        <f>IF($A574=U$542,"",COUNTIF($E$4:$E$538,$A574&amp;" ضد "&amp;U$542)+COUNTIF($E$4:$E$538,U$542&amp;" ضد "&amp;$A574))</f>
        <v>0</v>
      </c>
      <c r="V574" s="4">
        <f>IF($A574=V$542,"",COUNTIF($E$4:$E$538,$A574&amp;" ضد "&amp;V$542)+COUNTIF($E$4:$E$538,V$542&amp;" ضد "&amp;$A574))</f>
        <v>1</v>
      </c>
      <c r="W574" s="4">
        <f>IF($A574=W$542,"",COUNTIF($E$4:$E$538,$A574&amp;" ضد "&amp;W$542)+COUNTIF($E$4:$E$538,W$542&amp;" ضد "&amp;$A574))</f>
        <v>1</v>
      </c>
      <c r="X574" s="4">
        <f>IF($A574=X$542,"",COUNTIF($E$4:$E$538,$A574&amp;" ضد "&amp;X$542)+COUNTIF($E$4:$E$538,X$542&amp;" ضد "&amp;$A574))</f>
        <v>1</v>
      </c>
      <c r="Y574" s="4">
        <f>IF($A574=Y$542,"",COUNTIF($E$4:$E$538,$A574&amp;" ضد "&amp;Y$542)+COUNTIF($E$4:$E$538,Y$542&amp;" ضد "&amp;$A574))</f>
        <v>1</v>
      </c>
      <c r="Z574" s="4">
        <f>IF($A574=Z$542,"",COUNTIF($E$4:$E$538,$A574&amp;" ضد "&amp;Z$542)+COUNTIF($E$4:$E$538,Z$542&amp;" ضد "&amp;$A574))</f>
        <v>1</v>
      </c>
      <c r="AA574" s="4">
        <f>IF($A574=AA$542,"",COUNTIF($E$4:$E$538,$A574&amp;" ضد "&amp;AA$542)+COUNTIF($E$4:$E$538,AA$542&amp;" ضد "&amp;$A574))</f>
        <v>1</v>
      </c>
      <c r="AB574" s="4">
        <f>IF($A574=AB$542,"",COUNTIF($E$4:$E$538,$A574&amp;" ضد "&amp;AB$542)+COUNTIF($E$4:$E$538,AB$542&amp;" ضد "&amp;$A574))</f>
        <v>1</v>
      </c>
      <c r="AC574" s="4">
        <f>IF($A574=AC$542,"",COUNTIF($E$4:$E$538,$A574&amp;" ضد "&amp;AC$542)+COUNTIF($E$4:$E$538,AC$542&amp;" ضد "&amp;$A574))</f>
        <v>1</v>
      </c>
      <c r="AD574" s="4">
        <f>IF($A574=AD$542,"",COUNTIF($E$4:$E$538,$A574&amp;" ضد "&amp;AD$542)+COUNTIF($E$4:$E$538,AD$542&amp;" ضد "&amp;$A574))</f>
        <v>1</v>
      </c>
      <c r="AE574" s="4">
        <f>IF($A574=AE$542,"",COUNTIF($E$4:$E$538,$A574&amp;" ضد "&amp;AE$542)+COUNTIF($E$4:$E$538,AE$542&amp;" ضد "&amp;$A574))</f>
        <v>1</v>
      </c>
      <c r="AF574" s="4">
        <f>IF($A574=AF$542,"",COUNTIF($E$4:$E$538,$A574&amp;" ضد "&amp;AF$542)+COUNTIF($E$4:$E$538,AF$542&amp;" ضد "&amp;$A574))</f>
        <v>1</v>
      </c>
      <c r="AG574" s="4" t="str">
        <f>IF($A574=AG$542,"",COUNTIF($E$4:$E$538,$A574&amp;" ضد "&amp;AG$542)+COUNTIF($E$4:$E$538,AG$542&amp;" ضد "&amp;$A574))</f>
        <v/>
      </c>
      <c r="AH574" s="4">
        <f>IF($A574=AH$542,"",COUNTIF($E$4:$E$538,$A574&amp;" ضد "&amp;AH$542)+COUNTIF($E$4:$E$538,AH$542&amp;" ضد "&amp;$A574))</f>
        <v>1</v>
      </c>
      <c r="AI574" s="4">
        <f>IF($A574=AI$542,"",COUNTIF($E$4:$E$538,$A574&amp;" ضد "&amp;AI$542)+COUNTIF($E$4:$E$538,AI$542&amp;" ضد "&amp;$A574))</f>
        <v>1</v>
      </c>
      <c r="AJ574" s="4">
        <f>IF($A574=AJ$542,"",COUNTIF($E$4:$E$538,$A574&amp;" ضد "&amp;AJ$542)+COUNTIF($E$4:$E$538,AJ$542&amp;" ضد "&amp;$A574))</f>
        <v>1</v>
      </c>
      <c r="AK574" s="4">
        <f>IF($A574=AK$542,"",COUNTIF($E$4:$E$538,$A574&amp;" ضد "&amp;AK$542)+COUNTIF($E$4:$E$538,AK$542&amp;" ضد "&amp;$A574))</f>
        <v>1</v>
      </c>
      <c r="AL574" s="4">
        <f>IF($A574=AL$542,"",COUNTIF($E$4:$E$538,$A574&amp;" ضد "&amp;AL$542)+COUNTIF($E$4:$E$538,AL$542&amp;" ضد "&amp;$A574))</f>
        <v>1</v>
      </c>
      <c r="AM574" s="4">
        <f>IF($A574=AM$542,"",COUNTIF($E$4:$E$538,$A574&amp;" ضد "&amp;AM$542)+COUNTIF($E$4:$E$538,AM$542&amp;" ضد "&amp;$A574))</f>
        <v>1</v>
      </c>
      <c r="AN574" s="4">
        <f>IF($A574=AN$542,"",COUNTIF($E$4:$E$538,$A574&amp;" ضد "&amp;AN$542)+COUNTIF($E$4:$E$538,AN$542&amp;" ضد "&amp;$A574))</f>
        <v>1</v>
      </c>
      <c r="AO574" s="4">
        <f>IF($A574=AO$542,"",COUNTIF($E$4:$E$538,$A574&amp;" ضد "&amp;AO$542)+COUNTIF($E$4:$E$538,AO$542&amp;" ضد "&amp;$A574))</f>
        <v>0</v>
      </c>
      <c r="AP574" s="4">
        <f>IF($A574=AP$542,"",COUNTIF($E$4:$E$538,$A574&amp;" ضد "&amp;AP$542)+COUNTIF($E$4:$E$538,AP$542&amp;" ضد "&amp;$A574))</f>
        <v>0</v>
      </c>
      <c r="AQ574" s="4">
        <f>IF($A574=AQ$542,"",COUNTIF($E$4:$E$538,$A574&amp;" ضد "&amp;AQ$542)+COUNTIF($E$4:$E$538,AQ$542&amp;" ضد "&amp;$A574))</f>
        <v>0</v>
      </c>
      <c r="AR574" s="4">
        <f>IF($A574=AR$542,"",COUNTIF($E$4:$E$538,$A574&amp;" ضد "&amp;AR$542)+COUNTIF($E$4:$E$538,AR$542&amp;" ضد "&amp;$A574))</f>
        <v>0</v>
      </c>
      <c r="AS574" s="4">
        <f>IF($A574=AS$542,"",COUNTIF($E$4:$E$538,$A574&amp;" ضد "&amp;AS$542)+COUNTIF($E$4:$E$538,AS$542&amp;" ضد "&amp;$A574))</f>
        <v>0</v>
      </c>
      <c r="AT574" s="4">
        <f>IF($A574=AT$542,"",COUNTIF($E$4:$E$538,$A574&amp;" ضد "&amp;AT$542)+COUNTIF($E$4:$E$538,AT$542&amp;" ضد "&amp;$A574))</f>
        <v>0</v>
      </c>
      <c r="AU574" s="4">
        <f>IF($A574=AU$542,"",COUNTIF($E$4:$E$538,$A574&amp;" ضد "&amp;AU$542)+COUNTIF($E$4:$E$538,AU$542&amp;" ضد "&amp;$A574))</f>
        <v>0</v>
      </c>
      <c r="AV574" s="4">
        <f>IF($A574=AV$542,"",COUNTIF($E$4:$E$538,$A574&amp;" ضد "&amp;AV$542)+COUNTIF($E$4:$E$538,AV$542&amp;" ضد "&amp;$A574))</f>
        <v>0</v>
      </c>
      <c r="AW574" s="4">
        <f>IF($A574=AW$542,"",COUNTIF($E$4:$E$538,$A574&amp;" ضد "&amp;AW$542)+COUNTIF($E$4:$E$538,AW$542&amp;" ضد "&amp;$A574))</f>
        <v>0</v>
      </c>
      <c r="AX574" s="4">
        <f>IF($A574=AX$542,"",COUNTIF($E$4:$E$538,$A574&amp;" ضد "&amp;AX$542)+COUNTIF($E$4:$E$538,AX$542&amp;" ضد "&amp;$A574))</f>
        <v>0</v>
      </c>
      <c r="AY574" s="4">
        <f>IF($A574=AY$542,"",COUNTIF($E$4:$E$538,$A574&amp;" ضد "&amp;AY$542)+COUNTIF($E$4:$E$538,AY$542&amp;" ضد "&amp;$A574))</f>
        <v>0</v>
      </c>
      <c r="AZ574" s="4">
        <f>IF($A574=AZ$542,"",COUNTIF($E$4:$E$538,$A574&amp;" ضد "&amp;AZ$542)+COUNTIF($E$4:$E$538,AZ$542&amp;" ضد "&amp;$A574))</f>
        <v>0</v>
      </c>
      <c r="BA574" s="4">
        <f>IF($A574=BA$542,"",COUNTIF($E$4:$E$538,$A574&amp;" ضد "&amp;BA$542)+COUNTIF($E$4:$E$538,BA$542&amp;" ضد "&amp;$A574))</f>
        <v>0</v>
      </c>
      <c r="BB574" s="4">
        <f>IF($A574=BB$542,"",COUNTIF($E$4:$E$538,$A574&amp;" ضد "&amp;BB$542)+COUNTIF($E$4:$E$538,BB$542&amp;" ضد "&amp;$A574))</f>
        <v>0</v>
      </c>
      <c r="BC574" s="4">
        <f>IF($A574=BC$542,"",COUNTIF($E$4:$E$538,$A574&amp;" ضد "&amp;BC$542)+COUNTIF($E$4:$E$538,BC$542&amp;" ضد "&amp;$A574))</f>
        <v>0</v>
      </c>
      <c r="BD574" s="4">
        <f>IF($A574=BD$542,"",COUNTIF($E$4:$E$538,$A574&amp;" ضد "&amp;BD$542)+COUNTIF($E$4:$E$538,BD$542&amp;" ضد "&amp;$A574))</f>
        <v>0</v>
      </c>
      <c r="BE574" s="4">
        <f>IF($A574=BE$542,"",COUNTIF($E$4:$E$538,$A574&amp;" ضد "&amp;BE$542)+COUNTIF($E$4:$E$538,BE$542&amp;" ضد "&amp;$A574))</f>
        <v>0</v>
      </c>
      <c r="BF574" s="4">
        <f>IF($A574=BF$542,"",COUNTIF($E$4:$E$538,$A574&amp;" ضد "&amp;BF$542)+COUNTIF($E$4:$E$538,BF$542&amp;" ضد "&amp;$A574))</f>
        <v>0</v>
      </c>
      <c r="BG574" s="4">
        <f>IF($A574=BG$542,"",COUNTIF($E$4:$E$538,$A574&amp;" ضد "&amp;BG$542)+COUNTIF($E$4:$E$538,BG$542&amp;" ضد "&amp;$A574))</f>
        <v>0</v>
      </c>
    </row>
    <row r="575" spans="1:59" ht="14.5">
      <c r="A575" s="14">
        <v>33</v>
      </c>
      <c r="B575" s="4">
        <f>IF($A575=B$542,"",COUNTIF($E$4:$E$538,$A575&amp;" ضد "&amp;B$542)+COUNTIF($E$4:$E$538,B$542&amp;" ضد "&amp;$A575))</f>
        <v>0</v>
      </c>
      <c r="C575" s="4">
        <f>IF($A575=C$542,"",COUNTIF($E$4:$E$538,$A575&amp;" ضد "&amp;C$542)+COUNTIF($E$4:$E$538,C$542&amp;" ضد "&amp;$A575))</f>
        <v>0</v>
      </c>
      <c r="D575" s="4">
        <f>IF($A575=D$542,"",COUNTIF($E$4:$E$538,$A575&amp;" ضد "&amp;D$542)+COUNTIF($E$4:$E$538,D$542&amp;" ضد "&amp;$A575))</f>
        <v>0</v>
      </c>
      <c r="E575" s="4">
        <f>IF($A575=E$542,"",COUNTIF($E$4:$E$538,$A575&amp;" ضد "&amp;E$542)+COUNTIF($E$4:$E$538,E$542&amp;" ضد "&amp;$A575))</f>
        <v>0</v>
      </c>
      <c r="F575" s="4">
        <f>IF($A575=F$542,"",COUNTIF($E$4:$E$538,$A575&amp;" ضد "&amp;F$542)+COUNTIF($E$4:$E$538,F$542&amp;" ضد "&amp;$A575))</f>
        <v>0</v>
      </c>
      <c r="G575" s="4">
        <f>IF($A575=G$542,"",COUNTIF($E$4:$E$538,$A575&amp;" ضد "&amp;G$542)+COUNTIF($E$4:$E$538,G$542&amp;" ضد "&amp;$A575))</f>
        <v>0</v>
      </c>
      <c r="H575" s="4">
        <f>IF($A575=H$542,"",COUNTIF($E$4:$E$538,$A575&amp;" ضد "&amp;H$542)+COUNTIF($E$4:$E$538,H$542&amp;" ضد "&amp;$A575))</f>
        <v>0</v>
      </c>
      <c r="I575" s="4">
        <f>IF($A575=I$542,"",COUNTIF($E$4:$E$538,$A575&amp;" ضد "&amp;I$542)+COUNTIF($E$4:$E$538,I$542&amp;" ضد "&amp;$A575))</f>
        <v>0</v>
      </c>
      <c r="J575" s="4">
        <f>IF($A575=J$542,"",COUNTIF($E$4:$E$538,$A575&amp;" ضد "&amp;J$542)+COUNTIF($E$4:$E$538,J$542&amp;" ضد "&amp;$A575))</f>
        <v>0</v>
      </c>
      <c r="K575" s="4">
        <f>IF($A575=K$542,"",COUNTIF($E$4:$E$538,$A575&amp;" ضد "&amp;K$542)+COUNTIF($E$4:$E$538,K$542&amp;" ضد "&amp;$A575))</f>
        <v>0</v>
      </c>
      <c r="L575" s="4">
        <f>IF($A575=L$542,"",COUNTIF($E$4:$E$538,$A575&amp;" ضد "&amp;L$542)+COUNTIF($E$4:$E$538,L$542&amp;" ضد "&amp;$A575))</f>
        <v>0</v>
      </c>
      <c r="M575" s="4">
        <f>IF($A575=M$542,"",COUNTIF($E$4:$E$538,$A575&amp;" ضد "&amp;M$542)+COUNTIF($E$4:$E$538,M$542&amp;" ضد "&amp;$A575))</f>
        <v>0</v>
      </c>
      <c r="N575" s="4">
        <f>IF($A575=N$542,"",COUNTIF($E$4:$E$538,$A575&amp;" ضد "&amp;N$542)+COUNTIF($E$4:$E$538,N$542&amp;" ضد "&amp;$A575))</f>
        <v>0</v>
      </c>
      <c r="O575" s="4">
        <f>IF($A575=O$542,"",COUNTIF($E$4:$E$538,$A575&amp;" ضد "&amp;O$542)+COUNTIF($E$4:$E$538,O$542&amp;" ضد "&amp;$A575))</f>
        <v>0</v>
      </c>
      <c r="P575" s="4">
        <f>IF($A575=P$542,"",COUNTIF($E$4:$E$538,$A575&amp;" ضد "&amp;P$542)+COUNTIF($E$4:$E$538,P$542&amp;" ضد "&amp;$A575))</f>
        <v>0</v>
      </c>
      <c r="Q575" s="4">
        <f>IF($A575=Q$542,"",COUNTIF($E$4:$E$538,$A575&amp;" ضد "&amp;Q$542)+COUNTIF($E$4:$E$538,Q$542&amp;" ضد "&amp;$A575))</f>
        <v>0</v>
      </c>
      <c r="R575" s="4">
        <f>IF($A575=R$542,"",COUNTIF($E$4:$E$538,$A575&amp;" ضد "&amp;R$542)+COUNTIF($E$4:$E$538,R$542&amp;" ضد "&amp;$A575))</f>
        <v>0</v>
      </c>
      <c r="S575" s="4">
        <f>IF($A575=S$542,"",COUNTIF($E$4:$E$538,$A575&amp;" ضد "&amp;S$542)+COUNTIF($E$4:$E$538,S$542&amp;" ضد "&amp;$A575))</f>
        <v>0</v>
      </c>
      <c r="T575" s="4">
        <f>IF($A575=T$542,"",COUNTIF($E$4:$E$538,$A575&amp;" ضد "&amp;T$542)+COUNTIF($E$4:$E$538,T$542&amp;" ضد "&amp;$A575))</f>
        <v>0</v>
      </c>
      <c r="U575" s="4">
        <f>IF($A575=U$542,"",COUNTIF($E$4:$E$538,$A575&amp;" ضد "&amp;U$542)+COUNTIF($E$4:$E$538,U$542&amp;" ضد "&amp;$A575))</f>
        <v>0</v>
      </c>
      <c r="V575" s="4">
        <f>IF($A575=V$542,"",COUNTIF($E$4:$E$538,$A575&amp;" ضد "&amp;V$542)+COUNTIF($E$4:$E$538,V$542&amp;" ضد "&amp;$A575))</f>
        <v>1</v>
      </c>
      <c r="W575" s="4">
        <f>IF($A575=W$542,"",COUNTIF($E$4:$E$538,$A575&amp;" ضد "&amp;W$542)+COUNTIF($E$4:$E$538,W$542&amp;" ضد "&amp;$A575))</f>
        <v>1</v>
      </c>
      <c r="X575" s="4">
        <f>IF($A575=X$542,"",COUNTIF($E$4:$E$538,$A575&amp;" ضد "&amp;X$542)+COUNTIF($E$4:$E$538,X$542&amp;" ضد "&amp;$A575))</f>
        <v>1</v>
      </c>
      <c r="Y575" s="4">
        <f>IF($A575=Y$542,"",COUNTIF($E$4:$E$538,$A575&amp;" ضد "&amp;Y$542)+COUNTIF($E$4:$E$538,Y$542&amp;" ضد "&amp;$A575))</f>
        <v>1</v>
      </c>
      <c r="Z575" s="4">
        <f>IF($A575=Z$542,"",COUNTIF($E$4:$E$538,$A575&amp;" ضد "&amp;Z$542)+COUNTIF($E$4:$E$538,Z$542&amp;" ضد "&amp;$A575))</f>
        <v>1</v>
      </c>
      <c r="AA575" s="4">
        <f>IF($A575=AA$542,"",COUNTIF($E$4:$E$538,$A575&amp;" ضد "&amp;AA$542)+COUNTIF($E$4:$E$538,AA$542&amp;" ضد "&amp;$A575))</f>
        <v>1</v>
      </c>
      <c r="AB575" s="4">
        <f>IF($A575=AB$542,"",COUNTIF($E$4:$E$538,$A575&amp;" ضد "&amp;AB$542)+COUNTIF($E$4:$E$538,AB$542&amp;" ضد "&amp;$A575))</f>
        <v>1</v>
      </c>
      <c r="AC575" s="4">
        <f>IF($A575=AC$542,"",COUNTIF($E$4:$E$538,$A575&amp;" ضد "&amp;AC$542)+COUNTIF($E$4:$E$538,AC$542&amp;" ضد "&amp;$A575))</f>
        <v>1</v>
      </c>
      <c r="AD575" s="4">
        <f>IF($A575=AD$542,"",COUNTIF($E$4:$E$538,$A575&amp;" ضد "&amp;AD$542)+COUNTIF($E$4:$E$538,AD$542&amp;" ضد "&amp;$A575))</f>
        <v>1</v>
      </c>
      <c r="AE575" s="4">
        <f>IF($A575=AE$542,"",COUNTIF($E$4:$E$538,$A575&amp;" ضد "&amp;AE$542)+COUNTIF($E$4:$E$538,AE$542&amp;" ضد "&amp;$A575))</f>
        <v>1</v>
      </c>
      <c r="AF575" s="4">
        <f>IF($A575=AF$542,"",COUNTIF($E$4:$E$538,$A575&amp;" ضد "&amp;AF$542)+COUNTIF($E$4:$E$538,AF$542&amp;" ضد "&amp;$A575))</f>
        <v>1</v>
      </c>
      <c r="AG575" s="4">
        <f>IF($A575=AG$542,"",COUNTIF($E$4:$E$538,$A575&amp;" ضد "&amp;AG$542)+COUNTIF($E$4:$E$538,AG$542&amp;" ضد "&amp;$A575))</f>
        <v>1</v>
      </c>
      <c r="AH575" s="4" t="str">
        <f>IF($A575=AH$542,"",COUNTIF($E$4:$E$538,$A575&amp;" ضد "&amp;AH$542)+COUNTIF($E$4:$E$538,AH$542&amp;" ضد "&amp;$A575))</f>
        <v/>
      </c>
      <c r="AI575" s="4">
        <f>IF($A575=AI$542,"",COUNTIF($E$4:$E$538,$A575&amp;" ضد "&amp;AI$542)+COUNTIF($E$4:$E$538,AI$542&amp;" ضد "&amp;$A575))</f>
        <v>1</v>
      </c>
      <c r="AJ575" s="4">
        <f>IF($A575=AJ$542,"",COUNTIF($E$4:$E$538,$A575&amp;" ضد "&amp;AJ$542)+COUNTIF($E$4:$E$538,AJ$542&amp;" ضد "&amp;$A575))</f>
        <v>1</v>
      </c>
      <c r="AK575" s="4">
        <f>IF($A575=AK$542,"",COUNTIF($E$4:$E$538,$A575&amp;" ضد "&amp;AK$542)+COUNTIF($E$4:$E$538,AK$542&amp;" ضد "&amp;$A575))</f>
        <v>1</v>
      </c>
      <c r="AL575" s="4">
        <f>IF($A575=AL$542,"",COUNTIF($E$4:$E$538,$A575&amp;" ضد "&amp;AL$542)+COUNTIF($E$4:$E$538,AL$542&amp;" ضد "&amp;$A575))</f>
        <v>1</v>
      </c>
      <c r="AM575" s="4">
        <f>IF($A575=AM$542,"",COUNTIF($E$4:$E$538,$A575&amp;" ضد "&amp;AM$542)+COUNTIF($E$4:$E$538,AM$542&amp;" ضد "&amp;$A575))</f>
        <v>1</v>
      </c>
      <c r="AN575" s="4">
        <f>IF($A575=AN$542,"",COUNTIF($E$4:$E$538,$A575&amp;" ضد "&amp;AN$542)+COUNTIF($E$4:$E$538,AN$542&amp;" ضد "&amp;$A575))</f>
        <v>1</v>
      </c>
      <c r="AO575" s="4">
        <f>IF($A575=AO$542,"",COUNTIF($E$4:$E$538,$A575&amp;" ضد "&amp;AO$542)+COUNTIF($E$4:$E$538,AO$542&amp;" ضد "&amp;$A575))</f>
        <v>0</v>
      </c>
      <c r="AP575" s="4">
        <f>IF($A575=AP$542,"",COUNTIF($E$4:$E$538,$A575&amp;" ضد "&amp;AP$542)+COUNTIF($E$4:$E$538,AP$542&amp;" ضد "&amp;$A575))</f>
        <v>0</v>
      </c>
      <c r="AQ575" s="4">
        <f>IF($A575=AQ$542,"",COUNTIF($E$4:$E$538,$A575&amp;" ضد "&amp;AQ$542)+COUNTIF($E$4:$E$538,AQ$542&amp;" ضد "&amp;$A575))</f>
        <v>0</v>
      </c>
      <c r="AR575" s="4">
        <f>IF($A575=AR$542,"",COUNTIF($E$4:$E$538,$A575&amp;" ضد "&amp;AR$542)+COUNTIF($E$4:$E$538,AR$542&amp;" ضد "&amp;$A575))</f>
        <v>0</v>
      </c>
      <c r="AS575" s="4">
        <f>IF($A575=AS$542,"",COUNTIF($E$4:$E$538,$A575&amp;" ضد "&amp;AS$542)+COUNTIF($E$4:$E$538,AS$542&amp;" ضد "&amp;$A575))</f>
        <v>0</v>
      </c>
      <c r="AT575" s="4">
        <f>IF($A575=AT$542,"",COUNTIF($E$4:$E$538,$A575&amp;" ضد "&amp;AT$542)+COUNTIF($E$4:$E$538,AT$542&amp;" ضد "&amp;$A575))</f>
        <v>0</v>
      </c>
      <c r="AU575" s="4">
        <f>IF($A575=AU$542,"",COUNTIF($E$4:$E$538,$A575&amp;" ضد "&amp;AU$542)+COUNTIF($E$4:$E$538,AU$542&amp;" ضد "&amp;$A575))</f>
        <v>0</v>
      </c>
      <c r="AV575" s="4">
        <f>IF($A575=AV$542,"",COUNTIF($E$4:$E$538,$A575&amp;" ضد "&amp;AV$542)+COUNTIF($E$4:$E$538,AV$542&amp;" ضد "&amp;$A575))</f>
        <v>0</v>
      </c>
      <c r="AW575" s="4">
        <f>IF($A575=AW$542,"",COUNTIF($E$4:$E$538,$A575&amp;" ضد "&amp;AW$542)+COUNTIF($E$4:$E$538,AW$542&amp;" ضد "&amp;$A575))</f>
        <v>0</v>
      </c>
      <c r="AX575" s="4">
        <f>IF($A575=AX$542,"",COUNTIF($E$4:$E$538,$A575&amp;" ضد "&amp;AX$542)+COUNTIF($E$4:$E$538,AX$542&amp;" ضد "&amp;$A575))</f>
        <v>0</v>
      </c>
      <c r="AY575" s="4">
        <f>IF($A575=AY$542,"",COUNTIF($E$4:$E$538,$A575&amp;" ضد "&amp;AY$542)+COUNTIF($E$4:$E$538,AY$542&amp;" ضد "&amp;$A575))</f>
        <v>0</v>
      </c>
      <c r="AZ575" s="4">
        <f>IF($A575=AZ$542,"",COUNTIF($E$4:$E$538,$A575&amp;" ضد "&amp;AZ$542)+COUNTIF($E$4:$E$538,AZ$542&amp;" ضد "&amp;$A575))</f>
        <v>0</v>
      </c>
      <c r="BA575" s="4">
        <f>IF($A575=BA$542,"",COUNTIF($E$4:$E$538,$A575&amp;" ضد "&amp;BA$542)+COUNTIF($E$4:$E$538,BA$542&amp;" ضد "&amp;$A575))</f>
        <v>0</v>
      </c>
      <c r="BB575" s="4">
        <f>IF($A575=BB$542,"",COUNTIF($E$4:$E$538,$A575&amp;" ضد "&amp;BB$542)+COUNTIF($E$4:$E$538,BB$542&amp;" ضد "&amp;$A575))</f>
        <v>0</v>
      </c>
      <c r="BC575" s="4">
        <f>IF($A575=BC$542,"",COUNTIF($E$4:$E$538,$A575&amp;" ضد "&amp;BC$542)+COUNTIF($E$4:$E$538,BC$542&amp;" ضد "&amp;$A575))</f>
        <v>0</v>
      </c>
      <c r="BD575" s="4">
        <f>IF($A575=BD$542,"",COUNTIF($E$4:$E$538,$A575&amp;" ضد "&amp;BD$542)+COUNTIF($E$4:$E$538,BD$542&amp;" ضد "&amp;$A575))</f>
        <v>0</v>
      </c>
      <c r="BE575" s="4">
        <f>IF($A575=BE$542,"",COUNTIF($E$4:$E$538,$A575&amp;" ضد "&amp;BE$542)+COUNTIF($E$4:$E$538,BE$542&amp;" ضد "&amp;$A575))</f>
        <v>0</v>
      </c>
      <c r="BF575" s="4">
        <f>IF($A575=BF$542,"",COUNTIF($E$4:$E$538,$A575&amp;" ضد "&amp;BF$542)+COUNTIF($E$4:$E$538,BF$542&amp;" ضد "&amp;$A575))</f>
        <v>0</v>
      </c>
      <c r="BG575" s="4">
        <f>IF($A575=BG$542,"",COUNTIF($E$4:$E$538,$A575&amp;" ضد "&amp;BG$542)+COUNTIF($E$4:$E$538,BG$542&amp;" ضد "&amp;$A575))</f>
        <v>0</v>
      </c>
    </row>
    <row r="576" spans="1:59" ht="14.5">
      <c r="A576" s="14">
        <v>34</v>
      </c>
      <c r="B576" s="4">
        <f>IF($A576=B$542,"",COUNTIF($E$4:$E$538,$A576&amp;" ضد "&amp;B$542)+COUNTIF($E$4:$E$538,B$542&amp;" ضد "&amp;$A576))</f>
        <v>0</v>
      </c>
      <c r="C576" s="4">
        <f>IF($A576=C$542,"",COUNTIF($E$4:$E$538,$A576&amp;" ضد "&amp;C$542)+COUNTIF($E$4:$E$538,C$542&amp;" ضد "&amp;$A576))</f>
        <v>0</v>
      </c>
      <c r="D576" s="4">
        <f>IF($A576=D$542,"",COUNTIF($E$4:$E$538,$A576&amp;" ضد "&amp;D$542)+COUNTIF($E$4:$E$538,D$542&amp;" ضد "&amp;$A576))</f>
        <v>0</v>
      </c>
      <c r="E576" s="4">
        <f>IF($A576=E$542,"",COUNTIF($E$4:$E$538,$A576&amp;" ضد "&amp;E$542)+COUNTIF($E$4:$E$538,E$542&amp;" ضد "&amp;$A576))</f>
        <v>0</v>
      </c>
      <c r="F576" s="4">
        <f>IF($A576=F$542,"",COUNTIF($E$4:$E$538,$A576&amp;" ضد "&amp;F$542)+COUNTIF($E$4:$E$538,F$542&amp;" ضد "&amp;$A576))</f>
        <v>0</v>
      </c>
      <c r="G576" s="4">
        <f>IF($A576=G$542,"",COUNTIF($E$4:$E$538,$A576&amp;" ضد "&amp;G$542)+COUNTIF($E$4:$E$538,G$542&amp;" ضد "&amp;$A576))</f>
        <v>0</v>
      </c>
      <c r="H576" s="4">
        <f>IF($A576=H$542,"",COUNTIF($E$4:$E$538,$A576&amp;" ضد "&amp;H$542)+COUNTIF($E$4:$E$538,H$542&amp;" ضد "&amp;$A576))</f>
        <v>0</v>
      </c>
      <c r="I576" s="4">
        <f>IF($A576=I$542,"",COUNTIF($E$4:$E$538,$A576&amp;" ضد "&amp;I$542)+COUNTIF($E$4:$E$538,I$542&amp;" ضد "&amp;$A576))</f>
        <v>0</v>
      </c>
      <c r="J576" s="4">
        <f>IF($A576=J$542,"",COUNTIF($E$4:$E$538,$A576&amp;" ضد "&amp;J$542)+COUNTIF($E$4:$E$538,J$542&amp;" ضد "&amp;$A576))</f>
        <v>0</v>
      </c>
      <c r="K576" s="4">
        <f>IF($A576=K$542,"",COUNTIF($E$4:$E$538,$A576&amp;" ضد "&amp;K$542)+COUNTIF($E$4:$E$538,K$542&amp;" ضد "&amp;$A576))</f>
        <v>0</v>
      </c>
      <c r="L576" s="4">
        <f>IF($A576=L$542,"",COUNTIF($E$4:$E$538,$A576&amp;" ضد "&amp;L$542)+COUNTIF($E$4:$E$538,L$542&amp;" ضد "&amp;$A576))</f>
        <v>0</v>
      </c>
      <c r="M576" s="4">
        <f>IF($A576=M$542,"",COUNTIF($E$4:$E$538,$A576&amp;" ضد "&amp;M$542)+COUNTIF($E$4:$E$538,M$542&amp;" ضد "&amp;$A576))</f>
        <v>0</v>
      </c>
      <c r="N576" s="4">
        <f>IF($A576=N$542,"",COUNTIF($E$4:$E$538,$A576&amp;" ضد "&amp;N$542)+COUNTIF($E$4:$E$538,N$542&amp;" ضد "&amp;$A576))</f>
        <v>0</v>
      </c>
      <c r="O576" s="4">
        <f>IF($A576=O$542,"",COUNTIF($E$4:$E$538,$A576&amp;" ضد "&amp;O$542)+COUNTIF($E$4:$E$538,O$542&amp;" ضد "&amp;$A576))</f>
        <v>0</v>
      </c>
      <c r="P576" s="4">
        <f>IF($A576=P$542,"",COUNTIF($E$4:$E$538,$A576&amp;" ضد "&amp;P$542)+COUNTIF($E$4:$E$538,P$542&amp;" ضد "&amp;$A576))</f>
        <v>0</v>
      </c>
      <c r="Q576" s="4">
        <f>IF($A576=Q$542,"",COUNTIF($E$4:$E$538,$A576&amp;" ضد "&amp;Q$542)+COUNTIF($E$4:$E$538,Q$542&amp;" ضد "&amp;$A576))</f>
        <v>0</v>
      </c>
      <c r="R576" s="4">
        <f>IF($A576=R$542,"",COUNTIF($E$4:$E$538,$A576&amp;" ضد "&amp;R$542)+COUNTIF($E$4:$E$538,R$542&amp;" ضد "&amp;$A576))</f>
        <v>0</v>
      </c>
      <c r="S576" s="4">
        <f>IF($A576=S$542,"",COUNTIF($E$4:$E$538,$A576&amp;" ضد "&amp;S$542)+COUNTIF($E$4:$E$538,S$542&amp;" ضد "&amp;$A576))</f>
        <v>0</v>
      </c>
      <c r="T576" s="4">
        <f>IF($A576=T$542,"",COUNTIF($E$4:$E$538,$A576&amp;" ضد "&amp;T$542)+COUNTIF($E$4:$E$538,T$542&amp;" ضد "&amp;$A576))</f>
        <v>0</v>
      </c>
      <c r="U576" s="4">
        <f>IF($A576=U$542,"",COUNTIF($E$4:$E$538,$A576&amp;" ضد "&amp;U$542)+COUNTIF($E$4:$E$538,U$542&amp;" ضد "&amp;$A576))</f>
        <v>0</v>
      </c>
      <c r="V576" s="4">
        <f>IF($A576=V$542,"",COUNTIF($E$4:$E$538,$A576&amp;" ضد "&amp;V$542)+COUNTIF($E$4:$E$538,V$542&amp;" ضد "&amp;$A576))</f>
        <v>1</v>
      </c>
      <c r="W576" s="4">
        <f>IF($A576=W$542,"",COUNTIF($E$4:$E$538,$A576&amp;" ضد "&amp;W$542)+COUNTIF($E$4:$E$538,W$542&amp;" ضد "&amp;$A576))</f>
        <v>1</v>
      </c>
      <c r="X576" s="4">
        <f>IF($A576=X$542,"",COUNTIF($E$4:$E$538,$A576&amp;" ضد "&amp;X$542)+COUNTIF($E$4:$E$538,X$542&amp;" ضد "&amp;$A576))</f>
        <v>1</v>
      </c>
      <c r="Y576" s="4">
        <f>IF($A576=Y$542,"",COUNTIF($E$4:$E$538,$A576&amp;" ضد "&amp;Y$542)+COUNTIF($E$4:$E$538,Y$542&amp;" ضد "&amp;$A576))</f>
        <v>1</v>
      </c>
      <c r="Z576" s="4">
        <f>IF($A576=Z$542,"",COUNTIF($E$4:$E$538,$A576&amp;" ضد "&amp;Z$542)+COUNTIF($E$4:$E$538,Z$542&amp;" ضد "&amp;$A576))</f>
        <v>1</v>
      </c>
      <c r="AA576" s="4">
        <f>IF($A576=AA$542,"",COUNTIF($E$4:$E$538,$A576&amp;" ضد "&amp;AA$542)+COUNTIF($E$4:$E$538,AA$542&amp;" ضد "&amp;$A576))</f>
        <v>1</v>
      </c>
      <c r="AB576" s="4">
        <f>IF($A576=AB$542,"",COUNTIF($E$4:$E$538,$A576&amp;" ضد "&amp;AB$542)+COUNTIF($E$4:$E$538,AB$542&amp;" ضد "&amp;$A576))</f>
        <v>1</v>
      </c>
      <c r="AC576" s="4">
        <f>IF($A576=AC$542,"",COUNTIF($E$4:$E$538,$A576&amp;" ضد "&amp;AC$542)+COUNTIF($E$4:$E$538,AC$542&amp;" ضد "&amp;$A576))</f>
        <v>1</v>
      </c>
      <c r="AD576" s="4">
        <f>IF($A576=AD$542,"",COUNTIF($E$4:$E$538,$A576&amp;" ضد "&amp;AD$542)+COUNTIF($E$4:$E$538,AD$542&amp;" ضد "&amp;$A576))</f>
        <v>1</v>
      </c>
      <c r="AE576" s="4">
        <f>IF($A576=AE$542,"",COUNTIF($E$4:$E$538,$A576&amp;" ضد "&amp;AE$542)+COUNTIF($E$4:$E$538,AE$542&amp;" ضد "&amp;$A576))</f>
        <v>1</v>
      </c>
      <c r="AF576" s="4">
        <f>IF($A576=AF$542,"",COUNTIF($E$4:$E$538,$A576&amp;" ضد "&amp;AF$542)+COUNTIF($E$4:$E$538,AF$542&amp;" ضد "&amp;$A576))</f>
        <v>1</v>
      </c>
      <c r="AG576" s="4">
        <f>IF($A576=AG$542,"",COUNTIF($E$4:$E$538,$A576&amp;" ضد "&amp;AG$542)+COUNTIF($E$4:$E$538,AG$542&amp;" ضد "&amp;$A576))</f>
        <v>1</v>
      </c>
      <c r="AH576" s="4">
        <f>IF($A576=AH$542,"",COUNTIF($E$4:$E$538,$A576&amp;" ضد "&amp;AH$542)+COUNTIF($E$4:$E$538,AH$542&amp;" ضد "&amp;$A576))</f>
        <v>1</v>
      </c>
      <c r="AI576" s="4" t="str">
        <f>IF($A576=AI$542,"",COUNTIF($E$4:$E$538,$A576&amp;" ضد "&amp;AI$542)+COUNTIF($E$4:$E$538,AI$542&amp;" ضد "&amp;$A576))</f>
        <v/>
      </c>
      <c r="AJ576" s="4">
        <f>IF($A576=AJ$542,"",COUNTIF($E$4:$E$538,$A576&amp;" ضد "&amp;AJ$542)+COUNTIF($E$4:$E$538,AJ$542&amp;" ضد "&amp;$A576))</f>
        <v>1</v>
      </c>
      <c r="AK576" s="4">
        <f>IF($A576=AK$542,"",COUNTIF($E$4:$E$538,$A576&amp;" ضد "&amp;AK$542)+COUNTIF($E$4:$E$538,AK$542&amp;" ضد "&amp;$A576))</f>
        <v>1</v>
      </c>
      <c r="AL576" s="4">
        <f>IF($A576=AL$542,"",COUNTIF($E$4:$E$538,$A576&amp;" ضد "&amp;AL$542)+COUNTIF($E$4:$E$538,AL$542&amp;" ضد "&amp;$A576))</f>
        <v>1</v>
      </c>
      <c r="AM576" s="4">
        <f>IF($A576=AM$542,"",COUNTIF($E$4:$E$538,$A576&amp;" ضد "&amp;AM$542)+COUNTIF($E$4:$E$538,AM$542&amp;" ضد "&amp;$A576))</f>
        <v>1</v>
      </c>
      <c r="AN576" s="4">
        <f>IF($A576=AN$542,"",COUNTIF($E$4:$E$538,$A576&amp;" ضد "&amp;AN$542)+COUNTIF($E$4:$E$538,AN$542&amp;" ضد "&amp;$A576))</f>
        <v>1</v>
      </c>
      <c r="AO576" s="4">
        <f>IF($A576=AO$542,"",COUNTIF($E$4:$E$538,$A576&amp;" ضد "&amp;AO$542)+COUNTIF($E$4:$E$538,AO$542&amp;" ضد "&amp;$A576))</f>
        <v>0</v>
      </c>
      <c r="AP576" s="4">
        <f>IF($A576=AP$542,"",COUNTIF($E$4:$E$538,$A576&amp;" ضد "&amp;AP$542)+COUNTIF($E$4:$E$538,AP$542&amp;" ضد "&amp;$A576))</f>
        <v>0</v>
      </c>
      <c r="AQ576" s="4">
        <f>IF($A576=AQ$542,"",COUNTIF($E$4:$E$538,$A576&amp;" ضد "&amp;AQ$542)+COUNTIF($E$4:$E$538,AQ$542&amp;" ضد "&amp;$A576))</f>
        <v>0</v>
      </c>
      <c r="AR576" s="4">
        <f>IF($A576=AR$542,"",COUNTIF($E$4:$E$538,$A576&amp;" ضد "&amp;AR$542)+COUNTIF($E$4:$E$538,AR$542&amp;" ضد "&amp;$A576))</f>
        <v>0</v>
      </c>
      <c r="AS576" s="4">
        <f>IF($A576=AS$542,"",COUNTIF($E$4:$E$538,$A576&amp;" ضد "&amp;AS$542)+COUNTIF($E$4:$E$538,AS$542&amp;" ضد "&amp;$A576))</f>
        <v>0</v>
      </c>
      <c r="AT576" s="4">
        <f>IF($A576=AT$542,"",COUNTIF($E$4:$E$538,$A576&amp;" ضد "&amp;AT$542)+COUNTIF($E$4:$E$538,AT$542&amp;" ضد "&amp;$A576))</f>
        <v>0</v>
      </c>
      <c r="AU576" s="4">
        <f>IF($A576=AU$542,"",COUNTIF($E$4:$E$538,$A576&amp;" ضد "&amp;AU$542)+COUNTIF($E$4:$E$538,AU$542&amp;" ضد "&amp;$A576))</f>
        <v>0</v>
      </c>
      <c r="AV576" s="4">
        <f>IF($A576=AV$542,"",COUNTIF($E$4:$E$538,$A576&amp;" ضد "&amp;AV$542)+COUNTIF($E$4:$E$538,AV$542&amp;" ضد "&amp;$A576))</f>
        <v>0</v>
      </c>
      <c r="AW576" s="4">
        <f>IF($A576=AW$542,"",COUNTIF($E$4:$E$538,$A576&amp;" ضد "&amp;AW$542)+COUNTIF($E$4:$E$538,AW$542&amp;" ضد "&amp;$A576))</f>
        <v>0</v>
      </c>
      <c r="AX576" s="4">
        <f>IF($A576=AX$542,"",COUNTIF($E$4:$E$538,$A576&amp;" ضد "&amp;AX$542)+COUNTIF($E$4:$E$538,AX$542&amp;" ضد "&amp;$A576))</f>
        <v>0</v>
      </c>
      <c r="AY576" s="4">
        <f>IF($A576=AY$542,"",COUNTIF($E$4:$E$538,$A576&amp;" ضد "&amp;AY$542)+COUNTIF($E$4:$E$538,AY$542&amp;" ضد "&amp;$A576))</f>
        <v>0</v>
      </c>
      <c r="AZ576" s="4">
        <f>IF($A576=AZ$542,"",COUNTIF($E$4:$E$538,$A576&amp;" ضد "&amp;AZ$542)+COUNTIF($E$4:$E$538,AZ$542&amp;" ضد "&amp;$A576))</f>
        <v>0</v>
      </c>
      <c r="BA576" s="4">
        <f>IF($A576=BA$542,"",COUNTIF($E$4:$E$538,$A576&amp;" ضد "&amp;BA$542)+COUNTIF($E$4:$E$538,BA$542&amp;" ضد "&amp;$A576))</f>
        <v>0</v>
      </c>
      <c r="BB576" s="4">
        <f>IF($A576=BB$542,"",COUNTIF($E$4:$E$538,$A576&amp;" ضد "&amp;BB$542)+COUNTIF($E$4:$E$538,BB$542&amp;" ضد "&amp;$A576))</f>
        <v>0</v>
      </c>
      <c r="BC576" s="4">
        <f>IF($A576=BC$542,"",COUNTIF($E$4:$E$538,$A576&amp;" ضد "&amp;BC$542)+COUNTIF($E$4:$E$538,BC$542&amp;" ضد "&amp;$A576))</f>
        <v>0</v>
      </c>
      <c r="BD576" s="4">
        <f>IF($A576=BD$542,"",COUNTIF($E$4:$E$538,$A576&amp;" ضد "&amp;BD$542)+COUNTIF($E$4:$E$538,BD$542&amp;" ضد "&amp;$A576))</f>
        <v>0</v>
      </c>
      <c r="BE576" s="4">
        <f>IF($A576=BE$542,"",COUNTIF($E$4:$E$538,$A576&amp;" ضد "&amp;BE$542)+COUNTIF($E$4:$E$538,BE$542&amp;" ضد "&amp;$A576))</f>
        <v>0</v>
      </c>
      <c r="BF576" s="4">
        <f>IF($A576=BF$542,"",COUNTIF($E$4:$E$538,$A576&amp;" ضد "&amp;BF$542)+COUNTIF($E$4:$E$538,BF$542&amp;" ضد "&amp;$A576))</f>
        <v>0</v>
      </c>
      <c r="BG576" s="4">
        <f>IF($A576=BG$542,"",COUNTIF($E$4:$E$538,$A576&amp;" ضد "&amp;BG$542)+COUNTIF($E$4:$E$538,BG$542&amp;" ضد "&amp;$A576))</f>
        <v>0</v>
      </c>
    </row>
    <row r="577" spans="1:59" ht="14.5">
      <c r="A577" s="14">
        <v>35</v>
      </c>
      <c r="B577" s="4">
        <f>IF($A577=B$542,"",COUNTIF($E$4:$E$538,$A577&amp;" ضد "&amp;B$542)+COUNTIF($E$4:$E$538,B$542&amp;" ضد "&amp;$A577))</f>
        <v>0</v>
      </c>
      <c r="C577" s="4">
        <f>IF($A577=C$542,"",COUNTIF($E$4:$E$538,$A577&amp;" ضد "&amp;C$542)+COUNTIF($E$4:$E$538,C$542&amp;" ضد "&amp;$A577))</f>
        <v>0</v>
      </c>
      <c r="D577" s="4">
        <f>IF($A577=D$542,"",COUNTIF($E$4:$E$538,$A577&amp;" ضد "&amp;D$542)+COUNTIF($E$4:$E$538,D$542&amp;" ضد "&amp;$A577))</f>
        <v>0</v>
      </c>
      <c r="E577" s="4">
        <f>IF($A577=E$542,"",COUNTIF($E$4:$E$538,$A577&amp;" ضد "&amp;E$542)+COUNTIF($E$4:$E$538,E$542&amp;" ضد "&amp;$A577))</f>
        <v>0</v>
      </c>
      <c r="F577" s="4">
        <f>IF($A577=F$542,"",COUNTIF($E$4:$E$538,$A577&amp;" ضد "&amp;F$542)+COUNTIF($E$4:$E$538,F$542&amp;" ضد "&amp;$A577))</f>
        <v>0</v>
      </c>
      <c r="G577" s="4">
        <f>IF($A577=G$542,"",COUNTIF($E$4:$E$538,$A577&amp;" ضد "&amp;G$542)+COUNTIF($E$4:$E$538,G$542&amp;" ضد "&amp;$A577))</f>
        <v>0</v>
      </c>
      <c r="H577" s="4">
        <f>IF($A577=H$542,"",COUNTIF($E$4:$E$538,$A577&amp;" ضد "&amp;H$542)+COUNTIF($E$4:$E$538,H$542&amp;" ضد "&amp;$A577))</f>
        <v>0</v>
      </c>
      <c r="I577" s="4">
        <f>IF($A577=I$542,"",COUNTIF($E$4:$E$538,$A577&amp;" ضد "&amp;I$542)+COUNTIF($E$4:$E$538,I$542&amp;" ضد "&amp;$A577))</f>
        <v>0</v>
      </c>
      <c r="J577" s="4">
        <f>IF($A577=J$542,"",COUNTIF($E$4:$E$538,$A577&amp;" ضد "&amp;J$542)+COUNTIF($E$4:$E$538,J$542&amp;" ضد "&amp;$A577))</f>
        <v>0</v>
      </c>
      <c r="K577" s="4">
        <f>IF($A577=K$542,"",COUNTIF($E$4:$E$538,$A577&amp;" ضد "&amp;K$542)+COUNTIF($E$4:$E$538,K$542&amp;" ضد "&amp;$A577))</f>
        <v>0</v>
      </c>
      <c r="L577" s="4">
        <f>IF($A577=L$542,"",COUNTIF($E$4:$E$538,$A577&amp;" ضد "&amp;L$542)+COUNTIF($E$4:$E$538,L$542&amp;" ضد "&amp;$A577))</f>
        <v>0</v>
      </c>
      <c r="M577" s="4">
        <f>IF($A577=M$542,"",COUNTIF($E$4:$E$538,$A577&amp;" ضد "&amp;M$542)+COUNTIF($E$4:$E$538,M$542&amp;" ضد "&amp;$A577))</f>
        <v>0</v>
      </c>
      <c r="N577" s="4">
        <f>IF($A577=N$542,"",COUNTIF($E$4:$E$538,$A577&amp;" ضد "&amp;N$542)+COUNTIF($E$4:$E$538,N$542&amp;" ضد "&amp;$A577))</f>
        <v>0</v>
      </c>
      <c r="O577" s="4">
        <f>IF($A577=O$542,"",COUNTIF($E$4:$E$538,$A577&amp;" ضد "&amp;O$542)+COUNTIF($E$4:$E$538,O$542&amp;" ضد "&amp;$A577))</f>
        <v>0</v>
      </c>
      <c r="P577" s="4">
        <f>IF($A577=P$542,"",COUNTIF($E$4:$E$538,$A577&amp;" ضد "&amp;P$542)+COUNTIF($E$4:$E$538,P$542&amp;" ضد "&amp;$A577))</f>
        <v>0</v>
      </c>
      <c r="Q577" s="4">
        <f>IF($A577=Q$542,"",COUNTIF($E$4:$E$538,$A577&amp;" ضد "&amp;Q$542)+COUNTIF($E$4:$E$538,Q$542&amp;" ضد "&amp;$A577))</f>
        <v>0</v>
      </c>
      <c r="R577" s="4">
        <f>IF($A577=R$542,"",COUNTIF($E$4:$E$538,$A577&amp;" ضد "&amp;R$542)+COUNTIF($E$4:$E$538,R$542&amp;" ضد "&amp;$A577))</f>
        <v>0</v>
      </c>
      <c r="S577" s="4">
        <f>IF($A577=S$542,"",COUNTIF($E$4:$E$538,$A577&amp;" ضد "&amp;S$542)+COUNTIF($E$4:$E$538,S$542&amp;" ضد "&amp;$A577))</f>
        <v>0</v>
      </c>
      <c r="T577" s="4">
        <f>IF($A577=T$542,"",COUNTIF($E$4:$E$538,$A577&amp;" ضد "&amp;T$542)+COUNTIF($E$4:$E$538,T$542&amp;" ضد "&amp;$A577))</f>
        <v>0</v>
      </c>
      <c r="U577" s="4">
        <f>IF($A577=U$542,"",COUNTIF($E$4:$E$538,$A577&amp;" ضد "&amp;U$542)+COUNTIF($E$4:$E$538,U$542&amp;" ضد "&amp;$A577))</f>
        <v>0</v>
      </c>
      <c r="V577" s="4">
        <f>IF($A577=V$542,"",COUNTIF($E$4:$E$538,$A577&amp;" ضد "&amp;V$542)+COUNTIF($E$4:$E$538,V$542&amp;" ضد "&amp;$A577))</f>
        <v>1</v>
      </c>
      <c r="W577" s="4">
        <f>IF($A577=W$542,"",COUNTIF($E$4:$E$538,$A577&amp;" ضد "&amp;W$542)+COUNTIF($E$4:$E$538,W$542&amp;" ضد "&amp;$A577))</f>
        <v>1</v>
      </c>
      <c r="X577" s="4">
        <f>IF($A577=X$542,"",COUNTIF($E$4:$E$538,$A577&amp;" ضد "&amp;X$542)+COUNTIF($E$4:$E$538,X$542&amp;" ضد "&amp;$A577))</f>
        <v>1</v>
      </c>
      <c r="Y577" s="4">
        <f>IF($A577=Y$542,"",COUNTIF($E$4:$E$538,$A577&amp;" ضد "&amp;Y$542)+COUNTIF($E$4:$E$538,Y$542&amp;" ضد "&amp;$A577))</f>
        <v>1</v>
      </c>
      <c r="Z577" s="4">
        <f>IF($A577=Z$542,"",COUNTIF($E$4:$E$538,$A577&amp;" ضد "&amp;Z$542)+COUNTIF($E$4:$E$538,Z$542&amp;" ضد "&amp;$A577))</f>
        <v>1</v>
      </c>
      <c r="AA577" s="4">
        <f>IF($A577=AA$542,"",COUNTIF($E$4:$E$538,$A577&amp;" ضد "&amp;AA$542)+COUNTIF($E$4:$E$538,AA$542&amp;" ضد "&amp;$A577))</f>
        <v>1</v>
      </c>
      <c r="AB577" s="4">
        <f>IF($A577=AB$542,"",COUNTIF($E$4:$E$538,$A577&amp;" ضد "&amp;AB$542)+COUNTIF($E$4:$E$538,AB$542&amp;" ضد "&amp;$A577))</f>
        <v>1</v>
      </c>
      <c r="AC577" s="4">
        <f>IF($A577=AC$542,"",COUNTIF($E$4:$E$538,$A577&amp;" ضد "&amp;AC$542)+COUNTIF($E$4:$E$538,AC$542&amp;" ضد "&amp;$A577))</f>
        <v>1</v>
      </c>
      <c r="AD577" s="4">
        <f>IF($A577=AD$542,"",COUNTIF($E$4:$E$538,$A577&amp;" ضد "&amp;AD$542)+COUNTIF($E$4:$E$538,AD$542&amp;" ضد "&amp;$A577))</f>
        <v>1</v>
      </c>
      <c r="AE577" s="4">
        <f>IF($A577=AE$542,"",COUNTIF($E$4:$E$538,$A577&amp;" ضد "&amp;AE$542)+COUNTIF($E$4:$E$538,AE$542&amp;" ضد "&amp;$A577))</f>
        <v>1</v>
      </c>
      <c r="AF577" s="4">
        <f>IF($A577=AF$542,"",COUNTIF($E$4:$E$538,$A577&amp;" ضد "&amp;AF$542)+COUNTIF($E$4:$E$538,AF$542&amp;" ضد "&amp;$A577))</f>
        <v>1</v>
      </c>
      <c r="AG577" s="4">
        <f>IF($A577=AG$542,"",COUNTIF($E$4:$E$538,$A577&amp;" ضد "&amp;AG$542)+COUNTIF($E$4:$E$538,AG$542&amp;" ضد "&amp;$A577))</f>
        <v>1</v>
      </c>
      <c r="AH577" s="4">
        <f>IF($A577=AH$542,"",COUNTIF($E$4:$E$538,$A577&amp;" ضد "&amp;AH$542)+COUNTIF($E$4:$E$538,AH$542&amp;" ضد "&amp;$A577))</f>
        <v>1</v>
      </c>
      <c r="AI577" s="4">
        <f>IF($A577=AI$542,"",COUNTIF($E$4:$E$538,$A577&amp;" ضد "&amp;AI$542)+COUNTIF($E$4:$E$538,AI$542&amp;" ضد "&amp;$A577))</f>
        <v>1</v>
      </c>
      <c r="AJ577" s="4" t="str">
        <f>IF($A577=AJ$542,"",COUNTIF($E$4:$E$538,$A577&amp;" ضد "&amp;AJ$542)+COUNTIF($E$4:$E$538,AJ$542&amp;" ضد "&amp;$A577))</f>
        <v/>
      </c>
      <c r="AK577" s="4">
        <f>IF($A577=AK$542,"",COUNTIF($E$4:$E$538,$A577&amp;" ضد "&amp;AK$542)+COUNTIF($E$4:$E$538,AK$542&amp;" ضد "&amp;$A577))</f>
        <v>1</v>
      </c>
      <c r="AL577" s="4">
        <f>IF($A577=AL$542,"",COUNTIF($E$4:$E$538,$A577&amp;" ضد "&amp;AL$542)+COUNTIF($E$4:$E$538,AL$542&amp;" ضد "&amp;$A577))</f>
        <v>1</v>
      </c>
      <c r="AM577" s="4">
        <f>IF($A577=AM$542,"",COUNTIF($E$4:$E$538,$A577&amp;" ضد "&amp;AM$542)+COUNTIF($E$4:$E$538,AM$542&amp;" ضد "&amp;$A577))</f>
        <v>1</v>
      </c>
      <c r="AN577" s="4">
        <f>IF($A577=AN$542,"",COUNTIF($E$4:$E$538,$A577&amp;" ضد "&amp;AN$542)+COUNTIF($E$4:$E$538,AN$542&amp;" ضد "&amp;$A577))</f>
        <v>1</v>
      </c>
      <c r="AO577" s="4">
        <f>IF($A577=AO$542,"",COUNTIF($E$4:$E$538,$A577&amp;" ضد "&amp;AO$542)+COUNTIF($E$4:$E$538,AO$542&amp;" ضد "&amp;$A577))</f>
        <v>0</v>
      </c>
      <c r="AP577" s="4">
        <f>IF($A577=AP$542,"",COUNTIF($E$4:$E$538,$A577&amp;" ضد "&amp;AP$542)+COUNTIF($E$4:$E$538,AP$542&amp;" ضد "&amp;$A577))</f>
        <v>0</v>
      </c>
      <c r="AQ577" s="4">
        <f>IF($A577=AQ$542,"",COUNTIF($E$4:$E$538,$A577&amp;" ضد "&amp;AQ$542)+COUNTIF($E$4:$E$538,AQ$542&amp;" ضد "&amp;$A577))</f>
        <v>0</v>
      </c>
      <c r="AR577" s="4">
        <f>IF($A577=AR$542,"",COUNTIF($E$4:$E$538,$A577&amp;" ضد "&amp;AR$542)+COUNTIF($E$4:$E$538,AR$542&amp;" ضد "&amp;$A577))</f>
        <v>0</v>
      </c>
      <c r="AS577" s="4">
        <f>IF($A577=AS$542,"",COUNTIF($E$4:$E$538,$A577&amp;" ضد "&amp;AS$542)+COUNTIF($E$4:$E$538,AS$542&amp;" ضد "&amp;$A577))</f>
        <v>0</v>
      </c>
      <c r="AT577" s="4">
        <f>IF($A577=AT$542,"",COUNTIF($E$4:$E$538,$A577&amp;" ضد "&amp;AT$542)+COUNTIF($E$4:$E$538,AT$542&amp;" ضد "&amp;$A577))</f>
        <v>0</v>
      </c>
      <c r="AU577" s="4">
        <f>IF($A577=AU$542,"",COUNTIF($E$4:$E$538,$A577&amp;" ضد "&amp;AU$542)+COUNTIF($E$4:$E$538,AU$542&amp;" ضد "&amp;$A577))</f>
        <v>0</v>
      </c>
      <c r="AV577" s="4">
        <f>IF($A577=AV$542,"",COUNTIF($E$4:$E$538,$A577&amp;" ضد "&amp;AV$542)+COUNTIF($E$4:$E$538,AV$542&amp;" ضد "&amp;$A577))</f>
        <v>0</v>
      </c>
      <c r="AW577" s="4">
        <f>IF($A577=AW$542,"",COUNTIF($E$4:$E$538,$A577&amp;" ضد "&amp;AW$542)+COUNTIF($E$4:$E$538,AW$542&amp;" ضد "&amp;$A577))</f>
        <v>0</v>
      </c>
      <c r="AX577" s="4">
        <f>IF($A577=AX$542,"",COUNTIF($E$4:$E$538,$A577&amp;" ضد "&amp;AX$542)+COUNTIF($E$4:$E$538,AX$542&amp;" ضد "&amp;$A577))</f>
        <v>0</v>
      </c>
      <c r="AY577" s="4">
        <f>IF($A577=AY$542,"",COUNTIF($E$4:$E$538,$A577&amp;" ضد "&amp;AY$542)+COUNTIF($E$4:$E$538,AY$542&amp;" ضد "&amp;$A577))</f>
        <v>0</v>
      </c>
      <c r="AZ577" s="4">
        <f>IF($A577=AZ$542,"",COUNTIF($E$4:$E$538,$A577&amp;" ضد "&amp;AZ$542)+COUNTIF($E$4:$E$538,AZ$542&amp;" ضد "&amp;$A577))</f>
        <v>0</v>
      </c>
      <c r="BA577" s="4">
        <f>IF($A577=BA$542,"",COUNTIF($E$4:$E$538,$A577&amp;" ضد "&amp;BA$542)+COUNTIF($E$4:$E$538,BA$542&amp;" ضد "&amp;$A577))</f>
        <v>0</v>
      </c>
      <c r="BB577" s="4">
        <f>IF($A577=BB$542,"",COUNTIF($E$4:$E$538,$A577&amp;" ضد "&amp;BB$542)+COUNTIF($E$4:$E$538,BB$542&amp;" ضد "&amp;$A577))</f>
        <v>0</v>
      </c>
      <c r="BC577" s="4">
        <f>IF($A577=BC$542,"",COUNTIF($E$4:$E$538,$A577&amp;" ضد "&amp;BC$542)+COUNTIF($E$4:$E$538,BC$542&amp;" ضد "&amp;$A577))</f>
        <v>0</v>
      </c>
      <c r="BD577" s="4">
        <f>IF($A577=BD$542,"",COUNTIF($E$4:$E$538,$A577&amp;" ضد "&amp;BD$542)+COUNTIF($E$4:$E$538,BD$542&amp;" ضد "&amp;$A577))</f>
        <v>0</v>
      </c>
      <c r="BE577" s="4">
        <f>IF($A577=BE$542,"",COUNTIF($E$4:$E$538,$A577&amp;" ضد "&amp;BE$542)+COUNTIF($E$4:$E$538,BE$542&amp;" ضد "&amp;$A577))</f>
        <v>0</v>
      </c>
      <c r="BF577" s="4">
        <f>IF($A577=BF$542,"",COUNTIF($E$4:$E$538,$A577&amp;" ضد "&amp;BF$542)+COUNTIF($E$4:$E$538,BF$542&amp;" ضد "&amp;$A577))</f>
        <v>0</v>
      </c>
      <c r="BG577" s="4">
        <f>IF($A577=BG$542,"",COUNTIF($E$4:$E$538,$A577&amp;" ضد "&amp;BG$542)+COUNTIF($E$4:$E$538,BG$542&amp;" ضد "&amp;$A577))</f>
        <v>0</v>
      </c>
    </row>
    <row r="578" spans="1:59" ht="14.5">
      <c r="A578" s="14">
        <v>36</v>
      </c>
      <c r="B578" s="4">
        <f>IF($A578=B$542,"",COUNTIF($E$4:$E$538,$A578&amp;" ضد "&amp;B$542)+COUNTIF($E$4:$E$538,B$542&amp;" ضد "&amp;$A578))</f>
        <v>0</v>
      </c>
      <c r="C578" s="4">
        <f>IF($A578=C$542,"",COUNTIF($E$4:$E$538,$A578&amp;" ضد "&amp;C$542)+COUNTIF($E$4:$E$538,C$542&amp;" ضد "&amp;$A578))</f>
        <v>0</v>
      </c>
      <c r="D578" s="4">
        <f>IF($A578=D$542,"",COUNTIF($E$4:$E$538,$A578&amp;" ضد "&amp;D$542)+COUNTIF($E$4:$E$538,D$542&amp;" ضد "&amp;$A578))</f>
        <v>0</v>
      </c>
      <c r="E578" s="4">
        <f>IF($A578=E$542,"",COUNTIF($E$4:$E$538,$A578&amp;" ضد "&amp;E$542)+COUNTIF($E$4:$E$538,E$542&amp;" ضد "&amp;$A578))</f>
        <v>0</v>
      </c>
      <c r="F578" s="4">
        <f>IF($A578=F$542,"",COUNTIF($E$4:$E$538,$A578&amp;" ضد "&amp;F$542)+COUNTIF($E$4:$E$538,F$542&amp;" ضد "&amp;$A578))</f>
        <v>0</v>
      </c>
      <c r="G578" s="4">
        <f>IF($A578=G$542,"",COUNTIF($E$4:$E$538,$A578&amp;" ضد "&amp;G$542)+COUNTIF($E$4:$E$538,G$542&amp;" ضد "&amp;$A578))</f>
        <v>0</v>
      </c>
      <c r="H578" s="4">
        <f>IF($A578=H$542,"",COUNTIF($E$4:$E$538,$A578&amp;" ضد "&amp;H$542)+COUNTIF($E$4:$E$538,H$542&amp;" ضد "&amp;$A578))</f>
        <v>0</v>
      </c>
      <c r="I578" s="4">
        <f>IF($A578=I$542,"",COUNTIF($E$4:$E$538,$A578&amp;" ضد "&amp;I$542)+COUNTIF($E$4:$E$538,I$542&amp;" ضد "&amp;$A578))</f>
        <v>0</v>
      </c>
      <c r="J578" s="4">
        <f>IF($A578=J$542,"",COUNTIF($E$4:$E$538,$A578&amp;" ضد "&amp;J$542)+COUNTIF($E$4:$E$538,J$542&amp;" ضد "&amp;$A578))</f>
        <v>0</v>
      </c>
      <c r="K578" s="4">
        <f>IF($A578=K$542,"",COUNTIF($E$4:$E$538,$A578&amp;" ضد "&amp;K$542)+COUNTIF($E$4:$E$538,K$542&amp;" ضد "&amp;$A578))</f>
        <v>0</v>
      </c>
      <c r="L578" s="4">
        <f>IF($A578=L$542,"",COUNTIF($E$4:$E$538,$A578&amp;" ضد "&amp;L$542)+COUNTIF($E$4:$E$538,L$542&amp;" ضد "&amp;$A578))</f>
        <v>0</v>
      </c>
      <c r="M578" s="4">
        <f>IF($A578=M$542,"",COUNTIF($E$4:$E$538,$A578&amp;" ضد "&amp;M$542)+COUNTIF($E$4:$E$538,M$542&amp;" ضد "&amp;$A578))</f>
        <v>0</v>
      </c>
      <c r="N578" s="4">
        <f>IF($A578=N$542,"",COUNTIF($E$4:$E$538,$A578&amp;" ضد "&amp;N$542)+COUNTIF($E$4:$E$538,N$542&amp;" ضد "&amp;$A578))</f>
        <v>0</v>
      </c>
      <c r="O578" s="4">
        <f>IF($A578=O$542,"",COUNTIF($E$4:$E$538,$A578&amp;" ضد "&amp;O$542)+COUNTIF($E$4:$E$538,O$542&amp;" ضد "&amp;$A578))</f>
        <v>0</v>
      </c>
      <c r="P578" s="4">
        <f>IF($A578=P$542,"",COUNTIF($E$4:$E$538,$A578&amp;" ضد "&amp;P$542)+COUNTIF($E$4:$E$538,P$542&amp;" ضد "&amp;$A578))</f>
        <v>0</v>
      </c>
      <c r="Q578" s="4">
        <f>IF($A578=Q$542,"",COUNTIF($E$4:$E$538,$A578&amp;" ضد "&amp;Q$542)+COUNTIF($E$4:$E$538,Q$542&amp;" ضد "&amp;$A578))</f>
        <v>0</v>
      </c>
      <c r="R578" s="4">
        <f>IF($A578=R$542,"",COUNTIF($E$4:$E$538,$A578&amp;" ضد "&amp;R$542)+COUNTIF($E$4:$E$538,R$542&amp;" ضد "&amp;$A578))</f>
        <v>0</v>
      </c>
      <c r="S578" s="4">
        <f>IF($A578=S$542,"",COUNTIF($E$4:$E$538,$A578&amp;" ضد "&amp;S$542)+COUNTIF($E$4:$E$538,S$542&amp;" ضد "&amp;$A578))</f>
        <v>0</v>
      </c>
      <c r="T578" s="4">
        <f>IF($A578=T$542,"",COUNTIF($E$4:$E$538,$A578&amp;" ضد "&amp;T$542)+COUNTIF($E$4:$E$538,T$542&amp;" ضد "&amp;$A578))</f>
        <v>0</v>
      </c>
      <c r="U578" s="4">
        <f>IF($A578=U$542,"",COUNTIF($E$4:$E$538,$A578&amp;" ضد "&amp;U$542)+COUNTIF($E$4:$E$538,U$542&amp;" ضد "&amp;$A578))</f>
        <v>0</v>
      </c>
      <c r="V578" s="4">
        <f>IF($A578=V$542,"",COUNTIF($E$4:$E$538,$A578&amp;" ضد "&amp;V$542)+COUNTIF($E$4:$E$538,V$542&amp;" ضد "&amp;$A578))</f>
        <v>1</v>
      </c>
      <c r="W578" s="4">
        <f>IF($A578=W$542,"",COUNTIF($E$4:$E$538,$A578&amp;" ضد "&amp;W$542)+COUNTIF($E$4:$E$538,W$542&amp;" ضد "&amp;$A578))</f>
        <v>1</v>
      </c>
      <c r="X578" s="4">
        <f>IF($A578=X$542,"",COUNTIF($E$4:$E$538,$A578&amp;" ضد "&amp;X$542)+COUNTIF($E$4:$E$538,X$542&amp;" ضد "&amp;$A578))</f>
        <v>1</v>
      </c>
      <c r="Y578" s="4">
        <f>IF($A578=Y$542,"",COUNTIF($E$4:$E$538,$A578&amp;" ضد "&amp;Y$542)+COUNTIF($E$4:$E$538,Y$542&amp;" ضد "&amp;$A578))</f>
        <v>1</v>
      </c>
      <c r="Z578" s="4">
        <f>IF($A578=Z$542,"",COUNTIF($E$4:$E$538,$A578&amp;" ضد "&amp;Z$542)+COUNTIF($E$4:$E$538,Z$542&amp;" ضد "&amp;$A578))</f>
        <v>1</v>
      </c>
      <c r="AA578" s="4">
        <f>IF($A578=AA$542,"",COUNTIF($E$4:$E$538,$A578&amp;" ضد "&amp;AA$542)+COUNTIF($E$4:$E$538,AA$542&amp;" ضد "&amp;$A578))</f>
        <v>1</v>
      </c>
      <c r="AB578" s="4">
        <f>IF($A578=AB$542,"",COUNTIF($E$4:$E$538,$A578&amp;" ضد "&amp;AB$542)+COUNTIF($E$4:$E$538,AB$542&amp;" ضد "&amp;$A578))</f>
        <v>1</v>
      </c>
      <c r="AC578" s="4">
        <f>IF($A578=AC$542,"",COUNTIF($E$4:$E$538,$A578&amp;" ضد "&amp;AC$542)+COUNTIF($E$4:$E$538,AC$542&amp;" ضد "&amp;$A578))</f>
        <v>1</v>
      </c>
      <c r="AD578" s="4">
        <f>IF($A578=AD$542,"",COUNTIF($E$4:$E$538,$A578&amp;" ضد "&amp;AD$542)+COUNTIF($E$4:$E$538,AD$542&amp;" ضد "&amp;$A578))</f>
        <v>1</v>
      </c>
      <c r="AE578" s="4">
        <f>IF($A578=AE$542,"",COUNTIF($E$4:$E$538,$A578&amp;" ضد "&amp;AE$542)+COUNTIF($E$4:$E$538,AE$542&amp;" ضد "&amp;$A578))</f>
        <v>1</v>
      </c>
      <c r="AF578" s="4">
        <f>IF($A578=AF$542,"",COUNTIF($E$4:$E$538,$A578&amp;" ضد "&amp;AF$542)+COUNTIF($E$4:$E$538,AF$542&amp;" ضد "&amp;$A578))</f>
        <v>1</v>
      </c>
      <c r="AG578" s="4">
        <f>IF($A578=AG$542,"",COUNTIF($E$4:$E$538,$A578&amp;" ضد "&amp;AG$542)+COUNTIF($E$4:$E$538,AG$542&amp;" ضد "&amp;$A578))</f>
        <v>1</v>
      </c>
      <c r="AH578" s="4">
        <f>IF($A578=AH$542,"",COUNTIF($E$4:$E$538,$A578&amp;" ضد "&amp;AH$542)+COUNTIF($E$4:$E$538,AH$542&amp;" ضد "&amp;$A578))</f>
        <v>1</v>
      </c>
      <c r="AI578" s="4">
        <f>IF($A578=AI$542,"",COUNTIF($E$4:$E$538,$A578&amp;" ضد "&amp;AI$542)+COUNTIF($E$4:$E$538,AI$542&amp;" ضد "&amp;$A578))</f>
        <v>1</v>
      </c>
      <c r="AJ578" s="4">
        <f>IF($A578=AJ$542,"",COUNTIF($E$4:$E$538,$A578&amp;" ضد "&amp;AJ$542)+COUNTIF($E$4:$E$538,AJ$542&amp;" ضد "&amp;$A578))</f>
        <v>1</v>
      </c>
      <c r="AK578" s="4" t="str">
        <f>IF($A578=AK$542,"",COUNTIF($E$4:$E$538,$A578&amp;" ضد "&amp;AK$542)+COUNTIF($E$4:$E$538,AK$542&amp;" ضد "&amp;$A578))</f>
        <v/>
      </c>
      <c r="AL578" s="4">
        <f>IF($A578=AL$542,"",COUNTIF($E$4:$E$538,$A578&amp;" ضد "&amp;AL$542)+COUNTIF($E$4:$E$538,AL$542&amp;" ضد "&amp;$A578))</f>
        <v>1</v>
      </c>
      <c r="AM578" s="4">
        <f>IF($A578=AM$542,"",COUNTIF($E$4:$E$538,$A578&amp;" ضد "&amp;AM$542)+COUNTIF($E$4:$E$538,AM$542&amp;" ضد "&amp;$A578))</f>
        <v>1</v>
      </c>
      <c r="AN578" s="4">
        <f>IF($A578=AN$542,"",COUNTIF($E$4:$E$538,$A578&amp;" ضد "&amp;AN$542)+COUNTIF($E$4:$E$538,AN$542&amp;" ضد "&amp;$A578))</f>
        <v>1</v>
      </c>
      <c r="AO578" s="4">
        <f>IF($A578=AO$542,"",COUNTIF($E$4:$E$538,$A578&amp;" ضد "&amp;AO$542)+COUNTIF($E$4:$E$538,AO$542&amp;" ضد "&amp;$A578))</f>
        <v>0</v>
      </c>
      <c r="AP578" s="4">
        <f>IF($A578=AP$542,"",COUNTIF($E$4:$E$538,$A578&amp;" ضد "&amp;AP$542)+COUNTIF($E$4:$E$538,AP$542&amp;" ضد "&amp;$A578))</f>
        <v>0</v>
      </c>
      <c r="AQ578" s="4">
        <f>IF($A578=AQ$542,"",COUNTIF($E$4:$E$538,$A578&amp;" ضد "&amp;AQ$542)+COUNTIF($E$4:$E$538,AQ$542&amp;" ضد "&amp;$A578))</f>
        <v>0</v>
      </c>
      <c r="AR578" s="4">
        <f>IF($A578=AR$542,"",COUNTIF($E$4:$E$538,$A578&amp;" ضد "&amp;AR$542)+COUNTIF($E$4:$E$538,AR$542&amp;" ضد "&amp;$A578))</f>
        <v>0</v>
      </c>
      <c r="AS578" s="4">
        <f>IF($A578=AS$542,"",COUNTIF($E$4:$E$538,$A578&amp;" ضد "&amp;AS$542)+COUNTIF($E$4:$E$538,AS$542&amp;" ضد "&amp;$A578))</f>
        <v>0</v>
      </c>
      <c r="AT578" s="4">
        <f>IF($A578=AT$542,"",COUNTIF($E$4:$E$538,$A578&amp;" ضد "&amp;AT$542)+COUNTIF($E$4:$E$538,AT$542&amp;" ضد "&amp;$A578))</f>
        <v>0</v>
      </c>
      <c r="AU578" s="4">
        <f>IF($A578=AU$542,"",COUNTIF($E$4:$E$538,$A578&amp;" ضد "&amp;AU$542)+COUNTIF($E$4:$E$538,AU$542&amp;" ضد "&amp;$A578))</f>
        <v>0</v>
      </c>
      <c r="AV578" s="4">
        <f>IF($A578=AV$542,"",COUNTIF($E$4:$E$538,$A578&amp;" ضد "&amp;AV$542)+COUNTIF($E$4:$E$538,AV$542&amp;" ضد "&amp;$A578))</f>
        <v>0</v>
      </c>
      <c r="AW578" s="4">
        <f>IF($A578=AW$542,"",COUNTIF($E$4:$E$538,$A578&amp;" ضد "&amp;AW$542)+COUNTIF($E$4:$E$538,AW$542&amp;" ضد "&amp;$A578))</f>
        <v>0</v>
      </c>
      <c r="AX578" s="4">
        <f>IF($A578=AX$542,"",COUNTIF($E$4:$E$538,$A578&amp;" ضد "&amp;AX$542)+COUNTIF($E$4:$E$538,AX$542&amp;" ضد "&amp;$A578))</f>
        <v>0</v>
      </c>
      <c r="AY578" s="4">
        <f>IF($A578=AY$542,"",COUNTIF($E$4:$E$538,$A578&amp;" ضد "&amp;AY$542)+COUNTIF($E$4:$E$538,AY$542&amp;" ضد "&amp;$A578))</f>
        <v>0</v>
      </c>
      <c r="AZ578" s="4">
        <f>IF($A578=AZ$542,"",COUNTIF($E$4:$E$538,$A578&amp;" ضد "&amp;AZ$542)+COUNTIF($E$4:$E$538,AZ$542&amp;" ضد "&amp;$A578))</f>
        <v>0</v>
      </c>
      <c r="BA578" s="4">
        <f>IF($A578=BA$542,"",COUNTIF($E$4:$E$538,$A578&amp;" ضد "&amp;BA$542)+COUNTIF($E$4:$E$538,BA$542&amp;" ضد "&amp;$A578))</f>
        <v>0</v>
      </c>
      <c r="BB578" s="4">
        <f>IF($A578=BB$542,"",COUNTIF($E$4:$E$538,$A578&amp;" ضد "&amp;BB$542)+COUNTIF($E$4:$E$538,BB$542&amp;" ضد "&amp;$A578))</f>
        <v>0</v>
      </c>
      <c r="BC578" s="4">
        <f>IF($A578=BC$542,"",COUNTIF($E$4:$E$538,$A578&amp;" ضد "&amp;BC$542)+COUNTIF($E$4:$E$538,BC$542&amp;" ضد "&amp;$A578))</f>
        <v>0</v>
      </c>
      <c r="BD578" s="4">
        <f>IF($A578=BD$542,"",COUNTIF($E$4:$E$538,$A578&amp;" ضد "&amp;BD$542)+COUNTIF($E$4:$E$538,BD$542&amp;" ضد "&amp;$A578))</f>
        <v>0</v>
      </c>
      <c r="BE578" s="4">
        <f>IF($A578=BE$542,"",COUNTIF($E$4:$E$538,$A578&amp;" ضد "&amp;BE$542)+COUNTIF($E$4:$E$538,BE$542&amp;" ضد "&amp;$A578))</f>
        <v>0</v>
      </c>
      <c r="BF578" s="4">
        <f>IF($A578=BF$542,"",COUNTIF($E$4:$E$538,$A578&amp;" ضد "&amp;BF$542)+COUNTIF($E$4:$E$538,BF$542&amp;" ضد "&amp;$A578))</f>
        <v>0</v>
      </c>
      <c r="BG578" s="4">
        <f>IF($A578=BG$542,"",COUNTIF($E$4:$E$538,$A578&amp;" ضد "&amp;BG$542)+COUNTIF($E$4:$E$538,BG$542&amp;" ضد "&amp;$A578))</f>
        <v>0</v>
      </c>
    </row>
    <row r="579" spans="1:59" ht="14.5">
      <c r="A579" s="14">
        <v>37</v>
      </c>
      <c r="B579" s="4">
        <f>IF($A579=B$542,"",COUNTIF($E$4:$E$538,$A579&amp;" ضد "&amp;B$542)+COUNTIF($E$4:$E$538,B$542&amp;" ضد "&amp;$A579))</f>
        <v>0</v>
      </c>
      <c r="C579" s="4">
        <f>IF($A579=C$542,"",COUNTIF($E$4:$E$538,$A579&amp;" ضد "&amp;C$542)+COUNTIF($E$4:$E$538,C$542&amp;" ضد "&amp;$A579))</f>
        <v>0</v>
      </c>
      <c r="D579" s="4">
        <f>IF($A579=D$542,"",COUNTIF($E$4:$E$538,$A579&amp;" ضد "&amp;D$542)+COUNTIF($E$4:$E$538,D$542&amp;" ضد "&amp;$A579))</f>
        <v>0</v>
      </c>
      <c r="E579" s="4">
        <f>IF($A579=E$542,"",COUNTIF($E$4:$E$538,$A579&amp;" ضد "&amp;E$542)+COUNTIF($E$4:$E$538,E$542&amp;" ضد "&amp;$A579))</f>
        <v>0</v>
      </c>
      <c r="F579" s="4">
        <f>IF($A579=F$542,"",COUNTIF($E$4:$E$538,$A579&amp;" ضد "&amp;F$542)+COUNTIF($E$4:$E$538,F$542&amp;" ضد "&amp;$A579))</f>
        <v>0</v>
      </c>
      <c r="G579" s="4">
        <f>IF($A579=G$542,"",COUNTIF($E$4:$E$538,$A579&amp;" ضد "&amp;G$542)+COUNTIF($E$4:$E$538,G$542&amp;" ضد "&amp;$A579))</f>
        <v>0</v>
      </c>
      <c r="H579" s="4">
        <f>IF($A579=H$542,"",COUNTIF($E$4:$E$538,$A579&amp;" ضد "&amp;H$542)+COUNTIF($E$4:$E$538,H$542&amp;" ضد "&amp;$A579))</f>
        <v>0</v>
      </c>
      <c r="I579" s="4">
        <f>IF($A579=I$542,"",COUNTIF($E$4:$E$538,$A579&amp;" ضد "&amp;I$542)+COUNTIF($E$4:$E$538,I$542&amp;" ضد "&amp;$A579))</f>
        <v>0</v>
      </c>
      <c r="J579" s="4">
        <f>IF($A579=J$542,"",COUNTIF($E$4:$E$538,$A579&amp;" ضد "&amp;J$542)+COUNTIF($E$4:$E$538,J$542&amp;" ضد "&amp;$A579))</f>
        <v>0</v>
      </c>
      <c r="K579" s="4">
        <f>IF($A579=K$542,"",COUNTIF($E$4:$E$538,$A579&amp;" ضد "&amp;K$542)+COUNTIF($E$4:$E$538,K$542&amp;" ضد "&amp;$A579))</f>
        <v>0</v>
      </c>
      <c r="L579" s="4">
        <f>IF($A579=L$542,"",COUNTIF($E$4:$E$538,$A579&amp;" ضد "&amp;L$542)+COUNTIF($E$4:$E$538,L$542&amp;" ضد "&amp;$A579))</f>
        <v>0</v>
      </c>
      <c r="M579" s="4">
        <f>IF($A579=M$542,"",COUNTIF($E$4:$E$538,$A579&amp;" ضد "&amp;M$542)+COUNTIF($E$4:$E$538,M$542&amp;" ضد "&amp;$A579))</f>
        <v>0</v>
      </c>
      <c r="N579" s="4">
        <f>IF($A579=N$542,"",COUNTIF($E$4:$E$538,$A579&amp;" ضد "&amp;N$542)+COUNTIF($E$4:$E$538,N$542&amp;" ضد "&amp;$A579))</f>
        <v>0</v>
      </c>
      <c r="O579" s="4">
        <f>IF($A579=O$542,"",COUNTIF($E$4:$E$538,$A579&amp;" ضد "&amp;O$542)+COUNTIF($E$4:$E$538,O$542&amp;" ضد "&amp;$A579))</f>
        <v>0</v>
      </c>
      <c r="P579" s="4">
        <f>IF($A579=P$542,"",COUNTIF($E$4:$E$538,$A579&amp;" ضد "&amp;P$542)+COUNTIF($E$4:$E$538,P$542&amp;" ضد "&amp;$A579))</f>
        <v>0</v>
      </c>
      <c r="Q579" s="4">
        <f>IF($A579=Q$542,"",COUNTIF($E$4:$E$538,$A579&amp;" ضد "&amp;Q$542)+COUNTIF($E$4:$E$538,Q$542&amp;" ضد "&amp;$A579))</f>
        <v>0</v>
      </c>
      <c r="R579" s="4">
        <f>IF($A579=R$542,"",COUNTIF($E$4:$E$538,$A579&amp;" ضد "&amp;R$542)+COUNTIF($E$4:$E$538,R$542&amp;" ضد "&amp;$A579))</f>
        <v>0</v>
      </c>
      <c r="S579" s="4">
        <f>IF($A579=S$542,"",COUNTIF($E$4:$E$538,$A579&amp;" ضد "&amp;S$542)+COUNTIF($E$4:$E$538,S$542&amp;" ضد "&amp;$A579))</f>
        <v>0</v>
      </c>
      <c r="T579" s="4">
        <f>IF($A579=T$542,"",COUNTIF($E$4:$E$538,$A579&amp;" ضد "&amp;T$542)+COUNTIF($E$4:$E$538,T$542&amp;" ضد "&amp;$A579))</f>
        <v>0</v>
      </c>
      <c r="U579" s="4">
        <f>IF($A579=U$542,"",COUNTIF($E$4:$E$538,$A579&amp;" ضد "&amp;U$542)+COUNTIF($E$4:$E$538,U$542&amp;" ضد "&amp;$A579))</f>
        <v>0</v>
      </c>
      <c r="V579" s="4">
        <f>IF($A579=V$542,"",COUNTIF($E$4:$E$538,$A579&amp;" ضد "&amp;V$542)+COUNTIF($E$4:$E$538,V$542&amp;" ضد "&amp;$A579))</f>
        <v>1</v>
      </c>
      <c r="W579" s="4">
        <f>IF($A579=W$542,"",COUNTIF($E$4:$E$538,$A579&amp;" ضد "&amp;W$542)+COUNTIF($E$4:$E$538,W$542&amp;" ضد "&amp;$A579))</f>
        <v>1</v>
      </c>
      <c r="X579" s="4">
        <f>IF($A579=X$542,"",COUNTIF($E$4:$E$538,$A579&amp;" ضد "&amp;X$542)+COUNTIF($E$4:$E$538,X$542&amp;" ضد "&amp;$A579))</f>
        <v>1</v>
      </c>
      <c r="Y579" s="4">
        <f>IF($A579=Y$542,"",COUNTIF($E$4:$E$538,$A579&amp;" ضد "&amp;Y$542)+COUNTIF($E$4:$E$538,Y$542&amp;" ضد "&amp;$A579))</f>
        <v>1</v>
      </c>
      <c r="Z579" s="4">
        <f>IF($A579=Z$542,"",COUNTIF($E$4:$E$538,$A579&amp;" ضد "&amp;Z$542)+COUNTIF($E$4:$E$538,Z$542&amp;" ضد "&amp;$A579))</f>
        <v>1</v>
      </c>
      <c r="AA579" s="4">
        <f>IF($A579=AA$542,"",COUNTIF($E$4:$E$538,$A579&amp;" ضد "&amp;AA$542)+COUNTIF($E$4:$E$538,AA$542&amp;" ضد "&amp;$A579))</f>
        <v>1</v>
      </c>
      <c r="AB579" s="4">
        <f>IF($A579=AB$542,"",COUNTIF($E$4:$E$538,$A579&amp;" ضد "&amp;AB$542)+COUNTIF($E$4:$E$538,AB$542&amp;" ضد "&amp;$A579))</f>
        <v>1</v>
      </c>
      <c r="AC579" s="4">
        <f>IF($A579=AC$542,"",COUNTIF($E$4:$E$538,$A579&amp;" ضد "&amp;AC$542)+COUNTIF($E$4:$E$538,AC$542&amp;" ضد "&amp;$A579))</f>
        <v>1</v>
      </c>
      <c r="AD579" s="4">
        <f>IF($A579=AD$542,"",COUNTIF($E$4:$E$538,$A579&amp;" ضد "&amp;AD$542)+COUNTIF($E$4:$E$538,AD$542&amp;" ضد "&amp;$A579))</f>
        <v>1</v>
      </c>
      <c r="AE579" s="4">
        <f>IF($A579=AE$542,"",COUNTIF($E$4:$E$538,$A579&amp;" ضد "&amp;AE$542)+COUNTIF($E$4:$E$538,AE$542&amp;" ضد "&amp;$A579))</f>
        <v>1</v>
      </c>
      <c r="AF579" s="4">
        <f>IF($A579=AF$542,"",COUNTIF($E$4:$E$538,$A579&amp;" ضد "&amp;AF$542)+COUNTIF($E$4:$E$538,AF$542&amp;" ضد "&amp;$A579))</f>
        <v>1</v>
      </c>
      <c r="AG579" s="4">
        <f>IF($A579=AG$542,"",COUNTIF($E$4:$E$538,$A579&amp;" ضد "&amp;AG$542)+COUNTIF($E$4:$E$538,AG$542&amp;" ضد "&amp;$A579))</f>
        <v>1</v>
      </c>
      <c r="AH579" s="4">
        <f>IF($A579=AH$542,"",COUNTIF($E$4:$E$538,$A579&amp;" ضد "&amp;AH$542)+COUNTIF($E$4:$E$538,AH$542&amp;" ضد "&amp;$A579))</f>
        <v>1</v>
      </c>
      <c r="AI579" s="4">
        <f>IF($A579=AI$542,"",COUNTIF($E$4:$E$538,$A579&amp;" ضد "&amp;AI$542)+COUNTIF($E$4:$E$538,AI$542&amp;" ضد "&amp;$A579))</f>
        <v>1</v>
      </c>
      <c r="AJ579" s="4">
        <f>IF($A579=AJ$542,"",COUNTIF($E$4:$E$538,$A579&amp;" ضد "&amp;AJ$542)+COUNTIF($E$4:$E$538,AJ$542&amp;" ضد "&amp;$A579))</f>
        <v>1</v>
      </c>
      <c r="AK579" s="4">
        <f>IF($A579=AK$542,"",COUNTIF($E$4:$E$538,$A579&amp;" ضد "&amp;AK$542)+COUNTIF($E$4:$E$538,AK$542&amp;" ضد "&amp;$A579))</f>
        <v>1</v>
      </c>
      <c r="AL579" s="4" t="str">
        <f>IF($A579=AL$542,"",COUNTIF($E$4:$E$538,$A579&amp;" ضد "&amp;AL$542)+COUNTIF($E$4:$E$538,AL$542&amp;" ضد "&amp;$A579))</f>
        <v/>
      </c>
      <c r="AM579" s="4">
        <f>IF($A579=AM$542,"",COUNTIF($E$4:$E$538,$A579&amp;" ضد "&amp;AM$542)+COUNTIF($E$4:$E$538,AM$542&amp;" ضد "&amp;$A579))</f>
        <v>1</v>
      </c>
      <c r="AN579" s="4">
        <f>IF($A579=AN$542,"",COUNTIF($E$4:$E$538,$A579&amp;" ضد "&amp;AN$542)+COUNTIF($E$4:$E$538,AN$542&amp;" ضد "&amp;$A579))</f>
        <v>1</v>
      </c>
      <c r="AO579" s="4">
        <f>IF($A579=AO$542,"",COUNTIF($E$4:$E$538,$A579&amp;" ضد "&amp;AO$542)+COUNTIF($E$4:$E$538,AO$542&amp;" ضد "&amp;$A579))</f>
        <v>0</v>
      </c>
      <c r="AP579" s="4">
        <f>IF($A579=AP$542,"",COUNTIF($E$4:$E$538,$A579&amp;" ضد "&amp;AP$542)+COUNTIF($E$4:$E$538,AP$542&amp;" ضد "&amp;$A579))</f>
        <v>0</v>
      </c>
      <c r="AQ579" s="4">
        <f>IF($A579=AQ$542,"",COUNTIF($E$4:$E$538,$A579&amp;" ضد "&amp;AQ$542)+COUNTIF($E$4:$E$538,AQ$542&amp;" ضد "&amp;$A579))</f>
        <v>0</v>
      </c>
      <c r="AR579" s="4">
        <f>IF($A579=AR$542,"",COUNTIF($E$4:$E$538,$A579&amp;" ضد "&amp;AR$542)+COUNTIF($E$4:$E$538,AR$542&amp;" ضد "&amp;$A579))</f>
        <v>0</v>
      </c>
      <c r="AS579" s="4">
        <f>IF($A579=AS$542,"",COUNTIF($E$4:$E$538,$A579&amp;" ضد "&amp;AS$542)+COUNTIF($E$4:$E$538,AS$542&amp;" ضد "&amp;$A579))</f>
        <v>0</v>
      </c>
      <c r="AT579" s="4">
        <f>IF($A579=AT$542,"",COUNTIF($E$4:$E$538,$A579&amp;" ضد "&amp;AT$542)+COUNTIF($E$4:$E$538,AT$542&amp;" ضد "&amp;$A579))</f>
        <v>0</v>
      </c>
      <c r="AU579" s="4">
        <f>IF($A579=AU$542,"",COUNTIF($E$4:$E$538,$A579&amp;" ضد "&amp;AU$542)+COUNTIF($E$4:$E$538,AU$542&amp;" ضد "&amp;$A579))</f>
        <v>0</v>
      </c>
      <c r="AV579" s="4">
        <f>IF($A579=AV$542,"",COUNTIF($E$4:$E$538,$A579&amp;" ضد "&amp;AV$542)+COUNTIF($E$4:$E$538,AV$542&amp;" ضد "&amp;$A579))</f>
        <v>0</v>
      </c>
      <c r="AW579" s="4">
        <f>IF($A579=AW$542,"",COUNTIF($E$4:$E$538,$A579&amp;" ضد "&amp;AW$542)+COUNTIF($E$4:$E$538,AW$542&amp;" ضد "&amp;$A579))</f>
        <v>0</v>
      </c>
      <c r="AX579" s="4">
        <f>IF($A579=AX$542,"",COUNTIF($E$4:$E$538,$A579&amp;" ضد "&amp;AX$542)+COUNTIF($E$4:$E$538,AX$542&amp;" ضد "&amp;$A579))</f>
        <v>0</v>
      </c>
      <c r="AY579" s="4">
        <f>IF($A579=AY$542,"",COUNTIF($E$4:$E$538,$A579&amp;" ضد "&amp;AY$542)+COUNTIF($E$4:$E$538,AY$542&amp;" ضد "&amp;$A579))</f>
        <v>0</v>
      </c>
      <c r="AZ579" s="4">
        <f>IF($A579=AZ$542,"",COUNTIF($E$4:$E$538,$A579&amp;" ضد "&amp;AZ$542)+COUNTIF($E$4:$E$538,AZ$542&amp;" ضد "&amp;$A579))</f>
        <v>0</v>
      </c>
      <c r="BA579" s="4">
        <f>IF($A579=BA$542,"",COUNTIF($E$4:$E$538,$A579&amp;" ضد "&amp;BA$542)+COUNTIF($E$4:$E$538,BA$542&amp;" ضد "&amp;$A579))</f>
        <v>0</v>
      </c>
      <c r="BB579" s="4">
        <f>IF($A579=BB$542,"",COUNTIF($E$4:$E$538,$A579&amp;" ضد "&amp;BB$542)+COUNTIF($E$4:$E$538,BB$542&amp;" ضد "&amp;$A579))</f>
        <v>0</v>
      </c>
      <c r="BC579" s="4">
        <f>IF($A579=BC$542,"",COUNTIF($E$4:$E$538,$A579&amp;" ضد "&amp;BC$542)+COUNTIF($E$4:$E$538,BC$542&amp;" ضد "&amp;$A579))</f>
        <v>0</v>
      </c>
      <c r="BD579" s="4">
        <f>IF($A579=BD$542,"",COUNTIF($E$4:$E$538,$A579&amp;" ضد "&amp;BD$542)+COUNTIF($E$4:$E$538,BD$542&amp;" ضد "&amp;$A579))</f>
        <v>0</v>
      </c>
      <c r="BE579" s="4">
        <f>IF($A579=BE$542,"",COUNTIF($E$4:$E$538,$A579&amp;" ضد "&amp;BE$542)+COUNTIF($E$4:$E$538,BE$542&amp;" ضد "&amp;$A579))</f>
        <v>0</v>
      </c>
      <c r="BF579" s="4">
        <f>IF($A579=BF$542,"",COUNTIF($E$4:$E$538,$A579&amp;" ضد "&amp;BF$542)+COUNTIF($E$4:$E$538,BF$542&amp;" ضد "&amp;$A579))</f>
        <v>0</v>
      </c>
      <c r="BG579" s="4">
        <f>IF($A579=BG$542,"",COUNTIF($E$4:$E$538,$A579&amp;" ضد "&amp;BG$542)+COUNTIF($E$4:$E$538,BG$542&amp;" ضد "&amp;$A579))</f>
        <v>0</v>
      </c>
    </row>
    <row r="580" spans="1:59" ht="14.5">
      <c r="A580" s="14">
        <v>38</v>
      </c>
      <c r="B580" s="4">
        <f>IF($A580=B$542,"",COUNTIF($E$4:$E$538,$A580&amp;" ضد "&amp;B$542)+COUNTIF($E$4:$E$538,B$542&amp;" ضد "&amp;$A580))</f>
        <v>0</v>
      </c>
      <c r="C580" s="4">
        <f>IF($A580=C$542,"",COUNTIF($E$4:$E$538,$A580&amp;" ضد "&amp;C$542)+COUNTIF($E$4:$E$538,C$542&amp;" ضد "&amp;$A580))</f>
        <v>0</v>
      </c>
      <c r="D580" s="4">
        <f>IF($A580=D$542,"",COUNTIF($E$4:$E$538,$A580&amp;" ضد "&amp;D$542)+COUNTIF($E$4:$E$538,D$542&amp;" ضد "&amp;$A580))</f>
        <v>0</v>
      </c>
      <c r="E580" s="4">
        <f>IF($A580=E$542,"",COUNTIF($E$4:$E$538,$A580&amp;" ضد "&amp;E$542)+COUNTIF($E$4:$E$538,E$542&amp;" ضد "&amp;$A580))</f>
        <v>0</v>
      </c>
      <c r="F580" s="4">
        <f>IF($A580=F$542,"",COUNTIF($E$4:$E$538,$A580&amp;" ضد "&amp;F$542)+COUNTIF($E$4:$E$538,F$542&amp;" ضد "&amp;$A580))</f>
        <v>0</v>
      </c>
      <c r="G580" s="4">
        <f>IF($A580=G$542,"",COUNTIF($E$4:$E$538,$A580&amp;" ضد "&amp;G$542)+COUNTIF($E$4:$E$538,G$542&amp;" ضد "&amp;$A580))</f>
        <v>0</v>
      </c>
      <c r="H580" s="4">
        <f>IF($A580=H$542,"",COUNTIF($E$4:$E$538,$A580&amp;" ضد "&amp;H$542)+COUNTIF($E$4:$E$538,H$542&amp;" ضد "&amp;$A580))</f>
        <v>0</v>
      </c>
      <c r="I580" s="4">
        <f>IF($A580=I$542,"",COUNTIF($E$4:$E$538,$A580&amp;" ضد "&amp;I$542)+COUNTIF($E$4:$E$538,I$542&amp;" ضد "&amp;$A580))</f>
        <v>0</v>
      </c>
      <c r="J580" s="4">
        <f>IF($A580=J$542,"",COUNTIF($E$4:$E$538,$A580&amp;" ضد "&amp;J$542)+COUNTIF($E$4:$E$538,J$542&amp;" ضد "&amp;$A580))</f>
        <v>0</v>
      </c>
      <c r="K580" s="4">
        <f>IF($A580=K$542,"",COUNTIF($E$4:$E$538,$A580&amp;" ضد "&amp;K$542)+COUNTIF($E$4:$E$538,K$542&amp;" ضد "&amp;$A580))</f>
        <v>0</v>
      </c>
      <c r="L580" s="4">
        <f>IF($A580=L$542,"",COUNTIF($E$4:$E$538,$A580&amp;" ضد "&amp;L$542)+COUNTIF($E$4:$E$538,L$542&amp;" ضد "&amp;$A580))</f>
        <v>0</v>
      </c>
      <c r="M580" s="4">
        <f>IF($A580=M$542,"",COUNTIF($E$4:$E$538,$A580&amp;" ضد "&amp;M$542)+COUNTIF($E$4:$E$538,M$542&amp;" ضد "&amp;$A580))</f>
        <v>0</v>
      </c>
      <c r="N580" s="4">
        <f>IF($A580=N$542,"",COUNTIF($E$4:$E$538,$A580&amp;" ضد "&amp;N$542)+COUNTIF($E$4:$E$538,N$542&amp;" ضد "&amp;$A580))</f>
        <v>0</v>
      </c>
      <c r="O580" s="4">
        <f>IF($A580=O$542,"",COUNTIF($E$4:$E$538,$A580&amp;" ضد "&amp;O$542)+COUNTIF($E$4:$E$538,O$542&amp;" ضد "&amp;$A580))</f>
        <v>0</v>
      </c>
      <c r="P580" s="4">
        <f>IF($A580=P$542,"",COUNTIF($E$4:$E$538,$A580&amp;" ضد "&amp;P$542)+COUNTIF($E$4:$E$538,P$542&amp;" ضد "&amp;$A580))</f>
        <v>0</v>
      </c>
      <c r="Q580" s="4">
        <f>IF($A580=Q$542,"",COUNTIF($E$4:$E$538,$A580&amp;" ضد "&amp;Q$542)+COUNTIF($E$4:$E$538,Q$542&amp;" ضد "&amp;$A580))</f>
        <v>0</v>
      </c>
      <c r="R580" s="4">
        <f>IF($A580=R$542,"",COUNTIF($E$4:$E$538,$A580&amp;" ضد "&amp;R$542)+COUNTIF($E$4:$E$538,R$542&amp;" ضد "&amp;$A580))</f>
        <v>0</v>
      </c>
      <c r="S580" s="4">
        <f>IF($A580=S$542,"",COUNTIF($E$4:$E$538,$A580&amp;" ضد "&amp;S$542)+COUNTIF($E$4:$E$538,S$542&amp;" ضد "&amp;$A580))</f>
        <v>0</v>
      </c>
      <c r="T580" s="4">
        <f>IF($A580=T$542,"",COUNTIF($E$4:$E$538,$A580&amp;" ضد "&amp;T$542)+COUNTIF($E$4:$E$538,T$542&amp;" ضد "&amp;$A580))</f>
        <v>0</v>
      </c>
      <c r="U580" s="4">
        <f>IF($A580=U$542,"",COUNTIF($E$4:$E$538,$A580&amp;" ضد "&amp;U$542)+COUNTIF($E$4:$E$538,U$542&amp;" ضد "&amp;$A580))</f>
        <v>0</v>
      </c>
      <c r="V580" s="4">
        <f>IF($A580=V$542,"",COUNTIF($E$4:$E$538,$A580&amp;" ضد "&amp;V$542)+COUNTIF($E$4:$E$538,V$542&amp;" ضد "&amp;$A580))</f>
        <v>1</v>
      </c>
      <c r="W580" s="4">
        <f>IF($A580=W$542,"",COUNTIF($E$4:$E$538,$A580&amp;" ضد "&amp;W$542)+COUNTIF($E$4:$E$538,W$542&amp;" ضد "&amp;$A580))</f>
        <v>1</v>
      </c>
      <c r="X580" s="4">
        <f>IF($A580=X$542,"",COUNTIF($E$4:$E$538,$A580&amp;" ضد "&amp;X$542)+COUNTIF($E$4:$E$538,X$542&amp;" ضد "&amp;$A580))</f>
        <v>1</v>
      </c>
      <c r="Y580" s="4">
        <f>IF($A580=Y$542,"",COUNTIF($E$4:$E$538,$A580&amp;" ضد "&amp;Y$542)+COUNTIF($E$4:$E$538,Y$542&amp;" ضد "&amp;$A580))</f>
        <v>1</v>
      </c>
      <c r="Z580" s="4">
        <f>IF($A580=Z$542,"",COUNTIF($E$4:$E$538,$A580&amp;" ضد "&amp;Z$542)+COUNTIF($E$4:$E$538,Z$542&amp;" ضد "&amp;$A580))</f>
        <v>1</v>
      </c>
      <c r="AA580" s="4">
        <f>IF($A580=AA$542,"",COUNTIF($E$4:$E$538,$A580&amp;" ضد "&amp;AA$542)+COUNTIF($E$4:$E$538,AA$542&amp;" ضد "&amp;$A580))</f>
        <v>1</v>
      </c>
      <c r="AB580" s="4">
        <f>IF($A580=AB$542,"",COUNTIF($E$4:$E$538,$A580&amp;" ضد "&amp;AB$542)+COUNTIF($E$4:$E$538,AB$542&amp;" ضد "&amp;$A580))</f>
        <v>1</v>
      </c>
      <c r="AC580" s="4">
        <f>IF($A580=AC$542,"",COUNTIF($E$4:$E$538,$A580&amp;" ضد "&amp;AC$542)+COUNTIF($E$4:$E$538,AC$542&amp;" ضد "&amp;$A580))</f>
        <v>1</v>
      </c>
      <c r="AD580" s="4">
        <f>IF($A580=AD$542,"",COUNTIF($E$4:$E$538,$A580&amp;" ضد "&amp;AD$542)+COUNTIF($E$4:$E$538,AD$542&amp;" ضد "&amp;$A580))</f>
        <v>1</v>
      </c>
      <c r="AE580" s="4">
        <f>IF($A580=AE$542,"",COUNTIF($E$4:$E$538,$A580&amp;" ضد "&amp;AE$542)+COUNTIF($E$4:$E$538,AE$542&amp;" ضد "&amp;$A580))</f>
        <v>1</v>
      </c>
      <c r="AF580" s="4">
        <f>IF($A580=AF$542,"",COUNTIF($E$4:$E$538,$A580&amp;" ضد "&amp;AF$542)+COUNTIF($E$4:$E$538,AF$542&amp;" ضد "&amp;$A580))</f>
        <v>1</v>
      </c>
      <c r="AG580" s="4">
        <f>IF($A580=AG$542,"",COUNTIF($E$4:$E$538,$A580&amp;" ضد "&amp;AG$542)+COUNTIF($E$4:$E$538,AG$542&amp;" ضد "&amp;$A580))</f>
        <v>1</v>
      </c>
      <c r="AH580" s="4">
        <f>IF($A580=AH$542,"",COUNTIF($E$4:$E$538,$A580&amp;" ضد "&amp;AH$542)+COUNTIF($E$4:$E$538,AH$542&amp;" ضد "&amp;$A580))</f>
        <v>1</v>
      </c>
      <c r="AI580" s="4">
        <f>IF($A580=AI$542,"",COUNTIF($E$4:$E$538,$A580&amp;" ضد "&amp;AI$542)+COUNTIF($E$4:$E$538,AI$542&amp;" ضد "&amp;$A580))</f>
        <v>1</v>
      </c>
      <c r="AJ580" s="4">
        <f>IF($A580=AJ$542,"",COUNTIF($E$4:$E$538,$A580&amp;" ضد "&amp;AJ$542)+COUNTIF($E$4:$E$538,AJ$542&amp;" ضد "&amp;$A580))</f>
        <v>1</v>
      </c>
      <c r="AK580" s="4">
        <f>IF($A580=AK$542,"",COUNTIF($E$4:$E$538,$A580&amp;" ضد "&amp;AK$542)+COUNTIF($E$4:$E$538,AK$542&amp;" ضد "&amp;$A580))</f>
        <v>1</v>
      </c>
      <c r="AL580" s="4">
        <f>IF($A580=AL$542,"",COUNTIF($E$4:$E$538,$A580&amp;" ضد "&amp;AL$542)+COUNTIF($E$4:$E$538,AL$542&amp;" ضد "&amp;$A580))</f>
        <v>1</v>
      </c>
      <c r="AM580" s="4" t="str">
        <f>IF($A580=AM$542,"",COUNTIF($E$4:$E$538,$A580&amp;" ضد "&amp;AM$542)+COUNTIF($E$4:$E$538,AM$542&amp;" ضد "&amp;$A580))</f>
        <v/>
      </c>
      <c r="AN580" s="4">
        <f>IF($A580=AN$542,"",COUNTIF($E$4:$E$538,$A580&amp;" ضد "&amp;AN$542)+COUNTIF($E$4:$E$538,AN$542&amp;" ضد "&amp;$A580))</f>
        <v>1</v>
      </c>
      <c r="AO580" s="4">
        <f>IF($A580=AO$542,"",COUNTIF($E$4:$E$538,$A580&amp;" ضد "&amp;AO$542)+COUNTIF($E$4:$E$538,AO$542&amp;" ضد "&amp;$A580))</f>
        <v>0</v>
      </c>
      <c r="AP580" s="4">
        <f>IF($A580=AP$542,"",COUNTIF($E$4:$E$538,$A580&amp;" ضد "&amp;AP$542)+COUNTIF($E$4:$E$538,AP$542&amp;" ضد "&amp;$A580))</f>
        <v>0</v>
      </c>
      <c r="AQ580" s="4">
        <f>IF($A580=AQ$542,"",COUNTIF($E$4:$E$538,$A580&amp;" ضد "&amp;AQ$542)+COUNTIF($E$4:$E$538,AQ$542&amp;" ضد "&amp;$A580))</f>
        <v>0</v>
      </c>
      <c r="AR580" s="4">
        <f>IF($A580=AR$542,"",COUNTIF($E$4:$E$538,$A580&amp;" ضد "&amp;AR$542)+COUNTIF($E$4:$E$538,AR$542&amp;" ضد "&amp;$A580))</f>
        <v>0</v>
      </c>
      <c r="AS580" s="4">
        <f>IF($A580=AS$542,"",COUNTIF($E$4:$E$538,$A580&amp;" ضد "&amp;AS$542)+COUNTIF($E$4:$E$538,AS$542&amp;" ضد "&amp;$A580))</f>
        <v>0</v>
      </c>
      <c r="AT580" s="4">
        <f>IF($A580=AT$542,"",COUNTIF($E$4:$E$538,$A580&amp;" ضد "&amp;AT$542)+COUNTIF($E$4:$E$538,AT$542&amp;" ضد "&amp;$A580))</f>
        <v>0</v>
      </c>
      <c r="AU580" s="4">
        <f>IF($A580=AU$542,"",COUNTIF($E$4:$E$538,$A580&amp;" ضد "&amp;AU$542)+COUNTIF($E$4:$E$538,AU$542&amp;" ضد "&amp;$A580))</f>
        <v>0</v>
      </c>
      <c r="AV580" s="4">
        <f>IF($A580=AV$542,"",COUNTIF($E$4:$E$538,$A580&amp;" ضد "&amp;AV$542)+COUNTIF($E$4:$E$538,AV$542&amp;" ضد "&amp;$A580))</f>
        <v>0</v>
      </c>
      <c r="AW580" s="4">
        <f>IF($A580=AW$542,"",COUNTIF($E$4:$E$538,$A580&amp;" ضد "&amp;AW$542)+COUNTIF($E$4:$E$538,AW$542&amp;" ضد "&amp;$A580))</f>
        <v>0</v>
      </c>
      <c r="AX580" s="4">
        <f>IF($A580=AX$542,"",COUNTIF($E$4:$E$538,$A580&amp;" ضد "&amp;AX$542)+COUNTIF($E$4:$E$538,AX$542&amp;" ضد "&amp;$A580))</f>
        <v>0</v>
      </c>
      <c r="AY580" s="4">
        <f>IF($A580=AY$542,"",COUNTIF($E$4:$E$538,$A580&amp;" ضد "&amp;AY$542)+COUNTIF($E$4:$E$538,AY$542&amp;" ضد "&amp;$A580))</f>
        <v>0</v>
      </c>
      <c r="AZ580" s="4">
        <f>IF($A580=AZ$542,"",COUNTIF($E$4:$E$538,$A580&amp;" ضد "&amp;AZ$542)+COUNTIF($E$4:$E$538,AZ$542&amp;" ضد "&amp;$A580))</f>
        <v>0</v>
      </c>
      <c r="BA580" s="4">
        <f>IF($A580=BA$542,"",COUNTIF($E$4:$E$538,$A580&amp;" ضد "&amp;BA$542)+COUNTIF($E$4:$E$538,BA$542&amp;" ضد "&amp;$A580))</f>
        <v>0</v>
      </c>
      <c r="BB580" s="4">
        <f>IF($A580=BB$542,"",COUNTIF($E$4:$E$538,$A580&amp;" ضد "&amp;BB$542)+COUNTIF($E$4:$E$538,BB$542&amp;" ضد "&amp;$A580))</f>
        <v>0</v>
      </c>
      <c r="BC580" s="4">
        <f>IF($A580=BC$542,"",COUNTIF($E$4:$E$538,$A580&amp;" ضد "&amp;BC$542)+COUNTIF($E$4:$E$538,BC$542&amp;" ضد "&amp;$A580))</f>
        <v>0</v>
      </c>
      <c r="BD580" s="4">
        <f>IF($A580=BD$542,"",COUNTIF($E$4:$E$538,$A580&amp;" ضد "&amp;BD$542)+COUNTIF($E$4:$E$538,BD$542&amp;" ضد "&amp;$A580))</f>
        <v>0</v>
      </c>
      <c r="BE580" s="4">
        <f>IF($A580=BE$542,"",COUNTIF($E$4:$E$538,$A580&amp;" ضد "&amp;BE$542)+COUNTIF($E$4:$E$538,BE$542&amp;" ضد "&amp;$A580))</f>
        <v>0</v>
      </c>
      <c r="BF580" s="4">
        <f>IF($A580=BF$542,"",COUNTIF($E$4:$E$538,$A580&amp;" ضد "&amp;BF$542)+COUNTIF($E$4:$E$538,BF$542&amp;" ضد "&amp;$A580))</f>
        <v>0</v>
      </c>
      <c r="BG580" s="4">
        <f>IF($A580=BG$542,"",COUNTIF($E$4:$E$538,$A580&amp;" ضد "&amp;BG$542)+COUNTIF($E$4:$E$538,BG$542&amp;" ضد "&amp;$A580))</f>
        <v>0</v>
      </c>
    </row>
    <row r="581" spans="1:59" ht="14.5">
      <c r="A581" s="14">
        <v>39</v>
      </c>
      <c r="B581" s="4">
        <f>IF($A581=B$542,"",COUNTIF($E$4:$E$538,$A581&amp;" ضد "&amp;B$542)+COUNTIF($E$4:$E$538,B$542&amp;" ضد "&amp;$A581))</f>
        <v>0</v>
      </c>
      <c r="C581" s="4">
        <f>IF($A581=C$542,"",COUNTIF($E$4:$E$538,$A581&amp;" ضد "&amp;C$542)+COUNTIF($E$4:$E$538,C$542&amp;" ضد "&amp;$A581))</f>
        <v>0</v>
      </c>
      <c r="D581" s="4">
        <f>IF($A581=D$542,"",COUNTIF($E$4:$E$538,$A581&amp;" ضد "&amp;D$542)+COUNTIF($E$4:$E$538,D$542&amp;" ضد "&amp;$A581))</f>
        <v>0</v>
      </c>
      <c r="E581" s="4">
        <f>IF($A581=E$542,"",COUNTIF($E$4:$E$538,$A581&amp;" ضد "&amp;E$542)+COUNTIF($E$4:$E$538,E$542&amp;" ضد "&amp;$A581))</f>
        <v>0</v>
      </c>
      <c r="F581" s="4">
        <f>IF($A581=F$542,"",COUNTIF($E$4:$E$538,$A581&amp;" ضد "&amp;F$542)+COUNTIF($E$4:$E$538,F$542&amp;" ضد "&amp;$A581))</f>
        <v>0</v>
      </c>
      <c r="G581" s="4">
        <f>IF($A581=G$542,"",COUNTIF($E$4:$E$538,$A581&amp;" ضد "&amp;G$542)+COUNTIF($E$4:$E$538,G$542&amp;" ضد "&amp;$A581))</f>
        <v>0</v>
      </c>
      <c r="H581" s="4">
        <f>IF($A581=H$542,"",COUNTIF($E$4:$E$538,$A581&amp;" ضد "&amp;H$542)+COUNTIF($E$4:$E$538,H$542&amp;" ضد "&amp;$A581))</f>
        <v>0</v>
      </c>
      <c r="I581" s="4">
        <f>IF($A581=I$542,"",COUNTIF($E$4:$E$538,$A581&amp;" ضد "&amp;I$542)+COUNTIF($E$4:$E$538,I$542&amp;" ضد "&amp;$A581))</f>
        <v>0</v>
      </c>
      <c r="J581" s="4">
        <f>IF($A581=J$542,"",COUNTIF($E$4:$E$538,$A581&amp;" ضد "&amp;J$542)+COUNTIF($E$4:$E$538,J$542&amp;" ضد "&amp;$A581))</f>
        <v>0</v>
      </c>
      <c r="K581" s="4">
        <f>IF($A581=K$542,"",COUNTIF($E$4:$E$538,$A581&amp;" ضد "&amp;K$542)+COUNTIF($E$4:$E$538,K$542&amp;" ضد "&amp;$A581))</f>
        <v>0</v>
      </c>
      <c r="L581" s="4">
        <f>IF($A581=L$542,"",COUNTIF($E$4:$E$538,$A581&amp;" ضد "&amp;L$542)+COUNTIF($E$4:$E$538,L$542&amp;" ضد "&amp;$A581))</f>
        <v>0</v>
      </c>
      <c r="M581" s="4">
        <f>IF($A581=M$542,"",COUNTIF($E$4:$E$538,$A581&amp;" ضد "&amp;M$542)+COUNTIF($E$4:$E$538,M$542&amp;" ضد "&amp;$A581))</f>
        <v>0</v>
      </c>
      <c r="N581" s="4">
        <f>IF($A581=N$542,"",COUNTIF($E$4:$E$538,$A581&amp;" ضد "&amp;N$542)+COUNTIF($E$4:$E$538,N$542&amp;" ضد "&amp;$A581))</f>
        <v>0</v>
      </c>
      <c r="O581" s="4">
        <f>IF($A581=O$542,"",COUNTIF($E$4:$E$538,$A581&amp;" ضد "&amp;O$542)+COUNTIF($E$4:$E$538,O$542&amp;" ضد "&amp;$A581))</f>
        <v>0</v>
      </c>
      <c r="P581" s="4">
        <f>IF($A581=P$542,"",COUNTIF($E$4:$E$538,$A581&amp;" ضد "&amp;P$542)+COUNTIF($E$4:$E$538,P$542&amp;" ضد "&amp;$A581))</f>
        <v>0</v>
      </c>
      <c r="Q581" s="4">
        <f>IF($A581=Q$542,"",COUNTIF($E$4:$E$538,$A581&amp;" ضد "&amp;Q$542)+COUNTIF($E$4:$E$538,Q$542&amp;" ضد "&amp;$A581))</f>
        <v>0</v>
      </c>
      <c r="R581" s="4">
        <f>IF($A581=R$542,"",COUNTIF($E$4:$E$538,$A581&amp;" ضد "&amp;R$542)+COUNTIF($E$4:$E$538,R$542&amp;" ضد "&amp;$A581))</f>
        <v>0</v>
      </c>
      <c r="S581" s="4">
        <f>IF($A581=S$542,"",COUNTIF($E$4:$E$538,$A581&amp;" ضد "&amp;S$542)+COUNTIF($E$4:$E$538,S$542&amp;" ضد "&amp;$A581))</f>
        <v>0</v>
      </c>
      <c r="T581" s="4">
        <f>IF($A581=T$542,"",COUNTIF($E$4:$E$538,$A581&amp;" ضد "&amp;T$542)+COUNTIF($E$4:$E$538,T$542&amp;" ضد "&amp;$A581))</f>
        <v>0</v>
      </c>
      <c r="U581" s="4">
        <f>IF($A581=U$542,"",COUNTIF($E$4:$E$538,$A581&amp;" ضد "&amp;U$542)+COUNTIF($E$4:$E$538,U$542&amp;" ضد "&amp;$A581))</f>
        <v>0</v>
      </c>
      <c r="V581" s="4">
        <f>IF($A581=V$542,"",COUNTIF($E$4:$E$538,$A581&amp;" ضد "&amp;V$542)+COUNTIF($E$4:$E$538,V$542&amp;" ضد "&amp;$A581))</f>
        <v>1</v>
      </c>
      <c r="W581" s="4">
        <f>IF($A581=W$542,"",COUNTIF($E$4:$E$538,$A581&amp;" ضد "&amp;W$542)+COUNTIF($E$4:$E$538,W$542&amp;" ضد "&amp;$A581))</f>
        <v>1</v>
      </c>
      <c r="X581" s="4">
        <f>IF($A581=X$542,"",COUNTIF($E$4:$E$538,$A581&amp;" ضد "&amp;X$542)+COUNTIF($E$4:$E$538,X$542&amp;" ضد "&amp;$A581))</f>
        <v>1</v>
      </c>
      <c r="Y581" s="4">
        <f>IF($A581=Y$542,"",COUNTIF($E$4:$E$538,$A581&amp;" ضد "&amp;Y$542)+COUNTIF($E$4:$E$538,Y$542&amp;" ضد "&amp;$A581))</f>
        <v>1</v>
      </c>
      <c r="Z581" s="4">
        <f>IF($A581=Z$542,"",COUNTIF($E$4:$E$538,$A581&amp;" ضد "&amp;Z$542)+COUNTIF($E$4:$E$538,Z$542&amp;" ضد "&amp;$A581))</f>
        <v>1</v>
      </c>
      <c r="AA581" s="4">
        <f>IF($A581=AA$542,"",COUNTIF($E$4:$E$538,$A581&amp;" ضد "&amp;AA$542)+COUNTIF($E$4:$E$538,AA$542&amp;" ضد "&amp;$A581))</f>
        <v>1</v>
      </c>
      <c r="AB581" s="4">
        <f>IF($A581=AB$542,"",COUNTIF($E$4:$E$538,$A581&amp;" ضد "&amp;AB$542)+COUNTIF($E$4:$E$538,AB$542&amp;" ضد "&amp;$A581))</f>
        <v>1</v>
      </c>
      <c r="AC581" s="4">
        <f>IF($A581=AC$542,"",COUNTIF($E$4:$E$538,$A581&amp;" ضد "&amp;AC$542)+COUNTIF($E$4:$E$538,AC$542&amp;" ضد "&amp;$A581))</f>
        <v>1</v>
      </c>
      <c r="AD581" s="4">
        <f>IF($A581=AD$542,"",COUNTIF($E$4:$E$538,$A581&amp;" ضد "&amp;AD$542)+COUNTIF($E$4:$E$538,AD$542&amp;" ضد "&amp;$A581))</f>
        <v>1</v>
      </c>
      <c r="AE581" s="4">
        <f>IF($A581=AE$542,"",COUNTIF($E$4:$E$538,$A581&amp;" ضد "&amp;AE$542)+COUNTIF($E$4:$E$538,AE$542&amp;" ضد "&amp;$A581))</f>
        <v>1</v>
      </c>
      <c r="AF581" s="4">
        <f>IF($A581=AF$542,"",COUNTIF($E$4:$E$538,$A581&amp;" ضد "&amp;AF$542)+COUNTIF($E$4:$E$538,AF$542&amp;" ضد "&amp;$A581))</f>
        <v>1</v>
      </c>
      <c r="AG581" s="4">
        <f>IF($A581=AG$542,"",COUNTIF($E$4:$E$538,$A581&amp;" ضد "&amp;AG$542)+COUNTIF($E$4:$E$538,AG$542&amp;" ضد "&amp;$A581))</f>
        <v>1</v>
      </c>
      <c r="AH581" s="4">
        <f>IF($A581=AH$542,"",COUNTIF($E$4:$E$538,$A581&amp;" ضد "&amp;AH$542)+COUNTIF($E$4:$E$538,AH$542&amp;" ضد "&amp;$A581))</f>
        <v>1</v>
      </c>
      <c r="AI581" s="4">
        <f>IF($A581=AI$542,"",COUNTIF($E$4:$E$538,$A581&amp;" ضد "&amp;AI$542)+COUNTIF($E$4:$E$538,AI$542&amp;" ضد "&amp;$A581))</f>
        <v>1</v>
      </c>
      <c r="AJ581" s="4">
        <f>IF($A581=AJ$542,"",COUNTIF($E$4:$E$538,$A581&amp;" ضد "&amp;AJ$542)+COUNTIF($E$4:$E$538,AJ$542&amp;" ضد "&amp;$A581))</f>
        <v>1</v>
      </c>
      <c r="AK581" s="4">
        <f>IF($A581=AK$542,"",COUNTIF($E$4:$E$538,$A581&amp;" ضد "&amp;AK$542)+COUNTIF($E$4:$E$538,AK$542&amp;" ضد "&amp;$A581))</f>
        <v>1</v>
      </c>
      <c r="AL581" s="4">
        <f>IF($A581=AL$542,"",COUNTIF($E$4:$E$538,$A581&amp;" ضد "&amp;AL$542)+COUNTIF($E$4:$E$538,AL$542&amp;" ضد "&amp;$A581))</f>
        <v>1</v>
      </c>
      <c r="AM581" s="4">
        <f>IF($A581=AM$542,"",COUNTIF($E$4:$E$538,$A581&amp;" ضد "&amp;AM$542)+COUNTIF($E$4:$E$538,AM$542&amp;" ضد "&amp;$A581))</f>
        <v>1</v>
      </c>
      <c r="AN581" s="4" t="str">
        <f>IF($A581=AN$542,"",COUNTIF($E$4:$E$538,$A581&amp;" ضد "&amp;AN$542)+COUNTIF($E$4:$E$538,AN$542&amp;" ضد "&amp;$A581))</f>
        <v/>
      </c>
      <c r="AO581" s="4">
        <f>IF($A581=AO$542,"",COUNTIF($E$4:$E$538,$A581&amp;" ضد "&amp;AO$542)+COUNTIF($E$4:$E$538,AO$542&amp;" ضد "&amp;$A581))</f>
        <v>0</v>
      </c>
      <c r="AP581" s="4">
        <f>IF($A581=AP$542,"",COUNTIF($E$4:$E$538,$A581&amp;" ضد "&amp;AP$542)+COUNTIF($E$4:$E$538,AP$542&amp;" ضد "&amp;$A581))</f>
        <v>0</v>
      </c>
      <c r="AQ581" s="4">
        <f>IF($A581=AQ$542,"",COUNTIF($E$4:$E$538,$A581&amp;" ضد "&amp;AQ$542)+COUNTIF($E$4:$E$538,AQ$542&amp;" ضد "&amp;$A581))</f>
        <v>0</v>
      </c>
      <c r="AR581" s="4">
        <f>IF($A581=AR$542,"",COUNTIF($E$4:$E$538,$A581&amp;" ضد "&amp;AR$542)+COUNTIF($E$4:$E$538,AR$542&amp;" ضد "&amp;$A581))</f>
        <v>0</v>
      </c>
      <c r="AS581" s="4">
        <f>IF($A581=AS$542,"",COUNTIF($E$4:$E$538,$A581&amp;" ضد "&amp;AS$542)+COUNTIF($E$4:$E$538,AS$542&amp;" ضد "&amp;$A581))</f>
        <v>0</v>
      </c>
      <c r="AT581" s="4">
        <f>IF($A581=AT$542,"",COUNTIF($E$4:$E$538,$A581&amp;" ضد "&amp;AT$542)+COUNTIF($E$4:$E$538,AT$542&amp;" ضد "&amp;$A581))</f>
        <v>0</v>
      </c>
      <c r="AU581" s="4">
        <f>IF($A581=AU$542,"",COUNTIF($E$4:$E$538,$A581&amp;" ضد "&amp;AU$542)+COUNTIF($E$4:$E$538,AU$542&amp;" ضد "&amp;$A581))</f>
        <v>0</v>
      </c>
      <c r="AV581" s="4">
        <f>IF($A581=AV$542,"",COUNTIF($E$4:$E$538,$A581&amp;" ضد "&amp;AV$542)+COUNTIF($E$4:$E$538,AV$542&amp;" ضد "&amp;$A581))</f>
        <v>0</v>
      </c>
      <c r="AW581" s="4">
        <f>IF($A581=AW$542,"",COUNTIF($E$4:$E$538,$A581&amp;" ضد "&amp;AW$542)+COUNTIF($E$4:$E$538,AW$542&amp;" ضد "&amp;$A581))</f>
        <v>0</v>
      </c>
      <c r="AX581" s="4">
        <f>IF($A581=AX$542,"",COUNTIF($E$4:$E$538,$A581&amp;" ضد "&amp;AX$542)+COUNTIF($E$4:$E$538,AX$542&amp;" ضد "&amp;$A581))</f>
        <v>0</v>
      </c>
      <c r="AY581" s="4">
        <f>IF($A581=AY$542,"",COUNTIF($E$4:$E$538,$A581&amp;" ضد "&amp;AY$542)+COUNTIF($E$4:$E$538,AY$542&amp;" ضد "&amp;$A581))</f>
        <v>0</v>
      </c>
      <c r="AZ581" s="4">
        <f>IF($A581=AZ$542,"",COUNTIF($E$4:$E$538,$A581&amp;" ضد "&amp;AZ$542)+COUNTIF($E$4:$E$538,AZ$542&amp;" ضد "&amp;$A581))</f>
        <v>0</v>
      </c>
      <c r="BA581" s="4">
        <f>IF($A581=BA$542,"",COUNTIF($E$4:$E$538,$A581&amp;" ضد "&amp;BA$542)+COUNTIF($E$4:$E$538,BA$542&amp;" ضد "&amp;$A581))</f>
        <v>0</v>
      </c>
      <c r="BB581" s="4">
        <f>IF($A581=BB$542,"",COUNTIF($E$4:$E$538,$A581&amp;" ضد "&amp;BB$542)+COUNTIF($E$4:$E$538,BB$542&amp;" ضد "&amp;$A581))</f>
        <v>0</v>
      </c>
      <c r="BC581" s="4">
        <f>IF($A581=BC$542,"",COUNTIF($E$4:$E$538,$A581&amp;" ضد "&amp;BC$542)+COUNTIF($E$4:$E$538,BC$542&amp;" ضد "&amp;$A581))</f>
        <v>0</v>
      </c>
      <c r="BD581" s="4">
        <f>IF($A581=BD$542,"",COUNTIF($E$4:$E$538,$A581&amp;" ضد "&amp;BD$542)+COUNTIF($E$4:$E$538,BD$542&amp;" ضد "&amp;$A581))</f>
        <v>0</v>
      </c>
      <c r="BE581" s="4">
        <f>IF($A581=BE$542,"",COUNTIF($E$4:$E$538,$A581&amp;" ضد "&amp;BE$542)+COUNTIF($E$4:$E$538,BE$542&amp;" ضد "&amp;$A581))</f>
        <v>0</v>
      </c>
      <c r="BF581" s="4">
        <f>IF($A581=BF$542,"",COUNTIF($E$4:$E$538,$A581&amp;" ضد "&amp;BF$542)+COUNTIF($E$4:$E$538,BF$542&amp;" ضد "&amp;$A581))</f>
        <v>0</v>
      </c>
      <c r="BG581" s="4">
        <f>IF($A581=BG$542,"",COUNTIF($E$4:$E$538,$A581&amp;" ضد "&amp;BG$542)+COUNTIF($E$4:$E$538,BG$542&amp;" ضد "&amp;$A581))</f>
        <v>0</v>
      </c>
    </row>
    <row r="582" spans="1:59" ht="14.5">
      <c r="A582" s="14">
        <v>40</v>
      </c>
      <c r="B582" s="4">
        <f>IF($A582=B$542,"",COUNTIF($E$4:$E$538,$A582&amp;" ضد "&amp;B$542)+COUNTIF($E$4:$E$538,B$542&amp;" ضد "&amp;$A582))</f>
        <v>0</v>
      </c>
      <c r="C582" s="4">
        <f>IF($A582=C$542,"",COUNTIF($E$4:$E$538,$A582&amp;" ضد "&amp;C$542)+COUNTIF($E$4:$E$538,C$542&amp;" ضد "&amp;$A582))</f>
        <v>0</v>
      </c>
      <c r="D582" s="4">
        <f>IF($A582=D$542,"",COUNTIF($E$4:$E$538,$A582&amp;" ضد "&amp;D$542)+COUNTIF($E$4:$E$538,D$542&amp;" ضد "&amp;$A582))</f>
        <v>0</v>
      </c>
      <c r="E582" s="4">
        <f>IF($A582=E$542,"",COUNTIF($E$4:$E$538,$A582&amp;" ضد "&amp;E$542)+COUNTIF($E$4:$E$538,E$542&amp;" ضد "&amp;$A582))</f>
        <v>0</v>
      </c>
      <c r="F582" s="4">
        <f>IF($A582=F$542,"",COUNTIF($E$4:$E$538,$A582&amp;" ضد "&amp;F$542)+COUNTIF($E$4:$E$538,F$542&amp;" ضد "&amp;$A582))</f>
        <v>0</v>
      </c>
      <c r="G582" s="4">
        <f>IF($A582=G$542,"",COUNTIF($E$4:$E$538,$A582&amp;" ضد "&amp;G$542)+COUNTIF($E$4:$E$538,G$542&amp;" ضد "&amp;$A582))</f>
        <v>0</v>
      </c>
      <c r="H582" s="4">
        <f>IF($A582=H$542,"",COUNTIF($E$4:$E$538,$A582&amp;" ضد "&amp;H$542)+COUNTIF($E$4:$E$538,H$542&amp;" ضد "&amp;$A582))</f>
        <v>0</v>
      </c>
      <c r="I582" s="4">
        <f>IF($A582=I$542,"",COUNTIF($E$4:$E$538,$A582&amp;" ضد "&amp;I$542)+COUNTIF($E$4:$E$538,I$542&amp;" ضد "&amp;$A582))</f>
        <v>0</v>
      </c>
      <c r="J582" s="4">
        <f>IF($A582=J$542,"",COUNTIF($E$4:$E$538,$A582&amp;" ضد "&amp;J$542)+COUNTIF($E$4:$E$538,J$542&amp;" ضد "&amp;$A582))</f>
        <v>0</v>
      </c>
      <c r="K582" s="4">
        <f>IF($A582=K$542,"",COUNTIF($E$4:$E$538,$A582&amp;" ضد "&amp;K$542)+COUNTIF($E$4:$E$538,K$542&amp;" ضد "&amp;$A582))</f>
        <v>0</v>
      </c>
      <c r="L582" s="4">
        <f>IF($A582=L$542,"",COUNTIF($E$4:$E$538,$A582&amp;" ضد "&amp;L$542)+COUNTIF($E$4:$E$538,L$542&amp;" ضد "&amp;$A582))</f>
        <v>0</v>
      </c>
      <c r="M582" s="4">
        <f>IF($A582=M$542,"",COUNTIF($E$4:$E$538,$A582&amp;" ضد "&amp;M$542)+COUNTIF($E$4:$E$538,M$542&amp;" ضد "&amp;$A582))</f>
        <v>0</v>
      </c>
      <c r="N582" s="4">
        <f>IF($A582=N$542,"",COUNTIF($E$4:$E$538,$A582&amp;" ضد "&amp;N$542)+COUNTIF($E$4:$E$538,N$542&amp;" ضد "&amp;$A582))</f>
        <v>0</v>
      </c>
      <c r="O582" s="4">
        <f>IF($A582=O$542,"",COUNTIF($E$4:$E$538,$A582&amp;" ضد "&amp;O$542)+COUNTIF($E$4:$E$538,O$542&amp;" ضد "&amp;$A582))</f>
        <v>0</v>
      </c>
      <c r="P582" s="4">
        <f>IF($A582=P$542,"",COUNTIF($E$4:$E$538,$A582&amp;" ضد "&amp;P$542)+COUNTIF($E$4:$E$538,P$542&amp;" ضد "&amp;$A582))</f>
        <v>0</v>
      </c>
      <c r="Q582" s="4">
        <f>IF($A582=Q$542,"",COUNTIF($E$4:$E$538,$A582&amp;" ضد "&amp;Q$542)+COUNTIF($E$4:$E$538,Q$542&amp;" ضد "&amp;$A582))</f>
        <v>0</v>
      </c>
      <c r="R582" s="4">
        <f>IF($A582=R$542,"",COUNTIF($E$4:$E$538,$A582&amp;" ضد "&amp;R$542)+COUNTIF($E$4:$E$538,R$542&amp;" ضد "&amp;$A582))</f>
        <v>0</v>
      </c>
      <c r="S582" s="4">
        <f>IF($A582=S$542,"",COUNTIF($E$4:$E$538,$A582&amp;" ضد "&amp;S$542)+COUNTIF($E$4:$E$538,S$542&amp;" ضد "&amp;$A582))</f>
        <v>0</v>
      </c>
      <c r="T582" s="4">
        <f>IF($A582=T$542,"",COUNTIF($E$4:$E$538,$A582&amp;" ضد "&amp;T$542)+COUNTIF($E$4:$E$538,T$542&amp;" ضد "&amp;$A582))</f>
        <v>0</v>
      </c>
      <c r="U582" s="4">
        <f>IF($A582=U$542,"",COUNTIF($E$4:$E$538,$A582&amp;" ضد "&amp;U$542)+COUNTIF($E$4:$E$538,U$542&amp;" ضد "&amp;$A582))</f>
        <v>0</v>
      </c>
      <c r="V582" s="4">
        <f>IF($A582=V$542,"",COUNTIF($E$4:$E$538,$A582&amp;" ضد "&amp;V$542)+COUNTIF($E$4:$E$538,V$542&amp;" ضد "&amp;$A582))</f>
        <v>0</v>
      </c>
      <c r="W582" s="4">
        <f>IF($A582=W$542,"",COUNTIF($E$4:$E$538,$A582&amp;" ضد "&amp;W$542)+COUNTIF($E$4:$E$538,W$542&amp;" ضد "&amp;$A582))</f>
        <v>0</v>
      </c>
      <c r="X582" s="4">
        <f>IF($A582=X$542,"",COUNTIF($E$4:$E$538,$A582&amp;" ضد "&amp;X$542)+COUNTIF($E$4:$E$538,X$542&amp;" ضد "&amp;$A582))</f>
        <v>0</v>
      </c>
      <c r="Y582" s="4">
        <f>IF($A582=Y$542,"",COUNTIF($E$4:$E$538,$A582&amp;" ضد "&amp;Y$542)+COUNTIF($E$4:$E$538,Y$542&amp;" ضد "&amp;$A582))</f>
        <v>0</v>
      </c>
      <c r="Z582" s="4">
        <f>IF($A582=Z$542,"",COUNTIF($E$4:$E$538,$A582&amp;" ضد "&amp;Z$542)+COUNTIF($E$4:$E$538,Z$542&amp;" ضد "&amp;$A582))</f>
        <v>0</v>
      </c>
      <c r="AA582" s="4">
        <f>IF($A582=AA$542,"",COUNTIF($E$4:$E$538,$A582&amp;" ضد "&amp;AA$542)+COUNTIF($E$4:$E$538,AA$542&amp;" ضد "&amp;$A582))</f>
        <v>0</v>
      </c>
      <c r="AB582" s="4">
        <f>IF($A582=AB$542,"",COUNTIF($E$4:$E$538,$A582&amp;" ضد "&amp;AB$542)+COUNTIF($E$4:$E$538,AB$542&amp;" ضد "&amp;$A582))</f>
        <v>0</v>
      </c>
      <c r="AC582" s="4">
        <f>IF($A582=AC$542,"",COUNTIF($E$4:$E$538,$A582&amp;" ضد "&amp;AC$542)+COUNTIF($E$4:$E$538,AC$542&amp;" ضد "&amp;$A582))</f>
        <v>0</v>
      </c>
      <c r="AD582" s="4">
        <f>IF($A582=AD$542,"",COUNTIF($E$4:$E$538,$A582&amp;" ضد "&amp;AD$542)+COUNTIF($E$4:$E$538,AD$542&amp;" ضد "&amp;$A582))</f>
        <v>0</v>
      </c>
      <c r="AE582" s="4">
        <f>IF($A582=AE$542,"",COUNTIF($E$4:$E$538,$A582&amp;" ضد "&amp;AE$542)+COUNTIF($E$4:$E$538,AE$542&amp;" ضد "&amp;$A582))</f>
        <v>0</v>
      </c>
      <c r="AF582" s="4">
        <f>IF($A582=AF$542,"",COUNTIF($E$4:$E$538,$A582&amp;" ضد "&amp;AF$542)+COUNTIF($E$4:$E$538,AF$542&amp;" ضد "&amp;$A582))</f>
        <v>0</v>
      </c>
      <c r="AG582" s="4">
        <f>IF($A582=AG$542,"",COUNTIF($E$4:$E$538,$A582&amp;" ضد "&amp;AG$542)+COUNTIF($E$4:$E$538,AG$542&amp;" ضد "&amp;$A582))</f>
        <v>0</v>
      </c>
      <c r="AH582" s="4">
        <f>IF($A582=AH$542,"",COUNTIF($E$4:$E$538,$A582&amp;" ضد "&amp;AH$542)+COUNTIF($E$4:$E$538,AH$542&amp;" ضد "&amp;$A582))</f>
        <v>0</v>
      </c>
      <c r="AI582" s="4">
        <f>IF($A582=AI$542,"",COUNTIF($E$4:$E$538,$A582&amp;" ضد "&amp;AI$542)+COUNTIF($E$4:$E$538,AI$542&amp;" ضد "&amp;$A582))</f>
        <v>0</v>
      </c>
      <c r="AJ582" s="4">
        <f>IF($A582=AJ$542,"",COUNTIF($E$4:$E$538,$A582&amp;" ضد "&amp;AJ$542)+COUNTIF($E$4:$E$538,AJ$542&amp;" ضد "&amp;$A582))</f>
        <v>0</v>
      </c>
      <c r="AK582" s="4">
        <f>IF($A582=AK$542,"",COUNTIF($E$4:$E$538,$A582&amp;" ضد "&amp;AK$542)+COUNTIF($E$4:$E$538,AK$542&amp;" ضد "&amp;$A582))</f>
        <v>0</v>
      </c>
      <c r="AL582" s="4">
        <f>IF($A582=AL$542,"",COUNTIF($E$4:$E$538,$A582&amp;" ضد "&amp;AL$542)+COUNTIF($E$4:$E$538,AL$542&amp;" ضد "&amp;$A582))</f>
        <v>0</v>
      </c>
      <c r="AM582" s="4">
        <f>IF($A582=AM$542,"",COUNTIF($E$4:$E$538,$A582&amp;" ضد "&amp;AM$542)+COUNTIF($E$4:$E$538,AM$542&amp;" ضد "&amp;$A582))</f>
        <v>0</v>
      </c>
      <c r="AN582" s="4">
        <f>IF($A582=AN$542,"",COUNTIF($E$4:$E$538,$A582&amp;" ضد "&amp;AN$542)+COUNTIF($E$4:$E$538,AN$542&amp;" ضد "&amp;$A582))</f>
        <v>0</v>
      </c>
      <c r="AO582" s="4" t="str">
        <f>IF($A582=AO$542,"",COUNTIF($E$4:$E$538,$A582&amp;" ضد "&amp;AO$542)+COUNTIF($E$4:$E$538,AO$542&amp;" ضد "&amp;$A582))</f>
        <v/>
      </c>
      <c r="AP582" s="4">
        <f>IF($A582=AP$542,"",COUNTIF($E$4:$E$538,$A582&amp;" ضد "&amp;AP$542)+COUNTIF($E$4:$E$538,AP$542&amp;" ضد "&amp;$A582))</f>
        <v>1</v>
      </c>
      <c r="AQ582" s="4">
        <f>IF($A582=AQ$542,"",COUNTIF($E$4:$E$538,$A582&amp;" ضد "&amp;AQ$542)+COUNTIF($E$4:$E$538,AQ$542&amp;" ضد "&amp;$A582))</f>
        <v>1</v>
      </c>
      <c r="AR582" s="4">
        <f>IF($A582=AR$542,"",COUNTIF($E$4:$E$538,$A582&amp;" ضد "&amp;AR$542)+COUNTIF($E$4:$E$538,AR$542&amp;" ضد "&amp;$A582))</f>
        <v>1</v>
      </c>
      <c r="AS582" s="4">
        <f>IF($A582=AS$542,"",COUNTIF($E$4:$E$538,$A582&amp;" ضد "&amp;AS$542)+COUNTIF($E$4:$E$538,AS$542&amp;" ضد "&amp;$A582))</f>
        <v>1</v>
      </c>
      <c r="AT582" s="4">
        <f>IF($A582=AT$542,"",COUNTIF($E$4:$E$538,$A582&amp;" ضد "&amp;AT$542)+COUNTIF($E$4:$E$538,AT$542&amp;" ضد "&amp;$A582))</f>
        <v>1</v>
      </c>
      <c r="AU582" s="4">
        <f>IF($A582=AU$542,"",COUNTIF($E$4:$E$538,$A582&amp;" ضد "&amp;AU$542)+COUNTIF($E$4:$E$538,AU$542&amp;" ضد "&amp;$A582))</f>
        <v>1</v>
      </c>
      <c r="AV582" s="4">
        <f>IF($A582=AV$542,"",COUNTIF($E$4:$E$538,$A582&amp;" ضد "&amp;AV$542)+COUNTIF($E$4:$E$538,AV$542&amp;" ضد "&amp;$A582))</f>
        <v>1</v>
      </c>
      <c r="AW582" s="4">
        <f>IF($A582=AW$542,"",COUNTIF($E$4:$E$538,$A582&amp;" ضد "&amp;AW$542)+COUNTIF($E$4:$E$538,AW$542&amp;" ضد "&amp;$A582))</f>
        <v>1</v>
      </c>
      <c r="AX582" s="4">
        <f>IF($A582=AX$542,"",COUNTIF($E$4:$E$538,$A582&amp;" ضد "&amp;AX$542)+COUNTIF($E$4:$E$538,AX$542&amp;" ضد "&amp;$A582))</f>
        <v>1</v>
      </c>
      <c r="AY582" s="4">
        <f>IF($A582=AY$542,"",COUNTIF($E$4:$E$538,$A582&amp;" ضد "&amp;AY$542)+COUNTIF($E$4:$E$538,AY$542&amp;" ضد "&amp;$A582))</f>
        <v>1</v>
      </c>
      <c r="AZ582" s="4">
        <f>IF($A582=AZ$542,"",COUNTIF($E$4:$E$538,$A582&amp;" ضد "&amp;AZ$542)+COUNTIF($E$4:$E$538,AZ$542&amp;" ضد "&amp;$A582))</f>
        <v>1</v>
      </c>
      <c r="BA582" s="4">
        <f>IF($A582=BA$542,"",COUNTIF($E$4:$E$538,$A582&amp;" ضد "&amp;BA$542)+COUNTIF($E$4:$E$538,BA$542&amp;" ضد "&amp;$A582))</f>
        <v>1</v>
      </c>
      <c r="BB582" s="4">
        <f>IF($A582=BB$542,"",COUNTIF($E$4:$E$538,$A582&amp;" ضد "&amp;BB$542)+COUNTIF($E$4:$E$538,BB$542&amp;" ضد "&amp;$A582))</f>
        <v>1</v>
      </c>
      <c r="BC582" s="4">
        <f>IF($A582=BC$542,"",COUNTIF($E$4:$E$538,$A582&amp;" ضد "&amp;BC$542)+COUNTIF($E$4:$E$538,BC$542&amp;" ضد "&amp;$A582))</f>
        <v>1</v>
      </c>
      <c r="BD582" s="4">
        <f>IF($A582=BD$542,"",COUNTIF($E$4:$E$538,$A582&amp;" ضد "&amp;BD$542)+COUNTIF($E$4:$E$538,BD$542&amp;" ضد "&amp;$A582))</f>
        <v>1</v>
      </c>
      <c r="BE582" s="4">
        <f>IF($A582=BE$542,"",COUNTIF($E$4:$E$538,$A582&amp;" ضد "&amp;BE$542)+COUNTIF($E$4:$E$538,BE$542&amp;" ضد "&amp;$A582))</f>
        <v>1</v>
      </c>
      <c r="BF582" s="4">
        <f>IF($A582=BF$542,"",COUNTIF($E$4:$E$538,$A582&amp;" ضد "&amp;BF$542)+COUNTIF($E$4:$E$538,BF$542&amp;" ضد "&amp;$A582))</f>
        <v>1</v>
      </c>
      <c r="BG582" s="4">
        <f>IF($A582=BG$542,"",COUNTIF($E$4:$E$538,$A582&amp;" ضد "&amp;BG$542)+COUNTIF($E$4:$E$538,BG$542&amp;" ضد "&amp;$A582))</f>
        <v>1</v>
      </c>
    </row>
    <row r="583" spans="1:59" ht="14.5">
      <c r="A583" s="14">
        <v>41</v>
      </c>
      <c r="B583" s="4">
        <f>IF($A583=B$542,"",COUNTIF($E$4:$E$538,$A583&amp;" ضد "&amp;B$542)+COUNTIF($E$4:$E$538,B$542&amp;" ضد "&amp;$A583))</f>
        <v>0</v>
      </c>
      <c r="C583" s="4">
        <f>IF($A583=C$542,"",COUNTIF($E$4:$E$538,$A583&amp;" ضد "&amp;C$542)+COUNTIF($E$4:$E$538,C$542&amp;" ضد "&amp;$A583))</f>
        <v>0</v>
      </c>
      <c r="D583" s="4">
        <f>IF($A583=D$542,"",COUNTIF($E$4:$E$538,$A583&amp;" ضد "&amp;D$542)+COUNTIF($E$4:$E$538,D$542&amp;" ضد "&amp;$A583))</f>
        <v>0</v>
      </c>
      <c r="E583" s="4">
        <f>IF($A583=E$542,"",COUNTIF($E$4:$E$538,$A583&amp;" ضد "&amp;E$542)+COUNTIF($E$4:$E$538,E$542&amp;" ضد "&amp;$A583))</f>
        <v>0</v>
      </c>
      <c r="F583" s="4">
        <f>IF($A583=F$542,"",COUNTIF($E$4:$E$538,$A583&amp;" ضد "&amp;F$542)+COUNTIF($E$4:$E$538,F$542&amp;" ضد "&amp;$A583))</f>
        <v>0</v>
      </c>
      <c r="G583" s="4">
        <f>IF($A583=G$542,"",COUNTIF($E$4:$E$538,$A583&amp;" ضد "&amp;G$542)+COUNTIF($E$4:$E$538,G$542&amp;" ضد "&amp;$A583))</f>
        <v>0</v>
      </c>
      <c r="H583" s="4">
        <f>IF($A583=H$542,"",COUNTIF($E$4:$E$538,$A583&amp;" ضد "&amp;H$542)+COUNTIF($E$4:$E$538,H$542&amp;" ضد "&amp;$A583))</f>
        <v>0</v>
      </c>
      <c r="I583" s="4">
        <f>IF($A583=I$542,"",COUNTIF($E$4:$E$538,$A583&amp;" ضد "&amp;I$542)+COUNTIF($E$4:$E$538,I$542&amp;" ضد "&amp;$A583))</f>
        <v>0</v>
      </c>
      <c r="J583" s="4">
        <f>IF($A583=J$542,"",COUNTIF($E$4:$E$538,$A583&amp;" ضد "&amp;J$542)+COUNTIF($E$4:$E$538,J$542&amp;" ضد "&amp;$A583))</f>
        <v>0</v>
      </c>
      <c r="K583" s="4">
        <f>IF($A583=K$542,"",COUNTIF($E$4:$E$538,$A583&amp;" ضد "&amp;K$542)+COUNTIF($E$4:$E$538,K$542&amp;" ضد "&amp;$A583))</f>
        <v>0</v>
      </c>
      <c r="L583" s="4">
        <f>IF($A583=L$542,"",COUNTIF($E$4:$E$538,$A583&amp;" ضد "&amp;L$542)+COUNTIF($E$4:$E$538,L$542&amp;" ضد "&amp;$A583))</f>
        <v>0</v>
      </c>
      <c r="M583" s="4">
        <f>IF($A583=M$542,"",COUNTIF($E$4:$E$538,$A583&amp;" ضد "&amp;M$542)+COUNTIF($E$4:$E$538,M$542&amp;" ضد "&amp;$A583))</f>
        <v>0</v>
      </c>
      <c r="N583" s="4">
        <f>IF($A583=N$542,"",COUNTIF($E$4:$E$538,$A583&amp;" ضد "&amp;N$542)+COUNTIF($E$4:$E$538,N$542&amp;" ضد "&amp;$A583))</f>
        <v>0</v>
      </c>
      <c r="O583" s="4">
        <f>IF($A583=O$542,"",COUNTIF($E$4:$E$538,$A583&amp;" ضد "&amp;O$542)+COUNTIF($E$4:$E$538,O$542&amp;" ضد "&amp;$A583))</f>
        <v>0</v>
      </c>
      <c r="P583" s="4">
        <f>IF($A583=P$542,"",COUNTIF($E$4:$E$538,$A583&amp;" ضد "&amp;P$542)+COUNTIF($E$4:$E$538,P$542&amp;" ضد "&amp;$A583))</f>
        <v>0</v>
      </c>
      <c r="Q583" s="4">
        <f>IF($A583=Q$542,"",COUNTIF($E$4:$E$538,$A583&amp;" ضد "&amp;Q$542)+COUNTIF($E$4:$E$538,Q$542&amp;" ضد "&amp;$A583))</f>
        <v>0</v>
      </c>
      <c r="R583" s="4">
        <f>IF($A583=R$542,"",COUNTIF($E$4:$E$538,$A583&amp;" ضد "&amp;R$542)+COUNTIF($E$4:$E$538,R$542&amp;" ضد "&amp;$A583))</f>
        <v>0</v>
      </c>
      <c r="S583" s="4">
        <f>IF($A583=S$542,"",COUNTIF($E$4:$E$538,$A583&amp;" ضد "&amp;S$542)+COUNTIF($E$4:$E$538,S$542&amp;" ضد "&amp;$A583))</f>
        <v>0</v>
      </c>
      <c r="T583" s="4">
        <f>IF($A583=T$542,"",COUNTIF($E$4:$E$538,$A583&amp;" ضد "&amp;T$542)+COUNTIF($E$4:$E$538,T$542&amp;" ضد "&amp;$A583))</f>
        <v>0</v>
      </c>
      <c r="U583" s="4">
        <f>IF($A583=U$542,"",COUNTIF($E$4:$E$538,$A583&amp;" ضد "&amp;U$542)+COUNTIF($E$4:$E$538,U$542&amp;" ضد "&amp;$A583))</f>
        <v>0</v>
      </c>
      <c r="V583" s="4">
        <f>IF($A583=V$542,"",COUNTIF($E$4:$E$538,$A583&amp;" ضد "&amp;V$542)+COUNTIF($E$4:$E$538,V$542&amp;" ضد "&amp;$A583))</f>
        <v>0</v>
      </c>
      <c r="W583" s="4">
        <f>IF($A583=W$542,"",COUNTIF($E$4:$E$538,$A583&amp;" ضد "&amp;W$542)+COUNTIF($E$4:$E$538,W$542&amp;" ضد "&amp;$A583))</f>
        <v>0</v>
      </c>
      <c r="X583" s="4">
        <f>IF($A583=X$542,"",COUNTIF($E$4:$E$538,$A583&amp;" ضد "&amp;X$542)+COUNTIF($E$4:$E$538,X$542&amp;" ضد "&amp;$A583))</f>
        <v>0</v>
      </c>
      <c r="Y583" s="4">
        <f>IF($A583=Y$542,"",COUNTIF($E$4:$E$538,$A583&amp;" ضد "&amp;Y$542)+COUNTIF($E$4:$E$538,Y$542&amp;" ضد "&amp;$A583))</f>
        <v>0</v>
      </c>
      <c r="Z583" s="4">
        <f>IF($A583=Z$542,"",COUNTIF($E$4:$E$538,$A583&amp;" ضد "&amp;Z$542)+COUNTIF($E$4:$E$538,Z$542&amp;" ضد "&amp;$A583))</f>
        <v>0</v>
      </c>
      <c r="AA583" s="4">
        <f>IF($A583=AA$542,"",COUNTIF($E$4:$E$538,$A583&amp;" ضد "&amp;AA$542)+COUNTIF($E$4:$E$538,AA$542&amp;" ضد "&amp;$A583))</f>
        <v>0</v>
      </c>
      <c r="AB583" s="4">
        <f>IF($A583=AB$542,"",COUNTIF($E$4:$E$538,$A583&amp;" ضد "&amp;AB$542)+COUNTIF($E$4:$E$538,AB$542&amp;" ضد "&amp;$A583))</f>
        <v>0</v>
      </c>
      <c r="AC583" s="4">
        <f>IF($A583=AC$542,"",COUNTIF($E$4:$E$538,$A583&amp;" ضد "&amp;AC$542)+COUNTIF($E$4:$E$538,AC$542&amp;" ضد "&amp;$A583))</f>
        <v>0</v>
      </c>
      <c r="AD583" s="4">
        <f>IF($A583=AD$542,"",COUNTIF($E$4:$E$538,$A583&amp;" ضد "&amp;AD$542)+COUNTIF($E$4:$E$538,AD$542&amp;" ضد "&amp;$A583))</f>
        <v>0</v>
      </c>
      <c r="AE583" s="4">
        <f>IF($A583=AE$542,"",COUNTIF($E$4:$E$538,$A583&amp;" ضد "&amp;AE$542)+COUNTIF($E$4:$E$538,AE$542&amp;" ضد "&amp;$A583))</f>
        <v>0</v>
      </c>
      <c r="AF583" s="4">
        <f>IF($A583=AF$542,"",COUNTIF($E$4:$E$538,$A583&amp;" ضد "&amp;AF$542)+COUNTIF($E$4:$E$538,AF$542&amp;" ضد "&amp;$A583))</f>
        <v>0</v>
      </c>
      <c r="AG583" s="4">
        <f>IF($A583=AG$542,"",COUNTIF($E$4:$E$538,$A583&amp;" ضد "&amp;AG$542)+COUNTIF($E$4:$E$538,AG$542&amp;" ضد "&amp;$A583))</f>
        <v>0</v>
      </c>
      <c r="AH583" s="4">
        <f>IF($A583=AH$542,"",COUNTIF($E$4:$E$538,$A583&amp;" ضد "&amp;AH$542)+COUNTIF($E$4:$E$538,AH$542&amp;" ضد "&amp;$A583))</f>
        <v>0</v>
      </c>
      <c r="AI583" s="4">
        <f>IF($A583=AI$542,"",COUNTIF($E$4:$E$538,$A583&amp;" ضد "&amp;AI$542)+COUNTIF($E$4:$E$538,AI$542&amp;" ضد "&amp;$A583))</f>
        <v>0</v>
      </c>
      <c r="AJ583" s="4">
        <f>IF($A583=AJ$542,"",COUNTIF($E$4:$E$538,$A583&amp;" ضد "&amp;AJ$542)+COUNTIF($E$4:$E$538,AJ$542&amp;" ضد "&amp;$A583))</f>
        <v>0</v>
      </c>
      <c r="AK583" s="4">
        <f>IF($A583=AK$542,"",COUNTIF($E$4:$E$538,$A583&amp;" ضد "&amp;AK$542)+COUNTIF($E$4:$E$538,AK$542&amp;" ضد "&amp;$A583))</f>
        <v>0</v>
      </c>
      <c r="AL583" s="4">
        <f>IF($A583=AL$542,"",COUNTIF($E$4:$E$538,$A583&amp;" ضد "&amp;AL$542)+COUNTIF($E$4:$E$538,AL$542&amp;" ضد "&amp;$A583))</f>
        <v>0</v>
      </c>
      <c r="AM583" s="4">
        <f>IF($A583=AM$542,"",COUNTIF($E$4:$E$538,$A583&amp;" ضد "&amp;AM$542)+COUNTIF($E$4:$E$538,AM$542&amp;" ضد "&amp;$A583))</f>
        <v>0</v>
      </c>
      <c r="AN583" s="4">
        <f>IF($A583=AN$542,"",COUNTIF($E$4:$E$538,$A583&amp;" ضد "&amp;AN$542)+COUNTIF($E$4:$E$538,AN$542&amp;" ضد "&amp;$A583))</f>
        <v>0</v>
      </c>
      <c r="AO583" s="4">
        <f>IF($A583=AO$542,"",COUNTIF($E$4:$E$538,$A583&amp;" ضد "&amp;AO$542)+COUNTIF($E$4:$E$538,AO$542&amp;" ضد "&amp;$A583))</f>
        <v>1</v>
      </c>
      <c r="AP583" s="4" t="str">
        <f>IF($A583=AP$542,"",COUNTIF($E$4:$E$538,$A583&amp;" ضد "&amp;AP$542)+COUNTIF($E$4:$E$538,AP$542&amp;" ضد "&amp;$A583))</f>
        <v/>
      </c>
      <c r="AQ583" s="4">
        <f>IF($A583=AQ$542,"",COUNTIF($E$4:$E$538,$A583&amp;" ضد "&amp;AQ$542)+COUNTIF($E$4:$E$538,AQ$542&amp;" ضد "&amp;$A583))</f>
        <v>1</v>
      </c>
      <c r="AR583" s="4">
        <f>IF($A583=AR$542,"",COUNTIF($E$4:$E$538,$A583&amp;" ضد "&amp;AR$542)+COUNTIF($E$4:$E$538,AR$542&amp;" ضد "&amp;$A583))</f>
        <v>1</v>
      </c>
      <c r="AS583" s="4">
        <f>IF($A583=AS$542,"",COUNTIF($E$4:$E$538,$A583&amp;" ضد "&amp;AS$542)+COUNTIF($E$4:$E$538,AS$542&amp;" ضد "&amp;$A583))</f>
        <v>1</v>
      </c>
      <c r="AT583" s="4">
        <f>IF($A583=AT$542,"",COUNTIF($E$4:$E$538,$A583&amp;" ضد "&amp;AT$542)+COUNTIF($E$4:$E$538,AT$542&amp;" ضد "&amp;$A583))</f>
        <v>1</v>
      </c>
      <c r="AU583" s="4">
        <f>IF($A583=AU$542,"",COUNTIF($E$4:$E$538,$A583&amp;" ضد "&amp;AU$542)+COUNTIF($E$4:$E$538,AU$542&amp;" ضد "&amp;$A583))</f>
        <v>1</v>
      </c>
      <c r="AV583" s="4">
        <f>IF($A583=AV$542,"",COUNTIF($E$4:$E$538,$A583&amp;" ضد "&amp;AV$542)+COUNTIF($E$4:$E$538,AV$542&amp;" ضد "&amp;$A583))</f>
        <v>1</v>
      </c>
      <c r="AW583" s="4">
        <f>IF($A583=AW$542,"",COUNTIF($E$4:$E$538,$A583&amp;" ضد "&amp;AW$542)+COUNTIF($E$4:$E$538,AW$542&amp;" ضد "&amp;$A583))</f>
        <v>1</v>
      </c>
      <c r="AX583" s="4">
        <f>IF($A583=AX$542,"",COUNTIF($E$4:$E$538,$A583&amp;" ضد "&amp;AX$542)+COUNTIF($E$4:$E$538,AX$542&amp;" ضد "&amp;$A583))</f>
        <v>1</v>
      </c>
      <c r="AY583" s="4">
        <f>IF($A583=AY$542,"",COUNTIF($E$4:$E$538,$A583&amp;" ضد "&amp;AY$542)+COUNTIF($E$4:$E$538,AY$542&amp;" ضد "&amp;$A583))</f>
        <v>1</v>
      </c>
      <c r="AZ583" s="4">
        <f>IF($A583=AZ$542,"",COUNTIF($E$4:$E$538,$A583&amp;" ضد "&amp;AZ$542)+COUNTIF($E$4:$E$538,AZ$542&amp;" ضد "&amp;$A583))</f>
        <v>1</v>
      </c>
      <c r="BA583" s="4">
        <f>IF($A583=BA$542,"",COUNTIF($E$4:$E$538,$A583&amp;" ضد "&amp;BA$542)+COUNTIF($E$4:$E$538,BA$542&amp;" ضد "&amp;$A583))</f>
        <v>1</v>
      </c>
      <c r="BB583" s="4">
        <f>IF($A583=BB$542,"",COUNTIF($E$4:$E$538,$A583&amp;" ضد "&amp;BB$542)+COUNTIF($E$4:$E$538,BB$542&amp;" ضد "&amp;$A583))</f>
        <v>1</v>
      </c>
      <c r="BC583" s="4">
        <f>IF($A583=BC$542,"",COUNTIF($E$4:$E$538,$A583&amp;" ضد "&amp;BC$542)+COUNTIF($E$4:$E$538,BC$542&amp;" ضد "&amp;$A583))</f>
        <v>1</v>
      </c>
      <c r="BD583" s="4">
        <f>IF($A583=BD$542,"",COUNTIF($E$4:$E$538,$A583&amp;" ضد "&amp;BD$542)+COUNTIF($E$4:$E$538,BD$542&amp;" ضد "&amp;$A583))</f>
        <v>1</v>
      </c>
      <c r="BE583" s="4">
        <f>IF($A583=BE$542,"",COUNTIF($E$4:$E$538,$A583&amp;" ضد "&amp;BE$542)+COUNTIF($E$4:$E$538,BE$542&amp;" ضد "&amp;$A583))</f>
        <v>1</v>
      </c>
      <c r="BF583" s="4">
        <f>IF($A583=BF$542,"",COUNTIF($E$4:$E$538,$A583&amp;" ضد "&amp;BF$542)+COUNTIF($E$4:$E$538,BF$542&amp;" ضد "&amp;$A583))</f>
        <v>1</v>
      </c>
      <c r="BG583" s="4">
        <f>IF($A583=BG$542,"",COUNTIF($E$4:$E$538,$A583&amp;" ضد "&amp;BG$542)+COUNTIF($E$4:$E$538,BG$542&amp;" ضد "&amp;$A583))</f>
        <v>1</v>
      </c>
    </row>
    <row r="584" spans="1:59" ht="14.5">
      <c r="A584" s="14">
        <v>42</v>
      </c>
      <c r="B584" s="4">
        <f>IF($A584=B$542,"",COUNTIF($E$4:$E$538,$A584&amp;" ضد "&amp;B$542)+COUNTIF($E$4:$E$538,B$542&amp;" ضد "&amp;$A584))</f>
        <v>0</v>
      </c>
      <c r="C584" s="4">
        <f>IF($A584=C$542,"",COUNTIF($E$4:$E$538,$A584&amp;" ضد "&amp;C$542)+COUNTIF($E$4:$E$538,C$542&amp;" ضد "&amp;$A584))</f>
        <v>0</v>
      </c>
      <c r="D584" s="4">
        <f>IF($A584=D$542,"",COUNTIF($E$4:$E$538,$A584&amp;" ضد "&amp;D$542)+COUNTIF($E$4:$E$538,D$542&amp;" ضد "&amp;$A584))</f>
        <v>0</v>
      </c>
      <c r="E584" s="4">
        <f>IF($A584=E$542,"",COUNTIF($E$4:$E$538,$A584&amp;" ضد "&amp;E$542)+COUNTIF($E$4:$E$538,E$542&amp;" ضد "&amp;$A584))</f>
        <v>0</v>
      </c>
      <c r="F584" s="4">
        <f>IF($A584=F$542,"",COUNTIF($E$4:$E$538,$A584&amp;" ضد "&amp;F$542)+COUNTIF($E$4:$E$538,F$542&amp;" ضد "&amp;$A584))</f>
        <v>0</v>
      </c>
      <c r="G584" s="4">
        <f>IF($A584=G$542,"",COUNTIF($E$4:$E$538,$A584&amp;" ضد "&amp;G$542)+COUNTIF($E$4:$E$538,G$542&amp;" ضد "&amp;$A584))</f>
        <v>0</v>
      </c>
      <c r="H584" s="4">
        <f>IF($A584=H$542,"",COUNTIF($E$4:$E$538,$A584&amp;" ضد "&amp;H$542)+COUNTIF($E$4:$E$538,H$542&amp;" ضد "&amp;$A584))</f>
        <v>0</v>
      </c>
      <c r="I584" s="4">
        <f>IF($A584=I$542,"",COUNTIF($E$4:$E$538,$A584&amp;" ضد "&amp;I$542)+COUNTIF($E$4:$E$538,I$542&amp;" ضد "&amp;$A584))</f>
        <v>0</v>
      </c>
      <c r="J584" s="4">
        <f>IF($A584=J$542,"",COUNTIF($E$4:$E$538,$A584&amp;" ضد "&amp;J$542)+COUNTIF($E$4:$E$538,J$542&amp;" ضد "&amp;$A584))</f>
        <v>0</v>
      </c>
      <c r="K584" s="4">
        <f>IF($A584=K$542,"",COUNTIF($E$4:$E$538,$A584&amp;" ضد "&amp;K$542)+COUNTIF($E$4:$E$538,K$542&amp;" ضد "&amp;$A584))</f>
        <v>0</v>
      </c>
      <c r="L584" s="4">
        <f>IF($A584=L$542,"",COUNTIF($E$4:$E$538,$A584&amp;" ضد "&amp;L$542)+COUNTIF($E$4:$E$538,L$542&amp;" ضد "&amp;$A584))</f>
        <v>0</v>
      </c>
      <c r="M584" s="4">
        <f>IF($A584=M$542,"",COUNTIF($E$4:$E$538,$A584&amp;" ضد "&amp;M$542)+COUNTIF($E$4:$E$538,M$542&amp;" ضد "&amp;$A584))</f>
        <v>0</v>
      </c>
      <c r="N584" s="4">
        <f>IF($A584=N$542,"",COUNTIF($E$4:$E$538,$A584&amp;" ضد "&amp;N$542)+COUNTIF($E$4:$E$538,N$542&amp;" ضد "&amp;$A584))</f>
        <v>0</v>
      </c>
      <c r="O584" s="4">
        <f>IF($A584=O$542,"",COUNTIF($E$4:$E$538,$A584&amp;" ضد "&amp;O$542)+COUNTIF($E$4:$E$538,O$542&amp;" ضد "&amp;$A584))</f>
        <v>0</v>
      </c>
      <c r="P584" s="4">
        <f>IF($A584=P$542,"",COUNTIF($E$4:$E$538,$A584&amp;" ضد "&amp;P$542)+COUNTIF($E$4:$E$538,P$542&amp;" ضد "&amp;$A584))</f>
        <v>0</v>
      </c>
      <c r="Q584" s="4">
        <f>IF($A584=Q$542,"",COUNTIF($E$4:$E$538,$A584&amp;" ضد "&amp;Q$542)+COUNTIF($E$4:$E$538,Q$542&amp;" ضد "&amp;$A584))</f>
        <v>0</v>
      </c>
      <c r="R584" s="4">
        <f>IF($A584=R$542,"",COUNTIF($E$4:$E$538,$A584&amp;" ضد "&amp;R$542)+COUNTIF($E$4:$E$538,R$542&amp;" ضد "&amp;$A584))</f>
        <v>0</v>
      </c>
      <c r="S584" s="4">
        <f>IF($A584=S$542,"",COUNTIF($E$4:$E$538,$A584&amp;" ضد "&amp;S$542)+COUNTIF($E$4:$E$538,S$542&amp;" ضد "&amp;$A584))</f>
        <v>0</v>
      </c>
      <c r="T584" s="4">
        <f>IF($A584=T$542,"",COUNTIF($E$4:$E$538,$A584&amp;" ضد "&amp;T$542)+COUNTIF($E$4:$E$538,T$542&amp;" ضد "&amp;$A584))</f>
        <v>0</v>
      </c>
      <c r="U584" s="4">
        <f>IF($A584=U$542,"",COUNTIF($E$4:$E$538,$A584&amp;" ضد "&amp;U$542)+COUNTIF($E$4:$E$538,U$542&amp;" ضد "&amp;$A584))</f>
        <v>0</v>
      </c>
      <c r="V584" s="4">
        <f>IF($A584=V$542,"",COUNTIF($E$4:$E$538,$A584&amp;" ضد "&amp;V$542)+COUNTIF($E$4:$E$538,V$542&amp;" ضد "&amp;$A584))</f>
        <v>0</v>
      </c>
      <c r="W584" s="4">
        <f>IF($A584=W$542,"",COUNTIF($E$4:$E$538,$A584&amp;" ضد "&amp;W$542)+COUNTIF($E$4:$E$538,W$542&amp;" ضد "&amp;$A584))</f>
        <v>0</v>
      </c>
      <c r="X584" s="4">
        <f>IF($A584=X$542,"",COUNTIF($E$4:$E$538,$A584&amp;" ضد "&amp;X$542)+COUNTIF($E$4:$E$538,X$542&amp;" ضد "&amp;$A584))</f>
        <v>0</v>
      </c>
      <c r="Y584" s="4">
        <f>IF($A584=Y$542,"",COUNTIF($E$4:$E$538,$A584&amp;" ضد "&amp;Y$542)+COUNTIF($E$4:$E$538,Y$542&amp;" ضد "&amp;$A584))</f>
        <v>0</v>
      </c>
      <c r="Z584" s="4">
        <f>IF($A584=Z$542,"",COUNTIF($E$4:$E$538,$A584&amp;" ضد "&amp;Z$542)+COUNTIF($E$4:$E$538,Z$542&amp;" ضد "&amp;$A584))</f>
        <v>0</v>
      </c>
      <c r="AA584" s="4">
        <f>IF($A584=AA$542,"",COUNTIF($E$4:$E$538,$A584&amp;" ضد "&amp;AA$542)+COUNTIF($E$4:$E$538,AA$542&amp;" ضد "&amp;$A584))</f>
        <v>0</v>
      </c>
      <c r="AB584" s="4">
        <f>IF($A584=AB$542,"",COUNTIF($E$4:$E$538,$A584&amp;" ضد "&amp;AB$542)+COUNTIF($E$4:$E$538,AB$542&amp;" ضد "&amp;$A584))</f>
        <v>0</v>
      </c>
      <c r="AC584" s="4">
        <f>IF($A584=AC$542,"",COUNTIF($E$4:$E$538,$A584&amp;" ضد "&amp;AC$542)+COUNTIF($E$4:$E$538,AC$542&amp;" ضد "&amp;$A584))</f>
        <v>0</v>
      </c>
      <c r="AD584" s="4">
        <f>IF($A584=AD$542,"",COUNTIF($E$4:$E$538,$A584&amp;" ضد "&amp;AD$542)+COUNTIF($E$4:$E$538,AD$542&amp;" ضد "&amp;$A584))</f>
        <v>0</v>
      </c>
      <c r="AE584" s="4">
        <f>IF($A584=AE$542,"",COUNTIF($E$4:$E$538,$A584&amp;" ضد "&amp;AE$542)+COUNTIF($E$4:$E$538,AE$542&amp;" ضد "&amp;$A584))</f>
        <v>0</v>
      </c>
      <c r="AF584" s="4">
        <f>IF($A584=AF$542,"",COUNTIF($E$4:$E$538,$A584&amp;" ضد "&amp;AF$542)+COUNTIF($E$4:$E$538,AF$542&amp;" ضد "&amp;$A584))</f>
        <v>0</v>
      </c>
      <c r="AG584" s="4">
        <f>IF($A584=AG$542,"",COUNTIF($E$4:$E$538,$A584&amp;" ضد "&amp;AG$542)+COUNTIF($E$4:$E$538,AG$542&amp;" ضد "&amp;$A584))</f>
        <v>0</v>
      </c>
      <c r="AH584" s="4">
        <f>IF($A584=AH$542,"",COUNTIF($E$4:$E$538,$A584&amp;" ضد "&amp;AH$542)+COUNTIF($E$4:$E$538,AH$542&amp;" ضد "&amp;$A584))</f>
        <v>0</v>
      </c>
      <c r="AI584" s="4">
        <f>IF($A584=AI$542,"",COUNTIF($E$4:$E$538,$A584&amp;" ضد "&amp;AI$542)+COUNTIF($E$4:$E$538,AI$542&amp;" ضد "&amp;$A584))</f>
        <v>0</v>
      </c>
      <c r="AJ584" s="4">
        <f>IF($A584=AJ$542,"",COUNTIF($E$4:$E$538,$A584&amp;" ضد "&amp;AJ$542)+COUNTIF($E$4:$E$538,AJ$542&amp;" ضد "&amp;$A584))</f>
        <v>0</v>
      </c>
      <c r="AK584" s="4">
        <f>IF($A584=AK$542,"",COUNTIF($E$4:$E$538,$A584&amp;" ضد "&amp;AK$542)+COUNTIF($E$4:$E$538,AK$542&amp;" ضد "&amp;$A584))</f>
        <v>0</v>
      </c>
      <c r="AL584" s="4">
        <f>IF($A584=AL$542,"",COUNTIF($E$4:$E$538,$A584&amp;" ضد "&amp;AL$542)+COUNTIF($E$4:$E$538,AL$542&amp;" ضد "&amp;$A584))</f>
        <v>0</v>
      </c>
      <c r="AM584" s="4">
        <f>IF($A584=AM$542,"",COUNTIF($E$4:$E$538,$A584&amp;" ضد "&amp;AM$542)+COUNTIF($E$4:$E$538,AM$542&amp;" ضد "&amp;$A584))</f>
        <v>0</v>
      </c>
      <c r="AN584" s="4">
        <f>IF($A584=AN$542,"",COUNTIF($E$4:$E$538,$A584&amp;" ضد "&amp;AN$542)+COUNTIF($E$4:$E$538,AN$542&amp;" ضد "&amp;$A584))</f>
        <v>0</v>
      </c>
      <c r="AO584" s="4">
        <f>IF($A584=AO$542,"",COUNTIF($E$4:$E$538,$A584&amp;" ضد "&amp;AO$542)+COUNTIF($E$4:$E$538,AO$542&amp;" ضد "&amp;$A584))</f>
        <v>1</v>
      </c>
      <c r="AP584" s="4">
        <f>IF($A584=AP$542,"",COUNTIF($E$4:$E$538,$A584&amp;" ضد "&amp;AP$542)+COUNTIF($E$4:$E$538,AP$542&amp;" ضد "&amp;$A584))</f>
        <v>1</v>
      </c>
      <c r="AQ584" s="4" t="str">
        <f>IF($A584=AQ$542,"",COUNTIF($E$4:$E$538,$A584&amp;" ضد "&amp;AQ$542)+COUNTIF($E$4:$E$538,AQ$542&amp;" ضد "&amp;$A584))</f>
        <v/>
      </c>
      <c r="AR584" s="4">
        <f>IF($A584=AR$542,"",COUNTIF($E$4:$E$538,$A584&amp;" ضد "&amp;AR$542)+COUNTIF($E$4:$E$538,AR$542&amp;" ضد "&amp;$A584))</f>
        <v>1</v>
      </c>
      <c r="AS584" s="4">
        <f>IF($A584=AS$542,"",COUNTIF($E$4:$E$538,$A584&amp;" ضد "&amp;AS$542)+COUNTIF($E$4:$E$538,AS$542&amp;" ضد "&amp;$A584))</f>
        <v>1</v>
      </c>
      <c r="AT584" s="4">
        <f>IF($A584=AT$542,"",COUNTIF($E$4:$E$538,$A584&amp;" ضد "&amp;AT$542)+COUNTIF($E$4:$E$538,AT$542&amp;" ضد "&amp;$A584))</f>
        <v>1</v>
      </c>
      <c r="AU584" s="4">
        <f>IF($A584=AU$542,"",COUNTIF($E$4:$E$538,$A584&amp;" ضد "&amp;AU$542)+COUNTIF($E$4:$E$538,AU$542&amp;" ضد "&amp;$A584))</f>
        <v>1</v>
      </c>
      <c r="AV584" s="4">
        <f>IF($A584=AV$542,"",COUNTIF($E$4:$E$538,$A584&amp;" ضد "&amp;AV$542)+COUNTIF($E$4:$E$538,AV$542&amp;" ضد "&amp;$A584))</f>
        <v>1</v>
      </c>
      <c r="AW584" s="4">
        <f>IF($A584=AW$542,"",COUNTIF($E$4:$E$538,$A584&amp;" ضد "&amp;AW$542)+COUNTIF($E$4:$E$538,AW$542&amp;" ضد "&amp;$A584))</f>
        <v>1</v>
      </c>
      <c r="AX584" s="4">
        <f>IF($A584=AX$542,"",COUNTIF($E$4:$E$538,$A584&amp;" ضد "&amp;AX$542)+COUNTIF($E$4:$E$538,AX$542&amp;" ضد "&amp;$A584))</f>
        <v>1</v>
      </c>
      <c r="AY584" s="4">
        <f>IF($A584=AY$542,"",COUNTIF($E$4:$E$538,$A584&amp;" ضد "&amp;AY$542)+COUNTIF($E$4:$E$538,AY$542&amp;" ضد "&amp;$A584))</f>
        <v>1</v>
      </c>
      <c r="AZ584" s="4">
        <f>IF($A584=AZ$542,"",COUNTIF($E$4:$E$538,$A584&amp;" ضد "&amp;AZ$542)+COUNTIF($E$4:$E$538,AZ$542&amp;" ضد "&amp;$A584))</f>
        <v>1</v>
      </c>
      <c r="BA584" s="4">
        <f>IF($A584=BA$542,"",COUNTIF($E$4:$E$538,$A584&amp;" ضد "&amp;BA$542)+COUNTIF($E$4:$E$538,BA$542&amp;" ضد "&amp;$A584))</f>
        <v>1</v>
      </c>
      <c r="BB584" s="4">
        <f>IF($A584=BB$542,"",COUNTIF($E$4:$E$538,$A584&amp;" ضد "&amp;BB$542)+COUNTIF($E$4:$E$538,BB$542&amp;" ضد "&amp;$A584))</f>
        <v>1</v>
      </c>
      <c r="BC584" s="4">
        <f>IF($A584=BC$542,"",COUNTIF($E$4:$E$538,$A584&amp;" ضد "&amp;BC$542)+COUNTIF($E$4:$E$538,BC$542&amp;" ضد "&amp;$A584))</f>
        <v>1</v>
      </c>
      <c r="BD584" s="4">
        <f>IF($A584=BD$542,"",COUNTIF($E$4:$E$538,$A584&amp;" ضد "&amp;BD$542)+COUNTIF($E$4:$E$538,BD$542&amp;" ضد "&amp;$A584))</f>
        <v>1</v>
      </c>
      <c r="BE584" s="4">
        <f>IF($A584=BE$542,"",COUNTIF($E$4:$E$538,$A584&amp;" ضد "&amp;BE$542)+COUNTIF($E$4:$E$538,BE$542&amp;" ضد "&amp;$A584))</f>
        <v>1</v>
      </c>
      <c r="BF584" s="4">
        <f>IF($A584=BF$542,"",COUNTIF($E$4:$E$538,$A584&amp;" ضد "&amp;BF$542)+COUNTIF($E$4:$E$538,BF$542&amp;" ضد "&amp;$A584))</f>
        <v>1</v>
      </c>
      <c r="BG584" s="4">
        <f>IF($A584=BG$542,"",COUNTIF($E$4:$E$538,$A584&amp;" ضد "&amp;BG$542)+COUNTIF($E$4:$E$538,BG$542&amp;" ضد "&amp;$A584))</f>
        <v>1</v>
      </c>
    </row>
    <row r="585" spans="1:59" ht="14.5">
      <c r="A585" s="14">
        <v>43</v>
      </c>
      <c r="B585" s="4">
        <f>IF($A585=B$542,"",COUNTIF($E$4:$E$538,$A585&amp;" ضد "&amp;B$542)+COUNTIF($E$4:$E$538,B$542&amp;" ضد "&amp;$A585))</f>
        <v>0</v>
      </c>
      <c r="C585" s="4">
        <f>IF($A585=C$542,"",COUNTIF($E$4:$E$538,$A585&amp;" ضد "&amp;C$542)+COUNTIF($E$4:$E$538,C$542&amp;" ضد "&amp;$A585))</f>
        <v>0</v>
      </c>
      <c r="D585" s="4">
        <f>IF($A585=D$542,"",COUNTIF($E$4:$E$538,$A585&amp;" ضد "&amp;D$542)+COUNTIF($E$4:$E$538,D$542&amp;" ضد "&amp;$A585))</f>
        <v>0</v>
      </c>
      <c r="E585" s="4">
        <f>IF($A585=E$542,"",COUNTIF($E$4:$E$538,$A585&amp;" ضد "&amp;E$542)+COUNTIF($E$4:$E$538,E$542&amp;" ضد "&amp;$A585))</f>
        <v>0</v>
      </c>
      <c r="F585" s="4">
        <f>IF($A585=F$542,"",COUNTIF($E$4:$E$538,$A585&amp;" ضد "&amp;F$542)+COUNTIF($E$4:$E$538,F$542&amp;" ضد "&amp;$A585))</f>
        <v>0</v>
      </c>
      <c r="G585" s="4">
        <f>IF($A585=G$542,"",COUNTIF($E$4:$E$538,$A585&amp;" ضد "&amp;G$542)+COUNTIF($E$4:$E$538,G$542&amp;" ضد "&amp;$A585))</f>
        <v>0</v>
      </c>
      <c r="H585" s="4">
        <f>IF($A585=H$542,"",COUNTIF($E$4:$E$538,$A585&amp;" ضد "&amp;H$542)+COUNTIF($E$4:$E$538,H$542&amp;" ضد "&amp;$A585))</f>
        <v>0</v>
      </c>
      <c r="I585" s="4">
        <f>IF($A585=I$542,"",COUNTIF($E$4:$E$538,$A585&amp;" ضد "&amp;I$542)+COUNTIF($E$4:$E$538,I$542&amp;" ضد "&amp;$A585))</f>
        <v>0</v>
      </c>
      <c r="J585" s="4">
        <f>IF($A585=J$542,"",COUNTIF($E$4:$E$538,$A585&amp;" ضد "&amp;J$542)+COUNTIF($E$4:$E$538,J$542&amp;" ضد "&amp;$A585))</f>
        <v>0</v>
      </c>
      <c r="K585" s="4">
        <f>IF($A585=K$542,"",COUNTIF($E$4:$E$538,$A585&amp;" ضد "&amp;K$542)+COUNTIF($E$4:$E$538,K$542&amp;" ضد "&amp;$A585))</f>
        <v>0</v>
      </c>
      <c r="L585" s="4">
        <f>IF($A585=L$542,"",COUNTIF($E$4:$E$538,$A585&amp;" ضد "&amp;L$542)+COUNTIF($E$4:$E$538,L$542&amp;" ضد "&amp;$A585))</f>
        <v>0</v>
      </c>
      <c r="M585" s="4">
        <f>IF($A585=M$542,"",COUNTIF($E$4:$E$538,$A585&amp;" ضد "&amp;M$542)+COUNTIF($E$4:$E$538,M$542&amp;" ضد "&amp;$A585))</f>
        <v>0</v>
      </c>
      <c r="N585" s="4">
        <f>IF($A585=N$542,"",COUNTIF($E$4:$E$538,$A585&amp;" ضد "&amp;N$542)+COUNTIF($E$4:$E$538,N$542&amp;" ضد "&amp;$A585))</f>
        <v>0</v>
      </c>
      <c r="O585" s="4">
        <f>IF($A585=O$542,"",COUNTIF($E$4:$E$538,$A585&amp;" ضد "&amp;O$542)+COUNTIF($E$4:$E$538,O$542&amp;" ضد "&amp;$A585))</f>
        <v>0</v>
      </c>
      <c r="P585" s="4">
        <f>IF($A585=P$542,"",COUNTIF($E$4:$E$538,$A585&amp;" ضد "&amp;P$542)+COUNTIF($E$4:$E$538,P$542&amp;" ضد "&amp;$A585))</f>
        <v>0</v>
      </c>
      <c r="Q585" s="4">
        <f>IF($A585=Q$542,"",COUNTIF($E$4:$E$538,$A585&amp;" ضد "&amp;Q$542)+COUNTIF($E$4:$E$538,Q$542&amp;" ضد "&amp;$A585))</f>
        <v>0</v>
      </c>
      <c r="R585" s="4">
        <f>IF($A585=R$542,"",COUNTIF($E$4:$E$538,$A585&amp;" ضد "&amp;R$542)+COUNTIF($E$4:$E$538,R$542&amp;" ضد "&amp;$A585))</f>
        <v>0</v>
      </c>
      <c r="S585" s="4">
        <f>IF($A585=S$542,"",COUNTIF($E$4:$E$538,$A585&amp;" ضد "&amp;S$542)+COUNTIF($E$4:$E$538,S$542&amp;" ضد "&amp;$A585))</f>
        <v>0</v>
      </c>
      <c r="T585" s="4">
        <f>IF($A585=T$542,"",COUNTIF($E$4:$E$538,$A585&amp;" ضد "&amp;T$542)+COUNTIF($E$4:$E$538,T$542&amp;" ضد "&amp;$A585))</f>
        <v>0</v>
      </c>
      <c r="U585" s="4">
        <f>IF($A585=U$542,"",COUNTIF($E$4:$E$538,$A585&amp;" ضد "&amp;U$542)+COUNTIF($E$4:$E$538,U$542&amp;" ضد "&amp;$A585))</f>
        <v>0</v>
      </c>
      <c r="V585" s="4">
        <f>IF($A585=V$542,"",COUNTIF($E$4:$E$538,$A585&amp;" ضد "&amp;V$542)+COUNTIF($E$4:$E$538,V$542&amp;" ضد "&amp;$A585))</f>
        <v>0</v>
      </c>
      <c r="W585" s="4">
        <f>IF($A585=W$542,"",COUNTIF($E$4:$E$538,$A585&amp;" ضد "&amp;W$542)+COUNTIF($E$4:$E$538,W$542&amp;" ضد "&amp;$A585))</f>
        <v>0</v>
      </c>
      <c r="X585" s="4">
        <f>IF($A585=X$542,"",COUNTIF($E$4:$E$538,$A585&amp;" ضد "&amp;X$542)+COUNTIF($E$4:$E$538,X$542&amp;" ضد "&amp;$A585))</f>
        <v>0</v>
      </c>
      <c r="Y585" s="4">
        <f>IF($A585=Y$542,"",COUNTIF($E$4:$E$538,$A585&amp;" ضد "&amp;Y$542)+COUNTIF($E$4:$E$538,Y$542&amp;" ضد "&amp;$A585))</f>
        <v>0</v>
      </c>
      <c r="Z585" s="4">
        <f>IF($A585=Z$542,"",COUNTIF($E$4:$E$538,$A585&amp;" ضد "&amp;Z$542)+COUNTIF($E$4:$E$538,Z$542&amp;" ضد "&amp;$A585))</f>
        <v>0</v>
      </c>
      <c r="AA585" s="4">
        <f>IF($A585=AA$542,"",COUNTIF($E$4:$E$538,$A585&amp;" ضد "&amp;AA$542)+COUNTIF($E$4:$E$538,AA$542&amp;" ضد "&amp;$A585))</f>
        <v>0</v>
      </c>
      <c r="AB585" s="4">
        <f>IF($A585=AB$542,"",COUNTIF($E$4:$E$538,$A585&amp;" ضد "&amp;AB$542)+COUNTIF($E$4:$E$538,AB$542&amp;" ضد "&amp;$A585))</f>
        <v>0</v>
      </c>
      <c r="AC585" s="4">
        <f>IF($A585=AC$542,"",COUNTIF($E$4:$E$538,$A585&amp;" ضد "&amp;AC$542)+COUNTIF($E$4:$E$538,AC$542&amp;" ضد "&amp;$A585))</f>
        <v>0</v>
      </c>
      <c r="AD585" s="4">
        <f>IF($A585=AD$542,"",COUNTIF($E$4:$E$538,$A585&amp;" ضد "&amp;AD$542)+COUNTIF($E$4:$E$538,AD$542&amp;" ضد "&amp;$A585))</f>
        <v>0</v>
      </c>
      <c r="AE585" s="4">
        <f>IF($A585=AE$542,"",COUNTIF($E$4:$E$538,$A585&amp;" ضد "&amp;AE$542)+COUNTIF($E$4:$E$538,AE$542&amp;" ضد "&amp;$A585))</f>
        <v>0</v>
      </c>
      <c r="AF585" s="4">
        <f>IF($A585=AF$542,"",COUNTIF($E$4:$E$538,$A585&amp;" ضد "&amp;AF$542)+COUNTIF($E$4:$E$538,AF$542&amp;" ضد "&amp;$A585))</f>
        <v>0</v>
      </c>
      <c r="AG585" s="4">
        <f>IF($A585=AG$542,"",COUNTIF($E$4:$E$538,$A585&amp;" ضد "&amp;AG$542)+COUNTIF($E$4:$E$538,AG$542&amp;" ضد "&amp;$A585))</f>
        <v>0</v>
      </c>
      <c r="AH585" s="4">
        <f>IF($A585=AH$542,"",COUNTIF($E$4:$E$538,$A585&amp;" ضد "&amp;AH$542)+COUNTIF($E$4:$E$538,AH$542&amp;" ضد "&amp;$A585))</f>
        <v>0</v>
      </c>
      <c r="AI585" s="4">
        <f>IF($A585=AI$542,"",COUNTIF($E$4:$E$538,$A585&amp;" ضد "&amp;AI$542)+COUNTIF($E$4:$E$538,AI$542&amp;" ضد "&amp;$A585))</f>
        <v>0</v>
      </c>
      <c r="AJ585" s="4">
        <f>IF($A585=AJ$542,"",COUNTIF($E$4:$E$538,$A585&amp;" ضد "&amp;AJ$542)+COUNTIF($E$4:$E$538,AJ$542&amp;" ضد "&amp;$A585))</f>
        <v>0</v>
      </c>
      <c r="AK585" s="4">
        <f>IF($A585=AK$542,"",COUNTIF($E$4:$E$538,$A585&amp;" ضد "&amp;AK$542)+COUNTIF($E$4:$E$538,AK$542&amp;" ضد "&amp;$A585))</f>
        <v>0</v>
      </c>
      <c r="AL585" s="4">
        <f>IF($A585=AL$542,"",COUNTIF($E$4:$E$538,$A585&amp;" ضد "&amp;AL$542)+COUNTIF($E$4:$E$538,AL$542&amp;" ضد "&amp;$A585))</f>
        <v>0</v>
      </c>
      <c r="AM585" s="4">
        <f>IF($A585=AM$542,"",COUNTIF($E$4:$E$538,$A585&amp;" ضد "&amp;AM$542)+COUNTIF($E$4:$E$538,AM$542&amp;" ضد "&amp;$A585))</f>
        <v>0</v>
      </c>
      <c r="AN585" s="4">
        <f>IF($A585=AN$542,"",COUNTIF($E$4:$E$538,$A585&amp;" ضد "&amp;AN$542)+COUNTIF($E$4:$E$538,AN$542&amp;" ضد "&amp;$A585))</f>
        <v>0</v>
      </c>
      <c r="AO585" s="4">
        <f>IF($A585=AO$542,"",COUNTIF($E$4:$E$538,$A585&amp;" ضد "&amp;AO$542)+COUNTIF($E$4:$E$538,AO$542&amp;" ضد "&amp;$A585))</f>
        <v>1</v>
      </c>
      <c r="AP585" s="4">
        <f>IF($A585=AP$542,"",COUNTIF($E$4:$E$538,$A585&amp;" ضد "&amp;AP$542)+COUNTIF($E$4:$E$538,AP$542&amp;" ضد "&amp;$A585))</f>
        <v>1</v>
      </c>
      <c r="AQ585" s="4">
        <f>IF($A585=AQ$542,"",COUNTIF($E$4:$E$538,$A585&amp;" ضد "&amp;AQ$542)+COUNTIF($E$4:$E$538,AQ$542&amp;" ضد "&amp;$A585))</f>
        <v>1</v>
      </c>
      <c r="AR585" s="4" t="str">
        <f>IF($A585=AR$542,"",COUNTIF($E$4:$E$538,$A585&amp;" ضد "&amp;AR$542)+COUNTIF($E$4:$E$538,AR$542&amp;" ضد "&amp;$A585))</f>
        <v/>
      </c>
      <c r="AS585" s="4">
        <f>IF($A585=AS$542,"",COUNTIF($E$4:$E$538,$A585&amp;" ضد "&amp;AS$542)+COUNTIF($E$4:$E$538,AS$542&amp;" ضد "&amp;$A585))</f>
        <v>1</v>
      </c>
      <c r="AT585" s="4">
        <f>IF($A585=AT$542,"",COUNTIF($E$4:$E$538,$A585&amp;" ضد "&amp;AT$542)+COUNTIF($E$4:$E$538,AT$542&amp;" ضد "&amp;$A585))</f>
        <v>1</v>
      </c>
      <c r="AU585" s="4">
        <f>IF($A585=AU$542,"",COUNTIF($E$4:$E$538,$A585&amp;" ضد "&amp;AU$542)+COUNTIF($E$4:$E$538,AU$542&amp;" ضد "&amp;$A585))</f>
        <v>1</v>
      </c>
      <c r="AV585" s="4">
        <f>IF($A585=AV$542,"",COUNTIF($E$4:$E$538,$A585&amp;" ضد "&amp;AV$542)+COUNTIF($E$4:$E$538,AV$542&amp;" ضد "&amp;$A585))</f>
        <v>1</v>
      </c>
      <c r="AW585" s="4">
        <f>IF($A585=AW$542,"",COUNTIF($E$4:$E$538,$A585&amp;" ضد "&amp;AW$542)+COUNTIF($E$4:$E$538,AW$542&amp;" ضد "&amp;$A585))</f>
        <v>1</v>
      </c>
      <c r="AX585" s="4">
        <f>IF($A585=AX$542,"",COUNTIF($E$4:$E$538,$A585&amp;" ضد "&amp;AX$542)+COUNTIF($E$4:$E$538,AX$542&amp;" ضد "&amp;$A585))</f>
        <v>1</v>
      </c>
      <c r="AY585" s="4">
        <f>IF($A585=AY$542,"",COUNTIF($E$4:$E$538,$A585&amp;" ضد "&amp;AY$542)+COUNTIF($E$4:$E$538,AY$542&amp;" ضد "&amp;$A585))</f>
        <v>1</v>
      </c>
      <c r="AZ585" s="4">
        <f>IF($A585=AZ$542,"",COUNTIF($E$4:$E$538,$A585&amp;" ضد "&amp;AZ$542)+COUNTIF($E$4:$E$538,AZ$542&amp;" ضد "&amp;$A585))</f>
        <v>1</v>
      </c>
      <c r="BA585" s="4">
        <f>IF($A585=BA$542,"",COUNTIF($E$4:$E$538,$A585&amp;" ضد "&amp;BA$542)+COUNTIF($E$4:$E$538,BA$542&amp;" ضد "&amp;$A585))</f>
        <v>1</v>
      </c>
      <c r="BB585" s="4">
        <f>IF($A585=BB$542,"",COUNTIF($E$4:$E$538,$A585&amp;" ضد "&amp;BB$542)+COUNTIF($E$4:$E$538,BB$542&amp;" ضد "&amp;$A585))</f>
        <v>1</v>
      </c>
      <c r="BC585" s="4">
        <f>IF($A585=BC$542,"",COUNTIF($E$4:$E$538,$A585&amp;" ضد "&amp;BC$542)+COUNTIF($E$4:$E$538,BC$542&amp;" ضد "&amp;$A585))</f>
        <v>1</v>
      </c>
      <c r="BD585" s="4">
        <f>IF($A585=BD$542,"",COUNTIF($E$4:$E$538,$A585&amp;" ضد "&amp;BD$542)+COUNTIF($E$4:$E$538,BD$542&amp;" ضد "&amp;$A585))</f>
        <v>1</v>
      </c>
      <c r="BE585" s="4">
        <f>IF($A585=BE$542,"",COUNTIF($E$4:$E$538,$A585&amp;" ضد "&amp;BE$542)+COUNTIF($E$4:$E$538,BE$542&amp;" ضد "&amp;$A585))</f>
        <v>1</v>
      </c>
      <c r="BF585" s="4">
        <f>IF($A585=BF$542,"",COUNTIF($E$4:$E$538,$A585&amp;" ضد "&amp;BF$542)+COUNTIF($E$4:$E$538,BF$542&amp;" ضد "&amp;$A585))</f>
        <v>1</v>
      </c>
      <c r="BG585" s="4">
        <f>IF($A585=BG$542,"",COUNTIF($E$4:$E$538,$A585&amp;" ضد "&amp;BG$542)+COUNTIF($E$4:$E$538,BG$542&amp;" ضد "&amp;$A585))</f>
        <v>1</v>
      </c>
    </row>
    <row r="586" spans="1:59" ht="14.5">
      <c r="A586" s="14">
        <v>44</v>
      </c>
      <c r="B586" s="4">
        <f>IF($A586=B$542,"",COUNTIF($E$4:$E$538,$A586&amp;" ضد "&amp;B$542)+COUNTIF($E$4:$E$538,B$542&amp;" ضد "&amp;$A586))</f>
        <v>0</v>
      </c>
      <c r="C586" s="4">
        <f>IF($A586=C$542,"",COUNTIF($E$4:$E$538,$A586&amp;" ضد "&amp;C$542)+COUNTIF($E$4:$E$538,C$542&amp;" ضد "&amp;$A586))</f>
        <v>0</v>
      </c>
      <c r="D586" s="4">
        <f>IF($A586=D$542,"",COUNTIF($E$4:$E$538,$A586&amp;" ضد "&amp;D$542)+COUNTIF($E$4:$E$538,D$542&amp;" ضد "&amp;$A586))</f>
        <v>0</v>
      </c>
      <c r="E586" s="4">
        <f>IF($A586=E$542,"",COUNTIF($E$4:$E$538,$A586&amp;" ضد "&amp;E$542)+COUNTIF($E$4:$E$538,E$542&amp;" ضد "&amp;$A586))</f>
        <v>0</v>
      </c>
      <c r="F586" s="4">
        <f>IF($A586=F$542,"",COUNTIF($E$4:$E$538,$A586&amp;" ضد "&amp;F$542)+COUNTIF($E$4:$E$538,F$542&amp;" ضد "&amp;$A586))</f>
        <v>0</v>
      </c>
      <c r="G586" s="4">
        <f>IF($A586=G$542,"",COUNTIF($E$4:$E$538,$A586&amp;" ضد "&amp;G$542)+COUNTIF($E$4:$E$538,G$542&amp;" ضد "&amp;$A586))</f>
        <v>0</v>
      </c>
      <c r="H586" s="4">
        <f>IF($A586=H$542,"",COUNTIF($E$4:$E$538,$A586&amp;" ضد "&amp;H$542)+COUNTIF($E$4:$E$538,H$542&amp;" ضد "&amp;$A586))</f>
        <v>0</v>
      </c>
      <c r="I586" s="4">
        <f>IF($A586=I$542,"",COUNTIF($E$4:$E$538,$A586&amp;" ضد "&amp;I$542)+COUNTIF($E$4:$E$538,I$542&amp;" ضد "&amp;$A586))</f>
        <v>0</v>
      </c>
      <c r="J586" s="4">
        <f>IF($A586=J$542,"",COUNTIF($E$4:$E$538,$A586&amp;" ضد "&amp;J$542)+COUNTIF($E$4:$E$538,J$542&amp;" ضد "&amp;$A586))</f>
        <v>0</v>
      </c>
      <c r="K586" s="4">
        <f>IF($A586=K$542,"",COUNTIF($E$4:$E$538,$A586&amp;" ضد "&amp;K$542)+COUNTIF($E$4:$E$538,K$542&amp;" ضد "&amp;$A586))</f>
        <v>0</v>
      </c>
      <c r="L586" s="4">
        <f>IF($A586=L$542,"",COUNTIF($E$4:$E$538,$A586&amp;" ضد "&amp;L$542)+COUNTIF($E$4:$E$538,L$542&amp;" ضد "&amp;$A586))</f>
        <v>0</v>
      </c>
      <c r="M586" s="4">
        <f>IF($A586=M$542,"",COUNTIF($E$4:$E$538,$A586&amp;" ضد "&amp;M$542)+COUNTIF($E$4:$E$538,M$542&amp;" ضد "&amp;$A586))</f>
        <v>0</v>
      </c>
      <c r="N586" s="4">
        <f>IF($A586=N$542,"",COUNTIF($E$4:$E$538,$A586&amp;" ضد "&amp;N$542)+COUNTIF($E$4:$E$538,N$542&amp;" ضد "&amp;$A586))</f>
        <v>0</v>
      </c>
      <c r="O586" s="4">
        <f>IF($A586=O$542,"",COUNTIF($E$4:$E$538,$A586&amp;" ضد "&amp;O$542)+COUNTIF($E$4:$E$538,O$542&amp;" ضد "&amp;$A586))</f>
        <v>0</v>
      </c>
      <c r="P586" s="4">
        <f>IF($A586=P$542,"",COUNTIF($E$4:$E$538,$A586&amp;" ضد "&amp;P$542)+COUNTIF($E$4:$E$538,P$542&amp;" ضد "&amp;$A586))</f>
        <v>0</v>
      </c>
      <c r="Q586" s="4">
        <f>IF($A586=Q$542,"",COUNTIF($E$4:$E$538,$A586&amp;" ضد "&amp;Q$542)+COUNTIF($E$4:$E$538,Q$542&amp;" ضد "&amp;$A586))</f>
        <v>0</v>
      </c>
      <c r="R586" s="4">
        <f>IF($A586=R$542,"",COUNTIF($E$4:$E$538,$A586&amp;" ضد "&amp;R$542)+COUNTIF($E$4:$E$538,R$542&amp;" ضد "&amp;$A586))</f>
        <v>0</v>
      </c>
      <c r="S586" s="4">
        <f>IF($A586=S$542,"",COUNTIF($E$4:$E$538,$A586&amp;" ضد "&amp;S$542)+COUNTIF($E$4:$E$538,S$542&amp;" ضد "&amp;$A586))</f>
        <v>0</v>
      </c>
      <c r="T586" s="4">
        <f>IF($A586=T$542,"",COUNTIF($E$4:$E$538,$A586&amp;" ضد "&amp;T$542)+COUNTIF($E$4:$E$538,T$542&amp;" ضد "&amp;$A586))</f>
        <v>0</v>
      </c>
      <c r="U586" s="4">
        <f>IF($A586=U$542,"",COUNTIF($E$4:$E$538,$A586&amp;" ضد "&amp;U$542)+COUNTIF($E$4:$E$538,U$542&amp;" ضد "&amp;$A586))</f>
        <v>0</v>
      </c>
      <c r="V586" s="4">
        <f>IF($A586=V$542,"",COUNTIF($E$4:$E$538,$A586&amp;" ضد "&amp;V$542)+COUNTIF($E$4:$E$538,V$542&amp;" ضد "&amp;$A586))</f>
        <v>0</v>
      </c>
      <c r="W586" s="4">
        <f>IF($A586=W$542,"",COUNTIF($E$4:$E$538,$A586&amp;" ضد "&amp;W$542)+COUNTIF($E$4:$E$538,W$542&amp;" ضد "&amp;$A586))</f>
        <v>0</v>
      </c>
      <c r="X586" s="4">
        <f>IF($A586=X$542,"",COUNTIF($E$4:$E$538,$A586&amp;" ضد "&amp;X$542)+COUNTIF($E$4:$E$538,X$542&amp;" ضد "&amp;$A586))</f>
        <v>0</v>
      </c>
      <c r="Y586" s="4">
        <f>IF($A586=Y$542,"",COUNTIF($E$4:$E$538,$A586&amp;" ضد "&amp;Y$542)+COUNTIF($E$4:$E$538,Y$542&amp;" ضد "&amp;$A586))</f>
        <v>0</v>
      </c>
      <c r="Z586" s="4">
        <f>IF($A586=Z$542,"",COUNTIF($E$4:$E$538,$A586&amp;" ضد "&amp;Z$542)+COUNTIF($E$4:$E$538,Z$542&amp;" ضد "&amp;$A586))</f>
        <v>0</v>
      </c>
      <c r="AA586" s="4">
        <f>IF($A586=AA$542,"",COUNTIF($E$4:$E$538,$A586&amp;" ضد "&amp;AA$542)+COUNTIF($E$4:$E$538,AA$542&amp;" ضد "&amp;$A586))</f>
        <v>0</v>
      </c>
      <c r="AB586" s="4">
        <f>IF($A586=AB$542,"",COUNTIF($E$4:$E$538,$A586&amp;" ضد "&amp;AB$542)+COUNTIF($E$4:$E$538,AB$542&amp;" ضد "&amp;$A586))</f>
        <v>0</v>
      </c>
      <c r="AC586" s="4">
        <f>IF($A586=AC$542,"",COUNTIF($E$4:$E$538,$A586&amp;" ضد "&amp;AC$542)+COUNTIF($E$4:$E$538,AC$542&amp;" ضد "&amp;$A586))</f>
        <v>0</v>
      </c>
      <c r="AD586" s="4">
        <f>IF($A586=AD$542,"",COUNTIF($E$4:$E$538,$A586&amp;" ضد "&amp;AD$542)+COUNTIF($E$4:$E$538,AD$542&amp;" ضد "&amp;$A586))</f>
        <v>0</v>
      </c>
      <c r="AE586" s="4">
        <f>IF($A586=AE$542,"",COUNTIF($E$4:$E$538,$A586&amp;" ضد "&amp;AE$542)+COUNTIF($E$4:$E$538,AE$542&amp;" ضد "&amp;$A586))</f>
        <v>0</v>
      </c>
      <c r="AF586" s="4">
        <f>IF($A586=AF$542,"",COUNTIF($E$4:$E$538,$A586&amp;" ضد "&amp;AF$542)+COUNTIF($E$4:$E$538,AF$542&amp;" ضد "&amp;$A586))</f>
        <v>0</v>
      </c>
      <c r="AG586" s="4">
        <f>IF($A586=AG$542,"",COUNTIF($E$4:$E$538,$A586&amp;" ضد "&amp;AG$542)+COUNTIF($E$4:$E$538,AG$542&amp;" ضد "&amp;$A586))</f>
        <v>0</v>
      </c>
      <c r="AH586" s="4">
        <f>IF($A586=AH$542,"",COUNTIF($E$4:$E$538,$A586&amp;" ضد "&amp;AH$542)+COUNTIF($E$4:$E$538,AH$542&amp;" ضد "&amp;$A586))</f>
        <v>0</v>
      </c>
      <c r="AI586" s="4">
        <f>IF($A586=AI$542,"",COUNTIF($E$4:$E$538,$A586&amp;" ضد "&amp;AI$542)+COUNTIF($E$4:$E$538,AI$542&amp;" ضد "&amp;$A586))</f>
        <v>0</v>
      </c>
      <c r="AJ586" s="4">
        <f>IF($A586=AJ$542,"",COUNTIF($E$4:$E$538,$A586&amp;" ضد "&amp;AJ$542)+COUNTIF($E$4:$E$538,AJ$542&amp;" ضد "&amp;$A586))</f>
        <v>0</v>
      </c>
      <c r="AK586" s="4">
        <f>IF($A586=AK$542,"",COUNTIF($E$4:$E$538,$A586&amp;" ضد "&amp;AK$542)+COUNTIF($E$4:$E$538,AK$542&amp;" ضد "&amp;$A586))</f>
        <v>0</v>
      </c>
      <c r="AL586" s="4">
        <f>IF($A586=AL$542,"",COUNTIF($E$4:$E$538,$A586&amp;" ضد "&amp;AL$542)+COUNTIF($E$4:$E$538,AL$542&amp;" ضد "&amp;$A586))</f>
        <v>0</v>
      </c>
      <c r="AM586" s="4">
        <f>IF($A586=AM$542,"",COUNTIF($E$4:$E$538,$A586&amp;" ضد "&amp;AM$542)+COUNTIF($E$4:$E$538,AM$542&amp;" ضد "&amp;$A586))</f>
        <v>0</v>
      </c>
      <c r="AN586" s="4">
        <f>IF($A586=AN$542,"",COUNTIF($E$4:$E$538,$A586&amp;" ضد "&amp;AN$542)+COUNTIF($E$4:$E$538,AN$542&amp;" ضد "&amp;$A586))</f>
        <v>0</v>
      </c>
      <c r="AO586" s="4">
        <f>IF($A586=AO$542,"",COUNTIF($E$4:$E$538,$A586&amp;" ضد "&amp;AO$542)+COUNTIF($E$4:$E$538,AO$542&amp;" ضد "&amp;$A586))</f>
        <v>1</v>
      </c>
      <c r="AP586" s="4">
        <f>IF($A586=AP$542,"",COUNTIF($E$4:$E$538,$A586&amp;" ضد "&amp;AP$542)+COUNTIF($E$4:$E$538,AP$542&amp;" ضد "&amp;$A586))</f>
        <v>1</v>
      </c>
      <c r="AQ586" s="4">
        <f>IF($A586=AQ$542,"",COUNTIF($E$4:$E$538,$A586&amp;" ضد "&amp;AQ$542)+COUNTIF($E$4:$E$538,AQ$542&amp;" ضد "&amp;$A586))</f>
        <v>1</v>
      </c>
      <c r="AR586" s="4">
        <f>IF($A586=AR$542,"",COUNTIF($E$4:$E$538,$A586&amp;" ضد "&amp;AR$542)+COUNTIF($E$4:$E$538,AR$542&amp;" ضد "&amp;$A586))</f>
        <v>1</v>
      </c>
      <c r="AS586" s="4" t="str">
        <f>IF($A586=AS$542,"",COUNTIF($E$4:$E$538,$A586&amp;" ضد "&amp;AS$542)+COUNTIF($E$4:$E$538,AS$542&amp;" ضد "&amp;$A586))</f>
        <v/>
      </c>
      <c r="AT586" s="4">
        <f>IF($A586=AT$542,"",COUNTIF($E$4:$E$538,$A586&amp;" ضد "&amp;AT$542)+COUNTIF($E$4:$E$538,AT$542&amp;" ضد "&amp;$A586))</f>
        <v>1</v>
      </c>
      <c r="AU586" s="4">
        <f>IF($A586=AU$542,"",COUNTIF($E$4:$E$538,$A586&amp;" ضد "&amp;AU$542)+COUNTIF($E$4:$E$538,AU$542&amp;" ضد "&amp;$A586))</f>
        <v>1</v>
      </c>
      <c r="AV586" s="4">
        <f>IF($A586=AV$542,"",COUNTIF($E$4:$E$538,$A586&amp;" ضد "&amp;AV$542)+COUNTIF($E$4:$E$538,AV$542&amp;" ضد "&amp;$A586))</f>
        <v>1</v>
      </c>
      <c r="AW586" s="4">
        <f>IF($A586=AW$542,"",COUNTIF($E$4:$E$538,$A586&amp;" ضد "&amp;AW$542)+COUNTIF($E$4:$E$538,AW$542&amp;" ضد "&amp;$A586))</f>
        <v>1</v>
      </c>
      <c r="AX586" s="4">
        <f>IF($A586=AX$542,"",COUNTIF($E$4:$E$538,$A586&amp;" ضد "&amp;AX$542)+COUNTIF($E$4:$E$538,AX$542&amp;" ضد "&amp;$A586))</f>
        <v>1</v>
      </c>
      <c r="AY586" s="4">
        <f>IF($A586=AY$542,"",COUNTIF($E$4:$E$538,$A586&amp;" ضد "&amp;AY$542)+COUNTIF($E$4:$E$538,AY$542&amp;" ضد "&amp;$A586))</f>
        <v>1</v>
      </c>
      <c r="AZ586" s="4">
        <f>IF($A586=AZ$542,"",COUNTIF($E$4:$E$538,$A586&amp;" ضد "&amp;AZ$542)+COUNTIF($E$4:$E$538,AZ$542&amp;" ضد "&amp;$A586))</f>
        <v>1</v>
      </c>
      <c r="BA586" s="4">
        <f>IF($A586=BA$542,"",COUNTIF($E$4:$E$538,$A586&amp;" ضد "&amp;BA$542)+COUNTIF($E$4:$E$538,BA$542&amp;" ضد "&amp;$A586))</f>
        <v>1</v>
      </c>
      <c r="BB586" s="4">
        <f>IF($A586=BB$542,"",COUNTIF($E$4:$E$538,$A586&amp;" ضد "&amp;BB$542)+COUNTIF($E$4:$E$538,BB$542&amp;" ضد "&amp;$A586))</f>
        <v>1</v>
      </c>
      <c r="BC586" s="4">
        <f>IF($A586=BC$542,"",COUNTIF($E$4:$E$538,$A586&amp;" ضد "&amp;BC$542)+COUNTIF($E$4:$E$538,BC$542&amp;" ضد "&amp;$A586))</f>
        <v>1</v>
      </c>
      <c r="BD586" s="4">
        <f>IF($A586=BD$542,"",COUNTIF($E$4:$E$538,$A586&amp;" ضد "&amp;BD$542)+COUNTIF($E$4:$E$538,BD$542&amp;" ضد "&amp;$A586))</f>
        <v>1</v>
      </c>
      <c r="BE586" s="4">
        <f>IF($A586=BE$542,"",COUNTIF($E$4:$E$538,$A586&amp;" ضد "&amp;BE$542)+COUNTIF($E$4:$E$538,BE$542&amp;" ضد "&amp;$A586))</f>
        <v>1</v>
      </c>
      <c r="BF586" s="4">
        <f>IF($A586=BF$542,"",COUNTIF($E$4:$E$538,$A586&amp;" ضد "&amp;BF$542)+COUNTIF($E$4:$E$538,BF$542&amp;" ضد "&amp;$A586))</f>
        <v>1</v>
      </c>
      <c r="BG586" s="4">
        <f>IF($A586=BG$542,"",COUNTIF($E$4:$E$538,$A586&amp;" ضد "&amp;BG$542)+COUNTIF($E$4:$E$538,BG$542&amp;" ضد "&amp;$A586))</f>
        <v>1</v>
      </c>
    </row>
    <row r="587" spans="1:59" ht="14.5">
      <c r="A587" s="14">
        <v>45</v>
      </c>
      <c r="B587" s="4">
        <f>IF($A587=B$542,"",COUNTIF($E$4:$E$538,$A587&amp;" ضد "&amp;B$542)+COUNTIF($E$4:$E$538,B$542&amp;" ضد "&amp;$A587))</f>
        <v>0</v>
      </c>
      <c r="C587" s="4">
        <f>IF($A587=C$542,"",COUNTIF($E$4:$E$538,$A587&amp;" ضد "&amp;C$542)+COUNTIF($E$4:$E$538,C$542&amp;" ضد "&amp;$A587))</f>
        <v>0</v>
      </c>
      <c r="D587" s="4">
        <f>IF($A587=D$542,"",COUNTIF($E$4:$E$538,$A587&amp;" ضد "&amp;D$542)+COUNTIF($E$4:$E$538,D$542&amp;" ضد "&amp;$A587))</f>
        <v>0</v>
      </c>
      <c r="E587" s="4">
        <f>IF($A587=E$542,"",COUNTIF($E$4:$E$538,$A587&amp;" ضد "&amp;E$542)+COUNTIF($E$4:$E$538,E$542&amp;" ضد "&amp;$A587))</f>
        <v>0</v>
      </c>
      <c r="F587" s="4">
        <f>IF($A587=F$542,"",COUNTIF($E$4:$E$538,$A587&amp;" ضد "&amp;F$542)+COUNTIF($E$4:$E$538,F$542&amp;" ضد "&amp;$A587))</f>
        <v>0</v>
      </c>
      <c r="G587" s="4">
        <f>IF($A587=G$542,"",COUNTIF($E$4:$E$538,$A587&amp;" ضد "&amp;G$542)+COUNTIF($E$4:$E$538,G$542&amp;" ضد "&amp;$A587))</f>
        <v>0</v>
      </c>
      <c r="H587" s="4">
        <f>IF($A587=H$542,"",COUNTIF($E$4:$E$538,$A587&amp;" ضد "&amp;H$542)+COUNTIF($E$4:$E$538,H$542&amp;" ضد "&amp;$A587))</f>
        <v>0</v>
      </c>
      <c r="I587" s="4">
        <f>IF($A587=I$542,"",COUNTIF($E$4:$E$538,$A587&amp;" ضد "&amp;I$542)+COUNTIF($E$4:$E$538,I$542&amp;" ضد "&amp;$A587))</f>
        <v>0</v>
      </c>
      <c r="J587" s="4">
        <f>IF($A587=J$542,"",COUNTIF($E$4:$E$538,$A587&amp;" ضد "&amp;J$542)+COUNTIF($E$4:$E$538,J$542&amp;" ضد "&amp;$A587))</f>
        <v>0</v>
      </c>
      <c r="K587" s="4">
        <f>IF($A587=K$542,"",COUNTIF($E$4:$E$538,$A587&amp;" ضد "&amp;K$542)+COUNTIF($E$4:$E$538,K$542&amp;" ضد "&amp;$A587))</f>
        <v>0</v>
      </c>
      <c r="L587" s="4">
        <f>IF($A587=L$542,"",COUNTIF($E$4:$E$538,$A587&amp;" ضد "&amp;L$542)+COUNTIF($E$4:$E$538,L$542&amp;" ضد "&amp;$A587))</f>
        <v>0</v>
      </c>
      <c r="M587" s="4">
        <f>IF($A587=M$542,"",COUNTIF($E$4:$E$538,$A587&amp;" ضد "&amp;M$542)+COUNTIF($E$4:$E$538,M$542&amp;" ضد "&amp;$A587))</f>
        <v>0</v>
      </c>
      <c r="N587" s="4">
        <f>IF($A587=N$542,"",COUNTIF($E$4:$E$538,$A587&amp;" ضد "&amp;N$542)+COUNTIF($E$4:$E$538,N$542&amp;" ضد "&amp;$A587))</f>
        <v>0</v>
      </c>
      <c r="O587" s="4">
        <f>IF($A587=O$542,"",COUNTIF($E$4:$E$538,$A587&amp;" ضد "&amp;O$542)+COUNTIF($E$4:$E$538,O$542&amp;" ضد "&amp;$A587))</f>
        <v>0</v>
      </c>
      <c r="P587" s="4">
        <f>IF($A587=P$542,"",COUNTIF($E$4:$E$538,$A587&amp;" ضد "&amp;P$542)+COUNTIF($E$4:$E$538,P$542&amp;" ضد "&amp;$A587))</f>
        <v>0</v>
      </c>
      <c r="Q587" s="4">
        <f>IF($A587=Q$542,"",COUNTIF($E$4:$E$538,$A587&amp;" ضد "&amp;Q$542)+COUNTIF($E$4:$E$538,Q$542&amp;" ضد "&amp;$A587))</f>
        <v>0</v>
      </c>
      <c r="R587" s="4">
        <f>IF($A587=R$542,"",COUNTIF($E$4:$E$538,$A587&amp;" ضد "&amp;R$542)+COUNTIF($E$4:$E$538,R$542&amp;" ضد "&amp;$A587))</f>
        <v>0</v>
      </c>
      <c r="S587" s="4">
        <f>IF($A587=S$542,"",COUNTIF($E$4:$E$538,$A587&amp;" ضد "&amp;S$542)+COUNTIF($E$4:$E$538,S$542&amp;" ضد "&amp;$A587))</f>
        <v>0</v>
      </c>
      <c r="T587" s="4">
        <f>IF($A587=T$542,"",COUNTIF($E$4:$E$538,$A587&amp;" ضد "&amp;T$542)+COUNTIF($E$4:$E$538,T$542&amp;" ضد "&amp;$A587))</f>
        <v>0</v>
      </c>
      <c r="U587" s="4">
        <f>IF($A587=U$542,"",COUNTIF($E$4:$E$538,$A587&amp;" ضد "&amp;U$542)+COUNTIF($E$4:$E$538,U$542&amp;" ضد "&amp;$A587))</f>
        <v>0</v>
      </c>
      <c r="V587" s="4">
        <f>IF($A587=V$542,"",COUNTIF($E$4:$E$538,$A587&amp;" ضد "&amp;V$542)+COUNTIF($E$4:$E$538,V$542&amp;" ضد "&amp;$A587))</f>
        <v>0</v>
      </c>
      <c r="W587" s="4">
        <f>IF($A587=W$542,"",COUNTIF($E$4:$E$538,$A587&amp;" ضد "&amp;W$542)+COUNTIF($E$4:$E$538,W$542&amp;" ضد "&amp;$A587))</f>
        <v>0</v>
      </c>
      <c r="X587" s="4">
        <f>IF($A587=X$542,"",COUNTIF($E$4:$E$538,$A587&amp;" ضد "&amp;X$542)+COUNTIF($E$4:$E$538,X$542&amp;" ضد "&amp;$A587))</f>
        <v>0</v>
      </c>
      <c r="Y587" s="4">
        <f>IF($A587=Y$542,"",COUNTIF($E$4:$E$538,$A587&amp;" ضد "&amp;Y$542)+COUNTIF($E$4:$E$538,Y$542&amp;" ضد "&amp;$A587))</f>
        <v>0</v>
      </c>
      <c r="Z587" s="4">
        <f>IF($A587=Z$542,"",COUNTIF($E$4:$E$538,$A587&amp;" ضد "&amp;Z$542)+COUNTIF($E$4:$E$538,Z$542&amp;" ضد "&amp;$A587))</f>
        <v>0</v>
      </c>
      <c r="AA587" s="4">
        <f>IF($A587=AA$542,"",COUNTIF($E$4:$E$538,$A587&amp;" ضد "&amp;AA$542)+COUNTIF($E$4:$E$538,AA$542&amp;" ضد "&amp;$A587))</f>
        <v>0</v>
      </c>
      <c r="AB587" s="4">
        <f>IF($A587=AB$542,"",COUNTIF($E$4:$E$538,$A587&amp;" ضد "&amp;AB$542)+COUNTIF($E$4:$E$538,AB$542&amp;" ضد "&amp;$A587))</f>
        <v>0</v>
      </c>
      <c r="AC587" s="4">
        <f>IF($A587=AC$542,"",COUNTIF($E$4:$E$538,$A587&amp;" ضد "&amp;AC$542)+COUNTIF($E$4:$E$538,AC$542&amp;" ضد "&amp;$A587))</f>
        <v>0</v>
      </c>
      <c r="AD587" s="4">
        <f>IF($A587=AD$542,"",COUNTIF($E$4:$E$538,$A587&amp;" ضد "&amp;AD$542)+COUNTIF($E$4:$E$538,AD$542&amp;" ضد "&amp;$A587))</f>
        <v>0</v>
      </c>
      <c r="AE587" s="4">
        <f>IF($A587=AE$542,"",COUNTIF($E$4:$E$538,$A587&amp;" ضد "&amp;AE$542)+COUNTIF($E$4:$E$538,AE$542&amp;" ضد "&amp;$A587))</f>
        <v>0</v>
      </c>
      <c r="AF587" s="4">
        <f>IF($A587=AF$542,"",COUNTIF($E$4:$E$538,$A587&amp;" ضد "&amp;AF$542)+COUNTIF($E$4:$E$538,AF$542&amp;" ضد "&amp;$A587))</f>
        <v>0</v>
      </c>
      <c r="AG587" s="4">
        <f>IF($A587=AG$542,"",COUNTIF($E$4:$E$538,$A587&amp;" ضد "&amp;AG$542)+COUNTIF($E$4:$E$538,AG$542&amp;" ضد "&amp;$A587))</f>
        <v>0</v>
      </c>
      <c r="AH587" s="4">
        <f>IF($A587=AH$542,"",COUNTIF($E$4:$E$538,$A587&amp;" ضد "&amp;AH$542)+COUNTIF($E$4:$E$538,AH$542&amp;" ضد "&amp;$A587))</f>
        <v>0</v>
      </c>
      <c r="AI587" s="4">
        <f>IF($A587=AI$542,"",COUNTIF($E$4:$E$538,$A587&amp;" ضد "&amp;AI$542)+COUNTIF($E$4:$E$538,AI$542&amp;" ضد "&amp;$A587))</f>
        <v>0</v>
      </c>
      <c r="AJ587" s="4">
        <f>IF($A587=AJ$542,"",COUNTIF($E$4:$E$538,$A587&amp;" ضد "&amp;AJ$542)+COUNTIF($E$4:$E$538,AJ$542&amp;" ضد "&amp;$A587))</f>
        <v>0</v>
      </c>
      <c r="AK587" s="4">
        <f>IF($A587=AK$542,"",COUNTIF($E$4:$E$538,$A587&amp;" ضد "&amp;AK$542)+COUNTIF($E$4:$E$538,AK$542&amp;" ضد "&amp;$A587))</f>
        <v>0</v>
      </c>
      <c r="AL587" s="4">
        <f>IF($A587=AL$542,"",COUNTIF($E$4:$E$538,$A587&amp;" ضد "&amp;AL$542)+COUNTIF($E$4:$E$538,AL$542&amp;" ضد "&amp;$A587))</f>
        <v>0</v>
      </c>
      <c r="AM587" s="4">
        <f>IF($A587=AM$542,"",COUNTIF($E$4:$E$538,$A587&amp;" ضد "&amp;AM$542)+COUNTIF($E$4:$E$538,AM$542&amp;" ضد "&amp;$A587))</f>
        <v>0</v>
      </c>
      <c r="AN587" s="4">
        <f>IF($A587=AN$542,"",COUNTIF($E$4:$E$538,$A587&amp;" ضد "&amp;AN$542)+COUNTIF($E$4:$E$538,AN$542&amp;" ضد "&amp;$A587))</f>
        <v>0</v>
      </c>
      <c r="AO587" s="4">
        <f>IF($A587=AO$542,"",COUNTIF($E$4:$E$538,$A587&amp;" ضد "&amp;AO$542)+COUNTIF($E$4:$E$538,AO$542&amp;" ضد "&amp;$A587))</f>
        <v>1</v>
      </c>
      <c r="AP587" s="4">
        <f>IF($A587=AP$542,"",COUNTIF($E$4:$E$538,$A587&amp;" ضد "&amp;AP$542)+COUNTIF($E$4:$E$538,AP$542&amp;" ضد "&amp;$A587))</f>
        <v>1</v>
      </c>
      <c r="AQ587" s="4">
        <f>IF($A587=AQ$542,"",COUNTIF($E$4:$E$538,$A587&amp;" ضد "&amp;AQ$542)+COUNTIF($E$4:$E$538,AQ$542&amp;" ضد "&amp;$A587))</f>
        <v>1</v>
      </c>
      <c r="AR587" s="4">
        <f>IF($A587=AR$542,"",COUNTIF($E$4:$E$538,$A587&amp;" ضد "&amp;AR$542)+COUNTIF($E$4:$E$538,AR$542&amp;" ضد "&amp;$A587))</f>
        <v>1</v>
      </c>
      <c r="AS587" s="4">
        <f>IF($A587=AS$542,"",COUNTIF($E$4:$E$538,$A587&amp;" ضد "&amp;AS$542)+COUNTIF($E$4:$E$538,AS$542&amp;" ضد "&amp;$A587))</f>
        <v>1</v>
      </c>
      <c r="AT587" s="4" t="str">
        <f>IF($A587=AT$542,"",COUNTIF($E$4:$E$538,$A587&amp;" ضد "&amp;AT$542)+COUNTIF($E$4:$E$538,AT$542&amp;" ضد "&amp;$A587))</f>
        <v/>
      </c>
      <c r="AU587" s="4">
        <f>IF($A587=AU$542,"",COUNTIF($E$4:$E$538,$A587&amp;" ضد "&amp;AU$542)+COUNTIF($E$4:$E$538,AU$542&amp;" ضد "&amp;$A587))</f>
        <v>1</v>
      </c>
      <c r="AV587" s="4">
        <f>IF($A587=AV$542,"",COUNTIF($E$4:$E$538,$A587&amp;" ضد "&amp;AV$542)+COUNTIF($E$4:$E$538,AV$542&amp;" ضد "&amp;$A587))</f>
        <v>1</v>
      </c>
      <c r="AW587" s="4">
        <f>IF($A587=AW$542,"",COUNTIF($E$4:$E$538,$A587&amp;" ضد "&amp;AW$542)+COUNTIF($E$4:$E$538,AW$542&amp;" ضد "&amp;$A587))</f>
        <v>1</v>
      </c>
      <c r="AX587" s="4">
        <f>IF($A587=AX$542,"",COUNTIF($E$4:$E$538,$A587&amp;" ضد "&amp;AX$542)+COUNTIF($E$4:$E$538,AX$542&amp;" ضد "&amp;$A587))</f>
        <v>1</v>
      </c>
      <c r="AY587" s="4">
        <f>IF($A587=AY$542,"",COUNTIF($E$4:$E$538,$A587&amp;" ضد "&amp;AY$542)+COUNTIF($E$4:$E$538,AY$542&amp;" ضد "&amp;$A587))</f>
        <v>1</v>
      </c>
      <c r="AZ587" s="4">
        <f>IF($A587=AZ$542,"",COUNTIF($E$4:$E$538,$A587&amp;" ضد "&amp;AZ$542)+COUNTIF($E$4:$E$538,AZ$542&amp;" ضد "&amp;$A587))</f>
        <v>1</v>
      </c>
      <c r="BA587" s="4">
        <f>IF($A587=BA$542,"",COUNTIF($E$4:$E$538,$A587&amp;" ضد "&amp;BA$542)+COUNTIF($E$4:$E$538,BA$542&amp;" ضد "&amp;$A587))</f>
        <v>1</v>
      </c>
      <c r="BB587" s="4">
        <f>IF($A587=BB$542,"",COUNTIF($E$4:$E$538,$A587&amp;" ضد "&amp;BB$542)+COUNTIF($E$4:$E$538,BB$542&amp;" ضد "&amp;$A587))</f>
        <v>1</v>
      </c>
      <c r="BC587" s="4">
        <f>IF($A587=BC$542,"",COUNTIF($E$4:$E$538,$A587&amp;" ضد "&amp;BC$542)+COUNTIF($E$4:$E$538,BC$542&amp;" ضد "&amp;$A587))</f>
        <v>1</v>
      </c>
      <c r="BD587" s="4">
        <f>IF($A587=BD$542,"",COUNTIF($E$4:$E$538,$A587&amp;" ضد "&amp;BD$542)+COUNTIF($E$4:$E$538,BD$542&amp;" ضد "&amp;$A587))</f>
        <v>1</v>
      </c>
      <c r="BE587" s="4">
        <f>IF($A587=BE$542,"",COUNTIF($E$4:$E$538,$A587&amp;" ضد "&amp;BE$542)+COUNTIF($E$4:$E$538,BE$542&amp;" ضد "&amp;$A587))</f>
        <v>1</v>
      </c>
      <c r="BF587" s="4">
        <f>IF($A587=BF$542,"",COUNTIF($E$4:$E$538,$A587&amp;" ضد "&amp;BF$542)+COUNTIF($E$4:$E$538,BF$542&amp;" ضد "&amp;$A587))</f>
        <v>1</v>
      </c>
      <c r="BG587" s="4">
        <f>IF($A587=BG$542,"",COUNTIF($E$4:$E$538,$A587&amp;" ضد "&amp;BG$542)+COUNTIF($E$4:$E$538,BG$542&amp;" ضد "&amp;$A587))</f>
        <v>1</v>
      </c>
    </row>
    <row r="588" spans="1:59" ht="14.5">
      <c r="A588" s="14">
        <v>46</v>
      </c>
      <c r="B588" s="4">
        <f>IF($A588=B$542,"",COUNTIF($E$4:$E$538,$A588&amp;" ضد "&amp;B$542)+COUNTIF($E$4:$E$538,B$542&amp;" ضد "&amp;$A588))</f>
        <v>0</v>
      </c>
      <c r="C588" s="4">
        <f>IF($A588=C$542,"",COUNTIF($E$4:$E$538,$A588&amp;" ضد "&amp;C$542)+COUNTIF($E$4:$E$538,C$542&amp;" ضد "&amp;$A588))</f>
        <v>0</v>
      </c>
      <c r="D588" s="4">
        <f>IF($A588=D$542,"",COUNTIF($E$4:$E$538,$A588&amp;" ضد "&amp;D$542)+COUNTIF($E$4:$E$538,D$542&amp;" ضد "&amp;$A588))</f>
        <v>0</v>
      </c>
      <c r="E588" s="4">
        <f>IF($A588=E$542,"",COUNTIF($E$4:$E$538,$A588&amp;" ضد "&amp;E$542)+COUNTIF($E$4:$E$538,E$542&amp;" ضد "&amp;$A588))</f>
        <v>0</v>
      </c>
      <c r="F588" s="4">
        <f>IF($A588=F$542,"",COUNTIF($E$4:$E$538,$A588&amp;" ضد "&amp;F$542)+COUNTIF($E$4:$E$538,F$542&amp;" ضد "&amp;$A588))</f>
        <v>0</v>
      </c>
      <c r="G588" s="4">
        <f>IF($A588=G$542,"",COUNTIF($E$4:$E$538,$A588&amp;" ضد "&amp;G$542)+COUNTIF($E$4:$E$538,G$542&amp;" ضد "&amp;$A588))</f>
        <v>0</v>
      </c>
      <c r="H588" s="4">
        <f>IF($A588=H$542,"",COUNTIF($E$4:$E$538,$A588&amp;" ضد "&amp;H$542)+COUNTIF($E$4:$E$538,H$542&amp;" ضد "&amp;$A588))</f>
        <v>0</v>
      </c>
      <c r="I588" s="4">
        <f>IF($A588=I$542,"",COUNTIF($E$4:$E$538,$A588&amp;" ضد "&amp;I$542)+COUNTIF($E$4:$E$538,I$542&amp;" ضد "&amp;$A588))</f>
        <v>0</v>
      </c>
      <c r="J588" s="4">
        <f>IF($A588=J$542,"",COUNTIF($E$4:$E$538,$A588&amp;" ضد "&amp;J$542)+COUNTIF($E$4:$E$538,J$542&amp;" ضد "&amp;$A588))</f>
        <v>0</v>
      </c>
      <c r="K588" s="4">
        <f>IF($A588=K$542,"",COUNTIF($E$4:$E$538,$A588&amp;" ضد "&amp;K$542)+COUNTIF($E$4:$E$538,K$542&amp;" ضد "&amp;$A588))</f>
        <v>0</v>
      </c>
      <c r="L588" s="4">
        <f>IF($A588=L$542,"",COUNTIF($E$4:$E$538,$A588&amp;" ضد "&amp;L$542)+COUNTIF($E$4:$E$538,L$542&amp;" ضد "&amp;$A588))</f>
        <v>0</v>
      </c>
      <c r="M588" s="4">
        <f>IF($A588=M$542,"",COUNTIF($E$4:$E$538,$A588&amp;" ضد "&amp;M$542)+COUNTIF($E$4:$E$538,M$542&amp;" ضد "&amp;$A588))</f>
        <v>0</v>
      </c>
      <c r="N588" s="4">
        <f>IF($A588=N$542,"",COUNTIF($E$4:$E$538,$A588&amp;" ضد "&amp;N$542)+COUNTIF($E$4:$E$538,N$542&amp;" ضد "&amp;$A588))</f>
        <v>0</v>
      </c>
      <c r="O588" s="4">
        <f>IF($A588=O$542,"",COUNTIF($E$4:$E$538,$A588&amp;" ضد "&amp;O$542)+COUNTIF($E$4:$E$538,O$542&amp;" ضد "&amp;$A588))</f>
        <v>0</v>
      </c>
      <c r="P588" s="4">
        <f>IF($A588=P$542,"",COUNTIF($E$4:$E$538,$A588&amp;" ضد "&amp;P$542)+COUNTIF($E$4:$E$538,P$542&amp;" ضد "&amp;$A588))</f>
        <v>0</v>
      </c>
      <c r="Q588" s="4">
        <f>IF($A588=Q$542,"",COUNTIF($E$4:$E$538,$A588&amp;" ضد "&amp;Q$542)+COUNTIF($E$4:$E$538,Q$542&amp;" ضد "&amp;$A588))</f>
        <v>0</v>
      </c>
      <c r="R588" s="4">
        <f>IF($A588=R$542,"",COUNTIF($E$4:$E$538,$A588&amp;" ضد "&amp;R$542)+COUNTIF($E$4:$E$538,R$542&amp;" ضد "&amp;$A588))</f>
        <v>0</v>
      </c>
      <c r="S588" s="4">
        <f>IF($A588=S$542,"",COUNTIF($E$4:$E$538,$A588&amp;" ضد "&amp;S$542)+COUNTIF($E$4:$E$538,S$542&amp;" ضد "&amp;$A588))</f>
        <v>0</v>
      </c>
      <c r="T588" s="4">
        <f>IF($A588=T$542,"",COUNTIF($E$4:$E$538,$A588&amp;" ضد "&amp;T$542)+COUNTIF($E$4:$E$538,T$542&amp;" ضد "&amp;$A588))</f>
        <v>0</v>
      </c>
      <c r="U588" s="4">
        <f>IF($A588=U$542,"",COUNTIF($E$4:$E$538,$A588&amp;" ضد "&amp;U$542)+COUNTIF($E$4:$E$538,U$542&amp;" ضد "&amp;$A588))</f>
        <v>0</v>
      </c>
      <c r="V588" s="4">
        <f>IF($A588=V$542,"",COUNTIF($E$4:$E$538,$A588&amp;" ضد "&amp;V$542)+COUNTIF($E$4:$E$538,V$542&amp;" ضد "&amp;$A588))</f>
        <v>0</v>
      </c>
      <c r="W588" s="4">
        <f>IF($A588=W$542,"",COUNTIF($E$4:$E$538,$A588&amp;" ضد "&amp;W$542)+COUNTIF($E$4:$E$538,W$542&amp;" ضد "&amp;$A588))</f>
        <v>0</v>
      </c>
      <c r="X588" s="4">
        <f>IF($A588=X$542,"",COUNTIF($E$4:$E$538,$A588&amp;" ضد "&amp;X$542)+COUNTIF($E$4:$E$538,X$542&amp;" ضد "&amp;$A588))</f>
        <v>0</v>
      </c>
      <c r="Y588" s="4">
        <f>IF($A588=Y$542,"",COUNTIF($E$4:$E$538,$A588&amp;" ضد "&amp;Y$542)+COUNTIF($E$4:$E$538,Y$542&amp;" ضد "&amp;$A588))</f>
        <v>0</v>
      </c>
      <c r="Z588" s="4">
        <f>IF($A588=Z$542,"",COUNTIF($E$4:$E$538,$A588&amp;" ضد "&amp;Z$542)+COUNTIF($E$4:$E$538,Z$542&amp;" ضد "&amp;$A588))</f>
        <v>0</v>
      </c>
      <c r="AA588" s="4">
        <f>IF($A588=AA$542,"",COUNTIF($E$4:$E$538,$A588&amp;" ضد "&amp;AA$542)+COUNTIF($E$4:$E$538,AA$542&amp;" ضد "&amp;$A588))</f>
        <v>0</v>
      </c>
      <c r="AB588" s="4">
        <f>IF($A588=AB$542,"",COUNTIF($E$4:$E$538,$A588&amp;" ضد "&amp;AB$542)+COUNTIF($E$4:$E$538,AB$542&amp;" ضد "&amp;$A588))</f>
        <v>0</v>
      </c>
      <c r="AC588" s="4">
        <f>IF($A588=AC$542,"",COUNTIF($E$4:$E$538,$A588&amp;" ضد "&amp;AC$542)+COUNTIF($E$4:$E$538,AC$542&amp;" ضد "&amp;$A588))</f>
        <v>0</v>
      </c>
      <c r="AD588" s="4">
        <f>IF($A588=AD$542,"",COUNTIF($E$4:$E$538,$A588&amp;" ضد "&amp;AD$542)+COUNTIF($E$4:$E$538,AD$542&amp;" ضد "&amp;$A588))</f>
        <v>0</v>
      </c>
      <c r="AE588" s="4">
        <f>IF($A588=AE$542,"",COUNTIF($E$4:$E$538,$A588&amp;" ضد "&amp;AE$542)+COUNTIF($E$4:$E$538,AE$542&amp;" ضد "&amp;$A588))</f>
        <v>0</v>
      </c>
      <c r="AF588" s="4">
        <f>IF($A588=AF$542,"",COUNTIF($E$4:$E$538,$A588&amp;" ضد "&amp;AF$542)+COUNTIF($E$4:$E$538,AF$542&amp;" ضد "&amp;$A588))</f>
        <v>0</v>
      </c>
      <c r="AG588" s="4">
        <f>IF($A588=AG$542,"",COUNTIF($E$4:$E$538,$A588&amp;" ضد "&amp;AG$542)+COUNTIF($E$4:$E$538,AG$542&amp;" ضد "&amp;$A588))</f>
        <v>0</v>
      </c>
      <c r="AH588" s="4">
        <f>IF($A588=AH$542,"",COUNTIF($E$4:$E$538,$A588&amp;" ضد "&amp;AH$542)+COUNTIF($E$4:$E$538,AH$542&amp;" ضد "&amp;$A588))</f>
        <v>0</v>
      </c>
      <c r="AI588" s="4">
        <f>IF($A588=AI$542,"",COUNTIF($E$4:$E$538,$A588&amp;" ضد "&amp;AI$542)+COUNTIF($E$4:$E$538,AI$542&amp;" ضد "&amp;$A588))</f>
        <v>0</v>
      </c>
      <c r="AJ588" s="4">
        <f>IF($A588=AJ$542,"",COUNTIF($E$4:$E$538,$A588&amp;" ضد "&amp;AJ$542)+COUNTIF($E$4:$E$538,AJ$542&amp;" ضد "&amp;$A588))</f>
        <v>0</v>
      </c>
      <c r="AK588" s="4">
        <f>IF($A588=AK$542,"",COUNTIF($E$4:$E$538,$A588&amp;" ضد "&amp;AK$542)+COUNTIF($E$4:$E$538,AK$542&amp;" ضد "&amp;$A588))</f>
        <v>0</v>
      </c>
      <c r="AL588" s="4">
        <f>IF($A588=AL$542,"",COUNTIF($E$4:$E$538,$A588&amp;" ضد "&amp;AL$542)+COUNTIF($E$4:$E$538,AL$542&amp;" ضد "&amp;$A588))</f>
        <v>0</v>
      </c>
      <c r="AM588" s="4">
        <f>IF($A588=AM$542,"",COUNTIF($E$4:$E$538,$A588&amp;" ضد "&amp;AM$542)+COUNTIF($E$4:$E$538,AM$542&amp;" ضد "&amp;$A588))</f>
        <v>0</v>
      </c>
      <c r="AN588" s="4">
        <f>IF($A588=AN$542,"",COUNTIF($E$4:$E$538,$A588&amp;" ضد "&amp;AN$542)+COUNTIF($E$4:$E$538,AN$542&amp;" ضد "&amp;$A588))</f>
        <v>0</v>
      </c>
      <c r="AO588" s="4">
        <f>IF($A588=AO$542,"",COUNTIF($E$4:$E$538,$A588&amp;" ضد "&amp;AO$542)+COUNTIF($E$4:$E$538,AO$542&amp;" ضد "&amp;$A588))</f>
        <v>1</v>
      </c>
      <c r="AP588" s="4">
        <f>IF($A588=AP$542,"",COUNTIF($E$4:$E$538,$A588&amp;" ضد "&amp;AP$542)+COUNTIF($E$4:$E$538,AP$542&amp;" ضد "&amp;$A588))</f>
        <v>1</v>
      </c>
      <c r="AQ588" s="4">
        <f>IF($A588=AQ$542,"",COUNTIF($E$4:$E$538,$A588&amp;" ضد "&amp;AQ$542)+COUNTIF($E$4:$E$538,AQ$542&amp;" ضد "&amp;$A588))</f>
        <v>1</v>
      </c>
      <c r="AR588" s="4">
        <f>IF($A588=AR$542,"",COUNTIF($E$4:$E$538,$A588&amp;" ضد "&amp;AR$542)+COUNTIF($E$4:$E$538,AR$542&amp;" ضد "&amp;$A588))</f>
        <v>1</v>
      </c>
      <c r="AS588" s="4">
        <f>IF($A588=AS$542,"",COUNTIF($E$4:$E$538,$A588&amp;" ضد "&amp;AS$542)+COUNTIF($E$4:$E$538,AS$542&amp;" ضد "&amp;$A588))</f>
        <v>1</v>
      </c>
      <c r="AT588" s="4">
        <f>IF($A588=AT$542,"",COUNTIF($E$4:$E$538,$A588&amp;" ضد "&amp;AT$542)+COUNTIF($E$4:$E$538,AT$542&amp;" ضد "&amp;$A588))</f>
        <v>1</v>
      </c>
      <c r="AU588" s="4" t="str">
        <f>IF($A588=AU$542,"",COUNTIF($E$4:$E$538,$A588&amp;" ضد "&amp;AU$542)+COUNTIF($E$4:$E$538,AU$542&amp;" ضد "&amp;$A588))</f>
        <v/>
      </c>
      <c r="AV588" s="4">
        <f>IF($A588=AV$542,"",COUNTIF($E$4:$E$538,$A588&amp;" ضد "&amp;AV$542)+COUNTIF($E$4:$E$538,AV$542&amp;" ضد "&amp;$A588))</f>
        <v>1</v>
      </c>
      <c r="AW588" s="4">
        <f>IF($A588=AW$542,"",COUNTIF($E$4:$E$538,$A588&amp;" ضد "&amp;AW$542)+COUNTIF($E$4:$E$538,AW$542&amp;" ضد "&amp;$A588))</f>
        <v>1</v>
      </c>
      <c r="AX588" s="4">
        <f>IF($A588=AX$542,"",COUNTIF($E$4:$E$538,$A588&amp;" ضد "&amp;AX$542)+COUNTIF($E$4:$E$538,AX$542&amp;" ضد "&amp;$A588))</f>
        <v>1</v>
      </c>
      <c r="AY588" s="4">
        <f>IF($A588=AY$542,"",COUNTIF($E$4:$E$538,$A588&amp;" ضد "&amp;AY$542)+COUNTIF($E$4:$E$538,AY$542&amp;" ضد "&amp;$A588))</f>
        <v>1</v>
      </c>
      <c r="AZ588" s="4">
        <f>IF($A588=AZ$542,"",COUNTIF($E$4:$E$538,$A588&amp;" ضد "&amp;AZ$542)+COUNTIF($E$4:$E$538,AZ$542&amp;" ضد "&amp;$A588))</f>
        <v>1</v>
      </c>
      <c r="BA588" s="4">
        <f>IF($A588=BA$542,"",COUNTIF($E$4:$E$538,$A588&amp;" ضد "&amp;BA$542)+COUNTIF($E$4:$E$538,BA$542&amp;" ضد "&amp;$A588))</f>
        <v>1</v>
      </c>
      <c r="BB588" s="4">
        <f>IF($A588=BB$542,"",COUNTIF($E$4:$E$538,$A588&amp;" ضد "&amp;BB$542)+COUNTIF($E$4:$E$538,BB$542&amp;" ضد "&amp;$A588))</f>
        <v>1</v>
      </c>
      <c r="BC588" s="4">
        <f>IF($A588=BC$542,"",COUNTIF($E$4:$E$538,$A588&amp;" ضد "&amp;BC$542)+COUNTIF($E$4:$E$538,BC$542&amp;" ضد "&amp;$A588))</f>
        <v>1</v>
      </c>
      <c r="BD588" s="4">
        <f>IF($A588=BD$542,"",COUNTIF($E$4:$E$538,$A588&amp;" ضد "&amp;BD$542)+COUNTIF($E$4:$E$538,BD$542&amp;" ضد "&amp;$A588))</f>
        <v>1</v>
      </c>
      <c r="BE588" s="4">
        <f>IF($A588=BE$542,"",COUNTIF($E$4:$E$538,$A588&amp;" ضد "&amp;BE$542)+COUNTIF($E$4:$E$538,BE$542&amp;" ضد "&amp;$A588))</f>
        <v>1</v>
      </c>
      <c r="BF588" s="4">
        <f>IF($A588=BF$542,"",COUNTIF($E$4:$E$538,$A588&amp;" ضد "&amp;BF$542)+COUNTIF($E$4:$E$538,BF$542&amp;" ضد "&amp;$A588))</f>
        <v>1</v>
      </c>
      <c r="BG588" s="4">
        <f>IF($A588=BG$542,"",COUNTIF($E$4:$E$538,$A588&amp;" ضد "&amp;BG$542)+COUNTIF($E$4:$E$538,BG$542&amp;" ضد "&amp;$A588))</f>
        <v>1</v>
      </c>
    </row>
    <row r="589" spans="1:59" ht="14.5">
      <c r="A589" s="14">
        <v>47</v>
      </c>
      <c r="B589" s="4">
        <f>IF($A589=B$542,"",COUNTIF($E$4:$E$538,$A589&amp;" ضد "&amp;B$542)+COUNTIF($E$4:$E$538,B$542&amp;" ضد "&amp;$A589))</f>
        <v>0</v>
      </c>
      <c r="C589" s="4">
        <f>IF($A589=C$542,"",COUNTIF($E$4:$E$538,$A589&amp;" ضد "&amp;C$542)+COUNTIF($E$4:$E$538,C$542&amp;" ضد "&amp;$A589))</f>
        <v>0</v>
      </c>
      <c r="D589" s="4">
        <f>IF($A589=D$542,"",COUNTIF($E$4:$E$538,$A589&amp;" ضد "&amp;D$542)+COUNTIF($E$4:$E$538,D$542&amp;" ضد "&amp;$A589))</f>
        <v>0</v>
      </c>
      <c r="E589" s="4">
        <f>IF($A589=E$542,"",COUNTIF($E$4:$E$538,$A589&amp;" ضد "&amp;E$542)+COUNTIF($E$4:$E$538,E$542&amp;" ضد "&amp;$A589))</f>
        <v>0</v>
      </c>
      <c r="F589" s="4">
        <f>IF($A589=F$542,"",COUNTIF($E$4:$E$538,$A589&amp;" ضد "&amp;F$542)+COUNTIF($E$4:$E$538,F$542&amp;" ضد "&amp;$A589))</f>
        <v>0</v>
      </c>
      <c r="G589" s="4">
        <f>IF($A589=G$542,"",COUNTIF($E$4:$E$538,$A589&amp;" ضد "&amp;G$542)+COUNTIF($E$4:$E$538,G$542&amp;" ضد "&amp;$A589))</f>
        <v>0</v>
      </c>
      <c r="H589" s="4">
        <f>IF($A589=H$542,"",COUNTIF($E$4:$E$538,$A589&amp;" ضد "&amp;H$542)+COUNTIF($E$4:$E$538,H$542&amp;" ضد "&amp;$A589))</f>
        <v>0</v>
      </c>
      <c r="I589" s="4">
        <f>IF($A589=I$542,"",COUNTIF($E$4:$E$538,$A589&amp;" ضد "&amp;I$542)+COUNTIF($E$4:$E$538,I$542&amp;" ضد "&amp;$A589))</f>
        <v>0</v>
      </c>
      <c r="J589" s="4">
        <f>IF($A589=J$542,"",COUNTIF($E$4:$E$538,$A589&amp;" ضد "&amp;J$542)+COUNTIF($E$4:$E$538,J$542&amp;" ضد "&amp;$A589))</f>
        <v>0</v>
      </c>
      <c r="K589" s="4">
        <f>IF($A589=K$542,"",COUNTIF($E$4:$E$538,$A589&amp;" ضد "&amp;K$542)+COUNTIF($E$4:$E$538,K$542&amp;" ضد "&amp;$A589))</f>
        <v>0</v>
      </c>
      <c r="L589" s="4">
        <f>IF($A589=L$542,"",COUNTIF($E$4:$E$538,$A589&amp;" ضد "&amp;L$542)+COUNTIF($E$4:$E$538,L$542&amp;" ضد "&amp;$A589))</f>
        <v>0</v>
      </c>
      <c r="M589" s="4">
        <f>IF($A589=M$542,"",COUNTIF($E$4:$E$538,$A589&amp;" ضد "&amp;M$542)+COUNTIF($E$4:$E$538,M$542&amp;" ضد "&amp;$A589))</f>
        <v>0</v>
      </c>
      <c r="N589" s="4">
        <f>IF($A589=N$542,"",COUNTIF($E$4:$E$538,$A589&amp;" ضد "&amp;N$542)+COUNTIF($E$4:$E$538,N$542&amp;" ضد "&amp;$A589))</f>
        <v>0</v>
      </c>
      <c r="O589" s="4">
        <f>IF($A589=O$542,"",COUNTIF($E$4:$E$538,$A589&amp;" ضد "&amp;O$542)+COUNTIF($E$4:$E$538,O$542&amp;" ضد "&amp;$A589))</f>
        <v>0</v>
      </c>
      <c r="P589" s="4">
        <f>IF($A589=P$542,"",COUNTIF($E$4:$E$538,$A589&amp;" ضد "&amp;P$542)+COUNTIF($E$4:$E$538,P$542&amp;" ضد "&amp;$A589))</f>
        <v>0</v>
      </c>
      <c r="Q589" s="4">
        <f>IF($A589=Q$542,"",COUNTIF($E$4:$E$538,$A589&amp;" ضد "&amp;Q$542)+COUNTIF($E$4:$E$538,Q$542&amp;" ضد "&amp;$A589))</f>
        <v>0</v>
      </c>
      <c r="R589" s="4">
        <f>IF($A589=R$542,"",COUNTIF($E$4:$E$538,$A589&amp;" ضد "&amp;R$542)+COUNTIF($E$4:$E$538,R$542&amp;" ضد "&amp;$A589))</f>
        <v>0</v>
      </c>
      <c r="S589" s="4">
        <f>IF($A589=S$542,"",COUNTIF($E$4:$E$538,$A589&amp;" ضد "&amp;S$542)+COUNTIF($E$4:$E$538,S$542&amp;" ضد "&amp;$A589))</f>
        <v>0</v>
      </c>
      <c r="T589" s="4">
        <f>IF($A589=T$542,"",COUNTIF($E$4:$E$538,$A589&amp;" ضد "&amp;T$542)+COUNTIF($E$4:$E$538,T$542&amp;" ضد "&amp;$A589))</f>
        <v>0</v>
      </c>
      <c r="U589" s="4">
        <f>IF($A589=U$542,"",COUNTIF($E$4:$E$538,$A589&amp;" ضد "&amp;U$542)+COUNTIF($E$4:$E$538,U$542&amp;" ضد "&amp;$A589))</f>
        <v>0</v>
      </c>
      <c r="V589" s="4">
        <f>IF($A589=V$542,"",COUNTIF($E$4:$E$538,$A589&amp;" ضد "&amp;V$542)+COUNTIF($E$4:$E$538,V$542&amp;" ضد "&amp;$A589))</f>
        <v>0</v>
      </c>
      <c r="W589" s="4">
        <f>IF($A589=W$542,"",COUNTIF($E$4:$E$538,$A589&amp;" ضد "&amp;W$542)+COUNTIF($E$4:$E$538,W$542&amp;" ضد "&amp;$A589))</f>
        <v>0</v>
      </c>
      <c r="X589" s="4">
        <f>IF($A589=X$542,"",COUNTIF($E$4:$E$538,$A589&amp;" ضد "&amp;X$542)+COUNTIF($E$4:$E$538,X$542&amp;" ضد "&amp;$A589))</f>
        <v>0</v>
      </c>
      <c r="Y589" s="4">
        <f>IF($A589=Y$542,"",COUNTIF($E$4:$E$538,$A589&amp;" ضد "&amp;Y$542)+COUNTIF($E$4:$E$538,Y$542&amp;" ضد "&amp;$A589))</f>
        <v>0</v>
      </c>
      <c r="Z589" s="4">
        <f>IF($A589=Z$542,"",COUNTIF($E$4:$E$538,$A589&amp;" ضد "&amp;Z$542)+COUNTIF($E$4:$E$538,Z$542&amp;" ضد "&amp;$A589))</f>
        <v>0</v>
      </c>
      <c r="AA589" s="4">
        <f>IF($A589=AA$542,"",COUNTIF($E$4:$E$538,$A589&amp;" ضد "&amp;AA$542)+COUNTIF($E$4:$E$538,AA$542&amp;" ضد "&amp;$A589))</f>
        <v>0</v>
      </c>
      <c r="AB589" s="4">
        <f>IF($A589=AB$542,"",COUNTIF($E$4:$E$538,$A589&amp;" ضد "&amp;AB$542)+COUNTIF($E$4:$E$538,AB$542&amp;" ضد "&amp;$A589))</f>
        <v>0</v>
      </c>
      <c r="AC589" s="4">
        <f>IF($A589=AC$542,"",COUNTIF($E$4:$E$538,$A589&amp;" ضد "&amp;AC$542)+COUNTIF($E$4:$E$538,AC$542&amp;" ضد "&amp;$A589))</f>
        <v>0</v>
      </c>
      <c r="AD589" s="4">
        <f>IF($A589=AD$542,"",COUNTIF($E$4:$E$538,$A589&amp;" ضد "&amp;AD$542)+COUNTIF($E$4:$E$538,AD$542&amp;" ضد "&amp;$A589))</f>
        <v>0</v>
      </c>
      <c r="AE589" s="4">
        <f>IF($A589=AE$542,"",COUNTIF($E$4:$E$538,$A589&amp;" ضد "&amp;AE$542)+COUNTIF($E$4:$E$538,AE$542&amp;" ضد "&amp;$A589))</f>
        <v>0</v>
      </c>
      <c r="AF589" s="4">
        <f>IF($A589=AF$542,"",COUNTIF($E$4:$E$538,$A589&amp;" ضد "&amp;AF$542)+COUNTIF($E$4:$E$538,AF$542&amp;" ضد "&amp;$A589))</f>
        <v>0</v>
      </c>
      <c r="AG589" s="4">
        <f>IF($A589=AG$542,"",COUNTIF($E$4:$E$538,$A589&amp;" ضد "&amp;AG$542)+COUNTIF($E$4:$E$538,AG$542&amp;" ضد "&amp;$A589))</f>
        <v>0</v>
      </c>
      <c r="AH589" s="4">
        <f>IF($A589=AH$542,"",COUNTIF($E$4:$E$538,$A589&amp;" ضد "&amp;AH$542)+COUNTIF($E$4:$E$538,AH$542&amp;" ضد "&amp;$A589))</f>
        <v>0</v>
      </c>
      <c r="AI589" s="4">
        <f>IF($A589=AI$542,"",COUNTIF($E$4:$E$538,$A589&amp;" ضد "&amp;AI$542)+COUNTIF($E$4:$E$538,AI$542&amp;" ضد "&amp;$A589))</f>
        <v>0</v>
      </c>
      <c r="AJ589" s="4">
        <f>IF($A589=AJ$542,"",COUNTIF($E$4:$E$538,$A589&amp;" ضد "&amp;AJ$542)+COUNTIF($E$4:$E$538,AJ$542&amp;" ضد "&amp;$A589))</f>
        <v>0</v>
      </c>
      <c r="AK589" s="4">
        <f>IF($A589=AK$542,"",COUNTIF($E$4:$E$538,$A589&amp;" ضد "&amp;AK$542)+COUNTIF($E$4:$E$538,AK$542&amp;" ضد "&amp;$A589))</f>
        <v>0</v>
      </c>
      <c r="AL589" s="4">
        <f>IF($A589=AL$542,"",COUNTIF($E$4:$E$538,$A589&amp;" ضد "&amp;AL$542)+COUNTIF($E$4:$E$538,AL$542&amp;" ضد "&amp;$A589))</f>
        <v>0</v>
      </c>
      <c r="AM589" s="4">
        <f>IF($A589=AM$542,"",COUNTIF($E$4:$E$538,$A589&amp;" ضد "&amp;AM$542)+COUNTIF($E$4:$E$538,AM$542&amp;" ضد "&amp;$A589))</f>
        <v>0</v>
      </c>
      <c r="AN589" s="4">
        <f>IF($A589=AN$542,"",COUNTIF($E$4:$E$538,$A589&amp;" ضد "&amp;AN$542)+COUNTIF($E$4:$E$538,AN$542&amp;" ضد "&amp;$A589))</f>
        <v>0</v>
      </c>
      <c r="AO589" s="4">
        <f>IF($A589=AO$542,"",COUNTIF($E$4:$E$538,$A589&amp;" ضد "&amp;AO$542)+COUNTIF($E$4:$E$538,AO$542&amp;" ضد "&amp;$A589))</f>
        <v>1</v>
      </c>
      <c r="AP589" s="4">
        <f>IF($A589=AP$542,"",COUNTIF($E$4:$E$538,$A589&amp;" ضد "&amp;AP$542)+COUNTIF($E$4:$E$538,AP$542&amp;" ضد "&amp;$A589))</f>
        <v>1</v>
      </c>
      <c r="AQ589" s="4">
        <f>IF($A589=AQ$542,"",COUNTIF($E$4:$E$538,$A589&amp;" ضد "&amp;AQ$542)+COUNTIF($E$4:$E$538,AQ$542&amp;" ضد "&amp;$A589))</f>
        <v>1</v>
      </c>
      <c r="AR589" s="4">
        <f>IF($A589=AR$542,"",COUNTIF($E$4:$E$538,$A589&amp;" ضد "&amp;AR$542)+COUNTIF($E$4:$E$538,AR$542&amp;" ضد "&amp;$A589))</f>
        <v>1</v>
      </c>
      <c r="AS589" s="4">
        <f>IF($A589=AS$542,"",COUNTIF($E$4:$E$538,$A589&amp;" ضد "&amp;AS$542)+COUNTIF($E$4:$E$538,AS$542&amp;" ضد "&amp;$A589))</f>
        <v>1</v>
      </c>
      <c r="AT589" s="4">
        <f>IF($A589=AT$542,"",COUNTIF($E$4:$E$538,$A589&amp;" ضد "&amp;AT$542)+COUNTIF($E$4:$E$538,AT$542&amp;" ضد "&amp;$A589))</f>
        <v>1</v>
      </c>
      <c r="AU589" s="4">
        <f>IF($A589=AU$542,"",COUNTIF($E$4:$E$538,$A589&amp;" ضد "&amp;AU$542)+COUNTIF($E$4:$E$538,AU$542&amp;" ضد "&amp;$A589))</f>
        <v>1</v>
      </c>
      <c r="AV589" s="4" t="str">
        <f>IF($A589=AV$542,"",COUNTIF($E$4:$E$538,$A589&amp;" ضد "&amp;AV$542)+COUNTIF($E$4:$E$538,AV$542&amp;" ضد "&amp;$A589))</f>
        <v/>
      </c>
      <c r="AW589" s="4">
        <f>IF($A589=AW$542,"",COUNTIF($E$4:$E$538,$A589&amp;" ضد "&amp;AW$542)+COUNTIF($E$4:$E$538,AW$542&amp;" ضد "&amp;$A589))</f>
        <v>1</v>
      </c>
      <c r="AX589" s="4">
        <f>IF($A589=AX$542,"",COUNTIF($E$4:$E$538,$A589&amp;" ضد "&amp;AX$542)+COUNTIF($E$4:$E$538,AX$542&amp;" ضد "&amp;$A589))</f>
        <v>1</v>
      </c>
      <c r="AY589" s="4">
        <f>IF($A589=AY$542,"",COUNTIF($E$4:$E$538,$A589&amp;" ضد "&amp;AY$542)+COUNTIF($E$4:$E$538,AY$542&amp;" ضد "&amp;$A589))</f>
        <v>1</v>
      </c>
      <c r="AZ589" s="4">
        <f>IF($A589=AZ$542,"",COUNTIF($E$4:$E$538,$A589&amp;" ضد "&amp;AZ$542)+COUNTIF($E$4:$E$538,AZ$542&amp;" ضد "&amp;$A589))</f>
        <v>1</v>
      </c>
      <c r="BA589" s="4">
        <f>IF($A589=BA$542,"",COUNTIF($E$4:$E$538,$A589&amp;" ضد "&amp;BA$542)+COUNTIF($E$4:$E$538,BA$542&amp;" ضد "&amp;$A589))</f>
        <v>1</v>
      </c>
      <c r="BB589" s="4">
        <f>IF($A589=BB$542,"",COUNTIF($E$4:$E$538,$A589&amp;" ضد "&amp;BB$542)+COUNTIF($E$4:$E$538,BB$542&amp;" ضد "&amp;$A589))</f>
        <v>1</v>
      </c>
      <c r="BC589" s="4">
        <f>IF($A589=BC$542,"",COUNTIF($E$4:$E$538,$A589&amp;" ضد "&amp;BC$542)+COUNTIF($E$4:$E$538,BC$542&amp;" ضد "&amp;$A589))</f>
        <v>1</v>
      </c>
      <c r="BD589" s="4">
        <f>IF($A589=BD$542,"",COUNTIF($E$4:$E$538,$A589&amp;" ضد "&amp;BD$542)+COUNTIF($E$4:$E$538,BD$542&amp;" ضد "&amp;$A589))</f>
        <v>1</v>
      </c>
      <c r="BE589" s="4">
        <f>IF($A589=BE$542,"",COUNTIF($E$4:$E$538,$A589&amp;" ضد "&amp;BE$542)+COUNTIF($E$4:$E$538,BE$542&amp;" ضد "&amp;$A589))</f>
        <v>1</v>
      </c>
      <c r="BF589" s="4">
        <f>IF($A589=BF$542,"",COUNTIF($E$4:$E$538,$A589&amp;" ضد "&amp;BF$542)+COUNTIF($E$4:$E$538,BF$542&amp;" ضد "&amp;$A589))</f>
        <v>1</v>
      </c>
      <c r="BG589" s="4">
        <f>IF($A589=BG$542,"",COUNTIF($E$4:$E$538,$A589&amp;" ضد "&amp;BG$542)+COUNTIF($E$4:$E$538,BG$542&amp;" ضد "&amp;$A589))</f>
        <v>1</v>
      </c>
    </row>
    <row r="590" spans="1:59" ht="14.5">
      <c r="A590" s="14">
        <v>48</v>
      </c>
      <c r="B590" s="4">
        <f>IF($A590=B$542,"",COUNTIF($E$4:$E$538,$A590&amp;" ضد "&amp;B$542)+COUNTIF($E$4:$E$538,B$542&amp;" ضد "&amp;$A590))</f>
        <v>0</v>
      </c>
      <c r="C590" s="4">
        <f>IF($A590=C$542,"",COUNTIF($E$4:$E$538,$A590&amp;" ضد "&amp;C$542)+COUNTIF($E$4:$E$538,C$542&amp;" ضد "&amp;$A590))</f>
        <v>0</v>
      </c>
      <c r="D590" s="4">
        <f>IF($A590=D$542,"",COUNTIF($E$4:$E$538,$A590&amp;" ضد "&amp;D$542)+COUNTIF($E$4:$E$538,D$542&amp;" ضد "&amp;$A590))</f>
        <v>0</v>
      </c>
      <c r="E590" s="4">
        <f>IF($A590=E$542,"",COUNTIF($E$4:$E$538,$A590&amp;" ضد "&amp;E$542)+COUNTIF($E$4:$E$538,E$542&amp;" ضد "&amp;$A590))</f>
        <v>0</v>
      </c>
      <c r="F590" s="4">
        <f>IF($A590=F$542,"",COUNTIF($E$4:$E$538,$A590&amp;" ضد "&amp;F$542)+COUNTIF($E$4:$E$538,F$542&amp;" ضد "&amp;$A590))</f>
        <v>0</v>
      </c>
      <c r="G590" s="4">
        <f>IF($A590=G$542,"",COUNTIF($E$4:$E$538,$A590&amp;" ضد "&amp;G$542)+COUNTIF($E$4:$E$538,G$542&amp;" ضد "&amp;$A590))</f>
        <v>0</v>
      </c>
      <c r="H590" s="4">
        <f>IF($A590=H$542,"",COUNTIF($E$4:$E$538,$A590&amp;" ضد "&amp;H$542)+COUNTIF($E$4:$E$538,H$542&amp;" ضد "&amp;$A590))</f>
        <v>0</v>
      </c>
      <c r="I590" s="4">
        <f>IF($A590=I$542,"",COUNTIF($E$4:$E$538,$A590&amp;" ضد "&amp;I$542)+COUNTIF($E$4:$E$538,I$542&amp;" ضد "&amp;$A590))</f>
        <v>0</v>
      </c>
      <c r="J590" s="4">
        <f>IF($A590=J$542,"",COUNTIF($E$4:$E$538,$A590&amp;" ضد "&amp;J$542)+COUNTIF($E$4:$E$538,J$542&amp;" ضد "&amp;$A590))</f>
        <v>0</v>
      </c>
      <c r="K590" s="4">
        <f>IF($A590=K$542,"",COUNTIF($E$4:$E$538,$A590&amp;" ضد "&amp;K$542)+COUNTIF($E$4:$E$538,K$542&amp;" ضد "&amp;$A590))</f>
        <v>0</v>
      </c>
      <c r="L590" s="4">
        <f>IF($A590=L$542,"",COUNTIF($E$4:$E$538,$A590&amp;" ضد "&amp;L$542)+COUNTIF($E$4:$E$538,L$542&amp;" ضد "&amp;$A590))</f>
        <v>0</v>
      </c>
      <c r="M590" s="4">
        <f>IF($A590=M$542,"",COUNTIF($E$4:$E$538,$A590&amp;" ضد "&amp;M$542)+COUNTIF($E$4:$E$538,M$542&amp;" ضد "&amp;$A590))</f>
        <v>0</v>
      </c>
      <c r="N590" s="4">
        <f>IF($A590=N$542,"",COUNTIF($E$4:$E$538,$A590&amp;" ضد "&amp;N$542)+COUNTIF($E$4:$E$538,N$542&amp;" ضد "&amp;$A590))</f>
        <v>0</v>
      </c>
      <c r="O590" s="4">
        <f>IF($A590=O$542,"",COUNTIF($E$4:$E$538,$A590&amp;" ضد "&amp;O$542)+COUNTIF($E$4:$E$538,O$542&amp;" ضد "&amp;$A590))</f>
        <v>0</v>
      </c>
      <c r="P590" s="4">
        <f>IF($A590=P$542,"",COUNTIF($E$4:$E$538,$A590&amp;" ضد "&amp;P$542)+COUNTIF($E$4:$E$538,P$542&amp;" ضد "&amp;$A590))</f>
        <v>0</v>
      </c>
      <c r="Q590" s="4">
        <f>IF($A590=Q$542,"",COUNTIF($E$4:$E$538,$A590&amp;" ضد "&amp;Q$542)+COUNTIF($E$4:$E$538,Q$542&amp;" ضد "&amp;$A590))</f>
        <v>0</v>
      </c>
      <c r="R590" s="4">
        <f>IF($A590=R$542,"",COUNTIF($E$4:$E$538,$A590&amp;" ضد "&amp;R$542)+COUNTIF($E$4:$E$538,R$542&amp;" ضد "&amp;$A590))</f>
        <v>0</v>
      </c>
      <c r="S590" s="4">
        <f>IF($A590=S$542,"",COUNTIF($E$4:$E$538,$A590&amp;" ضد "&amp;S$542)+COUNTIF($E$4:$E$538,S$542&amp;" ضد "&amp;$A590))</f>
        <v>0</v>
      </c>
      <c r="T590" s="4">
        <f>IF($A590=T$542,"",COUNTIF($E$4:$E$538,$A590&amp;" ضد "&amp;T$542)+COUNTIF($E$4:$E$538,T$542&amp;" ضد "&amp;$A590))</f>
        <v>0</v>
      </c>
      <c r="U590" s="4">
        <f>IF($A590=U$542,"",COUNTIF($E$4:$E$538,$A590&amp;" ضد "&amp;U$542)+COUNTIF($E$4:$E$538,U$542&amp;" ضد "&amp;$A590))</f>
        <v>0</v>
      </c>
      <c r="V590" s="4">
        <f>IF($A590=V$542,"",COUNTIF($E$4:$E$538,$A590&amp;" ضد "&amp;V$542)+COUNTIF($E$4:$E$538,V$542&amp;" ضد "&amp;$A590))</f>
        <v>0</v>
      </c>
      <c r="W590" s="4">
        <f>IF($A590=W$542,"",COUNTIF($E$4:$E$538,$A590&amp;" ضد "&amp;W$542)+COUNTIF($E$4:$E$538,W$542&amp;" ضد "&amp;$A590))</f>
        <v>0</v>
      </c>
      <c r="X590" s="4">
        <f>IF($A590=X$542,"",COUNTIF($E$4:$E$538,$A590&amp;" ضد "&amp;X$542)+COUNTIF($E$4:$E$538,X$542&amp;" ضد "&amp;$A590))</f>
        <v>0</v>
      </c>
      <c r="Y590" s="4">
        <f>IF($A590=Y$542,"",COUNTIF($E$4:$E$538,$A590&amp;" ضد "&amp;Y$542)+COUNTIF($E$4:$E$538,Y$542&amp;" ضد "&amp;$A590))</f>
        <v>0</v>
      </c>
      <c r="Z590" s="4">
        <f>IF($A590=Z$542,"",COUNTIF($E$4:$E$538,$A590&amp;" ضد "&amp;Z$542)+COUNTIF($E$4:$E$538,Z$542&amp;" ضد "&amp;$A590))</f>
        <v>0</v>
      </c>
      <c r="AA590" s="4">
        <f>IF($A590=AA$542,"",COUNTIF($E$4:$E$538,$A590&amp;" ضد "&amp;AA$542)+COUNTIF($E$4:$E$538,AA$542&amp;" ضد "&amp;$A590))</f>
        <v>0</v>
      </c>
      <c r="AB590" s="4">
        <f>IF($A590=AB$542,"",COUNTIF($E$4:$E$538,$A590&amp;" ضد "&amp;AB$542)+COUNTIF($E$4:$E$538,AB$542&amp;" ضد "&amp;$A590))</f>
        <v>0</v>
      </c>
      <c r="AC590" s="4">
        <f>IF($A590=AC$542,"",COUNTIF($E$4:$E$538,$A590&amp;" ضد "&amp;AC$542)+COUNTIF($E$4:$E$538,AC$542&amp;" ضد "&amp;$A590))</f>
        <v>0</v>
      </c>
      <c r="AD590" s="4">
        <f>IF($A590=AD$542,"",COUNTIF($E$4:$E$538,$A590&amp;" ضد "&amp;AD$542)+COUNTIF($E$4:$E$538,AD$542&amp;" ضد "&amp;$A590))</f>
        <v>0</v>
      </c>
      <c r="AE590" s="4">
        <f>IF($A590=AE$542,"",COUNTIF($E$4:$E$538,$A590&amp;" ضد "&amp;AE$542)+COUNTIF($E$4:$E$538,AE$542&amp;" ضد "&amp;$A590))</f>
        <v>0</v>
      </c>
      <c r="AF590" s="4">
        <f>IF($A590=AF$542,"",COUNTIF($E$4:$E$538,$A590&amp;" ضد "&amp;AF$542)+COUNTIF($E$4:$E$538,AF$542&amp;" ضد "&amp;$A590))</f>
        <v>0</v>
      </c>
      <c r="AG590" s="4">
        <f>IF($A590=AG$542,"",COUNTIF($E$4:$E$538,$A590&amp;" ضد "&amp;AG$542)+COUNTIF($E$4:$E$538,AG$542&amp;" ضد "&amp;$A590))</f>
        <v>0</v>
      </c>
      <c r="AH590" s="4">
        <f>IF($A590=AH$542,"",COUNTIF($E$4:$E$538,$A590&amp;" ضد "&amp;AH$542)+COUNTIF($E$4:$E$538,AH$542&amp;" ضد "&amp;$A590))</f>
        <v>0</v>
      </c>
      <c r="AI590" s="4">
        <f>IF($A590=AI$542,"",COUNTIF($E$4:$E$538,$A590&amp;" ضد "&amp;AI$542)+COUNTIF($E$4:$E$538,AI$542&amp;" ضد "&amp;$A590))</f>
        <v>0</v>
      </c>
      <c r="AJ590" s="4">
        <f>IF($A590=AJ$542,"",COUNTIF($E$4:$E$538,$A590&amp;" ضد "&amp;AJ$542)+COUNTIF($E$4:$E$538,AJ$542&amp;" ضد "&amp;$A590))</f>
        <v>0</v>
      </c>
      <c r="AK590" s="4">
        <f>IF($A590=AK$542,"",COUNTIF($E$4:$E$538,$A590&amp;" ضد "&amp;AK$542)+COUNTIF($E$4:$E$538,AK$542&amp;" ضد "&amp;$A590))</f>
        <v>0</v>
      </c>
      <c r="AL590" s="4">
        <f>IF($A590=AL$542,"",COUNTIF($E$4:$E$538,$A590&amp;" ضد "&amp;AL$542)+COUNTIF($E$4:$E$538,AL$542&amp;" ضد "&amp;$A590))</f>
        <v>0</v>
      </c>
      <c r="AM590" s="4">
        <f>IF($A590=AM$542,"",COUNTIF($E$4:$E$538,$A590&amp;" ضد "&amp;AM$542)+COUNTIF($E$4:$E$538,AM$542&amp;" ضد "&amp;$A590))</f>
        <v>0</v>
      </c>
      <c r="AN590" s="4">
        <f>IF($A590=AN$542,"",COUNTIF($E$4:$E$538,$A590&amp;" ضد "&amp;AN$542)+COUNTIF($E$4:$E$538,AN$542&amp;" ضد "&amp;$A590))</f>
        <v>0</v>
      </c>
      <c r="AO590" s="4">
        <f>IF($A590=AO$542,"",COUNTIF($E$4:$E$538,$A590&amp;" ضد "&amp;AO$542)+COUNTIF($E$4:$E$538,AO$542&amp;" ضد "&amp;$A590))</f>
        <v>1</v>
      </c>
      <c r="AP590" s="4">
        <f>IF($A590=AP$542,"",COUNTIF($E$4:$E$538,$A590&amp;" ضد "&amp;AP$542)+COUNTIF($E$4:$E$538,AP$542&amp;" ضد "&amp;$A590))</f>
        <v>1</v>
      </c>
      <c r="AQ590" s="4">
        <f>IF($A590=AQ$542,"",COUNTIF($E$4:$E$538,$A590&amp;" ضد "&amp;AQ$542)+COUNTIF($E$4:$E$538,AQ$542&amp;" ضد "&amp;$A590))</f>
        <v>1</v>
      </c>
      <c r="AR590" s="4">
        <f>IF($A590=AR$542,"",COUNTIF($E$4:$E$538,$A590&amp;" ضد "&amp;AR$542)+COUNTIF($E$4:$E$538,AR$542&amp;" ضد "&amp;$A590))</f>
        <v>1</v>
      </c>
      <c r="AS590" s="4">
        <f>IF($A590=AS$542,"",COUNTIF($E$4:$E$538,$A590&amp;" ضد "&amp;AS$542)+COUNTIF($E$4:$E$538,AS$542&amp;" ضد "&amp;$A590))</f>
        <v>1</v>
      </c>
      <c r="AT590" s="4">
        <f>IF($A590=AT$542,"",COUNTIF($E$4:$E$538,$A590&amp;" ضد "&amp;AT$542)+COUNTIF($E$4:$E$538,AT$542&amp;" ضد "&amp;$A590))</f>
        <v>1</v>
      </c>
      <c r="AU590" s="4">
        <f>IF($A590=AU$542,"",COUNTIF($E$4:$E$538,$A590&amp;" ضد "&amp;AU$542)+COUNTIF($E$4:$E$538,AU$542&amp;" ضد "&amp;$A590))</f>
        <v>1</v>
      </c>
      <c r="AV590" s="4">
        <f>IF($A590=AV$542,"",COUNTIF($E$4:$E$538,$A590&amp;" ضد "&amp;AV$542)+COUNTIF($E$4:$E$538,AV$542&amp;" ضد "&amp;$A590))</f>
        <v>1</v>
      </c>
      <c r="AW590" s="4" t="str">
        <f>IF($A590=AW$542,"",COUNTIF($E$4:$E$538,$A590&amp;" ضد "&amp;AW$542)+COUNTIF($E$4:$E$538,AW$542&amp;" ضد "&amp;$A590))</f>
        <v/>
      </c>
      <c r="AX590" s="4">
        <f>IF($A590=AX$542,"",COUNTIF($E$4:$E$538,$A590&amp;" ضد "&amp;AX$542)+COUNTIF($E$4:$E$538,AX$542&amp;" ضد "&amp;$A590))</f>
        <v>1</v>
      </c>
      <c r="AY590" s="4">
        <f>IF($A590=AY$542,"",COUNTIF($E$4:$E$538,$A590&amp;" ضد "&amp;AY$542)+COUNTIF($E$4:$E$538,AY$542&amp;" ضد "&amp;$A590))</f>
        <v>1</v>
      </c>
      <c r="AZ590" s="4">
        <f>IF($A590=AZ$542,"",COUNTIF($E$4:$E$538,$A590&amp;" ضد "&amp;AZ$542)+COUNTIF($E$4:$E$538,AZ$542&amp;" ضد "&amp;$A590))</f>
        <v>1</v>
      </c>
      <c r="BA590" s="4">
        <f>IF($A590=BA$542,"",COUNTIF($E$4:$E$538,$A590&amp;" ضد "&amp;BA$542)+COUNTIF($E$4:$E$538,BA$542&amp;" ضد "&amp;$A590))</f>
        <v>1</v>
      </c>
      <c r="BB590" s="4">
        <f>IF($A590=BB$542,"",COUNTIF($E$4:$E$538,$A590&amp;" ضد "&amp;BB$542)+COUNTIF($E$4:$E$538,BB$542&amp;" ضد "&amp;$A590))</f>
        <v>1</v>
      </c>
      <c r="BC590" s="4">
        <f>IF($A590=BC$542,"",COUNTIF($E$4:$E$538,$A590&amp;" ضد "&amp;BC$542)+COUNTIF($E$4:$E$538,BC$542&amp;" ضد "&amp;$A590))</f>
        <v>1</v>
      </c>
      <c r="BD590" s="4">
        <f>IF($A590=BD$542,"",COUNTIF($E$4:$E$538,$A590&amp;" ضد "&amp;BD$542)+COUNTIF($E$4:$E$538,BD$542&amp;" ضد "&amp;$A590))</f>
        <v>1</v>
      </c>
      <c r="BE590" s="4">
        <f>IF($A590=BE$542,"",COUNTIF($E$4:$E$538,$A590&amp;" ضد "&amp;BE$542)+COUNTIF($E$4:$E$538,BE$542&amp;" ضد "&amp;$A590))</f>
        <v>1</v>
      </c>
      <c r="BF590" s="4">
        <f>IF($A590=BF$542,"",COUNTIF($E$4:$E$538,$A590&amp;" ضد "&amp;BF$542)+COUNTIF($E$4:$E$538,BF$542&amp;" ضد "&amp;$A590))</f>
        <v>1</v>
      </c>
      <c r="BG590" s="4">
        <f>IF($A590=BG$542,"",COUNTIF($E$4:$E$538,$A590&amp;" ضد "&amp;BG$542)+COUNTIF($E$4:$E$538,BG$542&amp;" ضد "&amp;$A590))</f>
        <v>1</v>
      </c>
    </row>
    <row r="591" spans="1:59" ht="14.5">
      <c r="A591" s="14">
        <v>49</v>
      </c>
      <c r="B591" s="4">
        <f>IF($A591=B$542,"",COUNTIF($E$4:$E$538,$A591&amp;" ضد "&amp;B$542)+COUNTIF($E$4:$E$538,B$542&amp;" ضد "&amp;$A591))</f>
        <v>0</v>
      </c>
      <c r="C591" s="4">
        <f>IF($A591=C$542,"",COUNTIF($E$4:$E$538,$A591&amp;" ضد "&amp;C$542)+COUNTIF($E$4:$E$538,C$542&amp;" ضد "&amp;$A591))</f>
        <v>0</v>
      </c>
      <c r="D591" s="4">
        <f>IF($A591=D$542,"",COUNTIF($E$4:$E$538,$A591&amp;" ضد "&amp;D$542)+COUNTIF($E$4:$E$538,D$542&amp;" ضد "&amp;$A591))</f>
        <v>0</v>
      </c>
      <c r="E591" s="4">
        <f>IF($A591=E$542,"",COUNTIF($E$4:$E$538,$A591&amp;" ضد "&amp;E$542)+COUNTIF($E$4:$E$538,E$542&amp;" ضد "&amp;$A591))</f>
        <v>0</v>
      </c>
      <c r="F591" s="4">
        <f>IF($A591=F$542,"",COUNTIF($E$4:$E$538,$A591&amp;" ضد "&amp;F$542)+COUNTIF($E$4:$E$538,F$542&amp;" ضد "&amp;$A591))</f>
        <v>0</v>
      </c>
      <c r="G591" s="4">
        <f>IF($A591=G$542,"",COUNTIF($E$4:$E$538,$A591&amp;" ضد "&amp;G$542)+COUNTIF($E$4:$E$538,G$542&amp;" ضد "&amp;$A591))</f>
        <v>0</v>
      </c>
      <c r="H591" s="4">
        <f>IF($A591=H$542,"",COUNTIF($E$4:$E$538,$A591&amp;" ضد "&amp;H$542)+COUNTIF($E$4:$E$538,H$542&amp;" ضد "&amp;$A591))</f>
        <v>0</v>
      </c>
      <c r="I591" s="4">
        <f>IF($A591=I$542,"",COUNTIF($E$4:$E$538,$A591&amp;" ضد "&amp;I$542)+COUNTIF($E$4:$E$538,I$542&amp;" ضد "&amp;$A591))</f>
        <v>0</v>
      </c>
      <c r="J591" s="4">
        <f>IF($A591=J$542,"",COUNTIF($E$4:$E$538,$A591&amp;" ضد "&amp;J$542)+COUNTIF($E$4:$E$538,J$542&amp;" ضد "&amp;$A591))</f>
        <v>0</v>
      </c>
      <c r="K591" s="4">
        <f>IF($A591=K$542,"",COUNTIF($E$4:$E$538,$A591&amp;" ضد "&amp;K$542)+COUNTIF($E$4:$E$538,K$542&amp;" ضد "&amp;$A591))</f>
        <v>0</v>
      </c>
      <c r="L591" s="4">
        <f>IF($A591=L$542,"",COUNTIF($E$4:$E$538,$A591&amp;" ضد "&amp;L$542)+COUNTIF($E$4:$E$538,L$542&amp;" ضد "&amp;$A591))</f>
        <v>0</v>
      </c>
      <c r="M591" s="4">
        <f>IF($A591=M$542,"",COUNTIF($E$4:$E$538,$A591&amp;" ضد "&amp;M$542)+COUNTIF($E$4:$E$538,M$542&amp;" ضد "&amp;$A591))</f>
        <v>0</v>
      </c>
      <c r="N591" s="4">
        <f>IF($A591=N$542,"",COUNTIF($E$4:$E$538,$A591&amp;" ضد "&amp;N$542)+COUNTIF($E$4:$E$538,N$542&amp;" ضد "&amp;$A591))</f>
        <v>0</v>
      </c>
      <c r="O591" s="4">
        <f>IF($A591=O$542,"",COUNTIF($E$4:$E$538,$A591&amp;" ضد "&amp;O$542)+COUNTIF($E$4:$E$538,O$542&amp;" ضد "&amp;$A591))</f>
        <v>0</v>
      </c>
      <c r="P591" s="4">
        <f>IF($A591=P$542,"",COUNTIF($E$4:$E$538,$A591&amp;" ضد "&amp;P$542)+COUNTIF($E$4:$E$538,P$542&amp;" ضد "&amp;$A591))</f>
        <v>0</v>
      </c>
      <c r="Q591" s="4">
        <f>IF($A591=Q$542,"",COUNTIF($E$4:$E$538,$A591&amp;" ضد "&amp;Q$542)+COUNTIF($E$4:$E$538,Q$542&amp;" ضد "&amp;$A591))</f>
        <v>0</v>
      </c>
      <c r="R591" s="4">
        <f>IF($A591=R$542,"",COUNTIF($E$4:$E$538,$A591&amp;" ضد "&amp;R$542)+COUNTIF($E$4:$E$538,R$542&amp;" ضد "&amp;$A591))</f>
        <v>0</v>
      </c>
      <c r="S591" s="4">
        <f>IF($A591=S$542,"",COUNTIF($E$4:$E$538,$A591&amp;" ضد "&amp;S$542)+COUNTIF($E$4:$E$538,S$542&amp;" ضد "&amp;$A591))</f>
        <v>0</v>
      </c>
      <c r="T591" s="4">
        <f>IF($A591=T$542,"",COUNTIF($E$4:$E$538,$A591&amp;" ضد "&amp;T$542)+COUNTIF($E$4:$E$538,T$542&amp;" ضد "&amp;$A591))</f>
        <v>0</v>
      </c>
      <c r="U591" s="4">
        <f>IF($A591=U$542,"",COUNTIF($E$4:$E$538,$A591&amp;" ضد "&amp;U$542)+COUNTIF($E$4:$E$538,U$542&amp;" ضد "&amp;$A591))</f>
        <v>0</v>
      </c>
      <c r="V591" s="4">
        <f>IF($A591=V$542,"",COUNTIF($E$4:$E$538,$A591&amp;" ضد "&amp;V$542)+COUNTIF($E$4:$E$538,V$542&amp;" ضد "&amp;$A591))</f>
        <v>0</v>
      </c>
      <c r="W591" s="4">
        <f>IF($A591=W$542,"",COUNTIF($E$4:$E$538,$A591&amp;" ضد "&amp;W$542)+COUNTIF($E$4:$E$538,W$542&amp;" ضد "&amp;$A591))</f>
        <v>0</v>
      </c>
      <c r="X591" s="4">
        <f>IF($A591=X$542,"",COUNTIF($E$4:$E$538,$A591&amp;" ضد "&amp;X$542)+COUNTIF($E$4:$E$538,X$542&amp;" ضد "&amp;$A591))</f>
        <v>0</v>
      </c>
      <c r="Y591" s="4">
        <f>IF($A591=Y$542,"",COUNTIF($E$4:$E$538,$A591&amp;" ضد "&amp;Y$542)+COUNTIF($E$4:$E$538,Y$542&amp;" ضد "&amp;$A591))</f>
        <v>0</v>
      </c>
      <c r="Z591" s="4">
        <f>IF($A591=Z$542,"",COUNTIF($E$4:$E$538,$A591&amp;" ضد "&amp;Z$542)+COUNTIF($E$4:$E$538,Z$542&amp;" ضد "&amp;$A591))</f>
        <v>0</v>
      </c>
      <c r="AA591" s="4">
        <f>IF($A591=AA$542,"",COUNTIF($E$4:$E$538,$A591&amp;" ضد "&amp;AA$542)+COUNTIF($E$4:$E$538,AA$542&amp;" ضد "&amp;$A591))</f>
        <v>0</v>
      </c>
      <c r="AB591" s="4">
        <f>IF($A591=AB$542,"",COUNTIF($E$4:$E$538,$A591&amp;" ضد "&amp;AB$542)+COUNTIF($E$4:$E$538,AB$542&amp;" ضد "&amp;$A591))</f>
        <v>0</v>
      </c>
      <c r="AC591" s="4">
        <f>IF($A591=AC$542,"",COUNTIF($E$4:$E$538,$A591&amp;" ضد "&amp;AC$542)+COUNTIF($E$4:$E$538,AC$542&amp;" ضد "&amp;$A591))</f>
        <v>0</v>
      </c>
      <c r="AD591" s="4">
        <f>IF($A591=AD$542,"",COUNTIF($E$4:$E$538,$A591&amp;" ضد "&amp;AD$542)+COUNTIF($E$4:$E$538,AD$542&amp;" ضد "&amp;$A591))</f>
        <v>0</v>
      </c>
      <c r="AE591" s="4">
        <f>IF($A591=AE$542,"",COUNTIF($E$4:$E$538,$A591&amp;" ضد "&amp;AE$542)+COUNTIF($E$4:$E$538,AE$542&amp;" ضد "&amp;$A591))</f>
        <v>0</v>
      </c>
      <c r="AF591" s="4">
        <f>IF($A591=AF$542,"",COUNTIF($E$4:$E$538,$A591&amp;" ضد "&amp;AF$542)+COUNTIF($E$4:$E$538,AF$542&amp;" ضد "&amp;$A591))</f>
        <v>0</v>
      </c>
      <c r="AG591" s="4">
        <f>IF($A591=AG$542,"",COUNTIF($E$4:$E$538,$A591&amp;" ضد "&amp;AG$542)+COUNTIF($E$4:$E$538,AG$542&amp;" ضد "&amp;$A591))</f>
        <v>0</v>
      </c>
      <c r="AH591" s="4">
        <f>IF($A591=AH$542,"",COUNTIF($E$4:$E$538,$A591&amp;" ضد "&amp;AH$542)+COUNTIF($E$4:$E$538,AH$542&amp;" ضد "&amp;$A591))</f>
        <v>0</v>
      </c>
      <c r="AI591" s="4">
        <f>IF($A591=AI$542,"",COUNTIF($E$4:$E$538,$A591&amp;" ضد "&amp;AI$542)+COUNTIF($E$4:$E$538,AI$542&amp;" ضد "&amp;$A591))</f>
        <v>0</v>
      </c>
      <c r="AJ591" s="4">
        <f>IF($A591=AJ$542,"",COUNTIF($E$4:$E$538,$A591&amp;" ضد "&amp;AJ$542)+COUNTIF($E$4:$E$538,AJ$542&amp;" ضد "&amp;$A591))</f>
        <v>0</v>
      </c>
      <c r="AK591" s="4">
        <f>IF($A591=AK$542,"",COUNTIF($E$4:$E$538,$A591&amp;" ضد "&amp;AK$542)+COUNTIF($E$4:$E$538,AK$542&amp;" ضد "&amp;$A591))</f>
        <v>0</v>
      </c>
      <c r="AL591" s="4">
        <f>IF($A591=AL$542,"",COUNTIF($E$4:$E$538,$A591&amp;" ضد "&amp;AL$542)+COUNTIF($E$4:$E$538,AL$542&amp;" ضد "&amp;$A591))</f>
        <v>0</v>
      </c>
      <c r="AM591" s="4">
        <f>IF($A591=AM$542,"",COUNTIF($E$4:$E$538,$A591&amp;" ضد "&amp;AM$542)+COUNTIF($E$4:$E$538,AM$542&amp;" ضد "&amp;$A591))</f>
        <v>0</v>
      </c>
      <c r="AN591" s="4">
        <f>IF($A591=AN$542,"",COUNTIF($E$4:$E$538,$A591&amp;" ضد "&amp;AN$542)+COUNTIF($E$4:$E$538,AN$542&amp;" ضد "&amp;$A591))</f>
        <v>0</v>
      </c>
      <c r="AO591" s="4">
        <f>IF($A591=AO$542,"",COUNTIF($E$4:$E$538,$A591&amp;" ضد "&amp;AO$542)+COUNTIF($E$4:$E$538,AO$542&amp;" ضد "&amp;$A591))</f>
        <v>1</v>
      </c>
      <c r="AP591" s="4">
        <f>IF($A591=AP$542,"",COUNTIF($E$4:$E$538,$A591&amp;" ضد "&amp;AP$542)+COUNTIF($E$4:$E$538,AP$542&amp;" ضد "&amp;$A591))</f>
        <v>1</v>
      </c>
      <c r="AQ591" s="4">
        <f>IF($A591=AQ$542,"",COUNTIF($E$4:$E$538,$A591&amp;" ضد "&amp;AQ$542)+COUNTIF($E$4:$E$538,AQ$542&amp;" ضد "&amp;$A591))</f>
        <v>1</v>
      </c>
      <c r="AR591" s="4">
        <f>IF($A591=AR$542,"",COUNTIF($E$4:$E$538,$A591&amp;" ضد "&amp;AR$542)+COUNTIF($E$4:$E$538,AR$542&amp;" ضد "&amp;$A591))</f>
        <v>1</v>
      </c>
      <c r="AS591" s="4">
        <f>IF($A591=AS$542,"",COUNTIF($E$4:$E$538,$A591&amp;" ضد "&amp;AS$542)+COUNTIF($E$4:$E$538,AS$542&amp;" ضد "&amp;$A591))</f>
        <v>1</v>
      </c>
      <c r="AT591" s="4">
        <f>IF($A591=AT$542,"",COUNTIF($E$4:$E$538,$A591&amp;" ضد "&amp;AT$542)+COUNTIF($E$4:$E$538,AT$542&amp;" ضد "&amp;$A591))</f>
        <v>1</v>
      </c>
      <c r="AU591" s="4">
        <f>IF($A591=AU$542,"",COUNTIF($E$4:$E$538,$A591&amp;" ضد "&amp;AU$542)+COUNTIF($E$4:$E$538,AU$542&amp;" ضد "&amp;$A591))</f>
        <v>1</v>
      </c>
      <c r="AV591" s="4">
        <f>IF($A591=AV$542,"",COUNTIF($E$4:$E$538,$A591&amp;" ضد "&amp;AV$542)+COUNTIF($E$4:$E$538,AV$542&amp;" ضد "&amp;$A591))</f>
        <v>1</v>
      </c>
      <c r="AW591" s="4">
        <f>IF($A591=AW$542,"",COUNTIF($E$4:$E$538,$A591&amp;" ضد "&amp;AW$542)+COUNTIF($E$4:$E$538,AW$542&amp;" ضد "&amp;$A591))</f>
        <v>1</v>
      </c>
      <c r="AX591" s="4" t="str">
        <f>IF($A591=AX$542,"",COUNTIF($E$4:$E$538,$A591&amp;" ضد "&amp;AX$542)+COUNTIF($E$4:$E$538,AX$542&amp;" ضد "&amp;$A591))</f>
        <v/>
      </c>
      <c r="AY591" s="4">
        <f>IF($A591=AY$542,"",COUNTIF($E$4:$E$538,$A591&amp;" ضد "&amp;AY$542)+COUNTIF($E$4:$E$538,AY$542&amp;" ضد "&amp;$A591))</f>
        <v>1</v>
      </c>
      <c r="AZ591" s="4">
        <f>IF($A591=AZ$542,"",COUNTIF($E$4:$E$538,$A591&amp;" ضد "&amp;AZ$542)+COUNTIF($E$4:$E$538,AZ$542&amp;" ضد "&amp;$A591))</f>
        <v>1</v>
      </c>
      <c r="BA591" s="4">
        <f>IF($A591=BA$542,"",COUNTIF($E$4:$E$538,$A591&amp;" ضد "&amp;BA$542)+COUNTIF($E$4:$E$538,BA$542&amp;" ضد "&amp;$A591))</f>
        <v>1</v>
      </c>
      <c r="BB591" s="4">
        <f>IF($A591=BB$542,"",COUNTIF($E$4:$E$538,$A591&amp;" ضد "&amp;BB$542)+COUNTIF($E$4:$E$538,BB$542&amp;" ضد "&amp;$A591))</f>
        <v>1</v>
      </c>
      <c r="BC591" s="4">
        <f>IF($A591=BC$542,"",COUNTIF($E$4:$E$538,$A591&amp;" ضد "&amp;BC$542)+COUNTIF($E$4:$E$538,BC$542&amp;" ضد "&amp;$A591))</f>
        <v>1</v>
      </c>
      <c r="BD591" s="4">
        <f>IF($A591=BD$542,"",COUNTIF($E$4:$E$538,$A591&amp;" ضد "&amp;BD$542)+COUNTIF($E$4:$E$538,BD$542&amp;" ضد "&amp;$A591))</f>
        <v>1</v>
      </c>
      <c r="BE591" s="4">
        <f>IF($A591=BE$542,"",COUNTIF($E$4:$E$538,$A591&amp;" ضد "&amp;BE$542)+COUNTIF($E$4:$E$538,BE$542&amp;" ضد "&amp;$A591))</f>
        <v>1</v>
      </c>
      <c r="BF591" s="4">
        <f>IF($A591=BF$542,"",COUNTIF($E$4:$E$538,$A591&amp;" ضد "&amp;BF$542)+COUNTIF($E$4:$E$538,BF$542&amp;" ضد "&amp;$A591))</f>
        <v>1</v>
      </c>
      <c r="BG591" s="4">
        <f>IF($A591=BG$542,"",COUNTIF($E$4:$E$538,$A591&amp;" ضد "&amp;BG$542)+COUNTIF($E$4:$E$538,BG$542&amp;" ضد "&amp;$A591))</f>
        <v>1</v>
      </c>
    </row>
    <row r="592" spans="1:59" ht="14.5">
      <c r="A592" s="14">
        <v>50</v>
      </c>
      <c r="B592" s="4">
        <f>IF($A592=B$542,"",COUNTIF($E$4:$E$538,$A592&amp;" ضد "&amp;B$542)+COUNTIF($E$4:$E$538,B$542&amp;" ضد "&amp;$A592))</f>
        <v>0</v>
      </c>
      <c r="C592" s="4">
        <f>IF($A592=C$542,"",COUNTIF($E$4:$E$538,$A592&amp;" ضد "&amp;C$542)+COUNTIF($E$4:$E$538,C$542&amp;" ضد "&amp;$A592))</f>
        <v>0</v>
      </c>
      <c r="D592" s="4">
        <f>IF($A592=D$542,"",COUNTIF($E$4:$E$538,$A592&amp;" ضد "&amp;D$542)+COUNTIF($E$4:$E$538,D$542&amp;" ضد "&amp;$A592))</f>
        <v>0</v>
      </c>
      <c r="E592" s="4">
        <f>IF($A592=E$542,"",COUNTIF($E$4:$E$538,$A592&amp;" ضد "&amp;E$542)+COUNTIF($E$4:$E$538,E$542&amp;" ضد "&amp;$A592))</f>
        <v>0</v>
      </c>
      <c r="F592" s="4">
        <f>IF($A592=F$542,"",COUNTIF($E$4:$E$538,$A592&amp;" ضد "&amp;F$542)+COUNTIF($E$4:$E$538,F$542&amp;" ضد "&amp;$A592))</f>
        <v>0</v>
      </c>
      <c r="G592" s="4">
        <f>IF($A592=G$542,"",COUNTIF($E$4:$E$538,$A592&amp;" ضد "&amp;G$542)+COUNTIF($E$4:$E$538,G$542&amp;" ضد "&amp;$A592))</f>
        <v>0</v>
      </c>
      <c r="H592" s="4">
        <f>IF($A592=H$542,"",COUNTIF($E$4:$E$538,$A592&amp;" ضد "&amp;H$542)+COUNTIF($E$4:$E$538,H$542&amp;" ضد "&amp;$A592))</f>
        <v>0</v>
      </c>
      <c r="I592" s="4">
        <f>IF($A592=I$542,"",COUNTIF($E$4:$E$538,$A592&amp;" ضد "&amp;I$542)+COUNTIF($E$4:$E$538,I$542&amp;" ضد "&amp;$A592))</f>
        <v>0</v>
      </c>
      <c r="J592" s="4">
        <f>IF($A592=J$542,"",COUNTIF($E$4:$E$538,$A592&amp;" ضد "&amp;J$542)+COUNTIF($E$4:$E$538,J$542&amp;" ضد "&amp;$A592))</f>
        <v>0</v>
      </c>
      <c r="K592" s="4">
        <f>IF($A592=K$542,"",COUNTIF($E$4:$E$538,$A592&amp;" ضد "&amp;K$542)+COUNTIF($E$4:$E$538,K$542&amp;" ضد "&amp;$A592))</f>
        <v>0</v>
      </c>
      <c r="L592" s="4">
        <f>IF($A592=L$542,"",COUNTIF($E$4:$E$538,$A592&amp;" ضد "&amp;L$542)+COUNTIF($E$4:$E$538,L$542&amp;" ضد "&amp;$A592))</f>
        <v>0</v>
      </c>
      <c r="M592" s="4">
        <f>IF($A592=M$542,"",COUNTIF($E$4:$E$538,$A592&amp;" ضد "&amp;M$542)+COUNTIF($E$4:$E$538,M$542&amp;" ضد "&amp;$A592))</f>
        <v>0</v>
      </c>
      <c r="N592" s="4">
        <f>IF($A592=N$542,"",COUNTIF($E$4:$E$538,$A592&amp;" ضد "&amp;N$542)+COUNTIF($E$4:$E$538,N$542&amp;" ضد "&amp;$A592))</f>
        <v>0</v>
      </c>
      <c r="O592" s="4">
        <f>IF($A592=O$542,"",COUNTIF($E$4:$E$538,$A592&amp;" ضد "&amp;O$542)+COUNTIF($E$4:$E$538,O$542&amp;" ضد "&amp;$A592))</f>
        <v>0</v>
      </c>
      <c r="P592" s="4">
        <f>IF($A592=P$542,"",COUNTIF($E$4:$E$538,$A592&amp;" ضد "&amp;P$542)+COUNTIF($E$4:$E$538,P$542&amp;" ضد "&amp;$A592))</f>
        <v>0</v>
      </c>
      <c r="Q592" s="4">
        <f>IF($A592=Q$542,"",COUNTIF($E$4:$E$538,$A592&amp;" ضد "&amp;Q$542)+COUNTIF($E$4:$E$538,Q$542&amp;" ضد "&amp;$A592))</f>
        <v>0</v>
      </c>
      <c r="R592" s="4">
        <f>IF($A592=R$542,"",COUNTIF($E$4:$E$538,$A592&amp;" ضد "&amp;R$542)+COUNTIF($E$4:$E$538,R$542&amp;" ضد "&amp;$A592))</f>
        <v>0</v>
      </c>
      <c r="S592" s="4">
        <f>IF($A592=S$542,"",COUNTIF($E$4:$E$538,$A592&amp;" ضد "&amp;S$542)+COUNTIF($E$4:$E$538,S$542&amp;" ضد "&amp;$A592))</f>
        <v>0</v>
      </c>
      <c r="T592" s="4">
        <f>IF($A592=T$542,"",COUNTIF($E$4:$E$538,$A592&amp;" ضد "&amp;T$542)+COUNTIF($E$4:$E$538,T$542&amp;" ضد "&amp;$A592))</f>
        <v>0</v>
      </c>
      <c r="U592" s="4">
        <f>IF($A592=U$542,"",COUNTIF($E$4:$E$538,$A592&amp;" ضد "&amp;U$542)+COUNTIF($E$4:$E$538,U$542&amp;" ضد "&amp;$A592))</f>
        <v>0</v>
      </c>
      <c r="V592" s="4">
        <f>IF($A592=V$542,"",COUNTIF($E$4:$E$538,$A592&amp;" ضد "&amp;V$542)+COUNTIF($E$4:$E$538,V$542&amp;" ضد "&amp;$A592))</f>
        <v>0</v>
      </c>
      <c r="W592" s="4">
        <f>IF($A592=W$542,"",COUNTIF($E$4:$E$538,$A592&amp;" ضد "&amp;W$542)+COUNTIF($E$4:$E$538,W$542&amp;" ضد "&amp;$A592))</f>
        <v>0</v>
      </c>
      <c r="X592" s="4">
        <f>IF($A592=X$542,"",COUNTIF($E$4:$E$538,$A592&amp;" ضد "&amp;X$542)+COUNTIF($E$4:$E$538,X$542&amp;" ضد "&amp;$A592))</f>
        <v>0</v>
      </c>
      <c r="Y592" s="4">
        <f>IF($A592=Y$542,"",COUNTIF($E$4:$E$538,$A592&amp;" ضد "&amp;Y$542)+COUNTIF($E$4:$E$538,Y$542&amp;" ضد "&amp;$A592))</f>
        <v>0</v>
      </c>
      <c r="Z592" s="4">
        <f>IF($A592=Z$542,"",COUNTIF($E$4:$E$538,$A592&amp;" ضد "&amp;Z$542)+COUNTIF($E$4:$E$538,Z$542&amp;" ضد "&amp;$A592))</f>
        <v>0</v>
      </c>
      <c r="AA592" s="4">
        <f>IF($A592=AA$542,"",COUNTIF($E$4:$E$538,$A592&amp;" ضد "&amp;AA$542)+COUNTIF($E$4:$E$538,AA$542&amp;" ضد "&amp;$A592))</f>
        <v>0</v>
      </c>
      <c r="AB592" s="4">
        <f>IF($A592=AB$542,"",COUNTIF($E$4:$E$538,$A592&amp;" ضد "&amp;AB$542)+COUNTIF($E$4:$E$538,AB$542&amp;" ضد "&amp;$A592))</f>
        <v>0</v>
      </c>
      <c r="AC592" s="4">
        <f>IF($A592=AC$542,"",COUNTIF($E$4:$E$538,$A592&amp;" ضد "&amp;AC$542)+COUNTIF($E$4:$E$538,AC$542&amp;" ضد "&amp;$A592))</f>
        <v>0</v>
      </c>
      <c r="AD592" s="4">
        <f>IF($A592=AD$542,"",COUNTIF($E$4:$E$538,$A592&amp;" ضد "&amp;AD$542)+COUNTIF($E$4:$E$538,AD$542&amp;" ضد "&amp;$A592))</f>
        <v>0</v>
      </c>
      <c r="AE592" s="4">
        <f>IF($A592=AE$542,"",COUNTIF($E$4:$E$538,$A592&amp;" ضد "&amp;AE$542)+COUNTIF($E$4:$E$538,AE$542&amp;" ضد "&amp;$A592))</f>
        <v>0</v>
      </c>
      <c r="AF592" s="4">
        <f>IF($A592=AF$542,"",COUNTIF($E$4:$E$538,$A592&amp;" ضد "&amp;AF$542)+COUNTIF($E$4:$E$538,AF$542&amp;" ضد "&amp;$A592))</f>
        <v>0</v>
      </c>
      <c r="AG592" s="4">
        <f>IF($A592=AG$542,"",COUNTIF($E$4:$E$538,$A592&amp;" ضد "&amp;AG$542)+COUNTIF($E$4:$E$538,AG$542&amp;" ضد "&amp;$A592))</f>
        <v>0</v>
      </c>
      <c r="AH592" s="4">
        <f>IF($A592=AH$542,"",COUNTIF($E$4:$E$538,$A592&amp;" ضد "&amp;AH$542)+COUNTIF($E$4:$E$538,AH$542&amp;" ضد "&amp;$A592))</f>
        <v>0</v>
      </c>
      <c r="AI592" s="4">
        <f>IF($A592=AI$542,"",COUNTIF($E$4:$E$538,$A592&amp;" ضد "&amp;AI$542)+COUNTIF($E$4:$E$538,AI$542&amp;" ضد "&amp;$A592))</f>
        <v>0</v>
      </c>
      <c r="AJ592" s="4">
        <f>IF($A592=AJ$542,"",COUNTIF($E$4:$E$538,$A592&amp;" ضد "&amp;AJ$542)+COUNTIF($E$4:$E$538,AJ$542&amp;" ضد "&amp;$A592))</f>
        <v>0</v>
      </c>
      <c r="AK592" s="4">
        <f>IF($A592=AK$542,"",COUNTIF($E$4:$E$538,$A592&amp;" ضد "&amp;AK$542)+COUNTIF($E$4:$E$538,AK$542&amp;" ضد "&amp;$A592))</f>
        <v>0</v>
      </c>
      <c r="AL592" s="4">
        <f>IF($A592=AL$542,"",COUNTIF($E$4:$E$538,$A592&amp;" ضد "&amp;AL$542)+COUNTIF($E$4:$E$538,AL$542&amp;" ضد "&amp;$A592))</f>
        <v>0</v>
      </c>
      <c r="AM592" s="4">
        <f>IF($A592=AM$542,"",COUNTIF($E$4:$E$538,$A592&amp;" ضد "&amp;AM$542)+COUNTIF($E$4:$E$538,AM$542&amp;" ضد "&amp;$A592))</f>
        <v>0</v>
      </c>
      <c r="AN592" s="4">
        <f>IF($A592=AN$542,"",COUNTIF($E$4:$E$538,$A592&amp;" ضد "&amp;AN$542)+COUNTIF($E$4:$E$538,AN$542&amp;" ضد "&amp;$A592))</f>
        <v>0</v>
      </c>
      <c r="AO592" s="4">
        <f>IF($A592=AO$542,"",COUNTIF($E$4:$E$538,$A592&amp;" ضد "&amp;AO$542)+COUNTIF($E$4:$E$538,AO$542&amp;" ضد "&amp;$A592))</f>
        <v>1</v>
      </c>
      <c r="AP592" s="4">
        <f>IF($A592=AP$542,"",COUNTIF($E$4:$E$538,$A592&amp;" ضد "&amp;AP$542)+COUNTIF($E$4:$E$538,AP$542&amp;" ضد "&amp;$A592))</f>
        <v>1</v>
      </c>
      <c r="AQ592" s="4">
        <f>IF($A592=AQ$542,"",COUNTIF($E$4:$E$538,$A592&amp;" ضد "&amp;AQ$542)+COUNTIF($E$4:$E$538,AQ$542&amp;" ضد "&amp;$A592))</f>
        <v>1</v>
      </c>
      <c r="AR592" s="4">
        <f>IF($A592=AR$542,"",COUNTIF($E$4:$E$538,$A592&amp;" ضد "&amp;AR$542)+COUNTIF($E$4:$E$538,AR$542&amp;" ضد "&amp;$A592))</f>
        <v>1</v>
      </c>
      <c r="AS592" s="4">
        <f>IF($A592=AS$542,"",COUNTIF($E$4:$E$538,$A592&amp;" ضد "&amp;AS$542)+COUNTIF($E$4:$E$538,AS$542&amp;" ضد "&amp;$A592))</f>
        <v>1</v>
      </c>
      <c r="AT592" s="4">
        <f>IF($A592=AT$542,"",COUNTIF($E$4:$E$538,$A592&amp;" ضد "&amp;AT$542)+COUNTIF($E$4:$E$538,AT$542&amp;" ضد "&amp;$A592))</f>
        <v>1</v>
      </c>
      <c r="AU592" s="4">
        <f>IF($A592=AU$542,"",COUNTIF($E$4:$E$538,$A592&amp;" ضد "&amp;AU$542)+COUNTIF($E$4:$E$538,AU$542&amp;" ضد "&amp;$A592))</f>
        <v>1</v>
      </c>
      <c r="AV592" s="4">
        <f>IF($A592=AV$542,"",COUNTIF($E$4:$E$538,$A592&amp;" ضد "&amp;AV$542)+COUNTIF($E$4:$E$538,AV$542&amp;" ضد "&amp;$A592))</f>
        <v>1</v>
      </c>
      <c r="AW592" s="4">
        <f>IF($A592=AW$542,"",COUNTIF($E$4:$E$538,$A592&amp;" ضد "&amp;AW$542)+COUNTIF($E$4:$E$538,AW$542&amp;" ضد "&amp;$A592))</f>
        <v>1</v>
      </c>
      <c r="AX592" s="4">
        <f>IF($A592=AX$542,"",COUNTIF($E$4:$E$538,$A592&amp;" ضد "&amp;AX$542)+COUNTIF($E$4:$E$538,AX$542&amp;" ضد "&amp;$A592))</f>
        <v>1</v>
      </c>
      <c r="AY592" s="4" t="str">
        <f>IF($A592=AY$542,"",COUNTIF($E$4:$E$538,$A592&amp;" ضد "&amp;AY$542)+COUNTIF($E$4:$E$538,AY$542&amp;" ضد "&amp;$A592))</f>
        <v/>
      </c>
      <c r="AZ592" s="4">
        <f>IF($A592=AZ$542,"",COUNTIF($E$4:$E$538,$A592&amp;" ضد "&amp;AZ$542)+COUNTIF($E$4:$E$538,AZ$542&amp;" ضد "&amp;$A592))</f>
        <v>1</v>
      </c>
      <c r="BA592" s="4">
        <f>IF($A592=BA$542,"",COUNTIF($E$4:$E$538,$A592&amp;" ضد "&amp;BA$542)+COUNTIF($E$4:$E$538,BA$542&amp;" ضد "&amp;$A592))</f>
        <v>1</v>
      </c>
      <c r="BB592" s="4">
        <f>IF($A592=BB$542,"",COUNTIF($E$4:$E$538,$A592&amp;" ضد "&amp;BB$542)+COUNTIF($E$4:$E$538,BB$542&amp;" ضد "&amp;$A592))</f>
        <v>1</v>
      </c>
      <c r="BC592" s="4">
        <f>IF($A592=BC$542,"",COUNTIF($E$4:$E$538,$A592&amp;" ضد "&amp;BC$542)+COUNTIF($E$4:$E$538,BC$542&amp;" ضد "&amp;$A592))</f>
        <v>1</v>
      </c>
      <c r="BD592" s="4">
        <f>IF($A592=BD$542,"",COUNTIF($E$4:$E$538,$A592&amp;" ضد "&amp;BD$542)+COUNTIF($E$4:$E$538,BD$542&amp;" ضد "&amp;$A592))</f>
        <v>1</v>
      </c>
      <c r="BE592" s="4">
        <f>IF($A592=BE$542,"",COUNTIF($E$4:$E$538,$A592&amp;" ضد "&amp;BE$542)+COUNTIF($E$4:$E$538,BE$542&amp;" ضد "&amp;$A592))</f>
        <v>1</v>
      </c>
      <c r="BF592" s="4">
        <f>IF($A592=BF$542,"",COUNTIF($E$4:$E$538,$A592&amp;" ضد "&amp;BF$542)+COUNTIF($E$4:$E$538,BF$542&amp;" ضد "&amp;$A592))</f>
        <v>1</v>
      </c>
      <c r="BG592" s="4">
        <f>IF($A592=BG$542,"",COUNTIF($E$4:$E$538,$A592&amp;" ضد "&amp;BG$542)+COUNTIF($E$4:$E$538,BG$542&amp;" ضد "&amp;$A592))</f>
        <v>1</v>
      </c>
    </row>
    <row r="593" spans="1:59" ht="14.5">
      <c r="A593" s="14">
        <v>51</v>
      </c>
      <c r="B593" s="4">
        <f>IF($A593=B$542,"",COUNTIF($E$4:$E$538,$A593&amp;" ضد "&amp;B$542)+COUNTIF($E$4:$E$538,B$542&amp;" ضد "&amp;$A593))</f>
        <v>0</v>
      </c>
      <c r="C593" s="4">
        <f>IF($A593=C$542,"",COUNTIF($E$4:$E$538,$A593&amp;" ضد "&amp;C$542)+COUNTIF($E$4:$E$538,C$542&amp;" ضد "&amp;$A593))</f>
        <v>0</v>
      </c>
      <c r="D593" s="4">
        <f>IF($A593=D$542,"",COUNTIF($E$4:$E$538,$A593&amp;" ضد "&amp;D$542)+COUNTIF($E$4:$E$538,D$542&amp;" ضد "&amp;$A593))</f>
        <v>0</v>
      </c>
      <c r="E593" s="4">
        <f>IF($A593=E$542,"",COUNTIF($E$4:$E$538,$A593&amp;" ضد "&amp;E$542)+COUNTIF($E$4:$E$538,E$542&amp;" ضد "&amp;$A593))</f>
        <v>0</v>
      </c>
      <c r="F593" s="4">
        <f>IF($A593=F$542,"",COUNTIF($E$4:$E$538,$A593&amp;" ضد "&amp;F$542)+COUNTIF($E$4:$E$538,F$542&amp;" ضد "&amp;$A593))</f>
        <v>0</v>
      </c>
      <c r="G593" s="4">
        <f>IF($A593=G$542,"",COUNTIF($E$4:$E$538,$A593&amp;" ضد "&amp;G$542)+COUNTIF($E$4:$E$538,G$542&amp;" ضد "&amp;$A593))</f>
        <v>0</v>
      </c>
      <c r="H593" s="4">
        <f>IF($A593=H$542,"",COUNTIF($E$4:$E$538,$A593&amp;" ضد "&amp;H$542)+COUNTIF($E$4:$E$538,H$542&amp;" ضد "&amp;$A593))</f>
        <v>0</v>
      </c>
      <c r="I593" s="4">
        <f>IF($A593=I$542,"",COUNTIF($E$4:$E$538,$A593&amp;" ضد "&amp;I$542)+COUNTIF($E$4:$E$538,I$542&amp;" ضد "&amp;$A593))</f>
        <v>0</v>
      </c>
      <c r="J593" s="4">
        <f>IF($A593=J$542,"",COUNTIF($E$4:$E$538,$A593&amp;" ضد "&amp;J$542)+COUNTIF($E$4:$E$538,J$542&amp;" ضد "&amp;$A593))</f>
        <v>0</v>
      </c>
      <c r="K593" s="4">
        <f>IF($A593=K$542,"",COUNTIF($E$4:$E$538,$A593&amp;" ضد "&amp;K$542)+COUNTIF($E$4:$E$538,K$542&amp;" ضد "&amp;$A593))</f>
        <v>0</v>
      </c>
      <c r="L593" s="4">
        <f>IF($A593=L$542,"",COUNTIF($E$4:$E$538,$A593&amp;" ضد "&amp;L$542)+COUNTIF($E$4:$E$538,L$542&amp;" ضد "&amp;$A593))</f>
        <v>0</v>
      </c>
      <c r="M593" s="4">
        <f>IF($A593=M$542,"",COUNTIF($E$4:$E$538,$A593&amp;" ضد "&amp;M$542)+COUNTIF($E$4:$E$538,M$542&amp;" ضد "&amp;$A593))</f>
        <v>0</v>
      </c>
      <c r="N593" s="4">
        <f>IF($A593=N$542,"",COUNTIF($E$4:$E$538,$A593&amp;" ضد "&amp;N$542)+COUNTIF($E$4:$E$538,N$542&amp;" ضد "&amp;$A593))</f>
        <v>0</v>
      </c>
      <c r="O593" s="4">
        <f>IF($A593=O$542,"",COUNTIF($E$4:$E$538,$A593&amp;" ضد "&amp;O$542)+COUNTIF($E$4:$E$538,O$542&amp;" ضد "&amp;$A593))</f>
        <v>0</v>
      </c>
      <c r="P593" s="4">
        <f>IF($A593=P$542,"",COUNTIF($E$4:$E$538,$A593&amp;" ضد "&amp;P$542)+COUNTIF($E$4:$E$538,P$542&amp;" ضد "&amp;$A593))</f>
        <v>0</v>
      </c>
      <c r="Q593" s="4">
        <f>IF($A593=Q$542,"",COUNTIF($E$4:$E$538,$A593&amp;" ضد "&amp;Q$542)+COUNTIF($E$4:$E$538,Q$542&amp;" ضد "&amp;$A593))</f>
        <v>0</v>
      </c>
      <c r="R593" s="4">
        <f>IF($A593=R$542,"",COUNTIF($E$4:$E$538,$A593&amp;" ضد "&amp;R$542)+COUNTIF($E$4:$E$538,R$542&amp;" ضد "&amp;$A593))</f>
        <v>0</v>
      </c>
      <c r="S593" s="4">
        <f>IF($A593=S$542,"",COUNTIF($E$4:$E$538,$A593&amp;" ضد "&amp;S$542)+COUNTIF($E$4:$E$538,S$542&amp;" ضد "&amp;$A593))</f>
        <v>0</v>
      </c>
      <c r="T593" s="4">
        <f>IF($A593=T$542,"",COUNTIF($E$4:$E$538,$A593&amp;" ضد "&amp;T$542)+COUNTIF($E$4:$E$538,T$542&amp;" ضد "&amp;$A593))</f>
        <v>0</v>
      </c>
      <c r="U593" s="4">
        <f>IF($A593=U$542,"",COUNTIF($E$4:$E$538,$A593&amp;" ضد "&amp;U$542)+COUNTIF($E$4:$E$538,U$542&amp;" ضد "&amp;$A593))</f>
        <v>0</v>
      </c>
      <c r="V593" s="4">
        <f>IF($A593=V$542,"",COUNTIF($E$4:$E$538,$A593&amp;" ضد "&amp;V$542)+COUNTIF($E$4:$E$538,V$542&amp;" ضد "&amp;$A593))</f>
        <v>0</v>
      </c>
      <c r="W593" s="4">
        <f>IF($A593=W$542,"",COUNTIF($E$4:$E$538,$A593&amp;" ضد "&amp;W$542)+COUNTIF($E$4:$E$538,W$542&amp;" ضد "&amp;$A593))</f>
        <v>0</v>
      </c>
      <c r="X593" s="4">
        <f>IF($A593=X$542,"",COUNTIF($E$4:$E$538,$A593&amp;" ضد "&amp;X$542)+COUNTIF($E$4:$E$538,X$542&amp;" ضد "&amp;$A593))</f>
        <v>0</v>
      </c>
      <c r="Y593" s="4">
        <f>IF($A593=Y$542,"",COUNTIF($E$4:$E$538,$A593&amp;" ضد "&amp;Y$542)+COUNTIF($E$4:$E$538,Y$542&amp;" ضد "&amp;$A593))</f>
        <v>0</v>
      </c>
      <c r="Z593" s="4">
        <f>IF($A593=Z$542,"",COUNTIF($E$4:$E$538,$A593&amp;" ضد "&amp;Z$542)+COUNTIF($E$4:$E$538,Z$542&amp;" ضد "&amp;$A593))</f>
        <v>0</v>
      </c>
      <c r="AA593" s="4">
        <f>IF($A593=AA$542,"",COUNTIF($E$4:$E$538,$A593&amp;" ضد "&amp;AA$542)+COUNTIF($E$4:$E$538,AA$542&amp;" ضد "&amp;$A593))</f>
        <v>0</v>
      </c>
      <c r="AB593" s="4">
        <f>IF($A593=AB$542,"",COUNTIF($E$4:$E$538,$A593&amp;" ضد "&amp;AB$542)+COUNTIF($E$4:$E$538,AB$542&amp;" ضد "&amp;$A593))</f>
        <v>0</v>
      </c>
      <c r="AC593" s="4">
        <f>IF($A593=AC$542,"",COUNTIF($E$4:$E$538,$A593&amp;" ضد "&amp;AC$542)+COUNTIF($E$4:$E$538,AC$542&amp;" ضد "&amp;$A593))</f>
        <v>0</v>
      </c>
      <c r="AD593" s="4">
        <f>IF($A593=AD$542,"",COUNTIF($E$4:$E$538,$A593&amp;" ضد "&amp;AD$542)+COUNTIF($E$4:$E$538,AD$542&amp;" ضد "&amp;$A593))</f>
        <v>0</v>
      </c>
      <c r="AE593" s="4">
        <f>IF($A593=AE$542,"",COUNTIF($E$4:$E$538,$A593&amp;" ضد "&amp;AE$542)+COUNTIF($E$4:$E$538,AE$542&amp;" ضد "&amp;$A593))</f>
        <v>0</v>
      </c>
      <c r="AF593" s="4">
        <f>IF($A593=AF$542,"",COUNTIF($E$4:$E$538,$A593&amp;" ضد "&amp;AF$542)+COUNTIF($E$4:$E$538,AF$542&amp;" ضد "&amp;$A593))</f>
        <v>0</v>
      </c>
      <c r="AG593" s="4">
        <f>IF($A593=AG$542,"",COUNTIF($E$4:$E$538,$A593&amp;" ضد "&amp;AG$542)+COUNTIF($E$4:$E$538,AG$542&amp;" ضد "&amp;$A593))</f>
        <v>0</v>
      </c>
      <c r="AH593" s="4">
        <f>IF($A593=AH$542,"",COUNTIF($E$4:$E$538,$A593&amp;" ضد "&amp;AH$542)+COUNTIF($E$4:$E$538,AH$542&amp;" ضد "&amp;$A593))</f>
        <v>0</v>
      </c>
      <c r="AI593" s="4">
        <f>IF($A593=AI$542,"",COUNTIF($E$4:$E$538,$A593&amp;" ضد "&amp;AI$542)+COUNTIF($E$4:$E$538,AI$542&amp;" ضد "&amp;$A593))</f>
        <v>0</v>
      </c>
      <c r="AJ593" s="4">
        <f>IF($A593=AJ$542,"",COUNTIF($E$4:$E$538,$A593&amp;" ضد "&amp;AJ$542)+COUNTIF($E$4:$E$538,AJ$542&amp;" ضد "&amp;$A593))</f>
        <v>0</v>
      </c>
      <c r="AK593" s="4">
        <f>IF($A593=AK$542,"",COUNTIF($E$4:$E$538,$A593&amp;" ضد "&amp;AK$542)+COUNTIF($E$4:$E$538,AK$542&amp;" ضد "&amp;$A593))</f>
        <v>0</v>
      </c>
      <c r="AL593" s="4">
        <f>IF($A593=AL$542,"",COUNTIF($E$4:$E$538,$A593&amp;" ضد "&amp;AL$542)+COUNTIF($E$4:$E$538,AL$542&amp;" ضد "&amp;$A593))</f>
        <v>0</v>
      </c>
      <c r="AM593" s="4">
        <f>IF($A593=AM$542,"",COUNTIF($E$4:$E$538,$A593&amp;" ضد "&amp;AM$542)+COUNTIF($E$4:$E$538,AM$542&amp;" ضد "&amp;$A593))</f>
        <v>0</v>
      </c>
      <c r="AN593" s="4">
        <f>IF($A593=AN$542,"",COUNTIF($E$4:$E$538,$A593&amp;" ضد "&amp;AN$542)+COUNTIF($E$4:$E$538,AN$542&amp;" ضد "&amp;$A593))</f>
        <v>0</v>
      </c>
      <c r="AO593" s="4">
        <f>IF($A593=AO$542,"",COUNTIF($E$4:$E$538,$A593&amp;" ضد "&amp;AO$542)+COUNTIF($E$4:$E$538,AO$542&amp;" ضد "&amp;$A593))</f>
        <v>1</v>
      </c>
      <c r="AP593" s="4">
        <f>IF($A593=AP$542,"",COUNTIF($E$4:$E$538,$A593&amp;" ضد "&amp;AP$542)+COUNTIF($E$4:$E$538,AP$542&amp;" ضد "&amp;$A593))</f>
        <v>1</v>
      </c>
      <c r="AQ593" s="4">
        <f>IF($A593=AQ$542,"",COUNTIF($E$4:$E$538,$A593&amp;" ضد "&amp;AQ$542)+COUNTIF($E$4:$E$538,AQ$542&amp;" ضد "&amp;$A593))</f>
        <v>1</v>
      </c>
      <c r="AR593" s="4">
        <f>IF($A593=AR$542,"",COUNTIF($E$4:$E$538,$A593&amp;" ضد "&amp;AR$542)+COUNTIF($E$4:$E$538,AR$542&amp;" ضد "&amp;$A593))</f>
        <v>1</v>
      </c>
      <c r="AS593" s="4">
        <f>IF($A593=AS$542,"",COUNTIF($E$4:$E$538,$A593&amp;" ضد "&amp;AS$542)+COUNTIF($E$4:$E$538,AS$542&amp;" ضد "&amp;$A593))</f>
        <v>1</v>
      </c>
      <c r="AT593" s="4">
        <f>IF($A593=AT$542,"",COUNTIF($E$4:$E$538,$A593&amp;" ضد "&amp;AT$542)+COUNTIF($E$4:$E$538,AT$542&amp;" ضد "&amp;$A593))</f>
        <v>1</v>
      </c>
      <c r="AU593" s="4">
        <f>IF($A593=AU$542,"",COUNTIF($E$4:$E$538,$A593&amp;" ضد "&amp;AU$542)+COUNTIF($E$4:$E$538,AU$542&amp;" ضد "&amp;$A593))</f>
        <v>1</v>
      </c>
      <c r="AV593" s="4">
        <f>IF($A593=AV$542,"",COUNTIF($E$4:$E$538,$A593&amp;" ضد "&amp;AV$542)+COUNTIF($E$4:$E$538,AV$542&amp;" ضد "&amp;$A593))</f>
        <v>1</v>
      </c>
      <c r="AW593" s="4">
        <f>IF($A593=AW$542,"",COUNTIF($E$4:$E$538,$A593&amp;" ضد "&amp;AW$542)+COUNTIF($E$4:$E$538,AW$542&amp;" ضد "&amp;$A593))</f>
        <v>1</v>
      </c>
      <c r="AX593" s="4">
        <f>IF($A593=AX$542,"",COUNTIF($E$4:$E$538,$A593&amp;" ضد "&amp;AX$542)+COUNTIF($E$4:$E$538,AX$542&amp;" ضد "&amp;$A593))</f>
        <v>1</v>
      </c>
      <c r="AY593" s="4">
        <f>IF($A593=AY$542,"",COUNTIF($E$4:$E$538,$A593&amp;" ضد "&amp;AY$542)+COUNTIF($E$4:$E$538,AY$542&amp;" ضد "&amp;$A593))</f>
        <v>1</v>
      </c>
      <c r="AZ593" s="4" t="str">
        <f>IF($A593=AZ$542,"",COUNTIF($E$4:$E$538,$A593&amp;" ضد "&amp;AZ$542)+COUNTIF($E$4:$E$538,AZ$542&amp;" ضد "&amp;$A593))</f>
        <v/>
      </c>
      <c r="BA593" s="4">
        <f>IF($A593=BA$542,"",COUNTIF($E$4:$E$538,$A593&amp;" ضد "&amp;BA$542)+COUNTIF($E$4:$E$538,BA$542&amp;" ضد "&amp;$A593))</f>
        <v>1</v>
      </c>
      <c r="BB593" s="4">
        <f>IF($A593=BB$542,"",COUNTIF($E$4:$E$538,$A593&amp;" ضد "&amp;BB$542)+COUNTIF($E$4:$E$538,BB$542&amp;" ضد "&amp;$A593))</f>
        <v>1</v>
      </c>
      <c r="BC593" s="4">
        <f>IF($A593=BC$542,"",COUNTIF($E$4:$E$538,$A593&amp;" ضد "&amp;BC$542)+COUNTIF($E$4:$E$538,BC$542&amp;" ضد "&amp;$A593))</f>
        <v>1</v>
      </c>
      <c r="BD593" s="4">
        <f>IF($A593=BD$542,"",COUNTIF($E$4:$E$538,$A593&amp;" ضد "&amp;BD$542)+COUNTIF($E$4:$E$538,BD$542&amp;" ضد "&amp;$A593))</f>
        <v>1</v>
      </c>
      <c r="BE593" s="4">
        <f>IF($A593=BE$542,"",COUNTIF($E$4:$E$538,$A593&amp;" ضد "&amp;BE$542)+COUNTIF($E$4:$E$538,BE$542&amp;" ضد "&amp;$A593))</f>
        <v>1</v>
      </c>
      <c r="BF593" s="4">
        <f>IF($A593=BF$542,"",COUNTIF($E$4:$E$538,$A593&amp;" ضد "&amp;BF$542)+COUNTIF($E$4:$E$538,BF$542&amp;" ضد "&amp;$A593))</f>
        <v>1</v>
      </c>
      <c r="BG593" s="4">
        <f>IF($A593=BG$542,"",COUNTIF($E$4:$E$538,$A593&amp;" ضد "&amp;BG$542)+COUNTIF($E$4:$E$538,BG$542&amp;" ضد "&amp;$A593))</f>
        <v>1</v>
      </c>
    </row>
    <row r="594" spans="1:59" ht="14.5">
      <c r="A594" s="14">
        <v>52</v>
      </c>
      <c r="B594" s="4">
        <f>IF($A594=B$542,"",COUNTIF($E$4:$E$538,$A594&amp;" ضد "&amp;B$542)+COUNTIF($E$4:$E$538,B$542&amp;" ضد "&amp;$A594))</f>
        <v>0</v>
      </c>
      <c r="C594" s="4">
        <f>IF($A594=C$542,"",COUNTIF($E$4:$E$538,$A594&amp;" ضد "&amp;C$542)+COUNTIF($E$4:$E$538,C$542&amp;" ضد "&amp;$A594))</f>
        <v>0</v>
      </c>
      <c r="D594" s="4">
        <f>IF($A594=D$542,"",COUNTIF($E$4:$E$538,$A594&amp;" ضد "&amp;D$542)+COUNTIF($E$4:$E$538,D$542&amp;" ضد "&amp;$A594))</f>
        <v>0</v>
      </c>
      <c r="E594" s="4">
        <f>IF($A594=E$542,"",COUNTIF($E$4:$E$538,$A594&amp;" ضد "&amp;E$542)+COUNTIF($E$4:$E$538,E$542&amp;" ضد "&amp;$A594))</f>
        <v>0</v>
      </c>
      <c r="F594" s="4">
        <f>IF($A594=F$542,"",COUNTIF($E$4:$E$538,$A594&amp;" ضد "&amp;F$542)+COUNTIF($E$4:$E$538,F$542&amp;" ضد "&amp;$A594))</f>
        <v>0</v>
      </c>
      <c r="G594" s="4">
        <f>IF($A594=G$542,"",COUNTIF($E$4:$E$538,$A594&amp;" ضد "&amp;G$542)+COUNTIF($E$4:$E$538,G$542&amp;" ضد "&amp;$A594))</f>
        <v>0</v>
      </c>
      <c r="H594" s="4">
        <f>IF($A594=H$542,"",COUNTIF($E$4:$E$538,$A594&amp;" ضد "&amp;H$542)+COUNTIF($E$4:$E$538,H$542&amp;" ضد "&amp;$A594))</f>
        <v>0</v>
      </c>
      <c r="I594" s="4">
        <f>IF($A594=I$542,"",COUNTIF($E$4:$E$538,$A594&amp;" ضد "&amp;I$542)+COUNTIF($E$4:$E$538,I$542&amp;" ضد "&amp;$A594))</f>
        <v>0</v>
      </c>
      <c r="J594" s="4">
        <f>IF($A594=J$542,"",COUNTIF($E$4:$E$538,$A594&amp;" ضد "&amp;J$542)+COUNTIF($E$4:$E$538,J$542&amp;" ضد "&amp;$A594))</f>
        <v>0</v>
      </c>
      <c r="K594" s="4">
        <f>IF($A594=K$542,"",COUNTIF($E$4:$E$538,$A594&amp;" ضد "&amp;K$542)+COUNTIF($E$4:$E$538,K$542&amp;" ضد "&amp;$A594))</f>
        <v>0</v>
      </c>
      <c r="L594" s="4">
        <f>IF($A594=L$542,"",COUNTIF($E$4:$E$538,$A594&amp;" ضد "&amp;L$542)+COUNTIF($E$4:$E$538,L$542&amp;" ضد "&amp;$A594))</f>
        <v>0</v>
      </c>
      <c r="M594" s="4">
        <f>IF($A594=M$542,"",COUNTIF($E$4:$E$538,$A594&amp;" ضد "&amp;M$542)+COUNTIF($E$4:$E$538,M$542&amp;" ضد "&amp;$A594))</f>
        <v>0</v>
      </c>
      <c r="N594" s="4">
        <f>IF($A594=N$542,"",COUNTIF($E$4:$E$538,$A594&amp;" ضد "&amp;N$542)+COUNTIF($E$4:$E$538,N$542&amp;" ضد "&amp;$A594))</f>
        <v>0</v>
      </c>
      <c r="O594" s="4">
        <f>IF($A594=O$542,"",COUNTIF($E$4:$E$538,$A594&amp;" ضد "&amp;O$542)+COUNTIF($E$4:$E$538,O$542&amp;" ضد "&amp;$A594))</f>
        <v>0</v>
      </c>
      <c r="P594" s="4">
        <f>IF($A594=P$542,"",COUNTIF($E$4:$E$538,$A594&amp;" ضد "&amp;P$542)+COUNTIF($E$4:$E$538,P$542&amp;" ضد "&amp;$A594))</f>
        <v>0</v>
      </c>
      <c r="Q594" s="4">
        <f>IF($A594=Q$542,"",COUNTIF($E$4:$E$538,$A594&amp;" ضد "&amp;Q$542)+COUNTIF($E$4:$E$538,Q$542&amp;" ضد "&amp;$A594))</f>
        <v>0</v>
      </c>
      <c r="R594" s="4">
        <f>IF($A594=R$542,"",COUNTIF($E$4:$E$538,$A594&amp;" ضد "&amp;R$542)+COUNTIF($E$4:$E$538,R$542&amp;" ضد "&amp;$A594))</f>
        <v>0</v>
      </c>
      <c r="S594" s="4">
        <f>IF($A594=S$542,"",COUNTIF($E$4:$E$538,$A594&amp;" ضد "&amp;S$542)+COUNTIF($E$4:$E$538,S$542&amp;" ضد "&amp;$A594))</f>
        <v>0</v>
      </c>
      <c r="T594" s="4">
        <f>IF($A594=T$542,"",COUNTIF($E$4:$E$538,$A594&amp;" ضد "&amp;T$542)+COUNTIF($E$4:$E$538,T$542&amp;" ضد "&amp;$A594))</f>
        <v>0</v>
      </c>
      <c r="U594" s="4">
        <f>IF($A594=U$542,"",COUNTIF($E$4:$E$538,$A594&amp;" ضد "&amp;U$542)+COUNTIF($E$4:$E$538,U$542&amp;" ضد "&amp;$A594))</f>
        <v>0</v>
      </c>
      <c r="V594" s="4">
        <f>IF($A594=V$542,"",COUNTIF($E$4:$E$538,$A594&amp;" ضد "&amp;V$542)+COUNTIF($E$4:$E$538,V$542&amp;" ضد "&amp;$A594))</f>
        <v>0</v>
      </c>
      <c r="W594" s="4">
        <f>IF($A594=W$542,"",COUNTIF($E$4:$E$538,$A594&amp;" ضد "&amp;W$542)+COUNTIF($E$4:$E$538,W$542&amp;" ضد "&amp;$A594))</f>
        <v>0</v>
      </c>
      <c r="X594" s="4">
        <f>IF($A594=X$542,"",COUNTIF($E$4:$E$538,$A594&amp;" ضد "&amp;X$542)+COUNTIF($E$4:$E$538,X$542&amp;" ضد "&amp;$A594))</f>
        <v>0</v>
      </c>
      <c r="Y594" s="4">
        <f>IF($A594=Y$542,"",COUNTIF($E$4:$E$538,$A594&amp;" ضد "&amp;Y$542)+COUNTIF($E$4:$E$538,Y$542&amp;" ضد "&amp;$A594))</f>
        <v>0</v>
      </c>
      <c r="Z594" s="4">
        <f>IF($A594=Z$542,"",COUNTIF($E$4:$E$538,$A594&amp;" ضد "&amp;Z$542)+COUNTIF($E$4:$E$538,Z$542&amp;" ضد "&amp;$A594))</f>
        <v>0</v>
      </c>
      <c r="AA594" s="4">
        <f>IF($A594=AA$542,"",COUNTIF($E$4:$E$538,$A594&amp;" ضد "&amp;AA$542)+COUNTIF($E$4:$E$538,AA$542&amp;" ضد "&amp;$A594))</f>
        <v>0</v>
      </c>
      <c r="AB594" s="4">
        <f>IF($A594=AB$542,"",COUNTIF($E$4:$E$538,$A594&amp;" ضد "&amp;AB$542)+COUNTIF($E$4:$E$538,AB$542&amp;" ضد "&amp;$A594))</f>
        <v>0</v>
      </c>
      <c r="AC594" s="4">
        <f>IF($A594=AC$542,"",COUNTIF($E$4:$E$538,$A594&amp;" ضد "&amp;AC$542)+COUNTIF($E$4:$E$538,AC$542&amp;" ضد "&amp;$A594))</f>
        <v>0</v>
      </c>
      <c r="AD594" s="4">
        <f>IF($A594=AD$542,"",COUNTIF($E$4:$E$538,$A594&amp;" ضد "&amp;AD$542)+COUNTIF($E$4:$E$538,AD$542&amp;" ضد "&amp;$A594))</f>
        <v>0</v>
      </c>
      <c r="AE594" s="4">
        <f>IF($A594=AE$542,"",COUNTIF($E$4:$E$538,$A594&amp;" ضد "&amp;AE$542)+COUNTIF($E$4:$E$538,AE$542&amp;" ضد "&amp;$A594))</f>
        <v>0</v>
      </c>
      <c r="AF594" s="4">
        <f>IF($A594=AF$542,"",COUNTIF($E$4:$E$538,$A594&amp;" ضد "&amp;AF$542)+COUNTIF($E$4:$E$538,AF$542&amp;" ضد "&amp;$A594))</f>
        <v>0</v>
      </c>
      <c r="AG594" s="4">
        <f>IF($A594=AG$542,"",COUNTIF($E$4:$E$538,$A594&amp;" ضد "&amp;AG$542)+COUNTIF($E$4:$E$538,AG$542&amp;" ضد "&amp;$A594))</f>
        <v>0</v>
      </c>
      <c r="AH594" s="4">
        <f>IF($A594=AH$542,"",COUNTIF($E$4:$E$538,$A594&amp;" ضد "&amp;AH$542)+COUNTIF($E$4:$E$538,AH$542&amp;" ضد "&amp;$A594))</f>
        <v>0</v>
      </c>
      <c r="AI594" s="4">
        <f>IF($A594=AI$542,"",COUNTIF($E$4:$E$538,$A594&amp;" ضد "&amp;AI$542)+COUNTIF($E$4:$E$538,AI$542&amp;" ضد "&amp;$A594))</f>
        <v>0</v>
      </c>
      <c r="AJ594" s="4">
        <f>IF($A594=AJ$542,"",COUNTIF($E$4:$E$538,$A594&amp;" ضد "&amp;AJ$542)+COUNTIF($E$4:$E$538,AJ$542&amp;" ضد "&amp;$A594))</f>
        <v>0</v>
      </c>
      <c r="AK594" s="4">
        <f>IF($A594=AK$542,"",COUNTIF($E$4:$E$538,$A594&amp;" ضد "&amp;AK$542)+COUNTIF($E$4:$E$538,AK$542&amp;" ضد "&amp;$A594))</f>
        <v>0</v>
      </c>
      <c r="AL594" s="4">
        <f>IF($A594=AL$542,"",COUNTIF($E$4:$E$538,$A594&amp;" ضد "&amp;AL$542)+COUNTIF($E$4:$E$538,AL$542&amp;" ضد "&amp;$A594))</f>
        <v>0</v>
      </c>
      <c r="AM594" s="4">
        <f>IF($A594=AM$542,"",COUNTIF($E$4:$E$538,$A594&amp;" ضد "&amp;AM$542)+COUNTIF($E$4:$E$538,AM$542&amp;" ضد "&amp;$A594))</f>
        <v>0</v>
      </c>
      <c r="AN594" s="4">
        <f>IF($A594=AN$542,"",COUNTIF($E$4:$E$538,$A594&amp;" ضد "&amp;AN$542)+COUNTIF($E$4:$E$538,AN$542&amp;" ضد "&amp;$A594))</f>
        <v>0</v>
      </c>
      <c r="AO594" s="4">
        <f>IF($A594=AO$542,"",COUNTIF($E$4:$E$538,$A594&amp;" ضد "&amp;AO$542)+COUNTIF($E$4:$E$538,AO$542&amp;" ضد "&amp;$A594))</f>
        <v>1</v>
      </c>
      <c r="AP594" s="4">
        <f>IF($A594=AP$542,"",COUNTIF($E$4:$E$538,$A594&amp;" ضد "&amp;AP$542)+COUNTIF($E$4:$E$538,AP$542&amp;" ضد "&amp;$A594))</f>
        <v>1</v>
      </c>
      <c r="AQ594" s="4">
        <f>IF($A594=AQ$542,"",COUNTIF($E$4:$E$538,$A594&amp;" ضد "&amp;AQ$542)+COUNTIF($E$4:$E$538,AQ$542&amp;" ضد "&amp;$A594))</f>
        <v>1</v>
      </c>
      <c r="AR594" s="4">
        <f>IF($A594=AR$542,"",COUNTIF($E$4:$E$538,$A594&amp;" ضد "&amp;AR$542)+COUNTIF($E$4:$E$538,AR$542&amp;" ضد "&amp;$A594))</f>
        <v>1</v>
      </c>
      <c r="AS594" s="4">
        <f>IF($A594=AS$542,"",COUNTIF($E$4:$E$538,$A594&amp;" ضد "&amp;AS$542)+COUNTIF($E$4:$E$538,AS$542&amp;" ضد "&amp;$A594))</f>
        <v>1</v>
      </c>
      <c r="AT594" s="4">
        <f>IF($A594=AT$542,"",COUNTIF($E$4:$E$538,$A594&amp;" ضد "&amp;AT$542)+COUNTIF($E$4:$E$538,AT$542&amp;" ضد "&amp;$A594))</f>
        <v>1</v>
      </c>
      <c r="AU594" s="4">
        <f>IF($A594=AU$542,"",COUNTIF($E$4:$E$538,$A594&amp;" ضد "&amp;AU$542)+COUNTIF($E$4:$E$538,AU$542&amp;" ضد "&amp;$A594))</f>
        <v>1</v>
      </c>
      <c r="AV594" s="4">
        <f>IF($A594=AV$542,"",COUNTIF($E$4:$E$538,$A594&amp;" ضد "&amp;AV$542)+COUNTIF($E$4:$E$538,AV$542&amp;" ضد "&amp;$A594))</f>
        <v>1</v>
      </c>
      <c r="AW594" s="4">
        <f>IF($A594=AW$542,"",COUNTIF($E$4:$E$538,$A594&amp;" ضد "&amp;AW$542)+COUNTIF($E$4:$E$538,AW$542&amp;" ضد "&amp;$A594))</f>
        <v>1</v>
      </c>
      <c r="AX594" s="4">
        <f>IF($A594=AX$542,"",COUNTIF($E$4:$E$538,$A594&amp;" ضد "&amp;AX$542)+COUNTIF($E$4:$E$538,AX$542&amp;" ضد "&amp;$A594))</f>
        <v>1</v>
      </c>
      <c r="AY594" s="4">
        <f>IF($A594=AY$542,"",COUNTIF($E$4:$E$538,$A594&amp;" ضد "&amp;AY$542)+COUNTIF($E$4:$E$538,AY$542&amp;" ضد "&amp;$A594))</f>
        <v>1</v>
      </c>
      <c r="AZ594" s="4">
        <f>IF($A594=AZ$542,"",COUNTIF($E$4:$E$538,$A594&amp;" ضد "&amp;AZ$542)+COUNTIF($E$4:$E$538,AZ$542&amp;" ضد "&amp;$A594))</f>
        <v>1</v>
      </c>
      <c r="BA594" s="4" t="str">
        <f>IF($A594=BA$542,"",COUNTIF($E$4:$E$538,$A594&amp;" ضد "&amp;BA$542)+COUNTIF($E$4:$E$538,BA$542&amp;" ضد "&amp;$A594))</f>
        <v/>
      </c>
      <c r="BB594" s="4">
        <f>IF($A594=BB$542,"",COUNTIF($E$4:$E$538,$A594&amp;" ضد "&amp;BB$542)+COUNTIF($E$4:$E$538,BB$542&amp;" ضد "&amp;$A594))</f>
        <v>1</v>
      </c>
      <c r="BC594" s="4">
        <f>IF($A594=BC$542,"",COUNTIF($E$4:$E$538,$A594&amp;" ضد "&amp;BC$542)+COUNTIF($E$4:$E$538,BC$542&amp;" ضد "&amp;$A594))</f>
        <v>1</v>
      </c>
      <c r="BD594" s="4">
        <f>IF($A594=BD$542,"",COUNTIF($E$4:$E$538,$A594&amp;" ضد "&amp;BD$542)+COUNTIF($E$4:$E$538,BD$542&amp;" ضد "&amp;$A594))</f>
        <v>1</v>
      </c>
      <c r="BE594" s="4">
        <f>IF($A594=BE$542,"",COUNTIF($E$4:$E$538,$A594&amp;" ضد "&amp;BE$542)+COUNTIF($E$4:$E$538,BE$542&amp;" ضد "&amp;$A594))</f>
        <v>1</v>
      </c>
      <c r="BF594" s="4">
        <f>IF($A594=BF$542,"",COUNTIF($E$4:$E$538,$A594&amp;" ضد "&amp;BF$542)+COUNTIF($E$4:$E$538,BF$542&amp;" ضد "&amp;$A594))</f>
        <v>1</v>
      </c>
      <c r="BG594" s="4">
        <f>IF($A594=BG$542,"",COUNTIF($E$4:$E$538,$A594&amp;" ضد "&amp;BG$542)+COUNTIF($E$4:$E$538,BG$542&amp;" ضد "&amp;$A594))</f>
        <v>1</v>
      </c>
    </row>
    <row r="595" spans="1:59" ht="14.5">
      <c r="A595" s="14">
        <v>53</v>
      </c>
      <c r="B595" s="4">
        <f>IF($A595=B$542,"",COUNTIF($E$4:$E$538,$A595&amp;" ضد "&amp;B$542)+COUNTIF($E$4:$E$538,B$542&amp;" ضد "&amp;$A595))</f>
        <v>0</v>
      </c>
      <c r="C595" s="4">
        <f>IF($A595=C$542,"",COUNTIF($E$4:$E$538,$A595&amp;" ضد "&amp;C$542)+COUNTIF($E$4:$E$538,C$542&amp;" ضد "&amp;$A595))</f>
        <v>0</v>
      </c>
      <c r="D595" s="4">
        <f>IF($A595=D$542,"",COUNTIF($E$4:$E$538,$A595&amp;" ضد "&amp;D$542)+COUNTIF($E$4:$E$538,D$542&amp;" ضد "&amp;$A595))</f>
        <v>0</v>
      </c>
      <c r="E595" s="4">
        <f>IF($A595=E$542,"",COUNTIF($E$4:$E$538,$A595&amp;" ضد "&amp;E$542)+COUNTIF($E$4:$E$538,E$542&amp;" ضد "&amp;$A595))</f>
        <v>0</v>
      </c>
      <c r="F595" s="4">
        <f>IF($A595=F$542,"",COUNTIF($E$4:$E$538,$A595&amp;" ضد "&amp;F$542)+COUNTIF($E$4:$E$538,F$542&amp;" ضد "&amp;$A595))</f>
        <v>0</v>
      </c>
      <c r="G595" s="4">
        <f>IF($A595=G$542,"",COUNTIF($E$4:$E$538,$A595&amp;" ضد "&amp;G$542)+COUNTIF($E$4:$E$538,G$542&amp;" ضد "&amp;$A595))</f>
        <v>0</v>
      </c>
      <c r="H595" s="4">
        <f>IF($A595=H$542,"",COUNTIF($E$4:$E$538,$A595&amp;" ضد "&amp;H$542)+COUNTIF($E$4:$E$538,H$542&amp;" ضد "&amp;$A595))</f>
        <v>0</v>
      </c>
      <c r="I595" s="4">
        <f>IF($A595=I$542,"",COUNTIF($E$4:$E$538,$A595&amp;" ضد "&amp;I$542)+COUNTIF($E$4:$E$538,I$542&amp;" ضد "&amp;$A595))</f>
        <v>0</v>
      </c>
      <c r="J595" s="4">
        <f>IF($A595=J$542,"",COUNTIF($E$4:$E$538,$A595&amp;" ضد "&amp;J$542)+COUNTIF($E$4:$E$538,J$542&amp;" ضد "&amp;$A595))</f>
        <v>0</v>
      </c>
      <c r="K595" s="4">
        <f>IF($A595=K$542,"",COUNTIF($E$4:$E$538,$A595&amp;" ضد "&amp;K$542)+COUNTIF($E$4:$E$538,K$542&amp;" ضد "&amp;$A595))</f>
        <v>0</v>
      </c>
      <c r="L595" s="4">
        <f>IF($A595=L$542,"",COUNTIF($E$4:$E$538,$A595&amp;" ضد "&amp;L$542)+COUNTIF($E$4:$E$538,L$542&amp;" ضد "&amp;$A595))</f>
        <v>0</v>
      </c>
      <c r="M595" s="4">
        <f>IF($A595=M$542,"",COUNTIF($E$4:$E$538,$A595&amp;" ضد "&amp;M$542)+COUNTIF($E$4:$E$538,M$542&amp;" ضد "&amp;$A595))</f>
        <v>0</v>
      </c>
      <c r="N595" s="4">
        <f>IF($A595=N$542,"",COUNTIF($E$4:$E$538,$A595&amp;" ضد "&amp;N$542)+COUNTIF($E$4:$E$538,N$542&amp;" ضد "&amp;$A595))</f>
        <v>0</v>
      </c>
      <c r="O595" s="4">
        <f>IF($A595=O$542,"",COUNTIF($E$4:$E$538,$A595&amp;" ضد "&amp;O$542)+COUNTIF($E$4:$E$538,O$542&amp;" ضد "&amp;$A595))</f>
        <v>0</v>
      </c>
      <c r="P595" s="4">
        <f>IF($A595=P$542,"",COUNTIF($E$4:$E$538,$A595&amp;" ضد "&amp;P$542)+COUNTIF($E$4:$E$538,P$542&amp;" ضد "&amp;$A595))</f>
        <v>0</v>
      </c>
      <c r="Q595" s="4">
        <f>IF($A595=Q$542,"",COUNTIF($E$4:$E$538,$A595&amp;" ضد "&amp;Q$542)+COUNTIF($E$4:$E$538,Q$542&amp;" ضد "&amp;$A595))</f>
        <v>0</v>
      </c>
      <c r="R595" s="4">
        <f>IF($A595=R$542,"",COUNTIF($E$4:$E$538,$A595&amp;" ضد "&amp;R$542)+COUNTIF($E$4:$E$538,R$542&amp;" ضد "&amp;$A595))</f>
        <v>0</v>
      </c>
      <c r="S595" s="4">
        <f>IF($A595=S$542,"",COUNTIF($E$4:$E$538,$A595&amp;" ضد "&amp;S$542)+COUNTIF($E$4:$E$538,S$542&amp;" ضد "&amp;$A595))</f>
        <v>0</v>
      </c>
      <c r="T595" s="4">
        <f>IF($A595=T$542,"",COUNTIF($E$4:$E$538,$A595&amp;" ضد "&amp;T$542)+COUNTIF($E$4:$E$538,T$542&amp;" ضد "&amp;$A595))</f>
        <v>0</v>
      </c>
      <c r="U595" s="4">
        <f>IF($A595=U$542,"",COUNTIF($E$4:$E$538,$A595&amp;" ضد "&amp;U$542)+COUNTIF($E$4:$E$538,U$542&amp;" ضد "&amp;$A595))</f>
        <v>0</v>
      </c>
      <c r="V595" s="4">
        <f>IF($A595=V$542,"",COUNTIF($E$4:$E$538,$A595&amp;" ضد "&amp;V$542)+COUNTIF($E$4:$E$538,V$542&amp;" ضد "&amp;$A595))</f>
        <v>0</v>
      </c>
      <c r="W595" s="4">
        <f>IF($A595=W$542,"",COUNTIF($E$4:$E$538,$A595&amp;" ضد "&amp;W$542)+COUNTIF($E$4:$E$538,W$542&amp;" ضد "&amp;$A595))</f>
        <v>0</v>
      </c>
      <c r="X595" s="4">
        <f>IF($A595=X$542,"",COUNTIF($E$4:$E$538,$A595&amp;" ضد "&amp;X$542)+COUNTIF($E$4:$E$538,X$542&amp;" ضد "&amp;$A595))</f>
        <v>0</v>
      </c>
      <c r="Y595" s="4">
        <f>IF($A595=Y$542,"",COUNTIF($E$4:$E$538,$A595&amp;" ضد "&amp;Y$542)+COUNTIF($E$4:$E$538,Y$542&amp;" ضد "&amp;$A595))</f>
        <v>0</v>
      </c>
      <c r="Z595" s="4">
        <f>IF($A595=Z$542,"",COUNTIF($E$4:$E$538,$A595&amp;" ضد "&amp;Z$542)+COUNTIF($E$4:$E$538,Z$542&amp;" ضد "&amp;$A595))</f>
        <v>0</v>
      </c>
      <c r="AA595" s="4">
        <f>IF($A595=AA$542,"",COUNTIF($E$4:$E$538,$A595&amp;" ضد "&amp;AA$542)+COUNTIF($E$4:$E$538,AA$542&amp;" ضد "&amp;$A595))</f>
        <v>0</v>
      </c>
      <c r="AB595" s="4">
        <f>IF($A595=AB$542,"",COUNTIF($E$4:$E$538,$A595&amp;" ضد "&amp;AB$542)+COUNTIF($E$4:$E$538,AB$542&amp;" ضد "&amp;$A595))</f>
        <v>0</v>
      </c>
      <c r="AC595" s="4">
        <f>IF($A595=AC$542,"",COUNTIF($E$4:$E$538,$A595&amp;" ضد "&amp;AC$542)+COUNTIF($E$4:$E$538,AC$542&amp;" ضد "&amp;$A595))</f>
        <v>0</v>
      </c>
      <c r="AD595" s="4">
        <f>IF($A595=AD$542,"",COUNTIF($E$4:$E$538,$A595&amp;" ضد "&amp;AD$542)+COUNTIF($E$4:$E$538,AD$542&amp;" ضد "&amp;$A595))</f>
        <v>0</v>
      </c>
      <c r="AE595" s="4">
        <f>IF($A595=AE$542,"",COUNTIF($E$4:$E$538,$A595&amp;" ضد "&amp;AE$542)+COUNTIF($E$4:$E$538,AE$542&amp;" ضد "&amp;$A595))</f>
        <v>0</v>
      </c>
      <c r="AF595" s="4">
        <f>IF($A595=AF$542,"",COUNTIF($E$4:$E$538,$A595&amp;" ضد "&amp;AF$542)+COUNTIF($E$4:$E$538,AF$542&amp;" ضد "&amp;$A595))</f>
        <v>0</v>
      </c>
      <c r="AG595" s="4">
        <f>IF($A595=AG$542,"",COUNTIF($E$4:$E$538,$A595&amp;" ضد "&amp;AG$542)+COUNTIF($E$4:$E$538,AG$542&amp;" ضد "&amp;$A595))</f>
        <v>0</v>
      </c>
      <c r="AH595" s="4">
        <f>IF($A595=AH$542,"",COUNTIF($E$4:$E$538,$A595&amp;" ضد "&amp;AH$542)+COUNTIF($E$4:$E$538,AH$542&amp;" ضد "&amp;$A595))</f>
        <v>0</v>
      </c>
      <c r="AI595" s="4">
        <f>IF($A595=AI$542,"",COUNTIF($E$4:$E$538,$A595&amp;" ضد "&amp;AI$542)+COUNTIF($E$4:$E$538,AI$542&amp;" ضد "&amp;$A595))</f>
        <v>0</v>
      </c>
      <c r="AJ595" s="4">
        <f>IF($A595=AJ$542,"",COUNTIF($E$4:$E$538,$A595&amp;" ضد "&amp;AJ$542)+COUNTIF($E$4:$E$538,AJ$542&amp;" ضد "&amp;$A595))</f>
        <v>0</v>
      </c>
      <c r="AK595" s="4">
        <f>IF($A595=AK$542,"",COUNTIF($E$4:$E$538,$A595&amp;" ضد "&amp;AK$542)+COUNTIF($E$4:$E$538,AK$542&amp;" ضد "&amp;$A595))</f>
        <v>0</v>
      </c>
      <c r="AL595" s="4">
        <f>IF($A595=AL$542,"",COUNTIF($E$4:$E$538,$A595&amp;" ضد "&amp;AL$542)+COUNTIF($E$4:$E$538,AL$542&amp;" ضد "&amp;$A595))</f>
        <v>0</v>
      </c>
      <c r="AM595" s="4">
        <f>IF($A595=AM$542,"",COUNTIF($E$4:$E$538,$A595&amp;" ضد "&amp;AM$542)+COUNTIF($E$4:$E$538,AM$542&amp;" ضد "&amp;$A595))</f>
        <v>0</v>
      </c>
      <c r="AN595" s="4">
        <f>IF($A595=AN$542,"",COUNTIF($E$4:$E$538,$A595&amp;" ضد "&amp;AN$542)+COUNTIF($E$4:$E$538,AN$542&amp;" ضد "&amp;$A595))</f>
        <v>0</v>
      </c>
      <c r="AO595" s="4">
        <f>IF($A595=AO$542,"",COUNTIF($E$4:$E$538,$A595&amp;" ضد "&amp;AO$542)+COUNTIF($E$4:$E$538,AO$542&amp;" ضد "&amp;$A595))</f>
        <v>1</v>
      </c>
      <c r="AP595" s="4">
        <f>IF($A595=AP$542,"",COUNTIF($E$4:$E$538,$A595&amp;" ضد "&amp;AP$542)+COUNTIF($E$4:$E$538,AP$542&amp;" ضد "&amp;$A595))</f>
        <v>1</v>
      </c>
      <c r="AQ595" s="4">
        <f>IF($A595=AQ$542,"",COUNTIF($E$4:$E$538,$A595&amp;" ضد "&amp;AQ$542)+COUNTIF($E$4:$E$538,AQ$542&amp;" ضد "&amp;$A595))</f>
        <v>1</v>
      </c>
      <c r="AR595" s="4">
        <f>IF($A595=AR$542,"",COUNTIF($E$4:$E$538,$A595&amp;" ضد "&amp;AR$542)+COUNTIF($E$4:$E$538,AR$542&amp;" ضد "&amp;$A595))</f>
        <v>1</v>
      </c>
      <c r="AS595" s="4">
        <f>IF($A595=AS$542,"",COUNTIF($E$4:$E$538,$A595&amp;" ضد "&amp;AS$542)+COUNTIF($E$4:$E$538,AS$542&amp;" ضد "&amp;$A595))</f>
        <v>1</v>
      </c>
      <c r="AT595" s="4">
        <f>IF($A595=AT$542,"",COUNTIF($E$4:$E$538,$A595&amp;" ضد "&amp;AT$542)+COUNTIF($E$4:$E$538,AT$542&amp;" ضد "&amp;$A595))</f>
        <v>1</v>
      </c>
      <c r="AU595" s="4">
        <f>IF($A595=AU$542,"",COUNTIF($E$4:$E$538,$A595&amp;" ضد "&amp;AU$542)+COUNTIF($E$4:$E$538,AU$542&amp;" ضد "&amp;$A595))</f>
        <v>1</v>
      </c>
      <c r="AV595" s="4">
        <f>IF($A595=AV$542,"",COUNTIF($E$4:$E$538,$A595&amp;" ضد "&amp;AV$542)+COUNTIF($E$4:$E$538,AV$542&amp;" ضد "&amp;$A595))</f>
        <v>1</v>
      </c>
      <c r="AW595" s="4">
        <f>IF($A595=AW$542,"",COUNTIF($E$4:$E$538,$A595&amp;" ضد "&amp;AW$542)+COUNTIF($E$4:$E$538,AW$542&amp;" ضد "&amp;$A595))</f>
        <v>1</v>
      </c>
      <c r="AX595" s="4">
        <f>IF($A595=AX$542,"",COUNTIF($E$4:$E$538,$A595&amp;" ضد "&amp;AX$542)+COUNTIF($E$4:$E$538,AX$542&amp;" ضد "&amp;$A595))</f>
        <v>1</v>
      </c>
      <c r="AY595" s="4">
        <f>IF($A595=AY$542,"",COUNTIF($E$4:$E$538,$A595&amp;" ضد "&amp;AY$542)+COUNTIF($E$4:$E$538,AY$542&amp;" ضد "&amp;$A595))</f>
        <v>1</v>
      </c>
      <c r="AZ595" s="4">
        <f>IF($A595=AZ$542,"",COUNTIF($E$4:$E$538,$A595&amp;" ضد "&amp;AZ$542)+COUNTIF($E$4:$E$538,AZ$542&amp;" ضد "&amp;$A595))</f>
        <v>1</v>
      </c>
      <c r="BA595" s="4">
        <f>IF($A595=BA$542,"",COUNTIF($E$4:$E$538,$A595&amp;" ضد "&amp;BA$542)+COUNTIF($E$4:$E$538,BA$542&amp;" ضد "&amp;$A595))</f>
        <v>1</v>
      </c>
      <c r="BB595" s="4" t="str">
        <f>IF($A595=BB$542,"",COUNTIF($E$4:$E$538,$A595&amp;" ضد "&amp;BB$542)+COUNTIF($E$4:$E$538,BB$542&amp;" ضد "&amp;$A595))</f>
        <v/>
      </c>
      <c r="BC595" s="4">
        <f>IF($A595=BC$542,"",COUNTIF($E$4:$E$538,$A595&amp;" ضد "&amp;BC$542)+COUNTIF($E$4:$E$538,BC$542&amp;" ضد "&amp;$A595))</f>
        <v>1</v>
      </c>
      <c r="BD595" s="4">
        <f>IF($A595=BD$542,"",COUNTIF($E$4:$E$538,$A595&amp;" ضد "&amp;BD$542)+COUNTIF($E$4:$E$538,BD$542&amp;" ضد "&amp;$A595))</f>
        <v>1</v>
      </c>
      <c r="BE595" s="4">
        <f>IF($A595=BE$542,"",COUNTIF($E$4:$E$538,$A595&amp;" ضد "&amp;BE$542)+COUNTIF($E$4:$E$538,BE$542&amp;" ضد "&amp;$A595))</f>
        <v>1</v>
      </c>
      <c r="BF595" s="4">
        <f>IF($A595=BF$542,"",COUNTIF($E$4:$E$538,$A595&amp;" ضد "&amp;BF$542)+COUNTIF($E$4:$E$538,BF$542&amp;" ضد "&amp;$A595))</f>
        <v>1</v>
      </c>
      <c r="BG595" s="4">
        <f>IF($A595=BG$542,"",COUNTIF($E$4:$E$538,$A595&amp;" ضد "&amp;BG$542)+COUNTIF($E$4:$E$538,BG$542&amp;" ضد "&amp;$A595))</f>
        <v>1</v>
      </c>
    </row>
    <row r="596" spans="1:59" ht="14.5">
      <c r="A596" s="14">
        <v>54</v>
      </c>
      <c r="B596" s="4">
        <f>IF($A596=B$542,"",COUNTIF($E$4:$E$538,$A596&amp;" ضد "&amp;B$542)+COUNTIF($E$4:$E$538,B$542&amp;" ضد "&amp;$A596))</f>
        <v>0</v>
      </c>
      <c r="C596" s="4">
        <f>IF($A596=C$542,"",COUNTIF($E$4:$E$538,$A596&amp;" ضد "&amp;C$542)+COUNTIF($E$4:$E$538,C$542&amp;" ضد "&amp;$A596))</f>
        <v>0</v>
      </c>
      <c r="D596" s="4">
        <f>IF($A596=D$542,"",COUNTIF($E$4:$E$538,$A596&amp;" ضد "&amp;D$542)+COUNTIF($E$4:$E$538,D$542&amp;" ضد "&amp;$A596))</f>
        <v>0</v>
      </c>
      <c r="E596" s="4">
        <f>IF($A596=E$542,"",COUNTIF($E$4:$E$538,$A596&amp;" ضد "&amp;E$542)+COUNTIF($E$4:$E$538,E$542&amp;" ضد "&amp;$A596))</f>
        <v>0</v>
      </c>
      <c r="F596" s="4">
        <f>IF($A596=F$542,"",COUNTIF($E$4:$E$538,$A596&amp;" ضد "&amp;F$542)+COUNTIF($E$4:$E$538,F$542&amp;" ضد "&amp;$A596))</f>
        <v>0</v>
      </c>
      <c r="G596" s="4">
        <f>IF($A596=G$542,"",COUNTIF($E$4:$E$538,$A596&amp;" ضد "&amp;G$542)+COUNTIF($E$4:$E$538,G$542&amp;" ضد "&amp;$A596))</f>
        <v>0</v>
      </c>
      <c r="H596" s="4">
        <f>IF($A596=H$542,"",COUNTIF($E$4:$E$538,$A596&amp;" ضد "&amp;H$542)+COUNTIF($E$4:$E$538,H$542&amp;" ضد "&amp;$A596))</f>
        <v>0</v>
      </c>
      <c r="I596" s="4">
        <f>IF($A596=I$542,"",COUNTIF($E$4:$E$538,$A596&amp;" ضد "&amp;I$542)+COUNTIF($E$4:$E$538,I$542&amp;" ضد "&amp;$A596))</f>
        <v>0</v>
      </c>
      <c r="J596" s="4">
        <f>IF($A596=J$542,"",COUNTIF($E$4:$E$538,$A596&amp;" ضد "&amp;J$542)+COUNTIF($E$4:$E$538,J$542&amp;" ضد "&amp;$A596))</f>
        <v>0</v>
      </c>
      <c r="K596" s="4">
        <f>IF($A596=K$542,"",COUNTIF($E$4:$E$538,$A596&amp;" ضد "&amp;K$542)+COUNTIF($E$4:$E$538,K$542&amp;" ضد "&amp;$A596))</f>
        <v>0</v>
      </c>
      <c r="L596" s="4">
        <f>IF($A596=L$542,"",COUNTIF($E$4:$E$538,$A596&amp;" ضد "&amp;L$542)+COUNTIF($E$4:$E$538,L$542&amp;" ضد "&amp;$A596))</f>
        <v>0</v>
      </c>
      <c r="M596" s="4">
        <f>IF($A596=M$542,"",COUNTIF($E$4:$E$538,$A596&amp;" ضد "&amp;M$542)+COUNTIF($E$4:$E$538,M$542&amp;" ضد "&amp;$A596))</f>
        <v>0</v>
      </c>
      <c r="N596" s="4">
        <f>IF($A596=N$542,"",COUNTIF($E$4:$E$538,$A596&amp;" ضد "&amp;N$542)+COUNTIF($E$4:$E$538,N$542&amp;" ضد "&amp;$A596))</f>
        <v>0</v>
      </c>
      <c r="O596" s="4">
        <f>IF($A596=O$542,"",COUNTIF($E$4:$E$538,$A596&amp;" ضد "&amp;O$542)+COUNTIF($E$4:$E$538,O$542&amp;" ضد "&amp;$A596))</f>
        <v>0</v>
      </c>
      <c r="P596" s="4">
        <f>IF($A596=P$542,"",COUNTIF($E$4:$E$538,$A596&amp;" ضد "&amp;P$542)+COUNTIF($E$4:$E$538,P$542&amp;" ضد "&amp;$A596))</f>
        <v>0</v>
      </c>
      <c r="Q596" s="4">
        <f>IF($A596=Q$542,"",COUNTIF($E$4:$E$538,$A596&amp;" ضد "&amp;Q$542)+COUNTIF($E$4:$E$538,Q$542&amp;" ضد "&amp;$A596))</f>
        <v>0</v>
      </c>
      <c r="R596" s="4">
        <f>IF($A596=R$542,"",COUNTIF($E$4:$E$538,$A596&amp;" ضد "&amp;R$542)+COUNTIF($E$4:$E$538,R$542&amp;" ضد "&amp;$A596))</f>
        <v>0</v>
      </c>
      <c r="S596" s="4">
        <f>IF($A596=S$542,"",COUNTIF($E$4:$E$538,$A596&amp;" ضد "&amp;S$542)+COUNTIF($E$4:$E$538,S$542&amp;" ضد "&amp;$A596))</f>
        <v>0</v>
      </c>
      <c r="T596" s="4">
        <f>IF($A596=T$542,"",COUNTIF($E$4:$E$538,$A596&amp;" ضد "&amp;T$542)+COUNTIF($E$4:$E$538,T$542&amp;" ضد "&amp;$A596))</f>
        <v>0</v>
      </c>
      <c r="U596" s="4">
        <f>IF($A596=U$542,"",COUNTIF($E$4:$E$538,$A596&amp;" ضد "&amp;U$542)+COUNTIF($E$4:$E$538,U$542&amp;" ضد "&amp;$A596))</f>
        <v>0</v>
      </c>
      <c r="V596" s="4">
        <f>IF($A596=V$542,"",COUNTIF($E$4:$E$538,$A596&amp;" ضد "&amp;V$542)+COUNTIF($E$4:$E$538,V$542&amp;" ضد "&amp;$A596))</f>
        <v>0</v>
      </c>
      <c r="W596" s="4">
        <f>IF($A596=W$542,"",COUNTIF($E$4:$E$538,$A596&amp;" ضد "&amp;W$542)+COUNTIF($E$4:$E$538,W$542&amp;" ضد "&amp;$A596))</f>
        <v>0</v>
      </c>
      <c r="X596" s="4">
        <f>IF($A596=X$542,"",COUNTIF($E$4:$E$538,$A596&amp;" ضد "&amp;X$542)+COUNTIF($E$4:$E$538,X$542&amp;" ضد "&amp;$A596))</f>
        <v>0</v>
      </c>
      <c r="Y596" s="4">
        <f>IF($A596=Y$542,"",COUNTIF($E$4:$E$538,$A596&amp;" ضد "&amp;Y$542)+COUNTIF($E$4:$E$538,Y$542&amp;" ضد "&amp;$A596))</f>
        <v>0</v>
      </c>
      <c r="Z596" s="4">
        <f>IF($A596=Z$542,"",COUNTIF($E$4:$E$538,$A596&amp;" ضد "&amp;Z$542)+COUNTIF($E$4:$E$538,Z$542&amp;" ضد "&amp;$A596))</f>
        <v>0</v>
      </c>
      <c r="AA596" s="4">
        <f>IF($A596=AA$542,"",COUNTIF($E$4:$E$538,$A596&amp;" ضد "&amp;AA$542)+COUNTIF($E$4:$E$538,AA$542&amp;" ضد "&amp;$A596))</f>
        <v>0</v>
      </c>
      <c r="AB596" s="4">
        <f>IF($A596=AB$542,"",COUNTIF($E$4:$E$538,$A596&amp;" ضد "&amp;AB$542)+COUNTIF($E$4:$E$538,AB$542&amp;" ضد "&amp;$A596))</f>
        <v>0</v>
      </c>
      <c r="AC596" s="4">
        <f>IF($A596=AC$542,"",COUNTIF($E$4:$E$538,$A596&amp;" ضد "&amp;AC$542)+COUNTIF($E$4:$E$538,AC$542&amp;" ضد "&amp;$A596))</f>
        <v>0</v>
      </c>
      <c r="AD596" s="4">
        <f>IF($A596=AD$542,"",COUNTIF($E$4:$E$538,$A596&amp;" ضد "&amp;AD$542)+COUNTIF($E$4:$E$538,AD$542&amp;" ضد "&amp;$A596))</f>
        <v>0</v>
      </c>
      <c r="AE596" s="4">
        <f>IF($A596=AE$542,"",COUNTIF($E$4:$E$538,$A596&amp;" ضد "&amp;AE$542)+COUNTIF($E$4:$E$538,AE$542&amp;" ضد "&amp;$A596))</f>
        <v>0</v>
      </c>
      <c r="AF596" s="4">
        <f>IF($A596=AF$542,"",COUNTIF($E$4:$E$538,$A596&amp;" ضد "&amp;AF$542)+COUNTIF($E$4:$E$538,AF$542&amp;" ضد "&amp;$A596))</f>
        <v>0</v>
      </c>
      <c r="AG596" s="4">
        <f>IF($A596=AG$542,"",COUNTIF($E$4:$E$538,$A596&amp;" ضد "&amp;AG$542)+COUNTIF($E$4:$E$538,AG$542&amp;" ضد "&amp;$A596))</f>
        <v>0</v>
      </c>
      <c r="AH596" s="4">
        <f>IF($A596=AH$542,"",COUNTIF($E$4:$E$538,$A596&amp;" ضد "&amp;AH$542)+COUNTIF($E$4:$E$538,AH$542&amp;" ضد "&amp;$A596))</f>
        <v>0</v>
      </c>
      <c r="AI596" s="4">
        <f>IF($A596=AI$542,"",COUNTIF($E$4:$E$538,$A596&amp;" ضد "&amp;AI$542)+COUNTIF($E$4:$E$538,AI$542&amp;" ضد "&amp;$A596))</f>
        <v>0</v>
      </c>
      <c r="AJ596" s="4">
        <f>IF($A596=AJ$542,"",COUNTIF($E$4:$E$538,$A596&amp;" ضد "&amp;AJ$542)+COUNTIF($E$4:$E$538,AJ$542&amp;" ضد "&amp;$A596))</f>
        <v>0</v>
      </c>
      <c r="AK596" s="4">
        <f>IF($A596=AK$542,"",COUNTIF($E$4:$E$538,$A596&amp;" ضد "&amp;AK$542)+COUNTIF($E$4:$E$538,AK$542&amp;" ضد "&amp;$A596))</f>
        <v>0</v>
      </c>
      <c r="AL596" s="4">
        <f>IF($A596=AL$542,"",COUNTIF($E$4:$E$538,$A596&amp;" ضد "&amp;AL$542)+COUNTIF($E$4:$E$538,AL$542&amp;" ضد "&amp;$A596))</f>
        <v>0</v>
      </c>
      <c r="AM596" s="4">
        <f>IF($A596=AM$542,"",COUNTIF($E$4:$E$538,$A596&amp;" ضد "&amp;AM$542)+COUNTIF($E$4:$E$538,AM$542&amp;" ضد "&amp;$A596))</f>
        <v>0</v>
      </c>
      <c r="AN596" s="4">
        <f>IF($A596=AN$542,"",COUNTIF($E$4:$E$538,$A596&amp;" ضد "&amp;AN$542)+COUNTIF($E$4:$E$538,AN$542&amp;" ضد "&amp;$A596))</f>
        <v>0</v>
      </c>
      <c r="AO596" s="4">
        <f>IF($A596=AO$542,"",COUNTIF($E$4:$E$538,$A596&amp;" ضد "&amp;AO$542)+COUNTIF($E$4:$E$538,AO$542&amp;" ضد "&amp;$A596))</f>
        <v>1</v>
      </c>
      <c r="AP596" s="4">
        <f>IF($A596=AP$542,"",COUNTIF($E$4:$E$538,$A596&amp;" ضد "&amp;AP$542)+COUNTIF($E$4:$E$538,AP$542&amp;" ضد "&amp;$A596))</f>
        <v>1</v>
      </c>
      <c r="AQ596" s="4">
        <f>IF($A596=AQ$542,"",COUNTIF($E$4:$E$538,$A596&amp;" ضد "&amp;AQ$542)+COUNTIF($E$4:$E$538,AQ$542&amp;" ضد "&amp;$A596))</f>
        <v>1</v>
      </c>
      <c r="AR596" s="4">
        <f>IF($A596=AR$542,"",COUNTIF($E$4:$E$538,$A596&amp;" ضد "&amp;AR$542)+COUNTIF($E$4:$E$538,AR$542&amp;" ضد "&amp;$A596))</f>
        <v>1</v>
      </c>
      <c r="AS596" s="4">
        <f>IF($A596=AS$542,"",COUNTIF($E$4:$E$538,$A596&amp;" ضد "&amp;AS$542)+COUNTIF($E$4:$E$538,AS$542&amp;" ضد "&amp;$A596))</f>
        <v>1</v>
      </c>
      <c r="AT596" s="4">
        <f>IF($A596=AT$542,"",COUNTIF($E$4:$E$538,$A596&amp;" ضد "&amp;AT$542)+COUNTIF($E$4:$E$538,AT$542&amp;" ضد "&amp;$A596))</f>
        <v>1</v>
      </c>
      <c r="AU596" s="4">
        <f>IF($A596=AU$542,"",COUNTIF($E$4:$E$538,$A596&amp;" ضد "&amp;AU$542)+COUNTIF($E$4:$E$538,AU$542&amp;" ضد "&amp;$A596))</f>
        <v>1</v>
      </c>
      <c r="AV596" s="4">
        <f>IF($A596=AV$542,"",COUNTIF($E$4:$E$538,$A596&amp;" ضد "&amp;AV$542)+COUNTIF($E$4:$E$538,AV$542&amp;" ضد "&amp;$A596))</f>
        <v>1</v>
      </c>
      <c r="AW596" s="4">
        <f>IF($A596=AW$542,"",COUNTIF($E$4:$E$538,$A596&amp;" ضد "&amp;AW$542)+COUNTIF($E$4:$E$538,AW$542&amp;" ضد "&amp;$A596))</f>
        <v>1</v>
      </c>
      <c r="AX596" s="4">
        <f>IF($A596=AX$542,"",COUNTIF($E$4:$E$538,$A596&amp;" ضد "&amp;AX$542)+COUNTIF($E$4:$E$538,AX$542&amp;" ضد "&amp;$A596))</f>
        <v>1</v>
      </c>
      <c r="AY596" s="4">
        <f>IF($A596=AY$542,"",COUNTIF($E$4:$E$538,$A596&amp;" ضد "&amp;AY$542)+COUNTIF($E$4:$E$538,AY$542&amp;" ضد "&amp;$A596))</f>
        <v>1</v>
      </c>
      <c r="AZ596" s="4">
        <f>IF($A596=AZ$542,"",COUNTIF($E$4:$E$538,$A596&amp;" ضد "&amp;AZ$542)+COUNTIF($E$4:$E$538,AZ$542&amp;" ضد "&amp;$A596))</f>
        <v>1</v>
      </c>
      <c r="BA596" s="4">
        <f>IF($A596=BA$542,"",COUNTIF($E$4:$E$538,$A596&amp;" ضد "&amp;BA$542)+COUNTIF($E$4:$E$538,BA$542&amp;" ضد "&amp;$A596))</f>
        <v>1</v>
      </c>
      <c r="BB596" s="4">
        <f>IF($A596=BB$542,"",COUNTIF($E$4:$E$538,$A596&amp;" ضد "&amp;BB$542)+COUNTIF($E$4:$E$538,BB$542&amp;" ضد "&amp;$A596))</f>
        <v>1</v>
      </c>
      <c r="BC596" s="4" t="str">
        <f>IF($A596=BC$542,"",COUNTIF($E$4:$E$538,$A596&amp;" ضد "&amp;BC$542)+COUNTIF($E$4:$E$538,BC$542&amp;" ضد "&amp;$A596))</f>
        <v/>
      </c>
      <c r="BD596" s="4">
        <f>IF($A596=BD$542,"",COUNTIF($E$4:$E$538,$A596&amp;" ضد "&amp;BD$542)+COUNTIF($E$4:$E$538,BD$542&amp;" ضد "&amp;$A596))</f>
        <v>1</v>
      </c>
      <c r="BE596" s="4">
        <f>IF($A596=BE$542,"",COUNTIF($E$4:$E$538,$A596&amp;" ضد "&amp;BE$542)+COUNTIF($E$4:$E$538,BE$542&amp;" ضد "&amp;$A596))</f>
        <v>1</v>
      </c>
      <c r="BF596" s="4">
        <f>IF($A596=BF$542,"",COUNTIF($E$4:$E$538,$A596&amp;" ضد "&amp;BF$542)+COUNTIF($E$4:$E$538,BF$542&amp;" ضد "&amp;$A596))</f>
        <v>1</v>
      </c>
      <c r="BG596" s="4">
        <f>IF($A596=BG$542,"",COUNTIF($E$4:$E$538,$A596&amp;" ضد "&amp;BG$542)+COUNTIF($E$4:$E$538,BG$542&amp;" ضد "&amp;$A596))</f>
        <v>1</v>
      </c>
    </row>
    <row r="597" spans="1:59" ht="14.5">
      <c r="A597" s="14">
        <v>55</v>
      </c>
      <c r="B597" s="4">
        <f>IF($A597=B$542,"",COUNTIF($E$4:$E$538,$A597&amp;" ضد "&amp;B$542)+COUNTIF($E$4:$E$538,B$542&amp;" ضد "&amp;$A597))</f>
        <v>0</v>
      </c>
      <c r="C597" s="4">
        <f>IF($A597=C$542,"",COUNTIF($E$4:$E$538,$A597&amp;" ضد "&amp;C$542)+COUNTIF($E$4:$E$538,C$542&amp;" ضد "&amp;$A597))</f>
        <v>0</v>
      </c>
      <c r="D597" s="4">
        <f>IF($A597=D$542,"",COUNTIF($E$4:$E$538,$A597&amp;" ضد "&amp;D$542)+COUNTIF($E$4:$E$538,D$542&amp;" ضد "&amp;$A597))</f>
        <v>0</v>
      </c>
      <c r="E597" s="4">
        <f>IF($A597=E$542,"",COUNTIF($E$4:$E$538,$A597&amp;" ضد "&amp;E$542)+COUNTIF($E$4:$E$538,E$542&amp;" ضد "&amp;$A597))</f>
        <v>0</v>
      </c>
      <c r="F597" s="4">
        <f>IF($A597=F$542,"",COUNTIF($E$4:$E$538,$A597&amp;" ضد "&amp;F$542)+COUNTIF($E$4:$E$538,F$542&amp;" ضد "&amp;$A597))</f>
        <v>0</v>
      </c>
      <c r="G597" s="4">
        <f>IF($A597=G$542,"",COUNTIF($E$4:$E$538,$A597&amp;" ضد "&amp;G$542)+COUNTIF($E$4:$E$538,G$542&amp;" ضد "&amp;$A597))</f>
        <v>0</v>
      </c>
      <c r="H597" s="4">
        <f>IF($A597=H$542,"",COUNTIF($E$4:$E$538,$A597&amp;" ضد "&amp;H$542)+COUNTIF($E$4:$E$538,H$542&amp;" ضد "&amp;$A597))</f>
        <v>0</v>
      </c>
      <c r="I597" s="4">
        <f>IF($A597=I$542,"",COUNTIF($E$4:$E$538,$A597&amp;" ضد "&amp;I$542)+COUNTIF($E$4:$E$538,I$542&amp;" ضد "&amp;$A597))</f>
        <v>0</v>
      </c>
      <c r="J597" s="4">
        <f>IF($A597=J$542,"",COUNTIF($E$4:$E$538,$A597&amp;" ضد "&amp;J$542)+COUNTIF($E$4:$E$538,J$542&amp;" ضد "&amp;$A597))</f>
        <v>0</v>
      </c>
      <c r="K597" s="4">
        <f>IF($A597=K$542,"",COUNTIF($E$4:$E$538,$A597&amp;" ضد "&amp;K$542)+COUNTIF($E$4:$E$538,K$542&amp;" ضد "&amp;$A597))</f>
        <v>0</v>
      </c>
      <c r="L597" s="4">
        <f>IF($A597=L$542,"",COUNTIF($E$4:$E$538,$A597&amp;" ضد "&amp;L$542)+COUNTIF($E$4:$E$538,L$542&amp;" ضد "&amp;$A597))</f>
        <v>0</v>
      </c>
      <c r="M597" s="4">
        <f>IF($A597=M$542,"",COUNTIF($E$4:$E$538,$A597&amp;" ضد "&amp;M$542)+COUNTIF($E$4:$E$538,M$542&amp;" ضد "&amp;$A597))</f>
        <v>0</v>
      </c>
      <c r="N597" s="4">
        <f>IF($A597=N$542,"",COUNTIF($E$4:$E$538,$A597&amp;" ضد "&amp;N$542)+COUNTIF($E$4:$E$538,N$542&amp;" ضد "&amp;$A597))</f>
        <v>0</v>
      </c>
      <c r="O597" s="4">
        <f>IF($A597=O$542,"",COUNTIF($E$4:$E$538,$A597&amp;" ضد "&amp;O$542)+COUNTIF($E$4:$E$538,O$542&amp;" ضد "&amp;$A597))</f>
        <v>0</v>
      </c>
      <c r="P597" s="4">
        <f>IF($A597=P$542,"",COUNTIF($E$4:$E$538,$A597&amp;" ضد "&amp;P$542)+COUNTIF($E$4:$E$538,P$542&amp;" ضد "&amp;$A597))</f>
        <v>0</v>
      </c>
      <c r="Q597" s="4">
        <f>IF($A597=Q$542,"",COUNTIF($E$4:$E$538,$A597&amp;" ضد "&amp;Q$542)+COUNTIF($E$4:$E$538,Q$542&amp;" ضد "&amp;$A597))</f>
        <v>0</v>
      </c>
      <c r="R597" s="4">
        <f>IF($A597=R$542,"",COUNTIF($E$4:$E$538,$A597&amp;" ضد "&amp;R$542)+COUNTIF($E$4:$E$538,R$542&amp;" ضد "&amp;$A597))</f>
        <v>0</v>
      </c>
      <c r="S597" s="4">
        <f>IF($A597=S$542,"",COUNTIF($E$4:$E$538,$A597&amp;" ضد "&amp;S$542)+COUNTIF($E$4:$E$538,S$542&amp;" ضد "&amp;$A597))</f>
        <v>0</v>
      </c>
      <c r="T597" s="4">
        <f>IF($A597=T$542,"",COUNTIF($E$4:$E$538,$A597&amp;" ضد "&amp;T$542)+COUNTIF($E$4:$E$538,T$542&amp;" ضد "&amp;$A597))</f>
        <v>0</v>
      </c>
      <c r="U597" s="4">
        <f>IF($A597=U$542,"",COUNTIF($E$4:$E$538,$A597&amp;" ضد "&amp;U$542)+COUNTIF($E$4:$E$538,U$542&amp;" ضد "&amp;$A597))</f>
        <v>0</v>
      </c>
      <c r="V597" s="4">
        <f>IF($A597=V$542,"",COUNTIF($E$4:$E$538,$A597&amp;" ضد "&amp;V$542)+COUNTIF($E$4:$E$538,V$542&amp;" ضد "&amp;$A597))</f>
        <v>0</v>
      </c>
      <c r="W597" s="4">
        <f>IF($A597=W$542,"",COUNTIF($E$4:$E$538,$A597&amp;" ضد "&amp;W$542)+COUNTIF($E$4:$E$538,W$542&amp;" ضد "&amp;$A597))</f>
        <v>0</v>
      </c>
      <c r="X597" s="4">
        <f>IF($A597=X$542,"",COUNTIF($E$4:$E$538,$A597&amp;" ضد "&amp;X$542)+COUNTIF($E$4:$E$538,X$542&amp;" ضد "&amp;$A597))</f>
        <v>0</v>
      </c>
      <c r="Y597" s="4">
        <f>IF($A597=Y$542,"",COUNTIF($E$4:$E$538,$A597&amp;" ضد "&amp;Y$542)+COUNTIF($E$4:$E$538,Y$542&amp;" ضد "&amp;$A597))</f>
        <v>0</v>
      </c>
      <c r="Z597" s="4">
        <f>IF($A597=Z$542,"",COUNTIF($E$4:$E$538,$A597&amp;" ضد "&amp;Z$542)+COUNTIF($E$4:$E$538,Z$542&amp;" ضد "&amp;$A597))</f>
        <v>0</v>
      </c>
      <c r="AA597" s="4">
        <f>IF($A597=AA$542,"",COUNTIF($E$4:$E$538,$A597&amp;" ضد "&amp;AA$542)+COUNTIF($E$4:$E$538,AA$542&amp;" ضد "&amp;$A597))</f>
        <v>0</v>
      </c>
      <c r="AB597" s="4">
        <f>IF($A597=AB$542,"",COUNTIF($E$4:$E$538,$A597&amp;" ضد "&amp;AB$542)+COUNTIF($E$4:$E$538,AB$542&amp;" ضد "&amp;$A597))</f>
        <v>0</v>
      </c>
      <c r="AC597" s="4">
        <f>IF($A597=AC$542,"",COUNTIF($E$4:$E$538,$A597&amp;" ضد "&amp;AC$542)+COUNTIF($E$4:$E$538,AC$542&amp;" ضد "&amp;$A597))</f>
        <v>0</v>
      </c>
      <c r="AD597" s="4">
        <f>IF($A597=AD$542,"",COUNTIF($E$4:$E$538,$A597&amp;" ضد "&amp;AD$542)+COUNTIF($E$4:$E$538,AD$542&amp;" ضد "&amp;$A597))</f>
        <v>0</v>
      </c>
      <c r="AE597" s="4">
        <f>IF($A597=AE$542,"",COUNTIF($E$4:$E$538,$A597&amp;" ضد "&amp;AE$542)+COUNTIF($E$4:$E$538,AE$542&amp;" ضد "&amp;$A597))</f>
        <v>0</v>
      </c>
      <c r="AF597" s="4">
        <f>IF($A597=AF$542,"",COUNTIF($E$4:$E$538,$A597&amp;" ضد "&amp;AF$542)+COUNTIF($E$4:$E$538,AF$542&amp;" ضد "&amp;$A597))</f>
        <v>0</v>
      </c>
      <c r="AG597" s="4">
        <f>IF($A597=AG$542,"",COUNTIF($E$4:$E$538,$A597&amp;" ضد "&amp;AG$542)+COUNTIF($E$4:$E$538,AG$542&amp;" ضد "&amp;$A597))</f>
        <v>0</v>
      </c>
      <c r="AH597" s="4">
        <f>IF($A597=AH$542,"",COUNTIF($E$4:$E$538,$A597&amp;" ضد "&amp;AH$542)+COUNTIF($E$4:$E$538,AH$542&amp;" ضد "&amp;$A597))</f>
        <v>0</v>
      </c>
      <c r="AI597" s="4">
        <f>IF($A597=AI$542,"",COUNTIF($E$4:$E$538,$A597&amp;" ضد "&amp;AI$542)+COUNTIF($E$4:$E$538,AI$542&amp;" ضد "&amp;$A597))</f>
        <v>0</v>
      </c>
      <c r="AJ597" s="4">
        <f>IF($A597=AJ$542,"",COUNTIF($E$4:$E$538,$A597&amp;" ضد "&amp;AJ$542)+COUNTIF($E$4:$E$538,AJ$542&amp;" ضد "&amp;$A597))</f>
        <v>0</v>
      </c>
      <c r="AK597" s="4">
        <f>IF($A597=AK$542,"",COUNTIF($E$4:$E$538,$A597&amp;" ضد "&amp;AK$542)+COUNTIF($E$4:$E$538,AK$542&amp;" ضد "&amp;$A597))</f>
        <v>0</v>
      </c>
      <c r="AL597" s="4">
        <f>IF($A597=AL$542,"",COUNTIF($E$4:$E$538,$A597&amp;" ضد "&amp;AL$542)+COUNTIF($E$4:$E$538,AL$542&amp;" ضد "&amp;$A597))</f>
        <v>0</v>
      </c>
      <c r="AM597" s="4">
        <f>IF($A597=AM$542,"",COUNTIF($E$4:$E$538,$A597&amp;" ضد "&amp;AM$542)+COUNTIF($E$4:$E$538,AM$542&amp;" ضد "&amp;$A597))</f>
        <v>0</v>
      </c>
      <c r="AN597" s="4">
        <f>IF($A597=AN$542,"",COUNTIF($E$4:$E$538,$A597&amp;" ضد "&amp;AN$542)+COUNTIF($E$4:$E$538,AN$542&amp;" ضد "&amp;$A597))</f>
        <v>0</v>
      </c>
      <c r="AO597" s="4">
        <f>IF($A597=AO$542,"",COUNTIF($E$4:$E$538,$A597&amp;" ضد "&amp;AO$542)+COUNTIF($E$4:$E$538,AO$542&amp;" ضد "&amp;$A597))</f>
        <v>1</v>
      </c>
      <c r="AP597" s="4">
        <f>IF($A597=AP$542,"",COUNTIF($E$4:$E$538,$A597&amp;" ضد "&amp;AP$542)+COUNTIF($E$4:$E$538,AP$542&amp;" ضد "&amp;$A597))</f>
        <v>1</v>
      </c>
      <c r="AQ597" s="4">
        <f>IF($A597=AQ$542,"",COUNTIF($E$4:$E$538,$A597&amp;" ضد "&amp;AQ$542)+COUNTIF($E$4:$E$538,AQ$542&amp;" ضد "&amp;$A597))</f>
        <v>1</v>
      </c>
      <c r="AR597" s="4">
        <f>IF($A597=AR$542,"",COUNTIF($E$4:$E$538,$A597&amp;" ضد "&amp;AR$542)+COUNTIF($E$4:$E$538,AR$542&amp;" ضد "&amp;$A597))</f>
        <v>1</v>
      </c>
      <c r="AS597" s="4">
        <f>IF($A597=AS$542,"",COUNTIF($E$4:$E$538,$A597&amp;" ضد "&amp;AS$542)+COUNTIF($E$4:$E$538,AS$542&amp;" ضد "&amp;$A597))</f>
        <v>1</v>
      </c>
      <c r="AT597" s="4">
        <f>IF($A597=AT$542,"",COUNTIF($E$4:$E$538,$A597&amp;" ضد "&amp;AT$542)+COUNTIF($E$4:$E$538,AT$542&amp;" ضد "&amp;$A597))</f>
        <v>1</v>
      </c>
      <c r="AU597" s="4">
        <f>IF($A597=AU$542,"",COUNTIF($E$4:$E$538,$A597&amp;" ضد "&amp;AU$542)+COUNTIF($E$4:$E$538,AU$542&amp;" ضد "&amp;$A597))</f>
        <v>1</v>
      </c>
      <c r="AV597" s="4">
        <f>IF($A597=AV$542,"",COUNTIF($E$4:$E$538,$A597&amp;" ضد "&amp;AV$542)+COUNTIF($E$4:$E$538,AV$542&amp;" ضد "&amp;$A597))</f>
        <v>1</v>
      </c>
      <c r="AW597" s="4">
        <f>IF($A597=AW$542,"",COUNTIF($E$4:$E$538,$A597&amp;" ضد "&amp;AW$542)+COUNTIF($E$4:$E$538,AW$542&amp;" ضد "&amp;$A597))</f>
        <v>1</v>
      </c>
      <c r="AX597" s="4">
        <f>IF($A597=AX$542,"",COUNTIF($E$4:$E$538,$A597&amp;" ضد "&amp;AX$542)+COUNTIF($E$4:$E$538,AX$542&amp;" ضد "&amp;$A597))</f>
        <v>1</v>
      </c>
      <c r="AY597" s="4">
        <f>IF($A597=AY$542,"",COUNTIF($E$4:$E$538,$A597&amp;" ضد "&amp;AY$542)+COUNTIF($E$4:$E$538,AY$542&amp;" ضد "&amp;$A597))</f>
        <v>1</v>
      </c>
      <c r="AZ597" s="4">
        <f>IF($A597=AZ$542,"",COUNTIF($E$4:$E$538,$A597&amp;" ضد "&amp;AZ$542)+COUNTIF($E$4:$E$538,AZ$542&amp;" ضد "&amp;$A597))</f>
        <v>1</v>
      </c>
      <c r="BA597" s="4">
        <f>IF($A597=BA$542,"",COUNTIF($E$4:$E$538,$A597&amp;" ضد "&amp;BA$542)+COUNTIF($E$4:$E$538,BA$542&amp;" ضد "&amp;$A597))</f>
        <v>1</v>
      </c>
      <c r="BB597" s="4">
        <f>IF($A597=BB$542,"",COUNTIF($E$4:$E$538,$A597&amp;" ضد "&amp;BB$542)+COUNTIF($E$4:$E$538,BB$542&amp;" ضد "&amp;$A597))</f>
        <v>1</v>
      </c>
      <c r="BC597" s="4">
        <f>IF($A597=BC$542,"",COUNTIF($E$4:$E$538,$A597&amp;" ضد "&amp;BC$542)+COUNTIF($E$4:$E$538,BC$542&amp;" ضد "&amp;$A597))</f>
        <v>1</v>
      </c>
      <c r="BD597" s="4" t="str">
        <f>IF($A597=BD$542,"",COUNTIF($E$4:$E$538,$A597&amp;" ضد "&amp;BD$542)+COUNTIF($E$4:$E$538,BD$542&amp;" ضد "&amp;$A597))</f>
        <v/>
      </c>
      <c r="BE597" s="4">
        <f>IF($A597=BE$542,"",COUNTIF($E$4:$E$538,$A597&amp;" ضد "&amp;BE$542)+COUNTIF($E$4:$E$538,BE$542&amp;" ضد "&amp;$A597))</f>
        <v>1</v>
      </c>
      <c r="BF597" s="4">
        <f>IF($A597=BF$542,"",COUNTIF($E$4:$E$538,$A597&amp;" ضد "&amp;BF$542)+COUNTIF($E$4:$E$538,BF$542&amp;" ضد "&amp;$A597))</f>
        <v>1</v>
      </c>
      <c r="BG597" s="4">
        <f>IF($A597=BG$542,"",COUNTIF($E$4:$E$538,$A597&amp;" ضد "&amp;BG$542)+COUNTIF($E$4:$E$538,BG$542&amp;" ضد "&amp;$A597))</f>
        <v>1</v>
      </c>
    </row>
    <row r="598" spans="1:59" ht="14.5">
      <c r="A598" s="14">
        <v>56</v>
      </c>
      <c r="B598" s="4">
        <f>IF($A598=B$542,"",COUNTIF($E$4:$E$538,$A598&amp;" ضد "&amp;B$542)+COUNTIF($E$4:$E$538,B$542&amp;" ضد "&amp;$A598))</f>
        <v>0</v>
      </c>
      <c r="C598" s="4">
        <f>IF($A598=C$542,"",COUNTIF($E$4:$E$538,$A598&amp;" ضد "&amp;C$542)+COUNTIF($E$4:$E$538,C$542&amp;" ضد "&amp;$A598))</f>
        <v>0</v>
      </c>
      <c r="D598" s="4">
        <f>IF($A598=D$542,"",COUNTIF($E$4:$E$538,$A598&amp;" ضد "&amp;D$542)+COUNTIF($E$4:$E$538,D$542&amp;" ضد "&amp;$A598))</f>
        <v>0</v>
      </c>
      <c r="E598" s="4">
        <f>IF($A598=E$542,"",COUNTIF($E$4:$E$538,$A598&amp;" ضد "&amp;E$542)+COUNTIF($E$4:$E$538,E$542&amp;" ضد "&amp;$A598))</f>
        <v>0</v>
      </c>
      <c r="F598" s="4">
        <f>IF($A598=F$542,"",COUNTIF($E$4:$E$538,$A598&amp;" ضد "&amp;F$542)+COUNTIF($E$4:$E$538,F$542&amp;" ضد "&amp;$A598))</f>
        <v>0</v>
      </c>
      <c r="G598" s="4">
        <f>IF($A598=G$542,"",COUNTIF($E$4:$E$538,$A598&amp;" ضد "&amp;G$542)+COUNTIF($E$4:$E$538,G$542&amp;" ضد "&amp;$A598))</f>
        <v>0</v>
      </c>
      <c r="H598" s="4">
        <f>IF($A598=H$542,"",COUNTIF($E$4:$E$538,$A598&amp;" ضد "&amp;H$542)+COUNTIF($E$4:$E$538,H$542&amp;" ضد "&amp;$A598))</f>
        <v>0</v>
      </c>
      <c r="I598" s="4">
        <f>IF($A598=I$542,"",COUNTIF($E$4:$E$538,$A598&amp;" ضد "&amp;I$542)+COUNTIF($E$4:$E$538,I$542&amp;" ضد "&amp;$A598))</f>
        <v>0</v>
      </c>
      <c r="J598" s="4">
        <f>IF($A598=J$542,"",COUNTIF($E$4:$E$538,$A598&amp;" ضد "&amp;J$542)+COUNTIF($E$4:$E$538,J$542&amp;" ضد "&amp;$A598))</f>
        <v>0</v>
      </c>
      <c r="K598" s="4">
        <f>IF($A598=K$542,"",COUNTIF($E$4:$E$538,$A598&amp;" ضد "&amp;K$542)+COUNTIF($E$4:$E$538,K$542&amp;" ضد "&amp;$A598))</f>
        <v>0</v>
      </c>
      <c r="L598" s="4">
        <f>IF($A598=L$542,"",COUNTIF($E$4:$E$538,$A598&amp;" ضد "&amp;L$542)+COUNTIF($E$4:$E$538,L$542&amp;" ضد "&amp;$A598))</f>
        <v>0</v>
      </c>
      <c r="M598" s="4">
        <f>IF($A598=M$542,"",COUNTIF($E$4:$E$538,$A598&amp;" ضد "&amp;M$542)+COUNTIF($E$4:$E$538,M$542&amp;" ضد "&amp;$A598))</f>
        <v>0</v>
      </c>
      <c r="N598" s="4">
        <f>IF($A598=N$542,"",COUNTIF($E$4:$E$538,$A598&amp;" ضد "&amp;N$542)+COUNTIF($E$4:$E$538,N$542&amp;" ضد "&amp;$A598))</f>
        <v>0</v>
      </c>
      <c r="O598" s="4">
        <f>IF($A598=O$542,"",COUNTIF($E$4:$E$538,$A598&amp;" ضد "&amp;O$542)+COUNTIF($E$4:$E$538,O$542&amp;" ضد "&amp;$A598))</f>
        <v>0</v>
      </c>
      <c r="P598" s="4">
        <f>IF($A598=P$542,"",COUNTIF($E$4:$E$538,$A598&amp;" ضد "&amp;P$542)+COUNTIF($E$4:$E$538,P$542&amp;" ضد "&amp;$A598))</f>
        <v>0</v>
      </c>
      <c r="Q598" s="4">
        <f>IF($A598=Q$542,"",COUNTIF($E$4:$E$538,$A598&amp;" ضد "&amp;Q$542)+COUNTIF($E$4:$E$538,Q$542&amp;" ضد "&amp;$A598))</f>
        <v>0</v>
      </c>
      <c r="R598" s="4">
        <f>IF($A598=R$542,"",COUNTIF($E$4:$E$538,$A598&amp;" ضد "&amp;R$542)+COUNTIF($E$4:$E$538,R$542&amp;" ضد "&amp;$A598))</f>
        <v>0</v>
      </c>
      <c r="S598" s="4">
        <f>IF($A598=S$542,"",COUNTIF($E$4:$E$538,$A598&amp;" ضد "&amp;S$542)+COUNTIF($E$4:$E$538,S$542&amp;" ضد "&amp;$A598))</f>
        <v>0</v>
      </c>
      <c r="T598" s="4">
        <f>IF($A598=T$542,"",COUNTIF($E$4:$E$538,$A598&amp;" ضد "&amp;T$542)+COUNTIF($E$4:$E$538,T$542&amp;" ضد "&amp;$A598))</f>
        <v>0</v>
      </c>
      <c r="U598" s="4">
        <f>IF($A598=U$542,"",COUNTIF($E$4:$E$538,$A598&amp;" ضد "&amp;U$542)+COUNTIF($E$4:$E$538,U$542&amp;" ضد "&amp;$A598))</f>
        <v>0</v>
      </c>
      <c r="V598" s="4">
        <f>IF($A598=V$542,"",COUNTIF($E$4:$E$538,$A598&amp;" ضد "&amp;V$542)+COUNTIF($E$4:$E$538,V$542&amp;" ضد "&amp;$A598))</f>
        <v>0</v>
      </c>
      <c r="W598" s="4">
        <f>IF($A598=W$542,"",COUNTIF($E$4:$E$538,$A598&amp;" ضد "&amp;W$542)+COUNTIF($E$4:$E$538,W$542&amp;" ضد "&amp;$A598))</f>
        <v>0</v>
      </c>
      <c r="X598" s="4">
        <f>IF($A598=X$542,"",COUNTIF($E$4:$E$538,$A598&amp;" ضد "&amp;X$542)+COUNTIF($E$4:$E$538,X$542&amp;" ضد "&amp;$A598))</f>
        <v>0</v>
      </c>
      <c r="Y598" s="4">
        <f>IF($A598=Y$542,"",COUNTIF($E$4:$E$538,$A598&amp;" ضد "&amp;Y$542)+COUNTIF($E$4:$E$538,Y$542&amp;" ضد "&amp;$A598))</f>
        <v>0</v>
      </c>
      <c r="Z598" s="4">
        <f>IF($A598=Z$542,"",COUNTIF($E$4:$E$538,$A598&amp;" ضد "&amp;Z$542)+COUNTIF($E$4:$E$538,Z$542&amp;" ضد "&amp;$A598))</f>
        <v>0</v>
      </c>
      <c r="AA598" s="4">
        <f>IF($A598=AA$542,"",COUNTIF($E$4:$E$538,$A598&amp;" ضد "&amp;AA$542)+COUNTIF($E$4:$E$538,AA$542&amp;" ضد "&amp;$A598))</f>
        <v>0</v>
      </c>
      <c r="AB598" s="4">
        <f>IF($A598=AB$542,"",COUNTIF($E$4:$E$538,$A598&amp;" ضد "&amp;AB$542)+COUNTIF($E$4:$E$538,AB$542&amp;" ضد "&amp;$A598))</f>
        <v>0</v>
      </c>
      <c r="AC598" s="4">
        <f>IF($A598=AC$542,"",COUNTIF($E$4:$E$538,$A598&amp;" ضد "&amp;AC$542)+COUNTIF($E$4:$E$538,AC$542&amp;" ضد "&amp;$A598))</f>
        <v>0</v>
      </c>
      <c r="AD598" s="4">
        <f>IF($A598=AD$542,"",COUNTIF($E$4:$E$538,$A598&amp;" ضد "&amp;AD$542)+COUNTIF($E$4:$E$538,AD$542&amp;" ضد "&amp;$A598))</f>
        <v>0</v>
      </c>
      <c r="AE598" s="4">
        <f>IF($A598=AE$542,"",COUNTIF($E$4:$E$538,$A598&amp;" ضد "&amp;AE$542)+COUNTIF($E$4:$E$538,AE$542&amp;" ضد "&amp;$A598))</f>
        <v>0</v>
      </c>
      <c r="AF598" s="4">
        <f>IF($A598=AF$542,"",COUNTIF($E$4:$E$538,$A598&amp;" ضد "&amp;AF$542)+COUNTIF($E$4:$E$538,AF$542&amp;" ضد "&amp;$A598))</f>
        <v>0</v>
      </c>
      <c r="AG598" s="4">
        <f>IF($A598=AG$542,"",COUNTIF($E$4:$E$538,$A598&amp;" ضد "&amp;AG$542)+COUNTIF($E$4:$E$538,AG$542&amp;" ضد "&amp;$A598))</f>
        <v>0</v>
      </c>
      <c r="AH598" s="4">
        <f>IF($A598=AH$542,"",COUNTIF($E$4:$E$538,$A598&amp;" ضد "&amp;AH$542)+COUNTIF($E$4:$E$538,AH$542&amp;" ضد "&amp;$A598))</f>
        <v>0</v>
      </c>
      <c r="AI598" s="4">
        <f>IF($A598=AI$542,"",COUNTIF($E$4:$E$538,$A598&amp;" ضد "&amp;AI$542)+COUNTIF($E$4:$E$538,AI$542&amp;" ضد "&amp;$A598))</f>
        <v>0</v>
      </c>
      <c r="AJ598" s="4">
        <f>IF($A598=AJ$542,"",COUNTIF($E$4:$E$538,$A598&amp;" ضد "&amp;AJ$542)+COUNTIF($E$4:$E$538,AJ$542&amp;" ضد "&amp;$A598))</f>
        <v>0</v>
      </c>
      <c r="AK598" s="4">
        <f>IF($A598=AK$542,"",COUNTIF($E$4:$E$538,$A598&amp;" ضد "&amp;AK$542)+COUNTIF($E$4:$E$538,AK$542&amp;" ضد "&amp;$A598))</f>
        <v>0</v>
      </c>
      <c r="AL598" s="4">
        <f>IF($A598=AL$542,"",COUNTIF($E$4:$E$538,$A598&amp;" ضد "&amp;AL$542)+COUNTIF($E$4:$E$538,AL$542&amp;" ضد "&amp;$A598))</f>
        <v>0</v>
      </c>
      <c r="AM598" s="4">
        <f>IF($A598=AM$542,"",COUNTIF($E$4:$E$538,$A598&amp;" ضد "&amp;AM$542)+COUNTIF($E$4:$E$538,AM$542&amp;" ضد "&amp;$A598))</f>
        <v>0</v>
      </c>
      <c r="AN598" s="4">
        <f>IF($A598=AN$542,"",COUNTIF($E$4:$E$538,$A598&amp;" ضد "&amp;AN$542)+COUNTIF($E$4:$E$538,AN$542&amp;" ضد "&amp;$A598))</f>
        <v>0</v>
      </c>
      <c r="AO598" s="4">
        <f>IF($A598=AO$542,"",COUNTIF($E$4:$E$538,$A598&amp;" ضد "&amp;AO$542)+COUNTIF($E$4:$E$538,AO$542&amp;" ضد "&amp;$A598))</f>
        <v>1</v>
      </c>
      <c r="AP598" s="4">
        <f>IF($A598=AP$542,"",COUNTIF($E$4:$E$538,$A598&amp;" ضد "&amp;AP$542)+COUNTIF($E$4:$E$538,AP$542&amp;" ضد "&amp;$A598))</f>
        <v>1</v>
      </c>
      <c r="AQ598" s="4">
        <f>IF($A598=AQ$542,"",COUNTIF($E$4:$E$538,$A598&amp;" ضد "&amp;AQ$542)+COUNTIF($E$4:$E$538,AQ$542&amp;" ضد "&amp;$A598))</f>
        <v>1</v>
      </c>
      <c r="AR598" s="4">
        <f>IF($A598=AR$542,"",COUNTIF($E$4:$E$538,$A598&amp;" ضد "&amp;AR$542)+COUNTIF($E$4:$E$538,AR$542&amp;" ضد "&amp;$A598))</f>
        <v>1</v>
      </c>
      <c r="AS598" s="4">
        <f>IF($A598=AS$542,"",COUNTIF($E$4:$E$538,$A598&amp;" ضد "&amp;AS$542)+COUNTIF($E$4:$E$538,AS$542&amp;" ضد "&amp;$A598))</f>
        <v>1</v>
      </c>
      <c r="AT598" s="4">
        <f>IF($A598=AT$542,"",COUNTIF($E$4:$E$538,$A598&amp;" ضد "&amp;AT$542)+COUNTIF($E$4:$E$538,AT$542&amp;" ضد "&amp;$A598))</f>
        <v>1</v>
      </c>
      <c r="AU598" s="4">
        <f>IF($A598=AU$542,"",COUNTIF($E$4:$E$538,$A598&amp;" ضد "&amp;AU$542)+COUNTIF($E$4:$E$538,AU$542&amp;" ضد "&amp;$A598))</f>
        <v>1</v>
      </c>
      <c r="AV598" s="4">
        <f>IF($A598=AV$542,"",COUNTIF($E$4:$E$538,$A598&amp;" ضد "&amp;AV$542)+COUNTIF($E$4:$E$538,AV$542&amp;" ضد "&amp;$A598))</f>
        <v>1</v>
      </c>
      <c r="AW598" s="4">
        <f>IF($A598=AW$542,"",COUNTIF($E$4:$E$538,$A598&amp;" ضد "&amp;AW$542)+COUNTIF($E$4:$E$538,AW$542&amp;" ضد "&amp;$A598))</f>
        <v>1</v>
      </c>
      <c r="AX598" s="4">
        <f>IF($A598=AX$542,"",COUNTIF($E$4:$E$538,$A598&amp;" ضد "&amp;AX$542)+COUNTIF($E$4:$E$538,AX$542&amp;" ضد "&amp;$A598))</f>
        <v>1</v>
      </c>
      <c r="AY598" s="4">
        <f>IF($A598=AY$542,"",COUNTIF($E$4:$E$538,$A598&amp;" ضد "&amp;AY$542)+COUNTIF($E$4:$E$538,AY$542&amp;" ضد "&amp;$A598))</f>
        <v>1</v>
      </c>
      <c r="AZ598" s="4">
        <f>IF($A598=AZ$542,"",COUNTIF($E$4:$E$538,$A598&amp;" ضد "&amp;AZ$542)+COUNTIF($E$4:$E$538,AZ$542&amp;" ضد "&amp;$A598))</f>
        <v>1</v>
      </c>
      <c r="BA598" s="4">
        <f>IF($A598=BA$542,"",COUNTIF($E$4:$E$538,$A598&amp;" ضد "&amp;BA$542)+COUNTIF($E$4:$E$538,BA$542&amp;" ضد "&amp;$A598))</f>
        <v>1</v>
      </c>
      <c r="BB598" s="4">
        <f>IF($A598=BB$542,"",COUNTIF($E$4:$E$538,$A598&amp;" ضد "&amp;BB$542)+COUNTIF($E$4:$E$538,BB$542&amp;" ضد "&amp;$A598))</f>
        <v>1</v>
      </c>
      <c r="BC598" s="4">
        <f>IF($A598=BC$542,"",COUNTIF($E$4:$E$538,$A598&amp;" ضد "&amp;BC$542)+COUNTIF($E$4:$E$538,BC$542&amp;" ضد "&amp;$A598))</f>
        <v>1</v>
      </c>
      <c r="BD598" s="4">
        <f>IF($A598=BD$542,"",COUNTIF($E$4:$E$538,$A598&amp;" ضد "&amp;BD$542)+COUNTIF($E$4:$E$538,BD$542&amp;" ضد "&amp;$A598))</f>
        <v>1</v>
      </c>
      <c r="BE598" s="4" t="str">
        <f>IF($A598=BE$542,"",COUNTIF($E$4:$E$538,$A598&amp;" ضد "&amp;BE$542)+COUNTIF($E$4:$E$538,BE$542&amp;" ضد "&amp;$A598))</f>
        <v/>
      </c>
      <c r="BF598" s="4">
        <f>IF($A598=BF$542,"",COUNTIF($E$4:$E$538,$A598&amp;" ضد "&amp;BF$542)+COUNTIF($E$4:$E$538,BF$542&amp;" ضد "&amp;$A598))</f>
        <v>1</v>
      </c>
      <c r="BG598" s="4">
        <f>IF($A598=BG$542,"",COUNTIF($E$4:$E$538,$A598&amp;" ضد "&amp;BG$542)+COUNTIF($E$4:$E$538,BG$542&amp;" ضد "&amp;$A598))</f>
        <v>1</v>
      </c>
    </row>
    <row r="599" spans="1:59" ht="14.5">
      <c r="A599" s="14">
        <v>57</v>
      </c>
      <c r="B599" s="4">
        <f>IF($A599=B$542,"",COUNTIF($E$4:$E$538,$A599&amp;" ضد "&amp;B$542)+COUNTIF($E$4:$E$538,B$542&amp;" ضد "&amp;$A599))</f>
        <v>0</v>
      </c>
      <c r="C599" s="4">
        <f>IF($A599=C$542,"",COUNTIF($E$4:$E$538,$A599&amp;" ضد "&amp;C$542)+COUNTIF($E$4:$E$538,C$542&amp;" ضد "&amp;$A599))</f>
        <v>0</v>
      </c>
      <c r="D599" s="4">
        <f>IF($A599=D$542,"",COUNTIF($E$4:$E$538,$A599&amp;" ضد "&amp;D$542)+COUNTIF($E$4:$E$538,D$542&amp;" ضد "&amp;$A599))</f>
        <v>0</v>
      </c>
      <c r="E599" s="4">
        <f>IF($A599=E$542,"",COUNTIF($E$4:$E$538,$A599&amp;" ضد "&amp;E$542)+COUNTIF($E$4:$E$538,E$542&amp;" ضد "&amp;$A599))</f>
        <v>0</v>
      </c>
      <c r="F599" s="4">
        <f>IF($A599=F$542,"",COUNTIF($E$4:$E$538,$A599&amp;" ضد "&amp;F$542)+COUNTIF($E$4:$E$538,F$542&amp;" ضد "&amp;$A599))</f>
        <v>0</v>
      </c>
      <c r="G599" s="4">
        <f>IF($A599=G$542,"",COUNTIF($E$4:$E$538,$A599&amp;" ضد "&amp;G$542)+COUNTIF($E$4:$E$538,G$542&amp;" ضد "&amp;$A599))</f>
        <v>0</v>
      </c>
      <c r="H599" s="4">
        <f>IF($A599=H$542,"",COUNTIF($E$4:$E$538,$A599&amp;" ضد "&amp;H$542)+COUNTIF($E$4:$E$538,H$542&amp;" ضد "&amp;$A599))</f>
        <v>0</v>
      </c>
      <c r="I599" s="4">
        <f>IF($A599=I$542,"",COUNTIF($E$4:$E$538,$A599&amp;" ضد "&amp;I$542)+COUNTIF($E$4:$E$538,I$542&amp;" ضد "&amp;$A599))</f>
        <v>0</v>
      </c>
      <c r="J599" s="4">
        <f>IF($A599=J$542,"",COUNTIF($E$4:$E$538,$A599&amp;" ضد "&amp;J$542)+COUNTIF($E$4:$E$538,J$542&amp;" ضد "&amp;$A599))</f>
        <v>0</v>
      </c>
      <c r="K599" s="4">
        <f>IF($A599=K$542,"",COUNTIF($E$4:$E$538,$A599&amp;" ضد "&amp;K$542)+COUNTIF($E$4:$E$538,K$542&amp;" ضد "&amp;$A599))</f>
        <v>0</v>
      </c>
      <c r="L599" s="4">
        <f>IF($A599=L$542,"",COUNTIF($E$4:$E$538,$A599&amp;" ضد "&amp;L$542)+COUNTIF($E$4:$E$538,L$542&amp;" ضد "&amp;$A599))</f>
        <v>0</v>
      </c>
      <c r="M599" s="4">
        <f>IF($A599=M$542,"",COUNTIF($E$4:$E$538,$A599&amp;" ضد "&amp;M$542)+COUNTIF($E$4:$E$538,M$542&amp;" ضد "&amp;$A599))</f>
        <v>0</v>
      </c>
      <c r="N599" s="4">
        <f>IF($A599=N$542,"",COUNTIF($E$4:$E$538,$A599&amp;" ضد "&amp;N$542)+COUNTIF($E$4:$E$538,N$542&amp;" ضد "&amp;$A599))</f>
        <v>0</v>
      </c>
      <c r="O599" s="4">
        <f>IF($A599=O$542,"",COUNTIF($E$4:$E$538,$A599&amp;" ضد "&amp;O$542)+COUNTIF($E$4:$E$538,O$542&amp;" ضد "&amp;$A599))</f>
        <v>0</v>
      </c>
      <c r="P599" s="4">
        <f>IF($A599=P$542,"",COUNTIF($E$4:$E$538,$A599&amp;" ضد "&amp;P$542)+COUNTIF($E$4:$E$538,P$542&amp;" ضد "&amp;$A599))</f>
        <v>0</v>
      </c>
      <c r="Q599" s="4">
        <f>IF($A599=Q$542,"",COUNTIF($E$4:$E$538,$A599&amp;" ضد "&amp;Q$542)+COUNTIF($E$4:$E$538,Q$542&amp;" ضد "&amp;$A599))</f>
        <v>0</v>
      </c>
      <c r="R599" s="4">
        <f>IF($A599=R$542,"",COUNTIF($E$4:$E$538,$A599&amp;" ضد "&amp;R$542)+COUNTIF($E$4:$E$538,R$542&amp;" ضد "&amp;$A599))</f>
        <v>0</v>
      </c>
      <c r="S599" s="4">
        <f>IF($A599=S$542,"",COUNTIF($E$4:$E$538,$A599&amp;" ضد "&amp;S$542)+COUNTIF($E$4:$E$538,S$542&amp;" ضد "&amp;$A599))</f>
        <v>0</v>
      </c>
      <c r="T599" s="4">
        <f>IF($A599=T$542,"",COUNTIF($E$4:$E$538,$A599&amp;" ضد "&amp;T$542)+COUNTIF($E$4:$E$538,T$542&amp;" ضد "&amp;$A599))</f>
        <v>0</v>
      </c>
      <c r="U599" s="4">
        <f>IF($A599=U$542,"",COUNTIF($E$4:$E$538,$A599&amp;" ضد "&amp;U$542)+COUNTIF($E$4:$E$538,U$542&amp;" ضد "&amp;$A599))</f>
        <v>0</v>
      </c>
      <c r="V599" s="4">
        <f>IF($A599=V$542,"",COUNTIF($E$4:$E$538,$A599&amp;" ضد "&amp;V$542)+COUNTIF($E$4:$E$538,V$542&amp;" ضد "&amp;$A599))</f>
        <v>0</v>
      </c>
      <c r="W599" s="4">
        <f>IF($A599=W$542,"",COUNTIF($E$4:$E$538,$A599&amp;" ضد "&amp;W$542)+COUNTIF($E$4:$E$538,W$542&amp;" ضد "&amp;$A599))</f>
        <v>0</v>
      </c>
      <c r="X599" s="4">
        <f>IF($A599=X$542,"",COUNTIF($E$4:$E$538,$A599&amp;" ضد "&amp;X$542)+COUNTIF($E$4:$E$538,X$542&amp;" ضد "&amp;$A599))</f>
        <v>0</v>
      </c>
      <c r="Y599" s="4">
        <f>IF($A599=Y$542,"",COUNTIF($E$4:$E$538,$A599&amp;" ضد "&amp;Y$542)+COUNTIF($E$4:$E$538,Y$542&amp;" ضد "&amp;$A599))</f>
        <v>0</v>
      </c>
      <c r="Z599" s="4">
        <f>IF($A599=Z$542,"",COUNTIF($E$4:$E$538,$A599&amp;" ضد "&amp;Z$542)+COUNTIF($E$4:$E$538,Z$542&amp;" ضد "&amp;$A599))</f>
        <v>0</v>
      </c>
      <c r="AA599" s="4">
        <f>IF($A599=AA$542,"",COUNTIF($E$4:$E$538,$A599&amp;" ضد "&amp;AA$542)+COUNTIF($E$4:$E$538,AA$542&amp;" ضد "&amp;$A599))</f>
        <v>0</v>
      </c>
      <c r="AB599" s="4">
        <f>IF($A599=AB$542,"",COUNTIF($E$4:$E$538,$A599&amp;" ضد "&amp;AB$542)+COUNTIF($E$4:$E$538,AB$542&amp;" ضد "&amp;$A599))</f>
        <v>0</v>
      </c>
      <c r="AC599" s="4">
        <f>IF($A599=AC$542,"",COUNTIF($E$4:$E$538,$A599&amp;" ضد "&amp;AC$542)+COUNTIF($E$4:$E$538,AC$542&amp;" ضد "&amp;$A599))</f>
        <v>0</v>
      </c>
      <c r="AD599" s="4">
        <f>IF($A599=AD$542,"",COUNTIF($E$4:$E$538,$A599&amp;" ضد "&amp;AD$542)+COUNTIF($E$4:$E$538,AD$542&amp;" ضد "&amp;$A599))</f>
        <v>0</v>
      </c>
      <c r="AE599" s="4">
        <f>IF($A599=AE$542,"",COUNTIF($E$4:$E$538,$A599&amp;" ضد "&amp;AE$542)+COUNTIF($E$4:$E$538,AE$542&amp;" ضد "&amp;$A599))</f>
        <v>0</v>
      </c>
      <c r="AF599" s="4">
        <f>IF($A599=AF$542,"",COUNTIF($E$4:$E$538,$A599&amp;" ضد "&amp;AF$542)+COUNTIF($E$4:$E$538,AF$542&amp;" ضد "&amp;$A599))</f>
        <v>0</v>
      </c>
      <c r="AG599" s="4">
        <f>IF($A599=AG$542,"",COUNTIF($E$4:$E$538,$A599&amp;" ضد "&amp;AG$542)+COUNTIF($E$4:$E$538,AG$542&amp;" ضد "&amp;$A599))</f>
        <v>0</v>
      </c>
      <c r="AH599" s="4">
        <f>IF($A599=AH$542,"",COUNTIF($E$4:$E$538,$A599&amp;" ضد "&amp;AH$542)+COUNTIF($E$4:$E$538,AH$542&amp;" ضد "&amp;$A599))</f>
        <v>0</v>
      </c>
      <c r="AI599" s="4">
        <f>IF($A599=AI$542,"",COUNTIF($E$4:$E$538,$A599&amp;" ضد "&amp;AI$542)+COUNTIF($E$4:$E$538,AI$542&amp;" ضد "&amp;$A599))</f>
        <v>0</v>
      </c>
      <c r="AJ599" s="4">
        <f>IF($A599=AJ$542,"",COUNTIF($E$4:$E$538,$A599&amp;" ضد "&amp;AJ$542)+COUNTIF($E$4:$E$538,AJ$542&amp;" ضد "&amp;$A599))</f>
        <v>0</v>
      </c>
      <c r="AK599" s="4">
        <f>IF($A599=AK$542,"",COUNTIF($E$4:$E$538,$A599&amp;" ضد "&amp;AK$542)+COUNTIF($E$4:$E$538,AK$542&amp;" ضد "&amp;$A599))</f>
        <v>0</v>
      </c>
      <c r="AL599" s="4">
        <f>IF($A599=AL$542,"",COUNTIF($E$4:$E$538,$A599&amp;" ضد "&amp;AL$542)+COUNTIF($E$4:$E$538,AL$542&amp;" ضد "&amp;$A599))</f>
        <v>0</v>
      </c>
      <c r="AM599" s="4">
        <f>IF($A599=AM$542,"",COUNTIF($E$4:$E$538,$A599&amp;" ضد "&amp;AM$542)+COUNTIF($E$4:$E$538,AM$542&amp;" ضد "&amp;$A599))</f>
        <v>0</v>
      </c>
      <c r="AN599" s="4">
        <f>IF($A599=AN$542,"",COUNTIF($E$4:$E$538,$A599&amp;" ضد "&amp;AN$542)+COUNTIF($E$4:$E$538,AN$542&amp;" ضد "&amp;$A599))</f>
        <v>0</v>
      </c>
      <c r="AO599" s="4">
        <f>IF($A599=AO$542,"",COUNTIF($E$4:$E$538,$A599&amp;" ضد "&amp;AO$542)+COUNTIF($E$4:$E$538,AO$542&amp;" ضد "&amp;$A599))</f>
        <v>1</v>
      </c>
      <c r="AP599" s="4">
        <f>IF($A599=AP$542,"",COUNTIF($E$4:$E$538,$A599&amp;" ضد "&amp;AP$542)+COUNTIF($E$4:$E$538,AP$542&amp;" ضد "&amp;$A599))</f>
        <v>1</v>
      </c>
      <c r="AQ599" s="4">
        <f>IF($A599=AQ$542,"",COUNTIF($E$4:$E$538,$A599&amp;" ضد "&amp;AQ$542)+COUNTIF($E$4:$E$538,AQ$542&amp;" ضد "&amp;$A599))</f>
        <v>1</v>
      </c>
      <c r="AR599" s="4">
        <f>IF($A599=AR$542,"",COUNTIF($E$4:$E$538,$A599&amp;" ضد "&amp;AR$542)+COUNTIF($E$4:$E$538,AR$542&amp;" ضد "&amp;$A599))</f>
        <v>1</v>
      </c>
      <c r="AS599" s="4">
        <f>IF($A599=AS$542,"",COUNTIF($E$4:$E$538,$A599&amp;" ضد "&amp;AS$542)+COUNTIF($E$4:$E$538,AS$542&amp;" ضد "&amp;$A599))</f>
        <v>1</v>
      </c>
      <c r="AT599" s="4">
        <f>IF($A599=AT$542,"",COUNTIF($E$4:$E$538,$A599&amp;" ضد "&amp;AT$542)+COUNTIF($E$4:$E$538,AT$542&amp;" ضد "&amp;$A599))</f>
        <v>1</v>
      </c>
      <c r="AU599" s="4">
        <f>IF($A599=AU$542,"",COUNTIF($E$4:$E$538,$A599&amp;" ضد "&amp;AU$542)+COUNTIF($E$4:$E$538,AU$542&amp;" ضد "&amp;$A599))</f>
        <v>1</v>
      </c>
      <c r="AV599" s="4">
        <f>IF($A599=AV$542,"",COUNTIF($E$4:$E$538,$A599&amp;" ضد "&amp;AV$542)+COUNTIF($E$4:$E$538,AV$542&amp;" ضد "&amp;$A599))</f>
        <v>1</v>
      </c>
      <c r="AW599" s="4">
        <f>IF($A599=AW$542,"",COUNTIF($E$4:$E$538,$A599&amp;" ضد "&amp;AW$542)+COUNTIF($E$4:$E$538,AW$542&amp;" ضد "&amp;$A599))</f>
        <v>1</v>
      </c>
      <c r="AX599" s="4">
        <f>IF($A599=AX$542,"",COUNTIF($E$4:$E$538,$A599&amp;" ضد "&amp;AX$542)+COUNTIF($E$4:$E$538,AX$542&amp;" ضد "&amp;$A599))</f>
        <v>1</v>
      </c>
      <c r="AY599" s="4">
        <f>IF($A599=AY$542,"",COUNTIF($E$4:$E$538,$A599&amp;" ضد "&amp;AY$542)+COUNTIF($E$4:$E$538,AY$542&amp;" ضد "&amp;$A599))</f>
        <v>1</v>
      </c>
      <c r="AZ599" s="4">
        <f>IF($A599=AZ$542,"",COUNTIF($E$4:$E$538,$A599&amp;" ضد "&amp;AZ$542)+COUNTIF($E$4:$E$538,AZ$542&amp;" ضد "&amp;$A599))</f>
        <v>1</v>
      </c>
      <c r="BA599" s="4">
        <f>IF($A599=BA$542,"",COUNTIF($E$4:$E$538,$A599&amp;" ضد "&amp;BA$542)+COUNTIF($E$4:$E$538,BA$542&amp;" ضد "&amp;$A599))</f>
        <v>1</v>
      </c>
      <c r="BB599" s="4">
        <f>IF($A599=BB$542,"",COUNTIF($E$4:$E$538,$A599&amp;" ضد "&amp;BB$542)+COUNTIF($E$4:$E$538,BB$542&amp;" ضد "&amp;$A599))</f>
        <v>1</v>
      </c>
      <c r="BC599" s="4">
        <f>IF($A599=BC$542,"",COUNTIF($E$4:$E$538,$A599&amp;" ضد "&amp;BC$542)+COUNTIF($E$4:$E$538,BC$542&amp;" ضد "&amp;$A599))</f>
        <v>1</v>
      </c>
      <c r="BD599" s="4">
        <f>IF($A599=BD$542,"",COUNTIF($E$4:$E$538,$A599&amp;" ضد "&amp;BD$542)+COUNTIF($E$4:$E$538,BD$542&amp;" ضد "&amp;$A599))</f>
        <v>1</v>
      </c>
      <c r="BE599" s="4">
        <f>IF($A599=BE$542,"",COUNTIF($E$4:$E$538,$A599&amp;" ضد "&amp;BE$542)+COUNTIF($E$4:$E$538,BE$542&amp;" ضد "&amp;$A599))</f>
        <v>1</v>
      </c>
      <c r="BF599" s="4" t="str">
        <f>IF($A599=BF$542,"",COUNTIF($E$4:$E$538,$A599&amp;" ضد "&amp;BF$542)+COUNTIF($E$4:$E$538,BF$542&amp;" ضد "&amp;$A599))</f>
        <v/>
      </c>
      <c r="BG599" s="4">
        <f>IF($A599=BG$542,"",COUNTIF($E$4:$E$538,$A599&amp;" ضد "&amp;BG$542)+COUNTIF($E$4:$E$538,BG$542&amp;" ضد "&amp;$A599))</f>
        <v>1</v>
      </c>
    </row>
    <row r="600" spans="1:59" ht="14.5">
      <c r="A600" s="14">
        <v>58</v>
      </c>
      <c r="B600" s="4">
        <f>IF($A600=B$542,"",COUNTIF($E$4:$E$538,$A600&amp;" ضد "&amp;B$542)+COUNTIF($E$4:$E$538,B$542&amp;" ضد "&amp;$A600))</f>
        <v>0</v>
      </c>
      <c r="C600" s="4">
        <f>IF($A600=C$542,"",COUNTIF($E$4:$E$538,$A600&amp;" ضد "&amp;C$542)+COUNTIF($E$4:$E$538,C$542&amp;" ضد "&amp;$A600))</f>
        <v>0</v>
      </c>
      <c r="D600" s="4">
        <f>IF($A600=D$542,"",COUNTIF($E$4:$E$538,$A600&amp;" ضد "&amp;D$542)+COUNTIF($E$4:$E$538,D$542&amp;" ضد "&amp;$A600))</f>
        <v>0</v>
      </c>
      <c r="E600" s="4">
        <f>IF($A600=E$542,"",COUNTIF($E$4:$E$538,$A600&amp;" ضد "&amp;E$542)+COUNTIF($E$4:$E$538,E$542&amp;" ضد "&amp;$A600))</f>
        <v>0</v>
      </c>
      <c r="F600" s="4">
        <f>IF($A600=F$542,"",COUNTIF($E$4:$E$538,$A600&amp;" ضد "&amp;F$542)+COUNTIF($E$4:$E$538,F$542&amp;" ضد "&amp;$A600))</f>
        <v>0</v>
      </c>
      <c r="G600" s="4">
        <f>IF($A600=G$542,"",COUNTIF($E$4:$E$538,$A600&amp;" ضد "&amp;G$542)+COUNTIF($E$4:$E$538,G$542&amp;" ضد "&amp;$A600))</f>
        <v>0</v>
      </c>
      <c r="H600" s="4">
        <f>IF($A600=H$542,"",COUNTIF($E$4:$E$538,$A600&amp;" ضد "&amp;H$542)+COUNTIF($E$4:$E$538,H$542&amp;" ضد "&amp;$A600))</f>
        <v>0</v>
      </c>
      <c r="I600" s="4">
        <f>IF($A600=I$542,"",COUNTIF($E$4:$E$538,$A600&amp;" ضد "&amp;I$542)+COUNTIF($E$4:$E$538,I$542&amp;" ضد "&amp;$A600))</f>
        <v>0</v>
      </c>
      <c r="J600" s="4">
        <f>IF($A600=J$542,"",COUNTIF($E$4:$E$538,$A600&amp;" ضد "&amp;J$542)+COUNTIF($E$4:$E$538,J$542&amp;" ضد "&amp;$A600))</f>
        <v>0</v>
      </c>
      <c r="K600" s="4">
        <f>IF($A600=K$542,"",COUNTIF($E$4:$E$538,$A600&amp;" ضد "&amp;K$542)+COUNTIF($E$4:$E$538,K$542&amp;" ضد "&amp;$A600))</f>
        <v>0</v>
      </c>
      <c r="L600" s="4">
        <f>IF($A600=L$542,"",COUNTIF($E$4:$E$538,$A600&amp;" ضد "&amp;L$542)+COUNTIF($E$4:$E$538,L$542&amp;" ضد "&amp;$A600))</f>
        <v>0</v>
      </c>
      <c r="M600" s="4">
        <f>IF($A600=M$542,"",COUNTIF($E$4:$E$538,$A600&amp;" ضد "&amp;M$542)+COUNTIF($E$4:$E$538,M$542&amp;" ضد "&amp;$A600))</f>
        <v>0</v>
      </c>
      <c r="N600" s="4">
        <f>IF($A600=N$542,"",COUNTIF($E$4:$E$538,$A600&amp;" ضد "&amp;N$542)+COUNTIF($E$4:$E$538,N$542&amp;" ضد "&amp;$A600))</f>
        <v>0</v>
      </c>
      <c r="O600" s="4">
        <f>IF($A600=O$542,"",COUNTIF($E$4:$E$538,$A600&amp;" ضد "&amp;O$542)+COUNTIF($E$4:$E$538,O$542&amp;" ضد "&amp;$A600))</f>
        <v>0</v>
      </c>
      <c r="P600" s="4">
        <f>IF($A600=P$542,"",COUNTIF($E$4:$E$538,$A600&amp;" ضد "&amp;P$542)+COUNTIF($E$4:$E$538,P$542&amp;" ضد "&amp;$A600))</f>
        <v>0</v>
      </c>
      <c r="Q600" s="4">
        <f>IF($A600=Q$542,"",COUNTIF($E$4:$E$538,$A600&amp;" ضد "&amp;Q$542)+COUNTIF($E$4:$E$538,Q$542&amp;" ضد "&amp;$A600))</f>
        <v>0</v>
      </c>
      <c r="R600" s="4">
        <f>IF($A600=R$542,"",COUNTIF($E$4:$E$538,$A600&amp;" ضد "&amp;R$542)+COUNTIF($E$4:$E$538,R$542&amp;" ضد "&amp;$A600))</f>
        <v>0</v>
      </c>
      <c r="S600" s="4">
        <f>IF($A600=S$542,"",COUNTIF($E$4:$E$538,$A600&amp;" ضد "&amp;S$542)+COUNTIF($E$4:$E$538,S$542&amp;" ضد "&amp;$A600))</f>
        <v>0</v>
      </c>
      <c r="T600" s="4">
        <f>IF($A600=T$542,"",COUNTIF($E$4:$E$538,$A600&amp;" ضد "&amp;T$542)+COUNTIF($E$4:$E$538,T$542&amp;" ضد "&amp;$A600))</f>
        <v>0</v>
      </c>
      <c r="U600" s="4">
        <f>IF($A600=U$542,"",COUNTIF($E$4:$E$538,$A600&amp;" ضد "&amp;U$542)+COUNTIF($E$4:$E$538,U$542&amp;" ضد "&amp;$A600))</f>
        <v>0</v>
      </c>
      <c r="V600" s="4">
        <f>IF($A600=V$542,"",COUNTIF($E$4:$E$538,$A600&amp;" ضد "&amp;V$542)+COUNTIF($E$4:$E$538,V$542&amp;" ضد "&amp;$A600))</f>
        <v>0</v>
      </c>
      <c r="W600" s="4">
        <f>IF($A600=W$542,"",COUNTIF($E$4:$E$538,$A600&amp;" ضد "&amp;W$542)+COUNTIF($E$4:$E$538,W$542&amp;" ضد "&amp;$A600))</f>
        <v>0</v>
      </c>
      <c r="X600" s="4">
        <f>IF($A600=X$542,"",COUNTIF($E$4:$E$538,$A600&amp;" ضد "&amp;X$542)+COUNTIF($E$4:$E$538,X$542&amp;" ضد "&amp;$A600))</f>
        <v>0</v>
      </c>
      <c r="Y600" s="4">
        <f>IF($A600=Y$542,"",COUNTIF($E$4:$E$538,$A600&amp;" ضد "&amp;Y$542)+COUNTIF($E$4:$E$538,Y$542&amp;" ضد "&amp;$A600))</f>
        <v>0</v>
      </c>
      <c r="Z600" s="4">
        <f>IF($A600=Z$542,"",COUNTIF($E$4:$E$538,$A600&amp;" ضد "&amp;Z$542)+COUNTIF($E$4:$E$538,Z$542&amp;" ضد "&amp;$A600))</f>
        <v>0</v>
      </c>
      <c r="AA600" s="4">
        <f>IF($A600=AA$542,"",COUNTIF($E$4:$E$538,$A600&amp;" ضد "&amp;AA$542)+COUNTIF($E$4:$E$538,AA$542&amp;" ضد "&amp;$A600))</f>
        <v>0</v>
      </c>
      <c r="AB600" s="4">
        <f>IF($A600=AB$542,"",COUNTIF($E$4:$E$538,$A600&amp;" ضد "&amp;AB$542)+COUNTIF($E$4:$E$538,AB$542&amp;" ضد "&amp;$A600))</f>
        <v>0</v>
      </c>
      <c r="AC600" s="4">
        <f>IF($A600=AC$542,"",COUNTIF($E$4:$E$538,$A600&amp;" ضد "&amp;AC$542)+COUNTIF($E$4:$E$538,AC$542&amp;" ضد "&amp;$A600))</f>
        <v>0</v>
      </c>
      <c r="AD600" s="4">
        <f>IF($A600=AD$542,"",COUNTIF($E$4:$E$538,$A600&amp;" ضد "&amp;AD$542)+COUNTIF($E$4:$E$538,AD$542&amp;" ضد "&amp;$A600))</f>
        <v>0</v>
      </c>
      <c r="AE600" s="4">
        <f>IF($A600=AE$542,"",COUNTIF($E$4:$E$538,$A600&amp;" ضد "&amp;AE$542)+COUNTIF($E$4:$E$538,AE$542&amp;" ضد "&amp;$A600))</f>
        <v>0</v>
      </c>
      <c r="AF600" s="4">
        <f>IF($A600=AF$542,"",COUNTIF($E$4:$E$538,$A600&amp;" ضد "&amp;AF$542)+COUNTIF($E$4:$E$538,AF$542&amp;" ضد "&amp;$A600))</f>
        <v>0</v>
      </c>
      <c r="AG600" s="4">
        <f>IF($A600=AG$542,"",COUNTIF($E$4:$E$538,$A600&amp;" ضد "&amp;AG$542)+COUNTIF($E$4:$E$538,AG$542&amp;" ضد "&amp;$A600))</f>
        <v>0</v>
      </c>
      <c r="AH600" s="4">
        <f>IF($A600=AH$542,"",COUNTIF($E$4:$E$538,$A600&amp;" ضد "&amp;AH$542)+COUNTIF($E$4:$E$538,AH$542&amp;" ضد "&amp;$A600))</f>
        <v>0</v>
      </c>
      <c r="AI600" s="4">
        <f>IF($A600=AI$542,"",COUNTIF($E$4:$E$538,$A600&amp;" ضد "&amp;AI$542)+COUNTIF($E$4:$E$538,AI$542&amp;" ضد "&amp;$A600))</f>
        <v>0</v>
      </c>
      <c r="AJ600" s="4">
        <f>IF($A600=AJ$542,"",COUNTIF($E$4:$E$538,$A600&amp;" ضد "&amp;AJ$542)+COUNTIF($E$4:$E$538,AJ$542&amp;" ضد "&amp;$A600))</f>
        <v>0</v>
      </c>
      <c r="AK600" s="4">
        <f>IF($A600=AK$542,"",COUNTIF($E$4:$E$538,$A600&amp;" ضد "&amp;AK$542)+COUNTIF($E$4:$E$538,AK$542&amp;" ضد "&amp;$A600))</f>
        <v>0</v>
      </c>
      <c r="AL600" s="4">
        <f>IF($A600=AL$542,"",COUNTIF($E$4:$E$538,$A600&amp;" ضد "&amp;AL$542)+COUNTIF($E$4:$E$538,AL$542&amp;" ضد "&amp;$A600))</f>
        <v>0</v>
      </c>
      <c r="AM600" s="4">
        <f>IF($A600=AM$542,"",COUNTIF($E$4:$E$538,$A600&amp;" ضد "&amp;AM$542)+COUNTIF($E$4:$E$538,AM$542&amp;" ضد "&amp;$A600))</f>
        <v>0</v>
      </c>
      <c r="AN600" s="4">
        <f>IF($A600=AN$542,"",COUNTIF($E$4:$E$538,$A600&amp;" ضد "&amp;AN$542)+COUNTIF($E$4:$E$538,AN$542&amp;" ضد "&amp;$A600))</f>
        <v>0</v>
      </c>
      <c r="AO600" s="4">
        <f>IF($A600=AO$542,"",COUNTIF($E$4:$E$538,$A600&amp;" ضد "&amp;AO$542)+COUNTIF($E$4:$E$538,AO$542&amp;" ضد "&amp;$A600))</f>
        <v>1</v>
      </c>
      <c r="AP600" s="4">
        <f>IF($A600=AP$542,"",COUNTIF($E$4:$E$538,$A600&amp;" ضد "&amp;AP$542)+COUNTIF($E$4:$E$538,AP$542&amp;" ضد "&amp;$A600))</f>
        <v>1</v>
      </c>
      <c r="AQ600" s="4">
        <f>IF($A600=AQ$542,"",COUNTIF($E$4:$E$538,$A600&amp;" ضد "&amp;AQ$542)+COUNTIF($E$4:$E$538,AQ$542&amp;" ضد "&amp;$A600))</f>
        <v>1</v>
      </c>
      <c r="AR600" s="4">
        <f>IF($A600=AR$542,"",COUNTIF($E$4:$E$538,$A600&amp;" ضد "&amp;AR$542)+COUNTIF($E$4:$E$538,AR$542&amp;" ضد "&amp;$A600))</f>
        <v>1</v>
      </c>
      <c r="AS600" s="4">
        <f>IF($A600=AS$542,"",COUNTIF($E$4:$E$538,$A600&amp;" ضد "&amp;AS$542)+COUNTIF($E$4:$E$538,AS$542&amp;" ضد "&amp;$A600))</f>
        <v>1</v>
      </c>
      <c r="AT600" s="4">
        <f>IF($A600=AT$542,"",COUNTIF($E$4:$E$538,$A600&amp;" ضد "&amp;AT$542)+COUNTIF($E$4:$E$538,AT$542&amp;" ضد "&amp;$A600))</f>
        <v>1</v>
      </c>
      <c r="AU600" s="4">
        <f>IF($A600=AU$542,"",COUNTIF($E$4:$E$538,$A600&amp;" ضد "&amp;AU$542)+COUNTIF($E$4:$E$538,AU$542&amp;" ضد "&amp;$A600))</f>
        <v>1</v>
      </c>
      <c r="AV600" s="4">
        <f>IF($A600=AV$542,"",COUNTIF($E$4:$E$538,$A600&amp;" ضد "&amp;AV$542)+COUNTIF($E$4:$E$538,AV$542&amp;" ضد "&amp;$A600))</f>
        <v>1</v>
      </c>
      <c r="AW600" s="4">
        <f>IF($A600=AW$542,"",COUNTIF($E$4:$E$538,$A600&amp;" ضد "&amp;AW$542)+COUNTIF($E$4:$E$538,AW$542&amp;" ضد "&amp;$A600))</f>
        <v>1</v>
      </c>
      <c r="AX600" s="4">
        <f>IF($A600=AX$542,"",COUNTIF($E$4:$E$538,$A600&amp;" ضد "&amp;AX$542)+COUNTIF($E$4:$E$538,AX$542&amp;" ضد "&amp;$A600))</f>
        <v>1</v>
      </c>
      <c r="AY600" s="4">
        <f>IF($A600=AY$542,"",COUNTIF($E$4:$E$538,$A600&amp;" ضد "&amp;AY$542)+COUNTIF($E$4:$E$538,AY$542&amp;" ضد "&amp;$A600))</f>
        <v>1</v>
      </c>
      <c r="AZ600" s="4">
        <f>IF($A600=AZ$542,"",COUNTIF($E$4:$E$538,$A600&amp;" ضد "&amp;AZ$542)+COUNTIF($E$4:$E$538,AZ$542&amp;" ضد "&amp;$A600))</f>
        <v>1</v>
      </c>
      <c r="BA600" s="4">
        <f>IF($A600=BA$542,"",COUNTIF($E$4:$E$538,$A600&amp;" ضد "&amp;BA$542)+COUNTIF($E$4:$E$538,BA$542&amp;" ضد "&amp;$A600))</f>
        <v>1</v>
      </c>
      <c r="BB600" s="4">
        <f>IF($A600=BB$542,"",COUNTIF($E$4:$E$538,$A600&amp;" ضد "&amp;BB$542)+COUNTIF($E$4:$E$538,BB$542&amp;" ضد "&amp;$A600))</f>
        <v>1</v>
      </c>
      <c r="BC600" s="4">
        <f>IF($A600=BC$542,"",COUNTIF($E$4:$E$538,$A600&amp;" ضد "&amp;BC$542)+COUNTIF($E$4:$E$538,BC$542&amp;" ضد "&amp;$A600))</f>
        <v>1</v>
      </c>
      <c r="BD600" s="4">
        <f>IF($A600=BD$542,"",COUNTIF($E$4:$E$538,$A600&amp;" ضد "&amp;BD$542)+COUNTIF($E$4:$E$538,BD$542&amp;" ضد "&amp;$A600))</f>
        <v>1</v>
      </c>
      <c r="BE600" s="4">
        <f>IF($A600=BE$542,"",COUNTIF($E$4:$E$538,$A600&amp;" ضد "&amp;BE$542)+COUNTIF($E$4:$E$538,BE$542&amp;" ضد "&amp;$A600))</f>
        <v>1</v>
      </c>
      <c r="BF600" s="4">
        <f>IF($A600=BF$542,"",COUNTIF($E$4:$E$538,$A600&amp;" ضد "&amp;BF$542)+COUNTIF($E$4:$E$538,BF$542&amp;" ضد "&amp;$A600))</f>
        <v>1</v>
      </c>
      <c r="BG600" s="4" t="str">
        <f>IF($A600=BG$542,"",COUNTIF($E$4:$E$538,$A600&amp;" ضد "&amp;BG$542)+COUNTIF($E$4:$E$538,BG$542&amp;" ضد "&amp;$A600))</f>
        <v/>
      </c>
    </row>
    <row r="601" spans="1:59" ht="14.5">
      <c r="A601" s="14" t="s">
        <v>1033</v>
      </c>
      <c r="B601" s="4" cm="1">
        <f t="array" ref="B601">MIN(IF(B543:BG600&gt;0,B543:BG600))</f>
        <v>1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4.5">
      <c r="A602" s="14" t="s">
        <v>830</v>
      </c>
      <c r="B602" s="4">
        <f>MAX(B543:BG600)</f>
        <v>1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</sheetData>
  <mergeCells count="2">
    <mergeCell ref="A1:E1"/>
    <mergeCell ref="A541:BG541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9D84-5A2C-4203-80D1-66C02C9BD7A2}">
  <dimension ref="A1:BM65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1004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107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57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49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105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41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106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70</v>
      </c>
      <c r="F10" s="2"/>
    </row>
    <row r="11" spans="1:6" ht="14" customHeight="1">
      <c r="A11" s="8">
        <v>1</v>
      </c>
      <c r="B11" s="7" t="str">
        <f>المدخلات!$F$6</f>
        <v>6:40–7:50 م</v>
      </c>
      <c r="C11" s="7">
        <v>2</v>
      </c>
      <c r="D11" s="7" t="s">
        <v>593</v>
      </c>
      <c r="E11" s="7" t="s">
        <v>104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4</v>
      </c>
      <c r="D12" s="7" t="s">
        <v>594</v>
      </c>
      <c r="E12" s="7" t="s">
        <v>310</v>
      </c>
      <c r="F12" s="2"/>
    </row>
    <row r="13" spans="1:6" ht="14" customHeight="1">
      <c r="A13" s="8">
        <v>1</v>
      </c>
      <c r="B13" s="7" t="str">
        <f>المدخلات!$F$4</f>
        <v>4:00–5:10 م</v>
      </c>
      <c r="C13" s="7">
        <v>5</v>
      </c>
      <c r="D13" s="7" t="s">
        <v>594</v>
      </c>
      <c r="E13" s="7" t="s">
        <v>254</v>
      </c>
      <c r="F13" s="2"/>
    </row>
    <row r="14" spans="1:6" ht="14" customHeight="1">
      <c r="A14" s="8">
        <v>1</v>
      </c>
      <c r="B14" s="7" t="str">
        <f>المدخلات!$F$4</f>
        <v>4:00–5:10 م</v>
      </c>
      <c r="C14" s="7">
        <v>6</v>
      </c>
      <c r="D14" s="7" t="s">
        <v>594</v>
      </c>
      <c r="E14" s="7" t="s">
        <v>244</v>
      </c>
      <c r="F14" s="2"/>
    </row>
    <row r="15" spans="1:6" ht="14" customHeight="1">
      <c r="A15" s="8">
        <v>1</v>
      </c>
      <c r="B15" s="7" t="str">
        <f>المدخلات!$F$5</f>
        <v>5:20–6:30 م</v>
      </c>
      <c r="C15" s="7">
        <v>4</v>
      </c>
      <c r="D15" s="7" t="s">
        <v>594</v>
      </c>
      <c r="E15" s="7" t="s">
        <v>312</v>
      </c>
      <c r="F15" s="2"/>
    </row>
    <row r="16" spans="1:6" ht="14" customHeight="1">
      <c r="A16" s="8">
        <v>1</v>
      </c>
      <c r="B16" s="7" t="str">
        <f>المدخلات!$F$5</f>
        <v>5:20–6:30 م</v>
      </c>
      <c r="C16" s="7">
        <v>5</v>
      </c>
      <c r="D16" s="7" t="s">
        <v>594</v>
      </c>
      <c r="E16" s="7" t="s">
        <v>239</v>
      </c>
      <c r="F16" s="2"/>
    </row>
    <row r="17" spans="1:6" ht="14" customHeight="1">
      <c r="A17" s="8">
        <v>1</v>
      </c>
      <c r="B17" s="7" t="str">
        <f>المدخلات!$F$5</f>
        <v>5:20–6:30 م</v>
      </c>
      <c r="C17" s="7">
        <v>6</v>
      </c>
      <c r="D17" s="7" t="s">
        <v>594</v>
      </c>
      <c r="E17" s="7" t="s">
        <v>309</v>
      </c>
      <c r="F17" s="2"/>
    </row>
    <row r="18" spans="1:6" ht="14" customHeight="1">
      <c r="A18" s="8">
        <v>1</v>
      </c>
      <c r="B18" s="7" t="str">
        <f>المدخلات!$F$6</f>
        <v>6:40–7:50 م</v>
      </c>
      <c r="C18" s="7">
        <v>4</v>
      </c>
      <c r="D18" s="7" t="s">
        <v>594</v>
      </c>
      <c r="E18" s="7" t="s">
        <v>263</v>
      </c>
      <c r="F18" s="2"/>
    </row>
    <row r="19" spans="1:6" ht="14" customHeight="1">
      <c r="A19" s="8">
        <v>1</v>
      </c>
      <c r="B19" s="7" t="str">
        <f>المدخلات!$F$6</f>
        <v>6:40–7:50 م</v>
      </c>
      <c r="C19" s="7">
        <v>5</v>
      </c>
      <c r="D19" s="7" t="s">
        <v>594</v>
      </c>
      <c r="E19" s="7" t="s">
        <v>942</v>
      </c>
      <c r="F19" s="2"/>
    </row>
    <row r="20" spans="1:6" ht="14" customHeight="1">
      <c r="A20" s="8">
        <v>1</v>
      </c>
      <c r="B20" s="7" t="str">
        <f>المدخلات!$F$4</f>
        <v>4:00–5:10 م</v>
      </c>
      <c r="C20" s="7">
        <v>7</v>
      </c>
      <c r="D20" s="7" t="s">
        <v>595</v>
      </c>
      <c r="E20" s="7" t="s">
        <v>479</v>
      </c>
      <c r="F20" s="2"/>
    </row>
    <row r="21" spans="1:6" ht="14" customHeight="1">
      <c r="A21" s="8">
        <v>1</v>
      </c>
      <c r="B21" s="7" t="str">
        <f>المدخلات!$F$4</f>
        <v>4:00–5:10 م</v>
      </c>
      <c r="C21" s="7">
        <v>8</v>
      </c>
      <c r="D21" s="7" t="s">
        <v>595</v>
      </c>
      <c r="E21" s="7" t="s">
        <v>421</v>
      </c>
      <c r="F21" s="2"/>
    </row>
    <row r="22" spans="1:6" ht="14" customHeight="1">
      <c r="A22" s="8">
        <v>1</v>
      </c>
      <c r="B22" s="7" t="str">
        <f>المدخلات!$F$4</f>
        <v>4:00–5:10 م</v>
      </c>
      <c r="C22" s="7">
        <v>9</v>
      </c>
      <c r="D22" s="7" t="s">
        <v>595</v>
      </c>
      <c r="E22" s="7" t="s">
        <v>411</v>
      </c>
      <c r="F22" s="2"/>
    </row>
    <row r="23" spans="1:6" ht="14" customHeight="1">
      <c r="A23" s="8">
        <v>1</v>
      </c>
      <c r="B23" s="7" t="str">
        <f>المدخلات!$F$5</f>
        <v>5:20–6:30 م</v>
      </c>
      <c r="C23" s="7">
        <v>7</v>
      </c>
      <c r="D23" s="7" t="s">
        <v>595</v>
      </c>
      <c r="E23" s="7" t="s">
        <v>944</v>
      </c>
      <c r="F23" s="2"/>
    </row>
    <row r="24" spans="1:6" ht="14" customHeight="1">
      <c r="A24" s="8">
        <v>1</v>
      </c>
      <c r="B24" s="7" t="str">
        <f>المدخلات!$F$5</f>
        <v>5:20–6:30 م</v>
      </c>
      <c r="C24" s="7">
        <v>8</v>
      </c>
      <c r="D24" s="7" t="s">
        <v>595</v>
      </c>
      <c r="E24" s="7" t="s">
        <v>405</v>
      </c>
      <c r="F24" s="2"/>
    </row>
    <row r="25" spans="1:6" ht="14" customHeight="1">
      <c r="A25" s="8">
        <v>1</v>
      </c>
      <c r="B25" s="7" t="str">
        <f>المدخلات!$F$5</f>
        <v>5:20–6:30 م</v>
      </c>
      <c r="C25" s="7">
        <v>9</v>
      </c>
      <c r="D25" s="7" t="s">
        <v>595</v>
      </c>
      <c r="E25" s="7" t="s">
        <v>483</v>
      </c>
      <c r="F25" s="2"/>
    </row>
    <row r="26" spans="1:6" ht="14" customHeight="1">
      <c r="A26" s="8">
        <v>1</v>
      </c>
      <c r="B26" s="7" t="str">
        <f>المدخلات!$F$6</f>
        <v>6:40–7:50 م</v>
      </c>
      <c r="C26" s="7">
        <v>7</v>
      </c>
      <c r="D26" s="7" t="s">
        <v>595</v>
      </c>
      <c r="E26" s="7" t="s">
        <v>429</v>
      </c>
      <c r="F26" s="2"/>
    </row>
    <row r="27" spans="1:6" ht="14" customHeight="1">
      <c r="A27" s="8">
        <v>1</v>
      </c>
      <c r="B27" s="7" t="str">
        <f>المدخلات!$F$6</f>
        <v>6:40–7:50 م</v>
      </c>
      <c r="C27" s="7">
        <v>8</v>
      </c>
      <c r="D27" s="7" t="s">
        <v>595</v>
      </c>
      <c r="E27" s="7" t="s">
        <v>943</v>
      </c>
      <c r="F27" s="2"/>
    </row>
    <row r="28" spans="1:6" ht="14" customHeight="1">
      <c r="A28" s="8">
        <v>1</v>
      </c>
      <c r="B28" s="7" t="str">
        <f>المدخلات!$F$4</f>
        <v>4:00–5:10 م</v>
      </c>
      <c r="C28" s="7">
        <v>10</v>
      </c>
      <c r="D28" s="7" t="s">
        <v>596</v>
      </c>
      <c r="E28" s="7" t="s">
        <v>703</v>
      </c>
      <c r="F28" s="2"/>
    </row>
    <row r="29" spans="1:6" ht="14" customHeight="1">
      <c r="A29" s="8">
        <v>1</v>
      </c>
      <c r="B29" s="7" t="str">
        <f>المدخلات!$F$4</f>
        <v>4:00–5:10 م</v>
      </c>
      <c r="C29" s="7">
        <v>11</v>
      </c>
      <c r="D29" s="7" t="s">
        <v>596</v>
      </c>
      <c r="E29" s="7" t="s">
        <v>572</v>
      </c>
      <c r="F29" s="2"/>
    </row>
    <row r="30" spans="1:6" ht="14" customHeight="1">
      <c r="A30" s="8">
        <v>1</v>
      </c>
      <c r="B30" s="7" t="str">
        <f>المدخلات!$F$4</f>
        <v>4:00–5:10 م</v>
      </c>
      <c r="C30" s="7">
        <v>12</v>
      </c>
      <c r="D30" s="7" t="s">
        <v>596</v>
      </c>
      <c r="E30" s="7" t="s">
        <v>565</v>
      </c>
      <c r="F30" s="2"/>
    </row>
    <row r="31" spans="1:6" ht="14" customHeight="1">
      <c r="A31" s="8">
        <v>1</v>
      </c>
      <c r="B31" s="7" t="str">
        <f>المدخلات!$F$5</f>
        <v>5:20–6:30 م</v>
      </c>
      <c r="C31" s="7">
        <v>10</v>
      </c>
      <c r="D31" s="7" t="s">
        <v>596</v>
      </c>
      <c r="E31" s="7" t="s">
        <v>946</v>
      </c>
      <c r="F31" s="2"/>
    </row>
    <row r="32" spans="1:6" ht="14" customHeight="1">
      <c r="A32" s="8">
        <v>1</v>
      </c>
      <c r="B32" s="7" t="str">
        <f>المدخلات!$F$5</f>
        <v>5:20–6:30 م</v>
      </c>
      <c r="C32" s="7">
        <v>11</v>
      </c>
      <c r="D32" s="7" t="s">
        <v>596</v>
      </c>
      <c r="E32" s="7" t="s">
        <v>547</v>
      </c>
      <c r="F32" s="2"/>
    </row>
    <row r="33" spans="1:6" ht="14" customHeight="1">
      <c r="A33" s="8">
        <v>1</v>
      </c>
      <c r="B33" s="7" t="str">
        <f>المدخلات!$F$5</f>
        <v>5:20–6:30 م</v>
      </c>
      <c r="C33" s="7">
        <v>12</v>
      </c>
      <c r="D33" s="7" t="s">
        <v>596</v>
      </c>
      <c r="E33" s="7" t="s">
        <v>947</v>
      </c>
      <c r="F33" s="2"/>
    </row>
    <row r="34" spans="1:6" ht="14" customHeight="1">
      <c r="A34" s="8">
        <v>1</v>
      </c>
      <c r="B34" s="7" t="str">
        <f>المدخلات!$F$6</f>
        <v>6:40–7:50 م</v>
      </c>
      <c r="C34" s="7">
        <v>10</v>
      </c>
      <c r="D34" s="7" t="s">
        <v>596</v>
      </c>
      <c r="E34" s="7" t="s">
        <v>680</v>
      </c>
      <c r="F34" s="2"/>
    </row>
    <row r="35" spans="1:6" ht="14" customHeight="1">
      <c r="A35" s="8">
        <v>1</v>
      </c>
      <c r="B35" s="7" t="str">
        <f>المدخلات!$F$6</f>
        <v>6:40–7:50 م</v>
      </c>
      <c r="C35" s="7">
        <v>11</v>
      </c>
      <c r="D35" s="7" t="s">
        <v>596</v>
      </c>
      <c r="E35" s="7" t="s">
        <v>945</v>
      </c>
      <c r="F35" s="2"/>
    </row>
    <row r="36" spans="1:6" ht="14" customHeight="1">
      <c r="A36" s="8">
        <v>2</v>
      </c>
      <c r="B36" s="7" t="str">
        <f>المدخلات!$F$4</f>
        <v>4:00–5:10 م</v>
      </c>
      <c r="C36" s="7">
        <v>1</v>
      </c>
      <c r="D36" s="7" t="s">
        <v>593</v>
      </c>
      <c r="E36" s="7" t="s">
        <v>109</v>
      </c>
      <c r="F36" s="2"/>
    </row>
    <row r="37" spans="1:6" ht="14" customHeight="1">
      <c r="A37" s="8">
        <v>2</v>
      </c>
      <c r="B37" s="7" t="str">
        <f>المدخلات!$F$4</f>
        <v>4:00–5:10 م</v>
      </c>
      <c r="C37" s="7">
        <v>2</v>
      </c>
      <c r="D37" s="7" t="s">
        <v>593</v>
      </c>
      <c r="E37" s="7" t="s">
        <v>1057</v>
      </c>
      <c r="F37" s="2"/>
    </row>
    <row r="38" spans="1:6" ht="14" customHeight="1">
      <c r="A38" s="8">
        <v>2</v>
      </c>
      <c r="B38" s="7" t="str">
        <f>المدخلات!$F$4</f>
        <v>4:00–5:10 م</v>
      </c>
      <c r="C38" s="7">
        <v>3</v>
      </c>
      <c r="D38" s="7" t="s">
        <v>593</v>
      </c>
      <c r="E38" s="7" t="s">
        <v>864</v>
      </c>
      <c r="F38" s="2"/>
    </row>
    <row r="39" spans="1:6" ht="14" customHeight="1">
      <c r="A39" s="8">
        <v>2</v>
      </c>
      <c r="B39" s="7" t="str">
        <f>المدخلات!$F$5</f>
        <v>5:20–6:30 م</v>
      </c>
      <c r="C39" s="7">
        <v>1</v>
      </c>
      <c r="D39" s="7" t="s">
        <v>593</v>
      </c>
      <c r="E39" s="7" t="s">
        <v>1058</v>
      </c>
      <c r="F39" s="2"/>
    </row>
    <row r="40" spans="1:6" ht="14" customHeight="1">
      <c r="A40" s="8">
        <v>2</v>
      </c>
      <c r="B40" s="7" t="str">
        <f>المدخلات!$F$5</f>
        <v>5:20–6:30 م</v>
      </c>
      <c r="C40" s="7">
        <v>2</v>
      </c>
      <c r="D40" s="7" t="s">
        <v>593</v>
      </c>
      <c r="E40" s="7" t="s">
        <v>1063</v>
      </c>
      <c r="F40" s="2"/>
    </row>
    <row r="41" spans="1:6" ht="14" customHeight="1">
      <c r="A41" s="8">
        <v>2</v>
      </c>
      <c r="B41" s="7" t="str">
        <f>المدخلات!$F$5</f>
        <v>5:20–6:30 م</v>
      </c>
      <c r="C41" s="7">
        <v>3</v>
      </c>
      <c r="D41" s="7" t="s">
        <v>593</v>
      </c>
      <c r="E41" s="7" t="s">
        <v>885</v>
      </c>
      <c r="F41" s="2"/>
    </row>
    <row r="42" spans="1:6" ht="14" customHeight="1">
      <c r="A42" s="8">
        <v>2</v>
      </c>
      <c r="B42" s="7" t="str">
        <f>المدخلات!$F$6</f>
        <v>6:40–7:50 م</v>
      </c>
      <c r="C42" s="7">
        <v>1</v>
      </c>
      <c r="D42" s="7" t="s">
        <v>593</v>
      </c>
      <c r="E42" s="7" t="s">
        <v>30</v>
      </c>
      <c r="F42" s="2"/>
    </row>
    <row r="43" spans="1:6" ht="14" customHeight="1">
      <c r="A43" s="8">
        <v>2</v>
      </c>
      <c r="B43" s="7" t="str">
        <f>المدخلات!$F$6</f>
        <v>6:40–7:50 م</v>
      </c>
      <c r="C43" s="7">
        <v>2</v>
      </c>
      <c r="D43" s="7" t="s">
        <v>593</v>
      </c>
      <c r="E43" s="7" t="s">
        <v>1056</v>
      </c>
      <c r="F43" s="2"/>
    </row>
    <row r="44" spans="1:6" ht="14" customHeight="1">
      <c r="A44" s="8">
        <v>2</v>
      </c>
      <c r="B44" s="7" t="str">
        <f>المدخلات!$F$4</f>
        <v>4:00–5:10 م</v>
      </c>
      <c r="C44" s="7">
        <v>4</v>
      </c>
      <c r="D44" s="7" t="s">
        <v>594</v>
      </c>
      <c r="E44" s="7" t="s">
        <v>287</v>
      </c>
      <c r="F44" s="2"/>
    </row>
    <row r="45" spans="1:6" ht="14" customHeight="1">
      <c r="A45" s="8">
        <v>2</v>
      </c>
      <c r="B45" s="7" t="str">
        <f>المدخلات!$F$4</f>
        <v>4:00–5:10 م</v>
      </c>
      <c r="C45" s="7">
        <v>5</v>
      </c>
      <c r="D45" s="7" t="s">
        <v>594</v>
      </c>
      <c r="E45" s="7" t="s">
        <v>1316</v>
      </c>
      <c r="F45" s="2"/>
    </row>
    <row r="46" spans="1:6" ht="14" customHeight="1">
      <c r="A46" s="8">
        <v>2</v>
      </c>
      <c r="B46" s="7" t="str">
        <f>المدخلات!$F$4</f>
        <v>4:00–5:10 م</v>
      </c>
      <c r="C46" s="7">
        <v>6</v>
      </c>
      <c r="D46" s="7" t="s">
        <v>594</v>
      </c>
      <c r="E46" s="7" t="s">
        <v>1172</v>
      </c>
      <c r="F46" s="2"/>
    </row>
    <row r="47" spans="1:6" ht="14" customHeight="1">
      <c r="A47" s="8">
        <v>2</v>
      </c>
      <c r="B47" s="7" t="str">
        <f>المدخلات!$F$5</f>
        <v>5:20–6:30 م</v>
      </c>
      <c r="C47" s="7">
        <v>4</v>
      </c>
      <c r="D47" s="7" t="s">
        <v>594</v>
      </c>
      <c r="E47" s="7" t="s">
        <v>1187</v>
      </c>
      <c r="F47" s="2"/>
    </row>
    <row r="48" spans="1:6" ht="14" customHeight="1">
      <c r="A48" s="8">
        <v>2</v>
      </c>
      <c r="B48" s="7" t="str">
        <f>المدخلات!$F$5</f>
        <v>5:20–6:30 م</v>
      </c>
      <c r="C48" s="7">
        <v>5</v>
      </c>
      <c r="D48" s="7" t="s">
        <v>594</v>
      </c>
      <c r="E48" s="7" t="s">
        <v>1173</v>
      </c>
      <c r="F48" s="2"/>
    </row>
    <row r="49" spans="1:6" ht="14" customHeight="1">
      <c r="A49" s="8">
        <v>2</v>
      </c>
      <c r="B49" s="7" t="str">
        <f>المدخلات!$F$5</f>
        <v>5:20–6:30 م</v>
      </c>
      <c r="C49" s="7">
        <v>6</v>
      </c>
      <c r="D49" s="7" t="s">
        <v>594</v>
      </c>
      <c r="E49" s="7" t="s">
        <v>1315</v>
      </c>
      <c r="F49" s="2"/>
    </row>
    <row r="50" spans="1:6" ht="14" customHeight="1">
      <c r="A50" s="8">
        <v>2</v>
      </c>
      <c r="B50" s="7" t="str">
        <f>المدخلات!$F$6</f>
        <v>6:40–7:50 م</v>
      </c>
      <c r="C50" s="7">
        <v>4</v>
      </c>
      <c r="D50" s="7" t="s">
        <v>594</v>
      </c>
      <c r="E50" s="7" t="s">
        <v>234</v>
      </c>
      <c r="F50" s="2"/>
    </row>
    <row r="51" spans="1:6" ht="14" customHeight="1">
      <c r="A51" s="8">
        <v>2</v>
      </c>
      <c r="B51" s="7" t="str">
        <f>المدخلات!$F$6</f>
        <v>6:40–7:50 م</v>
      </c>
      <c r="C51" s="7">
        <v>5</v>
      </c>
      <c r="D51" s="7" t="s">
        <v>594</v>
      </c>
      <c r="E51" s="7" t="s">
        <v>1164</v>
      </c>
      <c r="F51" s="2"/>
    </row>
    <row r="52" spans="1:6" ht="14" customHeight="1">
      <c r="A52" s="8">
        <v>2</v>
      </c>
      <c r="B52" s="7" t="str">
        <f>المدخلات!$F$4</f>
        <v>4:00–5:10 م</v>
      </c>
      <c r="C52" s="7">
        <v>7</v>
      </c>
      <c r="D52" s="7" t="s">
        <v>595</v>
      </c>
      <c r="E52" s="7" t="s">
        <v>448</v>
      </c>
      <c r="F52" s="2"/>
    </row>
    <row r="53" spans="1:6" ht="14" customHeight="1">
      <c r="A53" s="8">
        <v>2</v>
      </c>
      <c r="B53" s="7" t="str">
        <f>المدخلات!$F$4</f>
        <v>4:00–5:10 م</v>
      </c>
      <c r="C53" s="7">
        <v>8</v>
      </c>
      <c r="D53" s="7" t="s">
        <v>595</v>
      </c>
      <c r="E53" s="7" t="s">
        <v>1319</v>
      </c>
      <c r="F53" s="2"/>
    </row>
    <row r="54" spans="1:6" ht="14" customHeight="1">
      <c r="A54" s="8">
        <v>2</v>
      </c>
      <c r="B54" s="7" t="str">
        <f>المدخلات!$F$4</f>
        <v>4:00–5:10 م</v>
      </c>
      <c r="C54" s="7">
        <v>9</v>
      </c>
      <c r="D54" s="7" t="s">
        <v>595</v>
      </c>
      <c r="E54" s="7" t="s">
        <v>1317</v>
      </c>
      <c r="F54" s="2"/>
    </row>
    <row r="55" spans="1:6" ht="14" customHeight="1">
      <c r="A55" s="8">
        <v>2</v>
      </c>
      <c r="B55" s="7" t="str">
        <f>المدخلات!$F$5</f>
        <v>5:20–6:30 م</v>
      </c>
      <c r="C55" s="7">
        <v>7</v>
      </c>
      <c r="D55" s="7" t="s">
        <v>595</v>
      </c>
      <c r="E55" s="7" t="s">
        <v>1209</v>
      </c>
      <c r="F55" s="2"/>
    </row>
    <row r="56" spans="1:6" ht="14" customHeight="1">
      <c r="A56" s="8">
        <v>2</v>
      </c>
      <c r="B56" s="7" t="str">
        <f>المدخلات!$F$5</f>
        <v>5:20–6:30 م</v>
      </c>
      <c r="C56" s="7">
        <v>8</v>
      </c>
      <c r="D56" s="7" t="s">
        <v>595</v>
      </c>
      <c r="E56" s="7" t="s">
        <v>1320</v>
      </c>
      <c r="F56" s="2"/>
    </row>
    <row r="57" spans="1:6" ht="14" customHeight="1">
      <c r="A57" s="8">
        <v>2</v>
      </c>
      <c r="B57" s="7" t="str">
        <f>المدخلات!$F$5</f>
        <v>5:20–6:30 م</v>
      </c>
      <c r="C57" s="7">
        <v>9</v>
      </c>
      <c r="D57" s="7" t="s">
        <v>595</v>
      </c>
      <c r="E57" s="7" t="s">
        <v>1318</v>
      </c>
      <c r="F57" s="2"/>
    </row>
    <row r="58" spans="1:6" ht="14" customHeight="1">
      <c r="A58" s="8">
        <v>2</v>
      </c>
      <c r="B58" s="7" t="str">
        <f>المدخلات!$F$6</f>
        <v>6:40–7:50 م</v>
      </c>
      <c r="C58" s="7">
        <v>7</v>
      </c>
      <c r="D58" s="7" t="s">
        <v>595</v>
      </c>
      <c r="E58" s="7" t="s">
        <v>396</v>
      </c>
      <c r="F58" s="2"/>
    </row>
    <row r="59" spans="1:6" ht="14" customHeight="1">
      <c r="A59" s="8">
        <v>2</v>
      </c>
      <c r="B59" s="7" t="str">
        <f>المدخلات!$F$6</f>
        <v>6:40–7:50 م</v>
      </c>
      <c r="C59" s="7">
        <v>8</v>
      </c>
      <c r="D59" s="7" t="s">
        <v>595</v>
      </c>
      <c r="E59" s="7" t="s">
        <v>1321</v>
      </c>
      <c r="F59" s="2"/>
    </row>
    <row r="60" spans="1:6" ht="14" customHeight="1">
      <c r="A60" s="8">
        <v>2</v>
      </c>
      <c r="B60" s="7" t="str">
        <f>المدخلات!$F$4</f>
        <v>4:00–5:10 م</v>
      </c>
      <c r="C60" s="7">
        <v>10</v>
      </c>
      <c r="D60" s="7" t="s">
        <v>596</v>
      </c>
      <c r="E60" s="7" t="s">
        <v>1322</v>
      </c>
      <c r="F60" s="2"/>
    </row>
    <row r="61" spans="1:6" ht="14" customHeight="1">
      <c r="A61" s="8">
        <v>2</v>
      </c>
      <c r="B61" s="7" t="str">
        <f>المدخلات!$F$4</f>
        <v>4:00–5:10 م</v>
      </c>
      <c r="C61" s="7">
        <v>11</v>
      </c>
      <c r="D61" s="7" t="s">
        <v>596</v>
      </c>
      <c r="E61" s="7" t="s">
        <v>1326</v>
      </c>
      <c r="F61" s="2"/>
    </row>
    <row r="62" spans="1:6" ht="14" customHeight="1">
      <c r="A62" s="8">
        <v>2</v>
      </c>
      <c r="B62" s="7" t="str">
        <f>المدخلات!$F$4</f>
        <v>4:00–5:10 م</v>
      </c>
      <c r="C62" s="7">
        <v>12</v>
      </c>
      <c r="D62" s="7" t="s">
        <v>596</v>
      </c>
      <c r="E62" s="7" t="s">
        <v>1323</v>
      </c>
      <c r="F62" s="2"/>
    </row>
    <row r="63" spans="1:6" ht="14" customHeight="1">
      <c r="A63" s="8">
        <v>2</v>
      </c>
      <c r="B63" s="7" t="str">
        <f>المدخلات!$F$5</f>
        <v>5:20–6:30 م</v>
      </c>
      <c r="C63" s="7">
        <v>10</v>
      </c>
      <c r="D63" s="7" t="s">
        <v>596</v>
      </c>
      <c r="E63" s="7" t="s">
        <v>1324</v>
      </c>
      <c r="F63" s="2"/>
    </row>
    <row r="64" spans="1:6" ht="14" customHeight="1">
      <c r="A64" s="8">
        <v>2</v>
      </c>
      <c r="B64" s="7" t="str">
        <f>المدخلات!$F$5</f>
        <v>5:20–6:30 م</v>
      </c>
      <c r="C64" s="7">
        <v>11</v>
      </c>
      <c r="D64" s="7" t="s">
        <v>596</v>
      </c>
      <c r="E64" s="7" t="s">
        <v>1327</v>
      </c>
      <c r="F64" s="2"/>
    </row>
    <row r="65" spans="1:6" ht="14" customHeight="1">
      <c r="A65" s="8">
        <v>2</v>
      </c>
      <c r="B65" s="7" t="str">
        <f>المدخلات!$F$5</f>
        <v>5:20–6:30 م</v>
      </c>
      <c r="C65" s="7">
        <v>12</v>
      </c>
      <c r="D65" s="7" t="s">
        <v>596</v>
      </c>
      <c r="E65" s="7" t="s">
        <v>1325</v>
      </c>
      <c r="F65" s="2"/>
    </row>
    <row r="66" spans="1:6" ht="14" customHeight="1">
      <c r="A66" s="8">
        <v>2</v>
      </c>
      <c r="B66" s="7" t="str">
        <f>المدخلات!$F$6</f>
        <v>6:40–7:50 م</v>
      </c>
      <c r="C66" s="7">
        <v>10</v>
      </c>
      <c r="D66" s="7" t="s">
        <v>596</v>
      </c>
      <c r="E66" s="7" t="s">
        <v>535</v>
      </c>
      <c r="F66" s="2"/>
    </row>
    <row r="67" spans="1:6" ht="14" customHeight="1">
      <c r="A67" s="8">
        <v>2</v>
      </c>
      <c r="B67" s="7" t="str">
        <f>المدخلات!$F$6</f>
        <v>6:40–7:50 م</v>
      </c>
      <c r="C67" s="7">
        <v>11</v>
      </c>
      <c r="D67" s="7" t="s">
        <v>596</v>
      </c>
      <c r="E67" s="7" t="s">
        <v>1328</v>
      </c>
      <c r="F67" s="2"/>
    </row>
    <row r="68" spans="1:6" ht="14" customHeight="1">
      <c r="A68" s="8">
        <v>3</v>
      </c>
      <c r="B68" s="7" t="str">
        <f>المدخلات!$F$4</f>
        <v>4:00–5:10 م</v>
      </c>
      <c r="C68" s="7">
        <v>1</v>
      </c>
      <c r="D68" s="7" t="s">
        <v>593</v>
      </c>
      <c r="E68" s="7" t="s">
        <v>34</v>
      </c>
      <c r="F68" s="2"/>
    </row>
    <row r="69" spans="1:6" ht="14" customHeight="1">
      <c r="A69" s="8">
        <v>3</v>
      </c>
      <c r="B69" s="7" t="str">
        <f>المدخلات!$F$4</f>
        <v>4:00–5:10 م</v>
      </c>
      <c r="C69" s="7">
        <v>2</v>
      </c>
      <c r="D69" s="7" t="s">
        <v>593</v>
      </c>
      <c r="E69" s="7" t="s">
        <v>111</v>
      </c>
      <c r="F69" s="2"/>
    </row>
    <row r="70" spans="1:6" ht="14" customHeight="1">
      <c r="A70" s="8">
        <v>3</v>
      </c>
      <c r="B70" s="7" t="str">
        <f>المدخلات!$F$4</f>
        <v>4:00–5:10 م</v>
      </c>
      <c r="C70" s="7">
        <v>3</v>
      </c>
      <c r="D70" s="7" t="s">
        <v>593</v>
      </c>
      <c r="E70" s="7" t="s">
        <v>35</v>
      </c>
      <c r="F70" s="2"/>
    </row>
    <row r="71" spans="1:6" ht="14" customHeight="1">
      <c r="A71" s="8">
        <v>3</v>
      </c>
      <c r="B71" s="7" t="str">
        <f>المدخلات!$F$5</f>
        <v>5:20–6:30 م</v>
      </c>
      <c r="C71" s="7">
        <v>1</v>
      </c>
      <c r="D71" s="7" t="s">
        <v>593</v>
      </c>
      <c r="E71" s="7" t="s">
        <v>23</v>
      </c>
      <c r="F71" s="2"/>
    </row>
    <row r="72" spans="1:6" ht="14" customHeight="1">
      <c r="A72" s="8">
        <v>3</v>
      </c>
      <c r="B72" s="7" t="str">
        <f>المدخلات!$F$5</f>
        <v>5:20–6:30 م</v>
      </c>
      <c r="C72" s="7">
        <v>2</v>
      </c>
      <c r="D72" s="7" t="s">
        <v>593</v>
      </c>
      <c r="E72" s="7" t="s">
        <v>55</v>
      </c>
      <c r="F72" s="2"/>
    </row>
    <row r="73" spans="1:6" ht="14" customHeight="1">
      <c r="A73" s="8">
        <v>3</v>
      </c>
      <c r="B73" s="7" t="str">
        <f>المدخلات!$F$5</f>
        <v>5:20–6:30 م</v>
      </c>
      <c r="C73" s="7">
        <v>3</v>
      </c>
      <c r="D73" s="7" t="s">
        <v>593</v>
      </c>
      <c r="E73" s="7" t="s">
        <v>610</v>
      </c>
      <c r="F73" s="2"/>
    </row>
    <row r="74" spans="1:6" ht="14" customHeight="1">
      <c r="A74" s="8">
        <v>3</v>
      </c>
      <c r="B74" s="7" t="str">
        <f>المدخلات!$F$6</f>
        <v>6:40–7:50 م</v>
      </c>
      <c r="C74" s="7">
        <v>1</v>
      </c>
      <c r="D74" s="7" t="s">
        <v>593</v>
      </c>
      <c r="E74" s="7" t="s">
        <v>102</v>
      </c>
      <c r="F74" s="2"/>
    </row>
    <row r="75" spans="1:6" ht="14" customHeight="1">
      <c r="A75" s="8">
        <v>3</v>
      </c>
      <c r="B75" s="7" t="str">
        <f>المدخلات!$F$6</f>
        <v>6:40–7:50 م</v>
      </c>
      <c r="C75" s="7">
        <v>2</v>
      </c>
      <c r="D75" s="7" t="s">
        <v>593</v>
      </c>
      <c r="E75" s="7" t="s">
        <v>50</v>
      </c>
      <c r="F75" s="2"/>
    </row>
    <row r="76" spans="1:6" ht="14" customHeight="1">
      <c r="A76" s="8">
        <v>3</v>
      </c>
      <c r="B76" s="7" t="str">
        <f>المدخلات!$F$4</f>
        <v>4:00–5:10 م</v>
      </c>
      <c r="C76" s="7">
        <v>4</v>
      </c>
      <c r="D76" s="7" t="s">
        <v>594</v>
      </c>
      <c r="E76" s="7" t="s">
        <v>235</v>
      </c>
      <c r="F76" s="2"/>
    </row>
    <row r="77" spans="1:6" ht="14" customHeight="1">
      <c r="A77" s="8">
        <v>3</v>
      </c>
      <c r="B77" s="7" t="str">
        <f>المدخلات!$F$4</f>
        <v>4:00–5:10 م</v>
      </c>
      <c r="C77" s="7">
        <v>5</v>
      </c>
      <c r="D77" s="7" t="s">
        <v>594</v>
      </c>
      <c r="E77" s="7" t="s">
        <v>948</v>
      </c>
      <c r="F77" s="2"/>
    </row>
    <row r="78" spans="1:6" ht="14" customHeight="1">
      <c r="A78" s="8">
        <v>3</v>
      </c>
      <c r="B78" s="7" t="str">
        <f>المدخلات!$F$4</f>
        <v>4:00–5:10 م</v>
      </c>
      <c r="C78" s="7">
        <v>6</v>
      </c>
      <c r="D78" s="7" t="s">
        <v>594</v>
      </c>
      <c r="E78" s="7" t="s">
        <v>246</v>
      </c>
      <c r="F78" s="2"/>
    </row>
    <row r="79" spans="1:6" ht="14" customHeight="1">
      <c r="A79" s="8">
        <v>3</v>
      </c>
      <c r="B79" s="7" t="str">
        <f>المدخلات!$F$5</f>
        <v>5:20–6:30 م</v>
      </c>
      <c r="C79" s="7">
        <v>4</v>
      </c>
      <c r="D79" s="7" t="s">
        <v>594</v>
      </c>
      <c r="E79" s="7" t="s">
        <v>230</v>
      </c>
      <c r="F79" s="2"/>
    </row>
    <row r="80" spans="1:6" ht="14" customHeight="1">
      <c r="A80" s="8">
        <v>3</v>
      </c>
      <c r="B80" s="7" t="str">
        <f>المدخلات!$F$5</f>
        <v>5:20–6:30 م</v>
      </c>
      <c r="C80" s="7">
        <v>5</v>
      </c>
      <c r="D80" s="7" t="s">
        <v>594</v>
      </c>
      <c r="E80" s="7" t="s">
        <v>316</v>
      </c>
      <c r="F80" s="2"/>
    </row>
    <row r="81" spans="1:6" ht="14" customHeight="1">
      <c r="A81" s="8">
        <v>3</v>
      </c>
      <c r="B81" s="7" t="str">
        <f>المدخلات!$F$5</f>
        <v>5:20–6:30 م</v>
      </c>
      <c r="C81" s="7">
        <v>6</v>
      </c>
      <c r="D81" s="7" t="s">
        <v>594</v>
      </c>
      <c r="E81" s="7" t="s">
        <v>614</v>
      </c>
      <c r="F81" s="2"/>
    </row>
    <row r="82" spans="1:6" ht="14" customHeight="1">
      <c r="A82" s="8">
        <v>3</v>
      </c>
      <c r="B82" s="7" t="str">
        <f>المدخلات!$F$6</f>
        <v>6:40–7:50 م</v>
      </c>
      <c r="C82" s="7">
        <v>4</v>
      </c>
      <c r="D82" s="7" t="s">
        <v>594</v>
      </c>
      <c r="E82" s="7" t="s">
        <v>278</v>
      </c>
      <c r="F82" s="2"/>
    </row>
    <row r="83" spans="1:6" ht="14" customHeight="1">
      <c r="A83" s="8">
        <v>3</v>
      </c>
      <c r="B83" s="7" t="str">
        <f>المدخلات!$F$6</f>
        <v>6:40–7:50 م</v>
      </c>
      <c r="C83" s="7">
        <v>5</v>
      </c>
      <c r="D83" s="7" t="s">
        <v>594</v>
      </c>
      <c r="E83" s="7" t="s">
        <v>247</v>
      </c>
      <c r="F83" s="2"/>
    </row>
    <row r="84" spans="1:6" ht="14" customHeight="1">
      <c r="A84" s="8">
        <v>3</v>
      </c>
      <c r="B84" s="7" t="str">
        <f>المدخلات!$F$4</f>
        <v>4:00–5:10 م</v>
      </c>
      <c r="C84" s="7">
        <v>7</v>
      </c>
      <c r="D84" s="7" t="s">
        <v>595</v>
      </c>
      <c r="E84" s="7" t="s">
        <v>397</v>
      </c>
      <c r="F84" s="2"/>
    </row>
    <row r="85" spans="1:6" ht="14" customHeight="1">
      <c r="A85" s="8">
        <v>3</v>
      </c>
      <c r="B85" s="7" t="str">
        <f>المدخلات!$F$4</f>
        <v>4:00–5:10 م</v>
      </c>
      <c r="C85" s="7">
        <v>8</v>
      </c>
      <c r="D85" s="7" t="s">
        <v>595</v>
      </c>
      <c r="E85" s="7" t="s">
        <v>949</v>
      </c>
      <c r="F85" s="2"/>
    </row>
    <row r="86" spans="1:6" ht="14" customHeight="1">
      <c r="A86" s="8">
        <v>3</v>
      </c>
      <c r="B86" s="7" t="str">
        <f>المدخلات!$F$4</f>
        <v>4:00–5:10 م</v>
      </c>
      <c r="C86" s="7">
        <v>9</v>
      </c>
      <c r="D86" s="7" t="s">
        <v>595</v>
      </c>
      <c r="E86" s="7" t="s">
        <v>407</v>
      </c>
      <c r="F86" s="2"/>
    </row>
    <row r="87" spans="1:6" ht="14" customHeight="1">
      <c r="A87" s="8">
        <v>3</v>
      </c>
      <c r="B87" s="7" t="str">
        <f>المدخلات!$F$5</f>
        <v>5:20–6:30 م</v>
      </c>
      <c r="C87" s="7">
        <v>7</v>
      </c>
      <c r="D87" s="7" t="s">
        <v>595</v>
      </c>
      <c r="E87" s="7" t="s">
        <v>391</v>
      </c>
      <c r="F87" s="2"/>
    </row>
    <row r="88" spans="1:6" ht="14" customHeight="1">
      <c r="A88" s="8">
        <v>3</v>
      </c>
      <c r="B88" s="7" t="str">
        <f>المدخلات!$F$5</f>
        <v>5:20–6:30 م</v>
      </c>
      <c r="C88" s="7">
        <v>8</v>
      </c>
      <c r="D88" s="7" t="s">
        <v>595</v>
      </c>
      <c r="E88" s="7" t="s">
        <v>415</v>
      </c>
      <c r="F88" s="2"/>
    </row>
    <row r="89" spans="1:6" ht="14" customHeight="1">
      <c r="A89" s="8">
        <v>3</v>
      </c>
      <c r="B89" s="7" t="str">
        <f>المدخلات!$F$5</f>
        <v>5:20–6:30 م</v>
      </c>
      <c r="C89" s="7">
        <v>9</v>
      </c>
      <c r="D89" s="7" t="s">
        <v>595</v>
      </c>
      <c r="E89" s="7" t="s">
        <v>617</v>
      </c>
      <c r="F89" s="2"/>
    </row>
    <row r="90" spans="1:6" ht="14" customHeight="1">
      <c r="A90" s="8">
        <v>3</v>
      </c>
      <c r="B90" s="7" t="str">
        <f>المدخلات!$F$6</f>
        <v>6:40–7:50 م</v>
      </c>
      <c r="C90" s="7">
        <v>7</v>
      </c>
      <c r="D90" s="7" t="s">
        <v>595</v>
      </c>
      <c r="E90" s="7" t="s">
        <v>443</v>
      </c>
      <c r="F90" s="2"/>
    </row>
    <row r="91" spans="1:6" ht="14" customHeight="1">
      <c r="A91" s="8">
        <v>3</v>
      </c>
      <c r="B91" s="7" t="str">
        <f>المدخلات!$F$6</f>
        <v>6:40–7:50 م</v>
      </c>
      <c r="C91" s="7">
        <v>8</v>
      </c>
      <c r="D91" s="7" t="s">
        <v>595</v>
      </c>
      <c r="E91" s="7" t="s">
        <v>413</v>
      </c>
      <c r="F91" s="2"/>
    </row>
    <row r="92" spans="1:6" ht="14" customHeight="1">
      <c r="A92" s="8">
        <v>3</v>
      </c>
      <c r="B92" s="7" t="str">
        <f>المدخلات!$F$4</f>
        <v>4:00–5:10 م</v>
      </c>
      <c r="C92" s="7">
        <v>10</v>
      </c>
      <c r="D92" s="7" t="s">
        <v>596</v>
      </c>
      <c r="E92" s="7" t="s">
        <v>536</v>
      </c>
      <c r="F92" s="2"/>
    </row>
    <row r="93" spans="1:6" ht="14" customHeight="1">
      <c r="A93" s="8">
        <v>3</v>
      </c>
      <c r="B93" s="7" t="str">
        <f>المدخلات!$F$4</f>
        <v>4:00–5:10 م</v>
      </c>
      <c r="C93" s="7">
        <v>11</v>
      </c>
      <c r="D93" s="7" t="s">
        <v>596</v>
      </c>
      <c r="E93" s="7" t="s">
        <v>950</v>
      </c>
      <c r="F93" s="2"/>
    </row>
    <row r="94" spans="1:6" ht="14" customHeight="1">
      <c r="A94" s="8">
        <v>3</v>
      </c>
      <c r="B94" s="7" t="str">
        <f>المدخلات!$F$4</f>
        <v>4:00–5:10 م</v>
      </c>
      <c r="C94" s="7">
        <v>12</v>
      </c>
      <c r="D94" s="7" t="s">
        <v>596</v>
      </c>
      <c r="E94" s="7" t="s">
        <v>549</v>
      </c>
      <c r="F94" s="2"/>
    </row>
    <row r="95" spans="1:6" ht="14" customHeight="1">
      <c r="A95" s="8">
        <v>3</v>
      </c>
      <c r="B95" s="7" t="str">
        <f>المدخلات!$F$5</f>
        <v>5:20–6:30 م</v>
      </c>
      <c r="C95" s="7">
        <v>10</v>
      </c>
      <c r="D95" s="7" t="s">
        <v>596</v>
      </c>
      <c r="E95" s="7" t="s">
        <v>527</v>
      </c>
      <c r="F95" s="2"/>
    </row>
    <row r="96" spans="1:6" ht="14" customHeight="1">
      <c r="A96" s="8">
        <v>3</v>
      </c>
      <c r="B96" s="7" t="str">
        <f>المدخلات!$F$5</f>
        <v>5:20–6:30 م</v>
      </c>
      <c r="C96" s="7">
        <v>11</v>
      </c>
      <c r="D96" s="7" t="s">
        <v>596</v>
      </c>
      <c r="E96" s="7" t="s">
        <v>574</v>
      </c>
      <c r="F96" s="2"/>
    </row>
    <row r="97" spans="1:6" ht="14" customHeight="1">
      <c r="A97" s="8">
        <v>3</v>
      </c>
      <c r="B97" s="7" t="str">
        <f>المدخلات!$F$5</f>
        <v>5:20–6:30 م</v>
      </c>
      <c r="C97" s="7">
        <v>12</v>
      </c>
      <c r="D97" s="7" t="s">
        <v>596</v>
      </c>
      <c r="E97" s="7" t="s">
        <v>620</v>
      </c>
      <c r="F97" s="2"/>
    </row>
    <row r="98" spans="1:6" ht="14" customHeight="1">
      <c r="A98" s="8">
        <v>3</v>
      </c>
      <c r="B98" s="7" t="str">
        <f>المدخلات!$F$6</f>
        <v>6:40–7:50 م</v>
      </c>
      <c r="C98" s="7">
        <v>10</v>
      </c>
      <c r="D98" s="7" t="s">
        <v>596</v>
      </c>
      <c r="E98" s="7" t="s">
        <v>1329</v>
      </c>
      <c r="F98" s="2"/>
    </row>
    <row r="99" spans="1:6" ht="14" customHeight="1">
      <c r="A99" s="8">
        <v>3</v>
      </c>
      <c r="B99" s="7" t="str">
        <f>المدخلات!$F$6</f>
        <v>6:40–7:50 م</v>
      </c>
      <c r="C99" s="7">
        <v>11</v>
      </c>
      <c r="D99" s="7" t="s">
        <v>596</v>
      </c>
      <c r="E99" s="7" t="s">
        <v>567</v>
      </c>
      <c r="F99" s="2"/>
    </row>
    <row r="100" spans="1:6" ht="14" customHeight="1">
      <c r="A100" s="8">
        <v>4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1048</v>
      </c>
      <c r="F100" s="2"/>
    </row>
    <row r="101" spans="1:6" ht="14" customHeight="1">
      <c r="A101" s="8">
        <v>4</v>
      </c>
      <c r="B101" s="7" t="str">
        <f>المدخلات!$F$4</f>
        <v>4:00–5:10 م</v>
      </c>
      <c r="C101" s="7">
        <v>2</v>
      </c>
      <c r="D101" s="7" t="s">
        <v>593</v>
      </c>
      <c r="E101" s="7" t="s">
        <v>101</v>
      </c>
      <c r="F101" s="2"/>
    </row>
    <row r="102" spans="1:6" ht="14" customHeight="1">
      <c r="A102" s="8">
        <v>4</v>
      </c>
      <c r="B102" s="7" t="str">
        <f>المدخلات!$F$4</f>
        <v>4:00–5:10 م</v>
      </c>
      <c r="C102" s="7">
        <v>3</v>
      </c>
      <c r="D102" s="7" t="s">
        <v>593</v>
      </c>
      <c r="E102" s="7" t="s">
        <v>96</v>
      </c>
      <c r="F102" s="2"/>
    </row>
    <row r="103" spans="1:6" ht="14" customHeight="1">
      <c r="A103" s="8">
        <v>4</v>
      </c>
      <c r="B103" s="7" t="str">
        <f>المدخلات!$F$5</f>
        <v>5:20–6:30 م</v>
      </c>
      <c r="C103" s="7">
        <v>1</v>
      </c>
      <c r="D103" s="7" t="s">
        <v>593</v>
      </c>
      <c r="E103" s="7" t="s">
        <v>26</v>
      </c>
      <c r="F103" s="2"/>
    </row>
    <row r="104" spans="1:6" ht="14" customHeight="1">
      <c r="A104" s="8">
        <v>4</v>
      </c>
      <c r="B104" s="7" t="str">
        <f>المدخلات!$F$5</f>
        <v>5:20–6:30 م</v>
      </c>
      <c r="C104" s="7">
        <v>2</v>
      </c>
      <c r="D104" s="7" t="s">
        <v>593</v>
      </c>
      <c r="E104" s="7" t="s">
        <v>113</v>
      </c>
      <c r="F104" s="2"/>
    </row>
    <row r="105" spans="1:6" ht="14" customHeight="1">
      <c r="A105" s="8">
        <v>4</v>
      </c>
      <c r="B105" s="7" t="str">
        <f>المدخلات!$F$5</f>
        <v>5:20–6:30 م</v>
      </c>
      <c r="C105" s="7">
        <v>3</v>
      </c>
      <c r="D105" s="7" t="s">
        <v>593</v>
      </c>
      <c r="E105" s="7" t="s">
        <v>114</v>
      </c>
      <c r="F105" s="2"/>
    </row>
    <row r="106" spans="1:6" ht="14" customHeight="1">
      <c r="A106" s="8">
        <v>4</v>
      </c>
      <c r="B106" s="7" t="str">
        <f>المدخلات!$F$6</f>
        <v>6:40–7:50 م</v>
      </c>
      <c r="C106" s="7">
        <v>1</v>
      </c>
      <c r="D106" s="7" t="s">
        <v>593</v>
      </c>
      <c r="E106" s="7" t="s">
        <v>1052</v>
      </c>
      <c r="F106" s="2"/>
    </row>
    <row r="107" spans="1:6" ht="14" customHeight="1">
      <c r="A107" s="8">
        <v>4</v>
      </c>
      <c r="B107" s="7" t="str">
        <f>المدخلات!$F$6</f>
        <v>6:40–7:50 م</v>
      </c>
      <c r="C107" s="7">
        <v>2</v>
      </c>
      <c r="D107" s="7" t="s">
        <v>593</v>
      </c>
      <c r="E107" s="7" t="s">
        <v>16</v>
      </c>
      <c r="F107" s="2"/>
    </row>
    <row r="108" spans="1:6" ht="14" customHeight="1">
      <c r="A108" s="8">
        <v>4</v>
      </c>
      <c r="B108" s="7" t="str">
        <f>المدخلات!$F$4</f>
        <v>4:00–5:10 م</v>
      </c>
      <c r="C108" s="7">
        <v>4</v>
      </c>
      <c r="D108" s="7" t="s">
        <v>594</v>
      </c>
      <c r="E108" s="7" t="s">
        <v>1169</v>
      </c>
      <c r="F108" s="2"/>
    </row>
    <row r="109" spans="1:6" ht="14" customHeight="1">
      <c r="A109" s="8">
        <v>4</v>
      </c>
      <c r="B109" s="7" t="str">
        <f>المدخلات!$F$4</f>
        <v>4:00–5:10 م</v>
      </c>
      <c r="C109" s="7">
        <v>5</v>
      </c>
      <c r="D109" s="7" t="s">
        <v>594</v>
      </c>
      <c r="E109" s="7" t="s">
        <v>279</v>
      </c>
      <c r="F109" s="2"/>
    </row>
    <row r="110" spans="1:6" ht="14" customHeight="1">
      <c r="A110" s="8">
        <v>4</v>
      </c>
      <c r="B110" s="7" t="str">
        <f>المدخلات!$F$4</f>
        <v>4:00–5:10 م</v>
      </c>
      <c r="C110" s="7">
        <v>6</v>
      </c>
      <c r="D110" s="7" t="s">
        <v>594</v>
      </c>
      <c r="E110" s="7" t="s">
        <v>271</v>
      </c>
      <c r="F110" s="2"/>
    </row>
    <row r="111" spans="1:6" ht="14" customHeight="1">
      <c r="A111" s="8">
        <v>4</v>
      </c>
      <c r="B111" s="7" t="str">
        <f>المدخلات!$F$5</f>
        <v>5:20–6:30 م</v>
      </c>
      <c r="C111" s="7">
        <v>4</v>
      </c>
      <c r="D111" s="7" t="s">
        <v>594</v>
      </c>
      <c r="E111" s="7" t="s">
        <v>227</v>
      </c>
      <c r="F111" s="2"/>
    </row>
    <row r="112" spans="1:6" ht="14" customHeight="1">
      <c r="A112" s="8">
        <v>4</v>
      </c>
      <c r="B112" s="7" t="str">
        <f>المدخلات!$F$5</f>
        <v>5:20–6:30 م</v>
      </c>
      <c r="C112" s="7">
        <v>5</v>
      </c>
      <c r="D112" s="7" t="s">
        <v>594</v>
      </c>
      <c r="E112" s="7" t="s">
        <v>951</v>
      </c>
      <c r="F112" s="2"/>
    </row>
    <row r="113" spans="1:6" ht="14" customHeight="1">
      <c r="A113" s="8">
        <v>4</v>
      </c>
      <c r="B113" s="7" t="str">
        <f>المدخلات!$F$5</f>
        <v>5:20–6:30 م</v>
      </c>
      <c r="C113" s="7">
        <v>6</v>
      </c>
      <c r="D113" s="7" t="s">
        <v>594</v>
      </c>
      <c r="E113" s="7" t="s">
        <v>289</v>
      </c>
      <c r="F113" s="2"/>
    </row>
    <row r="114" spans="1:6" ht="14" customHeight="1">
      <c r="A114" s="8">
        <v>4</v>
      </c>
      <c r="B114" s="7" t="str">
        <f>المدخلات!$F$6</f>
        <v>6:40–7:50 م</v>
      </c>
      <c r="C114" s="7">
        <v>4</v>
      </c>
      <c r="D114" s="7" t="s">
        <v>594</v>
      </c>
      <c r="E114" s="7" t="s">
        <v>1152</v>
      </c>
      <c r="F114" s="2"/>
    </row>
    <row r="115" spans="1:6" ht="14" customHeight="1">
      <c r="A115" s="8">
        <v>4</v>
      </c>
      <c r="B115" s="7" t="str">
        <f>المدخلات!$F$6</f>
        <v>6:40–7:50 م</v>
      </c>
      <c r="C115" s="7">
        <v>5</v>
      </c>
      <c r="D115" s="7" t="s">
        <v>594</v>
      </c>
      <c r="E115" s="7" t="s">
        <v>223</v>
      </c>
      <c r="F115" s="2"/>
    </row>
    <row r="116" spans="1:6" ht="14" customHeight="1">
      <c r="A116" s="8">
        <v>4</v>
      </c>
      <c r="B116" s="7" t="str">
        <f>المدخلات!$F$4</f>
        <v>4:00–5:10 م</v>
      </c>
      <c r="C116" s="7">
        <v>7</v>
      </c>
      <c r="D116" s="7" t="s">
        <v>595</v>
      </c>
      <c r="E116" s="7" t="s">
        <v>1330</v>
      </c>
      <c r="F116" s="2"/>
    </row>
    <row r="117" spans="1:6" ht="14" customHeight="1">
      <c r="A117" s="8">
        <v>4</v>
      </c>
      <c r="B117" s="7" t="str">
        <f>المدخلات!$F$4</f>
        <v>4:00–5:10 م</v>
      </c>
      <c r="C117" s="7">
        <v>8</v>
      </c>
      <c r="D117" s="7" t="s">
        <v>595</v>
      </c>
      <c r="E117" s="7" t="s">
        <v>444</v>
      </c>
      <c r="F117" s="2"/>
    </row>
    <row r="118" spans="1:6" ht="14" customHeight="1">
      <c r="A118" s="8">
        <v>4</v>
      </c>
      <c r="B118" s="7" t="str">
        <f>المدخلات!$F$4</f>
        <v>4:00–5:10 م</v>
      </c>
      <c r="C118" s="7">
        <v>9</v>
      </c>
      <c r="D118" s="7" t="s">
        <v>595</v>
      </c>
      <c r="E118" s="7" t="s">
        <v>438</v>
      </c>
      <c r="F118" s="2"/>
    </row>
    <row r="119" spans="1:6" ht="14" customHeight="1">
      <c r="A119" s="8">
        <v>4</v>
      </c>
      <c r="B119" s="7" t="str">
        <f>المدخلات!$F$5</f>
        <v>5:20–6:30 م</v>
      </c>
      <c r="C119" s="7">
        <v>7</v>
      </c>
      <c r="D119" s="7" t="s">
        <v>595</v>
      </c>
      <c r="E119" s="7" t="s">
        <v>392</v>
      </c>
      <c r="F119" s="2"/>
    </row>
    <row r="120" spans="1:6" ht="14" customHeight="1">
      <c r="A120" s="8">
        <v>4</v>
      </c>
      <c r="B120" s="7" t="str">
        <f>المدخلات!$F$5</f>
        <v>5:20–6:30 م</v>
      </c>
      <c r="C120" s="7">
        <v>8</v>
      </c>
      <c r="D120" s="7" t="s">
        <v>595</v>
      </c>
      <c r="E120" s="7" t="s">
        <v>952</v>
      </c>
      <c r="F120" s="2"/>
    </row>
    <row r="121" spans="1:6" ht="14" customHeight="1">
      <c r="A121" s="8">
        <v>4</v>
      </c>
      <c r="B121" s="7" t="str">
        <f>المدخلات!$F$5</f>
        <v>5:20–6:30 م</v>
      </c>
      <c r="C121" s="7">
        <v>9</v>
      </c>
      <c r="D121" s="7" t="s">
        <v>595</v>
      </c>
      <c r="E121" s="7" t="s">
        <v>466</v>
      </c>
      <c r="F121" s="2"/>
    </row>
    <row r="122" spans="1:6" ht="14" customHeight="1">
      <c r="A122" s="8">
        <v>4</v>
      </c>
      <c r="B122" s="7" t="str">
        <f>المدخلات!$F$6</f>
        <v>6:40–7:50 م</v>
      </c>
      <c r="C122" s="7">
        <v>7</v>
      </c>
      <c r="D122" s="7" t="s">
        <v>595</v>
      </c>
      <c r="E122" s="7" t="s">
        <v>1246</v>
      </c>
      <c r="F122" s="2"/>
    </row>
    <row r="123" spans="1:6" ht="14" customHeight="1">
      <c r="A123" s="8">
        <v>4</v>
      </c>
      <c r="B123" s="7" t="str">
        <f>المدخلات!$F$6</f>
        <v>6:40–7:50 م</v>
      </c>
      <c r="C123" s="7">
        <v>8</v>
      </c>
      <c r="D123" s="7" t="s">
        <v>595</v>
      </c>
      <c r="E123" s="7" t="s">
        <v>377</v>
      </c>
      <c r="F123" s="2"/>
    </row>
    <row r="124" spans="1:6" ht="14" customHeight="1">
      <c r="A124" s="8">
        <v>4</v>
      </c>
      <c r="B124" s="7" t="str">
        <f>المدخلات!$F$4</f>
        <v>4:00–5:10 م</v>
      </c>
      <c r="C124" s="7">
        <v>10</v>
      </c>
      <c r="D124" s="7" t="s">
        <v>596</v>
      </c>
      <c r="E124" s="7" t="s">
        <v>1331</v>
      </c>
      <c r="F124" s="2"/>
    </row>
    <row r="125" spans="1:6" ht="14" customHeight="1">
      <c r="A125" s="8">
        <v>4</v>
      </c>
      <c r="B125" s="7" t="str">
        <f>المدخلات!$F$4</f>
        <v>4:00–5:10 م</v>
      </c>
      <c r="C125" s="7">
        <v>11</v>
      </c>
      <c r="D125" s="7" t="s">
        <v>596</v>
      </c>
      <c r="E125" s="7" t="s">
        <v>1332</v>
      </c>
      <c r="F125" s="2"/>
    </row>
    <row r="126" spans="1:6" ht="14" customHeight="1">
      <c r="A126" s="8">
        <v>4</v>
      </c>
      <c r="B126" s="7" t="str">
        <f>المدخلات!$F$4</f>
        <v>4:00–5:10 م</v>
      </c>
      <c r="C126" s="7">
        <v>12</v>
      </c>
      <c r="D126" s="7" t="s">
        <v>596</v>
      </c>
      <c r="E126" s="7" t="s">
        <v>1335</v>
      </c>
      <c r="F126" s="2"/>
    </row>
    <row r="127" spans="1:6" ht="14" customHeight="1">
      <c r="A127" s="8">
        <v>4</v>
      </c>
      <c r="B127" s="7" t="str">
        <f>المدخلات!$F$5</f>
        <v>5:20–6:30 م</v>
      </c>
      <c r="C127" s="7">
        <v>10</v>
      </c>
      <c r="D127" s="7" t="s">
        <v>596</v>
      </c>
      <c r="E127" s="7" t="s">
        <v>528</v>
      </c>
      <c r="F127" s="2"/>
    </row>
    <row r="128" spans="1:6" ht="14" customHeight="1">
      <c r="A128" s="8">
        <v>4</v>
      </c>
      <c r="B128" s="7" t="str">
        <f>المدخلات!$F$5</f>
        <v>5:20–6:30 م</v>
      </c>
      <c r="C128" s="7">
        <v>11</v>
      </c>
      <c r="D128" s="7" t="s">
        <v>596</v>
      </c>
      <c r="E128" s="7" t="s">
        <v>953</v>
      </c>
      <c r="F128" s="2"/>
    </row>
    <row r="129" spans="1:6" ht="14" customHeight="1">
      <c r="A129" s="8">
        <v>4</v>
      </c>
      <c r="B129" s="7" t="str">
        <f>المدخلات!$F$5</f>
        <v>5:20–6:30 م</v>
      </c>
      <c r="C129" s="7">
        <v>12</v>
      </c>
      <c r="D129" s="7" t="s">
        <v>596</v>
      </c>
      <c r="E129" s="7" t="s">
        <v>1333</v>
      </c>
      <c r="F129" s="2"/>
    </row>
    <row r="130" spans="1:6" ht="14" customHeight="1">
      <c r="A130" s="8">
        <v>4</v>
      </c>
      <c r="B130" s="7" t="str">
        <f>المدخلات!$F$6</f>
        <v>6:40–7:50 م</v>
      </c>
      <c r="C130" s="7">
        <v>10</v>
      </c>
      <c r="D130" s="7" t="s">
        <v>596</v>
      </c>
      <c r="E130" s="7" t="s">
        <v>1334</v>
      </c>
      <c r="F130" s="2"/>
    </row>
    <row r="131" spans="1:6" ht="14" customHeight="1">
      <c r="A131" s="8">
        <v>4</v>
      </c>
      <c r="B131" s="7" t="str">
        <f>المدخلات!$F$6</f>
        <v>6:40–7:50 م</v>
      </c>
      <c r="C131" s="7">
        <v>11</v>
      </c>
      <c r="D131" s="7" t="s">
        <v>596</v>
      </c>
      <c r="E131" s="7" t="s">
        <v>518</v>
      </c>
      <c r="F131" s="2"/>
    </row>
    <row r="132" spans="1:6" ht="14" customHeight="1">
      <c r="A132" s="8">
        <v>5</v>
      </c>
      <c r="B132" s="7" t="str">
        <f>المدخلات!$F$4</f>
        <v>4:00–5:10 م</v>
      </c>
      <c r="C132" s="7">
        <v>1</v>
      </c>
      <c r="D132" s="7" t="s">
        <v>593</v>
      </c>
      <c r="E132" s="7" t="s">
        <v>22</v>
      </c>
      <c r="F132" s="2"/>
    </row>
    <row r="133" spans="1:6" ht="14" customHeight="1">
      <c r="A133" s="8">
        <v>5</v>
      </c>
      <c r="B133" s="7" t="str">
        <f>المدخلات!$F$4</f>
        <v>4:00–5:10 م</v>
      </c>
      <c r="C133" s="7">
        <v>2</v>
      </c>
      <c r="D133" s="7" t="s">
        <v>593</v>
      </c>
      <c r="E133" s="7" t="s">
        <v>12</v>
      </c>
      <c r="F133" s="2"/>
    </row>
    <row r="134" spans="1:6" ht="14" customHeight="1">
      <c r="A134" s="8">
        <v>5</v>
      </c>
      <c r="B134" s="7" t="str">
        <f>المدخلات!$F$4</f>
        <v>4:00–5:10 م</v>
      </c>
      <c r="C134" s="7">
        <v>3</v>
      </c>
      <c r="D134" s="7" t="s">
        <v>593</v>
      </c>
      <c r="E134" s="7" t="s">
        <v>697</v>
      </c>
      <c r="F134" s="2"/>
    </row>
    <row r="135" spans="1:6" ht="14" customHeight="1">
      <c r="A135" s="8">
        <v>5</v>
      </c>
      <c r="B135" s="7" t="str">
        <f>المدخلات!$F$5</f>
        <v>5:20–6:30 م</v>
      </c>
      <c r="C135" s="7">
        <v>1</v>
      </c>
      <c r="D135" s="7" t="s">
        <v>593</v>
      </c>
      <c r="E135" s="7" t="s">
        <v>10</v>
      </c>
      <c r="F135" s="2"/>
    </row>
    <row r="136" spans="1:6" ht="14" customHeight="1">
      <c r="A136" s="8">
        <v>5</v>
      </c>
      <c r="B136" s="7" t="str">
        <f>المدخلات!$F$5</f>
        <v>5:20–6:30 م</v>
      </c>
      <c r="C136" s="7">
        <v>2</v>
      </c>
      <c r="D136" s="7" t="s">
        <v>593</v>
      </c>
      <c r="E136" s="7" t="s">
        <v>90</v>
      </c>
      <c r="F136" s="2"/>
    </row>
    <row r="137" spans="1:6" ht="14" customHeight="1">
      <c r="A137" s="8">
        <v>5</v>
      </c>
      <c r="B137" s="7" t="str">
        <f>المدخلات!$F$5</f>
        <v>5:20–6:30 م</v>
      </c>
      <c r="C137" s="7">
        <v>3</v>
      </c>
      <c r="D137" s="7" t="s">
        <v>593</v>
      </c>
      <c r="E137" s="7" t="s">
        <v>696</v>
      </c>
      <c r="F137" s="2"/>
    </row>
    <row r="138" spans="1:6" ht="14" customHeight="1">
      <c r="A138" s="8">
        <v>5</v>
      </c>
      <c r="B138" s="7" t="str">
        <f>المدخلات!$F$6</f>
        <v>6:40–7:50 م</v>
      </c>
      <c r="C138" s="7">
        <v>1</v>
      </c>
      <c r="D138" s="7" t="s">
        <v>593</v>
      </c>
      <c r="E138" s="7" t="s">
        <v>636</v>
      </c>
      <c r="F138" s="2"/>
    </row>
    <row r="139" spans="1:6" ht="14" customHeight="1">
      <c r="A139" s="8">
        <v>5</v>
      </c>
      <c r="B139" s="7" t="str">
        <f>المدخلات!$F$6</f>
        <v>6:40–7:50 م</v>
      </c>
      <c r="C139" s="7">
        <v>2</v>
      </c>
      <c r="D139" s="7" t="s">
        <v>593</v>
      </c>
      <c r="E139" s="7" t="s">
        <v>865</v>
      </c>
      <c r="F139" s="2"/>
    </row>
    <row r="140" spans="1:6" ht="14" customHeight="1">
      <c r="A140" s="8">
        <v>5</v>
      </c>
      <c r="B140" s="7" t="str">
        <f>المدخلات!$F$4</f>
        <v>4:00–5:10 م</v>
      </c>
      <c r="C140" s="7">
        <v>4</v>
      </c>
      <c r="D140" s="7" t="s">
        <v>594</v>
      </c>
      <c r="E140" s="7" t="s">
        <v>328</v>
      </c>
      <c r="F140" s="2"/>
    </row>
    <row r="141" spans="1:6" ht="14" customHeight="1">
      <c r="A141" s="8">
        <v>5</v>
      </c>
      <c r="B141" s="7" t="str">
        <f>المدخلات!$F$4</f>
        <v>4:00–5:10 م</v>
      </c>
      <c r="C141" s="7">
        <v>5</v>
      </c>
      <c r="D141" s="7" t="s">
        <v>594</v>
      </c>
      <c r="E141" s="7" t="s">
        <v>224</v>
      </c>
      <c r="F141" s="2"/>
    </row>
    <row r="142" spans="1:6" ht="14" customHeight="1">
      <c r="A142" s="8">
        <v>5</v>
      </c>
      <c r="B142" s="7" t="str">
        <f>المدخلات!$F$4</f>
        <v>4:00–5:10 م</v>
      </c>
      <c r="C142" s="7">
        <v>6</v>
      </c>
      <c r="D142" s="7" t="s">
        <v>594</v>
      </c>
      <c r="E142" s="7" t="s">
        <v>711</v>
      </c>
      <c r="F142" s="2"/>
    </row>
    <row r="143" spans="1:6" ht="14" customHeight="1">
      <c r="A143" s="8">
        <v>5</v>
      </c>
      <c r="B143" s="7" t="str">
        <f>المدخلات!$F$5</f>
        <v>5:20–6:30 م</v>
      </c>
      <c r="C143" s="7">
        <v>4</v>
      </c>
      <c r="D143" s="7" t="s">
        <v>594</v>
      </c>
      <c r="E143" s="7" t="s">
        <v>210</v>
      </c>
      <c r="F143" s="2"/>
    </row>
    <row r="144" spans="1:6" ht="14" customHeight="1">
      <c r="A144" s="8">
        <v>5</v>
      </c>
      <c r="B144" s="7" t="str">
        <f>المدخلات!$F$5</f>
        <v>5:20–6:30 م</v>
      </c>
      <c r="C144" s="7">
        <v>5</v>
      </c>
      <c r="D144" s="7" t="s">
        <v>594</v>
      </c>
      <c r="E144" s="7" t="s">
        <v>264</v>
      </c>
      <c r="F144" s="2"/>
    </row>
    <row r="145" spans="1:6" ht="14" customHeight="1">
      <c r="A145" s="8">
        <v>5</v>
      </c>
      <c r="B145" s="7" t="str">
        <f>المدخلات!$F$5</f>
        <v>5:20–6:30 م</v>
      </c>
      <c r="C145" s="7">
        <v>6</v>
      </c>
      <c r="D145" s="7" t="s">
        <v>594</v>
      </c>
      <c r="E145" s="7" t="s">
        <v>710</v>
      </c>
      <c r="F145" s="2"/>
    </row>
    <row r="146" spans="1:6" ht="14" customHeight="1">
      <c r="A146" s="8">
        <v>5</v>
      </c>
      <c r="B146" s="7" t="str">
        <f>المدخلات!$F$6</f>
        <v>6:40–7:50 م</v>
      </c>
      <c r="C146" s="7">
        <v>4</v>
      </c>
      <c r="D146" s="7" t="s">
        <v>594</v>
      </c>
      <c r="E146" s="7" t="s">
        <v>639</v>
      </c>
      <c r="F146" s="2"/>
    </row>
    <row r="147" spans="1:6" ht="14" customHeight="1">
      <c r="A147" s="8">
        <v>5</v>
      </c>
      <c r="B147" s="7" t="str">
        <f>المدخلات!$F$6</f>
        <v>6:40–7:50 م</v>
      </c>
      <c r="C147" s="7">
        <v>5</v>
      </c>
      <c r="D147" s="7" t="s">
        <v>594</v>
      </c>
      <c r="E147" s="7" t="s">
        <v>1175</v>
      </c>
      <c r="F147" s="2"/>
    </row>
    <row r="148" spans="1:6" ht="14" customHeight="1">
      <c r="A148" s="8">
        <v>5</v>
      </c>
      <c r="B148" s="7" t="str">
        <f>المدخلات!$F$4</f>
        <v>4:00–5:10 م</v>
      </c>
      <c r="C148" s="7">
        <v>7</v>
      </c>
      <c r="D148" s="7" t="s">
        <v>595</v>
      </c>
      <c r="E148" s="7" t="s">
        <v>393</v>
      </c>
      <c r="F148" s="2"/>
    </row>
    <row r="149" spans="1:6" ht="14" customHeight="1">
      <c r="A149" s="8">
        <v>5</v>
      </c>
      <c r="B149" s="7" t="str">
        <f>المدخلات!$F$4</f>
        <v>4:00–5:10 م</v>
      </c>
      <c r="C149" s="7">
        <v>8</v>
      </c>
      <c r="D149" s="7" t="s">
        <v>595</v>
      </c>
      <c r="E149" s="7" t="s">
        <v>378</v>
      </c>
      <c r="F149" s="2"/>
    </row>
    <row r="150" spans="1:6" ht="14" customHeight="1">
      <c r="A150" s="8">
        <v>5</v>
      </c>
      <c r="B150" s="7" t="str">
        <f>المدخلات!$F$4</f>
        <v>4:00–5:10 م</v>
      </c>
      <c r="C150" s="7">
        <v>9</v>
      </c>
      <c r="D150" s="7" t="s">
        <v>595</v>
      </c>
      <c r="E150" s="7" t="s">
        <v>734</v>
      </c>
      <c r="F150" s="2"/>
    </row>
    <row r="151" spans="1:6" ht="14" customHeight="1">
      <c r="A151" s="8">
        <v>5</v>
      </c>
      <c r="B151" s="7" t="str">
        <f>المدخلات!$F$5</f>
        <v>5:20–6:30 م</v>
      </c>
      <c r="C151" s="7">
        <v>7</v>
      </c>
      <c r="D151" s="7" t="s">
        <v>595</v>
      </c>
      <c r="E151" s="7" t="s">
        <v>362</v>
      </c>
      <c r="F151" s="2"/>
    </row>
    <row r="152" spans="1:6" ht="14" customHeight="1">
      <c r="A152" s="8">
        <v>5</v>
      </c>
      <c r="B152" s="7" t="str">
        <f>المدخلات!$F$5</f>
        <v>5:20–6:30 م</v>
      </c>
      <c r="C152" s="7">
        <v>8</v>
      </c>
      <c r="D152" s="7" t="s">
        <v>595</v>
      </c>
      <c r="E152" s="7" t="s">
        <v>432</v>
      </c>
      <c r="F152" s="2"/>
    </row>
    <row r="153" spans="1:6" ht="14" customHeight="1">
      <c r="A153" s="8">
        <v>5</v>
      </c>
      <c r="B153" s="7" t="str">
        <f>المدخلات!$F$5</f>
        <v>5:20–6:30 م</v>
      </c>
      <c r="C153" s="7">
        <v>9</v>
      </c>
      <c r="D153" s="7" t="s">
        <v>595</v>
      </c>
      <c r="E153" s="7" t="s">
        <v>733</v>
      </c>
      <c r="F153" s="2"/>
    </row>
    <row r="154" spans="1:6" ht="14" customHeight="1">
      <c r="A154" s="8">
        <v>5</v>
      </c>
      <c r="B154" s="7" t="str">
        <f>المدخلات!$F$6</f>
        <v>6:40–7:50 م</v>
      </c>
      <c r="C154" s="7">
        <v>7</v>
      </c>
      <c r="D154" s="7" t="s">
        <v>595</v>
      </c>
      <c r="E154" s="7" t="s">
        <v>642</v>
      </c>
      <c r="F154" s="2"/>
    </row>
    <row r="155" spans="1:6" ht="14" customHeight="1">
      <c r="A155" s="8">
        <v>5</v>
      </c>
      <c r="B155" s="7" t="str">
        <f>المدخلات!$F$6</f>
        <v>6:40–7:50 م</v>
      </c>
      <c r="C155" s="7">
        <v>8</v>
      </c>
      <c r="D155" s="7" t="s">
        <v>595</v>
      </c>
      <c r="E155" s="7" t="s">
        <v>1336</v>
      </c>
      <c r="F155" s="2"/>
    </row>
    <row r="156" spans="1:6" ht="14" customHeight="1">
      <c r="A156" s="8">
        <v>5</v>
      </c>
      <c r="B156" s="7" t="str">
        <f>المدخلات!$F$4</f>
        <v>4:00–5:10 م</v>
      </c>
      <c r="C156" s="7">
        <v>10</v>
      </c>
      <c r="D156" s="7" t="s">
        <v>596</v>
      </c>
      <c r="E156" s="7" t="s">
        <v>529</v>
      </c>
      <c r="F156" s="2"/>
    </row>
    <row r="157" spans="1:6" ht="14" customHeight="1">
      <c r="A157" s="8">
        <v>5</v>
      </c>
      <c r="B157" s="7" t="str">
        <f>المدخلات!$F$4</f>
        <v>4:00–5:10 م</v>
      </c>
      <c r="C157" s="7">
        <v>11</v>
      </c>
      <c r="D157" s="7" t="s">
        <v>596</v>
      </c>
      <c r="E157" s="7" t="s">
        <v>519</v>
      </c>
      <c r="F157" s="2"/>
    </row>
    <row r="158" spans="1:6" ht="14" customHeight="1">
      <c r="A158" s="8">
        <v>5</v>
      </c>
      <c r="B158" s="7" t="str">
        <f>المدخلات!$F$4</f>
        <v>4:00–5:10 م</v>
      </c>
      <c r="C158" s="7">
        <v>12</v>
      </c>
      <c r="D158" s="7" t="s">
        <v>596</v>
      </c>
      <c r="E158" s="7" t="s">
        <v>717</v>
      </c>
      <c r="F158" s="2"/>
    </row>
    <row r="159" spans="1:6" ht="14" customHeight="1">
      <c r="A159" s="8">
        <v>5</v>
      </c>
      <c r="B159" s="7" t="str">
        <f>المدخلات!$F$5</f>
        <v>5:20–6:30 م</v>
      </c>
      <c r="C159" s="7">
        <v>10</v>
      </c>
      <c r="D159" s="7" t="s">
        <v>596</v>
      </c>
      <c r="E159" s="7" t="s">
        <v>508</v>
      </c>
      <c r="F159" s="2"/>
    </row>
    <row r="160" spans="1:6" ht="14" customHeight="1">
      <c r="A160" s="8">
        <v>5</v>
      </c>
      <c r="B160" s="7" t="str">
        <f>المدخلات!$F$5</f>
        <v>5:20–6:30 م</v>
      </c>
      <c r="C160" s="7">
        <v>11</v>
      </c>
      <c r="D160" s="7" t="s">
        <v>596</v>
      </c>
      <c r="E160" s="7" t="s">
        <v>1338</v>
      </c>
      <c r="F160" s="2"/>
    </row>
    <row r="161" spans="1:6" ht="14" customHeight="1">
      <c r="A161" s="8">
        <v>5</v>
      </c>
      <c r="B161" s="7" t="str">
        <f>المدخلات!$F$5</f>
        <v>5:20–6:30 م</v>
      </c>
      <c r="C161" s="7">
        <v>12</v>
      </c>
      <c r="D161" s="7" t="s">
        <v>596</v>
      </c>
      <c r="E161" s="7" t="s">
        <v>716</v>
      </c>
      <c r="F161" s="2"/>
    </row>
    <row r="162" spans="1:6" ht="14" customHeight="1">
      <c r="A162" s="8">
        <v>5</v>
      </c>
      <c r="B162" s="7" t="str">
        <f>المدخلات!$F$6</f>
        <v>6:40–7:50 م</v>
      </c>
      <c r="C162" s="7">
        <v>10</v>
      </c>
      <c r="D162" s="7" t="s">
        <v>596</v>
      </c>
      <c r="E162" s="7" t="s">
        <v>645</v>
      </c>
      <c r="F162" s="2"/>
    </row>
    <row r="163" spans="1:6" ht="14" customHeight="1">
      <c r="A163" s="8">
        <v>5</v>
      </c>
      <c r="B163" s="7" t="str">
        <f>المدخلات!$F$6</f>
        <v>6:40–7:50 م</v>
      </c>
      <c r="C163" s="7">
        <v>11</v>
      </c>
      <c r="D163" s="7" t="s">
        <v>596</v>
      </c>
      <c r="E163" s="7" t="s">
        <v>1337</v>
      </c>
      <c r="F163" s="2"/>
    </row>
    <row r="164" spans="1:6" ht="14" customHeight="1">
      <c r="A164" s="8">
        <v>6</v>
      </c>
      <c r="B164" s="7" t="str">
        <f>المدخلات!$F$4</f>
        <v>4:00–5:10 م</v>
      </c>
      <c r="C164" s="7">
        <v>1</v>
      </c>
      <c r="D164" s="7" t="s">
        <v>593</v>
      </c>
      <c r="E164" s="7" t="s">
        <v>64</v>
      </c>
      <c r="F164" s="2"/>
    </row>
    <row r="165" spans="1:6" ht="14" customHeight="1">
      <c r="A165" s="8">
        <v>6</v>
      </c>
      <c r="B165" s="7" t="str">
        <f>المدخلات!$F$4</f>
        <v>4:00–5:10 م</v>
      </c>
      <c r="C165" s="7">
        <v>2</v>
      </c>
      <c r="D165" s="7" t="s">
        <v>593</v>
      </c>
      <c r="E165" s="7" t="s">
        <v>54</v>
      </c>
      <c r="F165" s="2"/>
    </row>
    <row r="166" spans="1:6" ht="14" customHeight="1">
      <c r="A166" s="8">
        <v>6</v>
      </c>
      <c r="B166" s="7" t="str">
        <f>المدخلات!$F$4</f>
        <v>4:00–5:10 م</v>
      </c>
      <c r="C166" s="7">
        <v>3</v>
      </c>
      <c r="D166" s="7" t="s">
        <v>593</v>
      </c>
      <c r="E166" s="7" t="s">
        <v>117</v>
      </c>
      <c r="F166" s="2"/>
    </row>
    <row r="167" spans="1:6" ht="14" customHeight="1">
      <c r="A167" s="8">
        <v>6</v>
      </c>
      <c r="B167" s="7" t="str">
        <f>المدخلات!$F$5</f>
        <v>5:20–6:30 م</v>
      </c>
      <c r="C167" s="7">
        <v>1</v>
      </c>
      <c r="D167" s="7" t="s">
        <v>593</v>
      </c>
      <c r="E167" s="7" t="s">
        <v>95</v>
      </c>
      <c r="F167" s="2"/>
    </row>
    <row r="168" spans="1:6" ht="14" customHeight="1">
      <c r="A168" s="8">
        <v>6</v>
      </c>
      <c r="B168" s="7" t="str">
        <f>المدخلات!$F$5</f>
        <v>5:20–6:30 م</v>
      </c>
      <c r="C168" s="7">
        <v>2</v>
      </c>
      <c r="D168" s="7" t="s">
        <v>593</v>
      </c>
      <c r="E168" s="7" t="s">
        <v>19</v>
      </c>
      <c r="F168" s="2"/>
    </row>
    <row r="169" spans="1:6" ht="14" customHeight="1">
      <c r="A169" s="8">
        <v>6</v>
      </c>
      <c r="B169" s="7" t="str">
        <f>المدخلات!$F$5</f>
        <v>5:20–6:30 م</v>
      </c>
      <c r="C169" s="7">
        <v>3</v>
      </c>
      <c r="D169" s="7" t="s">
        <v>593</v>
      </c>
      <c r="E169" s="7" t="s">
        <v>7</v>
      </c>
      <c r="F169" s="2"/>
    </row>
    <row r="170" spans="1:6" ht="14" customHeight="1">
      <c r="A170" s="8">
        <v>6</v>
      </c>
      <c r="B170" s="7" t="str">
        <f>المدخلات!$F$6</f>
        <v>6:40–7:50 م</v>
      </c>
      <c r="C170" s="7">
        <v>1</v>
      </c>
      <c r="D170" s="7" t="s">
        <v>593</v>
      </c>
      <c r="E170" s="7" t="s">
        <v>118</v>
      </c>
      <c r="F170" s="2"/>
    </row>
    <row r="171" spans="1:6" ht="14" customHeight="1">
      <c r="A171" s="8">
        <v>6</v>
      </c>
      <c r="B171" s="7" t="str">
        <f>المدخلات!$F$6</f>
        <v>6:40–7:50 م</v>
      </c>
      <c r="C171" s="7">
        <v>2</v>
      </c>
      <c r="D171" s="7" t="s">
        <v>593</v>
      </c>
      <c r="E171" s="7" t="s">
        <v>91</v>
      </c>
      <c r="F171" s="2"/>
    </row>
    <row r="172" spans="1:6" ht="14" customHeight="1">
      <c r="A172" s="8">
        <v>6</v>
      </c>
      <c r="B172" s="7" t="str">
        <f>المدخلات!$F$4</f>
        <v>4:00–5:10 م</v>
      </c>
      <c r="C172" s="7">
        <v>4</v>
      </c>
      <c r="D172" s="7" t="s">
        <v>594</v>
      </c>
      <c r="E172" s="7" t="s">
        <v>257</v>
      </c>
      <c r="F172" s="2"/>
    </row>
    <row r="173" spans="1:6" ht="14" customHeight="1">
      <c r="A173" s="8">
        <v>6</v>
      </c>
      <c r="B173" s="7" t="str">
        <f>المدخلات!$F$4</f>
        <v>4:00–5:10 م</v>
      </c>
      <c r="C173" s="7">
        <v>5</v>
      </c>
      <c r="D173" s="7" t="s">
        <v>594</v>
      </c>
      <c r="E173" s="7" t="s">
        <v>954</v>
      </c>
      <c r="F173" s="2"/>
    </row>
    <row r="174" spans="1:6" ht="14" customHeight="1">
      <c r="A174" s="8">
        <v>6</v>
      </c>
      <c r="B174" s="7" t="str">
        <f>المدخلات!$F$4</f>
        <v>4:00–5:10 م</v>
      </c>
      <c r="C174" s="7">
        <v>6</v>
      </c>
      <c r="D174" s="7" t="s">
        <v>594</v>
      </c>
      <c r="E174" s="7" t="s">
        <v>282</v>
      </c>
      <c r="F174" s="2"/>
    </row>
    <row r="175" spans="1:6" ht="14" customHeight="1">
      <c r="A175" s="8">
        <v>6</v>
      </c>
      <c r="B175" s="7" t="str">
        <f>المدخلات!$F$5</f>
        <v>5:20–6:30 م</v>
      </c>
      <c r="C175" s="7">
        <v>4</v>
      </c>
      <c r="D175" s="7" t="s">
        <v>594</v>
      </c>
      <c r="E175" s="7" t="s">
        <v>281</v>
      </c>
      <c r="F175" s="2"/>
    </row>
    <row r="176" spans="1:6" ht="14" customHeight="1">
      <c r="A176" s="8">
        <v>6</v>
      </c>
      <c r="B176" s="7" t="str">
        <f>المدخلات!$F$5</f>
        <v>5:20–6:30 م</v>
      </c>
      <c r="C176" s="7">
        <v>5</v>
      </c>
      <c r="D176" s="7" t="s">
        <v>594</v>
      </c>
      <c r="E176" s="7" t="s">
        <v>196</v>
      </c>
      <c r="F176" s="2"/>
    </row>
    <row r="177" spans="1:6" ht="14" customHeight="1">
      <c r="A177" s="8">
        <v>6</v>
      </c>
      <c r="B177" s="7" t="str">
        <f>المدخلات!$F$5</f>
        <v>5:20–6:30 م</v>
      </c>
      <c r="C177" s="7">
        <v>6</v>
      </c>
      <c r="D177" s="7" t="s">
        <v>594</v>
      </c>
      <c r="E177" s="7" t="s">
        <v>211</v>
      </c>
      <c r="F177" s="2"/>
    </row>
    <row r="178" spans="1:6" ht="14" customHeight="1">
      <c r="A178" s="8">
        <v>6</v>
      </c>
      <c r="B178" s="7" t="str">
        <f>المدخلات!$F$6</f>
        <v>6:40–7:50 م</v>
      </c>
      <c r="C178" s="7">
        <v>4</v>
      </c>
      <c r="D178" s="7" t="s">
        <v>594</v>
      </c>
      <c r="E178" s="7" t="s">
        <v>317</v>
      </c>
      <c r="F178" s="2"/>
    </row>
    <row r="179" spans="1:6" ht="14" customHeight="1">
      <c r="A179" s="8">
        <v>6</v>
      </c>
      <c r="B179" s="7" t="str">
        <f>المدخلات!$F$6</f>
        <v>6:40–7:50 م</v>
      </c>
      <c r="C179" s="7">
        <v>5</v>
      </c>
      <c r="D179" s="7" t="s">
        <v>594</v>
      </c>
      <c r="E179" s="7" t="s">
        <v>265</v>
      </c>
      <c r="F179" s="2"/>
    </row>
    <row r="180" spans="1:6" ht="14" customHeight="1">
      <c r="A180" s="8">
        <v>6</v>
      </c>
      <c r="B180" s="7" t="str">
        <f>المدخلات!$F$4</f>
        <v>4:00–5:10 م</v>
      </c>
      <c r="C180" s="7">
        <v>7</v>
      </c>
      <c r="D180" s="7" t="s">
        <v>595</v>
      </c>
      <c r="E180" s="7" t="s">
        <v>424</v>
      </c>
      <c r="F180" s="2"/>
    </row>
    <row r="181" spans="1:6" ht="14" customHeight="1">
      <c r="A181" s="8">
        <v>6</v>
      </c>
      <c r="B181" s="7" t="str">
        <f>المدخلات!$F$4</f>
        <v>4:00–5:10 م</v>
      </c>
      <c r="C181" s="7">
        <v>8</v>
      </c>
      <c r="D181" s="7" t="s">
        <v>595</v>
      </c>
      <c r="E181" s="7" t="s">
        <v>592</v>
      </c>
      <c r="F181" s="2"/>
    </row>
    <row r="182" spans="1:6" ht="14" customHeight="1">
      <c r="A182" s="8">
        <v>6</v>
      </c>
      <c r="B182" s="7" t="str">
        <f>المدخلات!$F$4</f>
        <v>4:00–5:10 م</v>
      </c>
      <c r="C182" s="7">
        <v>9</v>
      </c>
      <c r="D182" s="7" t="s">
        <v>595</v>
      </c>
      <c r="E182" s="7" t="s">
        <v>1339</v>
      </c>
      <c r="F182" s="2"/>
    </row>
    <row r="183" spans="1:6" ht="14" customHeight="1">
      <c r="A183" s="8">
        <v>6</v>
      </c>
      <c r="B183" s="7" t="str">
        <f>المدخلات!$F$5</f>
        <v>5:20–6:30 م</v>
      </c>
      <c r="C183" s="7">
        <v>7</v>
      </c>
      <c r="D183" s="7" t="s">
        <v>595</v>
      </c>
      <c r="E183" s="7" t="s">
        <v>486</v>
      </c>
      <c r="F183" s="2"/>
    </row>
    <row r="184" spans="1:6" ht="14" customHeight="1">
      <c r="A184" s="8">
        <v>6</v>
      </c>
      <c r="B184" s="7" t="str">
        <f>المدخلات!$F$5</f>
        <v>5:20–6:30 م</v>
      </c>
      <c r="C184" s="7">
        <v>8</v>
      </c>
      <c r="D184" s="7" t="s">
        <v>595</v>
      </c>
      <c r="E184" s="7" t="s">
        <v>344</v>
      </c>
      <c r="F184" s="2"/>
    </row>
    <row r="185" spans="1:6" ht="14" customHeight="1">
      <c r="A185" s="8">
        <v>6</v>
      </c>
      <c r="B185" s="7" t="str">
        <f>المدخلات!$F$5</f>
        <v>5:20–6:30 م</v>
      </c>
      <c r="C185" s="7">
        <v>9</v>
      </c>
      <c r="D185" s="7" t="s">
        <v>595</v>
      </c>
      <c r="E185" s="7" t="s">
        <v>363</v>
      </c>
      <c r="F185" s="2"/>
    </row>
    <row r="186" spans="1:6" ht="14" customHeight="1">
      <c r="A186" s="8">
        <v>6</v>
      </c>
      <c r="B186" s="7" t="str">
        <f>المدخلات!$F$6</f>
        <v>6:40–7:50 م</v>
      </c>
      <c r="C186" s="7">
        <v>7</v>
      </c>
      <c r="D186" s="7" t="s">
        <v>595</v>
      </c>
      <c r="E186" s="7" t="s">
        <v>1340</v>
      </c>
      <c r="F186" s="2"/>
    </row>
    <row r="187" spans="1:6" ht="14" customHeight="1">
      <c r="A187" s="8">
        <v>6</v>
      </c>
      <c r="B187" s="7" t="str">
        <f>المدخلات!$F$6</f>
        <v>6:40–7:50 م</v>
      </c>
      <c r="C187" s="7">
        <v>8</v>
      </c>
      <c r="D187" s="7" t="s">
        <v>595</v>
      </c>
      <c r="E187" s="7" t="s">
        <v>433</v>
      </c>
      <c r="F187" s="2"/>
    </row>
    <row r="188" spans="1:6" ht="14" customHeight="1">
      <c r="A188" s="8">
        <v>6</v>
      </c>
      <c r="B188" s="7" t="str">
        <f>المدخلات!$F$4</f>
        <v>4:00–5:10 م</v>
      </c>
      <c r="C188" s="7">
        <v>10</v>
      </c>
      <c r="D188" s="7" t="s">
        <v>596</v>
      </c>
      <c r="E188" s="7" t="s">
        <v>1341</v>
      </c>
      <c r="F188" s="2"/>
    </row>
    <row r="189" spans="1:6" ht="14" customHeight="1">
      <c r="A189" s="8">
        <v>6</v>
      </c>
      <c r="B189" s="7" t="str">
        <f>المدخلات!$F$4</f>
        <v>4:00–5:10 م</v>
      </c>
      <c r="C189" s="7">
        <v>11</v>
      </c>
      <c r="D189" s="7" t="s">
        <v>596</v>
      </c>
      <c r="E189" s="7" t="s">
        <v>569</v>
      </c>
      <c r="F189" s="2"/>
    </row>
    <row r="190" spans="1:6" ht="14" customHeight="1">
      <c r="A190" s="8">
        <v>6</v>
      </c>
      <c r="B190" s="7" t="str">
        <f>المدخلات!$F$4</f>
        <v>4:00–5:10 م</v>
      </c>
      <c r="C190" s="7">
        <v>12</v>
      </c>
      <c r="D190" s="7" t="s">
        <v>596</v>
      </c>
      <c r="E190" s="7" t="s">
        <v>1343</v>
      </c>
      <c r="F190" s="2"/>
    </row>
    <row r="191" spans="1:6" ht="14" customHeight="1">
      <c r="A191" s="8">
        <v>6</v>
      </c>
      <c r="B191" s="7" t="str">
        <f>المدخلات!$F$5</f>
        <v>5:20–6:30 م</v>
      </c>
      <c r="C191" s="7">
        <v>10</v>
      </c>
      <c r="D191" s="7" t="s">
        <v>596</v>
      </c>
      <c r="E191" s="7" t="s">
        <v>1342</v>
      </c>
      <c r="F191" s="2"/>
    </row>
    <row r="192" spans="1:6" ht="14" customHeight="1">
      <c r="A192" s="8">
        <v>6</v>
      </c>
      <c r="B192" s="7" t="str">
        <f>المدخلات!$F$5</f>
        <v>5:20–6:30 م</v>
      </c>
      <c r="C192" s="7">
        <v>11</v>
      </c>
      <c r="D192" s="7" t="s">
        <v>596</v>
      </c>
      <c r="E192" s="7" t="s">
        <v>499</v>
      </c>
      <c r="F192" s="2"/>
    </row>
    <row r="193" spans="1:6" ht="14" customHeight="1">
      <c r="A193" s="8">
        <v>6</v>
      </c>
      <c r="B193" s="7" t="str">
        <f>المدخلات!$F$5</f>
        <v>5:20–6:30 م</v>
      </c>
      <c r="C193" s="7">
        <v>12</v>
      </c>
      <c r="D193" s="7" t="s">
        <v>596</v>
      </c>
      <c r="E193" s="7" t="s">
        <v>509</v>
      </c>
      <c r="F193" s="2"/>
    </row>
    <row r="194" spans="1:6" ht="14" customHeight="1">
      <c r="A194" s="8">
        <v>6</v>
      </c>
      <c r="B194" s="7" t="str">
        <f>المدخلات!$F$6</f>
        <v>6:40–7:50 م</v>
      </c>
      <c r="C194" s="7">
        <v>10</v>
      </c>
      <c r="D194" s="7" t="s">
        <v>596</v>
      </c>
      <c r="E194" s="7" t="s">
        <v>1345</v>
      </c>
      <c r="F194" s="2"/>
    </row>
    <row r="195" spans="1:6" ht="14" customHeight="1">
      <c r="A195" s="8">
        <v>6</v>
      </c>
      <c r="B195" s="7" t="str">
        <f>المدخلات!$F$6</f>
        <v>6:40–7:50 م</v>
      </c>
      <c r="C195" s="7">
        <v>11</v>
      </c>
      <c r="D195" s="7" t="s">
        <v>596</v>
      </c>
      <c r="E195" s="7" t="s">
        <v>1344</v>
      </c>
      <c r="F195" s="2"/>
    </row>
    <row r="196" spans="1:6" ht="14" customHeight="1">
      <c r="A196" s="8">
        <v>7</v>
      </c>
      <c r="B196" s="7" t="str">
        <f>المدخلات!$F$4</f>
        <v>4:00–5:10 م</v>
      </c>
      <c r="C196" s="7">
        <v>1</v>
      </c>
      <c r="D196" s="7" t="s">
        <v>593</v>
      </c>
      <c r="E196" s="7" t="s">
        <v>725</v>
      </c>
      <c r="F196" s="2"/>
    </row>
    <row r="197" spans="1:6" ht="14" customHeight="1">
      <c r="A197" s="8">
        <v>7</v>
      </c>
      <c r="B197" s="7" t="str">
        <f>المدخلات!$F$4</f>
        <v>4:00–5:10 م</v>
      </c>
      <c r="C197" s="7">
        <v>2</v>
      </c>
      <c r="D197" s="7" t="s">
        <v>593</v>
      </c>
      <c r="E197" s="7" t="s">
        <v>726</v>
      </c>
      <c r="F197" s="2"/>
    </row>
    <row r="198" spans="1:6" ht="14" customHeight="1">
      <c r="A198" s="8">
        <v>7</v>
      </c>
      <c r="B198" s="7" t="str">
        <f>المدخلات!$F$4</f>
        <v>4:00–5:10 م</v>
      </c>
      <c r="C198" s="7">
        <v>3</v>
      </c>
      <c r="D198" s="7" t="s">
        <v>593</v>
      </c>
      <c r="E198" s="7" t="s">
        <v>52</v>
      </c>
      <c r="F198" s="2"/>
    </row>
    <row r="199" spans="1:6" ht="14" customHeight="1">
      <c r="A199" s="8">
        <v>7</v>
      </c>
      <c r="B199" s="7" t="str">
        <f>المدخلات!$F$5</f>
        <v>5:20–6:30 م</v>
      </c>
      <c r="C199" s="7">
        <v>1</v>
      </c>
      <c r="D199" s="7" t="s">
        <v>593</v>
      </c>
      <c r="E199" s="7" t="s">
        <v>724</v>
      </c>
      <c r="F199" s="2"/>
    </row>
    <row r="200" spans="1:6" ht="14" customHeight="1">
      <c r="A200" s="8">
        <v>7</v>
      </c>
      <c r="B200" s="7" t="str">
        <f>المدخلات!$F$5</f>
        <v>5:20–6:30 م</v>
      </c>
      <c r="C200" s="7">
        <v>2</v>
      </c>
      <c r="D200" s="7" t="s">
        <v>593</v>
      </c>
      <c r="E200" s="7" t="s">
        <v>723</v>
      </c>
      <c r="F200" s="2"/>
    </row>
    <row r="201" spans="1:6" ht="14" customHeight="1">
      <c r="A201" s="8">
        <v>7</v>
      </c>
      <c r="B201" s="7" t="str">
        <f>المدخلات!$F$5</f>
        <v>5:20–6:30 م</v>
      </c>
      <c r="C201" s="7">
        <v>3</v>
      </c>
      <c r="D201" s="7" t="s">
        <v>593</v>
      </c>
      <c r="E201" s="7" t="s">
        <v>1054</v>
      </c>
      <c r="F201" s="2"/>
    </row>
    <row r="202" spans="1:6" ht="14" customHeight="1">
      <c r="A202" s="8">
        <v>7</v>
      </c>
      <c r="B202" s="7" t="str">
        <f>المدخلات!$F$6</f>
        <v>6:40–7:50 م</v>
      </c>
      <c r="C202" s="7">
        <v>1</v>
      </c>
      <c r="D202" s="7" t="s">
        <v>593</v>
      </c>
      <c r="E202" s="7" t="s">
        <v>17</v>
      </c>
      <c r="F202" s="2"/>
    </row>
    <row r="203" spans="1:6" ht="14" customHeight="1">
      <c r="A203" s="8">
        <v>7</v>
      </c>
      <c r="B203" s="7" t="str">
        <f>المدخلات!$F$6</f>
        <v>6:40–7:50 م</v>
      </c>
      <c r="C203" s="7">
        <v>2</v>
      </c>
      <c r="D203" s="7" t="s">
        <v>593</v>
      </c>
      <c r="E203" s="7" t="s">
        <v>68</v>
      </c>
      <c r="F203" s="2"/>
    </row>
    <row r="204" spans="1:6" ht="14" customHeight="1">
      <c r="A204" s="8">
        <v>7</v>
      </c>
      <c r="B204" s="7" t="str">
        <f>المدخلات!$F$4</f>
        <v>4:00–5:10 م</v>
      </c>
      <c r="C204" s="7">
        <v>4</v>
      </c>
      <c r="D204" s="7" t="s">
        <v>594</v>
      </c>
      <c r="E204" s="7" t="s">
        <v>751</v>
      </c>
      <c r="F204" s="2"/>
    </row>
    <row r="205" spans="1:6" ht="14" customHeight="1">
      <c r="A205" s="8">
        <v>7</v>
      </c>
      <c r="B205" s="7" t="str">
        <f>المدخلات!$F$4</f>
        <v>4:00–5:10 م</v>
      </c>
      <c r="C205" s="7">
        <v>5</v>
      </c>
      <c r="D205" s="7" t="s">
        <v>594</v>
      </c>
      <c r="E205" s="7" t="s">
        <v>752</v>
      </c>
      <c r="F205" s="2"/>
    </row>
    <row r="206" spans="1:6" ht="14" customHeight="1">
      <c r="A206" s="8">
        <v>7</v>
      </c>
      <c r="B206" s="7" t="str">
        <f>المدخلات!$F$4</f>
        <v>4:00–5:10 م</v>
      </c>
      <c r="C206" s="7">
        <v>6</v>
      </c>
      <c r="D206" s="7" t="s">
        <v>594</v>
      </c>
      <c r="E206" s="7" t="s">
        <v>248</v>
      </c>
      <c r="F206" s="2"/>
    </row>
    <row r="207" spans="1:6" ht="14" customHeight="1">
      <c r="A207" s="8">
        <v>7</v>
      </c>
      <c r="B207" s="7" t="str">
        <f>المدخلات!$F$5</f>
        <v>5:20–6:30 م</v>
      </c>
      <c r="C207" s="7">
        <v>4</v>
      </c>
      <c r="D207" s="7" t="s">
        <v>594</v>
      </c>
      <c r="E207" s="7" t="s">
        <v>750</v>
      </c>
      <c r="F207" s="2"/>
    </row>
    <row r="208" spans="1:6" ht="14" customHeight="1">
      <c r="A208" s="8">
        <v>7</v>
      </c>
      <c r="B208" s="7" t="str">
        <f>المدخلات!$F$5</f>
        <v>5:20–6:30 م</v>
      </c>
      <c r="C208" s="7">
        <v>5</v>
      </c>
      <c r="D208" s="7" t="s">
        <v>594</v>
      </c>
      <c r="E208" s="7" t="s">
        <v>749</v>
      </c>
      <c r="F208" s="2"/>
    </row>
    <row r="209" spans="1:6" ht="14" customHeight="1">
      <c r="A209" s="8">
        <v>7</v>
      </c>
      <c r="B209" s="7" t="str">
        <f>المدخلات!$F$5</f>
        <v>5:20–6:30 م</v>
      </c>
      <c r="C209" s="7">
        <v>6</v>
      </c>
      <c r="D209" s="7" t="s">
        <v>594</v>
      </c>
      <c r="E209" s="7" t="s">
        <v>1160</v>
      </c>
      <c r="F209" s="2"/>
    </row>
    <row r="210" spans="1:6" ht="14" customHeight="1">
      <c r="A210" s="8">
        <v>7</v>
      </c>
      <c r="B210" s="7" t="str">
        <f>المدخلات!$F$6</f>
        <v>6:40–7:50 م</v>
      </c>
      <c r="C210" s="7">
        <v>4</v>
      </c>
      <c r="D210" s="7" t="s">
        <v>594</v>
      </c>
      <c r="E210" s="7" t="s">
        <v>177</v>
      </c>
      <c r="F210" s="2"/>
    </row>
    <row r="211" spans="1:6" ht="14" customHeight="1">
      <c r="A211" s="8">
        <v>7</v>
      </c>
      <c r="B211" s="7" t="str">
        <f>المدخلات!$F$6</f>
        <v>6:40–7:50 م</v>
      </c>
      <c r="C211" s="7">
        <v>5</v>
      </c>
      <c r="D211" s="7" t="s">
        <v>594</v>
      </c>
      <c r="E211" s="7" t="s">
        <v>258</v>
      </c>
      <c r="F211" s="2"/>
    </row>
    <row r="212" spans="1:6" ht="14" customHeight="1">
      <c r="A212" s="8">
        <v>7</v>
      </c>
      <c r="B212" s="7" t="str">
        <f>المدخلات!$F$4</f>
        <v>4:00–5:10 م</v>
      </c>
      <c r="C212" s="7">
        <v>7</v>
      </c>
      <c r="D212" s="7" t="s">
        <v>595</v>
      </c>
      <c r="E212" s="7" t="s">
        <v>780</v>
      </c>
      <c r="F212" s="2"/>
    </row>
    <row r="213" spans="1:6" ht="14" customHeight="1">
      <c r="A213" s="8">
        <v>7</v>
      </c>
      <c r="B213" s="7" t="str">
        <f>المدخلات!$F$4</f>
        <v>4:00–5:10 م</v>
      </c>
      <c r="C213" s="7">
        <v>8</v>
      </c>
      <c r="D213" s="7" t="s">
        <v>595</v>
      </c>
      <c r="E213" s="7" t="s">
        <v>781</v>
      </c>
      <c r="F213" s="2"/>
    </row>
    <row r="214" spans="1:6" ht="14" customHeight="1">
      <c r="A214" s="8">
        <v>7</v>
      </c>
      <c r="B214" s="7" t="str">
        <f>المدخلات!$F$4</f>
        <v>4:00–5:10 م</v>
      </c>
      <c r="C214" s="7">
        <v>9</v>
      </c>
      <c r="D214" s="7" t="s">
        <v>595</v>
      </c>
      <c r="E214" s="7" t="s">
        <v>416</v>
      </c>
      <c r="F214" s="2"/>
    </row>
    <row r="215" spans="1:6" ht="14" customHeight="1">
      <c r="A215" s="8">
        <v>7</v>
      </c>
      <c r="B215" s="7" t="str">
        <f>المدخلات!$F$5</f>
        <v>5:20–6:30 م</v>
      </c>
      <c r="C215" s="7">
        <v>7</v>
      </c>
      <c r="D215" s="7" t="s">
        <v>595</v>
      </c>
      <c r="E215" s="7" t="s">
        <v>779</v>
      </c>
      <c r="F215" s="2"/>
    </row>
    <row r="216" spans="1:6" ht="14" customHeight="1">
      <c r="A216" s="8">
        <v>7</v>
      </c>
      <c r="B216" s="7" t="str">
        <f>المدخلات!$F$5</f>
        <v>5:20–6:30 م</v>
      </c>
      <c r="C216" s="7">
        <v>8</v>
      </c>
      <c r="D216" s="7" t="s">
        <v>595</v>
      </c>
      <c r="E216" s="7" t="s">
        <v>778</v>
      </c>
      <c r="F216" s="2"/>
    </row>
    <row r="217" spans="1:6" ht="14" customHeight="1">
      <c r="A217" s="8">
        <v>7</v>
      </c>
      <c r="B217" s="7" t="str">
        <f>المدخلات!$F$5</f>
        <v>5:20–6:30 م</v>
      </c>
      <c r="C217" s="7">
        <v>9</v>
      </c>
      <c r="D217" s="7" t="s">
        <v>595</v>
      </c>
      <c r="E217" s="7" t="s">
        <v>1247</v>
      </c>
      <c r="F217" s="2"/>
    </row>
    <row r="218" spans="1:6" ht="14" customHeight="1">
      <c r="A218" s="8">
        <v>7</v>
      </c>
      <c r="B218" s="7" t="str">
        <f>المدخلات!$F$6</f>
        <v>6:40–7:50 م</v>
      </c>
      <c r="C218" s="7">
        <v>7</v>
      </c>
      <c r="D218" s="7" t="s">
        <v>595</v>
      </c>
      <c r="E218" s="7" t="s">
        <v>339</v>
      </c>
      <c r="F218" s="2"/>
    </row>
    <row r="219" spans="1:6" ht="14" customHeight="1">
      <c r="A219" s="8">
        <v>7</v>
      </c>
      <c r="B219" s="7" t="str">
        <f>المدخلات!$F$6</f>
        <v>6:40–7:50 م</v>
      </c>
      <c r="C219" s="7">
        <v>8</v>
      </c>
      <c r="D219" s="7" t="s">
        <v>595</v>
      </c>
      <c r="E219" s="7" t="s">
        <v>425</v>
      </c>
      <c r="F219" s="2"/>
    </row>
    <row r="220" spans="1:6" ht="14" customHeight="1">
      <c r="A220" s="8">
        <v>7</v>
      </c>
      <c r="B220" s="7" t="str">
        <f>المدخلات!$F$4</f>
        <v>4:00–5:10 م</v>
      </c>
      <c r="C220" s="7">
        <v>10</v>
      </c>
      <c r="D220" s="7" t="s">
        <v>596</v>
      </c>
      <c r="E220" s="7" t="s">
        <v>761</v>
      </c>
      <c r="F220" s="2"/>
    </row>
    <row r="221" spans="1:6" ht="14" customHeight="1">
      <c r="A221" s="8">
        <v>7</v>
      </c>
      <c r="B221" s="7" t="str">
        <f>المدخلات!$F$4</f>
        <v>4:00–5:10 م</v>
      </c>
      <c r="C221" s="7">
        <v>11</v>
      </c>
      <c r="D221" s="7" t="s">
        <v>596</v>
      </c>
      <c r="E221" s="7" t="s">
        <v>955</v>
      </c>
      <c r="F221" s="2"/>
    </row>
    <row r="222" spans="1:6" ht="14" customHeight="1">
      <c r="A222" s="8">
        <v>7</v>
      </c>
      <c r="B222" s="7" t="str">
        <f>المدخلات!$F$4</f>
        <v>4:00–5:10 م</v>
      </c>
      <c r="C222" s="7">
        <v>12</v>
      </c>
      <c r="D222" s="7" t="s">
        <v>596</v>
      </c>
      <c r="E222" s="7" t="s">
        <v>1346</v>
      </c>
      <c r="F222" s="2"/>
    </row>
    <row r="223" spans="1:6" ht="14" customHeight="1">
      <c r="A223" s="8">
        <v>7</v>
      </c>
      <c r="B223" s="7" t="str">
        <f>المدخلات!$F$5</f>
        <v>5:20–6:30 م</v>
      </c>
      <c r="C223" s="7">
        <v>10</v>
      </c>
      <c r="D223" s="7" t="s">
        <v>596</v>
      </c>
      <c r="E223" s="7" t="s">
        <v>760</v>
      </c>
      <c r="F223" s="2"/>
    </row>
    <row r="224" spans="1:6" ht="14" customHeight="1">
      <c r="A224" s="8">
        <v>7</v>
      </c>
      <c r="B224" s="7" t="str">
        <f>المدخلات!$F$5</f>
        <v>5:20–6:30 م</v>
      </c>
      <c r="C224" s="7">
        <v>11</v>
      </c>
      <c r="D224" s="7" t="s">
        <v>596</v>
      </c>
      <c r="E224" s="7" t="s">
        <v>759</v>
      </c>
      <c r="F224" s="2"/>
    </row>
    <row r="225" spans="1:6" ht="14" customHeight="1">
      <c r="A225" s="8">
        <v>7</v>
      </c>
      <c r="B225" s="7" t="str">
        <f>المدخلات!$F$5</f>
        <v>5:20–6:30 م</v>
      </c>
      <c r="C225" s="7">
        <v>12</v>
      </c>
      <c r="D225" s="7" t="s">
        <v>596</v>
      </c>
      <c r="E225" s="7" t="s">
        <v>1348</v>
      </c>
      <c r="F225" s="2"/>
    </row>
    <row r="226" spans="1:6" ht="14" customHeight="1">
      <c r="A226" s="8">
        <v>7</v>
      </c>
      <c r="B226" s="7" t="str">
        <f>المدخلات!$F$6</f>
        <v>6:40–7:50 م</v>
      </c>
      <c r="C226" s="7">
        <v>10</v>
      </c>
      <c r="D226" s="7" t="s">
        <v>596</v>
      </c>
      <c r="E226" s="7" t="s">
        <v>487</v>
      </c>
      <c r="F226" s="2"/>
    </row>
    <row r="227" spans="1:6" ht="14" customHeight="1">
      <c r="A227" s="8">
        <v>7</v>
      </c>
      <c r="B227" s="7" t="str">
        <f>المدخلات!$F$6</f>
        <v>6:40–7:50 م</v>
      </c>
      <c r="C227" s="7">
        <v>11</v>
      </c>
      <c r="D227" s="7" t="s">
        <v>596</v>
      </c>
      <c r="E227" s="7" t="s">
        <v>1347</v>
      </c>
      <c r="F227" s="2"/>
    </row>
    <row r="228" spans="1:6" ht="14" customHeight="1">
      <c r="A228" s="8">
        <v>8</v>
      </c>
      <c r="B228" s="7" t="str">
        <f>المدخلات!$F$4</f>
        <v>4:00–5:10 م</v>
      </c>
      <c r="C228" s="7">
        <v>1</v>
      </c>
      <c r="D228" s="7" t="s">
        <v>593</v>
      </c>
      <c r="E228" s="7" t="s">
        <v>123</v>
      </c>
      <c r="F228" s="2"/>
    </row>
    <row r="229" spans="1:6" ht="14" customHeight="1">
      <c r="A229" s="8">
        <v>8</v>
      </c>
      <c r="B229" s="7" t="str">
        <f>المدخلات!$F$4</f>
        <v>4:00–5:10 م</v>
      </c>
      <c r="C229" s="7">
        <v>2</v>
      </c>
      <c r="D229" s="7" t="s">
        <v>593</v>
      </c>
      <c r="E229" s="7" t="s">
        <v>745</v>
      </c>
      <c r="F229" s="2"/>
    </row>
    <row r="230" spans="1:6" ht="14" customHeight="1">
      <c r="A230" s="8">
        <v>8</v>
      </c>
      <c r="B230" s="7" t="str">
        <f>المدخلات!$F$4</f>
        <v>4:00–5:10 م</v>
      </c>
      <c r="C230" s="7">
        <v>3</v>
      </c>
      <c r="D230" s="7" t="s">
        <v>593</v>
      </c>
      <c r="E230" s="7" t="s">
        <v>36</v>
      </c>
      <c r="F230" s="2"/>
    </row>
    <row r="231" spans="1:6" ht="14" customHeight="1">
      <c r="A231" s="8">
        <v>8</v>
      </c>
      <c r="B231" s="7" t="str">
        <f>المدخلات!$F$5</f>
        <v>5:20–6:30 م</v>
      </c>
      <c r="C231" s="7">
        <v>1</v>
      </c>
      <c r="D231" s="7" t="s">
        <v>593</v>
      </c>
      <c r="E231" s="7" t="s">
        <v>69</v>
      </c>
      <c r="F231" s="2"/>
    </row>
    <row r="232" spans="1:6" ht="14" customHeight="1">
      <c r="A232" s="8">
        <v>8</v>
      </c>
      <c r="B232" s="7" t="str">
        <f>المدخلات!$F$5</f>
        <v>5:20–6:30 م</v>
      </c>
      <c r="C232" s="7">
        <v>2</v>
      </c>
      <c r="D232" s="7" t="s">
        <v>593</v>
      </c>
      <c r="E232" s="7" t="s">
        <v>746</v>
      </c>
      <c r="F232" s="2"/>
    </row>
    <row r="233" spans="1:6" ht="14" customHeight="1">
      <c r="A233" s="8">
        <v>8</v>
      </c>
      <c r="B233" s="7" t="str">
        <f>المدخلات!$F$5</f>
        <v>5:20–6:30 م</v>
      </c>
      <c r="C233" s="7">
        <v>3</v>
      </c>
      <c r="D233" s="7" t="s">
        <v>593</v>
      </c>
      <c r="E233" s="7" t="s">
        <v>45</v>
      </c>
      <c r="F233" s="2"/>
    </row>
    <row r="234" spans="1:6" ht="14" customHeight="1">
      <c r="A234" s="8">
        <v>8</v>
      </c>
      <c r="B234" s="7" t="str">
        <f>المدخلات!$F$6</f>
        <v>6:40–7:50 م</v>
      </c>
      <c r="C234" s="7">
        <v>1</v>
      </c>
      <c r="D234" s="7" t="s">
        <v>593</v>
      </c>
      <c r="E234" s="7" t="s">
        <v>60</v>
      </c>
      <c r="F234" s="2"/>
    </row>
    <row r="235" spans="1:6" ht="14" customHeight="1">
      <c r="A235" s="8">
        <v>8</v>
      </c>
      <c r="B235" s="7" t="str">
        <f>المدخلات!$F$6</f>
        <v>6:40–7:50 م</v>
      </c>
      <c r="C235" s="7">
        <v>2</v>
      </c>
      <c r="D235" s="7" t="s">
        <v>593</v>
      </c>
      <c r="E235" s="7" t="s">
        <v>744</v>
      </c>
      <c r="F235" s="2"/>
    </row>
    <row r="236" spans="1:6" ht="14" customHeight="1">
      <c r="A236" s="8">
        <v>8</v>
      </c>
      <c r="B236" s="7" t="str">
        <f>المدخلات!$F$4</f>
        <v>4:00–5:10 م</v>
      </c>
      <c r="C236" s="7">
        <v>4</v>
      </c>
      <c r="D236" s="7" t="s">
        <v>594</v>
      </c>
      <c r="E236" s="7" t="s">
        <v>262</v>
      </c>
      <c r="F236" s="2"/>
    </row>
    <row r="237" spans="1:6" ht="14" customHeight="1">
      <c r="A237" s="8">
        <v>8</v>
      </c>
      <c r="B237" s="7" t="str">
        <f>المدخلات!$F$4</f>
        <v>4:00–5:10 م</v>
      </c>
      <c r="C237" s="7">
        <v>5</v>
      </c>
      <c r="D237" s="7" t="s">
        <v>594</v>
      </c>
      <c r="E237" s="7" t="s">
        <v>775</v>
      </c>
      <c r="F237" s="2"/>
    </row>
    <row r="238" spans="1:6" ht="14" customHeight="1">
      <c r="A238" s="8">
        <v>8</v>
      </c>
      <c r="B238" s="7" t="str">
        <f>المدخلات!$F$4</f>
        <v>4:00–5:10 م</v>
      </c>
      <c r="C238" s="7">
        <v>6</v>
      </c>
      <c r="D238" s="7" t="s">
        <v>594</v>
      </c>
      <c r="E238" s="7" t="s">
        <v>956</v>
      </c>
      <c r="F238" s="2"/>
    </row>
    <row r="239" spans="1:6" ht="14" customHeight="1">
      <c r="A239" s="8">
        <v>8</v>
      </c>
      <c r="B239" s="7" t="str">
        <f>المدخلات!$F$5</f>
        <v>5:20–6:30 م</v>
      </c>
      <c r="C239" s="7">
        <v>4</v>
      </c>
      <c r="D239" s="7" t="s">
        <v>594</v>
      </c>
      <c r="E239" s="7" t="s">
        <v>256</v>
      </c>
      <c r="F239" s="2"/>
    </row>
    <row r="240" spans="1:6" ht="14" customHeight="1">
      <c r="A240" s="8">
        <v>8</v>
      </c>
      <c r="B240" s="7" t="str">
        <f>المدخلات!$F$5</f>
        <v>5:20–6:30 م</v>
      </c>
      <c r="C240" s="7">
        <v>5</v>
      </c>
      <c r="D240" s="7" t="s">
        <v>594</v>
      </c>
      <c r="E240" s="7" t="s">
        <v>957</v>
      </c>
      <c r="F240" s="2"/>
    </row>
    <row r="241" spans="1:6" ht="14" customHeight="1">
      <c r="A241" s="8">
        <v>8</v>
      </c>
      <c r="B241" s="7" t="str">
        <f>المدخلات!$F$5</f>
        <v>5:20–6:30 م</v>
      </c>
      <c r="C241" s="7">
        <v>6</v>
      </c>
      <c r="D241" s="7" t="s">
        <v>594</v>
      </c>
      <c r="E241" s="7" t="s">
        <v>241</v>
      </c>
      <c r="F241" s="2"/>
    </row>
    <row r="242" spans="1:6" ht="14" customHeight="1">
      <c r="A242" s="8">
        <v>8</v>
      </c>
      <c r="B242" s="7" t="str">
        <f>المدخلات!$F$6</f>
        <v>6:40–7:50 م</v>
      </c>
      <c r="C242" s="7">
        <v>4</v>
      </c>
      <c r="D242" s="7" t="s">
        <v>594</v>
      </c>
      <c r="E242" s="7" t="s">
        <v>249</v>
      </c>
      <c r="F242" s="2"/>
    </row>
    <row r="243" spans="1:6" ht="14" customHeight="1">
      <c r="A243" s="8">
        <v>8</v>
      </c>
      <c r="B243" s="7" t="str">
        <f>المدخلات!$F$6</f>
        <v>6:40–7:50 م</v>
      </c>
      <c r="C243" s="7">
        <v>5</v>
      </c>
      <c r="D243" s="7" t="s">
        <v>594</v>
      </c>
      <c r="E243" s="7" t="s">
        <v>774</v>
      </c>
      <c r="F243" s="2"/>
    </row>
    <row r="244" spans="1:6" ht="14" customHeight="1">
      <c r="A244" s="8">
        <v>8</v>
      </c>
      <c r="B244" s="7" t="str">
        <f>المدخلات!$F$4</f>
        <v>4:00–5:10 م</v>
      </c>
      <c r="C244" s="7">
        <v>7</v>
      </c>
      <c r="D244" s="7" t="s">
        <v>595</v>
      </c>
      <c r="E244" s="7" t="s">
        <v>431</v>
      </c>
      <c r="F244" s="2"/>
    </row>
    <row r="245" spans="1:6" ht="14" customHeight="1">
      <c r="A245" s="8">
        <v>8</v>
      </c>
      <c r="B245" s="7" t="str">
        <f>المدخلات!$F$4</f>
        <v>4:00–5:10 م</v>
      </c>
      <c r="C245" s="7">
        <v>8</v>
      </c>
      <c r="D245" s="7" t="s">
        <v>595</v>
      </c>
      <c r="E245" s="7" t="s">
        <v>958</v>
      </c>
      <c r="F245" s="2"/>
    </row>
    <row r="246" spans="1:6" ht="14" customHeight="1">
      <c r="A246" s="8">
        <v>8</v>
      </c>
      <c r="B246" s="7" t="str">
        <f>المدخلات!$F$4</f>
        <v>4:00–5:10 م</v>
      </c>
      <c r="C246" s="7">
        <v>9</v>
      </c>
      <c r="D246" s="7" t="s">
        <v>595</v>
      </c>
      <c r="E246" s="7" t="s">
        <v>404</v>
      </c>
      <c r="F246" s="2"/>
    </row>
    <row r="247" spans="1:6" ht="14" customHeight="1">
      <c r="A247" s="8">
        <v>8</v>
      </c>
      <c r="B247" s="7" t="str">
        <f>المدخلات!$F$5</f>
        <v>5:20–6:30 م</v>
      </c>
      <c r="C247" s="7">
        <v>7</v>
      </c>
      <c r="D247" s="7" t="s">
        <v>595</v>
      </c>
      <c r="E247" s="7" t="s">
        <v>1349</v>
      </c>
      <c r="F247" s="2"/>
    </row>
    <row r="248" spans="1:6" ht="14" customHeight="1">
      <c r="A248" s="8">
        <v>8</v>
      </c>
      <c r="B248" s="7" t="str">
        <f>المدخلات!$F$5</f>
        <v>5:20–6:30 م</v>
      </c>
      <c r="C248" s="7">
        <v>8</v>
      </c>
      <c r="D248" s="7" t="s">
        <v>595</v>
      </c>
      <c r="E248" s="7" t="s">
        <v>959</v>
      </c>
      <c r="F248" s="2"/>
    </row>
    <row r="249" spans="1:6" ht="14" customHeight="1">
      <c r="A249" s="8">
        <v>8</v>
      </c>
      <c r="B249" s="7" t="str">
        <f>المدخلات!$F$5</f>
        <v>5:20–6:30 م</v>
      </c>
      <c r="C249" s="7">
        <v>9</v>
      </c>
      <c r="D249" s="7" t="s">
        <v>595</v>
      </c>
      <c r="E249" s="7" t="s">
        <v>409</v>
      </c>
      <c r="F249" s="2"/>
    </row>
    <row r="250" spans="1:6" ht="14" customHeight="1">
      <c r="A250" s="8">
        <v>8</v>
      </c>
      <c r="B250" s="7" t="str">
        <f>المدخلات!$F$6</f>
        <v>6:40–7:50 م</v>
      </c>
      <c r="C250" s="7">
        <v>7</v>
      </c>
      <c r="D250" s="7" t="s">
        <v>595</v>
      </c>
      <c r="E250" s="7" t="s">
        <v>1210</v>
      </c>
      <c r="F250" s="2"/>
    </row>
    <row r="251" spans="1:6" ht="14" customHeight="1">
      <c r="A251" s="8">
        <v>8</v>
      </c>
      <c r="B251" s="7" t="str">
        <f>المدخلات!$F$6</f>
        <v>6:40–7:50 م</v>
      </c>
      <c r="C251" s="7">
        <v>8</v>
      </c>
      <c r="D251" s="7" t="s">
        <v>595</v>
      </c>
      <c r="E251" s="7" t="s">
        <v>801</v>
      </c>
      <c r="F251" s="2"/>
    </row>
    <row r="252" spans="1:6" ht="14" customHeight="1">
      <c r="A252" s="8">
        <v>8</v>
      </c>
      <c r="B252" s="7" t="str">
        <f>المدخلات!$F$4</f>
        <v>4:00–5:10 م</v>
      </c>
      <c r="C252" s="7">
        <v>10</v>
      </c>
      <c r="D252" s="7" t="s">
        <v>596</v>
      </c>
      <c r="E252" s="7" t="s">
        <v>1350</v>
      </c>
      <c r="F252" s="2"/>
    </row>
    <row r="253" spans="1:6" ht="14" customHeight="1">
      <c r="A253" s="8">
        <v>8</v>
      </c>
      <c r="B253" s="7" t="str">
        <f>المدخلات!$F$4</f>
        <v>4:00–5:10 م</v>
      </c>
      <c r="C253" s="7">
        <v>11</v>
      </c>
      <c r="D253" s="7" t="s">
        <v>596</v>
      </c>
      <c r="E253" s="7" t="s">
        <v>961</v>
      </c>
      <c r="F253" s="2"/>
    </row>
    <row r="254" spans="1:6" ht="14" customHeight="1">
      <c r="A254" s="8">
        <v>8</v>
      </c>
      <c r="B254" s="7" t="str">
        <f>المدخلات!$F$4</f>
        <v>4:00–5:10 م</v>
      </c>
      <c r="C254" s="7">
        <v>12</v>
      </c>
      <c r="D254" s="7" t="s">
        <v>596</v>
      </c>
      <c r="E254" s="7" t="s">
        <v>542</v>
      </c>
      <c r="F254" s="2"/>
    </row>
    <row r="255" spans="1:6" ht="14" customHeight="1">
      <c r="A255" s="8">
        <v>8</v>
      </c>
      <c r="B255" s="7" t="str">
        <f>المدخلات!$F$5</f>
        <v>5:20–6:30 م</v>
      </c>
      <c r="C255" s="7">
        <v>10</v>
      </c>
      <c r="D255" s="7" t="s">
        <v>596</v>
      </c>
      <c r="E255" s="7" t="s">
        <v>1351</v>
      </c>
      <c r="F255" s="2"/>
    </row>
    <row r="256" spans="1:6" ht="14" customHeight="1">
      <c r="A256" s="8">
        <v>8</v>
      </c>
      <c r="B256" s="7" t="str">
        <f>المدخلات!$F$5</f>
        <v>5:20–6:30 م</v>
      </c>
      <c r="C256" s="7">
        <v>11</v>
      </c>
      <c r="D256" s="7" t="s">
        <v>596</v>
      </c>
      <c r="E256" s="7" t="s">
        <v>962</v>
      </c>
      <c r="F256" s="2"/>
    </row>
    <row r="257" spans="1:6" ht="14" customHeight="1">
      <c r="A257" s="8">
        <v>8</v>
      </c>
      <c r="B257" s="7" t="str">
        <f>المدخلات!$F$5</f>
        <v>5:20–6:30 م</v>
      </c>
      <c r="C257" s="7">
        <v>12</v>
      </c>
      <c r="D257" s="7" t="s">
        <v>596</v>
      </c>
      <c r="E257" s="7" t="s">
        <v>559</v>
      </c>
      <c r="F257" s="2"/>
    </row>
    <row r="258" spans="1:6" ht="14" customHeight="1">
      <c r="A258" s="8">
        <v>8</v>
      </c>
      <c r="B258" s="7" t="str">
        <f>المدخلات!$F$6</f>
        <v>6:40–7:50 م</v>
      </c>
      <c r="C258" s="7">
        <v>10</v>
      </c>
      <c r="D258" s="7" t="s">
        <v>596</v>
      </c>
      <c r="E258" s="7" t="s">
        <v>1352</v>
      </c>
      <c r="F258" s="2"/>
    </row>
    <row r="259" spans="1:6" ht="14" customHeight="1">
      <c r="A259" s="8">
        <v>8</v>
      </c>
      <c r="B259" s="7" t="str">
        <f>المدخلات!$F$6</f>
        <v>6:40–7:50 م</v>
      </c>
      <c r="C259" s="7">
        <v>11</v>
      </c>
      <c r="D259" s="7" t="s">
        <v>596</v>
      </c>
      <c r="E259" s="7" t="s">
        <v>960</v>
      </c>
      <c r="F259" s="2"/>
    </row>
    <row r="260" spans="1:6" ht="14" customHeight="1">
      <c r="A260" s="8">
        <v>9</v>
      </c>
      <c r="B260" s="7" t="str">
        <f>المدخلات!$F$4</f>
        <v>4:00–5:10 م</v>
      </c>
      <c r="C260" s="7">
        <v>1</v>
      </c>
      <c r="D260" s="7" t="s">
        <v>593</v>
      </c>
      <c r="E260" s="7" t="s">
        <v>769</v>
      </c>
      <c r="F260" s="2"/>
    </row>
    <row r="261" spans="1:6" ht="14" customHeight="1">
      <c r="A261" s="8">
        <v>9</v>
      </c>
      <c r="B261" s="7" t="str">
        <f>المدخلات!$F$4</f>
        <v>4:00–5:10 م</v>
      </c>
      <c r="C261" s="7">
        <v>2</v>
      </c>
      <c r="D261" s="7" t="s">
        <v>593</v>
      </c>
      <c r="E261" s="7" t="s">
        <v>51</v>
      </c>
      <c r="F261" s="2"/>
    </row>
    <row r="262" spans="1:6" ht="14" customHeight="1">
      <c r="A262" s="8">
        <v>9</v>
      </c>
      <c r="B262" s="7" t="str">
        <f>المدخلات!$F$4</f>
        <v>4:00–5:10 م</v>
      </c>
      <c r="C262" s="7">
        <v>3</v>
      </c>
      <c r="D262" s="7" t="s">
        <v>593</v>
      </c>
      <c r="E262" s="7" t="s">
        <v>29</v>
      </c>
      <c r="F262" s="2"/>
    </row>
    <row r="263" spans="1:6" ht="14" customHeight="1">
      <c r="A263" s="8">
        <v>9</v>
      </c>
      <c r="B263" s="7" t="str">
        <f>المدخلات!$F$5</f>
        <v>5:20–6:30 م</v>
      </c>
      <c r="C263" s="7">
        <v>1</v>
      </c>
      <c r="D263" s="7" t="s">
        <v>593</v>
      </c>
      <c r="E263" s="7" t="s">
        <v>766</v>
      </c>
      <c r="F263" s="2"/>
    </row>
    <row r="264" spans="1:6" ht="14" customHeight="1">
      <c r="A264" s="8">
        <v>9</v>
      </c>
      <c r="B264" s="7" t="str">
        <f>المدخلات!$F$5</f>
        <v>5:20–6:30 م</v>
      </c>
      <c r="C264" s="7">
        <v>2</v>
      </c>
      <c r="D264" s="7" t="s">
        <v>593</v>
      </c>
      <c r="E264" s="7" t="s">
        <v>42</v>
      </c>
      <c r="F264" s="2"/>
    </row>
    <row r="265" spans="1:6" ht="14" customHeight="1">
      <c r="A265" s="8">
        <v>9</v>
      </c>
      <c r="B265" s="7" t="str">
        <f>المدخلات!$F$5</f>
        <v>5:20–6:30 م</v>
      </c>
      <c r="C265" s="7">
        <v>3</v>
      </c>
      <c r="D265" s="7" t="s">
        <v>593</v>
      </c>
      <c r="E265" s="7" t="s">
        <v>767</v>
      </c>
      <c r="F265" s="2"/>
    </row>
    <row r="266" spans="1:6" ht="14" customHeight="1">
      <c r="A266" s="8">
        <v>9</v>
      </c>
      <c r="B266" s="7" t="str">
        <f>المدخلات!$F$6</f>
        <v>6:40–7:50 م</v>
      </c>
      <c r="C266" s="7">
        <v>1</v>
      </c>
      <c r="D266" s="7" t="s">
        <v>593</v>
      </c>
      <c r="E266" s="7" t="s">
        <v>129</v>
      </c>
      <c r="F266" s="2"/>
    </row>
    <row r="267" spans="1:6" ht="14" customHeight="1">
      <c r="A267" s="8">
        <v>9</v>
      </c>
      <c r="B267" s="7" t="str">
        <f>المدخلات!$F$6</f>
        <v>6:40–7:50 م</v>
      </c>
      <c r="C267" s="7">
        <v>2</v>
      </c>
      <c r="D267" s="7" t="s">
        <v>593</v>
      </c>
      <c r="E267" s="7" t="s">
        <v>768</v>
      </c>
      <c r="F267" s="2"/>
    </row>
    <row r="268" spans="1:6" ht="14" customHeight="1">
      <c r="A268" s="8">
        <v>9</v>
      </c>
      <c r="B268" s="7" t="str">
        <f>المدخلات!$F$4</f>
        <v>4:00–5:10 م</v>
      </c>
      <c r="C268" s="7">
        <v>4</v>
      </c>
      <c r="D268" s="7" t="s">
        <v>594</v>
      </c>
      <c r="E268" s="7" t="s">
        <v>963</v>
      </c>
      <c r="F268" s="2"/>
    </row>
    <row r="269" spans="1:6" ht="14" customHeight="1">
      <c r="A269" s="8">
        <v>9</v>
      </c>
      <c r="B269" s="7" t="str">
        <f>المدخلات!$F$4</f>
        <v>4:00–5:10 م</v>
      </c>
      <c r="C269" s="7">
        <v>5</v>
      </c>
      <c r="D269" s="7" t="s">
        <v>594</v>
      </c>
      <c r="E269" s="7" t="s">
        <v>242</v>
      </c>
      <c r="F269" s="2"/>
    </row>
    <row r="270" spans="1:6" ht="14" customHeight="1">
      <c r="A270" s="8">
        <v>9</v>
      </c>
      <c r="B270" s="7" t="str">
        <f>المدخلات!$F$4</f>
        <v>4:00–5:10 م</v>
      </c>
      <c r="C270" s="7">
        <v>6</v>
      </c>
      <c r="D270" s="7" t="s">
        <v>594</v>
      </c>
      <c r="E270" s="7" t="s">
        <v>588</v>
      </c>
      <c r="F270" s="2"/>
    </row>
    <row r="271" spans="1:6" ht="14" customHeight="1">
      <c r="A271" s="8">
        <v>9</v>
      </c>
      <c r="B271" s="7" t="str">
        <f>المدخلات!$F$5</f>
        <v>5:20–6:30 م</v>
      </c>
      <c r="C271" s="7">
        <v>4</v>
      </c>
      <c r="D271" s="7" t="s">
        <v>594</v>
      </c>
      <c r="E271" s="7" t="s">
        <v>795</v>
      </c>
      <c r="F271" s="2"/>
    </row>
    <row r="272" spans="1:6" ht="14" customHeight="1">
      <c r="A272" s="8">
        <v>9</v>
      </c>
      <c r="B272" s="7" t="str">
        <f>المدخلات!$F$5</f>
        <v>5:20–6:30 م</v>
      </c>
      <c r="C272" s="7">
        <v>5</v>
      </c>
      <c r="D272" s="7" t="s">
        <v>594</v>
      </c>
      <c r="E272" s="7" t="s">
        <v>238</v>
      </c>
      <c r="F272" s="2"/>
    </row>
    <row r="273" spans="1:6" ht="14" customHeight="1">
      <c r="A273" s="8">
        <v>9</v>
      </c>
      <c r="B273" s="7" t="str">
        <f>المدخلات!$F$5</f>
        <v>5:20–6:30 م</v>
      </c>
      <c r="C273" s="7">
        <v>6</v>
      </c>
      <c r="D273" s="7" t="s">
        <v>594</v>
      </c>
      <c r="E273" s="7" t="s">
        <v>796</v>
      </c>
      <c r="F273" s="2"/>
    </row>
    <row r="274" spans="1:6" ht="14" customHeight="1">
      <c r="A274" s="8">
        <v>9</v>
      </c>
      <c r="B274" s="7" t="str">
        <f>المدخلات!$F$6</f>
        <v>6:40–7:50 م</v>
      </c>
      <c r="C274" s="7">
        <v>4</v>
      </c>
      <c r="D274" s="7" t="s">
        <v>594</v>
      </c>
      <c r="E274" s="7" t="s">
        <v>291</v>
      </c>
      <c r="F274" s="2"/>
    </row>
    <row r="275" spans="1:6" ht="14" customHeight="1">
      <c r="A275" s="8">
        <v>9</v>
      </c>
      <c r="B275" s="7" t="str">
        <f>المدخلات!$F$6</f>
        <v>6:40–7:50 م</v>
      </c>
      <c r="C275" s="7">
        <v>5</v>
      </c>
      <c r="D275" s="7" t="s">
        <v>594</v>
      </c>
      <c r="E275" s="7" t="s">
        <v>797</v>
      </c>
      <c r="F275" s="2"/>
    </row>
    <row r="276" spans="1:6" ht="14" customHeight="1">
      <c r="A276" s="8">
        <v>9</v>
      </c>
      <c r="B276" s="7" t="str">
        <f>المدخلات!$F$4</f>
        <v>4:00–5:10 م</v>
      </c>
      <c r="C276" s="7">
        <v>7</v>
      </c>
      <c r="D276" s="7" t="s">
        <v>595</v>
      </c>
      <c r="E276" s="7" t="s">
        <v>965</v>
      </c>
      <c r="F276" s="2"/>
    </row>
    <row r="277" spans="1:6" ht="14" customHeight="1">
      <c r="A277" s="8">
        <v>9</v>
      </c>
      <c r="B277" s="7" t="str">
        <f>المدخلات!$F$4</f>
        <v>4:00–5:10 م</v>
      </c>
      <c r="C277" s="7">
        <v>8</v>
      </c>
      <c r="D277" s="7" t="s">
        <v>595</v>
      </c>
      <c r="E277" s="7" t="s">
        <v>1212</v>
      </c>
      <c r="F277" s="2"/>
    </row>
    <row r="278" spans="1:6" ht="14" customHeight="1">
      <c r="A278" s="8">
        <v>9</v>
      </c>
      <c r="B278" s="7" t="str">
        <f>المدخلات!$F$4</f>
        <v>4:00–5:10 م</v>
      </c>
      <c r="C278" s="7">
        <v>9</v>
      </c>
      <c r="D278" s="7" t="s">
        <v>595</v>
      </c>
      <c r="E278" s="7" t="s">
        <v>399</v>
      </c>
      <c r="F278" s="2"/>
    </row>
    <row r="279" spans="1:6" ht="14" customHeight="1">
      <c r="A279" s="8">
        <v>9</v>
      </c>
      <c r="B279" s="7" t="str">
        <f>المدخلات!$F$5</f>
        <v>5:20–6:30 م</v>
      </c>
      <c r="C279" s="7">
        <v>7</v>
      </c>
      <c r="D279" s="7" t="s">
        <v>595</v>
      </c>
      <c r="E279" s="7" t="s">
        <v>810</v>
      </c>
      <c r="F279" s="2"/>
    </row>
    <row r="280" spans="1:6" ht="14" customHeight="1">
      <c r="A280" s="8">
        <v>9</v>
      </c>
      <c r="B280" s="7" t="str">
        <f>المدخلات!$F$5</f>
        <v>5:20–6:30 م</v>
      </c>
      <c r="C280" s="7">
        <v>8</v>
      </c>
      <c r="D280" s="7" t="s">
        <v>595</v>
      </c>
      <c r="E280" s="7" t="s">
        <v>1211</v>
      </c>
      <c r="F280" s="2"/>
    </row>
    <row r="281" spans="1:6" ht="14" customHeight="1">
      <c r="A281" s="8">
        <v>9</v>
      </c>
      <c r="B281" s="7" t="str">
        <f>المدخلات!$F$5</f>
        <v>5:20–6:30 م</v>
      </c>
      <c r="C281" s="7">
        <v>9</v>
      </c>
      <c r="D281" s="7" t="s">
        <v>595</v>
      </c>
      <c r="E281" s="7" t="s">
        <v>811</v>
      </c>
      <c r="F281" s="2"/>
    </row>
    <row r="282" spans="1:6" ht="14" customHeight="1">
      <c r="A282" s="8">
        <v>9</v>
      </c>
      <c r="B282" s="7" t="str">
        <f>المدخلات!$F$6</f>
        <v>6:40–7:50 م</v>
      </c>
      <c r="C282" s="7">
        <v>7</v>
      </c>
      <c r="D282" s="7" t="s">
        <v>595</v>
      </c>
      <c r="E282" s="7" t="s">
        <v>450</v>
      </c>
      <c r="F282" s="2"/>
    </row>
    <row r="283" spans="1:6" ht="14" customHeight="1">
      <c r="A283" s="8">
        <v>9</v>
      </c>
      <c r="B283" s="7" t="str">
        <f>المدخلات!$F$6</f>
        <v>6:40–7:50 م</v>
      </c>
      <c r="C283" s="7">
        <v>8</v>
      </c>
      <c r="D283" s="7" t="s">
        <v>595</v>
      </c>
      <c r="E283" s="7" t="s">
        <v>964</v>
      </c>
      <c r="F283" s="2"/>
    </row>
    <row r="284" spans="1:6" ht="14" customHeight="1">
      <c r="A284" s="8">
        <v>9</v>
      </c>
      <c r="B284" s="7" t="str">
        <f>المدخلات!$F$4</f>
        <v>4:00–5:10 م</v>
      </c>
      <c r="C284" s="7">
        <v>10</v>
      </c>
      <c r="D284" s="7" t="s">
        <v>596</v>
      </c>
      <c r="E284" s="7" t="s">
        <v>968</v>
      </c>
      <c r="F284" s="2"/>
    </row>
    <row r="285" spans="1:6" ht="14" customHeight="1">
      <c r="A285" s="8">
        <v>9</v>
      </c>
      <c r="B285" s="7" t="str">
        <f>المدخلات!$F$4</f>
        <v>4:00–5:10 م</v>
      </c>
      <c r="C285" s="7">
        <v>11</v>
      </c>
      <c r="D285" s="7" t="s">
        <v>596</v>
      </c>
      <c r="E285" s="7" t="s">
        <v>560</v>
      </c>
      <c r="F285" s="2"/>
    </row>
    <row r="286" spans="1:6" ht="14" customHeight="1">
      <c r="A286" s="8">
        <v>9</v>
      </c>
      <c r="B286" s="7" t="str">
        <f>المدخلات!$F$4</f>
        <v>4:00–5:10 م</v>
      </c>
      <c r="C286" s="7">
        <v>12</v>
      </c>
      <c r="D286" s="7" t="s">
        <v>596</v>
      </c>
      <c r="E286" s="7" t="s">
        <v>551</v>
      </c>
      <c r="F286" s="2"/>
    </row>
    <row r="287" spans="1:6" ht="14" customHeight="1">
      <c r="A287" s="8">
        <v>9</v>
      </c>
      <c r="B287" s="7" t="str">
        <f>المدخلات!$F$5</f>
        <v>5:20–6:30 م</v>
      </c>
      <c r="C287" s="7">
        <v>10</v>
      </c>
      <c r="D287" s="7" t="s">
        <v>596</v>
      </c>
      <c r="E287" s="7" t="s">
        <v>802</v>
      </c>
      <c r="F287" s="2"/>
    </row>
    <row r="288" spans="1:6" ht="14" customHeight="1">
      <c r="A288" s="8">
        <v>9</v>
      </c>
      <c r="B288" s="7" t="str">
        <f>المدخلات!$F$5</f>
        <v>5:20–6:30 م</v>
      </c>
      <c r="C288" s="7">
        <v>11</v>
      </c>
      <c r="D288" s="7" t="s">
        <v>596</v>
      </c>
      <c r="E288" s="7" t="s">
        <v>540</v>
      </c>
      <c r="F288" s="2"/>
    </row>
    <row r="289" spans="1:6" ht="14" customHeight="1">
      <c r="A289" s="8">
        <v>9</v>
      </c>
      <c r="B289" s="7" t="str">
        <f>المدخلات!$F$5</f>
        <v>5:20–6:30 م</v>
      </c>
      <c r="C289" s="7">
        <v>12</v>
      </c>
      <c r="D289" s="7" t="s">
        <v>596</v>
      </c>
      <c r="E289" s="7" t="s">
        <v>966</v>
      </c>
      <c r="F289" s="2"/>
    </row>
    <row r="290" spans="1:6" ht="14" customHeight="1">
      <c r="A290" s="8">
        <v>9</v>
      </c>
      <c r="B290" s="7" t="str">
        <f>المدخلات!$F$6</f>
        <v>6:40–7:50 م</v>
      </c>
      <c r="C290" s="7">
        <v>10</v>
      </c>
      <c r="D290" s="7" t="s">
        <v>596</v>
      </c>
      <c r="E290" s="7" t="s">
        <v>646</v>
      </c>
      <c r="F290" s="2"/>
    </row>
    <row r="291" spans="1:6" ht="14" customHeight="1">
      <c r="A291" s="8">
        <v>9</v>
      </c>
      <c r="B291" s="7" t="str">
        <f>المدخلات!$F$6</f>
        <v>6:40–7:50 م</v>
      </c>
      <c r="C291" s="7">
        <v>11</v>
      </c>
      <c r="D291" s="7" t="s">
        <v>596</v>
      </c>
      <c r="E291" s="7" t="s">
        <v>967</v>
      </c>
      <c r="F291" s="2"/>
    </row>
    <row r="292" spans="1:6" ht="14" customHeight="1">
      <c r="A292" s="8">
        <v>10</v>
      </c>
      <c r="B292" s="7" t="str">
        <f>المدخلات!$F$4</f>
        <v>4:00–5:10 م</v>
      </c>
      <c r="C292" s="7">
        <v>1</v>
      </c>
      <c r="D292" s="7" t="s">
        <v>593</v>
      </c>
      <c r="E292" s="7" t="s">
        <v>792</v>
      </c>
      <c r="F292" s="2"/>
    </row>
    <row r="293" spans="1:6" ht="14" customHeight="1">
      <c r="A293" s="8">
        <v>10</v>
      </c>
      <c r="B293" s="7" t="str">
        <f>المدخلات!$F$4</f>
        <v>4:00–5:10 م</v>
      </c>
      <c r="C293" s="7">
        <v>2</v>
      </c>
      <c r="D293" s="7" t="s">
        <v>593</v>
      </c>
      <c r="E293" s="7" t="s">
        <v>48</v>
      </c>
      <c r="F293" s="2"/>
    </row>
    <row r="294" spans="1:6" ht="14" customHeight="1">
      <c r="A294" s="8">
        <v>10</v>
      </c>
      <c r="B294" s="7" t="str">
        <f>المدخلات!$F$4</f>
        <v>4:00–5:10 م</v>
      </c>
      <c r="C294" s="7">
        <v>3</v>
      </c>
      <c r="D294" s="7" t="s">
        <v>593</v>
      </c>
      <c r="E294" s="7" t="s">
        <v>1047</v>
      </c>
      <c r="F294" s="2"/>
    </row>
    <row r="295" spans="1:6" ht="14" customHeight="1">
      <c r="A295" s="8">
        <v>10</v>
      </c>
      <c r="B295" s="7" t="str">
        <f>المدخلات!$F$5</f>
        <v>5:20–6:30 م</v>
      </c>
      <c r="C295" s="7">
        <v>1</v>
      </c>
      <c r="D295" s="7" t="s">
        <v>593</v>
      </c>
      <c r="E295" s="7" t="s">
        <v>103</v>
      </c>
      <c r="F295" s="2"/>
    </row>
    <row r="296" spans="1:6" ht="14" customHeight="1">
      <c r="A296" s="8">
        <v>10</v>
      </c>
      <c r="B296" s="7" t="str">
        <f>المدخلات!$F$5</f>
        <v>5:20–6:30 م</v>
      </c>
      <c r="C296" s="7">
        <v>2</v>
      </c>
      <c r="D296" s="7" t="s">
        <v>593</v>
      </c>
      <c r="E296" s="7" t="s">
        <v>59</v>
      </c>
      <c r="F296" s="2"/>
    </row>
    <row r="297" spans="1:6" ht="14" customHeight="1">
      <c r="A297" s="8">
        <v>10</v>
      </c>
      <c r="B297" s="7" t="str">
        <f>المدخلات!$F$5</f>
        <v>5:20–6:30 م</v>
      </c>
      <c r="C297" s="7">
        <v>3</v>
      </c>
      <c r="D297" s="7" t="s">
        <v>593</v>
      </c>
      <c r="E297" s="7" t="s">
        <v>130</v>
      </c>
      <c r="F297" s="2"/>
    </row>
    <row r="298" spans="1:6" ht="14" customHeight="1">
      <c r="A298" s="8">
        <v>10</v>
      </c>
      <c r="B298" s="7" t="str">
        <f>المدخلات!$F$6</f>
        <v>6:40–7:50 م</v>
      </c>
      <c r="C298" s="7">
        <v>1</v>
      </c>
      <c r="D298" s="7" t="s">
        <v>593</v>
      </c>
      <c r="E298" s="7" t="s">
        <v>28</v>
      </c>
      <c r="F298" s="2"/>
    </row>
    <row r="299" spans="1:6" ht="14" customHeight="1">
      <c r="A299" s="8">
        <v>10</v>
      </c>
      <c r="B299" s="7" t="str">
        <f>المدخلات!$F$6</f>
        <v>6:40–7:50 م</v>
      </c>
      <c r="C299" s="7">
        <v>2</v>
      </c>
      <c r="D299" s="7" t="s">
        <v>593</v>
      </c>
      <c r="E299" s="7" t="s">
        <v>38</v>
      </c>
      <c r="F299" s="2"/>
    </row>
    <row r="300" spans="1:6" ht="14" customHeight="1">
      <c r="A300" s="8">
        <v>10</v>
      </c>
      <c r="B300" s="7" t="str">
        <f>المدخلات!$F$4</f>
        <v>4:00–5:10 م</v>
      </c>
      <c r="C300" s="7">
        <v>4</v>
      </c>
      <c r="D300" s="7" t="s">
        <v>594</v>
      </c>
      <c r="E300" s="7" t="s">
        <v>883</v>
      </c>
      <c r="F300" s="2"/>
    </row>
    <row r="301" spans="1:6" ht="14" customHeight="1">
      <c r="A301" s="8">
        <v>10</v>
      </c>
      <c r="B301" s="7" t="str">
        <f>المدخلات!$F$4</f>
        <v>4:00–5:10 م</v>
      </c>
      <c r="C301" s="7">
        <v>5</v>
      </c>
      <c r="D301" s="7" t="s">
        <v>594</v>
      </c>
      <c r="E301" s="7" t="s">
        <v>251</v>
      </c>
      <c r="F301" s="2"/>
    </row>
    <row r="302" spans="1:6" ht="14" customHeight="1">
      <c r="A302" s="8">
        <v>10</v>
      </c>
      <c r="B302" s="7" t="str">
        <f>المدخلات!$F$4</f>
        <v>4:00–5:10 م</v>
      </c>
      <c r="C302" s="7">
        <v>6</v>
      </c>
      <c r="D302" s="7" t="s">
        <v>594</v>
      </c>
      <c r="E302" s="7" t="s">
        <v>836</v>
      </c>
      <c r="F302" s="2"/>
    </row>
    <row r="303" spans="1:6" ht="14" customHeight="1">
      <c r="A303" s="8">
        <v>10</v>
      </c>
      <c r="B303" s="7" t="str">
        <f>المدخلات!$F$5</f>
        <v>5:20–6:30 م</v>
      </c>
      <c r="C303" s="7">
        <v>4</v>
      </c>
      <c r="D303" s="7" t="s">
        <v>594</v>
      </c>
      <c r="E303" s="7" t="s">
        <v>283</v>
      </c>
      <c r="F303" s="2"/>
    </row>
    <row r="304" spans="1:6" ht="14" customHeight="1">
      <c r="A304" s="8">
        <v>10</v>
      </c>
      <c r="B304" s="7" t="str">
        <f>المدخلات!$F$5</f>
        <v>5:20–6:30 م</v>
      </c>
      <c r="C304" s="7">
        <v>5</v>
      </c>
      <c r="D304" s="7" t="s">
        <v>594</v>
      </c>
      <c r="E304" s="7" t="s">
        <v>1162</v>
      </c>
      <c r="F304" s="2"/>
    </row>
    <row r="305" spans="1:6" ht="14" customHeight="1">
      <c r="A305" s="8">
        <v>10</v>
      </c>
      <c r="B305" s="7" t="str">
        <f>المدخلات!$F$5</f>
        <v>5:20–6:30 م</v>
      </c>
      <c r="C305" s="7">
        <v>6</v>
      </c>
      <c r="D305" s="7" t="s">
        <v>594</v>
      </c>
      <c r="E305" s="7" t="s">
        <v>292</v>
      </c>
      <c r="F305" s="2"/>
    </row>
    <row r="306" spans="1:6" ht="14" customHeight="1">
      <c r="A306" s="8">
        <v>10</v>
      </c>
      <c r="B306" s="7" t="str">
        <f>المدخلات!$F$6</f>
        <v>6:40–7:50 م</v>
      </c>
      <c r="C306" s="7">
        <v>4</v>
      </c>
      <c r="D306" s="7" t="s">
        <v>594</v>
      </c>
      <c r="E306" s="7" t="s">
        <v>232</v>
      </c>
      <c r="F306" s="2"/>
    </row>
    <row r="307" spans="1:6" ht="14" customHeight="1">
      <c r="A307" s="8">
        <v>10</v>
      </c>
      <c r="B307" s="7" t="str">
        <f>المدخلات!$F$6</f>
        <v>6:40–7:50 م</v>
      </c>
      <c r="C307" s="7">
        <v>5</v>
      </c>
      <c r="D307" s="7" t="s">
        <v>594</v>
      </c>
      <c r="E307" s="7" t="s">
        <v>237</v>
      </c>
      <c r="F307" s="2"/>
    </row>
    <row r="308" spans="1:6" ht="14" customHeight="1">
      <c r="A308" s="8">
        <v>10</v>
      </c>
      <c r="B308" s="7" t="str">
        <f>المدخلات!$F$4</f>
        <v>4:00–5:10 م</v>
      </c>
      <c r="C308" s="7">
        <v>7</v>
      </c>
      <c r="D308" s="7" t="s">
        <v>595</v>
      </c>
      <c r="E308" s="7" t="s">
        <v>970</v>
      </c>
      <c r="F308" s="2"/>
    </row>
    <row r="309" spans="1:6" ht="14" customHeight="1">
      <c r="A309" s="8">
        <v>10</v>
      </c>
      <c r="B309" s="7" t="str">
        <f>المدخلات!$F$4</f>
        <v>4:00–5:10 م</v>
      </c>
      <c r="C309" s="7">
        <v>8</v>
      </c>
      <c r="D309" s="7" t="s">
        <v>595</v>
      </c>
      <c r="E309" s="7" t="s">
        <v>1238</v>
      </c>
      <c r="F309" s="2"/>
    </row>
    <row r="310" spans="1:6" ht="14" customHeight="1">
      <c r="A310" s="8">
        <v>10</v>
      </c>
      <c r="B310" s="7" t="str">
        <f>المدخلات!$F$4</f>
        <v>4:00–5:10 م</v>
      </c>
      <c r="C310" s="7">
        <v>9</v>
      </c>
      <c r="D310" s="7" t="s">
        <v>595</v>
      </c>
      <c r="E310" s="7" t="s">
        <v>933</v>
      </c>
      <c r="F310" s="2"/>
    </row>
    <row r="311" spans="1:6" ht="14" customHeight="1">
      <c r="A311" s="8">
        <v>10</v>
      </c>
      <c r="B311" s="7" t="str">
        <f>المدخلات!$F$5</f>
        <v>5:20–6:30 م</v>
      </c>
      <c r="C311" s="7">
        <v>7</v>
      </c>
      <c r="D311" s="7" t="s">
        <v>595</v>
      </c>
      <c r="E311" s="7" t="s">
        <v>445</v>
      </c>
      <c r="F311" s="2"/>
    </row>
    <row r="312" spans="1:6" ht="14" customHeight="1">
      <c r="A312" s="8">
        <v>10</v>
      </c>
      <c r="B312" s="7" t="str">
        <f>المدخلات!$F$5</f>
        <v>5:20–6:30 م</v>
      </c>
      <c r="C312" s="7">
        <v>8</v>
      </c>
      <c r="D312" s="7" t="s">
        <v>595</v>
      </c>
      <c r="E312" s="7" t="s">
        <v>418</v>
      </c>
      <c r="F312" s="2"/>
    </row>
    <row r="313" spans="1:6" ht="14" customHeight="1">
      <c r="A313" s="8">
        <v>10</v>
      </c>
      <c r="B313" s="7" t="str">
        <f>المدخلات!$F$5</f>
        <v>5:20–6:30 م</v>
      </c>
      <c r="C313" s="7">
        <v>9</v>
      </c>
      <c r="D313" s="7" t="s">
        <v>595</v>
      </c>
      <c r="E313" s="7" t="s">
        <v>451</v>
      </c>
      <c r="F313" s="2"/>
    </row>
    <row r="314" spans="1:6" ht="14" customHeight="1">
      <c r="A314" s="8">
        <v>10</v>
      </c>
      <c r="B314" s="7" t="str">
        <f>المدخلات!$F$6</f>
        <v>6:40–7:50 م</v>
      </c>
      <c r="C314" s="7">
        <v>7</v>
      </c>
      <c r="D314" s="7" t="s">
        <v>595</v>
      </c>
      <c r="E314" s="7" t="s">
        <v>1214</v>
      </c>
      <c r="F314" s="2"/>
    </row>
    <row r="315" spans="1:6" ht="14" customHeight="1">
      <c r="A315" s="8">
        <v>10</v>
      </c>
      <c r="B315" s="7" t="str">
        <f>المدخلات!$F$6</f>
        <v>6:40–7:50 م</v>
      </c>
      <c r="C315" s="7">
        <v>8</v>
      </c>
      <c r="D315" s="7" t="s">
        <v>595</v>
      </c>
      <c r="E315" s="7" t="s">
        <v>402</v>
      </c>
      <c r="F315" s="2"/>
    </row>
    <row r="316" spans="1:6" ht="14" customHeight="1">
      <c r="A316" s="8">
        <v>10</v>
      </c>
      <c r="B316" s="7" t="str">
        <f>المدخلات!$F$4</f>
        <v>4:00–5:10 م</v>
      </c>
      <c r="C316" s="7">
        <v>10</v>
      </c>
      <c r="D316" s="7" t="s">
        <v>596</v>
      </c>
      <c r="E316" s="7" t="s">
        <v>972</v>
      </c>
      <c r="F316" s="2"/>
    </row>
    <row r="317" spans="1:6" ht="14" customHeight="1">
      <c r="A317" s="8">
        <v>10</v>
      </c>
      <c r="B317" s="7" t="str">
        <f>المدخلات!$F$4</f>
        <v>4:00–5:10 م</v>
      </c>
      <c r="C317" s="7">
        <v>11</v>
      </c>
      <c r="D317" s="7" t="s">
        <v>596</v>
      </c>
      <c r="E317" s="7" t="s">
        <v>561</v>
      </c>
      <c r="F317" s="2"/>
    </row>
    <row r="318" spans="1:6" ht="14" customHeight="1">
      <c r="A318" s="8">
        <v>10</v>
      </c>
      <c r="B318" s="7" t="str">
        <f>المدخلات!$F$4</f>
        <v>4:00–5:10 م</v>
      </c>
      <c r="C318" s="7">
        <v>12</v>
      </c>
      <c r="D318" s="7" t="s">
        <v>596</v>
      </c>
      <c r="E318" s="7" t="s">
        <v>1275</v>
      </c>
      <c r="F318" s="2"/>
    </row>
    <row r="319" spans="1:6" ht="14" customHeight="1">
      <c r="A319" s="8">
        <v>10</v>
      </c>
      <c r="B319" s="7" t="str">
        <f>المدخلات!$F$5</f>
        <v>5:20–6:30 م</v>
      </c>
      <c r="C319" s="7">
        <v>10</v>
      </c>
      <c r="D319" s="7" t="s">
        <v>596</v>
      </c>
      <c r="E319" s="7" t="s">
        <v>651</v>
      </c>
      <c r="F319" s="2"/>
    </row>
    <row r="320" spans="1:6" ht="14" customHeight="1">
      <c r="A320" s="8">
        <v>10</v>
      </c>
      <c r="B320" s="7" t="str">
        <f>المدخلات!$F$5</f>
        <v>5:20–6:30 م</v>
      </c>
      <c r="C320" s="7">
        <v>11</v>
      </c>
      <c r="D320" s="7" t="s">
        <v>596</v>
      </c>
      <c r="E320" s="7" t="s">
        <v>1353</v>
      </c>
      <c r="F320" s="2"/>
    </row>
    <row r="321" spans="1:6" ht="14" customHeight="1">
      <c r="A321" s="8">
        <v>10</v>
      </c>
      <c r="B321" s="7" t="str">
        <f>المدخلات!$F$5</f>
        <v>5:20–6:30 م</v>
      </c>
      <c r="C321" s="7">
        <v>12</v>
      </c>
      <c r="D321" s="7" t="s">
        <v>596</v>
      </c>
      <c r="E321" s="7" t="s">
        <v>650</v>
      </c>
      <c r="F321" s="2"/>
    </row>
    <row r="322" spans="1:6" ht="14" customHeight="1">
      <c r="A322" s="8">
        <v>10</v>
      </c>
      <c r="B322" s="7" t="str">
        <f>المدخلات!$F$6</f>
        <v>6:40–7:50 م</v>
      </c>
      <c r="C322" s="7">
        <v>10</v>
      </c>
      <c r="D322" s="7" t="s">
        <v>596</v>
      </c>
      <c r="E322" s="7" t="s">
        <v>533</v>
      </c>
      <c r="F322" s="2"/>
    </row>
    <row r="323" spans="1:6" ht="14" customHeight="1">
      <c r="A323" s="8">
        <v>10</v>
      </c>
      <c r="B323" s="7" t="str">
        <f>المدخلات!$F$6</f>
        <v>6:40–7:50 م</v>
      </c>
      <c r="C323" s="7">
        <v>11</v>
      </c>
      <c r="D323" s="7" t="s">
        <v>596</v>
      </c>
      <c r="E323" s="7" t="s">
        <v>541</v>
      </c>
      <c r="F323" s="2"/>
    </row>
    <row r="324" spans="1:6" ht="14" customHeight="1">
      <c r="A324" s="8">
        <v>11</v>
      </c>
      <c r="B324" s="7" t="str">
        <f>المدخلات!$F$4</f>
        <v>4:00–5:10 م</v>
      </c>
      <c r="C324" s="7">
        <v>1</v>
      </c>
      <c r="D324" s="7" t="s">
        <v>593</v>
      </c>
      <c r="E324" s="7" t="s">
        <v>24</v>
      </c>
      <c r="F324" s="2"/>
    </row>
    <row r="325" spans="1:6" ht="14" customHeight="1">
      <c r="A325" s="8">
        <v>11</v>
      </c>
      <c r="B325" s="7" t="str">
        <f>المدخلات!$F$4</f>
        <v>4:00–5:10 م</v>
      </c>
      <c r="C325" s="7">
        <v>2</v>
      </c>
      <c r="D325" s="7" t="s">
        <v>593</v>
      </c>
      <c r="E325" s="7" t="s">
        <v>100</v>
      </c>
      <c r="F325" s="2"/>
    </row>
    <row r="326" spans="1:6" ht="14" customHeight="1">
      <c r="A326" s="8">
        <v>11</v>
      </c>
      <c r="B326" s="7" t="str">
        <f>المدخلات!$F$4</f>
        <v>4:00–5:10 م</v>
      </c>
      <c r="C326" s="7">
        <v>3</v>
      </c>
      <c r="D326" s="7" t="s">
        <v>593</v>
      </c>
      <c r="E326" s="7" t="s">
        <v>131</v>
      </c>
      <c r="F326" s="2"/>
    </row>
    <row r="327" spans="1:6" ht="14" customHeight="1">
      <c r="A327" s="8">
        <v>11</v>
      </c>
      <c r="B327" s="7" t="str">
        <f>المدخلات!$F$5</f>
        <v>5:20–6:30 م</v>
      </c>
      <c r="C327" s="7">
        <v>1</v>
      </c>
      <c r="D327" s="7" t="s">
        <v>593</v>
      </c>
      <c r="E327" s="7" t="s">
        <v>15</v>
      </c>
      <c r="F327" s="2"/>
    </row>
    <row r="328" spans="1:6" ht="14" customHeight="1">
      <c r="A328" s="8">
        <v>11</v>
      </c>
      <c r="B328" s="7" t="str">
        <f>المدخلات!$F$5</f>
        <v>5:20–6:30 م</v>
      </c>
      <c r="C328" s="7">
        <v>2</v>
      </c>
      <c r="D328" s="7" t="s">
        <v>593</v>
      </c>
      <c r="E328" s="7" t="s">
        <v>32</v>
      </c>
      <c r="F328" s="2"/>
    </row>
    <row r="329" spans="1:6" ht="14" customHeight="1">
      <c r="A329" s="8">
        <v>11</v>
      </c>
      <c r="B329" s="7" t="str">
        <f>المدخلات!$F$5</f>
        <v>5:20–6:30 م</v>
      </c>
      <c r="C329" s="7">
        <v>3</v>
      </c>
      <c r="D329" s="7" t="s">
        <v>593</v>
      </c>
      <c r="E329" s="7" t="s">
        <v>804</v>
      </c>
      <c r="F329" s="2"/>
    </row>
    <row r="330" spans="1:6" ht="14" customHeight="1">
      <c r="A330" s="8">
        <v>11</v>
      </c>
      <c r="B330" s="7" t="str">
        <f>المدخلات!$F$6</f>
        <v>6:40–7:50 م</v>
      </c>
      <c r="C330" s="7">
        <v>1</v>
      </c>
      <c r="D330" s="7" t="s">
        <v>593</v>
      </c>
      <c r="E330" s="7" t="s">
        <v>805</v>
      </c>
      <c r="F330" s="2"/>
    </row>
    <row r="331" spans="1:6" ht="14" customHeight="1">
      <c r="A331" s="8">
        <v>11</v>
      </c>
      <c r="B331" s="7" t="str">
        <f>المدخلات!$F$6</f>
        <v>6:40–7:50 م</v>
      </c>
      <c r="C331" s="7">
        <v>2</v>
      </c>
      <c r="D331" s="7" t="s">
        <v>593</v>
      </c>
      <c r="E331" s="7" t="s">
        <v>98</v>
      </c>
      <c r="F331" s="2"/>
    </row>
    <row r="332" spans="1:6" ht="14" customHeight="1">
      <c r="A332" s="8">
        <v>11</v>
      </c>
      <c r="B332" s="7" t="str">
        <f>المدخلات!$F$4</f>
        <v>4:00–5:10 م</v>
      </c>
      <c r="C332" s="7">
        <v>4</v>
      </c>
      <c r="D332" s="7" t="s">
        <v>594</v>
      </c>
      <c r="E332" s="7" t="s">
        <v>229</v>
      </c>
      <c r="F332" s="2"/>
    </row>
    <row r="333" spans="1:6" ht="14" customHeight="1">
      <c r="A333" s="8">
        <v>11</v>
      </c>
      <c r="B333" s="7" t="str">
        <f>المدخلات!$F$4</f>
        <v>4:00–5:10 م</v>
      </c>
      <c r="C333" s="7">
        <v>5</v>
      </c>
      <c r="D333" s="7" t="s">
        <v>594</v>
      </c>
      <c r="E333" s="7" t="s">
        <v>284</v>
      </c>
      <c r="F333" s="2"/>
    </row>
    <row r="334" spans="1:6" ht="14" customHeight="1">
      <c r="A334" s="8">
        <v>11</v>
      </c>
      <c r="B334" s="7" t="str">
        <f>المدخلات!$F$4</f>
        <v>4:00–5:10 م</v>
      </c>
      <c r="C334" s="7">
        <v>6</v>
      </c>
      <c r="D334" s="7" t="s">
        <v>594</v>
      </c>
      <c r="E334" s="7" t="s">
        <v>293</v>
      </c>
      <c r="F334" s="2"/>
    </row>
    <row r="335" spans="1:6" ht="14" customHeight="1">
      <c r="A335" s="8">
        <v>11</v>
      </c>
      <c r="B335" s="7" t="str">
        <f>المدخلات!$F$5</f>
        <v>5:20–6:30 م</v>
      </c>
      <c r="C335" s="7">
        <v>4</v>
      </c>
      <c r="D335" s="7" t="s">
        <v>594</v>
      </c>
      <c r="E335" s="7" t="s">
        <v>225</v>
      </c>
      <c r="F335" s="2"/>
    </row>
    <row r="336" spans="1:6" ht="14" customHeight="1">
      <c r="A336" s="8">
        <v>11</v>
      </c>
      <c r="B336" s="7" t="str">
        <f>المدخلات!$F$5</f>
        <v>5:20–6:30 م</v>
      </c>
      <c r="C336" s="7">
        <v>5</v>
      </c>
      <c r="D336" s="7" t="s">
        <v>594</v>
      </c>
      <c r="E336" s="7" t="s">
        <v>233</v>
      </c>
      <c r="F336" s="2"/>
    </row>
    <row r="337" spans="1:6" ht="14" customHeight="1">
      <c r="A337" s="8">
        <v>11</v>
      </c>
      <c r="B337" s="7" t="str">
        <f>المدخلات!$F$5</f>
        <v>5:20–6:30 م</v>
      </c>
      <c r="C337" s="7">
        <v>6</v>
      </c>
      <c r="D337" s="7" t="s">
        <v>594</v>
      </c>
      <c r="E337" s="7" t="s">
        <v>815</v>
      </c>
      <c r="F337" s="2"/>
    </row>
    <row r="338" spans="1:6" ht="14" customHeight="1">
      <c r="A338" s="8">
        <v>11</v>
      </c>
      <c r="B338" s="7" t="str">
        <f>المدخلات!$F$6</f>
        <v>6:40–7:50 م</v>
      </c>
      <c r="C338" s="7">
        <v>4</v>
      </c>
      <c r="D338" s="7" t="s">
        <v>594</v>
      </c>
      <c r="E338" s="7" t="s">
        <v>870</v>
      </c>
      <c r="F338" s="2"/>
    </row>
    <row r="339" spans="1:6" ht="14" customHeight="1">
      <c r="A339" s="8">
        <v>11</v>
      </c>
      <c r="B339" s="7" t="str">
        <f>المدخلات!$F$6</f>
        <v>6:40–7:50 م</v>
      </c>
      <c r="C339" s="7">
        <v>5</v>
      </c>
      <c r="D339" s="7" t="s">
        <v>594</v>
      </c>
      <c r="E339" s="7" t="s">
        <v>273</v>
      </c>
      <c r="F339" s="2"/>
    </row>
    <row r="340" spans="1:6" ht="14" customHeight="1">
      <c r="A340" s="8">
        <v>11</v>
      </c>
      <c r="B340" s="7" t="str">
        <f>المدخلات!$F$4</f>
        <v>4:00–5:10 م</v>
      </c>
      <c r="C340" s="7">
        <v>7</v>
      </c>
      <c r="D340" s="7" t="s">
        <v>595</v>
      </c>
      <c r="E340" s="7" t="s">
        <v>386</v>
      </c>
      <c r="F340" s="2"/>
    </row>
    <row r="341" spans="1:6" ht="14" customHeight="1">
      <c r="A341" s="8">
        <v>11</v>
      </c>
      <c r="B341" s="7" t="str">
        <f>المدخلات!$F$4</f>
        <v>4:00–5:10 م</v>
      </c>
      <c r="C341" s="7">
        <v>8</v>
      </c>
      <c r="D341" s="7" t="s">
        <v>595</v>
      </c>
      <c r="E341" s="7" t="s">
        <v>446</v>
      </c>
      <c r="F341" s="2"/>
    </row>
    <row r="342" spans="1:6" ht="14" customHeight="1">
      <c r="A342" s="8">
        <v>11</v>
      </c>
      <c r="B342" s="7" t="str">
        <f>المدخلات!$F$4</f>
        <v>4:00–5:10 م</v>
      </c>
      <c r="C342" s="7">
        <v>9</v>
      </c>
      <c r="D342" s="7" t="s">
        <v>595</v>
      </c>
      <c r="E342" s="7" t="s">
        <v>447</v>
      </c>
      <c r="F342" s="2"/>
    </row>
    <row r="343" spans="1:6" ht="14" customHeight="1">
      <c r="A343" s="8">
        <v>11</v>
      </c>
      <c r="B343" s="7" t="str">
        <f>المدخلات!$F$5</f>
        <v>5:20–6:30 م</v>
      </c>
      <c r="C343" s="7">
        <v>7</v>
      </c>
      <c r="D343" s="7" t="s">
        <v>595</v>
      </c>
      <c r="E343" s="7" t="s">
        <v>379</v>
      </c>
      <c r="F343" s="2"/>
    </row>
    <row r="344" spans="1:6" ht="14" customHeight="1">
      <c r="A344" s="8">
        <v>11</v>
      </c>
      <c r="B344" s="7" t="str">
        <f>المدخلات!$F$5</f>
        <v>5:20–6:30 م</v>
      </c>
      <c r="C344" s="7">
        <v>8</v>
      </c>
      <c r="D344" s="7" t="s">
        <v>595</v>
      </c>
      <c r="E344" s="7" t="s">
        <v>1260</v>
      </c>
      <c r="F344" s="2"/>
    </row>
    <row r="345" spans="1:6" ht="14" customHeight="1">
      <c r="A345" s="8">
        <v>11</v>
      </c>
      <c r="B345" s="7" t="str">
        <f>المدخلات!$F$5</f>
        <v>5:20–6:30 م</v>
      </c>
      <c r="C345" s="7">
        <v>9</v>
      </c>
      <c r="D345" s="7" t="s">
        <v>595</v>
      </c>
      <c r="E345" s="7" t="s">
        <v>923</v>
      </c>
      <c r="F345" s="2"/>
    </row>
    <row r="346" spans="1:6" ht="14" customHeight="1">
      <c r="A346" s="8">
        <v>11</v>
      </c>
      <c r="B346" s="7" t="str">
        <f>المدخلات!$F$6</f>
        <v>6:40–7:50 م</v>
      </c>
      <c r="C346" s="7">
        <v>7</v>
      </c>
      <c r="D346" s="7" t="s">
        <v>595</v>
      </c>
      <c r="E346" s="7" t="s">
        <v>924</v>
      </c>
      <c r="F346" s="2"/>
    </row>
    <row r="347" spans="1:6" ht="14" customHeight="1">
      <c r="A347" s="8">
        <v>11</v>
      </c>
      <c r="B347" s="7" t="str">
        <f>المدخلات!$F$6</f>
        <v>6:40–7:50 م</v>
      </c>
      <c r="C347" s="7">
        <v>8</v>
      </c>
      <c r="D347" s="7" t="s">
        <v>595</v>
      </c>
      <c r="E347" s="7" t="s">
        <v>440</v>
      </c>
      <c r="F347" s="2"/>
    </row>
    <row r="348" spans="1:6" ht="14" customHeight="1">
      <c r="A348" s="8">
        <v>11</v>
      </c>
      <c r="B348" s="7" t="str">
        <f>المدخلات!$F$4</f>
        <v>4:00–5:10 م</v>
      </c>
      <c r="C348" s="7">
        <v>10</v>
      </c>
      <c r="D348" s="7" t="s">
        <v>596</v>
      </c>
      <c r="E348" s="7" t="s">
        <v>522</v>
      </c>
      <c r="F348" s="2"/>
    </row>
    <row r="349" spans="1:6" ht="14" customHeight="1">
      <c r="A349" s="8">
        <v>11</v>
      </c>
      <c r="B349" s="7" t="str">
        <f>المدخلات!$F$4</f>
        <v>4:00–5:10 م</v>
      </c>
      <c r="C349" s="7">
        <v>11</v>
      </c>
      <c r="D349" s="7" t="s">
        <v>596</v>
      </c>
      <c r="E349" s="7" t="s">
        <v>653</v>
      </c>
      <c r="F349" s="2"/>
    </row>
    <row r="350" spans="1:6" ht="14" customHeight="1">
      <c r="A350" s="8">
        <v>11</v>
      </c>
      <c r="B350" s="7" t="str">
        <f>المدخلات!$F$4</f>
        <v>4:00–5:10 م</v>
      </c>
      <c r="C350" s="7">
        <v>12</v>
      </c>
      <c r="D350" s="7" t="s">
        <v>596</v>
      </c>
      <c r="E350" s="7" t="s">
        <v>652</v>
      </c>
      <c r="F350" s="2"/>
    </row>
    <row r="351" spans="1:6" ht="14" customHeight="1">
      <c r="A351" s="8">
        <v>11</v>
      </c>
      <c r="B351" s="7" t="str">
        <f>المدخلات!$F$5</f>
        <v>5:20–6:30 م</v>
      </c>
      <c r="C351" s="7">
        <v>10</v>
      </c>
      <c r="D351" s="7" t="s">
        <v>596</v>
      </c>
      <c r="E351" s="7" t="s">
        <v>515</v>
      </c>
      <c r="F351" s="2"/>
    </row>
    <row r="352" spans="1:6" ht="14" customHeight="1">
      <c r="A352" s="8">
        <v>11</v>
      </c>
      <c r="B352" s="7" t="str">
        <f>المدخلات!$F$5</f>
        <v>5:20–6:30 م</v>
      </c>
      <c r="C352" s="7">
        <v>11</v>
      </c>
      <c r="D352" s="7" t="s">
        <v>596</v>
      </c>
      <c r="E352" s="7" t="s">
        <v>534</v>
      </c>
      <c r="F352" s="2"/>
    </row>
    <row r="353" spans="1:6" ht="14" customHeight="1">
      <c r="A353" s="8">
        <v>11</v>
      </c>
      <c r="B353" s="7" t="str">
        <f>المدخلات!$F$5</f>
        <v>5:20–6:30 م</v>
      </c>
      <c r="C353" s="7">
        <v>12</v>
      </c>
      <c r="D353" s="7" t="s">
        <v>596</v>
      </c>
      <c r="E353" s="7" t="s">
        <v>973</v>
      </c>
      <c r="F353" s="2"/>
    </row>
    <row r="354" spans="1:6" ht="14" customHeight="1">
      <c r="A354" s="8">
        <v>11</v>
      </c>
      <c r="B354" s="7" t="str">
        <f>المدخلات!$F$6</f>
        <v>6:40–7:50 م</v>
      </c>
      <c r="C354" s="7">
        <v>10</v>
      </c>
      <c r="D354" s="7" t="s">
        <v>596</v>
      </c>
      <c r="E354" s="7" t="s">
        <v>974</v>
      </c>
      <c r="F354" s="2"/>
    </row>
    <row r="355" spans="1:6" ht="14" customHeight="1">
      <c r="A355" s="8">
        <v>11</v>
      </c>
      <c r="B355" s="7" t="str">
        <f>المدخلات!$F$6</f>
        <v>6:40–7:50 م</v>
      </c>
      <c r="C355" s="7">
        <v>11</v>
      </c>
      <c r="D355" s="7" t="s">
        <v>596</v>
      </c>
      <c r="E355" s="7" t="s">
        <v>654</v>
      </c>
      <c r="F355" s="2"/>
    </row>
    <row r="356" spans="1:6" ht="14" customHeight="1">
      <c r="A356" s="8">
        <v>12</v>
      </c>
      <c r="B356" s="7" t="str">
        <f>المدخلات!$F$4</f>
        <v>4:00–5:10 م</v>
      </c>
      <c r="C356" s="7">
        <v>1</v>
      </c>
      <c r="D356" s="7" t="s">
        <v>593</v>
      </c>
      <c r="E356" s="7" t="s">
        <v>92</v>
      </c>
      <c r="F356" s="2"/>
    </row>
    <row r="357" spans="1:6" ht="14" customHeight="1">
      <c r="A357" s="8">
        <v>12</v>
      </c>
      <c r="B357" s="7" t="str">
        <f>المدخلات!$F$4</f>
        <v>4:00–5:10 م</v>
      </c>
      <c r="C357" s="7">
        <v>2</v>
      </c>
      <c r="D357" s="7" t="s">
        <v>593</v>
      </c>
      <c r="E357" s="7" t="s">
        <v>27</v>
      </c>
      <c r="F357" s="2"/>
    </row>
    <row r="358" spans="1:6" ht="14" customHeight="1">
      <c r="A358" s="8">
        <v>12</v>
      </c>
      <c r="B358" s="7" t="str">
        <f>المدخلات!$F$4</f>
        <v>4:00–5:10 م</v>
      </c>
      <c r="C358" s="7">
        <v>3</v>
      </c>
      <c r="D358" s="7" t="s">
        <v>593</v>
      </c>
      <c r="E358" s="7" t="s">
        <v>99</v>
      </c>
      <c r="F358" s="2"/>
    </row>
    <row r="359" spans="1:6" ht="14" customHeight="1">
      <c r="A359" s="8">
        <v>12</v>
      </c>
      <c r="B359" s="7" t="str">
        <f>المدخلات!$F$5</f>
        <v>5:20–6:30 م</v>
      </c>
      <c r="C359" s="7">
        <v>1</v>
      </c>
      <c r="D359" s="7" t="s">
        <v>593</v>
      </c>
      <c r="E359" s="7" t="s">
        <v>1077</v>
      </c>
      <c r="F359" s="2"/>
    </row>
    <row r="360" spans="1:6" ht="14" customHeight="1">
      <c r="A360" s="8">
        <v>12</v>
      </c>
      <c r="B360" s="7" t="str">
        <f>المدخلات!$F$5</f>
        <v>5:20–6:30 م</v>
      </c>
      <c r="C360" s="7">
        <v>2</v>
      </c>
      <c r="D360" s="7" t="s">
        <v>593</v>
      </c>
      <c r="E360" s="7" t="s">
        <v>133</v>
      </c>
      <c r="F360" s="2"/>
    </row>
    <row r="361" spans="1:6" ht="14" customHeight="1">
      <c r="A361" s="8">
        <v>12</v>
      </c>
      <c r="B361" s="7" t="str">
        <f>المدخلات!$F$5</f>
        <v>5:20–6:30 م</v>
      </c>
      <c r="C361" s="7">
        <v>3</v>
      </c>
      <c r="D361" s="7" t="s">
        <v>593</v>
      </c>
      <c r="E361" s="7" t="s">
        <v>31</v>
      </c>
      <c r="F361" s="2"/>
    </row>
    <row r="362" spans="1:6" ht="14" customHeight="1">
      <c r="A362" s="8">
        <v>12</v>
      </c>
      <c r="B362" s="7" t="str">
        <f>المدخلات!$F$6</f>
        <v>6:40–7:50 م</v>
      </c>
      <c r="C362" s="7">
        <v>1</v>
      </c>
      <c r="D362" s="7" t="s">
        <v>593</v>
      </c>
      <c r="E362" s="7" t="s">
        <v>9</v>
      </c>
      <c r="F362" s="2"/>
    </row>
    <row r="363" spans="1:6" ht="14" customHeight="1">
      <c r="A363" s="8">
        <v>12</v>
      </c>
      <c r="B363" s="7" t="str">
        <f>المدخلات!$F$6</f>
        <v>6:40–7:50 م</v>
      </c>
      <c r="C363" s="7">
        <v>2</v>
      </c>
      <c r="D363" s="7" t="s">
        <v>593</v>
      </c>
      <c r="E363" s="7" t="s">
        <v>1035</v>
      </c>
      <c r="F363" s="2"/>
    </row>
    <row r="364" spans="1:6" ht="14" customHeight="1">
      <c r="A364" s="8">
        <v>12</v>
      </c>
      <c r="B364" s="7" t="str">
        <f>المدخلات!$F$4</f>
        <v>4:00–5:10 م</v>
      </c>
      <c r="C364" s="7">
        <v>4</v>
      </c>
      <c r="D364" s="7" t="s">
        <v>594</v>
      </c>
      <c r="E364" s="7" t="s">
        <v>267</v>
      </c>
      <c r="F364" s="2"/>
    </row>
    <row r="365" spans="1:6" ht="14" customHeight="1">
      <c r="A365" s="8">
        <v>12</v>
      </c>
      <c r="B365" s="7" t="str">
        <f>المدخلات!$F$4</f>
        <v>4:00–5:10 م</v>
      </c>
      <c r="C365" s="7">
        <v>5</v>
      </c>
      <c r="D365" s="7" t="s">
        <v>594</v>
      </c>
      <c r="E365" s="7" t="s">
        <v>228</v>
      </c>
      <c r="F365" s="2"/>
    </row>
    <row r="366" spans="1:6" ht="14" customHeight="1">
      <c r="A366" s="8">
        <v>12</v>
      </c>
      <c r="B366" s="7" t="str">
        <f>المدخلات!$F$4</f>
        <v>4:00–5:10 م</v>
      </c>
      <c r="C366" s="7">
        <v>6</v>
      </c>
      <c r="D366" s="7" t="s">
        <v>594</v>
      </c>
      <c r="E366" s="7" t="s">
        <v>274</v>
      </c>
      <c r="F366" s="2"/>
    </row>
    <row r="367" spans="1:6" ht="14" customHeight="1">
      <c r="A367" s="8">
        <v>12</v>
      </c>
      <c r="B367" s="7" t="str">
        <f>المدخلات!$F$5</f>
        <v>5:20–6:30 م</v>
      </c>
      <c r="C367" s="7">
        <v>4</v>
      </c>
      <c r="D367" s="7" t="s">
        <v>594</v>
      </c>
      <c r="E367" s="7" t="s">
        <v>1208</v>
      </c>
      <c r="F367" s="2"/>
    </row>
    <row r="368" spans="1:6" ht="14" customHeight="1">
      <c r="A368" s="8">
        <v>12</v>
      </c>
      <c r="B368" s="7" t="str">
        <f>المدخلات!$F$5</f>
        <v>5:20–6:30 م</v>
      </c>
      <c r="C368" s="7">
        <v>5</v>
      </c>
      <c r="D368" s="7" t="s">
        <v>594</v>
      </c>
      <c r="E368" s="7" t="s">
        <v>285</v>
      </c>
      <c r="F368" s="2"/>
    </row>
    <row r="369" spans="1:6" ht="14" customHeight="1">
      <c r="A369" s="8">
        <v>12</v>
      </c>
      <c r="B369" s="7" t="str">
        <f>المدخلات!$F$5</f>
        <v>5:20–6:30 م</v>
      </c>
      <c r="C369" s="7">
        <v>6</v>
      </c>
      <c r="D369" s="7" t="s">
        <v>594</v>
      </c>
      <c r="E369" s="7" t="s">
        <v>325</v>
      </c>
      <c r="F369" s="2"/>
    </row>
    <row r="370" spans="1:6" ht="14" customHeight="1">
      <c r="A370" s="8">
        <v>12</v>
      </c>
      <c r="B370" s="7" t="str">
        <f>المدخلات!$F$6</f>
        <v>6:40–7:50 م</v>
      </c>
      <c r="C370" s="7">
        <v>4</v>
      </c>
      <c r="D370" s="7" t="s">
        <v>594</v>
      </c>
      <c r="E370" s="7" t="s">
        <v>219</v>
      </c>
      <c r="F370" s="2"/>
    </row>
    <row r="371" spans="1:6" ht="14" customHeight="1">
      <c r="A371" s="8">
        <v>12</v>
      </c>
      <c r="B371" s="7" t="str">
        <f>المدخلات!$F$6</f>
        <v>6:40–7:50 م</v>
      </c>
      <c r="C371" s="7">
        <v>5</v>
      </c>
      <c r="D371" s="7" t="s">
        <v>594</v>
      </c>
      <c r="E371" s="7" t="s">
        <v>837</v>
      </c>
      <c r="F371" s="2"/>
    </row>
    <row r="372" spans="1:6" ht="14" customHeight="1">
      <c r="A372" s="8">
        <v>12</v>
      </c>
      <c r="B372" s="7" t="str">
        <f>المدخلات!$F$4</f>
        <v>4:00–5:10 م</v>
      </c>
      <c r="C372" s="7">
        <v>7</v>
      </c>
      <c r="D372" s="7" t="s">
        <v>595</v>
      </c>
      <c r="E372" s="7" t="s">
        <v>434</v>
      </c>
      <c r="F372" s="2"/>
    </row>
    <row r="373" spans="1:6" ht="14" customHeight="1">
      <c r="A373" s="8">
        <v>12</v>
      </c>
      <c r="B373" s="7" t="str">
        <f>المدخلات!$F$4</f>
        <v>4:00–5:10 م</v>
      </c>
      <c r="C373" s="7">
        <v>8</v>
      </c>
      <c r="D373" s="7" t="s">
        <v>595</v>
      </c>
      <c r="E373" s="7" t="s">
        <v>387</v>
      </c>
      <c r="F373" s="2"/>
    </row>
    <row r="374" spans="1:6" ht="14" customHeight="1">
      <c r="A374" s="8">
        <v>12</v>
      </c>
      <c r="B374" s="7" t="str">
        <f>المدخلات!$F$4</f>
        <v>4:00–5:10 م</v>
      </c>
      <c r="C374" s="7">
        <v>9</v>
      </c>
      <c r="D374" s="7" t="s">
        <v>595</v>
      </c>
      <c r="E374" s="7" t="s">
        <v>441</v>
      </c>
      <c r="F374" s="2"/>
    </row>
    <row r="375" spans="1:6" ht="14" customHeight="1">
      <c r="A375" s="8">
        <v>12</v>
      </c>
      <c r="B375" s="7" t="str">
        <f>المدخلات!$F$5</f>
        <v>5:20–6:30 م</v>
      </c>
      <c r="C375" s="7">
        <v>7</v>
      </c>
      <c r="D375" s="7" t="s">
        <v>595</v>
      </c>
      <c r="E375" s="7" t="s">
        <v>1271</v>
      </c>
      <c r="F375" s="2"/>
    </row>
    <row r="376" spans="1:6" ht="14" customHeight="1">
      <c r="A376" s="8">
        <v>12</v>
      </c>
      <c r="B376" s="7" t="str">
        <f>المدخلات!$F$5</f>
        <v>5:20–6:30 م</v>
      </c>
      <c r="C376" s="7">
        <v>8</v>
      </c>
      <c r="D376" s="7" t="s">
        <v>595</v>
      </c>
      <c r="E376" s="7" t="s">
        <v>442</v>
      </c>
      <c r="F376" s="2"/>
    </row>
    <row r="377" spans="1:6" ht="14" customHeight="1">
      <c r="A377" s="8">
        <v>12</v>
      </c>
      <c r="B377" s="7" t="str">
        <f>المدخلات!$F$5</f>
        <v>5:20–6:30 م</v>
      </c>
      <c r="C377" s="7">
        <v>9</v>
      </c>
      <c r="D377" s="7" t="s">
        <v>595</v>
      </c>
      <c r="E377" s="7" t="s">
        <v>1241</v>
      </c>
      <c r="F377" s="2"/>
    </row>
    <row r="378" spans="1:6" ht="14" customHeight="1">
      <c r="A378" s="8">
        <v>12</v>
      </c>
      <c r="B378" s="7" t="str">
        <f>المدخلات!$F$6</f>
        <v>6:40–7:50 م</v>
      </c>
      <c r="C378" s="7">
        <v>7</v>
      </c>
      <c r="D378" s="7" t="s">
        <v>595</v>
      </c>
      <c r="E378" s="7" t="s">
        <v>373</v>
      </c>
      <c r="F378" s="2"/>
    </row>
    <row r="379" spans="1:6" ht="14" customHeight="1">
      <c r="A379" s="8">
        <v>12</v>
      </c>
      <c r="B379" s="7" t="str">
        <f>المدخلات!$F$6</f>
        <v>6:40–7:50 م</v>
      </c>
      <c r="C379" s="7">
        <v>8</v>
      </c>
      <c r="D379" s="7" t="s">
        <v>595</v>
      </c>
      <c r="E379" s="7" t="s">
        <v>888</v>
      </c>
      <c r="F379" s="2"/>
    </row>
    <row r="380" spans="1:6" ht="14" customHeight="1">
      <c r="A380" s="8">
        <v>12</v>
      </c>
      <c r="B380" s="7" t="str">
        <f>المدخلات!$F$4</f>
        <v>4:00–5:10 م</v>
      </c>
      <c r="C380" s="7">
        <v>10</v>
      </c>
      <c r="D380" s="7" t="s">
        <v>596</v>
      </c>
      <c r="E380" s="7" t="s">
        <v>601</v>
      </c>
      <c r="F380" s="2"/>
    </row>
    <row r="381" spans="1:6" ht="14" customHeight="1">
      <c r="A381" s="8">
        <v>12</v>
      </c>
      <c r="B381" s="7" t="str">
        <f>المدخلات!$F$4</f>
        <v>4:00–5:10 م</v>
      </c>
      <c r="C381" s="7">
        <v>11</v>
      </c>
      <c r="D381" s="7" t="s">
        <v>596</v>
      </c>
      <c r="E381" s="7" t="s">
        <v>523</v>
      </c>
      <c r="F381" s="2"/>
    </row>
    <row r="382" spans="1:6" ht="14" customHeight="1">
      <c r="A382" s="8">
        <v>12</v>
      </c>
      <c r="B382" s="7" t="str">
        <f>المدخلات!$F$4</f>
        <v>4:00–5:10 م</v>
      </c>
      <c r="C382" s="7">
        <v>12</v>
      </c>
      <c r="D382" s="7" t="s">
        <v>596</v>
      </c>
      <c r="E382" s="7" t="s">
        <v>600</v>
      </c>
      <c r="F382" s="2"/>
    </row>
    <row r="383" spans="1:6" ht="14" customHeight="1">
      <c r="A383" s="8">
        <v>12</v>
      </c>
      <c r="B383" s="7" t="str">
        <f>المدخلات!$F$5</f>
        <v>5:20–6:30 م</v>
      </c>
      <c r="C383" s="7">
        <v>10</v>
      </c>
      <c r="D383" s="7" t="s">
        <v>596</v>
      </c>
      <c r="E383" s="7" t="s">
        <v>1354</v>
      </c>
      <c r="F383" s="2"/>
    </row>
    <row r="384" spans="1:6" ht="14" customHeight="1">
      <c r="A384" s="8">
        <v>12</v>
      </c>
      <c r="B384" s="7" t="str">
        <f>المدخلات!$F$5</f>
        <v>5:20–6:30 م</v>
      </c>
      <c r="C384" s="7">
        <v>11</v>
      </c>
      <c r="D384" s="7" t="s">
        <v>596</v>
      </c>
      <c r="E384" s="7" t="s">
        <v>599</v>
      </c>
      <c r="F384" s="2"/>
    </row>
    <row r="385" spans="1:6" ht="14" customHeight="1">
      <c r="A385" s="8">
        <v>12</v>
      </c>
      <c r="B385" s="7" t="str">
        <f>المدخلات!$F$5</f>
        <v>5:20–6:30 م</v>
      </c>
      <c r="C385" s="7">
        <v>12</v>
      </c>
      <c r="D385" s="7" t="s">
        <v>596</v>
      </c>
      <c r="E385" s="7" t="s">
        <v>532</v>
      </c>
      <c r="F385" s="2"/>
    </row>
    <row r="386" spans="1:6" ht="14" customHeight="1">
      <c r="A386" s="8">
        <v>12</v>
      </c>
      <c r="B386" s="7" t="str">
        <f>المدخلات!$F$6</f>
        <v>6:40–7:50 م</v>
      </c>
      <c r="C386" s="7">
        <v>10</v>
      </c>
      <c r="D386" s="7" t="s">
        <v>596</v>
      </c>
      <c r="E386" s="7" t="s">
        <v>516</v>
      </c>
      <c r="F386" s="2"/>
    </row>
    <row r="387" spans="1:6" ht="14" customHeight="1">
      <c r="A387" s="8">
        <v>12</v>
      </c>
      <c r="B387" s="7" t="str">
        <f>المدخلات!$F$6</f>
        <v>6:40–7:50 م</v>
      </c>
      <c r="C387" s="7">
        <v>11</v>
      </c>
      <c r="D387" s="7" t="s">
        <v>596</v>
      </c>
      <c r="E387" s="7" t="s">
        <v>921</v>
      </c>
      <c r="F387" s="2"/>
    </row>
    <row r="388" spans="1:6" ht="14" customHeight="1">
      <c r="A388" s="8">
        <v>13</v>
      </c>
      <c r="B388" s="7" t="str">
        <f>المدخلات!$F$4</f>
        <v>4:00–5:10 م</v>
      </c>
      <c r="C388" s="7">
        <v>1</v>
      </c>
      <c r="D388" s="7" t="s">
        <v>593</v>
      </c>
      <c r="E388" s="7" t="s">
        <v>13</v>
      </c>
      <c r="F388" s="2"/>
    </row>
    <row r="389" spans="1:6" ht="14" customHeight="1">
      <c r="A389" s="8">
        <v>13</v>
      </c>
      <c r="B389" s="7" t="str">
        <f>المدخلات!$F$4</f>
        <v>4:00–5:10 م</v>
      </c>
      <c r="C389" s="7">
        <v>2</v>
      </c>
      <c r="D389" s="7" t="s">
        <v>593</v>
      </c>
      <c r="E389" s="7" t="s">
        <v>94</v>
      </c>
      <c r="F389" s="2"/>
    </row>
    <row r="390" spans="1:6" ht="14" customHeight="1">
      <c r="A390" s="8">
        <v>13</v>
      </c>
      <c r="B390" s="7" t="str">
        <f>المدخلات!$F$4</f>
        <v>4:00–5:10 م</v>
      </c>
      <c r="C390" s="7">
        <v>3</v>
      </c>
      <c r="D390" s="7" t="s">
        <v>593</v>
      </c>
      <c r="E390" s="7" t="s">
        <v>1107</v>
      </c>
      <c r="F390" s="2"/>
    </row>
    <row r="391" spans="1:6" ht="14" customHeight="1">
      <c r="A391" s="8">
        <v>13</v>
      </c>
      <c r="B391" s="7" t="str">
        <f>المدخلات!$F$5</f>
        <v>5:20–6:30 م</v>
      </c>
      <c r="C391" s="7">
        <v>1</v>
      </c>
      <c r="D391" s="7" t="s">
        <v>593</v>
      </c>
      <c r="E391" s="7" t="s">
        <v>21</v>
      </c>
      <c r="F391" s="2"/>
    </row>
    <row r="392" spans="1:6" ht="14" customHeight="1">
      <c r="A392" s="8">
        <v>13</v>
      </c>
      <c r="B392" s="7" t="str">
        <f>المدخلات!$F$5</f>
        <v>5:20–6:30 م</v>
      </c>
      <c r="C392" s="7">
        <v>2</v>
      </c>
      <c r="D392" s="7" t="s">
        <v>593</v>
      </c>
      <c r="E392" s="7" t="s">
        <v>18</v>
      </c>
      <c r="F392" s="2"/>
    </row>
    <row r="393" spans="1:6" ht="14" customHeight="1">
      <c r="A393" s="8">
        <v>13</v>
      </c>
      <c r="B393" s="7" t="str">
        <f>المدخلات!$F$5</f>
        <v>5:20–6:30 م</v>
      </c>
      <c r="C393" s="7">
        <v>3</v>
      </c>
      <c r="D393" s="7" t="s">
        <v>593</v>
      </c>
      <c r="E393" s="7" t="s">
        <v>93</v>
      </c>
      <c r="F393" s="2"/>
    </row>
    <row r="394" spans="1:6" ht="14" customHeight="1">
      <c r="A394" s="8">
        <v>13</v>
      </c>
      <c r="B394" s="7" t="str">
        <f>المدخلات!$F$6</f>
        <v>6:40–7:50 م</v>
      </c>
      <c r="C394" s="7">
        <v>1</v>
      </c>
      <c r="D394" s="7" t="s">
        <v>593</v>
      </c>
      <c r="E394" s="7" t="s">
        <v>135</v>
      </c>
      <c r="F394" s="2"/>
    </row>
    <row r="395" spans="1:6" ht="14" customHeight="1">
      <c r="A395" s="8">
        <v>13</v>
      </c>
      <c r="B395" s="7" t="str">
        <f>المدخلات!$F$6</f>
        <v>6:40–7:50 م</v>
      </c>
      <c r="C395" s="7">
        <v>2</v>
      </c>
      <c r="D395" s="7" t="s">
        <v>593</v>
      </c>
      <c r="E395" s="7" t="s">
        <v>72</v>
      </c>
      <c r="F395" s="2"/>
    </row>
    <row r="396" spans="1:6" ht="14" customHeight="1">
      <c r="A396" s="8">
        <v>13</v>
      </c>
      <c r="B396" s="7" t="str">
        <f>المدخلات!$F$4</f>
        <v>4:00–5:10 م</v>
      </c>
      <c r="C396" s="7">
        <v>4</v>
      </c>
      <c r="D396" s="7" t="s">
        <v>594</v>
      </c>
      <c r="E396" s="7" t="s">
        <v>205</v>
      </c>
      <c r="F396" s="2"/>
    </row>
    <row r="397" spans="1:6" ht="14" customHeight="1">
      <c r="A397" s="8">
        <v>13</v>
      </c>
      <c r="B397" s="7" t="str">
        <f>المدخلات!$F$4</f>
        <v>4:00–5:10 م</v>
      </c>
      <c r="C397" s="7">
        <v>5</v>
      </c>
      <c r="D397" s="7" t="s">
        <v>594</v>
      </c>
      <c r="E397" s="7" t="s">
        <v>270</v>
      </c>
      <c r="F397" s="2"/>
    </row>
    <row r="398" spans="1:6" ht="14" customHeight="1">
      <c r="A398" s="8">
        <v>13</v>
      </c>
      <c r="B398" s="7" t="str">
        <f>المدخلات!$F$4</f>
        <v>4:00–5:10 م</v>
      </c>
      <c r="C398" s="7">
        <v>6</v>
      </c>
      <c r="D398" s="7" t="s">
        <v>594</v>
      </c>
      <c r="E398" s="7" t="s">
        <v>1180</v>
      </c>
      <c r="F398" s="2"/>
    </row>
    <row r="399" spans="1:6" ht="14" customHeight="1">
      <c r="A399" s="8">
        <v>13</v>
      </c>
      <c r="B399" s="7" t="str">
        <f>المدخلات!$F$5</f>
        <v>5:20–6:30 م</v>
      </c>
      <c r="C399" s="7">
        <v>4</v>
      </c>
      <c r="D399" s="7" t="s">
        <v>594</v>
      </c>
      <c r="E399" s="7" t="s">
        <v>220</v>
      </c>
      <c r="F399" s="2"/>
    </row>
    <row r="400" spans="1:6" ht="14" customHeight="1">
      <c r="A400" s="8">
        <v>13</v>
      </c>
      <c r="B400" s="7" t="str">
        <f>المدخلات!$F$5</f>
        <v>5:20–6:30 م</v>
      </c>
      <c r="C400" s="7">
        <v>5</v>
      </c>
      <c r="D400" s="7" t="s">
        <v>594</v>
      </c>
      <c r="E400" s="7" t="s">
        <v>197</v>
      </c>
      <c r="F400" s="2"/>
    </row>
    <row r="401" spans="1:6" ht="14" customHeight="1">
      <c r="A401" s="8">
        <v>13</v>
      </c>
      <c r="B401" s="7" t="str">
        <f>المدخلات!$F$5</f>
        <v>5:20–6:30 م</v>
      </c>
      <c r="C401" s="7">
        <v>6</v>
      </c>
      <c r="D401" s="7" t="s">
        <v>594</v>
      </c>
      <c r="E401" s="7" t="s">
        <v>268</v>
      </c>
      <c r="F401" s="2"/>
    </row>
    <row r="402" spans="1:6" ht="14" customHeight="1">
      <c r="A402" s="8">
        <v>13</v>
      </c>
      <c r="B402" s="7" t="str">
        <f>المدخلات!$F$6</f>
        <v>6:40–7:50 م</v>
      </c>
      <c r="C402" s="7">
        <v>4</v>
      </c>
      <c r="D402" s="7" t="s">
        <v>594</v>
      </c>
      <c r="E402" s="7" t="s">
        <v>286</v>
      </c>
      <c r="F402" s="2"/>
    </row>
    <row r="403" spans="1:6" ht="14" customHeight="1">
      <c r="A403" s="8">
        <v>13</v>
      </c>
      <c r="B403" s="7" t="str">
        <f>المدخلات!$F$6</f>
        <v>6:40–7:50 م</v>
      </c>
      <c r="C403" s="7">
        <v>5</v>
      </c>
      <c r="D403" s="7" t="s">
        <v>594</v>
      </c>
      <c r="E403" s="7" t="s">
        <v>259</v>
      </c>
      <c r="F403" s="2"/>
    </row>
    <row r="404" spans="1:6" ht="14" customHeight="1">
      <c r="A404" s="8">
        <v>13</v>
      </c>
      <c r="B404" s="7" t="str">
        <f>المدخلات!$F$4</f>
        <v>4:00–5:10 م</v>
      </c>
      <c r="C404" s="7">
        <v>7</v>
      </c>
      <c r="D404" s="7" t="s">
        <v>595</v>
      </c>
      <c r="E404" s="7" t="s">
        <v>349</v>
      </c>
      <c r="F404" s="2"/>
    </row>
    <row r="405" spans="1:6" ht="14" customHeight="1">
      <c r="A405" s="8">
        <v>13</v>
      </c>
      <c r="B405" s="7" t="str">
        <f>المدخلات!$F$4</f>
        <v>4:00–5:10 م</v>
      </c>
      <c r="C405" s="7">
        <v>8</v>
      </c>
      <c r="D405" s="7" t="s">
        <v>595</v>
      </c>
      <c r="E405" s="7" t="s">
        <v>437</v>
      </c>
      <c r="F405" s="2"/>
    </row>
    <row r="406" spans="1:6" ht="14" customHeight="1">
      <c r="A406" s="8">
        <v>13</v>
      </c>
      <c r="B406" s="7" t="str">
        <f>المدخلات!$F$4</f>
        <v>4:00–5:10 م</v>
      </c>
      <c r="C406" s="7">
        <v>9</v>
      </c>
      <c r="D406" s="7" t="s">
        <v>595</v>
      </c>
      <c r="E406" s="7" t="s">
        <v>1355</v>
      </c>
      <c r="F406" s="2"/>
    </row>
    <row r="407" spans="1:6" ht="14" customHeight="1">
      <c r="A407" s="8">
        <v>13</v>
      </c>
      <c r="B407" s="7" t="str">
        <f>المدخلات!$F$5</f>
        <v>5:20–6:30 م</v>
      </c>
      <c r="C407" s="7">
        <v>7</v>
      </c>
      <c r="D407" s="7" t="s">
        <v>595</v>
      </c>
      <c r="E407" s="7" t="s">
        <v>374</v>
      </c>
      <c r="F407" s="2"/>
    </row>
    <row r="408" spans="1:6" ht="14" customHeight="1">
      <c r="A408" s="8">
        <v>13</v>
      </c>
      <c r="B408" s="7" t="str">
        <f>المدخلات!$F$5</f>
        <v>5:20–6:30 م</v>
      </c>
      <c r="C408" s="7">
        <v>8</v>
      </c>
      <c r="D408" s="7" t="s">
        <v>595</v>
      </c>
      <c r="E408" s="7" t="s">
        <v>345</v>
      </c>
      <c r="F408" s="2"/>
    </row>
    <row r="409" spans="1:6" ht="14" customHeight="1">
      <c r="A409" s="8">
        <v>13</v>
      </c>
      <c r="B409" s="7" t="str">
        <f>المدخلات!$F$5</f>
        <v>5:20–6:30 م</v>
      </c>
      <c r="C409" s="7">
        <v>9</v>
      </c>
      <c r="D409" s="7" t="s">
        <v>595</v>
      </c>
      <c r="E409" s="7" t="s">
        <v>435</v>
      </c>
      <c r="F409" s="2"/>
    </row>
    <row r="410" spans="1:6" ht="14" customHeight="1">
      <c r="A410" s="8">
        <v>13</v>
      </c>
      <c r="B410" s="7" t="str">
        <f>المدخلات!$F$6</f>
        <v>6:40–7:50 م</v>
      </c>
      <c r="C410" s="7">
        <v>7</v>
      </c>
      <c r="D410" s="7" t="s">
        <v>595</v>
      </c>
      <c r="E410" s="7" t="s">
        <v>472</v>
      </c>
      <c r="F410" s="2"/>
    </row>
    <row r="411" spans="1:6" ht="14" customHeight="1">
      <c r="A411" s="8">
        <v>13</v>
      </c>
      <c r="B411" s="7" t="str">
        <f>المدخلات!$F$6</f>
        <v>6:40–7:50 م</v>
      </c>
      <c r="C411" s="7">
        <v>8</v>
      </c>
      <c r="D411" s="7" t="s">
        <v>595</v>
      </c>
      <c r="E411" s="7" t="s">
        <v>426</v>
      </c>
      <c r="F411" s="2"/>
    </row>
    <row r="412" spans="1:6" ht="14" customHeight="1">
      <c r="A412" s="8">
        <v>13</v>
      </c>
      <c r="B412" s="7" t="str">
        <f>المدخلات!$F$4</f>
        <v>4:00–5:10 م</v>
      </c>
      <c r="C412" s="7">
        <v>10</v>
      </c>
      <c r="D412" s="7" t="s">
        <v>596</v>
      </c>
      <c r="E412" s="7" t="s">
        <v>504</v>
      </c>
      <c r="F412" s="2"/>
    </row>
    <row r="413" spans="1:6" ht="14" customHeight="1">
      <c r="A413" s="8">
        <v>13</v>
      </c>
      <c r="B413" s="7" t="str">
        <f>المدخلات!$F$4</f>
        <v>4:00–5:10 م</v>
      </c>
      <c r="C413" s="7">
        <v>11</v>
      </c>
      <c r="D413" s="7" t="s">
        <v>596</v>
      </c>
      <c r="E413" s="7" t="s">
        <v>618</v>
      </c>
      <c r="F413" s="2"/>
    </row>
    <row r="414" spans="1:6" ht="14" customHeight="1">
      <c r="A414" s="8">
        <v>13</v>
      </c>
      <c r="B414" s="7" t="str">
        <f>المدخلات!$F$4</f>
        <v>4:00–5:10 م</v>
      </c>
      <c r="C414" s="7">
        <v>12</v>
      </c>
      <c r="D414" s="7" t="s">
        <v>596</v>
      </c>
      <c r="E414" s="7" t="s">
        <v>1356</v>
      </c>
      <c r="F414" s="2"/>
    </row>
    <row r="415" spans="1:6" ht="14" customHeight="1">
      <c r="A415" s="8">
        <v>13</v>
      </c>
      <c r="B415" s="7" t="str">
        <f>المدخلات!$F$5</f>
        <v>5:20–6:30 م</v>
      </c>
      <c r="C415" s="7">
        <v>10</v>
      </c>
      <c r="D415" s="7" t="s">
        <v>596</v>
      </c>
      <c r="E415" s="7" t="s">
        <v>517</v>
      </c>
      <c r="F415" s="2"/>
    </row>
    <row r="416" spans="1:6" ht="14" customHeight="1">
      <c r="A416" s="8">
        <v>13</v>
      </c>
      <c r="B416" s="7" t="str">
        <f>المدخلات!$F$5</f>
        <v>5:20–6:30 م</v>
      </c>
      <c r="C416" s="7">
        <v>11</v>
      </c>
      <c r="D416" s="7" t="s">
        <v>596</v>
      </c>
      <c r="E416" s="7" t="s">
        <v>500</v>
      </c>
      <c r="F416" s="2"/>
    </row>
    <row r="417" spans="1:6" ht="14" customHeight="1">
      <c r="A417" s="8">
        <v>13</v>
      </c>
      <c r="B417" s="7" t="str">
        <f>المدخلات!$F$5</f>
        <v>5:20–6:30 م</v>
      </c>
      <c r="C417" s="7">
        <v>12</v>
      </c>
      <c r="D417" s="7" t="s">
        <v>596</v>
      </c>
      <c r="E417" s="7" t="s">
        <v>606</v>
      </c>
      <c r="F417" s="2"/>
    </row>
    <row r="418" spans="1:6" ht="14" customHeight="1">
      <c r="A418" s="8">
        <v>13</v>
      </c>
      <c r="B418" s="7" t="str">
        <f>المدخلات!$F$6</f>
        <v>6:40–7:50 م</v>
      </c>
      <c r="C418" s="7">
        <v>10</v>
      </c>
      <c r="D418" s="7" t="s">
        <v>596</v>
      </c>
      <c r="E418" s="7" t="s">
        <v>662</v>
      </c>
      <c r="F418" s="2"/>
    </row>
    <row r="419" spans="1:6" ht="14" customHeight="1">
      <c r="A419" s="8">
        <v>13</v>
      </c>
      <c r="B419" s="7" t="str">
        <f>المدخلات!$F$6</f>
        <v>6:40–7:50 م</v>
      </c>
      <c r="C419" s="7">
        <v>11</v>
      </c>
      <c r="D419" s="7" t="s">
        <v>596</v>
      </c>
      <c r="E419" s="7" t="s">
        <v>576</v>
      </c>
      <c r="F419" s="2"/>
    </row>
    <row r="420" spans="1:6" ht="14" customHeight="1">
      <c r="A420" s="8">
        <v>14</v>
      </c>
      <c r="B420" s="7" t="str">
        <f>المدخلات!$F$4</f>
        <v>4:00–5:10 م</v>
      </c>
      <c r="C420" s="7">
        <v>1</v>
      </c>
      <c r="D420" s="7" t="s">
        <v>593</v>
      </c>
      <c r="E420" s="7" t="s">
        <v>89</v>
      </c>
      <c r="F420" s="2"/>
    </row>
    <row r="421" spans="1:6" ht="14" customHeight="1">
      <c r="A421" s="8">
        <v>14</v>
      </c>
      <c r="B421" s="7" t="str">
        <f>المدخلات!$F$4</f>
        <v>4:00–5:10 م</v>
      </c>
      <c r="C421" s="7">
        <v>2</v>
      </c>
      <c r="D421" s="7" t="s">
        <v>593</v>
      </c>
      <c r="E421" s="7" t="s">
        <v>1087</v>
      </c>
      <c r="F421" s="2"/>
    </row>
    <row r="422" spans="1:6" ht="14" customHeight="1">
      <c r="A422" s="8">
        <v>14</v>
      </c>
      <c r="B422" s="7" t="str">
        <f>المدخلات!$F$4</f>
        <v>4:00–5:10 م</v>
      </c>
      <c r="C422" s="7">
        <v>3</v>
      </c>
      <c r="D422" s="7" t="s">
        <v>593</v>
      </c>
      <c r="E422" s="7" t="s">
        <v>1040</v>
      </c>
      <c r="F422" s="2"/>
    </row>
    <row r="423" spans="1:6" ht="14" customHeight="1">
      <c r="A423" s="8">
        <v>14</v>
      </c>
      <c r="B423" s="7" t="str">
        <f>المدخلات!$F$5</f>
        <v>5:20–6:30 م</v>
      </c>
      <c r="C423" s="7">
        <v>1</v>
      </c>
      <c r="D423" s="7" t="s">
        <v>593</v>
      </c>
      <c r="E423" s="7" t="s">
        <v>1086</v>
      </c>
      <c r="F423" s="2"/>
    </row>
    <row r="424" spans="1:6" ht="14" customHeight="1">
      <c r="A424" s="8">
        <v>14</v>
      </c>
      <c r="B424" s="7" t="str">
        <f>المدخلات!$F$5</f>
        <v>5:20–6:30 م</v>
      </c>
      <c r="C424" s="7">
        <v>2</v>
      </c>
      <c r="D424" s="7" t="s">
        <v>593</v>
      </c>
      <c r="E424" s="7" t="s">
        <v>67</v>
      </c>
      <c r="F424" s="2"/>
    </row>
    <row r="425" spans="1:6" ht="14" customHeight="1">
      <c r="A425" s="8">
        <v>14</v>
      </c>
      <c r="B425" s="7" t="str">
        <f>المدخلات!$F$5</f>
        <v>5:20–6:30 م</v>
      </c>
      <c r="C425" s="7">
        <v>3</v>
      </c>
      <c r="D425" s="7" t="s">
        <v>593</v>
      </c>
      <c r="E425" s="7" t="s">
        <v>56</v>
      </c>
      <c r="F425" s="2"/>
    </row>
    <row r="426" spans="1:6" ht="14" customHeight="1">
      <c r="A426" s="8">
        <v>14</v>
      </c>
      <c r="B426" s="7" t="str">
        <f>المدخلات!$F$6</f>
        <v>6:40–7:50 م</v>
      </c>
      <c r="C426" s="7">
        <v>1</v>
      </c>
      <c r="D426" s="7" t="s">
        <v>593</v>
      </c>
      <c r="E426" s="7" t="s">
        <v>138</v>
      </c>
      <c r="F426" s="2"/>
    </row>
    <row r="427" spans="1:6" ht="14" customHeight="1">
      <c r="A427" s="8">
        <v>14</v>
      </c>
      <c r="B427" s="7" t="str">
        <f>المدخلات!$F$6</f>
        <v>6:40–7:50 م</v>
      </c>
      <c r="C427" s="7">
        <v>2</v>
      </c>
      <c r="D427" s="7" t="s">
        <v>593</v>
      </c>
      <c r="E427" s="7" t="s">
        <v>14</v>
      </c>
      <c r="F427" s="2"/>
    </row>
    <row r="428" spans="1:6" ht="14" customHeight="1">
      <c r="A428" s="8">
        <v>14</v>
      </c>
      <c r="B428" s="7" t="str">
        <f>المدخلات!$F$4</f>
        <v>4:00–5:10 م</v>
      </c>
      <c r="C428" s="7">
        <v>4</v>
      </c>
      <c r="D428" s="7" t="s">
        <v>594</v>
      </c>
      <c r="E428" s="7" t="s">
        <v>269</v>
      </c>
      <c r="F428" s="2"/>
    </row>
    <row r="429" spans="1:6" ht="14" customHeight="1">
      <c r="A429" s="8">
        <v>14</v>
      </c>
      <c r="B429" s="7" t="str">
        <f>المدخلات!$F$4</f>
        <v>4:00–5:10 م</v>
      </c>
      <c r="C429" s="7">
        <v>5</v>
      </c>
      <c r="D429" s="7" t="s">
        <v>594</v>
      </c>
      <c r="E429" s="7" t="s">
        <v>1357</v>
      </c>
      <c r="F429" s="2"/>
    </row>
    <row r="430" spans="1:6" ht="14" customHeight="1">
      <c r="A430" s="8">
        <v>14</v>
      </c>
      <c r="B430" s="7" t="str">
        <f>المدخلات!$F$4</f>
        <v>4:00–5:10 م</v>
      </c>
      <c r="C430" s="7">
        <v>6</v>
      </c>
      <c r="D430" s="7" t="s">
        <v>594</v>
      </c>
      <c r="E430" s="7" t="s">
        <v>840</v>
      </c>
      <c r="F430" s="2"/>
    </row>
    <row r="431" spans="1:6" ht="14" customHeight="1">
      <c r="A431" s="8">
        <v>14</v>
      </c>
      <c r="B431" s="7" t="str">
        <f>المدخلات!$F$5</f>
        <v>5:20–6:30 م</v>
      </c>
      <c r="C431" s="7">
        <v>4</v>
      </c>
      <c r="D431" s="7" t="s">
        <v>594</v>
      </c>
      <c r="E431" s="7" t="s">
        <v>1279</v>
      </c>
      <c r="F431" s="2"/>
    </row>
    <row r="432" spans="1:6" ht="14" customHeight="1">
      <c r="A432" s="8">
        <v>14</v>
      </c>
      <c r="B432" s="7" t="str">
        <f>المدخلات!$F$5</f>
        <v>5:20–6:30 م</v>
      </c>
      <c r="C432" s="7">
        <v>5</v>
      </c>
      <c r="D432" s="7" t="s">
        <v>594</v>
      </c>
      <c r="E432" s="7" t="s">
        <v>260</v>
      </c>
      <c r="F432" s="2"/>
    </row>
    <row r="433" spans="1:6" ht="14" customHeight="1">
      <c r="A433" s="8">
        <v>14</v>
      </c>
      <c r="B433" s="7" t="str">
        <f>المدخلات!$F$5</f>
        <v>5:20–6:30 م</v>
      </c>
      <c r="C433" s="7">
        <v>6</v>
      </c>
      <c r="D433" s="7" t="s">
        <v>594</v>
      </c>
      <c r="E433" s="7" t="s">
        <v>252</v>
      </c>
      <c r="F433" s="2"/>
    </row>
    <row r="434" spans="1:6" ht="14" customHeight="1">
      <c r="A434" s="8">
        <v>14</v>
      </c>
      <c r="B434" s="7" t="str">
        <f>المدخلات!$F$6</f>
        <v>6:40–7:50 م</v>
      </c>
      <c r="C434" s="7">
        <v>4</v>
      </c>
      <c r="D434" s="7" t="s">
        <v>594</v>
      </c>
      <c r="E434" s="7" t="s">
        <v>276</v>
      </c>
      <c r="F434" s="2"/>
    </row>
    <row r="435" spans="1:6" ht="14" customHeight="1">
      <c r="A435" s="8">
        <v>14</v>
      </c>
      <c r="B435" s="7" t="str">
        <f>المدخلات!$F$6</f>
        <v>6:40–7:50 م</v>
      </c>
      <c r="C435" s="7">
        <v>5</v>
      </c>
      <c r="D435" s="7" t="s">
        <v>594</v>
      </c>
      <c r="E435" s="7" t="s">
        <v>189</v>
      </c>
      <c r="F435" s="2"/>
    </row>
    <row r="436" spans="1:6" ht="14" customHeight="1">
      <c r="A436" s="8">
        <v>14</v>
      </c>
      <c r="B436" s="7" t="str">
        <f>المدخلات!$F$4</f>
        <v>4:00–5:10 م</v>
      </c>
      <c r="C436" s="7">
        <v>7</v>
      </c>
      <c r="D436" s="7" t="s">
        <v>595</v>
      </c>
      <c r="E436" s="7" t="s">
        <v>436</v>
      </c>
      <c r="F436" s="2"/>
    </row>
    <row r="437" spans="1:6" ht="14" customHeight="1">
      <c r="A437" s="8">
        <v>14</v>
      </c>
      <c r="B437" s="7" t="str">
        <f>المدخلات!$F$4</f>
        <v>4:00–5:10 م</v>
      </c>
      <c r="C437" s="7">
        <v>8</v>
      </c>
      <c r="D437" s="7" t="s">
        <v>595</v>
      </c>
      <c r="E437" s="7" t="s">
        <v>1358</v>
      </c>
      <c r="F437" s="2"/>
    </row>
    <row r="438" spans="1:6" ht="14" customHeight="1">
      <c r="A438" s="8">
        <v>14</v>
      </c>
      <c r="B438" s="7" t="str">
        <f>المدخلات!$F$4</f>
        <v>4:00–5:10 م</v>
      </c>
      <c r="C438" s="7">
        <v>9</v>
      </c>
      <c r="D438" s="7" t="s">
        <v>595</v>
      </c>
      <c r="E438" s="7" t="s">
        <v>889</v>
      </c>
      <c r="F438" s="2"/>
    </row>
    <row r="439" spans="1:6" ht="14" customHeight="1">
      <c r="A439" s="8">
        <v>14</v>
      </c>
      <c r="B439" s="7" t="str">
        <f>المدخلات!$F$5</f>
        <v>5:20–6:30 م</v>
      </c>
      <c r="C439" s="7">
        <v>7</v>
      </c>
      <c r="D439" s="7" t="s">
        <v>595</v>
      </c>
      <c r="E439" s="7" t="s">
        <v>1359</v>
      </c>
      <c r="F439" s="2"/>
    </row>
    <row r="440" spans="1:6" ht="14" customHeight="1">
      <c r="A440" s="8">
        <v>14</v>
      </c>
      <c r="B440" s="7" t="str">
        <f>المدخلات!$F$5</f>
        <v>5:20–6:30 م</v>
      </c>
      <c r="C440" s="7">
        <v>8</v>
      </c>
      <c r="D440" s="7" t="s">
        <v>595</v>
      </c>
      <c r="E440" s="7" t="s">
        <v>427</v>
      </c>
      <c r="F440" s="2"/>
    </row>
    <row r="441" spans="1:6" ht="14" customHeight="1">
      <c r="A441" s="8">
        <v>14</v>
      </c>
      <c r="B441" s="7" t="str">
        <f>المدخلات!$F$5</f>
        <v>5:20–6:30 م</v>
      </c>
      <c r="C441" s="7">
        <v>9</v>
      </c>
      <c r="D441" s="7" t="s">
        <v>595</v>
      </c>
      <c r="E441" s="7" t="s">
        <v>419</v>
      </c>
      <c r="F441" s="2"/>
    </row>
    <row r="442" spans="1:6" ht="14" customHeight="1">
      <c r="A442" s="8">
        <v>14</v>
      </c>
      <c r="B442" s="7" t="str">
        <f>المدخلات!$F$6</f>
        <v>6:40–7:50 م</v>
      </c>
      <c r="C442" s="7">
        <v>7</v>
      </c>
      <c r="D442" s="7" t="s">
        <v>595</v>
      </c>
      <c r="E442" s="7" t="s">
        <v>475</v>
      </c>
      <c r="F442" s="2"/>
    </row>
    <row r="443" spans="1:6" ht="14" customHeight="1">
      <c r="A443" s="8">
        <v>14</v>
      </c>
      <c r="B443" s="7" t="str">
        <f>المدخلات!$F$6</f>
        <v>6:40–7:50 م</v>
      </c>
      <c r="C443" s="7">
        <v>8</v>
      </c>
      <c r="D443" s="7" t="s">
        <v>595</v>
      </c>
      <c r="E443" s="7" t="s">
        <v>342</v>
      </c>
      <c r="F443" s="2"/>
    </row>
    <row r="444" spans="1:6" ht="14" customHeight="1">
      <c r="A444" s="8">
        <v>14</v>
      </c>
      <c r="B444" s="7" t="str">
        <f>المدخلات!$F$4</f>
        <v>4:00–5:10 م</v>
      </c>
      <c r="C444" s="7">
        <v>10</v>
      </c>
      <c r="D444" s="7" t="s">
        <v>596</v>
      </c>
      <c r="E444" s="7" t="s">
        <v>668</v>
      </c>
      <c r="F444" s="2"/>
    </row>
    <row r="445" spans="1:6" ht="14" customHeight="1">
      <c r="A445" s="8">
        <v>14</v>
      </c>
      <c r="B445" s="7" t="str">
        <f>المدخلات!$F$4</f>
        <v>4:00–5:10 م</v>
      </c>
      <c r="C445" s="7">
        <v>11</v>
      </c>
      <c r="D445" s="7" t="s">
        <v>596</v>
      </c>
      <c r="E445" s="7" t="s">
        <v>1360</v>
      </c>
      <c r="F445" s="2"/>
    </row>
    <row r="446" spans="1:6" ht="14" customHeight="1">
      <c r="A446" s="8">
        <v>14</v>
      </c>
      <c r="B446" s="7" t="str">
        <f>المدخلات!$F$4</f>
        <v>4:00–5:10 م</v>
      </c>
      <c r="C446" s="7">
        <v>12</v>
      </c>
      <c r="D446" s="7" t="s">
        <v>596</v>
      </c>
      <c r="E446" s="7" t="s">
        <v>670</v>
      </c>
      <c r="F446" s="2"/>
    </row>
    <row r="447" spans="1:6" ht="14" customHeight="1">
      <c r="A447" s="8">
        <v>14</v>
      </c>
      <c r="B447" s="7" t="str">
        <f>المدخلات!$F$5</f>
        <v>5:20–6:30 م</v>
      </c>
      <c r="C447" s="7">
        <v>10</v>
      </c>
      <c r="D447" s="7" t="s">
        <v>596</v>
      </c>
      <c r="E447" s="7" t="s">
        <v>1361</v>
      </c>
      <c r="F447" s="2"/>
    </row>
    <row r="448" spans="1:6" ht="14" customHeight="1">
      <c r="A448" s="8">
        <v>14</v>
      </c>
      <c r="B448" s="7" t="str">
        <f>المدخلات!$F$5</f>
        <v>5:20–6:30 م</v>
      </c>
      <c r="C448" s="7">
        <v>11</v>
      </c>
      <c r="D448" s="7" t="s">
        <v>596</v>
      </c>
      <c r="E448" s="7" t="s">
        <v>577</v>
      </c>
      <c r="F448" s="2"/>
    </row>
    <row r="449" spans="1:6" ht="14" customHeight="1">
      <c r="A449" s="8">
        <v>14</v>
      </c>
      <c r="B449" s="7" t="str">
        <f>المدخلات!$F$5</f>
        <v>5:20–6:30 م</v>
      </c>
      <c r="C449" s="7">
        <v>12</v>
      </c>
      <c r="D449" s="7" t="s">
        <v>596</v>
      </c>
      <c r="E449" s="7" t="s">
        <v>570</v>
      </c>
      <c r="F449" s="2"/>
    </row>
    <row r="450" spans="1:6" ht="14" customHeight="1">
      <c r="A450" s="8">
        <v>14</v>
      </c>
      <c r="B450" s="7" t="str">
        <f>المدخلات!$F$6</f>
        <v>6:40–7:50 م</v>
      </c>
      <c r="C450" s="7">
        <v>10</v>
      </c>
      <c r="D450" s="7" t="s">
        <v>596</v>
      </c>
      <c r="E450" s="7" t="s">
        <v>667</v>
      </c>
      <c r="F450" s="2"/>
    </row>
    <row r="451" spans="1:6" ht="14" customHeight="1">
      <c r="A451" s="8">
        <v>14</v>
      </c>
      <c r="B451" s="7" t="str">
        <f>المدخلات!$F$6</f>
        <v>6:40–7:50 م</v>
      </c>
      <c r="C451" s="7">
        <v>11</v>
      </c>
      <c r="D451" s="7" t="s">
        <v>596</v>
      </c>
      <c r="E451" s="7" t="s">
        <v>494</v>
      </c>
      <c r="F451" s="2"/>
    </row>
    <row r="452" spans="1:6" ht="14" customHeight="1">
      <c r="A452" s="8">
        <v>15</v>
      </c>
      <c r="B452" s="7" t="str">
        <f>المدخلات!$F$4</f>
        <v>4:00–5:10 م</v>
      </c>
      <c r="C452" s="7">
        <v>1</v>
      </c>
      <c r="D452" s="7" t="s">
        <v>593</v>
      </c>
      <c r="E452" s="7" t="s">
        <v>1096</v>
      </c>
      <c r="F452" s="2"/>
    </row>
    <row r="453" spans="1:6" ht="14" customHeight="1">
      <c r="A453" s="8">
        <v>15</v>
      </c>
      <c r="B453" s="7" t="str">
        <f>المدخلات!$F$4</f>
        <v>4:00–5:10 م</v>
      </c>
      <c r="C453" s="7">
        <v>2</v>
      </c>
      <c r="D453" s="7" t="s">
        <v>593</v>
      </c>
      <c r="E453" s="7" t="s">
        <v>11</v>
      </c>
      <c r="F453" s="2"/>
    </row>
    <row r="454" spans="1:6" ht="14" customHeight="1">
      <c r="A454" s="8">
        <v>15</v>
      </c>
      <c r="B454" s="7" t="str">
        <f>المدخلات!$F$4</f>
        <v>4:00–5:10 م</v>
      </c>
      <c r="C454" s="7">
        <v>3</v>
      </c>
      <c r="D454" s="7" t="s">
        <v>593</v>
      </c>
      <c r="E454" s="7" t="s">
        <v>53</v>
      </c>
      <c r="F454" s="2"/>
    </row>
    <row r="455" spans="1:6" ht="14" customHeight="1">
      <c r="A455" s="8">
        <v>15</v>
      </c>
      <c r="B455" s="7" t="str">
        <f>المدخلات!$F$5</f>
        <v>5:20–6:30 م</v>
      </c>
      <c r="C455" s="7">
        <v>1</v>
      </c>
      <c r="D455" s="7" t="s">
        <v>593</v>
      </c>
      <c r="E455" s="7" t="s">
        <v>63</v>
      </c>
      <c r="F455" s="2"/>
    </row>
    <row r="456" spans="1:6" ht="14" customHeight="1">
      <c r="A456" s="8">
        <v>15</v>
      </c>
      <c r="B456" s="7" t="str">
        <f>المدخلات!$F$5</f>
        <v>5:20–6:30 م</v>
      </c>
      <c r="C456" s="7">
        <v>2</v>
      </c>
      <c r="D456" s="7" t="s">
        <v>593</v>
      </c>
      <c r="E456" s="7" t="s">
        <v>1098</v>
      </c>
      <c r="F456" s="2"/>
    </row>
    <row r="457" spans="1:6" ht="14" customHeight="1">
      <c r="A457" s="8">
        <v>15</v>
      </c>
      <c r="B457" s="7" t="str">
        <f>المدخلات!$F$5</f>
        <v>5:20–6:30 م</v>
      </c>
      <c r="C457" s="7">
        <v>3</v>
      </c>
      <c r="D457" s="7" t="s">
        <v>593</v>
      </c>
      <c r="E457" s="7" t="s">
        <v>142</v>
      </c>
      <c r="F457" s="2"/>
    </row>
    <row r="458" spans="1:6" ht="14" customHeight="1">
      <c r="A458" s="8">
        <v>15</v>
      </c>
      <c r="B458" s="7" t="str">
        <f>المدخلات!$F$6</f>
        <v>6:40–7:50 م</v>
      </c>
      <c r="C458" s="7">
        <v>1</v>
      </c>
      <c r="D458" s="7" t="s">
        <v>593</v>
      </c>
      <c r="E458" s="7" t="s">
        <v>1095</v>
      </c>
      <c r="F458" s="2"/>
    </row>
    <row r="459" spans="1:6" ht="14" customHeight="1">
      <c r="A459" s="8">
        <v>15</v>
      </c>
      <c r="B459" s="7" t="str">
        <f>المدخلات!$F$6</f>
        <v>6:40–7:50 م</v>
      </c>
      <c r="C459" s="7">
        <v>2</v>
      </c>
      <c r="D459" s="7" t="s">
        <v>593</v>
      </c>
      <c r="E459" s="7" t="s">
        <v>46</v>
      </c>
      <c r="F459" s="2"/>
    </row>
    <row r="460" spans="1:6" ht="14" customHeight="1">
      <c r="A460" s="8">
        <v>15</v>
      </c>
      <c r="B460" s="7" t="str">
        <f>المدخلات!$F$4</f>
        <v>4:00–5:10 م</v>
      </c>
      <c r="C460" s="7">
        <v>4</v>
      </c>
      <c r="D460" s="7" t="s">
        <v>594</v>
      </c>
      <c r="E460" s="7" t="s">
        <v>1188</v>
      </c>
      <c r="F460" s="2"/>
    </row>
    <row r="461" spans="1:6" ht="14" customHeight="1">
      <c r="A461" s="8">
        <v>15</v>
      </c>
      <c r="B461" s="7" t="str">
        <f>المدخلات!$F$4</f>
        <v>4:00–5:10 م</v>
      </c>
      <c r="C461" s="7">
        <v>5</v>
      </c>
      <c r="D461" s="7" t="s">
        <v>594</v>
      </c>
      <c r="E461" s="7" t="s">
        <v>161</v>
      </c>
      <c r="F461" s="2"/>
    </row>
    <row r="462" spans="1:6" ht="14" customHeight="1">
      <c r="A462" s="8">
        <v>15</v>
      </c>
      <c r="B462" s="7" t="str">
        <f>المدخلات!$F$4</f>
        <v>4:00–5:10 م</v>
      </c>
      <c r="C462" s="7">
        <v>6</v>
      </c>
      <c r="D462" s="7" t="s">
        <v>594</v>
      </c>
      <c r="E462" s="7" t="s">
        <v>253</v>
      </c>
      <c r="F462" s="2"/>
    </row>
    <row r="463" spans="1:6" ht="14" customHeight="1">
      <c r="A463" s="8">
        <v>15</v>
      </c>
      <c r="B463" s="7" t="str">
        <f>المدخلات!$F$5</f>
        <v>5:20–6:30 م</v>
      </c>
      <c r="C463" s="7">
        <v>4</v>
      </c>
      <c r="D463" s="7" t="s">
        <v>594</v>
      </c>
      <c r="E463" s="7" t="s">
        <v>255</v>
      </c>
      <c r="F463" s="2"/>
    </row>
    <row r="464" spans="1:6" ht="14" customHeight="1">
      <c r="A464" s="8">
        <v>15</v>
      </c>
      <c r="B464" s="7" t="str">
        <f>المدخلات!$F$5</f>
        <v>5:20–6:30 م</v>
      </c>
      <c r="C464" s="7">
        <v>5</v>
      </c>
      <c r="D464" s="7" t="s">
        <v>594</v>
      </c>
      <c r="E464" s="7" t="s">
        <v>1183</v>
      </c>
      <c r="F464" s="2"/>
    </row>
    <row r="465" spans="1:6" ht="14" customHeight="1">
      <c r="A465" s="8">
        <v>15</v>
      </c>
      <c r="B465" s="7" t="str">
        <f>المدخلات!$F$5</f>
        <v>5:20–6:30 م</v>
      </c>
      <c r="C465" s="7">
        <v>6</v>
      </c>
      <c r="D465" s="7" t="s">
        <v>594</v>
      </c>
      <c r="E465" s="7" t="s">
        <v>261</v>
      </c>
      <c r="F465" s="2"/>
    </row>
    <row r="466" spans="1:6" ht="14" customHeight="1">
      <c r="A466" s="8">
        <v>15</v>
      </c>
      <c r="B466" s="7" t="str">
        <f>المدخلات!$F$6</f>
        <v>6:40–7:50 م</v>
      </c>
      <c r="C466" s="7">
        <v>4</v>
      </c>
      <c r="D466" s="7" t="s">
        <v>594</v>
      </c>
      <c r="E466" s="7" t="s">
        <v>1362</v>
      </c>
      <c r="F466" s="2"/>
    </row>
    <row r="467" spans="1:6" ht="14" customHeight="1">
      <c r="A467" s="8">
        <v>15</v>
      </c>
      <c r="B467" s="7" t="str">
        <f>المدخلات!$F$6</f>
        <v>6:40–7:50 م</v>
      </c>
      <c r="C467" s="7">
        <v>5</v>
      </c>
      <c r="D467" s="7" t="s">
        <v>594</v>
      </c>
      <c r="E467" s="7" t="s">
        <v>243</v>
      </c>
      <c r="F467" s="2"/>
    </row>
    <row r="468" spans="1:6" ht="14" customHeight="1">
      <c r="A468" s="8">
        <v>15</v>
      </c>
      <c r="B468" s="7" t="str">
        <f>المدخلات!$F$4</f>
        <v>4:00–5:10 م</v>
      </c>
      <c r="C468" s="7">
        <v>7</v>
      </c>
      <c r="D468" s="7" t="s">
        <v>595</v>
      </c>
      <c r="E468" s="7" t="s">
        <v>1363</v>
      </c>
      <c r="F468" s="2"/>
    </row>
    <row r="469" spans="1:6" ht="14" customHeight="1">
      <c r="A469" s="8">
        <v>15</v>
      </c>
      <c r="B469" s="7" t="str">
        <f>المدخلات!$F$4</f>
        <v>4:00–5:10 م</v>
      </c>
      <c r="C469" s="7">
        <v>8</v>
      </c>
      <c r="D469" s="7" t="s">
        <v>595</v>
      </c>
      <c r="E469" s="7" t="s">
        <v>324</v>
      </c>
      <c r="F469" s="2"/>
    </row>
    <row r="470" spans="1:6" ht="14" customHeight="1">
      <c r="A470" s="8">
        <v>15</v>
      </c>
      <c r="B470" s="7" t="str">
        <f>المدخلات!$F$4</f>
        <v>4:00–5:10 م</v>
      </c>
      <c r="C470" s="7">
        <v>9</v>
      </c>
      <c r="D470" s="7" t="s">
        <v>595</v>
      </c>
      <c r="E470" s="7" t="s">
        <v>420</v>
      </c>
      <c r="F470" s="2"/>
    </row>
    <row r="471" spans="1:6" ht="14" customHeight="1">
      <c r="A471" s="8">
        <v>15</v>
      </c>
      <c r="B471" s="7" t="str">
        <f>المدخلات!$F$5</f>
        <v>5:20–6:30 م</v>
      </c>
      <c r="C471" s="7">
        <v>7</v>
      </c>
      <c r="D471" s="7" t="s">
        <v>595</v>
      </c>
      <c r="E471" s="7" t="s">
        <v>428</v>
      </c>
      <c r="F471" s="2"/>
    </row>
    <row r="472" spans="1:6" ht="14" customHeight="1">
      <c r="A472" s="8">
        <v>15</v>
      </c>
      <c r="B472" s="7" t="str">
        <f>المدخلات!$F$5</f>
        <v>5:20–6:30 م</v>
      </c>
      <c r="C472" s="7">
        <v>8</v>
      </c>
      <c r="D472" s="7" t="s">
        <v>595</v>
      </c>
      <c r="E472" s="7" t="s">
        <v>1218</v>
      </c>
      <c r="F472" s="2"/>
    </row>
    <row r="473" spans="1:6" ht="14" customHeight="1">
      <c r="A473" s="8">
        <v>15</v>
      </c>
      <c r="B473" s="7" t="str">
        <f>المدخلات!$F$5</f>
        <v>5:20–6:30 م</v>
      </c>
      <c r="C473" s="7">
        <v>9</v>
      </c>
      <c r="D473" s="7" t="s">
        <v>595</v>
      </c>
      <c r="E473" s="7" t="s">
        <v>430</v>
      </c>
      <c r="F473" s="2"/>
    </row>
    <row r="474" spans="1:6" ht="14" customHeight="1">
      <c r="A474" s="8">
        <v>15</v>
      </c>
      <c r="B474" s="7" t="str">
        <f>المدخلات!$F$6</f>
        <v>6:40–7:50 م</v>
      </c>
      <c r="C474" s="7">
        <v>7</v>
      </c>
      <c r="D474" s="7" t="s">
        <v>595</v>
      </c>
      <c r="E474" s="7" t="s">
        <v>1364</v>
      </c>
      <c r="F474" s="2"/>
    </row>
    <row r="475" spans="1:6" ht="14" customHeight="1">
      <c r="A475" s="8">
        <v>15</v>
      </c>
      <c r="B475" s="7" t="str">
        <f>المدخلات!$F$6</f>
        <v>6:40–7:50 م</v>
      </c>
      <c r="C475" s="7">
        <v>8</v>
      </c>
      <c r="D475" s="7" t="s">
        <v>595</v>
      </c>
      <c r="E475" s="7" t="s">
        <v>410</v>
      </c>
      <c r="F475" s="2"/>
    </row>
    <row r="476" spans="1:6" ht="14" customHeight="1">
      <c r="A476" s="8">
        <v>15</v>
      </c>
      <c r="B476" s="7" t="str">
        <f>المدخلات!$F$4</f>
        <v>4:00–5:10 م</v>
      </c>
      <c r="C476" s="7">
        <v>10</v>
      </c>
      <c r="D476" s="7" t="s">
        <v>596</v>
      </c>
      <c r="E476" s="7" t="s">
        <v>1365</v>
      </c>
      <c r="F476" s="2"/>
    </row>
    <row r="477" spans="1:6" ht="14" customHeight="1">
      <c r="A477" s="8">
        <v>15</v>
      </c>
      <c r="B477" s="7" t="str">
        <f>المدخلات!$F$4</f>
        <v>4:00–5:10 م</v>
      </c>
      <c r="C477" s="7">
        <v>11</v>
      </c>
      <c r="D477" s="7" t="s">
        <v>596</v>
      </c>
      <c r="E477" s="7" t="s">
        <v>467</v>
      </c>
      <c r="F477" s="2"/>
    </row>
    <row r="478" spans="1:6" ht="14" customHeight="1">
      <c r="A478" s="8">
        <v>15</v>
      </c>
      <c r="B478" s="7" t="str">
        <f>المدخلات!$F$4</f>
        <v>4:00–5:10 م</v>
      </c>
      <c r="C478" s="7">
        <v>12</v>
      </c>
      <c r="D478" s="7" t="s">
        <v>596</v>
      </c>
      <c r="E478" s="7" t="s">
        <v>571</v>
      </c>
      <c r="F478" s="2"/>
    </row>
    <row r="479" spans="1:6" ht="14" customHeight="1">
      <c r="A479" s="8">
        <v>15</v>
      </c>
      <c r="B479" s="7" t="str">
        <f>المدخلات!$F$5</f>
        <v>5:20–6:30 م</v>
      </c>
      <c r="C479" s="7">
        <v>10</v>
      </c>
      <c r="D479" s="7" t="s">
        <v>596</v>
      </c>
      <c r="E479" s="7" t="s">
        <v>575</v>
      </c>
      <c r="F479" s="2"/>
    </row>
    <row r="480" spans="1:6" ht="14" customHeight="1">
      <c r="A480" s="8">
        <v>15</v>
      </c>
      <c r="B480" s="7" t="str">
        <f>المدخلات!$F$5</f>
        <v>5:20–6:30 م</v>
      </c>
      <c r="C480" s="7">
        <v>11</v>
      </c>
      <c r="D480" s="7" t="s">
        <v>596</v>
      </c>
      <c r="E480" s="7" t="s">
        <v>1366</v>
      </c>
      <c r="F480" s="2"/>
    </row>
    <row r="481" spans="1:6" ht="14" customHeight="1">
      <c r="A481" s="8">
        <v>15</v>
      </c>
      <c r="B481" s="7" t="str">
        <f>المدخلات!$F$5</f>
        <v>5:20–6:30 م</v>
      </c>
      <c r="C481" s="7">
        <v>12</v>
      </c>
      <c r="D481" s="7" t="s">
        <v>596</v>
      </c>
      <c r="E481" s="7" t="s">
        <v>673</v>
      </c>
      <c r="F481" s="2"/>
    </row>
    <row r="482" spans="1:6" ht="14" customHeight="1">
      <c r="A482" s="8">
        <v>15</v>
      </c>
      <c r="B482" s="7" t="str">
        <f>المدخلات!$F$6</f>
        <v>6:40–7:50 م</v>
      </c>
      <c r="C482" s="7">
        <v>10</v>
      </c>
      <c r="D482" s="7" t="s">
        <v>596</v>
      </c>
      <c r="E482" s="7" t="s">
        <v>1367</v>
      </c>
      <c r="F482" s="2"/>
    </row>
    <row r="483" spans="1:6" ht="14" customHeight="1">
      <c r="A483" s="8">
        <v>15</v>
      </c>
      <c r="B483" s="7" t="str">
        <f>المدخلات!$F$6</f>
        <v>6:40–7:50 م</v>
      </c>
      <c r="C483" s="7">
        <v>11</v>
      </c>
      <c r="D483" s="7" t="s">
        <v>596</v>
      </c>
      <c r="E483" s="7" t="s">
        <v>564</v>
      </c>
      <c r="F483" s="2"/>
    </row>
    <row r="484" spans="1:6" ht="14" customHeight="1">
      <c r="A484" s="8">
        <v>16</v>
      </c>
      <c r="B484" s="7" t="str">
        <f>المدخلات!$F$4</f>
        <v>4:00–5:10 م</v>
      </c>
      <c r="C484" s="7">
        <v>1</v>
      </c>
      <c r="D484" s="7" t="s">
        <v>593</v>
      </c>
      <c r="E484" s="7" t="s">
        <v>1081</v>
      </c>
      <c r="F484" s="2"/>
    </row>
    <row r="485" spans="1:6" ht="14" customHeight="1">
      <c r="A485" s="8">
        <v>16</v>
      </c>
      <c r="B485" s="7" t="str">
        <f>المدخلات!$F$4</f>
        <v>4:00–5:10 م</v>
      </c>
      <c r="C485" s="7">
        <v>2</v>
      </c>
      <c r="D485" s="7" t="s">
        <v>593</v>
      </c>
      <c r="E485" s="7" t="s">
        <v>70</v>
      </c>
      <c r="F485" s="2"/>
    </row>
    <row r="486" spans="1:6" ht="14" customHeight="1">
      <c r="A486" s="8">
        <v>16</v>
      </c>
      <c r="B486" s="7" t="str">
        <f>المدخلات!$F$4</f>
        <v>4:00–5:10 م</v>
      </c>
      <c r="C486" s="7">
        <v>3</v>
      </c>
      <c r="D486" s="7" t="s">
        <v>593</v>
      </c>
      <c r="E486" s="7" t="s">
        <v>49</v>
      </c>
      <c r="F486" s="2"/>
    </row>
    <row r="487" spans="1:6" ht="14" customHeight="1">
      <c r="A487" s="8">
        <v>16</v>
      </c>
      <c r="B487" s="7" t="str">
        <f>المدخلات!$F$5</f>
        <v>5:20–6:30 م</v>
      </c>
      <c r="C487" s="7">
        <v>1</v>
      </c>
      <c r="D487" s="7" t="s">
        <v>593</v>
      </c>
      <c r="E487" s="7" t="s">
        <v>1079</v>
      </c>
      <c r="F487" s="2"/>
    </row>
    <row r="488" spans="1:6" ht="14" customHeight="1">
      <c r="A488" s="8">
        <v>16</v>
      </c>
      <c r="B488" s="7" t="str">
        <f>المدخلات!$F$5</f>
        <v>5:20–6:30 م</v>
      </c>
      <c r="C488" s="7">
        <v>2</v>
      </c>
      <c r="D488" s="7" t="s">
        <v>593</v>
      </c>
      <c r="E488" s="7" t="s">
        <v>1082</v>
      </c>
      <c r="F488" s="2"/>
    </row>
    <row r="489" spans="1:6" ht="14" customHeight="1">
      <c r="A489" s="8">
        <v>16</v>
      </c>
      <c r="B489" s="7" t="str">
        <f>المدخلات!$F$5</f>
        <v>5:20–6:30 م</v>
      </c>
      <c r="C489" s="7">
        <v>3</v>
      </c>
      <c r="D489" s="7" t="s">
        <v>593</v>
      </c>
      <c r="E489" s="7" t="s">
        <v>41</v>
      </c>
      <c r="F489" s="2"/>
    </row>
    <row r="490" spans="1:6" ht="14" customHeight="1">
      <c r="A490" s="8">
        <v>16</v>
      </c>
      <c r="B490" s="7" t="str">
        <f>المدخلات!$F$6</f>
        <v>6:40–7:50 م</v>
      </c>
      <c r="C490" s="7">
        <v>1</v>
      </c>
      <c r="D490" s="7" t="s">
        <v>593</v>
      </c>
      <c r="E490" s="7" t="s">
        <v>57</v>
      </c>
      <c r="F490" s="2"/>
    </row>
    <row r="491" spans="1:6" ht="14" customHeight="1">
      <c r="A491" s="8">
        <v>16</v>
      </c>
      <c r="B491" s="7" t="str">
        <f>المدخلات!$F$6</f>
        <v>6:40–7:50 م</v>
      </c>
      <c r="C491" s="7">
        <v>2</v>
      </c>
      <c r="D491" s="7" t="s">
        <v>593</v>
      </c>
      <c r="E491" s="7" t="s">
        <v>887</v>
      </c>
      <c r="F491" s="2"/>
    </row>
    <row r="492" spans="1:6" ht="14" customHeight="1">
      <c r="A492" s="8">
        <v>16</v>
      </c>
      <c r="B492" s="7" t="str">
        <f>المدخلات!$F$4</f>
        <v>4:00–5:10 م</v>
      </c>
      <c r="C492" s="7">
        <v>4</v>
      </c>
      <c r="D492" s="7" t="s">
        <v>594</v>
      </c>
      <c r="E492" s="7" t="s">
        <v>1171</v>
      </c>
      <c r="F492" s="2"/>
    </row>
    <row r="493" spans="1:6" ht="14" customHeight="1">
      <c r="A493" s="8">
        <v>16</v>
      </c>
      <c r="B493" s="7" t="str">
        <f>المدخلات!$F$4</f>
        <v>4:00–5:10 م</v>
      </c>
      <c r="C493" s="7">
        <v>5</v>
      </c>
      <c r="D493" s="7" t="s">
        <v>594</v>
      </c>
      <c r="E493" s="7" t="s">
        <v>263</v>
      </c>
      <c r="F493" s="2"/>
    </row>
    <row r="494" spans="1:6" ht="14" customHeight="1">
      <c r="A494" s="8">
        <v>16</v>
      </c>
      <c r="B494" s="7" t="str">
        <f>المدخلات!$F$4</f>
        <v>4:00–5:10 م</v>
      </c>
      <c r="C494" s="7">
        <v>6</v>
      </c>
      <c r="D494" s="7" t="s">
        <v>594</v>
      </c>
      <c r="E494" s="7" t="s">
        <v>244</v>
      </c>
      <c r="F494" s="2"/>
    </row>
    <row r="495" spans="1:6" ht="14" customHeight="1">
      <c r="A495" s="8">
        <v>16</v>
      </c>
      <c r="B495" s="7" t="str">
        <f>المدخلات!$F$5</f>
        <v>5:20–6:30 م</v>
      </c>
      <c r="C495" s="7">
        <v>4</v>
      </c>
      <c r="D495" s="7" t="s">
        <v>594</v>
      </c>
      <c r="E495" s="7" t="s">
        <v>1370</v>
      </c>
      <c r="F495" s="2"/>
    </row>
    <row r="496" spans="1:6" ht="14" customHeight="1">
      <c r="A496" s="8">
        <v>16</v>
      </c>
      <c r="B496" s="7" t="str">
        <f>المدخلات!$F$5</f>
        <v>5:20–6:30 م</v>
      </c>
      <c r="C496" s="7">
        <v>5</v>
      </c>
      <c r="D496" s="7" t="s">
        <v>594</v>
      </c>
      <c r="E496" s="7" t="s">
        <v>1368</v>
      </c>
      <c r="F496" s="2"/>
    </row>
    <row r="497" spans="1:6" ht="14" customHeight="1">
      <c r="A497" s="8">
        <v>16</v>
      </c>
      <c r="B497" s="7" t="str">
        <f>المدخلات!$F$5</f>
        <v>5:20–6:30 م</v>
      </c>
      <c r="C497" s="7">
        <v>6</v>
      </c>
      <c r="D497" s="7" t="s">
        <v>594</v>
      </c>
      <c r="E497" s="7" t="s">
        <v>239</v>
      </c>
      <c r="F497" s="2"/>
    </row>
    <row r="498" spans="1:6" ht="14" customHeight="1">
      <c r="A498" s="8">
        <v>16</v>
      </c>
      <c r="B498" s="7" t="str">
        <f>المدخلات!$F$6</f>
        <v>6:40–7:50 م</v>
      </c>
      <c r="C498" s="7">
        <v>4</v>
      </c>
      <c r="D498" s="7" t="s">
        <v>594</v>
      </c>
      <c r="E498" s="7" t="s">
        <v>254</v>
      </c>
      <c r="F498" s="2"/>
    </row>
    <row r="499" spans="1:6" ht="14" customHeight="1">
      <c r="A499" s="8">
        <v>16</v>
      </c>
      <c r="B499" s="7" t="str">
        <f>المدخلات!$F$6</f>
        <v>6:40–7:50 م</v>
      </c>
      <c r="C499" s="7">
        <v>5</v>
      </c>
      <c r="D499" s="7" t="s">
        <v>594</v>
      </c>
      <c r="E499" s="7" t="s">
        <v>1369</v>
      </c>
      <c r="F499" s="2"/>
    </row>
    <row r="500" spans="1:6" ht="14" customHeight="1">
      <c r="A500" s="8">
        <v>16</v>
      </c>
      <c r="B500" s="7" t="str">
        <f>المدخلات!$F$4</f>
        <v>4:00–5:10 م</v>
      </c>
      <c r="C500" s="7">
        <v>7</v>
      </c>
      <c r="D500" s="7" t="s">
        <v>595</v>
      </c>
      <c r="E500" s="7" t="s">
        <v>1372</v>
      </c>
      <c r="F500" s="2"/>
    </row>
    <row r="501" spans="1:6" ht="14" customHeight="1">
      <c r="A501" s="8">
        <v>16</v>
      </c>
      <c r="B501" s="7" t="str">
        <f>المدخلات!$F$4</f>
        <v>4:00–5:10 م</v>
      </c>
      <c r="C501" s="7">
        <v>8</v>
      </c>
      <c r="D501" s="7" t="s">
        <v>595</v>
      </c>
      <c r="E501" s="7" t="s">
        <v>429</v>
      </c>
      <c r="F501" s="2"/>
    </row>
    <row r="502" spans="1:6" ht="14" customHeight="1">
      <c r="A502" s="8">
        <v>16</v>
      </c>
      <c r="B502" s="7" t="str">
        <f>المدخلات!$F$4</f>
        <v>4:00–5:10 م</v>
      </c>
      <c r="C502" s="7">
        <v>9</v>
      </c>
      <c r="D502" s="7" t="s">
        <v>595</v>
      </c>
      <c r="E502" s="7" t="s">
        <v>411</v>
      </c>
      <c r="F502" s="2"/>
    </row>
    <row r="503" spans="1:6" ht="14" customHeight="1">
      <c r="A503" s="8">
        <v>16</v>
      </c>
      <c r="B503" s="7" t="str">
        <f>المدخلات!$F$5</f>
        <v>5:20–6:30 م</v>
      </c>
      <c r="C503" s="7">
        <v>7</v>
      </c>
      <c r="D503" s="7" t="s">
        <v>595</v>
      </c>
      <c r="E503" s="7" t="s">
        <v>1374</v>
      </c>
      <c r="F503" s="2"/>
    </row>
    <row r="504" spans="1:6" ht="14" customHeight="1">
      <c r="A504" s="8">
        <v>16</v>
      </c>
      <c r="B504" s="7" t="str">
        <f>المدخلات!$F$5</f>
        <v>5:20–6:30 م</v>
      </c>
      <c r="C504" s="7">
        <v>8</v>
      </c>
      <c r="D504" s="7" t="s">
        <v>595</v>
      </c>
      <c r="E504" s="7" t="s">
        <v>1371</v>
      </c>
      <c r="F504" s="2"/>
    </row>
    <row r="505" spans="1:6" ht="14" customHeight="1">
      <c r="A505" s="8">
        <v>16</v>
      </c>
      <c r="B505" s="7" t="str">
        <f>المدخلات!$F$5</f>
        <v>5:20–6:30 م</v>
      </c>
      <c r="C505" s="7">
        <v>9</v>
      </c>
      <c r="D505" s="7" t="s">
        <v>595</v>
      </c>
      <c r="E505" s="7" t="s">
        <v>405</v>
      </c>
      <c r="F505" s="2"/>
    </row>
    <row r="506" spans="1:6" ht="14" customHeight="1">
      <c r="A506" s="8">
        <v>16</v>
      </c>
      <c r="B506" s="7" t="str">
        <f>المدخلات!$F$6</f>
        <v>6:40–7:50 م</v>
      </c>
      <c r="C506" s="7">
        <v>7</v>
      </c>
      <c r="D506" s="7" t="s">
        <v>595</v>
      </c>
      <c r="E506" s="7" t="s">
        <v>421</v>
      </c>
      <c r="F506" s="2"/>
    </row>
    <row r="507" spans="1:6" ht="14" customHeight="1">
      <c r="A507" s="8">
        <v>16</v>
      </c>
      <c r="B507" s="7" t="str">
        <f>المدخلات!$F$6</f>
        <v>6:40–7:50 م</v>
      </c>
      <c r="C507" s="7">
        <v>8</v>
      </c>
      <c r="D507" s="7" t="s">
        <v>595</v>
      </c>
      <c r="E507" s="7" t="s">
        <v>1373</v>
      </c>
      <c r="F507" s="2"/>
    </row>
    <row r="508" spans="1:6" ht="14" customHeight="1">
      <c r="A508" s="8">
        <v>16</v>
      </c>
      <c r="B508" s="7" t="str">
        <f>المدخلات!$F$4</f>
        <v>4:00–5:10 م</v>
      </c>
      <c r="C508" s="7">
        <v>10</v>
      </c>
      <c r="D508" s="7" t="s">
        <v>596</v>
      </c>
      <c r="E508" s="7" t="s">
        <v>1376</v>
      </c>
      <c r="F508" s="2"/>
    </row>
    <row r="509" spans="1:6" ht="14" customHeight="1">
      <c r="A509" s="8">
        <v>16</v>
      </c>
      <c r="B509" s="7" t="str">
        <f>المدخلات!$F$4</f>
        <v>4:00–5:10 م</v>
      </c>
      <c r="C509" s="7">
        <v>11</v>
      </c>
      <c r="D509" s="7" t="s">
        <v>596</v>
      </c>
      <c r="E509" s="7" t="s">
        <v>680</v>
      </c>
      <c r="F509" s="2"/>
    </row>
    <row r="510" spans="1:6" ht="14" customHeight="1">
      <c r="A510" s="8">
        <v>16</v>
      </c>
      <c r="B510" s="7" t="str">
        <f>المدخلات!$F$4</f>
        <v>4:00–5:10 م</v>
      </c>
      <c r="C510" s="7">
        <v>12</v>
      </c>
      <c r="D510" s="7" t="s">
        <v>596</v>
      </c>
      <c r="E510" s="7" t="s">
        <v>565</v>
      </c>
      <c r="F510" s="2"/>
    </row>
    <row r="511" spans="1:6" ht="14" customHeight="1">
      <c r="A511" s="8">
        <v>16</v>
      </c>
      <c r="B511" s="7" t="str">
        <f>المدخلات!$F$5</f>
        <v>5:20–6:30 م</v>
      </c>
      <c r="C511" s="7">
        <v>10</v>
      </c>
      <c r="D511" s="7" t="s">
        <v>596</v>
      </c>
      <c r="E511" s="7" t="s">
        <v>1378</v>
      </c>
      <c r="F511" s="2"/>
    </row>
    <row r="512" spans="1:6" ht="14" customHeight="1">
      <c r="A512" s="8">
        <v>16</v>
      </c>
      <c r="B512" s="7" t="str">
        <f>المدخلات!$F$5</f>
        <v>5:20–6:30 م</v>
      </c>
      <c r="C512" s="7">
        <v>11</v>
      </c>
      <c r="D512" s="7" t="s">
        <v>596</v>
      </c>
      <c r="E512" s="7" t="s">
        <v>1375</v>
      </c>
      <c r="F512" s="2"/>
    </row>
    <row r="513" spans="1:6" ht="14" customHeight="1">
      <c r="A513" s="8">
        <v>16</v>
      </c>
      <c r="B513" s="7" t="str">
        <f>المدخلات!$F$5</f>
        <v>5:20–6:30 م</v>
      </c>
      <c r="C513" s="7">
        <v>12</v>
      </c>
      <c r="D513" s="7" t="s">
        <v>596</v>
      </c>
      <c r="E513" s="7" t="s">
        <v>547</v>
      </c>
      <c r="F513" s="2"/>
    </row>
    <row r="514" spans="1:6" ht="14" customHeight="1">
      <c r="A514" s="8">
        <v>16</v>
      </c>
      <c r="B514" s="7" t="str">
        <f>المدخلات!$F$6</f>
        <v>6:40–7:50 م</v>
      </c>
      <c r="C514" s="7">
        <v>10</v>
      </c>
      <c r="D514" s="7" t="s">
        <v>596</v>
      </c>
      <c r="E514" s="7" t="s">
        <v>572</v>
      </c>
      <c r="F514" s="2"/>
    </row>
    <row r="515" spans="1:6" ht="14" customHeight="1">
      <c r="A515" s="8">
        <v>16</v>
      </c>
      <c r="B515" s="7" t="str">
        <f>المدخلات!$F$6</f>
        <v>6:40–7:50 م</v>
      </c>
      <c r="C515" s="7">
        <v>11</v>
      </c>
      <c r="D515" s="7" t="s">
        <v>596</v>
      </c>
      <c r="E515" s="7" t="s">
        <v>1377</v>
      </c>
      <c r="F515" s="2"/>
    </row>
    <row r="516" spans="1:6" ht="14" customHeight="1">
      <c r="A516" s="8">
        <v>17</v>
      </c>
      <c r="B516" s="7" t="str">
        <f>المدخلات!$F$4</f>
        <v>4:00–5:10 م</v>
      </c>
      <c r="C516" s="7">
        <v>1</v>
      </c>
      <c r="D516" s="7" t="s">
        <v>593</v>
      </c>
      <c r="E516" s="7" t="s">
        <v>37</v>
      </c>
      <c r="F516" s="2"/>
    </row>
    <row r="517" spans="1:6" ht="14" customHeight="1">
      <c r="A517" s="8">
        <v>17</v>
      </c>
      <c r="B517" s="7" t="str">
        <f>المدخلات!$F$4</f>
        <v>4:00–5:10 م</v>
      </c>
      <c r="C517" s="7">
        <v>2</v>
      </c>
      <c r="D517" s="7" t="s">
        <v>593</v>
      </c>
      <c r="E517" s="7" t="s">
        <v>109</v>
      </c>
      <c r="F517" s="2"/>
    </row>
    <row r="518" spans="1:6" ht="14" customHeight="1">
      <c r="A518" s="8">
        <v>17</v>
      </c>
      <c r="B518" s="7" t="str">
        <f>المدخلات!$F$4</f>
        <v>4:00–5:10 م</v>
      </c>
      <c r="C518" s="7">
        <v>3</v>
      </c>
      <c r="D518" s="7" t="s">
        <v>593</v>
      </c>
      <c r="E518" s="7" t="s">
        <v>47</v>
      </c>
      <c r="F518" s="2"/>
    </row>
    <row r="519" spans="1:6" ht="14" customHeight="1">
      <c r="A519" s="8">
        <v>17</v>
      </c>
      <c r="B519" s="7" t="str">
        <f>المدخلات!$F$5</f>
        <v>5:20–6:30 م</v>
      </c>
      <c r="C519" s="7">
        <v>1</v>
      </c>
      <c r="D519" s="7" t="s">
        <v>593</v>
      </c>
      <c r="E519" s="7" t="s">
        <v>58</v>
      </c>
      <c r="F519" s="2"/>
    </row>
    <row r="520" spans="1:6" ht="14" customHeight="1">
      <c r="A520" s="8">
        <v>17</v>
      </c>
      <c r="B520" s="7" t="str">
        <f>المدخلات!$F$5</f>
        <v>5:20–6:30 م</v>
      </c>
      <c r="C520" s="7">
        <v>2</v>
      </c>
      <c r="D520" s="7" t="s">
        <v>593</v>
      </c>
      <c r="E520" s="7" t="s">
        <v>864</v>
      </c>
      <c r="F520" s="2"/>
    </row>
    <row r="521" spans="1:6" ht="14" customHeight="1">
      <c r="A521" s="8">
        <v>17</v>
      </c>
      <c r="B521" s="7" t="str">
        <f>المدخلات!$F$5</f>
        <v>5:20–6:30 م</v>
      </c>
      <c r="C521" s="7">
        <v>3</v>
      </c>
      <c r="D521" s="7" t="s">
        <v>593</v>
      </c>
      <c r="E521" s="7" t="s">
        <v>1063</v>
      </c>
      <c r="F521" s="2"/>
    </row>
    <row r="522" spans="1:6" ht="14" customHeight="1">
      <c r="A522" s="8">
        <v>17</v>
      </c>
      <c r="B522" s="7" t="str">
        <f>المدخلات!$F$6</f>
        <v>6:40–7:50 م</v>
      </c>
      <c r="C522" s="7">
        <v>1</v>
      </c>
      <c r="D522" s="7" t="s">
        <v>593</v>
      </c>
      <c r="E522" s="7" t="s">
        <v>30</v>
      </c>
      <c r="F522" s="2"/>
    </row>
    <row r="523" spans="1:6" ht="14" customHeight="1">
      <c r="A523" s="8">
        <v>17</v>
      </c>
      <c r="B523" s="7" t="str">
        <f>المدخلات!$F$6</f>
        <v>6:40–7:50 م</v>
      </c>
      <c r="C523" s="7">
        <v>2</v>
      </c>
      <c r="D523" s="7" t="s">
        <v>593</v>
      </c>
      <c r="E523" s="7" t="s">
        <v>885</v>
      </c>
      <c r="F523" s="2"/>
    </row>
    <row r="524" spans="1:6" ht="14" customHeight="1">
      <c r="A524" s="8">
        <v>17</v>
      </c>
      <c r="B524" s="7" t="str">
        <f>المدخلات!$F$4</f>
        <v>4:00–5:10 م</v>
      </c>
      <c r="C524" s="7">
        <v>4</v>
      </c>
      <c r="D524" s="7" t="s">
        <v>594</v>
      </c>
      <c r="E524" s="7" t="s">
        <v>236</v>
      </c>
      <c r="F524" s="2"/>
    </row>
    <row r="525" spans="1:6" ht="14" customHeight="1">
      <c r="A525" s="8">
        <v>17</v>
      </c>
      <c r="B525" s="7" t="str">
        <f>المدخلات!$F$4</f>
        <v>4:00–5:10 م</v>
      </c>
      <c r="C525" s="7">
        <v>5</v>
      </c>
      <c r="D525" s="7" t="s">
        <v>594</v>
      </c>
      <c r="E525" s="7" t="s">
        <v>287</v>
      </c>
      <c r="F525" s="2"/>
    </row>
    <row r="526" spans="1:6" ht="14" customHeight="1">
      <c r="A526" s="8">
        <v>17</v>
      </c>
      <c r="B526" s="7" t="str">
        <f>المدخلات!$F$4</f>
        <v>4:00–5:10 م</v>
      </c>
      <c r="C526" s="7">
        <v>6</v>
      </c>
      <c r="D526" s="7" t="s">
        <v>594</v>
      </c>
      <c r="E526" s="7" t="s">
        <v>240</v>
      </c>
      <c r="F526" s="2"/>
    </row>
    <row r="527" spans="1:6" ht="14" customHeight="1">
      <c r="A527" s="8">
        <v>17</v>
      </c>
      <c r="B527" s="7" t="str">
        <f>المدخلات!$F$5</f>
        <v>5:20–6:30 م</v>
      </c>
      <c r="C527" s="7">
        <v>4</v>
      </c>
      <c r="D527" s="7" t="s">
        <v>594</v>
      </c>
      <c r="E527" s="7" t="s">
        <v>245</v>
      </c>
      <c r="F527" s="2"/>
    </row>
    <row r="528" spans="1:6" ht="14" customHeight="1">
      <c r="A528" s="8">
        <v>17</v>
      </c>
      <c r="B528" s="7" t="str">
        <f>المدخلات!$F$5</f>
        <v>5:20–6:30 م</v>
      </c>
      <c r="C528" s="7">
        <v>5</v>
      </c>
      <c r="D528" s="7" t="s">
        <v>594</v>
      </c>
      <c r="E528" s="7" t="s">
        <v>1172</v>
      </c>
      <c r="F528" s="2"/>
    </row>
    <row r="529" spans="1:6" ht="14" customHeight="1">
      <c r="A529" s="8">
        <v>17</v>
      </c>
      <c r="B529" s="7" t="str">
        <f>المدخلات!$F$5</f>
        <v>5:20–6:30 م</v>
      </c>
      <c r="C529" s="7">
        <v>6</v>
      </c>
      <c r="D529" s="7" t="s">
        <v>594</v>
      </c>
      <c r="E529" s="7" t="s">
        <v>1173</v>
      </c>
      <c r="F529" s="2"/>
    </row>
    <row r="530" spans="1:6" ht="14" customHeight="1">
      <c r="A530" s="8">
        <v>17</v>
      </c>
      <c r="B530" s="7" t="str">
        <f>المدخلات!$F$6</f>
        <v>6:40–7:50 م</v>
      </c>
      <c r="C530" s="7">
        <v>4</v>
      </c>
      <c r="D530" s="7" t="s">
        <v>594</v>
      </c>
      <c r="E530" s="7" t="s">
        <v>234</v>
      </c>
      <c r="F530" s="2"/>
    </row>
    <row r="531" spans="1:6" ht="14" customHeight="1">
      <c r="A531" s="8">
        <v>17</v>
      </c>
      <c r="B531" s="7" t="str">
        <f>المدخلات!$F$6</f>
        <v>6:40–7:50 م</v>
      </c>
      <c r="C531" s="7">
        <v>5</v>
      </c>
      <c r="D531" s="7" t="s">
        <v>594</v>
      </c>
      <c r="E531" s="7" t="s">
        <v>1315</v>
      </c>
      <c r="F531" s="2"/>
    </row>
    <row r="532" spans="1:6" ht="14" customHeight="1">
      <c r="A532" s="8">
        <v>17</v>
      </c>
      <c r="B532" s="7" t="str">
        <f>المدخلات!$F$4</f>
        <v>4:00–5:10 م</v>
      </c>
      <c r="C532" s="7">
        <v>7</v>
      </c>
      <c r="D532" s="7" t="s">
        <v>595</v>
      </c>
      <c r="E532" s="7" t="s">
        <v>406</v>
      </c>
      <c r="F532" s="2"/>
    </row>
    <row r="533" spans="1:6" ht="14" customHeight="1">
      <c r="A533" s="8">
        <v>17</v>
      </c>
      <c r="B533" s="7" t="str">
        <f>المدخلات!$F$4</f>
        <v>4:00–5:10 م</v>
      </c>
      <c r="C533" s="7">
        <v>8</v>
      </c>
      <c r="D533" s="7" t="s">
        <v>595</v>
      </c>
      <c r="E533" s="7" t="s">
        <v>448</v>
      </c>
      <c r="F533" s="2"/>
    </row>
    <row r="534" spans="1:6" ht="14" customHeight="1">
      <c r="A534" s="8">
        <v>17</v>
      </c>
      <c r="B534" s="7" t="str">
        <f>المدخلات!$F$4</f>
        <v>4:00–5:10 م</v>
      </c>
      <c r="C534" s="7">
        <v>9</v>
      </c>
      <c r="D534" s="7" t="s">
        <v>595</v>
      </c>
      <c r="E534" s="7" t="s">
        <v>412</v>
      </c>
      <c r="F534" s="2"/>
    </row>
    <row r="535" spans="1:6" ht="14" customHeight="1">
      <c r="A535" s="8">
        <v>17</v>
      </c>
      <c r="B535" s="7" t="str">
        <f>المدخلات!$F$5</f>
        <v>5:20–6:30 م</v>
      </c>
      <c r="C535" s="7">
        <v>7</v>
      </c>
      <c r="D535" s="7" t="s">
        <v>595</v>
      </c>
      <c r="E535" s="7" t="s">
        <v>422</v>
      </c>
      <c r="F535" s="2"/>
    </row>
    <row r="536" spans="1:6" ht="14" customHeight="1">
      <c r="A536" s="8">
        <v>17</v>
      </c>
      <c r="B536" s="7" t="str">
        <f>المدخلات!$F$5</f>
        <v>5:20–6:30 م</v>
      </c>
      <c r="C536" s="7">
        <v>8</v>
      </c>
      <c r="D536" s="7" t="s">
        <v>595</v>
      </c>
      <c r="E536" s="7" t="s">
        <v>1317</v>
      </c>
      <c r="F536" s="2"/>
    </row>
    <row r="537" spans="1:6" ht="14" customHeight="1">
      <c r="A537" s="8">
        <v>17</v>
      </c>
      <c r="B537" s="7" t="str">
        <f>المدخلات!$F$5</f>
        <v>5:20–6:30 م</v>
      </c>
      <c r="C537" s="7">
        <v>9</v>
      </c>
      <c r="D537" s="7" t="s">
        <v>595</v>
      </c>
      <c r="E537" s="7" t="s">
        <v>1320</v>
      </c>
      <c r="F537" s="2"/>
    </row>
    <row r="538" spans="1:6" ht="14" customHeight="1">
      <c r="A538" s="8">
        <v>17</v>
      </c>
      <c r="B538" s="7" t="str">
        <f>المدخلات!$F$6</f>
        <v>6:40–7:50 م</v>
      </c>
      <c r="C538" s="7">
        <v>7</v>
      </c>
      <c r="D538" s="7" t="s">
        <v>595</v>
      </c>
      <c r="E538" s="7" t="s">
        <v>396</v>
      </c>
      <c r="F538" s="2"/>
    </row>
    <row r="539" spans="1:6" ht="14" customHeight="1">
      <c r="A539" s="8">
        <v>17</v>
      </c>
      <c r="B539" s="7" t="str">
        <f>المدخلات!$F$6</f>
        <v>6:40–7:50 م</v>
      </c>
      <c r="C539" s="7">
        <v>8</v>
      </c>
      <c r="D539" s="7" t="s">
        <v>595</v>
      </c>
      <c r="E539" s="7" t="s">
        <v>1318</v>
      </c>
      <c r="F539" s="2"/>
    </row>
    <row r="540" spans="1:6" ht="14" customHeight="1">
      <c r="A540" s="8">
        <v>17</v>
      </c>
      <c r="B540" s="7" t="str">
        <f>المدخلات!$F$4</f>
        <v>4:00–5:10 م</v>
      </c>
      <c r="C540" s="7">
        <v>10</v>
      </c>
      <c r="D540" s="7" t="s">
        <v>596</v>
      </c>
      <c r="E540" s="7" t="s">
        <v>548</v>
      </c>
      <c r="F540" s="2"/>
    </row>
    <row r="541" spans="1:6" ht="14" customHeight="1">
      <c r="A541" s="8">
        <v>17</v>
      </c>
      <c r="B541" s="7" t="str">
        <f>المدخلات!$F$4</f>
        <v>4:00–5:10 م</v>
      </c>
      <c r="C541" s="7">
        <v>11</v>
      </c>
      <c r="D541" s="7" t="s">
        <v>596</v>
      </c>
      <c r="E541" s="7" t="s">
        <v>1322</v>
      </c>
      <c r="F541" s="2"/>
    </row>
    <row r="542" spans="1:6" ht="14" customHeight="1">
      <c r="A542" s="8">
        <v>17</v>
      </c>
      <c r="B542" s="7" t="str">
        <f>المدخلات!$F$4</f>
        <v>4:00–5:10 م</v>
      </c>
      <c r="C542" s="7">
        <v>12</v>
      </c>
      <c r="D542" s="7" t="s">
        <v>596</v>
      </c>
      <c r="E542" s="7" t="s">
        <v>566</v>
      </c>
      <c r="F542" s="2"/>
    </row>
    <row r="543" spans="1:6" ht="14" customHeight="1">
      <c r="A543" s="8">
        <v>17</v>
      </c>
      <c r="B543" s="7" t="str">
        <f>المدخلات!$F$5</f>
        <v>5:20–6:30 م</v>
      </c>
      <c r="C543" s="7">
        <v>10</v>
      </c>
      <c r="D543" s="7" t="s">
        <v>596</v>
      </c>
      <c r="E543" s="7" t="s">
        <v>573</v>
      </c>
      <c r="F543" s="2"/>
    </row>
    <row r="544" spans="1:6" ht="14" customHeight="1">
      <c r="A544" s="8">
        <v>17</v>
      </c>
      <c r="B544" s="7" t="str">
        <f>المدخلات!$F$5</f>
        <v>5:20–6:30 م</v>
      </c>
      <c r="C544" s="7">
        <v>11</v>
      </c>
      <c r="D544" s="7" t="s">
        <v>596</v>
      </c>
      <c r="E544" s="7" t="s">
        <v>1323</v>
      </c>
      <c r="F544" s="2"/>
    </row>
    <row r="545" spans="1:6" ht="14" customHeight="1">
      <c r="A545" s="8">
        <v>17</v>
      </c>
      <c r="B545" s="7" t="str">
        <f>المدخلات!$F$5</f>
        <v>5:20–6:30 م</v>
      </c>
      <c r="C545" s="7">
        <v>12</v>
      </c>
      <c r="D545" s="7" t="s">
        <v>596</v>
      </c>
      <c r="E545" s="7" t="s">
        <v>1327</v>
      </c>
      <c r="F545" s="2"/>
    </row>
    <row r="546" spans="1:6" ht="14" customHeight="1">
      <c r="A546" s="8">
        <v>17</v>
      </c>
      <c r="B546" s="7" t="str">
        <f>المدخلات!$F$6</f>
        <v>6:40–7:50 م</v>
      </c>
      <c r="C546" s="7">
        <v>10</v>
      </c>
      <c r="D546" s="7" t="s">
        <v>596</v>
      </c>
      <c r="E546" s="7" t="s">
        <v>535</v>
      </c>
      <c r="F546" s="2"/>
    </row>
    <row r="547" spans="1:6" ht="14" customHeight="1">
      <c r="A547" s="8">
        <v>17</v>
      </c>
      <c r="B547" s="7" t="str">
        <f>المدخلات!$F$6</f>
        <v>6:40–7:50 م</v>
      </c>
      <c r="C547" s="7">
        <v>11</v>
      </c>
      <c r="D547" s="7" t="s">
        <v>596</v>
      </c>
      <c r="E547" s="7" t="s">
        <v>1325</v>
      </c>
      <c r="F547" s="2"/>
    </row>
    <row r="548" spans="1:6" ht="14" customHeight="1">
      <c r="A548" s="8">
        <v>18</v>
      </c>
      <c r="B548" s="7" t="str">
        <f>المدخلات!$F$4</f>
        <v>4:00–5:10 م</v>
      </c>
      <c r="C548" s="7">
        <v>1</v>
      </c>
      <c r="D548" s="7" t="s">
        <v>593</v>
      </c>
      <c r="E548" s="7" t="s">
        <v>35</v>
      </c>
      <c r="F548" s="2"/>
    </row>
    <row r="549" spans="1:6" ht="14" customHeight="1">
      <c r="A549" s="8">
        <v>18</v>
      </c>
      <c r="B549" s="7" t="str">
        <f>المدخلات!$F$4</f>
        <v>4:00–5:10 م</v>
      </c>
      <c r="C549" s="7">
        <v>2</v>
      </c>
      <c r="D549" s="7" t="s">
        <v>593</v>
      </c>
      <c r="E549" s="7" t="s">
        <v>1060</v>
      </c>
      <c r="F549" s="2"/>
    </row>
    <row r="550" spans="1:6" ht="14" customHeight="1">
      <c r="A550" s="8">
        <v>18</v>
      </c>
      <c r="B550" s="7" t="str">
        <f>المدخلات!$F$4</f>
        <v>4:00–5:10 م</v>
      </c>
      <c r="C550" s="7">
        <v>3</v>
      </c>
      <c r="D550" s="7" t="s">
        <v>593</v>
      </c>
      <c r="E550" s="7" t="s">
        <v>34</v>
      </c>
      <c r="F550" s="2"/>
    </row>
    <row r="551" spans="1:6" ht="14" customHeight="1">
      <c r="A551" s="8">
        <v>18</v>
      </c>
      <c r="B551" s="7" t="str">
        <f>المدخلات!$F$5</f>
        <v>5:20–6:30 م</v>
      </c>
      <c r="C551" s="7">
        <v>1</v>
      </c>
      <c r="D551" s="7" t="s">
        <v>593</v>
      </c>
      <c r="E551" s="7" t="s">
        <v>23</v>
      </c>
      <c r="F551" s="2"/>
    </row>
    <row r="552" spans="1:6" ht="14" customHeight="1">
      <c r="A552" s="8">
        <v>18</v>
      </c>
      <c r="B552" s="7" t="str">
        <f>المدخلات!$F$5</f>
        <v>5:20–6:30 م</v>
      </c>
      <c r="C552" s="7">
        <v>2</v>
      </c>
      <c r="D552" s="7" t="s">
        <v>593</v>
      </c>
      <c r="E552" s="7" t="s">
        <v>102</v>
      </c>
      <c r="F552" s="2"/>
    </row>
    <row r="553" spans="1:6" ht="14" customHeight="1">
      <c r="A553" s="8">
        <v>18</v>
      </c>
      <c r="B553" s="7" t="str">
        <f>المدخلات!$F$5</f>
        <v>5:20–6:30 م</v>
      </c>
      <c r="C553" s="7">
        <v>3</v>
      </c>
      <c r="D553" s="7" t="s">
        <v>593</v>
      </c>
      <c r="E553" s="7" t="s">
        <v>111</v>
      </c>
      <c r="F553" s="2"/>
    </row>
    <row r="554" spans="1:6" ht="14" customHeight="1">
      <c r="A554" s="8">
        <v>18</v>
      </c>
      <c r="B554" s="7" t="str">
        <f>المدخلات!$F$6</f>
        <v>6:40–7:50 م</v>
      </c>
      <c r="C554" s="7">
        <v>1</v>
      </c>
      <c r="D554" s="7" t="s">
        <v>593</v>
      </c>
      <c r="E554" s="7" t="s">
        <v>50</v>
      </c>
      <c r="F554" s="2"/>
    </row>
    <row r="555" spans="1:6" ht="14" customHeight="1">
      <c r="A555" s="8">
        <v>18</v>
      </c>
      <c r="B555" s="7" t="str">
        <f>المدخلات!$F$6</f>
        <v>6:40–7:50 م</v>
      </c>
      <c r="C555" s="7">
        <v>2</v>
      </c>
      <c r="D555" s="7" t="s">
        <v>593</v>
      </c>
      <c r="E555" s="7" t="s">
        <v>112</v>
      </c>
      <c r="F555" s="2"/>
    </row>
    <row r="556" spans="1:6" ht="14" customHeight="1">
      <c r="A556" s="8">
        <v>18</v>
      </c>
      <c r="B556" s="7" t="str">
        <f>المدخلات!$F$4</f>
        <v>4:00–5:10 م</v>
      </c>
      <c r="C556" s="7">
        <v>4</v>
      </c>
      <c r="D556" s="7" t="s">
        <v>594</v>
      </c>
      <c r="E556" s="7" t="s">
        <v>246</v>
      </c>
      <c r="F556" s="2"/>
    </row>
    <row r="557" spans="1:6" ht="14" customHeight="1">
      <c r="A557" s="8">
        <v>18</v>
      </c>
      <c r="B557" s="7" t="str">
        <f>المدخلات!$F$4</f>
        <v>4:00–5:10 م</v>
      </c>
      <c r="C557" s="7">
        <v>5</v>
      </c>
      <c r="D557" s="7" t="s">
        <v>594</v>
      </c>
      <c r="E557" s="7" t="s">
        <v>1166</v>
      </c>
      <c r="F557" s="2"/>
    </row>
    <row r="558" spans="1:6" ht="14" customHeight="1">
      <c r="A558" s="8">
        <v>18</v>
      </c>
      <c r="B558" s="7" t="str">
        <f>المدخلات!$F$4</f>
        <v>4:00–5:10 م</v>
      </c>
      <c r="C558" s="7">
        <v>6</v>
      </c>
      <c r="D558" s="7" t="s">
        <v>594</v>
      </c>
      <c r="E558" s="7" t="s">
        <v>235</v>
      </c>
      <c r="F558" s="2"/>
    </row>
    <row r="559" spans="1:6" ht="14" customHeight="1">
      <c r="A559" s="8">
        <v>18</v>
      </c>
      <c r="B559" s="7" t="str">
        <f>المدخلات!$F$5</f>
        <v>5:20–6:30 م</v>
      </c>
      <c r="C559" s="7">
        <v>4</v>
      </c>
      <c r="D559" s="7" t="s">
        <v>594</v>
      </c>
      <c r="E559" s="7" t="s">
        <v>230</v>
      </c>
      <c r="F559" s="2"/>
    </row>
    <row r="560" spans="1:6" ht="14" customHeight="1">
      <c r="A560" s="8">
        <v>18</v>
      </c>
      <c r="B560" s="7" t="str">
        <f>المدخلات!$F$5</f>
        <v>5:20–6:30 م</v>
      </c>
      <c r="C560" s="7">
        <v>5</v>
      </c>
      <c r="D560" s="7" t="s">
        <v>594</v>
      </c>
      <c r="E560" s="7" t="s">
        <v>278</v>
      </c>
      <c r="F560" s="2"/>
    </row>
    <row r="561" spans="1:6" ht="14" customHeight="1">
      <c r="A561" s="8">
        <v>18</v>
      </c>
      <c r="B561" s="7" t="str">
        <f>المدخلات!$F$5</f>
        <v>5:20–6:30 م</v>
      </c>
      <c r="C561" s="7">
        <v>6</v>
      </c>
      <c r="D561" s="7" t="s">
        <v>594</v>
      </c>
      <c r="E561" s="7" t="s">
        <v>948</v>
      </c>
      <c r="F561" s="2"/>
    </row>
    <row r="562" spans="1:6" ht="14" customHeight="1">
      <c r="A562" s="8">
        <v>18</v>
      </c>
      <c r="B562" s="7" t="str">
        <f>المدخلات!$F$6</f>
        <v>6:40–7:50 م</v>
      </c>
      <c r="C562" s="7">
        <v>4</v>
      </c>
      <c r="D562" s="7" t="s">
        <v>594</v>
      </c>
      <c r="E562" s="7" t="s">
        <v>247</v>
      </c>
      <c r="F562" s="2"/>
    </row>
    <row r="563" spans="1:6" ht="14" customHeight="1">
      <c r="A563" s="8">
        <v>18</v>
      </c>
      <c r="B563" s="7" t="str">
        <f>المدخلات!$F$6</f>
        <v>6:40–7:50 م</v>
      </c>
      <c r="C563" s="7">
        <v>5</v>
      </c>
      <c r="D563" s="7" t="s">
        <v>594</v>
      </c>
      <c r="E563" s="7" t="s">
        <v>288</v>
      </c>
      <c r="F563" s="2"/>
    </row>
    <row r="564" spans="1:6" ht="14" customHeight="1">
      <c r="A564" s="8">
        <v>18</v>
      </c>
      <c r="B564" s="7" t="str">
        <f>المدخلات!$F$4</f>
        <v>4:00–5:10 م</v>
      </c>
      <c r="C564" s="7">
        <v>7</v>
      </c>
      <c r="D564" s="7" t="s">
        <v>595</v>
      </c>
      <c r="E564" s="7" t="s">
        <v>407</v>
      </c>
      <c r="F564" s="2"/>
    </row>
    <row r="565" spans="1:6" ht="14" customHeight="1">
      <c r="A565" s="8">
        <v>18</v>
      </c>
      <c r="B565" s="7" t="str">
        <f>المدخلات!$F$4</f>
        <v>4:00–5:10 م</v>
      </c>
      <c r="C565" s="7">
        <v>8</v>
      </c>
      <c r="D565" s="7" t="s">
        <v>595</v>
      </c>
      <c r="E565" s="7" t="s">
        <v>1379</v>
      </c>
      <c r="F565" s="2"/>
    </row>
    <row r="566" spans="1:6" ht="14" customHeight="1">
      <c r="A566" s="8">
        <v>18</v>
      </c>
      <c r="B566" s="7" t="str">
        <f>المدخلات!$F$4</f>
        <v>4:00–5:10 م</v>
      </c>
      <c r="C566" s="7">
        <v>9</v>
      </c>
      <c r="D566" s="7" t="s">
        <v>595</v>
      </c>
      <c r="E566" s="7" t="s">
        <v>397</v>
      </c>
      <c r="F566" s="2"/>
    </row>
    <row r="567" spans="1:6" ht="14" customHeight="1">
      <c r="A567" s="8">
        <v>18</v>
      </c>
      <c r="B567" s="7" t="str">
        <f>المدخلات!$F$5</f>
        <v>5:20–6:30 م</v>
      </c>
      <c r="C567" s="7">
        <v>7</v>
      </c>
      <c r="D567" s="7" t="s">
        <v>595</v>
      </c>
      <c r="E567" s="7" t="s">
        <v>391</v>
      </c>
      <c r="F567" s="2"/>
    </row>
    <row r="568" spans="1:6" ht="14" customHeight="1">
      <c r="A568" s="8">
        <v>18</v>
      </c>
      <c r="B568" s="7" t="str">
        <f>المدخلات!$F$5</f>
        <v>5:20–6:30 م</v>
      </c>
      <c r="C568" s="7">
        <v>8</v>
      </c>
      <c r="D568" s="7" t="s">
        <v>595</v>
      </c>
      <c r="E568" s="7" t="s">
        <v>443</v>
      </c>
      <c r="F568" s="2"/>
    </row>
    <row r="569" spans="1:6" ht="14" customHeight="1">
      <c r="A569" s="8">
        <v>18</v>
      </c>
      <c r="B569" s="7" t="str">
        <f>المدخلات!$F$5</f>
        <v>5:20–6:30 م</v>
      </c>
      <c r="C569" s="7">
        <v>9</v>
      </c>
      <c r="D569" s="7" t="s">
        <v>595</v>
      </c>
      <c r="E569" s="7" t="s">
        <v>949</v>
      </c>
      <c r="F569" s="2"/>
    </row>
    <row r="570" spans="1:6" ht="14" customHeight="1">
      <c r="A570" s="8">
        <v>18</v>
      </c>
      <c r="B570" s="7" t="str">
        <f>المدخلات!$F$6</f>
        <v>6:40–7:50 م</v>
      </c>
      <c r="C570" s="7">
        <v>7</v>
      </c>
      <c r="D570" s="7" t="s">
        <v>595</v>
      </c>
      <c r="E570" s="7" t="s">
        <v>413</v>
      </c>
      <c r="F570" s="2"/>
    </row>
    <row r="571" spans="1:6" ht="14" customHeight="1">
      <c r="A571" s="8">
        <v>18</v>
      </c>
      <c r="B571" s="7" t="str">
        <f>المدخلات!$F$6</f>
        <v>6:40–7:50 م</v>
      </c>
      <c r="C571" s="7">
        <v>8</v>
      </c>
      <c r="D571" s="7" t="s">
        <v>595</v>
      </c>
      <c r="E571" s="7" t="s">
        <v>449</v>
      </c>
      <c r="F571" s="2"/>
    </row>
    <row r="572" spans="1:6" ht="14" customHeight="1">
      <c r="A572" s="8">
        <v>18</v>
      </c>
      <c r="B572" s="7" t="str">
        <f>المدخلات!$F$4</f>
        <v>4:00–5:10 م</v>
      </c>
      <c r="C572" s="7">
        <v>10</v>
      </c>
      <c r="D572" s="7" t="s">
        <v>596</v>
      </c>
      <c r="E572" s="7" t="s">
        <v>549</v>
      </c>
      <c r="F572" s="2"/>
    </row>
    <row r="573" spans="1:6" ht="14" customHeight="1">
      <c r="A573" s="8">
        <v>18</v>
      </c>
      <c r="B573" s="7" t="str">
        <f>المدخلات!$F$4</f>
        <v>4:00–5:10 م</v>
      </c>
      <c r="C573" s="7">
        <v>11</v>
      </c>
      <c r="D573" s="7" t="s">
        <v>596</v>
      </c>
      <c r="E573" s="7" t="s">
        <v>1381</v>
      </c>
      <c r="F573" s="2"/>
    </row>
    <row r="574" spans="1:6" ht="14" customHeight="1">
      <c r="A574" s="8">
        <v>18</v>
      </c>
      <c r="B574" s="7" t="str">
        <f>المدخلات!$F$4</f>
        <v>4:00–5:10 م</v>
      </c>
      <c r="C574" s="7">
        <v>12</v>
      </c>
      <c r="D574" s="7" t="s">
        <v>596</v>
      </c>
      <c r="E574" s="7" t="s">
        <v>536</v>
      </c>
      <c r="F574" s="2"/>
    </row>
    <row r="575" spans="1:6" ht="14" customHeight="1">
      <c r="A575" s="8">
        <v>18</v>
      </c>
      <c r="B575" s="7" t="str">
        <f>المدخلات!$F$5</f>
        <v>5:20–6:30 م</v>
      </c>
      <c r="C575" s="7">
        <v>10</v>
      </c>
      <c r="D575" s="7" t="s">
        <v>596</v>
      </c>
      <c r="E575" s="7" t="s">
        <v>527</v>
      </c>
      <c r="F575" s="2"/>
    </row>
    <row r="576" spans="1:6" ht="14" customHeight="1">
      <c r="A576" s="8">
        <v>18</v>
      </c>
      <c r="B576" s="7" t="str">
        <f>المدخلات!$F$5</f>
        <v>5:20–6:30 م</v>
      </c>
      <c r="C576" s="7">
        <v>11</v>
      </c>
      <c r="D576" s="7" t="s">
        <v>596</v>
      </c>
      <c r="E576" s="7" t="s">
        <v>1329</v>
      </c>
      <c r="F576" s="2"/>
    </row>
    <row r="577" spans="1:65" ht="14" customHeight="1">
      <c r="A577" s="8">
        <v>18</v>
      </c>
      <c r="B577" s="7" t="str">
        <f>المدخلات!$F$5</f>
        <v>5:20–6:30 م</v>
      </c>
      <c r="C577" s="7">
        <v>12</v>
      </c>
      <c r="D577" s="7" t="s">
        <v>596</v>
      </c>
      <c r="E577" s="7" t="s">
        <v>950</v>
      </c>
      <c r="F577" s="2"/>
    </row>
    <row r="578" spans="1:65" ht="14" customHeight="1">
      <c r="A578" s="8">
        <v>18</v>
      </c>
      <c r="B578" s="7" t="str">
        <f>المدخلات!$F$6</f>
        <v>6:40–7:50 م</v>
      </c>
      <c r="C578" s="7">
        <v>10</v>
      </c>
      <c r="D578" s="7" t="s">
        <v>596</v>
      </c>
      <c r="E578" s="7" t="s">
        <v>567</v>
      </c>
      <c r="F578" s="2"/>
    </row>
    <row r="579" spans="1:65" ht="14" customHeight="1">
      <c r="A579" s="8">
        <v>18</v>
      </c>
      <c r="B579" s="7" t="str">
        <f>المدخلات!$F$6</f>
        <v>6:40–7:50 م</v>
      </c>
      <c r="C579" s="7">
        <v>11</v>
      </c>
      <c r="D579" s="7" t="s">
        <v>596</v>
      </c>
      <c r="E579" s="7" t="s">
        <v>1380</v>
      </c>
      <c r="F579" s="2"/>
    </row>
    <row r="580" spans="1:65" ht="14" customHeight="1">
      <c r="A580" s="8">
        <v>19</v>
      </c>
      <c r="B580" s="7" t="str">
        <f>المدخلات!$F$4</f>
        <v>4:00–5:10 م</v>
      </c>
      <c r="C580" s="7">
        <v>1</v>
      </c>
      <c r="D580" s="7" t="s">
        <v>655</v>
      </c>
      <c r="E580" s="7" t="s">
        <v>820</v>
      </c>
      <c r="F580" s="2"/>
    </row>
    <row r="581" spans="1:65" ht="14" customHeight="1">
      <c r="A581" s="8">
        <v>19</v>
      </c>
      <c r="B581" s="7" t="str">
        <f>المدخلات!$F$4</f>
        <v>4:00–5:10 م</v>
      </c>
      <c r="C581" s="7">
        <v>2</v>
      </c>
      <c r="D581" s="7" t="s">
        <v>655</v>
      </c>
      <c r="E581" s="7" t="s">
        <v>821</v>
      </c>
      <c r="F581" s="2"/>
    </row>
    <row r="582" spans="1:65" ht="14" customHeight="1">
      <c r="A582" s="8">
        <v>20</v>
      </c>
      <c r="B582" s="7" t="str">
        <f>المدخلات!$F$4</f>
        <v>4:00–5:10 م</v>
      </c>
      <c r="C582" s="7">
        <v>1</v>
      </c>
      <c r="D582" s="7" t="s">
        <v>656</v>
      </c>
      <c r="E582" s="7" t="s">
        <v>657</v>
      </c>
      <c r="F582" s="2"/>
    </row>
    <row r="583" spans="1:65">
      <c r="A583" s="2"/>
      <c r="B583" s="2"/>
      <c r="C583" s="2"/>
      <c r="D583" s="2"/>
      <c r="E583" s="2"/>
    </row>
    <row r="584" spans="1:65">
      <c r="A584" s="2"/>
      <c r="B584" s="2"/>
      <c r="C584" s="2"/>
      <c r="D584" s="2"/>
      <c r="E584" s="2"/>
    </row>
    <row r="585" spans="1:65" ht="14.5">
      <c r="A585" s="17" t="s">
        <v>828</v>
      </c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</row>
    <row r="586" spans="1:65" ht="14.5">
      <c r="A586" s="6" t="s">
        <v>829</v>
      </c>
      <c r="B586" s="6">
        <v>1</v>
      </c>
      <c r="C586" s="6">
        <v>2</v>
      </c>
      <c r="D586" s="6">
        <v>3</v>
      </c>
      <c r="E586" s="6">
        <v>4</v>
      </c>
      <c r="F586" s="6">
        <v>5</v>
      </c>
      <c r="G586" s="6">
        <v>6</v>
      </c>
      <c r="H586" s="6">
        <v>7</v>
      </c>
      <c r="I586" s="6">
        <v>8</v>
      </c>
      <c r="J586" s="6">
        <v>9</v>
      </c>
      <c r="K586" s="6">
        <v>10</v>
      </c>
      <c r="L586" s="6">
        <v>11</v>
      </c>
      <c r="M586" s="6">
        <v>12</v>
      </c>
      <c r="N586" s="6">
        <v>13</v>
      </c>
      <c r="O586" s="6">
        <v>14</v>
      </c>
      <c r="P586" s="6">
        <v>15</v>
      </c>
      <c r="Q586" s="6">
        <v>16</v>
      </c>
      <c r="R586" s="6">
        <v>17</v>
      </c>
      <c r="S586" s="6">
        <v>18</v>
      </c>
      <c r="T586" s="6">
        <v>19</v>
      </c>
      <c r="U586" s="6">
        <v>20</v>
      </c>
      <c r="V586" s="6">
        <v>21</v>
      </c>
      <c r="W586" s="6">
        <v>22</v>
      </c>
      <c r="X586" s="6">
        <v>23</v>
      </c>
      <c r="Y586" s="6">
        <v>24</v>
      </c>
      <c r="Z586" s="6">
        <v>25</v>
      </c>
      <c r="AA586" s="6">
        <v>26</v>
      </c>
      <c r="AB586" s="6">
        <v>27</v>
      </c>
      <c r="AC586" s="6">
        <v>28</v>
      </c>
      <c r="AD586" s="6">
        <v>29</v>
      </c>
      <c r="AE586" s="6">
        <v>30</v>
      </c>
      <c r="AF586" s="6">
        <v>31</v>
      </c>
      <c r="AG586" s="6">
        <v>32</v>
      </c>
      <c r="AH586" s="6">
        <v>33</v>
      </c>
      <c r="AI586" s="6">
        <v>34</v>
      </c>
      <c r="AJ586" s="6">
        <v>35</v>
      </c>
      <c r="AK586" s="6">
        <v>36</v>
      </c>
      <c r="AL586" s="6">
        <v>37</v>
      </c>
      <c r="AM586" s="6">
        <v>38</v>
      </c>
      <c r="AN586" s="6">
        <v>39</v>
      </c>
      <c r="AO586" s="6">
        <v>40</v>
      </c>
      <c r="AP586" s="6">
        <v>41</v>
      </c>
      <c r="AQ586" s="6">
        <v>42</v>
      </c>
      <c r="AR586" s="6">
        <v>43</v>
      </c>
      <c r="AS586" s="6">
        <v>44</v>
      </c>
      <c r="AT586" s="6">
        <v>45</v>
      </c>
      <c r="AU586" s="6">
        <v>46</v>
      </c>
      <c r="AV586" s="6">
        <v>47</v>
      </c>
      <c r="AW586" s="6">
        <v>48</v>
      </c>
      <c r="AX586" s="6">
        <v>49</v>
      </c>
      <c r="AY586" s="6">
        <v>50</v>
      </c>
      <c r="AZ586" s="6">
        <v>51</v>
      </c>
      <c r="BA586" s="6">
        <v>52</v>
      </c>
      <c r="BB586" s="6">
        <v>53</v>
      </c>
      <c r="BC586" s="6">
        <v>54</v>
      </c>
      <c r="BD586" s="6">
        <v>55</v>
      </c>
      <c r="BE586" s="6">
        <v>56</v>
      </c>
      <c r="BF586" s="6">
        <v>57</v>
      </c>
      <c r="BG586" s="6">
        <v>58</v>
      </c>
      <c r="BH586" s="6">
        <v>59</v>
      </c>
      <c r="BI586" s="6">
        <v>60</v>
      </c>
      <c r="BJ586" s="6">
        <v>61</v>
      </c>
      <c r="BK586" s="6">
        <v>62</v>
      </c>
      <c r="BL586" s="6">
        <v>63</v>
      </c>
      <c r="BM586" s="6">
        <v>64</v>
      </c>
    </row>
    <row r="587" spans="1:65" ht="14.5">
      <c r="A587" s="14">
        <v>1</v>
      </c>
      <c r="B587" s="4" t="str">
        <f>IF($A587=B$586,"",COUNTIF($E$4:$E$582,$A587&amp;" ضد "&amp;B$586)+COUNTIF($E$4:$E$582,B$586&amp;" ضد "&amp;$A587))</f>
        <v/>
      </c>
      <c r="C587" s="4">
        <f>IF($A587=C$586,"",COUNTIF($E$4:$E$582,$A587&amp;" ضد "&amp;C$586)+COUNTIF($E$4:$E$582,C$586&amp;" ضد "&amp;$A587))</f>
        <v>1</v>
      </c>
      <c r="D587" s="4">
        <f>IF($A587=D$586,"",COUNTIF($E$4:$E$582,$A587&amp;" ضد "&amp;D$586)+COUNTIF($E$4:$E$582,D$586&amp;" ضد "&amp;$A587))</f>
        <v>1</v>
      </c>
      <c r="E587" s="4">
        <f>IF($A587=E$586,"",COUNTIF($E$4:$E$582,$A587&amp;" ضد "&amp;E$586)+COUNTIF($E$4:$E$582,E$586&amp;" ضد "&amp;$A587))</f>
        <v>1</v>
      </c>
      <c r="F587" s="4">
        <f>IF($A587=F$586,"",COUNTIF($E$4:$E$582,$A587&amp;" ضد "&amp;F$586)+COUNTIF($E$4:$E$582,F$586&amp;" ضد "&amp;$A587))</f>
        <v>1</v>
      </c>
      <c r="G587" s="4">
        <f>IF($A587=G$586,"",COUNTIF($E$4:$E$582,$A587&amp;" ضد "&amp;G$586)+COUNTIF($E$4:$E$582,G$586&amp;" ضد "&amp;$A587))</f>
        <v>1</v>
      </c>
      <c r="H587" s="4">
        <f>IF($A587=H$586,"",COUNTIF($E$4:$E$582,$A587&amp;" ضد "&amp;H$586)+COUNTIF($E$4:$E$582,H$586&amp;" ضد "&amp;$A587))</f>
        <v>1</v>
      </c>
      <c r="I587" s="4">
        <f>IF($A587=I$586,"",COUNTIF($E$4:$E$582,$A587&amp;" ضد "&amp;I$586)+COUNTIF($E$4:$E$582,I$586&amp;" ضد "&amp;$A587))</f>
        <v>1</v>
      </c>
      <c r="J587" s="4">
        <f>IF($A587=J$586,"",COUNTIF($E$4:$E$582,$A587&amp;" ضد "&amp;J$586)+COUNTIF($E$4:$E$582,J$586&amp;" ضد "&amp;$A587))</f>
        <v>1</v>
      </c>
      <c r="K587" s="4">
        <f>IF($A587=K$586,"",COUNTIF($E$4:$E$582,$A587&amp;" ضد "&amp;K$586)+COUNTIF($E$4:$E$582,K$586&amp;" ضد "&amp;$A587))</f>
        <v>1</v>
      </c>
      <c r="L587" s="4">
        <f>IF($A587=L$586,"",COUNTIF($E$4:$E$582,$A587&amp;" ضد "&amp;L$586)+COUNTIF($E$4:$E$582,L$586&amp;" ضد "&amp;$A587))</f>
        <v>1</v>
      </c>
      <c r="M587" s="4">
        <f>IF($A587=M$586,"",COUNTIF($E$4:$E$582,$A587&amp;" ضد "&amp;M$586)+COUNTIF($E$4:$E$582,M$586&amp;" ضد "&amp;$A587))</f>
        <v>1</v>
      </c>
      <c r="N587" s="4">
        <f>IF($A587=N$586,"",COUNTIF($E$4:$E$582,$A587&amp;" ضد "&amp;N$586)+COUNTIF($E$4:$E$582,N$586&amp;" ضد "&amp;$A587))</f>
        <v>1</v>
      </c>
      <c r="O587" s="4">
        <f>IF($A587=O$586,"",COUNTIF($E$4:$E$582,$A587&amp;" ضد "&amp;O$586)+COUNTIF($E$4:$E$582,O$586&amp;" ضد "&amp;$A587))</f>
        <v>2</v>
      </c>
      <c r="P587" s="4">
        <f>IF($A587=P$586,"",COUNTIF($E$4:$E$582,$A587&amp;" ضد "&amp;P$586)+COUNTIF($E$4:$E$582,P$586&amp;" ضد "&amp;$A587))</f>
        <v>2</v>
      </c>
      <c r="Q587" s="4">
        <f>IF($A587=Q$586,"",COUNTIF($E$4:$E$582,$A587&amp;" ضد "&amp;Q$586)+COUNTIF($E$4:$E$582,Q$586&amp;" ضد "&amp;$A587))</f>
        <v>2</v>
      </c>
      <c r="R587" s="4">
        <f>IF($A587=R$586,"",COUNTIF($E$4:$E$582,$A587&amp;" ضد "&amp;R$586)+COUNTIF($E$4:$E$582,R$586&amp;" ضد "&amp;$A587))</f>
        <v>0</v>
      </c>
      <c r="S587" s="4">
        <f>IF($A587=S$586,"",COUNTIF($E$4:$E$582,$A587&amp;" ضد "&amp;S$586)+COUNTIF($E$4:$E$582,S$586&amp;" ضد "&amp;$A587))</f>
        <v>0</v>
      </c>
      <c r="T587" s="4">
        <f>IF($A587=T$586,"",COUNTIF($E$4:$E$582,$A587&amp;" ضد "&amp;T$586)+COUNTIF($E$4:$E$582,T$586&amp;" ضد "&amp;$A587))</f>
        <v>0</v>
      </c>
      <c r="U587" s="4">
        <f>IF($A587=U$586,"",COUNTIF($E$4:$E$582,$A587&amp;" ضد "&amp;U$586)+COUNTIF($E$4:$E$582,U$586&amp;" ضد "&amp;$A587))</f>
        <v>0</v>
      </c>
      <c r="V587" s="4">
        <f>IF($A587=V$586,"",COUNTIF($E$4:$E$582,$A587&amp;" ضد "&amp;V$586)+COUNTIF($E$4:$E$582,V$586&amp;" ضد "&amp;$A587))</f>
        <v>0</v>
      </c>
      <c r="W587" s="4">
        <f>IF($A587=W$586,"",COUNTIF($E$4:$E$582,$A587&amp;" ضد "&amp;W$586)+COUNTIF($E$4:$E$582,W$586&amp;" ضد "&amp;$A587))</f>
        <v>0</v>
      </c>
      <c r="X587" s="4">
        <f>IF($A587=X$586,"",COUNTIF($E$4:$E$582,$A587&amp;" ضد "&amp;X$586)+COUNTIF($E$4:$E$582,X$586&amp;" ضد "&amp;$A587))</f>
        <v>0</v>
      </c>
      <c r="Y587" s="4">
        <f>IF($A587=Y$586,"",COUNTIF($E$4:$E$582,$A587&amp;" ضد "&amp;Y$586)+COUNTIF($E$4:$E$582,Y$586&amp;" ضد "&amp;$A587))</f>
        <v>0</v>
      </c>
      <c r="Z587" s="4">
        <f>IF($A587=Z$586,"",COUNTIF($E$4:$E$582,$A587&amp;" ضد "&amp;Z$586)+COUNTIF($E$4:$E$582,Z$586&amp;" ضد "&amp;$A587))</f>
        <v>0</v>
      </c>
      <c r="AA587" s="4">
        <f>IF($A587=AA$586,"",COUNTIF($E$4:$E$582,$A587&amp;" ضد "&amp;AA$586)+COUNTIF($E$4:$E$582,AA$586&amp;" ضد "&amp;$A587))</f>
        <v>0</v>
      </c>
      <c r="AB587" s="4">
        <f>IF($A587=AB$586,"",COUNTIF($E$4:$E$582,$A587&amp;" ضد "&amp;AB$586)+COUNTIF($E$4:$E$582,AB$586&amp;" ضد "&amp;$A587))</f>
        <v>0</v>
      </c>
      <c r="AC587" s="4">
        <f>IF($A587=AC$586,"",COUNTIF($E$4:$E$582,$A587&amp;" ضد "&amp;AC$586)+COUNTIF($E$4:$E$582,AC$586&amp;" ضد "&amp;$A587))</f>
        <v>0</v>
      </c>
      <c r="AD587" s="4">
        <f>IF($A587=AD$586,"",COUNTIF($E$4:$E$582,$A587&amp;" ضد "&amp;AD$586)+COUNTIF($E$4:$E$582,AD$586&amp;" ضد "&amp;$A587))</f>
        <v>0</v>
      </c>
      <c r="AE587" s="4">
        <f>IF($A587=AE$586,"",COUNTIF($E$4:$E$582,$A587&amp;" ضد "&amp;AE$586)+COUNTIF($E$4:$E$582,AE$586&amp;" ضد "&amp;$A587))</f>
        <v>0</v>
      </c>
      <c r="AF587" s="4">
        <f>IF($A587=AF$586,"",COUNTIF($E$4:$E$582,$A587&amp;" ضد "&amp;AF$586)+COUNTIF($E$4:$E$582,AF$586&amp;" ضد "&amp;$A587))</f>
        <v>0</v>
      </c>
      <c r="AG587" s="4">
        <f>IF($A587=AG$586,"",COUNTIF($E$4:$E$582,$A587&amp;" ضد "&amp;AG$586)+COUNTIF($E$4:$E$582,AG$586&amp;" ضد "&amp;$A587))</f>
        <v>0</v>
      </c>
      <c r="AH587" s="4">
        <f>IF($A587=AH$586,"",COUNTIF($E$4:$E$582,$A587&amp;" ضد "&amp;AH$586)+COUNTIF($E$4:$E$582,AH$586&amp;" ضد "&amp;$A587))</f>
        <v>0</v>
      </c>
      <c r="AI587" s="4">
        <f>IF($A587=AI$586,"",COUNTIF($E$4:$E$582,$A587&amp;" ضد "&amp;AI$586)+COUNTIF($E$4:$E$582,AI$586&amp;" ضد "&amp;$A587))</f>
        <v>0</v>
      </c>
      <c r="AJ587" s="4">
        <f>IF($A587=AJ$586,"",COUNTIF($E$4:$E$582,$A587&amp;" ضد "&amp;AJ$586)+COUNTIF($E$4:$E$582,AJ$586&amp;" ضد "&amp;$A587))</f>
        <v>0</v>
      </c>
      <c r="AK587" s="4">
        <f>IF($A587=AK$586,"",COUNTIF($E$4:$E$582,$A587&amp;" ضد "&amp;AK$586)+COUNTIF($E$4:$E$582,AK$586&amp;" ضد "&amp;$A587))</f>
        <v>0</v>
      </c>
      <c r="AL587" s="4">
        <f>IF($A587=AL$586,"",COUNTIF($E$4:$E$582,$A587&amp;" ضد "&amp;AL$586)+COUNTIF($E$4:$E$582,AL$586&amp;" ضد "&amp;$A587))</f>
        <v>0</v>
      </c>
      <c r="AM587" s="4">
        <f>IF($A587=AM$586,"",COUNTIF($E$4:$E$582,$A587&amp;" ضد "&amp;AM$586)+COUNTIF($E$4:$E$582,AM$586&amp;" ضد "&amp;$A587))</f>
        <v>0</v>
      </c>
      <c r="AN587" s="4">
        <f>IF($A587=AN$586,"",COUNTIF($E$4:$E$582,$A587&amp;" ضد "&amp;AN$586)+COUNTIF($E$4:$E$582,AN$586&amp;" ضد "&amp;$A587))</f>
        <v>0</v>
      </c>
      <c r="AO587" s="4">
        <f>IF($A587=AO$586,"",COUNTIF($E$4:$E$582,$A587&amp;" ضد "&amp;AO$586)+COUNTIF($E$4:$E$582,AO$586&amp;" ضد "&amp;$A587))</f>
        <v>0</v>
      </c>
      <c r="AP587" s="4">
        <f>IF($A587=AP$586,"",COUNTIF($E$4:$E$582,$A587&amp;" ضد "&amp;AP$586)+COUNTIF($E$4:$E$582,AP$586&amp;" ضد "&amp;$A587))</f>
        <v>0</v>
      </c>
      <c r="AQ587" s="4">
        <f>IF($A587=AQ$586,"",COUNTIF($E$4:$E$582,$A587&amp;" ضد "&amp;AQ$586)+COUNTIF($E$4:$E$582,AQ$586&amp;" ضد "&amp;$A587))</f>
        <v>0</v>
      </c>
      <c r="AR587" s="4">
        <f>IF($A587=AR$586,"",COUNTIF($E$4:$E$582,$A587&amp;" ضد "&amp;AR$586)+COUNTIF($E$4:$E$582,AR$586&amp;" ضد "&amp;$A587))</f>
        <v>0</v>
      </c>
      <c r="AS587" s="4">
        <f>IF($A587=AS$586,"",COUNTIF($E$4:$E$582,$A587&amp;" ضد "&amp;AS$586)+COUNTIF($E$4:$E$582,AS$586&amp;" ضد "&amp;$A587))</f>
        <v>0</v>
      </c>
      <c r="AT587" s="4">
        <f>IF($A587=AT$586,"",COUNTIF($E$4:$E$582,$A587&amp;" ضد "&amp;AT$586)+COUNTIF($E$4:$E$582,AT$586&amp;" ضد "&amp;$A587))</f>
        <v>0</v>
      </c>
      <c r="AU587" s="4">
        <f>IF($A587=AU$586,"",COUNTIF($E$4:$E$582,$A587&amp;" ضد "&amp;AU$586)+COUNTIF($E$4:$E$582,AU$586&amp;" ضد "&amp;$A587))</f>
        <v>0</v>
      </c>
      <c r="AV587" s="4">
        <f>IF($A587=AV$586,"",COUNTIF($E$4:$E$582,$A587&amp;" ضد "&amp;AV$586)+COUNTIF($E$4:$E$582,AV$586&amp;" ضد "&amp;$A587))</f>
        <v>0</v>
      </c>
      <c r="AW587" s="4">
        <f>IF($A587=AW$586,"",COUNTIF($E$4:$E$582,$A587&amp;" ضد "&amp;AW$586)+COUNTIF($E$4:$E$582,AW$586&amp;" ضد "&amp;$A587))</f>
        <v>0</v>
      </c>
      <c r="AX587" s="4">
        <f>IF($A587=AX$586,"",COUNTIF($E$4:$E$582,$A587&amp;" ضد "&amp;AX$586)+COUNTIF($E$4:$E$582,AX$586&amp;" ضد "&amp;$A587))</f>
        <v>0</v>
      </c>
      <c r="AY587" s="4">
        <f>IF($A587=AY$586,"",COUNTIF($E$4:$E$582,$A587&amp;" ضد "&amp;AY$586)+COUNTIF($E$4:$E$582,AY$586&amp;" ضد "&amp;$A587))</f>
        <v>0</v>
      </c>
      <c r="AZ587" s="4">
        <f>IF($A587=AZ$586,"",COUNTIF($E$4:$E$582,$A587&amp;" ضد "&amp;AZ$586)+COUNTIF($E$4:$E$582,AZ$586&amp;" ضد "&amp;$A587))</f>
        <v>0</v>
      </c>
      <c r="BA587" s="4">
        <f>IF($A587=BA$586,"",COUNTIF($E$4:$E$582,$A587&amp;" ضد "&amp;BA$586)+COUNTIF($E$4:$E$582,BA$586&amp;" ضد "&amp;$A587))</f>
        <v>0</v>
      </c>
      <c r="BB587" s="4">
        <f>IF($A587=BB$586,"",COUNTIF($E$4:$E$582,$A587&amp;" ضد "&amp;BB$586)+COUNTIF($E$4:$E$582,BB$586&amp;" ضد "&amp;$A587))</f>
        <v>0</v>
      </c>
      <c r="BC587" s="4">
        <f>IF($A587=BC$586,"",COUNTIF($E$4:$E$582,$A587&amp;" ضد "&amp;BC$586)+COUNTIF($E$4:$E$582,BC$586&amp;" ضد "&amp;$A587))</f>
        <v>0</v>
      </c>
      <c r="BD587" s="4">
        <f>IF($A587=BD$586,"",COUNTIF($E$4:$E$582,$A587&amp;" ضد "&amp;BD$586)+COUNTIF($E$4:$E$582,BD$586&amp;" ضد "&amp;$A587))</f>
        <v>0</v>
      </c>
      <c r="BE587" s="4">
        <f>IF($A587=BE$586,"",COUNTIF($E$4:$E$582,$A587&amp;" ضد "&amp;BE$586)+COUNTIF($E$4:$E$582,BE$586&amp;" ضد "&amp;$A587))</f>
        <v>0</v>
      </c>
      <c r="BF587" s="4">
        <f>IF($A587=BF$586,"",COUNTIF($E$4:$E$582,$A587&amp;" ضد "&amp;BF$586)+COUNTIF($E$4:$E$582,BF$586&amp;" ضد "&amp;$A587))</f>
        <v>0</v>
      </c>
      <c r="BG587" s="4">
        <f>IF($A587=BG$586,"",COUNTIF($E$4:$E$582,$A587&amp;" ضد "&amp;BG$586)+COUNTIF($E$4:$E$582,BG$586&amp;" ضد "&amp;$A587))</f>
        <v>0</v>
      </c>
      <c r="BH587" s="4">
        <f>IF($A587=BH$586,"",COUNTIF($E$4:$E$582,$A587&amp;" ضد "&amp;BH$586)+COUNTIF($E$4:$E$582,BH$586&amp;" ضد "&amp;$A587))</f>
        <v>0</v>
      </c>
      <c r="BI587" s="4">
        <f>IF($A587=BI$586,"",COUNTIF($E$4:$E$582,$A587&amp;" ضد "&amp;BI$586)+COUNTIF($E$4:$E$582,BI$586&amp;" ضد "&amp;$A587))</f>
        <v>0</v>
      </c>
      <c r="BJ587" s="4">
        <f>IF($A587=BJ$586,"",COUNTIF($E$4:$E$582,$A587&amp;" ضد "&amp;BJ$586)+COUNTIF($E$4:$E$582,BJ$586&amp;" ضد "&amp;$A587))</f>
        <v>0</v>
      </c>
      <c r="BK587" s="4">
        <f>IF($A587=BK$586,"",COUNTIF($E$4:$E$582,$A587&amp;" ضد "&amp;BK$586)+COUNTIF($E$4:$E$582,BK$586&amp;" ضد "&amp;$A587))</f>
        <v>0</v>
      </c>
      <c r="BL587" s="4">
        <f>IF($A587=BL$586,"",COUNTIF($E$4:$E$582,$A587&amp;" ضد "&amp;BL$586)+COUNTIF($E$4:$E$582,BL$586&amp;" ضد "&amp;$A587))</f>
        <v>0</v>
      </c>
      <c r="BM587" s="4">
        <f>IF($A587=BM$586,"",COUNTIF($E$4:$E$582,$A587&amp;" ضد "&amp;BM$586)+COUNTIF($E$4:$E$582,BM$586&amp;" ضد "&amp;$A587))</f>
        <v>0</v>
      </c>
    </row>
    <row r="588" spans="1:65" ht="14.5">
      <c r="A588" s="14">
        <v>2</v>
      </c>
      <c r="B588" s="4">
        <f>IF($A588=B$586,"",COUNTIF($E$4:$E$582,$A588&amp;" ضد "&amp;B$586)+COUNTIF($E$4:$E$582,B$586&amp;" ضد "&amp;$A588))</f>
        <v>1</v>
      </c>
      <c r="C588" s="4" t="str">
        <f>IF($A588=C$586,"",COUNTIF($E$4:$E$582,$A588&amp;" ضد "&amp;C$586)+COUNTIF($E$4:$E$582,C$586&amp;" ضد "&amp;$A588))</f>
        <v/>
      </c>
      <c r="D588" s="4">
        <f>IF($A588=D$586,"",COUNTIF($E$4:$E$582,$A588&amp;" ضد "&amp;D$586)+COUNTIF($E$4:$E$582,D$586&amp;" ضد "&amp;$A588))</f>
        <v>1</v>
      </c>
      <c r="E588" s="4">
        <f>IF($A588=E$586,"",COUNTIF($E$4:$E$582,$A588&amp;" ضد "&amp;E$586)+COUNTIF($E$4:$E$582,E$586&amp;" ضد "&amp;$A588))</f>
        <v>1</v>
      </c>
      <c r="F588" s="4">
        <f>IF($A588=F$586,"",COUNTIF($E$4:$E$582,$A588&amp;" ضد "&amp;F$586)+COUNTIF($E$4:$E$582,F$586&amp;" ضد "&amp;$A588))</f>
        <v>1</v>
      </c>
      <c r="G588" s="4">
        <f>IF($A588=G$586,"",COUNTIF($E$4:$E$582,$A588&amp;" ضد "&amp;G$586)+COUNTIF($E$4:$E$582,G$586&amp;" ضد "&amp;$A588))</f>
        <v>1</v>
      </c>
      <c r="H588" s="4">
        <f>IF($A588=H$586,"",COUNTIF($E$4:$E$582,$A588&amp;" ضد "&amp;H$586)+COUNTIF($E$4:$E$582,H$586&amp;" ضد "&amp;$A588))</f>
        <v>1</v>
      </c>
      <c r="I588" s="4">
        <f>IF($A588=I$586,"",COUNTIF($E$4:$E$582,$A588&amp;" ضد "&amp;I$586)+COUNTIF($E$4:$E$582,I$586&amp;" ضد "&amp;$A588))</f>
        <v>1</v>
      </c>
      <c r="J588" s="4">
        <f>IF($A588=J$586,"",COUNTIF($E$4:$E$582,$A588&amp;" ضد "&amp;J$586)+COUNTIF($E$4:$E$582,J$586&amp;" ضد "&amp;$A588))</f>
        <v>1</v>
      </c>
      <c r="K588" s="4">
        <f>IF($A588=K$586,"",COUNTIF($E$4:$E$582,$A588&amp;" ضد "&amp;K$586)+COUNTIF($E$4:$E$582,K$586&amp;" ضد "&amp;$A588))</f>
        <v>1</v>
      </c>
      <c r="L588" s="4">
        <f>IF($A588=L$586,"",COUNTIF($E$4:$E$582,$A588&amp;" ضد "&amp;L$586)+COUNTIF($E$4:$E$582,L$586&amp;" ضد "&amp;$A588))</f>
        <v>2</v>
      </c>
      <c r="M588" s="4">
        <f>IF($A588=M$586,"",COUNTIF($E$4:$E$582,$A588&amp;" ضد "&amp;M$586)+COUNTIF($E$4:$E$582,M$586&amp;" ضد "&amp;$A588))</f>
        <v>1</v>
      </c>
      <c r="N588" s="4">
        <f>IF($A588=N$586,"",COUNTIF($E$4:$E$582,$A588&amp;" ضد "&amp;N$586)+COUNTIF($E$4:$E$582,N$586&amp;" ضد "&amp;$A588))</f>
        <v>2</v>
      </c>
      <c r="O588" s="4">
        <f>IF($A588=O$586,"",COUNTIF($E$4:$E$582,$A588&amp;" ضد "&amp;O$586)+COUNTIF($E$4:$E$582,O$586&amp;" ضد "&amp;$A588))</f>
        <v>1</v>
      </c>
      <c r="P588" s="4">
        <f>IF($A588=P$586,"",COUNTIF($E$4:$E$582,$A588&amp;" ضد "&amp;P$586)+COUNTIF($E$4:$E$582,P$586&amp;" ضد "&amp;$A588))</f>
        <v>2</v>
      </c>
      <c r="Q588" s="4">
        <f>IF($A588=Q$586,"",COUNTIF($E$4:$E$582,$A588&amp;" ضد "&amp;Q$586)+COUNTIF($E$4:$E$582,Q$586&amp;" ضد "&amp;$A588))</f>
        <v>1</v>
      </c>
      <c r="R588" s="4">
        <f>IF($A588=R$586,"",COUNTIF($E$4:$E$582,$A588&amp;" ضد "&amp;R$586)+COUNTIF($E$4:$E$582,R$586&amp;" ضد "&amp;$A588))</f>
        <v>0</v>
      </c>
      <c r="S588" s="4">
        <f>IF($A588=S$586,"",COUNTIF($E$4:$E$582,$A588&amp;" ضد "&amp;S$586)+COUNTIF($E$4:$E$582,S$586&amp;" ضد "&amp;$A588))</f>
        <v>0</v>
      </c>
      <c r="T588" s="4">
        <f>IF($A588=T$586,"",COUNTIF($E$4:$E$582,$A588&amp;" ضد "&amp;T$586)+COUNTIF($E$4:$E$582,T$586&amp;" ضد "&amp;$A588))</f>
        <v>0</v>
      </c>
      <c r="U588" s="4">
        <f>IF($A588=U$586,"",COUNTIF($E$4:$E$582,$A588&amp;" ضد "&amp;U$586)+COUNTIF($E$4:$E$582,U$586&amp;" ضد "&amp;$A588))</f>
        <v>0</v>
      </c>
      <c r="V588" s="4">
        <f>IF($A588=V$586,"",COUNTIF($E$4:$E$582,$A588&amp;" ضد "&amp;V$586)+COUNTIF($E$4:$E$582,V$586&amp;" ضد "&amp;$A588))</f>
        <v>0</v>
      </c>
      <c r="W588" s="4">
        <f>IF($A588=W$586,"",COUNTIF($E$4:$E$582,$A588&amp;" ضد "&amp;W$586)+COUNTIF($E$4:$E$582,W$586&amp;" ضد "&amp;$A588))</f>
        <v>0</v>
      </c>
      <c r="X588" s="4">
        <f>IF($A588=X$586,"",COUNTIF($E$4:$E$582,$A588&amp;" ضد "&amp;X$586)+COUNTIF($E$4:$E$582,X$586&amp;" ضد "&amp;$A588))</f>
        <v>0</v>
      </c>
      <c r="Y588" s="4">
        <f>IF($A588=Y$586,"",COUNTIF($E$4:$E$582,$A588&amp;" ضد "&amp;Y$586)+COUNTIF($E$4:$E$582,Y$586&amp;" ضد "&amp;$A588))</f>
        <v>0</v>
      </c>
      <c r="Z588" s="4">
        <f>IF($A588=Z$586,"",COUNTIF($E$4:$E$582,$A588&amp;" ضد "&amp;Z$586)+COUNTIF($E$4:$E$582,Z$586&amp;" ضد "&amp;$A588))</f>
        <v>0</v>
      </c>
      <c r="AA588" s="4">
        <f>IF($A588=AA$586,"",COUNTIF($E$4:$E$582,$A588&amp;" ضد "&amp;AA$586)+COUNTIF($E$4:$E$582,AA$586&amp;" ضد "&amp;$A588))</f>
        <v>0</v>
      </c>
      <c r="AB588" s="4">
        <f>IF($A588=AB$586,"",COUNTIF($E$4:$E$582,$A588&amp;" ضد "&amp;AB$586)+COUNTIF($E$4:$E$582,AB$586&amp;" ضد "&amp;$A588))</f>
        <v>0</v>
      </c>
      <c r="AC588" s="4">
        <f>IF($A588=AC$586,"",COUNTIF($E$4:$E$582,$A588&amp;" ضد "&amp;AC$586)+COUNTIF($E$4:$E$582,AC$586&amp;" ضد "&amp;$A588))</f>
        <v>0</v>
      </c>
      <c r="AD588" s="4">
        <f>IF($A588=AD$586,"",COUNTIF($E$4:$E$582,$A588&amp;" ضد "&amp;AD$586)+COUNTIF($E$4:$E$582,AD$586&amp;" ضد "&amp;$A588))</f>
        <v>0</v>
      </c>
      <c r="AE588" s="4">
        <f>IF($A588=AE$586,"",COUNTIF($E$4:$E$582,$A588&amp;" ضد "&amp;AE$586)+COUNTIF($E$4:$E$582,AE$586&amp;" ضد "&amp;$A588))</f>
        <v>0</v>
      </c>
      <c r="AF588" s="4">
        <f>IF($A588=AF$586,"",COUNTIF($E$4:$E$582,$A588&amp;" ضد "&amp;AF$586)+COUNTIF($E$4:$E$582,AF$586&amp;" ضد "&amp;$A588))</f>
        <v>0</v>
      </c>
      <c r="AG588" s="4">
        <f>IF($A588=AG$586,"",COUNTIF($E$4:$E$582,$A588&amp;" ضد "&amp;AG$586)+COUNTIF($E$4:$E$582,AG$586&amp;" ضد "&amp;$A588))</f>
        <v>0</v>
      </c>
      <c r="AH588" s="4">
        <f>IF($A588=AH$586,"",COUNTIF($E$4:$E$582,$A588&amp;" ضد "&amp;AH$586)+COUNTIF($E$4:$E$582,AH$586&amp;" ضد "&amp;$A588))</f>
        <v>0</v>
      </c>
      <c r="AI588" s="4">
        <f>IF($A588=AI$586,"",COUNTIF($E$4:$E$582,$A588&amp;" ضد "&amp;AI$586)+COUNTIF($E$4:$E$582,AI$586&amp;" ضد "&amp;$A588))</f>
        <v>0</v>
      </c>
      <c r="AJ588" s="4">
        <f>IF($A588=AJ$586,"",COUNTIF($E$4:$E$582,$A588&amp;" ضد "&amp;AJ$586)+COUNTIF($E$4:$E$582,AJ$586&amp;" ضد "&amp;$A588))</f>
        <v>0</v>
      </c>
      <c r="AK588" s="4">
        <f>IF($A588=AK$586,"",COUNTIF($E$4:$E$582,$A588&amp;" ضد "&amp;AK$586)+COUNTIF($E$4:$E$582,AK$586&amp;" ضد "&amp;$A588))</f>
        <v>0</v>
      </c>
      <c r="AL588" s="4">
        <f>IF($A588=AL$586,"",COUNTIF($E$4:$E$582,$A588&amp;" ضد "&amp;AL$586)+COUNTIF($E$4:$E$582,AL$586&amp;" ضد "&amp;$A588))</f>
        <v>0</v>
      </c>
      <c r="AM588" s="4">
        <f>IF($A588=AM$586,"",COUNTIF($E$4:$E$582,$A588&amp;" ضد "&amp;AM$586)+COUNTIF($E$4:$E$582,AM$586&amp;" ضد "&amp;$A588))</f>
        <v>0</v>
      </c>
      <c r="AN588" s="4">
        <f>IF($A588=AN$586,"",COUNTIF($E$4:$E$582,$A588&amp;" ضد "&amp;AN$586)+COUNTIF($E$4:$E$582,AN$586&amp;" ضد "&amp;$A588))</f>
        <v>0</v>
      </c>
      <c r="AO588" s="4">
        <f>IF($A588=AO$586,"",COUNTIF($E$4:$E$582,$A588&amp;" ضد "&amp;AO$586)+COUNTIF($E$4:$E$582,AO$586&amp;" ضد "&amp;$A588))</f>
        <v>0</v>
      </c>
      <c r="AP588" s="4">
        <f>IF($A588=AP$586,"",COUNTIF($E$4:$E$582,$A588&amp;" ضد "&amp;AP$586)+COUNTIF($E$4:$E$582,AP$586&amp;" ضد "&amp;$A588))</f>
        <v>0</v>
      </c>
      <c r="AQ588" s="4">
        <f>IF($A588=AQ$586,"",COUNTIF($E$4:$E$582,$A588&amp;" ضد "&amp;AQ$586)+COUNTIF($E$4:$E$582,AQ$586&amp;" ضد "&amp;$A588))</f>
        <v>0</v>
      </c>
      <c r="AR588" s="4">
        <f>IF($A588=AR$586,"",COUNTIF($E$4:$E$582,$A588&amp;" ضد "&amp;AR$586)+COUNTIF($E$4:$E$582,AR$586&amp;" ضد "&amp;$A588))</f>
        <v>0</v>
      </c>
      <c r="AS588" s="4">
        <f>IF($A588=AS$586,"",COUNTIF($E$4:$E$582,$A588&amp;" ضد "&amp;AS$586)+COUNTIF($E$4:$E$582,AS$586&amp;" ضد "&amp;$A588))</f>
        <v>0</v>
      </c>
      <c r="AT588" s="4">
        <f>IF($A588=AT$586,"",COUNTIF($E$4:$E$582,$A588&amp;" ضد "&amp;AT$586)+COUNTIF($E$4:$E$582,AT$586&amp;" ضد "&amp;$A588))</f>
        <v>0</v>
      </c>
      <c r="AU588" s="4">
        <f>IF($A588=AU$586,"",COUNTIF($E$4:$E$582,$A588&amp;" ضد "&amp;AU$586)+COUNTIF($E$4:$E$582,AU$586&amp;" ضد "&amp;$A588))</f>
        <v>0</v>
      </c>
      <c r="AV588" s="4">
        <f>IF($A588=AV$586,"",COUNTIF($E$4:$E$582,$A588&amp;" ضد "&amp;AV$586)+COUNTIF($E$4:$E$582,AV$586&amp;" ضد "&amp;$A588))</f>
        <v>0</v>
      </c>
      <c r="AW588" s="4">
        <f>IF($A588=AW$586,"",COUNTIF($E$4:$E$582,$A588&amp;" ضد "&amp;AW$586)+COUNTIF($E$4:$E$582,AW$586&amp;" ضد "&amp;$A588))</f>
        <v>0</v>
      </c>
      <c r="AX588" s="4">
        <f>IF($A588=AX$586,"",COUNTIF($E$4:$E$582,$A588&amp;" ضد "&amp;AX$586)+COUNTIF($E$4:$E$582,AX$586&amp;" ضد "&amp;$A588))</f>
        <v>0</v>
      </c>
      <c r="AY588" s="4">
        <f>IF($A588=AY$586,"",COUNTIF($E$4:$E$582,$A588&amp;" ضد "&amp;AY$586)+COUNTIF($E$4:$E$582,AY$586&amp;" ضد "&amp;$A588))</f>
        <v>0</v>
      </c>
      <c r="AZ588" s="4">
        <f>IF($A588=AZ$586,"",COUNTIF($E$4:$E$582,$A588&amp;" ضد "&amp;AZ$586)+COUNTIF($E$4:$E$582,AZ$586&amp;" ضد "&amp;$A588))</f>
        <v>0</v>
      </c>
      <c r="BA588" s="4">
        <f>IF($A588=BA$586,"",COUNTIF($E$4:$E$582,$A588&amp;" ضد "&amp;BA$586)+COUNTIF($E$4:$E$582,BA$586&amp;" ضد "&amp;$A588))</f>
        <v>0</v>
      </c>
      <c r="BB588" s="4">
        <f>IF($A588=BB$586,"",COUNTIF($E$4:$E$582,$A588&amp;" ضد "&amp;BB$586)+COUNTIF($E$4:$E$582,BB$586&amp;" ضد "&amp;$A588))</f>
        <v>0</v>
      </c>
      <c r="BC588" s="4">
        <f>IF($A588=BC$586,"",COUNTIF($E$4:$E$582,$A588&amp;" ضد "&amp;BC$586)+COUNTIF($E$4:$E$582,BC$586&amp;" ضد "&amp;$A588))</f>
        <v>0</v>
      </c>
      <c r="BD588" s="4">
        <f>IF($A588=BD$586,"",COUNTIF($E$4:$E$582,$A588&amp;" ضد "&amp;BD$586)+COUNTIF($E$4:$E$582,BD$586&amp;" ضد "&amp;$A588))</f>
        <v>0</v>
      </c>
      <c r="BE588" s="4">
        <f>IF($A588=BE$586,"",COUNTIF($E$4:$E$582,$A588&amp;" ضد "&amp;BE$586)+COUNTIF($E$4:$E$582,BE$586&amp;" ضد "&amp;$A588))</f>
        <v>0</v>
      </c>
      <c r="BF588" s="4">
        <f>IF($A588=BF$586,"",COUNTIF($E$4:$E$582,$A588&amp;" ضد "&amp;BF$586)+COUNTIF($E$4:$E$582,BF$586&amp;" ضد "&amp;$A588))</f>
        <v>0</v>
      </c>
      <c r="BG588" s="4">
        <f>IF($A588=BG$586,"",COUNTIF($E$4:$E$582,$A588&amp;" ضد "&amp;BG$586)+COUNTIF($E$4:$E$582,BG$586&amp;" ضد "&amp;$A588))</f>
        <v>0</v>
      </c>
      <c r="BH588" s="4">
        <f>IF($A588=BH$586,"",COUNTIF($E$4:$E$582,$A588&amp;" ضد "&amp;BH$586)+COUNTIF($E$4:$E$582,BH$586&amp;" ضد "&amp;$A588))</f>
        <v>0</v>
      </c>
      <c r="BI588" s="4">
        <f>IF($A588=BI$586,"",COUNTIF($E$4:$E$582,$A588&amp;" ضد "&amp;BI$586)+COUNTIF($E$4:$E$582,BI$586&amp;" ضد "&amp;$A588))</f>
        <v>0</v>
      </c>
      <c r="BJ588" s="4">
        <f>IF($A588=BJ$586,"",COUNTIF($E$4:$E$582,$A588&amp;" ضد "&amp;BJ$586)+COUNTIF($E$4:$E$582,BJ$586&amp;" ضد "&amp;$A588))</f>
        <v>0</v>
      </c>
      <c r="BK588" s="4">
        <f>IF($A588=BK$586,"",COUNTIF($E$4:$E$582,$A588&amp;" ضد "&amp;BK$586)+COUNTIF($E$4:$E$582,BK$586&amp;" ضد "&amp;$A588))</f>
        <v>0</v>
      </c>
      <c r="BL588" s="4">
        <f>IF($A588=BL$586,"",COUNTIF($E$4:$E$582,$A588&amp;" ضد "&amp;BL$586)+COUNTIF($E$4:$E$582,BL$586&amp;" ضد "&amp;$A588))</f>
        <v>0</v>
      </c>
      <c r="BM588" s="4">
        <f>IF($A588=BM$586,"",COUNTIF($E$4:$E$582,$A588&amp;" ضد "&amp;BM$586)+COUNTIF($E$4:$E$582,BM$586&amp;" ضد "&amp;$A588))</f>
        <v>0</v>
      </c>
    </row>
    <row r="589" spans="1:65" ht="14.5">
      <c r="A589" s="14">
        <v>3</v>
      </c>
      <c r="B589" s="4">
        <f>IF($A589=B$586,"",COUNTIF($E$4:$E$582,$A589&amp;" ضد "&amp;B$586)+COUNTIF($E$4:$E$582,B$586&amp;" ضد "&amp;$A589))</f>
        <v>1</v>
      </c>
      <c r="C589" s="4">
        <f>IF($A589=C$586,"",COUNTIF($E$4:$E$582,$A589&amp;" ضد "&amp;C$586)+COUNTIF($E$4:$E$582,C$586&amp;" ضد "&amp;$A589))</f>
        <v>1</v>
      </c>
      <c r="D589" s="4" t="str">
        <f>IF($A589=D$586,"",COUNTIF($E$4:$E$582,$A589&amp;" ضد "&amp;D$586)+COUNTIF($E$4:$E$582,D$586&amp;" ضد "&amp;$A589))</f>
        <v/>
      </c>
      <c r="E589" s="4">
        <f>IF($A589=E$586,"",COUNTIF($E$4:$E$582,$A589&amp;" ضد "&amp;E$586)+COUNTIF($E$4:$E$582,E$586&amp;" ضد "&amp;$A589))</f>
        <v>1</v>
      </c>
      <c r="F589" s="4">
        <f>IF($A589=F$586,"",COUNTIF($E$4:$E$582,$A589&amp;" ضد "&amp;F$586)+COUNTIF($E$4:$E$582,F$586&amp;" ضد "&amp;$A589))</f>
        <v>1</v>
      </c>
      <c r="G589" s="4">
        <f>IF($A589=G$586,"",COUNTIF($E$4:$E$582,$A589&amp;" ضد "&amp;G$586)+COUNTIF($E$4:$E$582,G$586&amp;" ضد "&amp;$A589))</f>
        <v>1</v>
      </c>
      <c r="H589" s="4">
        <f>IF($A589=H$586,"",COUNTIF($E$4:$E$582,$A589&amp;" ضد "&amp;H$586)+COUNTIF($E$4:$E$582,H$586&amp;" ضد "&amp;$A589))</f>
        <v>1</v>
      </c>
      <c r="I589" s="4">
        <f>IF($A589=I$586,"",COUNTIF($E$4:$E$582,$A589&amp;" ضد "&amp;I$586)+COUNTIF($E$4:$E$582,I$586&amp;" ضد "&amp;$A589))</f>
        <v>1</v>
      </c>
      <c r="J589" s="4">
        <f>IF($A589=J$586,"",COUNTIF($E$4:$E$582,$A589&amp;" ضد "&amp;J$586)+COUNTIF($E$4:$E$582,J$586&amp;" ضد "&amp;$A589))</f>
        <v>1</v>
      </c>
      <c r="K589" s="4">
        <f>IF($A589=K$586,"",COUNTIF($E$4:$E$582,$A589&amp;" ضد "&amp;K$586)+COUNTIF($E$4:$E$582,K$586&amp;" ضد "&amp;$A589))</f>
        <v>2</v>
      </c>
      <c r="L589" s="4">
        <f>IF($A589=L$586,"",COUNTIF($E$4:$E$582,$A589&amp;" ضد "&amp;L$586)+COUNTIF($E$4:$E$582,L$586&amp;" ضد "&amp;$A589))</f>
        <v>1</v>
      </c>
      <c r="M589" s="4">
        <f>IF($A589=M$586,"",COUNTIF($E$4:$E$582,$A589&amp;" ضد "&amp;M$586)+COUNTIF($E$4:$E$582,M$586&amp;" ضد "&amp;$A589))</f>
        <v>2</v>
      </c>
      <c r="N589" s="4">
        <f>IF($A589=N$586,"",COUNTIF($E$4:$E$582,$A589&amp;" ضد "&amp;N$586)+COUNTIF($E$4:$E$582,N$586&amp;" ضد "&amp;$A589))</f>
        <v>1</v>
      </c>
      <c r="O589" s="4">
        <f>IF($A589=O$586,"",COUNTIF($E$4:$E$582,$A589&amp;" ضد "&amp;O$586)+COUNTIF($E$4:$E$582,O$586&amp;" ضد "&amp;$A589))</f>
        <v>2</v>
      </c>
      <c r="P589" s="4">
        <f>IF($A589=P$586,"",COUNTIF($E$4:$E$582,$A589&amp;" ضد "&amp;P$586)+COUNTIF($E$4:$E$582,P$586&amp;" ضد "&amp;$A589))</f>
        <v>1</v>
      </c>
      <c r="Q589" s="4">
        <f>IF($A589=Q$586,"",COUNTIF($E$4:$E$582,$A589&amp;" ضد "&amp;Q$586)+COUNTIF($E$4:$E$582,Q$586&amp;" ضد "&amp;$A589))</f>
        <v>1</v>
      </c>
      <c r="R589" s="4">
        <f>IF($A589=R$586,"",COUNTIF($E$4:$E$582,$A589&amp;" ضد "&amp;R$586)+COUNTIF($E$4:$E$582,R$586&amp;" ضد "&amp;$A589))</f>
        <v>0</v>
      </c>
      <c r="S589" s="4">
        <f>IF($A589=S$586,"",COUNTIF($E$4:$E$582,$A589&amp;" ضد "&amp;S$586)+COUNTIF($E$4:$E$582,S$586&amp;" ضد "&amp;$A589))</f>
        <v>0</v>
      </c>
      <c r="T589" s="4">
        <f>IF($A589=T$586,"",COUNTIF($E$4:$E$582,$A589&amp;" ضد "&amp;T$586)+COUNTIF($E$4:$E$582,T$586&amp;" ضد "&amp;$A589))</f>
        <v>0</v>
      </c>
      <c r="U589" s="4">
        <f>IF($A589=U$586,"",COUNTIF($E$4:$E$582,$A589&amp;" ضد "&amp;U$586)+COUNTIF($E$4:$E$582,U$586&amp;" ضد "&amp;$A589))</f>
        <v>0</v>
      </c>
      <c r="V589" s="4">
        <f>IF($A589=V$586,"",COUNTIF($E$4:$E$582,$A589&amp;" ضد "&amp;V$586)+COUNTIF($E$4:$E$582,V$586&amp;" ضد "&amp;$A589))</f>
        <v>0</v>
      </c>
      <c r="W589" s="4">
        <f>IF($A589=W$586,"",COUNTIF($E$4:$E$582,$A589&amp;" ضد "&amp;W$586)+COUNTIF($E$4:$E$582,W$586&amp;" ضد "&amp;$A589))</f>
        <v>0</v>
      </c>
      <c r="X589" s="4">
        <f>IF($A589=X$586,"",COUNTIF($E$4:$E$582,$A589&amp;" ضد "&amp;X$586)+COUNTIF($E$4:$E$582,X$586&amp;" ضد "&amp;$A589))</f>
        <v>0</v>
      </c>
      <c r="Y589" s="4">
        <f>IF($A589=Y$586,"",COUNTIF($E$4:$E$582,$A589&amp;" ضد "&amp;Y$586)+COUNTIF($E$4:$E$582,Y$586&amp;" ضد "&amp;$A589))</f>
        <v>0</v>
      </c>
      <c r="Z589" s="4">
        <f>IF($A589=Z$586,"",COUNTIF($E$4:$E$582,$A589&amp;" ضد "&amp;Z$586)+COUNTIF($E$4:$E$582,Z$586&amp;" ضد "&amp;$A589))</f>
        <v>0</v>
      </c>
      <c r="AA589" s="4">
        <f>IF($A589=AA$586,"",COUNTIF($E$4:$E$582,$A589&amp;" ضد "&amp;AA$586)+COUNTIF($E$4:$E$582,AA$586&amp;" ضد "&amp;$A589))</f>
        <v>0</v>
      </c>
      <c r="AB589" s="4">
        <f>IF($A589=AB$586,"",COUNTIF($E$4:$E$582,$A589&amp;" ضد "&amp;AB$586)+COUNTIF($E$4:$E$582,AB$586&amp;" ضد "&amp;$A589))</f>
        <v>0</v>
      </c>
      <c r="AC589" s="4">
        <f>IF($A589=AC$586,"",COUNTIF($E$4:$E$582,$A589&amp;" ضد "&amp;AC$586)+COUNTIF($E$4:$E$582,AC$586&amp;" ضد "&amp;$A589))</f>
        <v>0</v>
      </c>
      <c r="AD589" s="4">
        <f>IF($A589=AD$586,"",COUNTIF($E$4:$E$582,$A589&amp;" ضد "&amp;AD$586)+COUNTIF($E$4:$E$582,AD$586&amp;" ضد "&amp;$A589))</f>
        <v>0</v>
      </c>
      <c r="AE589" s="4">
        <f>IF($A589=AE$586,"",COUNTIF($E$4:$E$582,$A589&amp;" ضد "&amp;AE$586)+COUNTIF($E$4:$E$582,AE$586&amp;" ضد "&amp;$A589))</f>
        <v>0</v>
      </c>
      <c r="AF589" s="4">
        <f>IF($A589=AF$586,"",COUNTIF($E$4:$E$582,$A589&amp;" ضد "&amp;AF$586)+COUNTIF($E$4:$E$582,AF$586&amp;" ضد "&amp;$A589))</f>
        <v>0</v>
      </c>
      <c r="AG589" s="4">
        <f>IF($A589=AG$586,"",COUNTIF($E$4:$E$582,$A589&amp;" ضد "&amp;AG$586)+COUNTIF($E$4:$E$582,AG$586&amp;" ضد "&amp;$A589))</f>
        <v>0</v>
      </c>
      <c r="AH589" s="4">
        <f>IF($A589=AH$586,"",COUNTIF($E$4:$E$582,$A589&amp;" ضد "&amp;AH$586)+COUNTIF($E$4:$E$582,AH$586&amp;" ضد "&amp;$A589))</f>
        <v>0</v>
      </c>
      <c r="AI589" s="4">
        <f>IF($A589=AI$586,"",COUNTIF($E$4:$E$582,$A589&amp;" ضد "&amp;AI$586)+COUNTIF($E$4:$E$582,AI$586&amp;" ضد "&amp;$A589))</f>
        <v>0</v>
      </c>
      <c r="AJ589" s="4">
        <f>IF($A589=AJ$586,"",COUNTIF($E$4:$E$582,$A589&amp;" ضد "&amp;AJ$586)+COUNTIF($E$4:$E$582,AJ$586&amp;" ضد "&amp;$A589))</f>
        <v>0</v>
      </c>
      <c r="AK589" s="4">
        <f>IF($A589=AK$586,"",COUNTIF($E$4:$E$582,$A589&amp;" ضد "&amp;AK$586)+COUNTIF($E$4:$E$582,AK$586&amp;" ضد "&amp;$A589))</f>
        <v>0</v>
      </c>
      <c r="AL589" s="4">
        <f>IF($A589=AL$586,"",COUNTIF($E$4:$E$582,$A589&amp;" ضد "&amp;AL$586)+COUNTIF($E$4:$E$582,AL$586&amp;" ضد "&amp;$A589))</f>
        <v>0</v>
      </c>
      <c r="AM589" s="4">
        <f>IF($A589=AM$586,"",COUNTIF($E$4:$E$582,$A589&amp;" ضد "&amp;AM$586)+COUNTIF($E$4:$E$582,AM$586&amp;" ضد "&amp;$A589))</f>
        <v>0</v>
      </c>
      <c r="AN589" s="4">
        <f>IF($A589=AN$586,"",COUNTIF($E$4:$E$582,$A589&amp;" ضد "&amp;AN$586)+COUNTIF($E$4:$E$582,AN$586&amp;" ضد "&amp;$A589))</f>
        <v>0</v>
      </c>
      <c r="AO589" s="4">
        <f>IF($A589=AO$586,"",COUNTIF($E$4:$E$582,$A589&amp;" ضد "&amp;AO$586)+COUNTIF($E$4:$E$582,AO$586&amp;" ضد "&amp;$A589))</f>
        <v>0</v>
      </c>
      <c r="AP589" s="4">
        <f>IF($A589=AP$586,"",COUNTIF($E$4:$E$582,$A589&amp;" ضد "&amp;AP$586)+COUNTIF($E$4:$E$582,AP$586&amp;" ضد "&amp;$A589))</f>
        <v>0</v>
      </c>
      <c r="AQ589" s="4">
        <f>IF($A589=AQ$586,"",COUNTIF($E$4:$E$582,$A589&amp;" ضد "&amp;AQ$586)+COUNTIF($E$4:$E$582,AQ$586&amp;" ضد "&amp;$A589))</f>
        <v>0</v>
      </c>
      <c r="AR589" s="4">
        <f>IF($A589=AR$586,"",COUNTIF($E$4:$E$582,$A589&amp;" ضد "&amp;AR$586)+COUNTIF($E$4:$E$582,AR$586&amp;" ضد "&amp;$A589))</f>
        <v>0</v>
      </c>
      <c r="AS589" s="4">
        <f>IF($A589=AS$586,"",COUNTIF($E$4:$E$582,$A589&amp;" ضد "&amp;AS$586)+COUNTIF($E$4:$E$582,AS$586&amp;" ضد "&amp;$A589))</f>
        <v>0</v>
      </c>
      <c r="AT589" s="4">
        <f>IF($A589=AT$586,"",COUNTIF($E$4:$E$582,$A589&amp;" ضد "&amp;AT$586)+COUNTIF($E$4:$E$582,AT$586&amp;" ضد "&amp;$A589))</f>
        <v>0</v>
      </c>
      <c r="AU589" s="4">
        <f>IF($A589=AU$586,"",COUNTIF($E$4:$E$582,$A589&amp;" ضد "&amp;AU$586)+COUNTIF($E$4:$E$582,AU$586&amp;" ضد "&amp;$A589))</f>
        <v>0</v>
      </c>
      <c r="AV589" s="4">
        <f>IF($A589=AV$586,"",COUNTIF($E$4:$E$582,$A589&amp;" ضد "&amp;AV$586)+COUNTIF($E$4:$E$582,AV$586&amp;" ضد "&amp;$A589))</f>
        <v>0</v>
      </c>
      <c r="AW589" s="4">
        <f>IF($A589=AW$586,"",COUNTIF($E$4:$E$582,$A589&amp;" ضد "&amp;AW$586)+COUNTIF($E$4:$E$582,AW$586&amp;" ضد "&amp;$A589))</f>
        <v>0</v>
      </c>
      <c r="AX589" s="4">
        <f>IF($A589=AX$586,"",COUNTIF($E$4:$E$582,$A589&amp;" ضد "&amp;AX$586)+COUNTIF($E$4:$E$582,AX$586&amp;" ضد "&amp;$A589))</f>
        <v>0</v>
      </c>
      <c r="AY589" s="4">
        <f>IF($A589=AY$586,"",COUNTIF($E$4:$E$582,$A589&amp;" ضد "&amp;AY$586)+COUNTIF($E$4:$E$582,AY$586&amp;" ضد "&amp;$A589))</f>
        <v>0</v>
      </c>
      <c r="AZ589" s="4">
        <f>IF($A589=AZ$586,"",COUNTIF($E$4:$E$582,$A589&amp;" ضد "&amp;AZ$586)+COUNTIF($E$4:$E$582,AZ$586&amp;" ضد "&amp;$A589))</f>
        <v>0</v>
      </c>
      <c r="BA589" s="4">
        <f>IF($A589=BA$586,"",COUNTIF($E$4:$E$582,$A589&amp;" ضد "&amp;BA$586)+COUNTIF($E$4:$E$582,BA$586&amp;" ضد "&amp;$A589))</f>
        <v>0</v>
      </c>
      <c r="BB589" s="4">
        <f>IF($A589=BB$586,"",COUNTIF($E$4:$E$582,$A589&amp;" ضد "&amp;BB$586)+COUNTIF($E$4:$E$582,BB$586&amp;" ضد "&amp;$A589))</f>
        <v>0</v>
      </c>
      <c r="BC589" s="4">
        <f>IF($A589=BC$586,"",COUNTIF($E$4:$E$582,$A589&amp;" ضد "&amp;BC$586)+COUNTIF($E$4:$E$582,BC$586&amp;" ضد "&amp;$A589))</f>
        <v>0</v>
      </c>
      <c r="BD589" s="4">
        <f>IF($A589=BD$586,"",COUNTIF($E$4:$E$582,$A589&amp;" ضد "&amp;BD$586)+COUNTIF($E$4:$E$582,BD$586&amp;" ضد "&amp;$A589))</f>
        <v>0</v>
      </c>
      <c r="BE589" s="4">
        <f>IF($A589=BE$586,"",COUNTIF($E$4:$E$582,$A589&amp;" ضد "&amp;BE$586)+COUNTIF($E$4:$E$582,BE$586&amp;" ضد "&amp;$A589))</f>
        <v>0</v>
      </c>
      <c r="BF589" s="4">
        <f>IF($A589=BF$586,"",COUNTIF($E$4:$E$582,$A589&amp;" ضد "&amp;BF$586)+COUNTIF($E$4:$E$582,BF$586&amp;" ضد "&amp;$A589))</f>
        <v>0</v>
      </c>
      <c r="BG589" s="4">
        <f>IF($A589=BG$586,"",COUNTIF($E$4:$E$582,$A589&amp;" ضد "&amp;BG$586)+COUNTIF($E$4:$E$582,BG$586&amp;" ضد "&amp;$A589))</f>
        <v>0</v>
      </c>
      <c r="BH589" s="4">
        <f>IF($A589=BH$586,"",COUNTIF($E$4:$E$582,$A589&amp;" ضد "&amp;BH$586)+COUNTIF($E$4:$E$582,BH$586&amp;" ضد "&amp;$A589))</f>
        <v>0</v>
      </c>
      <c r="BI589" s="4">
        <f>IF($A589=BI$586,"",COUNTIF($E$4:$E$582,$A589&amp;" ضد "&amp;BI$586)+COUNTIF($E$4:$E$582,BI$586&amp;" ضد "&amp;$A589))</f>
        <v>0</v>
      </c>
      <c r="BJ589" s="4">
        <f>IF($A589=BJ$586,"",COUNTIF($E$4:$E$582,$A589&amp;" ضد "&amp;BJ$586)+COUNTIF($E$4:$E$582,BJ$586&amp;" ضد "&amp;$A589))</f>
        <v>0</v>
      </c>
      <c r="BK589" s="4">
        <f>IF($A589=BK$586,"",COUNTIF($E$4:$E$582,$A589&amp;" ضد "&amp;BK$586)+COUNTIF($E$4:$E$582,BK$586&amp;" ضد "&amp;$A589))</f>
        <v>0</v>
      </c>
      <c r="BL589" s="4">
        <f>IF($A589=BL$586,"",COUNTIF($E$4:$E$582,$A589&amp;" ضد "&amp;BL$586)+COUNTIF($E$4:$E$582,BL$586&amp;" ضد "&amp;$A589))</f>
        <v>0</v>
      </c>
      <c r="BM589" s="4">
        <f>IF($A589=BM$586,"",COUNTIF($E$4:$E$582,$A589&amp;" ضد "&amp;BM$586)+COUNTIF($E$4:$E$582,BM$586&amp;" ضد "&amp;$A589))</f>
        <v>0</v>
      </c>
    </row>
    <row r="590" spans="1:65" ht="14.5">
      <c r="A590" s="14">
        <v>4</v>
      </c>
      <c r="B590" s="4">
        <f>IF($A590=B$586,"",COUNTIF($E$4:$E$582,$A590&amp;" ضد "&amp;B$586)+COUNTIF($E$4:$E$582,B$586&amp;" ضد "&amp;$A590))</f>
        <v>1</v>
      </c>
      <c r="C590" s="4">
        <f>IF($A590=C$586,"",COUNTIF($E$4:$E$582,$A590&amp;" ضد "&amp;C$586)+COUNTIF($E$4:$E$582,C$586&amp;" ضد "&amp;$A590))</f>
        <v>1</v>
      </c>
      <c r="D590" s="4">
        <f>IF($A590=D$586,"",COUNTIF($E$4:$E$582,$A590&amp;" ضد "&amp;D$586)+COUNTIF($E$4:$E$582,D$586&amp;" ضد "&amp;$A590))</f>
        <v>1</v>
      </c>
      <c r="E590" s="4" t="str">
        <f>IF($A590=E$586,"",COUNTIF($E$4:$E$582,$A590&amp;" ضد "&amp;E$586)+COUNTIF($E$4:$E$582,E$586&amp;" ضد "&amp;$A590))</f>
        <v/>
      </c>
      <c r="F590" s="4">
        <f>IF($A590=F$586,"",COUNTIF($E$4:$E$582,$A590&amp;" ضد "&amp;F$586)+COUNTIF($E$4:$E$582,F$586&amp;" ضد "&amp;$A590))</f>
        <v>1</v>
      </c>
      <c r="G590" s="4">
        <f>IF($A590=G$586,"",COUNTIF($E$4:$E$582,$A590&amp;" ضد "&amp;G$586)+COUNTIF($E$4:$E$582,G$586&amp;" ضد "&amp;$A590))</f>
        <v>1</v>
      </c>
      <c r="H590" s="4">
        <f>IF($A590=H$586,"",COUNTIF($E$4:$E$582,$A590&amp;" ضد "&amp;H$586)+COUNTIF($E$4:$E$582,H$586&amp;" ضد "&amp;$A590))</f>
        <v>1</v>
      </c>
      <c r="I590" s="4">
        <f>IF($A590=I$586,"",COUNTIF($E$4:$E$582,$A590&amp;" ضد "&amp;I$586)+COUNTIF($E$4:$E$582,I$586&amp;" ضد "&amp;$A590))</f>
        <v>1</v>
      </c>
      <c r="J590" s="4">
        <f>IF($A590=J$586,"",COUNTIF($E$4:$E$582,$A590&amp;" ضد "&amp;J$586)+COUNTIF($E$4:$E$582,J$586&amp;" ضد "&amp;$A590))</f>
        <v>2</v>
      </c>
      <c r="K590" s="4">
        <f>IF($A590=K$586,"",COUNTIF($E$4:$E$582,$A590&amp;" ضد "&amp;K$586)+COUNTIF($E$4:$E$582,K$586&amp;" ضد "&amp;$A590))</f>
        <v>1</v>
      </c>
      <c r="L590" s="4">
        <f>IF($A590=L$586,"",COUNTIF($E$4:$E$582,$A590&amp;" ضد "&amp;L$586)+COUNTIF($E$4:$E$582,L$586&amp;" ضد "&amp;$A590))</f>
        <v>2</v>
      </c>
      <c r="M590" s="4">
        <f>IF($A590=M$586,"",COUNTIF($E$4:$E$582,$A590&amp;" ضد "&amp;M$586)+COUNTIF($E$4:$E$582,M$586&amp;" ضد "&amp;$A590))</f>
        <v>1</v>
      </c>
      <c r="N590" s="4">
        <f>IF($A590=N$586,"",COUNTIF($E$4:$E$582,$A590&amp;" ضد "&amp;N$586)+COUNTIF($E$4:$E$582,N$586&amp;" ضد "&amp;$A590))</f>
        <v>2</v>
      </c>
      <c r="O590" s="4">
        <f>IF($A590=O$586,"",COUNTIF($E$4:$E$582,$A590&amp;" ضد "&amp;O$586)+COUNTIF($E$4:$E$582,O$586&amp;" ضد "&amp;$A590))</f>
        <v>1</v>
      </c>
      <c r="P590" s="4">
        <f>IF($A590=P$586,"",COUNTIF($E$4:$E$582,$A590&amp;" ضد "&amp;P$586)+COUNTIF($E$4:$E$582,P$586&amp;" ضد "&amp;$A590))</f>
        <v>1</v>
      </c>
      <c r="Q590" s="4">
        <f>IF($A590=Q$586,"",COUNTIF($E$4:$E$582,$A590&amp;" ضد "&amp;Q$586)+COUNTIF($E$4:$E$582,Q$586&amp;" ضد "&amp;$A590))</f>
        <v>1</v>
      </c>
      <c r="R590" s="4">
        <f>IF($A590=R$586,"",COUNTIF($E$4:$E$582,$A590&amp;" ضد "&amp;R$586)+COUNTIF($E$4:$E$582,R$586&amp;" ضد "&amp;$A590))</f>
        <v>0</v>
      </c>
      <c r="S590" s="4">
        <f>IF($A590=S$586,"",COUNTIF($E$4:$E$582,$A590&amp;" ضد "&amp;S$586)+COUNTIF($E$4:$E$582,S$586&amp;" ضد "&amp;$A590))</f>
        <v>0</v>
      </c>
      <c r="T590" s="4">
        <f>IF($A590=T$586,"",COUNTIF($E$4:$E$582,$A590&amp;" ضد "&amp;T$586)+COUNTIF($E$4:$E$582,T$586&amp;" ضد "&amp;$A590))</f>
        <v>0</v>
      </c>
      <c r="U590" s="4">
        <f>IF($A590=U$586,"",COUNTIF($E$4:$E$582,$A590&amp;" ضد "&amp;U$586)+COUNTIF($E$4:$E$582,U$586&amp;" ضد "&amp;$A590))</f>
        <v>0</v>
      </c>
      <c r="V590" s="4">
        <f>IF($A590=V$586,"",COUNTIF($E$4:$E$582,$A590&amp;" ضد "&amp;V$586)+COUNTIF($E$4:$E$582,V$586&amp;" ضد "&amp;$A590))</f>
        <v>0</v>
      </c>
      <c r="W590" s="4">
        <f>IF($A590=W$586,"",COUNTIF($E$4:$E$582,$A590&amp;" ضد "&amp;W$586)+COUNTIF($E$4:$E$582,W$586&amp;" ضد "&amp;$A590))</f>
        <v>0</v>
      </c>
      <c r="X590" s="4">
        <f>IF($A590=X$586,"",COUNTIF($E$4:$E$582,$A590&amp;" ضد "&amp;X$586)+COUNTIF($E$4:$E$582,X$586&amp;" ضد "&amp;$A590))</f>
        <v>0</v>
      </c>
      <c r="Y590" s="4">
        <f>IF($A590=Y$586,"",COUNTIF($E$4:$E$582,$A590&amp;" ضد "&amp;Y$586)+COUNTIF($E$4:$E$582,Y$586&amp;" ضد "&amp;$A590))</f>
        <v>0</v>
      </c>
      <c r="Z590" s="4">
        <f>IF($A590=Z$586,"",COUNTIF($E$4:$E$582,$A590&amp;" ضد "&amp;Z$586)+COUNTIF($E$4:$E$582,Z$586&amp;" ضد "&amp;$A590))</f>
        <v>0</v>
      </c>
      <c r="AA590" s="4">
        <f>IF($A590=AA$586,"",COUNTIF($E$4:$E$582,$A590&amp;" ضد "&amp;AA$586)+COUNTIF($E$4:$E$582,AA$586&amp;" ضد "&amp;$A590))</f>
        <v>0</v>
      </c>
      <c r="AB590" s="4">
        <f>IF($A590=AB$586,"",COUNTIF($E$4:$E$582,$A590&amp;" ضد "&amp;AB$586)+COUNTIF($E$4:$E$582,AB$586&amp;" ضد "&amp;$A590))</f>
        <v>0</v>
      </c>
      <c r="AC590" s="4">
        <f>IF($A590=AC$586,"",COUNTIF($E$4:$E$582,$A590&amp;" ضد "&amp;AC$586)+COUNTIF($E$4:$E$582,AC$586&amp;" ضد "&amp;$A590))</f>
        <v>0</v>
      </c>
      <c r="AD590" s="4">
        <f>IF($A590=AD$586,"",COUNTIF($E$4:$E$582,$A590&amp;" ضد "&amp;AD$586)+COUNTIF($E$4:$E$582,AD$586&amp;" ضد "&amp;$A590))</f>
        <v>0</v>
      </c>
      <c r="AE590" s="4">
        <f>IF($A590=AE$586,"",COUNTIF($E$4:$E$582,$A590&amp;" ضد "&amp;AE$586)+COUNTIF($E$4:$E$582,AE$586&amp;" ضد "&amp;$A590))</f>
        <v>0</v>
      </c>
      <c r="AF590" s="4">
        <f>IF($A590=AF$586,"",COUNTIF($E$4:$E$582,$A590&amp;" ضد "&amp;AF$586)+COUNTIF($E$4:$E$582,AF$586&amp;" ضد "&amp;$A590))</f>
        <v>0</v>
      </c>
      <c r="AG590" s="4">
        <f>IF($A590=AG$586,"",COUNTIF($E$4:$E$582,$A590&amp;" ضد "&amp;AG$586)+COUNTIF($E$4:$E$582,AG$586&amp;" ضد "&amp;$A590))</f>
        <v>0</v>
      </c>
      <c r="AH590" s="4">
        <f>IF($A590=AH$586,"",COUNTIF($E$4:$E$582,$A590&amp;" ضد "&amp;AH$586)+COUNTIF($E$4:$E$582,AH$586&amp;" ضد "&amp;$A590))</f>
        <v>0</v>
      </c>
      <c r="AI590" s="4">
        <f>IF($A590=AI$586,"",COUNTIF($E$4:$E$582,$A590&amp;" ضد "&amp;AI$586)+COUNTIF($E$4:$E$582,AI$586&amp;" ضد "&amp;$A590))</f>
        <v>0</v>
      </c>
      <c r="AJ590" s="4">
        <f>IF($A590=AJ$586,"",COUNTIF($E$4:$E$582,$A590&amp;" ضد "&amp;AJ$586)+COUNTIF($E$4:$E$582,AJ$586&amp;" ضد "&amp;$A590))</f>
        <v>0</v>
      </c>
      <c r="AK590" s="4">
        <f>IF($A590=AK$586,"",COUNTIF($E$4:$E$582,$A590&amp;" ضد "&amp;AK$586)+COUNTIF($E$4:$E$582,AK$586&amp;" ضد "&amp;$A590))</f>
        <v>0</v>
      </c>
      <c r="AL590" s="4">
        <f>IF($A590=AL$586,"",COUNTIF($E$4:$E$582,$A590&amp;" ضد "&amp;AL$586)+COUNTIF($E$4:$E$582,AL$586&amp;" ضد "&amp;$A590))</f>
        <v>0</v>
      </c>
      <c r="AM590" s="4">
        <f>IF($A590=AM$586,"",COUNTIF($E$4:$E$582,$A590&amp;" ضد "&amp;AM$586)+COUNTIF($E$4:$E$582,AM$586&amp;" ضد "&amp;$A590))</f>
        <v>0</v>
      </c>
      <c r="AN590" s="4">
        <f>IF($A590=AN$586,"",COUNTIF($E$4:$E$582,$A590&amp;" ضد "&amp;AN$586)+COUNTIF($E$4:$E$582,AN$586&amp;" ضد "&amp;$A590))</f>
        <v>0</v>
      </c>
      <c r="AO590" s="4">
        <f>IF($A590=AO$586,"",COUNTIF($E$4:$E$582,$A590&amp;" ضد "&amp;AO$586)+COUNTIF($E$4:$E$582,AO$586&amp;" ضد "&amp;$A590))</f>
        <v>0</v>
      </c>
      <c r="AP590" s="4">
        <f>IF($A590=AP$586,"",COUNTIF($E$4:$E$582,$A590&amp;" ضد "&amp;AP$586)+COUNTIF($E$4:$E$582,AP$586&amp;" ضد "&amp;$A590))</f>
        <v>0</v>
      </c>
      <c r="AQ590" s="4">
        <f>IF($A590=AQ$586,"",COUNTIF($E$4:$E$582,$A590&amp;" ضد "&amp;AQ$586)+COUNTIF($E$4:$E$582,AQ$586&amp;" ضد "&amp;$A590))</f>
        <v>0</v>
      </c>
      <c r="AR590" s="4">
        <f>IF($A590=AR$586,"",COUNTIF($E$4:$E$582,$A590&amp;" ضد "&amp;AR$586)+COUNTIF($E$4:$E$582,AR$586&amp;" ضد "&amp;$A590))</f>
        <v>0</v>
      </c>
      <c r="AS590" s="4">
        <f>IF($A590=AS$586,"",COUNTIF($E$4:$E$582,$A590&amp;" ضد "&amp;AS$586)+COUNTIF($E$4:$E$582,AS$586&amp;" ضد "&amp;$A590))</f>
        <v>0</v>
      </c>
      <c r="AT590" s="4">
        <f>IF($A590=AT$586,"",COUNTIF($E$4:$E$582,$A590&amp;" ضد "&amp;AT$586)+COUNTIF($E$4:$E$582,AT$586&amp;" ضد "&amp;$A590))</f>
        <v>0</v>
      </c>
      <c r="AU590" s="4">
        <f>IF($A590=AU$586,"",COUNTIF($E$4:$E$582,$A590&amp;" ضد "&amp;AU$586)+COUNTIF($E$4:$E$582,AU$586&amp;" ضد "&amp;$A590))</f>
        <v>0</v>
      </c>
      <c r="AV590" s="4">
        <f>IF($A590=AV$586,"",COUNTIF($E$4:$E$582,$A590&amp;" ضد "&amp;AV$586)+COUNTIF($E$4:$E$582,AV$586&amp;" ضد "&amp;$A590))</f>
        <v>0</v>
      </c>
      <c r="AW590" s="4">
        <f>IF($A590=AW$586,"",COUNTIF($E$4:$E$582,$A590&amp;" ضد "&amp;AW$586)+COUNTIF($E$4:$E$582,AW$586&amp;" ضد "&amp;$A590))</f>
        <v>0</v>
      </c>
      <c r="AX590" s="4">
        <f>IF($A590=AX$586,"",COUNTIF($E$4:$E$582,$A590&amp;" ضد "&amp;AX$586)+COUNTIF($E$4:$E$582,AX$586&amp;" ضد "&amp;$A590))</f>
        <v>0</v>
      </c>
      <c r="AY590" s="4">
        <f>IF($A590=AY$586,"",COUNTIF($E$4:$E$582,$A590&amp;" ضد "&amp;AY$586)+COUNTIF($E$4:$E$582,AY$586&amp;" ضد "&amp;$A590))</f>
        <v>0</v>
      </c>
      <c r="AZ590" s="4">
        <f>IF($A590=AZ$586,"",COUNTIF($E$4:$E$582,$A590&amp;" ضد "&amp;AZ$586)+COUNTIF($E$4:$E$582,AZ$586&amp;" ضد "&amp;$A590))</f>
        <v>0</v>
      </c>
      <c r="BA590" s="4">
        <f>IF($A590=BA$586,"",COUNTIF($E$4:$E$582,$A590&amp;" ضد "&amp;BA$586)+COUNTIF($E$4:$E$582,BA$586&amp;" ضد "&amp;$A590))</f>
        <v>0</v>
      </c>
      <c r="BB590" s="4">
        <f>IF($A590=BB$586,"",COUNTIF($E$4:$E$582,$A590&amp;" ضد "&amp;BB$586)+COUNTIF($E$4:$E$582,BB$586&amp;" ضد "&amp;$A590))</f>
        <v>0</v>
      </c>
      <c r="BC590" s="4">
        <f>IF($A590=BC$586,"",COUNTIF($E$4:$E$582,$A590&amp;" ضد "&amp;BC$586)+COUNTIF($E$4:$E$582,BC$586&amp;" ضد "&amp;$A590))</f>
        <v>0</v>
      </c>
      <c r="BD590" s="4">
        <f>IF($A590=BD$586,"",COUNTIF($E$4:$E$582,$A590&amp;" ضد "&amp;BD$586)+COUNTIF($E$4:$E$582,BD$586&amp;" ضد "&amp;$A590))</f>
        <v>0</v>
      </c>
      <c r="BE590" s="4">
        <f>IF($A590=BE$586,"",COUNTIF($E$4:$E$582,$A590&amp;" ضد "&amp;BE$586)+COUNTIF($E$4:$E$582,BE$586&amp;" ضد "&amp;$A590))</f>
        <v>0</v>
      </c>
      <c r="BF590" s="4">
        <f>IF($A590=BF$586,"",COUNTIF($E$4:$E$582,$A590&amp;" ضد "&amp;BF$586)+COUNTIF($E$4:$E$582,BF$586&amp;" ضد "&amp;$A590))</f>
        <v>0</v>
      </c>
      <c r="BG590" s="4">
        <f>IF($A590=BG$586,"",COUNTIF($E$4:$E$582,$A590&amp;" ضد "&amp;BG$586)+COUNTIF($E$4:$E$582,BG$586&amp;" ضد "&amp;$A590))</f>
        <v>0</v>
      </c>
      <c r="BH590" s="4">
        <f>IF($A590=BH$586,"",COUNTIF($E$4:$E$582,$A590&amp;" ضد "&amp;BH$586)+COUNTIF($E$4:$E$582,BH$586&amp;" ضد "&amp;$A590))</f>
        <v>0</v>
      </c>
      <c r="BI590" s="4">
        <f>IF($A590=BI$586,"",COUNTIF($E$4:$E$582,$A590&amp;" ضد "&amp;BI$586)+COUNTIF($E$4:$E$582,BI$586&amp;" ضد "&amp;$A590))</f>
        <v>0</v>
      </c>
      <c r="BJ590" s="4">
        <f>IF($A590=BJ$586,"",COUNTIF($E$4:$E$582,$A590&amp;" ضد "&amp;BJ$586)+COUNTIF($E$4:$E$582,BJ$586&amp;" ضد "&amp;$A590))</f>
        <v>0</v>
      </c>
      <c r="BK590" s="4">
        <f>IF($A590=BK$586,"",COUNTIF($E$4:$E$582,$A590&amp;" ضد "&amp;BK$586)+COUNTIF($E$4:$E$582,BK$586&amp;" ضد "&amp;$A590))</f>
        <v>0</v>
      </c>
      <c r="BL590" s="4">
        <f>IF($A590=BL$586,"",COUNTIF($E$4:$E$582,$A590&amp;" ضد "&amp;BL$586)+COUNTIF($E$4:$E$582,BL$586&amp;" ضد "&amp;$A590))</f>
        <v>0</v>
      </c>
      <c r="BM590" s="4">
        <f>IF($A590=BM$586,"",COUNTIF($E$4:$E$582,$A590&amp;" ضد "&amp;BM$586)+COUNTIF($E$4:$E$582,BM$586&amp;" ضد "&amp;$A590))</f>
        <v>0</v>
      </c>
    </row>
    <row r="591" spans="1:65" ht="14.5">
      <c r="A591" s="14">
        <v>5</v>
      </c>
      <c r="B591" s="4">
        <f>IF($A591=B$586,"",COUNTIF($E$4:$E$582,$A591&amp;" ضد "&amp;B$586)+COUNTIF($E$4:$E$582,B$586&amp;" ضد "&amp;$A591))</f>
        <v>1</v>
      </c>
      <c r="C591" s="4">
        <f>IF($A591=C$586,"",COUNTIF($E$4:$E$582,$A591&amp;" ضد "&amp;C$586)+COUNTIF($E$4:$E$582,C$586&amp;" ضد "&amp;$A591))</f>
        <v>1</v>
      </c>
      <c r="D591" s="4">
        <f>IF($A591=D$586,"",COUNTIF($E$4:$E$582,$A591&amp;" ضد "&amp;D$586)+COUNTIF($E$4:$E$582,D$586&amp;" ضد "&amp;$A591))</f>
        <v>1</v>
      </c>
      <c r="E591" s="4">
        <f>IF($A591=E$586,"",COUNTIF($E$4:$E$582,$A591&amp;" ضد "&amp;E$586)+COUNTIF($E$4:$E$582,E$586&amp;" ضد "&amp;$A591))</f>
        <v>1</v>
      </c>
      <c r="F591" s="4" t="str">
        <f>IF($A591=F$586,"",COUNTIF($E$4:$E$582,$A591&amp;" ضد "&amp;F$586)+COUNTIF($E$4:$E$582,F$586&amp;" ضد "&amp;$A591))</f>
        <v/>
      </c>
      <c r="G591" s="4">
        <f>IF($A591=G$586,"",COUNTIF($E$4:$E$582,$A591&amp;" ضد "&amp;G$586)+COUNTIF($E$4:$E$582,G$586&amp;" ضد "&amp;$A591))</f>
        <v>1</v>
      </c>
      <c r="H591" s="4">
        <f>IF($A591=H$586,"",COUNTIF($E$4:$E$582,$A591&amp;" ضد "&amp;H$586)+COUNTIF($E$4:$E$582,H$586&amp;" ضد "&amp;$A591))</f>
        <v>1</v>
      </c>
      <c r="I591" s="4">
        <f>IF($A591=I$586,"",COUNTIF($E$4:$E$582,$A591&amp;" ضد "&amp;I$586)+COUNTIF($E$4:$E$582,I$586&amp;" ضد "&amp;$A591))</f>
        <v>2</v>
      </c>
      <c r="J591" s="4">
        <f>IF($A591=J$586,"",COUNTIF($E$4:$E$582,$A591&amp;" ضد "&amp;J$586)+COUNTIF($E$4:$E$582,J$586&amp;" ضد "&amp;$A591))</f>
        <v>1</v>
      </c>
      <c r="K591" s="4">
        <f>IF($A591=K$586,"",COUNTIF($E$4:$E$582,$A591&amp;" ضد "&amp;K$586)+COUNTIF($E$4:$E$582,K$586&amp;" ضد "&amp;$A591))</f>
        <v>2</v>
      </c>
      <c r="L591" s="4">
        <f>IF($A591=L$586,"",COUNTIF($E$4:$E$582,$A591&amp;" ضد "&amp;L$586)+COUNTIF($E$4:$E$582,L$586&amp;" ضد "&amp;$A591))</f>
        <v>1</v>
      </c>
      <c r="M591" s="4">
        <f>IF($A591=M$586,"",COUNTIF($E$4:$E$582,$A591&amp;" ضد "&amp;M$586)+COUNTIF($E$4:$E$582,M$586&amp;" ضد "&amp;$A591))</f>
        <v>2</v>
      </c>
      <c r="N591" s="4">
        <f>IF($A591=N$586,"",COUNTIF($E$4:$E$582,$A591&amp;" ضد "&amp;N$586)+COUNTIF($E$4:$E$582,N$586&amp;" ضد "&amp;$A591))</f>
        <v>1</v>
      </c>
      <c r="O591" s="4">
        <f>IF($A591=O$586,"",COUNTIF($E$4:$E$582,$A591&amp;" ضد "&amp;O$586)+COUNTIF($E$4:$E$582,O$586&amp;" ضد "&amp;$A591))</f>
        <v>1</v>
      </c>
      <c r="P591" s="4">
        <f>IF($A591=P$586,"",COUNTIF($E$4:$E$582,$A591&amp;" ضد "&amp;P$586)+COUNTIF($E$4:$E$582,P$586&amp;" ضد "&amp;$A591))</f>
        <v>1</v>
      </c>
      <c r="Q591" s="4">
        <f>IF($A591=Q$586,"",COUNTIF($E$4:$E$582,$A591&amp;" ضد "&amp;Q$586)+COUNTIF($E$4:$E$582,Q$586&amp;" ضد "&amp;$A591))</f>
        <v>1</v>
      </c>
      <c r="R591" s="4">
        <f>IF($A591=R$586,"",COUNTIF($E$4:$E$582,$A591&amp;" ضد "&amp;R$586)+COUNTIF($E$4:$E$582,R$586&amp;" ضد "&amp;$A591))</f>
        <v>0</v>
      </c>
      <c r="S591" s="4">
        <f>IF($A591=S$586,"",COUNTIF($E$4:$E$582,$A591&amp;" ضد "&amp;S$586)+COUNTIF($E$4:$E$582,S$586&amp;" ضد "&amp;$A591))</f>
        <v>0</v>
      </c>
      <c r="T591" s="4">
        <f>IF($A591=T$586,"",COUNTIF($E$4:$E$582,$A591&amp;" ضد "&amp;T$586)+COUNTIF($E$4:$E$582,T$586&amp;" ضد "&amp;$A591))</f>
        <v>0</v>
      </c>
      <c r="U591" s="4">
        <f>IF($A591=U$586,"",COUNTIF($E$4:$E$582,$A591&amp;" ضد "&amp;U$586)+COUNTIF($E$4:$E$582,U$586&amp;" ضد "&amp;$A591))</f>
        <v>0</v>
      </c>
      <c r="V591" s="4">
        <f>IF($A591=V$586,"",COUNTIF($E$4:$E$582,$A591&amp;" ضد "&amp;V$586)+COUNTIF($E$4:$E$582,V$586&amp;" ضد "&amp;$A591))</f>
        <v>0</v>
      </c>
      <c r="W591" s="4">
        <f>IF($A591=W$586,"",COUNTIF($E$4:$E$582,$A591&amp;" ضد "&amp;W$586)+COUNTIF($E$4:$E$582,W$586&amp;" ضد "&amp;$A591))</f>
        <v>0</v>
      </c>
      <c r="X591" s="4">
        <f>IF($A591=X$586,"",COUNTIF($E$4:$E$582,$A591&amp;" ضد "&amp;X$586)+COUNTIF($E$4:$E$582,X$586&amp;" ضد "&amp;$A591))</f>
        <v>0</v>
      </c>
      <c r="Y591" s="4">
        <f>IF($A591=Y$586,"",COUNTIF($E$4:$E$582,$A591&amp;" ضد "&amp;Y$586)+COUNTIF($E$4:$E$582,Y$586&amp;" ضد "&amp;$A591))</f>
        <v>0</v>
      </c>
      <c r="Z591" s="4">
        <f>IF($A591=Z$586,"",COUNTIF($E$4:$E$582,$A591&amp;" ضد "&amp;Z$586)+COUNTIF($E$4:$E$582,Z$586&amp;" ضد "&amp;$A591))</f>
        <v>0</v>
      </c>
      <c r="AA591" s="4">
        <f>IF($A591=AA$586,"",COUNTIF($E$4:$E$582,$A591&amp;" ضد "&amp;AA$586)+COUNTIF($E$4:$E$582,AA$586&amp;" ضد "&amp;$A591))</f>
        <v>0</v>
      </c>
      <c r="AB591" s="4">
        <f>IF($A591=AB$586,"",COUNTIF($E$4:$E$582,$A591&amp;" ضد "&amp;AB$586)+COUNTIF($E$4:$E$582,AB$586&amp;" ضد "&amp;$A591))</f>
        <v>0</v>
      </c>
      <c r="AC591" s="4">
        <f>IF($A591=AC$586,"",COUNTIF($E$4:$E$582,$A591&amp;" ضد "&amp;AC$586)+COUNTIF($E$4:$E$582,AC$586&amp;" ضد "&amp;$A591))</f>
        <v>0</v>
      </c>
      <c r="AD591" s="4">
        <f>IF($A591=AD$586,"",COUNTIF($E$4:$E$582,$A591&amp;" ضد "&amp;AD$586)+COUNTIF($E$4:$E$582,AD$586&amp;" ضد "&amp;$A591))</f>
        <v>0</v>
      </c>
      <c r="AE591" s="4">
        <f>IF($A591=AE$586,"",COUNTIF($E$4:$E$582,$A591&amp;" ضد "&amp;AE$586)+COUNTIF($E$4:$E$582,AE$586&amp;" ضد "&amp;$A591))</f>
        <v>0</v>
      </c>
      <c r="AF591" s="4">
        <f>IF($A591=AF$586,"",COUNTIF($E$4:$E$582,$A591&amp;" ضد "&amp;AF$586)+COUNTIF($E$4:$E$582,AF$586&amp;" ضد "&amp;$A591))</f>
        <v>0</v>
      </c>
      <c r="AG591" s="4">
        <f>IF($A591=AG$586,"",COUNTIF($E$4:$E$582,$A591&amp;" ضد "&amp;AG$586)+COUNTIF($E$4:$E$582,AG$586&amp;" ضد "&amp;$A591))</f>
        <v>0</v>
      </c>
      <c r="AH591" s="4">
        <f>IF($A591=AH$586,"",COUNTIF($E$4:$E$582,$A591&amp;" ضد "&amp;AH$586)+COUNTIF($E$4:$E$582,AH$586&amp;" ضد "&amp;$A591))</f>
        <v>0</v>
      </c>
      <c r="AI591" s="4">
        <f>IF($A591=AI$586,"",COUNTIF($E$4:$E$582,$A591&amp;" ضد "&amp;AI$586)+COUNTIF($E$4:$E$582,AI$586&amp;" ضد "&amp;$A591))</f>
        <v>0</v>
      </c>
      <c r="AJ591" s="4">
        <f>IF($A591=AJ$586,"",COUNTIF($E$4:$E$582,$A591&amp;" ضد "&amp;AJ$586)+COUNTIF($E$4:$E$582,AJ$586&amp;" ضد "&amp;$A591))</f>
        <v>0</v>
      </c>
      <c r="AK591" s="4">
        <f>IF($A591=AK$586,"",COUNTIF($E$4:$E$582,$A591&amp;" ضد "&amp;AK$586)+COUNTIF($E$4:$E$582,AK$586&amp;" ضد "&amp;$A591))</f>
        <v>0</v>
      </c>
      <c r="AL591" s="4">
        <f>IF($A591=AL$586,"",COUNTIF($E$4:$E$582,$A591&amp;" ضد "&amp;AL$586)+COUNTIF($E$4:$E$582,AL$586&amp;" ضد "&amp;$A591))</f>
        <v>0</v>
      </c>
      <c r="AM591" s="4">
        <f>IF($A591=AM$586,"",COUNTIF($E$4:$E$582,$A591&amp;" ضد "&amp;AM$586)+COUNTIF($E$4:$E$582,AM$586&amp;" ضد "&amp;$A591))</f>
        <v>0</v>
      </c>
      <c r="AN591" s="4">
        <f>IF($A591=AN$586,"",COUNTIF($E$4:$E$582,$A591&amp;" ضد "&amp;AN$586)+COUNTIF($E$4:$E$582,AN$586&amp;" ضد "&amp;$A591))</f>
        <v>0</v>
      </c>
      <c r="AO591" s="4">
        <f>IF($A591=AO$586,"",COUNTIF($E$4:$E$582,$A591&amp;" ضد "&amp;AO$586)+COUNTIF($E$4:$E$582,AO$586&amp;" ضد "&amp;$A591))</f>
        <v>0</v>
      </c>
      <c r="AP591" s="4">
        <f>IF($A591=AP$586,"",COUNTIF($E$4:$E$582,$A591&amp;" ضد "&amp;AP$586)+COUNTIF($E$4:$E$582,AP$586&amp;" ضد "&amp;$A591))</f>
        <v>0</v>
      </c>
      <c r="AQ591" s="4">
        <f>IF($A591=AQ$586,"",COUNTIF($E$4:$E$582,$A591&amp;" ضد "&amp;AQ$586)+COUNTIF($E$4:$E$582,AQ$586&amp;" ضد "&amp;$A591))</f>
        <v>0</v>
      </c>
      <c r="AR591" s="4">
        <f>IF($A591=AR$586,"",COUNTIF($E$4:$E$582,$A591&amp;" ضد "&amp;AR$586)+COUNTIF($E$4:$E$582,AR$586&amp;" ضد "&amp;$A591))</f>
        <v>0</v>
      </c>
      <c r="AS591" s="4">
        <f>IF($A591=AS$586,"",COUNTIF($E$4:$E$582,$A591&amp;" ضد "&amp;AS$586)+COUNTIF($E$4:$E$582,AS$586&amp;" ضد "&amp;$A591))</f>
        <v>0</v>
      </c>
      <c r="AT591" s="4">
        <f>IF($A591=AT$586,"",COUNTIF($E$4:$E$582,$A591&amp;" ضد "&amp;AT$586)+COUNTIF($E$4:$E$582,AT$586&amp;" ضد "&amp;$A591))</f>
        <v>0</v>
      </c>
      <c r="AU591" s="4">
        <f>IF($A591=AU$586,"",COUNTIF($E$4:$E$582,$A591&amp;" ضد "&amp;AU$586)+COUNTIF($E$4:$E$582,AU$586&amp;" ضد "&amp;$A591))</f>
        <v>0</v>
      </c>
      <c r="AV591" s="4">
        <f>IF($A591=AV$586,"",COUNTIF($E$4:$E$582,$A591&amp;" ضد "&amp;AV$586)+COUNTIF($E$4:$E$582,AV$586&amp;" ضد "&amp;$A591))</f>
        <v>0</v>
      </c>
      <c r="AW591" s="4">
        <f>IF($A591=AW$586,"",COUNTIF($E$4:$E$582,$A591&amp;" ضد "&amp;AW$586)+COUNTIF($E$4:$E$582,AW$586&amp;" ضد "&amp;$A591))</f>
        <v>0</v>
      </c>
      <c r="AX591" s="4">
        <f>IF($A591=AX$586,"",COUNTIF($E$4:$E$582,$A591&amp;" ضد "&amp;AX$586)+COUNTIF($E$4:$E$582,AX$586&amp;" ضد "&amp;$A591))</f>
        <v>0</v>
      </c>
      <c r="AY591" s="4">
        <f>IF($A591=AY$586,"",COUNTIF($E$4:$E$582,$A591&amp;" ضد "&amp;AY$586)+COUNTIF($E$4:$E$582,AY$586&amp;" ضد "&amp;$A591))</f>
        <v>0</v>
      </c>
      <c r="AZ591" s="4">
        <f>IF($A591=AZ$586,"",COUNTIF($E$4:$E$582,$A591&amp;" ضد "&amp;AZ$586)+COUNTIF($E$4:$E$582,AZ$586&amp;" ضد "&amp;$A591))</f>
        <v>0</v>
      </c>
      <c r="BA591" s="4">
        <f>IF($A591=BA$586,"",COUNTIF($E$4:$E$582,$A591&amp;" ضد "&amp;BA$586)+COUNTIF($E$4:$E$582,BA$586&amp;" ضد "&amp;$A591))</f>
        <v>0</v>
      </c>
      <c r="BB591" s="4">
        <f>IF($A591=BB$586,"",COUNTIF($E$4:$E$582,$A591&amp;" ضد "&amp;BB$586)+COUNTIF($E$4:$E$582,BB$586&amp;" ضد "&amp;$A591))</f>
        <v>0</v>
      </c>
      <c r="BC591" s="4">
        <f>IF($A591=BC$586,"",COUNTIF($E$4:$E$582,$A591&amp;" ضد "&amp;BC$586)+COUNTIF($E$4:$E$582,BC$586&amp;" ضد "&amp;$A591))</f>
        <v>0</v>
      </c>
      <c r="BD591" s="4">
        <f>IF($A591=BD$586,"",COUNTIF($E$4:$E$582,$A591&amp;" ضد "&amp;BD$586)+COUNTIF($E$4:$E$582,BD$586&amp;" ضد "&amp;$A591))</f>
        <v>0</v>
      </c>
      <c r="BE591" s="4">
        <f>IF($A591=BE$586,"",COUNTIF($E$4:$E$582,$A591&amp;" ضد "&amp;BE$586)+COUNTIF($E$4:$E$582,BE$586&amp;" ضد "&amp;$A591))</f>
        <v>0</v>
      </c>
      <c r="BF591" s="4">
        <f>IF($A591=BF$586,"",COUNTIF($E$4:$E$582,$A591&amp;" ضد "&amp;BF$586)+COUNTIF($E$4:$E$582,BF$586&amp;" ضد "&amp;$A591))</f>
        <v>0</v>
      </c>
      <c r="BG591" s="4">
        <f>IF($A591=BG$586,"",COUNTIF($E$4:$E$582,$A591&amp;" ضد "&amp;BG$586)+COUNTIF($E$4:$E$582,BG$586&amp;" ضد "&amp;$A591))</f>
        <v>0</v>
      </c>
      <c r="BH591" s="4">
        <f>IF($A591=BH$586,"",COUNTIF($E$4:$E$582,$A591&amp;" ضد "&amp;BH$586)+COUNTIF($E$4:$E$582,BH$586&amp;" ضد "&amp;$A591))</f>
        <v>0</v>
      </c>
      <c r="BI591" s="4">
        <f>IF($A591=BI$586,"",COUNTIF($E$4:$E$582,$A591&amp;" ضد "&amp;BI$586)+COUNTIF($E$4:$E$582,BI$586&amp;" ضد "&amp;$A591))</f>
        <v>0</v>
      </c>
      <c r="BJ591" s="4">
        <f>IF($A591=BJ$586,"",COUNTIF($E$4:$E$582,$A591&amp;" ضد "&amp;BJ$586)+COUNTIF($E$4:$E$582,BJ$586&amp;" ضد "&amp;$A591))</f>
        <v>0</v>
      </c>
      <c r="BK591" s="4">
        <f>IF($A591=BK$586,"",COUNTIF($E$4:$E$582,$A591&amp;" ضد "&amp;BK$586)+COUNTIF($E$4:$E$582,BK$586&amp;" ضد "&amp;$A591))</f>
        <v>0</v>
      </c>
      <c r="BL591" s="4">
        <f>IF($A591=BL$586,"",COUNTIF($E$4:$E$582,$A591&amp;" ضد "&amp;BL$586)+COUNTIF($E$4:$E$582,BL$586&amp;" ضد "&amp;$A591))</f>
        <v>0</v>
      </c>
      <c r="BM591" s="4">
        <f>IF($A591=BM$586,"",COUNTIF($E$4:$E$582,$A591&amp;" ضد "&amp;BM$586)+COUNTIF($E$4:$E$582,BM$586&amp;" ضد "&amp;$A591))</f>
        <v>0</v>
      </c>
    </row>
    <row r="592" spans="1:65" ht="14.5">
      <c r="A592" s="14">
        <v>6</v>
      </c>
      <c r="B592" s="4">
        <f>IF($A592=B$586,"",COUNTIF($E$4:$E$582,$A592&amp;" ضد "&amp;B$586)+COUNTIF($E$4:$E$582,B$586&amp;" ضد "&amp;$A592))</f>
        <v>1</v>
      </c>
      <c r="C592" s="4">
        <f>IF($A592=C$586,"",COUNTIF($E$4:$E$582,$A592&amp;" ضد "&amp;C$586)+COUNTIF($E$4:$E$582,C$586&amp;" ضد "&amp;$A592))</f>
        <v>1</v>
      </c>
      <c r="D592" s="4">
        <f>IF($A592=D$586,"",COUNTIF($E$4:$E$582,$A592&amp;" ضد "&amp;D$586)+COUNTIF($E$4:$E$582,D$586&amp;" ضد "&amp;$A592))</f>
        <v>1</v>
      </c>
      <c r="E592" s="4">
        <f>IF($A592=E$586,"",COUNTIF($E$4:$E$582,$A592&amp;" ضد "&amp;E$586)+COUNTIF($E$4:$E$582,E$586&amp;" ضد "&amp;$A592))</f>
        <v>1</v>
      </c>
      <c r="F592" s="4">
        <f>IF($A592=F$586,"",COUNTIF($E$4:$E$582,$A592&amp;" ضد "&amp;F$586)+COUNTIF($E$4:$E$582,F$586&amp;" ضد "&amp;$A592))</f>
        <v>1</v>
      </c>
      <c r="G592" s="4" t="str">
        <f>IF($A592=G$586,"",COUNTIF($E$4:$E$582,$A592&amp;" ضد "&amp;G$586)+COUNTIF($E$4:$E$582,G$586&amp;" ضد "&amp;$A592))</f>
        <v/>
      </c>
      <c r="H592" s="4">
        <f>IF($A592=H$586,"",COUNTIF($E$4:$E$582,$A592&amp;" ضد "&amp;H$586)+COUNTIF($E$4:$E$582,H$586&amp;" ضد "&amp;$A592))</f>
        <v>2</v>
      </c>
      <c r="I592" s="4">
        <f>IF($A592=I$586,"",COUNTIF($E$4:$E$582,$A592&amp;" ضد "&amp;I$586)+COUNTIF($E$4:$E$582,I$586&amp;" ضد "&amp;$A592))</f>
        <v>1</v>
      </c>
      <c r="J592" s="4">
        <f>IF($A592=J$586,"",COUNTIF($E$4:$E$582,$A592&amp;" ضد "&amp;J$586)+COUNTIF($E$4:$E$582,J$586&amp;" ضد "&amp;$A592))</f>
        <v>2</v>
      </c>
      <c r="K592" s="4">
        <f>IF($A592=K$586,"",COUNTIF($E$4:$E$582,$A592&amp;" ضد "&amp;K$586)+COUNTIF($E$4:$E$582,K$586&amp;" ضد "&amp;$A592))</f>
        <v>1</v>
      </c>
      <c r="L592" s="4">
        <f>IF($A592=L$586,"",COUNTIF($E$4:$E$582,$A592&amp;" ضد "&amp;L$586)+COUNTIF($E$4:$E$582,L$586&amp;" ضد "&amp;$A592))</f>
        <v>2</v>
      </c>
      <c r="M592" s="4">
        <f>IF($A592=M$586,"",COUNTIF($E$4:$E$582,$A592&amp;" ضد "&amp;M$586)+COUNTIF($E$4:$E$582,M$586&amp;" ضد "&amp;$A592))</f>
        <v>1</v>
      </c>
      <c r="N592" s="4">
        <f>IF($A592=N$586,"",COUNTIF($E$4:$E$582,$A592&amp;" ضد "&amp;N$586)+COUNTIF($E$4:$E$582,N$586&amp;" ضد "&amp;$A592))</f>
        <v>1</v>
      </c>
      <c r="O592" s="4">
        <f>IF($A592=O$586,"",COUNTIF($E$4:$E$582,$A592&amp;" ضد "&amp;O$586)+COUNTIF($E$4:$E$582,O$586&amp;" ضد "&amp;$A592))</f>
        <v>1</v>
      </c>
      <c r="P592" s="4">
        <f>IF($A592=P$586,"",COUNTIF($E$4:$E$582,$A592&amp;" ضد "&amp;P$586)+COUNTIF($E$4:$E$582,P$586&amp;" ضد "&amp;$A592))</f>
        <v>1</v>
      </c>
      <c r="Q592" s="4">
        <f>IF($A592=Q$586,"",COUNTIF($E$4:$E$582,$A592&amp;" ضد "&amp;Q$586)+COUNTIF($E$4:$E$582,Q$586&amp;" ضد "&amp;$A592))</f>
        <v>1</v>
      </c>
      <c r="R592" s="4">
        <f>IF($A592=R$586,"",COUNTIF($E$4:$E$582,$A592&amp;" ضد "&amp;R$586)+COUNTIF($E$4:$E$582,R$586&amp;" ضد "&amp;$A592))</f>
        <v>0</v>
      </c>
      <c r="S592" s="4">
        <f>IF($A592=S$586,"",COUNTIF($E$4:$E$582,$A592&amp;" ضد "&amp;S$586)+COUNTIF($E$4:$E$582,S$586&amp;" ضد "&amp;$A592))</f>
        <v>0</v>
      </c>
      <c r="T592" s="4">
        <f>IF($A592=T$586,"",COUNTIF($E$4:$E$582,$A592&amp;" ضد "&amp;T$586)+COUNTIF($E$4:$E$582,T$586&amp;" ضد "&amp;$A592))</f>
        <v>0</v>
      </c>
      <c r="U592" s="4">
        <f>IF($A592=U$586,"",COUNTIF($E$4:$E$582,$A592&amp;" ضد "&amp;U$586)+COUNTIF($E$4:$E$582,U$586&amp;" ضد "&amp;$A592))</f>
        <v>0</v>
      </c>
      <c r="V592" s="4">
        <f>IF($A592=V$586,"",COUNTIF($E$4:$E$582,$A592&amp;" ضد "&amp;V$586)+COUNTIF($E$4:$E$582,V$586&amp;" ضد "&amp;$A592))</f>
        <v>0</v>
      </c>
      <c r="W592" s="4">
        <f>IF($A592=W$586,"",COUNTIF($E$4:$E$582,$A592&amp;" ضد "&amp;W$586)+COUNTIF($E$4:$E$582,W$586&amp;" ضد "&amp;$A592))</f>
        <v>0</v>
      </c>
      <c r="X592" s="4">
        <f>IF($A592=X$586,"",COUNTIF($E$4:$E$582,$A592&amp;" ضد "&amp;X$586)+COUNTIF($E$4:$E$582,X$586&amp;" ضد "&amp;$A592))</f>
        <v>0</v>
      </c>
      <c r="Y592" s="4">
        <f>IF($A592=Y$586,"",COUNTIF($E$4:$E$582,$A592&amp;" ضد "&amp;Y$586)+COUNTIF($E$4:$E$582,Y$586&amp;" ضد "&amp;$A592))</f>
        <v>0</v>
      </c>
      <c r="Z592" s="4">
        <f>IF($A592=Z$586,"",COUNTIF($E$4:$E$582,$A592&amp;" ضد "&amp;Z$586)+COUNTIF($E$4:$E$582,Z$586&amp;" ضد "&amp;$A592))</f>
        <v>0</v>
      </c>
      <c r="AA592" s="4">
        <f>IF($A592=AA$586,"",COUNTIF($E$4:$E$582,$A592&amp;" ضد "&amp;AA$586)+COUNTIF($E$4:$E$582,AA$586&amp;" ضد "&amp;$A592))</f>
        <v>0</v>
      </c>
      <c r="AB592" s="4">
        <f>IF($A592=AB$586,"",COUNTIF($E$4:$E$582,$A592&amp;" ضد "&amp;AB$586)+COUNTIF($E$4:$E$582,AB$586&amp;" ضد "&amp;$A592))</f>
        <v>0</v>
      </c>
      <c r="AC592" s="4">
        <f>IF($A592=AC$586,"",COUNTIF($E$4:$E$582,$A592&amp;" ضد "&amp;AC$586)+COUNTIF($E$4:$E$582,AC$586&amp;" ضد "&amp;$A592))</f>
        <v>0</v>
      </c>
      <c r="AD592" s="4">
        <f>IF($A592=AD$586,"",COUNTIF($E$4:$E$582,$A592&amp;" ضد "&amp;AD$586)+COUNTIF($E$4:$E$582,AD$586&amp;" ضد "&amp;$A592))</f>
        <v>0</v>
      </c>
      <c r="AE592" s="4">
        <f>IF($A592=AE$586,"",COUNTIF($E$4:$E$582,$A592&amp;" ضد "&amp;AE$586)+COUNTIF($E$4:$E$582,AE$586&amp;" ضد "&amp;$A592))</f>
        <v>0</v>
      </c>
      <c r="AF592" s="4">
        <f>IF($A592=AF$586,"",COUNTIF($E$4:$E$582,$A592&amp;" ضد "&amp;AF$586)+COUNTIF($E$4:$E$582,AF$586&amp;" ضد "&amp;$A592))</f>
        <v>0</v>
      </c>
      <c r="AG592" s="4">
        <f>IF($A592=AG$586,"",COUNTIF($E$4:$E$582,$A592&amp;" ضد "&amp;AG$586)+COUNTIF($E$4:$E$582,AG$586&amp;" ضد "&amp;$A592))</f>
        <v>0</v>
      </c>
      <c r="AH592" s="4">
        <f>IF($A592=AH$586,"",COUNTIF($E$4:$E$582,$A592&amp;" ضد "&amp;AH$586)+COUNTIF($E$4:$E$582,AH$586&amp;" ضد "&amp;$A592))</f>
        <v>0</v>
      </c>
      <c r="AI592" s="4">
        <f>IF($A592=AI$586,"",COUNTIF($E$4:$E$582,$A592&amp;" ضد "&amp;AI$586)+COUNTIF($E$4:$E$582,AI$586&amp;" ضد "&amp;$A592))</f>
        <v>0</v>
      </c>
      <c r="AJ592" s="4">
        <f>IF($A592=AJ$586,"",COUNTIF($E$4:$E$582,$A592&amp;" ضد "&amp;AJ$586)+COUNTIF($E$4:$E$582,AJ$586&amp;" ضد "&amp;$A592))</f>
        <v>0</v>
      </c>
      <c r="AK592" s="4">
        <f>IF($A592=AK$586,"",COUNTIF($E$4:$E$582,$A592&amp;" ضد "&amp;AK$586)+COUNTIF($E$4:$E$582,AK$586&amp;" ضد "&amp;$A592))</f>
        <v>0</v>
      </c>
      <c r="AL592" s="4">
        <f>IF($A592=AL$586,"",COUNTIF($E$4:$E$582,$A592&amp;" ضد "&amp;AL$586)+COUNTIF($E$4:$E$582,AL$586&amp;" ضد "&amp;$A592))</f>
        <v>0</v>
      </c>
      <c r="AM592" s="4">
        <f>IF($A592=AM$586,"",COUNTIF($E$4:$E$582,$A592&amp;" ضد "&amp;AM$586)+COUNTIF($E$4:$E$582,AM$586&amp;" ضد "&amp;$A592))</f>
        <v>0</v>
      </c>
      <c r="AN592" s="4">
        <f>IF($A592=AN$586,"",COUNTIF($E$4:$E$582,$A592&amp;" ضد "&amp;AN$586)+COUNTIF($E$4:$E$582,AN$586&amp;" ضد "&amp;$A592))</f>
        <v>0</v>
      </c>
      <c r="AO592" s="4">
        <f>IF($A592=AO$586,"",COUNTIF($E$4:$E$582,$A592&amp;" ضد "&amp;AO$586)+COUNTIF($E$4:$E$582,AO$586&amp;" ضد "&amp;$A592))</f>
        <v>0</v>
      </c>
      <c r="AP592" s="4">
        <f>IF($A592=AP$586,"",COUNTIF($E$4:$E$582,$A592&amp;" ضد "&amp;AP$586)+COUNTIF($E$4:$E$582,AP$586&amp;" ضد "&amp;$A592))</f>
        <v>0</v>
      </c>
      <c r="AQ592" s="4">
        <f>IF($A592=AQ$586,"",COUNTIF($E$4:$E$582,$A592&amp;" ضد "&amp;AQ$586)+COUNTIF($E$4:$E$582,AQ$586&amp;" ضد "&amp;$A592))</f>
        <v>0</v>
      </c>
      <c r="AR592" s="4">
        <f>IF($A592=AR$586,"",COUNTIF($E$4:$E$582,$A592&amp;" ضد "&amp;AR$586)+COUNTIF($E$4:$E$582,AR$586&amp;" ضد "&amp;$A592))</f>
        <v>0</v>
      </c>
      <c r="AS592" s="4">
        <f>IF($A592=AS$586,"",COUNTIF($E$4:$E$582,$A592&amp;" ضد "&amp;AS$586)+COUNTIF($E$4:$E$582,AS$586&amp;" ضد "&amp;$A592))</f>
        <v>0</v>
      </c>
      <c r="AT592" s="4">
        <f>IF($A592=AT$586,"",COUNTIF($E$4:$E$582,$A592&amp;" ضد "&amp;AT$586)+COUNTIF($E$4:$E$582,AT$586&amp;" ضد "&amp;$A592))</f>
        <v>0</v>
      </c>
      <c r="AU592" s="4">
        <f>IF($A592=AU$586,"",COUNTIF($E$4:$E$582,$A592&amp;" ضد "&amp;AU$586)+COUNTIF($E$4:$E$582,AU$586&amp;" ضد "&amp;$A592))</f>
        <v>0</v>
      </c>
      <c r="AV592" s="4">
        <f>IF($A592=AV$586,"",COUNTIF($E$4:$E$582,$A592&amp;" ضد "&amp;AV$586)+COUNTIF($E$4:$E$582,AV$586&amp;" ضد "&amp;$A592))</f>
        <v>0</v>
      </c>
      <c r="AW592" s="4">
        <f>IF($A592=AW$586,"",COUNTIF($E$4:$E$582,$A592&amp;" ضد "&amp;AW$586)+COUNTIF($E$4:$E$582,AW$586&amp;" ضد "&amp;$A592))</f>
        <v>0</v>
      </c>
      <c r="AX592" s="4">
        <f>IF($A592=AX$586,"",COUNTIF($E$4:$E$582,$A592&amp;" ضد "&amp;AX$586)+COUNTIF($E$4:$E$582,AX$586&amp;" ضد "&amp;$A592))</f>
        <v>0</v>
      </c>
      <c r="AY592" s="4">
        <f>IF($A592=AY$586,"",COUNTIF($E$4:$E$582,$A592&amp;" ضد "&amp;AY$586)+COUNTIF($E$4:$E$582,AY$586&amp;" ضد "&amp;$A592))</f>
        <v>0</v>
      </c>
      <c r="AZ592" s="4">
        <f>IF($A592=AZ$586,"",COUNTIF($E$4:$E$582,$A592&amp;" ضد "&amp;AZ$586)+COUNTIF($E$4:$E$582,AZ$586&amp;" ضد "&amp;$A592))</f>
        <v>0</v>
      </c>
      <c r="BA592" s="4">
        <f>IF($A592=BA$586,"",COUNTIF($E$4:$E$582,$A592&amp;" ضد "&amp;BA$586)+COUNTIF($E$4:$E$582,BA$586&amp;" ضد "&amp;$A592))</f>
        <v>0</v>
      </c>
      <c r="BB592" s="4">
        <f>IF($A592=BB$586,"",COUNTIF($E$4:$E$582,$A592&amp;" ضد "&amp;BB$586)+COUNTIF($E$4:$E$582,BB$586&amp;" ضد "&amp;$A592))</f>
        <v>0</v>
      </c>
      <c r="BC592" s="4">
        <f>IF($A592=BC$586,"",COUNTIF($E$4:$E$582,$A592&amp;" ضد "&amp;BC$586)+COUNTIF($E$4:$E$582,BC$586&amp;" ضد "&amp;$A592))</f>
        <v>0</v>
      </c>
      <c r="BD592" s="4">
        <f>IF($A592=BD$586,"",COUNTIF($E$4:$E$582,$A592&amp;" ضد "&amp;BD$586)+COUNTIF($E$4:$E$582,BD$586&amp;" ضد "&amp;$A592))</f>
        <v>0</v>
      </c>
      <c r="BE592" s="4">
        <f>IF($A592=BE$586,"",COUNTIF($E$4:$E$582,$A592&amp;" ضد "&amp;BE$586)+COUNTIF($E$4:$E$582,BE$586&amp;" ضد "&amp;$A592))</f>
        <v>0</v>
      </c>
      <c r="BF592" s="4">
        <f>IF($A592=BF$586,"",COUNTIF($E$4:$E$582,$A592&amp;" ضد "&amp;BF$586)+COUNTIF($E$4:$E$582,BF$586&amp;" ضد "&amp;$A592))</f>
        <v>0</v>
      </c>
      <c r="BG592" s="4">
        <f>IF($A592=BG$586,"",COUNTIF($E$4:$E$582,$A592&amp;" ضد "&amp;BG$586)+COUNTIF($E$4:$E$582,BG$586&amp;" ضد "&amp;$A592))</f>
        <v>0</v>
      </c>
      <c r="BH592" s="4">
        <f>IF($A592=BH$586,"",COUNTIF($E$4:$E$582,$A592&amp;" ضد "&amp;BH$586)+COUNTIF($E$4:$E$582,BH$586&amp;" ضد "&amp;$A592))</f>
        <v>0</v>
      </c>
      <c r="BI592" s="4">
        <f>IF($A592=BI$586,"",COUNTIF($E$4:$E$582,$A592&amp;" ضد "&amp;BI$586)+COUNTIF($E$4:$E$582,BI$586&amp;" ضد "&amp;$A592))</f>
        <v>0</v>
      </c>
      <c r="BJ592" s="4">
        <f>IF($A592=BJ$586,"",COUNTIF($E$4:$E$582,$A592&amp;" ضد "&amp;BJ$586)+COUNTIF($E$4:$E$582,BJ$586&amp;" ضد "&amp;$A592))</f>
        <v>0</v>
      </c>
      <c r="BK592" s="4">
        <f>IF($A592=BK$586,"",COUNTIF($E$4:$E$582,$A592&amp;" ضد "&amp;BK$586)+COUNTIF($E$4:$E$582,BK$586&amp;" ضد "&amp;$A592))</f>
        <v>0</v>
      </c>
      <c r="BL592" s="4">
        <f>IF($A592=BL$586,"",COUNTIF($E$4:$E$582,$A592&amp;" ضد "&amp;BL$586)+COUNTIF($E$4:$E$582,BL$586&amp;" ضد "&amp;$A592))</f>
        <v>0</v>
      </c>
      <c r="BM592" s="4">
        <f>IF($A592=BM$586,"",COUNTIF($E$4:$E$582,$A592&amp;" ضد "&amp;BM$586)+COUNTIF($E$4:$E$582,BM$586&amp;" ضد "&amp;$A592))</f>
        <v>0</v>
      </c>
    </row>
    <row r="593" spans="1:65" ht="14.5">
      <c r="A593" s="14">
        <v>7</v>
      </c>
      <c r="B593" s="4">
        <f>IF($A593=B$586,"",COUNTIF($E$4:$E$582,$A593&amp;" ضد "&amp;B$586)+COUNTIF($E$4:$E$582,B$586&amp;" ضد "&amp;$A593))</f>
        <v>1</v>
      </c>
      <c r="C593" s="4">
        <f>IF($A593=C$586,"",COUNTIF($E$4:$E$582,$A593&amp;" ضد "&amp;C$586)+COUNTIF($E$4:$E$582,C$586&amp;" ضد "&amp;$A593))</f>
        <v>1</v>
      </c>
      <c r="D593" s="4">
        <f>IF($A593=D$586,"",COUNTIF($E$4:$E$582,$A593&amp;" ضد "&amp;D$586)+COUNTIF($E$4:$E$582,D$586&amp;" ضد "&amp;$A593))</f>
        <v>1</v>
      </c>
      <c r="E593" s="4">
        <f>IF($A593=E$586,"",COUNTIF($E$4:$E$582,$A593&amp;" ضد "&amp;E$586)+COUNTIF($E$4:$E$582,E$586&amp;" ضد "&amp;$A593))</f>
        <v>1</v>
      </c>
      <c r="F593" s="4">
        <f>IF($A593=F$586,"",COUNTIF($E$4:$E$582,$A593&amp;" ضد "&amp;F$586)+COUNTIF($E$4:$E$582,F$586&amp;" ضد "&amp;$A593))</f>
        <v>1</v>
      </c>
      <c r="G593" s="4">
        <f>IF($A593=G$586,"",COUNTIF($E$4:$E$582,$A593&amp;" ضد "&amp;G$586)+COUNTIF($E$4:$E$582,G$586&amp;" ضد "&amp;$A593))</f>
        <v>2</v>
      </c>
      <c r="H593" s="4" t="str">
        <f>IF($A593=H$586,"",COUNTIF($E$4:$E$582,$A593&amp;" ضد "&amp;H$586)+COUNTIF($E$4:$E$582,H$586&amp;" ضد "&amp;$A593))</f>
        <v/>
      </c>
      <c r="I593" s="4">
        <f>IF($A593=I$586,"",COUNTIF($E$4:$E$582,$A593&amp;" ضد "&amp;I$586)+COUNTIF($E$4:$E$582,I$586&amp;" ضد "&amp;$A593))</f>
        <v>2</v>
      </c>
      <c r="J593" s="4">
        <f>IF($A593=J$586,"",COUNTIF($E$4:$E$582,$A593&amp;" ضد "&amp;J$586)+COUNTIF($E$4:$E$582,J$586&amp;" ضد "&amp;$A593))</f>
        <v>1</v>
      </c>
      <c r="K593" s="4">
        <f>IF($A593=K$586,"",COUNTIF($E$4:$E$582,$A593&amp;" ضد "&amp;K$586)+COUNTIF($E$4:$E$582,K$586&amp;" ضد "&amp;$A593))</f>
        <v>2</v>
      </c>
      <c r="L593" s="4">
        <f>IF($A593=L$586,"",COUNTIF($E$4:$E$582,$A593&amp;" ضد "&amp;L$586)+COUNTIF($E$4:$E$582,L$586&amp;" ضد "&amp;$A593))</f>
        <v>1</v>
      </c>
      <c r="M593" s="4">
        <f>IF($A593=M$586,"",COUNTIF($E$4:$E$582,$A593&amp;" ضد "&amp;M$586)+COUNTIF($E$4:$E$582,M$586&amp;" ضد "&amp;$A593))</f>
        <v>1</v>
      </c>
      <c r="N593" s="4">
        <f>IF($A593=N$586,"",COUNTIF($E$4:$E$582,$A593&amp;" ضد "&amp;N$586)+COUNTIF($E$4:$E$582,N$586&amp;" ضد "&amp;$A593))</f>
        <v>1</v>
      </c>
      <c r="O593" s="4">
        <f>IF($A593=O$586,"",COUNTIF($E$4:$E$582,$A593&amp;" ضد "&amp;O$586)+COUNTIF($E$4:$E$582,O$586&amp;" ضد "&amp;$A593))</f>
        <v>1</v>
      </c>
      <c r="P593" s="4">
        <f>IF($A593=P$586,"",COUNTIF($E$4:$E$582,$A593&amp;" ضد "&amp;P$586)+COUNTIF($E$4:$E$582,P$586&amp;" ضد "&amp;$A593))</f>
        <v>1</v>
      </c>
      <c r="Q593" s="4">
        <f>IF($A593=Q$586,"",COUNTIF($E$4:$E$582,$A593&amp;" ضد "&amp;Q$586)+COUNTIF($E$4:$E$582,Q$586&amp;" ضد "&amp;$A593))</f>
        <v>1</v>
      </c>
      <c r="R593" s="4">
        <f>IF($A593=R$586,"",COUNTIF($E$4:$E$582,$A593&amp;" ضد "&amp;R$586)+COUNTIF($E$4:$E$582,R$586&amp;" ضد "&amp;$A593))</f>
        <v>0</v>
      </c>
      <c r="S593" s="4">
        <f>IF($A593=S$586,"",COUNTIF($E$4:$E$582,$A593&amp;" ضد "&amp;S$586)+COUNTIF($E$4:$E$582,S$586&amp;" ضد "&amp;$A593))</f>
        <v>0</v>
      </c>
      <c r="T593" s="4">
        <f>IF($A593=T$586,"",COUNTIF($E$4:$E$582,$A593&amp;" ضد "&amp;T$586)+COUNTIF($E$4:$E$582,T$586&amp;" ضد "&amp;$A593))</f>
        <v>0</v>
      </c>
      <c r="U593" s="4">
        <f>IF($A593=U$586,"",COUNTIF($E$4:$E$582,$A593&amp;" ضد "&amp;U$586)+COUNTIF($E$4:$E$582,U$586&amp;" ضد "&amp;$A593))</f>
        <v>0</v>
      </c>
      <c r="V593" s="4">
        <f>IF($A593=V$586,"",COUNTIF($E$4:$E$582,$A593&amp;" ضد "&amp;V$586)+COUNTIF($E$4:$E$582,V$586&amp;" ضد "&amp;$A593))</f>
        <v>0</v>
      </c>
      <c r="W593" s="4">
        <f>IF($A593=W$586,"",COUNTIF($E$4:$E$582,$A593&amp;" ضد "&amp;W$586)+COUNTIF($E$4:$E$582,W$586&amp;" ضد "&amp;$A593))</f>
        <v>0</v>
      </c>
      <c r="X593" s="4">
        <f>IF($A593=X$586,"",COUNTIF($E$4:$E$582,$A593&amp;" ضد "&amp;X$586)+COUNTIF($E$4:$E$582,X$586&amp;" ضد "&amp;$A593))</f>
        <v>0</v>
      </c>
      <c r="Y593" s="4">
        <f>IF($A593=Y$586,"",COUNTIF($E$4:$E$582,$A593&amp;" ضد "&amp;Y$586)+COUNTIF($E$4:$E$582,Y$586&amp;" ضد "&amp;$A593))</f>
        <v>0</v>
      </c>
      <c r="Z593" s="4">
        <f>IF($A593=Z$586,"",COUNTIF($E$4:$E$582,$A593&amp;" ضد "&amp;Z$586)+COUNTIF($E$4:$E$582,Z$586&amp;" ضد "&amp;$A593))</f>
        <v>0</v>
      </c>
      <c r="AA593" s="4">
        <f>IF($A593=AA$586,"",COUNTIF($E$4:$E$582,$A593&amp;" ضد "&amp;AA$586)+COUNTIF($E$4:$E$582,AA$586&amp;" ضد "&amp;$A593))</f>
        <v>0</v>
      </c>
      <c r="AB593" s="4">
        <f>IF($A593=AB$586,"",COUNTIF($E$4:$E$582,$A593&amp;" ضد "&amp;AB$586)+COUNTIF($E$4:$E$582,AB$586&amp;" ضد "&amp;$A593))</f>
        <v>0</v>
      </c>
      <c r="AC593" s="4">
        <f>IF($A593=AC$586,"",COUNTIF($E$4:$E$582,$A593&amp;" ضد "&amp;AC$586)+COUNTIF($E$4:$E$582,AC$586&amp;" ضد "&amp;$A593))</f>
        <v>0</v>
      </c>
      <c r="AD593" s="4">
        <f>IF($A593=AD$586,"",COUNTIF($E$4:$E$582,$A593&amp;" ضد "&amp;AD$586)+COUNTIF($E$4:$E$582,AD$586&amp;" ضد "&amp;$A593))</f>
        <v>0</v>
      </c>
      <c r="AE593" s="4">
        <f>IF($A593=AE$586,"",COUNTIF($E$4:$E$582,$A593&amp;" ضد "&amp;AE$586)+COUNTIF($E$4:$E$582,AE$586&amp;" ضد "&amp;$A593))</f>
        <v>0</v>
      </c>
      <c r="AF593" s="4">
        <f>IF($A593=AF$586,"",COUNTIF($E$4:$E$582,$A593&amp;" ضد "&amp;AF$586)+COUNTIF($E$4:$E$582,AF$586&amp;" ضد "&amp;$A593))</f>
        <v>0</v>
      </c>
      <c r="AG593" s="4">
        <f>IF($A593=AG$586,"",COUNTIF($E$4:$E$582,$A593&amp;" ضد "&amp;AG$586)+COUNTIF($E$4:$E$582,AG$586&amp;" ضد "&amp;$A593))</f>
        <v>0</v>
      </c>
      <c r="AH593" s="4">
        <f>IF($A593=AH$586,"",COUNTIF($E$4:$E$582,$A593&amp;" ضد "&amp;AH$586)+COUNTIF($E$4:$E$582,AH$586&amp;" ضد "&amp;$A593))</f>
        <v>0</v>
      </c>
      <c r="AI593" s="4">
        <f>IF($A593=AI$586,"",COUNTIF($E$4:$E$582,$A593&amp;" ضد "&amp;AI$586)+COUNTIF($E$4:$E$582,AI$586&amp;" ضد "&amp;$A593))</f>
        <v>0</v>
      </c>
      <c r="AJ593" s="4">
        <f>IF($A593=AJ$586,"",COUNTIF($E$4:$E$582,$A593&amp;" ضد "&amp;AJ$586)+COUNTIF($E$4:$E$582,AJ$586&amp;" ضد "&amp;$A593))</f>
        <v>0</v>
      </c>
      <c r="AK593" s="4">
        <f>IF($A593=AK$586,"",COUNTIF($E$4:$E$582,$A593&amp;" ضد "&amp;AK$586)+COUNTIF($E$4:$E$582,AK$586&amp;" ضد "&amp;$A593))</f>
        <v>0</v>
      </c>
      <c r="AL593" s="4">
        <f>IF($A593=AL$586,"",COUNTIF($E$4:$E$582,$A593&amp;" ضد "&amp;AL$586)+COUNTIF($E$4:$E$582,AL$586&amp;" ضد "&amp;$A593))</f>
        <v>0</v>
      </c>
      <c r="AM593" s="4">
        <f>IF($A593=AM$586,"",COUNTIF($E$4:$E$582,$A593&amp;" ضد "&amp;AM$586)+COUNTIF($E$4:$E$582,AM$586&amp;" ضد "&amp;$A593))</f>
        <v>0</v>
      </c>
      <c r="AN593" s="4">
        <f>IF($A593=AN$586,"",COUNTIF($E$4:$E$582,$A593&amp;" ضد "&amp;AN$586)+COUNTIF($E$4:$E$582,AN$586&amp;" ضد "&amp;$A593))</f>
        <v>0</v>
      </c>
      <c r="AO593" s="4">
        <f>IF($A593=AO$586,"",COUNTIF($E$4:$E$582,$A593&amp;" ضد "&amp;AO$586)+COUNTIF($E$4:$E$582,AO$586&amp;" ضد "&amp;$A593))</f>
        <v>0</v>
      </c>
      <c r="AP593" s="4">
        <f>IF($A593=AP$586,"",COUNTIF($E$4:$E$582,$A593&amp;" ضد "&amp;AP$586)+COUNTIF($E$4:$E$582,AP$586&amp;" ضد "&amp;$A593))</f>
        <v>0</v>
      </c>
      <c r="AQ593" s="4">
        <f>IF($A593=AQ$586,"",COUNTIF($E$4:$E$582,$A593&amp;" ضد "&amp;AQ$586)+COUNTIF($E$4:$E$582,AQ$586&amp;" ضد "&amp;$A593))</f>
        <v>0</v>
      </c>
      <c r="AR593" s="4">
        <f>IF($A593=AR$586,"",COUNTIF($E$4:$E$582,$A593&amp;" ضد "&amp;AR$586)+COUNTIF($E$4:$E$582,AR$586&amp;" ضد "&amp;$A593))</f>
        <v>0</v>
      </c>
      <c r="AS593" s="4">
        <f>IF($A593=AS$586,"",COUNTIF($E$4:$E$582,$A593&amp;" ضد "&amp;AS$586)+COUNTIF($E$4:$E$582,AS$586&amp;" ضد "&amp;$A593))</f>
        <v>0</v>
      </c>
      <c r="AT593" s="4">
        <f>IF($A593=AT$586,"",COUNTIF($E$4:$E$582,$A593&amp;" ضد "&amp;AT$586)+COUNTIF($E$4:$E$582,AT$586&amp;" ضد "&amp;$A593))</f>
        <v>0</v>
      </c>
      <c r="AU593" s="4">
        <f>IF($A593=AU$586,"",COUNTIF($E$4:$E$582,$A593&amp;" ضد "&amp;AU$586)+COUNTIF($E$4:$E$582,AU$586&amp;" ضد "&amp;$A593))</f>
        <v>0</v>
      </c>
      <c r="AV593" s="4">
        <f>IF($A593=AV$586,"",COUNTIF($E$4:$E$582,$A593&amp;" ضد "&amp;AV$586)+COUNTIF($E$4:$E$582,AV$586&amp;" ضد "&amp;$A593))</f>
        <v>0</v>
      </c>
      <c r="AW593" s="4">
        <f>IF($A593=AW$586,"",COUNTIF($E$4:$E$582,$A593&amp;" ضد "&amp;AW$586)+COUNTIF($E$4:$E$582,AW$586&amp;" ضد "&amp;$A593))</f>
        <v>0</v>
      </c>
      <c r="AX593" s="4">
        <f>IF($A593=AX$586,"",COUNTIF($E$4:$E$582,$A593&amp;" ضد "&amp;AX$586)+COUNTIF($E$4:$E$582,AX$586&amp;" ضد "&amp;$A593))</f>
        <v>0</v>
      </c>
      <c r="AY593" s="4">
        <f>IF($A593=AY$586,"",COUNTIF($E$4:$E$582,$A593&amp;" ضد "&amp;AY$586)+COUNTIF($E$4:$E$582,AY$586&amp;" ضد "&amp;$A593))</f>
        <v>0</v>
      </c>
      <c r="AZ593" s="4">
        <f>IF($A593=AZ$586,"",COUNTIF($E$4:$E$582,$A593&amp;" ضد "&amp;AZ$586)+COUNTIF($E$4:$E$582,AZ$586&amp;" ضد "&amp;$A593))</f>
        <v>0</v>
      </c>
      <c r="BA593" s="4">
        <f>IF($A593=BA$586,"",COUNTIF($E$4:$E$582,$A593&amp;" ضد "&amp;BA$586)+COUNTIF($E$4:$E$582,BA$586&amp;" ضد "&amp;$A593))</f>
        <v>0</v>
      </c>
      <c r="BB593" s="4">
        <f>IF($A593=BB$586,"",COUNTIF($E$4:$E$582,$A593&amp;" ضد "&amp;BB$586)+COUNTIF($E$4:$E$582,BB$586&amp;" ضد "&amp;$A593))</f>
        <v>0</v>
      </c>
      <c r="BC593" s="4">
        <f>IF($A593=BC$586,"",COUNTIF($E$4:$E$582,$A593&amp;" ضد "&amp;BC$586)+COUNTIF($E$4:$E$582,BC$586&amp;" ضد "&amp;$A593))</f>
        <v>0</v>
      </c>
      <c r="BD593" s="4">
        <f>IF($A593=BD$586,"",COUNTIF($E$4:$E$582,$A593&amp;" ضد "&amp;BD$586)+COUNTIF($E$4:$E$582,BD$586&amp;" ضد "&amp;$A593))</f>
        <v>0</v>
      </c>
      <c r="BE593" s="4">
        <f>IF($A593=BE$586,"",COUNTIF($E$4:$E$582,$A593&amp;" ضد "&amp;BE$586)+COUNTIF($E$4:$E$582,BE$586&amp;" ضد "&amp;$A593))</f>
        <v>0</v>
      </c>
      <c r="BF593" s="4">
        <f>IF($A593=BF$586,"",COUNTIF($E$4:$E$582,$A593&amp;" ضد "&amp;BF$586)+COUNTIF($E$4:$E$582,BF$586&amp;" ضد "&amp;$A593))</f>
        <v>0</v>
      </c>
      <c r="BG593" s="4">
        <f>IF($A593=BG$586,"",COUNTIF($E$4:$E$582,$A593&amp;" ضد "&amp;BG$586)+COUNTIF($E$4:$E$582,BG$586&amp;" ضد "&amp;$A593))</f>
        <v>0</v>
      </c>
      <c r="BH593" s="4">
        <f>IF($A593=BH$586,"",COUNTIF($E$4:$E$582,$A593&amp;" ضد "&amp;BH$586)+COUNTIF($E$4:$E$582,BH$586&amp;" ضد "&amp;$A593))</f>
        <v>0</v>
      </c>
      <c r="BI593" s="4">
        <f>IF($A593=BI$586,"",COUNTIF($E$4:$E$582,$A593&amp;" ضد "&amp;BI$586)+COUNTIF($E$4:$E$582,BI$586&amp;" ضد "&amp;$A593))</f>
        <v>0</v>
      </c>
      <c r="BJ593" s="4">
        <f>IF($A593=BJ$586,"",COUNTIF($E$4:$E$582,$A593&amp;" ضد "&amp;BJ$586)+COUNTIF($E$4:$E$582,BJ$586&amp;" ضد "&amp;$A593))</f>
        <v>0</v>
      </c>
      <c r="BK593" s="4">
        <f>IF($A593=BK$586,"",COUNTIF($E$4:$E$582,$A593&amp;" ضد "&amp;BK$586)+COUNTIF($E$4:$E$582,BK$586&amp;" ضد "&amp;$A593))</f>
        <v>0</v>
      </c>
      <c r="BL593" s="4">
        <f>IF($A593=BL$586,"",COUNTIF($E$4:$E$582,$A593&amp;" ضد "&amp;BL$586)+COUNTIF($E$4:$E$582,BL$586&amp;" ضد "&amp;$A593))</f>
        <v>0</v>
      </c>
      <c r="BM593" s="4">
        <f>IF($A593=BM$586,"",COUNTIF($E$4:$E$582,$A593&amp;" ضد "&amp;BM$586)+COUNTIF($E$4:$E$582,BM$586&amp;" ضد "&amp;$A593))</f>
        <v>0</v>
      </c>
    </row>
    <row r="594" spans="1:65" ht="14.5">
      <c r="A594" s="14">
        <v>8</v>
      </c>
      <c r="B594" s="4">
        <f>IF($A594=B$586,"",COUNTIF($E$4:$E$582,$A594&amp;" ضد "&amp;B$586)+COUNTIF($E$4:$E$582,B$586&amp;" ضد "&amp;$A594))</f>
        <v>1</v>
      </c>
      <c r="C594" s="4">
        <f>IF($A594=C$586,"",COUNTIF($E$4:$E$582,$A594&amp;" ضد "&amp;C$586)+COUNTIF($E$4:$E$582,C$586&amp;" ضد "&amp;$A594))</f>
        <v>1</v>
      </c>
      <c r="D594" s="4">
        <f>IF($A594=D$586,"",COUNTIF($E$4:$E$582,$A594&amp;" ضد "&amp;D$586)+COUNTIF($E$4:$E$582,D$586&amp;" ضد "&amp;$A594))</f>
        <v>1</v>
      </c>
      <c r="E594" s="4">
        <f>IF($A594=E$586,"",COUNTIF($E$4:$E$582,$A594&amp;" ضد "&amp;E$586)+COUNTIF($E$4:$E$582,E$586&amp;" ضد "&amp;$A594))</f>
        <v>1</v>
      </c>
      <c r="F594" s="4">
        <f>IF($A594=F$586,"",COUNTIF($E$4:$E$582,$A594&amp;" ضد "&amp;F$586)+COUNTIF($E$4:$E$582,F$586&amp;" ضد "&amp;$A594))</f>
        <v>2</v>
      </c>
      <c r="G594" s="4">
        <f>IF($A594=G$586,"",COUNTIF($E$4:$E$582,$A594&amp;" ضد "&amp;G$586)+COUNTIF($E$4:$E$582,G$586&amp;" ضد "&amp;$A594))</f>
        <v>1</v>
      </c>
      <c r="H594" s="4">
        <f>IF($A594=H$586,"",COUNTIF($E$4:$E$582,$A594&amp;" ضد "&amp;H$586)+COUNTIF($E$4:$E$582,H$586&amp;" ضد "&amp;$A594))</f>
        <v>2</v>
      </c>
      <c r="I594" s="4" t="str">
        <f>IF($A594=I$586,"",COUNTIF($E$4:$E$582,$A594&amp;" ضد "&amp;I$586)+COUNTIF($E$4:$E$582,I$586&amp;" ضد "&amp;$A594))</f>
        <v/>
      </c>
      <c r="J594" s="4">
        <f>IF($A594=J$586,"",COUNTIF($E$4:$E$582,$A594&amp;" ضد "&amp;J$586)+COUNTIF($E$4:$E$582,J$586&amp;" ضد "&amp;$A594))</f>
        <v>2</v>
      </c>
      <c r="K594" s="4">
        <f>IF($A594=K$586,"",COUNTIF($E$4:$E$582,$A594&amp;" ضد "&amp;K$586)+COUNTIF($E$4:$E$582,K$586&amp;" ضد "&amp;$A594))</f>
        <v>1</v>
      </c>
      <c r="L594" s="4">
        <f>IF($A594=L$586,"",COUNTIF($E$4:$E$582,$A594&amp;" ضد "&amp;L$586)+COUNTIF($E$4:$E$582,L$586&amp;" ضد "&amp;$A594))</f>
        <v>1</v>
      </c>
      <c r="M594" s="4">
        <f>IF($A594=M$586,"",COUNTIF($E$4:$E$582,$A594&amp;" ضد "&amp;M$586)+COUNTIF($E$4:$E$582,M$586&amp;" ضد "&amp;$A594))</f>
        <v>1</v>
      </c>
      <c r="N594" s="4">
        <f>IF($A594=N$586,"",COUNTIF($E$4:$E$582,$A594&amp;" ضد "&amp;N$586)+COUNTIF($E$4:$E$582,N$586&amp;" ضد "&amp;$A594))</f>
        <v>1</v>
      </c>
      <c r="O594" s="4">
        <f>IF($A594=O$586,"",COUNTIF($E$4:$E$582,$A594&amp;" ضد "&amp;O$586)+COUNTIF($E$4:$E$582,O$586&amp;" ضد "&amp;$A594))</f>
        <v>1</v>
      </c>
      <c r="P594" s="4">
        <f>IF($A594=P$586,"",COUNTIF($E$4:$E$582,$A594&amp;" ضد "&amp;P$586)+COUNTIF($E$4:$E$582,P$586&amp;" ضد "&amp;$A594))</f>
        <v>1</v>
      </c>
      <c r="Q594" s="4">
        <f>IF($A594=Q$586,"",COUNTIF($E$4:$E$582,$A594&amp;" ضد "&amp;Q$586)+COUNTIF($E$4:$E$582,Q$586&amp;" ضد "&amp;$A594))</f>
        <v>1</v>
      </c>
      <c r="R594" s="4">
        <f>IF($A594=R$586,"",COUNTIF($E$4:$E$582,$A594&amp;" ضد "&amp;R$586)+COUNTIF($E$4:$E$582,R$586&amp;" ضد "&amp;$A594))</f>
        <v>0</v>
      </c>
      <c r="S594" s="4">
        <f>IF($A594=S$586,"",COUNTIF($E$4:$E$582,$A594&amp;" ضد "&amp;S$586)+COUNTIF($E$4:$E$582,S$586&amp;" ضد "&amp;$A594))</f>
        <v>0</v>
      </c>
      <c r="T594" s="4">
        <f>IF($A594=T$586,"",COUNTIF($E$4:$E$582,$A594&amp;" ضد "&amp;T$586)+COUNTIF($E$4:$E$582,T$586&amp;" ضد "&amp;$A594))</f>
        <v>0</v>
      </c>
      <c r="U594" s="4">
        <f>IF($A594=U$586,"",COUNTIF($E$4:$E$582,$A594&amp;" ضد "&amp;U$586)+COUNTIF($E$4:$E$582,U$586&amp;" ضد "&amp;$A594))</f>
        <v>0</v>
      </c>
      <c r="V594" s="4">
        <f>IF($A594=V$586,"",COUNTIF($E$4:$E$582,$A594&amp;" ضد "&amp;V$586)+COUNTIF($E$4:$E$582,V$586&amp;" ضد "&amp;$A594))</f>
        <v>0</v>
      </c>
      <c r="W594" s="4">
        <f>IF($A594=W$586,"",COUNTIF($E$4:$E$582,$A594&amp;" ضد "&amp;W$586)+COUNTIF($E$4:$E$582,W$586&amp;" ضد "&amp;$A594))</f>
        <v>0</v>
      </c>
      <c r="X594" s="4">
        <f>IF($A594=X$586,"",COUNTIF($E$4:$E$582,$A594&amp;" ضد "&amp;X$586)+COUNTIF($E$4:$E$582,X$586&amp;" ضد "&amp;$A594))</f>
        <v>0</v>
      </c>
      <c r="Y594" s="4">
        <f>IF($A594=Y$586,"",COUNTIF($E$4:$E$582,$A594&amp;" ضد "&amp;Y$586)+COUNTIF($E$4:$E$582,Y$586&amp;" ضد "&amp;$A594))</f>
        <v>0</v>
      </c>
      <c r="Z594" s="4">
        <f>IF($A594=Z$586,"",COUNTIF($E$4:$E$582,$A594&amp;" ضد "&amp;Z$586)+COUNTIF($E$4:$E$582,Z$586&amp;" ضد "&amp;$A594))</f>
        <v>0</v>
      </c>
      <c r="AA594" s="4">
        <f>IF($A594=AA$586,"",COUNTIF($E$4:$E$582,$A594&amp;" ضد "&amp;AA$586)+COUNTIF($E$4:$E$582,AA$586&amp;" ضد "&amp;$A594))</f>
        <v>0</v>
      </c>
      <c r="AB594" s="4">
        <f>IF($A594=AB$586,"",COUNTIF($E$4:$E$582,$A594&amp;" ضد "&amp;AB$586)+COUNTIF($E$4:$E$582,AB$586&amp;" ضد "&amp;$A594))</f>
        <v>0</v>
      </c>
      <c r="AC594" s="4">
        <f>IF($A594=AC$586,"",COUNTIF($E$4:$E$582,$A594&amp;" ضد "&amp;AC$586)+COUNTIF($E$4:$E$582,AC$586&amp;" ضد "&amp;$A594))</f>
        <v>0</v>
      </c>
      <c r="AD594" s="4">
        <f>IF($A594=AD$586,"",COUNTIF($E$4:$E$582,$A594&amp;" ضد "&amp;AD$586)+COUNTIF($E$4:$E$582,AD$586&amp;" ضد "&amp;$A594))</f>
        <v>0</v>
      </c>
      <c r="AE594" s="4">
        <f>IF($A594=AE$586,"",COUNTIF($E$4:$E$582,$A594&amp;" ضد "&amp;AE$586)+COUNTIF($E$4:$E$582,AE$586&amp;" ضد "&amp;$A594))</f>
        <v>0</v>
      </c>
      <c r="AF594" s="4">
        <f>IF($A594=AF$586,"",COUNTIF($E$4:$E$582,$A594&amp;" ضد "&amp;AF$586)+COUNTIF($E$4:$E$582,AF$586&amp;" ضد "&amp;$A594))</f>
        <v>0</v>
      </c>
      <c r="AG594" s="4">
        <f>IF($A594=AG$586,"",COUNTIF($E$4:$E$582,$A594&amp;" ضد "&amp;AG$586)+COUNTIF($E$4:$E$582,AG$586&amp;" ضد "&amp;$A594))</f>
        <v>0</v>
      </c>
      <c r="AH594" s="4">
        <f>IF($A594=AH$586,"",COUNTIF($E$4:$E$582,$A594&amp;" ضد "&amp;AH$586)+COUNTIF($E$4:$E$582,AH$586&amp;" ضد "&amp;$A594))</f>
        <v>0</v>
      </c>
      <c r="AI594" s="4">
        <f>IF($A594=AI$586,"",COUNTIF($E$4:$E$582,$A594&amp;" ضد "&amp;AI$586)+COUNTIF($E$4:$E$582,AI$586&amp;" ضد "&amp;$A594))</f>
        <v>0</v>
      </c>
      <c r="AJ594" s="4">
        <f>IF($A594=AJ$586,"",COUNTIF($E$4:$E$582,$A594&amp;" ضد "&amp;AJ$586)+COUNTIF($E$4:$E$582,AJ$586&amp;" ضد "&amp;$A594))</f>
        <v>0</v>
      </c>
      <c r="AK594" s="4">
        <f>IF($A594=AK$586,"",COUNTIF($E$4:$E$582,$A594&amp;" ضد "&amp;AK$586)+COUNTIF($E$4:$E$582,AK$586&amp;" ضد "&amp;$A594))</f>
        <v>0</v>
      </c>
      <c r="AL594" s="4">
        <f>IF($A594=AL$586,"",COUNTIF($E$4:$E$582,$A594&amp;" ضد "&amp;AL$586)+COUNTIF($E$4:$E$582,AL$586&amp;" ضد "&amp;$A594))</f>
        <v>0</v>
      </c>
      <c r="AM594" s="4">
        <f>IF($A594=AM$586,"",COUNTIF($E$4:$E$582,$A594&amp;" ضد "&amp;AM$586)+COUNTIF($E$4:$E$582,AM$586&amp;" ضد "&amp;$A594))</f>
        <v>0</v>
      </c>
      <c r="AN594" s="4">
        <f>IF($A594=AN$586,"",COUNTIF($E$4:$E$582,$A594&amp;" ضد "&amp;AN$586)+COUNTIF($E$4:$E$582,AN$586&amp;" ضد "&amp;$A594))</f>
        <v>0</v>
      </c>
      <c r="AO594" s="4">
        <f>IF($A594=AO$586,"",COUNTIF($E$4:$E$582,$A594&amp;" ضد "&amp;AO$586)+COUNTIF($E$4:$E$582,AO$586&amp;" ضد "&amp;$A594))</f>
        <v>0</v>
      </c>
      <c r="AP594" s="4">
        <f>IF($A594=AP$586,"",COUNTIF($E$4:$E$582,$A594&amp;" ضد "&amp;AP$586)+COUNTIF($E$4:$E$582,AP$586&amp;" ضد "&amp;$A594))</f>
        <v>0</v>
      </c>
      <c r="AQ594" s="4">
        <f>IF($A594=AQ$586,"",COUNTIF($E$4:$E$582,$A594&amp;" ضد "&amp;AQ$586)+COUNTIF($E$4:$E$582,AQ$586&amp;" ضد "&amp;$A594))</f>
        <v>0</v>
      </c>
      <c r="AR594" s="4">
        <f>IF($A594=AR$586,"",COUNTIF($E$4:$E$582,$A594&amp;" ضد "&amp;AR$586)+COUNTIF($E$4:$E$582,AR$586&amp;" ضد "&amp;$A594))</f>
        <v>0</v>
      </c>
      <c r="AS594" s="4">
        <f>IF($A594=AS$586,"",COUNTIF($E$4:$E$582,$A594&amp;" ضد "&amp;AS$586)+COUNTIF($E$4:$E$582,AS$586&amp;" ضد "&amp;$A594))</f>
        <v>0</v>
      </c>
      <c r="AT594" s="4">
        <f>IF($A594=AT$586,"",COUNTIF($E$4:$E$582,$A594&amp;" ضد "&amp;AT$586)+COUNTIF($E$4:$E$582,AT$586&amp;" ضد "&amp;$A594))</f>
        <v>0</v>
      </c>
      <c r="AU594" s="4">
        <f>IF($A594=AU$586,"",COUNTIF($E$4:$E$582,$A594&amp;" ضد "&amp;AU$586)+COUNTIF($E$4:$E$582,AU$586&amp;" ضد "&amp;$A594))</f>
        <v>0</v>
      </c>
      <c r="AV594" s="4">
        <f>IF($A594=AV$586,"",COUNTIF($E$4:$E$582,$A594&amp;" ضد "&amp;AV$586)+COUNTIF($E$4:$E$582,AV$586&amp;" ضد "&amp;$A594))</f>
        <v>0</v>
      </c>
      <c r="AW594" s="4">
        <f>IF($A594=AW$586,"",COUNTIF($E$4:$E$582,$A594&amp;" ضد "&amp;AW$586)+COUNTIF($E$4:$E$582,AW$586&amp;" ضد "&amp;$A594))</f>
        <v>0</v>
      </c>
      <c r="AX594" s="4">
        <f>IF($A594=AX$586,"",COUNTIF($E$4:$E$582,$A594&amp;" ضد "&amp;AX$586)+COUNTIF($E$4:$E$582,AX$586&amp;" ضد "&amp;$A594))</f>
        <v>0</v>
      </c>
      <c r="AY594" s="4">
        <f>IF($A594=AY$586,"",COUNTIF($E$4:$E$582,$A594&amp;" ضد "&amp;AY$586)+COUNTIF($E$4:$E$582,AY$586&amp;" ضد "&amp;$A594))</f>
        <v>0</v>
      </c>
      <c r="AZ594" s="4">
        <f>IF($A594=AZ$586,"",COUNTIF($E$4:$E$582,$A594&amp;" ضد "&amp;AZ$586)+COUNTIF($E$4:$E$582,AZ$586&amp;" ضد "&amp;$A594))</f>
        <v>0</v>
      </c>
      <c r="BA594" s="4">
        <f>IF($A594=BA$586,"",COUNTIF($E$4:$E$582,$A594&amp;" ضد "&amp;BA$586)+COUNTIF($E$4:$E$582,BA$586&amp;" ضد "&amp;$A594))</f>
        <v>0</v>
      </c>
      <c r="BB594" s="4">
        <f>IF($A594=BB$586,"",COUNTIF($E$4:$E$582,$A594&amp;" ضد "&amp;BB$586)+COUNTIF($E$4:$E$582,BB$586&amp;" ضد "&amp;$A594))</f>
        <v>0</v>
      </c>
      <c r="BC594" s="4">
        <f>IF($A594=BC$586,"",COUNTIF($E$4:$E$582,$A594&amp;" ضد "&amp;BC$586)+COUNTIF($E$4:$E$582,BC$586&amp;" ضد "&amp;$A594))</f>
        <v>0</v>
      </c>
      <c r="BD594" s="4">
        <f>IF($A594=BD$586,"",COUNTIF($E$4:$E$582,$A594&amp;" ضد "&amp;BD$586)+COUNTIF($E$4:$E$582,BD$586&amp;" ضد "&amp;$A594))</f>
        <v>0</v>
      </c>
      <c r="BE594" s="4">
        <f>IF($A594=BE$586,"",COUNTIF($E$4:$E$582,$A594&amp;" ضد "&amp;BE$586)+COUNTIF($E$4:$E$582,BE$586&amp;" ضد "&amp;$A594))</f>
        <v>0</v>
      </c>
      <c r="BF594" s="4">
        <f>IF($A594=BF$586,"",COUNTIF($E$4:$E$582,$A594&amp;" ضد "&amp;BF$586)+COUNTIF($E$4:$E$582,BF$586&amp;" ضد "&amp;$A594))</f>
        <v>0</v>
      </c>
      <c r="BG594" s="4">
        <f>IF($A594=BG$586,"",COUNTIF($E$4:$E$582,$A594&amp;" ضد "&amp;BG$586)+COUNTIF($E$4:$E$582,BG$586&amp;" ضد "&amp;$A594))</f>
        <v>0</v>
      </c>
      <c r="BH594" s="4">
        <f>IF($A594=BH$586,"",COUNTIF($E$4:$E$582,$A594&amp;" ضد "&amp;BH$586)+COUNTIF($E$4:$E$582,BH$586&amp;" ضد "&amp;$A594))</f>
        <v>0</v>
      </c>
      <c r="BI594" s="4">
        <f>IF($A594=BI$586,"",COUNTIF($E$4:$E$582,$A594&amp;" ضد "&amp;BI$586)+COUNTIF($E$4:$E$582,BI$586&amp;" ضد "&amp;$A594))</f>
        <v>0</v>
      </c>
      <c r="BJ594" s="4">
        <f>IF($A594=BJ$586,"",COUNTIF($E$4:$E$582,$A594&amp;" ضد "&amp;BJ$586)+COUNTIF($E$4:$E$582,BJ$586&amp;" ضد "&amp;$A594))</f>
        <v>0</v>
      </c>
      <c r="BK594" s="4">
        <f>IF($A594=BK$586,"",COUNTIF($E$4:$E$582,$A594&amp;" ضد "&amp;BK$586)+COUNTIF($E$4:$E$582,BK$586&amp;" ضد "&amp;$A594))</f>
        <v>0</v>
      </c>
      <c r="BL594" s="4">
        <f>IF($A594=BL$586,"",COUNTIF($E$4:$E$582,$A594&amp;" ضد "&amp;BL$586)+COUNTIF($E$4:$E$582,BL$586&amp;" ضد "&amp;$A594))</f>
        <v>0</v>
      </c>
      <c r="BM594" s="4">
        <f>IF($A594=BM$586,"",COUNTIF($E$4:$E$582,$A594&amp;" ضد "&amp;BM$586)+COUNTIF($E$4:$E$582,BM$586&amp;" ضد "&amp;$A594))</f>
        <v>0</v>
      </c>
    </row>
    <row r="595" spans="1:65" ht="14.5">
      <c r="A595" s="14">
        <v>9</v>
      </c>
      <c r="B595" s="4">
        <f>IF($A595=B$586,"",COUNTIF($E$4:$E$582,$A595&amp;" ضد "&amp;B$586)+COUNTIF($E$4:$E$582,B$586&amp;" ضد "&amp;$A595))</f>
        <v>1</v>
      </c>
      <c r="C595" s="4">
        <f>IF($A595=C$586,"",COUNTIF($E$4:$E$582,$A595&amp;" ضد "&amp;C$586)+COUNTIF($E$4:$E$582,C$586&amp;" ضد "&amp;$A595))</f>
        <v>1</v>
      </c>
      <c r="D595" s="4">
        <f>IF($A595=D$586,"",COUNTIF($E$4:$E$582,$A595&amp;" ضد "&amp;D$586)+COUNTIF($E$4:$E$582,D$586&amp;" ضد "&amp;$A595))</f>
        <v>1</v>
      </c>
      <c r="E595" s="4">
        <f>IF($A595=E$586,"",COUNTIF($E$4:$E$582,$A595&amp;" ضد "&amp;E$586)+COUNTIF($E$4:$E$582,E$586&amp;" ضد "&amp;$A595))</f>
        <v>2</v>
      </c>
      <c r="F595" s="4">
        <f>IF($A595=F$586,"",COUNTIF($E$4:$E$582,$A595&amp;" ضد "&amp;F$586)+COUNTIF($E$4:$E$582,F$586&amp;" ضد "&amp;$A595))</f>
        <v>1</v>
      </c>
      <c r="G595" s="4">
        <f>IF($A595=G$586,"",COUNTIF($E$4:$E$582,$A595&amp;" ضد "&amp;G$586)+COUNTIF($E$4:$E$582,G$586&amp;" ضد "&amp;$A595))</f>
        <v>2</v>
      </c>
      <c r="H595" s="4">
        <f>IF($A595=H$586,"",COUNTIF($E$4:$E$582,$A595&amp;" ضد "&amp;H$586)+COUNTIF($E$4:$E$582,H$586&amp;" ضد "&amp;$A595))</f>
        <v>1</v>
      </c>
      <c r="I595" s="4">
        <f>IF($A595=I$586,"",COUNTIF($E$4:$E$582,$A595&amp;" ضد "&amp;I$586)+COUNTIF($E$4:$E$582,I$586&amp;" ضد "&amp;$A595))</f>
        <v>2</v>
      </c>
      <c r="J595" s="4" t="str">
        <f>IF($A595=J$586,"",COUNTIF($E$4:$E$582,$A595&amp;" ضد "&amp;J$586)+COUNTIF($E$4:$E$582,J$586&amp;" ضد "&amp;$A595))</f>
        <v/>
      </c>
      <c r="K595" s="4">
        <f>IF($A595=K$586,"",COUNTIF($E$4:$E$582,$A595&amp;" ضد "&amp;K$586)+COUNTIF($E$4:$E$582,K$586&amp;" ضد "&amp;$A595))</f>
        <v>1</v>
      </c>
      <c r="L595" s="4">
        <f>IF($A595=L$586,"",COUNTIF($E$4:$E$582,$A595&amp;" ضد "&amp;L$586)+COUNTIF($E$4:$E$582,L$586&amp;" ضد "&amp;$A595))</f>
        <v>1</v>
      </c>
      <c r="M595" s="4">
        <f>IF($A595=M$586,"",COUNTIF($E$4:$E$582,$A595&amp;" ضد "&amp;M$586)+COUNTIF($E$4:$E$582,M$586&amp;" ضد "&amp;$A595))</f>
        <v>1</v>
      </c>
      <c r="N595" s="4">
        <f>IF($A595=N$586,"",COUNTIF($E$4:$E$582,$A595&amp;" ضد "&amp;N$586)+COUNTIF($E$4:$E$582,N$586&amp;" ضد "&amp;$A595))</f>
        <v>1</v>
      </c>
      <c r="O595" s="4">
        <f>IF($A595=O$586,"",COUNTIF($E$4:$E$582,$A595&amp;" ضد "&amp;O$586)+COUNTIF($E$4:$E$582,O$586&amp;" ضد "&amp;$A595))</f>
        <v>1</v>
      </c>
      <c r="P595" s="4">
        <f>IF($A595=P$586,"",COUNTIF($E$4:$E$582,$A595&amp;" ضد "&amp;P$586)+COUNTIF($E$4:$E$582,P$586&amp;" ضد "&amp;$A595))</f>
        <v>1</v>
      </c>
      <c r="Q595" s="4">
        <f>IF($A595=Q$586,"",COUNTIF($E$4:$E$582,$A595&amp;" ضد "&amp;Q$586)+COUNTIF($E$4:$E$582,Q$586&amp;" ضد "&amp;$A595))</f>
        <v>1</v>
      </c>
      <c r="R595" s="4">
        <f>IF($A595=R$586,"",COUNTIF($E$4:$E$582,$A595&amp;" ضد "&amp;R$586)+COUNTIF($E$4:$E$582,R$586&amp;" ضد "&amp;$A595))</f>
        <v>0</v>
      </c>
      <c r="S595" s="4">
        <f>IF($A595=S$586,"",COUNTIF($E$4:$E$582,$A595&amp;" ضد "&amp;S$586)+COUNTIF($E$4:$E$582,S$586&amp;" ضد "&amp;$A595))</f>
        <v>0</v>
      </c>
      <c r="T595" s="4">
        <f>IF($A595=T$586,"",COUNTIF($E$4:$E$582,$A595&amp;" ضد "&amp;T$586)+COUNTIF($E$4:$E$582,T$586&amp;" ضد "&amp;$A595))</f>
        <v>0</v>
      </c>
      <c r="U595" s="4">
        <f>IF($A595=U$586,"",COUNTIF($E$4:$E$582,$A595&amp;" ضد "&amp;U$586)+COUNTIF($E$4:$E$582,U$586&amp;" ضد "&amp;$A595))</f>
        <v>0</v>
      </c>
      <c r="V595" s="4">
        <f>IF($A595=V$586,"",COUNTIF($E$4:$E$582,$A595&amp;" ضد "&amp;V$586)+COUNTIF($E$4:$E$582,V$586&amp;" ضد "&amp;$A595))</f>
        <v>0</v>
      </c>
      <c r="W595" s="4">
        <f>IF($A595=W$586,"",COUNTIF($E$4:$E$582,$A595&amp;" ضد "&amp;W$586)+COUNTIF($E$4:$E$582,W$586&amp;" ضد "&amp;$A595))</f>
        <v>0</v>
      </c>
      <c r="X595" s="4">
        <f>IF($A595=X$586,"",COUNTIF($E$4:$E$582,$A595&amp;" ضد "&amp;X$586)+COUNTIF($E$4:$E$582,X$586&amp;" ضد "&amp;$A595))</f>
        <v>0</v>
      </c>
      <c r="Y595" s="4">
        <f>IF($A595=Y$586,"",COUNTIF($E$4:$E$582,$A595&amp;" ضد "&amp;Y$586)+COUNTIF($E$4:$E$582,Y$586&amp;" ضد "&amp;$A595))</f>
        <v>0</v>
      </c>
      <c r="Z595" s="4">
        <f>IF($A595=Z$586,"",COUNTIF($E$4:$E$582,$A595&amp;" ضد "&amp;Z$586)+COUNTIF($E$4:$E$582,Z$586&amp;" ضد "&amp;$A595))</f>
        <v>0</v>
      </c>
      <c r="AA595" s="4">
        <f>IF($A595=AA$586,"",COUNTIF($E$4:$E$582,$A595&amp;" ضد "&amp;AA$586)+COUNTIF($E$4:$E$582,AA$586&amp;" ضد "&amp;$A595))</f>
        <v>0</v>
      </c>
      <c r="AB595" s="4">
        <f>IF($A595=AB$586,"",COUNTIF($E$4:$E$582,$A595&amp;" ضد "&amp;AB$586)+COUNTIF($E$4:$E$582,AB$586&amp;" ضد "&amp;$A595))</f>
        <v>0</v>
      </c>
      <c r="AC595" s="4">
        <f>IF($A595=AC$586,"",COUNTIF($E$4:$E$582,$A595&amp;" ضد "&amp;AC$586)+COUNTIF($E$4:$E$582,AC$586&amp;" ضد "&amp;$A595))</f>
        <v>0</v>
      </c>
      <c r="AD595" s="4">
        <f>IF($A595=AD$586,"",COUNTIF($E$4:$E$582,$A595&amp;" ضد "&amp;AD$586)+COUNTIF($E$4:$E$582,AD$586&amp;" ضد "&amp;$A595))</f>
        <v>0</v>
      </c>
      <c r="AE595" s="4">
        <f>IF($A595=AE$586,"",COUNTIF($E$4:$E$582,$A595&amp;" ضد "&amp;AE$586)+COUNTIF($E$4:$E$582,AE$586&amp;" ضد "&amp;$A595))</f>
        <v>0</v>
      </c>
      <c r="AF595" s="4">
        <f>IF($A595=AF$586,"",COUNTIF($E$4:$E$582,$A595&amp;" ضد "&amp;AF$586)+COUNTIF($E$4:$E$582,AF$586&amp;" ضد "&amp;$A595))</f>
        <v>0</v>
      </c>
      <c r="AG595" s="4">
        <f>IF($A595=AG$586,"",COUNTIF($E$4:$E$582,$A595&amp;" ضد "&amp;AG$586)+COUNTIF($E$4:$E$582,AG$586&amp;" ضد "&amp;$A595))</f>
        <v>0</v>
      </c>
      <c r="AH595" s="4">
        <f>IF($A595=AH$586,"",COUNTIF($E$4:$E$582,$A595&amp;" ضد "&amp;AH$586)+COUNTIF($E$4:$E$582,AH$586&amp;" ضد "&amp;$A595))</f>
        <v>0</v>
      </c>
      <c r="AI595" s="4">
        <f>IF($A595=AI$586,"",COUNTIF($E$4:$E$582,$A595&amp;" ضد "&amp;AI$586)+COUNTIF($E$4:$E$582,AI$586&amp;" ضد "&amp;$A595))</f>
        <v>0</v>
      </c>
      <c r="AJ595" s="4">
        <f>IF($A595=AJ$586,"",COUNTIF($E$4:$E$582,$A595&amp;" ضد "&amp;AJ$586)+COUNTIF($E$4:$E$582,AJ$586&amp;" ضد "&amp;$A595))</f>
        <v>0</v>
      </c>
      <c r="AK595" s="4">
        <f>IF($A595=AK$586,"",COUNTIF($E$4:$E$582,$A595&amp;" ضد "&amp;AK$586)+COUNTIF($E$4:$E$582,AK$586&amp;" ضد "&amp;$A595))</f>
        <v>0</v>
      </c>
      <c r="AL595" s="4">
        <f>IF($A595=AL$586,"",COUNTIF($E$4:$E$582,$A595&amp;" ضد "&amp;AL$586)+COUNTIF($E$4:$E$582,AL$586&amp;" ضد "&amp;$A595))</f>
        <v>0</v>
      </c>
      <c r="AM595" s="4">
        <f>IF($A595=AM$586,"",COUNTIF($E$4:$E$582,$A595&amp;" ضد "&amp;AM$586)+COUNTIF($E$4:$E$582,AM$586&amp;" ضد "&amp;$A595))</f>
        <v>0</v>
      </c>
      <c r="AN595" s="4">
        <f>IF($A595=AN$586,"",COUNTIF($E$4:$E$582,$A595&amp;" ضد "&amp;AN$586)+COUNTIF($E$4:$E$582,AN$586&amp;" ضد "&amp;$A595))</f>
        <v>0</v>
      </c>
      <c r="AO595" s="4">
        <f>IF($A595=AO$586,"",COUNTIF($E$4:$E$582,$A595&amp;" ضد "&amp;AO$586)+COUNTIF($E$4:$E$582,AO$586&amp;" ضد "&amp;$A595))</f>
        <v>0</v>
      </c>
      <c r="AP595" s="4">
        <f>IF($A595=AP$586,"",COUNTIF($E$4:$E$582,$A595&amp;" ضد "&amp;AP$586)+COUNTIF($E$4:$E$582,AP$586&amp;" ضد "&amp;$A595))</f>
        <v>0</v>
      </c>
      <c r="AQ595" s="4">
        <f>IF($A595=AQ$586,"",COUNTIF($E$4:$E$582,$A595&amp;" ضد "&amp;AQ$586)+COUNTIF($E$4:$E$582,AQ$586&amp;" ضد "&amp;$A595))</f>
        <v>0</v>
      </c>
      <c r="AR595" s="4">
        <f>IF($A595=AR$586,"",COUNTIF($E$4:$E$582,$A595&amp;" ضد "&amp;AR$586)+COUNTIF($E$4:$E$582,AR$586&amp;" ضد "&amp;$A595))</f>
        <v>0</v>
      </c>
      <c r="AS595" s="4">
        <f>IF($A595=AS$586,"",COUNTIF($E$4:$E$582,$A595&amp;" ضد "&amp;AS$586)+COUNTIF($E$4:$E$582,AS$586&amp;" ضد "&amp;$A595))</f>
        <v>0</v>
      </c>
      <c r="AT595" s="4">
        <f>IF($A595=AT$586,"",COUNTIF($E$4:$E$582,$A595&amp;" ضد "&amp;AT$586)+COUNTIF($E$4:$E$582,AT$586&amp;" ضد "&amp;$A595))</f>
        <v>0</v>
      </c>
      <c r="AU595" s="4">
        <f>IF($A595=AU$586,"",COUNTIF($E$4:$E$582,$A595&amp;" ضد "&amp;AU$586)+COUNTIF($E$4:$E$582,AU$586&amp;" ضد "&amp;$A595))</f>
        <v>0</v>
      </c>
      <c r="AV595" s="4">
        <f>IF($A595=AV$586,"",COUNTIF($E$4:$E$582,$A595&amp;" ضد "&amp;AV$586)+COUNTIF($E$4:$E$582,AV$586&amp;" ضد "&amp;$A595))</f>
        <v>0</v>
      </c>
      <c r="AW595" s="4">
        <f>IF($A595=AW$586,"",COUNTIF($E$4:$E$582,$A595&amp;" ضد "&amp;AW$586)+COUNTIF($E$4:$E$582,AW$586&amp;" ضد "&amp;$A595))</f>
        <v>0</v>
      </c>
      <c r="AX595" s="4">
        <f>IF($A595=AX$586,"",COUNTIF($E$4:$E$582,$A595&amp;" ضد "&amp;AX$586)+COUNTIF($E$4:$E$582,AX$586&amp;" ضد "&amp;$A595))</f>
        <v>0</v>
      </c>
      <c r="AY595" s="4">
        <f>IF($A595=AY$586,"",COUNTIF($E$4:$E$582,$A595&amp;" ضد "&amp;AY$586)+COUNTIF($E$4:$E$582,AY$586&amp;" ضد "&amp;$A595))</f>
        <v>0</v>
      </c>
      <c r="AZ595" s="4">
        <f>IF($A595=AZ$586,"",COUNTIF($E$4:$E$582,$A595&amp;" ضد "&amp;AZ$586)+COUNTIF($E$4:$E$582,AZ$586&amp;" ضد "&amp;$A595))</f>
        <v>0</v>
      </c>
      <c r="BA595" s="4">
        <f>IF($A595=BA$586,"",COUNTIF($E$4:$E$582,$A595&amp;" ضد "&amp;BA$586)+COUNTIF($E$4:$E$582,BA$586&amp;" ضد "&amp;$A595))</f>
        <v>0</v>
      </c>
      <c r="BB595" s="4">
        <f>IF($A595=BB$586,"",COUNTIF($E$4:$E$582,$A595&amp;" ضد "&amp;BB$586)+COUNTIF($E$4:$E$582,BB$586&amp;" ضد "&amp;$A595))</f>
        <v>0</v>
      </c>
      <c r="BC595" s="4">
        <f>IF($A595=BC$586,"",COUNTIF($E$4:$E$582,$A595&amp;" ضد "&amp;BC$586)+COUNTIF($E$4:$E$582,BC$586&amp;" ضد "&amp;$A595))</f>
        <v>0</v>
      </c>
      <c r="BD595" s="4">
        <f>IF($A595=BD$586,"",COUNTIF($E$4:$E$582,$A595&amp;" ضد "&amp;BD$586)+COUNTIF($E$4:$E$582,BD$586&amp;" ضد "&amp;$A595))</f>
        <v>0</v>
      </c>
      <c r="BE595" s="4">
        <f>IF($A595=BE$586,"",COUNTIF($E$4:$E$582,$A595&amp;" ضد "&amp;BE$586)+COUNTIF($E$4:$E$582,BE$586&amp;" ضد "&amp;$A595))</f>
        <v>0</v>
      </c>
      <c r="BF595" s="4">
        <f>IF($A595=BF$586,"",COUNTIF($E$4:$E$582,$A595&amp;" ضد "&amp;BF$586)+COUNTIF($E$4:$E$582,BF$586&amp;" ضد "&amp;$A595))</f>
        <v>0</v>
      </c>
      <c r="BG595" s="4">
        <f>IF($A595=BG$586,"",COUNTIF($E$4:$E$582,$A595&amp;" ضد "&amp;BG$586)+COUNTIF($E$4:$E$582,BG$586&amp;" ضد "&amp;$A595))</f>
        <v>0</v>
      </c>
      <c r="BH595" s="4">
        <f>IF($A595=BH$586,"",COUNTIF($E$4:$E$582,$A595&amp;" ضد "&amp;BH$586)+COUNTIF($E$4:$E$582,BH$586&amp;" ضد "&amp;$A595))</f>
        <v>0</v>
      </c>
      <c r="BI595" s="4">
        <f>IF($A595=BI$586,"",COUNTIF($E$4:$E$582,$A595&amp;" ضد "&amp;BI$586)+COUNTIF($E$4:$E$582,BI$586&amp;" ضد "&amp;$A595))</f>
        <v>0</v>
      </c>
      <c r="BJ595" s="4">
        <f>IF($A595=BJ$586,"",COUNTIF($E$4:$E$582,$A595&amp;" ضد "&amp;BJ$586)+COUNTIF($E$4:$E$582,BJ$586&amp;" ضد "&amp;$A595))</f>
        <v>0</v>
      </c>
      <c r="BK595" s="4">
        <f>IF($A595=BK$586,"",COUNTIF($E$4:$E$582,$A595&amp;" ضد "&amp;BK$586)+COUNTIF($E$4:$E$582,BK$586&amp;" ضد "&amp;$A595))</f>
        <v>0</v>
      </c>
      <c r="BL595" s="4">
        <f>IF($A595=BL$586,"",COUNTIF($E$4:$E$582,$A595&amp;" ضد "&amp;BL$586)+COUNTIF($E$4:$E$582,BL$586&amp;" ضد "&amp;$A595))</f>
        <v>0</v>
      </c>
      <c r="BM595" s="4">
        <f>IF($A595=BM$586,"",COUNTIF($E$4:$E$582,$A595&amp;" ضد "&amp;BM$586)+COUNTIF($E$4:$E$582,BM$586&amp;" ضد "&amp;$A595))</f>
        <v>0</v>
      </c>
    </row>
    <row r="596" spans="1:65" ht="14.5">
      <c r="A596" s="14">
        <v>10</v>
      </c>
      <c r="B596" s="4">
        <f>IF($A596=B$586,"",COUNTIF($E$4:$E$582,$A596&amp;" ضد "&amp;B$586)+COUNTIF($E$4:$E$582,B$586&amp;" ضد "&amp;$A596))</f>
        <v>1</v>
      </c>
      <c r="C596" s="4">
        <f>IF($A596=C$586,"",COUNTIF($E$4:$E$582,$A596&amp;" ضد "&amp;C$586)+COUNTIF($E$4:$E$582,C$586&amp;" ضد "&amp;$A596))</f>
        <v>1</v>
      </c>
      <c r="D596" s="4">
        <f>IF($A596=D$586,"",COUNTIF($E$4:$E$582,$A596&amp;" ضد "&amp;D$586)+COUNTIF($E$4:$E$582,D$586&amp;" ضد "&amp;$A596))</f>
        <v>2</v>
      </c>
      <c r="E596" s="4">
        <f>IF($A596=E$586,"",COUNTIF($E$4:$E$582,$A596&amp;" ضد "&amp;E$586)+COUNTIF($E$4:$E$582,E$586&amp;" ضد "&amp;$A596))</f>
        <v>1</v>
      </c>
      <c r="F596" s="4">
        <f>IF($A596=F$586,"",COUNTIF($E$4:$E$582,$A596&amp;" ضد "&amp;F$586)+COUNTIF($E$4:$E$582,F$586&amp;" ضد "&amp;$A596))</f>
        <v>2</v>
      </c>
      <c r="G596" s="4">
        <f>IF($A596=G$586,"",COUNTIF($E$4:$E$582,$A596&amp;" ضد "&amp;G$586)+COUNTIF($E$4:$E$582,G$586&amp;" ضد "&amp;$A596))</f>
        <v>1</v>
      </c>
      <c r="H596" s="4">
        <f>IF($A596=H$586,"",COUNTIF($E$4:$E$582,$A596&amp;" ضد "&amp;H$586)+COUNTIF($E$4:$E$582,H$586&amp;" ضد "&amp;$A596))</f>
        <v>2</v>
      </c>
      <c r="I596" s="4">
        <f>IF($A596=I$586,"",COUNTIF($E$4:$E$582,$A596&amp;" ضد "&amp;I$586)+COUNTIF($E$4:$E$582,I$586&amp;" ضد "&amp;$A596))</f>
        <v>1</v>
      </c>
      <c r="J596" s="4">
        <f>IF($A596=J$586,"",COUNTIF($E$4:$E$582,$A596&amp;" ضد "&amp;J$586)+COUNTIF($E$4:$E$582,J$586&amp;" ضد "&amp;$A596))</f>
        <v>1</v>
      </c>
      <c r="K596" s="4" t="str">
        <f>IF($A596=K$586,"",COUNTIF($E$4:$E$582,$A596&amp;" ضد "&amp;K$586)+COUNTIF($E$4:$E$582,K$586&amp;" ضد "&amp;$A596))</f>
        <v/>
      </c>
      <c r="L596" s="4">
        <f>IF($A596=L$586,"",COUNTIF($E$4:$E$582,$A596&amp;" ضد "&amp;L$586)+COUNTIF($E$4:$E$582,L$586&amp;" ضد "&amp;$A596))</f>
        <v>1</v>
      </c>
      <c r="M596" s="4">
        <f>IF($A596=M$586,"",COUNTIF($E$4:$E$582,$A596&amp;" ضد "&amp;M$586)+COUNTIF($E$4:$E$582,M$586&amp;" ضد "&amp;$A596))</f>
        <v>1</v>
      </c>
      <c r="N596" s="4">
        <f>IF($A596=N$586,"",COUNTIF($E$4:$E$582,$A596&amp;" ضد "&amp;N$586)+COUNTIF($E$4:$E$582,N$586&amp;" ضد "&amp;$A596))</f>
        <v>1</v>
      </c>
      <c r="O596" s="4">
        <f>IF($A596=O$586,"",COUNTIF($E$4:$E$582,$A596&amp;" ضد "&amp;O$586)+COUNTIF($E$4:$E$582,O$586&amp;" ضد "&amp;$A596))</f>
        <v>1</v>
      </c>
      <c r="P596" s="4">
        <f>IF($A596=P$586,"",COUNTIF($E$4:$E$582,$A596&amp;" ضد "&amp;P$586)+COUNTIF($E$4:$E$582,P$586&amp;" ضد "&amp;$A596))</f>
        <v>1</v>
      </c>
      <c r="Q596" s="4">
        <f>IF($A596=Q$586,"",COUNTIF($E$4:$E$582,$A596&amp;" ضد "&amp;Q$586)+COUNTIF($E$4:$E$582,Q$586&amp;" ضد "&amp;$A596))</f>
        <v>1</v>
      </c>
      <c r="R596" s="4">
        <f>IF($A596=R$586,"",COUNTIF($E$4:$E$582,$A596&amp;" ضد "&amp;R$586)+COUNTIF($E$4:$E$582,R$586&amp;" ضد "&amp;$A596))</f>
        <v>0</v>
      </c>
      <c r="S596" s="4">
        <f>IF($A596=S$586,"",COUNTIF($E$4:$E$582,$A596&amp;" ضد "&amp;S$586)+COUNTIF($E$4:$E$582,S$586&amp;" ضد "&amp;$A596))</f>
        <v>0</v>
      </c>
      <c r="T596" s="4">
        <f>IF($A596=T$586,"",COUNTIF($E$4:$E$582,$A596&amp;" ضد "&amp;T$586)+COUNTIF($E$4:$E$582,T$586&amp;" ضد "&amp;$A596))</f>
        <v>0</v>
      </c>
      <c r="U596" s="4">
        <f>IF($A596=U$586,"",COUNTIF($E$4:$E$582,$A596&amp;" ضد "&amp;U$586)+COUNTIF($E$4:$E$582,U$586&amp;" ضد "&amp;$A596))</f>
        <v>0</v>
      </c>
      <c r="V596" s="4">
        <f>IF($A596=V$586,"",COUNTIF($E$4:$E$582,$A596&amp;" ضد "&amp;V$586)+COUNTIF($E$4:$E$582,V$586&amp;" ضد "&amp;$A596))</f>
        <v>0</v>
      </c>
      <c r="W596" s="4">
        <f>IF($A596=W$586,"",COUNTIF($E$4:$E$582,$A596&amp;" ضد "&amp;W$586)+COUNTIF($E$4:$E$582,W$586&amp;" ضد "&amp;$A596))</f>
        <v>0</v>
      </c>
      <c r="X596" s="4">
        <f>IF($A596=X$586,"",COUNTIF($E$4:$E$582,$A596&amp;" ضد "&amp;X$586)+COUNTIF($E$4:$E$582,X$586&amp;" ضد "&amp;$A596))</f>
        <v>0</v>
      </c>
      <c r="Y596" s="4">
        <f>IF($A596=Y$586,"",COUNTIF($E$4:$E$582,$A596&amp;" ضد "&amp;Y$586)+COUNTIF($E$4:$E$582,Y$586&amp;" ضد "&amp;$A596))</f>
        <v>0</v>
      </c>
      <c r="Z596" s="4">
        <f>IF($A596=Z$586,"",COUNTIF($E$4:$E$582,$A596&amp;" ضد "&amp;Z$586)+COUNTIF($E$4:$E$582,Z$586&amp;" ضد "&amp;$A596))</f>
        <v>0</v>
      </c>
      <c r="AA596" s="4">
        <f>IF($A596=AA$586,"",COUNTIF($E$4:$E$582,$A596&amp;" ضد "&amp;AA$586)+COUNTIF($E$4:$E$582,AA$586&amp;" ضد "&amp;$A596))</f>
        <v>0</v>
      </c>
      <c r="AB596" s="4">
        <f>IF($A596=AB$586,"",COUNTIF($E$4:$E$582,$A596&amp;" ضد "&amp;AB$586)+COUNTIF($E$4:$E$582,AB$586&amp;" ضد "&amp;$A596))</f>
        <v>0</v>
      </c>
      <c r="AC596" s="4">
        <f>IF($A596=AC$586,"",COUNTIF($E$4:$E$582,$A596&amp;" ضد "&amp;AC$586)+COUNTIF($E$4:$E$582,AC$586&amp;" ضد "&amp;$A596))</f>
        <v>0</v>
      </c>
      <c r="AD596" s="4">
        <f>IF($A596=AD$586,"",COUNTIF($E$4:$E$582,$A596&amp;" ضد "&amp;AD$586)+COUNTIF($E$4:$E$582,AD$586&amp;" ضد "&amp;$A596))</f>
        <v>0</v>
      </c>
      <c r="AE596" s="4">
        <f>IF($A596=AE$586,"",COUNTIF($E$4:$E$582,$A596&amp;" ضد "&amp;AE$586)+COUNTIF($E$4:$E$582,AE$586&amp;" ضد "&amp;$A596))</f>
        <v>0</v>
      </c>
      <c r="AF596" s="4">
        <f>IF($A596=AF$586,"",COUNTIF($E$4:$E$582,$A596&amp;" ضد "&amp;AF$586)+COUNTIF($E$4:$E$582,AF$586&amp;" ضد "&amp;$A596))</f>
        <v>0</v>
      </c>
      <c r="AG596" s="4">
        <f>IF($A596=AG$586,"",COUNTIF($E$4:$E$582,$A596&amp;" ضد "&amp;AG$586)+COUNTIF($E$4:$E$582,AG$586&amp;" ضد "&amp;$A596))</f>
        <v>0</v>
      </c>
      <c r="AH596" s="4">
        <f>IF($A596=AH$586,"",COUNTIF($E$4:$E$582,$A596&amp;" ضد "&amp;AH$586)+COUNTIF($E$4:$E$582,AH$586&amp;" ضد "&amp;$A596))</f>
        <v>0</v>
      </c>
      <c r="AI596" s="4">
        <f>IF($A596=AI$586,"",COUNTIF($E$4:$E$582,$A596&amp;" ضد "&amp;AI$586)+COUNTIF($E$4:$E$582,AI$586&amp;" ضد "&amp;$A596))</f>
        <v>0</v>
      </c>
      <c r="AJ596" s="4">
        <f>IF($A596=AJ$586,"",COUNTIF($E$4:$E$582,$A596&amp;" ضد "&amp;AJ$586)+COUNTIF($E$4:$E$582,AJ$586&amp;" ضد "&amp;$A596))</f>
        <v>0</v>
      </c>
      <c r="AK596" s="4">
        <f>IF($A596=AK$586,"",COUNTIF($E$4:$E$582,$A596&amp;" ضد "&amp;AK$586)+COUNTIF($E$4:$E$582,AK$586&amp;" ضد "&amp;$A596))</f>
        <v>0</v>
      </c>
      <c r="AL596" s="4">
        <f>IF($A596=AL$586,"",COUNTIF($E$4:$E$582,$A596&amp;" ضد "&amp;AL$586)+COUNTIF($E$4:$E$582,AL$586&amp;" ضد "&amp;$A596))</f>
        <v>0</v>
      </c>
      <c r="AM596" s="4">
        <f>IF($A596=AM$586,"",COUNTIF($E$4:$E$582,$A596&amp;" ضد "&amp;AM$586)+COUNTIF($E$4:$E$582,AM$586&amp;" ضد "&amp;$A596))</f>
        <v>0</v>
      </c>
      <c r="AN596" s="4">
        <f>IF($A596=AN$586,"",COUNTIF($E$4:$E$582,$A596&amp;" ضد "&amp;AN$586)+COUNTIF($E$4:$E$582,AN$586&amp;" ضد "&amp;$A596))</f>
        <v>0</v>
      </c>
      <c r="AO596" s="4">
        <f>IF($A596=AO$586,"",COUNTIF($E$4:$E$582,$A596&amp;" ضد "&amp;AO$586)+COUNTIF($E$4:$E$582,AO$586&amp;" ضد "&amp;$A596))</f>
        <v>0</v>
      </c>
      <c r="AP596" s="4">
        <f>IF($A596=AP$586,"",COUNTIF($E$4:$E$582,$A596&amp;" ضد "&amp;AP$586)+COUNTIF($E$4:$E$582,AP$586&amp;" ضد "&amp;$A596))</f>
        <v>0</v>
      </c>
      <c r="AQ596" s="4">
        <f>IF($A596=AQ$586,"",COUNTIF($E$4:$E$582,$A596&amp;" ضد "&amp;AQ$586)+COUNTIF($E$4:$E$582,AQ$586&amp;" ضد "&amp;$A596))</f>
        <v>0</v>
      </c>
      <c r="AR596" s="4">
        <f>IF($A596=AR$586,"",COUNTIF($E$4:$E$582,$A596&amp;" ضد "&amp;AR$586)+COUNTIF($E$4:$E$582,AR$586&amp;" ضد "&amp;$A596))</f>
        <v>0</v>
      </c>
      <c r="AS596" s="4">
        <f>IF($A596=AS$586,"",COUNTIF($E$4:$E$582,$A596&amp;" ضد "&amp;AS$586)+COUNTIF($E$4:$E$582,AS$586&amp;" ضد "&amp;$A596))</f>
        <v>0</v>
      </c>
      <c r="AT596" s="4">
        <f>IF($A596=AT$586,"",COUNTIF($E$4:$E$582,$A596&amp;" ضد "&amp;AT$586)+COUNTIF($E$4:$E$582,AT$586&amp;" ضد "&amp;$A596))</f>
        <v>0</v>
      </c>
      <c r="AU596" s="4">
        <f>IF($A596=AU$586,"",COUNTIF($E$4:$E$582,$A596&amp;" ضد "&amp;AU$586)+COUNTIF($E$4:$E$582,AU$586&amp;" ضد "&amp;$A596))</f>
        <v>0</v>
      </c>
      <c r="AV596" s="4">
        <f>IF($A596=AV$586,"",COUNTIF($E$4:$E$582,$A596&amp;" ضد "&amp;AV$586)+COUNTIF($E$4:$E$582,AV$586&amp;" ضد "&amp;$A596))</f>
        <v>0</v>
      </c>
      <c r="AW596" s="4">
        <f>IF($A596=AW$586,"",COUNTIF($E$4:$E$582,$A596&amp;" ضد "&amp;AW$586)+COUNTIF($E$4:$E$582,AW$586&amp;" ضد "&amp;$A596))</f>
        <v>0</v>
      </c>
      <c r="AX596" s="4">
        <f>IF($A596=AX$586,"",COUNTIF($E$4:$E$582,$A596&amp;" ضد "&amp;AX$586)+COUNTIF($E$4:$E$582,AX$586&amp;" ضد "&amp;$A596))</f>
        <v>0</v>
      </c>
      <c r="AY596" s="4">
        <f>IF($A596=AY$586,"",COUNTIF($E$4:$E$582,$A596&amp;" ضد "&amp;AY$586)+COUNTIF($E$4:$E$582,AY$586&amp;" ضد "&amp;$A596))</f>
        <v>0</v>
      </c>
      <c r="AZ596" s="4">
        <f>IF($A596=AZ$586,"",COUNTIF($E$4:$E$582,$A596&amp;" ضد "&amp;AZ$586)+COUNTIF($E$4:$E$582,AZ$586&amp;" ضد "&amp;$A596))</f>
        <v>0</v>
      </c>
      <c r="BA596" s="4">
        <f>IF($A596=BA$586,"",COUNTIF($E$4:$E$582,$A596&amp;" ضد "&amp;BA$586)+COUNTIF($E$4:$E$582,BA$586&amp;" ضد "&amp;$A596))</f>
        <v>0</v>
      </c>
      <c r="BB596" s="4">
        <f>IF($A596=BB$586,"",COUNTIF($E$4:$E$582,$A596&amp;" ضد "&amp;BB$586)+COUNTIF($E$4:$E$582,BB$586&amp;" ضد "&amp;$A596))</f>
        <v>0</v>
      </c>
      <c r="BC596" s="4">
        <f>IF($A596=BC$586,"",COUNTIF($E$4:$E$582,$A596&amp;" ضد "&amp;BC$586)+COUNTIF($E$4:$E$582,BC$586&amp;" ضد "&amp;$A596))</f>
        <v>0</v>
      </c>
      <c r="BD596" s="4">
        <f>IF($A596=BD$586,"",COUNTIF($E$4:$E$582,$A596&amp;" ضد "&amp;BD$586)+COUNTIF($E$4:$E$582,BD$586&amp;" ضد "&amp;$A596))</f>
        <v>0</v>
      </c>
      <c r="BE596" s="4">
        <f>IF($A596=BE$586,"",COUNTIF($E$4:$E$582,$A596&amp;" ضد "&amp;BE$586)+COUNTIF($E$4:$E$582,BE$586&amp;" ضد "&amp;$A596))</f>
        <v>0</v>
      </c>
      <c r="BF596" s="4">
        <f>IF($A596=BF$586,"",COUNTIF($E$4:$E$582,$A596&amp;" ضد "&amp;BF$586)+COUNTIF($E$4:$E$582,BF$586&amp;" ضد "&amp;$A596))</f>
        <v>0</v>
      </c>
      <c r="BG596" s="4">
        <f>IF($A596=BG$586,"",COUNTIF($E$4:$E$582,$A596&amp;" ضد "&amp;BG$586)+COUNTIF($E$4:$E$582,BG$586&amp;" ضد "&amp;$A596))</f>
        <v>0</v>
      </c>
      <c r="BH596" s="4">
        <f>IF($A596=BH$586,"",COUNTIF($E$4:$E$582,$A596&amp;" ضد "&amp;BH$586)+COUNTIF($E$4:$E$582,BH$586&amp;" ضد "&amp;$A596))</f>
        <v>0</v>
      </c>
      <c r="BI596" s="4">
        <f>IF($A596=BI$586,"",COUNTIF($E$4:$E$582,$A596&amp;" ضد "&amp;BI$586)+COUNTIF($E$4:$E$582,BI$586&amp;" ضد "&amp;$A596))</f>
        <v>0</v>
      </c>
      <c r="BJ596" s="4">
        <f>IF($A596=BJ$586,"",COUNTIF($E$4:$E$582,$A596&amp;" ضد "&amp;BJ$586)+COUNTIF($E$4:$E$582,BJ$586&amp;" ضد "&amp;$A596))</f>
        <v>0</v>
      </c>
      <c r="BK596" s="4">
        <f>IF($A596=BK$586,"",COUNTIF($E$4:$E$582,$A596&amp;" ضد "&amp;BK$586)+COUNTIF($E$4:$E$582,BK$586&amp;" ضد "&amp;$A596))</f>
        <v>0</v>
      </c>
      <c r="BL596" s="4">
        <f>IF($A596=BL$586,"",COUNTIF($E$4:$E$582,$A596&amp;" ضد "&amp;BL$586)+COUNTIF($E$4:$E$582,BL$586&amp;" ضد "&amp;$A596))</f>
        <v>0</v>
      </c>
      <c r="BM596" s="4">
        <f>IF($A596=BM$586,"",COUNTIF($E$4:$E$582,$A596&amp;" ضد "&amp;BM$586)+COUNTIF($E$4:$E$582,BM$586&amp;" ضد "&amp;$A596))</f>
        <v>0</v>
      </c>
    </row>
    <row r="597" spans="1:65" ht="14.5">
      <c r="A597" s="14">
        <v>11</v>
      </c>
      <c r="B597" s="4">
        <f>IF($A597=B$586,"",COUNTIF($E$4:$E$582,$A597&amp;" ضد "&amp;B$586)+COUNTIF($E$4:$E$582,B$586&amp;" ضد "&amp;$A597))</f>
        <v>1</v>
      </c>
      <c r="C597" s="4">
        <f>IF($A597=C$586,"",COUNTIF($E$4:$E$582,$A597&amp;" ضد "&amp;C$586)+COUNTIF($E$4:$E$582,C$586&amp;" ضد "&amp;$A597))</f>
        <v>2</v>
      </c>
      <c r="D597" s="4">
        <f>IF($A597=D$586,"",COUNTIF($E$4:$E$582,$A597&amp;" ضد "&amp;D$586)+COUNTIF($E$4:$E$582,D$586&amp;" ضد "&amp;$A597))</f>
        <v>1</v>
      </c>
      <c r="E597" s="4">
        <f>IF($A597=E$586,"",COUNTIF($E$4:$E$582,$A597&amp;" ضد "&amp;E$586)+COUNTIF($E$4:$E$582,E$586&amp;" ضد "&amp;$A597))</f>
        <v>2</v>
      </c>
      <c r="F597" s="4">
        <f>IF($A597=F$586,"",COUNTIF($E$4:$E$582,$A597&amp;" ضد "&amp;F$586)+COUNTIF($E$4:$E$582,F$586&amp;" ضد "&amp;$A597))</f>
        <v>1</v>
      </c>
      <c r="G597" s="4">
        <f>IF($A597=G$586,"",COUNTIF($E$4:$E$582,$A597&amp;" ضد "&amp;G$586)+COUNTIF($E$4:$E$582,G$586&amp;" ضد "&amp;$A597))</f>
        <v>2</v>
      </c>
      <c r="H597" s="4">
        <f>IF($A597=H$586,"",COUNTIF($E$4:$E$582,$A597&amp;" ضد "&amp;H$586)+COUNTIF($E$4:$E$582,H$586&amp;" ضد "&amp;$A597))</f>
        <v>1</v>
      </c>
      <c r="I597" s="4">
        <f>IF($A597=I$586,"",COUNTIF($E$4:$E$582,$A597&amp;" ضد "&amp;I$586)+COUNTIF($E$4:$E$582,I$586&amp;" ضد "&amp;$A597))</f>
        <v>1</v>
      </c>
      <c r="J597" s="4">
        <f>IF($A597=J$586,"",COUNTIF($E$4:$E$582,$A597&amp;" ضد "&amp;J$586)+COUNTIF($E$4:$E$582,J$586&amp;" ضد "&amp;$A597))</f>
        <v>1</v>
      </c>
      <c r="K597" s="4">
        <f>IF($A597=K$586,"",COUNTIF($E$4:$E$582,$A597&amp;" ضد "&amp;K$586)+COUNTIF($E$4:$E$582,K$586&amp;" ضد "&amp;$A597))</f>
        <v>1</v>
      </c>
      <c r="L597" s="4" t="str">
        <f>IF($A597=L$586,"",COUNTIF($E$4:$E$582,$A597&amp;" ضد "&amp;L$586)+COUNTIF($E$4:$E$582,L$586&amp;" ضد "&amp;$A597))</f>
        <v/>
      </c>
      <c r="M597" s="4">
        <f>IF($A597=M$586,"",COUNTIF($E$4:$E$582,$A597&amp;" ضد "&amp;M$586)+COUNTIF($E$4:$E$582,M$586&amp;" ضد "&amp;$A597))</f>
        <v>1</v>
      </c>
      <c r="N597" s="4">
        <f>IF($A597=N$586,"",COUNTIF($E$4:$E$582,$A597&amp;" ضد "&amp;N$586)+COUNTIF($E$4:$E$582,N$586&amp;" ضد "&amp;$A597))</f>
        <v>1</v>
      </c>
      <c r="O597" s="4">
        <f>IF($A597=O$586,"",COUNTIF($E$4:$E$582,$A597&amp;" ضد "&amp;O$586)+COUNTIF($E$4:$E$582,O$586&amp;" ضد "&amp;$A597))</f>
        <v>1</v>
      </c>
      <c r="P597" s="4">
        <f>IF($A597=P$586,"",COUNTIF($E$4:$E$582,$A597&amp;" ضد "&amp;P$586)+COUNTIF($E$4:$E$582,P$586&amp;" ضد "&amp;$A597))</f>
        <v>1</v>
      </c>
      <c r="Q597" s="4">
        <f>IF($A597=Q$586,"",COUNTIF($E$4:$E$582,$A597&amp;" ضد "&amp;Q$586)+COUNTIF($E$4:$E$582,Q$586&amp;" ضد "&amp;$A597))</f>
        <v>1</v>
      </c>
      <c r="R597" s="4">
        <f>IF($A597=R$586,"",COUNTIF($E$4:$E$582,$A597&amp;" ضد "&amp;R$586)+COUNTIF($E$4:$E$582,R$586&amp;" ضد "&amp;$A597))</f>
        <v>0</v>
      </c>
      <c r="S597" s="4">
        <f>IF($A597=S$586,"",COUNTIF($E$4:$E$582,$A597&amp;" ضد "&amp;S$586)+COUNTIF($E$4:$E$582,S$586&amp;" ضد "&amp;$A597))</f>
        <v>0</v>
      </c>
      <c r="T597" s="4">
        <f>IF($A597=T$586,"",COUNTIF($E$4:$E$582,$A597&amp;" ضد "&amp;T$586)+COUNTIF($E$4:$E$582,T$586&amp;" ضد "&amp;$A597))</f>
        <v>0</v>
      </c>
      <c r="U597" s="4">
        <f>IF($A597=U$586,"",COUNTIF($E$4:$E$582,$A597&amp;" ضد "&amp;U$586)+COUNTIF($E$4:$E$582,U$586&amp;" ضد "&amp;$A597))</f>
        <v>0</v>
      </c>
      <c r="V597" s="4">
        <f>IF($A597=V$586,"",COUNTIF($E$4:$E$582,$A597&amp;" ضد "&amp;V$586)+COUNTIF($E$4:$E$582,V$586&amp;" ضد "&amp;$A597))</f>
        <v>0</v>
      </c>
      <c r="W597" s="4">
        <f>IF($A597=W$586,"",COUNTIF($E$4:$E$582,$A597&amp;" ضد "&amp;W$586)+COUNTIF($E$4:$E$582,W$586&amp;" ضد "&amp;$A597))</f>
        <v>0</v>
      </c>
      <c r="X597" s="4">
        <f>IF($A597=X$586,"",COUNTIF($E$4:$E$582,$A597&amp;" ضد "&amp;X$586)+COUNTIF($E$4:$E$582,X$586&amp;" ضد "&amp;$A597))</f>
        <v>0</v>
      </c>
      <c r="Y597" s="4">
        <f>IF($A597=Y$586,"",COUNTIF($E$4:$E$582,$A597&amp;" ضد "&amp;Y$586)+COUNTIF($E$4:$E$582,Y$586&amp;" ضد "&amp;$A597))</f>
        <v>0</v>
      </c>
      <c r="Z597" s="4">
        <f>IF($A597=Z$586,"",COUNTIF($E$4:$E$582,$A597&amp;" ضد "&amp;Z$586)+COUNTIF($E$4:$E$582,Z$586&amp;" ضد "&amp;$A597))</f>
        <v>0</v>
      </c>
      <c r="AA597" s="4">
        <f>IF($A597=AA$586,"",COUNTIF($E$4:$E$582,$A597&amp;" ضد "&amp;AA$586)+COUNTIF($E$4:$E$582,AA$586&amp;" ضد "&amp;$A597))</f>
        <v>0</v>
      </c>
      <c r="AB597" s="4">
        <f>IF($A597=AB$586,"",COUNTIF($E$4:$E$582,$A597&amp;" ضد "&amp;AB$586)+COUNTIF($E$4:$E$582,AB$586&amp;" ضد "&amp;$A597))</f>
        <v>0</v>
      </c>
      <c r="AC597" s="4">
        <f>IF($A597=AC$586,"",COUNTIF($E$4:$E$582,$A597&amp;" ضد "&amp;AC$586)+COUNTIF($E$4:$E$582,AC$586&amp;" ضد "&amp;$A597))</f>
        <v>0</v>
      </c>
      <c r="AD597" s="4">
        <f>IF($A597=AD$586,"",COUNTIF($E$4:$E$582,$A597&amp;" ضد "&amp;AD$586)+COUNTIF($E$4:$E$582,AD$586&amp;" ضد "&amp;$A597))</f>
        <v>0</v>
      </c>
      <c r="AE597" s="4">
        <f>IF($A597=AE$586,"",COUNTIF($E$4:$E$582,$A597&amp;" ضد "&amp;AE$586)+COUNTIF($E$4:$E$582,AE$586&amp;" ضد "&amp;$A597))</f>
        <v>0</v>
      </c>
      <c r="AF597" s="4">
        <f>IF($A597=AF$586,"",COUNTIF($E$4:$E$582,$A597&amp;" ضد "&amp;AF$586)+COUNTIF($E$4:$E$582,AF$586&amp;" ضد "&amp;$A597))</f>
        <v>0</v>
      </c>
      <c r="AG597" s="4">
        <f>IF($A597=AG$586,"",COUNTIF($E$4:$E$582,$A597&amp;" ضد "&amp;AG$586)+COUNTIF($E$4:$E$582,AG$586&amp;" ضد "&amp;$A597))</f>
        <v>0</v>
      </c>
      <c r="AH597" s="4">
        <f>IF($A597=AH$586,"",COUNTIF($E$4:$E$582,$A597&amp;" ضد "&amp;AH$586)+COUNTIF($E$4:$E$582,AH$586&amp;" ضد "&amp;$A597))</f>
        <v>0</v>
      </c>
      <c r="AI597" s="4">
        <f>IF($A597=AI$586,"",COUNTIF($E$4:$E$582,$A597&amp;" ضد "&amp;AI$586)+COUNTIF($E$4:$E$582,AI$586&amp;" ضد "&amp;$A597))</f>
        <v>0</v>
      </c>
      <c r="AJ597" s="4">
        <f>IF($A597=AJ$586,"",COUNTIF($E$4:$E$582,$A597&amp;" ضد "&amp;AJ$586)+COUNTIF($E$4:$E$582,AJ$586&amp;" ضد "&amp;$A597))</f>
        <v>0</v>
      </c>
      <c r="AK597" s="4">
        <f>IF($A597=AK$586,"",COUNTIF($E$4:$E$582,$A597&amp;" ضد "&amp;AK$586)+COUNTIF($E$4:$E$582,AK$586&amp;" ضد "&amp;$A597))</f>
        <v>0</v>
      </c>
      <c r="AL597" s="4">
        <f>IF($A597=AL$586,"",COUNTIF($E$4:$E$582,$A597&amp;" ضد "&amp;AL$586)+COUNTIF($E$4:$E$582,AL$586&amp;" ضد "&amp;$A597))</f>
        <v>0</v>
      </c>
      <c r="AM597" s="4">
        <f>IF($A597=AM$586,"",COUNTIF($E$4:$E$582,$A597&amp;" ضد "&amp;AM$586)+COUNTIF($E$4:$E$582,AM$586&amp;" ضد "&amp;$A597))</f>
        <v>0</v>
      </c>
      <c r="AN597" s="4">
        <f>IF($A597=AN$586,"",COUNTIF($E$4:$E$582,$A597&amp;" ضد "&amp;AN$586)+COUNTIF($E$4:$E$582,AN$586&amp;" ضد "&amp;$A597))</f>
        <v>0</v>
      </c>
      <c r="AO597" s="4">
        <f>IF($A597=AO$586,"",COUNTIF($E$4:$E$582,$A597&amp;" ضد "&amp;AO$586)+COUNTIF($E$4:$E$582,AO$586&amp;" ضد "&amp;$A597))</f>
        <v>0</v>
      </c>
      <c r="AP597" s="4">
        <f>IF($A597=AP$586,"",COUNTIF($E$4:$E$582,$A597&amp;" ضد "&amp;AP$586)+COUNTIF($E$4:$E$582,AP$586&amp;" ضد "&amp;$A597))</f>
        <v>0</v>
      </c>
      <c r="AQ597" s="4">
        <f>IF($A597=AQ$586,"",COUNTIF($E$4:$E$582,$A597&amp;" ضد "&amp;AQ$586)+COUNTIF($E$4:$E$582,AQ$586&amp;" ضد "&amp;$A597))</f>
        <v>0</v>
      </c>
      <c r="AR597" s="4">
        <f>IF($A597=AR$586,"",COUNTIF($E$4:$E$582,$A597&amp;" ضد "&amp;AR$586)+COUNTIF($E$4:$E$582,AR$586&amp;" ضد "&amp;$A597))</f>
        <v>0</v>
      </c>
      <c r="AS597" s="4">
        <f>IF($A597=AS$586,"",COUNTIF($E$4:$E$582,$A597&amp;" ضد "&amp;AS$586)+COUNTIF($E$4:$E$582,AS$586&amp;" ضد "&amp;$A597))</f>
        <v>0</v>
      </c>
      <c r="AT597" s="4">
        <f>IF($A597=AT$586,"",COUNTIF($E$4:$E$582,$A597&amp;" ضد "&amp;AT$586)+COUNTIF($E$4:$E$582,AT$586&amp;" ضد "&amp;$A597))</f>
        <v>0</v>
      </c>
      <c r="AU597" s="4">
        <f>IF($A597=AU$586,"",COUNTIF($E$4:$E$582,$A597&amp;" ضد "&amp;AU$586)+COUNTIF($E$4:$E$582,AU$586&amp;" ضد "&amp;$A597))</f>
        <v>0</v>
      </c>
      <c r="AV597" s="4">
        <f>IF($A597=AV$586,"",COUNTIF($E$4:$E$582,$A597&amp;" ضد "&amp;AV$586)+COUNTIF($E$4:$E$582,AV$586&amp;" ضد "&amp;$A597))</f>
        <v>0</v>
      </c>
      <c r="AW597" s="4">
        <f>IF($A597=AW$586,"",COUNTIF($E$4:$E$582,$A597&amp;" ضد "&amp;AW$586)+COUNTIF($E$4:$E$582,AW$586&amp;" ضد "&amp;$A597))</f>
        <v>0</v>
      </c>
      <c r="AX597" s="4">
        <f>IF($A597=AX$586,"",COUNTIF($E$4:$E$582,$A597&amp;" ضد "&amp;AX$586)+COUNTIF($E$4:$E$582,AX$586&amp;" ضد "&amp;$A597))</f>
        <v>0</v>
      </c>
      <c r="AY597" s="4">
        <f>IF($A597=AY$586,"",COUNTIF($E$4:$E$582,$A597&amp;" ضد "&amp;AY$586)+COUNTIF($E$4:$E$582,AY$586&amp;" ضد "&amp;$A597))</f>
        <v>0</v>
      </c>
      <c r="AZ597" s="4">
        <f>IF($A597=AZ$586,"",COUNTIF($E$4:$E$582,$A597&amp;" ضد "&amp;AZ$586)+COUNTIF($E$4:$E$582,AZ$586&amp;" ضد "&amp;$A597))</f>
        <v>0</v>
      </c>
      <c r="BA597" s="4">
        <f>IF($A597=BA$586,"",COUNTIF($E$4:$E$582,$A597&amp;" ضد "&amp;BA$586)+COUNTIF($E$4:$E$582,BA$586&amp;" ضد "&amp;$A597))</f>
        <v>0</v>
      </c>
      <c r="BB597" s="4">
        <f>IF($A597=BB$586,"",COUNTIF($E$4:$E$582,$A597&amp;" ضد "&amp;BB$586)+COUNTIF($E$4:$E$582,BB$586&amp;" ضد "&amp;$A597))</f>
        <v>0</v>
      </c>
      <c r="BC597" s="4">
        <f>IF($A597=BC$586,"",COUNTIF($E$4:$E$582,$A597&amp;" ضد "&amp;BC$586)+COUNTIF($E$4:$E$582,BC$586&amp;" ضد "&amp;$A597))</f>
        <v>0</v>
      </c>
      <c r="BD597" s="4">
        <f>IF($A597=BD$586,"",COUNTIF($E$4:$E$582,$A597&amp;" ضد "&amp;BD$586)+COUNTIF($E$4:$E$582,BD$586&amp;" ضد "&amp;$A597))</f>
        <v>0</v>
      </c>
      <c r="BE597" s="4">
        <f>IF($A597=BE$586,"",COUNTIF($E$4:$E$582,$A597&amp;" ضد "&amp;BE$586)+COUNTIF($E$4:$E$582,BE$586&amp;" ضد "&amp;$A597))</f>
        <v>0</v>
      </c>
      <c r="BF597" s="4">
        <f>IF($A597=BF$586,"",COUNTIF($E$4:$E$582,$A597&amp;" ضد "&amp;BF$586)+COUNTIF($E$4:$E$582,BF$586&amp;" ضد "&amp;$A597))</f>
        <v>0</v>
      </c>
      <c r="BG597" s="4">
        <f>IF($A597=BG$586,"",COUNTIF($E$4:$E$582,$A597&amp;" ضد "&amp;BG$586)+COUNTIF($E$4:$E$582,BG$586&amp;" ضد "&amp;$A597))</f>
        <v>0</v>
      </c>
      <c r="BH597" s="4">
        <f>IF($A597=BH$586,"",COUNTIF($E$4:$E$582,$A597&amp;" ضد "&amp;BH$586)+COUNTIF($E$4:$E$582,BH$586&amp;" ضد "&amp;$A597))</f>
        <v>0</v>
      </c>
      <c r="BI597" s="4">
        <f>IF($A597=BI$586,"",COUNTIF($E$4:$E$582,$A597&amp;" ضد "&amp;BI$586)+COUNTIF($E$4:$E$582,BI$586&amp;" ضد "&amp;$A597))</f>
        <v>0</v>
      </c>
      <c r="BJ597" s="4">
        <f>IF($A597=BJ$586,"",COUNTIF($E$4:$E$582,$A597&amp;" ضد "&amp;BJ$586)+COUNTIF($E$4:$E$582,BJ$586&amp;" ضد "&amp;$A597))</f>
        <v>0</v>
      </c>
      <c r="BK597" s="4">
        <f>IF($A597=BK$586,"",COUNTIF($E$4:$E$582,$A597&amp;" ضد "&amp;BK$586)+COUNTIF($E$4:$E$582,BK$586&amp;" ضد "&amp;$A597))</f>
        <v>0</v>
      </c>
      <c r="BL597" s="4">
        <f>IF($A597=BL$586,"",COUNTIF($E$4:$E$582,$A597&amp;" ضد "&amp;BL$586)+COUNTIF($E$4:$E$582,BL$586&amp;" ضد "&amp;$A597))</f>
        <v>0</v>
      </c>
      <c r="BM597" s="4">
        <f>IF($A597=BM$586,"",COUNTIF($E$4:$E$582,$A597&amp;" ضد "&amp;BM$586)+COUNTIF($E$4:$E$582,BM$586&amp;" ضد "&amp;$A597))</f>
        <v>0</v>
      </c>
    </row>
    <row r="598" spans="1:65" ht="14.5">
      <c r="A598" s="14">
        <v>12</v>
      </c>
      <c r="B598" s="4">
        <f>IF($A598=B$586,"",COUNTIF($E$4:$E$582,$A598&amp;" ضد "&amp;B$586)+COUNTIF($E$4:$E$582,B$586&amp;" ضد "&amp;$A598))</f>
        <v>1</v>
      </c>
      <c r="C598" s="4">
        <f>IF($A598=C$586,"",COUNTIF($E$4:$E$582,$A598&amp;" ضد "&amp;C$586)+COUNTIF($E$4:$E$582,C$586&amp;" ضد "&amp;$A598))</f>
        <v>1</v>
      </c>
      <c r="D598" s="4">
        <f>IF($A598=D$586,"",COUNTIF($E$4:$E$582,$A598&amp;" ضد "&amp;D$586)+COUNTIF($E$4:$E$582,D$586&amp;" ضد "&amp;$A598))</f>
        <v>2</v>
      </c>
      <c r="E598" s="4">
        <f>IF($A598=E$586,"",COUNTIF($E$4:$E$582,$A598&amp;" ضد "&amp;E$586)+COUNTIF($E$4:$E$582,E$586&amp;" ضد "&amp;$A598))</f>
        <v>1</v>
      </c>
      <c r="F598" s="4">
        <f>IF($A598=F$586,"",COUNTIF($E$4:$E$582,$A598&amp;" ضد "&amp;F$586)+COUNTIF($E$4:$E$582,F$586&amp;" ضد "&amp;$A598))</f>
        <v>2</v>
      </c>
      <c r="G598" s="4">
        <f>IF($A598=G$586,"",COUNTIF($E$4:$E$582,$A598&amp;" ضد "&amp;G$586)+COUNTIF($E$4:$E$582,G$586&amp;" ضد "&amp;$A598))</f>
        <v>1</v>
      </c>
      <c r="H598" s="4">
        <f>IF($A598=H$586,"",COUNTIF($E$4:$E$582,$A598&amp;" ضد "&amp;H$586)+COUNTIF($E$4:$E$582,H$586&amp;" ضد "&amp;$A598))</f>
        <v>1</v>
      </c>
      <c r="I598" s="4">
        <f>IF($A598=I$586,"",COUNTIF($E$4:$E$582,$A598&amp;" ضد "&amp;I$586)+COUNTIF($E$4:$E$582,I$586&amp;" ضد "&amp;$A598))</f>
        <v>1</v>
      </c>
      <c r="J598" s="4">
        <f>IF($A598=J$586,"",COUNTIF($E$4:$E$582,$A598&amp;" ضد "&amp;J$586)+COUNTIF($E$4:$E$582,J$586&amp;" ضد "&amp;$A598))</f>
        <v>1</v>
      </c>
      <c r="K598" s="4">
        <f>IF($A598=K$586,"",COUNTIF($E$4:$E$582,$A598&amp;" ضد "&amp;K$586)+COUNTIF($E$4:$E$582,K$586&amp;" ضد "&amp;$A598))</f>
        <v>1</v>
      </c>
      <c r="L598" s="4">
        <f>IF($A598=L$586,"",COUNTIF($E$4:$E$582,$A598&amp;" ضد "&amp;L$586)+COUNTIF($E$4:$E$582,L$586&amp;" ضد "&amp;$A598))</f>
        <v>1</v>
      </c>
      <c r="M598" s="4" t="str">
        <f>IF($A598=M$586,"",COUNTIF($E$4:$E$582,$A598&amp;" ضد "&amp;M$586)+COUNTIF($E$4:$E$582,M$586&amp;" ضد "&amp;$A598))</f>
        <v/>
      </c>
      <c r="N598" s="4">
        <f>IF($A598=N$586,"",COUNTIF($E$4:$E$582,$A598&amp;" ضد "&amp;N$586)+COUNTIF($E$4:$E$582,N$586&amp;" ضد "&amp;$A598))</f>
        <v>1</v>
      </c>
      <c r="O598" s="4">
        <f>IF($A598=O$586,"",COUNTIF($E$4:$E$582,$A598&amp;" ضد "&amp;O$586)+COUNTIF($E$4:$E$582,O$586&amp;" ضد "&amp;$A598))</f>
        <v>1</v>
      </c>
      <c r="P598" s="4">
        <f>IF($A598=P$586,"",COUNTIF($E$4:$E$582,$A598&amp;" ضد "&amp;P$586)+COUNTIF($E$4:$E$582,P$586&amp;" ضد "&amp;$A598))</f>
        <v>1</v>
      </c>
      <c r="Q598" s="4">
        <f>IF($A598=Q$586,"",COUNTIF($E$4:$E$582,$A598&amp;" ضد "&amp;Q$586)+COUNTIF($E$4:$E$582,Q$586&amp;" ضد "&amp;$A598))</f>
        <v>2</v>
      </c>
      <c r="R598" s="4">
        <f>IF($A598=R$586,"",COUNTIF($E$4:$E$582,$A598&amp;" ضد "&amp;R$586)+COUNTIF($E$4:$E$582,R$586&amp;" ضد "&amp;$A598))</f>
        <v>0</v>
      </c>
      <c r="S598" s="4">
        <f>IF($A598=S$586,"",COUNTIF($E$4:$E$582,$A598&amp;" ضد "&amp;S$586)+COUNTIF($E$4:$E$582,S$586&amp;" ضد "&amp;$A598))</f>
        <v>0</v>
      </c>
      <c r="T598" s="4">
        <f>IF($A598=T$586,"",COUNTIF($E$4:$E$582,$A598&amp;" ضد "&amp;T$586)+COUNTIF($E$4:$E$582,T$586&amp;" ضد "&amp;$A598))</f>
        <v>0</v>
      </c>
      <c r="U598" s="4">
        <f>IF($A598=U$586,"",COUNTIF($E$4:$E$582,$A598&amp;" ضد "&amp;U$586)+COUNTIF($E$4:$E$582,U$586&amp;" ضد "&amp;$A598))</f>
        <v>0</v>
      </c>
      <c r="V598" s="4">
        <f>IF($A598=V$586,"",COUNTIF($E$4:$E$582,$A598&amp;" ضد "&amp;V$586)+COUNTIF($E$4:$E$582,V$586&amp;" ضد "&amp;$A598))</f>
        <v>0</v>
      </c>
      <c r="W598" s="4">
        <f>IF($A598=W$586,"",COUNTIF($E$4:$E$582,$A598&amp;" ضد "&amp;W$586)+COUNTIF($E$4:$E$582,W$586&amp;" ضد "&amp;$A598))</f>
        <v>0</v>
      </c>
      <c r="X598" s="4">
        <f>IF($A598=X$586,"",COUNTIF($E$4:$E$582,$A598&amp;" ضد "&amp;X$586)+COUNTIF($E$4:$E$582,X$586&amp;" ضد "&amp;$A598))</f>
        <v>0</v>
      </c>
      <c r="Y598" s="4">
        <f>IF($A598=Y$586,"",COUNTIF($E$4:$E$582,$A598&amp;" ضد "&amp;Y$586)+COUNTIF($E$4:$E$582,Y$586&amp;" ضد "&amp;$A598))</f>
        <v>0</v>
      </c>
      <c r="Z598" s="4">
        <f>IF($A598=Z$586,"",COUNTIF($E$4:$E$582,$A598&amp;" ضد "&amp;Z$586)+COUNTIF($E$4:$E$582,Z$586&amp;" ضد "&amp;$A598))</f>
        <v>0</v>
      </c>
      <c r="AA598" s="4">
        <f>IF($A598=AA$586,"",COUNTIF($E$4:$E$582,$A598&amp;" ضد "&amp;AA$586)+COUNTIF($E$4:$E$582,AA$586&amp;" ضد "&amp;$A598))</f>
        <v>0</v>
      </c>
      <c r="AB598" s="4">
        <f>IF($A598=AB$586,"",COUNTIF($E$4:$E$582,$A598&amp;" ضد "&amp;AB$586)+COUNTIF($E$4:$E$582,AB$586&amp;" ضد "&amp;$A598))</f>
        <v>0</v>
      </c>
      <c r="AC598" s="4">
        <f>IF($A598=AC$586,"",COUNTIF($E$4:$E$582,$A598&amp;" ضد "&amp;AC$586)+COUNTIF($E$4:$E$582,AC$586&amp;" ضد "&amp;$A598))</f>
        <v>0</v>
      </c>
      <c r="AD598" s="4">
        <f>IF($A598=AD$586,"",COUNTIF($E$4:$E$582,$A598&amp;" ضد "&amp;AD$586)+COUNTIF($E$4:$E$582,AD$586&amp;" ضد "&amp;$A598))</f>
        <v>0</v>
      </c>
      <c r="AE598" s="4">
        <f>IF($A598=AE$586,"",COUNTIF($E$4:$E$582,$A598&amp;" ضد "&amp;AE$586)+COUNTIF($E$4:$E$582,AE$586&amp;" ضد "&amp;$A598))</f>
        <v>0</v>
      </c>
      <c r="AF598" s="4">
        <f>IF($A598=AF$586,"",COUNTIF($E$4:$E$582,$A598&amp;" ضد "&amp;AF$586)+COUNTIF($E$4:$E$582,AF$586&amp;" ضد "&amp;$A598))</f>
        <v>0</v>
      </c>
      <c r="AG598" s="4">
        <f>IF($A598=AG$586,"",COUNTIF($E$4:$E$582,$A598&amp;" ضد "&amp;AG$586)+COUNTIF($E$4:$E$582,AG$586&amp;" ضد "&amp;$A598))</f>
        <v>0</v>
      </c>
      <c r="AH598" s="4">
        <f>IF($A598=AH$586,"",COUNTIF($E$4:$E$582,$A598&amp;" ضد "&amp;AH$586)+COUNTIF($E$4:$E$582,AH$586&amp;" ضد "&amp;$A598))</f>
        <v>0</v>
      </c>
      <c r="AI598" s="4">
        <f>IF($A598=AI$586,"",COUNTIF($E$4:$E$582,$A598&amp;" ضد "&amp;AI$586)+COUNTIF($E$4:$E$582,AI$586&amp;" ضد "&amp;$A598))</f>
        <v>0</v>
      </c>
      <c r="AJ598" s="4">
        <f>IF($A598=AJ$586,"",COUNTIF($E$4:$E$582,$A598&amp;" ضد "&amp;AJ$586)+COUNTIF($E$4:$E$582,AJ$586&amp;" ضد "&amp;$A598))</f>
        <v>0</v>
      </c>
      <c r="AK598" s="4">
        <f>IF($A598=AK$586,"",COUNTIF($E$4:$E$582,$A598&amp;" ضد "&amp;AK$586)+COUNTIF($E$4:$E$582,AK$586&amp;" ضد "&amp;$A598))</f>
        <v>0</v>
      </c>
      <c r="AL598" s="4">
        <f>IF($A598=AL$586,"",COUNTIF($E$4:$E$582,$A598&amp;" ضد "&amp;AL$586)+COUNTIF($E$4:$E$582,AL$586&amp;" ضد "&amp;$A598))</f>
        <v>0</v>
      </c>
      <c r="AM598" s="4">
        <f>IF($A598=AM$586,"",COUNTIF($E$4:$E$582,$A598&amp;" ضد "&amp;AM$586)+COUNTIF($E$4:$E$582,AM$586&amp;" ضد "&amp;$A598))</f>
        <v>0</v>
      </c>
      <c r="AN598" s="4">
        <f>IF($A598=AN$586,"",COUNTIF($E$4:$E$582,$A598&amp;" ضد "&amp;AN$586)+COUNTIF($E$4:$E$582,AN$586&amp;" ضد "&amp;$A598))</f>
        <v>0</v>
      </c>
      <c r="AO598" s="4">
        <f>IF($A598=AO$586,"",COUNTIF($E$4:$E$582,$A598&amp;" ضد "&amp;AO$586)+COUNTIF($E$4:$E$582,AO$586&amp;" ضد "&amp;$A598))</f>
        <v>0</v>
      </c>
      <c r="AP598" s="4">
        <f>IF($A598=AP$586,"",COUNTIF($E$4:$E$582,$A598&amp;" ضد "&amp;AP$586)+COUNTIF($E$4:$E$582,AP$586&amp;" ضد "&amp;$A598))</f>
        <v>0</v>
      </c>
      <c r="AQ598" s="4">
        <f>IF($A598=AQ$586,"",COUNTIF($E$4:$E$582,$A598&amp;" ضد "&amp;AQ$586)+COUNTIF($E$4:$E$582,AQ$586&amp;" ضد "&amp;$A598))</f>
        <v>0</v>
      </c>
      <c r="AR598" s="4">
        <f>IF($A598=AR$586,"",COUNTIF($E$4:$E$582,$A598&amp;" ضد "&amp;AR$586)+COUNTIF($E$4:$E$582,AR$586&amp;" ضد "&amp;$A598))</f>
        <v>0</v>
      </c>
      <c r="AS598" s="4">
        <f>IF($A598=AS$586,"",COUNTIF($E$4:$E$582,$A598&amp;" ضد "&amp;AS$586)+COUNTIF($E$4:$E$582,AS$586&amp;" ضد "&amp;$A598))</f>
        <v>0</v>
      </c>
      <c r="AT598" s="4">
        <f>IF($A598=AT$586,"",COUNTIF($E$4:$E$582,$A598&amp;" ضد "&amp;AT$586)+COUNTIF($E$4:$E$582,AT$586&amp;" ضد "&amp;$A598))</f>
        <v>0</v>
      </c>
      <c r="AU598" s="4">
        <f>IF($A598=AU$586,"",COUNTIF($E$4:$E$582,$A598&amp;" ضد "&amp;AU$586)+COUNTIF($E$4:$E$582,AU$586&amp;" ضد "&amp;$A598))</f>
        <v>0</v>
      </c>
      <c r="AV598" s="4">
        <f>IF($A598=AV$586,"",COUNTIF($E$4:$E$582,$A598&amp;" ضد "&amp;AV$586)+COUNTIF($E$4:$E$582,AV$586&amp;" ضد "&amp;$A598))</f>
        <v>0</v>
      </c>
      <c r="AW598" s="4">
        <f>IF($A598=AW$586,"",COUNTIF($E$4:$E$582,$A598&amp;" ضد "&amp;AW$586)+COUNTIF($E$4:$E$582,AW$586&amp;" ضد "&amp;$A598))</f>
        <v>0</v>
      </c>
      <c r="AX598" s="4">
        <f>IF($A598=AX$586,"",COUNTIF($E$4:$E$582,$A598&amp;" ضد "&amp;AX$586)+COUNTIF($E$4:$E$582,AX$586&amp;" ضد "&amp;$A598))</f>
        <v>0</v>
      </c>
      <c r="AY598" s="4">
        <f>IF($A598=AY$586,"",COUNTIF($E$4:$E$582,$A598&amp;" ضد "&amp;AY$586)+COUNTIF($E$4:$E$582,AY$586&amp;" ضد "&amp;$A598))</f>
        <v>0</v>
      </c>
      <c r="AZ598" s="4">
        <f>IF($A598=AZ$586,"",COUNTIF($E$4:$E$582,$A598&amp;" ضد "&amp;AZ$586)+COUNTIF($E$4:$E$582,AZ$586&amp;" ضد "&amp;$A598))</f>
        <v>0</v>
      </c>
      <c r="BA598" s="4">
        <f>IF($A598=BA$586,"",COUNTIF($E$4:$E$582,$A598&amp;" ضد "&amp;BA$586)+COUNTIF($E$4:$E$582,BA$586&amp;" ضد "&amp;$A598))</f>
        <v>0</v>
      </c>
      <c r="BB598" s="4">
        <f>IF($A598=BB$586,"",COUNTIF($E$4:$E$582,$A598&amp;" ضد "&amp;BB$586)+COUNTIF($E$4:$E$582,BB$586&amp;" ضد "&amp;$A598))</f>
        <v>0</v>
      </c>
      <c r="BC598" s="4">
        <f>IF($A598=BC$586,"",COUNTIF($E$4:$E$582,$A598&amp;" ضد "&amp;BC$586)+COUNTIF($E$4:$E$582,BC$586&amp;" ضد "&amp;$A598))</f>
        <v>0</v>
      </c>
      <c r="BD598" s="4">
        <f>IF($A598=BD$586,"",COUNTIF($E$4:$E$582,$A598&amp;" ضد "&amp;BD$586)+COUNTIF($E$4:$E$582,BD$586&amp;" ضد "&amp;$A598))</f>
        <v>0</v>
      </c>
      <c r="BE598" s="4">
        <f>IF($A598=BE$586,"",COUNTIF($E$4:$E$582,$A598&amp;" ضد "&amp;BE$586)+COUNTIF($E$4:$E$582,BE$586&amp;" ضد "&amp;$A598))</f>
        <v>0</v>
      </c>
      <c r="BF598" s="4">
        <f>IF($A598=BF$586,"",COUNTIF($E$4:$E$582,$A598&amp;" ضد "&amp;BF$586)+COUNTIF($E$4:$E$582,BF$586&amp;" ضد "&amp;$A598))</f>
        <v>0</v>
      </c>
      <c r="BG598" s="4">
        <f>IF($A598=BG$586,"",COUNTIF($E$4:$E$582,$A598&amp;" ضد "&amp;BG$586)+COUNTIF($E$4:$E$582,BG$586&amp;" ضد "&amp;$A598))</f>
        <v>0</v>
      </c>
      <c r="BH598" s="4">
        <f>IF($A598=BH$586,"",COUNTIF($E$4:$E$582,$A598&amp;" ضد "&amp;BH$586)+COUNTIF($E$4:$E$582,BH$586&amp;" ضد "&amp;$A598))</f>
        <v>0</v>
      </c>
      <c r="BI598" s="4">
        <f>IF($A598=BI$586,"",COUNTIF($E$4:$E$582,$A598&amp;" ضد "&amp;BI$586)+COUNTIF($E$4:$E$582,BI$586&amp;" ضد "&amp;$A598))</f>
        <v>0</v>
      </c>
      <c r="BJ598" s="4">
        <f>IF($A598=BJ$586,"",COUNTIF($E$4:$E$582,$A598&amp;" ضد "&amp;BJ$586)+COUNTIF($E$4:$E$582,BJ$586&amp;" ضد "&amp;$A598))</f>
        <v>0</v>
      </c>
      <c r="BK598" s="4">
        <f>IF($A598=BK$586,"",COUNTIF($E$4:$E$582,$A598&amp;" ضد "&amp;BK$586)+COUNTIF($E$4:$E$582,BK$586&amp;" ضد "&amp;$A598))</f>
        <v>0</v>
      </c>
      <c r="BL598" s="4">
        <f>IF($A598=BL$586,"",COUNTIF($E$4:$E$582,$A598&amp;" ضد "&amp;BL$586)+COUNTIF($E$4:$E$582,BL$586&amp;" ضد "&amp;$A598))</f>
        <v>0</v>
      </c>
      <c r="BM598" s="4">
        <f>IF($A598=BM$586,"",COUNTIF($E$4:$E$582,$A598&amp;" ضد "&amp;BM$586)+COUNTIF($E$4:$E$582,BM$586&amp;" ضد "&amp;$A598))</f>
        <v>0</v>
      </c>
    </row>
    <row r="599" spans="1:65" ht="14.5">
      <c r="A599" s="14">
        <v>13</v>
      </c>
      <c r="B599" s="4">
        <f>IF($A599=B$586,"",COUNTIF($E$4:$E$582,$A599&amp;" ضد "&amp;B$586)+COUNTIF($E$4:$E$582,B$586&amp;" ضد "&amp;$A599))</f>
        <v>1</v>
      </c>
      <c r="C599" s="4">
        <f>IF($A599=C$586,"",COUNTIF($E$4:$E$582,$A599&amp;" ضد "&amp;C$586)+COUNTIF($E$4:$E$582,C$586&amp;" ضد "&amp;$A599))</f>
        <v>2</v>
      </c>
      <c r="D599" s="4">
        <f>IF($A599=D$586,"",COUNTIF($E$4:$E$582,$A599&amp;" ضد "&amp;D$586)+COUNTIF($E$4:$E$582,D$586&amp;" ضد "&amp;$A599))</f>
        <v>1</v>
      </c>
      <c r="E599" s="4">
        <f>IF($A599=E$586,"",COUNTIF($E$4:$E$582,$A599&amp;" ضد "&amp;E$586)+COUNTIF($E$4:$E$582,E$586&amp;" ضد "&amp;$A599))</f>
        <v>2</v>
      </c>
      <c r="F599" s="4">
        <f>IF($A599=F$586,"",COUNTIF($E$4:$E$582,$A599&amp;" ضد "&amp;F$586)+COUNTIF($E$4:$E$582,F$586&amp;" ضد "&amp;$A599))</f>
        <v>1</v>
      </c>
      <c r="G599" s="4">
        <f>IF($A599=G$586,"",COUNTIF($E$4:$E$582,$A599&amp;" ضد "&amp;G$586)+COUNTIF($E$4:$E$582,G$586&amp;" ضد "&amp;$A599))</f>
        <v>1</v>
      </c>
      <c r="H599" s="4">
        <f>IF($A599=H$586,"",COUNTIF($E$4:$E$582,$A599&amp;" ضد "&amp;H$586)+COUNTIF($E$4:$E$582,H$586&amp;" ضد "&amp;$A599))</f>
        <v>1</v>
      </c>
      <c r="I599" s="4">
        <f>IF($A599=I$586,"",COUNTIF($E$4:$E$582,$A599&amp;" ضد "&amp;I$586)+COUNTIF($E$4:$E$582,I$586&amp;" ضد "&amp;$A599))</f>
        <v>1</v>
      </c>
      <c r="J599" s="4">
        <f>IF($A599=J$586,"",COUNTIF($E$4:$E$582,$A599&amp;" ضد "&amp;J$586)+COUNTIF($E$4:$E$582,J$586&amp;" ضد "&amp;$A599))</f>
        <v>1</v>
      </c>
      <c r="K599" s="4">
        <f>IF($A599=K$586,"",COUNTIF($E$4:$E$582,$A599&amp;" ضد "&amp;K$586)+COUNTIF($E$4:$E$582,K$586&amp;" ضد "&amp;$A599))</f>
        <v>1</v>
      </c>
      <c r="L599" s="4">
        <f>IF($A599=L$586,"",COUNTIF($E$4:$E$582,$A599&amp;" ضد "&amp;L$586)+COUNTIF($E$4:$E$582,L$586&amp;" ضد "&amp;$A599))</f>
        <v>1</v>
      </c>
      <c r="M599" s="4">
        <f>IF($A599=M$586,"",COUNTIF($E$4:$E$582,$A599&amp;" ضد "&amp;M$586)+COUNTIF($E$4:$E$582,M$586&amp;" ضد "&amp;$A599))</f>
        <v>1</v>
      </c>
      <c r="N599" s="4" t="str">
        <f>IF($A599=N$586,"",COUNTIF($E$4:$E$582,$A599&amp;" ضد "&amp;N$586)+COUNTIF($E$4:$E$582,N$586&amp;" ضد "&amp;$A599))</f>
        <v/>
      </c>
      <c r="O599" s="4">
        <f>IF($A599=O$586,"",COUNTIF($E$4:$E$582,$A599&amp;" ضد "&amp;O$586)+COUNTIF($E$4:$E$582,O$586&amp;" ضد "&amp;$A599))</f>
        <v>1</v>
      </c>
      <c r="P599" s="4">
        <f>IF($A599=P$586,"",COUNTIF($E$4:$E$582,$A599&amp;" ضد "&amp;P$586)+COUNTIF($E$4:$E$582,P$586&amp;" ضد "&amp;$A599))</f>
        <v>2</v>
      </c>
      <c r="Q599" s="4">
        <f>IF($A599=Q$586,"",COUNTIF($E$4:$E$582,$A599&amp;" ضد "&amp;Q$586)+COUNTIF($E$4:$E$582,Q$586&amp;" ضد "&amp;$A599))</f>
        <v>1</v>
      </c>
      <c r="R599" s="4">
        <f>IF($A599=R$586,"",COUNTIF($E$4:$E$582,$A599&amp;" ضد "&amp;R$586)+COUNTIF($E$4:$E$582,R$586&amp;" ضد "&amp;$A599))</f>
        <v>0</v>
      </c>
      <c r="S599" s="4">
        <f>IF($A599=S$586,"",COUNTIF($E$4:$E$582,$A599&amp;" ضد "&amp;S$586)+COUNTIF($E$4:$E$582,S$586&amp;" ضد "&amp;$A599))</f>
        <v>0</v>
      </c>
      <c r="T599" s="4">
        <f>IF($A599=T$586,"",COUNTIF($E$4:$E$582,$A599&amp;" ضد "&amp;T$586)+COUNTIF($E$4:$E$582,T$586&amp;" ضد "&amp;$A599))</f>
        <v>0</v>
      </c>
      <c r="U599" s="4">
        <f>IF($A599=U$586,"",COUNTIF($E$4:$E$582,$A599&amp;" ضد "&amp;U$586)+COUNTIF($E$4:$E$582,U$586&amp;" ضد "&amp;$A599))</f>
        <v>0</v>
      </c>
      <c r="V599" s="4">
        <f>IF($A599=V$586,"",COUNTIF($E$4:$E$582,$A599&amp;" ضد "&amp;V$586)+COUNTIF($E$4:$E$582,V$586&amp;" ضد "&amp;$A599))</f>
        <v>0</v>
      </c>
      <c r="W599" s="4">
        <f>IF($A599=W$586,"",COUNTIF($E$4:$E$582,$A599&amp;" ضد "&amp;W$586)+COUNTIF($E$4:$E$582,W$586&amp;" ضد "&amp;$A599))</f>
        <v>0</v>
      </c>
      <c r="X599" s="4">
        <f>IF($A599=X$586,"",COUNTIF($E$4:$E$582,$A599&amp;" ضد "&amp;X$586)+COUNTIF($E$4:$E$582,X$586&amp;" ضد "&amp;$A599))</f>
        <v>0</v>
      </c>
      <c r="Y599" s="4">
        <f>IF($A599=Y$586,"",COUNTIF($E$4:$E$582,$A599&amp;" ضد "&amp;Y$586)+COUNTIF($E$4:$E$582,Y$586&amp;" ضد "&amp;$A599))</f>
        <v>0</v>
      </c>
      <c r="Z599" s="4">
        <f>IF($A599=Z$586,"",COUNTIF($E$4:$E$582,$A599&amp;" ضد "&amp;Z$586)+COUNTIF($E$4:$E$582,Z$586&amp;" ضد "&amp;$A599))</f>
        <v>0</v>
      </c>
      <c r="AA599" s="4">
        <f>IF($A599=AA$586,"",COUNTIF($E$4:$E$582,$A599&amp;" ضد "&amp;AA$586)+COUNTIF($E$4:$E$582,AA$586&amp;" ضد "&amp;$A599))</f>
        <v>0</v>
      </c>
      <c r="AB599" s="4">
        <f>IF($A599=AB$586,"",COUNTIF($E$4:$E$582,$A599&amp;" ضد "&amp;AB$586)+COUNTIF($E$4:$E$582,AB$586&amp;" ضد "&amp;$A599))</f>
        <v>0</v>
      </c>
      <c r="AC599" s="4">
        <f>IF($A599=AC$586,"",COUNTIF($E$4:$E$582,$A599&amp;" ضد "&amp;AC$586)+COUNTIF($E$4:$E$582,AC$586&amp;" ضد "&amp;$A599))</f>
        <v>0</v>
      </c>
      <c r="AD599" s="4">
        <f>IF($A599=AD$586,"",COUNTIF($E$4:$E$582,$A599&amp;" ضد "&amp;AD$586)+COUNTIF($E$4:$E$582,AD$586&amp;" ضد "&amp;$A599))</f>
        <v>0</v>
      </c>
      <c r="AE599" s="4">
        <f>IF($A599=AE$586,"",COUNTIF($E$4:$E$582,$A599&amp;" ضد "&amp;AE$586)+COUNTIF($E$4:$E$582,AE$586&amp;" ضد "&amp;$A599))</f>
        <v>0</v>
      </c>
      <c r="AF599" s="4">
        <f>IF($A599=AF$586,"",COUNTIF($E$4:$E$582,$A599&amp;" ضد "&amp;AF$586)+COUNTIF($E$4:$E$582,AF$586&amp;" ضد "&amp;$A599))</f>
        <v>0</v>
      </c>
      <c r="AG599" s="4">
        <f>IF($A599=AG$586,"",COUNTIF($E$4:$E$582,$A599&amp;" ضد "&amp;AG$586)+COUNTIF($E$4:$E$582,AG$586&amp;" ضد "&amp;$A599))</f>
        <v>0</v>
      </c>
      <c r="AH599" s="4">
        <f>IF($A599=AH$586,"",COUNTIF($E$4:$E$582,$A599&amp;" ضد "&amp;AH$586)+COUNTIF($E$4:$E$582,AH$586&amp;" ضد "&amp;$A599))</f>
        <v>0</v>
      </c>
      <c r="AI599" s="4">
        <f>IF($A599=AI$586,"",COUNTIF($E$4:$E$582,$A599&amp;" ضد "&amp;AI$586)+COUNTIF($E$4:$E$582,AI$586&amp;" ضد "&amp;$A599))</f>
        <v>0</v>
      </c>
      <c r="AJ599" s="4">
        <f>IF($A599=AJ$586,"",COUNTIF($E$4:$E$582,$A599&amp;" ضد "&amp;AJ$586)+COUNTIF($E$4:$E$582,AJ$586&amp;" ضد "&amp;$A599))</f>
        <v>0</v>
      </c>
      <c r="AK599" s="4">
        <f>IF($A599=AK$586,"",COUNTIF($E$4:$E$582,$A599&amp;" ضد "&amp;AK$586)+COUNTIF($E$4:$E$582,AK$586&amp;" ضد "&amp;$A599))</f>
        <v>0</v>
      </c>
      <c r="AL599" s="4">
        <f>IF($A599=AL$586,"",COUNTIF($E$4:$E$582,$A599&amp;" ضد "&amp;AL$586)+COUNTIF($E$4:$E$582,AL$586&amp;" ضد "&amp;$A599))</f>
        <v>0</v>
      </c>
      <c r="AM599" s="4">
        <f>IF($A599=AM$586,"",COUNTIF($E$4:$E$582,$A599&amp;" ضد "&amp;AM$586)+COUNTIF($E$4:$E$582,AM$586&amp;" ضد "&amp;$A599))</f>
        <v>0</v>
      </c>
      <c r="AN599" s="4">
        <f>IF($A599=AN$586,"",COUNTIF($E$4:$E$582,$A599&amp;" ضد "&amp;AN$586)+COUNTIF($E$4:$E$582,AN$586&amp;" ضد "&amp;$A599))</f>
        <v>0</v>
      </c>
      <c r="AO599" s="4">
        <f>IF($A599=AO$586,"",COUNTIF($E$4:$E$582,$A599&amp;" ضد "&amp;AO$586)+COUNTIF($E$4:$E$582,AO$586&amp;" ضد "&amp;$A599))</f>
        <v>0</v>
      </c>
      <c r="AP599" s="4">
        <f>IF($A599=AP$586,"",COUNTIF($E$4:$E$582,$A599&amp;" ضد "&amp;AP$586)+COUNTIF($E$4:$E$582,AP$586&amp;" ضد "&amp;$A599))</f>
        <v>0</v>
      </c>
      <c r="AQ599" s="4">
        <f>IF($A599=AQ$586,"",COUNTIF($E$4:$E$582,$A599&amp;" ضد "&amp;AQ$586)+COUNTIF($E$4:$E$582,AQ$586&amp;" ضد "&amp;$A599))</f>
        <v>0</v>
      </c>
      <c r="AR599" s="4">
        <f>IF($A599=AR$586,"",COUNTIF($E$4:$E$582,$A599&amp;" ضد "&amp;AR$586)+COUNTIF($E$4:$E$582,AR$586&amp;" ضد "&amp;$A599))</f>
        <v>0</v>
      </c>
      <c r="AS599" s="4">
        <f>IF($A599=AS$586,"",COUNTIF($E$4:$E$582,$A599&amp;" ضد "&amp;AS$586)+COUNTIF($E$4:$E$582,AS$586&amp;" ضد "&amp;$A599))</f>
        <v>0</v>
      </c>
      <c r="AT599" s="4">
        <f>IF($A599=AT$586,"",COUNTIF($E$4:$E$582,$A599&amp;" ضد "&amp;AT$586)+COUNTIF($E$4:$E$582,AT$586&amp;" ضد "&amp;$A599))</f>
        <v>0</v>
      </c>
      <c r="AU599" s="4">
        <f>IF($A599=AU$586,"",COUNTIF($E$4:$E$582,$A599&amp;" ضد "&amp;AU$586)+COUNTIF($E$4:$E$582,AU$586&amp;" ضد "&amp;$A599))</f>
        <v>0</v>
      </c>
      <c r="AV599" s="4">
        <f>IF($A599=AV$586,"",COUNTIF($E$4:$E$582,$A599&amp;" ضد "&amp;AV$586)+COUNTIF($E$4:$E$582,AV$586&amp;" ضد "&amp;$A599))</f>
        <v>0</v>
      </c>
      <c r="AW599" s="4">
        <f>IF($A599=AW$586,"",COUNTIF($E$4:$E$582,$A599&amp;" ضد "&amp;AW$586)+COUNTIF($E$4:$E$582,AW$586&amp;" ضد "&amp;$A599))</f>
        <v>0</v>
      </c>
      <c r="AX599" s="4">
        <f>IF($A599=AX$586,"",COUNTIF($E$4:$E$582,$A599&amp;" ضد "&amp;AX$586)+COUNTIF($E$4:$E$582,AX$586&amp;" ضد "&amp;$A599))</f>
        <v>0</v>
      </c>
      <c r="AY599" s="4">
        <f>IF($A599=AY$586,"",COUNTIF($E$4:$E$582,$A599&amp;" ضد "&amp;AY$586)+COUNTIF($E$4:$E$582,AY$586&amp;" ضد "&amp;$A599))</f>
        <v>0</v>
      </c>
      <c r="AZ599" s="4">
        <f>IF($A599=AZ$586,"",COUNTIF($E$4:$E$582,$A599&amp;" ضد "&amp;AZ$586)+COUNTIF($E$4:$E$582,AZ$586&amp;" ضد "&amp;$A599))</f>
        <v>0</v>
      </c>
      <c r="BA599" s="4">
        <f>IF($A599=BA$586,"",COUNTIF($E$4:$E$582,$A599&amp;" ضد "&amp;BA$586)+COUNTIF($E$4:$E$582,BA$586&amp;" ضد "&amp;$A599))</f>
        <v>0</v>
      </c>
      <c r="BB599" s="4">
        <f>IF($A599=BB$586,"",COUNTIF($E$4:$E$582,$A599&amp;" ضد "&amp;BB$586)+COUNTIF($E$4:$E$582,BB$586&amp;" ضد "&amp;$A599))</f>
        <v>0</v>
      </c>
      <c r="BC599" s="4">
        <f>IF($A599=BC$586,"",COUNTIF($E$4:$E$582,$A599&amp;" ضد "&amp;BC$586)+COUNTIF($E$4:$E$582,BC$586&amp;" ضد "&amp;$A599))</f>
        <v>0</v>
      </c>
      <c r="BD599" s="4">
        <f>IF($A599=BD$586,"",COUNTIF($E$4:$E$582,$A599&amp;" ضد "&amp;BD$586)+COUNTIF($E$4:$E$582,BD$586&amp;" ضد "&amp;$A599))</f>
        <v>0</v>
      </c>
      <c r="BE599" s="4">
        <f>IF($A599=BE$586,"",COUNTIF($E$4:$E$582,$A599&amp;" ضد "&amp;BE$586)+COUNTIF($E$4:$E$582,BE$586&amp;" ضد "&amp;$A599))</f>
        <v>0</v>
      </c>
      <c r="BF599" s="4">
        <f>IF($A599=BF$586,"",COUNTIF($E$4:$E$582,$A599&amp;" ضد "&amp;BF$586)+COUNTIF($E$4:$E$582,BF$586&amp;" ضد "&amp;$A599))</f>
        <v>0</v>
      </c>
      <c r="BG599" s="4">
        <f>IF($A599=BG$586,"",COUNTIF($E$4:$E$582,$A599&amp;" ضد "&amp;BG$586)+COUNTIF($E$4:$E$582,BG$586&amp;" ضد "&amp;$A599))</f>
        <v>0</v>
      </c>
      <c r="BH599" s="4">
        <f>IF($A599=BH$586,"",COUNTIF($E$4:$E$582,$A599&amp;" ضد "&amp;BH$586)+COUNTIF($E$4:$E$582,BH$586&amp;" ضد "&amp;$A599))</f>
        <v>0</v>
      </c>
      <c r="BI599" s="4">
        <f>IF($A599=BI$586,"",COUNTIF($E$4:$E$582,$A599&amp;" ضد "&amp;BI$586)+COUNTIF($E$4:$E$582,BI$586&amp;" ضد "&amp;$A599))</f>
        <v>0</v>
      </c>
      <c r="BJ599" s="4">
        <f>IF($A599=BJ$586,"",COUNTIF($E$4:$E$582,$A599&amp;" ضد "&amp;BJ$586)+COUNTIF($E$4:$E$582,BJ$586&amp;" ضد "&amp;$A599))</f>
        <v>0</v>
      </c>
      <c r="BK599" s="4">
        <f>IF($A599=BK$586,"",COUNTIF($E$4:$E$582,$A599&amp;" ضد "&amp;BK$586)+COUNTIF($E$4:$E$582,BK$586&amp;" ضد "&amp;$A599))</f>
        <v>0</v>
      </c>
      <c r="BL599" s="4">
        <f>IF($A599=BL$586,"",COUNTIF($E$4:$E$582,$A599&amp;" ضد "&amp;BL$586)+COUNTIF($E$4:$E$582,BL$586&amp;" ضد "&amp;$A599))</f>
        <v>0</v>
      </c>
      <c r="BM599" s="4">
        <f>IF($A599=BM$586,"",COUNTIF($E$4:$E$582,$A599&amp;" ضد "&amp;BM$586)+COUNTIF($E$4:$E$582,BM$586&amp;" ضد "&amp;$A599))</f>
        <v>0</v>
      </c>
    </row>
    <row r="600" spans="1:65" ht="14.5">
      <c r="A600" s="14">
        <v>14</v>
      </c>
      <c r="B600" s="4">
        <f>IF($A600=B$586,"",COUNTIF($E$4:$E$582,$A600&amp;" ضد "&amp;B$586)+COUNTIF($E$4:$E$582,B$586&amp;" ضد "&amp;$A600))</f>
        <v>2</v>
      </c>
      <c r="C600" s="4">
        <f>IF($A600=C$586,"",COUNTIF($E$4:$E$582,$A600&amp;" ضد "&amp;C$586)+COUNTIF($E$4:$E$582,C$586&amp;" ضد "&amp;$A600))</f>
        <v>1</v>
      </c>
      <c r="D600" s="4">
        <f>IF($A600=D$586,"",COUNTIF($E$4:$E$582,$A600&amp;" ضد "&amp;D$586)+COUNTIF($E$4:$E$582,D$586&amp;" ضد "&amp;$A600))</f>
        <v>2</v>
      </c>
      <c r="E600" s="4">
        <f>IF($A600=E$586,"",COUNTIF($E$4:$E$582,$A600&amp;" ضد "&amp;E$586)+COUNTIF($E$4:$E$582,E$586&amp;" ضد "&amp;$A600))</f>
        <v>1</v>
      </c>
      <c r="F600" s="4">
        <f>IF($A600=F$586,"",COUNTIF($E$4:$E$582,$A600&amp;" ضد "&amp;F$586)+COUNTIF($E$4:$E$582,F$586&amp;" ضد "&amp;$A600))</f>
        <v>1</v>
      </c>
      <c r="G600" s="4">
        <f>IF($A600=G$586,"",COUNTIF($E$4:$E$582,$A600&amp;" ضد "&amp;G$586)+COUNTIF($E$4:$E$582,G$586&amp;" ضد "&amp;$A600))</f>
        <v>1</v>
      </c>
      <c r="H600" s="4">
        <f>IF($A600=H$586,"",COUNTIF($E$4:$E$582,$A600&amp;" ضد "&amp;H$586)+COUNTIF($E$4:$E$582,H$586&amp;" ضد "&amp;$A600))</f>
        <v>1</v>
      </c>
      <c r="I600" s="4">
        <f>IF($A600=I$586,"",COUNTIF($E$4:$E$582,$A600&amp;" ضد "&amp;I$586)+COUNTIF($E$4:$E$582,I$586&amp;" ضد "&amp;$A600))</f>
        <v>1</v>
      </c>
      <c r="J600" s="4">
        <f>IF($A600=J$586,"",COUNTIF($E$4:$E$582,$A600&amp;" ضد "&amp;J$586)+COUNTIF($E$4:$E$582,J$586&amp;" ضد "&amp;$A600))</f>
        <v>1</v>
      </c>
      <c r="K600" s="4">
        <f>IF($A600=K$586,"",COUNTIF($E$4:$E$582,$A600&amp;" ضد "&amp;K$586)+COUNTIF($E$4:$E$582,K$586&amp;" ضد "&amp;$A600))</f>
        <v>1</v>
      </c>
      <c r="L600" s="4">
        <f>IF($A600=L$586,"",COUNTIF($E$4:$E$582,$A600&amp;" ضد "&amp;L$586)+COUNTIF($E$4:$E$582,L$586&amp;" ضد "&amp;$A600))</f>
        <v>1</v>
      </c>
      <c r="M600" s="4">
        <f>IF($A600=M$586,"",COUNTIF($E$4:$E$582,$A600&amp;" ضد "&amp;M$586)+COUNTIF($E$4:$E$582,M$586&amp;" ضد "&amp;$A600))</f>
        <v>1</v>
      </c>
      <c r="N600" s="4">
        <f>IF($A600=N$586,"",COUNTIF($E$4:$E$582,$A600&amp;" ضد "&amp;N$586)+COUNTIF($E$4:$E$582,N$586&amp;" ضد "&amp;$A600))</f>
        <v>1</v>
      </c>
      <c r="O600" s="4" t="str">
        <f>IF($A600=O$586,"",COUNTIF($E$4:$E$582,$A600&amp;" ضد "&amp;O$586)+COUNTIF($E$4:$E$582,O$586&amp;" ضد "&amp;$A600))</f>
        <v/>
      </c>
      <c r="P600" s="4">
        <f>IF($A600=P$586,"",COUNTIF($E$4:$E$582,$A600&amp;" ضد "&amp;P$586)+COUNTIF($E$4:$E$582,P$586&amp;" ضد "&amp;$A600))</f>
        <v>1</v>
      </c>
      <c r="Q600" s="4">
        <f>IF($A600=Q$586,"",COUNTIF($E$4:$E$582,$A600&amp;" ضد "&amp;Q$586)+COUNTIF($E$4:$E$582,Q$586&amp;" ضد "&amp;$A600))</f>
        <v>2</v>
      </c>
      <c r="R600" s="4">
        <f>IF($A600=R$586,"",COUNTIF($E$4:$E$582,$A600&amp;" ضد "&amp;R$586)+COUNTIF($E$4:$E$582,R$586&amp;" ضد "&amp;$A600))</f>
        <v>0</v>
      </c>
      <c r="S600" s="4">
        <f>IF($A600=S$586,"",COUNTIF($E$4:$E$582,$A600&amp;" ضد "&amp;S$586)+COUNTIF($E$4:$E$582,S$586&amp;" ضد "&amp;$A600))</f>
        <v>0</v>
      </c>
      <c r="T600" s="4">
        <f>IF($A600=T$586,"",COUNTIF($E$4:$E$582,$A600&amp;" ضد "&amp;T$586)+COUNTIF($E$4:$E$582,T$586&amp;" ضد "&amp;$A600))</f>
        <v>0</v>
      </c>
      <c r="U600" s="4">
        <f>IF($A600=U$586,"",COUNTIF($E$4:$E$582,$A600&amp;" ضد "&amp;U$586)+COUNTIF($E$4:$E$582,U$586&amp;" ضد "&amp;$A600))</f>
        <v>0</v>
      </c>
      <c r="V600" s="4">
        <f>IF($A600=V$586,"",COUNTIF($E$4:$E$582,$A600&amp;" ضد "&amp;V$586)+COUNTIF($E$4:$E$582,V$586&amp;" ضد "&amp;$A600))</f>
        <v>0</v>
      </c>
      <c r="W600" s="4">
        <f>IF($A600=W$586,"",COUNTIF($E$4:$E$582,$A600&amp;" ضد "&amp;W$586)+COUNTIF($E$4:$E$582,W$586&amp;" ضد "&amp;$A600))</f>
        <v>0</v>
      </c>
      <c r="X600" s="4">
        <f>IF($A600=X$586,"",COUNTIF($E$4:$E$582,$A600&amp;" ضد "&amp;X$586)+COUNTIF($E$4:$E$582,X$586&amp;" ضد "&amp;$A600))</f>
        <v>0</v>
      </c>
      <c r="Y600" s="4">
        <f>IF($A600=Y$586,"",COUNTIF($E$4:$E$582,$A600&amp;" ضد "&amp;Y$586)+COUNTIF($E$4:$E$582,Y$586&amp;" ضد "&amp;$A600))</f>
        <v>0</v>
      </c>
      <c r="Z600" s="4">
        <f>IF($A600=Z$586,"",COUNTIF($E$4:$E$582,$A600&amp;" ضد "&amp;Z$586)+COUNTIF($E$4:$E$582,Z$586&amp;" ضد "&amp;$A600))</f>
        <v>0</v>
      </c>
      <c r="AA600" s="4">
        <f>IF($A600=AA$586,"",COUNTIF($E$4:$E$582,$A600&amp;" ضد "&amp;AA$586)+COUNTIF($E$4:$E$582,AA$586&amp;" ضد "&amp;$A600))</f>
        <v>0</v>
      </c>
      <c r="AB600" s="4">
        <f>IF($A600=AB$586,"",COUNTIF($E$4:$E$582,$A600&amp;" ضد "&amp;AB$586)+COUNTIF($E$4:$E$582,AB$586&amp;" ضد "&amp;$A600))</f>
        <v>0</v>
      </c>
      <c r="AC600" s="4">
        <f>IF($A600=AC$586,"",COUNTIF($E$4:$E$582,$A600&amp;" ضد "&amp;AC$586)+COUNTIF($E$4:$E$582,AC$586&amp;" ضد "&amp;$A600))</f>
        <v>0</v>
      </c>
      <c r="AD600" s="4">
        <f>IF($A600=AD$586,"",COUNTIF($E$4:$E$582,$A600&amp;" ضد "&amp;AD$586)+COUNTIF($E$4:$E$582,AD$586&amp;" ضد "&amp;$A600))</f>
        <v>0</v>
      </c>
      <c r="AE600" s="4">
        <f>IF($A600=AE$586,"",COUNTIF($E$4:$E$582,$A600&amp;" ضد "&amp;AE$586)+COUNTIF($E$4:$E$582,AE$586&amp;" ضد "&amp;$A600))</f>
        <v>0</v>
      </c>
      <c r="AF600" s="4">
        <f>IF($A600=AF$586,"",COUNTIF($E$4:$E$582,$A600&amp;" ضد "&amp;AF$586)+COUNTIF($E$4:$E$582,AF$586&amp;" ضد "&amp;$A600))</f>
        <v>0</v>
      </c>
      <c r="AG600" s="4">
        <f>IF($A600=AG$586,"",COUNTIF($E$4:$E$582,$A600&amp;" ضد "&amp;AG$586)+COUNTIF($E$4:$E$582,AG$586&amp;" ضد "&amp;$A600))</f>
        <v>0</v>
      </c>
      <c r="AH600" s="4">
        <f>IF($A600=AH$586,"",COUNTIF($E$4:$E$582,$A600&amp;" ضد "&amp;AH$586)+COUNTIF($E$4:$E$582,AH$586&amp;" ضد "&amp;$A600))</f>
        <v>0</v>
      </c>
      <c r="AI600" s="4">
        <f>IF($A600=AI$586,"",COUNTIF($E$4:$E$582,$A600&amp;" ضد "&amp;AI$586)+COUNTIF($E$4:$E$582,AI$586&amp;" ضد "&amp;$A600))</f>
        <v>0</v>
      </c>
      <c r="AJ600" s="4">
        <f>IF($A600=AJ$586,"",COUNTIF($E$4:$E$582,$A600&amp;" ضد "&amp;AJ$586)+COUNTIF($E$4:$E$582,AJ$586&amp;" ضد "&amp;$A600))</f>
        <v>0</v>
      </c>
      <c r="AK600" s="4">
        <f>IF($A600=AK$586,"",COUNTIF($E$4:$E$582,$A600&amp;" ضد "&amp;AK$586)+COUNTIF($E$4:$E$582,AK$586&amp;" ضد "&amp;$A600))</f>
        <v>0</v>
      </c>
      <c r="AL600" s="4">
        <f>IF($A600=AL$586,"",COUNTIF($E$4:$E$582,$A600&amp;" ضد "&amp;AL$586)+COUNTIF($E$4:$E$582,AL$586&amp;" ضد "&amp;$A600))</f>
        <v>0</v>
      </c>
      <c r="AM600" s="4">
        <f>IF($A600=AM$586,"",COUNTIF($E$4:$E$582,$A600&amp;" ضد "&amp;AM$586)+COUNTIF($E$4:$E$582,AM$586&amp;" ضد "&amp;$A600))</f>
        <v>0</v>
      </c>
      <c r="AN600" s="4">
        <f>IF($A600=AN$586,"",COUNTIF($E$4:$E$582,$A600&amp;" ضد "&amp;AN$586)+COUNTIF($E$4:$E$582,AN$586&amp;" ضد "&amp;$A600))</f>
        <v>0</v>
      </c>
      <c r="AO600" s="4">
        <f>IF($A600=AO$586,"",COUNTIF($E$4:$E$582,$A600&amp;" ضد "&amp;AO$586)+COUNTIF($E$4:$E$582,AO$586&amp;" ضد "&amp;$A600))</f>
        <v>0</v>
      </c>
      <c r="AP600" s="4">
        <f>IF($A600=AP$586,"",COUNTIF($E$4:$E$582,$A600&amp;" ضد "&amp;AP$586)+COUNTIF($E$4:$E$582,AP$586&amp;" ضد "&amp;$A600))</f>
        <v>0</v>
      </c>
      <c r="AQ600" s="4">
        <f>IF($A600=AQ$586,"",COUNTIF($E$4:$E$582,$A600&amp;" ضد "&amp;AQ$586)+COUNTIF($E$4:$E$582,AQ$586&amp;" ضد "&amp;$A600))</f>
        <v>0</v>
      </c>
      <c r="AR600" s="4">
        <f>IF($A600=AR$586,"",COUNTIF($E$4:$E$582,$A600&amp;" ضد "&amp;AR$586)+COUNTIF($E$4:$E$582,AR$586&amp;" ضد "&amp;$A600))</f>
        <v>0</v>
      </c>
      <c r="AS600" s="4">
        <f>IF($A600=AS$586,"",COUNTIF($E$4:$E$582,$A600&amp;" ضد "&amp;AS$586)+COUNTIF($E$4:$E$582,AS$586&amp;" ضد "&amp;$A600))</f>
        <v>0</v>
      </c>
      <c r="AT600" s="4">
        <f>IF($A600=AT$586,"",COUNTIF($E$4:$E$582,$A600&amp;" ضد "&amp;AT$586)+COUNTIF($E$4:$E$582,AT$586&amp;" ضد "&amp;$A600))</f>
        <v>0</v>
      </c>
      <c r="AU600" s="4">
        <f>IF($A600=AU$586,"",COUNTIF($E$4:$E$582,$A600&amp;" ضد "&amp;AU$586)+COUNTIF($E$4:$E$582,AU$586&amp;" ضد "&amp;$A600))</f>
        <v>0</v>
      </c>
      <c r="AV600" s="4">
        <f>IF($A600=AV$586,"",COUNTIF($E$4:$E$582,$A600&amp;" ضد "&amp;AV$586)+COUNTIF($E$4:$E$582,AV$586&amp;" ضد "&amp;$A600))</f>
        <v>0</v>
      </c>
      <c r="AW600" s="4">
        <f>IF($A600=AW$586,"",COUNTIF($E$4:$E$582,$A600&amp;" ضد "&amp;AW$586)+COUNTIF($E$4:$E$582,AW$586&amp;" ضد "&amp;$A600))</f>
        <v>0</v>
      </c>
      <c r="AX600" s="4">
        <f>IF($A600=AX$586,"",COUNTIF($E$4:$E$582,$A600&amp;" ضد "&amp;AX$586)+COUNTIF($E$4:$E$582,AX$586&amp;" ضد "&amp;$A600))</f>
        <v>0</v>
      </c>
      <c r="AY600" s="4">
        <f>IF($A600=AY$586,"",COUNTIF($E$4:$E$582,$A600&amp;" ضد "&amp;AY$586)+COUNTIF($E$4:$E$582,AY$586&amp;" ضد "&amp;$A600))</f>
        <v>0</v>
      </c>
      <c r="AZ600" s="4">
        <f>IF($A600=AZ$586,"",COUNTIF($E$4:$E$582,$A600&amp;" ضد "&amp;AZ$586)+COUNTIF($E$4:$E$582,AZ$586&amp;" ضد "&amp;$A600))</f>
        <v>0</v>
      </c>
      <c r="BA600" s="4">
        <f>IF($A600=BA$586,"",COUNTIF($E$4:$E$582,$A600&amp;" ضد "&amp;BA$586)+COUNTIF($E$4:$E$582,BA$586&amp;" ضد "&amp;$A600))</f>
        <v>0</v>
      </c>
      <c r="BB600" s="4">
        <f>IF($A600=BB$586,"",COUNTIF($E$4:$E$582,$A600&amp;" ضد "&amp;BB$586)+COUNTIF($E$4:$E$582,BB$586&amp;" ضد "&amp;$A600))</f>
        <v>0</v>
      </c>
      <c r="BC600" s="4">
        <f>IF($A600=BC$586,"",COUNTIF($E$4:$E$582,$A600&amp;" ضد "&amp;BC$586)+COUNTIF($E$4:$E$582,BC$586&amp;" ضد "&amp;$A600))</f>
        <v>0</v>
      </c>
      <c r="BD600" s="4">
        <f>IF($A600=BD$586,"",COUNTIF($E$4:$E$582,$A600&amp;" ضد "&amp;BD$586)+COUNTIF($E$4:$E$582,BD$586&amp;" ضد "&amp;$A600))</f>
        <v>0</v>
      </c>
      <c r="BE600" s="4">
        <f>IF($A600=BE$586,"",COUNTIF($E$4:$E$582,$A600&amp;" ضد "&amp;BE$586)+COUNTIF($E$4:$E$582,BE$586&amp;" ضد "&amp;$A600))</f>
        <v>0</v>
      </c>
      <c r="BF600" s="4">
        <f>IF($A600=BF$586,"",COUNTIF($E$4:$E$582,$A600&amp;" ضد "&amp;BF$586)+COUNTIF($E$4:$E$582,BF$586&amp;" ضد "&amp;$A600))</f>
        <v>0</v>
      </c>
      <c r="BG600" s="4">
        <f>IF($A600=BG$586,"",COUNTIF($E$4:$E$582,$A600&amp;" ضد "&amp;BG$586)+COUNTIF($E$4:$E$582,BG$586&amp;" ضد "&amp;$A600))</f>
        <v>0</v>
      </c>
      <c r="BH600" s="4">
        <f>IF($A600=BH$586,"",COUNTIF($E$4:$E$582,$A600&amp;" ضد "&amp;BH$586)+COUNTIF($E$4:$E$582,BH$586&amp;" ضد "&amp;$A600))</f>
        <v>0</v>
      </c>
      <c r="BI600" s="4">
        <f>IF($A600=BI$586,"",COUNTIF($E$4:$E$582,$A600&amp;" ضد "&amp;BI$586)+COUNTIF($E$4:$E$582,BI$586&amp;" ضد "&amp;$A600))</f>
        <v>0</v>
      </c>
      <c r="BJ600" s="4">
        <f>IF($A600=BJ$586,"",COUNTIF($E$4:$E$582,$A600&amp;" ضد "&amp;BJ$586)+COUNTIF($E$4:$E$582,BJ$586&amp;" ضد "&amp;$A600))</f>
        <v>0</v>
      </c>
      <c r="BK600" s="4">
        <f>IF($A600=BK$586,"",COUNTIF($E$4:$E$582,$A600&amp;" ضد "&amp;BK$586)+COUNTIF($E$4:$E$582,BK$586&amp;" ضد "&amp;$A600))</f>
        <v>0</v>
      </c>
      <c r="BL600" s="4">
        <f>IF($A600=BL$586,"",COUNTIF($E$4:$E$582,$A600&amp;" ضد "&amp;BL$586)+COUNTIF($E$4:$E$582,BL$586&amp;" ضد "&amp;$A600))</f>
        <v>0</v>
      </c>
      <c r="BM600" s="4">
        <f>IF($A600=BM$586,"",COUNTIF($E$4:$E$582,$A600&amp;" ضد "&amp;BM$586)+COUNTIF($E$4:$E$582,BM$586&amp;" ضد "&amp;$A600))</f>
        <v>0</v>
      </c>
    </row>
    <row r="601" spans="1:65" ht="14.5">
      <c r="A601" s="14">
        <v>15</v>
      </c>
      <c r="B601" s="4">
        <f>IF($A601=B$586,"",COUNTIF($E$4:$E$582,$A601&amp;" ضد "&amp;B$586)+COUNTIF($E$4:$E$582,B$586&amp;" ضد "&amp;$A601))</f>
        <v>2</v>
      </c>
      <c r="C601" s="4">
        <f>IF($A601=C$586,"",COUNTIF($E$4:$E$582,$A601&amp;" ضد "&amp;C$586)+COUNTIF($E$4:$E$582,C$586&amp;" ضد "&amp;$A601))</f>
        <v>2</v>
      </c>
      <c r="D601" s="4">
        <f>IF($A601=D$586,"",COUNTIF($E$4:$E$582,$A601&amp;" ضد "&amp;D$586)+COUNTIF($E$4:$E$582,D$586&amp;" ضد "&amp;$A601))</f>
        <v>1</v>
      </c>
      <c r="E601" s="4">
        <f>IF($A601=E$586,"",COUNTIF($E$4:$E$582,$A601&amp;" ضد "&amp;E$586)+COUNTIF($E$4:$E$582,E$586&amp;" ضد "&amp;$A601))</f>
        <v>1</v>
      </c>
      <c r="F601" s="4">
        <f>IF($A601=F$586,"",COUNTIF($E$4:$E$582,$A601&amp;" ضد "&amp;F$586)+COUNTIF($E$4:$E$582,F$586&amp;" ضد "&amp;$A601))</f>
        <v>1</v>
      </c>
      <c r="G601" s="4">
        <f>IF($A601=G$586,"",COUNTIF($E$4:$E$582,$A601&amp;" ضد "&amp;G$586)+COUNTIF($E$4:$E$582,G$586&amp;" ضد "&amp;$A601))</f>
        <v>1</v>
      </c>
      <c r="H601" s="4">
        <f>IF($A601=H$586,"",COUNTIF($E$4:$E$582,$A601&amp;" ضد "&amp;H$586)+COUNTIF($E$4:$E$582,H$586&amp;" ضد "&amp;$A601))</f>
        <v>1</v>
      </c>
      <c r="I601" s="4">
        <f>IF($A601=I$586,"",COUNTIF($E$4:$E$582,$A601&amp;" ضد "&amp;I$586)+COUNTIF($E$4:$E$582,I$586&amp;" ضد "&amp;$A601))</f>
        <v>1</v>
      </c>
      <c r="J601" s="4">
        <f>IF($A601=J$586,"",COUNTIF($E$4:$E$582,$A601&amp;" ضد "&amp;J$586)+COUNTIF($E$4:$E$582,J$586&amp;" ضد "&amp;$A601))</f>
        <v>1</v>
      </c>
      <c r="K601" s="4">
        <f>IF($A601=K$586,"",COUNTIF($E$4:$E$582,$A601&amp;" ضد "&amp;K$586)+COUNTIF($E$4:$E$582,K$586&amp;" ضد "&amp;$A601))</f>
        <v>1</v>
      </c>
      <c r="L601" s="4">
        <f>IF($A601=L$586,"",COUNTIF($E$4:$E$582,$A601&amp;" ضد "&amp;L$586)+COUNTIF($E$4:$E$582,L$586&amp;" ضد "&amp;$A601))</f>
        <v>1</v>
      </c>
      <c r="M601" s="4">
        <f>IF($A601=M$586,"",COUNTIF($E$4:$E$582,$A601&amp;" ضد "&amp;M$586)+COUNTIF($E$4:$E$582,M$586&amp;" ضد "&amp;$A601))</f>
        <v>1</v>
      </c>
      <c r="N601" s="4">
        <f>IF($A601=N$586,"",COUNTIF($E$4:$E$582,$A601&amp;" ضد "&amp;N$586)+COUNTIF($E$4:$E$582,N$586&amp;" ضد "&amp;$A601))</f>
        <v>2</v>
      </c>
      <c r="O601" s="4">
        <f>IF($A601=O$586,"",COUNTIF($E$4:$E$582,$A601&amp;" ضد "&amp;O$586)+COUNTIF($E$4:$E$582,O$586&amp;" ضد "&amp;$A601))</f>
        <v>1</v>
      </c>
      <c r="P601" s="4" t="str">
        <f>IF($A601=P$586,"",COUNTIF($E$4:$E$582,$A601&amp;" ضد "&amp;P$586)+COUNTIF($E$4:$E$582,P$586&amp;" ضد "&amp;$A601))</f>
        <v/>
      </c>
      <c r="Q601" s="4">
        <f>IF($A601=Q$586,"",COUNTIF($E$4:$E$582,$A601&amp;" ضد "&amp;Q$586)+COUNTIF($E$4:$E$582,Q$586&amp;" ضد "&amp;$A601))</f>
        <v>1</v>
      </c>
      <c r="R601" s="4">
        <f>IF($A601=R$586,"",COUNTIF($E$4:$E$582,$A601&amp;" ضد "&amp;R$586)+COUNTIF($E$4:$E$582,R$586&amp;" ضد "&amp;$A601))</f>
        <v>0</v>
      </c>
      <c r="S601" s="4">
        <f>IF($A601=S$586,"",COUNTIF($E$4:$E$582,$A601&amp;" ضد "&amp;S$586)+COUNTIF($E$4:$E$582,S$586&amp;" ضد "&amp;$A601))</f>
        <v>0</v>
      </c>
      <c r="T601" s="4">
        <f>IF($A601=T$586,"",COUNTIF($E$4:$E$582,$A601&amp;" ضد "&amp;T$586)+COUNTIF($E$4:$E$582,T$586&amp;" ضد "&amp;$A601))</f>
        <v>0</v>
      </c>
      <c r="U601" s="4">
        <f>IF($A601=U$586,"",COUNTIF($E$4:$E$582,$A601&amp;" ضد "&amp;U$586)+COUNTIF($E$4:$E$582,U$586&amp;" ضد "&amp;$A601))</f>
        <v>0</v>
      </c>
      <c r="V601" s="4">
        <f>IF($A601=V$586,"",COUNTIF($E$4:$E$582,$A601&amp;" ضد "&amp;V$586)+COUNTIF($E$4:$E$582,V$586&amp;" ضد "&amp;$A601))</f>
        <v>0</v>
      </c>
      <c r="W601" s="4">
        <f>IF($A601=W$586,"",COUNTIF($E$4:$E$582,$A601&amp;" ضد "&amp;W$586)+COUNTIF($E$4:$E$582,W$586&amp;" ضد "&amp;$A601))</f>
        <v>0</v>
      </c>
      <c r="X601" s="4">
        <f>IF($A601=X$586,"",COUNTIF($E$4:$E$582,$A601&amp;" ضد "&amp;X$586)+COUNTIF($E$4:$E$582,X$586&amp;" ضد "&amp;$A601))</f>
        <v>0</v>
      </c>
      <c r="Y601" s="4">
        <f>IF($A601=Y$586,"",COUNTIF($E$4:$E$582,$A601&amp;" ضد "&amp;Y$586)+COUNTIF($E$4:$E$582,Y$586&amp;" ضد "&amp;$A601))</f>
        <v>0</v>
      </c>
      <c r="Z601" s="4">
        <f>IF($A601=Z$586,"",COUNTIF($E$4:$E$582,$A601&amp;" ضد "&amp;Z$586)+COUNTIF($E$4:$E$582,Z$586&amp;" ضد "&amp;$A601))</f>
        <v>0</v>
      </c>
      <c r="AA601" s="4">
        <f>IF($A601=AA$586,"",COUNTIF($E$4:$E$582,$A601&amp;" ضد "&amp;AA$586)+COUNTIF($E$4:$E$582,AA$586&amp;" ضد "&amp;$A601))</f>
        <v>0</v>
      </c>
      <c r="AB601" s="4">
        <f>IF($A601=AB$586,"",COUNTIF($E$4:$E$582,$A601&amp;" ضد "&amp;AB$586)+COUNTIF($E$4:$E$582,AB$586&amp;" ضد "&amp;$A601))</f>
        <v>0</v>
      </c>
      <c r="AC601" s="4">
        <f>IF($A601=AC$586,"",COUNTIF($E$4:$E$582,$A601&amp;" ضد "&amp;AC$586)+COUNTIF($E$4:$E$582,AC$586&amp;" ضد "&amp;$A601))</f>
        <v>0</v>
      </c>
      <c r="AD601" s="4">
        <f>IF($A601=AD$586,"",COUNTIF($E$4:$E$582,$A601&amp;" ضد "&amp;AD$586)+COUNTIF($E$4:$E$582,AD$586&amp;" ضد "&amp;$A601))</f>
        <v>0</v>
      </c>
      <c r="AE601" s="4">
        <f>IF($A601=AE$586,"",COUNTIF($E$4:$E$582,$A601&amp;" ضد "&amp;AE$586)+COUNTIF($E$4:$E$582,AE$586&amp;" ضد "&amp;$A601))</f>
        <v>0</v>
      </c>
      <c r="AF601" s="4">
        <f>IF($A601=AF$586,"",COUNTIF($E$4:$E$582,$A601&amp;" ضد "&amp;AF$586)+COUNTIF($E$4:$E$582,AF$586&amp;" ضد "&amp;$A601))</f>
        <v>0</v>
      </c>
      <c r="AG601" s="4">
        <f>IF($A601=AG$586,"",COUNTIF($E$4:$E$582,$A601&amp;" ضد "&amp;AG$586)+COUNTIF($E$4:$E$582,AG$586&amp;" ضد "&amp;$A601))</f>
        <v>0</v>
      </c>
      <c r="AH601" s="4">
        <f>IF($A601=AH$586,"",COUNTIF($E$4:$E$582,$A601&amp;" ضد "&amp;AH$586)+COUNTIF($E$4:$E$582,AH$586&amp;" ضد "&amp;$A601))</f>
        <v>0</v>
      </c>
      <c r="AI601" s="4">
        <f>IF($A601=AI$586,"",COUNTIF($E$4:$E$582,$A601&amp;" ضد "&amp;AI$586)+COUNTIF($E$4:$E$582,AI$586&amp;" ضد "&amp;$A601))</f>
        <v>0</v>
      </c>
      <c r="AJ601" s="4">
        <f>IF($A601=AJ$586,"",COUNTIF($E$4:$E$582,$A601&amp;" ضد "&amp;AJ$586)+COUNTIF($E$4:$E$582,AJ$586&amp;" ضد "&amp;$A601))</f>
        <v>0</v>
      </c>
      <c r="AK601" s="4">
        <f>IF($A601=AK$586,"",COUNTIF($E$4:$E$582,$A601&amp;" ضد "&amp;AK$586)+COUNTIF($E$4:$E$582,AK$586&amp;" ضد "&amp;$A601))</f>
        <v>0</v>
      </c>
      <c r="AL601" s="4">
        <f>IF($A601=AL$586,"",COUNTIF($E$4:$E$582,$A601&amp;" ضد "&amp;AL$586)+COUNTIF($E$4:$E$582,AL$586&amp;" ضد "&amp;$A601))</f>
        <v>0</v>
      </c>
      <c r="AM601" s="4">
        <f>IF($A601=AM$586,"",COUNTIF($E$4:$E$582,$A601&amp;" ضد "&amp;AM$586)+COUNTIF($E$4:$E$582,AM$586&amp;" ضد "&amp;$A601))</f>
        <v>0</v>
      </c>
      <c r="AN601" s="4">
        <f>IF($A601=AN$586,"",COUNTIF($E$4:$E$582,$A601&amp;" ضد "&amp;AN$586)+COUNTIF($E$4:$E$582,AN$586&amp;" ضد "&amp;$A601))</f>
        <v>0</v>
      </c>
      <c r="AO601" s="4">
        <f>IF($A601=AO$586,"",COUNTIF($E$4:$E$582,$A601&amp;" ضد "&amp;AO$586)+COUNTIF($E$4:$E$582,AO$586&amp;" ضد "&amp;$A601))</f>
        <v>0</v>
      </c>
      <c r="AP601" s="4">
        <f>IF($A601=AP$586,"",COUNTIF($E$4:$E$582,$A601&amp;" ضد "&amp;AP$586)+COUNTIF($E$4:$E$582,AP$586&amp;" ضد "&amp;$A601))</f>
        <v>0</v>
      </c>
      <c r="AQ601" s="4">
        <f>IF($A601=AQ$586,"",COUNTIF($E$4:$E$582,$A601&amp;" ضد "&amp;AQ$586)+COUNTIF($E$4:$E$582,AQ$586&amp;" ضد "&amp;$A601))</f>
        <v>0</v>
      </c>
      <c r="AR601" s="4">
        <f>IF($A601=AR$586,"",COUNTIF($E$4:$E$582,$A601&amp;" ضد "&amp;AR$586)+COUNTIF($E$4:$E$582,AR$586&amp;" ضد "&amp;$A601))</f>
        <v>0</v>
      </c>
      <c r="AS601" s="4">
        <f>IF($A601=AS$586,"",COUNTIF($E$4:$E$582,$A601&amp;" ضد "&amp;AS$586)+COUNTIF($E$4:$E$582,AS$586&amp;" ضد "&amp;$A601))</f>
        <v>0</v>
      </c>
      <c r="AT601" s="4">
        <f>IF($A601=AT$586,"",COUNTIF($E$4:$E$582,$A601&amp;" ضد "&amp;AT$586)+COUNTIF($E$4:$E$582,AT$586&amp;" ضد "&amp;$A601))</f>
        <v>0</v>
      </c>
      <c r="AU601" s="4">
        <f>IF($A601=AU$586,"",COUNTIF($E$4:$E$582,$A601&amp;" ضد "&amp;AU$586)+COUNTIF($E$4:$E$582,AU$586&amp;" ضد "&amp;$A601))</f>
        <v>0</v>
      </c>
      <c r="AV601" s="4">
        <f>IF($A601=AV$586,"",COUNTIF($E$4:$E$582,$A601&amp;" ضد "&amp;AV$586)+COUNTIF($E$4:$E$582,AV$586&amp;" ضد "&amp;$A601))</f>
        <v>0</v>
      </c>
      <c r="AW601" s="4">
        <f>IF($A601=AW$586,"",COUNTIF($E$4:$E$582,$A601&amp;" ضد "&amp;AW$586)+COUNTIF($E$4:$E$582,AW$586&amp;" ضد "&amp;$A601))</f>
        <v>0</v>
      </c>
      <c r="AX601" s="4">
        <f>IF($A601=AX$586,"",COUNTIF($E$4:$E$582,$A601&amp;" ضد "&amp;AX$586)+COUNTIF($E$4:$E$582,AX$586&amp;" ضد "&amp;$A601))</f>
        <v>0</v>
      </c>
      <c r="AY601" s="4">
        <f>IF($A601=AY$586,"",COUNTIF($E$4:$E$582,$A601&amp;" ضد "&amp;AY$586)+COUNTIF($E$4:$E$582,AY$586&amp;" ضد "&amp;$A601))</f>
        <v>0</v>
      </c>
      <c r="AZ601" s="4">
        <f>IF($A601=AZ$586,"",COUNTIF($E$4:$E$582,$A601&amp;" ضد "&amp;AZ$586)+COUNTIF($E$4:$E$582,AZ$586&amp;" ضد "&amp;$A601))</f>
        <v>0</v>
      </c>
      <c r="BA601" s="4">
        <f>IF($A601=BA$586,"",COUNTIF($E$4:$E$582,$A601&amp;" ضد "&amp;BA$586)+COUNTIF($E$4:$E$582,BA$586&amp;" ضد "&amp;$A601))</f>
        <v>0</v>
      </c>
      <c r="BB601" s="4">
        <f>IF($A601=BB$586,"",COUNTIF($E$4:$E$582,$A601&amp;" ضد "&amp;BB$586)+COUNTIF($E$4:$E$582,BB$586&amp;" ضد "&amp;$A601))</f>
        <v>0</v>
      </c>
      <c r="BC601" s="4">
        <f>IF($A601=BC$586,"",COUNTIF($E$4:$E$582,$A601&amp;" ضد "&amp;BC$586)+COUNTIF($E$4:$E$582,BC$586&amp;" ضد "&amp;$A601))</f>
        <v>0</v>
      </c>
      <c r="BD601" s="4">
        <f>IF($A601=BD$586,"",COUNTIF($E$4:$E$582,$A601&amp;" ضد "&amp;BD$586)+COUNTIF($E$4:$E$582,BD$586&amp;" ضد "&amp;$A601))</f>
        <v>0</v>
      </c>
      <c r="BE601" s="4">
        <f>IF($A601=BE$586,"",COUNTIF($E$4:$E$582,$A601&amp;" ضد "&amp;BE$586)+COUNTIF($E$4:$E$582,BE$586&amp;" ضد "&amp;$A601))</f>
        <v>0</v>
      </c>
      <c r="BF601" s="4">
        <f>IF($A601=BF$586,"",COUNTIF($E$4:$E$582,$A601&amp;" ضد "&amp;BF$586)+COUNTIF($E$4:$E$582,BF$586&amp;" ضد "&amp;$A601))</f>
        <v>0</v>
      </c>
      <c r="BG601" s="4">
        <f>IF($A601=BG$586,"",COUNTIF($E$4:$E$582,$A601&amp;" ضد "&amp;BG$586)+COUNTIF($E$4:$E$582,BG$586&amp;" ضد "&amp;$A601))</f>
        <v>0</v>
      </c>
      <c r="BH601" s="4">
        <f>IF($A601=BH$586,"",COUNTIF($E$4:$E$582,$A601&amp;" ضد "&amp;BH$586)+COUNTIF($E$4:$E$582,BH$586&amp;" ضد "&amp;$A601))</f>
        <v>0</v>
      </c>
      <c r="BI601" s="4">
        <f>IF($A601=BI$586,"",COUNTIF($E$4:$E$582,$A601&amp;" ضد "&amp;BI$586)+COUNTIF($E$4:$E$582,BI$586&amp;" ضد "&amp;$A601))</f>
        <v>0</v>
      </c>
      <c r="BJ601" s="4">
        <f>IF($A601=BJ$586,"",COUNTIF($E$4:$E$582,$A601&amp;" ضد "&amp;BJ$586)+COUNTIF($E$4:$E$582,BJ$586&amp;" ضد "&amp;$A601))</f>
        <v>0</v>
      </c>
      <c r="BK601" s="4">
        <f>IF($A601=BK$586,"",COUNTIF($E$4:$E$582,$A601&amp;" ضد "&amp;BK$586)+COUNTIF($E$4:$E$582,BK$586&amp;" ضد "&amp;$A601))</f>
        <v>0</v>
      </c>
      <c r="BL601" s="4">
        <f>IF($A601=BL$586,"",COUNTIF($E$4:$E$582,$A601&amp;" ضد "&amp;BL$586)+COUNTIF($E$4:$E$582,BL$586&amp;" ضد "&amp;$A601))</f>
        <v>0</v>
      </c>
      <c r="BM601" s="4">
        <f>IF($A601=BM$586,"",COUNTIF($E$4:$E$582,$A601&amp;" ضد "&amp;BM$586)+COUNTIF($E$4:$E$582,BM$586&amp;" ضد "&amp;$A601))</f>
        <v>0</v>
      </c>
    </row>
    <row r="602" spans="1:65" ht="14.5">
      <c r="A602" s="14">
        <v>16</v>
      </c>
      <c r="B602" s="4">
        <f>IF($A602=B$586,"",COUNTIF($E$4:$E$582,$A602&amp;" ضد "&amp;B$586)+COUNTIF($E$4:$E$582,B$586&amp;" ضد "&amp;$A602))</f>
        <v>2</v>
      </c>
      <c r="C602" s="4">
        <f>IF($A602=C$586,"",COUNTIF($E$4:$E$582,$A602&amp;" ضد "&amp;C$586)+COUNTIF($E$4:$E$582,C$586&amp;" ضد "&amp;$A602))</f>
        <v>1</v>
      </c>
      <c r="D602" s="4">
        <f>IF($A602=D$586,"",COUNTIF($E$4:$E$582,$A602&amp;" ضد "&amp;D$586)+COUNTIF($E$4:$E$582,D$586&amp;" ضد "&amp;$A602))</f>
        <v>1</v>
      </c>
      <c r="E602" s="4">
        <f>IF($A602=E$586,"",COUNTIF($E$4:$E$582,$A602&amp;" ضد "&amp;E$586)+COUNTIF($E$4:$E$582,E$586&amp;" ضد "&amp;$A602))</f>
        <v>1</v>
      </c>
      <c r="F602" s="4">
        <f>IF($A602=F$586,"",COUNTIF($E$4:$E$582,$A602&amp;" ضد "&amp;F$586)+COUNTIF($E$4:$E$582,F$586&amp;" ضد "&amp;$A602))</f>
        <v>1</v>
      </c>
      <c r="G602" s="4">
        <f>IF($A602=G$586,"",COUNTIF($E$4:$E$582,$A602&amp;" ضد "&amp;G$586)+COUNTIF($E$4:$E$582,G$586&amp;" ضد "&amp;$A602))</f>
        <v>1</v>
      </c>
      <c r="H602" s="4">
        <f>IF($A602=H$586,"",COUNTIF($E$4:$E$582,$A602&amp;" ضد "&amp;H$586)+COUNTIF($E$4:$E$582,H$586&amp;" ضد "&amp;$A602))</f>
        <v>1</v>
      </c>
      <c r="I602" s="4">
        <f>IF($A602=I$586,"",COUNTIF($E$4:$E$582,$A602&amp;" ضد "&amp;I$586)+COUNTIF($E$4:$E$582,I$586&amp;" ضد "&amp;$A602))</f>
        <v>1</v>
      </c>
      <c r="J602" s="4">
        <f>IF($A602=J$586,"",COUNTIF($E$4:$E$582,$A602&amp;" ضد "&amp;J$586)+COUNTIF($E$4:$E$582,J$586&amp;" ضد "&amp;$A602))</f>
        <v>1</v>
      </c>
      <c r="K602" s="4">
        <f>IF($A602=K$586,"",COUNTIF($E$4:$E$582,$A602&amp;" ضد "&amp;K$586)+COUNTIF($E$4:$E$582,K$586&amp;" ضد "&amp;$A602))</f>
        <v>1</v>
      </c>
      <c r="L602" s="4">
        <f>IF($A602=L$586,"",COUNTIF($E$4:$E$582,$A602&amp;" ضد "&amp;L$586)+COUNTIF($E$4:$E$582,L$586&amp;" ضد "&amp;$A602))</f>
        <v>1</v>
      </c>
      <c r="M602" s="4">
        <f>IF($A602=M$586,"",COUNTIF($E$4:$E$582,$A602&amp;" ضد "&amp;M$586)+COUNTIF($E$4:$E$582,M$586&amp;" ضد "&amp;$A602))</f>
        <v>2</v>
      </c>
      <c r="N602" s="4">
        <f>IF($A602=N$586,"",COUNTIF($E$4:$E$582,$A602&amp;" ضد "&amp;N$586)+COUNTIF($E$4:$E$582,N$586&amp;" ضد "&amp;$A602))</f>
        <v>1</v>
      </c>
      <c r="O602" s="4">
        <f>IF($A602=O$586,"",COUNTIF($E$4:$E$582,$A602&amp;" ضد "&amp;O$586)+COUNTIF($E$4:$E$582,O$586&amp;" ضد "&amp;$A602))</f>
        <v>2</v>
      </c>
      <c r="P602" s="4">
        <f>IF($A602=P$586,"",COUNTIF($E$4:$E$582,$A602&amp;" ضد "&amp;P$586)+COUNTIF($E$4:$E$582,P$586&amp;" ضد "&amp;$A602))</f>
        <v>1</v>
      </c>
      <c r="Q602" s="4" t="str">
        <f>IF($A602=Q$586,"",COUNTIF($E$4:$E$582,$A602&amp;" ضد "&amp;Q$586)+COUNTIF($E$4:$E$582,Q$586&amp;" ضد "&amp;$A602))</f>
        <v/>
      </c>
      <c r="R602" s="4">
        <f>IF($A602=R$586,"",COUNTIF($E$4:$E$582,$A602&amp;" ضد "&amp;R$586)+COUNTIF($E$4:$E$582,R$586&amp;" ضد "&amp;$A602))</f>
        <v>0</v>
      </c>
      <c r="S602" s="4">
        <f>IF($A602=S$586,"",COUNTIF($E$4:$E$582,$A602&amp;" ضد "&amp;S$586)+COUNTIF($E$4:$E$582,S$586&amp;" ضد "&amp;$A602))</f>
        <v>0</v>
      </c>
      <c r="T602" s="4">
        <f>IF($A602=T$586,"",COUNTIF($E$4:$E$582,$A602&amp;" ضد "&amp;T$586)+COUNTIF($E$4:$E$582,T$586&amp;" ضد "&amp;$A602))</f>
        <v>0</v>
      </c>
      <c r="U602" s="4">
        <f>IF($A602=U$586,"",COUNTIF($E$4:$E$582,$A602&amp;" ضد "&amp;U$586)+COUNTIF($E$4:$E$582,U$586&amp;" ضد "&amp;$A602))</f>
        <v>0</v>
      </c>
      <c r="V602" s="4">
        <f>IF($A602=V$586,"",COUNTIF($E$4:$E$582,$A602&amp;" ضد "&amp;V$586)+COUNTIF($E$4:$E$582,V$586&amp;" ضد "&amp;$A602))</f>
        <v>0</v>
      </c>
      <c r="W602" s="4">
        <f>IF($A602=W$586,"",COUNTIF($E$4:$E$582,$A602&amp;" ضد "&amp;W$586)+COUNTIF($E$4:$E$582,W$586&amp;" ضد "&amp;$A602))</f>
        <v>0</v>
      </c>
      <c r="X602" s="4">
        <f>IF($A602=X$586,"",COUNTIF($E$4:$E$582,$A602&amp;" ضد "&amp;X$586)+COUNTIF($E$4:$E$582,X$586&amp;" ضد "&amp;$A602))</f>
        <v>0</v>
      </c>
      <c r="Y602" s="4">
        <f>IF($A602=Y$586,"",COUNTIF($E$4:$E$582,$A602&amp;" ضد "&amp;Y$586)+COUNTIF($E$4:$E$582,Y$586&amp;" ضد "&amp;$A602))</f>
        <v>0</v>
      </c>
      <c r="Z602" s="4">
        <f>IF($A602=Z$586,"",COUNTIF($E$4:$E$582,$A602&amp;" ضد "&amp;Z$586)+COUNTIF($E$4:$E$582,Z$586&amp;" ضد "&amp;$A602))</f>
        <v>0</v>
      </c>
      <c r="AA602" s="4">
        <f>IF($A602=AA$586,"",COUNTIF($E$4:$E$582,$A602&amp;" ضد "&amp;AA$586)+COUNTIF($E$4:$E$582,AA$586&amp;" ضد "&amp;$A602))</f>
        <v>0</v>
      </c>
      <c r="AB602" s="4">
        <f>IF($A602=AB$586,"",COUNTIF($E$4:$E$582,$A602&amp;" ضد "&amp;AB$586)+COUNTIF($E$4:$E$582,AB$586&amp;" ضد "&amp;$A602))</f>
        <v>0</v>
      </c>
      <c r="AC602" s="4">
        <f>IF($A602=AC$586,"",COUNTIF($E$4:$E$582,$A602&amp;" ضد "&amp;AC$586)+COUNTIF($E$4:$E$582,AC$586&amp;" ضد "&amp;$A602))</f>
        <v>0</v>
      </c>
      <c r="AD602" s="4">
        <f>IF($A602=AD$586,"",COUNTIF($E$4:$E$582,$A602&amp;" ضد "&amp;AD$586)+COUNTIF($E$4:$E$582,AD$586&amp;" ضد "&amp;$A602))</f>
        <v>0</v>
      </c>
      <c r="AE602" s="4">
        <f>IF($A602=AE$586,"",COUNTIF($E$4:$E$582,$A602&amp;" ضد "&amp;AE$586)+COUNTIF($E$4:$E$582,AE$586&amp;" ضد "&amp;$A602))</f>
        <v>0</v>
      </c>
      <c r="AF602" s="4">
        <f>IF($A602=AF$586,"",COUNTIF($E$4:$E$582,$A602&amp;" ضد "&amp;AF$586)+COUNTIF($E$4:$E$582,AF$586&amp;" ضد "&amp;$A602))</f>
        <v>0</v>
      </c>
      <c r="AG602" s="4">
        <f>IF($A602=AG$586,"",COUNTIF($E$4:$E$582,$A602&amp;" ضد "&amp;AG$586)+COUNTIF($E$4:$E$582,AG$586&amp;" ضد "&amp;$A602))</f>
        <v>0</v>
      </c>
      <c r="AH602" s="4">
        <f>IF($A602=AH$586,"",COUNTIF($E$4:$E$582,$A602&amp;" ضد "&amp;AH$586)+COUNTIF($E$4:$E$582,AH$586&amp;" ضد "&amp;$A602))</f>
        <v>0</v>
      </c>
      <c r="AI602" s="4">
        <f>IF($A602=AI$586,"",COUNTIF($E$4:$E$582,$A602&amp;" ضد "&amp;AI$586)+COUNTIF($E$4:$E$582,AI$586&amp;" ضد "&amp;$A602))</f>
        <v>0</v>
      </c>
      <c r="AJ602" s="4">
        <f>IF($A602=AJ$586,"",COUNTIF($E$4:$E$582,$A602&amp;" ضد "&amp;AJ$586)+COUNTIF($E$4:$E$582,AJ$586&amp;" ضد "&amp;$A602))</f>
        <v>0</v>
      </c>
      <c r="AK602" s="4">
        <f>IF($A602=AK$586,"",COUNTIF($E$4:$E$582,$A602&amp;" ضد "&amp;AK$586)+COUNTIF($E$4:$E$582,AK$586&amp;" ضد "&amp;$A602))</f>
        <v>0</v>
      </c>
      <c r="AL602" s="4">
        <f>IF($A602=AL$586,"",COUNTIF($E$4:$E$582,$A602&amp;" ضد "&amp;AL$586)+COUNTIF($E$4:$E$582,AL$586&amp;" ضد "&amp;$A602))</f>
        <v>0</v>
      </c>
      <c r="AM602" s="4">
        <f>IF($A602=AM$586,"",COUNTIF($E$4:$E$582,$A602&amp;" ضد "&amp;AM$586)+COUNTIF($E$4:$E$582,AM$586&amp;" ضد "&amp;$A602))</f>
        <v>0</v>
      </c>
      <c r="AN602" s="4">
        <f>IF($A602=AN$586,"",COUNTIF($E$4:$E$582,$A602&amp;" ضد "&amp;AN$586)+COUNTIF($E$4:$E$582,AN$586&amp;" ضد "&amp;$A602))</f>
        <v>0</v>
      </c>
      <c r="AO602" s="4">
        <f>IF($A602=AO$586,"",COUNTIF($E$4:$E$582,$A602&amp;" ضد "&amp;AO$586)+COUNTIF($E$4:$E$582,AO$586&amp;" ضد "&amp;$A602))</f>
        <v>0</v>
      </c>
      <c r="AP602" s="4">
        <f>IF($A602=AP$586,"",COUNTIF($E$4:$E$582,$A602&amp;" ضد "&amp;AP$586)+COUNTIF($E$4:$E$582,AP$586&amp;" ضد "&amp;$A602))</f>
        <v>0</v>
      </c>
      <c r="AQ602" s="4">
        <f>IF($A602=AQ$586,"",COUNTIF($E$4:$E$582,$A602&amp;" ضد "&amp;AQ$586)+COUNTIF($E$4:$E$582,AQ$586&amp;" ضد "&amp;$A602))</f>
        <v>0</v>
      </c>
      <c r="AR602" s="4">
        <f>IF($A602=AR$586,"",COUNTIF($E$4:$E$582,$A602&amp;" ضد "&amp;AR$586)+COUNTIF($E$4:$E$582,AR$586&amp;" ضد "&amp;$A602))</f>
        <v>0</v>
      </c>
      <c r="AS602" s="4">
        <f>IF($A602=AS$586,"",COUNTIF($E$4:$E$582,$A602&amp;" ضد "&amp;AS$586)+COUNTIF($E$4:$E$582,AS$586&amp;" ضد "&amp;$A602))</f>
        <v>0</v>
      </c>
      <c r="AT602" s="4">
        <f>IF($A602=AT$586,"",COUNTIF($E$4:$E$582,$A602&amp;" ضد "&amp;AT$586)+COUNTIF($E$4:$E$582,AT$586&amp;" ضد "&amp;$A602))</f>
        <v>0</v>
      </c>
      <c r="AU602" s="4">
        <f>IF($A602=AU$586,"",COUNTIF($E$4:$E$582,$A602&amp;" ضد "&amp;AU$586)+COUNTIF($E$4:$E$582,AU$586&amp;" ضد "&amp;$A602))</f>
        <v>0</v>
      </c>
      <c r="AV602" s="4">
        <f>IF($A602=AV$586,"",COUNTIF($E$4:$E$582,$A602&amp;" ضد "&amp;AV$586)+COUNTIF($E$4:$E$582,AV$586&amp;" ضد "&amp;$A602))</f>
        <v>0</v>
      </c>
      <c r="AW602" s="4">
        <f>IF($A602=AW$586,"",COUNTIF($E$4:$E$582,$A602&amp;" ضد "&amp;AW$586)+COUNTIF($E$4:$E$582,AW$586&amp;" ضد "&amp;$A602))</f>
        <v>0</v>
      </c>
      <c r="AX602" s="4">
        <f>IF($A602=AX$586,"",COUNTIF($E$4:$E$582,$A602&amp;" ضد "&amp;AX$586)+COUNTIF($E$4:$E$582,AX$586&amp;" ضد "&amp;$A602))</f>
        <v>0</v>
      </c>
      <c r="AY602" s="4">
        <f>IF($A602=AY$586,"",COUNTIF($E$4:$E$582,$A602&amp;" ضد "&amp;AY$586)+COUNTIF($E$4:$E$582,AY$586&amp;" ضد "&amp;$A602))</f>
        <v>0</v>
      </c>
      <c r="AZ602" s="4">
        <f>IF($A602=AZ$586,"",COUNTIF($E$4:$E$582,$A602&amp;" ضد "&amp;AZ$586)+COUNTIF($E$4:$E$582,AZ$586&amp;" ضد "&amp;$A602))</f>
        <v>0</v>
      </c>
      <c r="BA602" s="4">
        <f>IF($A602=BA$586,"",COUNTIF($E$4:$E$582,$A602&amp;" ضد "&amp;BA$586)+COUNTIF($E$4:$E$582,BA$586&amp;" ضد "&amp;$A602))</f>
        <v>0</v>
      </c>
      <c r="BB602" s="4">
        <f>IF($A602=BB$586,"",COUNTIF($E$4:$E$582,$A602&amp;" ضد "&amp;BB$586)+COUNTIF($E$4:$E$582,BB$586&amp;" ضد "&amp;$A602))</f>
        <v>0</v>
      </c>
      <c r="BC602" s="4">
        <f>IF($A602=BC$586,"",COUNTIF($E$4:$E$582,$A602&amp;" ضد "&amp;BC$586)+COUNTIF($E$4:$E$582,BC$586&amp;" ضد "&amp;$A602))</f>
        <v>0</v>
      </c>
      <c r="BD602" s="4">
        <f>IF($A602=BD$586,"",COUNTIF($E$4:$E$582,$A602&amp;" ضد "&amp;BD$586)+COUNTIF($E$4:$E$582,BD$586&amp;" ضد "&amp;$A602))</f>
        <v>0</v>
      </c>
      <c r="BE602" s="4">
        <f>IF($A602=BE$586,"",COUNTIF($E$4:$E$582,$A602&amp;" ضد "&amp;BE$586)+COUNTIF($E$4:$E$582,BE$586&amp;" ضد "&amp;$A602))</f>
        <v>0</v>
      </c>
      <c r="BF602" s="4">
        <f>IF($A602=BF$586,"",COUNTIF($E$4:$E$582,$A602&amp;" ضد "&amp;BF$586)+COUNTIF($E$4:$E$582,BF$586&amp;" ضد "&amp;$A602))</f>
        <v>0</v>
      </c>
      <c r="BG602" s="4">
        <f>IF($A602=BG$586,"",COUNTIF($E$4:$E$582,$A602&amp;" ضد "&amp;BG$586)+COUNTIF($E$4:$E$582,BG$586&amp;" ضد "&amp;$A602))</f>
        <v>0</v>
      </c>
      <c r="BH602" s="4">
        <f>IF($A602=BH$586,"",COUNTIF($E$4:$E$582,$A602&amp;" ضد "&amp;BH$586)+COUNTIF($E$4:$E$582,BH$586&amp;" ضد "&amp;$A602))</f>
        <v>0</v>
      </c>
      <c r="BI602" s="4">
        <f>IF($A602=BI$586,"",COUNTIF($E$4:$E$582,$A602&amp;" ضد "&amp;BI$586)+COUNTIF($E$4:$E$582,BI$586&amp;" ضد "&amp;$A602))</f>
        <v>0</v>
      </c>
      <c r="BJ602" s="4">
        <f>IF($A602=BJ$586,"",COUNTIF($E$4:$E$582,$A602&amp;" ضد "&amp;BJ$586)+COUNTIF($E$4:$E$582,BJ$586&amp;" ضد "&amp;$A602))</f>
        <v>0</v>
      </c>
      <c r="BK602" s="4">
        <f>IF($A602=BK$586,"",COUNTIF($E$4:$E$582,$A602&amp;" ضد "&amp;BK$586)+COUNTIF($E$4:$E$582,BK$586&amp;" ضد "&amp;$A602))</f>
        <v>0</v>
      </c>
      <c r="BL602" s="4">
        <f>IF($A602=BL$586,"",COUNTIF($E$4:$E$582,$A602&amp;" ضد "&amp;BL$586)+COUNTIF($E$4:$E$582,BL$586&amp;" ضد "&amp;$A602))</f>
        <v>0</v>
      </c>
      <c r="BM602" s="4">
        <f>IF($A602=BM$586,"",COUNTIF($E$4:$E$582,$A602&amp;" ضد "&amp;BM$586)+COUNTIF($E$4:$E$582,BM$586&amp;" ضد "&amp;$A602))</f>
        <v>0</v>
      </c>
    </row>
    <row r="603" spans="1:65" ht="14.5">
      <c r="A603" s="14">
        <v>17</v>
      </c>
      <c r="B603" s="4">
        <f>IF($A603=B$586,"",COUNTIF($E$4:$E$582,$A603&amp;" ضد "&amp;B$586)+COUNTIF($E$4:$E$582,B$586&amp;" ضد "&amp;$A603))</f>
        <v>0</v>
      </c>
      <c r="C603" s="4">
        <f>IF($A603=C$586,"",COUNTIF($E$4:$E$582,$A603&amp;" ضد "&amp;C$586)+COUNTIF($E$4:$E$582,C$586&amp;" ضد "&amp;$A603))</f>
        <v>0</v>
      </c>
      <c r="D603" s="4">
        <f>IF($A603=D$586,"",COUNTIF($E$4:$E$582,$A603&amp;" ضد "&amp;D$586)+COUNTIF($E$4:$E$582,D$586&amp;" ضد "&amp;$A603))</f>
        <v>0</v>
      </c>
      <c r="E603" s="4">
        <f>IF($A603=E$586,"",COUNTIF($E$4:$E$582,$A603&amp;" ضد "&amp;E$586)+COUNTIF($E$4:$E$582,E$586&amp;" ضد "&amp;$A603))</f>
        <v>0</v>
      </c>
      <c r="F603" s="4">
        <f>IF($A603=F$586,"",COUNTIF($E$4:$E$582,$A603&amp;" ضد "&amp;F$586)+COUNTIF($E$4:$E$582,F$586&amp;" ضد "&amp;$A603))</f>
        <v>0</v>
      </c>
      <c r="G603" s="4">
        <f>IF($A603=G$586,"",COUNTIF($E$4:$E$582,$A603&amp;" ضد "&amp;G$586)+COUNTIF($E$4:$E$582,G$586&amp;" ضد "&amp;$A603))</f>
        <v>0</v>
      </c>
      <c r="H603" s="4">
        <f>IF($A603=H$586,"",COUNTIF($E$4:$E$582,$A603&amp;" ضد "&amp;H$586)+COUNTIF($E$4:$E$582,H$586&amp;" ضد "&amp;$A603))</f>
        <v>0</v>
      </c>
      <c r="I603" s="4">
        <f>IF($A603=I$586,"",COUNTIF($E$4:$E$582,$A603&amp;" ضد "&amp;I$586)+COUNTIF($E$4:$E$582,I$586&amp;" ضد "&amp;$A603))</f>
        <v>0</v>
      </c>
      <c r="J603" s="4">
        <f>IF($A603=J$586,"",COUNTIF($E$4:$E$582,$A603&amp;" ضد "&amp;J$586)+COUNTIF($E$4:$E$582,J$586&amp;" ضد "&amp;$A603))</f>
        <v>0</v>
      </c>
      <c r="K603" s="4">
        <f>IF($A603=K$586,"",COUNTIF($E$4:$E$582,$A603&amp;" ضد "&amp;K$586)+COUNTIF($E$4:$E$582,K$586&amp;" ضد "&amp;$A603))</f>
        <v>0</v>
      </c>
      <c r="L603" s="4">
        <f>IF($A603=L$586,"",COUNTIF($E$4:$E$582,$A603&amp;" ضد "&amp;L$586)+COUNTIF($E$4:$E$582,L$586&amp;" ضد "&amp;$A603))</f>
        <v>0</v>
      </c>
      <c r="M603" s="4">
        <f>IF($A603=M$586,"",COUNTIF($E$4:$E$582,$A603&amp;" ضد "&amp;M$586)+COUNTIF($E$4:$E$582,M$586&amp;" ضد "&amp;$A603))</f>
        <v>0</v>
      </c>
      <c r="N603" s="4">
        <f>IF($A603=N$586,"",COUNTIF($E$4:$E$582,$A603&amp;" ضد "&amp;N$586)+COUNTIF($E$4:$E$582,N$586&amp;" ضد "&amp;$A603))</f>
        <v>0</v>
      </c>
      <c r="O603" s="4">
        <f>IF($A603=O$586,"",COUNTIF($E$4:$E$582,$A603&amp;" ضد "&amp;O$586)+COUNTIF($E$4:$E$582,O$586&amp;" ضد "&amp;$A603))</f>
        <v>0</v>
      </c>
      <c r="P603" s="4">
        <f>IF($A603=P$586,"",COUNTIF($E$4:$E$582,$A603&amp;" ضد "&amp;P$586)+COUNTIF($E$4:$E$582,P$586&amp;" ضد "&amp;$A603))</f>
        <v>0</v>
      </c>
      <c r="Q603" s="4">
        <f>IF($A603=Q$586,"",COUNTIF($E$4:$E$582,$A603&amp;" ضد "&amp;Q$586)+COUNTIF($E$4:$E$582,Q$586&amp;" ضد "&amp;$A603))</f>
        <v>0</v>
      </c>
      <c r="R603" s="4" t="str">
        <f>IF($A603=R$586,"",COUNTIF($E$4:$E$582,$A603&amp;" ضد "&amp;R$586)+COUNTIF($E$4:$E$582,R$586&amp;" ضد "&amp;$A603))</f>
        <v/>
      </c>
      <c r="S603" s="4">
        <f>IF($A603=S$586,"",COUNTIF($E$4:$E$582,$A603&amp;" ضد "&amp;S$586)+COUNTIF($E$4:$E$582,S$586&amp;" ضد "&amp;$A603))</f>
        <v>1</v>
      </c>
      <c r="T603" s="4">
        <f>IF($A603=T$586,"",COUNTIF($E$4:$E$582,$A603&amp;" ضد "&amp;T$586)+COUNTIF($E$4:$E$582,T$586&amp;" ضد "&amp;$A603))</f>
        <v>1</v>
      </c>
      <c r="U603" s="4">
        <f>IF($A603=U$586,"",COUNTIF($E$4:$E$582,$A603&amp;" ضد "&amp;U$586)+COUNTIF($E$4:$E$582,U$586&amp;" ضد "&amp;$A603))</f>
        <v>1</v>
      </c>
      <c r="V603" s="4">
        <f>IF($A603=V$586,"",COUNTIF($E$4:$E$582,$A603&amp;" ضد "&amp;V$586)+COUNTIF($E$4:$E$582,V$586&amp;" ضد "&amp;$A603))</f>
        <v>1</v>
      </c>
      <c r="W603" s="4">
        <f>IF($A603=W$586,"",COUNTIF($E$4:$E$582,$A603&amp;" ضد "&amp;W$586)+COUNTIF($E$4:$E$582,W$586&amp;" ضد "&amp;$A603))</f>
        <v>1</v>
      </c>
      <c r="X603" s="4">
        <f>IF($A603=X$586,"",COUNTIF($E$4:$E$582,$A603&amp;" ضد "&amp;X$586)+COUNTIF($E$4:$E$582,X$586&amp;" ضد "&amp;$A603))</f>
        <v>1</v>
      </c>
      <c r="Y603" s="4">
        <f>IF($A603=Y$586,"",COUNTIF($E$4:$E$582,$A603&amp;" ضد "&amp;Y$586)+COUNTIF($E$4:$E$582,Y$586&amp;" ضد "&amp;$A603))</f>
        <v>1</v>
      </c>
      <c r="Z603" s="4">
        <f>IF($A603=Z$586,"",COUNTIF($E$4:$E$582,$A603&amp;" ضد "&amp;Z$586)+COUNTIF($E$4:$E$582,Z$586&amp;" ضد "&amp;$A603))</f>
        <v>1</v>
      </c>
      <c r="AA603" s="4">
        <f>IF($A603=AA$586,"",COUNTIF($E$4:$E$582,$A603&amp;" ضد "&amp;AA$586)+COUNTIF($E$4:$E$582,AA$586&amp;" ضد "&amp;$A603))</f>
        <v>1</v>
      </c>
      <c r="AB603" s="4">
        <f>IF($A603=AB$586,"",COUNTIF($E$4:$E$582,$A603&amp;" ضد "&amp;AB$586)+COUNTIF($E$4:$E$582,AB$586&amp;" ضد "&amp;$A603))</f>
        <v>1</v>
      </c>
      <c r="AC603" s="4">
        <f>IF($A603=AC$586,"",COUNTIF($E$4:$E$582,$A603&amp;" ضد "&amp;AC$586)+COUNTIF($E$4:$E$582,AC$586&amp;" ضد "&amp;$A603))</f>
        <v>1</v>
      </c>
      <c r="AD603" s="4">
        <f>IF($A603=AD$586,"",COUNTIF($E$4:$E$582,$A603&amp;" ضد "&amp;AD$586)+COUNTIF($E$4:$E$582,AD$586&amp;" ضد "&amp;$A603))</f>
        <v>1</v>
      </c>
      <c r="AE603" s="4">
        <f>IF($A603=AE$586,"",COUNTIF($E$4:$E$582,$A603&amp;" ضد "&amp;AE$586)+COUNTIF($E$4:$E$582,AE$586&amp;" ضد "&amp;$A603))</f>
        <v>2</v>
      </c>
      <c r="AF603" s="4">
        <f>IF($A603=AF$586,"",COUNTIF($E$4:$E$582,$A603&amp;" ضد "&amp;AF$586)+COUNTIF($E$4:$E$582,AF$586&amp;" ضد "&amp;$A603))</f>
        <v>2</v>
      </c>
      <c r="AG603" s="4">
        <f>IF($A603=AG$586,"",COUNTIF($E$4:$E$582,$A603&amp;" ضد "&amp;AG$586)+COUNTIF($E$4:$E$582,AG$586&amp;" ضد "&amp;$A603))</f>
        <v>2</v>
      </c>
      <c r="AH603" s="4">
        <f>IF($A603=AH$586,"",COUNTIF($E$4:$E$582,$A603&amp;" ضد "&amp;AH$586)+COUNTIF($E$4:$E$582,AH$586&amp;" ضد "&amp;$A603))</f>
        <v>0</v>
      </c>
      <c r="AI603" s="4">
        <f>IF($A603=AI$586,"",COUNTIF($E$4:$E$582,$A603&amp;" ضد "&amp;AI$586)+COUNTIF($E$4:$E$582,AI$586&amp;" ضد "&amp;$A603))</f>
        <v>0</v>
      </c>
      <c r="AJ603" s="4">
        <f>IF($A603=AJ$586,"",COUNTIF($E$4:$E$582,$A603&amp;" ضد "&amp;AJ$586)+COUNTIF($E$4:$E$582,AJ$586&amp;" ضد "&amp;$A603))</f>
        <v>0</v>
      </c>
      <c r="AK603" s="4">
        <f>IF($A603=AK$586,"",COUNTIF($E$4:$E$582,$A603&amp;" ضد "&amp;AK$586)+COUNTIF($E$4:$E$582,AK$586&amp;" ضد "&amp;$A603))</f>
        <v>0</v>
      </c>
      <c r="AL603" s="4">
        <f>IF($A603=AL$586,"",COUNTIF($E$4:$E$582,$A603&amp;" ضد "&amp;AL$586)+COUNTIF($E$4:$E$582,AL$586&amp;" ضد "&amp;$A603))</f>
        <v>0</v>
      </c>
      <c r="AM603" s="4">
        <f>IF($A603=AM$586,"",COUNTIF($E$4:$E$582,$A603&amp;" ضد "&amp;AM$586)+COUNTIF($E$4:$E$582,AM$586&amp;" ضد "&amp;$A603))</f>
        <v>0</v>
      </c>
      <c r="AN603" s="4">
        <f>IF($A603=AN$586,"",COUNTIF($E$4:$E$582,$A603&amp;" ضد "&amp;AN$586)+COUNTIF($E$4:$E$582,AN$586&amp;" ضد "&amp;$A603))</f>
        <v>0</v>
      </c>
      <c r="AO603" s="4">
        <f>IF($A603=AO$586,"",COUNTIF($E$4:$E$582,$A603&amp;" ضد "&amp;AO$586)+COUNTIF($E$4:$E$582,AO$586&amp;" ضد "&amp;$A603))</f>
        <v>0</v>
      </c>
      <c r="AP603" s="4">
        <f>IF($A603=AP$586,"",COUNTIF($E$4:$E$582,$A603&amp;" ضد "&amp;AP$586)+COUNTIF($E$4:$E$582,AP$586&amp;" ضد "&amp;$A603))</f>
        <v>0</v>
      </c>
      <c r="AQ603" s="4">
        <f>IF($A603=AQ$586,"",COUNTIF($E$4:$E$582,$A603&amp;" ضد "&amp;AQ$586)+COUNTIF($E$4:$E$582,AQ$586&amp;" ضد "&amp;$A603))</f>
        <v>0</v>
      </c>
      <c r="AR603" s="4">
        <f>IF($A603=AR$586,"",COUNTIF($E$4:$E$582,$A603&amp;" ضد "&amp;AR$586)+COUNTIF($E$4:$E$582,AR$586&amp;" ضد "&amp;$A603))</f>
        <v>0</v>
      </c>
      <c r="AS603" s="4">
        <f>IF($A603=AS$586,"",COUNTIF($E$4:$E$582,$A603&amp;" ضد "&amp;AS$586)+COUNTIF($E$4:$E$582,AS$586&amp;" ضد "&amp;$A603))</f>
        <v>0</v>
      </c>
      <c r="AT603" s="4">
        <f>IF($A603=AT$586,"",COUNTIF($E$4:$E$582,$A603&amp;" ضد "&amp;AT$586)+COUNTIF($E$4:$E$582,AT$586&amp;" ضد "&amp;$A603))</f>
        <v>0</v>
      </c>
      <c r="AU603" s="4">
        <f>IF($A603=AU$586,"",COUNTIF($E$4:$E$582,$A603&amp;" ضد "&amp;AU$586)+COUNTIF($E$4:$E$582,AU$586&amp;" ضد "&amp;$A603))</f>
        <v>0</v>
      </c>
      <c r="AV603" s="4">
        <f>IF($A603=AV$586,"",COUNTIF($E$4:$E$582,$A603&amp;" ضد "&amp;AV$586)+COUNTIF($E$4:$E$582,AV$586&amp;" ضد "&amp;$A603))</f>
        <v>0</v>
      </c>
      <c r="AW603" s="4">
        <f>IF($A603=AW$586,"",COUNTIF($E$4:$E$582,$A603&amp;" ضد "&amp;AW$586)+COUNTIF($E$4:$E$582,AW$586&amp;" ضد "&amp;$A603))</f>
        <v>0</v>
      </c>
      <c r="AX603" s="4">
        <f>IF($A603=AX$586,"",COUNTIF($E$4:$E$582,$A603&amp;" ضد "&amp;AX$586)+COUNTIF($E$4:$E$582,AX$586&amp;" ضد "&amp;$A603))</f>
        <v>0</v>
      </c>
      <c r="AY603" s="4">
        <f>IF($A603=AY$586,"",COUNTIF($E$4:$E$582,$A603&amp;" ضد "&amp;AY$586)+COUNTIF($E$4:$E$582,AY$586&amp;" ضد "&amp;$A603))</f>
        <v>0</v>
      </c>
      <c r="AZ603" s="4">
        <f>IF($A603=AZ$586,"",COUNTIF($E$4:$E$582,$A603&amp;" ضد "&amp;AZ$586)+COUNTIF($E$4:$E$582,AZ$586&amp;" ضد "&amp;$A603))</f>
        <v>0</v>
      </c>
      <c r="BA603" s="4">
        <f>IF($A603=BA$586,"",COUNTIF($E$4:$E$582,$A603&amp;" ضد "&amp;BA$586)+COUNTIF($E$4:$E$582,BA$586&amp;" ضد "&amp;$A603))</f>
        <v>0</v>
      </c>
      <c r="BB603" s="4">
        <f>IF($A603=BB$586,"",COUNTIF($E$4:$E$582,$A603&amp;" ضد "&amp;BB$586)+COUNTIF($E$4:$E$582,BB$586&amp;" ضد "&amp;$A603))</f>
        <v>0</v>
      </c>
      <c r="BC603" s="4">
        <f>IF($A603=BC$586,"",COUNTIF($E$4:$E$582,$A603&amp;" ضد "&amp;BC$586)+COUNTIF($E$4:$E$582,BC$586&amp;" ضد "&amp;$A603))</f>
        <v>0</v>
      </c>
      <c r="BD603" s="4">
        <f>IF($A603=BD$586,"",COUNTIF($E$4:$E$582,$A603&amp;" ضد "&amp;BD$586)+COUNTIF($E$4:$E$582,BD$586&amp;" ضد "&amp;$A603))</f>
        <v>0</v>
      </c>
      <c r="BE603" s="4">
        <f>IF($A603=BE$586,"",COUNTIF($E$4:$E$582,$A603&amp;" ضد "&amp;BE$586)+COUNTIF($E$4:$E$582,BE$586&amp;" ضد "&amp;$A603))</f>
        <v>0</v>
      </c>
      <c r="BF603" s="4">
        <f>IF($A603=BF$586,"",COUNTIF($E$4:$E$582,$A603&amp;" ضد "&amp;BF$586)+COUNTIF($E$4:$E$582,BF$586&amp;" ضد "&amp;$A603))</f>
        <v>0</v>
      </c>
      <c r="BG603" s="4">
        <f>IF($A603=BG$586,"",COUNTIF($E$4:$E$582,$A603&amp;" ضد "&amp;BG$586)+COUNTIF($E$4:$E$582,BG$586&amp;" ضد "&amp;$A603))</f>
        <v>0</v>
      </c>
      <c r="BH603" s="4">
        <f>IF($A603=BH$586,"",COUNTIF($E$4:$E$582,$A603&amp;" ضد "&amp;BH$586)+COUNTIF($E$4:$E$582,BH$586&amp;" ضد "&amp;$A603))</f>
        <v>0</v>
      </c>
      <c r="BI603" s="4">
        <f>IF($A603=BI$586,"",COUNTIF($E$4:$E$582,$A603&amp;" ضد "&amp;BI$586)+COUNTIF($E$4:$E$582,BI$586&amp;" ضد "&amp;$A603))</f>
        <v>0</v>
      </c>
      <c r="BJ603" s="4">
        <f>IF($A603=BJ$586,"",COUNTIF($E$4:$E$582,$A603&amp;" ضد "&amp;BJ$586)+COUNTIF($E$4:$E$582,BJ$586&amp;" ضد "&amp;$A603))</f>
        <v>0</v>
      </c>
      <c r="BK603" s="4">
        <f>IF($A603=BK$586,"",COUNTIF($E$4:$E$582,$A603&amp;" ضد "&amp;BK$586)+COUNTIF($E$4:$E$582,BK$586&amp;" ضد "&amp;$A603))</f>
        <v>0</v>
      </c>
      <c r="BL603" s="4">
        <f>IF($A603=BL$586,"",COUNTIF($E$4:$E$582,$A603&amp;" ضد "&amp;BL$586)+COUNTIF($E$4:$E$582,BL$586&amp;" ضد "&amp;$A603))</f>
        <v>0</v>
      </c>
      <c r="BM603" s="4">
        <f>IF($A603=BM$586,"",COUNTIF($E$4:$E$582,$A603&amp;" ضد "&amp;BM$586)+COUNTIF($E$4:$E$582,BM$586&amp;" ضد "&amp;$A603))</f>
        <v>0</v>
      </c>
    </row>
    <row r="604" spans="1:65" ht="14.5">
      <c r="A604" s="14">
        <v>18</v>
      </c>
      <c r="B604" s="4">
        <f>IF($A604=B$586,"",COUNTIF($E$4:$E$582,$A604&amp;" ضد "&amp;B$586)+COUNTIF($E$4:$E$582,B$586&amp;" ضد "&amp;$A604))</f>
        <v>0</v>
      </c>
      <c r="C604" s="4">
        <f>IF($A604=C$586,"",COUNTIF($E$4:$E$582,$A604&amp;" ضد "&amp;C$586)+COUNTIF($E$4:$E$582,C$586&amp;" ضد "&amp;$A604))</f>
        <v>0</v>
      </c>
      <c r="D604" s="4">
        <f>IF($A604=D$586,"",COUNTIF($E$4:$E$582,$A604&amp;" ضد "&amp;D$586)+COUNTIF($E$4:$E$582,D$586&amp;" ضد "&amp;$A604))</f>
        <v>0</v>
      </c>
      <c r="E604" s="4">
        <f>IF($A604=E$586,"",COUNTIF($E$4:$E$582,$A604&amp;" ضد "&amp;E$586)+COUNTIF($E$4:$E$582,E$586&amp;" ضد "&amp;$A604))</f>
        <v>0</v>
      </c>
      <c r="F604" s="4">
        <f>IF($A604=F$586,"",COUNTIF($E$4:$E$582,$A604&amp;" ضد "&amp;F$586)+COUNTIF($E$4:$E$582,F$586&amp;" ضد "&amp;$A604))</f>
        <v>0</v>
      </c>
      <c r="G604" s="4">
        <f>IF($A604=G$586,"",COUNTIF($E$4:$E$582,$A604&amp;" ضد "&amp;G$586)+COUNTIF($E$4:$E$582,G$586&amp;" ضد "&amp;$A604))</f>
        <v>0</v>
      </c>
      <c r="H604" s="4">
        <f>IF($A604=H$586,"",COUNTIF($E$4:$E$582,$A604&amp;" ضد "&amp;H$586)+COUNTIF($E$4:$E$582,H$586&amp;" ضد "&amp;$A604))</f>
        <v>0</v>
      </c>
      <c r="I604" s="4">
        <f>IF($A604=I$586,"",COUNTIF($E$4:$E$582,$A604&amp;" ضد "&amp;I$586)+COUNTIF($E$4:$E$582,I$586&amp;" ضد "&amp;$A604))</f>
        <v>0</v>
      </c>
      <c r="J604" s="4">
        <f>IF($A604=J$586,"",COUNTIF($E$4:$E$582,$A604&amp;" ضد "&amp;J$586)+COUNTIF($E$4:$E$582,J$586&amp;" ضد "&amp;$A604))</f>
        <v>0</v>
      </c>
      <c r="K604" s="4">
        <f>IF($A604=K$586,"",COUNTIF($E$4:$E$582,$A604&amp;" ضد "&amp;K$586)+COUNTIF($E$4:$E$582,K$586&amp;" ضد "&amp;$A604))</f>
        <v>0</v>
      </c>
      <c r="L604" s="4">
        <f>IF($A604=L$586,"",COUNTIF($E$4:$E$582,$A604&amp;" ضد "&amp;L$586)+COUNTIF($E$4:$E$582,L$586&amp;" ضد "&amp;$A604))</f>
        <v>0</v>
      </c>
      <c r="M604" s="4">
        <f>IF($A604=M$586,"",COUNTIF($E$4:$E$582,$A604&amp;" ضد "&amp;M$586)+COUNTIF($E$4:$E$582,M$586&amp;" ضد "&amp;$A604))</f>
        <v>0</v>
      </c>
      <c r="N604" s="4">
        <f>IF($A604=N$586,"",COUNTIF($E$4:$E$582,$A604&amp;" ضد "&amp;N$586)+COUNTIF($E$4:$E$582,N$586&amp;" ضد "&amp;$A604))</f>
        <v>0</v>
      </c>
      <c r="O604" s="4">
        <f>IF($A604=O$586,"",COUNTIF($E$4:$E$582,$A604&amp;" ضد "&amp;O$586)+COUNTIF($E$4:$E$582,O$586&amp;" ضد "&amp;$A604))</f>
        <v>0</v>
      </c>
      <c r="P604" s="4">
        <f>IF($A604=P$586,"",COUNTIF($E$4:$E$582,$A604&amp;" ضد "&amp;P$586)+COUNTIF($E$4:$E$582,P$586&amp;" ضد "&amp;$A604))</f>
        <v>0</v>
      </c>
      <c r="Q604" s="4">
        <f>IF($A604=Q$586,"",COUNTIF($E$4:$E$582,$A604&amp;" ضد "&amp;Q$586)+COUNTIF($E$4:$E$582,Q$586&amp;" ضد "&amp;$A604))</f>
        <v>0</v>
      </c>
      <c r="R604" s="4">
        <f>IF($A604=R$586,"",COUNTIF($E$4:$E$582,$A604&amp;" ضد "&amp;R$586)+COUNTIF($E$4:$E$582,R$586&amp;" ضد "&amp;$A604))</f>
        <v>1</v>
      </c>
      <c r="S604" s="4" t="str">
        <f>IF($A604=S$586,"",COUNTIF($E$4:$E$582,$A604&amp;" ضد "&amp;S$586)+COUNTIF($E$4:$E$582,S$586&amp;" ضد "&amp;$A604))</f>
        <v/>
      </c>
      <c r="T604" s="4">
        <f>IF($A604=T$586,"",COUNTIF($E$4:$E$582,$A604&amp;" ضد "&amp;T$586)+COUNTIF($E$4:$E$582,T$586&amp;" ضد "&amp;$A604))</f>
        <v>1</v>
      </c>
      <c r="U604" s="4">
        <f>IF($A604=U$586,"",COUNTIF($E$4:$E$582,$A604&amp;" ضد "&amp;U$586)+COUNTIF($E$4:$E$582,U$586&amp;" ضد "&amp;$A604))</f>
        <v>1</v>
      </c>
      <c r="V604" s="4">
        <f>IF($A604=V$586,"",COUNTIF($E$4:$E$582,$A604&amp;" ضد "&amp;V$586)+COUNTIF($E$4:$E$582,V$586&amp;" ضد "&amp;$A604))</f>
        <v>1</v>
      </c>
      <c r="W604" s="4">
        <f>IF($A604=W$586,"",COUNTIF($E$4:$E$582,$A604&amp;" ضد "&amp;W$586)+COUNTIF($E$4:$E$582,W$586&amp;" ضد "&amp;$A604))</f>
        <v>1</v>
      </c>
      <c r="X604" s="4">
        <f>IF($A604=X$586,"",COUNTIF($E$4:$E$582,$A604&amp;" ضد "&amp;X$586)+COUNTIF($E$4:$E$582,X$586&amp;" ضد "&amp;$A604))</f>
        <v>1</v>
      </c>
      <c r="Y604" s="4">
        <f>IF($A604=Y$586,"",COUNTIF($E$4:$E$582,$A604&amp;" ضد "&amp;Y$586)+COUNTIF($E$4:$E$582,Y$586&amp;" ضد "&amp;$A604))</f>
        <v>1</v>
      </c>
      <c r="Z604" s="4">
        <f>IF($A604=Z$586,"",COUNTIF($E$4:$E$582,$A604&amp;" ضد "&amp;Z$586)+COUNTIF($E$4:$E$582,Z$586&amp;" ضد "&amp;$A604))</f>
        <v>1</v>
      </c>
      <c r="AA604" s="4">
        <f>IF($A604=AA$586,"",COUNTIF($E$4:$E$582,$A604&amp;" ضد "&amp;AA$586)+COUNTIF($E$4:$E$582,AA$586&amp;" ضد "&amp;$A604))</f>
        <v>1</v>
      </c>
      <c r="AB604" s="4">
        <f>IF($A604=AB$586,"",COUNTIF($E$4:$E$582,$A604&amp;" ضد "&amp;AB$586)+COUNTIF($E$4:$E$582,AB$586&amp;" ضد "&amp;$A604))</f>
        <v>2</v>
      </c>
      <c r="AC604" s="4">
        <f>IF($A604=AC$586,"",COUNTIF($E$4:$E$582,$A604&amp;" ضد "&amp;AC$586)+COUNTIF($E$4:$E$582,AC$586&amp;" ضد "&amp;$A604))</f>
        <v>1</v>
      </c>
      <c r="AD604" s="4">
        <f>IF($A604=AD$586,"",COUNTIF($E$4:$E$582,$A604&amp;" ضد "&amp;AD$586)+COUNTIF($E$4:$E$582,AD$586&amp;" ضد "&amp;$A604))</f>
        <v>2</v>
      </c>
      <c r="AE604" s="4">
        <f>IF($A604=AE$586,"",COUNTIF($E$4:$E$582,$A604&amp;" ضد "&amp;AE$586)+COUNTIF($E$4:$E$582,AE$586&amp;" ضد "&amp;$A604))</f>
        <v>1</v>
      </c>
      <c r="AF604" s="4">
        <f>IF($A604=AF$586,"",COUNTIF($E$4:$E$582,$A604&amp;" ضد "&amp;AF$586)+COUNTIF($E$4:$E$582,AF$586&amp;" ضد "&amp;$A604))</f>
        <v>2</v>
      </c>
      <c r="AG604" s="4">
        <f>IF($A604=AG$586,"",COUNTIF($E$4:$E$582,$A604&amp;" ضد "&amp;AG$586)+COUNTIF($E$4:$E$582,AG$586&amp;" ضد "&amp;$A604))</f>
        <v>1</v>
      </c>
      <c r="AH604" s="4">
        <f>IF($A604=AH$586,"",COUNTIF($E$4:$E$582,$A604&amp;" ضد "&amp;AH$586)+COUNTIF($E$4:$E$582,AH$586&amp;" ضد "&amp;$A604))</f>
        <v>0</v>
      </c>
      <c r="AI604" s="4">
        <f>IF($A604=AI$586,"",COUNTIF($E$4:$E$582,$A604&amp;" ضد "&amp;AI$586)+COUNTIF($E$4:$E$582,AI$586&amp;" ضد "&amp;$A604))</f>
        <v>0</v>
      </c>
      <c r="AJ604" s="4">
        <f>IF($A604=AJ$586,"",COUNTIF($E$4:$E$582,$A604&amp;" ضد "&amp;AJ$586)+COUNTIF($E$4:$E$582,AJ$586&amp;" ضد "&amp;$A604))</f>
        <v>0</v>
      </c>
      <c r="AK604" s="4">
        <f>IF($A604=AK$586,"",COUNTIF($E$4:$E$582,$A604&amp;" ضد "&amp;AK$586)+COUNTIF($E$4:$E$582,AK$586&amp;" ضد "&amp;$A604))</f>
        <v>0</v>
      </c>
      <c r="AL604" s="4">
        <f>IF($A604=AL$586,"",COUNTIF($E$4:$E$582,$A604&amp;" ضد "&amp;AL$586)+COUNTIF($E$4:$E$582,AL$586&amp;" ضد "&amp;$A604))</f>
        <v>0</v>
      </c>
      <c r="AM604" s="4">
        <f>IF($A604=AM$586,"",COUNTIF($E$4:$E$582,$A604&amp;" ضد "&amp;AM$586)+COUNTIF($E$4:$E$582,AM$586&amp;" ضد "&amp;$A604))</f>
        <v>0</v>
      </c>
      <c r="AN604" s="4">
        <f>IF($A604=AN$586,"",COUNTIF($E$4:$E$582,$A604&amp;" ضد "&amp;AN$586)+COUNTIF($E$4:$E$582,AN$586&amp;" ضد "&amp;$A604))</f>
        <v>0</v>
      </c>
      <c r="AO604" s="4">
        <f>IF($A604=AO$586,"",COUNTIF($E$4:$E$582,$A604&amp;" ضد "&amp;AO$586)+COUNTIF($E$4:$E$582,AO$586&amp;" ضد "&amp;$A604))</f>
        <v>0</v>
      </c>
      <c r="AP604" s="4">
        <f>IF($A604=AP$586,"",COUNTIF($E$4:$E$582,$A604&amp;" ضد "&amp;AP$586)+COUNTIF($E$4:$E$582,AP$586&amp;" ضد "&amp;$A604))</f>
        <v>0</v>
      </c>
      <c r="AQ604" s="4">
        <f>IF($A604=AQ$586,"",COUNTIF($E$4:$E$582,$A604&amp;" ضد "&amp;AQ$586)+COUNTIF($E$4:$E$582,AQ$586&amp;" ضد "&amp;$A604))</f>
        <v>0</v>
      </c>
      <c r="AR604" s="4">
        <f>IF($A604=AR$586,"",COUNTIF($E$4:$E$582,$A604&amp;" ضد "&amp;AR$586)+COUNTIF($E$4:$E$582,AR$586&amp;" ضد "&amp;$A604))</f>
        <v>0</v>
      </c>
      <c r="AS604" s="4">
        <f>IF($A604=AS$586,"",COUNTIF($E$4:$E$582,$A604&amp;" ضد "&amp;AS$586)+COUNTIF($E$4:$E$582,AS$586&amp;" ضد "&amp;$A604))</f>
        <v>0</v>
      </c>
      <c r="AT604" s="4">
        <f>IF($A604=AT$586,"",COUNTIF($E$4:$E$582,$A604&amp;" ضد "&amp;AT$586)+COUNTIF($E$4:$E$582,AT$586&amp;" ضد "&amp;$A604))</f>
        <v>0</v>
      </c>
      <c r="AU604" s="4">
        <f>IF($A604=AU$586,"",COUNTIF($E$4:$E$582,$A604&amp;" ضد "&amp;AU$586)+COUNTIF($E$4:$E$582,AU$586&amp;" ضد "&amp;$A604))</f>
        <v>0</v>
      </c>
      <c r="AV604" s="4">
        <f>IF($A604=AV$586,"",COUNTIF($E$4:$E$582,$A604&amp;" ضد "&amp;AV$586)+COUNTIF($E$4:$E$582,AV$586&amp;" ضد "&amp;$A604))</f>
        <v>0</v>
      </c>
      <c r="AW604" s="4">
        <f>IF($A604=AW$586,"",COUNTIF($E$4:$E$582,$A604&amp;" ضد "&amp;AW$586)+COUNTIF($E$4:$E$582,AW$586&amp;" ضد "&amp;$A604))</f>
        <v>0</v>
      </c>
      <c r="AX604" s="4">
        <f>IF($A604=AX$586,"",COUNTIF($E$4:$E$582,$A604&amp;" ضد "&amp;AX$586)+COUNTIF($E$4:$E$582,AX$586&amp;" ضد "&amp;$A604))</f>
        <v>0</v>
      </c>
      <c r="AY604" s="4">
        <f>IF($A604=AY$586,"",COUNTIF($E$4:$E$582,$A604&amp;" ضد "&amp;AY$586)+COUNTIF($E$4:$E$582,AY$586&amp;" ضد "&amp;$A604))</f>
        <v>0</v>
      </c>
      <c r="AZ604" s="4">
        <f>IF($A604=AZ$586,"",COUNTIF($E$4:$E$582,$A604&amp;" ضد "&amp;AZ$586)+COUNTIF($E$4:$E$582,AZ$586&amp;" ضد "&amp;$A604))</f>
        <v>0</v>
      </c>
      <c r="BA604" s="4">
        <f>IF($A604=BA$586,"",COUNTIF($E$4:$E$582,$A604&amp;" ضد "&amp;BA$586)+COUNTIF($E$4:$E$582,BA$586&amp;" ضد "&amp;$A604))</f>
        <v>0</v>
      </c>
      <c r="BB604" s="4">
        <f>IF($A604=BB$586,"",COUNTIF($E$4:$E$582,$A604&amp;" ضد "&amp;BB$586)+COUNTIF($E$4:$E$582,BB$586&amp;" ضد "&amp;$A604))</f>
        <v>0</v>
      </c>
      <c r="BC604" s="4">
        <f>IF($A604=BC$586,"",COUNTIF($E$4:$E$582,$A604&amp;" ضد "&amp;BC$586)+COUNTIF($E$4:$E$582,BC$586&amp;" ضد "&amp;$A604))</f>
        <v>0</v>
      </c>
      <c r="BD604" s="4">
        <f>IF($A604=BD$586,"",COUNTIF($E$4:$E$582,$A604&amp;" ضد "&amp;BD$586)+COUNTIF($E$4:$E$582,BD$586&amp;" ضد "&amp;$A604))</f>
        <v>0</v>
      </c>
      <c r="BE604" s="4">
        <f>IF($A604=BE$586,"",COUNTIF($E$4:$E$582,$A604&amp;" ضد "&amp;BE$586)+COUNTIF($E$4:$E$582,BE$586&amp;" ضد "&amp;$A604))</f>
        <v>0</v>
      </c>
      <c r="BF604" s="4">
        <f>IF($A604=BF$586,"",COUNTIF($E$4:$E$582,$A604&amp;" ضد "&amp;BF$586)+COUNTIF($E$4:$E$582,BF$586&amp;" ضد "&amp;$A604))</f>
        <v>0</v>
      </c>
      <c r="BG604" s="4">
        <f>IF($A604=BG$586,"",COUNTIF($E$4:$E$582,$A604&amp;" ضد "&amp;BG$586)+COUNTIF($E$4:$E$582,BG$586&amp;" ضد "&amp;$A604))</f>
        <v>0</v>
      </c>
      <c r="BH604" s="4">
        <f>IF($A604=BH$586,"",COUNTIF($E$4:$E$582,$A604&amp;" ضد "&amp;BH$586)+COUNTIF($E$4:$E$582,BH$586&amp;" ضد "&amp;$A604))</f>
        <v>0</v>
      </c>
      <c r="BI604" s="4">
        <f>IF($A604=BI$586,"",COUNTIF($E$4:$E$582,$A604&amp;" ضد "&amp;BI$586)+COUNTIF($E$4:$E$582,BI$586&amp;" ضد "&amp;$A604))</f>
        <v>0</v>
      </c>
      <c r="BJ604" s="4">
        <f>IF($A604=BJ$586,"",COUNTIF($E$4:$E$582,$A604&amp;" ضد "&amp;BJ$586)+COUNTIF($E$4:$E$582,BJ$586&amp;" ضد "&amp;$A604))</f>
        <v>0</v>
      </c>
      <c r="BK604" s="4">
        <f>IF($A604=BK$586,"",COUNTIF($E$4:$E$582,$A604&amp;" ضد "&amp;BK$586)+COUNTIF($E$4:$E$582,BK$586&amp;" ضد "&amp;$A604))</f>
        <v>0</v>
      </c>
      <c r="BL604" s="4">
        <f>IF($A604=BL$586,"",COUNTIF($E$4:$E$582,$A604&amp;" ضد "&amp;BL$586)+COUNTIF($E$4:$E$582,BL$586&amp;" ضد "&amp;$A604))</f>
        <v>0</v>
      </c>
      <c r="BM604" s="4">
        <f>IF($A604=BM$586,"",COUNTIF($E$4:$E$582,$A604&amp;" ضد "&amp;BM$586)+COUNTIF($E$4:$E$582,BM$586&amp;" ضد "&amp;$A604))</f>
        <v>0</v>
      </c>
    </row>
    <row r="605" spans="1:65" ht="14.5">
      <c r="A605" s="14">
        <v>19</v>
      </c>
      <c r="B605" s="4">
        <f>IF($A605=B$586,"",COUNTIF($E$4:$E$582,$A605&amp;" ضد "&amp;B$586)+COUNTIF($E$4:$E$582,B$586&amp;" ضد "&amp;$A605))</f>
        <v>0</v>
      </c>
      <c r="C605" s="4">
        <f>IF($A605=C$586,"",COUNTIF($E$4:$E$582,$A605&amp;" ضد "&amp;C$586)+COUNTIF($E$4:$E$582,C$586&amp;" ضد "&amp;$A605))</f>
        <v>0</v>
      </c>
      <c r="D605" s="4">
        <f>IF($A605=D$586,"",COUNTIF($E$4:$E$582,$A605&amp;" ضد "&amp;D$586)+COUNTIF($E$4:$E$582,D$586&amp;" ضد "&amp;$A605))</f>
        <v>0</v>
      </c>
      <c r="E605" s="4">
        <f>IF($A605=E$586,"",COUNTIF($E$4:$E$582,$A605&amp;" ضد "&amp;E$586)+COUNTIF($E$4:$E$582,E$586&amp;" ضد "&amp;$A605))</f>
        <v>0</v>
      </c>
      <c r="F605" s="4">
        <f>IF($A605=F$586,"",COUNTIF($E$4:$E$582,$A605&amp;" ضد "&amp;F$586)+COUNTIF($E$4:$E$582,F$586&amp;" ضد "&amp;$A605))</f>
        <v>0</v>
      </c>
      <c r="G605" s="4">
        <f>IF($A605=G$586,"",COUNTIF($E$4:$E$582,$A605&amp;" ضد "&amp;G$586)+COUNTIF($E$4:$E$582,G$586&amp;" ضد "&amp;$A605))</f>
        <v>0</v>
      </c>
      <c r="H605" s="4">
        <f>IF($A605=H$586,"",COUNTIF($E$4:$E$582,$A605&amp;" ضد "&amp;H$586)+COUNTIF($E$4:$E$582,H$586&amp;" ضد "&amp;$A605))</f>
        <v>0</v>
      </c>
      <c r="I605" s="4">
        <f>IF($A605=I$586,"",COUNTIF($E$4:$E$582,$A605&amp;" ضد "&amp;I$586)+COUNTIF($E$4:$E$582,I$586&amp;" ضد "&amp;$A605))</f>
        <v>0</v>
      </c>
      <c r="J605" s="4">
        <f>IF($A605=J$586,"",COUNTIF($E$4:$E$582,$A605&amp;" ضد "&amp;J$586)+COUNTIF($E$4:$E$582,J$586&amp;" ضد "&amp;$A605))</f>
        <v>0</v>
      </c>
      <c r="K605" s="4">
        <f>IF($A605=K$586,"",COUNTIF($E$4:$E$582,$A605&amp;" ضد "&amp;K$586)+COUNTIF($E$4:$E$582,K$586&amp;" ضد "&amp;$A605))</f>
        <v>0</v>
      </c>
      <c r="L605" s="4">
        <f>IF($A605=L$586,"",COUNTIF($E$4:$E$582,$A605&amp;" ضد "&amp;L$586)+COUNTIF($E$4:$E$582,L$586&amp;" ضد "&amp;$A605))</f>
        <v>0</v>
      </c>
      <c r="M605" s="4">
        <f>IF($A605=M$586,"",COUNTIF($E$4:$E$582,$A605&amp;" ضد "&amp;M$586)+COUNTIF($E$4:$E$582,M$586&amp;" ضد "&amp;$A605))</f>
        <v>0</v>
      </c>
      <c r="N605" s="4">
        <f>IF($A605=N$586,"",COUNTIF($E$4:$E$582,$A605&amp;" ضد "&amp;N$586)+COUNTIF($E$4:$E$582,N$586&amp;" ضد "&amp;$A605))</f>
        <v>0</v>
      </c>
      <c r="O605" s="4">
        <f>IF($A605=O$586,"",COUNTIF($E$4:$E$582,$A605&amp;" ضد "&amp;O$586)+COUNTIF($E$4:$E$582,O$586&amp;" ضد "&amp;$A605))</f>
        <v>0</v>
      </c>
      <c r="P605" s="4">
        <f>IF($A605=P$586,"",COUNTIF($E$4:$E$582,$A605&amp;" ضد "&amp;P$586)+COUNTIF($E$4:$E$582,P$586&amp;" ضد "&amp;$A605))</f>
        <v>0</v>
      </c>
      <c r="Q605" s="4">
        <f>IF($A605=Q$586,"",COUNTIF($E$4:$E$582,$A605&amp;" ضد "&amp;Q$586)+COUNTIF($E$4:$E$582,Q$586&amp;" ضد "&amp;$A605))</f>
        <v>0</v>
      </c>
      <c r="R605" s="4">
        <f>IF($A605=R$586,"",COUNTIF($E$4:$E$582,$A605&amp;" ضد "&amp;R$586)+COUNTIF($E$4:$E$582,R$586&amp;" ضد "&amp;$A605))</f>
        <v>1</v>
      </c>
      <c r="S605" s="4">
        <f>IF($A605=S$586,"",COUNTIF($E$4:$E$582,$A605&amp;" ضد "&amp;S$586)+COUNTIF($E$4:$E$582,S$586&amp;" ضد "&amp;$A605))</f>
        <v>1</v>
      </c>
      <c r="T605" s="4" t="str">
        <f>IF($A605=T$586,"",COUNTIF($E$4:$E$582,$A605&amp;" ضد "&amp;T$586)+COUNTIF($E$4:$E$582,T$586&amp;" ضد "&amp;$A605))</f>
        <v/>
      </c>
      <c r="U605" s="4">
        <f>IF($A605=U$586,"",COUNTIF($E$4:$E$582,$A605&amp;" ضد "&amp;U$586)+COUNTIF($E$4:$E$582,U$586&amp;" ضد "&amp;$A605))</f>
        <v>1</v>
      </c>
      <c r="V605" s="4">
        <f>IF($A605=V$586,"",COUNTIF($E$4:$E$582,$A605&amp;" ضد "&amp;V$586)+COUNTIF($E$4:$E$582,V$586&amp;" ضد "&amp;$A605))</f>
        <v>1</v>
      </c>
      <c r="W605" s="4">
        <f>IF($A605=W$586,"",COUNTIF($E$4:$E$582,$A605&amp;" ضد "&amp;W$586)+COUNTIF($E$4:$E$582,W$586&amp;" ضد "&amp;$A605))</f>
        <v>1</v>
      </c>
      <c r="X605" s="4">
        <f>IF($A605=X$586,"",COUNTIF($E$4:$E$582,$A605&amp;" ضد "&amp;X$586)+COUNTIF($E$4:$E$582,X$586&amp;" ضد "&amp;$A605))</f>
        <v>1</v>
      </c>
      <c r="Y605" s="4">
        <f>IF($A605=Y$586,"",COUNTIF($E$4:$E$582,$A605&amp;" ضد "&amp;Y$586)+COUNTIF($E$4:$E$582,Y$586&amp;" ضد "&amp;$A605))</f>
        <v>1</v>
      </c>
      <c r="Z605" s="4">
        <f>IF($A605=Z$586,"",COUNTIF($E$4:$E$582,$A605&amp;" ضد "&amp;Z$586)+COUNTIF($E$4:$E$582,Z$586&amp;" ضد "&amp;$A605))</f>
        <v>1</v>
      </c>
      <c r="AA605" s="4">
        <f>IF($A605=AA$586,"",COUNTIF($E$4:$E$582,$A605&amp;" ضد "&amp;AA$586)+COUNTIF($E$4:$E$582,AA$586&amp;" ضد "&amp;$A605))</f>
        <v>2</v>
      </c>
      <c r="AB605" s="4">
        <f>IF($A605=AB$586,"",COUNTIF($E$4:$E$582,$A605&amp;" ضد "&amp;AB$586)+COUNTIF($E$4:$E$582,AB$586&amp;" ضد "&amp;$A605))</f>
        <v>1</v>
      </c>
      <c r="AC605" s="4">
        <f>IF($A605=AC$586,"",COUNTIF($E$4:$E$582,$A605&amp;" ضد "&amp;AC$586)+COUNTIF($E$4:$E$582,AC$586&amp;" ضد "&amp;$A605))</f>
        <v>2</v>
      </c>
      <c r="AD605" s="4">
        <f>IF($A605=AD$586,"",COUNTIF($E$4:$E$582,$A605&amp;" ضد "&amp;AD$586)+COUNTIF($E$4:$E$582,AD$586&amp;" ضد "&amp;$A605))</f>
        <v>1</v>
      </c>
      <c r="AE605" s="4">
        <f>IF($A605=AE$586,"",COUNTIF($E$4:$E$582,$A605&amp;" ضد "&amp;AE$586)+COUNTIF($E$4:$E$582,AE$586&amp;" ضد "&amp;$A605))</f>
        <v>2</v>
      </c>
      <c r="AF605" s="4">
        <f>IF($A605=AF$586,"",COUNTIF($E$4:$E$582,$A605&amp;" ضد "&amp;AF$586)+COUNTIF($E$4:$E$582,AF$586&amp;" ضد "&amp;$A605))</f>
        <v>1</v>
      </c>
      <c r="AG605" s="4">
        <f>IF($A605=AG$586,"",COUNTIF($E$4:$E$582,$A605&amp;" ضد "&amp;AG$586)+COUNTIF($E$4:$E$582,AG$586&amp;" ضد "&amp;$A605))</f>
        <v>1</v>
      </c>
      <c r="AH605" s="4">
        <f>IF($A605=AH$586,"",COUNTIF($E$4:$E$582,$A605&amp;" ضد "&amp;AH$586)+COUNTIF($E$4:$E$582,AH$586&amp;" ضد "&amp;$A605))</f>
        <v>0</v>
      </c>
      <c r="AI605" s="4">
        <f>IF($A605=AI$586,"",COUNTIF($E$4:$E$582,$A605&amp;" ضد "&amp;AI$586)+COUNTIF($E$4:$E$582,AI$586&amp;" ضد "&amp;$A605))</f>
        <v>0</v>
      </c>
      <c r="AJ605" s="4">
        <f>IF($A605=AJ$586,"",COUNTIF($E$4:$E$582,$A605&amp;" ضد "&amp;AJ$586)+COUNTIF($E$4:$E$582,AJ$586&amp;" ضد "&amp;$A605))</f>
        <v>0</v>
      </c>
      <c r="AK605" s="4">
        <f>IF($A605=AK$586,"",COUNTIF($E$4:$E$582,$A605&amp;" ضد "&amp;AK$586)+COUNTIF($E$4:$E$582,AK$586&amp;" ضد "&amp;$A605))</f>
        <v>0</v>
      </c>
      <c r="AL605" s="4">
        <f>IF($A605=AL$586,"",COUNTIF($E$4:$E$582,$A605&amp;" ضد "&amp;AL$586)+COUNTIF($E$4:$E$582,AL$586&amp;" ضد "&amp;$A605))</f>
        <v>0</v>
      </c>
      <c r="AM605" s="4">
        <f>IF($A605=AM$586,"",COUNTIF($E$4:$E$582,$A605&amp;" ضد "&amp;AM$586)+COUNTIF($E$4:$E$582,AM$586&amp;" ضد "&amp;$A605))</f>
        <v>0</v>
      </c>
      <c r="AN605" s="4">
        <f>IF($A605=AN$586,"",COUNTIF($E$4:$E$582,$A605&amp;" ضد "&amp;AN$586)+COUNTIF($E$4:$E$582,AN$586&amp;" ضد "&amp;$A605))</f>
        <v>0</v>
      </c>
      <c r="AO605" s="4">
        <f>IF($A605=AO$586,"",COUNTIF($E$4:$E$582,$A605&amp;" ضد "&amp;AO$586)+COUNTIF($E$4:$E$582,AO$586&amp;" ضد "&amp;$A605))</f>
        <v>0</v>
      </c>
      <c r="AP605" s="4">
        <f>IF($A605=AP$586,"",COUNTIF($E$4:$E$582,$A605&amp;" ضد "&amp;AP$586)+COUNTIF($E$4:$E$582,AP$586&amp;" ضد "&amp;$A605))</f>
        <v>0</v>
      </c>
      <c r="AQ605" s="4">
        <f>IF($A605=AQ$586,"",COUNTIF($E$4:$E$582,$A605&amp;" ضد "&amp;AQ$586)+COUNTIF($E$4:$E$582,AQ$586&amp;" ضد "&amp;$A605))</f>
        <v>0</v>
      </c>
      <c r="AR605" s="4">
        <f>IF($A605=AR$586,"",COUNTIF($E$4:$E$582,$A605&amp;" ضد "&amp;AR$586)+COUNTIF($E$4:$E$582,AR$586&amp;" ضد "&amp;$A605))</f>
        <v>0</v>
      </c>
      <c r="AS605" s="4">
        <f>IF($A605=AS$586,"",COUNTIF($E$4:$E$582,$A605&amp;" ضد "&amp;AS$586)+COUNTIF($E$4:$E$582,AS$586&amp;" ضد "&amp;$A605))</f>
        <v>0</v>
      </c>
      <c r="AT605" s="4">
        <f>IF($A605=AT$586,"",COUNTIF($E$4:$E$582,$A605&amp;" ضد "&amp;AT$586)+COUNTIF($E$4:$E$582,AT$586&amp;" ضد "&amp;$A605))</f>
        <v>0</v>
      </c>
      <c r="AU605" s="4">
        <f>IF($A605=AU$586,"",COUNTIF($E$4:$E$582,$A605&amp;" ضد "&amp;AU$586)+COUNTIF($E$4:$E$582,AU$586&amp;" ضد "&amp;$A605))</f>
        <v>0</v>
      </c>
      <c r="AV605" s="4">
        <f>IF($A605=AV$586,"",COUNTIF($E$4:$E$582,$A605&amp;" ضد "&amp;AV$586)+COUNTIF($E$4:$E$582,AV$586&amp;" ضد "&amp;$A605))</f>
        <v>0</v>
      </c>
      <c r="AW605" s="4">
        <f>IF($A605=AW$586,"",COUNTIF($E$4:$E$582,$A605&amp;" ضد "&amp;AW$586)+COUNTIF($E$4:$E$582,AW$586&amp;" ضد "&amp;$A605))</f>
        <v>0</v>
      </c>
      <c r="AX605" s="4">
        <f>IF($A605=AX$586,"",COUNTIF($E$4:$E$582,$A605&amp;" ضد "&amp;AX$586)+COUNTIF($E$4:$E$582,AX$586&amp;" ضد "&amp;$A605))</f>
        <v>0</v>
      </c>
      <c r="AY605" s="4">
        <f>IF($A605=AY$586,"",COUNTIF($E$4:$E$582,$A605&amp;" ضد "&amp;AY$586)+COUNTIF($E$4:$E$582,AY$586&amp;" ضد "&amp;$A605))</f>
        <v>0</v>
      </c>
      <c r="AZ605" s="4">
        <f>IF($A605=AZ$586,"",COUNTIF($E$4:$E$582,$A605&amp;" ضد "&amp;AZ$586)+COUNTIF($E$4:$E$582,AZ$586&amp;" ضد "&amp;$A605))</f>
        <v>0</v>
      </c>
      <c r="BA605" s="4">
        <f>IF($A605=BA$586,"",COUNTIF($E$4:$E$582,$A605&amp;" ضد "&amp;BA$586)+COUNTIF($E$4:$E$582,BA$586&amp;" ضد "&amp;$A605))</f>
        <v>0</v>
      </c>
      <c r="BB605" s="4">
        <f>IF($A605=BB$586,"",COUNTIF($E$4:$E$582,$A605&amp;" ضد "&amp;BB$586)+COUNTIF($E$4:$E$582,BB$586&amp;" ضد "&amp;$A605))</f>
        <v>0</v>
      </c>
      <c r="BC605" s="4">
        <f>IF($A605=BC$586,"",COUNTIF($E$4:$E$582,$A605&amp;" ضد "&amp;BC$586)+COUNTIF($E$4:$E$582,BC$586&amp;" ضد "&amp;$A605))</f>
        <v>0</v>
      </c>
      <c r="BD605" s="4">
        <f>IF($A605=BD$586,"",COUNTIF($E$4:$E$582,$A605&amp;" ضد "&amp;BD$586)+COUNTIF($E$4:$E$582,BD$586&amp;" ضد "&amp;$A605))</f>
        <v>0</v>
      </c>
      <c r="BE605" s="4">
        <f>IF($A605=BE$586,"",COUNTIF($E$4:$E$582,$A605&amp;" ضد "&amp;BE$586)+COUNTIF($E$4:$E$582,BE$586&amp;" ضد "&amp;$A605))</f>
        <v>0</v>
      </c>
      <c r="BF605" s="4">
        <f>IF($A605=BF$586,"",COUNTIF($E$4:$E$582,$A605&amp;" ضد "&amp;BF$586)+COUNTIF($E$4:$E$582,BF$586&amp;" ضد "&amp;$A605))</f>
        <v>0</v>
      </c>
      <c r="BG605" s="4">
        <f>IF($A605=BG$586,"",COUNTIF($E$4:$E$582,$A605&amp;" ضد "&amp;BG$586)+COUNTIF($E$4:$E$582,BG$586&amp;" ضد "&amp;$A605))</f>
        <v>0</v>
      </c>
      <c r="BH605" s="4">
        <f>IF($A605=BH$586,"",COUNTIF($E$4:$E$582,$A605&amp;" ضد "&amp;BH$586)+COUNTIF($E$4:$E$582,BH$586&amp;" ضد "&amp;$A605))</f>
        <v>0</v>
      </c>
      <c r="BI605" s="4">
        <f>IF($A605=BI$586,"",COUNTIF($E$4:$E$582,$A605&amp;" ضد "&amp;BI$586)+COUNTIF($E$4:$E$582,BI$586&amp;" ضد "&amp;$A605))</f>
        <v>0</v>
      </c>
      <c r="BJ605" s="4">
        <f>IF($A605=BJ$586,"",COUNTIF($E$4:$E$582,$A605&amp;" ضد "&amp;BJ$586)+COUNTIF($E$4:$E$582,BJ$586&amp;" ضد "&amp;$A605))</f>
        <v>0</v>
      </c>
      <c r="BK605" s="4">
        <f>IF($A605=BK$586,"",COUNTIF($E$4:$E$582,$A605&amp;" ضد "&amp;BK$586)+COUNTIF($E$4:$E$582,BK$586&amp;" ضد "&amp;$A605))</f>
        <v>0</v>
      </c>
      <c r="BL605" s="4">
        <f>IF($A605=BL$586,"",COUNTIF($E$4:$E$582,$A605&amp;" ضد "&amp;BL$586)+COUNTIF($E$4:$E$582,BL$586&amp;" ضد "&amp;$A605))</f>
        <v>0</v>
      </c>
      <c r="BM605" s="4">
        <f>IF($A605=BM$586,"",COUNTIF($E$4:$E$582,$A605&amp;" ضد "&amp;BM$586)+COUNTIF($E$4:$E$582,BM$586&amp;" ضد "&amp;$A605))</f>
        <v>0</v>
      </c>
    </row>
    <row r="606" spans="1:65" ht="14.5">
      <c r="A606" s="14">
        <v>20</v>
      </c>
      <c r="B606" s="4">
        <f>IF($A606=B$586,"",COUNTIF($E$4:$E$582,$A606&amp;" ضد "&amp;B$586)+COUNTIF($E$4:$E$582,B$586&amp;" ضد "&amp;$A606))</f>
        <v>0</v>
      </c>
      <c r="C606" s="4">
        <f>IF($A606=C$586,"",COUNTIF($E$4:$E$582,$A606&amp;" ضد "&amp;C$586)+COUNTIF($E$4:$E$582,C$586&amp;" ضد "&amp;$A606))</f>
        <v>0</v>
      </c>
      <c r="D606" s="4">
        <f>IF($A606=D$586,"",COUNTIF($E$4:$E$582,$A606&amp;" ضد "&amp;D$586)+COUNTIF($E$4:$E$582,D$586&amp;" ضد "&amp;$A606))</f>
        <v>0</v>
      </c>
      <c r="E606" s="4">
        <f>IF($A606=E$586,"",COUNTIF($E$4:$E$582,$A606&amp;" ضد "&amp;E$586)+COUNTIF($E$4:$E$582,E$586&amp;" ضد "&amp;$A606))</f>
        <v>0</v>
      </c>
      <c r="F606" s="4">
        <f>IF($A606=F$586,"",COUNTIF($E$4:$E$582,$A606&amp;" ضد "&amp;F$586)+COUNTIF($E$4:$E$582,F$586&amp;" ضد "&amp;$A606))</f>
        <v>0</v>
      </c>
      <c r="G606" s="4">
        <f>IF($A606=G$586,"",COUNTIF($E$4:$E$582,$A606&amp;" ضد "&amp;G$586)+COUNTIF($E$4:$E$582,G$586&amp;" ضد "&amp;$A606))</f>
        <v>0</v>
      </c>
      <c r="H606" s="4">
        <f>IF($A606=H$586,"",COUNTIF($E$4:$E$582,$A606&amp;" ضد "&amp;H$586)+COUNTIF($E$4:$E$582,H$586&amp;" ضد "&amp;$A606))</f>
        <v>0</v>
      </c>
      <c r="I606" s="4">
        <f>IF($A606=I$586,"",COUNTIF($E$4:$E$582,$A606&amp;" ضد "&amp;I$586)+COUNTIF($E$4:$E$582,I$586&amp;" ضد "&amp;$A606))</f>
        <v>0</v>
      </c>
      <c r="J606" s="4">
        <f>IF($A606=J$586,"",COUNTIF($E$4:$E$582,$A606&amp;" ضد "&amp;J$586)+COUNTIF($E$4:$E$582,J$586&amp;" ضد "&amp;$A606))</f>
        <v>0</v>
      </c>
      <c r="K606" s="4">
        <f>IF($A606=K$586,"",COUNTIF($E$4:$E$582,$A606&amp;" ضد "&amp;K$586)+COUNTIF($E$4:$E$582,K$586&amp;" ضد "&amp;$A606))</f>
        <v>0</v>
      </c>
      <c r="L606" s="4">
        <f>IF($A606=L$586,"",COUNTIF($E$4:$E$582,$A606&amp;" ضد "&amp;L$586)+COUNTIF($E$4:$E$582,L$586&amp;" ضد "&amp;$A606))</f>
        <v>0</v>
      </c>
      <c r="M606" s="4">
        <f>IF($A606=M$586,"",COUNTIF($E$4:$E$582,$A606&amp;" ضد "&amp;M$586)+COUNTIF($E$4:$E$582,M$586&amp;" ضد "&amp;$A606))</f>
        <v>0</v>
      </c>
      <c r="N606" s="4">
        <f>IF($A606=N$586,"",COUNTIF($E$4:$E$582,$A606&amp;" ضد "&amp;N$586)+COUNTIF($E$4:$E$582,N$586&amp;" ضد "&amp;$A606))</f>
        <v>0</v>
      </c>
      <c r="O606" s="4">
        <f>IF($A606=O$586,"",COUNTIF($E$4:$E$582,$A606&amp;" ضد "&amp;O$586)+COUNTIF($E$4:$E$582,O$586&amp;" ضد "&amp;$A606))</f>
        <v>0</v>
      </c>
      <c r="P606" s="4">
        <f>IF($A606=P$586,"",COUNTIF($E$4:$E$582,$A606&amp;" ضد "&amp;P$586)+COUNTIF($E$4:$E$582,P$586&amp;" ضد "&amp;$A606))</f>
        <v>0</v>
      </c>
      <c r="Q606" s="4">
        <f>IF($A606=Q$586,"",COUNTIF($E$4:$E$582,$A606&amp;" ضد "&amp;Q$586)+COUNTIF($E$4:$E$582,Q$586&amp;" ضد "&amp;$A606))</f>
        <v>0</v>
      </c>
      <c r="R606" s="4">
        <f>IF($A606=R$586,"",COUNTIF($E$4:$E$582,$A606&amp;" ضد "&amp;R$586)+COUNTIF($E$4:$E$582,R$586&amp;" ضد "&amp;$A606))</f>
        <v>1</v>
      </c>
      <c r="S606" s="4">
        <f>IF($A606=S$586,"",COUNTIF($E$4:$E$582,$A606&amp;" ضد "&amp;S$586)+COUNTIF($E$4:$E$582,S$586&amp;" ضد "&amp;$A606))</f>
        <v>1</v>
      </c>
      <c r="T606" s="4">
        <f>IF($A606=T$586,"",COUNTIF($E$4:$E$582,$A606&amp;" ضد "&amp;T$586)+COUNTIF($E$4:$E$582,T$586&amp;" ضد "&amp;$A606))</f>
        <v>1</v>
      </c>
      <c r="U606" s="4" t="str">
        <f>IF($A606=U$586,"",COUNTIF($E$4:$E$582,$A606&amp;" ضد "&amp;U$586)+COUNTIF($E$4:$E$582,U$586&amp;" ضد "&amp;$A606))</f>
        <v/>
      </c>
      <c r="V606" s="4">
        <f>IF($A606=V$586,"",COUNTIF($E$4:$E$582,$A606&amp;" ضد "&amp;V$586)+COUNTIF($E$4:$E$582,V$586&amp;" ضد "&amp;$A606))</f>
        <v>1</v>
      </c>
      <c r="W606" s="4">
        <f>IF($A606=W$586,"",COUNTIF($E$4:$E$582,$A606&amp;" ضد "&amp;W$586)+COUNTIF($E$4:$E$582,W$586&amp;" ضد "&amp;$A606))</f>
        <v>1</v>
      </c>
      <c r="X606" s="4">
        <f>IF($A606=X$586,"",COUNTIF($E$4:$E$582,$A606&amp;" ضد "&amp;X$586)+COUNTIF($E$4:$E$582,X$586&amp;" ضد "&amp;$A606))</f>
        <v>1</v>
      </c>
      <c r="Y606" s="4">
        <f>IF($A606=Y$586,"",COUNTIF($E$4:$E$582,$A606&amp;" ضد "&amp;Y$586)+COUNTIF($E$4:$E$582,Y$586&amp;" ضد "&amp;$A606))</f>
        <v>1</v>
      </c>
      <c r="Z606" s="4">
        <f>IF($A606=Z$586,"",COUNTIF($E$4:$E$582,$A606&amp;" ضد "&amp;Z$586)+COUNTIF($E$4:$E$582,Z$586&amp;" ضد "&amp;$A606))</f>
        <v>2</v>
      </c>
      <c r="AA606" s="4">
        <f>IF($A606=AA$586,"",COUNTIF($E$4:$E$582,$A606&amp;" ضد "&amp;AA$586)+COUNTIF($E$4:$E$582,AA$586&amp;" ضد "&amp;$A606))</f>
        <v>1</v>
      </c>
      <c r="AB606" s="4">
        <f>IF($A606=AB$586,"",COUNTIF($E$4:$E$582,$A606&amp;" ضد "&amp;AB$586)+COUNTIF($E$4:$E$582,AB$586&amp;" ضد "&amp;$A606))</f>
        <v>2</v>
      </c>
      <c r="AC606" s="4">
        <f>IF($A606=AC$586,"",COUNTIF($E$4:$E$582,$A606&amp;" ضد "&amp;AC$586)+COUNTIF($E$4:$E$582,AC$586&amp;" ضد "&amp;$A606))</f>
        <v>1</v>
      </c>
      <c r="AD606" s="4">
        <f>IF($A606=AD$586,"",COUNTIF($E$4:$E$582,$A606&amp;" ضد "&amp;AD$586)+COUNTIF($E$4:$E$582,AD$586&amp;" ضد "&amp;$A606))</f>
        <v>2</v>
      </c>
      <c r="AE606" s="4">
        <f>IF($A606=AE$586,"",COUNTIF($E$4:$E$582,$A606&amp;" ضد "&amp;AE$586)+COUNTIF($E$4:$E$582,AE$586&amp;" ضد "&amp;$A606))</f>
        <v>1</v>
      </c>
      <c r="AF606" s="4">
        <f>IF($A606=AF$586,"",COUNTIF($E$4:$E$582,$A606&amp;" ضد "&amp;AF$586)+COUNTIF($E$4:$E$582,AF$586&amp;" ضد "&amp;$A606))</f>
        <v>1</v>
      </c>
      <c r="AG606" s="4">
        <f>IF($A606=AG$586,"",COUNTIF($E$4:$E$582,$A606&amp;" ضد "&amp;AG$586)+COUNTIF($E$4:$E$582,AG$586&amp;" ضد "&amp;$A606))</f>
        <v>1</v>
      </c>
      <c r="AH606" s="4">
        <f>IF($A606=AH$586,"",COUNTIF($E$4:$E$582,$A606&amp;" ضد "&amp;AH$586)+COUNTIF($E$4:$E$582,AH$586&amp;" ضد "&amp;$A606))</f>
        <v>0</v>
      </c>
      <c r="AI606" s="4">
        <f>IF($A606=AI$586,"",COUNTIF($E$4:$E$582,$A606&amp;" ضد "&amp;AI$586)+COUNTIF($E$4:$E$582,AI$586&amp;" ضد "&amp;$A606))</f>
        <v>0</v>
      </c>
      <c r="AJ606" s="4">
        <f>IF($A606=AJ$586,"",COUNTIF($E$4:$E$582,$A606&amp;" ضد "&amp;AJ$586)+COUNTIF($E$4:$E$582,AJ$586&amp;" ضد "&amp;$A606))</f>
        <v>0</v>
      </c>
      <c r="AK606" s="4">
        <f>IF($A606=AK$586,"",COUNTIF($E$4:$E$582,$A606&amp;" ضد "&amp;AK$586)+COUNTIF($E$4:$E$582,AK$586&amp;" ضد "&amp;$A606))</f>
        <v>0</v>
      </c>
      <c r="AL606" s="4">
        <f>IF($A606=AL$586,"",COUNTIF($E$4:$E$582,$A606&amp;" ضد "&amp;AL$586)+COUNTIF($E$4:$E$582,AL$586&amp;" ضد "&amp;$A606))</f>
        <v>0</v>
      </c>
      <c r="AM606" s="4">
        <f>IF($A606=AM$586,"",COUNTIF($E$4:$E$582,$A606&amp;" ضد "&amp;AM$586)+COUNTIF($E$4:$E$582,AM$586&amp;" ضد "&amp;$A606))</f>
        <v>0</v>
      </c>
      <c r="AN606" s="4">
        <f>IF($A606=AN$586,"",COUNTIF($E$4:$E$582,$A606&amp;" ضد "&amp;AN$586)+COUNTIF($E$4:$E$582,AN$586&amp;" ضد "&amp;$A606))</f>
        <v>0</v>
      </c>
      <c r="AO606" s="4">
        <f>IF($A606=AO$586,"",COUNTIF($E$4:$E$582,$A606&amp;" ضد "&amp;AO$586)+COUNTIF($E$4:$E$582,AO$586&amp;" ضد "&amp;$A606))</f>
        <v>0</v>
      </c>
      <c r="AP606" s="4">
        <f>IF($A606=AP$586,"",COUNTIF($E$4:$E$582,$A606&amp;" ضد "&amp;AP$586)+COUNTIF($E$4:$E$582,AP$586&amp;" ضد "&amp;$A606))</f>
        <v>0</v>
      </c>
      <c r="AQ606" s="4">
        <f>IF($A606=AQ$586,"",COUNTIF($E$4:$E$582,$A606&amp;" ضد "&amp;AQ$586)+COUNTIF($E$4:$E$582,AQ$586&amp;" ضد "&amp;$A606))</f>
        <v>0</v>
      </c>
      <c r="AR606" s="4">
        <f>IF($A606=AR$586,"",COUNTIF($E$4:$E$582,$A606&amp;" ضد "&amp;AR$586)+COUNTIF($E$4:$E$582,AR$586&amp;" ضد "&amp;$A606))</f>
        <v>0</v>
      </c>
      <c r="AS606" s="4">
        <f>IF($A606=AS$586,"",COUNTIF($E$4:$E$582,$A606&amp;" ضد "&amp;AS$586)+COUNTIF($E$4:$E$582,AS$586&amp;" ضد "&amp;$A606))</f>
        <v>0</v>
      </c>
      <c r="AT606" s="4">
        <f>IF($A606=AT$586,"",COUNTIF($E$4:$E$582,$A606&amp;" ضد "&amp;AT$586)+COUNTIF($E$4:$E$582,AT$586&amp;" ضد "&amp;$A606))</f>
        <v>0</v>
      </c>
      <c r="AU606" s="4">
        <f>IF($A606=AU$586,"",COUNTIF($E$4:$E$582,$A606&amp;" ضد "&amp;AU$586)+COUNTIF($E$4:$E$582,AU$586&amp;" ضد "&amp;$A606))</f>
        <v>0</v>
      </c>
      <c r="AV606" s="4">
        <f>IF($A606=AV$586,"",COUNTIF($E$4:$E$582,$A606&amp;" ضد "&amp;AV$586)+COUNTIF($E$4:$E$582,AV$586&amp;" ضد "&amp;$A606))</f>
        <v>0</v>
      </c>
      <c r="AW606" s="4">
        <f>IF($A606=AW$586,"",COUNTIF($E$4:$E$582,$A606&amp;" ضد "&amp;AW$586)+COUNTIF($E$4:$E$582,AW$586&amp;" ضد "&amp;$A606))</f>
        <v>0</v>
      </c>
      <c r="AX606" s="4">
        <f>IF($A606=AX$586,"",COUNTIF($E$4:$E$582,$A606&amp;" ضد "&amp;AX$586)+COUNTIF($E$4:$E$582,AX$586&amp;" ضد "&amp;$A606))</f>
        <v>0</v>
      </c>
      <c r="AY606" s="4">
        <f>IF($A606=AY$586,"",COUNTIF($E$4:$E$582,$A606&amp;" ضد "&amp;AY$586)+COUNTIF($E$4:$E$582,AY$586&amp;" ضد "&amp;$A606))</f>
        <v>0</v>
      </c>
      <c r="AZ606" s="4">
        <f>IF($A606=AZ$586,"",COUNTIF($E$4:$E$582,$A606&amp;" ضد "&amp;AZ$586)+COUNTIF($E$4:$E$582,AZ$586&amp;" ضد "&amp;$A606))</f>
        <v>0</v>
      </c>
      <c r="BA606" s="4">
        <f>IF($A606=BA$586,"",COUNTIF($E$4:$E$582,$A606&amp;" ضد "&amp;BA$586)+COUNTIF($E$4:$E$582,BA$586&amp;" ضد "&amp;$A606))</f>
        <v>0</v>
      </c>
      <c r="BB606" s="4">
        <f>IF($A606=BB$586,"",COUNTIF($E$4:$E$582,$A606&amp;" ضد "&amp;BB$586)+COUNTIF($E$4:$E$582,BB$586&amp;" ضد "&amp;$A606))</f>
        <v>0</v>
      </c>
      <c r="BC606" s="4">
        <f>IF($A606=BC$586,"",COUNTIF($E$4:$E$582,$A606&amp;" ضد "&amp;BC$586)+COUNTIF($E$4:$E$582,BC$586&amp;" ضد "&amp;$A606))</f>
        <v>0</v>
      </c>
      <c r="BD606" s="4">
        <f>IF($A606=BD$586,"",COUNTIF($E$4:$E$582,$A606&amp;" ضد "&amp;BD$586)+COUNTIF($E$4:$E$582,BD$586&amp;" ضد "&amp;$A606))</f>
        <v>0</v>
      </c>
      <c r="BE606" s="4">
        <f>IF($A606=BE$586,"",COUNTIF($E$4:$E$582,$A606&amp;" ضد "&amp;BE$586)+COUNTIF($E$4:$E$582,BE$586&amp;" ضد "&amp;$A606))</f>
        <v>0</v>
      </c>
      <c r="BF606" s="4">
        <f>IF($A606=BF$586,"",COUNTIF($E$4:$E$582,$A606&amp;" ضد "&amp;BF$586)+COUNTIF($E$4:$E$582,BF$586&amp;" ضد "&amp;$A606))</f>
        <v>0</v>
      </c>
      <c r="BG606" s="4">
        <f>IF($A606=BG$586,"",COUNTIF($E$4:$E$582,$A606&amp;" ضد "&amp;BG$586)+COUNTIF($E$4:$E$582,BG$586&amp;" ضد "&amp;$A606))</f>
        <v>0</v>
      </c>
      <c r="BH606" s="4">
        <f>IF($A606=BH$586,"",COUNTIF($E$4:$E$582,$A606&amp;" ضد "&amp;BH$586)+COUNTIF($E$4:$E$582,BH$586&amp;" ضد "&amp;$A606))</f>
        <v>0</v>
      </c>
      <c r="BI606" s="4">
        <f>IF($A606=BI$586,"",COUNTIF($E$4:$E$582,$A606&amp;" ضد "&amp;BI$586)+COUNTIF($E$4:$E$582,BI$586&amp;" ضد "&amp;$A606))</f>
        <v>0</v>
      </c>
      <c r="BJ606" s="4">
        <f>IF($A606=BJ$586,"",COUNTIF($E$4:$E$582,$A606&amp;" ضد "&amp;BJ$586)+COUNTIF($E$4:$E$582,BJ$586&amp;" ضد "&amp;$A606))</f>
        <v>0</v>
      </c>
      <c r="BK606" s="4">
        <f>IF($A606=BK$586,"",COUNTIF($E$4:$E$582,$A606&amp;" ضد "&amp;BK$586)+COUNTIF($E$4:$E$582,BK$586&amp;" ضد "&amp;$A606))</f>
        <v>0</v>
      </c>
      <c r="BL606" s="4">
        <f>IF($A606=BL$586,"",COUNTIF($E$4:$E$582,$A606&amp;" ضد "&amp;BL$586)+COUNTIF($E$4:$E$582,BL$586&amp;" ضد "&amp;$A606))</f>
        <v>0</v>
      </c>
      <c r="BM606" s="4">
        <f>IF($A606=BM$586,"",COUNTIF($E$4:$E$582,$A606&amp;" ضد "&amp;BM$586)+COUNTIF($E$4:$E$582,BM$586&amp;" ضد "&amp;$A606))</f>
        <v>0</v>
      </c>
    </row>
    <row r="607" spans="1:65" ht="14.5">
      <c r="A607" s="14">
        <v>21</v>
      </c>
      <c r="B607" s="4">
        <f>IF($A607=B$586,"",COUNTIF($E$4:$E$582,$A607&amp;" ضد "&amp;B$586)+COUNTIF($E$4:$E$582,B$586&amp;" ضد "&amp;$A607))</f>
        <v>0</v>
      </c>
      <c r="C607" s="4">
        <f>IF($A607=C$586,"",COUNTIF($E$4:$E$582,$A607&amp;" ضد "&amp;C$586)+COUNTIF($E$4:$E$582,C$586&amp;" ضد "&amp;$A607))</f>
        <v>0</v>
      </c>
      <c r="D607" s="4">
        <f>IF($A607=D$586,"",COUNTIF($E$4:$E$582,$A607&amp;" ضد "&amp;D$586)+COUNTIF($E$4:$E$582,D$586&amp;" ضد "&amp;$A607))</f>
        <v>0</v>
      </c>
      <c r="E607" s="4">
        <f>IF($A607=E$586,"",COUNTIF($E$4:$E$582,$A607&amp;" ضد "&amp;E$586)+COUNTIF($E$4:$E$582,E$586&amp;" ضد "&amp;$A607))</f>
        <v>0</v>
      </c>
      <c r="F607" s="4">
        <f>IF($A607=F$586,"",COUNTIF($E$4:$E$582,$A607&amp;" ضد "&amp;F$586)+COUNTIF($E$4:$E$582,F$586&amp;" ضد "&amp;$A607))</f>
        <v>0</v>
      </c>
      <c r="G607" s="4">
        <f>IF($A607=G$586,"",COUNTIF($E$4:$E$582,$A607&amp;" ضد "&amp;G$586)+COUNTIF($E$4:$E$582,G$586&amp;" ضد "&amp;$A607))</f>
        <v>0</v>
      </c>
      <c r="H607" s="4">
        <f>IF($A607=H$586,"",COUNTIF($E$4:$E$582,$A607&amp;" ضد "&amp;H$586)+COUNTIF($E$4:$E$582,H$586&amp;" ضد "&amp;$A607))</f>
        <v>0</v>
      </c>
      <c r="I607" s="4">
        <f>IF($A607=I$586,"",COUNTIF($E$4:$E$582,$A607&amp;" ضد "&amp;I$586)+COUNTIF($E$4:$E$582,I$586&amp;" ضد "&amp;$A607))</f>
        <v>0</v>
      </c>
      <c r="J607" s="4">
        <f>IF($A607=J$586,"",COUNTIF($E$4:$E$582,$A607&amp;" ضد "&amp;J$586)+COUNTIF($E$4:$E$582,J$586&amp;" ضد "&amp;$A607))</f>
        <v>0</v>
      </c>
      <c r="K607" s="4">
        <f>IF($A607=K$586,"",COUNTIF($E$4:$E$582,$A607&amp;" ضد "&amp;K$586)+COUNTIF($E$4:$E$582,K$586&amp;" ضد "&amp;$A607))</f>
        <v>0</v>
      </c>
      <c r="L607" s="4">
        <f>IF($A607=L$586,"",COUNTIF($E$4:$E$582,$A607&amp;" ضد "&amp;L$586)+COUNTIF($E$4:$E$582,L$586&amp;" ضد "&amp;$A607))</f>
        <v>0</v>
      </c>
      <c r="M607" s="4">
        <f>IF($A607=M$586,"",COUNTIF($E$4:$E$582,$A607&amp;" ضد "&amp;M$586)+COUNTIF($E$4:$E$582,M$586&amp;" ضد "&amp;$A607))</f>
        <v>0</v>
      </c>
      <c r="N607" s="4">
        <f>IF($A607=N$586,"",COUNTIF($E$4:$E$582,$A607&amp;" ضد "&amp;N$586)+COUNTIF($E$4:$E$582,N$586&amp;" ضد "&amp;$A607))</f>
        <v>0</v>
      </c>
      <c r="O607" s="4">
        <f>IF($A607=O$586,"",COUNTIF($E$4:$E$582,$A607&amp;" ضد "&amp;O$586)+COUNTIF($E$4:$E$582,O$586&amp;" ضد "&amp;$A607))</f>
        <v>0</v>
      </c>
      <c r="P607" s="4">
        <f>IF($A607=P$586,"",COUNTIF($E$4:$E$582,$A607&amp;" ضد "&amp;P$586)+COUNTIF($E$4:$E$582,P$586&amp;" ضد "&amp;$A607))</f>
        <v>0</v>
      </c>
      <c r="Q607" s="4">
        <f>IF($A607=Q$586,"",COUNTIF($E$4:$E$582,$A607&amp;" ضد "&amp;Q$586)+COUNTIF($E$4:$E$582,Q$586&amp;" ضد "&amp;$A607))</f>
        <v>0</v>
      </c>
      <c r="R607" s="4">
        <f>IF($A607=R$586,"",COUNTIF($E$4:$E$582,$A607&amp;" ضد "&amp;R$586)+COUNTIF($E$4:$E$582,R$586&amp;" ضد "&amp;$A607))</f>
        <v>1</v>
      </c>
      <c r="S607" s="4">
        <f>IF($A607=S$586,"",COUNTIF($E$4:$E$582,$A607&amp;" ضد "&amp;S$586)+COUNTIF($E$4:$E$582,S$586&amp;" ضد "&amp;$A607))</f>
        <v>1</v>
      </c>
      <c r="T607" s="4">
        <f>IF($A607=T$586,"",COUNTIF($E$4:$E$582,$A607&amp;" ضد "&amp;T$586)+COUNTIF($E$4:$E$582,T$586&amp;" ضد "&amp;$A607))</f>
        <v>1</v>
      </c>
      <c r="U607" s="4">
        <f>IF($A607=U$586,"",COUNTIF($E$4:$E$582,$A607&amp;" ضد "&amp;U$586)+COUNTIF($E$4:$E$582,U$586&amp;" ضد "&amp;$A607))</f>
        <v>1</v>
      </c>
      <c r="V607" s="4" t="str">
        <f>IF($A607=V$586,"",COUNTIF($E$4:$E$582,$A607&amp;" ضد "&amp;V$586)+COUNTIF($E$4:$E$582,V$586&amp;" ضد "&amp;$A607))</f>
        <v/>
      </c>
      <c r="W607" s="4">
        <f>IF($A607=W$586,"",COUNTIF($E$4:$E$582,$A607&amp;" ضد "&amp;W$586)+COUNTIF($E$4:$E$582,W$586&amp;" ضد "&amp;$A607))</f>
        <v>1</v>
      </c>
      <c r="X607" s="4">
        <f>IF($A607=X$586,"",COUNTIF($E$4:$E$582,$A607&amp;" ضد "&amp;X$586)+COUNTIF($E$4:$E$582,X$586&amp;" ضد "&amp;$A607))</f>
        <v>1</v>
      </c>
      <c r="Y607" s="4">
        <f>IF($A607=Y$586,"",COUNTIF($E$4:$E$582,$A607&amp;" ضد "&amp;Y$586)+COUNTIF($E$4:$E$582,Y$586&amp;" ضد "&amp;$A607))</f>
        <v>2</v>
      </c>
      <c r="Z607" s="4">
        <f>IF($A607=Z$586,"",COUNTIF($E$4:$E$582,$A607&amp;" ضد "&amp;Z$586)+COUNTIF($E$4:$E$582,Z$586&amp;" ضد "&amp;$A607))</f>
        <v>1</v>
      </c>
      <c r="AA607" s="4">
        <f>IF($A607=AA$586,"",COUNTIF($E$4:$E$582,$A607&amp;" ضد "&amp;AA$586)+COUNTIF($E$4:$E$582,AA$586&amp;" ضد "&amp;$A607))</f>
        <v>2</v>
      </c>
      <c r="AB607" s="4">
        <f>IF($A607=AB$586,"",COUNTIF($E$4:$E$582,$A607&amp;" ضد "&amp;AB$586)+COUNTIF($E$4:$E$582,AB$586&amp;" ضد "&amp;$A607))</f>
        <v>1</v>
      </c>
      <c r="AC607" s="4">
        <f>IF($A607=AC$586,"",COUNTIF($E$4:$E$582,$A607&amp;" ضد "&amp;AC$586)+COUNTIF($E$4:$E$582,AC$586&amp;" ضد "&amp;$A607))</f>
        <v>2</v>
      </c>
      <c r="AD607" s="4">
        <f>IF($A607=AD$586,"",COUNTIF($E$4:$E$582,$A607&amp;" ضد "&amp;AD$586)+COUNTIF($E$4:$E$582,AD$586&amp;" ضد "&amp;$A607))</f>
        <v>1</v>
      </c>
      <c r="AE607" s="4">
        <f>IF($A607=AE$586,"",COUNTIF($E$4:$E$582,$A607&amp;" ضد "&amp;AE$586)+COUNTIF($E$4:$E$582,AE$586&amp;" ضد "&amp;$A607))</f>
        <v>1</v>
      </c>
      <c r="AF607" s="4">
        <f>IF($A607=AF$586,"",COUNTIF($E$4:$E$582,$A607&amp;" ضد "&amp;AF$586)+COUNTIF($E$4:$E$582,AF$586&amp;" ضد "&amp;$A607))</f>
        <v>1</v>
      </c>
      <c r="AG607" s="4">
        <f>IF($A607=AG$586,"",COUNTIF($E$4:$E$582,$A607&amp;" ضد "&amp;AG$586)+COUNTIF($E$4:$E$582,AG$586&amp;" ضد "&amp;$A607))</f>
        <v>1</v>
      </c>
      <c r="AH607" s="4">
        <f>IF($A607=AH$586,"",COUNTIF($E$4:$E$582,$A607&amp;" ضد "&amp;AH$586)+COUNTIF($E$4:$E$582,AH$586&amp;" ضد "&amp;$A607))</f>
        <v>0</v>
      </c>
      <c r="AI607" s="4">
        <f>IF($A607=AI$586,"",COUNTIF($E$4:$E$582,$A607&amp;" ضد "&amp;AI$586)+COUNTIF($E$4:$E$582,AI$586&amp;" ضد "&amp;$A607))</f>
        <v>0</v>
      </c>
      <c r="AJ607" s="4">
        <f>IF($A607=AJ$586,"",COUNTIF($E$4:$E$582,$A607&amp;" ضد "&amp;AJ$586)+COUNTIF($E$4:$E$582,AJ$586&amp;" ضد "&amp;$A607))</f>
        <v>0</v>
      </c>
      <c r="AK607" s="4">
        <f>IF($A607=AK$586,"",COUNTIF($E$4:$E$582,$A607&amp;" ضد "&amp;AK$586)+COUNTIF($E$4:$E$582,AK$586&amp;" ضد "&amp;$A607))</f>
        <v>0</v>
      </c>
      <c r="AL607" s="4">
        <f>IF($A607=AL$586,"",COUNTIF($E$4:$E$582,$A607&amp;" ضد "&amp;AL$586)+COUNTIF($E$4:$E$582,AL$586&amp;" ضد "&amp;$A607))</f>
        <v>0</v>
      </c>
      <c r="AM607" s="4">
        <f>IF($A607=AM$586,"",COUNTIF($E$4:$E$582,$A607&amp;" ضد "&amp;AM$586)+COUNTIF($E$4:$E$582,AM$586&amp;" ضد "&amp;$A607))</f>
        <v>0</v>
      </c>
      <c r="AN607" s="4">
        <f>IF($A607=AN$586,"",COUNTIF($E$4:$E$582,$A607&amp;" ضد "&amp;AN$586)+COUNTIF($E$4:$E$582,AN$586&amp;" ضد "&amp;$A607))</f>
        <v>0</v>
      </c>
      <c r="AO607" s="4">
        <f>IF($A607=AO$586,"",COUNTIF($E$4:$E$582,$A607&amp;" ضد "&amp;AO$586)+COUNTIF($E$4:$E$582,AO$586&amp;" ضد "&amp;$A607))</f>
        <v>0</v>
      </c>
      <c r="AP607" s="4">
        <f>IF($A607=AP$586,"",COUNTIF($E$4:$E$582,$A607&amp;" ضد "&amp;AP$586)+COUNTIF($E$4:$E$582,AP$586&amp;" ضد "&amp;$A607))</f>
        <v>0</v>
      </c>
      <c r="AQ607" s="4">
        <f>IF($A607=AQ$586,"",COUNTIF($E$4:$E$582,$A607&amp;" ضد "&amp;AQ$586)+COUNTIF($E$4:$E$582,AQ$586&amp;" ضد "&amp;$A607))</f>
        <v>0</v>
      </c>
      <c r="AR607" s="4">
        <f>IF($A607=AR$586,"",COUNTIF($E$4:$E$582,$A607&amp;" ضد "&amp;AR$586)+COUNTIF($E$4:$E$582,AR$586&amp;" ضد "&amp;$A607))</f>
        <v>0</v>
      </c>
      <c r="AS607" s="4">
        <f>IF($A607=AS$586,"",COUNTIF($E$4:$E$582,$A607&amp;" ضد "&amp;AS$586)+COUNTIF($E$4:$E$582,AS$586&amp;" ضد "&amp;$A607))</f>
        <v>0</v>
      </c>
      <c r="AT607" s="4">
        <f>IF($A607=AT$586,"",COUNTIF($E$4:$E$582,$A607&amp;" ضد "&amp;AT$586)+COUNTIF($E$4:$E$582,AT$586&amp;" ضد "&amp;$A607))</f>
        <v>0</v>
      </c>
      <c r="AU607" s="4">
        <f>IF($A607=AU$586,"",COUNTIF($E$4:$E$582,$A607&amp;" ضد "&amp;AU$586)+COUNTIF($E$4:$E$582,AU$586&amp;" ضد "&amp;$A607))</f>
        <v>0</v>
      </c>
      <c r="AV607" s="4">
        <f>IF($A607=AV$586,"",COUNTIF($E$4:$E$582,$A607&amp;" ضد "&amp;AV$586)+COUNTIF($E$4:$E$582,AV$586&amp;" ضد "&amp;$A607))</f>
        <v>0</v>
      </c>
      <c r="AW607" s="4">
        <f>IF($A607=AW$586,"",COUNTIF($E$4:$E$582,$A607&amp;" ضد "&amp;AW$586)+COUNTIF($E$4:$E$582,AW$586&amp;" ضد "&amp;$A607))</f>
        <v>0</v>
      </c>
      <c r="AX607" s="4">
        <f>IF($A607=AX$586,"",COUNTIF($E$4:$E$582,$A607&amp;" ضد "&amp;AX$586)+COUNTIF($E$4:$E$582,AX$586&amp;" ضد "&amp;$A607))</f>
        <v>0</v>
      </c>
      <c r="AY607" s="4">
        <f>IF($A607=AY$586,"",COUNTIF($E$4:$E$582,$A607&amp;" ضد "&amp;AY$586)+COUNTIF($E$4:$E$582,AY$586&amp;" ضد "&amp;$A607))</f>
        <v>0</v>
      </c>
      <c r="AZ607" s="4">
        <f>IF($A607=AZ$586,"",COUNTIF($E$4:$E$582,$A607&amp;" ضد "&amp;AZ$586)+COUNTIF($E$4:$E$582,AZ$586&amp;" ضد "&amp;$A607))</f>
        <v>0</v>
      </c>
      <c r="BA607" s="4">
        <f>IF($A607=BA$586,"",COUNTIF($E$4:$E$582,$A607&amp;" ضد "&amp;BA$586)+COUNTIF($E$4:$E$582,BA$586&amp;" ضد "&amp;$A607))</f>
        <v>0</v>
      </c>
      <c r="BB607" s="4">
        <f>IF($A607=BB$586,"",COUNTIF($E$4:$E$582,$A607&amp;" ضد "&amp;BB$586)+COUNTIF($E$4:$E$582,BB$586&amp;" ضد "&amp;$A607))</f>
        <v>0</v>
      </c>
      <c r="BC607" s="4">
        <f>IF($A607=BC$586,"",COUNTIF($E$4:$E$582,$A607&amp;" ضد "&amp;BC$586)+COUNTIF($E$4:$E$582,BC$586&amp;" ضد "&amp;$A607))</f>
        <v>0</v>
      </c>
      <c r="BD607" s="4">
        <f>IF($A607=BD$586,"",COUNTIF($E$4:$E$582,$A607&amp;" ضد "&amp;BD$586)+COUNTIF($E$4:$E$582,BD$586&amp;" ضد "&amp;$A607))</f>
        <v>0</v>
      </c>
      <c r="BE607" s="4">
        <f>IF($A607=BE$586,"",COUNTIF($E$4:$E$582,$A607&amp;" ضد "&amp;BE$586)+COUNTIF($E$4:$E$582,BE$586&amp;" ضد "&amp;$A607))</f>
        <v>0</v>
      </c>
      <c r="BF607" s="4">
        <f>IF($A607=BF$586,"",COUNTIF($E$4:$E$582,$A607&amp;" ضد "&amp;BF$586)+COUNTIF($E$4:$E$582,BF$586&amp;" ضد "&amp;$A607))</f>
        <v>0</v>
      </c>
      <c r="BG607" s="4">
        <f>IF($A607=BG$586,"",COUNTIF($E$4:$E$582,$A607&amp;" ضد "&amp;BG$586)+COUNTIF($E$4:$E$582,BG$586&amp;" ضد "&amp;$A607))</f>
        <v>0</v>
      </c>
      <c r="BH607" s="4">
        <f>IF($A607=BH$586,"",COUNTIF($E$4:$E$582,$A607&amp;" ضد "&amp;BH$586)+COUNTIF($E$4:$E$582,BH$586&amp;" ضد "&amp;$A607))</f>
        <v>0</v>
      </c>
      <c r="BI607" s="4">
        <f>IF($A607=BI$586,"",COUNTIF($E$4:$E$582,$A607&amp;" ضد "&amp;BI$586)+COUNTIF($E$4:$E$582,BI$586&amp;" ضد "&amp;$A607))</f>
        <v>0</v>
      </c>
      <c r="BJ607" s="4">
        <f>IF($A607=BJ$586,"",COUNTIF($E$4:$E$582,$A607&amp;" ضد "&amp;BJ$586)+COUNTIF($E$4:$E$582,BJ$586&amp;" ضد "&amp;$A607))</f>
        <v>0</v>
      </c>
      <c r="BK607" s="4">
        <f>IF($A607=BK$586,"",COUNTIF($E$4:$E$582,$A607&amp;" ضد "&amp;BK$586)+COUNTIF($E$4:$E$582,BK$586&amp;" ضد "&amp;$A607))</f>
        <v>0</v>
      </c>
      <c r="BL607" s="4">
        <f>IF($A607=BL$586,"",COUNTIF($E$4:$E$582,$A607&amp;" ضد "&amp;BL$586)+COUNTIF($E$4:$E$582,BL$586&amp;" ضد "&amp;$A607))</f>
        <v>0</v>
      </c>
      <c r="BM607" s="4">
        <f>IF($A607=BM$586,"",COUNTIF($E$4:$E$582,$A607&amp;" ضد "&amp;BM$586)+COUNTIF($E$4:$E$582,BM$586&amp;" ضد "&amp;$A607))</f>
        <v>0</v>
      </c>
    </row>
    <row r="608" spans="1:65" ht="14.5">
      <c r="A608" s="14">
        <v>22</v>
      </c>
      <c r="B608" s="4">
        <f>IF($A608=B$586,"",COUNTIF($E$4:$E$582,$A608&amp;" ضد "&amp;B$586)+COUNTIF($E$4:$E$582,B$586&amp;" ضد "&amp;$A608))</f>
        <v>0</v>
      </c>
      <c r="C608" s="4">
        <f>IF($A608=C$586,"",COUNTIF($E$4:$E$582,$A608&amp;" ضد "&amp;C$586)+COUNTIF($E$4:$E$582,C$586&amp;" ضد "&amp;$A608))</f>
        <v>0</v>
      </c>
      <c r="D608" s="4">
        <f>IF($A608=D$586,"",COUNTIF($E$4:$E$582,$A608&amp;" ضد "&amp;D$586)+COUNTIF($E$4:$E$582,D$586&amp;" ضد "&amp;$A608))</f>
        <v>0</v>
      </c>
      <c r="E608" s="4">
        <f>IF($A608=E$586,"",COUNTIF($E$4:$E$582,$A608&amp;" ضد "&amp;E$586)+COUNTIF($E$4:$E$582,E$586&amp;" ضد "&amp;$A608))</f>
        <v>0</v>
      </c>
      <c r="F608" s="4">
        <f>IF($A608=F$586,"",COUNTIF($E$4:$E$582,$A608&amp;" ضد "&amp;F$586)+COUNTIF($E$4:$E$582,F$586&amp;" ضد "&amp;$A608))</f>
        <v>0</v>
      </c>
      <c r="G608" s="4">
        <f>IF($A608=G$586,"",COUNTIF($E$4:$E$582,$A608&amp;" ضد "&amp;G$586)+COUNTIF($E$4:$E$582,G$586&amp;" ضد "&amp;$A608))</f>
        <v>0</v>
      </c>
      <c r="H608" s="4">
        <f>IF($A608=H$586,"",COUNTIF($E$4:$E$582,$A608&amp;" ضد "&amp;H$586)+COUNTIF($E$4:$E$582,H$586&amp;" ضد "&amp;$A608))</f>
        <v>0</v>
      </c>
      <c r="I608" s="4">
        <f>IF($A608=I$586,"",COUNTIF($E$4:$E$582,$A608&amp;" ضد "&amp;I$586)+COUNTIF($E$4:$E$582,I$586&amp;" ضد "&amp;$A608))</f>
        <v>0</v>
      </c>
      <c r="J608" s="4">
        <f>IF($A608=J$586,"",COUNTIF($E$4:$E$582,$A608&amp;" ضد "&amp;J$586)+COUNTIF($E$4:$E$582,J$586&amp;" ضد "&amp;$A608))</f>
        <v>0</v>
      </c>
      <c r="K608" s="4">
        <f>IF($A608=K$586,"",COUNTIF($E$4:$E$582,$A608&amp;" ضد "&amp;K$586)+COUNTIF($E$4:$E$582,K$586&amp;" ضد "&amp;$A608))</f>
        <v>0</v>
      </c>
      <c r="L608" s="4">
        <f>IF($A608=L$586,"",COUNTIF($E$4:$E$582,$A608&amp;" ضد "&amp;L$586)+COUNTIF($E$4:$E$582,L$586&amp;" ضد "&amp;$A608))</f>
        <v>0</v>
      </c>
      <c r="M608" s="4">
        <f>IF($A608=M$586,"",COUNTIF($E$4:$E$582,$A608&amp;" ضد "&amp;M$586)+COUNTIF($E$4:$E$582,M$586&amp;" ضد "&amp;$A608))</f>
        <v>0</v>
      </c>
      <c r="N608" s="4">
        <f>IF($A608=N$586,"",COUNTIF($E$4:$E$582,$A608&amp;" ضد "&amp;N$586)+COUNTIF($E$4:$E$582,N$586&amp;" ضد "&amp;$A608))</f>
        <v>0</v>
      </c>
      <c r="O608" s="4">
        <f>IF($A608=O$586,"",COUNTIF($E$4:$E$582,$A608&amp;" ضد "&amp;O$586)+COUNTIF($E$4:$E$582,O$586&amp;" ضد "&amp;$A608))</f>
        <v>0</v>
      </c>
      <c r="P608" s="4">
        <f>IF($A608=P$586,"",COUNTIF($E$4:$E$582,$A608&amp;" ضد "&amp;P$586)+COUNTIF($E$4:$E$582,P$586&amp;" ضد "&amp;$A608))</f>
        <v>0</v>
      </c>
      <c r="Q608" s="4">
        <f>IF($A608=Q$586,"",COUNTIF($E$4:$E$582,$A608&amp;" ضد "&amp;Q$586)+COUNTIF($E$4:$E$582,Q$586&amp;" ضد "&amp;$A608))</f>
        <v>0</v>
      </c>
      <c r="R608" s="4">
        <f>IF($A608=R$586,"",COUNTIF($E$4:$E$582,$A608&amp;" ضد "&amp;R$586)+COUNTIF($E$4:$E$582,R$586&amp;" ضد "&amp;$A608))</f>
        <v>1</v>
      </c>
      <c r="S608" s="4">
        <f>IF($A608=S$586,"",COUNTIF($E$4:$E$582,$A608&amp;" ضد "&amp;S$586)+COUNTIF($E$4:$E$582,S$586&amp;" ضد "&amp;$A608))</f>
        <v>1</v>
      </c>
      <c r="T608" s="4">
        <f>IF($A608=T$586,"",COUNTIF($E$4:$E$582,$A608&amp;" ضد "&amp;T$586)+COUNTIF($E$4:$E$582,T$586&amp;" ضد "&amp;$A608))</f>
        <v>1</v>
      </c>
      <c r="U608" s="4">
        <f>IF($A608=U$586,"",COUNTIF($E$4:$E$582,$A608&amp;" ضد "&amp;U$586)+COUNTIF($E$4:$E$582,U$586&amp;" ضد "&amp;$A608))</f>
        <v>1</v>
      </c>
      <c r="V608" s="4">
        <f>IF($A608=V$586,"",COUNTIF($E$4:$E$582,$A608&amp;" ضد "&amp;V$586)+COUNTIF($E$4:$E$582,V$586&amp;" ضد "&amp;$A608))</f>
        <v>1</v>
      </c>
      <c r="W608" s="4" t="str">
        <f>IF($A608=W$586,"",COUNTIF($E$4:$E$582,$A608&amp;" ضد "&amp;W$586)+COUNTIF($E$4:$E$582,W$586&amp;" ضد "&amp;$A608))</f>
        <v/>
      </c>
      <c r="X608" s="4">
        <f>IF($A608=X$586,"",COUNTIF($E$4:$E$582,$A608&amp;" ضد "&amp;X$586)+COUNTIF($E$4:$E$582,X$586&amp;" ضد "&amp;$A608))</f>
        <v>2</v>
      </c>
      <c r="Y608" s="4">
        <f>IF($A608=Y$586,"",COUNTIF($E$4:$E$582,$A608&amp;" ضد "&amp;Y$586)+COUNTIF($E$4:$E$582,Y$586&amp;" ضد "&amp;$A608))</f>
        <v>1</v>
      </c>
      <c r="Z608" s="4">
        <f>IF($A608=Z$586,"",COUNTIF($E$4:$E$582,$A608&amp;" ضد "&amp;Z$586)+COUNTIF($E$4:$E$582,Z$586&amp;" ضد "&amp;$A608))</f>
        <v>2</v>
      </c>
      <c r="AA608" s="4">
        <f>IF($A608=AA$586,"",COUNTIF($E$4:$E$582,$A608&amp;" ضد "&amp;AA$586)+COUNTIF($E$4:$E$582,AA$586&amp;" ضد "&amp;$A608))</f>
        <v>1</v>
      </c>
      <c r="AB608" s="4">
        <f>IF($A608=AB$586,"",COUNTIF($E$4:$E$582,$A608&amp;" ضد "&amp;AB$586)+COUNTIF($E$4:$E$582,AB$586&amp;" ضد "&amp;$A608))</f>
        <v>2</v>
      </c>
      <c r="AC608" s="4">
        <f>IF($A608=AC$586,"",COUNTIF($E$4:$E$582,$A608&amp;" ضد "&amp;AC$586)+COUNTIF($E$4:$E$582,AC$586&amp;" ضد "&amp;$A608))</f>
        <v>1</v>
      </c>
      <c r="AD608" s="4">
        <f>IF($A608=AD$586,"",COUNTIF($E$4:$E$582,$A608&amp;" ضد "&amp;AD$586)+COUNTIF($E$4:$E$582,AD$586&amp;" ضد "&amp;$A608))</f>
        <v>1</v>
      </c>
      <c r="AE608" s="4">
        <f>IF($A608=AE$586,"",COUNTIF($E$4:$E$582,$A608&amp;" ضد "&amp;AE$586)+COUNTIF($E$4:$E$582,AE$586&amp;" ضد "&amp;$A608))</f>
        <v>1</v>
      </c>
      <c r="AF608" s="4">
        <f>IF($A608=AF$586,"",COUNTIF($E$4:$E$582,$A608&amp;" ضد "&amp;AF$586)+COUNTIF($E$4:$E$582,AF$586&amp;" ضد "&amp;$A608))</f>
        <v>1</v>
      </c>
      <c r="AG608" s="4">
        <f>IF($A608=AG$586,"",COUNTIF($E$4:$E$582,$A608&amp;" ضد "&amp;AG$586)+COUNTIF($E$4:$E$582,AG$586&amp;" ضد "&amp;$A608))</f>
        <v>1</v>
      </c>
      <c r="AH608" s="4">
        <f>IF($A608=AH$586,"",COUNTIF($E$4:$E$582,$A608&amp;" ضد "&amp;AH$586)+COUNTIF($E$4:$E$582,AH$586&amp;" ضد "&amp;$A608))</f>
        <v>0</v>
      </c>
      <c r="AI608" s="4">
        <f>IF($A608=AI$586,"",COUNTIF($E$4:$E$582,$A608&amp;" ضد "&amp;AI$586)+COUNTIF($E$4:$E$582,AI$586&amp;" ضد "&amp;$A608))</f>
        <v>0</v>
      </c>
      <c r="AJ608" s="4">
        <f>IF($A608=AJ$586,"",COUNTIF($E$4:$E$582,$A608&amp;" ضد "&amp;AJ$586)+COUNTIF($E$4:$E$582,AJ$586&amp;" ضد "&amp;$A608))</f>
        <v>0</v>
      </c>
      <c r="AK608" s="4">
        <f>IF($A608=AK$586,"",COUNTIF($E$4:$E$582,$A608&amp;" ضد "&amp;AK$586)+COUNTIF($E$4:$E$582,AK$586&amp;" ضد "&amp;$A608))</f>
        <v>0</v>
      </c>
      <c r="AL608" s="4">
        <f>IF($A608=AL$586,"",COUNTIF($E$4:$E$582,$A608&amp;" ضد "&amp;AL$586)+COUNTIF($E$4:$E$582,AL$586&amp;" ضد "&amp;$A608))</f>
        <v>0</v>
      </c>
      <c r="AM608" s="4">
        <f>IF($A608=AM$586,"",COUNTIF($E$4:$E$582,$A608&amp;" ضد "&amp;AM$586)+COUNTIF($E$4:$E$582,AM$586&amp;" ضد "&amp;$A608))</f>
        <v>0</v>
      </c>
      <c r="AN608" s="4">
        <f>IF($A608=AN$586,"",COUNTIF($E$4:$E$582,$A608&amp;" ضد "&amp;AN$586)+COUNTIF($E$4:$E$582,AN$586&amp;" ضد "&amp;$A608))</f>
        <v>0</v>
      </c>
      <c r="AO608" s="4">
        <f>IF($A608=AO$586,"",COUNTIF($E$4:$E$582,$A608&amp;" ضد "&amp;AO$586)+COUNTIF($E$4:$E$582,AO$586&amp;" ضد "&amp;$A608))</f>
        <v>0</v>
      </c>
      <c r="AP608" s="4">
        <f>IF($A608=AP$586,"",COUNTIF($E$4:$E$582,$A608&amp;" ضد "&amp;AP$586)+COUNTIF($E$4:$E$582,AP$586&amp;" ضد "&amp;$A608))</f>
        <v>0</v>
      </c>
      <c r="AQ608" s="4">
        <f>IF($A608=AQ$586,"",COUNTIF($E$4:$E$582,$A608&amp;" ضد "&amp;AQ$586)+COUNTIF($E$4:$E$582,AQ$586&amp;" ضد "&amp;$A608))</f>
        <v>0</v>
      </c>
      <c r="AR608" s="4">
        <f>IF($A608=AR$586,"",COUNTIF($E$4:$E$582,$A608&amp;" ضد "&amp;AR$586)+COUNTIF($E$4:$E$582,AR$586&amp;" ضد "&amp;$A608))</f>
        <v>0</v>
      </c>
      <c r="AS608" s="4">
        <f>IF($A608=AS$586,"",COUNTIF($E$4:$E$582,$A608&amp;" ضد "&amp;AS$586)+COUNTIF($E$4:$E$582,AS$586&amp;" ضد "&amp;$A608))</f>
        <v>0</v>
      </c>
      <c r="AT608" s="4">
        <f>IF($A608=AT$586,"",COUNTIF($E$4:$E$582,$A608&amp;" ضد "&amp;AT$586)+COUNTIF($E$4:$E$582,AT$586&amp;" ضد "&amp;$A608))</f>
        <v>0</v>
      </c>
      <c r="AU608" s="4">
        <f>IF($A608=AU$586,"",COUNTIF($E$4:$E$582,$A608&amp;" ضد "&amp;AU$586)+COUNTIF($E$4:$E$582,AU$586&amp;" ضد "&amp;$A608))</f>
        <v>0</v>
      </c>
      <c r="AV608" s="4">
        <f>IF($A608=AV$586,"",COUNTIF($E$4:$E$582,$A608&amp;" ضد "&amp;AV$586)+COUNTIF($E$4:$E$582,AV$586&amp;" ضد "&amp;$A608))</f>
        <v>0</v>
      </c>
      <c r="AW608" s="4">
        <f>IF($A608=AW$586,"",COUNTIF($E$4:$E$582,$A608&amp;" ضد "&amp;AW$586)+COUNTIF($E$4:$E$582,AW$586&amp;" ضد "&amp;$A608))</f>
        <v>0</v>
      </c>
      <c r="AX608" s="4">
        <f>IF($A608=AX$586,"",COUNTIF($E$4:$E$582,$A608&amp;" ضد "&amp;AX$586)+COUNTIF($E$4:$E$582,AX$586&amp;" ضد "&amp;$A608))</f>
        <v>0</v>
      </c>
      <c r="AY608" s="4">
        <f>IF($A608=AY$586,"",COUNTIF($E$4:$E$582,$A608&amp;" ضد "&amp;AY$586)+COUNTIF($E$4:$E$582,AY$586&amp;" ضد "&amp;$A608))</f>
        <v>0</v>
      </c>
      <c r="AZ608" s="4">
        <f>IF($A608=AZ$586,"",COUNTIF($E$4:$E$582,$A608&amp;" ضد "&amp;AZ$586)+COUNTIF($E$4:$E$582,AZ$586&amp;" ضد "&amp;$A608))</f>
        <v>0</v>
      </c>
      <c r="BA608" s="4">
        <f>IF($A608=BA$586,"",COUNTIF($E$4:$E$582,$A608&amp;" ضد "&amp;BA$586)+COUNTIF($E$4:$E$582,BA$586&amp;" ضد "&amp;$A608))</f>
        <v>0</v>
      </c>
      <c r="BB608" s="4">
        <f>IF($A608=BB$586,"",COUNTIF($E$4:$E$582,$A608&amp;" ضد "&amp;BB$586)+COUNTIF($E$4:$E$582,BB$586&amp;" ضد "&amp;$A608))</f>
        <v>0</v>
      </c>
      <c r="BC608" s="4">
        <f>IF($A608=BC$586,"",COUNTIF($E$4:$E$582,$A608&amp;" ضد "&amp;BC$586)+COUNTIF($E$4:$E$582,BC$586&amp;" ضد "&amp;$A608))</f>
        <v>0</v>
      </c>
      <c r="BD608" s="4">
        <f>IF($A608=BD$586,"",COUNTIF($E$4:$E$582,$A608&amp;" ضد "&amp;BD$586)+COUNTIF($E$4:$E$582,BD$586&amp;" ضد "&amp;$A608))</f>
        <v>0</v>
      </c>
      <c r="BE608" s="4">
        <f>IF($A608=BE$586,"",COUNTIF($E$4:$E$582,$A608&amp;" ضد "&amp;BE$586)+COUNTIF($E$4:$E$582,BE$586&amp;" ضد "&amp;$A608))</f>
        <v>0</v>
      </c>
      <c r="BF608" s="4">
        <f>IF($A608=BF$586,"",COUNTIF($E$4:$E$582,$A608&amp;" ضد "&amp;BF$586)+COUNTIF($E$4:$E$582,BF$586&amp;" ضد "&amp;$A608))</f>
        <v>0</v>
      </c>
      <c r="BG608" s="4">
        <f>IF($A608=BG$586,"",COUNTIF($E$4:$E$582,$A608&amp;" ضد "&amp;BG$586)+COUNTIF($E$4:$E$582,BG$586&amp;" ضد "&amp;$A608))</f>
        <v>0</v>
      </c>
      <c r="BH608" s="4">
        <f>IF($A608=BH$586,"",COUNTIF($E$4:$E$582,$A608&amp;" ضد "&amp;BH$586)+COUNTIF($E$4:$E$582,BH$586&amp;" ضد "&amp;$A608))</f>
        <v>0</v>
      </c>
      <c r="BI608" s="4">
        <f>IF($A608=BI$586,"",COUNTIF($E$4:$E$582,$A608&amp;" ضد "&amp;BI$586)+COUNTIF($E$4:$E$582,BI$586&amp;" ضد "&amp;$A608))</f>
        <v>0</v>
      </c>
      <c r="BJ608" s="4">
        <f>IF($A608=BJ$586,"",COUNTIF($E$4:$E$582,$A608&amp;" ضد "&amp;BJ$586)+COUNTIF($E$4:$E$582,BJ$586&amp;" ضد "&amp;$A608))</f>
        <v>0</v>
      </c>
      <c r="BK608" s="4">
        <f>IF($A608=BK$586,"",COUNTIF($E$4:$E$582,$A608&amp;" ضد "&amp;BK$586)+COUNTIF($E$4:$E$582,BK$586&amp;" ضد "&amp;$A608))</f>
        <v>0</v>
      </c>
      <c r="BL608" s="4">
        <f>IF($A608=BL$586,"",COUNTIF($E$4:$E$582,$A608&amp;" ضد "&amp;BL$586)+COUNTIF($E$4:$E$582,BL$586&amp;" ضد "&amp;$A608))</f>
        <v>0</v>
      </c>
      <c r="BM608" s="4">
        <f>IF($A608=BM$586,"",COUNTIF($E$4:$E$582,$A608&amp;" ضد "&amp;BM$586)+COUNTIF($E$4:$E$582,BM$586&amp;" ضد "&amp;$A608))</f>
        <v>0</v>
      </c>
    </row>
    <row r="609" spans="1:65" ht="14.5">
      <c r="A609" s="14">
        <v>23</v>
      </c>
      <c r="B609" s="4">
        <f>IF($A609=B$586,"",COUNTIF($E$4:$E$582,$A609&amp;" ضد "&amp;B$586)+COUNTIF($E$4:$E$582,B$586&amp;" ضد "&amp;$A609))</f>
        <v>0</v>
      </c>
      <c r="C609" s="4">
        <f>IF($A609=C$586,"",COUNTIF($E$4:$E$582,$A609&amp;" ضد "&amp;C$586)+COUNTIF($E$4:$E$582,C$586&amp;" ضد "&amp;$A609))</f>
        <v>0</v>
      </c>
      <c r="D609" s="4">
        <f>IF($A609=D$586,"",COUNTIF($E$4:$E$582,$A609&amp;" ضد "&amp;D$586)+COUNTIF($E$4:$E$582,D$586&amp;" ضد "&amp;$A609))</f>
        <v>0</v>
      </c>
      <c r="E609" s="4">
        <f>IF($A609=E$586,"",COUNTIF($E$4:$E$582,$A609&amp;" ضد "&amp;E$586)+COUNTIF($E$4:$E$582,E$586&amp;" ضد "&amp;$A609))</f>
        <v>0</v>
      </c>
      <c r="F609" s="4">
        <f>IF($A609=F$586,"",COUNTIF($E$4:$E$582,$A609&amp;" ضد "&amp;F$586)+COUNTIF($E$4:$E$582,F$586&amp;" ضد "&amp;$A609))</f>
        <v>0</v>
      </c>
      <c r="G609" s="4">
        <f>IF($A609=G$586,"",COUNTIF($E$4:$E$582,$A609&amp;" ضد "&amp;G$586)+COUNTIF($E$4:$E$582,G$586&amp;" ضد "&amp;$A609))</f>
        <v>0</v>
      </c>
      <c r="H609" s="4">
        <f>IF($A609=H$586,"",COUNTIF($E$4:$E$582,$A609&amp;" ضد "&amp;H$586)+COUNTIF($E$4:$E$582,H$586&amp;" ضد "&amp;$A609))</f>
        <v>0</v>
      </c>
      <c r="I609" s="4">
        <f>IF($A609=I$586,"",COUNTIF($E$4:$E$582,$A609&amp;" ضد "&amp;I$586)+COUNTIF($E$4:$E$582,I$586&amp;" ضد "&amp;$A609))</f>
        <v>0</v>
      </c>
      <c r="J609" s="4">
        <f>IF($A609=J$586,"",COUNTIF($E$4:$E$582,$A609&amp;" ضد "&amp;J$586)+COUNTIF($E$4:$E$582,J$586&amp;" ضد "&amp;$A609))</f>
        <v>0</v>
      </c>
      <c r="K609" s="4">
        <f>IF($A609=K$586,"",COUNTIF($E$4:$E$582,$A609&amp;" ضد "&amp;K$586)+COUNTIF($E$4:$E$582,K$586&amp;" ضد "&amp;$A609))</f>
        <v>0</v>
      </c>
      <c r="L609" s="4">
        <f>IF($A609=L$586,"",COUNTIF($E$4:$E$582,$A609&amp;" ضد "&amp;L$586)+COUNTIF($E$4:$E$582,L$586&amp;" ضد "&amp;$A609))</f>
        <v>0</v>
      </c>
      <c r="M609" s="4">
        <f>IF($A609=M$586,"",COUNTIF($E$4:$E$582,$A609&amp;" ضد "&amp;M$586)+COUNTIF($E$4:$E$582,M$586&amp;" ضد "&amp;$A609))</f>
        <v>0</v>
      </c>
      <c r="N609" s="4">
        <f>IF($A609=N$586,"",COUNTIF($E$4:$E$582,$A609&amp;" ضد "&amp;N$586)+COUNTIF($E$4:$E$582,N$586&amp;" ضد "&amp;$A609))</f>
        <v>0</v>
      </c>
      <c r="O609" s="4">
        <f>IF($A609=O$586,"",COUNTIF($E$4:$E$582,$A609&amp;" ضد "&amp;O$586)+COUNTIF($E$4:$E$582,O$586&amp;" ضد "&amp;$A609))</f>
        <v>0</v>
      </c>
      <c r="P609" s="4">
        <f>IF($A609=P$586,"",COUNTIF($E$4:$E$582,$A609&amp;" ضد "&amp;P$586)+COUNTIF($E$4:$E$582,P$586&amp;" ضد "&amp;$A609))</f>
        <v>0</v>
      </c>
      <c r="Q609" s="4">
        <f>IF($A609=Q$586,"",COUNTIF($E$4:$E$582,$A609&amp;" ضد "&amp;Q$586)+COUNTIF($E$4:$E$582,Q$586&amp;" ضد "&amp;$A609))</f>
        <v>0</v>
      </c>
      <c r="R609" s="4">
        <f>IF($A609=R$586,"",COUNTIF($E$4:$E$582,$A609&amp;" ضد "&amp;R$586)+COUNTIF($E$4:$E$582,R$586&amp;" ضد "&amp;$A609))</f>
        <v>1</v>
      </c>
      <c r="S609" s="4">
        <f>IF($A609=S$586,"",COUNTIF($E$4:$E$582,$A609&amp;" ضد "&amp;S$586)+COUNTIF($E$4:$E$582,S$586&amp;" ضد "&amp;$A609))</f>
        <v>1</v>
      </c>
      <c r="T609" s="4">
        <f>IF($A609=T$586,"",COUNTIF($E$4:$E$582,$A609&amp;" ضد "&amp;T$586)+COUNTIF($E$4:$E$582,T$586&amp;" ضد "&amp;$A609))</f>
        <v>1</v>
      </c>
      <c r="U609" s="4">
        <f>IF($A609=U$586,"",COUNTIF($E$4:$E$582,$A609&amp;" ضد "&amp;U$586)+COUNTIF($E$4:$E$582,U$586&amp;" ضد "&amp;$A609))</f>
        <v>1</v>
      </c>
      <c r="V609" s="4">
        <f>IF($A609=V$586,"",COUNTIF($E$4:$E$582,$A609&amp;" ضد "&amp;V$586)+COUNTIF($E$4:$E$582,V$586&amp;" ضد "&amp;$A609))</f>
        <v>1</v>
      </c>
      <c r="W609" s="4">
        <f>IF($A609=W$586,"",COUNTIF($E$4:$E$582,$A609&amp;" ضد "&amp;W$586)+COUNTIF($E$4:$E$582,W$586&amp;" ضد "&amp;$A609))</f>
        <v>2</v>
      </c>
      <c r="X609" s="4" t="str">
        <f>IF($A609=X$586,"",COUNTIF($E$4:$E$582,$A609&amp;" ضد "&amp;X$586)+COUNTIF($E$4:$E$582,X$586&amp;" ضد "&amp;$A609))</f>
        <v/>
      </c>
      <c r="Y609" s="4">
        <f>IF($A609=Y$586,"",COUNTIF($E$4:$E$582,$A609&amp;" ضد "&amp;Y$586)+COUNTIF($E$4:$E$582,Y$586&amp;" ضد "&amp;$A609))</f>
        <v>2</v>
      </c>
      <c r="Z609" s="4">
        <f>IF($A609=Z$586,"",COUNTIF($E$4:$E$582,$A609&amp;" ضد "&amp;Z$586)+COUNTIF($E$4:$E$582,Z$586&amp;" ضد "&amp;$A609))</f>
        <v>1</v>
      </c>
      <c r="AA609" s="4">
        <f>IF($A609=AA$586,"",COUNTIF($E$4:$E$582,$A609&amp;" ضد "&amp;AA$586)+COUNTIF($E$4:$E$582,AA$586&amp;" ضد "&amp;$A609))</f>
        <v>2</v>
      </c>
      <c r="AB609" s="4">
        <f>IF($A609=AB$586,"",COUNTIF($E$4:$E$582,$A609&amp;" ضد "&amp;AB$586)+COUNTIF($E$4:$E$582,AB$586&amp;" ضد "&amp;$A609))</f>
        <v>1</v>
      </c>
      <c r="AC609" s="4">
        <f>IF($A609=AC$586,"",COUNTIF($E$4:$E$582,$A609&amp;" ضد "&amp;AC$586)+COUNTIF($E$4:$E$582,AC$586&amp;" ضد "&amp;$A609))</f>
        <v>1</v>
      </c>
      <c r="AD609" s="4">
        <f>IF($A609=AD$586,"",COUNTIF($E$4:$E$582,$A609&amp;" ضد "&amp;AD$586)+COUNTIF($E$4:$E$582,AD$586&amp;" ضد "&amp;$A609))</f>
        <v>1</v>
      </c>
      <c r="AE609" s="4">
        <f>IF($A609=AE$586,"",COUNTIF($E$4:$E$582,$A609&amp;" ضد "&amp;AE$586)+COUNTIF($E$4:$E$582,AE$586&amp;" ضد "&amp;$A609))</f>
        <v>1</v>
      </c>
      <c r="AF609" s="4">
        <f>IF($A609=AF$586,"",COUNTIF($E$4:$E$582,$A609&amp;" ضد "&amp;AF$586)+COUNTIF($E$4:$E$582,AF$586&amp;" ضد "&amp;$A609))</f>
        <v>1</v>
      </c>
      <c r="AG609" s="4">
        <f>IF($A609=AG$586,"",COUNTIF($E$4:$E$582,$A609&amp;" ضد "&amp;AG$586)+COUNTIF($E$4:$E$582,AG$586&amp;" ضد "&amp;$A609))</f>
        <v>1</v>
      </c>
      <c r="AH609" s="4">
        <f>IF($A609=AH$586,"",COUNTIF($E$4:$E$582,$A609&amp;" ضد "&amp;AH$586)+COUNTIF($E$4:$E$582,AH$586&amp;" ضد "&amp;$A609))</f>
        <v>0</v>
      </c>
      <c r="AI609" s="4">
        <f>IF($A609=AI$586,"",COUNTIF($E$4:$E$582,$A609&amp;" ضد "&amp;AI$586)+COUNTIF($E$4:$E$582,AI$586&amp;" ضد "&amp;$A609))</f>
        <v>0</v>
      </c>
      <c r="AJ609" s="4">
        <f>IF($A609=AJ$586,"",COUNTIF($E$4:$E$582,$A609&amp;" ضد "&amp;AJ$586)+COUNTIF($E$4:$E$582,AJ$586&amp;" ضد "&amp;$A609))</f>
        <v>0</v>
      </c>
      <c r="AK609" s="4">
        <f>IF($A609=AK$586,"",COUNTIF($E$4:$E$582,$A609&amp;" ضد "&amp;AK$586)+COUNTIF($E$4:$E$582,AK$586&amp;" ضد "&amp;$A609))</f>
        <v>0</v>
      </c>
      <c r="AL609" s="4">
        <f>IF($A609=AL$586,"",COUNTIF($E$4:$E$582,$A609&amp;" ضد "&amp;AL$586)+COUNTIF($E$4:$E$582,AL$586&amp;" ضد "&amp;$A609))</f>
        <v>0</v>
      </c>
      <c r="AM609" s="4">
        <f>IF($A609=AM$586,"",COUNTIF($E$4:$E$582,$A609&amp;" ضد "&amp;AM$586)+COUNTIF($E$4:$E$582,AM$586&amp;" ضد "&amp;$A609))</f>
        <v>0</v>
      </c>
      <c r="AN609" s="4">
        <f>IF($A609=AN$586,"",COUNTIF($E$4:$E$582,$A609&amp;" ضد "&amp;AN$586)+COUNTIF($E$4:$E$582,AN$586&amp;" ضد "&amp;$A609))</f>
        <v>0</v>
      </c>
      <c r="AO609" s="4">
        <f>IF($A609=AO$586,"",COUNTIF($E$4:$E$582,$A609&amp;" ضد "&amp;AO$586)+COUNTIF($E$4:$E$582,AO$586&amp;" ضد "&amp;$A609))</f>
        <v>0</v>
      </c>
      <c r="AP609" s="4">
        <f>IF($A609=AP$586,"",COUNTIF($E$4:$E$582,$A609&amp;" ضد "&amp;AP$586)+COUNTIF($E$4:$E$582,AP$586&amp;" ضد "&amp;$A609))</f>
        <v>0</v>
      </c>
      <c r="AQ609" s="4">
        <f>IF($A609=AQ$586,"",COUNTIF($E$4:$E$582,$A609&amp;" ضد "&amp;AQ$586)+COUNTIF($E$4:$E$582,AQ$586&amp;" ضد "&amp;$A609))</f>
        <v>0</v>
      </c>
      <c r="AR609" s="4">
        <f>IF($A609=AR$586,"",COUNTIF($E$4:$E$582,$A609&amp;" ضد "&amp;AR$586)+COUNTIF($E$4:$E$582,AR$586&amp;" ضد "&amp;$A609))</f>
        <v>0</v>
      </c>
      <c r="AS609" s="4">
        <f>IF($A609=AS$586,"",COUNTIF($E$4:$E$582,$A609&amp;" ضد "&amp;AS$586)+COUNTIF($E$4:$E$582,AS$586&amp;" ضد "&amp;$A609))</f>
        <v>0</v>
      </c>
      <c r="AT609" s="4">
        <f>IF($A609=AT$586,"",COUNTIF($E$4:$E$582,$A609&amp;" ضد "&amp;AT$586)+COUNTIF($E$4:$E$582,AT$586&amp;" ضد "&amp;$A609))</f>
        <v>0</v>
      </c>
      <c r="AU609" s="4">
        <f>IF($A609=AU$586,"",COUNTIF($E$4:$E$582,$A609&amp;" ضد "&amp;AU$586)+COUNTIF($E$4:$E$582,AU$586&amp;" ضد "&amp;$A609))</f>
        <v>0</v>
      </c>
      <c r="AV609" s="4">
        <f>IF($A609=AV$586,"",COUNTIF($E$4:$E$582,$A609&amp;" ضد "&amp;AV$586)+COUNTIF($E$4:$E$582,AV$586&amp;" ضد "&amp;$A609))</f>
        <v>0</v>
      </c>
      <c r="AW609" s="4">
        <f>IF($A609=AW$586,"",COUNTIF($E$4:$E$582,$A609&amp;" ضد "&amp;AW$586)+COUNTIF($E$4:$E$582,AW$586&amp;" ضد "&amp;$A609))</f>
        <v>0</v>
      </c>
      <c r="AX609" s="4">
        <f>IF($A609=AX$586,"",COUNTIF($E$4:$E$582,$A609&amp;" ضد "&amp;AX$586)+COUNTIF($E$4:$E$582,AX$586&amp;" ضد "&amp;$A609))</f>
        <v>0</v>
      </c>
      <c r="AY609" s="4">
        <f>IF($A609=AY$586,"",COUNTIF($E$4:$E$582,$A609&amp;" ضد "&amp;AY$586)+COUNTIF($E$4:$E$582,AY$586&amp;" ضد "&amp;$A609))</f>
        <v>0</v>
      </c>
      <c r="AZ609" s="4">
        <f>IF($A609=AZ$586,"",COUNTIF($E$4:$E$582,$A609&amp;" ضد "&amp;AZ$586)+COUNTIF($E$4:$E$582,AZ$586&amp;" ضد "&amp;$A609))</f>
        <v>0</v>
      </c>
      <c r="BA609" s="4">
        <f>IF($A609=BA$586,"",COUNTIF($E$4:$E$582,$A609&amp;" ضد "&amp;BA$586)+COUNTIF($E$4:$E$582,BA$586&amp;" ضد "&amp;$A609))</f>
        <v>0</v>
      </c>
      <c r="BB609" s="4">
        <f>IF($A609=BB$586,"",COUNTIF($E$4:$E$582,$A609&amp;" ضد "&amp;BB$586)+COUNTIF($E$4:$E$582,BB$586&amp;" ضد "&amp;$A609))</f>
        <v>0</v>
      </c>
      <c r="BC609" s="4">
        <f>IF($A609=BC$586,"",COUNTIF($E$4:$E$582,$A609&amp;" ضد "&amp;BC$586)+COUNTIF($E$4:$E$582,BC$586&amp;" ضد "&amp;$A609))</f>
        <v>0</v>
      </c>
      <c r="BD609" s="4">
        <f>IF($A609=BD$586,"",COUNTIF($E$4:$E$582,$A609&amp;" ضد "&amp;BD$586)+COUNTIF($E$4:$E$582,BD$586&amp;" ضد "&amp;$A609))</f>
        <v>0</v>
      </c>
      <c r="BE609" s="4">
        <f>IF($A609=BE$586,"",COUNTIF($E$4:$E$582,$A609&amp;" ضد "&amp;BE$586)+COUNTIF($E$4:$E$582,BE$586&amp;" ضد "&amp;$A609))</f>
        <v>0</v>
      </c>
      <c r="BF609" s="4">
        <f>IF($A609=BF$586,"",COUNTIF($E$4:$E$582,$A609&amp;" ضد "&amp;BF$586)+COUNTIF($E$4:$E$582,BF$586&amp;" ضد "&amp;$A609))</f>
        <v>0</v>
      </c>
      <c r="BG609" s="4">
        <f>IF($A609=BG$586,"",COUNTIF($E$4:$E$582,$A609&amp;" ضد "&amp;BG$586)+COUNTIF($E$4:$E$582,BG$586&amp;" ضد "&amp;$A609))</f>
        <v>0</v>
      </c>
      <c r="BH609" s="4">
        <f>IF($A609=BH$586,"",COUNTIF($E$4:$E$582,$A609&amp;" ضد "&amp;BH$586)+COUNTIF($E$4:$E$582,BH$586&amp;" ضد "&amp;$A609))</f>
        <v>0</v>
      </c>
      <c r="BI609" s="4">
        <f>IF($A609=BI$586,"",COUNTIF($E$4:$E$582,$A609&amp;" ضد "&amp;BI$586)+COUNTIF($E$4:$E$582,BI$586&amp;" ضد "&amp;$A609))</f>
        <v>0</v>
      </c>
      <c r="BJ609" s="4">
        <f>IF($A609=BJ$586,"",COUNTIF($E$4:$E$582,$A609&amp;" ضد "&amp;BJ$586)+COUNTIF($E$4:$E$582,BJ$586&amp;" ضد "&amp;$A609))</f>
        <v>0</v>
      </c>
      <c r="BK609" s="4">
        <f>IF($A609=BK$586,"",COUNTIF($E$4:$E$582,$A609&amp;" ضد "&amp;BK$586)+COUNTIF($E$4:$E$582,BK$586&amp;" ضد "&amp;$A609))</f>
        <v>0</v>
      </c>
      <c r="BL609" s="4">
        <f>IF($A609=BL$586,"",COUNTIF($E$4:$E$582,$A609&amp;" ضد "&amp;BL$586)+COUNTIF($E$4:$E$582,BL$586&amp;" ضد "&amp;$A609))</f>
        <v>0</v>
      </c>
      <c r="BM609" s="4">
        <f>IF($A609=BM$586,"",COUNTIF($E$4:$E$582,$A609&amp;" ضد "&amp;BM$586)+COUNTIF($E$4:$E$582,BM$586&amp;" ضد "&amp;$A609))</f>
        <v>0</v>
      </c>
    </row>
    <row r="610" spans="1:65" ht="14.5">
      <c r="A610" s="14">
        <v>24</v>
      </c>
      <c r="B610" s="4">
        <f>IF($A610=B$586,"",COUNTIF($E$4:$E$582,$A610&amp;" ضد "&amp;B$586)+COUNTIF($E$4:$E$582,B$586&amp;" ضد "&amp;$A610))</f>
        <v>0</v>
      </c>
      <c r="C610" s="4">
        <f>IF($A610=C$586,"",COUNTIF($E$4:$E$582,$A610&amp;" ضد "&amp;C$586)+COUNTIF($E$4:$E$582,C$586&amp;" ضد "&amp;$A610))</f>
        <v>0</v>
      </c>
      <c r="D610" s="4">
        <f>IF($A610=D$586,"",COUNTIF($E$4:$E$582,$A610&amp;" ضد "&amp;D$586)+COUNTIF($E$4:$E$582,D$586&amp;" ضد "&amp;$A610))</f>
        <v>0</v>
      </c>
      <c r="E610" s="4">
        <f>IF($A610=E$586,"",COUNTIF($E$4:$E$582,$A610&amp;" ضد "&amp;E$586)+COUNTIF($E$4:$E$582,E$586&amp;" ضد "&amp;$A610))</f>
        <v>0</v>
      </c>
      <c r="F610" s="4">
        <f>IF($A610=F$586,"",COUNTIF($E$4:$E$582,$A610&amp;" ضد "&amp;F$586)+COUNTIF($E$4:$E$582,F$586&amp;" ضد "&amp;$A610))</f>
        <v>0</v>
      </c>
      <c r="G610" s="4">
        <f>IF($A610=G$586,"",COUNTIF($E$4:$E$582,$A610&amp;" ضد "&amp;G$586)+COUNTIF($E$4:$E$582,G$586&amp;" ضد "&amp;$A610))</f>
        <v>0</v>
      </c>
      <c r="H610" s="4">
        <f>IF($A610=H$586,"",COUNTIF($E$4:$E$582,$A610&amp;" ضد "&amp;H$586)+COUNTIF($E$4:$E$582,H$586&amp;" ضد "&amp;$A610))</f>
        <v>0</v>
      </c>
      <c r="I610" s="4">
        <f>IF($A610=I$586,"",COUNTIF($E$4:$E$582,$A610&amp;" ضد "&amp;I$586)+COUNTIF($E$4:$E$582,I$586&amp;" ضد "&amp;$A610))</f>
        <v>0</v>
      </c>
      <c r="J610" s="4">
        <f>IF($A610=J$586,"",COUNTIF($E$4:$E$582,$A610&amp;" ضد "&amp;J$586)+COUNTIF($E$4:$E$582,J$586&amp;" ضد "&amp;$A610))</f>
        <v>0</v>
      </c>
      <c r="K610" s="4">
        <f>IF($A610=K$586,"",COUNTIF($E$4:$E$582,$A610&amp;" ضد "&amp;K$586)+COUNTIF($E$4:$E$582,K$586&amp;" ضد "&amp;$A610))</f>
        <v>0</v>
      </c>
      <c r="L610" s="4">
        <f>IF($A610=L$586,"",COUNTIF($E$4:$E$582,$A610&amp;" ضد "&amp;L$586)+COUNTIF($E$4:$E$582,L$586&amp;" ضد "&amp;$A610))</f>
        <v>0</v>
      </c>
      <c r="M610" s="4">
        <f>IF($A610=M$586,"",COUNTIF($E$4:$E$582,$A610&amp;" ضد "&amp;M$586)+COUNTIF($E$4:$E$582,M$586&amp;" ضد "&amp;$A610))</f>
        <v>0</v>
      </c>
      <c r="N610" s="4">
        <f>IF($A610=N$586,"",COUNTIF($E$4:$E$582,$A610&amp;" ضد "&amp;N$586)+COUNTIF($E$4:$E$582,N$586&amp;" ضد "&amp;$A610))</f>
        <v>0</v>
      </c>
      <c r="O610" s="4">
        <f>IF($A610=O$586,"",COUNTIF($E$4:$E$582,$A610&amp;" ضد "&amp;O$586)+COUNTIF($E$4:$E$582,O$586&amp;" ضد "&amp;$A610))</f>
        <v>0</v>
      </c>
      <c r="P610" s="4">
        <f>IF($A610=P$586,"",COUNTIF($E$4:$E$582,$A610&amp;" ضد "&amp;P$586)+COUNTIF($E$4:$E$582,P$586&amp;" ضد "&amp;$A610))</f>
        <v>0</v>
      </c>
      <c r="Q610" s="4">
        <f>IF($A610=Q$586,"",COUNTIF($E$4:$E$582,$A610&amp;" ضد "&amp;Q$586)+COUNTIF($E$4:$E$582,Q$586&amp;" ضد "&amp;$A610))</f>
        <v>0</v>
      </c>
      <c r="R610" s="4">
        <f>IF($A610=R$586,"",COUNTIF($E$4:$E$582,$A610&amp;" ضد "&amp;R$586)+COUNTIF($E$4:$E$582,R$586&amp;" ضد "&amp;$A610))</f>
        <v>1</v>
      </c>
      <c r="S610" s="4">
        <f>IF($A610=S$586,"",COUNTIF($E$4:$E$582,$A610&amp;" ضد "&amp;S$586)+COUNTIF($E$4:$E$582,S$586&amp;" ضد "&amp;$A610))</f>
        <v>1</v>
      </c>
      <c r="T610" s="4">
        <f>IF($A610=T$586,"",COUNTIF($E$4:$E$582,$A610&amp;" ضد "&amp;T$586)+COUNTIF($E$4:$E$582,T$586&amp;" ضد "&amp;$A610))</f>
        <v>1</v>
      </c>
      <c r="U610" s="4">
        <f>IF($A610=U$586,"",COUNTIF($E$4:$E$582,$A610&amp;" ضد "&amp;U$586)+COUNTIF($E$4:$E$582,U$586&amp;" ضد "&amp;$A610))</f>
        <v>1</v>
      </c>
      <c r="V610" s="4">
        <f>IF($A610=V$586,"",COUNTIF($E$4:$E$582,$A610&amp;" ضد "&amp;V$586)+COUNTIF($E$4:$E$582,V$586&amp;" ضد "&amp;$A610))</f>
        <v>2</v>
      </c>
      <c r="W610" s="4">
        <f>IF($A610=W$586,"",COUNTIF($E$4:$E$582,$A610&amp;" ضد "&amp;W$586)+COUNTIF($E$4:$E$582,W$586&amp;" ضد "&amp;$A610))</f>
        <v>1</v>
      </c>
      <c r="X610" s="4">
        <f>IF($A610=X$586,"",COUNTIF($E$4:$E$582,$A610&amp;" ضد "&amp;X$586)+COUNTIF($E$4:$E$582,X$586&amp;" ضد "&amp;$A610))</f>
        <v>2</v>
      </c>
      <c r="Y610" s="4" t="str">
        <f>IF($A610=Y$586,"",COUNTIF($E$4:$E$582,$A610&amp;" ضد "&amp;Y$586)+COUNTIF($E$4:$E$582,Y$586&amp;" ضد "&amp;$A610))</f>
        <v/>
      </c>
      <c r="Z610" s="4">
        <f>IF($A610=Z$586,"",COUNTIF($E$4:$E$582,$A610&amp;" ضد "&amp;Z$586)+COUNTIF($E$4:$E$582,Z$586&amp;" ضد "&amp;$A610))</f>
        <v>2</v>
      </c>
      <c r="AA610" s="4">
        <f>IF($A610=AA$586,"",COUNTIF($E$4:$E$582,$A610&amp;" ضد "&amp;AA$586)+COUNTIF($E$4:$E$582,AA$586&amp;" ضد "&amp;$A610))</f>
        <v>1</v>
      </c>
      <c r="AB610" s="4">
        <f>IF($A610=AB$586,"",COUNTIF($E$4:$E$582,$A610&amp;" ضد "&amp;AB$586)+COUNTIF($E$4:$E$582,AB$586&amp;" ضد "&amp;$A610))</f>
        <v>1</v>
      </c>
      <c r="AC610" s="4">
        <f>IF($A610=AC$586,"",COUNTIF($E$4:$E$582,$A610&amp;" ضد "&amp;AC$586)+COUNTIF($E$4:$E$582,AC$586&amp;" ضد "&amp;$A610))</f>
        <v>1</v>
      </c>
      <c r="AD610" s="4">
        <f>IF($A610=AD$586,"",COUNTIF($E$4:$E$582,$A610&amp;" ضد "&amp;AD$586)+COUNTIF($E$4:$E$582,AD$586&amp;" ضد "&amp;$A610))</f>
        <v>1</v>
      </c>
      <c r="AE610" s="4">
        <f>IF($A610=AE$586,"",COUNTIF($E$4:$E$582,$A610&amp;" ضد "&amp;AE$586)+COUNTIF($E$4:$E$582,AE$586&amp;" ضد "&amp;$A610))</f>
        <v>1</v>
      </c>
      <c r="AF610" s="4">
        <f>IF($A610=AF$586,"",COUNTIF($E$4:$E$582,$A610&amp;" ضد "&amp;AF$586)+COUNTIF($E$4:$E$582,AF$586&amp;" ضد "&amp;$A610))</f>
        <v>1</v>
      </c>
      <c r="AG610" s="4">
        <f>IF($A610=AG$586,"",COUNTIF($E$4:$E$582,$A610&amp;" ضد "&amp;AG$586)+COUNTIF($E$4:$E$582,AG$586&amp;" ضد "&amp;$A610))</f>
        <v>1</v>
      </c>
      <c r="AH610" s="4">
        <f>IF($A610=AH$586,"",COUNTIF($E$4:$E$582,$A610&amp;" ضد "&amp;AH$586)+COUNTIF($E$4:$E$582,AH$586&amp;" ضد "&amp;$A610))</f>
        <v>0</v>
      </c>
      <c r="AI610" s="4">
        <f>IF($A610=AI$586,"",COUNTIF($E$4:$E$582,$A610&amp;" ضد "&amp;AI$586)+COUNTIF($E$4:$E$582,AI$586&amp;" ضد "&amp;$A610))</f>
        <v>0</v>
      </c>
      <c r="AJ610" s="4">
        <f>IF($A610=AJ$586,"",COUNTIF($E$4:$E$582,$A610&amp;" ضد "&amp;AJ$586)+COUNTIF($E$4:$E$582,AJ$586&amp;" ضد "&amp;$A610))</f>
        <v>0</v>
      </c>
      <c r="AK610" s="4">
        <f>IF($A610=AK$586,"",COUNTIF($E$4:$E$582,$A610&amp;" ضد "&amp;AK$586)+COUNTIF($E$4:$E$582,AK$586&amp;" ضد "&amp;$A610))</f>
        <v>0</v>
      </c>
      <c r="AL610" s="4">
        <f>IF($A610=AL$586,"",COUNTIF($E$4:$E$582,$A610&amp;" ضد "&amp;AL$586)+COUNTIF($E$4:$E$582,AL$586&amp;" ضد "&amp;$A610))</f>
        <v>0</v>
      </c>
      <c r="AM610" s="4">
        <f>IF($A610=AM$586,"",COUNTIF($E$4:$E$582,$A610&amp;" ضد "&amp;AM$586)+COUNTIF($E$4:$E$582,AM$586&amp;" ضد "&amp;$A610))</f>
        <v>0</v>
      </c>
      <c r="AN610" s="4">
        <f>IF($A610=AN$586,"",COUNTIF($E$4:$E$582,$A610&amp;" ضد "&amp;AN$586)+COUNTIF($E$4:$E$582,AN$586&amp;" ضد "&amp;$A610))</f>
        <v>0</v>
      </c>
      <c r="AO610" s="4">
        <f>IF($A610=AO$586,"",COUNTIF($E$4:$E$582,$A610&amp;" ضد "&amp;AO$586)+COUNTIF($E$4:$E$582,AO$586&amp;" ضد "&amp;$A610))</f>
        <v>0</v>
      </c>
      <c r="AP610" s="4">
        <f>IF($A610=AP$586,"",COUNTIF($E$4:$E$582,$A610&amp;" ضد "&amp;AP$586)+COUNTIF($E$4:$E$582,AP$586&amp;" ضد "&amp;$A610))</f>
        <v>0</v>
      </c>
      <c r="AQ610" s="4">
        <f>IF($A610=AQ$586,"",COUNTIF($E$4:$E$582,$A610&amp;" ضد "&amp;AQ$586)+COUNTIF($E$4:$E$582,AQ$586&amp;" ضد "&amp;$A610))</f>
        <v>0</v>
      </c>
      <c r="AR610" s="4">
        <f>IF($A610=AR$586,"",COUNTIF($E$4:$E$582,$A610&amp;" ضد "&amp;AR$586)+COUNTIF($E$4:$E$582,AR$586&amp;" ضد "&amp;$A610))</f>
        <v>0</v>
      </c>
      <c r="AS610" s="4">
        <f>IF($A610=AS$586,"",COUNTIF($E$4:$E$582,$A610&amp;" ضد "&amp;AS$586)+COUNTIF($E$4:$E$582,AS$586&amp;" ضد "&amp;$A610))</f>
        <v>0</v>
      </c>
      <c r="AT610" s="4">
        <f>IF($A610=AT$586,"",COUNTIF($E$4:$E$582,$A610&amp;" ضد "&amp;AT$586)+COUNTIF($E$4:$E$582,AT$586&amp;" ضد "&amp;$A610))</f>
        <v>0</v>
      </c>
      <c r="AU610" s="4">
        <f>IF($A610=AU$586,"",COUNTIF($E$4:$E$582,$A610&amp;" ضد "&amp;AU$586)+COUNTIF($E$4:$E$582,AU$586&amp;" ضد "&amp;$A610))</f>
        <v>0</v>
      </c>
      <c r="AV610" s="4">
        <f>IF($A610=AV$586,"",COUNTIF($E$4:$E$582,$A610&amp;" ضد "&amp;AV$586)+COUNTIF($E$4:$E$582,AV$586&amp;" ضد "&amp;$A610))</f>
        <v>0</v>
      </c>
      <c r="AW610" s="4">
        <f>IF($A610=AW$586,"",COUNTIF($E$4:$E$582,$A610&amp;" ضد "&amp;AW$586)+COUNTIF($E$4:$E$582,AW$586&amp;" ضد "&amp;$A610))</f>
        <v>0</v>
      </c>
      <c r="AX610" s="4">
        <f>IF($A610=AX$586,"",COUNTIF($E$4:$E$582,$A610&amp;" ضد "&amp;AX$586)+COUNTIF($E$4:$E$582,AX$586&amp;" ضد "&amp;$A610))</f>
        <v>0</v>
      </c>
      <c r="AY610" s="4">
        <f>IF($A610=AY$586,"",COUNTIF($E$4:$E$582,$A610&amp;" ضد "&amp;AY$586)+COUNTIF($E$4:$E$582,AY$586&amp;" ضد "&amp;$A610))</f>
        <v>0</v>
      </c>
      <c r="AZ610" s="4">
        <f>IF($A610=AZ$586,"",COUNTIF($E$4:$E$582,$A610&amp;" ضد "&amp;AZ$586)+COUNTIF($E$4:$E$582,AZ$586&amp;" ضد "&amp;$A610))</f>
        <v>0</v>
      </c>
      <c r="BA610" s="4">
        <f>IF($A610=BA$586,"",COUNTIF($E$4:$E$582,$A610&amp;" ضد "&amp;BA$586)+COUNTIF($E$4:$E$582,BA$586&amp;" ضد "&amp;$A610))</f>
        <v>0</v>
      </c>
      <c r="BB610" s="4">
        <f>IF($A610=BB$586,"",COUNTIF($E$4:$E$582,$A610&amp;" ضد "&amp;BB$586)+COUNTIF($E$4:$E$582,BB$586&amp;" ضد "&amp;$A610))</f>
        <v>0</v>
      </c>
      <c r="BC610" s="4">
        <f>IF($A610=BC$586,"",COUNTIF($E$4:$E$582,$A610&amp;" ضد "&amp;BC$586)+COUNTIF($E$4:$E$582,BC$586&amp;" ضد "&amp;$A610))</f>
        <v>0</v>
      </c>
      <c r="BD610" s="4">
        <f>IF($A610=BD$586,"",COUNTIF($E$4:$E$582,$A610&amp;" ضد "&amp;BD$586)+COUNTIF($E$4:$E$582,BD$586&amp;" ضد "&amp;$A610))</f>
        <v>0</v>
      </c>
      <c r="BE610" s="4">
        <f>IF($A610=BE$586,"",COUNTIF($E$4:$E$582,$A610&amp;" ضد "&amp;BE$586)+COUNTIF($E$4:$E$582,BE$586&amp;" ضد "&amp;$A610))</f>
        <v>0</v>
      </c>
      <c r="BF610" s="4">
        <f>IF($A610=BF$586,"",COUNTIF($E$4:$E$582,$A610&amp;" ضد "&amp;BF$586)+COUNTIF($E$4:$E$582,BF$586&amp;" ضد "&amp;$A610))</f>
        <v>0</v>
      </c>
      <c r="BG610" s="4">
        <f>IF($A610=BG$586,"",COUNTIF($E$4:$E$582,$A610&amp;" ضد "&amp;BG$586)+COUNTIF($E$4:$E$582,BG$586&amp;" ضد "&amp;$A610))</f>
        <v>0</v>
      </c>
      <c r="BH610" s="4">
        <f>IF($A610=BH$586,"",COUNTIF($E$4:$E$582,$A610&amp;" ضد "&amp;BH$586)+COUNTIF($E$4:$E$582,BH$586&amp;" ضد "&amp;$A610))</f>
        <v>0</v>
      </c>
      <c r="BI610" s="4">
        <f>IF($A610=BI$586,"",COUNTIF($E$4:$E$582,$A610&amp;" ضد "&amp;BI$586)+COUNTIF($E$4:$E$582,BI$586&amp;" ضد "&amp;$A610))</f>
        <v>0</v>
      </c>
      <c r="BJ610" s="4">
        <f>IF($A610=BJ$586,"",COUNTIF($E$4:$E$582,$A610&amp;" ضد "&amp;BJ$586)+COUNTIF($E$4:$E$582,BJ$586&amp;" ضد "&amp;$A610))</f>
        <v>0</v>
      </c>
      <c r="BK610" s="4">
        <f>IF($A610=BK$586,"",COUNTIF($E$4:$E$582,$A610&amp;" ضد "&amp;BK$586)+COUNTIF($E$4:$E$582,BK$586&amp;" ضد "&amp;$A610))</f>
        <v>0</v>
      </c>
      <c r="BL610" s="4">
        <f>IF($A610=BL$586,"",COUNTIF($E$4:$E$582,$A610&amp;" ضد "&amp;BL$586)+COUNTIF($E$4:$E$582,BL$586&amp;" ضد "&amp;$A610))</f>
        <v>0</v>
      </c>
      <c r="BM610" s="4">
        <f>IF($A610=BM$586,"",COUNTIF($E$4:$E$582,$A610&amp;" ضد "&amp;BM$586)+COUNTIF($E$4:$E$582,BM$586&amp;" ضد "&amp;$A610))</f>
        <v>0</v>
      </c>
    </row>
    <row r="611" spans="1:65" ht="14.5">
      <c r="A611" s="14">
        <v>25</v>
      </c>
      <c r="B611" s="4">
        <f>IF($A611=B$586,"",COUNTIF($E$4:$E$582,$A611&amp;" ضد "&amp;B$586)+COUNTIF($E$4:$E$582,B$586&amp;" ضد "&amp;$A611))</f>
        <v>0</v>
      </c>
      <c r="C611" s="4">
        <f>IF($A611=C$586,"",COUNTIF($E$4:$E$582,$A611&amp;" ضد "&amp;C$586)+COUNTIF($E$4:$E$582,C$586&amp;" ضد "&amp;$A611))</f>
        <v>0</v>
      </c>
      <c r="D611" s="4">
        <f>IF($A611=D$586,"",COUNTIF($E$4:$E$582,$A611&amp;" ضد "&amp;D$586)+COUNTIF($E$4:$E$582,D$586&amp;" ضد "&amp;$A611))</f>
        <v>0</v>
      </c>
      <c r="E611" s="4">
        <f>IF($A611=E$586,"",COUNTIF($E$4:$E$582,$A611&amp;" ضد "&amp;E$586)+COUNTIF($E$4:$E$582,E$586&amp;" ضد "&amp;$A611))</f>
        <v>0</v>
      </c>
      <c r="F611" s="4">
        <f>IF($A611=F$586,"",COUNTIF($E$4:$E$582,$A611&amp;" ضد "&amp;F$586)+COUNTIF($E$4:$E$582,F$586&amp;" ضد "&amp;$A611))</f>
        <v>0</v>
      </c>
      <c r="G611" s="4">
        <f>IF($A611=G$586,"",COUNTIF($E$4:$E$582,$A611&amp;" ضد "&amp;G$586)+COUNTIF($E$4:$E$582,G$586&amp;" ضد "&amp;$A611))</f>
        <v>0</v>
      </c>
      <c r="H611" s="4">
        <f>IF($A611=H$586,"",COUNTIF($E$4:$E$582,$A611&amp;" ضد "&amp;H$586)+COUNTIF($E$4:$E$582,H$586&amp;" ضد "&amp;$A611))</f>
        <v>0</v>
      </c>
      <c r="I611" s="4">
        <f>IF($A611=I$586,"",COUNTIF($E$4:$E$582,$A611&amp;" ضد "&amp;I$586)+COUNTIF($E$4:$E$582,I$586&amp;" ضد "&amp;$A611))</f>
        <v>0</v>
      </c>
      <c r="J611" s="4">
        <f>IF($A611=J$586,"",COUNTIF($E$4:$E$582,$A611&amp;" ضد "&amp;J$586)+COUNTIF($E$4:$E$582,J$586&amp;" ضد "&amp;$A611))</f>
        <v>0</v>
      </c>
      <c r="K611" s="4">
        <f>IF($A611=K$586,"",COUNTIF($E$4:$E$582,$A611&amp;" ضد "&amp;K$586)+COUNTIF($E$4:$E$582,K$586&amp;" ضد "&amp;$A611))</f>
        <v>0</v>
      </c>
      <c r="L611" s="4">
        <f>IF($A611=L$586,"",COUNTIF($E$4:$E$582,$A611&amp;" ضد "&amp;L$586)+COUNTIF($E$4:$E$582,L$586&amp;" ضد "&amp;$A611))</f>
        <v>0</v>
      </c>
      <c r="M611" s="4">
        <f>IF($A611=M$586,"",COUNTIF($E$4:$E$582,$A611&amp;" ضد "&amp;M$586)+COUNTIF($E$4:$E$582,M$586&amp;" ضد "&amp;$A611))</f>
        <v>0</v>
      </c>
      <c r="N611" s="4">
        <f>IF($A611=N$586,"",COUNTIF($E$4:$E$582,$A611&amp;" ضد "&amp;N$586)+COUNTIF($E$4:$E$582,N$586&amp;" ضد "&amp;$A611))</f>
        <v>0</v>
      </c>
      <c r="O611" s="4">
        <f>IF($A611=O$586,"",COUNTIF($E$4:$E$582,$A611&amp;" ضد "&amp;O$586)+COUNTIF($E$4:$E$582,O$586&amp;" ضد "&amp;$A611))</f>
        <v>0</v>
      </c>
      <c r="P611" s="4">
        <f>IF($A611=P$586,"",COUNTIF($E$4:$E$582,$A611&amp;" ضد "&amp;P$586)+COUNTIF($E$4:$E$582,P$586&amp;" ضد "&amp;$A611))</f>
        <v>0</v>
      </c>
      <c r="Q611" s="4">
        <f>IF($A611=Q$586,"",COUNTIF($E$4:$E$582,$A611&amp;" ضد "&amp;Q$586)+COUNTIF($E$4:$E$582,Q$586&amp;" ضد "&amp;$A611))</f>
        <v>0</v>
      </c>
      <c r="R611" s="4">
        <f>IF($A611=R$586,"",COUNTIF($E$4:$E$582,$A611&amp;" ضد "&amp;R$586)+COUNTIF($E$4:$E$582,R$586&amp;" ضد "&amp;$A611))</f>
        <v>1</v>
      </c>
      <c r="S611" s="4">
        <f>IF($A611=S$586,"",COUNTIF($E$4:$E$582,$A611&amp;" ضد "&amp;S$586)+COUNTIF($E$4:$E$582,S$586&amp;" ضد "&amp;$A611))</f>
        <v>1</v>
      </c>
      <c r="T611" s="4">
        <f>IF($A611=T$586,"",COUNTIF($E$4:$E$582,$A611&amp;" ضد "&amp;T$586)+COUNTIF($E$4:$E$582,T$586&amp;" ضد "&amp;$A611))</f>
        <v>1</v>
      </c>
      <c r="U611" s="4">
        <f>IF($A611=U$586,"",COUNTIF($E$4:$E$582,$A611&amp;" ضد "&amp;U$586)+COUNTIF($E$4:$E$582,U$586&amp;" ضد "&amp;$A611))</f>
        <v>2</v>
      </c>
      <c r="V611" s="4">
        <f>IF($A611=V$586,"",COUNTIF($E$4:$E$582,$A611&amp;" ضد "&amp;V$586)+COUNTIF($E$4:$E$582,V$586&amp;" ضد "&amp;$A611))</f>
        <v>1</v>
      </c>
      <c r="W611" s="4">
        <f>IF($A611=W$586,"",COUNTIF($E$4:$E$582,$A611&amp;" ضد "&amp;W$586)+COUNTIF($E$4:$E$582,W$586&amp;" ضد "&amp;$A611))</f>
        <v>2</v>
      </c>
      <c r="X611" s="4">
        <f>IF($A611=X$586,"",COUNTIF($E$4:$E$582,$A611&amp;" ضد "&amp;X$586)+COUNTIF($E$4:$E$582,X$586&amp;" ضد "&amp;$A611))</f>
        <v>1</v>
      </c>
      <c r="Y611" s="4">
        <f>IF($A611=Y$586,"",COUNTIF($E$4:$E$582,$A611&amp;" ضد "&amp;Y$586)+COUNTIF($E$4:$E$582,Y$586&amp;" ضد "&amp;$A611))</f>
        <v>2</v>
      </c>
      <c r="Z611" s="4" t="str">
        <f>IF($A611=Z$586,"",COUNTIF($E$4:$E$582,$A611&amp;" ضد "&amp;Z$586)+COUNTIF($E$4:$E$582,Z$586&amp;" ضد "&amp;$A611))</f>
        <v/>
      </c>
      <c r="AA611" s="4">
        <f>IF($A611=AA$586,"",COUNTIF($E$4:$E$582,$A611&amp;" ضد "&amp;AA$586)+COUNTIF($E$4:$E$582,AA$586&amp;" ضد "&amp;$A611))</f>
        <v>1</v>
      </c>
      <c r="AB611" s="4">
        <f>IF($A611=AB$586,"",COUNTIF($E$4:$E$582,$A611&amp;" ضد "&amp;AB$586)+COUNTIF($E$4:$E$582,AB$586&amp;" ضد "&amp;$A611))</f>
        <v>1</v>
      </c>
      <c r="AC611" s="4">
        <f>IF($A611=AC$586,"",COUNTIF($E$4:$E$582,$A611&amp;" ضد "&amp;AC$586)+COUNTIF($E$4:$E$582,AC$586&amp;" ضد "&amp;$A611))</f>
        <v>1</v>
      </c>
      <c r="AD611" s="4">
        <f>IF($A611=AD$586,"",COUNTIF($E$4:$E$582,$A611&amp;" ضد "&amp;AD$586)+COUNTIF($E$4:$E$582,AD$586&amp;" ضد "&amp;$A611))</f>
        <v>1</v>
      </c>
      <c r="AE611" s="4">
        <f>IF($A611=AE$586,"",COUNTIF($E$4:$E$582,$A611&amp;" ضد "&amp;AE$586)+COUNTIF($E$4:$E$582,AE$586&amp;" ضد "&amp;$A611))</f>
        <v>1</v>
      </c>
      <c r="AF611" s="4">
        <f>IF($A611=AF$586,"",COUNTIF($E$4:$E$582,$A611&amp;" ضد "&amp;AF$586)+COUNTIF($E$4:$E$582,AF$586&amp;" ضد "&amp;$A611))</f>
        <v>1</v>
      </c>
      <c r="AG611" s="4">
        <f>IF($A611=AG$586,"",COUNTIF($E$4:$E$582,$A611&amp;" ضد "&amp;AG$586)+COUNTIF($E$4:$E$582,AG$586&amp;" ضد "&amp;$A611))</f>
        <v>1</v>
      </c>
      <c r="AH611" s="4">
        <f>IF($A611=AH$586,"",COUNTIF($E$4:$E$582,$A611&amp;" ضد "&amp;AH$586)+COUNTIF($E$4:$E$582,AH$586&amp;" ضد "&amp;$A611))</f>
        <v>0</v>
      </c>
      <c r="AI611" s="4">
        <f>IF($A611=AI$586,"",COUNTIF($E$4:$E$582,$A611&amp;" ضد "&amp;AI$586)+COUNTIF($E$4:$E$582,AI$586&amp;" ضد "&amp;$A611))</f>
        <v>0</v>
      </c>
      <c r="AJ611" s="4">
        <f>IF($A611=AJ$586,"",COUNTIF($E$4:$E$582,$A611&amp;" ضد "&amp;AJ$586)+COUNTIF($E$4:$E$582,AJ$586&amp;" ضد "&amp;$A611))</f>
        <v>0</v>
      </c>
      <c r="AK611" s="4">
        <f>IF($A611=AK$586,"",COUNTIF($E$4:$E$582,$A611&amp;" ضد "&amp;AK$586)+COUNTIF($E$4:$E$582,AK$586&amp;" ضد "&amp;$A611))</f>
        <v>0</v>
      </c>
      <c r="AL611" s="4">
        <f>IF($A611=AL$586,"",COUNTIF($E$4:$E$582,$A611&amp;" ضد "&amp;AL$586)+COUNTIF($E$4:$E$582,AL$586&amp;" ضد "&amp;$A611))</f>
        <v>0</v>
      </c>
      <c r="AM611" s="4">
        <f>IF($A611=AM$586,"",COUNTIF($E$4:$E$582,$A611&amp;" ضد "&amp;AM$586)+COUNTIF($E$4:$E$582,AM$586&amp;" ضد "&amp;$A611))</f>
        <v>0</v>
      </c>
      <c r="AN611" s="4">
        <f>IF($A611=AN$586,"",COUNTIF($E$4:$E$582,$A611&amp;" ضد "&amp;AN$586)+COUNTIF($E$4:$E$582,AN$586&amp;" ضد "&amp;$A611))</f>
        <v>0</v>
      </c>
      <c r="AO611" s="4">
        <f>IF($A611=AO$586,"",COUNTIF($E$4:$E$582,$A611&amp;" ضد "&amp;AO$586)+COUNTIF($E$4:$E$582,AO$586&amp;" ضد "&amp;$A611))</f>
        <v>0</v>
      </c>
      <c r="AP611" s="4">
        <f>IF($A611=AP$586,"",COUNTIF($E$4:$E$582,$A611&amp;" ضد "&amp;AP$586)+COUNTIF($E$4:$E$582,AP$586&amp;" ضد "&amp;$A611))</f>
        <v>0</v>
      </c>
      <c r="AQ611" s="4">
        <f>IF($A611=AQ$586,"",COUNTIF($E$4:$E$582,$A611&amp;" ضد "&amp;AQ$586)+COUNTIF($E$4:$E$582,AQ$586&amp;" ضد "&amp;$A611))</f>
        <v>0</v>
      </c>
      <c r="AR611" s="4">
        <f>IF($A611=AR$586,"",COUNTIF($E$4:$E$582,$A611&amp;" ضد "&amp;AR$586)+COUNTIF($E$4:$E$582,AR$586&amp;" ضد "&amp;$A611))</f>
        <v>0</v>
      </c>
      <c r="AS611" s="4">
        <f>IF($A611=AS$586,"",COUNTIF($E$4:$E$582,$A611&amp;" ضد "&amp;AS$586)+COUNTIF($E$4:$E$582,AS$586&amp;" ضد "&amp;$A611))</f>
        <v>0</v>
      </c>
      <c r="AT611" s="4">
        <f>IF($A611=AT$586,"",COUNTIF($E$4:$E$582,$A611&amp;" ضد "&amp;AT$586)+COUNTIF($E$4:$E$582,AT$586&amp;" ضد "&amp;$A611))</f>
        <v>0</v>
      </c>
      <c r="AU611" s="4">
        <f>IF($A611=AU$586,"",COUNTIF($E$4:$E$582,$A611&amp;" ضد "&amp;AU$586)+COUNTIF($E$4:$E$582,AU$586&amp;" ضد "&amp;$A611))</f>
        <v>0</v>
      </c>
      <c r="AV611" s="4">
        <f>IF($A611=AV$586,"",COUNTIF($E$4:$E$582,$A611&amp;" ضد "&amp;AV$586)+COUNTIF($E$4:$E$582,AV$586&amp;" ضد "&amp;$A611))</f>
        <v>0</v>
      </c>
      <c r="AW611" s="4">
        <f>IF($A611=AW$586,"",COUNTIF($E$4:$E$582,$A611&amp;" ضد "&amp;AW$586)+COUNTIF($E$4:$E$582,AW$586&amp;" ضد "&amp;$A611))</f>
        <v>0</v>
      </c>
      <c r="AX611" s="4">
        <f>IF($A611=AX$586,"",COUNTIF($E$4:$E$582,$A611&amp;" ضد "&amp;AX$586)+COUNTIF($E$4:$E$582,AX$586&amp;" ضد "&amp;$A611))</f>
        <v>0</v>
      </c>
      <c r="AY611" s="4">
        <f>IF($A611=AY$586,"",COUNTIF($E$4:$E$582,$A611&amp;" ضد "&amp;AY$586)+COUNTIF($E$4:$E$582,AY$586&amp;" ضد "&amp;$A611))</f>
        <v>0</v>
      </c>
      <c r="AZ611" s="4">
        <f>IF($A611=AZ$586,"",COUNTIF($E$4:$E$582,$A611&amp;" ضد "&amp;AZ$586)+COUNTIF($E$4:$E$582,AZ$586&amp;" ضد "&amp;$A611))</f>
        <v>0</v>
      </c>
      <c r="BA611" s="4">
        <f>IF($A611=BA$586,"",COUNTIF($E$4:$E$582,$A611&amp;" ضد "&amp;BA$586)+COUNTIF($E$4:$E$582,BA$586&amp;" ضد "&amp;$A611))</f>
        <v>0</v>
      </c>
      <c r="BB611" s="4">
        <f>IF($A611=BB$586,"",COUNTIF($E$4:$E$582,$A611&amp;" ضد "&amp;BB$586)+COUNTIF($E$4:$E$582,BB$586&amp;" ضد "&amp;$A611))</f>
        <v>0</v>
      </c>
      <c r="BC611" s="4">
        <f>IF($A611=BC$586,"",COUNTIF($E$4:$E$582,$A611&amp;" ضد "&amp;BC$586)+COUNTIF($E$4:$E$582,BC$586&amp;" ضد "&amp;$A611))</f>
        <v>0</v>
      </c>
      <c r="BD611" s="4">
        <f>IF($A611=BD$586,"",COUNTIF($E$4:$E$582,$A611&amp;" ضد "&amp;BD$586)+COUNTIF($E$4:$E$582,BD$586&amp;" ضد "&amp;$A611))</f>
        <v>0</v>
      </c>
      <c r="BE611" s="4">
        <f>IF($A611=BE$586,"",COUNTIF($E$4:$E$582,$A611&amp;" ضد "&amp;BE$586)+COUNTIF($E$4:$E$582,BE$586&amp;" ضد "&amp;$A611))</f>
        <v>0</v>
      </c>
      <c r="BF611" s="4">
        <f>IF($A611=BF$586,"",COUNTIF($E$4:$E$582,$A611&amp;" ضد "&amp;BF$586)+COUNTIF($E$4:$E$582,BF$586&amp;" ضد "&amp;$A611))</f>
        <v>0</v>
      </c>
      <c r="BG611" s="4">
        <f>IF($A611=BG$586,"",COUNTIF($E$4:$E$582,$A611&amp;" ضد "&amp;BG$586)+COUNTIF($E$4:$E$582,BG$586&amp;" ضد "&amp;$A611))</f>
        <v>0</v>
      </c>
      <c r="BH611" s="4">
        <f>IF($A611=BH$586,"",COUNTIF($E$4:$E$582,$A611&amp;" ضد "&amp;BH$586)+COUNTIF($E$4:$E$582,BH$586&amp;" ضد "&amp;$A611))</f>
        <v>0</v>
      </c>
      <c r="BI611" s="4">
        <f>IF($A611=BI$586,"",COUNTIF($E$4:$E$582,$A611&amp;" ضد "&amp;BI$586)+COUNTIF($E$4:$E$582,BI$586&amp;" ضد "&amp;$A611))</f>
        <v>0</v>
      </c>
      <c r="BJ611" s="4">
        <f>IF($A611=BJ$586,"",COUNTIF($E$4:$E$582,$A611&amp;" ضد "&amp;BJ$586)+COUNTIF($E$4:$E$582,BJ$586&amp;" ضد "&amp;$A611))</f>
        <v>0</v>
      </c>
      <c r="BK611" s="4">
        <f>IF($A611=BK$586,"",COUNTIF($E$4:$E$582,$A611&amp;" ضد "&amp;BK$586)+COUNTIF($E$4:$E$582,BK$586&amp;" ضد "&amp;$A611))</f>
        <v>0</v>
      </c>
      <c r="BL611" s="4">
        <f>IF($A611=BL$586,"",COUNTIF($E$4:$E$582,$A611&amp;" ضد "&amp;BL$586)+COUNTIF($E$4:$E$582,BL$586&amp;" ضد "&amp;$A611))</f>
        <v>0</v>
      </c>
      <c r="BM611" s="4">
        <f>IF($A611=BM$586,"",COUNTIF($E$4:$E$582,$A611&amp;" ضد "&amp;BM$586)+COUNTIF($E$4:$E$582,BM$586&amp;" ضد "&amp;$A611))</f>
        <v>0</v>
      </c>
    </row>
    <row r="612" spans="1:65" ht="14.5">
      <c r="A612" s="14">
        <v>26</v>
      </c>
      <c r="B612" s="4">
        <f>IF($A612=B$586,"",COUNTIF($E$4:$E$582,$A612&amp;" ضد "&amp;B$586)+COUNTIF($E$4:$E$582,B$586&amp;" ضد "&amp;$A612))</f>
        <v>0</v>
      </c>
      <c r="C612" s="4">
        <f>IF($A612=C$586,"",COUNTIF($E$4:$E$582,$A612&amp;" ضد "&amp;C$586)+COUNTIF($E$4:$E$582,C$586&amp;" ضد "&amp;$A612))</f>
        <v>0</v>
      </c>
      <c r="D612" s="4">
        <f>IF($A612=D$586,"",COUNTIF($E$4:$E$582,$A612&amp;" ضد "&amp;D$586)+COUNTIF($E$4:$E$582,D$586&amp;" ضد "&amp;$A612))</f>
        <v>0</v>
      </c>
      <c r="E612" s="4">
        <f>IF($A612=E$586,"",COUNTIF($E$4:$E$582,$A612&amp;" ضد "&amp;E$586)+COUNTIF($E$4:$E$582,E$586&amp;" ضد "&amp;$A612))</f>
        <v>0</v>
      </c>
      <c r="F612" s="4">
        <f>IF($A612=F$586,"",COUNTIF($E$4:$E$582,$A612&amp;" ضد "&amp;F$586)+COUNTIF($E$4:$E$582,F$586&amp;" ضد "&amp;$A612))</f>
        <v>0</v>
      </c>
      <c r="G612" s="4">
        <f>IF($A612=G$586,"",COUNTIF($E$4:$E$582,$A612&amp;" ضد "&amp;G$586)+COUNTIF($E$4:$E$582,G$586&amp;" ضد "&amp;$A612))</f>
        <v>0</v>
      </c>
      <c r="H612" s="4">
        <f>IF($A612=H$586,"",COUNTIF($E$4:$E$582,$A612&amp;" ضد "&amp;H$586)+COUNTIF($E$4:$E$582,H$586&amp;" ضد "&amp;$A612))</f>
        <v>0</v>
      </c>
      <c r="I612" s="4">
        <f>IF($A612=I$586,"",COUNTIF($E$4:$E$582,$A612&amp;" ضد "&amp;I$586)+COUNTIF($E$4:$E$582,I$586&amp;" ضد "&amp;$A612))</f>
        <v>0</v>
      </c>
      <c r="J612" s="4">
        <f>IF($A612=J$586,"",COUNTIF($E$4:$E$582,$A612&amp;" ضد "&amp;J$586)+COUNTIF($E$4:$E$582,J$586&amp;" ضد "&amp;$A612))</f>
        <v>0</v>
      </c>
      <c r="K612" s="4">
        <f>IF($A612=K$586,"",COUNTIF($E$4:$E$582,$A612&amp;" ضد "&amp;K$586)+COUNTIF($E$4:$E$582,K$586&amp;" ضد "&amp;$A612))</f>
        <v>0</v>
      </c>
      <c r="L612" s="4">
        <f>IF($A612=L$586,"",COUNTIF($E$4:$E$582,$A612&amp;" ضد "&amp;L$586)+COUNTIF($E$4:$E$582,L$586&amp;" ضد "&amp;$A612))</f>
        <v>0</v>
      </c>
      <c r="M612" s="4">
        <f>IF($A612=M$586,"",COUNTIF($E$4:$E$582,$A612&amp;" ضد "&amp;M$586)+COUNTIF($E$4:$E$582,M$586&amp;" ضد "&amp;$A612))</f>
        <v>0</v>
      </c>
      <c r="N612" s="4">
        <f>IF($A612=N$586,"",COUNTIF($E$4:$E$582,$A612&amp;" ضد "&amp;N$586)+COUNTIF($E$4:$E$582,N$586&amp;" ضد "&amp;$A612))</f>
        <v>0</v>
      </c>
      <c r="O612" s="4">
        <f>IF($A612=O$586,"",COUNTIF($E$4:$E$582,$A612&amp;" ضد "&amp;O$586)+COUNTIF($E$4:$E$582,O$586&amp;" ضد "&amp;$A612))</f>
        <v>0</v>
      </c>
      <c r="P612" s="4">
        <f>IF($A612=P$586,"",COUNTIF($E$4:$E$582,$A612&amp;" ضد "&amp;P$586)+COUNTIF($E$4:$E$582,P$586&amp;" ضد "&amp;$A612))</f>
        <v>0</v>
      </c>
      <c r="Q612" s="4">
        <f>IF($A612=Q$586,"",COUNTIF($E$4:$E$582,$A612&amp;" ضد "&amp;Q$586)+COUNTIF($E$4:$E$582,Q$586&amp;" ضد "&amp;$A612))</f>
        <v>0</v>
      </c>
      <c r="R612" s="4">
        <f>IF($A612=R$586,"",COUNTIF($E$4:$E$582,$A612&amp;" ضد "&amp;R$586)+COUNTIF($E$4:$E$582,R$586&amp;" ضد "&amp;$A612))</f>
        <v>1</v>
      </c>
      <c r="S612" s="4">
        <f>IF($A612=S$586,"",COUNTIF($E$4:$E$582,$A612&amp;" ضد "&amp;S$586)+COUNTIF($E$4:$E$582,S$586&amp;" ضد "&amp;$A612))</f>
        <v>1</v>
      </c>
      <c r="T612" s="4">
        <f>IF($A612=T$586,"",COUNTIF($E$4:$E$582,$A612&amp;" ضد "&amp;T$586)+COUNTIF($E$4:$E$582,T$586&amp;" ضد "&amp;$A612))</f>
        <v>2</v>
      </c>
      <c r="U612" s="4">
        <f>IF($A612=U$586,"",COUNTIF($E$4:$E$582,$A612&amp;" ضد "&amp;U$586)+COUNTIF($E$4:$E$582,U$586&amp;" ضد "&amp;$A612))</f>
        <v>1</v>
      </c>
      <c r="V612" s="4">
        <f>IF($A612=V$586,"",COUNTIF($E$4:$E$582,$A612&amp;" ضد "&amp;V$586)+COUNTIF($E$4:$E$582,V$586&amp;" ضد "&amp;$A612))</f>
        <v>2</v>
      </c>
      <c r="W612" s="4">
        <f>IF($A612=W$586,"",COUNTIF($E$4:$E$582,$A612&amp;" ضد "&amp;W$586)+COUNTIF($E$4:$E$582,W$586&amp;" ضد "&amp;$A612))</f>
        <v>1</v>
      </c>
      <c r="X612" s="4">
        <f>IF($A612=X$586,"",COUNTIF($E$4:$E$582,$A612&amp;" ضد "&amp;X$586)+COUNTIF($E$4:$E$582,X$586&amp;" ضد "&amp;$A612))</f>
        <v>2</v>
      </c>
      <c r="Y612" s="4">
        <f>IF($A612=Y$586,"",COUNTIF($E$4:$E$582,$A612&amp;" ضد "&amp;Y$586)+COUNTIF($E$4:$E$582,Y$586&amp;" ضد "&amp;$A612))</f>
        <v>1</v>
      </c>
      <c r="Z612" s="4">
        <f>IF($A612=Z$586,"",COUNTIF($E$4:$E$582,$A612&amp;" ضد "&amp;Z$586)+COUNTIF($E$4:$E$582,Z$586&amp;" ضد "&amp;$A612))</f>
        <v>1</v>
      </c>
      <c r="AA612" s="4" t="str">
        <f>IF($A612=AA$586,"",COUNTIF($E$4:$E$582,$A612&amp;" ضد "&amp;AA$586)+COUNTIF($E$4:$E$582,AA$586&amp;" ضد "&amp;$A612))</f>
        <v/>
      </c>
      <c r="AB612" s="4">
        <f>IF($A612=AB$586,"",COUNTIF($E$4:$E$582,$A612&amp;" ضد "&amp;AB$586)+COUNTIF($E$4:$E$582,AB$586&amp;" ضد "&amp;$A612))</f>
        <v>1</v>
      </c>
      <c r="AC612" s="4">
        <f>IF($A612=AC$586,"",COUNTIF($E$4:$E$582,$A612&amp;" ضد "&amp;AC$586)+COUNTIF($E$4:$E$582,AC$586&amp;" ضد "&amp;$A612))</f>
        <v>1</v>
      </c>
      <c r="AD612" s="4">
        <f>IF($A612=AD$586,"",COUNTIF($E$4:$E$582,$A612&amp;" ضد "&amp;AD$586)+COUNTIF($E$4:$E$582,AD$586&amp;" ضد "&amp;$A612))</f>
        <v>1</v>
      </c>
      <c r="AE612" s="4">
        <f>IF($A612=AE$586,"",COUNTIF($E$4:$E$582,$A612&amp;" ضد "&amp;AE$586)+COUNTIF($E$4:$E$582,AE$586&amp;" ضد "&amp;$A612))</f>
        <v>1</v>
      </c>
      <c r="AF612" s="4">
        <f>IF($A612=AF$586,"",COUNTIF($E$4:$E$582,$A612&amp;" ضد "&amp;AF$586)+COUNTIF($E$4:$E$582,AF$586&amp;" ضد "&amp;$A612))</f>
        <v>1</v>
      </c>
      <c r="AG612" s="4">
        <f>IF($A612=AG$586,"",COUNTIF($E$4:$E$582,$A612&amp;" ضد "&amp;AG$586)+COUNTIF($E$4:$E$582,AG$586&amp;" ضد "&amp;$A612))</f>
        <v>1</v>
      </c>
      <c r="AH612" s="4">
        <f>IF($A612=AH$586,"",COUNTIF($E$4:$E$582,$A612&amp;" ضد "&amp;AH$586)+COUNTIF($E$4:$E$582,AH$586&amp;" ضد "&amp;$A612))</f>
        <v>0</v>
      </c>
      <c r="AI612" s="4">
        <f>IF($A612=AI$586,"",COUNTIF($E$4:$E$582,$A612&amp;" ضد "&amp;AI$586)+COUNTIF($E$4:$E$582,AI$586&amp;" ضد "&amp;$A612))</f>
        <v>0</v>
      </c>
      <c r="AJ612" s="4">
        <f>IF($A612=AJ$586,"",COUNTIF($E$4:$E$582,$A612&amp;" ضد "&amp;AJ$586)+COUNTIF($E$4:$E$582,AJ$586&amp;" ضد "&amp;$A612))</f>
        <v>0</v>
      </c>
      <c r="AK612" s="4">
        <f>IF($A612=AK$586,"",COUNTIF($E$4:$E$582,$A612&amp;" ضد "&amp;AK$586)+COUNTIF($E$4:$E$582,AK$586&amp;" ضد "&amp;$A612))</f>
        <v>0</v>
      </c>
      <c r="AL612" s="4">
        <f>IF($A612=AL$586,"",COUNTIF($E$4:$E$582,$A612&amp;" ضد "&amp;AL$586)+COUNTIF($E$4:$E$582,AL$586&amp;" ضد "&amp;$A612))</f>
        <v>0</v>
      </c>
      <c r="AM612" s="4">
        <f>IF($A612=AM$586,"",COUNTIF($E$4:$E$582,$A612&amp;" ضد "&amp;AM$586)+COUNTIF($E$4:$E$582,AM$586&amp;" ضد "&amp;$A612))</f>
        <v>0</v>
      </c>
      <c r="AN612" s="4">
        <f>IF($A612=AN$586,"",COUNTIF($E$4:$E$582,$A612&amp;" ضد "&amp;AN$586)+COUNTIF($E$4:$E$582,AN$586&amp;" ضد "&amp;$A612))</f>
        <v>0</v>
      </c>
      <c r="AO612" s="4">
        <f>IF($A612=AO$586,"",COUNTIF($E$4:$E$582,$A612&amp;" ضد "&amp;AO$586)+COUNTIF($E$4:$E$582,AO$586&amp;" ضد "&amp;$A612))</f>
        <v>0</v>
      </c>
      <c r="AP612" s="4">
        <f>IF($A612=AP$586,"",COUNTIF($E$4:$E$582,$A612&amp;" ضد "&amp;AP$586)+COUNTIF($E$4:$E$582,AP$586&amp;" ضد "&amp;$A612))</f>
        <v>0</v>
      </c>
      <c r="AQ612" s="4">
        <f>IF($A612=AQ$586,"",COUNTIF($E$4:$E$582,$A612&amp;" ضد "&amp;AQ$586)+COUNTIF($E$4:$E$582,AQ$586&amp;" ضد "&amp;$A612))</f>
        <v>0</v>
      </c>
      <c r="AR612" s="4">
        <f>IF($A612=AR$586,"",COUNTIF($E$4:$E$582,$A612&amp;" ضد "&amp;AR$586)+COUNTIF($E$4:$E$582,AR$586&amp;" ضد "&amp;$A612))</f>
        <v>0</v>
      </c>
      <c r="AS612" s="4">
        <f>IF($A612=AS$586,"",COUNTIF($E$4:$E$582,$A612&amp;" ضد "&amp;AS$586)+COUNTIF($E$4:$E$582,AS$586&amp;" ضد "&amp;$A612))</f>
        <v>0</v>
      </c>
      <c r="AT612" s="4">
        <f>IF($A612=AT$586,"",COUNTIF($E$4:$E$582,$A612&amp;" ضد "&amp;AT$586)+COUNTIF($E$4:$E$582,AT$586&amp;" ضد "&amp;$A612))</f>
        <v>0</v>
      </c>
      <c r="AU612" s="4">
        <f>IF($A612=AU$586,"",COUNTIF($E$4:$E$582,$A612&amp;" ضد "&amp;AU$586)+COUNTIF($E$4:$E$582,AU$586&amp;" ضد "&amp;$A612))</f>
        <v>0</v>
      </c>
      <c r="AV612" s="4">
        <f>IF($A612=AV$586,"",COUNTIF($E$4:$E$582,$A612&amp;" ضد "&amp;AV$586)+COUNTIF($E$4:$E$582,AV$586&amp;" ضد "&amp;$A612))</f>
        <v>0</v>
      </c>
      <c r="AW612" s="4">
        <f>IF($A612=AW$586,"",COUNTIF($E$4:$E$582,$A612&amp;" ضد "&amp;AW$586)+COUNTIF($E$4:$E$582,AW$586&amp;" ضد "&amp;$A612))</f>
        <v>0</v>
      </c>
      <c r="AX612" s="4">
        <f>IF($A612=AX$586,"",COUNTIF($E$4:$E$582,$A612&amp;" ضد "&amp;AX$586)+COUNTIF($E$4:$E$582,AX$586&amp;" ضد "&amp;$A612))</f>
        <v>0</v>
      </c>
      <c r="AY612" s="4">
        <f>IF($A612=AY$586,"",COUNTIF($E$4:$E$582,$A612&amp;" ضد "&amp;AY$586)+COUNTIF($E$4:$E$582,AY$586&amp;" ضد "&amp;$A612))</f>
        <v>0</v>
      </c>
      <c r="AZ612" s="4">
        <f>IF($A612=AZ$586,"",COUNTIF($E$4:$E$582,$A612&amp;" ضد "&amp;AZ$586)+COUNTIF($E$4:$E$582,AZ$586&amp;" ضد "&amp;$A612))</f>
        <v>0</v>
      </c>
      <c r="BA612" s="4">
        <f>IF($A612=BA$586,"",COUNTIF($E$4:$E$582,$A612&amp;" ضد "&amp;BA$586)+COUNTIF($E$4:$E$582,BA$586&amp;" ضد "&amp;$A612))</f>
        <v>0</v>
      </c>
      <c r="BB612" s="4">
        <f>IF($A612=BB$586,"",COUNTIF($E$4:$E$582,$A612&amp;" ضد "&amp;BB$586)+COUNTIF($E$4:$E$582,BB$586&amp;" ضد "&amp;$A612))</f>
        <v>0</v>
      </c>
      <c r="BC612" s="4">
        <f>IF($A612=BC$586,"",COUNTIF($E$4:$E$582,$A612&amp;" ضد "&amp;BC$586)+COUNTIF($E$4:$E$582,BC$586&amp;" ضد "&amp;$A612))</f>
        <v>0</v>
      </c>
      <c r="BD612" s="4">
        <f>IF($A612=BD$586,"",COUNTIF($E$4:$E$582,$A612&amp;" ضد "&amp;BD$586)+COUNTIF($E$4:$E$582,BD$586&amp;" ضد "&amp;$A612))</f>
        <v>0</v>
      </c>
      <c r="BE612" s="4">
        <f>IF($A612=BE$586,"",COUNTIF($E$4:$E$582,$A612&amp;" ضد "&amp;BE$586)+COUNTIF($E$4:$E$582,BE$586&amp;" ضد "&amp;$A612))</f>
        <v>0</v>
      </c>
      <c r="BF612" s="4">
        <f>IF($A612=BF$586,"",COUNTIF($E$4:$E$582,$A612&amp;" ضد "&amp;BF$586)+COUNTIF($E$4:$E$582,BF$586&amp;" ضد "&amp;$A612))</f>
        <v>0</v>
      </c>
      <c r="BG612" s="4">
        <f>IF($A612=BG$586,"",COUNTIF($E$4:$E$582,$A612&amp;" ضد "&amp;BG$586)+COUNTIF($E$4:$E$582,BG$586&amp;" ضد "&amp;$A612))</f>
        <v>0</v>
      </c>
      <c r="BH612" s="4">
        <f>IF($A612=BH$586,"",COUNTIF($E$4:$E$582,$A612&amp;" ضد "&amp;BH$586)+COUNTIF($E$4:$E$582,BH$586&amp;" ضد "&amp;$A612))</f>
        <v>0</v>
      </c>
      <c r="BI612" s="4">
        <f>IF($A612=BI$586,"",COUNTIF($E$4:$E$582,$A612&amp;" ضد "&amp;BI$586)+COUNTIF($E$4:$E$582,BI$586&amp;" ضد "&amp;$A612))</f>
        <v>0</v>
      </c>
      <c r="BJ612" s="4">
        <f>IF($A612=BJ$586,"",COUNTIF($E$4:$E$582,$A612&amp;" ضد "&amp;BJ$586)+COUNTIF($E$4:$E$582,BJ$586&amp;" ضد "&amp;$A612))</f>
        <v>0</v>
      </c>
      <c r="BK612" s="4">
        <f>IF($A612=BK$586,"",COUNTIF($E$4:$E$582,$A612&amp;" ضد "&amp;BK$586)+COUNTIF($E$4:$E$582,BK$586&amp;" ضد "&amp;$A612))</f>
        <v>0</v>
      </c>
      <c r="BL612" s="4">
        <f>IF($A612=BL$586,"",COUNTIF($E$4:$E$582,$A612&amp;" ضد "&amp;BL$586)+COUNTIF($E$4:$E$582,BL$586&amp;" ضد "&amp;$A612))</f>
        <v>0</v>
      </c>
      <c r="BM612" s="4">
        <f>IF($A612=BM$586,"",COUNTIF($E$4:$E$582,$A612&amp;" ضد "&amp;BM$586)+COUNTIF($E$4:$E$582,BM$586&amp;" ضد "&amp;$A612))</f>
        <v>0</v>
      </c>
    </row>
    <row r="613" spans="1:65" ht="14.5">
      <c r="A613" s="14">
        <v>27</v>
      </c>
      <c r="B613" s="4">
        <f>IF($A613=B$586,"",COUNTIF($E$4:$E$582,$A613&amp;" ضد "&amp;B$586)+COUNTIF($E$4:$E$582,B$586&amp;" ضد "&amp;$A613))</f>
        <v>0</v>
      </c>
      <c r="C613" s="4">
        <f>IF($A613=C$586,"",COUNTIF($E$4:$E$582,$A613&amp;" ضد "&amp;C$586)+COUNTIF($E$4:$E$582,C$586&amp;" ضد "&amp;$A613))</f>
        <v>0</v>
      </c>
      <c r="D613" s="4">
        <f>IF($A613=D$586,"",COUNTIF($E$4:$E$582,$A613&amp;" ضد "&amp;D$586)+COUNTIF($E$4:$E$582,D$586&amp;" ضد "&amp;$A613))</f>
        <v>0</v>
      </c>
      <c r="E613" s="4">
        <f>IF($A613=E$586,"",COUNTIF($E$4:$E$582,$A613&amp;" ضد "&amp;E$586)+COUNTIF($E$4:$E$582,E$586&amp;" ضد "&amp;$A613))</f>
        <v>0</v>
      </c>
      <c r="F613" s="4">
        <f>IF($A613=F$586,"",COUNTIF($E$4:$E$582,$A613&amp;" ضد "&amp;F$586)+COUNTIF($E$4:$E$582,F$586&amp;" ضد "&amp;$A613))</f>
        <v>0</v>
      </c>
      <c r="G613" s="4">
        <f>IF($A613=G$586,"",COUNTIF($E$4:$E$582,$A613&amp;" ضد "&amp;G$586)+COUNTIF($E$4:$E$582,G$586&amp;" ضد "&amp;$A613))</f>
        <v>0</v>
      </c>
      <c r="H613" s="4">
        <f>IF($A613=H$586,"",COUNTIF($E$4:$E$582,$A613&amp;" ضد "&amp;H$586)+COUNTIF($E$4:$E$582,H$586&amp;" ضد "&amp;$A613))</f>
        <v>0</v>
      </c>
      <c r="I613" s="4">
        <f>IF($A613=I$586,"",COUNTIF($E$4:$E$582,$A613&amp;" ضد "&amp;I$586)+COUNTIF($E$4:$E$582,I$586&amp;" ضد "&amp;$A613))</f>
        <v>0</v>
      </c>
      <c r="J613" s="4">
        <f>IF($A613=J$586,"",COUNTIF($E$4:$E$582,$A613&amp;" ضد "&amp;J$586)+COUNTIF($E$4:$E$582,J$586&amp;" ضد "&amp;$A613))</f>
        <v>0</v>
      </c>
      <c r="K613" s="4">
        <f>IF($A613=K$586,"",COUNTIF($E$4:$E$582,$A613&amp;" ضد "&amp;K$586)+COUNTIF($E$4:$E$582,K$586&amp;" ضد "&amp;$A613))</f>
        <v>0</v>
      </c>
      <c r="L613" s="4">
        <f>IF($A613=L$586,"",COUNTIF($E$4:$E$582,$A613&amp;" ضد "&amp;L$586)+COUNTIF($E$4:$E$582,L$586&amp;" ضد "&amp;$A613))</f>
        <v>0</v>
      </c>
      <c r="M613" s="4">
        <f>IF($A613=M$586,"",COUNTIF($E$4:$E$582,$A613&amp;" ضد "&amp;M$586)+COUNTIF($E$4:$E$582,M$586&amp;" ضد "&amp;$A613))</f>
        <v>0</v>
      </c>
      <c r="N613" s="4">
        <f>IF($A613=N$586,"",COUNTIF($E$4:$E$582,$A613&amp;" ضد "&amp;N$586)+COUNTIF($E$4:$E$582,N$586&amp;" ضد "&amp;$A613))</f>
        <v>0</v>
      </c>
      <c r="O613" s="4">
        <f>IF($A613=O$586,"",COUNTIF($E$4:$E$582,$A613&amp;" ضد "&amp;O$586)+COUNTIF($E$4:$E$582,O$586&amp;" ضد "&amp;$A613))</f>
        <v>0</v>
      </c>
      <c r="P613" s="4">
        <f>IF($A613=P$586,"",COUNTIF($E$4:$E$582,$A613&amp;" ضد "&amp;P$586)+COUNTIF($E$4:$E$582,P$586&amp;" ضد "&amp;$A613))</f>
        <v>0</v>
      </c>
      <c r="Q613" s="4">
        <f>IF($A613=Q$586,"",COUNTIF($E$4:$E$582,$A613&amp;" ضد "&amp;Q$586)+COUNTIF($E$4:$E$582,Q$586&amp;" ضد "&amp;$A613))</f>
        <v>0</v>
      </c>
      <c r="R613" s="4">
        <f>IF($A613=R$586,"",COUNTIF($E$4:$E$582,$A613&amp;" ضد "&amp;R$586)+COUNTIF($E$4:$E$582,R$586&amp;" ضد "&amp;$A613))</f>
        <v>1</v>
      </c>
      <c r="S613" s="4">
        <f>IF($A613=S$586,"",COUNTIF($E$4:$E$582,$A613&amp;" ضد "&amp;S$586)+COUNTIF($E$4:$E$582,S$586&amp;" ضد "&amp;$A613))</f>
        <v>2</v>
      </c>
      <c r="T613" s="4">
        <f>IF($A613=T$586,"",COUNTIF($E$4:$E$582,$A613&amp;" ضد "&amp;T$586)+COUNTIF($E$4:$E$582,T$586&amp;" ضد "&amp;$A613))</f>
        <v>1</v>
      </c>
      <c r="U613" s="4">
        <f>IF($A613=U$586,"",COUNTIF($E$4:$E$582,$A613&amp;" ضد "&amp;U$586)+COUNTIF($E$4:$E$582,U$586&amp;" ضد "&amp;$A613))</f>
        <v>2</v>
      </c>
      <c r="V613" s="4">
        <f>IF($A613=V$586,"",COUNTIF($E$4:$E$582,$A613&amp;" ضد "&amp;V$586)+COUNTIF($E$4:$E$582,V$586&amp;" ضد "&amp;$A613))</f>
        <v>1</v>
      </c>
      <c r="W613" s="4">
        <f>IF($A613=W$586,"",COUNTIF($E$4:$E$582,$A613&amp;" ضد "&amp;W$586)+COUNTIF($E$4:$E$582,W$586&amp;" ضد "&amp;$A613))</f>
        <v>2</v>
      </c>
      <c r="X613" s="4">
        <f>IF($A613=X$586,"",COUNTIF($E$4:$E$582,$A613&amp;" ضد "&amp;X$586)+COUNTIF($E$4:$E$582,X$586&amp;" ضد "&amp;$A613))</f>
        <v>1</v>
      </c>
      <c r="Y613" s="4">
        <f>IF($A613=Y$586,"",COUNTIF($E$4:$E$582,$A613&amp;" ضد "&amp;Y$586)+COUNTIF($E$4:$E$582,Y$586&amp;" ضد "&amp;$A613))</f>
        <v>1</v>
      </c>
      <c r="Z613" s="4">
        <f>IF($A613=Z$586,"",COUNTIF($E$4:$E$582,$A613&amp;" ضد "&amp;Z$586)+COUNTIF($E$4:$E$582,Z$586&amp;" ضد "&amp;$A613))</f>
        <v>1</v>
      </c>
      <c r="AA613" s="4">
        <f>IF($A613=AA$586,"",COUNTIF($E$4:$E$582,$A613&amp;" ضد "&amp;AA$586)+COUNTIF($E$4:$E$582,AA$586&amp;" ضد "&amp;$A613))</f>
        <v>1</v>
      </c>
      <c r="AB613" s="4" t="str">
        <f>IF($A613=AB$586,"",COUNTIF($E$4:$E$582,$A613&amp;" ضد "&amp;AB$586)+COUNTIF($E$4:$E$582,AB$586&amp;" ضد "&amp;$A613))</f>
        <v/>
      </c>
      <c r="AC613" s="4">
        <f>IF($A613=AC$586,"",COUNTIF($E$4:$E$582,$A613&amp;" ضد "&amp;AC$586)+COUNTIF($E$4:$E$582,AC$586&amp;" ضد "&amp;$A613))</f>
        <v>1</v>
      </c>
      <c r="AD613" s="4">
        <f>IF($A613=AD$586,"",COUNTIF($E$4:$E$582,$A613&amp;" ضد "&amp;AD$586)+COUNTIF($E$4:$E$582,AD$586&amp;" ضد "&amp;$A613))</f>
        <v>1</v>
      </c>
      <c r="AE613" s="4">
        <f>IF($A613=AE$586,"",COUNTIF($E$4:$E$582,$A613&amp;" ضد "&amp;AE$586)+COUNTIF($E$4:$E$582,AE$586&amp;" ضد "&amp;$A613))</f>
        <v>1</v>
      </c>
      <c r="AF613" s="4">
        <f>IF($A613=AF$586,"",COUNTIF($E$4:$E$582,$A613&amp;" ضد "&amp;AF$586)+COUNTIF($E$4:$E$582,AF$586&amp;" ضد "&amp;$A613))</f>
        <v>1</v>
      </c>
      <c r="AG613" s="4">
        <f>IF($A613=AG$586,"",COUNTIF($E$4:$E$582,$A613&amp;" ضد "&amp;AG$586)+COUNTIF($E$4:$E$582,AG$586&amp;" ضد "&amp;$A613))</f>
        <v>1</v>
      </c>
      <c r="AH613" s="4">
        <f>IF($A613=AH$586,"",COUNTIF($E$4:$E$582,$A613&amp;" ضد "&amp;AH$586)+COUNTIF($E$4:$E$582,AH$586&amp;" ضد "&amp;$A613))</f>
        <v>0</v>
      </c>
      <c r="AI613" s="4">
        <f>IF($A613=AI$586,"",COUNTIF($E$4:$E$582,$A613&amp;" ضد "&amp;AI$586)+COUNTIF($E$4:$E$582,AI$586&amp;" ضد "&amp;$A613))</f>
        <v>0</v>
      </c>
      <c r="AJ613" s="4">
        <f>IF($A613=AJ$586,"",COUNTIF($E$4:$E$582,$A613&amp;" ضد "&amp;AJ$586)+COUNTIF($E$4:$E$582,AJ$586&amp;" ضد "&amp;$A613))</f>
        <v>0</v>
      </c>
      <c r="AK613" s="4">
        <f>IF($A613=AK$586,"",COUNTIF($E$4:$E$582,$A613&amp;" ضد "&amp;AK$586)+COUNTIF($E$4:$E$582,AK$586&amp;" ضد "&amp;$A613))</f>
        <v>0</v>
      </c>
      <c r="AL613" s="4">
        <f>IF($A613=AL$586,"",COUNTIF($E$4:$E$582,$A613&amp;" ضد "&amp;AL$586)+COUNTIF($E$4:$E$582,AL$586&amp;" ضد "&amp;$A613))</f>
        <v>0</v>
      </c>
      <c r="AM613" s="4">
        <f>IF($A613=AM$586,"",COUNTIF($E$4:$E$582,$A613&amp;" ضد "&amp;AM$586)+COUNTIF($E$4:$E$582,AM$586&amp;" ضد "&amp;$A613))</f>
        <v>0</v>
      </c>
      <c r="AN613" s="4">
        <f>IF($A613=AN$586,"",COUNTIF($E$4:$E$582,$A613&amp;" ضد "&amp;AN$586)+COUNTIF($E$4:$E$582,AN$586&amp;" ضد "&amp;$A613))</f>
        <v>0</v>
      </c>
      <c r="AO613" s="4">
        <f>IF($A613=AO$586,"",COUNTIF($E$4:$E$582,$A613&amp;" ضد "&amp;AO$586)+COUNTIF($E$4:$E$582,AO$586&amp;" ضد "&amp;$A613))</f>
        <v>0</v>
      </c>
      <c r="AP613" s="4">
        <f>IF($A613=AP$586,"",COUNTIF($E$4:$E$582,$A613&amp;" ضد "&amp;AP$586)+COUNTIF($E$4:$E$582,AP$586&amp;" ضد "&amp;$A613))</f>
        <v>0</v>
      </c>
      <c r="AQ613" s="4">
        <f>IF($A613=AQ$586,"",COUNTIF($E$4:$E$582,$A613&amp;" ضد "&amp;AQ$586)+COUNTIF($E$4:$E$582,AQ$586&amp;" ضد "&amp;$A613))</f>
        <v>0</v>
      </c>
      <c r="AR613" s="4">
        <f>IF($A613=AR$586,"",COUNTIF($E$4:$E$582,$A613&amp;" ضد "&amp;AR$586)+COUNTIF($E$4:$E$582,AR$586&amp;" ضد "&amp;$A613))</f>
        <v>0</v>
      </c>
      <c r="AS613" s="4">
        <f>IF($A613=AS$586,"",COUNTIF($E$4:$E$582,$A613&amp;" ضد "&amp;AS$586)+COUNTIF($E$4:$E$582,AS$586&amp;" ضد "&amp;$A613))</f>
        <v>0</v>
      </c>
      <c r="AT613" s="4">
        <f>IF($A613=AT$586,"",COUNTIF($E$4:$E$582,$A613&amp;" ضد "&amp;AT$586)+COUNTIF($E$4:$E$582,AT$586&amp;" ضد "&amp;$A613))</f>
        <v>0</v>
      </c>
      <c r="AU613" s="4">
        <f>IF($A613=AU$586,"",COUNTIF($E$4:$E$582,$A613&amp;" ضد "&amp;AU$586)+COUNTIF($E$4:$E$582,AU$586&amp;" ضد "&amp;$A613))</f>
        <v>0</v>
      </c>
      <c r="AV613" s="4">
        <f>IF($A613=AV$586,"",COUNTIF($E$4:$E$582,$A613&amp;" ضد "&amp;AV$586)+COUNTIF($E$4:$E$582,AV$586&amp;" ضد "&amp;$A613))</f>
        <v>0</v>
      </c>
      <c r="AW613" s="4">
        <f>IF($A613=AW$586,"",COUNTIF($E$4:$E$582,$A613&amp;" ضد "&amp;AW$586)+COUNTIF($E$4:$E$582,AW$586&amp;" ضد "&amp;$A613))</f>
        <v>0</v>
      </c>
      <c r="AX613" s="4">
        <f>IF($A613=AX$586,"",COUNTIF($E$4:$E$582,$A613&amp;" ضد "&amp;AX$586)+COUNTIF($E$4:$E$582,AX$586&amp;" ضد "&amp;$A613))</f>
        <v>0</v>
      </c>
      <c r="AY613" s="4">
        <f>IF($A613=AY$586,"",COUNTIF($E$4:$E$582,$A613&amp;" ضد "&amp;AY$586)+COUNTIF($E$4:$E$582,AY$586&amp;" ضد "&amp;$A613))</f>
        <v>0</v>
      </c>
      <c r="AZ613" s="4">
        <f>IF($A613=AZ$586,"",COUNTIF($E$4:$E$582,$A613&amp;" ضد "&amp;AZ$586)+COUNTIF($E$4:$E$582,AZ$586&amp;" ضد "&amp;$A613))</f>
        <v>0</v>
      </c>
      <c r="BA613" s="4">
        <f>IF($A613=BA$586,"",COUNTIF($E$4:$E$582,$A613&amp;" ضد "&amp;BA$586)+COUNTIF($E$4:$E$582,BA$586&amp;" ضد "&amp;$A613))</f>
        <v>0</v>
      </c>
      <c r="BB613" s="4">
        <f>IF($A613=BB$586,"",COUNTIF($E$4:$E$582,$A613&amp;" ضد "&amp;BB$586)+COUNTIF($E$4:$E$582,BB$586&amp;" ضد "&amp;$A613))</f>
        <v>0</v>
      </c>
      <c r="BC613" s="4">
        <f>IF($A613=BC$586,"",COUNTIF($E$4:$E$582,$A613&amp;" ضد "&amp;BC$586)+COUNTIF($E$4:$E$582,BC$586&amp;" ضد "&amp;$A613))</f>
        <v>0</v>
      </c>
      <c r="BD613" s="4">
        <f>IF($A613=BD$586,"",COUNTIF($E$4:$E$582,$A613&amp;" ضد "&amp;BD$586)+COUNTIF($E$4:$E$582,BD$586&amp;" ضد "&amp;$A613))</f>
        <v>0</v>
      </c>
      <c r="BE613" s="4">
        <f>IF($A613=BE$586,"",COUNTIF($E$4:$E$582,$A613&amp;" ضد "&amp;BE$586)+COUNTIF($E$4:$E$582,BE$586&amp;" ضد "&amp;$A613))</f>
        <v>0</v>
      </c>
      <c r="BF613" s="4">
        <f>IF($A613=BF$586,"",COUNTIF($E$4:$E$582,$A613&amp;" ضد "&amp;BF$586)+COUNTIF($E$4:$E$582,BF$586&amp;" ضد "&amp;$A613))</f>
        <v>0</v>
      </c>
      <c r="BG613" s="4">
        <f>IF($A613=BG$586,"",COUNTIF($E$4:$E$582,$A613&amp;" ضد "&amp;BG$586)+COUNTIF($E$4:$E$582,BG$586&amp;" ضد "&amp;$A613))</f>
        <v>0</v>
      </c>
      <c r="BH613" s="4">
        <f>IF($A613=BH$586,"",COUNTIF($E$4:$E$582,$A613&amp;" ضد "&amp;BH$586)+COUNTIF($E$4:$E$582,BH$586&amp;" ضد "&amp;$A613))</f>
        <v>0</v>
      </c>
      <c r="BI613" s="4">
        <f>IF($A613=BI$586,"",COUNTIF($E$4:$E$582,$A613&amp;" ضد "&amp;BI$586)+COUNTIF($E$4:$E$582,BI$586&amp;" ضد "&amp;$A613))</f>
        <v>0</v>
      </c>
      <c r="BJ613" s="4">
        <f>IF($A613=BJ$586,"",COUNTIF($E$4:$E$582,$A613&amp;" ضد "&amp;BJ$586)+COUNTIF($E$4:$E$582,BJ$586&amp;" ضد "&amp;$A613))</f>
        <v>0</v>
      </c>
      <c r="BK613" s="4">
        <f>IF($A613=BK$586,"",COUNTIF($E$4:$E$582,$A613&amp;" ضد "&amp;BK$586)+COUNTIF($E$4:$E$582,BK$586&amp;" ضد "&amp;$A613))</f>
        <v>0</v>
      </c>
      <c r="BL613" s="4">
        <f>IF($A613=BL$586,"",COUNTIF($E$4:$E$582,$A613&amp;" ضد "&amp;BL$586)+COUNTIF($E$4:$E$582,BL$586&amp;" ضد "&amp;$A613))</f>
        <v>0</v>
      </c>
      <c r="BM613" s="4">
        <f>IF($A613=BM$586,"",COUNTIF($E$4:$E$582,$A613&amp;" ضد "&amp;BM$586)+COUNTIF($E$4:$E$582,BM$586&amp;" ضد "&amp;$A613))</f>
        <v>0</v>
      </c>
    </row>
    <row r="614" spans="1:65" ht="14.5">
      <c r="A614" s="14">
        <v>28</v>
      </c>
      <c r="B614" s="4">
        <f>IF($A614=B$586,"",COUNTIF($E$4:$E$582,$A614&amp;" ضد "&amp;B$586)+COUNTIF($E$4:$E$582,B$586&amp;" ضد "&amp;$A614))</f>
        <v>0</v>
      </c>
      <c r="C614" s="4">
        <f>IF($A614=C$586,"",COUNTIF($E$4:$E$582,$A614&amp;" ضد "&amp;C$586)+COUNTIF($E$4:$E$582,C$586&amp;" ضد "&amp;$A614))</f>
        <v>0</v>
      </c>
      <c r="D614" s="4">
        <f>IF($A614=D$586,"",COUNTIF($E$4:$E$582,$A614&amp;" ضد "&amp;D$586)+COUNTIF($E$4:$E$582,D$586&amp;" ضد "&amp;$A614))</f>
        <v>0</v>
      </c>
      <c r="E614" s="4">
        <f>IF($A614=E$586,"",COUNTIF($E$4:$E$582,$A614&amp;" ضد "&amp;E$586)+COUNTIF($E$4:$E$582,E$586&amp;" ضد "&amp;$A614))</f>
        <v>0</v>
      </c>
      <c r="F614" s="4">
        <f>IF($A614=F$586,"",COUNTIF($E$4:$E$582,$A614&amp;" ضد "&amp;F$586)+COUNTIF($E$4:$E$582,F$586&amp;" ضد "&amp;$A614))</f>
        <v>0</v>
      </c>
      <c r="G614" s="4">
        <f>IF($A614=G$586,"",COUNTIF($E$4:$E$582,$A614&amp;" ضد "&amp;G$586)+COUNTIF($E$4:$E$582,G$586&amp;" ضد "&amp;$A614))</f>
        <v>0</v>
      </c>
      <c r="H614" s="4">
        <f>IF($A614=H$586,"",COUNTIF($E$4:$E$582,$A614&amp;" ضد "&amp;H$586)+COUNTIF($E$4:$E$582,H$586&amp;" ضد "&amp;$A614))</f>
        <v>0</v>
      </c>
      <c r="I614" s="4">
        <f>IF($A614=I$586,"",COUNTIF($E$4:$E$582,$A614&amp;" ضد "&amp;I$586)+COUNTIF($E$4:$E$582,I$586&amp;" ضد "&amp;$A614))</f>
        <v>0</v>
      </c>
      <c r="J614" s="4">
        <f>IF($A614=J$586,"",COUNTIF($E$4:$E$582,$A614&amp;" ضد "&amp;J$586)+COUNTIF($E$4:$E$582,J$586&amp;" ضد "&amp;$A614))</f>
        <v>0</v>
      </c>
      <c r="K614" s="4">
        <f>IF($A614=K$586,"",COUNTIF($E$4:$E$582,$A614&amp;" ضد "&amp;K$586)+COUNTIF($E$4:$E$582,K$586&amp;" ضد "&amp;$A614))</f>
        <v>0</v>
      </c>
      <c r="L614" s="4">
        <f>IF($A614=L$586,"",COUNTIF($E$4:$E$582,$A614&amp;" ضد "&amp;L$586)+COUNTIF($E$4:$E$582,L$586&amp;" ضد "&amp;$A614))</f>
        <v>0</v>
      </c>
      <c r="M614" s="4">
        <f>IF($A614=M$586,"",COUNTIF($E$4:$E$582,$A614&amp;" ضد "&amp;M$586)+COUNTIF($E$4:$E$582,M$586&amp;" ضد "&amp;$A614))</f>
        <v>0</v>
      </c>
      <c r="N614" s="4">
        <f>IF($A614=N$586,"",COUNTIF($E$4:$E$582,$A614&amp;" ضد "&amp;N$586)+COUNTIF($E$4:$E$582,N$586&amp;" ضد "&amp;$A614))</f>
        <v>0</v>
      </c>
      <c r="O614" s="4">
        <f>IF($A614=O$586,"",COUNTIF($E$4:$E$582,$A614&amp;" ضد "&amp;O$586)+COUNTIF($E$4:$E$582,O$586&amp;" ضد "&amp;$A614))</f>
        <v>0</v>
      </c>
      <c r="P614" s="4">
        <f>IF($A614=P$586,"",COUNTIF($E$4:$E$582,$A614&amp;" ضد "&amp;P$586)+COUNTIF($E$4:$E$582,P$586&amp;" ضد "&amp;$A614))</f>
        <v>0</v>
      </c>
      <c r="Q614" s="4">
        <f>IF($A614=Q$586,"",COUNTIF($E$4:$E$582,$A614&amp;" ضد "&amp;Q$586)+COUNTIF($E$4:$E$582,Q$586&amp;" ضد "&amp;$A614))</f>
        <v>0</v>
      </c>
      <c r="R614" s="4">
        <f>IF($A614=R$586,"",COUNTIF($E$4:$E$582,$A614&amp;" ضد "&amp;R$586)+COUNTIF($E$4:$E$582,R$586&amp;" ضد "&amp;$A614))</f>
        <v>1</v>
      </c>
      <c r="S614" s="4">
        <f>IF($A614=S$586,"",COUNTIF($E$4:$E$582,$A614&amp;" ضد "&amp;S$586)+COUNTIF($E$4:$E$582,S$586&amp;" ضد "&amp;$A614))</f>
        <v>1</v>
      </c>
      <c r="T614" s="4">
        <f>IF($A614=T$586,"",COUNTIF($E$4:$E$582,$A614&amp;" ضد "&amp;T$586)+COUNTIF($E$4:$E$582,T$586&amp;" ضد "&amp;$A614))</f>
        <v>2</v>
      </c>
      <c r="U614" s="4">
        <f>IF($A614=U$586,"",COUNTIF($E$4:$E$582,$A614&amp;" ضد "&amp;U$586)+COUNTIF($E$4:$E$582,U$586&amp;" ضد "&amp;$A614))</f>
        <v>1</v>
      </c>
      <c r="V614" s="4">
        <f>IF($A614=V$586,"",COUNTIF($E$4:$E$582,$A614&amp;" ضد "&amp;V$586)+COUNTIF($E$4:$E$582,V$586&amp;" ضد "&amp;$A614))</f>
        <v>2</v>
      </c>
      <c r="W614" s="4">
        <f>IF($A614=W$586,"",COUNTIF($E$4:$E$582,$A614&amp;" ضد "&amp;W$586)+COUNTIF($E$4:$E$582,W$586&amp;" ضد "&amp;$A614))</f>
        <v>1</v>
      </c>
      <c r="X614" s="4">
        <f>IF($A614=X$586,"",COUNTIF($E$4:$E$582,$A614&amp;" ضد "&amp;X$586)+COUNTIF($E$4:$E$582,X$586&amp;" ضد "&amp;$A614))</f>
        <v>1</v>
      </c>
      <c r="Y614" s="4">
        <f>IF($A614=Y$586,"",COUNTIF($E$4:$E$582,$A614&amp;" ضد "&amp;Y$586)+COUNTIF($E$4:$E$582,Y$586&amp;" ضد "&amp;$A614))</f>
        <v>1</v>
      </c>
      <c r="Z614" s="4">
        <f>IF($A614=Z$586,"",COUNTIF($E$4:$E$582,$A614&amp;" ضد "&amp;Z$586)+COUNTIF($E$4:$E$582,Z$586&amp;" ضد "&amp;$A614))</f>
        <v>1</v>
      </c>
      <c r="AA614" s="4">
        <f>IF($A614=AA$586,"",COUNTIF($E$4:$E$582,$A614&amp;" ضد "&amp;AA$586)+COUNTIF($E$4:$E$582,AA$586&amp;" ضد "&amp;$A614))</f>
        <v>1</v>
      </c>
      <c r="AB614" s="4">
        <f>IF($A614=AB$586,"",COUNTIF($E$4:$E$582,$A614&amp;" ضد "&amp;AB$586)+COUNTIF($E$4:$E$582,AB$586&amp;" ضد "&amp;$A614))</f>
        <v>1</v>
      </c>
      <c r="AC614" s="4" t="str">
        <f>IF($A614=AC$586,"",COUNTIF($E$4:$E$582,$A614&amp;" ضد "&amp;AC$586)+COUNTIF($E$4:$E$582,AC$586&amp;" ضد "&amp;$A614))</f>
        <v/>
      </c>
      <c r="AD614" s="4">
        <f>IF($A614=AD$586,"",COUNTIF($E$4:$E$582,$A614&amp;" ضد "&amp;AD$586)+COUNTIF($E$4:$E$582,AD$586&amp;" ضد "&amp;$A614))</f>
        <v>1</v>
      </c>
      <c r="AE614" s="4">
        <f>IF($A614=AE$586,"",COUNTIF($E$4:$E$582,$A614&amp;" ضد "&amp;AE$586)+COUNTIF($E$4:$E$582,AE$586&amp;" ضد "&amp;$A614))</f>
        <v>1</v>
      </c>
      <c r="AF614" s="4">
        <f>IF($A614=AF$586,"",COUNTIF($E$4:$E$582,$A614&amp;" ضد "&amp;AF$586)+COUNTIF($E$4:$E$582,AF$586&amp;" ضد "&amp;$A614))</f>
        <v>1</v>
      </c>
      <c r="AG614" s="4">
        <f>IF($A614=AG$586,"",COUNTIF($E$4:$E$582,$A614&amp;" ضد "&amp;AG$586)+COUNTIF($E$4:$E$582,AG$586&amp;" ضد "&amp;$A614))</f>
        <v>2</v>
      </c>
      <c r="AH614" s="4">
        <f>IF($A614=AH$586,"",COUNTIF($E$4:$E$582,$A614&amp;" ضد "&amp;AH$586)+COUNTIF($E$4:$E$582,AH$586&amp;" ضد "&amp;$A614))</f>
        <v>0</v>
      </c>
      <c r="AI614" s="4">
        <f>IF($A614=AI$586,"",COUNTIF($E$4:$E$582,$A614&amp;" ضد "&amp;AI$586)+COUNTIF($E$4:$E$582,AI$586&amp;" ضد "&amp;$A614))</f>
        <v>0</v>
      </c>
      <c r="AJ614" s="4">
        <f>IF($A614=AJ$586,"",COUNTIF($E$4:$E$582,$A614&amp;" ضد "&amp;AJ$586)+COUNTIF($E$4:$E$582,AJ$586&amp;" ضد "&amp;$A614))</f>
        <v>0</v>
      </c>
      <c r="AK614" s="4">
        <f>IF($A614=AK$586,"",COUNTIF($E$4:$E$582,$A614&amp;" ضد "&amp;AK$586)+COUNTIF($E$4:$E$582,AK$586&amp;" ضد "&amp;$A614))</f>
        <v>0</v>
      </c>
      <c r="AL614" s="4">
        <f>IF($A614=AL$586,"",COUNTIF($E$4:$E$582,$A614&amp;" ضد "&amp;AL$586)+COUNTIF($E$4:$E$582,AL$586&amp;" ضد "&amp;$A614))</f>
        <v>0</v>
      </c>
      <c r="AM614" s="4">
        <f>IF($A614=AM$586,"",COUNTIF($E$4:$E$582,$A614&amp;" ضد "&amp;AM$586)+COUNTIF($E$4:$E$582,AM$586&amp;" ضد "&amp;$A614))</f>
        <v>0</v>
      </c>
      <c r="AN614" s="4">
        <f>IF($A614=AN$586,"",COUNTIF($E$4:$E$582,$A614&amp;" ضد "&amp;AN$586)+COUNTIF($E$4:$E$582,AN$586&amp;" ضد "&amp;$A614))</f>
        <v>0</v>
      </c>
      <c r="AO614" s="4">
        <f>IF($A614=AO$586,"",COUNTIF($E$4:$E$582,$A614&amp;" ضد "&amp;AO$586)+COUNTIF($E$4:$E$582,AO$586&amp;" ضد "&amp;$A614))</f>
        <v>0</v>
      </c>
      <c r="AP614" s="4">
        <f>IF($A614=AP$586,"",COUNTIF($E$4:$E$582,$A614&amp;" ضد "&amp;AP$586)+COUNTIF($E$4:$E$582,AP$586&amp;" ضد "&amp;$A614))</f>
        <v>0</v>
      </c>
      <c r="AQ614" s="4">
        <f>IF($A614=AQ$586,"",COUNTIF($E$4:$E$582,$A614&amp;" ضد "&amp;AQ$586)+COUNTIF($E$4:$E$582,AQ$586&amp;" ضد "&amp;$A614))</f>
        <v>0</v>
      </c>
      <c r="AR614" s="4">
        <f>IF($A614=AR$586,"",COUNTIF($E$4:$E$582,$A614&amp;" ضد "&amp;AR$586)+COUNTIF($E$4:$E$582,AR$586&amp;" ضد "&amp;$A614))</f>
        <v>0</v>
      </c>
      <c r="AS614" s="4">
        <f>IF($A614=AS$586,"",COUNTIF($E$4:$E$582,$A614&amp;" ضد "&amp;AS$586)+COUNTIF($E$4:$E$582,AS$586&amp;" ضد "&amp;$A614))</f>
        <v>0</v>
      </c>
      <c r="AT614" s="4">
        <f>IF($A614=AT$586,"",COUNTIF($E$4:$E$582,$A614&amp;" ضد "&amp;AT$586)+COUNTIF($E$4:$E$582,AT$586&amp;" ضد "&amp;$A614))</f>
        <v>0</v>
      </c>
      <c r="AU614" s="4">
        <f>IF($A614=AU$586,"",COUNTIF($E$4:$E$582,$A614&amp;" ضد "&amp;AU$586)+COUNTIF($E$4:$E$582,AU$586&amp;" ضد "&amp;$A614))</f>
        <v>0</v>
      </c>
      <c r="AV614" s="4">
        <f>IF($A614=AV$586,"",COUNTIF($E$4:$E$582,$A614&amp;" ضد "&amp;AV$586)+COUNTIF($E$4:$E$582,AV$586&amp;" ضد "&amp;$A614))</f>
        <v>0</v>
      </c>
      <c r="AW614" s="4">
        <f>IF($A614=AW$586,"",COUNTIF($E$4:$E$582,$A614&amp;" ضد "&amp;AW$586)+COUNTIF($E$4:$E$582,AW$586&amp;" ضد "&amp;$A614))</f>
        <v>0</v>
      </c>
      <c r="AX614" s="4">
        <f>IF($A614=AX$586,"",COUNTIF($E$4:$E$582,$A614&amp;" ضد "&amp;AX$586)+COUNTIF($E$4:$E$582,AX$586&amp;" ضد "&amp;$A614))</f>
        <v>0</v>
      </c>
      <c r="AY614" s="4">
        <f>IF($A614=AY$586,"",COUNTIF($E$4:$E$582,$A614&amp;" ضد "&amp;AY$586)+COUNTIF($E$4:$E$582,AY$586&amp;" ضد "&amp;$A614))</f>
        <v>0</v>
      </c>
      <c r="AZ614" s="4">
        <f>IF($A614=AZ$586,"",COUNTIF($E$4:$E$582,$A614&amp;" ضد "&amp;AZ$586)+COUNTIF($E$4:$E$582,AZ$586&amp;" ضد "&amp;$A614))</f>
        <v>0</v>
      </c>
      <c r="BA614" s="4">
        <f>IF($A614=BA$586,"",COUNTIF($E$4:$E$582,$A614&amp;" ضد "&amp;BA$586)+COUNTIF($E$4:$E$582,BA$586&amp;" ضد "&amp;$A614))</f>
        <v>0</v>
      </c>
      <c r="BB614" s="4">
        <f>IF($A614=BB$586,"",COUNTIF($E$4:$E$582,$A614&amp;" ضد "&amp;BB$586)+COUNTIF($E$4:$E$582,BB$586&amp;" ضد "&amp;$A614))</f>
        <v>0</v>
      </c>
      <c r="BC614" s="4">
        <f>IF($A614=BC$586,"",COUNTIF($E$4:$E$582,$A614&amp;" ضد "&amp;BC$586)+COUNTIF($E$4:$E$582,BC$586&amp;" ضد "&amp;$A614))</f>
        <v>0</v>
      </c>
      <c r="BD614" s="4">
        <f>IF($A614=BD$586,"",COUNTIF($E$4:$E$582,$A614&amp;" ضد "&amp;BD$586)+COUNTIF($E$4:$E$582,BD$586&amp;" ضد "&amp;$A614))</f>
        <v>0</v>
      </c>
      <c r="BE614" s="4">
        <f>IF($A614=BE$586,"",COUNTIF($E$4:$E$582,$A614&amp;" ضد "&amp;BE$586)+COUNTIF($E$4:$E$582,BE$586&amp;" ضد "&amp;$A614))</f>
        <v>0</v>
      </c>
      <c r="BF614" s="4">
        <f>IF($A614=BF$586,"",COUNTIF($E$4:$E$582,$A614&amp;" ضد "&amp;BF$586)+COUNTIF($E$4:$E$582,BF$586&amp;" ضد "&amp;$A614))</f>
        <v>0</v>
      </c>
      <c r="BG614" s="4">
        <f>IF($A614=BG$586,"",COUNTIF($E$4:$E$582,$A614&amp;" ضد "&amp;BG$586)+COUNTIF($E$4:$E$582,BG$586&amp;" ضد "&amp;$A614))</f>
        <v>0</v>
      </c>
      <c r="BH614" s="4">
        <f>IF($A614=BH$586,"",COUNTIF($E$4:$E$582,$A614&amp;" ضد "&amp;BH$586)+COUNTIF($E$4:$E$582,BH$586&amp;" ضد "&amp;$A614))</f>
        <v>0</v>
      </c>
      <c r="BI614" s="4">
        <f>IF($A614=BI$586,"",COUNTIF($E$4:$E$582,$A614&amp;" ضد "&amp;BI$586)+COUNTIF($E$4:$E$582,BI$586&amp;" ضد "&amp;$A614))</f>
        <v>0</v>
      </c>
      <c r="BJ614" s="4">
        <f>IF($A614=BJ$586,"",COUNTIF($E$4:$E$582,$A614&amp;" ضد "&amp;BJ$586)+COUNTIF($E$4:$E$582,BJ$586&amp;" ضد "&amp;$A614))</f>
        <v>0</v>
      </c>
      <c r="BK614" s="4">
        <f>IF($A614=BK$586,"",COUNTIF($E$4:$E$582,$A614&amp;" ضد "&amp;BK$586)+COUNTIF($E$4:$E$582,BK$586&amp;" ضد "&amp;$A614))</f>
        <v>0</v>
      </c>
      <c r="BL614" s="4">
        <f>IF($A614=BL$586,"",COUNTIF($E$4:$E$582,$A614&amp;" ضد "&amp;BL$586)+COUNTIF($E$4:$E$582,BL$586&amp;" ضد "&amp;$A614))</f>
        <v>0</v>
      </c>
      <c r="BM614" s="4">
        <f>IF($A614=BM$586,"",COUNTIF($E$4:$E$582,$A614&amp;" ضد "&amp;BM$586)+COUNTIF($E$4:$E$582,BM$586&amp;" ضد "&amp;$A614))</f>
        <v>0</v>
      </c>
    </row>
    <row r="615" spans="1:65" ht="14.5">
      <c r="A615" s="14">
        <v>29</v>
      </c>
      <c r="B615" s="4">
        <f>IF($A615=B$586,"",COUNTIF($E$4:$E$582,$A615&amp;" ضد "&amp;B$586)+COUNTIF($E$4:$E$582,B$586&amp;" ضد "&amp;$A615))</f>
        <v>0</v>
      </c>
      <c r="C615" s="4">
        <f>IF($A615=C$586,"",COUNTIF($E$4:$E$582,$A615&amp;" ضد "&amp;C$586)+COUNTIF($E$4:$E$582,C$586&amp;" ضد "&amp;$A615))</f>
        <v>0</v>
      </c>
      <c r="D615" s="4">
        <f>IF($A615=D$586,"",COUNTIF($E$4:$E$582,$A615&amp;" ضد "&amp;D$586)+COUNTIF($E$4:$E$582,D$586&amp;" ضد "&amp;$A615))</f>
        <v>0</v>
      </c>
      <c r="E615" s="4">
        <f>IF($A615=E$586,"",COUNTIF($E$4:$E$582,$A615&amp;" ضد "&amp;E$586)+COUNTIF($E$4:$E$582,E$586&amp;" ضد "&amp;$A615))</f>
        <v>0</v>
      </c>
      <c r="F615" s="4">
        <f>IF($A615=F$586,"",COUNTIF($E$4:$E$582,$A615&amp;" ضد "&amp;F$586)+COUNTIF($E$4:$E$582,F$586&amp;" ضد "&amp;$A615))</f>
        <v>0</v>
      </c>
      <c r="G615" s="4">
        <f>IF($A615=G$586,"",COUNTIF($E$4:$E$582,$A615&amp;" ضد "&amp;G$586)+COUNTIF($E$4:$E$582,G$586&amp;" ضد "&amp;$A615))</f>
        <v>0</v>
      </c>
      <c r="H615" s="4">
        <f>IF($A615=H$586,"",COUNTIF($E$4:$E$582,$A615&amp;" ضد "&amp;H$586)+COUNTIF($E$4:$E$582,H$586&amp;" ضد "&amp;$A615))</f>
        <v>0</v>
      </c>
      <c r="I615" s="4">
        <f>IF($A615=I$586,"",COUNTIF($E$4:$E$582,$A615&amp;" ضد "&amp;I$586)+COUNTIF($E$4:$E$582,I$586&amp;" ضد "&amp;$A615))</f>
        <v>0</v>
      </c>
      <c r="J615" s="4">
        <f>IF($A615=J$586,"",COUNTIF($E$4:$E$582,$A615&amp;" ضد "&amp;J$586)+COUNTIF($E$4:$E$582,J$586&amp;" ضد "&amp;$A615))</f>
        <v>0</v>
      </c>
      <c r="K615" s="4">
        <f>IF($A615=K$586,"",COUNTIF($E$4:$E$582,$A615&amp;" ضد "&amp;K$586)+COUNTIF($E$4:$E$582,K$586&amp;" ضد "&amp;$A615))</f>
        <v>0</v>
      </c>
      <c r="L615" s="4">
        <f>IF($A615=L$586,"",COUNTIF($E$4:$E$582,$A615&amp;" ضد "&amp;L$586)+COUNTIF($E$4:$E$582,L$586&amp;" ضد "&amp;$A615))</f>
        <v>0</v>
      </c>
      <c r="M615" s="4">
        <f>IF($A615=M$586,"",COUNTIF($E$4:$E$582,$A615&amp;" ضد "&amp;M$586)+COUNTIF($E$4:$E$582,M$586&amp;" ضد "&amp;$A615))</f>
        <v>0</v>
      </c>
      <c r="N615" s="4">
        <f>IF($A615=N$586,"",COUNTIF($E$4:$E$582,$A615&amp;" ضد "&amp;N$586)+COUNTIF($E$4:$E$582,N$586&amp;" ضد "&amp;$A615))</f>
        <v>0</v>
      </c>
      <c r="O615" s="4">
        <f>IF($A615=O$586,"",COUNTIF($E$4:$E$582,$A615&amp;" ضد "&amp;O$586)+COUNTIF($E$4:$E$582,O$586&amp;" ضد "&amp;$A615))</f>
        <v>0</v>
      </c>
      <c r="P615" s="4">
        <f>IF($A615=P$586,"",COUNTIF($E$4:$E$582,$A615&amp;" ضد "&amp;P$586)+COUNTIF($E$4:$E$582,P$586&amp;" ضد "&amp;$A615))</f>
        <v>0</v>
      </c>
      <c r="Q615" s="4">
        <f>IF($A615=Q$586,"",COUNTIF($E$4:$E$582,$A615&amp;" ضد "&amp;Q$586)+COUNTIF($E$4:$E$582,Q$586&amp;" ضد "&amp;$A615))</f>
        <v>0</v>
      </c>
      <c r="R615" s="4">
        <f>IF($A615=R$586,"",COUNTIF($E$4:$E$582,$A615&amp;" ضد "&amp;R$586)+COUNTIF($E$4:$E$582,R$586&amp;" ضد "&amp;$A615))</f>
        <v>1</v>
      </c>
      <c r="S615" s="4">
        <f>IF($A615=S$586,"",COUNTIF($E$4:$E$582,$A615&amp;" ضد "&amp;S$586)+COUNTIF($E$4:$E$582,S$586&amp;" ضد "&amp;$A615))</f>
        <v>2</v>
      </c>
      <c r="T615" s="4">
        <f>IF($A615=T$586,"",COUNTIF($E$4:$E$582,$A615&amp;" ضد "&amp;T$586)+COUNTIF($E$4:$E$582,T$586&amp;" ضد "&amp;$A615))</f>
        <v>1</v>
      </c>
      <c r="U615" s="4">
        <f>IF($A615=U$586,"",COUNTIF($E$4:$E$582,$A615&amp;" ضد "&amp;U$586)+COUNTIF($E$4:$E$582,U$586&amp;" ضد "&amp;$A615))</f>
        <v>2</v>
      </c>
      <c r="V615" s="4">
        <f>IF($A615=V$586,"",COUNTIF($E$4:$E$582,$A615&amp;" ضد "&amp;V$586)+COUNTIF($E$4:$E$582,V$586&amp;" ضد "&amp;$A615))</f>
        <v>1</v>
      </c>
      <c r="W615" s="4">
        <f>IF($A615=W$586,"",COUNTIF($E$4:$E$582,$A615&amp;" ضد "&amp;W$586)+COUNTIF($E$4:$E$582,W$586&amp;" ضد "&amp;$A615))</f>
        <v>1</v>
      </c>
      <c r="X615" s="4">
        <f>IF($A615=X$586,"",COUNTIF($E$4:$E$582,$A615&amp;" ضد "&amp;X$586)+COUNTIF($E$4:$E$582,X$586&amp;" ضد "&amp;$A615))</f>
        <v>1</v>
      </c>
      <c r="Y615" s="4">
        <f>IF($A615=Y$586,"",COUNTIF($E$4:$E$582,$A615&amp;" ضد "&amp;Y$586)+COUNTIF($E$4:$E$582,Y$586&amp;" ضد "&amp;$A615))</f>
        <v>1</v>
      </c>
      <c r="Z615" s="4">
        <f>IF($A615=Z$586,"",COUNTIF($E$4:$E$582,$A615&amp;" ضد "&amp;Z$586)+COUNTIF($E$4:$E$582,Z$586&amp;" ضد "&amp;$A615))</f>
        <v>1</v>
      </c>
      <c r="AA615" s="4">
        <f>IF($A615=AA$586,"",COUNTIF($E$4:$E$582,$A615&amp;" ضد "&amp;AA$586)+COUNTIF($E$4:$E$582,AA$586&amp;" ضد "&amp;$A615))</f>
        <v>1</v>
      </c>
      <c r="AB615" s="4">
        <f>IF($A615=AB$586,"",COUNTIF($E$4:$E$582,$A615&amp;" ضد "&amp;AB$586)+COUNTIF($E$4:$E$582,AB$586&amp;" ضد "&amp;$A615))</f>
        <v>1</v>
      </c>
      <c r="AC615" s="4">
        <f>IF($A615=AC$586,"",COUNTIF($E$4:$E$582,$A615&amp;" ضد "&amp;AC$586)+COUNTIF($E$4:$E$582,AC$586&amp;" ضد "&amp;$A615))</f>
        <v>1</v>
      </c>
      <c r="AD615" s="4" t="str">
        <f>IF($A615=AD$586,"",COUNTIF($E$4:$E$582,$A615&amp;" ضد "&amp;AD$586)+COUNTIF($E$4:$E$582,AD$586&amp;" ضد "&amp;$A615))</f>
        <v/>
      </c>
      <c r="AE615" s="4">
        <f>IF($A615=AE$586,"",COUNTIF($E$4:$E$582,$A615&amp;" ضد "&amp;AE$586)+COUNTIF($E$4:$E$582,AE$586&amp;" ضد "&amp;$A615))</f>
        <v>1</v>
      </c>
      <c r="AF615" s="4">
        <f>IF($A615=AF$586,"",COUNTIF($E$4:$E$582,$A615&amp;" ضد "&amp;AF$586)+COUNTIF($E$4:$E$582,AF$586&amp;" ضد "&amp;$A615))</f>
        <v>2</v>
      </c>
      <c r="AG615" s="4">
        <f>IF($A615=AG$586,"",COUNTIF($E$4:$E$582,$A615&amp;" ضد "&amp;AG$586)+COUNTIF($E$4:$E$582,AG$586&amp;" ضد "&amp;$A615))</f>
        <v>1</v>
      </c>
      <c r="AH615" s="4">
        <f>IF($A615=AH$586,"",COUNTIF($E$4:$E$582,$A615&amp;" ضد "&amp;AH$586)+COUNTIF($E$4:$E$582,AH$586&amp;" ضد "&amp;$A615))</f>
        <v>0</v>
      </c>
      <c r="AI615" s="4">
        <f>IF($A615=AI$586,"",COUNTIF($E$4:$E$582,$A615&amp;" ضد "&amp;AI$586)+COUNTIF($E$4:$E$582,AI$586&amp;" ضد "&amp;$A615))</f>
        <v>0</v>
      </c>
      <c r="AJ615" s="4">
        <f>IF($A615=AJ$586,"",COUNTIF($E$4:$E$582,$A615&amp;" ضد "&amp;AJ$586)+COUNTIF($E$4:$E$582,AJ$586&amp;" ضد "&amp;$A615))</f>
        <v>0</v>
      </c>
      <c r="AK615" s="4">
        <f>IF($A615=AK$586,"",COUNTIF($E$4:$E$582,$A615&amp;" ضد "&amp;AK$586)+COUNTIF($E$4:$E$582,AK$586&amp;" ضد "&amp;$A615))</f>
        <v>0</v>
      </c>
      <c r="AL615" s="4">
        <f>IF($A615=AL$586,"",COUNTIF($E$4:$E$582,$A615&amp;" ضد "&amp;AL$586)+COUNTIF($E$4:$E$582,AL$586&amp;" ضد "&amp;$A615))</f>
        <v>0</v>
      </c>
      <c r="AM615" s="4">
        <f>IF($A615=AM$586,"",COUNTIF($E$4:$E$582,$A615&amp;" ضد "&amp;AM$586)+COUNTIF($E$4:$E$582,AM$586&amp;" ضد "&amp;$A615))</f>
        <v>0</v>
      </c>
      <c r="AN615" s="4">
        <f>IF($A615=AN$586,"",COUNTIF($E$4:$E$582,$A615&amp;" ضد "&amp;AN$586)+COUNTIF($E$4:$E$582,AN$586&amp;" ضد "&amp;$A615))</f>
        <v>0</v>
      </c>
      <c r="AO615" s="4">
        <f>IF($A615=AO$586,"",COUNTIF($E$4:$E$582,$A615&amp;" ضد "&amp;AO$586)+COUNTIF($E$4:$E$582,AO$586&amp;" ضد "&amp;$A615))</f>
        <v>0</v>
      </c>
      <c r="AP615" s="4">
        <f>IF($A615=AP$586,"",COUNTIF($E$4:$E$582,$A615&amp;" ضد "&amp;AP$586)+COUNTIF($E$4:$E$582,AP$586&amp;" ضد "&amp;$A615))</f>
        <v>0</v>
      </c>
      <c r="AQ615" s="4">
        <f>IF($A615=AQ$586,"",COUNTIF($E$4:$E$582,$A615&amp;" ضد "&amp;AQ$586)+COUNTIF($E$4:$E$582,AQ$586&amp;" ضد "&amp;$A615))</f>
        <v>0</v>
      </c>
      <c r="AR615" s="4">
        <f>IF($A615=AR$586,"",COUNTIF($E$4:$E$582,$A615&amp;" ضد "&amp;AR$586)+COUNTIF($E$4:$E$582,AR$586&amp;" ضد "&amp;$A615))</f>
        <v>0</v>
      </c>
      <c r="AS615" s="4">
        <f>IF($A615=AS$586,"",COUNTIF($E$4:$E$582,$A615&amp;" ضد "&amp;AS$586)+COUNTIF($E$4:$E$582,AS$586&amp;" ضد "&amp;$A615))</f>
        <v>0</v>
      </c>
      <c r="AT615" s="4">
        <f>IF($A615=AT$586,"",COUNTIF($E$4:$E$582,$A615&amp;" ضد "&amp;AT$586)+COUNTIF($E$4:$E$582,AT$586&amp;" ضد "&amp;$A615))</f>
        <v>0</v>
      </c>
      <c r="AU615" s="4">
        <f>IF($A615=AU$586,"",COUNTIF($E$4:$E$582,$A615&amp;" ضد "&amp;AU$586)+COUNTIF($E$4:$E$582,AU$586&amp;" ضد "&amp;$A615))</f>
        <v>0</v>
      </c>
      <c r="AV615" s="4">
        <f>IF($A615=AV$586,"",COUNTIF($E$4:$E$582,$A615&amp;" ضد "&amp;AV$586)+COUNTIF($E$4:$E$582,AV$586&amp;" ضد "&amp;$A615))</f>
        <v>0</v>
      </c>
      <c r="AW615" s="4">
        <f>IF($A615=AW$586,"",COUNTIF($E$4:$E$582,$A615&amp;" ضد "&amp;AW$586)+COUNTIF($E$4:$E$582,AW$586&amp;" ضد "&amp;$A615))</f>
        <v>0</v>
      </c>
      <c r="AX615" s="4">
        <f>IF($A615=AX$586,"",COUNTIF($E$4:$E$582,$A615&amp;" ضد "&amp;AX$586)+COUNTIF($E$4:$E$582,AX$586&amp;" ضد "&amp;$A615))</f>
        <v>0</v>
      </c>
      <c r="AY615" s="4">
        <f>IF($A615=AY$586,"",COUNTIF($E$4:$E$582,$A615&amp;" ضد "&amp;AY$586)+COUNTIF($E$4:$E$582,AY$586&amp;" ضد "&amp;$A615))</f>
        <v>0</v>
      </c>
      <c r="AZ615" s="4">
        <f>IF($A615=AZ$586,"",COUNTIF($E$4:$E$582,$A615&amp;" ضد "&amp;AZ$586)+COUNTIF($E$4:$E$582,AZ$586&amp;" ضد "&amp;$A615))</f>
        <v>0</v>
      </c>
      <c r="BA615" s="4">
        <f>IF($A615=BA$586,"",COUNTIF($E$4:$E$582,$A615&amp;" ضد "&amp;BA$586)+COUNTIF($E$4:$E$582,BA$586&amp;" ضد "&amp;$A615))</f>
        <v>0</v>
      </c>
      <c r="BB615" s="4">
        <f>IF($A615=BB$586,"",COUNTIF($E$4:$E$582,$A615&amp;" ضد "&amp;BB$586)+COUNTIF($E$4:$E$582,BB$586&amp;" ضد "&amp;$A615))</f>
        <v>0</v>
      </c>
      <c r="BC615" s="4">
        <f>IF($A615=BC$586,"",COUNTIF($E$4:$E$582,$A615&amp;" ضد "&amp;BC$586)+COUNTIF($E$4:$E$582,BC$586&amp;" ضد "&amp;$A615))</f>
        <v>0</v>
      </c>
      <c r="BD615" s="4">
        <f>IF($A615=BD$586,"",COUNTIF($E$4:$E$582,$A615&amp;" ضد "&amp;BD$586)+COUNTIF($E$4:$E$582,BD$586&amp;" ضد "&amp;$A615))</f>
        <v>0</v>
      </c>
      <c r="BE615" s="4">
        <f>IF($A615=BE$586,"",COUNTIF($E$4:$E$582,$A615&amp;" ضد "&amp;BE$586)+COUNTIF($E$4:$E$582,BE$586&amp;" ضد "&amp;$A615))</f>
        <v>0</v>
      </c>
      <c r="BF615" s="4">
        <f>IF($A615=BF$586,"",COUNTIF($E$4:$E$582,$A615&amp;" ضد "&amp;BF$586)+COUNTIF($E$4:$E$582,BF$586&amp;" ضد "&amp;$A615))</f>
        <v>0</v>
      </c>
      <c r="BG615" s="4">
        <f>IF($A615=BG$586,"",COUNTIF($E$4:$E$582,$A615&amp;" ضد "&amp;BG$586)+COUNTIF($E$4:$E$582,BG$586&amp;" ضد "&amp;$A615))</f>
        <v>0</v>
      </c>
      <c r="BH615" s="4">
        <f>IF($A615=BH$586,"",COUNTIF($E$4:$E$582,$A615&amp;" ضد "&amp;BH$586)+COUNTIF($E$4:$E$582,BH$586&amp;" ضد "&amp;$A615))</f>
        <v>0</v>
      </c>
      <c r="BI615" s="4">
        <f>IF($A615=BI$586,"",COUNTIF($E$4:$E$582,$A615&amp;" ضد "&amp;BI$586)+COUNTIF($E$4:$E$582,BI$586&amp;" ضد "&amp;$A615))</f>
        <v>0</v>
      </c>
      <c r="BJ615" s="4">
        <f>IF($A615=BJ$586,"",COUNTIF($E$4:$E$582,$A615&amp;" ضد "&amp;BJ$586)+COUNTIF($E$4:$E$582,BJ$586&amp;" ضد "&amp;$A615))</f>
        <v>0</v>
      </c>
      <c r="BK615" s="4">
        <f>IF($A615=BK$586,"",COUNTIF($E$4:$E$582,$A615&amp;" ضد "&amp;BK$586)+COUNTIF($E$4:$E$582,BK$586&amp;" ضد "&amp;$A615))</f>
        <v>0</v>
      </c>
      <c r="BL615" s="4">
        <f>IF($A615=BL$586,"",COUNTIF($E$4:$E$582,$A615&amp;" ضد "&amp;BL$586)+COUNTIF($E$4:$E$582,BL$586&amp;" ضد "&amp;$A615))</f>
        <v>0</v>
      </c>
      <c r="BM615" s="4">
        <f>IF($A615=BM$586,"",COUNTIF($E$4:$E$582,$A615&amp;" ضد "&amp;BM$586)+COUNTIF($E$4:$E$582,BM$586&amp;" ضد "&amp;$A615))</f>
        <v>0</v>
      </c>
    </row>
    <row r="616" spans="1:65" ht="14.5">
      <c r="A616" s="14">
        <v>30</v>
      </c>
      <c r="B616" s="4">
        <f>IF($A616=B$586,"",COUNTIF($E$4:$E$582,$A616&amp;" ضد "&amp;B$586)+COUNTIF($E$4:$E$582,B$586&amp;" ضد "&amp;$A616))</f>
        <v>0</v>
      </c>
      <c r="C616" s="4">
        <f>IF($A616=C$586,"",COUNTIF($E$4:$E$582,$A616&amp;" ضد "&amp;C$586)+COUNTIF($E$4:$E$582,C$586&amp;" ضد "&amp;$A616))</f>
        <v>0</v>
      </c>
      <c r="D616" s="4">
        <f>IF($A616=D$586,"",COUNTIF($E$4:$E$582,$A616&amp;" ضد "&amp;D$586)+COUNTIF($E$4:$E$582,D$586&amp;" ضد "&amp;$A616))</f>
        <v>0</v>
      </c>
      <c r="E616" s="4">
        <f>IF($A616=E$586,"",COUNTIF($E$4:$E$582,$A616&amp;" ضد "&amp;E$586)+COUNTIF($E$4:$E$582,E$586&amp;" ضد "&amp;$A616))</f>
        <v>0</v>
      </c>
      <c r="F616" s="4">
        <f>IF($A616=F$586,"",COUNTIF($E$4:$E$582,$A616&amp;" ضد "&amp;F$586)+COUNTIF($E$4:$E$582,F$586&amp;" ضد "&amp;$A616))</f>
        <v>0</v>
      </c>
      <c r="G616" s="4">
        <f>IF($A616=G$586,"",COUNTIF($E$4:$E$582,$A616&amp;" ضد "&amp;G$586)+COUNTIF($E$4:$E$582,G$586&amp;" ضد "&amp;$A616))</f>
        <v>0</v>
      </c>
      <c r="H616" s="4">
        <f>IF($A616=H$586,"",COUNTIF($E$4:$E$582,$A616&amp;" ضد "&amp;H$586)+COUNTIF($E$4:$E$582,H$586&amp;" ضد "&amp;$A616))</f>
        <v>0</v>
      </c>
      <c r="I616" s="4">
        <f>IF($A616=I$586,"",COUNTIF($E$4:$E$582,$A616&amp;" ضد "&amp;I$586)+COUNTIF($E$4:$E$582,I$586&amp;" ضد "&amp;$A616))</f>
        <v>0</v>
      </c>
      <c r="J616" s="4">
        <f>IF($A616=J$586,"",COUNTIF($E$4:$E$582,$A616&amp;" ضد "&amp;J$586)+COUNTIF($E$4:$E$582,J$586&amp;" ضد "&amp;$A616))</f>
        <v>0</v>
      </c>
      <c r="K616" s="4">
        <f>IF($A616=K$586,"",COUNTIF($E$4:$E$582,$A616&amp;" ضد "&amp;K$586)+COUNTIF($E$4:$E$582,K$586&amp;" ضد "&amp;$A616))</f>
        <v>0</v>
      </c>
      <c r="L616" s="4">
        <f>IF($A616=L$586,"",COUNTIF($E$4:$E$582,$A616&amp;" ضد "&amp;L$586)+COUNTIF($E$4:$E$582,L$586&amp;" ضد "&amp;$A616))</f>
        <v>0</v>
      </c>
      <c r="M616" s="4">
        <f>IF($A616=M$586,"",COUNTIF($E$4:$E$582,$A616&amp;" ضد "&amp;M$586)+COUNTIF($E$4:$E$582,M$586&amp;" ضد "&amp;$A616))</f>
        <v>0</v>
      </c>
      <c r="N616" s="4">
        <f>IF($A616=N$586,"",COUNTIF($E$4:$E$582,$A616&amp;" ضد "&amp;N$586)+COUNTIF($E$4:$E$582,N$586&amp;" ضد "&amp;$A616))</f>
        <v>0</v>
      </c>
      <c r="O616" s="4">
        <f>IF($A616=O$586,"",COUNTIF($E$4:$E$582,$A616&amp;" ضد "&amp;O$586)+COUNTIF($E$4:$E$582,O$586&amp;" ضد "&amp;$A616))</f>
        <v>0</v>
      </c>
      <c r="P616" s="4">
        <f>IF($A616=P$586,"",COUNTIF($E$4:$E$582,$A616&amp;" ضد "&amp;P$586)+COUNTIF($E$4:$E$582,P$586&amp;" ضد "&amp;$A616))</f>
        <v>0</v>
      </c>
      <c r="Q616" s="4">
        <f>IF($A616=Q$586,"",COUNTIF($E$4:$E$582,$A616&amp;" ضد "&amp;Q$586)+COUNTIF($E$4:$E$582,Q$586&amp;" ضد "&amp;$A616))</f>
        <v>0</v>
      </c>
      <c r="R616" s="4">
        <f>IF($A616=R$586,"",COUNTIF($E$4:$E$582,$A616&amp;" ضد "&amp;R$586)+COUNTIF($E$4:$E$582,R$586&amp;" ضد "&amp;$A616))</f>
        <v>2</v>
      </c>
      <c r="S616" s="4">
        <f>IF($A616=S$586,"",COUNTIF($E$4:$E$582,$A616&amp;" ضد "&amp;S$586)+COUNTIF($E$4:$E$582,S$586&amp;" ضد "&amp;$A616))</f>
        <v>1</v>
      </c>
      <c r="T616" s="4">
        <f>IF($A616=T$586,"",COUNTIF($E$4:$E$582,$A616&amp;" ضد "&amp;T$586)+COUNTIF($E$4:$E$582,T$586&amp;" ضد "&amp;$A616))</f>
        <v>2</v>
      </c>
      <c r="U616" s="4">
        <f>IF($A616=U$586,"",COUNTIF($E$4:$E$582,$A616&amp;" ضد "&amp;U$586)+COUNTIF($E$4:$E$582,U$586&amp;" ضد "&amp;$A616))</f>
        <v>1</v>
      </c>
      <c r="V616" s="4">
        <f>IF($A616=V$586,"",COUNTIF($E$4:$E$582,$A616&amp;" ضد "&amp;V$586)+COUNTIF($E$4:$E$582,V$586&amp;" ضد "&amp;$A616))</f>
        <v>1</v>
      </c>
      <c r="W616" s="4">
        <f>IF($A616=W$586,"",COUNTIF($E$4:$E$582,$A616&amp;" ضد "&amp;W$586)+COUNTIF($E$4:$E$582,W$586&amp;" ضد "&amp;$A616))</f>
        <v>1</v>
      </c>
      <c r="X616" s="4">
        <f>IF($A616=X$586,"",COUNTIF($E$4:$E$582,$A616&amp;" ضد "&amp;X$586)+COUNTIF($E$4:$E$582,X$586&amp;" ضد "&amp;$A616))</f>
        <v>1</v>
      </c>
      <c r="Y616" s="4">
        <f>IF($A616=Y$586,"",COUNTIF($E$4:$E$582,$A616&amp;" ضد "&amp;Y$586)+COUNTIF($E$4:$E$582,Y$586&amp;" ضد "&amp;$A616))</f>
        <v>1</v>
      </c>
      <c r="Z616" s="4">
        <f>IF($A616=Z$586,"",COUNTIF($E$4:$E$582,$A616&amp;" ضد "&amp;Z$586)+COUNTIF($E$4:$E$582,Z$586&amp;" ضد "&amp;$A616))</f>
        <v>1</v>
      </c>
      <c r="AA616" s="4">
        <f>IF($A616=AA$586,"",COUNTIF($E$4:$E$582,$A616&amp;" ضد "&amp;AA$586)+COUNTIF($E$4:$E$582,AA$586&amp;" ضد "&amp;$A616))</f>
        <v>1</v>
      </c>
      <c r="AB616" s="4">
        <f>IF($A616=AB$586,"",COUNTIF($E$4:$E$582,$A616&amp;" ضد "&amp;AB$586)+COUNTIF($E$4:$E$582,AB$586&amp;" ضد "&amp;$A616))</f>
        <v>1</v>
      </c>
      <c r="AC616" s="4">
        <f>IF($A616=AC$586,"",COUNTIF($E$4:$E$582,$A616&amp;" ضد "&amp;AC$586)+COUNTIF($E$4:$E$582,AC$586&amp;" ضد "&amp;$A616))</f>
        <v>1</v>
      </c>
      <c r="AD616" s="4">
        <f>IF($A616=AD$586,"",COUNTIF($E$4:$E$582,$A616&amp;" ضد "&amp;AD$586)+COUNTIF($E$4:$E$582,AD$586&amp;" ضد "&amp;$A616))</f>
        <v>1</v>
      </c>
      <c r="AE616" s="4" t="str">
        <f>IF($A616=AE$586,"",COUNTIF($E$4:$E$582,$A616&amp;" ضد "&amp;AE$586)+COUNTIF($E$4:$E$582,AE$586&amp;" ضد "&amp;$A616))</f>
        <v/>
      </c>
      <c r="AF616" s="4">
        <f>IF($A616=AF$586,"",COUNTIF($E$4:$E$582,$A616&amp;" ضد "&amp;AF$586)+COUNTIF($E$4:$E$582,AF$586&amp;" ضد "&amp;$A616))</f>
        <v>1</v>
      </c>
      <c r="AG616" s="4">
        <f>IF($A616=AG$586,"",COUNTIF($E$4:$E$582,$A616&amp;" ضد "&amp;AG$586)+COUNTIF($E$4:$E$582,AG$586&amp;" ضد "&amp;$A616))</f>
        <v>2</v>
      </c>
      <c r="AH616" s="4">
        <f>IF($A616=AH$586,"",COUNTIF($E$4:$E$582,$A616&amp;" ضد "&amp;AH$586)+COUNTIF($E$4:$E$582,AH$586&amp;" ضد "&amp;$A616))</f>
        <v>0</v>
      </c>
      <c r="AI616" s="4">
        <f>IF($A616=AI$586,"",COUNTIF($E$4:$E$582,$A616&amp;" ضد "&amp;AI$586)+COUNTIF($E$4:$E$582,AI$586&amp;" ضد "&amp;$A616))</f>
        <v>0</v>
      </c>
      <c r="AJ616" s="4">
        <f>IF($A616=AJ$586,"",COUNTIF($E$4:$E$582,$A616&amp;" ضد "&amp;AJ$586)+COUNTIF($E$4:$E$582,AJ$586&amp;" ضد "&amp;$A616))</f>
        <v>0</v>
      </c>
      <c r="AK616" s="4">
        <f>IF($A616=AK$586,"",COUNTIF($E$4:$E$582,$A616&amp;" ضد "&amp;AK$586)+COUNTIF($E$4:$E$582,AK$586&amp;" ضد "&amp;$A616))</f>
        <v>0</v>
      </c>
      <c r="AL616" s="4">
        <f>IF($A616=AL$586,"",COUNTIF($E$4:$E$582,$A616&amp;" ضد "&amp;AL$586)+COUNTIF($E$4:$E$582,AL$586&amp;" ضد "&amp;$A616))</f>
        <v>0</v>
      </c>
      <c r="AM616" s="4">
        <f>IF($A616=AM$586,"",COUNTIF($E$4:$E$582,$A616&amp;" ضد "&amp;AM$586)+COUNTIF($E$4:$E$582,AM$586&amp;" ضد "&amp;$A616))</f>
        <v>0</v>
      </c>
      <c r="AN616" s="4">
        <f>IF($A616=AN$586,"",COUNTIF($E$4:$E$582,$A616&amp;" ضد "&amp;AN$586)+COUNTIF($E$4:$E$582,AN$586&amp;" ضد "&amp;$A616))</f>
        <v>0</v>
      </c>
      <c r="AO616" s="4">
        <f>IF($A616=AO$586,"",COUNTIF($E$4:$E$582,$A616&amp;" ضد "&amp;AO$586)+COUNTIF($E$4:$E$582,AO$586&amp;" ضد "&amp;$A616))</f>
        <v>0</v>
      </c>
      <c r="AP616" s="4">
        <f>IF($A616=AP$586,"",COUNTIF($E$4:$E$582,$A616&amp;" ضد "&amp;AP$586)+COUNTIF($E$4:$E$582,AP$586&amp;" ضد "&amp;$A616))</f>
        <v>0</v>
      </c>
      <c r="AQ616" s="4">
        <f>IF($A616=AQ$586,"",COUNTIF($E$4:$E$582,$A616&amp;" ضد "&amp;AQ$586)+COUNTIF($E$4:$E$582,AQ$586&amp;" ضد "&amp;$A616))</f>
        <v>0</v>
      </c>
      <c r="AR616" s="4">
        <f>IF($A616=AR$586,"",COUNTIF($E$4:$E$582,$A616&amp;" ضد "&amp;AR$586)+COUNTIF($E$4:$E$582,AR$586&amp;" ضد "&amp;$A616))</f>
        <v>0</v>
      </c>
      <c r="AS616" s="4">
        <f>IF($A616=AS$586,"",COUNTIF($E$4:$E$582,$A616&amp;" ضد "&amp;AS$586)+COUNTIF($E$4:$E$582,AS$586&amp;" ضد "&amp;$A616))</f>
        <v>0</v>
      </c>
      <c r="AT616" s="4">
        <f>IF($A616=AT$586,"",COUNTIF($E$4:$E$582,$A616&amp;" ضد "&amp;AT$586)+COUNTIF($E$4:$E$582,AT$586&amp;" ضد "&amp;$A616))</f>
        <v>0</v>
      </c>
      <c r="AU616" s="4">
        <f>IF($A616=AU$586,"",COUNTIF($E$4:$E$582,$A616&amp;" ضد "&amp;AU$586)+COUNTIF($E$4:$E$582,AU$586&amp;" ضد "&amp;$A616))</f>
        <v>0</v>
      </c>
      <c r="AV616" s="4">
        <f>IF($A616=AV$586,"",COUNTIF($E$4:$E$582,$A616&amp;" ضد "&amp;AV$586)+COUNTIF($E$4:$E$582,AV$586&amp;" ضد "&amp;$A616))</f>
        <v>0</v>
      </c>
      <c r="AW616" s="4">
        <f>IF($A616=AW$586,"",COUNTIF($E$4:$E$582,$A616&amp;" ضد "&amp;AW$586)+COUNTIF($E$4:$E$582,AW$586&amp;" ضد "&amp;$A616))</f>
        <v>0</v>
      </c>
      <c r="AX616" s="4">
        <f>IF($A616=AX$586,"",COUNTIF($E$4:$E$582,$A616&amp;" ضد "&amp;AX$586)+COUNTIF($E$4:$E$582,AX$586&amp;" ضد "&amp;$A616))</f>
        <v>0</v>
      </c>
      <c r="AY616" s="4">
        <f>IF($A616=AY$586,"",COUNTIF($E$4:$E$582,$A616&amp;" ضد "&amp;AY$586)+COUNTIF($E$4:$E$582,AY$586&amp;" ضد "&amp;$A616))</f>
        <v>0</v>
      </c>
      <c r="AZ616" s="4">
        <f>IF($A616=AZ$586,"",COUNTIF($E$4:$E$582,$A616&amp;" ضد "&amp;AZ$586)+COUNTIF($E$4:$E$582,AZ$586&amp;" ضد "&amp;$A616))</f>
        <v>0</v>
      </c>
      <c r="BA616" s="4">
        <f>IF($A616=BA$586,"",COUNTIF($E$4:$E$582,$A616&amp;" ضد "&amp;BA$586)+COUNTIF($E$4:$E$582,BA$586&amp;" ضد "&amp;$A616))</f>
        <v>0</v>
      </c>
      <c r="BB616" s="4">
        <f>IF($A616=BB$586,"",COUNTIF($E$4:$E$582,$A616&amp;" ضد "&amp;BB$586)+COUNTIF($E$4:$E$582,BB$586&amp;" ضد "&amp;$A616))</f>
        <v>0</v>
      </c>
      <c r="BC616" s="4">
        <f>IF($A616=BC$586,"",COUNTIF($E$4:$E$582,$A616&amp;" ضد "&amp;BC$586)+COUNTIF($E$4:$E$582,BC$586&amp;" ضد "&amp;$A616))</f>
        <v>0</v>
      </c>
      <c r="BD616" s="4">
        <f>IF($A616=BD$586,"",COUNTIF($E$4:$E$582,$A616&amp;" ضد "&amp;BD$586)+COUNTIF($E$4:$E$582,BD$586&amp;" ضد "&amp;$A616))</f>
        <v>0</v>
      </c>
      <c r="BE616" s="4">
        <f>IF($A616=BE$586,"",COUNTIF($E$4:$E$582,$A616&amp;" ضد "&amp;BE$586)+COUNTIF($E$4:$E$582,BE$586&amp;" ضد "&amp;$A616))</f>
        <v>0</v>
      </c>
      <c r="BF616" s="4">
        <f>IF($A616=BF$586,"",COUNTIF($E$4:$E$582,$A616&amp;" ضد "&amp;BF$586)+COUNTIF($E$4:$E$582,BF$586&amp;" ضد "&amp;$A616))</f>
        <v>0</v>
      </c>
      <c r="BG616" s="4">
        <f>IF($A616=BG$586,"",COUNTIF($E$4:$E$582,$A616&amp;" ضد "&amp;BG$586)+COUNTIF($E$4:$E$582,BG$586&amp;" ضد "&amp;$A616))</f>
        <v>0</v>
      </c>
      <c r="BH616" s="4">
        <f>IF($A616=BH$586,"",COUNTIF($E$4:$E$582,$A616&amp;" ضد "&amp;BH$586)+COUNTIF($E$4:$E$582,BH$586&amp;" ضد "&amp;$A616))</f>
        <v>0</v>
      </c>
      <c r="BI616" s="4">
        <f>IF($A616=BI$586,"",COUNTIF($E$4:$E$582,$A616&amp;" ضد "&amp;BI$586)+COUNTIF($E$4:$E$582,BI$586&amp;" ضد "&amp;$A616))</f>
        <v>0</v>
      </c>
      <c r="BJ616" s="4">
        <f>IF($A616=BJ$586,"",COUNTIF($E$4:$E$582,$A616&amp;" ضد "&amp;BJ$586)+COUNTIF($E$4:$E$582,BJ$586&amp;" ضد "&amp;$A616))</f>
        <v>0</v>
      </c>
      <c r="BK616" s="4">
        <f>IF($A616=BK$586,"",COUNTIF($E$4:$E$582,$A616&amp;" ضد "&amp;BK$586)+COUNTIF($E$4:$E$582,BK$586&amp;" ضد "&amp;$A616))</f>
        <v>0</v>
      </c>
      <c r="BL616" s="4">
        <f>IF($A616=BL$586,"",COUNTIF($E$4:$E$582,$A616&amp;" ضد "&amp;BL$586)+COUNTIF($E$4:$E$582,BL$586&amp;" ضد "&amp;$A616))</f>
        <v>0</v>
      </c>
      <c r="BM616" s="4">
        <f>IF($A616=BM$586,"",COUNTIF($E$4:$E$582,$A616&amp;" ضد "&amp;BM$586)+COUNTIF($E$4:$E$582,BM$586&amp;" ضد "&amp;$A616))</f>
        <v>0</v>
      </c>
    </row>
    <row r="617" spans="1:65" ht="14.5">
      <c r="A617" s="14">
        <v>31</v>
      </c>
      <c r="B617" s="4">
        <f>IF($A617=B$586,"",COUNTIF($E$4:$E$582,$A617&amp;" ضد "&amp;B$586)+COUNTIF($E$4:$E$582,B$586&amp;" ضد "&amp;$A617))</f>
        <v>0</v>
      </c>
      <c r="C617" s="4">
        <f>IF($A617=C$586,"",COUNTIF($E$4:$E$582,$A617&amp;" ضد "&amp;C$586)+COUNTIF($E$4:$E$582,C$586&amp;" ضد "&amp;$A617))</f>
        <v>0</v>
      </c>
      <c r="D617" s="4">
        <f>IF($A617=D$586,"",COUNTIF($E$4:$E$582,$A617&amp;" ضد "&amp;D$586)+COUNTIF($E$4:$E$582,D$586&amp;" ضد "&amp;$A617))</f>
        <v>0</v>
      </c>
      <c r="E617" s="4">
        <f>IF($A617=E$586,"",COUNTIF($E$4:$E$582,$A617&amp;" ضد "&amp;E$586)+COUNTIF($E$4:$E$582,E$586&amp;" ضد "&amp;$A617))</f>
        <v>0</v>
      </c>
      <c r="F617" s="4">
        <f>IF($A617=F$586,"",COUNTIF($E$4:$E$582,$A617&amp;" ضد "&amp;F$586)+COUNTIF($E$4:$E$582,F$586&amp;" ضد "&amp;$A617))</f>
        <v>0</v>
      </c>
      <c r="G617" s="4">
        <f>IF($A617=G$586,"",COUNTIF($E$4:$E$582,$A617&amp;" ضد "&amp;G$586)+COUNTIF($E$4:$E$582,G$586&amp;" ضد "&amp;$A617))</f>
        <v>0</v>
      </c>
      <c r="H617" s="4">
        <f>IF($A617=H$586,"",COUNTIF($E$4:$E$582,$A617&amp;" ضد "&amp;H$586)+COUNTIF($E$4:$E$582,H$586&amp;" ضد "&amp;$A617))</f>
        <v>0</v>
      </c>
      <c r="I617" s="4">
        <f>IF($A617=I$586,"",COUNTIF($E$4:$E$582,$A617&amp;" ضد "&amp;I$586)+COUNTIF($E$4:$E$582,I$586&amp;" ضد "&amp;$A617))</f>
        <v>0</v>
      </c>
      <c r="J617" s="4">
        <f>IF($A617=J$586,"",COUNTIF($E$4:$E$582,$A617&amp;" ضد "&amp;J$586)+COUNTIF($E$4:$E$582,J$586&amp;" ضد "&amp;$A617))</f>
        <v>0</v>
      </c>
      <c r="K617" s="4">
        <f>IF($A617=K$586,"",COUNTIF($E$4:$E$582,$A617&amp;" ضد "&amp;K$586)+COUNTIF($E$4:$E$582,K$586&amp;" ضد "&amp;$A617))</f>
        <v>0</v>
      </c>
      <c r="L617" s="4">
        <f>IF($A617=L$586,"",COUNTIF($E$4:$E$582,$A617&amp;" ضد "&amp;L$586)+COUNTIF($E$4:$E$582,L$586&amp;" ضد "&amp;$A617))</f>
        <v>0</v>
      </c>
      <c r="M617" s="4">
        <f>IF($A617=M$586,"",COUNTIF($E$4:$E$582,$A617&amp;" ضد "&amp;M$586)+COUNTIF($E$4:$E$582,M$586&amp;" ضد "&amp;$A617))</f>
        <v>0</v>
      </c>
      <c r="N617" s="4">
        <f>IF($A617=N$586,"",COUNTIF($E$4:$E$582,$A617&amp;" ضد "&amp;N$586)+COUNTIF($E$4:$E$582,N$586&amp;" ضد "&amp;$A617))</f>
        <v>0</v>
      </c>
      <c r="O617" s="4">
        <f>IF($A617=O$586,"",COUNTIF($E$4:$E$582,$A617&amp;" ضد "&amp;O$586)+COUNTIF($E$4:$E$582,O$586&amp;" ضد "&amp;$A617))</f>
        <v>0</v>
      </c>
      <c r="P617" s="4">
        <f>IF($A617=P$586,"",COUNTIF($E$4:$E$582,$A617&amp;" ضد "&amp;P$586)+COUNTIF($E$4:$E$582,P$586&amp;" ضد "&amp;$A617))</f>
        <v>0</v>
      </c>
      <c r="Q617" s="4">
        <f>IF($A617=Q$586,"",COUNTIF($E$4:$E$582,$A617&amp;" ضد "&amp;Q$586)+COUNTIF($E$4:$E$582,Q$586&amp;" ضد "&amp;$A617))</f>
        <v>0</v>
      </c>
      <c r="R617" s="4">
        <f>IF($A617=R$586,"",COUNTIF($E$4:$E$582,$A617&amp;" ضد "&amp;R$586)+COUNTIF($E$4:$E$582,R$586&amp;" ضد "&amp;$A617))</f>
        <v>2</v>
      </c>
      <c r="S617" s="4">
        <f>IF($A617=S$586,"",COUNTIF($E$4:$E$582,$A617&amp;" ضد "&amp;S$586)+COUNTIF($E$4:$E$582,S$586&amp;" ضد "&amp;$A617))</f>
        <v>2</v>
      </c>
      <c r="T617" s="4">
        <f>IF($A617=T$586,"",COUNTIF($E$4:$E$582,$A617&amp;" ضد "&amp;T$586)+COUNTIF($E$4:$E$582,T$586&amp;" ضد "&amp;$A617))</f>
        <v>1</v>
      </c>
      <c r="U617" s="4">
        <f>IF($A617=U$586,"",COUNTIF($E$4:$E$582,$A617&amp;" ضد "&amp;U$586)+COUNTIF($E$4:$E$582,U$586&amp;" ضد "&amp;$A617))</f>
        <v>1</v>
      </c>
      <c r="V617" s="4">
        <f>IF($A617=V$586,"",COUNTIF($E$4:$E$582,$A617&amp;" ضد "&amp;V$586)+COUNTIF($E$4:$E$582,V$586&amp;" ضد "&amp;$A617))</f>
        <v>1</v>
      </c>
      <c r="W617" s="4">
        <f>IF($A617=W$586,"",COUNTIF($E$4:$E$582,$A617&amp;" ضد "&amp;W$586)+COUNTIF($E$4:$E$582,W$586&amp;" ضد "&amp;$A617))</f>
        <v>1</v>
      </c>
      <c r="X617" s="4">
        <f>IF($A617=X$586,"",COUNTIF($E$4:$E$582,$A617&amp;" ضد "&amp;X$586)+COUNTIF($E$4:$E$582,X$586&amp;" ضد "&amp;$A617))</f>
        <v>1</v>
      </c>
      <c r="Y617" s="4">
        <f>IF($A617=Y$586,"",COUNTIF($E$4:$E$582,$A617&amp;" ضد "&amp;Y$586)+COUNTIF($E$4:$E$582,Y$586&amp;" ضد "&amp;$A617))</f>
        <v>1</v>
      </c>
      <c r="Z617" s="4">
        <f>IF($A617=Z$586,"",COUNTIF($E$4:$E$582,$A617&amp;" ضد "&amp;Z$586)+COUNTIF($E$4:$E$582,Z$586&amp;" ضد "&amp;$A617))</f>
        <v>1</v>
      </c>
      <c r="AA617" s="4">
        <f>IF($A617=AA$586,"",COUNTIF($E$4:$E$582,$A617&amp;" ضد "&amp;AA$586)+COUNTIF($E$4:$E$582,AA$586&amp;" ضد "&amp;$A617))</f>
        <v>1</v>
      </c>
      <c r="AB617" s="4">
        <f>IF($A617=AB$586,"",COUNTIF($E$4:$E$582,$A617&amp;" ضد "&amp;AB$586)+COUNTIF($E$4:$E$582,AB$586&amp;" ضد "&amp;$A617))</f>
        <v>1</v>
      </c>
      <c r="AC617" s="4">
        <f>IF($A617=AC$586,"",COUNTIF($E$4:$E$582,$A617&amp;" ضد "&amp;AC$586)+COUNTIF($E$4:$E$582,AC$586&amp;" ضد "&amp;$A617))</f>
        <v>1</v>
      </c>
      <c r="AD617" s="4">
        <f>IF($A617=AD$586,"",COUNTIF($E$4:$E$582,$A617&amp;" ضد "&amp;AD$586)+COUNTIF($E$4:$E$582,AD$586&amp;" ضد "&amp;$A617))</f>
        <v>2</v>
      </c>
      <c r="AE617" s="4">
        <f>IF($A617=AE$586,"",COUNTIF($E$4:$E$582,$A617&amp;" ضد "&amp;AE$586)+COUNTIF($E$4:$E$582,AE$586&amp;" ضد "&amp;$A617))</f>
        <v>1</v>
      </c>
      <c r="AF617" s="4" t="str">
        <f>IF($A617=AF$586,"",COUNTIF($E$4:$E$582,$A617&amp;" ضد "&amp;AF$586)+COUNTIF($E$4:$E$582,AF$586&amp;" ضد "&amp;$A617))</f>
        <v/>
      </c>
      <c r="AG617" s="4">
        <f>IF($A617=AG$586,"",COUNTIF($E$4:$E$582,$A617&amp;" ضد "&amp;AG$586)+COUNTIF($E$4:$E$582,AG$586&amp;" ضد "&amp;$A617))</f>
        <v>1</v>
      </c>
      <c r="AH617" s="4">
        <f>IF($A617=AH$586,"",COUNTIF($E$4:$E$582,$A617&amp;" ضد "&amp;AH$586)+COUNTIF($E$4:$E$582,AH$586&amp;" ضد "&amp;$A617))</f>
        <v>0</v>
      </c>
      <c r="AI617" s="4">
        <f>IF($A617=AI$586,"",COUNTIF($E$4:$E$582,$A617&amp;" ضد "&amp;AI$586)+COUNTIF($E$4:$E$582,AI$586&amp;" ضد "&amp;$A617))</f>
        <v>0</v>
      </c>
      <c r="AJ617" s="4">
        <f>IF($A617=AJ$586,"",COUNTIF($E$4:$E$582,$A617&amp;" ضد "&amp;AJ$586)+COUNTIF($E$4:$E$582,AJ$586&amp;" ضد "&amp;$A617))</f>
        <v>0</v>
      </c>
      <c r="AK617" s="4">
        <f>IF($A617=AK$586,"",COUNTIF($E$4:$E$582,$A617&amp;" ضد "&amp;AK$586)+COUNTIF($E$4:$E$582,AK$586&amp;" ضد "&amp;$A617))</f>
        <v>0</v>
      </c>
      <c r="AL617" s="4">
        <f>IF($A617=AL$586,"",COUNTIF($E$4:$E$582,$A617&amp;" ضد "&amp;AL$586)+COUNTIF($E$4:$E$582,AL$586&amp;" ضد "&amp;$A617))</f>
        <v>0</v>
      </c>
      <c r="AM617" s="4">
        <f>IF($A617=AM$586,"",COUNTIF($E$4:$E$582,$A617&amp;" ضد "&amp;AM$586)+COUNTIF($E$4:$E$582,AM$586&amp;" ضد "&amp;$A617))</f>
        <v>0</v>
      </c>
      <c r="AN617" s="4">
        <f>IF($A617=AN$586,"",COUNTIF($E$4:$E$582,$A617&amp;" ضد "&amp;AN$586)+COUNTIF($E$4:$E$582,AN$586&amp;" ضد "&amp;$A617))</f>
        <v>0</v>
      </c>
      <c r="AO617" s="4">
        <f>IF($A617=AO$586,"",COUNTIF($E$4:$E$582,$A617&amp;" ضد "&amp;AO$586)+COUNTIF($E$4:$E$582,AO$586&amp;" ضد "&amp;$A617))</f>
        <v>0</v>
      </c>
      <c r="AP617" s="4">
        <f>IF($A617=AP$586,"",COUNTIF($E$4:$E$582,$A617&amp;" ضد "&amp;AP$586)+COUNTIF($E$4:$E$582,AP$586&amp;" ضد "&amp;$A617))</f>
        <v>0</v>
      </c>
      <c r="AQ617" s="4">
        <f>IF($A617=AQ$586,"",COUNTIF($E$4:$E$582,$A617&amp;" ضد "&amp;AQ$586)+COUNTIF($E$4:$E$582,AQ$586&amp;" ضد "&amp;$A617))</f>
        <v>0</v>
      </c>
      <c r="AR617" s="4">
        <f>IF($A617=AR$586,"",COUNTIF($E$4:$E$582,$A617&amp;" ضد "&amp;AR$586)+COUNTIF($E$4:$E$582,AR$586&amp;" ضد "&amp;$A617))</f>
        <v>0</v>
      </c>
      <c r="AS617" s="4">
        <f>IF($A617=AS$586,"",COUNTIF($E$4:$E$582,$A617&amp;" ضد "&amp;AS$586)+COUNTIF($E$4:$E$582,AS$586&amp;" ضد "&amp;$A617))</f>
        <v>0</v>
      </c>
      <c r="AT617" s="4">
        <f>IF($A617=AT$586,"",COUNTIF($E$4:$E$582,$A617&amp;" ضد "&amp;AT$586)+COUNTIF($E$4:$E$582,AT$586&amp;" ضد "&amp;$A617))</f>
        <v>0</v>
      </c>
      <c r="AU617" s="4">
        <f>IF($A617=AU$586,"",COUNTIF($E$4:$E$582,$A617&amp;" ضد "&amp;AU$586)+COUNTIF($E$4:$E$582,AU$586&amp;" ضد "&amp;$A617))</f>
        <v>0</v>
      </c>
      <c r="AV617" s="4">
        <f>IF($A617=AV$586,"",COUNTIF($E$4:$E$582,$A617&amp;" ضد "&amp;AV$586)+COUNTIF($E$4:$E$582,AV$586&amp;" ضد "&amp;$A617))</f>
        <v>0</v>
      </c>
      <c r="AW617" s="4">
        <f>IF($A617=AW$586,"",COUNTIF($E$4:$E$582,$A617&amp;" ضد "&amp;AW$586)+COUNTIF($E$4:$E$582,AW$586&amp;" ضد "&amp;$A617))</f>
        <v>0</v>
      </c>
      <c r="AX617" s="4">
        <f>IF($A617=AX$586,"",COUNTIF($E$4:$E$582,$A617&amp;" ضد "&amp;AX$586)+COUNTIF($E$4:$E$582,AX$586&amp;" ضد "&amp;$A617))</f>
        <v>0</v>
      </c>
      <c r="AY617" s="4">
        <f>IF($A617=AY$586,"",COUNTIF($E$4:$E$582,$A617&amp;" ضد "&amp;AY$586)+COUNTIF($E$4:$E$582,AY$586&amp;" ضد "&amp;$A617))</f>
        <v>0</v>
      </c>
      <c r="AZ617" s="4">
        <f>IF($A617=AZ$586,"",COUNTIF($E$4:$E$582,$A617&amp;" ضد "&amp;AZ$586)+COUNTIF($E$4:$E$582,AZ$586&amp;" ضد "&amp;$A617))</f>
        <v>0</v>
      </c>
      <c r="BA617" s="4">
        <f>IF($A617=BA$586,"",COUNTIF($E$4:$E$582,$A617&amp;" ضد "&amp;BA$586)+COUNTIF($E$4:$E$582,BA$586&amp;" ضد "&amp;$A617))</f>
        <v>0</v>
      </c>
      <c r="BB617" s="4">
        <f>IF($A617=BB$586,"",COUNTIF($E$4:$E$582,$A617&amp;" ضد "&amp;BB$586)+COUNTIF($E$4:$E$582,BB$586&amp;" ضد "&amp;$A617))</f>
        <v>0</v>
      </c>
      <c r="BC617" s="4">
        <f>IF($A617=BC$586,"",COUNTIF($E$4:$E$582,$A617&amp;" ضد "&amp;BC$586)+COUNTIF($E$4:$E$582,BC$586&amp;" ضد "&amp;$A617))</f>
        <v>0</v>
      </c>
      <c r="BD617" s="4">
        <f>IF($A617=BD$586,"",COUNTIF($E$4:$E$582,$A617&amp;" ضد "&amp;BD$586)+COUNTIF($E$4:$E$582,BD$586&amp;" ضد "&amp;$A617))</f>
        <v>0</v>
      </c>
      <c r="BE617" s="4">
        <f>IF($A617=BE$586,"",COUNTIF($E$4:$E$582,$A617&amp;" ضد "&amp;BE$586)+COUNTIF($E$4:$E$582,BE$586&amp;" ضد "&amp;$A617))</f>
        <v>0</v>
      </c>
      <c r="BF617" s="4">
        <f>IF($A617=BF$586,"",COUNTIF($E$4:$E$582,$A617&amp;" ضد "&amp;BF$586)+COUNTIF($E$4:$E$582,BF$586&amp;" ضد "&amp;$A617))</f>
        <v>0</v>
      </c>
      <c r="BG617" s="4">
        <f>IF($A617=BG$586,"",COUNTIF($E$4:$E$582,$A617&amp;" ضد "&amp;BG$586)+COUNTIF($E$4:$E$582,BG$586&amp;" ضد "&amp;$A617))</f>
        <v>0</v>
      </c>
      <c r="BH617" s="4">
        <f>IF($A617=BH$586,"",COUNTIF($E$4:$E$582,$A617&amp;" ضد "&amp;BH$586)+COUNTIF($E$4:$E$582,BH$586&amp;" ضد "&amp;$A617))</f>
        <v>0</v>
      </c>
      <c r="BI617" s="4">
        <f>IF($A617=BI$586,"",COUNTIF($E$4:$E$582,$A617&amp;" ضد "&amp;BI$586)+COUNTIF($E$4:$E$582,BI$586&amp;" ضد "&amp;$A617))</f>
        <v>0</v>
      </c>
      <c r="BJ617" s="4">
        <f>IF($A617=BJ$586,"",COUNTIF($E$4:$E$582,$A617&amp;" ضد "&amp;BJ$586)+COUNTIF($E$4:$E$582,BJ$586&amp;" ضد "&amp;$A617))</f>
        <v>0</v>
      </c>
      <c r="BK617" s="4">
        <f>IF($A617=BK$586,"",COUNTIF($E$4:$E$582,$A617&amp;" ضد "&amp;BK$586)+COUNTIF($E$4:$E$582,BK$586&amp;" ضد "&amp;$A617))</f>
        <v>0</v>
      </c>
      <c r="BL617" s="4">
        <f>IF($A617=BL$586,"",COUNTIF($E$4:$E$582,$A617&amp;" ضد "&amp;BL$586)+COUNTIF($E$4:$E$582,BL$586&amp;" ضد "&amp;$A617))</f>
        <v>0</v>
      </c>
      <c r="BM617" s="4">
        <f>IF($A617=BM$586,"",COUNTIF($E$4:$E$582,$A617&amp;" ضد "&amp;BM$586)+COUNTIF($E$4:$E$582,BM$586&amp;" ضد "&amp;$A617))</f>
        <v>0</v>
      </c>
    </row>
    <row r="618" spans="1:65" ht="14.5">
      <c r="A618" s="14">
        <v>32</v>
      </c>
      <c r="B618" s="4">
        <f>IF($A618=B$586,"",COUNTIF($E$4:$E$582,$A618&amp;" ضد "&amp;B$586)+COUNTIF($E$4:$E$582,B$586&amp;" ضد "&amp;$A618))</f>
        <v>0</v>
      </c>
      <c r="C618" s="4">
        <f>IF($A618=C$586,"",COUNTIF($E$4:$E$582,$A618&amp;" ضد "&amp;C$586)+COUNTIF($E$4:$E$582,C$586&amp;" ضد "&amp;$A618))</f>
        <v>0</v>
      </c>
      <c r="D618" s="4">
        <f>IF($A618=D$586,"",COUNTIF($E$4:$E$582,$A618&amp;" ضد "&amp;D$586)+COUNTIF($E$4:$E$582,D$586&amp;" ضد "&amp;$A618))</f>
        <v>0</v>
      </c>
      <c r="E618" s="4">
        <f>IF($A618=E$586,"",COUNTIF($E$4:$E$582,$A618&amp;" ضد "&amp;E$586)+COUNTIF($E$4:$E$582,E$586&amp;" ضد "&amp;$A618))</f>
        <v>0</v>
      </c>
      <c r="F618" s="4">
        <f>IF($A618=F$586,"",COUNTIF($E$4:$E$582,$A618&amp;" ضد "&amp;F$586)+COUNTIF($E$4:$E$582,F$586&amp;" ضد "&amp;$A618))</f>
        <v>0</v>
      </c>
      <c r="G618" s="4">
        <f>IF($A618=G$586,"",COUNTIF($E$4:$E$582,$A618&amp;" ضد "&amp;G$586)+COUNTIF($E$4:$E$582,G$586&amp;" ضد "&amp;$A618))</f>
        <v>0</v>
      </c>
      <c r="H618" s="4">
        <f>IF($A618=H$586,"",COUNTIF($E$4:$E$582,$A618&amp;" ضد "&amp;H$586)+COUNTIF($E$4:$E$582,H$586&amp;" ضد "&amp;$A618))</f>
        <v>0</v>
      </c>
      <c r="I618" s="4">
        <f>IF($A618=I$586,"",COUNTIF($E$4:$E$582,$A618&amp;" ضد "&amp;I$586)+COUNTIF($E$4:$E$582,I$586&amp;" ضد "&amp;$A618))</f>
        <v>0</v>
      </c>
      <c r="J618" s="4">
        <f>IF($A618=J$586,"",COUNTIF($E$4:$E$582,$A618&amp;" ضد "&amp;J$586)+COUNTIF($E$4:$E$582,J$586&amp;" ضد "&amp;$A618))</f>
        <v>0</v>
      </c>
      <c r="K618" s="4">
        <f>IF($A618=K$586,"",COUNTIF($E$4:$E$582,$A618&amp;" ضد "&amp;K$586)+COUNTIF($E$4:$E$582,K$586&amp;" ضد "&amp;$A618))</f>
        <v>0</v>
      </c>
      <c r="L618" s="4">
        <f>IF($A618=L$586,"",COUNTIF($E$4:$E$582,$A618&amp;" ضد "&amp;L$586)+COUNTIF($E$4:$E$582,L$586&amp;" ضد "&amp;$A618))</f>
        <v>0</v>
      </c>
      <c r="M618" s="4">
        <f>IF($A618=M$586,"",COUNTIF($E$4:$E$582,$A618&amp;" ضد "&amp;M$586)+COUNTIF($E$4:$E$582,M$586&amp;" ضد "&amp;$A618))</f>
        <v>0</v>
      </c>
      <c r="N618" s="4">
        <f>IF($A618=N$586,"",COUNTIF($E$4:$E$582,$A618&amp;" ضد "&amp;N$586)+COUNTIF($E$4:$E$582,N$586&amp;" ضد "&amp;$A618))</f>
        <v>0</v>
      </c>
      <c r="O618" s="4">
        <f>IF($A618=O$586,"",COUNTIF($E$4:$E$582,$A618&amp;" ضد "&amp;O$586)+COUNTIF($E$4:$E$582,O$586&amp;" ضد "&amp;$A618))</f>
        <v>0</v>
      </c>
      <c r="P618" s="4">
        <f>IF($A618=P$586,"",COUNTIF($E$4:$E$582,$A618&amp;" ضد "&amp;P$586)+COUNTIF($E$4:$E$582,P$586&amp;" ضد "&amp;$A618))</f>
        <v>0</v>
      </c>
      <c r="Q618" s="4">
        <f>IF($A618=Q$586,"",COUNTIF($E$4:$E$582,$A618&amp;" ضد "&amp;Q$586)+COUNTIF($E$4:$E$582,Q$586&amp;" ضد "&amp;$A618))</f>
        <v>0</v>
      </c>
      <c r="R618" s="4">
        <f>IF($A618=R$586,"",COUNTIF($E$4:$E$582,$A618&amp;" ضد "&amp;R$586)+COUNTIF($E$4:$E$582,R$586&amp;" ضد "&amp;$A618))</f>
        <v>2</v>
      </c>
      <c r="S618" s="4">
        <f>IF($A618=S$586,"",COUNTIF($E$4:$E$582,$A618&amp;" ضد "&amp;S$586)+COUNTIF($E$4:$E$582,S$586&amp;" ضد "&amp;$A618))</f>
        <v>1</v>
      </c>
      <c r="T618" s="4">
        <f>IF($A618=T$586,"",COUNTIF($E$4:$E$582,$A618&amp;" ضد "&amp;T$586)+COUNTIF($E$4:$E$582,T$586&amp;" ضد "&amp;$A618))</f>
        <v>1</v>
      </c>
      <c r="U618" s="4">
        <f>IF($A618=U$586,"",COUNTIF($E$4:$E$582,$A618&amp;" ضد "&amp;U$586)+COUNTIF($E$4:$E$582,U$586&amp;" ضد "&amp;$A618))</f>
        <v>1</v>
      </c>
      <c r="V618" s="4">
        <f>IF($A618=V$586,"",COUNTIF($E$4:$E$582,$A618&amp;" ضد "&amp;V$586)+COUNTIF($E$4:$E$582,V$586&amp;" ضد "&amp;$A618))</f>
        <v>1</v>
      </c>
      <c r="W618" s="4">
        <f>IF($A618=W$586,"",COUNTIF($E$4:$E$582,$A618&amp;" ضد "&amp;W$586)+COUNTIF($E$4:$E$582,W$586&amp;" ضد "&amp;$A618))</f>
        <v>1</v>
      </c>
      <c r="X618" s="4">
        <f>IF($A618=X$586,"",COUNTIF($E$4:$E$582,$A618&amp;" ضد "&amp;X$586)+COUNTIF($E$4:$E$582,X$586&amp;" ضد "&amp;$A618))</f>
        <v>1</v>
      </c>
      <c r="Y618" s="4">
        <f>IF($A618=Y$586,"",COUNTIF($E$4:$E$582,$A618&amp;" ضد "&amp;Y$586)+COUNTIF($E$4:$E$582,Y$586&amp;" ضد "&amp;$A618))</f>
        <v>1</v>
      </c>
      <c r="Z618" s="4">
        <f>IF($A618=Z$586,"",COUNTIF($E$4:$E$582,$A618&amp;" ضد "&amp;Z$586)+COUNTIF($E$4:$E$582,Z$586&amp;" ضد "&amp;$A618))</f>
        <v>1</v>
      </c>
      <c r="AA618" s="4">
        <f>IF($A618=AA$586,"",COUNTIF($E$4:$E$582,$A618&amp;" ضد "&amp;AA$586)+COUNTIF($E$4:$E$582,AA$586&amp;" ضد "&amp;$A618))</f>
        <v>1</v>
      </c>
      <c r="AB618" s="4">
        <f>IF($A618=AB$586,"",COUNTIF($E$4:$E$582,$A618&amp;" ضد "&amp;AB$586)+COUNTIF($E$4:$E$582,AB$586&amp;" ضد "&amp;$A618))</f>
        <v>1</v>
      </c>
      <c r="AC618" s="4">
        <f>IF($A618=AC$586,"",COUNTIF($E$4:$E$582,$A618&amp;" ضد "&amp;AC$586)+COUNTIF($E$4:$E$582,AC$586&amp;" ضد "&amp;$A618))</f>
        <v>2</v>
      </c>
      <c r="AD618" s="4">
        <f>IF($A618=AD$586,"",COUNTIF($E$4:$E$582,$A618&amp;" ضد "&amp;AD$586)+COUNTIF($E$4:$E$582,AD$586&amp;" ضد "&amp;$A618))</f>
        <v>1</v>
      </c>
      <c r="AE618" s="4">
        <f>IF($A618=AE$586,"",COUNTIF($E$4:$E$582,$A618&amp;" ضد "&amp;AE$586)+COUNTIF($E$4:$E$582,AE$586&amp;" ضد "&amp;$A618))</f>
        <v>2</v>
      </c>
      <c r="AF618" s="4">
        <f>IF($A618=AF$586,"",COUNTIF($E$4:$E$582,$A618&amp;" ضد "&amp;AF$586)+COUNTIF($E$4:$E$582,AF$586&amp;" ضد "&amp;$A618))</f>
        <v>1</v>
      </c>
      <c r="AG618" s="4" t="str">
        <f>IF($A618=AG$586,"",COUNTIF($E$4:$E$582,$A618&amp;" ضد "&amp;AG$586)+COUNTIF($E$4:$E$582,AG$586&amp;" ضد "&amp;$A618))</f>
        <v/>
      </c>
      <c r="AH618" s="4">
        <f>IF($A618=AH$586,"",COUNTIF($E$4:$E$582,$A618&amp;" ضد "&amp;AH$586)+COUNTIF($E$4:$E$582,AH$586&amp;" ضد "&amp;$A618))</f>
        <v>0</v>
      </c>
      <c r="AI618" s="4">
        <f>IF($A618=AI$586,"",COUNTIF($E$4:$E$582,$A618&amp;" ضد "&amp;AI$586)+COUNTIF($E$4:$E$582,AI$586&amp;" ضد "&amp;$A618))</f>
        <v>0</v>
      </c>
      <c r="AJ618" s="4">
        <f>IF($A618=AJ$586,"",COUNTIF($E$4:$E$582,$A618&amp;" ضد "&amp;AJ$586)+COUNTIF($E$4:$E$582,AJ$586&amp;" ضد "&amp;$A618))</f>
        <v>0</v>
      </c>
      <c r="AK618" s="4">
        <f>IF($A618=AK$586,"",COUNTIF($E$4:$E$582,$A618&amp;" ضد "&amp;AK$586)+COUNTIF($E$4:$E$582,AK$586&amp;" ضد "&amp;$A618))</f>
        <v>0</v>
      </c>
      <c r="AL618" s="4">
        <f>IF($A618=AL$586,"",COUNTIF($E$4:$E$582,$A618&amp;" ضد "&amp;AL$586)+COUNTIF($E$4:$E$582,AL$586&amp;" ضد "&amp;$A618))</f>
        <v>0</v>
      </c>
      <c r="AM618" s="4">
        <f>IF($A618=AM$586,"",COUNTIF($E$4:$E$582,$A618&amp;" ضد "&amp;AM$586)+COUNTIF($E$4:$E$582,AM$586&amp;" ضد "&amp;$A618))</f>
        <v>0</v>
      </c>
      <c r="AN618" s="4">
        <f>IF($A618=AN$586,"",COUNTIF($E$4:$E$582,$A618&amp;" ضد "&amp;AN$586)+COUNTIF($E$4:$E$582,AN$586&amp;" ضد "&amp;$A618))</f>
        <v>0</v>
      </c>
      <c r="AO618" s="4">
        <f>IF($A618=AO$586,"",COUNTIF($E$4:$E$582,$A618&amp;" ضد "&amp;AO$586)+COUNTIF($E$4:$E$582,AO$586&amp;" ضد "&amp;$A618))</f>
        <v>0</v>
      </c>
      <c r="AP618" s="4">
        <f>IF($A618=AP$586,"",COUNTIF($E$4:$E$582,$A618&amp;" ضد "&amp;AP$586)+COUNTIF($E$4:$E$582,AP$586&amp;" ضد "&amp;$A618))</f>
        <v>0</v>
      </c>
      <c r="AQ618" s="4">
        <f>IF($A618=AQ$586,"",COUNTIF($E$4:$E$582,$A618&amp;" ضد "&amp;AQ$586)+COUNTIF($E$4:$E$582,AQ$586&amp;" ضد "&amp;$A618))</f>
        <v>0</v>
      </c>
      <c r="AR618" s="4">
        <f>IF($A618=AR$586,"",COUNTIF($E$4:$E$582,$A618&amp;" ضد "&amp;AR$586)+COUNTIF($E$4:$E$582,AR$586&amp;" ضد "&amp;$A618))</f>
        <v>0</v>
      </c>
      <c r="AS618" s="4">
        <f>IF($A618=AS$586,"",COUNTIF($E$4:$E$582,$A618&amp;" ضد "&amp;AS$586)+COUNTIF($E$4:$E$582,AS$586&amp;" ضد "&amp;$A618))</f>
        <v>0</v>
      </c>
      <c r="AT618" s="4">
        <f>IF($A618=AT$586,"",COUNTIF($E$4:$E$582,$A618&amp;" ضد "&amp;AT$586)+COUNTIF($E$4:$E$582,AT$586&amp;" ضد "&amp;$A618))</f>
        <v>0</v>
      </c>
      <c r="AU618" s="4">
        <f>IF($A618=AU$586,"",COUNTIF($E$4:$E$582,$A618&amp;" ضد "&amp;AU$586)+COUNTIF($E$4:$E$582,AU$586&amp;" ضد "&amp;$A618))</f>
        <v>0</v>
      </c>
      <c r="AV618" s="4">
        <f>IF($A618=AV$586,"",COUNTIF($E$4:$E$582,$A618&amp;" ضد "&amp;AV$586)+COUNTIF($E$4:$E$582,AV$586&amp;" ضد "&amp;$A618))</f>
        <v>0</v>
      </c>
      <c r="AW618" s="4">
        <f>IF($A618=AW$586,"",COUNTIF($E$4:$E$582,$A618&amp;" ضد "&amp;AW$586)+COUNTIF($E$4:$E$582,AW$586&amp;" ضد "&amp;$A618))</f>
        <v>0</v>
      </c>
      <c r="AX618" s="4">
        <f>IF($A618=AX$586,"",COUNTIF($E$4:$E$582,$A618&amp;" ضد "&amp;AX$586)+COUNTIF($E$4:$E$582,AX$586&amp;" ضد "&amp;$A618))</f>
        <v>0</v>
      </c>
      <c r="AY618" s="4">
        <f>IF($A618=AY$586,"",COUNTIF($E$4:$E$582,$A618&amp;" ضد "&amp;AY$586)+COUNTIF($E$4:$E$582,AY$586&amp;" ضد "&amp;$A618))</f>
        <v>0</v>
      </c>
      <c r="AZ618" s="4">
        <f>IF($A618=AZ$586,"",COUNTIF($E$4:$E$582,$A618&amp;" ضد "&amp;AZ$586)+COUNTIF($E$4:$E$582,AZ$586&amp;" ضد "&amp;$A618))</f>
        <v>0</v>
      </c>
      <c r="BA618" s="4">
        <f>IF($A618=BA$586,"",COUNTIF($E$4:$E$582,$A618&amp;" ضد "&amp;BA$586)+COUNTIF($E$4:$E$582,BA$586&amp;" ضد "&amp;$A618))</f>
        <v>0</v>
      </c>
      <c r="BB618" s="4">
        <f>IF($A618=BB$586,"",COUNTIF($E$4:$E$582,$A618&amp;" ضد "&amp;BB$586)+COUNTIF($E$4:$E$582,BB$586&amp;" ضد "&amp;$A618))</f>
        <v>0</v>
      </c>
      <c r="BC618" s="4">
        <f>IF($A618=BC$586,"",COUNTIF($E$4:$E$582,$A618&amp;" ضد "&amp;BC$586)+COUNTIF($E$4:$E$582,BC$586&amp;" ضد "&amp;$A618))</f>
        <v>0</v>
      </c>
      <c r="BD618" s="4">
        <f>IF($A618=BD$586,"",COUNTIF($E$4:$E$582,$A618&amp;" ضد "&amp;BD$586)+COUNTIF($E$4:$E$582,BD$586&amp;" ضد "&amp;$A618))</f>
        <v>0</v>
      </c>
      <c r="BE618" s="4">
        <f>IF($A618=BE$586,"",COUNTIF($E$4:$E$582,$A618&amp;" ضد "&amp;BE$586)+COUNTIF($E$4:$E$582,BE$586&amp;" ضد "&amp;$A618))</f>
        <v>0</v>
      </c>
      <c r="BF618" s="4">
        <f>IF($A618=BF$586,"",COUNTIF($E$4:$E$582,$A618&amp;" ضد "&amp;BF$586)+COUNTIF($E$4:$E$582,BF$586&amp;" ضد "&amp;$A618))</f>
        <v>0</v>
      </c>
      <c r="BG618" s="4">
        <f>IF($A618=BG$586,"",COUNTIF($E$4:$E$582,$A618&amp;" ضد "&amp;BG$586)+COUNTIF($E$4:$E$582,BG$586&amp;" ضد "&amp;$A618))</f>
        <v>0</v>
      </c>
      <c r="BH618" s="4">
        <f>IF($A618=BH$586,"",COUNTIF($E$4:$E$582,$A618&amp;" ضد "&amp;BH$586)+COUNTIF($E$4:$E$582,BH$586&amp;" ضد "&amp;$A618))</f>
        <v>0</v>
      </c>
      <c r="BI618" s="4">
        <f>IF($A618=BI$586,"",COUNTIF($E$4:$E$582,$A618&amp;" ضد "&amp;BI$586)+COUNTIF($E$4:$E$582,BI$586&amp;" ضد "&amp;$A618))</f>
        <v>0</v>
      </c>
      <c r="BJ618" s="4">
        <f>IF($A618=BJ$586,"",COUNTIF($E$4:$E$582,$A618&amp;" ضد "&amp;BJ$586)+COUNTIF($E$4:$E$582,BJ$586&amp;" ضد "&amp;$A618))</f>
        <v>0</v>
      </c>
      <c r="BK618" s="4">
        <f>IF($A618=BK$586,"",COUNTIF($E$4:$E$582,$A618&amp;" ضد "&amp;BK$586)+COUNTIF($E$4:$E$582,BK$586&amp;" ضد "&amp;$A618))</f>
        <v>0</v>
      </c>
      <c r="BL618" s="4">
        <f>IF($A618=BL$586,"",COUNTIF($E$4:$E$582,$A618&amp;" ضد "&amp;BL$586)+COUNTIF($E$4:$E$582,BL$586&amp;" ضد "&amp;$A618))</f>
        <v>0</v>
      </c>
      <c r="BM618" s="4">
        <f>IF($A618=BM$586,"",COUNTIF($E$4:$E$582,$A618&amp;" ضد "&amp;BM$586)+COUNTIF($E$4:$E$582,BM$586&amp;" ضد "&amp;$A618))</f>
        <v>0</v>
      </c>
    </row>
    <row r="619" spans="1:65" ht="14.5">
      <c r="A619" s="14">
        <v>33</v>
      </c>
      <c r="B619" s="4">
        <f>IF($A619=B$586,"",COUNTIF($E$4:$E$582,$A619&amp;" ضد "&amp;B$586)+COUNTIF($E$4:$E$582,B$586&amp;" ضد "&amp;$A619))</f>
        <v>0</v>
      </c>
      <c r="C619" s="4">
        <f>IF($A619=C$586,"",COUNTIF($E$4:$E$582,$A619&amp;" ضد "&amp;C$586)+COUNTIF($E$4:$E$582,C$586&amp;" ضد "&amp;$A619))</f>
        <v>0</v>
      </c>
      <c r="D619" s="4">
        <f>IF($A619=D$586,"",COUNTIF($E$4:$E$582,$A619&amp;" ضد "&amp;D$586)+COUNTIF($E$4:$E$582,D$586&amp;" ضد "&amp;$A619))</f>
        <v>0</v>
      </c>
      <c r="E619" s="4">
        <f>IF($A619=E$586,"",COUNTIF($E$4:$E$582,$A619&amp;" ضد "&amp;E$586)+COUNTIF($E$4:$E$582,E$586&amp;" ضد "&amp;$A619))</f>
        <v>0</v>
      </c>
      <c r="F619" s="4">
        <f>IF($A619=F$586,"",COUNTIF($E$4:$E$582,$A619&amp;" ضد "&amp;F$586)+COUNTIF($E$4:$E$582,F$586&amp;" ضد "&amp;$A619))</f>
        <v>0</v>
      </c>
      <c r="G619" s="4">
        <f>IF($A619=G$586,"",COUNTIF($E$4:$E$582,$A619&amp;" ضد "&amp;G$586)+COUNTIF($E$4:$E$582,G$586&amp;" ضد "&amp;$A619))</f>
        <v>0</v>
      </c>
      <c r="H619" s="4">
        <f>IF($A619=H$586,"",COUNTIF($E$4:$E$582,$A619&amp;" ضد "&amp;H$586)+COUNTIF($E$4:$E$582,H$586&amp;" ضد "&amp;$A619))</f>
        <v>0</v>
      </c>
      <c r="I619" s="4">
        <f>IF($A619=I$586,"",COUNTIF($E$4:$E$582,$A619&amp;" ضد "&amp;I$586)+COUNTIF($E$4:$E$582,I$586&amp;" ضد "&amp;$A619))</f>
        <v>0</v>
      </c>
      <c r="J619" s="4">
        <f>IF($A619=J$586,"",COUNTIF($E$4:$E$582,$A619&amp;" ضد "&amp;J$586)+COUNTIF($E$4:$E$582,J$586&amp;" ضد "&amp;$A619))</f>
        <v>0</v>
      </c>
      <c r="K619" s="4">
        <f>IF($A619=K$586,"",COUNTIF($E$4:$E$582,$A619&amp;" ضد "&amp;K$586)+COUNTIF($E$4:$E$582,K$586&amp;" ضد "&amp;$A619))</f>
        <v>0</v>
      </c>
      <c r="L619" s="4">
        <f>IF($A619=L$586,"",COUNTIF($E$4:$E$582,$A619&amp;" ضد "&amp;L$586)+COUNTIF($E$4:$E$582,L$586&amp;" ضد "&amp;$A619))</f>
        <v>0</v>
      </c>
      <c r="M619" s="4">
        <f>IF($A619=M$586,"",COUNTIF($E$4:$E$582,$A619&amp;" ضد "&amp;M$586)+COUNTIF($E$4:$E$582,M$586&amp;" ضد "&amp;$A619))</f>
        <v>0</v>
      </c>
      <c r="N619" s="4">
        <f>IF($A619=N$586,"",COUNTIF($E$4:$E$582,$A619&amp;" ضد "&amp;N$586)+COUNTIF($E$4:$E$582,N$586&amp;" ضد "&amp;$A619))</f>
        <v>0</v>
      </c>
      <c r="O619" s="4">
        <f>IF($A619=O$586,"",COUNTIF($E$4:$E$582,$A619&amp;" ضد "&amp;O$586)+COUNTIF($E$4:$E$582,O$586&amp;" ضد "&amp;$A619))</f>
        <v>0</v>
      </c>
      <c r="P619" s="4">
        <f>IF($A619=P$586,"",COUNTIF($E$4:$E$582,$A619&amp;" ضد "&amp;P$586)+COUNTIF($E$4:$E$582,P$586&amp;" ضد "&amp;$A619))</f>
        <v>0</v>
      </c>
      <c r="Q619" s="4">
        <f>IF($A619=Q$586,"",COUNTIF($E$4:$E$582,$A619&amp;" ضد "&amp;Q$586)+COUNTIF($E$4:$E$582,Q$586&amp;" ضد "&amp;$A619))</f>
        <v>0</v>
      </c>
      <c r="R619" s="4">
        <f>IF($A619=R$586,"",COUNTIF($E$4:$E$582,$A619&amp;" ضد "&amp;R$586)+COUNTIF($E$4:$E$582,R$586&amp;" ضد "&amp;$A619))</f>
        <v>0</v>
      </c>
      <c r="S619" s="4">
        <f>IF($A619=S$586,"",COUNTIF($E$4:$E$582,$A619&amp;" ضد "&amp;S$586)+COUNTIF($E$4:$E$582,S$586&amp;" ضد "&amp;$A619))</f>
        <v>0</v>
      </c>
      <c r="T619" s="4">
        <f>IF($A619=T$586,"",COUNTIF($E$4:$E$582,$A619&amp;" ضد "&amp;T$586)+COUNTIF($E$4:$E$582,T$586&amp;" ضد "&amp;$A619))</f>
        <v>0</v>
      </c>
      <c r="U619" s="4">
        <f>IF($A619=U$586,"",COUNTIF($E$4:$E$582,$A619&amp;" ضد "&amp;U$586)+COUNTIF($E$4:$E$582,U$586&amp;" ضد "&amp;$A619))</f>
        <v>0</v>
      </c>
      <c r="V619" s="4">
        <f>IF($A619=V$586,"",COUNTIF($E$4:$E$582,$A619&amp;" ضد "&amp;V$586)+COUNTIF($E$4:$E$582,V$586&amp;" ضد "&amp;$A619))</f>
        <v>0</v>
      </c>
      <c r="W619" s="4">
        <f>IF($A619=W$586,"",COUNTIF($E$4:$E$582,$A619&amp;" ضد "&amp;W$586)+COUNTIF($E$4:$E$582,W$586&amp;" ضد "&amp;$A619))</f>
        <v>0</v>
      </c>
      <c r="X619" s="4">
        <f>IF($A619=X$586,"",COUNTIF($E$4:$E$582,$A619&amp;" ضد "&amp;X$586)+COUNTIF($E$4:$E$582,X$586&amp;" ضد "&amp;$A619))</f>
        <v>0</v>
      </c>
      <c r="Y619" s="4">
        <f>IF($A619=Y$586,"",COUNTIF($E$4:$E$582,$A619&amp;" ضد "&amp;Y$586)+COUNTIF($E$4:$E$582,Y$586&amp;" ضد "&amp;$A619))</f>
        <v>0</v>
      </c>
      <c r="Z619" s="4">
        <f>IF($A619=Z$586,"",COUNTIF($E$4:$E$582,$A619&amp;" ضد "&amp;Z$586)+COUNTIF($E$4:$E$582,Z$586&amp;" ضد "&amp;$A619))</f>
        <v>0</v>
      </c>
      <c r="AA619" s="4">
        <f>IF($A619=AA$586,"",COUNTIF($E$4:$E$582,$A619&amp;" ضد "&amp;AA$586)+COUNTIF($E$4:$E$582,AA$586&amp;" ضد "&amp;$A619))</f>
        <v>0</v>
      </c>
      <c r="AB619" s="4">
        <f>IF($A619=AB$586,"",COUNTIF($E$4:$E$582,$A619&amp;" ضد "&amp;AB$586)+COUNTIF($E$4:$E$582,AB$586&amp;" ضد "&amp;$A619))</f>
        <v>0</v>
      </c>
      <c r="AC619" s="4">
        <f>IF($A619=AC$586,"",COUNTIF($E$4:$E$582,$A619&amp;" ضد "&amp;AC$586)+COUNTIF($E$4:$E$582,AC$586&amp;" ضد "&amp;$A619))</f>
        <v>0</v>
      </c>
      <c r="AD619" s="4">
        <f>IF($A619=AD$586,"",COUNTIF($E$4:$E$582,$A619&amp;" ضد "&amp;AD$586)+COUNTIF($E$4:$E$582,AD$586&amp;" ضد "&amp;$A619))</f>
        <v>0</v>
      </c>
      <c r="AE619" s="4">
        <f>IF($A619=AE$586,"",COUNTIF($E$4:$E$582,$A619&amp;" ضد "&amp;AE$586)+COUNTIF($E$4:$E$582,AE$586&amp;" ضد "&amp;$A619))</f>
        <v>0</v>
      </c>
      <c r="AF619" s="4">
        <f>IF($A619=AF$586,"",COUNTIF($E$4:$E$582,$A619&amp;" ضد "&amp;AF$586)+COUNTIF($E$4:$E$582,AF$586&amp;" ضد "&amp;$A619))</f>
        <v>0</v>
      </c>
      <c r="AG619" s="4">
        <f>IF($A619=AG$586,"",COUNTIF($E$4:$E$582,$A619&amp;" ضد "&amp;AG$586)+COUNTIF($E$4:$E$582,AG$586&amp;" ضد "&amp;$A619))</f>
        <v>0</v>
      </c>
      <c r="AH619" s="4" t="str">
        <f>IF($A619=AH$586,"",COUNTIF($E$4:$E$582,$A619&amp;" ضد "&amp;AH$586)+COUNTIF($E$4:$E$582,AH$586&amp;" ضد "&amp;$A619))</f>
        <v/>
      </c>
      <c r="AI619" s="4">
        <f>IF($A619=AI$586,"",COUNTIF($E$4:$E$582,$A619&amp;" ضد "&amp;AI$586)+COUNTIF($E$4:$E$582,AI$586&amp;" ضد "&amp;$A619))</f>
        <v>1</v>
      </c>
      <c r="AJ619" s="4">
        <f>IF($A619=AJ$586,"",COUNTIF($E$4:$E$582,$A619&amp;" ضد "&amp;AJ$586)+COUNTIF($E$4:$E$582,AJ$586&amp;" ضد "&amp;$A619))</f>
        <v>1</v>
      </c>
      <c r="AK619" s="4">
        <f>IF($A619=AK$586,"",COUNTIF($E$4:$E$582,$A619&amp;" ضد "&amp;AK$586)+COUNTIF($E$4:$E$582,AK$586&amp;" ضد "&amp;$A619))</f>
        <v>1</v>
      </c>
      <c r="AL619" s="4">
        <f>IF($A619=AL$586,"",COUNTIF($E$4:$E$582,$A619&amp;" ضد "&amp;AL$586)+COUNTIF($E$4:$E$582,AL$586&amp;" ضد "&amp;$A619))</f>
        <v>1</v>
      </c>
      <c r="AM619" s="4">
        <f>IF($A619=AM$586,"",COUNTIF($E$4:$E$582,$A619&amp;" ضد "&amp;AM$586)+COUNTIF($E$4:$E$582,AM$586&amp;" ضد "&amp;$A619))</f>
        <v>1</v>
      </c>
      <c r="AN619" s="4">
        <f>IF($A619=AN$586,"",COUNTIF($E$4:$E$582,$A619&amp;" ضد "&amp;AN$586)+COUNTIF($E$4:$E$582,AN$586&amp;" ضد "&amp;$A619))</f>
        <v>1</v>
      </c>
      <c r="AO619" s="4">
        <f>IF($A619=AO$586,"",COUNTIF($E$4:$E$582,$A619&amp;" ضد "&amp;AO$586)+COUNTIF($E$4:$E$582,AO$586&amp;" ضد "&amp;$A619))</f>
        <v>1</v>
      </c>
      <c r="AP619" s="4">
        <f>IF($A619=AP$586,"",COUNTIF($E$4:$E$582,$A619&amp;" ضد "&amp;AP$586)+COUNTIF($E$4:$E$582,AP$586&amp;" ضد "&amp;$A619))</f>
        <v>1</v>
      </c>
      <c r="AQ619" s="4">
        <f>IF($A619=AQ$586,"",COUNTIF($E$4:$E$582,$A619&amp;" ضد "&amp;AQ$586)+COUNTIF($E$4:$E$582,AQ$586&amp;" ضد "&amp;$A619))</f>
        <v>1</v>
      </c>
      <c r="AR619" s="4">
        <f>IF($A619=AR$586,"",COUNTIF($E$4:$E$582,$A619&amp;" ضد "&amp;AR$586)+COUNTIF($E$4:$E$582,AR$586&amp;" ضد "&amp;$A619))</f>
        <v>1</v>
      </c>
      <c r="AS619" s="4">
        <f>IF($A619=AS$586,"",COUNTIF($E$4:$E$582,$A619&amp;" ضد "&amp;AS$586)+COUNTIF($E$4:$E$582,AS$586&amp;" ضد "&amp;$A619))</f>
        <v>1</v>
      </c>
      <c r="AT619" s="4">
        <f>IF($A619=AT$586,"",COUNTIF($E$4:$E$582,$A619&amp;" ضد "&amp;AT$586)+COUNTIF($E$4:$E$582,AT$586&amp;" ضد "&amp;$A619))</f>
        <v>1</v>
      </c>
      <c r="AU619" s="4">
        <f>IF($A619=AU$586,"",COUNTIF($E$4:$E$582,$A619&amp;" ضد "&amp;AU$586)+COUNTIF($E$4:$E$582,AU$586&amp;" ضد "&amp;$A619))</f>
        <v>2</v>
      </c>
      <c r="AV619" s="4">
        <f>IF($A619=AV$586,"",COUNTIF($E$4:$E$582,$A619&amp;" ضد "&amp;AV$586)+COUNTIF($E$4:$E$582,AV$586&amp;" ضد "&amp;$A619))</f>
        <v>2</v>
      </c>
      <c r="AW619" s="4">
        <f>IF($A619=AW$586,"",COUNTIF($E$4:$E$582,$A619&amp;" ضد "&amp;AW$586)+COUNTIF($E$4:$E$582,AW$586&amp;" ضد "&amp;$A619))</f>
        <v>2</v>
      </c>
      <c r="AX619" s="4">
        <f>IF($A619=AX$586,"",COUNTIF($E$4:$E$582,$A619&amp;" ضد "&amp;AX$586)+COUNTIF($E$4:$E$582,AX$586&amp;" ضد "&amp;$A619))</f>
        <v>0</v>
      </c>
      <c r="AY619" s="4">
        <f>IF($A619=AY$586,"",COUNTIF($E$4:$E$582,$A619&amp;" ضد "&amp;AY$586)+COUNTIF($E$4:$E$582,AY$586&amp;" ضد "&amp;$A619))</f>
        <v>0</v>
      </c>
      <c r="AZ619" s="4">
        <f>IF($A619=AZ$586,"",COUNTIF($E$4:$E$582,$A619&amp;" ضد "&amp;AZ$586)+COUNTIF($E$4:$E$582,AZ$586&amp;" ضد "&amp;$A619))</f>
        <v>0</v>
      </c>
      <c r="BA619" s="4">
        <f>IF($A619=BA$586,"",COUNTIF($E$4:$E$582,$A619&amp;" ضد "&amp;BA$586)+COUNTIF($E$4:$E$582,BA$586&amp;" ضد "&amp;$A619))</f>
        <v>0</v>
      </c>
      <c r="BB619" s="4">
        <f>IF($A619=BB$586,"",COUNTIF($E$4:$E$582,$A619&amp;" ضد "&amp;BB$586)+COUNTIF($E$4:$E$582,BB$586&amp;" ضد "&amp;$A619))</f>
        <v>0</v>
      </c>
      <c r="BC619" s="4">
        <f>IF($A619=BC$586,"",COUNTIF($E$4:$E$582,$A619&amp;" ضد "&amp;BC$586)+COUNTIF($E$4:$E$582,BC$586&amp;" ضد "&amp;$A619))</f>
        <v>0</v>
      </c>
      <c r="BD619" s="4">
        <f>IF($A619=BD$586,"",COUNTIF($E$4:$E$582,$A619&amp;" ضد "&amp;BD$586)+COUNTIF($E$4:$E$582,BD$586&amp;" ضد "&amp;$A619))</f>
        <v>0</v>
      </c>
      <c r="BE619" s="4">
        <f>IF($A619=BE$586,"",COUNTIF($E$4:$E$582,$A619&amp;" ضد "&amp;BE$586)+COUNTIF($E$4:$E$582,BE$586&amp;" ضد "&amp;$A619))</f>
        <v>0</v>
      </c>
      <c r="BF619" s="4">
        <f>IF($A619=BF$586,"",COUNTIF($E$4:$E$582,$A619&amp;" ضد "&amp;BF$586)+COUNTIF($E$4:$E$582,BF$586&amp;" ضد "&amp;$A619))</f>
        <v>0</v>
      </c>
      <c r="BG619" s="4">
        <f>IF($A619=BG$586,"",COUNTIF($E$4:$E$582,$A619&amp;" ضد "&amp;BG$586)+COUNTIF($E$4:$E$582,BG$586&amp;" ضد "&amp;$A619))</f>
        <v>0</v>
      </c>
      <c r="BH619" s="4">
        <f>IF($A619=BH$586,"",COUNTIF($E$4:$E$582,$A619&amp;" ضد "&amp;BH$586)+COUNTIF($E$4:$E$582,BH$586&amp;" ضد "&amp;$A619))</f>
        <v>0</v>
      </c>
      <c r="BI619" s="4">
        <f>IF($A619=BI$586,"",COUNTIF($E$4:$E$582,$A619&amp;" ضد "&amp;BI$586)+COUNTIF($E$4:$E$582,BI$586&amp;" ضد "&amp;$A619))</f>
        <v>0</v>
      </c>
      <c r="BJ619" s="4">
        <f>IF($A619=BJ$586,"",COUNTIF($E$4:$E$582,$A619&amp;" ضد "&amp;BJ$586)+COUNTIF($E$4:$E$582,BJ$586&amp;" ضد "&amp;$A619))</f>
        <v>0</v>
      </c>
      <c r="BK619" s="4">
        <f>IF($A619=BK$586,"",COUNTIF($E$4:$E$582,$A619&amp;" ضد "&amp;BK$586)+COUNTIF($E$4:$E$582,BK$586&amp;" ضد "&amp;$A619))</f>
        <v>0</v>
      </c>
      <c r="BL619" s="4">
        <f>IF($A619=BL$586,"",COUNTIF($E$4:$E$582,$A619&amp;" ضد "&amp;BL$586)+COUNTIF($E$4:$E$582,BL$586&amp;" ضد "&amp;$A619))</f>
        <v>0</v>
      </c>
      <c r="BM619" s="4">
        <f>IF($A619=BM$586,"",COUNTIF($E$4:$E$582,$A619&amp;" ضد "&amp;BM$586)+COUNTIF($E$4:$E$582,BM$586&amp;" ضد "&amp;$A619))</f>
        <v>0</v>
      </c>
    </row>
    <row r="620" spans="1:65" ht="14.5">
      <c r="A620" s="14">
        <v>34</v>
      </c>
      <c r="B620" s="4">
        <f>IF($A620=B$586,"",COUNTIF($E$4:$E$582,$A620&amp;" ضد "&amp;B$586)+COUNTIF($E$4:$E$582,B$586&amp;" ضد "&amp;$A620))</f>
        <v>0</v>
      </c>
      <c r="C620" s="4">
        <f>IF($A620=C$586,"",COUNTIF($E$4:$E$582,$A620&amp;" ضد "&amp;C$586)+COUNTIF($E$4:$E$582,C$586&amp;" ضد "&amp;$A620))</f>
        <v>0</v>
      </c>
      <c r="D620" s="4">
        <f>IF($A620=D$586,"",COUNTIF($E$4:$E$582,$A620&amp;" ضد "&amp;D$586)+COUNTIF($E$4:$E$582,D$586&amp;" ضد "&amp;$A620))</f>
        <v>0</v>
      </c>
      <c r="E620" s="4">
        <f>IF($A620=E$586,"",COUNTIF($E$4:$E$582,$A620&amp;" ضد "&amp;E$586)+COUNTIF($E$4:$E$582,E$586&amp;" ضد "&amp;$A620))</f>
        <v>0</v>
      </c>
      <c r="F620" s="4">
        <f>IF($A620=F$586,"",COUNTIF($E$4:$E$582,$A620&amp;" ضد "&amp;F$586)+COUNTIF($E$4:$E$582,F$586&amp;" ضد "&amp;$A620))</f>
        <v>0</v>
      </c>
      <c r="G620" s="4">
        <f>IF($A620=G$586,"",COUNTIF($E$4:$E$582,$A620&amp;" ضد "&amp;G$586)+COUNTIF($E$4:$E$582,G$586&amp;" ضد "&amp;$A620))</f>
        <v>0</v>
      </c>
      <c r="H620" s="4">
        <f>IF($A620=H$586,"",COUNTIF($E$4:$E$582,$A620&amp;" ضد "&amp;H$586)+COUNTIF($E$4:$E$582,H$586&amp;" ضد "&amp;$A620))</f>
        <v>0</v>
      </c>
      <c r="I620" s="4">
        <f>IF($A620=I$586,"",COUNTIF($E$4:$E$582,$A620&amp;" ضد "&amp;I$586)+COUNTIF($E$4:$E$582,I$586&amp;" ضد "&amp;$A620))</f>
        <v>0</v>
      </c>
      <c r="J620" s="4">
        <f>IF($A620=J$586,"",COUNTIF($E$4:$E$582,$A620&amp;" ضد "&amp;J$586)+COUNTIF($E$4:$E$582,J$586&amp;" ضد "&amp;$A620))</f>
        <v>0</v>
      </c>
      <c r="K620" s="4">
        <f>IF($A620=K$586,"",COUNTIF($E$4:$E$582,$A620&amp;" ضد "&amp;K$586)+COUNTIF($E$4:$E$582,K$586&amp;" ضد "&amp;$A620))</f>
        <v>0</v>
      </c>
      <c r="L620" s="4">
        <f>IF($A620=L$586,"",COUNTIF($E$4:$E$582,$A620&amp;" ضد "&amp;L$586)+COUNTIF($E$4:$E$582,L$586&amp;" ضد "&amp;$A620))</f>
        <v>0</v>
      </c>
      <c r="M620" s="4">
        <f>IF($A620=M$586,"",COUNTIF($E$4:$E$582,$A620&amp;" ضد "&amp;M$586)+COUNTIF($E$4:$E$582,M$586&amp;" ضد "&amp;$A620))</f>
        <v>0</v>
      </c>
      <c r="N620" s="4">
        <f>IF($A620=N$586,"",COUNTIF($E$4:$E$582,$A620&amp;" ضد "&amp;N$586)+COUNTIF($E$4:$E$582,N$586&amp;" ضد "&amp;$A620))</f>
        <v>0</v>
      </c>
      <c r="O620" s="4">
        <f>IF($A620=O$586,"",COUNTIF($E$4:$E$582,$A620&amp;" ضد "&amp;O$586)+COUNTIF($E$4:$E$582,O$586&amp;" ضد "&amp;$A620))</f>
        <v>0</v>
      </c>
      <c r="P620" s="4">
        <f>IF($A620=P$586,"",COUNTIF($E$4:$E$582,$A620&amp;" ضد "&amp;P$586)+COUNTIF($E$4:$E$582,P$586&amp;" ضد "&amp;$A620))</f>
        <v>0</v>
      </c>
      <c r="Q620" s="4">
        <f>IF($A620=Q$586,"",COUNTIF($E$4:$E$582,$A620&amp;" ضد "&amp;Q$586)+COUNTIF($E$4:$E$582,Q$586&amp;" ضد "&amp;$A620))</f>
        <v>0</v>
      </c>
      <c r="R620" s="4">
        <f>IF($A620=R$586,"",COUNTIF($E$4:$E$582,$A620&amp;" ضد "&amp;R$586)+COUNTIF($E$4:$E$582,R$586&amp;" ضد "&amp;$A620))</f>
        <v>0</v>
      </c>
      <c r="S620" s="4">
        <f>IF($A620=S$586,"",COUNTIF($E$4:$E$582,$A620&amp;" ضد "&amp;S$586)+COUNTIF($E$4:$E$582,S$586&amp;" ضد "&amp;$A620))</f>
        <v>0</v>
      </c>
      <c r="T620" s="4">
        <f>IF($A620=T$586,"",COUNTIF($E$4:$E$582,$A620&amp;" ضد "&amp;T$586)+COUNTIF($E$4:$E$582,T$586&amp;" ضد "&amp;$A620))</f>
        <v>0</v>
      </c>
      <c r="U620" s="4">
        <f>IF($A620=U$586,"",COUNTIF($E$4:$E$582,$A620&amp;" ضد "&amp;U$586)+COUNTIF($E$4:$E$582,U$586&amp;" ضد "&amp;$A620))</f>
        <v>0</v>
      </c>
      <c r="V620" s="4">
        <f>IF($A620=V$586,"",COUNTIF($E$4:$E$582,$A620&amp;" ضد "&amp;V$586)+COUNTIF($E$4:$E$582,V$586&amp;" ضد "&amp;$A620))</f>
        <v>0</v>
      </c>
      <c r="W620" s="4">
        <f>IF($A620=W$586,"",COUNTIF($E$4:$E$582,$A620&amp;" ضد "&amp;W$586)+COUNTIF($E$4:$E$582,W$586&amp;" ضد "&amp;$A620))</f>
        <v>0</v>
      </c>
      <c r="X620" s="4">
        <f>IF($A620=X$586,"",COUNTIF($E$4:$E$582,$A620&amp;" ضد "&amp;X$586)+COUNTIF($E$4:$E$582,X$586&amp;" ضد "&amp;$A620))</f>
        <v>0</v>
      </c>
      <c r="Y620" s="4">
        <f>IF($A620=Y$586,"",COUNTIF($E$4:$E$582,$A620&amp;" ضد "&amp;Y$586)+COUNTIF($E$4:$E$582,Y$586&amp;" ضد "&amp;$A620))</f>
        <v>0</v>
      </c>
      <c r="Z620" s="4">
        <f>IF($A620=Z$586,"",COUNTIF($E$4:$E$582,$A620&amp;" ضد "&amp;Z$586)+COUNTIF($E$4:$E$582,Z$586&amp;" ضد "&amp;$A620))</f>
        <v>0</v>
      </c>
      <c r="AA620" s="4">
        <f>IF($A620=AA$586,"",COUNTIF($E$4:$E$582,$A620&amp;" ضد "&amp;AA$586)+COUNTIF($E$4:$E$582,AA$586&amp;" ضد "&amp;$A620))</f>
        <v>0</v>
      </c>
      <c r="AB620" s="4">
        <f>IF($A620=AB$586,"",COUNTIF($E$4:$E$582,$A620&amp;" ضد "&amp;AB$586)+COUNTIF($E$4:$E$582,AB$586&amp;" ضد "&amp;$A620))</f>
        <v>0</v>
      </c>
      <c r="AC620" s="4">
        <f>IF($A620=AC$586,"",COUNTIF($E$4:$E$582,$A620&amp;" ضد "&amp;AC$586)+COUNTIF($E$4:$E$582,AC$586&amp;" ضد "&amp;$A620))</f>
        <v>0</v>
      </c>
      <c r="AD620" s="4">
        <f>IF($A620=AD$586,"",COUNTIF($E$4:$E$582,$A620&amp;" ضد "&amp;AD$586)+COUNTIF($E$4:$E$582,AD$586&amp;" ضد "&amp;$A620))</f>
        <v>0</v>
      </c>
      <c r="AE620" s="4">
        <f>IF($A620=AE$586,"",COUNTIF($E$4:$E$582,$A620&amp;" ضد "&amp;AE$586)+COUNTIF($E$4:$E$582,AE$586&amp;" ضد "&amp;$A620))</f>
        <v>0</v>
      </c>
      <c r="AF620" s="4">
        <f>IF($A620=AF$586,"",COUNTIF($E$4:$E$582,$A620&amp;" ضد "&amp;AF$586)+COUNTIF($E$4:$E$582,AF$586&amp;" ضد "&amp;$A620))</f>
        <v>0</v>
      </c>
      <c r="AG620" s="4">
        <f>IF($A620=AG$586,"",COUNTIF($E$4:$E$582,$A620&amp;" ضد "&amp;AG$586)+COUNTIF($E$4:$E$582,AG$586&amp;" ضد "&amp;$A620))</f>
        <v>0</v>
      </c>
      <c r="AH620" s="4">
        <f>IF($A620=AH$586,"",COUNTIF($E$4:$E$582,$A620&amp;" ضد "&amp;AH$586)+COUNTIF($E$4:$E$582,AH$586&amp;" ضد "&amp;$A620))</f>
        <v>1</v>
      </c>
      <c r="AI620" s="4" t="str">
        <f>IF($A620=AI$586,"",COUNTIF($E$4:$E$582,$A620&amp;" ضد "&amp;AI$586)+COUNTIF($E$4:$E$582,AI$586&amp;" ضد "&amp;$A620))</f>
        <v/>
      </c>
      <c r="AJ620" s="4">
        <f>IF($A620=AJ$586,"",COUNTIF($E$4:$E$582,$A620&amp;" ضد "&amp;AJ$586)+COUNTIF($E$4:$E$582,AJ$586&amp;" ضد "&amp;$A620))</f>
        <v>1</v>
      </c>
      <c r="AK620" s="4">
        <f>IF($A620=AK$586,"",COUNTIF($E$4:$E$582,$A620&amp;" ضد "&amp;AK$586)+COUNTIF($E$4:$E$582,AK$586&amp;" ضد "&amp;$A620))</f>
        <v>1</v>
      </c>
      <c r="AL620" s="4">
        <f>IF($A620=AL$586,"",COUNTIF($E$4:$E$582,$A620&amp;" ضد "&amp;AL$586)+COUNTIF($E$4:$E$582,AL$586&amp;" ضد "&amp;$A620))</f>
        <v>1</v>
      </c>
      <c r="AM620" s="4">
        <f>IF($A620=AM$586,"",COUNTIF($E$4:$E$582,$A620&amp;" ضد "&amp;AM$586)+COUNTIF($E$4:$E$582,AM$586&amp;" ضد "&amp;$A620))</f>
        <v>1</v>
      </c>
      <c r="AN620" s="4">
        <f>IF($A620=AN$586,"",COUNTIF($E$4:$E$582,$A620&amp;" ضد "&amp;AN$586)+COUNTIF($E$4:$E$582,AN$586&amp;" ضد "&amp;$A620))</f>
        <v>1</v>
      </c>
      <c r="AO620" s="4">
        <f>IF($A620=AO$586,"",COUNTIF($E$4:$E$582,$A620&amp;" ضد "&amp;AO$586)+COUNTIF($E$4:$E$582,AO$586&amp;" ضد "&amp;$A620))</f>
        <v>1</v>
      </c>
      <c r="AP620" s="4">
        <f>IF($A620=AP$586,"",COUNTIF($E$4:$E$582,$A620&amp;" ضد "&amp;AP$586)+COUNTIF($E$4:$E$582,AP$586&amp;" ضد "&amp;$A620))</f>
        <v>1</v>
      </c>
      <c r="AQ620" s="4">
        <f>IF($A620=AQ$586,"",COUNTIF($E$4:$E$582,$A620&amp;" ضد "&amp;AQ$586)+COUNTIF($E$4:$E$582,AQ$586&amp;" ضد "&amp;$A620))</f>
        <v>1</v>
      </c>
      <c r="AR620" s="4">
        <f>IF($A620=AR$586,"",COUNTIF($E$4:$E$582,$A620&amp;" ضد "&amp;AR$586)+COUNTIF($E$4:$E$582,AR$586&amp;" ضد "&amp;$A620))</f>
        <v>2</v>
      </c>
      <c r="AS620" s="4">
        <f>IF($A620=AS$586,"",COUNTIF($E$4:$E$582,$A620&amp;" ضد "&amp;AS$586)+COUNTIF($E$4:$E$582,AS$586&amp;" ضد "&amp;$A620))</f>
        <v>1</v>
      </c>
      <c r="AT620" s="4">
        <f>IF($A620=AT$586,"",COUNTIF($E$4:$E$582,$A620&amp;" ضد "&amp;AT$586)+COUNTIF($E$4:$E$582,AT$586&amp;" ضد "&amp;$A620))</f>
        <v>2</v>
      </c>
      <c r="AU620" s="4">
        <f>IF($A620=AU$586,"",COUNTIF($E$4:$E$582,$A620&amp;" ضد "&amp;AU$586)+COUNTIF($E$4:$E$582,AU$586&amp;" ضد "&amp;$A620))</f>
        <v>1</v>
      </c>
      <c r="AV620" s="4">
        <f>IF($A620=AV$586,"",COUNTIF($E$4:$E$582,$A620&amp;" ضد "&amp;AV$586)+COUNTIF($E$4:$E$582,AV$586&amp;" ضد "&amp;$A620))</f>
        <v>2</v>
      </c>
      <c r="AW620" s="4">
        <f>IF($A620=AW$586,"",COUNTIF($E$4:$E$582,$A620&amp;" ضد "&amp;AW$586)+COUNTIF($E$4:$E$582,AW$586&amp;" ضد "&amp;$A620))</f>
        <v>1</v>
      </c>
      <c r="AX620" s="4">
        <f>IF($A620=AX$586,"",COUNTIF($E$4:$E$582,$A620&amp;" ضد "&amp;AX$586)+COUNTIF($E$4:$E$582,AX$586&amp;" ضد "&amp;$A620))</f>
        <v>0</v>
      </c>
      <c r="AY620" s="4">
        <f>IF($A620=AY$586,"",COUNTIF($E$4:$E$582,$A620&amp;" ضد "&amp;AY$586)+COUNTIF($E$4:$E$582,AY$586&amp;" ضد "&amp;$A620))</f>
        <v>0</v>
      </c>
      <c r="AZ620" s="4">
        <f>IF($A620=AZ$586,"",COUNTIF($E$4:$E$582,$A620&amp;" ضد "&amp;AZ$586)+COUNTIF($E$4:$E$582,AZ$586&amp;" ضد "&amp;$A620))</f>
        <v>0</v>
      </c>
      <c r="BA620" s="4">
        <f>IF($A620=BA$586,"",COUNTIF($E$4:$E$582,$A620&amp;" ضد "&amp;BA$586)+COUNTIF($E$4:$E$582,BA$586&amp;" ضد "&amp;$A620))</f>
        <v>0</v>
      </c>
      <c r="BB620" s="4">
        <f>IF($A620=BB$586,"",COUNTIF($E$4:$E$582,$A620&amp;" ضد "&amp;BB$586)+COUNTIF($E$4:$E$582,BB$586&amp;" ضد "&amp;$A620))</f>
        <v>0</v>
      </c>
      <c r="BC620" s="4">
        <f>IF($A620=BC$586,"",COUNTIF($E$4:$E$582,$A620&amp;" ضد "&amp;BC$586)+COUNTIF($E$4:$E$582,BC$586&amp;" ضد "&amp;$A620))</f>
        <v>0</v>
      </c>
      <c r="BD620" s="4">
        <f>IF($A620=BD$586,"",COUNTIF($E$4:$E$582,$A620&amp;" ضد "&amp;BD$586)+COUNTIF($E$4:$E$582,BD$586&amp;" ضد "&amp;$A620))</f>
        <v>0</v>
      </c>
      <c r="BE620" s="4">
        <f>IF($A620=BE$586,"",COUNTIF($E$4:$E$582,$A620&amp;" ضد "&amp;BE$586)+COUNTIF($E$4:$E$582,BE$586&amp;" ضد "&amp;$A620))</f>
        <v>0</v>
      </c>
      <c r="BF620" s="4">
        <f>IF($A620=BF$586,"",COUNTIF($E$4:$E$582,$A620&amp;" ضد "&amp;BF$586)+COUNTIF($E$4:$E$582,BF$586&amp;" ضد "&amp;$A620))</f>
        <v>0</v>
      </c>
      <c r="BG620" s="4">
        <f>IF($A620=BG$586,"",COUNTIF($E$4:$E$582,$A620&amp;" ضد "&amp;BG$586)+COUNTIF($E$4:$E$582,BG$586&amp;" ضد "&amp;$A620))</f>
        <v>0</v>
      </c>
      <c r="BH620" s="4">
        <f>IF($A620=BH$586,"",COUNTIF($E$4:$E$582,$A620&amp;" ضد "&amp;BH$586)+COUNTIF($E$4:$E$582,BH$586&amp;" ضد "&amp;$A620))</f>
        <v>0</v>
      </c>
      <c r="BI620" s="4">
        <f>IF($A620=BI$586,"",COUNTIF($E$4:$E$582,$A620&amp;" ضد "&amp;BI$586)+COUNTIF($E$4:$E$582,BI$586&amp;" ضد "&amp;$A620))</f>
        <v>0</v>
      </c>
      <c r="BJ620" s="4">
        <f>IF($A620=BJ$586,"",COUNTIF($E$4:$E$582,$A620&amp;" ضد "&amp;BJ$586)+COUNTIF($E$4:$E$582,BJ$586&amp;" ضد "&amp;$A620))</f>
        <v>0</v>
      </c>
      <c r="BK620" s="4">
        <f>IF($A620=BK$586,"",COUNTIF($E$4:$E$582,$A620&amp;" ضد "&amp;BK$586)+COUNTIF($E$4:$E$582,BK$586&amp;" ضد "&amp;$A620))</f>
        <v>0</v>
      </c>
      <c r="BL620" s="4">
        <f>IF($A620=BL$586,"",COUNTIF($E$4:$E$582,$A620&amp;" ضد "&amp;BL$586)+COUNTIF($E$4:$E$582,BL$586&amp;" ضد "&amp;$A620))</f>
        <v>0</v>
      </c>
      <c r="BM620" s="4">
        <f>IF($A620=BM$586,"",COUNTIF($E$4:$E$582,$A620&amp;" ضد "&amp;BM$586)+COUNTIF($E$4:$E$582,BM$586&amp;" ضد "&amp;$A620))</f>
        <v>0</v>
      </c>
    </row>
    <row r="621" spans="1:65" ht="14.5">
      <c r="A621" s="14">
        <v>35</v>
      </c>
      <c r="B621" s="4">
        <f>IF($A621=B$586,"",COUNTIF($E$4:$E$582,$A621&amp;" ضد "&amp;B$586)+COUNTIF($E$4:$E$582,B$586&amp;" ضد "&amp;$A621))</f>
        <v>0</v>
      </c>
      <c r="C621" s="4">
        <f>IF($A621=C$586,"",COUNTIF($E$4:$E$582,$A621&amp;" ضد "&amp;C$586)+COUNTIF($E$4:$E$582,C$586&amp;" ضد "&amp;$A621))</f>
        <v>0</v>
      </c>
      <c r="D621" s="4">
        <f>IF($A621=D$586,"",COUNTIF($E$4:$E$582,$A621&amp;" ضد "&amp;D$586)+COUNTIF($E$4:$E$582,D$586&amp;" ضد "&amp;$A621))</f>
        <v>0</v>
      </c>
      <c r="E621" s="4">
        <f>IF($A621=E$586,"",COUNTIF($E$4:$E$582,$A621&amp;" ضد "&amp;E$586)+COUNTIF($E$4:$E$582,E$586&amp;" ضد "&amp;$A621))</f>
        <v>0</v>
      </c>
      <c r="F621" s="4">
        <f>IF($A621=F$586,"",COUNTIF($E$4:$E$582,$A621&amp;" ضد "&amp;F$586)+COUNTIF($E$4:$E$582,F$586&amp;" ضد "&amp;$A621))</f>
        <v>0</v>
      </c>
      <c r="G621" s="4">
        <f>IF($A621=G$586,"",COUNTIF($E$4:$E$582,$A621&amp;" ضد "&amp;G$586)+COUNTIF($E$4:$E$582,G$586&amp;" ضد "&amp;$A621))</f>
        <v>0</v>
      </c>
      <c r="H621" s="4">
        <f>IF($A621=H$586,"",COUNTIF($E$4:$E$582,$A621&amp;" ضد "&amp;H$586)+COUNTIF($E$4:$E$582,H$586&amp;" ضد "&amp;$A621))</f>
        <v>0</v>
      </c>
      <c r="I621" s="4">
        <f>IF($A621=I$586,"",COUNTIF($E$4:$E$582,$A621&amp;" ضد "&amp;I$586)+COUNTIF($E$4:$E$582,I$586&amp;" ضد "&amp;$A621))</f>
        <v>0</v>
      </c>
      <c r="J621" s="4">
        <f>IF($A621=J$586,"",COUNTIF($E$4:$E$582,$A621&amp;" ضد "&amp;J$586)+COUNTIF($E$4:$E$582,J$586&amp;" ضد "&amp;$A621))</f>
        <v>0</v>
      </c>
      <c r="K621" s="4">
        <f>IF($A621=K$586,"",COUNTIF($E$4:$E$582,$A621&amp;" ضد "&amp;K$586)+COUNTIF($E$4:$E$582,K$586&amp;" ضد "&amp;$A621))</f>
        <v>0</v>
      </c>
      <c r="L621" s="4">
        <f>IF($A621=L$586,"",COUNTIF($E$4:$E$582,$A621&amp;" ضد "&amp;L$586)+COUNTIF($E$4:$E$582,L$586&amp;" ضد "&amp;$A621))</f>
        <v>0</v>
      </c>
      <c r="M621" s="4">
        <f>IF($A621=M$586,"",COUNTIF($E$4:$E$582,$A621&amp;" ضد "&amp;M$586)+COUNTIF($E$4:$E$582,M$586&amp;" ضد "&amp;$A621))</f>
        <v>0</v>
      </c>
      <c r="N621" s="4">
        <f>IF($A621=N$586,"",COUNTIF($E$4:$E$582,$A621&amp;" ضد "&amp;N$586)+COUNTIF($E$4:$E$582,N$586&amp;" ضد "&amp;$A621))</f>
        <v>0</v>
      </c>
      <c r="O621" s="4">
        <f>IF($A621=O$586,"",COUNTIF($E$4:$E$582,$A621&amp;" ضد "&amp;O$586)+COUNTIF($E$4:$E$582,O$586&amp;" ضد "&amp;$A621))</f>
        <v>0</v>
      </c>
      <c r="P621" s="4">
        <f>IF($A621=P$586,"",COUNTIF($E$4:$E$582,$A621&amp;" ضد "&amp;P$586)+COUNTIF($E$4:$E$582,P$586&amp;" ضد "&amp;$A621))</f>
        <v>0</v>
      </c>
      <c r="Q621" s="4">
        <f>IF($A621=Q$586,"",COUNTIF($E$4:$E$582,$A621&amp;" ضد "&amp;Q$586)+COUNTIF($E$4:$E$582,Q$586&amp;" ضد "&amp;$A621))</f>
        <v>0</v>
      </c>
      <c r="R621" s="4">
        <f>IF($A621=R$586,"",COUNTIF($E$4:$E$582,$A621&amp;" ضد "&amp;R$586)+COUNTIF($E$4:$E$582,R$586&amp;" ضد "&amp;$A621))</f>
        <v>0</v>
      </c>
      <c r="S621" s="4">
        <f>IF($A621=S$586,"",COUNTIF($E$4:$E$582,$A621&amp;" ضد "&amp;S$586)+COUNTIF($E$4:$E$582,S$586&amp;" ضد "&amp;$A621))</f>
        <v>0</v>
      </c>
      <c r="T621" s="4">
        <f>IF($A621=T$586,"",COUNTIF($E$4:$E$582,$A621&amp;" ضد "&amp;T$586)+COUNTIF($E$4:$E$582,T$586&amp;" ضد "&amp;$A621))</f>
        <v>0</v>
      </c>
      <c r="U621" s="4">
        <f>IF($A621=U$586,"",COUNTIF($E$4:$E$582,$A621&amp;" ضد "&amp;U$586)+COUNTIF($E$4:$E$582,U$586&amp;" ضد "&amp;$A621))</f>
        <v>0</v>
      </c>
      <c r="V621" s="4">
        <f>IF($A621=V$586,"",COUNTIF($E$4:$E$582,$A621&amp;" ضد "&amp;V$586)+COUNTIF($E$4:$E$582,V$586&amp;" ضد "&amp;$A621))</f>
        <v>0</v>
      </c>
      <c r="W621" s="4">
        <f>IF($A621=W$586,"",COUNTIF($E$4:$E$582,$A621&amp;" ضد "&amp;W$586)+COUNTIF($E$4:$E$582,W$586&amp;" ضد "&amp;$A621))</f>
        <v>0</v>
      </c>
      <c r="X621" s="4">
        <f>IF($A621=X$586,"",COUNTIF($E$4:$E$582,$A621&amp;" ضد "&amp;X$586)+COUNTIF($E$4:$E$582,X$586&amp;" ضد "&amp;$A621))</f>
        <v>0</v>
      </c>
      <c r="Y621" s="4">
        <f>IF($A621=Y$586,"",COUNTIF($E$4:$E$582,$A621&amp;" ضد "&amp;Y$586)+COUNTIF($E$4:$E$582,Y$586&amp;" ضد "&amp;$A621))</f>
        <v>0</v>
      </c>
      <c r="Z621" s="4">
        <f>IF($A621=Z$586,"",COUNTIF($E$4:$E$582,$A621&amp;" ضد "&amp;Z$586)+COUNTIF($E$4:$E$582,Z$586&amp;" ضد "&amp;$A621))</f>
        <v>0</v>
      </c>
      <c r="AA621" s="4">
        <f>IF($A621=AA$586,"",COUNTIF($E$4:$E$582,$A621&amp;" ضد "&amp;AA$586)+COUNTIF($E$4:$E$582,AA$586&amp;" ضد "&amp;$A621))</f>
        <v>0</v>
      </c>
      <c r="AB621" s="4">
        <f>IF($A621=AB$586,"",COUNTIF($E$4:$E$582,$A621&amp;" ضد "&amp;AB$586)+COUNTIF($E$4:$E$582,AB$586&amp;" ضد "&amp;$A621))</f>
        <v>0</v>
      </c>
      <c r="AC621" s="4">
        <f>IF($A621=AC$586,"",COUNTIF($E$4:$E$582,$A621&amp;" ضد "&amp;AC$586)+COUNTIF($E$4:$E$582,AC$586&amp;" ضد "&amp;$A621))</f>
        <v>0</v>
      </c>
      <c r="AD621" s="4">
        <f>IF($A621=AD$586,"",COUNTIF($E$4:$E$582,$A621&amp;" ضد "&amp;AD$586)+COUNTIF($E$4:$E$582,AD$586&amp;" ضد "&amp;$A621))</f>
        <v>0</v>
      </c>
      <c r="AE621" s="4">
        <f>IF($A621=AE$586,"",COUNTIF($E$4:$E$582,$A621&amp;" ضد "&amp;AE$586)+COUNTIF($E$4:$E$582,AE$586&amp;" ضد "&amp;$A621))</f>
        <v>0</v>
      </c>
      <c r="AF621" s="4">
        <f>IF($A621=AF$586,"",COUNTIF($E$4:$E$582,$A621&amp;" ضد "&amp;AF$586)+COUNTIF($E$4:$E$582,AF$586&amp;" ضد "&amp;$A621))</f>
        <v>0</v>
      </c>
      <c r="AG621" s="4">
        <f>IF($A621=AG$586,"",COUNTIF($E$4:$E$582,$A621&amp;" ضد "&amp;AG$586)+COUNTIF($E$4:$E$582,AG$586&amp;" ضد "&amp;$A621))</f>
        <v>0</v>
      </c>
      <c r="AH621" s="4">
        <f>IF($A621=AH$586,"",COUNTIF($E$4:$E$582,$A621&amp;" ضد "&amp;AH$586)+COUNTIF($E$4:$E$582,AH$586&amp;" ضد "&amp;$A621))</f>
        <v>1</v>
      </c>
      <c r="AI621" s="4">
        <f>IF($A621=AI$586,"",COUNTIF($E$4:$E$582,$A621&amp;" ضد "&amp;AI$586)+COUNTIF($E$4:$E$582,AI$586&amp;" ضد "&amp;$A621))</f>
        <v>1</v>
      </c>
      <c r="AJ621" s="4" t="str">
        <f>IF($A621=AJ$586,"",COUNTIF($E$4:$E$582,$A621&amp;" ضد "&amp;AJ$586)+COUNTIF($E$4:$E$582,AJ$586&amp;" ضد "&amp;$A621))</f>
        <v/>
      </c>
      <c r="AK621" s="4">
        <f>IF($A621=AK$586,"",COUNTIF($E$4:$E$582,$A621&amp;" ضد "&amp;AK$586)+COUNTIF($E$4:$E$582,AK$586&amp;" ضد "&amp;$A621))</f>
        <v>1</v>
      </c>
      <c r="AL621" s="4">
        <f>IF($A621=AL$586,"",COUNTIF($E$4:$E$582,$A621&amp;" ضد "&amp;AL$586)+COUNTIF($E$4:$E$582,AL$586&amp;" ضد "&amp;$A621))</f>
        <v>1</v>
      </c>
      <c r="AM621" s="4">
        <f>IF($A621=AM$586,"",COUNTIF($E$4:$E$582,$A621&amp;" ضد "&amp;AM$586)+COUNTIF($E$4:$E$582,AM$586&amp;" ضد "&amp;$A621))</f>
        <v>1</v>
      </c>
      <c r="AN621" s="4">
        <f>IF($A621=AN$586,"",COUNTIF($E$4:$E$582,$A621&amp;" ضد "&amp;AN$586)+COUNTIF($E$4:$E$582,AN$586&amp;" ضد "&amp;$A621))</f>
        <v>1</v>
      </c>
      <c r="AO621" s="4">
        <f>IF($A621=AO$586,"",COUNTIF($E$4:$E$582,$A621&amp;" ضد "&amp;AO$586)+COUNTIF($E$4:$E$582,AO$586&amp;" ضد "&amp;$A621))</f>
        <v>1</v>
      </c>
      <c r="AP621" s="4">
        <f>IF($A621=AP$586,"",COUNTIF($E$4:$E$582,$A621&amp;" ضد "&amp;AP$586)+COUNTIF($E$4:$E$582,AP$586&amp;" ضد "&amp;$A621))</f>
        <v>1</v>
      </c>
      <c r="AQ621" s="4">
        <f>IF($A621=AQ$586,"",COUNTIF($E$4:$E$582,$A621&amp;" ضد "&amp;AQ$586)+COUNTIF($E$4:$E$582,AQ$586&amp;" ضد "&amp;$A621))</f>
        <v>2</v>
      </c>
      <c r="AR621" s="4">
        <f>IF($A621=AR$586,"",COUNTIF($E$4:$E$582,$A621&amp;" ضد "&amp;AR$586)+COUNTIF($E$4:$E$582,AR$586&amp;" ضد "&amp;$A621))</f>
        <v>1</v>
      </c>
      <c r="AS621" s="4">
        <f>IF($A621=AS$586,"",COUNTIF($E$4:$E$582,$A621&amp;" ضد "&amp;AS$586)+COUNTIF($E$4:$E$582,AS$586&amp;" ضد "&amp;$A621))</f>
        <v>2</v>
      </c>
      <c r="AT621" s="4">
        <f>IF($A621=AT$586,"",COUNTIF($E$4:$E$582,$A621&amp;" ضد "&amp;AT$586)+COUNTIF($E$4:$E$582,AT$586&amp;" ضد "&amp;$A621))</f>
        <v>1</v>
      </c>
      <c r="AU621" s="4">
        <f>IF($A621=AU$586,"",COUNTIF($E$4:$E$582,$A621&amp;" ضد "&amp;AU$586)+COUNTIF($E$4:$E$582,AU$586&amp;" ضد "&amp;$A621))</f>
        <v>2</v>
      </c>
      <c r="AV621" s="4">
        <f>IF($A621=AV$586,"",COUNTIF($E$4:$E$582,$A621&amp;" ضد "&amp;AV$586)+COUNTIF($E$4:$E$582,AV$586&amp;" ضد "&amp;$A621))</f>
        <v>1</v>
      </c>
      <c r="AW621" s="4">
        <f>IF($A621=AW$586,"",COUNTIF($E$4:$E$582,$A621&amp;" ضد "&amp;AW$586)+COUNTIF($E$4:$E$582,AW$586&amp;" ضد "&amp;$A621))</f>
        <v>1</v>
      </c>
      <c r="AX621" s="4">
        <f>IF($A621=AX$586,"",COUNTIF($E$4:$E$582,$A621&amp;" ضد "&amp;AX$586)+COUNTIF($E$4:$E$582,AX$586&amp;" ضد "&amp;$A621))</f>
        <v>0</v>
      </c>
      <c r="AY621" s="4">
        <f>IF($A621=AY$586,"",COUNTIF($E$4:$E$582,$A621&amp;" ضد "&amp;AY$586)+COUNTIF($E$4:$E$582,AY$586&amp;" ضد "&amp;$A621))</f>
        <v>0</v>
      </c>
      <c r="AZ621" s="4">
        <f>IF($A621=AZ$586,"",COUNTIF($E$4:$E$582,$A621&amp;" ضد "&amp;AZ$586)+COUNTIF($E$4:$E$582,AZ$586&amp;" ضد "&amp;$A621))</f>
        <v>0</v>
      </c>
      <c r="BA621" s="4">
        <f>IF($A621=BA$586,"",COUNTIF($E$4:$E$582,$A621&amp;" ضد "&amp;BA$586)+COUNTIF($E$4:$E$582,BA$586&amp;" ضد "&amp;$A621))</f>
        <v>0</v>
      </c>
      <c r="BB621" s="4">
        <f>IF($A621=BB$586,"",COUNTIF($E$4:$E$582,$A621&amp;" ضد "&amp;BB$586)+COUNTIF($E$4:$E$582,BB$586&amp;" ضد "&amp;$A621))</f>
        <v>0</v>
      </c>
      <c r="BC621" s="4">
        <f>IF($A621=BC$586,"",COUNTIF($E$4:$E$582,$A621&amp;" ضد "&amp;BC$586)+COUNTIF($E$4:$E$582,BC$586&amp;" ضد "&amp;$A621))</f>
        <v>0</v>
      </c>
      <c r="BD621" s="4">
        <f>IF($A621=BD$586,"",COUNTIF($E$4:$E$582,$A621&amp;" ضد "&amp;BD$586)+COUNTIF($E$4:$E$582,BD$586&amp;" ضد "&amp;$A621))</f>
        <v>0</v>
      </c>
      <c r="BE621" s="4">
        <f>IF($A621=BE$586,"",COUNTIF($E$4:$E$582,$A621&amp;" ضد "&amp;BE$586)+COUNTIF($E$4:$E$582,BE$586&amp;" ضد "&amp;$A621))</f>
        <v>0</v>
      </c>
      <c r="BF621" s="4">
        <f>IF($A621=BF$586,"",COUNTIF($E$4:$E$582,$A621&amp;" ضد "&amp;BF$586)+COUNTIF($E$4:$E$582,BF$586&amp;" ضد "&amp;$A621))</f>
        <v>0</v>
      </c>
      <c r="BG621" s="4">
        <f>IF($A621=BG$586,"",COUNTIF($E$4:$E$582,$A621&amp;" ضد "&amp;BG$586)+COUNTIF($E$4:$E$582,BG$586&amp;" ضد "&amp;$A621))</f>
        <v>0</v>
      </c>
      <c r="BH621" s="4">
        <f>IF($A621=BH$586,"",COUNTIF($E$4:$E$582,$A621&amp;" ضد "&amp;BH$586)+COUNTIF($E$4:$E$582,BH$586&amp;" ضد "&amp;$A621))</f>
        <v>0</v>
      </c>
      <c r="BI621" s="4">
        <f>IF($A621=BI$586,"",COUNTIF($E$4:$E$582,$A621&amp;" ضد "&amp;BI$586)+COUNTIF($E$4:$E$582,BI$586&amp;" ضد "&amp;$A621))</f>
        <v>0</v>
      </c>
      <c r="BJ621" s="4">
        <f>IF($A621=BJ$586,"",COUNTIF($E$4:$E$582,$A621&amp;" ضد "&amp;BJ$586)+COUNTIF($E$4:$E$582,BJ$586&amp;" ضد "&amp;$A621))</f>
        <v>0</v>
      </c>
      <c r="BK621" s="4">
        <f>IF($A621=BK$586,"",COUNTIF($E$4:$E$582,$A621&amp;" ضد "&amp;BK$586)+COUNTIF($E$4:$E$582,BK$586&amp;" ضد "&amp;$A621))</f>
        <v>0</v>
      </c>
      <c r="BL621" s="4">
        <f>IF($A621=BL$586,"",COUNTIF($E$4:$E$582,$A621&amp;" ضد "&amp;BL$586)+COUNTIF($E$4:$E$582,BL$586&amp;" ضد "&amp;$A621))</f>
        <v>0</v>
      </c>
      <c r="BM621" s="4">
        <f>IF($A621=BM$586,"",COUNTIF($E$4:$E$582,$A621&amp;" ضد "&amp;BM$586)+COUNTIF($E$4:$E$582,BM$586&amp;" ضد "&amp;$A621))</f>
        <v>0</v>
      </c>
    </row>
    <row r="622" spans="1:65" ht="14.5">
      <c r="A622" s="14">
        <v>36</v>
      </c>
      <c r="B622" s="4">
        <f>IF($A622=B$586,"",COUNTIF($E$4:$E$582,$A622&amp;" ضد "&amp;B$586)+COUNTIF($E$4:$E$582,B$586&amp;" ضد "&amp;$A622))</f>
        <v>0</v>
      </c>
      <c r="C622" s="4">
        <f>IF($A622=C$586,"",COUNTIF($E$4:$E$582,$A622&amp;" ضد "&amp;C$586)+COUNTIF($E$4:$E$582,C$586&amp;" ضد "&amp;$A622))</f>
        <v>0</v>
      </c>
      <c r="D622" s="4">
        <f>IF($A622=D$586,"",COUNTIF($E$4:$E$582,$A622&amp;" ضد "&amp;D$586)+COUNTIF($E$4:$E$582,D$586&amp;" ضد "&amp;$A622))</f>
        <v>0</v>
      </c>
      <c r="E622" s="4">
        <f>IF($A622=E$586,"",COUNTIF($E$4:$E$582,$A622&amp;" ضد "&amp;E$586)+COUNTIF($E$4:$E$582,E$586&amp;" ضد "&amp;$A622))</f>
        <v>0</v>
      </c>
      <c r="F622" s="4">
        <f>IF($A622=F$586,"",COUNTIF($E$4:$E$582,$A622&amp;" ضد "&amp;F$586)+COUNTIF($E$4:$E$582,F$586&amp;" ضد "&amp;$A622))</f>
        <v>0</v>
      </c>
      <c r="G622" s="4">
        <f>IF($A622=G$586,"",COUNTIF($E$4:$E$582,$A622&amp;" ضد "&amp;G$586)+COUNTIF($E$4:$E$582,G$586&amp;" ضد "&amp;$A622))</f>
        <v>0</v>
      </c>
      <c r="H622" s="4">
        <f>IF($A622=H$586,"",COUNTIF($E$4:$E$582,$A622&amp;" ضد "&amp;H$586)+COUNTIF($E$4:$E$582,H$586&amp;" ضد "&amp;$A622))</f>
        <v>0</v>
      </c>
      <c r="I622" s="4">
        <f>IF($A622=I$586,"",COUNTIF($E$4:$E$582,$A622&amp;" ضد "&amp;I$586)+COUNTIF($E$4:$E$582,I$586&amp;" ضد "&amp;$A622))</f>
        <v>0</v>
      </c>
      <c r="J622" s="4">
        <f>IF($A622=J$586,"",COUNTIF($E$4:$E$582,$A622&amp;" ضد "&amp;J$586)+COUNTIF($E$4:$E$582,J$586&amp;" ضد "&amp;$A622))</f>
        <v>0</v>
      </c>
      <c r="K622" s="4">
        <f>IF($A622=K$586,"",COUNTIF($E$4:$E$582,$A622&amp;" ضد "&amp;K$586)+COUNTIF($E$4:$E$582,K$586&amp;" ضد "&amp;$A622))</f>
        <v>0</v>
      </c>
      <c r="L622" s="4">
        <f>IF($A622=L$586,"",COUNTIF($E$4:$E$582,$A622&amp;" ضد "&amp;L$586)+COUNTIF($E$4:$E$582,L$586&amp;" ضد "&amp;$A622))</f>
        <v>0</v>
      </c>
      <c r="M622" s="4">
        <f>IF($A622=M$586,"",COUNTIF($E$4:$E$582,$A622&amp;" ضد "&amp;M$586)+COUNTIF($E$4:$E$582,M$586&amp;" ضد "&amp;$A622))</f>
        <v>0</v>
      </c>
      <c r="N622" s="4">
        <f>IF($A622=N$586,"",COUNTIF($E$4:$E$582,$A622&amp;" ضد "&amp;N$586)+COUNTIF($E$4:$E$582,N$586&amp;" ضد "&amp;$A622))</f>
        <v>0</v>
      </c>
      <c r="O622" s="4">
        <f>IF($A622=O$586,"",COUNTIF($E$4:$E$582,$A622&amp;" ضد "&amp;O$586)+COUNTIF($E$4:$E$582,O$586&amp;" ضد "&amp;$A622))</f>
        <v>0</v>
      </c>
      <c r="P622" s="4">
        <f>IF($A622=P$586,"",COUNTIF($E$4:$E$582,$A622&amp;" ضد "&amp;P$586)+COUNTIF($E$4:$E$582,P$586&amp;" ضد "&amp;$A622))</f>
        <v>0</v>
      </c>
      <c r="Q622" s="4">
        <f>IF($A622=Q$586,"",COUNTIF($E$4:$E$582,$A622&amp;" ضد "&amp;Q$586)+COUNTIF($E$4:$E$582,Q$586&amp;" ضد "&amp;$A622))</f>
        <v>0</v>
      </c>
      <c r="R622" s="4">
        <f>IF($A622=R$586,"",COUNTIF($E$4:$E$582,$A622&amp;" ضد "&amp;R$586)+COUNTIF($E$4:$E$582,R$586&amp;" ضد "&amp;$A622))</f>
        <v>0</v>
      </c>
      <c r="S622" s="4">
        <f>IF($A622=S$586,"",COUNTIF($E$4:$E$582,$A622&amp;" ضد "&amp;S$586)+COUNTIF($E$4:$E$582,S$586&amp;" ضد "&amp;$A622))</f>
        <v>0</v>
      </c>
      <c r="T622" s="4">
        <f>IF($A622=T$586,"",COUNTIF($E$4:$E$582,$A622&amp;" ضد "&amp;T$586)+COUNTIF($E$4:$E$582,T$586&amp;" ضد "&amp;$A622))</f>
        <v>0</v>
      </c>
      <c r="U622" s="4">
        <f>IF($A622=U$586,"",COUNTIF($E$4:$E$582,$A622&amp;" ضد "&amp;U$586)+COUNTIF($E$4:$E$582,U$586&amp;" ضد "&amp;$A622))</f>
        <v>0</v>
      </c>
      <c r="V622" s="4">
        <f>IF($A622=V$586,"",COUNTIF($E$4:$E$582,$A622&amp;" ضد "&amp;V$586)+COUNTIF($E$4:$E$582,V$586&amp;" ضد "&amp;$A622))</f>
        <v>0</v>
      </c>
      <c r="W622" s="4">
        <f>IF($A622=W$586,"",COUNTIF($E$4:$E$582,$A622&amp;" ضد "&amp;W$586)+COUNTIF($E$4:$E$582,W$586&amp;" ضد "&amp;$A622))</f>
        <v>0</v>
      </c>
      <c r="X622" s="4">
        <f>IF($A622=X$586,"",COUNTIF($E$4:$E$582,$A622&amp;" ضد "&amp;X$586)+COUNTIF($E$4:$E$582,X$586&amp;" ضد "&amp;$A622))</f>
        <v>0</v>
      </c>
      <c r="Y622" s="4">
        <f>IF($A622=Y$586,"",COUNTIF($E$4:$E$582,$A622&amp;" ضد "&amp;Y$586)+COUNTIF($E$4:$E$582,Y$586&amp;" ضد "&amp;$A622))</f>
        <v>0</v>
      </c>
      <c r="Z622" s="4">
        <f>IF($A622=Z$586,"",COUNTIF($E$4:$E$582,$A622&amp;" ضد "&amp;Z$586)+COUNTIF($E$4:$E$582,Z$586&amp;" ضد "&amp;$A622))</f>
        <v>0</v>
      </c>
      <c r="AA622" s="4">
        <f>IF($A622=AA$586,"",COUNTIF($E$4:$E$582,$A622&amp;" ضد "&amp;AA$586)+COUNTIF($E$4:$E$582,AA$586&amp;" ضد "&amp;$A622))</f>
        <v>0</v>
      </c>
      <c r="AB622" s="4">
        <f>IF($A622=AB$586,"",COUNTIF($E$4:$E$582,$A622&amp;" ضد "&amp;AB$586)+COUNTIF($E$4:$E$582,AB$586&amp;" ضد "&amp;$A622))</f>
        <v>0</v>
      </c>
      <c r="AC622" s="4">
        <f>IF($A622=AC$586,"",COUNTIF($E$4:$E$582,$A622&amp;" ضد "&amp;AC$586)+COUNTIF($E$4:$E$582,AC$586&amp;" ضد "&amp;$A622))</f>
        <v>0</v>
      </c>
      <c r="AD622" s="4">
        <f>IF($A622=AD$586,"",COUNTIF($E$4:$E$582,$A622&amp;" ضد "&amp;AD$586)+COUNTIF($E$4:$E$582,AD$586&amp;" ضد "&amp;$A622))</f>
        <v>0</v>
      </c>
      <c r="AE622" s="4">
        <f>IF($A622=AE$586,"",COUNTIF($E$4:$E$582,$A622&amp;" ضد "&amp;AE$586)+COUNTIF($E$4:$E$582,AE$586&amp;" ضد "&amp;$A622))</f>
        <v>0</v>
      </c>
      <c r="AF622" s="4">
        <f>IF($A622=AF$586,"",COUNTIF($E$4:$E$582,$A622&amp;" ضد "&amp;AF$586)+COUNTIF($E$4:$E$582,AF$586&amp;" ضد "&amp;$A622))</f>
        <v>0</v>
      </c>
      <c r="AG622" s="4">
        <f>IF($A622=AG$586,"",COUNTIF($E$4:$E$582,$A622&amp;" ضد "&amp;AG$586)+COUNTIF($E$4:$E$582,AG$586&amp;" ضد "&amp;$A622))</f>
        <v>0</v>
      </c>
      <c r="AH622" s="4">
        <f>IF($A622=AH$586,"",COUNTIF($E$4:$E$582,$A622&amp;" ضد "&amp;AH$586)+COUNTIF($E$4:$E$582,AH$586&amp;" ضد "&amp;$A622))</f>
        <v>1</v>
      </c>
      <c r="AI622" s="4">
        <f>IF($A622=AI$586,"",COUNTIF($E$4:$E$582,$A622&amp;" ضد "&amp;AI$586)+COUNTIF($E$4:$E$582,AI$586&amp;" ضد "&amp;$A622))</f>
        <v>1</v>
      </c>
      <c r="AJ622" s="4">
        <f>IF($A622=AJ$586,"",COUNTIF($E$4:$E$582,$A622&amp;" ضد "&amp;AJ$586)+COUNTIF($E$4:$E$582,AJ$586&amp;" ضد "&amp;$A622))</f>
        <v>1</v>
      </c>
      <c r="AK622" s="4" t="str">
        <f>IF($A622=AK$586,"",COUNTIF($E$4:$E$582,$A622&amp;" ضد "&amp;AK$586)+COUNTIF($E$4:$E$582,AK$586&amp;" ضد "&amp;$A622))</f>
        <v/>
      </c>
      <c r="AL622" s="4">
        <f>IF($A622=AL$586,"",COUNTIF($E$4:$E$582,$A622&amp;" ضد "&amp;AL$586)+COUNTIF($E$4:$E$582,AL$586&amp;" ضد "&amp;$A622))</f>
        <v>1</v>
      </c>
      <c r="AM622" s="4">
        <f>IF($A622=AM$586,"",COUNTIF($E$4:$E$582,$A622&amp;" ضد "&amp;AM$586)+COUNTIF($E$4:$E$582,AM$586&amp;" ضد "&amp;$A622))</f>
        <v>1</v>
      </c>
      <c r="AN622" s="4">
        <f>IF($A622=AN$586,"",COUNTIF($E$4:$E$582,$A622&amp;" ضد "&amp;AN$586)+COUNTIF($E$4:$E$582,AN$586&amp;" ضد "&amp;$A622))</f>
        <v>1</v>
      </c>
      <c r="AO622" s="4">
        <f>IF($A622=AO$586,"",COUNTIF($E$4:$E$582,$A622&amp;" ضد "&amp;AO$586)+COUNTIF($E$4:$E$582,AO$586&amp;" ضد "&amp;$A622))</f>
        <v>1</v>
      </c>
      <c r="AP622" s="4">
        <f>IF($A622=AP$586,"",COUNTIF($E$4:$E$582,$A622&amp;" ضد "&amp;AP$586)+COUNTIF($E$4:$E$582,AP$586&amp;" ضد "&amp;$A622))</f>
        <v>2</v>
      </c>
      <c r="AQ622" s="4">
        <f>IF($A622=AQ$586,"",COUNTIF($E$4:$E$582,$A622&amp;" ضد "&amp;AQ$586)+COUNTIF($E$4:$E$582,AQ$586&amp;" ضد "&amp;$A622))</f>
        <v>1</v>
      </c>
      <c r="AR622" s="4">
        <f>IF($A622=AR$586,"",COUNTIF($E$4:$E$582,$A622&amp;" ضد "&amp;AR$586)+COUNTIF($E$4:$E$582,AR$586&amp;" ضد "&amp;$A622))</f>
        <v>2</v>
      </c>
      <c r="AS622" s="4">
        <f>IF($A622=AS$586,"",COUNTIF($E$4:$E$582,$A622&amp;" ضد "&amp;AS$586)+COUNTIF($E$4:$E$582,AS$586&amp;" ضد "&amp;$A622))</f>
        <v>1</v>
      </c>
      <c r="AT622" s="4">
        <f>IF($A622=AT$586,"",COUNTIF($E$4:$E$582,$A622&amp;" ضد "&amp;AT$586)+COUNTIF($E$4:$E$582,AT$586&amp;" ضد "&amp;$A622))</f>
        <v>2</v>
      </c>
      <c r="AU622" s="4">
        <f>IF($A622=AU$586,"",COUNTIF($E$4:$E$582,$A622&amp;" ضد "&amp;AU$586)+COUNTIF($E$4:$E$582,AU$586&amp;" ضد "&amp;$A622))</f>
        <v>1</v>
      </c>
      <c r="AV622" s="4">
        <f>IF($A622=AV$586,"",COUNTIF($E$4:$E$582,$A622&amp;" ضد "&amp;AV$586)+COUNTIF($E$4:$E$582,AV$586&amp;" ضد "&amp;$A622))</f>
        <v>1</v>
      </c>
      <c r="AW622" s="4">
        <f>IF($A622=AW$586,"",COUNTIF($E$4:$E$582,$A622&amp;" ضد "&amp;AW$586)+COUNTIF($E$4:$E$582,AW$586&amp;" ضد "&amp;$A622))</f>
        <v>1</v>
      </c>
      <c r="AX622" s="4">
        <f>IF($A622=AX$586,"",COUNTIF($E$4:$E$582,$A622&amp;" ضد "&amp;AX$586)+COUNTIF($E$4:$E$582,AX$586&amp;" ضد "&amp;$A622))</f>
        <v>0</v>
      </c>
      <c r="AY622" s="4">
        <f>IF($A622=AY$586,"",COUNTIF($E$4:$E$582,$A622&amp;" ضد "&amp;AY$586)+COUNTIF($E$4:$E$582,AY$586&amp;" ضد "&amp;$A622))</f>
        <v>0</v>
      </c>
      <c r="AZ622" s="4">
        <f>IF($A622=AZ$586,"",COUNTIF($E$4:$E$582,$A622&amp;" ضد "&amp;AZ$586)+COUNTIF($E$4:$E$582,AZ$586&amp;" ضد "&amp;$A622))</f>
        <v>0</v>
      </c>
      <c r="BA622" s="4">
        <f>IF($A622=BA$586,"",COUNTIF($E$4:$E$582,$A622&amp;" ضد "&amp;BA$586)+COUNTIF($E$4:$E$582,BA$586&amp;" ضد "&amp;$A622))</f>
        <v>0</v>
      </c>
      <c r="BB622" s="4">
        <f>IF($A622=BB$586,"",COUNTIF($E$4:$E$582,$A622&amp;" ضد "&amp;BB$586)+COUNTIF($E$4:$E$582,BB$586&amp;" ضد "&amp;$A622))</f>
        <v>0</v>
      </c>
      <c r="BC622" s="4">
        <f>IF($A622=BC$586,"",COUNTIF($E$4:$E$582,$A622&amp;" ضد "&amp;BC$586)+COUNTIF($E$4:$E$582,BC$586&amp;" ضد "&amp;$A622))</f>
        <v>0</v>
      </c>
      <c r="BD622" s="4">
        <f>IF($A622=BD$586,"",COUNTIF($E$4:$E$582,$A622&amp;" ضد "&amp;BD$586)+COUNTIF($E$4:$E$582,BD$586&amp;" ضد "&amp;$A622))</f>
        <v>0</v>
      </c>
      <c r="BE622" s="4">
        <f>IF($A622=BE$586,"",COUNTIF($E$4:$E$582,$A622&amp;" ضد "&amp;BE$586)+COUNTIF($E$4:$E$582,BE$586&amp;" ضد "&amp;$A622))</f>
        <v>0</v>
      </c>
      <c r="BF622" s="4">
        <f>IF($A622=BF$586,"",COUNTIF($E$4:$E$582,$A622&amp;" ضد "&amp;BF$586)+COUNTIF($E$4:$E$582,BF$586&amp;" ضد "&amp;$A622))</f>
        <v>0</v>
      </c>
      <c r="BG622" s="4">
        <f>IF($A622=BG$586,"",COUNTIF($E$4:$E$582,$A622&amp;" ضد "&amp;BG$586)+COUNTIF($E$4:$E$582,BG$586&amp;" ضد "&amp;$A622))</f>
        <v>0</v>
      </c>
      <c r="BH622" s="4">
        <f>IF($A622=BH$586,"",COUNTIF($E$4:$E$582,$A622&amp;" ضد "&amp;BH$586)+COUNTIF($E$4:$E$582,BH$586&amp;" ضد "&amp;$A622))</f>
        <v>0</v>
      </c>
      <c r="BI622" s="4">
        <f>IF($A622=BI$586,"",COUNTIF($E$4:$E$582,$A622&amp;" ضد "&amp;BI$586)+COUNTIF($E$4:$E$582,BI$586&amp;" ضد "&amp;$A622))</f>
        <v>0</v>
      </c>
      <c r="BJ622" s="4">
        <f>IF($A622=BJ$586,"",COUNTIF($E$4:$E$582,$A622&amp;" ضد "&amp;BJ$586)+COUNTIF($E$4:$E$582,BJ$586&amp;" ضد "&amp;$A622))</f>
        <v>0</v>
      </c>
      <c r="BK622" s="4">
        <f>IF($A622=BK$586,"",COUNTIF($E$4:$E$582,$A622&amp;" ضد "&amp;BK$586)+COUNTIF($E$4:$E$582,BK$586&amp;" ضد "&amp;$A622))</f>
        <v>0</v>
      </c>
      <c r="BL622" s="4">
        <f>IF($A622=BL$586,"",COUNTIF($E$4:$E$582,$A622&amp;" ضد "&amp;BL$586)+COUNTIF($E$4:$E$582,BL$586&amp;" ضد "&amp;$A622))</f>
        <v>0</v>
      </c>
      <c r="BM622" s="4">
        <f>IF($A622=BM$586,"",COUNTIF($E$4:$E$582,$A622&amp;" ضد "&amp;BM$586)+COUNTIF($E$4:$E$582,BM$586&amp;" ضد "&amp;$A622))</f>
        <v>0</v>
      </c>
    </row>
    <row r="623" spans="1:65" ht="14.5">
      <c r="A623" s="14">
        <v>37</v>
      </c>
      <c r="B623" s="4">
        <f>IF($A623=B$586,"",COUNTIF($E$4:$E$582,$A623&amp;" ضد "&amp;B$586)+COUNTIF($E$4:$E$582,B$586&amp;" ضد "&amp;$A623))</f>
        <v>0</v>
      </c>
      <c r="C623" s="4">
        <f>IF($A623=C$586,"",COUNTIF($E$4:$E$582,$A623&amp;" ضد "&amp;C$586)+COUNTIF($E$4:$E$582,C$586&amp;" ضد "&amp;$A623))</f>
        <v>0</v>
      </c>
      <c r="D623" s="4">
        <f>IF($A623=D$586,"",COUNTIF($E$4:$E$582,$A623&amp;" ضد "&amp;D$586)+COUNTIF($E$4:$E$582,D$586&amp;" ضد "&amp;$A623))</f>
        <v>0</v>
      </c>
      <c r="E623" s="4">
        <f>IF($A623=E$586,"",COUNTIF($E$4:$E$582,$A623&amp;" ضد "&amp;E$586)+COUNTIF($E$4:$E$582,E$586&amp;" ضد "&amp;$A623))</f>
        <v>0</v>
      </c>
      <c r="F623" s="4">
        <f>IF($A623=F$586,"",COUNTIF($E$4:$E$582,$A623&amp;" ضد "&amp;F$586)+COUNTIF($E$4:$E$582,F$586&amp;" ضد "&amp;$A623))</f>
        <v>0</v>
      </c>
      <c r="G623" s="4">
        <f>IF($A623=G$586,"",COUNTIF($E$4:$E$582,$A623&amp;" ضد "&amp;G$586)+COUNTIF($E$4:$E$582,G$586&amp;" ضد "&amp;$A623))</f>
        <v>0</v>
      </c>
      <c r="H623" s="4">
        <f>IF($A623=H$586,"",COUNTIF($E$4:$E$582,$A623&amp;" ضد "&amp;H$586)+COUNTIF($E$4:$E$582,H$586&amp;" ضد "&amp;$A623))</f>
        <v>0</v>
      </c>
      <c r="I623" s="4">
        <f>IF($A623=I$586,"",COUNTIF($E$4:$E$582,$A623&amp;" ضد "&amp;I$586)+COUNTIF($E$4:$E$582,I$586&amp;" ضد "&amp;$A623))</f>
        <v>0</v>
      </c>
      <c r="J623" s="4">
        <f>IF($A623=J$586,"",COUNTIF($E$4:$E$582,$A623&amp;" ضد "&amp;J$586)+COUNTIF($E$4:$E$582,J$586&amp;" ضد "&amp;$A623))</f>
        <v>0</v>
      </c>
      <c r="K623" s="4">
        <f>IF($A623=K$586,"",COUNTIF($E$4:$E$582,$A623&amp;" ضد "&amp;K$586)+COUNTIF($E$4:$E$582,K$586&amp;" ضد "&amp;$A623))</f>
        <v>0</v>
      </c>
      <c r="L623" s="4">
        <f>IF($A623=L$586,"",COUNTIF($E$4:$E$582,$A623&amp;" ضد "&amp;L$586)+COUNTIF($E$4:$E$582,L$586&amp;" ضد "&amp;$A623))</f>
        <v>0</v>
      </c>
      <c r="M623" s="4">
        <f>IF($A623=M$586,"",COUNTIF($E$4:$E$582,$A623&amp;" ضد "&amp;M$586)+COUNTIF($E$4:$E$582,M$586&amp;" ضد "&amp;$A623))</f>
        <v>0</v>
      </c>
      <c r="N623" s="4">
        <f>IF($A623=N$586,"",COUNTIF($E$4:$E$582,$A623&amp;" ضد "&amp;N$586)+COUNTIF($E$4:$E$582,N$586&amp;" ضد "&amp;$A623))</f>
        <v>0</v>
      </c>
      <c r="O623" s="4">
        <f>IF($A623=O$586,"",COUNTIF($E$4:$E$582,$A623&amp;" ضد "&amp;O$586)+COUNTIF($E$4:$E$582,O$586&amp;" ضد "&amp;$A623))</f>
        <v>0</v>
      </c>
      <c r="P623" s="4">
        <f>IF($A623=P$586,"",COUNTIF($E$4:$E$582,$A623&amp;" ضد "&amp;P$586)+COUNTIF($E$4:$E$582,P$586&amp;" ضد "&amp;$A623))</f>
        <v>0</v>
      </c>
      <c r="Q623" s="4">
        <f>IF($A623=Q$586,"",COUNTIF($E$4:$E$582,$A623&amp;" ضد "&amp;Q$586)+COUNTIF($E$4:$E$582,Q$586&amp;" ضد "&amp;$A623))</f>
        <v>0</v>
      </c>
      <c r="R623" s="4">
        <f>IF($A623=R$586,"",COUNTIF($E$4:$E$582,$A623&amp;" ضد "&amp;R$586)+COUNTIF($E$4:$E$582,R$586&amp;" ضد "&amp;$A623))</f>
        <v>0</v>
      </c>
      <c r="S623" s="4">
        <f>IF($A623=S$586,"",COUNTIF($E$4:$E$582,$A623&amp;" ضد "&amp;S$586)+COUNTIF($E$4:$E$582,S$586&amp;" ضد "&amp;$A623))</f>
        <v>0</v>
      </c>
      <c r="T623" s="4">
        <f>IF($A623=T$586,"",COUNTIF($E$4:$E$582,$A623&amp;" ضد "&amp;T$586)+COUNTIF($E$4:$E$582,T$586&amp;" ضد "&amp;$A623))</f>
        <v>0</v>
      </c>
      <c r="U623" s="4">
        <f>IF($A623=U$586,"",COUNTIF($E$4:$E$582,$A623&amp;" ضد "&amp;U$586)+COUNTIF($E$4:$E$582,U$586&amp;" ضد "&amp;$A623))</f>
        <v>0</v>
      </c>
      <c r="V623" s="4">
        <f>IF($A623=V$586,"",COUNTIF($E$4:$E$582,$A623&amp;" ضد "&amp;V$586)+COUNTIF($E$4:$E$582,V$586&amp;" ضد "&amp;$A623))</f>
        <v>0</v>
      </c>
      <c r="W623" s="4">
        <f>IF($A623=W$586,"",COUNTIF($E$4:$E$582,$A623&amp;" ضد "&amp;W$586)+COUNTIF($E$4:$E$582,W$586&amp;" ضد "&amp;$A623))</f>
        <v>0</v>
      </c>
      <c r="X623" s="4">
        <f>IF($A623=X$586,"",COUNTIF($E$4:$E$582,$A623&amp;" ضد "&amp;X$586)+COUNTIF($E$4:$E$582,X$586&amp;" ضد "&amp;$A623))</f>
        <v>0</v>
      </c>
      <c r="Y623" s="4">
        <f>IF($A623=Y$586,"",COUNTIF($E$4:$E$582,$A623&amp;" ضد "&amp;Y$586)+COUNTIF($E$4:$E$582,Y$586&amp;" ضد "&amp;$A623))</f>
        <v>0</v>
      </c>
      <c r="Z623" s="4">
        <f>IF($A623=Z$586,"",COUNTIF($E$4:$E$582,$A623&amp;" ضد "&amp;Z$586)+COUNTIF($E$4:$E$582,Z$586&amp;" ضد "&amp;$A623))</f>
        <v>0</v>
      </c>
      <c r="AA623" s="4">
        <f>IF($A623=AA$586,"",COUNTIF($E$4:$E$582,$A623&amp;" ضد "&amp;AA$586)+COUNTIF($E$4:$E$582,AA$586&amp;" ضد "&amp;$A623))</f>
        <v>0</v>
      </c>
      <c r="AB623" s="4">
        <f>IF($A623=AB$586,"",COUNTIF($E$4:$E$582,$A623&amp;" ضد "&amp;AB$586)+COUNTIF($E$4:$E$582,AB$586&amp;" ضد "&amp;$A623))</f>
        <v>0</v>
      </c>
      <c r="AC623" s="4">
        <f>IF($A623=AC$586,"",COUNTIF($E$4:$E$582,$A623&amp;" ضد "&amp;AC$586)+COUNTIF($E$4:$E$582,AC$586&amp;" ضد "&amp;$A623))</f>
        <v>0</v>
      </c>
      <c r="AD623" s="4">
        <f>IF($A623=AD$586,"",COUNTIF($E$4:$E$582,$A623&amp;" ضد "&amp;AD$586)+COUNTIF($E$4:$E$582,AD$586&amp;" ضد "&amp;$A623))</f>
        <v>0</v>
      </c>
      <c r="AE623" s="4">
        <f>IF($A623=AE$586,"",COUNTIF($E$4:$E$582,$A623&amp;" ضد "&amp;AE$586)+COUNTIF($E$4:$E$582,AE$586&amp;" ضد "&amp;$A623))</f>
        <v>0</v>
      </c>
      <c r="AF623" s="4">
        <f>IF($A623=AF$586,"",COUNTIF($E$4:$E$582,$A623&amp;" ضد "&amp;AF$586)+COUNTIF($E$4:$E$582,AF$586&amp;" ضد "&amp;$A623))</f>
        <v>0</v>
      </c>
      <c r="AG623" s="4">
        <f>IF($A623=AG$586,"",COUNTIF($E$4:$E$582,$A623&amp;" ضد "&amp;AG$586)+COUNTIF($E$4:$E$582,AG$586&amp;" ضد "&amp;$A623))</f>
        <v>0</v>
      </c>
      <c r="AH623" s="4">
        <f>IF($A623=AH$586,"",COUNTIF($E$4:$E$582,$A623&amp;" ضد "&amp;AH$586)+COUNTIF($E$4:$E$582,AH$586&amp;" ضد "&amp;$A623))</f>
        <v>1</v>
      </c>
      <c r="AI623" s="4">
        <f>IF($A623=AI$586,"",COUNTIF($E$4:$E$582,$A623&amp;" ضد "&amp;AI$586)+COUNTIF($E$4:$E$582,AI$586&amp;" ضد "&amp;$A623))</f>
        <v>1</v>
      </c>
      <c r="AJ623" s="4">
        <f>IF($A623=AJ$586,"",COUNTIF($E$4:$E$582,$A623&amp;" ضد "&amp;AJ$586)+COUNTIF($E$4:$E$582,AJ$586&amp;" ضد "&amp;$A623))</f>
        <v>1</v>
      </c>
      <c r="AK623" s="4">
        <f>IF($A623=AK$586,"",COUNTIF($E$4:$E$582,$A623&amp;" ضد "&amp;AK$586)+COUNTIF($E$4:$E$582,AK$586&amp;" ضد "&amp;$A623))</f>
        <v>1</v>
      </c>
      <c r="AL623" s="4" t="str">
        <f>IF($A623=AL$586,"",COUNTIF($E$4:$E$582,$A623&amp;" ضد "&amp;AL$586)+COUNTIF($E$4:$E$582,AL$586&amp;" ضد "&amp;$A623))</f>
        <v/>
      </c>
      <c r="AM623" s="4">
        <f>IF($A623=AM$586,"",COUNTIF($E$4:$E$582,$A623&amp;" ضد "&amp;AM$586)+COUNTIF($E$4:$E$582,AM$586&amp;" ضد "&amp;$A623))</f>
        <v>1</v>
      </c>
      <c r="AN623" s="4">
        <f>IF($A623=AN$586,"",COUNTIF($E$4:$E$582,$A623&amp;" ضد "&amp;AN$586)+COUNTIF($E$4:$E$582,AN$586&amp;" ضد "&amp;$A623))</f>
        <v>1</v>
      </c>
      <c r="AO623" s="4">
        <f>IF($A623=AO$586,"",COUNTIF($E$4:$E$582,$A623&amp;" ضد "&amp;AO$586)+COUNTIF($E$4:$E$582,AO$586&amp;" ضد "&amp;$A623))</f>
        <v>2</v>
      </c>
      <c r="AP623" s="4">
        <f>IF($A623=AP$586,"",COUNTIF($E$4:$E$582,$A623&amp;" ضد "&amp;AP$586)+COUNTIF($E$4:$E$582,AP$586&amp;" ضد "&amp;$A623))</f>
        <v>1</v>
      </c>
      <c r="AQ623" s="4">
        <f>IF($A623=AQ$586,"",COUNTIF($E$4:$E$582,$A623&amp;" ضد "&amp;AQ$586)+COUNTIF($E$4:$E$582,AQ$586&amp;" ضد "&amp;$A623))</f>
        <v>2</v>
      </c>
      <c r="AR623" s="4">
        <f>IF($A623=AR$586,"",COUNTIF($E$4:$E$582,$A623&amp;" ضد "&amp;AR$586)+COUNTIF($E$4:$E$582,AR$586&amp;" ضد "&amp;$A623))</f>
        <v>1</v>
      </c>
      <c r="AS623" s="4">
        <f>IF($A623=AS$586,"",COUNTIF($E$4:$E$582,$A623&amp;" ضد "&amp;AS$586)+COUNTIF($E$4:$E$582,AS$586&amp;" ضد "&amp;$A623))</f>
        <v>2</v>
      </c>
      <c r="AT623" s="4">
        <f>IF($A623=AT$586,"",COUNTIF($E$4:$E$582,$A623&amp;" ضد "&amp;AT$586)+COUNTIF($E$4:$E$582,AT$586&amp;" ضد "&amp;$A623))</f>
        <v>1</v>
      </c>
      <c r="AU623" s="4">
        <f>IF($A623=AU$586,"",COUNTIF($E$4:$E$582,$A623&amp;" ضد "&amp;AU$586)+COUNTIF($E$4:$E$582,AU$586&amp;" ضد "&amp;$A623))</f>
        <v>1</v>
      </c>
      <c r="AV623" s="4">
        <f>IF($A623=AV$586,"",COUNTIF($E$4:$E$582,$A623&amp;" ضد "&amp;AV$586)+COUNTIF($E$4:$E$582,AV$586&amp;" ضد "&amp;$A623))</f>
        <v>1</v>
      </c>
      <c r="AW623" s="4">
        <f>IF($A623=AW$586,"",COUNTIF($E$4:$E$582,$A623&amp;" ضد "&amp;AW$586)+COUNTIF($E$4:$E$582,AW$586&amp;" ضد "&amp;$A623))</f>
        <v>1</v>
      </c>
      <c r="AX623" s="4">
        <f>IF($A623=AX$586,"",COUNTIF($E$4:$E$582,$A623&amp;" ضد "&amp;AX$586)+COUNTIF($E$4:$E$582,AX$586&amp;" ضد "&amp;$A623))</f>
        <v>0</v>
      </c>
      <c r="AY623" s="4">
        <f>IF($A623=AY$586,"",COUNTIF($E$4:$E$582,$A623&amp;" ضد "&amp;AY$586)+COUNTIF($E$4:$E$582,AY$586&amp;" ضد "&amp;$A623))</f>
        <v>0</v>
      </c>
      <c r="AZ623" s="4">
        <f>IF($A623=AZ$586,"",COUNTIF($E$4:$E$582,$A623&amp;" ضد "&amp;AZ$586)+COUNTIF($E$4:$E$582,AZ$586&amp;" ضد "&amp;$A623))</f>
        <v>0</v>
      </c>
      <c r="BA623" s="4">
        <f>IF($A623=BA$586,"",COUNTIF($E$4:$E$582,$A623&amp;" ضد "&amp;BA$586)+COUNTIF($E$4:$E$582,BA$586&amp;" ضد "&amp;$A623))</f>
        <v>0</v>
      </c>
      <c r="BB623" s="4">
        <f>IF($A623=BB$586,"",COUNTIF($E$4:$E$582,$A623&amp;" ضد "&amp;BB$586)+COUNTIF($E$4:$E$582,BB$586&amp;" ضد "&amp;$A623))</f>
        <v>0</v>
      </c>
      <c r="BC623" s="4">
        <f>IF($A623=BC$586,"",COUNTIF($E$4:$E$582,$A623&amp;" ضد "&amp;BC$586)+COUNTIF($E$4:$E$582,BC$586&amp;" ضد "&amp;$A623))</f>
        <v>0</v>
      </c>
      <c r="BD623" s="4">
        <f>IF($A623=BD$586,"",COUNTIF($E$4:$E$582,$A623&amp;" ضد "&amp;BD$586)+COUNTIF($E$4:$E$582,BD$586&amp;" ضد "&amp;$A623))</f>
        <v>0</v>
      </c>
      <c r="BE623" s="4">
        <f>IF($A623=BE$586,"",COUNTIF($E$4:$E$582,$A623&amp;" ضد "&amp;BE$586)+COUNTIF($E$4:$E$582,BE$586&amp;" ضد "&amp;$A623))</f>
        <v>0</v>
      </c>
      <c r="BF623" s="4">
        <f>IF($A623=BF$586,"",COUNTIF($E$4:$E$582,$A623&amp;" ضد "&amp;BF$586)+COUNTIF($E$4:$E$582,BF$586&amp;" ضد "&amp;$A623))</f>
        <v>0</v>
      </c>
      <c r="BG623" s="4">
        <f>IF($A623=BG$586,"",COUNTIF($E$4:$E$582,$A623&amp;" ضد "&amp;BG$586)+COUNTIF($E$4:$E$582,BG$586&amp;" ضد "&amp;$A623))</f>
        <v>0</v>
      </c>
      <c r="BH623" s="4">
        <f>IF($A623=BH$586,"",COUNTIF($E$4:$E$582,$A623&amp;" ضد "&amp;BH$586)+COUNTIF($E$4:$E$582,BH$586&amp;" ضد "&amp;$A623))</f>
        <v>0</v>
      </c>
      <c r="BI623" s="4">
        <f>IF($A623=BI$586,"",COUNTIF($E$4:$E$582,$A623&amp;" ضد "&amp;BI$586)+COUNTIF($E$4:$E$582,BI$586&amp;" ضد "&amp;$A623))</f>
        <v>0</v>
      </c>
      <c r="BJ623" s="4">
        <f>IF($A623=BJ$586,"",COUNTIF($E$4:$E$582,$A623&amp;" ضد "&amp;BJ$586)+COUNTIF($E$4:$E$582,BJ$586&amp;" ضد "&amp;$A623))</f>
        <v>0</v>
      </c>
      <c r="BK623" s="4">
        <f>IF($A623=BK$586,"",COUNTIF($E$4:$E$582,$A623&amp;" ضد "&amp;BK$586)+COUNTIF($E$4:$E$582,BK$586&amp;" ضد "&amp;$A623))</f>
        <v>0</v>
      </c>
      <c r="BL623" s="4">
        <f>IF($A623=BL$586,"",COUNTIF($E$4:$E$582,$A623&amp;" ضد "&amp;BL$586)+COUNTIF($E$4:$E$582,BL$586&amp;" ضد "&amp;$A623))</f>
        <v>0</v>
      </c>
      <c r="BM623" s="4">
        <f>IF($A623=BM$586,"",COUNTIF($E$4:$E$582,$A623&amp;" ضد "&amp;BM$586)+COUNTIF($E$4:$E$582,BM$586&amp;" ضد "&amp;$A623))</f>
        <v>0</v>
      </c>
    </row>
    <row r="624" spans="1:65" ht="14.5">
      <c r="A624" s="14">
        <v>38</v>
      </c>
      <c r="B624" s="4">
        <f>IF($A624=B$586,"",COUNTIF($E$4:$E$582,$A624&amp;" ضد "&amp;B$586)+COUNTIF($E$4:$E$582,B$586&amp;" ضد "&amp;$A624))</f>
        <v>0</v>
      </c>
      <c r="C624" s="4">
        <f>IF($A624=C$586,"",COUNTIF($E$4:$E$582,$A624&amp;" ضد "&amp;C$586)+COUNTIF($E$4:$E$582,C$586&amp;" ضد "&amp;$A624))</f>
        <v>0</v>
      </c>
      <c r="D624" s="4">
        <f>IF($A624=D$586,"",COUNTIF($E$4:$E$582,$A624&amp;" ضد "&amp;D$586)+COUNTIF($E$4:$E$582,D$586&amp;" ضد "&amp;$A624))</f>
        <v>0</v>
      </c>
      <c r="E624" s="4">
        <f>IF($A624=E$586,"",COUNTIF($E$4:$E$582,$A624&amp;" ضد "&amp;E$586)+COUNTIF($E$4:$E$582,E$586&amp;" ضد "&amp;$A624))</f>
        <v>0</v>
      </c>
      <c r="F624" s="4">
        <f>IF($A624=F$586,"",COUNTIF($E$4:$E$582,$A624&amp;" ضد "&amp;F$586)+COUNTIF($E$4:$E$582,F$586&amp;" ضد "&amp;$A624))</f>
        <v>0</v>
      </c>
      <c r="G624" s="4">
        <f>IF($A624=G$586,"",COUNTIF($E$4:$E$582,$A624&amp;" ضد "&amp;G$586)+COUNTIF($E$4:$E$582,G$586&amp;" ضد "&amp;$A624))</f>
        <v>0</v>
      </c>
      <c r="H624" s="4">
        <f>IF($A624=H$586,"",COUNTIF($E$4:$E$582,$A624&amp;" ضد "&amp;H$586)+COUNTIF($E$4:$E$582,H$586&amp;" ضد "&amp;$A624))</f>
        <v>0</v>
      </c>
      <c r="I624" s="4">
        <f>IF($A624=I$586,"",COUNTIF($E$4:$E$582,$A624&amp;" ضد "&amp;I$586)+COUNTIF($E$4:$E$582,I$586&amp;" ضد "&amp;$A624))</f>
        <v>0</v>
      </c>
      <c r="J624" s="4">
        <f>IF($A624=J$586,"",COUNTIF($E$4:$E$582,$A624&amp;" ضد "&amp;J$586)+COUNTIF($E$4:$E$582,J$586&amp;" ضد "&amp;$A624))</f>
        <v>0</v>
      </c>
      <c r="K624" s="4">
        <f>IF($A624=K$586,"",COUNTIF($E$4:$E$582,$A624&amp;" ضد "&amp;K$586)+COUNTIF($E$4:$E$582,K$586&amp;" ضد "&amp;$A624))</f>
        <v>0</v>
      </c>
      <c r="L624" s="4">
        <f>IF($A624=L$586,"",COUNTIF($E$4:$E$582,$A624&amp;" ضد "&amp;L$586)+COUNTIF($E$4:$E$582,L$586&amp;" ضد "&amp;$A624))</f>
        <v>0</v>
      </c>
      <c r="M624" s="4">
        <f>IF($A624=M$586,"",COUNTIF($E$4:$E$582,$A624&amp;" ضد "&amp;M$586)+COUNTIF($E$4:$E$582,M$586&amp;" ضد "&amp;$A624))</f>
        <v>0</v>
      </c>
      <c r="N624" s="4">
        <f>IF($A624=N$586,"",COUNTIF($E$4:$E$582,$A624&amp;" ضد "&amp;N$586)+COUNTIF($E$4:$E$582,N$586&amp;" ضد "&amp;$A624))</f>
        <v>0</v>
      </c>
      <c r="O624" s="4">
        <f>IF($A624=O$586,"",COUNTIF($E$4:$E$582,$A624&amp;" ضد "&amp;O$586)+COUNTIF($E$4:$E$582,O$586&amp;" ضد "&amp;$A624))</f>
        <v>0</v>
      </c>
      <c r="P624" s="4">
        <f>IF($A624=P$586,"",COUNTIF($E$4:$E$582,$A624&amp;" ضد "&amp;P$586)+COUNTIF($E$4:$E$582,P$586&amp;" ضد "&amp;$A624))</f>
        <v>0</v>
      </c>
      <c r="Q624" s="4">
        <f>IF($A624=Q$586,"",COUNTIF($E$4:$E$582,$A624&amp;" ضد "&amp;Q$586)+COUNTIF($E$4:$E$582,Q$586&amp;" ضد "&amp;$A624))</f>
        <v>0</v>
      </c>
      <c r="R624" s="4">
        <f>IF($A624=R$586,"",COUNTIF($E$4:$E$582,$A624&amp;" ضد "&amp;R$586)+COUNTIF($E$4:$E$582,R$586&amp;" ضد "&amp;$A624))</f>
        <v>0</v>
      </c>
      <c r="S624" s="4">
        <f>IF($A624=S$586,"",COUNTIF($E$4:$E$582,$A624&amp;" ضد "&amp;S$586)+COUNTIF($E$4:$E$582,S$586&amp;" ضد "&amp;$A624))</f>
        <v>0</v>
      </c>
      <c r="T624" s="4">
        <f>IF($A624=T$586,"",COUNTIF($E$4:$E$582,$A624&amp;" ضد "&amp;T$586)+COUNTIF($E$4:$E$582,T$586&amp;" ضد "&amp;$A624))</f>
        <v>0</v>
      </c>
      <c r="U624" s="4">
        <f>IF($A624=U$586,"",COUNTIF($E$4:$E$582,$A624&amp;" ضد "&amp;U$586)+COUNTIF($E$4:$E$582,U$586&amp;" ضد "&amp;$A624))</f>
        <v>0</v>
      </c>
      <c r="V624" s="4">
        <f>IF($A624=V$586,"",COUNTIF($E$4:$E$582,$A624&amp;" ضد "&amp;V$586)+COUNTIF($E$4:$E$582,V$586&amp;" ضد "&amp;$A624))</f>
        <v>0</v>
      </c>
      <c r="W624" s="4">
        <f>IF($A624=W$586,"",COUNTIF($E$4:$E$582,$A624&amp;" ضد "&amp;W$586)+COUNTIF($E$4:$E$582,W$586&amp;" ضد "&amp;$A624))</f>
        <v>0</v>
      </c>
      <c r="X624" s="4">
        <f>IF($A624=X$586,"",COUNTIF($E$4:$E$582,$A624&amp;" ضد "&amp;X$586)+COUNTIF($E$4:$E$582,X$586&amp;" ضد "&amp;$A624))</f>
        <v>0</v>
      </c>
      <c r="Y624" s="4">
        <f>IF($A624=Y$586,"",COUNTIF($E$4:$E$582,$A624&amp;" ضد "&amp;Y$586)+COUNTIF($E$4:$E$582,Y$586&amp;" ضد "&amp;$A624))</f>
        <v>0</v>
      </c>
      <c r="Z624" s="4">
        <f>IF($A624=Z$586,"",COUNTIF($E$4:$E$582,$A624&amp;" ضد "&amp;Z$586)+COUNTIF($E$4:$E$582,Z$586&amp;" ضد "&amp;$A624))</f>
        <v>0</v>
      </c>
      <c r="AA624" s="4">
        <f>IF($A624=AA$586,"",COUNTIF($E$4:$E$582,$A624&amp;" ضد "&amp;AA$586)+COUNTIF($E$4:$E$582,AA$586&amp;" ضد "&amp;$A624))</f>
        <v>0</v>
      </c>
      <c r="AB624" s="4">
        <f>IF($A624=AB$586,"",COUNTIF($E$4:$E$582,$A624&amp;" ضد "&amp;AB$586)+COUNTIF($E$4:$E$582,AB$586&amp;" ضد "&amp;$A624))</f>
        <v>0</v>
      </c>
      <c r="AC624" s="4">
        <f>IF($A624=AC$586,"",COUNTIF($E$4:$E$582,$A624&amp;" ضد "&amp;AC$586)+COUNTIF($E$4:$E$582,AC$586&amp;" ضد "&amp;$A624))</f>
        <v>0</v>
      </c>
      <c r="AD624" s="4">
        <f>IF($A624=AD$586,"",COUNTIF($E$4:$E$582,$A624&amp;" ضد "&amp;AD$586)+COUNTIF($E$4:$E$582,AD$586&amp;" ضد "&amp;$A624))</f>
        <v>0</v>
      </c>
      <c r="AE624" s="4">
        <f>IF($A624=AE$586,"",COUNTIF($E$4:$E$582,$A624&amp;" ضد "&amp;AE$586)+COUNTIF($E$4:$E$582,AE$586&amp;" ضد "&amp;$A624))</f>
        <v>0</v>
      </c>
      <c r="AF624" s="4">
        <f>IF($A624=AF$586,"",COUNTIF($E$4:$E$582,$A624&amp;" ضد "&amp;AF$586)+COUNTIF($E$4:$E$582,AF$586&amp;" ضد "&amp;$A624))</f>
        <v>0</v>
      </c>
      <c r="AG624" s="4">
        <f>IF($A624=AG$586,"",COUNTIF($E$4:$E$582,$A624&amp;" ضد "&amp;AG$586)+COUNTIF($E$4:$E$582,AG$586&amp;" ضد "&amp;$A624))</f>
        <v>0</v>
      </c>
      <c r="AH624" s="4">
        <f>IF($A624=AH$586,"",COUNTIF($E$4:$E$582,$A624&amp;" ضد "&amp;AH$586)+COUNTIF($E$4:$E$582,AH$586&amp;" ضد "&amp;$A624))</f>
        <v>1</v>
      </c>
      <c r="AI624" s="4">
        <f>IF($A624=AI$586,"",COUNTIF($E$4:$E$582,$A624&amp;" ضد "&amp;AI$586)+COUNTIF($E$4:$E$582,AI$586&amp;" ضد "&amp;$A624))</f>
        <v>1</v>
      </c>
      <c r="AJ624" s="4">
        <f>IF($A624=AJ$586,"",COUNTIF($E$4:$E$582,$A624&amp;" ضد "&amp;AJ$586)+COUNTIF($E$4:$E$582,AJ$586&amp;" ضد "&amp;$A624))</f>
        <v>1</v>
      </c>
      <c r="AK624" s="4">
        <f>IF($A624=AK$586,"",COUNTIF($E$4:$E$582,$A624&amp;" ضد "&amp;AK$586)+COUNTIF($E$4:$E$582,AK$586&amp;" ضد "&amp;$A624))</f>
        <v>1</v>
      </c>
      <c r="AL624" s="4">
        <f>IF($A624=AL$586,"",COUNTIF($E$4:$E$582,$A624&amp;" ضد "&amp;AL$586)+COUNTIF($E$4:$E$582,AL$586&amp;" ضد "&amp;$A624))</f>
        <v>1</v>
      </c>
      <c r="AM624" s="4" t="str">
        <f>IF($A624=AM$586,"",COUNTIF($E$4:$E$582,$A624&amp;" ضد "&amp;AM$586)+COUNTIF($E$4:$E$582,AM$586&amp;" ضد "&amp;$A624))</f>
        <v/>
      </c>
      <c r="AN624" s="4">
        <f>IF($A624=AN$586,"",COUNTIF($E$4:$E$582,$A624&amp;" ضد "&amp;AN$586)+COUNTIF($E$4:$E$582,AN$586&amp;" ضد "&amp;$A624))</f>
        <v>2</v>
      </c>
      <c r="AO624" s="4">
        <f>IF($A624=AO$586,"",COUNTIF($E$4:$E$582,$A624&amp;" ضد "&amp;AO$586)+COUNTIF($E$4:$E$582,AO$586&amp;" ضد "&amp;$A624))</f>
        <v>1</v>
      </c>
      <c r="AP624" s="4">
        <f>IF($A624=AP$586,"",COUNTIF($E$4:$E$582,$A624&amp;" ضد "&amp;AP$586)+COUNTIF($E$4:$E$582,AP$586&amp;" ضد "&amp;$A624))</f>
        <v>2</v>
      </c>
      <c r="AQ624" s="4">
        <f>IF($A624=AQ$586,"",COUNTIF($E$4:$E$582,$A624&amp;" ضد "&amp;AQ$586)+COUNTIF($E$4:$E$582,AQ$586&amp;" ضد "&amp;$A624))</f>
        <v>1</v>
      </c>
      <c r="AR624" s="4">
        <f>IF($A624=AR$586,"",COUNTIF($E$4:$E$582,$A624&amp;" ضد "&amp;AR$586)+COUNTIF($E$4:$E$582,AR$586&amp;" ضد "&amp;$A624))</f>
        <v>2</v>
      </c>
      <c r="AS624" s="4">
        <f>IF($A624=AS$586,"",COUNTIF($E$4:$E$582,$A624&amp;" ضد "&amp;AS$586)+COUNTIF($E$4:$E$582,AS$586&amp;" ضد "&amp;$A624))</f>
        <v>1</v>
      </c>
      <c r="AT624" s="4">
        <f>IF($A624=AT$586,"",COUNTIF($E$4:$E$582,$A624&amp;" ضد "&amp;AT$586)+COUNTIF($E$4:$E$582,AT$586&amp;" ضد "&amp;$A624))</f>
        <v>1</v>
      </c>
      <c r="AU624" s="4">
        <f>IF($A624=AU$586,"",COUNTIF($E$4:$E$582,$A624&amp;" ضد "&amp;AU$586)+COUNTIF($E$4:$E$582,AU$586&amp;" ضد "&amp;$A624))</f>
        <v>1</v>
      </c>
      <c r="AV624" s="4">
        <f>IF($A624=AV$586,"",COUNTIF($E$4:$E$582,$A624&amp;" ضد "&amp;AV$586)+COUNTIF($E$4:$E$582,AV$586&amp;" ضد "&amp;$A624))</f>
        <v>1</v>
      </c>
      <c r="AW624" s="4">
        <f>IF($A624=AW$586,"",COUNTIF($E$4:$E$582,$A624&amp;" ضد "&amp;AW$586)+COUNTIF($E$4:$E$582,AW$586&amp;" ضد "&amp;$A624))</f>
        <v>1</v>
      </c>
      <c r="AX624" s="4">
        <f>IF($A624=AX$586,"",COUNTIF($E$4:$E$582,$A624&amp;" ضد "&amp;AX$586)+COUNTIF($E$4:$E$582,AX$586&amp;" ضد "&amp;$A624))</f>
        <v>0</v>
      </c>
      <c r="AY624" s="4">
        <f>IF($A624=AY$586,"",COUNTIF($E$4:$E$582,$A624&amp;" ضد "&amp;AY$586)+COUNTIF($E$4:$E$582,AY$586&amp;" ضد "&amp;$A624))</f>
        <v>0</v>
      </c>
      <c r="AZ624" s="4">
        <f>IF($A624=AZ$586,"",COUNTIF($E$4:$E$582,$A624&amp;" ضد "&amp;AZ$586)+COUNTIF($E$4:$E$582,AZ$586&amp;" ضد "&amp;$A624))</f>
        <v>0</v>
      </c>
      <c r="BA624" s="4">
        <f>IF($A624=BA$586,"",COUNTIF($E$4:$E$582,$A624&amp;" ضد "&amp;BA$586)+COUNTIF($E$4:$E$582,BA$586&amp;" ضد "&amp;$A624))</f>
        <v>0</v>
      </c>
      <c r="BB624" s="4">
        <f>IF($A624=BB$586,"",COUNTIF($E$4:$E$582,$A624&amp;" ضد "&amp;BB$586)+COUNTIF($E$4:$E$582,BB$586&amp;" ضد "&amp;$A624))</f>
        <v>0</v>
      </c>
      <c r="BC624" s="4">
        <f>IF($A624=BC$586,"",COUNTIF($E$4:$E$582,$A624&amp;" ضد "&amp;BC$586)+COUNTIF($E$4:$E$582,BC$586&amp;" ضد "&amp;$A624))</f>
        <v>0</v>
      </c>
      <c r="BD624" s="4">
        <f>IF($A624=BD$586,"",COUNTIF($E$4:$E$582,$A624&amp;" ضد "&amp;BD$586)+COUNTIF($E$4:$E$582,BD$586&amp;" ضد "&amp;$A624))</f>
        <v>0</v>
      </c>
      <c r="BE624" s="4">
        <f>IF($A624=BE$586,"",COUNTIF($E$4:$E$582,$A624&amp;" ضد "&amp;BE$586)+COUNTIF($E$4:$E$582,BE$586&amp;" ضد "&amp;$A624))</f>
        <v>0</v>
      </c>
      <c r="BF624" s="4">
        <f>IF($A624=BF$586,"",COUNTIF($E$4:$E$582,$A624&amp;" ضد "&amp;BF$586)+COUNTIF($E$4:$E$582,BF$586&amp;" ضد "&amp;$A624))</f>
        <v>0</v>
      </c>
      <c r="BG624" s="4">
        <f>IF($A624=BG$586,"",COUNTIF($E$4:$E$582,$A624&amp;" ضد "&amp;BG$586)+COUNTIF($E$4:$E$582,BG$586&amp;" ضد "&amp;$A624))</f>
        <v>0</v>
      </c>
      <c r="BH624" s="4">
        <f>IF($A624=BH$586,"",COUNTIF($E$4:$E$582,$A624&amp;" ضد "&amp;BH$586)+COUNTIF($E$4:$E$582,BH$586&amp;" ضد "&amp;$A624))</f>
        <v>0</v>
      </c>
      <c r="BI624" s="4">
        <f>IF($A624=BI$586,"",COUNTIF($E$4:$E$582,$A624&amp;" ضد "&amp;BI$586)+COUNTIF($E$4:$E$582,BI$586&amp;" ضد "&amp;$A624))</f>
        <v>0</v>
      </c>
      <c r="BJ624" s="4">
        <f>IF($A624=BJ$586,"",COUNTIF($E$4:$E$582,$A624&amp;" ضد "&amp;BJ$586)+COUNTIF($E$4:$E$582,BJ$586&amp;" ضد "&amp;$A624))</f>
        <v>0</v>
      </c>
      <c r="BK624" s="4">
        <f>IF($A624=BK$586,"",COUNTIF($E$4:$E$582,$A624&amp;" ضد "&amp;BK$586)+COUNTIF($E$4:$E$582,BK$586&amp;" ضد "&amp;$A624))</f>
        <v>0</v>
      </c>
      <c r="BL624" s="4">
        <f>IF($A624=BL$586,"",COUNTIF($E$4:$E$582,$A624&amp;" ضد "&amp;BL$586)+COUNTIF($E$4:$E$582,BL$586&amp;" ضد "&amp;$A624))</f>
        <v>0</v>
      </c>
      <c r="BM624" s="4">
        <f>IF($A624=BM$586,"",COUNTIF($E$4:$E$582,$A624&amp;" ضد "&amp;BM$586)+COUNTIF($E$4:$E$582,BM$586&amp;" ضد "&amp;$A624))</f>
        <v>0</v>
      </c>
    </row>
    <row r="625" spans="1:65" ht="14.5">
      <c r="A625" s="14">
        <v>39</v>
      </c>
      <c r="B625" s="4">
        <f>IF($A625=B$586,"",COUNTIF($E$4:$E$582,$A625&amp;" ضد "&amp;B$586)+COUNTIF($E$4:$E$582,B$586&amp;" ضد "&amp;$A625))</f>
        <v>0</v>
      </c>
      <c r="C625" s="4">
        <f>IF($A625=C$586,"",COUNTIF($E$4:$E$582,$A625&amp;" ضد "&amp;C$586)+COUNTIF($E$4:$E$582,C$586&amp;" ضد "&amp;$A625))</f>
        <v>0</v>
      </c>
      <c r="D625" s="4">
        <f>IF($A625=D$586,"",COUNTIF($E$4:$E$582,$A625&amp;" ضد "&amp;D$586)+COUNTIF($E$4:$E$582,D$586&amp;" ضد "&amp;$A625))</f>
        <v>0</v>
      </c>
      <c r="E625" s="4">
        <f>IF($A625=E$586,"",COUNTIF($E$4:$E$582,$A625&amp;" ضد "&amp;E$586)+COUNTIF($E$4:$E$582,E$586&amp;" ضد "&amp;$A625))</f>
        <v>0</v>
      </c>
      <c r="F625" s="4">
        <f>IF($A625=F$586,"",COUNTIF($E$4:$E$582,$A625&amp;" ضد "&amp;F$586)+COUNTIF($E$4:$E$582,F$586&amp;" ضد "&amp;$A625))</f>
        <v>0</v>
      </c>
      <c r="G625" s="4">
        <f>IF($A625=G$586,"",COUNTIF($E$4:$E$582,$A625&amp;" ضد "&amp;G$586)+COUNTIF($E$4:$E$582,G$586&amp;" ضد "&amp;$A625))</f>
        <v>0</v>
      </c>
      <c r="H625" s="4">
        <f>IF($A625=H$586,"",COUNTIF($E$4:$E$582,$A625&amp;" ضد "&amp;H$586)+COUNTIF($E$4:$E$582,H$586&amp;" ضد "&amp;$A625))</f>
        <v>0</v>
      </c>
      <c r="I625" s="4">
        <f>IF($A625=I$586,"",COUNTIF($E$4:$E$582,$A625&amp;" ضد "&amp;I$586)+COUNTIF($E$4:$E$582,I$586&amp;" ضد "&amp;$A625))</f>
        <v>0</v>
      </c>
      <c r="J625" s="4">
        <f>IF($A625=J$586,"",COUNTIF($E$4:$E$582,$A625&amp;" ضد "&amp;J$586)+COUNTIF($E$4:$E$582,J$586&amp;" ضد "&amp;$A625))</f>
        <v>0</v>
      </c>
      <c r="K625" s="4">
        <f>IF($A625=K$586,"",COUNTIF($E$4:$E$582,$A625&amp;" ضد "&amp;K$586)+COUNTIF($E$4:$E$582,K$586&amp;" ضد "&amp;$A625))</f>
        <v>0</v>
      </c>
      <c r="L625" s="4">
        <f>IF($A625=L$586,"",COUNTIF($E$4:$E$582,$A625&amp;" ضد "&amp;L$586)+COUNTIF($E$4:$E$582,L$586&amp;" ضد "&amp;$A625))</f>
        <v>0</v>
      </c>
      <c r="M625" s="4">
        <f>IF($A625=M$586,"",COUNTIF($E$4:$E$582,$A625&amp;" ضد "&amp;M$586)+COUNTIF($E$4:$E$582,M$586&amp;" ضد "&amp;$A625))</f>
        <v>0</v>
      </c>
      <c r="N625" s="4">
        <f>IF($A625=N$586,"",COUNTIF($E$4:$E$582,$A625&amp;" ضد "&amp;N$586)+COUNTIF($E$4:$E$582,N$586&amp;" ضد "&amp;$A625))</f>
        <v>0</v>
      </c>
      <c r="O625" s="4">
        <f>IF($A625=O$586,"",COUNTIF($E$4:$E$582,$A625&amp;" ضد "&amp;O$586)+COUNTIF($E$4:$E$582,O$586&amp;" ضد "&amp;$A625))</f>
        <v>0</v>
      </c>
      <c r="P625" s="4">
        <f>IF($A625=P$586,"",COUNTIF($E$4:$E$582,$A625&amp;" ضد "&amp;P$586)+COUNTIF($E$4:$E$582,P$586&amp;" ضد "&amp;$A625))</f>
        <v>0</v>
      </c>
      <c r="Q625" s="4">
        <f>IF($A625=Q$586,"",COUNTIF($E$4:$E$582,$A625&amp;" ضد "&amp;Q$586)+COUNTIF($E$4:$E$582,Q$586&amp;" ضد "&amp;$A625))</f>
        <v>0</v>
      </c>
      <c r="R625" s="4">
        <f>IF($A625=R$586,"",COUNTIF($E$4:$E$582,$A625&amp;" ضد "&amp;R$586)+COUNTIF($E$4:$E$582,R$586&amp;" ضد "&amp;$A625))</f>
        <v>0</v>
      </c>
      <c r="S625" s="4">
        <f>IF($A625=S$586,"",COUNTIF($E$4:$E$582,$A625&amp;" ضد "&amp;S$586)+COUNTIF($E$4:$E$582,S$586&amp;" ضد "&amp;$A625))</f>
        <v>0</v>
      </c>
      <c r="T625" s="4">
        <f>IF($A625=T$586,"",COUNTIF($E$4:$E$582,$A625&amp;" ضد "&amp;T$586)+COUNTIF($E$4:$E$582,T$586&amp;" ضد "&amp;$A625))</f>
        <v>0</v>
      </c>
      <c r="U625" s="4">
        <f>IF($A625=U$586,"",COUNTIF($E$4:$E$582,$A625&amp;" ضد "&amp;U$586)+COUNTIF($E$4:$E$582,U$586&amp;" ضد "&amp;$A625))</f>
        <v>0</v>
      </c>
      <c r="V625" s="4">
        <f>IF($A625=V$586,"",COUNTIF($E$4:$E$582,$A625&amp;" ضد "&amp;V$586)+COUNTIF($E$4:$E$582,V$586&amp;" ضد "&amp;$A625))</f>
        <v>0</v>
      </c>
      <c r="W625" s="4">
        <f>IF($A625=W$586,"",COUNTIF($E$4:$E$582,$A625&amp;" ضد "&amp;W$586)+COUNTIF($E$4:$E$582,W$586&amp;" ضد "&amp;$A625))</f>
        <v>0</v>
      </c>
      <c r="X625" s="4">
        <f>IF($A625=X$586,"",COUNTIF($E$4:$E$582,$A625&amp;" ضد "&amp;X$586)+COUNTIF($E$4:$E$582,X$586&amp;" ضد "&amp;$A625))</f>
        <v>0</v>
      </c>
      <c r="Y625" s="4">
        <f>IF($A625=Y$586,"",COUNTIF($E$4:$E$582,$A625&amp;" ضد "&amp;Y$586)+COUNTIF($E$4:$E$582,Y$586&amp;" ضد "&amp;$A625))</f>
        <v>0</v>
      </c>
      <c r="Z625" s="4">
        <f>IF($A625=Z$586,"",COUNTIF($E$4:$E$582,$A625&amp;" ضد "&amp;Z$586)+COUNTIF($E$4:$E$582,Z$586&amp;" ضد "&amp;$A625))</f>
        <v>0</v>
      </c>
      <c r="AA625" s="4">
        <f>IF($A625=AA$586,"",COUNTIF($E$4:$E$582,$A625&amp;" ضد "&amp;AA$586)+COUNTIF($E$4:$E$582,AA$586&amp;" ضد "&amp;$A625))</f>
        <v>0</v>
      </c>
      <c r="AB625" s="4">
        <f>IF($A625=AB$586,"",COUNTIF($E$4:$E$582,$A625&amp;" ضد "&amp;AB$586)+COUNTIF($E$4:$E$582,AB$586&amp;" ضد "&amp;$A625))</f>
        <v>0</v>
      </c>
      <c r="AC625" s="4">
        <f>IF($A625=AC$586,"",COUNTIF($E$4:$E$582,$A625&amp;" ضد "&amp;AC$586)+COUNTIF($E$4:$E$582,AC$586&amp;" ضد "&amp;$A625))</f>
        <v>0</v>
      </c>
      <c r="AD625" s="4">
        <f>IF($A625=AD$586,"",COUNTIF($E$4:$E$582,$A625&amp;" ضد "&amp;AD$586)+COUNTIF($E$4:$E$582,AD$586&amp;" ضد "&amp;$A625))</f>
        <v>0</v>
      </c>
      <c r="AE625" s="4">
        <f>IF($A625=AE$586,"",COUNTIF($E$4:$E$582,$A625&amp;" ضد "&amp;AE$586)+COUNTIF($E$4:$E$582,AE$586&amp;" ضد "&amp;$A625))</f>
        <v>0</v>
      </c>
      <c r="AF625" s="4">
        <f>IF($A625=AF$586,"",COUNTIF($E$4:$E$582,$A625&amp;" ضد "&amp;AF$586)+COUNTIF($E$4:$E$582,AF$586&amp;" ضد "&amp;$A625))</f>
        <v>0</v>
      </c>
      <c r="AG625" s="4">
        <f>IF($A625=AG$586,"",COUNTIF($E$4:$E$582,$A625&amp;" ضد "&amp;AG$586)+COUNTIF($E$4:$E$582,AG$586&amp;" ضد "&amp;$A625))</f>
        <v>0</v>
      </c>
      <c r="AH625" s="4">
        <f>IF($A625=AH$586,"",COUNTIF($E$4:$E$582,$A625&amp;" ضد "&amp;AH$586)+COUNTIF($E$4:$E$582,AH$586&amp;" ضد "&amp;$A625))</f>
        <v>1</v>
      </c>
      <c r="AI625" s="4">
        <f>IF($A625=AI$586,"",COUNTIF($E$4:$E$582,$A625&amp;" ضد "&amp;AI$586)+COUNTIF($E$4:$E$582,AI$586&amp;" ضد "&amp;$A625))</f>
        <v>1</v>
      </c>
      <c r="AJ625" s="4">
        <f>IF($A625=AJ$586,"",COUNTIF($E$4:$E$582,$A625&amp;" ضد "&amp;AJ$586)+COUNTIF($E$4:$E$582,AJ$586&amp;" ضد "&amp;$A625))</f>
        <v>1</v>
      </c>
      <c r="AK625" s="4">
        <f>IF($A625=AK$586,"",COUNTIF($E$4:$E$582,$A625&amp;" ضد "&amp;AK$586)+COUNTIF($E$4:$E$582,AK$586&amp;" ضد "&amp;$A625))</f>
        <v>1</v>
      </c>
      <c r="AL625" s="4">
        <f>IF($A625=AL$586,"",COUNTIF($E$4:$E$582,$A625&amp;" ضد "&amp;AL$586)+COUNTIF($E$4:$E$582,AL$586&amp;" ضد "&amp;$A625))</f>
        <v>1</v>
      </c>
      <c r="AM625" s="4">
        <f>IF($A625=AM$586,"",COUNTIF($E$4:$E$582,$A625&amp;" ضد "&amp;AM$586)+COUNTIF($E$4:$E$582,AM$586&amp;" ضد "&amp;$A625))</f>
        <v>2</v>
      </c>
      <c r="AN625" s="4" t="str">
        <f>IF($A625=AN$586,"",COUNTIF($E$4:$E$582,$A625&amp;" ضد "&amp;AN$586)+COUNTIF($E$4:$E$582,AN$586&amp;" ضد "&amp;$A625))</f>
        <v/>
      </c>
      <c r="AO625" s="4">
        <f>IF($A625=AO$586,"",COUNTIF($E$4:$E$582,$A625&amp;" ضد "&amp;AO$586)+COUNTIF($E$4:$E$582,AO$586&amp;" ضد "&amp;$A625))</f>
        <v>2</v>
      </c>
      <c r="AP625" s="4">
        <f>IF($A625=AP$586,"",COUNTIF($E$4:$E$582,$A625&amp;" ضد "&amp;AP$586)+COUNTIF($E$4:$E$582,AP$586&amp;" ضد "&amp;$A625))</f>
        <v>1</v>
      </c>
      <c r="AQ625" s="4">
        <f>IF($A625=AQ$586,"",COUNTIF($E$4:$E$582,$A625&amp;" ضد "&amp;AQ$586)+COUNTIF($E$4:$E$582,AQ$586&amp;" ضد "&amp;$A625))</f>
        <v>2</v>
      </c>
      <c r="AR625" s="4">
        <f>IF($A625=AR$586,"",COUNTIF($E$4:$E$582,$A625&amp;" ضد "&amp;AR$586)+COUNTIF($E$4:$E$582,AR$586&amp;" ضد "&amp;$A625))</f>
        <v>1</v>
      </c>
      <c r="AS625" s="4">
        <f>IF($A625=AS$586,"",COUNTIF($E$4:$E$582,$A625&amp;" ضد "&amp;AS$586)+COUNTIF($E$4:$E$582,AS$586&amp;" ضد "&amp;$A625))</f>
        <v>1</v>
      </c>
      <c r="AT625" s="4">
        <f>IF($A625=AT$586,"",COUNTIF($E$4:$E$582,$A625&amp;" ضد "&amp;AT$586)+COUNTIF($E$4:$E$582,AT$586&amp;" ضد "&amp;$A625))</f>
        <v>1</v>
      </c>
      <c r="AU625" s="4">
        <f>IF($A625=AU$586,"",COUNTIF($E$4:$E$582,$A625&amp;" ضد "&amp;AU$586)+COUNTIF($E$4:$E$582,AU$586&amp;" ضد "&amp;$A625))</f>
        <v>1</v>
      </c>
      <c r="AV625" s="4">
        <f>IF($A625=AV$586,"",COUNTIF($E$4:$E$582,$A625&amp;" ضد "&amp;AV$586)+COUNTIF($E$4:$E$582,AV$586&amp;" ضد "&amp;$A625))</f>
        <v>1</v>
      </c>
      <c r="AW625" s="4">
        <f>IF($A625=AW$586,"",COUNTIF($E$4:$E$582,$A625&amp;" ضد "&amp;AW$586)+COUNTIF($E$4:$E$582,AW$586&amp;" ضد "&amp;$A625))</f>
        <v>1</v>
      </c>
      <c r="AX625" s="4">
        <f>IF($A625=AX$586,"",COUNTIF($E$4:$E$582,$A625&amp;" ضد "&amp;AX$586)+COUNTIF($E$4:$E$582,AX$586&amp;" ضد "&amp;$A625))</f>
        <v>0</v>
      </c>
      <c r="AY625" s="4">
        <f>IF($A625=AY$586,"",COUNTIF($E$4:$E$582,$A625&amp;" ضد "&amp;AY$586)+COUNTIF($E$4:$E$582,AY$586&amp;" ضد "&amp;$A625))</f>
        <v>0</v>
      </c>
      <c r="AZ625" s="4">
        <f>IF($A625=AZ$586,"",COUNTIF($E$4:$E$582,$A625&amp;" ضد "&amp;AZ$586)+COUNTIF($E$4:$E$582,AZ$586&amp;" ضد "&amp;$A625))</f>
        <v>0</v>
      </c>
      <c r="BA625" s="4">
        <f>IF($A625=BA$586,"",COUNTIF($E$4:$E$582,$A625&amp;" ضد "&amp;BA$586)+COUNTIF($E$4:$E$582,BA$586&amp;" ضد "&amp;$A625))</f>
        <v>0</v>
      </c>
      <c r="BB625" s="4">
        <f>IF($A625=BB$586,"",COUNTIF($E$4:$E$582,$A625&amp;" ضد "&amp;BB$586)+COUNTIF($E$4:$E$582,BB$586&amp;" ضد "&amp;$A625))</f>
        <v>0</v>
      </c>
      <c r="BC625" s="4">
        <f>IF($A625=BC$586,"",COUNTIF($E$4:$E$582,$A625&amp;" ضد "&amp;BC$586)+COUNTIF($E$4:$E$582,BC$586&amp;" ضد "&amp;$A625))</f>
        <v>0</v>
      </c>
      <c r="BD625" s="4">
        <f>IF($A625=BD$586,"",COUNTIF($E$4:$E$582,$A625&amp;" ضد "&amp;BD$586)+COUNTIF($E$4:$E$582,BD$586&amp;" ضد "&amp;$A625))</f>
        <v>0</v>
      </c>
      <c r="BE625" s="4">
        <f>IF($A625=BE$586,"",COUNTIF($E$4:$E$582,$A625&amp;" ضد "&amp;BE$586)+COUNTIF($E$4:$E$582,BE$586&amp;" ضد "&amp;$A625))</f>
        <v>0</v>
      </c>
      <c r="BF625" s="4">
        <f>IF($A625=BF$586,"",COUNTIF($E$4:$E$582,$A625&amp;" ضد "&amp;BF$586)+COUNTIF($E$4:$E$582,BF$586&amp;" ضد "&amp;$A625))</f>
        <v>0</v>
      </c>
      <c r="BG625" s="4">
        <f>IF($A625=BG$586,"",COUNTIF($E$4:$E$582,$A625&amp;" ضد "&amp;BG$586)+COUNTIF($E$4:$E$582,BG$586&amp;" ضد "&amp;$A625))</f>
        <v>0</v>
      </c>
      <c r="BH625" s="4">
        <f>IF($A625=BH$586,"",COUNTIF($E$4:$E$582,$A625&amp;" ضد "&amp;BH$586)+COUNTIF($E$4:$E$582,BH$586&amp;" ضد "&amp;$A625))</f>
        <v>0</v>
      </c>
      <c r="BI625" s="4">
        <f>IF($A625=BI$586,"",COUNTIF($E$4:$E$582,$A625&amp;" ضد "&amp;BI$586)+COUNTIF($E$4:$E$582,BI$586&amp;" ضد "&amp;$A625))</f>
        <v>0</v>
      </c>
      <c r="BJ625" s="4">
        <f>IF($A625=BJ$586,"",COUNTIF($E$4:$E$582,$A625&amp;" ضد "&amp;BJ$586)+COUNTIF($E$4:$E$582,BJ$586&amp;" ضد "&amp;$A625))</f>
        <v>0</v>
      </c>
      <c r="BK625" s="4">
        <f>IF($A625=BK$586,"",COUNTIF($E$4:$E$582,$A625&amp;" ضد "&amp;BK$586)+COUNTIF($E$4:$E$582,BK$586&amp;" ضد "&amp;$A625))</f>
        <v>0</v>
      </c>
      <c r="BL625" s="4">
        <f>IF($A625=BL$586,"",COUNTIF($E$4:$E$582,$A625&amp;" ضد "&amp;BL$586)+COUNTIF($E$4:$E$582,BL$586&amp;" ضد "&amp;$A625))</f>
        <v>0</v>
      </c>
      <c r="BM625" s="4">
        <f>IF($A625=BM$586,"",COUNTIF($E$4:$E$582,$A625&amp;" ضد "&amp;BM$586)+COUNTIF($E$4:$E$582,BM$586&amp;" ضد "&amp;$A625))</f>
        <v>0</v>
      </c>
    </row>
    <row r="626" spans="1:65" ht="14.5">
      <c r="A626" s="14">
        <v>40</v>
      </c>
      <c r="B626" s="4">
        <f>IF($A626=B$586,"",COUNTIF($E$4:$E$582,$A626&amp;" ضد "&amp;B$586)+COUNTIF($E$4:$E$582,B$586&amp;" ضد "&amp;$A626))</f>
        <v>0</v>
      </c>
      <c r="C626" s="4">
        <f>IF($A626=C$586,"",COUNTIF($E$4:$E$582,$A626&amp;" ضد "&amp;C$586)+COUNTIF($E$4:$E$582,C$586&amp;" ضد "&amp;$A626))</f>
        <v>0</v>
      </c>
      <c r="D626" s="4">
        <f>IF($A626=D$586,"",COUNTIF($E$4:$E$582,$A626&amp;" ضد "&amp;D$586)+COUNTIF($E$4:$E$582,D$586&amp;" ضد "&amp;$A626))</f>
        <v>0</v>
      </c>
      <c r="E626" s="4">
        <f>IF($A626=E$586,"",COUNTIF($E$4:$E$582,$A626&amp;" ضد "&amp;E$586)+COUNTIF($E$4:$E$582,E$586&amp;" ضد "&amp;$A626))</f>
        <v>0</v>
      </c>
      <c r="F626" s="4">
        <f>IF($A626=F$586,"",COUNTIF($E$4:$E$582,$A626&amp;" ضد "&amp;F$586)+COUNTIF($E$4:$E$582,F$586&amp;" ضد "&amp;$A626))</f>
        <v>0</v>
      </c>
      <c r="G626" s="4">
        <f>IF($A626=G$586,"",COUNTIF($E$4:$E$582,$A626&amp;" ضد "&amp;G$586)+COUNTIF($E$4:$E$582,G$586&amp;" ضد "&amp;$A626))</f>
        <v>0</v>
      </c>
      <c r="H626" s="4">
        <f>IF($A626=H$586,"",COUNTIF($E$4:$E$582,$A626&amp;" ضد "&amp;H$586)+COUNTIF($E$4:$E$582,H$586&amp;" ضد "&amp;$A626))</f>
        <v>0</v>
      </c>
      <c r="I626" s="4">
        <f>IF($A626=I$586,"",COUNTIF($E$4:$E$582,$A626&amp;" ضد "&amp;I$586)+COUNTIF($E$4:$E$582,I$586&amp;" ضد "&amp;$A626))</f>
        <v>0</v>
      </c>
      <c r="J626" s="4">
        <f>IF($A626=J$586,"",COUNTIF($E$4:$E$582,$A626&amp;" ضد "&amp;J$586)+COUNTIF($E$4:$E$582,J$586&amp;" ضد "&amp;$A626))</f>
        <v>0</v>
      </c>
      <c r="K626" s="4">
        <f>IF($A626=K$586,"",COUNTIF($E$4:$E$582,$A626&amp;" ضد "&amp;K$586)+COUNTIF($E$4:$E$582,K$586&amp;" ضد "&amp;$A626))</f>
        <v>0</v>
      </c>
      <c r="L626" s="4">
        <f>IF($A626=L$586,"",COUNTIF($E$4:$E$582,$A626&amp;" ضد "&amp;L$586)+COUNTIF($E$4:$E$582,L$586&amp;" ضد "&amp;$A626))</f>
        <v>0</v>
      </c>
      <c r="M626" s="4">
        <f>IF($A626=M$586,"",COUNTIF($E$4:$E$582,$A626&amp;" ضد "&amp;M$586)+COUNTIF($E$4:$E$582,M$586&amp;" ضد "&amp;$A626))</f>
        <v>0</v>
      </c>
      <c r="N626" s="4">
        <f>IF($A626=N$586,"",COUNTIF($E$4:$E$582,$A626&amp;" ضد "&amp;N$586)+COUNTIF($E$4:$E$582,N$586&amp;" ضد "&amp;$A626))</f>
        <v>0</v>
      </c>
      <c r="O626" s="4">
        <f>IF($A626=O$586,"",COUNTIF($E$4:$E$582,$A626&amp;" ضد "&amp;O$586)+COUNTIF($E$4:$E$582,O$586&amp;" ضد "&amp;$A626))</f>
        <v>0</v>
      </c>
      <c r="P626" s="4">
        <f>IF($A626=P$586,"",COUNTIF($E$4:$E$582,$A626&amp;" ضد "&amp;P$586)+COUNTIF($E$4:$E$582,P$586&amp;" ضد "&amp;$A626))</f>
        <v>0</v>
      </c>
      <c r="Q626" s="4">
        <f>IF($A626=Q$586,"",COUNTIF($E$4:$E$582,$A626&amp;" ضد "&amp;Q$586)+COUNTIF($E$4:$E$582,Q$586&amp;" ضد "&amp;$A626))</f>
        <v>0</v>
      </c>
      <c r="R626" s="4">
        <f>IF($A626=R$586,"",COUNTIF($E$4:$E$582,$A626&amp;" ضد "&amp;R$586)+COUNTIF($E$4:$E$582,R$586&amp;" ضد "&amp;$A626))</f>
        <v>0</v>
      </c>
      <c r="S626" s="4">
        <f>IF($A626=S$586,"",COUNTIF($E$4:$E$582,$A626&amp;" ضد "&amp;S$586)+COUNTIF($E$4:$E$582,S$586&amp;" ضد "&amp;$A626))</f>
        <v>0</v>
      </c>
      <c r="T626" s="4">
        <f>IF($A626=T$586,"",COUNTIF($E$4:$E$582,$A626&amp;" ضد "&amp;T$586)+COUNTIF($E$4:$E$582,T$586&amp;" ضد "&amp;$A626))</f>
        <v>0</v>
      </c>
      <c r="U626" s="4">
        <f>IF($A626=U$586,"",COUNTIF($E$4:$E$582,$A626&amp;" ضد "&amp;U$586)+COUNTIF($E$4:$E$582,U$586&amp;" ضد "&amp;$A626))</f>
        <v>0</v>
      </c>
      <c r="V626" s="4">
        <f>IF($A626=V$586,"",COUNTIF($E$4:$E$582,$A626&amp;" ضد "&amp;V$586)+COUNTIF($E$4:$E$582,V$586&amp;" ضد "&amp;$A626))</f>
        <v>0</v>
      </c>
      <c r="W626" s="4">
        <f>IF($A626=W$586,"",COUNTIF($E$4:$E$582,$A626&amp;" ضد "&amp;W$586)+COUNTIF($E$4:$E$582,W$586&amp;" ضد "&amp;$A626))</f>
        <v>0</v>
      </c>
      <c r="X626" s="4">
        <f>IF($A626=X$586,"",COUNTIF($E$4:$E$582,$A626&amp;" ضد "&amp;X$586)+COUNTIF($E$4:$E$582,X$586&amp;" ضد "&amp;$A626))</f>
        <v>0</v>
      </c>
      <c r="Y626" s="4">
        <f>IF($A626=Y$586,"",COUNTIF($E$4:$E$582,$A626&amp;" ضد "&amp;Y$586)+COUNTIF($E$4:$E$582,Y$586&amp;" ضد "&amp;$A626))</f>
        <v>0</v>
      </c>
      <c r="Z626" s="4">
        <f>IF($A626=Z$586,"",COUNTIF($E$4:$E$582,$A626&amp;" ضد "&amp;Z$586)+COUNTIF($E$4:$E$582,Z$586&amp;" ضد "&amp;$A626))</f>
        <v>0</v>
      </c>
      <c r="AA626" s="4">
        <f>IF($A626=AA$586,"",COUNTIF($E$4:$E$582,$A626&amp;" ضد "&amp;AA$586)+COUNTIF($E$4:$E$582,AA$586&amp;" ضد "&amp;$A626))</f>
        <v>0</v>
      </c>
      <c r="AB626" s="4">
        <f>IF($A626=AB$586,"",COUNTIF($E$4:$E$582,$A626&amp;" ضد "&amp;AB$586)+COUNTIF($E$4:$E$582,AB$586&amp;" ضد "&amp;$A626))</f>
        <v>0</v>
      </c>
      <c r="AC626" s="4">
        <f>IF($A626=AC$586,"",COUNTIF($E$4:$E$582,$A626&amp;" ضد "&amp;AC$586)+COUNTIF($E$4:$E$582,AC$586&amp;" ضد "&amp;$A626))</f>
        <v>0</v>
      </c>
      <c r="AD626" s="4">
        <f>IF($A626=AD$586,"",COUNTIF($E$4:$E$582,$A626&amp;" ضد "&amp;AD$586)+COUNTIF($E$4:$E$582,AD$586&amp;" ضد "&amp;$A626))</f>
        <v>0</v>
      </c>
      <c r="AE626" s="4">
        <f>IF($A626=AE$586,"",COUNTIF($E$4:$E$582,$A626&amp;" ضد "&amp;AE$586)+COUNTIF($E$4:$E$582,AE$586&amp;" ضد "&amp;$A626))</f>
        <v>0</v>
      </c>
      <c r="AF626" s="4">
        <f>IF($A626=AF$586,"",COUNTIF($E$4:$E$582,$A626&amp;" ضد "&amp;AF$586)+COUNTIF($E$4:$E$582,AF$586&amp;" ضد "&amp;$A626))</f>
        <v>0</v>
      </c>
      <c r="AG626" s="4">
        <f>IF($A626=AG$586,"",COUNTIF($E$4:$E$582,$A626&amp;" ضد "&amp;AG$586)+COUNTIF($E$4:$E$582,AG$586&amp;" ضد "&amp;$A626))</f>
        <v>0</v>
      </c>
      <c r="AH626" s="4">
        <f>IF($A626=AH$586,"",COUNTIF($E$4:$E$582,$A626&amp;" ضد "&amp;AH$586)+COUNTIF($E$4:$E$582,AH$586&amp;" ضد "&amp;$A626))</f>
        <v>1</v>
      </c>
      <c r="AI626" s="4">
        <f>IF($A626=AI$586,"",COUNTIF($E$4:$E$582,$A626&amp;" ضد "&amp;AI$586)+COUNTIF($E$4:$E$582,AI$586&amp;" ضد "&amp;$A626))</f>
        <v>1</v>
      </c>
      <c r="AJ626" s="4">
        <f>IF($A626=AJ$586,"",COUNTIF($E$4:$E$582,$A626&amp;" ضد "&amp;AJ$586)+COUNTIF($E$4:$E$582,AJ$586&amp;" ضد "&amp;$A626))</f>
        <v>1</v>
      </c>
      <c r="AK626" s="4">
        <f>IF($A626=AK$586,"",COUNTIF($E$4:$E$582,$A626&amp;" ضد "&amp;AK$586)+COUNTIF($E$4:$E$582,AK$586&amp;" ضد "&amp;$A626))</f>
        <v>1</v>
      </c>
      <c r="AL626" s="4">
        <f>IF($A626=AL$586,"",COUNTIF($E$4:$E$582,$A626&amp;" ضد "&amp;AL$586)+COUNTIF($E$4:$E$582,AL$586&amp;" ضد "&amp;$A626))</f>
        <v>2</v>
      </c>
      <c r="AM626" s="4">
        <f>IF($A626=AM$586,"",COUNTIF($E$4:$E$582,$A626&amp;" ضد "&amp;AM$586)+COUNTIF($E$4:$E$582,AM$586&amp;" ضد "&amp;$A626))</f>
        <v>1</v>
      </c>
      <c r="AN626" s="4">
        <f>IF($A626=AN$586,"",COUNTIF($E$4:$E$582,$A626&amp;" ضد "&amp;AN$586)+COUNTIF($E$4:$E$582,AN$586&amp;" ضد "&amp;$A626))</f>
        <v>2</v>
      </c>
      <c r="AO626" s="4" t="str">
        <f>IF($A626=AO$586,"",COUNTIF($E$4:$E$582,$A626&amp;" ضد "&amp;AO$586)+COUNTIF($E$4:$E$582,AO$586&amp;" ضد "&amp;$A626))</f>
        <v/>
      </c>
      <c r="AP626" s="4">
        <f>IF($A626=AP$586,"",COUNTIF($E$4:$E$582,$A626&amp;" ضد "&amp;AP$586)+COUNTIF($E$4:$E$582,AP$586&amp;" ضد "&amp;$A626))</f>
        <v>2</v>
      </c>
      <c r="AQ626" s="4">
        <f>IF($A626=AQ$586,"",COUNTIF($E$4:$E$582,$A626&amp;" ضد "&amp;AQ$586)+COUNTIF($E$4:$E$582,AQ$586&amp;" ضد "&amp;$A626))</f>
        <v>1</v>
      </c>
      <c r="AR626" s="4">
        <f>IF($A626=AR$586,"",COUNTIF($E$4:$E$582,$A626&amp;" ضد "&amp;AR$586)+COUNTIF($E$4:$E$582,AR$586&amp;" ضد "&amp;$A626))</f>
        <v>1</v>
      </c>
      <c r="AS626" s="4">
        <f>IF($A626=AS$586,"",COUNTIF($E$4:$E$582,$A626&amp;" ضد "&amp;AS$586)+COUNTIF($E$4:$E$582,AS$586&amp;" ضد "&amp;$A626))</f>
        <v>1</v>
      </c>
      <c r="AT626" s="4">
        <f>IF($A626=AT$586,"",COUNTIF($E$4:$E$582,$A626&amp;" ضد "&amp;AT$586)+COUNTIF($E$4:$E$582,AT$586&amp;" ضد "&amp;$A626))</f>
        <v>1</v>
      </c>
      <c r="AU626" s="4">
        <f>IF($A626=AU$586,"",COUNTIF($E$4:$E$582,$A626&amp;" ضد "&amp;AU$586)+COUNTIF($E$4:$E$582,AU$586&amp;" ضد "&amp;$A626))</f>
        <v>1</v>
      </c>
      <c r="AV626" s="4">
        <f>IF($A626=AV$586,"",COUNTIF($E$4:$E$582,$A626&amp;" ضد "&amp;AV$586)+COUNTIF($E$4:$E$582,AV$586&amp;" ضد "&amp;$A626))</f>
        <v>1</v>
      </c>
      <c r="AW626" s="4">
        <f>IF($A626=AW$586,"",COUNTIF($E$4:$E$582,$A626&amp;" ضد "&amp;AW$586)+COUNTIF($E$4:$E$582,AW$586&amp;" ضد "&amp;$A626))</f>
        <v>1</v>
      </c>
      <c r="AX626" s="4">
        <f>IF($A626=AX$586,"",COUNTIF($E$4:$E$582,$A626&amp;" ضد "&amp;AX$586)+COUNTIF($E$4:$E$582,AX$586&amp;" ضد "&amp;$A626))</f>
        <v>0</v>
      </c>
      <c r="AY626" s="4">
        <f>IF($A626=AY$586,"",COUNTIF($E$4:$E$582,$A626&amp;" ضد "&amp;AY$586)+COUNTIF($E$4:$E$582,AY$586&amp;" ضد "&amp;$A626))</f>
        <v>0</v>
      </c>
      <c r="AZ626" s="4">
        <f>IF($A626=AZ$586,"",COUNTIF($E$4:$E$582,$A626&amp;" ضد "&amp;AZ$586)+COUNTIF($E$4:$E$582,AZ$586&amp;" ضد "&amp;$A626))</f>
        <v>0</v>
      </c>
      <c r="BA626" s="4">
        <f>IF($A626=BA$586,"",COUNTIF($E$4:$E$582,$A626&amp;" ضد "&amp;BA$586)+COUNTIF($E$4:$E$582,BA$586&amp;" ضد "&amp;$A626))</f>
        <v>0</v>
      </c>
      <c r="BB626" s="4">
        <f>IF($A626=BB$586,"",COUNTIF($E$4:$E$582,$A626&amp;" ضد "&amp;BB$586)+COUNTIF($E$4:$E$582,BB$586&amp;" ضد "&amp;$A626))</f>
        <v>0</v>
      </c>
      <c r="BC626" s="4">
        <f>IF($A626=BC$586,"",COUNTIF($E$4:$E$582,$A626&amp;" ضد "&amp;BC$586)+COUNTIF($E$4:$E$582,BC$586&amp;" ضد "&amp;$A626))</f>
        <v>0</v>
      </c>
      <c r="BD626" s="4">
        <f>IF($A626=BD$586,"",COUNTIF($E$4:$E$582,$A626&amp;" ضد "&amp;BD$586)+COUNTIF($E$4:$E$582,BD$586&amp;" ضد "&amp;$A626))</f>
        <v>0</v>
      </c>
      <c r="BE626" s="4">
        <f>IF($A626=BE$586,"",COUNTIF($E$4:$E$582,$A626&amp;" ضد "&amp;BE$586)+COUNTIF($E$4:$E$582,BE$586&amp;" ضد "&amp;$A626))</f>
        <v>0</v>
      </c>
      <c r="BF626" s="4">
        <f>IF($A626=BF$586,"",COUNTIF($E$4:$E$582,$A626&amp;" ضد "&amp;BF$586)+COUNTIF($E$4:$E$582,BF$586&amp;" ضد "&amp;$A626))</f>
        <v>0</v>
      </c>
      <c r="BG626" s="4">
        <f>IF($A626=BG$586,"",COUNTIF($E$4:$E$582,$A626&amp;" ضد "&amp;BG$586)+COUNTIF($E$4:$E$582,BG$586&amp;" ضد "&amp;$A626))</f>
        <v>0</v>
      </c>
      <c r="BH626" s="4">
        <f>IF($A626=BH$586,"",COUNTIF($E$4:$E$582,$A626&amp;" ضد "&amp;BH$586)+COUNTIF($E$4:$E$582,BH$586&amp;" ضد "&amp;$A626))</f>
        <v>0</v>
      </c>
      <c r="BI626" s="4">
        <f>IF($A626=BI$586,"",COUNTIF($E$4:$E$582,$A626&amp;" ضد "&amp;BI$586)+COUNTIF($E$4:$E$582,BI$586&amp;" ضد "&amp;$A626))</f>
        <v>0</v>
      </c>
      <c r="BJ626" s="4">
        <f>IF($A626=BJ$586,"",COUNTIF($E$4:$E$582,$A626&amp;" ضد "&amp;BJ$586)+COUNTIF($E$4:$E$582,BJ$586&amp;" ضد "&amp;$A626))</f>
        <v>0</v>
      </c>
      <c r="BK626" s="4">
        <f>IF($A626=BK$586,"",COUNTIF($E$4:$E$582,$A626&amp;" ضد "&amp;BK$586)+COUNTIF($E$4:$E$582,BK$586&amp;" ضد "&amp;$A626))</f>
        <v>0</v>
      </c>
      <c r="BL626" s="4">
        <f>IF($A626=BL$586,"",COUNTIF($E$4:$E$582,$A626&amp;" ضد "&amp;BL$586)+COUNTIF($E$4:$E$582,BL$586&amp;" ضد "&amp;$A626))</f>
        <v>0</v>
      </c>
      <c r="BM626" s="4">
        <f>IF($A626=BM$586,"",COUNTIF($E$4:$E$582,$A626&amp;" ضد "&amp;BM$586)+COUNTIF($E$4:$E$582,BM$586&amp;" ضد "&amp;$A626))</f>
        <v>0</v>
      </c>
    </row>
    <row r="627" spans="1:65" ht="14.5">
      <c r="A627" s="14">
        <v>41</v>
      </c>
      <c r="B627" s="4">
        <f>IF($A627=B$586,"",COUNTIF($E$4:$E$582,$A627&amp;" ضد "&amp;B$586)+COUNTIF($E$4:$E$582,B$586&amp;" ضد "&amp;$A627))</f>
        <v>0</v>
      </c>
      <c r="C627" s="4">
        <f>IF($A627=C$586,"",COUNTIF($E$4:$E$582,$A627&amp;" ضد "&amp;C$586)+COUNTIF($E$4:$E$582,C$586&amp;" ضد "&amp;$A627))</f>
        <v>0</v>
      </c>
      <c r="D627" s="4">
        <f>IF($A627=D$586,"",COUNTIF($E$4:$E$582,$A627&amp;" ضد "&amp;D$586)+COUNTIF($E$4:$E$582,D$586&amp;" ضد "&amp;$A627))</f>
        <v>0</v>
      </c>
      <c r="E627" s="4">
        <f>IF($A627=E$586,"",COUNTIF($E$4:$E$582,$A627&amp;" ضد "&amp;E$586)+COUNTIF($E$4:$E$582,E$586&amp;" ضد "&amp;$A627))</f>
        <v>0</v>
      </c>
      <c r="F627" s="4">
        <f>IF($A627=F$586,"",COUNTIF($E$4:$E$582,$A627&amp;" ضد "&amp;F$586)+COUNTIF($E$4:$E$582,F$586&amp;" ضد "&amp;$A627))</f>
        <v>0</v>
      </c>
      <c r="G627" s="4">
        <f>IF($A627=G$586,"",COUNTIF($E$4:$E$582,$A627&amp;" ضد "&amp;G$586)+COUNTIF($E$4:$E$582,G$586&amp;" ضد "&amp;$A627))</f>
        <v>0</v>
      </c>
      <c r="H627" s="4">
        <f>IF($A627=H$586,"",COUNTIF($E$4:$E$582,$A627&amp;" ضد "&amp;H$586)+COUNTIF($E$4:$E$582,H$586&amp;" ضد "&amp;$A627))</f>
        <v>0</v>
      </c>
      <c r="I627" s="4">
        <f>IF($A627=I$586,"",COUNTIF($E$4:$E$582,$A627&amp;" ضد "&amp;I$586)+COUNTIF($E$4:$E$582,I$586&amp;" ضد "&amp;$A627))</f>
        <v>0</v>
      </c>
      <c r="J627" s="4">
        <f>IF($A627=J$586,"",COUNTIF($E$4:$E$582,$A627&amp;" ضد "&amp;J$586)+COUNTIF($E$4:$E$582,J$586&amp;" ضد "&amp;$A627))</f>
        <v>0</v>
      </c>
      <c r="K627" s="4">
        <f>IF($A627=K$586,"",COUNTIF($E$4:$E$582,$A627&amp;" ضد "&amp;K$586)+COUNTIF($E$4:$E$582,K$586&amp;" ضد "&amp;$A627))</f>
        <v>0</v>
      </c>
      <c r="L627" s="4">
        <f>IF($A627=L$586,"",COUNTIF($E$4:$E$582,$A627&amp;" ضد "&amp;L$586)+COUNTIF($E$4:$E$582,L$586&amp;" ضد "&amp;$A627))</f>
        <v>0</v>
      </c>
      <c r="M627" s="4">
        <f>IF($A627=M$586,"",COUNTIF($E$4:$E$582,$A627&amp;" ضد "&amp;M$586)+COUNTIF($E$4:$E$582,M$586&amp;" ضد "&amp;$A627))</f>
        <v>0</v>
      </c>
      <c r="N627" s="4">
        <f>IF($A627=N$586,"",COUNTIF($E$4:$E$582,$A627&amp;" ضد "&amp;N$586)+COUNTIF($E$4:$E$582,N$586&amp;" ضد "&amp;$A627))</f>
        <v>0</v>
      </c>
      <c r="O627" s="4">
        <f>IF($A627=O$586,"",COUNTIF($E$4:$E$582,$A627&amp;" ضد "&amp;O$586)+COUNTIF($E$4:$E$582,O$586&amp;" ضد "&amp;$A627))</f>
        <v>0</v>
      </c>
      <c r="P627" s="4">
        <f>IF($A627=P$586,"",COUNTIF($E$4:$E$582,$A627&amp;" ضد "&amp;P$586)+COUNTIF($E$4:$E$582,P$586&amp;" ضد "&amp;$A627))</f>
        <v>0</v>
      </c>
      <c r="Q627" s="4">
        <f>IF($A627=Q$586,"",COUNTIF($E$4:$E$582,$A627&amp;" ضد "&amp;Q$586)+COUNTIF($E$4:$E$582,Q$586&amp;" ضد "&amp;$A627))</f>
        <v>0</v>
      </c>
      <c r="R627" s="4">
        <f>IF($A627=R$586,"",COUNTIF($E$4:$E$582,$A627&amp;" ضد "&amp;R$586)+COUNTIF($E$4:$E$582,R$586&amp;" ضد "&amp;$A627))</f>
        <v>0</v>
      </c>
      <c r="S627" s="4">
        <f>IF($A627=S$586,"",COUNTIF($E$4:$E$582,$A627&amp;" ضد "&amp;S$586)+COUNTIF($E$4:$E$582,S$586&amp;" ضد "&amp;$A627))</f>
        <v>0</v>
      </c>
      <c r="T627" s="4">
        <f>IF($A627=T$586,"",COUNTIF($E$4:$E$582,$A627&amp;" ضد "&amp;T$586)+COUNTIF($E$4:$E$582,T$586&amp;" ضد "&amp;$A627))</f>
        <v>0</v>
      </c>
      <c r="U627" s="4">
        <f>IF($A627=U$586,"",COUNTIF($E$4:$E$582,$A627&amp;" ضد "&amp;U$586)+COUNTIF($E$4:$E$582,U$586&amp;" ضد "&amp;$A627))</f>
        <v>0</v>
      </c>
      <c r="V627" s="4">
        <f>IF($A627=V$586,"",COUNTIF($E$4:$E$582,$A627&amp;" ضد "&amp;V$586)+COUNTIF($E$4:$E$582,V$586&amp;" ضد "&amp;$A627))</f>
        <v>0</v>
      </c>
      <c r="W627" s="4">
        <f>IF($A627=W$586,"",COUNTIF($E$4:$E$582,$A627&amp;" ضد "&amp;W$586)+COUNTIF($E$4:$E$582,W$586&amp;" ضد "&amp;$A627))</f>
        <v>0</v>
      </c>
      <c r="X627" s="4">
        <f>IF($A627=X$586,"",COUNTIF($E$4:$E$582,$A627&amp;" ضد "&amp;X$586)+COUNTIF($E$4:$E$582,X$586&amp;" ضد "&amp;$A627))</f>
        <v>0</v>
      </c>
      <c r="Y627" s="4">
        <f>IF($A627=Y$586,"",COUNTIF($E$4:$E$582,$A627&amp;" ضد "&amp;Y$586)+COUNTIF($E$4:$E$582,Y$586&amp;" ضد "&amp;$A627))</f>
        <v>0</v>
      </c>
      <c r="Z627" s="4">
        <f>IF($A627=Z$586,"",COUNTIF($E$4:$E$582,$A627&amp;" ضد "&amp;Z$586)+COUNTIF($E$4:$E$582,Z$586&amp;" ضد "&amp;$A627))</f>
        <v>0</v>
      </c>
      <c r="AA627" s="4">
        <f>IF($A627=AA$586,"",COUNTIF($E$4:$E$582,$A627&amp;" ضد "&amp;AA$586)+COUNTIF($E$4:$E$582,AA$586&amp;" ضد "&amp;$A627))</f>
        <v>0</v>
      </c>
      <c r="AB627" s="4">
        <f>IF($A627=AB$586,"",COUNTIF($E$4:$E$582,$A627&amp;" ضد "&amp;AB$586)+COUNTIF($E$4:$E$582,AB$586&amp;" ضد "&amp;$A627))</f>
        <v>0</v>
      </c>
      <c r="AC627" s="4">
        <f>IF($A627=AC$586,"",COUNTIF($E$4:$E$582,$A627&amp;" ضد "&amp;AC$586)+COUNTIF($E$4:$E$582,AC$586&amp;" ضد "&amp;$A627))</f>
        <v>0</v>
      </c>
      <c r="AD627" s="4">
        <f>IF($A627=AD$586,"",COUNTIF($E$4:$E$582,$A627&amp;" ضد "&amp;AD$586)+COUNTIF($E$4:$E$582,AD$586&amp;" ضد "&amp;$A627))</f>
        <v>0</v>
      </c>
      <c r="AE627" s="4">
        <f>IF($A627=AE$586,"",COUNTIF($E$4:$E$582,$A627&amp;" ضد "&amp;AE$586)+COUNTIF($E$4:$E$582,AE$586&amp;" ضد "&amp;$A627))</f>
        <v>0</v>
      </c>
      <c r="AF627" s="4">
        <f>IF($A627=AF$586,"",COUNTIF($E$4:$E$582,$A627&amp;" ضد "&amp;AF$586)+COUNTIF($E$4:$E$582,AF$586&amp;" ضد "&amp;$A627))</f>
        <v>0</v>
      </c>
      <c r="AG627" s="4">
        <f>IF($A627=AG$586,"",COUNTIF($E$4:$E$582,$A627&amp;" ضد "&amp;AG$586)+COUNTIF($E$4:$E$582,AG$586&amp;" ضد "&amp;$A627))</f>
        <v>0</v>
      </c>
      <c r="AH627" s="4">
        <f>IF($A627=AH$586,"",COUNTIF($E$4:$E$582,$A627&amp;" ضد "&amp;AH$586)+COUNTIF($E$4:$E$582,AH$586&amp;" ضد "&amp;$A627))</f>
        <v>1</v>
      </c>
      <c r="AI627" s="4">
        <f>IF($A627=AI$586,"",COUNTIF($E$4:$E$582,$A627&amp;" ضد "&amp;AI$586)+COUNTIF($E$4:$E$582,AI$586&amp;" ضد "&amp;$A627))</f>
        <v>1</v>
      </c>
      <c r="AJ627" s="4">
        <f>IF($A627=AJ$586,"",COUNTIF($E$4:$E$582,$A627&amp;" ضد "&amp;AJ$586)+COUNTIF($E$4:$E$582,AJ$586&amp;" ضد "&amp;$A627))</f>
        <v>1</v>
      </c>
      <c r="AK627" s="4">
        <f>IF($A627=AK$586,"",COUNTIF($E$4:$E$582,$A627&amp;" ضد "&amp;AK$586)+COUNTIF($E$4:$E$582,AK$586&amp;" ضد "&amp;$A627))</f>
        <v>2</v>
      </c>
      <c r="AL627" s="4">
        <f>IF($A627=AL$586,"",COUNTIF($E$4:$E$582,$A627&amp;" ضد "&amp;AL$586)+COUNTIF($E$4:$E$582,AL$586&amp;" ضد "&amp;$A627))</f>
        <v>1</v>
      </c>
      <c r="AM627" s="4">
        <f>IF($A627=AM$586,"",COUNTIF($E$4:$E$582,$A627&amp;" ضد "&amp;AM$586)+COUNTIF($E$4:$E$582,AM$586&amp;" ضد "&amp;$A627))</f>
        <v>2</v>
      </c>
      <c r="AN627" s="4">
        <f>IF($A627=AN$586,"",COUNTIF($E$4:$E$582,$A627&amp;" ضد "&amp;AN$586)+COUNTIF($E$4:$E$582,AN$586&amp;" ضد "&amp;$A627))</f>
        <v>1</v>
      </c>
      <c r="AO627" s="4">
        <f>IF($A627=AO$586,"",COUNTIF($E$4:$E$582,$A627&amp;" ضد "&amp;AO$586)+COUNTIF($E$4:$E$582,AO$586&amp;" ضد "&amp;$A627))</f>
        <v>2</v>
      </c>
      <c r="AP627" s="4" t="str">
        <f>IF($A627=AP$586,"",COUNTIF($E$4:$E$582,$A627&amp;" ضد "&amp;AP$586)+COUNTIF($E$4:$E$582,AP$586&amp;" ضد "&amp;$A627))</f>
        <v/>
      </c>
      <c r="AQ627" s="4">
        <f>IF($A627=AQ$586,"",COUNTIF($E$4:$E$582,$A627&amp;" ضد "&amp;AQ$586)+COUNTIF($E$4:$E$582,AQ$586&amp;" ضد "&amp;$A627))</f>
        <v>1</v>
      </c>
      <c r="AR627" s="4">
        <f>IF($A627=AR$586,"",COUNTIF($E$4:$E$582,$A627&amp;" ضد "&amp;AR$586)+COUNTIF($E$4:$E$582,AR$586&amp;" ضد "&amp;$A627))</f>
        <v>1</v>
      </c>
      <c r="AS627" s="4">
        <f>IF($A627=AS$586,"",COUNTIF($E$4:$E$582,$A627&amp;" ضد "&amp;AS$586)+COUNTIF($E$4:$E$582,AS$586&amp;" ضد "&amp;$A627))</f>
        <v>1</v>
      </c>
      <c r="AT627" s="4">
        <f>IF($A627=AT$586,"",COUNTIF($E$4:$E$582,$A627&amp;" ضد "&amp;AT$586)+COUNTIF($E$4:$E$582,AT$586&amp;" ضد "&amp;$A627))</f>
        <v>1</v>
      </c>
      <c r="AU627" s="4">
        <f>IF($A627=AU$586,"",COUNTIF($E$4:$E$582,$A627&amp;" ضد "&amp;AU$586)+COUNTIF($E$4:$E$582,AU$586&amp;" ضد "&amp;$A627))</f>
        <v>1</v>
      </c>
      <c r="AV627" s="4">
        <f>IF($A627=AV$586,"",COUNTIF($E$4:$E$582,$A627&amp;" ضد "&amp;AV$586)+COUNTIF($E$4:$E$582,AV$586&amp;" ضد "&amp;$A627))</f>
        <v>1</v>
      </c>
      <c r="AW627" s="4">
        <f>IF($A627=AW$586,"",COUNTIF($E$4:$E$582,$A627&amp;" ضد "&amp;AW$586)+COUNTIF($E$4:$E$582,AW$586&amp;" ضد "&amp;$A627))</f>
        <v>1</v>
      </c>
      <c r="AX627" s="4">
        <f>IF($A627=AX$586,"",COUNTIF($E$4:$E$582,$A627&amp;" ضد "&amp;AX$586)+COUNTIF($E$4:$E$582,AX$586&amp;" ضد "&amp;$A627))</f>
        <v>0</v>
      </c>
      <c r="AY627" s="4">
        <f>IF($A627=AY$586,"",COUNTIF($E$4:$E$582,$A627&amp;" ضد "&amp;AY$586)+COUNTIF($E$4:$E$582,AY$586&amp;" ضد "&amp;$A627))</f>
        <v>0</v>
      </c>
      <c r="AZ627" s="4">
        <f>IF($A627=AZ$586,"",COUNTIF($E$4:$E$582,$A627&amp;" ضد "&amp;AZ$586)+COUNTIF($E$4:$E$582,AZ$586&amp;" ضد "&amp;$A627))</f>
        <v>0</v>
      </c>
      <c r="BA627" s="4">
        <f>IF($A627=BA$586,"",COUNTIF($E$4:$E$582,$A627&amp;" ضد "&amp;BA$586)+COUNTIF($E$4:$E$582,BA$586&amp;" ضد "&amp;$A627))</f>
        <v>0</v>
      </c>
      <c r="BB627" s="4">
        <f>IF($A627=BB$586,"",COUNTIF($E$4:$E$582,$A627&amp;" ضد "&amp;BB$586)+COUNTIF($E$4:$E$582,BB$586&amp;" ضد "&amp;$A627))</f>
        <v>0</v>
      </c>
      <c r="BC627" s="4">
        <f>IF($A627=BC$586,"",COUNTIF($E$4:$E$582,$A627&amp;" ضد "&amp;BC$586)+COUNTIF($E$4:$E$582,BC$586&amp;" ضد "&amp;$A627))</f>
        <v>0</v>
      </c>
      <c r="BD627" s="4">
        <f>IF($A627=BD$586,"",COUNTIF($E$4:$E$582,$A627&amp;" ضد "&amp;BD$586)+COUNTIF($E$4:$E$582,BD$586&amp;" ضد "&amp;$A627))</f>
        <v>0</v>
      </c>
      <c r="BE627" s="4">
        <f>IF($A627=BE$586,"",COUNTIF($E$4:$E$582,$A627&amp;" ضد "&amp;BE$586)+COUNTIF($E$4:$E$582,BE$586&amp;" ضد "&amp;$A627))</f>
        <v>0</v>
      </c>
      <c r="BF627" s="4">
        <f>IF($A627=BF$586,"",COUNTIF($E$4:$E$582,$A627&amp;" ضد "&amp;BF$586)+COUNTIF($E$4:$E$582,BF$586&amp;" ضد "&amp;$A627))</f>
        <v>0</v>
      </c>
      <c r="BG627" s="4">
        <f>IF($A627=BG$586,"",COUNTIF($E$4:$E$582,$A627&amp;" ضد "&amp;BG$586)+COUNTIF($E$4:$E$582,BG$586&amp;" ضد "&amp;$A627))</f>
        <v>0</v>
      </c>
      <c r="BH627" s="4">
        <f>IF($A627=BH$586,"",COUNTIF($E$4:$E$582,$A627&amp;" ضد "&amp;BH$586)+COUNTIF($E$4:$E$582,BH$586&amp;" ضد "&amp;$A627))</f>
        <v>0</v>
      </c>
      <c r="BI627" s="4">
        <f>IF($A627=BI$586,"",COUNTIF($E$4:$E$582,$A627&amp;" ضد "&amp;BI$586)+COUNTIF($E$4:$E$582,BI$586&amp;" ضد "&amp;$A627))</f>
        <v>0</v>
      </c>
      <c r="BJ627" s="4">
        <f>IF($A627=BJ$586,"",COUNTIF($E$4:$E$582,$A627&amp;" ضد "&amp;BJ$586)+COUNTIF($E$4:$E$582,BJ$586&amp;" ضد "&amp;$A627))</f>
        <v>0</v>
      </c>
      <c r="BK627" s="4">
        <f>IF($A627=BK$586,"",COUNTIF($E$4:$E$582,$A627&amp;" ضد "&amp;BK$586)+COUNTIF($E$4:$E$582,BK$586&amp;" ضد "&amp;$A627))</f>
        <v>0</v>
      </c>
      <c r="BL627" s="4">
        <f>IF($A627=BL$586,"",COUNTIF($E$4:$E$582,$A627&amp;" ضد "&amp;BL$586)+COUNTIF($E$4:$E$582,BL$586&amp;" ضد "&amp;$A627))</f>
        <v>0</v>
      </c>
      <c r="BM627" s="4">
        <f>IF($A627=BM$586,"",COUNTIF($E$4:$E$582,$A627&amp;" ضد "&amp;BM$586)+COUNTIF($E$4:$E$582,BM$586&amp;" ضد "&amp;$A627))</f>
        <v>0</v>
      </c>
    </row>
    <row r="628" spans="1:65" ht="14.5">
      <c r="A628" s="14">
        <v>42</v>
      </c>
      <c r="B628" s="4">
        <f>IF($A628=B$586,"",COUNTIF($E$4:$E$582,$A628&amp;" ضد "&amp;B$586)+COUNTIF($E$4:$E$582,B$586&amp;" ضد "&amp;$A628))</f>
        <v>0</v>
      </c>
      <c r="C628" s="4">
        <f>IF($A628=C$586,"",COUNTIF($E$4:$E$582,$A628&amp;" ضد "&amp;C$586)+COUNTIF($E$4:$E$582,C$586&amp;" ضد "&amp;$A628))</f>
        <v>0</v>
      </c>
      <c r="D628" s="4">
        <f>IF($A628=D$586,"",COUNTIF($E$4:$E$582,$A628&amp;" ضد "&amp;D$586)+COUNTIF($E$4:$E$582,D$586&amp;" ضد "&amp;$A628))</f>
        <v>0</v>
      </c>
      <c r="E628" s="4">
        <f>IF($A628=E$586,"",COUNTIF($E$4:$E$582,$A628&amp;" ضد "&amp;E$586)+COUNTIF($E$4:$E$582,E$586&amp;" ضد "&amp;$A628))</f>
        <v>0</v>
      </c>
      <c r="F628" s="4">
        <f>IF($A628=F$586,"",COUNTIF($E$4:$E$582,$A628&amp;" ضد "&amp;F$586)+COUNTIF($E$4:$E$582,F$586&amp;" ضد "&amp;$A628))</f>
        <v>0</v>
      </c>
      <c r="G628" s="4">
        <f>IF($A628=G$586,"",COUNTIF($E$4:$E$582,$A628&amp;" ضد "&amp;G$586)+COUNTIF($E$4:$E$582,G$586&amp;" ضد "&amp;$A628))</f>
        <v>0</v>
      </c>
      <c r="H628" s="4">
        <f>IF($A628=H$586,"",COUNTIF($E$4:$E$582,$A628&amp;" ضد "&amp;H$586)+COUNTIF($E$4:$E$582,H$586&amp;" ضد "&amp;$A628))</f>
        <v>0</v>
      </c>
      <c r="I628" s="4">
        <f>IF($A628=I$586,"",COUNTIF($E$4:$E$582,$A628&amp;" ضد "&amp;I$586)+COUNTIF($E$4:$E$582,I$586&amp;" ضد "&amp;$A628))</f>
        <v>0</v>
      </c>
      <c r="J628" s="4">
        <f>IF($A628=J$586,"",COUNTIF($E$4:$E$582,$A628&amp;" ضد "&amp;J$586)+COUNTIF($E$4:$E$582,J$586&amp;" ضد "&amp;$A628))</f>
        <v>0</v>
      </c>
      <c r="K628" s="4">
        <f>IF($A628=K$586,"",COUNTIF($E$4:$E$582,$A628&amp;" ضد "&amp;K$586)+COUNTIF($E$4:$E$582,K$586&amp;" ضد "&amp;$A628))</f>
        <v>0</v>
      </c>
      <c r="L628" s="4">
        <f>IF($A628=L$586,"",COUNTIF($E$4:$E$582,$A628&amp;" ضد "&amp;L$586)+COUNTIF($E$4:$E$582,L$586&amp;" ضد "&amp;$A628))</f>
        <v>0</v>
      </c>
      <c r="M628" s="4">
        <f>IF($A628=M$586,"",COUNTIF($E$4:$E$582,$A628&amp;" ضد "&amp;M$586)+COUNTIF($E$4:$E$582,M$586&amp;" ضد "&amp;$A628))</f>
        <v>0</v>
      </c>
      <c r="N628" s="4">
        <f>IF($A628=N$586,"",COUNTIF($E$4:$E$582,$A628&amp;" ضد "&amp;N$586)+COUNTIF($E$4:$E$582,N$586&amp;" ضد "&amp;$A628))</f>
        <v>0</v>
      </c>
      <c r="O628" s="4">
        <f>IF($A628=O$586,"",COUNTIF($E$4:$E$582,$A628&amp;" ضد "&amp;O$586)+COUNTIF($E$4:$E$582,O$586&amp;" ضد "&amp;$A628))</f>
        <v>0</v>
      </c>
      <c r="P628" s="4">
        <f>IF($A628=P$586,"",COUNTIF($E$4:$E$582,$A628&amp;" ضد "&amp;P$586)+COUNTIF($E$4:$E$582,P$586&amp;" ضد "&amp;$A628))</f>
        <v>0</v>
      </c>
      <c r="Q628" s="4">
        <f>IF($A628=Q$586,"",COUNTIF($E$4:$E$582,$A628&amp;" ضد "&amp;Q$586)+COUNTIF($E$4:$E$582,Q$586&amp;" ضد "&amp;$A628))</f>
        <v>0</v>
      </c>
      <c r="R628" s="4">
        <f>IF($A628=R$586,"",COUNTIF($E$4:$E$582,$A628&amp;" ضد "&amp;R$586)+COUNTIF($E$4:$E$582,R$586&amp;" ضد "&amp;$A628))</f>
        <v>0</v>
      </c>
      <c r="S628" s="4">
        <f>IF($A628=S$586,"",COUNTIF($E$4:$E$582,$A628&amp;" ضد "&amp;S$586)+COUNTIF($E$4:$E$582,S$586&amp;" ضد "&amp;$A628))</f>
        <v>0</v>
      </c>
      <c r="T628" s="4">
        <f>IF($A628=T$586,"",COUNTIF($E$4:$E$582,$A628&amp;" ضد "&amp;T$586)+COUNTIF($E$4:$E$582,T$586&amp;" ضد "&amp;$A628))</f>
        <v>0</v>
      </c>
      <c r="U628" s="4">
        <f>IF($A628=U$586,"",COUNTIF($E$4:$E$582,$A628&amp;" ضد "&amp;U$586)+COUNTIF($E$4:$E$582,U$586&amp;" ضد "&amp;$A628))</f>
        <v>0</v>
      </c>
      <c r="V628" s="4">
        <f>IF($A628=V$586,"",COUNTIF($E$4:$E$582,$A628&amp;" ضد "&amp;V$586)+COUNTIF($E$4:$E$582,V$586&amp;" ضد "&amp;$A628))</f>
        <v>0</v>
      </c>
      <c r="W628" s="4">
        <f>IF($A628=W$586,"",COUNTIF($E$4:$E$582,$A628&amp;" ضد "&amp;W$586)+COUNTIF($E$4:$E$582,W$586&amp;" ضد "&amp;$A628))</f>
        <v>0</v>
      </c>
      <c r="X628" s="4">
        <f>IF($A628=X$586,"",COUNTIF($E$4:$E$582,$A628&amp;" ضد "&amp;X$586)+COUNTIF($E$4:$E$582,X$586&amp;" ضد "&amp;$A628))</f>
        <v>0</v>
      </c>
      <c r="Y628" s="4">
        <f>IF($A628=Y$586,"",COUNTIF($E$4:$E$582,$A628&amp;" ضد "&amp;Y$586)+COUNTIF($E$4:$E$582,Y$586&amp;" ضد "&amp;$A628))</f>
        <v>0</v>
      </c>
      <c r="Z628" s="4">
        <f>IF($A628=Z$586,"",COUNTIF($E$4:$E$582,$A628&amp;" ضد "&amp;Z$586)+COUNTIF($E$4:$E$582,Z$586&amp;" ضد "&amp;$A628))</f>
        <v>0</v>
      </c>
      <c r="AA628" s="4">
        <f>IF($A628=AA$586,"",COUNTIF($E$4:$E$582,$A628&amp;" ضد "&amp;AA$586)+COUNTIF($E$4:$E$582,AA$586&amp;" ضد "&amp;$A628))</f>
        <v>0</v>
      </c>
      <c r="AB628" s="4">
        <f>IF($A628=AB$586,"",COUNTIF($E$4:$E$582,$A628&amp;" ضد "&amp;AB$586)+COUNTIF($E$4:$E$582,AB$586&amp;" ضد "&amp;$A628))</f>
        <v>0</v>
      </c>
      <c r="AC628" s="4">
        <f>IF($A628=AC$586,"",COUNTIF($E$4:$E$582,$A628&amp;" ضد "&amp;AC$586)+COUNTIF($E$4:$E$582,AC$586&amp;" ضد "&amp;$A628))</f>
        <v>0</v>
      </c>
      <c r="AD628" s="4">
        <f>IF($A628=AD$586,"",COUNTIF($E$4:$E$582,$A628&amp;" ضد "&amp;AD$586)+COUNTIF($E$4:$E$582,AD$586&amp;" ضد "&amp;$A628))</f>
        <v>0</v>
      </c>
      <c r="AE628" s="4">
        <f>IF($A628=AE$586,"",COUNTIF($E$4:$E$582,$A628&amp;" ضد "&amp;AE$586)+COUNTIF($E$4:$E$582,AE$586&amp;" ضد "&amp;$A628))</f>
        <v>0</v>
      </c>
      <c r="AF628" s="4">
        <f>IF($A628=AF$586,"",COUNTIF($E$4:$E$582,$A628&amp;" ضد "&amp;AF$586)+COUNTIF($E$4:$E$582,AF$586&amp;" ضد "&amp;$A628))</f>
        <v>0</v>
      </c>
      <c r="AG628" s="4">
        <f>IF($A628=AG$586,"",COUNTIF($E$4:$E$582,$A628&amp;" ضد "&amp;AG$586)+COUNTIF($E$4:$E$582,AG$586&amp;" ضد "&amp;$A628))</f>
        <v>0</v>
      </c>
      <c r="AH628" s="4">
        <f>IF($A628=AH$586,"",COUNTIF($E$4:$E$582,$A628&amp;" ضد "&amp;AH$586)+COUNTIF($E$4:$E$582,AH$586&amp;" ضد "&amp;$A628))</f>
        <v>1</v>
      </c>
      <c r="AI628" s="4">
        <f>IF($A628=AI$586,"",COUNTIF($E$4:$E$582,$A628&amp;" ضد "&amp;AI$586)+COUNTIF($E$4:$E$582,AI$586&amp;" ضد "&amp;$A628))</f>
        <v>1</v>
      </c>
      <c r="AJ628" s="4">
        <f>IF($A628=AJ$586,"",COUNTIF($E$4:$E$582,$A628&amp;" ضد "&amp;AJ$586)+COUNTIF($E$4:$E$582,AJ$586&amp;" ضد "&amp;$A628))</f>
        <v>2</v>
      </c>
      <c r="AK628" s="4">
        <f>IF($A628=AK$586,"",COUNTIF($E$4:$E$582,$A628&amp;" ضد "&amp;AK$586)+COUNTIF($E$4:$E$582,AK$586&amp;" ضد "&amp;$A628))</f>
        <v>1</v>
      </c>
      <c r="AL628" s="4">
        <f>IF($A628=AL$586,"",COUNTIF($E$4:$E$582,$A628&amp;" ضد "&amp;AL$586)+COUNTIF($E$4:$E$582,AL$586&amp;" ضد "&amp;$A628))</f>
        <v>2</v>
      </c>
      <c r="AM628" s="4">
        <f>IF($A628=AM$586,"",COUNTIF($E$4:$E$582,$A628&amp;" ضد "&amp;AM$586)+COUNTIF($E$4:$E$582,AM$586&amp;" ضد "&amp;$A628))</f>
        <v>1</v>
      </c>
      <c r="AN628" s="4">
        <f>IF($A628=AN$586,"",COUNTIF($E$4:$E$582,$A628&amp;" ضد "&amp;AN$586)+COUNTIF($E$4:$E$582,AN$586&amp;" ضد "&amp;$A628))</f>
        <v>2</v>
      </c>
      <c r="AO628" s="4">
        <f>IF($A628=AO$586,"",COUNTIF($E$4:$E$582,$A628&amp;" ضد "&amp;AO$586)+COUNTIF($E$4:$E$582,AO$586&amp;" ضد "&amp;$A628))</f>
        <v>1</v>
      </c>
      <c r="AP628" s="4">
        <f>IF($A628=AP$586,"",COUNTIF($E$4:$E$582,$A628&amp;" ضد "&amp;AP$586)+COUNTIF($E$4:$E$582,AP$586&amp;" ضد "&amp;$A628))</f>
        <v>1</v>
      </c>
      <c r="AQ628" s="4" t="str">
        <f>IF($A628=AQ$586,"",COUNTIF($E$4:$E$582,$A628&amp;" ضد "&amp;AQ$586)+COUNTIF($E$4:$E$582,AQ$586&amp;" ضد "&amp;$A628))</f>
        <v/>
      </c>
      <c r="AR628" s="4">
        <f>IF($A628=AR$586,"",COUNTIF($E$4:$E$582,$A628&amp;" ضد "&amp;AR$586)+COUNTIF($E$4:$E$582,AR$586&amp;" ضد "&amp;$A628))</f>
        <v>1</v>
      </c>
      <c r="AS628" s="4">
        <f>IF($A628=AS$586,"",COUNTIF($E$4:$E$582,$A628&amp;" ضد "&amp;AS$586)+COUNTIF($E$4:$E$582,AS$586&amp;" ضد "&amp;$A628))</f>
        <v>1</v>
      </c>
      <c r="AT628" s="4">
        <f>IF($A628=AT$586,"",COUNTIF($E$4:$E$582,$A628&amp;" ضد "&amp;AT$586)+COUNTIF($E$4:$E$582,AT$586&amp;" ضد "&amp;$A628))</f>
        <v>1</v>
      </c>
      <c r="AU628" s="4">
        <f>IF($A628=AU$586,"",COUNTIF($E$4:$E$582,$A628&amp;" ضد "&amp;AU$586)+COUNTIF($E$4:$E$582,AU$586&amp;" ضد "&amp;$A628))</f>
        <v>1</v>
      </c>
      <c r="AV628" s="4">
        <f>IF($A628=AV$586,"",COUNTIF($E$4:$E$582,$A628&amp;" ضد "&amp;AV$586)+COUNTIF($E$4:$E$582,AV$586&amp;" ضد "&amp;$A628))</f>
        <v>1</v>
      </c>
      <c r="AW628" s="4">
        <f>IF($A628=AW$586,"",COUNTIF($E$4:$E$582,$A628&amp;" ضد "&amp;AW$586)+COUNTIF($E$4:$E$582,AW$586&amp;" ضد "&amp;$A628))</f>
        <v>1</v>
      </c>
      <c r="AX628" s="4">
        <f>IF($A628=AX$586,"",COUNTIF($E$4:$E$582,$A628&amp;" ضد "&amp;AX$586)+COUNTIF($E$4:$E$582,AX$586&amp;" ضد "&amp;$A628))</f>
        <v>0</v>
      </c>
      <c r="AY628" s="4">
        <f>IF($A628=AY$586,"",COUNTIF($E$4:$E$582,$A628&amp;" ضد "&amp;AY$586)+COUNTIF($E$4:$E$582,AY$586&amp;" ضد "&amp;$A628))</f>
        <v>0</v>
      </c>
      <c r="AZ628" s="4">
        <f>IF($A628=AZ$586,"",COUNTIF($E$4:$E$582,$A628&amp;" ضد "&amp;AZ$586)+COUNTIF($E$4:$E$582,AZ$586&amp;" ضد "&amp;$A628))</f>
        <v>0</v>
      </c>
      <c r="BA628" s="4">
        <f>IF($A628=BA$586,"",COUNTIF($E$4:$E$582,$A628&amp;" ضد "&amp;BA$586)+COUNTIF($E$4:$E$582,BA$586&amp;" ضد "&amp;$A628))</f>
        <v>0</v>
      </c>
      <c r="BB628" s="4">
        <f>IF($A628=BB$586,"",COUNTIF($E$4:$E$582,$A628&amp;" ضد "&amp;BB$586)+COUNTIF($E$4:$E$582,BB$586&amp;" ضد "&amp;$A628))</f>
        <v>0</v>
      </c>
      <c r="BC628" s="4">
        <f>IF($A628=BC$586,"",COUNTIF($E$4:$E$582,$A628&amp;" ضد "&amp;BC$586)+COUNTIF($E$4:$E$582,BC$586&amp;" ضد "&amp;$A628))</f>
        <v>0</v>
      </c>
      <c r="BD628" s="4">
        <f>IF($A628=BD$586,"",COUNTIF($E$4:$E$582,$A628&amp;" ضد "&amp;BD$586)+COUNTIF($E$4:$E$582,BD$586&amp;" ضد "&amp;$A628))</f>
        <v>0</v>
      </c>
      <c r="BE628" s="4">
        <f>IF($A628=BE$586,"",COUNTIF($E$4:$E$582,$A628&amp;" ضد "&amp;BE$586)+COUNTIF($E$4:$E$582,BE$586&amp;" ضد "&amp;$A628))</f>
        <v>0</v>
      </c>
      <c r="BF628" s="4">
        <f>IF($A628=BF$586,"",COUNTIF($E$4:$E$582,$A628&amp;" ضد "&amp;BF$586)+COUNTIF($E$4:$E$582,BF$586&amp;" ضد "&amp;$A628))</f>
        <v>0</v>
      </c>
      <c r="BG628" s="4">
        <f>IF($A628=BG$586,"",COUNTIF($E$4:$E$582,$A628&amp;" ضد "&amp;BG$586)+COUNTIF($E$4:$E$582,BG$586&amp;" ضد "&amp;$A628))</f>
        <v>0</v>
      </c>
      <c r="BH628" s="4">
        <f>IF($A628=BH$586,"",COUNTIF($E$4:$E$582,$A628&amp;" ضد "&amp;BH$586)+COUNTIF($E$4:$E$582,BH$586&amp;" ضد "&amp;$A628))</f>
        <v>0</v>
      </c>
      <c r="BI628" s="4">
        <f>IF($A628=BI$586,"",COUNTIF($E$4:$E$582,$A628&amp;" ضد "&amp;BI$586)+COUNTIF($E$4:$E$582,BI$586&amp;" ضد "&amp;$A628))</f>
        <v>0</v>
      </c>
      <c r="BJ628" s="4">
        <f>IF($A628=BJ$586,"",COUNTIF($E$4:$E$582,$A628&amp;" ضد "&amp;BJ$586)+COUNTIF($E$4:$E$582,BJ$586&amp;" ضد "&amp;$A628))</f>
        <v>0</v>
      </c>
      <c r="BK628" s="4">
        <f>IF($A628=BK$586,"",COUNTIF($E$4:$E$582,$A628&amp;" ضد "&amp;BK$586)+COUNTIF($E$4:$E$582,BK$586&amp;" ضد "&amp;$A628))</f>
        <v>0</v>
      </c>
      <c r="BL628" s="4">
        <f>IF($A628=BL$586,"",COUNTIF($E$4:$E$582,$A628&amp;" ضد "&amp;BL$586)+COUNTIF($E$4:$E$582,BL$586&amp;" ضد "&amp;$A628))</f>
        <v>0</v>
      </c>
      <c r="BM628" s="4">
        <f>IF($A628=BM$586,"",COUNTIF($E$4:$E$582,$A628&amp;" ضد "&amp;BM$586)+COUNTIF($E$4:$E$582,BM$586&amp;" ضد "&amp;$A628))</f>
        <v>0</v>
      </c>
    </row>
    <row r="629" spans="1:65" ht="14.5">
      <c r="A629" s="14">
        <v>43</v>
      </c>
      <c r="B629" s="4">
        <f>IF($A629=B$586,"",COUNTIF($E$4:$E$582,$A629&amp;" ضد "&amp;B$586)+COUNTIF($E$4:$E$582,B$586&amp;" ضد "&amp;$A629))</f>
        <v>0</v>
      </c>
      <c r="C629" s="4">
        <f>IF($A629=C$586,"",COUNTIF($E$4:$E$582,$A629&amp;" ضد "&amp;C$586)+COUNTIF($E$4:$E$582,C$586&amp;" ضد "&amp;$A629))</f>
        <v>0</v>
      </c>
      <c r="D629" s="4">
        <f>IF($A629=D$586,"",COUNTIF($E$4:$E$582,$A629&amp;" ضد "&amp;D$586)+COUNTIF($E$4:$E$582,D$586&amp;" ضد "&amp;$A629))</f>
        <v>0</v>
      </c>
      <c r="E629" s="4">
        <f>IF($A629=E$586,"",COUNTIF($E$4:$E$582,$A629&amp;" ضد "&amp;E$586)+COUNTIF($E$4:$E$582,E$586&amp;" ضد "&amp;$A629))</f>
        <v>0</v>
      </c>
      <c r="F629" s="4">
        <f>IF($A629=F$586,"",COUNTIF($E$4:$E$582,$A629&amp;" ضد "&amp;F$586)+COUNTIF($E$4:$E$582,F$586&amp;" ضد "&amp;$A629))</f>
        <v>0</v>
      </c>
      <c r="G629" s="4">
        <f>IF($A629=G$586,"",COUNTIF($E$4:$E$582,$A629&amp;" ضد "&amp;G$586)+COUNTIF($E$4:$E$582,G$586&amp;" ضد "&amp;$A629))</f>
        <v>0</v>
      </c>
      <c r="H629" s="4">
        <f>IF($A629=H$586,"",COUNTIF($E$4:$E$582,$A629&amp;" ضد "&amp;H$586)+COUNTIF($E$4:$E$582,H$586&amp;" ضد "&amp;$A629))</f>
        <v>0</v>
      </c>
      <c r="I629" s="4">
        <f>IF($A629=I$586,"",COUNTIF($E$4:$E$582,$A629&amp;" ضد "&amp;I$586)+COUNTIF($E$4:$E$582,I$586&amp;" ضد "&amp;$A629))</f>
        <v>0</v>
      </c>
      <c r="J629" s="4">
        <f>IF($A629=J$586,"",COUNTIF($E$4:$E$582,$A629&amp;" ضد "&amp;J$586)+COUNTIF($E$4:$E$582,J$586&amp;" ضد "&amp;$A629))</f>
        <v>0</v>
      </c>
      <c r="K629" s="4">
        <f>IF($A629=K$586,"",COUNTIF($E$4:$E$582,$A629&amp;" ضد "&amp;K$586)+COUNTIF($E$4:$E$582,K$586&amp;" ضد "&amp;$A629))</f>
        <v>0</v>
      </c>
      <c r="L629" s="4">
        <f>IF($A629=L$586,"",COUNTIF($E$4:$E$582,$A629&amp;" ضد "&amp;L$586)+COUNTIF($E$4:$E$582,L$586&amp;" ضد "&amp;$A629))</f>
        <v>0</v>
      </c>
      <c r="M629" s="4">
        <f>IF($A629=M$586,"",COUNTIF($E$4:$E$582,$A629&amp;" ضد "&amp;M$586)+COUNTIF($E$4:$E$582,M$586&amp;" ضد "&amp;$A629))</f>
        <v>0</v>
      </c>
      <c r="N629" s="4">
        <f>IF($A629=N$586,"",COUNTIF($E$4:$E$582,$A629&amp;" ضد "&amp;N$586)+COUNTIF($E$4:$E$582,N$586&amp;" ضد "&amp;$A629))</f>
        <v>0</v>
      </c>
      <c r="O629" s="4">
        <f>IF($A629=O$586,"",COUNTIF($E$4:$E$582,$A629&amp;" ضد "&amp;O$586)+COUNTIF($E$4:$E$582,O$586&amp;" ضد "&amp;$A629))</f>
        <v>0</v>
      </c>
      <c r="P629" s="4">
        <f>IF($A629=P$586,"",COUNTIF($E$4:$E$582,$A629&amp;" ضد "&amp;P$586)+COUNTIF($E$4:$E$582,P$586&amp;" ضد "&amp;$A629))</f>
        <v>0</v>
      </c>
      <c r="Q629" s="4">
        <f>IF($A629=Q$586,"",COUNTIF($E$4:$E$582,$A629&amp;" ضد "&amp;Q$586)+COUNTIF($E$4:$E$582,Q$586&amp;" ضد "&amp;$A629))</f>
        <v>0</v>
      </c>
      <c r="R629" s="4">
        <f>IF($A629=R$586,"",COUNTIF($E$4:$E$582,$A629&amp;" ضد "&amp;R$586)+COUNTIF($E$4:$E$582,R$586&amp;" ضد "&amp;$A629))</f>
        <v>0</v>
      </c>
      <c r="S629" s="4">
        <f>IF($A629=S$586,"",COUNTIF($E$4:$E$582,$A629&amp;" ضد "&amp;S$586)+COUNTIF($E$4:$E$582,S$586&amp;" ضد "&amp;$A629))</f>
        <v>0</v>
      </c>
      <c r="T629" s="4">
        <f>IF($A629=T$586,"",COUNTIF($E$4:$E$582,$A629&amp;" ضد "&amp;T$586)+COUNTIF($E$4:$E$582,T$586&amp;" ضد "&amp;$A629))</f>
        <v>0</v>
      </c>
      <c r="U629" s="4">
        <f>IF($A629=U$586,"",COUNTIF($E$4:$E$582,$A629&amp;" ضد "&amp;U$586)+COUNTIF($E$4:$E$582,U$586&amp;" ضد "&amp;$A629))</f>
        <v>0</v>
      </c>
      <c r="V629" s="4">
        <f>IF($A629=V$586,"",COUNTIF($E$4:$E$582,$A629&amp;" ضد "&amp;V$586)+COUNTIF($E$4:$E$582,V$586&amp;" ضد "&amp;$A629))</f>
        <v>0</v>
      </c>
      <c r="W629" s="4">
        <f>IF($A629=W$586,"",COUNTIF($E$4:$E$582,$A629&amp;" ضد "&amp;W$586)+COUNTIF($E$4:$E$582,W$586&amp;" ضد "&amp;$A629))</f>
        <v>0</v>
      </c>
      <c r="X629" s="4">
        <f>IF($A629=X$586,"",COUNTIF($E$4:$E$582,$A629&amp;" ضد "&amp;X$586)+COUNTIF($E$4:$E$582,X$586&amp;" ضد "&amp;$A629))</f>
        <v>0</v>
      </c>
      <c r="Y629" s="4">
        <f>IF($A629=Y$586,"",COUNTIF($E$4:$E$582,$A629&amp;" ضد "&amp;Y$586)+COUNTIF($E$4:$E$582,Y$586&amp;" ضد "&amp;$A629))</f>
        <v>0</v>
      </c>
      <c r="Z629" s="4">
        <f>IF($A629=Z$586,"",COUNTIF($E$4:$E$582,$A629&amp;" ضد "&amp;Z$586)+COUNTIF($E$4:$E$582,Z$586&amp;" ضد "&amp;$A629))</f>
        <v>0</v>
      </c>
      <c r="AA629" s="4">
        <f>IF($A629=AA$586,"",COUNTIF($E$4:$E$582,$A629&amp;" ضد "&amp;AA$586)+COUNTIF($E$4:$E$582,AA$586&amp;" ضد "&amp;$A629))</f>
        <v>0</v>
      </c>
      <c r="AB629" s="4">
        <f>IF($A629=AB$586,"",COUNTIF($E$4:$E$582,$A629&amp;" ضد "&amp;AB$586)+COUNTIF($E$4:$E$582,AB$586&amp;" ضد "&amp;$A629))</f>
        <v>0</v>
      </c>
      <c r="AC629" s="4">
        <f>IF($A629=AC$586,"",COUNTIF($E$4:$E$582,$A629&amp;" ضد "&amp;AC$586)+COUNTIF($E$4:$E$582,AC$586&amp;" ضد "&amp;$A629))</f>
        <v>0</v>
      </c>
      <c r="AD629" s="4">
        <f>IF($A629=AD$586,"",COUNTIF($E$4:$E$582,$A629&amp;" ضد "&amp;AD$586)+COUNTIF($E$4:$E$582,AD$586&amp;" ضد "&amp;$A629))</f>
        <v>0</v>
      </c>
      <c r="AE629" s="4">
        <f>IF($A629=AE$586,"",COUNTIF($E$4:$E$582,$A629&amp;" ضد "&amp;AE$586)+COUNTIF($E$4:$E$582,AE$586&amp;" ضد "&amp;$A629))</f>
        <v>0</v>
      </c>
      <c r="AF629" s="4">
        <f>IF($A629=AF$586,"",COUNTIF($E$4:$E$582,$A629&amp;" ضد "&amp;AF$586)+COUNTIF($E$4:$E$582,AF$586&amp;" ضد "&amp;$A629))</f>
        <v>0</v>
      </c>
      <c r="AG629" s="4">
        <f>IF($A629=AG$586,"",COUNTIF($E$4:$E$582,$A629&amp;" ضد "&amp;AG$586)+COUNTIF($E$4:$E$582,AG$586&amp;" ضد "&amp;$A629))</f>
        <v>0</v>
      </c>
      <c r="AH629" s="4">
        <f>IF($A629=AH$586,"",COUNTIF($E$4:$E$582,$A629&amp;" ضد "&amp;AH$586)+COUNTIF($E$4:$E$582,AH$586&amp;" ضد "&amp;$A629))</f>
        <v>1</v>
      </c>
      <c r="AI629" s="4">
        <f>IF($A629=AI$586,"",COUNTIF($E$4:$E$582,$A629&amp;" ضد "&amp;AI$586)+COUNTIF($E$4:$E$582,AI$586&amp;" ضد "&amp;$A629))</f>
        <v>2</v>
      </c>
      <c r="AJ629" s="4">
        <f>IF($A629=AJ$586,"",COUNTIF($E$4:$E$582,$A629&amp;" ضد "&amp;AJ$586)+COUNTIF($E$4:$E$582,AJ$586&amp;" ضد "&amp;$A629))</f>
        <v>1</v>
      </c>
      <c r="AK629" s="4">
        <f>IF($A629=AK$586,"",COUNTIF($E$4:$E$582,$A629&amp;" ضد "&amp;AK$586)+COUNTIF($E$4:$E$582,AK$586&amp;" ضد "&amp;$A629))</f>
        <v>2</v>
      </c>
      <c r="AL629" s="4">
        <f>IF($A629=AL$586,"",COUNTIF($E$4:$E$582,$A629&amp;" ضد "&amp;AL$586)+COUNTIF($E$4:$E$582,AL$586&amp;" ضد "&amp;$A629))</f>
        <v>1</v>
      </c>
      <c r="AM629" s="4">
        <f>IF($A629=AM$586,"",COUNTIF($E$4:$E$582,$A629&amp;" ضد "&amp;AM$586)+COUNTIF($E$4:$E$582,AM$586&amp;" ضد "&amp;$A629))</f>
        <v>2</v>
      </c>
      <c r="AN629" s="4">
        <f>IF($A629=AN$586,"",COUNTIF($E$4:$E$582,$A629&amp;" ضد "&amp;AN$586)+COUNTIF($E$4:$E$582,AN$586&amp;" ضد "&amp;$A629))</f>
        <v>1</v>
      </c>
      <c r="AO629" s="4">
        <f>IF($A629=AO$586,"",COUNTIF($E$4:$E$582,$A629&amp;" ضد "&amp;AO$586)+COUNTIF($E$4:$E$582,AO$586&amp;" ضد "&amp;$A629))</f>
        <v>1</v>
      </c>
      <c r="AP629" s="4">
        <f>IF($A629=AP$586,"",COUNTIF($E$4:$E$582,$A629&amp;" ضد "&amp;AP$586)+COUNTIF($E$4:$E$582,AP$586&amp;" ضد "&amp;$A629))</f>
        <v>1</v>
      </c>
      <c r="AQ629" s="4">
        <f>IF($A629=AQ$586,"",COUNTIF($E$4:$E$582,$A629&amp;" ضد "&amp;AQ$586)+COUNTIF($E$4:$E$582,AQ$586&amp;" ضد "&amp;$A629))</f>
        <v>1</v>
      </c>
      <c r="AR629" s="4" t="str">
        <f>IF($A629=AR$586,"",COUNTIF($E$4:$E$582,$A629&amp;" ضد "&amp;AR$586)+COUNTIF($E$4:$E$582,AR$586&amp;" ضد "&amp;$A629))</f>
        <v/>
      </c>
      <c r="AS629" s="4">
        <f>IF($A629=AS$586,"",COUNTIF($E$4:$E$582,$A629&amp;" ضد "&amp;AS$586)+COUNTIF($E$4:$E$582,AS$586&amp;" ضد "&amp;$A629))</f>
        <v>1</v>
      </c>
      <c r="AT629" s="4">
        <f>IF($A629=AT$586,"",COUNTIF($E$4:$E$582,$A629&amp;" ضد "&amp;AT$586)+COUNTIF($E$4:$E$582,AT$586&amp;" ضد "&amp;$A629))</f>
        <v>1</v>
      </c>
      <c r="AU629" s="4">
        <f>IF($A629=AU$586,"",COUNTIF($E$4:$E$582,$A629&amp;" ضد "&amp;AU$586)+COUNTIF($E$4:$E$582,AU$586&amp;" ضد "&amp;$A629))</f>
        <v>1</v>
      </c>
      <c r="AV629" s="4">
        <f>IF($A629=AV$586,"",COUNTIF($E$4:$E$582,$A629&amp;" ضد "&amp;AV$586)+COUNTIF($E$4:$E$582,AV$586&amp;" ضد "&amp;$A629))</f>
        <v>1</v>
      </c>
      <c r="AW629" s="4">
        <f>IF($A629=AW$586,"",COUNTIF($E$4:$E$582,$A629&amp;" ضد "&amp;AW$586)+COUNTIF($E$4:$E$582,AW$586&amp;" ضد "&amp;$A629))</f>
        <v>1</v>
      </c>
      <c r="AX629" s="4">
        <f>IF($A629=AX$586,"",COUNTIF($E$4:$E$582,$A629&amp;" ضد "&amp;AX$586)+COUNTIF($E$4:$E$582,AX$586&amp;" ضد "&amp;$A629))</f>
        <v>0</v>
      </c>
      <c r="AY629" s="4">
        <f>IF($A629=AY$586,"",COUNTIF($E$4:$E$582,$A629&amp;" ضد "&amp;AY$586)+COUNTIF($E$4:$E$582,AY$586&amp;" ضد "&amp;$A629))</f>
        <v>0</v>
      </c>
      <c r="AZ629" s="4">
        <f>IF($A629=AZ$586,"",COUNTIF($E$4:$E$582,$A629&amp;" ضد "&amp;AZ$586)+COUNTIF($E$4:$E$582,AZ$586&amp;" ضد "&amp;$A629))</f>
        <v>0</v>
      </c>
      <c r="BA629" s="4">
        <f>IF($A629=BA$586,"",COUNTIF($E$4:$E$582,$A629&amp;" ضد "&amp;BA$586)+COUNTIF($E$4:$E$582,BA$586&amp;" ضد "&amp;$A629))</f>
        <v>0</v>
      </c>
      <c r="BB629" s="4">
        <f>IF($A629=BB$586,"",COUNTIF($E$4:$E$582,$A629&amp;" ضد "&amp;BB$586)+COUNTIF($E$4:$E$582,BB$586&amp;" ضد "&amp;$A629))</f>
        <v>0</v>
      </c>
      <c r="BC629" s="4">
        <f>IF($A629=BC$586,"",COUNTIF($E$4:$E$582,$A629&amp;" ضد "&amp;BC$586)+COUNTIF($E$4:$E$582,BC$586&amp;" ضد "&amp;$A629))</f>
        <v>0</v>
      </c>
      <c r="BD629" s="4">
        <f>IF($A629=BD$586,"",COUNTIF($E$4:$E$582,$A629&amp;" ضد "&amp;BD$586)+COUNTIF($E$4:$E$582,BD$586&amp;" ضد "&amp;$A629))</f>
        <v>0</v>
      </c>
      <c r="BE629" s="4">
        <f>IF($A629=BE$586,"",COUNTIF($E$4:$E$582,$A629&amp;" ضد "&amp;BE$586)+COUNTIF($E$4:$E$582,BE$586&amp;" ضد "&amp;$A629))</f>
        <v>0</v>
      </c>
      <c r="BF629" s="4">
        <f>IF($A629=BF$586,"",COUNTIF($E$4:$E$582,$A629&amp;" ضد "&amp;BF$586)+COUNTIF($E$4:$E$582,BF$586&amp;" ضد "&amp;$A629))</f>
        <v>0</v>
      </c>
      <c r="BG629" s="4">
        <f>IF($A629=BG$586,"",COUNTIF($E$4:$E$582,$A629&amp;" ضد "&amp;BG$586)+COUNTIF($E$4:$E$582,BG$586&amp;" ضد "&amp;$A629))</f>
        <v>0</v>
      </c>
      <c r="BH629" s="4">
        <f>IF($A629=BH$586,"",COUNTIF($E$4:$E$582,$A629&amp;" ضد "&amp;BH$586)+COUNTIF($E$4:$E$582,BH$586&amp;" ضد "&amp;$A629))</f>
        <v>0</v>
      </c>
      <c r="BI629" s="4">
        <f>IF($A629=BI$586,"",COUNTIF($E$4:$E$582,$A629&amp;" ضد "&amp;BI$586)+COUNTIF($E$4:$E$582,BI$586&amp;" ضد "&amp;$A629))</f>
        <v>0</v>
      </c>
      <c r="BJ629" s="4">
        <f>IF($A629=BJ$586,"",COUNTIF($E$4:$E$582,$A629&amp;" ضد "&amp;BJ$586)+COUNTIF($E$4:$E$582,BJ$586&amp;" ضد "&amp;$A629))</f>
        <v>0</v>
      </c>
      <c r="BK629" s="4">
        <f>IF($A629=BK$586,"",COUNTIF($E$4:$E$582,$A629&amp;" ضد "&amp;BK$586)+COUNTIF($E$4:$E$582,BK$586&amp;" ضد "&amp;$A629))</f>
        <v>0</v>
      </c>
      <c r="BL629" s="4">
        <f>IF($A629=BL$586,"",COUNTIF($E$4:$E$582,$A629&amp;" ضد "&amp;BL$586)+COUNTIF($E$4:$E$582,BL$586&amp;" ضد "&amp;$A629))</f>
        <v>0</v>
      </c>
      <c r="BM629" s="4">
        <f>IF($A629=BM$586,"",COUNTIF($E$4:$E$582,$A629&amp;" ضد "&amp;BM$586)+COUNTIF($E$4:$E$582,BM$586&amp;" ضد "&amp;$A629))</f>
        <v>0</v>
      </c>
    </row>
    <row r="630" spans="1:65" ht="14.5">
      <c r="A630" s="14">
        <v>44</v>
      </c>
      <c r="B630" s="4">
        <f>IF($A630=B$586,"",COUNTIF($E$4:$E$582,$A630&amp;" ضد "&amp;B$586)+COUNTIF($E$4:$E$582,B$586&amp;" ضد "&amp;$A630))</f>
        <v>0</v>
      </c>
      <c r="C630" s="4">
        <f>IF($A630=C$586,"",COUNTIF($E$4:$E$582,$A630&amp;" ضد "&amp;C$586)+COUNTIF($E$4:$E$582,C$586&amp;" ضد "&amp;$A630))</f>
        <v>0</v>
      </c>
      <c r="D630" s="4">
        <f>IF($A630=D$586,"",COUNTIF($E$4:$E$582,$A630&amp;" ضد "&amp;D$586)+COUNTIF($E$4:$E$582,D$586&amp;" ضد "&amp;$A630))</f>
        <v>0</v>
      </c>
      <c r="E630" s="4">
        <f>IF($A630=E$586,"",COUNTIF($E$4:$E$582,$A630&amp;" ضد "&amp;E$586)+COUNTIF($E$4:$E$582,E$586&amp;" ضد "&amp;$A630))</f>
        <v>0</v>
      </c>
      <c r="F630" s="4">
        <f>IF($A630=F$586,"",COUNTIF($E$4:$E$582,$A630&amp;" ضد "&amp;F$586)+COUNTIF($E$4:$E$582,F$586&amp;" ضد "&amp;$A630))</f>
        <v>0</v>
      </c>
      <c r="G630" s="4">
        <f>IF($A630=G$586,"",COUNTIF($E$4:$E$582,$A630&amp;" ضد "&amp;G$586)+COUNTIF($E$4:$E$582,G$586&amp;" ضد "&amp;$A630))</f>
        <v>0</v>
      </c>
      <c r="H630" s="4">
        <f>IF($A630=H$586,"",COUNTIF($E$4:$E$582,$A630&amp;" ضد "&amp;H$586)+COUNTIF($E$4:$E$582,H$586&amp;" ضد "&amp;$A630))</f>
        <v>0</v>
      </c>
      <c r="I630" s="4">
        <f>IF($A630=I$586,"",COUNTIF($E$4:$E$582,$A630&amp;" ضد "&amp;I$586)+COUNTIF($E$4:$E$582,I$586&amp;" ضد "&amp;$A630))</f>
        <v>0</v>
      </c>
      <c r="J630" s="4">
        <f>IF($A630=J$586,"",COUNTIF($E$4:$E$582,$A630&amp;" ضد "&amp;J$586)+COUNTIF($E$4:$E$582,J$586&amp;" ضد "&amp;$A630))</f>
        <v>0</v>
      </c>
      <c r="K630" s="4">
        <f>IF($A630=K$586,"",COUNTIF($E$4:$E$582,$A630&amp;" ضد "&amp;K$586)+COUNTIF($E$4:$E$582,K$586&amp;" ضد "&amp;$A630))</f>
        <v>0</v>
      </c>
      <c r="L630" s="4">
        <f>IF($A630=L$586,"",COUNTIF($E$4:$E$582,$A630&amp;" ضد "&amp;L$586)+COUNTIF($E$4:$E$582,L$586&amp;" ضد "&amp;$A630))</f>
        <v>0</v>
      </c>
      <c r="M630" s="4">
        <f>IF($A630=M$586,"",COUNTIF($E$4:$E$582,$A630&amp;" ضد "&amp;M$586)+COUNTIF($E$4:$E$582,M$586&amp;" ضد "&amp;$A630))</f>
        <v>0</v>
      </c>
      <c r="N630" s="4">
        <f>IF($A630=N$586,"",COUNTIF($E$4:$E$582,$A630&amp;" ضد "&amp;N$586)+COUNTIF($E$4:$E$582,N$586&amp;" ضد "&amp;$A630))</f>
        <v>0</v>
      </c>
      <c r="O630" s="4">
        <f>IF($A630=O$586,"",COUNTIF($E$4:$E$582,$A630&amp;" ضد "&amp;O$586)+COUNTIF($E$4:$E$582,O$586&amp;" ضد "&amp;$A630))</f>
        <v>0</v>
      </c>
      <c r="P630" s="4">
        <f>IF($A630=P$586,"",COUNTIF($E$4:$E$582,$A630&amp;" ضد "&amp;P$586)+COUNTIF($E$4:$E$582,P$586&amp;" ضد "&amp;$A630))</f>
        <v>0</v>
      </c>
      <c r="Q630" s="4">
        <f>IF($A630=Q$586,"",COUNTIF($E$4:$E$582,$A630&amp;" ضد "&amp;Q$586)+COUNTIF($E$4:$E$582,Q$586&amp;" ضد "&amp;$A630))</f>
        <v>0</v>
      </c>
      <c r="R630" s="4">
        <f>IF($A630=R$586,"",COUNTIF($E$4:$E$582,$A630&amp;" ضد "&amp;R$586)+COUNTIF($E$4:$E$582,R$586&amp;" ضد "&amp;$A630))</f>
        <v>0</v>
      </c>
      <c r="S630" s="4">
        <f>IF($A630=S$586,"",COUNTIF($E$4:$E$582,$A630&amp;" ضد "&amp;S$586)+COUNTIF($E$4:$E$582,S$586&amp;" ضد "&amp;$A630))</f>
        <v>0</v>
      </c>
      <c r="T630" s="4">
        <f>IF($A630=T$586,"",COUNTIF($E$4:$E$582,$A630&amp;" ضد "&amp;T$586)+COUNTIF($E$4:$E$582,T$586&amp;" ضد "&amp;$A630))</f>
        <v>0</v>
      </c>
      <c r="U630" s="4">
        <f>IF($A630=U$586,"",COUNTIF($E$4:$E$582,$A630&amp;" ضد "&amp;U$586)+COUNTIF($E$4:$E$582,U$586&amp;" ضد "&amp;$A630))</f>
        <v>0</v>
      </c>
      <c r="V630" s="4">
        <f>IF($A630=V$586,"",COUNTIF($E$4:$E$582,$A630&amp;" ضد "&amp;V$586)+COUNTIF($E$4:$E$582,V$586&amp;" ضد "&amp;$A630))</f>
        <v>0</v>
      </c>
      <c r="W630" s="4">
        <f>IF($A630=W$586,"",COUNTIF($E$4:$E$582,$A630&amp;" ضد "&amp;W$586)+COUNTIF($E$4:$E$582,W$586&amp;" ضد "&amp;$A630))</f>
        <v>0</v>
      </c>
      <c r="X630" s="4">
        <f>IF($A630=X$586,"",COUNTIF($E$4:$E$582,$A630&amp;" ضد "&amp;X$586)+COUNTIF($E$4:$E$582,X$586&amp;" ضد "&amp;$A630))</f>
        <v>0</v>
      </c>
      <c r="Y630" s="4">
        <f>IF($A630=Y$586,"",COUNTIF($E$4:$E$582,$A630&amp;" ضد "&amp;Y$586)+COUNTIF($E$4:$E$582,Y$586&amp;" ضد "&amp;$A630))</f>
        <v>0</v>
      </c>
      <c r="Z630" s="4">
        <f>IF($A630=Z$586,"",COUNTIF($E$4:$E$582,$A630&amp;" ضد "&amp;Z$586)+COUNTIF($E$4:$E$582,Z$586&amp;" ضد "&amp;$A630))</f>
        <v>0</v>
      </c>
      <c r="AA630" s="4">
        <f>IF($A630=AA$586,"",COUNTIF($E$4:$E$582,$A630&amp;" ضد "&amp;AA$586)+COUNTIF($E$4:$E$582,AA$586&amp;" ضد "&amp;$A630))</f>
        <v>0</v>
      </c>
      <c r="AB630" s="4">
        <f>IF($A630=AB$586,"",COUNTIF($E$4:$E$582,$A630&amp;" ضد "&amp;AB$586)+COUNTIF($E$4:$E$582,AB$586&amp;" ضد "&amp;$A630))</f>
        <v>0</v>
      </c>
      <c r="AC630" s="4">
        <f>IF($A630=AC$586,"",COUNTIF($E$4:$E$582,$A630&amp;" ضد "&amp;AC$586)+COUNTIF($E$4:$E$582,AC$586&amp;" ضد "&amp;$A630))</f>
        <v>0</v>
      </c>
      <c r="AD630" s="4">
        <f>IF($A630=AD$586,"",COUNTIF($E$4:$E$582,$A630&amp;" ضد "&amp;AD$586)+COUNTIF($E$4:$E$582,AD$586&amp;" ضد "&amp;$A630))</f>
        <v>0</v>
      </c>
      <c r="AE630" s="4">
        <f>IF($A630=AE$586,"",COUNTIF($E$4:$E$582,$A630&amp;" ضد "&amp;AE$586)+COUNTIF($E$4:$E$582,AE$586&amp;" ضد "&amp;$A630))</f>
        <v>0</v>
      </c>
      <c r="AF630" s="4">
        <f>IF($A630=AF$586,"",COUNTIF($E$4:$E$582,$A630&amp;" ضد "&amp;AF$586)+COUNTIF($E$4:$E$582,AF$586&amp;" ضد "&amp;$A630))</f>
        <v>0</v>
      </c>
      <c r="AG630" s="4">
        <f>IF($A630=AG$586,"",COUNTIF($E$4:$E$582,$A630&amp;" ضد "&amp;AG$586)+COUNTIF($E$4:$E$582,AG$586&amp;" ضد "&amp;$A630))</f>
        <v>0</v>
      </c>
      <c r="AH630" s="4">
        <f>IF($A630=AH$586,"",COUNTIF($E$4:$E$582,$A630&amp;" ضد "&amp;AH$586)+COUNTIF($E$4:$E$582,AH$586&amp;" ضد "&amp;$A630))</f>
        <v>1</v>
      </c>
      <c r="AI630" s="4">
        <f>IF($A630=AI$586,"",COUNTIF($E$4:$E$582,$A630&amp;" ضد "&amp;AI$586)+COUNTIF($E$4:$E$582,AI$586&amp;" ضد "&amp;$A630))</f>
        <v>1</v>
      </c>
      <c r="AJ630" s="4">
        <f>IF($A630=AJ$586,"",COUNTIF($E$4:$E$582,$A630&amp;" ضد "&amp;AJ$586)+COUNTIF($E$4:$E$582,AJ$586&amp;" ضد "&amp;$A630))</f>
        <v>2</v>
      </c>
      <c r="AK630" s="4">
        <f>IF($A630=AK$586,"",COUNTIF($E$4:$E$582,$A630&amp;" ضد "&amp;AK$586)+COUNTIF($E$4:$E$582,AK$586&amp;" ضد "&amp;$A630))</f>
        <v>1</v>
      </c>
      <c r="AL630" s="4">
        <f>IF($A630=AL$586,"",COUNTIF($E$4:$E$582,$A630&amp;" ضد "&amp;AL$586)+COUNTIF($E$4:$E$582,AL$586&amp;" ضد "&amp;$A630))</f>
        <v>2</v>
      </c>
      <c r="AM630" s="4">
        <f>IF($A630=AM$586,"",COUNTIF($E$4:$E$582,$A630&amp;" ضد "&amp;AM$586)+COUNTIF($E$4:$E$582,AM$586&amp;" ضد "&amp;$A630))</f>
        <v>1</v>
      </c>
      <c r="AN630" s="4">
        <f>IF($A630=AN$586,"",COUNTIF($E$4:$E$582,$A630&amp;" ضد "&amp;AN$586)+COUNTIF($E$4:$E$582,AN$586&amp;" ضد "&amp;$A630))</f>
        <v>1</v>
      </c>
      <c r="AO630" s="4">
        <f>IF($A630=AO$586,"",COUNTIF($E$4:$E$582,$A630&amp;" ضد "&amp;AO$586)+COUNTIF($E$4:$E$582,AO$586&amp;" ضد "&amp;$A630))</f>
        <v>1</v>
      </c>
      <c r="AP630" s="4">
        <f>IF($A630=AP$586,"",COUNTIF($E$4:$E$582,$A630&amp;" ضد "&amp;AP$586)+COUNTIF($E$4:$E$582,AP$586&amp;" ضد "&amp;$A630))</f>
        <v>1</v>
      </c>
      <c r="AQ630" s="4">
        <f>IF($A630=AQ$586,"",COUNTIF($E$4:$E$582,$A630&amp;" ضد "&amp;AQ$586)+COUNTIF($E$4:$E$582,AQ$586&amp;" ضد "&amp;$A630))</f>
        <v>1</v>
      </c>
      <c r="AR630" s="4">
        <f>IF($A630=AR$586,"",COUNTIF($E$4:$E$582,$A630&amp;" ضد "&amp;AR$586)+COUNTIF($E$4:$E$582,AR$586&amp;" ضد "&amp;$A630))</f>
        <v>1</v>
      </c>
      <c r="AS630" s="4" t="str">
        <f>IF($A630=AS$586,"",COUNTIF($E$4:$E$582,$A630&amp;" ضد "&amp;AS$586)+COUNTIF($E$4:$E$582,AS$586&amp;" ضد "&amp;$A630))</f>
        <v/>
      </c>
      <c r="AT630" s="4">
        <f>IF($A630=AT$586,"",COUNTIF($E$4:$E$582,$A630&amp;" ضد "&amp;AT$586)+COUNTIF($E$4:$E$582,AT$586&amp;" ضد "&amp;$A630))</f>
        <v>1</v>
      </c>
      <c r="AU630" s="4">
        <f>IF($A630=AU$586,"",COUNTIF($E$4:$E$582,$A630&amp;" ضد "&amp;AU$586)+COUNTIF($E$4:$E$582,AU$586&amp;" ضد "&amp;$A630))</f>
        <v>1</v>
      </c>
      <c r="AV630" s="4">
        <f>IF($A630=AV$586,"",COUNTIF($E$4:$E$582,$A630&amp;" ضد "&amp;AV$586)+COUNTIF($E$4:$E$582,AV$586&amp;" ضد "&amp;$A630))</f>
        <v>1</v>
      </c>
      <c r="AW630" s="4">
        <f>IF($A630=AW$586,"",COUNTIF($E$4:$E$582,$A630&amp;" ضد "&amp;AW$586)+COUNTIF($E$4:$E$582,AW$586&amp;" ضد "&amp;$A630))</f>
        <v>2</v>
      </c>
      <c r="AX630" s="4">
        <f>IF($A630=AX$586,"",COUNTIF($E$4:$E$582,$A630&amp;" ضد "&amp;AX$586)+COUNTIF($E$4:$E$582,AX$586&amp;" ضد "&amp;$A630))</f>
        <v>0</v>
      </c>
      <c r="AY630" s="4">
        <f>IF($A630=AY$586,"",COUNTIF($E$4:$E$582,$A630&amp;" ضد "&amp;AY$586)+COUNTIF($E$4:$E$582,AY$586&amp;" ضد "&amp;$A630))</f>
        <v>0</v>
      </c>
      <c r="AZ630" s="4">
        <f>IF($A630=AZ$586,"",COUNTIF($E$4:$E$582,$A630&amp;" ضد "&amp;AZ$586)+COUNTIF($E$4:$E$582,AZ$586&amp;" ضد "&amp;$A630))</f>
        <v>0</v>
      </c>
      <c r="BA630" s="4">
        <f>IF($A630=BA$586,"",COUNTIF($E$4:$E$582,$A630&amp;" ضد "&amp;BA$586)+COUNTIF($E$4:$E$582,BA$586&amp;" ضد "&amp;$A630))</f>
        <v>0</v>
      </c>
      <c r="BB630" s="4">
        <f>IF($A630=BB$586,"",COUNTIF($E$4:$E$582,$A630&amp;" ضد "&amp;BB$586)+COUNTIF($E$4:$E$582,BB$586&amp;" ضد "&amp;$A630))</f>
        <v>0</v>
      </c>
      <c r="BC630" s="4">
        <f>IF($A630=BC$586,"",COUNTIF($E$4:$E$582,$A630&amp;" ضد "&amp;BC$586)+COUNTIF($E$4:$E$582,BC$586&amp;" ضد "&amp;$A630))</f>
        <v>0</v>
      </c>
      <c r="BD630" s="4">
        <f>IF($A630=BD$586,"",COUNTIF($E$4:$E$582,$A630&amp;" ضد "&amp;BD$586)+COUNTIF($E$4:$E$582,BD$586&amp;" ضد "&amp;$A630))</f>
        <v>0</v>
      </c>
      <c r="BE630" s="4">
        <f>IF($A630=BE$586,"",COUNTIF($E$4:$E$582,$A630&amp;" ضد "&amp;BE$586)+COUNTIF($E$4:$E$582,BE$586&amp;" ضد "&amp;$A630))</f>
        <v>0</v>
      </c>
      <c r="BF630" s="4">
        <f>IF($A630=BF$586,"",COUNTIF($E$4:$E$582,$A630&amp;" ضد "&amp;BF$586)+COUNTIF($E$4:$E$582,BF$586&amp;" ضد "&amp;$A630))</f>
        <v>0</v>
      </c>
      <c r="BG630" s="4">
        <f>IF($A630=BG$586,"",COUNTIF($E$4:$E$582,$A630&amp;" ضد "&amp;BG$586)+COUNTIF($E$4:$E$582,BG$586&amp;" ضد "&amp;$A630))</f>
        <v>0</v>
      </c>
      <c r="BH630" s="4">
        <f>IF($A630=BH$586,"",COUNTIF($E$4:$E$582,$A630&amp;" ضد "&amp;BH$586)+COUNTIF($E$4:$E$582,BH$586&amp;" ضد "&amp;$A630))</f>
        <v>0</v>
      </c>
      <c r="BI630" s="4">
        <f>IF($A630=BI$586,"",COUNTIF($E$4:$E$582,$A630&amp;" ضد "&amp;BI$586)+COUNTIF($E$4:$E$582,BI$586&amp;" ضد "&amp;$A630))</f>
        <v>0</v>
      </c>
      <c r="BJ630" s="4">
        <f>IF($A630=BJ$586,"",COUNTIF($E$4:$E$582,$A630&amp;" ضد "&amp;BJ$586)+COUNTIF($E$4:$E$582,BJ$586&amp;" ضد "&amp;$A630))</f>
        <v>0</v>
      </c>
      <c r="BK630" s="4">
        <f>IF($A630=BK$586,"",COUNTIF($E$4:$E$582,$A630&amp;" ضد "&amp;BK$586)+COUNTIF($E$4:$E$582,BK$586&amp;" ضد "&amp;$A630))</f>
        <v>0</v>
      </c>
      <c r="BL630" s="4">
        <f>IF($A630=BL$586,"",COUNTIF($E$4:$E$582,$A630&amp;" ضد "&amp;BL$586)+COUNTIF($E$4:$E$582,BL$586&amp;" ضد "&amp;$A630))</f>
        <v>0</v>
      </c>
      <c r="BM630" s="4">
        <f>IF($A630=BM$586,"",COUNTIF($E$4:$E$582,$A630&amp;" ضد "&amp;BM$586)+COUNTIF($E$4:$E$582,BM$586&amp;" ضد "&amp;$A630))</f>
        <v>0</v>
      </c>
    </row>
    <row r="631" spans="1:65" ht="14.5">
      <c r="A631" s="14">
        <v>45</v>
      </c>
      <c r="B631" s="4">
        <f>IF($A631=B$586,"",COUNTIF($E$4:$E$582,$A631&amp;" ضد "&amp;B$586)+COUNTIF($E$4:$E$582,B$586&amp;" ضد "&amp;$A631))</f>
        <v>0</v>
      </c>
      <c r="C631" s="4">
        <f>IF($A631=C$586,"",COUNTIF($E$4:$E$582,$A631&amp;" ضد "&amp;C$586)+COUNTIF($E$4:$E$582,C$586&amp;" ضد "&amp;$A631))</f>
        <v>0</v>
      </c>
      <c r="D631" s="4">
        <f>IF($A631=D$586,"",COUNTIF($E$4:$E$582,$A631&amp;" ضد "&amp;D$586)+COUNTIF($E$4:$E$582,D$586&amp;" ضد "&amp;$A631))</f>
        <v>0</v>
      </c>
      <c r="E631" s="4">
        <f>IF($A631=E$586,"",COUNTIF($E$4:$E$582,$A631&amp;" ضد "&amp;E$586)+COUNTIF($E$4:$E$582,E$586&amp;" ضد "&amp;$A631))</f>
        <v>0</v>
      </c>
      <c r="F631" s="4">
        <f>IF($A631=F$586,"",COUNTIF($E$4:$E$582,$A631&amp;" ضد "&amp;F$586)+COUNTIF($E$4:$E$582,F$586&amp;" ضد "&amp;$A631))</f>
        <v>0</v>
      </c>
      <c r="G631" s="4">
        <f>IF($A631=G$586,"",COUNTIF($E$4:$E$582,$A631&amp;" ضد "&amp;G$586)+COUNTIF($E$4:$E$582,G$586&amp;" ضد "&amp;$A631))</f>
        <v>0</v>
      </c>
      <c r="H631" s="4">
        <f>IF($A631=H$586,"",COUNTIF($E$4:$E$582,$A631&amp;" ضد "&amp;H$586)+COUNTIF($E$4:$E$582,H$586&amp;" ضد "&amp;$A631))</f>
        <v>0</v>
      </c>
      <c r="I631" s="4">
        <f>IF($A631=I$586,"",COUNTIF($E$4:$E$582,$A631&amp;" ضد "&amp;I$586)+COUNTIF($E$4:$E$582,I$586&amp;" ضد "&amp;$A631))</f>
        <v>0</v>
      </c>
      <c r="J631" s="4">
        <f>IF($A631=J$586,"",COUNTIF($E$4:$E$582,$A631&amp;" ضد "&amp;J$586)+COUNTIF($E$4:$E$582,J$586&amp;" ضد "&amp;$A631))</f>
        <v>0</v>
      </c>
      <c r="K631" s="4">
        <f>IF($A631=K$586,"",COUNTIF($E$4:$E$582,$A631&amp;" ضد "&amp;K$586)+COUNTIF($E$4:$E$582,K$586&amp;" ضد "&amp;$A631))</f>
        <v>0</v>
      </c>
      <c r="L631" s="4">
        <f>IF($A631=L$586,"",COUNTIF($E$4:$E$582,$A631&amp;" ضد "&amp;L$586)+COUNTIF($E$4:$E$582,L$586&amp;" ضد "&amp;$A631))</f>
        <v>0</v>
      </c>
      <c r="M631" s="4">
        <f>IF($A631=M$586,"",COUNTIF($E$4:$E$582,$A631&amp;" ضد "&amp;M$586)+COUNTIF($E$4:$E$582,M$586&amp;" ضد "&amp;$A631))</f>
        <v>0</v>
      </c>
      <c r="N631" s="4">
        <f>IF($A631=N$586,"",COUNTIF($E$4:$E$582,$A631&amp;" ضد "&amp;N$586)+COUNTIF($E$4:$E$582,N$586&amp;" ضد "&amp;$A631))</f>
        <v>0</v>
      </c>
      <c r="O631" s="4">
        <f>IF($A631=O$586,"",COUNTIF($E$4:$E$582,$A631&amp;" ضد "&amp;O$586)+COUNTIF($E$4:$E$582,O$586&amp;" ضد "&amp;$A631))</f>
        <v>0</v>
      </c>
      <c r="P631" s="4">
        <f>IF($A631=P$586,"",COUNTIF($E$4:$E$582,$A631&amp;" ضد "&amp;P$586)+COUNTIF($E$4:$E$582,P$586&amp;" ضد "&amp;$A631))</f>
        <v>0</v>
      </c>
      <c r="Q631" s="4">
        <f>IF($A631=Q$586,"",COUNTIF($E$4:$E$582,$A631&amp;" ضد "&amp;Q$586)+COUNTIF($E$4:$E$582,Q$586&amp;" ضد "&amp;$A631))</f>
        <v>0</v>
      </c>
      <c r="R631" s="4">
        <f>IF($A631=R$586,"",COUNTIF($E$4:$E$582,$A631&amp;" ضد "&amp;R$586)+COUNTIF($E$4:$E$582,R$586&amp;" ضد "&amp;$A631))</f>
        <v>0</v>
      </c>
      <c r="S631" s="4">
        <f>IF($A631=S$586,"",COUNTIF($E$4:$E$582,$A631&amp;" ضد "&amp;S$586)+COUNTIF($E$4:$E$582,S$586&amp;" ضد "&amp;$A631))</f>
        <v>0</v>
      </c>
      <c r="T631" s="4">
        <f>IF($A631=T$586,"",COUNTIF($E$4:$E$582,$A631&amp;" ضد "&amp;T$586)+COUNTIF($E$4:$E$582,T$586&amp;" ضد "&amp;$A631))</f>
        <v>0</v>
      </c>
      <c r="U631" s="4">
        <f>IF($A631=U$586,"",COUNTIF($E$4:$E$582,$A631&amp;" ضد "&amp;U$586)+COUNTIF($E$4:$E$582,U$586&amp;" ضد "&amp;$A631))</f>
        <v>0</v>
      </c>
      <c r="V631" s="4">
        <f>IF($A631=V$586,"",COUNTIF($E$4:$E$582,$A631&amp;" ضد "&amp;V$586)+COUNTIF($E$4:$E$582,V$586&amp;" ضد "&amp;$A631))</f>
        <v>0</v>
      </c>
      <c r="W631" s="4">
        <f>IF($A631=W$586,"",COUNTIF($E$4:$E$582,$A631&amp;" ضد "&amp;W$586)+COUNTIF($E$4:$E$582,W$586&amp;" ضد "&amp;$A631))</f>
        <v>0</v>
      </c>
      <c r="X631" s="4">
        <f>IF($A631=X$586,"",COUNTIF($E$4:$E$582,$A631&amp;" ضد "&amp;X$586)+COUNTIF($E$4:$E$582,X$586&amp;" ضد "&amp;$A631))</f>
        <v>0</v>
      </c>
      <c r="Y631" s="4">
        <f>IF($A631=Y$586,"",COUNTIF($E$4:$E$582,$A631&amp;" ضد "&amp;Y$586)+COUNTIF($E$4:$E$582,Y$586&amp;" ضد "&amp;$A631))</f>
        <v>0</v>
      </c>
      <c r="Z631" s="4">
        <f>IF($A631=Z$586,"",COUNTIF($E$4:$E$582,$A631&amp;" ضد "&amp;Z$586)+COUNTIF($E$4:$E$582,Z$586&amp;" ضد "&amp;$A631))</f>
        <v>0</v>
      </c>
      <c r="AA631" s="4">
        <f>IF($A631=AA$586,"",COUNTIF($E$4:$E$582,$A631&amp;" ضد "&amp;AA$586)+COUNTIF($E$4:$E$582,AA$586&amp;" ضد "&amp;$A631))</f>
        <v>0</v>
      </c>
      <c r="AB631" s="4">
        <f>IF($A631=AB$586,"",COUNTIF($E$4:$E$582,$A631&amp;" ضد "&amp;AB$586)+COUNTIF($E$4:$E$582,AB$586&amp;" ضد "&amp;$A631))</f>
        <v>0</v>
      </c>
      <c r="AC631" s="4">
        <f>IF($A631=AC$586,"",COUNTIF($E$4:$E$582,$A631&amp;" ضد "&amp;AC$586)+COUNTIF($E$4:$E$582,AC$586&amp;" ضد "&amp;$A631))</f>
        <v>0</v>
      </c>
      <c r="AD631" s="4">
        <f>IF($A631=AD$586,"",COUNTIF($E$4:$E$582,$A631&amp;" ضد "&amp;AD$586)+COUNTIF($E$4:$E$582,AD$586&amp;" ضد "&amp;$A631))</f>
        <v>0</v>
      </c>
      <c r="AE631" s="4">
        <f>IF($A631=AE$586,"",COUNTIF($E$4:$E$582,$A631&amp;" ضد "&amp;AE$586)+COUNTIF($E$4:$E$582,AE$586&amp;" ضد "&amp;$A631))</f>
        <v>0</v>
      </c>
      <c r="AF631" s="4">
        <f>IF($A631=AF$586,"",COUNTIF($E$4:$E$582,$A631&amp;" ضد "&amp;AF$586)+COUNTIF($E$4:$E$582,AF$586&amp;" ضد "&amp;$A631))</f>
        <v>0</v>
      </c>
      <c r="AG631" s="4">
        <f>IF($A631=AG$586,"",COUNTIF($E$4:$E$582,$A631&amp;" ضد "&amp;AG$586)+COUNTIF($E$4:$E$582,AG$586&amp;" ضد "&amp;$A631))</f>
        <v>0</v>
      </c>
      <c r="AH631" s="4">
        <f>IF($A631=AH$586,"",COUNTIF($E$4:$E$582,$A631&amp;" ضد "&amp;AH$586)+COUNTIF($E$4:$E$582,AH$586&amp;" ضد "&amp;$A631))</f>
        <v>1</v>
      </c>
      <c r="AI631" s="4">
        <f>IF($A631=AI$586,"",COUNTIF($E$4:$E$582,$A631&amp;" ضد "&amp;AI$586)+COUNTIF($E$4:$E$582,AI$586&amp;" ضد "&amp;$A631))</f>
        <v>2</v>
      </c>
      <c r="AJ631" s="4">
        <f>IF($A631=AJ$586,"",COUNTIF($E$4:$E$582,$A631&amp;" ضد "&amp;AJ$586)+COUNTIF($E$4:$E$582,AJ$586&amp;" ضد "&amp;$A631))</f>
        <v>1</v>
      </c>
      <c r="AK631" s="4">
        <f>IF($A631=AK$586,"",COUNTIF($E$4:$E$582,$A631&amp;" ضد "&amp;AK$586)+COUNTIF($E$4:$E$582,AK$586&amp;" ضد "&amp;$A631))</f>
        <v>2</v>
      </c>
      <c r="AL631" s="4">
        <f>IF($A631=AL$586,"",COUNTIF($E$4:$E$582,$A631&amp;" ضد "&amp;AL$586)+COUNTIF($E$4:$E$582,AL$586&amp;" ضد "&amp;$A631))</f>
        <v>1</v>
      </c>
      <c r="AM631" s="4">
        <f>IF($A631=AM$586,"",COUNTIF($E$4:$E$582,$A631&amp;" ضد "&amp;AM$586)+COUNTIF($E$4:$E$582,AM$586&amp;" ضد "&amp;$A631))</f>
        <v>1</v>
      </c>
      <c r="AN631" s="4">
        <f>IF($A631=AN$586,"",COUNTIF($E$4:$E$582,$A631&amp;" ضد "&amp;AN$586)+COUNTIF($E$4:$E$582,AN$586&amp;" ضد "&amp;$A631))</f>
        <v>1</v>
      </c>
      <c r="AO631" s="4">
        <f>IF($A631=AO$586,"",COUNTIF($E$4:$E$582,$A631&amp;" ضد "&amp;AO$586)+COUNTIF($E$4:$E$582,AO$586&amp;" ضد "&amp;$A631))</f>
        <v>1</v>
      </c>
      <c r="AP631" s="4">
        <f>IF($A631=AP$586,"",COUNTIF($E$4:$E$582,$A631&amp;" ضد "&amp;AP$586)+COUNTIF($E$4:$E$582,AP$586&amp;" ضد "&amp;$A631))</f>
        <v>1</v>
      </c>
      <c r="AQ631" s="4">
        <f>IF($A631=AQ$586,"",COUNTIF($E$4:$E$582,$A631&amp;" ضد "&amp;AQ$586)+COUNTIF($E$4:$E$582,AQ$586&amp;" ضد "&amp;$A631))</f>
        <v>1</v>
      </c>
      <c r="AR631" s="4">
        <f>IF($A631=AR$586,"",COUNTIF($E$4:$E$582,$A631&amp;" ضد "&amp;AR$586)+COUNTIF($E$4:$E$582,AR$586&amp;" ضد "&amp;$A631))</f>
        <v>1</v>
      </c>
      <c r="AS631" s="4">
        <f>IF($A631=AS$586,"",COUNTIF($E$4:$E$582,$A631&amp;" ضد "&amp;AS$586)+COUNTIF($E$4:$E$582,AS$586&amp;" ضد "&amp;$A631))</f>
        <v>1</v>
      </c>
      <c r="AT631" s="4" t="str">
        <f>IF($A631=AT$586,"",COUNTIF($E$4:$E$582,$A631&amp;" ضد "&amp;AT$586)+COUNTIF($E$4:$E$582,AT$586&amp;" ضد "&amp;$A631))</f>
        <v/>
      </c>
      <c r="AU631" s="4">
        <f>IF($A631=AU$586,"",COUNTIF($E$4:$E$582,$A631&amp;" ضد "&amp;AU$586)+COUNTIF($E$4:$E$582,AU$586&amp;" ضد "&amp;$A631))</f>
        <v>1</v>
      </c>
      <c r="AV631" s="4">
        <f>IF($A631=AV$586,"",COUNTIF($E$4:$E$582,$A631&amp;" ضد "&amp;AV$586)+COUNTIF($E$4:$E$582,AV$586&amp;" ضد "&amp;$A631))</f>
        <v>2</v>
      </c>
      <c r="AW631" s="4">
        <f>IF($A631=AW$586,"",COUNTIF($E$4:$E$582,$A631&amp;" ضد "&amp;AW$586)+COUNTIF($E$4:$E$582,AW$586&amp;" ضد "&amp;$A631))</f>
        <v>1</v>
      </c>
      <c r="AX631" s="4">
        <f>IF($A631=AX$586,"",COUNTIF($E$4:$E$582,$A631&amp;" ضد "&amp;AX$586)+COUNTIF($E$4:$E$582,AX$586&amp;" ضد "&amp;$A631))</f>
        <v>0</v>
      </c>
      <c r="AY631" s="4">
        <f>IF($A631=AY$586,"",COUNTIF($E$4:$E$582,$A631&amp;" ضد "&amp;AY$586)+COUNTIF($E$4:$E$582,AY$586&amp;" ضد "&amp;$A631))</f>
        <v>0</v>
      </c>
      <c r="AZ631" s="4">
        <f>IF($A631=AZ$586,"",COUNTIF($E$4:$E$582,$A631&amp;" ضد "&amp;AZ$586)+COUNTIF($E$4:$E$582,AZ$586&amp;" ضد "&amp;$A631))</f>
        <v>0</v>
      </c>
      <c r="BA631" s="4">
        <f>IF($A631=BA$586,"",COUNTIF($E$4:$E$582,$A631&amp;" ضد "&amp;BA$586)+COUNTIF($E$4:$E$582,BA$586&amp;" ضد "&amp;$A631))</f>
        <v>0</v>
      </c>
      <c r="BB631" s="4">
        <f>IF($A631=BB$586,"",COUNTIF($E$4:$E$582,$A631&amp;" ضد "&amp;BB$586)+COUNTIF($E$4:$E$582,BB$586&amp;" ضد "&amp;$A631))</f>
        <v>0</v>
      </c>
      <c r="BC631" s="4">
        <f>IF($A631=BC$586,"",COUNTIF($E$4:$E$582,$A631&amp;" ضد "&amp;BC$586)+COUNTIF($E$4:$E$582,BC$586&amp;" ضد "&amp;$A631))</f>
        <v>0</v>
      </c>
      <c r="BD631" s="4">
        <f>IF($A631=BD$586,"",COUNTIF($E$4:$E$582,$A631&amp;" ضد "&amp;BD$586)+COUNTIF($E$4:$E$582,BD$586&amp;" ضد "&amp;$A631))</f>
        <v>0</v>
      </c>
      <c r="BE631" s="4">
        <f>IF($A631=BE$586,"",COUNTIF($E$4:$E$582,$A631&amp;" ضد "&amp;BE$586)+COUNTIF($E$4:$E$582,BE$586&amp;" ضد "&amp;$A631))</f>
        <v>0</v>
      </c>
      <c r="BF631" s="4">
        <f>IF($A631=BF$586,"",COUNTIF($E$4:$E$582,$A631&amp;" ضد "&amp;BF$586)+COUNTIF($E$4:$E$582,BF$586&amp;" ضد "&amp;$A631))</f>
        <v>0</v>
      </c>
      <c r="BG631" s="4">
        <f>IF($A631=BG$586,"",COUNTIF($E$4:$E$582,$A631&amp;" ضد "&amp;BG$586)+COUNTIF($E$4:$E$582,BG$586&amp;" ضد "&amp;$A631))</f>
        <v>0</v>
      </c>
      <c r="BH631" s="4">
        <f>IF($A631=BH$586,"",COUNTIF($E$4:$E$582,$A631&amp;" ضد "&amp;BH$586)+COUNTIF($E$4:$E$582,BH$586&amp;" ضد "&amp;$A631))</f>
        <v>0</v>
      </c>
      <c r="BI631" s="4">
        <f>IF($A631=BI$586,"",COUNTIF($E$4:$E$582,$A631&amp;" ضد "&amp;BI$586)+COUNTIF($E$4:$E$582,BI$586&amp;" ضد "&amp;$A631))</f>
        <v>0</v>
      </c>
      <c r="BJ631" s="4">
        <f>IF($A631=BJ$586,"",COUNTIF($E$4:$E$582,$A631&amp;" ضد "&amp;BJ$586)+COUNTIF($E$4:$E$582,BJ$586&amp;" ضد "&amp;$A631))</f>
        <v>0</v>
      </c>
      <c r="BK631" s="4">
        <f>IF($A631=BK$586,"",COUNTIF($E$4:$E$582,$A631&amp;" ضد "&amp;BK$586)+COUNTIF($E$4:$E$582,BK$586&amp;" ضد "&amp;$A631))</f>
        <v>0</v>
      </c>
      <c r="BL631" s="4">
        <f>IF($A631=BL$586,"",COUNTIF($E$4:$E$582,$A631&amp;" ضد "&amp;BL$586)+COUNTIF($E$4:$E$582,BL$586&amp;" ضد "&amp;$A631))</f>
        <v>0</v>
      </c>
      <c r="BM631" s="4">
        <f>IF($A631=BM$586,"",COUNTIF($E$4:$E$582,$A631&amp;" ضد "&amp;BM$586)+COUNTIF($E$4:$E$582,BM$586&amp;" ضد "&amp;$A631))</f>
        <v>0</v>
      </c>
    </row>
    <row r="632" spans="1:65" ht="14.5">
      <c r="A632" s="14">
        <v>46</v>
      </c>
      <c r="B632" s="4">
        <f>IF($A632=B$586,"",COUNTIF($E$4:$E$582,$A632&amp;" ضد "&amp;B$586)+COUNTIF($E$4:$E$582,B$586&amp;" ضد "&amp;$A632))</f>
        <v>0</v>
      </c>
      <c r="C632" s="4">
        <f>IF($A632=C$586,"",COUNTIF($E$4:$E$582,$A632&amp;" ضد "&amp;C$586)+COUNTIF($E$4:$E$582,C$586&amp;" ضد "&amp;$A632))</f>
        <v>0</v>
      </c>
      <c r="D632" s="4">
        <f>IF($A632=D$586,"",COUNTIF($E$4:$E$582,$A632&amp;" ضد "&amp;D$586)+COUNTIF($E$4:$E$582,D$586&amp;" ضد "&amp;$A632))</f>
        <v>0</v>
      </c>
      <c r="E632" s="4">
        <f>IF($A632=E$586,"",COUNTIF($E$4:$E$582,$A632&amp;" ضد "&amp;E$586)+COUNTIF($E$4:$E$582,E$586&amp;" ضد "&amp;$A632))</f>
        <v>0</v>
      </c>
      <c r="F632" s="4">
        <f>IF($A632=F$586,"",COUNTIF($E$4:$E$582,$A632&amp;" ضد "&amp;F$586)+COUNTIF($E$4:$E$582,F$586&amp;" ضد "&amp;$A632))</f>
        <v>0</v>
      </c>
      <c r="G632" s="4">
        <f>IF($A632=G$586,"",COUNTIF($E$4:$E$582,$A632&amp;" ضد "&amp;G$586)+COUNTIF($E$4:$E$582,G$586&amp;" ضد "&amp;$A632))</f>
        <v>0</v>
      </c>
      <c r="H632" s="4">
        <f>IF($A632=H$586,"",COUNTIF($E$4:$E$582,$A632&amp;" ضد "&amp;H$586)+COUNTIF($E$4:$E$582,H$586&amp;" ضد "&amp;$A632))</f>
        <v>0</v>
      </c>
      <c r="I632" s="4">
        <f>IF($A632=I$586,"",COUNTIF($E$4:$E$582,$A632&amp;" ضد "&amp;I$586)+COUNTIF($E$4:$E$582,I$586&amp;" ضد "&amp;$A632))</f>
        <v>0</v>
      </c>
      <c r="J632" s="4">
        <f>IF($A632=J$586,"",COUNTIF($E$4:$E$582,$A632&amp;" ضد "&amp;J$586)+COUNTIF($E$4:$E$582,J$586&amp;" ضد "&amp;$A632))</f>
        <v>0</v>
      </c>
      <c r="K632" s="4">
        <f>IF($A632=K$586,"",COUNTIF($E$4:$E$582,$A632&amp;" ضد "&amp;K$586)+COUNTIF($E$4:$E$582,K$586&amp;" ضد "&amp;$A632))</f>
        <v>0</v>
      </c>
      <c r="L632" s="4">
        <f>IF($A632=L$586,"",COUNTIF($E$4:$E$582,$A632&amp;" ضد "&amp;L$586)+COUNTIF($E$4:$E$582,L$586&amp;" ضد "&amp;$A632))</f>
        <v>0</v>
      </c>
      <c r="M632" s="4">
        <f>IF($A632=M$586,"",COUNTIF($E$4:$E$582,$A632&amp;" ضد "&amp;M$586)+COUNTIF($E$4:$E$582,M$586&amp;" ضد "&amp;$A632))</f>
        <v>0</v>
      </c>
      <c r="N632" s="4">
        <f>IF($A632=N$586,"",COUNTIF($E$4:$E$582,$A632&amp;" ضد "&amp;N$586)+COUNTIF($E$4:$E$582,N$586&amp;" ضد "&amp;$A632))</f>
        <v>0</v>
      </c>
      <c r="O632" s="4">
        <f>IF($A632=O$586,"",COUNTIF($E$4:$E$582,$A632&amp;" ضد "&amp;O$586)+COUNTIF($E$4:$E$582,O$586&amp;" ضد "&amp;$A632))</f>
        <v>0</v>
      </c>
      <c r="P632" s="4">
        <f>IF($A632=P$586,"",COUNTIF($E$4:$E$582,$A632&amp;" ضد "&amp;P$586)+COUNTIF($E$4:$E$582,P$586&amp;" ضد "&amp;$A632))</f>
        <v>0</v>
      </c>
      <c r="Q632" s="4">
        <f>IF($A632=Q$586,"",COUNTIF($E$4:$E$582,$A632&amp;" ضد "&amp;Q$586)+COUNTIF($E$4:$E$582,Q$586&amp;" ضد "&amp;$A632))</f>
        <v>0</v>
      </c>
      <c r="R632" s="4">
        <f>IF($A632=R$586,"",COUNTIF($E$4:$E$582,$A632&amp;" ضد "&amp;R$586)+COUNTIF($E$4:$E$582,R$586&amp;" ضد "&amp;$A632))</f>
        <v>0</v>
      </c>
      <c r="S632" s="4">
        <f>IF($A632=S$586,"",COUNTIF($E$4:$E$582,$A632&amp;" ضد "&amp;S$586)+COUNTIF($E$4:$E$582,S$586&amp;" ضد "&amp;$A632))</f>
        <v>0</v>
      </c>
      <c r="T632" s="4">
        <f>IF($A632=T$586,"",COUNTIF($E$4:$E$582,$A632&amp;" ضد "&amp;T$586)+COUNTIF($E$4:$E$582,T$586&amp;" ضد "&amp;$A632))</f>
        <v>0</v>
      </c>
      <c r="U632" s="4">
        <f>IF($A632=U$586,"",COUNTIF($E$4:$E$582,$A632&amp;" ضد "&amp;U$586)+COUNTIF($E$4:$E$582,U$586&amp;" ضد "&amp;$A632))</f>
        <v>0</v>
      </c>
      <c r="V632" s="4">
        <f>IF($A632=V$586,"",COUNTIF($E$4:$E$582,$A632&amp;" ضد "&amp;V$586)+COUNTIF($E$4:$E$582,V$586&amp;" ضد "&amp;$A632))</f>
        <v>0</v>
      </c>
      <c r="W632" s="4">
        <f>IF($A632=W$586,"",COUNTIF($E$4:$E$582,$A632&amp;" ضد "&amp;W$586)+COUNTIF($E$4:$E$582,W$586&amp;" ضد "&amp;$A632))</f>
        <v>0</v>
      </c>
      <c r="X632" s="4">
        <f>IF($A632=X$586,"",COUNTIF($E$4:$E$582,$A632&amp;" ضد "&amp;X$586)+COUNTIF($E$4:$E$582,X$586&amp;" ضد "&amp;$A632))</f>
        <v>0</v>
      </c>
      <c r="Y632" s="4">
        <f>IF($A632=Y$586,"",COUNTIF($E$4:$E$582,$A632&amp;" ضد "&amp;Y$586)+COUNTIF($E$4:$E$582,Y$586&amp;" ضد "&amp;$A632))</f>
        <v>0</v>
      </c>
      <c r="Z632" s="4">
        <f>IF($A632=Z$586,"",COUNTIF($E$4:$E$582,$A632&amp;" ضد "&amp;Z$586)+COUNTIF($E$4:$E$582,Z$586&amp;" ضد "&amp;$A632))</f>
        <v>0</v>
      </c>
      <c r="AA632" s="4">
        <f>IF($A632=AA$586,"",COUNTIF($E$4:$E$582,$A632&amp;" ضد "&amp;AA$586)+COUNTIF($E$4:$E$582,AA$586&amp;" ضد "&amp;$A632))</f>
        <v>0</v>
      </c>
      <c r="AB632" s="4">
        <f>IF($A632=AB$586,"",COUNTIF($E$4:$E$582,$A632&amp;" ضد "&amp;AB$586)+COUNTIF($E$4:$E$582,AB$586&amp;" ضد "&amp;$A632))</f>
        <v>0</v>
      </c>
      <c r="AC632" s="4">
        <f>IF($A632=AC$586,"",COUNTIF($E$4:$E$582,$A632&amp;" ضد "&amp;AC$586)+COUNTIF($E$4:$E$582,AC$586&amp;" ضد "&amp;$A632))</f>
        <v>0</v>
      </c>
      <c r="AD632" s="4">
        <f>IF($A632=AD$586,"",COUNTIF($E$4:$E$582,$A632&amp;" ضد "&amp;AD$586)+COUNTIF($E$4:$E$582,AD$586&amp;" ضد "&amp;$A632))</f>
        <v>0</v>
      </c>
      <c r="AE632" s="4">
        <f>IF($A632=AE$586,"",COUNTIF($E$4:$E$582,$A632&amp;" ضد "&amp;AE$586)+COUNTIF($E$4:$E$582,AE$586&amp;" ضد "&amp;$A632))</f>
        <v>0</v>
      </c>
      <c r="AF632" s="4">
        <f>IF($A632=AF$586,"",COUNTIF($E$4:$E$582,$A632&amp;" ضد "&amp;AF$586)+COUNTIF($E$4:$E$582,AF$586&amp;" ضد "&amp;$A632))</f>
        <v>0</v>
      </c>
      <c r="AG632" s="4">
        <f>IF($A632=AG$586,"",COUNTIF($E$4:$E$582,$A632&amp;" ضد "&amp;AG$586)+COUNTIF($E$4:$E$582,AG$586&amp;" ضد "&amp;$A632))</f>
        <v>0</v>
      </c>
      <c r="AH632" s="4">
        <f>IF($A632=AH$586,"",COUNTIF($E$4:$E$582,$A632&amp;" ضد "&amp;AH$586)+COUNTIF($E$4:$E$582,AH$586&amp;" ضد "&amp;$A632))</f>
        <v>2</v>
      </c>
      <c r="AI632" s="4">
        <f>IF($A632=AI$586,"",COUNTIF($E$4:$E$582,$A632&amp;" ضد "&amp;AI$586)+COUNTIF($E$4:$E$582,AI$586&amp;" ضد "&amp;$A632))</f>
        <v>1</v>
      </c>
      <c r="AJ632" s="4">
        <f>IF($A632=AJ$586,"",COUNTIF($E$4:$E$582,$A632&amp;" ضد "&amp;AJ$586)+COUNTIF($E$4:$E$582,AJ$586&amp;" ضد "&amp;$A632))</f>
        <v>2</v>
      </c>
      <c r="AK632" s="4">
        <f>IF($A632=AK$586,"",COUNTIF($E$4:$E$582,$A632&amp;" ضد "&amp;AK$586)+COUNTIF($E$4:$E$582,AK$586&amp;" ضد "&amp;$A632))</f>
        <v>1</v>
      </c>
      <c r="AL632" s="4">
        <f>IF($A632=AL$586,"",COUNTIF($E$4:$E$582,$A632&amp;" ضد "&amp;AL$586)+COUNTIF($E$4:$E$582,AL$586&amp;" ضد "&amp;$A632))</f>
        <v>1</v>
      </c>
      <c r="AM632" s="4">
        <f>IF($A632=AM$586,"",COUNTIF($E$4:$E$582,$A632&amp;" ضد "&amp;AM$586)+COUNTIF($E$4:$E$582,AM$586&amp;" ضد "&amp;$A632))</f>
        <v>1</v>
      </c>
      <c r="AN632" s="4">
        <f>IF($A632=AN$586,"",COUNTIF($E$4:$E$582,$A632&amp;" ضد "&amp;AN$586)+COUNTIF($E$4:$E$582,AN$586&amp;" ضد "&amp;$A632))</f>
        <v>1</v>
      </c>
      <c r="AO632" s="4">
        <f>IF($A632=AO$586,"",COUNTIF($E$4:$E$582,$A632&amp;" ضد "&amp;AO$586)+COUNTIF($E$4:$E$582,AO$586&amp;" ضد "&amp;$A632))</f>
        <v>1</v>
      </c>
      <c r="AP632" s="4">
        <f>IF($A632=AP$586,"",COUNTIF($E$4:$E$582,$A632&amp;" ضد "&amp;AP$586)+COUNTIF($E$4:$E$582,AP$586&amp;" ضد "&amp;$A632))</f>
        <v>1</v>
      </c>
      <c r="AQ632" s="4">
        <f>IF($A632=AQ$586,"",COUNTIF($E$4:$E$582,$A632&amp;" ضد "&amp;AQ$586)+COUNTIF($E$4:$E$582,AQ$586&amp;" ضد "&amp;$A632))</f>
        <v>1</v>
      </c>
      <c r="AR632" s="4">
        <f>IF($A632=AR$586,"",COUNTIF($E$4:$E$582,$A632&amp;" ضد "&amp;AR$586)+COUNTIF($E$4:$E$582,AR$586&amp;" ضد "&amp;$A632))</f>
        <v>1</v>
      </c>
      <c r="AS632" s="4">
        <f>IF($A632=AS$586,"",COUNTIF($E$4:$E$582,$A632&amp;" ضد "&amp;AS$586)+COUNTIF($E$4:$E$582,AS$586&amp;" ضد "&amp;$A632))</f>
        <v>1</v>
      </c>
      <c r="AT632" s="4">
        <f>IF($A632=AT$586,"",COUNTIF($E$4:$E$582,$A632&amp;" ضد "&amp;AT$586)+COUNTIF($E$4:$E$582,AT$586&amp;" ضد "&amp;$A632))</f>
        <v>1</v>
      </c>
      <c r="AU632" s="4" t="str">
        <f>IF($A632=AU$586,"",COUNTIF($E$4:$E$582,$A632&amp;" ضد "&amp;AU$586)+COUNTIF($E$4:$E$582,AU$586&amp;" ضد "&amp;$A632))</f>
        <v/>
      </c>
      <c r="AV632" s="4">
        <f>IF($A632=AV$586,"",COUNTIF($E$4:$E$582,$A632&amp;" ضد "&amp;AV$586)+COUNTIF($E$4:$E$582,AV$586&amp;" ضد "&amp;$A632))</f>
        <v>1</v>
      </c>
      <c r="AW632" s="4">
        <f>IF($A632=AW$586,"",COUNTIF($E$4:$E$582,$A632&amp;" ضد "&amp;AW$586)+COUNTIF($E$4:$E$582,AW$586&amp;" ضد "&amp;$A632))</f>
        <v>2</v>
      </c>
      <c r="AX632" s="4">
        <f>IF($A632=AX$586,"",COUNTIF($E$4:$E$582,$A632&amp;" ضد "&amp;AX$586)+COUNTIF($E$4:$E$582,AX$586&amp;" ضد "&amp;$A632))</f>
        <v>0</v>
      </c>
      <c r="AY632" s="4">
        <f>IF($A632=AY$586,"",COUNTIF($E$4:$E$582,$A632&amp;" ضد "&amp;AY$586)+COUNTIF($E$4:$E$582,AY$586&amp;" ضد "&amp;$A632))</f>
        <v>0</v>
      </c>
      <c r="AZ632" s="4">
        <f>IF($A632=AZ$586,"",COUNTIF($E$4:$E$582,$A632&amp;" ضد "&amp;AZ$586)+COUNTIF($E$4:$E$582,AZ$586&amp;" ضد "&amp;$A632))</f>
        <v>0</v>
      </c>
      <c r="BA632" s="4">
        <f>IF($A632=BA$586,"",COUNTIF($E$4:$E$582,$A632&amp;" ضد "&amp;BA$586)+COUNTIF($E$4:$E$582,BA$586&amp;" ضد "&amp;$A632))</f>
        <v>0</v>
      </c>
      <c r="BB632" s="4">
        <f>IF($A632=BB$586,"",COUNTIF($E$4:$E$582,$A632&amp;" ضد "&amp;BB$586)+COUNTIF($E$4:$E$582,BB$586&amp;" ضد "&amp;$A632))</f>
        <v>0</v>
      </c>
      <c r="BC632" s="4">
        <f>IF($A632=BC$586,"",COUNTIF($E$4:$E$582,$A632&amp;" ضد "&amp;BC$586)+COUNTIF($E$4:$E$582,BC$586&amp;" ضد "&amp;$A632))</f>
        <v>0</v>
      </c>
      <c r="BD632" s="4">
        <f>IF($A632=BD$586,"",COUNTIF($E$4:$E$582,$A632&amp;" ضد "&amp;BD$586)+COUNTIF($E$4:$E$582,BD$586&amp;" ضد "&amp;$A632))</f>
        <v>0</v>
      </c>
      <c r="BE632" s="4">
        <f>IF($A632=BE$586,"",COUNTIF($E$4:$E$582,$A632&amp;" ضد "&amp;BE$586)+COUNTIF($E$4:$E$582,BE$586&amp;" ضد "&amp;$A632))</f>
        <v>0</v>
      </c>
      <c r="BF632" s="4">
        <f>IF($A632=BF$586,"",COUNTIF($E$4:$E$582,$A632&amp;" ضد "&amp;BF$586)+COUNTIF($E$4:$E$582,BF$586&amp;" ضد "&amp;$A632))</f>
        <v>0</v>
      </c>
      <c r="BG632" s="4">
        <f>IF($A632=BG$586,"",COUNTIF($E$4:$E$582,$A632&amp;" ضد "&amp;BG$586)+COUNTIF($E$4:$E$582,BG$586&amp;" ضد "&amp;$A632))</f>
        <v>0</v>
      </c>
      <c r="BH632" s="4">
        <f>IF($A632=BH$586,"",COUNTIF($E$4:$E$582,$A632&amp;" ضد "&amp;BH$586)+COUNTIF($E$4:$E$582,BH$586&amp;" ضد "&amp;$A632))</f>
        <v>0</v>
      </c>
      <c r="BI632" s="4">
        <f>IF($A632=BI$586,"",COUNTIF($E$4:$E$582,$A632&amp;" ضد "&amp;BI$586)+COUNTIF($E$4:$E$582,BI$586&amp;" ضد "&amp;$A632))</f>
        <v>0</v>
      </c>
      <c r="BJ632" s="4">
        <f>IF($A632=BJ$586,"",COUNTIF($E$4:$E$582,$A632&amp;" ضد "&amp;BJ$586)+COUNTIF($E$4:$E$582,BJ$586&amp;" ضد "&amp;$A632))</f>
        <v>0</v>
      </c>
      <c r="BK632" s="4">
        <f>IF($A632=BK$586,"",COUNTIF($E$4:$E$582,$A632&amp;" ضد "&amp;BK$586)+COUNTIF($E$4:$E$582,BK$586&amp;" ضد "&amp;$A632))</f>
        <v>0</v>
      </c>
      <c r="BL632" s="4">
        <f>IF($A632=BL$586,"",COUNTIF($E$4:$E$582,$A632&amp;" ضد "&amp;BL$586)+COUNTIF($E$4:$E$582,BL$586&amp;" ضد "&amp;$A632))</f>
        <v>0</v>
      </c>
      <c r="BM632" s="4">
        <f>IF($A632=BM$586,"",COUNTIF($E$4:$E$582,$A632&amp;" ضد "&amp;BM$586)+COUNTIF($E$4:$E$582,BM$586&amp;" ضد "&amp;$A632))</f>
        <v>0</v>
      </c>
    </row>
    <row r="633" spans="1:65" ht="14.5">
      <c r="A633" s="14">
        <v>47</v>
      </c>
      <c r="B633" s="4">
        <f>IF($A633=B$586,"",COUNTIF($E$4:$E$582,$A633&amp;" ضد "&amp;B$586)+COUNTIF($E$4:$E$582,B$586&amp;" ضد "&amp;$A633))</f>
        <v>0</v>
      </c>
      <c r="C633" s="4">
        <f>IF($A633=C$586,"",COUNTIF($E$4:$E$582,$A633&amp;" ضد "&amp;C$586)+COUNTIF($E$4:$E$582,C$586&amp;" ضد "&amp;$A633))</f>
        <v>0</v>
      </c>
      <c r="D633" s="4">
        <f>IF($A633=D$586,"",COUNTIF($E$4:$E$582,$A633&amp;" ضد "&amp;D$586)+COUNTIF($E$4:$E$582,D$586&amp;" ضد "&amp;$A633))</f>
        <v>0</v>
      </c>
      <c r="E633" s="4">
        <f>IF($A633=E$586,"",COUNTIF($E$4:$E$582,$A633&amp;" ضد "&amp;E$586)+COUNTIF($E$4:$E$582,E$586&amp;" ضد "&amp;$A633))</f>
        <v>0</v>
      </c>
      <c r="F633" s="4">
        <f>IF($A633=F$586,"",COUNTIF($E$4:$E$582,$A633&amp;" ضد "&amp;F$586)+COUNTIF($E$4:$E$582,F$586&amp;" ضد "&amp;$A633))</f>
        <v>0</v>
      </c>
      <c r="G633" s="4">
        <f>IF($A633=G$586,"",COUNTIF($E$4:$E$582,$A633&amp;" ضد "&amp;G$586)+COUNTIF($E$4:$E$582,G$586&amp;" ضد "&amp;$A633))</f>
        <v>0</v>
      </c>
      <c r="H633" s="4">
        <f>IF($A633=H$586,"",COUNTIF($E$4:$E$582,$A633&amp;" ضد "&amp;H$586)+COUNTIF($E$4:$E$582,H$586&amp;" ضد "&amp;$A633))</f>
        <v>0</v>
      </c>
      <c r="I633" s="4">
        <f>IF($A633=I$586,"",COUNTIF($E$4:$E$582,$A633&amp;" ضد "&amp;I$586)+COUNTIF($E$4:$E$582,I$586&amp;" ضد "&amp;$A633))</f>
        <v>0</v>
      </c>
      <c r="J633" s="4">
        <f>IF($A633=J$586,"",COUNTIF($E$4:$E$582,$A633&amp;" ضد "&amp;J$586)+COUNTIF($E$4:$E$582,J$586&amp;" ضد "&amp;$A633))</f>
        <v>0</v>
      </c>
      <c r="K633" s="4">
        <f>IF($A633=K$586,"",COUNTIF($E$4:$E$582,$A633&amp;" ضد "&amp;K$586)+COUNTIF($E$4:$E$582,K$586&amp;" ضد "&amp;$A633))</f>
        <v>0</v>
      </c>
      <c r="L633" s="4">
        <f>IF($A633=L$586,"",COUNTIF($E$4:$E$582,$A633&amp;" ضد "&amp;L$586)+COUNTIF($E$4:$E$582,L$586&amp;" ضد "&amp;$A633))</f>
        <v>0</v>
      </c>
      <c r="M633" s="4">
        <f>IF($A633=M$586,"",COUNTIF($E$4:$E$582,$A633&amp;" ضد "&amp;M$586)+COUNTIF($E$4:$E$582,M$586&amp;" ضد "&amp;$A633))</f>
        <v>0</v>
      </c>
      <c r="N633" s="4">
        <f>IF($A633=N$586,"",COUNTIF($E$4:$E$582,$A633&amp;" ضد "&amp;N$586)+COUNTIF($E$4:$E$582,N$586&amp;" ضد "&amp;$A633))</f>
        <v>0</v>
      </c>
      <c r="O633" s="4">
        <f>IF($A633=O$586,"",COUNTIF($E$4:$E$582,$A633&amp;" ضد "&amp;O$586)+COUNTIF($E$4:$E$582,O$586&amp;" ضد "&amp;$A633))</f>
        <v>0</v>
      </c>
      <c r="P633" s="4">
        <f>IF($A633=P$586,"",COUNTIF($E$4:$E$582,$A633&amp;" ضد "&amp;P$586)+COUNTIF($E$4:$E$582,P$586&amp;" ضد "&amp;$A633))</f>
        <v>0</v>
      </c>
      <c r="Q633" s="4">
        <f>IF($A633=Q$586,"",COUNTIF($E$4:$E$582,$A633&amp;" ضد "&amp;Q$586)+COUNTIF($E$4:$E$582,Q$586&amp;" ضد "&amp;$A633))</f>
        <v>0</v>
      </c>
      <c r="R633" s="4">
        <f>IF($A633=R$586,"",COUNTIF($E$4:$E$582,$A633&amp;" ضد "&amp;R$586)+COUNTIF($E$4:$E$582,R$586&amp;" ضد "&amp;$A633))</f>
        <v>0</v>
      </c>
      <c r="S633" s="4">
        <f>IF($A633=S$586,"",COUNTIF($E$4:$E$582,$A633&amp;" ضد "&amp;S$586)+COUNTIF($E$4:$E$582,S$586&amp;" ضد "&amp;$A633))</f>
        <v>0</v>
      </c>
      <c r="T633" s="4">
        <f>IF($A633=T$586,"",COUNTIF($E$4:$E$582,$A633&amp;" ضد "&amp;T$586)+COUNTIF($E$4:$E$582,T$586&amp;" ضد "&amp;$A633))</f>
        <v>0</v>
      </c>
      <c r="U633" s="4">
        <f>IF($A633=U$586,"",COUNTIF($E$4:$E$582,$A633&amp;" ضد "&amp;U$586)+COUNTIF($E$4:$E$582,U$586&amp;" ضد "&amp;$A633))</f>
        <v>0</v>
      </c>
      <c r="V633" s="4">
        <f>IF($A633=V$586,"",COUNTIF($E$4:$E$582,$A633&amp;" ضد "&amp;V$586)+COUNTIF($E$4:$E$582,V$586&amp;" ضد "&amp;$A633))</f>
        <v>0</v>
      </c>
      <c r="W633" s="4">
        <f>IF($A633=W$586,"",COUNTIF($E$4:$E$582,$A633&amp;" ضد "&amp;W$586)+COUNTIF($E$4:$E$582,W$586&amp;" ضد "&amp;$A633))</f>
        <v>0</v>
      </c>
      <c r="X633" s="4">
        <f>IF($A633=X$586,"",COUNTIF($E$4:$E$582,$A633&amp;" ضد "&amp;X$586)+COUNTIF($E$4:$E$582,X$586&amp;" ضد "&amp;$A633))</f>
        <v>0</v>
      </c>
      <c r="Y633" s="4">
        <f>IF($A633=Y$586,"",COUNTIF($E$4:$E$582,$A633&amp;" ضد "&amp;Y$586)+COUNTIF($E$4:$E$582,Y$586&amp;" ضد "&amp;$A633))</f>
        <v>0</v>
      </c>
      <c r="Z633" s="4">
        <f>IF($A633=Z$586,"",COUNTIF($E$4:$E$582,$A633&amp;" ضد "&amp;Z$586)+COUNTIF($E$4:$E$582,Z$586&amp;" ضد "&amp;$A633))</f>
        <v>0</v>
      </c>
      <c r="AA633" s="4">
        <f>IF($A633=AA$586,"",COUNTIF($E$4:$E$582,$A633&amp;" ضد "&amp;AA$586)+COUNTIF($E$4:$E$582,AA$586&amp;" ضد "&amp;$A633))</f>
        <v>0</v>
      </c>
      <c r="AB633" s="4">
        <f>IF($A633=AB$586,"",COUNTIF($E$4:$E$582,$A633&amp;" ضد "&amp;AB$586)+COUNTIF($E$4:$E$582,AB$586&amp;" ضد "&amp;$A633))</f>
        <v>0</v>
      </c>
      <c r="AC633" s="4">
        <f>IF($A633=AC$586,"",COUNTIF($E$4:$E$582,$A633&amp;" ضد "&amp;AC$586)+COUNTIF($E$4:$E$582,AC$586&amp;" ضد "&amp;$A633))</f>
        <v>0</v>
      </c>
      <c r="AD633" s="4">
        <f>IF($A633=AD$586,"",COUNTIF($E$4:$E$582,$A633&amp;" ضد "&amp;AD$586)+COUNTIF($E$4:$E$582,AD$586&amp;" ضد "&amp;$A633))</f>
        <v>0</v>
      </c>
      <c r="AE633" s="4">
        <f>IF($A633=AE$586,"",COUNTIF($E$4:$E$582,$A633&amp;" ضد "&amp;AE$586)+COUNTIF($E$4:$E$582,AE$586&amp;" ضد "&amp;$A633))</f>
        <v>0</v>
      </c>
      <c r="AF633" s="4">
        <f>IF($A633=AF$586,"",COUNTIF($E$4:$E$582,$A633&amp;" ضد "&amp;AF$586)+COUNTIF($E$4:$E$582,AF$586&amp;" ضد "&amp;$A633))</f>
        <v>0</v>
      </c>
      <c r="AG633" s="4">
        <f>IF($A633=AG$586,"",COUNTIF($E$4:$E$582,$A633&amp;" ضد "&amp;AG$586)+COUNTIF($E$4:$E$582,AG$586&amp;" ضد "&amp;$A633))</f>
        <v>0</v>
      </c>
      <c r="AH633" s="4">
        <f>IF($A633=AH$586,"",COUNTIF($E$4:$E$582,$A633&amp;" ضد "&amp;AH$586)+COUNTIF($E$4:$E$582,AH$586&amp;" ضد "&amp;$A633))</f>
        <v>2</v>
      </c>
      <c r="AI633" s="4">
        <f>IF($A633=AI$586,"",COUNTIF($E$4:$E$582,$A633&amp;" ضد "&amp;AI$586)+COUNTIF($E$4:$E$582,AI$586&amp;" ضد "&amp;$A633))</f>
        <v>2</v>
      </c>
      <c r="AJ633" s="4">
        <f>IF($A633=AJ$586,"",COUNTIF($E$4:$E$582,$A633&amp;" ضد "&amp;AJ$586)+COUNTIF($E$4:$E$582,AJ$586&amp;" ضد "&amp;$A633))</f>
        <v>1</v>
      </c>
      <c r="AK633" s="4">
        <f>IF($A633=AK$586,"",COUNTIF($E$4:$E$582,$A633&amp;" ضد "&amp;AK$586)+COUNTIF($E$4:$E$582,AK$586&amp;" ضد "&amp;$A633))</f>
        <v>1</v>
      </c>
      <c r="AL633" s="4">
        <f>IF($A633=AL$586,"",COUNTIF($E$4:$E$582,$A633&amp;" ضد "&amp;AL$586)+COUNTIF($E$4:$E$582,AL$586&amp;" ضد "&amp;$A633))</f>
        <v>1</v>
      </c>
      <c r="AM633" s="4">
        <f>IF($A633=AM$586,"",COUNTIF($E$4:$E$582,$A633&amp;" ضد "&amp;AM$586)+COUNTIF($E$4:$E$582,AM$586&amp;" ضد "&amp;$A633))</f>
        <v>1</v>
      </c>
      <c r="AN633" s="4">
        <f>IF($A633=AN$586,"",COUNTIF($E$4:$E$582,$A633&amp;" ضد "&amp;AN$586)+COUNTIF($E$4:$E$582,AN$586&amp;" ضد "&amp;$A633))</f>
        <v>1</v>
      </c>
      <c r="AO633" s="4">
        <f>IF($A633=AO$586,"",COUNTIF($E$4:$E$582,$A633&amp;" ضد "&amp;AO$586)+COUNTIF($E$4:$E$582,AO$586&amp;" ضد "&amp;$A633))</f>
        <v>1</v>
      </c>
      <c r="AP633" s="4">
        <f>IF($A633=AP$586,"",COUNTIF($E$4:$E$582,$A633&amp;" ضد "&amp;AP$586)+COUNTIF($E$4:$E$582,AP$586&amp;" ضد "&amp;$A633))</f>
        <v>1</v>
      </c>
      <c r="AQ633" s="4">
        <f>IF($A633=AQ$586,"",COUNTIF($E$4:$E$582,$A633&amp;" ضد "&amp;AQ$586)+COUNTIF($E$4:$E$582,AQ$586&amp;" ضد "&amp;$A633))</f>
        <v>1</v>
      </c>
      <c r="AR633" s="4">
        <f>IF($A633=AR$586,"",COUNTIF($E$4:$E$582,$A633&amp;" ضد "&amp;AR$586)+COUNTIF($E$4:$E$582,AR$586&amp;" ضد "&amp;$A633))</f>
        <v>1</v>
      </c>
      <c r="AS633" s="4">
        <f>IF($A633=AS$586,"",COUNTIF($E$4:$E$582,$A633&amp;" ضد "&amp;AS$586)+COUNTIF($E$4:$E$582,AS$586&amp;" ضد "&amp;$A633))</f>
        <v>1</v>
      </c>
      <c r="AT633" s="4">
        <f>IF($A633=AT$586,"",COUNTIF($E$4:$E$582,$A633&amp;" ضد "&amp;AT$586)+COUNTIF($E$4:$E$582,AT$586&amp;" ضد "&amp;$A633))</f>
        <v>2</v>
      </c>
      <c r="AU633" s="4">
        <f>IF($A633=AU$586,"",COUNTIF($E$4:$E$582,$A633&amp;" ضد "&amp;AU$586)+COUNTIF($E$4:$E$582,AU$586&amp;" ضد "&amp;$A633))</f>
        <v>1</v>
      </c>
      <c r="AV633" s="4" t="str">
        <f>IF($A633=AV$586,"",COUNTIF($E$4:$E$582,$A633&amp;" ضد "&amp;AV$586)+COUNTIF($E$4:$E$582,AV$586&amp;" ضد "&amp;$A633))</f>
        <v/>
      </c>
      <c r="AW633" s="4">
        <f>IF($A633=AW$586,"",COUNTIF($E$4:$E$582,$A633&amp;" ضد "&amp;AW$586)+COUNTIF($E$4:$E$582,AW$586&amp;" ضد "&amp;$A633))</f>
        <v>1</v>
      </c>
      <c r="AX633" s="4">
        <f>IF($A633=AX$586,"",COUNTIF($E$4:$E$582,$A633&amp;" ضد "&amp;AX$586)+COUNTIF($E$4:$E$582,AX$586&amp;" ضد "&amp;$A633))</f>
        <v>0</v>
      </c>
      <c r="AY633" s="4">
        <f>IF($A633=AY$586,"",COUNTIF($E$4:$E$582,$A633&amp;" ضد "&amp;AY$586)+COUNTIF($E$4:$E$582,AY$586&amp;" ضد "&amp;$A633))</f>
        <v>0</v>
      </c>
      <c r="AZ633" s="4">
        <f>IF($A633=AZ$586,"",COUNTIF($E$4:$E$582,$A633&amp;" ضد "&amp;AZ$586)+COUNTIF($E$4:$E$582,AZ$586&amp;" ضد "&amp;$A633))</f>
        <v>0</v>
      </c>
      <c r="BA633" s="4">
        <f>IF($A633=BA$586,"",COUNTIF($E$4:$E$582,$A633&amp;" ضد "&amp;BA$586)+COUNTIF($E$4:$E$582,BA$586&amp;" ضد "&amp;$A633))</f>
        <v>0</v>
      </c>
      <c r="BB633" s="4">
        <f>IF($A633=BB$586,"",COUNTIF($E$4:$E$582,$A633&amp;" ضد "&amp;BB$586)+COUNTIF($E$4:$E$582,BB$586&amp;" ضد "&amp;$A633))</f>
        <v>0</v>
      </c>
      <c r="BC633" s="4">
        <f>IF($A633=BC$586,"",COUNTIF($E$4:$E$582,$A633&amp;" ضد "&amp;BC$586)+COUNTIF($E$4:$E$582,BC$586&amp;" ضد "&amp;$A633))</f>
        <v>0</v>
      </c>
      <c r="BD633" s="4">
        <f>IF($A633=BD$586,"",COUNTIF($E$4:$E$582,$A633&amp;" ضد "&amp;BD$586)+COUNTIF($E$4:$E$582,BD$586&amp;" ضد "&amp;$A633))</f>
        <v>0</v>
      </c>
      <c r="BE633" s="4">
        <f>IF($A633=BE$586,"",COUNTIF($E$4:$E$582,$A633&amp;" ضد "&amp;BE$586)+COUNTIF($E$4:$E$582,BE$586&amp;" ضد "&amp;$A633))</f>
        <v>0</v>
      </c>
      <c r="BF633" s="4">
        <f>IF($A633=BF$586,"",COUNTIF($E$4:$E$582,$A633&amp;" ضد "&amp;BF$586)+COUNTIF($E$4:$E$582,BF$586&amp;" ضد "&amp;$A633))</f>
        <v>0</v>
      </c>
      <c r="BG633" s="4">
        <f>IF($A633=BG$586,"",COUNTIF($E$4:$E$582,$A633&amp;" ضد "&amp;BG$586)+COUNTIF($E$4:$E$582,BG$586&amp;" ضد "&amp;$A633))</f>
        <v>0</v>
      </c>
      <c r="BH633" s="4">
        <f>IF($A633=BH$586,"",COUNTIF($E$4:$E$582,$A633&amp;" ضد "&amp;BH$586)+COUNTIF($E$4:$E$582,BH$586&amp;" ضد "&amp;$A633))</f>
        <v>0</v>
      </c>
      <c r="BI633" s="4">
        <f>IF($A633=BI$586,"",COUNTIF($E$4:$E$582,$A633&amp;" ضد "&amp;BI$586)+COUNTIF($E$4:$E$582,BI$586&amp;" ضد "&amp;$A633))</f>
        <v>0</v>
      </c>
      <c r="BJ633" s="4">
        <f>IF($A633=BJ$586,"",COUNTIF($E$4:$E$582,$A633&amp;" ضد "&amp;BJ$586)+COUNTIF($E$4:$E$582,BJ$586&amp;" ضد "&amp;$A633))</f>
        <v>0</v>
      </c>
      <c r="BK633" s="4">
        <f>IF($A633=BK$586,"",COUNTIF($E$4:$E$582,$A633&amp;" ضد "&amp;BK$586)+COUNTIF($E$4:$E$582,BK$586&amp;" ضد "&amp;$A633))</f>
        <v>0</v>
      </c>
      <c r="BL633" s="4">
        <f>IF($A633=BL$586,"",COUNTIF($E$4:$E$582,$A633&amp;" ضد "&amp;BL$586)+COUNTIF($E$4:$E$582,BL$586&amp;" ضد "&amp;$A633))</f>
        <v>0</v>
      </c>
      <c r="BM633" s="4">
        <f>IF($A633=BM$586,"",COUNTIF($E$4:$E$582,$A633&amp;" ضد "&amp;BM$586)+COUNTIF($E$4:$E$582,BM$586&amp;" ضد "&amp;$A633))</f>
        <v>0</v>
      </c>
    </row>
    <row r="634" spans="1:65" ht="14.5">
      <c r="A634" s="14">
        <v>48</v>
      </c>
      <c r="B634" s="4">
        <f>IF($A634=B$586,"",COUNTIF($E$4:$E$582,$A634&amp;" ضد "&amp;B$586)+COUNTIF($E$4:$E$582,B$586&amp;" ضد "&amp;$A634))</f>
        <v>0</v>
      </c>
      <c r="C634" s="4">
        <f>IF($A634=C$586,"",COUNTIF($E$4:$E$582,$A634&amp;" ضد "&amp;C$586)+COUNTIF($E$4:$E$582,C$586&amp;" ضد "&amp;$A634))</f>
        <v>0</v>
      </c>
      <c r="D634" s="4">
        <f>IF($A634=D$586,"",COUNTIF($E$4:$E$582,$A634&amp;" ضد "&amp;D$586)+COUNTIF($E$4:$E$582,D$586&amp;" ضد "&amp;$A634))</f>
        <v>0</v>
      </c>
      <c r="E634" s="4">
        <f>IF($A634=E$586,"",COUNTIF($E$4:$E$582,$A634&amp;" ضد "&amp;E$586)+COUNTIF($E$4:$E$582,E$586&amp;" ضد "&amp;$A634))</f>
        <v>0</v>
      </c>
      <c r="F634" s="4">
        <f>IF($A634=F$586,"",COUNTIF($E$4:$E$582,$A634&amp;" ضد "&amp;F$586)+COUNTIF($E$4:$E$582,F$586&amp;" ضد "&amp;$A634))</f>
        <v>0</v>
      </c>
      <c r="G634" s="4">
        <f>IF($A634=G$586,"",COUNTIF($E$4:$E$582,$A634&amp;" ضد "&amp;G$586)+COUNTIF($E$4:$E$582,G$586&amp;" ضد "&amp;$A634))</f>
        <v>0</v>
      </c>
      <c r="H634" s="4">
        <f>IF($A634=H$586,"",COUNTIF($E$4:$E$582,$A634&amp;" ضد "&amp;H$586)+COUNTIF($E$4:$E$582,H$586&amp;" ضد "&amp;$A634))</f>
        <v>0</v>
      </c>
      <c r="I634" s="4">
        <f>IF($A634=I$586,"",COUNTIF($E$4:$E$582,$A634&amp;" ضد "&amp;I$586)+COUNTIF($E$4:$E$582,I$586&amp;" ضد "&amp;$A634))</f>
        <v>0</v>
      </c>
      <c r="J634" s="4">
        <f>IF($A634=J$586,"",COUNTIF($E$4:$E$582,$A634&amp;" ضد "&amp;J$586)+COUNTIF($E$4:$E$582,J$586&amp;" ضد "&amp;$A634))</f>
        <v>0</v>
      </c>
      <c r="K634" s="4">
        <f>IF($A634=K$586,"",COUNTIF($E$4:$E$582,$A634&amp;" ضد "&amp;K$586)+COUNTIF($E$4:$E$582,K$586&amp;" ضد "&amp;$A634))</f>
        <v>0</v>
      </c>
      <c r="L634" s="4">
        <f>IF($A634=L$586,"",COUNTIF($E$4:$E$582,$A634&amp;" ضد "&amp;L$586)+COUNTIF($E$4:$E$582,L$586&amp;" ضد "&amp;$A634))</f>
        <v>0</v>
      </c>
      <c r="M634" s="4">
        <f>IF($A634=M$586,"",COUNTIF($E$4:$E$582,$A634&amp;" ضد "&amp;M$586)+COUNTIF($E$4:$E$582,M$586&amp;" ضد "&amp;$A634))</f>
        <v>0</v>
      </c>
      <c r="N634" s="4">
        <f>IF($A634=N$586,"",COUNTIF($E$4:$E$582,$A634&amp;" ضد "&amp;N$586)+COUNTIF($E$4:$E$582,N$586&amp;" ضد "&amp;$A634))</f>
        <v>0</v>
      </c>
      <c r="O634" s="4">
        <f>IF($A634=O$586,"",COUNTIF($E$4:$E$582,$A634&amp;" ضد "&amp;O$586)+COUNTIF($E$4:$E$582,O$586&amp;" ضد "&amp;$A634))</f>
        <v>0</v>
      </c>
      <c r="P634" s="4">
        <f>IF($A634=P$586,"",COUNTIF($E$4:$E$582,$A634&amp;" ضد "&amp;P$586)+COUNTIF($E$4:$E$582,P$586&amp;" ضد "&amp;$A634))</f>
        <v>0</v>
      </c>
      <c r="Q634" s="4">
        <f>IF($A634=Q$586,"",COUNTIF($E$4:$E$582,$A634&amp;" ضد "&amp;Q$586)+COUNTIF($E$4:$E$582,Q$586&amp;" ضد "&amp;$A634))</f>
        <v>0</v>
      </c>
      <c r="R634" s="4">
        <f>IF($A634=R$586,"",COUNTIF($E$4:$E$582,$A634&amp;" ضد "&amp;R$586)+COUNTIF($E$4:$E$582,R$586&amp;" ضد "&amp;$A634))</f>
        <v>0</v>
      </c>
      <c r="S634" s="4">
        <f>IF($A634=S$586,"",COUNTIF($E$4:$E$582,$A634&amp;" ضد "&amp;S$586)+COUNTIF($E$4:$E$582,S$586&amp;" ضد "&amp;$A634))</f>
        <v>0</v>
      </c>
      <c r="T634" s="4">
        <f>IF($A634=T$586,"",COUNTIF($E$4:$E$582,$A634&amp;" ضد "&amp;T$586)+COUNTIF($E$4:$E$582,T$586&amp;" ضد "&amp;$A634))</f>
        <v>0</v>
      </c>
      <c r="U634" s="4">
        <f>IF($A634=U$586,"",COUNTIF($E$4:$E$582,$A634&amp;" ضد "&amp;U$586)+COUNTIF($E$4:$E$582,U$586&amp;" ضد "&amp;$A634))</f>
        <v>0</v>
      </c>
      <c r="V634" s="4">
        <f>IF($A634=V$586,"",COUNTIF($E$4:$E$582,$A634&amp;" ضد "&amp;V$586)+COUNTIF($E$4:$E$582,V$586&amp;" ضد "&amp;$A634))</f>
        <v>0</v>
      </c>
      <c r="W634" s="4">
        <f>IF($A634=W$586,"",COUNTIF($E$4:$E$582,$A634&amp;" ضد "&amp;W$586)+COUNTIF($E$4:$E$582,W$586&amp;" ضد "&amp;$A634))</f>
        <v>0</v>
      </c>
      <c r="X634" s="4">
        <f>IF($A634=X$586,"",COUNTIF($E$4:$E$582,$A634&amp;" ضد "&amp;X$586)+COUNTIF($E$4:$E$582,X$586&amp;" ضد "&amp;$A634))</f>
        <v>0</v>
      </c>
      <c r="Y634" s="4">
        <f>IF($A634=Y$586,"",COUNTIF($E$4:$E$582,$A634&amp;" ضد "&amp;Y$586)+COUNTIF($E$4:$E$582,Y$586&amp;" ضد "&amp;$A634))</f>
        <v>0</v>
      </c>
      <c r="Z634" s="4">
        <f>IF($A634=Z$586,"",COUNTIF($E$4:$E$582,$A634&amp;" ضد "&amp;Z$586)+COUNTIF($E$4:$E$582,Z$586&amp;" ضد "&amp;$A634))</f>
        <v>0</v>
      </c>
      <c r="AA634" s="4">
        <f>IF($A634=AA$586,"",COUNTIF($E$4:$E$582,$A634&amp;" ضد "&amp;AA$586)+COUNTIF($E$4:$E$582,AA$586&amp;" ضد "&amp;$A634))</f>
        <v>0</v>
      </c>
      <c r="AB634" s="4">
        <f>IF($A634=AB$586,"",COUNTIF($E$4:$E$582,$A634&amp;" ضد "&amp;AB$586)+COUNTIF($E$4:$E$582,AB$586&amp;" ضد "&amp;$A634))</f>
        <v>0</v>
      </c>
      <c r="AC634" s="4">
        <f>IF($A634=AC$586,"",COUNTIF($E$4:$E$582,$A634&amp;" ضد "&amp;AC$586)+COUNTIF($E$4:$E$582,AC$586&amp;" ضد "&amp;$A634))</f>
        <v>0</v>
      </c>
      <c r="AD634" s="4">
        <f>IF($A634=AD$586,"",COUNTIF($E$4:$E$582,$A634&amp;" ضد "&amp;AD$586)+COUNTIF($E$4:$E$582,AD$586&amp;" ضد "&amp;$A634))</f>
        <v>0</v>
      </c>
      <c r="AE634" s="4">
        <f>IF($A634=AE$586,"",COUNTIF($E$4:$E$582,$A634&amp;" ضد "&amp;AE$586)+COUNTIF($E$4:$E$582,AE$586&amp;" ضد "&amp;$A634))</f>
        <v>0</v>
      </c>
      <c r="AF634" s="4">
        <f>IF($A634=AF$586,"",COUNTIF($E$4:$E$582,$A634&amp;" ضد "&amp;AF$586)+COUNTIF($E$4:$E$582,AF$586&amp;" ضد "&amp;$A634))</f>
        <v>0</v>
      </c>
      <c r="AG634" s="4">
        <f>IF($A634=AG$586,"",COUNTIF($E$4:$E$582,$A634&amp;" ضد "&amp;AG$586)+COUNTIF($E$4:$E$582,AG$586&amp;" ضد "&amp;$A634))</f>
        <v>0</v>
      </c>
      <c r="AH634" s="4">
        <f>IF($A634=AH$586,"",COUNTIF($E$4:$E$582,$A634&amp;" ضد "&amp;AH$586)+COUNTIF($E$4:$E$582,AH$586&amp;" ضد "&amp;$A634))</f>
        <v>2</v>
      </c>
      <c r="AI634" s="4">
        <f>IF($A634=AI$586,"",COUNTIF($E$4:$E$582,$A634&amp;" ضد "&amp;AI$586)+COUNTIF($E$4:$E$582,AI$586&amp;" ضد "&amp;$A634))</f>
        <v>1</v>
      </c>
      <c r="AJ634" s="4">
        <f>IF($A634=AJ$586,"",COUNTIF($E$4:$E$582,$A634&amp;" ضد "&amp;AJ$586)+COUNTIF($E$4:$E$582,AJ$586&amp;" ضد "&amp;$A634))</f>
        <v>1</v>
      </c>
      <c r="AK634" s="4">
        <f>IF($A634=AK$586,"",COUNTIF($E$4:$E$582,$A634&amp;" ضد "&amp;AK$586)+COUNTIF($E$4:$E$582,AK$586&amp;" ضد "&amp;$A634))</f>
        <v>1</v>
      </c>
      <c r="AL634" s="4">
        <f>IF($A634=AL$586,"",COUNTIF($E$4:$E$582,$A634&amp;" ضد "&amp;AL$586)+COUNTIF($E$4:$E$582,AL$586&amp;" ضد "&amp;$A634))</f>
        <v>1</v>
      </c>
      <c r="AM634" s="4">
        <f>IF($A634=AM$586,"",COUNTIF($E$4:$E$582,$A634&amp;" ضد "&amp;AM$586)+COUNTIF($E$4:$E$582,AM$586&amp;" ضد "&amp;$A634))</f>
        <v>1</v>
      </c>
      <c r="AN634" s="4">
        <f>IF($A634=AN$586,"",COUNTIF($E$4:$E$582,$A634&amp;" ضد "&amp;AN$586)+COUNTIF($E$4:$E$582,AN$586&amp;" ضد "&amp;$A634))</f>
        <v>1</v>
      </c>
      <c r="AO634" s="4">
        <f>IF($A634=AO$586,"",COUNTIF($E$4:$E$582,$A634&amp;" ضد "&amp;AO$586)+COUNTIF($E$4:$E$582,AO$586&amp;" ضد "&amp;$A634))</f>
        <v>1</v>
      </c>
      <c r="AP634" s="4">
        <f>IF($A634=AP$586,"",COUNTIF($E$4:$E$582,$A634&amp;" ضد "&amp;AP$586)+COUNTIF($E$4:$E$582,AP$586&amp;" ضد "&amp;$A634))</f>
        <v>1</v>
      </c>
      <c r="AQ634" s="4">
        <f>IF($A634=AQ$586,"",COUNTIF($E$4:$E$582,$A634&amp;" ضد "&amp;AQ$586)+COUNTIF($E$4:$E$582,AQ$586&amp;" ضد "&amp;$A634))</f>
        <v>1</v>
      </c>
      <c r="AR634" s="4">
        <f>IF($A634=AR$586,"",COUNTIF($E$4:$E$582,$A634&amp;" ضد "&amp;AR$586)+COUNTIF($E$4:$E$582,AR$586&amp;" ضد "&amp;$A634))</f>
        <v>1</v>
      </c>
      <c r="AS634" s="4">
        <f>IF($A634=AS$586,"",COUNTIF($E$4:$E$582,$A634&amp;" ضد "&amp;AS$586)+COUNTIF($E$4:$E$582,AS$586&amp;" ضد "&amp;$A634))</f>
        <v>2</v>
      </c>
      <c r="AT634" s="4">
        <f>IF($A634=AT$586,"",COUNTIF($E$4:$E$582,$A634&amp;" ضد "&amp;AT$586)+COUNTIF($E$4:$E$582,AT$586&amp;" ضد "&amp;$A634))</f>
        <v>1</v>
      </c>
      <c r="AU634" s="4">
        <f>IF($A634=AU$586,"",COUNTIF($E$4:$E$582,$A634&amp;" ضد "&amp;AU$586)+COUNTIF($E$4:$E$582,AU$586&amp;" ضد "&amp;$A634))</f>
        <v>2</v>
      </c>
      <c r="AV634" s="4">
        <f>IF($A634=AV$586,"",COUNTIF($E$4:$E$582,$A634&amp;" ضد "&amp;AV$586)+COUNTIF($E$4:$E$582,AV$586&amp;" ضد "&amp;$A634))</f>
        <v>1</v>
      </c>
      <c r="AW634" s="4" t="str">
        <f>IF($A634=AW$586,"",COUNTIF($E$4:$E$582,$A634&amp;" ضد "&amp;AW$586)+COUNTIF($E$4:$E$582,AW$586&amp;" ضد "&amp;$A634))</f>
        <v/>
      </c>
      <c r="AX634" s="4">
        <f>IF($A634=AX$586,"",COUNTIF($E$4:$E$582,$A634&amp;" ضد "&amp;AX$586)+COUNTIF($E$4:$E$582,AX$586&amp;" ضد "&amp;$A634))</f>
        <v>0</v>
      </c>
      <c r="AY634" s="4">
        <f>IF($A634=AY$586,"",COUNTIF($E$4:$E$582,$A634&amp;" ضد "&amp;AY$586)+COUNTIF($E$4:$E$582,AY$586&amp;" ضد "&amp;$A634))</f>
        <v>0</v>
      </c>
      <c r="AZ634" s="4">
        <f>IF($A634=AZ$586,"",COUNTIF($E$4:$E$582,$A634&amp;" ضد "&amp;AZ$586)+COUNTIF($E$4:$E$582,AZ$586&amp;" ضد "&amp;$A634))</f>
        <v>0</v>
      </c>
      <c r="BA634" s="4">
        <f>IF($A634=BA$586,"",COUNTIF($E$4:$E$582,$A634&amp;" ضد "&amp;BA$586)+COUNTIF($E$4:$E$582,BA$586&amp;" ضد "&amp;$A634))</f>
        <v>0</v>
      </c>
      <c r="BB634" s="4">
        <f>IF($A634=BB$586,"",COUNTIF($E$4:$E$582,$A634&amp;" ضد "&amp;BB$586)+COUNTIF($E$4:$E$582,BB$586&amp;" ضد "&amp;$A634))</f>
        <v>0</v>
      </c>
      <c r="BC634" s="4">
        <f>IF($A634=BC$586,"",COUNTIF($E$4:$E$582,$A634&amp;" ضد "&amp;BC$586)+COUNTIF($E$4:$E$582,BC$586&amp;" ضد "&amp;$A634))</f>
        <v>0</v>
      </c>
      <c r="BD634" s="4">
        <f>IF($A634=BD$586,"",COUNTIF($E$4:$E$582,$A634&amp;" ضد "&amp;BD$586)+COUNTIF($E$4:$E$582,BD$586&amp;" ضد "&amp;$A634))</f>
        <v>0</v>
      </c>
      <c r="BE634" s="4">
        <f>IF($A634=BE$586,"",COUNTIF($E$4:$E$582,$A634&amp;" ضد "&amp;BE$586)+COUNTIF($E$4:$E$582,BE$586&amp;" ضد "&amp;$A634))</f>
        <v>0</v>
      </c>
      <c r="BF634" s="4">
        <f>IF($A634=BF$586,"",COUNTIF($E$4:$E$582,$A634&amp;" ضد "&amp;BF$586)+COUNTIF($E$4:$E$582,BF$586&amp;" ضد "&amp;$A634))</f>
        <v>0</v>
      </c>
      <c r="BG634" s="4">
        <f>IF($A634=BG$586,"",COUNTIF($E$4:$E$582,$A634&amp;" ضد "&amp;BG$586)+COUNTIF($E$4:$E$582,BG$586&amp;" ضد "&amp;$A634))</f>
        <v>0</v>
      </c>
      <c r="BH634" s="4">
        <f>IF($A634=BH$586,"",COUNTIF($E$4:$E$582,$A634&amp;" ضد "&amp;BH$586)+COUNTIF($E$4:$E$582,BH$586&amp;" ضد "&amp;$A634))</f>
        <v>0</v>
      </c>
      <c r="BI634" s="4">
        <f>IF($A634=BI$586,"",COUNTIF($E$4:$E$582,$A634&amp;" ضد "&amp;BI$586)+COUNTIF($E$4:$E$582,BI$586&amp;" ضد "&amp;$A634))</f>
        <v>0</v>
      </c>
      <c r="BJ634" s="4">
        <f>IF($A634=BJ$586,"",COUNTIF($E$4:$E$582,$A634&amp;" ضد "&amp;BJ$586)+COUNTIF($E$4:$E$582,BJ$586&amp;" ضد "&amp;$A634))</f>
        <v>0</v>
      </c>
      <c r="BK634" s="4">
        <f>IF($A634=BK$586,"",COUNTIF($E$4:$E$582,$A634&amp;" ضد "&amp;BK$586)+COUNTIF($E$4:$E$582,BK$586&amp;" ضد "&amp;$A634))</f>
        <v>0</v>
      </c>
      <c r="BL634" s="4">
        <f>IF($A634=BL$586,"",COUNTIF($E$4:$E$582,$A634&amp;" ضد "&amp;BL$586)+COUNTIF($E$4:$E$582,BL$586&amp;" ضد "&amp;$A634))</f>
        <v>0</v>
      </c>
      <c r="BM634" s="4">
        <f>IF($A634=BM$586,"",COUNTIF($E$4:$E$582,$A634&amp;" ضد "&amp;BM$586)+COUNTIF($E$4:$E$582,BM$586&amp;" ضد "&amp;$A634))</f>
        <v>0</v>
      </c>
    </row>
    <row r="635" spans="1:65" ht="14.5">
      <c r="A635" s="14">
        <v>49</v>
      </c>
      <c r="B635" s="4">
        <f>IF($A635=B$586,"",COUNTIF($E$4:$E$582,$A635&amp;" ضد "&amp;B$586)+COUNTIF($E$4:$E$582,B$586&amp;" ضد "&amp;$A635))</f>
        <v>0</v>
      </c>
      <c r="C635" s="4">
        <f>IF($A635=C$586,"",COUNTIF($E$4:$E$582,$A635&amp;" ضد "&amp;C$586)+COUNTIF($E$4:$E$582,C$586&amp;" ضد "&amp;$A635))</f>
        <v>0</v>
      </c>
      <c r="D635" s="4">
        <f>IF($A635=D$586,"",COUNTIF($E$4:$E$582,$A635&amp;" ضد "&amp;D$586)+COUNTIF($E$4:$E$582,D$586&amp;" ضد "&amp;$A635))</f>
        <v>0</v>
      </c>
      <c r="E635" s="4">
        <f>IF($A635=E$586,"",COUNTIF($E$4:$E$582,$A635&amp;" ضد "&amp;E$586)+COUNTIF($E$4:$E$582,E$586&amp;" ضد "&amp;$A635))</f>
        <v>0</v>
      </c>
      <c r="F635" s="4">
        <f>IF($A635=F$586,"",COUNTIF($E$4:$E$582,$A635&amp;" ضد "&amp;F$586)+COUNTIF($E$4:$E$582,F$586&amp;" ضد "&amp;$A635))</f>
        <v>0</v>
      </c>
      <c r="G635" s="4">
        <f>IF($A635=G$586,"",COUNTIF($E$4:$E$582,$A635&amp;" ضد "&amp;G$586)+COUNTIF($E$4:$E$582,G$586&amp;" ضد "&amp;$A635))</f>
        <v>0</v>
      </c>
      <c r="H635" s="4">
        <f>IF($A635=H$586,"",COUNTIF($E$4:$E$582,$A635&amp;" ضد "&amp;H$586)+COUNTIF($E$4:$E$582,H$586&amp;" ضد "&amp;$A635))</f>
        <v>0</v>
      </c>
      <c r="I635" s="4">
        <f>IF($A635=I$586,"",COUNTIF($E$4:$E$582,$A635&amp;" ضد "&amp;I$586)+COUNTIF($E$4:$E$582,I$586&amp;" ضد "&amp;$A635))</f>
        <v>0</v>
      </c>
      <c r="J635" s="4">
        <f>IF($A635=J$586,"",COUNTIF($E$4:$E$582,$A635&amp;" ضد "&amp;J$586)+COUNTIF($E$4:$E$582,J$586&amp;" ضد "&amp;$A635))</f>
        <v>0</v>
      </c>
      <c r="K635" s="4">
        <f>IF($A635=K$586,"",COUNTIF($E$4:$E$582,$A635&amp;" ضد "&amp;K$586)+COUNTIF($E$4:$E$582,K$586&amp;" ضد "&amp;$A635))</f>
        <v>0</v>
      </c>
      <c r="L635" s="4">
        <f>IF($A635=L$586,"",COUNTIF($E$4:$E$582,$A635&amp;" ضد "&amp;L$586)+COUNTIF($E$4:$E$582,L$586&amp;" ضد "&amp;$A635))</f>
        <v>0</v>
      </c>
      <c r="M635" s="4">
        <f>IF($A635=M$586,"",COUNTIF($E$4:$E$582,$A635&amp;" ضد "&amp;M$586)+COUNTIF($E$4:$E$582,M$586&amp;" ضد "&amp;$A635))</f>
        <v>0</v>
      </c>
      <c r="N635" s="4">
        <f>IF($A635=N$586,"",COUNTIF($E$4:$E$582,$A635&amp;" ضد "&amp;N$586)+COUNTIF($E$4:$E$582,N$586&amp;" ضد "&amp;$A635))</f>
        <v>0</v>
      </c>
      <c r="O635" s="4">
        <f>IF($A635=O$586,"",COUNTIF($E$4:$E$582,$A635&amp;" ضد "&amp;O$586)+COUNTIF($E$4:$E$582,O$586&amp;" ضد "&amp;$A635))</f>
        <v>0</v>
      </c>
      <c r="P635" s="4">
        <f>IF($A635=P$586,"",COUNTIF($E$4:$E$582,$A635&amp;" ضد "&amp;P$586)+COUNTIF($E$4:$E$582,P$586&amp;" ضد "&amp;$A635))</f>
        <v>0</v>
      </c>
      <c r="Q635" s="4">
        <f>IF($A635=Q$586,"",COUNTIF($E$4:$E$582,$A635&amp;" ضد "&amp;Q$586)+COUNTIF($E$4:$E$582,Q$586&amp;" ضد "&amp;$A635))</f>
        <v>0</v>
      </c>
      <c r="R635" s="4">
        <f>IF($A635=R$586,"",COUNTIF($E$4:$E$582,$A635&amp;" ضد "&amp;R$586)+COUNTIF($E$4:$E$582,R$586&amp;" ضد "&amp;$A635))</f>
        <v>0</v>
      </c>
      <c r="S635" s="4">
        <f>IF($A635=S$586,"",COUNTIF($E$4:$E$582,$A635&amp;" ضد "&amp;S$586)+COUNTIF($E$4:$E$582,S$586&amp;" ضد "&amp;$A635))</f>
        <v>0</v>
      </c>
      <c r="T635" s="4">
        <f>IF($A635=T$586,"",COUNTIF($E$4:$E$582,$A635&amp;" ضد "&amp;T$586)+COUNTIF($E$4:$E$582,T$586&amp;" ضد "&amp;$A635))</f>
        <v>0</v>
      </c>
      <c r="U635" s="4">
        <f>IF($A635=U$586,"",COUNTIF($E$4:$E$582,$A635&amp;" ضد "&amp;U$586)+COUNTIF($E$4:$E$582,U$586&amp;" ضد "&amp;$A635))</f>
        <v>0</v>
      </c>
      <c r="V635" s="4">
        <f>IF($A635=V$586,"",COUNTIF($E$4:$E$582,$A635&amp;" ضد "&amp;V$586)+COUNTIF($E$4:$E$582,V$586&amp;" ضد "&amp;$A635))</f>
        <v>0</v>
      </c>
      <c r="W635" s="4">
        <f>IF($A635=W$586,"",COUNTIF($E$4:$E$582,$A635&amp;" ضد "&amp;W$586)+COUNTIF($E$4:$E$582,W$586&amp;" ضد "&amp;$A635))</f>
        <v>0</v>
      </c>
      <c r="X635" s="4">
        <f>IF($A635=X$586,"",COUNTIF($E$4:$E$582,$A635&amp;" ضد "&amp;X$586)+COUNTIF($E$4:$E$582,X$586&amp;" ضد "&amp;$A635))</f>
        <v>0</v>
      </c>
      <c r="Y635" s="4">
        <f>IF($A635=Y$586,"",COUNTIF($E$4:$E$582,$A635&amp;" ضد "&amp;Y$586)+COUNTIF($E$4:$E$582,Y$586&amp;" ضد "&amp;$A635))</f>
        <v>0</v>
      </c>
      <c r="Z635" s="4">
        <f>IF($A635=Z$586,"",COUNTIF($E$4:$E$582,$A635&amp;" ضد "&amp;Z$586)+COUNTIF($E$4:$E$582,Z$586&amp;" ضد "&amp;$A635))</f>
        <v>0</v>
      </c>
      <c r="AA635" s="4">
        <f>IF($A635=AA$586,"",COUNTIF($E$4:$E$582,$A635&amp;" ضد "&amp;AA$586)+COUNTIF($E$4:$E$582,AA$586&amp;" ضد "&amp;$A635))</f>
        <v>0</v>
      </c>
      <c r="AB635" s="4">
        <f>IF($A635=AB$586,"",COUNTIF($E$4:$E$582,$A635&amp;" ضد "&amp;AB$586)+COUNTIF($E$4:$E$582,AB$586&amp;" ضد "&amp;$A635))</f>
        <v>0</v>
      </c>
      <c r="AC635" s="4">
        <f>IF($A635=AC$586,"",COUNTIF($E$4:$E$582,$A635&amp;" ضد "&amp;AC$586)+COUNTIF($E$4:$E$582,AC$586&amp;" ضد "&amp;$A635))</f>
        <v>0</v>
      </c>
      <c r="AD635" s="4">
        <f>IF($A635=AD$586,"",COUNTIF($E$4:$E$582,$A635&amp;" ضد "&amp;AD$586)+COUNTIF($E$4:$E$582,AD$586&amp;" ضد "&amp;$A635))</f>
        <v>0</v>
      </c>
      <c r="AE635" s="4">
        <f>IF($A635=AE$586,"",COUNTIF($E$4:$E$582,$A635&amp;" ضد "&amp;AE$586)+COUNTIF($E$4:$E$582,AE$586&amp;" ضد "&amp;$A635))</f>
        <v>0</v>
      </c>
      <c r="AF635" s="4">
        <f>IF($A635=AF$586,"",COUNTIF($E$4:$E$582,$A635&amp;" ضد "&amp;AF$586)+COUNTIF($E$4:$E$582,AF$586&amp;" ضد "&amp;$A635))</f>
        <v>0</v>
      </c>
      <c r="AG635" s="4">
        <f>IF($A635=AG$586,"",COUNTIF($E$4:$E$582,$A635&amp;" ضد "&amp;AG$586)+COUNTIF($E$4:$E$582,AG$586&amp;" ضد "&amp;$A635))</f>
        <v>0</v>
      </c>
      <c r="AH635" s="4">
        <f>IF($A635=AH$586,"",COUNTIF($E$4:$E$582,$A635&amp;" ضد "&amp;AH$586)+COUNTIF($E$4:$E$582,AH$586&amp;" ضد "&amp;$A635))</f>
        <v>0</v>
      </c>
      <c r="AI635" s="4">
        <f>IF($A635=AI$586,"",COUNTIF($E$4:$E$582,$A635&amp;" ضد "&amp;AI$586)+COUNTIF($E$4:$E$582,AI$586&amp;" ضد "&amp;$A635))</f>
        <v>0</v>
      </c>
      <c r="AJ635" s="4">
        <f>IF($A635=AJ$586,"",COUNTIF($E$4:$E$582,$A635&amp;" ضد "&amp;AJ$586)+COUNTIF($E$4:$E$582,AJ$586&amp;" ضد "&amp;$A635))</f>
        <v>0</v>
      </c>
      <c r="AK635" s="4">
        <f>IF($A635=AK$586,"",COUNTIF($E$4:$E$582,$A635&amp;" ضد "&amp;AK$586)+COUNTIF($E$4:$E$582,AK$586&amp;" ضد "&amp;$A635))</f>
        <v>0</v>
      </c>
      <c r="AL635" s="4">
        <f>IF($A635=AL$586,"",COUNTIF($E$4:$E$582,$A635&amp;" ضد "&amp;AL$586)+COUNTIF($E$4:$E$582,AL$586&amp;" ضد "&amp;$A635))</f>
        <v>0</v>
      </c>
      <c r="AM635" s="4">
        <f>IF($A635=AM$586,"",COUNTIF($E$4:$E$582,$A635&amp;" ضد "&amp;AM$586)+COUNTIF($E$4:$E$582,AM$586&amp;" ضد "&amp;$A635))</f>
        <v>0</v>
      </c>
      <c r="AN635" s="4">
        <f>IF($A635=AN$586,"",COUNTIF($E$4:$E$582,$A635&amp;" ضد "&amp;AN$586)+COUNTIF($E$4:$E$582,AN$586&amp;" ضد "&amp;$A635))</f>
        <v>0</v>
      </c>
      <c r="AO635" s="4">
        <f>IF($A635=AO$586,"",COUNTIF($E$4:$E$582,$A635&amp;" ضد "&amp;AO$586)+COUNTIF($E$4:$E$582,AO$586&amp;" ضد "&amp;$A635))</f>
        <v>0</v>
      </c>
      <c r="AP635" s="4">
        <f>IF($A635=AP$586,"",COUNTIF($E$4:$E$582,$A635&amp;" ضد "&amp;AP$586)+COUNTIF($E$4:$E$582,AP$586&amp;" ضد "&amp;$A635))</f>
        <v>0</v>
      </c>
      <c r="AQ635" s="4">
        <f>IF($A635=AQ$586,"",COUNTIF($E$4:$E$582,$A635&amp;" ضد "&amp;AQ$586)+COUNTIF($E$4:$E$582,AQ$586&amp;" ضد "&amp;$A635))</f>
        <v>0</v>
      </c>
      <c r="AR635" s="4">
        <f>IF($A635=AR$586,"",COUNTIF($E$4:$E$582,$A635&amp;" ضد "&amp;AR$586)+COUNTIF($E$4:$E$582,AR$586&amp;" ضد "&amp;$A635))</f>
        <v>0</v>
      </c>
      <c r="AS635" s="4">
        <f>IF($A635=AS$586,"",COUNTIF($E$4:$E$582,$A635&amp;" ضد "&amp;AS$586)+COUNTIF($E$4:$E$582,AS$586&amp;" ضد "&amp;$A635))</f>
        <v>0</v>
      </c>
      <c r="AT635" s="4">
        <f>IF($A635=AT$586,"",COUNTIF($E$4:$E$582,$A635&amp;" ضد "&amp;AT$586)+COUNTIF($E$4:$E$582,AT$586&amp;" ضد "&amp;$A635))</f>
        <v>0</v>
      </c>
      <c r="AU635" s="4">
        <f>IF($A635=AU$586,"",COUNTIF($E$4:$E$582,$A635&amp;" ضد "&amp;AU$586)+COUNTIF($E$4:$E$582,AU$586&amp;" ضد "&amp;$A635))</f>
        <v>0</v>
      </c>
      <c r="AV635" s="4">
        <f>IF($A635=AV$586,"",COUNTIF($E$4:$E$582,$A635&amp;" ضد "&amp;AV$586)+COUNTIF($E$4:$E$582,AV$586&amp;" ضد "&amp;$A635))</f>
        <v>0</v>
      </c>
      <c r="AW635" s="4">
        <f>IF($A635=AW$586,"",COUNTIF($E$4:$E$582,$A635&amp;" ضد "&amp;AW$586)+COUNTIF($E$4:$E$582,AW$586&amp;" ضد "&amp;$A635))</f>
        <v>0</v>
      </c>
      <c r="AX635" s="4" t="str">
        <f>IF($A635=AX$586,"",COUNTIF($E$4:$E$582,$A635&amp;" ضد "&amp;AX$586)+COUNTIF($E$4:$E$582,AX$586&amp;" ضد "&amp;$A635))</f>
        <v/>
      </c>
      <c r="AY635" s="4">
        <f>IF($A635=AY$586,"",COUNTIF($E$4:$E$582,$A635&amp;" ضد "&amp;AY$586)+COUNTIF($E$4:$E$582,AY$586&amp;" ضد "&amp;$A635))</f>
        <v>1</v>
      </c>
      <c r="AZ635" s="4">
        <f>IF($A635=AZ$586,"",COUNTIF($E$4:$E$582,$A635&amp;" ضد "&amp;AZ$586)+COUNTIF($E$4:$E$582,AZ$586&amp;" ضد "&amp;$A635))</f>
        <v>1</v>
      </c>
      <c r="BA635" s="4">
        <f>IF($A635=BA$586,"",COUNTIF($E$4:$E$582,$A635&amp;" ضد "&amp;BA$586)+COUNTIF($E$4:$E$582,BA$586&amp;" ضد "&amp;$A635))</f>
        <v>1</v>
      </c>
      <c r="BB635" s="4">
        <f>IF($A635=BB$586,"",COUNTIF($E$4:$E$582,$A635&amp;" ضد "&amp;BB$586)+COUNTIF($E$4:$E$582,BB$586&amp;" ضد "&amp;$A635))</f>
        <v>1</v>
      </c>
      <c r="BC635" s="4">
        <f>IF($A635=BC$586,"",COUNTIF($E$4:$E$582,$A635&amp;" ضد "&amp;BC$586)+COUNTIF($E$4:$E$582,BC$586&amp;" ضد "&amp;$A635))</f>
        <v>1</v>
      </c>
      <c r="BD635" s="4">
        <f>IF($A635=BD$586,"",COUNTIF($E$4:$E$582,$A635&amp;" ضد "&amp;BD$586)+COUNTIF($E$4:$E$582,BD$586&amp;" ضد "&amp;$A635))</f>
        <v>1</v>
      </c>
      <c r="BE635" s="4">
        <f>IF($A635=BE$586,"",COUNTIF($E$4:$E$582,$A635&amp;" ضد "&amp;BE$586)+COUNTIF($E$4:$E$582,BE$586&amp;" ضد "&amp;$A635))</f>
        <v>1</v>
      </c>
      <c r="BF635" s="4">
        <f>IF($A635=BF$586,"",COUNTIF($E$4:$E$582,$A635&amp;" ضد "&amp;BF$586)+COUNTIF($E$4:$E$582,BF$586&amp;" ضد "&amp;$A635))</f>
        <v>1</v>
      </c>
      <c r="BG635" s="4">
        <f>IF($A635=BG$586,"",COUNTIF($E$4:$E$582,$A635&amp;" ضد "&amp;BG$586)+COUNTIF($E$4:$E$582,BG$586&amp;" ضد "&amp;$A635))</f>
        <v>1</v>
      </c>
      <c r="BH635" s="4">
        <f>IF($A635=BH$586,"",COUNTIF($E$4:$E$582,$A635&amp;" ضد "&amp;BH$586)+COUNTIF($E$4:$E$582,BH$586&amp;" ضد "&amp;$A635))</f>
        <v>1</v>
      </c>
      <c r="BI635" s="4">
        <f>IF($A635=BI$586,"",COUNTIF($E$4:$E$582,$A635&amp;" ضد "&amp;BI$586)+COUNTIF($E$4:$E$582,BI$586&amp;" ضد "&amp;$A635))</f>
        <v>1</v>
      </c>
      <c r="BJ635" s="4">
        <f>IF($A635=BJ$586,"",COUNTIF($E$4:$E$582,$A635&amp;" ضد "&amp;BJ$586)+COUNTIF($E$4:$E$582,BJ$586&amp;" ضد "&amp;$A635))</f>
        <v>1</v>
      </c>
      <c r="BK635" s="4">
        <f>IF($A635=BK$586,"",COUNTIF($E$4:$E$582,$A635&amp;" ضد "&amp;BK$586)+COUNTIF($E$4:$E$582,BK$586&amp;" ضد "&amp;$A635))</f>
        <v>2</v>
      </c>
      <c r="BL635" s="4">
        <f>IF($A635=BL$586,"",COUNTIF($E$4:$E$582,$A635&amp;" ضد "&amp;BL$586)+COUNTIF($E$4:$E$582,BL$586&amp;" ضد "&amp;$A635))</f>
        <v>2</v>
      </c>
      <c r="BM635" s="4">
        <f>IF($A635=BM$586,"",COUNTIF($E$4:$E$582,$A635&amp;" ضد "&amp;BM$586)+COUNTIF($E$4:$E$582,BM$586&amp;" ضد "&amp;$A635))</f>
        <v>2</v>
      </c>
    </row>
    <row r="636" spans="1:65" ht="14.5">
      <c r="A636" s="14">
        <v>50</v>
      </c>
      <c r="B636" s="4">
        <f>IF($A636=B$586,"",COUNTIF($E$4:$E$582,$A636&amp;" ضد "&amp;B$586)+COUNTIF($E$4:$E$582,B$586&amp;" ضد "&amp;$A636))</f>
        <v>0</v>
      </c>
      <c r="C636" s="4">
        <f>IF($A636=C$586,"",COUNTIF($E$4:$E$582,$A636&amp;" ضد "&amp;C$586)+COUNTIF($E$4:$E$582,C$586&amp;" ضد "&amp;$A636))</f>
        <v>0</v>
      </c>
      <c r="D636" s="4">
        <f>IF($A636=D$586,"",COUNTIF($E$4:$E$582,$A636&amp;" ضد "&amp;D$586)+COUNTIF($E$4:$E$582,D$586&amp;" ضد "&amp;$A636))</f>
        <v>0</v>
      </c>
      <c r="E636" s="4">
        <f>IF($A636=E$586,"",COUNTIF($E$4:$E$582,$A636&amp;" ضد "&amp;E$586)+COUNTIF($E$4:$E$582,E$586&amp;" ضد "&amp;$A636))</f>
        <v>0</v>
      </c>
      <c r="F636" s="4">
        <f>IF($A636=F$586,"",COUNTIF($E$4:$E$582,$A636&amp;" ضد "&amp;F$586)+COUNTIF($E$4:$E$582,F$586&amp;" ضد "&amp;$A636))</f>
        <v>0</v>
      </c>
      <c r="G636" s="4">
        <f>IF($A636=G$586,"",COUNTIF($E$4:$E$582,$A636&amp;" ضد "&amp;G$586)+COUNTIF($E$4:$E$582,G$586&amp;" ضد "&amp;$A636))</f>
        <v>0</v>
      </c>
      <c r="H636" s="4">
        <f>IF($A636=H$586,"",COUNTIF($E$4:$E$582,$A636&amp;" ضد "&amp;H$586)+COUNTIF($E$4:$E$582,H$586&amp;" ضد "&amp;$A636))</f>
        <v>0</v>
      </c>
      <c r="I636" s="4">
        <f>IF($A636=I$586,"",COUNTIF($E$4:$E$582,$A636&amp;" ضد "&amp;I$586)+COUNTIF($E$4:$E$582,I$586&amp;" ضد "&amp;$A636))</f>
        <v>0</v>
      </c>
      <c r="J636" s="4">
        <f>IF($A636=J$586,"",COUNTIF($E$4:$E$582,$A636&amp;" ضد "&amp;J$586)+COUNTIF($E$4:$E$582,J$586&amp;" ضد "&amp;$A636))</f>
        <v>0</v>
      </c>
      <c r="K636" s="4">
        <f>IF($A636=K$586,"",COUNTIF($E$4:$E$582,$A636&amp;" ضد "&amp;K$586)+COUNTIF($E$4:$E$582,K$586&amp;" ضد "&amp;$A636))</f>
        <v>0</v>
      </c>
      <c r="L636" s="4">
        <f>IF($A636=L$586,"",COUNTIF($E$4:$E$582,$A636&amp;" ضد "&amp;L$586)+COUNTIF($E$4:$E$582,L$586&amp;" ضد "&amp;$A636))</f>
        <v>0</v>
      </c>
      <c r="M636" s="4">
        <f>IF($A636=M$586,"",COUNTIF($E$4:$E$582,$A636&amp;" ضد "&amp;M$586)+COUNTIF($E$4:$E$582,M$586&amp;" ضد "&amp;$A636))</f>
        <v>0</v>
      </c>
      <c r="N636" s="4">
        <f>IF($A636=N$586,"",COUNTIF($E$4:$E$582,$A636&amp;" ضد "&amp;N$586)+COUNTIF($E$4:$E$582,N$586&amp;" ضد "&amp;$A636))</f>
        <v>0</v>
      </c>
      <c r="O636" s="4">
        <f>IF($A636=O$586,"",COUNTIF($E$4:$E$582,$A636&amp;" ضد "&amp;O$586)+COUNTIF($E$4:$E$582,O$586&amp;" ضد "&amp;$A636))</f>
        <v>0</v>
      </c>
      <c r="P636" s="4">
        <f>IF($A636=P$586,"",COUNTIF($E$4:$E$582,$A636&amp;" ضد "&amp;P$586)+COUNTIF($E$4:$E$582,P$586&amp;" ضد "&amp;$A636))</f>
        <v>0</v>
      </c>
      <c r="Q636" s="4">
        <f>IF($A636=Q$586,"",COUNTIF($E$4:$E$582,$A636&amp;" ضد "&amp;Q$586)+COUNTIF($E$4:$E$582,Q$586&amp;" ضد "&amp;$A636))</f>
        <v>0</v>
      </c>
      <c r="R636" s="4">
        <f>IF($A636=R$586,"",COUNTIF($E$4:$E$582,$A636&amp;" ضد "&amp;R$586)+COUNTIF($E$4:$E$582,R$586&amp;" ضد "&amp;$A636))</f>
        <v>0</v>
      </c>
      <c r="S636" s="4">
        <f>IF($A636=S$586,"",COUNTIF($E$4:$E$582,$A636&amp;" ضد "&amp;S$586)+COUNTIF($E$4:$E$582,S$586&amp;" ضد "&amp;$A636))</f>
        <v>0</v>
      </c>
      <c r="T636" s="4">
        <f>IF($A636=T$586,"",COUNTIF($E$4:$E$582,$A636&amp;" ضد "&amp;T$586)+COUNTIF($E$4:$E$582,T$586&amp;" ضد "&amp;$A636))</f>
        <v>0</v>
      </c>
      <c r="U636" s="4">
        <f>IF($A636=U$586,"",COUNTIF($E$4:$E$582,$A636&amp;" ضد "&amp;U$586)+COUNTIF($E$4:$E$582,U$586&amp;" ضد "&amp;$A636))</f>
        <v>0</v>
      </c>
      <c r="V636" s="4">
        <f>IF($A636=V$586,"",COUNTIF($E$4:$E$582,$A636&amp;" ضد "&amp;V$586)+COUNTIF($E$4:$E$582,V$586&amp;" ضد "&amp;$A636))</f>
        <v>0</v>
      </c>
      <c r="W636" s="4">
        <f>IF($A636=W$586,"",COUNTIF($E$4:$E$582,$A636&amp;" ضد "&amp;W$586)+COUNTIF($E$4:$E$582,W$586&amp;" ضد "&amp;$A636))</f>
        <v>0</v>
      </c>
      <c r="X636" s="4">
        <f>IF($A636=X$586,"",COUNTIF($E$4:$E$582,$A636&amp;" ضد "&amp;X$586)+COUNTIF($E$4:$E$582,X$586&amp;" ضد "&amp;$A636))</f>
        <v>0</v>
      </c>
      <c r="Y636" s="4">
        <f>IF($A636=Y$586,"",COUNTIF($E$4:$E$582,$A636&amp;" ضد "&amp;Y$586)+COUNTIF($E$4:$E$582,Y$586&amp;" ضد "&amp;$A636))</f>
        <v>0</v>
      </c>
      <c r="Z636" s="4">
        <f>IF($A636=Z$586,"",COUNTIF($E$4:$E$582,$A636&amp;" ضد "&amp;Z$586)+COUNTIF($E$4:$E$582,Z$586&amp;" ضد "&amp;$A636))</f>
        <v>0</v>
      </c>
      <c r="AA636" s="4">
        <f>IF($A636=AA$586,"",COUNTIF($E$4:$E$582,$A636&amp;" ضد "&amp;AA$586)+COUNTIF($E$4:$E$582,AA$586&amp;" ضد "&amp;$A636))</f>
        <v>0</v>
      </c>
      <c r="AB636" s="4">
        <f>IF($A636=AB$586,"",COUNTIF($E$4:$E$582,$A636&amp;" ضد "&amp;AB$586)+COUNTIF($E$4:$E$582,AB$586&amp;" ضد "&amp;$A636))</f>
        <v>0</v>
      </c>
      <c r="AC636" s="4">
        <f>IF($A636=AC$586,"",COUNTIF($E$4:$E$582,$A636&amp;" ضد "&amp;AC$586)+COUNTIF($E$4:$E$582,AC$586&amp;" ضد "&amp;$A636))</f>
        <v>0</v>
      </c>
      <c r="AD636" s="4">
        <f>IF($A636=AD$586,"",COUNTIF($E$4:$E$582,$A636&amp;" ضد "&amp;AD$586)+COUNTIF($E$4:$E$582,AD$586&amp;" ضد "&amp;$A636))</f>
        <v>0</v>
      </c>
      <c r="AE636" s="4">
        <f>IF($A636=AE$586,"",COUNTIF($E$4:$E$582,$A636&amp;" ضد "&amp;AE$586)+COUNTIF($E$4:$E$582,AE$586&amp;" ضد "&amp;$A636))</f>
        <v>0</v>
      </c>
      <c r="AF636" s="4">
        <f>IF($A636=AF$586,"",COUNTIF($E$4:$E$582,$A636&amp;" ضد "&amp;AF$586)+COUNTIF($E$4:$E$582,AF$586&amp;" ضد "&amp;$A636))</f>
        <v>0</v>
      </c>
      <c r="AG636" s="4">
        <f>IF($A636=AG$586,"",COUNTIF($E$4:$E$582,$A636&amp;" ضد "&amp;AG$586)+COUNTIF($E$4:$E$582,AG$586&amp;" ضد "&amp;$A636))</f>
        <v>0</v>
      </c>
      <c r="AH636" s="4">
        <f>IF($A636=AH$586,"",COUNTIF($E$4:$E$582,$A636&amp;" ضد "&amp;AH$586)+COUNTIF($E$4:$E$582,AH$586&amp;" ضد "&amp;$A636))</f>
        <v>0</v>
      </c>
      <c r="AI636" s="4">
        <f>IF($A636=AI$586,"",COUNTIF($E$4:$E$582,$A636&amp;" ضد "&amp;AI$586)+COUNTIF($E$4:$E$582,AI$586&amp;" ضد "&amp;$A636))</f>
        <v>0</v>
      </c>
      <c r="AJ636" s="4">
        <f>IF($A636=AJ$586,"",COUNTIF($E$4:$E$582,$A636&amp;" ضد "&amp;AJ$586)+COUNTIF($E$4:$E$582,AJ$586&amp;" ضد "&amp;$A636))</f>
        <v>0</v>
      </c>
      <c r="AK636" s="4">
        <f>IF($A636=AK$586,"",COUNTIF($E$4:$E$582,$A636&amp;" ضد "&amp;AK$586)+COUNTIF($E$4:$E$582,AK$586&amp;" ضد "&amp;$A636))</f>
        <v>0</v>
      </c>
      <c r="AL636" s="4">
        <f>IF($A636=AL$586,"",COUNTIF($E$4:$E$582,$A636&amp;" ضد "&amp;AL$586)+COUNTIF($E$4:$E$582,AL$586&amp;" ضد "&amp;$A636))</f>
        <v>0</v>
      </c>
      <c r="AM636" s="4">
        <f>IF($A636=AM$586,"",COUNTIF($E$4:$E$582,$A636&amp;" ضد "&amp;AM$586)+COUNTIF($E$4:$E$582,AM$586&amp;" ضد "&amp;$A636))</f>
        <v>0</v>
      </c>
      <c r="AN636" s="4">
        <f>IF($A636=AN$586,"",COUNTIF($E$4:$E$582,$A636&amp;" ضد "&amp;AN$586)+COUNTIF($E$4:$E$582,AN$586&amp;" ضد "&amp;$A636))</f>
        <v>0</v>
      </c>
      <c r="AO636" s="4">
        <f>IF($A636=AO$586,"",COUNTIF($E$4:$E$582,$A636&amp;" ضد "&amp;AO$586)+COUNTIF($E$4:$E$582,AO$586&amp;" ضد "&amp;$A636))</f>
        <v>0</v>
      </c>
      <c r="AP636" s="4">
        <f>IF($A636=AP$586,"",COUNTIF($E$4:$E$582,$A636&amp;" ضد "&amp;AP$586)+COUNTIF($E$4:$E$582,AP$586&amp;" ضد "&amp;$A636))</f>
        <v>0</v>
      </c>
      <c r="AQ636" s="4">
        <f>IF($A636=AQ$586,"",COUNTIF($E$4:$E$582,$A636&amp;" ضد "&amp;AQ$586)+COUNTIF($E$4:$E$582,AQ$586&amp;" ضد "&amp;$A636))</f>
        <v>0</v>
      </c>
      <c r="AR636" s="4">
        <f>IF($A636=AR$586,"",COUNTIF($E$4:$E$582,$A636&amp;" ضد "&amp;AR$586)+COUNTIF($E$4:$E$582,AR$586&amp;" ضد "&amp;$A636))</f>
        <v>0</v>
      </c>
      <c r="AS636" s="4">
        <f>IF($A636=AS$586,"",COUNTIF($E$4:$E$582,$A636&amp;" ضد "&amp;AS$586)+COUNTIF($E$4:$E$582,AS$586&amp;" ضد "&amp;$A636))</f>
        <v>0</v>
      </c>
      <c r="AT636" s="4">
        <f>IF($A636=AT$586,"",COUNTIF($E$4:$E$582,$A636&amp;" ضد "&amp;AT$586)+COUNTIF($E$4:$E$582,AT$586&amp;" ضد "&amp;$A636))</f>
        <v>0</v>
      </c>
      <c r="AU636" s="4">
        <f>IF($A636=AU$586,"",COUNTIF($E$4:$E$582,$A636&amp;" ضد "&amp;AU$586)+COUNTIF($E$4:$E$582,AU$586&amp;" ضد "&amp;$A636))</f>
        <v>0</v>
      </c>
      <c r="AV636" s="4">
        <f>IF($A636=AV$586,"",COUNTIF($E$4:$E$582,$A636&amp;" ضد "&amp;AV$586)+COUNTIF($E$4:$E$582,AV$586&amp;" ضد "&amp;$A636))</f>
        <v>0</v>
      </c>
      <c r="AW636" s="4">
        <f>IF($A636=AW$586,"",COUNTIF($E$4:$E$582,$A636&amp;" ضد "&amp;AW$586)+COUNTIF($E$4:$E$582,AW$586&amp;" ضد "&amp;$A636))</f>
        <v>0</v>
      </c>
      <c r="AX636" s="4">
        <f>IF($A636=AX$586,"",COUNTIF($E$4:$E$582,$A636&amp;" ضد "&amp;AX$586)+COUNTIF($E$4:$E$582,AX$586&amp;" ضد "&amp;$A636))</f>
        <v>1</v>
      </c>
      <c r="AY636" s="4" t="str">
        <f>IF($A636=AY$586,"",COUNTIF($E$4:$E$582,$A636&amp;" ضد "&amp;AY$586)+COUNTIF($E$4:$E$582,AY$586&amp;" ضد "&amp;$A636))</f>
        <v/>
      </c>
      <c r="AZ636" s="4">
        <f>IF($A636=AZ$586,"",COUNTIF($E$4:$E$582,$A636&amp;" ضد "&amp;AZ$586)+COUNTIF($E$4:$E$582,AZ$586&amp;" ضد "&amp;$A636))</f>
        <v>1</v>
      </c>
      <c r="BA636" s="4">
        <f>IF($A636=BA$586,"",COUNTIF($E$4:$E$582,$A636&amp;" ضد "&amp;BA$586)+COUNTIF($E$4:$E$582,BA$586&amp;" ضد "&amp;$A636))</f>
        <v>1</v>
      </c>
      <c r="BB636" s="4">
        <f>IF($A636=BB$586,"",COUNTIF($E$4:$E$582,$A636&amp;" ضد "&amp;BB$586)+COUNTIF($E$4:$E$582,BB$586&amp;" ضد "&amp;$A636))</f>
        <v>1</v>
      </c>
      <c r="BC636" s="4">
        <f>IF($A636=BC$586,"",COUNTIF($E$4:$E$582,$A636&amp;" ضد "&amp;BC$586)+COUNTIF($E$4:$E$582,BC$586&amp;" ضد "&amp;$A636))</f>
        <v>1</v>
      </c>
      <c r="BD636" s="4">
        <f>IF($A636=BD$586,"",COUNTIF($E$4:$E$582,$A636&amp;" ضد "&amp;BD$586)+COUNTIF($E$4:$E$582,BD$586&amp;" ضد "&amp;$A636))</f>
        <v>1</v>
      </c>
      <c r="BE636" s="4">
        <f>IF($A636=BE$586,"",COUNTIF($E$4:$E$582,$A636&amp;" ضد "&amp;BE$586)+COUNTIF($E$4:$E$582,BE$586&amp;" ضد "&amp;$A636))</f>
        <v>1</v>
      </c>
      <c r="BF636" s="4">
        <f>IF($A636=BF$586,"",COUNTIF($E$4:$E$582,$A636&amp;" ضد "&amp;BF$586)+COUNTIF($E$4:$E$582,BF$586&amp;" ضد "&amp;$A636))</f>
        <v>1</v>
      </c>
      <c r="BG636" s="4">
        <f>IF($A636=BG$586,"",COUNTIF($E$4:$E$582,$A636&amp;" ضد "&amp;BG$586)+COUNTIF($E$4:$E$582,BG$586&amp;" ضد "&amp;$A636))</f>
        <v>1</v>
      </c>
      <c r="BH636" s="4">
        <f>IF($A636=BH$586,"",COUNTIF($E$4:$E$582,$A636&amp;" ضد "&amp;BH$586)+COUNTIF($E$4:$E$582,BH$586&amp;" ضد "&amp;$A636))</f>
        <v>2</v>
      </c>
      <c r="BI636" s="4">
        <f>IF($A636=BI$586,"",COUNTIF($E$4:$E$582,$A636&amp;" ضد "&amp;BI$586)+COUNTIF($E$4:$E$582,BI$586&amp;" ضد "&amp;$A636))</f>
        <v>1</v>
      </c>
      <c r="BJ636" s="4">
        <f>IF($A636=BJ$586,"",COUNTIF($E$4:$E$582,$A636&amp;" ضد "&amp;BJ$586)+COUNTIF($E$4:$E$582,BJ$586&amp;" ضد "&amp;$A636))</f>
        <v>2</v>
      </c>
      <c r="BK636" s="4">
        <f>IF($A636=BK$586,"",COUNTIF($E$4:$E$582,$A636&amp;" ضد "&amp;BK$586)+COUNTIF($E$4:$E$582,BK$586&amp;" ضد "&amp;$A636))</f>
        <v>1</v>
      </c>
      <c r="BL636" s="4">
        <f>IF($A636=BL$586,"",COUNTIF($E$4:$E$582,$A636&amp;" ضد "&amp;BL$586)+COUNTIF($E$4:$E$582,BL$586&amp;" ضد "&amp;$A636))</f>
        <v>2</v>
      </c>
      <c r="BM636" s="4">
        <f>IF($A636=BM$586,"",COUNTIF($E$4:$E$582,$A636&amp;" ضد "&amp;BM$586)+COUNTIF($E$4:$E$582,BM$586&amp;" ضد "&amp;$A636))</f>
        <v>1</v>
      </c>
    </row>
    <row r="637" spans="1:65" ht="14.5">
      <c r="A637" s="14">
        <v>51</v>
      </c>
      <c r="B637" s="4">
        <f>IF($A637=B$586,"",COUNTIF($E$4:$E$582,$A637&amp;" ضد "&amp;B$586)+COUNTIF($E$4:$E$582,B$586&amp;" ضد "&amp;$A637))</f>
        <v>0</v>
      </c>
      <c r="C637" s="4">
        <f>IF($A637=C$586,"",COUNTIF($E$4:$E$582,$A637&amp;" ضد "&amp;C$586)+COUNTIF($E$4:$E$582,C$586&amp;" ضد "&amp;$A637))</f>
        <v>0</v>
      </c>
      <c r="D637" s="4">
        <f>IF($A637=D$586,"",COUNTIF($E$4:$E$582,$A637&amp;" ضد "&amp;D$586)+COUNTIF($E$4:$E$582,D$586&amp;" ضد "&amp;$A637))</f>
        <v>0</v>
      </c>
      <c r="E637" s="4">
        <f>IF($A637=E$586,"",COUNTIF($E$4:$E$582,$A637&amp;" ضد "&amp;E$586)+COUNTIF($E$4:$E$582,E$586&amp;" ضد "&amp;$A637))</f>
        <v>0</v>
      </c>
      <c r="F637" s="4">
        <f>IF($A637=F$586,"",COUNTIF($E$4:$E$582,$A637&amp;" ضد "&amp;F$586)+COUNTIF($E$4:$E$582,F$586&amp;" ضد "&amp;$A637))</f>
        <v>0</v>
      </c>
      <c r="G637" s="4">
        <f>IF($A637=G$586,"",COUNTIF($E$4:$E$582,$A637&amp;" ضد "&amp;G$586)+COUNTIF($E$4:$E$582,G$586&amp;" ضد "&amp;$A637))</f>
        <v>0</v>
      </c>
      <c r="H637" s="4">
        <f>IF($A637=H$586,"",COUNTIF($E$4:$E$582,$A637&amp;" ضد "&amp;H$586)+COUNTIF($E$4:$E$582,H$586&amp;" ضد "&amp;$A637))</f>
        <v>0</v>
      </c>
      <c r="I637" s="4">
        <f>IF($A637=I$586,"",COUNTIF($E$4:$E$582,$A637&amp;" ضد "&amp;I$586)+COUNTIF($E$4:$E$582,I$586&amp;" ضد "&amp;$A637))</f>
        <v>0</v>
      </c>
      <c r="J637" s="4">
        <f>IF($A637=J$586,"",COUNTIF($E$4:$E$582,$A637&amp;" ضد "&amp;J$586)+COUNTIF($E$4:$E$582,J$586&amp;" ضد "&amp;$A637))</f>
        <v>0</v>
      </c>
      <c r="K637" s="4">
        <f>IF($A637=K$586,"",COUNTIF($E$4:$E$582,$A637&amp;" ضد "&amp;K$586)+COUNTIF($E$4:$E$582,K$586&amp;" ضد "&amp;$A637))</f>
        <v>0</v>
      </c>
      <c r="L637" s="4">
        <f>IF($A637=L$586,"",COUNTIF($E$4:$E$582,$A637&amp;" ضد "&amp;L$586)+COUNTIF($E$4:$E$582,L$586&amp;" ضد "&amp;$A637))</f>
        <v>0</v>
      </c>
      <c r="M637" s="4">
        <f>IF($A637=M$586,"",COUNTIF($E$4:$E$582,$A637&amp;" ضد "&amp;M$586)+COUNTIF($E$4:$E$582,M$586&amp;" ضد "&amp;$A637))</f>
        <v>0</v>
      </c>
      <c r="N637" s="4">
        <f>IF($A637=N$586,"",COUNTIF($E$4:$E$582,$A637&amp;" ضد "&amp;N$586)+COUNTIF($E$4:$E$582,N$586&amp;" ضد "&amp;$A637))</f>
        <v>0</v>
      </c>
      <c r="O637" s="4">
        <f>IF($A637=O$586,"",COUNTIF($E$4:$E$582,$A637&amp;" ضد "&amp;O$586)+COUNTIF($E$4:$E$582,O$586&amp;" ضد "&amp;$A637))</f>
        <v>0</v>
      </c>
      <c r="P637" s="4">
        <f>IF($A637=P$586,"",COUNTIF($E$4:$E$582,$A637&amp;" ضد "&amp;P$586)+COUNTIF($E$4:$E$582,P$586&amp;" ضد "&amp;$A637))</f>
        <v>0</v>
      </c>
      <c r="Q637" s="4">
        <f>IF($A637=Q$586,"",COUNTIF($E$4:$E$582,$A637&amp;" ضد "&amp;Q$586)+COUNTIF($E$4:$E$582,Q$586&amp;" ضد "&amp;$A637))</f>
        <v>0</v>
      </c>
      <c r="R637" s="4">
        <f>IF($A637=R$586,"",COUNTIF($E$4:$E$582,$A637&amp;" ضد "&amp;R$586)+COUNTIF($E$4:$E$582,R$586&amp;" ضد "&amp;$A637))</f>
        <v>0</v>
      </c>
      <c r="S637" s="4">
        <f>IF($A637=S$586,"",COUNTIF($E$4:$E$582,$A637&amp;" ضد "&amp;S$586)+COUNTIF($E$4:$E$582,S$586&amp;" ضد "&amp;$A637))</f>
        <v>0</v>
      </c>
      <c r="T637" s="4">
        <f>IF($A637=T$586,"",COUNTIF($E$4:$E$582,$A637&amp;" ضد "&amp;T$586)+COUNTIF($E$4:$E$582,T$586&amp;" ضد "&amp;$A637))</f>
        <v>0</v>
      </c>
      <c r="U637" s="4">
        <f>IF($A637=U$586,"",COUNTIF($E$4:$E$582,$A637&amp;" ضد "&amp;U$586)+COUNTIF($E$4:$E$582,U$586&amp;" ضد "&amp;$A637))</f>
        <v>0</v>
      </c>
      <c r="V637" s="4">
        <f>IF($A637=V$586,"",COUNTIF($E$4:$E$582,$A637&amp;" ضد "&amp;V$586)+COUNTIF($E$4:$E$582,V$586&amp;" ضد "&amp;$A637))</f>
        <v>0</v>
      </c>
      <c r="W637" s="4">
        <f>IF($A637=W$586,"",COUNTIF($E$4:$E$582,$A637&amp;" ضد "&amp;W$586)+COUNTIF($E$4:$E$582,W$586&amp;" ضد "&amp;$A637))</f>
        <v>0</v>
      </c>
      <c r="X637" s="4">
        <f>IF($A637=X$586,"",COUNTIF($E$4:$E$582,$A637&amp;" ضد "&amp;X$586)+COUNTIF($E$4:$E$582,X$586&amp;" ضد "&amp;$A637))</f>
        <v>0</v>
      </c>
      <c r="Y637" s="4">
        <f>IF($A637=Y$586,"",COUNTIF($E$4:$E$582,$A637&amp;" ضد "&amp;Y$586)+COUNTIF($E$4:$E$582,Y$586&amp;" ضد "&amp;$A637))</f>
        <v>0</v>
      </c>
      <c r="Z637" s="4">
        <f>IF($A637=Z$586,"",COUNTIF($E$4:$E$582,$A637&amp;" ضد "&amp;Z$586)+COUNTIF($E$4:$E$582,Z$586&amp;" ضد "&amp;$A637))</f>
        <v>0</v>
      </c>
      <c r="AA637" s="4">
        <f>IF($A637=AA$586,"",COUNTIF($E$4:$E$582,$A637&amp;" ضد "&amp;AA$586)+COUNTIF($E$4:$E$582,AA$586&amp;" ضد "&amp;$A637))</f>
        <v>0</v>
      </c>
      <c r="AB637" s="4">
        <f>IF($A637=AB$586,"",COUNTIF($E$4:$E$582,$A637&amp;" ضد "&amp;AB$586)+COUNTIF($E$4:$E$582,AB$586&amp;" ضد "&amp;$A637))</f>
        <v>0</v>
      </c>
      <c r="AC637" s="4">
        <f>IF($A637=AC$586,"",COUNTIF($E$4:$E$582,$A637&amp;" ضد "&amp;AC$586)+COUNTIF($E$4:$E$582,AC$586&amp;" ضد "&amp;$A637))</f>
        <v>0</v>
      </c>
      <c r="AD637" s="4">
        <f>IF($A637=AD$586,"",COUNTIF($E$4:$E$582,$A637&amp;" ضد "&amp;AD$586)+COUNTIF($E$4:$E$582,AD$586&amp;" ضد "&amp;$A637))</f>
        <v>0</v>
      </c>
      <c r="AE637" s="4">
        <f>IF($A637=AE$586,"",COUNTIF($E$4:$E$582,$A637&amp;" ضد "&amp;AE$586)+COUNTIF($E$4:$E$582,AE$586&amp;" ضد "&amp;$A637))</f>
        <v>0</v>
      </c>
      <c r="AF637" s="4">
        <f>IF($A637=AF$586,"",COUNTIF($E$4:$E$582,$A637&amp;" ضد "&amp;AF$586)+COUNTIF($E$4:$E$582,AF$586&amp;" ضد "&amp;$A637))</f>
        <v>0</v>
      </c>
      <c r="AG637" s="4">
        <f>IF($A637=AG$586,"",COUNTIF($E$4:$E$582,$A637&amp;" ضد "&amp;AG$586)+COUNTIF($E$4:$E$582,AG$586&amp;" ضد "&amp;$A637))</f>
        <v>0</v>
      </c>
      <c r="AH637" s="4">
        <f>IF($A637=AH$586,"",COUNTIF($E$4:$E$582,$A637&amp;" ضد "&amp;AH$586)+COUNTIF($E$4:$E$582,AH$586&amp;" ضد "&amp;$A637))</f>
        <v>0</v>
      </c>
      <c r="AI637" s="4">
        <f>IF($A637=AI$586,"",COUNTIF($E$4:$E$582,$A637&amp;" ضد "&amp;AI$586)+COUNTIF($E$4:$E$582,AI$586&amp;" ضد "&amp;$A637))</f>
        <v>0</v>
      </c>
      <c r="AJ637" s="4">
        <f>IF($A637=AJ$586,"",COUNTIF($E$4:$E$582,$A637&amp;" ضد "&amp;AJ$586)+COUNTIF($E$4:$E$582,AJ$586&amp;" ضد "&amp;$A637))</f>
        <v>0</v>
      </c>
      <c r="AK637" s="4">
        <f>IF($A637=AK$586,"",COUNTIF($E$4:$E$582,$A637&amp;" ضد "&amp;AK$586)+COUNTIF($E$4:$E$582,AK$586&amp;" ضد "&amp;$A637))</f>
        <v>0</v>
      </c>
      <c r="AL637" s="4">
        <f>IF($A637=AL$586,"",COUNTIF($E$4:$E$582,$A637&amp;" ضد "&amp;AL$586)+COUNTIF($E$4:$E$582,AL$586&amp;" ضد "&amp;$A637))</f>
        <v>0</v>
      </c>
      <c r="AM637" s="4">
        <f>IF($A637=AM$586,"",COUNTIF($E$4:$E$582,$A637&amp;" ضد "&amp;AM$586)+COUNTIF($E$4:$E$582,AM$586&amp;" ضد "&amp;$A637))</f>
        <v>0</v>
      </c>
      <c r="AN637" s="4">
        <f>IF($A637=AN$586,"",COUNTIF($E$4:$E$582,$A637&amp;" ضد "&amp;AN$586)+COUNTIF($E$4:$E$582,AN$586&amp;" ضد "&amp;$A637))</f>
        <v>0</v>
      </c>
      <c r="AO637" s="4">
        <f>IF($A637=AO$586,"",COUNTIF($E$4:$E$582,$A637&amp;" ضد "&amp;AO$586)+COUNTIF($E$4:$E$582,AO$586&amp;" ضد "&amp;$A637))</f>
        <v>0</v>
      </c>
      <c r="AP637" s="4">
        <f>IF($A637=AP$586,"",COUNTIF($E$4:$E$582,$A637&amp;" ضد "&amp;AP$586)+COUNTIF($E$4:$E$582,AP$586&amp;" ضد "&amp;$A637))</f>
        <v>0</v>
      </c>
      <c r="AQ637" s="4">
        <f>IF($A637=AQ$586,"",COUNTIF($E$4:$E$582,$A637&amp;" ضد "&amp;AQ$586)+COUNTIF($E$4:$E$582,AQ$586&amp;" ضد "&amp;$A637))</f>
        <v>0</v>
      </c>
      <c r="AR637" s="4">
        <f>IF($A637=AR$586,"",COUNTIF($E$4:$E$582,$A637&amp;" ضد "&amp;AR$586)+COUNTIF($E$4:$E$582,AR$586&amp;" ضد "&amp;$A637))</f>
        <v>0</v>
      </c>
      <c r="AS637" s="4">
        <f>IF($A637=AS$586,"",COUNTIF($E$4:$E$582,$A637&amp;" ضد "&amp;AS$586)+COUNTIF($E$4:$E$582,AS$586&amp;" ضد "&amp;$A637))</f>
        <v>0</v>
      </c>
      <c r="AT637" s="4">
        <f>IF($A637=AT$586,"",COUNTIF($E$4:$E$582,$A637&amp;" ضد "&amp;AT$586)+COUNTIF($E$4:$E$582,AT$586&amp;" ضد "&amp;$A637))</f>
        <v>0</v>
      </c>
      <c r="AU637" s="4">
        <f>IF($A637=AU$586,"",COUNTIF($E$4:$E$582,$A637&amp;" ضد "&amp;AU$586)+COUNTIF($E$4:$E$582,AU$586&amp;" ضد "&amp;$A637))</f>
        <v>0</v>
      </c>
      <c r="AV637" s="4">
        <f>IF($A637=AV$586,"",COUNTIF($E$4:$E$582,$A637&amp;" ضد "&amp;AV$586)+COUNTIF($E$4:$E$582,AV$586&amp;" ضد "&amp;$A637))</f>
        <v>0</v>
      </c>
      <c r="AW637" s="4">
        <f>IF($A637=AW$586,"",COUNTIF($E$4:$E$582,$A637&amp;" ضد "&amp;AW$586)+COUNTIF($E$4:$E$582,AW$586&amp;" ضد "&amp;$A637))</f>
        <v>0</v>
      </c>
      <c r="AX637" s="4">
        <f>IF($A637=AX$586,"",COUNTIF($E$4:$E$582,$A637&amp;" ضد "&amp;AX$586)+COUNTIF($E$4:$E$582,AX$586&amp;" ضد "&amp;$A637))</f>
        <v>1</v>
      </c>
      <c r="AY637" s="4">
        <f>IF($A637=AY$586,"",COUNTIF($E$4:$E$582,$A637&amp;" ضد "&amp;AY$586)+COUNTIF($E$4:$E$582,AY$586&amp;" ضد "&amp;$A637))</f>
        <v>1</v>
      </c>
      <c r="AZ637" s="4" t="str">
        <f>IF($A637=AZ$586,"",COUNTIF($E$4:$E$582,$A637&amp;" ضد "&amp;AZ$586)+COUNTIF($E$4:$E$582,AZ$586&amp;" ضد "&amp;$A637))</f>
        <v/>
      </c>
      <c r="BA637" s="4">
        <f>IF($A637=BA$586,"",COUNTIF($E$4:$E$582,$A637&amp;" ضد "&amp;BA$586)+COUNTIF($E$4:$E$582,BA$586&amp;" ضد "&amp;$A637))</f>
        <v>1</v>
      </c>
      <c r="BB637" s="4">
        <f>IF($A637=BB$586,"",COUNTIF($E$4:$E$582,$A637&amp;" ضد "&amp;BB$586)+COUNTIF($E$4:$E$582,BB$586&amp;" ضد "&amp;$A637))</f>
        <v>1</v>
      </c>
      <c r="BC637" s="4">
        <f>IF($A637=BC$586,"",COUNTIF($E$4:$E$582,$A637&amp;" ضد "&amp;BC$586)+COUNTIF($E$4:$E$582,BC$586&amp;" ضد "&amp;$A637))</f>
        <v>1</v>
      </c>
      <c r="BD637" s="4">
        <f>IF($A637=BD$586,"",COUNTIF($E$4:$E$582,$A637&amp;" ضد "&amp;BD$586)+COUNTIF($E$4:$E$582,BD$586&amp;" ضد "&amp;$A637))</f>
        <v>1</v>
      </c>
      <c r="BE637" s="4">
        <f>IF($A637=BE$586,"",COUNTIF($E$4:$E$582,$A637&amp;" ضد "&amp;BE$586)+COUNTIF($E$4:$E$582,BE$586&amp;" ضد "&amp;$A637))</f>
        <v>1</v>
      </c>
      <c r="BF637" s="4">
        <f>IF($A637=BF$586,"",COUNTIF($E$4:$E$582,$A637&amp;" ضد "&amp;BF$586)+COUNTIF($E$4:$E$582,BF$586&amp;" ضد "&amp;$A637))</f>
        <v>1</v>
      </c>
      <c r="BG637" s="4">
        <f>IF($A637=BG$586,"",COUNTIF($E$4:$E$582,$A637&amp;" ضد "&amp;BG$586)+COUNTIF($E$4:$E$582,BG$586&amp;" ضد "&amp;$A637))</f>
        <v>2</v>
      </c>
      <c r="BH637" s="4">
        <f>IF($A637=BH$586,"",COUNTIF($E$4:$E$582,$A637&amp;" ضد "&amp;BH$586)+COUNTIF($E$4:$E$582,BH$586&amp;" ضد "&amp;$A637))</f>
        <v>1</v>
      </c>
      <c r="BI637" s="4">
        <f>IF($A637=BI$586,"",COUNTIF($E$4:$E$582,$A637&amp;" ضد "&amp;BI$586)+COUNTIF($E$4:$E$582,BI$586&amp;" ضد "&amp;$A637))</f>
        <v>2</v>
      </c>
      <c r="BJ637" s="4">
        <f>IF($A637=BJ$586,"",COUNTIF($E$4:$E$582,$A637&amp;" ضد "&amp;BJ$586)+COUNTIF($E$4:$E$582,BJ$586&amp;" ضد "&amp;$A637))</f>
        <v>1</v>
      </c>
      <c r="BK637" s="4">
        <f>IF($A637=BK$586,"",COUNTIF($E$4:$E$582,$A637&amp;" ضد "&amp;BK$586)+COUNTIF($E$4:$E$582,BK$586&amp;" ضد "&amp;$A637))</f>
        <v>2</v>
      </c>
      <c r="BL637" s="4">
        <f>IF($A637=BL$586,"",COUNTIF($E$4:$E$582,$A637&amp;" ضد "&amp;BL$586)+COUNTIF($E$4:$E$582,BL$586&amp;" ضد "&amp;$A637))</f>
        <v>1</v>
      </c>
      <c r="BM637" s="4">
        <f>IF($A637=BM$586,"",COUNTIF($E$4:$E$582,$A637&amp;" ضد "&amp;BM$586)+COUNTIF($E$4:$E$582,BM$586&amp;" ضد "&amp;$A637))</f>
        <v>1</v>
      </c>
    </row>
    <row r="638" spans="1:65" ht="14.5">
      <c r="A638" s="14">
        <v>52</v>
      </c>
      <c r="B638" s="4">
        <f>IF($A638=B$586,"",COUNTIF($E$4:$E$582,$A638&amp;" ضد "&amp;B$586)+COUNTIF($E$4:$E$582,B$586&amp;" ضد "&amp;$A638))</f>
        <v>0</v>
      </c>
      <c r="C638" s="4">
        <f>IF($A638=C$586,"",COUNTIF($E$4:$E$582,$A638&amp;" ضد "&amp;C$586)+COUNTIF($E$4:$E$582,C$586&amp;" ضد "&amp;$A638))</f>
        <v>0</v>
      </c>
      <c r="D638" s="4">
        <f>IF($A638=D$586,"",COUNTIF($E$4:$E$582,$A638&amp;" ضد "&amp;D$586)+COUNTIF($E$4:$E$582,D$586&amp;" ضد "&amp;$A638))</f>
        <v>0</v>
      </c>
      <c r="E638" s="4">
        <f>IF($A638=E$586,"",COUNTIF($E$4:$E$582,$A638&amp;" ضد "&amp;E$586)+COUNTIF($E$4:$E$582,E$586&amp;" ضد "&amp;$A638))</f>
        <v>0</v>
      </c>
      <c r="F638" s="4">
        <f>IF($A638=F$586,"",COUNTIF($E$4:$E$582,$A638&amp;" ضد "&amp;F$586)+COUNTIF($E$4:$E$582,F$586&amp;" ضد "&amp;$A638))</f>
        <v>0</v>
      </c>
      <c r="G638" s="4">
        <f>IF($A638=G$586,"",COUNTIF($E$4:$E$582,$A638&amp;" ضد "&amp;G$586)+COUNTIF($E$4:$E$582,G$586&amp;" ضد "&amp;$A638))</f>
        <v>0</v>
      </c>
      <c r="H638" s="4">
        <f>IF($A638=H$586,"",COUNTIF($E$4:$E$582,$A638&amp;" ضد "&amp;H$586)+COUNTIF($E$4:$E$582,H$586&amp;" ضد "&amp;$A638))</f>
        <v>0</v>
      </c>
      <c r="I638" s="4">
        <f>IF($A638=I$586,"",COUNTIF($E$4:$E$582,$A638&amp;" ضد "&amp;I$586)+COUNTIF($E$4:$E$582,I$586&amp;" ضد "&amp;$A638))</f>
        <v>0</v>
      </c>
      <c r="J638" s="4">
        <f>IF($A638=J$586,"",COUNTIF($E$4:$E$582,$A638&amp;" ضد "&amp;J$586)+COUNTIF($E$4:$E$582,J$586&amp;" ضد "&amp;$A638))</f>
        <v>0</v>
      </c>
      <c r="K638" s="4">
        <f>IF($A638=K$586,"",COUNTIF($E$4:$E$582,$A638&amp;" ضد "&amp;K$586)+COUNTIF($E$4:$E$582,K$586&amp;" ضد "&amp;$A638))</f>
        <v>0</v>
      </c>
      <c r="L638" s="4">
        <f>IF($A638=L$586,"",COUNTIF($E$4:$E$582,$A638&amp;" ضد "&amp;L$586)+COUNTIF($E$4:$E$582,L$586&amp;" ضد "&amp;$A638))</f>
        <v>0</v>
      </c>
      <c r="M638" s="4">
        <f>IF($A638=M$586,"",COUNTIF($E$4:$E$582,$A638&amp;" ضد "&amp;M$586)+COUNTIF($E$4:$E$582,M$586&amp;" ضد "&amp;$A638))</f>
        <v>0</v>
      </c>
      <c r="N638" s="4">
        <f>IF($A638=N$586,"",COUNTIF($E$4:$E$582,$A638&amp;" ضد "&amp;N$586)+COUNTIF($E$4:$E$582,N$586&amp;" ضد "&amp;$A638))</f>
        <v>0</v>
      </c>
      <c r="O638" s="4">
        <f>IF($A638=O$586,"",COUNTIF($E$4:$E$582,$A638&amp;" ضد "&amp;O$586)+COUNTIF($E$4:$E$582,O$586&amp;" ضد "&amp;$A638))</f>
        <v>0</v>
      </c>
      <c r="P638" s="4">
        <f>IF($A638=P$586,"",COUNTIF($E$4:$E$582,$A638&amp;" ضد "&amp;P$586)+COUNTIF($E$4:$E$582,P$586&amp;" ضد "&amp;$A638))</f>
        <v>0</v>
      </c>
      <c r="Q638" s="4">
        <f>IF($A638=Q$586,"",COUNTIF($E$4:$E$582,$A638&amp;" ضد "&amp;Q$586)+COUNTIF($E$4:$E$582,Q$586&amp;" ضد "&amp;$A638))</f>
        <v>0</v>
      </c>
      <c r="R638" s="4">
        <f>IF($A638=R$586,"",COUNTIF($E$4:$E$582,$A638&amp;" ضد "&amp;R$586)+COUNTIF($E$4:$E$582,R$586&amp;" ضد "&amp;$A638))</f>
        <v>0</v>
      </c>
      <c r="S638" s="4">
        <f>IF($A638=S$586,"",COUNTIF($E$4:$E$582,$A638&amp;" ضد "&amp;S$586)+COUNTIF($E$4:$E$582,S$586&amp;" ضد "&amp;$A638))</f>
        <v>0</v>
      </c>
      <c r="T638" s="4">
        <f>IF($A638=T$586,"",COUNTIF($E$4:$E$582,$A638&amp;" ضد "&amp;T$586)+COUNTIF($E$4:$E$582,T$586&amp;" ضد "&amp;$A638))</f>
        <v>0</v>
      </c>
      <c r="U638" s="4">
        <f>IF($A638=U$586,"",COUNTIF($E$4:$E$582,$A638&amp;" ضد "&amp;U$586)+COUNTIF($E$4:$E$582,U$586&amp;" ضد "&amp;$A638))</f>
        <v>0</v>
      </c>
      <c r="V638" s="4">
        <f>IF($A638=V$586,"",COUNTIF($E$4:$E$582,$A638&amp;" ضد "&amp;V$586)+COUNTIF($E$4:$E$582,V$586&amp;" ضد "&amp;$A638))</f>
        <v>0</v>
      </c>
      <c r="W638" s="4">
        <f>IF($A638=W$586,"",COUNTIF($E$4:$E$582,$A638&amp;" ضد "&amp;W$586)+COUNTIF($E$4:$E$582,W$586&amp;" ضد "&amp;$A638))</f>
        <v>0</v>
      </c>
      <c r="X638" s="4">
        <f>IF($A638=X$586,"",COUNTIF($E$4:$E$582,$A638&amp;" ضد "&amp;X$586)+COUNTIF($E$4:$E$582,X$586&amp;" ضد "&amp;$A638))</f>
        <v>0</v>
      </c>
      <c r="Y638" s="4">
        <f>IF($A638=Y$586,"",COUNTIF($E$4:$E$582,$A638&amp;" ضد "&amp;Y$586)+COUNTIF($E$4:$E$582,Y$586&amp;" ضد "&amp;$A638))</f>
        <v>0</v>
      </c>
      <c r="Z638" s="4">
        <f>IF($A638=Z$586,"",COUNTIF($E$4:$E$582,$A638&amp;" ضد "&amp;Z$586)+COUNTIF($E$4:$E$582,Z$586&amp;" ضد "&amp;$A638))</f>
        <v>0</v>
      </c>
      <c r="AA638" s="4">
        <f>IF($A638=AA$586,"",COUNTIF($E$4:$E$582,$A638&amp;" ضد "&amp;AA$586)+COUNTIF($E$4:$E$582,AA$586&amp;" ضد "&amp;$A638))</f>
        <v>0</v>
      </c>
      <c r="AB638" s="4">
        <f>IF($A638=AB$586,"",COUNTIF($E$4:$E$582,$A638&amp;" ضد "&amp;AB$586)+COUNTIF($E$4:$E$582,AB$586&amp;" ضد "&amp;$A638))</f>
        <v>0</v>
      </c>
      <c r="AC638" s="4">
        <f>IF($A638=AC$586,"",COUNTIF($E$4:$E$582,$A638&amp;" ضد "&amp;AC$586)+COUNTIF($E$4:$E$582,AC$586&amp;" ضد "&amp;$A638))</f>
        <v>0</v>
      </c>
      <c r="AD638" s="4">
        <f>IF($A638=AD$586,"",COUNTIF($E$4:$E$582,$A638&amp;" ضد "&amp;AD$586)+COUNTIF($E$4:$E$582,AD$586&amp;" ضد "&amp;$A638))</f>
        <v>0</v>
      </c>
      <c r="AE638" s="4">
        <f>IF($A638=AE$586,"",COUNTIF($E$4:$E$582,$A638&amp;" ضد "&amp;AE$586)+COUNTIF($E$4:$E$582,AE$586&amp;" ضد "&amp;$A638))</f>
        <v>0</v>
      </c>
      <c r="AF638" s="4">
        <f>IF($A638=AF$586,"",COUNTIF($E$4:$E$582,$A638&amp;" ضد "&amp;AF$586)+COUNTIF($E$4:$E$582,AF$586&amp;" ضد "&amp;$A638))</f>
        <v>0</v>
      </c>
      <c r="AG638" s="4">
        <f>IF($A638=AG$586,"",COUNTIF($E$4:$E$582,$A638&amp;" ضد "&amp;AG$586)+COUNTIF($E$4:$E$582,AG$586&amp;" ضد "&amp;$A638))</f>
        <v>0</v>
      </c>
      <c r="AH638" s="4">
        <f>IF($A638=AH$586,"",COUNTIF($E$4:$E$582,$A638&amp;" ضد "&amp;AH$586)+COUNTIF($E$4:$E$582,AH$586&amp;" ضد "&amp;$A638))</f>
        <v>0</v>
      </c>
      <c r="AI638" s="4">
        <f>IF($A638=AI$586,"",COUNTIF($E$4:$E$582,$A638&amp;" ضد "&amp;AI$586)+COUNTIF($E$4:$E$582,AI$586&amp;" ضد "&amp;$A638))</f>
        <v>0</v>
      </c>
      <c r="AJ638" s="4">
        <f>IF($A638=AJ$586,"",COUNTIF($E$4:$E$582,$A638&amp;" ضد "&amp;AJ$586)+COUNTIF($E$4:$E$582,AJ$586&amp;" ضد "&amp;$A638))</f>
        <v>0</v>
      </c>
      <c r="AK638" s="4">
        <f>IF($A638=AK$586,"",COUNTIF($E$4:$E$582,$A638&amp;" ضد "&amp;AK$586)+COUNTIF($E$4:$E$582,AK$586&amp;" ضد "&amp;$A638))</f>
        <v>0</v>
      </c>
      <c r="AL638" s="4">
        <f>IF($A638=AL$586,"",COUNTIF($E$4:$E$582,$A638&amp;" ضد "&amp;AL$586)+COUNTIF($E$4:$E$582,AL$586&amp;" ضد "&amp;$A638))</f>
        <v>0</v>
      </c>
      <c r="AM638" s="4">
        <f>IF($A638=AM$586,"",COUNTIF($E$4:$E$582,$A638&amp;" ضد "&amp;AM$586)+COUNTIF($E$4:$E$582,AM$586&amp;" ضد "&amp;$A638))</f>
        <v>0</v>
      </c>
      <c r="AN638" s="4">
        <f>IF($A638=AN$586,"",COUNTIF($E$4:$E$582,$A638&amp;" ضد "&amp;AN$586)+COUNTIF($E$4:$E$582,AN$586&amp;" ضد "&amp;$A638))</f>
        <v>0</v>
      </c>
      <c r="AO638" s="4">
        <f>IF($A638=AO$586,"",COUNTIF($E$4:$E$582,$A638&amp;" ضد "&amp;AO$586)+COUNTIF($E$4:$E$582,AO$586&amp;" ضد "&amp;$A638))</f>
        <v>0</v>
      </c>
      <c r="AP638" s="4">
        <f>IF($A638=AP$586,"",COUNTIF($E$4:$E$582,$A638&amp;" ضد "&amp;AP$586)+COUNTIF($E$4:$E$582,AP$586&amp;" ضد "&amp;$A638))</f>
        <v>0</v>
      </c>
      <c r="AQ638" s="4">
        <f>IF($A638=AQ$586,"",COUNTIF($E$4:$E$582,$A638&amp;" ضد "&amp;AQ$586)+COUNTIF($E$4:$E$582,AQ$586&amp;" ضد "&amp;$A638))</f>
        <v>0</v>
      </c>
      <c r="AR638" s="4">
        <f>IF($A638=AR$586,"",COUNTIF($E$4:$E$582,$A638&amp;" ضد "&amp;AR$586)+COUNTIF($E$4:$E$582,AR$586&amp;" ضد "&amp;$A638))</f>
        <v>0</v>
      </c>
      <c r="AS638" s="4">
        <f>IF($A638=AS$586,"",COUNTIF($E$4:$E$582,$A638&amp;" ضد "&amp;AS$586)+COUNTIF($E$4:$E$582,AS$586&amp;" ضد "&amp;$A638))</f>
        <v>0</v>
      </c>
      <c r="AT638" s="4">
        <f>IF($A638=AT$586,"",COUNTIF($E$4:$E$582,$A638&amp;" ضد "&amp;AT$586)+COUNTIF($E$4:$E$582,AT$586&amp;" ضد "&amp;$A638))</f>
        <v>0</v>
      </c>
      <c r="AU638" s="4">
        <f>IF($A638=AU$586,"",COUNTIF($E$4:$E$582,$A638&amp;" ضد "&amp;AU$586)+COUNTIF($E$4:$E$582,AU$586&amp;" ضد "&amp;$A638))</f>
        <v>0</v>
      </c>
      <c r="AV638" s="4">
        <f>IF($A638=AV$586,"",COUNTIF($E$4:$E$582,$A638&amp;" ضد "&amp;AV$586)+COUNTIF($E$4:$E$582,AV$586&amp;" ضد "&amp;$A638))</f>
        <v>0</v>
      </c>
      <c r="AW638" s="4">
        <f>IF($A638=AW$586,"",COUNTIF($E$4:$E$582,$A638&amp;" ضد "&amp;AW$586)+COUNTIF($E$4:$E$582,AW$586&amp;" ضد "&amp;$A638))</f>
        <v>0</v>
      </c>
      <c r="AX638" s="4">
        <f>IF($A638=AX$586,"",COUNTIF($E$4:$E$582,$A638&amp;" ضد "&amp;AX$586)+COUNTIF($E$4:$E$582,AX$586&amp;" ضد "&amp;$A638))</f>
        <v>1</v>
      </c>
      <c r="AY638" s="4">
        <f>IF($A638=AY$586,"",COUNTIF($E$4:$E$582,$A638&amp;" ضد "&amp;AY$586)+COUNTIF($E$4:$E$582,AY$586&amp;" ضد "&amp;$A638))</f>
        <v>1</v>
      </c>
      <c r="AZ638" s="4">
        <f>IF($A638=AZ$586,"",COUNTIF($E$4:$E$582,$A638&amp;" ضد "&amp;AZ$586)+COUNTIF($E$4:$E$582,AZ$586&amp;" ضد "&amp;$A638))</f>
        <v>1</v>
      </c>
      <c r="BA638" s="4" t="str">
        <f>IF($A638=BA$586,"",COUNTIF($E$4:$E$582,$A638&amp;" ضد "&amp;BA$586)+COUNTIF($E$4:$E$582,BA$586&amp;" ضد "&amp;$A638))</f>
        <v/>
      </c>
      <c r="BB638" s="4">
        <f>IF($A638=BB$586,"",COUNTIF($E$4:$E$582,$A638&amp;" ضد "&amp;BB$586)+COUNTIF($E$4:$E$582,BB$586&amp;" ضد "&amp;$A638))</f>
        <v>1</v>
      </c>
      <c r="BC638" s="4">
        <f>IF($A638=BC$586,"",COUNTIF($E$4:$E$582,$A638&amp;" ضد "&amp;BC$586)+COUNTIF($E$4:$E$582,BC$586&amp;" ضد "&amp;$A638))</f>
        <v>1</v>
      </c>
      <c r="BD638" s="4">
        <f>IF($A638=BD$586,"",COUNTIF($E$4:$E$582,$A638&amp;" ضد "&amp;BD$586)+COUNTIF($E$4:$E$582,BD$586&amp;" ضد "&amp;$A638))</f>
        <v>1</v>
      </c>
      <c r="BE638" s="4">
        <f>IF($A638=BE$586,"",COUNTIF($E$4:$E$582,$A638&amp;" ضد "&amp;BE$586)+COUNTIF($E$4:$E$582,BE$586&amp;" ضد "&amp;$A638))</f>
        <v>1</v>
      </c>
      <c r="BF638" s="4">
        <f>IF($A638=BF$586,"",COUNTIF($E$4:$E$582,$A638&amp;" ضد "&amp;BF$586)+COUNTIF($E$4:$E$582,BF$586&amp;" ضد "&amp;$A638))</f>
        <v>2</v>
      </c>
      <c r="BG638" s="4">
        <f>IF($A638=BG$586,"",COUNTIF($E$4:$E$582,$A638&amp;" ضد "&amp;BG$586)+COUNTIF($E$4:$E$582,BG$586&amp;" ضد "&amp;$A638))</f>
        <v>1</v>
      </c>
      <c r="BH638" s="4">
        <f>IF($A638=BH$586,"",COUNTIF($E$4:$E$582,$A638&amp;" ضد "&amp;BH$586)+COUNTIF($E$4:$E$582,BH$586&amp;" ضد "&amp;$A638))</f>
        <v>2</v>
      </c>
      <c r="BI638" s="4">
        <f>IF($A638=BI$586,"",COUNTIF($E$4:$E$582,$A638&amp;" ضد "&amp;BI$586)+COUNTIF($E$4:$E$582,BI$586&amp;" ضد "&amp;$A638))</f>
        <v>1</v>
      </c>
      <c r="BJ638" s="4">
        <f>IF($A638=BJ$586,"",COUNTIF($E$4:$E$582,$A638&amp;" ضد "&amp;BJ$586)+COUNTIF($E$4:$E$582,BJ$586&amp;" ضد "&amp;$A638))</f>
        <v>2</v>
      </c>
      <c r="BK638" s="4">
        <f>IF($A638=BK$586,"",COUNTIF($E$4:$E$582,$A638&amp;" ضد "&amp;BK$586)+COUNTIF($E$4:$E$582,BK$586&amp;" ضد "&amp;$A638))</f>
        <v>1</v>
      </c>
      <c r="BL638" s="4">
        <f>IF($A638=BL$586,"",COUNTIF($E$4:$E$582,$A638&amp;" ضد "&amp;BL$586)+COUNTIF($E$4:$E$582,BL$586&amp;" ضد "&amp;$A638))</f>
        <v>1</v>
      </c>
      <c r="BM638" s="4">
        <f>IF($A638=BM$586,"",COUNTIF($E$4:$E$582,$A638&amp;" ضد "&amp;BM$586)+COUNTIF($E$4:$E$582,BM$586&amp;" ضد "&amp;$A638))</f>
        <v>1</v>
      </c>
    </row>
    <row r="639" spans="1:65" ht="14.5">
      <c r="A639" s="14">
        <v>53</v>
      </c>
      <c r="B639" s="4">
        <f>IF($A639=B$586,"",COUNTIF($E$4:$E$582,$A639&amp;" ضد "&amp;B$586)+COUNTIF($E$4:$E$582,B$586&amp;" ضد "&amp;$A639))</f>
        <v>0</v>
      </c>
      <c r="C639" s="4">
        <f>IF($A639=C$586,"",COUNTIF($E$4:$E$582,$A639&amp;" ضد "&amp;C$586)+COUNTIF($E$4:$E$582,C$586&amp;" ضد "&amp;$A639))</f>
        <v>0</v>
      </c>
      <c r="D639" s="4">
        <f>IF($A639=D$586,"",COUNTIF($E$4:$E$582,$A639&amp;" ضد "&amp;D$586)+COUNTIF($E$4:$E$582,D$586&amp;" ضد "&amp;$A639))</f>
        <v>0</v>
      </c>
      <c r="E639" s="4">
        <f>IF($A639=E$586,"",COUNTIF($E$4:$E$582,$A639&amp;" ضد "&amp;E$586)+COUNTIF($E$4:$E$582,E$586&amp;" ضد "&amp;$A639))</f>
        <v>0</v>
      </c>
      <c r="F639" s="4">
        <f>IF($A639=F$586,"",COUNTIF($E$4:$E$582,$A639&amp;" ضد "&amp;F$586)+COUNTIF($E$4:$E$582,F$586&amp;" ضد "&amp;$A639))</f>
        <v>0</v>
      </c>
      <c r="G639" s="4">
        <f>IF($A639=G$586,"",COUNTIF($E$4:$E$582,$A639&amp;" ضد "&amp;G$586)+COUNTIF($E$4:$E$582,G$586&amp;" ضد "&amp;$A639))</f>
        <v>0</v>
      </c>
      <c r="H639" s="4">
        <f>IF($A639=H$586,"",COUNTIF($E$4:$E$582,$A639&amp;" ضد "&amp;H$586)+COUNTIF($E$4:$E$582,H$586&amp;" ضد "&amp;$A639))</f>
        <v>0</v>
      </c>
      <c r="I639" s="4">
        <f>IF($A639=I$586,"",COUNTIF($E$4:$E$582,$A639&amp;" ضد "&amp;I$586)+COUNTIF($E$4:$E$582,I$586&amp;" ضد "&amp;$A639))</f>
        <v>0</v>
      </c>
      <c r="J639" s="4">
        <f>IF($A639=J$586,"",COUNTIF($E$4:$E$582,$A639&amp;" ضد "&amp;J$586)+COUNTIF($E$4:$E$582,J$586&amp;" ضد "&amp;$A639))</f>
        <v>0</v>
      </c>
      <c r="K639" s="4">
        <f>IF($A639=K$586,"",COUNTIF($E$4:$E$582,$A639&amp;" ضد "&amp;K$586)+COUNTIF($E$4:$E$582,K$586&amp;" ضد "&amp;$A639))</f>
        <v>0</v>
      </c>
      <c r="L639" s="4">
        <f>IF($A639=L$586,"",COUNTIF($E$4:$E$582,$A639&amp;" ضد "&amp;L$586)+COUNTIF($E$4:$E$582,L$586&amp;" ضد "&amp;$A639))</f>
        <v>0</v>
      </c>
      <c r="M639" s="4">
        <f>IF($A639=M$586,"",COUNTIF($E$4:$E$582,$A639&amp;" ضد "&amp;M$586)+COUNTIF($E$4:$E$582,M$586&amp;" ضد "&amp;$A639))</f>
        <v>0</v>
      </c>
      <c r="N639" s="4">
        <f>IF($A639=N$586,"",COUNTIF($E$4:$E$582,$A639&amp;" ضد "&amp;N$586)+COUNTIF($E$4:$E$582,N$586&amp;" ضد "&amp;$A639))</f>
        <v>0</v>
      </c>
      <c r="O639" s="4">
        <f>IF($A639=O$586,"",COUNTIF($E$4:$E$582,$A639&amp;" ضد "&amp;O$586)+COUNTIF($E$4:$E$582,O$586&amp;" ضد "&amp;$A639))</f>
        <v>0</v>
      </c>
      <c r="P639" s="4">
        <f>IF($A639=P$586,"",COUNTIF($E$4:$E$582,$A639&amp;" ضد "&amp;P$586)+COUNTIF($E$4:$E$582,P$586&amp;" ضد "&amp;$A639))</f>
        <v>0</v>
      </c>
      <c r="Q639" s="4">
        <f>IF($A639=Q$586,"",COUNTIF($E$4:$E$582,$A639&amp;" ضد "&amp;Q$586)+COUNTIF($E$4:$E$582,Q$586&amp;" ضد "&amp;$A639))</f>
        <v>0</v>
      </c>
      <c r="R639" s="4">
        <f>IF($A639=R$586,"",COUNTIF($E$4:$E$582,$A639&amp;" ضد "&amp;R$586)+COUNTIF($E$4:$E$582,R$586&amp;" ضد "&amp;$A639))</f>
        <v>0</v>
      </c>
      <c r="S639" s="4">
        <f>IF($A639=S$586,"",COUNTIF($E$4:$E$582,$A639&amp;" ضد "&amp;S$586)+COUNTIF($E$4:$E$582,S$586&amp;" ضد "&amp;$A639))</f>
        <v>0</v>
      </c>
      <c r="T639" s="4">
        <f>IF($A639=T$586,"",COUNTIF($E$4:$E$582,$A639&amp;" ضد "&amp;T$586)+COUNTIF($E$4:$E$582,T$586&amp;" ضد "&amp;$A639))</f>
        <v>0</v>
      </c>
      <c r="U639" s="4">
        <f>IF($A639=U$586,"",COUNTIF($E$4:$E$582,$A639&amp;" ضد "&amp;U$586)+COUNTIF($E$4:$E$582,U$586&amp;" ضد "&amp;$A639))</f>
        <v>0</v>
      </c>
      <c r="V639" s="4">
        <f>IF($A639=V$586,"",COUNTIF($E$4:$E$582,$A639&amp;" ضد "&amp;V$586)+COUNTIF($E$4:$E$582,V$586&amp;" ضد "&amp;$A639))</f>
        <v>0</v>
      </c>
      <c r="W639" s="4">
        <f>IF($A639=W$586,"",COUNTIF($E$4:$E$582,$A639&amp;" ضد "&amp;W$586)+COUNTIF($E$4:$E$582,W$586&amp;" ضد "&amp;$A639))</f>
        <v>0</v>
      </c>
      <c r="X639" s="4">
        <f>IF($A639=X$586,"",COUNTIF($E$4:$E$582,$A639&amp;" ضد "&amp;X$586)+COUNTIF($E$4:$E$582,X$586&amp;" ضد "&amp;$A639))</f>
        <v>0</v>
      </c>
      <c r="Y639" s="4">
        <f>IF($A639=Y$586,"",COUNTIF($E$4:$E$582,$A639&amp;" ضد "&amp;Y$586)+COUNTIF($E$4:$E$582,Y$586&amp;" ضد "&amp;$A639))</f>
        <v>0</v>
      </c>
      <c r="Z639" s="4">
        <f>IF($A639=Z$586,"",COUNTIF($E$4:$E$582,$A639&amp;" ضد "&amp;Z$586)+COUNTIF($E$4:$E$582,Z$586&amp;" ضد "&amp;$A639))</f>
        <v>0</v>
      </c>
      <c r="AA639" s="4">
        <f>IF($A639=AA$586,"",COUNTIF($E$4:$E$582,$A639&amp;" ضد "&amp;AA$586)+COUNTIF($E$4:$E$582,AA$586&amp;" ضد "&amp;$A639))</f>
        <v>0</v>
      </c>
      <c r="AB639" s="4">
        <f>IF($A639=AB$586,"",COUNTIF($E$4:$E$582,$A639&amp;" ضد "&amp;AB$586)+COUNTIF($E$4:$E$582,AB$586&amp;" ضد "&amp;$A639))</f>
        <v>0</v>
      </c>
      <c r="AC639" s="4">
        <f>IF($A639=AC$586,"",COUNTIF($E$4:$E$582,$A639&amp;" ضد "&amp;AC$586)+COUNTIF($E$4:$E$582,AC$586&amp;" ضد "&amp;$A639))</f>
        <v>0</v>
      </c>
      <c r="AD639" s="4">
        <f>IF($A639=AD$586,"",COUNTIF($E$4:$E$582,$A639&amp;" ضد "&amp;AD$586)+COUNTIF($E$4:$E$582,AD$586&amp;" ضد "&amp;$A639))</f>
        <v>0</v>
      </c>
      <c r="AE639" s="4">
        <f>IF($A639=AE$586,"",COUNTIF($E$4:$E$582,$A639&amp;" ضد "&amp;AE$586)+COUNTIF($E$4:$E$582,AE$586&amp;" ضد "&amp;$A639))</f>
        <v>0</v>
      </c>
      <c r="AF639" s="4">
        <f>IF($A639=AF$586,"",COUNTIF($E$4:$E$582,$A639&amp;" ضد "&amp;AF$586)+COUNTIF($E$4:$E$582,AF$586&amp;" ضد "&amp;$A639))</f>
        <v>0</v>
      </c>
      <c r="AG639" s="4">
        <f>IF($A639=AG$586,"",COUNTIF($E$4:$E$582,$A639&amp;" ضد "&amp;AG$586)+COUNTIF($E$4:$E$582,AG$586&amp;" ضد "&amp;$A639))</f>
        <v>0</v>
      </c>
      <c r="AH639" s="4">
        <f>IF($A639=AH$586,"",COUNTIF($E$4:$E$582,$A639&amp;" ضد "&amp;AH$586)+COUNTIF($E$4:$E$582,AH$586&amp;" ضد "&amp;$A639))</f>
        <v>0</v>
      </c>
      <c r="AI639" s="4">
        <f>IF($A639=AI$586,"",COUNTIF($E$4:$E$582,$A639&amp;" ضد "&amp;AI$586)+COUNTIF($E$4:$E$582,AI$586&amp;" ضد "&amp;$A639))</f>
        <v>0</v>
      </c>
      <c r="AJ639" s="4">
        <f>IF($A639=AJ$586,"",COUNTIF($E$4:$E$582,$A639&amp;" ضد "&amp;AJ$586)+COUNTIF($E$4:$E$582,AJ$586&amp;" ضد "&amp;$A639))</f>
        <v>0</v>
      </c>
      <c r="AK639" s="4">
        <f>IF($A639=AK$586,"",COUNTIF($E$4:$E$582,$A639&amp;" ضد "&amp;AK$586)+COUNTIF($E$4:$E$582,AK$586&amp;" ضد "&amp;$A639))</f>
        <v>0</v>
      </c>
      <c r="AL639" s="4">
        <f>IF($A639=AL$586,"",COUNTIF($E$4:$E$582,$A639&amp;" ضد "&amp;AL$586)+COUNTIF($E$4:$E$582,AL$586&amp;" ضد "&amp;$A639))</f>
        <v>0</v>
      </c>
      <c r="AM639" s="4">
        <f>IF($A639=AM$586,"",COUNTIF($E$4:$E$582,$A639&amp;" ضد "&amp;AM$586)+COUNTIF($E$4:$E$582,AM$586&amp;" ضد "&amp;$A639))</f>
        <v>0</v>
      </c>
      <c r="AN639" s="4">
        <f>IF($A639=AN$586,"",COUNTIF($E$4:$E$582,$A639&amp;" ضد "&amp;AN$586)+COUNTIF($E$4:$E$582,AN$586&amp;" ضد "&amp;$A639))</f>
        <v>0</v>
      </c>
      <c r="AO639" s="4">
        <f>IF($A639=AO$586,"",COUNTIF($E$4:$E$582,$A639&amp;" ضد "&amp;AO$586)+COUNTIF($E$4:$E$582,AO$586&amp;" ضد "&amp;$A639))</f>
        <v>0</v>
      </c>
      <c r="AP639" s="4">
        <f>IF($A639=AP$586,"",COUNTIF($E$4:$E$582,$A639&amp;" ضد "&amp;AP$586)+COUNTIF($E$4:$E$582,AP$586&amp;" ضد "&amp;$A639))</f>
        <v>0</v>
      </c>
      <c r="AQ639" s="4">
        <f>IF($A639=AQ$586,"",COUNTIF($E$4:$E$582,$A639&amp;" ضد "&amp;AQ$586)+COUNTIF($E$4:$E$582,AQ$586&amp;" ضد "&amp;$A639))</f>
        <v>0</v>
      </c>
      <c r="AR639" s="4">
        <f>IF($A639=AR$586,"",COUNTIF($E$4:$E$582,$A639&amp;" ضد "&amp;AR$586)+COUNTIF($E$4:$E$582,AR$586&amp;" ضد "&amp;$A639))</f>
        <v>0</v>
      </c>
      <c r="AS639" s="4">
        <f>IF($A639=AS$586,"",COUNTIF($E$4:$E$582,$A639&amp;" ضد "&amp;AS$586)+COUNTIF($E$4:$E$582,AS$586&amp;" ضد "&amp;$A639))</f>
        <v>0</v>
      </c>
      <c r="AT639" s="4">
        <f>IF($A639=AT$586,"",COUNTIF($E$4:$E$582,$A639&amp;" ضد "&amp;AT$586)+COUNTIF($E$4:$E$582,AT$586&amp;" ضد "&amp;$A639))</f>
        <v>0</v>
      </c>
      <c r="AU639" s="4">
        <f>IF($A639=AU$586,"",COUNTIF($E$4:$E$582,$A639&amp;" ضد "&amp;AU$586)+COUNTIF($E$4:$E$582,AU$586&amp;" ضد "&amp;$A639))</f>
        <v>0</v>
      </c>
      <c r="AV639" s="4">
        <f>IF($A639=AV$586,"",COUNTIF($E$4:$E$582,$A639&amp;" ضد "&amp;AV$586)+COUNTIF($E$4:$E$582,AV$586&amp;" ضد "&amp;$A639))</f>
        <v>0</v>
      </c>
      <c r="AW639" s="4">
        <f>IF($A639=AW$586,"",COUNTIF($E$4:$E$582,$A639&amp;" ضد "&amp;AW$586)+COUNTIF($E$4:$E$582,AW$586&amp;" ضد "&amp;$A639))</f>
        <v>0</v>
      </c>
      <c r="AX639" s="4">
        <f>IF($A639=AX$586,"",COUNTIF($E$4:$E$582,$A639&amp;" ضد "&amp;AX$586)+COUNTIF($E$4:$E$582,AX$586&amp;" ضد "&amp;$A639))</f>
        <v>1</v>
      </c>
      <c r="AY639" s="4">
        <f>IF($A639=AY$586,"",COUNTIF($E$4:$E$582,$A639&amp;" ضد "&amp;AY$586)+COUNTIF($E$4:$E$582,AY$586&amp;" ضد "&amp;$A639))</f>
        <v>1</v>
      </c>
      <c r="AZ639" s="4">
        <f>IF($A639=AZ$586,"",COUNTIF($E$4:$E$582,$A639&amp;" ضد "&amp;AZ$586)+COUNTIF($E$4:$E$582,AZ$586&amp;" ضد "&amp;$A639))</f>
        <v>1</v>
      </c>
      <c r="BA639" s="4">
        <f>IF($A639=BA$586,"",COUNTIF($E$4:$E$582,$A639&amp;" ضد "&amp;BA$586)+COUNTIF($E$4:$E$582,BA$586&amp;" ضد "&amp;$A639))</f>
        <v>1</v>
      </c>
      <c r="BB639" s="4" t="str">
        <f>IF($A639=BB$586,"",COUNTIF($E$4:$E$582,$A639&amp;" ضد "&amp;BB$586)+COUNTIF($E$4:$E$582,BB$586&amp;" ضد "&amp;$A639))</f>
        <v/>
      </c>
      <c r="BC639" s="4">
        <f>IF($A639=BC$586,"",COUNTIF($E$4:$E$582,$A639&amp;" ضد "&amp;BC$586)+COUNTIF($E$4:$E$582,BC$586&amp;" ضد "&amp;$A639))</f>
        <v>1</v>
      </c>
      <c r="BD639" s="4">
        <f>IF($A639=BD$586,"",COUNTIF($E$4:$E$582,$A639&amp;" ضد "&amp;BD$586)+COUNTIF($E$4:$E$582,BD$586&amp;" ضد "&amp;$A639))</f>
        <v>1</v>
      </c>
      <c r="BE639" s="4">
        <f>IF($A639=BE$586,"",COUNTIF($E$4:$E$582,$A639&amp;" ضد "&amp;BE$586)+COUNTIF($E$4:$E$582,BE$586&amp;" ضد "&amp;$A639))</f>
        <v>2</v>
      </c>
      <c r="BF639" s="4">
        <f>IF($A639=BF$586,"",COUNTIF($E$4:$E$582,$A639&amp;" ضد "&amp;BF$586)+COUNTIF($E$4:$E$582,BF$586&amp;" ضد "&amp;$A639))</f>
        <v>1</v>
      </c>
      <c r="BG639" s="4">
        <f>IF($A639=BG$586,"",COUNTIF($E$4:$E$582,$A639&amp;" ضد "&amp;BG$586)+COUNTIF($E$4:$E$582,BG$586&amp;" ضد "&amp;$A639))</f>
        <v>2</v>
      </c>
      <c r="BH639" s="4">
        <f>IF($A639=BH$586,"",COUNTIF($E$4:$E$582,$A639&amp;" ضد "&amp;BH$586)+COUNTIF($E$4:$E$582,BH$586&amp;" ضد "&amp;$A639))</f>
        <v>1</v>
      </c>
      <c r="BI639" s="4">
        <f>IF($A639=BI$586,"",COUNTIF($E$4:$E$582,$A639&amp;" ضد "&amp;BI$586)+COUNTIF($E$4:$E$582,BI$586&amp;" ضد "&amp;$A639))</f>
        <v>2</v>
      </c>
      <c r="BJ639" s="4">
        <f>IF($A639=BJ$586,"",COUNTIF($E$4:$E$582,$A639&amp;" ضد "&amp;BJ$586)+COUNTIF($E$4:$E$582,BJ$586&amp;" ضد "&amp;$A639))</f>
        <v>1</v>
      </c>
      <c r="BK639" s="4">
        <f>IF($A639=BK$586,"",COUNTIF($E$4:$E$582,$A639&amp;" ضد "&amp;BK$586)+COUNTIF($E$4:$E$582,BK$586&amp;" ضد "&amp;$A639))</f>
        <v>1</v>
      </c>
      <c r="BL639" s="4">
        <f>IF($A639=BL$586,"",COUNTIF($E$4:$E$582,$A639&amp;" ضد "&amp;BL$586)+COUNTIF($E$4:$E$582,BL$586&amp;" ضد "&amp;$A639))</f>
        <v>1</v>
      </c>
      <c r="BM639" s="4">
        <f>IF($A639=BM$586,"",COUNTIF($E$4:$E$582,$A639&amp;" ضد "&amp;BM$586)+COUNTIF($E$4:$E$582,BM$586&amp;" ضد "&amp;$A639))</f>
        <v>1</v>
      </c>
    </row>
    <row r="640" spans="1:65" ht="14.5">
      <c r="A640" s="14">
        <v>54</v>
      </c>
      <c r="B640" s="4">
        <f>IF($A640=B$586,"",COUNTIF($E$4:$E$582,$A640&amp;" ضد "&amp;B$586)+COUNTIF($E$4:$E$582,B$586&amp;" ضد "&amp;$A640))</f>
        <v>0</v>
      </c>
      <c r="C640" s="4">
        <f>IF($A640=C$586,"",COUNTIF($E$4:$E$582,$A640&amp;" ضد "&amp;C$586)+COUNTIF($E$4:$E$582,C$586&amp;" ضد "&amp;$A640))</f>
        <v>0</v>
      </c>
      <c r="D640" s="4">
        <f>IF($A640=D$586,"",COUNTIF($E$4:$E$582,$A640&amp;" ضد "&amp;D$586)+COUNTIF($E$4:$E$582,D$586&amp;" ضد "&amp;$A640))</f>
        <v>0</v>
      </c>
      <c r="E640" s="4">
        <f>IF($A640=E$586,"",COUNTIF($E$4:$E$582,$A640&amp;" ضد "&amp;E$586)+COUNTIF($E$4:$E$582,E$586&amp;" ضد "&amp;$A640))</f>
        <v>0</v>
      </c>
      <c r="F640" s="4">
        <f>IF($A640=F$586,"",COUNTIF($E$4:$E$582,$A640&amp;" ضد "&amp;F$586)+COUNTIF($E$4:$E$582,F$586&amp;" ضد "&amp;$A640))</f>
        <v>0</v>
      </c>
      <c r="G640" s="4">
        <f>IF($A640=G$586,"",COUNTIF($E$4:$E$582,$A640&amp;" ضد "&amp;G$586)+COUNTIF($E$4:$E$582,G$586&amp;" ضد "&amp;$A640))</f>
        <v>0</v>
      </c>
      <c r="H640" s="4">
        <f>IF($A640=H$586,"",COUNTIF($E$4:$E$582,$A640&amp;" ضد "&amp;H$586)+COUNTIF($E$4:$E$582,H$586&amp;" ضد "&amp;$A640))</f>
        <v>0</v>
      </c>
      <c r="I640" s="4">
        <f>IF($A640=I$586,"",COUNTIF($E$4:$E$582,$A640&amp;" ضد "&amp;I$586)+COUNTIF($E$4:$E$582,I$586&amp;" ضد "&amp;$A640))</f>
        <v>0</v>
      </c>
      <c r="J640" s="4">
        <f>IF($A640=J$586,"",COUNTIF($E$4:$E$582,$A640&amp;" ضد "&amp;J$586)+COUNTIF($E$4:$E$582,J$586&amp;" ضد "&amp;$A640))</f>
        <v>0</v>
      </c>
      <c r="K640" s="4">
        <f>IF($A640=K$586,"",COUNTIF($E$4:$E$582,$A640&amp;" ضد "&amp;K$586)+COUNTIF($E$4:$E$582,K$586&amp;" ضد "&amp;$A640))</f>
        <v>0</v>
      </c>
      <c r="L640" s="4">
        <f>IF($A640=L$586,"",COUNTIF($E$4:$E$582,$A640&amp;" ضد "&amp;L$586)+COUNTIF($E$4:$E$582,L$586&amp;" ضد "&amp;$A640))</f>
        <v>0</v>
      </c>
      <c r="M640" s="4">
        <f>IF($A640=M$586,"",COUNTIF($E$4:$E$582,$A640&amp;" ضد "&amp;M$586)+COUNTIF($E$4:$E$582,M$586&amp;" ضد "&amp;$A640))</f>
        <v>0</v>
      </c>
      <c r="N640" s="4">
        <f>IF($A640=N$586,"",COUNTIF($E$4:$E$582,$A640&amp;" ضد "&amp;N$586)+COUNTIF($E$4:$E$582,N$586&amp;" ضد "&amp;$A640))</f>
        <v>0</v>
      </c>
      <c r="O640" s="4">
        <f>IF($A640=O$586,"",COUNTIF($E$4:$E$582,$A640&amp;" ضد "&amp;O$586)+COUNTIF($E$4:$E$582,O$586&amp;" ضد "&amp;$A640))</f>
        <v>0</v>
      </c>
      <c r="P640" s="4">
        <f>IF($A640=P$586,"",COUNTIF($E$4:$E$582,$A640&amp;" ضد "&amp;P$586)+COUNTIF($E$4:$E$582,P$586&amp;" ضد "&amp;$A640))</f>
        <v>0</v>
      </c>
      <c r="Q640" s="4">
        <f>IF($A640=Q$586,"",COUNTIF($E$4:$E$582,$A640&amp;" ضد "&amp;Q$586)+COUNTIF($E$4:$E$582,Q$586&amp;" ضد "&amp;$A640))</f>
        <v>0</v>
      </c>
      <c r="R640" s="4">
        <f>IF($A640=R$586,"",COUNTIF($E$4:$E$582,$A640&amp;" ضد "&amp;R$586)+COUNTIF($E$4:$E$582,R$586&amp;" ضد "&amp;$A640))</f>
        <v>0</v>
      </c>
      <c r="S640" s="4">
        <f>IF($A640=S$586,"",COUNTIF($E$4:$E$582,$A640&amp;" ضد "&amp;S$586)+COUNTIF($E$4:$E$582,S$586&amp;" ضد "&amp;$A640))</f>
        <v>0</v>
      </c>
      <c r="T640" s="4">
        <f>IF($A640=T$586,"",COUNTIF($E$4:$E$582,$A640&amp;" ضد "&amp;T$586)+COUNTIF($E$4:$E$582,T$586&amp;" ضد "&amp;$A640))</f>
        <v>0</v>
      </c>
      <c r="U640" s="4">
        <f>IF($A640=U$586,"",COUNTIF($E$4:$E$582,$A640&amp;" ضد "&amp;U$586)+COUNTIF($E$4:$E$582,U$586&amp;" ضد "&amp;$A640))</f>
        <v>0</v>
      </c>
      <c r="V640" s="4">
        <f>IF($A640=V$586,"",COUNTIF($E$4:$E$582,$A640&amp;" ضد "&amp;V$586)+COUNTIF($E$4:$E$582,V$586&amp;" ضد "&amp;$A640))</f>
        <v>0</v>
      </c>
      <c r="W640" s="4">
        <f>IF($A640=W$586,"",COUNTIF($E$4:$E$582,$A640&amp;" ضد "&amp;W$586)+COUNTIF($E$4:$E$582,W$586&amp;" ضد "&amp;$A640))</f>
        <v>0</v>
      </c>
      <c r="X640" s="4">
        <f>IF($A640=X$586,"",COUNTIF($E$4:$E$582,$A640&amp;" ضد "&amp;X$586)+COUNTIF($E$4:$E$582,X$586&amp;" ضد "&amp;$A640))</f>
        <v>0</v>
      </c>
      <c r="Y640" s="4">
        <f>IF($A640=Y$586,"",COUNTIF($E$4:$E$582,$A640&amp;" ضد "&amp;Y$586)+COUNTIF($E$4:$E$582,Y$586&amp;" ضد "&amp;$A640))</f>
        <v>0</v>
      </c>
      <c r="Z640" s="4">
        <f>IF($A640=Z$586,"",COUNTIF($E$4:$E$582,$A640&amp;" ضد "&amp;Z$586)+COUNTIF($E$4:$E$582,Z$586&amp;" ضد "&amp;$A640))</f>
        <v>0</v>
      </c>
      <c r="AA640" s="4">
        <f>IF($A640=AA$586,"",COUNTIF($E$4:$E$582,$A640&amp;" ضد "&amp;AA$586)+COUNTIF($E$4:$E$582,AA$586&amp;" ضد "&amp;$A640))</f>
        <v>0</v>
      </c>
      <c r="AB640" s="4">
        <f>IF($A640=AB$586,"",COUNTIF($E$4:$E$582,$A640&amp;" ضد "&amp;AB$586)+COUNTIF($E$4:$E$582,AB$586&amp;" ضد "&amp;$A640))</f>
        <v>0</v>
      </c>
      <c r="AC640" s="4">
        <f>IF($A640=AC$586,"",COUNTIF($E$4:$E$582,$A640&amp;" ضد "&amp;AC$586)+COUNTIF($E$4:$E$582,AC$586&amp;" ضد "&amp;$A640))</f>
        <v>0</v>
      </c>
      <c r="AD640" s="4">
        <f>IF($A640=AD$586,"",COUNTIF($E$4:$E$582,$A640&amp;" ضد "&amp;AD$586)+COUNTIF($E$4:$E$582,AD$586&amp;" ضد "&amp;$A640))</f>
        <v>0</v>
      </c>
      <c r="AE640" s="4">
        <f>IF($A640=AE$586,"",COUNTIF($E$4:$E$582,$A640&amp;" ضد "&amp;AE$586)+COUNTIF($E$4:$E$582,AE$586&amp;" ضد "&amp;$A640))</f>
        <v>0</v>
      </c>
      <c r="AF640" s="4">
        <f>IF($A640=AF$586,"",COUNTIF($E$4:$E$582,$A640&amp;" ضد "&amp;AF$586)+COUNTIF($E$4:$E$582,AF$586&amp;" ضد "&amp;$A640))</f>
        <v>0</v>
      </c>
      <c r="AG640" s="4">
        <f>IF($A640=AG$586,"",COUNTIF($E$4:$E$582,$A640&amp;" ضد "&amp;AG$586)+COUNTIF($E$4:$E$582,AG$586&amp;" ضد "&amp;$A640))</f>
        <v>0</v>
      </c>
      <c r="AH640" s="4">
        <f>IF($A640=AH$586,"",COUNTIF($E$4:$E$582,$A640&amp;" ضد "&amp;AH$586)+COUNTIF($E$4:$E$582,AH$586&amp;" ضد "&amp;$A640))</f>
        <v>0</v>
      </c>
      <c r="AI640" s="4">
        <f>IF($A640=AI$586,"",COUNTIF($E$4:$E$582,$A640&amp;" ضد "&amp;AI$586)+COUNTIF($E$4:$E$582,AI$586&amp;" ضد "&amp;$A640))</f>
        <v>0</v>
      </c>
      <c r="AJ640" s="4">
        <f>IF($A640=AJ$586,"",COUNTIF($E$4:$E$582,$A640&amp;" ضد "&amp;AJ$586)+COUNTIF($E$4:$E$582,AJ$586&amp;" ضد "&amp;$A640))</f>
        <v>0</v>
      </c>
      <c r="AK640" s="4">
        <f>IF($A640=AK$586,"",COUNTIF($E$4:$E$582,$A640&amp;" ضد "&amp;AK$586)+COUNTIF($E$4:$E$582,AK$586&amp;" ضد "&amp;$A640))</f>
        <v>0</v>
      </c>
      <c r="AL640" s="4">
        <f>IF($A640=AL$586,"",COUNTIF($E$4:$E$582,$A640&amp;" ضد "&amp;AL$586)+COUNTIF($E$4:$E$582,AL$586&amp;" ضد "&amp;$A640))</f>
        <v>0</v>
      </c>
      <c r="AM640" s="4">
        <f>IF($A640=AM$586,"",COUNTIF($E$4:$E$582,$A640&amp;" ضد "&amp;AM$586)+COUNTIF($E$4:$E$582,AM$586&amp;" ضد "&amp;$A640))</f>
        <v>0</v>
      </c>
      <c r="AN640" s="4">
        <f>IF($A640=AN$586,"",COUNTIF($E$4:$E$582,$A640&amp;" ضد "&amp;AN$586)+COUNTIF($E$4:$E$582,AN$586&amp;" ضد "&amp;$A640))</f>
        <v>0</v>
      </c>
      <c r="AO640" s="4">
        <f>IF($A640=AO$586,"",COUNTIF($E$4:$E$582,$A640&amp;" ضد "&amp;AO$586)+COUNTIF($E$4:$E$582,AO$586&amp;" ضد "&amp;$A640))</f>
        <v>0</v>
      </c>
      <c r="AP640" s="4">
        <f>IF($A640=AP$586,"",COUNTIF($E$4:$E$582,$A640&amp;" ضد "&amp;AP$586)+COUNTIF($E$4:$E$582,AP$586&amp;" ضد "&amp;$A640))</f>
        <v>0</v>
      </c>
      <c r="AQ640" s="4">
        <f>IF($A640=AQ$586,"",COUNTIF($E$4:$E$582,$A640&amp;" ضد "&amp;AQ$586)+COUNTIF($E$4:$E$582,AQ$586&amp;" ضد "&amp;$A640))</f>
        <v>0</v>
      </c>
      <c r="AR640" s="4">
        <f>IF($A640=AR$586,"",COUNTIF($E$4:$E$582,$A640&amp;" ضد "&amp;AR$586)+COUNTIF($E$4:$E$582,AR$586&amp;" ضد "&amp;$A640))</f>
        <v>0</v>
      </c>
      <c r="AS640" s="4">
        <f>IF($A640=AS$586,"",COUNTIF($E$4:$E$582,$A640&amp;" ضد "&amp;AS$586)+COUNTIF($E$4:$E$582,AS$586&amp;" ضد "&amp;$A640))</f>
        <v>0</v>
      </c>
      <c r="AT640" s="4">
        <f>IF($A640=AT$586,"",COUNTIF($E$4:$E$582,$A640&amp;" ضد "&amp;AT$586)+COUNTIF($E$4:$E$582,AT$586&amp;" ضد "&amp;$A640))</f>
        <v>0</v>
      </c>
      <c r="AU640" s="4">
        <f>IF($A640=AU$586,"",COUNTIF($E$4:$E$582,$A640&amp;" ضد "&amp;AU$586)+COUNTIF($E$4:$E$582,AU$586&amp;" ضد "&amp;$A640))</f>
        <v>0</v>
      </c>
      <c r="AV640" s="4">
        <f>IF($A640=AV$586,"",COUNTIF($E$4:$E$582,$A640&amp;" ضد "&amp;AV$586)+COUNTIF($E$4:$E$582,AV$586&amp;" ضد "&amp;$A640))</f>
        <v>0</v>
      </c>
      <c r="AW640" s="4">
        <f>IF($A640=AW$586,"",COUNTIF($E$4:$E$582,$A640&amp;" ضد "&amp;AW$586)+COUNTIF($E$4:$E$582,AW$586&amp;" ضد "&amp;$A640))</f>
        <v>0</v>
      </c>
      <c r="AX640" s="4">
        <f>IF($A640=AX$586,"",COUNTIF($E$4:$E$582,$A640&amp;" ضد "&amp;AX$586)+COUNTIF($E$4:$E$582,AX$586&amp;" ضد "&amp;$A640))</f>
        <v>1</v>
      </c>
      <c r="AY640" s="4">
        <f>IF($A640=AY$586,"",COUNTIF($E$4:$E$582,$A640&amp;" ضد "&amp;AY$586)+COUNTIF($E$4:$E$582,AY$586&amp;" ضد "&amp;$A640))</f>
        <v>1</v>
      </c>
      <c r="AZ640" s="4">
        <f>IF($A640=AZ$586,"",COUNTIF($E$4:$E$582,$A640&amp;" ضد "&amp;AZ$586)+COUNTIF($E$4:$E$582,AZ$586&amp;" ضد "&amp;$A640))</f>
        <v>1</v>
      </c>
      <c r="BA640" s="4">
        <f>IF($A640=BA$586,"",COUNTIF($E$4:$E$582,$A640&amp;" ضد "&amp;BA$586)+COUNTIF($E$4:$E$582,BA$586&amp;" ضد "&amp;$A640))</f>
        <v>1</v>
      </c>
      <c r="BB640" s="4">
        <f>IF($A640=BB$586,"",COUNTIF($E$4:$E$582,$A640&amp;" ضد "&amp;BB$586)+COUNTIF($E$4:$E$582,BB$586&amp;" ضد "&amp;$A640))</f>
        <v>1</v>
      </c>
      <c r="BC640" s="4" t="str">
        <f>IF($A640=BC$586,"",COUNTIF($E$4:$E$582,$A640&amp;" ضد "&amp;BC$586)+COUNTIF($E$4:$E$582,BC$586&amp;" ضد "&amp;$A640))</f>
        <v/>
      </c>
      <c r="BD640" s="4">
        <f>IF($A640=BD$586,"",COUNTIF($E$4:$E$582,$A640&amp;" ضد "&amp;BD$586)+COUNTIF($E$4:$E$582,BD$586&amp;" ضد "&amp;$A640))</f>
        <v>2</v>
      </c>
      <c r="BE640" s="4">
        <f>IF($A640=BE$586,"",COUNTIF($E$4:$E$582,$A640&amp;" ضد "&amp;BE$586)+COUNTIF($E$4:$E$582,BE$586&amp;" ضد "&amp;$A640))</f>
        <v>1</v>
      </c>
      <c r="BF640" s="4">
        <f>IF($A640=BF$586,"",COUNTIF($E$4:$E$582,$A640&amp;" ضد "&amp;BF$586)+COUNTIF($E$4:$E$582,BF$586&amp;" ضد "&amp;$A640))</f>
        <v>2</v>
      </c>
      <c r="BG640" s="4">
        <f>IF($A640=BG$586,"",COUNTIF($E$4:$E$582,$A640&amp;" ضد "&amp;BG$586)+COUNTIF($E$4:$E$582,BG$586&amp;" ضد "&amp;$A640))</f>
        <v>1</v>
      </c>
      <c r="BH640" s="4">
        <f>IF($A640=BH$586,"",COUNTIF($E$4:$E$582,$A640&amp;" ضد "&amp;BH$586)+COUNTIF($E$4:$E$582,BH$586&amp;" ضد "&amp;$A640))</f>
        <v>2</v>
      </c>
      <c r="BI640" s="4">
        <f>IF($A640=BI$586,"",COUNTIF($E$4:$E$582,$A640&amp;" ضد "&amp;BI$586)+COUNTIF($E$4:$E$582,BI$586&amp;" ضد "&amp;$A640))</f>
        <v>1</v>
      </c>
      <c r="BJ640" s="4">
        <f>IF($A640=BJ$586,"",COUNTIF($E$4:$E$582,$A640&amp;" ضد "&amp;BJ$586)+COUNTIF($E$4:$E$582,BJ$586&amp;" ضد "&amp;$A640))</f>
        <v>1</v>
      </c>
      <c r="BK640" s="4">
        <f>IF($A640=BK$586,"",COUNTIF($E$4:$E$582,$A640&amp;" ضد "&amp;BK$586)+COUNTIF($E$4:$E$582,BK$586&amp;" ضد "&amp;$A640))</f>
        <v>1</v>
      </c>
      <c r="BL640" s="4">
        <f>IF($A640=BL$586,"",COUNTIF($E$4:$E$582,$A640&amp;" ضد "&amp;BL$586)+COUNTIF($E$4:$E$582,BL$586&amp;" ضد "&amp;$A640))</f>
        <v>1</v>
      </c>
      <c r="BM640" s="4">
        <f>IF($A640=BM$586,"",COUNTIF($E$4:$E$582,$A640&amp;" ضد "&amp;BM$586)+COUNTIF($E$4:$E$582,BM$586&amp;" ضد "&amp;$A640))</f>
        <v>1</v>
      </c>
    </row>
    <row r="641" spans="1:65" ht="14.5">
      <c r="A641" s="14">
        <v>55</v>
      </c>
      <c r="B641" s="4">
        <f>IF($A641=B$586,"",COUNTIF($E$4:$E$582,$A641&amp;" ضد "&amp;B$586)+COUNTIF($E$4:$E$582,B$586&amp;" ضد "&amp;$A641))</f>
        <v>0</v>
      </c>
      <c r="C641" s="4">
        <f>IF($A641=C$586,"",COUNTIF($E$4:$E$582,$A641&amp;" ضد "&amp;C$586)+COUNTIF($E$4:$E$582,C$586&amp;" ضد "&amp;$A641))</f>
        <v>0</v>
      </c>
      <c r="D641" s="4">
        <f>IF($A641=D$586,"",COUNTIF($E$4:$E$582,$A641&amp;" ضد "&amp;D$586)+COUNTIF($E$4:$E$582,D$586&amp;" ضد "&amp;$A641))</f>
        <v>0</v>
      </c>
      <c r="E641" s="4">
        <f>IF($A641=E$586,"",COUNTIF($E$4:$E$582,$A641&amp;" ضد "&amp;E$586)+COUNTIF($E$4:$E$582,E$586&amp;" ضد "&amp;$A641))</f>
        <v>0</v>
      </c>
      <c r="F641" s="4">
        <f>IF($A641=F$586,"",COUNTIF($E$4:$E$582,$A641&amp;" ضد "&amp;F$586)+COUNTIF($E$4:$E$582,F$586&amp;" ضد "&amp;$A641))</f>
        <v>0</v>
      </c>
      <c r="G641" s="4">
        <f>IF($A641=G$586,"",COUNTIF($E$4:$E$582,$A641&amp;" ضد "&amp;G$586)+COUNTIF($E$4:$E$582,G$586&amp;" ضد "&amp;$A641))</f>
        <v>0</v>
      </c>
      <c r="H641" s="4">
        <f>IF($A641=H$586,"",COUNTIF($E$4:$E$582,$A641&amp;" ضد "&amp;H$586)+COUNTIF($E$4:$E$582,H$586&amp;" ضد "&amp;$A641))</f>
        <v>0</v>
      </c>
      <c r="I641" s="4">
        <f>IF($A641=I$586,"",COUNTIF($E$4:$E$582,$A641&amp;" ضد "&amp;I$586)+COUNTIF($E$4:$E$582,I$586&amp;" ضد "&amp;$A641))</f>
        <v>0</v>
      </c>
      <c r="J641" s="4">
        <f>IF($A641=J$586,"",COUNTIF($E$4:$E$582,$A641&amp;" ضد "&amp;J$586)+COUNTIF($E$4:$E$582,J$586&amp;" ضد "&amp;$A641))</f>
        <v>0</v>
      </c>
      <c r="K641" s="4">
        <f>IF($A641=K$586,"",COUNTIF($E$4:$E$582,$A641&amp;" ضد "&amp;K$586)+COUNTIF($E$4:$E$582,K$586&amp;" ضد "&amp;$A641))</f>
        <v>0</v>
      </c>
      <c r="L641" s="4">
        <f>IF($A641=L$586,"",COUNTIF($E$4:$E$582,$A641&amp;" ضد "&amp;L$586)+COUNTIF($E$4:$E$582,L$586&amp;" ضد "&amp;$A641))</f>
        <v>0</v>
      </c>
      <c r="M641" s="4">
        <f>IF($A641=M$586,"",COUNTIF($E$4:$E$582,$A641&amp;" ضد "&amp;M$586)+COUNTIF($E$4:$E$582,M$586&amp;" ضد "&amp;$A641))</f>
        <v>0</v>
      </c>
      <c r="N641" s="4">
        <f>IF($A641=N$586,"",COUNTIF($E$4:$E$582,$A641&amp;" ضد "&amp;N$586)+COUNTIF($E$4:$E$582,N$586&amp;" ضد "&amp;$A641))</f>
        <v>0</v>
      </c>
      <c r="O641" s="4">
        <f>IF($A641=O$586,"",COUNTIF($E$4:$E$582,$A641&amp;" ضد "&amp;O$586)+COUNTIF($E$4:$E$582,O$586&amp;" ضد "&amp;$A641))</f>
        <v>0</v>
      </c>
      <c r="P641" s="4">
        <f>IF($A641=P$586,"",COUNTIF($E$4:$E$582,$A641&amp;" ضد "&amp;P$586)+COUNTIF($E$4:$E$582,P$586&amp;" ضد "&amp;$A641))</f>
        <v>0</v>
      </c>
      <c r="Q641" s="4">
        <f>IF($A641=Q$586,"",COUNTIF($E$4:$E$582,$A641&amp;" ضد "&amp;Q$586)+COUNTIF($E$4:$E$582,Q$586&amp;" ضد "&amp;$A641))</f>
        <v>0</v>
      </c>
      <c r="R641" s="4">
        <f>IF($A641=R$586,"",COUNTIF($E$4:$E$582,$A641&amp;" ضد "&amp;R$586)+COUNTIF($E$4:$E$582,R$586&amp;" ضد "&amp;$A641))</f>
        <v>0</v>
      </c>
      <c r="S641" s="4">
        <f>IF($A641=S$586,"",COUNTIF($E$4:$E$582,$A641&amp;" ضد "&amp;S$586)+COUNTIF($E$4:$E$582,S$586&amp;" ضد "&amp;$A641))</f>
        <v>0</v>
      </c>
      <c r="T641" s="4">
        <f>IF($A641=T$586,"",COUNTIF($E$4:$E$582,$A641&amp;" ضد "&amp;T$586)+COUNTIF($E$4:$E$582,T$586&amp;" ضد "&amp;$A641))</f>
        <v>0</v>
      </c>
      <c r="U641" s="4">
        <f>IF($A641=U$586,"",COUNTIF($E$4:$E$582,$A641&amp;" ضد "&amp;U$586)+COUNTIF($E$4:$E$582,U$586&amp;" ضد "&amp;$A641))</f>
        <v>0</v>
      </c>
      <c r="V641" s="4">
        <f>IF($A641=V$586,"",COUNTIF($E$4:$E$582,$A641&amp;" ضد "&amp;V$586)+COUNTIF($E$4:$E$582,V$586&amp;" ضد "&amp;$A641))</f>
        <v>0</v>
      </c>
      <c r="W641" s="4">
        <f>IF($A641=W$586,"",COUNTIF($E$4:$E$582,$A641&amp;" ضد "&amp;W$586)+COUNTIF($E$4:$E$582,W$586&amp;" ضد "&amp;$A641))</f>
        <v>0</v>
      </c>
      <c r="X641" s="4">
        <f>IF($A641=X$586,"",COUNTIF($E$4:$E$582,$A641&amp;" ضد "&amp;X$586)+COUNTIF($E$4:$E$582,X$586&amp;" ضد "&amp;$A641))</f>
        <v>0</v>
      </c>
      <c r="Y641" s="4">
        <f>IF($A641=Y$586,"",COUNTIF($E$4:$E$582,$A641&amp;" ضد "&amp;Y$586)+COUNTIF($E$4:$E$582,Y$586&amp;" ضد "&amp;$A641))</f>
        <v>0</v>
      </c>
      <c r="Z641" s="4">
        <f>IF($A641=Z$586,"",COUNTIF($E$4:$E$582,$A641&amp;" ضد "&amp;Z$586)+COUNTIF($E$4:$E$582,Z$586&amp;" ضد "&amp;$A641))</f>
        <v>0</v>
      </c>
      <c r="AA641" s="4">
        <f>IF($A641=AA$586,"",COUNTIF($E$4:$E$582,$A641&amp;" ضد "&amp;AA$586)+COUNTIF($E$4:$E$582,AA$586&amp;" ضد "&amp;$A641))</f>
        <v>0</v>
      </c>
      <c r="AB641" s="4">
        <f>IF($A641=AB$586,"",COUNTIF($E$4:$E$582,$A641&amp;" ضد "&amp;AB$586)+COUNTIF($E$4:$E$582,AB$586&amp;" ضد "&amp;$A641))</f>
        <v>0</v>
      </c>
      <c r="AC641" s="4">
        <f>IF($A641=AC$586,"",COUNTIF($E$4:$E$582,$A641&amp;" ضد "&amp;AC$586)+COUNTIF($E$4:$E$582,AC$586&amp;" ضد "&amp;$A641))</f>
        <v>0</v>
      </c>
      <c r="AD641" s="4">
        <f>IF($A641=AD$586,"",COUNTIF($E$4:$E$582,$A641&amp;" ضد "&amp;AD$586)+COUNTIF($E$4:$E$582,AD$586&amp;" ضد "&amp;$A641))</f>
        <v>0</v>
      </c>
      <c r="AE641" s="4">
        <f>IF($A641=AE$586,"",COUNTIF($E$4:$E$582,$A641&amp;" ضد "&amp;AE$586)+COUNTIF($E$4:$E$582,AE$586&amp;" ضد "&amp;$A641))</f>
        <v>0</v>
      </c>
      <c r="AF641" s="4">
        <f>IF($A641=AF$586,"",COUNTIF($E$4:$E$582,$A641&amp;" ضد "&amp;AF$586)+COUNTIF($E$4:$E$582,AF$586&amp;" ضد "&amp;$A641))</f>
        <v>0</v>
      </c>
      <c r="AG641" s="4">
        <f>IF($A641=AG$586,"",COUNTIF($E$4:$E$582,$A641&amp;" ضد "&amp;AG$586)+COUNTIF($E$4:$E$582,AG$586&amp;" ضد "&amp;$A641))</f>
        <v>0</v>
      </c>
      <c r="AH641" s="4">
        <f>IF($A641=AH$586,"",COUNTIF($E$4:$E$582,$A641&amp;" ضد "&amp;AH$586)+COUNTIF($E$4:$E$582,AH$586&amp;" ضد "&amp;$A641))</f>
        <v>0</v>
      </c>
      <c r="AI641" s="4">
        <f>IF($A641=AI$586,"",COUNTIF($E$4:$E$582,$A641&amp;" ضد "&amp;AI$586)+COUNTIF($E$4:$E$582,AI$586&amp;" ضد "&amp;$A641))</f>
        <v>0</v>
      </c>
      <c r="AJ641" s="4">
        <f>IF($A641=AJ$586,"",COUNTIF($E$4:$E$582,$A641&amp;" ضد "&amp;AJ$586)+COUNTIF($E$4:$E$582,AJ$586&amp;" ضد "&amp;$A641))</f>
        <v>0</v>
      </c>
      <c r="AK641" s="4">
        <f>IF($A641=AK$586,"",COUNTIF($E$4:$E$582,$A641&amp;" ضد "&amp;AK$586)+COUNTIF($E$4:$E$582,AK$586&amp;" ضد "&amp;$A641))</f>
        <v>0</v>
      </c>
      <c r="AL641" s="4">
        <f>IF($A641=AL$586,"",COUNTIF($E$4:$E$582,$A641&amp;" ضد "&amp;AL$586)+COUNTIF($E$4:$E$582,AL$586&amp;" ضد "&amp;$A641))</f>
        <v>0</v>
      </c>
      <c r="AM641" s="4">
        <f>IF($A641=AM$586,"",COUNTIF($E$4:$E$582,$A641&amp;" ضد "&amp;AM$586)+COUNTIF($E$4:$E$582,AM$586&amp;" ضد "&amp;$A641))</f>
        <v>0</v>
      </c>
      <c r="AN641" s="4">
        <f>IF($A641=AN$586,"",COUNTIF($E$4:$E$582,$A641&amp;" ضد "&amp;AN$586)+COUNTIF($E$4:$E$582,AN$586&amp;" ضد "&amp;$A641))</f>
        <v>0</v>
      </c>
      <c r="AO641" s="4">
        <f>IF($A641=AO$586,"",COUNTIF($E$4:$E$582,$A641&amp;" ضد "&amp;AO$586)+COUNTIF($E$4:$E$582,AO$586&amp;" ضد "&amp;$A641))</f>
        <v>0</v>
      </c>
      <c r="AP641" s="4">
        <f>IF($A641=AP$586,"",COUNTIF($E$4:$E$582,$A641&amp;" ضد "&amp;AP$586)+COUNTIF($E$4:$E$582,AP$586&amp;" ضد "&amp;$A641))</f>
        <v>0</v>
      </c>
      <c r="AQ641" s="4">
        <f>IF($A641=AQ$586,"",COUNTIF($E$4:$E$582,$A641&amp;" ضد "&amp;AQ$586)+COUNTIF($E$4:$E$582,AQ$586&amp;" ضد "&amp;$A641))</f>
        <v>0</v>
      </c>
      <c r="AR641" s="4">
        <f>IF($A641=AR$586,"",COUNTIF($E$4:$E$582,$A641&amp;" ضد "&amp;AR$586)+COUNTIF($E$4:$E$582,AR$586&amp;" ضد "&amp;$A641))</f>
        <v>0</v>
      </c>
      <c r="AS641" s="4">
        <f>IF($A641=AS$586,"",COUNTIF($E$4:$E$582,$A641&amp;" ضد "&amp;AS$586)+COUNTIF($E$4:$E$582,AS$586&amp;" ضد "&amp;$A641))</f>
        <v>0</v>
      </c>
      <c r="AT641" s="4">
        <f>IF($A641=AT$586,"",COUNTIF($E$4:$E$582,$A641&amp;" ضد "&amp;AT$586)+COUNTIF($E$4:$E$582,AT$586&amp;" ضد "&amp;$A641))</f>
        <v>0</v>
      </c>
      <c r="AU641" s="4">
        <f>IF($A641=AU$586,"",COUNTIF($E$4:$E$582,$A641&amp;" ضد "&amp;AU$586)+COUNTIF($E$4:$E$582,AU$586&amp;" ضد "&amp;$A641))</f>
        <v>0</v>
      </c>
      <c r="AV641" s="4">
        <f>IF($A641=AV$586,"",COUNTIF($E$4:$E$582,$A641&amp;" ضد "&amp;AV$586)+COUNTIF($E$4:$E$582,AV$586&amp;" ضد "&amp;$A641))</f>
        <v>0</v>
      </c>
      <c r="AW641" s="4">
        <f>IF($A641=AW$586,"",COUNTIF($E$4:$E$582,$A641&amp;" ضد "&amp;AW$586)+COUNTIF($E$4:$E$582,AW$586&amp;" ضد "&amp;$A641))</f>
        <v>0</v>
      </c>
      <c r="AX641" s="4">
        <f>IF($A641=AX$586,"",COUNTIF($E$4:$E$582,$A641&amp;" ضد "&amp;AX$586)+COUNTIF($E$4:$E$582,AX$586&amp;" ضد "&amp;$A641))</f>
        <v>1</v>
      </c>
      <c r="AY641" s="4">
        <f>IF($A641=AY$586,"",COUNTIF($E$4:$E$582,$A641&amp;" ضد "&amp;AY$586)+COUNTIF($E$4:$E$582,AY$586&amp;" ضد "&amp;$A641))</f>
        <v>1</v>
      </c>
      <c r="AZ641" s="4">
        <f>IF($A641=AZ$586,"",COUNTIF($E$4:$E$582,$A641&amp;" ضد "&amp;AZ$586)+COUNTIF($E$4:$E$582,AZ$586&amp;" ضد "&amp;$A641))</f>
        <v>1</v>
      </c>
      <c r="BA641" s="4">
        <f>IF($A641=BA$586,"",COUNTIF($E$4:$E$582,$A641&amp;" ضد "&amp;BA$586)+COUNTIF($E$4:$E$582,BA$586&amp;" ضد "&amp;$A641))</f>
        <v>1</v>
      </c>
      <c r="BB641" s="4">
        <f>IF($A641=BB$586,"",COUNTIF($E$4:$E$582,$A641&amp;" ضد "&amp;BB$586)+COUNTIF($E$4:$E$582,BB$586&amp;" ضد "&amp;$A641))</f>
        <v>1</v>
      </c>
      <c r="BC641" s="4">
        <f>IF($A641=BC$586,"",COUNTIF($E$4:$E$582,$A641&amp;" ضد "&amp;BC$586)+COUNTIF($E$4:$E$582,BC$586&amp;" ضد "&amp;$A641))</f>
        <v>2</v>
      </c>
      <c r="BD641" s="4" t="str">
        <f>IF($A641=BD$586,"",COUNTIF($E$4:$E$582,$A641&amp;" ضد "&amp;BD$586)+COUNTIF($E$4:$E$582,BD$586&amp;" ضد "&amp;$A641))</f>
        <v/>
      </c>
      <c r="BE641" s="4">
        <f>IF($A641=BE$586,"",COUNTIF($E$4:$E$582,$A641&amp;" ضد "&amp;BE$586)+COUNTIF($E$4:$E$582,BE$586&amp;" ضد "&amp;$A641))</f>
        <v>2</v>
      </c>
      <c r="BF641" s="4">
        <f>IF($A641=BF$586,"",COUNTIF($E$4:$E$582,$A641&amp;" ضد "&amp;BF$586)+COUNTIF($E$4:$E$582,BF$586&amp;" ضد "&amp;$A641))</f>
        <v>1</v>
      </c>
      <c r="BG641" s="4">
        <f>IF($A641=BG$586,"",COUNTIF($E$4:$E$582,$A641&amp;" ضد "&amp;BG$586)+COUNTIF($E$4:$E$582,BG$586&amp;" ضد "&amp;$A641))</f>
        <v>2</v>
      </c>
      <c r="BH641" s="4">
        <f>IF($A641=BH$586,"",COUNTIF($E$4:$E$582,$A641&amp;" ضد "&amp;BH$586)+COUNTIF($E$4:$E$582,BH$586&amp;" ضد "&amp;$A641))</f>
        <v>1</v>
      </c>
      <c r="BI641" s="4">
        <f>IF($A641=BI$586,"",COUNTIF($E$4:$E$582,$A641&amp;" ضد "&amp;BI$586)+COUNTIF($E$4:$E$582,BI$586&amp;" ضد "&amp;$A641))</f>
        <v>1</v>
      </c>
      <c r="BJ641" s="4">
        <f>IF($A641=BJ$586,"",COUNTIF($E$4:$E$582,$A641&amp;" ضد "&amp;BJ$586)+COUNTIF($E$4:$E$582,BJ$586&amp;" ضد "&amp;$A641))</f>
        <v>1</v>
      </c>
      <c r="BK641" s="4">
        <f>IF($A641=BK$586,"",COUNTIF($E$4:$E$582,$A641&amp;" ضد "&amp;BK$586)+COUNTIF($E$4:$E$582,BK$586&amp;" ضد "&amp;$A641))</f>
        <v>1</v>
      </c>
      <c r="BL641" s="4">
        <f>IF($A641=BL$586,"",COUNTIF($E$4:$E$582,$A641&amp;" ضد "&amp;BL$586)+COUNTIF($E$4:$E$582,BL$586&amp;" ضد "&amp;$A641))</f>
        <v>1</v>
      </c>
      <c r="BM641" s="4">
        <f>IF($A641=BM$586,"",COUNTIF($E$4:$E$582,$A641&amp;" ضد "&amp;BM$586)+COUNTIF($E$4:$E$582,BM$586&amp;" ضد "&amp;$A641))</f>
        <v>1</v>
      </c>
    </row>
    <row r="642" spans="1:65" ht="14.5">
      <c r="A642" s="14">
        <v>56</v>
      </c>
      <c r="B642" s="4">
        <f>IF($A642=B$586,"",COUNTIF($E$4:$E$582,$A642&amp;" ضد "&amp;B$586)+COUNTIF($E$4:$E$582,B$586&amp;" ضد "&amp;$A642))</f>
        <v>0</v>
      </c>
      <c r="C642" s="4">
        <f>IF($A642=C$586,"",COUNTIF($E$4:$E$582,$A642&amp;" ضد "&amp;C$586)+COUNTIF($E$4:$E$582,C$586&amp;" ضد "&amp;$A642))</f>
        <v>0</v>
      </c>
      <c r="D642" s="4">
        <f>IF($A642=D$586,"",COUNTIF($E$4:$E$582,$A642&amp;" ضد "&amp;D$586)+COUNTIF($E$4:$E$582,D$586&amp;" ضد "&amp;$A642))</f>
        <v>0</v>
      </c>
      <c r="E642" s="4">
        <f>IF($A642=E$586,"",COUNTIF($E$4:$E$582,$A642&amp;" ضد "&amp;E$586)+COUNTIF($E$4:$E$582,E$586&amp;" ضد "&amp;$A642))</f>
        <v>0</v>
      </c>
      <c r="F642" s="4">
        <f>IF($A642=F$586,"",COUNTIF($E$4:$E$582,$A642&amp;" ضد "&amp;F$586)+COUNTIF($E$4:$E$582,F$586&amp;" ضد "&amp;$A642))</f>
        <v>0</v>
      </c>
      <c r="G642" s="4">
        <f>IF($A642=G$586,"",COUNTIF($E$4:$E$582,$A642&amp;" ضد "&amp;G$586)+COUNTIF($E$4:$E$582,G$586&amp;" ضد "&amp;$A642))</f>
        <v>0</v>
      </c>
      <c r="H642" s="4">
        <f>IF($A642=H$586,"",COUNTIF($E$4:$E$582,$A642&amp;" ضد "&amp;H$586)+COUNTIF($E$4:$E$582,H$586&amp;" ضد "&amp;$A642))</f>
        <v>0</v>
      </c>
      <c r="I642" s="4">
        <f>IF($A642=I$586,"",COUNTIF($E$4:$E$582,$A642&amp;" ضد "&amp;I$586)+COUNTIF($E$4:$E$582,I$586&amp;" ضد "&amp;$A642))</f>
        <v>0</v>
      </c>
      <c r="J642" s="4">
        <f>IF($A642=J$586,"",COUNTIF($E$4:$E$582,$A642&amp;" ضد "&amp;J$586)+COUNTIF($E$4:$E$582,J$586&amp;" ضد "&amp;$A642))</f>
        <v>0</v>
      </c>
      <c r="K642" s="4">
        <f>IF($A642=K$586,"",COUNTIF($E$4:$E$582,$A642&amp;" ضد "&amp;K$586)+COUNTIF($E$4:$E$582,K$586&amp;" ضد "&amp;$A642))</f>
        <v>0</v>
      </c>
      <c r="L642" s="4">
        <f>IF($A642=L$586,"",COUNTIF($E$4:$E$582,$A642&amp;" ضد "&amp;L$586)+COUNTIF($E$4:$E$582,L$586&amp;" ضد "&amp;$A642))</f>
        <v>0</v>
      </c>
      <c r="M642" s="4">
        <f>IF($A642=M$586,"",COUNTIF($E$4:$E$582,$A642&amp;" ضد "&amp;M$586)+COUNTIF($E$4:$E$582,M$586&amp;" ضد "&amp;$A642))</f>
        <v>0</v>
      </c>
      <c r="N642" s="4">
        <f>IF($A642=N$586,"",COUNTIF($E$4:$E$582,$A642&amp;" ضد "&amp;N$586)+COUNTIF($E$4:$E$582,N$586&amp;" ضد "&amp;$A642))</f>
        <v>0</v>
      </c>
      <c r="O642" s="4">
        <f>IF($A642=O$586,"",COUNTIF($E$4:$E$582,$A642&amp;" ضد "&amp;O$586)+COUNTIF($E$4:$E$582,O$586&amp;" ضد "&amp;$A642))</f>
        <v>0</v>
      </c>
      <c r="P642" s="4">
        <f>IF($A642=P$586,"",COUNTIF($E$4:$E$582,$A642&amp;" ضد "&amp;P$586)+COUNTIF($E$4:$E$582,P$586&amp;" ضد "&amp;$A642))</f>
        <v>0</v>
      </c>
      <c r="Q642" s="4">
        <f>IF($A642=Q$586,"",COUNTIF($E$4:$E$582,$A642&amp;" ضد "&amp;Q$586)+COUNTIF($E$4:$E$582,Q$586&amp;" ضد "&amp;$A642))</f>
        <v>0</v>
      </c>
      <c r="R642" s="4">
        <f>IF($A642=R$586,"",COUNTIF($E$4:$E$582,$A642&amp;" ضد "&amp;R$586)+COUNTIF($E$4:$E$582,R$586&amp;" ضد "&amp;$A642))</f>
        <v>0</v>
      </c>
      <c r="S642" s="4">
        <f>IF($A642=S$586,"",COUNTIF($E$4:$E$582,$A642&amp;" ضد "&amp;S$586)+COUNTIF($E$4:$E$582,S$586&amp;" ضد "&amp;$A642))</f>
        <v>0</v>
      </c>
      <c r="T642" s="4">
        <f>IF($A642=T$586,"",COUNTIF($E$4:$E$582,$A642&amp;" ضد "&amp;T$586)+COUNTIF($E$4:$E$582,T$586&amp;" ضد "&amp;$A642))</f>
        <v>0</v>
      </c>
      <c r="U642" s="4">
        <f>IF($A642=U$586,"",COUNTIF($E$4:$E$582,$A642&amp;" ضد "&amp;U$586)+COUNTIF($E$4:$E$582,U$586&amp;" ضد "&amp;$A642))</f>
        <v>0</v>
      </c>
      <c r="V642" s="4">
        <f>IF($A642=V$586,"",COUNTIF($E$4:$E$582,$A642&amp;" ضد "&amp;V$586)+COUNTIF($E$4:$E$582,V$586&amp;" ضد "&amp;$A642))</f>
        <v>0</v>
      </c>
      <c r="W642" s="4">
        <f>IF($A642=W$586,"",COUNTIF($E$4:$E$582,$A642&amp;" ضد "&amp;W$586)+COUNTIF($E$4:$E$582,W$586&amp;" ضد "&amp;$A642))</f>
        <v>0</v>
      </c>
      <c r="X642" s="4">
        <f>IF($A642=X$586,"",COUNTIF($E$4:$E$582,$A642&amp;" ضد "&amp;X$586)+COUNTIF($E$4:$E$582,X$586&amp;" ضد "&amp;$A642))</f>
        <v>0</v>
      </c>
      <c r="Y642" s="4">
        <f>IF($A642=Y$586,"",COUNTIF($E$4:$E$582,$A642&amp;" ضد "&amp;Y$586)+COUNTIF($E$4:$E$582,Y$586&amp;" ضد "&amp;$A642))</f>
        <v>0</v>
      </c>
      <c r="Z642" s="4">
        <f>IF($A642=Z$586,"",COUNTIF($E$4:$E$582,$A642&amp;" ضد "&amp;Z$586)+COUNTIF($E$4:$E$582,Z$586&amp;" ضد "&amp;$A642))</f>
        <v>0</v>
      </c>
      <c r="AA642" s="4">
        <f>IF($A642=AA$586,"",COUNTIF($E$4:$E$582,$A642&amp;" ضد "&amp;AA$586)+COUNTIF($E$4:$E$582,AA$586&amp;" ضد "&amp;$A642))</f>
        <v>0</v>
      </c>
      <c r="AB642" s="4">
        <f>IF($A642=AB$586,"",COUNTIF($E$4:$E$582,$A642&amp;" ضد "&amp;AB$586)+COUNTIF($E$4:$E$582,AB$586&amp;" ضد "&amp;$A642))</f>
        <v>0</v>
      </c>
      <c r="AC642" s="4">
        <f>IF($A642=AC$586,"",COUNTIF($E$4:$E$582,$A642&amp;" ضد "&amp;AC$586)+COUNTIF($E$4:$E$582,AC$586&amp;" ضد "&amp;$A642))</f>
        <v>0</v>
      </c>
      <c r="AD642" s="4">
        <f>IF($A642=AD$586,"",COUNTIF($E$4:$E$582,$A642&amp;" ضد "&amp;AD$586)+COUNTIF($E$4:$E$582,AD$586&amp;" ضد "&amp;$A642))</f>
        <v>0</v>
      </c>
      <c r="AE642" s="4">
        <f>IF($A642=AE$586,"",COUNTIF($E$4:$E$582,$A642&amp;" ضد "&amp;AE$586)+COUNTIF($E$4:$E$582,AE$586&amp;" ضد "&amp;$A642))</f>
        <v>0</v>
      </c>
      <c r="AF642" s="4">
        <f>IF($A642=AF$586,"",COUNTIF($E$4:$E$582,$A642&amp;" ضد "&amp;AF$586)+COUNTIF($E$4:$E$582,AF$586&amp;" ضد "&amp;$A642))</f>
        <v>0</v>
      </c>
      <c r="AG642" s="4">
        <f>IF($A642=AG$586,"",COUNTIF($E$4:$E$582,$A642&amp;" ضد "&amp;AG$586)+COUNTIF($E$4:$E$582,AG$586&amp;" ضد "&amp;$A642))</f>
        <v>0</v>
      </c>
      <c r="AH642" s="4">
        <f>IF($A642=AH$586,"",COUNTIF($E$4:$E$582,$A642&amp;" ضد "&amp;AH$586)+COUNTIF($E$4:$E$582,AH$586&amp;" ضد "&amp;$A642))</f>
        <v>0</v>
      </c>
      <c r="AI642" s="4">
        <f>IF($A642=AI$586,"",COUNTIF($E$4:$E$582,$A642&amp;" ضد "&amp;AI$586)+COUNTIF($E$4:$E$582,AI$586&amp;" ضد "&amp;$A642))</f>
        <v>0</v>
      </c>
      <c r="AJ642" s="4">
        <f>IF($A642=AJ$586,"",COUNTIF($E$4:$E$582,$A642&amp;" ضد "&amp;AJ$586)+COUNTIF($E$4:$E$582,AJ$586&amp;" ضد "&amp;$A642))</f>
        <v>0</v>
      </c>
      <c r="AK642" s="4">
        <f>IF($A642=AK$586,"",COUNTIF($E$4:$E$582,$A642&amp;" ضد "&amp;AK$586)+COUNTIF($E$4:$E$582,AK$586&amp;" ضد "&amp;$A642))</f>
        <v>0</v>
      </c>
      <c r="AL642" s="4">
        <f>IF($A642=AL$586,"",COUNTIF($E$4:$E$582,$A642&amp;" ضد "&amp;AL$586)+COUNTIF($E$4:$E$582,AL$586&amp;" ضد "&amp;$A642))</f>
        <v>0</v>
      </c>
      <c r="AM642" s="4">
        <f>IF($A642=AM$586,"",COUNTIF($E$4:$E$582,$A642&amp;" ضد "&amp;AM$586)+COUNTIF($E$4:$E$582,AM$586&amp;" ضد "&amp;$A642))</f>
        <v>0</v>
      </c>
      <c r="AN642" s="4">
        <f>IF($A642=AN$586,"",COUNTIF($E$4:$E$582,$A642&amp;" ضد "&amp;AN$586)+COUNTIF($E$4:$E$582,AN$586&amp;" ضد "&amp;$A642))</f>
        <v>0</v>
      </c>
      <c r="AO642" s="4">
        <f>IF($A642=AO$586,"",COUNTIF($E$4:$E$582,$A642&amp;" ضد "&amp;AO$586)+COUNTIF($E$4:$E$582,AO$586&amp;" ضد "&amp;$A642))</f>
        <v>0</v>
      </c>
      <c r="AP642" s="4">
        <f>IF($A642=AP$586,"",COUNTIF($E$4:$E$582,$A642&amp;" ضد "&amp;AP$586)+COUNTIF($E$4:$E$582,AP$586&amp;" ضد "&amp;$A642))</f>
        <v>0</v>
      </c>
      <c r="AQ642" s="4">
        <f>IF($A642=AQ$586,"",COUNTIF($E$4:$E$582,$A642&amp;" ضد "&amp;AQ$586)+COUNTIF($E$4:$E$582,AQ$586&amp;" ضد "&amp;$A642))</f>
        <v>0</v>
      </c>
      <c r="AR642" s="4">
        <f>IF($A642=AR$586,"",COUNTIF($E$4:$E$582,$A642&amp;" ضد "&amp;AR$586)+COUNTIF($E$4:$E$582,AR$586&amp;" ضد "&amp;$A642))</f>
        <v>0</v>
      </c>
      <c r="AS642" s="4">
        <f>IF($A642=AS$586,"",COUNTIF($E$4:$E$582,$A642&amp;" ضد "&amp;AS$586)+COUNTIF($E$4:$E$582,AS$586&amp;" ضد "&amp;$A642))</f>
        <v>0</v>
      </c>
      <c r="AT642" s="4">
        <f>IF($A642=AT$586,"",COUNTIF($E$4:$E$582,$A642&amp;" ضد "&amp;AT$586)+COUNTIF($E$4:$E$582,AT$586&amp;" ضد "&amp;$A642))</f>
        <v>0</v>
      </c>
      <c r="AU642" s="4">
        <f>IF($A642=AU$586,"",COUNTIF($E$4:$E$582,$A642&amp;" ضد "&amp;AU$586)+COUNTIF($E$4:$E$582,AU$586&amp;" ضد "&amp;$A642))</f>
        <v>0</v>
      </c>
      <c r="AV642" s="4">
        <f>IF($A642=AV$586,"",COUNTIF($E$4:$E$582,$A642&amp;" ضد "&amp;AV$586)+COUNTIF($E$4:$E$582,AV$586&amp;" ضد "&amp;$A642))</f>
        <v>0</v>
      </c>
      <c r="AW642" s="4">
        <f>IF($A642=AW$586,"",COUNTIF($E$4:$E$582,$A642&amp;" ضد "&amp;AW$586)+COUNTIF($E$4:$E$582,AW$586&amp;" ضد "&amp;$A642))</f>
        <v>0</v>
      </c>
      <c r="AX642" s="4">
        <f>IF($A642=AX$586,"",COUNTIF($E$4:$E$582,$A642&amp;" ضد "&amp;AX$586)+COUNTIF($E$4:$E$582,AX$586&amp;" ضد "&amp;$A642))</f>
        <v>1</v>
      </c>
      <c r="AY642" s="4">
        <f>IF($A642=AY$586,"",COUNTIF($E$4:$E$582,$A642&amp;" ضد "&amp;AY$586)+COUNTIF($E$4:$E$582,AY$586&amp;" ضد "&amp;$A642))</f>
        <v>1</v>
      </c>
      <c r="AZ642" s="4">
        <f>IF($A642=AZ$586,"",COUNTIF($E$4:$E$582,$A642&amp;" ضد "&amp;AZ$586)+COUNTIF($E$4:$E$582,AZ$586&amp;" ضد "&amp;$A642))</f>
        <v>1</v>
      </c>
      <c r="BA642" s="4">
        <f>IF($A642=BA$586,"",COUNTIF($E$4:$E$582,$A642&amp;" ضد "&amp;BA$586)+COUNTIF($E$4:$E$582,BA$586&amp;" ضد "&amp;$A642))</f>
        <v>1</v>
      </c>
      <c r="BB642" s="4">
        <f>IF($A642=BB$586,"",COUNTIF($E$4:$E$582,$A642&amp;" ضد "&amp;BB$586)+COUNTIF($E$4:$E$582,BB$586&amp;" ضد "&amp;$A642))</f>
        <v>2</v>
      </c>
      <c r="BC642" s="4">
        <f>IF($A642=BC$586,"",COUNTIF($E$4:$E$582,$A642&amp;" ضد "&amp;BC$586)+COUNTIF($E$4:$E$582,BC$586&amp;" ضد "&amp;$A642))</f>
        <v>1</v>
      </c>
      <c r="BD642" s="4">
        <f>IF($A642=BD$586,"",COUNTIF($E$4:$E$582,$A642&amp;" ضد "&amp;BD$586)+COUNTIF($E$4:$E$582,BD$586&amp;" ضد "&amp;$A642))</f>
        <v>2</v>
      </c>
      <c r="BE642" s="4" t="str">
        <f>IF($A642=BE$586,"",COUNTIF($E$4:$E$582,$A642&amp;" ضد "&amp;BE$586)+COUNTIF($E$4:$E$582,BE$586&amp;" ضد "&amp;$A642))</f>
        <v/>
      </c>
      <c r="BF642" s="4">
        <f>IF($A642=BF$586,"",COUNTIF($E$4:$E$582,$A642&amp;" ضد "&amp;BF$586)+COUNTIF($E$4:$E$582,BF$586&amp;" ضد "&amp;$A642))</f>
        <v>2</v>
      </c>
      <c r="BG642" s="4">
        <f>IF($A642=BG$586,"",COUNTIF($E$4:$E$582,$A642&amp;" ضد "&amp;BG$586)+COUNTIF($E$4:$E$582,BG$586&amp;" ضد "&amp;$A642))</f>
        <v>1</v>
      </c>
      <c r="BH642" s="4">
        <f>IF($A642=BH$586,"",COUNTIF($E$4:$E$582,$A642&amp;" ضد "&amp;BH$586)+COUNTIF($E$4:$E$582,BH$586&amp;" ضد "&amp;$A642))</f>
        <v>1</v>
      </c>
      <c r="BI642" s="4">
        <f>IF($A642=BI$586,"",COUNTIF($E$4:$E$582,$A642&amp;" ضد "&amp;BI$586)+COUNTIF($E$4:$E$582,BI$586&amp;" ضد "&amp;$A642))</f>
        <v>1</v>
      </c>
      <c r="BJ642" s="4">
        <f>IF($A642=BJ$586,"",COUNTIF($E$4:$E$582,$A642&amp;" ضد "&amp;BJ$586)+COUNTIF($E$4:$E$582,BJ$586&amp;" ضد "&amp;$A642))</f>
        <v>1</v>
      </c>
      <c r="BK642" s="4">
        <f>IF($A642=BK$586,"",COUNTIF($E$4:$E$582,$A642&amp;" ضد "&amp;BK$586)+COUNTIF($E$4:$E$582,BK$586&amp;" ضد "&amp;$A642))</f>
        <v>1</v>
      </c>
      <c r="BL642" s="4">
        <f>IF($A642=BL$586,"",COUNTIF($E$4:$E$582,$A642&amp;" ضد "&amp;BL$586)+COUNTIF($E$4:$E$582,BL$586&amp;" ضد "&amp;$A642))</f>
        <v>1</v>
      </c>
      <c r="BM642" s="4">
        <f>IF($A642=BM$586,"",COUNTIF($E$4:$E$582,$A642&amp;" ضد "&amp;BM$586)+COUNTIF($E$4:$E$582,BM$586&amp;" ضد "&amp;$A642))</f>
        <v>1</v>
      </c>
    </row>
    <row r="643" spans="1:65" ht="14.5">
      <c r="A643" s="14">
        <v>57</v>
      </c>
      <c r="B643" s="4">
        <f>IF($A643=B$586,"",COUNTIF($E$4:$E$582,$A643&amp;" ضد "&amp;B$586)+COUNTIF($E$4:$E$582,B$586&amp;" ضد "&amp;$A643))</f>
        <v>0</v>
      </c>
      <c r="C643" s="4">
        <f>IF($A643=C$586,"",COUNTIF($E$4:$E$582,$A643&amp;" ضد "&amp;C$586)+COUNTIF($E$4:$E$582,C$586&amp;" ضد "&amp;$A643))</f>
        <v>0</v>
      </c>
      <c r="D643" s="4">
        <f>IF($A643=D$586,"",COUNTIF($E$4:$E$582,$A643&amp;" ضد "&amp;D$586)+COUNTIF($E$4:$E$582,D$586&amp;" ضد "&amp;$A643))</f>
        <v>0</v>
      </c>
      <c r="E643" s="4">
        <f>IF($A643=E$586,"",COUNTIF($E$4:$E$582,$A643&amp;" ضد "&amp;E$586)+COUNTIF($E$4:$E$582,E$586&amp;" ضد "&amp;$A643))</f>
        <v>0</v>
      </c>
      <c r="F643" s="4">
        <f>IF($A643=F$586,"",COUNTIF($E$4:$E$582,$A643&amp;" ضد "&amp;F$586)+COUNTIF($E$4:$E$582,F$586&amp;" ضد "&amp;$A643))</f>
        <v>0</v>
      </c>
      <c r="G643" s="4">
        <f>IF($A643=G$586,"",COUNTIF($E$4:$E$582,$A643&amp;" ضد "&amp;G$586)+COUNTIF($E$4:$E$582,G$586&amp;" ضد "&amp;$A643))</f>
        <v>0</v>
      </c>
      <c r="H643" s="4">
        <f>IF($A643=H$586,"",COUNTIF($E$4:$E$582,$A643&amp;" ضد "&amp;H$586)+COUNTIF($E$4:$E$582,H$586&amp;" ضد "&amp;$A643))</f>
        <v>0</v>
      </c>
      <c r="I643" s="4">
        <f>IF($A643=I$586,"",COUNTIF($E$4:$E$582,$A643&amp;" ضد "&amp;I$586)+COUNTIF($E$4:$E$582,I$586&amp;" ضد "&amp;$A643))</f>
        <v>0</v>
      </c>
      <c r="J643" s="4">
        <f>IF($A643=J$586,"",COUNTIF($E$4:$E$582,$A643&amp;" ضد "&amp;J$586)+COUNTIF($E$4:$E$582,J$586&amp;" ضد "&amp;$A643))</f>
        <v>0</v>
      </c>
      <c r="K643" s="4">
        <f>IF($A643=K$586,"",COUNTIF($E$4:$E$582,$A643&amp;" ضد "&amp;K$586)+COUNTIF($E$4:$E$582,K$586&amp;" ضد "&amp;$A643))</f>
        <v>0</v>
      </c>
      <c r="L643" s="4">
        <f>IF($A643=L$586,"",COUNTIF($E$4:$E$582,$A643&amp;" ضد "&amp;L$586)+COUNTIF($E$4:$E$582,L$586&amp;" ضد "&amp;$A643))</f>
        <v>0</v>
      </c>
      <c r="M643" s="4">
        <f>IF($A643=M$586,"",COUNTIF($E$4:$E$582,$A643&amp;" ضد "&amp;M$586)+COUNTIF($E$4:$E$582,M$586&amp;" ضد "&amp;$A643))</f>
        <v>0</v>
      </c>
      <c r="N643" s="4">
        <f>IF($A643=N$586,"",COUNTIF($E$4:$E$582,$A643&amp;" ضد "&amp;N$586)+COUNTIF($E$4:$E$582,N$586&amp;" ضد "&amp;$A643))</f>
        <v>0</v>
      </c>
      <c r="O643" s="4">
        <f>IF($A643=O$586,"",COUNTIF($E$4:$E$582,$A643&amp;" ضد "&amp;O$586)+COUNTIF($E$4:$E$582,O$586&amp;" ضد "&amp;$A643))</f>
        <v>0</v>
      </c>
      <c r="P643" s="4">
        <f>IF($A643=P$586,"",COUNTIF($E$4:$E$582,$A643&amp;" ضد "&amp;P$586)+COUNTIF($E$4:$E$582,P$586&amp;" ضد "&amp;$A643))</f>
        <v>0</v>
      </c>
      <c r="Q643" s="4">
        <f>IF($A643=Q$586,"",COUNTIF($E$4:$E$582,$A643&amp;" ضد "&amp;Q$586)+COUNTIF($E$4:$E$582,Q$586&amp;" ضد "&amp;$A643))</f>
        <v>0</v>
      </c>
      <c r="R643" s="4">
        <f>IF($A643=R$586,"",COUNTIF($E$4:$E$582,$A643&amp;" ضد "&amp;R$586)+COUNTIF($E$4:$E$582,R$586&amp;" ضد "&amp;$A643))</f>
        <v>0</v>
      </c>
      <c r="S643" s="4">
        <f>IF($A643=S$586,"",COUNTIF($E$4:$E$582,$A643&amp;" ضد "&amp;S$586)+COUNTIF($E$4:$E$582,S$586&amp;" ضد "&amp;$A643))</f>
        <v>0</v>
      </c>
      <c r="T643" s="4">
        <f>IF($A643=T$586,"",COUNTIF($E$4:$E$582,$A643&amp;" ضد "&amp;T$586)+COUNTIF($E$4:$E$582,T$586&amp;" ضد "&amp;$A643))</f>
        <v>0</v>
      </c>
      <c r="U643" s="4">
        <f>IF($A643=U$586,"",COUNTIF($E$4:$E$582,$A643&amp;" ضد "&amp;U$586)+COUNTIF($E$4:$E$582,U$586&amp;" ضد "&amp;$A643))</f>
        <v>0</v>
      </c>
      <c r="V643" s="4">
        <f>IF($A643=V$586,"",COUNTIF($E$4:$E$582,$A643&amp;" ضد "&amp;V$586)+COUNTIF($E$4:$E$582,V$586&amp;" ضد "&amp;$A643))</f>
        <v>0</v>
      </c>
      <c r="W643" s="4">
        <f>IF($A643=W$586,"",COUNTIF($E$4:$E$582,$A643&amp;" ضد "&amp;W$586)+COUNTIF($E$4:$E$582,W$586&amp;" ضد "&amp;$A643))</f>
        <v>0</v>
      </c>
      <c r="X643" s="4">
        <f>IF($A643=X$586,"",COUNTIF($E$4:$E$582,$A643&amp;" ضد "&amp;X$586)+COUNTIF($E$4:$E$582,X$586&amp;" ضد "&amp;$A643))</f>
        <v>0</v>
      </c>
      <c r="Y643" s="4">
        <f>IF($A643=Y$586,"",COUNTIF($E$4:$E$582,$A643&amp;" ضد "&amp;Y$586)+COUNTIF($E$4:$E$582,Y$586&amp;" ضد "&amp;$A643))</f>
        <v>0</v>
      </c>
      <c r="Z643" s="4">
        <f>IF($A643=Z$586,"",COUNTIF($E$4:$E$582,$A643&amp;" ضد "&amp;Z$586)+COUNTIF($E$4:$E$582,Z$586&amp;" ضد "&amp;$A643))</f>
        <v>0</v>
      </c>
      <c r="AA643" s="4">
        <f>IF($A643=AA$586,"",COUNTIF($E$4:$E$582,$A643&amp;" ضد "&amp;AA$586)+COUNTIF($E$4:$E$582,AA$586&amp;" ضد "&amp;$A643))</f>
        <v>0</v>
      </c>
      <c r="AB643" s="4">
        <f>IF($A643=AB$586,"",COUNTIF($E$4:$E$582,$A643&amp;" ضد "&amp;AB$586)+COUNTIF($E$4:$E$582,AB$586&amp;" ضد "&amp;$A643))</f>
        <v>0</v>
      </c>
      <c r="AC643" s="4">
        <f>IF($A643=AC$586,"",COUNTIF($E$4:$E$582,$A643&amp;" ضد "&amp;AC$586)+COUNTIF($E$4:$E$582,AC$586&amp;" ضد "&amp;$A643))</f>
        <v>0</v>
      </c>
      <c r="AD643" s="4">
        <f>IF($A643=AD$586,"",COUNTIF($E$4:$E$582,$A643&amp;" ضد "&amp;AD$586)+COUNTIF($E$4:$E$582,AD$586&amp;" ضد "&amp;$A643))</f>
        <v>0</v>
      </c>
      <c r="AE643" s="4">
        <f>IF($A643=AE$586,"",COUNTIF($E$4:$E$582,$A643&amp;" ضد "&amp;AE$586)+COUNTIF($E$4:$E$582,AE$586&amp;" ضد "&amp;$A643))</f>
        <v>0</v>
      </c>
      <c r="AF643" s="4">
        <f>IF($A643=AF$586,"",COUNTIF($E$4:$E$582,$A643&amp;" ضد "&amp;AF$586)+COUNTIF($E$4:$E$582,AF$586&amp;" ضد "&amp;$A643))</f>
        <v>0</v>
      </c>
      <c r="AG643" s="4">
        <f>IF($A643=AG$586,"",COUNTIF($E$4:$E$582,$A643&amp;" ضد "&amp;AG$586)+COUNTIF($E$4:$E$582,AG$586&amp;" ضد "&amp;$A643))</f>
        <v>0</v>
      </c>
      <c r="AH643" s="4">
        <f>IF($A643=AH$586,"",COUNTIF($E$4:$E$582,$A643&amp;" ضد "&amp;AH$586)+COUNTIF($E$4:$E$582,AH$586&amp;" ضد "&amp;$A643))</f>
        <v>0</v>
      </c>
      <c r="AI643" s="4">
        <f>IF($A643=AI$586,"",COUNTIF($E$4:$E$582,$A643&amp;" ضد "&amp;AI$586)+COUNTIF($E$4:$E$582,AI$586&amp;" ضد "&amp;$A643))</f>
        <v>0</v>
      </c>
      <c r="AJ643" s="4">
        <f>IF($A643=AJ$586,"",COUNTIF($E$4:$E$582,$A643&amp;" ضد "&amp;AJ$586)+COUNTIF($E$4:$E$582,AJ$586&amp;" ضد "&amp;$A643))</f>
        <v>0</v>
      </c>
      <c r="AK643" s="4">
        <f>IF($A643=AK$586,"",COUNTIF($E$4:$E$582,$A643&amp;" ضد "&amp;AK$586)+COUNTIF($E$4:$E$582,AK$586&amp;" ضد "&amp;$A643))</f>
        <v>0</v>
      </c>
      <c r="AL643" s="4">
        <f>IF($A643=AL$586,"",COUNTIF($E$4:$E$582,$A643&amp;" ضد "&amp;AL$586)+COUNTIF($E$4:$E$582,AL$586&amp;" ضد "&amp;$A643))</f>
        <v>0</v>
      </c>
      <c r="AM643" s="4">
        <f>IF($A643=AM$586,"",COUNTIF($E$4:$E$582,$A643&amp;" ضد "&amp;AM$586)+COUNTIF($E$4:$E$582,AM$586&amp;" ضد "&amp;$A643))</f>
        <v>0</v>
      </c>
      <c r="AN643" s="4">
        <f>IF($A643=AN$586,"",COUNTIF($E$4:$E$582,$A643&amp;" ضد "&amp;AN$586)+COUNTIF($E$4:$E$582,AN$586&amp;" ضد "&amp;$A643))</f>
        <v>0</v>
      </c>
      <c r="AO643" s="4">
        <f>IF($A643=AO$586,"",COUNTIF($E$4:$E$582,$A643&amp;" ضد "&amp;AO$586)+COUNTIF($E$4:$E$582,AO$586&amp;" ضد "&amp;$A643))</f>
        <v>0</v>
      </c>
      <c r="AP643" s="4">
        <f>IF($A643=AP$586,"",COUNTIF($E$4:$E$582,$A643&amp;" ضد "&amp;AP$586)+COUNTIF($E$4:$E$582,AP$586&amp;" ضد "&amp;$A643))</f>
        <v>0</v>
      </c>
      <c r="AQ643" s="4">
        <f>IF($A643=AQ$586,"",COUNTIF($E$4:$E$582,$A643&amp;" ضد "&amp;AQ$586)+COUNTIF($E$4:$E$582,AQ$586&amp;" ضد "&amp;$A643))</f>
        <v>0</v>
      </c>
      <c r="AR643" s="4">
        <f>IF($A643=AR$586,"",COUNTIF($E$4:$E$582,$A643&amp;" ضد "&amp;AR$586)+COUNTIF($E$4:$E$582,AR$586&amp;" ضد "&amp;$A643))</f>
        <v>0</v>
      </c>
      <c r="AS643" s="4">
        <f>IF($A643=AS$586,"",COUNTIF($E$4:$E$582,$A643&amp;" ضد "&amp;AS$586)+COUNTIF($E$4:$E$582,AS$586&amp;" ضد "&amp;$A643))</f>
        <v>0</v>
      </c>
      <c r="AT643" s="4">
        <f>IF($A643=AT$586,"",COUNTIF($E$4:$E$582,$A643&amp;" ضد "&amp;AT$586)+COUNTIF($E$4:$E$582,AT$586&amp;" ضد "&amp;$A643))</f>
        <v>0</v>
      </c>
      <c r="AU643" s="4">
        <f>IF($A643=AU$586,"",COUNTIF($E$4:$E$582,$A643&amp;" ضد "&amp;AU$586)+COUNTIF($E$4:$E$582,AU$586&amp;" ضد "&amp;$A643))</f>
        <v>0</v>
      </c>
      <c r="AV643" s="4">
        <f>IF($A643=AV$586,"",COUNTIF($E$4:$E$582,$A643&amp;" ضد "&amp;AV$586)+COUNTIF($E$4:$E$582,AV$586&amp;" ضد "&amp;$A643))</f>
        <v>0</v>
      </c>
      <c r="AW643" s="4">
        <f>IF($A643=AW$586,"",COUNTIF($E$4:$E$582,$A643&amp;" ضد "&amp;AW$586)+COUNTIF($E$4:$E$582,AW$586&amp;" ضد "&amp;$A643))</f>
        <v>0</v>
      </c>
      <c r="AX643" s="4">
        <f>IF($A643=AX$586,"",COUNTIF($E$4:$E$582,$A643&amp;" ضد "&amp;AX$586)+COUNTIF($E$4:$E$582,AX$586&amp;" ضد "&amp;$A643))</f>
        <v>1</v>
      </c>
      <c r="AY643" s="4">
        <f>IF($A643=AY$586,"",COUNTIF($E$4:$E$582,$A643&amp;" ضد "&amp;AY$586)+COUNTIF($E$4:$E$582,AY$586&amp;" ضد "&amp;$A643))</f>
        <v>1</v>
      </c>
      <c r="AZ643" s="4">
        <f>IF($A643=AZ$586,"",COUNTIF($E$4:$E$582,$A643&amp;" ضد "&amp;AZ$586)+COUNTIF($E$4:$E$582,AZ$586&amp;" ضد "&amp;$A643))</f>
        <v>1</v>
      </c>
      <c r="BA643" s="4">
        <f>IF($A643=BA$586,"",COUNTIF($E$4:$E$582,$A643&amp;" ضد "&amp;BA$586)+COUNTIF($E$4:$E$582,BA$586&amp;" ضد "&amp;$A643))</f>
        <v>2</v>
      </c>
      <c r="BB643" s="4">
        <f>IF($A643=BB$586,"",COUNTIF($E$4:$E$582,$A643&amp;" ضد "&amp;BB$586)+COUNTIF($E$4:$E$582,BB$586&amp;" ضد "&amp;$A643))</f>
        <v>1</v>
      </c>
      <c r="BC643" s="4">
        <f>IF($A643=BC$586,"",COUNTIF($E$4:$E$582,$A643&amp;" ضد "&amp;BC$586)+COUNTIF($E$4:$E$582,BC$586&amp;" ضد "&amp;$A643))</f>
        <v>2</v>
      </c>
      <c r="BD643" s="4">
        <f>IF($A643=BD$586,"",COUNTIF($E$4:$E$582,$A643&amp;" ضد "&amp;BD$586)+COUNTIF($E$4:$E$582,BD$586&amp;" ضد "&amp;$A643))</f>
        <v>1</v>
      </c>
      <c r="BE643" s="4">
        <f>IF($A643=BE$586,"",COUNTIF($E$4:$E$582,$A643&amp;" ضد "&amp;BE$586)+COUNTIF($E$4:$E$582,BE$586&amp;" ضد "&amp;$A643))</f>
        <v>2</v>
      </c>
      <c r="BF643" s="4" t="str">
        <f>IF($A643=BF$586,"",COUNTIF($E$4:$E$582,$A643&amp;" ضد "&amp;BF$586)+COUNTIF($E$4:$E$582,BF$586&amp;" ضد "&amp;$A643))</f>
        <v/>
      </c>
      <c r="BG643" s="4">
        <f>IF($A643=BG$586,"",COUNTIF($E$4:$E$582,$A643&amp;" ضد "&amp;BG$586)+COUNTIF($E$4:$E$582,BG$586&amp;" ضد "&amp;$A643))</f>
        <v>1</v>
      </c>
      <c r="BH643" s="4">
        <f>IF($A643=BH$586,"",COUNTIF($E$4:$E$582,$A643&amp;" ضد "&amp;BH$586)+COUNTIF($E$4:$E$582,BH$586&amp;" ضد "&amp;$A643))</f>
        <v>1</v>
      </c>
      <c r="BI643" s="4">
        <f>IF($A643=BI$586,"",COUNTIF($E$4:$E$582,$A643&amp;" ضد "&amp;BI$586)+COUNTIF($E$4:$E$582,BI$586&amp;" ضد "&amp;$A643))</f>
        <v>1</v>
      </c>
      <c r="BJ643" s="4">
        <f>IF($A643=BJ$586,"",COUNTIF($E$4:$E$582,$A643&amp;" ضد "&amp;BJ$586)+COUNTIF($E$4:$E$582,BJ$586&amp;" ضد "&amp;$A643))</f>
        <v>1</v>
      </c>
      <c r="BK643" s="4">
        <f>IF($A643=BK$586,"",COUNTIF($E$4:$E$582,$A643&amp;" ضد "&amp;BK$586)+COUNTIF($E$4:$E$582,BK$586&amp;" ضد "&amp;$A643))</f>
        <v>1</v>
      </c>
      <c r="BL643" s="4">
        <f>IF($A643=BL$586,"",COUNTIF($E$4:$E$582,$A643&amp;" ضد "&amp;BL$586)+COUNTIF($E$4:$E$582,BL$586&amp;" ضد "&amp;$A643))</f>
        <v>1</v>
      </c>
      <c r="BM643" s="4">
        <f>IF($A643=BM$586,"",COUNTIF($E$4:$E$582,$A643&amp;" ضد "&amp;BM$586)+COUNTIF($E$4:$E$582,BM$586&amp;" ضد "&amp;$A643))</f>
        <v>1</v>
      </c>
    </row>
    <row r="644" spans="1:65" ht="14.5">
      <c r="A644" s="14">
        <v>58</v>
      </c>
      <c r="B644" s="4">
        <f>IF($A644=B$586,"",COUNTIF($E$4:$E$582,$A644&amp;" ضد "&amp;B$586)+COUNTIF($E$4:$E$582,B$586&amp;" ضد "&amp;$A644))</f>
        <v>0</v>
      </c>
      <c r="C644" s="4">
        <f>IF($A644=C$586,"",COUNTIF($E$4:$E$582,$A644&amp;" ضد "&amp;C$586)+COUNTIF($E$4:$E$582,C$586&amp;" ضد "&amp;$A644))</f>
        <v>0</v>
      </c>
      <c r="D644" s="4">
        <f>IF($A644=D$586,"",COUNTIF($E$4:$E$582,$A644&amp;" ضد "&amp;D$586)+COUNTIF($E$4:$E$582,D$586&amp;" ضد "&amp;$A644))</f>
        <v>0</v>
      </c>
      <c r="E644" s="4">
        <f>IF($A644=E$586,"",COUNTIF($E$4:$E$582,$A644&amp;" ضد "&amp;E$586)+COUNTIF($E$4:$E$582,E$586&amp;" ضد "&amp;$A644))</f>
        <v>0</v>
      </c>
      <c r="F644" s="4">
        <f>IF($A644=F$586,"",COUNTIF($E$4:$E$582,$A644&amp;" ضد "&amp;F$586)+COUNTIF($E$4:$E$582,F$586&amp;" ضد "&amp;$A644))</f>
        <v>0</v>
      </c>
      <c r="G644" s="4">
        <f>IF($A644=G$586,"",COUNTIF($E$4:$E$582,$A644&amp;" ضد "&amp;G$586)+COUNTIF($E$4:$E$582,G$586&amp;" ضد "&amp;$A644))</f>
        <v>0</v>
      </c>
      <c r="H644" s="4">
        <f>IF($A644=H$586,"",COUNTIF($E$4:$E$582,$A644&amp;" ضد "&amp;H$586)+COUNTIF($E$4:$E$582,H$586&amp;" ضد "&amp;$A644))</f>
        <v>0</v>
      </c>
      <c r="I644" s="4">
        <f>IF($A644=I$586,"",COUNTIF($E$4:$E$582,$A644&amp;" ضد "&amp;I$586)+COUNTIF($E$4:$E$582,I$586&amp;" ضد "&amp;$A644))</f>
        <v>0</v>
      </c>
      <c r="J644" s="4">
        <f>IF($A644=J$586,"",COUNTIF($E$4:$E$582,$A644&amp;" ضد "&amp;J$586)+COUNTIF($E$4:$E$582,J$586&amp;" ضد "&amp;$A644))</f>
        <v>0</v>
      </c>
      <c r="K644" s="4">
        <f>IF($A644=K$586,"",COUNTIF($E$4:$E$582,$A644&amp;" ضد "&amp;K$586)+COUNTIF($E$4:$E$582,K$586&amp;" ضد "&amp;$A644))</f>
        <v>0</v>
      </c>
      <c r="L644" s="4">
        <f>IF($A644=L$586,"",COUNTIF($E$4:$E$582,$A644&amp;" ضد "&amp;L$586)+COUNTIF($E$4:$E$582,L$586&amp;" ضد "&amp;$A644))</f>
        <v>0</v>
      </c>
      <c r="M644" s="4">
        <f>IF($A644=M$586,"",COUNTIF($E$4:$E$582,$A644&amp;" ضد "&amp;M$586)+COUNTIF($E$4:$E$582,M$586&amp;" ضد "&amp;$A644))</f>
        <v>0</v>
      </c>
      <c r="N644" s="4">
        <f>IF($A644=N$586,"",COUNTIF($E$4:$E$582,$A644&amp;" ضد "&amp;N$586)+COUNTIF($E$4:$E$582,N$586&amp;" ضد "&amp;$A644))</f>
        <v>0</v>
      </c>
      <c r="O644" s="4">
        <f>IF($A644=O$586,"",COUNTIF($E$4:$E$582,$A644&amp;" ضد "&amp;O$586)+COUNTIF($E$4:$E$582,O$586&amp;" ضد "&amp;$A644))</f>
        <v>0</v>
      </c>
      <c r="P644" s="4">
        <f>IF($A644=P$586,"",COUNTIF($E$4:$E$582,$A644&amp;" ضد "&amp;P$586)+COUNTIF($E$4:$E$582,P$586&amp;" ضد "&amp;$A644))</f>
        <v>0</v>
      </c>
      <c r="Q644" s="4">
        <f>IF($A644=Q$586,"",COUNTIF($E$4:$E$582,$A644&amp;" ضد "&amp;Q$586)+COUNTIF($E$4:$E$582,Q$586&amp;" ضد "&amp;$A644))</f>
        <v>0</v>
      </c>
      <c r="R644" s="4">
        <f>IF($A644=R$586,"",COUNTIF($E$4:$E$582,$A644&amp;" ضد "&amp;R$586)+COUNTIF($E$4:$E$582,R$586&amp;" ضد "&amp;$A644))</f>
        <v>0</v>
      </c>
      <c r="S644" s="4">
        <f>IF($A644=S$586,"",COUNTIF($E$4:$E$582,$A644&amp;" ضد "&amp;S$586)+COUNTIF($E$4:$E$582,S$586&amp;" ضد "&amp;$A644))</f>
        <v>0</v>
      </c>
      <c r="T644" s="4">
        <f>IF($A644=T$586,"",COUNTIF($E$4:$E$582,$A644&amp;" ضد "&amp;T$586)+COUNTIF($E$4:$E$582,T$586&amp;" ضد "&amp;$A644))</f>
        <v>0</v>
      </c>
      <c r="U644" s="4">
        <f>IF($A644=U$586,"",COUNTIF($E$4:$E$582,$A644&amp;" ضد "&amp;U$586)+COUNTIF($E$4:$E$582,U$586&amp;" ضد "&amp;$A644))</f>
        <v>0</v>
      </c>
      <c r="V644" s="4">
        <f>IF($A644=V$586,"",COUNTIF($E$4:$E$582,$A644&amp;" ضد "&amp;V$586)+COUNTIF($E$4:$E$582,V$586&amp;" ضد "&amp;$A644))</f>
        <v>0</v>
      </c>
      <c r="W644" s="4">
        <f>IF($A644=W$586,"",COUNTIF($E$4:$E$582,$A644&amp;" ضد "&amp;W$586)+COUNTIF($E$4:$E$582,W$586&amp;" ضد "&amp;$A644))</f>
        <v>0</v>
      </c>
      <c r="X644" s="4">
        <f>IF($A644=X$586,"",COUNTIF($E$4:$E$582,$A644&amp;" ضد "&amp;X$586)+COUNTIF($E$4:$E$582,X$586&amp;" ضد "&amp;$A644))</f>
        <v>0</v>
      </c>
      <c r="Y644" s="4">
        <f>IF($A644=Y$586,"",COUNTIF($E$4:$E$582,$A644&amp;" ضد "&amp;Y$586)+COUNTIF($E$4:$E$582,Y$586&amp;" ضد "&amp;$A644))</f>
        <v>0</v>
      </c>
      <c r="Z644" s="4">
        <f>IF($A644=Z$586,"",COUNTIF($E$4:$E$582,$A644&amp;" ضد "&amp;Z$586)+COUNTIF($E$4:$E$582,Z$586&amp;" ضد "&amp;$A644))</f>
        <v>0</v>
      </c>
      <c r="AA644" s="4">
        <f>IF($A644=AA$586,"",COUNTIF($E$4:$E$582,$A644&amp;" ضد "&amp;AA$586)+COUNTIF($E$4:$E$582,AA$586&amp;" ضد "&amp;$A644))</f>
        <v>0</v>
      </c>
      <c r="AB644" s="4">
        <f>IF($A644=AB$586,"",COUNTIF($E$4:$E$582,$A644&amp;" ضد "&amp;AB$586)+COUNTIF($E$4:$E$582,AB$586&amp;" ضد "&amp;$A644))</f>
        <v>0</v>
      </c>
      <c r="AC644" s="4">
        <f>IF($A644=AC$586,"",COUNTIF($E$4:$E$582,$A644&amp;" ضد "&amp;AC$586)+COUNTIF($E$4:$E$582,AC$586&amp;" ضد "&amp;$A644))</f>
        <v>0</v>
      </c>
      <c r="AD644" s="4">
        <f>IF($A644=AD$586,"",COUNTIF($E$4:$E$582,$A644&amp;" ضد "&amp;AD$586)+COUNTIF($E$4:$E$582,AD$586&amp;" ضد "&amp;$A644))</f>
        <v>0</v>
      </c>
      <c r="AE644" s="4">
        <f>IF($A644=AE$586,"",COUNTIF($E$4:$E$582,$A644&amp;" ضد "&amp;AE$586)+COUNTIF($E$4:$E$582,AE$586&amp;" ضد "&amp;$A644))</f>
        <v>0</v>
      </c>
      <c r="AF644" s="4">
        <f>IF($A644=AF$586,"",COUNTIF($E$4:$E$582,$A644&amp;" ضد "&amp;AF$586)+COUNTIF($E$4:$E$582,AF$586&amp;" ضد "&amp;$A644))</f>
        <v>0</v>
      </c>
      <c r="AG644" s="4">
        <f>IF($A644=AG$586,"",COUNTIF($E$4:$E$582,$A644&amp;" ضد "&amp;AG$586)+COUNTIF($E$4:$E$582,AG$586&amp;" ضد "&amp;$A644))</f>
        <v>0</v>
      </c>
      <c r="AH644" s="4">
        <f>IF($A644=AH$586,"",COUNTIF($E$4:$E$582,$A644&amp;" ضد "&amp;AH$586)+COUNTIF($E$4:$E$582,AH$586&amp;" ضد "&amp;$A644))</f>
        <v>0</v>
      </c>
      <c r="AI644" s="4">
        <f>IF($A644=AI$586,"",COUNTIF($E$4:$E$582,$A644&amp;" ضد "&amp;AI$586)+COUNTIF($E$4:$E$582,AI$586&amp;" ضد "&amp;$A644))</f>
        <v>0</v>
      </c>
      <c r="AJ644" s="4">
        <f>IF($A644=AJ$586,"",COUNTIF($E$4:$E$582,$A644&amp;" ضد "&amp;AJ$586)+COUNTIF($E$4:$E$582,AJ$586&amp;" ضد "&amp;$A644))</f>
        <v>0</v>
      </c>
      <c r="AK644" s="4">
        <f>IF($A644=AK$586,"",COUNTIF($E$4:$E$582,$A644&amp;" ضد "&amp;AK$586)+COUNTIF($E$4:$E$582,AK$586&amp;" ضد "&amp;$A644))</f>
        <v>0</v>
      </c>
      <c r="AL644" s="4">
        <f>IF($A644=AL$586,"",COUNTIF($E$4:$E$582,$A644&amp;" ضد "&amp;AL$586)+COUNTIF($E$4:$E$582,AL$586&amp;" ضد "&amp;$A644))</f>
        <v>0</v>
      </c>
      <c r="AM644" s="4">
        <f>IF($A644=AM$586,"",COUNTIF($E$4:$E$582,$A644&amp;" ضد "&amp;AM$586)+COUNTIF($E$4:$E$582,AM$586&amp;" ضد "&amp;$A644))</f>
        <v>0</v>
      </c>
      <c r="AN644" s="4">
        <f>IF($A644=AN$586,"",COUNTIF($E$4:$E$582,$A644&amp;" ضد "&amp;AN$586)+COUNTIF($E$4:$E$582,AN$586&amp;" ضد "&amp;$A644))</f>
        <v>0</v>
      </c>
      <c r="AO644" s="4">
        <f>IF($A644=AO$586,"",COUNTIF($E$4:$E$582,$A644&amp;" ضد "&amp;AO$586)+COUNTIF($E$4:$E$582,AO$586&amp;" ضد "&amp;$A644))</f>
        <v>0</v>
      </c>
      <c r="AP644" s="4">
        <f>IF($A644=AP$586,"",COUNTIF($E$4:$E$582,$A644&amp;" ضد "&amp;AP$586)+COUNTIF($E$4:$E$582,AP$586&amp;" ضد "&amp;$A644))</f>
        <v>0</v>
      </c>
      <c r="AQ644" s="4">
        <f>IF($A644=AQ$586,"",COUNTIF($E$4:$E$582,$A644&amp;" ضد "&amp;AQ$586)+COUNTIF($E$4:$E$582,AQ$586&amp;" ضد "&amp;$A644))</f>
        <v>0</v>
      </c>
      <c r="AR644" s="4">
        <f>IF($A644=AR$586,"",COUNTIF($E$4:$E$582,$A644&amp;" ضد "&amp;AR$586)+COUNTIF($E$4:$E$582,AR$586&amp;" ضد "&amp;$A644))</f>
        <v>0</v>
      </c>
      <c r="AS644" s="4">
        <f>IF($A644=AS$586,"",COUNTIF($E$4:$E$582,$A644&amp;" ضد "&amp;AS$586)+COUNTIF($E$4:$E$582,AS$586&amp;" ضد "&amp;$A644))</f>
        <v>0</v>
      </c>
      <c r="AT644" s="4">
        <f>IF($A644=AT$586,"",COUNTIF($E$4:$E$582,$A644&amp;" ضد "&amp;AT$586)+COUNTIF($E$4:$E$582,AT$586&amp;" ضد "&amp;$A644))</f>
        <v>0</v>
      </c>
      <c r="AU644" s="4">
        <f>IF($A644=AU$586,"",COUNTIF($E$4:$E$582,$A644&amp;" ضد "&amp;AU$586)+COUNTIF($E$4:$E$582,AU$586&amp;" ضد "&amp;$A644))</f>
        <v>0</v>
      </c>
      <c r="AV644" s="4">
        <f>IF($A644=AV$586,"",COUNTIF($E$4:$E$582,$A644&amp;" ضد "&amp;AV$586)+COUNTIF($E$4:$E$582,AV$586&amp;" ضد "&amp;$A644))</f>
        <v>0</v>
      </c>
      <c r="AW644" s="4">
        <f>IF($A644=AW$586,"",COUNTIF($E$4:$E$582,$A644&amp;" ضد "&amp;AW$586)+COUNTIF($E$4:$E$582,AW$586&amp;" ضد "&amp;$A644))</f>
        <v>0</v>
      </c>
      <c r="AX644" s="4">
        <f>IF($A644=AX$586,"",COUNTIF($E$4:$E$582,$A644&amp;" ضد "&amp;AX$586)+COUNTIF($E$4:$E$582,AX$586&amp;" ضد "&amp;$A644))</f>
        <v>1</v>
      </c>
      <c r="AY644" s="4">
        <f>IF($A644=AY$586,"",COUNTIF($E$4:$E$582,$A644&amp;" ضد "&amp;AY$586)+COUNTIF($E$4:$E$582,AY$586&amp;" ضد "&amp;$A644))</f>
        <v>1</v>
      </c>
      <c r="AZ644" s="4">
        <f>IF($A644=AZ$586,"",COUNTIF($E$4:$E$582,$A644&amp;" ضد "&amp;AZ$586)+COUNTIF($E$4:$E$582,AZ$586&amp;" ضد "&amp;$A644))</f>
        <v>2</v>
      </c>
      <c r="BA644" s="4">
        <f>IF($A644=BA$586,"",COUNTIF($E$4:$E$582,$A644&amp;" ضد "&amp;BA$586)+COUNTIF($E$4:$E$582,BA$586&amp;" ضد "&amp;$A644))</f>
        <v>1</v>
      </c>
      <c r="BB644" s="4">
        <f>IF($A644=BB$586,"",COUNTIF($E$4:$E$582,$A644&amp;" ضد "&amp;BB$586)+COUNTIF($E$4:$E$582,BB$586&amp;" ضد "&amp;$A644))</f>
        <v>2</v>
      </c>
      <c r="BC644" s="4">
        <f>IF($A644=BC$586,"",COUNTIF($E$4:$E$582,$A644&amp;" ضد "&amp;BC$586)+COUNTIF($E$4:$E$582,BC$586&amp;" ضد "&amp;$A644))</f>
        <v>1</v>
      </c>
      <c r="BD644" s="4">
        <f>IF($A644=BD$586,"",COUNTIF($E$4:$E$582,$A644&amp;" ضد "&amp;BD$586)+COUNTIF($E$4:$E$582,BD$586&amp;" ضد "&amp;$A644))</f>
        <v>2</v>
      </c>
      <c r="BE644" s="4">
        <f>IF($A644=BE$586,"",COUNTIF($E$4:$E$582,$A644&amp;" ضد "&amp;BE$586)+COUNTIF($E$4:$E$582,BE$586&amp;" ضد "&amp;$A644))</f>
        <v>1</v>
      </c>
      <c r="BF644" s="4">
        <f>IF($A644=BF$586,"",COUNTIF($E$4:$E$582,$A644&amp;" ضد "&amp;BF$586)+COUNTIF($E$4:$E$582,BF$586&amp;" ضد "&amp;$A644))</f>
        <v>1</v>
      </c>
      <c r="BG644" s="4" t="str">
        <f>IF($A644=BG$586,"",COUNTIF($E$4:$E$582,$A644&amp;" ضد "&amp;BG$586)+COUNTIF($E$4:$E$582,BG$586&amp;" ضد "&amp;$A644))</f>
        <v/>
      </c>
      <c r="BH644" s="4">
        <f>IF($A644=BH$586,"",COUNTIF($E$4:$E$582,$A644&amp;" ضد "&amp;BH$586)+COUNTIF($E$4:$E$582,BH$586&amp;" ضد "&amp;$A644))</f>
        <v>1</v>
      </c>
      <c r="BI644" s="4">
        <f>IF($A644=BI$586,"",COUNTIF($E$4:$E$582,$A644&amp;" ضد "&amp;BI$586)+COUNTIF($E$4:$E$582,BI$586&amp;" ضد "&amp;$A644))</f>
        <v>1</v>
      </c>
      <c r="BJ644" s="4">
        <f>IF($A644=BJ$586,"",COUNTIF($E$4:$E$582,$A644&amp;" ضد "&amp;BJ$586)+COUNTIF($E$4:$E$582,BJ$586&amp;" ضد "&amp;$A644))</f>
        <v>1</v>
      </c>
      <c r="BK644" s="4">
        <f>IF($A644=BK$586,"",COUNTIF($E$4:$E$582,$A644&amp;" ضد "&amp;BK$586)+COUNTIF($E$4:$E$582,BK$586&amp;" ضد "&amp;$A644))</f>
        <v>1</v>
      </c>
      <c r="BL644" s="4">
        <f>IF($A644=BL$586,"",COUNTIF($E$4:$E$582,$A644&amp;" ضد "&amp;BL$586)+COUNTIF($E$4:$E$582,BL$586&amp;" ضد "&amp;$A644))</f>
        <v>1</v>
      </c>
      <c r="BM644" s="4">
        <f>IF($A644=BM$586,"",COUNTIF($E$4:$E$582,$A644&amp;" ضد "&amp;BM$586)+COUNTIF($E$4:$E$582,BM$586&amp;" ضد "&amp;$A644))</f>
        <v>1</v>
      </c>
    </row>
    <row r="645" spans="1:65" ht="14.5">
      <c r="A645" s="14">
        <v>59</v>
      </c>
      <c r="B645" s="4">
        <f>IF($A645=B$586,"",COUNTIF($E$4:$E$582,$A645&amp;" ضد "&amp;B$586)+COUNTIF($E$4:$E$582,B$586&amp;" ضد "&amp;$A645))</f>
        <v>0</v>
      </c>
      <c r="C645" s="4">
        <f>IF($A645=C$586,"",COUNTIF($E$4:$E$582,$A645&amp;" ضد "&amp;C$586)+COUNTIF($E$4:$E$582,C$586&amp;" ضد "&amp;$A645))</f>
        <v>0</v>
      </c>
      <c r="D645" s="4">
        <f>IF($A645=D$586,"",COUNTIF($E$4:$E$582,$A645&amp;" ضد "&amp;D$586)+COUNTIF($E$4:$E$582,D$586&amp;" ضد "&amp;$A645))</f>
        <v>0</v>
      </c>
      <c r="E645" s="4">
        <f>IF($A645=E$586,"",COUNTIF($E$4:$E$582,$A645&amp;" ضد "&amp;E$586)+COUNTIF($E$4:$E$582,E$586&amp;" ضد "&amp;$A645))</f>
        <v>0</v>
      </c>
      <c r="F645" s="4">
        <f>IF($A645=F$586,"",COUNTIF($E$4:$E$582,$A645&amp;" ضد "&amp;F$586)+COUNTIF($E$4:$E$582,F$586&amp;" ضد "&amp;$A645))</f>
        <v>0</v>
      </c>
      <c r="G645" s="4">
        <f>IF($A645=G$586,"",COUNTIF($E$4:$E$582,$A645&amp;" ضد "&amp;G$586)+COUNTIF($E$4:$E$582,G$586&amp;" ضد "&amp;$A645))</f>
        <v>0</v>
      </c>
      <c r="H645" s="4">
        <f>IF($A645=H$586,"",COUNTIF($E$4:$E$582,$A645&amp;" ضد "&amp;H$586)+COUNTIF($E$4:$E$582,H$586&amp;" ضد "&amp;$A645))</f>
        <v>0</v>
      </c>
      <c r="I645" s="4">
        <f>IF($A645=I$586,"",COUNTIF($E$4:$E$582,$A645&amp;" ضد "&amp;I$586)+COUNTIF($E$4:$E$582,I$586&amp;" ضد "&amp;$A645))</f>
        <v>0</v>
      </c>
      <c r="J645" s="4">
        <f>IF($A645=J$586,"",COUNTIF($E$4:$E$582,$A645&amp;" ضد "&amp;J$586)+COUNTIF($E$4:$E$582,J$586&amp;" ضد "&amp;$A645))</f>
        <v>0</v>
      </c>
      <c r="K645" s="4">
        <f>IF($A645=K$586,"",COUNTIF($E$4:$E$582,$A645&amp;" ضد "&amp;K$586)+COUNTIF($E$4:$E$582,K$586&amp;" ضد "&amp;$A645))</f>
        <v>0</v>
      </c>
      <c r="L645" s="4">
        <f>IF($A645=L$586,"",COUNTIF($E$4:$E$582,$A645&amp;" ضد "&amp;L$586)+COUNTIF($E$4:$E$582,L$586&amp;" ضد "&amp;$A645))</f>
        <v>0</v>
      </c>
      <c r="M645" s="4">
        <f>IF($A645=M$586,"",COUNTIF($E$4:$E$582,$A645&amp;" ضد "&amp;M$586)+COUNTIF($E$4:$E$582,M$586&amp;" ضد "&amp;$A645))</f>
        <v>0</v>
      </c>
      <c r="N645" s="4">
        <f>IF($A645=N$586,"",COUNTIF($E$4:$E$582,$A645&amp;" ضد "&amp;N$586)+COUNTIF($E$4:$E$582,N$586&amp;" ضد "&amp;$A645))</f>
        <v>0</v>
      </c>
      <c r="O645" s="4">
        <f>IF($A645=O$586,"",COUNTIF($E$4:$E$582,$A645&amp;" ضد "&amp;O$586)+COUNTIF($E$4:$E$582,O$586&amp;" ضد "&amp;$A645))</f>
        <v>0</v>
      </c>
      <c r="P645" s="4">
        <f>IF($A645=P$586,"",COUNTIF($E$4:$E$582,$A645&amp;" ضد "&amp;P$586)+COUNTIF($E$4:$E$582,P$586&amp;" ضد "&amp;$A645))</f>
        <v>0</v>
      </c>
      <c r="Q645" s="4">
        <f>IF($A645=Q$586,"",COUNTIF($E$4:$E$582,$A645&amp;" ضد "&amp;Q$586)+COUNTIF($E$4:$E$582,Q$586&amp;" ضد "&amp;$A645))</f>
        <v>0</v>
      </c>
      <c r="R645" s="4">
        <f>IF($A645=R$586,"",COUNTIF($E$4:$E$582,$A645&amp;" ضد "&amp;R$586)+COUNTIF($E$4:$E$582,R$586&amp;" ضد "&amp;$A645))</f>
        <v>0</v>
      </c>
      <c r="S645" s="4">
        <f>IF($A645=S$586,"",COUNTIF($E$4:$E$582,$A645&amp;" ضد "&amp;S$586)+COUNTIF($E$4:$E$582,S$586&amp;" ضد "&amp;$A645))</f>
        <v>0</v>
      </c>
      <c r="T645" s="4">
        <f>IF($A645=T$586,"",COUNTIF($E$4:$E$582,$A645&amp;" ضد "&amp;T$586)+COUNTIF($E$4:$E$582,T$586&amp;" ضد "&amp;$A645))</f>
        <v>0</v>
      </c>
      <c r="U645" s="4">
        <f>IF($A645=U$586,"",COUNTIF($E$4:$E$582,$A645&amp;" ضد "&amp;U$586)+COUNTIF($E$4:$E$582,U$586&amp;" ضد "&amp;$A645))</f>
        <v>0</v>
      </c>
      <c r="V645" s="4">
        <f>IF($A645=V$586,"",COUNTIF($E$4:$E$582,$A645&amp;" ضد "&amp;V$586)+COUNTIF($E$4:$E$582,V$586&amp;" ضد "&amp;$A645))</f>
        <v>0</v>
      </c>
      <c r="W645" s="4">
        <f>IF($A645=W$586,"",COUNTIF($E$4:$E$582,$A645&amp;" ضد "&amp;W$586)+COUNTIF($E$4:$E$582,W$586&amp;" ضد "&amp;$A645))</f>
        <v>0</v>
      </c>
      <c r="X645" s="4">
        <f>IF($A645=X$586,"",COUNTIF($E$4:$E$582,$A645&amp;" ضد "&amp;X$586)+COUNTIF($E$4:$E$582,X$586&amp;" ضد "&amp;$A645))</f>
        <v>0</v>
      </c>
      <c r="Y645" s="4">
        <f>IF($A645=Y$586,"",COUNTIF($E$4:$E$582,$A645&amp;" ضد "&amp;Y$586)+COUNTIF($E$4:$E$582,Y$586&amp;" ضد "&amp;$A645))</f>
        <v>0</v>
      </c>
      <c r="Z645" s="4">
        <f>IF($A645=Z$586,"",COUNTIF($E$4:$E$582,$A645&amp;" ضد "&amp;Z$586)+COUNTIF($E$4:$E$582,Z$586&amp;" ضد "&amp;$A645))</f>
        <v>0</v>
      </c>
      <c r="AA645" s="4">
        <f>IF($A645=AA$586,"",COUNTIF($E$4:$E$582,$A645&amp;" ضد "&amp;AA$586)+COUNTIF($E$4:$E$582,AA$586&amp;" ضد "&amp;$A645))</f>
        <v>0</v>
      </c>
      <c r="AB645" s="4">
        <f>IF($A645=AB$586,"",COUNTIF($E$4:$E$582,$A645&amp;" ضد "&amp;AB$586)+COUNTIF($E$4:$E$582,AB$586&amp;" ضد "&amp;$A645))</f>
        <v>0</v>
      </c>
      <c r="AC645" s="4">
        <f>IF($A645=AC$586,"",COUNTIF($E$4:$E$582,$A645&amp;" ضد "&amp;AC$586)+COUNTIF($E$4:$E$582,AC$586&amp;" ضد "&amp;$A645))</f>
        <v>0</v>
      </c>
      <c r="AD645" s="4">
        <f>IF($A645=AD$586,"",COUNTIF($E$4:$E$582,$A645&amp;" ضد "&amp;AD$586)+COUNTIF($E$4:$E$582,AD$586&amp;" ضد "&amp;$A645))</f>
        <v>0</v>
      </c>
      <c r="AE645" s="4">
        <f>IF($A645=AE$586,"",COUNTIF($E$4:$E$582,$A645&amp;" ضد "&amp;AE$586)+COUNTIF($E$4:$E$582,AE$586&amp;" ضد "&amp;$A645))</f>
        <v>0</v>
      </c>
      <c r="AF645" s="4">
        <f>IF($A645=AF$586,"",COUNTIF($E$4:$E$582,$A645&amp;" ضد "&amp;AF$586)+COUNTIF($E$4:$E$582,AF$586&amp;" ضد "&amp;$A645))</f>
        <v>0</v>
      </c>
      <c r="AG645" s="4">
        <f>IF($A645=AG$586,"",COUNTIF($E$4:$E$582,$A645&amp;" ضد "&amp;AG$586)+COUNTIF($E$4:$E$582,AG$586&amp;" ضد "&amp;$A645))</f>
        <v>0</v>
      </c>
      <c r="AH645" s="4">
        <f>IF($A645=AH$586,"",COUNTIF($E$4:$E$582,$A645&amp;" ضد "&amp;AH$586)+COUNTIF($E$4:$E$582,AH$586&amp;" ضد "&amp;$A645))</f>
        <v>0</v>
      </c>
      <c r="AI645" s="4">
        <f>IF($A645=AI$586,"",COUNTIF($E$4:$E$582,$A645&amp;" ضد "&amp;AI$586)+COUNTIF($E$4:$E$582,AI$586&amp;" ضد "&amp;$A645))</f>
        <v>0</v>
      </c>
      <c r="AJ645" s="4">
        <f>IF($A645=AJ$586,"",COUNTIF($E$4:$E$582,$A645&amp;" ضد "&amp;AJ$586)+COUNTIF($E$4:$E$582,AJ$586&amp;" ضد "&amp;$A645))</f>
        <v>0</v>
      </c>
      <c r="AK645" s="4">
        <f>IF($A645=AK$586,"",COUNTIF($E$4:$E$582,$A645&amp;" ضد "&amp;AK$586)+COUNTIF($E$4:$E$582,AK$586&amp;" ضد "&amp;$A645))</f>
        <v>0</v>
      </c>
      <c r="AL645" s="4">
        <f>IF($A645=AL$586,"",COUNTIF($E$4:$E$582,$A645&amp;" ضد "&amp;AL$586)+COUNTIF($E$4:$E$582,AL$586&amp;" ضد "&amp;$A645))</f>
        <v>0</v>
      </c>
      <c r="AM645" s="4">
        <f>IF($A645=AM$586,"",COUNTIF($E$4:$E$582,$A645&amp;" ضد "&amp;AM$586)+COUNTIF($E$4:$E$582,AM$586&amp;" ضد "&amp;$A645))</f>
        <v>0</v>
      </c>
      <c r="AN645" s="4">
        <f>IF($A645=AN$586,"",COUNTIF($E$4:$E$582,$A645&amp;" ضد "&amp;AN$586)+COUNTIF($E$4:$E$582,AN$586&amp;" ضد "&amp;$A645))</f>
        <v>0</v>
      </c>
      <c r="AO645" s="4">
        <f>IF($A645=AO$586,"",COUNTIF($E$4:$E$582,$A645&amp;" ضد "&amp;AO$586)+COUNTIF($E$4:$E$582,AO$586&amp;" ضد "&amp;$A645))</f>
        <v>0</v>
      </c>
      <c r="AP645" s="4">
        <f>IF($A645=AP$586,"",COUNTIF($E$4:$E$582,$A645&amp;" ضد "&amp;AP$586)+COUNTIF($E$4:$E$582,AP$586&amp;" ضد "&amp;$A645))</f>
        <v>0</v>
      </c>
      <c r="AQ645" s="4">
        <f>IF($A645=AQ$586,"",COUNTIF($E$4:$E$582,$A645&amp;" ضد "&amp;AQ$586)+COUNTIF($E$4:$E$582,AQ$586&amp;" ضد "&amp;$A645))</f>
        <v>0</v>
      </c>
      <c r="AR645" s="4">
        <f>IF($A645=AR$586,"",COUNTIF($E$4:$E$582,$A645&amp;" ضد "&amp;AR$586)+COUNTIF($E$4:$E$582,AR$586&amp;" ضد "&amp;$A645))</f>
        <v>0</v>
      </c>
      <c r="AS645" s="4">
        <f>IF($A645=AS$586,"",COUNTIF($E$4:$E$582,$A645&amp;" ضد "&amp;AS$586)+COUNTIF($E$4:$E$582,AS$586&amp;" ضد "&amp;$A645))</f>
        <v>0</v>
      </c>
      <c r="AT645" s="4">
        <f>IF($A645=AT$586,"",COUNTIF($E$4:$E$582,$A645&amp;" ضد "&amp;AT$586)+COUNTIF($E$4:$E$582,AT$586&amp;" ضد "&amp;$A645))</f>
        <v>0</v>
      </c>
      <c r="AU645" s="4">
        <f>IF($A645=AU$586,"",COUNTIF($E$4:$E$582,$A645&amp;" ضد "&amp;AU$586)+COUNTIF($E$4:$E$582,AU$586&amp;" ضد "&amp;$A645))</f>
        <v>0</v>
      </c>
      <c r="AV645" s="4">
        <f>IF($A645=AV$586,"",COUNTIF($E$4:$E$582,$A645&amp;" ضد "&amp;AV$586)+COUNTIF($E$4:$E$582,AV$586&amp;" ضد "&amp;$A645))</f>
        <v>0</v>
      </c>
      <c r="AW645" s="4">
        <f>IF($A645=AW$586,"",COUNTIF($E$4:$E$582,$A645&amp;" ضد "&amp;AW$586)+COUNTIF($E$4:$E$582,AW$586&amp;" ضد "&amp;$A645))</f>
        <v>0</v>
      </c>
      <c r="AX645" s="4">
        <f>IF($A645=AX$586,"",COUNTIF($E$4:$E$582,$A645&amp;" ضد "&amp;AX$586)+COUNTIF($E$4:$E$582,AX$586&amp;" ضد "&amp;$A645))</f>
        <v>1</v>
      </c>
      <c r="AY645" s="4">
        <f>IF($A645=AY$586,"",COUNTIF($E$4:$E$582,$A645&amp;" ضد "&amp;AY$586)+COUNTIF($E$4:$E$582,AY$586&amp;" ضد "&amp;$A645))</f>
        <v>2</v>
      </c>
      <c r="AZ645" s="4">
        <f>IF($A645=AZ$586,"",COUNTIF($E$4:$E$582,$A645&amp;" ضد "&amp;AZ$586)+COUNTIF($E$4:$E$582,AZ$586&amp;" ضد "&amp;$A645))</f>
        <v>1</v>
      </c>
      <c r="BA645" s="4">
        <f>IF($A645=BA$586,"",COUNTIF($E$4:$E$582,$A645&amp;" ضد "&amp;BA$586)+COUNTIF($E$4:$E$582,BA$586&amp;" ضد "&amp;$A645))</f>
        <v>2</v>
      </c>
      <c r="BB645" s="4">
        <f>IF($A645=BB$586,"",COUNTIF($E$4:$E$582,$A645&amp;" ضد "&amp;BB$586)+COUNTIF($E$4:$E$582,BB$586&amp;" ضد "&amp;$A645))</f>
        <v>1</v>
      </c>
      <c r="BC645" s="4">
        <f>IF($A645=BC$586,"",COUNTIF($E$4:$E$582,$A645&amp;" ضد "&amp;BC$586)+COUNTIF($E$4:$E$582,BC$586&amp;" ضد "&amp;$A645))</f>
        <v>2</v>
      </c>
      <c r="BD645" s="4">
        <f>IF($A645=BD$586,"",COUNTIF($E$4:$E$582,$A645&amp;" ضد "&amp;BD$586)+COUNTIF($E$4:$E$582,BD$586&amp;" ضد "&amp;$A645))</f>
        <v>1</v>
      </c>
      <c r="BE645" s="4">
        <f>IF($A645=BE$586,"",COUNTIF($E$4:$E$582,$A645&amp;" ضد "&amp;BE$586)+COUNTIF($E$4:$E$582,BE$586&amp;" ضد "&amp;$A645))</f>
        <v>1</v>
      </c>
      <c r="BF645" s="4">
        <f>IF($A645=BF$586,"",COUNTIF($E$4:$E$582,$A645&amp;" ضد "&amp;BF$586)+COUNTIF($E$4:$E$582,BF$586&amp;" ضد "&amp;$A645))</f>
        <v>1</v>
      </c>
      <c r="BG645" s="4">
        <f>IF($A645=BG$586,"",COUNTIF($E$4:$E$582,$A645&amp;" ضد "&amp;BG$586)+COUNTIF($E$4:$E$582,BG$586&amp;" ضد "&amp;$A645))</f>
        <v>1</v>
      </c>
      <c r="BH645" s="4" t="str">
        <f>IF($A645=BH$586,"",COUNTIF($E$4:$E$582,$A645&amp;" ضد "&amp;BH$586)+COUNTIF($E$4:$E$582,BH$586&amp;" ضد "&amp;$A645))</f>
        <v/>
      </c>
      <c r="BI645" s="4">
        <f>IF($A645=BI$586,"",COUNTIF($E$4:$E$582,$A645&amp;" ضد "&amp;BI$586)+COUNTIF($E$4:$E$582,BI$586&amp;" ضد "&amp;$A645))</f>
        <v>1</v>
      </c>
      <c r="BJ645" s="4">
        <f>IF($A645=BJ$586,"",COUNTIF($E$4:$E$582,$A645&amp;" ضد "&amp;BJ$586)+COUNTIF($E$4:$E$582,BJ$586&amp;" ضد "&amp;$A645))</f>
        <v>1</v>
      </c>
      <c r="BK645" s="4">
        <f>IF($A645=BK$586,"",COUNTIF($E$4:$E$582,$A645&amp;" ضد "&amp;BK$586)+COUNTIF($E$4:$E$582,BK$586&amp;" ضد "&amp;$A645))</f>
        <v>1</v>
      </c>
      <c r="BL645" s="4">
        <f>IF($A645=BL$586,"",COUNTIF($E$4:$E$582,$A645&amp;" ضد "&amp;BL$586)+COUNTIF($E$4:$E$582,BL$586&amp;" ضد "&amp;$A645))</f>
        <v>1</v>
      </c>
      <c r="BM645" s="4">
        <f>IF($A645=BM$586,"",COUNTIF($E$4:$E$582,$A645&amp;" ضد "&amp;BM$586)+COUNTIF($E$4:$E$582,BM$586&amp;" ضد "&amp;$A645))</f>
        <v>1</v>
      </c>
    </row>
    <row r="646" spans="1:65" ht="14.5">
      <c r="A646" s="14">
        <v>60</v>
      </c>
      <c r="B646" s="4">
        <f>IF($A646=B$586,"",COUNTIF($E$4:$E$582,$A646&amp;" ضد "&amp;B$586)+COUNTIF($E$4:$E$582,B$586&amp;" ضد "&amp;$A646))</f>
        <v>0</v>
      </c>
      <c r="C646" s="4">
        <f>IF($A646=C$586,"",COUNTIF($E$4:$E$582,$A646&amp;" ضد "&amp;C$586)+COUNTIF($E$4:$E$582,C$586&amp;" ضد "&amp;$A646))</f>
        <v>0</v>
      </c>
      <c r="D646" s="4">
        <f>IF($A646=D$586,"",COUNTIF($E$4:$E$582,$A646&amp;" ضد "&amp;D$586)+COUNTIF($E$4:$E$582,D$586&amp;" ضد "&amp;$A646))</f>
        <v>0</v>
      </c>
      <c r="E646" s="4">
        <f>IF($A646=E$586,"",COUNTIF($E$4:$E$582,$A646&amp;" ضد "&amp;E$586)+COUNTIF($E$4:$E$582,E$586&amp;" ضد "&amp;$A646))</f>
        <v>0</v>
      </c>
      <c r="F646" s="4">
        <f>IF($A646=F$586,"",COUNTIF($E$4:$E$582,$A646&amp;" ضد "&amp;F$586)+COUNTIF($E$4:$E$582,F$586&amp;" ضد "&amp;$A646))</f>
        <v>0</v>
      </c>
      <c r="G646" s="4">
        <f>IF($A646=G$586,"",COUNTIF($E$4:$E$582,$A646&amp;" ضد "&amp;G$586)+COUNTIF($E$4:$E$582,G$586&amp;" ضد "&amp;$A646))</f>
        <v>0</v>
      </c>
      <c r="H646" s="4">
        <f>IF($A646=H$586,"",COUNTIF($E$4:$E$582,$A646&amp;" ضد "&amp;H$586)+COUNTIF($E$4:$E$582,H$586&amp;" ضد "&amp;$A646))</f>
        <v>0</v>
      </c>
      <c r="I646" s="4">
        <f>IF($A646=I$586,"",COUNTIF($E$4:$E$582,$A646&amp;" ضد "&amp;I$586)+COUNTIF($E$4:$E$582,I$586&amp;" ضد "&amp;$A646))</f>
        <v>0</v>
      </c>
      <c r="J646" s="4">
        <f>IF($A646=J$586,"",COUNTIF($E$4:$E$582,$A646&amp;" ضد "&amp;J$586)+COUNTIF($E$4:$E$582,J$586&amp;" ضد "&amp;$A646))</f>
        <v>0</v>
      </c>
      <c r="K646" s="4">
        <f>IF($A646=K$586,"",COUNTIF($E$4:$E$582,$A646&amp;" ضد "&amp;K$586)+COUNTIF($E$4:$E$582,K$586&amp;" ضد "&amp;$A646))</f>
        <v>0</v>
      </c>
      <c r="L646" s="4">
        <f>IF($A646=L$586,"",COUNTIF($E$4:$E$582,$A646&amp;" ضد "&amp;L$586)+COUNTIF($E$4:$E$582,L$586&amp;" ضد "&amp;$A646))</f>
        <v>0</v>
      </c>
      <c r="M646" s="4">
        <f>IF($A646=M$586,"",COUNTIF($E$4:$E$582,$A646&amp;" ضد "&amp;M$586)+COUNTIF($E$4:$E$582,M$586&amp;" ضد "&amp;$A646))</f>
        <v>0</v>
      </c>
      <c r="N646" s="4">
        <f>IF($A646=N$586,"",COUNTIF($E$4:$E$582,$A646&amp;" ضد "&amp;N$586)+COUNTIF($E$4:$E$582,N$586&amp;" ضد "&amp;$A646))</f>
        <v>0</v>
      </c>
      <c r="O646" s="4">
        <f>IF($A646=O$586,"",COUNTIF($E$4:$E$582,$A646&amp;" ضد "&amp;O$586)+COUNTIF($E$4:$E$582,O$586&amp;" ضد "&amp;$A646))</f>
        <v>0</v>
      </c>
      <c r="P646" s="4">
        <f>IF($A646=P$586,"",COUNTIF($E$4:$E$582,$A646&amp;" ضد "&amp;P$586)+COUNTIF($E$4:$E$582,P$586&amp;" ضد "&amp;$A646))</f>
        <v>0</v>
      </c>
      <c r="Q646" s="4">
        <f>IF($A646=Q$586,"",COUNTIF($E$4:$E$582,$A646&amp;" ضد "&amp;Q$586)+COUNTIF($E$4:$E$582,Q$586&amp;" ضد "&amp;$A646))</f>
        <v>0</v>
      </c>
      <c r="R646" s="4">
        <f>IF($A646=R$586,"",COUNTIF($E$4:$E$582,$A646&amp;" ضد "&amp;R$586)+COUNTIF($E$4:$E$582,R$586&amp;" ضد "&amp;$A646))</f>
        <v>0</v>
      </c>
      <c r="S646" s="4">
        <f>IF($A646=S$586,"",COUNTIF($E$4:$E$582,$A646&amp;" ضد "&amp;S$586)+COUNTIF($E$4:$E$582,S$586&amp;" ضد "&amp;$A646))</f>
        <v>0</v>
      </c>
      <c r="T646" s="4">
        <f>IF($A646=T$586,"",COUNTIF($E$4:$E$582,$A646&amp;" ضد "&amp;T$586)+COUNTIF($E$4:$E$582,T$586&amp;" ضد "&amp;$A646))</f>
        <v>0</v>
      </c>
      <c r="U646" s="4">
        <f>IF($A646=U$586,"",COUNTIF($E$4:$E$582,$A646&amp;" ضد "&amp;U$586)+COUNTIF($E$4:$E$582,U$586&amp;" ضد "&amp;$A646))</f>
        <v>0</v>
      </c>
      <c r="V646" s="4">
        <f>IF($A646=V$586,"",COUNTIF($E$4:$E$582,$A646&amp;" ضد "&amp;V$586)+COUNTIF($E$4:$E$582,V$586&amp;" ضد "&amp;$A646))</f>
        <v>0</v>
      </c>
      <c r="W646" s="4">
        <f>IF($A646=W$586,"",COUNTIF($E$4:$E$582,$A646&amp;" ضد "&amp;W$586)+COUNTIF($E$4:$E$582,W$586&amp;" ضد "&amp;$A646))</f>
        <v>0</v>
      </c>
      <c r="X646" s="4">
        <f>IF($A646=X$586,"",COUNTIF($E$4:$E$582,$A646&amp;" ضد "&amp;X$586)+COUNTIF($E$4:$E$582,X$586&amp;" ضد "&amp;$A646))</f>
        <v>0</v>
      </c>
      <c r="Y646" s="4">
        <f>IF($A646=Y$586,"",COUNTIF($E$4:$E$582,$A646&amp;" ضد "&amp;Y$586)+COUNTIF($E$4:$E$582,Y$586&amp;" ضد "&amp;$A646))</f>
        <v>0</v>
      </c>
      <c r="Z646" s="4">
        <f>IF($A646=Z$586,"",COUNTIF($E$4:$E$582,$A646&amp;" ضد "&amp;Z$586)+COUNTIF($E$4:$E$582,Z$586&amp;" ضد "&amp;$A646))</f>
        <v>0</v>
      </c>
      <c r="AA646" s="4">
        <f>IF($A646=AA$586,"",COUNTIF($E$4:$E$582,$A646&amp;" ضد "&amp;AA$586)+COUNTIF($E$4:$E$582,AA$586&amp;" ضد "&amp;$A646))</f>
        <v>0</v>
      </c>
      <c r="AB646" s="4">
        <f>IF($A646=AB$586,"",COUNTIF($E$4:$E$582,$A646&amp;" ضد "&amp;AB$586)+COUNTIF($E$4:$E$582,AB$586&amp;" ضد "&amp;$A646))</f>
        <v>0</v>
      </c>
      <c r="AC646" s="4">
        <f>IF($A646=AC$586,"",COUNTIF($E$4:$E$582,$A646&amp;" ضد "&amp;AC$586)+COUNTIF($E$4:$E$582,AC$586&amp;" ضد "&amp;$A646))</f>
        <v>0</v>
      </c>
      <c r="AD646" s="4">
        <f>IF($A646=AD$586,"",COUNTIF($E$4:$E$582,$A646&amp;" ضد "&amp;AD$586)+COUNTIF($E$4:$E$582,AD$586&amp;" ضد "&amp;$A646))</f>
        <v>0</v>
      </c>
      <c r="AE646" s="4">
        <f>IF($A646=AE$586,"",COUNTIF($E$4:$E$582,$A646&amp;" ضد "&amp;AE$586)+COUNTIF($E$4:$E$582,AE$586&amp;" ضد "&amp;$A646))</f>
        <v>0</v>
      </c>
      <c r="AF646" s="4">
        <f>IF($A646=AF$586,"",COUNTIF($E$4:$E$582,$A646&amp;" ضد "&amp;AF$586)+COUNTIF($E$4:$E$582,AF$586&amp;" ضد "&amp;$A646))</f>
        <v>0</v>
      </c>
      <c r="AG646" s="4">
        <f>IF($A646=AG$586,"",COUNTIF($E$4:$E$582,$A646&amp;" ضد "&amp;AG$586)+COUNTIF($E$4:$E$582,AG$586&amp;" ضد "&amp;$A646))</f>
        <v>0</v>
      </c>
      <c r="AH646" s="4">
        <f>IF($A646=AH$586,"",COUNTIF($E$4:$E$582,$A646&amp;" ضد "&amp;AH$586)+COUNTIF($E$4:$E$582,AH$586&amp;" ضد "&amp;$A646))</f>
        <v>0</v>
      </c>
      <c r="AI646" s="4">
        <f>IF($A646=AI$586,"",COUNTIF($E$4:$E$582,$A646&amp;" ضد "&amp;AI$586)+COUNTIF($E$4:$E$582,AI$586&amp;" ضد "&amp;$A646))</f>
        <v>0</v>
      </c>
      <c r="AJ646" s="4">
        <f>IF($A646=AJ$586,"",COUNTIF($E$4:$E$582,$A646&amp;" ضد "&amp;AJ$586)+COUNTIF($E$4:$E$582,AJ$586&amp;" ضد "&amp;$A646))</f>
        <v>0</v>
      </c>
      <c r="AK646" s="4">
        <f>IF($A646=AK$586,"",COUNTIF($E$4:$E$582,$A646&amp;" ضد "&amp;AK$586)+COUNTIF($E$4:$E$582,AK$586&amp;" ضد "&amp;$A646))</f>
        <v>0</v>
      </c>
      <c r="AL646" s="4">
        <f>IF($A646=AL$586,"",COUNTIF($E$4:$E$582,$A646&amp;" ضد "&amp;AL$586)+COUNTIF($E$4:$E$582,AL$586&amp;" ضد "&amp;$A646))</f>
        <v>0</v>
      </c>
      <c r="AM646" s="4">
        <f>IF($A646=AM$586,"",COUNTIF($E$4:$E$582,$A646&amp;" ضد "&amp;AM$586)+COUNTIF($E$4:$E$582,AM$586&amp;" ضد "&amp;$A646))</f>
        <v>0</v>
      </c>
      <c r="AN646" s="4">
        <f>IF($A646=AN$586,"",COUNTIF($E$4:$E$582,$A646&amp;" ضد "&amp;AN$586)+COUNTIF($E$4:$E$582,AN$586&amp;" ضد "&amp;$A646))</f>
        <v>0</v>
      </c>
      <c r="AO646" s="4">
        <f>IF($A646=AO$586,"",COUNTIF($E$4:$E$582,$A646&amp;" ضد "&amp;AO$586)+COUNTIF($E$4:$E$582,AO$586&amp;" ضد "&amp;$A646))</f>
        <v>0</v>
      </c>
      <c r="AP646" s="4">
        <f>IF($A646=AP$586,"",COUNTIF($E$4:$E$582,$A646&amp;" ضد "&amp;AP$586)+COUNTIF($E$4:$E$582,AP$586&amp;" ضد "&amp;$A646))</f>
        <v>0</v>
      </c>
      <c r="AQ646" s="4">
        <f>IF($A646=AQ$586,"",COUNTIF($E$4:$E$582,$A646&amp;" ضد "&amp;AQ$586)+COUNTIF($E$4:$E$582,AQ$586&amp;" ضد "&amp;$A646))</f>
        <v>0</v>
      </c>
      <c r="AR646" s="4">
        <f>IF($A646=AR$586,"",COUNTIF($E$4:$E$582,$A646&amp;" ضد "&amp;AR$586)+COUNTIF($E$4:$E$582,AR$586&amp;" ضد "&amp;$A646))</f>
        <v>0</v>
      </c>
      <c r="AS646" s="4">
        <f>IF($A646=AS$586,"",COUNTIF($E$4:$E$582,$A646&amp;" ضد "&amp;AS$586)+COUNTIF($E$4:$E$582,AS$586&amp;" ضد "&amp;$A646))</f>
        <v>0</v>
      </c>
      <c r="AT646" s="4">
        <f>IF($A646=AT$586,"",COUNTIF($E$4:$E$582,$A646&amp;" ضد "&amp;AT$586)+COUNTIF($E$4:$E$582,AT$586&amp;" ضد "&amp;$A646))</f>
        <v>0</v>
      </c>
      <c r="AU646" s="4">
        <f>IF($A646=AU$586,"",COUNTIF($E$4:$E$582,$A646&amp;" ضد "&amp;AU$586)+COUNTIF($E$4:$E$582,AU$586&amp;" ضد "&amp;$A646))</f>
        <v>0</v>
      </c>
      <c r="AV646" s="4">
        <f>IF($A646=AV$586,"",COUNTIF($E$4:$E$582,$A646&amp;" ضد "&amp;AV$586)+COUNTIF($E$4:$E$582,AV$586&amp;" ضد "&amp;$A646))</f>
        <v>0</v>
      </c>
      <c r="AW646" s="4">
        <f>IF($A646=AW$586,"",COUNTIF($E$4:$E$582,$A646&amp;" ضد "&amp;AW$586)+COUNTIF($E$4:$E$582,AW$586&amp;" ضد "&amp;$A646))</f>
        <v>0</v>
      </c>
      <c r="AX646" s="4">
        <f>IF($A646=AX$586,"",COUNTIF($E$4:$E$582,$A646&amp;" ضد "&amp;AX$586)+COUNTIF($E$4:$E$582,AX$586&amp;" ضد "&amp;$A646))</f>
        <v>1</v>
      </c>
      <c r="AY646" s="4">
        <f>IF($A646=AY$586,"",COUNTIF($E$4:$E$582,$A646&amp;" ضد "&amp;AY$586)+COUNTIF($E$4:$E$582,AY$586&amp;" ضد "&amp;$A646))</f>
        <v>1</v>
      </c>
      <c r="AZ646" s="4">
        <f>IF($A646=AZ$586,"",COUNTIF($E$4:$E$582,$A646&amp;" ضد "&amp;AZ$586)+COUNTIF($E$4:$E$582,AZ$586&amp;" ضد "&amp;$A646))</f>
        <v>2</v>
      </c>
      <c r="BA646" s="4">
        <f>IF($A646=BA$586,"",COUNTIF($E$4:$E$582,$A646&amp;" ضد "&amp;BA$586)+COUNTIF($E$4:$E$582,BA$586&amp;" ضد "&amp;$A646))</f>
        <v>1</v>
      </c>
      <c r="BB646" s="4">
        <f>IF($A646=BB$586,"",COUNTIF($E$4:$E$582,$A646&amp;" ضد "&amp;BB$586)+COUNTIF($E$4:$E$582,BB$586&amp;" ضد "&amp;$A646))</f>
        <v>2</v>
      </c>
      <c r="BC646" s="4">
        <f>IF($A646=BC$586,"",COUNTIF($E$4:$E$582,$A646&amp;" ضد "&amp;BC$586)+COUNTIF($E$4:$E$582,BC$586&amp;" ضد "&amp;$A646))</f>
        <v>1</v>
      </c>
      <c r="BD646" s="4">
        <f>IF($A646=BD$586,"",COUNTIF($E$4:$E$582,$A646&amp;" ضد "&amp;BD$586)+COUNTIF($E$4:$E$582,BD$586&amp;" ضد "&amp;$A646))</f>
        <v>1</v>
      </c>
      <c r="BE646" s="4">
        <f>IF($A646=BE$586,"",COUNTIF($E$4:$E$582,$A646&amp;" ضد "&amp;BE$586)+COUNTIF($E$4:$E$582,BE$586&amp;" ضد "&amp;$A646))</f>
        <v>1</v>
      </c>
      <c r="BF646" s="4">
        <f>IF($A646=BF$586,"",COUNTIF($E$4:$E$582,$A646&amp;" ضد "&amp;BF$586)+COUNTIF($E$4:$E$582,BF$586&amp;" ضد "&amp;$A646))</f>
        <v>1</v>
      </c>
      <c r="BG646" s="4">
        <f>IF($A646=BG$586,"",COUNTIF($E$4:$E$582,$A646&amp;" ضد "&amp;BG$586)+COUNTIF($E$4:$E$582,BG$586&amp;" ضد "&amp;$A646))</f>
        <v>1</v>
      </c>
      <c r="BH646" s="4">
        <f>IF($A646=BH$586,"",COUNTIF($E$4:$E$582,$A646&amp;" ضد "&amp;BH$586)+COUNTIF($E$4:$E$582,BH$586&amp;" ضد "&amp;$A646))</f>
        <v>1</v>
      </c>
      <c r="BI646" s="4" t="str">
        <f>IF($A646=BI$586,"",COUNTIF($E$4:$E$582,$A646&amp;" ضد "&amp;BI$586)+COUNTIF($E$4:$E$582,BI$586&amp;" ضد "&amp;$A646))</f>
        <v/>
      </c>
      <c r="BJ646" s="4">
        <f>IF($A646=BJ$586,"",COUNTIF($E$4:$E$582,$A646&amp;" ضد "&amp;BJ$586)+COUNTIF($E$4:$E$582,BJ$586&amp;" ضد "&amp;$A646))</f>
        <v>1</v>
      </c>
      <c r="BK646" s="4">
        <f>IF($A646=BK$586,"",COUNTIF($E$4:$E$582,$A646&amp;" ضد "&amp;BK$586)+COUNTIF($E$4:$E$582,BK$586&amp;" ضد "&amp;$A646))</f>
        <v>1</v>
      </c>
      <c r="BL646" s="4">
        <f>IF($A646=BL$586,"",COUNTIF($E$4:$E$582,$A646&amp;" ضد "&amp;BL$586)+COUNTIF($E$4:$E$582,BL$586&amp;" ضد "&amp;$A646))</f>
        <v>1</v>
      </c>
      <c r="BM646" s="4">
        <f>IF($A646=BM$586,"",COUNTIF($E$4:$E$582,$A646&amp;" ضد "&amp;BM$586)+COUNTIF($E$4:$E$582,BM$586&amp;" ضد "&amp;$A646))</f>
        <v>2</v>
      </c>
    </row>
    <row r="647" spans="1:65" ht="14.5">
      <c r="A647" s="14">
        <v>61</v>
      </c>
      <c r="B647" s="4">
        <f>IF($A647=B$586,"",COUNTIF($E$4:$E$582,$A647&amp;" ضد "&amp;B$586)+COUNTIF($E$4:$E$582,B$586&amp;" ضد "&amp;$A647))</f>
        <v>0</v>
      </c>
      <c r="C647" s="4">
        <f>IF($A647=C$586,"",COUNTIF($E$4:$E$582,$A647&amp;" ضد "&amp;C$586)+COUNTIF($E$4:$E$582,C$586&amp;" ضد "&amp;$A647))</f>
        <v>0</v>
      </c>
      <c r="D647" s="4">
        <f>IF($A647=D$586,"",COUNTIF($E$4:$E$582,$A647&amp;" ضد "&amp;D$586)+COUNTIF($E$4:$E$582,D$586&amp;" ضد "&amp;$A647))</f>
        <v>0</v>
      </c>
      <c r="E647" s="4">
        <f>IF($A647=E$586,"",COUNTIF($E$4:$E$582,$A647&amp;" ضد "&amp;E$586)+COUNTIF($E$4:$E$582,E$586&amp;" ضد "&amp;$A647))</f>
        <v>0</v>
      </c>
      <c r="F647" s="4">
        <f>IF($A647=F$586,"",COUNTIF($E$4:$E$582,$A647&amp;" ضد "&amp;F$586)+COUNTIF($E$4:$E$582,F$586&amp;" ضد "&amp;$A647))</f>
        <v>0</v>
      </c>
      <c r="G647" s="4">
        <f>IF($A647=G$586,"",COUNTIF($E$4:$E$582,$A647&amp;" ضد "&amp;G$586)+COUNTIF($E$4:$E$582,G$586&amp;" ضد "&amp;$A647))</f>
        <v>0</v>
      </c>
      <c r="H647" s="4">
        <f>IF($A647=H$586,"",COUNTIF($E$4:$E$582,$A647&amp;" ضد "&amp;H$586)+COUNTIF($E$4:$E$582,H$586&amp;" ضد "&amp;$A647))</f>
        <v>0</v>
      </c>
      <c r="I647" s="4">
        <f>IF($A647=I$586,"",COUNTIF($E$4:$E$582,$A647&amp;" ضد "&amp;I$586)+COUNTIF($E$4:$E$582,I$586&amp;" ضد "&amp;$A647))</f>
        <v>0</v>
      </c>
      <c r="J647" s="4">
        <f>IF($A647=J$586,"",COUNTIF($E$4:$E$582,$A647&amp;" ضد "&amp;J$586)+COUNTIF($E$4:$E$582,J$586&amp;" ضد "&amp;$A647))</f>
        <v>0</v>
      </c>
      <c r="K647" s="4">
        <f>IF($A647=K$586,"",COUNTIF($E$4:$E$582,$A647&amp;" ضد "&amp;K$586)+COUNTIF($E$4:$E$582,K$586&amp;" ضد "&amp;$A647))</f>
        <v>0</v>
      </c>
      <c r="L647" s="4">
        <f>IF($A647=L$586,"",COUNTIF($E$4:$E$582,$A647&amp;" ضد "&amp;L$586)+COUNTIF($E$4:$E$582,L$586&amp;" ضد "&amp;$A647))</f>
        <v>0</v>
      </c>
      <c r="M647" s="4">
        <f>IF($A647=M$586,"",COUNTIF($E$4:$E$582,$A647&amp;" ضد "&amp;M$586)+COUNTIF($E$4:$E$582,M$586&amp;" ضد "&amp;$A647))</f>
        <v>0</v>
      </c>
      <c r="N647" s="4">
        <f>IF($A647=N$586,"",COUNTIF($E$4:$E$582,$A647&amp;" ضد "&amp;N$586)+COUNTIF($E$4:$E$582,N$586&amp;" ضد "&amp;$A647))</f>
        <v>0</v>
      </c>
      <c r="O647" s="4">
        <f>IF($A647=O$586,"",COUNTIF($E$4:$E$582,$A647&amp;" ضد "&amp;O$586)+COUNTIF($E$4:$E$582,O$586&amp;" ضد "&amp;$A647))</f>
        <v>0</v>
      </c>
      <c r="P647" s="4">
        <f>IF($A647=P$586,"",COUNTIF($E$4:$E$582,$A647&amp;" ضد "&amp;P$586)+COUNTIF($E$4:$E$582,P$586&amp;" ضد "&amp;$A647))</f>
        <v>0</v>
      </c>
      <c r="Q647" s="4">
        <f>IF($A647=Q$586,"",COUNTIF($E$4:$E$582,$A647&amp;" ضد "&amp;Q$586)+COUNTIF($E$4:$E$582,Q$586&amp;" ضد "&amp;$A647))</f>
        <v>0</v>
      </c>
      <c r="R647" s="4">
        <f>IF($A647=R$586,"",COUNTIF($E$4:$E$582,$A647&amp;" ضد "&amp;R$586)+COUNTIF($E$4:$E$582,R$586&amp;" ضد "&amp;$A647))</f>
        <v>0</v>
      </c>
      <c r="S647" s="4">
        <f>IF($A647=S$586,"",COUNTIF($E$4:$E$582,$A647&amp;" ضد "&amp;S$586)+COUNTIF($E$4:$E$582,S$586&amp;" ضد "&amp;$A647))</f>
        <v>0</v>
      </c>
      <c r="T647" s="4">
        <f>IF($A647=T$586,"",COUNTIF($E$4:$E$582,$A647&amp;" ضد "&amp;T$586)+COUNTIF($E$4:$E$582,T$586&amp;" ضد "&amp;$A647))</f>
        <v>0</v>
      </c>
      <c r="U647" s="4">
        <f>IF($A647=U$586,"",COUNTIF($E$4:$E$582,$A647&amp;" ضد "&amp;U$586)+COUNTIF($E$4:$E$582,U$586&amp;" ضد "&amp;$A647))</f>
        <v>0</v>
      </c>
      <c r="V647" s="4">
        <f>IF($A647=V$586,"",COUNTIF($E$4:$E$582,$A647&amp;" ضد "&amp;V$586)+COUNTIF($E$4:$E$582,V$586&amp;" ضد "&amp;$A647))</f>
        <v>0</v>
      </c>
      <c r="W647" s="4">
        <f>IF($A647=W$586,"",COUNTIF($E$4:$E$582,$A647&amp;" ضد "&amp;W$586)+COUNTIF($E$4:$E$582,W$586&amp;" ضد "&amp;$A647))</f>
        <v>0</v>
      </c>
      <c r="X647" s="4">
        <f>IF($A647=X$586,"",COUNTIF($E$4:$E$582,$A647&amp;" ضد "&amp;X$586)+COUNTIF($E$4:$E$582,X$586&amp;" ضد "&amp;$A647))</f>
        <v>0</v>
      </c>
      <c r="Y647" s="4">
        <f>IF($A647=Y$586,"",COUNTIF($E$4:$E$582,$A647&amp;" ضد "&amp;Y$586)+COUNTIF($E$4:$E$582,Y$586&amp;" ضد "&amp;$A647))</f>
        <v>0</v>
      </c>
      <c r="Z647" s="4">
        <f>IF($A647=Z$586,"",COUNTIF($E$4:$E$582,$A647&amp;" ضد "&amp;Z$586)+COUNTIF($E$4:$E$582,Z$586&amp;" ضد "&amp;$A647))</f>
        <v>0</v>
      </c>
      <c r="AA647" s="4">
        <f>IF($A647=AA$586,"",COUNTIF($E$4:$E$582,$A647&amp;" ضد "&amp;AA$586)+COUNTIF($E$4:$E$582,AA$586&amp;" ضد "&amp;$A647))</f>
        <v>0</v>
      </c>
      <c r="AB647" s="4">
        <f>IF($A647=AB$586,"",COUNTIF($E$4:$E$582,$A647&amp;" ضد "&amp;AB$586)+COUNTIF($E$4:$E$582,AB$586&amp;" ضد "&amp;$A647))</f>
        <v>0</v>
      </c>
      <c r="AC647" s="4">
        <f>IF($A647=AC$586,"",COUNTIF($E$4:$E$582,$A647&amp;" ضد "&amp;AC$586)+COUNTIF($E$4:$E$582,AC$586&amp;" ضد "&amp;$A647))</f>
        <v>0</v>
      </c>
      <c r="AD647" s="4">
        <f>IF($A647=AD$586,"",COUNTIF($E$4:$E$582,$A647&amp;" ضد "&amp;AD$586)+COUNTIF($E$4:$E$582,AD$586&amp;" ضد "&amp;$A647))</f>
        <v>0</v>
      </c>
      <c r="AE647" s="4">
        <f>IF($A647=AE$586,"",COUNTIF($E$4:$E$582,$A647&amp;" ضد "&amp;AE$586)+COUNTIF($E$4:$E$582,AE$586&amp;" ضد "&amp;$A647))</f>
        <v>0</v>
      </c>
      <c r="AF647" s="4">
        <f>IF($A647=AF$586,"",COUNTIF($E$4:$E$582,$A647&amp;" ضد "&amp;AF$586)+COUNTIF($E$4:$E$582,AF$586&amp;" ضد "&amp;$A647))</f>
        <v>0</v>
      </c>
      <c r="AG647" s="4">
        <f>IF($A647=AG$586,"",COUNTIF($E$4:$E$582,$A647&amp;" ضد "&amp;AG$586)+COUNTIF($E$4:$E$582,AG$586&amp;" ضد "&amp;$A647))</f>
        <v>0</v>
      </c>
      <c r="AH647" s="4">
        <f>IF($A647=AH$586,"",COUNTIF($E$4:$E$582,$A647&amp;" ضد "&amp;AH$586)+COUNTIF($E$4:$E$582,AH$586&amp;" ضد "&amp;$A647))</f>
        <v>0</v>
      </c>
      <c r="AI647" s="4">
        <f>IF($A647=AI$586,"",COUNTIF($E$4:$E$582,$A647&amp;" ضد "&amp;AI$586)+COUNTIF($E$4:$E$582,AI$586&amp;" ضد "&amp;$A647))</f>
        <v>0</v>
      </c>
      <c r="AJ647" s="4">
        <f>IF($A647=AJ$586,"",COUNTIF($E$4:$E$582,$A647&amp;" ضد "&amp;AJ$586)+COUNTIF($E$4:$E$582,AJ$586&amp;" ضد "&amp;$A647))</f>
        <v>0</v>
      </c>
      <c r="AK647" s="4">
        <f>IF($A647=AK$586,"",COUNTIF($E$4:$E$582,$A647&amp;" ضد "&amp;AK$586)+COUNTIF($E$4:$E$582,AK$586&amp;" ضد "&amp;$A647))</f>
        <v>0</v>
      </c>
      <c r="AL647" s="4">
        <f>IF($A647=AL$586,"",COUNTIF($E$4:$E$582,$A647&amp;" ضد "&amp;AL$586)+COUNTIF($E$4:$E$582,AL$586&amp;" ضد "&amp;$A647))</f>
        <v>0</v>
      </c>
      <c r="AM647" s="4">
        <f>IF($A647=AM$586,"",COUNTIF($E$4:$E$582,$A647&amp;" ضد "&amp;AM$586)+COUNTIF($E$4:$E$582,AM$586&amp;" ضد "&amp;$A647))</f>
        <v>0</v>
      </c>
      <c r="AN647" s="4">
        <f>IF($A647=AN$586,"",COUNTIF($E$4:$E$582,$A647&amp;" ضد "&amp;AN$586)+COUNTIF($E$4:$E$582,AN$586&amp;" ضد "&amp;$A647))</f>
        <v>0</v>
      </c>
      <c r="AO647" s="4">
        <f>IF($A647=AO$586,"",COUNTIF($E$4:$E$582,$A647&amp;" ضد "&amp;AO$586)+COUNTIF($E$4:$E$582,AO$586&amp;" ضد "&amp;$A647))</f>
        <v>0</v>
      </c>
      <c r="AP647" s="4">
        <f>IF($A647=AP$586,"",COUNTIF($E$4:$E$582,$A647&amp;" ضد "&amp;AP$586)+COUNTIF($E$4:$E$582,AP$586&amp;" ضد "&amp;$A647))</f>
        <v>0</v>
      </c>
      <c r="AQ647" s="4">
        <f>IF($A647=AQ$586,"",COUNTIF($E$4:$E$582,$A647&amp;" ضد "&amp;AQ$586)+COUNTIF($E$4:$E$582,AQ$586&amp;" ضد "&amp;$A647))</f>
        <v>0</v>
      </c>
      <c r="AR647" s="4">
        <f>IF($A647=AR$586,"",COUNTIF($E$4:$E$582,$A647&amp;" ضد "&amp;AR$586)+COUNTIF($E$4:$E$582,AR$586&amp;" ضد "&amp;$A647))</f>
        <v>0</v>
      </c>
      <c r="AS647" s="4">
        <f>IF($A647=AS$586,"",COUNTIF($E$4:$E$582,$A647&amp;" ضد "&amp;AS$586)+COUNTIF($E$4:$E$582,AS$586&amp;" ضد "&amp;$A647))</f>
        <v>0</v>
      </c>
      <c r="AT647" s="4">
        <f>IF($A647=AT$586,"",COUNTIF($E$4:$E$582,$A647&amp;" ضد "&amp;AT$586)+COUNTIF($E$4:$E$582,AT$586&amp;" ضد "&amp;$A647))</f>
        <v>0</v>
      </c>
      <c r="AU647" s="4">
        <f>IF($A647=AU$586,"",COUNTIF($E$4:$E$582,$A647&amp;" ضد "&amp;AU$586)+COUNTIF($E$4:$E$582,AU$586&amp;" ضد "&amp;$A647))</f>
        <v>0</v>
      </c>
      <c r="AV647" s="4">
        <f>IF($A647=AV$586,"",COUNTIF($E$4:$E$582,$A647&amp;" ضد "&amp;AV$586)+COUNTIF($E$4:$E$582,AV$586&amp;" ضد "&amp;$A647))</f>
        <v>0</v>
      </c>
      <c r="AW647" s="4">
        <f>IF($A647=AW$586,"",COUNTIF($E$4:$E$582,$A647&amp;" ضد "&amp;AW$586)+COUNTIF($E$4:$E$582,AW$586&amp;" ضد "&amp;$A647))</f>
        <v>0</v>
      </c>
      <c r="AX647" s="4">
        <f>IF($A647=AX$586,"",COUNTIF($E$4:$E$582,$A647&amp;" ضد "&amp;AX$586)+COUNTIF($E$4:$E$582,AX$586&amp;" ضد "&amp;$A647))</f>
        <v>1</v>
      </c>
      <c r="AY647" s="4">
        <f>IF($A647=AY$586,"",COUNTIF($E$4:$E$582,$A647&amp;" ضد "&amp;AY$586)+COUNTIF($E$4:$E$582,AY$586&amp;" ضد "&amp;$A647))</f>
        <v>2</v>
      </c>
      <c r="AZ647" s="4">
        <f>IF($A647=AZ$586,"",COUNTIF($E$4:$E$582,$A647&amp;" ضد "&amp;AZ$586)+COUNTIF($E$4:$E$582,AZ$586&amp;" ضد "&amp;$A647))</f>
        <v>1</v>
      </c>
      <c r="BA647" s="4">
        <f>IF($A647=BA$586,"",COUNTIF($E$4:$E$582,$A647&amp;" ضد "&amp;BA$586)+COUNTIF($E$4:$E$582,BA$586&amp;" ضد "&amp;$A647))</f>
        <v>2</v>
      </c>
      <c r="BB647" s="4">
        <f>IF($A647=BB$586,"",COUNTIF($E$4:$E$582,$A647&amp;" ضد "&amp;BB$586)+COUNTIF($E$4:$E$582,BB$586&amp;" ضد "&amp;$A647))</f>
        <v>1</v>
      </c>
      <c r="BC647" s="4">
        <f>IF($A647=BC$586,"",COUNTIF($E$4:$E$582,$A647&amp;" ضد "&amp;BC$586)+COUNTIF($E$4:$E$582,BC$586&amp;" ضد "&amp;$A647))</f>
        <v>1</v>
      </c>
      <c r="BD647" s="4">
        <f>IF($A647=BD$586,"",COUNTIF($E$4:$E$582,$A647&amp;" ضد "&amp;BD$586)+COUNTIF($E$4:$E$582,BD$586&amp;" ضد "&amp;$A647))</f>
        <v>1</v>
      </c>
      <c r="BE647" s="4">
        <f>IF($A647=BE$586,"",COUNTIF($E$4:$E$582,$A647&amp;" ضد "&amp;BE$586)+COUNTIF($E$4:$E$582,BE$586&amp;" ضد "&amp;$A647))</f>
        <v>1</v>
      </c>
      <c r="BF647" s="4">
        <f>IF($A647=BF$586,"",COUNTIF($E$4:$E$582,$A647&amp;" ضد "&amp;BF$586)+COUNTIF($E$4:$E$582,BF$586&amp;" ضد "&amp;$A647))</f>
        <v>1</v>
      </c>
      <c r="BG647" s="4">
        <f>IF($A647=BG$586,"",COUNTIF($E$4:$E$582,$A647&amp;" ضد "&amp;BG$586)+COUNTIF($E$4:$E$582,BG$586&amp;" ضد "&amp;$A647))</f>
        <v>1</v>
      </c>
      <c r="BH647" s="4">
        <f>IF($A647=BH$586,"",COUNTIF($E$4:$E$582,$A647&amp;" ضد "&amp;BH$586)+COUNTIF($E$4:$E$582,BH$586&amp;" ضد "&amp;$A647))</f>
        <v>1</v>
      </c>
      <c r="BI647" s="4">
        <f>IF($A647=BI$586,"",COUNTIF($E$4:$E$582,$A647&amp;" ضد "&amp;BI$586)+COUNTIF($E$4:$E$582,BI$586&amp;" ضد "&amp;$A647))</f>
        <v>1</v>
      </c>
      <c r="BJ647" s="4" t="str">
        <f>IF($A647=BJ$586,"",COUNTIF($E$4:$E$582,$A647&amp;" ضد "&amp;BJ$586)+COUNTIF($E$4:$E$582,BJ$586&amp;" ضد "&amp;$A647))</f>
        <v/>
      </c>
      <c r="BK647" s="4">
        <f>IF($A647=BK$586,"",COUNTIF($E$4:$E$582,$A647&amp;" ضد "&amp;BK$586)+COUNTIF($E$4:$E$582,BK$586&amp;" ضد "&amp;$A647))</f>
        <v>1</v>
      </c>
      <c r="BL647" s="4">
        <f>IF($A647=BL$586,"",COUNTIF($E$4:$E$582,$A647&amp;" ضد "&amp;BL$586)+COUNTIF($E$4:$E$582,BL$586&amp;" ضد "&amp;$A647))</f>
        <v>2</v>
      </c>
      <c r="BM647" s="4">
        <f>IF($A647=BM$586,"",COUNTIF($E$4:$E$582,$A647&amp;" ضد "&amp;BM$586)+COUNTIF($E$4:$E$582,BM$586&amp;" ضد "&amp;$A647))</f>
        <v>1</v>
      </c>
    </row>
    <row r="648" spans="1:65" ht="14.5">
      <c r="A648" s="14">
        <v>62</v>
      </c>
      <c r="B648" s="4">
        <f>IF($A648=B$586,"",COUNTIF($E$4:$E$582,$A648&amp;" ضد "&amp;B$586)+COUNTIF($E$4:$E$582,B$586&amp;" ضد "&amp;$A648))</f>
        <v>0</v>
      </c>
      <c r="C648" s="4">
        <f>IF($A648=C$586,"",COUNTIF($E$4:$E$582,$A648&amp;" ضد "&amp;C$586)+COUNTIF($E$4:$E$582,C$586&amp;" ضد "&amp;$A648))</f>
        <v>0</v>
      </c>
      <c r="D648" s="4">
        <f>IF($A648=D$586,"",COUNTIF($E$4:$E$582,$A648&amp;" ضد "&amp;D$586)+COUNTIF($E$4:$E$582,D$586&amp;" ضد "&amp;$A648))</f>
        <v>0</v>
      </c>
      <c r="E648" s="4">
        <f>IF($A648=E$586,"",COUNTIF($E$4:$E$582,$A648&amp;" ضد "&amp;E$586)+COUNTIF($E$4:$E$582,E$586&amp;" ضد "&amp;$A648))</f>
        <v>0</v>
      </c>
      <c r="F648" s="4">
        <f>IF($A648=F$586,"",COUNTIF($E$4:$E$582,$A648&amp;" ضد "&amp;F$586)+COUNTIF($E$4:$E$582,F$586&amp;" ضد "&amp;$A648))</f>
        <v>0</v>
      </c>
      <c r="G648" s="4">
        <f>IF($A648=G$586,"",COUNTIF($E$4:$E$582,$A648&amp;" ضد "&amp;G$586)+COUNTIF($E$4:$E$582,G$586&amp;" ضد "&amp;$A648))</f>
        <v>0</v>
      </c>
      <c r="H648" s="4">
        <f>IF($A648=H$586,"",COUNTIF($E$4:$E$582,$A648&amp;" ضد "&amp;H$586)+COUNTIF($E$4:$E$582,H$586&amp;" ضد "&amp;$A648))</f>
        <v>0</v>
      </c>
      <c r="I648" s="4">
        <f>IF($A648=I$586,"",COUNTIF($E$4:$E$582,$A648&amp;" ضد "&amp;I$586)+COUNTIF($E$4:$E$582,I$586&amp;" ضد "&amp;$A648))</f>
        <v>0</v>
      </c>
      <c r="J648" s="4">
        <f>IF($A648=J$586,"",COUNTIF($E$4:$E$582,$A648&amp;" ضد "&amp;J$586)+COUNTIF($E$4:$E$582,J$586&amp;" ضد "&amp;$A648))</f>
        <v>0</v>
      </c>
      <c r="K648" s="4">
        <f>IF($A648=K$586,"",COUNTIF($E$4:$E$582,$A648&amp;" ضد "&amp;K$586)+COUNTIF($E$4:$E$582,K$586&amp;" ضد "&amp;$A648))</f>
        <v>0</v>
      </c>
      <c r="L648" s="4">
        <f>IF($A648=L$586,"",COUNTIF($E$4:$E$582,$A648&amp;" ضد "&amp;L$586)+COUNTIF($E$4:$E$582,L$586&amp;" ضد "&amp;$A648))</f>
        <v>0</v>
      </c>
      <c r="M648" s="4">
        <f>IF($A648=M$586,"",COUNTIF($E$4:$E$582,$A648&amp;" ضد "&amp;M$586)+COUNTIF($E$4:$E$582,M$586&amp;" ضد "&amp;$A648))</f>
        <v>0</v>
      </c>
      <c r="N648" s="4">
        <f>IF($A648=N$586,"",COUNTIF($E$4:$E$582,$A648&amp;" ضد "&amp;N$586)+COUNTIF($E$4:$E$582,N$586&amp;" ضد "&amp;$A648))</f>
        <v>0</v>
      </c>
      <c r="O648" s="4">
        <f>IF($A648=O$586,"",COUNTIF($E$4:$E$582,$A648&amp;" ضد "&amp;O$586)+COUNTIF($E$4:$E$582,O$586&amp;" ضد "&amp;$A648))</f>
        <v>0</v>
      </c>
      <c r="P648" s="4">
        <f>IF($A648=P$586,"",COUNTIF($E$4:$E$582,$A648&amp;" ضد "&amp;P$586)+COUNTIF($E$4:$E$582,P$586&amp;" ضد "&amp;$A648))</f>
        <v>0</v>
      </c>
      <c r="Q648" s="4">
        <f>IF($A648=Q$586,"",COUNTIF($E$4:$E$582,$A648&amp;" ضد "&amp;Q$586)+COUNTIF($E$4:$E$582,Q$586&amp;" ضد "&amp;$A648))</f>
        <v>0</v>
      </c>
      <c r="R648" s="4">
        <f>IF($A648=R$586,"",COUNTIF($E$4:$E$582,$A648&amp;" ضد "&amp;R$586)+COUNTIF($E$4:$E$582,R$586&amp;" ضد "&amp;$A648))</f>
        <v>0</v>
      </c>
      <c r="S648" s="4">
        <f>IF($A648=S$586,"",COUNTIF($E$4:$E$582,$A648&amp;" ضد "&amp;S$586)+COUNTIF($E$4:$E$582,S$586&amp;" ضد "&amp;$A648))</f>
        <v>0</v>
      </c>
      <c r="T648" s="4">
        <f>IF($A648=T$586,"",COUNTIF($E$4:$E$582,$A648&amp;" ضد "&amp;T$586)+COUNTIF($E$4:$E$582,T$586&amp;" ضد "&amp;$A648))</f>
        <v>0</v>
      </c>
      <c r="U648" s="4">
        <f>IF($A648=U$586,"",COUNTIF($E$4:$E$582,$A648&amp;" ضد "&amp;U$586)+COUNTIF($E$4:$E$582,U$586&amp;" ضد "&amp;$A648))</f>
        <v>0</v>
      </c>
      <c r="V648" s="4">
        <f>IF($A648=V$586,"",COUNTIF($E$4:$E$582,$A648&amp;" ضد "&amp;V$586)+COUNTIF($E$4:$E$582,V$586&amp;" ضد "&amp;$A648))</f>
        <v>0</v>
      </c>
      <c r="W648" s="4">
        <f>IF($A648=W$586,"",COUNTIF($E$4:$E$582,$A648&amp;" ضد "&amp;W$586)+COUNTIF($E$4:$E$582,W$586&amp;" ضد "&amp;$A648))</f>
        <v>0</v>
      </c>
      <c r="X648" s="4">
        <f>IF($A648=X$586,"",COUNTIF($E$4:$E$582,$A648&amp;" ضد "&amp;X$586)+COUNTIF($E$4:$E$582,X$586&amp;" ضد "&amp;$A648))</f>
        <v>0</v>
      </c>
      <c r="Y648" s="4">
        <f>IF($A648=Y$586,"",COUNTIF($E$4:$E$582,$A648&amp;" ضد "&amp;Y$586)+COUNTIF($E$4:$E$582,Y$586&amp;" ضد "&amp;$A648))</f>
        <v>0</v>
      </c>
      <c r="Z648" s="4">
        <f>IF($A648=Z$586,"",COUNTIF($E$4:$E$582,$A648&amp;" ضد "&amp;Z$586)+COUNTIF($E$4:$E$582,Z$586&amp;" ضد "&amp;$A648))</f>
        <v>0</v>
      </c>
      <c r="AA648" s="4">
        <f>IF($A648=AA$586,"",COUNTIF($E$4:$E$582,$A648&amp;" ضد "&amp;AA$586)+COUNTIF($E$4:$E$582,AA$586&amp;" ضد "&amp;$A648))</f>
        <v>0</v>
      </c>
      <c r="AB648" s="4">
        <f>IF($A648=AB$586,"",COUNTIF($E$4:$E$582,$A648&amp;" ضد "&amp;AB$586)+COUNTIF($E$4:$E$582,AB$586&amp;" ضد "&amp;$A648))</f>
        <v>0</v>
      </c>
      <c r="AC648" s="4">
        <f>IF($A648=AC$586,"",COUNTIF($E$4:$E$582,$A648&amp;" ضد "&amp;AC$586)+COUNTIF($E$4:$E$582,AC$586&amp;" ضد "&amp;$A648))</f>
        <v>0</v>
      </c>
      <c r="AD648" s="4">
        <f>IF($A648=AD$586,"",COUNTIF($E$4:$E$582,$A648&amp;" ضد "&amp;AD$586)+COUNTIF($E$4:$E$582,AD$586&amp;" ضد "&amp;$A648))</f>
        <v>0</v>
      </c>
      <c r="AE648" s="4">
        <f>IF($A648=AE$586,"",COUNTIF($E$4:$E$582,$A648&amp;" ضد "&amp;AE$586)+COUNTIF($E$4:$E$582,AE$586&amp;" ضد "&amp;$A648))</f>
        <v>0</v>
      </c>
      <c r="AF648" s="4">
        <f>IF($A648=AF$586,"",COUNTIF($E$4:$E$582,$A648&amp;" ضد "&amp;AF$586)+COUNTIF($E$4:$E$582,AF$586&amp;" ضد "&amp;$A648))</f>
        <v>0</v>
      </c>
      <c r="AG648" s="4">
        <f>IF($A648=AG$586,"",COUNTIF($E$4:$E$582,$A648&amp;" ضد "&amp;AG$586)+COUNTIF($E$4:$E$582,AG$586&amp;" ضد "&amp;$A648))</f>
        <v>0</v>
      </c>
      <c r="AH648" s="4">
        <f>IF($A648=AH$586,"",COUNTIF($E$4:$E$582,$A648&amp;" ضد "&amp;AH$586)+COUNTIF($E$4:$E$582,AH$586&amp;" ضد "&amp;$A648))</f>
        <v>0</v>
      </c>
      <c r="AI648" s="4">
        <f>IF($A648=AI$586,"",COUNTIF($E$4:$E$582,$A648&amp;" ضد "&amp;AI$586)+COUNTIF($E$4:$E$582,AI$586&amp;" ضد "&amp;$A648))</f>
        <v>0</v>
      </c>
      <c r="AJ648" s="4">
        <f>IF($A648=AJ$586,"",COUNTIF($E$4:$E$582,$A648&amp;" ضد "&amp;AJ$586)+COUNTIF($E$4:$E$582,AJ$586&amp;" ضد "&amp;$A648))</f>
        <v>0</v>
      </c>
      <c r="AK648" s="4">
        <f>IF($A648=AK$586,"",COUNTIF($E$4:$E$582,$A648&amp;" ضد "&amp;AK$586)+COUNTIF($E$4:$E$582,AK$586&amp;" ضد "&amp;$A648))</f>
        <v>0</v>
      </c>
      <c r="AL648" s="4">
        <f>IF($A648=AL$586,"",COUNTIF($E$4:$E$582,$A648&amp;" ضد "&amp;AL$586)+COUNTIF($E$4:$E$582,AL$586&amp;" ضد "&amp;$A648))</f>
        <v>0</v>
      </c>
      <c r="AM648" s="4">
        <f>IF($A648=AM$586,"",COUNTIF($E$4:$E$582,$A648&amp;" ضد "&amp;AM$586)+COUNTIF($E$4:$E$582,AM$586&amp;" ضد "&amp;$A648))</f>
        <v>0</v>
      </c>
      <c r="AN648" s="4">
        <f>IF($A648=AN$586,"",COUNTIF($E$4:$E$582,$A648&amp;" ضد "&amp;AN$586)+COUNTIF($E$4:$E$582,AN$586&amp;" ضد "&amp;$A648))</f>
        <v>0</v>
      </c>
      <c r="AO648" s="4">
        <f>IF($A648=AO$586,"",COUNTIF($E$4:$E$582,$A648&amp;" ضد "&amp;AO$586)+COUNTIF($E$4:$E$582,AO$586&amp;" ضد "&amp;$A648))</f>
        <v>0</v>
      </c>
      <c r="AP648" s="4">
        <f>IF($A648=AP$586,"",COUNTIF($E$4:$E$582,$A648&amp;" ضد "&amp;AP$586)+COUNTIF($E$4:$E$582,AP$586&amp;" ضد "&amp;$A648))</f>
        <v>0</v>
      </c>
      <c r="AQ648" s="4">
        <f>IF($A648=AQ$586,"",COUNTIF($E$4:$E$582,$A648&amp;" ضد "&amp;AQ$586)+COUNTIF($E$4:$E$582,AQ$586&amp;" ضد "&amp;$A648))</f>
        <v>0</v>
      </c>
      <c r="AR648" s="4">
        <f>IF($A648=AR$586,"",COUNTIF($E$4:$E$582,$A648&amp;" ضد "&amp;AR$586)+COUNTIF($E$4:$E$582,AR$586&amp;" ضد "&amp;$A648))</f>
        <v>0</v>
      </c>
      <c r="AS648" s="4">
        <f>IF($A648=AS$586,"",COUNTIF($E$4:$E$582,$A648&amp;" ضد "&amp;AS$586)+COUNTIF($E$4:$E$582,AS$586&amp;" ضد "&amp;$A648))</f>
        <v>0</v>
      </c>
      <c r="AT648" s="4">
        <f>IF($A648=AT$586,"",COUNTIF($E$4:$E$582,$A648&amp;" ضد "&amp;AT$586)+COUNTIF($E$4:$E$582,AT$586&amp;" ضد "&amp;$A648))</f>
        <v>0</v>
      </c>
      <c r="AU648" s="4">
        <f>IF($A648=AU$586,"",COUNTIF($E$4:$E$582,$A648&amp;" ضد "&amp;AU$586)+COUNTIF($E$4:$E$582,AU$586&amp;" ضد "&amp;$A648))</f>
        <v>0</v>
      </c>
      <c r="AV648" s="4">
        <f>IF($A648=AV$586,"",COUNTIF($E$4:$E$582,$A648&amp;" ضد "&amp;AV$586)+COUNTIF($E$4:$E$582,AV$586&amp;" ضد "&amp;$A648))</f>
        <v>0</v>
      </c>
      <c r="AW648" s="4">
        <f>IF($A648=AW$586,"",COUNTIF($E$4:$E$582,$A648&amp;" ضد "&amp;AW$586)+COUNTIF($E$4:$E$582,AW$586&amp;" ضد "&amp;$A648))</f>
        <v>0</v>
      </c>
      <c r="AX648" s="4">
        <f>IF($A648=AX$586,"",COUNTIF($E$4:$E$582,$A648&amp;" ضد "&amp;AX$586)+COUNTIF($E$4:$E$582,AX$586&amp;" ضد "&amp;$A648))</f>
        <v>2</v>
      </c>
      <c r="AY648" s="4">
        <f>IF($A648=AY$586,"",COUNTIF($E$4:$E$582,$A648&amp;" ضد "&amp;AY$586)+COUNTIF($E$4:$E$582,AY$586&amp;" ضد "&amp;$A648))</f>
        <v>1</v>
      </c>
      <c r="AZ648" s="4">
        <f>IF($A648=AZ$586,"",COUNTIF($E$4:$E$582,$A648&amp;" ضد "&amp;AZ$586)+COUNTIF($E$4:$E$582,AZ$586&amp;" ضد "&amp;$A648))</f>
        <v>2</v>
      </c>
      <c r="BA648" s="4">
        <f>IF($A648=BA$586,"",COUNTIF($E$4:$E$582,$A648&amp;" ضد "&amp;BA$586)+COUNTIF($E$4:$E$582,BA$586&amp;" ضد "&amp;$A648))</f>
        <v>1</v>
      </c>
      <c r="BB648" s="4">
        <f>IF($A648=BB$586,"",COUNTIF($E$4:$E$582,$A648&amp;" ضد "&amp;BB$586)+COUNTIF($E$4:$E$582,BB$586&amp;" ضد "&amp;$A648))</f>
        <v>1</v>
      </c>
      <c r="BC648" s="4">
        <f>IF($A648=BC$586,"",COUNTIF($E$4:$E$582,$A648&amp;" ضد "&amp;BC$586)+COUNTIF($E$4:$E$582,BC$586&amp;" ضد "&amp;$A648))</f>
        <v>1</v>
      </c>
      <c r="BD648" s="4">
        <f>IF($A648=BD$586,"",COUNTIF($E$4:$E$582,$A648&amp;" ضد "&amp;BD$586)+COUNTIF($E$4:$E$582,BD$586&amp;" ضد "&amp;$A648))</f>
        <v>1</v>
      </c>
      <c r="BE648" s="4">
        <f>IF($A648=BE$586,"",COUNTIF($E$4:$E$582,$A648&amp;" ضد "&amp;BE$586)+COUNTIF($E$4:$E$582,BE$586&amp;" ضد "&amp;$A648))</f>
        <v>1</v>
      </c>
      <c r="BF648" s="4">
        <f>IF($A648=BF$586,"",COUNTIF($E$4:$E$582,$A648&amp;" ضد "&amp;BF$586)+COUNTIF($E$4:$E$582,BF$586&amp;" ضد "&amp;$A648))</f>
        <v>1</v>
      </c>
      <c r="BG648" s="4">
        <f>IF($A648=BG$586,"",COUNTIF($E$4:$E$582,$A648&amp;" ضد "&amp;BG$586)+COUNTIF($E$4:$E$582,BG$586&amp;" ضد "&amp;$A648))</f>
        <v>1</v>
      </c>
      <c r="BH648" s="4">
        <f>IF($A648=BH$586,"",COUNTIF($E$4:$E$582,$A648&amp;" ضد "&amp;BH$586)+COUNTIF($E$4:$E$582,BH$586&amp;" ضد "&amp;$A648))</f>
        <v>1</v>
      </c>
      <c r="BI648" s="4">
        <f>IF($A648=BI$586,"",COUNTIF($E$4:$E$582,$A648&amp;" ضد "&amp;BI$586)+COUNTIF($E$4:$E$582,BI$586&amp;" ضد "&amp;$A648))</f>
        <v>1</v>
      </c>
      <c r="BJ648" s="4">
        <f>IF($A648=BJ$586,"",COUNTIF($E$4:$E$582,$A648&amp;" ضد "&amp;BJ$586)+COUNTIF($E$4:$E$582,BJ$586&amp;" ضد "&amp;$A648))</f>
        <v>1</v>
      </c>
      <c r="BK648" s="4" t="str">
        <f>IF($A648=BK$586,"",COUNTIF($E$4:$E$582,$A648&amp;" ضد "&amp;BK$586)+COUNTIF($E$4:$E$582,BK$586&amp;" ضد "&amp;$A648))</f>
        <v/>
      </c>
      <c r="BL648" s="4">
        <f>IF($A648=BL$586,"",COUNTIF($E$4:$E$582,$A648&amp;" ضد "&amp;BL$586)+COUNTIF($E$4:$E$582,BL$586&amp;" ضد "&amp;$A648))</f>
        <v>1</v>
      </c>
      <c r="BM648" s="4">
        <f>IF($A648=BM$586,"",COUNTIF($E$4:$E$582,$A648&amp;" ضد "&amp;BM$586)+COUNTIF($E$4:$E$582,BM$586&amp;" ضد "&amp;$A648))</f>
        <v>2</v>
      </c>
    </row>
    <row r="649" spans="1:65" ht="14.5">
      <c r="A649" s="14">
        <v>63</v>
      </c>
      <c r="B649" s="4">
        <f>IF($A649=B$586,"",COUNTIF($E$4:$E$582,$A649&amp;" ضد "&amp;B$586)+COUNTIF($E$4:$E$582,B$586&amp;" ضد "&amp;$A649))</f>
        <v>0</v>
      </c>
      <c r="C649" s="4">
        <f>IF($A649=C$586,"",COUNTIF($E$4:$E$582,$A649&amp;" ضد "&amp;C$586)+COUNTIF($E$4:$E$582,C$586&amp;" ضد "&amp;$A649))</f>
        <v>0</v>
      </c>
      <c r="D649" s="4">
        <f>IF($A649=D$586,"",COUNTIF($E$4:$E$582,$A649&amp;" ضد "&amp;D$586)+COUNTIF($E$4:$E$582,D$586&amp;" ضد "&amp;$A649))</f>
        <v>0</v>
      </c>
      <c r="E649" s="4">
        <f>IF($A649=E$586,"",COUNTIF($E$4:$E$582,$A649&amp;" ضد "&amp;E$586)+COUNTIF($E$4:$E$582,E$586&amp;" ضد "&amp;$A649))</f>
        <v>0</v>
      </c>
      <c r="F649" s="4">
        <f>IF($A649=F$586,"",COUNTIF($E$4:$E$582,$A649&amp;" ضد "&amp;F$586)+COUNTIF($E$4:$E$582,F$586&amp;" ضد "&amp;$A649))</f>
        <v>0</v>
      </c>
      <c r="G649" s="4">
        <f>IF($A649=G$586,"",COUNTIF($E$4:$E$582,$A649&amp;" ضد "&amp;G$586)+COUNTIF($E$4:$E$582,G$586&amp;" ضد "&amp;$A649))</f>
        <v>0</v>
      </c>
      <c r="H649" s="4">
        <f>IF($A649=H$586,"",COUNTIF($E$4:$E$582,$A649&amp;" ضد "&amp;H$586)+COUNTIF($E$4:$E$582,H$586&amp;" ضد "&amp;$A649))</f>
        <v>0</v>
      </c>
      <c r="I649" s="4">
        <f>IF($A649=I$586,"",COUNTIF($E$4:$E$582,$A649&amp;" ضد "&amp;I$586)+COUNTIF($E$4:$E$582,I$586&amp;" ضد "&amp;$A649))</f>
        <v>0</v>
      </c>
      <c r="J649" s="4">
        <f>IF($A649=J$586,"",COUNTIF($E$4:$E$582,$A649&amp;" ضد "&amp;J$586)+COUNTIF($E$4:$E$582,J$586&amp;" ضد "&amp;$A649))</f>
        <v>0</v>
      </c>
      <c r="K649" s="4">
        <f>IF($A649=K$586,"",COUNTIF($E$4:$E$582,$A649&amp;" ضد "&amp;K$586)+COUNTIF($E$4:$E$582,K$586&amp;" ضد "&amp;$A649))</f>
        <v>0</v>
      </c>
      <c r="L649" s="4">
        <f>IF($A649=L$586,"",COUNTIF($E$4:$E$582,$A649&amp;" ضد "&amp;L$586)+COUNTIF($E$4:$E$582,L$586&amp;" ضد "&amp;$A649))</f>
        <v>0</v>
      </c>
      <c r="M649" s="4">
        <f>IF($A649=M$586,"",COUNTIF($E$4:$E$582,$A649&amp;" ضد "&amp;M$586)+COUNTIF($E$4:$E$582,M$586&amp;" ضد "&amp;$A649))</f>
        <v>0</v>
      </c>
      <c r="N649" s="4">
        <f>IF($A649=N$586,"",COUNTIF($E$4:$E$582,$A649&amp;" ضد "&amp;N$586)+COUNTIF($E$4:$E$582,N$586&amp;" ضد "&amp;$A649))</f>
        <v>0</v>
      </c>
      <c r="O649" s="4">
        <f>IF($A649=O$586,"",COUNTIF($E$4:$E$582,$A649&amp;" ضد "&amp;O$586)+COUNTIF($E$4:$E$582,O$586&amp;" ضد "&amp;$A649))</f>
        <v>0</v>
      </c>
      <c r="P649" s="4">
        <f>IF($A649=P$586,"",COUNTIF($E$4:$E$582,$A649&amp;" ضد "&amp;P$586)+COUNTIF($E$4:$E$582,P$586&amp;" ضد "&amp;$A649))</f>
        <v>0</v>
      </c>
      <c r="Q649" s="4">
        <f>IF($A649=Q$586,"",COUNTIF($E$4:$E$582,$A649&amp;" ضد "&amp;Q$586)+COUNTIF($E$4:$E$582,Q$586&amp;" ضد "&amp;$A649))</f>
        <v>0</v>
      </c>
      <c r="R649" s="4">
        <f>IF($A649=R$586,"",COUNTIF($E$4:$E$582,$A649&amp;" ضد "&amp;R$586)+COUNTIF($E$4:$E$582,R$586&amp;" ضد "&amp;$A649))</f>
        <v>0</v>
      </c>
      <c r="S649" s="4">
        <f>IF($A649=S$586,"",COUNTIF($E$4:$E$582,$A649&amp;" ضد "&amp;S$586)+COUNTIF($E$4:$E$582,S$586&amp;" ضد "&amp;$A649))</f>
        <v>0</v>
      </c>
      <c r="T649" s="4">
        <f>IF($A649=T$586,"",COUNTIF($E$4:$E$582,$A649&amp;" ضد "&amp;T$586)+COUNTIF($E$4:$E$582,T$586&amp;" ضد "&amp;$A649))</f>
        <v>0</v>
      </c>
      <c r="U649" s="4">
        <f>IF($A649=U$586,"",COUNTIF($E$4:$E$582,$A649&amp;" ضد "&amp;U$586)+COUNTIF($E$4:$E$582,U$586&amp;" ضد "&amp;$A649))</f>
        <v>0</v>
      </c>
      <c r="V649" s="4">
        <f>IF($A649=V$586,"",COUNTIF($E$4:$E$582,$A649&amp;" ضد "&amp;V$586)+COUNTIF($E$4:$E$582,V$586&amp;" ضد "&amp;$A649))</f>
        <v>0</v>
      </c>
      <c r="W649" s="4">
        <f>IF($A649=W$586,"",COUNTIF($E$4:$E$582,$A649&amp;" ضد "&amp;W$586)+COUNTIF($E$4:$E$582,W$586&amp;" ضد "&amp;$A649))</f>
        <v>0</v>
      </c>
      <c r="X649" s="4">
        <f>IF($A649=X$586,"",COUNTIF($E$4:$E$582,$A649&amp;" ضد "&amp;X$586)+COUNTIF($E$4:$E$582,X$586&amp;" ضد "&amp;$A649))</f>
        <v>0</v>
      </c>
      <c r="Y649" s="4">
        <f>IF($A649=Y$586,"",COUNTIF($E$4:$E$582,$A649&amp;" ضد "&amp;Y$586)+COUNTIF($E$4:$E$582,Y$586&amp;" ضد "&amp;$A649))</f>
        <v>0</v>
      </c>
      <c r="Z649" s="4">
        <f>IF($A649=Z$586,"",COUNTIF($E$4:$E$582,$A649&amp;" ضد "&amp;Z$586)+COUNTIF($E$4:$E$582,Z$586&amp;" ضد "&amp;$A649))</f>
        <v>0</v>
      </c>
      <c r="AA649" s="4">
        <f>IF($A649=AA$586,"",COUNTIF($E$4:$E$582,$A649&amp;" ضد "&amp;AA$586)+COUNTIF($E$4:$E$582,AA$586&amp;" ضد "&amp;$A649))</f>
        <v>0</v>
      </c>
      <c r="AB649" s="4">
        <f>IF($A649=AB$586,"",COUNTIF($E$4:$E$582,$A649&amp;" ضد "&amp;AB$586)+COUNTIF($E$4:$E$582,AB$586&amp;" ضد "&amp;$A649))</f>
        <v>0</v>
      </c>
      <c r="AC649" s="4">
        <f>IF($A649=AC$586,"",COUNTIF($E$4:$E$582,$A649&amp;" ضد "&amp;AC$586)+COUNTIF($E$4:$E$582,AC$586&amp;" ضد "&amp;$A649))</f>
        <v>0</v>
      </c>
      <c r="AD649" s="4">
        <f>IF($A649=AD$586,"",COUNTIF($E$4:$E$582,$A649&amp;" ضد "&amp;AD$586)+COUNTIF($E$4:$E$582,AD$586&amp;" ضد "&amp;$A649))</f>
        <v>0</v>
      </c>
      <c r="AE649" s="4">
        <f>IF($A649=AE$586,"",COUNTIF($E$4:$E$582,$A649&amp;" ضد "&amp;AE$586)+COUNTIF($E$4:$E$582,AE$586&amp;" ضد "&amp;$A649))</f>
        <v>0</v>
      </c>
      <c r="AF649" s="4">
        <f>IF($A649=AF$586,"",COUNTIF($E$4:$E$582,$A649&amp;" ضد "&amp;AF$586)+COUNTIF($E$4:$E$582,AF$586&amp;" ضد "&amp;$A649))</f>
        <v>0</v>
      </c>
      <c r="AG649" s="4">
        <f>IF($A649=AG$586,"",COUNTIF($E$4:$E$582,$A649&amp;" ضد "&amp;AG$586)+COUNTIF($E$4:$E$582,AG$586&amp;" ضد "&amp;$A649))</f>
        <v>0</v>
      </c>
      <c r="AH649" s="4">
        <f>IF($A649=AH$586,"",COUNTIF($E$4:$E$582,$A649&amp;" ضد "&amp;AH$586)+COUNTIF($E$4:$E$582,AH$586&amp;" ضد "&amp;$A649))</f>
        <v>0</v>
      </c>
      <c r="AI649" s="4">
        <f>IF($A649=AI$586,"",COUNTIF($E$4:$E$582,$A649&amp;" ضد "&amp;AI$586)+COUNTIF($E$4:$E$582,AI$586&amp;" ضد "&amp;$A649))</f>
        <v>0</v>
      </c>
      <c r="AJ649" s="4">
        <f>IF($A649=AJ$586,"",COUNTIF($E$4:$E$582,$A649&amp;" ضد "&amp;AJ$586)+COUNTIF($E$4:$E$582,AJ$586&amp;" ضد "&amp;$A649))</f>
        <v>0</v>
      </c>
      <c r="AK649" s="4">
        <f>IF($A649=AK$586,"",COUNTIF($E$4:$E$582,$A649&amp;" ضد "&amp;AK$586)+COUNTIF($E$4:$E$582,AK$586&amp;" ضد "&amp;$A649))</f>
        <v>0</v>
      </c>
      <c r="AL649" s="4">
        <f>IF($A649=AL$586,"",COUNTIF($E$4:$E$582,$A649&amp;" ضد "&amp;AL$586)+COUNTIF($E$4:$E$582,AL$586&amp;" ضد "&amp;$A649))</f>
        <v>0</v>
      </c>
      <c r="AM649" s="4">
        <f>IF($A649=AM$586,"",COUNTIF($E$4:$E$582,$A649&amp;" ضد "&amp;AM$586)+COUNTIF($E$4:$E$582,AM$586&amp;" ضد "&amp;$A649))</f>
        <v>0</v>
      </c>
      <c r="AN649" s="4">
        <f>IF($A649=AN$586,"",COUNTIF($E$4:$E$582,$A649&amp;" ضد "&amp;AN$586)+COUNTIF($E$4:$E$582,AN$586&amp;" ضد "&amp;$A649))</f>
        <v>0</v>
      </c>
      <c r="AO649" s="4">
        <f>IF($A649=AO$586,"",COUNTIF($E$4:$E$582,$A649&amp;" ضد "&amp;AO$586)+COUNTIF($E$4:$E$582,AO$586&amp;" ضد "&amp;$A649))</f>
        <v>0</v>
      </c>
      <c r="AP649" s="4">
        <f>IF($A649=AP$586,"",COUNTIF($E$4:$E$582,$A649&amp;" ضد "&amp;AP$586)+COUNTIF($E$4:$E$582,AP$586&amp;" ضد "&amp;$A649))</f>
        <v>0</v>
      </c>
      <c r="AQ649" s="4">
        <f>IF($A649=AQ$586,"",COUNTIF($E$4:$E$582,$A649&amp;" ضد "&amp;AQ$586)+COUNTIF($E$4:$E$582,AQ$586&amp;" ضد "&amp;$A649))</f>
        <v>0</v>
      </c>
      <c r="AR649" s="4">
        <f>IF($A649=AR$586,"",COUNTIF($E$4:$E$582,$A649&amp;" ضد "&amp;AR$586)+COUNTIF($E$4:$E$582,AR$586&amp;" ضد "&amp;$A649))</f>
        <v>0</v>
      </c>
      <c r="AS649" s="4">
        <f>IF($A649=AS$586,"",COUNTIF($E$4:$E$582,$A649&amp;" ضد "&amp;AS$586)+COUNTIF($E$4:$E$582,AS$586&amp;" ضد "&amp;$A649))</f>
        <v>0</v>
      </c>
      <c r="AT649" s="4">
        <f>IF($A649=AT$586,"",COUNTIF($E$4:$E$582,$A649&amp;" ضد "&amp;AT$586)+COUNTIF($E$4:$E$582,AT$586&amp;" ضد "&amp;$A649))</f>
        <v>0</v>
      </c>
      <c r="AU649" s="4">
        <f>IF($A649=AU$586,"",COUNTIF($E$4:$E$582,$A649&amp;" ضد "&amp;AU$586)+COUNTIF($E$4:$E$582,AU$586&amp;" ضد "&amp;$A649))</f>
        <v>0</v>
      </c>
      <c r="AV649" s="4">
        <f>IF($A649=AV$586,"",COUNTIF($E$4:$E$582,$A649&amp;" ضد "&amp;AV$586)+COUNTIF($E$4:$E$582,AV$586&amp;" ضد "&amp;$A649))</f>
        <v>0</v>
      </c>
      <c r="AW649" s="4">
        <f>IF($A649=AW$586,"",COUNTIF($E$4:$E$582,$A649&amp;" ضد "&amp;AW$586)+COUNTIF($E$4:$E$582,AW$586&amp;" ضد "&amp;$A649))</f>
        <v>0</v>
      </c>
      <c r="AX649" s="4">
        <f>IF($A649=AX$586,"",COUNTIF($E$4:$E$582,$A649&amp;" ضد "&amp;AX$586)+COUNTIF($E$4:$E$582,AX$586&amp;" ضد "&amp;$A649))</f>
        <v>2</v>
      </c>
      <c r="AY649" s="4">
        <f>IF($A649=AY$586,"",COUNTIF($E$4:$E$582,$A649&amp;" ضد "&amp;AY$586)+COUNTIF($E$4:$E$582,AY$586&amp;" ضد "&amp;$A649))</f>
        <v>2</v>
      </c>
      <c r="AZ649" s="4">
        <f>IF($A649=AZ$586,"",COUNTIF($E$4:$E$582,$A649&amp;" ضد "&amp;AZ$586)+COUNTIF($E$4:$E$582,AZ$586&amp;" ضد "&amp;$A649))</f>
        <v>1</v>
      </c>
      <c r="BA649" s="4">
        <f>IF($A649=BA$586,"",COUNTIF($E$4:$E$582,$A649&amp;" ضد "&amp;BA$586)+COUNTIF($E$4:$E$582,BA$586&amp;" ضد "&amp;$A649))</f>
        <v>1</v>
      </c>
      <c r="BB649" s="4">
        <f>IF($A649=BB$586,"",COUNTIF($E$4:$E$582,$A649&amp;" ضد "&amp;BB$586)+COUNTIF($E$4:$E$582,BB$586&amp;" ضد "&amp;$A649))</f>
        <v>1</v>
      </c>
      <c r="BC649" s="4">
        <f>IF($A649=BC$586,"",COUNTIF($E$4:$E$582,$A649&amp;" ضد "&amp;BC$586)+COUNTIF($E$4:$E$582,BC$586&amp;" ضد "&amp;$A649))</f>
        <v>1</v>
      </c>
      <c r="BD649" s="4">
        <f>IF($A649=BD$586,"",COUNTIF($E$4:$E$582,$A649&amp;" ضد "&amp;BD$586)+COUNTIF($E$4:$E$582,BD$586&amp;" ضد "&amp;$A649))</f>
        <v>1</v>
      </c>
      <c r="BE649" s="4">
        <f>IF($A649=BE$586,"",COUNTIF($E$4:$E$582,$A649&amp;" ضد "&amp;BE$586)+COUNTIF($E$4:$E$582,BE$586&amp;" ضد "&amp;$A649))</f>
        <v>1</v>
      </c>
      <c r="BF649" s="4">
        <f>IF($A649=BF$586,"",COUNTIF($E$4:$E$582,$A649&amp;" ضد "&amp;BF$586)+COUNTIF($E$4:$E$582,BF$586&amp;" ضد "&amp;$A649))</f>
        <v>1</v>
      </c>
      <c r="BG649" s="4">
        <f>IF($A649=BG$586,"",COUNTIF($E$4:$E$582,$A649&amp;" ضد "&amp;BG$586)+COUNTIF($E$4:$E$582,BG$586&amp;" ضد "&amp;$A649))</f>
        <v>1</v>
      </c>
      <c r="BH649" s="4">
        <f>IF($A649=BH$586,"",COUNTIF($E$4:$E$582,$A649&amp;" ضد "&amp;BH$586)+COUNTIF($E$4:$E$582,BH$586&amp;" ضد "&amp;$A649))</f>
        <v>1</v>
      </c>
      <c r="BI649" s="4">
        <f>IF($A649=BI$586,"",COUNTIF($E$4:$E$582,$A649&amp;" ضد "&amp;BI$586)+COUNTIF($E$4:$E$582,BI$586&amp;" ضد "&amp;$A649))</f>
        <v>1</v>
      </c>
      <c r="BJ649" s="4">
        <f>IF($A649=BJ$586,"",COUNTIF($E$4:$E$582,$A649&amp;" ضد "&amp;BJ$586)+COUNTIF($E$4:$E$582,BJ$586&amp;" ضد "&amp;$A649))</f>
        <v>2</v>
      </c>
      <c r="BK649" s="4">
        <f>IF($A649=BK$586,"",COUNTIF($E$4:$E$582,$A649&amp;" ضد "&amp;BK$586)+COUNTIF($E$4:$E$582,BK$586&amp;" ضد "&amp;$A649))</f>
        <v>1</v>
      </c>
      <c r="BL649" s="4" t="str">
        <f>IF($A649=BL$586,"",COUNTIF($E$4:$E$582,$A649&amp;" ضد "&amp;BL$586)+COUNTIF($E$4:$E$582,BL$586&amp;" ضد "&amp;$A649))</f>
        <v/>
      </c>
      <c r="BM649" s="4">
        <f>IF($A649=BM$586,"",COUNTIF($E$4:$E$582,$A649&amp;" ضد "&amp;BM$586)+COUNTIF($E$4:$E$582,BM$586&amp;" ضد "&amp;$A649))</f>
        <v>1</v>
      </c>
    </row>
    <row r="650" spans="1:65" ht="14.5">
      <c r="A650" s="14">
        <v>64</v>
      </c>
      <c r="B650" s="4">
        <f>IF($A650=B$586,"",COUNTIF($E$4:$E$582,$A650&amp;" ضد "&amp;B$586)+COUNTIF($E$4:$E$582,B$586&amp;" ضد "&amp;$A650))</f>
        <v>0</v>
      </c>
      <c r="C650" s="4">
        <f>IF($A650=C$586,"",COUNTIF($E$4:$E$582,$A650&amp;" ضد "&amp;C$586)+COUNTIF($E$4:$E$582,C$586&amp;" ضد "&amp;$A650))</f>
        <v>0</v>
      </c>
      <c r="D650" s="4">
        <f>IF($A650=D$586,"",COUNTIF($E$4:$E$582,$A650&amp;" ضد "&amp;D$586)+COUNTIF($E$4:$E$582,D$586&amp;" ضد "&amp;$A650))</f>
        <v>0</v>
      </c>
      <c r="E650" s="4">
        <f>IF($A650=E$586,"",COUNTIF($E$4:$E$582,$A650&amp;" ضد "&amp;E$586)+COUNTIF($E$4:$E$582,E$586&amp;" ضد "&amp;$A650))</f>
        <v>0</v>
      </c>
      <c r="F650" s="4">
        <f>IF($A650=F$586,"",COUNTIF($E$4:$E$582,$A650&amp;" ضد "&amp;F$586)+COUNTIF($E$4:$E$582,F$586&amp;" ضد "&amp;$A650))</f>
        <v>0</v>
      </c>
      <c r="G650" s="4">
        <f>IF($A650=G$586,"",COUNTIF($E$4:$E$582,$A650&amp;" ضد "&amp;G$586)+COUNTIF($E$4:$E$582,G$586&amp;" ضد "&amp;$A650))</f>
        <v>0</v>
      </c>
      <c r="H650" s="4">
        <f>IF($A650=H$586,"",COUNTIF($E$4:$E$582,$A650&amp;" ضد "&amp;H$586)+COUNTIF($E$4:$E$582,H$586&amp;" ضد "&amp;$A650))</f>
        <v>0</v>
      </c>
      <c r="I650" s="4">
        <f>IF($A650=I$586,"",COUNTIF($E$4:$E$582,$A650&amp;" ضد "&amp;I$586)+COUNTIF($E$4:$E$582,I$586&amp;" ضد "&amp;$A650))</f>
        <v>0</v>
      </c>
      <c r="J650" s="4">
        <f>IF($A650=J$586,"",COUNTIF($E$4:$E$582,$A650&amp;" ضد "&amp;J$586)+COUNTIF($E$4:$E$582,J$586&amp;" ضد "&amp;$A650))</f>
        <v>0</v>
      </c>
      <c r="K650" s="4">
        <f>IF($A650=K$586,"",COUNTIF($E$4:$E$582,$A650&amp;" ضد "&amp;K$586)+COUNTIF($E$4:$E$582,K$586&amp;" ضد "&amp;$A650))</f>
        <v>0</v>
      </c>
      <c r="L650" s="4">
        <f>IF($A650=L$586,"",COUNTIF($E$4:$E$582,$A650&amp;" ضد "&amp;L$586)+COUNTIF($E$4:$E$582,L$586&amp;" ضد "&amp;$A650))</f>
        <v>0</v>
      </c>
      <c r="M650" s="4">
        <f>IF($A650=M$586,"",COUNTIF($E$4:$E$582,$A650&amp;" ضد "&amp;M$586)+COUNTIF($E$4:$E$582,M$586&amp;" ضد "&amp;$A650))</f>
        <v>0</v>
      </c>
      <c r="N650" s="4">
        <f>IF($A650=N$586,"",COUNTIF($E$4:$E$582,$A650&amp;" ضد "&amp;N$586)+COUNTIF($E$4:$E$582,N$586&amp;" ضد "&amp;$A650))</f>
        <v>0</v>
      </c>
      <c r="O650" s="4">
        <f>IF($A650=O$586,"",COUNTIF($E$4:$E$582,$A650&amp;" ضد "&amp;O$586)+COUNTIF($E$4:$E$582,O$586&amp;" ضد "&amp;$A650))</f>
        <v>0</v>
      </c>
      <c r="P650" s="4">
        <f>IF($A650=P$586,"",COUNTIF($E$4:$E$582,$A650&amp;" ضد "&amp;P$586)+COUNTIF($E$4:$E$582,P$586&amp;" ضد "&amp;$A650))</f>
        <v>0</v>
      </c>
      <c r="Q650" s="4">
        <f>IF($A650=Q$586,"",COUNTIF($E$4:$E$582,$A650&amp;" ضد "&amp;Q$586)+COUNTIF($E$4:$E$582,Q$586&amp;" ضد "&amp;$A650))</f>
        <v>0</v>
      </c>
      <c r="R650" s="4">
        <f>IF($A650=R$586,"",COUNTIF($E$4:$E$582,$A650&amp;" ضد "&amp;R$586)+COUNTIF($E$4:$E$582,R$586&amp;" ضد "&amp;$A650))</f>
        <v>0</v>
      </c>
      <c r="S650" s="4">
        <f>IF($A650=S$586,"",COUNTIF($E$4:$E$582,$A650&amp;" ضد "&amp;S$586)+COUNTIF($E$4:$E$582,S$586&amp;" ضد "&amp;$A650))</f>
        <v>0</v>
      </c>
      <c r="T650" s="4">
        <f>IF($A650=T$586,"",COUNTIF($E$4:$E$582,$A650&amp;" ضد "&amp;T$586)+COUNTIF($E$4:$E$582,T$586&amp;" ضد "&amp;$A650))</f>
        <v>0</v>
      </c>
      <c r="U650" s="4">
        <f>IF($A650=U$586,"",COUNTIF($E$4:$E$582,$A650&amp;" ضد "&amp;U$586)+COUNTIF($E$4:$E$582,U$586&amp;" ضد "&amp;$A650))</f>
        <v>0</v>
      </c>
      <c r="V650" s="4">
        <f>IF($A650=V$586,"",COUNTIF($E$4:$E$582,$A650&amp;" ضد "&amp;V$586)+COUNTIF($E$4:$E$582,V$586&amp;" ضد "&amp;$A650))</f>
        <v>0</v>
      </c>
      <c r="W650" s="4">
        <f>IF($A650=W$586,"",COUNTIF($E$4:$E$582,$A650&amp;" ضد "&amp;W$586)+COUNTIF($E$4:$E$582,W$586&amp;" ضد "&amp;$A650))</f>
        <v>0</v>
      </c>
      <c r="X650" s="4">
        <f>IF($A650=X$586,"",COUNTIF($E$4:$E$582,$A650&amp;" ضد "&amp;X$586)+COUNTIF($E$4:$E$582,X$586&amp;" ضد "&amp;$A650))</f>
        <v>0</v>
      </c>
      <c r="Y650" s="4">
        <f>IF($A650=Y$586,"",COUNTIF($E$4:$E$582,$A650&amp;" ضد "&amp;Y$586)+COUNTIF($E$4:$E$582,Y$586&amp;" ضد "&amp;$A650))</f>
        <v>0</v>
      </c>
      <c r="Z650" s="4">
        <f>IF($A650=Z$586,"",COUNTIF($E$4:$E$582,$A650&amp;" ضد "&amp;Z$586)+COUNTIF($E$4:$E$582,Z$586&amp;" ضد "&amp;$A650))</f>
        <v>0</v>
      </c>
      <c r="AA650" s="4">
        <f>IF($A650=AA$586,"",COUNTIF($E$4:$E$582,$A650&amp;" ضد "&amp;AA$586)+COUNTIF($E$4:$E$582,AA$586&amp;" ضد "&amp;$A650))</f>
        <v>0</v>
      </c>
      <c r="AB650" s="4">
        <f>IF($A650=AB$586,"",COUNTIF($E$4:$E$582,$A650&amp;" ضد "&amp;AB$586)+COUNTIF($E$4:$E$582,AB$586&amp;" ضد "&amp;$A650))</f>
        <v>0</v>
      </c>
      <c r="AC650" s="4">
        <f>IF($A650=AC$586,"",COUNTIF($E$4:$E$582,$A650&amp;" ضد "&amp;AC$586)+COUNTIF($E$4:$E$582,AC$586&amp;" ضد "&amp;$A650))</f>
        <v>0</v>
      </c>
      <c r="AD650" s="4">
        <f>IF($A650=AD$586,"",COUNTIF($E$4:$E$582,$A650&amp;" ضد "&amp;AD$586)+COUNTIF($E$4:$E$582,AD$586&amp;" ضد "&amp;$A650))</f>
        <v>0</v>
      </c>
      <c r="AE650" s="4">
        <f>IF($A650=AE$586,"",COUNTIF($E$4:$E$582,$A650&amp;" ضد "&amp;AE$586)+COUNTIF($E$4:$E$582,AE$586&amp;" ضد "&amp;$A650))</f>
        <v>0</v>
      </c>
      <c r="AF650" s="4">
        <f>IF($A650=AF$586,"",COUNTIF($E$4:$E$582,$A650&amp;" ضد "&amp;AF$586)+COUNTIF($E$4:$E$582,AF$586&amp;" ضد "&amp;$A650))</f>
        <v>0</v>
      </c>
      <c r="AG650" s="4">
        <f>IF($A650=AG$586,"",COUNTIF($E$4:$E$582,$A650&amp;" ضد "&amp;AG$586)+COUNTIF($E$4:$E$582,AG$586&amp;" ضد "&amp;$A650))</f>
        <v>0</v>
      </c>
      <c r="AH650" s="4">
        <f>IF($A650=AH$586,"",COUNTIF($E$4:$E$582,$A650&amp;" ضد "&amp;AH$586)+COUNTIF($E$4:$E$582,AH$586&amp;" ضد "&amp;$A650))</f>
        <v>0</v>
      </c>
      <c r="AI650" s="4">
        <f>IF($A650=AI$586,"",COUNTIF($E$4:$E$582,$A650&amp;" ضد "&amp;AI$586)+COUNTIF($E$4:$E$582,AI$586&amp;" ضد "&amp;$A650))</f>
        <v>0</v>
      </c>
      <c r="AJ650" s="4">
        <f>IF($A650=AJ$586,"",COUNTIF($E$4:$E$582,$A650&amp;" ضد "&amp;AJ$586)+COUNTIF($E$4:$E$582,AJ$586&amp;" ضد "&amp;$A650))</f>
        <v>0</v>
      </c>
      <c r="AK650" s="4">
        <f>IF($A650=AK$586,"",COUNTIF($E$4:$E$582,$A650&amp;" ضد "&amp;AK$586)+COUNTIF($E$4:$E$582,AK$586&amp;" ضد "&amp;$A650))</f>
        <v>0</v>
      </c>
      <c r="AL650" s="4">
        <f>IF($A650=AL$586,"",COUNTIF($E$4:$E$582,$A650&amp;" ضد "&amp;AL$586)+COUNTIF($E$4:$E$582,AL$586&amp;" ضد "&amp;$A650))</f>
        <v>0</v>
      </c>
      <c r="AM650" s="4">
        <f>IF($A650=AM$586,"",COUNTIF($E$4:$E$582,$A650&amp;" ضد "&amp;AM$586)+COUNTIF($E$4:$E$582,AM$586&amp;" ضد "&amp;$A650))</f>
        <v>0</v>
      </c>
      <c r="AN650" s="4">
        <f>IF($A650=AN$586,"",COUNTIF($E$4:$E$582,$A650&amp;" ضد "&amp;AN$586)+COUNTIF($E$4:$E$582,AN$586&amp;" ضد "&amp;$A650))</f>
        <v>0</v>
      </c>
      <c r="AO650" s="4">
        <f>IF($A650=AO$586,"",COUNTIF($E$4:$E$582,$A650&amp;" ضد "&amp;AO$586)+COUNTIF($E$4:$E$582,AO$586&amp;" ضد "&amp;$A650))</f>
        <v>0</v>
      </c>
      <c r="AP650" s="4">
        <f>IF($A650=AP$586,"",COUNTIF($E$4:$E$582,$A650&amp;" ضد "&amp;AP$586)+COUNTIF($E$4:$E$582,AP$586&amp;" ضد "&amp;$A650))</f>
        <v>0</v>
      </c>
      <c r="AQ650" s="4">
        <f>IF($A650=AQ$586,"",COUNTIF($E$4:$E$582,$A650&amp;" ضد "&amp;AQ$586)+COUNTIF($E$4:$E$582,AQ$586&amp;" ضد "&amp;$A650))</f>
        <v>0</v>
      </c>
      <c r="AR650" s="4">
        <f>IF($A650=AR$586,"",COUNTIF($E$4:$E$582,$A650&amp;" ضد "&amp;AR$586)+COUNTIF($E$4:$E$582,AR$586&amp;" ضد "&amp;$A650))</f>
        <v>0</v>
      </c>
      <c r="AS650" s="4">
        <f>IF($A650=AS$586,"",COUNTIF($E$4:$E$582,$A650&amp;" ضد "&amp;AS$586)+COUNTIF($E$4:$E$582,AS$586&amp;" ضد "&amp;$A650))</f>
        <v>0</v>
      </c>
      <c r="AT650" s="4">
        <f>IF($A650=AT$586,"",COUNTIF($E$4:$E$582,$A650&amp;" ضد "&amp;AT$586)+COUNTIF($E$4:$E$582,AT$586&amp;" ضد "&amp;$A650))</f>
        <v>0</v>
      </c>
      <c r="AU650" s="4">
        <f>IF($A650=AU$586,"",COUNTIF($E$4:$E$582,$A650&amp;" ضد "&amp;AU$586)+COUNTIF($E$4:$E$582,AU$586&amp;" ضد "&amp;$A650))</f>
        <v>0</v>
      </c>
      <c r="AV650" s="4">
        <f>IF($A650=AV$586,"",COUNTIF($E$4:$E$582,$A650&amp;" ضد "&amp;AV$586)+COUNTIF($E$4:$E$582,AV$586&amp;" ضد "&amp;$A650))</f>
        <v>0</v>
      </c>
      <c r="AW650" s="4">
        <f>IF($A650=AW$586,"",COUNTIF($E$4:$E$582,$A650&amp;" ضد "&amp;AW$586)+COUNTIF($E$4:$E$582,AW$586&amp;" ضد "&amp;$A650))</f>
        <v>0</v>
      </c>
      <c r="AX650" s="4">
        <f>IF($A650=AX$586,"",COUNTIF($E$4:$E$582,$A650&amp;" ضد "&amp;AX$586)+COUNTIF($E$4:$E$582,AX$586&amp;" ضد "&amp;$A650))</f>
        <v>2</v>
      </c>
      <c r="AY650" s="4">
        <f>IF($A650=AY$586,"",COUNTIF($E$4:$E$582,$A650&amp;" ضد "&amp;AY$586)+COUNTIF($E$4:$E$582,AY$586&amp;" ضد "&amp;$A650))</f>
        <v>1</v>
      </c>
      <c r="AZ650" s="4">
        <f>IF($A650=AZ$586,"",COUNTIF($E$4:$E$582,$A650&amp;" ضد "&amp;AZ$586)+COUNTIF($E$4:$E$582,AZ$586&amp;" ضد "&amp;$A650))</f>
        <v>1</v>
      </c>
      <c r="BA650" s="4">
        <f>IF($A650=BA$586,"",COUNTIF($E$4:$E$582,$A650&amp;" ضد "&amp;BA$586)+COUNTIF($E$4:$E$582,BA$586&amp;" ضد "&amp;$A650))</f>
        <v>1</v>
      </c>
      <c r="BB650" s="4">
        <f>IF($A650=BB$586,"",COUNTIF($E$4:$E$582,$A650&amp;" ضد "&amp;BB$586)+COUNTIF($E$4:$E$582,BB$586&amp;" ضد "&amp;$A650))</f>
        <v>1</v>
      </c>
      <c r="BC650" s="4">
        <f>IF($A650=BC$586,"",COUNTIF($E$4:$E$582,$A650&amp;" ضد "&amp;BC$586)+COUNTIF($E$4:$E$582,BC$586&amp;" ضد "&amp;$A650))</f>
        <v>1</v>
      </c>
      <c r="BD650" s="4">
        <f>IF($A650=BD$586,"",COUNTIF($E$4:$E$582,$A650&amp;" ضد "&amp;BD$586)+COUNTIF($E$4:$E$582,BD$586&amp;" ضد "&amp;$A650))</f>
        <v>1</v>
      </c>
      <c r="BE650" s="4">
        <f>IF($A650=BE$586,"",COUNTIF($E$4:$E$582,$A650&amp;" ضد "&amp;BE$586)+COUNTIF($E$4:$E$582,BE$586&amp;" ضد "&amp;$A650))</f>
        <v>1</v>
      </c>
      <c r="BF650" s="4">
        <f>IF($A650=BF$586,"",COUNTIF($E$4:$E$582,$A650&amp;" ضد "&amp;BF$586)+COUNTIF($E$4:$E$582,BF$586&amp;" ضد "&amp;$A650))</f>
        <v>1</v>
      </c>
      <c r="BG650" s="4">
        <f>IF($A650=BG$586,"",COUNTIF($E$4:$E$582,$A650&amp;" ضد "&amp;BG$586)+COUNTIF($E$4:$E$582,BG$586&amp;" ضد "&amp;$A650))</f>
        <v>1</v>
      </c>
      <c r="BH650" s="4">
        <f>IF($A650=BH$586,"",COUNTIF($E$4:$E$582,$A650&amp;" ضد "&amp;BH$586)+COUNTIF($E$4:$E$582,BH$586&amp;" ضد "&amp;$A650))</f>
        <v>1</v>
      </c>
      <c r="BI650" s="4">
        <f>IF($A650=BI$586,"",COUNTIF($E$4:$E$582,$A650&amp;" ضد "&amp;BI$586)+COUNTIF($E$4:$E$582,BI$586&amp;" ضد "&amp;$A650))</f>
        <v>2</v>
      </c>
      <c r="BJ650" s="4">
        <f>IF($A650=BJ$586,"",COUNTIF($E$4:$E$582,$A650&amp;" ضد "&amp;BJ$586)+COUNTIF($E$4:$E$582,BJ$586&amp;" ضد "&amp;$A650))</f>
        <v>1</v>
      </c>
      <c r="BK650" s="4">
        <f>IF($A650=BK$586,"",COUNTIF($E$4:$E$582,$A650&amp;" ضد "&amp;BK$586)+COUNTIF($E$4:$E$582,BK$586&amp;" ضد "&amp;$A650))</f>
        <v>2</v>
      </c>
      <c r="BL650" s="4">
        <f>IF($A650=BL$586,"",COUNTIF($E$4:$E$582,$A650&amp;" ضد "&amp;BL$586)+COUNTIF($E$4:$E$582,BL$586&amp;" ضد "&amp;$A650))</f>
        <v>1</v>
      </c>
      <c r="BM650" s="4" t="str">
        <f>IF($A650=BM$586,"",COUNTIF($E$4:$E$582,$A650&amp;" ضد "&amp;BM$586)+COUNTIF($E$4:$E$582,BM$586&amp;" ضد "&amp;$A650))</f>
        <v/>
      </c>
    </row>
    <row r="651" spans="1:65" ht="14.5">
      <c r="A651" s="14" t="s">
        <v>1033</v>
      </c>
      <c r="B651" s="4" cm="1">
        <f t="array" ref="B651">MIN(IF(B587:BM650&gt;0,B587:BM650))</f>
        <v>1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</row>
    <row r="652" spans="1:65" ht="14.5">
      <c r="A652" s="14" t="s">
        <v>830</v>
      </c>
      <c r="B652" s="4">
        <f>MAX(B587:BM650)</f>
        <v>2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</row>
  </sheetData>
  <mergeCells count="2">
    <mergeCell ref="A1:E1"/>
    <mergeCell ref="A585:BM58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280B-1427-4D9E-B9E5-20EA8CFFAB98}">
  <dimension ref="A1:BP682"/>
  <sheetViews>
    <sheetView rightToLeft="1" workbookViewId="0">
      <pane ySplit="3" topLeftCell="A4" activePane="bottomLeft" state="frozen"/>
      <selection pane="bottomLeft" activeCell="B3" sqref="B1:B1048576"/>
    </sheetView>
  </sheetViews>
  <sheetFormatPr defaultRowHeight="14"/>
  <cols>
    <col min="1" max="1" width="14.1640625" customWidth="1"/>
    <col min="2" max="2" width="19.1640625" customWidth="1"/>
    <col min="3" max="3" width="10.33203125" customWidth="1"/>
    <col min="4" max="4" width="19.6640625" customWidth="1"/>
    <col min="5" max="5" width="25" customWidth="1"/>
    <col min="7" max="7" width="9.1640625" customWidth="1"/>
    <col min="8" max="9" width="14.1640625" customWidth="1"/>
    <col min="10" max="10" width="11.6640625" customWidth="1"/>
    <col min="13" max="13" width="8.33203125" customWidth="1"/>
    <col min="14" max="14" width="19.1640625" customWidth="1"/>
  </cols>
  <sheetData>
    <row r="1" spans="1:6" ht="18" customHeight="1">
      <c r="A1" s="15" t="s">
        <v>1005</v>
      </c>
      <c r="B1" s="15"/>
      <c r="C1" s="15"/>
      <c r="D1" s="15"/>
      <c r="E1" s="15"/>
      <c r="F1" s="2"/>
    </row>
    <row r="2" spans="1:6" ht="14" customHeight="1">
      <c r="A2" s="5"/>
      <c r="B2" s="5"/>
      <c r="C2" s="5"/>
      <c r="D2" s="5"/>
      <c r="E2" s="5"/>
      <c r="F2" s="2"/>
    </row>
    <row r="3" spans="1:6" ht="14" customHeight="1">
      <c r="A3" s="3" t="s">
        <v>827</v>
      </c>
      <c r="B3" s="3" t="s">
        <v>6</v>
      </c>
      <c r="C3" s="3" t="s">
        <v>83</v>
      </c>
      <c r="D3" s="3" t="s">
        <v>84</v>
      </c>
      <c r="E3" s="3" t="s">
        <v>85</v>
      </c>
      <c r="F3" s="2"/>
    </row>
    <row r="4" spans="1:6" ht="14" customHeight="1">
      <c r="A4" s="8">
        <v>1</v>
      </c>
      <c r="B4" s="7" t="str">
        <f>المدخلات!$F$4</f>
        <v>4:00–5:10 م</v>
      </c>
      <c r="C4" s="7">
        <v>1</v>
      </c>
      <c r="D4" s="7" t="s">
        <v>593</v>
      </c>
      <c r="E4" s="7" t="s">
        <v>8</v>
      </c>
      <c r="F4" s="2"/>
    </row>
    <row r="5" spans="1:6" ht="14" customHeight="1">
      <c r="A5" s="8">
        <v>1</v>
      </c>
      <c r="B5" s="7" t="str">
        <f>المدخلات!$F$4</f>
        <v>4:00–5:10 م</v>
      </c>
      <c r="C5" s="7">
        <v>2</v>
      </c>
      <c r="D5" s="7" t="s">
        <v>593</v>
      </c>
      <c r="E5" s="7" t="s">
        <v>14</v>
      </c>
      <c r="F5" s="2"/>
    </row>
    <row r="6" spans="1:6" ht="14" customHeight="1">
      <c r="A6" s="8">
        <v>1</v>
      </c>
      <c r="B6" s="7" t="str">
        <f>المدخلات!$F$4</f>
        <v>4:00–5:10 م</v>
      </c>
      <c r="C6" s="7">
        <v>3</v>
      </c>
      <c r="D6" s="7" t="s">
        <v>593</v>
      </c>
      <c r="E6" s="7" t="s">
        <v>93</v>
      </c>
      <c r="F6" s="2"/>
    </row>
    <row r="7" spans="1:6" ht="14" customHeight="1">
      <c r="A7" s="8">
        <v>1</v>
      </c>
      <c r="B7" s="7" t="str">
        <f>المدخلات!$F$5</f>
        <v>5:20–6:30 م</v>
      </c>
      <c r="C7" s="7">
        <v>1</v>
      </c>
      <c r="D7" s="7" t="s">
        <v>593</v>
      </c>
      <c r="E7" s="7" t="s">
        <v>135</v>
      </c>
      <c r="F7" s="2"/>
    </row>
    <row r="8" spans="1:6" ht="14" customHeight="1">
      <c r="A8" s="8">
        <v>1</v>
      </c>
      <c r="B8" s="7" t="str">
        <f>المدخلات!$F$5</f>
        <v>5:20–6:30 م</v>
      </c>
      <c r="C8" s="7">
        <v>2</v>
      </c>
      <c r="D8" s="7" t="s">
        <v>593</v>
      </c>
      <c r="E8" s="7" t="s">
        <v>94</v>
      </c>
      <c r="F8" s="2"/>
    </row>
    <row r="9" spans="1:6" ht="14" customHeight="1">
      <c r="A9" s="8">
        <v>1</v>
      </c>
      <c r="B9" s="7" t="str">
        <f>المدخلات!$F$5</f>
        <v>5:20–6:30 م</v>
      </c>
      <c r="C9" s="7">
        <v>3</v>
      </c>
      <c r="D9" s="7" t="s">
        <v>593</v>
      </c>
      <c r="E9" s="7" t="s">
        <v>72</v>
      </c>
      <c r="F9" s="2"/>
    </row>
    <row r="10" spans="1:6" ht="14" customHeight="1">
      <c r="A10" s="8">
        <v>1</v>
      </c>
      <c r="B10" s="7" t="str">
        <f>المدخلات!$F$6</f>
        <v>6:40–7:50 م</v>
      </c>
      <c r="C10" s="7">
        <v>1</v>
      </c>
      <c r="D10" s="7" t="s">
        <v>593</v>
      </c>
      <c r="E10" s="7" t="s">
        <v>156</v>
      </c>
      <c r="F10" s="2"/>
    </row>
    <row r="11" spans="1:6" ht="14" customHeight="1">
      <c r="A11" s="8">
        <v>1</v>
      </c>
      <c r="B11" s="7" t="str">
        <f>المدخلات!$F$6</f>
        <v>6:40–7:50 م</v>
      </c>
      <c r="C11" s="7">
        <v>2</v>
      </c>
      <c r="D11" s="7" t="s">
        <v>593</v>
      </c>
      <c r="E11" s="7" t="s">
        <v>134</v>
      </c>
      <c r="F11" s="2"/>
    </row>
    <row r="12" spans="1:6" ht="14" customHeight="1">
      <c r="A12" s="8">
        <v>1</v>
      </c>
      <c r="B12" s="7" t="str">
        <f>المدخلات!$F$4</f>
        <v>4:00–5:10 م</v>
      </c>
      <c r="C12" s="7">
        <v>4</v>
      </c>
      <c r="D12" s="7" t="s">
        <v>594</v>
      </c>
      <c r="E12" s="7" t="s">
        <v>189</v>
      </c>
      <c r="F12" s="2"/>
    </row>
    <row r="13" spans="1:6" ht="14" customHeight="1">
      <c r="A13" s="8">
        <v>1</v>
      </c>
      <c r="B13" s="7" t="str">
        <f>المدخلات!$F$4</f>
        <v>4:00–5:10 م</v>
      </c>
      <c r="C13" s="7">
        <v>5</v>
      </c>
      <c r="D13" s="7" t="s">
        <v>594</v>
      </c>
      <c r="E13" s="7" t="s">
        <v>205</v>
      </c>
      <c r="F13" s="2"/>
    </row>
    <row r="14" spans="1:6" ht="14" customHeight="1">
      <c r="A14" s="8">
        <v>1</v>
      </c>
      <c r="B14" s="7" t="str">
        <f>المدخلات!$F$4</f>
        <v>4:00–5:10 م</v>
      </c>
      <c r="C14" s="7">
        <v>6</v>
      </c>
      <c r="D14" s="7" t="s">
        <v>594</v>
      </c>
      <c r="E14" s="7" t="s">
        <v>274</v>
      </c>
      <c r="F14" s="2"/>
    </row>
    <row r="15" spans="1:6" ht="14" customHeight="1">
      <c r="A15" s="8">
        <v>1</v>
      </c>
      <c r="B15" s="7" t="str">
        <f>المدخلات!$F$5</f>
        <v>5:20–6:30 م</v>
      </c>
      <c r="C15" s="7">
        <v>4</v>
      </c>
      <c r="D15" s="7" t="s">
        <v>594</v>
      </c>
      <c r="E15" s="7" t="s">
        <v>294</v>
      </c>
      <c r="F15" s="2"/>
    </row>
    <row r="16" spans="1:6" ht="14" customHeight="1">
      <c r="A16" s="8">
        <v>1</v>
      </c>
      <c r="B16" s="7" t="str">
        <f>المدخلات!$F$5</f>
        <v>5:20–6:30 م</v>
      </c>
      <c r="C16" s="7">
        <v>5</v>
      </c>
      <c r="D16" s="7" t="s">
        <v>594</v>
      </c>
      <c r="E16" s="7" t="s">
        <v>285</v>
      </c>
      <c r="F16" s="2"/>
    </row>
    <row r="17" spans="1:6" ht="14" customHeight="1">
      <c r="A17" s="8">
        <v>1</v>
      </c>
      <c r="B17" s="7" t="str">
        <f>المدخلات!$F$5</f>
        <v>5:20–6:30 م</v>
      </c>
      <c r="C17" s="7">
        <v>6</v>
      </c>
      <c r="D17" s="7" t="s">
        <v>594</v>
      </c>
      <c r="E17" s="7" t="s">
        <v>267</v>
      </c>
      <c r="F17" s="2"/>
    </row>
    <row r="18" spans="1:6" ht="14" customHeight="1">
      <c r="A18" s="8">
        <v>1</v>
      </c>
      <c r="B18" s="7" t="str">
        <f>المدخلات!$F$6</f>
        <v>6:40–7:50 م</v>
      </c>
      <c r="C18" s="7">
        <v>4</v>
      </c>
      <c r="D18" s="7" t="s">
        <v>594</v>
      </c>
      <c r="E18" s="7" t="s">
        <v>332</v>
      </c>
      <c r="F18" s="2"/>
    </row>
    <row r="19" spans="1:6" ht="14" customHeight="1">
      <c r="A19" s="8">
        <v>1</v>
      </c>
      <c r="B19" s="7" t="str">
        <f>المدخلات!$F$6</f>
        <v>6:40–7:50 م</v>
      </c>
      <c r="C19" s="7">
        <v>5</v>
      </c>
      <c r="D19" s="7" t="s">
        <v>594</v>
      </c>
      <c r="E19" s="7" t="s">
        <v>295</v>
      </c>
      <c r="F19" s="2"/>
    </row>
    <row r="20" spans="1:6" ht="14" customHeight="1">
      <c r="A20" s="8">
        <v>1</v>
      </c>
      <c r="B20" s="7" t="str">
        <f>المدخلات!$F$4</f>
        <v>4:00–5:10 م</v>
      </c>
      <c r="C20" s="7">
        <v>7</v>
      </c>
      <c r="D20" s="7" t="s">
        <v>595</v>
      </c>
      <c r="E20" s="7" t="s">
        <v>349</v>
      </c>
      <c r="F20" s="2"/>
    </row>
    <row r="21" spans="1:6" ht="14" customHeight="1">
      <c r="A21" s="8">
        <v>1</v>
      </c>
      <c r="B21" s="7" t="str">
        <f>المدخلات!$F$4</f>
        <v>4:00–5:10 م</v>
      </c>
      <c r="C21" s="7">
        <v>8</v>
      </c>
      <c r="D21" s="7" t="s">
        <v>595</v>
      </c>
      <c r="E21" s="7" t="s">
        <v>373</v>
      </c>
      <c r="F21" s="2"/>
    </row>
    <row r="22" spans="1:6" ht="14" customHeight="1">
      <c r="A22" s="8">
        <v>1</v>
      </c>
      <c r="B22" s="7" t="str">
        <f>المدخلات!$F$4</f>
        <v>4:00–5:10 م</v>
      </c>
      <c r="C22" s="7">
        <v>9</v>
      </c>
      <c r="D22" s="7" t="s">
        <v>595</v>
      </c>
      <c r="E22" s="7" t="s">
        <v>446</v>
      </c>
      <c r="F22" s="2"/>
    </row>
    <row r="23" spans="1:6" ht="14" customHeight="1">
      <c r="A23" s="8">
        <v>1</v>
      </c>
      <c r="B23" s="7" t="str">
        <f>المدخلات!$F$5</f>
        <v>5:20–6:30 م</v>
      </c>
      <c r="C23" s="7">
        <v>7</v>
      </c>
      <c r="D23" s="7" t="s">
        <v>595</v>
      </c>
      <c r="E23" s="7" t="s">
        <v>459</v>
      </c>
      <c r="F23" s="2"/>
    </row>
    <row r="24" spans="1:6" ht="14" customHeight="1">
      <c r="A24" s="8">
        <v>1</v>
      </c>
      <c r="B24" s="7" t="str">
        <f>المدخلات!$F$5</f>
        <v>5:20–6:30 م</v>
      </c>
      <c r="C24" s="7">
        <v>8</v>
      </c>
      <c r="D24" s="7" t="s">
        <v>595</v>
      </c>
      <c r="E24" s="7" t="s">
        <v>447</v>
      </c>
      <c r="F24" s="2"/>
    </row>
    <row r="25" spans="1:6" ht="14" customHeight="1">
      <c r="A25" s="8">
        <v>1</v>
      </c>
      <c r="B25" s="7" t="str">
        <f>المدخلات!$F$5</f>
        <v>5:20–6:30 م</v>
      </c>
      <c r="C25" s="7">
        <v>9</v>
      </c>
      <c r="D25" s="7" t="s">
        <v>595</v>
      </c>
      <c r="E25" s="7" t="s">
        <v>440</v>
      </c>
      <c r="F25" s="2"/>
    </row>
    <row r="26" spans="1:6" ht="14" customHeight="1">
      <c r="A26" s="8">
        <v>1</v>
      </c>
      <c r="B26" s="7" t="str">
        <f>المدخلات!$F$6</f>
        <v>6:40–7:50 م</v>
      </c>
      <c r="C26" s="7">
        <v>7</v>
      </c>
      <c r="D26" s="7" t="s">
        <v>595</v>
      </c>
      <c r="E26" s="7" t="s">
        <v>491</v>
      </c>
      <c r="F26" s="2"/>
    </row>
    <row r="27" spans="1:6" ht="14" customHeight="1">
      <c r="A27" s="8">
        <v>1</v>
      </c>
      <c r="B27" s="7" t="str">
        <f>المدخلات!$F$6</f>
        <v>6:40–7:50 م</v>
      </c>
      <c r="C27" s="7">
        <v>8</v>
      </c>
      <c r="D27" s="7" t="s">
        <v>595</v>
      </c>
      <c r="E27" s="7" t="s">
        <v>458</v>
      </c>
      <c r="F27" s="2"/>
    </row>
    <row r="28" spans="1:6" ht="14" customHeight="1">
      <c r="A28" s="8">
        <v>1</v>
      </c>
      <c r="B28" s="7" t="str">
        <f>المدخلات!$F$4</f>
        <v>4:00–5:10 م</v>
      </c>
      <c r="C28" s="7">
        <v>10</v>
      </c>
      <c r="D28" s="7" t="s">
        <v>596</v>
      </c>
      <c r="E28" s="7" t="s">
        <v>659</v>
      </c>
      <c r="F28" s="2"/>
    </row>
    <row r="29" spans="1:6" ht="14" customHeight="1">
      <c r="A29" s="8">
        <v>1</v>
      </c>
      <c r="B29" s="7" t="str">
        <f>المدخلات!$F$4</f>
        <v>4:00–5:10 م</v>
      </c>
      <c r="C29" s="7">
        <v>11</v>
      </c>
      <c r="D29" s="7" t="s">
        <v>596</v>
      </c>
      <c r="E29" s="7" t="s">
        <v>660</v>
      </c>
      <c r="F29" s="2"/>
    </row>
    <row r="30" spans="1:6" ht="14" customHeight="1">
      <c r="A30" s="8">
        <v>1</v>
      </c>
      <c r="B30" s="7" t="str">
        <f>المدخلات!$F$4</f>
        <v>4:00–5:10 م</v>
      </c>
      <c r="C30" s="7">
        <v>12</v>
      </c>
      <c r="D30" s="7" t="s">
        <v>596</v>
      </c>
      <c r="E30" s="7" t="s">
        <v>576</v>
      </c>
      <c r="F30" s="2"/>
    </row>
    <row r="31" spans="1:6" ht="14" customHeight="1">
      <c r="A31" s="8">
        <v>1</v>
      </c>
      <c r="B31" s="7" t="str">
        <f>المدخلات!$F$5</f>
        <v>5:20–6:30 م</v>
      </c>
      <c r="C31" s="7">
        <v>10</v>
      </c>
      <c r="D31" s="7" t="s">
        <v>596</v>
      </c>
      <c r="E31" s="7" t="s">
        <v>661</v>
      </c>
      <c r="F31" s="2"/>
    </row>
    <row r="32" spans="1:6" ht="14" customHeight="1">
      <c r="A32" s="8">
        <v>1</v>
      </c>
      <c r="B32" s="7" t="str">
        <f>المدخلات!$F$5</f>
        <v>5:20–6:30 م</v>
      </c>
      <c r="C32" s="7">
        <v>11</v>
      </c>
      <c r="D32" s="7" t="s">
        <v>596</v>
      </c>
      <c r="E32" s="7" t="s">
        <v>618</v>
      </c>
      <c r="F32" s="2"/>
    </row>
    <row r="33" spans="1:6" ht="14" customHeight="1">
      <c r="A33" s="8">
        <v>1</v>
      </c>
      <c r="B33" s="7" t="str">
        <f>المدخلات!$F$5</f>
        <v>5:20–6:30 م</v>
      </c>
      <c r="C33" s="7">
        <v>12</v>
      </c>
      <c r="D33" s="7" t="s">
        <v>596</v>
      </c>
      <c r="E33" s="7" t="s">
        <v>662</v>
      </c>
      <c r="F33" s="2"/>
    </row>
    <row r="34" spans="1:6" ht="14" customHeight="1">
      <c r="A34" s="8">
        <v>1</v>
      </c>
      <c r="B34" s="7" t="str">
        <f>المدخلات!$F$6</f>
        <v>6:40–7:50 م</v>
      </c>
      <c r="C34" s="7">
        <v>10</v>
      </c>
      <c r="D34" s="7" t="s">
        <v>596</v>
      </c>
      <c r="E34" s="7" t="s">
        <v>606</v>
      </c>
      <c r="F34" s="2"/>
    </row>
    <row r="35" spans="1:6" ht="14" customHeight="1">
      <c r="A35" s="8">
        <v>1</v>
      </c>
      <c r="B35" s="7" t="str">
        <f>المدخلات!$F$6</f>
        <v>6:40–7:50 م</v>
      </c>
      <c r="C35" s="7">
        <v>11</v>
      </c>
      <c r="D35" s="7" t="s">
        <v>596</v>
      </c>
      <c r="E35" s="7" t="s">
        <v>658</v>
      </c>
      <c r="F35" s="2"/>
    </row>
    <row r="36" spans="1:6" ht="14" customHeight="1">
      <c r="A36" s="8">
        <v>2</v>
      </c>
      <c r="B36" s="7" t="str">
        <f>المدخلات!$F$4</f>
        <v>4:00–5:10 م</v>
      </c>
      <c r="C36" s="7">
        <v>1</v>
      </c>
      <c r="D36" s="7" t="s">
        <v>593</v>
      </c>
      <c r="E36" s="7" t="s">
        <v>37</v>
      </c>
      <c r="F36" s="2"/>
    </row>
    <row r="37" spans="1:6" ht="14" customHeight="1">
      <c r="A37" s="8">
        <v>2</v>
      </c>
      <c r="B37" s="7" t="str">
        <f>المدخلات!$F$4</f>
        <v>4:00–5:10 م</v>
      </c>
      <c r="C37" s="7">
        <v>2</v>
      </c>
      <c r="D37" s="7" t="s">
        <v>593</v>
      </c>
      <c r="E37" s="7" t="s">
        <v>30</v>
      </c>
      <c r="F37" s="2"/>
    </row>
    <row r="38" spans="1:6" ht="14" customHeight="1">
      <c r="A38" s="8">
        <v>2</v>
      </c>
      <c r="B38" s="7" t="str">
        <f>المدخلات!$F$4</f>
        <v>4:00–5:10 م</v>
      </c>
      <c r="C38" s="7">
        <v>3</v>
      </c>
      <c r="D38" s="7" t="s">
        <v>593</v>
      </c>
      <c r="E38" s="7" t="s">
        <v>145</v>
      </c>
      <c r="F38" s="2"/>
    </row>
    <row r="39" spans="1:6" ht="14" customHeight="1">
      <c r="A39" s="8">
        <v>2</v>
      </c>
      <c r="B39" s="7" t="str">
        <f>المدخلات!$F$5</f>
        <v>5:20–6:30 م</v>
      </c>
      <c r="C39" s="7">
        <v>1</v>
      </c>
      <c r="D39" s="7" t="s">
        <v>593</v>
      </c>
      <c r="E39" s="7" t="s">
        <v>47</v>
      </c>
      <c r="F39" s="2"/>
    </row>
    <row r="40" spans="1:6" ht="14" customHeight="1">
      <c r="A40" s="8">
        <v>2</v>
      </c>
      <c r="B40" s="7" t="str">
        <f>المدخلات!$F$5</f>
        <v>5:20–6:30 م</v>
      </c>
      <c r="C40" s="7">
        <v>2</v>
      </c>
      <c r="D40" s="7" t="s">
        <v>593</v>
      </c>
      <c r="E40" s="7" t="s">
        <v>864</v>
      </c>
      <c r="F40" s="2"/>
    </row>
    <row r="41" spans="1:6" ht="14" customHeight="1">
      <c r="A41" s="8">
        <v>2</v>
      </c>
      <c r="B41" s="7" t="str">
        <f>المدخلات!$F$5</f>
        <v>5:20–6:30 م</v>
      </c>
      <c r="C41" s="7">
        <v>3</v>
      </c>
      <c r="D41" s="7" t="s">
        <v>593</v>
      </c>
      <c r="E41" s="7" t="s">
        <v>1082</v>
      </c>
      <c r="F41" s="2"/>
    </row>
    <row r="42" spans="1:6" ht="14" customHeight="1">
      <c r="A42" s="8">
        <v>2</v>
      </c>
      <c r="B42" s="7" t="str">
        <f>المدخلات!$F$6</f>
        <v>6:40–7:50 م</v>
      </c>
      <c r="C42" s="7">
        <v>1</v>
      </c>
      <c r="D42" s="7" t="s">
        <v>593</v>
      </c>
      <c r="E42" s="7" t="s">
        <v>58</v>
      </c>
      <c r="F42" s="2"/>
    </row>
    <row r="43" spans="1:6" ht="14" customHeight="1">
      <c r="A43" s="8">
        <v>2</v>
      </c>
      <c r="B43" s="7" t="str">
        <f>المدخلات!$F$6</f>
        <v>6:40–7:50 م</v>
      </c>
      <c r="C43" s="7">
        <v>2</v>
      </c>
      <c r="D43" s="7" t="s">
        <v>593</v>
      </c>
      <c r="E43" s="7" t="s">
        <v>65</v>
      </c>
      <c r="F43" s="2"/>
    </row>
    <row r="44" spans="1:6" ht="14" customHeight="1">
      <c r="A44" s="8">
        <v>2</v>
      </c>
      <c r="B44" s="7" t="str">
        <f>المدخلات!$F$4</f>
        <v>4:00–5:10 م</v>
      </c>
      <c r="C44" s="7">
        <v>4</v>
      </c>
      <c r="D44" s="7" t="s">
        <v>594</v>
      </c>
      <c r="E44" s="7" t="s">
        <v>244</v>
      </c>
      <c r="F44" s="2"/>
    </row>
    <row r="45" spans="1:6" ht="14" customHeight="1">
      <c r="A45" s="8">
        <v>2</v>
      </c>
      <c r="B45" s="7" t="str">
        <f>المدخلات!$F$4</f>
        <v>4:00–5:10 م</v>
      </c>
      <c r="C45" s="7">
        <v>5</v>
      </c>
      <c r="D45" s="7" t="s">
        <v>594</v>
      </c>
      <c r="E45" s="7" t="s">
        <v>239</v>
      </c>
      <c r="F45" s="2"/>
    </row>
    <row r="46" spans="1:6" ht="14" customHeight="1">
      <c r="A46" s="8">
        <v>2</v>
      </c>
      <c r="B46" s="7" t="str">
        <f>المدخلات!$F$4</f>
        <v>4:00–5:10 م</v>
      </c>
      <c r="C46" s="7">
        <v>6</v>
      </c>
      <c r="D46" s="7" t="s">
        <v>594</v>
      </c>
      <c r="E46" s="7" t="s">
        <v>308</v>
      </c>
      <c r="F46" s="2"/>
    </row>
    <row r="47" spans="1:6" ht="14" customHeight="1">
      <c r="A47" s="8">
        <v>2</v>
      </c>
      <c r="B47" s="7" t="str">
        <f>المدخلات!$F$5</f>
        <v>5:20–6:30 م</v>
      </c>
      <c r="C47" s="7">
        <v>4</v>
      </c>
      <c r="D47" s="7" t="s">
        <v>594</v>
      </c>
      <c r="E47" s="7" t="s">
        <v>254</v>
      </c>
      <c r="F47" s="2"/>
    </row>
    <row r="48" spans="1:6" ht="14" customHeight="1">
      <c r="A48" s="8">
        <v>2</v>
      </c>
      <c r="B48" s="7" t="str">
        <f>المدخلات!$F$5</f>
        <v>5:20–6:30 م</v>
      </c>
      <c r="C48" s="7">
        <v>5</v>
      </c>
      <c r="D48" s="7" t="s">
        <v>594</v>
      </c>
      <c r="E48" s="7" t="s">
        <v>1370</v>
      </c>
      <c r="F48" s="2"/>
    </row>
    <row r="49" spans="1:6" ht="14" customHeight="1">
      <c r="A49" s="8">
        <v>2</v>
      </c>
      <c r="B49" s="7" t="str">
        <f>المدخلات!$F$5</f>
        <v>5:20–6:30 م</v>
      </c>
      <c r="C49" s="7">
        <v>6</v>
      </c>
      <c r="D49" s="7" t="s">
        <v>594</v>
      </c>
      <c r="E49" s="7" t="s">
        <v>1389</v>
      </c>
      <c r="F49" s="2"/>
    </row>
    <row r="50" spans="1:6" ht="14" customHeight="1">
      <c r="A50" s="8">
        <v>2</v>
      </c>
      <c r="B50" s="7" t="str">
        <f>المدخلات!$F$6</f>
        <v>6:40–7:50 م</v>
      </c>
      <c r="C50" s="7">
        <v>4</v>
      </c>
      <c r="D50" s="7" t="s">
        <v>594</v>
      </c>
      <c r="E50" s="7" t="s">
        <v>263</v>
      </c>
      <c r="F50" s="2"/>
    </row>
    <row r="51" spans="1:6" ht="14" customHeight="1">
      <c r="A51" s="8">
        <v>2</v>
      </c>
      <c r="B51" s="7" t="str">
        <f>المدخلات!$F$6</f>
        <v>6:40–7:50 م</v>
      </c>
      <c r="C51" s="7">
        <v>5</v>
      </c>
      <c r="D51" s="7" t="s">
        <v>594</v>
      </c>
      <c r="E51" s="7" t="s">
        <v>310</v>
      </c>
      <c r="F51" s="2"/>
    </row>
    <row r="52" spans="1:6" ht="14" customHeight="1">
      <c r="A52" s="8">
        <v>2</v>
      </c>
      <c r="B52" s="7" t="str">
        <f>المدخلات!$F$4</f>
        <v>4:00–5:10 م</v>
      </c>
      <c r="C52" s="7">
        <v>7</v>
      </c>
      <c r="D52" s="7" t="s">
        <v>595</v>
      </c>
      <c r="E52" s="7" t="s">
        <v>420</v>
      </c>
      <c r="F52" s="2"/>
    </row>
    <row r="53" spans="1:6" ht="14" customHeight="1">
      <c r="A53" s="8">
        <v>2</v>
      </c>
      <c r="B53" s="7" t="str">
        <f>المدخلات!$F$4</f>
        <v>4:00–5:10 م</v>
      </c>
      <c r="C53" s="7">
        <v>8</v>
      </c>
      <c r="D53" s="7" t="s">
        <v>595</v>
      </c>
      <c r="E53" s="7" t="s">
        <v>410</v>
      </c>
      <c r="F53" s="2"/>
    </row>
    <row r="54" spans="1:6" ht="14" customHeight="1">
      <c r="A54" s="8">
        <v>2</v>
      </c>
      <c r="B54" s="7" t="str">
        <f>المدخلات!$F$4</f>
        <v>4:00–5:10 م</v>
      </c>
      <c r="C54" s="7">
        <v>9</v>
      </c>
      <c r="D54" s="7" t="s">
        <v>595</v>
      </c>
      <c r="E54" s="7" t="s">
        <v>476</v>
      </c>
      <c r="F54" s="2"/>
    </row>
    <row r="55" spans="1:6" ht="14" customHeight="1">
      <c r="A55" s="8">
        <v>2</v>
      </c>
      <c r="B55" s="7" t="str">
        <f>المدخلات!$F$5</f>
        <v>5:20–6:30 م</v>
      </c>
      <c r="C55" s="7">
        <v>7</v>
      </c>
      <c r="D55" s="7" t="s">
        <v>595</v>
      </c>
      <c r="E55" s="7" t="s">
        <v>428</v>
      </c>
      <c r="F55" s="2"/>
    </row>
    <row r="56" spans="1:6" ht="14" customHeight="1">
      <c r="A56" s="8">
        <v>2</v>
      </c>
      <c r="B56" s="7" t="str">
        <f>المدخلات!$F$5</f>
        <v>5:20–6:30 م</v>
      </c>
      <c r="C56" s="7">
        <v>8</v>
      </c>
      <c r="D56" s="7" t="s">
        <v>595</v>
      </c>
      <c r="E56" s="7" t="s">
        <v>1363</v>
      </c>
      <c r="F56" s="2"/>
    </row>
    <row r="57" spans="1:6" ht="14" customHeight="1">
      <c r="A57" s="8">
        <v>2</v>
      </c>
      <c r="B57" s="7" t="str">
        <f>المدخلات!$F$5</f>
        <v>5:20–6:30 م</v>
      </c>
      <c r="C57" s="7">
        <v>9</v>
      </c>
      <c r="D57" s="7" t="s">
        <v>595</v>
      </c>
      <c r="E57" s="7" t="s">
        <v>1390</v>
      </c>
      <c r="F57" s="2"/>
    </row>
    <row r="58" spans="1:6" ht="14" customHeight="1">
      <c r="A58" s="8">
        <v>2</v>
      </c>
      <c r="B58" s="7" t="str">
        <f>المدخلات!$F$6</f>
        <v>6:40–7:50 م</v>
      </c>
      <c r="C58" s="7">
        <v>7</v>
      </c>
      <c r="D58" s="7" t="s">
        <v>595</v>
      </c>
      <c r="E58" s="7" t="s">
        <v>430</v>
      </c>
      <c r="F58" s="2"/>
    </row>
    <row r="59" spans="1:6" ht="14" customHeight="1">
      <c r="A59" s="8">
        <v>2</v>
      </c>
      <c r="B59" s="7" t="str">
        <f>المدخلات!$F$6</f>
        <v>6:40–7:50 م</v>
      </c>
      <c r="C59" s="7">
        <v>8</v>
      </c>
      <c r="D59" s="7" t="s">
        <v>595</v>
      </c>
      <c r="E59" s="7" t="s">
        <v>477</v>
      </c>
      <c r="F59" s="2"/>
    </row>
    <row r="60" spans="1:6" ht="14" customHeight="1">
      <c r="A60" s="8">
        <v>2</v>
      </c>
      <c r="B60" s="7" t="str">
        <f>المدخلات!$F$4</f>
        <v>4:00–5:10 م</v>
      </c>
      <c r="C60" s="7">
        <v>10</v>
      </c>
      <c r="D60" s="7" t="s">
        <v>596</v>
      </c>
      <c r="E60" s="7" t="s">
        <v>1406</v>
      </c>
      <c r="F60" s="2"/>
    </row>
    <row r="61" spans="1:6" ht="14" customHeight="1">
      <c r="A61" s="8">
        <v>2</v>
      </c>
      <c r="B61" s="7" t="str">
        <f>المدخلات!$F$4</f>
        <v>4:00–5:10 م</v>
      </c>
      <c r="C61" s="7">
        <v>11</v>
      </c>
      <c r="D61" s="7" t="s">
        <v>596</v>
      </c>
      <c r="E61" s="7" t="s">
        <v>1411</v>
      </c>
      <c r="F61" s="2"/>
    </row>
    <row r="62" spans="1:6" ht="14" customHeight="1">
      <c r="A62" s="8">
        <v>2</v>
      </c>
      <c r="B62" s="7" t="str">
        <f>المدخلات!$F$4</f>
        <v>4:00–5:10 م</v>
      </c>
      <c r="C62" s="7">
        <v>12</v>
      </c>
      <c r="D62" s="7" t="s">
        <v>596</v>
      </c>
      <c r="E62" s="7" t="s">
        <v>1391</v>
      </c>
      <c r="F62" s="2"/>
    </row>
    <row r="63" spans="1:6" ht="14" customHeight="1">
      <c r="A63" s="8">
        <v>2</v>
      </c>
      <c r="B63" s="7" t="str">
        <f>المدخلات!$F$5</f>
        <v>5:20–6:30 م</v>
      </c>
      <c r="C63" s="7">
        <v>10</v>
      </c>
      <c r="D63" s="7" t="s">
        <v>596</v>
      </c>
      <c r="E63" s="7" t="s">
        <v>1410</v>
      </c>
      <c r="F63" s="2"/>
    </row>
    <row r="64" spans="1:6" ht="14" customHeight="1">
      <c r="A64" s="8">
        <v>2</v>
      </c>
      <c r="B64" s="7" t="str">
        <f>المدخلات!$F$5</f>
        <v>5:20–6:30 م</v>
      </c>
      <c r="C64" s="7">
        <v>11</v>
      </c>
      <c r="D64" s="7" t="s">
        <v>596</v>
      </c>
      <c r="E64" s="7" t="s">
        <v>1412</v>
      </c>
      <c r="F64" s="2"/>
    </row>
    <row r="65" spans="1:6" ht="14" customHeight="1">
      <c r="A65" s="8">
        <v>2</v>
      </c>
      <c r="B65" s="7" t="str">
        <f>المدخلات!$F$5</f>
        <v>5:20–6:30 م</v>
      </c>
      <c r="C65" s="7">
        <v>12</v>
      </c>
      <c r="D65" s="7" t="s">
        <v>596</v>
      </c>
      <c r="E65" s="7" t="s">
        <v>564</v>
      </c>
      <c r="F65" s="2"/>
    </row>
    <row r="66" spans="1:6" ht="14" customHeight="1">
      <c r="A66" s="8">
        <v>2</v>
      </c>
      <c r="B66" s="7" t="str">
        <f>المدخلات!$F$6</f>
        <v>6:40–7:50 م</v>
      </c>
      <c r="C66" s="7">
        <v>10</v>
      </c>
      <c r="D66" s="7" t="s">
        <v>596</v>
      </c>
      <c r="E66" s="7" t="s">
        <v>571</v>
      </c>
      <c r="F66" s="2"/>
    </row>
    <row r="67" spans="1:6" ht="14" customHeight="1">
      <c r="A67" s="8">
        <v>2</v>
      </c>
      <c r="B67" s="7" t="str">
        <f>المدخلات!$F$6</f>
        <v>6:40–7:50 م</v>
      </c>
      <c r="C67" s="7">
        <v>11</v>
      </c>
      <c r="D67" s="7" t="s">
        <v>596</v>
      </c>
      <c r="E67" s="7" t="s">
        <v>1366</v>
      </c>
      <c r="F67" s="2"/>
    </row>
    <row r="68" spans="1:6" ht="14" customHeight="1">
      <c r="A68" s="8">
        <v>3</v>
      </c>
      <c r="B68" s="7" t="str">
        <f>المدخلات!$F$4</f>
        <v>4:00–5:10 م</v>
      </c>
      <c r="C68" s="7">
        <v>1</v>
      </c>
      <c r="D68" s="7" t="s">
        <v>593</v>
      </c>
      <c r="E68" s="7" t="s">
        <v>1062</v>
      </c>
      <c r="F68" s="2"/>
    </row>
    <row r="69" spans="1:6" ht="14" customHeight="1">
      <c r="A69" s="8">
        <v>3</v>
      </c>
      <c r="B69" s="7" t="str">
        <f>المدخلات!$F$4</f>
        <v>4:00–5:10 م</v>
      </c>
      <c r="C69" s="7">
        <v>2</v>
      </c>
      <c r="D69" s="7" t="s">
        <v>593</v>
      </c>
      <c r="E69" s="7" t="s">
        <v>1055</v>
      </c>
      <c r="F69" s="2"/>
    </row>
    <row r="70" spans="1:6" ht="14" customHeight="1">
      <c r="A70" s="8">
        <v>3</v>
      </c>
      <c r="B70" s="7" t="str">
        <f>المدخلات!$F$4</f>
        <v>4:00–5:10 م</v>
      </c>
      <c r="C70" s="7">
        <v>3</v>
      </c>
      <c r="D70" s="7" t="s">
        <v>593</v>
      </c>
      <c r="E70" s="7" t="s">
        <v>833</v>
      </c>
      <c r="F70" s="2"/>
    </row>
    <row r="71" spans="1:6" ht="14" customHeight="1">
      <c r="A71" s="8">
        <v>3</v>
      </c>
      <c r="B71" s="7" t="str">
        <f>المدخلات!$F$5</f>
        <v>5:20–6:30 م</v>
      </c>
      <c r="C71" s="7">
        <v>1</v>
      </c>
      <c r="D71" s="7" t="s">
        <v>593</v>
      </c>
      <c r="E71" s="7" t="s">
        <v>1080</v>
      </c>
      <c r="F71" s="2"/>
    </row>
    <row r="72" spans="1:6" ht="14" customHeight="1">
      <c r="A72" s="8">
        <v>3</v>
      </c>
      <c r="B72" s="7" t="str">
        <f>المدخلات!$F$5</f>
        <v>5:20–6:30 م</v>
      </c>
      <c r="C72" s="7">
        <v>2</v>
      </c>
      <c r="D72" s="7" t="s">
        <v>593</v>
      </c>
      <c r="E72" s="7" t="s">
        <v>1079</v>
      </c>
      <c r="F72" s="2"/>
    </row>
    <row r="73" spans="1:6" ht="14" customHeight="1">
      <c r="A73" s="8">
        <v>3</v>
      </c>
      <c r="B73" s="7" t="str">
        <f>المدخلات!$F$5</f>
        <v>5:20–6:30 م</v>
      </c>
      <c r="C73" s="7">
        <v>3</v>
      </c>
      <c r="D73" s="7" t="s">
        <v>593</v>
      </c>
      <c r="E73" s="7" t="s">
        <v>107</v>
      </c>
      <c r="F73" s="2"/>
    </row>
    <row r="74" spans="1:6" ht="14" customHeight="1">
      <c r="A74" s="8">
        <v>3</v>
      </c>
      <c r="B74" s="7" t="str">
        <f>المدخلات!$F$6</f>
        <v>6:40–7:50 م</v>
      </c>
      <c r="C74" s="7">
        <v>1</v>
      </c>
      <c r="D74" s="7" t="s">
        <v>593</v>
      </c>
      <c r="E74" s="7" t="s">
        <v>41</v>
      </c>
      <c r="F74" s="2"/>
    </row>
    <row r="75" spans="1:6" ht="14" customHeight="1">
      <c r="A75" s="8">
        <v>3</v>
      </c>
      <c r="B75" s="7" t="str">
        <f>المدخلات!$F$6</f>
        <v>6:40–7:50 م</v>
      </c>
      <c r="C75" s="7">
        <v>2</v>
      </c>
      <c r="D75" s="7" t="s">
        <v>593</v>
      </c>
      <c r="E75" s="7" t="s">
        <v>105</v>
      </c>
      <c r="F75" s="2"/>
    </row>
    <row r="76" spans="1:6" ht="14" customHeight="1">
      <c r="A76" s="8">
        <v>3</v>
      </c>
      <c r="B76" s="7" t="str">
        <f>المدخلات!$F$4</f>
        <v>4:00–5:10 م</v>
      </c>
      <c r="C76" s="7">
        <v>4</v>
      </c>
      <c r="D76" s="7" t="s">
        <v>594</v>
      </c>
      <c r="E76" s="7" t="s">
        <v>1184</v>
      </c>
      <c r="F76" s="2"/>
    </row>
    <row r="77" spans="1:6" ht="14" customHeight="1">
      <c r="A77" s="8">
        <v>3</v>
      </c>
      <c r="B77" s="7" t="str">
        <f>المدخلات!$F$4</f>
        <v>4:00–5:10 م</v>
      </c>
      <c r="C77" s="7">
        <v>5</v>
      </c>
      <c r="D77" s="7" t="s">
        <v>594</v>
      </c>
      <c r="E77" s="7" t="s">
        <v>1185</v>
      </c>
      <c r="F77" s="2"/>
    </row>
    <row r="78" spans="1:6" ht="14" customHeight="1">
      <c r="A78" s="8">
        <v>3</v>
      </c>
      <c r="B78" s="7" t="str">
        <f>المدخلات!$F$4</f>
        <v>4:00–5:10 م</v>
      </c>
      <c r="C78" s="7">
        <v>6</v>
      </c>
      <c r="D78" s="7" t="s">
        <v>594</v>
      </c>
      <c r="E78" s="7" t="s">
        <v>975</v>
      </c>
      <c r="F78" s="2"/>
    </row>
    <row r="79" spans="1:6" ht="14" customHeight="1">
      <c r="A79" s="8">
        <v>3</v>
      </c>
      <c r="B79" s="7" t="str">
        <f>المدخلات!$F$5</f>
        <v>5:20–6:30 م</v>
      </c>
      <c r="C79" s="7">
        <v>4</v>
      </c>
      <c r="D79" s="7" t="s">
        <v>594</v>
      </c>
      <c r="E79" s="7" t="s">
        <v>1382</v>
      </c>
      <c r="F79" s="2"/>
    </row>
    <row r="80" spans="1:6" ht="14" customHeight="1">
      <c r="A80" s="8">
        <v>3</v>
      </c>
      <c r="B80" s="7" t="str">
        <f>المدخلات!$F$5</f>
        <v>5:20–6:30 م</v>
      </c>
      <c r="C80" s="7">
        <v>5</v>
      </c>
      <c r="D80" s="7" t="s">
        <v>594</v>
      </c>
      <c r="E80" s="7" t="s">
        <v>1188</v>
      </c>
      <c r="F80" s="2"/>
    </row>
    <row r="81" spans="1:6" ht="14" customHeight="1">
      <c r="A81" s="8">
        <v>3</v>
      </c>
      <c r="B81" s="7" t="str">
        <f>المدخلات!$F$5</f>
        <v>5:20–6:30 م</v>
      </c>
      <c r="C81" s="7">
        <v>6</v>
      </c>
      <c r="D81" s="7" t="s">
        <v>594</v>
      </c>
      <c r="E81" s="7" t="s">
        <v>307</v>
      </c>
      <c r="F81" s="2"/>
    </row>
    <row r="82" spans="1:6" ht="14" customHeight="1">
      <c r="A82" s="8">
        <v>3</v>
      </c>
      <c r="B82" s="7" t="str">
        <f>المدخلات!$F$6</f>
        <v>6:40–7:50 م</v>
      </c>
      <c r="C82" s="7">
        <v>4</v>
      </c>
      <c r="D82" s="7" t="s">
        <v>594</v>
      </c>
      <c r="E82" s="7" t="s">
        <v>243</v>
      </c>
      <c r="F82" s="2"/>
    </row>
    <row r="83" spans="1:6" ht="14" customHeight="1">
      <c r="A83" s="8">
        <v>3</v>
      </c>
      <c r="B83" s="7" t="str">
        <f>المدخلات!$F$6</f>
        <v>6:40–7:50 م</v>
      </c>
      <c r="C83" s="7">
        <v>5</v>
      </c>
      <c r="D83" s="7" t="s">
        <v>594</v>
      </c>
      <c r="E83" s="7" t="s">
        <v>306</v>
      </c>
      <c r="F83" s="2"/>
    </row>
    <row r="84" spans="1:6" ht="14" customHeight="1">
      <c r="A84" s="8">
        <v>3</v>
      </c>
      <c r="B84" s="7" t="str">
        <f>المدخلات!$F$4</f>
        <v>4:00–5:10 م</v>
      </c>
      <c r="C84" s="7">
        <v>7</v>
      </c>
      <c r="D84" s="7" t="s">
        <v>595</v>
      </c>
      <c r="E84" s="7" t="s">
        <v>1215</v>
      </c>
      <c r="F84" s="2"/>
    </row>
    <row r="85" spans="1:6" ht="14" customHeight="1">
      <c r="A85" s="8">
        <v>3</v>
      </c>
      <c r="B85" s="7" t="str">
        <f>المدخلات!$F$4</f>
        <v>4:00–5:10 م</v>
      </c>
      <c r="C85" s="7">
        <v>8</v>
      </c>
      <c r="D85" s="7" t="s">
        <v>595</v>
      </c>
      <c r="E85" s="7" t="s">
        <v>1216</v>
      </c>
      <c r="F85" s="2"/>
    </row>
    <row r="86" spans="1:6" ht="14" customHeight="1">
      <c r="A86" s="8">
        <v>3</v>
      </c>
      <c r="B86" s="7" t="str">
        <f>المدخلات!$F$4</f>
        <v>4:00–5:10 م</v>
      </c>
      <c r="C86" s="7">
        <v>9</v>
      </c>
      <c r="D86" s="7" t="s">
        <v>595</v>
      </c>
      <c r="E86" s="7" t="s">
        <v>976</v>
      </c>
      <c r="F86" s="2"/>
    </row>
    <row r="87" spans="1:6" ht="14" customHeight="1">
      <c r="A87" s="8">
        <v>3</v>
      </c>
      <c r="B87" s="7" t="str">
        <f>المدخلات!$F$5</f>
        <v>5:20–6:30 م</v>
      </c>
      <c r="C87" s="7">
        <v>7</v>
      </c>
      <c r="D87" s="7" t="s">
        <v>595</v>
      </c>
      <c r="E87" s="7" t="s">
        <v>1383</v>
      </c>
      <c r="F87" s="2"/>
    </row>
    <row r="88" spans="1:6" ht="14" customHeight="1">
      <c r="A88" s="8">
        <v>3</v>
      </c>
      <c r="B88" s="7" t="str">
        <f>المدخلات!$F$5</f>
        <v>5:20–6:30 م</v>
      </c>
      <c r="C88" s="7">
        <v>8</v>
      </c>
      <c r="D88" s="7" t="s">
        <v>595</v>
      </c>
      <c r="E88" s="7" t="s">
        <v>1359</v>
      </c>
      <c r="F88" s="2"/>
    </row>
    <row r="89" spans="1:6" ht="14" customHeight="1">
      <c r="A89" s="8">
        <v>3</v>
      </c>
      <c r="B89" s="7" t="str">
        <f>المدخلات!$F$5</f>
        <v>5:20–6:30 م</v>
      </c>
      <c r="C89" s="7">
        <v>9</v>
      </c>
      <c r="D89" s="7" t="s">
        <v>595</v>
      </c>
      <c r="E89" s="7" t="s">
        <v>474</v>
      </c>
      <c r="F89" s="2"/>
    </row>
    <row r="90" spans="1:6" ht="14" customHeight="1">
      <c r="A90" s="8">
        <v>3</v>
      </c>
      <c r="B90" s="7" t="str">
        <f>المدخلات!$F$6</f>
        <v>6:40–7:50 م</v>
      </c>
      <c r="C90" s="7">
        <v>7</v>
      </c>
      <c r="D90" s="7" t="s">
        <v>595</v>
      </c>
      <c r="E90" s="7" t="s">
        <v>419</v>
      </c>
      <c r="F90" s="2"/>
    </row>
    <row r="91" spans="1:6" ht="14" customHeight="1">
      <c r="A91" s="8">
        <v>3</v>
      </c>
      <c r="B91" s="7" t="str">
        <f>المدخلات!$F$6</f>
        <v>6:40–7:50 م</v>
      </c>
      <c r="C91" s="7">
        <v>8</v>
      </c>
      <c r="D91" s="7" t="s">
        <v>595</v>
      </c>
      <c r="E91" s="7" t="s">
        <v>473</v>
      </c>
      <c r="F91" s="2"/>
    </row>
    <row r="92" spans="1:6" ht="14" customHeight="1">
      <c r="A92" s="8">
        <v>3</v>
      </c>
      <c r="B92" s="7" t="str">
        <f>المدخلات!$F$4</f>
        <v>4:00–5:10 م</v>
      </c>
      <c r="C92" s="7">
        <v>10</v>
      </c>
      <c r="D92" s="7" t="s">
        <v>596</v>
      </c>
      <c r="E92" s="7" t="s">
        <v>1385</v>
      </c>
      <c r="F92" s="2"/>
    </row>
    <row r="93" spans="1:6" ht="14" customHeight="1">
      <c r="A93" s="8">
        <v>3</v>
      </c>
      <c r="B93" s="7" t="str">
        <f>المدخلات!$F$4</f>
        <v>4:00–5:10 م</v>
      </c>
      <c r="C93" s="7">
        <v>11</v>
      </c>
      <c r="D93" s="7" t="s">
        <v>596</v>
      </c>
      <c r="E93" s="7" t="s">
        <v>667</v>
      </c>
      <c r="F93" s="2"/>
    </row>
    <row r="94" spans="1:6" ht="14" customHeight="1">
      <c r="A94" s="8">
        <v>3</v>
      </c>
      <c r="B94" s="7" t="str">
        <f>المدخلات!$F$4</f>
        <v>4:00–5:10 م</v>
      </c>
      <c r="C94" s="7">
        <v>12</v>
      </c>
      <c r="D94" s="7" t="s">
        <v>596</v>
      </c>
      <c r="E94" s="7" t="s">
        <v>664</v>
      </c>
      <c r="F94" s="2"/>
    </row>
    <row r="95" spans="1:6" ht="14" customHeight="1">
      <c r="A95" s="8">
        <v>3</v>
      </c>
      <c r="B95" s="7" t="str">
        <f>المدخلات!$F$5</f>
        <v>5:20–6:30 م</v>
      </c>
      <c r="C95" s="7">
        <v>10</v>
      </c>
      <c r="D95" s="7" t="s">
        <v>596</v>
      </c>
      <c r="E95" s="7" t="s">
        <v>1386</v>
      </c>
      <c r="F95" s="2"/>
    </row>
    <row r="96" spans="1:6" ht="14" customHeight="1">
      <c r="A96" s="8">
        <v>3</v>
      </c>
      <c r="B96" s="7" t="str">
        <f>المدخلات!$F$5</f>
        <v>5:20–6:30 م</v>
      </c>
      <c r="C96" s="7">
        <v>11</v>
      </c>
      <c r="D96" s="7" t="s">
        <v>596</v>
      </c>
      <c r="E96" s="7" t="s">
        <v>570</v>
      </c>
      <c r="F96" s="2"/>
    </row>
    <row r="97" spans="1:6" ht="14" customHeight="1">
      <c r="A97" s="8">
        <v>3</v>
      </c>
      <c r="B97" s="7" t="str">
        <f>المدخلات!$F$5</f>
        <v>5:20–6:30 م</v>
      </c>
      <c r="C97" s="7">
        <v>12</v>
      </c>
      <c r="D97" s="7" t="s">
        <v>596</v>
      </c>
      <c r="E97" s="7" t="s">
        <v>665</v>
      </c>
      <c r="F97" s="2"/>
    </row>
    <row r="98" spans="1:6" ht="14" customHeight="1">
      <c r="A98" s="8">
        <v>3</v>
      </c>
      <c r="B98" s="7" t="str">
        <f>المدخلات!$F$6</f>
        <v>6:40–7:50 م</v>
      </c>
      <c r="C98" s="7">
        <v>10</v>
      </c>
      <c r="D98" s="7" t="s">
        <v>596</v>
      </c>
      <c r="E98" s="7" t="s">
        <v>666</v>
      </c>
      <c r="F98" s="2"/>
    </row>
    <row r="99" spans="1:6" ht="14" customHeight="1">
      <c r="A99" s="8">
        <v>3</v>
      </c>
      <c r="B99" s="7" t="str">
        <f>المدخلات!$F$6</f>
        <v>6:40–7:50 م</v>
      </c>
      <c r="C99" s="7">
        <v>11</v>
      </c>
      <c r="D99" s="7" t="s">
        <v>596</v>
      </c>
      <c r="E99" s="7" t="s">
        <v>1387</v>
      </c>
      <c r="F99" s="2"/>
    </row>
    <row r="100" spans="1:6" ht="14" customHeight="1">
      <c r="A100" s="8">
        <v>4</v>
      </c>
      <c r="B100" s="7" t="str">
        <f>المدخلات!$F$4</f>
        <v>4:00–5:10 م</v>
      </c>
      <c r="C100" s="7">
        <v>1</v>
      </c>
      <c r="D100" s="7" t="s">
        <v>593</v>
      </c>
      <c r="E100" s="7" t="s">
        <v>102</v>
      </c>
      <c r="F100" s="2"/>
    </row>
    <row r="101" spans="1:6" ht="14" customHeight="1">
      <c r="A101" s="8">
        <v>4</v>
      </c>
      <c r="B101" s="7" t="str">
        <f>المدخلات!$F$4</f>
        <v>4:00–5:10 م</v>
      </c>
      <c r="C101" s="7">
        <v>2</v>
      </c>
      <c r="D101" s="7" t="s">
        <v>593</v>
      </c>
      <c r="E101" s="7" t="s">
        <v>33</v>
      </c>
      <c r="F101" s="2"/>
    </row>
    <row r="102" spans="1:6" ht="14" customHeight="1">
      <c r="A102" s="8">
        <v>4</v>
      </c>
      <c r="B102" s="7" t="str">
        <f>المدخلات!$F$4</f>
        <v>4:00–5:10 م</v>
      </c>
      <c r="C102" s="7">
        <v>3</v>
      </c>
      <c r="D102" s="7" t="s">
        <v>593</v>
      </c>
      <c r="E102" s="7" t="s">
        <v>26</v>
      </c>
      <c r="F102" s="2"/>
    </row>
    <row r="103" spans="1:6" ht="14" customHeight="1">
      <c r="A103" s="8">
        <v>4</v>
      </c>
      <c r="B103" s="7" t="str">
        <f>المدخلات!$F$5</f>
        <v>5:20–6:30 م</v>
      </c>
      <c r="C103" s="7">
        <v>1</v>
      </c>
      <c r="D103" s="7" t="s">
        <v>593</v>
      </c>
      <c r="E103" s="7" t="s">
        <v>681</v>
      </c>
      <c r="F103" s="2"/>
    </row>
    <row r="104" spans="1:6" ht="14" customHeight="1">
      <c r="A104" s="8">
        <v>4</v>
      </c>
      <c r="B104" s="7" t="str">
        <f>المدخلات!$F$5</f>
        <v>5:20–6:30 م</v>
      </c>
      <c r="C104" s="7">
        <v>2</v>
      </c>
      <c r="D104" s="7" t="s">
        <v>593</v>
      </c>
      <c r="E104" s="7" t="s">
        <v>1052</v>
      </c>
      <c r="F104" s="2"/>
    </row>
    <row r="105" spans="1:6" ht="14" customHeight="1">
      <c r="A105" s="8">
        <v>4</v>
      </c>
      <c r="B105" s="7" t="str">
        <f>المدخلات!$F$5</f>
        <v>5:20–6:30 م</v>
      </c>
      <c r="C105" s="7">
        <v>3</v>
      </c>
      <c r="D105" s="7" t="s">
        <v>593</v>
      </c>
      <c r="E105" s="7" t="s">
        <v>112</v>
      </c>
      <c r="F105" s="2"/>
    </row>
    <row r="106" spans="1:6" ht="14" customHeight="1">
      <c r="A106" s="8">
        <v>4</v>
      </c>
      <c r="B106" s="7" t="str">
        <f>المدخلات!$F$6</f>
        <v>6:40–7:50 م</v>
      </c>
      <c r="C106" s="7">
        <v>1</v>
      </c>
      <c r="D106" s="7" t="s">
        <v>593</v>
      </c>
      <c r="E106" s="7" t="s">
        <v>111</v>
      </c>
      <c r="F106" s="2"/>
    </row>
    <row r="107" spans="1:6" ht="14" customHeight="1">
      <c r="A107" s="8">
        <v>4</v>
      </c>
      <c r="B107" s="7" t="str">
        <f>المدخلات!$F$6</f>
        <v>6:40–7:50 م</v>
      </c>
      <c r="C107" s="7">
        <v>2</v>
      </c>
      <c r="D107" s="7" t="s">
        <v>593</v>
      </c>
      <c r="E107" s="7" t="s">
        <v>16</v>
      </c>
      <c r="F107" s="2"/>
    </row>
    <row r="108" spans="1:6" ht="14" customHeight="1">
      <c r="A108" s="8">
        <v>4</v>
      </c>
      <c r="B108" s="7" t="str">
        <f>المدخلات!$F$4</f>
        <v>4:00–5:10 م</v>
      </c>
      <c r="C108" s="7">
        <v>4</v>
      </c>
      <c r="D108" s="7" t="s">
        <v>594</v>
      </c>
      <c r="E108" s="7" t="s">
        <v>287</v>
      </c>
      <c r="F108" s="2"/>
    </row>
    <row r="109" spans="1:6" ht="14" customHeight="1">
      <c r="A109" s="8">
        <v>4</v>
      </c>
      <c r="B109" s="7" t="str">
        <f>المدخلات!$F$4</f>
        <v>4:00–5:10 م</v>
      </c>
      <c r="C109" s="7">
        <v>5</v>
      </c>
      <c r="D109" s="7" t="s">
        <v>594</v>
      </c>
      <c r="E109" s="7" t="s">
        <v>246</v>
      </c>
      <c r="F109" s="2"/>
    </row>
    <row r="110" spans="1:6" ht="14" customHeight="1">
      <c r="A110" s="8">
        <v>4</v>
      </c>
      <c r="B110" s="7" t="str">
        <f>المدخلات!$F$4</f>
        <v>4:00–5:10 م</v>
      </c>
      <c r="C110" s="7">
        <v>6</v>
      </c>
      <c r="D110" s="7" t="s">
        <v>594</v>
      </c>
      <c r="E110" s="7" t="s">
        <v>235</v>
      </c>
      <c r="F110" s="2"/>
    </row>
    <row r="111" spans="1:6" ht="14" customHeight="1">
      <c r="A111" s="8">
        <v>4</v>
      </c>
      <c r="B111" s="7" t="str">
        <f>المدخلات!$F$5</f>
        <v>5:20–6:30 م</v>
      </c>
      <c r="C111" s="7">
        <v>4</v>
      </c>
      <c r="D111" s="7" t="s">
        <v>594</v>
      </c>
      <c r="E111" s="7" t="s">
        <v>683</v>
      </c>
      <c r="F111" s="2"/>
    </row>
    <row r="112" spans="1:6" ht="14" customHeight="1">
      <c r="A112" s="8">
        <v>4</v>
      </c>
      <c r="B112" s="7" t="str">
        <f>المدخلات!$F$5</f>
        <v>5:20–6:30 م</v>
      </c>
      <c r="C112" s="7">
        <v>5</v>
      </c>
      <c r="D112" s="7" t="s">
        <v>594</v>
      </c>
      <c r="E112" s="7" t="s">
        <v>1159</v>
      </c>
      <c r="F112" s="2"/>
    </row>
    <row r="113" spans="1:6" ht="14" customHeight="1">
      <c r="A113" s="8">
        <v>4</v>
      </c>
      <c r="B113" s="7" t="str">
        <f>المدخلات!$F$5</f>
        <v>5:20–6:30 م</v>
      </c>
      <c r="C113" s="7">
        <v>6</v>
      </c>
      <c r="D113" s="7" t="s">
        <v>594</v>
      </c>
      <c r="E113" s="7" t="s">
        <v>298</v>
      </c>
      <c r="F113" s="2"/>
    </row>
    <row r="114" spans="1:6" ht="14" customHeight="1">
      <c r="A114" s="8">
        <v>4</v>
      </c>
      <c r="B114" s="7" t="str">
        <f>المدخلات!$F$6</f>
        <v>6:40–7:50 م</v>
      </c>
      <c r="C114" s="7">
        <v>4</v>
      </c>
      <c r="D114" s="7" t="s">
        <v>594</v>
      </c>
      <c r="E114" s="7" t="s">
        <v>312</v>
      </c>
      <c r="F114" s="2"/>
    </row>
    <row r="115" spans="1:6" ht="14" customHeight="1">
      <c r="A115" s="8">
        <v>4</v>
      </c>
      <c r="B115" s="7" t="str">
        <f>المدخلات!$F$6</f>
        <v>6:40–7:50 م</v>
      </c>
      <c r="C115" s="7">
        <v>5</v>
      </c>
      <c r="D115" s="7" t="s">
        <v>594</v>
      </c>
      <c r="E115" s="7" t="s">
        <v>230</v>
      </c>
      <c r="F115" s="2"/>
    </row>
    <row r="116" spans="1:6" ht="14" customHeight="1">
      <c r="A116" s="8">
        <v>4</v>
      </c>
      <c r="B116" s="7" t="str">
        <f>المدخلات!$F$4</f>
        <v>4:00–5:10 م</v>
      </c>
      <c r="C116" s="7">
        <v>7</v>
      </c>
      <c r="D116" s="7" t="s">
        <v>595</v>
      </c>
      <c r="E116" s="7" t="s">
        <v>454</v>
      </c>
      <c r="F116" s="2"/>
    </row>
    <row r="117" spans="1:6" ht="14" customHeight="1">
      <c r="A117" s="8">
        <v>4</v>
      </c>
      <c r="B117" s="7" t="str">
        <f>المدخلات!$F$4</f>
        <v>4:00–5:10 م</v>
      </c>
      <c r="C117" s="7">
        <v>8</v>
      </c>
      <c r="D117" s="7" t="s">
        <v>595</v>
      </c>
      <c r="E117" s="7" t="s">
        <v>412</v>
      </c>
      <c r="F117" s="2"/>
    </row>
    <row r="118" spans="1:6" ht="14" customHeight="1">
      <c r="A118" s="8">
        <v>4</v>
      </c>
      <c r="B118" s="7" t="str">
        <f>المدخلات!$F$4</f>
        <v>4:00–5:10 م</v>
      </c>
      <c r="C118" s="7">
        <v>9</v>
      </c>
      <c r="D118" s="7" t="s">
        <v>595</v>
      </c>
      <c r="E118" s="7" t="s">
        <v>406</v>
      </c>
      <c r="F118" s="2"/>
    </row>
    <row r="119" spans="1:6" ht="14" customHeight="1">
      <c r="A119" s="8">
        <v>4</v>
      </c>
      <c r="B119" s="7" t="str">
        <f>المدخلات!$F$5</f>
        <v>5:20–6:30 م</v>
      </c>
      <c r="C119" s="7">
        <v>7</v>
      </c>
      <c r="D119" s="7" t="s">
        <v>595</v>
      </c>
      <c r="E119" s="7" t="s">
        <v>684</v>
      </c>
      <c r="F119" s="2"/>
    </row>
    <row r="120" spans="1:6" ht="14" customHeight="1">
      <c r="A120" s="8">
        <v>4</v>
      </c>
      <c r="B120" s="7" t="str">
        <f>المدخلات!$F$5</f>
        <v>5:20–6:30 م</v>
      </c>
      <c r="C120" s="7">
        <v>8</v>
      </c>
      <c r="D120" s="7" t="s">
        <v>595</v>
      </c>
      <c r="E120" s="7" t="s">
        <v>1321</v>
      </c>
      <c r="F120" s="2"/>
    </row>
    <row r="121" spans="1:6" ht="14" customHeight="1">
      <c r="A121" s="8">
        <v>4</v>
      </c>
      <c r="B121" s="7" t="str">
        <f>المدخلات!$F$5</f>
        <v>5:20–6:30 م</v>
      </c>
      <c r="C121" s="7">
        <v>9</v>
      </c>
      <c r="D121" s="7" t="s">
        <v>595</v>
      </c>
      <c r="E121" s="7" t="s">
        <v>462</v>
      </c>
      <c r="F121" s="2"/>
    </row>
    <row r="122" spans="1:6" ht="14" customHeight="1">
      <c r="A122" s="8">
        <v>4</v>
      </c>
      <c r="B122" s="7" t="str">
        <f>المدخلات!$F$6</f>
        <v>6:40–7:50 م</v>
      </c>
      <c r="C122" s="7">
        <v>7</v>
      </c>
      <c r="D122" s="7" t="s">
        <v>595</v>
      </c>
      <c r="E122" s="7" t="s">
        <v>480</v>
      </c>
      <c r="F122" s="2"/>
    </row>
    <row r="123" spans="1:6" ht="14" customHeight="1">
      <c r="A123" s="8">
        <v>4</v>
      </c>
      <c r="B123" s="7" t="str">
        <f>المدخلات!$F$6</f>
        <v>6:40–7:50 م</v>
      </c>
      <c r="C123" s="7">
        <v>8</v>
      </c>
      <c r="D123" s="7" t="s">
        <v>595</v>
      </c>
      <c r="E123" s="7" t="s">
        <v>396</v>
      </c>
      <c r="F123" s="2"/>
    </row>
    <row r="124" spans="1:6" ht="14" customHeight="1">
      <c r="A124" s="8">
        <v>4</v>
      </c>
      <c r="B124" s="7" t="str">
        <f>المدخلات!$F$4</f>
        <v>4:00–5:10 م</v>
      </c>
      <c r="C124" s="7">
        <v>10</v>
      </c>
      <c r="D124" s="7" t="s">
        <v>596</v>
      </c>
      <c r="E124" s="7" t="s">
        <v>566</v>
      </c>
      <c r="F124" s="2"/>
    </row>
    <row r="125" spans="1:6" ht="14" customHeight="1">
      <c r="A125" s="8">
        <v>4</v>
      </c>
      <c r="B125" s="7" t="str">
        <f>المدخلات!$F$4</f>
        <v>4:00–5:10 م</v>
      </c>
      <c r="C125" s="7">
        <v>11</v>
      </c>
      <c r="D125" s="7" t="s">
        <v>596</v>
      </c>
      <c r="E125" s="7" t="s">
        <v>548</v>
      </c>
      <c r="F125" s="2"/>
    </row>
    <row r="126" spans="1:6" ht="14" customHeight="1">
      <c r="A126" s="8">
        <v>4</v>
      </c>
      <c r="B126" s="7" t="str">
        <f>المدخلات!$F$4</f>
        <v>4:00–5:10 م</v>
      </c>
      <c r="C126" s="7">
        <v>12</v>
      </c>
      <c r="D126" s="7" t="s">
        <v>596</v>
      </c>
      <c r="E126" s="7" t="s">
        <v>1322</v>
      </c>
      <c r="F126" s="2"/>
    </row>
    <row r="127" spans="1:6" ht="14" customHeight="1">
      <c r="A127" s="8">
        <v>4</v>
      </c>
      <c r="B127" s="7" t="str">
        <f>المدخلات!$F$5</f>
        <v>5:20–6:30 م</v>
      </c>
      <c r="C127" s="7">
        <v>10</v>
      </c>
      <c r="D127" s="7" t="s">
        <v>596</v>
      </c>
      <c r="E127" s="7" t="s">
        <v>687</v>
      </c>
      <c r="F127" s="2"/>
    </row>
    <row r="128" spans="1:6" ht="14" customHeight="1">
      <c r="A128" s="8">
        <v>4</v>
      </c>
      <c r="B128" s="7" t="str">
        <f>المدخلات!$F$5</f>
        <v>5:20–6:30 م</v>
      </c>
      <c r="C128" s="7">
        <v>11</v>
      </c>
      <c r="D128" s="7" t="s">
        <v>596</v>
      </c>
      <c r="E128" s="7" t="s">
        <v>1413</v>
      </c>
      <c r="F128" s="2"/>
    </row>
    <row r="129" spans="1:6" ht="14" customHeight="1">
      <c r="A129" s="8">
        <v>4</v>
      </c>
      <c r="B129" s="7" t="str">
        <f>المدخلات!$F$5</f>
        <v>5:20–6:30 م</v>
      </c>
      <c r="C129" s="7">
        <v>12</v>
      </c>
      <c r="D129" s="7" t="s">
        <v>596</v>
      </c>
      <c r="E129" s="7" t="s">
        <v>685</v>
      </c>
      <c r="F129" s="2"/>
    </row>
    <row r="130" spans="1:6" ht="14" customHeight="1">
      <c r="A130" s="8">
        <v>4</v>
      </c>
      <c r="B130" s="7" t="str">
        <f>المدخلات!$F$6</f>
        <v>6:40–7:50 م</v>
      </c>
      <c r="C130" s="7">
        <v>10</v>
      </c>
      <c r="D130" s="7" t="s">
        <v>596</v>
      </c>
      <c r="E130" s="7" t="s">
        <v>686</v>
      </c>
      <c r="F130" s="2"/>
    </row>
    <row r="131" spans="1:6" ht="14" customHeight="1">
      <c r="A131" s="8">
        <v>4</v>
      </c>
      <c r="B131" s="7" t="str">
        <f>المدخلات!$F$6</f>
        <v>6:40–7:50 م</v>
      </c>
      <c r="C131" s="7">
        <v>11</v>
      </c>
      <c r="D131" s="7" t="s">
        <v>596</v>
      </c>
      <c r="E131" s="7" t="s">
        <v>535</v>
      </c>
      <c r="F131" s="2"/>
    </row>
    <row r="132" spans="1:6" ht="14" customHeight="1">
      <c r="A132" s="8">
        <v>5</v>
      </c>
      <c r="B132" s="7" t="str">
        <f>المدخلات!$F$4</f>
        <v>4:00–5:10 م</v>
      </c>
      <c r="C132" s="7">
        <v>1</v>
      </c>
      <c r="D132" s="7" t="s">
        <v>593</v>
      </c>
      <c r="E132" s="7" t="s">
        <v>726</v>
      </c>
      <c r="F132" s="2"/>
    </row>
    <row r="133" spans="1:6" ht="14" customHeight="1">
      <c r="A133" s="8">
        <v>5</v>
      </c>
      <c r="B133" s="7" t="str">
        <f>المدخلات!$F$4</f>
        <v>4:00–5:10 م</v>
      </c>
      <c r="C133" s="7">
        <v>2</v>
      </c>
      <c r="D133" s="7" t="s">
        <v>593</v>
      </c>
      <c r="E133" s="7" t="s">
        <v>52</v>
      </c>
      <c r="F133" s="2"/>
    </row>
    <row r="134" spans="1:6" ht="14" customHeight="1">
      <c r="A134" s="8">
        <v>5</v>
      </c>
      <c r="B134" s="7" t="str">
        <f>المدخلات!$F$4</f>
        <v>4:00–5:10 م</v>
      </c>
      <c r="C134" s="7">
        <v>3</v>
      </c>
      <c r="D134" s="7" t="s">
        <v>593</v>
      </c>
      <c r="E134" s="7" t="s">
        <v>43</v>
      </c>
      <c r="F134" s="2"/>
    </row>
    <row r="135" spans="1:6" ht="14" customHeight="1">
      <c r="A135" s="8">
        <v>5</v>
      </c>
      <c r="B135" s="7" t="str">
        <f>المدخلات!$F$5</f>
        <v>5:20–6:30 م</v>
      </c>
      <c r="C135" s="7">
        <v>1</v>
      </c>
      <c r="D135" s="7" t="s">
        <v>593</v>
      </c>
      <c r="E135" s="7" t="s">
        <v>724</v>
      </c>
      <c r="F135" s="2"/>
    </row>
    <row r="136" spans="1:6" ht="14" customHeight="1">
      <c r="A136" s="8">
        <v>5</v>
      </c>
      <c r="B136" s="7" t="str">
        <f>المدخلات!$F$5</f>
        <v>5:20–6:30 م</v>
      </c>
      <c r="C136" s="7">
        <v>2</v>
      </c>
      <c r="D136" s="7" t="s">
        <v>593</v>
      </c>
      <c r="E136" s="7" t="s">
        <v>725</v>
      </c>
      <c r="F136" s="2"/>
    </row>
    <row r="137" spans="1:6" ht="14" customHeight="1">
      <c r="A137" s="8">
        <v>5</v>
      </c>
      <c r="B137" s="7" t="str">
        <f>المدخلات!$F$5</f>
        <v>5:20–6:30 م</v>
      </c>
      <c r="C137" s="7">
        <v>3</v>
      </c>
      <c r="D137" s="7" t="s">
        <v>593</v>
      </c>
      <c r="E137" s="7" t="s">
        <v>68</v>
      </c>
      <c r="F137" s="2"/>
    </row>
    <row r="138" spans="1:6" ht="14" customHeight="1">
      <c r="A138" s="8">
        <v>5</v>
      </c>
      <c r="B138" s="7" t="str">
        <f>المدخلات!$F$6</f>
        <v>6:40–7:50 م</v>
      </c>
      <c r="C138" s="7">
        <v>1</v>
      </c>
      <c r="D138" s="7" t="s">
        <v>593</v>
      </c>
      <c r="E138" s="7" t="s">
        <v>119</v>
      </c>
      <c r="F138" s="2"/>
    </row>
    <row r="139" spans="1:6" ht="14" customHeight="1">
      <c r="A139" s="8">
        <v>5</v>
      </c>
      <c r="B139" s="7" t="str">
        <f>المدخلات!$F$6</f>
        <v>6:40–7:50 م</v>
      </c>
      <c r="C139" s="7">
        <v>2</v>
      </c>
      <c r="D139" s="7" t="s">
        <v>593</v>
      </c>
      <c r="E139" s="7" t="s">
        <v>150</v>
      </c>
      <c r="F139" s="2"/>
    </row>
    <row r="140" spans="1:6" ht="14" customHeight="1">
      <c r="A140" s="8">
        <v>5</v>
      </c>
      <c r="B140" s="7" t="str">
        <f>المدخلات!$F$4</f>
        <v>4:00–5:10 م</v>
      </c>
      <c r="C140" s="7">
        <v>4</v>
      </c>
      <c r="D140" s="7" t="s">
        <v>594</v>
      </c>
      <c r="E140" s="7" t="s">
        <v>732</v>
      </c>
      <c r="F140" s="2"/>
    </row>
    <row r="141" spans="1:6" ht="14" customHeight="1">
      <c r="A141" s="8">
        <v>5</v>
      </c>
      <c r="B141" s="7" t="str">
        <f>المدخلات!$F$4</f>
        <v>4:00–5:10 م</v>
      </c>
      <c r="C141" s="7">
        <v>5</v>
      </c>
      <c r="D141" s="7" t="s">
        <v>594</v>
      </c>
      <c r="E141" s="7" t="s">
        <v>257</v>
      </c>
      <c r="F141" s="2"/>
    </row>
    <row r="142" spans="1:6" ht="14" customHeight="1">
      <c r="A142" s="8">
        <v>5</v>
      </c>
      <c r="B142" s="7" t="str">
        <f>المدخلات!$F$4</f>
        <v>4:00–5:10 م</v>
      </c>
      <c r="C142" s="7">
        <v>6</v>
      </c>
      <c r="D142" s="7" t="s">
        <v>594</v>
      </c>
      <c r="E142" s="7" t="s">
        <v>316</v>
      </c>
      <c r="F142" s="2"/>
    </row>
    <row r="143" spans="1:6" ht="14" customHeight="1">
      <c r="A143" s="8">
        <v>5</v>
      </c>
      <c r="B143" s="7" t="str">
        <f>المدخلات!$F$5</f>
        <v>5:20–6:30 م</v>
      </c>
      <c r="C143" s="7">
        <v>4</v>
      </c>
      <c r="D143" s="7" t="s">
        <v>594</v>
      </c>
      <c r="E143" s="7" t="s">
        <v>730</v>
      </c>
      <c r="F143" s="2"/>
    </row>
    <row r="144" spans="1:6" ht="14" customHeight="1">
      <c r="A144" s="8">
        <v>5</v>
      </c>
      <c r="B144" s="7" t="str">
        <f>المدخلات!$F$5</f>
        <v>5:20–6:30 م</v>
      </c>
      <c r="C144" s="7">
        <v>5</v>
      </c>
      <c r="D144" s="7" t="s">
        <v>594</v>
      </c>
      <c r="E144" s="7" t="s">
        <v>731</v>
      </c>
      <c r="F144" s="2"/>
    </row>
    <row r="145" spans="1:6" ht="14" customHeight="1">
      <c r="A145" s="8">
        <v>5</v>
      </c>
      <c r="B145" s="7" t="str">
        <f>المدخلات!$F$5</f>
        <v>5:20–6:30 م</v>
      </c>
      <c r="C145" s="7">
        <v>6</v>
      </c>
      <c r="D145" s="7" t="s">
        <v>594</v>
      </c>
      <c r="E145" s="7" t="s">
        <v>265</v>
      </c>
      <c r="F145" s="2"/>
    </row>
    <row r="146" spans="1:6" ht="14" customHeight="1">
      <c r="A146" s="8">
        <v>5</v>
      </c>
      <c r="B146" s="7" t="str">
        <f>المدخلات!$F$6</f>
        <v>6:40–7:50 م</v>
      </c>
      <c r="C146" s="7">
        <v>4</v>
      </c>
      <c r="D146" s="7" t="s">
        <v>594</v>
      </c>
      <c r="E146" s="7" t="s">
        <v>281</v>
      </c>
      <c r="F146" s="2"/>
    </row>
    <row r="147" spans="1:6" ht="14" customHeight="1">
      <c r="A147" s="8">
        <v>5</v>
      </c>
      <c r="B147" s="7" t="str">
        <f>المدخلات!$F$6</f>
        <v>6:40–7:50 م</v>
      </c>
      <c r="C147" s="7">
        <v>5</v>
      </c>
      <c r="D147" s="7" t="s">
        <v>594</v>
      </c>
      <c r="E147" s="7" t="s">
        <v>319</v>
      </c>
      <c r="F147" s="2"/>
    </row>
    <row r="148" spans="1:6" ht="14" customHeight="1">
      <c r="A148" s="8">
        <v>5</v>
      </c>
      <c r="B148" s="7" t="str">
        <f>المدخلات!$F$4</f>
        <v>4:00–5:10 م</v>
      </c>
      <c r="C148" s="7">
        <v>7</v>
      </c>
      <c r="D148" s="7" t="s">
        <v>595</v>
      </c>
      <c r="E148" s="7" t="s">
        <v>736</v>
      </c>
      <c r="F148" s="2"/>
    </row>
    <row r="149" spans="1:6" ht="14" customHeight="1">
      <c r="A149" s="8">
        <v>5</v>
      </c>
      <c r="B149" s="7" t="str">
        <f>المدخلات!$F$4</f>
        <v>4:00–5:10 م</v>
      </c>
      <c r="C149" s="7">
        <v>8</v>
      </c>
      <c r="D149" s="7" t="s">
        <v>595</v>
      </c>
      <c r="E149" s="7" t="s">
        <v>432</v>
      </c>
      <c r="F149" s="2"/>
    </row>
    <row r="150" spans="1:6" ht="14" customHeight="1">
      <c r="A150" s="8">
        <v>5</v>
      </c>
      <c r="B150" s="7" t="str">
        <f>المدخلات!$F$4</f>
        <v>4:00–5:10 م</v>
      </c>
      <c r="C150" s="7">
        <v>9</v>
      </c>
      <c r="D150" s="7" t="s">
        <v>595</v>
      </c>
      <c r="E150" s="7" t="s">
        <v>423</v>
      </c>
      <c r="F150" s="2"/>
    </row>
    <row r="151" spans="1:6" ht="14" customHeight="1">
      <c r="A151" s="8">
        <v>5</v>
      </c>
      <c r="B151" s="7" t="str">
        <f>المدخلات!$F$5</f>
        <v>5:20–6:30 م</v>
      </c>
      <c r="C151" s="7">
        <v>7</v>
      </c>
      <c r="D151" s="7" t="s">
        <v>595</v>
      </c>
      <c r="E151" s="7" t="s">
        <v>734</v>
      </c>
      <c r="F151" s="2"/>
    </row>
    <row r="152" spans="1:6" ht="14" customHeight="1">
      <c r="A152" s="8">
        <v>5</v>
      </c>
      <c r="B152" s="7" t="str">
        <f>المدخلات!$F$5</f>
        <v>5:20–6:30 م</v>
      </c>
      <c r="C152" s="7">
        <v>8</v>
      </c>
      <c r="D152" s="7" t="s">
        <v>595</v>
      </c>
      <c r="E152" s="7" t="s">
        <v>735</v>
      </c>
      <c r="F152" s="2"/>
    </row>
    <row r="153" spans="1:6" ht="14" customHeight="1">
      <c r="A153" s="8">
        <v>5</v>
      </c>
      <c r="B153" s="7" t="str">
        <f>المدخلات!$F$5</f>
        <v>5:20–6:30 م</v>
      </c>
      <c r="C153" s="7">
        <v>9</v>
      </c>
      <c r="D153" s="7" t="s">
        <v>595</v>
      </c>
      <c r="E153" s="7" t="s">
        <v>439</v>
      </c>
      <c r="F153" s="2"/>
    </row>
    <row r="154" spans="1:6" ht="14" customHeight="1">
      <c r="A154" s="8">
        <v>5</v>
      </c>
      <c r="B154" s="7" t="str">
        <f>المدخلات!$F$6</f>
        <v>6:40–7:50 م</v>
      </c>
      <c r="C154" s="7">
        <v>7</v>
      </c>
      <c r="D154" s="7" t="s">
        <v>595</v>
      </c>
      <c r="E154" s="7" t="s">
        <v>463</v>
      </c>
      <c r="F154" s="2"/>
    </row>
    <row r="155" spans="1:6" ht="14" customHeight="1">
      <c r="A155" s="8">
        <v>5</v>
      </c>
      <c r="B155" s="7" t="str">
        <f>المدخلات!$F$6</f>
        <v>6:40–7:50 م</v>
      </c>
      <c r="C155" s="7">
        <v>8</v>
      </c>
      <c r="D155" s="7" t="s">
        <v>595</v>
      </c>
      <c r="E155" s="7" t="s">
        <v>1416</v>
      </c>
      <c r="F155" s="2"/>
    </row>
    <row r="156" spans="1:6" ht="14" customHeight="1">
      <c r="A156" s="8">
        <v>5</v>
      </c>
      <c r="B156" s="7" t="str">
        <f>المدخلات!$F$4</f>
        <v>4:00–5:10 م</v>
      </c>
      <c r="C156" s="7">
        <v>10</v>
      </c>
      <c r="D156" s="7" t="s">
        <v>596</v>
      </c>
      <c r="E156" s="7" t="s">
        <v>1344</v>
      </c>
      <c r="F156" s="2"/>
    </row>
    <row r="157" spans="1:6" ht="14" customHeight="1">
      <c r="A157" s="8">
        <v>5</v>
      </c>
      <c r="B157" s="7" t="str">
        <f>المدخلات!$F$4</f>
        <v>4:00–5:10 م</v>
      </c>
      <c r="C157" s="7">
        <v>11</v>
      </c>
      <c r="D157" s="7" t="s">
        <v>596</v>
      </c>
      <c r="E157" s="7" t="s">
        <v>1341</v>
      </c>
      <c r="F157" s="2"/>
    </row>
    <row r="158" spans="1:6" ht="14" customHeight="1">
      <c r="A158" s="8">
        <v>5</v>
      </c>
      <c r="B158" s="7" t="str">
        <f>المدخلات!$F$4</f>
        <v>4:00–5:10 م</v>
      </c>
      <c r="C158" s="7">
        <v>12</v>
      </c>
      <c r="D158" s="7" t="s">
        <v>596</v>
      </c>
      <c r="E158" s="7" t="s">
        <v>738</v>
      </c>
      <c r="F158" s="2"/>
    </row>
    <row r="159" spans="1:6" ht="14" customHeight="1">
      <c r="A159" s="8">
        <v>5</v>
      </c>
      <c r="B159" s="7" t="str">
        <f>المدخلات!$F$5</f>
        <v>5:20–6:30 م</v>
      </c>
      <c r="C159" s="7">
        <v>10</v>
      </c>
      <c r="D159" s="7" t="s">
        <v>596</v>
      </c>
      <c r="E159" s="7" t="s">
        <v>1342</v>
      </c>
      <c r="F159" s="2"/>
    </row>
    <row r="160" spans="1:6" ht="14" customHeight="1">
      <c r="A160" s="8">
        <v>5</v>
      </c>
      <c r="B160" s="7" t="str">
        <f>المدخلات!$F$5</f>
        <v>5:20–6:30 م</v>
      </c>
      <c r="C160" s="7">
        <v>11</v>
      </c>
      <c r="D160" s="7" t="s">
        <v>596</v>
      </c>
      <c r="E160" s="7" t="s">
        <v>739</v>
      </c>
      <c r="F160" s="2"/>
    </row>
    <row r="161" spans="1:6" ht="14" customHeight="1">
      <c r="A161" s="8">
        <v>5</v>
      </c>
      <c r="B161" s="7" t="str">
        <f>المدخلات!$F$5</f>
        <v>5:20–6:30 م</v>
      </c>
      <c r="C161" s="7">
        <v>12</v>
      </c>
      <c r="D161" s="7" t="s">
        <v>596</v>
      </c>
      <c r="E161" s="7" t="s">
        <v>737</v>
      </c>
      <c r="F161" s="2"/>
    </row>
    <row r="162" spans="1:6" ht="14" customHeight="1">
      <c r="A162" s="8">
        <v>5</v>
      </c>
      <c r="B162" s="7" t="str">
        <f>المدخلات!$F$6</f>
        <v>6:40–7:50 م</v>
      </c>
      <c r="C162" s="7">
        <v>10</v>
      </c>
      <c r="D162" s="7" t="s">
        <v>596</v>
      </c>
      <c r="E162" s="7" t="s">
        <v>1417</v>
      </c>
      <c r="F162" s="2"/>
    </row>
    <row r="163" spans="1:6" ht="14" customHeight="1">
      <c r="A163" s="8">
        <v>5</v>
      </c>
      <c r="B163" s="7" t="str">
        <f>المدخلات!$F$6</f>
        <v>6:40–7:50 م</v>
      </c>
      <c r="C163" s="7">
        <v>11</v>
      </c>
      <c r="D163" s="7" t="s">
        <v>596</v>
      </c>
      <c r="E163" s="7" t="s">
        <v>573</v>
      </c>
      <c r="F163" s="2"/>
    </row>
    <row r="164" spans="1:6" ht="14" customHeight="1">
      <c r="A164" s="8">
        <v>6</v>
      </c>
      <c r="B164" s="7" t="str">
        <f>المدخلات!$F$4</f>
        <v>4:00–5:10 م</v>
      </c>
      <c r="C164" s="7">
        <v>1</v>
      </c>
      <c r="D164" s="7" t="s">
        <v>593</v>
      </c>
      <c r="E164" s="7" t="s">
        <v>128</v>
      </c>
      <c r="F164" s="2"/>
    </row>
    <row r="165" spans="1:6" ht="14" customHeight="1">
      <c r="A165" s="8">
        <v>6</v>
      </c>
      <c r="B165" s="7" t="str">
        <f>المدخلات!$F$4</f>
        <v>4:00–5:10 م</v>
      </c>
      <c r="C165" s="7">
        <v>2</v>
      </c>
      <c r="D165" s="7" t="s">
        <v>593</v>
      </c>
      <c r="E165" s="7" t="s">
        <v>151</v>
      </c>
      <c r="F165" s="2"/>
    </row>
    <row r="166" spans="1:6" ht="14" customHeight="1">
      <c r="A166" s="8">
        <v>6</v>
      </c>
      <c r="B166" s="7" t="str">
        <f>المدخلات!$F$4</f>
        <v>4:00–5:10 م</v>
      </c>
      <c r="C166" s="7">
        <v>3</v>
      </c>
      <c r="D166" s="7" t="s">
        <v>593</v>
      </c>
      <c r="E166" s="7" t="s">
        <v>29</v>
      </c>
      <c r="F166" s="2"/>
    </row>
    <row r="167" spans="1:6" ht="14" customHeight="1">
      <c r="A167" s="8">
        <v>6</v>
      </c>
      <c r="B167" s="7" t="str">
        <f>المدخلات!$F$5</f>
        <v>5:20–6:30 م</v>
      </c>
      <c r="C167" s="7">
        <v>1</v>
      </c>
      <c r="D167" s="7" t="s">
        <v>593</v>
      </c>
      <c r="E167" s="7" t="s">
        <v>768</v>
      </c>
      <c r="F167" s="2"/>
    </row>
    <row r="168" spans="1:6" ht="14" customHeight="1">
      <c r="A168" s="8">
        <v>6</v>
      </c>
      <c r="B168" s="7" t="str">
        <f>المدخلات!$F$5</f>
        <v>5:20–6:30 م</v>
      </c>
      <c r="C168" s="7">
        <v>2</v>
      </c>
      <c r="D168" s="7" t="s">
        <v>593</v>
      </c>
      <c r="E168" s="7" t="s">
        <v>42</v>
      </c>
      <c r="F168" s="2"/>
    </row>
    <row r="169" spans="1:6" ht="14" customHeight="1">
      <c r="A169" s="8">
        <v>6</v>
      </c>
      <c r="B169" s="7" t="str">
        <f>المدخلات!$F$5</f>
        <v>5:20–6:30 م</v>
      </c>
      <c r="C169" s="7">
        <v>3</v>
      </c>
      <c r="D169" s="7" t="s">
        <v>593</v>
      </c>
      <c r="E169" s="7" t="s">
        <v>51</v>
      </c>
      <c r="F169" s="2"/>
    </row>
    <row r="170" spans="1:6" ht="14" customHeight="1">
      <c r="A170" s="8">
        <v>6</v>
      </c>
      <c r="B170" s="7" t="str">
        <f>المدخلات!$F$6</f>
        <v>6:40–7:50 م</v>
      </c>
      <c r="C170" s="7">
        <v>1</v>
      </c>
      <c r="D170" s="7" t="s">
        <v>593</v>
      </c>
      <c r="E170" s="7" t="s">
        <v>767</v>
      </c>
      <c r="F170" s="2"/>
    </row>
    <row r="171" spans="1:6" ht="14" customHeight="1">
      <c r="A171" s="8">
        <v>6</v>
      </c>
      <c r="B171" s="7" t="str">
        <f>المدخلات!$F$6</f>
        <v>6:40–7:50 م</v>
      </c>
      <c r="C171" s="7">
        <v>2</v>
      </c>
      <c r="D171" s="7" t="s">
        <v>593</v>
      </c>
      <c r="E171" s="7" t="s">
        <v>61</v>
      </c>
      <c r="F171" s="2"/>
    </row>
    <row r="172" spans="1:6" ht="14" customHeight="1">
      <c r="A172" s="8">
        <v>6</v>
      </c>
      <c r="B172" s="7" t="str">
        <f>المدخلات!$F$4</f>
        <v>4:00–5:10 م</v>
      </c>
      <c r="C172" s="7">
        <v>4</v>
      </c>
      <c r="D172" s="7" t="s">
        <v>594</v>
      </c>
      <c r="E172" s="7" t="s">
        <v>1418</v>
      </c>
      <c r="F172" s="2"/>
    </row>
    <row r="173" spans="1:6" ht="14" customHeight="1">
      <c r="A173" s="8">
        <v>6</v>
      </c>
      <c r="B173" s="7" t="str">
        <f>المدخلات!$F$4</f>
        <v>4:00–5:10 م</v>
      </c>
      <c r="C173" s="7">
        <v>5</v>
      </c>
      <c r="D173" s="7" t="s">
        <v>594</v>
      </c>
      <c r="E173" s="7" t="s">
        <v>324</v>
      </c>
      <c r="F173" s="2"/>
    </row>
    <row r="174" spans="1:6" ht="14" customHeight="1">
      <c r="A174" s="8">
        <v>6</v>
      </c>
      <c r="B174" s="7" t="str">
        <f>المدخلات!$F$4</f>
        <v>4:00–5:10 م</v>
      </c>
      <c r="C174" s="7">
        <v>6</v>
      </c>
      <c r="D174" s="7" t="s">
        <v>594</v>
      </c>
      <c r="E174" s="7" t="s">
        <v>322</v>
      </c>
      <c r="F174" s="2"/>
    </row>
    <row r="175" spans="1:6" ht="14" customHeight="1">
      <c r="A175" s="8">
        <v>6</v>
      </c>
      <c r="B175" s="7" t="str">
        <f>المدخلات!$F$5</f>
        <v>5:20–6:30 م</v>
      </c>
      <c r="C175" s="7">
        <v>4</v>
      </c>
      <c r="D175" s="7" t="s">
        <v>594</v>
      </c>
      <c r="E175" s="7" t="s">
        <v>774</v>
      </c>
      <c r="F175" s="2"/>
    </row>
    <row r="176" spans="1:6" ht="14" customHeight="1">
      <c r="A176" s="8">
        <v>6</v>
      </c>
      <c r="B176" s="7" t="str">
        <f>المدخلات!$F$5</f>
        <v>5:20–6:30 م</v>
      </c>
      <c r="C176" s="7">
        <v>5</v>
      </c>
      <c r="D176" s="7" t="s">
        <v>594</v>
      </c>
      <c r="E176" s="7" t="s">
        <v>241</v>
      </c>
      <c r="F176" s="2"/>
    </row>
    <row r="177" spans="1:6" ht="14" customHeight="1">
      <c r="A177" s="8">
        <v>6</v>
      </c>
      <c r="B177" s="7" t="str">
        <f>المدخلات!$F$5</f>
        <v>5:20–6:30 م</v>
      </c>
      <c r="C177" s="7">
        <v>6</v>
      </c>
      <c r="D177" s="7" t="s">
        <v>594</v>
      </c>
      <c r="E177" s="7" t="s">
        <v>249</v>
      </c>
      <c r="F177" s="2"/>
    </row>
    <row r="178" spans="1:6" ht="14" customHeight="1">
      <c r="A178" s="8">
        <v>6</v>
      </c>
      <c r="B178" s="7" t="str">
        <f>المدخلات!$F$6</f>
        <v>6:40–7:50 م</v>
      </c>
      <c r="C178" s="7">
        <v>4</v>
      </c>
      <c r="D178" s="7" t="s">
        <v>594</v>
      </c>
      <c r="E178" s="7" t="s">
        <v>773</v>
      </c>
      <c r="F178" s="2"/>
    </row>
    <row r="179" spans="1:6" ht="14" customHeight="1">
      <c r="A179" s="8">
        <v>6</v>
      </c>
      <c r="B179" s="7" t="str">
        <f>المدخلات!$F$6</f>
        <v>6:40–7:50 م</v>
      </c>
      <c r="C179" s="7">
        <v>5</v>
      </c>
      <c r="D179" s="7" t="s">
        <v>594</v>
      </c>
      <c r="E179" s="7" t="s">
        <v>256</v>
      </c>
      <c r="F179" s="2"/>
    </row>
    <row r="180" spans="1:6" ht="14" customHeight="1">
      <c r="A180" s="8">
        <v>6</v>
      </c>
      <c r="B180" s="7" t="str">
        <f>المدخلات!$F$4</f>
        <v>4:00–5:10 م</v>
      </c>
      <c r="C180" s="7">
        <v>7</v>
      </c>
      <c r="D180" s="7" t="s">
        <v>595</v>
      </c>
      <c r="E180" s="7" t="s">
        <v>1420</v>
      </c>
      <c r="F180" s="2"/>
    </row>
    <row r="181" spans="1:6" ht="14" customHeight="1">
      <c r="A181" s="8">
        <v>6</v>
      </c>
      <c r="B181" s="7" t="str">
        <f>المدخلات!$F$4</f>
        <v>4:00–5:10 م</v>
      </c>
      <c r="C181" s="7">
        <v>8</v>
      </c>
      <c r="D181" s="7" t="s">
        <v>595</v>
      </c>
      <c r="E181" s="7" t="s">
        <v>487</v>
      </c>
      <c r="F181" s="2"/>
    </row>
    <row r="182" spans="1:6" ht="14" customHeight="1">
      <c r="A182" s="8">
        <v>6</v>
      </c>
      <c r="B182" s="7" t="str">
        <f>المدخلات!$F$4</f>
        <v>4:00–5:10 م</v>
      </c>
      <c r="C182" s="7">
        <v>9</v>
      </c>
      <c r="D182" s="7" t="s">
        <v>595</v>
      </c>
      <c r="E182" s="7" t="s">
        <v>413</v>
      </c>
      <c r="F182" s="2"/>
    </row>
    <row r="183" spans="1:6" ht="14" customHeight="1">
      <c r="A183" s="8">
        <v>6</v>
      </c>
      <c r="B183" s="7" t="str">
        <f>المدخلات!$F$5</f>
        <v>5:20–6:30 م</v>
      </c>
      <c r="C183" s="7">
        <v>7</v>
      </c>
      <c r="D183" s="7" t="s">
        <v>595</v>
      </c>
      <c r="E183" s="7" t="s">
        <v>780</v>
      </c>
      <c r="F183" s="2"/>
    </row>
    <row r="184" spans="1:6" ht="14" customHeight="1">
      <c r="A184" s="8">
        <v>6</v>
      </c>
      <c r="B184" s="7" t="str">
        <f>المدخلات!$F$5</f>
        <v>5:20–6:30 م</v>
      </c>
      <c r="C184" s="7">
        <v>8</v>
      </c>
      <c r="D184" s="7" t="s">
        <v>595</v>
      </c>
      <c r="E184" s="7" t="s">
        <v>416</v>
      </c>
      <c r="F184" s="2"/>
    </row>
    <row r="185" spans="1:6" ht="14" customHeight="1">
      <c r="A185" s="8">
        <v>6</v>
      </c>
      <c r="B185" s="7" t="str">
        <f>المدخلات!$F$5</f>
        <v>5:20–6:30 م</v>
      </c>
      <c r="C185" s="7">
        <v>9</v>
      </c>
      <c r="D185" s="7" t="s">
        <v>595</v>
      </c>
      <c r="E185" s="7" t="s">
        <v>425</v>
      </c>
      <c r="F185" s="2"/>
    </row>
    <row r="186" spans="1:6" ht="14" customHeight="1">
      <c r="A186" s="8">
        <v>6</v>
      </c>
      <c r="B186" s="7" t="str">
        <f>المدخلات!$F$6</f>
        <v>6:40–7:50 م</v>
      </c>
      <c r="C186" s="7">
        <v>7</v>
      </c>
      <c r="D186" s="7" t="s">
        <v>595</v>
      </c>
      <c r="E186" s="7" t="s">
        <v>779</v>
      </c>
      <c r="F186" s="2"/>
    </row>
    <row r="187" spans="1:6" ht="14" customHeight="1">
      <c r="A187" s="8">
        <v>6</v>
      </c>
      <c r="B187" s="7" t="str">
        <f>المدخلات!$F$6</f>
        <v>6:40–7:50 م</v>
      </c>
      <c r="C187" s="7">
        <v>8</v>
      </c>
      <c r="D187" s="7" t="s">
        <v>595</v>
      </c>
      <c r="E187" s="7" t="s">
        <v>1419</v>
      </c>
      <c r="F187" s="2"/>
    </row>
    <row r="188" spans="1:6" ht="14" customHeight="1">
      <c r="A188" s="8">
        <v>6</v>
      </c>
      <c r="B188" s="7" t="str">
        <f>المدخلات!$F$4</f>
        <v>4:00–5:10 م</v>
      </c>
      <c r="C188" s="7">
        <v>10</v>
      </c>
      <c r="D188" s="7" t="s">
        <v>596</v>
      </c>
      <c r="E188" s="7" t="s">
        <v>549</v>
      </c>
      <c r="F188" s="2"/>
    </row>
    <row r="189" spans="1:6" ht="14" customHeight="1">
      <c r="A189" s="8">
        <v>6</v>
      </c>
      <c r="B189" s="7" t="str">
        <f>المدخلات!$F$4</f>
        <v>4:00–5:10 م</v>
      </c>
      <c r="C189" s="7">
        <v>11</v>
      </c>
      <c r="D189" s="7" t="s">
        <v>596</v>
      </c>
      <c r="E189" s="7" t="s">
        <v>783</v>
      </c>
      <c r="F189" s="2"/>
    </row>
    <row r="190" spans="1:6" ht="14" customHeight="1">
      <c r="A190" s="8">
        <v>6</v>
      </c>
      <c r="B190" s="7" t="str">
        <f>المدخلات!$F$4</f>
        <v>4:00–5:10 م</v>
      </c>
      <c r="C190" s="7">
        <v>12</v>
      </c>
      <c r="D190" s="7" t="s">
        <v>596</v>
      </c>
      <c r="E190" s="7" t="s">
        <v>787</v>
      </c>
      <c r="F190" s="2"/>
    </row>
    <row r="191" spans="1:6" ht="14" customHeight="1">
      <c r="A191" s="8">
        <v>6</v>
      </c>
      <c r="B191" s="7" t="str">
        <f>المدخلات!$F$5</f>
        <v>5:20–6:30 م</v>
      </c>
      <c r="C191" s="7">
        <v>10</v>
      </c>
      <c r="D191" s="7" t="s">
        <v>596</v>
      </c>
      <c r="E191" s="7" t="s">
        <v>786</v>
      </c>
      <c r="F191" s="2"/>
    </row>
    <row r="192" spans="1:6" ht="14" customHeight="1">
      <c r="A192" s="8">
        <v>6</v>
      </c>
      <c r="B192" s="7" t="str">
        <f>المدخلات!$F$5</f>
        <v>5:20–6:30 م</v>
      </c>
      <c r="C192" s="7">
        <v>11</v>
      </c>
      <c r="D192" s="7" t="s">
        <v>596</v>
      </c>
      <c r="E192" s="7" t="s">
        <v>785</v>
      </c>
      <c r="F192" s="2"/>
    </row>
    <row r="193" spans="1:6" ht="14" customHeight="1">
      <c r="A193" s="8">
        <v>6</v>
      </c>
      <c r="B193" s="7" t="str">
        <f>المدخلات!$F$5</f>
        <v>5:20–6:30 م</v>
      </c>
      <c r="C193" s="7">
        <v>12</v>
      </c>
      <c r="D193" s="7" t="s">
        <v>596</v>
      </c>
      <c r="E193" s="7" t="s">
        <v>559</v>
      </c>
      <c r="F193" s="2"/>
    </row>
    <row r="194" spans="1:6" ht="14" customHeight="1">
      <c r="A194" s="8">
        <v>6</v>
      </c>
      <c r="B194" s="7" t="str">
        <f>المدخلات!$F$6</f>
        <v>6:40–7:50 م</v>
      </c>
      <c r="C194" s="7">
        <v>10</v>
      </c>
      <c r="D194" s="7" t="s">
        <v>596</v>
      </c>
      <c r="E194" s="7" t="s">
        <v>784</v>
      </c>
      <c r="F194" s="2"/>
    </row>
    <row r="195" spans="1:6" ht="14" customHeight="1">
      <c r="A195" s="8">
        <v>6</v>
      </c>
      <c r="B195" s="7" t="str">
        <f>المدخلات!$F$6</f>
        <v>6:40–7:50 م</v>
      </c>
      <c r="C195" s="7">
        <v>11</v>
      </c>
      <c r="D195" s="7" t="s">
        <v>596</v>
      </c>
      <c r="E195" s="7" t="s">
        <v>788</v>
      </c>
      <c r="F195" s="2"/>
    </row>
    <row r="196" spans="1:6" ht="14" customHeight="1">
      <c r="A196" s="8">
        <v>7</v>
      </c>
      <c r="B196" s="7" t="str">
        <f>المدخلات!$F$4</f>
        <v>4:00–5:10 م</v>
      </c>
      <c r="C196" s="7">
        <v>1</v>
      </c>
      <c r="D196" s="7" t="s">
        <v>593</v>
      </c>
      <c r="E196" s="7" t="s">
        <v>66</v>
      </c>
      <c r="F196" s="2"/>
    </row>
    <row r="197" spans="1:6" ht="14" customHeight="1">
      <c r="A197" s="8">
        <v>7</v>
      </c>
      <c r="B197" s="7" t="str">
        <f>المدخلات!$F$4</f>
        <v>4:00–5:10 م</v>
      </c>
      <c r="C197" s="7">
        <v>2</v>
      </c>
      <c r="D197" s="7" t="s">
        <v>593</v>
      </c>
      <c r="E197" s="7" t="s">
        <v>38</v>
      </c>
      <c r="F197" s="2"/>
    </row>
    <row r="198" spans="1:6" ht="14" customHeight="1">
      <c r="A198" s="8">
        <v>7</v>
      </c>
      <c r="B198" s="7" t="str">
        <f>المدخلات!$F$4</f>
        <v>4:00–5:10 م</v>
      </c>
      <c r="C198" s="7">
        <v>3</v>
      </c>
      <c r="D198" s="7" t="s">
        <v>593</v>
      </c>
      <c r="E198" s="7" t="s">
        <v>152</v>
      </c>
      <c r="F198" s="2"/>
    </row>
    <row r="199" spans="1:6" ht="14" customHeight="1">
      <c r="A199" s="8">
        <v>7</v>
      </c>
      <c r="B199" s="7" t="str">
        <f>المدخلات!$F$5</f>
        <v>5:20–6:30 م</v>
      </c>
      <c r="C199" s="7">
        <v>1</v>
      </c>
      <c r="D199" s="7" t="s">
        <v>593</v>
      </c>
      <c r="E199" s="7" t="s">
        <v>25</v>
      </c>
      <c r="F199" s="2"/>
    </row>
    <row r="200" spans="1:6" ht="14" customHeight="1">
      <c r="A200" s="8">
        <v>7</v>
      </c>
      <c r="B200" s="7" t="str">
        <f>المدخلات!$F$5</f>
        <v>5:20–6:30 م</v>
      </c>
      <c r="C200" s="7">
        <v>2</v>
      </c>
      <c r="D200" s="7" t="s">
        <v>593</v>
      </c>
      <c r="E200" s="7" t="s">
        <v>790</v>
      </c>
      <c r="F200" s="2"/>
    </row>
    <row r="201" spans="1:6" ht="14" customHeight="1">
      <c r="A201" s="8">
        <v>7</v>
      </c>
      <c r="B201" s="7" t="str">
        <f>المدخلات!$F$5</f>
        <v>5:20–6:30 م</v>
      </c>
      <c r="C201" s="7">
        <v>3</v>
      </c>
      <c r="D201" s="7" t="s">
        <v>593</v>
      </c>
      <c r="E201" s="7" t="s">
        <v>791</v>
      </c>
      <c r="F201" s="2"/>
    </row>
    <row r="202" spans="1:6" ht="14" customHeight="1">
      <c r="A202" s="8">
        <v>7</v>
      </c>
      <c r="B202" s="7" t="str">
        <f>المدخلات!$F$6</f>
        <v>6:40–7:50 م</v>
      </c>
      <c r="C202" s="7">
        <v>1</v>
      </c>
      <c r="D202" s="7" t="s">
        <v>593</v>
      </c>
      <c r="E202" s="7" t="s">
        <v>129</v>
      </c>
      <c r="F202" s="2"/>
    </row>
    <row r="203" spans="1:6" ht="14" customHeight="1">
      <c r="A203" s="8">
        <v>7</v>
      </c>
      <c r="B203" s="7" t="str">
        <f>المدخلات!$F$6</f>
        <v>6:40–7:50 م</v>
      </c>
      <c r="C203" s="7">
        <v>2</v>
      </c>
      <c r="D203" s="7" t="s">
        <v>593</v>
      </c>
      <c r="E203" s="7" t="s">
        <v>28</v>
      </c>
      <c r="F203" s="2"/>
    </row>
    <row r="204" spans="1:6" ht="14" customHeight="1">
      <c r="A204" s="8">
        <v>7</v>
      </c>
      <c r="B204" s="7" t="str">
        <f>المدخلات!$F$4</f>
        <v>4:00–5:10 م</v>
      </c>
      <c r="C204" s="7">
        <v>4</v>
      </c>
      <c r="D204" s="7" t="s">
        <v>594</v>
      </c>
      <c r="E204" s="7" t="s">
        <v>1431</v>
      </c>
      <c r="F204" s="2"/>
    </row>
    <row r="205" spans="1:6" ht="14" customHeight="1">
      <c r="A205" s="8">
        <v>7</v>
      </c>
      <c r="B205" s="7" t="str">
        <f>المدخلات!$F$4</f>
        <v>4:00–5:10 م</v>
      </c>
      <c r="C205" s="7">
        <v>5</v>
      </c>
      <c r="D205" s="7" t="s">
        <v>594</v>
      </c>
      <c r="E205" s="7" t="s">
        <v>242</v>
      </c>
      <c r="F205" s="2"/>
    </row>
    <row r="206" spans="1:6" ht="14" customHeight="1">
      <c r="A206" s="8">
        <v>7</v>
      </c>
      <c r="B206" s="7" t="str">
        <f>المدخلات!$F$4</f>
        <v>4:00–5:10 م</v>
      </c>
      <c r="C206" s="7">
        <v>6</v>
      </c>
      <c r="D206" s="7" t="s">
        <v>594</v>
      </c>
      <c r="E206" s="7" t="s">
        <v>327</v>
      </c>
      <c r="F206" s="2"/>
    </row>
    <row r="207" spans="1:6" ht="14" customHeight="1">
      <c r="A207" s="8">
        <v>7</v>
      </c>
      <c r="B207" s="7" t="str">
        <f>المدخلات!$F$5</f>
        <v>5:20–6:30 م</v>
      </c>
      <c r="C207" s="7">
        <v>4</v>
      </c>
      <c r="D207" s="7" t="s">
        <v>594</v>
      </c>
      <c r="E207" s="7" t="s">
        <v>325</v>
      </c>
      <c r="F207" s="2"/>
    </row>
    <row r="208" spans="1:6" ht="14" customHeight="1">
      <c r="A208" s="8">
        <v>7</v>
      </c>
      <c r="B208" s="7" t="str">
        <f>المدخلات!$F$5</f>
        <v>5:20–6:30 م</v>
      </c>
      <c r="C208" s="7">
        <v>5</v>
      </c>
      <c r="D208" s="7" t="s">
        <v>594</v>
      </c>
      <c r="E208" s="7" t="s">
        <v>795</v>
      </c>
      <c r="F208" s="2"/>
    </row>
    <row r="209" spans="1:6" ht="14" customHeight="1">
      <c r="A209" s="8">
        <v>7</v>
      </c>
      <c r="B209" s="7" t="str">
        <f>المدخلات!$F$5</f>
        <v>5:20–6:30 م</v>
      </c>
      <c r="C209" s="7">
        <v>6</v>
      </c>
      <c r="D209" s="7" t="s">
        <v>594</v>
      </c>
      <c r="E209" s="7" t="s">
        <v>796</v>
      </c>
      <c r="F209" s="2"/>
    </row>
    <row r="210" spans="1:6" ht="14" customHeight="1">
      <c r="A210" s="8">
        <v>7</v>
      </c>
      <c r="B210" s="7" t="str">
        <f>المدخلات!$F$6</f>
        <v>6:40–7:50 م</v>
      </c>
      <c r="C210" s="7">
        <v>4</v>
      </c>
      <c r="D210" s="7" t="s">
        <v>594</v>
      </c>
      <c r="E210" s="7" t="s">
        <v>301</v>
      </c>
      <c r="F210" s="2"/>
    </row>
    <row r="211" spans="1:6" ht="14" customHeight="1">
      <c r="A211" s="8">
        <v>7</v>
      </c>
      <c r="B211" s="7" t="str">
        <f>المدخلات!$F$6</f>
        <v>6:40–7:50 م</v>
      </c>
      <c r="C211" s="7">
        <v>5</v>
      </c>
      <c r="D211" s="7" t="s">
        <v>594</v>
      </c>
      <c r="E211" s="7" t="s">
        <v>238</v>
      </c>
      <c r="F211" s="2"/>
    </row>
    <row r="212" spans="1:6" ht="14" customHeight="1">
      <c r="A212" s="8">
        <v>7</v>
      </c>
      <c r="B212" s="7" t="str">
        <f>المدخلات!$F$4</f>
        <v>4:00–5:10 م</v>
      </c>
      <c r="C212" s="7">
        <v>7</v>
      </c>
      <c r="D212" s="7" t="s">
        <v>595</v>
      </c>
      <c r="E212" s="7" t="s">
        <v>1432</v>
      </c>
      <c r="F212" s="2"/>
    </row>
    <row r="213" spans="1:6" ht="14" customHeight="1">
      <c r="A213" s="8">
        <v>7</v>
      </c>
      <c r="B213" s="7" t="str">
        <f>المدخلات!$F$4</f>
        <v>4:00–5:10 م</v>
      </c>
      <c r="C213" s="7">
        <v>8</v>
      </c>
      <c r="D213" s="7" t="s">
        <v>595</v>
      </c>
      <c r="E213" s="7" t="s">
        <v>1210</v>
      </c>
      <c r="F213" s="2"/>
    </row>
    <row r="214" spans="1:6" ht="14" customHeight="1">
      <c r="A214" s="8">
        <v>7</v>
      </c>
      <c r="B214" s="7" t="str">
        <f>المدخلات!$F$4</f>
        <v>4:00–5:10 م</v>
      </c>
      <c r="C214" s="7">
        <v>9</v>
      </c>
      <c r="D214" s="7" t="s">
        <v>595</v>
      </c>
      <c r="E214" s="7" t="s">
        <v>488</v>
      </c>
      <c r="F214" s="2"/>
    </row>
    <row r="215" spans="1:6" ht="14" customHeight="1">
      <c r="A215" s="8">
        <v>7</v>
      </c>
      <c r="B215" s="7" t="str">
        <f>المدخلات!$F$5</f>
        <v>5:20–6:30 م</v>
      </c>
      <c r="C215" s="7">
        <v>7</v>
      </c>
      <c r="D215" s="7" t="s">
        <v>595</v>
      </c>
      <c r="E215" s="7" t="s">
        <v>403</v>
      </c>
      <c r="F215" s="2"/>
    </row>
    <row r="216" spans="1:6" ht="14" customHeight="1">
      <c r="A216" s="8">
        <v>7</v>
      </c>
      <c r="B216" s="7" t="str">
        <f>المدخلات!$F$5</f>
        <v>5:20–6:30 م</v>
      </c>
      <c r="C216" s="7">
        <v>8</v>
      </c>
      <c r="D216" s="7" t="s">
        <v>595</v>
      </c>
      <c r="E216" s="7" t="s">
        <v>799</v>
      </c>
      <c r="F216" s="2"/>
    </row>
    <row r="217" spans="1:6" ht="14" customHeight="1">
      <c r="A217" s="8">
        <v>7</v>
      </c>
      <c r="B217" s="7" t="str">
        <f>المدخلات!$F$5</f>
        <v>5:20–6:30 م</v>
      </c>
      <c r="C217" s="7">
        <v>9</v>
      </c>
      <c r="D217" s="7" t="s">
        <v>595</v>
      </c>
      <c r="E217" s="7" t="s">
        <v>800</v>
      </c>
      <c r="F217" s="2"/>
    </row>
    <row r="218" spans="1:6" ht="14" customHeight="1">
      <c r="A218" s="8">
        <v>7</v>
      </c>
      <c r="B218" s="7" t="str">
        <f>المدخلات!$F$6</f>
        <v>6:40–7:50 م</v>
      </c>
      <c r="C218" s="7">
        <v>7</v>
      </c>
      <c r="D218" s="7" t="s">
        <v>595</v>
      </c>
      <c r="E218" s="7" t="s">
        <v>467</v>
      </c>
      <c r="F218" s="2"/>
    </row>
    <row r="219" spans="1:6" ht="14" customHeight="1">
      <c r="A219" s="8">
        <v>7</v>
      </c>
      <c r="B219" s="7" t="str">
        <f>المدخلات!$F$6</f>
        <v>6:40–7:50 م</v>
      </c>
      <c r="C219" s="7">
        <v>8</v>
      </c>
      <c r="D219" s="7" t="s">
        <v>595</v>
      </c>
      <c r="E219" s="7" t="s">
        <v>409</v>
      </c>
      <c r="F219" s="2"/>
    </row>
    <row r="220" spans="1:6" ht="14" customHeight="1">
      <c r="A220" s="8">
        <v>7</v>
      </c>
      <c r="B220" s="7" t="str">
        <f>المدخلات!$F$4</f>
        <v>4:00–5:10 م</v>
      </c>
      <c r="C220" s="7">
        <v>10</v>
      </c>
      <c r="D220" s="7" t="s">
        <v>596</v>
      </c>
      <c r="E220" s="7" t="s">
        <v>534</v>
      </c>
      <c r="F220" s="2"/>
    </row>
    <row r="221" spans="1:6" ht="14" customHeight="1">
      <c r="A221" s="8">
        <v>7</v>
      </c>
      <c r="B221" s="7" t="str">
        <f>المدخلات!$F$4</f>
        <v>4:00–5:10 م</v>
      </c>
      <c r="C221" s="7">
        <v>11</v>
      </c>
      <c r="D221" s="7" t="s">
        <v>596</v>
      </c>
      <c r="E221" s="7" t="s">
        <v>803</v>
      </c>
      <c r="F221" s="2"/>
    </row>
    <row r="222" spans="1:6" ht="14" customHeight="1">
      <c r="A222" s="8">
        <v>7</v>
      </c>
      <c r="B222" s="7" t="str">
        <f>المدخلات!$F$4</f>
        <v>4:00–5:10 م</v>
      </c>
      <c r="C222" s="7">
        <v>12</v>
      </c>
      <c r="D222" s="7" t="s">
        <v>596</v>
      </c>
      <c r="E222" s="7" t="s">
        <v>646</v>
      </c>
      <c r="F222" s="2"/>
    </row>
    <row r="223" spans="1:6" ht="14" customHeight="1">
      <c r="A223" s="8">
        <v>7</v>
      </c>
      <c r="B223" s="7" t="str">
        <f>المدخلات!$F$5</f>
        <v>5:20–6:30 م</v>
      </c>
      <c r="C223" s="7">
        <v>10</v>
      </c>
      <c r="D223" s="7" t="s">
        <v>596</v>
      </c>
      <c r="E223" s="7" t="s">
        <v>1398</v>
      </c>
      <c r="F223" s="2"/>
    </row>
    <row r="224" spans="1:6" ht="14" customHeight="1">
      <c r="A224" s="8">
        <v>7</v>
      </c>
      <c r="B224" s="7" t="str">
        <f>المدخلات!$F$5</f>
        <v>5:20–6:30 م</v>
      </c>
      <c r="C224" s="7">
        <v>11</v>
      </c>
      <c r="D224" s="7" t="s">
        <v>596</v>
      </c>
      <c r="E224" s="7" t="s">
        <v>1421</v>
      </c>
      <c r="F224" s="2"/>
    </row>
    <row r="225" spans="1:6" ht="14" customHeight="1">
      <c r="A225" s="8">
        <v>7</v>
      </c>
      <c r="B225" s="7" t="str">
        <f>المدخلات!$F$5</f>
        <v>5:20–6:30 م</v>
      </c>
      <c r="C225" s="7">
        <v>12</v>
      </c>
      <c r="D225" s="7" t="s">
        <v>596</v>
      </c>
      <c r="E225" s="7" t="s">
        <v>560</v>
      </c>
      <c r="F225" s="2"/>
    </row>
    <row r="226" spans="1:6" ht="14" customHeight="1">
      <c r="A226" s="8">
        <v>7</v>
      </c>
      <c r="B226" s="7" t="str">
        <f>المدخلات!$F$6</f>
        <v>6:40–7:50 م</v>
      </c>
      <c r="C226" s="7">
        <v>10</v>
      </c>
      <c r="D226" s="7" t="s">
        <v>596</v>
      </c>
      <c r="E226" s="7" t="s">
        <v>540</v>
      </c>
      <c r="F226" s="2"/>
    </row>
    <row r="227" spans="1:6" ht="14" customHeight="1">
      <c r="A227" s="8">
        <v>7</v>
      </c>
      <c r="B227" s="7" t="str">
        <f>المدخلات!$F$6</f>
        <v>6:40–7:50 م</v>
      </c>
      <c r="C227" s="7">
        <v>11</v>
      </c>
      <c r="D227" s="7" t="s">
        <v>596</v>
      </c>
      <c r="E227" s="7" t="s">
        <v>1399</v>
      </c>
      <c r="F227" s="2"/>
    </row>
    <row r="228" spans="1:6" ht="14" customHeight="1">
      <c r="A228" s="8">
        <v>8</v>
      </c>
      <c r="B228" s="7" t="str">
        <f>المدخلات!$F$4</f>
        <v>4:00–5:10 م</v>
      </c>
      <c r="C228" s="7">
        <v>1</v>
      </c>
      <c r="D228" s="7" t="s">
        <v>593</v>
      </c>
      <c r="E228" s="7" t="s">
        <v>125</v>
      </c>
      <c r="F228" s="2"/>
    </row>
    <row r="229" spans="1:6" ht="14" customHeight="1">
      <c r="A229" s="8">
        <v>8</v>
      </c>
      <c r="B229" s="7" t="str">
        <f>المدخلات!$F$4</f>
        <v>4:00–5:10 م</v>
      </c>
      <c r="C229" s="7">
        <v>2</v>
      </c>
      <c r="D229" s="7" t="s">
        <v>593</v>
      </c>
      <c r="E229" s="7" t="s">
        <v>741</v>
      </c>
      <c r="F229" s="2"/>
    </row>
    <row r="230" spans="1:6" ht="14" customHeight="1">
      <c r="A230" s="8">
        <v>8</v>
      </c>
      <c r="B230" s="7" t="str">
        <f>المدخلات!$F$4</f>
        <v>4:00–5:10 م</v>
      </c>
      <c r="C230" s="7">
        <v>3</v>
      </c>
      <c r="D230" s="7" t="s">
        <v>593</v>
      </c>
      <c r="E230" s="7" t="s">
        <v>45</v>
      </c>
      <c r="F230" s="2"/>
    </row>
    <row r="231" spans="1:6" ht="14" customHeight="1">
      <c r="A231" s="8">
        <v>8</v>
      </c>
      <c r="B231" s="7" t="str">
        <f>المدخلات!$F$5</f>
        <v>5:20–6:30 م</v>
      </c>
      <c r="C231" s="7">
        <v>1</v>
      </c>
      <c r="D231" s="7" t="s">
        <v>593</v>
      </c>
      <c r="E231" s="7" t="s">
        <v>746</v>
      </c>
      <c r="F231" s="2"/>
    </row>
    <row r="232" spans="1:6" ht="14" customHeight="1">
      <c r="A232" s="8">
        <v>8</v>
      </c>
      <c r="B232" s="7" t="str">
        <f>المدخلات!$F$5</f>
        <v>5:20–6:30 م</v>
      </c>
      <c r="C232" s="7">
        <v>2</v>
      </c>
      <c r="D232" s="7" t="s">
        <v>593</v>
      </c>
      <c r="E232" s="7" t="s">
        <v>742</v>
      </c>
      <c r="F232" s="2"/>
    </row>
    <row r="233" spans="1:6" ht="14" customHeight="1">
      <c r="A233" s="8">
        <v>8</v>
      </c>
      <c r="B233" s="7" t="str">
        <f>المدخلات!$F$5</f>
        <v>5:20–6:30 م</v>
      </c>
      <c r="C233" s="7">
        <v>3</v>
      </c>
      <c r="D233" s="7" t="s">
        <v>593</v>
      </c>
      <c r="E233" s="7" t="s">
        <v>124</v>
      </c>
      <c r="F233" s="2"/>
    </row>
    <row r="234" spans="1:6" ht="14" customHeight="1">
      <c r="A234" s="8">
        <v>8</v>
      </c>
      <c r="B234" s="7" t="str">
        <f>المدخلات!$F$6</f>
        <v>6:40–7:50 م</v>
      </c>
      <c r="C234" s="7">
        <v>1</v>
      </c>
      <c r="D234" s="7" t="s">
        <v>593</v>
      </c>
      <c r="E234" s="7" t="s">
        <v>832</v>
      </c>
      <c r="F234" s="2"/>
    </row>
    <row r="235" spans="1:6" ht="14" customHeight="1">
      <c r="A235" s="8">
        <v>8</v>
      </c>
      <c r="B235" s="7" t="str">
        <f>المدخلات!$F$6</f>
        <v>6:40–7:50 م</v>
      </c>
      <c r="C235" s="7">
        <v>2</v>
      </c>
      <c r="D235" s="7" t="s">
        <v>593</v>
      </c>
      <c r="E235" s="7" t="s">
        <v>743</v>
      </c>
      <c r="F235" s="2"/>
    </row>
    <row r="236" spans="1:6" ht="14" customHeight="1">
      <c r="A236" s="8">
        <v>8</v>
      </c>
      <c r="B236" s="7" t="str">
        <f>المدخلات!$F$4</f>
        <v>4:00–5:10 م</v>
      </c>
      <c r="C236" s="7">
        <v>4</v>
      </c>
      <c r="D236" s="7" t="s">
        <v>594</v>
      </c>
      <c r="E236" s="7" t="s">
        <v>321</v>
      </c>
      <c r="F236" s="2"/>
    </row>
    <row r="237" spans="1:6" ht="14" customHeight="1">
      <c r="A237" s="8">
        <v>8</v>
      </c>
      <c r="B237" s="7" t="str">
        <f>المدخلات!$F$4</f>
        <v>4:00–5:10 م</v>
      </c>
      <c r="C237" s="7">
        <v>5</v>
      </c>
      <c r="D237" s="7" t="s">
        <v>594</v>
      </c>
      <c r="E237" s="7" t="s">
        <v>748</v>
      </c>
      <c r="F237" s="2"/>
    </row>
    <row r="238" spans="1:6" ht="14" customHeight="1">
      <c r="A238" s="8">
        <v>8</v>
      </c>
      <c r="B238" s="7" t="str">
        <f>المدخلات!$F$4</f>
        <v>4:00–5:10 م</v>
      </c>
      <c r="C238" s="7">
        <v>6</v>
      </c>
      <c r="D238" s="7" t="s">
        <v>594</v>
      </c>
      <c r="E238" s="7" t="s">
        <v>248</v>
      </c>
      <c r="F238" s="2"/>
    </row>
    <row r="239" spans="1:6" ht="14" customHeight="1">
      <c r="A239" s="8">
        <v>8</v>
      </c>
      <c r="B239" s="7" t="str">
        <f>المدخلات!$F$5</f>
        <v>5:20–6:30 م</v>
      </c>
      <c r="C239" s="7">
        <v>4</v>
      </c>
      <c r="D239" s="7" t="s">
        <v>594</v>
      </c>
      <c r="E239" s="7" t="s">
        <v>753</v>
      </c>
      <c r="F239" s="2"/>
    </row>
    <row r="240" spans="1:6" ht="14" customHeight="1">
      <c r="A240" s="8">
        <v>8</v>
      </c>
      <c r="B240" s="7" t="str">
        <f>المدخلات!$F$5</f>
        <v>5:20–6:30 م</v>
      </c>
      <c r="C240" s="7">
        <v>5</v>
      </c>
      <c r="D240" s="7" t="s">
        <v>594</v>
      </c>
      <c r="E240" s="7" t="s">
        <v>749</v>
      </c>
      <c r="F240" s="2"/>
    </row>
    <row r="241" spans="1:6" ht="14" customHeight="1">
      <c r="A241" s="8">
        <v>8</v>
      </c>
      <c r="B241" s="7" t="str">
        <f>المدخلات!$F$5</f>
        <v>5:20–6:30 م</v>
      </c>
      <c r="C241" s="7">
        <v>6</v>
      </c>
      <c r="D241" s="7" t="s">
        <v>594</v>
      </c>
      <c r="E241" s="7" t="s">
        <v>320</v>
      </c>
      <c r="F241" s="2"/>
    </row>
    <row r="242" spans="1:6" ht="14" customHeight="1">
      <c r="A242" s="8">
        <v>8</v>
      </c>
      <c r="B242" s="7" t="str">
        <f>المدخلات!$F$6</f>
        <v>6:40–7:50 م</v>
      </c>
      <c r="C242" s="7">
        <v>4</v>
      </c>
      <c r="D242" s="7" t="s">
        <v>594</v>
      </c>
      <c r="E242" s="7" t="s">
        <v>870</v>
      </c>
      <c r="F242" s="2"/>
    </row>
    <row r="243" spans="1:6" ht="14" customHeight="1">
      <c r="A243" s="8">
        <v>8</v>
      </c>
      <c r="B243" s="7" t="str">
        <f>المدخلات!$F$6</f>
        <v>6:40–7:50 م</v>
      </c>
      <c r="C243" s="7">
        <v>5</v>
      </c>
      <c r="D243" s="7" t="s">
        <v>594</v>
      </c>
      <c r="E243" s="7" t="s">
        <v>750</v>
      </c>
      <c r="F243" s="2"/>
    </row>
    <row r="244" spans="1:6" ht="14" customHeight="1">
      <c r="A244" s="8">
        <v>8</v>
      </c>
      <c r="B244" s="7" t="str">
        <f>المدخلات!$F$4</f>
        <v>4:00–5:10 م</v>
      </c>
      <c r="C244" s="7">
        <v>7</v>
      </c>
      <c r="D244" s="7" t="s">
        <v>595</v>
      </c>
      <c r="E244" s="7" t="s">
        <v>1433</v>
      </c>
      <c r="F244" s="2"/>
    </row>
    <row r="245" spans="1:6" ht="14" customHeight="1">
      <c r="A245" s="8">
        <v>8</v>
      </c>
      <c r="B245" s="7" t="str">
        <f>المدخلات!$F$4</f>
        <v>4:00–5:10 م</v>
      </c>
      <c r="C245" s="7">
        <v>8</v>
      </c>
      <c r="D245" s="7" t="s">
        <v>595</v>
      </c>
      <c r="E245" s="7" t="s">
        <v>754</v>
      </c>
      <c r="F245" s="2"/>
    </row>
    <row r="246" spans="1:6" ht="14" customHeight="1">
      <c r="A246" s="8">
        <v>8</v>
      </c>
      <c r="B246" s="7" t="str">
        <f>المدخلات!$F$4</f>
        <v>4:00–5:10 م</v>
      </c>
      <c r="C246" s="7">
        <v>9</v>
      </c>
      <c r="D246" s="7" t="s">
        <v>595</v>
      </c>
      <c r="E246" s="7" t="s">
        <v>424</v>
      </c>
      <c r="F246" s="2"/>
    </row>
    <row r="247" spans="1:6" ht="14" customHeight="1">
      <c r="A247" s="8">
        <v>8</v>
      </c>
      <c r="B247" s="7" t="str">
        <f>المدخلات!$F$5</f>
        <v>5:20–6:30 م</v>
      </c>
      <c r="C247" s="7">
        <v>7</v>
      </c>
      <c r="D247" s="7" t="s">
        <v>595</v>
      </c>
      <c r="E247" s="7" t="s">
        <v>757</v>
      </c>
      <c r="F247" s="2"/>
    </row>
    <row r="248" spans="1:6" ht="14" customHeight="1">
      <c r="A248" s="8">
        <v>8</v>
      </c>
      <c r="B248" s="7" t="str">
        <f>المدخلات!$F$5</f>
        <v>5:20–6:30 م</v>
      </c>
      <c r="C248" s="7">
        <v>8</v>
      </c>
      <c r="D248" s="7" t="s">
        <v>595</v>
      </c>
      <c r="E248" s="7" t="s">
        <v>755</v>
      </c>
      <c r="F248" s="2"/>
    </row>
    <row r="249" spans="1:6" ht="14" customHeight="1">
      <c r="A249" s="8">
        <v>8</v>
      </c>
      <c r="B249" s="7" t="str">
        <f>المدخلات!$F$5</f>
        <v>5:20–6:30 م</v>
      </c>
      <c r="C249" s="7">
        <v>9</v>
      </c>
      <c r="D249" s="7" t="s">
        <v>595</v>
      </c>
      <c r="E249" s="7" t="s">
        <v>1340</v>
      </c>
      <c r="F249" s="2"/>
    </row>
    <row r="250" spans="1:6" ht="14" customHeight="1">
      <c r="A250" s="8">
        <v>8</v>
      </c>
      <c r="B250" s="7" t="str">
        <f>المدخلات!$F$6</f>
        <v>6:40–7:50 م</v>
      </c>
      <c r="C250" s="7">
        <v>7</v>
      </c>
      <c r="D250" s="7" t="s">
        <v>595</v>
      </c>
      <c r="E250" s="7" t="s">
        <v>969</v>
      </c>
      <c r="F250" s="2"/>
    </row>
    <row r="251" spans="1:6" ht="14" customHeight="1">
      <c r="A251" s="8">
        <v>8</v>
      </c>
      <c r="B251" s="7" t="str">
        <f>المدخلات!$F$6</f>
        <v>6:40–7:50 م</v>
      </c>
      <c r="C251" s="7">
        <v>8</v>
      </c>
      <c r="D251" s="7" t="s">
        <v>595</v>
      </c>
      <c r="E251" s="7" t="s">
        <v>756</v>
      </c>
      <c r="F251" s="2"/>
    </row>
    <row r="252" spans="1:6" ht="14" customHeight="1">
      <c r="A252" s="8">
        <v>8</v>
      </c>
      <c r="B252" s="7" t="str">
        <f>المدخلات!$F$4</f>
        <v>4:00–5:10 م</v>
      </c>
      <c r="C252" s="7">
        <v>10</v>
      </c>
      <c r="D252" s="7" t="s">
        <v>596</v>
      </c>
      <c r="E252" s="7" t="s">
        <v>758</v>
      </c>
      <c r="F252" s="2"/>
    </row>
    <row r="253" spans="1:6" ht="14" customHeight="1">
      <c r="A253" s="8">
        <v>8</v>
      </c>
      <c r="B253" s="7" t="str">
        <f>المدخلات!$F$4</f>
        <v>4:00–5:10 م</v>
      </c>
      <c r="C253" s="7">
        <v>11</v>
      </c>
      <c r="D253" s="7" t="s">
        <v>596</v>
      </c>
      <c r="E253" s="7" t="s">
        <v>1422</v>
      </c>
      <c r="F253" s="2"/>
    </row>
    <row r="254" spans="1:6" ht="14" customHeight="1">
      <c r="A254" s="8">
        <v>8</v>
      </c>
      <c r="B254" s="7" t="str">
        <f>المدخلات!$F$4</f>
        <v>4:00–5:10 م</v>
      </c>
      <c r="C254" s="7">
        <v>12</v>
      </c>
      <c r="D254" s="7" t="s">
        <v>596</v>
      </c>
      <c r="E254" s="7" t="s">
        <v>763</v>
      </c>
      <c r="F254" s="2"/>
    </row>
    <row r="255" spans="1:6" ht="14" customHeight="1">
      <c r="A255" s="8">
        <v>8</v>
      </c>
      <c r="B255" s="7" t="str">
        <f>المدخلات!$F$5</f>
        <v>5:20–6:30 م</v>
      </c>
      <c r="C255" s="7">
        <v>10</v>
      </c>
      <c r="D255" s="7" t="s">
        <v>596</v>
      </c>
      <c r="E255" s="7" t="s">
        <v>1346</v>
      </c>
      <c r="F255" s="2"/>
    </row>
    <row r="256" spans="1:6" ht="14" customHeight="1">
      <c r="A256" s="8">
        <v>8</v>
      </c>
      <c r="B256" s="7" t="str">
        <f>المدخلات!$F$5</f>
        <v>5:20–6:30 م</v>
      </c>
      <c r="C256" s="7">
        <v>11</v>
      </c>
      <c r="D256" s="7" t="s">
        <v>596</v>
      </c>
      <c r="E256" s="7" t="s">
        <v>759</v>
      </c>
      <c r="F256" s="2"/>
    </row>
    <row r="257" spans="1:6" ht="14" customHeight="1">
      <c r="A257" s="8">
        <v>8</v>
      </c>
      <c r="B257" s="7" t="str">
        <f>المدخلات!$F$5</f>
        <v>5:20–6:30 م</v>
      </c>
      <c r="C257" s="7">
        <v>12</v>
      </c>
      <c r="D257" s="7" t="s">
        <v>596</v>
      </c>
      <c r="E257" s="7" t="s">
        <v>762</v>
      </c>
      <c r="F257" s="2"/>
    </row>
    <row r="258" spans="1:6" ht="14" customHeight="1">
      <c r="A258" s="8">
        <v>8</v>
      </c>
      <c r="B258" s="7" t="str">
        <f>المدخلات!$F$6</f>
        <v>6:40–7:50 م</v>
      </c>
      <c r="C258" s="7">
        <v>10</v>
      </c>
      <c r="D258" s="7" t="s">
        <v>596</v>
      </c>
      <c r="E258" s="7" t="s">
        <v>971</v>
      </c>
      <c r="F258" s="2"/>
    </row>
    <row r="259" spans="1:6" ht="14" customHeight="1">
      <c r="A259" s="8">
        <v>8</v>
      </c>
      <c r="B259" s="7" t="str">
        <f>المدخلات!$F$6</f>
        <v>6:40–7:50 م</v>
      </c>
      <c r="C259" s="7">
        <v>11</v>
      </c>
      <c r="D259" s="7" t="s">
        <v>596</v>
      </c>
      <c r="E259" s="7" t="s">
        <v>1397</v>
      </c>
      <c r="F259" s="2"/>
    </row>
    <row r="260" spans="1:6" ht="14" customHeight="1">
      <c r="A260" s="8">
        <v>9</v>
      </c>
      <c r="B260" s="7" t="str">
        <f>المدخلات!$F$4</f>
        <v>4:00–5:10 م</v>
      </c>
      <c r="C260" s="7">
        <v>1</v>
      </c>
      <c r="D260" s="7" t="s">
        <v>593</v>
      </c>
      <c r="E260" s="7" t="s">
        <v>7</v>
      </c>
      <c r="F260" s="2"/>
    </row>
    <row r="261" spans="1:6" ht="14" customHeight="1">
      <c r="A261" s="8">
        <v>9</v>
      </c>
      <c r="B261" s="7" t="str">
        <f>المدخلات!$F$4</f>
        <v>4:00–5:10 م</v>
      </c>
      <c r="C261" s="7">
        <v>2</v>
      </c>
      <c r="D261" s="7" t="s">
        <v>593</v>
      </c>
      <c r="E261" s="7" t="s">
        <v>90</v>
      </c>
      <c r="F261" s="2"/>
    </row>
    <row r="262" spans="1:6" ht="14" customHeight="1">
      <c r="A262" s="8">
        <v>9</v>
      </c>
      <c r="B262" s="7" t="str">
        <f>المدخلات!$F$4</f>
        <v>4:00–5:10 م</v>
      </c>
      <c r="C262" s="7">
        <v>3</v>
      </c>
      <c r="D262" s="7" t="s">
        <v>593</v>
      </c>
      <c r="E262" s="7" t="s">
        <v>865</v>
      </c>
      <c r="F262" s="2"/>
    </row>
    <row r="263" spans="1:6" ht="14" customHeight="1">
      <c r="A263" s="8">
        <v>9</v>
      </c>
      <c r="B263" s="7" t="str">
        <f>المدخلات!$F$5</f>
        <v>5:20–6:30 م</v>
      </c>
      <c r="C263" s="7">
        <v>1</v>
      </c>
      <c r="D263" s="7" t="s">
        <v>593</v>
      </c>
      <c r="E263" s="7" t="s">
        <v>698</v>
      </c>
      <c r="F263" s="2"/>
    </row>
    <row r="264" spans="1:6" ht="14" customHeight="1">
      <c r="A264" s="8">
        <v>9</v>
      </c>
      <c r="B264" s="7" t="str">
        <f>المدخلات!$F$5</f>
        <v>5:20–6:30 م</v>
      </c>
      <c r="C264" s="7">
        <v>2</v>
      </c>
      <c r="D264" s="7" t="s">
        <v>593</v>
      </c>
      <c r="E264" s="7" t="s">
        <v>696</v>
      </c>
      <c r="F264" s="2"/>
    </row>
    <row r="265" spans="1:6" ht="14" customHeight="1">
      <c r="A265" s="8">
        <v>9</v>
      </c>
      <c r="B265" s="7" t="str">
        <f>المدخلات!$F$5</f>
        <v>5:20–6:30 م</v>
      </c>
      <c r="C265" s="7">
        <v>3</v>
      </c>
      <c r="D265" s="7" t="s">
        <v>593</v>
      </c>
      <c r="E265" s="7" t="s">
        <v>116</v>
      </c>
      <c r="F265" s="2"/>
    </row>
    <row r="266" spans="1:6" ht="14" customHeight="1">
      <c r="A266" s="8">
        <v>9</v>
      </c>
      <c r="B266" s="7" t="str">
        <f>المدخلات!$F$6</f>
        <v>6:40–7:50 م</v>
      </c>
      <c r="C266" s="7">
        <v>1</v>
      </c>
      <c r="D266" s="7" t="s">
        <v>593</v>
      </c>
      <c r="E266" s="7" t="s">
        <v>97</v>
      </c>
      <c r="F266" s="2"/>
    </row>
    <row r="267" spans="1:6" ht="14" customHeight="1">
      <c r="A267" s="8">
        <v>9</v>
      </c>
      <c r="B267" s="7" t="str">
        <f>المدخلات!$F$6</f>
        <v>6:40–7:50 م</v>
      </c>
      <c r="C267" s="7">
        <v>2</v>
      </c>
      <c r="D267" s="7" t="s">
        <v>593</v>
      </c>
      <c r="E267" s="7" t="s">
        <v>19</v>
      </c>
      <c r="F267" s="2"/>
    </row>
    <row r="268" spans="1:6" ht="14" customHeight="1">
      <c r="A268" s="8">
        <v>9</v>
      </c>
      <c r="B268" s="7" t="str">
        <f>المدخلات!$F$4</f>
        <v>4:00–5:10 م</v>
      </c>
      <c r="C268" s="7">
        <v>4</v>
      </c>
      <c r="D268" s="7" t="s">
        <v>594</v>
      </c>
      <c r="E268" s="7" t="s">
        <v>224</v>
      </c>
      <c r="F268" s="2"/>
    </row>
    <row r="269" spans="1:6" ht="14" customHeight="1">
      <c r="A269" s="8">
        <v>9</v>
      </c>
      <c r="B269" s="7" t="str">
        <f>المدخلات!$F$4</f>
        <v>4:00–5:10 م</v>
      </c>
      <c r="C269" s="7">
        <v>5</v>
      </c>
      <c r="D269" s="7" t="s">
        <v>594</v>
      </c>
      <c r="E269" s="7" t="s">
        <v>271</v>
      </c>
      <c r="F269" s="2"/>
    </row>
    <row r="270" spans="1:6" ht="14" customHeight="1">
      <c r="A270" s="8">
        <v>9</v>
      </c>
      <c r="B270" s="7" t="str">
        <f>المدخلات!$F$4</f>
        <v>4:00–5:10 م</v>
      </c>
      <c r="C270" s="7">
        <v>6</v>
      </c>
      <c r="D270" s="7" t="s">
        <v>594</v>
      </c>
      <c r="E270" s="7" t="s">
        <v>1172</v>
      </c>
      <c r="F270" s="2"/>
    </row>
    <row r="271" spans="1:6" ht="14" customHeight="1">
      <c r="A271" s="8">
        <v>9</v>
      </c>
      <c r="B271" s="7" t="str">
        <f>المدخلات!$F$5</f>
        <v>5:20–6:30 م</v>
      </c>
      <c r="C271" s="7">
        <v>4</v>
      </c>
      <c r="D271" s="7" t="s">
        <v>594</v>
      </c>
      <c r="E271" s="7" t="s">
        <v>700</v>
      </c>
      <c r="F271" s="2"/>
    </row>
    <row r="272" spans="1:6" ht="14" customHeight="1">
      <c r="A272" s="8">
        <v>9</v>
      </c>
      <c r="B272" s="7" t="str">
        <f>المدخلات!$F$5</f>
        <v>5:20–6:30 م</v>
      </c>
      <c r="C272" s="7">
        <v>5</v>
      </c>
      <c r="D272" s="7" t="s">
        <v>594</v>
      </c>
      <c r="E272" s="7" t="s">
        <v>630</v>
      </c>
      <c r="F272" s="2"/>
    </row>
    <row r="273" spans="1:6" ht="14" customHeight="1">
      <c r="A273" s="8">
        <v>9</v>
      </c>
      <c r="B273" s="7" t="str">
        <f>المدخلات!$F$5</f>
        <v>5:20–6:30 م</v>
      </c>
      <c r="C273" s="7">
        <v>6</v>
      </c>
      <c r="D273" s="7" t="s">
        <v>594</v>
      </c>
      <c r="E273" s="7" t="s">
        <v>300</v>
      </c>
      <c r="F273" s="2"/>
    </row>
    <row r="274" spans="1:6" ht="14" customHeight="1">
      <c r="A274" s="8">
        <v>9</v>
      </c>
      <c r="B274" s="7" t="str">
        <f>المدخلات!$F$6</f>
        <v>6:40–7:50 م</v>
      </c>
      <c r="C274" s="7">
        <v>4</v>
      </c>
      <c r="D274" s="7" t="s">
        <v>594</v>
      </c>
      <c r="E274" s="7" t="s">
        <v>279</v>
      </c>
      <c r="F274" s="2"/>
    </row>
    <row r="275" spans="1:6" ht="14" customHeight="1">
      <c r="A275" s="8">
        <v>9</v>
      </c>
      <c r="B275" s="7" t="str">
        <f>المدخلات!$F$6</f>
        <v>6:40–7:50 م</v>
      </c>
      <c r="C275" s="7">
        <v>5</v>
      </c>
      <c r="D275" s="7" t="s">
        <v>594</v>
      </c>
      <c r="E275" s="7" t="s">
        <v>210</v>
      </c>
      <c r="F275" s="2"/>
    </row>
    <row r="276" spans="1:6" ht="14" customHeight="1">
      <c r="A276" s="8">
        <v>9</v>
      </c>
      <c r="B276" s="7" t="str">
        <f>المدخلات!$F$4</f>
        <v>4:00–5:10 م</v>
      </c>
      <c r="C276" s="7">
        <v>7</v>
      </c>
      <c r="D276" s="7" t="s">
        <v>595</v>
      </c>
      <c r="E276" s="7" t="s">
        <v>392</v>
      </c>
      <c r="F276" s="2"/>
    </row>
    <row r="277" spans="1:6" ht="14" customHeight="1">
      <c r="A277" s="8">
        <v>9</v>
      </c>
      <c r="B277" s="7" t="str">
        <f>المدخلات!$F$4</f>
        <v>4:00–5:10 م</v>
      </c>
      <c r="C277" s="7">
        <v>8</v>
      </c>
      <c r="D277" s="7" t="s">
        <v>595</v>
      </c>
      <c r="E277" s="7" t="s">
        <v>443</v>
      </c>
      <c r="F277" s="2"/>
    </row>
    <row r="278" spans="1:6" ht="14" customHeight="1">
      <c r="A278" s="8">
        <v>9</v>
      </c>
      <c r="B278" s="7" t="str">
        <f>المدخلات!$F$4</f>
        <v>4:00–5:10 م</v>
      </c>
      <c r="C278" s="7">
        <v>9</v>
      </c>
      <c r="D278" s="7" t="s">
        <v>595</v>
      </c>
      <c r="E278" s="7" t="s">
        <v>1374</v>
      </c>
      <c r="F278" s="2"/>
    </row>
    <row r="279" spans="1:6" ht="14" customHeight="1">
      <c r="A279" s="8">
        <v>9</v>
      </c>
      <c r="B279" s="7" t="str">
        <f>المدخلات!$F$5</f>
        <v>5:20–6:30 م</v>
      </c>
      <c r="C279" s="7">
        <v>7</v>
      </c>
      <c r="D279" s="7" t="s">
        <v>595</v>
      </c>
      <c r="E279" s="7" t="s">
        <v>702</v>
      </c>
      <c r="F279" s="2"/>
    </row>
    <row r="280" spans="1:6" ht="14" customHeight="1">
      <c r="A280" s="8">
        <v>9</v>
      </c>
      <c r="B280" s="7" t="str">
        <f>المدخلات!$F$5</f>
        <v>5:20–6:30 م</v>
      </c>
      <c r="C280" s="7">
        <v>8</v>
      </c>
      <c r="D280" s="7" t="s">
        <v>595</v>
      </c>
      <c r="E280" s="7" t="s">
        <v>701</v>
      </c>
      <c r="F280" s="2"/>
    </row>
    <row r="281" spans="1:6" ht="14" customHeight="1">
      <c r="A281" s="8">
        <v>9</v>
      </c>
      <c r="B281" s="7" t="str">
        <f>المدخلات!$F$5</f>
        <v>5:20–6:30 م</v>
      </c>
      <c r="C281" s="7">
        <v>9</v>
      </c>
      <c r="D281" s="7" t="s">
        <v>595</v>
      </c>
      <c r="E281" s="7" t="s">
        <v>465</v>
      </c>
      <c r="F281" s="2"/>
    </row>
    <row r="282" spans="1:6" ht="14" customHeight="1">
      <c r="A282" s="8">
        <v>9</v>
      </c>
      <c r="B282" s="7" t="str">
        <f>المدخلات!$F$6</f>
        <v>6:40–7:50 م</v>
      </c>
      <c r="C282" s="7">
        <v>7</v>
      </c>
      <c r="D282" s="7" t="s">
        <v>595</v>
      </c>
      <c r="E282" s="7" t="s">
        <v>449</v>
      </c>
      <c r="F282" s="2"/>
    </row>
    <row r="283" spans="1:6" ht="14" customHeight="1">
      <c r="A283" s="8">
        <v>9</v>
      </c>
      <c r="B283" s="7" t="str">
        <f>المدخلات!$F$6</f>
        <v>6:40–7:50 م</v>
      </c>
      <c r="C283" s="7">
        <v>8</v>
      </c>
      <c r="D283" s="7" t="s">
        <v>595</v>
      </c>
      <c r="E283" s="7" t="s">
        <v>377</v>
      </c>
      <c r="F283" s="2"/>
    </row>
    <row r="284" spans="1:6" ht="14" customHeight="1">
      <c r="A284" s="8">
        <v>9</v>
      </c>
      <c r="B284" s="7" t="str">
        <f>المدخلات!$F$4</f>
        <v>4:00–5:10 م</v>
      </c>
      <c r="C284" s="7">
        <v>10</v>
      </c>
      <c r="D284" s="7" t="s">
        <v>596</v>
      </c>
      <c r="E284" s="7" t="s">
        <v>1376</v>
      </c>
      <c r="F284" s="2"/>
    </row>
    <row r="285" spans="1:6" ht="14" customHeight="1">
      <c r="A285" s="8">
        <v>9</v>
      </c>
      <c r="B285" s="7" t="str">
        <f>المدخلات!$F$4</f>
        <v>4:00–5:10 م</v>
      </c>
      <c r="C285" s="7">
        <v>11</v>
      </c>
      <c r="D285" s="7" t="s">
        <v>596</v>
      </c>
      <c r="E285" s="7" t="s">
        <v>705</v>
      </c>
      <c r="F285" s="2"/>
    </row>
    <row r="286" spans="1:6" ht="14" customHeight="1">
      <c r="A286" s="8">
        <v>9</v>
      </c>
      <c r="B286" s="7" t="str">
        <f>المدخلات!$F$4</f>
        <v>4:00–5:10 م</v>
      </c>
      <c r="C286" s="7">
        <v>12</v>
      </c>
      <c r="D286" s="7" t="s">
        <v>596</v>
      </c>
      <c r="E286" s="7" t="s">
        <v>1333</v>
      </c>
      <c r="F286" s="2"/>
    </row>
    <row r="287" spans="1:6" ht="14" customHeight="1">
      <c r="A287" s="8">
        <v>9</v>
      </c>
      <c r="B287" s="7" t="str">
        <f>المدخلات!$F$5</f>
        <v>5:20–6:30 م</v>
      </c>
      <c r="C287" s="7">
        <v>10</v>
      </c>
      <c r="D287" s="7" t="s">
        <v>596</v>
      </c>
      <c r="E287" s="7" t="s">
        <v>1335</v>
      </c>
      <c r="F287" s="2"/>
    </row>
    <row r="288" spans="1:6" ht="14" customHeight="1">
      <c r="A288" s="8">
        <v>9</v>
      </c>
      <c r="B288" s="7" t="str">
        <f>المدخلات!$F$5</f>
        <v>5:20–6:30 م</v>
      </c>
      <c r="C288" s="7">
        <v>11</v>
      </c>
      <c r="D288" s="7" t="s">
        <v>596</v>
      </c>
      <c r="E288" s="7" t="s">
        <v>518</v>
      </c>
      <c r="F288" s="2"/>
    </row>
    <row r="289" spans="1:6" ht="14" customHeight="1">
      <c r="A289" s="8">
        <v>9</v>
      </c>
      <c r="B289" s="7" t="str">
        <f>المدخلات!$F$5</f>
        <v>5:20–6:30 م</v>
      </c>
      <c r="C289" s="7">
        <v>12</v>
      </c>
      <c r="D289" s="7" t="s">
        <v>596</v>
      </c>
      <c r="E289" s="7" t="s">
        <v>1434</v>
      </c>
      <c r="F289" s="2"/>
    </row>
    <row r="290" spans="1:6" ht="14" customHeight="1">
      <c r="A290" s="8">
        <v>9</v>
      </c>
      <c r="B290" s="7" t="str">
        <f>المدخلات!$F$6</f>
        <v>6:40–7:50 م</v>
      </c>
      <c r="C290" s="7">
        <v>10</v>
      </c>
      <c r="D290" s="7" t="s">
        <v>596</v>
      </c>
      <c r="E290" s="7" t="s">
        <v>704</v>
      </c>
      <c r="F290" s="2"/>
    </row>
    <row r="291" spans="1:6" ht="14" customHeight="1">
      <c r="A291" s="8">
        <v>9</v>
      </c>
      <c r="B291" s="7" t="str">
        <f>المدخلات!$F$6</f>
        <v>6:40–7:50 م</v>
      </c>
      <c r="C291" s="7">
        <v>11</v>
      </c>
      <c r="D291" s="7" t="s">
        <v>596</v>
      </c>
      <c r="E291" s="7" t="s">
        <v>1332</v>
      </c>
      <c r="F291" s="2"/>
    </row>
    <row r="292" spans="1:6" ht="14" customHeight="1">
      <c r="A292" s="8">
        <v>10</v>
      </c>
      <c r="B292" s="7" t="str">
        <f>المدخلات!$F$4</f>
        <v>4:00–5:10 م</v>
      </c>
      <c r="C292" s="7">
        <v>1</v>
      </c>
      <c r="D292" s="7" t="s">
        <v>593</v>
      </c>
      <c r="E292" s="7" t="s">
        <v>624</v>
      </c>
      <c r="F292" s="2"/>
    </row>
    <row r="293" spans="1:6" ht="14" customHeight="1">
      <c r="A293" s="8">
        <v>10</v>
      </c>
      <c r="B293" s="7" t="str">
        <f>المدخلات!$F$4</f>
        <v>4:00–5:10 م</v>
      </c>
      <c r="C293" s="7">
        <v>2</v>
      </c>
      <c r="D293" s="7" t="s">
        <v>593</v>
      </c>
      <c r="E293" s="7" t="s">
        <v>114</v>
      </c>
      <c r="F293" s="2"/>
    </row>
    <row r="294" spans="1:6" ht="14" customHeight="1">
      <c r="A294" s="8">
        <v>10</v>
      </c>
      <c r="B294" s="7" t="str">
        <f>المدخلات!$F$4</f>
        <v>4:00–5:10 م</v>
      </c>
      <c r="C294" s="7">
        <v>3</v>
      </c>
      <c r="D294" s="7" t="s">
        <v>593</v>
      </c>
      <c r="E294" s="7" t="s">
        <v>688</v>
      </c>
      <c r="F294" s="2"/>
    </row>
    <row r="295" spans="1:6" ht="14" customHeight="1">
      <c r="A295" s="8">
        <v>10</v>
      </c>
      <c r="B295" s="7" t="str">
        <f>المدخلات!$F$5</f>
        <v>5:20–6:30 م</v>
      </c>
      <c r="C295" s="7">
        <v>1</v>
      </c>
      <c r="D295" s="7" t="s">
        <v>593</v>
      </c>
      <c r="E295" s="7" t="s">
        <v>863</v>
      </c>
      <c r="F295" s="2"/>
    </row>
    <row r="296" spans="1:6" ht="14" customHeight="1">
      <c r="A296" s="8">
        <v>10</v>
      </c>
      <c r="B296" s="7" t="str">
        <f>المدخلات!$F$5</f>
        <v>5:20–6:30 م</v>
      </c>
      <c r="C296" s="7">
        <v>2</v>
      </c>
      <c r="D296" s="7" t="s">
        <v>593</v>
      </c>
      <c r="E296" s="7" t="s">
        <v>10</v>
      </c>
      <c r="F296" s="2"/>
    </row>
    <row r="297" spans="1:6" ht="14" customHeight="1">
      <c r="A297" s="8">
        <v>10</v>
      </c>
      <c r="B297" s="7" t="str">
        <f>المدخلات!$F$5</f>
        <v>5:20–6:30 م</v>
      </c>
      <c r="C297" s="7">
        <v>3</v>
      </c>
      <c r="D297" s="7" t="s">
        <v>593</v>
      </c>
      <c r="E297" s="7" t="s">
        <v>1036</v>
      </c>
      <c r="F297" s="2"/>
    </row>
    <row r="298" spans="1:6" ht="14" customHeight="1">
      <c r="A298" s="8">
        <v>10</v>
      </c>
      <c r="B298" s="7" t="str">
        <f>المدخلات!$F$6</f>
        <v>6:40–7:50 م</v>
      </c>
      <c r="C298" s="7">
        <v>1</v>
      </c>
      <c r="D298" s="7" t="s">
        <v>593</v>
      </c>
      <c r="E298" s="7" t="s">
        <v>1045</v>
      </c>
      <c r="F298" s="2"/>
    </row>
    <row r="299" spans="1:6" ht="14" customHeight="1">
      <c r="A299" s="8">
        <v>10</v>
      </c>
      <c r="B299" s="7" t="str">
        <f>المدخلات!$F$6</f>
        <v>6:40–7:50 م</v>
      </c>
      <c r="C299" s="7">
        <v>2</v>
      </c>
      <c r="D299" s="7" t="s">
        <v>593</v>
      </c>
      <c r="E299" s="7" t="s">
        <v>625</v>
      </c>
      <c r="F299" s="2"/>
    </row>
    <row r="300" spans="1:6" ht="14" customHeight="1">
      <c r="A300" s="8">
        <v>10</v>
      </c>
      <c r="B300" s="7" t="str">
        <f>المدخلات!$F$4</f>
        <v>4:00–5:10 م</v>
      </c>
      <c r="C300" s="7">
        <v>4</v>
      </c>
      <c r="D300" s="7" t="s">
        <v>594</v>
      </c>
      <c r="E300" s="7" t="s">
        <v>613</v>
      </c>
      <c r="F300" s="2"/>
    </row>
    <row r="301" spans="1:6" ht="14" customHeight="1">
      <c r="A301" s="8">
        <v>10</v>
      </c>
      <c r="B301" s="7" t="str">
        <f>المدخلات!$F$4</f>
        <v>4:00–5:10 م</v>
      </c>
      <c r="C301" s="7">
        <v>5</v>
      </c>
      <c r="D301" s="7" t="s">
        <v>594</v>
      </c>
      <c r="E301" s="7" t="s">
        <v>299</v>
      </c>
      <c r="F301" s="2"/>
    </row>
    <row r="302" spans="1:6" ht="14" customHeight="1">
      <c r="A302" s="8">
        <v>10</v>
      </c>
      <c r="B302" s="7" t="str">
        <f>المدخلات!$F$4</f>
        <v>4:00–5:10 م</v>
      </c>
      <c r="C302" s="7">
        <v>6</v>
      </c>
      <c r="D302" s="7" t="s">
        <v>594</v>
      </c>
      <c r="E302" s="7" t="s">
        <v>690</v>
      </c>
      <c r="F302" s="2"/>
    </row>
    <row r="303" spans="1:6" ht="14" customHeight="1">
      <c r="A303" s="8">
        <v>10</v>
      </c>
      <c r="B303" s="7" t="str">
        <f>المدخلات!$F$5</f>
        <v>5:20–6:30 م</v>
      </c>
      <c r="C303" s="7">
        <v>4</v>
      </c>
      <c r="D303" s="7" t="s">
        <v>594</v>
      </c>
      <c r="E303" s="7" t="s">
        <v>963</v>
      </c>
      <c r="F303" s="2"/>
    </row>
    <row r="304" spans="1:6" ht="14" customHeight="1">
      <c r="A304" s="8">
        <v>10</v>
      </c>
      <c r="B304" s="7" t="str">
        <f>المدخلات!$F$5</f>
        <v>5:20–6:30 م</v>
      </c>
      <c r="C304" s="7">
        <v>5</v>
      </c>
      <c r="D304" s="7" t="s">
        <v>594</v>
      </c>
      <c r="E304" s="7" t="s">
        <v>223</v>
      </c>
      <c r="F304" s="2"/>
    </row>
    <row r="305" spans="1:6" ht="14" customHeight="1">
      <c r="A305" s="8">
        <v>10</v>
      </c>
      <c r="B305" s="7" t="str">
        <f>المدخلات!$F$5</f>
        <v>5:20–6:30 م</v>
      </c>
      <c r="C305" s="7">
        <v>6</v>
      </c>
      <c r="D305" s="7" t="s">
        <v>594</v>
      </c>
      <c r="E305" s="7" t="s">
        <v>1167</v>
      </c>
      <c r="F305" s="2"/>
    </row>
    <row r="306" spans="1:6" ht="14" customHeight="1">
      <c r="A306" s="8">
        <v>10</v>
      </c>
      <c r="B306" s="7" t="str">
        <f>المدخلات!$F$6</f>
        <v>6:40–7:50 م</v>
      </c>
      <c r="C306" s="7">
        <v>4</v>
      </c>
      <c r="D306" s="7" t="s">
        <v>594</v>
      </c>
      <c r="E306" s="7" t="s">
        <v>1169</v>
      </c>
      <c r="F306" s="2"/>
    </row>
    <row r="307" spans="1:6" ht="14" customHeight="1">
      <c r="A307" s="8">
        <v>10</v>
      </c>
      <c r="B307" s="7" t="str">
        <f>المدخلات!$F$6</f>
        <v>6:40–7:50 م</v>
      </c>
      <c r="C307" s="7">
        <v>5</v>
      </c>
      <c r="D307" s="7" t="s">
        <v>594</v>
      </c>
      <c r="E307" s="7" t="s">
        <v>614</v>
      </c>
      <c r="F307" s="2"/>
    </row>
    <row r="308" spans="1:6" ht="14" customHeight="1">
      <c r="A308" s="8">
        <v>10</v>
      </c>
      <c r="B308" s="7" t="str">
        <f>المدخلات!$F$4</f>
        <v>4:00–5:10 م</v>
      </c>
      <c r="C308" s="7">
        <v>7</v>
      </c>
      <c r="D308" s="7" t="s">
        <v>595</v>
      </c>
      <c r="E308" s="7" t="s">
        <v>604</v>
      </c>
      <c r="F308" s="2"/>
    </row>
    <row r="309" spans="1:6" ht="14" customHeight="1">
      <c r="A309" s="8">
        <v>10</v>
      </c>
      <c r="B309" s="7" t="str">
        <f>المدخلات!$F$4</f>
        <v>4:00–5:10 م</v>
      </c>
      <c r="C309" s="7">
        <v>8</v>
      </c>
      <c r="D309" s="7" t="s">
        <v>595</v>
      </c>
      <c r="E309" s="7" t="s">
        <v>464</v>
      </c>
      <c r="F309" s="2"/>
    </row>
    <row r="310" spans="1:6" ht="14" customHeight="1">
      <c r="A310" s="8">
        <v>10</v>
      </c>
      <c r="B310" s="7" t="str">
        <f>المدخلات!$F$4</f>
        <v>4:00–5:10 م</v>
      </c>
      <c r="C310" s="7">
        <v>9</v>
      </c>
      <c r="D310" s="7" t="s">
        <v>595</v>
      </c>
      <c r="E310" s="7" t="s">
        <v>693</v>
      </c>
      <c r="F310" s="2"/>
    </row>
    <row r="311" spans="1:6" ht="14" customHeight="1">
      <c r="A311" s="8">
        <v>10</v>
      </c>
      <c r="B311" s="7" t="str">
        <f>المدخلات!$F$5</f>
        <v>5:20–6:30 م</v>
      </c>
      <c r="C311" s="7">
        <v>7</v>
      </c>
      <c r="D311" s="7" t="s">
        <v>595</v>
      </c>
      <c r="E311" s="7" t="s">
        <v>958</v>
      </c>
      <c r="F311" s="2"/>
    </row>
    <row r="312" spans="1:6" ht="14" customHeight="1">
      <c r="A312" s="8">
        <v>10</v>
      </c>
      <c r="B312" s="7" t="str">
        <f>المدخلات!$F$5</f>
        <v>5:20–6:30 م</v>
      </c>
      <c r="C312" s="7">
        <v>8</v>
      </c>
      <c r="D312" s="7" t="s">
        <v>595</v>
      </c>
      <c r="E312" s="7" t="s">
        <v>391</v>
      </c>
      <c r="F312" s="2"/>
    </row>
    <row r="313" spans="1:6" ht="14" customHeight="1">
      <c r="A313" s="8">
        <v>10</v>
      </c>
      <c r="B313" s="7" t="str">
        <f>المدخلات!$F$5</f>
        <v>5:20–6:30 م</v>
      </c>
      <c r="C313" s="7">
        <v>9</v>
      </c>
      <c r="D313" s="7" t="s">
        <v>595</v>
      </c>
      <c r="E313" s="7" t="s">
        <v>1213</v>
      </c>
      <c r="F313" s="2"/>
    </row>
    <row r="314" spans="1:6" ht="14" customHeight="1">
      <c r="A314" s="8">
        <v>10</v>
      </c>
      <c r="B314" s="7" t="str">
        <f>المدخلات!$F$6</f>
        <v>6:40–7:50 م</v>
      </c>
      <c r="C314" s="7">
        <v>7</v>
      </c>
      <c r="D314" s="7" t="s">
        <v>595</v>
      </c>
      <c r="E314" s="7" t="s">
        <v>1394</v>
      </c>
      <c r="F314" s="2"/>
    </row>
    <row r="315" spans="1:6" ht="14" customHeight="1">
      <c r="A315" s="8">
        <v>10</v>
      </c>
      <c r="B315" s="7" t="str">
        <f>المدخلات!$F$6</f>
        <v>6:40–7:50 م</v>
      </c>
      <c r="C315" s="7">
        <v>8</v>
      </c>
      <c r="D315" s="7" t="s">
        <v>595</v>
      </c>
      <c r="E315" s="7" t="s">
        <v>691</v>
      </c>
      <c r="F315" s="2"/>
    </row>
    <row r="316" spans="1:6" ht="14" customHeight="1">
      <c r="A316" s="8">
        <v>10</v>
      </c>
      <c r="B316" s="7" t="str">
        <f>المدخلات!$F$4</f>
        <v>4:00–5:10 م</v>
      </c>
      <c r="C316" s="7">
        <v>10</v>
      </c>
      <c r="D316" s="7" t="s">
        <v>596</v>
      </c>
      <c r="E316" s="7" t="s">
        <v>1423</v>
      </c>
      <c r="F316" s="2"/>
    </row>
    <row r="317" spans="1:6" ht="14" customHeight="1">
      <c r="A317" s="8">
        <v>10</v>
      </c>
      <c r="B317" s="7" t="str">
        <f>المدخلات!$F$4</f>
        <v>4:00–5:10 م</v>
      </c>
      <c r="C317" s="7">
        <v>11</v>
      </c>
      <c r="D317" s="7" t="s">
        <v>596</v>
      </c>
      <c r="E317" s="7" t="s">
        <v>619</v>
      </c>
      <c r="F317" s="2"/>
    </row>
    <row r="318" spans="1:6" ht="14" customHeight="1">
      <c r="A318" s="8">
        <v>10</v>
      </c>
      <c r="B318" s="7" t="str">
        <f>المدخلات!$F$4</f>
        <v>4:00–5:10 م</v>
      </c>
      <c r="C318" s="7">
        <v>12</v>
      </c>
      <c r="D318" s="7" t="s">
        <v>596</v>
      </c>
      <c r="E318" s="7" t="s">
        <v>694</v>
      </c>
      <c r="F318" s="2"/>
    </row>
    <row r="319" spans="1:6" ht="14" customHeight="1">
      <c r="A319" s="8">
        <v>10</v>
      </c>
      <c r="B319" s="7" t="str">
        <f>المدخلات!$F$5</f>
        <v>5:20–6:30 م</v>
      </c>
      <c r="C319" s="7">
        <v>10</v>
      </c>
      <c r="D319" s="7" t="s">
        <v>596</v>
      </c>
      <c r="E319" s="7" t="s">
        <v>1435</v>
      </c>
      <c r="F319" s="2"/>
    </row>
    <row r="320" spans="1:6" ht="14" customHeight="1">
      <c r="A320" s="8">
        <v>10</v>
      </c>
      <c r="B320" s="7" t="str">
        <f>المدخلات!$F$5</f>
        <v>5:20–6:30 م</v>
      </c>
      <c r="C320" s="7">
        <v>11</v>
      </c>
      <c r="D320" s="7" t="s">
        <v>596</v>
      </c>
      <c r="E320" s="7" t="s">
        <v>1395</v>
      </c>
      <c r="F320" s="2"/>
    </row>
    <row r="321" spans="1:6" ht="14" customHeight="1">
      <c r="A321" s="8">
        <v>10</v>
      </c>
      <c r="B321" s="7" t="str">
        <f>المدخلات!$F$5</f>
        <v>5:20–6:30 م</v>
      </c>
      <c r="C321" s="7">
        <v>12</v>
      </c>
      <c r="D321" s="7" t="s">
        <v>596</v>
      </c>
      <c r="E321" s="7" t="s">
        <v>960</v>
      </c>
      <c r="F321" s="2"/>
    </row>
    <row r="322" spans="1:6" ht="14" customHeight="1">
      <c r="A322" s="8">
        <v>10</v>
      </c>
      <c r="B322" s="7" t="str">
        <f>المدخلات!$F$6</f>
        <v>6:40–7:50 م</v>
      </c>
      <c r="C322" s="7">
        <v>10</v>
      </c>
      <c r="D322" s="7" t="s">
        <v>596</v>
      </c>
      <c r="E322" s="7" t="s">
        <v>620</v>
      </c>
      <c r="F322" s="2"/>
    </row>
    <row r="323" spans="1:6" ht="14" customHeight="1">
      <c r="A323" s="8">
        <v>10</v>
      </c>
      <c r="B323" s="7" t="str">
        <f>المدخلات!$F$6</f>
        <v>6:40–7:50 م</v>
      </c>
      <c r="C323" s="7">
        <v>11</v>
      </c>
      <c r="D323" s="7" t="s">
        <v>596</v>
      </c>
      <c r="E323" s="7" t="s">
        <v>695</v>
      </c>
      <c r="F323" s="2"/>
    </row>
    <row r="324" spans="1:6" ht="14" customHeight="1">
      <c r="A324" s="8">
        <v>11</v>
      </c>
      <c r="B324" s="7" t="str">
        <f>المدخلات!$F$4</f>
        <v>4:00–5:10 م</v>
      </c>
      <c r="C324" s="7">
        <v>1</v>
      </c>
      <c r="D324" s="7" t="s">
        <v>593</v>
      </c>
      <c r="E324" s="7" t="s">
        <v>21</v>
      </c>
      <c r="F324" s="2"/>
    </row>
    <row r="325" spans="1:6" ht="14" customHeight="1">
      <c r="A325" s="8">
        <v>11</v>
      </c>
      <c r="B325" s="7" t="str">
        <f>المدخلات!$F$4</f>
        <v>4:00–5:10 م</v>
      </c>
      <c r="C325" s="7">
        <v>2</v>
      </c>
      <c r="D325" s="7" t="s">
        <v>593</v>
      </c>
      <c r="E325" s="7" t="s">
        <v>92</v>
      </c>
      <c r="F325" s="2"/>
    </row>
    <row r="326" spans="1:6" ht="14" customHeight="1">
      <c r="A326" s="8">
        <v>11</v>
      </c>
      <c r="B326" s="7" t="str">
        <f>المدخلات!$F$4</f>
        <v>4:00–5:10 م</v>
      </c>
      <c r="C326" s="7">
        <v>3</v>
      </c>
      <c r="D326" s="7" t="s">
        <v>593</v>
      </c>
      <c r="E326" s="7" t="s">
        <v>18</v>
      </c>
      <c r="F326" s="2"/>
    </row>
    <row r="327" spans="1:6" ht="14" customHeight="1">
      <c r="A327" s="8">
        <v>11</v>
      </c>
      <c r="B327" s="7" t="str">
        <f>المدخلات!$F$5</f>
        <v>5:20–6:30 م</v>
      </c>
      <c r="C327" s="7">
        <v>1</v>
      </c>
      <c r="D327" s="7" t="s">
        <v>593</v>
      </c>
      <c r="E327" s="7" t="s">
        <v>133</v>
      </c>
      <c r="F327" s="2"/>
    </row>
    <row r="328" spans="1:6" ht="14" customHeight="1">
      <c r="A328" s="8">
        <v>11</v>
      </c>
      <c r="B328" s="7" t="str">
        <f>المدخلات!$F$5</f>
        <v>5:20–6:30 م</v>
      </c>
      <c r="C328" s="7">
        <v>2</v>
      </c>
      <c r="D328" s="7" t="s">
        <v>593</v>
      </c>
      <c r="E328" s="7" t="s">
        <v>1069</v>
      </c>
      <c r="F328" s="2"/>
    </row>
    <row r="329" spans="1:6" ht="14" customHeight="1">
      <c r="A329" s="8">
        <v>11</v>
      </c>
      <c r="B329" s="7" t="str">
        <f>المدخلات!$F$5</f>
        <v>5:20–6:30 م</v>
      </c>
      <c r="C329" s="7">
        <v>3</v>
      </c>
      <c r="D329" s="7" t="s">
        <v>593</v>
      </c>
      <c r="E329" s="7" t="s">
        <v>633</v>
      </c>
      <c r="F329" s="2"/>
    </row>
    <row r="330" spans="1:6" ht="14" customHeight="1">
      <c r="A330" s="8">
        <v>11</v>
      </c>
      <c r="B330" s="7" t="str">
        <f>المدخلات!$F$6</f>
        <v>6:40–7:50 م</v>
      </c>
      <c r="C330" s="7">
        <v>1</v>
      </c>
      <c r="D330" s="7" t="s">
        <v>593</v>
      </c>
      <c r="E330" s="7" t="s">
        <v>1083</v>
      </c>
      <c r="F330" s="2"/>
    </row>
    <row r="331" spans="1:6" ht="14" customHeight="1">
      <c r="A331" s="8">
        <v>11</v>
      </c>
      <c r="B331" s="7" t="str">
        <f>المدخلات!$F$6</f>
        <v>6:40–7:50 م</v>
      </c>
      <c r="C331" s="7">
        <v>2</v>
      </c>
      <c r="D331" s="7" t="s">
        <v>593</v>
      </c>
      <c r="E331" s="7" t="s">
        <v>132</v>
      </c>
      <c r="F331" s="2"/>
    </row>
    <row r="332" spans="1:6" ht="14" customHeight="1">
      <c r="A332" s="8">
        <v>11</v>
      </c>
      <c r="B332" s="7" t="str">
        <f>المدخلات!$F$4</f>
        <v>4:00–5:10 م</v>
      </c>
      <c r="C332" s="7">
        <v>4</v>
      </c>
      <c r="D332" s="7" t="s">
        <v>594</v>
      </c>
      <c r="E332" s="7" t="s">
        <v>228</v>
      </c>
      <c r="F332" s="2"/>
    </row>
    <row r="333" spans="1:6" ht="14" customHeight="1">
      <c r="A333" s="8">
        <v>11</v>
      </c>
      <c r="B333" s="7" t="str">
        <f>المدخلات!$F$4</f>
        <v>4:00–5:10 م</v>
      </c>
      <c r="C333" s="7">
        <v>5</v>
      </c>
      <c r="D333" s="7" t="s">
        <v>594</v>
      </c>
      <c r="E333" s="7" t="s">
        <v>273</v>
      </c>
      <c r="F333" s="2"/>
    </row>
    <row r="334" spans="1:6" ht="14" customHeight="1">
      <c r="A334" s="8">
        <v>11</v>
      </c>
      <c r="B334" s="7" t="str">
        <f>المدخلات!$F$4</f>
        <v>4:00–5:10 م</v>
      </c>
      <c r="C334" s="7">
        <v>6</v>
      </c>
      <c r="D334" s="7" t="s">
        <v>594</v>
      </c>
      <c r="E334" s="7" t="s">
        <v>211</v>
      </c>
      <c r="F334" s="2"/>
    </row>
    <row r="335" spans="1:6" ht="14" customHeight="1">
      <c r="A335" s="8">
        <v>11</v>
      </c>
      <c r="B335" s="7" t="str">
        <f>المدخلات!$F$5</f>
        <v>5:20–6:30 م</v>
      </c>
      <c r="C335" s="7">
        <v>4</v>
      </c>
      <c r="D335" s="7" t="s">
        <v>594</v>
      </c>
      <c r="E335" s="7" t="s">
        <v>293</v>
      </c>
      <c r="F335" s="2"/>
    </row>
    <row r="336" spans="1:6" ht="14" customHeight="1">
      <c r="A336" s="8">
        <v>11</v>
      </c>
      <c r="B336" s="7" t="str">
        <f>المدخلات!$F$5</f>
        <v>5:20–6:30 م</v>
      </c>
      <c r="C336" s="7">
        <v>5</v>
      </c>
      <c r="D336" s="7" t="s">
        <v>594</v>
      </c>
      <c r="E336" s="7" t="s">
        <v>1205</v>
      </c>
      <c r="F336" s="2"/>
    </row>
    <row r="337" spans="1:6" ht="14" customHeight="1">
      <c r="A337" s="8">
        <v>11</v>
      </c>
      <c r="B337" s="7" t="str">
        <f>المدخلات!$F$5</f>
        <v>5:20–6:30 م</v>
      </c>
      <c r="C337" s="7">
        <v>6</v>
      </c>
      <c r="D337" s="7" t="s">
        <v>594</v>
      </c>
      <c r="E337" s="7" t="s">
        <v>627</v>
      </c>
      <c r="F337" s="2"/>
    </row>
    <row r="338" spans="1:6" ht="14" customHeight="1">
      <c r="A338" s="8">
        <v>11</v>
      </c>
      <c r="B338" s="7" t="str">
        <f>المدخلات!$F$6</f>
        <v>6:40–7:50 م</v>
      </c>
      <c r="C338" s="7">
        <v>4</v>
      </c>
      <c r="D338" s="7" t="s">
        <v>594</v>
      </c>
      <c r="E338" s="7" t="s">
        <v>1225</v>
      </c>
      <c r="F338" s="2"/>
    </row>
    <row r="339" spans="1:6" ht="14" customHeight="1">
      <c r="A339" s="8">
        <v>11</v>
      </c>
      <c r="B339" s="7" t="str">
        <f>المدخلات!$F$6</f>
        <v>6:40–7:50 م</v>
      </c>
      <c r="C339" s="7">
        <v>5</v>
      </c>
      <c r="D339" s="7" t="s">
        <v>594</v>
      </c>
      <c r="E339" s="7" t="s">
        <v>304</v>
      </c>
      <c r="F339" s="2"/>
    </row>
    <row r="340" spans="1:6" ht="14" customHeight="1">
      <c r="A340" s="8">
        <v>11</v>
      </c>
      <c r="B340" s="7" t="str">
        <f>المدخلات!$F$4</f>
        <v>4:00–5:10 م</v>
      </c>
      <c r="C340" s="7">
        <v>7</v>
      </c>
      <c r="D340" s="7" t="s">
        <v>595</v>
      </c>
      <c r="E340" s="7" t="s">
        <v>1260</v>
      </c>
      <c r="F340" s="2"/>
    </row>
    <row r="341" spans="1:6" ht="14" customHeight="1">
      <c r="A341" s="8">
        <v>11</v>
      </c>
      <c r="B341" s="7" t="str">
        <f>المدخلات!$F$4</f>
        <v>4:00–5:10 م</v>
      </c>
      <c r="C341" s="7">
        <v>8</v>
      </c>
      <c r="D341" s="7" t="s">
        <v>595</v>
      </c>
      <c r="E341" s="7" t="s">
        <v>445</v>
      </c>
      <c r="F341" s="2"/>
    </row>
    <row r="342" spans="1:6" ht="14" customHeight="1">
      <c r="A342" s="8">
        <v>11</v>
      </c>
      <c r="B342" s="7" t="str">
        <f>المدخلات!$F$4</f>
        <v>4:00–5:10 م</v>
      </c>
      <c r="C342" s="7">
        <v>9</v>
      </c>
      <c r="D342" s="7" t="s">
        <v>595</v>
      </c>
      <c r="E342" s="7" t="s">
        <v>378</v>
      </c>
      <c r="F342" s="2"/>
    </row>
    <row r="343" spans="1:6" ht="14" customHeight="1">
      <c r="A343" s="8">
        <v>11</v>
      </c>
      <c r="B343" s="7" t="str">
        <f>المدخلات!$F$5</f>
        <v>5:20–6:30 م</v>
      </c>
      <c r="C343" s="7">
        <v>7</v>
      </c>
      <c r="D343" s="7" t="s">
        <v>595</v>
      </c>
      <c r="E343" s="7" t="s">
        <v>452</v>
      </c>
      <c r="F343" s="2"/>
    </row>
    <row r="344" spans="1:6" ht="14" customHeight="1">
      <c r="A344" s="8">
        <v>11</v>
      </c>
      <c r="B344" s="7" t="str">
        <f>المدخلات!$F$5</f>
        <v>5:20–6:30 م</v>
      </c>
      <c r="C344" s="7">
        <v>8</v>
      </c>
      <c r="D344" s="7" t="s">
        <v>595</v>
      </c>
      <c r="E344" s="7" t="s">
        <v>1424</v>
      </c>
      <c r="F344" s="2"/>
    </row>
    <row r="345" spans="1:6" ht="14" customHeight="1">
      <c r="A345" s="8">
        <v>11</v>
      </c>
      <c r="B345" s="7" t="str">
        <f>المدخلات!$F$5</f>
        <v>5:20–6:30 م</v>
      </c>
      <c r="C345" s="7">
        <v>9</v>
      </c>
      <c r="D345" s="7" t="s">
        <v>595</v>
      </c>
      <c r="E345" s="7" t="s">
        <v>615</v>
      </c>
      <c r="F345" s="2"/>
    </row>
    <row r="346" spans="1:6" ht="14" customHeight="1">
      <c r="A346" s="8">
        <v>11</v>
      </c>
      <c r="B346" s="7" t="str">
        <f>المدخلات!$F$6</f>
        <v>6:40–7:50 م</v>
      </c>
      <c r="C346" s="7">
        <v>7</v>
      </c>
      <c r="D346" s="7" t="s">
        <v>595</v>
      </c>
      <c r="E346" s="7" t="s">
        <v>1268</v>
      </c>
      <c r="F346" s="2"/>
    </row>
    <row r="347" spans="1:6" ht="14" customHeight="1">
      <c r="A347" s="8">
        <v>11</v>
      </c>
      <c r="B347" s="7" t="str">
        <f>المدخلات!$F$6</f>
        <v>6:40–7:50 م</v>
      </c>
      <c r="C347" s="7">
        <v>8</v>
      </c>
      <c r="D347" s="7" t="s">
        <v>595</v>
      </c>
      <c r="E347" s="7" t="s">
        <v>470</v>
      </c>
      <c r="F347" s="2"/>
    </row>
    <row r="348" spans="1:6" ht="14" customHeight="1">
      <c r="A348" s="8">
        <v>11</v>
      </c>
      <c r="B348" s="7" t="str">
        <f>المدخلات!$F$4</f>
        <v>4:00–5:10 م</v>
      </c>
      <c r="C348" s="7">
        <v>10</v>
      </c>
      <c r="D348" s="7" t="s">
        <v>596</v>
      </c>
      <c r="E348" s="7" t="s">
        <v>600</v>
      </c>
      <c r="F348" s="2"/>
    </row>
    <row r="349" spans="1:6" ht="14" customHeight="1">
      <c r="A349" s="8">
        <v>11</v>
      </c>
      <c r="B349" s="7" t="str">
        <f>المدخلات!$F$4</f>
        <v>4:00–5:10 م</v>
      </c>
      <c r="C349" s="7">
        <v>11</v>
      </c>
      <c r="D349" s="7" t="s">
        <v>596</v>
      </c>
      <c r="E349" s="7" t="s">
        <v>818</v>
      </c>
      <c r="F349" s="2"/>
    </row>
    <row r="350" spans="1:6" ht="14" customHeight="1">
      <c r="A350" s="8">
        <v>11</v>
      </c>
      <c r="B350" s="7" t="str">
        <f>المدخلات!$F$4</f>
        <v>4:00–5:10 م</v>
      </c>
      <c r="C350" s="7">
        <v>12</v>
      </c>
      <c r="D350" s="7" t="s">
        <v>596</v>
      </c>
      <c r="E350" s="7" t="s">
        <v>598</v>
      </c>
      <c r="F350" s="2"/>
    </row>
    <row r="351" spans="1:6" ht="14" customHeight="1">
      <c r="A351" s="8">
        <v>11</v>
      </c>
      <c r="B351" s="7" t="str">
        <f>المدخلات!$F$5</f>
        <v>5:20–6:30 م</v>
      </c>
      <c r="C351" s="7">
        <v>10</v>
      </c>
      <c r="D351" s="7" t="s">
        <v>596</v>
      </c>
      <c r="E351" s="7" t="s">
        <v>1402</v>
      </c>
      <c r="F351" s="2"/>
    </row>
    <row r="352" spans="1:6" ht="14" customHeight="1">
      <c r="A352" s="8">
        <v>11</v>
      </c>
      <c r="B352" s="7" t="str">
        <f>المدخلات!$F$5</f>
        <v>5:20–6:30 م</v>
      </c>
      <c r="C352" s="7">
        <v>11</v>
      </c>
      <c r="D352" s="7" t="s">
        <v>596</v>
      </c>
      <c r="E352" s="7" t="s">
        <v>599</v>
      </c>
      <c r="F352" s="2"/>
    </row>
    <row r="353" spans="1:6" ht="14" customHeight="1">
      <c r="A353" s="8">
        <v>11</v>
      </c>
      <c r="B353" s="7" t="str">
        <f>المدخلات!$F$5</f>
        <v>5:20–6:30 م</v>
      </c>
      <c r="C353" s="7">
        <v>12</v>
      </c>
      <c r="D353" s="7" t="s">
        <v>596</v>
      </c>
      <c r="E353" s="7" t="s">
        <v>601</v>
      </c>
      <c r="F353" s="2"/>
    </row>
    <row r="354" spans="1:6" ht="14" customHeight="1">
      <c r="A354" s="8">
        <v>11</v>
      </c>
      <c r="B354" s="7" t="str">
        <f>المدخلات!$F$6</f>
        <v>6:40–7:50 م</v>
      </c>
      <c r="C354" s="7">
        <v>10</v>
      </c>
      <c r="D354" s="7" t="s">
        <v>596</v>
      </c>
      <c r="E354" s="7" t="s">
        <v>508</v>
      </c>
      <c r="F354" s="2"/>
    </row>
    <row r="355" spans="1:6" ht="14" customHeight="1">
      <c r="A355" s="8">
        <v>11</v>
      </c>
      <c r="B355" s="7" t="str">
        <f>المدخلات!$F$6</f>
        <v>6:40–7:50 م</v>
      </c>
      <c r="C355" s="7">
        <v>11</v>
      </c>
      <c r="D355" s="7" t="s">
        <v>596</v>
      </c>
      <c r="E355" s="7" t="s">
        <v>819</v>
      </c>
      <c r="F355" s="2"/>
    </row>
    <row r="356" spans="1:6" ht="14" customHeight="1">
      <c r="A356" s="8">
        <v>12</v>
      </c>
      <c r="B356" s="7" t="str">
        <f>المدخلات!$F$4</f>
        <v>4:00–5:10 م</v>
      </c>
      <c r="C356" s="7">
        <v>1</v>
      </c>
      <c r="D356" s="7" t="s">
        <v>593</v>
      </c>
      <c r="E356" s="7" t="s">
        <v>117</v>
      </c>
      <c r="F356" s="2"/>
    </row>
    <row r="357" spans="1:6" ht="14" customHeight="1">
      <c r="A357" s="8">
        <v>12</v>
      </c>
      <c r="B357" s="7" t="str">
        <f>المدخلات!$F$4</f>
        <v>4:00–5:10 م</v>
      </c>
      <c r="C357" s="7">
        <v>2</v>
      </c>
      <c r="D357" s="7" t="s">
        <v>593</v>
      </c>
      <c r="E357" s="7" t="s">
        <v>95</v>
      </c>
      <c r="F357" s="2"/>
    </row>
    <row r="358" spans="1:6" ht="14" customHeight="1">
      <c r="A358" s="8">
        <v>12</v>
      </c>
      <c r="B358" s="7" t="str">
        <f>المدخلات!$F$4</f>
        <v>4:00–5:10 م</v>
      </c>
      <c r="C358" s="7">
        <v>3</v>
      </c>
      <c r="D358" s="7" t="s">
        <v>593</v>
      </c>
      <c r="E358" s="7" t="s">
        <v>1089</v>
      </c>
      <c r="F358" s="2"/>
    </row>
    <row r="359" spans="1:6" ht="14" customHeight="1">
      <c r="A359" s="8">
        <v>12</v>
      </c>
      <c r="B359" s="7" t="str">
        <f>المدخلات!$F$5</f>
        <v>5:20–6:30 م</v>
      </c>
      <c r="C359" s="7">
        <v>1</v>
      </c>
      <c r="D359" s="7" t="s">
        <v>593</v>
      </c>
      <c r="E359" s="7" t="s">
        <v>149</v>
      </c>
      <c r="F359" s="2"/>
    </row>
    <row r="360" spans="1:6" ht="14" customHeight="1">
      <c r="A360" s="8">
        <v>12</v>
      </c>
      <c r="B360" s="7" t="str">
        <f>المدخلات!$F$5</f>
        <v>5:20–6:30 م</v>
      </c>
      <c r="C360" s="7">
        <v>2</v>
      </c>
      <c r="D360" s="7" t="s">
        <v>593</v>
      </c>
      <c r="E360" s="7" t="s">
        <v>708</v>
      </c>
      <c r="F360" s="2"/>
    </row>
    <row r="361" spans="1:6" ht="14" customHeight="1">
      <c r="A361" s="8">
        <v>12</v>
      </c>
      <c r="B361" s="7" t="str">
        <f>المدخلات!$F$5</f>
        <v>5:20–6:30 م</v>
      </c>
      <c r="C361" s="7">
        <v>3</v>
      </c>
      <c r="D361" s="7" t="s">
        <v>593</v>
      </c>
      <c r="E361" s="7" t="s">
        <v>91</v>
      </c>
      <c r="F361" s="2"/>
    </row>
    <row r="362" spans="1:6" ht="14" customHeight="1">
      <c r="A362" s="8">
        <v>12</v>
      </c>
      <c r="B362" s="7" t="str">
        <f>المدخلات!$F$6</f>
        <v>6:40–7:50 م</v>
      </c>
      <c r="C362" s="7">
        <v>1</v>
      </c>
      <c r="D362" s="7" t="s">
        <v>593</v>
      </c>
      <c r="E362" s="7" t="s">
        <v>64</v>
      </c>
      <c r="F362" s="2"/>
    </row>
    <row r="363" spans="1:6" ht="14" customHeight="1">
      <c r="A363" s="8">
        <v>12</v>
      </c>
      <c r="B363" s="7" t="str">
        <f>المدخلات!$F$6</f>
        <v>6:40–7:50 م</v>
      </c>
      <c r="C363" s="7">
        <v>2</v>
      </c>
      <c r="D363" s="7" t="s">
        <v>593</v>
      </c>
      <c r="E363" s="7" t="s">
        <v>866</v>
      </c>
      <c r="F363" s="2"/>
    </row>
    <row r="364" spans="1:6" ht="14" customHeight="1">
      <c r="A364" s="8">
        <v>12</v>
      </c>
      <c r="B364" s="7" t="str">
        <f>المدخلات!$F$4</f>
        <v>4:00–5:10 م</v>
      </c>
      <c r="C364" s="7">
        <v>4</v>
      </c>
      <c r="D364" s="7" t="s">
        <v>594</v>
      </c>
      <c r="E364" s="7" t="s">
        <v>290</v>
      </c>
      <c r="F364" s="2"/>
    </row>
    <row r="365" spans="1:6" ht="14" customHeight="1">
      <c r="A365" s="8">
        <v>12</v>
      </c>
      <c r="B365" s="7" t="str">
        <f>المدخلات!$F$4</f>
        <v>4:00–5:10 م</v>
      </c>
      <c r="C365" s="7">
        <v>5</v>
      </c>
      <c r="D365" s="7" t="s">
        <v>594</v>
      </c>
      <c r="E365" s="7" t="s">
        <v>280</v>
      </c>
      <c r="F365" s="2"/>
    </row>
    <row r="366" spans="1:6" ht="14" customHeight="1">
      <c r="A366" s="8">
        <v>12</v>
      </c>
      <c r="B366" s="7" t="str">
        <f>المدخلات!$F$4</f>
        <v>4:00–5:10 م</v>
      </c>
      <c r="C366" s="7">
        <v>6</v>
      </c>
      <c r="D366" s="7" t="s">
        <v>594</v>
      </c>
      <c r="E366" s="7" t="s">
        <v>1407</v>
      </c>
      <c r="F366" s="2"/>
    </row>
    <row r="367" spans="1:6" ht="14" customHeight="1">
      <c r="A367" s="8">
        <v>12</v>
      </c>
      <c r="B367" s="7" t="str">
        <f>المدخلات!$F$5</f>
        <v>5:20–6:30 م</v>
      </c>
      <c r="C367" s="7">
        <v>4</v>
      </c>
      <c r="D367" s="7" t="s">
        <v>594</v>
      </c>
      <c r="E367" s="7" t="s">
        <v>315</v>
      </c>
      <c r="F367" s="2"/>
    </row>
    <row r="368" spans="1:6" ht="14" customHeight="1">
      <c r="A368" s="8">
        <v>12</v>
      </c>
      <c r="B368" s="7" t="str">
        <f>المدخلات!$F$5</f>
        <v>5:20–6:30 م</v>
      </c>
      <c r="C368" s="7">
        <v>5</v>
      </c>
      <c r="D368" s="7" t="s">
        <v>594</v>
      </c>
      <c r="E368" s="7" t="s">
        <v>712</v>
      </c>
      <c r="F368" s="2"/>
    </row>
    <row r="369" spans="1:6" ht="14" customHeight="1">
      <c r="A369" s="8">
        <v>12</v>
      </c>
      <c r="B369" s="7" t="str">
        <f>المدخلات!$F$5</f>
        <v>5:20–6:30 م</v>
      </c>
      <c r="C369" s="7">
        <v>6</v>
      </c>
      <c r="D369" s="7" t="s">
        <v>594</v>
      </c>
      <c r="E369" s="7" t="s">
        <v>272</v>
      </c>
      <c r="F369" s="2"/>
    </row>
    <row r="370" spans="1:6" ht="14" customHeight="1">
      <c r="A370" s="8">
        <v>12</v>
      </c>
      <c r="B370" s="7" t="str">
        <f>المدخلات!$F$6</f>
        <v>6:40–7:50 م</v>
      </c>
      <c r="C370" s="7">
        <v>4</v>
      </c>
      <c r="D370" s="7" t="s">
        <v>594</v>
      </c>
      <c r="E370" s="7" t="s">
        <v>264</v>
      </c>
      <c r="F370" s="2"/>
    </row>
    <row r="371" spans="1:6" ht="14" customHeight="1">
      <c r="A371" s="8">
        <v>12</v>
      </c>
      <c r="B371" s="7" t="str">
        <f>المدخلات!$F$6</f>
        <v>6:40–7:50 م</v>
      </c>
      <c r="C371" s="7">
        <v>5</v>
      </c>
      <c r="D371" s="7" t="s">
        <v>594</v>
      </c>
      <c r="E371" s="7" t="s">
        <v>883</v>
      </c>
      <c r="F371" s="2"/>
    </row>
    <row r="372" spans="1:6" ht="14" customHeight="1">
      <c r="A372" s="8">
        <v>12</v>
      </c>
      <c r="B372" s="7" t="str">
        <f>المدخلات!$F$4</f>
        <v>4:00–5:10 م</v>
      </c>
      <c r="C372" s="7">
        <v>7</v>
      </c>
      <c r="D372" s="7" t="s">
        <v>595</v>
      </c>
      <c r="E372" s="7" t="s">
        <v>460</v>
      </c>
      <c r="F372" s="2"/>
    </row>
    <row r="373" spans="1:6" ht="14" customHeight="1">
      <c r="A373" s="8">
        <v>12</v>
      </c>
      <c r="B373" s="7" t="str">
        <f>المدخلات!$F$4</f>
        <v>4:00–5:10 م</v>
      </c>
      <c r="C373" s="7">
        <v>8</v>
      </c>
      <c r="D373" s="7" t="s">
        <v>595</v>
      </c>
      <c r="E373" s="7" t="s">
        <v>466</v>
      </c>
      <c r="F373" s="2"/>
    </row>
    <row r="374" spans="1:6" ht="14" customHeight="1">
      <c r="A374" s="8">
        <v>12</v>
      </c>
      <c r="B374" s="7" t="str">
        <f>المدخلات!$F$4</f>
        <v>4:00–5:10 م</v>
      </c>
      <c r="C374" s="7">
        <v>9</v>
      </c>
      <c r="D374" s="7" t="s">
        <v>595</v>
      </c>
      <c r="E374" s="7" t="s">
        <v>1300</v>
      </c>
      <c r="F374" s="2"/>
    </row>
    <row r="375" spans="1:6" ht="14" customHeight="1">
      <c r="A375" s="8">
        <v>12</v>
      </c>
      <c r="B375" s="7" t="str">
        <f>المدخلات!$F$5</f>
        <v>5:20–6:30 م</v>
      </c>
      <c r="C375" s="7">
        <v>7</v>
      </c>
      <c r="D375" s="7" t="s">
        <v>595</v>
      </c>
      <c r="E375" s="7" t="s">
        <v>1436</v>
      </c>
      <c r="F375" s="2"/>
    </row>
    <row r="376" spans="1:6" ht="14" customHeight="1">
      <c r="A376" s="8">
        <v>12</v>
      </c>
      <c r="B376" s="7" t="str">
        <f>المدخلات!$F$5</f>
        <v>5:20–6:30 م</v>
      </c>
      <c r="C376" s="7">
        <v>8</v>
      </c>
      <c r="D376" s="7" t="s">
        <v>595</v>
      </c>
      <c r="E376" s="7" t="s">
        <v>714</v>
      </c>
      <c r="F376" s="2"/>
    </row>
    <row r="377" spans="1:6" ht="14" customHeight="1">
      <c r="A377" s="8">
        <v>12</v>
      </c>
      <c r="B377" s="7" t="str">
        <f>المدخلات!$F$5</f>
        <v>5:20–6:30 م</v>
      </c>
      <c r="C377" s="7">
        <v>9</v>
      </c>
      <c r="D377" s="7" t="s">
        <v>595</v>
      </c>
      <c r="E377" s="7" t="s">
        <v>444</v>
      </c>
      <c r="F377" s="2"/>
    </row>
    <row r="378" spans="1:6" ht="14" customHeight="1">
      <c r="A378" s="8">
        <v>12</v>
      </c>
      <c r="B378" s="7" t="str">
        <f>المدخلات!$F$6</f>
        <v>6:40–7:50 م</v>
      </c>
      <c r="C378" s="7">
        <v>7</v>
      </c>
      <c r="D378" s="7" t="s">
        <v>595</v>
      </c>
      <c r="E378" s="7" t="s">
        <v>438</v>
      </c>
      <c r="F378" s="2"/>
    </row>
    <row r="379" spans="1:6" ht="14" customHeight="1">
      <c r="A379" s="8">
        <v>12</v>
      </c>
      <c r="B379" s="7" t="str">
        <f>المدخلات!$F$6</f>
        <v>6:40–7:50 م</v>
      </c>
      <c r="C379" s="7">
        <v>8</v>
      </c>
      <c r="D379" s="7" t="s">
        <v>595</v>
      </c>
      <c r="E379" s="7" t="s">
        <v>964</v>
      </c>
      <c r="F379" s="2"/>
    </row>
    <row r="380" spans="1:6" ht="14" customHeight="1">
      <c r="A380" s="8">
        <v>12</v>
      </c>
      <c r="B380" s="7" t="str">
        <f>المدخلات!$F$4</f>
        <v>4:00–5:10 م</v>
      </c>
      <c r="C380" s="7">
        <v>10</v>
      </c>
      <c r="D380" s="7" t="s">
        <v>596</v>
      </c>
      <c r="E380" s="7" t="s">
        <v>715</v>
      </c>
      <c r="F380" s="2"/>
    </row>
    <row r="381" spans="1:6" ht="14" customHeight="1">
      <c r="A381" s="8">
        <v>12</v>
      </c>
      <c r="B381" s="7" t="str">
        <f>المدخلات!$F$4</f>
        <v>4:00–5:10 م</v>
      </c>
      <c r="C381" s="7">
        <v>11</v>
      </c>
      <c r="D381" s="7" t="s">
        <v>596</v>
      </c>
      <c r="E381" s="7" t="s">
        <v>718</v>
      </c>
      <c r="F381" s="2"/>
    </row>
    <row r="382" spans="1:6" ht="14" customHeight="1">
      <c r="A382" s="8">
        <v>12</v>
      </c>
      <c r="B382" s="7" t="str">
        <f>المدخلات!$F$4</f>
        <v>4:00–5:10 م</v>
      </c>
      <c r="C382" s="7">
        <v>12</v>
      </c>
      <c r="D382" s="7" t="s">
        <v>596</v>
      </c>
      <c r="E382" s="7" t="s">
        <v>716</v>
      </c>
      <c r="F382" s="2"/>
    </row>
    <row r="383" spans="1:6" ht="14" customHeight="1">
      <c r="A383" s="8">
        <v>12</v>
      </c>
      <c r="B383" s="7" t="str">
        <f>المدخلات!$F$5</f>
        <v>5:20–6:30 م</v>
      </c>
      <c r="C383" s="7">
        <v>10</v>
      </c>
      <c r="D383" s="7" t="s">
        <v>596</v>
      </c>
      <c r="E383" s="7" t="s">
        <v>719</v>
      </c>
      <c r="F383" s="2"/>
    </row>
    <row r="384" spans="1:6" ht="14" customHeight="1">
      <c r="A384" s="8">
        <v>12</v>
      </c>
      <c r="B384" s="7" t="str">
        <f>المدخلات!$F$5</f>
        <v>5:20–6:30 م</v>
      </c>
      <c r="C384" s="7">
        <v>11</v>
      </c>
      <c r="D384" s="7" t="s">
        <v>596</v>
      </c>
      <c r="E384" s="7" t="s">
        <v>1396</v>
      </c>
      <c r="F384" s="2"/>
    </row>
    <row r="385" spans="1:6" ht="14" customHeight="1">
      <c r="A385" s="8">
        <v>12</v>
      </c>
      <c r="B385" s="7" t="str">
        <f>المدخلات!$F$5</f>
        <v>5:20–6:30 م</v>
      </c>
      <c r="C385" s="7">
        <v>12</v>
      </c>
      <c r="D385" s="7" t="s">
        <v>596</v>
      </c>
      <c r="E385" s="7" t="s">
        <v>720</v>
      </c>
      <c r="F385" s="2"/>
    </row>
    <row r="386" spans="1:6" ht="14" customHeight="1">
      <c r="A386" s="8">
        <v>12</v>
      </c>
      <c r="B386" s="7" t="str">
        <f>المدخلات!$F$6</f>
        <v>6:40–7:50 م</v>
      </c>
      <c r="C386" s="7">
        <v>10</v>
      </c>
      <c r="D386" s="7" t="s">
        <v>596</v>
      </c>
      <c r="E386" s="7" t="s">
        <v>645</v>
      </c>
      <c r="F386" s="2"/>
    </row>
    <row r="387" spans="1:6" ht="14" customHeight="1">
      <c r="A387" s="8">
        <v>12</v>
      </c>
      <c r="B387" s="7" t="str">
        <f>المدخلات!$F$6</f>
        <v>6:40–7:50 م</v>
      </c>
      <c r="C387" s="7">
        <v>11</v>
      </c>
      <c r="D387" s="7" t="s">
        <v>596</v>
      </c>
      <c r="E387" s="7" t="s">
        <v>644</v>
      </c>
      <c r="F387" s="2"/>
    </row>
    <row r="388" spans="1:6" ht="14" customHeight="1">
      <c r="A388" s="8">
        <v>13</v>
      </c>
      <c r="B388" s="7" t="str">
        <f>المدخلات!$F$4</f>
        <v>4:00–5:10 م</v>
      </c>
      <c r="C388" s="7">
        <v>1</v>
      </c>
      <c r="D388" s="7" t="s">
        <v>593</v>
      </c>
      <c r="E388" s="7" t="s">
        <v>130</v>
      </c>
      <c r="F388" s="2"/>
    </row>
    <row r="389" spans="1:6" ht="14" customHeight="1">
      <c r="A389" s="8">
        <v>13</v>
      </c>
      <c r="B389" s="7" t="str">
        <f>المدخلات!$F$4</f>
        <v>4:00–5:10 م</v>
      </c>
      <c r="C389" s="7">
        <v>2</v>
      </c>
      <c r="D389" s="7" t="s">
        <v>593</v>
      </c>
      <c r="E389" s="7" t="s">
        <v>39</v>
      </c>
      <c r="F389" s="2"/>
    </row>
    <row r="390" spans="1:6" ht="14" customHeight="1">
      <c r="A390" s="8">
        <v>13</v>
      </c>
      <c r="B390" s="7" t="str">
        <f>المدخلات!$F$4</f>
        <v>4:00–5:10 م</v>
      </c>
      <c r="C390" s="7">
        <v>3</v>
      </c>
      <c r="D390" s="7" t="s">
        <v>593</v>
      </c>
      <c r="E390" s="7" t="s">
        <v>1039</v>
      </c>
      <c r="F390" s="2"/>
    </row>
    <row r="391" spans="1:6" ht="14" customHeight="1">
      <c r="A391" s="8">
        <v>13</v>
      </c>
      <c r="B391" s="7" t="str">
        <f>المدخلات!$F$5</f>
        <v>5:20–6:30 م</v>
      </c>
      <c r="C391" s="7">
        <v>1</v>
      </c>
      <c r="D391" s="7" t="s">
        <v>593</v>
      </c>
      <c r="E391" s="7" t="s">
        <v>1425</v>
      </c>
      <c r="F391" s="2"/>
    </row>
    <row r="392" spans="1:6" ht="14" customHeight="1">
      <c r="A392" s="8">
        <v>13</v>
      </c>
      <c r="B392" s="7" t="str">
        <f>المدخلات!$F$5</f>
        <v>5:20–6:30 م</v>
      </c>
      <c r="C392" s="7">
        <v>2</v>
      </c>
      <c r="D392" s="7" t="s">
        <v>593</v>
      </c>
      <c r="E392" s="7" t="s">
        <v>32</v>
      </c>
      <c r="F392" s="2"/>
    </row>
    <row r="393" spans="1:6" ht="14" customHeight="1">
      <c r="A393" s="8">
        <v>13</v>
      </c>
      <c r="B393" s="7" t="str">
        <f>المدخلات!$F$5</f>
        <v>5:20–6:30 م</v>
      </c>
      <c r="C393" s="7">
        <v>3</v>
      </c>
      <c r="D393" s="7" t="s">
        <v>593</v>
      </c>
      <c r="E393" s="7" t="s">
        <v>44</v>
      </c>
      <c r="F393" s="2"/>
    </row>
    <row r="394" spans="1:6" ht="14" customHeight="1">
      <c r="A394" s="8">
        <v>13</v>
      </c>
      <c r="B394" s="7" t="str">
        <f>المدخلات!$F$6</f>
        <v>6:40–7:50 م</v>
      </c>
      <c r="C394" s="7">
        <v>1</v>
      </c>
      <c r="D394" s="7" t="s">
        <v>593</v>
      </c>
      <c r="E394" s="7" t="s">
        <v>103</v>
      </c>
      <c r="F394" s="2"/>
    </row>
    <row r="395" spans="1:6" ht="14" customHeight="1">
      <c r="A395" s="8">
        <v>13</v>
      </c>
      <c r="B395" s="7" t="str">
        <f>المدخلات!$F$6</f>
        <v>6:40–7:50 م</v>
      </c>
      <c r="C395" s="7">
        <v>2</v>
      </c>
      <c r="D395" s="7" t="s">
        <v>593</v>
      </c>
      <c r="E395" s="7" t="s">
        <v>24</v>
      </c>
      <c r="F395" s="2"/>
    </row>
    <row r="396" spans="1:6" ht="14" customHeight="1">
      <c r="A396" s="8">
        <v>13</v>
      </c>
      <c r="B396" s="7" t="str">
        <f>المدخلات!$F$4</f>
        <v>4:00–5:10 م</v>
      </c>
      <c r="C396" s="7">
        <v>4</v>
      </c>
      <c r="D396" s="7" t="s">
        <v>594</v>
      </c>
      <c r="E396" s="7" t="s">
        <v>302</v>
      </c>
      <c r="F396" s="2"/>
    </row>
    <row r="397" spans="1:6" ht="14" customHeight="1">
      <c r="A397" s="8">
        <v>13</v>
      </c>
      <c r="B397" s="7" t="str">
        <f>المدخلات!$F$4</f>
        <v>4:00–5:10 م</v>
      </c>
      <c r="C397" s="7">
        <v>5</v>
      </c>
      <c r="D397" s="7" t="s">
        <v>594</v>
      </c>
      <c r="E397" s="7" t="s">
        <v>251</v>
      </c>
      <c r="F397" s="2"/>
    </row>
    <row r="398" spans="1:6" ht="14" customHeight="1">
      <c r="A398" s="8">
        <v>13</v>
      </c>
      <c r="B398" s="7" t="str">
        <f>المدخلات!$F$4</f>
        <v>4:00–5:10 م</v>
      </c>
      <c r="C398" s="7">
        <v>6</v>
      </c>
      <c r="D398" s="7" t="s">
        <v>594</v>
      </c>
      <c r="E398" s="7" t="s">
        <v>1147</v>
      </c>
      <c r="F398" s="2"/>
    </row>
    <row r="399" spans="1:6" ht="14" customHeight="1">
      <c r="A399" s="8">
        <v>13</v>
      </c>
      <c r="B399" s="7" t="str">
        <f>المدخلات!$F$5</f>
        <v>5:20–6:30 م</v>
      </c>
      <c r="C399" s="7">
        <v>4</v>
      </c>
      <c r="D399" s="7" t="s">
        <v>594</v>
      </c>
      <c r="E399" s="7" t="s">
        <v>1426</v>
      </c>
      <c r="F399" s="2"/>
    </row>
    <row r="400" spans="1:6" ht="14" customHeight="1">
      <c r="A400" s="8">
        <v>13</v>
      </c>
      <c r="B400" s="7" t="str">
        <f>المدخلات!$F$5</f>
        <v>5:20–6:30 م</v>
      </c>
      <c r="C400" s="7">
        <v>5</v>
      </c>
      <c r="D400" s="7" t="s">
        <v>594</v>
      </c>
      <c r="E400" s="7" t="s">
        <v>237</v>
      </c>
      <c r="F400" s="2"/>
    </row>
    <row r="401" spans="1:6" ht="14" customHeight="1">
      <c r="A401" s="8">
        <v>13</v>
      </c>
      <c r="B401" s="7" t="str">
        <f>المدخلات!$F$5</f>
        <v>5:20–6:30 م</v>
      </c>
      <c r="C401" s="7">
        <v>6</v>
      </c>
      <c r="D401" s="7" t="s">
        <v>594</v>
      </c>
      <c r="E401" s="7" t="s">
        <v>1162</v>
      </c>
      <c r="F401" s="2"/>
    </row>
    <row r="402" spans="1:6" ht="14" customHeight="1">
      <c r="A402" s="8">
        <v>13</v>
      </c>
      <c r="B402" s="7" t="str">
        <f>المدخلات!$F$6</f>
        <v>6:40–7:50 م</v>
      </c>
      <c r="C402" s="7">
        <v>4</v>
      </c>
      <c r="D402" s="7" t="s">
        <v>594</v>
      </c>
      <c r="E402" s="7" t="s">
        <v>291</v>
      </c>
      <c r="F402" s="2"/>
    </row>
    <row r="403" spans="1:6" ht="14" customHeight="1">
      <c r="A403" s="8">
        <v>13</v>
      </c>
      <c r="B403" s="7" t="str">
        <f>المدخلات!$F$6</f>
        <v>6:40–7:50 م</v>
      </c>
      <c r="C403" s="7">
        <v>5</v>
      </c>
      <c r="D403" s="7" t="s">
        <v>594</v>
      </c>
      <c r="E403" s="7" t="s">
        <v>232</v>
      </c>
      <c r="F403" s="2"/>
    </row>
    <row r="404" spans="1:6" ht="14" customHeight="1">
      <c r="A404" s="8">
        <v>13</v>
      </c>
      <c r="B404" s="7" t="str">
        <f>المدخلات!$F$4</f>
        <v>4:00–5:10 م</v>
      </c>
      <c r="C404" s="7">
        <v>7</v>
      </c>
      <c r="D404" s="7" t="s">
        <v>595</v>
      </c>
      <c r="E404" s="7" t="s">
        <v>468</v>
      </c>
      <c r="F404" s="2"/>
    </row>
    <row r="405" spans="1:6" ht="14" customHeight="1">
      <c r="A405" s="8">
        <v>13</v>
      </c>
      <c r="B405" s="7" t="str">
        <f>المدخلات!$F$4</f>
        <v>4:00–5:10 م</v>
      </c>
      <c r="C405" s="7">
        <v>8</v>
      </c>
      <c r="D405" s="7" t="s">
        <v>595</v>
      </c>
      <c r="E405" s="7" t="s">
        <v>417</v>
      </c>
      <c r="F405" s="2"/>
    </row>
    <row r="406" spans="1:6" ht="14" customHeight="1">
      <c r="A406" s="8">
        <v>13</v>
      </c>
      <c r="B406" s="7" t="str">
        <f>المدخلات!$F$4</f>
        <v>4:00–5:10 م</v>
      </c>
      <c r="C406" s="7">
        <v>9</v>
      </c>
      <c r="D406" s="7" t="s">
        <v>595</v>
      </c>
      <c r="E406" s="7" t="s">
        <v>1330</v>
      </c>
      <c r="F406" s="2"/>
    </row>
    <row r="407" spans="1:6" ht="14" customHeight="1">
      <c r="A407" s="8">
        <v>13</v>
      </c>
      <c r="B407" s="7" t="str">
        <f>المدخلات!$F$5</f>
        <v>5:20–6:30 م</v>
      </c>
      <c r="C407" s="7">
        <v>7</v>
      </c>
      <c r="D407" s="7" t="s">
        <v>595</v>
      </c>
      <c r="E407" s="7" t="s">
        <v>1264</v>
      </c>
      <c r="F407" s="2"/>
    </row>
    <row r="408" spans="1:6" ht="14" customHeight="1">
      <c r="A408" s="8">
        <v>13</v>
      </c>
      <c r="B408" s="7" t="str">
        <f>المدخلات!$F$5</f>
        <v>5:20–6:30 م</v>
      </c>
      <c r="C408" s="7">
        <v>8</v>
      </c>
      <c r="D408" s="7" t="s">
        <v>595</v>
      </c>
      <c r="E408" s="7" t="s">
        <v>1212</v>
      </c>
      <c r="F408" s="2"/>
    </row>
    <row r="409" spans="1:6" ht="14" customHeight="1">
      <c r="A409" s="8">
        <v>13</v>
      </c>
      <c r="B409" s="7" t="str">
        <f>المدخلات!$F$5</f>
        <v>5:20–6:30 م</v>
      </c>
      <c r="C409" s="7">
        <v>9</v>
      </c>
      <c r="D409" s="7" t="s">
        <v>595</v>
      </c>
      <c r="E409" s="7" t="s">
        <v>1400</v>
      </c>
      <c r="F409" s="2"/>
    </row>
    <row r="410" spans="1:6" ht="14" customHeight="1">
      <c r="A410" s="8">
        <v>13</v>
      </c>
      <c r="B410" s="7" t="str">
        <f>المدخلات!$F$6</f>
        <v>6:40–7:50 م</v>
      </c>
      <c r="C410" s="7">
        <v>7</v>
      </c>
      <c r="D410" s="7" t="s">
        <v>595</v>
      </c>
      <c r="E410" s="7" t="s">
        <v>456</v>
      </c>
      <c r="F410" s="2"/>
    </row>
    <row r="411" spans="1:6" ht="14" customHeight="1">
      <c r="A411" s="8">
        <v>13</v>
      </c>
      <c r="B411" s="7" t="str">
        <f>المدخلات!$F$6</f>
        <v>6:40–7:50 م</v>
      </c>
      <c r="C411" s="7">
        <v>8</v>
      </c>
      <c r="D411" s="7" t="s">
        <v>595</v>
      </c>
      <c r="E411" s="7" t="s">
        <v>1211</v>
      </c>
      <c r="F411" s="2"/>
    </row>
    <row r="412" spans="1:6" ht="14" customHeight="1">
      <c r="A412" s="8">
        <v>13</v>
      </c>
      <c r="B412" s="7" t="str">
        <f>المدخلات!$F$4</f>
        <v>4:00–5:10 م</v>
      </c>
      <c r="C412" s="7">
        <v>10</v>
      </c>
      <c r="D412" s="7" t="s">
        <v>596</v>
      </c>
      <c r="E412" s="7" t="s">
        <v>812</v>
      </c>
      <c r="F412" s="2"/>
    </row>
    <row r="413" spans="1:6" ht="14" customHeight="1">
      <c r="A413" s="8">
        <v>13</v>
      </c>
      <c r="B413" s="7" t="str">
        <f>المدخلات!$F$4</f>
        <v>4:00–5:10 م</v>
      </c>
      <c r="C413" s="7">
        <v>11</v>
      </c>
      <c r="D413" s="7" t="s">
        <v>596</v>
      </c>
      <c r="E413" s="7" t="s">
        <v>541</v>
      </c>
      <c r="F413" s="2"/>
    </row>
    <row r="414" spans="1:6" ht="14" customHeight="1">
      <c r="A414" s="8">
        <v>13</v>
      </c>
      <c r="B414" s="7" t="str">
        <f>المدخلات!$F$4</f>
        <v>4:00–5:10 م</v>
      </c>
      <c r="C414" s="7">
        <v>12</v>
      </c>
      <c r="D414" s="7" t="s">
        <v>596</v>
      </c>
      <c r="E414" s="7" t="s">
        <v>651</v>
      </c>
      <c r="F414" s="2"/>
    </row>
    <row r="415" spans="1:6" ht="14" customHeight="1">
      <c r="A415" s="8">
        <v>13</v>
      </c>
      <c r="B415" s="7" t="str">
        <f>المدخلات!$F$5</f>
        <v>5:20–6:30 م</v>
      </c>
      <c r="C415" s="7">
        <v>10</v>
      </c>
      <c r="D415" s="7" t="s">
        <v>596</v>
      </c>
      <c r="E415" s="7" t="s">
        <v>1427</v>
      </c>
      <c r="F415" s="2"/>
    </row>
    <row r="416" spans="1:6" ht="14" customHeight="1">
      <c r="A416" s="8">
        <v>13</v>
      </c>
      <c r="B416" s="7" t="str">
        <f>المدخلات!$F$5</f>
        <v>5:20–6:30 م</v>
      </c>
      <c r="C416" s="7">
        <v>11</v>
      </c>
      <c r="D416" s="7" t="s">
        <v>596</v>
      </c>
      <c r="E416" s="7" t="s">
        <v>813</v>
      </c>
      <c r="F416" s="2"/>
    </row>
    <row r="417" spans="1:6" ht="14" customHeight="1">
      <c r="A417" s="8">
        <v>13</v>
      </c>
      <c r="B417" s="7" t="str">
        <f>المدخلات!$F$5</f>
        <v>5:20–6:30 م</v>
      </c>
      <c r="C417" s="7">
        <v>12</v>
      </c>
      <c r="D417" s="7" t="s">
        <v>596</v>
      </c>
      <c r="E417" s="7" t="s">
        <v>1437</v>
      </c>
      <c r="F417" s="2"/>
    </row>
    <row r="418" spans="1:6" ht="14" customHeight="1">
      <c r="A418" s="8">
        <v>13</v>
      </c>
      <c r="B418" s="7" t="str">
        <f>المدخلات!$F$6</f>
        <v>6:40–7:50 م</v>
      </c>
      <c r="C418" s="7">
        <v>10</v>
      </c>
      <c r="D418" s="7" t="s">
        <v>596</v>
      </c>
      <c r="E418" s="7" t="s">
        <v>814</v>
      </c>
      <c r="F418" s="2"/>
    </row>
    <row r="419" spans="1:6" ht="14" customHeight="1">
      <c r="A419" s="8">
        <v>13</v>
      </c>
      <c r="B419" s="7" t="str">
        <f>المدخلات!$F$6</f>
        <v>6:40–7:50 م</v>
      </c>
      <c r="C419" s="7">
        <v>11</v>
      </c>
      <c r="D419" s="7" t="s">
        <v>596</v>
      </c>
      <c r="E419" s="7" t="s">
        <v>533</v>
      </c>
      <c r="F419" s="2"/>
    </row>
    <row r="420" spans="1:6" ht="14" customHeight="1">
      <c r="A420" s="8">
        <v>14</v>
      </c>
      <c r="B420" s="7" t="str">
        <f>المدخلات!$F$4</f>
        <v>4:00–5:10 م</v>
      </c>
      <c r="C420" s="7">
        <v>1</v>
      </c>
      <c r="D420" s="7" t="s">
        <v>593</v>
      </c>
      <c r="E420" s="7" t="s">
        <v>602</v>
      </c>
      <c r="F420" s="2"/>
    </row>
    <row r="421" spans="1:6" ht="14" customHeight="1">
      <c r="A421" s="8">
        <v>14</v>
      </c>
      <c r="B421" s="7" t="str">
        <f>المدخلات!$F$4</f>
        <v>4:00–5:10 م</v>
      </c>
      <c r="C421" s="7">
        <v>2</v>
      </c>
      <c r="D421" s="7" t="s">
        <v>593</v>
      </c>
      <c r="E421" s="7" t="s">
        <v>23</v>
      </c>
      <c r="F421" s="2"/>
    </row>
    <row r="422" spans="1:6" ht="14" customHeight="1">
      <c r="A422" s="8">
        <v>14</v>
      </c>
      <c r="B422" s="7" t="str">
        <f>المدخلات!$F$4</f>
        <v>4:00–5:10 م</v>
      </c>
      <c r="C422" s="7">
        <v>3</v>
      </c>
      <c r="D422" s="7" t="s">
        <v>593</v>
      </c>
      <c r="E422" s="7" t="s">
        <v>50</v>
      </c>
      <c r="F422" s="2"/>
    </row>
    <row r="423" spans="1:6" ht="14" customHeight="1">
      <c r="A423" s="8">
        <v>14</v>
      </c>
      <c r="B423" s="7" t="str">
        <f>المدخلات!$F$5</f>
        <v>5:20–6:30 م</v>
      </c>
      <c r="C423" s="7">
        <v>1</v>
      </c>
      <c r="D423" s="7" t="s">
        <v>593</v>
      </c>
      <c r="E423" s="7" t="s">
        <v>885</v>
      </c>
      <c r="F423" s="2"/>
    </row>
    <row r="424" spans="1:6" ht="14" customHeight="1">
      <c r="A424" s="8">
        <v>14</v>
      </c>
      <c r="B424" s="7" t="str">
        <f>المدخلات!$F$5</f>
        <v>5:20–6:30 م</v>
      </c>
      <c r="C424" s="7">
        <v>2</v>
      </c>
      <c r="D424" s="7" t="s">
        <v>593</v>
      </c>
      <c r="E424" s="7" t="s">
        <v>1060</v>
      </c>
      <c r="F424" s="2"/>
    </row>
    <row r="425" spans="1:6" ht="14" customHeight="1">
      <c r="A425" s="8">
        <v>14</v>
      </c>
      <c r="B425" s="7" t="str">
        <f>المدخلات!$F$5</f>
        <v>5:20–6:30 م</v>
      </c>
      <c r="C425" s="7">
        <v>3</v>
      </c>
      <c r="D425" s="7" t="s">
        <v>593</v>
      </c>
      <c r="E425" s="7" t="s">
        <v>1050</v>
      </c>
      <c r="F425" s="2"/>
    </row>
    <row r="426" spans="1:6" ht="14" customHeight="1">
      <c r="A426" s="8">
        <v>14</v>
      </c>
      <c r="B426" s="7" t="str">
        <f>المدخلات!$F$6</f>
        <v>6:40–7:50 م</v>
      </c>
      <c r="C426" s="7">
        <v>1</v>
      </c>
      <c r="D426" s="7" t="s">
        <v>593</v>
      </c>
      <c r="E426" s="7" t="s">
        <v>146</v>
      </c>
      <c r="F426" s="2"/>
    </row>
    <row r="427" spans="1:6" ht="14" customHeight="1">
      <c r="A427" s="8">
        <v>14</v>
      </c>
      <c r="B427" s="7" t="str">
        <f>المدخلات!$F$6</f>
        <v>6:40–7:50 م</v>
      </c>
      <c r="C427" s="7">
        <v>2</v>
      </c>
      <c r="D427" s="7" t="s">
        <v>593</v>
      </c>
      <c r="E427" s="7" t="s">
        <v>35</v>
      </c>
      <c r="F427" s="2"/>
    </row>
    <row r="428" spans="1:6" ht="14" customHeight="1">
      <c r="A428" s="8">
        <v>14</v>
      </c>
      <c r="B428" s="7" t="str">
        <f>المدخلات!$F$4</f>
        <v>4:00–5:10 م</v>
      </c>
      <c r="C428" s="7">
        <v>4</v>
      </c>
      <c r="D428" s="7" t="s">
        <v>594</v>
      </c>
      <c r="E428" s="7" t="s">
        <v>675</v>
      </c>
      <c r="F428" s="2"/>
    </row>
    <row r="429" spans="1:6" ht="14" customHeight="1">
      <c r="A429" s="8">
        <v>14</v>
      </c>
      <c r="B429" s="7" t="str">
        <f>المدخلات!$F$4</f>
        <v>4:00–5:10 م</v>
      </c>
      <c r="C429" s="7">
        <v>5</v>
      </c>
      <c r="D429" s="7" t="s">
        <v>594</v>
      </c>
      <c r="E429" s="7" t="s">
        <v>234</v>
      </c>
      <c r="F429" s="2"/>
    </row>
    <row r="430" spans="1:6" ht="14" customHeight="1">
      <c r="A430" s="8">
        <v>14</v>
      </c>
      <c r="B430" s="7" t="str">
        <f>المدخلات!$F$4</f>
        <v>4:00–5:10 م</v>
      </c>
      <c r="C430" s="7">
        <v>6</v>
      </c>
      <c r="D430" s="7" t="s">
        <v>594</v>
      </c>
      <c r="E430" s="7" t="s">
        <v>245</v>
      </c>
      <c r="F430" s="2"/>
    </row>
    <row r="431" spans="1:6" ht="14" customHeight="1">
      <c r="A431" s="8">
        <v>14</v>
      </c>
      <c r="B431" s="7" t="str">
        <f>المدخلات!$F$5</f>
        <v>5:20–6:30 م</v>
      </c>
      <c r="C431" s="7">
        <v>4</v>
      </c>
      <c r="D431" s="7" t="s">
        <v>594</v>
      </c>
      <c r="E431" s="7" t="s">
        <v>957</v>
      </c>
      <c r="F431" s="2"/>
    </row>
    <row r="432" spans="1:6" ht="14" customHeight="1">
      <c r="A432" s="8">
        <v>14</v>
      </c>
      <c r="B432" s="7" t="str">
        <f>المدخلات!$F$5</f>
        <v>5:20–6:30 م</v>
      </c>
      <c r="C432" s="7">
        <v>5</v>
      </c>
      <c r="D432" s="7" t="s">
        <v>594</v>
      </c>
      <c r="E432" s="7" t="s">
        <v>1173</v>
      </c>
      <c r="F432" s="2"/>
    </row>
    <row r="433" spans="1:6" ht="14" customHeight="1">
      <c r="A433" s="8">
        <v>14</v>
      </c>
      <c r="B433" s="7" t="str">
        <f>المدخلات!$F$5</f>
        <v>5:20–6:30 م</v>
      </c>
      <c r="C433" s="7">
        <v>6</v>
      </c>
      <c r="D433" s="7" t="s">
        <v>594</v>
      </c>
      <c r="E433" s="7" t="s">
        <v>1316</v>
      </c>
      <c r="F433" s="2"/>
    </row>
    <row r="434" spans="1:6" ht="14" customHeight="1">
      <c r="A434" s="8">
        <v>14</v>
      </c>
      <c r="B434" s="7" t="str">
        <f>المدخلات!$F$6</f>
        <v>6:40–7:50 م</v>
      </c>
      <c r="C434" s="7">
        <v>4</v>
      </c>
      <c r="D434" s="7" t="s">
        <v>594</v>
      </c>
      <c r="E434" s="7" t="s">
        <v>311</v>
      </c>
      <c r="F434" s="2"/>
    </row>
    <row r="435" spans="1:6" ht="14" customHeight="1">
      <c r="A435" s="8">
        <v>14</v>
      </c>
      <c r="B435" s="7" t="str">
        <f>المدخلات!$F$6</f>
        <v>6:40–7:50 م</v>
      </c>
      <c r="C435" s="7">
        <v>5</v>
      </c>
      <c r="D435" s="7" t="s">
        <v>594</v>
      </c>
      <c r="E435" s="7" t="s">
        <v>240</v>
      </c>
      <c r="F435" s="2"/>
    </row>
    <row r="436" spans="1:6" ht="14" customHeight="1">
      <c r="A436" s="8">
        <v>14</v>
      </c>
      <c r="B436" s="7" t="str">
        <f>المدخلات!$F$4</f>
        <v>4:00–5:10 م</v>
      </c>
      <c r="C436" s="7">
        <v>7</v>
      </c>
      <c r="D436" s="7" t="s">
        <v>595</v>
      </c>
      <c r="E436" s="7" t="s">
        <v>677</v>
      </c>
      <c r="F436" s="2"/>
    </row>
    <row r="437" spans="1:6" ht="14" customHeight="1">
      <c r="A437" s="8">
        <v>14</v>
      </c>
      <c r="B437" s="7" t="str">
        <f>المدخلات!$F$4</f>
        <v>4:00–5:10 م</v>
      </c>
      <c r="C437" s="7">
        <v>8</v>
      </c>
      <c r="D437" s="7" t="s">
        <v>595</v>
      </c>
      <c r="E437" s="7" t="s">
        <v>405</v>
      </c>
      <c r="F437" s="2"/>
    </row>
    <row r="438" spans="1:6" ht="14" customHeight="1">
      <c r="A438" s="8">
        <v>14</v>
      </c>
      <c r="B438" s="7" t="str">
        <f>المدخلات!$F$4</f>
        <v>4:00–5:10 م</v>
      </c>
      <c r="C438" s="7">
        <v>9</v>
      </c>
      <c r="D438" s="7" t="s">
        <v>595</v>
      </c>
      <c r="E438" s="7" t="s">
        <v>429</v>
      </c>
      <c r="F438" s="2"/>
    </row>
    <row r="439" spans="1:6" ht="14" customHeight="1">
      <c r="A439" s="8">
        <v>14</v>
      </c>
      <c r="B439" s="7" t="str">
        <f>المدخلات!$F$5</f>
        <v>5:20–6:30 م</v>
      </c>
      <c r="C439" s="7">
        <v>7</v>
      </c>
      <c r="D439" s="7" t="s">
        <v>595</v>
      </c>
      <c r="E439" s="7" t="s">
        <v>1428</v>
      </c>
      <c r="F439" s="2"/>
    </row>
    <row r="440" spans="1:6" ht="14" customHeight="1">
      <c r="A440" s="8">
        <v>14</v>
      </c>
      <c r="B440" s="7" t="str">
        <f>المدخلات!$F$5</f>
        <v>5:20–6:30 م</v>
      </c>
      <c r="C440" s="7">
        <v>8</v>
      </c>
      <c r="D440" s="7" t="s">
        <v>595</v>
      </c>
      <c r="E440" s="7" t="s">
        <v>1372</v>
      </c>
      <c r="F440" s="2"/>
    </row>
    <row r="441" spans="1:6" ht="14" customHeight="1">
      <c r="A441" s="8">
        <v>14</v>
      </c>
      <c r="B441" s="7" t="str">
        <f>المدخلات!$F$5</f>
        <v>5:20–6:30 م</v>
      </c>
      <c r="C441" s="7">
        <v>9</v>
      </c>
      <c r="D441" s="7" t="s">
        <v>595</v>
      </c>
      <c r="E441" s="7" t="s">
        <v>1206</v>
      </c>
      <c r="F441" s="2"/>
    </row>
    <row r="442" spans="1:6" ht="14" customHeight="1">
      <c r="A442" s="8">
        <v>14</v>
      </c>
      <c r="B442" s="7" t="str">
        <f>المدخلات!$F$6</f>
        <v>6:40–7:50 م</v>
      </c>
      <c r="C442" s="7">
        <v>7</v>
      </c>
      <c r="D442" s="7" t="s">
        <v>595</v>
      </c>
      <c r="E442" s="7" t="s">
        <v>478</v>
      </c>
      <c r="F442" s="2"/>
    </row>
    <row r="443" spans="1:6" ht="14" customHeight="1">
      <c r="A443" s="8">
        <v>14</v>
      </c>
      <c r="B443" s="7" t="str">
        <f>المدخلات!$F$6</f>
        <v>6:40–7:50 م</v>
      </c>
      <c r="C443" s="7">
        <v>8</v>
      </c>
      <c r="D443" s="7" t="s">
        <v>595</v>
      </c>
      <c r="E443" s="7" t="s">
        <v>421</v>
      </c>
      <c r="F443" s="2"/>
    </row>
    <row r="444" spans="1:6" ht="14" customHeight="1">
      <c r="A444" s="8">
        <v>14</v>
      </c>
      <c r="B444" s="7" t="str">
        <f>المدخلات!$F$4</f>
        <v>4:00–5:10 م</v>
      </c>
      <c r="C444" s="7">
        <v>10</v>
      </c>
      <c r="D444" s="7" t="s">
        <v>596</v>
      </c>
      <c r="E444" s="7" t="s">
        <v>572</v>
      </c>
      <c r="F444" s="2"/>
    </row>
    <row r="445" spans="1:6" ht="14" customHeight="1">
      <c r="A445" s="8">
        <v>14</v>
      </c>
      <c r="B445" s="7" t="str">
        <f>المدخلات!$F$4</f>
        <v>4:00–5:10 م</v>
      </c>
      <c r="C445" s="7">
        <v>11</v>
      </c>
      <c r="D445" s="7" t="s">
        <v>596</v>
      </c>
      <c r="E445" s="7" t="s">
        <v>679</v>
      </c>
      <c r="F445" s="2"/>
    </row>
    <row r="446" spans="1:6" ht="14" customHeight="1">
      <c r="A446" s="8">
        <v>14</v>
      </c>
      <c r="B446" s="7" t="str">
        <f>المدخلات!$F$4</f>
        <v>4:00–5:10 م</v>
      </c>
      <c r="C446" s="7">
        <v>12</v>
      </c>
      <c r="D446" s="7" t="s">
        <v>596</v>
      </c>
      <c r="E446" s="7" t="s">
        <v>565</v>
      </c>
      <c r="F446" s="2"/>
    </row>
    <row r="447" spans="1:6" ht="14" customHeight="1">
      <c r="A447" s="8">
        <v>14</v>
      </c>
      <c r="B447" s="7" t="str">
        <f>المدخلات!$F$5</f>
        <v>5:20–6:30 م</v>
      </c>
      <c r="C447" s="7">
        <v>10</v>
      </c>
      <c r="D447" s="7" t="s">
        <v>596</v>
      </c>
      <c r="E447" s="7" t="s">
        <v>547</v>
      </c>
      <c r="F447" s="2"/>
    </row>
    <row r="448" spans="1:6" ht="14" customHeight="1">
      <c r="A448" s="8">
        <v>14</v>
      </c>
      <c r="B448" s="7" t="str">
        <f>المدخلات!$F$5</f>
        <v>5:20–6:30 م</v>
      </c>
      <c r="C448" s="7">
        <v>11</v>
      </c>
      <c r="D448" s="7" t="s">
        <v>596</v>
      </c>
      <c r="E448" s="7" t="s">
        <v>1393</v>
      </c>
      <c r="F448" s="2"/>
    </row>
    <row r="449" spans="1:6" ht="14" customHeight="1">
      <c r="A449" s="8">
        <v>14</v>
      </c>
      <c r="B449" s="7" t="str">
        <f>المدخلات!$F$5</f>
        <v>5:20–6:30 م</v>
      </c>
      <c r="C449" s="7">
        <v>12</v>
      </c>
      <c r="D449" s="7" t="s">
        <v>596</v>
      </c>
      <c r="E449" s="7" t="s">
        <v>680</v>
      </c>
      <c r="F449" s="2"/>
    </row>
    <row r="450" spans="1:6" ht="14" customHeight="1">
      <c r="A450" s="8">
        <v>14</v>
      </c>
      <c r="B450" s="7" t="str">
        <f>المدخلات!$F$6</f>
        <v>6:40–7:50 م</v>
      </c>
      <c r="C450" s="7">
        <v>10</v>
      </c>
      <c r="D450" s="7" t="s">
        <v>596</v>
      </c>
      <c r="E450" s="7" t="s">
        <v>955</v>
      </c>
      <c r="F450" s="2"/>
    </row>
    <row r="451" spans="1:6" ht="14" customHeight="1">
      <c r="A451" s="8">
        <v>14</v>
      </c>
      <c r="B451" s="7" t="str">
        <f>المدخلات!$F$6</f>
        <v>6:40–7:50 م</v>
      </c>
      <c r="C451" s="7">
        <v>11</v>
      </c>
      <c r="D451" s="7" t="s">
        <v>596</v>
      </c>
      <c r="E451" s="7" t="s">
        <v>1392</v>
      </c>
      <c r="F451" s="2"/>
    </row>
    <row r="452" spans="1:6" ht="14" customHeight="1">
      <c r="A452" s="8">
        <v>15</v>
      </c>
      <c r="B452" s="7" t="str">
        <f>المدخلات!$F$4</f>
        <v>4:00–5:10 م</v>
      </c>
      <c r="C452" s="7">
        <v>1</v>
      </c>
      <c r="D452" s="7" t="s">
        <v>593</v>
      </c>
      <c r="E452" s="7" t="s">
        <v>9</v>
      </c>
      <c r="F452" s="2"/>
    </row>
    <row r="453" spans="1:6" ht="14" customHeight="1">
      <c r="A453" s="8">
        <v>15</v>
      </c>
      <c r="B453" s="7" t="str">
        <f>المدخلات!$F$4</f>
        <v>4:00–5:10 م</v>
      </c>
      <c r="C453" s="7">
        <v>2</v>
      </c>
      <c r="D453" s="7" t="s">
        <v>593</v>
      </c>
      <c r="E453" s="7" t="s">
        <v>100</v>
      </c>
      <c r="F453" s="2"/>
    </row>
    <row r="454" spans="1:6" ht="14" customHeight="1">
      <c r="A454" s="8">
        <v>15</v>
      </c>
      <c r="B454" s="7" t="str">
        <f>المدخلات!$F$4</f>
        <v>4:00–5:10 م</v>
      </c>
      <c r="C454" s="7">
        <v>3</v>
      </c>
      <c r="D454" s="7" t="s">
        <v>593</v>
      </c>
      <c r="E454" s="7" t="s">
        <v>20</v>
      </c>
      <c r="F454" s="2"/>
    </row>
    <row r="455" spans="1:6" ht="14" customHeight="1">
      <c r="A455" s="8">
        <v>15</v>
      </c>
      <c r="B455" s="7" t="str">
        <f>المدخلات!$F$5</f>
        <v>5:20–6:30 م</v>
      </c>
      <c r="C455" s="7">
        <v>1</v>
      </c>
      <c r="D455" s="7" t="s">
        <v>593</v>
      </c>
      <c r="E455" s="7" t="s">
        <v>622</v>
      </c>
      <c r="F455" s="2"/>
    </row>
    <row r="456" spans="1:6" ht="14" customHeight="1">
      <c r="A456" s="8">
        <v>15</v>
      </c>
      <c r="B456" s="7" t="str">
        <f>المدخلات!$F$5</f>
        <v>5:20–6:30 م</v>
      </c>
      <c r="C456" s="7">
        <v>2</v>
      </c>
      <c r="D456" s="7" t="s">
        <v>593</v>
      </c>
      <c r="E456" s="7" t="s">
        <v>1132</v>
      </c>
      <c r="F456" s="2"/>
    </row>
    <row r="457" spans="1:6" ht="14" customHeight="1">
      <c r="A457" s="8">
        <v>15</v>
      </c>
      <c r="B457" s="7" t="str">
        <f>المدخلات!$F$5</f>
        <v>5:20–6:30 م</v>
      </c>
      <c r="C457" s="7">
        <v>3</v>
      </c>
      <c r="D457" s="7" t="s">
        <v>593</v>
      </c>
      <c r="E457" s="7" t="s">
        <v>1071</v>
      </c>
      <c r="F457" s="2"/>
    </row>
    <row r="458" spans="1:6" ht="14" customHeight="1">
      <c r="A458" s="8">
        <v>15</v>
      </c>
      <c r="B458" s="7" t="str">
        <f>المدخلات!$F$6</f>
        <v>6:40–7:50 م</v>
      </c>
      <c r="C458" s="7">
        <v>1</v>
      </c>
      <c r="D458" s="7" t="s">
        <v>593</v>
      </c>
      <c r="E458" s="7" t="s">
        <v>31</v>
      </c>
      <c r="F458" s="2"/>
    </row>
    <row r="459" spans="1:6" ht="14" customHeight="1">
      <c r="A459" s="8">
        <v>15</v>
      </c>
      <c r="B459" s="7" t="str">
        <f>المدخلات!$F$6</f>
        <v>6:40–7:50 م</v>
      </c>
      <c r="C459" s="7">
        <v>2</v>
      </c>
      <c r="D459" s="7" t="s">
        <v>593</v>
      </c>
      <c r="E459" s="7" t="s">
        <v>1076</v>
      </c>
      <c r="F459" s="2"/>
    </row>
    <row r="460" spans="1:6" ht="14" customHeight="1">
      <c r="A460" s="8">
        <v>15</v>
      </c>
      <c r="B460" s="7" t="str">
        <f>المدخلات!$F$4</f>
        <v>4:00–5:10 م</v>
      </c>
      <c r="C460" s="7">
        <v>4</v>
      </c>
      <c r="D460" s="7" t="s">
        <v>594</v>
      </c>
      <c r="E460" s="7" t="s">
        <v>229</v>
      </c>
      <c r="F460" s="2"/>
    </row>
    <row r="461" spans="1:6" ht="14" customHeight="1">
      <c r="A461" s="8">
        <v>15</v>
      </c>
      <c r="B461" s="7" t="str">
        <f>المدخلات!$F$4</f>
        <v>4:00–5:10 م</v>
      </c>
      <c r="C461" s="7">
        <v>5</v>
      </c>
      <c r="D461" s="7" t="s">
        <v>594</v>
      </c>
      <c r="E461" s="7" t="s">
        <v>292</v>
      </c>
      <c r="F461" s="2"/>
    </row>
    <row r="462" spans="1:6" ht="14" customHeight="1">
      <c r="A462" s="8">
        <v>15</v>
      </c>
      <c r="B462" s="7" t="str">
        <f>المدخلات!$F$4</f>
        <v>4:00–5:10 م</v>
      </c>
      <c r="C462" s="7">
        <v>6</v>
      </c>
      <c r="D462" s="7" t="s">
        <v>594</v>
      </c>
      <c r="E462" s="7" t="s">
        <v>220</v>
      </c>
      <c r="F462" s="2"/>
    </row>
    <row r="463" spans="1:6" ht="14" customHeight="1">
      <c r="A463" s="8">
        <v>15</v>
      </c>
      <c r="B463" s="7" t="str">
        <f>المدخلات!$F$5</f>
        <v>5:20–6:30 م</v>
      </c>
      <c r="C463" s="7">
        <v>4</v>
      </c>
      <c r="D463" s="7" t="s">
        <v>594</v>
      </c>
      <c r="E463" s="7" t="s">
        <v>612</v>
      </c>
      <c r="F463" s="2"/>
    </row>
    <row r="464" spans="1:6" ht="14" customHeight="1">
      <c r="A464" s="8">
        <v>15</v>
      </c>
      <c r="B464" s="7" t="str">
        <f>المدخلات!$F$5</f>
        <v>5:20–6:30 م</v>
      </c>
      <c r="C464" s="7">
        <v>5</v>
      </c>
      <c r="D464" s="7" t="s">
        <v>594</v>
      </c>
      <c r="E464" s="7" t="s">
        <v>1223</v>
      </c>
      <c r="F464" s="2"/>
    </row>
    <row r="465" spans="1:6" ht="14" customHeight="1">
      <c r="A465" s="8">
        <v>15</v>
      </c>
      <c r="B465" s="7" t="str">
        <f>المدخلات!$F$5</f>
        <v>5:20–6:30 م</v>
      </c>
      <c r="C465" s="7">
        <v>6</v>
      </c>
      <c r="D465" s="7" t="s">
        <v>594</v>
      </c>
      <c r="E465" s="7" t="s">
        <v>1438</v>
      </c>
      <c r="F465" s="2"/>
    </row>
    <row r="466" spans="1:6" ht="14" customHeight="1">
      <c r="A466" s="8">
        <v>15</v>
      </c>
      <c r="B466" s="7" t="str">
        <f>المدخلات!$F$6</f>
        <v>6:40–7:50 م</v>
      </c>
      <c r="C466" s="7">
        <v>4</v>
      </c>
      <c r="D466" s="7" t="s">
        <v>594</v>
      </c>
      <c r="E466" s="7" t="s">
        <v>1150</v>
      </c>
      <c r="F466" s="2"/>
    </row>
    <row r="467" spans="1:6" ht="14" customHeight="1">
      <c r="A467" s="8">
        <v>15</v>
      </c>
      <c r="B467" s="7" t="str">
        <f>المدخلات!$F$6</f>
        <v>6:40–7:50 م</v>
      </c>
      <c r="C467" s="7">
        <v>5</v>
      </c>
      <c r="D467" s="7" t="s">
        <v>594</v>
      </c>
      <c r="E467" s="7" t="s">
        <v>1429</v>
      </c>
      <c r="F467" s="2"/>
    </row>
    <row r="468" spans="1:6" ht="14" customHeight="1">
      <c r="A468" s="8">
        <v>15</v>
      </c>
      <c r="B468" s="7" t="str">
        <f>المدخلات!$F$4</f>
        <v>4:00–5:10 م</v>
      </c>
      <c r="C468" s="7">
        <v>7</v>
      </c>
      <c r="D468" s="7" t="s">
        <v>595</v>
      </c>
      <c r="E468" s="7" t="s">
        <v>1214</v>
      </c>
      <c r="F468" s="2"/>
    </row>
    <row r="469" spans="1:6" ht="14" customHeight="1">
      <c r="A469" s="8">
        <v>15</v>
      </c>
      <c r="B469" s="7" t="str">
        <f>المدخلات!$F$4</f>
        <v>4:00–5:10 م</v>
      </c>
      <c r="C469" s="7">
        <v>8</v>
      </c>
      <c r="D469" s="7" t="s">
        <v>595</v>
      </c>
      <c r="E469" s="7" t="s">
        <v>457</v>
      </c>
      <c r="F469" s="2"/>
    </row>
    <row r="470" spans="1:6" ht="14" customHeight="1">
      <c r="A470" s="8">
        <v>15</v>
      </c>
      <c r="B470" s="7" t="str">
        <f>المدخلات!$F$4</f>
        <v>4:00–5:10 م</v>
      </c>
      <c r="C470" s="7">
        <v>9</v>
      </c>
      <c r="D470" s="7" t="s">
        <v>595</v>
      </c>
      <c r="E470" s="7" t="s">
        <v>387</v>
      </c>
      <c r="F470" s="2"/>
    </row>
    <row r="471" spans="1:6" ht="14" customHeight="1">
      <c r="A471" s="8">
        <v>15</v>
      </c>
      <c r="B471" s="7" t="str">
        <f>المدخلات!$F$5</f>
        <v>5:20–6:30 م</v>
      </c>
      <c r="C471" s="7">
        <v>7</v>
      </c>
      <c r="D471" s="7" t="s">
        <v>595</v>
      </c>
      <c r="E471" s="7" t="s">
        <v>816</v>
      </c>
      <c r="F471" s="2"/>
    </row>
    <row r="472" spans="1:6" ht="14" customHeight="1">
      <c r="A472" s="8">
        <v>15</v>
      </c>
      <c r="B472" s="7" t="str">
        <f>المدخلات!$F$5</f>
        <v>5:20–6:30 م</v>
      </c>
      <c r="C472" s="7">
        <v>8</v>
      </c>
      <c r="D472" s="7" t="s">
        <v>595</v>
      </c>
      <c r="E472" s="7" t="s">
        <v>1233</v>
      </c>
      <c r="F472" s="2"/>
    </row>
    <row r="473" spans="1:6" ht="14" customHeight="1">
      <c r="A473" s="8">
        <v>15</v>
      </c>
      <c r="B473" s="7" t="str">
        <f>المدخلات!$F$5</f>
        <v>5:20–6:30 م</v>
      </c>
      <c r="C473" s="7">
        <v>9</v>
      </c>
      <c r="D473" s="7" t="s">
        <v>595</v>
      </c>
      <c r="E473" s="7" t="s">
        <v>1439</v>
      </c>
      <c r="F473" s="2"/>
    </row>
    <row r="474" spans="1:6" ht="14" customHeight="1">
      <c r="A474" s="8">
        <v>15</v>
      </c>
      <c r="B474" s="7" t="str">
        <f>المدخلات!$F$6</f>
        <v>6:40–7:50 م</v>
      </c>
      <c r="C474" s="7">
        <v>7</v>
      </c>
      <c r="D474" s="7" t="s">
        <v>595</v>
      </c>
      <c r="E474" s="7" t="s">
        <v>1238</v>
      </c>
      <c r="F474" s="2"/>
    </row>
    <row r="475" spans="1:6" ht="14" customHeight="1">
      <c r="A475" s="8">
        <v>15</v>
      </c>
      <c r="B475" s="7" t="str">
        <f>المدخلات!$F$6</f>
        <v>6:40–7:50 م</v>
      </c>
      <c r="C475" s="7">
        <v>8</v>
      </c>
      <c r="D475" s="7" t="s">
        <v>595</v>
      </c>
      <c r="E475" s="7" t="s">
        <v>1235</v>
      </c>
      <c r="F475" s="2"/>
    </row>
    <row r="476" spans="1:6" ht="14" customHeight="1">
      <c r="A476" s="8">
        <v>15</v>
      </c>
      <c r="B476" s="7" t="str">
        <f>المدخلات!$F$4</f>
        <v>4:00–5:10 م</v>
      </c>
      <c r="C476" s="7">
        <v>10</v>
      </c>
      <c r="D476" s="7" t="s">
        <v>596</v>
      </c>
      <c r="E476" s="7" t="s">
        <v>1401</v>
      </c>
      <c r="F476" s="2"/>
    </row>
    <row r="477" spans="1:6" ht="14" customHeight="1">
      <c r="A477" s="8">
        <v>15</v>
      </c>
      <c r="B477" s="7" t="str">
        <f>المدخلات!$F$4</f>
        <v>4:00–5:10 م</v>
      </c>
      <c r="C477" s="7">
        <v>11</v>
      </c>
      <c r="D477" s="7" t="s">
        <v>596</v>
      </c>
      <c r="E477" s="7" t="s">
        <v>654</v>
      </c>
      <c r="F477" s="2"/>
    </row>
    <row r="478" spans="1:6" ht="14" customHeight="1">
      <c r="A478" s="8">
        <v>15</v>
      </c>
      <c r="B478" s="7" t="str">
        <f>المدخلات!$F$4</f>
        <v>4:00–5:10 م</v>
      </c>
      <c r="C478" s="7">
        <v>12</v>
      </c>
      <c r="D478" s="7" t="s">
        <v>596</v>
      </c>
      <c r="E478" s="7" t="s">
        <v>1430</v>
      </c>
      <c r="F478" s="2"/>
    </row>
    <row r="479" spans="1:6" ht="14" customHeight="1">
      <c r="A479" s="8">
        <v>15</v>
      </c>
      <c r="B479" s="7" t="str">
        <f>المدخلات!$F$5</f>
        <v>5:20–6:30 م</v>
      </c>
      <c r="C479" s="7">
        <v>10</v>
      </c>
      <c r="D479" s="7" t="s">
        <v>596</v>
      </c>
      <c r="E479" s="7" t="s">
        <v>516</v>
      </c>
      <c r="F479" s="2"/>
    </row>
    <row r="480" spans="1:6" ht="14" customHeight="1">
      <c r="A480" s="8">
        <v>15</v>
      </c>
      <c r="B480" s="7" t="str">
        <f>المدخلات!$F$5</f>
        <v>5:20–6:30 م</v>
      </c>
      <c r="C480" s="7">
        <v>11</v>
      </c>
      <c r="D480" s="7" t="s">
        <v>596</v>
      </c>
      <c r="E480" s="7" t="s">
        <v>653</v>
      </c>
      <c r="F480" s="2"/>
    </row>
    <row r="481" spans="1:6" ht="14" customHeight="1">
      <c r="A481" s="8">
        <v>15</v>
      </c>
      <c r="B481" s="7" t="str">
        <f>المدخلات!$F$5</f>
        <v>5:20–6:30 م</v>
      </c>
      <c r="C481" s="7">
        <v>12</v>
      </c>
      <c r="D481" s="7" t="s">
        <v>596</v>
      </c>
      <c r="E481" s="7" t="s">
        <v>652</v>
      </c>
      <c r="F481" s="2"/>
    </row>
    <row r="482" spans="1:6" ht="14" customHeight="1">
      <c r="A482" s="8">
        <v>15</v>
      </c>
      <c r="B482" s="7" t="str">
        <f>المدخلات!$F$6</f>
        <v>6:40–7:50 م</v>
      </c>
      <c r="C482" s="7">
        <v>10</v>
      </c>
      <c r="D482" s="7" t="s">
        <v>596</v>
      </c>
      <c r="E482" s="7" t="s">
        <v>522</v>
      </c>
      <c r="F482" s="2"/>
    </row>
    <row r="483" spans="1:6" ht="14" customHeight="1">
      <c r="A483" s="8">
        <v>15</v>
      </c>
      <c r="B483" s="7" t="str">
        <f>المدخلات!$F$6</f>
        <v>6:40–7:50 م</v>
      </c>
      <c r="C483" s="7">
        <v>11</v>
      </c>
      <c r="D483" s="7" t="s">
        <v>596</v>
      </c>
      <c r="E483" s="7" t="s">
        <v>817</v>
      </c>
      <c r="F483" s="2"/>
    </row>
    <row r="484" spans="1:6" ht="14" customHeight="1">
      <c r="A484" s="8">
        <v>16</v>
      </c>
      <c r="B484" s="7" t="str">
        <f>المدخلات!$F$4</f>
        <v>4:00–5:10 م</v>
      </c>
      <c r="C484" s="7">
        <v>1</v>
      </c>
      <c r="D484" s="7" t="s">
        <v>593</v>
      </c>
      <c r="E484" s="7" t="s">
        <v>46</v>
      </c>
      <c r="F484" s="2"/>
    </row>
    <row r="485" spans="1:6" ht="14" customHeight="1">
      <c r="A485" s="8">
        <v>16</v>
      </c>
      <c r="B485" s="7" t="str">
        <f>المدخلات!$F$4</f>
        <v>4:00–5:10 م</v>
      </c>
      <c r="C485" s="7">
        <v>2</v>
      </c>
      <c r="D485" s="7" t="s">
        <v>593</v>
      </c>
      <c r="E485" s="7" t="s">
        <v>142</v>
      </c>
      <c r="F485" s="2"/>
    </row>
    <row r="486" spans="1:6" ht="14" customHeight="1">
      <c r="A486" s="8">
        <v>16</v>
      </c>
      <c r="B486" s="7" t="str">
        <f>المدخلات!$F$4</f>
        <v>4:00–5:10 م</v>
      </c>
      <c r="C486" s="7">
        <v>3</v>
      </c>
      <c r="D486" s="7" t="s">
        <v>593</v>
      </c>
      <c r="E486" s="7" t="s">
        <v>1095</v>
      </c>
      <c r="F486" s="2"/>
    </row>
    <row r="487" spans="1:6" ht="14" customHeight="1">
      <c r="A487" s="8">
        <v>16</v>
      </c>
      <c r="B487" s="7" t="str">
        <f>المدخلات!$F$5</f>
        <v>5:20–6:30 م</v>
      </c>
      <c r="C487" s="7">
        <v>1</v>
      </c>
      <c r="D487" s="7" t="s">
        <v>593</v>
      </c>
      <c r="E487" s="7" t="s">
        <v>1097</v>
      </c>
      <c r="F487" s="2"/>
    </row>
    <row r="488" spans="1:6" ht="14" customHeight="1">
      <c r="A488" s="8">
        <v>16</v>
      </c>
      <c r="B488" s="7" t="str">
        <f>المدخلات!$F$5</f>
        <v>5:20–6:30 م</v>
      </c>
      <c r="C488" s="7">
        <v>2</v>
      </c>
      <c r="D488" s="7" t="s">
        <v>593</v>
      </c>
      <c r="E488" s="7" t="s">
        <v>1096</v>
      </c>
      <c r="F488" s="2"/>
    </row>
    <row r="489" spans="1:6" ht="14" customHeight="1">
      <c r="A489" s="8">
        <v>16</v>
      </c>
      <c r="B489" s="7" t="str">
        <f>المدخلات!$F$5</f>
        <v>5:20–6:30 م</v>
      </c>
      <c r="C489" s="7">
        <v>3</v>
      </c>
      <c r="D489" s="7" t="s">
        <v>593</v>
      </c>
      <c r="E489" s="7" t="s">
        <v>53</v>
      </c>
      <c r="F489" s="2"/>
    </row>
    <row r="490" spans="1:6" ht="14" customHeight="1">
      <c r="A490" s="8">
        <v>16</v>
      </c>
      <c r="B490" s="7" t="str">
        <f>المدخلات!$F$6</f>
        <v>6:40–7:50 م</v>
      </c>
      <c r="C490" s="7">
        <v>1</v>
      </c>
      <c r="D490" s="7" t="s">
        <v>593</v>
      </c>
      <c r="E490" s="7" t="s">
        <v>141</v>
      </c>
      <c r="F490" s="2"/>
    </row>
    <row r="491" spans="1:6" ht="14" customHeight="1">
      <c r="A491" s="8">
        <v>16</v>
      </c>
      <c r="B491" s="7" t="str">
        <f>المدخلات!$F$6</f>
        <v>6:40–7:50 م</v>
      </c>
      <c r="C491" s="7">
        <v>2</v>
      </c>
      <c r="D491" s="7" t="s">
        <v>593</v>
      </c>
      <c r="E491" s="7" t="s">
        <v>63</v>
      </c>
      <c r="F491" s="2"/>
    </row>
    <row r="492" spans="1:6" ht="14" customHeight="1">
      <c r="A492" s="8">
        <v>16</v>
      </c>
      <c r="B492" s="7" t="str">
        <f>المدخلات!$F$4</f>
        <v>4:00–5:10 م</v>
      </c>
      <c r="C492" s="7">
        <v>4</v>
      </c>
      <c r="D492" s="7" t="s">
        <v>594</v>
      </c>
      <c r="E492" s="7" t="s">
        <v>252</v>
      </c>
      <c r="F492" s="2"/>
    </row>
    <row r="493" spans="1:6" ht="14" customHeight="1">
      <c r="A493" s="8">
        <v>16</v>
      </c>
      <c r="B493" s="7" t="str">
        <f>المدخلات!$F$4</f>
        <v>4:00–5:10 م</v>
      </c>
      <c r="C493" s="7">
        <v>5</v>
      </c>
      <c r="D493" s="7" t="s">
        <v>594</v>
      </c>
      <c r="E493" s="7" t="s">
        <v>276</v>
      </c>
      <c r="F493" s="2"/>
    </row>
    <row r="494" spans="1:6" ht="14" customHeight="1">
      <c r="A494" s="8">
        <v>16</v>
      </c>
      <c r="B494" s="7" t="str">
        <f>المدخلات!$F$4</f>
        <v>4:00–5:10 م</v>
      </c>
      <c r="C494" s="7">
        <v>6</v>
      </c>
      <c r="D494" s="7" t="s">
        <v>594</v>
      </c>
      <c r="E494" s="7" t="s">
        <v>1186</v>
      </c>
      <c r="F494" s="2"/>
    </row>
    <row r="495" spans="1:6" ht="14" customHeight="1">
      <c r="A495" s="8">
        <v>16</v>
      </c>
      <c r="B495" s="7" t="str">
        <f>المدخلات!$F$5</f>
        <v>5:20–6:30 م</v>
      </c>
      <c r="C495" s="7">
        <v>4</v>
      </c>
      <c r="D495" s="7" t="s">
        <v>594</v>
      </c>
      <c r="E495" s="7" t="s">
        <v>1440</v>
      </c>
      <c r="F495" s="2"/>
    </row>
    <row r="496" spans="1:6" ht="14" customHeight="1">
      <c r="A496" s="8">
        <v>16</v>
      </c>
      <c r="B496" s="7" t="str">
        <f>المدخلات!$F$5</f>
        <v>5:20–6:30 م</v>
      </c>
      <c r="C496" s="7">
        <v>5</v>
      </c>
      <c r="D496" s="7" t="s">
        <v>594</v>
      </c>
      <c r="E496" s="7" t="s">
        <v>1279</v>
      </c>
      <c r="F496" s="2"/>
    </row>
    <row r="497" spans="1:6" ht="14" customHeight="1">
      <c r="A497" s="8">
        <v>16</v>
      </c>
      <c r="B497" s="7" t="str">
        <f>المدخلات!$F$5</f>
        <v>5:20–6:30 م</v>
      </c>
      <c r="C497" s="7">
        <v>6</v>
      </c>
      <c r="D497" s="7" t="s">
        <v>594</v>
      </c>
      <c r="E497" s="7" t="s">
        <v>260</v>
      </c>
      <c r="F497" s="2"/>
    </row>
    <row r="498" spans="1:6" ht="14" customHeight="1">
      <c r="A498" s="8">
        <v>16</v>
      </c>
      <c r="B498" s="7" t="str">
        <f>المدخلات!$F$6</f>
        <v>6:40–7:50 م</v>
      </c>
      <c r="C498" s="7">
        <v>4</v>
      </c>
      <c r="D498" s="7" t="s">
        <v>594</v>
      </c>
      <c r="E498" s="7" t="s">
        <v>275</v>
      </c>
      <c r="F498" s="2"/>
    </row>
    <row r="499" spans="1:6" ht="14" customHeight="1">
      <c r="A499" s="8">
        <v>16</v>
      </c>
      <c r="B499" s="7" t="str">
        <f>المدخلات!$F$6</f>
        <v>6:40–7:50 م</v>
      </c>
      <c r="C499" s="7">
        <v>5</v>
      </c>
      <c r="D499" s="7" t="s">
        <v>594</v>
      </c>
      <c r="E499" s="7" t="s">
        <v>269</v>
      </c>
      <c r="F499" s="2"/>
    </row>
    <row r="500" spans="1:6" ht="14" customHeight="1">
      <c r="A500" s="8">
        <v>16</v>
      </c>
      <c r="B500" s="7" t="str">
        <f>المدخلات!$F$4</f>
        <v>4:00–5:10 م</v>
      </c>
      <c r="C500" s="7">
        <v>7</v>
      </c>
      <c r="D500" s="7" t="s">
        <v>595</v>
      </c>
      <c r="E500" s="7" t="s">
        <v>426</v>
      </c>
      <c r="F500" s="2"/>
    </row>
    <row r="501" spans="1:6" ht="14" customHeight="1">
      <c r="A501" s="8">
        <v>16</v>
      </c>
      <c r="B501" s="7" t="str">
        <f>المدخلات!$F$4</f>
        <v>4:00–5:10 م</v>
      </c>
      <c r="C501" s="7">
        <v>8</v>
      </c>
      <c r="D501" s="7" t="s">
        <v>595</v>
      </c>
      <c r="E501" s="7" t="s">
        <v>472</v>
      </c>
      <c r="F501" s="2"/>
    </row>
    <row r="502" spans="1:6" ht="14" customHeight="1">
      <c r="A502" s="8">
        <v>16</v>
      </c>
      <c r="B502" s="7" t="str">
        <f>المدخلات!$F$4</f>
        <v>4:00–5:10 م</v>
      </c>
      <c r="C502" s="7">
        <v>9</v>
      </c>
      <c r="D502" s="7" t="s">
        <v>595</v>
      </c>
      <c r="E502" s="7" t="s">
        <v>1415</v>
      </c>
      <c r="F502" s="2"/>
    </row>
    <row r="503" spans="1:6" ht="14" customHeight="1">
      <c r="A503" s="8">
        <v>16</v>
      </c>
      <c r="B503" s="7" t="str">
        <f>المدخلات!$F$5</f>
        <v>5:20–6:30 م</v>
      </c>
      <c r="C503" s="7">
        <v>7</v>
      </c>
      <c r="D503" s="7" t="s">
        <v>595</v>
      </c>
      <c r="E503" s="7" t="s">
        <v>1441</v>
      </c>
      <c r="F503" s="2"/>
    </row>
    <row r="504" spans="1:6" ht="14" customHeight="1">
      <c r="A504" s="8">
        <v>16</v>
      </c>
      <c r="B504" s="7" t="str">
        <f>المدخلات!$F$5</f>
        <v>5:20–6:30 م</v>
      </c>
      <c r="C504" s="7">
        <v>8</v>
      </c>
      <c r="D504" s="7" t="s">
        <v>595</v>
      </c>
      <c r="E504" s="7" t="s">
        <v>1414</v>
      </c>
      <c r="F504" s="2"/>
    </row>
    <row r="505" spans="1:6" ht="14" customHeight="1">
      <c r="A505" s="8">
        <v>16</v>
      </c>
      <c r="B505" s="7" t="str">
        <f>المدخلات!$F$5</f>
        <v>5:20–6:30 م</v>
      </c>
      <c r="C505" s="7">
        <v>9</v>
      </c>
      <c r="D505" s="7" t="s">
        <v>595</v>
      </c>
      <c r="E505" s="7" t="s">
        <v>435</v>
      </c>
      <c r="F505" s="2"/>
    </row>
    <row r="506" spans="1:6" ht="14" customHeight="1">
      <c r="A506" s="8">
        <v>16</v>
      </c>
      <c r="B506" s="7" t="str">
        <f>المدخلات!$F$6</f>
        <v>6:40–7:50 م</v>
      </c>
      <c r="C506" s="7">
        <v>7</v>
      </c>
      <c r="D506" s="7" t="s">
        <v>595</v>
      </c>
      <c r="E506" s="7" t="s">
        <v>471</v>
      </c>
      <c r="F506" s="2"/>
    </row>
    <row r="507" spans="1:6" ht="14" customHeight="1">
      <c r="A507" s="8">
        <v>16</v>
      </c>
      <c r="B507" s="7" t="str">
        <f>المدخلات!$F$6</f>
        <v>6:40–7:50 م</v>
      </c>
      <c r="C507" s="7">
        <v>8</v>
      </c>
      <c r="D507" s="7" t="s">
        <v>595</v>
      </c>
      <c r="E507" s="7" t="s">
        <v>437</v>
      </c>
      <c r="F507" s="2"/>
    </row>
    <row r="508" spans="1:6" ht="14" customHeight="1">
      <c r="A508" s="8">
        <v>16</v>
      </c>
      <c r="B508" s="7" t="str">
        <f>المدخلات!$F$4</f>
        <v>4:00–5:10 م</v>
      </c>
      <c r="C508" s="7">
        <v>10</v>
      </c>
      <c r="D508" s="7" t="s">
        <v>596</v>
      </c>
      <c r="E508" s="7" t="s">
        <v>576</v>
      </c>
      <c r="F508" s="2"/>
    </row>
    <row r="509" spans="1:6" ht="14" customHeight="1">
      <c r="A509" s="8">
        <v>16</v>
      </c>
      <c r="B509" s="7" t="str">
        <f>المدخلات!$F$4</f>
        <v>4:00–5:10 م</v>
      </c>
      <c r="C509" s="7">
        <v>11</v>
      </c>
      <c r="D509" s="7" t="s">
        <v>596</v>
      </c>
      <c r="E509" s="7" t="s">
        <v>1403</v>
      </c>
      <c r="F509" s="2"/>
    </row>
    <row r="510" spans="1:6" ht="14" customHeight="1">
      <c r="A510" s="8">
        <v>16</v>
      </c>
      <c r="B510" s="7" t="str">
        <f>المدخلات!$F$4</f>
        <v>4:00–5:10 م</v>
      </c>
      <c r="C510" s="7">
        <v>12</v>
      </c>
      <c r="D510" s="7" t="s">
        <v>596</v>
      </c>
      <c r="E510" s="7" t="s">
        <v>606</v>
      </c>
      <c r="F510" s="2"/>
    </row>
    <row r="511" spans="1:6" ht="14" customHeight="1">
      <c r="A511" s="8">
        <v>16</v>
      </c>
      <c r="B511" s="7" t="str">
        <f>المدخلات!$F$5</f>
        <v>5:20–6:30 م</v>
      </c>
      <c r="C511" s="7">
        <v>10</v>
      </c>
      <c r="D511" s="7" t="s">
        <v>596</v>
      </c>
      <c r="E511" s="7" t="s">
        <v>618</v>
      </c>
      <c r="F511" s="2"/>
    </row>
    <row r="512" spans="1:6" ht="14" customHeight="1">
      <c r="A512" s="8">
        <v>16</v>
      </c>
      <c r="B512" s="7" t="str">
        <f>المدخلات!$F$5</f>
        <v>5:20–6:30 م</v>
      </c>
      <c r="C512" s="7">
        <v>11</v>
      </c>
      <c r="D512" s="7" t="s">
        <v>596</v>
      </c>
      <c r="E512" s="7" t="s">
        <v>1404</v>
      </c>
      <c r="F512" s="2"/>
    </row>
    <row r="513" spans="1:6" ht="14" customHeight="1">
      <c r="A513" s="8">
        <v>16</v>
      </c>
      <c r="B513" s="7" t="str">
        <f>المدخلات!$F$5</f>
        <v>5:20–6:30 م</v>
      </c>
      <c r="C513" s="7">
        <v>12</v>
      </c>
      <c r="D513" s="7" t="s">
        <v>596</v>
      </c>
      <c r="E513" s="7" t="s">
        <v>1356</v>
      </c>
      <c r="F513" s="2"/>
    </row>
    <row r="514" spans="1:6" ht="14" customHeight="1">
      <c r="A514" s="8">
        <v>16</v>
      </c>
      <c r="B514" s="7" t="str">
        <f>المدخلات!$F$6</f>
        <v>6:40–7:50 م</v>
      </c>
      <c r="C514" s="7">
        <v>10</v>
      </c>
      <c r="D514" s="7" t="s">
        <v>596</v>
      </c>
      <c r="E514" s="7" t="s">
        <v>662</v>
      </c>
      <c r="F514" s="2"/>
    </row>
    <row r="515" spans="1:6" ht="14" customHeight="1">
      <c r="A515" s="8">
        <v>16</v>
      </c>
      <c r="B515" s="7" t="str">
        <f>المدخلات!$F$6</f>
        <v>6:40–7:50 م</v>
      </c>
      <c r="C515" s="7">
        <v>11</v>
      </c>
      <c r="D515" s="7" t="s">
        <v>596</v>
      </c>
      <c r="E515" s="7" t="s">
        <v>1405</v>
      </c>
      <c r="F515" s="2"/>
    </row>
    <row r="516" spans="1:6" ht="14" customHeight="1">
      <c r="A516" s="8">
        <v>17</v>
      </c>
      <c r="B516" s="7" t="str">
        <f>المدخلات!$F$4</f>
        <v>4:00–5:10 م</v>
      </c>
      <c r="C516" s="7">
        <v>1</v>
      </c>
      <c r="D516" s="7" t="s">
        <v>593</v>
      </c>
      <c r="E516" s="7" t="s">
        <v>1122</v>
      </c>
      <c r="F516" s="2"/>
    </row>
    <row r="517" spans="1:6" ht="14" customHeight="1">
      <c r="A517" s="8">
        <v>17</v>
      </c>
      <c r="B517" s="7" t="str">
        <f>المدخلات!$F$4</f>
        <v>4:00–5:10 م</v>
      </c>
      <c r="C517" s="7">
        <v>2</v>
      </c>
      <c r="D517" s="7" t="s">
        <v>593</v>
      </c>
      <c r="E517" s="7" t="s">
        <v>56</v>
      </c>
      <c r="F517" s="2"/>
    </row>
    <row r="518" spans="1:6" ht="14" customHeight="1">
      <c r="A518" s="8">
        <v>17</v>
      </c>
      <c r="B518" s="7" t="str">
        <f>المدخلات!$F$4</f>
        <v>4:00–5:10 م</v>
      </c>
      <c r="C518" s="7">
        <v>3</v>
      </c>
      <c r="D518" s="7" t="s">
        <v>593</v>
      </c>
      <c r="E518" s="7" t="s">
        <v>1066</v>
      </c>
      <c r="F518" s="2"/>
    </row>
    <row r="519" spans="1:6" ht="14" customHeight="1">
      <c r="A519" s="8">
        <v>17</v>
      </c>
      <c r="B519" s="7" t="str">
        <f>المدخلات!$F$5</f>
        <v>5:20–6:30 م</v>
      </c>
      <c r="C519" s="7">
        <v>1</v>
      </c>
      <c r="D519" s="7" t="s">
        <v>593</v>
      </c>
      <c r="E519" s="7" t="s">
        <v>11</v>
      </c>
      <c r="F519" s="2"/>
    </row>
    <row r="520" spans="1:6" ht="14" customHeight="1">
      <c r="A520" s="8">
        <v>17</v>
      </c>
      <c r="B520" s="7" t="str">
        <f>المدخلات!$F$5</f>
        <v>5:20–6:30 م</v>
      </c>
      <c r="C520" s="7">
        <v>2</v>
      </c>
      <c r="D520" s="7" t="s">
        <v>593</v>
      </c>
      <c r="E520" s="7" t="s">
        <v>67</v>
      </c>
      <c r="F520" s="2"/>
    </row>
    <row r="521" spans="1:6" ht="14" customHeight="1">
      <c r="A521" s="8">
        <v>17</v>
      </c>
      <c r="B521" s="7" t="str">
        <f>المدخلات!$F$5</f>
        <v>5:20–6:30 م</v>
      </c>
      <c r="C521" s="7">
        <v>3</v>
      </c>
      <c r="D521" s="7" t="s">
        <v>593</v>
      </c>
      <c r="E521" s="7" t="s">
        <v>136</v>
      </c>
      <c r="F521" s="2"/>
    </row>
    <row r="522" spans="1:6" ht="14" customHeight="1">
      <c r="A522" s="8">
        <v>17</v>
      </c>
      <c r="B522" s="7" t="str">
        <f>المدخلات!$F$6</f>
        <v>6:40–7:50 م</v>
      </c>
      <c r="C522" s="7">
        <v>1</v>
      </c>
      <c r="D522" s="7" t="s">
        <v>593</v>
      </c>
      <c r="E522" s="7" t="s">
        <v>1087</v>
      </c>
      <c r="F522" s="2"/>
    </row>
    <row r="523" spans="1:6" ht="14" customHeight="1">
      <c r="A523" s="8">
        <v>17</v>
      </c>
      <c r="B523" s="7" t="str">
        <f>المدخلات!$F$6</f>
        <v>6:40–7:50 م</v>
      </c>
      <c r="C523" s="7">
        <v>2</v>
      </c>
      <c r="D523" s="7" t="s">
        <v>593</v>
      </c>
      <c r="E523" s="7" t="s">
        <v>157</v>
      </c>
      <c r="F523" s="2"/>
    </row>
    <row r="524" spans="1:6" ht="14" customHeight="1">
      <c r="A524" s="8">
        <v>17</v>
      </c>
      <c r="B524" s="7" t="str">
        <f>المدخلات!$F$4</f>
        <v>4:00–5:10 م</v>
      </c>
      <c r="C524" s="7">
        <v>4</v>
      </c>
      <c r="D524" s="7" t="s">
        <v>594</v>
      </c>
      <c r="E524" s="7" t="s">
        <v>1181</v>
      </c>
      <c r="F524" s="2"/>
    </row>
    <row r="525" spans="1:6" ht="14" customHeight="1">
      <c r="A525" s="8">
        <v>17</v>
      </c>
      <c r="B525" s="7" t="str">
        <f>المدخلات!$F$4</f>
        <v>4:00–5:10 م</v>
      </c>
      <c r="C525" s="7">
        <v>5</v>
      </c>
      <c r="D525" s="7" t="s">
        <v>594</v>
      </c>
      <c r="E525" s="7" t="s">
        <v>259</v>
      </c>
      <c r="F525" s="2"/>
    </row>
    <row r="526" spans="1:6" ht="14" customHeight="1">
      <c r="A526" s="8">
        <v>17</v>
      </c>
      <c r="B526" s="7" t="str">
        <f>المدخلات!$F$4</f>
        <v>4:00–5:10 م</v>
      </c>
      <c r="C526" s="7">
        <v>6</v>
      </c>
      <c r="D526" s="7" t="s">
        <v>594</v>
      </c>
      <c r="E526" s="7" t="s">
        <v>1182</v>
      </c>
      <c r="F526" s="2"/>
    </row>
    <row r="527" spans="1:6" ht="14" customHeight="1">
      <c r="A527" s="8">
        <v>17</v>
      </c>
      <c r="B527" s="7" t="str">
        <f>المدخلات!$F$5</f>
        <v>5:20–6:30 م</v>
      </c>
      <c r="C527" s="7">
        <v>4</v>
      </c>
      <c r="D527" s="7" t="s">
        <v>594</v>
      </c>
      <c r="E527" s="7" t="s">
        <v>177</v>
      </c>
      <c r="F527" s="2"/>
    </row>
    <row r="528" spans="1:6" ht="14" customHeight="1">
      <c r="A528" s="8">
        <v>17</v>
      </c>
      <c r="B528" s="7" t="str">
        <f>المدخلات!$F$5</f>
        <v>5:20–6:30 م</v>
      </c>
      <c r="C528" s="7">
        <v>5</v>
      </c>
      <c r="D528" s="7" t="s">
        <v>594</v>
      </c>
      <c r="E528" s="7" t="s">
        <v>268</v>
      </c>
      <c r="F528" s="2"/>
    </row>
    <row r="529" spans="1:6" ht="14" customHeight="1">
      <c r="A529" s="8">
        <v>17</v>
      </c>
      <c r="B529" s="7" t="str">
        <f>المدخلات!$F$5</f>
        <v>5:20–6:30 م</v>
      </c>
      <c r="C529" s="7">
        <v>6</v>
      </c>
      <c r="D529" s="7" t="s">
        <v>594</v>
      </c>
      <c r="E529" s="7" t="s">
        <v>334</v>
      </c>
      <c r="F529" s="2"/>
    </row>
    <row r="530" spans="1:6" ht="14" customHeight="1">
      <c r="A530" s="8">
        <v>17</v>
      </c>
      <c r="B530" s="7" t="str">
        <f>المدخلات!$F$6</f>
        <v>6:40–7:50 م</v>
      </c>
      <c r="C530" s="7">
        <v>4</v>
      </c>
      <c r="D530" s="7" t="s">
        <v>594</v>
      </c>
      <c r="E530" s="7" t="s">
        <v>1180</v>
      </c>
      <c r="F530" s="2"/>
    </row>
    <row r="531" spans="1:6" ht="14" customHeight="1">
      <c r="A531" s="8">
        <v>17</v>
      </c>
      <c r="B531" s="7" t="str">
        <f>المدخلات!$F$6</f>
        <v>6:40–7:50 م</v>
      </c>
      <c r="C531" s="7">
        <v>5</v>
      </c>
      <c r="D531" s="7" t="s">
        <v>594</v>
      </c>
      <c r="E531" s="7" t="s">
        <v>333</v>
      </c>
      <c r="F531" s="2"/>
    </row>
    <row r="532" spans="1:6" ht="14" customHeight="1">
      <c r="A532" s="8">
        <v>17</v>
      </c>
      <c r="B532" s="7" t="str">
        <f>المدخلات!$F$4</f>
        <v>4:00–5:10 م</v>
      </c>
      <c r="C532" s="7">
        <v>7</v>
      </c>
      <c r="D532" s="7" t="s">
        <v>595</v>
      </c>
      <c r="E532" s="7" t="s">
        <v>1271</v>
      </c>
      <c r="F532" s="2"/>
    </row>
    <row r="533" spans="1:6" ht="14" customHeight="1">
      <c r="A533" s="8">
        <v>17</v>
      </c>
      <c r="B533" s="7" t="str">
        <f>المدخلات!$F$4</f>
        <v>4:00–5:10 م</v>
      </c>
      <c r="C533" s="7">
        <v>8</v>
      </c>
      <c r="D533" s="7" t="s">
        <v>595</v>
      </c>
      <c r="E533" s="7" t="s">
        <v>434</v>
      </c>
      <c r="F533" s="2"/>
    </row>
    <row r="534" spans="1:6" ht="14" customHeight="1">
      <c r="A534" s="8">
        <v>17</v>
      </c>
      <c r="B534" s="7" t="str">
        <f>المدخلات!$F$4</f>
        <v>4:00–5:10 م</v>
      </c>
      <c r="C534" s="7">
        <v>9</v>
      </c>
      <c r="D534" s="7" t="s">
        <v>595</v>
      </c>
      <c r="E534" s="7" t="s">
        <v>1272</v>
      </c>
      <c r="F534" s="2"/>
    </row>
    <row r="535" spans="1:6" ht="14" customHeight="1">
      <c r="A535" s="8">
        <v>17</v>
      </c>
      <c r="B535" s="7" t="str">
        <f>المدخلات!$F$5</f>
        <v>5:20–6:30 م</v>
      </c>
      <c r="C535" s="7">
        <v>7</v>
      </c>
      <c r="D535" s="7" t="s">
        <v>595</v>
      </c>
      <c r="E535" s="7" t="s">
        <v>344</v>
      </c>
      <c r="F535" s="2"/>
    </row>
    <row r="536" spans="1:6" ht="14" customHeight="1">
      <c r="A536" s="8">
        <v>17</v>
      </c>
      <c r="B536" s="7" t="str">
        <f>المدخلات!$F$5</f>
        <v>5:20–6:30 م</v>
      </c>
      <c r="C536" s="7">
        <v>8</v>
      </c>
      <c r="D536" s="7" t="s">
        <v>595</v>
      </c>
      <c r="E536" s="7" t="s">
        <v>441</v>
      </c>
      <c r="F536" s="2"/>
    </row>
    <row r="537" spans="1:6" ht="14" customHeight="1">
      <c r="A537" s="8">
        <v>17</v>
      </c>
      <c r="B537" s="7" t="str">
        <f>المدخلات!$F$5</f>
        <v>5:20–6:30 م</v>
      </c>
      <c r="C537" s="7">
        <v>9</v>
      </c>
      <c r="D537" s="7" t="s">
        <v>595</v>
      </c>
      <c r="E537" s="7" t="s">
        <v>493</v>
      </c>
      <c r="F537" s="2"/>
    </row>
    <row r="538" spans="1:6" ht="14" customHeight="1">
      <c r="A538" s="8">
        <v>17</v>
      </c>
      <c r="B538" s="7" t="str">
        <f>المدخلات!$F$6</f>
        <v>6:40–7:50 م</v>
      </c>
      <c r="C538" s="7">
        <v>7</v>
      </c>
      <c r="D538" s="7" t="s">
        <v>595</v>
      </c>
      <c r="E538" s="7" t="s">
        <v>1293</v>
      </c>
      <c r="F538" s="2"/>
    </row>
    <row r="539" spans="1:6" ht="14" customHeight="1">
      <c r="A539" s="8">
        <v>17</v>
      </c>
      <c r="B539" s="7" t="str">
        <f>المدخلات!$F$6</f>
        <v>6:40–7:50 م</v>
      </c>
      <c r="C539" s="7">
        <v>8</v>
      </c>
      <c r="D539" s="7" t="s">
        <v>595</v>
      </c>
      <c r="E539" s="7" t="s">
        <v>492</v>
      </c>
      <c r="F539" s="2"/>
    </row>
    <row r="540" spans="1:6" ht="14" customHeight="1">
      <c r="A540" s="8">
        <v>17</v>
      </c>
      <c r="B540" s="7" t="str">
        <f>المدخلات!$F$4</f>
        <v>4:00–5:10 م</v>
      </c>
      <c r="C540" s="7">
        <v>10</v>
      </c>
      <c r="D540" s="7" t="s">
        <v>596</v>
      </c>
      <c r="E540" s="7" t="s">
        <v>663</v>
      </c>
      <c r="F540" s="2"/>
    </row>
    <row r="541" spans="1:6" ht="14" customHeight="1">
      <c r="A541" s="8">
        <v>17</v>
      </c>
      <c r="B541" s="7" t="str">
        <f>المدخلات!$F$4</f>
        <v>4:00–5:10 م</v>
      </c>
      <c r="C541" s="7">
        <v>11</v>
      </c>
      <c r="D541" s="7" t="s">
        <v>596</v>
      </c>
      <c r="E541" s="7" t="s">
        <v>1361</v>
      </c>
      <c r="F541" s="2"/>
    </row>
    <row r="542" spans="1:6" ht="14" customHeight="1">
      <c r="A542" s="8">
        <v>17</v>
      </c>
      <c r="B542" s="7" t="str">
        <f>المدخلات!$F$4</f>
        <v>4:00–5:10 م</v>
      </c>
      <c r="C542" s="7">
        <v>12</v>
      </c>
      <c r="D542" s="7" t="s">
        <v>596</v>
      </c>
      <c r="E542" s="7" t="s">
        <v>1360</v>
      </c>
      <c r="F542" s="2"/>
    </row>
    <row r="543" spans="1:6" ht="14" customHeight="1">
      <c r="A543" s="8">
        <v>17</v>
      </c>
      <c r="B543" s="7" t="str">
        <f>المدخلات!$F$5</f>
        <v>5:20–6:30 م</v>
      </c>
      <c r="C543" s="7">
        <v>10</v>
      </c>
      <c r="D543" s="7" t="s">
        <v>596</v>
      </c>
      <c r="E543" s="7" t="s">
        <v>1384</v>
      </c>
      <c r="F543" s="2"/>
    </row>
    <row r="544" spans="1:6" ht="14" customHeight="1">
      <c r="A544" s="8">
        <v>17</v>
      </c>
      <c r="B544" s="7" t="str">
        <f>المدخلات!$F$5</f>
        <v>5:20–6:30 م</v>
      </c>
      <c r="C544" s="7">
        <v>11</v>
      </c>
      <c r="D544" s="7" t="s">
        <v>596</v>
      </c>
      <c r="E544" s="7" t="s">
        <v>668</v>
      </c>
      <c r="F544" s="2"/>
    </row>
    <row r="545" spans="1:6" ht="14" customHeight="1">
      <c r="A545" s="8">
        <v>17</v>
      </c>
      <c r="B545" s="7" t="str">
        <f>المدخلات!$F$5</f>
        <v>5:20–6:30 م</v>
      </c>
      <c r="C545" s="7">
        <v>12</v>
      </c>
      <c r="D545" s="7" t="s">
        <v>596</v>
      </c>
      <c r="E545" s="7" t="s">
        <v>577</v>
      </c>
      <c r="F545" s="2"/>
    </row>
    <row r="546" spans="1:6" ht="14" customHeight="1">
      <c r="A546" s="8">
        <v>17</v>
      </c>
      <c r="B546" s="7" t="str">
        <f>المدخلات!$F$6</f>
        <v>6:40–7:50 م</v>
      </c>
      <c r="C546" s="7">
        <v>10</v>
      </c>
      <c r="D546" s="7" t="s">
        <v>596</v>
      </c>
      <c r="E546" s="7" t="s">
        <v>570</v>
      </c>
      <c r="F546" s="2"/>
    </row>
    <row r="547" spans="1:6" ht="14" customHeight="1">
      <c r="A547" s="8">
        <v>17</v>
      </c>
      <c r="B547" s="7" t="str">
        <f>المدخلات!$F$6</f>
        <v>6:40–7:50 م</v>
      </c>
      <c r="C547" s="7">
        <v>11</v>
      </c>
      <c r="D547" s="7" t="s">
        <v>596</v>
      </c>
      <c r="E547" s="7" t="s">
        <v>1388</v>
      </c>
      <c r="F547" s="2"/>
    </row>
    <row r="548" spans="1:6" ht="14" customHeight="1">
      <c r="A548" s="8">
        <v>18</v>
      </c>
      <c r="B548" s="7" t="str">
        <f>المدخلات!$F$4</f>
        <v>4:00–5:10 م</v>
      </c>
      <c r="C548" s="7">
        <v>1</v>
      </c>
      <c r="D548" s="7" t="s">
        <v>593</v>
      </c>
      <c r="E548" s="7" t="s">
        <v>129</v>
      </c>
      <c r="F548" s="2"/>
    </row>
    <row r="549" spans="1:6" ht="14" customHeight="1">
      <c r="A549" s="8">
        <v>18</v>
      </c>
      <c r="B549" s="7" t="str">
        <f>المدخلات!$F$4</f>
        <v>4:00–5:10 م</v>
      </c>
      <c r="C549" s="7">
        <v>2</v>
      </c>
      <c r="D549" s="7" t="s">
        <v>593</v>
      </c>
      <c r="E549" s="7" t="s">
        <v>1041</v>
      </c>
      <c r="F549" s="2"/>
    </row>
    <row r="550" spans="1:6" ht="14" customHeight="1">
      <c r="A550" s="8">
        <v>18</v>
      </c>
      <c r="B550" s="7" t="str">
        <f>المدخلات!$F$4</f>
        <v>4:00–5:10 م</v>
      </c>
      <c r="C550" s="7">
        <v>3</v>
      </c>
      <c r="D550" s="7" t="s">
        <v>593</v>
      </c>
      <c r="E550" s="7" t="s">
        <v>72</v>
      </c>
      <c r="F550" s="2"/>
    </row>
    <row r="551" spans="1:6" ht="14" customHeight="1">
      <c r="A551" s="8">
        <v>18</v>
      </c>
      <c r="B551" s="7" t="str">
        <f>المدخلات!$F$5</f>
        <v>5:20–6:30 م</v>
      </c>
      <c r="C551" s="7">
        <v>1</v>
      </c>
      <c r="D551" s="7" t="s">
        <v>593</v>
      </c>
      <c r="E551" s="7" t="s">
        <v>30</v>
      </c>
      <c r="F551" s="2"/>
    </row>
    <row r="552" spans="1:6" ht="14" customHeight="1">
      <c r="A552" s="8">
        <v>18</v>
      </c>
      <c r="B552" s="7" t="str">
        <f>المدخلات!$F$5</f>
        <v>5:20–6:30 م</v>
      </c>
      <c r="C552" s="7">
        <v>2</v>
      </c>
      <c r="D552" s="7" t="s">
        <v>593</v>
      </c>
      <c r="E552" s="7" t="s">
        <v>19</v>
      </c>
      <c r="F552" s="2"/>
    </row>
    <row r="553" spans="1:6" ht="14" customHeight="1">
      <c r="A553" s="8">
        <v>18</v>
      </c>
      <c r="B553" s="7" t="str">
        <f>المدخلات!$F$5</f>
        <v>5:20–6:30 م</v>
      </c>
      <c r="C553" s="7">
        <v>3</v>
      </c>
      <c r="D553" s="7" t="s">
        <v>593</v>
      </c>
      <c r="E553" s="7" t="s">
        <v>98</v>
      </c>
      <c r="F553" s="2"/>
    </row>
    <row r="554" spans="1:6" ht="14" customHeight="1">
      <c r="A554" s="8">
        <v>18</v>
      </c>
      <c r="B554" s="7" t="str">
        <f>المدخلات!$F$6</f>
        <v>6:40–7:50 م</v>
      </c>
      <c r="C554" s="7">
        <v>1</v>
      </c>
      <c r="D554" s="7" t="s">
        <v>593</v>
      </c>
      <c r="E554" s="7" t="s">
        <v>11</v>
      </c>
      <c r="F554" s="2"/>
    </row>
    <row r="555" spans="1:6" ht="14" customHeight="1">
      <c r="A555" s="8">
        <v>18</v>
      </c>
      <c r="B555" s="7" t="str">
        <f>المدخلات!$F$6</f>
        <v>6:40–7:50 م</v>
      </c>
      <c r="C555" s="7">
        <v>2</v>
      </c>
      <c r="D555" s="7" t="s">
        <v>593</v>
      </c>
      <c r="E555" s="7" t="s">
        <v>46</v>
      </c>
      <c r="F555" s="2"/>
    </row>
    <row r="556" spans="1:6" ht="14" customHeight="1">
      <c r="A556" s="8">
        <v>18</v>
      </c>
      <c r="B556" s="7" t="str">
        <f>المدخلات!$F$4</f>
        <v>4:00–5:10 م</v>
      </c>
      <c r="C556" s="7">
        <v>4</v>
      </c>
      <c r="D556" s="7" t="s">
        <v>594</v>
      </c>
      <c r="E556" s="7" t="s">
        <v>301</v>
      </c>
      <c r="F556" s="2"/>
    </row>
    <row r="557" spans="1:6" ht="14" customHeight="1">
      <c r="A557" s="8">
        <v>18</v>
      </c>
      <c r="B557" s="7" t="str">
        <f>المدخلات!$F$4</f>
        <v>4:00–5:10 م</v>
      </c>
      <c r="C557" s="7">
        <v>5</v>
      </c>
      <c r="D557" s="7" t="s">
        <v>594</v>
      </c>
      <c r="E557" s="7" t="s">
        <v>1442</v>
      </c>
      <c r="F557" s="2"/>
    </row>
    <row r="558" spans="1:6" ht="14" customHeight="1">
      <c r="A558" s="8">
        <v>18</v>
      </c>
      <c r="B558" s="7" t="str">
        <f>المدخلات!$F$4</f>
        <v>4:00–5:10 م</v>
      </c>
      <c r="C558" s="7">
        <v>6</v>
      </c>
      <c r="D558" s="7" t="s">
        <v>594</v>
      </c>
      <c r="E558" s="7" t="s">
        <v>267</v>
      </c>
      <c r="F558" s="2"/>
    </row>
    <row r="559" spans="1:6" ht="14" customHeight="1">
      <c r="A559" s="8">
        <v>18</v>
      </c>
      <c r="B559" s="7" t="str">
        <f>المدخلات!$F$5</f>
        <v>5:20–6:30 م</v>
      </c>
      <c r="C559" s="7">
        <v>4</v>
      </c>
      <c r="D559" s="7" t="s">
        <v>594</v>
      </c>
      <c r="E559" s="7" t="s">
        <v>239</v>
      </c>
      <c r="F559" s="2"/>
    </row>
    <row r="560" spans="1:6" ht="14" customHeight="1">
      <c r="A560" s="8">
        <v>18</v>
      </c>
      <c r="B560" s="7" t="str">
        <f>المدخلات!$F$5</f>
        <v>5:20–6:30 م</v>
      </c>
      <c r="C560" s="7">
        <v>5</v>
      </c>
      <c r="D560" s="7" t="s">
        <v>594</v>
      </c>
      <c r="E560" s="7" t="s">
        <v>210</v>
      </c>
      <c r="F560" s="2"/>
    </row>
    <row r="561" spans="1:6" ht="14" customHeight="1">
      <c r="A561" s="8">
        <v>18</v>
      </c>
      <c r="B561" s="7" t="str">
        <f>المدخلات!$F$5</f>
        <v>5:20–6:30 م</v>
      </c>
      <c r="C561" s="7">
        <v>6</v>
      </c>
      <c r="D561" s="7" t="s">
        <v>594</v>
      </c>
      <c r="E561" s="7" t="s">
        <v>283</v>
      </c>
      <c r="F561" s="2"/>
    </row>
    <row r="562" spans="1:6" ht="14" customHeight="1">
      <c r="A562" s="8">
        <v>18</v>
      </c>
      <c r="B562" s="7" t="str">
        <f>المدخلات!$F$6</f>
        <v>6:40–7:50 م</v>
      </c>
      <c r="C562" s="7">
        <v>4</v>
      </c>
      <c r="D562" s="7" t="s">
        <v>594</v>
      </c>
      <c r="E562" s="7" t="s">
        <v>177</v>
      </c>
      <c r="F562" s="2"/>
    </row>
    <row r="563" spans="1:6" ht="14" customHeight="1">
      <c r="A563" s="8">
        <v>18</v>
      </c>
      <c r="B563" s="7" t="str">
        <f>المدخلات!$F$6</f>
        <v>6:40–7:50 م</v>
      </c>
      <c r="C563" s="7">
        <v>5</v>
      </c>
      <c r="D563" s="7" t="s">
        <v>594</v>
      </c>
      <c r="E563" s="7" t="s">
        <v>252</v>
      </c>
      <c r="F563" s="2"/>
    </row>
    <row r="564" spans="1:6" ht="14" customHeight="1">
      <c r="A564" s="8">
        <v>18</v>
      </c>
      <c r="B564" s="7" t="str">
        <f>المدخلات!$F$4</f>
        <v>4:00–5:10 م</v>
      </c>
      <c r="C564" s="7">
        <v>7</v>
      </c>
      <c r="D564" s="7" t="s">
        <v>595</v>
      </c>
      <c r="E564" s="7" t="s">
        <v>467</v>
      </c>
      <c r="F564" s="2"/>
    </row>
    <row r="565" spans="1:6" ht="14" customHeight="1">
      <c r="A565" s="8">
        <v>18</v>
      </c>
      <c r="B565" s="7" t="str">
        <f>المدخلات!$F$4</f>
        <v>4:00–5:10 م</v>
      </c>
      <c r="C565" s="7">
        <v>8</v>
      </c>
      <c r="D565" s="7" t="s">
        <v>595</v>
      </c>
      <c r="E565" s="7" t="s">
        <v>1443</v>
      </c>
      <c r="F565" s="2"/>
    </row>
    <row r="566" spans="1:6" ht="14" customHeight="1">
      <c r="A566" s="8">
        <v>18</v>
      </c>
      <c r="B566" s="7" t="str">
        <f>المدخلات!$F$4</f>
        <v>4:00–5:10 م</v>
      </c>
      <c r="C566" s="7">
        <v>9</v>
      </c>
      <c r="D566" s="7" t="s">
        <v>595</v>
      </c>
      <c r="E566" s="7" t="s">
        <v>440</v>
      </c>
      <c r="F566" s="2"/>
    </row>
    <row r="567" spans="1:6" ht="14" customHeight="1">
      <c r="A567" s="8">
        <v>18</v>
      </c>
      <c r="B567" s="7" t="str">
        <f>المدخلات!$F$5</f>
        <v>5:20–6:30 م</v>
      </c>
      <c r="C567" s="7">
        <v>7</v>
      </c>
      <c r="D567" s="7" t="s">
        <v>595</v>
      </c>
      <c r="E567" s="7" t="s">
        <v>410</v>
      </c>
      <c r="F567" s="2"/>
    </row>
    <row r="568" spans="1:6" ht="14" customHeight="1">
      <c r="A568" s="8">
        <v>18</v>
      </c>
      <c r="B568" s="7" t="str">
        <f>المدخلات!$F$5</f>
        <v>5:20–6:30 م</v>
      </c>
      <c r="C568" s="7">
        <v>8</v>
      </c>
      <c r="D568" s="7" t="s">
        <v>595</v>
      </c>
      <c r="E568" s="7" t="s">
        <v>377</v>
      </c>
      <c r="F568" s="2"/>
    </row>
    <row r="569" spans="1:6" ht="14" customHeight="1">
      <c r="A569" s="8">
        <v>18</v>
      </c>
      <c r="B569" s="7" t="str">
        <f>المدخلات!$F$5</f>
        <v>5:20–6:30 م</v>
      </c>
      <c r="C569" s="7">
        <v>9</v>
      </c>
      <c r="D569" s="7" t="s">
        <v>595</v>
      </c>
      <c r="E569" s="7" t="s">
        <v>450</v>
      </c>
      <c r="F569" s="2"/>
    </row>
    <row r="570" spans="1:6" ht="14" customHeight="1">
      <c r="A570" s="8">
        <v>18</v>
      </c>
      <c r="B570" s="7" t="str">
        <f>المدخلات!$F$6</f>
        <v>6:40–7:50 م</v>
      </c>
      <c r="C570" s="7">
        <v>7</v>
      </c>
      <c r="D570" s="7" t="s">
        <v>595</v>
      </c>
      <c r="E570" s="7" t="s">
        <v>344</v>
      </c>
      <c r="F570" s="2"/>
    </row>
    <row r="571" spans="1:6" ht="14" customHeight="1">
      <c r="A571" s="8">
        <v>18</v>
      </c>
      <c r="B571" s="7" t="str">
        <f>المدخلات!$F$6</f>
        <v>6:40–7:50 م</v>
      </c>
      <c r="C571" s="7">
        <v>8</v>
      </c>
      <c r="D571" s="7" t="s">
        <v>595</v>
      </c>
      <c r="E571" s="7" t="s">
        <v>426</v>
      </c>
      <c r="F571" s="2"/>
    </row>
    <row r="572" spans="1:6" ht="14" customHeight="1">
      <c r="A572" s="8">
        <v>18</v>
      </c>
      <c r="B572" s="7" t="str">
        <f>المدخلات!$F$4</f>
        <v>4:00–5:10 م</v>
      </c>
      <c r="C572" s="7">
        <v>10</v>
      </c>
      <c r="D572" s="7" t="s">
        <v>596</v>
      </c>
      <c r="E572" s="7" t="s">
        <v>571</v>
      </c>
      <c r="F572" s="2"/>
    </row>
    <row r="573" spans="1:6" ht="14" customHeight="1">
      <c r="A573" s="8">
        <v>18</v>
      </c>
      <c r="B573" s="7" t="str">
        <f>المدخلات!$F$4</f>
        <v>4:00–5:10 م</v>
      </c>
      <c r="C573" s="7">
        <v>11</v>
      </c>
      <c r="D573" s="7" t="s">
        <v>596</v>
      </c>
      <c r="E573" s="7" t="s">
        <v>671</v>
      </c>
      <c r="F573" s="2"/>
    </row>
    <row r="574" spans="1:6" ht="14" customHeight="1">
      <c r="A574" s="8">
        <v>18</v>
      </c>
      <c r="B574" s="7" t="str">
        <f>المدخلات!$F$4</f>
        <v>4:00–5:10 م</v>
      </c>
      <c r="C574" s="7">
        <v>12</v>
      </c>
      <c r="D574" s="7" t="s">
        <v>596</v>
      </c>
      <c r="E574" s="7" t="s">
        <v>673</v>
      </c>
      <c r="F574" s="2"/>
    </row>
    <row r="575" spans="1:6" ht="14" customHeight="1">
      <c r="A575" s="8">
        <v>18</v>
      </c>
      <c r="B575" s="7" t="str">
        <f>المدخلات!$F$5</f>
        <v>5:20–6:30 م</v>
      </c>
      <c r="C575" s="7">
        <v>10</v>
      </c>
      <c r="D575" s="7" t="s">
        <v>596</v>
      </c>
      <c r="E575" s="7" t="s">
        <v>564</v>
      </c>
      <c r="F575" s="2"/>
    </row>
    <row r="576" spans="1:6" ht="14" customHeight="1">
      <c r="A576" s="8">
        <v>18</v>
      </c>
      <c r="B576" s="7" t="str">
        <f>المدخلات!$F$5</f>
        <v>5:20–6:30 م</v>
      </c>
      <c r="C576" s="7">
        <v>11</v>
      </c>
      <c r="D576" s="7" t="s">
        <v>596</v>
      </c>
      <c r="E576" s="7" t="s">
        <v>575</v>
      </c>
      <c r="F576" s="2"/>
    </row>
    <row r="577" spans="1:6" ht="14" customHeight="1">
      <c r="A577" s="8">
        <v>18</v>
      </c>
      <c r="B577" s="7" t="str">
        <f>المدخلات!$F$5</f>
        <v>5:20–6:30 م</v>
      </c>
      <c r="C577" s="7">
        <v>12</v>
      </c>
      <c r="D577" s="7" t="s">
        <v>596</v>
      </c>
      <c r="E577" s="7" t="s">
        <v>1366</v>
      </c>
      <c r="F577" s="2"/>
    </row>
    <row r="578" spans="1:6" ht="14" customHeight="1">
      <c r="A578" s="8">
        <v>18</v>
      </c>
      <c r="B578" s="7" t="str">
        <f>المدخلات!$F$6</f>
        <v>6:40–7:50 م</v>
      </c>
      <c r="C578" s="7">
        <v>10</v>
      </c>
      <c r="D578" s="7" t="s">
        <v>596</v>
      </c>
      <c r="E578" s="7" t="s">
        <v>672</v>
      </c>
      <c r="F578" s="2"/>
    </row>
    <row r="579" spans="1:6" ht="14" customHeight="1">
      <c r="A579" s="8">
        <v>18</v>
      </c>
      <c r="B579" s="7" t="str">
        <f>المدخلات!$F$6</f>
        <v>6:40–7:50 م</v>
      </c>
      <c r="C579" s="7">
        <v>11</v>
      </c>
      <c r="D579" s="7" t="s">
        <v>596</v>
      </c>
      <c r="E579" s="7" t="s">
        <v>1406</v>
      </c>
      <c r="F579" s="2"/>
    </row>
    <row r="580" spans="1:6" ht="14" customHeight="1">
      <c r="A580" s="8">
        <v>19</v>
      </c>
      <c r="B580" s="7" t="str">
        <f>المدخلات!$F$4</f>
        <v>4:00–5:10 م</v>
      </c>
      <c r="C580" s="7">
        <v>1</v>
      </c>
      <c r="D580" s="7" t="s">
        <v>593</v>
      </c>
      <c r="E580" s="7" t="s">
        <v>10</v>
      </c>
      <c r="F580" s="2"/>
    </row>
    <row r="581" spans="1:6" ht="14" customHeight="1">
      <c r="A581" s="8">
        <v>19</v>
      </c>
      <c r="B581" s="7" t="str">
        <f>المدخلات!$F$4</f>
        <v>4:00–5:10 م</v>
      </c>
      <c r="C581" s="7">
        <v>2</v>
      </c>
      <c r="D581" s="7" t="s">
        <v>593</v>
      </c>
      <c r="E581" s="7" t="s">
        <v>103</v>
      </c>
      <c r="F581" s="2"/>
    </row>
    <row r="582" spans="1:6" ht="14" customHeight="1">
      <c r="A582" s="8">
        <v>19</v>
      </c>
      <c r="B582" s="7" t="str">
        <f>المدخلات!$F$4</f>
        <v>4:00–5:10 م</v>
      </c>
      <c r="C582" s="7">
        <v>3</v>
      </c>
      <c r="D582" s="7" t="s">
        <v>593</v>
      </c>
      <c r="E582" s="7" t="s">
        <v>17</v>
      </c>
      <c r="F582" s="2"/>
    </row>
    <row r="583" spans="1:6" ht="14" customHeight="1">
      <c r="A583" s="8">
        <v>19</v>
      </c>
      <c r="B583" s="7" t="str">
        <f>المدخلات!$F$5</f>
        <v>5:20–6:30 م</v>
      </c>
      <c r="C583" s="7">
        <v>1</v>
      </c>
      <c r="D583" s="7" t="s">
        <v>593</v>
      </c>
      <c r="E583" s="7" t="s">
        <v>151</v>
      </c>
      <c r="F583" s="2"/>
    </row>
    <row r="584" spans="1:6" ht="14" customHeight="1">
      <c r="A584" s="8">
        <v>19</v>
      </c>
      <c r="B584" s="7" t="str">
        <f>المدخلات!$F$5</f>
        <v>5:20–6:30 م</v>
      </c>
      <c r="C584" s="7">
        <v>2</v>
      </c>
      <c r="D584" s="7" t="s">
        <v>593</v>
      </c>
      <c r="E584" s="7" t="s">
        <v>56</v>
      </c>
      <c r="F584" s="2"/>
    </row>
    <row r="585" spans="1:6" ht="14" customHeight="1">
      <c r="A585" s="8">
        <v>19</v>
      </c>
      <c r="B585" s="7" t="str">
        <f>المدخلات!$F$5</f>
        <v>5:20–6:30 م</v>
      </c>
      <c r="C585" s="7">
        <v>3</v>
      </c>
      <c r="D585" s="7" t="s">
        <v>593</v>
      </c>
      <c r="E585" s="7" t="s">
        <v>41</v>
      </c>
      <c r="F585" s="2"/>
    </row>
    <row r="586" spans="1:6" ht="14" customHeight="1">
      <c r="A586" s="8">
        <v>19</v>
      </c>
      <c r="B586" s="7" t="str">
        <f>المدخلات!$F$6</f>
        <v>6:40–7:50 م</v>
      </c>
      <c r="C586" s="7">
        <v>1</v>
      </c>
      <c r="D586" s="7" t="s">
        <v>593</v>
      </c>
      <c r="E586" s="7" t="s">
        <v>92</v>
      </c>
      <c r="F586" s="2"/>
    </row>
    <row r="587" spans="1:6" ht="14" customHeight="1">
      <c r="A587" s="8">
        <v>19</v>
      </c>
      <c r="B587" s="7" t="str">
        <f>المدخلات!$F$6</f>
        <v>6:40–7:50 م</v>
      </c>
      <c r="C587" s="7">
        <v>2</v>
      </c>
      <c r="D587" s="7" t="s">
        <v>593</v>
      </c>
      <c r="E587" s="7" t="s">
        <v>23</v>
      </c>
      <c r="F587" s="2"/>
    </row>
    <row r="588" spans="1:6" ht="14" customHeight="1">
      <c r="A588" s="8">
        <v>19</v>
      </c>
      <c r="B588" s="7" t="str">
        <f>المدخلات!$F$4</f>
        <v>4:00–5:10 م</v>
      </c>
      <c r="C588" s="7">
        <v>4</v>
      </c>
      <c r="D588" s="7" t="s">
        <v>594</v>
      </c>
      <c r="E588" s="7" t="s">
        <v>223</v>
      </c>
      <c r="F588" s="2"/>
    </row>
    <row r="589" spans="1:6" ht="14" customHeight="1">
      <c r="A589" s="8">
        <v>19</v>
      </c>
      <c r="B589" s="7" t="str">
        <f>المدخلات!$F$4</f>
        <v>4:00–5:10 م</v>
      </c>
      <c r="C589" s="7">
        <v>5</v>
      </c>
      <c r="D589" s="7" t="s">
        <v>594</v>
      </c>
      <c r="E589" s="7" t="s">
        <v>291</v>
      </c>
      <c r="F589" s="2"/>
    </row>
    <row r="590" spans="1:6" ht="14" customHeight="1">
      <c r="A590" s="8">
        <v>19</v>
      </c>
      <c r="B590" s="7" t="str">
        <f>المدخلات!$F$4</f>
        <v>4:00–5:10 م</v>
      </c>
      <c r="C590" s="7">
        <v>6</v>
      </c>
      <c r="D590" s="7" t="s">
        <v>594</v>
      </c>
      <c r="E590" s="7" t="s">
        <v>196</v>
      </c>
      <c r="F590" s="2"/>
    </row>
    <row r="591" spans="1:6" ht="14" customHeight="1">
      <c r="A591" s="8">
        <v>19</v>
      </c>
      <c r="B591" s="7" t="str">
        <f>المدخلات!$F$5</f>
        <v>5:20–6:30 م</v>
      </c>
      <c r="C591" s="7">
        <v>4</v>
      </c>
      <c r="D591" s="7" t="s">
        <v>594</v>
      </c>
      <c r="E591" s="7" t="s">
        <v>324</v>
      </c>
      <c r="F591" s="2"/>
    </row>
    <row r="592" spans="1:6" ht="14" customHeight="1">
      <c r="A592" s="8">
        <v>19</v>
      </c>
      <c r="B592" s="7" t="str">
        <f>المدخلات!$F$5</f>
        <v>5:20–6:30 م</v>
      </c>
      <c r="C592" s="7">
        <v>5</v>
      </c>
      <c r="D592" s="7" t="s">
        <v>594</v>
      </c>
      <c r="E592" s="7" t="s">
        <v>259</v>
      </c>
      <c r="F592" s="2"/>
    </row>
    <row r="593" spans="1:6" ht="14" customHeight="1">
      <c r="A593" s="8">
        <v>19</v>
      </c>
      <c r="B593" s="7" t="str">
        <f>المدخلات!$F$5</f>
        <v>5:20–6:30 م</v>
      </c>
      <c r="C593" s="7">
        <v>6</v>
      </c>
      <c r="D593" s="7" t="s">
        <v>594</v>
      </c>
      <c r="E593" s="7" t="s">
        <v>243</v>
      </c>
      <c r="F593" s="2"/>
    </row>
    <row r="594" spans="1:6" ht="14" customHeight="1">
      <c r="A594" s="8">
        <v>19</v>
      </c>
      <c r="B594" s="7" t="str">
        <f>المدخلات!$F$6</f>
        <v>6:40–7:50 م</v>
      </c>
      <c r="C594" s="7">
        <v>4</v>
      </c>
      <c r="D594" s="7" t="s">
        <v>594</v>
      </c>
      <c r="E594" s="7" t="s">
        <v>273</v>
      </c>
      <c r="F594" s="2"/>
    </row>
    <row r="595" spans="1:6" ht="14" customHeight="1">
      <c r="A595" s="8">
        <v>19</v>
      </c>
      <c r="B595" s="7" t="str">
        <f>المدخلات!$F$6</f>
        <v>6:40–7:50 م</v>
      </c>
      <c r="C595" s="7">
        <v>5</v>
      </c>
      <c r="D595" s="7" t="s">
        <v>594</v>
      </c>
      <c r="E595" s="7" t="s">
        <v>234</v>
      </c>
      <c r="F595" s="2"/>
    </row>
    <row r="596" spans="1:6" ht="14" customHeight="1">
      <c r="A596" s="8">
        <v>19</v>
      </c>
      <c r="B596" s="7" t="str">
        <f>المدخلات!$F$4</f>
        <v>4:00–5:10 م</v>
      </c>
      <c r="C596" s="7">
        <v>7</v>
      </c>
      <c r="D596" s="7" t="s">
        <v>595</v>
      </c>
      <c r="E596" s="7" t="s">
        <v>391</v>
      </c>
      <c r="F596" s="2"/>
    </row>
    <row r="597" spans="1:6" ht="14" customHeight="1">
      <c r="A597" s="8">
        <v>19</v>
      </c>
      <c r="B597" s="7" t="str">
        <f>المدخلات!$F$4</f>
        <v>4:00–5:10 م</v>
      </c>
      <c r="C597" s="7">
        <v>8</v>
      </c>
      <c r="D597" s="7" t="s">
        <v>595</v>
      </c>
      <c r="E597" s="7" t="s">
        <v>456</v>
      </c>
      <c r="F597" s="2"/>
    </row>
    <row r="598" spans="1:6" ht="14" customHeight="1">
      <c r="A598" s="8">
        <v>19</v>
      </c>
      <c r="B598" s="7" t="str">
        <f>المدخلات!$F$4</f>
        <v>4:00–5:10 م</v>
      </c>
      <c r="C598" s="7">
        <v>9</v>
      </c>
      <c r="D598" s="7" t="s">
        <v>595</v>
      </c>
      <c r="E598" s="7" t="s">
        <v>362</v>
      </c>
      <c r="F598" s="2"/>
    </row>
    <row r="599" spans="1:6" ht="14" customHeight="1">
      <c r="A599" s="8">
        <v>19</v>
      </c>
      <c r="B599" s="7" t="str">
        <f>المدخلات!$F$5</f>
        <v>5:20–6:30 م</v>
      </c>
      <c r="C599" s="7">
        <v>7</v>
      </c>
      <c r="D599" s="7" t="s">
        <v>595</v>
      </c>
      <c r="E599" s="7" t="s">
        <v>487</v>
      </c>
      <c r="F599" s="2"/>
    </row>
    <row r="600" spans="1:6" ht="14" customHeight="1">
      <c r="A600" s="8">
        <v>19</v>
      </c>
      <c r="B600" s="7" t="str">
        <f>المدخلات!$F$5</f>
        <v>5:20–6:30 م</v>
      </c>
      <c r="C600" s="7">
        <v>8</v>
      </c>
      <c r="D600" s="7" t="s">
        <v>595</v>
      </c>
      <c r="E600" s="7" t="s">
        <v>434</v>
      </c>
      <c r="F600" s="2"/>
    </row>
    <row r="601" spans="1:6" ht="14" customHeight="1">
      <c r="A601" s="8">
        <v>19</v>
      </c>
      <c r="B601" s="7" t="str">
        <f>المدخلات!$F$5</f>
        <v>5:20–6:30 م</v>
      </c>
      <c r="C601" s="7">
        <v>9</v>
      </c>
      <c r="D601" s="7" t="s">
        <v>595</v>
      </c>
      <c r="E601" s="7" t="s">
        <v>419</v>
      </c>
      <c r="F601" s="2"/>
    </row>
    <row r="602" spans="1:6" ht="14" customHeight="1">
      <c r="A602" s="8">
        <v>19</v>
      </c>
      <c r="B602" s="7" t="str">
        <f>المدخلات!$F$6</f>
        <v>6:40–7:50 م</v>
      </c>
      <c r="C602" s="7">
        <v>7</v>
      </c>
      <c r="D602" s="7" t="s">
        <v>595</v>
      </c>
      <c r="E602" s="7" t="s">
        <v>445</v>
      </c>
      <c r="F602" s="2"/>
    </row>
    <row r="603" spans="1:6" ht="14" customHeight="1">
      <c r="A603" s="8">
        <v>19</v>
      </c>
      <c r="B603" s="7" t="str">
        <f>المدخلات!$F$6</f>
        <v>6:40–7:50 م</v>
      </c>
      <c r="C603" s="7">
        <v>8</v>
      </c>
      <c r="D603" s="7" t="s">
        <v>595</v>
      </c>
      <c r="E603" s="7" t="s">
        <v>405</v>
      </c>
      <c r="F603" s="2"/>
    </row>
    <row r="604" spans="1:6" ht="14" customHeight="1">
      <c r="A604" s="8">
        <v>20</v>
      </c>
      <c r="B604" s="7" t="str">
        <f>المدخلات!$F$4</f>
        <v>4:00–5:10 م</v>
      </c>
      <c r="C604" s="7">
        <v>1</v>
      </c>
      <c r="D604" s="7" t="s">
        <v>593</v>
      </c>
      <c r="E604" s="7" t="s">
        <v>833</v>
      </c>
      <c r="F604" s="2"/>
    </row>
    <row r="605" spans="1:6" ht="14" customHeight="1">
      <c r="A605" s="8">
        <v>20</v>
      </c>
      <c r="B605" s="7" t="str">
        <f>المدخلات!$F$4</f>
        <v>4:00–5:10 م</v>
      </c>
      <c r="C605" s="7">
        <v>4</v>
      </c>
      <c r="D605" s="7" t="s">
        <v>594</v>
      </c>
      <c r="E605" s="7" t="s">
        <v>975</v>
      </c>
      <c r="F605" s="2"/>
    </row>
    <row r="606" spans="1:6" ht="14" customHeight="1">
      <c r="A606" s="8">
        <v>20</v>
      </c>
      <c r="B606" s="7" t="str">
        <f>المدخلات!$F$4</f>
        <v>4:00–5:10 م</v>
      </c>
      <c r="C606" s="7">
        <v>7</v>
      </c>
      <c r="D606" s="7" t="s">
        <v>595</v>
      </c>
      <c r="E606" s="7" t="s">
        <v>976</v>
      </c>
      <c r="F606" s="2"/>
    </row>
    <row r="607" spans="1:6" ht="14" customHeight="1">
      <c r="A607" s="8">
        <v>21</v>
      </c>
      <c r="B607" s="7" t="str">
        <f>المدخلات!$F$4</f>
        <v>4:00–5:10 م</v>
      </c>
      <c r="C607" s="7">
        <v>1</v>
      </c>
      <c r="D607" s="7" t="s">
        <v>655</v>
      </c>
      <c r="E607" s="7" t="s">
        <v>820</v>
      </c>
      <c r="F607" s="2"/>
    </row>
    <row r="608" spans="1:6" ht="14" customHeight="1">
      <c r="A608" s="8">
        <v>21</v>
      </c>
      <c r="B608" s="7" t="str">
        <f>المدخلات!$F$4</f>
        <v>4:00–5:10 م</v>
      </c>
      <c r="C608" s="7">
        <v>2</v>
      </c>
      <c r="D608" s="7" t="s">
        <v>655</v>
      </c>
      <c r="E608" s="7" t="s">
        <v>821</v>
      </c>
      <c r="F608" s="2"/>
    </row>
    <row r="609" spans="1:68" ht="14" customHeight="1">
      <c r="A609" s="8">
        <v>22</v>
      </c>
      <c r="B609" s="7" t="str">
        <f>المدخلات!$F$4</f>
        <v>4:00–5:10 م</v>
      </c>
      <c r="C609" s="7">
        <v>1</v>
      </c>
      <c r="D609" s="7" t="s">
        <v>656</v>
      </c>
      <c r="E609" s="7" t="s">
        <v>657</v>
      </c>
      <c r="F609" s="2"/>
    </row>
    <row r="610" spans="1:68">
      <c r="A610" s="2"/>
      <c r="B610" s="2"/>
      <c r="C610" s="2"/>
      <c r="D610" s="2"/>
      <c r="E610" s="2"/>
    </row>
    <row r="611" spans="1:68">
      <c r="A611" s="2"/>
      <c r="B611" s="2"/>
      <c r="C611" s="2"/>
      <c r="D611" s="2"/>
      <c r="E611" s="2"/>
    </row>
    <row r="612" spans="1:68" ht="14.5">
      <c r="A612" s="17" t="s">
        <v>828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</row>
    <row r="613" spans="1:68" ht="14.5">
      <c r="A613" s="6" t="s">
        <v>829</v>
      </c>
      <c r="B613" s="6">
        <v>1</v>
      </c>
      <c r="C613" s="6">
        <v>2</v>
      </c>
      <c r="D613" s="6">
        <v>3</v>
      </c>
      <c r="E613" s="6">
        <v>4</v>
      </c>
      <c r="F613" s="6">
        <v>5</v>
      </c>
      <c r="G613" s="6">
        <v>6</v>
      </c>
      <c r="H613" s="6">
        <v>7</v>
      </c>
      <c r="I613" s="6">
        <v>8</v>
      </c>
      <c r="J613" s="6">
        <v>9</v>
      </c>
      <c r="K613" s="6">
        <v>10</v>
      </c>
      <c r="L613" s="6">
        <v>11</v>
      </c>
      <c r="M613" s="6">
        <v>12</v>
      </c>
      <c r="N613" s="6">
        <v>13</v>
      </c>
      <c r="O613" s="6">
        <v>14</v>
      </c>
      <c r="P613" s="6">
        <v>15</v>
      </c>
      <c r="Q613" s="6">
        <v>16</v>
      </c>
      <c r="R613" s="6">
        <v>17</v>
      </c>
      <c r="S613" s="6">
        <v>18</v>
      </c>
      <c r="T613" s="6">
        <v>19</v>
      </c>
      <c r="U613" s="6">
        <v>20</v>
      </c>
      <c r="V613" s="6">
        <v>21</v>
      </c>
      <c r="W613" s="6">
        <v>22</v>
      </c>
      <c r="X613" s="6">
        <v>23</v>
      </c>
      <c r="Y613" s="6">
        <v>24</v>
      </c>
      <c r="Z613" s="6">
        <v>25</v>
      </c>
      <c r="AA613" s="6">
        <v>26</v>
      </c>
      <c r="AB613" s="6">
        <v>27</v>
      </c>
      <c r="AC613" s="6">
        <v>28</v>
      </c>
      <c r="AD613" s="6">
        <v>29</v>
      </c>
      <c r="AE613" s="6">
        <v>30</v>
      </c>
      <c r="AF613" s="6">
        <v>31</v>
      </c>
      <c r="AG613" s="6">
        <v>32</v>
      </c>
      <c r="AH613" s="6">
        <v>33</v>
      </c>
      <c r="AI613" s="6">
        <v>34</v>
      </c>
      <c r="AJ613" s="6">
        <v>35</v>
      </c>
      <c r="AK613" s="6">
        <v>36</v>
      </c>
      <c r="AL613" s="6">
        <v>37</v>
      </c>
      <c r="AM613" s="6">
        <v>38</v>
      </c>
      <c r="AN613" s="6">
        <v>39</v>
      </c>
      <c r="AO613" s="6">
        <v>40</v>
      </c>
      <c r="AP613" s="6">
        <v>41</v>
      </c>
      <c r="AQ613" s="6">
        <v>42</v>
      </c>
      <c r="AR613" s="6">
        <v>43</v>
      </c>
      <c r="AS613" s="6">
        <v>44</v>
      </c>
      <c r="AT613" s="6">
        <v>45</v>
      </c>
      <c r="AU613" s="6">
        <v>46</v>
      </c>
      <c r="AV613" s="6">
        <v>47</v>
      </c>
      <c r="AW613" s="6">
        <v>48</v>
      </c>
      <c r="AX613" s="6">
        <v>49</v>
      </c>
      <c r="AY613" s="6">
        <v>50</v>
      </c>
      <c r="AZ613" s="6">
        <v>51</v>
      </c>
      <c r="BA613" s="6">
        <v>52</v>
      </c>
      <c r="BB613" s="6">
        <v>53</v>
      </c>
      <c r="BC613" s="6">
        <v>54</v>
      </c>
      <c r="BD613" s="6">
        <v>55</v>
      </c>
      <c r="BE613" s="6">
        <v>56</v>
      </c>
      <c r="BF613" s="6">
        <v>57</v>
      </c>
      <c r="BG613" s="6">
        <v>58</v>
      </c>
      <c r="BH613" s="6">
        <v>59</v>
      </c>
      <c r="BI613" s="6">
        <v>60</v>
      </c>
      <c r="BJ613" s="6">
        <v>61</v>
      </c>
      <c r="BK613" s="6">
        <v>62</v>
      </c>
      <c r="BL613" s="6">
        <v>63</v>
      </c>
      <c r="BM613" s="6">
        <v>64</v>
      </c>
      <c r="BN613" s="6">
        <v>65</v>
      </c>
      <c r="BO613" s="6">
        <v>66</v>
      </c>
      <c r="BP613" s="6">
        <v>67</v>
      </c>
    </row>
    <row r="614" spans="1:68" ht="14.5">
      <c r="A614" s="14">
        <v>1</v>
      </c>
      <c r="B614" s="4" t="str">
        <f>IF($A614=B$613,"",COUNTIF($E$4:$E$609,$A614&amp;" ضد "&amp;B$613)+COUNTIF($E$4:$E$609,B$613&amp;" ضد "&amp;$A614))</f>
        <v/>
      </c>
      <c r="C614" s="4">
        <f>IF($A614=C$613,"",COUNTIF($E$4:$E$609,$A614&amp;" ضد "&amp;C$613)+COUNTIF($E$4:$E$609,C$613&amp;" ضد "&amp;$A614))</f>
        <v>2</v>
      </c>
      <c r="D614" s="4">
        <f>IF($A614=D$613,"",COUNTIF($E$4:$E$609,$A614&amp;" ضد "&amp;D$613)+COUNTIF($E$4:$E$609,D$613&amp;" ضد "&amp;$A614))</f>
        <v>1</v>
      </c>
      <c r="E614" s="4">
        <f>IF($A614=E$613,"",COUNTIF($E$4:$E$609,$A614&amp;" ضد "&amp;E$613)+COUNTIF($E$4:$E$609,E$613&amp;" ضد "&amp;$A614))</f>
        <v>1</v>
      </c>
      <c r="F614" s="4">
        <f>IF($A614=F$613,"",COUNTIF($E$4:$E$609,$A614&amp;" ضد "&amp;F$613)+COUNTIF($E$4:$E$609,F$613&amp;" ضد "&amp;$A614))</f>
        <v>1</v>
      </c>
      <c r="G614" s="4">
        <f>IF($A614=G$613,"",COUNTIF($E$4:$E$609,$A614&amp;" ضد "&amp;G$613)+COUNTIF($E$4:$E$609,G$613&amp;" ضد "&amp;$A614))</f>
        <v>1</v>
      </c>
      <c r="H614" s="4">
        <f>IF($A614=H$613,"",COUNTIF($E$4:$E$609,$A614&amp;" ضد "&amp;H$613)+COUNTIF($E$4:$E$609,H$613&amp;" ضد "&amp;$A614))</f>
        <v>1</v>
      </c>
      <c r="I614" s="4">
        <f>IF($A614=I$613,"",COUNTIF($E$4:$E$609,$A614&amp;" ضد "&amp;I$613)+COUNTIF($E$4:$E$609,I$613&amp;" ضد "&amp;$A614))</f>
        <v>1</v>
      </c>
      <c r="J614" s="4">
        <f>IF($A614=J$613,"",COUNTIF($E$4:$E$609,$A614&amp;" ضد "&amp;J$613)+COUNTIF($E$4:$E$609,J$613&amp;" ضد "&amp;$A614))</f>
        <v>1</v>
      </c>
      <c r="K614" s="4">
        <f>IF($A614=K$613,"",COUNTIF($E$4:$E$609,$A614&amp;" ضد "&amp;K$613)+COUNTIF($E$4:$E$609,K$613&amp;" ضد "&amp;$A614))</f>
        <v>1</v>
      </c>
      <c r="L614" s="4">
        <f>IF($A614=L$613,"",COUNTIF($E$4:$E$609,$A614&amp;" ضد "&amp;L$613)+COUNTIF($E$4:$E$609,L$613&amp;" ضد "&amp;$A614))</f>
        <v>1</v>
      </c>
      <c r="M614" s="4">
        <f>IF($A614=M$613,"",COUNTIF($E$4:$E$609,$A614&amp;" ضد "&amp;M$613)+COUNTIF($E$4:$E$609,M$613&amp;" ضد "&amp;$A614))</f>
        <v>1</v>
      </c>
      <c r="N614" s="4">
        <f>IF($A614=N$613,"",COUNTIF($E$4:$E$609,$A614&amp;" ضد "&amp;N$613)+COUNTIF($E$4:$E$609,N$613&amp;" ضد "&amp;$A614))</f>
        <v>1</v>
      </c>
      <c r="O614" s="4">
        <f>IF($A614=O$613,"",COUNTIF($E$4:$E$609,$A614&amp;" ضد "&amp;O$613)+COUNTIF($E$4:$E$609,O$613&amp;" ضد "&amp;$A614))</f>
        <v>1</v>
      </c>
      <c r="P614" s="4">
        <f>IF($A614=P$613,"",COUNTIF($E$4:$E$609,$A614&amp;" ضد "&amp;P$613)+COUNTIF($E$4:$E$609,P$613&amp;" ضد "&amp;$A614))</f>
        <v>1</v>
      </c>
      <c r="Q614" s="4">
        <f>IF($A614=Q$613,"",COUNTIF($E$4:$E$609,$A614&amp;" ضد "&amp;Q$613)+COUNTIF($E$4:$E$609,Q$613&amp;" ضد "&amp;$A614))</f>
        <v>1</v>
      </c>
      <c r="R614" s="4">
        <f>IF($A614=R$613,"",COUNTIF($E$4:$E$609,$A614&amp;" ضد "&amp;R$613)+COUNTIF($E$4:$E$609,R$613&amp;" ضد "&amp;$A614))</f>
        <v>2</v>
      </c>
      <c r="S614" s="4">
        <f>IF($A614=S$613,"",COUNTIF($E$4:$E$609,$A614&amp;" ضد "&amp;S$613)+COUNTIF($E$4:$E$609,S$613&amp;" ضد "&amp;$A614))</f>
        <v>0</v>
      </c>
      <c r="T614" s="4">
        <f>IF($A614=T$613,"",COUNTIF($E$4:$E$609,$A614&amp;" ضد "&amp;T$613)+COUNTIF($E$4:$E$609,T$613&amp;" ضد "&amp;$A614))</f>
        <v>0</v>
      </c>
      <c r="U614" s="4">
        <f>IF($A614=U$613,"",COUNTIF($E$4:$E$609,$A614&amp;" ضد "&amp;U$613)+COUNTIF($E$4:$E$609,U$613&amp;" ضد "&amp;$A614))</f>
        <v>0</v>
      </c>
      <c r="V614" s="4">
        <f>IF($A614=V$613,"",COUNTIF($E$4:$E$609,$A614&amp;" ضد "&amp;V$613)+COUNTIF($E$4:$E$609,V$613&amp;" ضد "&amp;$A614))</f>
        <v>0</v>
      </c>
      <c r="W614" s="4">
        <f>IF($A614=W$613,"",COUNTIF($E$4:$E$609,$A614&amp;" ضد "&amp;W$613)+COUNTIF($E$4:$E$609,W$613&amp;" ضد "&amp;$A614))</f>
        <v>0</v>
      </c>
      <c r="X614" s="4">
        <f>IF($A614=X$613,"",COUNTIF($E$4:$E$609,$A614&amp;" ضد "&amp;X$613)+COUNTIF($E$4:$E$609,X$613&amp;" ضد "&amp;$A614))</f>
        <v>0</v>
      </c>
      <c r="Y614" s="4">
        <f>IF($A614=Y$613,"",COUNTIF($E$4:$E$609,$A614&amp;" ضد "&amp;Y$613)+COUNTIF($E$4:$E$609,Y$613&amp;" ضد "&amp;$A614))</f>
        <v>0</v>
      </c>
      <c r="Z614" s="4">
        <f>IF($A614=Z$613,"",COUNTIF($E$4:$E$609,$A614&amp;" ضد "&amp;Z$613)+COUNTIF($E$4:$E$609,Z$613&amp;" ضد "&amp;$A614))</f>
        <v>0</v>
      </c>
      <c r="AA614" s="4">
        <f>IF($A614=AA$613,"",COUNTIF($E$4:$E$609,$A614&amp;" ضد "&amp;AA$613)+COUNTIF($E$4:$E$609,AA$613&amp;" ضد "&amp;$A614))</f>
        <v>0</v>
      </c>
      <c r="AB614" s="4">
        <f>IF($A614=AB$613,"",COUNTIF($E$4:$E$609,$A614&amp;" ضد "&amp;AB$613)+COUNTIF($E$4:$E$609,AB$613&amp;" ضد "&amp;$A614))</f>
        <v>0</v>
      </c>
      <c r="AC614" s="4">
        <f>IF($A614=AC$613,"",COUNTIF($E$4:$E$609,$A614&amp;" ضد "&amp;AC$613)+COUNTIF($E$4:$E$609,AC$613&amp;" ضد "&amp;$A614))</f>
        <v>0</v>
      </c>
      <c r="AD614" s="4">
        <f>IF($A614=AD$613,"",COUNTIF($E$4:$E$609,$A614&amp;" ضد "&amp;AD$613)+COUNTIF($E$4:$E$609,AD$613&amp;" ضد "&amp;$A614))</f>
        <v>0</v>
      </c>
      <c r="AE614" s="4">
        <f>IF($A614=AE$613,"",COUNTIF($E$4:$E$609,$A614&amp;" ضد "&amp;AE$613)+COUNTIF($E$4:$E$609,AE$613&amp;" ضد "&amp;$A614))</f>
        <v>0</v>
      </c>
      <c r="AF614" s="4">
        <f>IF($A614=AF$613,"",COUNTIF($E$4:$E$609,$A614&amp;" ضد "&amp;AF$613)+COUNTIF($E$4:$E$609,AF$613&amp;" ضد "&amp;$A614))</f>
        <v>0</v>
      </c>
      <c r="AG614" s="4">
        <f>IF($A614=AG$613,"",COUNTIF($E$4:$E$609,$A614&amp;" ضد "&amp;AG$613)+COUNTIF($E$4:$E$609,AG$613&amp;" ضد "&amp;$A614))</f>
        <v>0</v>
      </c>
      <c r="AH614" s="4">
        <f>IF($A614=AH$613,"",COUNTIF($E$4:$E$609,$A614&amp;" ضد "&amp;AH$613)+COUNTIF($E$4:$E$609,AH$613&amp;" ضد "&amp;$A614))</f>
        <v>0</v>
      </c>
      <c r="AI614" s="4">
        <f>IF($A614=AI$613,"",COUNTIF($E$4:$E$609,$A614&amp;" ضد "&amp;AI$613)+COUNTIF($E$4:$E$609,AI$613&amp;" ضد "&amp;$A614))</f>
        <v>0</v>
      </c>
      <c r="AJ614" s="4">
        <f>IF($A614=AJ$613,"",COUNTIF($E$4:$E$609,$A614&amp;" ضد "&amp;AJ$613)+COUNTIF($E$4:$E$609,AJ$613&amp;" ضد "&amp;$A614))</f>
        <v>0</v>
      </c>
      <c r="AK614" s="4">
        <f>IF($A614=AK$613,"",COUNTIF($E$4:$E$609,$A614&amp;" ضد "&amp;AK$613)+COUNTIF($E$4:$E$609,AK$613&amp;" ضد "&amp;$A614))</f>
        <v>0</v>
      </c>
      <c r="AL614" s="4">
        <f>IF($A614=AL$613,"",COUNTIF($E$4:$E$609,$A614&amp;" ضد "&amp;AL$613)+COUNTIF($E$4:$E$609,AL$613&amp;" ضد "&amp;$A614))</f>
        <v>0</v>
      </c>
      <c r="AM614" s="4">
        <f>IF($A614=AM$613,"",COUNTIF($E$4:$E$609,$A614&amp;" ضد "&amp;AM$613)+COUNTIF($E$4:$E$609,AM$613&amp;" ضد "&amp;$A614))</f>
        <v>0</v>
      </c>
      <c r="AN614" s="4">
        <f>IF($A614=AN$613,"",COUNTIF($E$4:$E$609,$A614&amp;" ضد "&amp;AN$613)+COUNTIF($E$4:$E$609,AN$613&amp;" ضد "&amp;$A614))</f>
        <v>0</v>
      </c>
      <c r="AO614" s="4">
        <f>IF($A614=AO$613,"",COUNTIF($E$4:$E$609,$A614&amp;" ضد "&amp;AO$613)+COUNTIF($E$4:$E$609,AO$613&amp;" ضد "&amp;$A614))</f>
        <v>0</v>
      </c>
      <c r="AP614" s="4">
        <f>IF($A614=AP$613,"",COUNTIF($E$4:$E$609,$A614&amp;" ضد "&amp;AP$613)+COUNTIF($E$4:$E$609,AP$613&amp;" ضد "&amp;$A614))</f>
        <v>0</v>
      </c>
      <c r="AQ614" s="4">
        <f>IF($A614=AQ$613,"",COUNTIF($E$4:$E$609,$A614&amp;" ضد "&amp;AQ$613)+COUNTIF($E$4:$E$609,AQ$613&amp;" ضد "&amp;$A614))</f>
        <v>0</v>
      </c>
      <c r="AR614" s="4">
        <f>IF($A614=AR$613,"",COUNTIF($E$4:$E$609,$A614&amp;" ضد "&amp;AR$613)+COUNTIF($E$4:$E$609,AR$613&amp;" ضد "&amp;$A614))</f>
        <v>0</v>
      </c>
      <c r="AS614" s="4">
        <f>IF($A614=AS$613,"",COUNTIF($E$4:$E$609,$A614&amp;" ضد "&amp;AS$613)+COUNTIF($E$4:$E$609,AS$613&amp;" ضد "&amp;$A614))</f>
        <v>0</v>
      </c>
      <c r="AT614" s="4">
        <f>IF($A614=AT$613,"",COUNTIF($E$4:$E$609,$A614&amp;" ضد "&amp;AT$613)+COUNTIF($E$4:$E$609,AT$613&amp;" ضد "&amp;$A614))</f>
        <v>0</v>
      </c>
      <c r="AU614" s="4">
        <f>IF($A614=AU$613,"",COUNTIF($E$4:$E$609,$A614&amp;" ضد "&amp;AU$613)+COUNTIF($E$4:$E$609,AU$613&amp;" ضد "&amp;$A614))</f>
        <v>0</v>
      </c>
      <c r="AV614" s="4">
        <f>IF($A614=AV$613,"",COUNTIF($E$4:$E$609,$A614&amp;" ضد "&amp;AV$613)+COUNTIF($E$4:$E$609,AV$613&amp;" ضد "&amp;$A614))</f>
        <v>0</v>
      </c>
      <c r="AW614" s="4">
        <f>IF($A614=AW$613,"",COUNTIF($E$4:$E$609,$A614&amp;" ضد "&amp;AW$613)+COUNTIF($E$4:$E$609,AW$613&amp;" ضد "&amp;$A614))</f>
        <v>0</v>
      </c>
      <c r="AX614" s="4">
        <f>IF($A614=AX$613,"",COUNTIF($E$4:$E$609,$A614&amp;" ضد "&amp;AX$613)+COUNTIF($E$4:$E$609,AX$613&amp;" ضد "&amp;$A614))</f>
        <v>0</v>
      </c>
      <c r="AY614" s="4">
        <f>IF($A614=AY$613,"",COUNTIF($E$4:$E$609,$A614&amp;" ضد "&amp;AY$613)+COUNTIF($E$4:$E$609,AY$613&amp;" ضد "&amp;$A614))</f>
        <v>0</v>
      </c>
      <c r="AZ614" s="4">
        <f>IF($A614=AZ$613,"",COUNTIF($E$4:$E$609,$A614&amp;" ضد "&amp;AZ$613)+COUNTIF($E$4:$E$609,AZ$613&amp;" ضد "&amp;$A614))</f>
        <v>0</v>
      </c>
      <c r="BA614" s="4">
        <f>IF($A614=BA$613,"",COUNTIF($E$4:$E$609,$A614&amp;" ضد "&amp;BA$613)+COUNTIF($E$4:$E$609,BA$613&amp;" ضد "&amp;$A614))</f>
        <v>0</v>
      </c>
      <c r="BB614" s="4">
        <f>IF($A614=BB$613,"",COUNTIF($E$4:$E$609,$A614&amp;" ضد "&amp;BB$613)+COUNTIF($E$4:$E$609,BB$613&amp;" ضد "&amp;$A614))</f>
        <v>0</v>
      </c>
      <c r="BC614" s="4">
        <f>IF($A614=BC$613,"",COUNTIF($E$4:$E$609,$A614&amp;" ضد "&amp;BC$613)+COUNTIF($E$4:$E$609,BC$613&amp;" ضد "&amp;$A614))</f>
        <v>0</v>
      </c>
      <c r="BD614" s="4">
        <f>IF($A614=BD$613,"",COUNTIF($E$4:$E$609,$A614&amp;" ضد "&amp;BD$613)+COUNTIF($E$4:$E$609,BD$613&amp;" ضد "&amp;$A614))</f>
        <v>0</v>
      </c>
      <c r="BE614" s="4">
        <f>IF($A614=BE$613,"",COUNTIF($E$4:$E$609,$A614&amp;" ضد "&amp;BE$613)+COUNTIF($E$4:$E$609,BE$613&amp;" ضد "&amp;$A614))</f>
        <v>0</v>
      </c>
      <c r="BF614" s="4">
        <f>IF($A614=BF$613,"",COUNTIF($E$4:$E$609,$A614&amp;" ضد "&amp;BF$613)+COUNTIF($E$4:$E$609,BF$613&amp;" ضد "&amp;$A614))</f>
        <v>0</v>
      </c>
      <c r="BG614" s="4">
        <f>IF($A614=BG$613,"",COUNTIF($E$4:$E$609,$A614&amp;" ضد "&amp;BG$613)+COUNTIF($E$4:$E$609,BG$613&amp;" ضد "&amp;$A614))</f>
        <v>0</v>
      </c>
      <c r="BH614" s="4">
        <f>IF($A614=BH$613,"",COUNTIF($E$4:$E$609,$A614&amp;" ضد "&amp;BH$613)+COUNTIF($E$4:$E$609,BH$613&amp;" ضد "&amp;$A614))</f>
        <v>0</v>
      </c>
      <c r="BI614" s="4">
        <f>IF($A614=BI$613,"",COUNTIF($E$4:$E$609,$A614&amp;" ضد "&amp;BI$613)+COUNTIF($E$4:$E$609,BI$613&amp;" ضد "&amp;$A614))</f>
        <v>0</v>
      </c>
      <c r="BJ614" s="4">
        <f>IF($A614=BJ$613,"",COUNTIF($E$4:$E$609,$A614&amp;" ضد "&amp;BJ$613)+COUNTIF($E$4:$E$609,BJ$613&amp;" ضد "&amp;$A614))</f>
        <v>0</v>
      </c>
      <c r="BK614" s="4">
        <f>IF($A614=BK$613,"",COUNTIF($E$4:$E$609,$A614&amp;" ضد "&amp;BK$613)+COUNTIF($E$4:$E$609,BK$613&amp;" ضد "&amp;$A614))</f>
        <v>0</v>
      </c>
      <c r="BL614" s="4">
        <f>IF($A614=BL$613,"",COUNTIF($E$4:$E$609,$A614&amp;" ضد "&amp;BL$613)+COUNTIF($E$4:$E$609,BL$613&amp;" ضد "&amp;$A614))</f>
        <v>0</v>
      </c>
      <c r="BM614" s="4">
        <f>IF($A614=BM$613,"",COUNTIF($E$4:$E$609,$A614&amp;" ضد "&amp;BM$613)+COUNTIF($E$4:$E$609,BM$613&amp;" ضد "&amp;$A614))</f>
        <v>0</v>
      </c>
      <c r="BN614" s="4">
        <f>IF($A614=BN$613,"",COUNTIF($E$4:$E$609,$A614&amp;" ضد "&amp;BN$613)+COUNTIF($E$4:$E$609,BN$613&amp;" ضد "&amp;$A614))</f>
        <v>0</v>
      </c>
      <c r="BO614" s="4">
        <f>IF($A614=BO$613,"",COUNTIF($E$4:$E$609,$A614&amp;" ضد "&amp;BO$613)+COUNTIF($E$4:$E$609,BO$613&amp;" ضد "&amp;$A614))</f>
        <v>0</v>
      </c>
      <c r="BP614" s="4">
        <f>IF($A614=BP$613,"",COUNTIF($E$4:$E$609,$A614&amp;" ضد "&amp;BP$613)+COUNTIF($E$4:$E$609,BP$613&amp;" ضد "&amp;$A614))</f>
        <v>0</v>
      </c>
    </row>
    <row r="615" spans="1:68" ht="14.5">
      <c r="A615" s="14">
        <v>2</v>
      </c>
      <c r="B615" s="4">
        <f>IF($A615=B$613,"",COUNTIF($E$4:$E$609,$A615&amp;" ضد "&amp;B$613)+COUNTIF($E$4:$E$609,B$613&amp;" ضد "&amp;$A615))</f>
        <v>2</v>
      </c>
      <c r="C615" s="4" t="str">
        <f>IF($A615=C$613,"",COUNTIF($E$4:$E$609,$A615&amp;" ضد "&amp;C$613)+COUNTIF($E$4:$E$609,C$613&amp;" ضد "&amp;$A615))</f>
        <v/>
      </c>
      <c r="D615" s="4">
        <f>IF($A615=D$613,"",COUNTIF($E$4:$E$609,$A615&amp;" ضد "&amp;D$613)+COUNTIF($E$4:$E$609,D$613&amp;" ضد "&amp;$A615))</f>
        <v>2</v>
      </c>
      <c r="E615" s="4">
        <f>IF($A615=E$613,"",COUNTIF($E$4:$E$609,$A615&amp;" ضد "&amp;E$613)+COUNTIF($E$4:$E$609,E$613&amp;" ضد "&amp;$A615))</f>
        <v>1</v>
      </c>
      <c r="F615" s="4">
        <f>IF($A615=F$613,"",COUNTIF($E$4:$E$609,$A615&amp;" ضد "&amp;F$613)+COUNTIF($E$4:$E$609,F$613&amp;" ضد "&amp;$A615))</f>
        <v>1</v>
      </c>
      <c r="G615" s="4">
        <f>IF($A615=G$613,"",COUNTIF($E$4:$E$609,$A615&amp;" ضد "&amp;G$613)+COUNTIF($E$4:$E$609,G$613&amp;" ضد "&amp;$A615))</f>
        <v>1</v>
      </c>
      <c r="H615" s="4">
        <f>IF($A615=H$613,"",COUNTIF($E$4:$E$609,$A615&amp;" ضد "&amp;H$613)+COUNTIF($E$4:$E$609,H$613&amp;" ضد "&amp;$A615))</f>
        <v>1</v>
      </c>
      <c r="I615" s="4">
        <f>IF($A615=I$613,"",COUNTIF($E$4:$E$609,$A615&amp;" ضد "&amp;I$613)+COUNTIF($E$4:$E$609,I$613&amp;" ضد "&amp;$A615))</f>
        <v>1</v>
      </c>
      <c r="J615" s="4">
        <f>IF($A615=J$613,"",COUNTIF($E$4:$E$609,$A615&amp;" ضد "&amp;J$613)+COUNTIF($E$4:$E$609,J$613&amp;" ضد "&amp;$A615))</f>
        <v>1</v>
      </c>
      <c r="K615" s="4">
        <f>IF($A615=K$613,"",COUNTIF($E$4:$E$609,$A615&amp;" ضد "&amp;K$613)+COUNTIF($E$4:$E$609,K$613&amp;" ضد "&amp;$A615))</f>
        <v>1</v>
      </c>
      <c r="L615" s="4">
        <f>IF($A615=L$613,"",COUNTIF($E$4:$E$609,$A615&amp;" ضد "&amp;L$613)+COUNTIF($E$4:$E$609,L$613&amp;" ضد "&amp;$A615))</f>
        <v>1</v>
      </c>
      <c r="M615" s="4">
        <f>IF($A615=M$613,"",COUNTIF($E$4:$E$609,$A615&amp;" ضد "&amp;M$613)+COUNTIF($E$4:$E$609,M$613&amp;" ضد "&amp;$A615))</f>
        <v>1</v>
      </c>
      <c r="N615" s="4">
        <f>IF($A615=N$613,"",COUNTIF($E$4:$E$609,$A615&amp;" ضد "&amp;N$613)+COUNTIF($E$4:$E$609,N$613&amp;" ضد "&amp;$A615))</f>
        <v>1</v>
      </c>
      <c r="O615" s="4">
        <f>IF($A615=O$613,"",COUNTIF($E$4:$E$609,$A615&amp;" ضد "&amp;O$613)+COUNTIF($E$4:$E$609,O$613&amp;" ضد "&amp;$A615))</f>
        <v>1</v>
      </c>
      <c r="P615" s="4">
        <f>IF($A615=P$613,"",COUNTIF($E$4:$E$609,$A615&amp;" ضد "&amp;P$613)+COUNTIF($E$4:$E$609,P$613&amp;" ضد "&amp;$A615))</f>
        <v>1</v>
      </c>
      <c r="Q615" s="4">
        <f>IF($A615=Q$613,"",COUNTIF($E$4:$E$609,$A615&amp;" ضد "&amp;Q$613)+COUNTIF($E$4:$E$609,Q$613&amp;" ضد "&amp;$A615))</f>
        <v>1</v>
      </c>
      <c r="R615" s="4">
        <f>IF($A615=R$613,"",COUNTIF($E$4:$E$609,$A615&amp;" ضد "&amp;R$613)+COUNTIF($E$4:$E$609,R$613&amp;" ضد "&amp;$A615))</f>
        <v>1</v>
      </c>
      <c r="S615" s="4">
        <f>IF($A615=S$613,"",COUNTIF($E$4:$E$609,$A615&amp;" ضد "&amp;S$613)+COUNTIF($E$4:$E$609,S$613&amp;" ضد "&amp;$A615))</f>
        <v>0</v>
      </c>
      <c r="T615" s="4">
        <f>IF($A615=T$613,"",COUNTIF($E$4:$E$609,$A615&amp;" ضد "&amp;T$613)+COUNTIF($E$4:$E$609,T$613&amp;" ضد "&amp;$A615))</f>
        <v>0</v>
      </c>
      <c r="U615" s="4">
        <f>IF($A615=U$613,"",COUNTIF($E$4:$E$609,$A615&amp;" ضد "&amp;U$613)+COUNTIF($E$4:$E$609,U$613&amp;" ضد "&amp;$A615))</f>
        <v>0</v>
      </c>
      <c r="V615" s="4">
        <f>IF($A615=V$613,"",COUNTIF($E$4:$E$609,$A615&amp;" ضد "&amp;V$613)+COUNTIF($E$4:$E$609,V$613&amp;" ضد "&amp;$A615))</f>
        <v>0</v>
      </c>
      <c r="W615" s="4">
        <f>IF($A615=W$613,"",COUNTIF($E$4:$E$609,$A615&amp;" ضد "&amp;W$613)+COUNTIF($E$4:$E$609,W$613&amp;" ضد "&amp;$A615))</f>
        <v>0</v>
      </c>
      <c r="X615" s="4">
        <f>IF($A615=X$613,"",COUNTIF($E$4:$E$609,$A615&amp;" ضد "&amp;X$613)+COUNTIF($E$4:$E$609,X$613&amp;" ضد "&amp;$A615))</f>
        <v>0</v>
      </c>
      <c r="Y615" s="4">
        <f>IF($A615=Y$613,"",COUNTIF($E$4:$E$609,$A615&amp;" ضد "&amp;Y$613)+COUNTIF($E$4:$E$609,Y$613&amp;" ضد "&amp;$A615))</f>
        <v>0</v>
      </c>
      <c r="Z615" s="4">
        <f>IF($A615=Z$613,"",COUNTIF($E$4:$E$609,$A615&amp;" ضد "&amp;Z$613)+COUNTIF($E$4:$E$609,Z$613&amp;" ضد "&amp;$A615))</f>
        <v>0</v>
      </c>
      <c r="AA615" s="4">
        <f>IF($A615=AA$613,"",COUNTIF($E$4:$E$609,$A615&amp;" ضد "&amp;AA$613)+COUNTIF($E$4:$E$609,AA$613&amp;" ضد "&amp;$A615))</f>
        <v>0</v>
      </c>
      <c r="AB615" s="4">
        <f>IF($A615=AB$613,"",COUNTIF($E$4:$E$609,$A615&amp;" ضد "&amp;AB$613)+COUNTIF($E$4:$E$609,AB$613&amp;" ضد "&amp;$A615))</f>
        <v>0</v>
      </c>
      <c r="AC615" s="4">
        <f>IF($A615=AC$613,"",COUNTIF($E$4:$E$609,$A615&amp;" ضد "&amp;AC$613)+COUNTIF($E$4:$E$609,AC$613&amp;" ضد "&amp;$A615))</f>
        <v>0</v>
      </c>
      <c r="AD615" s="4">
        <f>IF($A615=AD$613,"",COUNTIF($E$4:$E$609,$A615&amp;" ضد "&amp;AD$613)+COUNTIF($E$4:$E$609,AD$613&amp;" ضد "&amp;$A615))</f>
        <v>0</v>
      </c>
      <c r="AE615" s="4">
        <f>IF($A615=AE$613,"",COUNTIF($E$4:$E$609,$A615&amp;" ضد "&amp;AE$613)+COUNTIF($E$4:$E$609,AE$613&amp;" ضد "&amp;$A615))</f>
        <v>0</v>
      </c>
      <c r="AF615" s="4">
        <f>IF($A615=AF$613,"",COUNTIF($E$4:$E$609,$A615&amp;" ضد "&amp;AF$613)+COUNTIF($E$4:$E$609,AF$613&amp;" ضد "&amp;$A615))</f>
        <v>0</v>
      </c>
      <c r="AG615" s="4">
        <f>IF($A615=AG$613,"",COUNTIF($E$4:$E$609,$A615&amp;" ضد "&amp;AG$613)+COUNTIF($E$4:$E$609,AG$613&amp;" ضد "&amp;$A615))</f>
        <v>0</v>
      </c>
      <c r="AH615" s="4">
        <f>IF($A615=AH$613,"",COUNTIF($E$4:$E$609,$A615&amp;" ضد "&amp;AH$613)+COUNTIF($E$4:$E$609,AH$613&amp;" ضد "&amp;$A615))</f>
        <v>0</v>
      </c>
      <c r="AI615" s="4">
        <f>IF($A615=AI$613,"",COUNTIF($E$4:$E$609,$A615&amp;" ضد "&amp;AI$613)+COUNTIF($E$4:$E$609,AI$613&amp;" ضد "&amp;$A615))</f>
        <v>0</v>
      </c>
      <c r="AJ615" s="4">
        <f>IF($A615=AJ$613,"",COUNTIF($E$4:$E$609,$A615&amp;" ضد "&amp;AJ$613)+COUNTIF($E$4:$E$609,AJ$613&amp;" ضد "&amp;$A615))</f>
        <v>0</v>
      </c>
      <c r="AK615" s="4">
        <f>IF($A615=AK$613,"",COUNTIF($E$4:$E$609,$A615&amp;" ضد "&amp;AK$613)+COUNTIF($E$4:$E$609,AK$613&amp;" ضد "&amp;$A615))</f>
        <v>0</v>
      </c>
      <c r="AL615" s="4">
        <f>IF($A615=AL$613,"",COUNTIF($E$4:$E$609,$A615&amp;" ضد "&amp;AL$613)+COUNTIF($E$4:$E$609,AL$613&amp;" ضد "&amp;$A615))</f>
        <v>0</v>
      </c>
      <c r="AM615" s="4">
        <f>IF($A615=AM$613,"",COUNTIF($E$4:$E$609,$A615&amp;" ضد "&amp;AM$613)+COUNTIF($E$4:$E$609,AM$613&amp;" ضد "&amp;$A615))</f>
        <v>0</v>
      </c>
      <c r="AN615" s="4">
        <f>IF($A615=AN$613,"",COUNTIF($E$4:$E$609,$A615&amp;" ضد "&amp;AN$613)+COUNTIF($E$4:$E$609,AN$613&amp;" ضد "&amp;$A615))</f>
        <v>0</v>
      </c>
      <c r="AO615" s="4">
        <f>IF($A615=AO$613,"",COUNTIF($E$4:$E$609,$A615&amp;" ضد "&amp;AO$613)+COUNTIF($E$4:$E$609,AO$613&amp;" ضد "&amp;$A615))</f>
        <v>0</v>
      </c>
      <c r="AP615" s="4">
        <f>IF($A615=AP$613,"",COUNTIF($E$4:$E$609,$A615&amp;" ضد "&amp;AP$613)+COUNTIF($E$4:$E$609,AP$613&amp;" ضد "&amp;$A615))</f>
        <v>0</v>
      </c>
      <c r="AQ615" s="4">
        <f>IF($A615=AQ$613,"",COUNTIF($E$4:$E$609,$A615&amp;" ضد "&amp;AQ$613)+COUNTIF($E$4:$E$609,AQ$613&amp;" ضد "&amp;$A615))</f>
        <v>0</v>
      </c>
      <c r="AR615" s="4">
        <f>IF($A615=AR$613,"",COUNTIF($E$4:$E$609,$A615&amp;" ضد "&amp;AR$613)+COUNTIF($E$4:$E$609,AR$613&amp;" ضد "&amp;$A615))</f>
        <v>0</v>
      </c>
      <c r="AS615" s="4">
        <f>IF($A615=AS$613,"",COUNTIF($E$4:$E$609,$A615&amp;" ضد "&amp;AS$613)+COUNTIF($E$4:$E$609,AS$613&amp;" ضد "&amp;$A615))</f>
        <v>0</v>
      </c>
      <c r="AT615" s="4">
        <f>IF($A615=AT$613,"",COUNTIF($E$4:$E$609,$A615&amp;" ضد "&amp;AT$613)+COUNTIF($E$4:$E$609,AT$613&amp;" ضد "&amp;$A615))</f>
        <v>0</v>
      </c>
      <c r="AU615" s="4">
        <f>IF($A615=AU$613,"",COUNTIF($E$4:$E$609,$A615&amp;" ضد "&amp;AU$613)+COUNTIF($E$4:$E$609,AU$613&amp;" ضد "&amp;$A615))</f>
        <v>0</v>
      </c>
      <c r="AV615" s="4">
        <f>IF($A615=AV$613,"",COUNTIF($E$4:$E$609,$A615&amp;" ضد "&amp;AV$613)+COUNTIF($E$4:$E$609,AV$613&amp;" ضد "&amp;$A615))</f>
        <v>0</v>
      </c>
      <c r="AW615" s="4">
        <f>IF($A615=AW$613,"",COUNTIF($E$4:$E$609,$A615&amp;" ضد "&amp;AW$613)+COUNTIF($E$4:$E$609,AW$613&amp;" ضد "&amp;$A615))</f>
        <v>0</v>
      </c>
      <c r="AX615" s="4">
        <f>IF($A615=AX$613,"",COUNTIF($E$4:$E$609,$A615&amp;" ضد "&amp;AX$613)+COUNTIF($E$4:$E$609,AX$613&amp;" ضد "&amp;$A615))</f>
        <v>0</v>
      </c>
      <c r="AY615" s="4">
        <f>IF($A615=AY$613,"",COUNTIF($E$4:$E$609,$A615&amp;" ضد "&amp;AY$613)+COUNTIF($E$4:$E$609,AY$613&amp;" ضد "&amp;$A615))</f>
        <v>0</v>
      </c>
      <c r="AZ615" s="4">
        <f>IF($A615=AZ$613,"",COUNTIF($E$4:$E$609,$A615&amp;" ضد "&amp;AZ$613)+COUNTIF($E$4:$E$609,AZ$613&amp;" ضد "&amp;$A615))</f>
        <v>0</v>
      </c>
      <c r="BA615" s="4">
        <f>IF($A615=BA$613,"",COUNTIF($E$4:$E$609,$A615&amp;" ضد "&amp;BA$613)+COUNTIF($E$4:$E$609,BA$613&amp;" ضد "&amp;$A615))</f>
        <v>0</v>
      </c>
      <c r="BB615" s="4">
        <f>IF($A615=BB$613,"",COUNTIF($E$4:$E$609,$A615&amp;" ضد "&amp;BB$613)+COUNTIF($E$4:$E$609,BB$613&amp;" ضد "&amp;$A615))</f>
        <v>0</v>
      </c>
      <c r="BC615" s="4">
        <f>IF($A615=BC$613,"",COUNTIF($E$4:$E$609,$A615&amp;" ضد "&amp;BC$613)+COUNTIF($E$4:$E$609,BC$613&amp;" ضد "&amp;$A615))</f>
        <v>0</v>
      </c>
      <c r="BD615" s="4">
        <f>IF($A615=BD$613,"",COUNTIF($E$4:$E$609,$A615&amp;" ضد "&amp;BD$613)+COUNTIF($E$4:$E$609,BD$613&amp;" ضد "&amp;$A615))</f>
        <v>0</v>
      </c>
      <c r="BE615" s="4">
        <f>IF($A615=BE$613,"",COUNTIF($E$4:$E$609,$A615&amp;" ضد "&amp;BE$613)+COUNTIF($E$4:$E$609,BE$613&amp;" ضد "&amp;$A615))</f>
        <v>0</v>
      </c>
      <c r="BF615" s="4">
        <f>IF($A615=BF$613,"",COUNTIF($E$4:$E$609,$A615&amp;" ضد "&amp;BF$613)+COUNTIF($E$4:$E$609,BF$613&amp;" ضد "&amp;$A615))</f>
        <v>0</v>
      </c>
      <c r="BG615" s="4">
        <f>IF($A615=BG$613,"",COUNTIF($E$4:$E$609,$A615&amp;" ضد "&amp;BG$613)+COUNTIF($E$4:$E$609,BG$613&amp;" ضد "&amp;$A615))</f>
        <v>0</v>
      </c>
      <c r="BH615" s="4">
        <f>IF($A615=BH$613,"",COUNTIF($E$4:$E$609,$A615&amp;" ضد "&amp;BH$613)+COUNTIF($E$4:$E$609,BH$613&amp;" ضد "&amp;$A615))</f>
        <v>0</v>
      </c>
      <c r="BI615" s="4">
        <f>IF($A615=BI$613,"",COUNTIF($E$4:$E$609,$A615&amp;" ضد "&amp;BI$613)+COUNTIF($E$4:$E$609,BI$613&amp;" ضد "&amp;$A615))</f>
        <v>0</v>
      </c>
      <c r="BJ615" s="4">
        <f>IF($A615=BJ$613,"",COUNTIF($E$4:$E$609,$A615&amp;" ضد "&amp;BJ$613)+COUNTIF($E$4:$E$609,BJ$613&amp;" ضد "&amp;$A615))</f>
        <v>0</v>
      </c>
      <c r="BK615" s="4">
        <f>IF($A615=BK$613,"",COUNTIF($E$4:$E$609,$A615&amp;" ضد "&amp;BK$613)+COUNTIF($E$4:$E$609,BK$613&amp;" ضد "&amp;$A615))</f>
        <v>0</v>
      </c>
      <c r="BL615" s="4">
        <f>IF($A615=BL$613,"",COUNTIF($E$4:$E$609,$A615&amp;" ضد "&amp;BL$613)+COUNTIF($E$4:$E$609,BL$613&amp;" ضد "&amp;$A615))</f>
        <v>0</v>
      </c>
      <c r="BM615" s="4">
        <f>IF($A615=BM$613,"",COUNTIF($E$4:$E$609,$A615&amp;" ضد "&amp;BM$613)+COUNTIF($E$4:$E$609,BM$613&amp;" ضد "&amp;$A615))</f>
        <v>0</v>
      </c>
      <c r="BN615" s="4">
        <f>IF($A615=BN$613,"",COUNTIF($E$4:$E$609,$A615&amp;" ضد "&amp;BN$613)+COUNTIF($E$4:$E$609,BN$613&amp;" ضد "&amp;$A615))</f>
        <v>0</v>
      </c>
      <c r="BO615" s="4">
        <f>IF($A615=BO$613,"",COUNTIF($E$4:$E$609,$A615&amp;" ضد "&amp;BO$613)+COUNTIF($E$4:$E$609,BO$613&amp;" ضد "&amp;$A615))</f>
        <v>0</v>
      </c>
      <c r="BP615" s="4">
        <f>IF($A615=BP$613,"",COUNTIF($E$4:$E$609,$A615&amp;" ضد "&amp;BP$613)+COUNTIF($E$4:$E$609,BP$613&amp;" ضد "&amp;$A615))</f>
        <v>0</v>
      </c>
    </row>
    <row r="616" spans="1:68" ht="14.5">
      <c r="A616" s="14">
        <v>3</v>
      </c>
      <c r="B616" s="4">
        <f>IF($A616=B$613,"",COUNTIF($E$4:$E$609,$A616&amp;" ضد "&amp;B$613)+COUNTIF($E$4:$E$609,B$613&amp;" ضد "&amp;$A616))</f>
        <v>1</v>
      </c>
      <c r="C616" s="4">
        <f>IF($A616=C$613,"",COUNTIF($E$4:$E$609,$A616&amp;" ضد "&amp;C$613)+COUNTIF($E$4:$E$609,C$613&amp;" ضد "&amp;$A616))</f>
        <v>2</v>
      </c>
      <c r="D616" s="4" t="str">
        <f>IF($A616=D$613,"",COUNTIF($E$4:$E$609,$A616&amp;" ضد "&amp;D$613)+COUNTIF($E$4:$E$609,D$613&amp;" ضد "&amp;$A616))</f>
        <v/>
      </c>
      <c r="E616" s="4">
        <f>IF($A616=E$613,"",COUNTIF($E$4:$E$609,$A616&amp;" ضد "&amp;E$613)+COUNTIF($E$4:$E$609,E$613&amp;" ضد "&amp;$A616))</f>
        <v>2</v>
      </c>
      <c r="F616" s="4">
        <f>IF($A616=F$613,"",COUNTIF($E$4:$E$609,$A616&amp;" ضد "&amp;F$613)+COUNTIF($E$4:$E$609,F$613&amp;" ضد "&amp;$A616))</f>
        <v>1</v>
      </c>
      <c r="G616" s="4">
        <f>IF($A616=G$613,"",COUNTIF($E$4:$E$609,$A616&amp;" ضد "&amp;G$613)+COUNTIF($E$4:$E$609,G$613&amp;" ضد "&amp;$A616))</f>
        <v>1</v>
      </c>
      <c r="H616" s="4">
        <f>IF($A616=H$613,"",COUNTIF($E$4:$E$609,$A616&amp;" ضد "&amp;H$613)+COUNTIF($E$4:$E$609,H$613&amp;" ضد "&amp;$A616))</f>
        <v>1</v>
      </c>
      <c r="I616" s="4">
        <f>IF($A616=I$613,"",COUNTIF($E$4:$E$609,$A616&amp;" ضد "&amp;I$613)+COUNTIF($E$4:$E$609,I$613&amp;" ضد "&amp;$A616))</f>
        <v>1</v>
      </c>
      <c r="J616" s="4">
        <f>IF($A616=J$613,"",COUNTIF($E$4:$E$609,$A616&amp;" ضد "&amp;J$613)+COUNTIF($E$4:$E$609,J$613&amp;" ضد "&amp;$A616))</f>
        <v>1</v>
      </c>
      <c r="K616" s="4">
        <f>IF($A616=K$613,"",COUNTIF($E$4:$E$609,$A616&amp;" ضد "&amp;K$613)+COUNTIF($E$4:$E$609,K$613&amp;" ضد "&amp;$A616))</f>
        <v>1</v>
      </c>
      <c r="L616" s="4">
        <f>IF($A616=L$613,"",COUNTIF($E$4:$E$609,$A616&amp;" ضد "&amp;L$613)+COUNTIF($E$4:$E$609,L$613&amp;" ضد "&amp;$A616))</f>
        <v>1</v>
      </c>
      <c r="M616" s="4">
        <f>IF($A616=M$613,"",COUNTIF($E$4:$E$609,$A616&amp;" ضد "&amp;M$613)+COUNTIF($E$4:$E$609,M$613&amp;" ضد "&amp;$A616))</f>
        <v>1</v>
      </c>
      <c r="N616" s="4">
        <f>IF($A616=N$613,"",COUNTIF($E$4:$E$609,$A616&amp;" ضد "&amp;N$613)+COUNTIF($E$4:$E$609,N$613&amp;" ضد "&amp;$A616))</f>
        <v>1</v>
      </c>
      <c r="O616" s="4">
        <f>IF($A616=O$613,"",COUNTIF($E$4:$E$609,$A616&amp;" ضد "&amp;O$613)+COUNTIF($E$4:$E$609,O$613&amp;" ضد "&amp;$A616))</f>
        <v>1</v>
      </c>
      <c r="P616" s="4">
        <f>IF($A616=P$613,"",COUNTIF($E$4:$E$609,$A616&amp;" ضد "&amp;P$613)+COUNTIF($E$4:$E$609,P$613&amp;" ضد "&amp;$A616))</f>
        <v>1</v>
      </c>
      <c r="Q616" s="4">
        <f>IF($A616=Q$613,"",COUNTIF($E$4:$E$609,$A616&amp;" ضد "&amp;Q$613)+COUNTIF($E$4:$E$609,Q$613&amp;" ضد "&amp;$A616))</f>
        <v>1</v>
      </c>
      <c r="R616" s="4">
        <f>IF($A616=R$613,"",COUNTIF($E$4:$E$609,$A616&amp;" ضد "&amp;R$613)+COUNTIF($E$4:$E$609,R$613&amp;" ضد "&amp;$A616))</f>
        <v>1</v>
      </c>
      <c r="S616" s="4">
        <f>IF($A616=S$613,"",COUNTIF($E$4:$E$609,$A616&amp;" ضد "&amp;S$613)+COUNTIF($E$4:$E$609,S$613&amp;" ضد "&amp;$A616))</f>
        <v>0</v>
      </c>
      <c r="T616" s="4">
        <f>IF($A616=T$613,"",COUNTIF($E$4:$E$609,$A616&amp;" ضد "&amp;T$613)+COUNTIF($E$4:$E$609,T$613&amp;" ضد "&amp;$A616))</f>
        <v>0</v>
      </c>
      <c r="U616" s="4">
        <f>IF($A616=U$613,"",COUNTIF($E$4:$E$609,$A616&amp;" ضد "&amp;U$613)+COUNTIF($E$4:$E$609,U$613&amp;" ضد "&amp;$A616))</f>
        <v>0</v>
      </c>
      <c r="V616" s="4">
        <f>IF($A616=V$613,"",COUNTIF($E$4:$E$609,$A616&amp;" ضد "&amp;V$613)+COUNTIF($E$4:$E$609,V$613&amp;" ضد "&amp;$A616))</f>
        <v>0</v>
      </c>
      <c r="W616" s="4">
        <f>IF($A616=W$613,"",COUNTIF($E$4:$E$609,$A616&amp;" ضد "&amp;W$613)+COUNTIF($E$4:$E$609,W$613&amp;" ضد "&amp;$A616))</f>
        <v>0</v>
      </c>
      <c r="X616" s="4">
        <f>IF($A616=X$613,"",COUNTIF($E$4:$E$609,$A616&amp;" ضد "&amp;X$613)+COUNTIF($E$4:$E$609,X$613&amp;" ضد "&amp;$A616))</f>
        <v>0</v>
      </c>
      <c r="Y616" s="4">
        <f>IF($A616=Y$613,"",COUNTIF($E$4:$E$609,$A616&amp;" ضد "&amp;Y$613)+COUNTIF($E$4:$E$609,Y$613&amp;" ضد "&amp;$A616))</f>
        <v>0</v>
      </c>
      <c r="Z616" s="4">
        <f>IF($A616=Z$613,"",COUNTIF($E$4:$E$609,$A616&amp;" ضد "&amp;Z$613)+COUNTIF($E$4:$E$609,Z$613&amp;" ضد "&amp;$A616))</f>
        <v>0</v>
      </c>
      <c r="AA616" s="4">
        <f>IF($A616=AA$613,"",COUNTIF($E$4:$E$609,$A616&amp;" ضد "&amp;AA$613)+COUNTIF($E$4:$E$609,AA$613&amp;" ضد "&amp;$A616))</f>
        <v>0</v>
      </c>
      <c r="AB616" s="4">
        <f>IF($A616=AB$613,"",COUNTIF($E$4:$E$609,$A616&amp;" ضد "&amp;AB$613)+COUNTIF($E$4:$E$609,AB$613&amp;" ضد "&amp;$A616))</f>
        <v>0</v>
      </c>
      <c r="AC616" s="4">
        <f>IF($A616=AC$613,"",COUNTIF($E$4:$E$609,$A616&amp;" ضد "&amp;AC$613)+COUNTIF($E$4:$E$609,AC$613&amp;" ضد "&amp;$A616))</f>
        <v>0</v>
      </c>
      <c r="AD616" s="4">
        <f>IF($A616=AD$613,"",COUNTIF($E$4:$E$609,$A616&amp;" ضد "&amp;AD$613)+COUNTIF($E$4:$E$609,AD$613&amp;" ضد "&amp;$A616))</f>
        <v>0</v>
      </c>
      <c r="AE616" s="4">
        <f>IF($A616=AE$613,"",COUNTIF($E$4:$E$609,$A616&amp;" ضد "&amp;AE$613)+COUNTIF($E$4:$E$609,AE$613&amp;" ضد "&amp;$A616))</f>
        <v>0</v>
      </c>
      <c r="AF616" s="4">
        <f>IF($A616=AF$613,"",COUNTIF($E$4:$E$609,$A616&amp;" ضد "&amp;AF$613)+COUNTIF($E$4:$E$609,AF$613&amp;" ضد "&amp;$A616))</f>
        <v>0</v>
      </c>
      <c r="AG616" s="4">
        <f>IF($A616=AG$613,"",COUNTIF($E$4:$E$609,$A616&amp;" ضد "&amp;AG$613)+COUNTIF($E$4:$E$609,AG$613&amp;" ضد "&amp;$A616))</f>
        <v>0</v>
      </c>
      <c r="AH616" s="4">
        <f>IF($A616=AH$613,"",COUNTIF($E$4:$E$609,$A616&amp;" ضد "&amp;AH$613)+COUNTIF($E$4:$E$609,AH$613&amp;" ضد "&amp;$A616))</f>
        <v>0</v>
      </c>
      <c r="AI616" s="4">
        <f>IF($A616=AI$613,"",COUNTIF($E$4:$E$609,$A616&amp;" ضد "&amp;AI$613)+COUNTIF($E$4:$E$609,AI$613&amp;" ضد "&amp;$A616))</f>
        <v>0</v>
      </c>
      <c r="AJ616" s="4">
        <f>IF($A616=AJ$613,"",COUNTIF($E$4:$E$609,$A616&amp;" ضد "&amp;AJ$613)+COUNTIF($E$4:$E$609,AJ$613&amp;" ضد "&amp;$A616))</f>
        <v>0</v>
      </c>
      <c r="AK616" s="4">
        <f>IF($A616=AK$613,"",COUNTIF($E$4:$E$609,$A616&amp;" ضد "&amp;AK$613)+COUNTIF($E$4:$E$609,AK$613&amp;" ضد "&amp;$A616))</f>
        <v>0</v>
      </c>
      <c r="AL616" s="4">
        <f>IF($A616=AL$613,"",COUNTIF($E$4:$E$609,$A616&amp;" ضد "&amp;AL$613)+COUNTIF($E$4:$E$609,AL$613&amp;" ضد "&amp;$A616))</f>
        <v>0</v>
      </c>
      <c r="AM616" s="4">
        <f>IF($A616=AM$613,"",COUNTIF($E$4:$E$609,$A616&amp;" ضد "&amp;AM$613)+COUNTIF($E$4:$E$609,AM$613&amp;" ضد "&amp;$A616))</f>
        <v>0</v>
      </c>
      <c r="AN616" s="4">
        <f>IF($A616=AN$613,"",COUNTIF($E$4:$E$609,$A616&amp;" ضد "&amp;AN$613)+COUNTIF($E$4:$E$609,AN$613&amp;" ضد "&amp;$A616))</f>
        <v>0</v>
      </c>
      <c r="AO616" s="4">
        <f>IF($A616=AO$613,"",COUNTIF($E$4:$E$609,$A616&amp;" ضد "&amp;AO$613)+COUNTIF($E$4:$E$609,AO$613&amp;" ضد "&amp;$A616))</f>
        <v>0</v>
      </c>
      <c r="AP616" s="4">
        <f>IF($A616=AP$613,"",COUNTIF($E$4:$E$609,$A616&amp;" ضد "&amp;AP$613)+COUNTIF($E$4:$E$609,AP$613&amp;" ضد "&amp;$A616))</f>
        <v>0</v>
      </c>
      <c r="AQ616" s="4">
        <f>IF($A616=AQ$613,"",COUNTIF($E$4:$E$609,$A616&amp;" ضد "&amp;AQ$613)+COUNTIF($E$4:$E$609,AQ$613&amp;" ضد "&amp;$A616))</f>
        <v>0</v>
      </c>
      <c r="AR616" s="4">
        <f>IF($A616=AR$613,"",COUNTIF($E$4:$E$609,$A616&amp;" ضد "&amp;AR$613)+COUNTIF($E$4:$E$609,AR$613&amp;" ضد "&amp;$A616))</f>
        <v>0</v>
      </c>
      <c r="AS616" s="4">
        <f>IF($A616=AS$613,"",COUNTIF($E$4:$E$609,$A616&amp;" ضد "&amp;AS$613)+COUNTIF($E$4:$E$609,AS$613&amp;" ضد "&amp;$A616))</f>
        <v>0</v>
      </c>
      <c r="AT616" s="4">
        <f>IF($A616=AT$613,"",COUNTIF($E$4:$E$609,$A616&amp;" ضد "&amp;AT$613)+COUNTIF($E$4:$E$609,AT$613&amp;" ضد "&amp;$A616))</f>
        <v>0</v>
      </c>
      <c r="AU616" s="4">
        <f>IF($A616=AU$613,"",COUNTIF($E$4:$E$609,$A616&amp;" ضد "&amp;AU$613)+COUNTIF($E$4:$E$609,AU$613&amp;" ضد "&amp;$A616))</f>
        <v>0</v>
      </c>
      <c r="AV616" s="4">
        <f>IF($A616=AV$613,"",COUNTIF($E$4:$E$609,$A616&amp;" ضد "&amp;AV$613)+COUNTIF($E$4:$E$609,AV$613&amp;" ضد "&amp;$A616))</f>
        <v>0</v>
      </c>
      <c r="AW616" s="4">
        <f>IF($A616=AW$613,"",COUNTIF($E$4:$E$609,$A616&amp;" ضد "&amp;AW$613)+COUNTIF($E$4:$E$609,AW$613&amp;" ضد "&amp;$A616))</f>
        <v>0</v>
      </c>
      <c r="AX616" s="4">
        <f>IF($A616=AX$613,"",COUNTIF($E$4:$E$609,$A616&amp;" ضد "&amp;AX$613)+COUNTIF($E$4:$E$609,AX$613&amp;" ضد "&amp;$A616))</f>
        <v>0</v>
      </c>
      <c r="AY616" s="4">
        <f>IF($A616=AY$613,"",COUNTIF($E$4:$E$609,$A616&amp;" ضد "&amp;AY$613)+COUNTIF($E$4:$E$609,AY$613&amp;" ضد "&amp;$A616))</f>
        <v>0</v>
      </c>
      <c r="AZ616" s="4">
        <f>IF($A616=AZ$613,"",COUNTIF($E$4:$E$609,$A616&amp;" ضد "&amp;AZ$613)+COUNTIF($E$4:$E$609,AZ$613&amp;" ضد "&amp;$A616))</f>
        <v>0</v>
      </c>
      <c r="BA616" s="4">
        <f>IF($A616=BA$613,"",COUNTIF($E$4:$E$609,$A616&amp;" ضد "&amp;BA$613)+COUNTIF($E$4:$E$609,BA$613&amp;" ضد "&amp;$A616))</f>
        <v>0</v>
      </c>
      <c r="BB616" s="4">
        <f>IF($A616=BB$613,"",COUNTIF($E$4:$E$609,$A616&amp;" ضد "&amp;BB$613)+COUNTIF($E$4:$E$609,BB$613&amp;" ضد "&amp;$A616))</f>
        <v>0</v>
      </c>
      <c r="BC616" s="4">
        <f>IF($A616=BC$613,"",COUNTIF($E$4:$E$609,$A616&amp;" ضد "&amp;BC$613)+COUNTIF($E$4:$E$609,BC$613&amp;" ضد "&amp;$A616))</f>
        <v>0</v>
      </c>
      <c r="BD616" s="4">
        <f>IF($A616=BD$613,"",COUNTIF($E$4:$E$609,$A616&amp;" ضد "&amp;BD$613)+COUNTIF($E$4:$E$609,BD$613&amp;" ضد "&amp;$A616))</f>
        <v>0</v>
      </c>
      <c r="BE616" s="4">
        <f>IF($A616=BE$613,"",COUNTIF($E$4:$E$609,$A616&amp;" ضد "&amp;BE$613)+COUNTIF($E$4:$E$609,BE$613&amp;" ضد "&amp;$A616))</f>
        <v>0</v>
      </c>
      <c r="BF616" s="4">
        <f>IF($A616=BF$613,"",COUNTIF($E$4:$E$609,$A616&amp;" ضد "&amp;BF$613)+COUNTIF($E$4:$E$609,BF$613&amp;" ضد "&amp;$A616))</f>
        <v>0</v>
      </c>
      <c r="BG616" s="4">
        <f>IF($A616=BG$613,"",COUNTIF($E$4:$E$609,$A616&amp;" ضد "&amp;BG$613)+COUNTIF($E$4:$E$609,BG$613&amp;" ضد "&amp;$A616))</f>
        <v>0</v>
      </c>
      <c r="BH616" s="4">
        <f>IF($A616=BH$613,"",COUNTIF($E$4:$E$609,$A616&amp;" ضد "&amp;BH$613)+COUNTIF($E$4:$E$609,BH$613&amp;" ضد "&amp;$A616))</f>
        <v>0</v>
      </c>
      <c r="BI616" s="4">
        <f>IF($A616=BI$613,"",COUNTIF($E$4:$E$609,$A616&amp;" ضد "&amp;BI$613)+COUNTIF($E$4:$E$609,BI$613&amp;" ضد "&amp;$A616))</f>
        <v>0</v>
      </c>
      <c r="BJ616" s="4">
        <f>IF($A616=BJ$613,"",COUNTIF($E$4:$E$609,$A616&amp;" ضد "&amp;BJ$613)+COUNTIF($E$4:$E$609,BJ$613&amp;" ضد "&amp;$A616))</f>
        <v>0</v>
      </c>
      <c r="BK616" s="4">
        <f>IF($A616=BK$613,"",COUNTIF($E$4:$E$609,$A616&amp;" ضد "&amp;BK$613)+COUNTIF($E$4:$E$609,BK$613&amp;" ضد "&amp;$A616))</f>
        <v>0</v>
      </c>
      <c r="BL616" s="4">
        <f>IF($A616=BL$613,"",COUNTIF($E$4:$E$609,$A616&amp;" ضد "&amp;BL$613)+COUNTIF($E$4:$E$609,BL$613&amp;" ضد "&amp;$A616))</f>
        <v>0</v>
      </c>
      <c r="BM616" s="4">
        <f>IF($A616=BM$613,"",COUNTIF($E$4:$E$609,$A616&amp;" ضد "&amp;BM$613)+COUNTIF($E$4:$E$609,BM$613&amp;" ضد "&amp;$A616))</f>
        <v>0</v>
      </c>
      <c r="BN616" s="4">
        <f>IF($A616=BN$613,"",COUNTIF($E$4:$E$609,$A616&amp;" ضد "&amp;BN$613)+COUNTIF($E$4:$E$609,BN$613&amp;" ضد "&amp;$A616))</f>
        <v>0</v>
      </c>
      <c r="BO616" s="4">
        <f>IF($A616=BO$613,"",COUNTIF($E$4:$E$609,$A616&amp;" ضد "&amp;BO$613)+COUNTIF($E$4:$E$609,BO$613&amp;" ضد "&amp;$A616))</f>
        <v>0</v>
      </c>
      <c r="BP616" s="4">
        <f>IF($A616=BP$613,"",COUNTIF($E$4:$E$609,$A616&amp;" ضد "&amp;BP$613)+COUNTIF($E$4:$E$609,BP$613&amp;" ضد "&amp;$A616))</f>
        <v>0</v>
      </c>
    </row>
    <row r="617" spans="1:68" ht="14.5">
      <c r="A617" s="14">
        <v>4</v>
      </c>
      <c r="B617" s="4">
        <f>IF($A617=B$613,"",COUNTIF($E$4:$E$609,$A617&amp;" ضد "&amp;B$613)+COUNTIF($E$4:$E$609,B$613&amp;" ضد "&amp;$A617))</f>
        <v>1</v>
      </c>
      <c r="C617" s="4">
        <f>IF($A617=C$613,"",COUNTIF($E$4:$E$609,$A617&amp;" ضد "&amp;C$613)+COUNTIF($E$4:$E$609,C$613&amp;" ضد "&amp;$A617))</f>
        <v>1</v>
      </c>
      <c r="D617" s="4">
        <f>IF($A617=D$613,"",COUNTIF($E$4:$E$609,$A617&amp;" ضد "&amp;D$613)+COUNTIF($E$4:$E$609,D$613&amp;" ضد "&amp;$A617))</f>
        <v>2</v>
      </c>
      <c r="E617" s="4" t="str">
        <f>IF($A617=E$613,"",COUNTIF($E$4:$E$609,$A617&amp;" ضد "&amp;E$613)+COUNTIF($E$4:$E$609,E$613&amp;" ضد "&amp;$A617))</f>
        <v/>
      </c>
      <c r="F617" s="4">
        <f>IF($A617=F$613,"",COUNTIF($E$4:$E$609,$A617&amp;" ضد "&amp;F$613)+COUNTIF($E$4:$E$609,F$613&amp;" ضد "&amp;$A617))</f>
        <v>2</v>
      </c>
      <c r="G617" s="4">
        <f>IF($A617=G$613,"",COUNTIF($E$4:$E$609,$A617&amp;" ضد "&amp;G$613)+COUNTIF($E$4:$E$609,G$613&amp;" ضد "&amp;$A617))</f>
        <v>1</v>
      </c>
      <c r="H617" s="4">
        <f>IF($A617=H$613,"",COUNTIF($E$4:$E$609,$A617&amp;" ضد "&amp;H$613)+COUNTIF($E$4:$E$609,H$613&amp;" ضد "&amp;$A617))</f>
        <v>1</v>
      </c>
      <c r="I617" s="4">
        <f>IF($A617=I$613,"",COUNTIF($E$4:$E$609,$A617&amp;" ضد "&amp;I$613)+COUNTIF($E$4:$E$609,I$613&amp;" ضد "&amp;$A617))</f>
        <v>1</v>
      </c>
      <c r="J617" s="4">
        <f>IF($A617=J$613,"",COUNTIF($E$4:$E$609,$A617&amp;" ضد "&amp;J$613)+COUNTIF($E$4:$E$609,J$613&amp;" ضد "&amp;$A617))</f>
        <v>1</v>
      </c>
      <c r="K617" s="4">
        <f>IF($A617=K$613,"",COUNTIF($E$4:$E$609,$A617&amp;" ضد "&amp;K$613)+COUNTIF($E$4:$E$609,K$613&amp;" ضد "&amp;$A617))</f>
        <v>1</v>
      </c>
      <c r="L617" s="4">
        <f>IF($A617=L$613,"",COUNTIF($E$4:$E$609,$A617&amp;" ضد "&amp;L$613)+COUNTIF($E$4:$E$609,L$613&amp;" ضد "&amp;$A617))</f>
        <v>1</v>
      </c>
      <c r="M617" s="4">
        <f>IF($A617=M$613,"",COUNTIF($E$4:$E$609,$A617&amp;" ضد "&amp;M$613)+COUNTIF($E$4:$E$609,M$613&amp;" ضد "&amp;$A617))</f>
        <v>1</v>
      </c>
      <c r="N617" s="4">
        <f>IF($A617=N$613,"",COUNTIF($E$4:$E$609,$A617&amp;" ضد "&amp;N$613)+COUNTIF($E$4:$E$609,N$613&amp;" ضد "&amp;$A617))</f>
        <v>1</v>
      </c>
      <c r="O617" s="4">
        <f>IF($A617=O$613,"",COUNTIF($E$4:$E$609,$A617&amp;" ضد "&amp;O$613)+COUNTIF($E$4:$E$609,O$613&amp;" ضد "&amp;$A617))</f>
        <v>1</v>
      </c>
      <c r="P617" s="4">
        <f>IF($A617=P$613,"",COUNTIF($E$4:$E$609,$A617&amp;" ضد "&amp;P$613)+COUNTIF($E$4:$E$609,P$613&amp;" ضد "&amp;$A617))</f>
        <v>1</v>
      </c>
      <c r="Q617" s="4">
        <f>IF($A617=Q$613,"",COUNTIF($E$4:$E$609,$A617&amp;" ضد "&amp;Q$613)+COUNTIF($E$4:$E$609,Q$613&amp;" ضد "&amp;$A617))</f>
        <v>1</v>
      </c>
      <c r="R617" s="4">
        <f>IF($A617=R$613,"",COUNTIF($E$4:$E$609,$A617&amp;" ضد "&amp;R$613)+COUNTIF($E$4:$E$609,R$613&amp;" ضد "&amp;$A617))</f>
        <v>1</v>
      </c>
      <c r="S617" s="4">
        <f>IF($A617=S$613,"",COUNTIF($E$4:$E$609,$A617&amp;" ضد "&amp;S$613)+COUNTIF($E$4:$E$609,S$613&amp;" ضد "&amp;$A617))</f>
        <v>0</v>
      </c>
      <c r="T617" s="4">
        <f>IF($A617=T$613,"",COUNTIF($E$4:$E$609,$A617&amp;" ضد "&amp;T$613)+COUNTIF($E$4:$E$609,T$613&amp;" ضد "&amp;$A617))</f>
        <v>0</v>
      </c>
      <c r="U617" s="4">
        <f>IF($A617=U$613,"",COUNTIF($E$4:$E$609,$A617&amp;" ضد "&amp;U$613)+COUNTIF($E$4:$E$609,U$613&amp;" ضد "&amp;$A617))</f>
        <v>0</v>
      </c>
      <c r="V617" s="4">
        <f>IF($A617=V$613,"",COUNTIF($E$4:$E$609,$A617&amp;" ضد "&amp;V$613)+COUNTIF($E$4:$E$609,V$613&amp;" ضد "&amp;$A617))</f>
        <v>0</v>
      </c>
      <c r="W617" s="4">
        <f>IF($A617=W$613,"",COUNTIF($E$4:$E$609,$A617&amp;" ضد "&amp;W$613)+COUNTIF($E$4:$E$609,W$613&amp;" ضد "&amp;$A617))</f>
        <v>0</v>
      </c>
      <c r="X617" s="4">
        <f>IF($A617=X$613,"",COUNTIF($E$4:$E$609,$A617&amp;" ضد "&amp;X$613)+COUNTIF($E$4:$E$609,X$613&amp;" ضد "&amp;$A617))</f>
        <v>0</v>
      </c>
      <c r="Y617" s="4">
        <f>IF($A617=Y$613,"",COUNTIF($E$4:$E$609,$A617&amp;" ضد "&amp;Y$613)+COUNTIF($E$4:$E$609,Y$613&amp;" ضد "&amp;$A617))</f>
        <v>0</v>
      </c>
      <c r="Z617" s="4">
        <f>IF($A617=Z$613,"",COUNTIF($E$4:$E$609,$A617&amp;" ضد "&amp;Z$613)+COUNTIF($E$4:$E$609,Z$613&amp;" ضد "&amp;$A617))</f>
        <v>0</v>
      </c>
      <c r="AA617" s="4">
        <f>IF($A617=AA$613,"",COUNTIF($E$4:$E$609,$A617&amp;" ضد "&amp;AA$613)+COUNTIF($E$4:$E$609,AA$613&amp;" ضد "&amp;$A617))</f>
        <v>0</v>
      </c>
      <c r="AB617" s="4">
        <f>IF($A617=AB$613,"",COUNTIF($E$4:$E$609,$A617&amp;" ضد "&amp;AB$613)+COUNTIF($E$4:$E$609,AB$613&amp;" ضد "&amp;$A617))</f>
        <v>0</v>
      </c>
      <c r="AC617" s="4">
        <f>IF($A617=AC$613,"",COUNTIF($E$4:$E$609,$A617&amp;" ضد "&amp;AC$613)+COUNTIF($E$4:$E$609,AC$613&amp;" ضد "&amp;$A617))</f>
        <v>0</v>
      </c>
      <c r="AD617" s="4">
        <f>IF($A617=AD$613,"",COUNTIF($E$4:$E$609,$A617&amp;" ضد "&amp;AD$613)+COUNTIF($E$4:$E$609,AD$613&amp;" ضد "&amp;$A617))</f>
        <v>0</v>
      </c>
      <c r="AE617" s="4">
        <f>IF($A617=AE$613,"",COUNTIF($E$4:$E$609,$A617&amp;" ضد "&amp;AE$613)+COUNTIF($E$4:$E$609,AE$613&amp;" ضد "&amp;$A617))</f>
        <v>0</v>
      </c>
      <c r="AF617" s="4">
        <f>IF($A617=AF$613,"",COUNTIF($E$4:$E$609,$A617&amp;" ضد "&amp;AF$613)+COUNTIF($E$4:$E$609,AF$613&amp;" ضد "&amp;$A617))</f>
        <v>0</v>
      </c>
      <c r="AG617" s="4">
        <f>IF($A617=AG$613,"",COUNTIF($E$4:$E$609,$A617&amp;" ضد "&amp;AG$613)+COUNTIF($E$4:$E$609,AG$613&amp;" ضد "&amp;$A617))</f>
        <v>0</v>
      </c>
      <c r="AH617" s="4">
        <f>IF($A617=AH$613,"",COUNTIF($E$4:$E$609,$A617&amp;" ضد "&amp;AH$613)+COUNTIF($E$4:$E$609,AH$613&amp;" ضد "&amp;$A617))</f>
        <v>0</v>
      </c>
      <c r="AI617" s="4">
        <f>IF($A617=AI$613,"",COUNTIF($E$4:$E$609,$A617&amp;" ضد "&amp;AI$613)+COUNTIF($E$4:$E$609,AI$613&amp;" ضد "&amp;$A617))</f>
        <v>0</v>
      </c>
      <c r="AJ617" s="4">
        <f>IF($A617=AJ$613,"",COUNTIF($E$4:$E$609,$A617&amp;" ضد "&amp;AJ$613)+COUNTIF($E$4:$E$609,AJ$613&amp;" ضد "&amp;$A617))</f>
        <v>0</v>
      </c>
      <c r="AK617" s="4">
        <f>IF($A617=AK$613,"",COUNTIF($E$4:$E$609,$A617&amp;" ضد "&amp;AK$613)+COUNTIF($E$4:$E$609,AK$613&amp;" ضد "&amp;$A617))</f>
        <v>0</v>
      </c>
      <c r="AL617" s="4">
        <f>IF($A617=AL$613,"",COUNTIF($E$4:$E$609,$A617&amp;" ضد "&amp;AL$613)+COUNTIF($E$4:$E$609,AL$613&amp;" ضد "&amp;$A617))</f>
        <v>0</v>
      </c>
      <c r="AM617" s="4">
        <f>IF($A617=AM$613,"",COUNTIF($E$4:$E$609,$A617&amp;" ضد "&amp;AM$613)+COUNTIF($E$4:$E$609,AM$613&amp;" ضد "&amp;$A617))</f>
        <v>0</v>
      </c>
      <c r="AN617" s="4">
        <f>IF($A617=AN$613,"",COUNTIF($E$4:$E$609,$A617&amp;" ضد "&amp;AN$613)+COUNTIF($E$4:$E$609,AN$613&amp;" ضد "&amp;$A617))</f>
        <v>0</v>
      </c>
      <c r="AO617" s="4">
        <f>IF($A617=AO$613,"",COUNTIF($E$4:$E$609,$A617&amp;" ضد "&amp;AO$613)+COUNTIF($E$4:$E$609,AO$613&amp;" ضد "&amp;$A617))</f>
        <v>0</v>
      </c>
      <c r="AP617" s="4">
        <f>IF($A617=AP$613,"",COUNTIF($E$4:$E$609,$A617&amp;" ضد "&amp;AP$613)+COUNTIF($E$4:$E$609,AP$613&amp;" ضد "&amp;$A617))</f>
        <v>0</v>
      </c>
      <c r="AQ617" s="4">
        <f>IF($A617=AQ$613,"",COUNTIF($E$4:$E$609,$A617&amp;" ضد "&amp;AQ$613)+COUNTIF($E$4:$E$609,AQ$613&amp;" ضد "&amp;$A617))</f>
        <v>0</v>
      </c>
      <c r="AR617" s="4">
        <f>IF($A617=AR$613,"",COUNTIF($E$4:$E$609,$A617&amp;" ضد "&amp;AR$613)+COUNTIF($E$4:$E$609,AR$613&amp;" ضد "&amp;$A617))</f>
        <v>0</v>
      </c>
      <c r="AS617" s="4">
        <f>IF($A617=AS$613,"",COUNTIF($E$4:$E$609,$A617&amp;" ضد "&amp;AS$613)+COUNTIF($E$4:$E$609,AS$613&amp;" ضد "&amp;$A617))</f>
        <v>0</v>
      </c>
      <c r="AT617" s="4">
        <f>IF($A617=AT$613,"",COUNTIF($E$4:$E$609,$A617&amp;" ضد "&amp;AT$613)+COUNTIF($E$4:$E$609,AT$613&amp;" ضد "&amp;$A617))</f>
        <v>0</v>
      </c>
      <c r="AU617" s="4">
        <f>IF($A617=AU$613,"",COUNTIF($E$4:$E$609,$A617&amp;" ضد "&amp;AU$613)+COUNTIF($E$4:$E$609,AU$613&amp;" ضد "&amp;$A617))</f>
        <v>0</v>
      </c>
      <c r="AV617" s="4">
        <f>IF($A617=AV$613,"",COUNTIF($E$4:$E$609,$A617&amp;" ضد "&amp;AV$613)+COUNTIF($E$4:$E$609,AV$613&amp;" ضد "&amp;$A617))</f>
        <v>0</v>
      </c>
      <c r="AW617" s="4">
        <f>IF($A617=AW$613,"",COUNTIF($E$4:$E$609,$A617&amp;" ضد "&amp;AW$613)+COUNTIF($E$4:$E$609,AW$613&amp;" ضد "&amp;$A617))</f>
        <v>0</v>
      </c>
      <c r="AX617" s="4">
        <f>IF($A617=AX$613,"",COUNTIF($E$4:$E$609,$A617&amp;" ضد "&amp;AX$613)+COUNTIF($E$4:$E$609,AX$613&amp;" ضد "&amp;$A617))</f>
        <v>0</v>
      </c>
      <c r="AY617" s="4">
        <f>IF($A617=AY$613,"",COUNTIF($E$4:$E$609,$A617&amp;" ضد "&amp;AY$613)+COUNTIF($E$4:$E$609,AY$613&amp;" ضد "&amp;$A617))</f>
        <v>0</v>
      </c>
      <c r="AZ617" s="4">
        <f>IF($A617=AZ$613,"",COUNTIF($E$4:$E$609,$A617&amp;" ضد "&amp;AZ$613)+COUNTIF($E$4:$E$609,AZ$613&amp;" ضد "&amp;$A617))</f>
        <v>0</v>
      </c>
      <c r="BA617" s="4">
        <f>IF($A617=BA$613,"",COUNTIF($E$4:$E$609,$A617&amp;" ضد "&amp;BA$613)+COUNTIF($E$4:$E$609,BA$613&amp;" ضد "&amp;$A617))</f>
        <v>0</v>
      </c>
      <c r="BB617" s="4">
        <f>IF($A617=BB$613,"",COUNTIF($E$4:$E$609,$A617&amp;" ضد "&amp;BB$613)+COUNTIF($E$4:$E$609,BB$613&amp;" ضد "&amp;$A617))</f>
        <v>0</v>
      </c>
      <c r="BC617" s="4">
        <f>IF($A617=BC$613,"",COUNTIF($E$4:$E$609,$A617&amp;" ضد "&amp;BC$613)+COUNTIF($E$4:$E$609,BC$613&amp;" ضد "&amp;$A617))</f>
        <v>0</v>
      </c>
      <c r="BD617" s="4">
        <f>IF($A617=BD$613,"",COUNTIF($E$4:$E$609,$A617&amp;" ضد "&amp;BD$613)+COUNTIF($E$4:$E$609,BD$613&amp;" ضد "&amp;$A617))</f>
        <v>0</v>
      </c>
      <c r="BE617" s="4">
        <f>IF($A617=BE$613,"",COUNTIF($E$4:$E$609,$A617&amp;" ضد "&amp;BE$613)+COUNTIF($E$4:$E$609,BE$613&amp;" ضد "&amp;$A617))</f>
        <v>0</v>
      </c>
      <c r="BF617" s="4">
        <f>IF($A617=BF$613,"",COUNTIF($E$4:$E$609,$A617&amp;" ضد "&amp;BF$613)+COUNTIF($E$4:$E$609,BF$613&amp;" ضد "&amp;$A617))</f>
        <v>0</v>
      </c>
      <c r="BG617" s="4">
        <f>IF($A617=BG$613,"",COUNTIF($E$4:$E$609,$A617&amp;" ضد "&amp;BG$613)+COUNTIF($E$4:$E$609,BG$613&amp;" ضد "&amp;$A617))</f>
        <v>0</v>
      </c>
      <c r="BH617" s="4">
        <f>IF($A617=BH$613,"",COUNTIF($E$4:$E$609,$A617&amp;" ضد "&amp;BH$613)+COUNTIF($E$4:$E$609,BH$613&amp;" ضد "&amp;$A617))</f>
        <v>0</v>
      </c>
      <c r="BI617" s="4">
        <f>IF($A617=BI$613,"",COUNTIF($E$4:$E$609,$A617&amp;" ضد "&amp;BI$613)+COUNTIF($E$4:$E$609,BI$613&amp;" ضد "&amp;$A617))</f>
        <v>0</v>
      </c>
      <c r="BJ617" s="4">
        <f>IF($A617=BJ$613,"",COUNTIF($E$4:$E$609,$A617&amp;" ضد "&amp;BJ$613)+COUNTIF($E$4:$E$609,BJ$613&amp;" ضد "&amp;$A617))</f>
        <v>0</v>
      </c>
      <c r="BK617" s="4">
        <f>IF($A617=BK$613,"",COUNTIF($E$4:$E$609,$A617&amp;" ضد "&amp;BK$613)+COUNTIF($E$4:$E$609,BK$613&amp;" ضد "&amp;$A617))</f>
        <v>0</v>
      </c>
      <c r="BL617" s="4">
        <f>IF($A617=BL$613,"",COUNTIF($E$4:$E$609,$A617&amp;" ضد "&amp;BL$613)+COUNTIF($E$4:$E$609,BL$613&amp;" ضد "&amp;$A617))</f>
        <v>0</v>
      </c>
      <c r="BM617" s="4">
        <f>IF($A617=BM$613,"",COUNTIF($E$4:$E$609,$A617&amp;" ضد "&amp;BM$613)+COUNTIF($E$4:$E$609,BM$613&amp;" ضد "&amp;$A617))</f>
        <v>0</v>
      </c>
      <c r="BN617" s="4">
        <f>IF($A617=BN$613,"",COUNTIF($E$4:$E$609,$A617&amp;" ضد "&amp;BN$613)+COUNTIF($E$4:$E$609,BN$613&amp;" ضد "&amp;$A617))</f>
        <v>0</v>
      </c>
      <c r="BO617" s="4">
        <f>IF($A617=BO$613,"",COUNTIF($E$4:$E$609,$A617&amp;" ضد "&amp;BO$613)+COUNTIF($E$4:$E$609,BO$613&amp;" ضد "&amp;$A617))</f>
        <v>0</v>
      </c>
      <c r="BP617" s="4">
        <f>IF($A617=BP$613,"",COUNTIF($E$4:$E$609,$A617&amp;" ضد "&amp;BP$613)+COUNTIF($E$4:$E$609,BP$613&amp;" ضد "&amp;$A617))</f>
        <v>0</v>
      </c>
    </row>
    <row r="618" spans="1:68" ht="14.5">
      <c r="A618" s="14">
        <v>5</v>
      </c>
      <c r="B618" s="4">
        <f>IF($A618=B$613,"",COUNTIF($E$4:$E$609,$A618&amp;" ضد "&amp;B$613)+COUNTIF($E$4:$E$609,B$613&amp;" ضد "&amp;$A618))</f>
        <v>1</v>
      </c>
      <c r="C618" s="4">
        <f>IF($A618=C$613,"",COUNTIF($E$4:$E$609,$A618&amp;" ضد "&amp;C$613)+COUNTIF($E$4:$E$609,C$613&amp;" ضد "&amp;$A618))</f>
        <v>1</v>
      </c>
      <c r="D618" s="4">
        <f>IF($A618=D$613,"",COUNTIF($E$4:$E$609,$A618&amp;" ضد "&amp;D$613)+COUNTIF($E$4:$E$609,D$613&amp;" ضد "&amp;$A618))</f>
        <v>1</v>
      </c>
      <c r="E618" s="4">
        <f>IF($A618=E$613,"",COUNTIF($E$4:$E$609,$A618&amp;" ضد "&amp;E$613)+COUNTIF($E$4:$E$609,E$613&amp;" ضد "&amp;$A618))</f>
        <v>2</v>
      </c>
      <c r="F618" s="4" t="str">
        <f>IF($A618=F$613,"",COUNTIF($E$4:$E$609,$A618&amp;" ضد "&amp;F$613)+COUNTIF($E$4:$E$609,F$613&amp;" ضد "&amp;$A618))</f>
        <v/>
      </c>
      <c r="G618" s="4">
        <f>IF($A618=G$613,"",COUNTIF($E$4:$E$609,$A618&amp;" ضد "&amp;G$613)+COUNTIF($E$4:$E$609,G$613&amp;" ضد "&amp;$A618))</f>
        <v>2</v>
      </c>
      <c r="H618" s="4">
        <f>IF($A618=H$613,"",COUNTIF($E$4:$E$609,$A618&amp;" ضد "&amp;H$613)+COUNTIF($E$4:$E$609,H$613&amp;" ضد "&amp;$A618))</f>
        <v>1</v>
      </c>
      <c r="I618" s="4">
        <f>IF($A618=I$613,"",COUNTIF($E$4:$E$609,$A618&amp;" ضد "&amp;I$613)+COUNTIF($E$4:$E$609,I$613&amp;" ضد "&amp;$A618))</f>
        <v>1</v>
      </c>
      <c r="J618" s="4">
        <f>IF($A618=J$613,"",COUNTIF($E$4:$E$609,$A618&amp;" ضد "&amp;J$613)+COUNTIF($E$4:$E$609,J$613&amp;" ضد "&amp;$A618))</f>
        <v>1</v>
      </c>
      <c r="K618" s="4">
        <f>IF($A618=K$613,"",COUNTIF($E$4:$E$609,$A618&amp;" ضد "&amp;K$613)+COUNTIF($E$4:$E$609,K$613&amp;" ضد "&amp;$A618))</f>
        <v>1</v>
      </c>
      <c r="L618" s="4">
        <f>IF($A618=L$613,"",COUNTIF($E$4:$E$609,$A618&amp;" ضد "&amp;L$613)+COUNTIF($E$4:$E$609,L$613&amp;" ضد "&amp;$A618))</f>
        <v>1</v>
      </c>
      <c r="M618" s="4">
        <f>IF($A618=M$613,"",COUNTIF($E$4:$E$609,$A618&amp;" ضد "&amp;M$613)+COUNTIF($E$4:$E$609,M$613&amp;" ضد "&amp;$A618))</f>
        <v>1</v>
      </c>
      <c r="N618" s="4">
        <f>IF($A618=N$613,"",COUNTIF($E$4:$E$609,$A618&amp;" ضد "&amp;N$613)+COUNTIF($E$4:$E$609,N$613&amp;" ضد "&amp;$A618))</f>
        <v>1</v>
      </c>
      <c r="O618" s="4">
        <f>IF($A618=O$613,"",COUNTIF($E$4:$E$609,$A618&amp;" ضد "&amp;O$613)+COUNTIF($E$4:$E$609,O$613&amp;" ضد "&amp;$A618))</f>
        <v>1</v>
      </c>
      <c r="P618" s="4">
        <f>IF($A618=P$613,"",COUNTIF($E$4:$E$609,$A618&amp;" ضد "&amp;P$613)+COUNTIF($E$4:$E$609,P$613&amp;" ضد "&amp;$A618))</f>
        <v>1</v>
      </c>
      <c r="Q618" s="4">
        <f>IF($A618=Q$613,"",COUNTIF($E$4:$E$609,$A618&amp;" ضد "&amp;Q$613)+COUNTIF($E$4:$E$609,Q$613&amp;" ضد "&amp;$A618))</f>
        <v>1</v>
      </c>
      <c r="R618" s="4">
        <f>IF($A618=R$613,"",COUNTIF($E$4:$E$609,$A618&amp;" ضد "&amp;R$613)+COUNTIF($E$4:$E$609,R$613&amp;" ضد "&amp;$A618))</f>
        <v>1</v>
      </c>
      <c r="S618" s="4">
        <f>IF($A618=S$613,"",COUNTIF($E$4:$E$609,$A618&amp;" ضد "&amp;S$613)+COUNTIF($E$4:$E$609,S$613&amp;" ضد "&amp;$A618))</f>
        <v>0</v>
      </c>
      <c r="T618" s="4">
        <f>IF($A618=T$613,"",COUNTIF($E$4:$E$609,$A618&amp;" ضد "&amp;T$613)+COUNTIF($E$4:$E$609,T$613&amp;" ضد "&amp;$A618))</f>
        <v>0</v>
      </c>
      <c r="U618" s="4">
        <f>IF($A618=U$613,"",COUNTIF($E$4:$E$609,$A618&amp;" ضد "&amp;U$613)+COUNTIF($E$4:$E$609,U$613&amp;" ضد "&amp;$A618))</f>
        <v>0</v>
      </c>
      <c r="V618" s="4">
        <f>IF($A618=V$613,"",COUNTIF($E$4:$E$609,$A618&amp;" ضد "&amp;V$613)+COUNTIF($E$4:$E$609,V$613&amp;" ضد "&amp;$A618))</f>
        <v>0</v>
      </c>
      <c r="W618" s="4">
        <f>IF($A618=W$613,"",COUNTIF($E$4:$E$609,$A618&amp;" ضد "&amp;W$613)+COUNTIF($E$4:$E$609,W$613&amp;" ضد "&amp;$A618))</f>
        <v>0</v>
      </c>
      <c r="X618" s="4">
        <f>IF($A618=X$613,"",COUNTIF($E$4:$E$609,$A618&amp;" ضد "&amp;X$613)+COUNTIF($E$4:$E$609,X$613&amp;" ضد "&amp;$A618))</f>
        <v>0</v>
      </c>
      <c r="Y618" s="4">
        <f>IF($A618=Y$613,"",COUNTIF($E$4:$E$609,$A618&amp;" ضد "&amp;Y$613)+COUNTIF($E$4:$E$609,Y$613&amp;" ضد "&amp;$A618))</f>
        <v>0</v>
      </c>
      <c r="Z618" s="4">
        <f>IF($A618=Z$613,"",COUNTIF($E$4:$E$609,$A618&amp;" ضد "&amp;Z$613)+COUNTIF($E$4:$E$609,Z$613&amp;" ضد "&amp;$A618))</f>
        <v>0</v>
      </c>
      <c r="AA618" s="4">
        <f>IF($A618=AA$613,"",COUNTIF($E$4:$E$609,$A618&amp;" ضد "&amp;AA$613)+COUNTIF($E$4:$E$609,AA$613&amp;" ضد "&amp;$A618))</f>
        <v>0</v>
      </c>
      <c r="AB618" s="4">
        <f>IF($A618=AB$613,"",COUNTIF($E$4:$E$609,$A618&amp;" ضد "&amp;AB$613)+COUNTIF($E$4:$E$609,AB$613&amp;" ضد "&amp;$A618))</f>
        <v>0</v>
      </c>
      <c r="AC618" s="4">
        <f>IF($A618=AC$613,"",COUNTIF($E$4:$E$609,$A618&amp;" ضد "&amp;AC$613)+COUNTIF($E$4:$E$609,AC$613&amp;" ضد "&amp;$A618))</f>
        <v>0</v>
      </c>
      <c r="AD618" s="4">
        <f>IF($A618=AD$613,"",COUNTIF($E$4:$E$609,$A618&amp;" ضد "&amp;AD$613)+COUNTIF($E$4:$E$609,AD$613&amp;" ضد "&amp;$A618))</f>
        <v>0</v>
      </c>
      <c r="AE618" s="4">
        <f>IF($A618=AE$613,"",COUNTIF($E$4:$E$609,$A618&amp;" ضد "&amp;AE$613)+COUNTIF($E$4:$E$609,AE$613&amp;" ضد "&amp;$A618))</f>
        <v>0</v>
      </c>
      <c r="AF618" s="4">
        <f>IF($A618=AF$613,"",COUNTIF($E$4:$E$609,$A618&amp;" ضد "&amp;AF$613)+COUNTIF($E$4:$E$609,AF$613&amp;" ضد "&amp;$A618))</f>
        <v>0</v>
      </c>
      <c r="AG618" s="4">
        <f>IF($A618=AG$613,"",COUNTIF($E$4:$E$609,$A618&amp;" ضد "&amp;AG$613)+COUNTIF($E$4:$E$609,AG$613&amp;" ضد "&amp;$A618))</f>
        <v>0</v>
      </c>
      <c r="AH618" s="4">
        <f>IF($A618=AH$613,"",COUNTIF($E$4:$E$609,$A618&amp;" ضد "&amp;AH$613)+COUNTIF($E$4:$E$609,AH$613&amp;" ضد "&amp;$A618))</f>
        <v>0</v>
      </c>
      <c r="AI618" s="4">
        <f>IF($A618=AI$613,"",COUNTIF($E$4:$E$609,$A618&amp;" ضد "&amp;AI$613)+COUNTIF($E$4:$E$609,AI$613&amp;" ضد "&amp;$A618))</f>
        <v>0</v>
      </c>
      <c r="AJ618" s="4">
        <f>IF($A618=AJ$613,"",COUNTIF($E$4:$E$609,$A618&amp;" ضد "&amp;AJ$613)+COUNTIF($E$4:$E$609,AJ$613&amp;" ضد "&amp;$A618))</f>
        <v>0</v>
      </c>
      <c r="AK618" s="4">
        <f>IF($A618=AK$613,"",COUNTIF($E$4:$E$609,$A618&amp;" ضد "&amp;AK$613)+COUNTIF($E$4:$E$609,AK$613&amp;" ضد "&amp;$A618))</f>
        <v>0</v>
      </c>
      <c r="AL618" s="4">
        <f>IF($A618=AL$613,"",COUNTIF($E$4:$E$609,$A618&amp;" ضد "&amp;AL$613)+COUNTIF($E$4:$E$609,AL$613&amp;" ضد "&amp;$A618))</f>
        <v>0</v>
      </c>
      <c r="AM618" s="4">
        <f>IF($A618=AM$613,"",COUNTIF($E$4:$E$609,$A618&amp;" ضد "&amp;AM$613)+COUNTIF($E$4:$E$609,AM$613&amp;" ضد "&amp;$A618))</f>
        <v>0</v>
      </c>
      <c r="AN618" s="4">
        <f>IF($A618=AN$613,"",COUNTIF($E$4:$E$609,$A618&amp;" ضد "&amp;AN$613)+COUNTIF($E$4:$E$609,AN$613&amp;" ضد "&amp;$A618))</f>
        <v>0</v>
      </c>
      <c r="AO618" s="4">
        <f>IF($A618=AO$613,"",COUNTIF($E$4:$E$609,$A618&amp;" ضد "&amp;AO$613)+COUNTIF($E$4:$E$609,AO$613&amp;" ضد "&amp;$A618))</f>
        <v>0</v>
      </c>
      <c r="AP618" s="4">
        <f>IF($A618=AP$613,"",COUNTIF($E$4:$E$609,$A618&amp;" ضد "&amp;AP$613)+COUNTIF($E$4:$E$609,AP$613&amp;" ضد "&amp;$A618))</f>
        <v>0</v>
      </c>
      <c r="AQ618" s="4">
        <f>IF($A618=AQ$613,"",COUNTIF($E$4:$E$609,$A618&amp;" ضد "&amp;AQ$613)+COUNTIF($E$4:$E$609,AQ$613&amp;" ضد "&amp;$A618))</f>
        <v>0</v>
      </c>
      <c r="AR618" s="4">
        <f>IF($A618=AR$613,"",COUNTIF($E$4:$E$609,$A618&amp;" ضد "&amp;AR$613)+COUNTIF($E$4:$E$609,AR$613&amp;" ضد "&amp;$A618))</f>
        <v>0</v>
      </c>
      <c r="AS618" s="4">
        <f>IF($A618=AS$613,"",COUNTIF($E$4:$E$609,$A618&amp;" ضد "&amp;AS$613)+COUNTIF($E$4:$E$609,AS$613&amp;" ضد "&amp;$A618))</f>
        <v>0</v>
      </c>
      <c r="AT618" s="4">
        <f>IF($A618=AT$613,"",COUNTIF($E$4:$E$609,$A618&amp;" ضد "&amp;AT$613)+COUNTIF($E$4:$E$609,AT$613&amp;" ضد "&amp;$A618))</f>
        <v>0</v>
      </c>
      <c r="AU618" s="4">
        <f>IF($A618=AU$613,"",COUNTIF($E$4:$E$609,$A618&amp;" ضد "&amp;AU$613)+COUNTIF($E$4:$E$609,AU$613&amp;" ضد "&amp;$A618))</f>
        <v>0</v>
      </c>
      <c r="AV618" s="4">
        <f>IF($A618=AV$613,"",COUNTIF($E$4:$E$609,$A618&amp;" ضد "&amp;AV$613)+COUNTIF($E$4:$E$609,AV$613&amp;" ضد "&amp;$A618))</f>
        <v>0</v>
      </c>
      <c r="AW618" s="4">
        <f>IF($A618=AW$613,"",COUNTIF($E$4:$E$609,$A618&amp;" ضد "&amp;AW$613)+COUNTIF($E$4:$E$609,AW$613&amp;" ضد "&amp;$A618))</f>
        <v>0</v>
      </c>
      <c r="AX618" s="4">
        <f>IF($A618=AX$613,"",COUNTIF($E$4:$E$609,$A618&amp;" ضد "&amp;AX$613)+COUNTIF($E$4:$E$609,AX$613&amp;" ضد "&amp;$A618))</f>
        <v>0</v>
      </c>
      <c r="AY618" s="4">
        <f>IF($A618=AY$613,"",COUNTIF($E$4:$E$609,$A618&amp;" ضد "&amp;AY$613)+COUNTIF($E$4:$E$609,AY$613&amp;" ضد "&amp;$A618))</f>
        <v>0</v>
      </c>
      <c r="AZ618" s="4">
        <f>IF($A618=AZ$613,"",COUNTIF($E$4:$E$609,$A618&amp;" ضد "&amp;AZ$613)+COUNTIF($E$4:$E$609,AZ$613&amp;" ضد "&amp;$A618))</f>
        <v>0</v>
      </c>
      <c r="BA618" s="4">
        <f>IF($A618=BA$613,"",COUNTIF($E$4:$E$609,$A618&amp;" ضد "&amp;BA$613)+COUNTIF($E$4:$E$609,BA$613&amp;" ضد "&amp;$A618))</f>
        <v>0</v>
      </c>
      <c r="BB618" s="4">
        <f>IF($A618=BB$613,"",COUNTIF($E$4:$E$609,$A618&amp;" ضد "&amp;BB$613)+COUNTIF($E$4:$E$609,BB$613&amp;" ضد "&amp;$A618))</f>
        <v>0</v>
      </c>
      <c r="BC618" s="4">
        <f>IF($A618=BC$613,"",COUNTIF($E$4:$E$609,$A618&amp;" ضد "&amp;BC$613)+COUNTIF($E$4:$E$609,BC$613&amp;" ضد "&amp;$A618))</f>
        <v>0</v>
      </c>
      <c r="BD618" s="4">
        <f>IF($A618=BD$613,"",COUNTIF($E$4:$E$609,$A618&amp;" ضد "&amp;BD$613)+COUNTIF($E$4:$E$609,BD$613&amp;" ضد "&amp;$A618))</f>
        <v>0</v>
      </c>
      <c r="BE618" s="4">
        <f>IF($A618=BE$613,"",COUNTIF($E$4:$E$609,$A618&amp;" ضد "&amp;BE$613)+COUNTIF($E$4:$E$609,BE$613&amp;" ضد "&amp;$A618))</f>
        <v>0</v>
      </c>
      <c r="BF618" s="4">
        <f>IF($A618=BF$613,"",COUNTIF($E$4:$E$609,$A618&amp;" ضد "&amp;BF$613)+COUNTIF($E$4:$E$609,BF$613&amp;" ضد "&amp;$A618))</f>
        <v>0</v>
      </c>
      <c r="BG618" s="4">
        <f>IF($A618=BG$613,"",COUNTIF($E$4:$E$609,$A618&amp;" ضد "&amp;BG$613)+COUNTIF($E$4:$E$609,BG$613&amp;" ضد "&amp;$A618))</f>
        <v>0</v>
      </c>
      <c r="BH618" s="4">
        <f>IF($A618=BH$613,"",COUNTIF($E$4:$E$609,$A618&amp;" ضد "&amp;BH$613)+COUNTIF($E$4:$E$609,BH$613&amp;" ضد "&amp;$A618))</f>
        <v>0</v>
      </c>
      <c r="BI618" s="4">
        <f>IF($A618=BI$613,"",COUNTIF($E$4:$E$609,$A618&amp;" ضد "&amp;BI$613)+COUNTIF($E$4:$E$609,BI$613&amp;" ضد "&amp;$A618))</f>
        <v>0</v>
      </c>
      <c r="BJ618" s="4">
        <f>IF($A618=BJ$613,"",COUNTIF($E$4:$E$609,$A618&amp;" ضد "&amp;BJ$613)+COUNTIF($E$4:$E$609,BJ$613&amp;" ضد "&amp;$A618))</f>
        <v>0</v>
      </c>
      <c r="BK618" s="4">
        <f>IF($A618=BK$613,"",COUNTIF($E$4:$E$609,$A618&amp;" ضد "&amp;BK$613)+COUNTIF($E$4:$E$609,BK$613&amp;" ضد "&amp;$A618))</f>
        <v>0</v>
      </c>
      <c r="BL618" s="4">
        <f>IF($A618=BL$613,"",COUNTIF($E$4:$E$609,$A618&amp;" ضد "&amp;BL$613)+COUNTIF($E$4:$E$609,BL$613&amp;" ضد "&amp;$A618))</f>
        <v>0</v>
      </c>
      <c r="BM618" s="4">
        <f>IF($A618=BM$613,"",COUNTIF($E$4:$E$609,$A618&amp;" ضد "&amp;BM$613)+COUNTIF($E$4:$E$609,BM$613&amp;" ضد "&amp;$A618))</f>
        <v>0</v>
      </c>
      <c r="BN618" s="4">
        <f>IF($A618=BN$613,"",COUNTIF($E$4:$E$609,$A618&amp;" ضد "&amp;BN$613)+COUNTIF($E$4:$E$609,BN$613&amp;" ضد "&amp;$A618))</f>
        <v>0</v>
      </c>
      <c r="BO618" s="4">
        <f>IF($A618=BO$613,"",COUNTIF($E$4:$E$609,$A618&amp;" ضد "&amp;BO$613)+COUNTIF($E$4:$E$609,BO$613&amp;" ضد "&amp;$A618))</f>
        <v>0</v>
      </c>
      <c r="BP618" s="4">
        <f>IF($A618=BP$613,"",COUNTIF($E$4:$E$609,$A618&amp;" ضد "&amp;BP$613)+COUNTIF($E$4:$E$609,BP$613&amp;" ضد "&amp;$A618))</f>
        <v>0</v>
      </c>
    </row>
    <row r="619" spans="1:68" ht="14.5">
      <c r="A619" s="14">
        <v>6</v>
      </c>
      <c r="B619" s="4">
        <f>IF($A619=B$613,"",COUNTIF($E$4:$E$609,$A619&amp;" ضد "&amp;B$613)+COUNTIF($E$4:$E$609,B$613&amp;" ضد "&amp;$A619))</f>
        <v>1</v>
      </c>
      <c r="C619" s="4">
        <f>IF($A619=C$613,"",COUNTIF($E$4:$E$609,$A619&amp;" ضد "&amp;C$613)+COUNTIF($E$4:$E$609,C$613&amp;" ضد "&amp;$A619))</f>
        <v>1</v>
      </c>
      <c r="D619" s="4">
        <f>IF($A619=D$613,"",COUNTIF($E$4:$E$609,$A619&amp;" ضد "&amp;D$613)+COUNTIF($E$4:$E$609,D$613&amp;" ضد "&amp;$A619))</f>
        <v>1</v>
      </c>
      <c r="E619" s="4">
        <f>IF($A619=E$613,"",COUNTIF($E$4:$E$609,$A619&amp;" ضد "&amp;E$613)+COUNTIF($E$4:$E$609,E$613&amp;" ضد "&amp;$A619))</f>
        <v>1</v>
      </c>
      <c r="F619" s="4">
        <f>IF($A619=F$613,"",COUNTIF($E$4:$E$609,$A619&amp;" ضد "&amp;F$613)+COUNTIF($E$4:$E$609,F$613&amp;" ضد "&amp;$A619))</f>
        <v>2</v>
      </c>
      <c r="G619" s="4" t="str">
        <f>IF($A619=G$613,"",COUNTIF($E$4:$E$609,$A619&amp;" ضد "&amp;G$613)+COUNTIF($E$4:$E$609,G$613&amp;" ضد "&amp;$A619))</f>
        <v/>
      </c>
      <c r="H619" s="4">
        <f>IF($A619=H$613,"",COUNTIF($E$4:$E$609,$A619&amp;" ضد "&amp;H$613)+COUNTIF($E$4:$E$609,H$613&amp;" ضد "&amp;$A619))</f>
        <v>2</v>
      </c>
      <c r="I619" s="4">
        <f>IF($A619=I$613,"",COUNTIF($E$4:$E$609,$A619&amp;" ضد "&amp;I$613)+COUNTIF($E$4:$E$609,I$613&amp;" ضد "&amp;$A619))</f>
        <v>1</v>
      </c>
      <c r="J619" s="4">
        <f>IF($A619=J$613,"",COUNTIF($E$4:$E$609,$A619&amp;" ضد "&amp;J$613)+COUNTIF($E$4:$E$609,J$613&amp;" ضد "&amp;$A619))</f>
        <v>1</v>
      </c>
      <c r="K619" s="4">
        <f>IF($A619=K$613,"",COUNTIF($E$4:$E$609,$A619&amp;" ضد "&amp;K$613)+COUNTIF($E$4:$E$609,K$613&amp;" ضد "&amp;$A619))</f>
        <v>1</v>
      </c>
      <c r="L619" s="4">
        <f>IF($A619=L$613,"",COUNTIF($E$4:$E$609,$A619&amp;" ضد "&amp;L$613)+COUNTIF($E$4:$E$609,L$613&amp;" ضد "&amp;$A619))</f>
        <v>1</v>
      </c>
      <c r="M619" s="4">
        <f>IF($A619=M$613,"",COUNTIF($E$4:$E$609,$A619&amp;" ضد "&amp;M$613)+COUNTIF($E$4:$E$609,M$613&amp;" ضد "&amp;$A619))</f>
        <v>1</v>
      </c>
      <c r="N619" s="4">
        <f>IF($A619=N$613,"",COUNTIF($E$4:$E$609,$A619&amp;" ضد "&amp;N$613)+COUNTIF($E$4:$E$609,N$613&amp;" ضد "&amp;$A619))</f>
        <v>1</v>
      </c>
      <c r="O619" s="4">
        <f>IF($A619=O$613,"",COUNTIF($E$4:$E$609,$A619&amp;" ضد "&amp;O$613)+COUNTIF($E$4:$E$609,O$613&amp;" ضد "&amp;$A619))</f>
        <v>1</v>
      </c>
      <c r="P619" s="4">
        <f>IF($A619=P$613,"",COUNTIF($E$4:$E$609,$A619&amp;" ضد "&amp;P$613)+COUNTIF($E$4:$E$609,P$613&amp;" ضد "&amp;$A619))</f>
        <v>1</v>
      </c>
      <c r="Q619" s="4">
        <f>IF($A619=Q$613,"",COUNTIF($E$4:$E$609,$A619&amp;" ضد "&amp;Q$613)+COUNTIF($E$4:$E$609,Q$613&amp;" ضد "&amp;$A619))</f>
        <v>1</v>
      </c>
      <c r="R619" s="4">
        <f>IF($A619=R$613,"",COUNTIF($E$4:$E$609,$A619&amp;" ضد "&amp;R$613)+COUNTIF($E$4:$E$609,R$613&amp;" ضد "&amp;$A619))</f>
        <v>1</v>
      </c>
      <c r="S619" s="4">
        <f>IF($A619=S$613,"",COUNTIF($E$4:$E$609,$A619&amp;" ضد "&amp;S$613)+COUNTIF($E$4:$E$609,S$613&amp;" ضد "&amp;$A619))</f>
        <v>0</v>
      </c>
      <c r="T619" s="4">
        <f>IF($A619=T$613,"",COUNTIF($E$4:$E$609,$A619&amp;" ضد "&amp;T$613)+COUNTIF($E$4:$E$609,T$613&amp;" ضد "&amp;$A619))</f>
        <v>0</v>
      </c>
      <c r="U619" s="4">
        <f>IF($A619=U$613,"",COUNTIF($E$4:$E$609,$A619&amp;" ضد "&amp;U$613)+COUNTIF($E$4:$E$609,U$613&amp;" ضد "&amp;$A619))</f>
        <v>0</v>
      </c>
      <c r="V619" s="4">
        <f>IF($A619=V$613,"",COUNTIF($E$4:$E$609,$A619&amp;" ضد "&amp;V$613)+COUNTIF($E$4:$E$609,V$613&amp;" ضد "&amp;$A619))</f>
        <v>0</v>
      </c>
      <c r="W619" s="4">
        <f>IF($A619=W$613,"",COUNTIF($E$4:$E$609,$A619&amp;" ضد "&amp;W$613)+COUNTIF($E$4:$E$609,W$613&amp;" ضد "&amp;$A619))</f>
        <v>0</v>
      </c>
      <c r="X619" s="4">
        <f>IF($A619=X$613,"",COUNTIF($E$4:$E$609,$A619&amp;" ضد "&amp;X$613)+COUNTIF($E$4:$E$609,X$613&amp;" ضد "&amp;$A619))</f>
        <v>0</v>
      </c>
      <c r="Y619" s="4">
        <f>IF($A619=Y$613,"",COUNTIF($E$4:$E$609,$A619&amp;" ضد "&amp;Y$613)+COUNTIF($E$4:$E$609,Y$613&amp;" ضد "&amp;$A619))</f>
        <v>0</v>
      </c>
      <c r="Z619" s="4">
        <f>IF($A619=Z$613,"",COUNTIF($E$4:$E$609,$A619&amp;" ضد "&amp;Z$613)+COUNTIF($E$4:$E$609,Z$613&amp;" ضد "&amp;$A619))</f>
        <v>0</v>
      </c>
      <c r="AA619" s="4">
        <f>IF($A619=AA$613,"",COUNTIF($E$4:$E$609,$A619&amp;" ضد "&amp;AA$613)+COUNTIF($E$4:$E$609,AA$613&amp;" ضد "&amp;$A619))</f>
        <v>0</v>
      </c>
      <c r="AB619" s="4">
        <f>IF($A619=AB$613,"",COUNTIF($E$4:$E$609,$A619&amp;" ضد "&amp;AB$613)+COUNTIF($E$4:$E$609,AB$613&amp;" ضد "&amp;$A619))</f>
        <v>0</v>
      </c>
      <c r="AC619" s="4">
        <f>IF($A619=AC$613,"",COUNTIF($E$4:$E$609,$A619&amp;" ضد "&amp;AC$613)+COUNTIF($E$4:$E$609,AC$613&amp;" ضد "&amp;$A619))</f>
        <v>0</v>
      </c>
      <c r="AD619" s="4">
        <f>IF($A619=AD$613,"",COUNTIF($E$4:$E$609,$A619&amp;" ضد "&amp;AD$613)+COUNTIF($E$4:$E$609,AD$613&amp;" ضد "&amp;$A619))</f>
        <v>0</v>
      </c>
      <c r="AE619" s="4">
        <f>IF($A619=AE$613,"",COUNTIF($E$4:$E$609,$A619&amp;" ضد "&amp;AE$613)+COUNTIF($E$4:$E$609,AE$613&amp;" ضد "&amp;$A619))</f>
        <v>0</v>
      </c>
      <c r="AF619" s="4">
        <f>IF($A619=AF$613,"",COUNTIF($E$4:$E$609,$A619&amp;" ضد "&amp;AF$613)+COUNTIF($E$4:$E$609,AF$613&amp;" ضد "&amp;$A619))</f>
        <v>0</v>
      </c>
      <c r="AG619" s="4">
        <f>IF($A619=AG$613,"",COUNTIF($E$4:$E$609,$A619&amp;" ضد "&amp;AG$613)+COUNTIF($E$4:$E$609,AG$613&amp;" ضد "&amp;$A619))</f>
        <v>0</v>
      </c>
      <c r="AH619" s="4">
        <f>IF($A619=AH$613,"",COUNTIF($E$4:$E$609,$A619&amp;" ضد "&amp;AH$613)+COUNTIF($E$4:$E$609,AH$613&amp;" ضد "&amp;$A619))</f>
        <v>0</v>
      </c>
      <c r="AI619" s="4">
        <f>IF($A619=AI$613,"",COUNTIF($E$4:$E$609,$A619&amp;" ضد "&amp;AI$613)+COUNTIF($E$4:$E$609,AI$613&amp;" ضد "&amp;$A619))</f>
        <v>0</v>
      </c>
      <c r="AJ619" s="4">
        <f>IF($A619=AJ$613,"",COUNTIF($E$4:$E$609,$A619&amp;" ضد "&amp;AJ$613)+COUNTIF($E$4:$E$609,AJ$613&amp;" ضد "&amp;$A619))</f>
        <v>0</v>
      </c>
      <c r="AK619" s="4">
        <f>IF($A619=AK$613,"",COUNTIF($E$4:$E$609,$A619&amp;" ضد "&amp;AK$613)+COUNTIF($E$4:$E$609,AK$613&amp;" ضد "&amp;$A619))</f>
        <v>0</v>
      </c>
      <c r="AL619" s="4">
        <f>IF($A619=AL$613,"",COUNTIF($E$4:$E$609,$A619&amp;" ضد "&amp;AL$613)+COUNTIF($E$4:$E$609,AL$613&amp;" ضد "&amp;$A619))</f>
        <v>0</v>
      </c>
      <c r="AM619" s="4">
        <f>IF($A619=AM$613,"",COUNTIF($E$4:$E$609,$A619&amp;" ضد "&amp;AM$613)+COUNTIF($E$4:$E$609,AM$613&amp;" ضد "&amp;$A619))</f>
        <v>0</v>
      </c>
      <c r="AN619" s="4">
        <f>IF($A619=AN$613,"",COUNTIF($E$4:$E$609,$A619&amp;" ضد "&amp;AN$613)+COUNTIF($E$4:$E$609,AN$613&amp;" ضد "&amp;$A619))</f>
        <v>0</v>
      </c>
      <c r="AO619" s="4">
        <f>IF($A619=AO$613,"",COUNTIF($E$4:$E$609,$A619&amp;" ضد "&amp;AO$613)+COUNTIF($E$4:$E$609,AO$613&amp;" ضد "&amp;$A619))</f>
        <v>0</v>
      </c>
      <c r="AP619" s="4">
        <f>IF($A619=AP$613,"",COUNTIF($E$4:$E$609,$A619&amp;" ضد "&amp;AP$613)+COUNTIF($E$4:$E$609,AP$613&amp;" ضد "&amp;$A619))</f>
        <v>0</v>
      </c>
      <c r="AQ619" s="4">
        <f>IF($A619=AQ$613,"",COUNTIF($E$4:$E$609,$A619&amp;" ضد "&amp;AQ$613)+COUNTIF($E$4:$E$609,AQ$613&amp;" ضد "&amp;$A619))</f>
        <v>0</v>
      </c>
      <c r="AR619" s="4">
        <f>IF($A619=AR$613,"",COUNTIF($E$4:$E$609,$A619&amp;" ضد "&amp;AR$613)+COUNTIF($E$4:$E$609,AR$613&amp;" ضد "&amp;$A619))</f>
        <v>0</v>
      </c>
      <c r="AS619" s="4">
        <f>IF($A619=AS$613,"",COUNTIF($E$4:$E$609,$A619&amp;" ضد "&amp;AS$613)+COUNTIF($E$4:$E$609,AS$613&amp;" ضد "&amp;$A619))</f>
        <v>0</v>
      </c>
      <c r="AT619" s="4">
        <f>IF($A619=AT$613,"",COUNTIF($E$4:$E$609,$A619&amp;" ضد "&amp;AT$613)+COUNTIF($E$4:$E$609,AT$613&amp;" ضد "&amp;$A619))</f>
        <v>0</v>
      </c>
      <c r="AU619" s="4">
        <f>IF($A619=AU$613,"",COUNTIF($E$4:$E$609,$A619&amp;" ضد "&amp;AU$613)+COUNTIF($E$4:$E$609,AU$613&amp;" ضد "&amp;$A619))</f>
        <v>0</v>
      </c>
      <c r="AV619" s="4">
        <f>IF($A619=AV$613,"",COUNTIF($E$4:$E$609,$A619&amp;" ضد "&amp;AV$613)+COUNTIF($E$4:$E$609,AV$613&amp;" ضد "&amp;$A619))</f>
        <v>0</v>
      </c>
      <c r="AW619" s="4">
        <f>IF($A619=AW$613,"",COUNTIF($E$4:$E$609,$A619&amp;" ضد "&amp;AW$613)+COUNTIF($E$4:$E$609,AW$613&amp;" ضد "&amp;$A619))</f>
        <v>0</v>
      </c>
      <c r="AX619" s="4">
        <f>IF($A619=AX$613,"",COUNTIF($E$4:$E$609,$A619&amp;" ضد "&amp;AX$613)+COUNTIF($E$4:$E$609,AX$613&amp;" ضد "&amp;$A619))</f>
        <v>0</v>
      </c>
      <c r="AY619" s="4">
        <f>IF($A619=AY$613,"",COUNTIF($E$4:$E$609,$A619&amp;" ضد "&amp;AY$613)+COUNTIF($E$4:$E$609,AY$613&amp;" ضد "&amp;$A619))</f>
        <v>0</v>
      </c>
      <c r="AZ619" s="4">
        <f>IF($A619=AZ$613,"",COUNTIF($E$4:$E$609,$A619&amp;" ضد "&amp;AZ$613)+COUNTIF($E$4:$E$609,AZ$613&amp;" ضد "&amp;$A619))</f>
        <v>0</v>
      </c>
      <c r="BA619" s="4">
        <f>IF($A619=BA$613,"",COUNTIF($E$4:$E$609,$A619&amp;" ضد "&amp;BA$613)+COUNTIF($E$4:$E$609,BA$613&amp;" ضد "&amp;$A619))</f>
        <v>0</v>
      </c>
      <c r="BB619" s="4">
        <f>IF($A619=BB$613,"",COUNTIF($E$4:$E$609,$A619&amp;" ضد "&amp;BB$613)+COUNTIF($E$4:$E$609,BB$613&amp;" ضد "&amp;$A619))</f>
        <v>0</v>
      </c>
      <c r="BC619" s="4">
        <f>IF($A619=BC$613,"",COUNTIF($E$4:$E$609,$A619&amp;" ضد "&amp;BC$613)+COUNTIF($E$4:$E$609,BC$613&amp;" ضد "&amp;$A619))</f>
        <v>0</v>
      </c>
      <c r="BD619" s="4">
        <f>IF($A619=BD$613,"",COUNTIF($E$4:$E$609,$A619&amp;" ضد "&amp;BD$613)+COUNTIF($E$4:$E$609,BD$613&amp;" ضد "&amp;$A619))</f>
        <v>0</v>
      </c>
      <c r="BE619" s="4">
        <f>IF($A619=BE$613,"",COUNTIF($E$4:$E$609,$A619&amp;" ضد "&amp;BE$613)+COUNTIF($E$4:$E$609,BE$613&amp;" ضد "&amp;$A619))</f>
        <v>0</v>
      </c>
      <c r="BF619" s="4">
        <f>IF($A619=BF$613,"",COUNTIF($E$4:$E$609,$A619&amp;" ضد "&amp;BF$613)+COUNTIF($E$4:$E$609,BF$613&amp;" ضد "&amp;$A619))</f>
        <v>0</v>
      </c>
      <c r="BG619" s="4">
        <f>IF($A619=BG$613,"",COUNTIF($E$4:$E$609,$A619&amp;" ضد "&amp;BG$613)+COUNTIF($E$4:$E$609,BG$613&amp;" ضد "&amp;$A619))</f>
        <v>0</v>
      </c>
      <c r="BH619" s="4">
        <f>IF($A619=BH$613,"",COUNTIF($E$4:$E$609,$A619&amp;" ضد "&amp;BH$613)+COUNTIF($E$4:$E$609,BH$613&amp;" ضد "&amp;$A619))</f>
        <v>0</v>
      </c>
      <c r="BI619" s="4">
        <f>IF($A619=BI$613,"",COUNTIF($E$4:$E$609,$A619&amp;" ضد "&amp;BI$613)+COUNTIF($E$4:$E$609,BI$613&amp;" ضد "&amp;$A619))</f>
        <v>0</v>
      </c>
      <c r="BJ619" s="4">
        <f>IF($A619=BJ$613,"",COUNTIF($E$4:$E$609,$A619&amp;" ضد "&amp;BJ$613)+COUNTIF($E$4:$E$609,BJ$613&amp;" ضد "&amp;$A619))</f>
        <v>0</v>
      </c>
      <c r="BK619" s="4">
        <f>IF($A619=BK$613,"",COUNTIF($E$4:$E$609,$A619&amp;" ضد "&amp;BK$613)+COUNTIF($E$4:$E$609,BK$613&amp;" ضد "&amp;$A619))</f>
        <v>0</v>
      </c>
      <c r="BL619" s="4">
        <f>IF($A619=BL$613,"",COUNTIF($E$4:$E$609,$A619&amp;" ضد "&amp;BL$613)+COUNTIF($E$4:$E$609,BL$613&amp;" ضد "&amp;$A619))</f>
        <v>0</v>
      </c>
      <c r="BM619" s="4">
        <f>IF($A619=BM$613,"",COUNTIF($E$4:$E$609,$A619&amp;" ضد "&amp;BM$613)+COUNTIF($E$4:$E$609,BM$613&amp;" ضد "&amp;$A619))</f>
        <v>0</v>
      </c>
      <c r="BN619" s="4">
        <f>IF($A619=BN$613,"",COUNTIF($E$4:$E$609,$A619&amp;" ضد "&amp;BN$613)+COUNTIF($E$4:$E$609,BN$613&amp;" ضد "&amp;$A619))</f>
        <v>0</v>
      </c>
      <c r="BO619" s="4">
        <f>IF($A619=BO$613,"",COUNTIF($E$4:$E$609,$A619&amp;" ضد "&amp;BO$613)+COUNTIF($E$4:$E$609,BO$613&amp;" ضد "&amp;$A619))</f>
        <v>0</v>
      </c>
      <c r="BP619" s="4">
        <f>IF($A619=BP$613,"",COUNTIF($E$4:$E$609,$A619&amp;" ضد "&amp;BP$613)+COUNTIF($E$4:$E$609,BP$613&amp;" ضد "&amp;$A619))</f>
        <v>0</v>
      </c>
    </row>
    <row r="620" spans="1:68" ht="14.5">
      <c r="A620" s="14">
        <v>7</v>
      </c>
      <c r="B620" s="4">
        <f>IF($A620=B$613,"",COUNTIF($E$4:$E$609,$A620&amp;" ضد "&amp;B$613)+COUNTIF($E$4:$E$609,B$613&amp;" ضد "&amp;$A620))</f>
        <v>1</v>
      </c>
      <c r="C620" s="4">
        <f>IF($A620=C$613,"",COUNTIF($E$4:$E$609,$A620&amp;" ضد "&amp;C$613)+COUNTIF($E$4:$E$609,C$613&amp;" ضد "&amp;$A620))</f>
        <v>1</v>
      </c>
      <c r="D620" s="4">
        <f>IF($A620=D$613,"",COUNTIF($E$4:$E$609,$A620&amp;" ضد "&amp;D$613)+COUNTIF($E$4:$E$609,D$613&amp;" ضد "&amp;$A620))</f>
        <v>1</v>
      </c>
      <c r="E620" s="4">
        <f>IF($A620=E$613,"",COUNTIF($E$4:$E$609,$A620&amp;" ضد "&amp;E$613)+COUNTIF($E$4:$E$609,E$613&amp;" ضد "&amp;$A620))</f>
        <v>1</v>
      </c>
      <c r="F620" s="4">
        <f>IF($A620=F$613,"",COUNTIF($E$4:$E$609,$A620&amp;" ضد "&amp;F$613)+COUNTIF($E$4:$E$609,F$613&amp;" ضد "&amp;$A620))</f>
        <v>1</v>
      </c>
      <c r="G620" s="4">
        <f>IF($A620=G$613,"",COUNTIF($E$4:$E$609,$A620&amp;" ضد "&amp;G$613)+COUNTIF($E$4:$E$609,G$613&amp;" ضد "&amp;$A620))</f>
        <v>2</v>
      </c>
      <c r="H620" s="4" t="str">
        <f>IF($A620=H$613,"",COUNTIF($E$4:$E$609,$A620&amp;" ضد "&amp;H$613)+COUNTIF($E$4:$E$609,H$613&amp;" ضد "&amp;$A620))</f>
        <v/>
      </c>
      <c r="I620" s="4">
        <f>IF($A620=I$613,"",COUNTIF($E$4:$E$609,$A620&amp;" ضد "&amp;I$613)+COUNTIF($E$4:$E$609,I$613&amp;" ضد "&amp;$A620))</f>
        <v>2</v>
      </c>
      <c r="J620" s="4">
        <f>IF($A620=J$613,"",COUNTIF($E$4:$E$609,$A620&amp;" ضد "&amp;J$613)+COUNTIF($E$4:$E$609,J$613&amp;" ضد "&amp;$A620))</f>
        <v>1</v>
      </c>
      <c r="K620" s="4">
        <f>IF($A620=K$613,"",COUNTIF($E$4:$E$609,$A620&amp;" ضد "&amp;K$613)+COUNTIF($E$4:$E$609,K$613&amp;" ضد "&amp;$A620))</f>
        <v>1</v>
      </c>
      <c r="L620" s="4">
        <f>IF($A620=L$613,"",COUNTIF($E$4:$E$609,$A620&amp;" ضد "&amp;L$613)+COUNTIF($E$4:$E$609,L$613&amp;" ضد "&amp;$A620))</f>
        <v>1</v>
      </c>
      <c r="M620" s="4">
        <f>IF($A620=M$613,"",COUNTIF($E$4:$E$609,$A620&amp;" ضد "&amp;M$613)+COUNTIF($E$4:$E$609,M$613&amp;" ضد "&amp;$A620))</f>
        <v>1</v>
      </c>
      <c r="N620" s="4">
        <f>IF($A620=N$613,"",COUNTIF($E$4:$E$609,$A620&amp;" ضد "&amp;N$613)+COUNTIF($E$4:$E$609,N$613&amp;" ضد "&amp;$A620))</f>
        <v>1</v>
      </c>
      <c r="O620" s="4">
        <f>IF($A620=O$613,"",COUNTIF($E$4:$E$609,$A620&amp;" ضد "&amp;O$613)+COUNTIF($E$4:$E$609,O$613&amp;" ضد "&amp;$A620))</f>
        <v>1</v>
      </c>
      <c r="P620" s="4">
        <f>IF($A620=P$613,"",COUNTIF($E$4:$E$609,$A620&amp;" ضد "&amp;P$613)+COUNTIF($E$4:$E$609,P$613&amp;" ضد "&amp;$A620))</f>
        <v>1</v>
      </c>
      <c r="Q620" s="4">
        <f>IF($A620=Q$613,"",COUNTIF($E$4:$E$609,$A620&amp;" ضد "&amp;Q$613)+COUNTIF($E$4:$E$609,Q$613&amp;" ضد "&amp;$A620))</f>
        <v>1</v>
      </c>
      <c r="R620" s="4">
        <f>IF($A620=R$613,"",COUNTIF($E$4:$E$609,$A620&amp;" ضد "&amp;R$613)+COUNTIF($E$4:$E$609,R$613&amp;" ضد "&amp;$A620))</f>
        <v>1</v>
      </c>
      <c r="S620" s="4">
        <f>IF($A620=S$613,"",COUNTIF($E$4:$E$609,$A620&amp;" ضد "&amp;S$613)+COUNTIF($E$4:$E$609,S$613&amp;" ضد "&amp;$A620))</f>
        <v>0</v>
      </c>
      <c r="T620" s="4">
        <f>IF($A620=T$613,"",COUNTIF($E$4:$E$609,$A620&amp;" ضد "&amp;T$613)+COUNTIF($E$4:$E$609,T$613&amp;" ضد "&amp;$A620))</f>
        <v>0</v>
      </c>
      <c r="U620" s="4">
        <f>IF($A620=U$613,"",COUNTIF($E$4:$E$609,$A620&amp;" ضد "&amp;U$613)+COUNTIF($E$4:$E$609,U$613&amp;" ضد "&amp;$A620))</f>
        <v>0</v>
      </c>
      <c r="V620" s="4">
        <f>IF($A620=V$613,"",COUNTIF($E$4:$E$609,$A620&amp;" ضد "&amp;V$613)+COUNTIF($E$4:$E$609,V$613&amp;" ضد "&amp;$A620))</f>
        <v>0</v>
      </c>
      <c r="W620" s="4">
        <f>IF($A620=W$613,"",COUNTIF($E$4:$E$609,$A620&amp;" ضد "&amp;W$613)+COUNTIF($E$4:$E$609,W$613&amp;" ضد "&amp;$A620))</f>
        <v>0</v>
      </c>
      <c r="X620" s="4">
        <f>IF($A620=X$613,"",COUNTIF($E$4:$E$609,$A620&amp;" ضد "&amp;X$613)+COUNTIF($E$4:$E$609,X$613&amp;" ضد "&amp;$A620))</f>
        <v>0</v>
      </c>
      <c r="Y620" s="4">
        <f>IF($A620=Y$613,"",COUNTIF($E$4:$E$609,$A620&amp;" ضد "&amp;Y$613)+COUNTIF($E$4:$E$609,Y$613&amp;" ضد "&amp;$A620))</f>
        <v>0</v>
      </c>
      <c r="Z620" s="4">
        <f>IF($A620=Z$613,"",COUNTIF($E$4:$E$609,$A620&amp;" ضد "&amp;Z$613)+COUNTIF($E$4:$E$609,Z$613&amp;" ضد "&amp;$A620))</f>
        <v>0</v>
      </c>
      <c r="AA620" s="4">
        <f>IF($A620=AA$613,"",COUNTIF($E$4:$E$609,$A620&amp;" ضد "&amp;AA$613)+COUNTIF($E$4:$E$609,AA$613&amp;" ضد "&amp;$A620))</f>
        <v>0</v>
      </c>
      <c r="AB620" s="4">
        <f>IF($A620=AB$613,"",COUNTIF($E$4:$E$609,$A620&amp;" ضد "&amp;AB$613)+COUNTIF($E$4:$E$609,AB$613&amp;" ضد "&amp;$A620))</f>
        <v>0</v>
      </c>
      <c r="AC620" s="4">
        <f>IF($A620=AC$613,"",COUNTIF($E$4:$E$609,$A620&amp;" ضد "&amp;AC$613)+COUNTIF($E$4:$E$609,AC$613&amp;" ضد "&amp;$A620))</f>
        <v>0</v>
      </c>
      <c r="AD620" s="4">
        <f>IF($A620=AD$613,"",COUNTIF($E$4:$E$609,$A620&amp;" ضد "&amp;AD$613)+COUNTIF($E$4:$E$609,AD$613&amp;" ضد "&amp;$A620))</f>
        <v>0</v>
      </c>
      <c r="AE620" s="4">
        <f>IF($A620=AE$613,"",COUNTIF($E$4:$E$609,$A620&amp;" ضد "&amp;AE$613)+COUNTIF($E$4:$E$609,AE$613&amp;" ضد "&amp;$A620))</f>
        <v>0</v>
      </c>
      <c r="AF620" s="4">
        <f>IF($A620=AF$613,"",COUNTIF($E$4:$E$609,$A620&amp;" ضد "&amp;AF$613)+COUNTIF($E$4:$E$609,AF$613&amp;" ضد "&amp;$A620))</f>
        <v>0</v>
      </c>
      <c r="AG620" s="4">
        <f>IF($A620=AG$613,"",COUNTIF($E$4:$E$609,$A620&amp;" ضد "&amp;AG$613)+COUNTIF($E$4:$E$609,AG$613&amp;" ضد "&amp;$A620))</f>
        <v>0</v>
      </c>
      <c r="AH620" s="4">
        <f>IF($A620=AH$613,"",COUNTIF($E$4:$E$609,$A620&amp;" ضد "&amp;AH$613)+COUNTIF($E$4:$E$609,AH$613&amp;" ضد "&amp;$A620))</f>
        <v>0</v>
      </c>
      <c r="AI620" s="4">
        <f>IF($A620=AI$613,"",COUNTIF($E$4:$E$609,$A620&amp;" ضد "&amp;AI$613)+COUNTIF($E$4:$E$609,AI$613&amp;" ضد "&amp;$A620))</f>
        <v>0</v>
      </c>
      <c r="AJ620" s="4">
        <f>IF($A620=AJ$613,"",COUNTIF($E$4:$E$609,$A620&amp;" ضد "&amp;AJ$613)+COUNTIF($E$4:$E$609,AJ$613&amp;" ضد "&amp;$A620))</f>
        <v>0</v>
      </c>
      <c r="AK620" s="4">
        <f>IF($A620=AK$613,"",COUNTIF($E$4:$E$609,$A620&amp;" ضد "&amp;AK$613)+COUNTIF($E$4:$E$609,AK$613&amp;" ضد "&amp;$A620))</f>
        <v>0</v>
      </c>
      <c r="AL620" s="4">
        <f>IF($A620=AL$613,"",COUNTIF($E$4:$E$609,$A620&amp;" ضد "&amp;AL$613)+COUNTIF($E$4:$E$609,AL$613&amp;" ضد "&amp;$A620))</f>
        <v>0</v>
      </c>
      <c r="AM620" s="4">
        <f>IF($A620=AM$613,"",COUNTIF($E$4:$E$609,$A620&amp;" ضد "&amp;AM$613)+COUNTIF($E$4:$E$609,AM$613&amp;" ضد "&amp;$A620))</f>
        <v>0</v>
      </c>
      <c r="AN620" s="4">
        <f>IF($A620=AN$613,"",COUNTIF($E$4:$E$609,$A620&amp;" ضد "&amp;AN$613)+COUNTIF($E$4:$E$609,AN$613&amp;" ضد "&amp;$A620))</f>
        <v>0</v>
      </c>
      <c r="AO620" s="4">
        <f>IF($A620=AO$613,"",COUNTIF($E$4:$E$609,$A620&amp;" ضد "&amp;AO$613)+COUNTIF($E$4:$E$609,AO$613&amp;" ضد "&amp;$A620))</f>
        <v>0</v>
      </c>
      <c r="AP620" s="4">
        <f>IF($A620=AP$613,"",COUNTIF($E$4:$E$609,$A620&amp;" ضد "&amp;AP$613)+COUNTIF($E$4:$E$609,AP$613&amp;" ضد "&amp;$A620))</f>
        <v>0</v>
      </c>
      <c r="AQ620" s="4">
        <f>IF($A620=AQ$613,"",COUNTIF($E$4:$E$609,$A620&amp;" ضد "&amp;AQ$613)+COUNTIF($E$4:$E$609,AQ$613&amp;" ضد "&amp;$A620))</f>
        <v>0</v>
      </c>
      <c r="AR620" s="4">
        <f>IF($A620=AR$613,"",COUNTIF($E$4:$E$609,$A620&amp;" ضد "&amp;AR$613)+COUNTIF($E$4:$E$609,AR$613&amp;" ضد "&amp;$A620))</f>
        <v>0</v>
      </c>
      <c r="AS620" s="4">
        <f>IF($A620=AS$613,"",COUNTIF($E$4:$E$609,$A620&amp;" ضد "&amp;AS$613)+COUNTIF($E$4:$E$609,AS$613&amp;" ضد "&amp;$A620))</f>
        <v>0</v>
      </c>
      <c r="AT620" s="4">
        <f>IF($A620=AT$613,"",COUNTIF($E$4:$E$609,$A620&amp;" ضد "&amp;AT$613)+COUNTIF($E$4:$E$609,AT$613&amp;" ضد "&amp;$A620))</f>
        <v>0</v>
      </c>
      <c r="AU620" s="4">
        <f>IF($A620=AU$613,"",COUNTIF($E$4:$E$609,$A620&amp;" ضد "&amp;AU$613)+COUNTIF($E$4:$E$609,AU$613&amp;" ضد "&amp;$A620))</f>
        <v>0</v>
      </c>
      <c r="AV620" s="4">
        <f>IF($A620=AV$613,"",COUNTIF($E$4:$E$609,$A620&amp;" ضد "&amp;AV$613)+COUNTIF($E$4:$E$609,AV$613&amp;" ضد "&amp;$A620))</f>
        <v>0</v>
      </c>
      <c r="AW620" s="4">
        <f>IF($A620=AW$613,"",COUNTIF($E$4:$E$609,$A620&amp;" ضد "&amp;AW$613)+COUNTIF($E$4:$E$609,AW$613&amp;" ضد "&amp;$A620))</f>
        <v>0</v>
      </c>
      <c r="AX620" s="4">
        <f>IF($A620=AX$613,"",COUNTIF($E$4:$E$609,$A620&amp;" ضد "&amp;AX$613)+COUNTIF($E$4:$E$609,AX$613&amp;" ضد "&amp;$A620))</f>
        <v>0</v>
      </c>
      <c r="AY620" s="4">
        <f>IF($A620=AY$613,"",COUNTIF($E$4:$E$609,$A620&amp;" ضد "&amp;AY$613)+COUNTIF($E$4:$E$609,AY$613&amp;" ضد "&amp;$A620))</f>
        <v>0</v>
      </c>
      <c r="AZ620" s="4">
        <f>IF($A620=AZ$613,"",COUNTIF($E$4:$E$609,$A620&amp;" ضد "&amp;AZ$613)+COUNTIF($E$4:$E$609,AZ$613&amp;" ضد "&amp;$A620))</f>
        <v>0</v>
      </c>
      <c r="BA620" s="4">
        <f>IF($A620=BA$613,"",COUNTIF($E$4:$E$609,$A620&amp;" ضد "&amp;BA$613)+COUNTIF($E$4:$E$609,BA$613&amp;" ضد "&amp;$A620))</f>
        <v>0</v>
      </c>
      <c r="BB620" s="4">
        <f>IF($A620=BB$613,"",COUNTIF($E$4:$E$609,$A620&amp;" ضد "&amp;BB$613)+COUNTIF($E$4:$E$609,BB$613&amp;" ضد "&amp;$A620))</f>
        <v>0</v>
      </c>
      <c r="BC620" s="4">
        <f>IF($A620=BC$613,"",COUNTIF($E$4:$E$609,$A620&amp;" ضد "&amp;BC$613)+COUNTIF($E$4:$E$609,BC$613&amp;" ضد "&amp;$A620))</f>
        <v>0</v>
      </c>
      <c r="BD620" s="4">
        <f>IF($A620=BD$613,"",COUNTIF($E$4:$E$609,$A620&amp;" ضد "&amp;BD$613)+COUNTIF($E$4:$E$609,BD$613&amp;" ضد "&amp;$A620))</f>
        <v>0</v>
      </c>
      <c r="BE620" s="4">
        <f>IF($A620=BE$613,"",COUNTIF($E$4:$E$609,$A620&amp;" ضد "&amp;BE$613)+COUNTIF($E$4:$E$609,BE$613&amp;" ضد "&amp;$A620))</f>
        <v>0</v>
      </c>
      <c r="BF620" s="4">
        <f>IF($A620=BF$613,"",COUNTIF($E$4:$E$609,$A620&amp;" ضد "&amp;BF$613)+COUNTIF($E$4:$E$609,BF$613&amp;" ضد "&amp;$A620))</f>
        <v>0</v>
      </c>
      <c r="BG620" s="4">
        <f>IF($A620=BG$613,"",COUNTIF($E$4:$E$609,$A620&amp;" ضد "&amp;BG$613)+COUNTIF($E$4:$E$609,BG$613&amp;" ضد "&amp;$A620))</f>
        <v>0</v>
      </c>
      <c r="BH620" s="4">
        <f>IF($A620=BH$613,"",COUNTIF($E$4:$E$609,$A620&amp;" ضد "&amp;BH$613)+COUNTIF($E$4:$E$609,BH$613&amp;" ضد "&amp;$A620))</f>
        <v>0</v>
      </c>
      <c r="BI620" s="4">
        <f>IF($A620=BI$613,"",COUNTIF($E$4:$E$609,$A620&amp;" ضد "&amp;BI$613)+COUNTIF($E$4:$E$609,BI$613&amp;" ضد "&amp;$A620))</f>
        <v>0</v>
      </c>
      <c r="BJ620" s="4">
        <f>IF($A620=BJ$613,"",COUNTIF($E$4:$E$609,$A620&amp;" ضد "&amp;BJ$613)+COUNTIF($E$4:$E$609,BJ$613&amp;" ضد "&amp;$A620))</f>
        <v>0</v>
      </c>
      <c r="BK620" s="4">
        <f>IF($A620=BK$613,"",COUNTIF($E$4:$E$609,$A620&amp;" ضد "&amp;BK$613)+COUNTIF($E$4:$E$609,BK$613&amp;" ضد "&amp;$A620))</f>
        <v>0</v>
      </c>
      <c r="BL620" s="4">
        <f>IF($A620=BL$613,"",COUNTIF($E$4:$E$609,$A620&amp;" ضد "&amp;BL$613)+COUNTIF($E$4:$E$609,BL$613&amp;" ضد "&amp;$A620))</f>
        <v>0</v>
      </c>
      <c r="BM620" s="4">
        <f>IF($A620=BM$613,"",COUNTIF($E$4:$E$609,$A620&amp;" ضد "&amp;BM$613)+COUNTIF($E$4:$E$609,BM$613&amp;" ضد "&amp;$A620))</f>
        <v>0</v>
      </c>
      <c r="BN620" s="4">
        <f>IF($A620=BN$613,"",COUNTIF($E$4:$E$609,$A620&amp;" ضد "&amp;BN$613)+COUNTIF($E$4:$E$609,BN$613&amp;" ضد "&amp;$A620))</f>
        <v>0</v>
      </c>
      <c r="BO620" s="4">
        <f>IF($A620=BO$613,"",COUNTIF($E$4:$E$609,$A620&amp;" ضد "&amp;BO$613)+COUNTIF($E$4:$E$609,BO$613&amp;" ضد "&amp;$A620))</f>
        <v>0</v>
      </c>
      <c r="BP620" s="4">
        <f>IF($A620=BP$613,"",COUNTIF($E$4:$E$609,$A620&amp;" ضد "&amp;BP$613)+COUNTIF($E$4:$E$609,BP$613&amp;" ضد "&amp;$A620))</f>
        <v>0</v>
      </c>
    </row>
    <row r="621" spans="1:68" ht="14.5">
      <c r="A621" s="14">
        <v>8</v>
      </c>
      <c r="B621" s="4">
        <f>IF($A621=B$613,"",COUNTIF($E$4:$E$609,$A621&amp;" ضد "&amp;B$613)+COUNTIF($E$4:$E$609,B$613&amp;" ضد "&amp;$A621))</f>
        <v>1</v>
      </c>
      <c r="C621" s="4">
        <f>IF($A621=C$613,"",COUNTIF($E$4:$E$609,$A621&amp;" ضد "&amp;C$613)+COUNTIF($E$4:$E$609,C$613&amp;" ضد "&amp;$A621))</f>
        <v>1</v>
      </c>
      <c r="D621" s="4">
        <f>IF($A621=D$613,"",COUNTIF($E$4:$E$609,$A621&amp;" ضد "&amp;D$613)+COUNTIF($E$4:$E$609,D$613&amp;" ضد "&amp;$A621))</f>
        <v>1</v>
      </c>
      <c r="E621" s="4">
        <f>IF($A621=E$613,"",COUNTIF($E$4:$E$609,$A621&amp;" ضد "&amp;E$613)+COUNTIF($E$4:$E$609,E$613&amp;" ضد "&amp;$A621))</f>
        <v>1</v>
      </c>
      <c r="F621" s="4">
        <f>IF($A621=F$613,"",COUNTIF($E$4:$E$609,$A621&amp;" ضد "&amp;F$613)+COUNTIF($E$4:$E$609,F$613&amp;" ضد "&amp;$A621))</f>
        <v>1</v>
      </c>
      <c r="G621" s="4">
        <f>IF($A621=G$613,"",COUNTIF($E$4:$E$609,$A621&amp;" ضد "&amp;G$613)+COUNTIF($E$4:$E$609,G$613&amp;" ضد "&amp;$A621))</f>
        <v>1</v>
      </c>
      <c r="H621" s="4">
        <f>IF($A621=H$613,"",COUNTIF($E$4:$E$609,$A621&amp;" ضد "&amp;H$613)+COUNTIF($E$4:$E$609,H$613&amp;" ضد "&amp;$A621))</f>
        <v>2</v>
      </c>
      <c r="I621" s="4" t="str">
        <f>IF($A621=I$613,"",COUNTIF($E$4:$E$609,$A621&amp;" ضد "&amp;I$613)+COUNTIF($E$4:$E$609,I$613&amp;" ضد "&amp;$A621))</f>
        <v/>
      </c>
      <c r="J621" s="4">
        <f>IF($A621=J$613,"",COUNTIF($E$4:$E$609,$A621&amp;" ضد "&amp;J$613)+COUNTIF($E$4:$E$609,J$613&amp;" ضد "&amp;$A621))</f>
        <v>2</v>
      </c>
      <c r="K621" s="4">
        <f>IF($A621=K$613,"",COUNTIF($E$4:$E$609,$A621&amp;" ضد "&amp;K$613)+COUNTIF($E$4:$E$609,K$613&amp;" ضد "&amp;$A621))</f>
        <v>1</v>
      </c>
      <c r="L621" s="4">
        <f>IF($A621=L$613,"",COUNTIF($E$4:$E$609,$A621&amp;" ضد "&amp;L$613)+COUNTIF($E$4:$E$609,L$613&amp;" ضد "&amp;$A621))</f>
        <v>1</v>
      </c>
      <c r="M621" s="4">
        <f>IF($A621=M$613,"",COUNTIF($E$4:$E$609,$A621&amp;" ضد "&amp;M$613)+COUNTIF($E$4:$E$609,M$613&amp;" ضد "&amp;$A621))</f>
        <v>1</v>
      </c>
      <c r="N621" s="4">
        <f>IF($A621=N$613,"",COUNTIF($E$4:$E$609,$A621&amp;" ضد "&amp;N$613)+COUNTIF($E$4:$E$609,N$613&amp;" ضد "&amp;$A621))</f>
        <v>1</v>
      </c>
      <c r="O621" s="4">
        <f>IF($A621=O$613,"",COUNTIF($E$4:$E$609,$A621&amp;" ضد "&amp;O$613)+COUNTIF($E$4:$E$609,O$613&amp;" ضد "&amp;$A621))</f>
        <v>1</v>
      </c>
      <c r="P621" s="4">
        <f>IF($A621=P$613,"",COUNTIF($E$4:$E$609,$A621&amp;" ضد "&amp;P$613)+COUNTIF($E$4:$E$609,P$613&amp;" ضد "&amp;$A621))</f>
        <v>1</v>
      </c>
      <c r="Q621" s="4">
        <f>IF($A621=Q$613,"",COUNTIF($E$4:$E$609,$A621&amp;" ضد "&amp;Q$613)+COUNTIF($E$4:$E$609,Q$613&amp;" ضد "&amp;$A621))</f>
        <v>1</v>
      </c>
      <c r="R621" s="4">
        <f>IF($A621=R$613,"",COUNTIF($E$4:$E$609,$A621&amp;" ضد "&amp;R$613)+COUNTIF($E$4:$E$609,R$613&amp;" ضد "&amp;$A621))</f>
        <v>1</v>
      </c>
      <c r="S621" s="4">
        <f>IF($A621=S$613,"",COUNTIF($E$4:$E$609,$A621&amp;" ضد "&amp;S$613)+COUNTIF($E$4:$E$609,S$613&amp;" ضد "&amp;$A621))</f>
        <v>0</v>
      </c>
      <c r="T621" s="4">
        <f>IF($A621=T$613,"",COUNTIF($E$4:$E$609,$A621&amp;" ضد "&amp;T$613)+COUNTIF($E$4:$E$609,T$613&amp;" ضد "&amp;$A621))</f>
        <v>0</v>
      </c>
      <c r="U621" s="4">
        <f>IF($A621=U$613,"",COUNTIF($E$4:$E$609,$A621&amp;" ضد "&amp;U$613)+COUNTIF($E$4:$E$609,U$613&amp;" ضد "&amp;$A621))</f>
        <v>0</v>
      </c>
      <c r="V621" s="4">
        <f>IF($A621=V$613,"",COUNTIF($E$4:$E$609,$A621&amp;" ضد "&amp;V$613)+COUNTIF($E$4:$E$609,V$613&amp;" ضد "&amp;$A621))</f>
        <v>0</v>
      </c>
      <c r="W621" s="4">
        <f>IF($A621=W$613,"",COUNTIF($E$4:$E$609,$A621&amp;" ضد "&amp;W$613)+COUNTIF($E$4:$E$609,W$613&amp;" ضد "&amp;$A621))</f>
        <v>0</v>
      </c>
      <c r="X621" s="4">
        <f>IF($A621=X$613,"",COUNTIF($E$4:$E$609,$A621&amp;" ضد "&amp;X$613)+COUNTIF($E$4:$E$609,X$613&amp;" ضد "&amp;$A621))</f>
        <v>0</v>
      </c>
      <c r="Y621" s="4">
        <f>IF($A621=Y$613,"",COUNTIF($E$4:$E$609,$A621&amp;" ضد "&amp;Y$613)+COUNTIF($E$4:$E$609,Y$613&amp;" ضد "&amp;$A621))</f>
        <v>0</v>
      </c>
      <c r="Z621" s="4">
        <f>IF($A621=Z$613,"",COUNTIF($E$4:$E$609,$A621&amp;" ضد "&amp;Z$613)+COUNTIF($E$4:$E$609,Z$613&amp;" ضد "&amp;$A621))</f>
        <v>0</v>
      </c>
      <c r="AA621" s="4">
        <f>IF($A621=AA$613,"",COUNTIF($E$4:$E$609,$A621&amp;" ضد "&amp;AA$613)+COUNTIF($E$4:$E$609,AA$613&amp;" ضد "&amp;$A621))</f>
        <v>0</v>
      </c>
      <c r="AB621" s="4">
        <f>IF($A621=AB$613,"",COUNTIF($E$4:$E$609,$A621&amp;" ضد "&amp;AB$613)+COUNTIF($E$4:$E$609,AB$613&amp;" ضد "&amp;$A621))</f>
        <v>0</v>
      </c>
      <c r="AC621" s="4">
        <f>IF($A621=AC$613,"",COUNTIF($E$4:$E$609,$A621&amp;" ضد "&amp;AC$613)+COUNTIF($E$4:$E$609,AC$613&amp;" ضد "&amp;$A621))</f>
        <v>0</v>
      </c>
      <c r="AD621" s="4">
        <f>IF($A621=AD$613,"",COUNTIF($E$4:$E$609,$A621&amp;" ضد "&amp;AD$613)+COUNTIF($E$4:$E$609,AD$613&amp;" ضد "&amp;$A621))</f>
        <v>0</v>
      </c>
      <c r="AE621" s="4">
        <f>IF($A621=AE$613,"",COUNTIF($E$4:$E$609,$A621&amp;" ضد "&amp;AE$613)+COUNTIF($E$4:$E$609,AE$613&amp;" ضد "&amp;$A621))</f>
        <v>0</v>
      </c>
      <c r="AF621" s="4">
        <f>IF($A621=AF$613,"",COUNTIF($E$4:$E$609,$A621&amp;" ضد "&amp;AF$613)+COUNTIF($E$4:$E$609,AF$613&amp;" ضد "&amp;$A621))</f>
        <v>0</v>
      </c>
      <c r="AG621" s="4">
        <f>IF($A621=AG$613,"",COUNTIF($E$4:$E$609,$A621&amp;" ضد "&amp;AG$613)+COUNTIF($E$4:$E$609,AG$613&amp;" ضد "&amp;$A621))</f>
        <v>0</v>
      </c>
      <c r="AH621" s="4">
        <f>IF($A621=AH$613,"",COUNTIF($E$4:$E$609,$A621&amp;" ضد "&amp;AH$613)+COUNTIF($E$4:$E$609,AH$613&amp;" ضد "&amp;$A621))</f>
        <v>0</v>
      </c>
      <c r="AI621" s="4">
        <f>IF($A621=AI$613,"",COUNTIF($E$4:$E$609,$A621&amp;" ضد "&amp;AI$613)+COUNTIF($E$4:$E$609,AI$613&amp;" ضد "&amp;$A621))</f>
        <v>0</v>
      </c>
      <c r="AJ621" s="4">
        <f>IF($A621=AJ$613,"",COUNTIF($E$4:$E$609,$A621&amp;" ضد "&amp;AJ$613)+COUNTIF($E$4:$E$609,AJ$613&amp;" ضد "&amp;$A621))</f>
        <v>0</v>
      </c>
      <c r="AK621" s="4">
        <f>IF($A621=AK$613,"",COUNTIF($E$4:$E$609,$A621&amp;" ضد "&amp;AK$613)+COUNTIF($E$4:$E$609,AK$613&amp;" ضد "&amp;$A621))</f>
        <v>0</v>
      </c>
      <c r="AL621" s="4">
        <f>IF($A621=AL$613,"",COUNTIF($E$4:$E$609,$A621&amp;" ضد "&amp;AL$613)+COUNTIF($E$4:$E$609,AL$613&amp;" ضد "&amp;$A621))</f>
        <v>0</v>
      </c>
      <c r="AM621" s="4">
        <f>IF($A621=AM$613,"",COUNTIF($E$4:$E$609,$A621&amp;" ضد "&amp;AM$613)+COUNTIF($E$4:$E$609,AM$613&amp;" ضد "&amp;$A621))</f>
        <v>0</v>
      </c>
      <c r="AN621" s="4">
        <f>IF($A621=AN$613,"",COUNTIF($E$4:$E$609,$A621&amp;" ضد "&amp;AN$613)+COUNTIF($E$4:$E$609,AN$613&amp;" ضد "&amp;$A621))</f>
        <v>0</v>
      </c>
      <c r="AO621" s="4">
        <f>IF($A621=AO$613,"",COUNTIF($E$4:$E$609,$A621&amp;" ضد "&amp;AO$613)+COUNTIF($E$4:$E$609,AO$613&amp;" ضد "&amp;$A621))</f>
        <v>0</v>
      </c>
      <c r="AP621" s="4">
        <f>IF($A621=AP$613,"",COUNTIF($E$4:$E$609,$A621&amp;" ضد "&amp;AP$613)+COUNTIF($E$4:$E$609,AP$613&amp;" ضد "&amp;$A621))</f>
        <v>0</v>
      </c>
      <c r="AQ621" s="4">
        <f>IF($A621=AQ$613,"",COUNTIF($E$4:$E$609,$A621&amp;" ضد "&amp;AQ$613)+COUNTIF($E$4:$E$609,AQ$613&amp;" ضد "&amp;$A621))</f>
        <v>0</v>
      </c>
      <c r="AR621" s="4">
        <f>IF($A621=AR$613,"",COUNTIF($E$4:$E$609,$A621&amp;" ضد "&amp;AR$613)+COUNTIF($E$4:$E$609,AR$613&amp;" ضد "&amp;$A621))</f>
        <v>0</v>
      </c>
      <c r="AS621" s="4">
        <f>IF($A621=AS$613,"",COUNTIF($E$4:$E$609,$A621&amp;" ضد "&amp;AS$613)+COUNTIF($E$4:$E$609,AS$613&amp;" ضد "&amp;$A621))</f>
        <v>0</v>
      </c>
      <c r="AT621" s="4">
        <f>IF($A621=AT$613,"",COUNTIF($E$4:$E$609,$A621&amp;" ضد "&amp;AT$613)+COUNTIF($E$4:$E$609,AT$613&amp;" ضد "&amp;$A621))</f>
        <v>0</v>
      </c>
      <c r="AU621" s="4">
        <f>IF($A621=AU$613,"",COUNTIF($E$4:$E$609,$A621&amp;" ضد "&amp;AU$613)+COUNTIF($E$4:$E$609,AU$613&amp;" ضد "&amp;$A621))</f>
        <v>0</v>
      </c>
      <c r="AV621" s="4">
        <f>IF($A621=AV$613,"",COUNTIF($E$4:$E$609,$A621&amp;" ضد "&amp;AV$613)+COUNTIF($E$4:$E$609,AV$613&amp;" ضد "&amp;$A621))</f>
        <v>0</v>
      </c>
      <c r="AW621" s="4">
        <f>IF($A621=AW$613,"",COUNTIF($E$4:$E$609,$A621&amp;" ضد "&amp;AW$613)+COUNTIF($E$4:$E$609,AW$613&amp;" ضد "&amp;$A621))</f>
        <v>0</v>
      </c>
      <c r="AX621" s="4">
        <f>IF($A621=AX$613,"",COUNTIF($E$4:$E$609,$A621&amp;" ضد "&amp;AX$613)+COUNTIF($E$4:$E$609,AX$613&amp;" ضد "&amp;$A621))</f>
        <v>0</v>
      </c>
      <c r="AY621" s="4">
        <f>IF($A621=AY$613,"",COUNTIF($E$4:$E$609,$A621&amp;" ضد "&amp;AY$613)+COUNTIF($E$4:$E$609,AY$613&amp;" ضد "&amp;$A621))</f>
        <v>0</v>
      </c>
      <c r="AZ621" s="4">
        <f>IF($A621=AZ$613,"",COUNTIF($E$4:$E$609,$A621&amp;" ضد "&amp;AZ$613)+COUNTIF($E$4:$E$609,AZ$613&amp;" ضد "&amp;$A621))</f>
        <v>0</v>
      </c>
      <c r="BA621" s="4">
        <f>IF($A621=BA$613,"",COUNTIF($E$4:$E$609,$A621&amp;" ضد "&amp;BA$613)+COUNTIF($E$4:$E$609,BA$613&amp;" ضد "&amp;$A621))</f>
        <v>0</v>
      </c>
      <c r="BB621" s="4">
        <f>IF($A621=BB$613,"",COUNTIF($E$4:$E$609,$A621&amp;" ضد "&amp;BB$613)+COUNTIF($E$4:$E$609,BB$613&amp;" ضد "&amp;$A621))</f>
        <v>0</v>
      </c>
      <c r="BC621" s="4">
        <f>IF($A621=BC$613,"",COUNTIF($E$4:$E$609,$A621&amp;" ضد "&amp;BC$613)+COUNTIF($E$4:$E$609,BC$613&amp;" ضد "&amp;$A621))</f>
        <v>0</v>
      </c>
      <c r="BD621" s="4">
        <f>IF($A621=BD$613,"",COUNTIF($E$4:$E$609,$A621&amp;" ضد "&amp;BD$613)+COUNTIF($E$4:$E$609,BD$613&amp;" ضد "&amp;$A621))</f>
        <v>0</v>
      </c>
      <c r="BE621" s="4">
        <f>IF($A621=BE$613,"",COUNTIF($E$4:$E$609,$A621&amp;" ضد "&amp;BE$613)+COUNTIF($E$4:$E$609,BE$613&amp;" ضد "&amp;$A621))</f>
        <v>0</v>
      </c>
      <c r="BF621" s="4">
        <f>IF($A621=BF$613,"",COUNTIF($E$4:$E$609,$A621&amp;" ضد "&amp;BF$613)+COUNTIF($E$4:$E$609,BF$613&amp;" ضد "&amp;$A621))</f>
        <v>0</v>
      </c>
      <c r="BG621" s="4">
        <f>IF($A621=BG$613,"",COUNTIF($E$4:$E$609,$A621&amp;" ضد "&amp;BG$613)+COUNTIF($E$4:$E$609,BG$613&amp;" ضد "&amp;$A621))</f>
        <v>0</v>
      </c>
      <c r="BH621" s="4">
        <f>IF($A621=BH$613,"",COUNTIF($E$4:$E$609,$A621&amp;" ضد "&amp;BH$613)+COUNTIF($E$4:$E$609,BH$613&amp;" ضد "&amp;$A621))</f>
        <v>0</v>
      </c>
      <c r="BI621" s="4">
        <f>IF($A621=BI$613,"",COUNTIF($E$4:$E$609,$A621&amp;" ضد "&amp;BI$613)+COUNTIF($E$4:$E$609,BI$613&amp;" ضد "&amp;$A621))</f>
        <v>0</v>
      </c>
      <c r="BJ621" s="4">
        <f>IF($A621=BJ$613,"",COUNTIF($E$4:$E$609,$A621&amp;" ضد "&amp;BJ$613)+COUNTIF($E$4:$E$609,BJ$613&amp;" ضد "&amp;$A621))</f>
        <v>0</v>
      </c>
      <c r="BK621" s="4">
        <f>IF($A621=BK$613,"",COUNTIF($E$4:$E$609,$A621&amp;" ضد "&amp;BK$613)+COUNTIF($E$4:$E$609,BK$613&amp;" ضد "&amp;$A621))</f>
        <v>0</v>
      </c>
      <c r="BL621" s="4">
        <f>IF($A621=BL$613,"",COUNTIF($E$4:$E$609,$A621&amp;" ضد "&amp;BL$613)+COUNTIF($E$4:$E$609,BL$613&amp;" ضد "&amp;$A621))</f>
        <v>0</v>
      </c>
      <c r="BM621" s="4">
        <f>IF($A621=BM$613,"",COUNTIF($E$4:$E$609,$A621&amp;" ضد "&amp;BM$613)+COUNTIF($E$4:$E$609,BM$613&amp;" ضد "&amp;$A621))</f>
        <v>0</v>
      </c>
      <c r="BN621" s="4">
        <f>IF($A621=BN$613,"",COUNTIF($E$4:$E$609,$A621&amp;" ضد "&amp;BN$613)+COUNTIF($E$4:$E$609,BN$613&amp;" ضد "&amp;$A621))</f>
        <v>0</v>
      </c>
      <c r="BO621" s="4">
        <f>IF($A621=BO$613,"",COUNTIF($E$4:$E$609,$A621&amp;" ضد "&amp;BO$613)+COUNTIF($E$4:$E$609,BO$613&amp;" ضد "&amp;$A621))</f>
        <v>0</v>
      </c>
      <c r="BP621" s="4">
        <f>IF($A621=BP$613,"",COUNTIF($E$4:$E$609,$A621&amp;" ضد "&amp;BP$613)+COUNTIF($E$4:$E$609,BP$613&amp;" ضد "&amp;$A621))</f>
        <v>0</v>
      </c>
    </row>
    <row r="622" spans="1:68" ht="14.5">
      <c r="A622" s="14">
        <v>9</v>
      </c>
      <c r="B622" s="4">
        <f>IF($A622=B$613,"",COUNTIF($E$4:$E$609,$A622&amp;" ضد "&amp;B$613)+COUNTIF($E$4:$E$609,B$613&amp;" ضد "&amp;$A622))</f>
        <v>1</v>
      </c>
      <c r="C622" s="4">
        <f>IF($A622=C$613,"",COUNTIF($E$4:$E$609,$A622&amp;" ضد "&amp;C$613)+COUNTIF($E$4:$E$609,C$613&amp;" ضد "&amp;$A622))</f>
        <v>1</v>
      </c>
      <c r="D622" s="4">
        <f>IF($A622=D$613,"",COUNTIF($E$4:$E$609,$A622&amp;" ضد "&amp;D$613)+COUNTIF($E$4:$E$609,D$613&amp;" ضد "&amp;$A622))</f>
        <v>1</v>
      </c>
      <c r="E622" s="4">
        <f>IF($A622=E$613,"",COUNTIF($E$4:$E$609,$A622&amp;" ضد "&amp;E$613)+COUNTIF($E$4:$E$609,E$613&amp;" ضد "&amp;$A622))</f>
        <v>1</v>
      </c>
      <c r="F622" s="4">
        <f>IF($A622=F$613,"",COUNTIF($E$4:$E$609,$A622&amp;" ضد "&amp;F$613)+COUNTIF($E$4:$E$609,F$613&amp;" ضد "&amp;$A622))</f>
        <v>1</v>
      </c>
      <c r="G622" s="4">
        <f>IF($A622=G$613,"",COUNTIF($E$4:$E$609,$A622&amp;" ضد "&amp;G$613)+COUNTIF($E$4:$E$609,G$613&amp;" ضد "&amp;$A622))</f>
        <v>1</v>
      </c>
      <c r="H622" s="4">
        <f>IF($A622=H$613,"",COUNTIF($E$4:$E$609,$A622&amp;" ضد "&amp;H$613)+COUNTIF($E$4:$E$609,H$613&amp;" ضد "&amp;$A622))</f>
        <v>1</v>
      </c>
      <c r="I622" s="4">
        <f>IF($A622=I$613,"",COUNTIF($E$4:$E$609,$A622&amp;" ضد "&amp;I$613)+COUNTIF($E$4:$E$609,I$613&amp;" ضد "&amp;$A622))</f>
        <v>2</v>
      </c>
      <c r="J622" s="4" t="str">
        <f>IF($A622=J$613,"",COUNTIF($E$4:$E$609,$A622&amp;" ضد "&amp;J$613)+COUNTIF($E$4:$E$609,J$613&amp;" ضد "&amp;$A622))</f>
        <v/>
      </c>
      <c r="K622" s="4">
        <f>IF($A622=K$613,"",COUNTIF($E$4:$E$609,$A622&amp;" ضد "&amp;K$613)+COUNTIF($E$4:$E$609,K$613&amp;" ضد "&amp;$A622))</f>
        <v>2</v>
      </c>
      <c r="L622" s="4">
        <f>IF($A622=L$613,"",COUNTIF($E$4:$E$609,$A622&amp;" ضد "&amp;L$613)+COUNTIF($E$4:$E$609,L$613&amp;" ضد "&amp;$A622))</f>
        <v>1</v>
      </c>
      <c r="M622" s="4">
        <f>IF($A622=M$613,"",COUNTIF($E$4:$E$609,$A622&amp;" ضد "&amp;M$613)+COUNTIF($E$4:$E$609,M$613&amp;" ضد "&amp;$A622))</f>
        <v>1</v>
      </c>
      <c r="N622" s="4">
        <f>IF($A622=N$613,"",COUNTIF($E$4:$E$609,$A622&amp;" ضد "&amp;N$613)+COUNTIF($E$4:$E$609,N$613&amp;" ضد "&amp;$A622))</f>
        <v>1</v>
      </c>
      <c r="O622" s="4">
        <f>IF($A622=O$613,"",COUNTIF($E$4:$E$609,$A622&amp;" ضد "&amp;O$613)+COUNTIF($E$4:$E$609,O$613&amp;" ضد "&amp;$A622))</f>
        <v>1</v>
      </c>
      <c r="P622" s="4">
        <f>IF($A622=P$613,"",COUNTIF($E$4:$E$609,$A622&amp;" ضد "&amp;P$613)+COUNTIF($E$4:$E$609,P$613&amp;" ضد "&amp;$A622))</f>
        <v>1</v>
      </c>
      <c r="Q622" s="4">
        <f>IF($A622=Q$613,"",COUNTIF($E$4:$E$609,$A622&amp;" ضد "&amp;Q$613)+COUNTIF($E$4:$E$609,Q$613&amp;" ضد "&amp;$A622))</f>
        <v>1</v>
      </c>
      <c r="R622" s="4">
        <f>IF($A622=R$613,"",COUNTIF($E$4:$E$609,$A622&amp;" ضد "&amp;R$613)+COUNTIF($E$4:$E$609,R$613&amp;" ضد "&amp;$A622))</f>
        <v>1</v>
      </c>
      <c r="S622" s="4">
        <f>IF($A622=S$613,"",COUNTIF($E$4:$E$609,$A622&amp;" ضد "&amp;S$613)+COUNTIF($E$4:$E$609,S$613&amp;" ضد "&amp;$A622))</f>
        <v>0</v>
      </c>
      <c r="T622" s="4">
        <f>IF($A622=T$613,"",COUNTIF($E$4:$E$609,$A622&amp;" ضد "&amp;T$613)+COUNTIF($E$4:$E$609,T$613&amp;" ضد "&amp;$A622))</f>
        <v>0</v>
      </c>
      <c r="U622" s="4">
        <f>IF($A622=U$613,"",COUNTIF($E$4:$E$609,$A622&amp;" ضد "&amp;U$613)+COUNTIF($E$4:$E$609,U$613&amp;" ضد "&amp;$A622))</f>
        <v>0</v>
      </c>
      <c r="V622" s="4">
        <f>IF($A622=V$613,"",COUNTIF($E$4:$E$609,$A622&amp;" ضد "&amp;V$613)+COUNTIF($E$4:$E$609,V$613&amp;" ضد "&amp;$A622))</f>
        <v>0</v>
      </c>
      <c r="W622" s="4">
        <f>IF($A622=W$613,"",COUNTIF($E$4:$E$609,$A622&amp;" ضد "&amp;W$613)+COUNTIF($E$4:$E$609,W$613&amp;" ضد "&amp;$A622))</f>
        <v>0</v>
      </c>
      <c r="X622" s="4">
        <f>IF($A622=X$613,"",COUNTIF($E$4:$E$609,$A622&amp;" ضد "&amp;X$613)+COUNTIF($E$4:$E$609,X$613&amp;" ضد "&amp;$A622))</f>
        <v>0</v>
      </c>
      <c r="Y622" s="4">
        <f>IF($A622=Y$613,"",COUNTIF($E$4:$E$609,$A622&amp;" ضد "&amp;Y$613)+COUNTIF($E$4:$E$609,Y$613&amp;" ضد "&amp;$A622))</f>
        <v>0</v>
      </c>
      <c r="Z622" s="4">
        <f>IF($A622=Z$613,"",COUNTIF($E$4:$E$609,$A622&amp;" ضد "&amp;Z$613)+COUNTIF($E$4:$E$609,Z$613&amp;" ضد "&amp;$A622))</f>
        <v>0</v>
      </c>
      <c r="AA622" s="4">
        <f>IF($A622=AA$613,"",COUNTIF($E$4:$E$609,$A622&amp;" ضد "&amp;AA$613)+COUNTIF($E$4:$E$609,AA$613&amp;" ضد "&amp;$A622))</f>
        <v>0</v>
      </c>
      <c r="AB622" s="4">
        <f>IF($A622=AB$613,"",COUNTIF($E$4:$E$609,$A622&amp;" ضد "&amp;AB$613)+COUNTIF($E$4:$E$609,AB$613&amp;" ضد "&amp;$A622))</f>
        <v>0</v>
      </c>
      <c r="AC622" s="4">
        <f>IF($A622=AC$613,"",COUNTIF($E$4:$E$609,$A622&amp;" ضد "&amp;AC$613)+COUNTIF($E$4:$E$609,AC$613&amp;" ضد "&amp;$A622))</f>
        <v>0</v>
      </c>
      <c r="AD622" s="4">
        <f>IF($A622=AD$613,"",COUNTIF($E$4:$E$609,$A622&amp;" ضد "&amp;AD$613)+COUNTIF($E$4:$E$609,AD$613&amp;" ضد "&amp;$A622))</f>
        <v>0</v>
      </c>
      <c r="AE622" s="4">
        <f>IF($A622=AE$613,"",COUNTIF($E$4:$E$609,$A622&amp;" ضد "&amp;AE$613)+COUNTIF($E$4:$E$609,AE$613&amp;" ضد "&amp;$A622))</f>
        <v>0</v>
      </c>
      <c r="AF622" s="4">
        <f>IF($A622=AF$613,"",COUNTIF($E$4:$E$609,$A622&amp;" ضد "&amp;AF$613)+COUNTIF($E$4:$E$609,AF$613&amp;" ضد "&amp;$A622))</f>
        <v>0</v>
      </c>
      <c r="AG622" s="4">
        <f>IF($A622=AG$613,"",COUNTIF($E$4:$E$609,$A622&amp;" ضد "&amp;AG$613)+COUNTIF($E$4:$E$609,AG$613&amp;" ضد "&amp;$A622))</f>
        <v>0</v>
      </c>
      <c r="AH622" s="4">
        <f>IF($A622=AH$613,"",COUNTIF($E$4:$E$609,$A622&amp;" ضد "&amp;AH$613)+COUNTIF($E$4:$E$609,AH$613&amp;" ضد "&amp;$A622))</f>
        <v>0</v>
      </c>
      <c r="AI622" s="4">
        <f>IF($A622=AI$613,"",COUNTIF($E$4:$E$609,$A622&amp;" ضد "&amp;AI$613)+COUNTIF($E$4:$E$609,AI$613&amp;" ضد "&amp;$A622))</f>
        <v>0</v>
      </c>
      <c r="AJ622" s="4">
        <f>IF($A622=AJ$613,"",COUNTIF($E$4:$E$609,$A622&amp;" ضد "&amp;AJ$613)+COUNTIF($E$4:$E$609,AJ$613&amp;" ضد "&amp;$A622))</f>
        <v>0</v>
      </c>
      <c r="AK622" s="4">
        <f>IF($A622=AK$613,"",COUNTIF($E$4:$E$609,$A622&amp;" ضد "&amp;AK$613)+COUNTIF($E$4:$E$609,AK$613&amp;" ضد "&amp;$A622))</f>
        <v>0</v>
      </c>
      <c r="AL622" s="4">
        <f>IF($A622=AL$613,"",COUNTIF($E$4:$E$609,$A622&amp;" ضد "&amp;AL$613)+COUNTIF($E$4:$E$609,AL$613&amp;" ضد "&amp;$A622))</f>
        <v>0</v>
      </c>
      <c r="AM622" s="4">
        <f>IF($A622=AM$613,"",COUNTIF($E$4:$E$609,$A622&amp;" ضد "&amp;AM$613)+COUNTIF($E$4:$E$609,AM$613&amp;" ضد "&amp;$A622))</f>
        <v>0</v>
      </c>
      <c r="AN622" s="4">
        <f>IF($A622=AN$613,"",COUNTIF($E$4:$E$609,$A622&amp;" ضد "&amp;AN$613)+COUNTIF($E$4:$E$609,AN$613&amp;" ضد "&amp;$A622))</f>
        <v>0</v>
      </c>
      <c r="AO622" s="4">
        <f>IF($A622=AO$613,"",COUNTIF($E$4:$E$609,$A622&amp;" ضد "&amp;AO$613)+COUNTIF($E$4:$E$609,AO$613&amp;" ضد "&amp;$A622))</f>
        <v>0</v>
      </c>
      <c r="AP622" s="4">
        <f>IF($A622=AP$613,"",COUNTIF($E$4:$E$609,$A622&amp;" ضد "&amp;AP$613)+COUNTIF($E$4:$E$609,AP$613&amp;" ضد "&amp;$A622))</f>
        <v>0</v>
      </c>
      <c r="AQ622" s="4">
        <f>IF($A622=AQ$613,"",COUNTIF($E$4:$E$609,$A622&amp;" ضد "&amp;AQ$613)+COUNTIF($E$4:$E$609,AQ$613&amp;" ضد "&amp;$A622))</f>
        <v>0</v>
      </c>
      <c r="AR622" s="4">
        <f>IF($A622=AR$613,"",COUNTIF($E$4:$E$609,$A622&amp;" ضد "&amp;AR$613)+COUNTIF($E$4:$E$609,AR$613&amp;" ضد "&amp;$A622))</f>
        <v>0</v>
      </c>
      <c r="AS622" s="4">
        <f>IF($A622=AS$613,"",COUNTIF($E$4:$E$609,$A622&amp;" ضد "&amp;AS$613)+COUNTIF($E$4:$E$609,AS$613&amp;" ضد "&amp;$A622))</f>
        <v>0</v>
      </c>
      <c r="AT622" s="4">
        <f>IF($A622=AT$613,"",COUNTIF($E$4:$E$609,$A622&amp;" ضد "&amp;AT$613)+COUNTIF($E$4:$E$609,AT$613&amp;" ضد "&amp;$A622))</f>
        <v>0</v>
      </c>
      <c r="AU622" s="4">
        <f>IF($A622=AU$613,"",COUNTIF($E$4:$E$609,$A622&amp;" ضد "&amp;AU$613)+COUNTIF($E$4:$E$609,AU$613&amp;" ضد "&amp;$A622))</f>
        <v>0</v>
      </c>
      <c r="AV622" s="4">
        <f>IF($A622=AV$613,"",COUNTIF($E$4:$E$609,$A622&amp;" ضد "&amp;AV$613)+COUNTIF($E$4:$E$609,AV$613&amp;" ضد "&amp;$A622))</f>
        <v>0</v>
      </c>
      <c r="AW622" s="4">
        <f>IF($A622=AW$613,"",COUNTIF($E$4:$E$609,$A622&amp;" ضد "&amp;AW$613)+COUNTIF($E$4:$E$609,AW$613&amp;" ضد "&amp;$A622))</f>
        <v>0</v>
      </c>
      <c r="AX622" s="4">
        <f>IF($A622=AX$613,"",COUNTIF($E$4:$E$609,$A622&amp;" ضد "&amp;AX$613)+COUNTIF($E$4:$E$609,AX$613&amp;" ضد "&amp;$A622))</f>
        <v>0</v>
      </c>
      <c r="AY622" s="4">
        <f>IF($A622=AY$613,"",COUNTIF($E$4:$E$609,$A622&amp;" ضد "&amp;AY$613)+COUNTIF($E$4:$E$609,AY$613&amp;" ضد "&amp;$A622))</f>
        <v>0</v>
      </c>
      <c r="AZ622" s="4">
        <f>IF($A622=AZ$613,"",COUNTIF($E$4:$E$609,$A622&amp;" ضد "&amp;AZ$613)+COUNTIF($E$4:$E$609,AZ$613&amp;" ضد "&amp;$A622))</f>
        <v>0</v>
      </c>
      <c r="BA622" s="4">
        <f>IF($A622=BA$613,"",COUNTIF($E$4:$E$609,$A622&amp;" ضد "&amp;BA$613)+COUNTIF($E$4:$E$609,BA$613&amp;" ضد "&amp;$A622))</f>
        <v>0</v>
      </c>
      <c r="BB622" s="4">
        <f>IF($A622=BB$613,"",COUNTIF($E$4:$E$609,$A622&amp;" ضد "&amp;BB$613)+COUNTIF($E$4:$E$609,BB$613&amp;" ضد "&amp;$A622))</f>
        <v>0</v>
      </c>
      <c r="BC622" s="4">
        <f>IF($A622=BC$613,"",COUNTIF($E$4:$E$609,$A622&amp;" ضد "&amp;BC$613)+COUNTIF($E$4:$E$609,BC$613&amp;" ضد "&amp;$A622))</f>
        <v>0</v>
      </c>
      <c r="BD622" s="4">
        <f>IF($A622=BD$613,"",COUNTIF($E$4:$E$609,$A622&amp;" ضد "&amp;BD$613)+COUNTIF($E$4:$E$609,BD$613&amp;" ضد "&amp;$A622))</f>
        <v>0</v>
      </c>
      <c r="BE622" s="4">
        <f>IF($A622=BE$613,"",COUNTIF($E$4:$E$609,$A622&amp;" ضد "&amp;BE$613)+COUNTIF($E$4:$E$609,BE$613&amp;" ضد "&amp;$A622))</f>
        <v>0</v>
      </c>
      <c r="BF622" s="4">
        <f>IF($A622=BF$613,"",COUNTIF($E$4:$E$609,$A622&amp;" ضد "&amp;BF$613)+COUNTIF($E$4:$E$609,BF$613&amp;" ضد "&amp;$A622))</f>
        <v>0</v>
      </c>
      <c r="BG622" s="4">
        <f>IF($A622=BG$613,"",COUNTIF($E$4:$E$609,$A622&amp;" ضد "&amp;BG$613)+COUNTIF($E$4:$E$609,BG$613&amp;" ضد "&amp;$A622))</f>
        <v>0</v>
      </c>
      <c r="BH622" s="4">
        <f>IF($A622=BH$613,"",COUNTIF($E$4:$E$609,$A622&amp;" ضد "&amp;BH$613)+COUNTIF($E$4:$E$609,BH$613&amp;" ضد "&amp;$A622))</f>
        <v>0</v>
      </c>
      <c r="BI622" s="4">
        <f>IF($A622=BI$613,"",COUNTIF($E$4:$E$609,$A622&amp;" ضد "&amp;BI$613)+COUNTIF($E$4:$E$609,BI$613&amp;" ضد "&amp;$A622))</f>
        <v>0</v>
      </c>
      <c r="BJ622" s="4">
        <f>IF($A622=BJ$613,"",COUNTIF($E$4:$E$609,$A622&amp;" ضد "&amp;BJ$613)+COUNTIF($E$4:$E$609,BJ$613&amp;" ضد "&amp;$A622))</f>
        <v>0</v>
      </c>
      <c r="BK622" s="4">
        <f>IF($A622=BK$613,"",COUNTIF($E$4:$E$609,$A622&amp;" ضد "&amp;BK$613)+COUNTIF($E$4:$E$609,BK$613&amp;" ضد "&amp;$A622))</f>
        <v>0</v>
      </c>
      <c r="BL622" s="4">
        <f>IF($A622=BL$613,"",COUNTIF($E$4:$E$609,$A622&amp;" ضد "&amp;BL$613)+COUNTIF($E$4:$E$609,BL$613&amp;" ضد "&amp;$A622))</f>
        <v>0</v>
      </c>
      <c r="BM622" s="4">
        <f>IF($A622=BM$613,"",COUNTIF($E$4:$E$609,$A622&amp;" ضد "&amp;BM$613)+COUNTIF($E$4:$E$609,BM$613&amp;" ضد "&amp;$A622))</f>
        <v>0</v>
      </c>
      <c r="BN622" s="4">
        <f>IF($A622=BN$613,"",COUNTIF($E$4:$E$609,$A622&amp;" ضد "&amp;BN$613)+COUNTIF($E$4:$E$609,BN$613&amp;" ضد "&amp;$A622))</f>
        <v>0</v>
      </c>
      <c r="BO622" s="4">
        <f>IF($A622=BO$613,"",COUNTIF($E$4:$E$609,$A622&amp;" ضد "&amp;BO$613)+COUNTIF($E$4:$E$609,BO$613&amp;" ضد "&amp;$A622))</f>
        <v>0</v>
      </c>
      <c r="BP622" s="4">
        <f>IF($A622=BP$613,"",COUNTIF($E$4:$E$609,$A622&amp;" ضد "&amp;BP$613)+COUNTIF($E$4:$E$609,BP$613&amp;" ضد "&amp;$A622))</f>
        <v>0</v>
      </c>
    </row>
    <row r="623" spans="1:68" ht="14.5">
      <c r="A623" s="14">
        <v>10</v>
      </c>
      <c r="B623" s="4">
        <f>IF($A623=B$613,"",COUNTIF($E$4:$E$609,$A623&amp;" ضد "&amp;B$613)+COUNTIF($E$4:$E$609,B$613&amp;" ضد "&amp;$A623))</f>
        <v>1</v>
      </c>
      <c r="C623" s="4">
        <f>IF($A623=C$613,"",COUNTIF($E$4:$E$609,$A623&amp;" ضد "&amp;C$613)+COUNTIF($E$4:$E$609,C$613&amp;" ضد "&amp;$A623))</f>
        <v>1</v>
      </c>
      <c r="D623" s="4">
        <f>IF($A623=D$613,"",COUNTIF($E$4:$E$609,$A623&amp;" ضد "&amp;D$613)+COUNTIF($E$4:$E$609,D$613&amp;" ضد "&amp;$A623))</f>
        <v>1</v>
      </c>
      <c r="E623" s="4">
        <f>IF($A623=E$613,"",COUNTIF($E$4:$E$609,$A623&amp;" ضد "&amp;E$613)+COUNTIF($E$4:$E$609,E$613&amp;" ضد "&amp;$A623))</f>
        <v>1</v>
      </c>
      <c r="F623" s="4">
        <f>IF($A623=F$613,"",COUNTIF($E$4:$E$609,$A623&amp;" ضد "&amp;F$613)+COUNTIF($E$4:$E$609,F$613&amp;" ضد "&amp;$A623))</f>
        <v>1</v>
      </c>
      <c r="G623" s="4">
        <f>IF($A623=G$613,"",COUNTIF($E$4:$E$609,$A623&amp;" ضد "&amp;G$613)+COUNTIF($E$4:$E$609,G$613&amp;" ضد "&amp;$A623))</f>
        <v>1</v>
      </c>
      <c r="H623" s="4">
        <f>IF($A623=H$613,"",COUNTIF($E$4:$E$609,$A623&amp;" ضد "&amp;H$613)+COUNTIF($E$4:$E$609,H$613&amp;" ضد "&amp;$A623))</f>
        <v>1</v>
      </c>
      <c r="I623" s="4">
        <f>IF($A623=I$613,"",COUNTIF($E$4:$E$609,$A623&amp;" ضد "&amp;I$613)+COUNTIF($E$4:$E$609,I$613&amp;" ضد "&amp;$A623))</f>
        <v>1</v>
      </c>
      <c r="J623" s="4">
        <f>IF($A623=J$613,"",COUNTIF($E$4:$E$609,$A623&amp;" ضد "&amp;J$613)+COUNTIF($E$4:$E$609,J$613&amp;" ضد "&amp;$A623))</f>
        <v>2</v>
      </c>
      <c r="K623" s="4" t="str">
        <f>IF($A623=K$613,"",COUNTIF($E$4:$E$609,$A623&amp;" ضد "&amp;K$613)+COUNTIF($E$4:$E$609,K$613&amp;" ضد "&amp;$A623))</f>
        <v/>
      </c>
      <c r="L623" s="4">
        <f>IF($A623=L$613,"",COUNTIF($E$4:$E$609,$A623&amp;" ضد "&amp;L$613)+COUNTIF($E$4:$E$609,L$613&amp;" ضد "&amp;$A623))</f>
        <v>2</v>
      </c>
      <c r="M623" s="4">
        <f>IF($A623=M$613,"",COUNTIF($E$4:$E$609,$A623&amp;" ضد "&amp;M$613)+COUNTIF($E$4:$E$609,M$613&amp;" ضد "&amp;$A623))</f>
        <v>1</v>
      </c>
      <c r="N623" s="4">
        <f>IF($A623=N$613,"",COUNTIF($E$4:$E$609,$A623&amp;" ضد "&amp;N$613)+COUNTIF($E$4:$E$609,N$613&amp;" ضد "&amp;$A623))</f>
        <v>1</v>
      </c>
      <c r="O623" s="4">
        <f>IF($A623=O$613,"",COUNTIF($E$4:$E$609,$A623&amp;" ضد "&amp;O$613)+COUNTIF($E$4:$E$609,O$613&amp;" ضد "&amp;$A623))</f>
        <v>1</v>
      </c>
      <c r="P623" s="4">
        <f>IF($A623=P$613,"",COUNTIF($E$4:$E$609,$A623&amp;" ضد "&amp;P$613)+COUNTIF($E$4:$E$609,P$613&amp;" ضد "&amp;$A623))</f>
        <v>1</v>
      </c>
      <c r="Q623" s="4">
        <f>IF($A623=Q$613,"",COUNTIF($E$4:$E$609,$A623&amp;" ضد "&amp;Q$613)+COUNTIF($E$4:$E$609,Q$613&amp;" ضد "&amp;$A623))</f>
        <v>1</v>
      </c>
      <c r="R623" s="4">
        <f>IF($A623=R$613,"",COUNTIF($E$4:$E$609,$A623&amp;" ضد "&amp;R$613)+COUNTIF($E$4:$E$609,R$613&amp;" ضد "&amp;$A623))</f>
        <v>1</v>
      </c>
      <c r="S623" s="4">
        <f>IF($A623=S$613,"",COUNTIF($E$4:$E$609,$A623&amp;" ضد "&amp;S$613)+COUNTIF($E$4:$E$609,S$613&amp;" ضد "&amp;$A623))</f>
        <v>0</v>
      </c>
      <c r="T623" s="4">
        <f>IF($A623=T$613,"",COUNTIF($E$4:$E$609,$A623&amp;" ضد "&amp;T$613)+COUNTIF($E$4:$E$609,T$613&amp;" ضد "&amp;$A623))</f>
        <v>0</v>
      </c>
      <c r="U623" s="4">
        <f>IF($A623=U$613,"",COUNTIF($E$4:$E$609,$A623&amp;" ضد "&amp;U$613)+COUNTIF($E$4:$E$609,U$613&amp;" ضد "&amp;$A623))</f>
        <v>0</v>
      </c>
      <c r="V623" s="4">
        <f>IF($A623=V$613,"",COUNTIF($E$4:$E$609,$A623&amp;" ضد "&amp;V$613)+COUNTIF($E$4:$E$609,V$613&amp;" ضد "&amp;$A623))</f>
        <v>0</v>
      </c>
      <c r="W623" s="4">
        <f>IF($A623=W$613,"",COUNTIF($E$4:$E$609,$A623&amp;" ضد "&amp;W$613)+COUNTIF($E$4:$E$609,W$613&amp;" ضد "&amp;$A623))</f>
        <v>0</v>
      </c>
      <c r="X623" s="4">
        <f>IF($A623=X$613,"",COUNTIF($E$4:$E$609,$A623&amp;" ضد "&amp;X$613)+COUNTIF($E$4:$E$609,X$613&amp;" ضد "&amp;$A623))</f>
        <v>0</v>
      </c>
      <c r="Y623" s="4">
        <f>IF($A623=Y$613,"",COUNTIF($E$4:$E$609,$A623&amp;" ضد "&amp;Y$613)+COUNTIF($E$4:$E$609,Y$613&amp;" ضد "&amp;$A623))</f>
        <v>0</v>
      </c>
      <c r="Z623" s="4">
        <f>IF($A623=Z$613,"",COUNTIF($E$4:$E$609,$A623&amp;" ضد "&amp;Z$613)+COUNTIF($E$4:$E$609,Z$613&amp;" ضد "&amp;$A623))</f>
        <v>0</v>
      </c>
      <c r="AA623" s="4">
        <f>IF($A623=AA$613,"",COUNTIF($E$4:$E$609,$A623&amp;" ضد "&amp;AA$613)+COUNTIF($E$4:$E$609,AA$613&amp;" ضد "&amp;$A623))</f>
        <v>0</v>
      </c>
      <c r="AB623" s="4">
        <f>IF($A623=AB$613,"",COUNTIF($E$4:$E$609,$A623&amp;" ضد "&amp;AB$613)+COUNTIF($E$4:$E$609,AB$613&amp;" ضد "&amp;$A623))</f>
        <v>0</v>
      </c>
      <c r="AC623" s="4">
        <f>IF($A623=AC$613,"",COUNTIF($E$4:$E$609,$A623&amp;" ضد "&amp;AC$613)+COUNTIF($E$4:$E$609,AC$613&amp;" ضد "&amp;$A623))</f>
        <v>0</v>
      </c>
      <c r="AD623" s="4">
        <f>IF($A623=AD$613,"",COUNTIF($E$4:$E$609,$A623&amp;" ضد "&amp;AD$613)+COUNTIF($E$4:$E$609,AD$613&amp;" ضد "&amp;$A623))</f>
        <v>0</v>
      </c>
      <c r="AE623" s="4">
        <f>IF($A623=AE$613,"",COUNTIF($E$4:$E$609,$A623&amp;" ضد "&amp;AE$613)+COUNTIF($E$4:$E$609,AE$613&amp;" ضد "&amp;$A623))</f>
        <v>0</v>
      </c>
      <c r="AF623" s="4">
        <f>IF($A623=AF$613,"",COUNTIF($E$4:$E$609,$A623&amp;" ضد "&amp;AF$613)+COUNTIF($E$4:$E$609,AF$613&amp;" ضد "&amp;$A623))</f>
        <v>0</v>
      </c>
      <c r="AG623" s="4">
        <f>IF($A623=AG$613,"",COUNTIF($E$4:$E$609,$A623&amp;" ضد "&amp;AG$613)+COUNTIF($E$4:$E$609,AG$613&amp;" ضد "&amp;$A623))</f>
        <v>0</v>
      </c>
      <c r="AH623" s="4">
        <f>IF($A623=AH$613,"",COUNTIF($E$4:$E$609,$A623&amp;" ضد "&amp;AH$613)+COUNTIF($E$4:$E$609,AH$613&amp;" ضد "&amp;$A623))</f>
        <v>0</v>
      </c>
      <c r="AI623" s="4">
        <f>IF($A623=AI$613,"",COUNTIF($E$4:$E$609,$A623&amp;" ضد "&amp;AI$613)+COUNTIF($E$4:$E$609,AI$613&amp;" ضد "&amp;$A623))</f>
        <v>0</v>
      </c>
      <c r="AJ623" s="4">
        <f>IF($A623=AJ$613,"",COUNTIF($E$4:$E$609,$A623&amp;" ضد "&amp;AJ$613)+COUNTIF($E$4:$E$609,AJ$613&amp;" ضد "&amp;$A623))</f>
        <v>0</v>
      </c>
      <c r="AK623" s="4">
        <f>IF($A623=AK$613,"",COUNTIF($E$4:$E$609,$A623&amp;" ضد "&amp;AK$613)+COUNTIF($E$4:$E$609,AK$613&amp;" ضد "&amp;$A623))</f>
        <v>0</v>
      </c>
      <c r="AL623" s="4">
        <f>IF($A623=AL$613,"",COUNTIF($E$4:$E$609,$A623&amp;" ضد "&amp;AL$613)+COUNTIF($E$4:$E$609,AL$613&amp;" ضد "&amp;$A623))</f>
        <v>0</v>
      </c>
      <c r="AM623" s="4">
        <f>IF($A623=AM$613,"",COUNTIF($E$4:$E$609,$A623&amp;" ضد "&amp;AM$613)+COUNTIF($E$4:$E$609,AM$613&amp;" ضد "&amp;$A623))</f>
        <v>0</v>
      </c>
      <c r="AN623" s="4">
        <f>IF($A623=AN$613,"",COUNTIF($E$4:$E$609,$A623&amp;" ضد "&amp;AN$613)+COUNTIF($E$4:$E$609,AN$613&amp;" ضد "&amp;$A623))</f>
        <v>0</v>
      </c>
      <c r="AO623" s="4">
        <f>IF($A623=AO$613,"",COUNTIF($E$4:$E$609,$A623&amp;" ضد "&amp;AO$613)+COUNTIF($E$4:$E$609,AO$613&amp;" ضد "&amp;$A623))</f>
        <v>0</v>
      </c>
      <c r="AP623" s="4">
        <f>IF($A623=AP$613,"",COUNTIF($E$4:$E$609,$A623&amp;" ضد "&amp;AP$613)+COUNTIF($E$4:$E$609,AP$613&amp;" ضد "&amp;$A623))</f>
        <v>0</v>
      </c>
      <c r="AQ623" s="4">
        <f>IF($A623=AQ$613,"",COUNTIF($E$4:$E$609,$A623&amp;" ضد "&amp;AQ$613)+COUNTIF($E$4:$E$609,AQ$613&amp;" ضد "&amp;$A623))</f>
        <v>0</v>
      </c>
      <c r="AR623" s="4">
        <f>IF($A623=AR$613,"",COUNTIF($E$4:$E$609,$A623&amp;" ضد "&amp;AR$613)+COUNTIF($E$4:$E$609,AR$613&amp;" ضد "&amp;$A623))</f>
        <v>0</v>
      </c>
      <c r="AS623" s="4">
        <f>IF($A623=AS$613,"",COUNTIF($E$4:$E$609,$A623&amp;" ضد "&amp;AS$613)+COUNTIF($E$4:$E$609,AS$613&amp;" ضد "&amp;$A623))</f>
        <v>0</v>
      </c>
      <c r="AT623" s="4">
        <f>IF($A623=AT$613,"",COUNTIF($E$4:$E$609,$A623&amp;" ضد "&amp;AT$613)+COUNTIF($E$4:$E$609,AT$613&amp;" ضد "&amp;$A623))</f>
        <v>0</v>
      </c>
      <c r="AU623" s="4">
        <f>IF($A623=AU$613,"",COUNTIF($E$4:$E$609,$A623&amp;" ضد "&amp;AU$613)+COUNTIF($E$4:$E$609,AU$613&amp;" ضد "&amp;$A623))</f>
        <v>0</v>
      </c>
      <c r="AV623" s="4">
        <f>IF($A623=AV$613,"",COUNTIF($E$4:$E$609,$A623&amp;" ضد "&amp;AV$613)+COUNTIF($E$4:$E$609,AV$613&amp;" ضد "&amp;$A623))</f>
        <v>0</v>
      </c>
      <c r="AW623" s="4">
        <f>IF($A623=AW$613,"",COUNTIF($E$4:$E$609,$A623&amp;" ضد "&amp;AW$613)+COUNTIF($E$4:$E$609,AW$613&amp;" ضد "&amp;$A623))</f>
        <v>0</v>
      </c>
      <c r="AX623" s="4">
        <f>IF($A623=AX$613,"",COUNTIF($E$4:$E$609,$A623&amp;" ضد "&amp;AX$613)+COUNTIF($E$4:$E$609,AX$613&amp;" ضد "&amp;$A623))</f>
        <v>0</v>
      </c>
      <c r="AY623" s="4">
        <f>IF($A623=AY$613,"",COUNTIF($E$4:$E$609,$A623&amp;" ضد "&amp;AY$613)+COUNTIF($E$4:$E$609,AY$613&amp;" ضد "&amp;$A623))</f>
        <v>0</v>
      </c>
      <c r="AZ623" s="4">
        <f>IF($A623=AZ$613,"",COUNTIF($E$4:$E$609,$A623&amp;" ضد "&amp;AZ$613)+COUNTIF($E$4:$E$609,AZ$613&amp;" ضد "&amp;$A623))</f>
        <v>0</v>
      </c>
      <c r="BA623" s="4">
        <f>IF($A623=BA$613,"",COUNTIF($E$4:$E$609,$A623&amp;" ضد "&amp;BA$613)+COUNTIF($E$4:$E$609,BA$613&amp;" ضد "&amp;$A623))</f>
        <v>0</v>
      </c>
      <c r="BB623" s="4">
        <f>IF($A623=BB$613,"",COUNTIF($E$4:$E$609,$A623&amp;" ضد "&amp;BB$613)+COUNTIF($E$4:$E$609,BB$613&amp;" ضد "&amp;$A623))</f>
        <v>0</v>
      </c>
      <c r="BC623" s="4">
        <f>IF($A623=BC$613,"",COUNTIF($E$4:$E$609,$A623&amp;" ضد "&amp;BC$613)+COUNTIF($E$4:$E$609,BC$613&amp;" ضد "&amp;$A623))</f>
        <v>0</v>
      </c>
      <c r="BD623" s="4">
        <f>IF($A623=BD$613,"",COUNTIF($E$4:$E$609,$A623&amp;" ضد "&amp;BD$613)+COUNTIF($E$4:$E$609,BD$613&amp;" ضد "&amp;$A623))</f>
        <v>0</v>
      </c>
      <c r="BE623" s="4">
        <f>IF($A623=BE$613,"",COUNTIF($E$4:$E$609,$A623&amp;" ضد "&amp;BE$613)+COUNTIF($E$4:$E$609,BE$613&amp;" ضد "&amp;$A623))</f>
        <v>0</v>
      </c>
      <c r="BF623" s="4">
        <f>IF($A623=BF$613,"",COUNTIF($E$4:$E$609,$A623&amp;" ضد "&amp;BF$613)+COUNTIF($E$4:$E$609,BF$613&amp;" ضد "&amp;$A623))</f>
        <v>0</v>
      </c>
      <c r="BG623" s="4">
        <f>IF($A623=BG$613,"",COUNTIF($E$4:$E$609,$A623&amp;" ضد "&amp;BG$613)+COUNTIF($E$4:$E$609,BG$613&amp;" ضد "&amp;$A623))</f>
        <v>0</v>
      </c>
      <c r="BH623" s="4">
        <f>IF($A623=BH$613,"",COUNTIF($E$4:$E$609,$A623&amp;" ضد "&amp;BH$613)+COUNTIF($E$4:$E$609,BH$613&amp;" ضد "&amp;$A623))</f>
        <v>0</v>
      </c>
      <c r="BI623" s="4">
        <f>IF($A623=BI$613,"",COUNTIF($E$4:$E$609,$A623&amp;" ضد "&amp;BI$613)+COUNTIF($E$4:$E$609,BI$613&amp;" ضد "&amp;$A623))</f>
        <v>0</v>
      </c>
      <c r="BJ623" s="4">
        <f>IF($A623=BJ$613,"",COUNTIF($E$4:$E$609,$A623&amp;" ضد "&amp;BJ$613)+COUNTIF($E$4:$E$609,BJ$613&amp;" ضد "&amp;$A623))</f>
        <v>0</v>
      </c>
      <c r="BK623" s="4">
        <f>IF($A623=BK$613,"",COUNTIF($E$4:$E$609,$A623&amp;" ضد "&amp;BK$613)+COUNTIF($E$4:$E$609,BK$613&amp;" ضد "&amp;$A623))</f>
        <v>0</v>
      </c>
      <c r="BL623" s="4">
        <f>IF($A623=BL$613,"",COUNTIF($E$4:$E$609,$A623&amp;" ضد "&amp;BL$613)+COUNTIF($E$4:$E$609,BL$613&amp;" ضد "&amp;$A623))</f>
        <v>0</v>
      </c>
      <c r="BM623" s="4">
        <f>IF($A623=BM$613,"",COUNTIF($E$4:$E$609,$A623&amp;" ضد "&amp;BM$613)+COUNTIF($E$4:$E$609,BM$613&amp;" ضد "&amp;$A623))</f>
        <v>0</v>
      </c>
      <c r="BN623" s="4">
        <f>IF($A623=BN$613,"",COUNTIF($E$4:$E$609,$A623&amp;" ضد "&amp;BN$613)+COUNTIF($E$4:$E$609,BN$613&amp;" ضد "&amp;$A623))</f>
        <v>0</v>
      </c>
      <c r="BO623" s="4">
        <f>IF($A623=BO$613,"",COUNTIF($E$4:$E$609,$A623&amp;" ضد "&amp;BO$613)+COUNTIF($E$4:$E$609,BO$613&amp;" ضد "&amp;$A623))</f>
        <v>0</v>
      </c>
      <c r="BP623" s="4">
        <f>IF($A623=BP$613,"",COUNTIF($E$4:$E$609,$A623&amp;" ضد "&amp;BP$613)+COUNTIF($E$4:$E$609,BP$613&amp;" ضد "&amp;$A623))</f>
        <v>0</v>
      </c>
    </row>
    <row r="624" spans="1:68" ht="14.5">
      <c r="A624" s="14">
        <v>11</v>
      </c>
      <c r="B624" s="4">
        <f>IF($A624=B$613,"",COUNTIF($E$4:$E$609,$A624&amp;" ضد "&amp;B$613)+COUNTIF($E$4:$E$609,B$613&amp;" ضد "&amp;$A624))</f>
        <v>1</v>
      </c>
      <c r="C624" s="4">
        <f>IF($A624=C$613,"",COUNTIF($E$4:$E$609,$A624&amp;" ضد "&amp;C$613)+COUNTIF($E$4:$E$609,C$613&amp;" ضد "&amp;$A624))</f>
        <v>1</v>
      </c>
      <c r="D624" s="4">
        <f>IF($A624=D$613,"",COUNTIF($E$4:$E$609,$A624&amp;" ضد "&amp;D$613)+COUNTIF($E$4:$E$609,D$613&amp;" ضد "&amp;$A624))</f>
        <v>1</v>
      </c>
      <c r="E624" s="4">
        <f>IF($A624=E$613,"",COUNTIF($E$4:$E$609,$A624&amp;" ضد "&amp;E$613)+COUNTIF($E$4:$E$609,E$613&amp;" ضد "&amp;$A624))</f>
        <v>1</v>
      </c>
      <c r="F624" s="4">
        <f>IF($A624=F$613,"",COUNTIF($E$4:$E$609,$A624&amp;" ضد "&amp;F$613)+COUNTIF($E$4:$E$609,F$613&amp;" ضد "&amp;$A624))</f>
        <v>1</v>
      </c>
      <c r="G624" s="4">
        <f>IF($A624=G$613,"",COUNTIF($E$4:$E$609,$A624&amp;" ضد "&amp;G$613)+COUNTIF($E$4:$E$609,G$613&amp;" ضد "&amp;$A624))</f>
        <v>1</v>
      </c>
      <c r="H624" s="4">
        <f>IF($A624=H$613,"",COUNTIF($E$4:$E$609,$A624&amp;" ضد "&amp;H$613)+COUNTIF($E$4:$E$609,H$613&amp;" ضد "&amp;$A624))</f>
        <v>1</v>
      </c>
      <c r="I624" s="4">
        <f>IF($A624=I$613,"",COUNTIF($E$4:$E$609,$A624&amp;" ضد "&amp;I$613)+COUNTIF($E$4:$E$609,I$613&amp;" ضد "&amp;$A624))</f>
        <v>1</v>
      </c>
      <c r="J624" s="4">
        <f>IF($A624=J$613,"",COUNTIF($E$4:$E$609,$A624&amp;" ضد "&amp;J$613)+COUNTIF($E$4:$E$609,J$613&amp;" ضد "&amp;$A624))</f>
        <v>1</v>
      </c>
      <c r="K624" s="4">
        <f>IF($A624=K$613,"",COUNTIF($E$4:$E$609,$A624&amp;" ضد "&amp;K$613)+COUNTIF($E$4:$E$609,K$613&amp;" ضد "&amp;$A624))</f>
        <v>2</v>
      </c>
      <c r="L624" s="4" t="str">
        <f>IF($A624=L$613,"",COUNTIF($E$4:$E$609,$A624&amp;" ضد "&amp;L$613)+COUNTIF($E$4:$E$609,L$613&amp;" ضد "&amp;$A624))</f>
        <v/>
      </c>
      <c r="M624" s="4">
        <f>IF($A624=M$613,"",COUNTIF($E$4:$E$609,$A624&amp;" ضد "&amp;M$613)+COUNTIF($E$4:$E$609,M$613&amp;" ضد "&amp;$A624))</f>
        <v>2</v>
      </c>
      <c r="N624" s="4">
        <f>IF($A624=N$613,"",COUNTIF($E$4:$E$609,$A624&amp;" ضد "&amp;N$613)+COUNTIF($E$4:$E$609,N$613&amp;" ضد "&amp;$A624))</f>
        <v>1</v>
      </c>
      <c r="O624" s="4">
        <f>IF($A624=O$613,"",COUNTIF($E$4:$E$609,$A624&amp;" ضد "&amp;O$613)+COUNTIF($E$4:$E$609,O$613&amp;" ضد "&amp;$A624))</f>
        <v>1</v>
      </c>
      <c r="P624" s="4">
        <f>IF($A624=P$613,"",COUNTIF($E$4:$E$609,$A624&amp;" ضد "&amp;P$613)+COUNTIF($E$4:$E$609,P$613&amp;" ضد "&amp;$A624))</f>
        <v>1</v>
      </c>
      <c r="Q624" s="4">
        <f>IF($A624=Q$613,"",COUNTIF($E$4:$E$609,$A624&amp;" ضد "&amp;Q$613)+COUNTIF($E$4:$E$609,Q$613&amp;" ضد "&amp;$A624))</f>
        <v>1</v>
      </c>
      <c r="R624" s="4">
        <f>IF($A624=R$613,"",COUNTIF($E$4:$E$609,$A624&amp;" ضد "&amp;R$613)+COUNTIF($E$4:$E$609,R$613&amp;" ضد "&amp;$A624))</f>
        <v>1</v>
      </c>
      <c r="S624" s="4">
        <f>IF($A624=S$613,"",COUNTIF($E$4:$E$609,$A624&amp;" ضد "&amp;S$613)+COUNTIF($E$4:$E$609,S$613&amp;" ضد "&amp;$A624))</f>
        <v>0</v>
      </c>
      <c r="T624" s="4">
        <f>IF($A624=T$613,"",COUNTIF($E$4:$E$609,$A624&amp;" ضد "&amp;T$613)+COUNTIF($E$4:$E$609,T$613&amp;" ضد "&amp;$A624))</f>
        <v>0</v>
      </c>
      <c r="U624" s="4">
        <f>IF($A624=U$613,"",COUNTIF($E$4:$E$609,$A624&amp;" ضد "&amp;U$613)+COUNTIF($E$4:$E$609,U$613&amp;" ضد "&amp;$A624))</f>
        <v>0</v>
      </c>
      <c r="V624" s="4">
        <f>IF($A624=V$613,"",COUNTIF($E$4:$E$609,$A624&amp;" ضد "&amp;V$613)+COUNTIF($E$4:$E$609,V$613&amp;" ضد "&amp;$A624))</f>
        <v>0</v>
      </c>
      <c r="W624" s="4">
        <f>IF($A624=W$613,"",COUNTIF($E$4:$E$609,$A624&amp;" ضد "&amp;W$613)+COUNTIF($E$4:$E$609,W$613&amp;" ضد "&amp;$A624))</f>
        <v>0</v>
      </c>
      <c r="X624" s="4">
        <f>IF($A624=X$613,"",COUNTIF($E$4:$E$609,$A624&amp;" ضد "&amp;X$613)+COUNTIF($E$4:$E$609,X$613&amp;" ضد "&amp;$A624))</f>
        <v>0</v>
      </c>
      <c r="Y624" s="4">
        <f>IF($A624=Y$613,"",COUNTIF($E$4:$E$609,$A624&amp;" ضد "&amp;Y$613)+COUNTIF($E$4:$E$609,Y$613&amp;" ضد "&amp;$A624))</f>
        <v>0</v>
      </c>
      <c r="Z624" s="4">
        <f>IF($A624=Z$613,"",COUNTIF($E$4:$E$609,$A624&amp;" ضد "&amp;Z$613)+COUNTIF($E$4:$E$609,Z$613&amp;" ضد "&amp;$A624))</f>
        <v>0</v>
      </c>
      <c r="AA624" s="4">
        <f>IF($A624=AA$613,"",COUNTIF($E$4:$E$609,$A624&amp;" ضد "&amp;AA$613)+COUNTIF($E$4:$E$609,AA$613&amp;" ضد "&amp;$A624))</f>
        <v>0</v>
      </c>
      <c r="AB624" s="4">
        <f>IF($A624=AB$613,"",COUNTIF($E$4:$E$609,$A624&amp;" ضد "&amp;AB$613)+COUNTIF($E$4:$E$609,AB$613&amp;" ضد "&amp;$A624))</f>
        <v>0</v>
      </c>
      <c r="AC624" s="4">
        <f>IF($A624=AC$613,"",COUNTIF($E$4:$E$609,$A624&amp;" ضد "&amp;AC$613)+COUNTIF($E$4:$E$609,AC$613&amp;" ضد "&amp;$A624))</f>
        <v>0</v>
      </c>
      <c r="AD624" s="4">
        <f>IF($A624=AD$613,"",COUNTIF($E$4:$E$609,$A624&amp;" ضد "&amp;AD$613)+COUNTIF($E$4:$E$609,AD$613&amp;" ضد "&amp;$A624))</f>
        <v>0</v>
      </c>
      <c r="AE624" s="4">
        <f>IF($A624=AE$613,"",COUNTIF($E$4:$E$609,$A624&amp;" ضد "&amp;AE$613)+COUNTIF($E$4:$E$609,AE$613&amp;" ضد "&amp;$A624))</f>
        <v>0</v>
      </c>
      <c r="AF624" s="4">
        <f>IF($A624=AF$613,"",COUNTIF($E$4:$E$609,$A624&amp;" ضد "&amp;AF$613)+COUNTIF($E$4:$E$609,AF$613&amp;" ضد "&amp;$A624))</f>
        <v>0</v>
      </c>
      <c r="AG624" s="4">
        <f>IF($A624=AG$613,"",COUNTIF($E$4:$E$609,$A624&amp;" ضد "&amp;AG$613)+COUNTIF($E$4:$E$609,AG$613&amp;" ضد "&amp;$A624))</f>
        <v>0</v>
      </c>
      <c r="AH624" s="4">
        <f>IF($A624=AH$613,"",COUNTIF($E$4:$E$609,$A624&amp;" ضد "&amp;AH$613)+COUNTIF($E$4:$E$609,AH$613&amp;" ضد "&amp;$A624))</f>
        <v>0</v>
      </c>
      <c r="AI624" s="4">
        <f>IF($A624=AI$613,"",COUNTIF($E$4:$E$609,$A624&amp;" ضد "&amp;AI$613)+COUNTIF($E$4:$E$609,AI$613&amp;" ضد "&amp;$A624))</f>
        <v>0</v>
      </c>
      <c r="AJ624" s="4">
        <f>IF($A624=AJ$613,"",COUNTIF($E$4:$E$609,$A624&amp;" ضد "&amp;AJ$613)+COUNTIF($E$4:$E$609,AJ$613&amp;" ضد "&amp;$A624))</f>
        <v>0</v>
      </c>
      <c r="AK624" s="4">
        <f>IF($A624=AK$613,"",COUNTIF($E$4:$E$609,$A624&amp;" ضد "&amp;AK$613)+COUNTIF($E$4:$E$609,AK$613&amp;" ضد "&amp;$A624))</f>
        <v>0</v>
      </c>
      <c r="AL624" s="4">
        <f>IF($A624=AL$613,"",COUNTIF($E$4:$E$609,$A624&amp;" ضد "&amp;AL$613)+COUNTIF($E$4:$E$609,AL$613&amp;" ضد "&amp;$A624))</f>
        <v>0</v>
      </c>
      <c r="AM624" s="4">
        <f>IF($A624=AM$613,"",COUNTIF($E$4:$E$609,$A624&amp;" ضد "&amp;AM$613)+COUNTIF($E$4:$E$609,AM$613&amp;" ضد "&amp;$A624))</f>
        <v>0</v>
      </c>
      <c r="AN624" s="4">
        <f>IF($A624=AN$613,"",COUNTIF($E$4:$E$609,$A624&amp;" ضد "&amp;AN$613)+COUNTIF($E$4:$E$609,AN$613&amp;" ضد "&amp;$A624))</f>
        <v>0</v>
      </c>
      <c r="AO624" s="4">
        <f>IF($A624=AO$613,"",COUNTIF($E$4:$E$609,$A624&amp;" ضد "&amp;AO$613)+COUNTIF($E$4:$E$609,AO$613&amp;" ضد "&amp;$A624))</f>
        <v>0</v>
      </c>
      <c r="AP624" s="4">
        <f>IF($A624=AP$613,"",COUNTIF($E$4:$E$609,$A624&amp;" ضد "&amp;AP$613)+COUNTIF($E$4:$E$609,AP$613&amp;" ضد "&amp;$A624))</f>
        <v>0</v>
      </c>
      <c r="AQ624" s="4">
        <f>IF($A624=AQ$613,"",COUNTIF($E$4:$E$609,$A624&amp;" ضد "&amp;AQ$613)+COUNTIF($E$4:$E$609,AQ$613&amp;" ضد "&amp;$A624))</f>
        <v>0</v>
      </c>
      <c r="AR624" s="4">
        <f>IF($A624=AR$613,"",COUNTIF($E$4:$E$609,$A624&amp;" ضد "&amp;AR$613)+COUNTIF($E$4:$E$609,AR$613&amp;" ضد "&amp;$A624))</f>
        <v>0</v>
      </c>
      <c r="AS624" s="4">
        <f>IF($A624=AS$613,"",COUNTIF($E$4:$E$609,$A624&amp;" ضد "&amp;AS$613)+COUNTIF($E$4:$E$609,AS$613&amp;" ضد "&amp;$A624))</f>
        <v>0</v>
      </c>
      <c r="AT624" s="4">
        <f>IF($A624=AT$613,"",COUNTIF($E$4:$E$609,$A624&amp;" ضد "&amp;AT$613)+COUNTIF($E$4:$E$609,AT$613&amp;" ضد "&amp;$A624))</f>
        <v>0</v>
      </c>
      <c r="AU624" s="4">
        <f>IF($A624=AU$613,"",COUNTIF($E$4:$E$609,$A624&amp;" ضد "&amp;AU$613)+COUNTIF($E$4:$E$609,AU$613&amp;" ضد "&amp;$A624))</f>
        <v>0</v>
      </c>
      <c r="AV624" s="4">
        <f>IF($A624=AV$613,"",COUNTIF($E$4:$E$609,$A624&amp;" ضد "&amp;AV$613)+COUNTIF($E$4:$E$609,AV$613&amp;" ضد "&amp;$A624))</f>
        <v>0</v>
      </c>
      <c r="AW624" s="4">
        <f>IF($A624=AW$613,"",COUNTIF($E$4:$E$609,$A624&amp;" ضد "&amp;AW$613)+COUNTIF($E$4:$E$609,AW$613&amp;" ضد "&amp;$A624))</f>
        <v>0</v>
      </c>
      <c r="AX624" s="4">
        <f>IF($A624=AX$613,"",COUNTIF($E$4:$E$609,$A624&amp;" ضد "&amp;AX$613)+COUNTIF($E$4:$E$609,AX$613&amp;" ضد "&amp;$A624))</f>
        <v>0</v>
      </c>
      <c r="AY624" s="4">
        <f>IF($A624=AY$613,"",COUNTIF($E$4:$E$609,$A624&amp;" ضد "&amp;AY$613)+COUNTIF($E$4:$E$609,AY$613&amp;" ضد "&amp;$A624))</f>
        <v>0</v>
      </c>
      <c r="AZ624" s="4">
        <f>IF($A624=AZ$613,"",COUNTIF($E$4:$E$609,$A624&amp;" ضد "&amp;AZ$613)+COUNTIF($E$4:$E$609,AZ$613&amp;" ضد "&amp;$A624))</f>
        <v>0</v>
      </c>
      <c r="BA624" s="4">
        <f>IF($A624=BA$613,"",COUNTIF($E$4:$E$609,$A624&amp;" ضد "&amp;BA$613)+COUNTIF($E$4:$E$609,BA$613&amp;" ضد "&amp;$A624))</f>
        <v>0</v>
      </c>
      <c r="BB624" s="4">
        <f>IF($A624=BB$613,"",COUNTIF($E$4:$E$609,$A624&amp;" ضد "&amp;BB$613)+COUNTIF($E$4:$E$609,BB$613&amp;" ضد "&amp;$A624))</f>
        <v>0</v>
      </c>
      <c r="BC624" s="4">
        <f>IF($A624=BC$613,"",COUNTIF($E$4:$E$609,$A624&amp;" ضد "&amp;BC$613)+COUNTIF($E$4:$E$609,BC$613&amp;" ضد "&amp;$A624))</f>
        <v>0</v>
      </c>
      <c r="BD624" s="4">
        <f>IF($A624=BD$613,"",COUNTIF($E$4:$E$609,$A624&amp;" ضد "&amp;BD$613)+COUNTIF($E$4:$E$609,BD$613&amp;" ضد "&amp;$A624))</f>
        <v>0</v>
      </c>
      <c r="BE624" s="4">
        <f>IF($A624=BE$613,"",COUNTIF($E$4:$E$609,$A624&amp;" ضد "&amp;BE$613)+COUNTIF($E$4:$E$609,BE$613&amp;" ضد "&amp;$A624))</f>
        <v>0</v>
      </c>
      <c r="BF624" s="4">
        <f>IF($A624=BF$613,"",COUNTIF($E$4:$E$609,$A624&amp;" ضد "&amp;BF$613)+COUNTIF($E$4:$E$609,BF$613&amp;" ضد "&amp;$A624))</f>
        <v>0</v>
      </c>
      <c r="BG624" s="4">
        <f>IF($A624=BG$613,"",COUNTIF($E$4:$E$609,$A624&amp;" ضد "&amp;BG$613)+COUNTIF($E$4:$E$609,BG$613&amp;" ضد "&amp;$A624))</f>
        <v>0</v>
      </c>
      <c r="BH624" s="4">
        <f>IF($A624=BH$613,"",COUNTIF($E$4:$E$609,$A624&amp;" ضد "&amp;BH$613)+COUNTIF($E$4:$E$609,BH$613&amp;" ضد "&amp;$A624))</f>
        <v>0</v>
      </c>
      <c r="BI624" s="4">
        <f>IF($A624=BI$613,"",COUNTIF($E$4:$E$609,$A624&amp;" ضد "&amp;BI$613)+COUNTIF($E$4:$E$609,BI$613&amp;" ضد "&amp;$A624))</f>
        <v>0</v>
      </c>
      <c r="BJ624" s="4">
        <f>IF($A624=BJ$613,"",COUNTIF($E$4:$E$609,$A624&amp;" ضد "&amp;BJ$613)+COUNTIF($E$4:$E$609,BJ$613&amp;" ضد "&amp;$A624))</f>
        <v>0</v>
      </c>
      <c r="BK624" s="4">
        <f>IF($A624=BK$613,"",COUNTIF($E$4:$E$609,$A624&amp;" ضد "&amp;BK$613)+COUNTIF($E$4:$E$609,BK$613&amp;" ضد "&amp;$A624))</f>
        <v>0</v>
      </c>
      <c r="BL624" s="4">
        <f>IF($A624=BL$613,"",COUNTIF($E$4:$E$609,$A624&amp;" ضد "&amp;BL$613)+COUNTIF($E$4:$E$609,BL$613&amp;" ضد "&amp;$A624))</f>
        <v>0</v>
      </c>
      <c r="BM624" s="4">
        <f>IF($A624=BM$613,"",COUNTIF($E$4:$E$609,$A624&amp;" ضد "&amp;BM$613)+COUNTIF($E$4:$E$609,BM$613&amp;" ضد "&amp;$A624))</f>
        <v>0</v>
      </c>
      <c r="BN624" s="4">
        <f>IF($A624=BN$613,"",COUNTIF($E$4:$E$609,$A624&amp;" ضد "&amp;BN$613)+COUNTIF($E$4:$E$609,BN$613&amp;" ضد "&amp;$A624))</f>
        <v>0</v>
      </c>
      <c r="BO624" s="4">
        <f>IF($A624=BO$613,"",COUNTIF($E$4:$E$609,$A624&amp;" ضد "&amp;BO$613)+COUNTIF($E$4:$E$609,BO$613&amp;" ضد "&amp;$A624))</f>
        <v>0</v>
      </c>
      <c r="BP624" s="4">
        <f>IF($A624=BP$613,"",COUNTIF($E$4:$E$609,$A624&amp;" ضد "&amp;BP$613)+COUNTIF($E$4:$E$609,BP$613&amp;" ضد "&amp;$A624))</f>
        <v>0</v>
      </c>
    </row>
    <row r="625" spans="1:68" ht="14.5">
      <c r="A625" s="14">
        <v>12</v>
      </c>
      <c r="B625" s="4">
        <f>IF($A625=B$613,"",COUNTIF($E$4:$E$609,$A625&amp;" ضد "&amp;B$613)+COUNTIF($E$4:$E$609,B$613&amp;" ضد "&amp;$A625))</f>
        <v>1</v>
      </c>
      <c r="C625" s="4">
        <f>IF($A625=C$613,"",COUNTIF($E$4:$E$609,$A625&amp;" ضد "&amp;C$613)+COUNTIF($E$4:$E$609,C$613&amp;" ضد "&amp;$A625))</f>
        <v>1</v>
      </c>
      <c r="D625" s="4">
        <f>IF($A625=D$613,"",COUNTIF($E$4:$E$609,$A625&amp;" ضد "&amp;D$613)+COUNTIF($E$4:$E$609,D$613&amp;" ضد "&amp;$A625))</f>
        <v>1</v>
      </c>
      <c r="E625" s="4">
        <f>IF($A625=E$613,"",COUNTIF($E$4:$E$609,$A625&amp;" ضد "&amp;E$613)+COUNTIF($E$4:$E$609,E$613&amp;" ضد "&amp;$A625))</f>
        <v>1</v>
      </c>
      <c r="F625" s="4">
        <f>IF($A625=F$613,"",COUNTIF($E$4:$E$609,$A625&amp;" ضد "&amp;F$613)+COUNTIF($E$4:$E$609,F$613&amp;" ضد "&amp;$A625))</f>
        <v>1</v>
      </c>
      <c r="G625" s="4">
        <f>IF($A625=G$613,"",COUNTIF($E$4:$E$609,$A625&amp;" ضد "&amp;G$613)+COUNTIF($E$4:$E$609,G$613&amp;" ضد "&amp;$A625))</f>
        <v>1</v>
      </c>
      <c r="H625" s="4">
        <f>IF($A625=H$613,"",COUNTIF($E$4:$E$609,$A625&amp;" ضد "&amp;H$613)+COUNTIF($E$4:$E$609,H$613&amp;" ضد "&amp;$A625))</f>
        <v>1</v>
      </c>
      <c r="I625" s="4">
        <f>IF($A625=I$613,"",COUNTIF($E$4:$E$609,$A625&amp;" ضد "&amp;I$613)+COUNTIF($E$4:$E$609,I$613&amp;" ضد "&amp;$A625))</f>
        <v>1</v>
      </c>
      <c r="J625" s="4">
        <f>IF($A625=J$613,"",COUNTIF($E$4:$E$609,$A625&amp;" ضد "&amp;J$613)+COUNTIF($E$4:$E$609,J$613&amp;" ضد "&amp;$A625))</f>
        <v>1</v>
      </c>
      <c r="K625" s="4">
        <f>IF($A625=K$613,"",COUNTIF($E$4:$E$609,$A625&amp;" ضد "&amp;K$613)+COUNTIF($E$4:$E$609,K$613&amp;" ضد "&amp;$A625))</f>
        <v>1</v>
      </c>
      <c r="L625" s="4">
        <f>IF($A625=L$613,"",COUNTIF($E$4:$E$609,$A625&amp;" ضد "&amp;L$613)+COUNTIF($E$4:$E$609,L$613&amp;" ضد "&amp;$A625))</f>
        <v>2</v>
      </c>
      <c r="M625" s="4" t="str">
        <f>IF($A625=M$613,"",COUNTIF($E$4:$E$609,$A625&amp;" ضد "&amp;M$613)+COUNTIF($E$4:$E$609,M$613&amp;" ضد "&amp;$A625))</f>
        <v/>
      </c>
      <c r="N625" s="4">
        <f>IF($A625=N$613,"",COUNTIF($E$4:$E$609,$A625&amp;" ضد "&amp;N$613)+COUNTIF($E$4:$E$609,N$613&amp;" ضد "&amp;$A625))</f>
        <v>2</v>
      </c>
      <c r="O625" s="4">
        <f>IF($A625=O$613,"",COUNTIF($E$4:$E$609,$A625&amp;" ضد "&amp;O$613)+COUNTIF($E$4:$E$609,O$613&amp;" ضد "&amp;$A625))</f>
        <v>1</v>
      </c>
      <c r="P625" s="4">
        <f>IF($A625=P$613,"",COUNTIF($E$4:$E$609,$A625&amp;" ضد "&amp;P$613)+COUNTIF($E$4:$E$609,P$613&amp;" ضد "&amp;$A625))</f>
        <v>1</v>
      </c>
      <c r="Q625" s="4">
        <f>IF($A625=Q$613,"",COUNTIF($E$4:$E$609,$A625&amp;" ضد "&amp;Q$613)+COUNTIF($E$4:$E$609,Q$613&amp;" ضد "&amp;$A625))</f>
        <v>1</v>
      </c>
      <c r="R625" s="4">
        <f>IF($A625=R$613,"",COUNTIF($E$4:$E$609,$A625&amp;" ضد "&amp;R$613)+COUNTIF($E$4:$E$609,R$613&amp;" ضد "&amp;$A625))</f>
        <v>1</v>
      </c>
      <c r="S625" s="4">
        <f>IF($A625=S$613,"",COUNTIF($E$4:$E$609,$A625&amp;" ضد "&amp;S$613)+COUNTIF($E$4:$E$609,S$613&amp;" ضد "&amp;$A625))</f>
        <v>0</v>
      </c>
      <c r="T625" s="4">
        <f>IF($A625=T$613,"",COUNTIF($E$4:$E$609,$A625&amp;" ضد "&amp;T$613)+COUNTIF($E$4:$E$609,T$613&amp;" ضد "&amp;$A625))</f>
        <v>0</v>
      </c>
      <c r="U625" s="4">
        <f>IF($A625=U$613,"",COUNTIF($E$4:$E$609,$A625&amp;" ضد "&amp;U$613)+COUNTIF($E$4:$E$609,U$613&amp;" ضد "&amp;$A625))</f>
        <v>0</v>
      </c>
      <c r="V625" s="4">
        <f>IF($A625=V$613,"",COUNTIF($E$4:$E$609,$A625&amp;" ضد "&amp;V$613)+COUNTIF($E$4:$E$609,V$613&amp;" ضد "&amp;$A625))</f>
        <v>0</v>
      </c>
      <c r="W625" s="4">
        <f>IF($A625=W$613,"",COUNTIF($E$4:$E$609,$A625&amp;" ضد "&amp;W$613)+COUNTIF($E$4:$E$609,W$613&amp;" ضد "&amp;$A625))</f>
        <v>0</v>
      </c>
      <c r="X625" s="4">
        <f>IF($A625=X$613,"",COUNTIF($E$4:$E$609,$A625&amp;" ضد "&amp;X$613)+COUNTIF($E$4:$E$609,X$613&amp;" ضد "&amp;$A625))</f>
        <v>0</v>
      </c>
      <c r="Y625" s="4">
        <f>IF($A625=Y$613,"",COUNTIF($E$4:$E$609,$A625&amp;" ضد "&amp;Y$613)+COUNTIF($E$4:$E$609,Y$613&amp;" ضد "&amp;$A625))</f>
        <v>0</v>
      </c>
      <c r="Z625" s="4">
        <f>IF($A625=Z$613,"",COUNTIF($E$4:$E$609,$A625&amp;" ضد "&amp;Z$613)+COUNTIF($E$4:$E$609,Z$613&amp;" ضد "&amp;$A625))</f>
        <v>0</v>
      </c>
      <c r="AA625" s="4">
        <f>IF($A625=AA$613,"",COUNTIF($E$4:$E$609,$A625&amp;" ضد "&amp;AA$613)+COUNTIF($E$4:$E$609,AA$613&amp;" ضد "&amp;$A625))</f>
        <v>0</v>
      </c>
      <c r="AB625" s="4">
        <f>IF($A625=AB$613,"",COUNTIF($E$4:$E$609,$A625&amp;" ضد "&amp;AB$613)+COUNTIF($E$4:$E$609,AB$613&amp;" ضد "&amp;$A625))</f>
        <v>0</v>
      </c>
      <c r="AC625" s="4">
        <f>IF($A625=AC$613,"",COUNTIF($E$4:$E$609,$A625&amp;" ضد "&amp;AC$613)+COUNTIF($E$4:$E$609,AC$613&amp;" ضد "&amp;$A625))</f>
        <v>0</v>
      </c>
      <c r="AD625" s="4">
        <f>IF($A625=AD$613,"",COUNTIF($E$4:$E$609,$A625&amp;" ضد "&amp;AD$613)+COUNTIF($E$4:$E$609,AD$613&amp;" ضد "&amp;$A625))</f>
        <v>0</v>
      </c>
      <c r="AE625" s="4">
        <f>IF($A625=AE$613,"",COUNTIF($E$4:$E$609,$A625&amp;" ضد "&amp;AE$613)+COUNTIF($E$4:$E$609,AE$613&amp;" ضد "&amp;$A625))</f>
        <v>0</v>
      </c>
      <c r="AF625" s="4">
        <f>IF($A625=AF$613,"",COUNTIF($E$4:$E$609,$A625&amp;" ضد "&amp;AF$613)+COUNTIF($E$4:$E$609,AF$613&amp;" ضد "&amp;$A625))</f>
        <v>0</v>
      </c>
      <c r="AG625" s="4">
        <f>IF($A625=AG$613,"",COUNTIF($E$4:$E$609,$A625&amp;" ضد "&amp;AG$613)+COUNTIF($E$4:$E$609,AG$613&amp;" ضد "&amp;$A625))</f>
        <v>0</v>
      </c>
      <c r="AH625" s="4">
        <f>IF($A625=AH$613,"",COUNTIF($E$4:$E$609,$A625&amp;" ضد "&amp;AH$613)+COUNTIF($E$4:$E$609,AH$613&amp;" ضد "&amp;$A625))</f>
        <v>0</v>
      </c>
      <c r="AI625" s="4">
        <f>IF($A625=AI$613,"",COUNTIF($E$4:$E$609,$A625&amp;" ضد "&amp;AI$613)+COUNTIF($E$4:$E$609,AI$613&amp;" ضد "&amp;$A625))</f>
        <v>0</v>
      </c>
      <c r="AJ625" s="4">
        <f>IF($A625=AJ$613,"",COUNTIF($E$4:$E$609,$A625&amp;" ضد "&amp;AJ$613)+COUNTIF($E$4:$E$609,AJ$613&amp;" ضد "&amp;$A625))</f>
        <v>0</v>
      </c>
      <c r="AK625" s="4">
        <f>IF($A625=AK$613,"",COUNTIF($E$4:$E$609,$A625&amp;" ضد "&amp;AK$613)+COUNTIF($E$4:$E$609,AK$613&amp;" ضد "&amp;$A625))</f>
        <v>0</v>
      </c>
      <c r="AL625" s="4">
        <f>IF($A625=AL$613,"",COUNTIF($E$4:$E$609,$A625&amp;" ضد "&amp;AL$613)+COUNTIF($E$4:$E$609,AL$613&amp;" ضد "&amp;$A625))</f>
        <v>0</v>
      </c>
      <c r="AM625" s="4">
        <f>IF($A625=AM$613,"",COUNTIF($E$4:$E$609,$A625&amp;" ضد "&amp;AM$613)+COUNTIF($E$4:$E$609,AM$613&amp;" ضد "&amp;$A625))</f>
        <v>0</v>
      </c>
      <c r="AN625" s="4">
        <f>IF($A625=AN$613,"",COUNTIF($E$4:$E$609,$A625&amp;" ضد "&amp;AN$613)+COUNTIF($E$4:$E$609,AN$613&amp;" ضد "&amp;$A625))</f>
        <v>0</v>
      </c>
      <c r="AO625" s="4">
        <f>IF($A625=AO$613,"",COUNTIF($E$4:$E$609,$A625&amp;" ضد "&amp;AO$613)+COUNTIF($E$4:$E$609,AO$613&amp;" ضد "&amp;$A625))</f>
        <v>0</v>
      </c>
      <c r="AP625" s="4">
        <f>IF($A625=AP$613,"",COUNTIF($E$4:$E$609,$A625&amp;" ضد "&amp;AP$613)+COUNTIF($E$4:$E$609,AP$613&amp;" ضد "&amp;$A625))</f>
        <v>0</v>
      </c>
      <c r="AQ625" s="4">
        <f>IF($A625=AQ$613,"",COUNTIF($E$4:$E$609,$A625&amp;" ضد "&amp;AQ$613)+COUNTIF($E$4:$E$609,AQ$613&amp;" ضد "&amp;$A625))</f>
        <v>0</v>
      </c>
      <c r="AR625" s="4">
        <f>IF($A625=AR$613,"",COUNTIF($E$4:$E$609,$A625&amp;" ضد "&amp;AR$613)+COUNTIF($E$4:$E$609,AR$613&amp;" ضد "&amp;$A625))</f>
        <v>0</v>
      </c>
      <c r="AS625" s="4">
        <f>IF($A625=AS$613,"",COUNTIF($E$4:$E$609,$A625&amp;" ضد "&amp;AS$613)+COUNTIF($E$4:$E$609,AS$613&amp;" ضد "&amp;$A625))</f>
        <v>0</v>
      </c>
      <c r="AT625" s="4">
        <f>IF($A625=AT$613,"",COUNTIF($E$4:$E$609,$A625&amp;" ضد "&amp;AT$613)+COUNTIF($E$4:$E$609,AT$613&amp;" ضد "&amp;$A625))</f>
        <v>0</v>
      </c>
      <c r="AU625" s="4">
        <f>IF($A625=AU$613,"",COUNTIF($E$4:$E$609,$A625&amp;" ضد "&amp;AU$613)+COUNTIF($E$4:$E$609,AU$613&amp;" ضد "&amp;$A625))</f>
        <v>0</v>
      </c>
      <c r="AV625" s="4">
        <f>IF($A625=AV$613,"",COUNTIF($E$4:$E$609,$A625&amp;" ضد "&amp;AV$613)+COUNTIF($E$4:$E$609,AV$613&amp;" ضد "&amp;$A625))</f>
        <v>0</v>
      </c>
      <c r="AW625" s="4">
        <f>IF($A625=AW$613,"",COUNTIF($E$4:$E$609,$A625&amp;" ضد "&amp;AW$613)+COUNTIF($E$4:$E$609,AW$613&amp;" ضد "&amp;$A625))</f>
        <v>0</v>
      </c>
      <c r="AX625" s="4">
        <f>IF($A625=AX$613,"",COUNTIF($E$4:$E$609,$A625&amp;" ضد "&amp;AX$613)+COUNTIF($E$4:$E$609,AX$613&amp;" ضد "&amp;$A625))</f>
        <v>0</v>
      </c>
      <c r="AY625" s="4">
        <f>IF($A625=AY$613,"",COUNTIF($E$4:$E$609,$A625&amp;" ضد "&amp;AY$613)+COUNTIF($E$4:$E$609,AY$613&amp;" ضد "&amp;$A625))</f>
        <v>0</v>
      </c>
      <c r="AZ625" s="4">
        <f>IF($A625=AZ$613,"",COUNTIF($E$4:$E$609,$A625&amp;" ضد "&amp;AZ$613)+COUNTIF($E$4:$E$609,AZ$613&amp;" ضد "&amp;$A625))</f>
        <v>0</v>
      </c>
      <c r="BA625" s="4">
        <f>IF($A625=BA$613,"",COUNTIF($E$4:$E$609,$A625&amp;" ضد "&amp;BA$613)+COUNTIF($E$4:$E$609,BA$613&amp;" ضد "&amp;$A625))</f>
        <v>0</v>
      </c>
      <c r="BB625" s="4">
        <f>IF($A625=BB$613,"",COUNTIF($E$4:$E$609,$A625&amp;" ضد "&amp;BB$613)+COUNTIF($E$4:$E$609,BB$613&amp;" ضد "&amp;$A625))</f>
        <v>0</v>
      </c>
      <c r="BC625" s="4">
        <f>IF($A625=BC$613,"",COUNTIF($E$4:$E$609,$A625&amp;" ضد "&amp;BC$613)+COUNTIF($E$4:$E$609,BC$613&amp;" ضد "&amp;$A625))</f>
        <v>0</v>
      </c>
      <c r="BD625" s="4">
        <f>IF($A625=BD$613,"",COUNTIF($E$4:$E$609,$A625&amp;" ضد "&amp;BD$613)+COUNTIF($E$4:$E$609,BD$613&amp;" ضد "&amp;$A625))</f>
        <v>0</v>
      </c>
      <c r="BE625" s="4">
        <f>IF($A625=BE$613,"",COUNTIF($E$4:$E$609,$A625&amp;" ضد "&amp;BE$613)+COUNTIF($E$4:$E$609,BE$613&amp;" ضد "&amp;$A625))</f>
        <v>0</v>
      </c>
      <c r="BF625" s="4">
        <f>IF($A625=BF$613,"",COUNTIF($E$4:$E$609,$A625&amp;" ضد "&amp;BF$613)+COUNTIF($E$4:$E$609,BF$613&amp;" ضد "&amp;$A625))</f>
        <v>0</v>
      </c>
      <c r="BG625" s="4">
        <f>IF($A625=BG$613,"",COUNTIF($E$4:$E$609,$A625&amp;" ضد "&amp;BG$613)+COUNTIF($E$4:$E$609,BG$613&amp;" ضد "&amp;$A625))</f>
        <v>0</v>
      </c>
      <c r="BH625" s="4">
        <f>IF($A625=BH$613,"",COUNTIF($E$4:$E$609,$A625&amp;" ضد "&amp;BH$613)+COUNTIF($E$4:$E$609,BH$613&amp;" ضد "&amp;$A625))</f>
        <v>0</v>
      </c>
      <c r="BI625" s="4">
        <f>IF($A625=BI$613,"",COUNTIF($E$4:$E$609,$A625&amp;" ضد "&amp;BI$613)+COUNTIF($E$4:$E$609,BI$613&amp;" ضد "&amp;$A625))</f>
        <v>0</v>
      </c>
      <c r="BJ625" s="4">
        <f>IF($A625=BJ$613,"",COUNTIF($E$4:$E$609,$A625&amp;" ضد "&amp;BJ$613)+COUNTIF($E$4:$E$609,BJ$613&amp;" ضد "&amp;$A625))</f>
        <v>0</v>
      </c>
      <c r="BK625" s="4">
        <f>IF($A625=BK$613,"",COUNTIF($E$4:$E$609,$A625&amp;" ضد "&amp;BK$613)+COUNTIF($E$4:$E$609,BK$613&amp;" ضد "&amp;$A625))</f>
        <v>0</v>
      </c>
      <c r="BL625" s="4">
        <f>IF($A625=BL$613,"",COUNTIF($E$4:$E$609,$A625&amp;" ضد "&amp;BL$613)+COUNTIF($E$4:$E$609,BL$613&amp;" ضد "&amp;$A625))</f>
        <v>0</v>
      </c>
      <c r="BM625" s="4">
        <f>IF($A625=BM$613,"",COUNTIF($E$4:$E$609,$A625&amp;" ضد "&amp;BM$613)+COUNTIF($E$4:$E$609,BM$613&amp;" ضد "&amp;$A625))</f>
        <v>0</v>
      </c>
      <c r="BN625" s="4">
        <f>IF($A625=BN$613,"",COUNTIF($E$4:$E$609,$A625&amp;" ضد "&amp;BN$613)+COUNTIF($E$4:$E$609,BN$613&amp;" ضد "&amp;$A625))</f>
        <v>0</v>
      </c>
      <c r="BO625" s="4">
        <f>IF($A625=BO$613,"",COUNTIF($E$4:$E$609,$A625&amp;" ضد "&amp;BO$613)+COUNTIF($E$4:$E$609,BO$613&amp;" ضد "&amp;$A625))</f>
        <v>0</v>
      </c>
      <c r="BP625" s="4">
        <f>IF($A625=BP$613,"",COUNTIF($E$4:$E$609,$A625&amp;" ضد "&amp;BP$613)+COUNTIF($E$4:$E$609,BP$613&amp;" ضد "&amp;$A625))</f>
        <v>0</v>
      </c>
    </row>
    <row r="626" spans="1:68" ht="14.5">
      <c r="A626" s="14">
        <v>13</v>
      </c>
      <c r="B626" s="4">
        <f>IF($A626=B$613,"",COUNTIF($E$4:$E$609,$A626&amp;" ضد "&amp;B$613)+COUNTIF($E$4:$E$609,B$613&amp;" ضد "&amp;$A626))</f>
        <v>1</v>
      </c>
      <c r="C626" s="4">
        <f>IF($A626=C$613,"",COUNTIF($E$4:$E$609,$A626&amp;" ضد "&amp;C$613)+COUNTIF($E$4:$E$609,C$613&amp;" ضد "&amp;$A626))</f>
        <v>1</v>
      </c>
      <c r="D626" s="4">
        <f>IF($A626=D$613,"",COUNTIF($E$4:$E$609,$A626&amp;" ضد "&amp;D$613)+COUNTIF($E$4:$E$609,D$613&amp;" ضد "&amp;$A626))</f>
        <v>1</v>
      </c>
      <c r="E626" s="4">
        <f>IF($A626=E$613,"",COUNTIF($E$4:$E$609,$A626&amp;" ضد "&amp;E$613)+COUNTIF($E$4:$E$609,E$613&amp;" ضد "&amp;$A626))</f>
        <v>1</v>
      </c>
      <c r="F626" s="4">
        <f>IF($A626=F$613,"",COUNTIF($E$4:$E$609,$A626&amp;" ضد "&amp;F$613)+COUNTIF($E$4:$E$609,F$613&amp;" ضد "&amp;$A626))</f>
        <v>1</v>
      </c>
      <c r="G626" s="4">
        <f>IF($A626=G$613,"",COUNTIF($E$4:$E$609,$A626&amp;" ضد "&amp;G$613)+COUNTIF($E$4:$E$609,G$613&amp;" ضد "&amp;$A626))</f>
        <v>1</v>
      </c>
      <c r="H626" s="4">
        <f>IF($A626=H$613,"",COUNTIF($E$4:$E$609,$A626&amp;" ضد "&amp;H$613)+COUNTIF($E$4:$E$609,H$613&amp;" ضد "&amp;$A626))</f>
        <v>1</v>
      </c>
      <c r="I626" s="4">
        <f>IF($A626=I$613,"",COUNTIF($E$4:$E$609,$A626&amp;" ضد "&amp;I$613)+COUNTIF($E$4:$E$609,I$613&amp;" ضد "&amp;$A626))</f>
        <v>1</v>
      </c>
      <c r="J626" s="4">
        <f>IF($A626=J$613,"",COUNTIF($E$4:$E$609,$A626&amp;" ضد "&amp;J$613)+COUNTIF($E$4:$E$609,J$613&amp;" ضد "&amp;$A626))</f>
        <v>1</v>
      </c>
      <c r="K626" s="4">
        <f>IF($A626=K$613,"",COUNTIF($E$4:$E$609,$A626&amp;" ضد "&amp;K$613)+COUNTIF($E$4:$E$609,K$613&amp;" ضد "&amp;$A626))</f>
        <v>1</v>
      </c>
      <c r="L626" s="4">
        <f>IF($A626=L$613,"",COUNTIF($E$4:$E$609,$A626&amp;" ضد "&amp;L$613)+COUNTIF($E$4:$E$609,L$613&amp;" ضد "&amp;$A626))</f>
        <v>1</v>
      </c>
      <c r="M626" s="4">
        <f>IF($A626=M$613,"",COUNTIF($E$4:$E$609,$A626&amp;" ضد "&amp;M$613)+COUNTIF($E$4:$E$609,M$613&amp;" ضد "&amp;$A626))</f>
        <v>2</v>
      </c>
      <c r="N626" s="4" t="str">
        <f>IF($A626=N$613,"",COUNTIF($E$4:$E$609,$A626&amp;" ضد "&amp;N$613)+COUNTIF($E$4:$E$609,N$613&amp;" ضد "&amp;$A626))</f>
        <v/>
      </c>
      <c r="O626" s="4">
        <f>IF($A626=O$613,"",COUNTIF($E$4:$E$609,$A626&amp;" ضد "&amp;O$613)+COUNTIF($E$4:$E$609,O$613&amp;" ضد "&amp;$A626))</f>
        <v>2</v>
      </c>
      <c r="P626" s="4">
        <f>IF($A626=P$613,"",COUNTIF($E$4:$E$609,$A626&amp;" ضد "&amp;P$613)+COUNTIF($E$4:$E$609,P$613&amp;" ضد "&amp;$A626))</f>
        <v>1</v>
      </c>
      <c r="Q626" s="4">
        <f>IF($A626=Q$613,"",COUNTIF($E$4:$E$609,$A626&amp;" ضد "&amp;Q$613)+COUNTIF($E$4:$E$609,Q$613&amp;" ضد "&amp;$A626))</f>
        <v>1</v>
      </c>
      <c r="R626" s="4">
        <f>IF($A626=R$613,"",COUNTIF($E$4:$E$609,$A626&amp;" ضد "&amp;R$613)+COUNTIF($E$4:$E$609,R$613&amp;" ضد "&amp;$A626))</f>
        <v>1</v>
      </c>
      <c r="S626" s="4">
        <f>IF($A626=S$613,"",COUNTIF($E$4:$E$609,$A626&amp;" ضد "&amp;S$613)+COUNTIF($E$4:$E$609,S$613&amp;" ضد "&amp;$A626))</f>
        <v>0</v>
      </c>
      <c r="T626" s="4">
        <f>IF($A626=T$613,"",COUNTIF($E$4:$E$609,$A626&amp;" ضد "&amp;T$613)+COUNTIF($E$4:$E$609,T$613&amp;" ضد "&amp;$A626))</f>
        <v>0</v>
      </c>
      <c r="U626" s="4">
        <f>IF($A626=U$613,"",COUNTIF($E$4:$E$609,$A626&amp;" ضد "&amp;U$613)+COUNTIF($E$4:$E$609,U$613&amp;" ضد "&amp;$A626))</f>
        <v>0</v>
      </c>
      <c r="V626" s="4">
        <f>IF($A626=V$613,"",COUNTIF($E$4:$E$609,$A626&amp;" ضد "&amp;V$613)+COUNTIF($E$4:$E$609,V$613&amp;" ضد "&amp;$A626))</f>
        <v>0</v>
      </c>
      <c r="W626" s="4">
        <f>IF($A626=W$613,"",COUNTIF($E$4:$E$609,$A626&amp;" ضد "&amp;W$613)+COUNTIF($E$4:$E$609,W$613&amp;" ضد "&amp;$A626))</f>
        <v>0</v>
      </c>
      <c r="X626" s="4">
        <f>IF($A626=X$613,"",COUNTIF($E$4:$E$609,$A626&amp;" ضد "&amp;X$613)+COUNTIF($E$4:$E$609,X$613&amp;" ضد "&amp;$A626))</f>
        <v>0</v>
      </c>
      <c r="Y626" s="4">
        <f>IF($A626=Y$613,"",COUNTIF($E$4:$E$609,$A626&amp;" ضد "&amp;Y$613)+COUNTIF($E$4:$E$609,Y$613&amp;" ضد "&amp;$A626))</f>
        <v>0</v>
      </c>
      <c r="Z626" s="4">
        <f>IF($A626=Z$613,"",COUNTIF($E$4:$E$609,$A626&amp;" ضد "&amp;Z$613)+COUNTIF($E$4:$E$609,Z$613&amp;" ضد "&amp;$A626))</f>
        <v>0</v>
      </c>
      <c r="AA626" s="4">
        <f>IF($A626=AA$613,"",COUNTIF($E$4:$E$609,$A626&amp;" ضد "&amp;AA$613)+COUNTIF($E$4:$E$609,AA$613&amp;" ضد "&amp;$A626))</f>
        <v>0</v>
      </c>
      <c r="AB626" s="4">
        <f>IF($A626=AB$613,"",COUNTIF($E$4:$E$609,$A626&amp;" ضد "&amp;AB$613)+COUNTIF($E$4:$E$609,AB$613&amp;" ضد "&amp;$A626))</f>
        <v>0</v>
      </c>
      <c r="AC626" s="4">
        <f>IF($A626=AC$613,"",COUNTIF($E$4:$E$609,$A626&amp;" ضد "&amp;AC$613)+COUNTIF($E$4:$E$609,AC$613&amp;" ضد "&amp;$A626))</f>
        <v>0</v>
      </c>
      <c r="AD626" s="4">
        <f>IF($A626=AD$613,"",COUNTIF($E$4:$E$609,$A626&amp;" ضد "&amp;AD$613)+COUNTIF($E$4:$E$609,AD$613&amp;" ضد "&amp;$A626))</f>
        <v>0</v>
      </c>
      <c r="AE626" s="4">
        <f>IF($A626=AE$613,"",COUNTIF($E$4:$E$609,$A626&amp;" ضد "&amp;AE$613)+COUNTIF($E$4:$E$609,AE$613&amp;" ضد "&amp;$A626))</f>
        <v>0</v>
      </c>
      <c r="AF626" s="4">
        <f>IF($A626=AF$613,"",COUNTIF($E$4:$E$609,$A626&amp;" ضد "&amp;AF$613)+COUNTIF($E$4:$E$609,AF$613&amp;" ضد "&amp;$A626))</f>
        <v>0</v>
      </c>
      <c r="AG626" s="4">
        <f>IF($A626=AG$613,"",COUNTIF($E$4:$E$609,$A626&amp;" ضد "&amp;AG$613)+COUNTIF($E$4:$E$609,AG$613&amp;" ضد "&amp;$A626))</f>
        <v>0</v>
      </c>
      <c r="AH626" s="4">
        <f>IF($A626=AH$613,"",COUNTIF($E$4:$E$609,$A626&amp;" ضد "&amp;AH$613)+COUNTIF($E$4:$E$609,AH$613&amp;" ضد "&amp;$A626))</f>
        <v>0</v>
      </c>
      <c r="AI626" s="4">
        <f>IF($A626=AI$613,"",COUNTIF($E$4:$E$609,$A626&amp;" ضد "&amp;AI$613)+COUNTIF($E$4:$E$609,AI$613&amp;" ضد "&amp;$A626))</f>
        <v>0</v>
      </c>
      <c r="AJ626" s="4">
        <f>IF($A626=AJ$613,"",COUNTIF($E$4:$E$609,$A626&amp;" ضد "&amp;AJ$613)+COUNTIF($E$4:$E$609,AJ$613&amp;" ضد "&amp;$A626))</f>
        <v>0</v>
      </c>
      <c r="AK626" s="4">
        <f>IF($A626=AK$613,"",COUNTIF($E$4:$E$609,$A626&amp;" ضد "&amp;AK$613)+COUNTIF($E$4:$E$609,AK$613&amp;" ضد "&amp;$A626))</f>
        <v>0</v>
      </c>
      <c r="AL626" s="4">
        <f>IF($A626=AL$613,"",COUNTIF($E$4:$E$609,$A626&amp;" ضد "&amp;AL$613)+COUNTIF($E$4:$E$609,AL$613&amp;" ضد "&amp;$A626))</f>
        <v>0</v>
      </c>
      <c r="AM626" s="4">
        <f>IF($A626=AM$613,"",COUNTIF($E$4:$E$609,$A626&amp;" ضد "&amp;AM$613)+COUNTIF($E$4:$E$609,AM$613&amp;" ضد "&amp;$A626))</f>
        <v>0</v>
      </c>
      <c r="AN626" s="4">
        <f>IF($A626=AN$613,"",COUNTIF($E$4:$E$609,$A626&amp;" ضد "&amp;AN$613)+COUNTIF($E$4:$E$609,AN$613&amp;" ضد "&amp;$A626))</f>
        <v>0</v>
      </c>
      <c r="AO626" s="4">
        <f>IF($A626=AO$613,"",COUNTIF($E$4:$E$609,$A626&amp;" ضد "&amp;AO$613)+COUNTIF($E$4:$E$609,AO$613&amp;" ضد "&amp;$A626))</f>
        <v>0</v>
      </c>
      <c r="AP626" s="4">
        <f>IF($A626=AP$613,"",COUNTIF($E$4:$E$609,$A626&amp;" ضد "&amp;AP$613)+COUNTIF($E$4:$E$609,AP$613&amp;" ضد "&amp;$A626))</f>
        <v>0</v>
      </c>
      <c r="AQ626" s="4">
        <f>IF($A626=AQ$613,"",COUNTIF($E$4:$E$609,$A626&amp;" ضد "&amp;AQ$613)+COUNTIF($E$4:$E$609,AQ$613&amp;" ضد "&amp;$A626))</f>
        <v>0</v>
      </c>
      <c r="AR626" s="4">
        <f>IF($A626=AR$613,"",COUNTIF($E$4:$E$609,$A626&amp;" ضد "&amp;AR$613)+COUNTIF($E$4:$E$609,AR$613&amp;" ضد "&amp;$A626))</f>
        <v>0</v>
      </c>
      <c r="AS626" s="4">
        <f>IF($A626=AS$613,"",COUNTIF($E$4:$E$609,$A626&amp;" ضد "&amp;AS$613)+COUNTIF($E$4:$E$609,AS$613&amp;" ضد "&amp;$A626))</f>
        <v>0</v>
      </c>
      <c r="AT626" s="4">
        <f>IF($A626=AT$613,"",COUNTIF($E$4:$E$609,$A626&amp;" ضد "&amp;AT$613)+COUNTIF($E$4:$E$609,AT$613&amp;" ضد "&amp;$A626))</f>
        <v>0</v>
      </c>
      <c r="AU626" s="4">
        <f>IF($A626=AU$613,"",COUNTIF($E$4:$E$609,$A626&amp;" ضد "&amp;AU$613)+COUNTIF($E$4:$E$609,AU$613&amp;" ضد "&amp;$A626))</f>
        <v>0</v>
      </c>
      <c r="AV626" s="4">
        <f>IF($A626=AV$613,"",COUNTIF($E$4:$E$609,$A626&amp;" ضد "&amp;AV$613)+COUNTIF($E$4:$E$609,AV$613&amp;" ضد "&amp;$A626))</f>
        <v>0</v>
      </c>
      <c r="AW626" s="4">
        <f>IF($A626=AW$613,"",COUNTIF($E$4:$E$609,$A626&amp;" ضد "&amp;AW$613)+COUNTIF($E$4:$E$609,AW$613&amp;" ضد "&amp;$A626))</f>
        <v>0</v>
      </c>
      <c r="AX626" s="4">
        <f>IF($A626=AX$613,"",COUNTIF($E$4:$E$609,$A626&amp;" ضد "&amp;AX$613)+COUNTIF($E$4:$E$609,AX$613&amp;" ضد "&amp;$A626))</f>
        <v>0</v>
      </c>
      <c r="AY626" s="4">
        <f>IF($A626=AY$613,"",COUNTIF($E$4:$E$609,$A626&amp;" ضد "&amp;AY$613)+COUNTIF($E$4:$E$609,AY$613&amp;" ضد "&amp;$A626))</f>
        <v>0</v>
      </c>
      <c r="AZ626" s="4">
        <f>IF($A626=AZ$613,"",COUNTIF($E$4:$E$609,$A626&amp;" ضد "&amp;AZ$613)+COUNTIF($E$4:$E$609,AZ$613&amp;" ضد "&amp;$A626))</f>
        <v>0</v>
      </c>
      <c r="BA626" s="4">
        <f>IF($A626=BA$613,"",COUNTIF($E$4:$E$609,$A626&amp;" ضد "&amp;BA$613)+COUNTIF($E$4:$E$609,BA$613&amp;" ضد "&amp;$A626))</f>
        <v>0</v>
      </c>
      <c r="BB626" s="4">
        <f>IF($A626=BB$613,"",COUNTIF($E$4:$E$609,$A626&amp;" ضد "&amp;BB$613)+COUNTIF($E$4:$E$609,BB$613&amp;" ضد "&amp;$A626))</f>
        <v>0</v>
      </c>
      <c r="BC626" s="4">
        <f>IF($A626=BC$613,"",COUNTIF($E$4:$E$609,$A626&amp;" ضد "&amp;BC$613)+COUNTIF($E$4:$E$609,BC$613&amp;" ضد "&amp;$A626))</f>
        <v>0</v>
      </c>
      <c r="BD626" s="4">
        <f>IF($A626=BD$613,"",COUNTIF($E$4:$E$609,$A626&amp;" ضد "&amp;BD$613)+COUNTIF($E$4:$E$609,BD$613&amp;" ضد "&amp;$A626))</f>
        <v>0</v>
      </c>
      <c r="BE626" s="4">
        <f>IF($A626=BE$613,"",COUNTIF($E$4:$E$609,$A626&amp;" ضد "&amp;BE$613)+COUNTIF($E$4:$E$609,BE$613&amp;" ضد "&amp;$A626))</f>
        <v>0</v>
      </c>
      <c r="BF626" s="4">
        <f>IF($A626=BF$613,"",COUNTIF($E$4:$E$609,$A626&amp;" ضد "&amp;BF$613)+COUNTIF($E$4:$E$609,BF$613&amp;" ضد "&amp;$A626))</f>
        <v>0</v>
      </c>
      <c r="BG626" s="4">
        <f>IF($A626=BG$613,"",COUNTIF($E$4:$E$609,$A626&amp;" ضد "&amp;BG$613)+COUNTIF($E$4:$E$609,BG$613&amp;" ضد "&amp;$A626))</f>
        <v>0</v>
      </c>
      <c r="BH626" s="4">
        <f>IF($A626=BH$613,"",COUNTIF($E$4:$E$609,$A626&amp;" ضد "&amp;BH$613)+COUNTIF($E$4:$E$609,BH$613&amp;" ضد "&amp;$A626))</f>
        <v>0</v>
      </c>
      <c r="BI626" s="4">
        <f>IF($A626=BI$613,"",COUNTIF($E$4:$E$609,$A626&amp;" ضد "&amp;BI$613)+COUNTIF($E$4:$E$609,BI$613&amp;" ضد "&amp;$A626))</f>
        <v>0</v>
      </c>
      <c r="BJ626" s="4">
        <f>IF($A626=BJ$613,"",COUNTIF($E$4:$E$609,$A626&amp;" ضد "&amp;BJ$613)+COUNTIF($E$4:$E$609,BJ$613&amp;" ضد "&amp;$A626))</f>
        <v>0</v>
      </c>
      <c r="BK626" s="4">
        <f>IF($A626=BK$613,"",COUNTIF($E$4:$E$609,$A626&amp;" ضد "&amp;BK$613)+COUNTIF($E$4:$E$609,BK$613&amp;" ضد "&amp;$A626))</f>
        <v>0</v>
      </c>
      <c r="BL626" s="4">
        <f>IF($A626=BL$613,"",COUNTIF($E$4:$E$609,$A626&amp;" ضد "&amp;BL$613)+COUNTIF($E$4:$E$609,BL$613&amp;" ضد "&amp;$A626))</f>
        <v>0</v>
      </c>
      <c r="BM626" s="4">
        <f>IF($A626=BM$613,"",COUNTIF($E$4:$E$609,$A626&amp;" ضد "&amp;BM$613)+COUNTIF($E$4:$E$609,BM$613&amp;" ضد "&amp;$A626))</f>
        <v>0</v>
      </c>
      <c r="BN626" s="4">
        <f>IF($A626=BN$613,"",COUNTIF($E$4:$E$609,$A626&amp;" ضد "&amp;BN$613)+COUNTIF($E$4:$E$609,BN$613&amp;" ضد "&amp;$A626))</f>
        <v>0</v>
      </c>
      <c r="BO626" s="4">
        <f>IF($A626=BO$613,"",COUNTIF($E$4:$E$609,$A626&amp;" ضد "&amp;BO$613)+COUNTIF($E$4:$E$609,BO$613&amp;" ضد "&amp;$A626))</f>
        <v>0</v>
      </c>
      <c r="BP626" s="4">
        <f>IF($A626=BP$613,"",COUNTIF($E$4:$E$609,$A626&amp;" ضد "&amp;BP$613)+COUNTIF($E$4:$E$609,BP$613&amp;" ضد "&amp;$A626))</f>
        <v>0</v>
      </c>
    </row>
    <row r="627" spans="1:68" ht="14.5">
      <c r="A627" s="14">
        <v>14</v>
      </c>
      <c r="B627" s="4">
        <f>IF($A627=B$613,"",COUNTIF($E$4:$E$609,$A627&amp;" ضد "&amp;B$613)+COUNTIF($E$4:$E$609,B$613&amp;" ضد "&amp;$A627))</f>
        <v>1</v>
      </c>
      <c r="C627" s="4">
        <f>IF($A627=C$613,"",COUNTIF($E$4:$E$609,$A627&amp;" ضد "&amp;C$613)+COUNTIF($E$4:$E$609,C$613&amp;" ضد "&amp;$A627))</f>
        <v>1</v>
      </c>
      <c r="D627" s="4">
        <f>IF($A627=D$613,"",COUNTIF($E$4:$E$609,$A627&amp;" ضد "&amp;D$613)+COUNTIF($E$4:$E$609,D$613&amp;" ضد "&amp;$A627))</f>
        <v>1</v>
      </c>
      <c r="E627" s="4">
        <f>IF($A627=E$613,"",COUNTIF($E$4:$E$609,$A627&amp;" ضد "&amp;E$613)+COUNTIF($E$4:$E$609,E$613&amp;" ضد "&amp;$A627))</f>
        <v>1</v>
      </c>
      <c r="F627" s="4">
        <f>IF($A627=F$613,"",COUNTIF($E$4:$E$609,$A627&amp;" ضد "&amp;F$613)+COUNTIF($E$4:$E$609,F$613&amp;" ضد "&amp;$A627))</f>
        <v>1</v>
      </c>
      <c r="G627" s="4">
        <f>IF($A627=G$613,"",COUNTIF($E$4:$E$609,$A627&amp;" ضد "&amp;G$613)+COUNTIF($E$4:$E$609,G$613&amp;" ضد "&amp;$A627))</f>
        <v>1</v>
      </c>
      <c r="H627" s="4">
        <f>IF($A627=H$613,"",COUNTIF($E$4:$E$609,$A627&amp;" ضد "&amp;H$613)+COUNTIF($E$4:$E$609,H$613&amp;" ضد "&amp;$A627))</f>
        <v>1</v>
      </c>
      <c r="I627" s="4">
        <f>IF($A627=I$613,"",COUNTIF($E$4:$E$609,$A627&amp;" ضد "&amp;I$613)+COUNTIF($E$4:$E$609,I$613&amp;" ضد "&amp;$A627))</f>
        <v>1</v>
      </c>
      <c r="J627" s="4">
        <f>IF($A627=J$613,"",COUNTIF($E$4:$E$609,$A627&amp;" ضد "&amp;J$613)+COUNTIF($E$4:$E$609,J$613&amp;" ضد "&amp;$A627))</f>
        <v>1</v>
      </c>
      <c r="K627" s="4">
        <f>IF($A627=K$613,"",COUNTIF($E$4:$E$609,$A627&amp;" ضد "&amp;K$613)+COUNTIF($E$4:$E$609,K$613&amp;" ضد "&amp;$A627))</f>
        <v>1</v>
      </c>
      <c r="L627" s="4">
        <f>IF($A627=L$613,"",COUNTIF($E$4:$E$609,$A627&amp;" ضد "&amp;L$613)+COUNTIF($E$4:$E$609,L$613&amp;" ضد "&amp;$A627))</f>
        <v>1</v>
      </c>
      <c r="M627" s="4">
        <f>IF($A627=M$613,"",COUNTIF($E$4:$E$609,$A627&amp;" ضد "&amp;M$613)+COUNTIF($E$4:$E$609,M$613&amp;" ضد "&amp;$A627))</f>
        <v>1</v>
      </c>
      <c r="N627" s="4">
        <f>IF($A627=N$613,"",COUNTIF($E$4:$E$609,$A627&amp;" ضد "&amp;N$613)+COUNTIF($E$4:$E$609,N$613&amp;" ضد "&amp;$A627))</f>
        <v>2</v>
      </c>
      <c r="O627" s="4" t="str">
        <f>IF($A627=O$613,"",COUNTIF($E$4:$E$609,$A627&amp;" ضد "&amp;O$613)+COUNTIF($E$4:$E$609,O$613&amp;" ضد "&amp;$A627))</f>
        <v/>
      </c>
      <c r="P627" s="4">
        <f>IF($A627=P$613,"",COUNTIF($E$4:$E$609,$A627&amp;" ضد "&amp;P$613)+COUNTIF($E$4:$E$609,P$613&amp;" ضد "&amp;$A627))</f>
        <v>2</v>
      </c>
      <c r="Q627" s="4">
        <f>IF($A627=Q$613,"",COUNTIF($E$4:$E$609,$A627&amp;" ضد "&amp;Q$613)+COUNTIF($E$4:$E$609,Q$613&amp;" ضد "&amp;$A627))</f>
        <v>1</v>
      </c>
      <c r="R627" s="4">
        <f>IF($A627=R$613,"",COUNTIF($E$4:$E$609,$A627&amp;" ضد "&amp;R$613)+COUNTIF($E$4:$E$609,R$613&amp;" ضد "&amp;$A627))</f>
        <v>1</v>
      </c>
      <c r="S627" s="4">
        <f>IF($A627=S$613,"",COUNTIF($E$4:$E$609,$A627&amp;" ضد "&amp;S$613)+COUNTIF($E$4:$E$609,S$613&amp;" ضد "&amp;$A627))</f>
        <v>0</v>
      </c>
      <c r="T627" s="4">
        <f>IF($A627=T$613,"",COUNTIF($E$4:$E$609,$A627&amp;" ضد "&amp;T$613)+COUNTIF($E$4:$E$609,T$613&amp;" ضد "&amp;$A627))</f>
        <v>0</v>
      </c>
      <c r="U627" s="4">
        <f>IF($A627=U$613,"",COUNTIF($E$4:$E$609,$A627&amp;" ضد "&amp;U$613)+COUNTIF($E$4:$E$609,U$613&amp;" ضد "&amp;$A627))</f>
        <v>0</v>
      </c>
      <c r="V627" s="4">
        <f>IF($A627=V$613,"",COUNTIF($E$4:$E$609,$A627&amp;" ضد "&amp;V$613)+COUNTIF($E$4:$E$609,V$613&amp;" ضد "&amp;$A627))</f>
        <v>0</v>
      </c>
      <c r="W627" s="4">
        <f>IF($A627=W$613,"",COUNTIF($E$4:$E$609,$A627&amp;" ضد "&amp;W$613)+COUNTIF($E$4:$E$609,W$613&amp;" ضد "&amp;$A627))</f>
        <v>0</v>
      </c>
      <c r="X627" s="4">
        <f>IF($A627=X$613,"",COUNTIF($E$4:$E$609,$A627&amp;" ضد "&amp;X$613)+COUNTIF($E$4:$E$609,X$613&amp;" ضد "&amp;$A627))</f>
        <v>0</v>
      </c>
      <c r="Y627" s="4">
        <f>IF($A627=Y$613,"",COUNTIF($E$4:$E$609,$A627&amp;" ضد "&amp;Y$613)+COUNTIF($E$4:$E$609,Y$613&amp;" ضد "&amp;$A627))</f>
        <v>0</v>
      </c>
      <c r="Z627" s="4">
        <f>IF($A627=Z$613,"",COUNTIF($E$4:$E$609,$A627&amp;" ضد "&amp;Z$613)+COUNTIF($E$4:$E$609,Z$613&amp;" ضد "&amp;$A627))</f>
        <v>0</v>
      </c>
      <c r="AA627" s="4">
        <f>IF($A627=AA$613,"",COUNTIF($E$4:$E$609,$A627&amp;" ضد "&amp;AA$613)+COUNTIF($E$4:$E$609,AA$613&amp;" ضد "&amp;$A627))</f>
        <v>0</v>
      </c>
      <c r="AB627" s="4">
        <f>IF($A627=AB$613,"",COUNTIF($E$4:$E$609,$A627&amp;" ضد "&amp;AB$613)+COUNTIF($E$4:$E$609,AB$613&amp;" ضد "&amp;$A627))</f>
        <v>0</v>
      </c>
      <c r="AC627" s="4">
        <f>IF($A627=AC$613,"",COUNTIF($E$4:$E$609,$A627&amp;" ضد "&amp;AC$613)+COUNTIF($E$4:$E$609,AC$613&amp;" ضد "&amp;$A627))</f>
        <v>0</v>
      </c>
      <c r="AD627" s="4">
        <f>IF($A627=AD$613,"",COUNTIF($E$4:$E$609,$A627&amp;" ضد "&amp;AD$613)+COUNTIF($E$4:$E$609,AD$613&amp;" ضد "&amp;$A627))</f>
        <v>0</v>
      </c>
      <c r="AE627" s="4">
        <f>IF($A627=AE$613,"",COUNTIF($E$4:$E$609,$A627&amp;" ضد "&amp;AE$613)+COUNTIF($E$4:$E$609,AE$613&amp;" ضد "&amp;$A627))</f>
        <v>0</v>
      </c>
      <c r="AF627" s="4">
        <f>IF($A627=AF$613,"",COUNTIF($E$4:$E$609,$A627&amp;" ضد "&amp;AF$613)+COUNTIF($E$4:$E$609,AF$613&amp;" ضد "&amp;$A627))</f>
        <v>0</v>
      </c>
      <c r="AG627" s="4">
        <f>IF($A627=AG$613,"",COUNTIF($E$4:$E$609,$A627&amp;" ضد "&amp;AG$613)+COUNTIF($E$4:$E$609,AG$613&amp;" ضد "&amp;$A627))</f>
        <v>0</v>
      </c>
      <c r="AH627" s="4">
        <f>IF($A627=AH$613,"",COUNTIF($E$4:$E$609,$A627&amp;" ضد "&amp;AH$613)+COUNTIF($E$4:$E$609,AH$613&amp;" ضد "&amp;$A627))</f>
        <v>0</v>
      </c>
      <c r="AI627" s="4">
        <f>IF($A627=AI$613,"",COUNTIF($E$4:$E$609,$A627&amp;" ضد "&amp;AI$613)+COUNTIF($E$4:$E$609,AI$613&amp;" ضد "&amp;$A627))</f>
        <v>0</v>
      </c>
      <c r="AJ627" s="4">
        <f>IF($A627=AJ$613,"",COUNTIF($E$4:$E$609,$A627&amp;" ضد "&amp;AJ$613)+COUNTIF($E$4:$E$609,AJ$613&amp;" ضد "&amp;$A627))</f>
        <v>0</v>
      </c>
      <c r="AK627" s="4">
        <f>IF($A627=AK$613,"",COUNTIF($E$4:$E$609,$A627&amp;" ضد "&amp;AK$613)+COUNTIF($E$4:$E$609,AK$613&amp;" ضد "&amp;$A627))</f>
        <v>0</v>
      </c>
      <c r="AL627" s="4">
        <f>IF($A627=AL$613,"",COUNTIF($E$4:$E$609,$A627&amp;" ضد "&amp;AL$613)+COUNTIF($E$4:$E$609,AL$613&amp;" ضد "&amp;$A627))</f>
        <v>0</v>
      </c>
      <c r="AM627" s="4">
        <f>IF($A627=AM$613,"",COUNTIF($E$4:$E$609,$A627&amp;" ضد "&amp;AM$613)+COUNTIF($E$4:$E$609,AM$613&amp;" ضد "&amp;$A627))</f>
        <v>0</v>
      </c>
      <c r="AN627" s="4">
        <f>IF($A627=AN$613,"",COUNTIF($E$4:$E$609,$A627&amp;" ضد "&amp;AN$613)+COUNTIF($E$4:$E$609,AN$613&amp;" ضد "&amp;$A627))</f>
        <v>0</v>
      </c>
      <c r="AO627" s="4">
        <f>IF($A627=AO$613,"",COUNTIF($E$4:$E$609,$A627&amp;" ضد "&amp;AO$613)+COUNTIF($E$4:$E$609,AO$613&amp;" ضد "&amp;$A627))</f>
        <v>0</v>
      </c>
      <c r="AP627" s="4">
        <f>IF($A627=AP$613,"",COUNTIF($E$4:$E$609,$A627&amp;" ضد "&amp;AP$613)+COUNTIF($E$4:$E$609,AP$613&amp;" ضد "&amp;$A627))</f>
        <v>0</v>
      </c>
      <c r="AQ627" s="4">
        <f>IF($A627=AQ$613,"",COUNTIF($E$4:$E$609,$A627&amp;" ضد "&amp;AQ$613)+COUNTIF($E$4:$E$609,AQ$613&amp;" ضد "&amp;$A627))</f>
        <v>0</v>
      </c>
      <c r="AR627" s="4">
        <f>IF($A627=AR$613,"",COUNTIF($E$4:$E$609,$A627&amp;" ضد "&amp;AR$613)+COUNTIF($E$4:$E$609,AR$613&amp;" ضد "&amp;$A627))</f>
        <v>0</v>
      </c>
      <c r="AS627" s="4">
        <f>IF($A627=AS$613,"",COUNTIF($E$4:$E$609,$A627&amp;" ضد "&amp;AS$613)+COUNTIF($E$4:$E$609,AS$613&amp;" ضد "&amp;$A627))</f>
        <v>0</v>
      </c>
      <c r="AT627" s="4">
        <f>IF($A627=AT$613,"",COUNTIF($E$4:$E$609,$A627&amp;" ضد "&amp;AT$613)+COUNTIF($E$4:$E$609,AT$613&amp;" ضد "&amp;$A627))</f>
        <v>0</v>
      </c>
      <c r="AU627" s="4">
        <f>IF($A627=AU$613,"",COUNTIF($E$4:$E$609,$A627&amp;" ضد "&amp;AU$613)+COUNTIF($E$4:$E$609,AU$613&amp;" ضد "&amp;$A627))</f>
        <v>0</v>
      </c>
      <c r="AV627" s="4">
        <f>IF($A627=AV$613,"",COUNTIF($E$4:$E$609,$A627&amp;" ضد "&amp;AV$613)+COUNTIF($E$4:$E$609,AV$613&amp;" ضد "&amp;$A627))</f>
        <v>0</v>
      </c>
      <c r="AW627" s="4">
        <f>IF($A627=AW$613,"",COUNTIF($E$4:$E$609,$A627&amp;" ضد "&amp;AW$613)+COUNTIF($E$4:$E$609,AW$613&amp;" ضد "&amp;$A627))</f>
        <v>0</v>
      </c>
      <c r="AX627" s="4">
        <f>IF($A627=AX$613,"",COUNTIF($E$4:$E$609,$A627&amp;" ضد "&amp;AX$613)+COUNTIF($E$4:$E$609,AX$613&amp;" ضد "&amp;$A627))</f>
        <v>0</v>
      </c>
      <c r="AY627" s="4">
        <f>IF($A627=AY$613,"",COUNTIF($E$4:$E$609,$A627&amp;" ضد "&amp;AY$613)+COUNTIF($E$4:$E$609,AY$613&amp;" ضد "&amp;$A627))</f>
        <v>0</v>
      </c>
      <c r="AZ627" s="4">
        <f>IF($A627=AZ$613,"",COUNTIF($E$4:$E$609,$A627&amp;" ضد "&amp;AZ$613)+COUNTIF($E$4:$E$609,AZ$613&amp;" ضد "&amp;$A627))</f>
        <v>0</v>
      </c>
      <c r="BA627" s="4">
        <f>IF($A627=BA$613,"",COUNTIF($E$4:$E$609,$A627&amp;" ضد "&amp;BA$613)+COUNTIF($E$4:$E$609,BA$613&amp;" ضد "&amp;$A627))</f>
        <v>0</v>
      </c>
      <c r="BB627" s="4">
        <f>IF($A627=BB$613,"",COUNTIF($E$4:$E$609,$A627&amp;" ضد "&amp;BB$613)+COUNTIF($E$4:$E$609,BB$613&amp;" ضد "&amp;$A627))</f>
        <v>0</v>
      </c>
      <c r="BC627" s="4">
        <f>IF($A627=BC$613,"",COUNTIF($E$4:$E$609,$A627&amp;" ضد "&amp;BC$613)+COUNTIF($E$4:$E$609,BC$613&amp;" ضد "&amp;$A627))</f>
        <v>0</v>
      </c>
      <c r="BD627" s="4">
        <f>IF($A627=BD$613,"",COUNTIF($E$4:$E$609,$A627&amp;" ضد "&amp;BD$613)+COUNTIF($E$4:$E$609,BD$613&amp;" ضد "&amp;$A627))</f>
        <v>0</v>
      </c>
      <c r="BE627" s="4">
        <f>IF($A627=BE$613,"",COUNTIF($E$4:$E$609,$A627&amp;" ضد "&amp;BE$613)+COUNTIF($E$4:$E$609,BE$613&amp;" ضد "&amp;$A627))</f>
        <v>0</v>
      </c>
      <c r="BF627" s="4">
        <f>IF($A627=BF$613,"",COUNTIF($E$4:$E$609,$A627&amp;" ضد "&amp;BF$613)+COUNTIF($E$4:$E$609,BF$613&amp;" ضد "&amp;$A627))</f>
        <v>0</v>
      </c>
      <c r="BG627" s="4">
        <f>IF($A627=BG$613,"",COUNTIF($E$4:$E$609,$A627&amp;" ضد "&amp;BG$613)+COUNTIF($E$4:$E$609,BG$613&amp;" ضد "&amp;$A627))</f>
        <v>0</v>
      </c>
      <c r="BH627" s="4">
        <f>IF($A627=BH$613,"",COUNTIF($E$4:$E$609,$A627&amp;" ضد "&amp;BH$613)+COUNTIF($E$4:$E$609,BH$613&amp;" ضد "&amp;$A627))</f>
        <v>0</v>
      </c>
      <c r="BI627" s="4">
        <f>IF($A627=BI$613,"",COUNTIF($E$4:$E$609,$A627&amp;" ضد "&amp;BI$613)+COUNTIF($E$4:$E$609,BI$613&amp;" ضد "&amp;$A627))</f>
        <v>0</v>
      </c>
      <c r="BJ627" s="4">
        <f>IF($A627=BJ$613,"",COUNTIF($E$4:$E$609,$A627&amp;" ضد "&amp;BJ$613)+COUNTIF($E$4:$E$609,BJ$613&amp;" ضد "&amp;$A627))</f>
        <v>0</v>
      </c>
      <c r="BK627" s="4">
        <f>IF($A627=BK$613,"",COUNTIF($E$4:$E$609,$A627&amp;" ضد "&amp;BK$613)+COUNTIF($E$4:$E$609,BK$613&amp;" ضد "&amp;$A627))</f>
        <v>0</v>
      </c>
      <c r="BL627" s="4">
        <f>IF($A627=BL$613,"",COUNTIF($E$4:$E$609,$A627&amp;" ضد "&amp;BL$613)+COUNTIF($E$4:$E$609,BL$613&amp;" ضد "&amp;$A627))</f>
        <v>0</v>
      </c>
      <c r="BM627" s="4">
        <f>IF($A627=BM$613,"",COUNTIF($E$4:$E$609,$A627&amp;" ضد "&amp;BM$613)+COUNTIF($E$4:$E$609,BM$613&amp;" ضد "&amp;$A627))</f>
        <v>0</v>
      </c>
      <c r="BN627" s="4">
        <f>IF($A627=BN$613,"",COUNTIF($E$4:$E$609,$A627&amp;" ضد "&amp;BN$613)+COUNTIF($E$4:$E$609,BN$613&amp;" ضد "&amp;$A627))</f>
        <v>0</v>
      </c>
      <c r="BO627" s="4">
        <f>IF($A627=BO$613,"",COUNTIF($E$4:$E$609,$A627&amp;" ضد "&amp;BO$613)+COUNTIF($E$4:$E$609,BO$613&amp;" ضد "&amp;$A627))</f>
        <v>0</v>
      </c>
      <c r="BP627" s="4">
        <f>IF($A627=BP$613,"",COUNTIF($E$4:$E$609,$A627&amp;" ضد "&amp;BP$613)+COUNTIF($E$4:$E$609,BP$613&amp;" ضد "&amp;$A627))</f>
        <v>0</v>
      </c>
    </row>
    <row r="628" spans="1:68" ht="14.5">
      <c r="A628" s="14">
        <v>15</v>
      </c>
      <c r="B628" s="4">
        <f>IF($A628=B$613,"",COUNTIF($E$4:$E$609,$A628&amp;" ضد "&amp;B$613)+COUNTIF($E$4:$E$609,B$613&amp;" ضد "&amp;$A628))</f>
        <v>1</v>
      </c>
      <c r="C628" s="4">
        <f>IF($A628=C$613,"",COUNTIF($E$4:$E$609,$A628&amp;" ضد "&amp;C$613)+COUNTIF($E$4:$E$609,C$613&amp;" ضد "&amp;$A628))</f>
        <v>1</v>
      </c>
      <c r="D628" s="4">
        <f>IF($A628=D$613,"",COUNTIF($E$4:$E$609,$A628&amp;" ضد "&amp;D$613)+COUNTIF($E$4:$E$609,D$613&amp;" ضد "&amp;$A628))</f>
        <v>1</v>
      </c>
      <c r="E628" s="4">
        <f>IF($A628=E$613,"",COUNTIF($E$4:$E$609,$A628&amp;" ضد "&amp;E$613)+COUNTIF($E$4:$E$609,E$613&amp;" ضد "&amp;$A628))</f>
        <v>1</v>
      </c>
      <c r="F628" s="4">
        <f>IF($A628=F$613,"",COUNTIF($E$4:$E$609,$A628&amp;" ضد "&amp;F$613)+COUNTIF($E$4:$E$609,F$613&amp;" ضد "&amp;$A628))</f>
        <v>1</v>
      </c>
      <c r="G628" s="4">
        <f>IF($A628=G$613,"",COUNTIF($E$4:$E$609,$A628&amp;" ضد "&amp;G$613)+COUNTIF($E$4:$E$609,G$613&amp;" ضد "&amp;$A628))</f>
        <v>1</v>
      </c>
      <c r="H628" s="4">
        <f>IF($A628=H$613,"",COUNTIF($E$4:$E$609,$A628&amp;" ضد "&amp;H$613)+COUNTIF($E$4:$E$609,H$613&amp;" ضد "&amp;$A628))</f>
        <v>1</v>
      </c>
      <c r="I628" s="4">
        <f>IF($A628=I$613,"",COUNTIF($E$4:$E$609,$A628&amp;" ضد "&amp;I$613)+COUNTIF($E$4:$E$609,I$613&amp;" ضد "&amp;$A628))</f>
        <v>1</v>
      </c>
      <c r="J628" s="4">
        <f>IF($A628=J$613,"",COUNTIF($E$4:$E$609,$A628&amp;" ضد "&amp;J$613)+COUNTIF($E$4:$E$609,J$613&amp;" ضد "&amp;$A628))</f>
        <v>1</v>
      </c>
      <c r="K628" s="4">
        <f>IF($A628=K$613,"",COUNTIF($E$4:$E$609,$A628&amp;" ضد "&amp;K$613)+COUNTIF($E$4:$E$609,K$613&amp;" ضد "&amp;$A628))</f>
        <v>1</v>
      </c>
      <c r="L628" s="4">
        <f>IF($A628=L$613,"",COUNTIF($E$4:$E$609,$A628&amp;" ضد "&amp;L$613)+COUNTIF($E$4:$E$609,L$613&amp;" ضد "&amp;$A628))</f>
        <v>1</v>
      </c>
      <c r="M628" s="4">
        <f>IF($A628=M$613,"",COUNTIF($E$4:$E$609,$A628&amp;" ضد "&amp;M$613)+COUNTIF($E$4:$E$609,M$613&amp;" ضد "&amp;$A628))</f>
        <v>1</v>
      </c>
      <c r="N628" s="4">
        <f>IF($A628=N$613,"",COUNTIF($E$4:$E$609,$A628&amp;" ضد "&amp;N$613)+COUNTIF($E$4:$E$609,N$613&amp;" ضد "&amp;$A628))</f>
        <v>1</v>
      </c>
      <c r="O628" s="4">
        <f>IF($A628=O$613,"",COUNTIF($E$4:$E$609,$A628&amp;" ضد "&amp;O$613)+COUNTIF($E$4:$E$609,O$613&amp;" ضد "&amp;$A628))</f>
        <v>2</v>
      </c>
      <c r="P628" s="4" t="str">
        <f>IF($A628=P$613,"",COUNTIF($E$4:$E$609,$A628&amp;" ضد "&amp;P$613)+COUNTIF($E$4:$E$609,P$613&amp;" ضد "&amp;$A628))</f>
        <v/>
      </c>
      <c r="Q628" s="4">
        <f>IF($A628=Q$613,"",COUNTIF($E$4:$E$609,$A628&amp;" ضد "&amp;Q$613)+COUNTIF($E$4:$E$609,Q$613&amp;" ضد "&amp;$A628))</f>
        <v>2</v>
      </c>
      <c r="R628" s="4">
        <f>IF($A628=R$613,"",COUNTIF($E$4:$E$609,$A628&amp;" ضد "&amp;R$613)+COUNTIF($E$4:$E$609,R$613&amp;" ضد "&amp;$A628))</f>
        <v>1</v>
      </c>
      <c r="S628" s="4">
        <f>IF($A628=S$613,"",COUNTIF($E$4:$E$609,$A628&amp;" ضد "&amp;S$613)+COUNTIF($E$4:$E$609,S$613&amp;" ضد "&amp;$A628))</f>
        <v>0</v>
      </c>
      <c r="T628" s="4">
        <f>IF($A628=T$613,"",COUNTIF($E$4:$E$609,$A628&amp;" ضد "&amp;T$613)+COUNTIF($E$4:$E$609,T$613&amp;" ضد "&amp;$A628))</f>
        <v>0</v>
      </c>
      <c r="U628" s="4">
        <f>IF($A628=U$613,"",COUNTIF($E$4:$E$609,$A628&amp;" ضد "&amp;U$613)+COUNTIF($E$4:$E$609,U$613&amp;" ضد "&amp;$A628))</f>
        <v>0</v>
      </c>
      <c r="V628" s="4">
        <f>IF($A628=V$613,"",COUNTIF($E$4:$E$609,$A628&amp;" ضد "&amp;V$613)+COUNTIF($E$4:$E$609,V$613&amp;" ضد "&amp;$A628))</f>
        <v>0</v>
      </c>
      <c r="W628" s="4">
        <f>IF($A628=W$613,"",COUNTIF($E$4:$E$609,$A628&amp;" ضد "&amp;W$613)+COUNTIF($E$4:$E$609,W$613&amp;" ضد "&amp;$A628))</f>
        <v>0</v>
      </c>
      <c r="X628" s="4">
        <f>IF($A628=X$613,"",COUNTIF($E$4:$E$609,$A628&amp;" ضد "&amp;X$613)+COUNTIF($E$4:$E$609,X$613&amp;" ضد "&amp;$A628))</f>
        <v>0</v>
      </c>
      <c r="Y628" s="4">
        <f>IF($A628=Y$613,"",COUNTIF($E$4:$E$609,$A628&amp;" ضد "&amp;Y$613)+COUNTIF($E$4:$E$609,Y$613&amp;" ضد "&amp;$A628))</f>
        <v>0</v>
      </c>
      <c r="Z628" s="4">
        <f>IF($A628=Z$613,"",COUNTIF($E$4:$E$609,$A628&amp;" ضد "&amp;Z$613)+COUNTIF($E$4:$E$609,Z$613&amp;" ضد "&amp;$A628))</f>
        <v>0</v>
      </c>
      <c r="AA628" s="4">
        <f>IF($A628=AA$613,"",COUNTIF($E$4:$E$609,$A628&amp;" ضد "&amp;AA$613)+COUNTIF($E$4:$E$609,AA$613&amp;" ضد "&amp;$A628))</f>
        <v>0</v>
      </c>
      <c r="AB628" s="4">
        <f>IF($A628=AB$613,"",COUNTIF($E$4:$E$609,$A628&amp;" ضد "&amp;AB$613)+COUNTIF($E$4:$E$609,AB$613&amp;" ضد "&amp;$A628))</f>
        <v>0</v>
      </c>
      <c r="AC628" s="4">
        <f>IF($A628=AC$613,"",COUNTIF($E$4:$E$609,$A628&amp;" ضد "&amp;AC$613)+COUNTIF($E$4:$E$609,AC$613&amp;" ضد "&amp;$A628))</f>
        <v>0</v>
      </c>
      <c r="AD628" s="4">
        <f>IF($A628=AD$613,"",COUNTIF($E$4:$E$609,$A628&amp;" ضد "&amp;AD$613)+COUNTIF($E$4:$E$609,AD$613&amp;" ضد "&amp;$A628))</f>
        <v>0</v>
      </c>
      <c r="AE628" s="4">
        <f>IF($A628=AE$613,"",COUNTIF($E$4:$E$609,$A628&amp;" ضد "&amp;AE$613)+COUNTIF($E$4:$E$609,AE$613&amp;" ضد "&amp;$A628))</f>
        <v>0</v>
      </c>
      <c r="AF628" s="4">
        <f>IF($A628=AF$613,"",COUNTIF($E$4:$E$609,$A628&amp;" ضد "&amp;AF$613)+COUNTIF($E$4:$E$609,AF$613&amp;" ضد "&amp;$A628))</f>
        <v>0</v>
      </c>
      <c r="AG628" s="4">
        <f>IF($A628=AG$613,"",COUNTIF($E$4:$E$609,$A628&amp;" ضد "&amp;AG$613)+COUNTIF($E$4:$E$609,AG$613&amp;" ضد "&amp;$A628))</f>
        <v>0</v>
      </c>
      <c r="AH628" s="4">
        <f>IF($A628=AH$613,"",COUNTIF($E$4:$E$609,$A628&amp;" ضد "&amp;AH$613)+COUNTIF($E$4:$E$609,AH$613&amp;" ضد "&amp;$A628))</f>
        <v>0</v>
      </c>
      <c r="AI628" s="4">
        <f>IF($A628=AI$613,"",COUNTIF($E$4:$E$609,$A628&amp;" ضد "&amp;AI$613)+COUNTIF($E$4:$E$609,AI$613&amp;" ضد "&amp;$A628))</f>
        <v>0</v>
      </c>
      <c r="AJ628" s="4">
        <f>IF($A628=AJ$613,"",COUNTIF($E$4:$E$609,$A628&amp;" ضد "&amp;AJ$613)+COUNTIF($E$4:$E$609,AJ$613&amp;" ضد "&amp;$A628))</f>
        <v>0</v>
      </c>
      <c r="AK628" s="4">
        <f>IF($A628=AK$613,"",COUNTIF($E$4:$E$609,$A628&amp;" ضد "&amp;AK$613)+COUNTIF($E$4:$E$609,AK$613&amp;" ضد "&amp;$A628))</f>
        <v>0</v>
      </c>
      <c r="AL628" s="4">
        <f>IF($A628=AL$613,"",COUNTIF($E$4:$E$609,$A628&amp;" ضد "&amp;AL$613)+COUNTIF($E$4:$E$609,AL$613&amp;" ضد "&amp;$A628))</f>
        <v>0</v>
      </c>
      <c r="AM628" s="4">
        <f>IF($A628=AM$613,"",COUNTIF($E$4:$E$609,$A628&amp;" ضد "&amp;AM$613)+COUNTIF($E$4:$E$609,AM$613&amp;" ضد "&amp;$A628))</f>
        <v>0</v>
      </c>
      <c r="AN628" s="4">
        <f>IF($A628=AN$613,"",COUNTIF($E$4:$E$609,$A628&amp;" ضد "&amp;AN$613)+COUNTIF($E$4:$E$609,AN$613&amp;" ضد "&amp;$A628))</f>
        <v>0</v>
      </c>
      <c r="AO628" s="4">
        <f>IF($A628=AO$613,"",COUNTIF($E$4:$E$609,$A628&amp;" ضد "&amp;AO$613)+COUNTIF($E$4:$E$609,AO$613&amp;" ضد "&amp;$A628))</f>
        <v>0</v>
      </c>
      <c r="AP628" s="4">
        <f>IF($A628=AP$613,"",COUNTIF($E$4:$E$609,$A628&amp;" ضد "&amp;AP$613)+COUNTIF($E$4:$E$609,AP$613&amp;" ضد "&amp;$A628))</f>
        <v>0</v>
      </c>
      <c r="AQ628" s="4">
        <f>IF($A628=AQ$613,"",COUNTIF($E$4:$E$609,$A628&amp;" ضد "&amp;AQ$613)+COUNTIF($E$4:$E$609,AQ$613&amp;" ضد "&amp;$A628))</f>
        <v>0</v>
      </c>
      <c r="AR628" s="4">
        <f>IF($A628=AR$613,"",COUNTIF($E$4:$E$609,$A628&amp;" ضد "&amp;AR$613)+COUNTIF($E$4:$E$609,AR$613&amp;" ضد "&amp;$A628))</f>
        <v>0</v>
      </c>
      <c r="AS628" s="4">
        <f>IF($A628=AS$613,"",COUNTIF($E$4:$E$609,$A628&amp;" ضد "&amp;AS$613)+COUNTIF($E$4:$E$609,AS$613&amp;" ضد "&amp;$A628))</f>
        <v>0</v>
      </c>
      <c r="AT628" s="4">
        <f>IF($A628=AT$613,"",COUNTIF($E$4:$E$609,$A628&amp;" ضد "&amp;AT$613)+COUNTIF($E$4:$E$609,AT$613&amp;" ضد "&amp;$A628))</f>
        <v>0</v>
      </c>
      <c r="AU628" s="4">
        <f>IF($A628=AU$613,"",COUNTIF($E$4:$E$609,$A628&amp;" ضد "&amp;AU$613)+COUNTIF($E$4:$E$609,AU$613&amp;" ضد "&amp;$A628))</f>
        <v>0</v>
      </c>
      <c r="AV628" s="4">
        <f>IF($A628=AV$613,"",COUNTIF($E$4:$E$609,$A628&amp;" ضد "&amp;AV$613)+COUNTIF($E$4:$E$609,AV$613&amp;" ضد "&amp;$A628))</f>
        <v>0</v>
      </c>
      <c r="AW628" s="4">
        <f>IF($A628=AW$613,"",COUNTIF($E$4:$E$609,$A628&amp;" ضد "&amp;AW$613)+COUNTIF($E$4:$E$609,AW$613&amp;" ضد "&amp;$A628))</f>
        <v>0</v>
      </c>
      <c r="AX628" s="4">
        <f>IF($A628=AX$613,"",COUNTIF($E$4:$E$609,$A628&amp;" ضد "&amp;AX$613)+COUNTIF($E$4:$E$609,AX$613&amp;" ضد "&amp;$A628))</f>
        <v>0</v>
      </c>
      <c r="AY628" s="4">
        <f>IF($A628=AY$613,"",COUNTIF($E$4:$E$609,$A628&amp;" ضد "&amp;AY$613)+COUNTIF($E$4:$E$609,AY$613&amp;" ضد "&amp;$A628))</f>
        <v>0</v>
      </c>
      <c r="AZ628" s="4">
        <f>IF($A628=AZ$613,"",COUNTIF($E$4:$E$609,$A628&amp;" ضد "&amp;AZ$613)+COUNTIF($E$4:$E$609,AZ$613&amp;" ضد "&amp;$A628))</f>
        <v>0</v>
      </c>
      <c r="BA628" s="4">
        <f>IF($A628=BA$613,"",COUNTIF($E$4:$E$609,$A628&amp;" ضد "&amp;BA$613)+COUNTIF($E$4:$E$609,BA$613&amp;" ضد "&amp;$A628))</f>
        <v>0</v>
      </c>
      <c r="BB628" s="4">
        <f>IF($A628=BB$613,"",COUNTIF($E$4:$E$609,$A628&amp;" ضد "&amp;BB$613)+COUNTIF($E$4:$E$609,BB$613&amp;" ضد "&amp;$A628))</f>
        <v>0</v>
      </c>
      <c r="BC628" s="4">
        <f>IF($A628=BC$613,"",COUNTIF($E$4:$E$609,$A628&amp;" ضد "&amp;BC$613)+COUNTIF($E$4:$E$609,BC$613&amp;" ضد "&amp;$A628))</f>
        <v>0</v>
      </c>
      <c r="BD628" s="4">
        <f>IF($A628=BD$613,"",COUNTIF($E$4:$E$609,$A628&amp;" ضد "&amp;BD$613)+COUNTIF($E$4:$E$609,BD$613&amp;" ضد "&amp;$A628))</f>
        <v>0</v>
      </c>
      <c r="BE628" s="4">
        <f>IF($A628=BE$613,"",COUNTIF($E$4:$E$609,$A628&amp;" ضد "&amp;BE$613)+COUNTIF($E$4:$E$609,BE$613&amp;" ضد "&amp;$A628))</f>
        <v>0</v>
      </c>
      <c r="BF628" s="4">
        <f>IF($A628=BF$613,"",COUNTIF($E$4:$E$609,$A628&amp;" ضد "&amp;BF$613)+COUNTIF($E$4:$E$609,BF$613&amp;" ضد "&amp;$A628))</f>
        <v>0</v>
      </c>
      <c r="BG628" s="4">
        <f>IF($A628=BG$613,"",COUNTIF($E$4:$E$609,$A628&amp;" ضد "&amp;BG$613)+COUNTIF($E$4:$E$609,BG$613&amp;" ضد "&amp;$A628))</f>
        <v>0</v>
      </c>
      <c r="BH628" s="4">
        <f>IF($A628=BH$613,"",COUNTIF($E$4:$E$609,$A628&amp;" ضد "&amp;BH$613)+COUNTIF($E$4:$E$609,BH$613&amp;" ضد "&amp;$A628))</f>
        <v>0</v>
      </c>
      <c r="BI628" s="4">
        <f>IF($A628=BI$613,"",COUNTIF($E$4:$E$609,$A628&amp;" ضد "&amp;BI$613)+COUNTIF($E$4:$E$609,BI$613&amp;" ضد "&amp;$A628))</f>
        <v>0</v>
      </c>
      <c r="BJ628" s="4">
        <f>IF($A628=BJ$613,"",COUNTIF($E$4:$E$609,$A628&amp;" ضد "&amp;BJ$613)+COUNTIF($E$4:$E$609,BJ$613&amp;" ضد "&amp;$A628))</f>
        <v>0</v>
      </c>
      <c r="BK628" s="4">
        <f>IF($A628=BK$613,"",COUNTIF($E$4:$E$609,$A628&amp;" ضد "&amp;BK$613)+COUNTIF($E$4:$E$609,BK$613&amp;" ضد "&amp;$A628))</f>
        <v>0</v>
      </c>
      <c r="BL628" s="4">
        <f>IF($A628=BL$613,"",COUNTIF($E$4:$E$609,$A628&amp;" ضد "&amp;BL$613)+COUNTIF($E$4:$E$609,BL$613&amp;" ضد "&amp;$A628))</f>
        <v>0</v>
      </c>
      <c r="BM628" s="4">
        <f>IF($A628=BM$613,"",COUNTIF($E$4:$E$609,$A628&amp;" ضد "&amp;BM$613)+COUNTIF($E$4:$E$609,BM$613&amp;" ضد "&amp;$A628))</f>
        <v>0</v>
      </c>
      <c r="BN628" s="4">
        <f>IF($A628=BN$613,"",COUNTIF($E$4:$E$609,$A628&amp;" ضد "&amp;BN$613)+COUNTIF($E$4:$E$609,BN$613&amp;" ضد "&amp;$A628))</f>
        <v>0</v>
      </c>
      <c r="BO628" s="4">
        <f>IF($A628=BO$613,"",COUNTIF($E$4:$E$609,$A628&amp;" ضد "&amp;BO$613)+COUNTIF($E$4:$E$609,BO$613&amp;" ضد "&amp;$A628))</f>
        <v>0</v>
      </c>
      <c r="BP628" s="4">
        <f>IF($A628=BP$613,"",COUNTIF($E$4:$E$609,$A628&amp;" ضد "&amp;BP$613)+COUNTIF($E$4:$E$609,BP$613&amp;" ضد "&amp;$A628))</f>
        <v>0</v>
      </c>
    </row>
    <row r="629" spans="1:68" ht="14.5">
      <c r="A629" s="14">
        <v>16</v>
      </c>
      <c r="B629" s="4">
        <f>IF($A629=B$613,"",COUNTIF($E$4:$E$609,$A629&amp;" ضد "&amp;B$613)+COUNTIF($E$4:$E$609,B$613&amp;" ضد "&amp;$A629))</f>
        <v>1</v>
      </c>
      <c r="C629" s="4">
        <f>IF($A629=C$613,"",COUNTIF($E$4:$E$609,$A629&amp;" ضد "&amp;C$613)+COUNTIF($E$4:$E$609,C$613&amp;" ضد "&amp;$A629))</f>
        <v>1</v>
      </c>
      <c r="D629" s="4">
        <f>IF($A629=D$613,"",COUNTIF($E$4:$E$609,$A629&amp;" ضد "&amp;D$613)+COUNTIF($E$4:$E$609,D$613&amp;" ضد "&amp;$A629))</f>
        <v>1</v>
      </c>
      <c r="E629" s="4">
        <f>IF($A629=E$613,"",COUNTIF($E$4:$E$609,$A629&amp;" ضد "&amp;E$613)+COUNTIF($E$4:$E$609,E$613&amp;" ضد "&amp;$A629))</f>
        <v>1</v>
      </c>
      <c r="F629" s="4">
        <f>IF($A629=F$613,"",COUNTIF($E$4:$E$609,$A629&amp;" ضد "&amp;F$613)+COUNTIF($E$4:$E$609,F$613&amp;" ضد "&amp;$A629))</f>
        <v>1</v>
      </c>
      <c r="G629" s="4">
        <f>IF($A629=G$613,"",COUNTIF($E$4:$E$609,$A629&amp;" ضد "&amp;G$613)+COUNTIF($E$4:$E$609,G$613&amp;" ضد "&amp;$A629))</f>
        <v>1</v>
      </c>
      <c r="H629" s="4">
        <f>IF($A629=H$613,"",COUNTIF($E$4:$E$609,$A629&amp;" ضد "&amp;H$613)+COUNTIF($E$4:$E$609,H$613&amp;" ضد "&amp;$A629))</f>
        <v>1</v>
      </c>
      <c r="I629" s="4">
        <f>IF($A629=I$613,"",COUNTIF($E$4:$E$609,$A629&amp;" ضد "&amp;I$613)+COUNTIF($E$4:$E$609,I$613&amp;" ضد "&amp;$A629))</f>
        <v>1</v>
      </c>
      <c r="J629" s="4">
        <f>IF($A629=J$613,"",COUNTIF($E$4:$E$609,$A629&amp;" ضد "&amp;J$613)+COUNTIF($E$4:$E$609,J$613&amp;" ضد "&amp;$A629))</f>
        <v>1</v>
      </c>
      <c r="K629" s="4">
        <f>IF($A629=K$613,"",COUNTIF($E$4:$E$609,$A629&amp;" ضد "&amp;K$613)+COUNTIF($E$4:$E$609,K$613&amp;" ضد "&amp;$A629))</f>
        <v>1</v>
      </c>
      <c r="L629" s="4">
        <f>IF($A629=L$613,"",COUNTIF($E$4:$E$609,$A629&amp;" ضد "&amp;L$613)+COUNTIF($E$4:$E$609,L$613&amp;" ضد "&amp;$A629))</f>
        <v>1</v>
      </c>
      <c r="M629" s="4">
        <f>IF($A629=M$613,"",COUNTIF($E$4:$E$609,$A629&amp;" ضد "&amp;M$613)+COUNTIF($E$4:$E$609,M$613&amp;" ضد "&amp;$A629))</f>
        <v>1</v>
      </c>
      <c r="N629" s="4">
        <f>IF($A629=N$613,"",COUNTIF($E$4:$E$609,$A629&amp;" ضد "&amp;N$613)+COUNTIF($E$4:$E$609,N$613&amp;" ضد "&amp;$A629))</f>
        <v>1</v>
      </c>
      <c r="O629" s="4">
        <f>IF($A629=O$613,"",COUNTIF($E$4:$E$609,$A629&amp;" ضد "&amp;O$613)+COUNTIF($E$4:$E$609,O$613&amp;" ضد "&amp;$A629))</f>
        <v>1</v>
      </c>
      <c r="P629" s="4">
        <f>IF($A629=P$613,"",COUNTIF($E$4:$E$609,$A629&amp;" ضد "&amp;P$613)+COUNTIF($E$4:$E$609,P$613&amp;" ضد "&amp;$A629))</f>
        <v>2</v>
      </c>
      <c r="Q629" s="4" t="str">
        <f>IF($A629=Q$613,"",COUNTIF($E$4:$E$609,$A629&amp;" ضد "&amp;Q$613)+COUNTIF($E$4:$E$609,Q$613&amp;" ضد "&amp;$A629))</f>
        <v/>
      </c>
      <c r="R629" s="4">
        <f>IF($A629=R$613,"",COUNTIF($E$4:$E$609,$A629&amp;" ضد "&amp;R$613)+COUNTIF($E$4:$E$609,R$613&amp;" ضد "&amp;$A629))</f>
        <v>2</v>
      </c>
      <c r="S629" s="4">
        <f>IF($A629=S$613,"",COUNTIF($E$4:$E$609,$A629&amp;" ضد "&amp;S$613)+COUNTIF($E$4:$E$609,S$613&amp;" ضد "&amp;$A629))</f>
        <v>0</v>
      </c>
      <c r="T629" s="4">
        <f>IF($A629=T$613,"",COUNTIF($E$4:$E$609,$A629&amp;" ضد "&amp;T$613)+COUNTIF($E$4:$E$609,T$613&amp;" ضد "&amp;$A629))</f>
        <v>0</v>
      </c>
      <c r="U629" s="4">
        <f>IF($A629=U$613,"",COUNTIF($E$4:$E$609,$A629&amp;" ضد "&amp;U$613)+COUNTIF($E$4:$E$609,U$613&amp;" ضد "&amp;$A629))</f>
        <v>0</v>
      </c>
      <c r="V629" s="4">
        <f>IF($A629=V$613,"",COUNTIF($E$4:$E$609,$A629&amp;" ضد "&amp;V$613)+COUNTIF($E$4:$E$609,V$613&amp;" ضد "&amp;$A629))</f>
        <v>0</v>
      </c>
      <c r="W629" s="4">
        <f>IF($A629=W$613,"",COUNTIF($E$4:$E$609,$A629&amp;" ضد "&amp;W$613)+COUNTIF($E$4:$E$609,W$613&amp;" ضد "&amp;$A629))</f>
        <v>0</v>
      </c>
      <c r="X629" s="4">
        <f>IF($A629=X$613,"",COUNTIF($E$4:$E$609,$A629&amp;" ضد "&amp;X$613)+COUNTIF($E$4:$E$609,X$613&amp;" ضد "&amp;$A629))</f>
        <v>0</v>
      </c>
      <c r="Y629" s="4">
        <f>IF($A629=Y$613,"",COUNTIF($E$4:$E$609,$A629&amp;" ضد "&amp;Y$613)+COUNTIF($E$4:$E$609,Y$613&amp;" ضد "&amp;$A629))</f>
        <v>0</v>
      </c>
      <c r="Z629" s="4">
        <f>IF($A629=Z$613,"",COUNTIF($E$4:$E$609,$A629&amp;" ضد "&amp;Z$613)+COUNTIF($E$4:$E$609,Z$613&amp;" ضد "&amp;$A629))</f>
        <v>0</v>
      </c>
      <c r="AA629" s="4">
        <f>IF($A629=AA$613,"",COUNTIF($E$4:$E$609,$A629&amp;" ضد "&amp;AA$613)+COUNTIF($E$4:$E$609,AA$613&amp;" ضد "&amp;$A629))</f>
        <v>0</v>
      </c>
      <c r="AB629" s="4">
        <f>IF($A629=AB$613,"",COUNTIF($E$4:$E$609,$A629&amp;" ضد "&amp;AB$613)+COUNTIF($E$4:$E$609,AB$613&amp;" ضد "&amp;$A629))</f>
        <v>0</v>
      </c>
      <c r="AC629" s="4">
        <f>IF($A629=AC$613,"",COUNTIF($E$4:$E$609,$A629&amp;" ضد "&amp;AC$613)+COUNTIF($E$4:$E$609,AC$613&amp;" ضد "&amp;$A629))</f>
        <v>0</v>
      </c>
      <c r="AD629" s="4">
        <f>IF($A629=AD$613,"",COUNTIF($E$4:$E$609,$A629&amp;" ضد "&amp;AD$613)+COUNTIF($E$4:$E$609,AD$613&amp;" ضد "&amp;$A629))</f>
        <v>0</v>
      </c>
      <c r="AE629" s="4">
        <f>IF($A629=AE$613,"",COUNTIF($E$4:$E$609,$A629&amp;" ضد "&amp;AE$613)+COUNTIF($E$4:$E$609,AE$613&amp;" ضد "&amp;$A629))</f>
        <v>0</v>
      </c>
      <c r="AF629" s="4">
        <f>IF($A629=AF$613,"",COUNTIF($E$4:$E$609,$A629&amp;" ضد "&amp;AF$613)+COUNTIF($E$4:$E$609,AF$613&amp;" ضد "&amp;$A629))</f>
        <v>0</v>
      </c>
      <c r="AG629" s="4">
        <f>IF($A629=AG$613,"",COUNTIF($E$4:$E$609,$A629&amp;" ضد "&amp;AG$613)+COUNTIF($E$4:$E$609,AG$613&amp;" ضد "&amp;$A629))</f>
        <v>0</v>
      </c>
      <c r="AH629" s="4">
        <f>IF($A629=AH$613,"",COUNTIF($E$4:$E$609,$A629&amp;" ضد "&amp;AH$613)+COUNTIF($E$4:$E$609,AH$613&amp;" ضد "&amp;$A629))</f>
        <v>0</v>
      </c>
      <c r="AI629" s="4">
        <f>IF($A629=AI$613,"",COUNTIF($E$4:$E$609,$A629&amp;" ضد "&amp;AI$613)+COUNTIF($E$4:$E$609,AI$613&amp;" ضد "&amp;$A629))</f>
        <v>0</v>
      </c>
      <c r="AJ629" s="4">
        <f>IF($A629=AJ$613,"",COUNTIF($E$4:$E$609,$A629&amp;" ضد "&amp;AJ$613)+COUNTIF($E$4:$E$609,AJ$613&amp;" ضد "&amp;$A629))</f>
        <v>0</v>
      </c>
      <c r="AK629" s="4">
        <f>IF($A629=AK$613,"",COUNTIF($E$4:$E$609,$A629&amp;" ضد "&amp;AK$613)+COUNTIF($E$4:$E$609,AK$613&amp;" ضد "&amp;$A629))</f>
        <v>0</v>
      </c>
      <c r="AL629" s="4">
        <f>IF($A629=AL$613,"",COUNTIF($E$4:$E$609,$A629&amp;" ضد "&amp;AL$613)+COUNTIF($E$4:$E$609,AL$613&amp;" ضد "&amp;$A629))</f>
        <v>0</v>
      </c>
      <c r="AM629" s="4">
        <f>IF($A629=AM$613,"",COUNTIF($E$4:$E$609,$A629&amp;" ضد "&amp;AM$613)+COUNTIF($E$4:$E$609,AM$613&amp;" ضد "&amp;$A629))</f>
        <v>0</v>
      </c>
      <c r="AN629" s="4">
        <f>IF($A629=AN$613,"",COUNTIF($E$4:$E$609,$A629&amp;" ضد "&amp;AN$613)+COUNTIF($E$4:$E$609,AN$613&amp;" ضد "&amp;$A629))</f>
        <v>0</v>
      </c>
      <c r="AO629" s="4">
        <f>IF($A629=AO$613,"",COUNTIF($E$4:$E$609,$A629&amp;" ضد "&amp;AO$613)+COUNTIF($E$4:$E$609,AO$613&amp;" ضد "&amp;$A629))</f>
        <v>0</v>
      </c>
      <c r="AP629" s="4">
        <f>IF($A629=AP$613,"",COUNTIF($E$4:$E$609,$A629&amp;" ضد "&amp;AP$613)+COUNTIF($E$4:$E$609,AP$613&amp;" ضد "&amp;$A629))</f>
        <v>0</v>
      </c>
      <c r="AQ629" s="4">
        <f>IF($A629=AQ$613,"",COUNTIF($E$4:$E$609,$A629&amp;" ضد "&amp;AQ$613)+COUNTIF($E$4:$E$609,AQ$613&amp;" ضد "&amp;$A629))</f>
        <v>0</v>
      </c>
      <c r="AR629" s="4">
        <f>IF($A629=AR$613,"",COUNTIF($E$4:$E$609,$A629&amp;" ضد "&amp;AR$613)+COUNTIF($E$4:$E$609,AR$613&amp;" ضد "&amp;$A629))</f>
        <v>0</v>
      </c>
      <c r="AS629" s="4">
        <f>IF($A629=AS$613,"",COUNTIF($E$4:$E$609,$A629&amp;" ضد "&amp;AS$613)+COUNTIF($E$4:$E$609,AS$613&amp;" ضد "&amp;$A629))</f>
        <v>0</v>
      </c>
      <c r="AT629" s="4">
        <f>IF($A629=AT$613,"",COUNTIF($E$4:$E$609,$A629&amp;" ضد "&amp;AT$613)+COUNTIF($E$4:$E$609,AT$613&amp;" ضد "&amp;$A629))</f>
        <v>0</v>
      </c>
      <c r="AU629" s="4">
        <f>IF($A629=AU$613,"",COUNTIF($E$4:$E$609,$A629&amp;" ضد "&amp;AU$613)+COUNTIF($E$4:$E$609,AU$613&amp;" ضد "&amp;$A629))</f>
        <v>0</v>
      </c>
      <c r="AV629" s="4">
        <f>IF($A629=AV$613,"",COUNTIF($E$4:$E$609,$A629&amp;" ضد "&amp;AV$613)+COUNTIF($E$4:$E$609,AV$613&amp;" ضد "&amp;$A629))</f>
        <v>0</v>
      </c>
      <c r="AW629" s="4">
        <f>IF($A629=AW$613,"",COUNTIF($E$4:$E$609,$A629&amp;" ضد "&amp;AW$613)+COUNTIF($E$4:$E$609,AW$613&amp;" ضد "&amp;$A629))</f>
        <v>0</v>
      </c>
      <c r="AX629" s="4">
        <f>IF($A629=AX$613,"",COUNTIF($E$4:$E$609,$A629&amp;" ضد "&amp;AX$613)+COUNTIF($E$4:$E$609,AX$613&amp;" ضد "&amp;$A629))</f>
        <v>0</v>
      </c>
      <c r="AY629" s="4">
        <f>IF($A629=AY$613,"",COUNTIF($E$4:$E$609,$A629&amp;" ضد "&amp;AY$613)+COUNTIF($E$4:$E$609,AY$613&amp;" ضد "&amp;$A629))</f>
        <v>0</v>
      </c>
      <c r="AZ629" s="4">
        <f>IF($A629=AZ$613,"",COUNTIF($E$4:$E$609,$A629&amp;" ضد "&amp;AZ$613)+COUNTIF($E$4:$E$609,AZ$613&amp;" ضد "&amp;$A629))</f>
        <v>0</v>
      </c>
      <c r="BA629" s="4">
        <f>IF($A629=BA$613,"",COUNTIF($E$4:$E$609,$A629&amp;" ضد "&amp;BA$613)+COUNTIF($E$4:$E$609,BA$613&amp;" ضد "&amp;$A629))</f>
        <v>0</v>
      </c>
      <c r="BB629" s="4">
        <f>IF($A629=BB$613,"",COUNTIF($E$4:$E$609,$A629&amp;" ضد "&amp;BB$613)+COUNTIF($E$4:$E$609,BB$613&amp;" ضد "&amp;$A629))</f>
        <v>0</v>
      </c>
      <c r="BC629" s="4">
        <f>IF($A629=BC$613,"",COUNTIF($E$4:$E$609,$A629&amp;" ضد "&amp;BC$613)+COUNTIF($E$4:$E$609,BC$613&amp;" ضد "&amp;$A629))</f>
        <v>0</v>
      </c>
      <c r="BD629" s="4">
        <f>IF($A629=BD$613,"",COUNTIF($E$4:$E$609,$A629&amp;" ضد "&amp;BD$613)+COUNTIF($E$4:$E$609,BD$613&amp;" ضد "&amp;$A629))</f>
        <v>0</v>
      </c>
      <c r="BE629" s="4">
        <f>IF($A629=BE$613,"",COUNTIF($E$4:$E$609,$A629&amp;" ضد "&amp;BE$613)+COUNTIF($E$4:$E$609,BE$613&amp;" ضد "&amp;$A629))</f>
        <v>0</v>
      </c>
      <c r="BF629" s="4">
        <f>IF($A629=BF$613,"",COUNTIF($E$4:$E$609,$A629&amp;" ضد "&amp;BF$613)+COUNTIF($E$4:$E$609,BF$613&amp;" ضد "&amp;$A629))</f>
        <v>0</v>
      </c>
      <c r="BG629" s="4">
        <f>IF($A629=BG$613,"",COUNTIF($E$4:$E$609,$A629&amp;" ضد "&amp;BG$613)+COUNTIF($E$4:$E$609,BG$613&amp;" ضد "&amp;$A629))</f>
        <v>0</v>
      </c>
      <c r="BH629" s="4">
        <f>IF($A629=BH$613,"",COUNTIF($E$4:$E$609,$A629&amp;" ضد "&amp;BH$613)+COUNTIF($E$4:$E$609,BH$613&amp;" ضد "&amp;$A629))</f>
        <v>0</v>
      </c>
      <c r="BI629" s="4">
        <f>IF($A629=BI$613,"",COUNTIF($E$4:$E$609,$A629&amp;" ضد "&amp;BI$613)+COUNTIF($E$4:$E$609,BI$613&amp;" ضد "&amp;$A629))</f>
        <v>0</v>
      </c>
      <c r="BJ629" s="4">
        <f>IF($A629=BJ$613,"",COUNTIF($E$4:$E$609,$A629&amp;" ضد "&amp;BJ$613)+COUNTIF($E$4:$E$609,BJ$613&amp;" ضد "&amp;$A629))</f>
        <v>0</v>
      </c>
      <c r="BK629" s="4">
        <f>IF($A629=BK$613,"",COUNTIF($E$4:$E$609,$A629&amp;" ضد "&amp;BK$613)+COUNTIF($E$4:$E$609,BK$613&amp;" ضد "&amp;$A629))</f>
        <v>0</v>
      </c>
      <c r="BL629" s="4">
        <f>IF($A629=BL$613,"",COUNTIF($E$4:$E$609,$A629&amp;" ضد "&amp;BL$613)+COUNTIF($E$4:$E$609,BL$613&amp;" ضد "&amp;$A629))</f>
        <v>0</v>
      </c>
      <c r="BM629" s="4">
        <f>IF($A629=BM$613,"",COUNTIF($E$4:$E$609,$A629&amp;" ضد "&amp;BM$613)+COUNTIF($E$4:$E$609,BM$613&amp;" ضد "&amp;$A629))</f>
        <v>0</v>
      </c>
      <c r="BN629" s="4">
        <f>IF($A629=BN$613,"",COUNTIF($E$4:$E$609,$A629&amp;" ضد "&amp;BN$613)+COUNTIF($E$4:$E$609,BN$613&amp;" ضد "&amp;$A629))</f>
        <v>0</v>
      </c>
      <c r="BO629" s="4">
        <f>IF($A629=BO$613,"",COUNTIF($E$4:$E$609,$A629&amp;" ضد "&amp;BO$613)+COUNTIF($E$4:$E$609,BO$613&amp;" ضد "&amp;$A629))</f>
        <v>0</v>
      </c>
      <c r="BP629" s="4">
        <f>IF($A629=BP$613,"",COUNTIF($E$4:$E$609,$A629&amp;" ضد "&amp;BP$613)+COUNTIF($E$4:$E$609,BP$613&amp;" ضد "&amp;$A629))</f>
        <v>0</v>
      </c>
    </row>
    <row r="630" spans="1:68" ht="14.5">
      <c r="A630" s="14">
        <v>17</v>
      </c>
      <c r="B630" s="4">
        <f>IF($A630=B$613,"",COUNTIF($E$4:$E$609,$A630&amp;" ضد "&amp;B$613)+COUNTIF($E$4:$E$609,B$613&amp;" ضد "&amp;$A630))</f>
        <v>2</v>
      </c>
      <c r="C630" s="4">
        <f>IF($A630=C$613,"",COUNTIF($E$4:$E$609,$A630&amp;" ضد "&amp;C$613)+COUNTIF($E$4:$E$609,C$613&amp;" ضد "&amp;$A630))</f>
        <v>1</v>
      </c>
      <c r="D630" s="4">
        <f>IF($A630=D$613,"",COUNTIF($E$4:$E$609,$A630&amp;" ضد "&amp;D$613)+COUNTIF($E$4:$E$609,D$613&amp;" ضد "&amp;$A630))</f>
        <v>1</v>
      </c>
      <c r="E630" s="4">
        <f>IF($A630=E$613,"",COUNTIF($E$4:$E$609,$A630&amp;" ضد "&amp;E$613)+COUNTIF($E$4:$E$609,E$613&amp;" ضد "&amp;$A630))</f>
        <v>1</v>
      </c>
      <c r="F630" s="4">
        <f>IF($A630=F$613,"",COUNTIF($E$4:$E$609,$A630&amp;" ضد "&amp;F$613)+COUNTIF($E$4:$E$609,F$613&amp;" ضد "&amp;$A630))</f>
        <v>1</v>
      </c>
      <c r="G630" s="4">
        <f>IF($A630=G$613,"",COUNTIF($E$4:$E$609,$A630&amp;" ضد "&amp;G$613)+COUNTIF($E$4:$E$609,G$613&amp;" ضد "&amp;$A630))</f>
        <v>1</v>
      </c>
      <c r="H630" s="4">
        <f>IF($A630=H$613,"",COUNTIF($E$4:$E$609,$A630&amp;" ضد "&amp;H$613)+COUNTIF($E$4:$E$609,H$613&amp;" ضد "&amp;$A630))</f>
        <v>1</v>
      </c>
      <c r="I630" s="4">
        <f>IF($A630=I$613,"",COUNTIF($E$4:$E$609,$A630&amp;" ضد "&amp;I$613)+COUNTIF($E$4:$E$609,I$613&amp;" ضد "&amp;$A630))</f>
        <v>1</v>
      </c>
      <c r="J630" s="4">
        <f>IF($A630=J$613,"",COUNTIF($E$4:$E$609,$A630&amp;" ضد "&amp;J$613)+COUNTIF($E$4:$E$609,J$613&amp;" ضد "&amp;$A630))</f>
        <v>1</v>
      </c>
      <c r="K630" s="4">
        <f>IF($A630=K$613,"",COUNTIF($E$4:$E$609,$A630&amp;" ضد "&amp;K$613)+COUNTIF($E$4:$E$609,K$613&amp;" ضد "&amp;$A630))</f>
        <v>1</v>
      </c>
      <c r="L630" s="4">
        <f>IF($A630=L$613,"",COUNTIF($E$4:$E$609,$A630&amp;" ضد "&amp;L$613)+COUNTIF($E$4:$E$609,L$613&amp;" ضد "&amp;$A630))</f>
        <v>1</v>
      </c>
      <c r="M630" s="4">
        <f>IF($A630=M$613,"",COUNTIF($E$4:$E$609,$A630&amp;" ضد "&amp;M$613)+COUNTIF($E$4:$E$609,M$613&amp;" ضد "&amp;$A630))</f>
        <v>1</v>
      </c>
      <c r="N630" s="4">
        <f>IF($A630=N$613,"",COUNTIF($E$4:$E$609,$A630&amp;" ضد "&amp;N$613)+COUNTIF($E$4:$E$609,N$613&amp;" ضد "&amp;$A630))</f>
        <v>1</v>
      </c>
      <c r="O630" s="4">
        <f>IF($A630=O$613,"",COUNTIF($E$4:$E$609,$A630&amp;" ضد "&amp;O$613)+COUNTIF($E$4:$E$609,O$613&amp;" ضد "&amp;$A630))</f>
        <v>1</v>
      </c>
      <c r="P630" s="4">
        <f>IF($A630=P$613,"",COUNTIF($E$4:$E$609,$A630&amp;" ضد "&amp;P$613)+COUNTIF($E$4:$E$609,P$613&amp;" ضد "&amp;$A630))</f>
        <v>1</v>
      </c>
      <c r="Q630" s="4">
        <f>IF($A630=Q$613,"",COUNTIF($E$4:$E$609,$A630&amp;" ضد "&amp;Q$613)+COUNTIF($E$4:$E$609,Q$613&amp;" ضد "&amp;$A630))</f>
        <v>2</v>
      </c>
      <c r="R630" s="4" t="str">
        <f>IF($A630=R$613,"",COUNTIF($E$4:$E$609,$A630&amp;" ضد "&amp;R$613)+COUNTIF($E$4:$E$609,R$613&amp;" ضد "&amp;$A630))</f>
        <v/>
      </c>
      <c r="S630" s="4">
        <f>IF($A630=S$613,"",COUNTIF($E$4:$E$609,$A630&amp;" ضد "&amp;S$613)+COUNTIF($E$4:$E$609,S$613&amp;" ضد "&amp;$A630))</f>
        <v>0</v>
      </c>
      <c r="T630" s="4">
        <f>IF($A630=T$613,"",COUNTIF($E$4:$E$609,$A630&amp;" ضد "&amp;T$613)+COUNTIF($E$4:$E$609,T$613&amp;" ضد "&amp;$A630))</f>
        <v>0</v>
      </c>
      <c r="U630" s="4">
        <f>IF($A630=U$613,"",COUNTIF($E$4:$E$609,$A630&amp;" ضد "&amp;U$613)+COUNTIF($E$4:$E$609,U$613&amp;" ضد "&amp;$A630))</f>
        <v>0</v>
      </c>
      <c r="V630" s="4">
        <f>IF($A630=V$613,"",COUNTIF($E$4:$E$609,$A630&amp;" ضد "&amp;V$613)+COUNTIF($E$4:$E$609,V$613&amp;" ضد "&amp;$A630))</f>
        <v>0</v>
      </c>
      <c r="W630" s="4">
        <f>IF($A630=W$613,"",COUNTIF($E$4:$E$609,$A630&amp;" ضد "&amp;W$613)+COUNTIF($E$4:$E$609,W$613&amp;" ضد "&amp;$A630))</f>
        <v>0</v>
      </c>
      <c r="X630" s="4">
        <f>IF($A630=X$613,"",COUNTIF($E$4:$E$609,$A630&amp;" ضد "&amp;X$613)+COUNTIF($E$4:$E$609,X$613&amp;" ضد "&amp;$A630))</f>
        <v>0</v>
      </c>
      <c r="Y630" s="4">
        <f>IF($A630=Y$613,"",COUNTIF($E$4:$E$609,$A630&amp;" ضد "&amp;Y$613)+COUNTIF($E$4:$E$609,Y$613&amp;" ضد "&amp;$A630))</f>
        <v>0</v>
      </c>
      <c r="Z630" s="4">
        <f>IF($A630=Z$613,"",COUNTIF($E$4:$E$609,$A630&amp;" ضد "&amp;Z$613)+COUNTIF($E$4:$E$609,Z$613&amp;" ضد "&amp;$A630))</f>
        <v>0</v>
      </c>
      <c r="AA630" s="4">
        <f>IF($A630=AA$613,"",COUNTIF($E$4:$E$609,$A630&amp;" ضد "&amp;AA$613)+COUNTIF($E$4:$E$609,AA$613&amp;" ضد "&amp;$A630))</f>
        <v>0</v>
      </c>
      <c r="AB630" s="4">
        <f>IF($A630=AB$613,"",COUNTIF($E$4:$E$609,$A630&amp;" ضد "&amp;AB$613)+COUNTIF($E$4:$E$609,AB$613&amp;" ضد "&amp;$A630))</f>
        <v>0</v>
      </c>
      <c r="AC630" s="4">
        <f>IF($A630=AC$613,"",COUNTIF($E$4:$E$609,$A630&amp;" ضد "&amp;AC$613)+COUNTIF($E$4:$E$609,AC$613&amp;" ضد "&amp;$A630))</f>
        <v>0</v>
      </c>
      <c r="AD630" s="4">
        <f>IF($A630=AD$613,"",COUNTIF($E$4:$E$609,$A630&amp;" ضد "&amp;AD$613)+COUNTIF($E$4:$E$609,AD$613&amp;" ضد "&amp;$A630))</f>
        <v>0</v>
      </c>
      <c r="AE630" s="4">
        <f>IF($A630=AE$613,"",COUNTIF($E$4:$E$609,$A630&amp;" ضد "&amp;AE$613)+COUNTIF($E$4:$E$609,AE$613&amp;" ضد "&amp;$A630))</f>
        <v>0</v>
      </c>
      <c r="AF630" s="4">
        <f>IF($A630=AF$613,"",COUNTIF($E$4:$E$609,$A630&amp;" ضد "&amp;AF$613)+COUNTIF($E$4:$E$609,AF$613&amp;" ضد "&amp;$A630))</f>
        <v>0</v>
      </c>
      <c r="AG630" s="4">
        <f>IF($A630=AG$613,"",COUNTIF($E$4:$E$609,$A630&amp;" ضد "&amp;AG$613)+COUNTIF($E$4:$E$609,AG$613&amp;" ضد "&amp;$A630))</f>
        <v>0</v>
      </c>
      <c r="AH630" s="4">
        <f>IF($A630=AH$613,"",COUNTIF($E$4:$E$609,$A630&amp;" ضد "&amp;AH$613)+COUNTIF($E$4:$E$609,AH$613&amp;" ضد "&amp;$A630))</f>
        <v>0</v>
      </c>
      <c r="AI630" s="4">
        <f>IF($A630=AI$613,"",COUNTIF($E$4:$E$609,$A630&amp;" ضد "&amp;AI$613)+COUNTIF($E$4:$E$609,AI$613&amp;" ضد "&amp;$A630))</f>
        <v>0</v>
      </c>
      <c r="AJ630" s="4">
        <f>IF($A630=AJ$613,"",COUNTIF($E$4:$E$609,$A630&amp;" ضد "&amp;AJ$613)+COUNTIF($E$4:$E$609,AJ$613&amp;" ضد "&amp;$A630))</f>
        <v>0</v>
      </c>
      <c r="AK630" s="4">
        <f>IF($A630=AK$613,"",COUNTIF($E$4:$E$609,$A630&amp;" ضد "&amp;AK$613)+COUNTIF($E$4:$E$609,AK$613&amp;" ضد "&amp;$A630))</f>
        <v>0</v>
      </c>
      <c r="AL630" s="4">
        <f>IF($A630=AL$613,"",COUNTIF($E$4:$E$609,$A630&amp;" ضد "&amp;AL$613)+COUNTIF($E$4:$E$609,AL$613&amp;" ضد "&amp;$A630))</f>
        <v>0</v>
      </c>
      <c r="AM630" s="4">
        <f>IF($A630=AM$613,"",COUNTIF($E$4:$E$609,$A630&amp;" ضد "&amp;AM$613)+COUNTIF($E$4:$E$609,AM$613&amp;" ضد "&amp;$A630))</f>
        <v>0</v>
      </c>
      <c r="AN630" s="4">
        <f>IF($A630=AN$613,"",COUNTIF($E$4:$E$609,$A630&amp;" ضد "&amp;AN$613)+COUNTIF($E$4:$E$609,AN$613&amp;" ضد "&amp;$A630))</f>
        <v>0</v>
      </c>
      <c r="AO630" s="4">
        <f>IF($A630=AO$613,"",COUNTIF($E$4:$E$609,$A630&amp;" ضد "&amp;AO$613)+COUNTIF($E$4:$E$609,AO$613&amp;" ضد "&amp;$A630))</f>
        <v>0</v>
      </c>
      <c r="AP630" s="4">
        <f>IF($A630=AP$613,"",COUNTIF($E$4:$E$609,$A630&amp;" ضد "&amp;AP$613)+COUNTIF($E$4:$E$609,AP$613&amp;" ضد "&amp;$A630))</f>
        <v>0</v>
      </c>
      <c r="AQ630" s="4">
        <f>IF($A630=AQ$613,"",COUNTIF($E$4:$E$609,$A630&amp;" ضد "&amp;AQ$613)+COUNTIF($E$4:$E$609,AQ$613&amp;" ضد "&amp;$A630))</f>
        <v>0</v>
      </c>
      <c r="AR630" s="4">
        <f>IF($A630=AR$613,"",COUNTIF($E$4:$E$609,$A630&amp;" ضد "&amp;AR$613)+COUNTIF($E$4:$E$609,AR$613&amp;" ضد "&amp;$A630))</f>
        <v>0</v>
      </c>
      <c r="AS630" s="4">
        <f>IF($A630=AS$613,"",COUNTIF($E$4:$E$609,$A630&amp;" ضد "&amp;AS$613)+COUNTIF($E$4:$E$609,AS$613&amp;" ضد "&amp;$A630))</f>
        <v>0</v>
      </c>
      <c r="AT630" s="4">
        <f>IF($A630=AT$613,"",COUNTIF($E$4:$E$609,$A630&amp;" ضد "&amp;AT$613)+COUNTIF($E$4:$E$609,AT$613&amp;" ضد "&amp;$A630))</f>
        <v>0</v>
      </c>
      <c r="AU630" s="4">
        <f>IF($A630=AU$613,"",COUNTIF($E$4:$E$609,$A630&amp;" ضد "&amp;AU$613)+COUNTIF($E$4:$E$609,AU$613&amp;" ضد "&amp;$A630))</f>
        <v>0</v>
      </c>
      <c r="AV630" s="4">
        <f>IF($A630=AV$613,"",COUNTIF($E$4:$E$609,$A630&amp;" ضد "&amp;AV$613)+COUNTIF($E$4:$E$609,AV$613&amp;" ضد "&amp;$A630))</f>
        <v>0</v>
      </c>
      <c r="AW630" s="4">
        <f>IF($A630=AW$613,"",COUNTIF($E$4:$E$609,$A630&amp;" ضد "&amp;AW$613)+COUNTIF($E$4:$E$609,AW$613&amp;" ضد "&amp;$A630))</f>
        <v>0</v>
      </c>
      <c r="AX630" s="4">
        <f>IF($A630=AX$613,"",COUNTIF($E$4:$E$609,$A630&amp;" ضد "&amp;AX$613)+COUNTIF($E$4:$E$609,AX$613&amp;" ضد "&amp;$A630))</f>
        <v>0</v>
      </c>
      <c r="AY630" s="4">
        <f>IF($A630=AY$613,"",COUNTIF($E$4:$E$609,$A630&amp;" ضد "&amp;AY$613)+COUNTIF($E$4:$E$609,AY$613&amp;" ضد "&amp;$A630))</f>
        <v>0</v>
      </c>
      <c r="AZ630" s="4">
        <f>IF($A630=AZ$613,"",COUNTIF($E$4:$E$609,$A630&amp;" ضد "&amp;AZ$613)+COUNTIF($E$4:$E$609,AZ$613&amp;" ضد "&amp;$A630))</f>
        <v>0</v>
      </c>
      <c r="BA630" s="4">
        <f>IF($A630=BA$613,"",COUNTIF($E$4:$E$609,$A630&amp;" ضد "&amp;BA$613)+COUNTIF($E$4:$E$609,BA$613&amp;" ضد "&amp;$A630))</f>
        <v>0</v>
      </c>
      <c r="BB630" s="4">
        <f>IF($A630=BB$613,"",COUNTIF($E$4:$E$609,$A630&amp;" ضد "&amp;BB$613)+COUNTIF($E$4:$E$609,BB$613&amp;" ضد "&amp;$A630))</f>
        <v>0</v>
      </c>
      <c r="BC630" s="4">
        <f>IF($A630=BC$613,"",COUNTIF($E$4:$E$609,$A630&amp;" ضد "&amp;BC$613)+COUNTIF($E$4:$E$609,BC$613&amp;" ضد "&amp;$A630))</f>
        <v>0</v>
      </c>
      <c r="BD630" s="4">
        <f>IF($A630=BD$613,"",COUNTIF($E$4:$E$609,$A630&amp;" ضد "&amp;BD$613)+COUNTIF($E$4:$E$609,BD$613&amp;" ضد "&amp;$A630))</f>
        <v>0</v>
      </c>
      <c r="BE630" s="4">
        <f>IF($A630=BE$613,"",COUNTIF($E$4:$E$609,$A630&amp;" ضد "&amp;BE$613)+COUNTIF($E$4:$E$609,BE$613&amp;" ضد "&amp;$A630))</f>
        <v>0</v>
      </c>
      <c r="BF630" s="4">
        <f>IF($A630=BF$613,"",COUNTIF($E$4:$E$609,$A630&amp;" ضد "&amp;BF$613)+COUNTIF($E$4:$E$609,BF$613&amp;" ضد "&amp;$A630))</f>
        <v>0</v>
      </c>
      <c r="BG630" s="4">
        <f>IF($A630=BG$613,"",COUNTIF($E$4:$E$609,$A630&amp;" ضد "&amp;BG$613)+COUNTIF($E$4:$E$609,BG$613&amp;" ضد "&amp;$A630))</f>
        <v>0</v>
      </c>
      <c r="BH630" s="4">
        <f>IF($A630=BH$613,"",COUNTIF($E$4:$E$609,$A630&amp;" ضد "&amp;BH$613)+COUNTIF($E$4:$E$609,BH$613&amp;" ضد "&amp;$A630))</f>
        <v>0</v>
      </c>
      <c r="BI630" s="4">
        <f>IF($A630=BI$613,"",COUNTIF($E$4:$E$609,$A630&amp;" ضد "&amp;BI$613)+COUNTIF($E$4:$E$609,BI$613&amp;" ضد "&amp;$A630))</f>
        <v>0</v>
      </c>
      <c r="BJ630" s="4">
        <f>IF($A630=BJ$613,"",COUNTIF($E$4:$E$609,$A630&amp;" ضد "&amp;BJ$613)+COUNTIF($E$4:$E$609,BJ$613&amp;" ضد "&amp;$A630))</f>
        <v>0</v>
      </c>
      <c r="BK630" s="4">
        <f>IF($A630=BK$613,"",COUNTIF($E$4:$E$609,$A630&amp;" ضد "&amp;BK$613)+COUNTIF($E$4:$E$609,BK$613&amp;" ضد "&amp;$A630))</f>
        <v>0</v>
      </c>
      <c r="BL630" s="4">
        <f>IF($A630=BL$613,"",COUNTIF($E$4:$E$609,$A630&amp;" ضد "&amp;BL$613)+COUNTIF($E$4:$E$609,BL$613&amp;" ضد "&amp;$A630))</f>
        <v>0</v>
      </c>
      <c r="BM630" s="4">
        <f>IF($A630=BM$613,"",COUNTIF($E$4:$E$609,$A630&amp;" ضد "&amp;BM$613)+COUNTIF($E$4:$E$609,BM$613&amp;" ضد "&amp;$A630))</f>
        <v>0</v>
      </c>
      <c r="BN630" s="4">
        <f>IF($A630=BN$613,"",COUNTIF($E$4:$E$609,$A630&amp;" ضد "&amp;BN$613)+COUNTIF($E$4:$E$609,BN$613&amp;" ضد "&amp;$A630))</f>
        <v>0</v>
      </c>
      <c r="BO630" s="4">
        <f>IF($A630=BO$613,"",COUNTIF($E$4:$E$609,$A630&amp;" ضد "&amp;BO$613)+COUNTIF($E$4:$E$609,BO$613&amp;" ضد "&amp;$A630))</f>
        <v>0</v>
      </c>
      <c r="BP630" s="4">
        <f>IF($A630=BP$613,"",COUNTIF($E$4:$E$609,$A630&amp;" ضد "&amp;BP$613)+COUNTIF($E$4:$E$609,BP$613&amp;" ضد "&amp;$A630))</f>
        <v>0</v>
      </c>
    </row>
    <row r="631" spans="1:68" ht="14.5">
      <c r="A631" s="14">
        <v>18</v>
      </c>
      <c r="B631" s="4">
        <f>IF($A631=B$613,"",COUNTIF($E$4:$E$609,$A631&amp;" ضد "&amp;B$613)+COUNTIF($E$4:$E$609,B$613&amp;" ضد "&amp;$A631))</f>
        <v>0</v>
      </c>
      <c r="C631" s="4">
        <f>IF($A631=C$613,"",COUNTIF($E$4:$E$609,$A631&amp;" ضد "&amp;C$613)+COUNTIF($E$4:$E$609,C$613&amp;" ضد "&amp;$A631))</f>
        <v>0</v>
      </c>
      <c r="D631" s="4">
        <f>IF($A631=D$613,"",COUNTIF($E$4:$E$609,$A631&amp;" ضد "&amp;D$613)+COUNTIF($E$4:$E$609,D$613&amp;" ضد "&amp;$A631))</f>
        <v>0</v>
      </c>
      <c r="E631" s="4">
        <f>IF($A631=E$613,"",COUNTIF($E$4:$E$609,$A631&amp;" ضد "&amp;E$613)+COUNTIF($E$4:$E$609,E$613&amp;" ضد "&amp;$A631))</f>
        <v>0</v>
      </c>
      <c r="F631" s="4">
        <f>IF($A631=F$613,"",COUNTIF($E$4:$E$609,$A631&amp;" ضد "&amp;F$613)+COUNTIF($E$4:$E$609,F$613&amp;" ضد "&amp;$A631))</f>
        <v>0</v>
      </c>
      <c r="G631" s="4">
        <f>IF($A631=G$613,"",COUNTIF($E$4:$E$609,$A631&amp;" ضد "&amp;G$613)+COUNTIF($E$4:$E$609,G$613&amp;" ضد "&amp;$A631))</f>
        <v>0</v>
      </c>
      <c r="H631" s="4">
        <f>IF($A631=H$613,"",COUNTIF($E$4:$E$609,$A631&amp;" ضد "&amp;H$613)+COUNTIF($E$4:$E$609,H$613&amp;" ضد "&amp;$A631))</f>
        <v>0</v>
      </c>
      <c r="I631" s="4">
        <f>IF($A631=I$613,"",COUNTIF($E$4:$E$609,$A631&amp;" ضد "&amp;I$613)+COUNTIF($E$4:$E$609,I$613&amp;" ضد "&amp;$A631))</f>
        <v>0</v>
      </c>
      <c r="J631" s="4">
        <f>IF($A631=J$613,"",COUNTIF($E$4:$E$609,$A631&amp;" ضد "&amp;J$613)+COUNTIF($E$4:$E$609,J$613&amp;" ضد "&amp;$A631))</f>
        <v>0</v>
      </c>
      <c r="K631" s="4">
        <f>IF($A631=K$613,"",COUNTIF($E$4:$E$609,$A631&amp;" ضد "&amp;K$613)+COUNTIF($E$4:$E$609,K$613&amp;" ضد "&amp;$A631))</f>
        <v>0</v>
      </c>
      <c r="L631" s="4">
        <f>IF($A631=L$613,"",COUNTIF($E$4:$E$609,$A631&amp;" ضد "&amp;L$613)+COUNTIF($E$4:$E$609,L$613&amp;" ضد "&amp;$A631))</f>
        <v>0</v>
      </c>
      <c r="M631" s="4">
        <f>IF($A631=M$613,"",COUNTIF($E$4:$E$609,$A631&amp;" ضد "&amp;M$613)+COUNTIF($E$4:$E$609,M$613&amp;" ضد "&amp;$A631))</f>
        <v>0</v>
      </c>
      <c r="N631" s="4">
        <f>IF($A631=N$613,"",COUNTIF($E$4:$E$609,$A631&amp;" ضد "&amp;N$613)+COUNTIF($E$4:$E$609,N$613&amp;" ضد "&amp;$A631))</f>
        <v>0</v>
      </c>
      <c r="O631" s="4">
        <f>IF($A631=O$613,"",COUNTIF($E$4:$E$609,$A631&amp;" ضد "&amp;O$613)+COUNTIF($E$4:$E$609,O$613&amp;" ضد "&amp;$A631))</f>
        <v>0</v>
      </c>
      <c r="P631" s="4">
        <f>IF($A631=P$613,"",COUNTIF($E$4:$E$609,$A631&amp;" ضد "&amp;P$613)+COUNTIF($E$4:$E$609,P$613&amp;" ضد "&amp;$A631))</f>
        <v>0</v>
      </c>
      <c r="Q631" s="4">
        <f>IF($A631=Q$613,"",COUNTIF($E$4:$E$609,$A631&amp;" ضد "&amp;Q$613)+COUNTIF($E$4:$E$609,Q$613&amp;" ضد "&amp;$A631))</f>
        <v>0</v>
      </c>
      <c r="R631" s="4">
        <f>IF($A631=R$613,"",COUNTIF($E$4:$E$609,$A631&amp;" ضد "&amp;R$613)+COUNTIF($E$4:$E$609,R$613&amp;" ضد "&amp;$A631))</f>
        <v>0</v>
      </c>
      <c r="S631" s="4" t="str">
        <f>IF($A631=S$613,"",COUNTIF($E$4:$E$609,$A631&amp;" ضد "&amp;S$613)+COUNTIF($E$4:$E$609,S$613&amp;" ضد "&amp;$A631))</f>
        <v/>
      </c>
      <c r="T631" s="4">
        <f>IF($A631=T$613,"",COUNTIF($E$4:$E$609,$A631&amp;" ضد "&amp;T$613)+COUNTIF($E$4:$E$609,T$613&amp;" ضد "&amp;$A631))</f>
        <v>2</v>
      </c>
      <c r="U631" s="4">
        <f>IF($A631=U$613,"",COUNTIF($E$4:$E$609,$A631&amp;" ضد "&amp;U$613)+COUNTIF($E$4:$E$609,U$613&amp;" ضد "&amp;$A631))</f>
        <v>1</v>
      </c>
      <c r="V631" s="4">
        <f>IF($A631=V$613,"",COUNTIF($E$4:$E$609,$A631&amp;" ضد "&amp;V$613)+COUNTIF($E$4:$E$609,V$613&amp;" ضد "&amp;$A631))</f>
        <v>1</v>
      </c>
      <c r="W631" s="4">
        <f>IF($A631=W$613,"",COUNTIF($E$4:$E$609,$A631&amp;" ضد "&amp;W$613)+COUNTIF($E$4:$E$609,W$613&amp;" ضد "&amp;$A631))</f>
        <v>1</v>
      </c>
      <c r="X631" s="4">
        <f>IF($A631=X$613,"",COUNTIF($E$4:$E$609,$A631&amp;" ضد "&amp;X$613)+COUNTIF($E$4:$E$609,X$613&amp;" ضد "&amp;$A631))</f>
        <v>1</v>
      </c>
      <c r="Y631" s="4">
        <f>IF($A631=Y$613,"",COUNTIF($E$4:$E$609,$A631&amp;" ضد "&amp;Y$613)+COUNTIF($E$4:$E$609,Y$613&amp;" ضد "&amp;$A631))</f>
        <v>1</v>
      </c>
      <c r="Z631" s="4">
        <f>IF($A631=Z$613,"",COUNTIF($E$4:$E$609,$A631&amp;" ضد "&amp;Z$613)+COUNTIF($E$4:$E$609,Z$613&amp;" ضد "&amp;$A631))</f>
        <v>1</v>
      </c>
      <c r="AA631" s="4">
        <f>IF($A631=AA$613,"",COUNTIF($E$4:$E$609,$A631&amp;" ضد "&amp;AA$613)+COUNTIF($E$4:$E$609,AA$613&amp;" ضد "&amp;$A631))</f>
        <v>1</v>
      </c>
      <c r="AB631" s="4">
        <f>IF($A631=AB$613,"",COUNTIF($E$4:$E$609,$A631&amp;" ضد "&amp;AB$613)+COUNTIF($E$4:$E$609,AB$613&amp;" ضد "&amp;$A631))</f>
        <v>1</v>
      </c>
      <c r="AC631" s="4">
        <f>IF($A631=AC$613,"",COUNTIF($E$4:$E$609,$A631&amp;" ضد "&amp;AC$613)+COUNTIF($E$4:$E$609,AC$613&amp;" ضد "&amp;$A631))</f>
        <v>1</v>
      </c>
      <c r="AD631" s="4">
        <f>IF($A631=AD$613,"",COUNTIF($E$4:$E$609,$A631&amp;" ضد "&amp;AD$613)+COUNTIF($E$4:$E$609,AD$613&amp;" ضد "&amp;$A631))</f>
        <v>1</v>
      </c>
      <c r="AE631" s="4">
        <f>IF($A631=AE$613,"",COUNTIF($E$4:$E$609,$A631&amp;" ضد "&amp;AE$613)+COUNTIF($E$4:$E$609,AE$613&amp;" ضد "&amp;$A631))</f>
        <v>1</v>
      </c>
      <c r="AF631" s="4">
        <f>IF($A631=AF$613,"",COUNTIF($E$4:$E$609,$A631&amp;" ضد "&amp;AF$613)+COUNTIF($E$4:$E$609,AF$613&amp;" ضد "&amp;$A631))</f>
        <v>1</v>
      </c>
      <c r="AG631" s="4">
        <f>IF($A631=AG$613,"",COUNTIF($E$4:$E$609,$A631&amp;" ضد "&amp;AG$613)+COUNTIF($E$4:$E$609,AG$613&amp;" ضد "&amp;$A631))</f>
        <v>1</v>
      </c>
      <c r="AH631" s="4">
        <f>IF($A631=AH$613,"",COUNTIF($E$4:$E$609,$A631&amp;" ضد "&amp;AH$613)+COUNTIF($E$4:$E$609,AH$613&amp;" ضد "&amp;$A631))</f>
        <v>1</v>
      </c>
      <c r="AI631" s="4">
        <f>IF($A631=AI$613,"",COUNTIF($E$4:$E$609,$A631&amp;" ضد "&amp;AI$613)+COUNTIF($E$4:$E$609,AI$613&amp;" ضد "&amp;$A631))</f>
        <v>2</v>
      </c>
      <c r="AJ631" s="4">
        <f>IF($A631=AJ$613,"",COUNTIF($E$4:$E$609,$A631&amp;" ضد "&amp;AJ$613)+COUNTIF($E$4:$E$609,AJ$613&amp;" ضد "&amp;$A631))</f>
        <v>0</v>
      </c>
      <c r="AK631" s="4">
        <f>IF($A631=AK$613,"",COUNTIF($E$4:$E$609,$A631&amp;" ضد "&amp;AK$613)+COUNTIF($E$4:$E$609,AK$613&amp;" ضد "&amp;$A631))</f>
        <v>0</v>
      </c>
      <c r="AL631" s="4">
        <f>IF($A631=AL$613,"",COUNTIF($E$4:$E$609,$A631&amp;" ضد "&amp;AL$613)+COUNTIF($E$4:$E$609,AL$613&amp;" ضد "&amp;$A631))</f>
        <v>0</v>
      </c>
      <c r="AM631" s="4">
        <f>IF($A631=AM$613,"",COUNTIF($E$4:$E$609,$A631&amp;" ضد "&amp;AM$613)+COUNTIF($E$4:$E$609,AM$613&amp;" ضد "&amp;$A631))</f>
        <v>0</v>
      </c>
      <c r="AN631" s="4">
        <f>IF($A631=AN$613,"",COUNTIF($E$4:$E$609,$A631&amp;" ضد "&amp;AN$613)+COUNTIF($E$4:$E$609,AN$613&amp;" ضد "&amp;$A631))</f>
        <v>0</v>
      </c>
      <c r="AO631" s="4">
        <f>IF($A631=AO$613,"",COUNTIF($E$4:$E$609,$A631&amp;" ضد "&amp;AO$613)+COUNTIF($E$4:$E$609,AO$613&amp;" ضد "&amp;$A631))</f>
        <v>0</v>
      </c>
      <c r="AP631" s="4">
        <f>IF($A631=AP$613,"",COUNTIF($E$4:$E$609,$A631&amp;" ضد "&amp;AP$613)+COUNTIF($E$4:$E$609,AP$613&amp;" ضد "&amp;$A631))</f>
        <v>0</v>
      </c>
      <c r="AQ631" s="4">
        <f>IF($A631=AQ$613,"",COUNTIF($E$4:$E$609,$A631&amp;" ضد "&amp;AQ$613)+COUNTIF($E$4:$E$609,AQ$613&amp;" ضد "&amp;$A631))</f>
        <v>0</v>
      </c>
      <c r="AR631" s="4">
        <f>IF($A631=AR$613,"",COUNTIF($E$4:$E$609,$A631&amp;" ضد "&amp;AR$613)+COUNTIF($E$4:$E$609,AR$613&amp;" ضد "&amp;$A631))</f>
        <v>0</v>
      </c>
      <c r="AS631" s="4">
        <f>IF($A631=AS$613,"",COUNTIF($E$4:$E$609,$A631&amp;" ضد "&amp;AS$613)+COUNTIF($E$4:$E$609,AS$613&amp;" ضد "&amp;$A631))</f>
        <v>0</v>
      </c>
      <c r="AT631" s="4">
        <f>IF($A631=AT$613,"",COUNTIF($E$4:$E$609,$A631&amp;" ضد "&amp;AT$613)+COUNTIF($E$4:$E$609,AT$613&amp;" ضد "&amp;$A631))</f>
        <v>0</v>
      </c>
      <c r="AU631" s="4">
        <f>IF($A631=AU$613,"",COUNTIF($E$4:$E$609,$A631&amp;" ضد "&amp;AU$613)+COUNTIF($E$4:$E$609,AU$613&amp;" ضد "&amp;$A631))</f>
        <v>0</v>
      </c>
      <c r="AV631" s="4">
        <f>IF($A631=AV$613,"",COUNTIF($E$4:$E$609,$A631&amp;" ضد "&amp;AV$613)+COUNTIF($E$4:$E$609,AV$613&amp;" ضد "&amp;$A631))</f>
        <v>0</v>
      </c>
      <c r="AW631" s="4">
        <f>IF($A631=AW$613,"",COUNTIF($E$4:$E$609,$A631&amp;" ضد "&amp;AW$613)+COUNTIF($E$4:$E$609,AW$613&amp;" ضد "&amp;$A631))</f>
        <v>0</v>
      </c>
      <c r="AX631" s="4">
        <f>IF($A631=AX$613,"",COUNTIF($E$4:$E$609,$A631&amp;" ضد "&amp;AX$613)+COUNTIF($E$4:$E$609,AX$613&amp;" ضد "&amp;$A631))</f>
        <v>0</v>
      </c>
      <c r="AY631" s="4">
        <f>IF($A631=AY$613,"",COUNTIF($E$4:$E$609,$A631&amp;" ضد "&amp;AY$613)+COUNTIF($E$4:$E$609,AY$613&amp;" ضد "&amp;$A631))</f>
        <v>0</v>
      </c>
      <c r="AZ631" s="4">
        <f>IF($A631=AZ$613,"",COUNTIF($E$4:$E$609,$A631&amp;" ضد "&amp;AZ$613)+COUNTIF($E$4:$E$609,AZ$613&amp;" ضد "&amp;$A631))</f>
        <v>0</v>
      </c>
      <c r="BA631" s="4">
        <f>IF($A631=BA$613,"",COUNTIF($E$4:$E$609,$A631&amp;" ضد "&amp;BA$613)+COUNTIF($E$4:$E$609,BA$613&amp;" ضد "&amp;$A631))</f>
        <v>0</v>
      </c>
      <c r="BB631" s="4">
        <f>IF($A631=BB$613,"",COUNTIF($E$4:$E$609,$A631&amp;" ضد "&amp;BB$613)+COUNTIF($E$4:$E$609,BB$613&amp;" ضد "&amp;$A631))</f>
        <v>0</v>
      </c>
      <c r="BC631" s="4">
        <f>IF($A631=BC$613,"",COUNTIF($E$4:$E$609,$A631&amp;" ضد "&amp;BC$613)+COUNTIF($E$4:$E$609,BC$613&amp;" ضد "&amp;$A631))</f>
        <v>0</v>
      </c>
      <c r="BD631" s="4">
        <f>IF($A631=BD$613,"",COUNTIF($E$4:$E$609,$A631&amp;" ضد "&amp;BD$613)+COUNTIF($E$4:$E$609,BD$613&amp;" ضد "&amp;$A631))</f>
        <v>0</v>
      </c>
      <c r="BE631" s="4">
        <f>IF($A631=BE$613,"",COUNTIF($E$4:$E$609,$A631&amp;" ضد "&amp;BE$613)+COUNTIF($E$4:$E$609,BE$613&amp;" ضد "&amp;$A631))</f>
        <v>0</v>
      </c>
      <c r="BF631" s="4">
        <f>IF($A631=BF$613,"",COUNTIF($E$4:$E$609,$A631&amp;" ضد "&amp;BF$613)+COUNTIF($E$4:$E$609,BF$613&amp;" ضد "&amp;$A631))</f>
        <v>0</v>
      </c>
      <c r="BG631" s="4">
        <f>IF($A631=BG$613,"",COUNTIF($E$4:$E$609,$A631&amp;" ضد "&amp;BG$613)+COUNTIF($E$4:$E$609,BG$613&amp;" ضد "&amp;$A631))</f>
        <v>0</v>
      </c>
      <c r="BH631" s="4">
        <f>IF($A631=BH$613,"",COUNTIF($E$4:$E$609,$A631&amp;" ضد "&amp;BH$613)+COUNTIF($E$4:$E$609,BH$613&amp;" ضد "&amp;$A631))</f>
        <v>0</v>
      </c>
      <c r="BI631" s="4">
        <f>IF($A631=BI$613,"",COUNTIF($E$4:$E$609,$A631&amp;" ضد "&amp;BI$613)+COUNTIF($E$4:$E$609,BI$613&amp;" ضد "&amp;$A631))</f>
        <v>0</v>
      </c>
      <c r="BJ631" s="4">
        <f>IF($A631=BJ$613,"",COUNTIF($E$4:$E$609,$A631&amp;" ضد "&amp;BJ$613)+COUNTIF($E$4:$E$609,BJ$613&amp;" ضد "&amp;$A631))</f>
        <v>0</v>
      </c>
      <c r="BK631" s="4">
        <f>IF($A631=BK$613,"",COUNTIF($E$4:$E$609,$A631&amp;" ضد "&amp;BK$613)+COUNTIF($E$4:$E$609,BK$613&amp;" ضد "&amp;$A631))</f>
        <v>0</v>
      </c>
      <c r="BL631" s="4">
        <f>IF($A631=BL$613,"",COUNTIF($E$4:$E$609,$A631&amp;" ضد "&amp;BL$613)+COUNTIF($E$4:$E$609,BL$613&amp;" ضد "&amp;$A631))</f>
        <v>0</v>
      </c>
      <c r="BM631" s="4">
        <f>IF($A631=BM$613,"",COUNTIF($E$4:$E$609,$A631&amp;" ضد "&amp;BM$613)+COUNTIF($E$4:$E$609,BM$613&amp;" ضد "&amp;$A631))</f>
        <v>0</v>
      </c>
      <c r="BN631" s="4">
        <f>IF($A631=BN$613,"",COUNTIF($E$4:$E$609,$A631&amp;" ضد "&amp;BN$613)+COUNTIF($E$4:$E$609,BN$613&amp;" ضد "&amp;$A631))</f>
        <v>0</v>
      </c>
      <c r="BO631" s="4">
        <f>IF($A631=BO$613,"",COUNTIF($E$4:$E$609,$A631&amp;" ضد "&amp;BO$613)+COUNTIF($E$4:$E$609,BO$613&amp;" ضد "&amp;$A631))</f>
        <v>0</v>
      </c>
      <c r="BP631" s="4">
        <f>IF($A631=BP$613,"",COUNTIF($E$4:$E$609,$A631&amp;" ضد "&amp;BP$613)+COUNTIF($E$4:$E$609,BP$613&amp;" ضد "&amp;$A631))</f>
        <v>0</v>
      </c>
    </row>
    <row r="632" spans="1:68" ht="14.5">
      <c r="A632" s="14">
        <v>19</v>
      </c>
      <c r="B632" s="4">
        <f>IF($A632=B$613,"",COUNTIF($E$4:$E$609,$A632&amp;" ضد "&amp;B$613)+COUNTIF($E$4:$E$609,B$613&amp;" ضد "&amp;$A632))</f>
        <v>0</v>
      </c>
      <c r="C632" s="4">
        <f>IF($A632=C$613,"",COUNTIF($E$4:$E$609,$A632&amp;" ضد "&amp;C$613)+COUNTIF($E$4:$E$609,C$613&amp;" ضد "&amp;$A632))</f>
        <v>0</v>
      </c>
      <c r="D632" s="4">
        <f>IF($A632=D$613,"",COUNTIF($E$4:$E$609,$A632&amp;" ضد "&amp;D$613)+COUNTIF($E$4:$E$609,D$613&amp;" ضد "&amp;$A632))</f>
        <v>0</v>
      </c>
      <c r="E632" s="4">
        <f>IF($A632=E$613,"",COUNTIF($E$4:$E$609,$A632&amp;" ضد "&amp;E$613)+COUNTIF($E$4:$E$609,E$613&amp;" ضد "&amp;$A632))</f>
        <v>0</v>
      </c>
      <c r="F632" s="4">
        <f>IF($A632=F$613,"",COUNTIF($E$4:$E$609,$A632&amp;" ضد "&amp;F$613)+COUNTIF($E$4:$E$609,F$613&amp;" ضد "&amp;$A632))</f>
        <v>0</v>
      </c>
      <c r="G632" s="4">
        <f>IF($A632=G$613,"",COUNTIF($E$4:$E$609,$A632&amp;" ضد "&amp;G$613)+COUNTIF($E$4:$E$609,G$613&amp;" ضد "&amp;$A632))</f>
        <v>0</v>
      </c>
      <c r="H632" s="4">
        <f>IF($A632=H$613,"",COUNTIF($E$4:$E$609,$A632&amp;" ضد "&amp;H$613)+COUNTIF($E$4:$E$609,H$613&amp;" ضد "&amp;$A632))</f>
        <v>0</v>
      </c>
      <c r="I632" s="4">
        <f>IF($A632=I$613,"",COUNTIF($E$4:$E$609,$A632&amp;" ضد "&amp;I$613)+COUNTIF($E$4:$E$609,I$613&amp;" ضد "&amp;$A632))</f>
        <v>0</v>
      </c>
      <c r="J632" s="4">
        <f>IF($A632=J$613,"",COUNTIF($E$4:$E$609,$A632&amp;" ضد "&amp;J$613)+COUNTIF($E$4:$E$609,J$613&amp;" ضد "&amp;$A632))</f>
        <v>0</v>
      </c>
      <c r="K632" s="4">
        <f>IF($A632=K$613,"",COUNTIF($E$4:$E$609,$A632&amp;" ضد "&amp;K$613)+COUNTIF($E$4:$E$609,K$613&amp;" ضد "&amp;$A632))</f>
        <v>0</v>
      </c>
      <c r="L632" s="4">
        <f>IF($A632=L$613,"",COUNTIF($E$4:$E$609,$A632&amp;" ضد "&amp;L$613)+COUNTIF($E$4:$E$609,L$613&amp;" ضد "&amp;$A632))</f>
        <v>0</v>
      </c>
      <c r="M632" s="4">
        <f>IF($A632=M$613,"",COUNTIF($E$4:$E$609,$A632&amp;" ضد "&amp;M$613)+COUNTIF($E$4:$E$609,M$613&amp;" ضد "&amp;$A632))</f>
        <v>0</v>
      </c>
      <c r="N632" s="4">
        <f>IF($A632=N$613,"",COUNTIF($E$4:$E$609,$A632&amp;" ضد "&amp;N$613)+COUNTIF($E$4:$E$609,N$613&amp;" ضد "&amp;$A632))</f>
        <v>0</v>
      </c>
      <c r="O632" s="4">
        <f>IF($A632=O$613,"",COUNTIF($E$4:$E$609,$A632&amp;" ضد "&amp;O$613)+COUNTIF($E$4:$E$609,O$613&amp;" ضد "&amp;$A632))</f>
        <v>0</v>
      </c>
      <c r="P632" s="4">
        <f>IF($A632=P$613,"",COUNTIF($E$4:$E$609,$A632&amp;" ضد "&amp;P$613)+COUNTIF($E$4:$E$609,P$613&amp;" ضد "&amp;$A632))</f>
        <v>0</v>
      </c>
      <c r="Q632" s="4">
        <f>IF($A632=Q$613,"",COUNTIF($E$4:$E$609,$A632&amp;" ضد "&amp;Q$613)+COUNTIF($E$4:$E$609,Q$613&amp;" ضد "&amp;$A632))</f>
        <v>0</v>
      </c>
      <c r="R632" s="4">
        <f>IF($A632=R$613,"",COUNTIF($E$4:$E$609,$A632&amp;" ضد "&amp;R$613)+COUNTIF($E$4:$E$609,R$613&amp;" ضد "&amp;$A632))</f>
        <v>0</v>
      </c>
      <c r="S632" s="4">
        <f>IF($A632=S$613,"",COUNTIF($E$4:$E$609,$A632&amp;" ضد "&amp;S$613)+COUNTIF($E$4:$E$609,S$613&amp;" ضد "&amp;$A632))</f>
        <v>2</v>
      </c>
      <c r="T632" s="4" t="str">
        <f>IF($A632=T$613,"",COUNTIF($E$4:$E$609,$A632&amp;" ضد "&amp;T$613)+COUNTIF($E$4:$E$609,T$613&amp;" ضد "&amp;$A632))</f>
        <v/>
      </c>
      <c r="U632" s="4">
        <f>IF($A632=U$613,"",COUNTIF($E$4:$E$609,$A632&amp;" ضد "&amp;U$613)+COUNTIF($E$4:$E$609,U$613&amp;" ضد "&amp;$A632))</f>
        <v>2</v>
      </c>
      <c r="V632" s="4">
        <f>IF($A632=V$613,"",COUNTIF($E$4:$E$609,$A632&amp;" ضد "&amp;V$613)+COUNTIF($E$4:$E$609,V$613&amp;" ضد "&amp;$A632))</f>
        <v>1</v>
      </c>
      <c r="W632" s="4">
        <f>IF($A632=W$613,"",COUNTIF($E$4:$E$609,$A632&amp;" ضد "&amp;W$613)+COUNTIF($E$4:$E$609,W$613&amp;" ضد "&amp;$A632))</f>
        <v>1</v>
      </c>
      <c r="X632" s="4">
        <f>IF($A632=X$613,"",COUNTIF($E$4:$E$609,$A632&amp;" ضد "&amp;X$613)+COUNTIF($E$4:$E$609,X$613&amp;" ضد "&amp;$A632))</f>
        <v>1</v>
      </c>
      <c r="Y632" s="4">
        <f>IF($A632=Y$613,"",COUNTIF($E$4:$E$609,$A632&amp;" ضد "&amp;Y$613)+COUNTIF($E$4:$E$609,Y$613&amp;" ضد "&amp;$A632))</f>
        <v>1</v>
      </c>
      <c r="Z632" s="4">
        <f>IF($A632=Z$613,"",COUNTIF($E$4:$E$609,$A632&amp;" ضد "&amp;Z$613)+COUNTIF($E$4:$E$609,Z$613&amp;" ضد "&amp;$A632))</f>
        <v>1</v>
      </c>
      <c r="AA632" s="4">
        <f>IF($A632=AA$613,"",COUNTIF($E$4:$E$609,$A632&amp;" ضد "&amp;AA$613)+COUNTIF($E$4:$E$609,AA$613&amp;" ضد "&amp;$A632))</f>
        <v>1</v>
      </c>
      <c r="AB632" s="4">
        <f>IF($A632=AB$613,"",COUNTIF($E$4:$E$609,$A632&amp;" ضد "&amp;AB$613)+COUNTIF($E$4:$E$609,AB$613&amp;" ضد "&amp;$A632))</f>
        <v>1</v>
      </c>
      <c r="AC632" s="4">
        <f>IF($A632=AC$613,"",COUNTIF($E$4:$E$609,$A632&amp;" ضد "&amp;AC$613)+COUNTIF($E$4:$E$609,AC$613&amp;" ضد "&amp;$A632))</f>
        <v>1</v>
      </c>
      <c r="AD632" s="4">
        <f>IF($A632=AD$613,"",COUNTIF($E$4:$E$609,$A632&amp;" ضد "&amp;AD$613)+COUNTIF($E$4:$E$609,AD$613&amp;" ضد "&amp;$A632))</f>
        <v>1</v>
      </c>
      <c r="AE632" s="4">
        <f>IF($A632=AE$613,"",COUNTIF($E$4:$E$609,$A632&amp;" ضد "&amp;AE$613)+COUNTIF($E$4:$E$609,AE$613&amp;" ضد "&amp;$A632))</f>
        <v>1</v>
      </c>
      <c r="AF632" s="4">
        <f>IF($A632=AF$613,"",COUNTIF($E$4:$E$609,$A632&amp;" ضد "&amp;AF$613)+COUNTIF($E$4:$E$609,AF$613&amp;" ضد "&amp;$A632))</f>
        <v>1</v>
      </c>
      <c r="AG632" s="4">
        <f>IF($A632=AG$613,"",COUNTIF($E$4:$E$609,$A632&amp;" ضد "&amp;AG$613)+COUNTIF($E$4:$E$609,AG$613&amp;" ضد "&amp;$A632))</f>
        <v>1</v>
      </c>
      <c r="AH632" s="4">
        <f>IF($A632=AH$613,"",COUNTIF($E$4:$E$609,$A632&amp;" ضد "&amp;AH$613)+COUNTIF($E$4:$E$609,AH$613&amp;" ضد "&amp;$A632))</f>
        <v>1</v>
      </c>
      <c r="AI632" s="4">
        <f>IF($A632=AI$613,"",COUNTIF($E$4:$E$609,$A632&amp;" ضد "&amp;AI$613)+COUNTIF($E$4:$E$609,AI$613&amp;" ضد "&amp;$A632))</f>
        <v>1</v>
      </c>
      <c r="AJ632" s="4">
        <f>IF($A632=AJ$613,"",COUNTIF($E$4:$E$609,$A632&amp;" ضد "&amp;AJ$613)+COUNTIF($E$4:$E$609,AJ$613&amp;" ضد "&amp;$A632))</f>
        <v>0</v>
      </c>
      <c r="AK632" s="4">
        <f>IF($A632=AK$613,"",COUNTIF($E$4:$E$609,$A632&amp;" ضد "&amp;AK$613)+COUNTIF($E$4:$E$609,AK$613&amp;" ضد "&amp;$A632))</f>
        <v>0</v>
      </c>
      <c r="AL632" s="4">
        <f>IF($A632=AL$613,"",COUNTIF($E$4:$E$609,$A632&amp;" ضد "&amp;AL$613)+COUNTIF($E$4:$E$609,AL$613&amp;" ضد "&amp;$A632))</f>
        <v>0</v>
      </c>
      <c r="AM632" s="4">
        <f>IF($A632=AM$613,"",COUNTIF($E$4:$E$609,$A632&amp;" ضد "&amp;AM$613)+COUNTIF($E$4:$E$609,AM$613&amp;" ضد "&amp;$A632))</f>
        <v>0</v>
      </c>
      <c r="AN632" s="4">
        <f>IF($A632=AN$613,"",COUNTIF($E$4:$E$609,$A632&amp;" ضد "&amp;AN$613)+COUNTIF($E$4:$E$609,AN$613&amp;" ضد "&amp;$A632))</f>
        <v>0</v>
      </c>
      <c r="AO632" s="4">
        <f>IF($A632=AO$613,"",COUNTIF($E$4:$E$609,$A632&amp;" ضد "&amp;AO$613)+COUNTIF($E$4:$E$609,AO$613&amp;" ضد "&amp;$A632))</f>
        <v>0</v>
      </c>
      <c r="AP632" s="4">
        <f>IF($A632=AP$613,"",COUNTIF($E$4:$E$609,$A632&amp;" ضد "&amp;AP$613)+COUNTIF($E$4:$E$609,AP$613&amp;" ضد "&amp;$A632))</f>
        <v>0</v>
      </c>
      <c r="AQ632" s="4">
        <f>IF($A632=AQ$613,"",COUNTIF($E$4:$E$609,$A632&amp;" ضد "&amp;AQ$613)+COUNTIF($E$4:$E$609,AQ$613&amp;" ضد "&amp;$A632))</f>
        <v>0</v>
      </c>
      <c r="AR632" s="4">
        <f>IF($A632=AR$613,"",COUNTIF($E$4:$E$609,$A632&amp;" ضد "&amp;AR$613)+COUNTIF($E$4:$E$609,AR$613&amp;" ضد "&amp;$A632))</f>
        <v>0</v>
      </c>
      <c r="AS632" s="4">
        <f>IF($A632=AS$613,"",COUNTIF($E$4:$E$609,$A632&amp;" ضد "&amp;AS$613)+COUNTIF($E$4:$E$609,AS$613&amp;" ضد "&amp;$A632))</f>
        <v>0</v>
      </c>
      <c r="AT632" s="4">
        <f>IF($A632=AT$613,"",COUNTIF($E$4:$E$609,$A632&amp;" ضد "&amp;AT$613)+COUNTIF($E$4:$E$609,AT$613&amp;" ضد "&amp;$A632))</f>
        <v>0</v>
      </c>
      <c r="AU632" s="4">
        <f>IF($A632=AU$613,"",COUNTIF($E$4:$E$609,$A632&amp;" ضد "&amp;AU$613)+COUNTIF($E$4:$E$609,AU$613&amp;" ضد "&amp;$A632))</f>
        <v>0</v>
      </c>
      <c r="AV632" s="4">
        <f>IF($A632=AV$613,"",COUNTIF($E$4:$E$609,$A632&amp;" ضد "&amp;AV$613)+COUNTIF($E$4:$E$609,AV$613&amp;" ضد "&amp;$A632))</f>
        <v>0</v>
      </c>
      <c r="AW632" s="4">
        <f>IF($A632=AW$613,"",COUNTIF($E$4:$E$609,$A632&amp;" ضد "&amp;AW$613)+COUNTIF($E$4:$E$609,AW$613&amp;" ضد "&amp;$A632))</f>
        <v>0</v>
      </c>
      <c r="AX632" s="4">
        <f>IF($A632=AX$613,"",COUNTIF($E$4:$E$609,$A632&amp;" ضد "&amp;AX$613)+COUNTIF($E$4:$E$609,AX$613&amp;" ضد "&amp;$A632))</f>
        <v>0</v>
      </c>
      <c r="AY632" s="4">
        <f>IF($A632=AY$613,"",COUNTIF($E$4:$E$609,$A632&amp;" ضد "&amp;AY$613)+COUNTIF($E$4:$E$609,AY$613&amp;" ضد "&amp;$A632))</f>
        <v>0</v>
      </c>
      <c r="AZ632" s="4">
        <f>IF($A632=AZ$613,"",COUNTIF($E$4:$E$609,$A632&amp;" ضد "&amp;AZ$613)+COUNTIF($E$4:$E$609,AZ$613&amp;" ضد "&amp;$A632))</f>
        <v>0</v>
      </c>
      <c r="BA632" s="4">
        <f>IF($A632=BA$613,"",COUNTIF($E$4:$E$609,$A632&amp;" ضد "&amp;BA$613)+COUNTIF($E$4:$E$609,BA$613&amp;" ضد "&amp;$A632))</f>
        <v>0</v>
      </c>
      <c r="BB632" s="4">
        <f>IF($A632=BB$613,"",COUNTIF($E$4:$E$609,$A632&amp;" ضد "&amp;BB$613)+COUNTIF($E$4:$E$609,BB$613&amp;" ضد "&amp;$A632))</f>
        <v>0</v>
      </c>
      <c r="BC632" s="4">
        <f>IF($A632=BC$613,"",COUNTIF($E$4:$E$609,$A632&amp;" ضد "&amp;BC$613)+COUNTIF($E$4:$E$609,BC$613&amp;" ضد "&amp;$A632))</f>
        <v>0</v>
      </c>
      <c r="BD632" s="4">
        <f>IF($A632=BD$613,"",COUNTIF($E$4:$E$609,$A632&amp;" ضد "&amp;BD$613)+COUNTIF($E$4:$E$609,BD$613&amp;" ضد "&amp;$A632))</f>
        <v>0</v>
      </c>
      <c r="BE632" s="4">
        <f>IF($A632=BE$613,"",COUNTIF($E$4:$E$609,$A632&amp;" ضد "&amp;BE$613)+COUNTIF($E$4:$E$609,BE$613&amp;" ضد "&amp;$A632))</f>
        <v>0</v>
      </c>
      <c r="BF632" s="4">
        <f>IF($A632=BF$613,"",COUNTIF($E$4:$E$609,$A632&amp;" ضد "&amp;BF$613)+COUNTIF($E$4:$E$609,BF$613&amp;" ضد "&amp;$A632))</f>
        <v>0</v>
      </c>
      <c r="BG632" s="4">
        <f>IF($A632=BG$613,"",COUNTIF($E$4:$E$609,$A632&amp;" ضد "&amp;BG$613)+COUNTIF($E$4:$E$609,BG$613&amp;" ضد "&amp;$A632))</f>
        <v>0</v>
      </c>
      <c r="BH632" s="4">
        <f>IF($A632=BH$613,"",COUNTIF($E$4:$E$609,$A632&amp;" ضد "&amp;BH$613)+COUNTIF($E$4:$E$609,BH$613&amp;" ضد "&amp;$A632))</f>
        <v>0</v>
      </c>
      <c r="BI632" s="4">
        <f>IF($A632=BI$613,"",COUNTIF($E$4:$E$609,$A632&amp;" ضد "&amp;BI$613)+COUNTIF($E$4:$E$609,BI$613&amp;" ضد "&amp;$A632))</f>
        <v>0</v>
      </c>
      <c r="BJ632" s="4">
        <f>IF($A632=BJ$613,"",COUNTIF($E$4:$E$609,$A632&amp;" ضد "&amp;BJ$613)+COUNTIF($E$4:$E$609,BJ$613&amp;" ضد "&amp;$A632))</f>
        <v>0</v>
      </c>
      <c r="BK632" s="4">
        <f>IF($A632=BK$613,"",COUNTIF($E$4:$E$609,$A632&amp;" ضد "&amp;BK$613)+COUNTIF($E$4:$E$609,BK$613&amp;" ضد "&amp;$A632))</f>
        <v>0</v>
      </c>
      <c r="BL632" s="4">
        <f>IF($A632=BL$613,"",COUNTIF($E$4:$E$609,$A632&amp;" ضد "&amp;BL$613)+COUNTIF($E$4:$E$609,BL$613&amp;" ضد "&amp;$A632))</f>
        <v>0</v>
      </c>
      <c r="BM632" s="4">
        <f>IF($A632=BM$613,"",COUNTIF($E$4:$E$609,$A632&amp;" ضد "&amp;BM$613)+COUNTIF($E$4:$E$609,BM$613&amp;" ضد "&amp;$A632))</f>
        <v>0</v>
      </c>
      <c r="BN632" s="4">
        <f>IF($A632=BN$613,"",COUNTIF($E$4:$E$609,$A632&amp;" ضد "&amp;BN$613)+COUNTIF($E$4:$E$609,BN$613&amp;" ضد "&amp;$A632))</f>
        <v>0</v>
      </c>
      <c r="BO632" s="4">
        <f>IF($A632=BO$613,"",COUNTIF($E$4:$E$609,$A632&amp;" ضد "&amp;BO$613)+COUNTIF($E$4:$E$609,BO$613&amp;" ضد "&amp;$A632))</f>
        <v>0</v>
      </c>
      <c r="BP632" s="4">
        <f>IF($A632=BP$613,"",COUNTIF($E$4:$E$609,$A632&amp;" ضد "&amp;BP$613)+COUNTIF($E$4:$E$609,BP$613&amp;" ضد "&amp;$A632))</f>
        <v>0</v>
      </c>
    </row>
    <row r="633" spans="1:68" ht="14.5">
      <c r="A633" s="14">
        <v>20</v>
      </c>
      <c r="B633" s="4">
        <f>IF($A633=B$613,"",COUNTIF($E$4:$E$609,$A633&amp;" ضد "&amp;B$613)+COUNTIF($E$4:$E$609,B$613&amp;" ضد "&amp;$A633))</f>
        <v>0</v>
      </c>
      <c r="C633" s="4">
        <f>IF($A633=C$613,"",COUNTIF($E$4:$E$609,$A633&amp;" ضد "&amp;C$613)+COUNTIF($E$4:$E$609,C$613&amp;" ضد "&amp;$A633))</f>
        <v>0</v>
      </c>
      <c r="D633" s="4">
        <f>IF($A633=D$613,"",COUNTIF($E$4:$E$609,$A633&amp;" ضد "&amp;D$613)+COUNTIF($E$4:$E$609,D$613&amp;" ضد "&amp;$A633))</f>
        <v>0</v>
      </c>
      <c r="E633" s="4">
        <f>IF($A633=E$613,"",COUNTIF($E$4:$E$609,$A633&amp;" ضد "&amp;E$613)+COUNTIF($E$4:$E$609,E$613&amp;" ضد "&amp;$A633))</f>
        <v>0</v>
      </c>
      <c r="F633" s="4">
        <f>IF($A633=F$613,"",COUNTIF($E$4:$E$609,$A633&amp;" ضد "&amp;F$613)+COUNTIF($E$4:$E$609,F$613&amp;" ضد "&amp;$A633))</f>
        <v>0</v>
      </c>
      <c r="G633" s="4">
        <f>IF($A633=G$613,"",COUNTIF($E$4:$E$609,$A633&amp;" ضد "&amp;G$613)+COUNTIF($E$4:$E$609,G$613&amp;" ضد "&amp;$A633))</f>
        <v>0</v>
      </c>
      <c r="H633" s="4">
        <f>IF($A633=H$613,"",COUNTIF($E$4:$E$609,$A633&amp;" ضد "&amp;H$613)+COUNTIF($E$4:$E$609,H$613&amp;" ضد "&amp;$A633))</f>
        <v>0</v>
      </c>
      <c r="I633" s="4">
        <f>IF($A633=I$613,"",COUNTIF($E$4:$E$609,$A633&amp;" ضد "&amp;I$613)+COUNTIF($E$4:$E$609,I$613&amp;" ضد "&amp;$A633))</f>
        <v>0</v>
      </c>
      <c r="J633" s="4">
        <f>IF($A633=J$613,"",COUNTIF($E$4:$E$609,$A633&amp;" ضد "&amp;J$613)+COUNTIF($E$4:$E$609,J$613&amp;" ضد "&amp;$A633))</f>
        <v>0</v>
      </c>
      <c r="K633" s="4">
        <f>IF($A633=K$613,"",COUNTIF($E$4:$E$609,$A633&amp;" ضد "&amp;K$613)+COUNTIF($E$4:$E$609,K$613&amp;" ضد "&amp;$A633))</f>
        <v>0</v>
      </c>
      <c r="L633" s="4">
        <f>IF($A633=L$613,"",COUNTIF($E$4:$E$609,$A633&amp;" ضد "&amp;L$613)+COUNTIF($E$4:$E$609,L$613&amp;" ضد "&amp;$A633))</f>
        <v>0</v>
      </c>
      <c r="M633" s="4">
        <f>IF($A633=M$613,"",COUNTIF($E$4:$E$609,$A633&amp;" ضد "&amp;M$613)+COUNTIF($E$4:$E$609,M$613&amp;" ضد "&amp;$A633))</f>
        <v>0</v>
      </c>
      <c r="N633" s="4">
        <f>IF($A633=N$613,"",COUNTIF($E$4:$E$609,$A633&amp;" ضد "&amp;N$613)+COUNTIF($E$4:$E$609,N$613&amp;" ضد "&amp;$A633))</f>
        <v>0</v>
      </c>
      <c r="O633" s="4">
        <f>IF($A633=O$613,"",COUNTIF($E$4:$E$609,$A633&amp;" ضد "&amp;O$613)+COUNTIF($E$4:$E$609,O$613&amp;" ضد "&amp;$A633))</f>
        <v>0</v>
      </c>
      <c r="P633" s="4">
        <f>IF($A633=P$613,"",COUNTIF($E$4:$E$609,$A633&amp;" ضد "&amp;P$613)+COUNTIF($E$4:$E$609,P$613&amp;" ضد "&amp;$A633))</f>
        <v>0</v>
      </c>
      <c r="Q633" s="4">
        <f>IF($A633=Q$613,"",COUNTIF($E$4:$E$609,$A633&amp;" ضد "&amp;Q$613)+COUNTIF($E$4:$E$609,Q$613&amp;" ضد "&amp;$A633))</f>
        <v>0</v>
      </c>
      <c r="R633" s="4">
        <f>IF($A633=R$613,"",COUNTIF($E$4:$E$609,$A633&amp;" ضد "&amp;R$613)+COUNTIF($E$4:$E$609,R$613&amp;" ضد "&amp;$A633))</f>
        <v>0</v>
      </c>
      <c r="S633" s="4">
        <f>IF($A633=S$613,"",COUNTIF($E$4:$E$609,$A633&amp;" ضد "&amp;S$613)+COUNTIF($E$4:$E$609,S$613&amp;" ضد "&amp;$A633))</f>
        <v>1</v>
      </c>
      <c r="T633" s="4">
        <f>IF($A633=T$613,"",COUNTIF($E$4:$E$609,$A633&amp;" ضد "&amp;T$613)+COUNTIF($E$4:$E$609,T$613&amp;" ضد "&amp;$A633))</f>
        <v>2</v>
      </c>
      <c r="U633" s="4" t="str">
        <f>IF($A633=U$613,"",COUNTIF($E$4:$E$609,$A633&amp;" ضد "&amp;U$613)+COUNTIF($E$4:$E$609,U$613&amp;" ضد "&amp;$A633))</f>
        <v/>
      </c>
      <c r="V633" s="4">
        <f>IF($A633=V$613,"",COUNTIF($E$4:$E$609,$A633&amp;" ضد "&amp;V$613)+COUNTIF($E$4:$E$609,V$613&amp;" ضد "&amp;$A633))</f>
        <v>2</v>
      </c>
      <c r="W633" s="4">
        <f>IF($A633=W$613,"",COUNTIF($E$4:$E$609,$A633&amp;" ضد "&amp;W$613)+COUNTIF($E$4:$E$609,W$613&amp;" ضد "&amp;$A633))</f>
        <v>1</v>
      </c>
      <c r="X633" s="4">
        <f>IF($A633=X$613,"",COUNTIF($E$4:$E$609,$A633&amp;" ضد "&amp;X$613)+COUNTIF($E$4:$E$609,X$613&amp;" ضد "&amp;$A633))</f>
        <v>1</v>
      </c>
      <c r="Y633" s="4">
        <f>IF($A633=Y$613,"",COUNTIF($E$4:$E$609,$A633&amp;" ضد "&amp;Y$613)+COUNTIF($E$4:$E$609,Y$613&amp;" ضد "&amp;$A633))</f>
        <v>1</v>
      </c>
      <c r="Z633" s="4">
        <f>IF($A633=Z$613,"",COUNTIF($E$4:$E$609,$A633&amp;" ضد "&amp;Z$613)+COUNTIF($E$4:$E$609,Z$613&amp;" ضد "&amp;$A633))</f>
        <v>1</v>
      </c>
      <c r="AA633" s="4">
        <f>IF($A633=AA$613,"",COUNTIF($E$4:$E$609,$A633&amp;" ضد "&amp;AA$613)+COUNTIF($E$4:$E$609,AA$613&amp;" ضد "&amp;$A633))</f>
        <v>1</v>
      </c>
      <c r="AB633" s="4">
        <f>IF($A633=AB$613,"",COUNTIF($E$4:$E$609,$A633&amp;" ضد "&amp;AB$613)+COUNTIF($E$4:$E$609,AB$613&amp;" ضد "&amp;$A633))</f>
        <v>1</v>
      </c>
      <c r="AC633" s="4">
        <f>IF($A633=AC$613,"",COUNTIF($E$4:$E$609,$A633&amp;" ضد "&amp;AC$613)+COUNTIF($E$4:$E$609,AC$613&amp;" ضد "&amp;$A633))</f>
        <v>1</v>
      </c>
      <c r="AD633" s="4">
        <f>IF($A633=AD$613,"",COUNTIF($E$4:$E$609,$A633&amp;" ضد "&amp;AD$613)+COUNTIF($E$4:$E$609,AD$613&amp;" ضد "&amp;$A633))</f>
        <v>1</v>
      </c>
      <c r="AE633" s="4">
        <f>IF($A633=AE$613,"",COUNTIF($E$4:$E$609,$A633&amp;" ضد "&amp;AE$613)+COUNTIF($E$4:$E$609,AE$613&amp;" ضد "&amp;$A633))</f>
        <v>1</v>
      </c>
      <c r="AF633" s="4">
        <f>IF($A633=AF$613,"",COUNTIF($E$4:$E$609,$A633&amp;" ضد "&amp;AF$613)+COUNTIF($E$4:$E$609,AF$613&amp;" ضد "&amp;$A633))</f>
        <v>1</v>
      </c>
      <c r="AG633" s="4">
        <f>IF($A633=AG$613,"",COUNTIF($E$4:$E$609,$A633&amp;" ضد "&amp;AG$613)+COUNTIF($E$4:$E$609,AG$613&amp;" ضد "&amp;$A633))</f>
        <v>1</v>
      </c>
      <c r="AH633" s="4">
        <f>IF($A633=AH$613,"",COUNTIF($E$4:$E$609,$A633&amp;" ضد "&amp;AH$613)+COUNTIF($E$4:$E$609,AH$613&amp;" ضد "&amp;$A633))</f>
        <v>1</v>
      </c>
      <c r="AI633" s="4">
        <f>IF($A633=AI$613,"",COUNTIF($E$4:$E$609,$A633&amp;" ضد "&amp;AI$613)+COUNTIF($E$4:$E$609,AI$613&amp;" ضد "&amp;$A633))</f>
        <v>1</v>
      </c>
      <c r="AJ633" s="4">
        <f>IF($A633=AJ$613,"",COUNTIF($E$4:$E$609,$A633&amp;" ضد "&amp;AJ$613)+COUNTIF($E$4:$E$609,AJ$613&amp;" ضد "&amp;$A633))</f>
        <v>0</v>
      </c>
      <c r="AK633" s="4">
        <f>IF($A633=AK$613,"",COUNTIF($E$4:$E$609,$A633&amp;" ضد "&amp;AK$613)+COUNTIF($E$4:$E$609,AK$613&amp;" ضد "&amp;$A633))</f>
        <v>0</v>
      </c>
      <c r="AL633" s="4">
        <f>IF($A633=AL$613,"",COUNTIF($E$4:$E$609,$A633&amp;" ضد "&amp;AL$613)+COUNTIF($E$4:$E$609,AL$613&amp;" ضد "&amp;$A633))</f>
        <v>0</v>
      </c>
      <c r="AM633" s="4">
        <f>IF($A633=AM$613,"",COUNTIF($E$4:$E$609,$A633&amp;" ضد "&amp;AM$613)+COUNTIF($E$4:$E$609,AM$613&amp;" ضد "&amp;$A633))</f>
        <v>0</v>
      </c>
      <c r="AN633" s="4">
        <f>IF($A633=AN$613,"",COUNTIF($E$4:$E$609,$A633&amp;" ضد "&amp;AN$613)+COUNTIF($E$4:$E$609,AN$613&amp;" ضد "&amp;$A633))</f>
        <v>0</v>
      </c>
      <c r="AO633" s="4">
        <f>IF($A633=AO$613,"",COUNTIF($E$4:$E$609,$A633&amp;" ضد "&amp;AO$613)+COUNTIF($E$4:$E$609,AO$613&amp;" ضد "&amp;$A633))</f>
        <v>0</v>
      </c>
      <c r="AP633" s="4">
        <f>IF($A633=AP$613,"",COUNTIF($E$4:$E$609,$A633&amp;" ضد "&amp;AP$613)+COUNTIF($E$4:$E$609,AP$613&amp;" ضد "&amp;$A633))</f>
        <v>0</v>
      </c>
      <c r="AQ633" s="4">
        <f>IF($A633=AQ$613,"",COUNTIF($E$4:$E$609,$A633&amp;" ضد "&amp;AQ$613)+COUNTIF($E$4:$E$609,AQ$613&amp;" ضد "&amp;$A633))</f>
        <v>0</v>
      </c>
      <c r="AR633" s="4">
        <f>IF($A633=AR$613,"",COUNTIF($E$4:$E$609,$A633&amp;" ضد "&amp;AR$613)+COUNTIF($E$4:$E$609,AR$613&amp;" ضد "&amp;$A633))</f>
        <v>0</v>
      </c>
      <c r="AS633" s="4">
        <f>IF($A633=AS$613,"",COUNTIF($E$4:$E$609,$A633&amp;" ضد "&amp;AS$613)+COUNTIF($E$4:$E$609,AS$613&amp;" ضد "&amp;$A633))</f>
        <v>0</v>
      </c>
      <c r="AT633" s="4">
        <f>IF($A633=AT$613,"",COUNTIF($E$4:$E$609,$A633&amp;" ضد "&amp;AT$613)+COUNTIF($E$4:$E$609,AT$613&amp;" ضد "&amp;$A633))</f>
        <v>0</v>
      </c>
      <c r="AU633" s="4">
        <f>IF($A633=AU$613,"",COUNTIF($E$4:$E$609,$A633&amp;" ضد "&amp;AU$613)+COUNTIF($E$4:$E$609,AU$613&amp;" ضد "&amp;$A633))</f>
        <v>0</v>
      </c>
      <c r="AV633" s="4">
        <f>IF($A633=AV$613,"",COUNTIF($E$4:$E$609,$A633&amp;" ضد "&amp;AV$613)+COUNTIF($E$4:$E$609,AV$613&amp;" ضد "&amp;$A633))</f>
        <v>0</v>
      </c>
      <c r="AW633" s="4">
        <f>IF($A633=AW$613,"",COUNTIF($E$4:$E$609,$A633&amp;" ضد "&amp;AW$613)+COUNTIF($E$4:$E$609,AW$613&amp;" ضد "&amp;$A633))</f>
        <v>0</v>
      </c>
      <c r="AX633" s="4">
        <f>IF($A633=AX$613,"",COUNTIF($E$4:$E$609,$A633&amp;" ضد "&amp;AX$613)+COUNTIF($E$4:$E$609,AX$613&amp;" ضد "&amp;$A633))</f>
        <v>0</v>
      </c>
      <c r="AY633" s="4">
        <f>IF($A633=AY$613,"",COUNTIF($E$4:$E$609,$A633&amp;" ضد "&amp;AY$613)+COUNTIF($E$4:$E$609,AY$613&amp;" ضد "&amp;$A633))</f>
        <v>0</v>
      </c>
      <c r="AZ633" s="4">
        <f>IF($A633=AZ$613,"",COUNTIF($E$4:$E$609,$A633&amp;" ضد "&amp;AZ$613)+COUNTIF($E$4:$E$609,AZ$613&amp;" ضد "&amp;$A633))</f>
        <v>0</v>
      </c>
      <c r="BA633" s="4">
        <f>IF($A633=BA$613,"",COUNTIF($E$4:$E$609,$A633&amp;" ضد "&amp;BA$613)+COUNTIF($E$4:$E$609,BA$613&amp;" ضد "&amp;$A633))</f>
        <v>0</v>
      </c>
      <c r="BB633" s="4">
        <f>IF($A633=BB$613,"",COUNTIF($E$4:$E$609,$A633&amp;" ضد "&amp;BB$613)+COUNTIF($E$4:$E$609,BB$613&amp;" ضد "&amp;$A633))</f>
        <v>0</v>
      </c>
      <c r="BC633" s="4">
        <f>IF($A633=BC$613,"",COUNTIF($E$4:$E$609,$A633&amp;" ضد "&amp;BC$613)+COUNTIF($E$4:$E$609,BC$613&amp;" ضد "&amp;$A633))</f>
        <v>0</v>
      </c>
      <c r="BD633" s="4">
        <f>IF($A633=BD$613,"",COUNTIF($E$4:$E$609,$A633&amp;" ضد "&amp;BD$613)+COUNTIF($E$4:$E$609,BD$613&amp;" ضد "&amp;$A633))</f>
        <v>0</v>
      </c>
      <c r="BE633" s="4">
        <f>IF($A633=BE$613,"",COUNTIF($E$4:$E$609,$A633&amp;" ضد "&amp;BE$613)+COUNTIF($E$4:$E$609,BE$613&amp;" ضد "&amp;$A633))</f>
        <v>0</v>
      </c>
      <c r="BF633" s="4">
        <f>IF($A633=BF$613,"",COUNTIF($E$4:$E$609,$A633&amp;" ضد "&amp;BF$613)+COUNTIF($E$4:$E$609,BF$613&amp;" ضد "&amp;$A633))</f>
        <v>0</v>
      </c>
      <c r="BG633" s="4">
        <f>IF($A633=BG$613,"",COUNTIF($E$4:$E$609,$A633&amp;" ضد "&amp;BG$613)+COUNTIF($E$4:$E$609,BG$613&amp;" ضد "&amp;$A633))</f>
        <v>0</v>
      </c>
      <c r="BH633" s="4">
        <f>IF($A633=BH$613,"",COUNTIF($E$4:$E$609,$A633&amp;" ضد "&amp;BH$613)+COUNTIF($E$4:$E$609,BH$613&amp;" ضد "&amp;$A633))</f>
        <v>0</v>
      </c>
      <c r="BI633" s="4">
        <f>IF($A633=BI$613,"",COUNTIF($E$4:$E$609,$A633&amp;" ضد "&amp;BI$613)+COUNTIF($E$4:$E$609,BI$613&amp;" ضد "&amp;$A633))</f>
        <v>0</v>
      </c>
      <c r="BJ633" s="4">
        <f>IF($A633=BJ$613,"",COUNTIF($E$4:$E$609,$A633&amp;" ضد "&amp;BJ$613)+COUNTIF($E$4:$E$609,BJ$613&amp;" ضد "&amp;$A633))</f>
        <v>0</v>
      </c>
      <c r="BK633" s="4">
        <f>IF($A633=BK$613,"",COUNTIF($E$4:$E$609,$A633&amp;" ضد "&amp;BK$613)+COUNTIF($E$4:$E$609,BK$613&amp;" ضد "&amp;$A633))</f>
        <v>0</v>
      </c>
      <c r="BL633" s="4">
        <f>IF($A633=BL$613,"",COUNTIF($E$4:$E$609,$A633&amp;" ضد "&amp;BL$613)+COUNTIF($E$4:$E$609,BL$613&amp;" ضد "&amp;$A633))</f>
        <v>0</v>
      </c>
      <c r="BM633" s="4">
        <f>IF($A633=BM$613,"",COUNTIF($E$4:$E$609,$A633&amp;" ضد "&amp;BM$613)+COUNTIF($E$4:$E$609,BM$613&amp;" ضد "&amp;$A633))</f>
        <v>0</v>
      </c>
      <c r="BN633" s="4">
        <f>IF($A633=BN$613,"",COUNTIF($E$4:$E$609,$A633&amp;" ضد "&amp;BN$613)+COUNTIF($E$4:$E$609,BN$613&amp;" ضد "&amp;$A633))</f>
        <v>0</v>
      </c>
      <c r="BO633" s="4">
        <f>IF($A633=BO$613,"",COUNTIF($E$4:$E$609,$A633&amp;" ضد "&amp;BO$613)+COUNTIF($E$4:$E$609,BO$613&amp;" ضد "&amp;$A633))</f>
        <v>0</v>
      </c>
      <c r="BP633" s="4">
        <f>IF($A633=BP$613,"",COUNTIF($E$4:$E$609,$A633&amp;" ضد "&amp;BP$613)+COUNTIF($E$4:$E$609,BP$613&amp;" ضد "&amp;$A633))</f>
        <v>0</v>
      </c>
    </row>
    <row r="634" spans="1:68" ht="14.5">
      <c r="A634" s="14">
        <v>21</v>
      </c>
      <c r="B634" s="4">
        <f>IF($A634=B$613,"",COUNTIF($E$4:$E$609,$A634&amp;" ضد "&amp;B$613)+COUNTIF($E$4:$E$609,B$613&amp;" ضد "&amp;$A634))</f>
        <v>0</v>
      </c>
      <c r="C634" s="4">
        <f>IF($A634=C$613,"",COUNTIF($E$4:$E$609,$A634&amp;" ضد "&amp;C$613)+COUNTIF($E$4:$E$609,C$613&amp;" ضد "&amp;$A634))</f>
        <v>0</v>
      </c>
      <c r="D634" s="4">
        <f>IF($A634=D$613,"",COUNTIF($E$4:$E$609,$A634&amp;" ضد "&amp;D$613)+COUNTIF($E$4:$E$609,D$613&amp;" ضد "&amp;$A634))</f>
        <v>0</v>
      </c>
      <c r="E634" s="4">
        <f>IF($A634=E$613,"",COUNTIF($E$4:$E$609,$A634&amp;" ضد "&amp;E$613)+COUNTIF($E$4:$E$609,E$613&amp;" ضد "&amp;$A634))</f>
        <v>0</v>
      </c>
      <c r="F634" s="4">
        <f>IF($A634=F$613,"",COUNTIF($E$4:$E$609,$A634&amp;" ضد "&amp;F$613)+COUNTIF($E$4:$E$609,F$613&amp;" ضد "&amp;$A634))</f>
        <v>0</v>
      </c>
      <c r="G634" s="4">
        <f>IF($A634=G$613,"",COUNTIF($E$4:$E$609,$A634&amp;" ضد "&amp;G$613)+COUNTIF($E$4:$E$609,G$613&amp;" ضد "&amp;$A634))</f>
        <v>0</v>
      </c>
      <c r="H634" s="4">
        <f>IF($A634=H$613,"",COUNTIF($E$4:$E$609,$A634&amp;" ضد "&amp;H$613)+COUNTIF($E$4:$E$609,H$613&amp;" ضد "&amp;$A634))</f>
        <v>0</v>
      </c>
      <c r="I634" s="4">
        <f>IF($A634=I$613,"",COUNTIF($E$4:$E$609,$A634&amp;" ضد "&amp;I$613)+COUNTIF($E$4:$E$609,I$613&amp;" ضد "&amp;$A634))</f>
        <v>0</v>
      </c>
      <c r="J634" s="4">
        <f>IF($A634=J$613,"",COUNTIF($E$4:$E$609,$A634&amp;" ضد "&amp;J$613)+COUNTIF($E$4:$E$609,J$613&amp;" ضد "&amp;$A634))</f>
        <v>0</v>
      </c>
      <c r="K634" s="4">
        <f>IF($A634=K$613,"",COUNTIF($E$4:$E$609,$A634&amp;" ضد "&amp;K$613)+COUNTIF($E$4:$E$609,K$613&amp;" ضد "&amp;$A634))</f>
        <v>0</v>
      </c>
      <c r="L634" s="4">
        <f>IF($A634=L$613,"",COUNTIF($E$4:$E$609,$A634&amp;" ضد "&amp;L$613)+COUNTIF($E$4:$E$609,L$613&amp;" ضد "&amp;$A634))</f>
        <v>0</v>
      </c>
      <c r="M634" s="4">
        <f>IF($A634=M$613,"",COUNTIF($E$4:$E$609,$A634&amp;" ضد "&amp;M$613)+COUNTIF($E$4:$E$609,M$613&amp;" ضد "&amp;$A634))</f>
        <v>0</v>
      </c>
      <c r="N634" s="4">
        <f>IF($A634=N$613,"",COUNTIF($E$4:$E$609,$A634&amp;" ضد "&amp;N$613)+COUNTIF($E$4:$E$609,N$613&amp;" ضد "&amp;$A634))</f>
        <v>0</v>
      </c>
      <c r="O634" s="4">
        <f>IF($A634=O$613,"",COUNTIF($E$4:$E$609,$A634&amp;" ضد "&amp;O$613)+COUNTIF($E$4:$E$609,O$613&amp;" ضد "&amp;$A634))</f>
        <v>0</v>
      </c>
      <c r="P634" s="4">
        <f>IF($A634=P$613,"",COUNTIF($E$4:$E$609,$A634&amp;" ضد "&amp;P$613)+COUNTIF($E$4:$E$609,P$613&amp;" ضد "&amp;$A634))</f>
        <v>0</v>
      </c>
      <c r="Q634" s="4">
        <f>IF($A634=Q$613,"",COUNTIF($E$4:$E$609,$A634&amp;" ضد "&amp;Q$613)+COUNTIF($E$4:$E$609,Q$613&amp;" ضد "&amp;$A634))</f>
        <v>0</v>
      </c>
      <c r="R634" s="4">
        <f>IF($A634=R$613,"",COUNTIF($E$4:$E$609,$A634&amp;" ضد "&amp;R$613)+COUNTIF($E$4:$E$609,R$613&amp;" ضد "&amp;$A634))</f>
        <v>0</v>
      </c>
      <c r="S634" s="4">
        <f>IF($A634=S$613,"",COUNTIF($E$4:$E$609,$A634&amp;" ضد "&amp;S$613)+COUNTIF($E$4:$E$609,S$613&amp;" ضد "&amp;$A634))</f>
        <v>1</v>
      </c>
      <c r="T634" s="4">
        <f>IF($A634=T$613,"",COUNTIF($E$4:$E$609,$A634&amp;" ضد "&amp;T$613)+COUNTIF($E$4:$E$609,T$613&amp;" ضد "&amp;$A634))</f>
        <v>1</v>
      </c>
      <c r="U634" s="4">
        <f>IF($A634=U$613,"",COUNTIF($E$4:$E$609,$A634&amp;" ضد "&amp;U$613)+COUNTIF($E$4:$E$609,U$613&amp;" ضد "&amp;$A634))</f>
        <v>2</v>
      </c>
      <c r="V634" s="4" t="str">
        <f>IF($A634=V$613,"",COUNTIF($E$4:$E$609,$A634&amp;" ضد "&amp;V$613)+COUNTIF($E$4:$E$609,V$613&amp;" ضد "&amp;$A634))</f>
        <v/>
      </c>
      <c r="W634" s="4">
        <f>IF($A634=W$613,"",COUNTIF($E$4:$E$609,$A634&amp;" ضد "&amp;W$613)+COUNTIF($E$4:$E$609,W$613&amp;" ضد "&amp;$A634))</f>
        <v>2</v>
      </c>
      <c r="X634" s="4">
        <f>IF($A634=X$613,"",COUNTIF($E$4:$E$609,$A634&amp;" ضد "&amp;X$613)+COUNTIF($E$4:$E$609,X$613&amp;" ضد "&amp;$A634))</f>
        <v>1</v>
      </c>
      <c r="Y634" s="4">
        <f>IF($A634=Y$613,"",COUNTIF($E$4:$E$609,$A634&amp;" ضد "&amp;Y$613)+COUNTIF($E$4:$E$609,Y$613&amp;" ضد "&amp;$A634))</f>
        <v>1</v>
      </c>
      <c r="Z634" s="4">
        <f>IF($A634=Z$613,"",COUNTIF($E$4:$E$609,$A634&amp;" ضد "&amp;Z$613)+COUNTIF($E$4:$E$609,Z$613&amp;" ضد "&amp;$A634))</f>
        <v>1</v>
      </c>
      <c r="AA634" s="4">
        <f>IF($A634=AA$613,"",COUNTIF($E$4:$E$609,$A634&amp;" ضد "&amp;AA$613)+COUNTIF($E$4:$E$609,AA$613&amp;" ضد "&amp;$A634))</f>
        <v>1</v>
      </c>
      <c r="AB634" s="4">
        <f>IF($A634=AB$613,"",COUNTIF($E$4:$E$609,$A634&amp;" ضد "&amp;AB$613)+COUNTIF($E$4:$E$609,AB$613&amp;" ضد "&amp;$A634))</f>
        <v>1</v>
      </c>
      <c r="AC634" s="4">
        <f>IF($A634=AC$613,"",COUNTIF($E$4:$E$609,$A634&amp;" ضد "&amp;AC$613)+COUNTIF($E$4:$E$609,AC$613&amp;" ضد "&amp;$A634))</f>
        <v>1</v>
      </c>
      <c r="AD634" s="4">
        <f>IF($A634=AD$613,"",COUNTIF($E$4:$E$609,$A634&amp;" ضد "&amp;AD$613)+COUNTIF($E$4:$E$609,AD$613&amp;" ضد "&amp;$A634))</f>
        <v>1</v>
      </c>
      <c r="AE634" s="4">
        <f>IF($A634=AE$613,"",COUNTIF($E$4:$E$609,$A634&amp;" ضد "&amp;AE$613)+COUNTIF($E$4:$E$609,AE$613&amp;" ضد "&amp;$A634))</f>
        <v>1</v>
      </c>
      <c r="AF634" s="4">
        <f>IF($A634=AF$613,"",COUNTIF($E$4:$E$609,$A634&amp;" ضد "&amp;AF$613)+COUNTIF($E$4:$E$609,AF$613&amp;" ضد "&amp;$A634))</f>
        <v>1</v>
      </c>
      <c r="AG634" s="4">
        <f>IF($A634=AG$613,"",COUNTIF($E$4:$E$609,$A634&amp;" ضد "&amp;AG$613)+COUNTIF($E$4:$E$609,AG$613&amp;" ضد "&amp;$A634))</f>
        <v>1</v>
      </c>
      <c r="AH634" s="4">
        <f>IF($A634=AH$613,"",COUNTIF($E$4:$E$609,$A634&amp;" ضد "&amp;AH$613)+COUNTIF($E$4:$E$609,AH$613&amp;" ضد "&amp;$A634))</f>
        <v>1</v>
      </c>
      <c r="AI634" s="4">
        <f>IF($A634=AI$613,"",COUNTIF($E$4:$E$609,$A634&amp;" ضد "&amp;AI$613)+COUNTIF($E$4:$E$609,AI$613&amp;" ضد "&amp;$A634))</f>
        <v>1</v>
      </c>
      <c r="AJ634" s="4">
        <f>IF($A634=AJ$613,"",COUNTIF($E$4:$E$609,$A634&amp;" ضد "&amp;AJ$613)+COUNTIF($E$4:$E$609,AJ$613&amp;" ضد "&amp;$A634))</f>
        <v>0</v>
      </c>
      <c r="AK634" s="4">
        <f>IF($A634=AK$613,"",COUNTIF($E$4:$E$609,$A634&amp;" ضد "&amp;AK$613)+COUNTIF($E$4:$E$609,AK$613&amp;" ضد "&amp;$A634))</f>
        <v>0</v>
      </c>
      <c r="AL634" s="4">
        <f>IF($A634=AL$613,"",COUNTIF($E$4:$E$609,$A634&amp;" ضد "&amp;AL$613)+COUNTIF($E$4:$E$609,AL$613&amp;" ضد "&amp;$A634))</f>
        <v>0</v>
      </c>
      <c r="AM634" s="4">
        <f>IF($A634=AM$613,"",COUNTIF($E$4:$E$609,$A634&amp;" ضد "&amp;AM$613)+COUNTIF($E$4:$E$609,AM$613&amp;" ضد "&amp;$A634))</f>
        <v>0</v>
      </c>
      <c r="AN634" s="4">
        <f>IF($A634=AN$613,"",COUNTIF($E$4:$E$609,$A634&amp;" ضد "&amp;AN$613)+COUNTIF($E$4:$E$609,AN$613&amp;" ضد "&amp;$A634))</f>
        <v>0</v>
      </c>
      <c r="AO634" s="4">
        <f>IF($A634=AO$613,"",COUNTIF($E$4:$E$609,$A634&amp;" ضد "&amp;AO$613)+COUNTIF($E$4:$E$609,AO$613&amp;" ضد "&amp;$A634))</f>
        <v>0</v>
      </c>
      <c r="AP634" s="4">
        <f>IF($A634=AP$613,"",COUNTIF($E$4:$E$609,$A634&amp;" ضد "&amp;AP$613)+COUNTIF($E$4:$E$609,AP$613&amp;" ضد "&amp;$A634))</f>
        <v>0</v>
      </c>
      <c r="AQ634" s="4">
        <f>IF($A634=AQ$613,"",COUNTIF($E$4:$E$609,$A634&amp;" ضد "&amp;AQ$613)+COUNTIF($E$4:$E$609,AQ$613&amp;" ضد "&amp;$A634))</f>
        <v>0</v>
      </c>
      <c r="AR634" s="4">
        <f>IF($A634=AR$613,"",COUNTIF($E$4:$E$609,$A634&amp;" ضد "&amp;AR$613)+COUNTIF($E$4:$E$609,AR$613&amp;" ضد "&amp;$A634))</f>
        <v>0</v>
      </c>
      <c r="AS634" s="4">
        <f>IF($A634=AS$613,"",COUNTIF($E$4:$E$609,$A634&amp;" ضد "&amp;AS$613)+COUNTIF($E$4:$E$609,AS$613&amp;" ضد "&amp;$A634))</f>
        <v>0</v>
      </c>
      <c r="AT634" s="4">
        <f>IF($A634=AT$613,"",COUNTIF($E$4:$E$609,$A634&amp;" ضد "&amp;AT$613)+COUNTIF($E$4:$E$609,AT$613&amp;" ضد "&amp;$A634))</f>
        <v>0</v>
      </c>
      <c r="AU634" s="4">
        <f>IF($A634=AU$613,"",COUNTIF($E$4:$E$609,$A634&amp;" ضد "&amp;AU$613)+COUNTIF($E$4:$E$609,AU$613&amp;" ضد "&amp;$A634))</f>
        <v>0</v>
      </c>
      <c r="AV634" s="4">
        <f>IF($A634=AV$613,"",COUNTIF($E$4:$E$609,$A634&amp;" ضد "&amp;AV$613)+COUNTIF($E$4:$E$609,AV$613&amp;" ضد "&amp;$A634))</f>
        <v>0</v>
      </c>
      <c r="AW634" s="4">
        <f>IF($A634=AW$613,"",COUNTIF($E$4:$E$609,$A634&amp;" ضد "&amp;AW$613)+COUNTIF($E$4:$E$609,AW$613&amp;" ضد "&amp;$A634))</f>
        <v>0</v>
      </c>
      <c r="AX634" s="4">
        <f>IF($A634=AX$613,"",COUNTIF($E$4:$E$609,$A634&amp;" ضد "&amp;AX$613)+COUNTIF($E$4:$E$609,AX$613&amp;" ضد "&amp;$A634))</f>
        <v>0</v>
      </c>
      <c r="AY634" s="4">
        <f>IF($A634=AY$613,"",COUNTIF($E$4:$E$609,$A634&amp;" ضد "&amp;AY$613)+COUNTIF($E$4:$E$609,AY$613&amp;" ضد "&amp;$A634))</f>
        <v>0</v>
      </c>
      <c r="AZ634" s="4">
        <f>IF($A634=AZ$613,"",COUNTIF($E$4:$E$609,$A634&amp;" ضد "&amp;AZ$613)+COUNTIF($E$4:$E$609,AZ$613&amp;" ضد "&amp;$A634))</f>
        <v>0</v>
      </c>
      <c r="BA634" s="4">
        <f>IF($A634=BA$613,"",COUNTIF($E$4:$E$609,$A634&amp;" ضد "&amp;BA$613)+COUNTIF($E$4:$E$609,BA$613&amp;" ضد "&amp;$A634))</f>
        <v>0</v>
      </c>
      <c r="BB634" s="4">
        <f>IF($A634=BB$613,"",COUNTIF($E$4:$E$609,$A634&amp;" ضد "&amp;BB$613)+COUNTIF($E$4:$E$609,BB$613&amp;" ضد "&amp;$A634))</f>
        <v>0</v>
      </c>
      <c r="BC634" s="4">
        <f>IF($A634=BC$613,"",COUNTIF($E$4:$E$609,$A634&amp;" ضد "&amp;BC$613)+COUNTIF($E$4:$E$609,BC$613&amp;" ضد "&amp;$A634))</f>
        <v>0</v>
      </c>
      <c r="BD634" s="4">
        <f>IF($A634=BD$613,"",COUNTIF($E$4:$E$609,$A634&amp;" ضد "&amp;BD$613)+COUNTIF($E$4:$E$609,BD$613&amp;" ضد "&amp;$A634))</f>
        <v>0</v>
      </c>
      <c r="BE634" s="4">
        <f>IF($A634=BE$613,"",COUNTIF($E$4:$E$609,$A634&amp;" ضد "&amp;BE$613)+COUNTIF($E$4:$E$609,BE$613&amp;" ضد "&amp;$A634))</f>
        <v>0</v>
      </c>
      <c r="BF634" s="4">
        <f>IF($A634=BF$613,"",COUNTIF($E$4:$E$609,$A634&amp;" ضد "&amp;BF$613)+COUNTIF($E$4:$E$609,BF$613&amp;" ضد "&amp;$A634))</f>
        <v>0</v>
      </c>
      <c r="BG634" s="4">
        <f>IF($A634=BG$613,"",COUNTIF($E$4:$E$609,$A634&amp;" ضد "&amp;BG$613)+COUNTIF($E$4:$E$609,BG$613&amp;" ضد "&amp;$A634))</f>
        <v>0</v>
      </c>
      <c r="BH634" s="4">
        <f>IF($A634=BH$613,"",COUNTIF($E$4:$E$609,$A634&amp;" ضد "&amp;BH$613)+COUNTIF($E$4:$E$609,BH$613&amp;" ضد "&amp;$A634))</f>
        <v>0</v>
      </c>
      <c r="BI634" s="4">
        <f>IF($A634=BI$613,"",COUNTIF($E$4:$E$609,$A634&amp;" ضد "&amp;BI$613)+COUNTIF($E$4:$E$609,BI$613&amp;" ضد "&amp;$A634))</f>
        <v>0</v>
      </c>
      <c r="BJ634" s="4">
        <f>IF($A634=BJ$613,"",COUNTIF($E$4:$E$609,$A634&amp;" ضد "&amp;BJ$613)+COUNTIF($E$4:$E$609,BJ$613&amp;" ضد "&amp;$A634))</f>
        <v>0</v>
      </c>
      <c r="BK634" s="4">
        <f>IF($A634=BK$613,"",COUNTIF($E$4:$E$609,$A634&amp;" ضد "&amp;BK$613)+COUNTIF($E$4:$E$609,BK$613&amp;" ضد "&amp;$A634))</f>
        <v>0</v>
      </c>
      <c r="BL634" s="4">
        <f>IF($A634=BL$613,"",COUNTIF($E$4:$E$609,$A634&amp;" ضد "&amp;BL$613)+COUNTIF($E$4:$E$609,BL$613&amp;" ضد "&amp;$A634))</f>
        <v>0</v>
      </c>
      <c r="BM634" s="4">
        <f>IF($A634=BM$613,"",COUNTIF($E$4:$E$609,$A634&amp;" ضد "&amp;BM$613)+COUNTIF($E$4:$E$609,BM$613&amp;" ضد "&amp;$A634))</f>
        <v>0</v>
      </c>
      <c r="BN634" s="4">
        <f>IF($A634=BN$613,"",COUNTIF($E$4:$E$609,$A634&amp;" ضد "&amp;BN$613)+COUNTIF($E$4:$E$609,BN$613&amp;" ضد "&amp;$A634))</f>
        <v>0</v>
      </c>
      <c r="BO634" s="4">
        <f>IF($A634=BO$613,"",COUNTIF($E$4:$E$609,$A634&amp;" ضد "&amp;BO$613)+COUNTIF($E$4:$E$609,BO$613&amp;" ضد "&amp;$A634))</f>
        <v>0</v>
      </c>
      <c r="BP634" s="4">
        <f>IF($A634=BP$613,"",COUNTIF($E$4:$E$609,$A634&amp;" ضد "&amp;BP$613)+COUNTIF($E$4:$E$609,BP$613&amp;" ضد "&amp;$A634))</f>
        <v>0</v>
      </c>
    </row>
    <row r="635" spans="1:68" ht="14.5">
      <c r="A635" s="14">
        <v>22</v>
      </c>
      <c r="B635" s="4">
        <f>IF($A635=B$613,"",COUNTIF($E$4:$E$609,$A635&amp;" ضد "&amp;B$613)+COUNTIF($E$4:$E$609,B$613&amp;" ضد "&amp;$A635))</f>
        <v>0</v>
      </c>
      <c r="C635" s="4">
        <f>IF($A635=C$613,"",COUNTIF($E$4:$E$609,$A635&amp;" ضد "&amp;C$613)+COUNTIF($E$4:$E$609,C$613&amp;" ضد "&amp;$A635))</f>
        <v>0</v>
      </c>
      <c r="D635" s="4">
        <f>IF($A635=D$613,"",COUNTIF($E$4:$E$609,$A635&amp;" ضد "&amp;D$613)+COUNTIF($E$4:$E$609,D$613&amp;" ضد "&amp;$A635))</f>
        <v>0</v>
      </c>
      <c r="E635" s="4">
        <f>IF($A635=E$613,"",COUNTIF($E$4:$E$609,$A635&amp;" ضد "&amp;E$613)+COUNTIF($E$4:$E$609,E$613&amp;" ضد "&amp;$A635))</f>
        <v>0</v>
      </c>
      <c r="F635" s="4">
        <f>IF($A635=F$613,"",COUNTIF($E$4:$E$609,$A635&amp;" ضد "&amp;F$613)+COUNTIF($E$4:$E$609,F$613&amp;" ضد "&amp;$A635))</f>
        <v>0</v>
      </c>
      <c r="G635" s="4">
        <f>IF($A635=G$613,"",COUNTIF($E$4:$E$609,$A635&amp;" ضد "&amp;G$613)+COUNTIF($E$4:$E$609,G$613&amp;" ضد "&amp;$A635))</f>
        <v>0</v>
      </c>
      <c r="H635" s="4">
        <f>IF($A635=H$613,"",COUNTIF($E$4:$E$609,$A635&amp;" ضد "&amp;H$613)+COUNTIF($E$4:$E$609,H$613&amp;" ضد "&amp;$A635))</f>
        <v>0</v>
      </c>
      <c r="I635" s="4">
        <f>IF($A635=I$613,"",COUNTIF($E$4:$E$609,$A635&amp;" ضد "&amp;I$613)+COUNTIF($E$4:$E$609,I$613&amp;" ضد "&amp;$A635))</f>
        <v>0</v>
      </c>
      <c r="J635" s="4">
        <f>IF($A635=J$613,"",COUNTIF($E$4:$E$609,$A635&amp;" ضد "&amp;J$613)+COUNTIF($E$4:$E$609,J$613&amp;" ضد "&amp;$A635))</f>
        <v>0</v>
      </c>
      <c r="K635" s="4">
        <f>IF($A635=K$613,"",COUNTIF($E$4:$E$609,$A635&amp;" ضد "&amp;K$613)+COUNTIF($E$4:$E$609,K$613&amp;" ضد "&amp;$A635))</f>
        <v>0</v>
      </c>
      <c r="L635" s="4">
        <f>IF($A635=L$613,"",COUNTIF($E$4:$E$609,$A635&amp;" ضد "&amp;L$613)+COUNTIF($E$4:$E$609,L$613&amp;" ضد "&amp;$A635))</f>
        <v>0</v>
      </c>
      <c r="M635" s="4">
        <f>IF($A635=M$613,"",COUNTIF($E$4:$E$609,$A635&amp;" ضد "&amp;M$613)+COUNTIF($E$4:$E$609,M$613&amp;" ضد "&amp;$A635))</f>
        <v>0</v>
      </c>
      <c r="N635" s="4">
        <f>IF($A635=N$613,"",COUNTIF($E$4:$E$609,$A635&amp;" ضد "&amp;N$613)+COUNTIF($E$4:$E$609,N$613&amp;" ضد "&amp;$A635))</f>
        <v>0</v>
      </c>
      <c r="O635" s="4">
        <f>IF($A635=O$613,"",COUNTIF($E$4:$E$609,$A635&amp;" ضد "&amp;O$613)+COUNTIF($E$4:$E$609,O$613&amp;" ضد "&amp;$A635))</f>
        <v>0</v>
      </c>
      <c r="P635" s="4">
        <f>IF($A635=P$613,"",COUNTIF($E$4:$E$609,$A635&amp;" ضد "&amp;P$613)+COUNTIF($E$4:$E$609,P$613&amp;" ضد "&amp;$A635))</f>
        <v>0</v>
      </c>
      <c r="Q635" s="4">
        <f>IF($A635=Q$613,"",COUNTIF($E$4:$E$609,$A635&amp;" ضد "&amp;Q$613)+COUNTIF($E$4:$E$609,Q$613&amp;" ضد "&amp;$A635))</f>
        <v>0</v>
      </c>
      <c r="R635" s="4">
        <f>IF($A635=R$613,"",COUNTIF($E$4:$E$609,$A635&amp;" ضد "&amp;R$613)+COUNTIF($E$4:$E$609,R$613&amp;" ضد "&amp;$A635))</f>
        <v>0</v>
      </c>
      <c r="S635" s="4">
        <f>IF($A635=S$613,"",COUNTIF($E$4:$E$609,$A635&amp;" ضد "&amp;S$613)+COUNTIF($E$4:$E$609,S$613&amp;" ضد "&amp;$A635))</f>
        <v>1</v>
      </c>
      <c r="T635" s="4">
        <f>IF($A635=T$613,"",COUNTIF($E$4:$E$609,$A635&amp;" ضد "&amp;T$613)+COUNTIF($E$4:$E$609,T$613&amp;" ضد "&amp;$A635))</f>
        <v>1</v>
      </c>
      <c r="U635" s="4">
        <f>IF($A635=U$613,"",COUNTIF($E$4:$E$609,$A635&amp;" ضد "&amp;U$613)+COUNTIF($E$4:$E$609,U$613&amp;" ضد "&amp;$A635))</f>
        <v>1</v>
      </c>
      <c r="V635" s="4">
        <f>IF($A635=V$613,"",COUNTIF($E$4:$E$609,$A635&amp;" ضد "&amp;V$613)+COUNTIF($E$4:$E$609,V$613&amp;" ضد "&amp;$A635))</f>
        <v>2</v>
      </c>
      <c r="W635" s="4" t="str">
        <f>IF($A635=W$613,"",COUNTIF($E$4:$E$609,$A635&amp;" ضد "&amp;W$613)+COUNTIF($E$4:$E$609,W$613&amp;" ضد "&amp;$A635))</f>
        <v/>
      </c>
      <c r="X635" s="4">
        <f>IF($A635=X$613,"",COUNTIF($E$4:$E$609,$A635&amp;" ضد "&amp;X$613)+COUNTIF($E$4:$E$609,X$613&amp;" ضد "&amp;$A635))</f>
        <v>2</v>
      </c>
      <c r="Y635" s="4">
        <f>IF($A635=Y$613,"",COUNTIF($E$4:$E$609,$A635&amp;" ضد "&amp;Y$613)+COUNTIF($E$4:$E$609,Y$613&amp;" ضد "&amp;$A635))</f>
        <v>1</v>
      </c>
      <c r="Z635" s="4">
        <f>IF($A635=Z$613,"",COUNTIF($E$4:$E$609,$A635&amp;" ضد "&amp;Z$613)+COUNTIF($E$4:$E$609,Z$613&amp;" ضد "&amp;$A635))</f>
        <v>1</v>
      </c>
      <c r="AA635" s="4">
        <f>IF($A635=AA$613,"",COUNTIF($E$4:$E$609,$A635&amp;" ضد "&amp;AA$613)+COUNTIF($E$4:$E$609,AA$613&amp;" ضد "&amp;$A635))</f>
        <v>1</v>
      </c>
      <c r="AB635" s="4">
        <f>IF($A635=AB$613,"",COUNTIF($E$4:$E$609,$A635&amp;" ضد "&amp;AB$613)+COUNTIF($E$4:$E$609,AB$613&amp;" ضد "&amp;$A635))</f>
        <v>1</v>
      </c>
      <c r="AC635" s="4">
        <f>IF($A635=AC$613,"",COUNTIF($E$4:$E$609,$A635&amp;" ضد "&amp;AC$613)+COUNTIF($E$4:$E$609,AC$613&amp;" ضد "&amp;$A635))</f>
        <v>1</v>
      </c>
      <c r="AD635" s="4">
        <f>IF($A635=AD$613,"",COUNTIF($E$4:$E$609,$A635&amp;" ضد "&amp;AD$613)+COUNTIF($E$4:$E$609,AD$613&amp;" ضد "&amp;$A635))</f>
        <v>1</v>
      </c>
      <c r="AE635" s="4">
        <f>IF($A635=AE$613,"",COUNTIF($E$4:$E$609,$A635&amp;" ضد "&amp;AE$613)+COUNTIF($E$4:$E$609,AE$613&amp;" ضد "&amp;$A635))</f>
        <v>1</v>
      </c>
      <c r="AF635" s="4">
        <f>IF($A635=AF$613,"",COUNTIF($E$4:$E$609,$A635&amp;" ضد "&amp;AF$613)+COUNTIF($E$4:$E$609,AF$613&amp;" ضد "&amp;$A635))</f>
        <v>1</v>
      </c>
      <c r="AG635" s="4">
        <f>IF($A635=AG$613,"",COUNTIF($E$4:$E$609,$A635&amp;" ضد "&amp;AG$613)+COUNTIF($E$4:$E$609,AG$613&amp;" ضد "&amp;$A635))</f>
        <v>1</v>
      </c>
      <c r="AH635" s="4">
        <f>IF($A635=AH$613,"",COUNTIF($E$4:$E$609,$A635&amp;" ضد "&amp;AH$613)+COUNTIF($E$4:$E$609,AH$613&amp;" ضد "&amp;$A635))</f>
        <v>1</v>
      </c>
      <c r="AI635" s="4">
        <f>IF($A635=AI$613,"",COUNTIF($E$4:$E$609,$A635&amp;" ضد "&amp;AI$613)+COUNTIF($E$4:$E$609,AI$613&amp;" ضد "&amp;$A635))</f>
        <v>1</v>
      </c>
      <c r="AJ635" s="4">
        <f>IF($A635=AJ$613,"",COUNTIF($E$4:$E$609,$A635&amp;" ضد "&amp;AJ$613)+COUNTIF($E$4:$E$609,AJ$613&amp;" ضد "&amp;$A635))</f>
        <v>0</v>
      </c>
      <c r="AK635" s="4">
        <f>IF($A635=AK$613,"",COUNTIF($E$4:$E$609,$A635&amp;" ضد "&amp;AK$613)+COUNTIF($E$4:$E$609,AK$613&amp;" ضد "&amp;$A635))</f>
        <v>0</v>
      </c>
      <c r="AL635" s="4">
        <f>IF($A635=AL$613,"",COUNTIF($E$4:$E$609,$A635&amp;" ضد "&amp;AL$613)+COUNTIF($E$4:$E$609,AL$613&amp;" ضد "&amp;$A635))</f>
        <v>0</v>
      </c>
      <c r="AM635" s="4">
        <f>IF($A635=AM$613,"",COUNTIF($E$4:$E$609,$A635&amp;" ضد "&amp;AM$613)+COUNTIF($E$4:$E$609,AM$613&amp;" ضد "&amp;$A635))</f>
        <v>0</v>
      </c>
      <c r="AN635" s="4">
        <f>IF($A635=AN$613,"",COUNTIF($E$4:$E$609,$A635&amp;" ضد "&amp;AN$613)+COUNTIF($E$4:$E$609,AN$613&amp;" ضد "&amp;$A635))</f>
        <v>0</v>
      </c>
      <c r="AO635" s="4">
        <f>IF($A635=AO$613,"",COUNTIF($E$4:$E$609,$A635&amp;" ضد "&amp;AO$613)+COUNTIF($E$4:$E$609,AO$613&amp;" ضد "&amp;$A635))</f>
        <v>0</v>
      </c>
      <c r="AP635" s="4">
        <f>IF($A635=AP$613,"",COUNTIF($E$4:$E$609,$A635&amp;" ضد "&amp;AP$613)+COUNTIF($E$4:$E$609,AP$613&amp;" ضد "&amp;$A635))</f>
        <v>0</v>
      </c>
      <c r="AQ635" s="4">
        <f>IF($A635=AQ$613,"",COUNTIF($E$4:$E$609,$A635&amp;" ضد "&amp;AQ$613)+COUNTIF($E$4:$E$609,AQ$613&amp;" ضد "&amp;$A635))</f>
        <v>0</v>
      </c>
      <c r="AR635" s="4">
        <f>IF($A635=AR$613,"",COUNTIF($E$4:$E$609,$A635&amp;" ضد "&amp;AR$613)+COUNTIF($E$4:$E$609,AR$613&amp;" ضد "&amp;$A635))</f>
        <v>0</v>
      </c>
      <c r="AS635" s="4">
        <f>IF($A635=AS$613,"",COUNTIF($E$4:$E$609,$A635&amp;" ضد "&amp;AS$613)+COUNTIF($E$4:$E$609,AS$613&amp;" ضد "&amp;$A635))</f>
        <v>0</v>
      </c>
      <c r="AT635" s="4">
        <f>IF($A635=AT$613,"",COUNTIF($E$4:$E$609,$A635&amp;" ضد "&amp;AT$613)+COUNTIF($E$4:$E$609,AT$613&amp;" ضد "&amp;$A635))</f>
        <v>0</v>
      </c>
      <c r="AU635" s="4">
        <f>IF($A635=AU$613,"",COUNTIF($E$4:$E$609,$A635&amp;" ضد "&amp;AU$613)+COUNTIF($E$4:$E$609,AU$613&amp;" ضد "&amp;$A635))</f>
        <v>0</v>
      </c>
      <c r="AV635" s="4">
        <f>IF($A635=AV$613,"",COUNTIF($E$4:$E$609,$A635&amp;" ضد "&amp;AV$613)+COUNTIF($E$4:$E$609,AV$613&amp;" ضد "&amp;$A635))</f>
        <v>0</v>
      </c>
      <c r="AW635" s="4">
        <f>IF($A635=AW$613,"",COUNTIF($E$4:$E$609,$A635&amp;" ضد "&amp;AW$613)+COUNTIF($E$4:$E$609,AW$613&amp;" ضد "&amp;$A635))</f>
        <v>0</v>
      </c>
      <c r="AX635" s="4">
        <f>IF($A635=AX$613,"",COUNTIF($E$4:$E$609,$A635&amp;" ضد "&amp;AX$613)+COUNTIF($E$4:$E$609,AX$613&amp;" ضد "&amp;$A635))</f>
        <v>0</v>
      </c>
      <c r="AY635" s="4">
        <f>IF($A635=AY$613,"",COUNTIF($E$4:$E$609,$A635&amp;" ضد "&amp;AY$613)+COUNTIF($E$4:$E$609,AY$613&amp;" ضد "&amp;$A635))</f>
        <v>0</v>
      </c>
      <c r="AZ635" s="4">
        <f>IF($A635=AZ$613,"",COUNTIF($E$4:$E$609,$A635&amp;" ضد "&amp;AZ$613)+COUNTIF($E$4:$E$609,AZ$613&amp;" ضد "&amp;$A635))</f>
        <v>0</v>
      </c>
      <c r="BA635" s="4">
        <f>IF($A635=BA$613,"",COUNTIF($E$4:$E$609,$A635&amp;" ضد "&amp;BA$613)+COUNTIF($E$4:$E$609,BA$613&amp;" ضد "&amp;$A635))</f>
        <v>0</v>
      </c>
      <c r="BB635" s="4">
        <f>IF($A635=BB$613,"",COUNTIF($E$4:$E$609,$A635&amp;" ضد "&amp;BB$613)+COUNTIF($E$4:$E$609,BB$613&amp;" ضد "&amp;$A635))</f>
        <v>0</v>
      </c>
      <c r="BC635" s="4">
        <f>IF($A635=BC$613,"",COUNTIF($E$4:$E$609,$A635&amp;" ضد "&amp;BC$613)+COUNTIF($E$4:$E$609,BC$613&amp;" ضد "&amp;$A635))</f>
        <v>0</v>
      </c>
      <c r="BD635" s="4">
        <f>IF($A635=BD$613,"",COUNTIF($E$4:$E$609,$A635&amp;" ضد "&amp;BD$613)+COUNTIF($E$4:$E$609,BD$613&amp;" ضد "&amp;$A635))</f>
        <v>0</v>
      </c>
      <c r="BE635" s="4">
        <f>IF($A635=BE$613,"",COUNTIF($E$4:$E$609,$A635&amp;" ضد "&amp;BE$613)+COUNTIF($E$4:$E$609,BE$613&amp;" ضد "&amp;$A635))</f>
        <v>0</v>
      </c>
      <c r="BF635" s="4">
        <f>IF($A635=BF$613,"",COUNTIF($E$4:$E$609,$A635&amp;" ضد "&amp;BF$613)+COUNTIF($E$4:$E$609,BF$613&amp;" ضد "&amp;$A635))</f>
        <v>0</v>
      </c>
      <c r="BG635" s="4">
        <f>IF($A635=BG$613,"",COUNTIF($E$4:$E$609,$A635&amp;" ضد "&amp;BG$613)+COUNTIF($E$4:$E$609,BG$613&amp;" ضد "&amp;$A635))</f>
        <v>0</v>
      </c>
      <c r="BH635" s="4">
        <f>IF($A635=BH$613,"",COUNTIF($E$4:$E$609,$A635&amp;" ضد "&amp;BH$613)+COUNTIF($E$4:$E$609,BH$613&amp;" ضد "&amp;$A635))</f>
        <v>0</v>
      </c>
      <c r="BI635" s="4">
        <f>IF($A635=BI$613,"",COUNTIF($E$4:$E$609,$A635&amp;" ضد "&amp;BI$613)+COUNTIF($E$4:$E$609,BI$613&amp;" ضد "&amp;$A635))</f>
        <v>0</v>
      </c>
      <c r="BJ635" s="4">
        <f>IF($A635=BJ$613,"",COUNTIF($E$4:$E$609,$A635&amp;" ضد "&amp;BJ$613)+COUNTIF($E$4:$E$609,BJ$613&amp;" ضد "&amp;$A635))</f>
        <v>0</v>
      </c>
      <c r="BK635" s="4">
        <f>IF($A635=BK$613,"",COUNTIF($E$4:$E$609,$A635&amp;" ضد "&amp;BK$613)+COUNTIF($E$4:$E$609,BK$613&amp;" ضد "&amp;$A635))</f>
        <v>0</v>
      </c>
      <c r="BL635" s="4">
        <f>IF($A635=BL$613,"",COUNTIF($E$4:$E$609,$A635&amp;" ضد "&amp;BL$613)+COUNTIF($E$4:$E$609,BL$613&amp;" ضد "&amp;$A635))</f>
        <v>0</v>
      </c>
      <c r="BM635" s="4">
        <f>IF($A635=BM$613,"",COUNTIF($E$4:$E$609,$A635&amp;" ضد "&amp;BM$613)+COUNTIF($E$4:$E$609,BM$613&amp;" ضد "&amp;$A635))</f>
        <v>0</v>
      </c>
      <c r="BN635" s="4">
        <f>IF($A635=BN$613,"",COUNTIF($E$4:$E$609,$A635&amp;" ضد "&amp;BN$613)+COUNTIF($E$4:$E$609,BN$613&amp;" ضد "&amp;$A635))</f>
        <v>0</v>
      </c>
      <c r="BO635" s="4">
        <f>IF($A635=BO$613,"",COUNTIF($E$4:$E$609,$A635&amp;" ضد "&amp;BO$613)+COUNTIF($E$4:$E$609,BO$613&amp;" ضد "&amp;$A635))</f>
        <v>0</v>
      </c>
      <c r="BP635" s="4">
        <f>IF($A635=BP$613,"",COUNTIF($E$4:$E$609,$A635&amp;" ضد "&amp;BP$613)+COUNTIF($E$4:$E$609,BP$613&amp;" ضد "&amp;$A635))</f>
        <v>0</v>
      </c>
    </row>
    <row r="636" spans="1:68" ht="14.5">
      <c r="A636" s="14">
        <v>23</v>
      </c>
      <c r="B636" s="4">
        <f>IF($A636=B$613,"",COUNTIF($E$4:$E$609,$A636&amp;" ضد "&amp;B$613)+COUNTIF($E$4:$E$609,B$613&amp;" ضد "&amp;$A636))</f>
        <v>0</v>
      </c>
      <c r="C636" s="4">
        <f>IF($A636=C$613,"",COUNTIF($E$4:$E$609,$A636&amp;" ضد "&amp;C$613)+COUNTIF($E$4:$E$609,C$613&amp;" ضد "&amp;$A636))</f>
        <v>0</v>
      </c>
      <c r="D636" s="4">
        <f>IF($A636=D$613,"",COUNTIF($E$4:$E$609,$A636&amp;" ضد "&amp;D$613)+COUNTIF($E$4:$E$609,D$613&amp;" ضد "&amp;$A636))</f>
        <v>0</v>
      </c>
      <c r="E636" s="4">
        <f>IF($A636=E$613,"",COUNTIF($E$4:$E$609,$A636&amp;" ضد "&amp;E$613)+COUNTIF($E$4:$E$609,E$613&amp;" ضد "&amp;$A636))</f>
        <v>0</v>
      </c>
      <c r="F636" s="4">
        <f>IF($A636=F$613,"",COUNTIF($E$4:$E$609,$A636&amp;" ضد "&amp;F$613)+COUNTIF($E$4:$E$609,F$613&amp;" ضد "&amp;$A636))</f>
        <v>0</v>
      </c>
      <c r="G636" s="4">
        <f>IF($A636=G$613,"",COUNTIF($E$4:$E$609,$A636&amp;" ضد "&amp;G$613)+COUNTIF($E$4:$E$609,G$613&amp;" ضد "&amp;$A636))</f>
        <v>0</v>
      </c>
      <c r="H636" s="4">
        <f>IF($A636=H$613,"",COUNTIF($E$4:$E$609,$A636&amp;" ضد "&amp;H$613)+COUNTIF($E$4:$E$609,H$613&amp;" ضد "&amp;$A636))</f>
        <v>0</v>
      </c>
      <c r="I636" s="4">
        <f>IF($A636=I$613,"",COUNTIF($E$4:$E$609,$A636&amp;" ضد "&amp;I$613)+COUNTIF($E$4:$E$609,I$613&amp;" ضد "&amp;$A636))</f>
        <v>0</v>
      </c>
      <c r="J636" s="4">
        <f>IF($A636=J$613,"",COUNTIF($E$4:$E$609,$A636&amp;" ضد "&amp;J$613)+COUNTIF($E$4:$E$609,J$613&amp;" ضد "&amp;$A636))</f>
        <v>0</v>
      </c>
      <c r="K636" s="4">
        <f>IF($A636=K$613,"",COUNTIF($E$4:$E$609,$A636&amp;" ضد "&amp;K$613)+COUNTIF($E$4:$E$609,K$613&amp;" ضد "&amp;$A636))</f>
        <v>0</v>
      </c>
      <c r="L636" s="4">
        <f>IF($A636=L$613,"",COUNTIF($E$4:$E$609,$A636&amp;" ضد "&amp;L$613)+COUNTIF($E$4:$E$609,L$613&amp;" ضد "&amp;$A636))</f>
        <v>0</v>
      </c>
      <c r="M636" s="4">
        <f>IF($A636=M$613,"",COUNTIF($E$4:$E$609,$A636&amp;" ضد "&amp;M$613)+COUNTIF($E$4:$E$609,M$613&amp;" ضد "&amp;$A636))</f>
        <v>0</v>
      </c>
      <c r="N636" s="4">
        <f>IF($A636=N$613,"",COUNTIF($E$4:$E$609,$A636&amp;" ضد "&amp;N$613)+COUNTIF($E$4:$E$609,N$613&amp;" ضد "&amp;$A636))</f>
        <v>0</v>
      </c>
      <c r="O636" s="4">
        <f>IF($A636=O$613,"",COUNTIF($E$4:$E$609,$A636&amp;" ضد "&amp;O$613)+COUNTIF($E$4:$E$609,O$613&amp;" ضد "&amp;$A636))</f>
        <v>0</v>
      </c>
      <c r="P636" s="4">
        <f>IF($A636=P$613,"",COUNTIF($E$4:$E$609,$A636&amp;" ضد "&amp;P$613)+COUNTIF($E$4:$E$609,P$613&amp;" ضد "&amp;$A636))</f>
        <v>0</v>
      </c>
      <c r="Q636" s="4">
        <f>IF($A636=Q$613,"",COUNTIF($E$4:$E$609,$A636&amp;" ضد "&amp;Q$613)+COUNTIF($E$4:$E$609,Q$613&amp;" ضد "&amp;$A636))</f>
        <v>0</v>
      </c>
      <c r="R636" s="4">
        <f>IF($A636=R$613,"",COUNTIF($E$4:$E$609,$A636&amp;" ضد "&amp;R$613)+COUNTIF($E$4:$E$609,R$613&amp;" ضد "&amp;$A636))</f>
        <v>0</v>
      </c>
      <c r="S636" s="4">
        <f>IF($A636=S$613,"",COUNTIF($E$4:$E$609,$A636&amp;" ضد "&amp;S$613)+COUNTIF($E$4:$E$609,S$613&amp;" ضد "&amp;$A636))</f>
        <v>1</v>
      </c>
      <c r="T636" s="4">
        <f>IF($A636=T$613,"",COUNTIF($E$4:$E$609,$A636&amp;" ضد "&amp;T$613)+COUNTIF($E$4:$E$609,T$613&amp;" ضد "&amp;$A636))</f>
        <v>1</v>
      </c>
      <c r="U636" s="4">
        <f>IF($A636=U$613,"",COUNTIF($E$4:$E$609,$A636&amp;" ضد "&amp;U$613)+COUNTIF($E$4:$E$609,U$613&amp;" ضد "&amp;$A636))</f>
        <v>1</v>
      </c>
      <c r="V636" s="4">
        <f>IF($A636=V$613,"",COUNTIF($E$4:$E$609,$A636&amp;" ضد "&amp;V$613)+COUNTIF($E$4:$E$609,V$613&amp;" ضد "&amp;$A636))</f>
        <v>1</v>
      </c>
      <c r="W636" s="4">
        <f>IF($A636=W$613,"",COUNTIF($E$4:$E$609,$A636&amp;" ضد "&amp;W$613)+COUNTIF($E$4:$E$609,W$613&amp;" ضد "&amp;$A636))</f>
        <v>2</v>
      </c>
      <c r="X636" s="4" t="str">
        <f>IF($A636=X$613,"",COUNTIF($E$4:$E$609,$A636&amp;" ضد "&amp;X$613)+COUNTIF($E$4:$E$609,X$613&amp;" ضد "&amp;$A636))</f>
        <v/>
      </c>
      <c r="Y636" s="4">
        <f>IF($A636=Y$613,"",COUNTIF($E$4:$E$609,$A636&amp;" ضد "&amp;Y$613)+COUNTIF($E$4:$E$609,Y$613&amp;" ضد "&amp;$A636))</f>
        <v>2</v>
      </c>
      <c r="Z636" s="4">
        <f>IF($A636=Z$613,"",COUNTIF($E$4:$E$609,$A636&amp;" ضد "&amp;Z$613)+COUNTIF($E$4:$E$609,Z$613&amp;" ضد "&amp;$A636))</f>
        <v>1</v>
      </c>
      <c r="AA636" s="4">
        <f>IF($A636=AA$613,"",COUNTIF($E$4:$E$609,$A636&amp;" ضد "&amp;AA$613)+COUNTIF($E$4:$E$609,AA$613&amp;" ضد "&amp;$A636))</f>
        <v>1</v>
      </c>
      <c r="AB636" s="4">
        <f>IF($A636=AB$613,"",COUNTIF($E$4:$E$609,$A636&amp;" ضد "&amp;AB$613)+COUNTIF($E$4:$E$609,AB$613&amp;" ضد "&amp;$A636))</f>
        <v>1</v>
      </c>
      <c r="AC636" s="4">
        <f>IF($A636=AC$613,"",COUNTIF($E$4:$E$609,$A636&amp;" ضد "&amp;AC$613)+COUNTIF($E$4:$E$609,AC$613&amp;" ضد "&amp;$A636))</f>
        <v>1</v>
      </c>
      <c r="AD636" s="4">
        <f>IF($A636=AD$613,"",COUNTIF($E$4:$E$609,$A636&amp;" ضد "&amp;AD$613)+COUNTIF($E$4:$E$609,AD$613&amp;" ضد "&amp;$A636))</f>
        <v>1</v>
      </c>
      <c r="AE636" s="4">
        <f>IF($A636=AE$613,"",COUNTIF($E$4:$E$609,$A636&amp;" ضد "&amp;AE$613)+COUNTIF($E$4:$E$609,AE$613&amp;" ضد "&amp;$A636))</f>
        <v>1</v>
      </c>
      <c r="AF636" s="4">
        <f>IF($A636=AF$613,"",COUNTIF($E$4:$E$609,$A636&amp;" ضد "&amp;AF$613)+COUNTIF($E$4:$E$609,AF$613&amp;" ضد "&amp;$A636))</f>
        <v>1</v>
      </c>
      <c r="AG636" s="4">
        <f>IF($A636=AG$613,"",COUNTIF($E$4:$E$609,$A636&amp;" ضد "&amp;AG$613)+COUNTIF($E$4:$E$609,AG$613&amp;" ضد "&amp;$A636))</f>
        <v>1</v>
      </c>
      <c r="AH636" s="4">
        <f>IF($A636=AH$613,"",COUNTIF($E$4:$E$609,$A636&amp;" ضد "&amp;AH$613)+COUNTIF($E$4:$E$609,AH$613&amp;" ضد "&amp;$A636))</f>
        <v>1</v>
      </c>
      <c r="AI636" s="4">
        <f>IF($A636=AI$613,"",COUNTIF($E$4:$E$609,$A636&amp;" ضد "&amp;AI$613)+COUNTIF($E$4:$E$609,AI$613&amp;" ضد "&amp;$A636))</f>
        <v>1</v>
      </c>
      <c r="AJ636" s="4">
        <f>IF($A636=AJ$613,"",COUNTIF($E$4:$E$609,$A636&amp;" ضد "&amp;AJ$613)+COUNTIF($E$4:$E$609,AJ$613&amp;" ضد "&amp;$A636))</f>
        <v>0</v>
      </c>
      <c r="AK636" s="4">
        <f>IF($A636=AK$613,"",COUNTIF($E$4:$E$609,$A636&amp;" ضد "&amp;AK$613)+COUNTIF($E$4:$E$609,AK$613&amp;" ضد "&amp;$A636))</f>
        <v>0</v>
      </c>
      <c r="AL636" s="4">
        <f>IF($A636=AL$613,"",COUNTIF($E$4:$E$609,$A636&amp;" ضد "&amp;AL$613)+COUNTIF($E$4:$E$609,AL$613&amp;" ضد "&amp;$A636))</f>
        <v>0</v>
      </c>
      <c r="AM636" s="4">
        <f>IF($A636=AM$613,"",COUNTIF($E$4:$E$609,$A636&amp;" ضد "&amp;AM$613)+COUNTIF($E$4:$E$609,AM$613&amp;" ضد "&amp;$A636))</f>
        <v>0</v>
      </c>
      <c r="AN636" s="4">
        <f>IF($A636=AN$613,"",COUNTIF($E$4:$E$609,$A636&amp;" ضد "&amp;AN$613)+COUNTIF($E$4:$E$609,AN$613&amp;" ضد "&amp;$A636))</f>
        <v>0</v>
      </c>
      <c r="AO636" s="4">
        <f>IF($A636=AO$613,"",COUNTIF($E$4:$E$609,$A636&amp;" ضد "&amp;AO$613)+COUNTIF($E$4:$E$609,AO$613&amp;" ضد "&amp;$A636))</f>
        <v>0</v>
      </c>
      <c r="AP636" s="4">
        <f>IF($A636=AP$613,"",COUNTIF($E$4:$E$609,$A636&amp;" ضد "&amp;AP$613)+COUNTIF($E$4:$E$609,AP$613&amp;" ضد "&amp;$A636))</f>
        <v>0</v>
      </c>
      <c r="AQ636" s="4">
        <f>IF($A636=AQ$613,"",COUNTIF($E$4:$E$609,$A636&amp;" ضد "&amp;AQ$613)+COUNTIF($E$4:$E$609,AQ$613&amp;" ضد "&amp;$A636))</f>
        <v>0</v>
      </c>
      <c r="AR636" s="4">
        <f>IF($A636=AR$613,"",COUNTIF($E$4:$E$609,$A636&amp;" ضد "&amp;AR$613)+COUNTIF($E$4:$E$609,AR$613&amp;" ضد "&amp;$A636))</f>
        <v>0</v>
      </c>
      <c r="AS636" s="4">
        <f>IF($A636=AS$613,"",COUNTIF($E$4:$E$609,$A636&amp;" ضد "&amp;AS$613)+COUNTIF($E$4:$E$609,AS$613&amp;" ضد "&amp;$A636))</f>
        <v>0</v>
      </c>
      <c r="AT636" s="4">
        <f>IF($A636=AT$613,"",COUNTIF($E$4:$E$609,$A636&amp;" ضد "&amp;AT$613)+COUNTIF($E$4:$E$609,AT$613&amp;" ضد "&amp;$A636))</f>
        <v>0</v>
      </c>
      <c r="AU636" s="4">
        <f>IF($A636=AU$613,"",COUNTIF($E$4:$E$609,$A636&amp;" ضد "&amp;AU$613)+COUNTIF($E$4:$E$609,AU$613&amp;" ضد "&amp;$A636))</f>
        <v>0</v>
      </c>
      <c r="AV636" s="4">
        <f>IF($A636=AV$613,"",COUNTIF($E$4:$E$609,$A636&amp;" ضد "&amp;AV$613)+COUNTIF($E$4:$E$609,AV$613&amp;" ضد "&amp;$A636))</f>
        <v>0</v>
      </c>
      <c r="AW636" s="4">
        <f>IF($A636=AW$613,"",COUNTIF($E$4:$E$609,$A636&amp;" ضد "&amp;AW$613)+COUNTIF($E$4:$E$609,AW$613&amp;" ضد "&amp;$A636))</f>
        <v>0</v>
      </c>
      <c r="AX636" s="4">
        <f>IF($A636=AX$613,"",COUNTIF($E$4:$E$609,$A636&amp;" ضد "&amp;AX$613)+COUNTIF($E$4:$E$609,AX$613&amp;" ضد "&amp;$A636))</f>
        <v>0</v>
      </c>
      <c r="AY636" s="4">
        <f>IF($A636=AY$613,"",COUNTIF($E$4:$E$609,$A636&amp;" ضد "&amp;AY$613)+COUNTIF($E$4:$E$609,AY$613&amp;" ضد "&amp;$A636))</f>
        <v>0</v>
      </c>
      <c r="AZ636" s="4">
        <f>IF($A636=AZ$613,"",COUNTIF($E$4:$E$609,$A636&amp;" ضد "&amp;AZ$613)+COUNTIF($E$4:$E$609,AZ$613&amp;" ضد "&amp;$A636))</f>
        <v>0</v>
      </c>
      <c r="BA636" s="4">
        <f>IF($A636=BA$613,"",COUNTIF($E$4:$E$609,$A636&amp;" ضد "&amp;BA$613)+COUNTIF($E$4:$E$609,BA$613&amp;" ضد "&amp;$A636))</f>
        <v>0</v>
      </c>
      <c r="BB636" s="4">
        <f>IF($A636=BB$613,"",COUNTIF($E$4:$E$609,$A636&amp;" ضد "&amp;BB$613)+COUNTIF($E$4:$E$609,BB$613&amp;" ضد "&amp;$A636))</f>
        <v>0</v>
      </c>
      <c r="BC636" s="4">
        <f>IF($A636=BC$613,"",COUNTIF($E$4:$E$609,$A636&amp;" ضد "&amp;BC$613)+COUNTIF($E$4:$E$609,BC$613&amp;" ضد "&amp;$A636))</f>
        <v>0</v>
      </c>
      <c r="BD636" s="4">
        <f>IF($A636=BD$613,"",COUNTIF($E$4:$E$609,$A636&amp;" ضد "&amp;BD$613)+COUNTIF($E$4:$E$609,BD$613&amp;" ضد "&amp;$A636))</f>
        <v>0</v>
      </c>
      <c r="BE636" s="4">
        <f>IF($A636=BE$613,"",COUNTIF($E$4:$E$609,$A636&amp;" ضد "&amp;BE$613)+COUNTIF($E$4:$E$609,BE$613&amp;" ضد "&amp;$A636))</f>
        <v>0</v>
      </c>
      <c r="BF636" s="4">
        <f>IF($A636=BF$613,"",COUNTIF($E$4:$E$609,$A636&amp;" ضد "&amp;BF$613)+COUNTIF($E$4:$E$609,BF$613&amp;" ضد "&amp;$A636))</f>
        <v>0</v>
      </c>
      <c r="BG636" s="4">
        <f>IF($A636=BG$613,"",COUNTIF($E$4:$E$609,$A636&amp;" ضد "&amp;BG$613)+COUNTIF($E$4:$E$609,BG$613&amp;" ضد "&amp;$A636))</f>
        <v>0</v>
      </c>
      <c r="BH636" s="4">
        <f>IF($A636=BH$613,"",COUNTIF($E$4:$E$609,$A636&amp;" ضد "&amp;BH$613)+COUNTIF($E$4:$E$609,BH$613&amp;" ضد "&amp;$A636))</f>
        <v>0</v>
      </c>
      <c r="BI636" s="4">
        <f>IF($A636=BI$613,"",COUNTIF($E$4:$E$609,$A636&amp;" ضد "&amp;BI$613)+COUNTIF($E$4:$E$609,BI$613&amp;" ضد "&amp;$A636))</f>
        <v>0</v>
      </c>
      <c r="BJ636" s="4">
        <f>IF($A636=BJ$613,"",COUNTIF($E$4:$E$609,$A636&amp;" ضد "&amp;BJ$613)+COUNTIF($E$4:$E$609,BJ$613&amp;" ضد "&amp;$A636))</f>
        <v>0</v>
      </c>
      <c r="BK636" s="4">
        <f>IF($A636=BK$613,"",COUNTIF($E$4:$E$609,$A636&amp;" ضد "&amp;BK$613)+COUNTIF($E$4:$E$609,BK$613&amp;" ضد "&amp;$A636))</f>
        <v>0</v>
      </c>
      <c r="BL636" s="4">
        <f>IF($A636=BL$613,"",COUNTIF($E$4:$E$609,$A636&amp;" ضد "&amp;BL$613)+COUNTIF($E$4:$E$609,BL$613&amp;" ضد "&amp;$A636))</f>
        <v>0</v>
      </c>
      <c r="BM636" s="4">
        <f>IF($A636=BM$613,"",COUNTIF($E$4:$E$609,$A636&amp;" ضد "&amp;BM$613)+COUNTIF($E$4:$E$609,BM$613&amp;" ضد "&amp;$A636))</f>
        <v>0</v>
      </c>
      <c r="BN636" s="4">
        <f>IF($A636=BN$613,"",COUNTIF($E$4:$E$609,$A636&amp;" ضد "&amp;BN$613)+COUNTIF($E$4:$E$609,BN$613&amp;" ضد "&amp;$A636))</f>
        <v>0</v>
      </c>
      <c r="BO636" s="4">
        <f>IF($A636=BO$613,"",COUNTIF($E$4:$E$609,$A636&amp;" ضد "&amp;BO$613)+COUNTIF($E$4:$E$609,BO$613&amp;" ضد "&amp;$A636))</f>
        <v>0</v>
      </c>
      <c r="BP636" s="4">
        <f>IF($A636=BP$613,"",COUNTIF($E$4:$E$609,$A636&amp;" ضد "&amp;BP$613)+COUNTIF($E$4:$E$609,BP$613&amp;" ضد "&amp;$A636))</f>
        <v>0</v>
      </c>
    </row>
    <row r="637" spans="1:68" ht="14.5">
      <c r="A637" s="14">
        <v>24</v>
      </c>
      <c r="B637" s="4">
        <f>IF($A637=B$613,"",COUNTIF($E$4:$E$609,$A637&amp;" ضد "&amp;B$613)+COUNTIF($E$4:$E$609,B$613&amp;" ضد "&amp;$A637))</f>
        <v>0</v>
      </c>
      <c r="C637" s="4">
        <f>IF($A637=C$613,"",COUNTIF($E$4:$E$609,$A637&amp;" ضد "&amp;C$613)+COUNTIF($E$4:$E$609,C$613&amp;" ضد "&amp;$A637))</f>
        <v>0</v>
      </c>
      <c r="D637" s="4">
        <f>IF($A637=D$613,"",COUNTIF($E$4:$E$609,$A637&amp;" ضد "&amp;D$613)+COUNTIF($E$4:$E$609,D$613&amp;" ضد "&amp;$A637))</f>
        <v>0</v>
      </c>
      <c r="E637" s="4">
        <f>IF($A637=E$613,"",COUNTIF($E$4:$E$609,$A637&amp;" ضد "&amp;E$613)+COUNTIF($E$4:$E$609,E$613&amp;" ضد "&amp;$A637))</f>
        <v>0</v>
      </c>
      <c r="F637" s="4">
        <f>IF($A637=F$613,"",COUNTIF($E$4:$E$609,$A637&amp;" ضد "&amp;F$613)+COUNTIF($E$4:$E$609,F$613&amp;" ضد "&amp;$A637))</f>
        <v>0</v>
      </c>
      <c r="G637" s="4">
        <f>IF($A637=G$613,"",COUNTIF($E$4:$E$609,$A637&amp;" ضد "&amp;G$613)+COUNTIF($E$4:$E$609,G$613&amp;" ضد "&amp;$A637))</f>
        <v>0</v>
      </c>
      <c r="H637" s="4">
        <f>IF($A637=H$613,"",COUNTIF($E$4:$E$609,$A637&amp;" ضد "&amp;H$613)+COUNTIF($E$4:$E$609,H$613&amp;" ضد "&amp;$A637))</f>
        <v>0</v>
      </c>
      <c r="I637" s="4">
        <f>IF($A637=I$613,"",COUNTIF($E$4:$E$609,$A637&amp;" ضد "&amp;I$613)+COUNTIF($E$4:$E$609,I$613&amp;" ضد "&amp;$A637))</f>
        <v>0</v>
      </c>
      <c r="J637" s="4">
        <f>IF($A637=J$613,"",COUNTIF($E$4:$E$609,$A637&amp;" ضد "&amp;J$613)+COUNTIF($E$4:$E$609,J$613&amp;" ضد "&amp;$A637))</f>
        <v>0</v>
      </c>
      <c r="K637" s="4">
        <f>IF($A637=K$613,"",COUNTIF($E$4:$E$609,$A637&amp;" ضد "&amp;K$613)+COUNTIF($E$4:$E$609,K$613&amp;" ضد "&amp;$A637))</f>
        <v>0</v>
      </c>
      <c r="L637" s="4">
        <f>IF($A637=L$613,"",COUNTIF($E$4:$E$609,$A637&amp;" ضد "&amp;L$613)+COUNTIF($E$4:$E$609,L$613&amp;" ضد "&amp;$A637))</f>
        <v>0</v>
      </c>
      <c r="M637" s="4">
        <f>IF($A637=M$613,"",COUNTIF($E$4:$E$609,$A637&amp;" ضد "&amp;M$613)+COUNTIF($E$4:$E$609,M$613&amp;" ضد "&amp;$A637))</f>
        <v>0</v>
      </c>
      <c r="N637" s="4">
        <f>IF($A637=N$613,"",COUNTIF($E$4:$E$609,$A637&amp;" ضد "&amp;N$613)+COUNTIF($E$4:$E$609,N$613&amp;" ضد "&amp;$A637))</f>
        <v>0</v>
      </c>
      <c r="O637" s="4">
        <f>IF($A637=O$613,"",COUNTIF($E$4:$E$609,$A637&amp;" ضد "&amp;O$613)+COUNTIF($E$4:$E$609,O$613&amp;" ضد "&amp;$A637))</f>
        <v>0</v>
      </c>
      <c r="P637" s="4">
        <f>IF($A637=P$613,"",COUNTIF($E$4:$E$609,$A637&amp;" ضد "&amp;P$613)+COUNTIF($E$4:$E$609,P$613&amp;" ضد "&amp;$A637))</f>
        <v>0</v>
      </c>
      <c r="Q637" s="4">
        <f>IF($A637=Q$613,"",COUNTIF($E$4:$E$609,$A637&amp;" ضد "&amp;Q$613)+COUNTIF($E$4:$E$609,Q$613&amp;" ضد "&amp;$A637))</f>
        <v>0</v>
      </c>
      <c r="R637" s="4">
        <f>IF($A637=R$613,"",COUNTIF($E$4:$E$609,$A637&amp;" ضد "&amp;R$613)+COUNTIF($E$4:$E$609,R$613&amp;" ضد "&amp;$A637))</f>
        <v>0</v>
      </c>
      <c r="S637" s="4">
        <f>IF($A637=S$613,"",COUNTIF($E$4:$E$609,$A637&amp;" ضد "&amp;S$613)+COUNTIF($E$4:$E$609,S$613&amp;" ضد "&amp;$A637))</f>
        <v>1</v>
      </c>
      <c r="T637" s="4">
        <f>IF($A637=T$613,"",COUNTIF($E$4:$E$609,$A637&amp;" ضد "&amp;T$613)+COUNTIF($E$4:$E$609,T$613&amp;" ضد "&amp;$A637))</f>
        <v>1</v>
      </c>
      <c r="U637" s="4">
        <f>IF($A637=U$613,"",COUNTIF($E$4:$E$609,$A637&amp;" ضد "&amp;U$613)+COUNTIF($E$4:$E$609,U$613&amp;" ضد "&amp;$A637))</f>
        <v>1</v>
      </c>
      <c r="V637" s="4">
        <f>IF($A637=V$613,"",COUNTIF($E$4:$E$609,$A637&amp;" ضد "&amp;V$613)+COUNTIF($E$4:$E$609,V$613&amp;" ضد "&amp;$A637))</f>
        <v>1</v>
      </c>
      <c r="W637" s="4">
        <f>IF($A637=W$613,"",COUNTIF($E$4:$E$609,$A637&amp;" ضد "&amp;W$613)+COUNTIF($E$4:$E$609,W$613&amp;" ضد "&amp;$A637))</f>
        <v>1</v>
      </c>
      <c r="X637" s="4">
        <f>IF($A637=X$613,"",COUNTIF($E$4:$E$609,$A637&amp;" ضد "&amp;X$613)+COUNTIF($E$4:$E$609,X$613&amp;" ضد "&amp;$A637))</f>
        <v>2</v>
      </c>
      <c r="Y637" s="4" t="str">
        <f>IF($A637=Y$613,"",COUNTIF($E$4:$E$609,$A637&amp;" ضد "&amp;Y$613)+COUNTIF($E$4:$E$609,Y$613&amp;" ضد "&amp;$A637))</f>
        <v/>
      </c>
      <c r="Z637" s="4">
        <f>IF($A637=Z$613,"",COUNTIF($E$4:$E$609,$A637&amp;" ضد "&amp;Z$613)+COUNTIF($E$4:$E$609,Z$613&amp;" ضد "&amp;$A637))</f>
        <v>2</v>
      </c>
      <c r="AA637" s="4">
        <f>IF($A637=AA$613,"",COUNTIF($E$4:$E$609,$A637&amp;" ضد "&amp;AA$613)+COUNTIF($E$4:$E$609,AA$613&amp;" ضد "&amp;$A637))</f>
        <v>1</v>
      </c>
      <c r="AB637" s="4">
        <f>IF($A637=AB$613,"",COUNTIF($E$4:$E$609,$A637&amp;" ضد "&amp;AB$613)+COUNTIF($E$4:$E$609,AB$613&amp;" ضد "&amp;$A637))</f>
        <v>1</v>
      </c>
      <c r="AC637" s="4">
        <f>IF($A637=AC$613,"",COUNTIF($E$4:$E$609,$A637&amp;" ضد "&amp;AC$613)+COUNTIF($E$4:$E$609,AC$613&amp;" ضد "&amp;$A637))</f>
        <v>1</v>
      </c>
      <c r="AD637" s="4">
        <f>IF($A637=AD$613,"",COUNTIF($E$4:$E$609,$A637&amp;" ضد "&amp;AD$613)+COUNTIF($E$4:$E$609,AD$613&amp;" ضد "&amp;$A637))</f>
        <v>1</v>
      </c>
      <c r="AE637" s="4">
        <f>IF($A637=AE$613,"",COUNTIF($E$4:$E$609,$A637&amp;" ضد "&amp;AE$613)+COUNTIF($E$4:$E$609,AE$613&amp;" ضد "&amp;$A637))</f>
        <v>1</v>
      </c>
      <c r="AF637" s="4">
        <f>IF($A637=AF$613,"",COUNTIF($E$4:$E$609,$A637&amp;" ضد "&amp;AF$613)+COUNTIF($E$4:$E$609,AF$613&amp;" ضد "&amp;$A637))</f>
        <v>1</v>
      </c>
      <c r="AG637" s="4">
        <f>IF($A637=AG$613,"",COUNTIF($E$4:$E$609,$A637&amp;" ضد "&amp;AG$613)+COUNTIF($E$4:$E$609,AG$613&amp;" ضد "&amp;$A637))</f>
        <v>1</v>
      </c>
      <c r="AH637" s="4">
        <f>IF($A637=AH$613,"",COUNTIF($E$4:$E$609,$A637&amp;" ضد "&amp;AH$613)+COUNTIF($E$4:$E$609,AH$613&amp;" ضد "&amp;$A637))</f>
        <v>1</v>
      </c>
      <c r="AI637" s="4">
        <f>IF($A637=AI$613,"",COUNTIF($E$4:$E$609,$A637&amp;" ضد "&amp;AI$613)+COUNTIF($E$4:$E$609,AI$613&amp;" ضد "&amp;$A637))</f>
        <v>1</v>
      </c>
      <c r="AJ637" s="4">
        <f>IF($A637=AJ$613,"",COUNTIF($E$4:$E$609,$A637&amp;" ضد "&amp;AJ$613)+COUNTIF($E$4:$E$609,AJ$613&amp;" ضد "&amp;$A637))</f>
        <v>0</v>
      </c>
      <c r="AK637" s="4">
        <f>IF($A637=AK$613,"",COUNTIF($E$4:$E$609,$A637&amp;" ضد "&amp;AK$613)+COUNTIF($E$4:$E$609,AK$613&amp;" ضد "&amp;$A637))</f>
        <v>0</v>
      </c>
      <c r="AL637" s="4">
        <f>IF($A637=AL$613,"",COUNTIF($E$4:$E$609,$A637&amp;" ضد "&amp;AL$613)+COUNTIF($E$4:$E$609,AL$613&amp;" ضد "&amp;$A637))</f>
        <v>0</v>
      </c>
      <c r="AM637" s="4">
        <f>IF($A637=AM$613,"",COUNTIF($E$4:$E$609,$A637&amp;" ضد "&amp;AM$613)+COUNTIF($E$4:$E$609,AM$613&amp;" ضد "&amp;$A637))</f>
        <v>0</v>
      </c>
      <c r="AN637" s="4">
        <f>IF($A637=AN$613,"",COUNTIF($E$4:$E$609,$A637&amp;" ضد "&amp;AN$613)+COUNTIF($E$4:$E$609,AN$613&amp;" ضد "&amp;$A637))</f>
        <v>0</v>
      </c>
      <c r="AO637" s="4">
        <f>IF($A637=AO$613,"",COUNTIF($E$4:$E$609,$A637&amp;" ضد "&amp;AO$613)+COUNTIF($E$4:$E$609,AO$613&amp;" ضد "&amp;$A637))</f>
        <v>0</v>
      </c>
      <c r="AP637" s="4">
        <f>IF($A637=AP$613,"",COUNTIF($E$4:$E$609,$A637&amp;" ضد "&amp;AP$613)+COUNTIF($E$4:$E$609,AP$613&amp;" ضد "&amp;$A637))</f>
        <v>0</v>
      </c>
      <c r="AQ637" s="4">
        <f>IF($A637=AQ$613,"",COUNTIF($E$4:$E$609,$A637&amp;" ضد "&amp;AQ$613)+COUNTIF($E$4:$E$609,AQ$613&amp;" ضد "&amp;$A637))</f>
        <v>0</v>
      </c>
      <c r="AR637" s="4">
        <f>IF($A637=AR$613,"",COUNTIF($E$4:$E$609,$A637&amp;" ضد "&amp;AR$613)+COUNTIF($E$4:$E$609,AR$613&amp;" ضد "&amp;$A637))</f>
        <v>0</v>
      </c>
      <c r="AS637" s="4">
        <f>IF($A637=AS$613,"",COUNTIF($E$4:$E$609,$A637&amp;" ضد "&amp;AS$613)+COUNTIF($E$4:$E$609,AS$613&amp;" ضد "&amp;$A637))</f>
        <v>0</v>
      </c>
      <c r="AT637" s="4">
        <f>IF($A637=AT$613,"",COUNTIF($E$4:$E$609,$A637&amp;" ضد "&amp;AT$613)+COUNTIF($E$4:$E$609,AT$613&amp;" ضد "&amp;$A637))</f>
        <v>0</v>
      </c>
      <c r="AU637" s="4">
        <f>IF($A637=AU$613,"",COUNTIF($E$4:$E$609,$A637&amp;" ضد "&amp;AU$613)+COUNTIF($E$4:$E$609,AU$613&amp;" ضد "&amp;$A637))</f>
        <v>0</v>
      </c>
      <c r="AV637" s="4">
        <f>IF($A637=AV$613,"",COUNTIF($E$4:$E$609,$A637&amp;" ضد "&amp;AV$613)+COUNTIF($E$4:$E$609,AV$613&amp;" ضد "&amp;$A637))</f>
        <v>0</v>
      </c>
      <c r="AW637" s="4">
        <f>IF($A637=AW$613,"",COUNTIF($E$4:$E$609,$A637&amp;" ضد "&amp;AW$613)+COUNTIF($E$4:$E$609,AW$613&amp;" ضد "&amp;$A637))</f>
        <v>0</v>
      </c>
      <c r="AX637" s="4">
        <f>IF($A637=AX$613,"",COUNTIF($E$4:$E$609,$A637&amp;" ضد "&amp;AX$613)+COUNTIF($E$4:$E$609,AX$613&amp;" ضد "&amp;$A637))</f>
        <v>0</v>
      </c>
      <c r="AY637" s="4">
        <f>IF($A637=AY$613,"",COUNTIF($E$4:$E$609,$A637&amp;" ضد "&amp;AY$613)+COUNTIF($E$4:$E$609,AY$613&amp;" ضد "&amp;$A637))</f>
        <v>0</v>
      </c>
      <c r="AZ637" s="4">
        <f>IF($A637=AZ$613,"",COUNTIF($E$4:$E$609,$A637&amp;" ضد "&amp;AZ$613)+COUNTIF($E$4:$E$609,AZ$613&amp;" ضد "&amp;$A637))</f>
        <v>0</v>
      </c>
      <c r="BA637" s="4">
        <f>IF($A637=BA$613,"",COUNTIF($E$4:$E$609,$A637&amp;" ضد "&amp;BA$613)+COUNTIF($E$4:$E$609,BA$613&amp;" ضد "&amp;$A637))</f>
        <v>0</v>
      </c>
      <c r="BB637" s="4">
        <f>IF($A637=BB$613,"",COUNTIF($E$4:$E$609,$A637&amp;" ضد "&amp;BB$613)+COUNTIF($E$4:$E$609,BB$613&amp;" ضد "&amp;$A637))</f>
        <v>0</v>
      </c>
      <c r="BC637" s="4">
        <f>IF($A637=BC$613,"",COUNTIF($E$4:$E$609,$A637&amp;" ضد "&amp;BC$613)+COUNTIF($E$4:$E$609,BC$613&amp;" ضد "&amp;$A637))</f>
        <v>0</v>
      </c>
      <c r="BD637" s="4">
        <f>IF($A637=BD$613,"",COUNTIF($E$4:$E$609,$A637&amp;" ضد "&amp;BD$613)+COUNTIF($E$4:$E$609,BD$613&amp;" ضد "&amp;$A637))</f>
        <v>0</v>
      </c>
      <c r="BE637" s="4">
        <f>IF($A637=BE$613,"",COUNTIF($E$4:$E$609,$A637&amp;" ضد "&amp;BE$613)+COUNTIF($E$4:$E$609,BE$613&amp;" ضد "&amp;$A637))</f>
        <v>0</v>
      </c>
      <c r="BF637" s="4">
        <f>IF($A637=BF$613,"",COUNTIF($E$4:$E$609,$A637&amp;" ضد "&amp;BF$613)+COUNTIF($E$4:$E$609,BF$613&amp;" ضد "&amp;$A637))</f>
        <v>0</v>
      </c>
      <c r="BG637" s="4">
        <f>IF($A637=BG$613,"",COUNTIF($E$4:$E$609,$A637&amp;" ضد "&amp;BG$613)+COUNTIF($E$4:$E$609,BG$613&amp;" ضد "&amp;$A637))</f>
        <v>0</v>
      </c>
      <c r="BH637" s="4">
        <f>IF($A637=BH$613,"",COUNTIF($E$4:$E$609,$A637&amp;" ضد "&amp;BH$613)+COUNTIF($E$4:$E$609,BH$613&amp;" ضد "&amp;$A637))</f>
        <v>0</v>
      </c>
      <c r="BI637" s="4">
        <f>IF($A637=BI$613,"",COUNTIF($E$4:$E$609,$A637&amp;" ضد "&amp;BI$613)+COUNTIF($E$4:$E$609,BI$613&amp;" ضد "&amp;$A637))</f>
        <v>0</v>
      </c>
      <c r="BJ637" s="4">
        <f>IF($A637=BJ$613,"",COUNTIF($E$4:$E$609,$A637&amp;" ضد "&amp;BJ$613)+COUNTIF($E$4:$E$609,BJ$613&amp;" ضد "&amp;$A637))</f>
        <v>0</v>
      </c>
      <c r="BK637" s="4">
        <f>IF($A637=BK$613,"",COUNTIF($E$4:$E$609,$A637&amp;" ضد "&amp;BK$613)+COUNTIF($E$4:$E$609,BK$613&amp;" ضد "&amp;$A637))</f>
        <v>0</v>
      </c>
      <c r="BL637" s="4">
        <f>IF($A637=BL$613,"",COUNTIF($E$4:$E$609,$A637&amp;" ضد "&amp;BL$613)+COUNTIF($E$4:$E$609,BL$613&amp;" ضد "&amp;$A637))</f>
        <v>0</v>
      </c>
      <c r="BM637" s="4">
        <f>IF($A637=BM$613,"",COUNTIF($E$4:$E$609,$A637&amp;" ضد "&amp;BM$613)+COUNTIF($E$4:$E$609,BM$613&amp;" ضد "&amp;$A637))</f>
        <v>0</v>
      </c>
      <c r="BN637" s="4">
        <f>IF($A637=BN$613,"",COUNTIF($E$4:$E$609,$A637&amp;" ضد "&amp;BN$613)+COUNTIF($E$4:$E$609,BN$613&amp;" ضد "&amp;$A637))</f>
        <v>0</v>
      </c>
      <c r="BO637" s="4">
        <f>IF($A637=BO$613,"",COUNTIF($E$4:$E$609,$A637&amp;" ضد "&amp;BO$613)+COUNTIF($E$4:$E$609,BO$613&amp;" ضد "&amp;$A637))</f>
        <v>0</v>
      </c>
      <c r="BP637" s="4">
        <f>IF($A637=BP$613,"",COUNTIF($E$4:$E$609,$A637&amp;" ضد "&amp;BP$613)+COUNTIF($E$4:$E$609,BP$613&amp;" ضد "&amp;$A637))</f>
        <v>0</v>
      </c>
    </row>
    <row r="638" spans="1:68" ht="14.5">
      <c r="A638" s="14">
        <v>25</v>
      </c>
      <c r="B638" s="4">
        <f>IF($A638=B$613,"",COUNTIF($E$4:$E$609,$A638&amp;" ضد "&amp;B$613)+COUNTIF($E$4:$E$609,B$613&amp;" ضد "&amp;$A638))</f>
        <v>0</v>
      </c>
      <c r="C638" s="4">
        <f>IF($A638=C$613,"",COUNTIF($E$4:$E$609,$A638&amp;" ضد "&amp;C$613)+COUNTIF($E$4:$E$609,C$613&amp;" ضد "&amp;$A638))</f>
        <v>0</v>
      </c>
      <c r="D638" s="4">
        <f>IF($A638=D$613,"",COUNTIF($E$4:$E$609,$A638&amp;" ضد "&amp;D$613)+COUNTIF($E$4:$E$609,D$613&amp;" ضد "&amp;$A638))</f>
        <v>0</v>
      </c>
      <c r="E638" s="4">
        <f>IF($A638=E$613,"",COUNTIF($E$4:$E$609,$A638&amp;" ضد "&amp;E$613)+COUNTIF($E$4:$E$609,E$613&amp;" ضد "&amp;$A638))</f>
        <v>0</v>
      </c>
      <c r="F638" s="4">
        <f>IF($A638=F$613,"",COUNTIF($E$4:$E$609,$A638&amp;" ضد "&amp;F$613)+COUNTIF($E$4:$E$609,F$613&amp;" ضد "&amp;$A638))</f>
        <v>0</v>
      </c>
      <c r="G638" s="4">
        <f>IF($A638=G$613,"",COUNTIF($E$4:$E$609,$A638&amp;" ضد "&amp;G$613)+COUNTIF($E$4:$E$609,G$613&amp;" ضد "&amp;$A638))</f>
        <v>0</v>
      </c>
      <c r="H638" s="4">
        <f>IF($A638=H$613,"",COUNTIF($E$4:$E$609,$A638&amp;" ضد "&amp;H$613)+COUNTIF($E$4:$E$609,H$613&amp;" ضد "&amp;$A638))</f>
        <v>0</v>
      </c>
      <c r="I638" s="4">
        <f>IF($A638=I$613,"",COUNTIF($E$4:$E$609,$A638&amp;" ضد "&amp;I$613)+COUNTIF($E$4:$E$609,I$613&amp;" ضد "&amp;$A638))</f>
        <v>0</v>
      </c>
      <c r="J638" s="4">
        <f>IF($A638=J$613,"",COUNTIF($E$4:$E$609,$A638&amp;" ضد "&amp;J$613)+COUNTIF($E$4:$E$609,J$613&amp;" ضد "&amp;$A638))</f>
        <v>0</v>
      </c>
      <c r="K638" s="4">
        <f>IF($A638=K$613,"",COUNTIF($E$4:$E$609,$A638&amp;" ضد "&amp;K$613)+COUNTIF($E$4:$E$609,K$613&amp;" ضد "&amp;$A638))</f>
        <v>0</v>
      </c>
      <c r="L638" s="4">
        <f>IF($A638=L$613,"",COUNTIF($E$4:$E$609,$A638&amp;" ضد "&amp;L$613)+COUNTIF($E$4:$E$609,L$613&amp;" ضد "&amp;$A638))</f>
        <v>0</v>
      </c>
      <c r="M638" s="4">
        <f>IF($A638=M$613,"",COUNTIF($E$4:$E$609,$A638&amp;" ضد "&amp;M$613)+COUNTIF($E$4:$E$609,M$613&amp;" ضد "&amp;$A638))</f>
        <v>0</v>
      </c>
      <c r="N638" s="4">
        <f>IF($A638=N$613,"",COUNTIF($E$4:$E$609,$A638&amp;" ضد "&amp;N$613)+COUNTIF($E$4:$E$609,N$613&amp;" ضد "&amp;$A638))</f>
        <v>0</v>
      </c>
      <c r="O638" s="4">
        <f>IF($A638=O$613,"",COUNTIF($E$4:$E$609,$A638&amp;" ضد "&amp;O$613)+COUNTIF($E$4:$E$609,O$613&amp;" ضد "&amp;$A638))</f>
        <v>0</v>
      </c>
      <c r="P638" s="4">
        <f>IF($A638=P$613,"",COUNTIF($E$4:$E$609,$A638&amp;" ضد "&amp;P$613)+COUNTIF($E$4:$E$609,P$613&amp;" ضد "&amp;$A638))</f>
        <v>0</v>
      </c>
      <c r="Q638" s="4">
        <f>IF($A638=Q$613,"",COUNTIF($E$4:$E$609,$A638&amp;" ضد "&amp;Q$613)+COUNTIF($E$4:$E$609,Q$613&amp;" ضد "&amp;$A638))</f>
        <v>0</v>
      </c>
      <c r="R638" s="4">
        <f>IF($A638=R$613,"",COUNTIF($E$4:$E$609,$A638&amp;" ضد "&amp;R$613)+COUNTIF($E$4:$E$609,R$613&amp;" ضد "&amp;$A638))</f>
        <v>0</v>
      </c>
      <c r="S638" s="4">
        <f>IF($A638=S$613,"",COUNTIF($E$4:$E$609,$A638&amp;" ضد "&amp;S$613)+COUNTIF($E$4:$E$609,S$613&amp;" ضد "&amp;$A638))</f>
        <v>1</v>
      </c>
      <c r="T638" s="4">
        <f>IF($A638=T$613,"",COUNTIF($E$4:$E$609,$A638&amp;" ضد "&amp;T$613)+COUNTIF($E$4:$E$609,T$613&amp;" ضد "&amp;$A638))</f>
        <v>1</v>
      </c>
      <c r="U638" s="4">
        <f>IF($A638=U$613,"",COUNTIF($E$4:$E$609,$A638&amp;" ضد "&amp;U$613)+COUNTIF($E$4:$E$609,U$613&amp;" ضد "&amp;$A638))</f>
        <v>1</v>
      </c>
      <c r="V638" s="4">
        <f>IF($A638=V$613,"",COUNTIF($E$4:$E$609,$A638&amp;" ضد "&amp;V$613)+COUNTIF($E$4:$E$609,V$613&amp;" ضد "&amp;$A638))</f>
        <v>1</v>
      </c>
      <c r="W638" s="4">
        <f>IF($A638=W$613,"",COUNTIF($E$4:$E$609,$A638&amp;" ضد "&amp;W$613)+COUNTIF($E$4:$E$609,W$613&amp;" ضد "&amp;$A638))</f>
        <v>1</v>
      </c>
      <c r="X638" s="4">
        <f>IF($A638=X$613,"",COUNTIF($E$4:$E$609,$A638&amp;" ضد "&amp;X$613)+COUNTIF($E$4:$E$609,X$613&amp;" ضد "&amp;$A638))</f>
        <v>1</v>
      </c>
      <c r="Y638" s="4">
        <f>IF($A638=Y$613,"",COUNTIF($E$4:$E$609,$A638&amp;" ضد "&amp;Y$613)+COUNTIF($E$4:$E$609,Y$613&amp;" ضد "&amp;$A638))</f>
        <v>2</v>
      </c>
      <c r="Z638" s="4" t="str">
        <f>IF($A638=Z$613,"",COUNTIF($E$4:$E$609,$A638&amp;" ضد "&amp;Z$613)+COUNTIF($E$4:$E$609,Z$613&amp;" ضد "&amp;$A638))</f>
        <v/>
      </c>
      <c r="AA638" s="4">
        <f>IF($A638=AA$613,"",COUNTIF($E$4:$E$609,$A638&amp;" ضد "&amp;AA$613)+COUNTIF($E$4:$E$609,AA$613&amp;" ضد "&amp;$A638))</f>
        <v>2</v>
      </c>
      <c r="AB638" s="4">
        <f>IF($A638=AB$613,"",COUNTIF($E$4:$E$609,$A638&amp;" ضد "&amp;AB$613)+COUNTIF($E$4:$E$609,AB$613&amp;" ضد "&amp;$A638))</f>
        <v>1</v>
      </c>
      <c r="AC638" s="4">
        <f>IF($A638=AC$613,"",COUNTIF($E$4:$E$609,$A638&amp;" ضد "&amp;AC$613)+COUNTIF($E$4:$E$609,AC$613&amp;" ضد "&amp;$A638))</f>
        <v>1</v>
      </c>
      <c r="AD638" s="4">
        <f>IF($A638=AD$613,"",COUNTIF($E$4:$E$609,$A638&amp;" ضد "&amp;AD$613)+COUNTIF($E$4:$E$609,AD$613&amp;" ضد "&amp;$A638))</f>
        <v>1</v>
      </c>
      <c r="AE638" s="4">
        <f>IF($A638=AE$613,"",COUNTIF($E$4:$E$609,$A638&amp;" ضد "&amp;AE$613)+COUNTIF($E$4:$E$609,AE$613&amp;" ضد "&amp;$A638))</f>
        <v>1</v>
      </c>
      <c r="AF638" s="4">
        <f>IF($A638=AF$613,"",COUNTIF($E$4:$E$609,$A638&amp;" ضد "&amp;AF$613)+COUNTIF($E$4:$E$609,AF$613&amp;" ضد "&amp;$A638))</f>
        <v>1</v>
      </c>
      <c r="AG638" s="4">
        <f>IF($A638=AG$613,"",COUNTIF($E$4:$E$609,$A638&amp;" ضد "&amp;AG$613)+COUNTIF($E$4:$E$609,AG$613&amp;" ضد "&amp;$A638))</f>
        <v>1</v>
      </c>
      <c r="AH638" s="4">
        <f>IF($A638=AH$613,"",COUNTIF($E$4:$E$609,$A638&amp;" ضد "&amp;AH$613)+COUNTIF($E$4:$E$609,AH$613&amp;" ضد "&amp;$A638))</f>
        <v>1</v>
      </c>
      <c r="AI638" s="4">
        <f>IF($A638=AI$613,"",COUNTIF($E$4:$E$609,$A638&amp;" ضد "&amp;AI$613)+COUNTIF($E$4:$E$609,AI$613&amp;" ضد "&amp;$A638))</f>
        <v>1</v>
      </c>
      <c r="AJ638" s="4">
        <f>IF($A638=AJ$613,"",COUNTIF($E$4:$E$609,$A638&amp;" ضد "&amp;AJ$613)+COUNTIF($E$4:$E$609,AJ$613&amp;" ضد "&amp;$A638))</f>
        <v>0</v>
      </c>
      <c r="AK638" s="4">
        <f>IF($A638=AK$613,"",COUNTIF($E$4:$E$609,$A638&amp;" ضد "&amp;AK$613)+COUNTIF($E$4:$E$609,AK$613&amp;" ضد "&amp;$A638))</f>
        <v>0</v>
      </c>
      <c r="AL638" s="4">
        <f>IF($A638=AL$613,"",COUNTIF($E$4:$E$609,$A638&amp;" ضد "&amp;AL$613)+COUNTIF($E$4:$E$609,AL$613&amp;" ضد "&amp;$A638))</f>
        <v>0</v>
      </c>
      <c r="AM638" s="4">
        <f>IF($A638=AM$613,"",COUNTIF($E$4:$E$609,$A638&amp;" ضد "&amp;AM$613)+COUNTIF($E$4:$E$609,AM$613&amp;" ضد "&amp;$A638))</f>
        <v>0</v>
      </c>
      <c r="AN638" s="4">
        <f>IF($A638=AN$613,"",COUNTIF($E$4:$E$609,$A638&amp;" ضد "&amp;AN$613)+COUNTIF($E$4:$E$609,AN$613&amp;" ضد "&amp;$A638))</f>
        <v>0</v>
      </c>
      <c r="AO638" s="4">
        <f>IF($A638=AO$613,"",COUNTIF($E$4:$E$609,$A638&amp;" ضد "&amp;AO$613)+COUNTIF($E$4:$E$609,AO$613&amp;" ضد "&amp;$A638))</f>
        <v>0</v>
      </c>
      <c r="AP638" s="4">
        <f>IF($A638=AP$613,"",COUNTIF($E$4:$E$609,$A638&amp;" ضد "&amp;AP$613)+COUNTIF($E$4:$E$609,AP$613&amp;" ضد "&amp;$A638))</f>
        <v>0</v>
      </c>
      <c r="AQ638" s="4">
        <f>IF($A638=AQ$613,"",COUNTIF($E$4:$E$609,$A638&amp;" ضد "&amp;AQ$613)+COUNTIF($E$4:$E$609,AQ$613&amp;" ضد "&amp;$A638))</f>
        <v>0</v>
      </c>
      <c r="AR638" s="4">
        <f>IF($A638=AR$613,"",COUNTIF($E$4:$E$609,$A638&amp;" ضد "&amp;AR$613)+COUNTIF($E$4:$E$609,AR$613&amp;" ضد "&amp;$A638))</f>
        <v>0</v>
      </c>
      <c r="AS638" s="4">
        <f>IF($A638=AS$613,"",COUNTIF($E$4:$E$609,$A638&amp;" ضد "&amp;AS$613)+COUNTIF($E$4:$E$609,AS$613&amp;" ضد "&amp;$A638))</f>
        <v>0</v>
      </c>
      <c r="AT638" s="4">
        <f>IF($A638=AT$613,"",COUNTIF($E$4:$E$609,$A638&amp;" ضد "&amp;AT$613)+COUNTIF($E$4:$E$609,AT$613&amp;" ضد "&amp;$A638))</f>
        <v>0</v>
      </c>
      <c r="AU638" s="4">
        <f>IF($A638=AU$613,"",COUNTIF($E$4:$E$609,$A638&amp;" ضد "&amp;AU$613)+COUNTIF($E$4:$E$609,AU$613&amp;" ضد "&amp;$A638))</f>
        <v>0</v>
      </c>
      <c r="AV638" s="4">
        <f>IF($A638=AV$613,"",COUNTIF($E$4:$E$609,$A638&amp;" ضد "&amp;AV$613)+COUNTIF($E$4:$E$609,AV$613&amp;" ضد "&amp;$A638))</f>
        <v>0</v>
      </c>
      <c r="AW638" s="4">
        <f>IF($A638=AW$613,"",COUNTIF($E$4:$E$609,$A638&amp;" ضد "&amp;AW$613)+COUNTIF($E$4:$E$609,AW$613&amp;" ضد "&amp;$A638))</f>
        <v>0</v>
      </c>
      <c r="AX638" s="4">
        <f>IF($A638=AX$613,"",COUNTIF($E$4:$E$609,$A638&amp;" ضد "&amp;AX$613)+COUNTIF($E$4:$E$609,AX$613&amp;" ضد "&amp;$A638))</f>
        <v>0</v>
      </c>
      <c r="AY638" s="4">
        <f>IF($A638=AY$613,"",COUNTIF($E$4:$E$609,$A638&amp;" ضد "&amp;AY$613)+COUNTIF($E$4:$E$609,AY$613&amp;" ضد "&amp;$A638))</f>
        <v>0</v>
      </c>
      <c r="AZ638" s="4">
        <f>IF($A638=AZ$613,"",COUNTIF($E$4:$E$609,$A638&amp;" ضد "&amp;AZ$613)+COUNTIF($E$4:$E$609,AZ$613&amp;" ضد "&amp;$A638))</f>
        <v>0</v>
      </c>
      <c r="BA638" s="4">
        <f>IF($A638=BA$613,"",COUNTIF($E$4:$E$609,$A638&amp;" ضد "&amp;BA$613)+COUNTIF($E$4:$E$609,BA$613&amp;" ضد "&amp;$A638))</f>
        <v>0</v>
      </c>
      <c r="BB638" s="4">
        <f>IF($A638=BB$613,"",COUNTIF($E$4:$E$609,$A638&amp;" ضد "&amp;BB$613)+COUNTIF($E$4:$E$609,BB$613&amp;" ضد "&amp;$A638))</f>
        <v>0</v>
      </c>
      <c r="BC638" s="4">
        <f>IF($A638=BC$613,"",COUNTIF($E$4:$E$609,$A638&amp;" ضد "&amp;BC$613)+COUNTIF($E$4:$E$609,BC$613&amp;" ضد "&amp;$A638))</f>
        <v>0</v>
      </c>
      <c r="BD638" s="4">
        <f>IF($A638=BD$613,"",COUNTIF($E$4:$E$609,$A638&amp;" ضد "&amp;BD$613)+COUNTIF($E$4:$E$609,BD$613&amp;" ضد "&amp;$A638))</f>
        <v>0</v>
      </c>
      <c r="BE638" s="4">
        <f>IF($A638=BE$613,"",COUNTIF($E$4:$E$609,$A638&amp;" ضد "&amp;BE$613)+COUNTIF($E$4:$E$609,BE$613&amp;" ضد "&amp;$A638))</f>
        <v>0</v>
      </c>
      <c r="BF638" s="4">
        <f>IF($A638=BF$613,"",COUNTIF($E$4:$E$609,$A638&amp;" ضد "&amp;BF$613)+COUNTIF($E$4:$E$609,BF$613&amp;" ضد "&amp;$A638))</f>
        <v>0</v>
      </c>
      <c r="BG638" s="4">
        <f>IF($A638=BG$613,"",COUNTIF($E$4:$E$609,$A638&amp;" ضد "&amp;BG$613)+COUNTIF($E$4:$E$609,BG$613&amp;" ضد "&amp;$A638))</f>
        <v>0</v>
      </c>
      <c r="BH638" s="4">
        <f>IF($A638=BH$613,"",COUNTIF($E$4:$E$609,$A638&amp;" ضد "&amp;BH$613)+COUNTIF($E$4:$E$609,BH$613&amp;" ضد "&amp;$A638))</f>
        <v>0</v>
      </c>
      <c r="BI638" s="4">
        <f>IF($A638=BI$613,"",COUNTIF($E$4:$E$609,$A638&amp;" ضد "&amp;BI$613)+COUNTIF($E$4:$E$609,BI$613&amp;" ضد "&amp;$A638))</f>
        <v>0</v>
      </c>
      <c r="BJ638" s="4">
        <f>IF($A638=BJ$613,"",COUNTIF($E$4:$E$609,$A638&amp;" ضد "&amp;BJ$613)+COUNTIF($E$4:$E$609,BJ$613&amp;" ضد "&amp;$A638))</f>
        <v>0</v>
      </c>
      <c r="BK638" s="4">
        <f>IF($A638=BK$613,"",COUNTIF($E$4:$E$609,$A638&amp;" ضد "&amp;BK$613)+COUNTIF($E$4:$E$609,BK$613&amp;" ضد "&amp;$A638))</f>
        <v>0</v>
      </c>
      <c r="BL638" s="4">
        <f>IF($A638=BL$613,"",COUNTIF($E$4:$E$609,$A638&amp;" ضد "&amp;BL$613)+COUNTIF($E$4:$E$609,BL$613&amp;" ضد "&amp;$A638))</f>
        <v>0</v>
      </c>
      <c r="BM638" s="4">
        <f>IF($A638=BM$613,"",COUNTIF($E$4:$E$609,$A638&amp;" ضد "&amp;BM$613)+COUNTIF($E$4:$E$609,BM$613&amp;" ضد "&amp;$A638))</f>
        <v>0</v>
      </c>
      <c r="BN638" s="4">
        <f>IF($A638=BN$613,"",COUNTIF($E$4:$E$609,$A638&amp;" ضد "&amp;BN$613)+COUNTIF($E$4:$E$609,BN$613&amp;" ضد "&amp;$A638))</f>
        <v>0</v>
      </c>
      <c r="BO638" s="4">
        <f>IF($A638=BO$613,"",COUNTIF($E$4:$E$609,$A638&amp;" ضد "&amp;BO$613)+COUNTIF($E$4:$E$609,BO$613&amp;" ضد "&amp;$A638))</f>
        <v>0</v>
      </c>
      <c r="BP638" s="4">
        <f>IF($A638=BP$613,"",COUNTIF($E$4:$E$609,$A638&amp;" ضد "&amp;BP$613)+COUNTIF($E$4:$E$609,BP$613&amp;" ضد "&amp;$A638))</f>
        <v>0</v>
      </c>
    </row>
    <row r="639" spans="1:68" ht="14.5">
      <c r="A639" s="14">
        <v>26</v>
      </c>
      <c r="B639" s="4">
        <f>IF($A639=B$613,"",COUNTIF($E$4:$E$609,$A639&amp;" ضد "&amp;B$613)+COUNTIF($E$4:$E$609,B$613&amp;" ضد "&amp;$A639))</f>
        <v>0</v>
      </c>
      <c r="C639" s="4">
        <f>IF($A639=C$613,"",COUNTIF($E$4:$E$609,$A639&amp;" ضد "&amp;C$613)+COUNTIF($E$4:$E$609,C$613&amp;" ضد "&amp;$A639))</f>
        <v>0</v>
      </c>
      <c r="D639" s="4">
        <f>IF($A639=D$613,"",COUNTIF($E$4:$E$609,$A639&amp;" ضد "&amp;D$613)+COUNTIF($E$4:$E$609,D$613&amp;" ضد "&amp;$A639))</f>
        <v>0</v>
      </c>
      <c r="E639" s="4">
        <f>IF($A639=E$613,"",COUNTIF($E$4:$E$609,$A639&amp;" ضد "&amp;E$613)+COUNTIF($E$4:$E$609,E$613&amp;" ضد "&amp;$A639))</f>
        <v>0</v>
      </c>
      <c r="F639" s="4">
        <f>IF($A639=F$613,"",COUNTIF($E$4:$E$609,$A639&amp;" ضد "&amp;F$613)+COUNTIF($E$4:$E$609,F$613&amp;" ضد "&amp;$A639))</f>
        <v>0</v>
      </c>
      <c r="G639" s="4">
        <f>IF($A639=G$613,"",COUNTIF($E$4:$E$609,$A639&amp;" ضد "&amp;G$613)+COUNTIF($E$4:$E$609,G$613&amp;" ضد "&amp;$A639))</f>
        <v>0</v>
      </c>
      <c r="H639" s="4">
        <f>IF($A639=H$613,"",COUNTIF($E$4:$E$609,$A639&amp;" ضد "&amp;H$613)+COUNTIF($E$4:$E$609,H$613&amp;" ضد "&amp;$A639))</f>
        <v>0</v>
      </c>
      <c r="I639" s="4">
        <f>IF($A639=I$613,"",COUNTIF($E$4:$E$609,$A639&amp;" ضد "&amp;I$613)+COUNTIF($E$4:$E$609,I$613&amp;" ضد "&amp;$A639))</f>
        <v>0</v>
      </c>
      <c r="J639" s="4">
        <f>IF($A639=J$613,"",COUNTIF($E$4:$E$609,$A639&amp;" ضد "&amp;J$613)+COUNTIF($E$4:$E$609,J$613&amp;" ضد "&amp;$A639))</f>
        <v>0</v>
      </c>
      <c r="K639" s="4">
        <f>IF($A639=K$613,"",COUNTIF($E$4:$E$609,$A639&amp;" ضد "&amp;K$613)+COUNTIF($E$4:$E$609,K$613&amp;" ضد "&amp;$A639))</f>
        <v>0</v>
      </c>
      <c r="L639" s="4">
        <f>IF($A639=L$613,"",COUNTIF($E$4:$E$609,$A639&amp;" ضد "&amp;L$613)+COUNTIF($E$4:$E$609,L$613&amp;" ضد "&amp;$A639))</f>
        <v>0</v>
      </c>
      <c r="M639" s="4">
        <f>IF($A639=M$613,"",COUNTIF($E$4:$E$609,$A639&amp;" ضد "&amp;M$613)+COUNTIF($E$4:$E$609,M$613&amp;" ضد "&amp;$A639))</f>
        <v>0</v>
      </c>
      <c r="N639" s="4">
        <f>IF($A639=N$613,"",COUNTIF($E$4:$E$609,$A639&amp;" ضد "&amp;N$613)+COUNTIF($E$4:$E$609,N$613&amp;" ضد "&amp;$A639))</f>
        <v>0</v>
      </c>
      <c r="O639" s="4">
        <f>IF($A639=O$613,"",COUNTIF($E$4:$E$609,$A639&amp;" ضد "&amp;O$613)+COUNTIF($E$4:$E$609,O$613&amp;" ضد "&amp;$A639))</f>
        <v>0</v>
      </c>
      <c r="P639" s="4">
        <f>IF($A639=P$613,"",COUNTIF($E$4:$E$609,$A639&amp;" ضد "&amp;P$613)+COUNTIF($E$4:$E$609,P$613&amp;" ضد "&amp;$A639))</f>
        <v>0</v>
      </c>
      <c r="Q639" s="4">
        <f>IF($A639=Q$613,"",COUNTIF($E$4:$E$609,$A639&amp;" ضد "&amp;Q$613)+COUNTIF($E$4:$E$609,Q$613&amp;" ضد "&amp;$A639))</f>
        <v>0</v>
      </c>
      <c r="R639" s="4">
        <f>IF($A639=R$613,"",COUNTIF($E$4:$E$609,$A639&amp;" ضد "&amp;R$613)+COUNTIF($E$4:$E$609,R$613&amp;" ضد "&amp;$A639))</f>
        <v>0</v>
      </c>
      <c r="S639" s="4">
        <f>IF($A639=S$613,"",COUNTIF($E$4:$E$609,$A639&amp;" ضد "&amp;S$613)+COUNTIF($E$4:$E$609,S$613&amp;" ضد "&amp;$A639))</f>
        <v>1</v>
      </c>
      <c r="T639" s="4">
        <f>IF($A639=T$613,"",COUNTIF($E$4:$E$609,$A639&amp;" ضد "&amp;T$613)+COUNTIF($E$4:$E$609,T$613&amp;" ضد "&amp;$A639))</f>
        <v>1</v>
      </c>
      <c r="U639" s="4">
        <f>IF($A639=U$613,"",COUNTIF($E$4:$E$609,$A639&amp;" ضد "&amp;U$613)+COUNTIF($E$4:$E$609,U$613&amp;" ضد "&amp;$A639))</f>
        <v>1</v>
      </c>
      <c r="V639" s="4">
        <f>IF($A639=V$613,"",COUNTIF($E$4:$E$609,$A639&amp;" ضد "&amp;V$613)+COUNTIF($E$4:$E$609,V$613&amp;" ضد "&amp;$A639))</f>
        <v>1</v>
      </c>
      <c r="W639" s="4">
        <f>IF($A639=W$613,"",COUNTIF($E$4:$E$609,$A639&amp;" ضد "&amp;W$613)+COUNTIF($E$4:$E$609,W$613&amp;" ضد "&amp;$A639))</f>
        <v>1</v>
      </c>
      <c r="X639" s="4">
        <f>IF($A639=X$613,"",COUNTIF($E$4:$E$609,$A639&amp;" ضد "&amp;X$613)+COUNTIF($E$4:$E$609,X$613&amp;" ضد "&amp;$A639))</f>
        <v>1</v>
      </c>
      <c r="Y639" s="4">
        <f>IF($A639=Y$613,"",COUNTIF($E$4:$E$609,$A639&amp;" ضد "&amp;Y$613)+COUNTIF($E$4:$E$609,Y$613&amp;" ضد "&amp;$A639))</f>
        <v>1</v>
      </c>
      <c r="Z639" s="4">
        <f>IF($A639=Z$613,"",COUNTIF($E$4:$E$609,$A639&amp;" ضد "&amp;Z$613)+COUNTIF($E$4:$E$609,Z$613&amp;" ضد "&amp;$A639))</f>
        <v>2</v>
      </c>
      <c r="AA639" s="4" t="str">
        <f>IF($A639=AA$613,"",COUNTIF($E$4:$E$609,$A639&amp;" ضد "&amp;AA$613)+COUNTIF($E$4:$E$609,AA$613&amp;" ضد "&amp;$A639))</f>
        <v/>
      </c>
      <c r="AB639" s="4">
        <f>IF($A639=AB$613,"",COUNTIF($E$4:$E$609,$A639&amp;" ضد "&amp;AB$613)+COUNTIF($E$4:$E$609,AB$613&amp;" ضد "&amp;$A639))</f>
        <v>2</v>
      </c>
      <c r="AC639" s="4">
        <f>IF($A639=AC$613,"",COUNTIF($E$4:$E$609,$A639&amp;" ضد "&amp;AC$613)+COUNTIF($E$4:$E$609,AC$613&amp;" ضد "&amp;$A639))</f>
        <v>1</v>
      </c>
      <c r="AD639" s="4">
        <f>IF($A639=AD$613,"",COUNTIF($E$4:$E$609,$A639&amp;" ضد "&amp;AD$613)+COUNTIF($E$4:$E$609,AD$613&amp;" ضد "&amp;$A639))</f>
        <v>1</v>
      </c>
      <c r="AE639" s="4">
        <f>IF($A639=AE$613,"",COUNTIF($E$4:$E$609,$A639&amp;" ضد "&amp;AE$613)+COUNTIF($E$4:$E$609,AE$613&amp;" ضد "&amp;$A639))</f>
        <v>1</v>
      </c>
      <c r="AF639" s="4">
        <f>IF($A639=AF$613,"",COUNTIF($E$4:$E$609,$A639&amp;" ضد "&amp;AF$613)+COUNTIF($E$4:$E$609,AF$613&amp;" ضد "&amp;$A639))</f>
        <v>1</v>
      </c>
      <c r="AG639" s="4">
        <f>IF($A639=AG$613,"",COUNTIF($E$4:$E$609,$A639&amp;" ضد "&amp;AG$613)+COUNTIF($E$4:$E$609,AG$613&amp;" ضد "&amp;$A639))</f>
        <v>1</v>
      </c>
      <c r="AH639" s="4">
        <f>IF($A639=AH$613,"",COUNTIF($E$4:$E$609,$A639&amp;" ضد "&amp;AH$613)+COUNTIF($E$4:$E$609,AH$613&amp;" ضد "&amp;$A639))</f>
        <v>1</v>
      </c>
      <c r="AI639" s="4">
        <f>IF($A639=AI$613,"",COUNTIF($E$4:$E$609,$A639&amp;" ضد "&amp;AI$613)+COUNTIF($E$4:$E$609,AI$613&amp;" ضد "&amp;$A639))</f>
        <v>1</v>
      </c>
      <c r="AJ639" s="4">
        <f>IF($A639=AJ$613,"",COUNTIF($E$4:$E$609,$A639&amp;" ضد "&amp;AJ$613)+COUNTIF($E$4:$E$609,AJ$613&amp;" ضد "&amp;$A639))</f>
        <v>0</v>
      </c>
      <c r="AK639" s="4">
        <f>IF($A639=AK$613,"",COUNTIF($E$4:$E$609,$A639&amp;" ضد "&amp;AK$613)+COUNTIF($E$4:$E$609,AK$613&amp;" ضد "&amp;$A639))</f>
        <v>0</v>
      </c>
      <c r="AL639" s="4">
        <f>IF($A639=AL$613,"",COUNTIF($E$4:$E$609,$A639&amp;" ضد "&amp;AL$613)+COUNTIF($E$4:$E$609,AL$613&amp;" ضد "&amp;$A639))</f>
        <v>0</v>
      </c>
      <c r="AM639" s="4">
        <f>IF($A639=AM$613,"",COUNTIF($E$4:$E$609,$A639&amp;" ضد "&amp;AM$613)+COUNTIF($E$4:$E$609,AM$613&amp;" ضد "&amp;$A639))</f>
        <v>0</v>
      </c>
      <c r="AN639" s="4">
        <f>IF($A639=AN$613,"",COUNTIF($E$4:$E$609,$A639&amp;" ضد "&amp;AN$613)+COUNTIF($E$4:$E$609,AN$613&amp;" ضد "&amp;$A639))</f>
        <v>0</v>
      </c>
      <c r="AO639" s="4">
        <f>IF($A639=AO$613,"",COUNTIF($E$4:$E$609,$A639&amp;" ضد "&amp;AO$613)+COUNTIF($E$4:$E$609,AO$613&amp;" ضد "&amp;$A639))</f>
        <v>0</v>
      </c>
      <c r="AP639" s="4">
        <f>IF($A639=AP$613,"",COUNTIF($E$4:$E$609,$A639&amp;" ضد "&amp;AP$613)+COUNTIF($E$4:$E$609,AP$613&amp;" ضد "&amp;$A639))</f>
        <v>0</v>
      </c>
      <c r="AQ639" s="4">
        <f>IF($A639=AQ$613,"",COUNTIF($E$4:$E$609,$A639&amp;" ضد "&amp;AQ$613)+COUNTIF($E$4:$E$609,AQ$613&amp;" ضد "&amp;$A639))</f>
        <v>0</v>
      </c>
      <c r="AR639" s="4">
        <f>IF($A639=AR$613,"",COUNTIF($E$4:$E$609,$A639&amp;" ضد "&amp;AR$613)+COUNTIF($E$4:$E$609,AR$613&amp;" ضد "&amp;$A639))</f>
        <v>0</v>
      </c>
      <c r="AS639" s="4">
        <f>IF($A639=AS$613,"",COUNTIF($E$4:$E$609,$A639&amp;" ضد "&amp;AS$613)+COUNTIF($E$4:$E$609,AS$613&amp;" ضد "&amp;$A639))</f>
        <v>0</v>
      </c>
      <c r="AT639" s="4">
        <f>IF($A639=AT$613,"",COUNTIF($E$4:$E$609,$A639&amp;" ضد "&amp;AT$613)+COUNTIF($E$4:$E$609,AT$613&amp;" ضد "&amp;$A639))</f>
        <v>0</v>
      </c>
      <c r="AU639" s="4">
        <f>IF($A639=AU$613,"",COUNTIF($E$4:$E$609,$A639&amp;" ضد "&amp;AU$613)+COUNTIF($E$4:$E$609,AU$613&amp;" ضد "&amp;$A639))</f>
        <v>0</v>
      </c>
      <c r="AV639" s="4">
        <f>IF($A639=AV$613,"",COUNTIF($E$4:$E$609,$A639&amp;" ضد "&amp;AV$613)+COUNTIF($E$4:$E$609,AV$613&amp;" ضد "&amp;$A639))</f>
        <v>0</v>
      </c>
      <c r="AW639" s="4">
        <f>IF($A639=AW$613,"",COUNTIF($E$4:$E$609,$A639&amp;" ضد "&amp;AW$613)+COUNTIF($E$4:$E$609,AW$613&amp;" ضد "&amp;$A639))</f>
        <v>0</v>
      </c>
      <c r="AX639" s="4">
        <f>IF($A639=AX$613,"",COUNTIF($E$4:$E$609,$A639&amp;" ضد "&amp;AX$613)+COUNTIF($E$4:$E$609,AX$613&amp;" ضد "&amp;$A639))</f>
        <v>0</v>
      </c>
      <c r="AY639" s="4">
        <f>IF($A639=AY$613,"",COUNTIF($E$4:$E$609,$A639&amp;" ضد "&amp;AY$613)+COUNTIF($E$4:$E$609,AY$613&amp;" ضد "&amp;$A639))</f>
        <v>0</v>
      </c>
      <c r="AZ639" s="4">
        <f>IF($A639=AZ$613,"",COUNTIF($E$4:$E$609,$A639&amp;" ضد "&amp;AZ$613)+COUNTIF($E$4:$E$609,AZ$613&amp;" ضد "&amp;$A639))</f>
        <v>0</v>
      </c>
      <c r="BA639" s="4">
        <f>IF($A639=BA$613,"",COUNTIF($E$4:$E$609,$A639&amp;" ضد "&amp;BA$613)+COUNTIF($E$4:$E$609,BA$613&amp;" ضد "&amp;$A639))</f>
        <v>0</v>
      </c>
      <c r="BB639" s="4">
        <f>IF($A639=BB$613,"",COUNTIF($E$4:$E$609,$A639&amp;" ضد "&amp;BB$613)+COUNTIF($E$4:$E$609,BB$613&amp;" ضد "&amp;$A639))</f>
        <v>0</v>
      </c>
      <c r="BC639" s="4">
        <f>IF($A639=BC$613,"",COUNTIF($E$4:$E$609,$A639&amp;" ضد "&amp;BC$613)+COUNTIF($E$4:$E$609,BC$613&amp;" ضد "&amp;$A639))</f>
        <v>0</v>
      </c>
      <c r="BD639" s="4">
        <f>IF($A639=BD$613,"",COUNTIF($E$4:$E$609,$A639&amp;" ضد "&amp;BD$613)+COUNTIF($E$4:$E$609,BD$613&amp;" ضد "&amp;$A639))</f>
        <v>0</v>
      </c>
      <c r="BE639" s="4">
        <f>IF($A639=BE$613,"",COUNTIF($E$4:$E$609,$A639&amp;" ضد "&amp;BE$613)+COUNTIF($E$4:$E$609,BE$613&amp;" ضد "&amp;$A639))</f>
        <v>0</v>
      </c>
      <c r="BF639" s="4">
        <f>IF($A639=BF$613,"",COUNTIF($E$4:$E$609,$A639&amp;" ضد "&amp;BF$613)+COUNTIF($E$4:$E$609,BF$613&amp;" ضد "&amp;$A639))</f>
        <v>0</v>
      </c>
      <c r="BG639" s="4">
        <f>IF($A639=BG$613,"",COUNTIF($E$4:$E$609,$A639&amp;" ضد "&amp;BG$613)+COUNTIF($E$4:$E$609,BG$613&amp;" ضد "&amp;$A639))</f>
        <v>0</v>
      </c>
      <c r="BH639" s="4">
        <f>IF($A639=BH$613,"",COUNTIF($E$4:$E$609,$A639&amp;" ضد "&amp;BH$613)+COUNTIF($E$4:$E$609,BH$613&amp;" ضد "&amp;$A639))</f>
        <v>0</v>
      </c>
      <c r="BI639" s="4">
        <f>IF($A639=BI$613,"",COUNTIF($E$4:$E$609,$A639&amp;" ضد "&amp;BI$613)+COUNTIF($E$4:$E$609,BI$613&amp;" ضد "&amp;$A639))</f>
        <v>0</v>
      </c>
      <c r="BJ639" s="4">
        <f>IF($A639=BJ$613,"",COUNTIF($E$4:$E$609,$A639&amp;" ضد "&amp;BJ$613)+COUNTIF($E$4:$E$609,BJ$613&amp;" ضد "&amp;$A639))</f>
        <v>0</v>
      </c>
      <c r="BK639" s="4">
        <f>IF($A639=BK$613,"",COUNTIF($E$4:$E$609,$A639&amp;" ضد "&amp;BK$613)+COUNTIF($E$4:$E$609,BK$613&amp;" ضد "&amp;$A639))</f>
        <v>0</v>
      </c>
      <c r="BL639" s="4">
        <f>IF($A639=BL$613,"",COUNTIF($E$4:$E$609,$A639&amp;" ضد "&amp;BL$613)+COUNTIF($E$4:$E$609,BL$613&amp;" ضد "&amp;$A639))</f>
        <v>0</v>
      </c>
      <c r="BM639" s="4">
        <f>IF($A639=BM$613,"",COUNTIF($E$4:$E$609,$A639&amp;" ضد "&amp;BM$613)+COUNTIF($E$4:$E$609,BM$613&amp;" ضد "&amp;$A639))</f>
        <v>0</v>
      </c>
      <c r="BN639" s="4">
        <f>IF($A639=BN$613,"",COUNTIF($E$4:$E$609,$A639&amp;" ضد "&amp;BN$613)+COUNTIF($E$4:$E$609,BN$613&amp;" ضد "&amp;$A639))</f>
        <v>0</v>
      </c>
      <c r="BO639" s="4">
        <f>IF($A639=BO$613,"",COUNTIF($E$4:$E$609,$A639&amp;" ضد "&amp;BO$613)+COUNTIF($E$4:$E$609,BO$613&amp;" ضد "&amp;$A639))</f>
        <v>0</v>
      </c>
      <c r="BP639" s="4">
        <f>IF($A639=BP$613,"",COUNTIF($E$4:$E$609,$A639&amp;" ضد "&amp;BP$613)+COUNTIF($E$4:$E$609,BP$613&amp;" ضد "&amp;$A639))</f>
        <v>0</v>
      </c>
    </row>
    <row r="640" spans="1:68" ht="14.5">
      <c r="A640" s="14">
        <v>27</v>
      </c>
      <c r="B640" s="4">
        <f>IF($A640=B$613,"",COUNTIF($E$4:$E$609,$A640&amp;" ضد "&amp;B$613)+COUNTIF($E$4:$E$609,B$613&amp;" ضد "&amp;$A640))</f>
        <v>0</v>
      </c>
      <c r="C640" s="4">
        <f>IF($A640=C$613,"",COUNTIF($E$4:$E$609,$A640&amp;" ضد "&amp;C$613)+COUNTIF($E$4:$E$609,C$613&amp;" ضد "&amp;$A640))</f>
        <v>0</v>
      </c>
      <c r="D640" s="4">
        <f>IF($A640=D$613,"",COUNTIF($E$4:$E$609,$A640&amp;" ضد "&amp;D$613)+COUNTIF($E$4:$E$609,D$613&amp;" ضد "&amp;$A640))</f>
        <v>0</v>
      </c>
      <c r="E640" s="4">
        <f>IF($A640=E$613,"",COUNTIF($E$4:$E$609,$A640&amp;" ضد "&amp;E$613)+COUNTIF($E$4:$E$609,E$613&amp;" ضد "&amp;$A640))</f>
        <v>0</v>
      </c>
      <c r="F640" s="4">
        <f>IF($A640=F$613,"",COUNTIF($E$4:$E$609,$A640&amp;" ضد "&amp;F$613)+COUNTIF($E$4:$E$609,F$613&amp;" ضد "&amp;$A640))</f>
        <v>0</v>
      </c>
      <c r="G640" s="4">
        <f>IF($A640=G$613,"",COUNTIF($E$4:$E$609,$A640&amp;" ضد "&amp;G$613)+COUNTIF($E$4:$E$609,G$613&amp;" ضد "&amp;$A640))</f>
        <v>0</v>
      </c>
      <c r="H640" s="4">
        <f>IF($A640=H$613,"",COUNTIF($E$4:$E$609,$A640&amp;" ضد "&amp;H$613)+COUNTIF($E$4:$E$609,H$613&amp;" ضد "&amp;$A640))</f>
        <v>0</v>
      </c>
      <c r="I640" s="4">
        <f>IF($A640=I$613,"",COUNTIF($E$4:$E$609,$A640&amp;" ضد "&amp;I$613)+COUNTIF($E$4:$E$609,I$613&amp;" ضد "&amp;$A640))</f>
        <v>0</v>
      </c>
      <c r="J640" s="4">
        <f>IF($A640=J$613,"",COUNTIF($E$4:$E$609,$A640&amp;" ضد "&amp;J$613)+COUNTIF($E$4:$E$609,J$613&amp;" ضد "&amp;$A640))</f>
        <v>0</v>
      </c>
      <c r="K640" s="4">
        <f>IF($A640=K$613,"",COUNTIF($E$4:$E$609,$A640&amp;" ضد "&amp;K$613)+COUNTIF($E$4:$E$609,K$613&amp;" ضد "&amp;$A640))</f>
        <v>0</v>
      </c>
      <c r="L640" s="4">
        <f>IF($A640=L$613,"",COUNTIF($E$4:$E$609,$A640&amp;" ضد "&amp;L$613)+COUNTIF($E$4:$E$609,L$613&amp;" ضد "&amp;$A640))</f>
        <v>0</v>
      </c>
      <c r="M640" s="4">
        <f>IF($A640=M$613,"",COUNTIF($E$4:$E$609,$A640&amp;" ضد "&amp;M$613)+COUNTIF($E$4:$E$609,M$613&amp;" ضد "&amp;$A640))</f>
        <v>0</v>
      </c>
      <c r="N640" s="4">
        <f>IF($A640=N$613,"",COUNTIF($E$4:$E$609,$A640&amp;" ضد "&amp;N$613)+COUNTIF($E$4:$E$609,N$613&amp;" ضد "&amp;$A640))</f>
        <v>0</v>
      </c>
      <c r="O640" s="4">
        <f>IF($A640=O$613,"",COUNTIF($E$4:$E$609,$A640&amp;" ضد "&amp;O$613)+COUNTIF($E$4:$E$609,O$613&amp;" ضد "&amp;$A640))</f>
        <v>0</v>
      </c>
      <c r="P640" s="4">
        <f>IF($A640=P$613,"",COUNTIF($E$4:$E$609,$A640&amp;" ضد "&amp;P$613)+COUNTIF($E$4:$E$609,P$613&amp;" ضد "&amp;$A640))</f>
        <v>0</v>
      </c>
      <c r="Q640" s="4">
        <f>IF($A640=Q$613,"",COUNTIF($E$4:$E$609,$A640&amp;" ضد "&amp;Q$613)+COUNTIF($E$4:$E$609,Q$613&amp;" ضد "&amp;$A640))</f>
        <v>0</v>
      </c>
      <c r="R640" s="4">
        <f>IF($A640=R$613,"",COUNTIF($E$4:$E$609,$A640&amp;" ضد "&amp;R$613)+COUNTIF($E$4:$E$609,R$613&amp;" ضد "&amp;$A640))</f>
        <v>0</v>
      </c>
      <c r="S640" s="4">
        <f>IF($A640=S$613,"",COUNTIF($E$4:$E$609,$A640&amp;" ضد "&amp;S$613)+COUNTIF($E$4:$E$609,S$613&amp;" ضد "&amp;$A640))</f>
        <v>1</v>
      </c>
      <c r="T640" s="4">
        <f>IF($A640=T$613,"",COUNTIF($E$4:$E$609,$A640&amp;" ضد "&amp;T$613)+COUNTIF($E$4:$E$609,T$613&amp;" ضد "&amp;$A640))</f>
        <v>1</v>
      </c>
      <c r="U640" s="4">
        <f>IF($A640=U$613,"",COUNTIF($E$4:$E$609,$A640&amp;" ضد "&amp;U$613)+COUNTIF($E$4:$E$609,U$613&amp;" ضد "&amp;$A640))</f>
        <v>1</v>
      </c>
      <c r="V640" s="4">
        <f>IF($A640=V$613,"",COUNTIF($E$4:$E$609,$A640&amp;" ضد "&amp;V$613)+COUNTIF($E$4:$E$609,V$613&amp;" ضد "&amp;$A640))</f>
        <v>1</v>
      </c>
      <c r="W640" s="4">
        <f>IF($A640=W$613,"",COUNTIF($E$4:$E$609,$A640&amp;" ضد "&amp;W$613)+COUNTIF($E$4:$E$609,W$613&amp;" ضد "&amp;$A640))</f>
        <v>1</v>
      </c>
      <c r="X640" s="4">
        <f>IF($A640=X$613,"",COUNTIF($E$4:$E$609,$A640&amp;" ضد "&amp;X$613)+COUNTIF($E$4:$E$609,X$613&amp;" ضد "&amp;$A640))</f>
        <v>1</v>
      </c>
      <c r="Y640" s="4">
        <f>IF($A640=Y$613,"",COUNTIF($E$4:$E$609,$A640&amp;" ضد "&amp;Y$613)+COUNTIF($E$4:$E$609,Y$613&amp;" ضد "&amp;$A640))</f>
        <v>1</v>
      </c>
      <c r="Z640" s="4">
        <f>IF($A640=Z$613,"",COUNTIF($E$4:$E$609,$A640&amp;" ضد "&amp;Z$613)+COUNTIF($E$4:$E$609,Z$613&amp;" ضد "&amp;$A640))</f>
        <v>1</v>
      </c>
      <c r="AA640" s="4">
        <f>IF($A640=AA$613,"",COUNTIF($E$4:$E$609,$A640&amp;" ضد "&amp;AA$613)+COUNTIF($E$4:$E$609,AA$613&amp;" ضد "&amp;$A640))</f>
        <v>2</v>
      </c>
      <c r="AB640" s="4" t="str">
        <f>IF($A640=AB$613,"",COUNTIF($E$4:$E$609,$A640&amp;" ضد "&amp;AB$613)+COUNTIF($E$4:$E$609,AB$613&amp;" ضد "&amp;$A640))</f>
        <v/>
      </c>
      <c r="AC640" s="4">
        <f>IF($A640=AC$613,"",COUNTIF($E$4:$E$609,$A640&amp;" ضد "&amp;AC$613)+COUNTIF($E$4:$E$609,AC$613&amp;" ضد "&amp;$A640))</f>
        <v>2</v>
      </c>
      <c r="AD640" s="4">
        <f>IF($A640=AD$613,"",COUNTIF($E$4:$E$609,$A640&amp;" ضد "&amp;AD$613)+COUNTIF($E$4:$E$609,AD$613&amp;" ضد "&amp;$A640))</f>
        <v>1</v>
      </c>
      <c r="AE640" s="4">
        <f>IF($A640=AE$613,"",COUNTIF($E$4:$E$609,$A640&amp;" ضد "&amp;AE$613)+COUNTIF($E$4:$E$609,AE$613&amp;" ضد "&amp;$A640))</f>
        <v>1</v>
      </c>
      <c r="AF640" s="4">
        <f>IF($A640=AF$613,"",COUNTIF($E$4:$E$609,$A640&amp;" ضد "&amp;AF$613)+COUNTIF($E$4:$E$609,AF$613&amp;" ضد "&amp;$A640))</f>
        <v>1</v>
      </c>
      <c r="AG640" s="4">
        <f>IF($A640=AG$613,"",COUNTIF($E$4:$E$609,$A640&amp;" ضد "&amp;AG$613)+COUNTIF($E$4:$E$609,AG$613&amp;" ضد "&amp;$A640))</f>
        <v>1</v>
      </c>
      <c r="AH640" s="4">
        <f>IF($A640=AH$613,"",COUNTIF($E$4:$E$609,$A640&amp;" ضد "&amp;AH$613)+COUNTIF($E$4:$E$609,AH$613&amp;" ضد "&amp;$A640))</f>
        <v>1</v>
      </c>
      <c r="AI640" s="4">
        <f>IF($A640=AI$613,"",COUNTIF($E$4:$E$609,$A640&amp;" ضد "&amp;AI$613)+COUNTIF($E$4:$E$609,AI$613&amp;" ضد "&amp;$A640))</f>
        <v>1</v>
      </c>
      <c r="AJ640" s="4">
        <f>IF($A640=AJ$613,"",COUNTIF($E$4:$E$609,$A640&amp;" ضد "&amp;AJ$613)+COUNTIF($E$4:$E$609,AJ$613&amp;" ضد "&amp;$A640))</f>
        <v>0</v>
      </c>
      <c r="AK640" s="4">
        <f>IF($A640=AK$613,"",COUNTIF($E$4:$E$609,$A640&amp;" ضد "&amp;AK$613)+COUNTIF($E$4:$E$609,AK$613&amp;" ضد "&amp;$A640))</f>
        <v>0</v>
      </c>
      <c r="AL640" s="4">
        <f>IF($A640=AL$613,"",COUNTIF($E$4:$E$609,$A640&amp;" ضد "&amp;AL$613)+COUNTIF($E$4:$E$609,AL$613&amp;" ضد "&amp;$A640))</f>
        <v>0</v>
      </c>
      <c r="AM640" s="4">
        <f>IF($A640=AM$613,"",COUNTIF($E$4:$E$609,$A640&amp;" ضد "&amp;AM$613)+COUNTIF($E$4:$E$609,AM$613&amp;" ضد "&amp;$A640))</f>
        <v>0</v>
      </c>
      <c r="AN640" s="4">
        <f>IF($A640=AN$613,"",COUNTIF($E$4:$E$609,$A640&amp;" ضد "&amp;AN$613)+COUNTIF($E$4:$E$609,AN$613&amp;" ضد "&amp;$A640))</f>
        <v>0</v>
      </c>
      <c r="AO640" s="4">
        <f>IF($A640=AO$613,"",COUNTIF($E$4:$E$609,$A640&amp;" ضد "&amp;AO$613)+COUNTIF($E$4:$E$609,AO$613&amp;" ضد "&amp;$A640))</f>
        <v>0</v>
      </c>
      <c r="AP640" s="4">
        <f>IF($A640=AP$613,"",COUNTIF($E$4:$E$609,$A640&amp;" ضد "&amp;AP$613)+COUNTIF($E$4:$E$609,AP$613&amp;" ضد "&amp;$A640))</f>
        <v>0</v>
      </c>
      <c r="AQ640" s="4">
        <f>IF($A640=AQ$613,"",COUNTIF($E$4:$E$609,$A640&amp;" ضد "&amp;AQ$613)+COUNTIF($E$4:$E$609,AQ$613&amp;" ضد "&amp;$A640))</f>
        <v>0</v>
      </c>
      <c r="AR640" s="4">
        <f>IF($A640=AR$613,"",COUNTIF($E$4:$E$609,$A640&amp;" ضد "&amp;AR$613)+COUNTIF($E$4:$E$609,AR$613&amp;" ضد "&amp;$A640))</f>
        <v>0</v>
      </c>
      <c r="AS640" s="4">
        <f>IF($A640=AS$613,"",COUNTIF($E$4:$E$609,$A640&amp;" ضد "&amp;AS$613)+COUNTIF($E$4:$E$609,AS$613&amp;" ضد "&amp;$A640))</f>
        <v>0</v>
      </c>
      <c r="AT640" s="4">
        <f>IF($A640=AT$613,"",COUNTIF($E$4:$E$609,$A640&amp;" ضد "&amp;AT$613)+COUNTIF($E$4:$E$609,AT$613&amp;" ضد "&amp;$A640))</f>
        <v>0</v>
      </c>
      <c r="AU640" s="4">
        <f>IF($A640=AU$613,"",COUNTIF($E$4:$E$609,$A640&amp;" ضد "&amp;AU$613)+COUNTIF($E$4:$E$609,AU$613&amp;" ضد "&amp;$A640))</f>
        <v>0</v>
      </c>
      <c r="AV640" s="4">
        <f>IF($A640=AV$613,"",COUNTIF($E$4:$E$609,$A640&amp;" ضد "&amp;AV$613)+COUNTIF($E$4:$E$609,AV$613&amp;" ضد "&amp;$A640))</f>
        <v>0</v>
      </c>
      <c r="AW640" s="4">
        <f>IF($A640=AW$613,"",COUNTIF($E$4:$E$609,$A640&amp;" ضد "&amp;AW$613)+COUNTIF($E$4:$E$609,AW$613&amp;" ضد "&amp;$A640))</f>
        <v>0</v>
      </c>
      <c r="AX640" s="4">
        <f>IF($A640=AX$613,"",COUNTIF($E$4:$E$609,$A640&amp;" ضد "&amp;AX$613)+COUNTIF($E$4:$E$609,AX$613&amp;" ضد "&amp;$A640))</f>
        <v>0</v>
      </c>
      <c r="AY640" s="4">
        <f>IF($A640=AY$613,"",COUNTIF($E$4:$E$609,$A640&amp;" ضد "&amp;AY$613)+COUNTIF($E$4:$E$609,AY$613&amp;" ضد "&amp;$A640))</f>
        <v>0</v>
      </c>
      <c r="AZ640" s="4">
        <f>IF($A640=AZ$613,"",COUNTIF($E$4:$E$609,$A640&amp;" ضد "&amp;AZ$613)+COUNTIF($E$4:$E$609,AZ$613&amp;" ضد "&amp;$A640))</f>
        <v>0</v>
      </c>
      <c r="BA640" s="4">
        <f>IF($A640=BA$613,"",COUNTIF($E$4:$E$609,$A640&amp;" ضد "&amp;BA$613)+COUNTIF($E$4:$E$609,BA$613&amp;" ضد "&amp;$A640))</f>
        <v>0</v>
      </c>
      <c r="BB640" s="4">
        <f>IF($A640=BB$613,"",COUNTIF($E$4:$E$609,$A640&amp;" ضد "&amp;BB$613)+COUNTIF($E$4:$E$609,BB$613&amp;" ضد "&amp;$A640))</f>
        <v>0</v>
      </c>
      <c r="BC640" s="4">
        <f>IF($A640=BC$613,"",COUNTIF($E$4:$E$609,$A640&amp;" ضد "&amp;BC$613)+COUNTIF($E$4:$E$609,BC$613&amp;" ضد "&amp;$A640))</f>
        <v>0</v>
      </c>
      <c r="BD640" s="4">
        <f>IF($A640=BD$613,"",COUNTIF($E$4:$E$609,$A640&amp;" ضد "&amp;BD$613)+COUNTIF($E$4:$E$609,BD$613&amp;" ضد "&amp;$A640))</f>
        <v>0</v>
      </c>
      <c r="BE640" s="4">
        <f>IF($A640=BE$613,"",COUNTIF($E$4:$E$609,$A640&amp;" ضد "&amp;BE$613)+COUNTIF($E$4:$E$609,BE$613&amp;" ضد "&amp;$A640))</f>
        <v>0</v>
      </c>
      <c r="BF640" s="4">
        <f>IF($A640=BF$613,"",COUNTIF($E$4:$E$609,$A640&amp;" ضد "&amp;BF$613)+COUNTIF($E$4:$E$609,BF$613&amp;" ضد "&amp;$A640))</f>
        <v>0</v>
      </c>
      <c r="BG640" s="4">
        <f>IF($A640=BG$613,"",COUNTIF($E$4:$E$609,$A640&amp;" ضد "&amp;BG$613)+COUNTIF($E$4:$E$609,BG$613&amp;" ضد "&amp;$A640))</f>
        <v>0</v>
      </c>
      <c r="BH640" s="4">
        <f>IF($A640=BH$613,"",COUNTIF($E$4:$E$609,$A640&amp;" ضد "&amp;BH$613)+COUNTIF($E$4:$E$609,BH$613&amp;" ضد "&amp;$A640))</f>
        <v>0</v>
      </c>
      <c r="BI640" s="4">
        <f>IF($A640=BI$613,"",COUNTIF($E$4:$E$609,$A640&amp;" ضد "&amp;BI$613)+COUNTIF($E$4:$E$609,BI$613&amp;" ضد "&amp;$A640))</f>
        <v>0</v>
      </c>
      <c r="BJ640" s="4">
        <f>IF($A640=BJ$613,"",COUNTIF($E$4:$E$609,$A640&amp;" ضد "&amp;BJ$613)+COUNTIF($E$4:$E$609,BJ$613&amp;" ضد "&amp;$A640))</f>
        <v>0</v>
      </c>
      <c r="BK640" s="4">
        <f>IF($A640=BK$613,"",COUNTIF($E$4:$E$609,$A640&amp;" ضد "&amp;BK$613)+COUNTIF($E$4:$E$609,BK$613&amp;" ضد "&amp;$A640))</f>
        <v>0</v>
      </c>
      <c r="BL640" s="4">
        <f>IF($A640=BL$613,"",COUNTIF($E$4:$E$609,$A640&amp;" ضد "&amp;BL$613)+COUNTIF($E$4:$E$609,BL$613&amp;" ضد "&amp;$A640))</f>
        <v>0</v>
      </c>
      <c r="BM640" s="4">
        <f>IF($A640=BM$613,"",COUNTIF($E$4:$E$609,$A640&amp;" ضد "&amp;BM$613)+COUNTIF($E$4:$E$609,BM$613&amp;" ضد "&amp;$A640))</f>
        <v>0</v>
      </c>
      <c r="BN640" s="4">
        <f>IF($A640=BN$613,"",COUNTIF($E$4:$E$609,$A640&amp;" ضد "&amp;BN$613)+COUNTIF($E$4:$E$609,BN$613&amp;" ضد "&amp;$A640))</f>
        <v>0</v>
      </c>
      <c r="BO640" s="4">
        <f>IF($A640=BO$613,"",COUNTIF($E$4:$E$609,$A640&amp;" ضد "&amp;BO$613)+COUNTIF($E$4:$E$609,BO$613&amp;" ضد "&amp;$A640))</f>
        <v>0</v>
      </c>
      <c r="BP640" s="4">
        <f>IF($A640=BP$613,"",COUNTIF($E$4:$E$609,$A640&amp;" ضد "&amp;BP$613)+COUNTIF($E$4:$E$609,BP$613&amp;" ضد "&amp;$A640))</f>
        <v>0</v>
      </c>
    </row>
    <row r="641" spans="1:68" ht="14.5">
      <c r="A641" s="14">
        <v>28</v>
      </c>
      <c r="B641" s="4">
        <f>IF($A641=B$613,"",COUNTIF($E$4:$E$609,$A641&amp;" ضد "&amp;B$613)+COUNTIF($E$4:$E$609,B$613&amp;" ضد "&amp;$A641))</f>
        <v>0</v>
      </c>
      <c r="C641" s="4">
        <f>IF($A641=C$613,"",COUNTIF($E$4:$E$609,$A641&amp;" ضد "&amp;C$613)+COUNTIF($E$4:$E$609,C$613&amp;" ضد "&amp;$A641))</f>
        <v>0</v>
      </c>
      <c r="D641" s="4">
        <f>IF($A641=D$613,"",COUNTIF($E$4:$E$609,$A641&amp;" ضد "&amp;D$613)+COUNTIF($E$4:$E$609,D$613&amp;" ضد "&amp;$A641))</f>
        <v>0</v>
      </c>
      <c r="E641" s="4">
        <f>IF($A641=E$613,"",COUNTIF($E$4:$E$609,$A641&amp;" ضد "&amp;E$613)+COUNTIF($E$4:$E$609,E$613&amp;" ضد "&amp;$A641))</f>
        <v>0</v>
      </c>
      <c r="F641" s="4">
        <f>IF($A641=F$613,"",COUNTIF($E$4:$E$609,$A641&amp;" ضد "&amp;F$613)+COUNTIF($E$4:$E$609,F$613&amp;" ضد "&amp;$A641))</f>
        <v>0</v>
      </c>
      <c r="G641" s="4">
        <f>IF($A641=G$613,"",COUNTIF($E$4:$E$609,$A641&amp;" ضد "&amp;G$613)+COUNTIF($E$4:$E$609,G$613&amp;" ضد "&amp;$A641))</f>
        <v>0</v>
      </c>
      <c r="H641" s="4">
        <f>IF($A641=H$613,"",COUNTIF($E$4:$E$609,$A641&amp;" ضد "&amp;H$613)+COUNTIF($E$4:$E$609,H$613&amp;" ضد "&amp;$A641))</f>
        <v>0</v>
      </c>
      <c r="I641" s="4">
        <f>IF($A641=I$613,"",COUNTIF($E$4:$E$609,$A641&amp;" ضد "&amp;I$613)+COUNTIF($E$4:$E$609,I$613&amp;" ضد "&amp;$A641))</f>
        <v>0</v>
      </c>
      <c r="J641" s="4">
        <f>IF($A641=J$613,"",COUNTIF($E$4:$E$609,$A641&amp;" ضد "&amp;J$613)+COUNTIF($E$4:$E$609,J$613&amp;" ضد "&amp;$A641))</f>
        <v>0</v>
      </c>
      <c r="K641" s="4">
        <f>IF($A641=K$613,"",COUNTIF($E$4:$E$609,$A641&amp;" ضد "&amp;K$613)+COUNTIF($E$4:$E$609,K$613&amp;" ضد "&amp;$A641))</f>
        <v>0</v>
      </c>
      <c r="L641" s="4">
        <f>IF($A641=L$613,"",COUNTIF($E$4:$E$609,$A641&amp;" ضد "&amp;L$613)+COUNTIF($E$4:$E$609,L$613&amp;" ضد "&amp;$A641))</f>
        <v>0</v>
      </c>
      <c r="M641" s="4">
        <f>IF($A641=M$613,"",COUNTIF($E$4:$E$609,$A641&amp;" ضد "&amp;M$613)+COUNTIF($E$4:$E$609,M$613&amp;" ضد "&amp;$A641))</f>
        <v>0</v>
      </c>
      <c r="N641" s="4">
        <f>IF($A641=N$613,"",COUNTIF($E$4:$E$609,$A641&amp;" ضد "&amp;N$613)+COUNTIF($E$4:$E$609,N$613&amp;" ضد "&amp;$A641))</f>
        <v>0</v>
      </c>
      <c r="O641" s="4">
        <f>IF($A641=O$613,"",COUNTIF($E$4:$E$609,$A641&amp;" ضد "&amp;O$613)+COUNTIF($E$4:$E$609,O$613&amp;" ضد "&amp;$A641))</f>
        <v>0</v>
      </c>
      <c r="P641" s="4">
        <f>IF($A641=P$613,"",COUNTIF($E$4:$E$609,$A641&amp;" ضد "&amp;P$613)+COUNTIF($E$4:$E$609,P$613&amp;" ضد "&amp;$A641))</f>
        <v>0</v>
      </c>
      <c r="Q641" s="4">
        <f>IF($A641=Q$613,"",COUNTIF($E$4:$E$609,$A641&amp;" ضد "&amp;Q$613)+COUNTIF($E$4:$E$609,Q$613&amp;" ضد "&amp;$A641))</f>
        <v>0</v>
      </c>
      <c r="R641" s="4">
        <f>IF($A641=R$613,"",COUNTIF($E$4:$E$609,$A641&amp;" ضد "&amp;R$613)+COUNTIF($E$4:$E$609,R$613&amp;" ضد "&amp;$A641))</f>
        <v>0</v>
      </c>
      <c r="S641" s="4">
        <f>IF($A641=S$613,"",COUNTIF($E$4:$E$609,$A641&amp;" ضد "&amp;S$613)+COUNTIF($E$4:$E$609,S$613&amp;" ضد "&amp;$A641))</f>
        <v>1</v>
      </c>
      <c r="T641" s="4">
        <f>IF($A641=T$613,"",COUNTIF($E$4:$E$609,$A641&amp;" ضد "&amp;T$613)+COUNTIF($E$4:$E$609,T$613&amp;" ضد "&amp;$A641))</f>
        <v>1</v>
      </c>
      <c r="U641" s="4">
        <f>IF($A641=U$613,"",COUNTIF($E$4:$E$609,$A641&amp;" ضد "&amp;U$613)+COUNTIF($E$4:$E$609,U$613&amp;" ضد "&amp;$A641))</f>
        <v>1</v>
      </c>
      <c r="V641" s="4">
        <f>IF($A641=V$613,"",COUNTIF($E$4:$E$609,$A641&amp;" ضد "&amp;V$613)+COUNTIF($E$4:$E$609,V$613&amp;" ضد "&amp;$A641))</f>
        <v>1</v>
      </c>
      <c r="W641" s="4">
        <f>IF($A641=W$613,"",COUNTIF($E$4:$E$609,$A641&amp;" ضد "&amp;W$613)+COUNTIF($E$4:$E$609,W$613&amp;" ضد "&amp;$A641))</f>
        <v>1</v>
      </c>
      <c r="X641" s="4">
        <f>IF($A641=X$613,"",COUNTIF($E$4:$E$609,$A641&amp;" ضد "&amp;X$613)+COUNTIF($E$4:$E$609,X$613&amp;" ضد "&amp;$A641))</f>
        <v>1</v>
      </c>
      <c r="Y641" s="4">
        <f>IF($A641=Y$613,"",COUNTIF($E$4:$E$609,$A641&amp;" ضد "&amp;Y$613)+COUNTIF($E$4:$E$609,Y$613&amp;" ضد "&amp;$A641))</f>
        <v>1</v>
      </c>
      <c r="Z641" s="4">
        <f>IF($A641=Z$613,"",COUNTIF($E$4:$E$609,$A641&amp;" ضد "&amp;Z$613)+COUNTIF($E$4:$E$609,Z$613&amp;" ضد "&amp;$A641))</f>
        <v>1</v>
      </c>
      <c r="AA641" s="4">
        <f>IF($A641=AA$613,"",COUNTIF($E$4:$E$609,$A641&amp;" ضد "&amp;AA$613)+COUNTIF($E$4:$E$609,AA$613&amp;" ضد "&amp;$A641))</f>
        <v>1</v>
      </c>
      <c r="AB641" s="4">
        <f>IF($A641=AB$613,"",COUNTIF($E$4:$E$609,$A641&amp;" ضد "&amp;AB$613)+COUNTIF($E$4:$E$609,AB$613&amp;" ضد "&amp;$A641))</f>
        <v>2</v>
      </c>
      <c r="AC641" s="4" t="str">
        <f>IF($A641=AC$613,"",COUNTIF($E$4:$E$609,$A641&amp;" ضد "&amp;AC$613)+COUNTIF($E$4:$E$609,AC$613&amp;" ضد "&amp;$A641))</f>
        <v/>
      </c>
      <c r="AD641" s="4">
        <f>IF($A641=AD$613,"",COUNTIF($E$4:$E$609,$A641&amp;" ضد "&amp;AD$613)+COUNTIF($E$4:$E$609,AD$613&amp;" ضد "&amp;$A641))</f>
        <v>2</v>
      </c>
      <c r="AE641" s="4">
        <f>IF($A641=AE$613,"",COUNTIF($E$4:$E$609,$A641&amp;" ضد "&amp;AE$613)+COUNTIF($E$4:$E$609,AE$613&amp;" ضد "&amp;$A641))</f>
        <v>1</v>
      </c>
      <c r="AF641" s="4">
        <f>IF($A641=AF$613,"",COUNTIF($E$4:$E$609,$A641&amp;" ضد "&amp;AF$613)+COUNTIF($E$4:$E$609,AF$613&amp;" ضد "&amp;$A641))</f>
        <v>1</v>
      </c>
      <c r="AG641" s="4">
        <f>IF($A641=AG$613,"",COUNTIF($E$4:$E$609,$A641&amp;" ضد "&amp;AG$613)+COUNTIF($E$4:$E$609,AG$613&amp;" ضد "&amp;$A641))</f>
        <v>1</v>
      </c>
      <c r="AH641" s="4">
        <f>IF($A641=AH$613,"",COUNTIF($E$4:$E$609,$A641&amp;" ضد "&amp;AH$613)+COUNTIF($E$4:$E$609,AH$613&amp;" ضد "&amp;$A641))</f>
        <v>1</v>
      </c>
      <c r="AI641" s="4">
        <f>IF($A641=AI$613,"",COUNTIF($E$4:$E$609,$A641&amp;" ضد "&amp;AI$613)+COUNTIF($E$4:$E$609,AI$613&amp;" ضد "&amp;$A641))</f>
        <v>1</v>
      </c>
      <c r="AJ641" s="4">
        <f>IF($A641=AJ$613,"",COUNTIF($E$4:$E$609,$A641&amp;" ضد "&amp;AJ$613)+COUNTIF($E$4:$E$609,AJ$613&amp;" ضد "&amp;$A641))</f>
        <v>0</v>
      </c>
      <c r="AK641" s="4">
        <f>IF($A641=AK$613,"",COUNTIF($E$4:$E$609,$A641&amp;" ضد "&amp;AK$613)+COUNTIF($E$4:$E$609,AK$613&amp;" ضد "&amp;$A641))</f>
        <v>0</v>
      </c>
      <c r="AL641" s="4">
        <f>IF($A641=AL$613,"",COUNTIF($E$4:$E$609,$A641&amp;" ضد "&amp;AL$613)+COUNTIF($E$4:$E$609,AL$613&amp;" ضد "&amp;$A641))</f>
        <v>0</v>
      </c>
      <c r="AM641" s="4">
        <f>IF($A641=AM$613,"",COUNTIF($E$4:$E$609,$A641&amp;" ضد "&amp;AM$613)+COUNTIF($E$4:$E$609,AM$613&amp;" ضد "&amp;$A641))</f>
        <v>0</v>
      </c>
      <c r="AN641" s="4">
        <f>IF($A641=AN$613,"",COUNTIF($E$4:$E$609,$A641&amp;" ضد "&amp;AN$613)+COUNTIF($E$4:$E$609,AN$613&amp;" ضد "&amp;$A641))</f>
        <v>0</v>
      </c>
      <c r="AO641" s="4">
        <f>IF($A641=AO$613,"",COUNTIF($E$4:$E$609,$A641&amp;" ضد "&amp;AO$613)+COUNTIF($E$4:$E$609,AO$613&amp;" ضد "&amp;$A641))</f>
        <v>0</v>
      </c>
      <c r="AP641" s="4">
        <f>IF($A641=AP$613,"",COUNTIF($E$4:$E$609,$A641&amp;" ضد "&amp;AP$613)+COUNTIF($E$4:$E$609,AP$613&amp;" ضد "&amp;$A641))</f>
        <v>0</v>
      </c>
      <c r="AQ641" s="4">
        <f>IF($A641=AQ$613,"",COUNTIF($E$4:$E$609,$A641&amp;" ضد "&amp;AQ$613)+COUNTIF($E$4:$E$609,AQ$613&amp;" ضد "&amp;$A641))</f>
        <v>0</v>
      </c>
      <c r="AR641" s="4">
        <f>IF($A641=AR$613,"",COUNTIF($E$4:$E$609,$A641&amp;" ضد "&amp;AR$613)+COUNTIF($E$4:$E$609,AR$613&amp;" ضد "&amp;$A641))</f>
        <v>0</v>
      </c>
      <c r="AS641" s="4">
        <f>IF($A641=AS$613,"",COUNTIF($E$4:$E$609,$A641&amp;" ضد "&amp;AS$613)+COUNTIF($E$4:$E$609,AS$613&amp;" ضد "&amp;$A641))</f>
        <v>0</v>
      </c>
      <c r="AT641" s="4">
        <f>IF($A641=AT$613,"",COUNTIF($E$4:$E$609,$A641&amp;" ضد "&amp;AT$613)+COUNTIF($E$4:$E$609,AT$613&amp;" ضد "&amp;$A641))</f>
        <v>0</v>
      </c>
      <c r="AU641" s="4">
        <f>IF($A641=AU$613,"",COUNTIF($E$4:$E$609,$A641&amp;" ضد "&amp;AU$613)+COUNTIF($E$4:$E$609,AU$613&amp;" ضد "&amp;$A641))</f>
        <v>0</v>
      </c>
      <c r="AV641" s="4">
        <f>IF($A641=AV$613,"",COUNTIF($E$4:$E$609,$A641&amp;" ضد "&amp;AV$613)+COUNTIF($E$4:$E$609,AV$613&amp;" ضد "&amp;$A641))</f>
        <v>0</v>
      </c>
      <c r="AW641" s="4">
        <f>IF($A641=AW$613,"",COUNTIF($E$4:$E$609,$A641&amp;" ضد "&amp;AW$613)+COUNTIF($E$4:$E$609,AW$613&amp;" ضد "&amp;$A641))</f>
        <v>0</v>
      </c>
      <c r="AX641" s="4">
        <f>IF($A641=AX$613,"",COUNTIF($E$4:$E$609,$A641&amp;" ضد "&amp;AX$613)+COUNTIF($E$4:$E$609,AX$613&amp;" ضد "&amp;$A641))</f>
        <v>0</v>
      </c>
      <c r="AY641" s="4">
        <f>IF($A641=AY$613,"",COUNTIF($E$4:$E$609,$A641&amp;" ضد "&amp;AY$613)+COUNTIF($E$4:$E$609,AY$613&amp;" ضد "&amp;$A641))</f>
        <v>0</v>
      </c>
      <c r="AZ641" s="4">
        <f>IF($A641=AZ$613,"",COUNTIF($E$4:$E$609,$A641&amp;" ضد "&amp;AZ$613)+COUNTIF($E$4:$E$609,AZ$613&amp;" ضد "&amp;$A641))</f>
        <v>0</v>
      </c>
      <c r="BA641" s="4">
        <f>IF($A641=BA$613,"",COUNTIF($E$4:$E$609,$A641&amp;" ضد "&amp;BA$613)+COUNTIF($E$4:$E$609,BA$613&amp;" ضد "&amp;$A641))</f>
        <v>0</v>
      </c>
      <c r="BB641" s="4">
        <f>IF($A641=BB$613,"",COUNTIF($E$4:$E$609,$A641&amp;" ضد "&amp;BB$613)+COUNTIF($E$4:$E$609,BB$613&amp;" ضد "&amp;$A641))</f>
        <v>0</v>
      </c>
      <c r="BC641" s="4">
        <f>IF($A641=BC$613,"",COUNTIF($E$4:$E$609,$A641&amp;" ضد "&amp;BC$613)+COUNTIF($E$4:$E$609,BC$613&amp;" ضد "&amp;$A641))</f>
        <v>0</v>
      </c>
      <c r="BD641" s="4">
        <f>IF($A641=BD$613,"",COUNTIF($E$4:$E$609,$A641&amp;" ضد "&amp;BD$613)+COUNTIF($E$4:$E$609,BD$613&amp;" ضد "&amp;$A641))</f>
        <v>0</v>
      </c>
      <c r="BE641" s="4">
        <f>IF($A641=BE$613,"",COUNTIF($E$4:$E$609,$A641&amp;" ضد "&amp;BE$613)+COUNTIF($E$4:$E$609,BE$613&amp;" ضد "&amp;$A641))</f>
        <v>0</v>
      </c>
      <c r="BF641" s="4">
        <f>IF($A641=BF$613,"",COUNTIF($E$4:$E$609,$A641&amp;" ضد "&amp;BF$613)+COUNTIF($E$4:$E$609,BF$613&amp;" ضد "&amp;$A641))</f>
        <v>0</v>
      </c>
      <c r="BG641" s="4">
        <f>IF($A641=BG$613,"",COUNTIF($E$4:$E$609,$A641&amp;" ضد "&amp;BG$613)+COUNTIF($E$4:$E$609,BG$613&amp;" ضد "&amp;$A641))</f>
        <v>0</v>
      </c>
      <c r="BH641" s="4">
        <f>IF($A641=BH$613,"",COUNTIF($E$4:$E$609,$A641&amp;" ضد "&amp;BH$613)+COUNTIF($E$4:$E$609,BH$613&amp;" ضد "&amp;$A641))</f>
        <v>0</v>
      </c>
      <c r="BI641" s="4">
        <f>IF($A641=BI$613,"",COUNTIF($E$4:$E$609,$A641&amp;" ضد "&amp;BI$613)+COUNTIF($E$4:$E$609,BI$613&amp;" ضد "&amp;$A641))</f>
        <v>0</v>
      </c>
      <c r="BJ641" s="4">
        <f>IF($A641=BJ$613,"",COUNTIF($E$4:$E$609,$A641&amp;" ضد "&amp;BJ$613)+COUNTIF($E$4:$E$609,BJ$613&amp;" ضد "&amp;$A641))</f>
        <v>0</v>
      </c>
      <c r="BK641" s="4">
        <f>IF($A641=BK$613,"",COUNTIF($E$4:$E$609,$A641&amp;" ضد "&amp;BK$613)+COUNTIF($E$4:$E$609,BK$613&amp;" ضد "&amp;$A641))</f>
        <v>0</v>
      </c>
      <c r="BL641" s="4">
        <f>IF($A641=BL$613,"",COUNTIF($E$4:$E$609,$A641&amp;" ضد "&amp;BL$613)+COUNTIF($E$4:$E$609,BL$613&amp;" ضد "&amp;$A641))</f>
        <v>0</v>
      </c>
      <c r="BM641" s="4">
        <f>IF($A641=BM$613,"",COUNTIF($E$4:$E$609,$A641&amp;" ضد "&amp;BM$613)+COUNTIF($E$4:$E$609,BM$613&amp;" ضد "&amp;$A641))</f>
        <v>0</v>
      </c>
      <c r="BN641" s="4">
        <f>IF($A641=BN$613,"",COUNTIF($E$4:$E$609,$A641&amp;" ضد "&amp;BN$613)+COUNTIF($E$4:$E$609,BN$613&amp;" ضد "&amp;$A641))</f>
        <v>0</v>
      </c>
      <c r="BO641" s="4">
        <f>IF($A641=BO$613,"",COUNTIF($E$4:$E$609,$A641&amp;" ضد "&amp;BO$613)+COUNTIF($E$4:$E$609,BO$613&amp;" ضد "&amp;$A641))</f>
        <v>0</v>
      </c>
      <c r="BP641" s="4">
        <f>IF($A641=BP$613,"",COUNTIF($E$4:$E$609,$A641&amp;" ضد "&amp;BP$613)+COUNTIF($E$4:$E$609,BP$613&amp;" ضد "&amp;$A641))</f>
        <v>0</v>
      </c>
    </row>
    <row r="642" spans="1:68" ht="14.5">
      <c r="A642" s="14">
        <v>29</v>
      </c>
      <c r="B642" s="4">
        <f>IF($A642=B$613,"",COUNTIF($E$4:$E$609,$A642&amp;" ضد "&amp;B$613)+COUNTIF($E$4:$E$609,B$613&amp;" ضد "&amp;$A642))</f>
        <v>0</v>
      </c>
      <c r="C642" s="4">
        <f>IF($A642=C$613,"",COUNTIF($E$4:$E$609,$A642&amp;" ضد "&amp;C$613)+COUNTIF($E$4:$E$609,C$613&amp;" ضد "&amp;$A642))</f>
        <v>0</v>
      </c>
      <c r="D642" s="4">
        <f>IF($A642=D$613,"",COUNTIF($E$4:$E$609,$A642&amp;" ضد "&amp;D$613)+COUNTIF($E$4:$E$609,D$613&amp;" ضد "&amp;$A642))</f>
        <v>0</v>
      </c>
      <c r="E642" s="4">
        <f>IF($A642=E$613,"",COUNTIF($E$4:$E$609,$A642&amp;" ضد "&amp;E$613)+COUNTIF($E$4:$E$609,E$613&amp;" ضد "&amp;$A642))</f>
        <v>0</v>
      </c>
      <c r="F642" s="4">
        <f>IF($A642=F$613,"",COUNTIF($E$4:$E$609,$A642&amp;" ضد "&amp;F$613)+COUNTIF($E$4:$E$609,F$613&amp;" ضد "&amp;$A642))</f>
        <v>0</v>
      </c>
      <c r="G642" s="4">
        <f>IF($A642=G$613,"",COUNTIF($E$4:$E$609,$A642&amp;" ضد "&amp;G$613)+COUNTIF($E$4:$E$609,G$613&amp;" ضد "&amp;$A642))</f>
        <v>0</v>
      </c>
      <c r="H642" s="4">
        <f>IF($A642=H$613,"",COUNTIF($E$4:$E$609,$A642&amp;" ضد "&amp;H$613)+COUNTIF($E$4:$E$609,H$613&amp;" ضد "&amp;$A642))</f>
        <v>0</v>
      </c>
      <c r="I642" s="4">
        <f>IF($A642=I$613,"",COUNTIF($E$4:$E$609,$A642&amp;" ضد "&amp;I$613)+COUNTIF($E$4:$E$609,I$613&amp;" ضد "&amp;$A642))</f>
        <v>0</v>
      </c>
      <c r="J642" s="4">
        <f>IF($A642=J$613,"",COUNTIF($E$4:$E$609,$A642&amp;" ضد "&amp;J$613)+COUNTIF($E$4:$E$609,J$613&amp;" ضد "&amp;$A642))</f>
        <v>0</v>
      </c>
      <c r="K642" s="4">
        <f>IF($A642=K$613,"",COUNTIF($E$4:$E$609,$A642&amp;" ضد "&amp;K$613)+COUNTIF($E$4:$E$609,K$613&amp;" ضد "&amp;$A642))</f>
        <v>0</v>
      </c>
      <c r="L642" s="4">
        <f>IF($A642=L$613,"",COUNTIF($E$4:$E$609,$A642&amp;" ضد "&amp;L$613)+COUNTIF($E$4:$E$609,L$613&amp;" ضد "&amp;$A642))</f>
        <v>0</v>
      </c>
      <c r="M642" s="4">
        <f>IF($A642=M$613,"",COUNTIF($E$4:$E$609,$A642&amp;" ضد "&amp;M$613)+COUNTIF($E$4:$E$609,M$613&amp;" ضد "&amp;$A642))</f>
        <v>0</v>
      </c>
      <c r="N642" s="4">
        <f>IF($A642=N$613,"",COUNTIF($E$4:$E$609,$A642&amp;" ضد "&amp;N$613)+COUNTIF($E$4:$E$609,N$613&amp;" ضد "&amp;$A642))</f>
        <v>0</v>
      </c>
      <c r="O642" s="4">
        <f>IF($A642=O$613,"",COUNTIF($E$4:$E$609,$A642&amp;" ضد "&amp;O$613)+COUNTIF($E$4:$E$609,O$613&amp;" ضد "&amp;$A642))</f>
        <v>0</v>
      </c>
      <c r="P642" s="4">
        <f>IF($A642=P$613,"",COUNTIF($E$4:$E$609,$A642&amp;" ضد "&amp;P$613)+COUNTIF($E$4:$E$609,P$613&amp;" ضد "&amp;$A642))</f>
        <v>0</v>
      </c>
      <c r="Q642" s="4">
        <f>IF($A642=Q$613,"",COUNTIF($E$4:$E$609,$A642&amp;" ضد "&amp;Q$613)+COUNTIF($E$4:$E$609,Q$613&amp;" ضد "&amp;$A642))</f>
        <v>0</v>
      </c>
      <c r="R642" s="4">
        <f>IF($A642=R$613,"",COUNTIF($E$4:$E$609,$A642&amp;" ضد "&amp;R$613)+COUNTIF($E$4:$E$609,R$613&amp;" ضد "&amp;$A642))</f>
        <v>0</v>
      </c>
      <c r="S642" s="4">
        <f>IF($A642=S$613,"",COUNTIF($E$4:$E$609,$A642&amp;" ضد "&amp;S$613)+COUNTIF($E$4:$E$609,S$613&amp;" ضد "&amp;$A642))</f>
        <v>1</v>
      </c>
      <c r="T642" s="4">
        <f>IF($A642=T$613,"",COUNTIF($E$4:$E$609,$A642&amp;" ضد "&amp;T$613)+COUNTIF($E$4:$E$609,T$613&amp;" ضد "&amp;$A642))</f>
        <v>1</v>
      </c>
      <c r="U642" s="4">
        <f>IF($A642=U$613,"",COUNTIF($E$4:$E$609,$A642&amp;" ضد "&amp;U$613)+COUNTIF($E$4:$E$609,U$613&amp;" ضد "&amp;$A642))</f>
        <v>1</v>
      </c>
      <c r="V642" s="4">
        <f>IF($A642=V$613,"",COUNTIF($E$4:$E$609,$A642&amp;" ضد "&amp;V$613)+COUNTIF($E$4:$E$609,V$613&amp;" ضد "&amp;$A642))</f>
        <v>1</v>
      </c>
      <c r="W642" s="4">
        <f>IF($A642=W$613,"",COUNTIF($E$4:$E$609,$A642&amp;" ضد "&amp;W$613)+COUNTIF($E$4:$E$609,W$613&amp;" ضد "&amp;$A642))</f>
        <v>1</v>
      </c>
      <c r="X642" s="4">
        <f>IF($A642=X$613,"",COUNTIF($E$4:$E$609,$A642&amp;" ضد "&amp;X$613)+COUNTIF($E$4:$E$609,X$613&amp;" ضد "&amp;$A642))</f>
        <v>1</v>
      </c>
      <c r="Y642" s="4">
        <f>IF($A642=Y$613,"",COUNTIF($E$4:$E$609,$A642&amp;" ضد "&amp;Y$613)+COUNTIF($E$4:$E$609,Y$613&amp;" ضد "&amp;$A642))</f>
        <v>1</v>
      </c>
      <c r="Z642" s="4">
        <f>IF($A642=Z$613,"",COUNTIF($E$4:$E$609,$A642&amp;" ضد "&amp;Z$613)+COUNTIF($E$4:$E$609,Z$613&amp;" ضد "&amp;$A642))</f>
        <v>1</v>
      </c>
      <c r="AA642" s="4">
        <f>IF($A642=AA$613,"",COUNTIF($E$4:$E$609,$A642&amp;" ضد "&amp;AA$613)+COUNTIF($E$4:$E$609,AA$613&amp;" ضد "&amp;$A642))</f>
        <v>1</v>
      </c>
      <c r="AB642" s="4">
        <f>IF($A642=AB$613,"",COUNTIF($E$4:$E$609,$A642&amp;" ضد "&amp;AB$613)+COUNTIF($E$4:$E$609,AB$613&amp;" ضد "&amp;$A642))</f>
        <v>1</v>
      </c>
      <c r="AC642" s="4">
        <f>IF($A642=AC$613,"",COUNTIF($E$4:$E$609,$A642&amp;" ضد "&amp;AC$613)+COUNTIF($E$4:$E$609,AC$613&amp;" ضد "&amp;$A642))</f>
        <v>2</v>
      </c>
      <c r="AD642" s="4" t="str">
        <f>IF($A642=AD$613,"",COUNTIF($E$4:$E$609,$A642&amp;" ضد "&amp;AD$613)+COUNTIF($E$4:$E$609,AD$613&amp;" ضد "&amp;$A642))</f>
        <v/>
      </c>
      <c r="AE642" s="4">
        <f>IF($A642=AE$613,"",COUNTIF($E$4:$E$609,$A642&amp;" ضد "&amp;AE$613)+COUNTIF($E$4:$E$609,AE$613&amp;" ضد "&amp;$A642))</f>
        <v>2</v>
      </c>
      <c r="AF642" s="4">
        <f>IF($A642=AF$613,"",COUNTIF($E$4:$E$609,$A642&amp;" ضد "&amp;AF$613)+COUNTIF($E$4:$E$609,AF$613&amp;" ضد "&amp;$A642))</f>
        <v>1</v>
      </c>
      <c r="AG642" s="4">
        <f>IF($A642=AG$613,"",COUNTIF($E$4:$E$609,$A642&amp;" ضد "&amp;AG$613)+COUNTIF($E$4:$E$609,AG$613&amp;" ضد "&amp;$A642))</f>
        <v>1</v>
      </c>
      <c r="AH642" s="4">
        <f>IF($A642=AH$613,"",COUNTIF($E$4:$E$609,$A642&amp;" ضد "&amp;AH$613)+COUNTIF($E$4:$E$609,AH$613&amp;" ضد "&amp;$A642))</f>
        <v>1</v>
      </c>
      <c r="AI642" s="4">
        <f>IF($A642=AI$613,"",COUNTIF($E$4:$E$609,$A642&amp;" ضد "&amp;AI$613)+COUNTIF($E$4:$E$609,AI$613&amp;" ضد "&amp;$A642))</f>
        <v>1</v>
      </c>
      <c r="AJ642" s="4">
        <f>IF($A642=AJ$613,"",COUNTIF($E$4:$E$609,$A642&amp;" ضد "&amp;AJ$613)+COUNTIF($E$4:$E$609,AJ$613&amp;" ضد "&amp;$A642))</f>
        <v>0</v>
      </c>
      <c r="AK642" s="4">
        <f>IF($A642=AK$613,"",COUNTIF($E$4:$E$609,$A642&amp;" ضد "&amp;AK$613)+COUNTIF($E$4:$E$609,AK$613&amp;" ضد "&amp;$A642))</f>
        <v>0</v>
      </c>
      <c r="AL642" s="4">
        <f>IF($A642=AL$613,"",COUNTIF($E$4:$E$609,$A642&amp;" ضد "&amp;AL$613)+COUNTIF($E$4:$E$609,AL$613&amp;" ضد "&amp;$A642))</f>
        <v>0</v>
      </c>
      <c r="AM642" s="4">
        <f>IF($A642=AM$613,"",COUNTIF($E$4:$E$609,$A642&amp;" ضد "&amp;AM$613)+COUNTIF($E$4:$E$609,AM$613&amp;" ضد "&amp;$A642))</f>
        <v>0</v>
      </c>
      <c r="AN642" s="4">
        <f>IF($A642=AN$613,"",COUNTIF($E$4:$E$609,$A642&amp;" ضد "&amp;AN$613)+COUNTIF($E$4:$E$609,AN$613&amp;" ضد "&amp;$A642))</f>
        <v>0</v>
      </c>
      <c r="AO642" s="4">
        <f>IF($A642=AO$613,"",COUNTIF($E$4:$E$609,$A642&amp;" ضد "&amp;AO$613)+COUNTIF($E$4:$E$609,AO$613&amp;" ضد "&amp;$A642))</f>
        <v>0</v>
      </c>
      <c r="AP642" s="4">
        <f>IF($A642=AP$613,"",COUNTIF($E$4:$E$609,$A642&amp;" ضد "&amp;AP$613)+COUNTIF($E$4:$E$609,AP$613&amp;" ضد "&amp;$A642))</f>
        <v>0</v>
      </c>
      <c r="AQ642" s="4">
        <f>IF($A642=AQ$613,"",COUNTIF($E$4:$E$609,$A642&amp;" ضد "&amp;AQ$613)+COUNTIF($E$4:$E$609,AQ$613&amp;" ضد "&amp;$A642))</f>
        <v>0</v>
      </c>
      <c r="AR642" s="4">
        <f>IF($A642=AR$613,"",COUNTIF($E$4:$E$609,$A642&amp;" ضد "&amp;AR$613)+COUNTIF($E$4:$E$609,AR$613&amp;" ضد "&amp;$A642))</f>
        <v>0</v>
      </c>
      <c r="AS642" s="4">
        <f>IF($A642=AS$613,"",COUNTIF($E$4:$E$609,$A642&amp;" ضد "&amp;AS$613)+COUNTIF($E$4:$E$609,AS$613&amp;" ضد "&amp;$A642))</f>
        <v>0</v>
      </c>
      <c r="AT642" s="4">
        <f>IF($A642=AT$613,"",COUNTIF($E$4:$E$609,$A642&amp;" ضد "&amp;AT$613)+COUNTIF($E$4:$E$609,AT$613&amp;" ضد "&amp;$A642))</f>
        <v>0</v>
      </c>
      <c r="AU642" s="4">
        <f>IF($A642=AU$613,"",COUNTIF($E$4:$E$609,$A642&amp;" ضد "&amp;AU$613)+COUNTIF($E$4:$E$609,AU$613&amp;" ضد "&amp;$A642))</f>
        <v>0</v>
      </c>
      <c r="AV642" s="4">
        <f>IF($A642=AV$613,"",COUNTIF($E$4:$E$609,$A642&amp;" ضد "&amp;AV$613)+COUNTIF($E$4:$E$609,AV$613&amp;" ضد "&amp;$A642))</f>
        <v>0</v>
      </c>
      <c r="AW642" s="4">
        <f>IF($A642=AW$613,"",COUNTIF($E$4:$E$609,$A642&amp;" ضد "&amp;AW$613)+COUNTIF($E$4:$E$609,AW$613&amp;" ضد "&amp;$A642))</f>
        <v>0</v>
      </c>
      <c r="AX642" s="4">
        <f>IF($A642=AX$613,"",COUNTIF($E$4:$E$609,$A642&amp;" ضد "&amp;AX$613)+COUNTIF($E$4:$E$609,AX$613&amp;" ضد "&amp;$A642))</f>
        <v>0</v>
      </c>
      <c r="AY642" s="4">
        <f>IF($A642=AY$613,"",COUNTIF($E$4:$E$609,$A642&amp;" ضد "&amp;AY$613)+COUNTIF($E$4:$E$609,AY$613&amp;" ضد "&amp;$A642))</f>
        <v>0</v>
      </c>
      <c r="AZ642" s="4">
        <f>IF($A642=AZ$613,"",COUNTIF($E$4:$E$609,$A642&amp;" ضد "&amp;AZ$613)+COUNTIF($E$4:$E$609,AZ$613&amp;" ضد "&amp;$A642))</f>
        <v>0</v>
      </c>
      <c r="BA642" s="4">
        <f>IF($A642=BA$613,"",COUNTIF($E$4:$E$609,$A642&amp;" ضد "&amp;BA$613)+COUNTIF($E$4:$E$609,BA$613&amp;" ضد "&amp;$A642))</f>
        <v>0</v>
      </c>
      <c r="BB642" s="4">
        <f>IF($A642=BB$613,"",COUNTIF($E$4:$E$609,$A642&amp;" ضد "&amp;BB$613)+COUNTIF($E$4:$E$609,BB$613&amp;" ضد "&amp;$A642))</f>
        <v>0</v>
      </c>
      <c r="BC642" s="4">
        <f>IF($A642=BC$613,"",COUNTIF($E$4:$E$609,$A642&amp;" ضد "&amp;BC$613)+COUNTIF($E$4:$E$609,BC$613&amp;" ضد "&amp;$A642))</f>
        <v>0</v>
      </c>
      <c r="BD642" s="4">
        <f>IF($A642=BD$613,"",COUNTIF($E$4:$E$609,$A642&amp;" ضد "&amp;BD$613)+COUNTIF($E$4:$E$609,BD$613&amp;" ضد "&amp;$A642))</f>
        <v>0</v>
      </c>
      <c r="BE642" s="4">
        <f>IF($A642=BE$613,"",COUNTIF($E$4:$E$609,$A642&amp;" ضد "&amp;BE$613)+COUNTIF($E$4:$E$609,BE$613&amp;" ضد "&amp;$A642))</f>
        <v>0</v>
      </c>
      <c r="BF642" s="4">
        <f>IF($A642=BF$613,"",COUNTIF($E$4:$E$609,$A642&amp;" ضد "&amp;BF$613)+COUNTIF($E$4:$E$609,BF$613&amp;" ضد "&amp;$A642))</f>
        <v>0</v>
      </c>
      <c r="BG642" s="4">
        <f>IF($A642=BG$613,"",COUNTIF($E$4:$E$609,$A642&amp;" ضد "&amp;BG$613)+COUNTIF($E$4:$E$609,BG$613&amp;" ضد "&amp;$A642))</f>
        <v>0</v>
      </c>
      <c r="BH642" s="4">
        <f>IF($A642=BH$613,"",COUNTIF($E$4:$E$609,$A642&amp;" ضد "&amp;BH$613)+COUNTIF($E$4:$E$609,BH$613&amp;" ضد "&amp;$A642))</f>
        <v>0</v>
      </c>
      <c r="BI642" s="4">
        <f>IF($A642=BI$613,"",COUNTIF($E$4:$E$609,$A642&amp;" ضد "&amp;BI$613)+COUNTIF($E$4:$E$609,BI$613&amp;" ضد "&amp;$A642))</f>
        <v>0</v>
      </c>
      <c r="BJ642" s="4">
        <f>IF($A642=BJ$613,"",COUNTIF($E$4:$E$609,$A642&amp;" ضد "&amp;BJ$613)+COUNTIF($E$4:$E$609,BJ$613&amp;" ضد "&amp;$A642))</f>
        <v>0</v>
      </c>
      <c r="BK642" s="4">
        <f>IF($A642=BK$613,"",COUNTIF($E$4:$E$609,$A642&amp;" ضد "&amp;BK$613)+COUNTIF($E$4:$E$609,BK$613&amp;" ضد "&amp;$A642))</f>
        <v>0</v>
      </c>
      <c r="BL642" s="4">
        <f>IF($A642=BL$613,"",COUNTIF($E$4:$E$609,$A642&amp;" ضد "&amp;BL$613)+COUNTIF($E$4:$E$609,BL$613&amp;" ضد "&amp;$A642))</f>
        <v>0</v>
      </c>
      <c r="BM642" s="4">
        <f>IF($A642=BM$613,"",COUNTIF($E$4:$E$609,$A642&amp;" ضد "&amp;BM$613)+COUNTIF($E$4:$E$609,BM$613&amp;" ضد "&amp;$A642))</f>
        <v>0</v>
      </c>
      <c r="BN642" s="4">
        <f>IF($A642=BN$613,"",COUNTIF($E$4:$E$609,$A642&amp;" ضد "&amp;BN$613)+COUNTIF($E$4:$E$609,BN$613&amp;" ضد "&amp;$A642))</f>
        <v>0</v>
      </c>
      <c r="BO642" s="4">
        <f>IF($A642=BO$613,"",COUNTIF($E$4:$E$609,$A642&amp;" ضد "&amp;BO$613)+COUNTIF($E$4:$E$609,BO$613&amp;" ضد "&amp;$A642))</f>
        <v>0</v>
      </c>
      <c r="BP642" s="4">
        <f>IF($A642=BP$613,"",COUNTIF($E$4:$E$609,$A642&amp;" ضد "&amp;BP$613)+COUNTIF($E$4:$E$609,BP$613&amp;" ضد "&amp;$A642))</f>
        <v>0</v>
      </c>
    </row>
    <row r="643" spans="1:68" ht="14.5">
      <c r="A643" s="14">
        <v>30</v>
      </c>
      <c r="B643" s="4">
        <f>IF($A643=B$613,"",COUNTIF($E$4:$E$609,$A643&amp;" ضد "&amp;B$613)+COUNTIF($E$4:$E$609,B$613&amp;" ضد "&amp;$A643))</f>
        <v>0</v>
      </c>
      <c r="C643" s="4">
        <f>IF($A643=C$613,"",COUNTIF($E$4:$E$609,$A643&amp;" ضد "&amp;C$613)+COUNTIF($E$4:$E$609,C$613&amp;" ضد "&amp;$A643))</f>
        <v>0</v>
      </c>
      <c r="D643" s="4">
        <f>IF($A643=D$613,"",COUNTIF($E$4:$E$609,$A643&amp;" ضد "&amp;D$613)+COUNTIF($E$4:$E$609,D$613&amp;" ضد "&amp;$A643))</f>
        <v>0</v>
      </c>
      <c r="E643" s="4">
        <f>IF($A643=E$613,"",COUNTIF($E$4:$E$609,$A643&amp;" ضد "&amp;E$613)+COUNTIF($E$4:$E$609,E$613&amp;" ضد "&amp;$A643))</f>
        <v>0</v>
      </c>
      <c r="F643" s="4">
        <f>IF($A643=F$613,"",COUNTIF($E$4:$E$609,$A643&amp;" ضد "&amp;F$613)+COUNTIF($E$4:$E$609,F$613&amp;" ضد "&amp;$A643))</f>
        <v>0</v>
      </c>
      <c r="G643" s="4">
        <f>IF($A643=G$613,"",COUNTIF($E$4:$E$609,$A643&amp;" ضد "&amp;G$613)+COUNTIF($E$4:$E$609,G$613&amp;" ضد "&amp;$A643))</f>
        <v>0</v>
      </c>
      <c r="H643" s="4">
        <f>IF($A643=H$613,"",COUNTIF($E$4:$E$609,$A643&amp;" ضد "&amp;H$613)+COUNTIF($E$4:$E$609,H$613&amp;" ضد "&amp;$A643))</f>
        <v>0</v>
      </c>
      <c r="I643" s="4">
        <f>IF($A643=I$613,"",COUNTIF($E$4:$E$609,$A643&amp;" ضد "&amp;I$613)+COUNTIF($E$4:$E$609,I$613&amp;" ضد "&amp;$A643))</f>
        <v>0</v>
      </c>
      <c r="J643" s="4">
        <f>IF($A643=J$613,"",COUNTIF($E$4:$E$609,$A643&amp;" ضد "&amp;J$613)+COUNTIF($E$4:$E$609,J$613&amp;" ضد "&amp;$A643))</f>
        <v>0</v>
      </c>
      <c r="K643" s="4">
        <f>IF($A643=K$613,"",COUNTIF($E$4:$E$609,$A643&amp;" ضد "&amp;K$613)+COUNTIF($E$4:$E$609,K$613&amp;" ضد "&amp;$A643))</f>
        <v>0</v>
      </c>
      <c r="L643" s="4">
        <f>IF($A643=L$613,"",COUNTIF($E$4:$E$609,$A643&amp;" ضد "&amp;L$613)+COUNTIF($E$4:$E$609,L$613&amp;" ضد "&amp;$A643))</f>
        <v>0</v>
      </c>
      <c r="M643" s="4">
        <f>IF($A643=M$613,"",COUNTIF($E$4:$E$609,$A643&amp;" ضد "&amp;M$613)+COUNTIF($E$4:$E$609,M$613&amp;" ضد "&amp;$A643))</f>
        <v>0</v>
      </c>
      <c r="N643" s="4">
        <f>IF($A643=N$613,"",COUNTIF($E$4:$E$609,$A643&amp;" ضد "&amp;N$613)+COUNTIF($E$4:$E$609,N$613&amp;" ضد "&amp;$A643))</f>
        <v>0</v>
      </c>
      <c r="O643" s="4">
        <f>IF($A643=O$613,"",COUNTIF($E$4:$E$609,$A643&amp;" ضد "&amp;O$613)+COUNTIF($E$4:$E$609,O$613&amp;" ضد "&amp;$A643))</f>
        <v>0</v>
      </c>
      <c r="P643" s="4">
        <f>IF($A643=P$613,"",COUNTIF($E$4:$E$609,$A643&amp;" ضد "&amp;P$613)+COUNTIF($E$4:$E$609,P$613&amp;" ضد "&amp;$A643))</f>
        <v>0</v>
      </c>
      <c r="Q643" s="4">
        <f>IF($A643=Q$613,"",COUNTIF($E$4:$E$609,$A643&amp;" ضد "&amp;Q$613)+COUNTIF($E$4:$E$609,Q$613&amp;" ضد "&amp;$A643))</f>
        <v>0</v>
      </c>
      <c r="R643" s="4">
        <f>IF($A643=R$613,"",COUNTIF($E$4:$E$609,$A643&amp;" ضد "&amp;R$613)+COUNTIF($E$4:$E$609,R$613&amp;" ضد "&amp;$A643))</f>
        <v>0</v>
      </c>
      <c r="S643" s="4">
        <f>IF($A643=S$613,"",COUNTIF($E$4:$E$609,$A643&amp;" ضد "&amp;S$613)+COUNTIF($E$4:$E$609,S$613&amp;" ضد "&amp;$A643))</f>
        <v>1</v>
      </c>
      <c r="T643" s="4">
        <f>IF($A643=T$613,"",COUNTIF($E$4:$E$609,$A643&amp;" ضد "&amp;T$613)+COUNTIF($E$4:$E$609,T$613&amp;" ضد "&amp;$A643))</f>
        <v>1</v>
      </c>
      <c r="U643" s="4">
        <f>IF($A643=U$613,"",COUNTIF($E$4:$E$609,$A643&amp;" ضد "&amp;U$613)+COUNTIF($E$4:$E$609,U$613&amp;" ضد "&amp;$A643))</f>
        <v>1</v>
      </c>
      <c r="V643" s="4">
        <f>IF($A643=V$613,"",COUNTIF($E$4:$E$609,$A643&amp;" ضد "&amp;V$613)+COUNTIF($E$4:$E$609,V$613&amp;" ضد "&amp;$A643))</f>
        <v>1</v>
      </c>
      <c r="W643" s="4">
        <f>IF($A643=W$613,"",COUNTIF($E$4:$E$609,$A643&amp;" ضد "&amp;W$613)+COUNTIF($E$4:$E$609,W$613&amp;" ضد "&amp;$A643))</f>
        <v>1</v>
      </c>
      <c r="X643" s="4">
        <f>IF($A643=X$613,"",COUNTIF($E$4:$E$609,$A643&amp;" ضد "&amp;X$613)+COUNTIF($E$4:$E$609,X$613&amp;" ضد "&amp;$A643))</f>
        <v>1</v>
      </c>
      <c r="Y643" s="4">
        <f>IF($A643=Y$613,"",COUNTIF($E$4:$E$609,$A643&amp;" ضد "&amp;Y$613)+COUNTIF($E$4:$E$609,Y$613&amp;" ضد "&amp;$A643))</f>
        <v>1</v>
      </c>
      <c r="Z643" s="4">
        <f>IF($A643=Z$613,"",COUNTIF($E$4:$E$609,$A643&amp;" ضد "&amp;Z$613)+COUNTIF($E$4:$E$609,Z$613&amp;" ضد "&amp;$A643))</f>
        <v>1</v>
      </c>
      <c r="AA643" s="4">
        <f>IF($A643=AA$613,"",COUNTIF($E$4:$E$609,$A643&amp;" ضد "&amp;AA$613)+COUNTIF($E$4:$E$609,AA$613&amp;" ضد "&amp;$A643))</f>
        <v>1</v>
      </c>
      <c r="AB643" s="4">
        <f>IF($A643=AB$613,"",COUNTIF($E$4:$E$609,$A643&amp;" ضد "&amp;AB$613)+COUNTIF($E$4:$E$609,AB$613&amp;" ضد "&amp;$A643))</f>
        <v>1</v>
      </c>
      <c r="AC643" s="4">
        <f>IF($A643=AC$613,"",COUNTIF($E$4:$E$609,$A643&amp;" ضد "&amp;AC$613)+COUNTIF($E$4:$E$609,AC$613&amp;" ضد "&amp;$A643))</f>
        <v>1</v>
      </c>
      <c r="AD643" s="4">
        <f>IF($A643=AD$613,"",COUNTIF($E$4:$E$609,$A643&amp;" ضد "&amp;AD$613)+COUNTIF($E$4:$E$609,AD$613&amp;" ضد "&amp;$A643))</f>
        <v>2</v>
      </c>
      <c r="AE643" s="4" t="str">
        <f>IF($A643=AE$613,"",COUNTIF($E$4:$E$609,$A643&amp;" ضد "&amp;AE$613)+COUNTIF($E$4:$E$609,AE$613&amp;" ضد "&amp;$A643))</f>
        <v/>
      </c>
      <c r="AF643" s="4">
        <f>IF($A643=AF$613,"",COUNTIF($E$4:$E$609,$A643&amp;" ضد "&amp;AF$613)+COUNTIF($E$4:$E$609,AF$613&amp;" ضد "&amp;$A643))</f>
        <v>2</v>
      </c>
      <c r="AG643" s="4">
        <f>IF($A643=AG$613,"",COUNTIF($E$4:$E$609,$A643&amp;" ضد "&amp;AG$613)+COUNTIF($E$4:$E$609,AG$613&amp;" ضد "&amp;$A643))</f>
        <v>1</v>
      </c>
      <c r="AH643" s="4">
        <f>IF($A643=AH$613,"",COUNTIF($E$4:$E$609,$A643&amp;" ضد "&amp;AH$613)+COUNTIF($E$4:$E$609,AH$613&amp;" ضد "&amp;$A643))</f>
        <v>1</v>
      </c>
      <c r="AI643" s="4">
        <f>IF($A643=AI$613,"",COUNTIF($E$4:$E$609,$A643&amp;" ضد "&amp;AI$613)+COUNTIF($E$4:$E$609,AI$613&amp;" ضد "&amp;$A643))</f>
        <v>1</v>
      </c>
      <c r="AJ643" s="4">
        <f>IF($A643=AJ$613,"",COUNTIF($E$4:$E$609,$A643&amp;" ضد "&amp;AJ$613)+COUNTIF($E$4:$E$609,AJ$613&amp;" ضد "&amp;$A643))</f>
        <v>0</v>
      </c>
      <c r="AK643" s="4">
        <f>IF($A643=AK$613,"",COUNTIF($E$4:$E$609,$A643&amp;" ضد "&amp;AK$613)+COUNTIF($E$4:$E$609,AK$613&amp;" ضد "&amp;$A643))</f>
        <v>0</v>
      </c>
      <c r="AL643" s="4">
        <f>IF($A643=AL$613,"",COUNTIF($E$4:$E$609,$A643&amp;" ضد "&amp;AL$613)+COUNTIF($E$4:$E$609,AL$613&amp;" ضد "&amp;$A643))</f>
        <v>0</v>
      </c>
      <c r="AM643" s="4">
        <f>IF($A643=AM$613,"",COUNTIF($E$4:$E$609,$A643&amp;" ضد "&amp;AM$613)+COUNTIF($E$4:$E$609,AM$613&amp;" ضد "&amp;$A643))</f>
        <v>0</v>
      </c>
      <c r="AN643" s="4">
        <f>IF($A643=AN$613,"",COUNTIF($E$4:$E$609,$A643&amp;" ضد "&amp;AN$613)+COUNTIF($E$4:$E$609,AN$613&amp;" ضد "&amp;$A643))</f>
        <v>0</v>
      </c>
      <c r="AO643" s="4">
        <f>IF($A643=AO$613,"",COUNTIF($E$4:$E$609,$A643&amp;" ضد "&amp;AO$613)+COUNTIF($E$4:$E$609,AO$613&amp;" ضد "&amp;$A643))</f>
        <v>0</v>
      </c>
      <c r="AP643" s="4">
        <f>IF($A643=AP$613,"",COUNTIF($E$4:$E$609,$A643&amp;" ضد "&amp;AP$613)+COUNTIF($E$4:$E$609,AP$613&amp;" ضد "&amp;$A643))</f>
        <v>0</v>
      </c>
      <c r="AQ643" s="4">
        <f>IF($A643=AQ$613,"",COUNTIF($E$4:$E$609,$A643&amp;" ضد "&amp;AQ$613)+COUNTIF($E$4:$E$609,AQ$613&amp;" ضد "&amp;$A643))</f>
        <v>0</v>
      </c>
      <c r="AR643" s="4">
        <f>IF($A643=AR$613,"",COUNTIF($E$4:$E$609,$A643&amp;" ضد "&amp;AR$613)+COUNTIF($E$4:$E$609,AR$613&amp;" ضد "&amp;$A643))</f>
        <v>0</v>
      </c>
      <c r="AS643" s="4">
        <f>IF($A643=AS$613,"",COUNTIF($E$4:$E$609,$A643&amp;" ضد "&amp;AS$613)+COUNTIF($E$4:$E$609,AS$613&amp;" ضد "&amp;$A643))</f>
        <v>0</v>
      </c>
      <c r="AT643" s="4">
        <f>IF($A643=AT$613,"",COUNTIF($E$4:$E$609,$A643&amp;" ضد "&amp;AT$613)+COUNTIF($E$4:$E$609,AT$613&amp;" ضد "&amp;$A643))</f>
        <v>0</v>
      </c>
      <c r="AU643" s="4">
        <f>IF($A643=AU$613,"",COUNTIF($E$4:$E$609,$A643&amp;" ضد "&amp;AU$613)+COUNTIF($E$4:$E$609,AU$613&amp;" ضد "&amp;$A643))</f>
        <v>0</v>
      </c>
      <c r="AV643" s="4">
        <f>IF($A643=AV$613,"",COUNTIF($E$4:$E$609,$A643&amp;" ضد "&amp;AV$613)+COUNTIF($E$4:$E$609,AV$613&amp;" ضد "&amp;$A643))</f>
        <v>0</v>
      </c>
      <c r="AW643" s="4">
        <f>IF($A643=AW$613,"",COUNTIF($E$4:$E$609,$A643&amp;" ضد "&amp;AW$613)+COUNTIF($E$4:$E$609,AW$613&amp;" ضد "&amp;$A643))</f>
        <v>0</v>
      </c>
      <c r="AX643" s="4">
        <f>IF($A643=AX$613,"",COUNTIF($E$4:$E$609,$A643&amp;" ضد "&amp;AX$613)+COUNTIF($E$4:$E$609,AX$613&amp;" ضد "&amp;$A643))</f>
        <v>0</v>
      </c>
      <c r="AY643" s="4">
        <f>IF($A643=AY$613,"",COUNTIF($E$4:$E$609,$A643&amp;" ضد "&amp;AY$613)+COUNTIF($E$4:$E$609,AY$613&amp;" ضد "&amp;$A643))</f>
        <v>0</v>
      </c>
      <c r="AZ643" s="4">
        <f>IF($A643=AZ$613,"",COUNTIF($E$4:$E$609,$A643&amp;" ضد "&amp;AZ$613)+COUNTIF($E$4:$E$609,AZ$613&amp;" ضد "&amp;$A643))</f>
        <v>0</v>
      </c>
      <c r="BA643" s="4">
        <f>IF($A643=BA$613,"",COUNTIF($E$4:$E$609,$A643&amp;" ضد "&amp;BA$613)+COUNTIF($E$4:$E$609,BA$613&amp;" ضد "&amp;$A643))</f>
        <v>0</v>
      </c>
      <c r="BB643" s="4">
        <f>IF($A643=BB$613,"",COUNTIF($E$4:$E$609,$A643&amp;" ضد "&amp;BB$613)+COUNTIF($E$4:$E$609,BB$613&amp;" ضد "&amp;$A643))</f>
        <v>0</v>
      </c>
      <c r="BC643" s="4">
        <f>IF($A643=BC$613,"",COUNTIF($E$4:$E$609,$A643&amp;" ضد "&amp;BC$613)+COUNTIF($E$4:$E$609,BC$613&amp;" ضد "&amp;$A643))</f>
        <v>0</v>
      </c>
      <c r="BD643" s="4">
        <f>IF($A643=BD$613,"",COUNTIF($E$4:$E$609,$A643&amp;" ضد "&amp;BD$613)+COUNTIF($E$4:$E$609,BD$613&amp;" ضد "&amp;$A643))</f>
        <v>0</v>
      </c>
      <c r="BE643" s="4">
        <f>IF($A643=BE$613,"",COUNTIF($E$4:$E$609,$A643&amp;" ضد "&amp;BE$613)+COUNTIF($E$4:$E$609,BE$613&amp;" ضد "&amp;$A643))</f>
        <v>0</v>
      </c>
      <c r="BF643" s="4">
        <f>IF($A643=BF$613,"",COUNTIF($E$4:$E$609,$A643&amp;" ضد "&amp;BF$613)+COUNTIF($E$4:$E$609,BF$613&amp;" ضد "&amp;$A643))</f>
        <v>0</v>
      </c>
      <c r="BG643" s="4">
        <f>IF($A643=BG$613,"",COUNTIF($E$4:$E$609,$A643&amp;" ضد "&amp;BG$613)+COUNTIF($E$4:$E$609,BG$613&amp;" ضد "&amp;$A643))</f>
        <v>0</v>
      </c>
      <c r="BH643" s="4">
        <f>IF($A643=BH$613,"",COUNTIF($E$4:$E$609,$A643&amp;" ضد "&amp;BH$613)+COUNTIF($E$4:$E$609,BH$613&amp;" ضد "&amp;$A643))</f>
        <v>0</v>
      </c>
      <c r="BI643" s="4">
        <f>IF($A643=BI$613,"",COUNTIF($E$4:$E$609,$A643&amp;" ضد "&amp;BI$613)+COUNTIF($E$4:$E$609,BI$613&amp;" ضد "&amp;$A643))</f>
        <v>0</v>
      </c>
      <c r="BJ643" s="4">
        <f>IF($A643=BJ$613,"",COUNTIF($E$4:$E$609,$A643&amp;" ضد "&amp;BJ$613)+COUNTIF($E$4:$E$609,BJ$613&amp;" ضد "&amp;$A643))</f>
        <v>0</v>
      </c>
      <c r="BK643" s="4">
        <f>IF($A643=BK$613,"",COUNTIF($E$4:$E$609,$A643&amp;" ضد "&amp;BK$613)+COUNTIF($E$4:$E$609,BK$613&amp;" ضد "&amp;$A643))</f>
        <v>0</v>
      </c>
      <c r="BL643" s="4">
        <f>IF($A643=BL$613,"",COUNTIF($E$4:$E$609,$A643&amp;" ضد "&amp;BL$613)+COUNTIF($E$4:$E$609,BL$613&amp;" ضد "&amp;$A643))</f>
        <v>0</v>
      </c>
      <c r="BM643" s="4">
        <f>IF($A643=BM$613,"",COUNTIF($E$4:$E$609,$A643&amp;" ضد "&amp;BM$613)+COUNTIF($E$4:$E$609,BM$613&amp;" ضد "&amp;$A643))</f>
        <v>0</v>
      </c>
      <c r="BN643" s="4">
        <f>IF($A643=BN$613,"",COUNTIF($E$4:$E$609,$A643&amp;" ضد "&amp;BN$613)+COUNTIF($E$4:$E$609,BN$613&amp;" ضد "&amp;$A643))</f>
        <v>0</v>
      </c>
      <c r="BO643" s="4">
        <f>IF($A643=BO$613,"",COUNTIF($E$4:$E$609,$A643&amp;" ضد "&amp;BO$613)+COUNTIF($E$4:$E$609,BO$613&amp;" ضد "&amp;$A643))</f>
        <v>0</v>
      </c>
      <c r="BP643" s="4">
        <f>IF($A643=BP$613,"",COUNTIF($E$4:$E$609,$A643&amp;" ضد "&amp;BP$613)+COUNTIF($E$4:$E$609,BP$613&amp;" ضد "&amp;$A643))</f>
        <v>0</v>
      </c>
    </row>
    <row r="644" spans="1:68" ht="14.5">
      <c r="A644" s="14">
        <v>31</v>
      </c>
      <c r="B644" s="4">
        <f>IF($A644=B$613,"",COUNTIF($E$4:$E$609,$A644&amp;" ضد "&amp;B$613)+COUNTIF($E$4:$E$609,B$613&amp;" ضد "&amp;$A644))</f>
        <v>0</v>
      </c>
      <c r="C644" s="4">
        <f>IF($A644=C$613,"",COUNTIF($E$4:$E$609,$A644&amp;" ضد "&amp;C$613)+COUNTIF($E$4:$E$609,C$613&amp;" ضد "&amp;$A644))</f>
        <v>0</v>
      </c>
      <c r="D644" s="4">
        <f>IF($A644=D$613,"",COUNTIF($E$4:$E$609,$A644&amp;" ضد "&amp;D$613)+COUNTIF($E$4:$E$609,D$613&amp;" ضد "&amp;$A644))</f>
        <v>0</v>
      </c>
      <c r="E644" s="4">
        <f>IF($A644=E$613,"",COUNTIF($E$4:$E$609,$A644&amp;" ضد "&amp;E$613)+COUNTIF($E$4:$E$609,E$613&amp;" ضد "&amp;$A644))</f>
        <v>0</v>
      </c>
      <c r="F644" s="4">
        <f>IF($A644=F$613,"",COUNTIF($E$4:$E$609,$A644&amp;" ضد "&amp;F$613)+COUNTIF($E$4:$E$609,F$613&amp;" ضد "&amp;$A644))</f>
        <v>0</v>
      </c>
      <c r="G644" s="4">
        <f>IF($A644=G$613,"",COUNTIF($E$4:$E$609,$A644&amp;" ضد "&amp;G$613)+COUNTIF($E$4:$E$609,G$613&amp;" ضد "&amp;$A644))</f>
        <v>0</v>
      </c>
      <c r="H644" s="4">
        <f>IF($A644=H$613,"",COUNTIF($E$4:$E$609,$A644&amp;" ضد "&amp;H$613)+COUNTIF($E$4:$E$609,H$613&amp;" ضد "&amp;$A644))</f>
        <v>0</v>
      </c>
      <c r="I644" s="4">
        <f>IF($A644=I$613,"",COUNTIF($E$4:$E$609,$A644&amp;" ضد "&amp;I$613)+COUNTIF($E$4:$E$609,I$613&amp;" ضد "&amp;$A644))</f>
        <v>0</v>
      </c>
      <c r="J644" s="4">
        <f>IF($A644=J$613,"",COUNTIF($E$4:$E$609,$A644&amp;" ضد "&amp;J$613)+COUNTIF($E$4:$E$609,J$613&amp;" ضد "&amp;$A644))</f>
        <v>0</v>
      </c>
      <c r="K644" s="4">
        <f>IF($A644=K$613,"",COUNTIF($E$4:$E$609,$A644&amp;" ضد "&amp;K$613)+COUNTIF($E$4:$E$609,K$613&amp;" ضد "&amp;$A644))</f>
        <v>0</v>
      </c>
      <c r="L644" s="4">
        <f>IF($A644=L$613,"",COUNTIF($E$4:$E$609,$A644&amp;" ضد "&amp;L$613)+COUNTIF($E$4:$E$609,L$613&amp;" ضد "&amp;$A644))</f>
        <v>0</v>
      </c>
      <c r="M644" s="4">
        <f>IF($A644=M$613,"",COUNTIF($E$4:$E$609,$A644&amp;" ضد "&amp;M$613)+COUNTIF($E$4:$E$609,M$613&amp;" ضد "&amp;$A644))</f>
        <v>0</v>
      </c>
      <c r="N644" s="4">
        <f>IF($A644=N$613,"",COUNTIF($E$4:$E$609,$A644&amp;" ضد "&amp;N$613)+COUNTIF($E$4:$E$609,N$613&amp;" ضد "&amp;$A644))</f>
        <v>0</v>
      </c>
      <c r="O644" s="4">
        <f>IF($A644=O$613,"",COUNTIF($E$4:$E$609,$A644&amp;" ضد "&amp;O$613)+COUNTIF($E$4:$E$609,O$613&amp;" ضد "&amp;$A644))</f>
        <v>0</v>
      </c>
      <c r="P644" s="4">
        <f>IF($A644=P$613,"",COUNTIF($E$4:$E$609,$A644&amp;" ضد "&amp;P$613)+COUNTIF($E$4:$E$609,P$613&amp;" ضد "&amp;$A644))</f>
        <v>0</v>
      </c>
      <c r="Q644" s="4">
        <f>IF($A644=Q$613,"",COUNTIF($E$4:$E$609,$A644&amp;" ضد "&amp;Q$613)+COUNTIF($E$4:$E$609,Q$613&amp;" ضد "&amp;$A644))</f>
        <v>0</v>
      </c>
      <c r="R644" s="4">
        <f>IF($A644=R$613,"",COUNTIF($E$4:$E$609,$A644&amp;" ضد "&amp;R$613)+COUNTIF($E$4:$E$609,R$613&amp;" ضد "&amp;$A644))</f>
        <v>0</v>
      </c>
      <c r="S644" s="4">
        <f>IF($A644=S$613,"",COUNTIF($E$4:$E$609,$A644&amp;" ضد "&amp;S$613)+COUNTIF($E$4:$E$609,S$613&amp;" ضد "&amp;$A644))</f>
        <v>1</v>
      </c>
      <c r="T644" s="4">
        <f>IF($A644=T$613,"",COUNTIF($E$4:$E$609,$A644&amp;" ضد "&amp;T$613)+COUNTIF($E$4:$E$609,T$613&amp;" ضد "&amp;$A644))</f>
        <v>1</v>
      </c>
      <c r="U644" s="4">
        <f>IF($A644=U$613,"",COUNTIF($E$4:$E$609,$A644&amp;" ضد "&amp;U$613)+COUNTIF($E$4:$E$609,U$613&amp;" ضد "&amp;$A644))</f>
        <v>1</v>
      </c>
      <c r="V644" s="4">
        <f>IF($A644=V$613,"",COUNTIF($E$4:$E$609,$A644&amp;" ضد "&amp;V$613)+COUNTIF($E$4:$E$609,V$613&amp;" ضد "&amp;$A644))</f>
        <v>1</v>
      </c>
      <c r="W644" s="4">
        <f>IF($A644=W$613,"",COUNTIF($E$4:$E$609,$A644&amp;" ضد "&amp;W$613)+COUNTIF($E$4:$E$609,W$613&amp;" ضد "&amp;$A644))</f>
        <v>1</v>
      </c>
      <c r="X644" s="4">
        <f>IF($A644=X$613,"",COUNTIF($E$4:$E$609,$A644&amp;" ضد "&amp;X$613)+COUNTIF($E$4:$E$609,X$613&amp;" ضد "&amp;$A644))</f>
        <v>1</v>
      </c>
      <c r="Y644" s="4">
        <f>IF($A644=Y$613,"",COUNTIF($E$4:$E$609,$A644&amp;" ضد "&amp;Y$613)+COUNTIF($E$4:$E$609,Y$613&amp;" ضد "&amp;$A644))</f>
        <v>1</v>
      </c>
      <c r="Z644" s="4">
        <f>IF($A644=Z$613,"",COUNTIF($E$4:$E$609,$A644&amp;" ضد "&amp;Z$613)+COUNTIF($E$4:$E$609,Z$613&amp;" ضد "&amp;$A644))</f>
        <v>1</v>
      </c>
      <c r="AA644" s="4">
        <f>IF($A644=AA$613,"",COUNTIF($E$4:$E$609,$A644&amp;" ضد "&amp;AA$613)+COUNTIF($E$4:$E$609,AA$613&amp;" ضد "&amp;$A644))</f>
        <v>1</v>
      </c>
      <c r="AB644" s="4">
        <f>IF($A644=AB$613,"",COUNTIF($E$4:$E$609,$A644&amp;" ضد "&amp;AB$613)+COUNTIF($E$4:$E$609,AB$613&amp;" ضد "&amp;$A644))</f>
        <v>1</v>
      </c>
      <c r="AC644" s="4">
        <f>IF($A644=AC$613,"",COUNTIF($E$4:$E$609,$A644&amp;" ضد "&amp;AC$613)+COUNTIF($E$4:$E$609,AC$613&amp;" ضد "&amp;$A644))</f>
        <v>1</v>
      </c>
      <c r="AD644" s="4">
        <f>IF($A644=AD$613,"",COUNTIF($E$4:$E$609,$A644&amp;" ضد "&amp;AD$613)+COUNTIF($E$4:$E$609,AD$613&amp;" ضد "&amp;$A644))</f>
        <v>1</v>
      </c>
      <c r="AE644" s="4">
        <f>IF($A644=AE$613,"",COUNTIF($E$4:$E$609,$A644&amp;" ضد "&amp;AE$613)+COUNTIF($E$4:$E$609,AE$613&amp;" ضد "&amp;$A644))</f>
        <v>2</v>
      </c>
      <c r="AF644" s="4" t="str">
        <f>IF($A644=AF$613,"",COUNTIF($E$4:$E$609,$A644&amp;" ضد "&amp;AF$613)+COUNTIF($E$4:$E$609,AF$613&amp;" ضد "&amp;$A644))</f>
        <v/>
      </c>
      <c r="AG644" s="4">
        <f>IF($A644=AG$613,"",COUNTIF($E$4:$E$609,$A644&amp;" ضد "&amp;AG$613)+COUNTIF($E$4:$E$609,AG$613&amp;" ضد "&amp;$A644))</f>
        <v>2</v>
      </c>
      <c r="AH644" s="4">
        <f>IF($A644=AH$613,"",COUNTIF($E$4:$E$609,$A644&amp;" ضد "&amp;AH$613)+COUNTIF($E$4:$E$609,AH$613&amp;" ضد "&amp;$A644))</f>
        <v>1</v>
      </c>
      <c r="AI644" s="4">
        <f>IF($A644=AI$613,"",COUNTIF($E$4:$E$609,$A644&amp;" ضد "&amp;AI$613)+COUNTIF($E$4:$E$609,AI$613&amp;" ضد "&amp;$A644))</f>
        <v>1</v>
      </c>
      <c r="AJ644" s="4">
        <f>IF($A644=AJ$613,"",COUNTIF($E$4:$E$609,$A644&amp;" ضد "&amp;AJ$613)+COUNTIF($E$4:$E$609,AJ$613&amp;" ضد "&amp;$A644))</f>
        <v>0</v>
      </c>
      <c r="AK644" s="4">
        <f>IF($A644=AK$613,"",COUNTIF($E$4:$E$609,$A644&amp;" ضد "&amp;AK$613)+COUNTIF($E$4:$E$609,AK$613&amp;" ضد "&amp;$A644))</f>
        <v>0</v>
      </c>
      <c r="AL644" s="4">
        <f>IF($A644=AL$613,"",COUNTIF($E$4:$E$609,$A644&amp;" ضد "&amp;AL$613)+COUNTIF($E$4:$E$609,AL$613&amp;" ضد "&amp;$A644))</f>
        <v>0</v>
      </c>
      <c r="AM644" s="4">
        <f>IF($A644=AM$613,"",COUNTIF($E$4:$E$609,$A644&amp;" ضد "&amp;AM$613)+COUNTIF($E$4:$E$609,AM$613&amp;" ضد "&amp;$A644))</f>
        <v>0</v>
      </c>
      <c r="AN644" s="4">
        <f>IF($A644=AN$613,"",COUNTIF($E$4:$E$609,$A644&amp;" ضد "&amp;AN$613)+COUNTIF($E$4:$E$609,AN$613&amp;" ضد "&amp;$A644))</f>
        <v>0</v>
      </c>
      <c r="AO644" s="4">
        <f>IF($A644=AO$613,"",COUNTIF($E$4:$E$609,$A644&amp;" ضد "&amp;AO$613)+COUNTIF($E$4:$E$609,AO$613&amp;" ضد "&amp;$A644))</f>
        <v>0</v>
      </c>
      <c r="AP644" s="4">
        <f>IF($A644=AP$613,"",COUNTIF($E$4:$E$609,$A644&amp;" ضد "&amp;AP$613)+COUNTIF($E$4:$E$609,AP$613&amp;" ضد "&amp;$A644))</f>
        <v>0</v>
      </c>
      <c r="AQ644" s="4">
        <f>IF($A644=AQ$613,"",COUNTIF($E$4:$E$609,$A644&amp;" ضد "&amp;AQ$613)+COUNTIF($E$4:$E$609,AQ$613&amp;" ضد "&amp;$A644))</f>
        <v>0</v>
      </c>
      <c r="AR644" s="4">
        <f>IF($A644=AR$613,"",COUNTIF($E$4:$E$609,$A644&amp;" ضد "&amp;AR$613)+COUNTIF($E$4:$E$609,AR$613&amp;" ضد "&amp;$A644))</f>
        <v>0</v>
      </c>
      <c r="AS644" s="4">
        <f>IF($A644=AS$613,"",COUNTIF($E$4:$E$609,$A644&amp;" ضد "&amp;AS$613)+COUNTIF($E$4:$E$609,AS$613&amp;" ضد "&amp;$A644))</f>
        <v>0</v>
      </c>
      <c r="AT644" s="4">
        <f>IF($A644=AT$613,"",COUNTIF($E$4:$E$609,$A644&amp;" ضد "&amp;AT$613)+COUNTIF($E$4:$E$609,AT$613&amp;" ضد "&amp;$A644))</f>
        <v>0</v>
      </c>
      <c r="AU644" s="4">
        <f>IF($A644=AU$613,"",COUNTIF($E$4:$E$609,$A644&amp;" ضد "&amp;AU$613)+COUNTIF($E$4:$E$609,AU$613&amp;" ضد "&amp;$A644))</f>
        <v>0</v>
      </c>
      <c r="AV644" s="4">
        <f>IF($A644=AV$613,"",COUNTIF($E$4:$E$609,$A644&amp;" ضد "&amp;AV$613)+COUNTIF($E$4:$E$609,AV$613&amp;" ضد "&amp;$A644))</f>
        <v>0</v>
      </c>
      <c r="AW644" s="4">
        <f>IF($A644=AW$613,"",COUNTIF($E$4:$E$609,$A644&amp;" ضد "&amp;AW$613)+COUNTIF($E$4:$E$609,AW$613&amp;" ضد "&amp;$A644))</f>
        <v>0</v>
      </c>
      <c r="AX644" s="4">
        <f>IF($A644=AX$613,"",COUNTIF($E$4:$E$609,$A644&amp;" ضد "&amp;AX$613)+COUNTIF($E$4:$E$609,AX$613&amp;" ضد "&amp;$A644))</f>
        <v>0</v>
      </c>
      <c r="AY644" s="4">
        <f>IF($A644=AY$613,"",COUNTIF($E$4:$E$609,$A644&amp;" ضد "&amp;AY$613)+COUNTIF($E$4:$E$609,AY$613&amp;" ضد "&amp;$A644))</f>
        <v>0</v>
      </c>
      <c r="AZ644" s="4">
        <f>IF($A644=AZ$613,"",COUNTIF($E$4:$E$609,$A644&amp;" ضد "&amp;AZ$613)+COUNTIF($E$4:$E$609,AZ$613&amp;" ضد "&amp;$A644))</f>
        <v>0</v>
      </c>
      <c r="BA644" s="4">
        <f>IF($A644=BA$613,"",COUNTIF($E$4:$E$609,$A644&amp;" ضد "&amp;BA$613)+COUNTIF($E$4:$E$609,BA$613&amp;" ضد "&amp;$A644))</f>
        <v>0</v>
      </c>
      <c r="BB644" s="4">
        <f>IF($A644=BB$613,"",COUNTIF($E$4:$E$609,$A644&amp;" ضد "&amp;BB$613)+COUNTIF($E$4:$E$609,BB$613&amp;" ضد "&amp;$A644))</f>
        <v>0</v>
      </c>
      <c r="BC644" s="4">
        <f>IF($A644=BC$613,"",COUNTIF($E$4:$E$609,$A644&amp;" ضد "&amp;BC$613)+COUNTIF($E$4:$E$609,BC$613&amp;" ضد "&amp;$A644))</f>
        <v>0</v>
      </c>
      <c r="BD644" s="4">
        <f>IF($A644=BD$613,"",COUNTIF($E$4:$E$609,$A644&amp;" ضد "&amp;BD$613)+COUNTIF($E$4:$E$609,BD$613&amp;" ضد "&amp;$A644))</f>
        <v>0</v>
      </c>
      <c r="BE644" s="4">
        <f>IF($A644=BE$613,"",COUNTIF($E$4:$E$609,$A644&amp;" ضد "&amp;BE$613)+COUNTIF($E$4:$E$609,BE$613&amp;" ضد "&amp;$A644))</f>
        <v>0</v>
      </c>
      <c r="BF644" s="4">
        <f>IF($A644=BF$613,"",COUNTIF($E$4:$E$609,$A644&amp;" ضد "&amp;BF$613)+COUNTIF($E$4:$E$609,BF$613&amp;" ضد "&amp;$A644))</f>
        <v>0</v>
      </c>
      <c r="BG644" s="4">
        <f>IF($A644=BG$613,"",COUNTIF($E$4:$E$609,$A644&amp;" ضد "&amp;BG$613)+COUNTIF($E$4:$E$609,BG$613&amp;" ضد "&amp;$A644))</f>
        <v>0</v>
      </c>
      <c r="BH644" s="4">
        <f>IF($A644=BH$613,"",COUNTIF($E$4:$E$609,$A644&amp;" ضد "&amp;BH$613)+COUNTIF($E$4:$E$609,BH$613&amp;" ضد "&amp;$A644))</f>
        <v>0</v>
      </c>
      <c r="BI644" s="4">
        <f>IF($A644=BI$613,"",COUNTIF($E$4:$E$609,$A644&amp;" ضد "&amp;BI$613)+COUNTIF($E$4:$E$609,BI$613&amp;" ضد "&amp;$A644))</f>
        <v>0</v>
      </c>
      <c r="BJ644" s="4">
        <f>IF($A644=BJ$613,"",COUNTIF($E$4:$E$609,$A644&amp;" ضد "&amp;BJ$613)+COUNTIF($E$4:$E$609,BJ$613&amp;" ضد "&amp;$A644))</f>
        <v>0</v>
      </c>
      <c r="BK644" s="4">
        <f>IF($A644=BK$613,"",COUNTIF($E$4:$E$609,$A644&amp;" ضد "&amp;BK$613)+COUNTIF($E$4:$E$609,BK$613&amp;" ضد "&amp;$A644))</f>
        <v>0</v>
      </c>
      <c r="BL644" s="4">
        <f>IF($A644=BL$613,"",COUNTIF($E$4:$E$609,$A644&amp;" ضد "&amp;BL$613)+COUNTIF($E$4:$E$609,BL$613&amp;" ضد "&amp;$A644))</f>
        <v>0</v>
      </c>
      <c r="BM644" s="4">
        <f>IF($A644=BM$613,"",COUNTIF($E$4:$E$609,$A644&amp;" ضد "&amp;BM$613)+COUNTIF($E$4:$E$609,BM$613&amp;" ضد "&amp;$A644))</f>
        <v>0</v>
      </c>
      <c r="BN644" s="4">
        <f>IF($A644=BN$613,"",COUNTIF($E$4:$E$609,$A644&amp;" ضد "&amp;BN$613)+COUNTIF($E$4:$E$609,BN$613&amp;" ضد "&amp;$A644))</f>
        <v>0</v>
      </c>
      <c r="BO644" s="4">
        <f>IF($A644=BO$613,"",COUNTIF($E$4:$E$609,$A644&amp;" ضد "&amp;BO$613)+COUNTIF($E$4:$E$609,BO$613&amp;" ضد "&amp;$A644))</f>
        <v>0</v>
      </c>
      <c r="BP644" s="4">
        <f>IF($A644=BP$613,"",COUNTIF($E$4:$E$609,$A644&amp;" ضد "&amp;BP$613)+COUNTIF($E$4:$E$609,BP$613&amp;" ضد "&amp;$A644))</f>
        <v>0</v>
      </c>
    </row>
    <row r="645" spans="1:68" ht="14.5">
      <c r="A645" s="14">
        <v>32</v>
      </c>
      <c r="B645" s="4">
        <f>IF($A645=B$613,"",COUNTIF($E$4:$E$609,$A645&amp;" ضد "&amp;B$613)+COUNTIF($E$4:$E$609,B$613&amp;" ضد "&amp;$A645))</f>
        <v>0</v>
      </c>
      <c r="C645" s="4">
        <f>IF($A645=C$613,"",COUNTIF($E$4:$E$609,$A645&amp;" ضد "&amp;C$613)+COUNTIF($E$4:$E$609,C$613&amp;" ضد "&amp;$A645))</f>
        <v>0</v>
      </c>
      <c r="D645" s="4">
        <f>IF($A645=D$613,"",COUNTIF($E$4:$E$609,$A645&amp;" ضد "&amp;D$613)+COUNTIF($E$4:$E$609,D$613&amp;" ضد "&amp;$A645))</f>
        <v>0</v>
      </c>
      <c r="E645" s="4">
        <f>IF($A645=E$613,"",COUNTIF($E$4:$E$609,$A645&amp;" ضد "&amp;E$613)+COUNTIF($E$4:$E$609,E$613&amp;" ضد "&amp;$A645))</f>
        <v>0</v>
      </c>
      <c r="F645" s="4">
        <f>IF($A645=F$613,"",COUNTIF($E$4:$E$609,$A645&amp;" ضد "&amp;F$613)+COUNTIF($E$4:$E$609,F$613&amp;" ضد "&amp;$A645))</f>
        <v>0</v>
      </c>
      <c r="G645" s="4">
        <f>IF($A645=G$613,"",COUNTIF($E$4:$E$609,$A645&amp;" ضد "&amp;G$613)+COUNTIF($E$4:$E$609,G$613&amp;" ضد "&amp;$A645))</f>
        <v>0</v>
      </c>
      <c r="H645" s="4">
        <f>IF($A645=H$613,"",COUNTIF($E$4:$E$609,$A645&amp;" ضد "&amp;H$613)+COUNTIF($E$4:$E$609,H$613&amp;" ضد "&amp;$A645))</f>
        <v>0</v>
      </c>
      <c r="I645" s="4">
        <f>IF($A645=I$613,"",COUNTIF($E$4:$E$609,$A645&amp;" ضد "&amp;I$613)+COUNTIF($E$4:$E$609,I$613&amp;" ضد "&amp;$A645))</f>
        <v>0</v>
      </c>
      <c r="J645" s="4">
        <f>IF($A645=J$613,"",COUNTIF($E$4:$E$609,$A645&amp;" ضد "&amp;J$613)+COUNTIF($E$4:$E$609,J$613&amp;" ضد "&amp;$A645))</f>
        <v>0</v>
      </c>
      <c r="K645" s="4">
        <f>IF($A645=K$613,"",COUNTIF($E$4:$E$609,$A645&amp;" ضد "&amp;K$613)+COUNTIF($E$4:$E$609,K$613&amp;" ضد "&amp;$A645))</f>
        <v>0</v>
      </c>
      <c r="L645" s="4">
        <f>IF($A645=L$613,"",COUNTIF($E$4:$E$609,$A645&amp;" ضد "&amp;L$613)+COUNTIF($E$4:$E$609,L$613&amp;" ضد "&amp;$A645))</f>
        <v>0</v>
      </c>
      <c r="M645" s="4">
        <f>IF($A645=M$613,"",COUNTIF($E$4:$E$609,$A645&amp;" ضد "&amp;M$613)+COUNTIF($E$4:$E$609,M$613&amp;" ضد "&amp;$A645))</f>
        <v>0</v>
      </c>
      <c r="N645" s="4">
        <f>IF($A645=N$613,"",COUNTIF($E$4:$E$609,$A645&amp;" ضد "&amp;N$613)+COUNTIF($E$4:$E$609,N$613&amp;" ضد "&amp;$A645))</f>
        <v>0</v>
      </c>
      <c r="O645" s="4">
        <f>IF($A645=O$613,"",COUNTIF($E$4:$E$609,$A645&amp;" ضد "&amp;O$613)+COUNTIF($E$4:$E$609,O$613&amp;" ضد "&amp;$A645))</f>
        <v>0</v>
      </c>
      <c r="P645" s="4">
        <f>IF($A645=P$613,"",COUNTIF($E$4:$E$609,$A645&amp;" ضد "&amp;P$613)+COUNTIF($E$4:$E$609,P$613&amp;" ضد "&amp;$A645))</f>
        <v>0</v>
      </c>
      <c r="Q645" s="4">
        <f>IF($A645=Q$613,"",COUNTIF($E$4:$E$609,$A645&amp;" ضد "&amp;Q$613)+COUNTIF($E$4:$E$609,Q$613&amp;" ضد "&amp;$A645))</f>
        <v>0</v>
      </c>
      <c r="R645" s="4">
        <f>IF($A645=R$613,"",COUNTIF($E$4:$E$609,$A645&amp;" ضد "&amp;R$613)+COUNTIF($E$4:$E$609,R$613&amp;" ضد "&amp;$A645))</f>
        <v>0</v>
      </c>
      <c r="S645" s="4">
        <f>IF($A645=S$613,"",COUNTIF($E$4:$E$609,$A645&amp;" ضد "&amp;S$613)+COUNTIF($E$4:$E$609,S$613&amp;" ضد "&amp;$A645))</f>
        <v>1</v>
      </c>
      <c r="T645" s="4">
        <f>IF($A645=T$613,"",COUNTIF($E$4:$E$609,$A645&amp;" ضد "&amp;T$613)+COUNTIF($E$4:$E$609,T$613&amp;" ضد "&amp;$A645))</f>
        <v>1</v>
      </c>
      <c r="U645" s="4">
        <f>IF($A645=U$613,"",COUNTIF($E$4:$E$609,$A645&amp;" ضد "&amp;U$613)+COUNTIF($E$4:$E$609,U$613&amp;" ضد "&amp;$A645))</f>
        <v>1</v>
      </c>
      <c r="V645" s="4">
        <f>IF($A645=V$613,"",COUNTIF($E$4:$E$609,$A645&amp;" ضد "&amp;V$613)+COUNTIF($E$4:$E$609,V$613&amp;" ضد "&amp;$A645))</f>
        <v>1</v>
      </c>
      <c r="W645" s="4">
        <f>IF($A645=W$613,"",COUNTIF($E$4:$E$609,$A645&amp;" ضد "&amp;W$613)+COUNTIF($E$4:$E$609,W$613&amp;" ضد "&amp;$A645))</f>
        <v>1</v>
      </c>
      <c r="X645" s="4">
        <f>IF($A645=X$613,"",COUNTIF($E$4:$E$609,$A645&amp;" ضد "&amp;X$613)+COUNTIF($E$4:$E$609,X$613&amp;" ضد "&amp;$A645))</f>
        <v>1</v>
      </c>
      <c r="Y645" s="4">
        <f>IF($A645=Y$613,"",COUNTIF($E$4:$E$609,$A645&amp;" ضد "&amp;Y$613)+COUNTIF($E$4:$E$609,Y$613&amp;" ضد "&amp;$A645))</f>
        <v>1</v>
      </c>
      <c r="Z645" s="4">
        <f>IF($A645=Z$613,"",COUNTIF($E$4:$E$609,$A645&amp;" ضد "&amp;Z$613)+COUNTIF($E$4:$E$609,Z$613&amp;" ضد "&amp;$A645))</f>
        <v>1</v>
      </c>
      <c r="AA645" s="4">
        <f>IF($A645=AA$613,"",COUNTIF($E$4:$E$609,$A645&amp;" ضد "&amp;AA$613)+COUNTIF($E$4:$E$609,AA$613&amp;" ضد "&amp;$A645))</f>
        <v>1</v>
      </c>
      <c r="AB645" s="4">
        <f>IF($A645=AB$613,"",COUNTIF($E$4:$E$609,$A645&amp;" ضد "&amp;AB$613)+COUNTIF($E$4:$E$609,AB$613&amp;" ضد "&amp;$A645))</f>
        <v>1</v>
      </c>
      <c r="AC645" s="4">
        <f>IF($A645=AC$613,"",COUNTIF($E$4:$E$609,$A645&amp;" ضد "&amp;AC$613)+COUNTIF($E$4:$E$609,AC$613&amp;" ضد "&amp;$A645))</f>
        <v>1</v>
      </c>
      <c r="AD645" s="4">
        <f>IF($A645=AD$613,"",COUNTIF($E$4:$E$609,$A645&amp;" ضد "&amp;AD$613)+COUNTIF($E$4:$E$609,AD$613&amp;" ضد "&amp;$A645))</f>
        <v>1</v>
      </c>
      <c r="AE645" s="4">
        <f>IF($A645=AE$613,"",COUNTIF($E$4:$E$609,$A645&amp;" ضد "&amp;AE$613)+COUNTIF($E$4:$E$609,AE$613&amp;" ضد "&amp;$A645))</f>
        <v>1</v>
      </c>
      <c r="AF645" s="4">
        <f>IF($A645=AF$613,"",COUNTIF($E$4:$E$609,$A645&amp;" ضد "&amp;AF$613)+COUNTIF($E$4:$E$609,AF$613&amp;" ضد "&amp;$A645))</f>
        <v>2</v>
      </c>
      <c r="AG645" s="4" t="str">
        <f>IF($A645=AG$613,"",COUNTIF($E$4:$E$609,$A645&amp;" ضد "&amp;AG$613)+COUNTIF($E$4:$E$609,AG$613&amp;" ضد "&amp;$A645))</f>
        <v/>
      </c>
      <c r="AH645" s="4">
        <f>IF($A645=AH$613,"",COUNTIF($E$4:$E$609,$A645&amp;" ضد "&amp;AH$613)+COUNTIF($E$4:$E$609,AH$613&amp;" ضد "&amp;$A645))</f>
        <v>2</v>
      </c>
      <c r="AI645" s="4">
        <f>IF($A645=AI$613,"",COUNTIF($E$4:$E$609,$A645&amp;" ضد "&amp;AI$613)+COUNTIF($E$4:$E$609,AI$613&amp;" ضد "&amp;$A645))</f>
        <v>1</v>
      </c>
      <c r="AJ645" s="4">
        <f>IF($A645=AJ$613,"",COUNTIF($E$4:$E$609,$A645&amp;" ضد "&amp;AJ$613)+COUNTIF($E$4:$E$609,AJ$613&amp;" ضد "&amp;$A645))</f>
        <v>0</v>
      </c>
      <c r="AK645" s="4">
        <f>IF($A645=AK$613,"",COUNTIF($E$4:$E$609,$A645&amp;" ضد "&amp;AK$613)+COUNTIF($E$4:$E$609,AK$613&amp;" ضد "&amp;$A645))</f>
        <v>0</v>
      </c>
      <c r="AL645" s="4">
        <f>IF($A645=AL$613,"",COUNTIF($E$4:$E$609,$A645&amp;" ضد "&amp;AL$613)+COUNTIF($E$4:$E$609,AL$613&amp;" ضد "&amp;$A645))</f>
        <v>0</v>
      </c>
      <c r="AM645" s="4">
        <f>IF($A645=AM$613,"",COUNTIF($E$4:$E$609,$A645&amp;" ضد "&amp;AM$613)+COUNTIF($E$4:$E$609,AM$613&amp;" ضد "&amp;$A645))</f>
        <v>0</v>
      </c>
      <c r="AN645" s="4">
        <f>IF($A645=AN$613,"",COUNTIF($E$4:$E$609,$A645&amp;" ضد "&amp;AN$613)+COUNTIF($E$4:$E$609,AN$613&amp;" ضد "&amp;$A645))</f>
        <v>0</v>
      </c>
      <c r="AO645" s="4">
        <f>IF($A645=AO$613,"",COUNTIF($E$4:$E$609,$A645&amp;" ضد "&amp;AO$613)+COUNTIF($E$4:$E$609,AO$613&amp;" ضد "&amp;$A645))</f>
        <v>0</v>
      </c>
      <c r="AP645" s="4">
        <f>IF($A645=AP$613,"",COUNTIF($E$4:$E$609,$A645&amp;" ضد "&amp;AP$613)+COUNTIF($E$4:$E$609,AP$613&amp;" ضد "&amp;$A645))</f>
        <v>0</v>
      </c>
      <c r="AQ645" s="4">
        <f>IF($A645=AQ$613,"",COUNTIF($E$4:$E$609,$A645&amp;" ضد "&amp;AQ$613)+COUNTIF($E$4:$E$609,AQ$613&amp;" ضد "&amp;$A645))</f>
        <v>0</v>
      </c>
      <c r="AR645" s="4">
        <f>IF($A645=AR$613,"",COUNTIF($E$4:$E$609,$A645&amp;" ضد "&amp;AR$613)+COUNTIF($E$4:$E$609,AR$613&amp;" ضد "&amp;$A645))</f>
        <v>0</v>
      </c>
      <c r="AS645" s="4">
        <f>IF($A645=AS$613,"",COUNTIF($E$4:$E$609,$A645&amp;" ضد "&amp;AS$613)+COUNTIF($E$4:$E$609,AS$613&amp;" ضد "&amp;$A645))</f>
        <v>0</v>
      </c>
      <c r="AT645" s="4">
        <f>IF($A645=AT$613,"",COUNTIF($E$4:$E$609,$A645&amp;" ضد "&amp;AT$613)+COUNTIF($E$4:$E$609,AT$613&amp;" ضد "&amp;$A645))</f>
        <v>0</v>
      </c>
      <c r="AU645" s="4">
        <f>IF($A645=AU$613,"",COUNTIF($E$4:$E$609,$A645&amp;" ضد "&amp;AU$613)+COUNTIF($E$4:$E$609,AU$613&amp;" ضد "&amp;$A645))</f>
        <v>0</v>
      </c>
      <c r="AV645" s="4">
        <f>IF($A645=AV$613,"",COUNTIF($E$4:$E$609,$A645&amp;" ضد "&amp;AV$613)+COUNTIF($E$4:$E$609,AV$613&amp;" ضد "&amp;$A645))</f>
        <v>0</v>
      </c>
      <c r="AW645" s="4">
        <f>IF($A645=AW$613,"",COUNTIF($E$4:$E$609,$A645&amp;" ضد "&amp;AW$613)+COUNTIF($E$4:$E$609,AW$613&amp;" ضد "&amp;$A645))</f>
        <v>0</v>
      </c>
      <c r="AX645" s="4">
        <f>IF($A645=AX$613,"",COUNTIF($E$4:$E$609,$A645&amp;" ضد "&amp;AX$613)+COUNTIF($E$4:$E$609,AX$613&amp;" ضد "&amp;$A645))</f>
        <v>0</v>
      </c>
      <c r="AY645" s="4">
        <f>IF($A645=AY$613,"",COUNTIF($E$4:$E$609,$A645&amp;" ضد "&amp;AY$613)+COUNTIF($E$4:$E$609,AY$613&amp;" ضد "&amp;$A645))</f>
        <v>0</v>
      </c>
      <c r="AZ645" s="4">
        <f>IF($A645=AZ$613,"",COUNTIF($E$4:$E$609,$A645&amp;" ضد "&amp;AZ$613)+COUNTIF($E$4:$E$609,AZ$613&amp;" ضد "&amp;$A645))</f>
        <v>0</v>
      </c>
      <c r="BA645" s="4">
        <f>IF($A645=BA$613,"",COUNTIF($E$4:$E$609,$A645&amp;" ضد "&amp;BA$613)+COUNTIF($E$4:$E$609,BA$613&amp;" ضد "&amp;$A645))</f>
        <v>0</v>
      </c>
      <c r="BB645" s="4">
        <f>IF($A645=BB$613,"",COUNTIF($E$4:$E$609,$A645&amp;" ضد "&amp;BB$613)+COUNTIF($E$4:$E$609,BB$613&amp;" ضد "&amp;$A645))</f>
        <v>0</v>
      </c>
      <c r="BC645" s="4">
        <f>IF($A645=BC$613,"",COUNTIF($E$4:$E$609,$A645&amp;" ضد "&amp;BC$613)+COUNTIF($E$4:$E$609,BC$613&amp;" ضد "&amp;$A645))</f>
        <v>0</v>
      </c>
      <c r="BD645" s="4">
        <f>IF($A645=BD$613,"",COUNTIF($E$4:$E$609,$A645&amp;" ضد "&amp;BD$613)+COUNTIF($E$4:$E$609,BD$613&amp;" ضد "&amp;$A645))</f>
        <v>0</v>
      </c>
      <c r="BE645" s="4">
        <f>IF($A645=BE$613,"",COUNTIF($E$4:$E$609,$A645&amp;" ضد "&amp;BE$613)+COUNTIF($E$4:$E$609,BE$613&amp;" ضد "&amp;$A645))</f>
        <v>0</v>
      </c>
      <c r="BF645" s="4">
        <f>IF($A645=BF$613,"",COUNTIF($E$4:$E$609,$A645&amp;" ضد "&amp;BF$613)+COUNTIF($E$4:$E$609,BF$613&amp;" ضد "&amp;$A645))</f>
        <v>0</v>
      </c>
      <c r="BG645" s="4">
        <f>IF($A645=BG$613,"",COUNTIF($E$4:$E$609,$A645&amp;" ضد "&amp;BG$613)+COUNTIF($E$4:$E$609,BG$613&amp;" ضد "&amp;$A645))</f>
        <v>0</v>
      </c>
      <c r="BH645" s="4">
        <f>IF($A645=BH$613,"",COUNTIF($E$4:$E$609,$A645&amp;" ضد "&amp;BH$613)+COUNTIF($E$4:$E$609,BH$613&amp;" ضد "&amp;$A645))</f>
        <v>0</v>
      </c>
      <c r="BI645" s="4">
        <f>IF($A645=BI$613,"",COUNTIF($E$4:$E$609,$A645&amp;" ضد "&amp;BI$613)+COUNTIF($E$4:$E$609,BI$613&amp;" ضد "&amp;$A645))</f>
        <v>0</v>
      </c>
      <c r="BJ645" s="4">
        <f>IF($A645=BJ$613,"",COUNTIF($E$4:$E$609,$A645&amp;" ضد "&amp;BJ$613)+COUNTIF($E$4:$E$609,BJ$613&amp;" ضد "&amp;$A645))</f>
        <v>0</v>
      </c>
      <c r="BK645" s="4">
        <f>IF($A645=BK$613,"",COUNTIF($E$4:$E$609,$A645&amp;" ضد "&amp;BK$613)+COUNTIF($E$4:$E$609,BK$613&amp;" ضد "&amp;$A645))</f>
        <v>0</v>
      </c>
      <c r="BL645" s="4">
        <f>IF($A645=BL$613,"",COUNTIF($E$4:$E$609,$A645&amp;" ضد "&amp;BL$613)+COUNTIF($E$4:$E$609,BL$613&amp;" ضد "&amp;$A645))</f>
        <v>0</v>
      </c>
      <c r="BM645" s="4">
        <f>IF($A645=BM$613,"",COUNTIF($E$4:$E$609,$A645&amp;" ضد "&amp;BM$613)+COUNTIF($E$4:$E$609,BM$613&amp;" ضد "&amp;$A645))</f>
        <v>0</v>
      </c>
      <c r="BN645" s="4">
        <f>IF($A645=BN$613,"",COUNTIF($E$4:$E$609,$A645&amp;" ضد "&amp;BN$613)+COUNTIF($E$4:$E$609,BN$613&amp;" ضد "&amp;$A645))</f>
        <v>0</v>
      </c>
      <c r="BO645" s="4">
        <f>IF($A645=BO$613,"",COUNTIF($E$4:$E$609,$A645&amp;" ضد "&amp;BO$613)+COUNTIF($E$4:$E$609,BO$613&amp;" ضد "&amp;$A645))</f>
        <v>0</v>
      </c>
      <c r="BP645" s="4">
        <f>IF($A645=BP$613,"",COUNTIF($E$4:$E$609,$A645&amp;" ضد "&amp;BP$613)+COUNTIF($E$4:$E$609,BP$613&amp;" ضد "&amp;$A645))</f>
        <v>0</v>
      </c>
    </row>
    <row r="646" spans="1:68" ht="14.5">
      <c r="A646" s="14">
        <v>33</v>
      </c>
      <c r="B646" s="4">
        <f>IF($A646=B$613,"",COUNTIF($E$4:$E$609,$A646&amp;" ضد "&amp;B$613)+COUNTIF($E$4:$E$609,B$613&amp;" ضد "&amp;$A646))</f>
        <v>0</v>
      </c>
      <c r="C646" s="4">
        <f>IF($A646=C$613,"",COUNTIF($E$4:$E$609,$A646&amp;" ضد "&amp;C$613)+COUNTIF($E$4:$E$609,C$613&amp;" ضد "&amp;$A646))</f>
        <v>0</v>
      </c>
      <c r="D646" s="4">
        <f>IF($A646=D$613,"",COUNTIF($E$4:$E$609,$A646&amp;" ضد "&amp;D$613)+COUNTIF($E$4:$E$609,D$613&amp;" ضد "&amp;$A646))</f>
        <v>0</v>
      </c>
      <c r="E646" s="4">
        <f>IF($A646=E$613,"",COUNTIF($E$4:$E$609,$A646&amp;" ضد "&amp;E$613)+COUNTIF($E$4:$E$609,E$613&amp;" ضد "&amp;$A646))</f>
        <v>0</v>
      </c>
      <c r="F646" s="4">
        <f>IF($A646=F$613,"",COUNTIF($E$4:$E$609,$A646&amp;" ضد "&amp;F$613)+COUNTIF($E$4:$E$609,F$613&amp;" ضد "&amp;$A646))</f>
        <v>0</v>
      </c>
      <c r="G646" s="4">
        <f>IF($A646=G$613,"",COUNTIF($E$4:$E$609,$A646&amp;" ضد "&amp;G$613)+COUNTIF($E$4:$E$609,G$613&amp;" ضد "&amp;$A646))</f>
        <v>0</v>
      </c>
      <c r="H646" s="4">
        <f>IF($A646=H$613,"",COUNTIF($E$4:$E$609,$A646&amp;" ضد "&amp;H$613)+COUNTIF($E$4:$E$609,H$613&amp;" ضد "&amp;$A646))</f>
        <v>0</v>
      </c>
      <c r="I646" s="4">
        <f>IF($A646=I$613,"",COUNTIF($E$4:$E$609,$A646&amp;" ضد "&amp;I$613)+COUNTIF($E$4:$E$609,I$613&amp;" ضد "&amp;$A646))</f>
        <v>0</v>
      </c>
      <c r="J646" s="4">
        <f>IF($A646=J$613,"",COUNTIF($E$4:$E$609,$A646&amp;" ضد "&amp;J$613)+COUNTIF($E$4:$E$609,J$613&amp;" ضد "&amp;$A646))</f>
        <v>0</v>
      </c>
      <c r="K646" s="4">
        <f>IF($A646=K$613,"",COUNTIF($E$4:$E$609,$A646&amp;" ضد "&amp;K$613)+COUNTIF($E$4:$E$609,K$613&amp;" ضد "&amp;$A646))</f>
        <v>0</v>
      </c>
      <c r="L646" s="4">
        <f>IF($A646=L$613,"",COUNTIF($E$4:$E$609,$A646&amp;" ضد "&amp;L$613)+COUNTIF($E$4:$E$609,L$613&amp;" ضد "&amp;$A646))</f>
        <v>0</v>
      </c>
      <c r="M646" s="4">
        <f>IF($A646=M$613,"",COUNTIF($E$4:$E$609,$A646&amp;" ضد "&amp;M$613)+COUNTIF($E$4:$E$609,M$613&amp;" ضد "&amp;$A646))</f>
        <v>0</v>
      </c>
      <c r="N646" s="4">
        <f>IF($A646=N$613,"",COUNTIF($E$4:$E$609,$A646&amp;" ضد "&amp;N$613)+COUNTIF($E$4:$E$609,N$613&amp;" ضد "&amp;$A646))</f>
        <v>0</v>
      </c>
      <c r="O646" s="4">
        <f>IF($A646=O$613,"",COUNTIF($E$4:$E$609,$A646&amp;" ضد "&amp;O$613)+COUNTIF($E$4:$E$609,O$613&amp;" ضد "&amp;$A646))</f>
        <v>0</v>
      </c>
      <c r="P646" s="4">
        <f>IF($A646=P$613,"",COUNTIF($E$4:$E$609,$A646&amp;" ضد "&amp;P$613)+COUNTIF($E$4:$E$609,P$613&amp;" ضد "&amp;$A646))</f>
        <v>0</v>
      </c>
      <c r="Q646" s="4">
        <f>IF($A646=Q$613,"",COUNTIF($E$4:$E$609,$A646&amp;" ضد "&amp;Q$613)+COUNTIF($E$4:$E$609,Q$613&amp;" ضد "&amp;$A646))</f>
        <v>0</v>
      </c>
      <c r="R646" s="4">
        <f>IF($A646=R$613,"",COUNTIF($E$4:$E$609,$A646&amp;" ضد "&amp;R$613)+COUNTIF($E$4:$E$609,R$613&amp;" ضد "&amp;$A646))</f>
        <v>0</v>
      </c>
      <c r="S646" s="4">
        <f>IF($A646=S$613,"",COUNTIF($E$4:$E$609,$A646&amp;" ضد "&amp;S$613)+COUNTIF($E$4:$E$609,S$613&amp;" ضد "&amp;$A646))</f>
        <v>1</v>
      </c>
      <c r="T646" s="4">
        <f>IF($A646=T$613,"",COUNTIF($E$4:$E$609,$A646&amp;" ضد "&amp;T$613)+COUNTIF($E$4:$E$609,T$613&amp;" ضد "&amp;$A646))</f>
        <v>1</v>
      </c>
      <c r="U646" s="4">
        <f>IF($A646=U$613,"",COUNTIF($E$4:$E$609,$A646&amp;" ضد "&amp;U$613)+COUNTIF($E$4:$E$609,U$613&amp;" ضد "&amp;$A646))</f>
        <v>1</v>
      </c>
      <c r="V646" s="4">
        <f>IF($A646=V$613,"",COUNTIF($E$4:$E$609,$A646&amp;" ضد "&amp;V$613)+COUNTIF($E$4:$E$609,V$613&amp;" ضد "&amp;$A646))</f>
        <v>1</v>
      </c>
      <c r="W646" s="4">
        <f>IF($A646=W$613,"",COUNTIF($E$4:$E$609,$A646&amp;" ضد "&amp;W$613)+COUNTIF($E$4:$E$609,W$613&amp;" ضد "&amp;$A646))</f>
        <v>1</v>
      </c>
      <c r="X646" s="4">
        <f>IF($A646=X$613,"",COUNTIF($E$4:$E$609,$A646&amp;" ضد "&amp;X$613)+COUNTIF($E$4:$E$609,X$613&amp;" ضد "&amp;$A646))</f>
        <v>1</v>
      </c>
      <c r="Y646" s="4">
        <f>IF($A646=Y$613,"",COUNTIF($E$4:$E$609,$A646&amp;" ضد "&amp;Y$613)+COUNTIF($E$4:$E$609,Y$613&amp;" ضد "&amp;$A646))</f>
        <v>1</v>
      </c>
      <c r="Z646" s="4">
        <f>IF($A646=Z$613,"",COUNTIF($E$4:$E$609,$A646&amp;" ضد "&amp;Z$613)+COUNTIF($E$4:$E$609,Z$613&amp;" ضد "&amp;$A646))</f>
        <v>1</v>
      </c>
      <c r="AA646" s="4">
        <f>IF($A646=AA$613,"",COUNTIF($E$4:$E$609,$A646&amp;" ضد "&amp;AA$613)+COUNTIF($E$4:$E$609,AA$613&amp;" ضد "&amp;$A646))</f>
        <v>1</v>
      </c>
      <c r="AB646" s="4">
        <f>IF($A646=AB$613,"",COUNTIF($E$4:$E$609,$A646&amp;" ضد "&amp;AB$613)+COUNTIF($E$4:$E$609,AB$613&amp;" ضد "&amp;$A646))</f>
        <v>1</v>
      </c>
      <c r="AC646" s="4">
        <f>IF($A646=AC$613,"",COUNTIF($E$4:$E$609,$A646&amp;" ضد "&amp;AC$613)+COUNTIF($E$4:$E$609,AC$613&amp;" ضد "&amp;$A646))</f>
        <v>1</v>
      </c>
      <c r="AD646" s="4">
        <f>IF($A646=AD$613,"",COUNTIF($E$4:$E$609,$A646&amp;" ضد "&amp;AD$613)+COUNTIF($E$4:$E$609,AD$613&amp;" ضد "&amp;$A646))</f>
        <v>1</v>
      </c>
      <c r="AE646" s="4">
        <f>IF($A646=AE$613,"",COUNTIF($E$4:$E$609,$A646&amp;" ضد "&amp;AE$613)+COUNTIF($E$4:$E$609,AE$613&amp;" ضد "&amp;$A646))</f>
        <v>1</v>
      </c>
      <c r="AF646" s="4">
        <f>IF($A646=AF$613,"",COUNTIF($E$4:$E$609,$A646&amp;" ضد "&amp;AF$613)+COUNTIF($E$4:$E$609,AF$613&amp;" ضد "&amp;$A646))</f>
        <v>1</v>
      </c>
      <c r="AG646" s="4">
        <f>IF($A646=AG$613,"",COUNTIF($E$4:$E$609,$A646&amp;" ضد "&amp;AG$613)+COUNTIF($E$4:$E$609,AG$613&amp;" ضد "&amp;$A646))</f>
        <v>2</v>
      </c>
      <c r="AH646" s="4" t="str">
        <f>IF($A646=AH$613,"",COUNTIF($E$4:$E$609,$A646&amp;" ضد "&amp;AH$613)+COUNTIF($E$4:$E$609,AH$613&amp;" ضد "&amp;$A646))</f>
        <v/>
      </c>
      <c r="AI646" s="4">
        <f>IF($A646=AI$613,"",COUNTIF($E$4:$E$609,$A646&amp;" ضد "&amp;AI$613)+COUNTIF($E$4:$E$609,AI$613&amp;" ضد "&amp;$A646))</f>
        <v>2</v>
      </c>
      <c r="AJ646" s="4">
        <f>IF($A646=AJ$613,"",COUNTIF($E$4:$E$609,$A646&amp;" ضد "&amp;AJ$613)+COUNTIF($E$4:$E$609,AJ$613&amp;" ضد "&amp;$A646))</f>
        <v>0</v>
      </c>
      <c r="AK646" s="4">
        <f>IF($A646=AK$613,"",COUNTIF($E$4:$E$609,$A646&amp;" ضد "&amp;AK$613)+COUNTIF($E$4:$E$609,AK$613&amp;" ضد "&amp;$A646))</f>
        <v>0</v>
      </c>
      <c r="AL646" s="4">
        <f>IF($A646=AL$613,"",COUNTIF($E$4:$E$609,$A646&amp;" ضد "&amp;AL$613)+COUNTIF($E$4:$E$609,AL$613&amp;" ضد "&amp;$A646))</f>
        <v>0</v>
      </c>
      <c r="AM646" s="4">
        <f>IF($A646=AM$613,"",COUNTIF($E$4:$E$609,$A646&amp;" ضد "&amp;AM$613)+COUNTIF($E$4:$E$609,AM$613&amp;" ضد "&amp;$A646))</f>
        <v>0</v>
      </c>
      <c r="AN646" s="4">
        <f>IF($A646=AN$613,"",COUNTIF($E$4:$E$609,$A646&amp;" ضد "&amp;AN$613)+COUNTIF($E$4:$E$609,AN$613&amp;" ضد "&amp;$A646))</f>
        <v>0</v>
      </c>
      <c r="AO646" s="4">
        <f>IF($A646=AO$613,"",COUNTIF($E$4:$E$609,$A646&amp;" ضد "&amp;AO$613)+COUNTIF($E$4:$E$609,AO$613&amp;" ضد "&amp;$A646))</f>
        <v>0</v>
      </c>
      <c r="AP646" s="4">
        <f>IF($A646=AP$613,"",COUNTIF($E$4:$E$609,$A646&amp;" ضد "&amp;AP$613)+COUNTIF($E$4:$E$609,AP$613&amp;" ضد "&amp;$A646))</f>
        <v>0</v>
      </c>
      <c r="AQ646" s="4">
        <f>IF($A646=AQ$613,"",COUNTIF($E$4:$E$609,$A646&amp;" ضد "&amp;AQ$613)+COUNTIF($E$4:$E$609,AQ$613&amp;" ضد "&amp;$A646))</f>
        <v>0</v>
      </c>
      <c r="AR646" s="4">
        <f>IF($A646=AR$613,"",COUNTIF($E$4:$E$609,$A646&amp;" ضد "&amp;AR$613)+COUNTIF($E$4:$E$609,AR$613&amp;" ضد "&amp;$A646))</f>
        <v>0</v>
      </c>
      <c r="AS646" s="4">
        <f>IF($A646=AS$613,"",COUNTIF($E$4:$E$609,$A646&amp;" ضد "&amp;AS$613)+COUNTIF($E$4:$E$609,AS$613&amp;" ضد "&amp;$A646))</f>
        <v>0</v>
      </c>
      <c r="AT646" s="4">
        <f>IF($A646=AT$613,"",COUNTIF($E$4:$E$609,$A646&amp;" ضد "&amp;AT$613)+COUNTIF($E$4:$E$609,AT$613&amp;" ضد "&amp;$A646))</f>
        <v>0</v>
      </c>
      <c r="AU646" s="4">
        <f>IF($A646=AU$613,"",COUNTIF($E$4:$E$609,$A646&amp;" ضد "&amp;AU$613)+COUNTIF($E$4:$E$609,AU$613&amp;" ضد "&amp;$A646))</f>
        <v>0</v>
      </c>
      <c r="AV646" s="4">
        <f>IF($A646=AV$613,"",COUNTIF($E$4:$E$609,$A646&amp;" ضد "&amp;AV$613)+COUNTIF($E$4:$E$609,AV$613&amp;" ضد "&amp;$A646))</f>
        <v>0</v>
      </c>
      <c r="AW646" s="4">
        <f>IF($A646=AW$613,"",COUNTIF($E$4:$E$609,$A646&amp;" ضد "&amp;AW$613)+COUNTIF($E$4:$E$609,AW$613&amp;" ضد "&amp;$A646))</f>
        <v>0</v>
      </c>
      <c r="AX646" s="4">
        <f>IF($A646=AX$613,"",COUNTIF($E$4:$E$609,$A646&amp;" ضد "&amp;AX$613)+COUNTIF($E$4:$E$609,AX$613&amp;" ضد "&amp;$A646))</f>
        <v>0</v>
      </c>
      <c r="AY646" s="4">
        <f>IF($A646=AY$613,"",COUNTIF($E$4:$E$609,$A646&amp;" ضد "&amp;AY$613)+COUNTIF($E$4:$E$609,AY$613&amp;" ضد "&amp;$A646))</f>
        <v>0</v>
      </c>
      <c r="AZ646" s="4">
        <f>IF($A646=AZ$613,"",COUNTIF($E$4:$E$609,$A646&amp;" ضد "&amp;AZ$613)+COUNTIF($E$4:$E$609,AZ$613&amp;" ضد "&amp;$A646))</f>
        <v>0</v>
      </c>
      <c r="BA646" s="4">
        <f>IF($A646=BA$613,"",COUNTIF($E$4:$E$609,$A646&amp;" ضد "&amp;BA$613)+COUNTIF($E$4:$E$609,BA$613&amp;" ضد "&amp;$A646))</f>
        <v>0</v>
      </c>
      <c r="BB646" s="4">
        <f>IF($A646=BB$613,"",COUNTIF($E$4:$E$609,$A646&amp;" ضد "&amp;BB$613)+COUNTIF($E$4:$E$609,BB$613&amp;" ضد "&amp;$A646))</f>
        <v>0</v>
      </c>
      <c r="BC646" s="4">
        <f>IF($A646=BC$613,"",COUNTIF($E$4:$E$609,$A646&amp;" ضد "&amp;BC$613)+COUNTIF($E$4:$E$609,BC$613&amp;" ضد "&amp;$A646))</f>
        <v>0</v>
      </c>
      <c r="BD646" s="4">
        <f>IF($A646=BD$613,"",COUNTIF($E$4:$E$609,$A646&amp;" ضد "&amp;BD$613)+COUNTIF($E$4:$E$609,BD$613&amp;" ضد "&amp;$A646))</f>
        <v>0</v>
      </c>
      <c r="BE646" s="4">
        <f>IF($A646=BE$613,"",COUNTIF($E$4:$E$609,$A646&amp;" ضد "&amp;BE$613)+COUNTIF($E$4:$E$609,BE$613&amp;" ضد "&amp;$A646))</f>
        <v>0</v>
      </c>
      <c r="BF646" s="4">
        <f>IF($A646=BF$613,"",COUNTIF($E$4:$E$609,$A646&amp;" ضد "&amp;BF$613)+COUNTIF($E$4:$E$609,BF$613&amp;" ضد "&amp;$A646))</f>
        <v>0</v>
      </c>
      <c r="BG646" s="4">
        <f>IF($A646=BG$613,"",COUNTIF($E$4:$E$609,$A646&amp;" ضد "&amp;BG$613)+COUNTIF($E$4:$E$609,BG$613&amp;" ضد "&amp;$A646))</f>
        <v>0</v>
      </c>
      <c r="BH646" s="4">
        <f>IF($A646=BH$613,"",COUNTIF($E$4:$E$609,$A646&amp;" ضد "&amp;BH$613)+COUNTIF($E$4:$E$609,BH$613&amp;" ضد "&amp;$A646))</f>
        <v>0</v>
      </c>
      <c r="BI646" s="4">
        <f>IF($A646=BI$613,"",COUNTIF($E$4:$E$609,$A646&amp;" ضد "&amp;BI$613)+COUNTIF($E$4:$E$609,BI$613&amp;" ضد "&amp;$A646))</f>
        <v>0</v>
      </c>
      <c r="BJ646" s="4">
        <f>IF($A646=BJ$613,"",COUNTIF($E$4:$E$609,$A646&amp;" ضد "&amp;BJ$613)+COUNTIF($E$4:$E$609,BJ$613&amp;" ضد "&amp;$A646))</f>
        <v>0</v>
      </c>
      <c r="BK646" s="4">
        <f>IF($A646=BK$613,"",COUNTIF($E$4:$E$609,$A646&amp;" ضد "&amp;BK$613)+COUNTIF($E$4:$E$609,BK$613&amp;" ضد "&amp;$A646))</f>
        <v>0</v>
      </c>
      <c r="BL646" s="4">
        <f>IF($A646=BL$613,"",COUNTIF($E$4:$E$609,$A646&amp;" ضد "&amp;BL$613)+COUNTIF($E$4:$E$609,BL$613&amp;" ضد "&amp;$A646))</f>
        <v>0</v>
      </c>
      <c r="BM646" s="4">
        <f>IF($A646=BM$613,"",COUNTIF($E$4:$E$609,$A646&amp;" ضد "&amp;BM$613)+COUNTIF($E$4:$E$609,BM$613&amp;" ضد "&amp;$A646))</f>
        <v>0</v>
      </c>
      <c r="BN646" s="4">
        <f>IF($A646=BN$613,"",COUNTIF($E$4:$E$609,$A646&amp;" ضد "&amp;BN$613)+COUNTIF($E$4:$E$609,BN$613&amp;" ضد "&amp;$A646))</f>
        <v>0</v>
      </c>
      <c r="BO646" s="4">
        <f>IF($A646=BO$613,"",COUNTIF($E$4:$E$609,$A646&amp;" ضد "&amp;BO$613)+COUNTIF($E$4:$E$609,BO$613&amp;" ضد "&amp;$A646))</f>
        <v>0</v>
      </c>
      <c r="BP646" s="4">
        <f>IF($A646=BP$613,"",COUNTIF($E$4:$E$609,$A646&amp;" ضد "&amp;BP$613)+COUNTIF($E$4:$E$609,BP$613&amp;" ضد "&amp;$A646))</f>
        <v>0</v>
      </c>
    </row>
    <row r="647" spans="1:68" ht="14.5">
      <c r="A647" s="14">
        <v>34</v>
      </c>
      <c r="B647" s="4">
        <f>IF($A647=B$613,"",COUNTIF($E$4:$E$609,$A647&amp;" ضد "&amp;B$613)+COUNTIF($E$4:$E$609,B$613&amp;" ضد "&amp;$A647))</f>
        <v>0</v>
      </c>
      <c r="C647" s="4">
        <f>IF($A647=C$613,"",COUNTIF($E$4:$E$609,$A647&amp;" ضد "&amp;C$613)+COUNTIF($E$4:$E$609,C$613&amp;" ضد "&amp;$A647))</f>
        <v>0</v>
      </c>
      <c r="D647" s="4">
        <f>IF($A647=D$613,"",COUNTIF($E$4:$E$609,$A647&amp;" ضد "&amp;D$613)+COUNTIF($E$4:$E$609,D$613&amp;" ضد "&amp;$A647))</f>
        <v>0</v>
      </c>
      <c r="E647" s="4">
        <f>IF($A647=E$613,"",COUNTIF($E$4:$E$609,$A647&amp;" ضد "&amp;E$613)+COUNTIF($E$4:$E$609,E$613&amp;" ضد "&amp;$A647))</f>
        <v>0</v>
      </c>
      <c r="F647" s="4">
        <f>IF($A647=F$613,"",COUNTIF($E$4:$E$609,$A647&amp;" ضد "&amp;F$613)+COUNTIF($E$4:$E$609,F$613&amp;" ضد "&amp;$A647))</f>
        <v>0</v>
      </c>
      <c r="G647" s="4">
        <f>IF($A647=G$613,"",COUNTIF($E$4:$E$609,$A647&amp;" ضد "&amp;G$613)+COUNTIF($E$4:$E$609,G$613&amp;" ضد "&amp;$A647))</f>
        <v>0</v>
      </c>
      <c r="H647" s="4">
        <f>IF($A647=H$613,"",COUNTIF($E$4:$E$609,$A647&amp;" ضد "&amp;H$613)+COUNTIF($E$4:$E$609,H$613&amp;" ضد "&amp;$A647))</f>
        <v>0</v>
      </c>
      <c r="I647" s="4">
        <f>IF($A647=I$613,"",COUNTIF($E$4:$E$609,$A647&amp;" ضد "&amp;I$613)+COUNTIF($E$4:$E$609,I$613&amp;" ضد "&amp;$A647))</f>
        <v>0</v>
      </c>
      <c r="J647" s="4">
        <f>IF($A647=J$613,"",COUNTIF($E$4:$E$609,$A647&amp;" ضد "&amp;J$613)+COUNTIF($E$4:$E$609,J$613&amp;" ضد "&amp;$A647))</f>
        <v>0</v>
      </c>
      <c r="K647" s="4">
        <f>IF($A647=K$613,"",COUNTIF($E$4:$E$609,$A647&amp;" ضد "&amp;K$613)+COUNTIF($E$4:$E$609,K$613&amp;" ضد "&amp;$A647))</f>
        <v>0</v>
      </c>
      <c r="L647" s="4">
        <f>IF($A647=L$613,"",COUNTIF($E$4:$E$609,$A647&amp;" ضد "&amp;L$613)+COUNTIF($E$4:$E$609,L$613&amp;" ضد "&amp;$A647))</f>
        <v>0</v>
      </c>
      <c r="M647" s="4">
        <f>IF($A647=M$613,"",COUNTIF($E$4:$E$609,$A647&amp;" ضد "&amp;M$613)+COUNTIF($E$4:$E$609,M$613&amp;" ضد "&amp;$A647))</f>
        <v>0</v>
      </c>
      <c r="N647" s="4">
        <f>IF($A647=N$613,"",COUNTIF($E$4:$E$609,$A647&amp;" ضد "&amp;N$613)+COUNTIF($E$4:$E$609,N$613&amp;" ضد "&amp;$A647))</f>
        <v>0</v>
      </c>
      <c r="O647" s="4">
        <f>IF($A647=O$613,"",COUNTIF($E$4:$E$609,$A647&amp;" ضد "&amp;O$613)+COUNTIF($E$4:$E$609,O$613&amp;" ضد "&amp;$A647))</f>
        <v>0</v>
      </c>
      <c r="P647" s="4">
        <f>IF($A647=P$613,"",COUNTIF($E$4:$E$609,$A647&amp;" ضد "&amp;P$613)+COUNTIF($E$4:$E$609,P$613&amp;" ضد "&amp;$A647))</f>
        <v>0</v>
      </c>
      <c r="Q647" s="4">
        <f>IF($A647=Q$613,"",COUNTIF($E$4:$E$609,$A647&amp;" ضد "&amp;Q$613)+COUNTIF($E$4:$E$609,Q$613&amp;" ضد "&amp;$A647))</f>
        <v>0</v>
      </c>
      <c r="R647" s="4">
        <f>IF($A647=R$613,"",COUNTIF($E$4:$E$609,$A647&amp;" ضد "&amp;R$613)+COUNTIF($E$4:$E$609,R$613&amp;" ضد "&amp;$A647))</f>
        <v>0</v>
      </c>
      <c r="S647" s="4">
        <f>IF($A647=S$613,"",COUNTIF($E$4:$E$609,$A647&amp;" ضد "&amp;S$613)+COUNTIF($E$4:$E$609,S$613&amp;" ضد "&amp;$A647))</f>
        <v>2</v>
      </c>
      <c r="T647" s="4">
        <f>IF($A647=T$613,"",COUNTIF($E$4:$E$609,$A647&amp;" ضد "&amp;T$613)+COUNTIF($E$4:$E$609,T$613&amp;" ضد "&amp;$A647))</f>
        <v>1</v>
      </c>
      <c r="U647" s="4">
        <f>IF($A647=U$613,"",COUNTIF($E$4:$E$609,$A647&amp;" ضد "&amp;U$613)+COUNTIF($E$4:$E$609,U$613&amp;" ضد "&amp;$A647))</f>
        <v>1</v>
      </c>
      <c r="V647" s="4">
        <f>IF($A647=V$613,"",COUNTIF($E$4:$E$609,$A647&amp;" ضد "&amp;V$613)+COUNTIF($E$4:$E$609,V$613&amp;" ضد "&amp;$A647))</f>
        <v>1</v>
      </c>
      <c r="W647" s="4">
        <f>IF($A647=W$613,"",COUNTIF($E$4:$E$609,$A647&amp;" ضد "&amp;W$613)+COUNTIF($E$4:$E$609,W$613&amp;" ضد "&amp;$A647))</f>
        <v>1</v>
      </c>
      <c r="X647" s="4">
        <f>IF($A647=X$613,"",COUNTIF($E$4:$E$609,$A647&amp;" ضد "&amp;X$613)+COUNTIF($E$4:$E$609,X$613&amp;" ضد "&amp;$A647))</f>
        <v>1</v>
      </c>
      <c r="Y647" s="4">
        <f>IF($A647=Y$613,"",COUNTIF($E$4:$E$609,$A647&amp;" ضد "&amp;Y$613)+COUNTIF($E$4:$E$609,Y$613&amp;" ضد "&amp;$A647))</f>
        <v>1</v>
      </c>
      <c r="Z647" s="4">
        <f>IF($A647=Z$613,"",COUNTIF($E$4:$E$609,$A647&amp;" ضد "&amp;Z$613)+COUNTIF($E$4:$E$609,Z$613&amp;" ضد "&amp;$A647))</f>
        <v>1</v>
      </c>
      <c r="AA647" s="4">
        <f>IF($A647=AA$613,"",COUNTIF($E$4:$E$609,$A647&amp;" ضد "&amp;AA$613)+COUNTIF($E$4:$E$609,AA$613&amp;" ضد "&amp;$A647))</f>
        <v>1</v>
      </c>
      <c r="AB647" s="4">
        <f>IF($A647=AB$613,"",COUNTIF($E$4:$E$609,$A647&amp;" ضد "&amp;AB$613)+COUNTIF($E$4:$E$609,AB$613&amp;" ضد "&amp;$A647))</f>
        <v>1</v>
      </c>
      <c r="AC647" s="4">
        <f>IF($A647=AC$613,"",COUNTIF($E$4:$E$609,$A647&amp;" ضد "&amp;AC$613)+COUNTIF($E$4:$E$609,AC$613&amp;" ضد "&amp;$A647))</f>
        <v>1</v>
      </c>
      <c r="AD647" s="4">
        <f>IF($A647=AD$613,"",COUNTIF($E$4:$E$609,$A647&amp;" ضد "&amp;AD$613)+COUNTIF($E$4:$E$609,AD$613&amp;" ضد "&amp;$A647))</f>
        <v>1</v>
      </c>
      <c r="AE647" s="4">
        <f>IF($A647=AE$613,"",COUNTIF($E$4:$E$609,$A647&amp;" ضد "&amp;AE$613)+COUNTIF($E$4:$E$609,AE$613&amp;" ضد "&amp;$A647))</f>
        <v>1</v>
      </c>
      <c r="AF647" s="4">
        <f>IF($A647=AF$613,"",COUNTIF($E$4:$E$609,$A647&amp;" ضد "&amp;AF$613)+COUNTIF($E$4:$E$609,AF$613&amp;" ضد "&amp;$A647))</f>
        <v>1</v>
      </c>
      <c r="AG647" s="4">
        <f>IF($A647=AG$613,"",COUNTIF($E$4:$E$609,$A647&amp;" ضد "&amp;AG$613)+COUNTIF($E$4:$E$609,AG$613&amp;" ضد "&amp;$A647))</f>
        <v>1</v>
      </c>
      <c r="AH647" s="4">
        <f>IF($A647=AH$613,"",COUNTIF($E$4:$E$609,$A647&amp;" ضد "&amp;AH$613)+COUNTIF($E$4:$E$609,AH$613&amp;" ضد "&amp;$A647))</f>
        <v>2</v>
      </c>
      <c r="AI647" s="4" t="str">
        <f>IF($A647=AI$613,"",COUNTIF($E$4:$E$609,$A647&amp;" ضد "&amp;AI$613)+COUNTIF($E$4:$E$609,AI$613&amp;" ضد "&amp;$A647))</f>
        <v/>
      </c>
      <c r="AJ647" s="4">
        <f>IF($A647=AJ$613,"",COUNTIF($E$4:$E$609,$A647&amp;" ضد "&amp;AJ$613)+COUNTIF($E$4:$E$609,AJ$613&amp;" ضد "&amp;$A647))</f>
        <v>0</v>
      </c>
      <c r="AK647" s="4">
        <f>IF($A647=AK$613,"",COUNTIF($E$4:$E$609,$A647&amp;" ضد "&amp;AK$613)+COUNTIF($E$4:$E$609,AK$613&amp;" ضد "&amp;$A647))</f>
        <v>0</v>
      </c>
      <c r="AL647" s="4">
        <f>IF($A647=AL$613,"",COUNTIF($E$4:$E$609,$A647&amp;" ضد "&amp;AL$613)+COUNTIF($E$4:$E$609,AL$613&amp;" ضد "&amp;$A647))</f>
        <v>0</v>
      </c>
      <c r="AM647" s="4">
        <f>IF($A647=AM$613,"",COUNTIF($E$4:$E$609,$A647&amp;" ضد "&amp;AM$613)+COUNTIF($E$4:$E$609,AM$613&amp;" ضد "&amp;$A647))</f>
        <v>0</v>
      </c>
      <c r="AN647" s="4">
        <f>IF($A647=AN$613,"",COUNTIF($E$4:$E$609,$A647&amp;" ضد "&amp;AN$613)+COUNTIF($E$4:$E$609,AN$613&amp;" ضد "&amp;$A647))</f>
        <v>0</v>
      </c>
      <c r="AO647" s="4">
        <f>IF($A647=AO$613,"",COUNTIF($E$4:$E$609,$A647&amp;" ضد "&amp;AO$613)+COUNTIF($E$4:$E$609,AO$613&amp;" ضد "&amp;$A647))</f>
        <v>0</v>
      </c>
      <c r="AP647" s="4">
        <f>IF($A647=AP$613,"",COUNTIF($E$4:$E$609,$A647&amp;" ضد "&amp;AP$613)+COUNTIF($E$4:$E$609,AP$613&amp;" ضد "&amp;$A647))</f>
        <v>0</v>
      </c>
      <c r="AQ647" s="4">
        <f>IF($A647=AQ$613,"",COUNTIF($E$4:$E$609,$A647&amp;" ضد "&amp;AQ$613)+COUNTIF($E$4:$E$609,AQ$613&amp;" ضد "&amp;$A647))</f>
        <v>0</v>
      </c>
      <c r="AR647" s="4">
        <f>IF($A647=AR$613,"",COUNTIF($E$4:$E$609,$A647&amp;" ضد "&amp;AR$613)+COUNTIF($E$4:$E$609,AR$613&amp;" ضد "&amp;$A647))</f>
        <v>0</v>
      </c>
      <c r="AS647" s="4">
        <f>IF($A647=AS$613,"",COUNTIF($E$4:$E$609,$A647&amp;" ضد "&amp;AS$613)+COUNTIF($E$4:$E$609,AS$613&amp;" ضد "&amp;$A647))</f>
        <v>0</v>
      </c>
      <c r="AT647" s="4">
        <f>IF($A647=AT$613,"",COUNTIF($E$4:$E$609,$A647&amp;" ضد "&amp;AT$613)+COUNTIF($E$4:$E$609,AT$613&amp;" ضد "&amp;$A647))</f>
        <v>0</v>
      </c>
      <c r="AU647" s="4">
        <f>IF($A647=AU$613,"",COUNTIF($E$4:$E$609,$A647&amp;" ضد "&amp;AU$613)+COUNTIF($E$4:$E$609,AU$613&amp;" ضد "&amp;$A647))</f>
        <v>0</v>
      </c>
      <c r="AV647" s="4">
        <f>IF($A647=AV$613,"",COUNTIF($E$4:$E$609,$A647&amp;" ضد "&amp;AV$613)+COUNTIF($E$4:$E$609,AV$613&amp;" ضد "&amp;$A647))</f>
        <v>0</v>
      </c>
      <c r="AW647" s="4">
        <f>IF($A647=AW$613,"",COUNTIF($E$4:$E$609,$A647&amp;" ضد "&amp;AW$613)+COUNTIF($E$4:$E$609,AW$613&amp;" ضد "&amp;$A647))</f>
        <v>0</v>
      </c>
      <c r="AX647" s="4">
        <f>IF($A647=AX$613,"",COUNTIF($E$4:$E$609,$A647&amp;" ضد "&amp;AX$613)+COUNTIF($E$4:$E$609,AX$613&amp;" ضد "&amp;$A647))</f>
        <v>0</v>
      </c>
      <c r="AY647" s="4">
        <f>IF($A647=AY$613,"",COUNTIF($E$4:$E$609,$A647&amp;" ضد "&amp;AY$613)+COUNTIF($E$4:$E$609,AY$613&amp;" ضد "&amp;$A647))</f>
        <v>0</v>
      </c>
      <c r="AZ647" s="4">
        <f>IF($A647=AZ$613,"",COUNTIF($E$4:$E$609,$A647&amp;" ضد "&amp;AZ$613)+COUNTIF($E$4:$E$609,AZ$613&amp;" ضد "&amp;$A647))</f>
        <v>0</v>
      </c>
      <c r="BA647" s="4">
        <f>IF($A647=BA$613,"",COUNTIF($E$4:$E$609,$A647&amp;" ضد "&amp;BA$613)+COUNTIF($E$4:$E$609,BA$613&amp;" ضد "&amp;$A647))</f>
        <v>0</v>
      </c>
      <c r="BB647" s="4">
        <f>IF($A647=BB$613,"",COUNTIF($E$4:$E$609,$A647&amp;" ضد "&amp;BB$613)+COUNTIF($E$4:$E$609,BB$613&amp;" ضد "&amp;$A647))</f>
        <v>0</v>
      </c>
      <c r="BC647" s="4">
        <f>IF($A647=BC$613,"",COUNTIF($E$4:$E$609,$A647&amp;" ضد "&amp;BC$613)+COUNTIF($E$4:$E$609,BC$613&amp;" ضد "&amp;$A647))</f>
        <v>0</v>
      </c>
      <c r="BD647" s="4">
        <f>IF($A647=BD$613,"",COUNTIF($E$4:$E$609,$A647&amp;" ضد "&amp;BD$613)+COUNTIF($E$4:$E$609,BD$613&amp;" ضد "&amp;$A647))</f>
        <v>0</v>
      </c>
      <c r="BE647" s="4">
        <f>IF($A647=BE$613,"",COUNTIF($E$4:$E$609,$A647&amp;" ضد "&amp;BE$613)+COUNTIF($E$4:$E$609,BE$613&amp;" ضد "&amp;$A647))</f>
        <v>0</v>
      </c>
      <c r="BF647" s="4">
        <f>IF($A647=BF$613,"",COUNTIF($E$4:$E$609,$A647&amp;" ضد "&amp;BF$613)+COUNTIF($E$4:$E$609,BF$613&amp;" ضد "&amp;$A647))</f>
        <v>0</v>
      </c>
      <c r="BG647" s="4">
        <f>IF($A647=BG$613,"",COUNTIF($E$4:$E$609,$A647&amp;" ضد "&amp;BG$613)+COUNTIF($E$4:$E$609,BG$613&amp;" ضد "&amp;$A647))</f>
        <v>0</v>
      </c>
      <c r="BH647" s="4">
        <f>IF($A647=BH$613,"",COUNTIF($E$4:$E$609,$A647&amp;" ضد "&amp;BH$613)+COUNTIF($E$4:$E$609,BH$613&amp;" ضد "&amp;$A647))</f>
        <v>0</v>
      </c>
      <c r="BI647" s="4">
        <f>IF($A647=BI$613,"",COUNTIF($E$4:$E$609,$A647&amp;" ضد "&amp;BI$613)+COUNTIF($E$4:$E$609,BI$613&amp;" ضد "&amp;$A647))</f>
        <v>0</v>
      </c>
      <c r="BJ647" s="4">
        <f>IF($A647=BJ$613,"",COUNTIF($E$4:$E$609,$A647&amp;" ضد "&amp;BJ$613)+COUNTIF($E$4:$E$609,BJ$613&amp;" ضد "&amp;$A647))</f>
        <v>0</v>
      </c>
      <c r="BK647" s="4">
        <f>IF($A647=BK$613,"",COUNTIF($E$4:$E$609,$A647&amp;" ضد "&amp;BK$613)+COUNTIF($E$4:$E$609,BK$613&amp;" ضد "&amp;$A647))</f>
        <v>0</v>
      </c>
      <c r="BL647" s="4">
        <f>IF($A647=BL$613,"",COUNTIF($E$4:$E$609,$A647&amp;" ضد "&amp;BL$613)+COUNTIF($E$4:$E$609,BL$613&amp;" ضد "&amp;$A647))</f>
        <v>0</v>
      </c>
      <c r="BM647" s="4">
        <f>IF($A647=BM$613,"",COUNTIF($E$4:$E$609,$A647&amp;" ضد "&amp;BM$613)+COUNTIF($E$4:$E$609,BM$613&amp;" ضد "&amp;$A647))</f>
        <v>0</v>
      </c>
      <c r="BN647" s="4">
        <f>IF($A647=BN$613,"",COUNTIF($E$4:$E$609,$A647&amp;" ضد "&amp;BN$613)+COUNTIF($E$4:$E$609,BN$613&amp;" ضد "&amp;$A647))</f>
        <v>0</v>
      </c>
      <c r="BO647" s="4">
        <f>IF($A647=BO$613,"",COUNTIF($E$4:$E$609,$A647&amp;" ضد "&amp;BO$613)+COUNTIF($E$4:$E$609,BO$613&amp;" ضد "&amp;$A647))</f>
        <v>0</v>
      </c>
      <c r="BP647" s="4">
        <f>IF($A647=BP$613,"",COUNTIF($E$4:$E$609,$A647&amp;" ضد "&amp;BP$613)+COUNTIF($E$4:$E$609,BP$613&amp;" ضد "&amp;$A647))</f>
        <v>0</v>
      </c>
    </row>
    <row r="648" spans="1:68" ht="14.5">
      <c r="A648" s="14">
        <v>35</v>
      </c>
      <c r="B648" s="4">
        <f>IF($A648=B$613,"",COUNTIF($E$4:$E$609,$A648&amp;" ضد "&amp;B$613)+COUNTIF($E$4:$E$609,B$613&amp;" ضد "&amp;$A648))</f>
        <v>0</v>
      </c>
      <c r="C648" s="4">
        <f>IF($A648=C$613,"",COUNTIF($E$4:$E$609,$A648&amp;" ضد "&amp;C$613)+COUNTIF($E$4:$E$609,C$613&amp;" ضد "&amp;$A648))</f>
        <v>0</v>
      </c>
      <c r="D648" s="4">
        <f>IF($A648=D$613,"",COUNTIF($E$4:$E$609,$A648&amp;" ضد "&amp;D$613)+COUNTIF($E$4:$E$609,D$613&amp;" ضد "&amp;$A648))</f>
        <v>0</v>
      </c>
      <c r="E648" s="4">
        <f>IF($A648=E$613,"",COUNTIF($E$4:$E$609,$A648&amp;" ضد "&amp;E$613)+COUNTIF($E$4:$E$609,E$613&amp;" ضد "&amp;$A648))</f>
        <v>0</v>
      </c>
      <c r="F648" s="4">
        <f>IF($A648=F$613,"",COUNTIF($E$4:$E$609,$A648&amp;" ضد "&amp;F$613)+COUNTIF($E$4:$E$609,F$613&amp;" ضد "&amp;$A648))</f>
        <v>0</v>
      </c>
      <c r="G648" s="4">
        <f>IF($A648=G$613,"",COUNTIF($E$4:$E$609,$A648&amp;" ضد "&amp;G$613)+COUNTIF($E$4:$E$609,G$613&amp;" ضد "&amp;$A648))</f>
        <v>0</v>
      </c>
      <c r="H648" s="4">
        <f>IF($A648=H$613,"",COUNTIF($E$4:$E$609,$A648&amp;" ضد "&amp;H$613)+COUNTIF($E$4:$E$609,H$613&amp;" ضد "&amp;$A648))</f>
        <v>0</v>
      </c>
      <c r="I648" s="4">
        <f>IF($A648=I$613,"",COUNTIF($E$4:$E$609,$A648&amp;" ضد "&amp;I$613)+COUNTIF($E$4:$E$609,I$613&amp;" ضد "&amp;$A648))</f>
        <v>0</v>
      </c>
      <c r="J648" s="4">
        <f>IF($A648=J$613,"",COUNTIF($E$4:$E$609,$A648&amp;" ضد "&amp;J$613)+COUNTIF($E$4:$E$609,J$613&amp;" ضد "&amp;$A648))</f>
        <v>0</v>
      </c>
      <c r="K648" s="4">
        <f>IF($A648=K$613,"",COUNTIF($E$4:$E$609,$A648&amp;" ضد "&amp;K$613)+COUNTIF($E$4:$E$609,K$613&amp;" ضد "&amp;$A648))</f>
        <v>0</v>
      </c>
      <c r="L648" s="4">
        <f>IF($A648=L$613,"",COUNTIF($E$4:$E$609,$A648&amp;" ضد "&amp;L$613)+COUNTIF($E$4:$E$609,L$613&amp;" ضد "&amp;$A648))</f>
        <v>0</v>
      </c>
      <c r="M648" s="4">
        <f>IF($A648=M$613,"",COUNTIF($E$4:$E$609,$A648&amp;" ضد "&amp;M$613)+COUNTIF($E$4:$E$609,M$613&amp;" ضد "&amp;$A648))</f>
        <v>0</v>
      </c>
      <c r="N648" s="4">
        <f>IF($A648=N$613,"",COUNTIF($E$4:$E$609,$A648&amp;" ضد "&amp;N$613)+COUNTIF($E$4:$E$609,N$613&amp;" ضد "&amp;$A648))</f>
        <v>0</v>
      </c>
      <c r="O648" s="4">
        <f>IF($A648=O$613,"",COUNTIF($E$4:$E$609,$A648&amp;" ضد "&amp;O$613)+COUNTIF($E$4:$E$609,O$613&amp;" ضد "&amp;$A648))</f>
        <v>0</v>
      </c>
      <c r="P648" s="4">
        <f>IF($A648=P$613,"",COUNTIF($E$4:$E$609,$A648&amp;" ضد "&amp;P$613)+COUNTIF($E$4:$E$609,P$613&amp;" ضد "&amp;$A648))</f>
        <v>0</v>
      </c>
      <c r="Q648" s="4">
        <f>IF($A648=Q$613,"",COUNTIF($E$4:$E$609,$A648&amp;" ضد "&amp;Q$613)+COUNTIF($E$4:$E$609,Q$613&amp;" ضد "&amp;$A648))</f>
        <v>0</v>
      </c>
      <c r="R648" s="4">
        <f>IF($A648=R$613,"",COUNTIF($E$4:$E$609,$A648&amp;" ضد "&amp;R$613)+COUNTIF($E$4:$E$609,R$613&amp;" ضد "&amp;$A648))</f>
        <v>0</v>
      </c>
      <c r="S648" s="4">
        <f>IF($A648=S$613,"",COUNTIF($E$4:$E$609,$A648&amp;" ضد "&amp;S$613)+COUNTIF($E$4:$E$609,S$613&amp;" ضد "&amp;$A648))</f>
        <v>0</v>
      </c>
      <c r="T648" s="4">
        <f>IF($A648=T$613,"",COUNTIF($E$4:$E$609,$A648&amp;" ضد "&amp;T$613)+COUNTIF($E$4:$E$609,T$613&amp;" ضد "&amp;$A648))</f>
        <v>0</v>
      </c>
      <c r="U648" s="4">
        <f>IF($A648=U$613,"",COUNTIF($E$4:$E$609,$A648&amp;" ضد "&amp;U$613)+COUNTIF($E$4:$E$609,U$613&amp;" ضد "&amp;$A648))</f>
        <v>0</v>
      </c>
      <c r="V648" s="4">
        <f>IF($A648=V$613,"",COUNTIF($E$4:$E$609,$A648&amp;" ضد "&amp;V$613)+COUNTIF($E$4:$E$609,V$613&amp;" ضد "&amp;$A648))</f>
        <v>0</v>
      </c>
      <c r="W648" s="4">
        <f>IF($A648=W$613,"",COUNTIF($E$4:$E$609,$A648&amp;" ضد "&amp;W$613)+COUNTIF($E$4:$E$609,W$613&amp;" ضد "&amp;$A648))</f>
        <v>0</v>
      </c>
      <c r="X648" s="4">
        <f>IF($A648=X$613,"",COUNTIF($E$4:$E$609,$A648&amp;" ضد "&amp;X$613)+COUNTIF($E$4:$E$609,X$613&amp;" ضد "&amp;$A648))</f>
        <v>0</v>
      </c>
      <c r="Y648" s="4">
        <f>IF($A648=Y$613,"",COUNTIF($E$4:$E$609,$A648&amp;" ضد "&amp;Y$613)+COUNTIF($E$4:$E$609,Y$613&amp;" ضد "&amp;$A648))</f>
        <v>0</v>
      </c>
      <c r="Z648" s="4">
        <f>IF($A648=Z$613,"",COUNTIF($E$4:$E$609,$A648&amp;" ضد "&amp;Z$613)+COUNTIF($E$4:$E$609,Z$613&amp;" ضد "&amp;$A648))</f>
        <v>0</v>
      </c>
      <c r="AA648" s="4">
        <f>IF($A648=AA$613,"",COUNTIF($E$4:$E$609,$A648&amp;" ضد "&amp;AA$613)+COUNTIF($E$4:$E$609,AA$613&amp;" ضد "&amp;$A648))</f>
        <v>0</v>
      </c>
      <c r="AB648" s="4">
        <f>IF($A648=AB$613,"",COUNTIF($E$4:$E$609,$A648&amp;" ضد "&amp;AB$613)+COUNTIF($E$4:$E$609,AB$613&amp;" ضد "&amp;$A648))</f>
        <v>0</v>
      </c>
      <c r="AC648" s="4">
        <f>IF($A648=AC$613,"",COUNTIF($E$4:$E$609,$A648&amp;" ضد "&amp;AC$613)+COUNTIF($E$4:$E$609,AC$613&amp;" ضد "&amp;$A648))</f>
        <v>0</v>
      </c>
      <c r="AD648" s="4">
        <f>IF($A648=AD$613,"",COUNTIF($E$4:$E$609,$A648&amp;" ضد "&amp;AD$613)+COUNTIF($E$4:$E$609,AD$613&amp;" ضد "&amp;$A648))</f>
        <v>0</v>
      </c>
      <c r="AE648" s="4">
        <f>IF($A648=AE$613,"",COUNTIF($E$4:$E$609,$A648&amp;" ضد "&amp;AE$613)+COUNTIF($E$4:$E$609,AE$613&amp;" ضد "&amp;$A648))</f>
        <v>0</v>
      </c>
      <c r="AF648" s="4">
        <f>IF($A648=AF$613,"",COUNTIF($E$4:$E$609,$A648&amp;" ضد "&amp;AF$613)+COUNTIF($E$4:$E$609,AF$613&amp;" ضد "&amp;$A648))</f>
        <v>0</v>
      </c>
      <c r="AG648" s="4">
        <f>IF($A648=AG$613,"",COUNTIF($E$4:$E$609,$A648&amp;" ضد "&amp;AG$613)+COUNTIF($E$4:$E$609,AG$613&amp;" ضد "&amp;$A648))</f>
        <v>0</v>
      </c>
      <c r="AH648" s="4">
        <f>IF($A648=AH$613,"",COUNTIF($E$4:$E$609,$A648&amp;" ضد "&amp;AH$613)+COUNTIF($E$4:$E$609,AH$613&amp;" ضد "&amp;$A648))</f>
        <v>0</v>
      </c>
      <c r="AI648" s="4">
        <f>IF($A648=AI$613,"",COUNTIF($E$4:$E$609,$A648&amp;" ضد "&amp;AI$613)+COUNTIF($E$4:$E$609,AI$613&amp;" ضد "&amp;$A648))</f>
        <v>0</v>
      </c>
      <c r="AJ648" s="4" t="str">
        <f>IF($A648=AJ$613,"",COUNTIF($E$4:$E$609,$A648&amp;" ضد "&amp;AJ$613)+COUNTIF($E$4:$E$609,AJ$613&amp;" ضد "&amp;$A648))</f>
        <v/>
      </c>
      <c r="AK648" s="4">
        <f>IF($A648=AK$613,"",COUNTIF($E$4:$E$609,$A648&amp;" ضد "&amp;AK$613)+COUNTIF($E$4:$E$609,AK$613&amp;" ضد "&amp;$A648))</f>
        <v>2</v>
      </c>
      <c r="AL648" s="4">
        <f>IF($A648=AL$613,"",COUNTIF($E$4:$E$609,$A648&amp;" ضد "&amp;AL$613)+COUNTIF($E$4:$E$609,AL$613&amp;" ضد "&amp;$A648))</f>
        <v>1</v>
      </c>
      <c r="AM648" s="4">
        <f>IF($A648=AM$613,"",COUNTIF($E$4:$E$609,$A648&amp;" ضد "&amp;AM$613)+COUNTIF($E$4:$E$609,AM$613&amp;" ضد "&amp;$A648))</f>
        <v>1</v>
      </c>
      <c r="AN648" s="4">
        <f>IF($A648=AN$613,"",COUNTIF($E$4:$E$609,$A648&amp;" ضد "&amp;AN$613)+COUNTIF($E$4:$E$609,AN$613&amp;" ضد "&amp;$A648))</f>
        <v>1</v>
      </c>
      <c r="AO648" s="4">
        <f>IF($A648=AO$613,"",COUNTIF($E$4:$E$609,$A648&amp;" ضد "&amp;AO$613)+COUNTIF($E$4:$E$609,AO$613&amp;" ضد "&amp;$A648))</f>
        <v>1</v>
      </c>
      <c r="AP648" s="4">
        <f>IF($A648=AP$613,"",COUNTIF($E$4:$E$609,$A648&amp;" ضد "&amp;AP$613)+COUNTIF($E$4:$E$609,AP$613&amp;" ضد "&amp;$A648))</f>
        <v>1</v>
      </c>
      <c r="AQ648" s="4">
        <f>IF($A648=AQ$613,"",COUNTIF($E$4:$E$609,$A648&amp;" ضد "&amp;AQ$613)+COUNTIF($E$4:$E$609,AQ$613&amp;" ضد "&amp;$A648))</f>
        <v>1</v>
      </c>
      <c r="AR648" s="4">
        <f>IF($A648=AR$613,"",COUNTIF($E$4:$E$609,$A648&amp;" ضد "&amp;AR$613)+COUNTIF($E$4:$E$609,AR$613&amp;" ضد "&amp;$A648))</f>
        <v>1</v>
      </c>
      <c r="AS648" s="4">
        <f>IF($A648=AS$613,"",COUNTIF($E$4:$E$609,$A648&amp;" ضد "&amp;AS$613)+COUNTIF($E$4:$E$609,AS$613&amp;" ضد "&amp;$A648))</f>
        <v>1</v>
      </c>
      <c r="AT648" s="4">
        <f>IF($A648=AT$613,"",COUNTIF($E$4:$E$609,$A648&amp;" ضد "&amp;AT$613)+COUNTIF($E$4:$E$609,AT$613&amp;" ضد "&amp;$A648))</f>
        <v>1</v>
      </c>
      <c r="AU648" s="4">
        <f>IF($A648=AU$613,"",COUNTIF($E$4:$E$609,$A648&amp;" ضد "&amp;AU$613)+COUNTIF($E$4:$E$609,AU$613&amp;" ضد "&amp;$A648))</f>
        <v>1</v>
      </c>
      <c r="AV648" s="4">
        <f>IF($A648=AV$613,"",COUNTIF($E$4:$E$609,$A648&amp;" ضد "&amp;AV$613)+COUNTIF($E$4:$E$609,AV$613&amp;" ضد "&amp;$A648))</f>
        <v>1</v>
      </c>
      <c r="AW648" s="4">
        <f>IF($A648=AW$613,"",COUNTIF($E$4:$E$609,$A648&amp;" ضد "&amp;AW$613)+COUNTIF($E$4:$E$609,AW$613&amp;" ضد "&amp;$A648))</f>
        <v>1</v>
      </c>
      <c r="AX648" s="4">
        <f>IF($A648=AX$613,"",COUNTIF($E$4:$E$609,$A648&amp;" ضد "&amp;AX$613)+COUNTIF($E$4:$E$609,AX$613&amp;" ضد "&amp;$A648))</f>
        <v>1</v>
      </c>
      <c r="AY648" s="4">
        <f>IF($A648=AY$613,"",COUNTIF($E$4:$E$609,$A648&amp;" ضد "&amp;AY$613)+COUNTIF($E$4:$E$609,AY$613&amp;" ضد "&amp;$A648))</f>
        <v>1</v>
      </c>
      <c r="AZ648" s="4">
        <f>IF($A648=AZ$613,"",COUNTIF($E$4:$E$609,$A648&amp;" ضد "&amp;AZ$613)+COUNTIF($E$4:$E$609,AZ$613&amp;" ضد "&amp;$A648))</f>
        <v>2</v>
      </c>
      <c r="BA648" s="4">
        <f>IF($A648=BA$613,"",COUNTIF($E$4:$E$609,$A648&amp;" ضد "&amp;BA$613)+COUNTIF($E$4:$E$609,BA$613&amp;" ضد "&amp;$A648))</f>
        <v>0</v>
      </c>
      <c r="BB648" s="4">
        <f>IF($A648=BB$613,"",COUNTIF($E$4:$E$609,$A648&amp;" ضد "&amp;BB$613)+COUNTIF($E$4:$E$609,BB$613&amp;" ضد "&amp;$A648))</f>
        <v>0</v>
      </c>
      <c r="BC648" s="4">
        <f>IF($A648=BC$613,"",COUNTIF($E$4:$E$609,$A648&amp;" ضد "&amp;BC$613)+COUNTIF($E$4:$E$609,BC$613&amp;" ضد "&amp;$A648))</f>
        <v>0</v>
      </c>
      <c r="BD648" s="4">
        <f>IF($A648=BD$613,"",COUNTIF($E$4:$E$609,$A648&amp;" ضد "&amp;BD$613)+COUNTIF($E$4:$E$609,BD$613&amp;" ضد "&amp;$A648))</f>
        <v>0</v>
      </c>
      <c r="BE648" s="4">
        <f>IF($A648=BE$613,"",COUNTIF($E$4:$E$609,$A648&amp;" ضد "&amp;BE$613)+COUNTIF($E$4:$E$609,BE$613&amp;" ضد "&amp;$A648))</f>
        <v>0</v>
      </c>
      <c r="BF648" s="4">
        <f>IF($A648=BF$613,"",COUNTIF($E$4:$E$609,$A648&amp;" ضد "&amp;BF$613)+COUNTIF($E$4:$E$609,BF$613&amp;" ضد "&amp;$A648))</f>
        <v>0</v>
      </c>
      <c r="BG648" s="4">
        <f>IF($A648=BG$613,"",COUNTIF($E$4:$E$609,$A648&amp;" ضد "&amp;BG$613)+COUNTIF($E$4:$E$609,BG$613&amp;" ضد "&amp;$A648))</f>
        <v>0</v>
      </c>
      <c r="BH648" s="4">
        <f>IF($A648=BH$613,"",COUNTIF($E$4:$E$609,$A648&amp;" ضد "&amp;BH$613)+COUNTIF($E$4:$E$609,BH$613&amp;" ضد "&amp;$A648))</f>
        <v>0</v>
      </c>
      <c r="BI648" s="4">
        <f>IF($A648=BI$613,"",COUNTIF($E$4:$E$609,$A648&amp;" ضد "&amp;BI$613)+COUNTIF($E$4:$E$609,BI$613&amp;" ضد "&amp;$A648))</f>
        <v>0</v>
      </c>
      <c r="BJ648" s="4">
        <f>IF($A648=BJ$613,"",COUNTIF($E$4:$E$609,$A648&amp;" ضد "&amp;BJ$613)+COUNTIF($E$4:$E$609,BJ$613&amp;" ضد "&amp;$A648))</f>
        <v>0</v>
      </c>
      <c r="BK648" s="4">
        <f>IF($A648=BK$613,"",COUNTIF($E$4:$E$609,$A648&amp;" ضد "&amp;BK$613)+COUNTIF($E$4:$E$609,BK$613&amp;" ضد "&amp;$A648))</f>
        <v>0</v>
      </c>
      <c r="BL648" s="4">
        <f>IF($A648=BL$613,"",COUNTIF($E$4:$E$609,$A648&amp;" ضد "&amp;BL$613)+COUNTIF($E$4:$E$609,BL$613&amp;" ضد "&amp;$A648))</f>
        <v>0</v>
      </c>
      <c r="BM648" s="4">
        <f>IF($A648=BM$613,"",COUNTIF($E$4:$E$609,$A648&amp;" ضد "&amp;BM$613)+COUNTIF($E$4:$E$609,BM$613&amp;" ضد "&amp;$A648))</f>
        <v>0</v>
      </c>
      <c r="BN648" s="4">
        <f>IF($A648=BN$613,"",COUNTIF($E$4:$E$609,$A648&amp;" ضد "&amp;BN$613)+COUNTIF($E$4:$E$609,BN$613&amp;" ضد "&amp;$A648))</f>
        <v>0</v>
      </c>
      <c r="BO648" s="4">
        <f>IF($A648=BO$613,"",COUNTIF($E$4:$E$609,$A648&amp;" ضد "&amp;BO$613)+COUNTIF($E$4:$E$609,BO$613&amp;" ضد "&amp;$A648))</f>
        <v>0</v>
      </c>
      <c r="BP648" s="4">
        <f>IF($A648=BP$613,"",COUNTIF($E$4:$E$609,$A648&amp;" ضد "&amp;BP$613)+COUNTIF($E$4:$E$609,BP$613&amp;" ضد "&amp;$A648))</f>
        <v>0</v>
      </c>
    </row>
    <row r="649" spans="1:68" ht="14.5">
      <c r="A649" s="14">
        <v>36</v>
      </c>
      <c r="B649" s="4">
        <f>IF($A649=B$613,"",COUNTIF($E$4:$E$609,$A649&amp;" ضد "&amp;B$613)+COUNTIF($E$4:$E$609,B$613&amp;" ضد "&amp;$A649))</f>
        <v>0</v>
      </c>
      <c r="C649" s="4">
        <f>IF($A649=C$613,"",COUNTIF($E$4:$E$609,$A649&amp;" ضد "&amp;C$613)+COUNTIF($E$4:$E$609,C$613&amp;" ضد "&amp;$A649))</f>
        <v>0</v>
      </c>
      <c r="D649" s="4">
        <f>IF($A649=D$613,"",COUNTIF($E$4:$E$609,$A649&amp;" ضد "&amp;D$613)+COUNTIF($E$4:$E$609,D$613&amp;" ضد "&amp;$A649))</f>
        <v>0</v>
      </c>
      <c r="E649" s="4">
        <f>IF($A649=E$613,"",COUNTIF($E$4:$E$609,$A649&amp;" ضد "&amp;E$613)+COUNTIF($E$4:$E$609,E$613&amp;" ضد "&amp;$A649))</f>
        <v>0</v>
      </c>
      <c r="F649" s="4">
        <f>IF($A649=F$613,"",COUNTIF($E$4:$E$609,$A649&amp;" ضد "&amp;F$613)+COUNTIF($E$4:$E$609,F$613&amp;" ضد "&amp;$A649))</f>
        <v>0</v>
      </c>
      <c r="G649" s="4">
        <f>IF($A649=G$613,"",COUNTIF($E$4:$E$609,$A649&amp;" ضد "&amp;G$613)+COUNTIF($E$4:$E$609,G$613&amp;" ضد "&amp;$A649))</f>
        <v>0</v>
      </c>
      <c r="H649" s="4">
        <f>IF($A649=H$613,"",COUNTIF($E$4:$E$609,$A649&amp;" ضد "&amp;H$613)+COUNTIF($E$4:$E$609,H$613&amp;" ضد "&amp;$A649))</f>
        <v>0</v>
      </c>
      <c r="I649" s="4">
        <f>IF($A649=I$613,"",COUNTIF($E$4:$E$609,$A649&amp;" ضد "&amp;I$613)+COUNTIF($E$4:$E$609,I$613&amp;" ضد "&amp;$A649))</f>
        <v>0</v>
      </c>
      <c r="J649" s="4">
        <f>IF($A649=J$613,"",COUNTIF($E$4:$E$609,$A649&amp;" ضد "&amp;J$613)+COUNTIF($E$4:$E$609,J$613&amp;" ضد "&amp;$A649))</f>
        <v>0</v>
      </c>
      <c r="K649" s="4">
        <f>IF($A649=K$613,"",COUNTIF($E$4:$E$609,$A649&amp;" ضد "&amp;K$613)+COUNTIF($E$4:$E$609,K$613&amp;" ضد "&amp;$A649))</f>
        <v>0</v>
      </c>
      <c r="L649" s="4">
        <f>IF($A649=L$613,"",COUNTIF($E$4:$E$609,$A649&amp;" ضد "&amp;L$613)+COUNTIF($E$4:$E$609,L$613&amp;" ضد "&amp;$A649))</f>
        <v>0</v>
      </c>
      <c r="M649" s="4">
        <f>IF($A649=M$613,"",COUNTIF($E$4:$E$609,$A649&amp;" ضد "&amp;M$613)+COUNTIF($E$4:$E$609,M$613&amp;" ضد "&amp;$A649))</f>
        <v>0</v>
      </c>
      <c r="N649" s="4">
        <f>IF($A649=N$613,"",COUNTIF($E$4:$E$609,$A649&amp;" ضد "&amp;N$613)+COUNTIF($E$4:$E$609,N$613&amp;" ضد "&amp;$A649))</f>
        <v>0</v>
      </c>
      <c r="O649" s="4">
        <f>IF($A649=O$613,"",COUNTIF($E$4:$E$609,$A649&amp;" ضد "&amp;O$613)+COUNTIF($E$4:$E$609,O$613&amp;" ضد "&amp;$A649))</f>
        <v>0</v>
      </c>
      <c r="P649" s="4">
        <f>IF($A649=P$613,"",COUNTIF($E$4:$E$609,$A649&amp;" ضد "&amp;P$613)+COUNTIF($E$4:$E$609,P$613&amp;" ضد "&amp;$A649))</f>
        <v>0</v>
      </c>
      <c r="Q649" s="4">
        <f>IF($A649=Q$613,"",COUNTIF($E$4:$E$609,$A649&amp;" ضد "&amp;Q$613)+COUNTIF($E$4:$E$609,Q$613&amp;" ضد "&amp;$A649))</f>
        <v>0</v>
      </c>
      <c r="R649" s="4">
        <f>IF($A649=R$613,"",COUNTIF($E$4:$E$609,$A649&amp;" ضد "&amp;R$613)+COUNTIF($E$4:$E$609,R$613&amp;" ضد "&amp;$A649))</f>
        <v>0</v>
      </c>
      <c r="S649" s="4">
        <f>IF($A649=S$613,"",COUNTIF($E$4:$E$609,$A649&amp;" ضد "&amp;S$613)+COUNTIF($E$4:$E$609,S$613&amp;" ضد "&amp;$A649))</f>
        <v>0</v>
      </c>
      <c r="T649" s="4">
        <f>IF($A649=T$613,"",COUNTIF($E$4:$E$609,$A649&amp;" ضد "&amp;T$613)+COUNTIF($E$4:$E$609,T$613&amp;" ضد "&amp;$A649))</f>
        <v>0</v>
      </c>
      <c r="U649" s="4">
        <f>IF($A649=U$613,"",COUNTIF($E$4:$E$609,$A649&amp;" ضد "&amp;U$613)+COUNTIF($E$4:$E$609,U$613&amp;" ضد "&amp;$A649))</f>
        <v>0</v>
      </c>
      <c r="V649" s="4">
        <f>IF($A649=V$613,"",COUNTIF($E$4:$E$609,$A649&amp;" ضد "&amp;V$613)+COUNTIF($E$4:$E$609,V$613&amp;" ضد "&amp;$A649))</f>
        <v>0</v>
      </c>
      <c r="W649" s="4">
        <f>IF($A649=W$613,"",COUNTIF($E$4:$E$609,$A649&amp;" ضد "&amp;W$613)+COUNTIF($E$4:$E$609,W$613&amp;" ضد "&amp;$A649))</f>
        <v>0</v>
      </c>
      <c r="X649" s="4">
        <f>IF($A649=X$613,"",COUNTIF($E$4:$E$609,$A649&amp;" ضد "&amp;X$613)+COUNTIF($E$4:$E$609,X$613&amp;" ضد "&amp;$A649))</f>
        <v>0</v>
      </c>
      <c r="Y649" s="4">
        <f>IF($A649=Y$613,"",COUNTIF($E$4:$E$609,$A649&amp;" ضد "&amp;Y$613)+COUNTIF($E$4:$E$609,Y$613&amp;" ضد "&amp;$A649))</f>
        <v>0</v>
      </c>
      <c r="Z649" s="4">
        <f>IF($A649=Z$613,"",COUNTIF($E$4:$E$609,$A649&amp;" ضد "&amp;Z$613)+COUNTIF($E$4:$E$609,Z$613&amp;" ضد "&amp;$A649))</f>
        <v>0</v>
      </c>
      <c r="AA649" s="4">
        <f>IF($A649=AA$613,"",COUNTIF($E$4:$E$609,$A649&amp;" ضد "&amp;AA$613)+COUNTIF($E$4:$E$609,AA$613&amp;" ضد "&amp;$A649))</f>
        <v>0</v>
      </c>
      <c r="AB649" s="4">
        <f>IF($A649=AB$613,"",COUNTIF($E$4:$E$609,$A649&amp;" ضد "&amp;AB$613)+COUNTIF($E$4:$E$609,AB$613&amp;" ضد "&amp;$A649))</f>
        <v>0</v>
      </c>
      <c r="AC649" s="4">
        <f>IF($A649=AC$613,"",COUNTIF($E$4:$E$609,$A649&amp;" ضد "&amp;AC$613)+COUNTIF($E$4:$E$609,AC$613&amp;" ضد "&amp;$A649))</f>
        <v>0</v>
      </c>
      <c r="AD649" s="4">
        <f>IF($A649=AD$613,"",COUNTIF($E$4:$E$609,$A649&amp;" ضد "&amp;AD$613)+COUNTIF($E$4:$E$609,AD$613&amp;" ضد "&amp;$A649))</f>
        <v>0</v>
      </c>
      <c r="AE649" s="4">
        <f>IF($A649=AE$613,"",COUNTIF($E$4:$E$609,$A649&amp;" ضد "&amp;AE$613)+COUNTIF($E$4:$E$609,AE$613&amp;" ضد "&amp;$A649))</f>
        <v>0</v>
      </c>
      <c r="AF649" s="4">
        <f>IF($A649=AF$613,"",COUNTIF($E$4:$E$609,$A649&amp;" ضد "&amp;AF$613)+COUNTIF($E$4:$E$609,AF$613&amp;" ضد "&amp;$A649))</f>
        <v>0</v>
      </c>
      <c r="AG649" s="4">
        <f>IF($A649=AG$613,"",COUNTIF($E$4:$E$609,$A649&amp;" ضد "&amp;AG$613)+COUNTIF($E$4:$E$609,AG$613&amp;" ضد "&amp;$A649))</f>
        <v>0</v>
      </c>
      <c r="AH649" s="4">
        <f>IF($A649=AH$613,"",COUNTIF($E$4:$E$609,$A649&amp;" ضد "&amp;AH$613)+COUNTIF($E$4:$E$609,AH$613&amp;" ضد "&amp;$A649))</f>
        <v>0</v>
      </c>
      <c r="AI649" s="4">
        <f>IF($A649=AI$613,"",COUNTIF($E$4:$E$609,$A649&amp;" ضد "&amp;AI$613)+COUNTIF($E$4:$E$609,AI$613&amp;" ضد "&amp;$A649))</f>
        <v>0</v>
      </c>
      <c r="AJ649" s="4">
        <f>IF($A649=AJ$613,"",COUNTIF($E$4:$E$609,$A649&amp;" ضد "&amp;AJ$613)+COUNTIF($E$4:$E$609,AJ$613&amp;" ضد "&amp;$A649))</f>
        <v>2</v>
      </c>
      <c r="AK649" s="4" t="str">
        <f>IF($A649=AK$613,"",COUNTIF($E$4:$E$609,$A649&amp;" ضد "&amp;AK$613)+COUNTIF($E$4:$E$609,AK$613&amp;" ضد "&amp;$A649))</f>
        <v/>
      </c>
      <c r="AL649" s="4">
        <f>IF($A649=AL$613,"",COUNTIF($E$4:$E$609,$A649&amp;" ضد "&amp;AL$613)+COUNTIF($E$4:$E$609,AL$613&amp;" ضد "&amp;$A649))</f>
        <v>2</v>
      </c>
      <c r="AM649" s="4">
        <f>IF($A649=AM$613,"",COUNTIF($E$4:$E$609,$A649&amp;" ضد "&amp;AM$613)+COUNTIF($E$4:$E$609,AM$613&amp;" ضد "&amp;$A649))</f>
        <v>1</v>
      </c>
      <c r="AN649" s="4">
        <f>IF($A649=AN$613,"",COUNTIF($E$4:$E$609,$A649&amp;" ضد "&amp;AN$613)+COUNTIF($E$4:$E$609,AN$613&amp;" ضد "&amp;$A649))</f>
        <v>1</v>
      </c>
      <c r="AO649" s="4">
        <f>IF($A649=AO$613,"",COUNTIF($E$4:$E$609,$A649&amp;" ضد "&amp;AO$613)+COUNTIF($E$4:$E$609,AO$613&amp;" ضد "&amp;$A649))</f>
        <v>1</v>
      </c>
      <c r="AP649" s="4">
        <f>IF($A649=AP$613,"",COUNTIF($E$4:$E$609,$A649&amp;" ضد "&amp;AP$613)+COUNTIF($E$4:$E$609,AP$613&amp;" ضد "&amp;$A649))</f>
        <v>1</v>
      </c>
      <c r="AQ649" s="4">
        <f>IF($A649=AQ$613,"",COUNTIF($E$4:$E$609,$A649&amp;" ضد "&amp;AQ$613)+COUNTIF($E$4:$E$609,AQ$613&amp;" ضد "&amp;$A649))</f>
        <v>1</v>
      </c>
      <c r="AR649" s="4">
        <f>IF($A649=AR$613,"",COUNTIF($E$4:$E$609,$A649&amp;" ضد "&amp;AR$613)+COUNTIF($E$4:$E$609,AR$613&amp;" ضد "&amp;$A649))</f>
        <v>1</v>
      </c>
      <c r="AS649" s="4">
        <f>IF($A649=AS$613,"",COUNTIF($E$4:$E$609,$A649&amp;" ضد "&amp;AS$613)+COUNTIF($E$4:$E$609,AS$613&amp;" ضد "&amp;$A649))</f>
        <v>1</v>
      </c>
      <c r="AT649" s="4">
        <f>IF($A649=AT$613,"",COUNTIF($E$4:$E$609,$A649&amp;" ضد "&amp;AT$613)+COUNTIF($E$4:$E$609,AT$613&amp;" ضد "&amp;$A649))</f>
        <v>1</v>
      </c>
      <c r="AU649" s="4">
        <f>IF($A649=AU$613,"",COUNTIF($E$4:$E$609,$A649&amp;" ضد "&amp;AU$613)+COUNTIF($E$4:$E$609,AU$613&amp;" ضد "&amp;$A649))</f>
        <v>1</v>
      </c>
      <c r="AV649" s="4">
        <f>IF($A649=AV$613,"",COUNTIF($E$4:$E$609,$A649&amp;" ضد "&amp;AV$613)+COUNTIF($E$4:$E$609,AV$613&amp;" ضد "&amp;$A649))</f>
        <v>1</v>
      </c>
      <c r="AW649" s="4">
        <f>IF($A649=AW$613,"",COUNTIF($E$4:$E$609,$A649&amp;" ضد "&amp;AW$613)+COUNTIF($E$4:$E$609,AW$613&amp;" ضد "&amp;$A649))</f>
        <v>1</v>
      </c>
      <c r="AX649" s="4">
        <f>IF($A649=AX$613,"",COUNTIF($E$4:$E$609,$A649&amp;" ضد "&amp;AX$613)+COUNTIF($E$4:$E$609,AX$613&amp;" ضد "&amp;$A649))</f>
        <v>1</v>
      </c>
      <c r="AY649" s="4">
        <f>IF($A649=AY$613,"",COUNTIF($E$4:$E$609,$A649&amp;" ضد "&amp;AY$613)+COUNTIF($E$4:$E$609,AY$613&amp;" ضد "&amp;$A649))</f>
        <v>1</v>
      </c>
      <c r="AZ649" s="4">
        <f>IF($A649=AZ$613,"",COUNTIF($E$4:$E$609,$A649&amp;" ضد "&amp;AZ$613)+COUNTIF($E$4:$E$609,AZ$613&amp;" ضد "&amp;$A649))</f>
        <v>1</v>
      </c>
      <c r="BA649" s="4">
        <f>IF($A649=BA$613,"",COUNTIF($E$4:$E$609,$A649&amp;" ضد "&amp;BA$613)+COUNTIF($E$4:$E$609,BA$613&amp;" ضد "&amp;$A649))</f>
        <v>0</v>
      </c>
      <c r="BB649" s="4">
        <f>IF($A649=BB$613,"",COUNTIF($E$4:$E$609,$A649&amp;" ضد "&amp;BB$613)+COUNTIF($E$4:$E$609,BB$613&amp;" ضد "&amp;$A649))</f>
        <v>0</v>
      </c>
      <c r="BC649" s="4">
        <f>IF($A649=BC$613,"",COUNTIF($E$4:$E$609,$A649&amp;" ضد "&amp;BC$613)+COUNTIF($E$4:$E$609,BC$613&amp;" ضد "&amp;$A649))</f>
        <v>0</v>
      </c>
      <c r="BD649" s="4">
        <f>IF($A649=BD$613,"",COUNTIF($E$4:$E$609,$A649&amp;" ضد "&amp;BD$613)+COUNTIF($E$4:$E$609,BD$613&amp;" ضد "&amp;$A649))</f>
        <v>0</v>
      </c>
      <c r="BE649" s="4">
        <f>IF($A649=BE$613,"",COUNTIF($E$4:$E$609,$A649&amp;" ضد "&amp;BE$613)+COUNTIF($E$4:$E$609,BE$613&amp;" ضد "&amp;$A649))</f>
        <v>0</v>
      </c>
      <c r="BF649" s="4">
        <f>IF($A649=BF$613,"",COUNTIF($E$4:$E$609,$A649&amp;" ضد "&amp;BF$613)+COUNTIF($E$4:$E$609,BF$613&amp;" ضد "&amp;$A649))</f>
        <v>0</v>
      </c>
      <c r="BG649" s="4">
        <f>IF($A649=BG$613,"",COUNTIF($E$4:$E$609,$A649&amp;" ضد "&amp;BG$613)+COUNTIF($E$4:$E$609,BG$613&amp;" ضد "&amp;$A649))</f>
        <v>0</v>
      </c>
      <c r="BH649" s="4">
        <f>IF($A649=BH$613,"",COUNTIF($E$4:$E$609,$A649&amp;" ضد "&amp;BH$613)+COUNTIF($E$4:$E$609,BH$613&amp;" ضد "&amp;$A649))</f>
        <v>0</v>
      </c>
      <c r="BI649" s="4">
        <f>IF($A649=BI$613,"",COUNTIF($E$4:$E$609,$A649&amp;" ضد "&amp;BI$613)+COUNTIF($E$4:$E$609,BI$613&amp;" ضد "&amp;$A649))</f>
        <v>0</v>
      </c>
      <c r="BJ649" s="4">
        <f>IF($A649=BJ$613,"",COUNTIF($E$4:$E$609,$A649&amp;" ضد "&amp;BJ$613)+COUNTIF($E$4:$E$609,BJ$613&amp;" ضد "&amp;$A649))</f>
        <v>0</v>
      </c>
      <c r="BK649" s="4">
        <f>IF($A649=BK$613,"",COUNTIF($E$4:$E$609,$A649&amp;" ضد "&amp;BK$613)+COUNTIF($E$4:$E$609,BK$613&amp;" ضد "&amp;$A649))</f>
        <v>0</v>
      </c>
      <c r="BL649" s="4">
        <f>IF($A649=BL$613,"",COUNTIF($E$4:$E$609,$A649&amp;" ضد "&amp;BL$613)+COUNTIF($E$4:$E$609,BL$613&amp;" ضد "&amp;$A649))</f>
        <v>0</v>
      </c>
      <c r="BM649" s="4">
        <f>IF($A649=BM$613,"",COUNTIF($E$4:$E$609,$A649&amp;" ضد "&amp;BM$613)+COUNTIF($E$4:$E$609,BM$613&amp;" ضد "&amp;$A649))</f>
        <v>0</v>
      </c>
      <c r="BN649" s="4">
        <f>IF($A649=BN$613,"",COUNTIF($E$4:$E$609,$A649&amp;" ضد "&amp;BN$613)+COUNTIF($E$4:$E$609,BN$613&amp;" ضد "&amp;$A649))</f>
        <v>0</v>
      </c>
      <c r="BO649" s="4">
        <f>IF($A649=BO$613,"",COUNTIF($E$4:$E$609,$A649&amp;" ضد "&amp;BO$613)+COUNTIF($E$4:$E$609,BO$613&amp;" ضد "&amp;$A649))</f>
        <v>0</v>
      </c>
      <c r="BP649" s="4">
        <f>IF($A649=BP$613,"",COUNTIF($E$4:$E$609,$A649&amp;" ضد "&amp;BP$613)+COUNTIF($E$4:$E$609,BP$613&amp;" ضد "&amp;$A649))</f>
        <v>0</v>
      </c>
    </row>
    <row r="650" spans="1:68" ht="14.5">
      <c r="A650" s="14">
        <v>37</v>
      </c>
      <c r="B650" s="4">
        <f>IF($A650=B$613,"",COUNTIF($E$4:$E$609,$A650&amp;" ضد "&amp;B$613)+COUNTIF($E$4:$E$609,B$613&amp;" ضد "&amp;$A650))</f>
        <v>0</v>
      </c>
      <c r="C650" s="4">
        <f>IF($A650=C$613,"",COUNTIF($E$4:$E$609,$A650&amp;" ضد "&amp;C$613)+COUNTIF($E$4:$E$609,C$613&amp;" ضد "&amp;$A650))</f>
        <v>0</v>
      </c>
      <c r="D650" s="4">
        <f>IF($A650=D$613,"",COUNTIF($E$4:$E$609,$A650&amp;" ضد "&amp;D$613)+COUNTIF($E$4:$E$609,D$613&amp;" ضد "&amp;$A650))</f>
        <v>0</v>
      </c>
      <c r="E650" s="4">
        <f>IF($A650=E$613,"",COUNTIF($E$4:$E$609,$A650&amp;" ضد "&amp;E$613)+COUNTIF($E$4:$E$609,E$613&amp;" ضد "&amp;$A650))</f>
        <v>0</v>
      </c>
      <c r="F650" s="4">
        <f>IF($A650=F$613,"",COUNTIF($E$4:$E$609,$A650&amp;" ضد "&amp;F$613)+COUNTIF($E$4:$E$609,F$613&amp;" ضد "&amp;$A650))</f>
        <v>0</v>
      </c>
      <c r="G650" s="4">
        <f>IF($A650=G$613,"",COUNTIF($E$4:$E$609,$A650&amp;" ضد "&amp;G$613)+COUNTIF($E$4:$E$609,G$613&amp;" ضد "&amp;$A650))</f>
        <v>0</v>
      </c>
      <c r="H650" s="4">
        <f>IF($A650=H$613,"",COUNTIF($E$4:$E$609,$A650&amp;" ضد "&amp;H$613)+COUNTIF($E$4:$E$609,H$613&amp;" ضد "&amp;$A650))</f>
        <v>0</v>
      </c>
      <c r="I650" s="4">
        <f>IF($A650=I$613,"",COUNTIF($E$4:$E$609,$A650&amp;" ضد "&amp;I$613)+COUNTIF($E$4:$E$609,I$613&amp;" ضد "&amp;$A650))</f>
        <v>0</v>
      </c>
      <c r="J650" s="4">
        <f>IF($A650=J$613,"",COUNTIF($E$4:$E$609,$A650&amp;" ضد "&amp;J$613)+COUNTIF($E$4:$E$609,J$613&amp;" ضد "&amp;$A650))</f>
        <v>0</v>
      </c>
      <c r="K650" s="4">
        <f>IF($A650=K$613,"",COUNTIF($E$4:$E$609,$A650&amp;" ضد "&amp;K$613)+COUNTIF($E$4:$E$609,K$613&amp;" ضد "&amp;$A650))</f>
        <v>0</v>
      </c>
      <c r="L650" s="4">
        <f>IF($A650=L$613,"",COUNTIF($E$4:$E$609,$A650&amp;" ضد "&amp;L$613)+COUNTIF($E$4:$E$609,L$613&amp;" ضد "&amp;$A650))</f>
        <v>0</v>
      </c>
      <c r="M650" s="4">
        <f>IF($A650=M$613,"",COUNTIF($E$4:$E$609,$A650&amp;" ضد "&amp;M$613)+COUNTIF($E$4:$E$609,M$613&amp;" ضد "&amp;$A650))</f>
        <v>0</v>
      </c>
      <c r="N650" s="4">
        <f>IF($A650=N$613,"",COUNTIF($E$4:$E$609,$A650&amp;" ضد "&amp;N$613)+COUNTIF($E$4:$E$609,N$613&amp;" ضد "&amp;$A650))</f>
        <v>0</v>
      </c>
      <c r="O650" s="4">
        <f>IF($A650=O$613,"",COUNTIF($E$4:$E$609,$A650&amp;" ضد "&amp;O$613)+COUNTIF($E$4:$E$609,O$613&amp;" ضد "&amp;$A650))</f>
        <v>0</v>
      </c>
      <c r="P650" s="4">
        <f>IF($A650=P$613,"",COUNTIF($E$4:$E$609,$A650&amp;" ضد "&amp;P$613)+COUNTIF($E$4:$E$609,P$613&amp;" ضد "&amp;$A650))</f>
        <v>0</v>
      </c>
      <c r="Q650" s="4">
        <f>IF($A650=Q$613,"",COUNTIF($E$4:$E$609,$A650&amp;" ضد "&amp;Q$613)+COUNTIF($E$4:$E$609,Q$613&amp;" ضد "&amp;$A650))</f>
        <v>0</v>
      </c>
      <c r="R650" s="4">
        <f>IF($A650=R$613,"",COUNTIF($E$4:$E$609,$A650&amp;" ضد "&amp;R$613)+COUNTIF($E$4:$E$609,R$613&amp;" ضد "&amp;$A650))</f>
        <v>0</v>
      </c>
      <c r="S650" s="4">
        <f>IF($A650=S$613,"",COUNTIF($E$4:$E$609,$A650&amp;" ضد "&amp;S$613)+COUNTIF($E$4:$E$609,S$613&amp;" ضد "&amp;$A650))</f>
        <v>0</v>
      </c>
      <c r="T650" s="4">
        <f>IF($A650=T$613,"",COUNTIF($E$4:$E$609,$A650&amp;" ضد "&amp;T$613)+COUNTIF($E$4:$E$609,T$613&amp;" ضد "&amp;$A650))</f>
        <v>0</v>
      </c>
      <c r="U650" s="4">
        <f>IF($A650=U$613,"",COUNTIF($E$4:$E$609,$A650&amp;" ضد "&amp;U$613)+COUNTIF($E$4:$E$609,U$613&amp;" ضد "&amp;$A650))</f>
        <v>0</v>
      </c>
      <c r="V650" s="4">
        <f>IF($A650=V$613,"",COUNTIF($E$4:$E$609,$A650&amp;" ضد "&amp;V$613)+COUNTIF($E$4:$E$609,V$613&amp;" ضد "&amp;$A650))</f>
        <v>0</v>
      </c>
      <c r="W650" s="4">
        <f>IF($A650=W$613,"",COUNTIF($E$4:$E$609,$A650&amp;" ضد "&amp;W$613)+COUNTIF($E$4:$E$609,W$613&amp;" ضد "&amp;$A650))</f>
        <v>0</v>
      </c>
      <c r="X650" s="4">
        <f>IF($A650=X$613,"",COUNTIF($E$4:$E$609,$A650&amp;" ضد "&amp;X$613)+COUNTIF($E$4:$E$609,X$613&amp;" ضد "&amp;$A650))</f>
        <v>0</v>
      </c>
      <c r="Y650" s="4">
        <f>IF($A650=Y$613,"",COUNTIF($E$4:$E$609,$A650&amp;" ضد "&amp;Y$613)+COUNTIF($E$4:$E$609,Y$613&amp;" ضد "&amp;$A650))</f>
        <v>0</v>
      </c>
      <c r="Z650" s="4">
        <f>IF($A650=Z$613,"",COUNTIF($E$4:$E$609,$A650&amp;" ضد "&amp;Z$613)+COUNTIF($E$4:$E$609,Z$613&amp;" ضد "&amp;$A650))</f>
        <v>0</v>
      </c>
      <c r="AA650" s="4">
        <f>IF($A650=AA$613,"",COUNTIF($E$4:$E$609,$A650&amp;" ضد "&amp;AA$613)+COUNTIF($E$4:$E$609,AA$613&amp;" ضد "&amp;$A650))</f>
        <v>0</v>
      </c>
      <c r="AB650" s="4">
        <f>IF($A650=AB$613,"",COUNTIF($E$4:$E$609,$A650&amp;" ضد "&amp;AB$613)+COUNTIF($E$4:$E$609,AB$613&amp;" ضد "&amp;$A650))</f>
        <v>0</v>
      </c>
      <c r="AC650" s="4">
        <f>IF($A650=AC$613,"",COUNTIF($E$4:$E$609,$A650&amp;" ضد "&amp;AC$613)+COUNTIF($E$4:$E$609,AC$613&amp;" ضد "&amp;$A650))</f>
        <v>0</v>
      </c>
      <c r="AD650" s="4">
        <f>IF($A650=AD$613,"",COUNTIF($E$4:$E$609,$A650&amp;" ضد "&amp;AD$613)+COUNTIF($E$4:$E$609,AD$613&amp;" ضد "&amp;$A650))</f>
        <v>0</v>
      </c>
      <c r="AE650" s="4">
        <f>IF($A650=AE$613,"",COUNTIF($E$4:$E$609,$A650&amp;" ضد "&amp;AE$613)+COUNTIF($E$4:$E$609,AE$613&amp;" ضد "&amp;$A650))</f>
        <v>0</v>
      </c>
      <c r="AF650" s="4">
        <f>IF($A650=AF$613,"",COUNTIF($E$4:$E$609,$A650&amp;" ضد "&amp;AF$613)+COUNTIF($E$4:$E$609,AF$613&amp;" ضد "&amp;$A650))</f>
        <v>0</v>
      </c>
      <c r="AG650" s="4">
        <f>IF($A650=AG$613,"",COUNTIF($E$4:$E$609,$A650&amp;" ضد "&amp;AG$613)+COUNTIF($E$4:$E$609,AG$613&amp;" ضد "&amp;$A650))</f>
        <v>0</v>
      </c>
      <c r="AH650" s="4">
        <f>IF($A650=AH$613,"",COUNTIF($E$4:$E$609,$A650&amp;" ضد "&amp;AH$613)+COUNTIF($E$4:$E$609,AH$613&amp;" ضد "&amp;$A650))</f>
        <v>0</v>
      </c>
      <c r="AI650" s="4">
        <f>IF($A650=AI$613,"",COUNTIF($E$4:$E$609,$A650&amp;" ضد "&amp;AI$613)+COUNTIF($E$4:$E$609,AI$613&amp;" ضد "&amp;$A650))</f>
        <v>0</v>
      </c>
      <c r="AJ650" s="4">
        <f>IF($A650=AJ$613,"",COUNTIF($E$4:$E$609,$A650&amp;" ضد "&amp;AJ$613)+COUNTIF($E$4:$E$609,AJ$613&amp;" ضد "&amp;$A650))</f>
        <v>1</v>
      </c>
      <c r="AK650" s="4">
        <f>IF($A650=AK$613,"",COUNTIF($E$4:$E$609,$A650&amp;" ضد "&amp;AK$613)+COUNTIF($E$4:$E$609,AK$613&amp;" ضد "&amp;$A650))</f>
        <v>2</v>
      </c>
      <c r="AL650" s="4" t="str">
        <f>IF($A650=AL$613,"",COUNTIF($E$4:$E$609,$A650&amp;" ضد "&amp;AL$613)+COUNTIF($E$4:$E$609,AL$613&amp;" ضد "&amp;$A650))</f>
        <v/>
      </c>
      <c r="AM650" s="4">
        <f>IF($A650=AM$613,"",COUNTIF($E$4:$E$609,$A650&amp;" ضد "&amp;AM$613)+COUNTIF($E$4:$E$609,AM$613&amp;" ضد "&amp;$A650))</f>
        <v>2</v>
      </c>
      <c r="AN650" s="4">
        <f>IF($A650=AN$613,"",COUNTIF($E$4:$E$609,$A650&amp;" ضد "&amp;AN$613)+COUNTIF($E$4:$E$609,AN$613&amp;" ضد "&amp;$A650))</f>
        <v>1</v>
      </c>
      <c r="AO650" s="4">
        <f>IF($A650=AO$613,"",COUNTIF($E$4:$E$609,$A650&amp;" ضد "&amp;AO$613)+COUNTIF($E$4:$E$609,AO$613&amp;" ضد "&amp;$A650))</f>
        <v>1</v>
      </c>
      <c r="AP650" s="4">
        <f>IF($A650=AP$613,"",COUNTIF($E$4:$E$609,$A650&amp;" ضد "&amp;AP$613)+COUNTIF($E$4:$E$609,AP$613&amp;" ضد "&amp;$A650))</f>
        <v>1</v>
      </c>
      <c r="AQ650" s="4">
        <f>IF($A650=AQ$613,"",COUNTIF($E$4:$E$609,$A650&amp;" ضد "&amp;AQ$613)+COUNTIF($E$4:$E$609,AQ$613&amp;" ضد "&amp;$A650))</f>
        <v>1</v>
      </c>
      <c r="AR650" s="4">
        <f>IF($A650=AR$613,"",COUNTIF($E$4:$E$609,$A650&amp;" ضد "&amp;AR$613)+COUNTIF($E$4:$E$609,AR$613&amp;" ضد "&amp;$A650))</f>
        <v>1</v>
      </c>
      <c r="AS650" s="4">
        <f>IF($A650=AS$613,"",COUNTIF($E$4:$E$609,$A650&amp;" ضد "&amp;AS$613)+COUNTIF($E$4:$E$609,AS$613&amp;" ضد "&amp;$A650))</f>
        <v>1</v>
      </c>
      <c r="AT650" s="4">
        <f>IF($A650=AT$613,"",COUNTIF($E$4:$E$609,$A650&amp;" ضد "&amp;AT$613)+COUNTIF($E$4:$E$609,AT$613&amp;" ضد "&amp;$A650))</f>
        <v>1</v>
      </c>
      <c r="AU650" s="4">
        <f>IF($A650=AU$613,"",COUNTIF($E$4:$E$609,$A650&amp;" ضد "&amp;AU$613)+COUNTIF($E$4:$E$609,AU$613&amp;" ضد "&amp;$A650))</f>
        <v>1</v>
      </c>
      <c r="AV650" s="4">
        <f>IF($A650=AV$613,"",COUNTIF($E$4:$E$609,$A650&amp;" ضد "&amp;AV$613)+COUNTIF($E$4:$E$609,AV$613&amp;" ضد "&amp;$A650))</f>
        <v>1</v>
      </c>
      <c r="AW650" s="4">
        <f>IF($A650=AW$613,"",COUNTIF($E$4:$E$609,$A650&amp;" ضد "&amp;AW$613)+COUNTIF($E$4:$E$609,AW$613&amp;" ضد "&amp;$A650))</f>
        <v>1</v>
      </c>
      <c r="AX650" s="4">
        <f>IF($A650=AX$613,"",COUNTIF($E$4:$E$609,$A650&amp;" ضد "&amp;AX$613)+COUNTIF($E$4:$E$609,AX$613&amp;" ضد "&amp;$A650))</f>
        <v>1</v>
      </c>
      <c r="AY650" s="4">
        <f>IF($A650=AY$613,"",COUNTIF($E$4:$E$609,$A650&amp;" ضد "&amp;AY$613)+COUNTIF($E$4:$E$609,AY$613&amp;" ضد "&amp;$A650))</f>
        <v>1</v>
      </c>
      <c r="AZ650" s="4">
        <f>IF($A650=AZ$613,"",COUNTIF($E$4:$E$609,$A650&amp;" ضد "&amp;AZ$613)+COUNTIF($E$4:$E$609,AZ$613&amp;" ضد "&amp;$A650))</f>
        <v>1</v>
      </c>
      <c r="BA650" s="4">
        <f>IF($A650=BA$613,"",COUNTIF($E$4:$E$609,$A650&amp;" ضد "&amp;BA$613)+COUNTIF($E$4:$E$609,BA$613&amp;" ضد "&amp;$A650))</f>
        <v>0</v>
      </c>
      <c r="BB650" s="4">
        <f>IF($A650=BB$613,"",COUNTIF($E$4:$E$609,$A650&amp;" ضد "&amp;BB$613)+COUNTIF($E$4:$E$609,BB$613&amp;" ضد "&amp;$A650))</f>
        <v>0</v>
      </c>
      <c r="BC650" s="4">
        <f>IF($A650=BC$613,"",COUNTIF($E$4:$E$609,$A650&amp;" ضد "&amp;BC$613)+COUNTIF($E$4:$E$609,BC$613&amp;" ضد "&amp;$A650))</f>
        <v>0</v>
      </c>
      <c r="BD650" s="4">
        <f>IF($A650=BD$613,"",COUNTIF($E$4:$E$609,$A650&amp;" ضد "&amp;BD$613)+COUNTIF($E$4:$E$609,BD$613&amp;" ضد "&amp;$A650))</f>
        <v>0</v>
      </c>
      <c r="BE650" s="4">
        <f>IF($A650=BE$613,"",COUNTIF($E$4:$E$609,$A650&amp;" ضد "&amp;BE$613)+COUNTIF($E$4:$E$609,BE$613&amp;" ضد "&amp;$A650))</f>
        <v>0</v>
      </c>
      <c r="BF650" s="4">
        <f>IF($A650=BF$613,"",COUNTIF($E$4:$E$609,$A650&amp;" ضد "&amp;BF$613)+COUNTIF($E$4:$E$609,BF$613&amp;" ضد "&amp;$A650))</f>
        <v>0</v>
      </c>
      <c r="BG650" s="4">
        <f>IF($A650=BG$613,"",COUNTIF($E$4:$E$609,$A650&amp;" ضد "&amp;BG$613)+COUNTIF($E$4:$E$609,BG$613&amp;" ضد "&amp;$A650))</f>
        <v>0</v>
      </c>
      <c r="BH650" s="4">
        <f>IF($A650=BH$613,"",COUNTIF($E$4:$E$609,$A650&amp;" ضد "&amp;BH$613)+COUNTIF($E$4:$E$609,BH$613&amp;" ضد "&amp;$A650))</f>
        <v>0</v>
      </c>
      <c r="BI650" s="4">
        <f>IF($A650=BI$613,"",COUNTIF($E$4:$E$609,$A650&amp;" ضد "&amp;BI$613)+COUNTIF($E$4:$E$609,BI$613&amp;" ضد "&amp;$A650))</f>
        <v>0</v>
      </c>
      <c r="BJ650" s="4">
        <f>IF($A650=BJ$613,"",COUNTIF($E$4:$E$609,$A650&amp;" ضد "&amp;BJ$613)+COUNTIF($E$4:$E$609,BJ$613&amp;" ضد "&amp;$A650))</f>
        <v>0</v>
      </c>
      <c r="BK650" s="4">
        <f>IF($A650=BK$613,"",COUNTIF($E$4:$E$609,$A650&amp;" ضد "&amp;BK$613)+COUNTIF($E$4:$E$609,BK$613&amp;" ضد "&amp;$A650))</f>
        <v>0</v>
      </c>
      <c r="BL650" s="4">
        <f>IF($A650=BL$613,"",COUNTIF($E$4:$E$609,$A650&amp;" ضد "&amp;BL$613)+COUNTIF($E$4:$E$609,BL$613&amp;" ضد "&amp;$A650))</f>
        <v>0</v>
      </c>
      <c r="BM650" s="4">
        <f>IF($A650=BM$613,"",COUNTIF($E$4:$E$609,$A650&amp;" ضد "&amp;BM$613)+COUNTIF($E$4:$E$609,BM$613&amp;" ضد "&amp;$A650))</f>
        <v>0</v>
      </c>
      <c r="BN650" s="4">
        <f>IF($A650=BN$613,"",COUNTIF($E$4:$E$609,$A650&amp;" ضد "&amp;BN$613)+COUNTIF($E$4:$E$609,BN$613&amp;" ضد "&amp;$A650))</f>
        <v>0</v>
      </c>
      <c r="BO650" s="4">
        <f>IF($A650=BO$613,"",COUNTIF($E$4:$E$609,$A650&amp;" ضد "&amp;BO$613)+COUNTIF($E$4:$E$609,BO$613&amp;" ضد "&amp;$A650))</f>
        <v>0</v>
      </c>
      <c r="BP650" s="4">
        <f>IF($A650=BP$613,"",COUNTIF($E$4:$E$609,$A650&amp;" ضد "&amp;BP$613)+COUNTIF($E$4:$E$609,BP$613&amp;" ضد "&amp;$A650))</f>
        <v>0</v>
      </c>
    </row>
    <row r="651" spans="1:68" ht="14.5">
      <c r="A651" s="14">
        <v>38</v>
      </c>
      <c r="B651" s="4">
        <f>IF($A651=B$613,"",COUNTIF($E$4:$E$609,$A651&amp;" ضد "&amp;B$613)+COUNTIF($E$4:$E$609,B$613&amp;" ضد "&amp;$A651))</f>
        <v>0</v>
      </c>
      <c r="C651" s="4">
        <f>IF($A651=C$613,"",COUNTIF($E$4:$E$609,$A651&amp;" ضد "&amp;C$613)+COUNTIF($E$4:$E$609,C$613&amp;" ضد "&amp;$A651))</f>
        <v>0</v>
      </c>
      <c r="D651" s="4">
        <f>IF($A651=D$613,"",COUNTIF($E$4:$E$609,$A651&amp;" ضد "&amp;D$613)+COUNTIF($E$4:$E$609,D$613&amp;" ضد "&amp;$A651))</f>
        <v>0</v>
      </c>
      <c r="E651" s="4">
        <f>IF($A651=E$613,"",COUNTIF($E$4:$E$609,$A651&amp;" ضد "&amp;E$613)+COUNTIF($E$4:$E$609,E$613&amp;" ضد "&amp;$A651))</f>
        <v>0</v>
      </c>
      <c r="F651" s="4">
        <f>IF($A651=F$613,"",COUNTIF($E$4:$E$609,$A651&amp;" ضد "&amp;F$613)+COUNTIF($E$4:$E$609,F$613&amp;" ضد "&amp;$A651))</f>
        <v>0</v>
      </c>
      <c r="G651" s="4">
        <f>IF($A651=G$613,"",COUNTIF($E$4:$E$609,$A651&amp;" ضد "&amp;G$613)+COUNTIF($E$4:$E$609,G$613&amp;" ضد "&amp;$A651))</f>
        <v>0</v>
      </c>
      <c r="H651" s="4">
        <f>IF($A651=H$613,"",COUNTIF($E$4:$E$609,$A651&amp;" ضد "&amp;H$613)+COUNTIF($E$4:$E$609,H$613&amp;" ضد "&amp;$A651))</f>
        <v>0</v>
      </c>
      <c r="I651" s="4">
        <f>IF($A651=I$613,"",COUNTIF($E$4:$E$609,$A651&amp;" ضد "&amp;I$613)+COUNTIF($E$4:$E$609,I$613&amp;" ضد "&amp;$A651))</f>
        <v>0</v>
      </c>
      <c r="J651" s="4">
        <f>IF($A651=J$613,"",COUNTIF($E$4:$E$609,$A651&amp;" ضد "&amp;J$613)+COUNTIF($E$4:$E$609,J$613&amp;" ضد "&amp;$A651))</f>
        <v>0</v>
      </c>
      <c r="K651" s="4">
        <f>IF($A651=K$613,"",COUNTIF($E$4:$E$609,$A651&amp;" ضد "&amp;K$613)+COUNTIF($E$4:$E$609,K$613&amp;" ضد "&amp;$A651))</f>
        <v>0</v>
      </c>
      <c r="L651" s="4">
        <f>IF($A651=L$613,"",COUNTIF($E$4:$E$609,$A651&amp;" ضد "&amp;L$613)+COUNTIF($E$4:$E$609,L$613&amp;" ضد "&amp;$A651))</f>
        <v>0</v>
      </c>
      <c r="M651" s="4">
        <f>IF($A651=M$613,"",COUNTIF($E$4:$E$609,$A651&amp;" ضد "&amp;M$613)+COUNTIF($E$4:$E$609,M$613&amp;" ضد "&amp;$A651))</f>
        <v>0</v>
      </c>
      <c r="N651" s="4">
        <f>IF($A651=N$613,"",COUNTIF($E$4:$E$609,$A651&amp;" ضد "&amp;N$613)+COUNTIF($E$4:$E$609,N$613&amp;" ضد "&amp;$A651))</f>
        <v>0</v>
      </c>
      <c r="O651" s="4">
        <f>IF($A651=O$613,"",COUNTIF($E$4:$E$609,$A651&amp;" ضد "&amp;O$613)+COUNTIF($E$4:$E$609,O$613&amp;" ضد "&amp;$A651))</f>
        <v>0</v>
      </c>
      <c r="P651" s="4">
        <f>IF($A651=P$613,"",COUNTIF($E$4:$E$609,$A651&amp;" ضد "&amp;P$613)+COUNTIF($E$4:$E$609,P$613&amp;" ضد "&amp;$A651))</f>
        <v>0</v>
      </c>
      <c r="Q651" s="4">
        <f>IF($A651=Q$613,"",COUNTIF($E$4:$E$609,$A651&amp;" ضد "&amp;Q$613)+COUNTIF($E$4:$E$609,Q$613&amp;" ضد "&amp;$A651))</f>
        <v>0</v>
      </c>
      <c r="R651" s="4">
        <f>IF($A651=R$613,"",COUNTIF($E$4:$E$609,$A651&amp;" ضد "&amp;R$613)+COUNTIF($E$4:$E$609,R$613&amp;" ضد "&amp;$A651))</f>
        <v>0</v>
      </c>
      <c r="S651" s="4">
        <f>IF($A651=S$613,"",COUNTIF($E$4:$E$609,$A651&amp;" ضد "&amp;S$613)+COUNTIF($E$4:$E$609,S$613&amp;" ضد "&amp;$A651))</f>
        <v>0</v>
      </c>
      <c r="T651" s="4">
        <f>IF($A651=T$613,"",COUNTIF($E$4:$E$609,$A651&amp;" ضد "&amp;T$613)+COUNTIF($E$4:$E$609,T$613&amp;" ضد "&amp;$A651))</f>
        <v>0</v>
      </c>
      <c r="U651" s="4">
        <f>IF($A651=U$613,"",COUNTIF($E$4:$E$609,$A651&amp;" ضد "&amp;U$613)+COUNTIF($E$4:$E$609,U$613&amp;" ضد "&amp;$A651))</f>
        <v>0</v>
      </c>
      <c r="V651" s="4">
        <f>IF($A651=V$613,"",COUNTIF($E$4:$E$609,$A651&amp;" ضد "&amp;V$613)+COUNTIF($E$4:$E$609,V$613&amp;" ضد "&amp;$A651))</f>
        <v>0</v>
      </c>
      <c r="W651" s="4">
        <f>IF($A651=W$613,"",COUNTIF($E$4:$E$609,$A651&amp;" ضد "&amp;W$613)+COUNTIF($E$4:$E$609,W$613&amp;" ضد "&amp;$A651))</f>
        <v>0</v>
      </c>
      <c r="X651" s="4">
        <f>IF($A651=X$613,"",COUNTIF($E$4:$E$609,$A651&amp;" ضد "&amp;X$613)+COUNTIF($E$4:$E$609,X$613&amp;" ضد "&amp;$A651))</f>
        <v>0</v>
      </c>
      <c r="Y651" s="4">
        <f>IF($A651=Y$613,"",COUNTIF($E$4:$E$609,$A651&amp;" ضد "&amp;Y$613)+COUNTIF($E$4:$E$609,Y$613&amp;" ضد "&amp;$A651))</f>
        <v>0</v>
      </c>
      <c r="Z651" s="4">
        <f>IF($A651=Z$613,"",COUNTIF($E$4:$E$609,$A651&amp;" ضد "&amp;Z$613)+COUNTIF($E$4:$E$609,Z$613&amp;" ضد "&amp;$A651))</f>
        <v>0</v>
      </c>
      <c r="AA651" s="4">
        <f>IF($A651=AA$613,"",COUNTIF($E$4:$E$609,$A651&amp;" ضد "&amp;AA$613)+COUNTIF($E$4:$E$609,AA$613&amp;" ضد "&amp;$A651))</f>
        <v>0</v>
      </c>
      <c r="AB651" s="4">
        <f>IF($A651=AB$613,"",COUNTIF($E$4:$E$609,$A651&amp;" ضد "&amp;AB$613)+COUNTIF($E$4:$E$609,AB$613&amp;" ضد "&amp;$A651))</f>
        <v>0</v>
      </c>
      <c r="AC651" s="4">
        <f>IF($A651=AC$613,"",COUNTIF($E$4:$E$609,$A651&amp;" ضد "&amp;AC$613)+COUNTIF($E$4:$E$609,AC$613&amp;" ضد "&amp;$A651))</f>
        <v>0</v>
      </c>
      <c r="AD651" s="4">
        <f>IF($A651=AD$613,"",COUNTIF($E$4:$E$609,$A651&amp;" ضد "&amp;AD$613)+COUNTIF($E$4:$E$609,AD$613&amp;" ضد "&amp;$A651))</f>
        <v>0</v>
      </c>
      <c r="AE651" s="4">
        <f>IF($A651=AE$613,"",COUNTIF($E$4:$E$609,$A651&amp;" ضد "&amp;AE$613)+COUNTIF($E$4:$E$609,AE$613&amp;" ضد "&amp;$A651))</f>
        <v>0</v>
      </c>
      <c r="AF651" s="4">
        <f>IF($A651=AF$613,"",COUNTIF($E$4:$E$609,$A651&amp;" ضد "&amp;AF$613)+COUNTIF($E$4:$E$609,AF$613&amp;" ضد "&amp;$A651))</f>
        <v>0</v>
      </c>
      <c r="AG651" s="4">
        <f>IF($A651=AG$613,"",COUNTIF($E$4:$E$609,$A651&amp;" ضد "&amp;AG$613)+COUNTIF($E$4:$E$609,AG$613&amp;" ضد "&amp;$A651))</f>
        <v>0</v>
      </c>
      <c r="AH651" s="4">
        <f>IF($A651=AH$613,"",COUNTIF($E$4:$E$609,$A651&amp;" ضد "&amp;AH$613)+COUNTIF($E$4:$E$609,AH$613&amp;" ضد "&amp;$A651))</f>
        <v>0</v>
      </c>
      <c r="AI651" s="4">
        <f>IF($A651=AI$613,"",COUNTIF($E$4:$E$609,$A651&amp;" ضد "&amp;AI$613)+COUNTIF($E$4:$E$609,AI$613&amp;" ضد "&amp;$A651))</f>
        <v>0</v>
      </c>
      <c r="AJ651" s="4">
        <f>IF($A651=AJ$613,"",COUNTIF($E$4:$E$609,$A651&amp;" ضد "&amp;AJ$613)+COUNTIF($E$4:$E$609,AJ$613&amp;" ضد "&amp;$A651))</f>
        <v>1</v>
      </c>
      <c r="AK651" s="4">
        <f>IF($A651=AK$613,"",COUNTIF($E$4:$E$609,$A651&amp;" ضد "&amp;AK$613)+COUNTIF($E$4:$E$609,AK$613&amp;" ضد "&amp;$A651))</f>
        <v>1</v>
      </c>
      <c r="AL651" s="4">
        <f>IF($A651=AL$613,"",COUNTIF($E$4:$E$609,$A651&amp;" ضد "&amp;AL$613)+COUNTIF($E$4:$E$609,AL$613&amp;" ضد "&amp;$A651))</f>
        <v>2</v>
      </c>
      <c r="AM651" s="4" t="str">
        <f>IF($A651=AM$613,"",COUNTIF($E$4:$E$609,$A651&amp;" ضد "&amp;AM$613)+COUNTIF($E$4:$E$609,AM$613&amp;" ضد "&amp;$A651))</f>
        <v/>
      </c>
      <c r="AN651" s="4">
        <f>IF($A651=AN$613,"",COUNTIF($E$4:$E$609,$A651&amp;" ضد "&amp;AN$613)+COUNTIF($E$4:$E$609,AN$613&amp;" ضد "&amp;$A651))</f>
        <v>2</v>
      </c>
      <c r="AO651" s="4">
        <f>IF($A651=AO$613,"",COUNTIF($E$4:$E$609,$A651&amp;" ضد "&amp;AO$613)+COUNTIF($E$4:$E$609,AO$613&amp;" ضد "&amp;$A651))</f>
        <v>1</v>
      </c>
      <c r="AP651" s="4">
        <f>IF($A651=AP$613,"",COUNTIF($E$4:$E$609,$A651&amp;" ضد "&amp;AP$613)+COUNTIF($E$4:$E$609,AP$613&amp;" ضد "&amp;$A651))</f>
        <v>1</v>
      </c>
      <c r="AQ651" s="4">
        <f>IF($A651=AQ$613,"",COUNTIF($E$4:$E$609,$A651&amp;" ضد "&amp;AQ$613)+COUNTIF($E$4:$E$609,AQ$613&amp;" ضد "&amp;$A651))</f>
        <v>1</v>
      </c>
      <c r="AR651" s="4">
        <f>IF($A651=AR$613,"",COUNTIF($E$4:$E$609,$A651&amp;" ضد "&amp;AR$613)+COUNTIF($E$4:$E$609,AR$613&amp;" ضد "&amp;$A651))</f>
        <v>1</v>
      </c>
      <c r="AS651" s="4">
        <f>IF($A651=AS$613,"",COUNTIF($E$4:$E$609,$A651&amp;" ضد "&amp;AS$613)+COUNTIF($E$4:$E$609,AS$613&amp;" ضد "&amp;$A651))</f>
        <v>1</v>
      </c>
      <c r="AT651" s="4">
        <f>IF($A651=AT$613,"",COUNTIF($E$4:$E$609,$A651&amp;" ضد "&amp;AT$613)+COUNTIF($E$4:$E$609,AT$613&amp;" ضد "&amp;$A651))</f>
        <v>1</v>
      </c>
      <c r="AU651" s="4">
        <f>IF($A651=AU$613,"",COUNTIF($E$4:$E$609,$A651&amp;" ضد "&amp;AU$613)+COUNTIF($E$4:$E$609,AU$613&amp;" ضد "&amp;$A651))</f>
        <v>1</v>
      </c>
      <c r="AV651" s="4">
        <f>IF($A651=AV$613,"",COUNTIF($E$4:$E$609,$A651&amp;" ضد "&amp;AV$613)+COUNTIF($E$4:$E$609,AV$613&amp;" ضد "&amp;$A651))</f>
        <v>1</v>
      </c>
      <c r="AW651" s="4">
        <f>IF($A651=AW$613,"",COUNTIF($E$4:$E$609,$A651&amp;" ضد "&amp;AW$613)+COUNTIF($E$4:$E$609,AW$613&amp;" ضد "&amp;$A651))</f>
        <v>1</v>
      </c>
      <c r="AX651" s="4">
        <f>IF($A651=AX$613,"",COUNTIF($E$4:$E$609,$A651&amp;" ضد "&amp;AX$613)+COUNTIF($E$4:$E$609,AX$613&amp;" ضد "&amp;$A651))</f>
        <v>1</v>
      </c>
      <c r="AY651" s="4">
        <f>IF($A651=AY$613,"",COUNTIF($E$4:$E$609,$A651&amp;" ضد "&amp;AY$613)+COUNTIF($E$4:$E$609,AY$613&amp;" ضد "&amp;$A651))</f>
        <v>1</v>
      </c>
      <c r="AZ651" s="4">
        <f>IF($A651=AZ$613,"",COUNTIF($E$4:$E$609,$A651&amp;" ضد "&amp;AZ$613)+COUNTIF($E$4:$E$609,AZ$613&amp;" ضد "&amp;$A651))</f>
        <v>1</v>
      </c>
      <c r="BA651" s="4">
        <f>IF($A651=BA$613,"",COUNTIF($E$4:$E$609,$A651&amp;" ضد "&amp;BA$613)+COUNTIF($E$4:$E$609,BA$613&amp;" ضد "&amp;$A651))</f>
        <v>0</v>
      </c>
      <c r="BB651" s="4">
        <f>IF($A651=BB$613,"",COUNTIF($E$4:$E$609,$A651&amp;" ضد "&amp;BB$613)+COUNTIF($E$4:$E$609,BB$613&amp;" ضد "&amp;$A651))</f>
        <v>0</v>
      </c>
      <c r="BC651" s="4">
        <f>IF($A651=BC$613,"",COUNTIF($E$4:$E$609,$A651&amp;" ضد "&amp;BC$613)+COUNTIF($E$4:$E$609,BC$613&amp;" ضد "&amp;$A651))</f>
        <v>0</v>
      </c>
      <c r="BD651" s="4">
        <f>IF($A651=BD$613,"",COUNTIF($E$4:$E$609,$A651&amp;" ضد "&amp;BD$613)+COUNTIF($E$4:$E$609,BD$613&amp;" ضد "&amp;$A651))</f>
        <v>0</v>
      </c>
      <c r="BE651" s="4">
        <f>IF($A651=BE$613,"",COUNTIF($E$4:$E$609,$A651&amp;" ضد "&amp;BE$613)+COUNTIF($E$4:$E$609,BE$613&amp;" ضد "&amp;$A651))</f>
        <v>0</v>
      </c>
      <c r="BF651" s="4">
        <f>IF($A651=BF$613,"",COUNTIF($E$4:$E$609,$A651&amp;" ضد "&amp;BF$613)+COUNTIF($E$4:$E$609,BF$613&amp;" ضد "&amp;$A651))</f>
        <v>0</v>
      </c>
      <c r="BG651" s="4">
        <f>IF($A651=BG$613,"",COUNTIF($E$4:$E$609,$A651&amp;" ضد "&amp;BG$613)+COUNTIF($E$4:$E$609,BG$613&amp;" ضد "&amp;$A651))</f>
        <v>0</v>
      </c>
      <c r="BH651" s="4">
        <f>IF($A651=BH$613,"",COUNTIF($E$4:$E$609,$A651&amp;" ضد "&amp;BH$613)+COUNTIF($E$4:$E$609,BH$613&amp;" ضد "&amp;$A651))</f>
        <v>0</v>
      </c>
      <c r="BI651" s="4">
        <f>IF($A651=BI$613,"",COUNTIF($E$4:$E$609,$A651&amp;" ضد "&amp;BI$613)+COUNTIF($E$4:$E$609,BI$613&amp;" ضد "&amp;$A651))</f>
        <v>0</v>
      </c>
      <c r="BJ651" s="4">
        <f>IF($A651=BJ$613,"",COUNTIF($E$4:$E$609,$A651&amp;" ضد "&amp;BJ$613)+COUNTIF($E$4:$E$609,BJ$613&amp;" ضد "&amp;$A651))</f>
        <v>0</v>
      </c>
      <c r="BK651" s="4">
        <f>IF($A651=BK$613,"",COUNTIF($E$4:$E$609,$A651&amp;" ضد "&amp;BK$613)+COUNTIF($E$4:$E$609,BK$613&amp;" ضد "&amp;$A651))</f>
        <v>0</v>
      </c>
      <c r="BL651" s="4">
        <f>IF($A651=BL$613,"",COUNTIF($E$4:$E$609,$A651&amp;" ضد "&amp;BL$613)+COUNTIF($E$4:$E$609,BL$613&amp;" ضد "&amp;$A651))</f>
        <v>0</v>
      </c>
      <c r="BM651" s="4">
        <f>IF($A651=BM$613,"",COUNTIF($E$4:$E$609,$A651&amp;" ضد "&amp;BM$613)+COUNTIF($E$4:$E$609,BM$613&amp;" ضد "&amp;$A651))</f>
        <v>0</v>
      </c>
      <c r="BN651" s="4">
        <f>IF($A651=BN$613,"",COUNTIF($E$4:$E$609,$A651&amp;" ضد "&amp;BN$613)+COUNTIF($E$4:$E$609,BN$613&amp;" ضد "&amp;$A651))</f>
        <v>0</v>
      </c>
      <c r="BO651" s="4">
        <f>IF($A651=BO$613,"",COUNTIF($E$4:$E$609,$A651&amp;" ضد "&amp;BO$613)+COUNTIF($E$4:$E$609,BO$613&amp;" ضد "&amp;$A651))</f>
        <v>0</v>
      </c>
      <c r="BP651" s="4">
        <f>IF($A651=BP$613,"",COUNTIF($E$4:$E$609,$A651&amp;" ضد "&amp;BP$613)+COUNTIF($E$4:$E$609,BP$613&amp;" ضد "&amp;$A651))</f>
        <v>0</v>
      </c>
    </row>
    <row r="652" spans="1:68" ht="14.5">
      <c r="A652" s="14">
        <v>39</v>
      </c>
      <c r="B652" s="4">
        <f>IF($A652=B$613,"",COUNTIF($E$4:$E$609,$A652&amp;" ضد "&amp;B$613)+COUNTIF($E$4:$E$609,B$613&amp;" ضد "&amp;$A652))</f>
        <v>0</v>
      </c>
      <c r="C652" s="4">
        <f>IF($A652=C$613,"",COUNTIF($E$4:$E$609,$A652&amp;" ضد "&amp;C$613)+COUNTIF($E$4:$E$609,C$613&amp;" ضد "&amp;$A652))</f>
        <v>0</v>
      </c>
      <c r="D652" s="4">
        <f>IF($A652=D$613,"",COUNTIF($E$4:$E$609,$A652&amp;" ضد "&amp;D$613)+COUNTIF($E$4:$E$609,D$613&amp;" ضد "&amp;$A652))</f>
        <v>0</v>
      </c>
      <c r="E652" s="4">
        <f>IF($A652=E$613,"",COUNTIF($E$4:$E$609,$A652&amp;" ضد "&amp;E$613)+COUNTIF($E$4:$E$609,E$613&amp;" ضد "&amp;$A652))</f>
        <v>0</v>
      </c>
      <c r="F652" s="4">
        <f>IF($A652=F$613,"",COUNTIF($E$4:$E$609,$A652&amp;" ضد "&amp;F$613)+COUNTIF($E$4:$E$609,F$613&amp;" ضد "&amp;$A652))</f>
        <v>0</v>
      </c>
      <c r="G652" s="4">
        <f>IF($A652=G$613,"",COUNTIF($E$4:$E$609,$A652&amp;" ضد "&amp;G$613)+COUNTIF($E$4:$E$609,G$613&amp;" ضد "&amp;$A652))</f>
        <v>0</v>
      </c>
      <c r="H652" s="4">
        <f>IF($A652=H$613,"",COUNTIF($E$4:$E$609,$A652&amp;" ضد "&amp;H$613)+COUNTIF($E$4:$E$609,H$613&amp;" ضد "&amp;$A652))</f>
        <v>0</v>
      </c>
      <c r="I652" s="4">
        <f>IF($A652=I$613,"",COUNTIF($E$4:$E$609,$A652&amp;" ضد "&amp;I$613)+COUNTIF($E$4:$E$609,I$613&amp;" ضد "&amp;$A652))</f>
        <v>0</v>
      </c>
      <c r="J652" s="4">
        <f>IF($A652=J$613,"",COUNTIF($E$4:$E$609,$A652&amp;" ضد "&amp;J$613)+COUNTIF($E$4:$E$609,J$613&amp;" ضد "&amp;$A652))</f>
        <v>0</v>
      </c>
      <c r="K652" s="4">
        <f>IF($A652=K$613,"",COUNTIF($E$4:$E$609,$A652&amp;" ضد "&amp;K$613)+COUNTIF($E$4:$E$609,K$613&amp;" ضد "&amp;$A652))</f>
        <v>0</v>
      </c>
      <c r="L652" s="4">
        <f>IF($A652=L$613,"",COUNTIF($E$4:$E$609,$A652&amp;" ضد "&amp;L$613)+COUNTIF($E$4:$E$609,L$613&amp;" ضد "&amp;$A652))</f>
        <v>0</v>
      </c>
      <c r="M652" s="4">
        <f>IF($A652=M$613,"",COUNTIF($E$4:$E$609,$A652&amp;" ضد "&amp;M$613)+COUNTIF($E$4:$E$609,M$613&amp;" ضد "&amp;$A652))</f>
        <v>0</v>
      </c>
      <c r="N652" s="4">
        <f>IF($A652=N$613,"",COUNTIF($E$4:$E$609,$A652&amp;" ضد "&amp;N$613)+COUNTIF($E$4:$E$609,N$613&amp;" ضد "&amp;$A652))</f>
        <v>0</v>
      </c>
      <c r="O652" s="4">
        <f>IF($A652=O$613,"",COUNTIF($E$4:$E$609,$A652&amp;" ضد "&amp;O$613)+COUNTIF($E$4:$E$609,O$613&amp;" ضد "&amp;$A652))</f>
        <v>0</v>
      </c>
      <c r="P652" s="4">
        <f>IF($A652=P$613,"",COUNTIF($E$4:$E$609,$A652&amp;" ضد "&amp;P$613)+COUNTIF($E$4:$E$609,P$613&amp;" ضد "&amp;$A652))</f>
        <v>0</v>
      </c>
      <c r="Q652" s="4">
        <f>IF($A652=Q$613,"",COUNTIF($E$4:$E$609,$A652&amp;" ضد "&amp;Q$613)+COUNTIF($E$4:$E$609,Q$613&amp;" ضد "&amp;$A652))</f>
        <v>0</v>
      </c>
      <c r="R652" s="4">
        <f>IF($A652=R$613,"",COUNTIF($E$4:$E$609,$A652&amp;" ضد "&amp;R$613)+COUNTIF($E$4:$E$609,R$613&amp;" ضد "&amp;$A652))</f>
        <v>0</v>
      </c>
      <c r="S652" s="4">
        <f>IF($A652=S$613,"",COUNTIF($E$4:$E$609,$A652&amp;" ضد "&amp;S$613)+COUNTIF($E$4:$E$609,S$613&amp;" ضد "&amp;$A652))</f>
        <v>0</v>
      </c>
      <c r="T652" s="4">
        <f>IF($A652=T$613,"",COUNTIF($E$4:$E$609,$A652&amp;" ضد "&amp;T$613)+COUNTIF($E$4:$E$609,T$613&amp;" ضد "&amp;$A652))</f>
        <v>0</v>
      </c>
      <c r="U652" s="4">
        <f>IF($A652=U$613,"",COUNTIF($E$4:$E$609,$A652&amp;" ضد "&amp;U$613)+COUNTIF($E$4:$E$609,U$613&amp;" ضد "&amp;$A652))</f>
        <v>0</v>
      </c>
      <c r="V652" s="4">
        <f>IF($A652=V$613,"",COUNTIF($E$4:$E$609,$A652&amp;" ضد "&amp;V$613)+COUNTIF($E$4:$E$609,V$613&amp;" ضد "&amp;$A652))</f>
        <v>0</v>
      </c>
      <c r="W652" s="4">
        <f>IF($A652=W$613,"",COUNTIF($E$4:$E$609,$A652&amp;" ضد "&amp;W$613)+COUNTIF($E$4:$E$609,W$613&amp;" ضد "&amp;$A652))</f>
        <v>0</v>
      </c>
      <c r="X652" s="4">
        <f>IF($A652=X$613,"",COUNTIF($E$4:$E$609,$A652&amp;" ضد "&amp;X$613)+COUNTIF($E$4:$E$609,X$613&amp;" ضد "&amp;$A652))</f>
        <v>0</v>
      </c>
      <c r="Y652" s="4">
        <f>IF($A652=Y$613,"",COUNTIF($E$4:$E$609,$A652&amp;" ضد "&amp;Y$613)+COUNTIF($E$4:$E$609,Y$613&amp;" ضد "&amp;$A652))</f>
        <v>0</v>
      </c>
      <c r="Z652" s="4">
        <f>IF($A652=Z$613,"",COUNTIF($E$4:$E$609,$A652&amp;" ضد "&amp;Z$613)+COUNTIF($E$4:$E$609,Z$613&amp;" ضد "&amp;$A652))</f>
        <v>0</v>
      </c>
      <c r="AA652" s="4">
        <f>IF($A652=AA$613,"",COUNTIF($E$4:$E$609,$A652&amp;" ضد "&amp;AA$613)+COUNTIF($E$4:$E$609,AA$613&amp;" ضد "&amp;$A652))</f>
        <v>0</v>
      </c>
      <c r="AB652" s="4">
        <f>IF($A652=AB$613,"",COUNTIF($E$4:$E$609,$A652&amp;" ضد "&amp;AB$613)+COUNTIF($E$4:$E$609,AB$613&amp;" ضد "&amp;$A652))</f>
        <v>0</v>
      </c>
      <c r="AC652" s="4">
        <f>IF($A652=AC$613,"",COUNTIF($E$4:$E$609,$A652&amp;" ضد "&amp;AC$613)+COUNTIF($E$4:$E$609,AC$613&amp;" ضد "&amp;$A652))</f>
        <v>0</v>
      </c>
      <c r="AD652" s="4">
        <f>IF($A652=AD$613,"",COUNTIF($E$4:$E$609,$A652&amp;" ضد "&amp;AD$613)+COUNTIF($E$4:$E$609,AD$613&amp;" ضد "&amp;$A652))</f>
        <v>0</v>
      </c>
      <c r="AE652" s="4">
        <f>IF($A652=AE$613,"",COUNTIF($E$4:$E$609,$A652&amp;" ضد "&amp;AE$613)+COUNTIF($E$4:$E$609,AE$613&amp;" ضد "&amp;$A652))</f>
        <v>0</v>
      </c>
      <c r="AF652" s="4">
        <f>IF($A652=AF$613,"",COUNTIF($E$4:$E$609,$A652&amp;" ضد "&amp;AF$613)+COUNTIF($E$4:$E$609,AF$613&amp;" ضد "&amp;$A652))</f>
        <v>0</v>
      </c>
      <c r="AG652" s="4">
        <f>IF($A652=AG$613,"",COUNTIF($E$4:$E$609,$A652&amp;" ضد "&amp;AG$613)+COUNTIF($E$4:$E$609,AG$613&amp;" ضد "&amp;$A652))</f>
        <v>0</v>
      </c>
      <c r="AH652" s="4">
        <f>IF($A652=AH$613,"",COUNTIF($E$4:$E$609,$A652&amp;" ضد "&amp;AH$613)+COUNTIF($E$4:$E$609,AH$613&amp;" ضد "&amp;$A652))</f>
        <v>0</v>
      </c>
      <c r="AI652" s="4">
        <f>IF($A652=AI$613,"",COUNTIF($E$4:$E$609,$A652&amp;" ضد "&amp;AI$613)+COUNTIF($E$4:$E$609,AI$613&amp;" ضد "&amp;$A652))</f>
        <v>0</v>
      </c>
      <c r="AJ652" s="4">
        <f>IF($A652=AJ$613,"",COUNTIF($E$4:$E$609,$A652&amp;" ضد "&amp;AJ$613)+COUNTIF($E$4:$E$609,AJ$613&amp;" ضد "&amp;$A652))</f>
        <v>1</v>
      </c>
      <c r="AK652" s="4">
        <f>IF($A652=AK$613,"",COUNTIF($E$4:$E$609,$A652&amp;" ضد "&amp;AK$613)+COUNTIF($E$4:$E$609,AK$613&amp;" ضد "&amp;$A652))</f>
        <v>1</v>
      </c>
      <c r="AL652" s="4">
        <f>IF($A652=AL$613,"",COUNTIF($E$4:$E$609,$A652&amp;" ضد "&amp;AL$613)+COUNTIF($E$4:$E$609,AL$613&amp;" ضد "&amp;$A652))</f>
        <v>1</v>
      </c>
      <c r="AM652" s="4">
        <f>IF($A652=AM$613,"",COUNTIF($E$4:$E$609,$A652&amp;" ضد "&amp;AM$613)+COUNTIF($E$4:$E$609,AM$613&amp;" ضد "&amp;$A652))</f>
        <v>2</v>
      </c>
      <c r="AN652" s="4" t="str">
        <f>IF($A652=AN$613,"",COUNTIF($E$4:$E$609,$A652&amp;" ضد "&amp;AN$613)+COUNTIF($E$4:$E$609,AN$613&amp;" ضد "&amp;$A652))</f>
        <v/>
      </c>
      <c r="AO652" s="4">
        <f>IF($A652=AO$613,"",COUNTIF($E$4:$E$609,$A652&amp;" ضد "&amp;AO$613)+COUNTIF($E$4:$E$609,AO$613&amp;" ضد "&amp;$A652))</f>
        <v>2</v>
      </c>
      <c r="AP652" s="4">
        <f>IF($A652=AP$613,"",COUNTIF($E$4:$E$609,$A652&amp;" ضد "&amp;AP$613)+COUNTIF($E$4:$E$609,AP$613&amp;" ضد "&amp;$A652))</f>
        <v>1</v>
      </c>
      <c r="AQ652" s="4">
        <f>IF($A652=AQ$613,"",COUNTIF($E$4:$E$609,$A652&amp;" ضد "&amp;AQ$613)+COUNTIF($E$4:$E$609,AQ$613&amp;" ضد "&amp;$A652))</f>
        <v>1</v>
      </c>
      <c r="AR652" s="4">
        <f>IF($A652=AR$613,"",COUNTIF($E$4:$E$609,$A652&amp;" ضد "&amp;AR$613)+COUNTIF($E$4:$E$609,AR$613&amp;" ضد "&amp;$A652))</f>
        <v>1</v>
      </c>
      <c r="AS652" s="4">
        <f>IF($A652=AS$613,"",COUNTIF($E$4:$E$609,$A652&amp;" ضد "&amp;AS$613)+COUNTIF($E$4:$E$609,AS$613&amp;" ضد "&amp;$A652))</f>
        <v>1</v>
      </c>
      <c r="AT652" s="4">
        <f>IF($A652=AT$613,"",COUNTIF($E$4:$E$609,$A652&amp;" ضد "&amp;AT$613)+COUNTIF($E$4:$E$609,AT$613&amp;" ضد "&amp;$A652))</f>
        <v>1</v>
      </c>
      <c r="AU652" s="4">
        <f>IF($A652=AU$613,"",COUNTIF($E$4:$E$609,$A652&amp;" ضد "&amp;AU$613)+COUNTIF($E$4:$E$609,AU$613&amp;" ضد "&amp;$A652))</f>
        <v>1</v>
      </c>
      <c r="AV652" s="4">
        <f>IF($A652=AV$613,"",COUNTIF($E$4:$E$609,$A652&amp;" ضد "&amp;AV$613)+COUNTIF($E$4:$E$609,AV$613&amp;" ضد "&amp;$A652))</f>
        <v>1</v>
      </c>
      <c r="AW652" s="4">
        <f>IF($A652=AW$613,"",COUNTIF($E$4:$E$609,$A652&amp;" ضد "&amp;AW$613)+COUNTIF($E$4:$E$609,AW$613&amp;" ضد "&amp;$A652))</f>
        <v>1</v>
      </c>
      <c r="AX652" s="4">
        <f>IF($A652=AX$613,"",COUNTIF($E$4:$E$609,$A652&amp;" ضد "&amp;AX$613)+COUNTIF($E$4:$E$609,AX$613&amp;" ضد "&amp;$A652))</f>
        <v>1</v>
      </c>
      <c r="AY652" s="4">
        <f>IF($A652=AY$613,"",COUNTIF($E$4:$E$609,$A652&amp;" ضد "&amp;AY$613)+COUNTIF($E$4:$E$609,AY$613&amp;" ضد "&amp;$A652))</f>
        <v>1</v>
      </c>
      <c r="AZ652" s="4">
        <f>IF($A652=AZ$613,"",COUNTIF($E$4:$E$609,$A652&amp;" ضد "&amp;AZ$613)+COUNTIF($E$4:$E$609,AZ$613&amp;" ضد "&amp;$A652))</f>
        <v>1</v>
      </c>
      <c r="BA652" s="4">
        <f>IF($A652=BA$613,"",COUNTIF($E$4:$E$609,$A652&amp;" ضد "&amp;BA$613)+COUNTIF($E$4:$E$609,BA$613&amp;" ضد "&amp;$A652))</f>
        <v>0</v>
      </c>
      <c r="BB652" s="4">
        <f>IF($A652=BB$613,"",COUNTIF($E$4:$E$609,$A652&amp;" ضد "&amp;BB$613)+COUNTIF($E$4:$E$609,BB$613&amp;" ضد "&amp;$A652))</f>
        <v>0</v>
      </c>
      <c r="BC652" s="4">
        <f>IF($A652=BC$613,"",COUNTIF($E$4:$E$609,$A652&amp;" ضد "&amp;BC$613)+COUNTIF($E$4:$E$609,BC$613&amp;" ضد "&amp;$A652))</f>
        <v>0</v>
      </c>
      <c r="BD652" s="4">
        <f>IF($A652=BD$613,"",COUNTIF($E$4:$E$609,$A652&amp;" ضد "&amp;BD$613)+COUNTIF($E$4:$E$609,BD$613&amp;" ضد "&amp;$A652))</f>
        <v>0</v>
      </c>
      <c r="BE652" s="4">
        <f>IF($A652=BE$613,"",COUNTIF($E$4:$E$609,$A652&amp;" ضد "&amp;BE$613)+COUNTIF($E$4:$E$609,BE$613&amp;" ضد "&amp;$A652))</f>
        <v>0</v>
      </c>
      <c r="BF652" s="4">
        <f>IF($A652=BF$613,"",COUNTIF($E$4:$E$609,$A652&amp;" ضد "&amp;BF$613)+COUNTIF($E$4:$E$609,BF$613&amp;" ضد "&amp;$A652))</f>
        <v>0</v>
      </c>
      <c r="BG652" s="4">
        <f>IF($A652=BG$613,"",COUNTIF($E$4:$E$609,$A652&amp;" ضد "&amp;BG$613)+COUNTIF($E$4:$E$609,BG$613&amp;" ضد "&amp;$A652))</f>
        <v>0</v>
      </c>
      <c r="BH652" s="4">
        <f>IF($A652=BH$613,"",COUNTIF($E$4:$E$609,$A652&amp;" ضد "&amp;BH$613)+COUNTIF($E$4:$E$609,BH$613&amp;" ضد "&amp;$A652))</f>
        <v>0</v>
      </c>
      <c r="BI652" s="4">
        <f>IF($A652=BI$613,"",COUNTIF($E$4:$E$609,$A652&amp;" ضد "&amp;BI$613)+COUNTIF($E$4:$E$609,BI$613&amp;" ضد "&amp;$A652))</f>
        <v>0</v>
      </c>
      <c r="BJ652" s="4">
        <f>IF($A652=BJ$613,"",COUNTIF($E$4:$E$609,$A652&amp;" ضد "&amp;BJ$613)+COUNTIF($E$4:$E$609,BJ$613&amp;" ضد "&amp;$A652))</f>
        <v>0</v>
      </c>
      <c r="BK652" s="4">
        <f>IF($A652=BK$613,"",COUNTIF($E$4:$E$609,$A652&amp;" ضد "&amp;BK$613)+COUNTIF($E$4:$E$609,BK$613&amp;" ضد "&amp;$A652))</f>
        <v>0</v>
      </c>
      <c r="BL652" s="4">
        <f>IF($A652=BL$613,"",COUNTIF($E$4:$E$609,$A652&amp;" ضد "&amp;BL$613)+COUNTIF($E$4:$E$609,BL$613&amp;" ضد "&amp;$A652))</f>
        <v>0</v>
      </c>
      <c r="BM652" s="4">
        <f>IF($A652=BM$613,"",COUNTIF($E$4:$E$609,$A652&amp;" ضد "&amp;BM$613)+COUNTIF($E$4:$E$609,BM$613&amp;" ضد "&amp;$A652))</f>
        <v>0</v>
      </c>
      <c r="BN652" s="4">
        <f>IF($A652=BN$613,"",COUNTIF($E$4:$E$609,$A652&amp;" ضد "&amp;BN$613)+COUNTIF($E$4:$E$609,BN$613&amp;" ضد "&amp;$A652))</f>
        <v>0</v>
      </c>
      <c r="BO652" s="4">
        <f>IF($A652=BO$613,"",COUNTIF($E$4:$E$609,$A652&amp;" ضد "&amp;BO$613)+COUNTIF($E$4:$E$609,BO$613&amp;" ضد "&amp;$A652))</f>
        <v>0</v>
      </c>
      <c r="BP652" s="4">
        <f>IF($A652=BP$613,"",COUNTIF($E$4:$E$609,$A652&amp;" ضد "&amp;BP$613)+COUNTIF($E$4:$E$609,BP$613&amp;" ضد "&amp;$A652))</f>
        <v>0</v>
      </c>
    </row>
    <row r="653" spans="1:68" ht="14.5">
      <c r="A653" s="14">
        <v>40</v>
      </c>
      <c r="B653" s="4">
        <f>IF($A653=B$613,"",COUNTIF($E$4:$E$609,$A653&amp;" ضد "&amp;B$613)+COUNTIF($E$4:$E$609,B$613&amp;" ضد "&amp;$A653))</f>
        <v>0</v>
      </c>
      <c r="C653" s="4">
        <f>IF($A653=C$613,"",COUNTIF($E$4:$E$609,$A653&amp;" ضد "&amp;C$613)+COUNTIF($E$4:$E$609,C$613&amp;" ضد "&amp;$A653))</f>
        <v>0</v>
      </c>
      <c r="D653" s="4">
        <f>IF($A653=D$613,"",COUNTIF($E$4:$E$609,$A653&amp;" ضد "&amp;D$613)+COUNTIF($E$4:$E$609,D$613&amp;" ضد "&amp;$A653))</f>
        <v>0</v>
      </c>
      <c r="E653" s="4">
        <f>IF($A653=E$613,"",COUNTIF($E$4:$E$609,$A653&amp;" ضد "&amp;E$613)+COUNTIF($E$4:$E$609,E$613&amp;" ضد "&amp;$A653))</f>
        <v>0</v>
      </c>
      <c r="F653" s="4">
        <f>IF($A653=F$613,"",COUNTIF($E$4:$E$609,$A653&amp;" ضد "&amp;F$613)+COUNTIF($E$4:$E$609,F$613&amp;" ضد "&amp;$A653))</f>
        <v>0</v>
      </c>
      <c r="G653" s="4">
        <f>IF($A653=G$613,"",COUNTIF($E$4:$E$609,$A653&amp;" ضد "&amp;G$613)+COUNTIF($E$4:$E$609,G$613&amp;" ضد "&amp;$A653))</f>
        <v>0</v>
      </c>
      <c r="H653" s="4">
        <f>IF($A653=H$613,"",COUNTIF($E$4:$E$609,$A653&amp;" ضد "&amp;H$613)+COUNTIF($E$4:$E$609,H$613&amp;" ضد "&amp;$A653))</f>
        <v>0</v>
      </c>
      <c r="I653" s="4">
        <f>IF($A653=I$613,"",COUNTIF($E$4:$E$609,$A653&amp;" ضد "&amp;I$613)+COUNTIF($E$4:$E$609,I$613&amp;" ضد "&amp;$A653))</f>
        <v>0</v>
      </c>
      <c r="J653" s="4">
        <f>IF($A653=J$613,"",COUNTIF($E$4:$E$609,$A653&amp;" ضد "&amp;J$613)+COUNTIF($E$4:$E$609,J$613&amp;" ضد "&amp;$A653))</f>
        <v>0</v>
      </c>
      <c r="K653" s="4">
        <f>IF($A653=K$613,"",COUNTIF($E$4:$E$609,$A653&amp;" ضد "&amp;K$613)+COUNTIF($E$4:$E$609,K$613&amp;" ضد "&amp;$A653))</f>
        <v>0</v>
      </c>
      <c r="L653" s="4">
        <f>IF($A653=L$613,"",COUNTIF($E$4:$E$609,$A653&amp;" ضد "&amp;L$613)+COUNTIF($E$4:$E$609,L$613&amp;" ضد "&amp;$A653))</f>
        <v>0</v>
      </c>
      <c r="M653" s="4">
        <f>IF($A653=M$613,"",COUNTIF($E$4:$E$609,$A653&amp;" ضد "&amp;M$613)+COUNTIF($E$4:$E$609,M$613&amp;" ضد "&amp;$A653))</f>
        <v>0</v>
      </c>
      <c r="N653" s="4">
        <f>IF($A653=N$613,"",COUNTIF($E$4:$E$609,$A653&amp;" ضد "&amp;N$613)+COUNTIF($E$4:$E$609,N$613&amp;" ضد "&amp;$A653))</f>
        <v>0</v>
      </c>
      <c r="O653" s="4">
        <f>IF($A653=O$613,"",COUNTIF($E$4:$E$609,$A653&amp;" ضد "&amp;O$613)+COUNTIF($E$4:$E$609,O$613&amp;" ضد "&amp;$A653))</f>
        <v>0</v>
      </c>
      <c r="P653" s="4">
        <f>IF($A653=P$613,"",COUNTIF($E$4:$E$609,$A653&amp;" ضد "&amp;P$613)+COUNTIF($E$4:$E$609,P$613&amp;" ضد "&amp;$A653))</f>
        <v>0</v>
      </c>
      <c r="Q653" s="4">
        <f>IF($A653=Q$613,"",COUNTIF($E$4:$E$609,$A653&amp;" ضد "&amp;Q$613)+COUNTIF($E$4:$E$609,Q$613&amp;" ضد "&amp;$A653))</f>
        <v>0</v>
      </c>
      <c r="R653" s="4">
        <f>IF($A653=R$613,"",COUNTIF($E$4:$E$609,$A653&amp;" ضد "&amp;R$613)+COUNTIF($E$4:$E$609,R$613&amp;" ضد "&amp;$A653))</f>
        <v>0</v>
      </c>
      <c r="S653" s="4">
        <f>IF($A653=S$613,"",COUNTIF($E$4:$E$609,$A653&amp;" ضد "&amp;S$613)+COUNTIF($E$4:$E$609,S$613&amp;" ضد "&amp;$A653))</f>
        <v>0</v>
      </c>
      <c r="T653" s="4">
        <f>IF($A653=T$613,"",COUNTIF($E$4:$E$609,$A653&amp;" ضد "&amp;T$613)+COUNTIF($E$4:$E$609,T$613&amp;" ضد "&amp;$A653))</f>
        <v>0</v>
      </c>
      <c r="U653" s="4">
        <f>IF($A653=U$613,"",COUNTIF($E$4:$E$609,$A653&amp;" ضد "&amp;U$613)+COUNTIF($E$4:$E$609,U$613&amp;" ضد "&amp;$A653))</f>
        <v>0</v>
      </c>
      <c r="V653" s="4">
        <f>IF($A653=V$613,"",COUNTIF($E$4:$E$609,$A653&amp;" ضد "&amp;V$613)+COUNTIF($E$4:$E$609,V$613&amp;" ضد "&amp;$A653))</f>
        <v>0</v>
      </c>
      <c r="W653" s="4">
        <f>IF($A653=W$613,"",COUNTIF($E$4:$E$609,$A653&amp;" ضد "&amp;W$613)+COUNTIF($E$4:$E$609,W$613&amp;" ضد "&amp;$A653))</f>
        <v>0</v>
      </c>
      <c r="X653" s="4">
        <f>IF($A653=X$613,"",COUNTIF($E$4:$E$609,$A653&amp;" ضد "&amp;X$613)+COUNTIF($E$4:$E$609,X$613&amp;" ضد "&amp;$A653))</f>
        <v>0</v>
      </c>
      <c r="Y653" s="4">
        <f>IF($A653=Y$613,"",COUNTIF($E$4:$E$609,$A653&amp;" ضد "&amp;Y$613)+COUNTIF($E$4:$E$609,Y$613&amp;" ضد "&amp;$A653))</f>
        <v>0</v>
      </c>
      <c r="Z653" s="4">
        <f>IF($A653=Z$613,"",COUNTIF($E$4:$E$609,$A653&amp;" ضد "&amp;Z$613)+COUNTIF($E$4:$E$609,Z$613&amp;" ضد "&amp;$A653))</f>
        <v>0</v>
      </c>
      <c r="AA653" s="4">
        <f>IF($A653=AA$613,"",COUNTIF($E$4:$E$609,$A653&amp;" ضد "&amp;AA$613)+COUNTIF($E$4:$E$609,AA$613&amp;" ضد "&amp;$A653))</f>
        <v>0</v>
      </c>
      <c r="AB653" s="4">
        <f>IF($A653=AB$613,"",COUNTIF($E$4:$E$609,$A653&amp;" ضد "&amp;AB$613)+COUNTIF($E$4:$E$609,AB$613&amp;" ضد "&amp;$A653))</f>
        <v>0</v>
      </c>
      <c r="AC653" s="4">
        <f>IF($A653=AC$613,"",COUNTIF($E$4:$E$609,$A653&amp;" ضد "&amp;AC$613)+COUNTIF($E$4:$E$609,AC$613&amp;" ضد "&amp;$A653))</f>
        <v>0</v>
      </c>
      <c r="AD653" s="4">
        <f>IF($A653=AD$613,"",COUNTIF($E$4:$E$609,$A653&amp;" ضد "&amp;AD$613)+COUNTIF($E$4:$E$609,AD$613&amp;" ضد "&amp;$A653))</f>
        <v>0</v>
      </c>
      <c r="AE653" s="4">
        <f>IF($A653=AE$613,"",COUNTIF($E$4:$E$609,$A653&amp;" ضد "&amp;AE$613)+COUNTIF($E$4:$E$609,AE$613&amp;" ضد "&amp;$A653))</f>
        <v>0</v>
      </c>
      <c r="AF653" s="4">
        <f>IF($A653=AF$613,"",COUNTIF($E$4:$E$609,$A653&amp;" ضد "&amp;AF$613)+COUNTIF($E$4:$E$609,AF$613&amp;" ضد "&amp;$A653))</f>
        <v>0</v>
      </c>
      <c r="AG653" s="4">
        <f>IF($A653=AG$613,"",COUNTIF($E$4:$E$609,$A653&amp;" ضد "&amp;AG$613)+COUNTIF($E$4:$E$609,AG$613&amp;" ضد "&amp;$A653))</f>
        <v>0</v>
      </c>
      <c r="AH653" s="4">
        <f>IF($A653=AH$613,"",COUNTIF($E$4:$E$609,$A653&amp;" ضد "&amp;AH$613)+COUNTIF($E$4:$E$609,AH$613&amp;" ضد "&amp;$A653))</f>
        <v>0</v>
      </c>
      <c r="AI653" s="4">
        <f>IF($A653=AI$613,"",COUNTIF($E$4:$E$609,$A653&amp;" ضد "&amp;AI$613)+COUNTIF($E$4:$E$609,AI$613&amp;" ضد "&amp;$A653))</f>
        <v>0</v>
      </c>
      <c r="AJ653" s="4">
        <f>IF($A653=AJ$613,"",COUNTIF($E$4:$E$609,$A653&amp;" ضد "&amp;AJ$613)+COUNTIF($E$4:$E$609,AJ$613&amp;" ضد "&amp;$A653))</f>
        <v>1</v>
      </c>
      <c r="AK653" s="4">
        <f>IF($A653=AK$613,"",COUNTIF($E$4:$E$609,$A653&amp;" ضد "&amp;AK$613)+COUNTIF($E$4:$E$609,AK$613&amp;" ضد "&amp;$A653))</f>
        <v>1</v>
      </c>
      <c r="AL653" s="4">
        <f>IF($A653=AL$613,"",COUNTIF($E$4:$E$609,$A653&amp;" ضد "&amp;AL$613)+COUNTIF($E$4:$E$609,AL$613&amp;" ضد "&amp;$A653))</f>
        <v>1</v>
      </c>
      <c r="AM653" s="4">
        <f>IF($A653=AM$613,"",COUNTIF($E$4:$E$609,$A653&amp;" ضد "&amp;AM$613)+COUNTIF($E$4:$E$609,AM$613&amp;" ضد "&amp;$A653))</f>
        <v>1</v>
      </c>
      <c r="AN653" s="4">
        <f>IF($A653=AN$613,"",COUNTIF($E$4:$E$609,$A653&amp;" ضد "&amp;AN$613)+COUNTIF($E$4:$E$609,AN$613&amp;" ضد "&amp;$A653))</f>
        <v>2</v>
      </c>
      <c r="AO653" s="4" t="str">
        <f>IF($A653=AO$613,"",COUNTIF($E$4:$E$609,$A653&amp;" ضد "&amp;AO$613)+COUNTIF($E$4:$E$609,AO$613&amp;" ضد "&amp;$A653))</f>
        <v/>
      </c>
      <c r="AP653" s="4">
        <f>IF($A653=AP$613,"",COUNTIF($E$4:$E$609,$A653&amp;" ضد "&amp;AP$613)+COUNTIF($E$4:$E$609,AP$613&amp;" ضد "&amp;$A653))</f>
        <v>2</v>
      </c>
      <c r="AQ653" s="4">
        <f>IF($A653=AQ$613,"",COUNTIF($E$4:$E$609,$A653&amp;" ضد "&amp;AQ$613)+COUNTIF($E$4:$E$609,AQ$613&amp;" ضد "&amp;$A653))</f>
        <v>1</v>
      </c>
      <c r="AR653" s="4">
        <f>IF($A653=AR$613,"",COUNTIF($E$4:$E$609,$A653&amp;" ضد "&amp;AR$613)+COUNTIF($E$4:$E$609,AR$613&amp;" ضد "&amp;$A653))</f>
        <v>1</v>
      </c>
      <c r="AS653" s="4">
        <f>IF($A653=AS$613,"",COUNTIF($E$4:$E$609,$A653&amp;" ضد "&amp;AS$613)+COUNTIF($E$4:$E$609,AS$613&amp;" ضد "&amp;$A653))</f>
        <v>1</v>
      </c>
      <c r="AT653" s="4">
        <f>IF($A653=AT$613,"",COUNTIF($E$4:$E$609,$A653&amp;" ضد "&amp;AT$613)+COUNTIF($E$4:$E$609,AT$613&amp;" ضد "&amp;$A653))</f>
        <v>1</v>
      </c>
      <c r="AU653" s="4">
        <f>IF($A653=AU$613,"",COUNTIF($E$4:$E$609,$A653&amp;" ضد "&amp;AU$613)+COUNTIF($E$4:$E$609,AU$613&amp;" ضد "&amp;$A653))</f>
        <v>1</v>
      </c>
      <c r="AV653" s="4">
        <f>IF($A653=AV$613,"",COUNTIF($E$4:$E$609,$A653&amp;" ضد "&amp;AV$613)+COUNTIF($E$4:$E$609,AV$613&amp;" ضد "&amp;$A653))</f>
        <v>1</v>
      </c>
      <c r="AW653" s="4">
        <f>IF($A653=AW$613,"",COUNTIF($E$4:$E$609,$A653&amp;" ضد "&amp;AW$613)+COUNTIF($E$4:$E$609,AW$613&amp;" ضد "&amp;$A653))</f>
        <v>1</v>
      </c>
      <c r="AX653" s="4">
        <f>IF($A653=AX$613,"",COUNTIF($E$4:$E$609,$A653&amp;" ضد "&amp;AX$613)+COUNTIF($E$4:$E$609,AX$613&amp;" ضد "&amp;$A653))</f>
        <v>1</v>
      </c>
      <c r="AY653" s="4">
        <f>IF($A653=AY$613,"",COUNTIF($E$4:$E$609,$A653&amp;" ضد "&amp;AY$613)+COUNTIF($E$4:$E$609,AY$613&amp;" ضد "&amp;$A653))</f>
        <v>1</v>
      </c>
      <c r="AZ653" s="4">
        <f>IF($A653=AZ$613,"",COUNTIF($E$4:$E$609,$A653&amp;" ضد "&amp;AZ$613)+COUNTIF($E$4:$E$609,AZ$613&amp;" ضد "&amp;$A653))</f>
        <v>1</v>
      </c>
      <c r="BA653" s="4">
        <f>IF($A653=BA$613,"",COUNTIF($E$4:$E$609,$A653&amp;" ضد "&amp;BA$613)+COUNTIF($E$4:$E$609,BA$613&amp;" ضد "&amp;$A653))</f>
        <v>0</v>
      </c>
      <c r="BB653" s="4">
        <f>IF($A653=BB$613,"",COUNTIF($E$4:$E$609,$A653&amp;" ضد "&amp;BB$613)+COUNTIF($E$4:$E$609,BB$613&amp;" ضد "&amp;$A653))</f>
        <v>0</v>
      </c>
      <c r="BC653" s="4">
        <f>IF($A653=BC$613,"",COUNTIF($E$4:$E$609,$A653&amp;" ضد "&amp;BC$613)+COUNTIF($E$4:$E$609,BC$613&amp;" ضد "&amp;$A653))</f>
        <v>0</v>
      </c>
      <c r="BD653" s="4">
        <f>IF($A653=BD$613,"",COUNTIF($E$4:$E$609,$A653&amp;" ضد "&amp;BD$613)+COUNTIF($E$4:$E$609,BD$613&amp;" ضد "&amp;$A653))</f>
        <v>0</v>
      </c>
      <c r="BE653" s="4">
        <f>IF($A653=BE$613,"",COUNTIF($E$4:$E$609,$A653&amp;" ضد "&amp;BE$613)+COUNTIF($E$4:$E$609,BE$613&amp;" ضد "&amp;$A653))</f>
        <v>0</v>
      </c>
      <c r="BF653" s="4">
        <f>IF($A653=BF$613,"",COUNTIF($E$4:$E$609,$A653&amp;" ضد "&amp;BF$613)+COUNTIF($E$4:$E$609,BF$613&amp;" ضد "&amp;$A653))</f>
        <v>0</v>
      </c>
      <c r="BG653" s="4">
        <f>IF($A653=BG$613,"",COUNTIF($E$4:$E$609,$A653&amp;" ضد "&amp;BG$613)+COUNTIF($E$4:$E$609,BG$613&amp;" ضد "&amp;$A653))</f>
        <v>0</v>
      </c>
      <c r="BH653" s="4">
        <f>IF($A653=BH$613,"",COUNTIF($E$4:$E$609,$A653&amp;" ضد "&amp;BH$613)+COUNTIF($E$4:$E$609,BH$613&amp;" ضد "&amp;$A653))</f>
        <v>0</v>
      </c>
      <c r="BI653" s="4">
        <f>IF($A653=BI$613,"",COUNTIF($E$4:$E$609,$A653&amp;" ضد "&amp;BI$613)+COUNTIF($E$4:$E$609,BI$613&amp;" ضد "&amp;$A653))</f>
        <v>0</v>
      </c>
      <c r="BJ653" s="4">
        <f>IF($A653=BJ$613,"",COUNTIF($E$4:$E$609,$A653&amp;" ضد "&amp;BJ$613)+COUNTIF($E$4:$E$609,BJ$613&amp;" ضد "&amp;$A653))</f>
        <v>0</v>
      </c>
      <c r="BK653" s="4">
        <f>IF($A653=BK$613,"",COUNTIF($E$4:$E$609,$A653&amp;" ضد "&amp;BK$613)+COUNTIF($E$4:$E$609,BK$613&amp;" ضد "&amp;$A653))</f>
        <v>0</v>
      </c>
      <c r="BL653" s="4">
        <f>IF($A653=BL$613,"",COUNTIF($E$4:$E$609,$A653&amp;" ضد "&amp;BL$613)+COUNTIF($E$4:$E$609,BL$613&amp;" ضد "&amp;$A653))</f>
        <v>0</v>
      </c>
      <c r="BM653" s="4">
        <f>IF($A653=BM$613,"",COUNTIF($E$4:$E$609,$A653&amp;" ضد "&amp;BM$613)+COUNTIF($E$4:$E$609,BM$613&amp;" ضد "&amp;$A653))</f>
        <v>0</v>
      </c>
      <c r="BN653" s="4">
        <f>IF($A653=BN$613,"",COUNTIF($E$4:$E$609,$A653&amp;" ضد "&amp;BN$613)+COUNTIF($E$4:$E$609,BN$613&amp;" ضد "&amp;$A653))</f>
        <v>0</v>
      </c>
      <c r="BO653" s="4">
        <f>IF($A653=BO$613,"",COUNTIF($E$4:$E$609,$A653&amp;" ضد "&amp;BO$613)+COUNTIF($E$4:$E$609,BO$613&amp;" ضد "&amp;$A653))</f>
        <v>0</v>
      </c>
      <c r="BP653" s="4">
        <f>IF($A653=BP$613,"",COUNTIF($E$4:$E$609,$A653&amp;" ضد "&amp;BP$613)+COUNTIF($E$4:$E$609,BP$613&amp;" ضد "&amp;$A653))</f>
        <v>0</v>
      </c>
    </row>
    <row r="654" spans="1:68" ht="14.5">
      <c r="A654" s="14">
        <v>41</v>
      </c>
      <c r="B654" s="4">
        <f>IF($A654=B$613,"",COUNTIF($E$4:$E$609,$A654&amp;" ضد "&amp;B$613)+COUNTIF($E$4:$E$609,B$613&amp;" ضد "&amp;$A654))</f>
        <v>0</v>
      </c>
      <c r="C654" s="4">
        <f>IF($A654=C$613,"",COUNTIF($E$4:$E$609,$A654&amp;" ضد "&amp;C$613)+COUNTIF($E$4:$E$609,C$613&amp;" ضد "&amp;$A654))</f>
        <v>0</v>
      </c>
      <c r="D654" s="4">
        <f>IF($A654=D$613,"",COUNTIF($E$4:$E$609,$A654&amp;" ضد "&amp;D$613)+COUNTIF($E$4:$E$609,D$613&amp;" ضد "&amp;$A654))</f>
        <v>0</v>
      </c>
      <c r="E654" s="4">
        <f>IF($A654=E$613,"",COUNTIF($E$4:$E$609,$A654&amp;" ضد "&amp;E$613)+COUNTIF($E$4:$E$609,E$613&amp;" ضد "&amp;$A654))</f>
        <v>0</v>
      </c>
      <c r="F654" s="4">
        <f>IF($A654=F$613,"",COUNTIF($E$4:$E$609,$A654&amp;" ضد "&amp;F$613)+COUNTIF($E$4:$E$609,F$613&amp;" ضد "&amp;$A654))</f>
        <v>0</v>
      </c>
      <c r="G654" s="4">
        <f>IF($A654=G$613,"",COUNTIF($E$4:$E$609,$A654&amp;" ضد "&amp;G$613)+COUNTIF($E$4:$E$609,G$613&amp;" ضد "&amp;$A654))</f>
        <v>0</v>
      </c>
      <c r="H654" s="4">
        <f>IF($A654=H$613,"",COUNTIF($E$4:$E$609,$A654&amp;" ضد "&amp;H$613)+COUNTIF($E$4:$E$609,H$613&amp;" ضد "&amp;$A654))</f>
        <v>0</v>
      </c>
      <c r="I654" s="4">
        <f>IF($A654=I$613,"",COUNTIF($E$4:$E$609,$A654&amp;" ضد "&amp;I$613)+COUNTIF($E$4:$E$609,I$613&amp;" ضد "&amp;$A654))</f>
        <v>0</v>
      </c>
      <c r="J654" s="4">
        <f>IF($A654=J$613,"",COUNTIF($E$4:$E$609,$A654&amp;" ضد "&amp;J$613)+COUNTIF($E$4:$E$609,J$613&amp;" ضد "&amp;$A654))</f>
        <v>0</v>
      </c>
      <c r="K654" s="4">
        <f>IF($A654=K$613,"",COUNTIF($E$4:$E$609,$A654&amp;" ضد "&amp;K$613)+COUNTIF($E$4:$E$609,K$613&amp;" ضد "&amp;$A654))</f>
        <v>0</v>
      </c>
      <c r="L654" s="4">
        <f>IF($A654=L$613,"",COUNTIF($E$4:$E$609,$A654&amp;" ضد "&amp;L$613)+COUNTIF($E$4:$E$609,L$613&amp;" ضد "&amp;$A654))</f>
        <v>0</v>
      </c>
      <c r="M654" s="4">
        <f>IF($A654=M$613,"",COUNTIF($E$4:$E$609,$A654&amp;" ضد "&amp;M$613)+COUNTIF($E$4:$E$609,M$613&amp;" ضد "&amp;$A654))</f>
        <v>0</v>
      </c>
      <c r="N654" s="4">
        <f>IF($A654=N$613,"",COUNTIF($E$4:$E$609,$A654&amp;" ضد "&amp;N$613)+COUNTIF($E$4:$E$609,N$613&amp;" ضد "&amp;$A654))</f>
        <v>0</v>
      </c>
      <c r="O654" s="4">
        <f>IF($A654=O$613,"",COUNTIF($E$4:$E$609,$A654&amp;" ضد "&amp;O$613)+COUNTIF($E$4:$E$609,O$613&amp;" ضد "&amp;$A654))</f>
        <v>0</v>
      </c>
      <c r="P654" s="4">
        <f>IF($A654=P$613,"",COUNTIF($E$4:$E$609,$A654&amp;" ضد "&amp;P$613)+COUNTIF($E$4:$E$609,P$613&amp;" ضد "&amp;$A654))</f>
        <v>0</v>
      </c>
      <c r="Q654" s="4">
        <f>IF($A654=Q$613,"",COUNTIF($E$4:$E$609,$A654&amp;" ضد "&amp;Q$613)+COUNTIF($E$4:$E$609,Q$613&amp;" ضد "&amp;$A654))</f>
        <v>0</v>
      </c>
      <c r="R654" s="4">
        <f>IF($A654=R$613,"",COUNTIF($E$4:$E$609,$A654&amp;" ضد "&amp;R$613)+COUNTIF($E$4:$E$609,R$613&amp;" ضد "&amp;$A654))</f>
        <v>0</v>
      </c>
      <c r="S654" s="4">
        <f>IF($A654=S$613,"",COUNTIF($E$4:$E$609,$A654&amp;" ضد "&amp;S$613)+COUNTIF($E$4:$E$609,S$613&amp;" ضد "&amp;$A654))</f>
        <v>0</v>
      </c>
      <c r="T654" s="4">
        <f>IF($A654=T$613,"",COUNTIF($E$4:$E$609,$A654&amp;" ضد "&amp;T$613)+COUNTIF($E$4:$E$609,T$613&amp;" ضد "&amp;$A654))</f>
        <v>0</v>
      </c>
      <c r="U654" s="4">
        <f>IF($A654=U$613,"",COUNTIF($E$4:$E$609,$A654&amp;" ضد "&amp;U$613)+COUNTIF($E$4:$E$609,U$613&amp;" ضد "&amp;$A654))</f>
        <v>0</v>
      </c>
      <c r="V654" s="4">
        <f>IF($A654=V$613,"",COUNTIF($E$4:$E$609,$A654&amp;" ضد "&amp;V$613)+COUNTIF($E$4:$E$609,V$613&amp;" ضد "&amp;$A654))</f>
        <v>0</v>
      </c>
      <c r="W654" s="4">
        <f>IF($A654=W$613,"",COUNTIF($E$4:$E$609,$A654&amp;" ضد "&amp;W$613)+COUNTIF($E$4:$E$609,W$613&amp;" ضد "&amp;$A654))</f>
        <v>0</v>
      </c>
      <c r="X654" s="4">
        <f>IF($A654=X$613,"",COUNTIF($E$4:$E$609,$A654&amp;" ضد "&amp;X$613)+COUNTIF($E$4:$E$609,X$613&amp;" ضد "&amp;$A654))</f>
        <v>0</v>
      </c>
      <c r="Y654" s="4">
        <f>IF($A654=Y$613,"",COUNTIF($E$4:$E$609,$A654&amp;" ضد "&amp;Y$613)+COUNTIF($E$4:$E$609,Y$613&amp;" ضد "&amp;$A654))</f>
        <v>0</v>
      </c>
      <c r="Z654" s="4">
        <f>IF($A654=Z$613,"",COUNTIF($E$4:$E$609,$A654&amp;" ضد "&amp;Z$613)+COUNTIF($E$4:$E$609,Z$613&amp;" ضد "&amp;$A654))</f>
        <v>0</v>
      </c>
      <c r="AA654" s="4">
        <f>IF($A654=AA$613,"",COUNTIF($E$4:$E$609,$A654&amp;" ضد "&amp;AA$613)+COUNTIF($E$4:$E$609,AA$613&amp;" ضد "&amp;$A654))</f>
        <v>0</v>
      </c>
      <c r="AB654" s="4">
        <f>IF($A654=AB$613,"",COUNTIF($E$4:$E$609,$A654&amp;" ضد "&amp;AB$613)+COUNTIF($E$4:$E$609,AB$613&amp;" ضد "&amp;$A654))</f>
        <v>0</v>
      </c>
      <c r="AC654" s="4">
        <f>IF($A654=AC$613,"",COUNTIF($E$4:$E$609,$A654&amp;" ضد "&amp;AC$613)+COUNTIF($E$4:$E$609,AC$613&amp;" ضد "&amp;$A654))</f>
        <v>0</v>
      </c>
      <c r="AD654" s="4">
        <f>IF($A654=AD$613,"",COUNTIF($E$4:$E$609,$A654&amp;" ضد "&amp;AD$613)+COUNTIF($E$4:$E$609,AD$613&amp;" ضد "&amp;$A654))</f>
        <v>0</v>
      </c>
      <c r="AE654" s="4">
        <f>IF($A654=AE$613,"",COUNTIF($E$4:$E$609,$A654&amp;" ضد "&amp;AE$613)+COUNTIF($E$4:$E$609,AE$613&amp;" ضد "&amp;$A654))</f>
        <v>0</v>
      </c>
      <c r="AF654" s="4">
        <f>IF($A654=AF$613,"",COUNTIF($E$4:$E$609,$A654&amp;" ضد "&amp;AF$613)+COUNTIF($E$4:$E$609,AF$613&amp;" ضد "&amp;$A654))</f>
        <v>0</v>
      </c>
      <c r="AG654" s="4">
        <f>IF($A654=AG$613,"",COUNTIF($E$4:$E$609,$A654&amp;" ضد "&amp;AG$613)+COUNTIF($E$4:$E$609,AG$613&amp;" ضد "&amp;$A654))</f>
        <v>0</v>
      </c>
      <c r="AH654" s="4">
        <f>IF($A654=AH$613,"",COUNTIF($E$4:$E$609,$A654&amp;" ضد "&amp;AH$613)+COUNTIF($E$4:$E$609,AH$613&amp;" ضد "&amp;$A654))</f>
        <v>0</v>
      </c>
      <c r="AI654" s="4">
        <f>IF($A654=AI$613,"",COUNTIF($E$4:$E$609,$A654&amp;" ضد "&amp;AI$613)+COUNTIF($E$4:$E$609,AI$613&amp;" ضد "&amp;$A654))</f>
        <v>0</v>
      </c>
      <c r="AJ654" s="4">
        <f>IF($A654=AJ$613,"",COUNTIF($E$4:$E$609,$A654&amp;" ضد "&amp;AJ$613)+COUNTIF($E$4:$E$609,AJ$613&amp;" ضد "&amp;$A654))</f>
        <v>1</v>
      </c>
      <c r="AK654" s="4">
        <f>IF($A654=AK$613,"",COUNTIF($E$4:$E$609,$A654&amp;" ضد "&amp;AK$613)+COUNTIF($E$4:$E$609,AK$613&amp;" ضد "&amp;$A654))</f>
        <v>1</v>
      </c>
      <c r="AL654" s="4">
        <f>IF($A654=AL$613,"",COUNTIF($E$4:$E$609,$A654&amp;" ضد "&amp;AL$613)+COUNTIF($E$4:$E$609,AL$613&amp;" ضد "&amp;$A654))</f>
        <v>1</v>
      </c>
      <c r="AM654" s="4">
        <f>IF($A654=AM$613,"",COUNTIF($E$4:$E$609,$A654&amp;" ضد "&amp;AM$613)+COUNTIF($E$4:$E$609,AM$613&amp;" ضد "&amp;$A654))</f>
        <v>1</v>
      </c>
      <c r="AN654" s="4">
        <f>IF($A654=AN$613,"",COUNTIF($E$4:$E$609,$A654&amp;" ضد "&amp;AN$613)+COUNTIF($E$4:$E$609,AN$613&amp;" ضد "&amp;$A654))</f>
        <v>1</v>
      </c>
      <c r="AO654" s="4">
        <f>IF($A654=AO$613,"",COUNTIF($E$4:$E$609,$A654&amp;" ضد "&amp;AO$613)+COUNTIF($E$4:$E$609,AO$613&amp;" ضد "&amp;$A654))</f>
        <v>2</v>
      </c>
      <c r="AP654" s="4" t="str">
        <f>IF($A654=AP$613,"",COUNTIF($E$4:$E$609,$A654&amp;" ضد "&amp;AP$613)+COUNTIF($E$4:$E$609,AP$613&amp;" ضد "&amp;$A654))</f>
        <v/>
      </c>
      <c r="AQ654" s="4">
        <f>IF($A654=AQ$613,"",COUNTIF($E$4:$E$609,$A654&amp;" ضد "&amp;AQ$613)+COUNTIF($E$4:$E$609,AQ$613&amp;" ضد "&amp;$A654))</f>
        <v>2</v>
      </c>
      <c r="AR654" s="4">
        <f>IF($A654=AR$613,"",COUNTIF($E$4:$E$609,$A654&amp;" ضد "&amp;AR$613)+COUNTIF($E$4:$E$609,AR$613&amp;" ضد "&amp;$A654))</f>
        <v>1</v>
      </c>
      <c r="AS654" s="4">
        <f>IF($A654=AS$613,"",COUNTIF($E$4:$E$609,$A654&amp;" ضد "&amp;AS$613)+COUNTIF($E$4:$E$609,AS$613&amp;" ضد "&amp;$A654))</f>
        <v>1</v>
      </c>
      <c r="AT654" s="4">
        <f>IF($A654=AT$613,"",COUNTIF($E$4:$E$609,$A654&amp;" ضد "&amp;AT$613)+COUNTIF($E$4:$E$609,AT$613&amp;" ضد "&amp;$A654))</f>
        <v>1</v>
      </c>
      <c r="AU654" s="4">
        <f>IF($A654=AU$613,"",COUNTIF($E$4:$E$609,$A654&amp;" ضد "&amp;AU$613)+COUNTIF($E$4:$E$609,AU$613&amp;" ضد "&amp;$A654))</f>
        <v>1</v>
      </c>
      <c r="AV654" s="4">
        <f>IF($A654=AV$613,"",COUNTIF($E$4:$E$609,$A654&amp;" ضد "&amp;AV$613)+COUNTIF($E$4:$E$609,AV$613&amp;" ضد "&amp;$A654))</f>
        <v>1</v>
      </c>
      <c r="AW654" s="4">
        <f>IF($A654=AW$613,"",COUNTIF($E$4:$E$609,$A654&amp;" ضد "&amp;AW$613)+COUNTIF($E$4:$E$609,AW$613&amp;" ضد "&amp;$A654))</f>
        <v>1</v>
      </c>
      <c r="AX654" s="4">
        <f>IF($A654=AX$613,"",COUNTIF($E$4:$E$609,$A654&amp;" ضد "&amp;AX$613)+COUNTIF($E$4:$E$609,AX$613&amp;" ضد "&amp;$A654))</f>
        <v>1</v>
      </c>
      <c r="AY654" s="4">
        <f>IF($A654=AY$613,"",COUNTIF($E$4:$E$609,$A654&amp;" ضد "&amp;AY$613)+COUNTIF($E$4:$E$609,AY$613&amp;" ضد "&amp;$A654))</f>
        <v>1</v>
      </c>
      <c r="AZ654" s="4">
        <f>IF($A654=AZ$613,"",COUNTIF($E$4:$E$609,$A654&amp;" ضد "&amp;AZ$613)+COUNTIF($E$4:$E$609,AZ$613&amp;" ضد "&amp;$A654))</f>
        <v>1</v>
      </c>
      <c r="BA654" s="4">
        <f>IF($A654=BA$613,"",COUNTIF($E$4:$E$609,$A654&amp;" ضد "&amp;BA$613)+COUNTIF($E$4:$E$609,BA$613&amp;" ضد "&amp;$A654))</f>
        <v>0</v>
      </c>
      <c r="BB654" s="4">
        <f>IF($A654=BB$613,"",COUNTIF($E$4:$E$609,$A654&amp;" ضد "&amp;BB$613)+COUNTIF($E$4:$E$609,BB$613&amp;" ضد "&amp;$A654))</f>
        <v>0</v>
      </c>
      <c r="BC654" s="4">
        <f>IF($A654=BC$613,"",COUNTIF($E$4:$E$609,$A654&amp;" ضد "&amp;BC$613)+COUNTIF($E$4:$E$609,BC$613&amp;" ضد "&amp;$A654))</f>
        <v>0</v>
      </c>
      <c r="BD654" s="4">
        <f>IF($A654=BD$613,"",COUNTIF($E$4:$E$609,$A654&amp;" ضد "&amp;BD$613)+COUNTIF($E$4:$E$609,BD$613&amp;" ضد "&amp;$A654))</f>
        <v>0</v>
      </c>
      <c r="BE654" s="4">
        <f>IF($A654=BE$613,"",COUNTIF($E$4:$E$609,$A654&amp;" ضد "&amp;BE$613)+COUNTIF($E$4:$E$609,BE$613&amp;" ضد "&amp;$A654))</f>
        <v>0</v>
      </c>
      <c r="BF654" s="4">
        <f>IF($A654=BF$613,"",COUNTIF($E$4:$E$609,$A654&amp;" ضد "&amp;BF$613)+COUNTIF($E$4:$E$609,BF$613&amp;" ضد "&amp;$A654))</f>
        <v>0</v>
      </c>
      <c r="BG654" s="4">
        <f>IF($A654=BG$613,"",COUNTIF($E$4:$E$609,$A654&amp;" ضد "&amp;BG$613)+COUNTIF($E$4:$E$609,BG$613&amp;" ضد "&amp;$A654))</f>
        <v>0</v>
      </c>
      <c r="BH654" s="4">
        <f>IF($A654=BH$613,"",COUNTIF($E$4:$E$609,$A654&amp;" ضد "&amp;BH$613)+COUNTIF($E$4:$E$609,BH$613&amp;" ضد "&amp;$A654))</f>
        <v>0</v>
      </c>
      <c r="BI654" s="4">
        <f>IF($A654=BI$613,"",COUNTIF($E$4:$E$609,$A654&amp;" ضد "&amp;BI$613)+COUNTIF($E$4:$E$609,BI$613&amp;" ضد "&amp;$A654))</f>
        <v>0</v>
      </c>
      <c r="BJ654" s="4">
        <f>IF($A654=BJ$613,"",COUNTIF($E$4:$E$609,$A654&amp;" ضد "&amp;BJ$613)+COUNTIF($E$4:$E$609,BJ$613&amp;" ضد "&amp;$A654))</f>
        <v>0</v>
      </c>
      <c r="BK654" s="4">
        <f>IF($A654=BK$613,"",COUNTIF($E$4:$E$609,$A654&amp;" ضد "&amp;BK$613)+COUNTIF($E$4:$E$609,BK$613&amp;" ضد "&amp;$A654))</f>
        <v>0</v>
      </c>
      <c r="BL654" s="4">
        <f>IF($A654=BL$613,"",COUNTIF($E$4:$E$609,$A654&amp;" ضد "&amp;BL$613)+COUNTIF($E$4:$E$609,BL$613&amp;" ضد "&amp;$A654))</f>
        <v>0</v>
      </c>
      <c r="BM654" s="4">
        <f>IF($A654=BM$613,"",COUNTIF($E$4:$E$609,$A654&amp;" ضد "&amp;BM$613)+COUNTIF($E$4:$E$609,BM$613&amp;" ضد "&amp;$A654))</f>
        <v>0</v>
      </c>
      <c r="BN654" s="4">
        <f>IF($A654=BN$613,"",COUNTIF($E$4:$E$609,$A654&amp;" ضد "&amp;BN$613)+COUNTIF($E$4:$E$609,BN$613&amp;" ضد "&amp;$A654))</f>
        <v>0</v>
      </c>
      <c r="BO654" s="4">
        <f>IF($A654=BO$613,"",COUNTIF($E$4:$E$609,$A654&amp;" ضد "&amp;BO$613)+COUNTIF($E$4:$E$609,BO$613&amp;" ضد "&amp;$A654))</f>
        <v>0</v>
      </c>
      <c r="BP654" s="4">
        <f>IF($A654=BP$613,"",COUNTIF($E$4:$E$609,$A654&amp;" ضد "&amp;BP$613)+COUNTIF($E$4:$E$609,BP$613&amp;" ضد "&amp;$A654))</f>
        <v>0</v>
      </c>
    </row>
    <row r="655" spans="1:68" ht="14.5">
      <c r="A655" s="14">
        <v>42</v>
      </c>
      <c r="B655" s="4">
        <f>IF($A655=B$613,"",COUNTIF($E$4:$E$609,$A655&amp;" ضد "&amp;B$613)+COUNTIF($E$4:$E$609,B$613&amp;" ضد "&amp;$A655))</f>
        <v>0</v>
      </c>
      <c r="C655" s="4">
        <f>IF($A655=C$613,"",COUNTIF($E$4:$E$609,$A655&amp;" ضد "&amp;C$613)+COUNTIF($E$4:$E$609,C$613&amp;" ضد "&amp;$A655))</f>
        <v>0</v>
      </c>
      <c r="D655" s="4">
        <f>IF($A655=D$613,"",COUNTIF($E$4:$E$609,$A655&amp;" ضد "&amp;D$613)+COUNTIF($E$4:$E$609,D$613&amp;" ضد "&amp;$A655))</f>
        <v>0</v>
      </c>
      <c r="E655" s="4">
        <f>IF($A655=E$613,"",COUNTIF($E$4:$E$609,$A655&amp;" ضد "&amp;E$613)+COUNTIF($E$4:$E$609,E$613&amp;" ضد "&amp;$A655))</f>
        <v>0</v>
      </c>
      <c r="F655" s="4">
        <f>IF($A655=F$613,"",COUNTIF($E$4:$E$609,$A655&amp;" ضد "&amp;F$613)+COUNTIF($E$4:$E$609,F$613&amp;" ضد "&amp;$A655))</f>
        <v>0</v>
      </c>
      <c r="G655" s="4">
        <f>IF($A655=G$613,"",COUNTIF($E$4:$E$609,$A655&amp;" ضد "&amp;G$613)+COUNTIF($E$4:$E$609,G$613&amp;" ضد "&amp;$A655))</f>
        <v>0</v>
      </c>
      <c r="H655" s="4">
        <f>IF($A655=H$613,"",COUNTIF($E$4:$E$609,$A655&amp;" ضد "&amp;H$613)+COUNTIF($E$4:$E$609,H$613&amp;" ضد "&amp;$A655))</f>
        <v>0</v>
      </c>
      <c r="I655" s="4">
        <f>IF($A655=I$613,"",COUNTIF($E$4:$E$609,$A655&amp;" ضد "&amp;I$613)+COUNTIF($E$4:$E$609,I$613&amp;" ضد "&amp;$A655))</f>
        <v>0</v>
      </c>
      <c r="J655" s="4">
        <f>IF($A655=J$613,"",COUNTIF($E$4:$E$609,$A655&amp;" ضد "&amp;J$613)+COUNTIF($E$4:$E$609,J$613&amp;" ضد "&amp;$A655))</f>
        <v>0</v>
      </c>
      <c r="K655" s="4">
        <f>IF($A655=K$613,"",COUNTIF($E$4:$E$609,$A655&amp;" ضد "&amp;K$613)+COUNTIF($E$4:$E$609,K$613&amp;" ضد "&amp;$A655))</f>
        <v>0</v>
      </c>
      <c r="L655" s="4">
        <f>IF($A655=L$613,"",COUNTIF($E$4:$E$609,$A655&amp;" ضد "&amp;L$613)+COUNTIF($E$4:$E$609,L$613&amp;" ضد "&amp;$A655))</f>
        <v>0</v>
      </c>
      <c r="M655" s="4">
        <f>IF($A655=M$613,"",COUNTIF($E$4:$E$609,$A655&amp;" ضد "&amp;M$613)+COUNTIF($E$4:$E$609,M$613&amp;" ضد "&amp;$A655))</f>
        <v>0</v>
      </c>
      <c r="N655" s="4">
        <f>IF($A655=N$613,"",COUNTIF($E$4:$E$609,$A655&amp;" ضد "&amp;N$613)+COUNTIF($E$4:$E$609,N$613&amp;" ضد "&amp;$A655))</f>
        <v>0</v>
      </c>
      <c r="O655" s="4">
        <f>IF($A655=O$613,"",COUNTIF($E$4:$E$609,$A655&amp;" ضد "&amp;O$613)+COUNTIF($E$4:$E$609,O$613&amp;" ضد "&amp;$A655))</f>
        <v>0</v>
      </c>
      <c r="P655" s="4">
        <f>IF($A655=P$613,"",COUNTIF($E$4:$E$609,$A655&amp;" ضد "&amp;P$613)+COUNTIF($E$4:$E$609,P$613&amp;" ضد "&amp;$A655))</f>
        <v>0</v>
      </c>
      <c r="Q655" s="4">
        <f>IF($A655=Q$613,"",COUNTIF($E$4:$E$609,$A655&amp;" ضد "&amp;Q$613)+COUNTIF($E$4:$E$609,Q$613&amp;" ضد "&amp;$A655))</f>
        <v>0</v>
      </c>
      <c r="R655" s="4">
        <f>IF($A655=R$613,"",COUNTIF($E$4:$E$609,$A655&amp;" ضد "&amp;R$613)+COUNTIF($E$4:$E$609,R$613&amp;" ضد "&amp;$A655))</f>
        <v>0</v>
      </c>
      <c r="S655" s="4">
        <f>IF($A655=S$613,"",COUNTIF($E$4:$E$609,$A655&amp;" ضد "&amp;S$613)+COUNTIF($E$4:$E$609,S$613&amp;" ضد "&amp;$A655))</f>
        <v>0</v>
      </c>
      <c r="T655" s="4">
        <f>IF($A655=T$613,"",COUNTIF($E$4:$E$609,$A655&amp;" ضد "&amp;T$613)+COUNTIF($E$4:$E$609,T$613&amp;" ضد "&amp;$A655))</f>
        <v>0</v>
      </c>
      <c r="U655" s="4">
        <f>IF($A655=U$613,"",COUNTIF($E$4:$E$609,$A655&amp;" ضد "&amp;U$613)+COUNTIF($E$4:$E$609,U$613&amp;" ضد "&amp;$A655))</f>
        <v>0</v>
      </c>
      <c r="V655" s="4">
        <f>IF($A655=V$613,"",COUNTIF($E$4:$E$609,$A655&amp;" ضد "&amp;V$613)+COUNTIF($E$4:$E$609,V$613&amp;" ضد "&amp;$A655))</f>
        <v>0</v>
      </c>
      <c r="W655" s="4">
        <f>IF($A655=W$613,"",COUNTIF($E$4:$E$609,$A655&amp;" ضد "&amp;W$613)+COUNTIF($E$4:$E$609,W$613&amp;" ضد "&amp;$A655))</f>
        <v>0</v>
      </c>
      <c r="X655" s="4">
        <f>IF($A655=X$613,"",COUNTIF($E$4:$E$609,$A655&amp;" ضد "&amp;X$613)+COUNTIF($E$4:$E$609,X$613&amp;" ضد "&amp;$A655))</f>
        <v>0</v>
      </c>
      <c r="Y655" s="4">
        <f>IF($A655=Y$613,"",COUNTIF($E$4:$E$609,$A655&amp;" ضد "&amp;Y$613)+COUNTIF($E$4:$E$609,Y$613&amp;" ضد "&amp;$A655))</f>
        <v>0</v>
      </c>
      <c r="Z655" s="4">
        <f>IF($A655=Z$613,"",COUNTIF($E$4:$E$609,$A655&amp;" ضد "&amp;Z$613)+COUNTIF($E$4:$E$609,Z$613&amp;" ضد "&amp;$A655))</f>
        <v>0</v>
      </c>
      <c r="AA655" s="4">
        <f>IF($A655=AA$613,"",COUNTIF($E$4:$E$609,$A655&amp;" ضد "&amp;AA$613)+COUNTIF($E$4:$E$609,AA$613&amp;" ضد "&amp;$A655))</f>
        <v>0</v>
      </c>
      <c r="AB655" s="4">
        <f>IF($A655=AB$613,"",COUNTIF($E$4:$E$609,$A655&amp;" ضد "&amp;AB$613)+COUNTIF($E$4:$E$609,AB$613&amp;" ضد "&amp;$A655))</f>
        <v>0</v>
      </c>
      <c r="AC655" s="4">
        <f>IF($A655=AC$613,"",COUNTIF($E$4:$E$609,$A655&amp;" ضد "&amp;AC$613)+COUNTIF($E$4:$E$609,AC$613&amp;" ضد "&amp;$A655))</f>
        <v>0</v>
      </c>
      <c r="AD655" s="4">
        <f>IF($A655=AD$613,"",COUNTIF($E$4:$E$609,$A655&amp;" ضد "&amp;AD$613)+COUNTIF($E$4:$E$609,AD$613&amp;" ضد "&amp;$A655))</f>
        <v>0</v>
      </c>
      <c r="AE655" s="4">
        <f>IF($A655=AE$613,"",COUNTIF($E$4:$E$609,$A655&amp;" ضد "&amp;AE$613)+COUNTIF($E$4:$E$609,AE$613&amp;" ضد "&amp;$A655))</f>
        <v>0</v>
      </c>
      <c r="AF655" s="4">
        <f>IF($A655=AF$613,"",COUNTIF($E$4:$E$609,$A655&amp;" ضد "&amp;AF$613)+COUNTIF($E$4:$E$609,AF$613&amp;" ضد "&amp;$A655))</f>
        <v>0</v>
      </c>
      <c r="AG655" s="4">
        <f>IF($A655=AG$613,"",COUNTIF($E$4:$E$609,$A655&amp;" ضد "&amp;AG$613)+COUNTIF($E$4:$E$609,AG$613&amp;" ضد "&amp;$A655))</f>
        <v>0</v>
      </c>
      <c r="AH655" s="4">
        <f>IF($A655=AH$613,"",COUNTIF($E$4:$E$609,$A655&amp;" ضد "&amp;AH$613)+COUNTIF($E$4:$E$609,AH$613&amp;" ضد "&amp;$A655))</f>
        <v>0</v>
      </c>
      <c r="AI655" s="4">
        <f>IF($A655=AI$613,"",COUNTIF($E$4:$E$609,$A655&amp;" ضد "&amp;AI$613)+COUNTIF($E$4:$E$609,AI$613&amp;" ضد "&amp;$A655))</f>
        <v>0</v>
      </c>
      <c r="AJ655" s="4">
        <f>IF($A655=AJ$613,"",COUNTIF($E$4:$E$609,$A655&amp;" ضد "&amp;AJ$613)+COUNTIF($E$4:$E$609,AJ$613&amp;" ضد "&amp;$A655))</f>
        <v>1</v>
      </c>
      <c r="AK655" s="4">
        <f>IF($A655=AK$613,"",COUNTIF($E$4:$E$609,$A655&amp;" ضد "&amp;AK$613)+COUNTIF($E$4:$E$609,AK$613&amp;" ضد "&amp;$A655))</f>
        <v>1</v>
      </c>
      <c r="AL655" s="4">
        <f>IF($A655=AL$613,"",COUNTIF($E$4:$E$609,$A655&amp;" ضد "&amp;AL$613)+COUNTIF($E$4:$E$609,AL$613&amp;" ضد "&amp;$A655))</f>
        <v>1</v>
      </c>
      <c r="AM655" s="4">
        <f>IF($A655=AM$613,"",COUNTIF($E$4:$E$609,$A655&amp;" ضد "&amp;AM$613)+COUNTIF($E$4:$E$609,AM$613&amp;" ضد "&amp;$A655))</f>
        <v>1</v>
      </c>
      <c r="AN655" s="4">
        <f>IF($A655=AN$613,"",COUNTIF($E$4:$E$609,$A655&amp;" ضد "&amp;AN$613)+COUNTIF($E$4:$E$609,AN$613&amp;" ضد "&amp;$A655))</f>
        <v>1</v>
      </c>
      <c r="AO655" s="4">
        <f>IF($A655=AO$613,"",COUNTIF($E$4:$E$609,$A655&amp;" ضد "&amp;AO$613)+COUNTIF($E$4:$E$609,AO$613&amp;" ضد "&amp;$A655))</f>
        <v>1</v>
      </c>
      <c r="AP655" s="4">
        <f>IF($A655=AP$613,"",COUNTIF($E$4:$E$609,$A655&amp;" ضد "&amp;AP$613)+COUNTIF($E$4:$E$609,AP$613&amp;" ضد "&amp;$A655))</f>
        <v>2</v>
      </c>
      <c r="AQ655" s="4" t="str">
        <f>IF($A655=AQ$613,"",COUNTIF($E$4:$E$609,$A655&amp;" ضد "&amp;AQ$613)+COUNTIF($E$4:$E$609,AQ$613&amp;" ضد "&amp;$A655))</f>
        <v/>
      </c>
      <c r="AR655" s="4">
        <f>IF($A655=AR$613,"",COUNTIF($E$4:$E$609,$A655&amp;" ضد "&amp;AR$613)+COUNTIF($E$4:$E$609,AR$613&amp;" ضد "&amp;$A655))</f>
        <v>2</v>
      </c>
      <c r="AS655" s="4">
        <f>IF($A655=AS$613,"",COUNTIF($E$4:$E$609,$A655&amp;" ضد "&amp;AS$613)+COUNTIF($E$4:$E$609,AS$613&amp;" ضد "&amp;$A655))</f>
        <v>1</v>
      </c>
      <c r="AT655" s="4">
        <f>IF($A655=AT$613,"",COUNTIF($E$4:$E$609,$A655&amp;" ضد "&amp;AT$613)+COUNTIF($E$4:$E$609,AT$613&amp;" ضد "&amp;$A655))</f>
        <v>1</v>
      </c>
      <c r="AU655" s="4">
        <f>IF($A655=AU$613,"",COUNTIF($E$4:$E$609,$A655&amp;" ضد "&amp;AU$613)+COUNTIF($E$4:$E$609,AU$613&amp;" ضد "&amp;$A655))</f>
        <v>1</v>
      </c>
      <c r="AV655" s="4">
        <f>IF($A655=AV$613,"",COUNTIF($E$4:$E$609,$A655&amp;" ضد "&amp;AV$613)+COUNTIF($E$4:$E$609,AV$613&amp;" ضد "&amp;$A655))</f>
        <v>1</v>
      </c>
      <c r="AW655" s="4">
        <f>IF($A655=AW$613,"",COUNTIF($E$4:$E$609,$A655&amp;" ضد "&amp;AW$613)+COUNTIF($E$4:$E$609,AW$613&amp;" ضد "&amp;$A655))</f>
        <v>1</v>
      </c>
      <c r="AX655" s="4">
        <f>IF($A655=AX$613,"",COUNTIF($E$4:$E$609,$A655&amp;" ضد "&amp;AX$613)+COUNTIF($E$4:$E$609,AX$613&amp;" ضد "&amp;$A655))</f>
        <v>1</v>
      </c>
      <c r="AY655" s="4">
        <f>IF($A655=AY$613,"",COUNTIF($E$4:$E$609,$A655&amp;" ضد "&amp;AY$613)+COUNTIF($E$4:$E$609,AY$613&amp;" ضد "&amp;$A655))</f>
        <v>1</v>
      </c>
      <c r="AZ655" s="4">
        <f>IF($A655=AZ$613,"",COUNTIF($E$4:$E$609,$A655&amp;" ضد "&amp;AZ$613)+COUNTIF($E$4:$E$609,AZ$613&amp;" ضد "&amp;$A655))</f>
        <v>1</v>
      </c>
      <c r="BA655" s="4">
        <f>IF($A655=BA$613,"",COUNTIF($E$4:$E$609,$A655&amp;" ضد "&amp;BA$613)+COUNTIF($E$4:$E$609,BA$613&amp;" ضد "&amp;$A655))</f>
        <v>0</v>
      </c>
      <c r="BB655" s="4">
        <f>IF($A655=BB$613,"",COUNTIF($E$4:$E$609,$A655&amp;" ضد "&amp;BB$613)+COUNTIF($E$4:$E$609,BB$613&amp;" ضد "&amp;$A655))</f>
        <v>0</v>
      </c>
      <c r="BC655" s="4">
        <f>IF($A655=BC$613,"",COUNTIF($E$4:$E$609,$A655&amp;" ضد "&amp;BC$613)+COUNTIF($E$4:$E$609,BC$613&amp;" ضد "&amp;$A655))</f>
        <v>0</v>
      </c>
      <c r="BD655" s="4">
        <f>IF($A655=BD$613,"",COUNTIF($E$4:$E$609,$A655&amp;" ضد "&amp;BD$613)+COUNTIF($E$4:$E$609,BD$613&amp;" ضد "&amp;$A655))</f>
        <v>0</v>
      </c>
      <c r="BE655" s="4">
        <f>IF($A655=BE$613,"",COUNTIF($E$4:$E$609,$A655&amp;" ضد "&amp;BE$613)+COUNTIF($E$4:$E$609,BE$613&amp;" ضد "&amp;$A655))</f>
        <v>0</v>
      </c>
      <c r="BF655" s="4">
        <f>IF($A655=BF$613,"",COUNTIF($E$4:$E$609,$A655&amp;" ضد "&amp;BF$613)+COUNTIF($E$4:$E$609,BF$613&amp;" ضد "&amp;$A655))</f>
        <v>0</v>
      </c>
      <c r="BG655" s="4">
        <f>IF($A655=BG$613,"",COUNTIF($E$4:$E$609,$A655&amp;" ضد "&amp;BG$613)+COUNTIF($E$4:$E$609,BG$613&amp;" ضد "&amp;$A655))</f>
        <v>0</v>
      </c>
      <c r="BH655" s="4">
        <f>IF($A655=BH$613,"",COUNTIF($E$4:$E$609,$A655&amp;" ضد "&amp;BH$613)+COUNTIF($E$4:$E$609,BH$613&amp;" ضد "&amp;$A655))</f>
        <v>0</v>
      </c>
      <c r="BI655" s="4">
        <f>IF($A655=BI$613,"",COUNTIF($E$4:$E$609,$A655&amp;" ضد "&amp;BI$613)+COUNTIF($E$4:$E$609,BI$613&amp;" ضد "&amp;$A655))</f>
        <v>0</v>
      </c>
      <c r="BJ655" s="4">
        <f>IF($A655=BJ$613,"",COUNTIF($E$4:$E$609,$A655&amp;" ضد "&amp;BJ$613)+COUNTIF($E$4:$E$609,BJ$613&amp;" ضد "&amp;$A655))</f>
        <v>0</v>
      </c>
      <c r="BK655" s="4">
        <f>IF($A655=BK$613,"",COUNTIF($E$4:$E$609,$A655&amp;" ضد "&amp;BK$613)+COUNTIF($E$4:$E$609,BK$613&amp;" ضد "&amp;$A655))</f>
        <v>0</v>
      </c>
      <c r="BL655" s="4">
        <f>IF($A655=BL$613,"",COUNTIF($E$4:$E$609,$A655&amp;" ضد "&amp;BL$613)+COUNTIF($E$4:$E$609,BL$613&amp;" ضد "&amp;$A655))</f>
        <v>0</v>
      </c>
      <c r="BM655" s="4">
        <f>IF($A655=BM$613,"",COUNTIF($E$4:$E$609,$A655&amp;" ضد "&amp;BM$613)+COUNTIF($E$4:$E$609,BM$613&amp;" ضد "&amp;$A655))</f>
        <v>0</v>
      </c>
      <c r="BN655" s="4">
        <f>IF($A655=BN$613,"",COUNTIF($E$4:$E$609,$A655&amp;" ضد "&amp;BN$613)+COUNTIF($E$4:$E$609,BN$613&amp;" ضد "&amp;$A655))</f>
        <v>0</v>
      </c>
      <c r="BO655" s="4">
        <f>IF($A655=BO$613,"",COUNTIF($E$4:$E$609,$A655&amp;" ضد "&amp;BO$613)+COUNTIF($E$4:$E$609,BO$613&amp;" ضد "&amp;$A655))</f>
        <v>0</v>
      </c>
      <c r="BP655" s="4">
        <f>IF($A655=BP$613,"",COUNTIF($E$4:$E$609,$A655&amp;" ضد "&amp;BP$613)+COUNTIF($E$4:$E$609,BP$613&amp;" ضد "&amp;$A655))</f>
        <v>0</v>
      </c>
    </row>
    <row r="656" spans="1:68" ht="14.5">
      <c r="A656" s="14">
        <v>43</v>
      </c>
      <c r="B656" s="4">
        <f>IF($A656=B$613,"",COUNTIF($E$4:$E$609,$A656&amp;" ضد "&amp;B$613)+COUNTIF($E$4:$E$609,B$613&amp;" ضد "&amp;$A656))</f>
        <v>0</v>
      </c>
      <c r="C656" s="4">
        <f>IF($A656=C$613,"",COUNTIF($E$4:$E$609,$A656&amp;" ضد "&amp;C$613)+COUNTIF($E$4:$E$609,C$613&amp;" ضد "&amp;$A656))</f>
        <v>0</v>
      </c>
      <c r="D656" s="4">
        <f>IF($A656=D$613,"",COUNTIF($E$4:$E$609,$A656&amp;" ضد "&amp;D$613)+COUNTIF($E$4:$E$609,D$613&amp;" ضد "&amp;$A656))</f>
        <v>0</v>
      </c>
      <c r="E656" s="4">
        <f>IF($A656=E$613,"",COUNTIF($E$4:$E$609,$A656&amp;" ضد "&amp;E$613)+COUNTIF($E$4:$E$609,E$613&amp;" ضد "&amp;$A656))</f>
        <v>0</v>
      </c>
      <c r="F656" s="4">
        <f>IF($A656=F$613,"",COUNTIF($E$4:$E$609,$A656&amp;" ضد "&amp;F$613)+COUNTIF($E$4:$E$609,F$613&amp;" ضد "&amp;$A656))</f>
        <v>0</v>
      </c>
      <c r="G656" s="4">
        <f>IF($A656=G$613,"",COUNTIF($E$4:$E$609,$A656&amp;" ضد "&amp;G$613)+COUNTIF($E$4:$E$609,G$613&amp;" ضد "&amp;$A656))</f>
        <v>0</v>
      </c>
      <c r="H656" s="4">
        <f>IF($A656=H$613,"",COUNTIF($E$4:$E$609,$A656&amp;" ضد "&amp;H$613)+COUNTIF($E$4:$E$609,H$613&amp;" ضد "&amp;$A656))</f>
        <v>0</v>
      </c>
      <c r="I656" s="4">
        <f>IF($A656=I$613,"",COUNTIF($E$4:$E$609,$A656&amp;" ضد "&amp;I$613)+COUNTIF($E$4:$E$609,I$613&amp;" ضد "&amp;$A656))</f>
        <v>0</v>
      </c>
      <c r="J656" s="4">
        <f>IF($A656=J$613,"",COUNTIF($E$4:$E$609,$A656&amp;" ضد "&amp;J$613)+COUNTIF($E$4:$E$609,J$613&amp;" ضد "&amp;$A656))</f>
        <v>0</v>
      </c>
      <c r="K656" s="4">
        <f>IF($A656=K$613,"",COUNTIF($E$4:$E$609,$A656&amp;" ضد "&amp;K$613)+COUNTIF($E$4:$E$609,K$613&amp;" ضد "&amp;$A656))</f>
        <v>0</v>
      </c>
      <c r="L656" s="4">
        <f>IF($A656=L$613,"",COUNTIF($E$4:$E$609,$A656&amp;" ضد "&amp;L$613)+COUNTIF($E$4:$E$609,L$613&amp;" ضد "&amp;$A656))</f>
        <v>0</v>
      </c>
      <c r="M656" s="4">
        <f>IF($A656=M$613,"",COUNTIF($E$4:$E$609,$A656&amp;" ضد "&amp;M$613)+COUNTIF($E$4:$E$609,M$613&amp;" ضد "&amp;$A656))</f>
        <v>0</v>
      </c>
      <c r="N656" s="4">
        <f>IF($A656=N$613,"",COUNTIF($E$4:$E$609,$A656&amp;" ضد "&amp;N$613)+COUNTIF($E$4:$E$609,N$613&amp;" ضد "&amp;$A656))</f>
        <v>0</v>
      </c>
      <c r="O656" s="4">
        <f>IF($A656=O$613,"",COUNTIF($E$4:$E$609,$A656&amp;" ضد "&amp;O$613)+COUNTIF($E$4:$E$609,O$613&amp;" ضد "&amp;$A656))</f>
        <v>0</v>
      </c>
      <c r="P656" s="4">
        <f>IF($A656=P$613,"",COUNTIF($E$4:$E$609,$A656&amp;" ضد "&amp;P$613)+COUNTIF($E$4:$E$609,P$613&amp;" ضد "&amp;$A656))</f>
        <v>0</v>
      </c>
      <c r="Q656" s="4">
        <f>IF($A656=Q$613,"",COUNTIF($E$4:$E$609,$A656&amp;" ضد "&amp;Q$613)+COUNTIF($E$4:$E$609,Q$613&amp;" ضد "&amp;$A656))</f>
        <v>0</v>
      </c>
      <c r="R656" s="4">
        <f>IF($A656=R$613,"",COUNTIF($E$4:$E$609,$A656&amp;" ضد "&amp;R$613)+COUNTIF($E$4:$E$609,R$613&amp;" ضد "&amp;$A656))</f>
        <v>0</v>
      </c>
      <c r="S656" s="4">
        <f>IF($A656=S$613,"",COUNTIF($E$4:$E$609,$A656&amp;" ضد "&amp;S$613)+COUNTIF($E$4:$E$609,S$613&amp;" ضد "&amp;$A656))</f>
        <v>0</v>
      </c>
      <c r="T656" s="4">
        <f>IF($A656=T$613,"",COUNTIF($E$4:$E$609,$A656&amp;" ضد "&amp;T$613)+COUNTIF($E$4:$E$609,T$613&amp;" ضد "&amp;$A656))</f>
        <v>0</v>
      </c>
      <c r="U656" s="4">
        <f>IF($A656=U$613,"",COUNTIF($E$4:$E$609,$A656&amp;" ضد "&amp;U$613)+COUNTIF($E$4:$E$609,U$613&amp;" ضد "&amp;$A656))</f>
        <v>0</v>
      </c>
      <c r="V656" s="4">
        <f>IF($A656=V$613,"",COUNTIF($E$4:$E$609,$A656&amp;" ضد "&amp;V$613)+COUNTIF($E$4:$E$609,V$613&amp;" ضد "&amp;$A656))</f>
        <v>0</v>
      </c>
      <c r="W656" s="4">
        <f>IF($A656=W$613,"",COUNTIF($E$4:$E$609,$A656&amp;" ضد "&amp;W$613)+COUNTIF($E$4:$E$609,W$613&amp;" ضد "&amp;$A656))</f>
        <v>0</v>
      </c>
      <c r="X656" s="4">
        <f>IF($A656=X$613,"",COUNTIF($E$4:$E$609,$A656&amp;" ضد "&amp;X$613)+COUNTIF($E$4:$E$609,X$613&amp;" ضد "&amp;$A656))</f>
        <v>0</v>
      </c>
      <c r="Y656" s="4">
        <f>IF($A656=Y$613,"",COUNTIF($E$4:$E$609,$A656&amp;" ضد "&amp;Y$613)+COUNTIF($E$4:$E$609,Y$613&amp;" ضد "&amp;$A656))</f>
        <v>0</v>
      </c>
      <c r="Z656" s="4">
        <f>IF($A656=Z$613,"",COUNTIF($E$4:$E$609,$A656&amp;" ضد "&amp;Z$613)+COUNTIF($E$4:$E$609,Z$613&amp;" ضد "&amp;$A656))</f>
        <v>0</v>
      </c>
      <c r="AA656" s="4">
        <f>IF($A656=AA$613,"",COUNTIF($E$4:$E$609,$A656&amp;" ضد "&amp;AA$613)+COUNTIF($E$4:$E$609,AA$613&amp;" ضد "&amp;$A656))</f>
        <v>0</v>
      </c>
      <c r="AB656" s="4">
        <f>IF($A656=AB$613,"",COUNTIF($E$4:$E$609,$A656&amp;" ضد "&amp;AB$613)+COUNTIF($E$4:$E$609,AB$613&amp;" ضد "&amp;$A656))</f>
        <v>0</v>
      </c>
      <c r="AC656" s="4">
        <f>IF($A656=AC$613,"",COUNTIF($E$4:$E$609,$A656&amp;" ضد "&amp;AC$613)+COUNTIF($E$4:$E$609,AC$613&amp;" ضد "&amp;$A656))</f>
        <v>0</v>
      </c>
      <c r="AD656" s="4">
        <f>IF($A656=AD$613,"",COUNTIF($E$4:$E$609,$A656&amp;" ضد "&amp;AD$613)+COUNTIF($E$4:$E$609,AD$613&amp;" ضد "&amp;$A656))</f>
        <v>0</v>
      </c>
      <c r="AE656" s="4">
        <f>IF($A656=AE$613,"",COUNTIF($E$4:$E$609,$A656&amp;" ضد "&amp;AE$613)+COUNTIF($E$4:$E$609,AE$613&amp;" ضد "&amp;$A656))</f>
        <v>0</v>
      </c>
      <c r="AF656" s="4">
        <f>IF($A656=AF$613,"",COUNTIF($E$4:$E$609,$A656&amp;" ضد "&amp;AF$613)+COUNTIF($E$4:$E$609,AF$613&amp;" ضد "&amp;$A656))</f>
        <v>0</v>
      </c>
      <c r="AG656" s="4">
        <f>IF($A656=AG$613,"",COUNTIF($E$4:$E$609,$A656&amp;" ضد "&amp;AG$613)+COUNTIF($E$4:$E$609,AG$613&amp;" ضد "&amp;$A656))</f>
        <v>0</v>
      </c>
      <c r="AH656" s="4">
        <f>IF($A656=AH$613,"",COUNTIF($E$4:$E$609,$A656&amp;" ضد "&amp;AH$613)+COUNTIF($E$4:$E$609,AH$613&amp;" ضد "&amp;$A656))</f>
        <v>0</v>
      </c>
      <c r="AI656" s="4">
        <f>IF($A656=AI$613,"",COUNTIF($E$4:$E$609,$A656&amp;" ضد "&amp;AI$613)+COUNTIF($E$4:$E$609,AI$613&amp;" ضد "&amp;$A656))</f>
        <v>0</v>
      </c>
      <c r="AJ656" s="4">
        <f>IF($A656=AJ$613,"",COUNTIF($E$4:$E$609,$A656&amp;" ضد "&amp;AJ$613)+COUNTIF($E$4:$E$609,AJ$613&amp;" ضد "&amp;$A656))</f>
        <v>1</v>
      </c>
      <c r="AK656" s="4">
        <f>IF($A656=AK$613,"",COUNTIF($E$4:$E$609,$A656&amp;" ضد "&amp;AK$613)+COUNTIF($E$4:$E$609,AK$613&amp;" ضد "&amp;$A656))</f>
        <v>1</v>
      </c>
      <c r="AL656" s="4">
        <f>IF($A656=AL$613,"",COUNTIF($E$4:$E$609,$A656&amp;" ضد "&amp;AL$613)+COUNTIF($E$4:$E$609,AL$613&amp;" ضد "&amp;$A656))</f>
        <v>1</v>
      </c>
      <c r="AM656" s="4">
        <f>IF($A656=AM$613,"",COUNTIF($E$4:$E$609,$A656&amp;" ضد "&amp;AM$613)+COUNTIF($E$4:$E$609,AM$613&amp;" ضد "&amp;$A656))</f>
        <v>1</v>
      </c>
      <c r="AN656" s="4">
        <f>IF($A656=AN$613,"",COUNTIF($E$4:$E$609,$A656&amp;" ضد "&amp;AN$613)+COUNTIF($E$4:$E$609,AN$613&amp;" ضد "&amp;$A656))</f>
        <v>1</v>
      </c>
      <c r="AO656" s="4">
        <f>IF($A656=AO$613,"",COUNTIF($E$4:$E$609,$A656&amp;" ضد "&amp;AO$613)+COUNTIF($E$4:$E$609,AO$613&amp;" ضد "&amp;$A656))</f>
        <v>1</v>
      </c>
      <c r="AP656" s="4">
        <f>IF($A656=AP$613,"",COUNTIF($E$4:$E$609,$A656&amp;" ضد "&amp;AP$613)+COUNTIF($E$4:$E$609,AP$613&amp;" ضد "&amp;$A656))</f>
        <v>1</v>
      </c>
      <c r="AQ656" s="4">
        <f>IF($A656=AQ$613,"",COUNTIF($E$4:$E$609,$A656&amp;" ضد "&amp;AQ$613)+COUNTIF($E$4:$E$609,AQ$613&amp;" ضد "&amp;$A656))</f>
        <v>2</v>
      </c>
      <c r="AR656" s="4" t="str">
        <f>IF($A656=AR$613,"",COUNTIF($E$4:$E$609,$A656&amp;" ضد "&amp;AR$613)+COUNTIF($E$4:$E$609,AR$613&amp;" ضد "&amp;$A656))</f>
        <v/>
      </c>
      <c r="AS656" s="4">
        <f>IF($A656=AS$613,"",COUNTIF($E$4:$E$609,$A656&amp;" ضد "&amp;AS$613)+COUNTIF($E$4:$E$609,AS$613&amp;" ضد "&amp;$A656))</f>
        <v>2</v>
      </c>
      <c r="AT656" s="4">
        <f>IF($A656=AT$613,"",COUNTIF($E$4:$E$609,$A656&amp;" ضد "&amp;AT$613)+COUNTIF($E$4:$E$609,AT$613&amp;" ضد "&amp;$A656))</f>
        <v>1</v>
      </c>
      <c r="AU656" s="4">
        <f>IF($A656=AU$613,"",COUNTIF($E$4:$E$609,$A656&amp;" ضد "&amp;AU$613)+COUNTIF($E$4:$E$609,AU$613&amp;" ضد "&amp;$A656))</f>
        <v>1</v>
      </c>
      <c r="AV656" s="4">
        <f>IF($A656=AV$613,"",COUNTIF($E$4:$E$609,$A656&amp;" ضد "&amp;AV$613)+COUNTIF($E$4:$E$609,AV$613&amp;" ضد "&amp;$A656))</f>
        <v>1</v>
      </c>
      <c r="AW656" s="4">
        <f>IF($A656=AW$613,"",COUNTIF($E$4:$E$609,$A656&amp;" ضد "&amp;AW$613)+COUNTIF($E$4:$E$609,AW$613&amp;" ضد "&amp;$A656))</f>
        <v>1</v>
      </c>
      <c r="AX656" s="4">
        <f>IF($A656=AX$613,"",COUNTIF($E$4:$E$609,$A656&amp;" ضد "&amp;AX$613)+COUNTIF($E$4:$E$609,AX$613&amp;" ضد "&amp;$A656))</f>
        <v>1</v>
      </c>
      <c r="AY656" s="4">
        <f>IF($A656=AY$613,"",COUNTIF($E$4:$E$609,$A656&amp;" ضد "&amp;AY$613)+COUNTIF($E$4:$E$609,AY$613&amp;" ضد "&amp;$A656))</f>
        <v>1</v>
      </c>
      <c r="AZ656" s="4">
        <f>IF($A656=AZ$613,"",COUNTIF($E$4:$E$609,$A656&amp;" ضد "&amp;AZ$613)+COUNTIF($E$4:$E$609,AZ$613&amp;" ضد "&amp;$A656))</f>
        <v>1</v>
      </c>
      <c r="BA656" s="4">
        <f>IF($A656=BA$613,"",COUNTIF($E$4:$E$609,$A656&amp;" ضد "&amp;BA$613)+COUNTIF($E$4:$E$609,BA$613&amp;" ضد "&amp;$A656))</f>
        <v>0</v>
      </c>
      <c r="BB656" s="4">
        <f>IF($A656=BB$613,"",COUNTIF($E$4:$E$609,$A656&amp;" ضد "&amp;BB$613)+COUNTIF($E$4:$E$609,BB$613&amp;" ضد "&amp;$A656))</f>
        <v>0</v>
      </c>
      <c r="BC656" s="4">
        <f>IF($A656=BC$613,"",COUNTIF($E$4:$E$609,$A656&amp;" ضد "&amp;BC$613)+COUNTIF($E$4:$E$609,BC$613&amp;" ضد "&amp;$A656))</f>
        <v>0</v>
      </c>
      <c r="BD656" s="4">
        <f>IF($A656=BD$613,"",COUNTIF($E$4:$E$609,$A656&amp;" ضد "&amp;BD$613)+COUNTIF($E$4:$E$609,BD$613&amp;" ضد "&amp;$A656))</f>
        <v>0</v>
      </c>
      <c r="BE656" s="4">
        <f>IF($A656=BE$613,"",COUNTIF($E$4:$E$609,$A656&amp;" ضد "&amp;BE$613)+COUNTIF($E$4:$E$609,BE$613&amp;" ضد "&amp;$A656))</f>
        <v>0</v>
      </c>
      <c r="BF656" s="4">
        <f>IF($A656=BF$613,"",COUNTIF($E$4:$E$609,$A656&amp;" ضد "&amp;BF$613)+COUNTIF($E$4:$E$609,BF$613&amp;" ضد "&amp;$A656))</f>
        <v>0</v>
      </c>
      <c r="BG656" s="4">
        <f>IF($A656=BG$613,"",COUNTIF($E$4:$E$609,$A656&amp;" ضد "&amp;BG$613)+COUNTIF($E$4:$E$609,BG$613&amp;" ضد "&amp;$A656))</f>
        <v>0</v>
      </c>
      <c r="BH656" s="4">
        <f>IF($A656=BH$613,"",COUNTIF($E$4:$E$609,$A656&amp;" ضد "&amp;BH$613)+COUNTIF($E$4:$E$609,BH$613&amp;" ضد "&amp;$A656))</f>
        <v>0</v>
      </c>
      <c r="BI656" s="4">
        <f>IF($A656=BI$613,"",COUNTIF($E$4:$E$609,$A656&amp;" ضد "&amp;BI$613)+COUNTIF($E$4:$E$609,BI$613&amp;" ضد "&amp;$A656))</f>
        <v>0</v>
      </c>
      <c r="BJ656" s="4">
        <f>IF($A656=BJ$613,"",COUNTIF($E$4:$E$609,$A656&amp;" ضد "&amp;BJ$613)+COUNTIF($E$4:$E$609,BJ$613&amp;" ضد "&amp;$A656))</f>
        <v>0</v>
      </c>
      <c r="BK656" s="4">
        <f>IF($A656=BK$613,"",COUNTIF($E$4:$E$609,$A656&amp;" ضد "&amp;BK$613)+COUNTIF($E$4:$E$609,BK$613&amp;" ضد "&amp;$A656))</f>
        <v>0</v>
      </c>
      <c r="BL656" s="4">
        <f>IF($A656=BL$613,"",COUNTIF($E$4:$E$609,$A656&amp;" ضد "&amp;BL$613)+COUNTIF($E$4:$E$609,BL$613&amp;" ضد "&amp;$A656))</f>
        <v>0</v>
      </c>
      <c r="BM656" s="4">
        <f>IF($A656=BM$613,"",COUNTIF($E$4:$E$609,$A656&amp;" ضد "&amp;BM$613)+COUNTIF($E$4:$E$609,BM$613&amp;" ضد "&amp;$A656))</f>
        <v>0</v>
      </c>
      <c r="BN656" s="4">
        <f>IF($A656=BN$613,"",COUNTIF($E$4:$E$609,$A656&amp;" ضد "&amp;BN$613)+COUNTIF($E$4:$E$609,BN$613&amp;" ضد "&amp;$A656))</f>
        <v>0</v>
      </c>
      <c r="BO656" s="4">
        <f>IF($A656=BO$613,"",COUNTIF($E$4:$E$609,$A656&amp;" ضد "&amp;BO$613)+COUNTIF($E$4:$E$609,BO$613&amp;" ضد "&amp;$A656))</f>
        <v>0</v>
      </c>
      <c r="BP656" s="4">
        <f>IF($A656=BP$613,"",COUNTIF($E$4:$E$609,$A656&amp;" ضد "&amp;BP$613)+COUNTIF($E$4:$E$609,BP$613&amp;" ضد "&amp;$A656))</f>
        <v>0</v>
      </c>
    </row>
    <row r="657" spans="1:68" ht="14.5">
      <c r="A657" s="14">
        <v>44</v>
      </c>
      <c r="B657" s="4">
        <f>IF($A657=B$613,"",COUNTIF($E$4:$E$609,$A657&amp;" ضد "&amp;B$613)+COUNTIF($E$4:$E$609,B$613&amp;" ضد "&amp;$A657))</f>
        <v>0</v>
      </c>
      <c r="C657" s="4">
        <f>IF($A657=C$613,"",COUNTIF($E$4:$E$609,$A657&amp;" ضد "&amp;C$613)+COUNTIF($E$4:$E$609,C$613&amp;" ضد "&amp;$A657))</f>
        <v>0</v>
      </c>
      <c r="D657" s="4">
        <f>IF($A657=D$613,"",COUNTIF($E$4:$E$609,$A657&amp;" ضد "&amp;D$613)+COUNTIF($E$4:$E$609,D$613&amp;" ضد "&amp;$A657))</f>
        <v>0</v>
      </c>
      <c r="E657" s="4">
        <f>IF($A657=E$613,"",COUNTIF($E$4:$E$609,$A657&amp;" ضد "&amp;E$613)+COUNTIF($E$4:$E$609,E$613&amp;" ضد "&amp;$A657))</f>
        <v>0</v>
      </c>
      <c r="F657" s="4">
        <f>IF($A657=F$613,"",COUNTIF($E$4:$E$609,$A657&amp;" ضد "&amp;F$613)+COUNTIF($E$4:$E$609,F$613&amp;" ضد "&amp;$A657))</f>
        <v>0</v>
      </c>
      <c r="G657" s="4">
        <f>IF($A657=G$613,"",COUNTIF($E$4:$E$609,$A657&amp;" ضد "&amp;G$613)+COUNTIF($E$4:$E$609,G$613&amp;" ضد "&amp;$A657))</f>
        <v>0</v>
      </c>
      <c r="H657" s="4">
        <f>IF($A657=H$613,"",COUNTIF($E$4:$E$609,$A657&amp;" ضد "&amp;H$613)+COUNTIF($E$4:$E$609,H$613&amp;" ضد "&amp;$A657))</f>
        <v>0</v>
      </c>
      <c r="I657" s="4">
        <f>IF($A657=I$613,"",COUNTIF($E$4:$E$609,$A657&amp;" ضد "&amp;I$613)+COUNTIF($E$4:$E$609,I$613&amp;" ضد "&amp;$A657))</f>
        <v>0</v>
      </c>
      <c r="J657" s="4">
        <f>IF($A657=J$613,"",COUNTIF($E$4:$E$609,$A657&amp;" ضد "&amp;J$613)+COUNTIF($E$4:$E$609,J$613&amp;" ضد "&amp;$A657))</f>
        <v>0</v>
      </c>
      <c r="K657" s="4">
        <f>IF($A657=K$613,"",COUNTIF($E$4:$E$609,$A657&amp;" ضد "&amp;K$613)+COUNTIF($E$4:$E$609,K$613&amp;" ضد "&amp;$A657))</f>
        <v>0</v>
      </c>
      <c r="L657" s="4">
        <f>IF($A657=L$613,"",COUNTIF($E$4:$E$609,$A657&amp;" ضد "&amp;L$613)+COUNTIF($E$4:$E$609,L$613&amp;" ضد "&amp;$A657))</f>
        <v>0</v>
      </c>
      <c r="M657" s="4">
        <f>IF($A657=M$613,"",COUNTIF($E$4:$E$609,$A657&amp;" ضد "&amp;M$613)+COUNTIF($E$4:$E$609,M$613&amp;" ضد "&amp;$A657))</f>
        <v>0</v>
      </c>
      <c r="N657" s="4">
        <f>IF($A657=N$613,"",COUNTIF($E$4:$E$609,$A657&amp;" ضد "&amp;N$613)+COUNTIF($E$4:$E$609,N$613&amp;" ضد "&amp;$A657))</f>
        <v>0</v>
      </c>
      <c r="O657" s="4">
        <f>IF($A657=O$613,"",COUNTIF($E$4:$E$609,$A657&amp;" ضد "&amp;O$613)+COUNTIF($E$4:$E$609,O$613&amp;" ضد "&amp;$A657))</f>
        <v>0</v>
      </c>
      <c r="P657" s="4">
        <f>IF($A657=P$613,"",COUNTIF($E$4:$E$609,$A657&amp;" ضد "&amp;P$613)+COUNTIF($E$4:$E$609,P$613&amp;" ضد "&amp;$A657))</f>
        <v>0</v>
      </c>
      <c r="Q657" s="4">
        <f>IF($A657=Q$613,"",COUNTIF($E$4:$E$609,$A657&amp;" ضد "&amp;Q$613)+COUNTIF($E$4:$E$609,Q$613&amp;" ضد "&amp;$A657))</f>
        <v>0</v>
      </c>
      <c r="R657" s="4">
        <f>IF($A657=R$613,"",COUNTIF($E$4:$E$609,$A657&amp;" ضد "&amp;R$613)+COUNTIF($E$4:$E$609,R$613&amp;" ضد "&amp;$A657))</f>
        <v>0</v>
      </c>
      <c r="S657" s="4">
        <f>IF($A657=S$613,"",COUNTIF($E$4:$E$609,$A657&amp;" ضد "&amp;S$613)+COUNTIF($E$4:$E$609,S$613&amp;" ضد "&amp;$A657))</f>
        <v>0</v>
      </c>
      <c r="T657" s="4">
        <f>IF($A657=T$613,"",COUNTIF($E$4:$E$609,$A657&amp;" ضد "&amp;T$613)+COUNTIF($E$4:$E$609,T$613&amp;" ضد "&amp;$A657))</f>
        <v>0</v>
      </c>
      <c r="U657" s="4">
        <f>IF($A657=U$613,"",COUNTIF($E$4:$E$609,$A657&amp;" ضد "&amp;U$613)+COUNTIF($E$4:$E$609,U$613&amp;" ضد "&amp;$A657))</f>
        <v>0</v>
      </c>
      <c r="V657" s="4">
        <f>IF($A657=V$613,"",COUNTIF($E$4:$E$609,$A657&amp;" ضد "&amp;V$613)+COUNTIF($E$4:$E$609,V$613&amp;" ضد "&amp;$A657))</f>
        <v>0</v>
      </c>
      <c r="W657" s="4">
        <f>IF($A657=W$613,"",COUNTIF($E$4:$E$609,$A657&amp;" ضد "&amp;W$613)+COUNTIF($E$4:$E$609,W$613&amp;" ضد "&amp;$A657))</f>
        <v>0</v>
      </c>
      <c r="X657" s="4">
        <f>IF($A657=X$613,"",COUNTIF($E$4:$E$609,$A657&amp;" ضد "&amp;X$613)+COUNTIF($E$4:$E$609,X$613&amp;" ضد "&amp;$A657))</f>
        <v>0</v>
      </c>
      <c r="Y657" s="4">
        <f>IF($A657=Y$613,"",COUNTIF($E$4:$E$609,$A657&amp;" ضد "&amp;Y$613)+COUNTIF($E$4:$E$609,Y$613&amp;" ضد "&amp;$A657))</f>
        <v>0</v>
      </c>
      <c r="Z657" s="4">
        <f>IF($A657=Z$613,"",COUNTIF($E$4:$E$609,$A657&amp;" ضد "&amp;Z$613)+COUNTIF($E$4:$E$609,Z$613&amp;" ضد "&amp;$A657))</f>
        <v>0</v>
      </c>
      <c r="AA657" s="4">
        <f>IF($A657=AA$613,"",COUNTIF($E$4:$E$609,$A657&amp;" ضد "&amp;AA$613)+COUNTIF($E$4:$E$609,AA$613&amp;" ضد "&amp;$A657))</f>
        <v>0</v>
      </c>
      <c r="AB657" s="4">
        <f>IF($A657=AB$613,"",COUNTIF($E$4:$E$609,$A657&amp;" ضد "&amp;AB$613)+COUNTIF($E$4:$E$609,AB$613&amp;" ضد "&amp;$A657))</f>
        <v>0</v>
      </c>
      <c r="AC657" s="4">
        <f>IF($A657=AC$613,"",COUNTIF($E$4:$E$609,$A657&amp;" ضد "&amp;AC$613)+COUNTIF($E$4:$E$609,AC$613&amp;" ضد "&amp;$A657))</f>
        <v>0</v>
      </c>
      <c r="AD657" s="4">
        <f>IF($A657=AD$613,"",COUNTIF($E$4:$E$609,$A657&amp;" ضد "&amp;AD$613)+COUNTIF($E$4:$E$609,AD$613&amp;" ضد "&amp;$A657))</f>
        <v>0</v>
      </c>
      <c r="AE657" s="4">
        <f>IF($A657=AE$613,"",COUNTIF($E$4:$E$609,$A657&amp;" ضد "&amp;AE$613)+COUNTIF($E$4:$E$609,AE$613&amp;" ضد "&amp;$A657))</f>
        <v>0</v>
      </c>
      <c r="AF657" s="4">
        <f>IF($A657=AF$613,"",COUNTIF($E$4:$E$609,$A657&amp;" ضد "&amp;AF$613)+COUNTIF($E$4:$E$609,AF$613&amp;" ضد "&amp;$A657))</f>
        <v>0</v>
      </c>
      <c r="AG657" s="4">
        <f>IF($A657=AG$613,"",COUNTIF($E$4:$E$609,$A657&amp;" ضد "&amp;AG$613)+COUNTIF($E$4:$E$609,AG$613&amp;" ضد "&amp;$A657))</f>
        <v>0</v>
      </c>
      <c r="AH657" s="4">
        <f>IF($A657=AH$613,"",COUNTIF($E$4:$E$609,$A657&amp;" ضد "&amp;AH$613)+COUNTIF($E$4:$E$609,AH$613&amp;" ضد "&amp;$A657))</f>
        <v>0</v>
      </c>
      <c r="AI657" s="4">
        <f>IF($A657=AI$613,"",COUNTIF($E$4:$E$609,$A657&amp;" ضد "&amp;AI$613)+COUNTIF($E$4:$E$609,AI$613&amp;" ضد "&amp;$A657))</f>
        <v>0</v>
      </c>
      <c r="AJ657" s="4">
        <f>IF($A657=AJ$613,"",COUNTIF($E$4:$E$609,$A657&amp;" ضد "&amp;AJ$613)+COUNTIF($E$4:$E$609,AJ$613&amp;" ضد "&amp;$A657))</f>
        <v>1</v>
      </c>
      <c r="AK657" s="4">
        <f>IF($A657=AK$613,"",COUNTIF($E$4:$E$609,$A657&amp;" ضد "&amp;AK$613)+COUNTIF($E$4:$E$609,AK$613&amp;" ضد "&amp;$A657))</f>
        <v>1</v>
      </c>
      <c r="AL657" s="4">
        <f>IF($A657=AL$613,"",COUNTIF($E$4:$E$609,$A657&amp;" ضد "&amp;AL$613)+COUNTIF($E$4:$E$609,AL$613&amp;" ضد "&amp;$A657))</f>
        <v>1</v>
      </c>
      <c r="AM657" s="4">
        <f>IF($A657=AM$613,"",COUNTIF($E$4:$E$609,$A657&amp;" ضد "&amp;AM$613)+COUNTIF($E$4:$E$609,AM$613&amp;" ضد "&amp;$A657))</f>
        <v>1</v>
      </c>
      <c r="AN657" s="4">
        <f>IF($A657=AN$613,"",COUNTIF($E$4:$E$609,$A657&amp;" ضد "&amp;AN$613)+COUNTIF($E$4:$E$609,AN$613&amp;" ضد "&amp;$A657))</f>
        <v>1</v>
      </c>
      <c r="AO657" s="4">
        <f>IF($A657=AO$613,"",COUNTIF($E$4:$E$609,$A657&amp;" ضد "&amp;AO$613)+COUNTIF($E$4:$E$609,AO$613&amp;" ضد "&amp;$A657))</f>
        <v>1</v>
      </c>
      <c r="AP657" s="4">
        <f>IF($A657=AP$613,"",COUNTIF($E$4:$E$609,$A657&amp;" ضد "&amp;AP$613)+COUNTIF($E$4:$E$609,AP$613&amp;" ضد "&amp;$A657))</f>
        <v>1</v>
      </c>
      <c r="AQ657" s="4">
        <f>IF($A657=AQ$613,"",COUNTIF($E$4:$E$609,$A657&amp;" ضد "&amp;AQ$613)+COUNTIF($E$4:$E$609,AQ$613&amp;" ضد "&amp;$A657))</f>
        <v>1</v>
      </c>
      <c r="AR657" s="4">
        <f>IF($A657=AR$613,"",COUNTIF($E$4:$E$609,$A657&amp;" ضد "&amp;AR$613)+COUNTIF($E$4:$E$609,AR$613&amp;" ضد "&amp;$A657))</f>
        <v>2</v>
      </c>
      <c r="AS657" s="4" t="str">
        <f>IF($A657=AS$613,"",COUNTIF($E$4:$E$609,$A657&amp;" ضد "&amp;AS$613)+COUNTIF($E$4:$E$609,AS$613&amp;" ضد "&amp;$A657))</f>
        <v/>
      </c>
      <c r="AT657" s="4">
        <f>IF($A657=AT$613,"",COUNTIF($E$4:$E$609,$A657&amp;" ضد "&amp;AT$613)+COUNTIF($E$4:$E$609,AT$613&amp;" ضد "&amp;$A657))</f>
        <v>2</v>
      </c>
      <c r="AU657" s="4">
        <f>IF($A657=AU$613,"",COUNTIF($E$4:$E$609,$A657&amp;" ضد "&amp;AU$613)+COUNTIF($E$4:$E$609,AU$613&amp;" ضد "&amp;$A657))</f>
        <v>1</v>
      </c>
      <c r="AV657" s="4">
        <f>IF($A657=AV$613,"",COUNTIF($E$4:$E$609,$A657&amp;" ضد "&amp;AV$613)+COUNTIF($E$4:$E$609,AV$613&amp;" ضد "&amp;$A657))</f>
        <v>1</v>
      </c>
      <c r="AW657" s="4">
        <f>IF($A657=AW$613,"",COUNTIF($E$4:$E$609,$A657&amp;" ضد "&amp;AW$613)+COUNTIF($E$4:$E$609,AW$613&amp;" ضد "&amp;$A657))</f>
        <v>1</v>
      </c>
      <c r="AX657" s="4">
        <f>IF($A657=AX$613,"",COUNTIF($E$4:$E$609,$A657&amp;" ضد "&amp;AX$613)+COUNTIF($E$4:$E$609,AX$613&amp;" ضد "&amp;$A657))</f>
        <v>1</v>
      </c>
      <c r="AY657" s="4">
        <f>IF($A657=AY$613,"",COUNTIF($E$4:$E$609,$A657&amp;" ضد "&amp;AY$613)+COUNTIF($E$4:$E$609,AY$613&amp;" ضد "&amp;$A657))</f>
        <v>1</v>
      </c>
      <c r="AZ657" s="4">
        <f>IF($A657=AZ$613,"",COUNTIF($E$4:$E$609,$A657&amp;" ضد "&amp;AZ$613)+COUNTIF($E$4:$E$609,AZ$613&amp;" ضد "&amp;$A657))</f>
        <v>1</v>
      </c>
      <c r="BA657" s="4">
        <f>IF($A657=BA$613,"",COUNTIF($E$4:$E$609,$A657&amp;" ضد "&amp;BA$613)+COUNTIF($E$4:$E$609,BA$613&amp;" ضد "&amp;$A657))</f>
        <v>0</v>
      </c>
      <c r="BB657" s="4">
        <f>IF($A657=BB$613,"",COUNTIF($E$4:$E$609,$A657&amp;" ضد "&amp;BB$613)+COUNTIF($E$4:$E$609,BB$613&amp;" ضد "&amp;$A657))</f>
        <v>0</v>
      </c>
      <c r="BC657" s="4">
        <f>IF($A657=BC$613,"",COUNTIF($E$4:$E$609,$A657&amp;" ضد "&amp;BC$613)+COUNTIF($E$4:$E$609,BC$613&amp;" ضد "&amp;$A657))</f>
        <v>0</v>
      </c>
      <c r="BD657" s="4">
        <f>IF($A657=BD$613,"",COUNTIF($E$4:$E$609,$A657&amp;" ضد "&amp;BD$613)+COUNTIF($E$4:$E$609,BD$613&amp;" ضد "&amp;$A657))</f>
        <v>0</v>
      </c>
      <c r="BE657" s="4">
        <f>IF($A657=BE$613,"",COUNTIF($E$4:$E$609,$A657&amp;" ضد "&amp;BE$613)+COUNTIF($E$4:$E$609,BE$613&amp;" ضد "&amp;$A657))</f>
        <v>0</v>
      </c>
      <c r="BF657" s="4">
        <f>IF($A657=BF$613,"",COUNTIF($E$4:$E$609,$A657&amp;" ضد "&amp;BF$613)+COUNTIF($E$4:$E$609,BF$613&amp;" ضد "&amp;$A657))</f>
        <v>0</v>
      </c>
      <c r="BG657" s="4">
        <f>IF($A657=BG$613,"",COUNTIF($E$4:$E$609,$A657&amp;" ضد "&amp;BG$613)+COUNTIF($E$4:$E$609,BG$613&amp;" ضد "&amp;$A657))</f>
        <v>0</v>
      </c>
      <c r="BH657" s="4">
        <f>IF($A657=BH$613,"",COUNTIF($E$4:$E$609,$A657&amp;" ضد "&amp;BH$613)+COUNTIF($E$4:$E$609,BH$613&amp;" ضد "&amp;$A657))</f>
        <v>0</v>
      </c>
      <c r="BI657" s="4">
        <f>IF($A657=BI$613,"",COUNTIF($E$4:$E$609,$A657&amp;" ضد "&amp;BI$613)+COUNTIF($E$4:$E$609,BI$613&amp;" ضد "&amp;$A657))</f>
        <v>0</v>
      </c>
      <c r="BJ657" s="4">
        <f>IF($A657=BJ$613,"",COUNTIF($E$4:$E$609,$A657&amp;" ضد "&amp;BJ$613)+COUNTIF($E$4:$E$609,BJ$613&amp;" ضد "&amp;$A657))</f>
        <v>0</v>
      </c>
      <c r="BK657" s="4">
        <f>IF($A657=BK$613,"",COUNTIF($E$4:$E$609,$A657&amp;" ضد "&amp;BK$613)+COUNTIF($E$4:$E$609,BK$613&amp;" ضد "&amp;$A657))</f>
        <v>0</v>
      </c>
      <c r="BL657" s="4">
        <f>IF($A657=BL$613,"",COUNTIF($E$4:$E$609,$A657&amp;" ضد "&amp;BL$613)+COUNTIF($E$4:$E$609,BL$613&amp;" ضد "&amp;$A657))</f>
        <v>0</v>
      </c>
      <c r="BM657" s="4">
        <f>IF($A657=BM$613,"",COUNTIF($E$4:$E$609,$A657&amp;" ضد "&amp;BM$613)+COUNTIF($E$4:$E$609,BM$613&amp;" ضد "&amp;$A657))</f>
        <v>0</v>
      </c>
      <c r="BN657" s="4">
        <f>IF($A657=BN$613,"",COUNTIF($E$4:$E$609,$A657&amp;" ضد "&amp;BN$613)+COUNTIF($E$4:$E$609,BN$613&amp;" ضد "&amp;$A657))</f>
        <v>0</v>
      </c>
      <c r="BO657" s="4">
        <f>IF($A657=BO$613,"",COUNTIF($E$4:$E$609,$A657&amp;" ضد "&amp;BO$613)+COUNTIF($E$4:$E$609,BO$613&amp;" ضد "&amp;$A657))</f>
        <v>0</v>
      </c>
      <c r="BP657" s="4">
        <f>IF($A657=BP$613,"",COUNTIF($E$4:$E$609,$A657&amp;" ضد "&amp;BP$613)+COUNTIF($E$4:$E$609,BP$613&amp;" ضد "&amp;$A657))</f>
        <v>0</v>
      </c>
    </row>
    <row r="658" spans="1:68" ht="14.5">
      <c r="A658" s="14">
        <v>45</v>
      </c>
      <c r="B658" s="4">
        <f>IF($A658=B$613,"",COUNTIF($E$4:$E$609,$A658&amp;" ضد "&amp;B$613)+COUNTIF($E$4:$E$609,B$613&amp;" ضد "&amp;$A658))</f>
        <v>0</v>
      </c>
      <c r="C658" s="4">
        <f>IF($A658=C$613,"",COUNTIF($E$4:$E$609,$A658&amp;" ضد "&amp;C$613)+COUNTIF($E$4:$E$609,C$613&amp;" ضد "&amp;$A658))</f>
        <v>0</v>
      </c>
      <c r="D658" s="4">
        <f>IF($A658=D$613,"",COUNTIF($E$4:$E$609,$A658&amp;" ضد "&amp;D$613)+COUNTIF($E$4:$E$609,D$613&amp;" ضد "&amp;$A658))</f>
        <v>0</v>
      </c>
      <c r="E658" s="4">
        <f>IF($A658=E$613,"",COUNTIF($E$4:$E$609,$A658&amp;" ضد "&amp;E$613)+COUNTIF($E$4:$E$609,E$613&amp;" ضد "&amp;$A658))</f>
        <v>0</v>
      </c>
      <c r="F658" s="4">
        <f>IF($A658=F$613,"",COUNTIF($E$4:$E$609,$A658&amp;" ضد "&amp;F$613)+COUNTIF($E$4:$E$609,F$613&amp;" ضد "&amp;$A658))</f>
        <v>0</v>
      </c>
      <c r="G658" s="4">
        <f>IF($A658=G$613,"",COUNTIF($E$4:$E$609,$A658&amp;" ضد "&amp;G$613)+COUNTIF($E$4:$E$609,G$613&amp;" ضد "&amp;$A658))</f>
        <v>0</v>
      </c>
      <c r="H658" s="4">
        <f>IF($A658=H$613,"",COUNTIF($E$4:$E$609,$A658&amp;" ضد "&amp;H$613)+COUNTIF($E$4:$E$609,H$613&amp;" ضد "&amp;$A658))</f>
        <v>0</v>
      </c>
      <c r="I658" s="4">
        <f>IF($A658=I$613,"",COUNTIF($E$4:$E$609,$A658&amp;" ضد "&amp;I$613)+COUNTIF($E$4:$E$609,I$613&amp;" ضد "&amp;$A658))</f>
        <v>0</v>
      </c>
      <c r="J658" s="4">
        <f>IF($A658=J$613,"",COUNTIF($E$4:$E$609,$A658&amp;" ضد "&amp;J$613)+COUNTIF($E$4:$E$609,J$613&amp;" ضد "&amp;$A658))</f>
        <v>0</v>
      </c>
      <c r="K658" s="4">
        <f>IF($A658=K$613,"",COUNTIF($E$4:$E$609,$A658&amp;" ضد "&amp;K$613)+COUNTIF($E$4:$E$609,K$613&amp;" ضد "&amp;$A658))</f>
        <v>0</v>
      </c>
      <c r="L658" s="4">
        <f>IF($A658=L$613,"",COUNTIF($E$4:$E$609,$A658&amp;" ضد "&amp;L$613)+COUNTIF($E$4:$E$609,L$613&amp;" ضد "&amp;$A658))</f>
        <v>0</v>
      </c>
      <c r="M658" s="4">
        <f>IF($A658=M$613,"",COUNTIF($E$4:$E$609,$A658&amp;" ضد "&amp;M$613)+COUNTIF($E$4:$E$609,M$613&amp;" ضد "&amp;$A658))</f>
        <v>0</v>
      </c>
      <c r="N658" s="4">
        <f>IF($A658=N$613,"",COUNTIF($E$4:$E$609,$A658&amp;" ضد "&amp;N$613)+COUNTIF($E$4:$E$609,N$613&amp;" ضد "&amp;$A658))</f>
        <v>0</v>
      </c>
      <c r="O658" s="4">
        <f>IF($A658=O$613,"",COUNTIF($E$4:$E$609,$A658&amp;" ضد "&amp;O$613)+COUNTIF($E$4:$E$609,O$613&amp;" ضد "&amp;$A658))</f>
        <v>0</v>
      </c>
      <c r="P658" s="4">
        <f>IF($A658=P$613,"",COUNTIF($E$4:$E$609,$A658&amp;" ضد "&amp;P$613)+COUNTIF($E$4:$E$609,P$613&amp;" ضد "&amp;$A658))</f>
        <v>0</v>
      </c>
      <c r="Q658" s="4">
        <f>IF($A658=Q$613,"",COUNTIF($E$4:$E$609,$A658&amp;" ضد "&amp;Q$613)+COUNTIF($E$4:$E$609,Q$613&amp;" ضد "&amp;$A658))</f>
        <v>0</v>
      </c>
      <c r="R658" s="4">
        <f>IF($A658=R$613,"",COUNTIF($E$4:$E$609,$A658&amp;" ضد "&amp;R$613)+COUNTIF($E$4:$E$609,R$613&amp;" ضد "&amp;$A658))</f>
        <v>0</v>
      </c>
      <c r="S658" s="4">
        <f>IF($A658=S$613,"",COUNTIF($E$4:$E$609,$A658&amp;" ضد "&amp;S$613)+COUNTIF($E$4:$E$609,S$613&amp;" ضد "&amp;$A658))</f>
        <v>0</v>
      </c>
      <c r="T658" s="4">
        <f>IF($A658=T$613,"",COUNTIF($E$4:$E$609,$A658&amp;" ضد "&amp;T$613)+COUNTIF($E$4:$E$609,T$613&amp;" ضد "&amp;$A658))</f>
        <v>0</v>
      </c>
      <c r="U658" s="4">
        <f>IF($A658=U$613,"",COUNTIF($E$4:$E$609,$A658&amp;" ضد "&amp;U$613)+COUNTIF($E$4:$E$609,U$613&amp;" ضد "&amp;$A658))</f>
        <v>0</v>
      </c>
      <c r="V658" s="4">
        <f>IF($A658=V$613,"",COUNTIF($E$4:$E$609,$A658&amp;" ضد "&amp;V$613)+COUNTIF($E$4:$E$609,V$613&amp;" ضد "&amp;$A658))</f>
        <v>0</v>
      </c>
      <c r="W658" s="4">
        <f>IF($A658=W$613,"",COUNTIF($E$4:$E$609,$A658&amp;" ضد "&amp;W$613)+COUNTIF($E$4:$E$609,W$613&amp;" ضد "&amp;$A658))</f>
        <v>0</v>
      </c>
      <c r="X658" s="4">
        <f>IF($A658=X$613,"",COUNTIF($E$4:$E$609,$A658&amp;" ضد "&amp;X$613)+COUNTIF($E$4:$E$609,X$613&amp;" ضد "&amp;$A658))</f>
        <v>0</v>
      </c>
      <c r="Y658" s="4">
        <f>IF($A658=Y$613,"",COUNTIF($E$4:$E$609,$A658&amp;" ضد "&amp;Y$613)+COUNTIF($E$4:$E$609,Y$613&amp;" ضد "&amp;$A658))</f>
        <v>0</v>
      </c>
      <c r="Z658" s="4">
        <f>IF($A658=Z$613,"",COUNTIF($E$4:$E$609,$A658&amp;" ضد "&amp;Z$613)+COUNTIF($E$4:$E$609,Z$613&amp;" ضد "&amp;$A658))</f>
        <v>0</v>
      </c>
      <c r="AA658" s="4">
        <f>IF($A658=AA$613,"",COUNTIF($E$4:$E$609,$A658&amp;" ضد "&amp;AA$613)+COUNTIF($E$4:$E$609,AA$613&amp;" ضد "&amp;$A658))</f>
        <v>0</v>
      </c>
      <c r="AB658" s="4">
        <f>IF($A658=AB$613,"",COUNTIF($E$4:$E$609,$A658&amp;" ضد "&amp;AB$613)+COUNTIF($E$4:$E$609,AB$613&amp;" ضد "&amp;$A658))</f>
        <v>0</v>
      </c>
      <c r="AC658" s="4">
        <f>IF($A658=AC$613,"",COUNTIF($E$4:$E$609,$A658&amp;" ضد "&amp;AC$613)+COUNTIF($E$4:$E$609,AC$613&amp;" ضد "&amp;$A658))</f>
        <v>0</v>
      </c>
      <c r="AD658" s="4">
        <f>IF($A658=AD$613,"",COUNTIF($E$4:$E$609,$A658&amp;" ضد "&amp;AD$613)+COUNTIF($E$4:$E$609,AD$613&amp;" ضد "&amp;$A658))</f>
        <v>0</v>
      </c>
      <c r="AE658" s="4">
        <f>IF($A658=AE$613,"",COUNTIF($E$4:$E$609,$A658&amp;" ضد "&amp;AE$613)+COUNTIF($E$4:$E$609,AE$613&amp;" ضد "&amp;$A658))</f>
        <v>0</v>
      </c>
      <c r="AF658" s="4">
        <f>IF($A658=AF$613,"",COUNTIF($E$4:$E$609,$A658&amp;" ضد "&amp;AF$613)+COUNTIF($E$4:$E$609,AF$613&amp;" ضد "&amp;$A658))</f>
        <v>0</v>
      </c>
      <c r="AG658" s="4">
        <f>IF($A658=AG$613,"",COUNTIF($E$4:$E$609,$A658&amp;" ضد "&amp;AG$613)+COUNTIF($E$4:$E$609,AG$613&amp;" ضد "&amp;$A658))</f>
        <v>0</v>
      </c>
      <c r="AH658" s="4">
        <f>IF($A658=AH$613,"",COUNTIF($E$4:$E$609,$A658&amp;" ضد "&amp;AH$613)+COUNTIF($E$4:$E$609,AH$613&amp;" ضد "&amp;$A658))</f>
        <v>0</v>
      </c>
      <c r="AI658" s="4">
        <f>IF($A658=AI$613,"",COUNTIF($E$4:$E$609,$A658&amp;" ضد "&amp;AI$613)+COUNTIF($E$4:$E$609,AI$613&amp;" ضد "&amp;$A658))</f>
        <v>0</v>
      </c>
      <c r="AJ658" s="4">
        <f>IF($A658=AJ$613,"",COUNTIF($E$4:$E$609,$A658&amp;" ضد "&amp;AJ$613)+COUNTIF($E$4:$E$609,AJ$613&amp;" ضد "&amp;$A658))</f>
        <v>1</v>
      </c>
      <c r="AK658" s="4">
        <f>IF($A658=AK$613,"",COUNTIF($E$4:$E$609,$A658&amp;" ضد "&amp;AK$613)+COUNTIF($E$4:$E$609,AK$613&amp;" ضد "&amp;$A658))</f>
        <v>1</v>
      </c>
      <c r="AL658" s="4">
        <f>IF($A658=AL$613,"",COUNTIF($E$4:$E$609,$A658&amp;" ضد "&amp;AL$613)+COUNTIF($E$4:$E$609,AL$613&amp;" ضد "&amp;$A658))</f>
        <v>1</v>
      </c>
      <c r="AM658" s="4">
        <f>IF($A658=AM$613,"",COUNTIF($E$4:$E$609,$A658&amp;" ضد "&amp;AM$613)+COUNTIF($E$4:$E$609,AM$613&amp;" ضد "&amp;$A658))</f>
        <v>1</v>
      </c>
      <c r="AN658" s="4">
        <f>IF($A658=AN$613,"",COUNTIF($E$4:$E$609,$A658&amp;" ضد "&amp;AN$613)+COUNTIF($E$4:$E$609,AN$613&amp;" ضد "&amp;$A658))</f>
        <v>1</v>
      </c>
      <c r="AO658" s="4">
        <f>IF($A658=AO$613,"",COUNTIF($E$4:$E$609,$A658&amp;" ضد "&amp;AO$613)+COUNTIF($E$4:$E$609,AO$613&amp;" ضد "&amp;$A658))</f>
        <v>1</v>
      </c>
      <c r="AP658" s="4">
        <f>IF($A658=AP$613,"",COUNTIF($E$4:$E$609,$A658&amp;" ضد "&amp;AP$613)+COUNTIF($E$4:$E$609,AP$613&amp;" ضد "&amp;$A658))</f>
        <v>1</v>
      </c>
      <c r="AQ658" s="4">
        <f>IF($A658=AQ$613,"",COUNTIF($E$4:$E$609,$A658&amp;" ضد "&amp;AQ$613)+COUNTIF($E$4:$E$609,AQ$613&amp;" ضد "&amp;$A658))</f>
        <v>1</v>
      </c>
      <c r="AR658" s="4">
        <f>IF($A658=AR$613,"",COUNTIF($E$4:$E$609,$A658&amp;" ضد "&amp;AR$613)+COUNTIF($E$4:$E$609,AR$613&amp;" ضد "&amp;$A658))</f>
        <v>1</v>
      </c>
      <c r="AS658" s="4">
        <f>IF($A658=AS$613,"",COUNTIF($E$4:$E$609,$A658&amp;" ضد "&amp;AS$613)+COUNTIF($E$4:$E$609,AS$613&amp;" ضد "&amp;$A658))</f>
        <v>2</v>
      </c>
      <c r="AT658" s="4" t="str">
        <f>IF($A658=AT$613,"",COUNTIF($E$4:$E$609,$A658&amp;" ضد "&amp;AT$613)+COUNTIF($E$4:$E$609,AT$613&amp;" ضد "&amp;$A658))</f>
        <v/>
      </c>
      <c r="AU658" s="4">
        <f>IF($A658=AU$613,"",COUNTIF($E$4:$E$609,$A658&amp;" ضد "&amp;AU$613)+COUNTIF($E$4:$E$609,AU$613&amp;" ضد "&amp;$A658))</f>
        <v>2</v>
      </c>
      <c r="AV658" s="4">
        <f>IF($A658=AV$613,"",COUNTIF($E$4:$E$609,$A658&amp;" ضد "&amp;AV$613)+COUNTIF($E$4:$E$609,AV$613&amp;" ضد "&amp;$A658))</f>
        <v>1</v>
      </c>
      <c r="AW658" s="4">
        <f>IF($A658=AW$613,"",COUNTIF($E$4:$E$609,$A658&amp;" ضد "&amp;AW$613)+COUNTIF($E$4:$E$609,AW$613&amp;" ضد "&amp;$A658))</f>
        <v>1</v>
      </c>
      <c r="AX658" s="4">
        <f>IF($A658=AX$613,"",COUNTIF($E$4:$E$609,$A658&amp;" ضد "&amp;AX$613)+COUNTIF($E$4:$E$609,AX$613&amp;" ضد "&amp;$A658))</f>
        <v>1</v>
      </c>
      <c r="AY658" s="4">
        <f>IF($A658=AY$613,"",COUNTIF($E$4:$E$609,$A658&amp;" ضد "&amp;AY$613)+COUNTIF($E$4:$E$609,AY$613&amp;" ضد "&amp;$A658))</f>
        <v>1</v>
      </c>
      <c r="AZ658" s="4">
        <f>IF($A658=AZ$613,"",COUNTIF($E$4:$E$609,$A658&amp;" ضد "&amp;AZ$613)+COUNTIF($E$4:$E$609,AZ$613&amp;" ضد "&amp;$A658))</f>
        <v>1</v>
      </c>
      <c r="BA658" s="4">
        <f>IF($A658=BA$613,"",COUNTIF($E$4:$E$609,$A658&amp;" ضد "&amp;BA$613)+COUNTIF($E$4:$E$609,BA$613&amp;" ضد "&amp;$A658))</f>
        <v>0</v>
      </c>
      <c r="BB658" s="4">
        <f>IF($A658=BB$613,"",COUNTIF($E$4:$E$609,$A658&amp;" ضد "&amp;BB$613)+COUNTIF($E$4:$E$609,BB$613&amp;" ضد "&amp;$A658))</f>
        <v>0</v>
      </c>
      <c r="BC658" s="4">
        <f>IF($A658=BC$613,"",COUNTIF($E$4:$E$609,$A658&amp;" ضد "&amp;BC$613)+COUNTIF($E$4:$E$609,BC$613&amp;" ضد "&amp;$A658))</f>
        <v>0</v>
      </c>
      <c r="BD658" s="4">
        <f>IF($A658=BD$613,"",COUNTIF($E$4:$E$609,$A658&amp;" ضد "&amp;BD$613)+COUNTIF($E$4:$E$609,BD$613&amp;" ضد "&amp;$A658))</f>
        <v>0</v>
      </c>
      <c r="BE658" s="4">
        <f>IF($A658=BE$613,"",COUNTIF($E$4:$E$609,$A658&amp;" ضد "&amp;BE$613)+COUNTIF($E$4:$E$609,BE$613&amp;" ضد "&amp;$A658))</f>
        <v>0</v>
      </c>
      <c r="BF658" s="4">
        <f>IF($A658=BF$613,"",COUNTIF($E$4:$E$609,$A658&amp;" ضد "&amp;BF$613)+COUNTIF($E$4:$E$609,BF$613&amp;" ضد "&amp;$A658))</f>
        <v>0</v>
      </c>
      <c r="BG658" s="4">
        <f>IF($A658=BG$613,"",COUNTIF($E$4:$E$609,$A658&amp;" ضد "&amp;BG$613)+COUNTIF($E$4:$E$609,BG$613&amp;" ضد "&amp;$A658))</f>
        <v>0</v>
      </c>
      <c r="BH658" s="4">
        <f>IF($A658=BH$613,"",COUNTIF($E$4:$E$609,$A658&amp;" ضد "&amp;BH$613)+COUNTIF($E$4:$E$609,BH$613&amp;" ضد "&amp;$A658))</f>
        <v>0</v>
      </c>
      <c r="BI658" s="4">
        <f>IF($A658=BI$613,"",COUNTIF($E$4:$E$609,$A658&amp;" ضد "&amp;BI$613)+COUNTIF($E$4:$E$609,BI$613&amp;" ضد "&amp;$A658))</f>
        <v>0</v>
      </c>
      <c r="BJ658" s="4">
        <f>IF($A658=BJ$613,"",COUNTIF($E$4:$E$609,$A658&amp;" ضد "&amp;BJ$613)+COUNTIF($E$4:$E$609,BJ$613&amp;" ضد "&amp;$A658))</f>
        <v>0</v>
      </c>
      <c r="BK658" s="4">
        <f>IF($A658=BK$613,"",COUNTIF($E$4:$E$609,$A658&amp;" ضد "&amp;BK$613)+COUNTIF($E$4:$E$609,BK$613&amp;" ضد "&amp;$A658))</f>
        <v>0</v>
      </c>
      <c r="BL658" s="4">
        <f>IF($A658=BL$613,"",COUNTIF($E$4:$E$609,$A658&amp;" ضد "&amp;BL$613)+COUNTIF($E$4:$E$609,BL$613&amp;" ضد "&amp;$A658))</f>
        <v>0</v>
      </c>
      <c r="BM658" s="4">
        <f>IF($A658=BM$613,"",COUNTIF($E$4:$E$609,$A658&amp;" ضد "&amp;BM$613)+COUNTIF($E$4:$E$609,BM$613&amp;" ضد "&amp;$A658))</f>
        <v>0</v>
      </c>
      <c r="BN658" s="4">
        <f>IF($A658=BN$613,"",COUNTIF($E$4:$E$609,$A658&amp;" ضد "&amp;BN$613)+COUNTIF($E$4:$E$609,BN$613&amp;" ضد "&amp;$A658))</f>
        <v>0</v>
      </c>
      <c r="BO658" s="4">
        <f>IF($A658=BO$613,"",COUNTIF($E$4:$E$609,$A658&amp;" ضد "&amp;BO$613)+COUNTIF($E$4:$E$609,BO$613&amp;" ضد "&amp;$A658))</f>
        <v>0</v>
      </c>
      <c r="BP658" s="4">
        <f>IF($A658=BP$613,"",COUNTIF($E$4:$E$609,$A658&amp;" ضد "&amp;BP$613)+COUNTIF($E$4:$E$609,BP$613&amp;" ضد "&amp;$A658))</f>
        <v>0</v>
      </c>
    </row>
    <row r="659" spans="1:68" ht="14.5">
      <c r="A659" s="14">
        <v>46</v>
      </c>
      <c r="B659" s="4">
        <f>IF($A659=B$613,"",COUNTIF($E$4:$E$609,$A659&amp;" ضد "&amp;B$613)+COUNTIF($E$4:$E$609,B$613&amp;" ضد "&amp;$A659))</f>
        <v>0</v>
      </c>
      <c r="C659" s="4">
        <f>IF($A659=C$613,"",COUNTIF($E$4:$E$609,$A659&amp;" ضد "&amp;C$613)+COUNTIF($E$4:$E$609,C$613&amp;" ضد "&amp;$A659))</f>
        <v>0</v>
      </c>
      <c r="D659" s="4">
        <f>IF($A659=D$613,"",COUNTIF($E$4:$E$609,$A659&amp;" ضد "&amp;D$613)+COUNTIF($E$4:$E$609,D$613&amp;" ضد "&amp;$A659))</f>
        <v>0</v>
      </c>
      <c r="E659" s="4">
        <f>IF($A659=E$613,"",COUNTIF($E$4:$E$609,$A659&amp;" ضد "&amp;E$613)+COUNTIF($E$4:$E$609,E$613&amp;" ضد "&amp;$A659))</f>
        <v>0</v>
      </c>
      <c r="F659" s="4">
        <f>IF($A659=F$613,"",COUNTIF($E$4:$E$609,$A659&amp;" ضد "&amp;F$613)+COUNTIF($E$4:$E$609,F$613&amp;" ضد "&amp;$A659))</f>
        <v>0</v>
      </c>
      <c r="G659" s="4">
        <f>IF($A659=G$613,"",COUNTIF($E$4:$E$609,$A659&amp;" ضد "&amp;G$613)+COUNTIF($E$4:$E$609,G$613&amp;" ضد "&amp;$A659))</f>
        <v>0</v>
      </c>
      <c r="H659" s="4">
        <f>IF($A659=H$613,"",COUNTIF($E$4:$E$609,$A659&amp;" ضد "&amp;H$613)+COUNTIF($E$4:$E$609,H$613&amp;" ضد "&amp;$A659))</f>
        <v>0</v>
      </c>
      <c r="I659" s="4">
        <f>IF($A659=I$613,"",COUNTIF($E$4:$E$609,$A659&amp;" ضد "&amp;I$613)+COUNTIF($E$4:$E$609,I$613&amp;" ضد "&amp;$A659))</f>
        <v>0</v>
      </c>
      <c r="J659" s="4">
        <f>IF($A659=J$613,"",COUNTIF($E$4:$E$609,$A659&amp;" ضد "&amp;J$613)+COUNTIF($E$4:$E$609,J$613&amp;" ضد "&amp;$A659))</f>
        <v>0</v>
      </c>
      <c r="K659" s="4">
        <f>IF($A659=K$613,"",COUNTIF($E$4:$E$609,$A659&amp;" ضد "&amp;K$613)+COUNTIF($E$4:$E$609,K$613&amp;" ضد "&amp;$A659))</f>
        <v>0</v>
      </c>
      <c r="L659" s="4">
        <f>IF($A659=L$613,"",COUNTIF($E$4:$E$609,$A659&amp;" ضد "&amp;L$613)+COUNTIF($E$4:$E$609,L$613&amp;" ضد "&amp;$A659))</f>
        <v>0</v>
      </c>
      <c r="M659" s="4">
        <f>IF($A659=M$613,"",COUNTIF($E$4:$E$609,$A659&amp;" ضد "&amp;M$613)+COUNTIF($E$4:$E$609,M$613&amp;" ضد "&amp;$A659))</f>
        <v>0</v>
      </c>
      <c r="N659" s="4">
        <f>IF($A659=N$613,"",COUNTIF($E$4:$E$609,$A659&amp;" ضد "&amp;N$613)+COUNTIF($E$4:$E$609,N$613&amp;" ضد "&amp;$A659))</f>
        <v>0</v>
      </c>
      <c r="O659" s="4">
        <f>IF($A659=O$613,"",COUNTIF($E$4:$E$609,$A659&amp;" ضد "&amp;O$613)+COUNTIF($E$4:$E$609,O$613&amp;" ضد "&amp;$A659))</f>
        <v>0</v>
      </c>
      <c r="P659" s="4">
        <f>IF($A659=P$613,"",COUNTIF($E$4:$E$609,$A659&amp;" ضد "&amp;P$613)+COUNTIF($E$4:$E$609,P$613&amp;" ضد "&amp;$A659))</f>
        <v>0</v>
      </c>
      <c r="Q659" s="4">
        <f>IF($A659=Q$613,"",COUNTIF($E$4:$E$609,$A659&amp;" ضد "&amp;Q$613)+COUNTIF($E$4:$E$609,Q$613&amp;" ضد "&amp;$A659))</f>
        <v>0</v>
      </c>
      <c r="R659" s="4">
        <f>IF($A659=R$613,"",COUNTIF($E$4:$E$609,$A659&amp;" ضد "&amp;R$613)+COUNTIF($E$4:$E$609,R$613&amp;" ضد "&amp;$A659))</f>
        <v>0</v>
      </c>
      <c r="S659" s="4">
        <f>IF($A659=S$613,"",COUNTIF($E$4:$E$609,$A659&amp;" ضد "&amp;S$613)+COUNTIF($E$4:$E$609,S$613&amp;" ضد "&amp;$A659))</f>
        <v>0</v>
      </c>
      <c r="T659" s="4">
        <f>IF($A659=T$613,"",COUNTIF($E$4:$E$609,$A659&amp;" ضد "&amp;T$613)+COUNTIF($E$4:$E$609,T$613&amp;" ضد "&amp;$A659))</f>
        <v>0</v>
      </c>
      <c r="U659" s="4">
        <f>IF($A659=U$613,"",COUNTIF($E$4:$E$609,$A659&amp;" ضد "&amp;U$613)+COUNTIF($E$4:$E$609,U$613&amp;" ضد "&amp;$A659))</f>
        <v>0</v>
      </c>
      <c r="V659" s="4">
        <f>IF($A659=V$613,"",COUNTIF($E$4:$E$609,$A659&amp;" ضد "&amp;V$613)+COUNTIF($E$4:$E$609,V$613&amp;" ضد "&amp;$A659))</f>
        <v>0</v>
      </c>
      <c r="W659" s="4">
        <f>IF($A659=W$613,"",COUNTIF($E$4:$E$609,$A659&amp;" ضد "&amp;W$613)+COUNTIF($E$4:$E$609,W$613&amp;" ضد "&amp;$A659))</f>
        <v>0</v>
      </c>
      <c r="X659" s="4">
        <f>IF($A659=X$613,"",COUNTIF($E$4:$E$609,$A659&amp;" ضد "&amp;X$613)+COUNTIF($E$4:$E$609,X$613&amp;" ضد "&amp;$A659))</f>
        <v>0</v>
      </c>
      <c r="Y659" s="4">
        <f>IF($A659=Y$613,"",COUNTIF($E$4:$E$609,$A659&amp;" ضد "&amp;Y$613)+COUNTIF($E$4:$E$609,Y$613&amp;" ضد "&amp;$A659))</f>
        <v>0</v>
      </c>
      <c r="Z659" s="4">
        <f>IF($A659=Z$613,"",COUNTIF($E$4:$E$609,$A659&amp;" ضد "&amp;Z$613)+COUNTIF($E$4:$E$609,Z$613&amp;" ضد "&amp;$A659))</f>
        <v>0</v>
      </c>
      <c r="AA659" s="4">
        <f>IF($A659=AA$613,"",COUNTIF($E$4:$E$609,$A659&amp;" ضد "&amp;AA$613)+COUNTIF($E$4:$E$609,AA$613&amp;" ضد "&amp;$A659))</f>
        <v>0</v>
      </c>
      <c r="AB659" s="4">
        <f>IF($A659=AB$613,"",COUNTIF($E$4:$E$609,$A659&amp;" ضد "&amp;AB$613)+COUNTIF($E$4:$E$609,AB$613&amp;" ضد "&amp;$A659))</f>
        <v>0</v>
      </c>
      <c r="AC659" s="4">
        <f>IF($A659=AC$613,"",COUNTIF($E$4:$E$609,$A659&amp;" ضد "&amp;AC$613)+COUNTIF($E$4:$E$609,AC$613&amp;" ضد "&amp;$A659))</f>
        <v>0</v>
      </c>
      <c r="AD659" s="4">
        <f>IF($A659=AD$613,"",COUNTIF($E$4:$E$609,$A659&amp;" ضد "&amp;AD$613)+COUNTIF($E$4:$E$609,AD$613&amp;" ضد "&amp;$A659))</f>
        <v>0</v>
      </c>
      <c r="AE659" s="4">
        <f>IF($A659=AE$613,"",COUNTIF($E$4:$E$609,$A659&amp;" ضد "&amp;AE$613)+COUNTIF($E$4:$E$609,AE$613&amp;" ضد "&amp;$A659))</f>
        <v>0</v>
      </c>
      <c r="AF659" s="4">
        <f>IF($A659=AF$613,"",COUNTIF($E$4:$E$609,$A659&amp;" ضد "&amp;AF$613)+COUNTIF($E$4:$E$609,AF$613&amp;" ضد "&amp;$A659))</f>
        <v>0</v>
      </c>
      <c r="AG659" s="4">
        <f>IF($A659=AG$613,"",COUNTIF($E$4:$E$609,$A659&amp;" ضد "&amp;AG$613)+COUNTIF($E$4:$E$609,AG$613&amp;" ضد "&amp;$A659))</f>
        <v>0</v>
      </c>
      <c r="AH659" s="4">
        <f>IF($A659=AH$613,"",COUNTIF($E$4:$E$609,$A659&amp;" ضد "&amp;AH$613)+COUNTIF($E$4:$E$609,AH$613&amp;" ضد "&amp;$A659))</f>
        <v>0</v>
      </c>
      <c r="AI659" s="4">
        <f>IF($A659=AI$613,"",COUNTIF($E$4:$E$609,$A659&amp;" ضد "&amp;AI$613)+COUNTIF($E$4:$E$609,AI$613&amp;" ضد "&amp;$A659))</f>
        <v>0</v>
      </c>
      <c r="AJ659" s="4">
        <f>IF($A659=AJ$613,"",COUNTIF($E$4:$E$609,$A659&amp;" ضد "&amp;AJ$613)+COUNTIF($E$4:$E$609,AJ$613&amp;" ضد "&amp;$A659))</f>
        <v>1</v>
      </c>
      <c r="AK659" s="4">
        <f>IF($A659=AK$613,"",COUNTIF($E$4:$E$609,$A659&amp;" ضد "&amp;AK$613)+COUNTIF($E$4:$E$609,AK$613&amp;" ضد "&amp;$A659))</f>
        <v>1</v>
      </c>
      <c r="AL659" s="4">
        <f>IF($A659=AL$613,"",COUNTIF($E$4:$E$609,$A659&amp;" ضد "&amp;AL$613)+COUNTIF($E$4:$E$609,AL$613&amp;" ضد "&amp;$A659))</f>
        <v>1</v>
      </c>
      <c r="AM659" s="4">
        <f>IF($A659=AM$613,"",COUNTIF($E$4:$E$609,$A659&amp;" ضد "&amp;AM$613)+COUNTIF($E$4:$E$609,AM$613&amp;" ضد "&amp;$A659))</f>
        <v>1</v>
      </c>
      <c r="AN659" s="4">
        <f>IF($A659=AN$613,"",COUNTIF($E$4:$E$609,$A659&amp;" ضد "&amp;AN$613)+COUNTIF($E$4:$E$609,AN$613&amp;" ضد "&amp;$A659))</f>
        <v>1</v>
      </c>
      <c r="AO659" s="4">
        <f>IF($A659=AO$613,"",COUNTIF($E$4:$E$609,$A659&amp;" ضد "&amp;AO$613)+COUNTIF($E$4:$E$609,AO$613&amp;" ضد "&amp;$A659))</f>
        <v>1</v>
      </c>
      <c r="AP659" s="4">
        <f>IF($A659=AP$613,"",COUNTIF($E$4:$E$609,$A659&amp;" ضد "&amp;AP$613)+COUNTIF($E$4:$E$609,AP$613&amp;" ضد "&amp;$A659))</f>
        <v>1</v>
      </c>
      <c r="AQ659" s="4">
        <f>IF($A659=AQ$613,"",COUNTIF($E$4:$E$609,$A659&amp;" ضد "&amp;AQ$613)+COUNTIF($E$4:$E$609,AQ$613&amp;" ضد "&amp;$A659))</f>
        <v>1</v>
      </c>
      <c r="AR659" s="4">
        <f>IF($A659=AR$613,"",COUNTIF($E$4:$E$609,$A659&amp;" ضد "&amp;AR$613)+COUNTIF($E$4:$E$609,AR$613&amp;" ضد "&amp;$A659))</f>
        <v>1</v>
      </c>
      <c r="AS659" s="4">
        <f>IF($A659=AS$613,"",COUNTIF($E$4:$E$609,$A659&amp;" ضد "&amp;AS$613)+COUNTIF($E$4:$E$609,AS$613&amp;" ضد "&amp;$A659))</f>
        <v>1</v>
      </c>
      <c r="AT659" s="4">
        <f>IF($A659=AT$613,"",COUNTIF($E$4:$E$609,$A659&amp;" ضد "&amp;AT$613)+COUNTIF($E$4:$E$609,AT$613&amp;" ضد "&amp;$A659))</f>
        <v>2</v>
      </c>
      <c r="AU659" s="4" t="str">
        <f>IF($A659=AU$613,"",COUNTIF($E$4:$E$609,$A659&amp;" ضد "&amp;AU$613)+COUNTIF($E$4:$E$609,AU$613&amp;" ضد "&amp;$A659))</f>
        <v/>
      </c>
      <c r="AV659" s="4">
        <f>IF($A659=AV$613,"",COUNTIF($E$4:$E$609,$A659&amp;" ضد "&amp;AV$613)+COUNTIF($E$4:$E$609,AV$613&amp;" ضد "&amp;$A659))</f>
        <v>2</v>
      </c>
      <c r="AW659" s="4">
        <f>IF($A659=AW$613,"",COUNTIF($E$4:$E$609,$A659&amp;" ضد "&amp;AW$613)+COUNTIF($E$4:$E$609,AW$613&amp;" ضد "&amp;$A659))</f>
        <v>1</v>
      </c>
      <c r="AX659" s="4">
        <f>IF($A659=AX$613,"",COUNTIF($E$4:$E$609,$A659&amp;" ضد "&amp;AX$613)+COUNTIF($E$4:$E$609,AX$613&amp;" ضد "&amp;$A659))</f>
        <v>1</v>
      </c>
      <c r="AY659" s="4">
        <f>IF($A659=AY$613,"",COUNTIF($E$4:$E$609,$A659&amp;" ضد "&amp;AY$613)+COUNTIF($E$4:$E$609,AY$613&amp;" ضد "&amp;$A659))</f>
        <v>1</v>
      </c>
      <c r="AZ659" s="4">
        <f>IF($A659=AZ$613,"",COUNTIF($E$4:$E$609,$A659&amp;" ضد "&amp;AZ$613)+COUNTIF($E$4:$E$609,AZ$613&amp;" ضد "&amp;$A659))</f>
        <v>1</v>
      </c>
      <c r="BA659" s="4">
        <f>IF($A659=BA$613,"",COUNTIF($E$4:$E$609,$A659&amp;" ضد "&amp;BA$613)+COUNTIF($E$4:$E$609,BA$613&amp;" ضد "&amp;$A659))</f>
        <v>0</v>
      </c>
      <c r="BB659" s="4">
        <f>IF($A659=BB$613,"",COUNTIF($E$4:$E$609,$A659&amp;" ضد "&amp;BB$613)+COUNTIF($E$4:$E$609,BB$613&amp;" ضد "&amp;$A659))</f>
        <v>0</v>
      </c>
      <c r="BC659" s="4">
        <f>IF($A659=BC$613,"",COUNTIF($E$4:$E$609,$A659&amp;" ضد "&amp;BC$613)+COUNTIF($E$4:$E$609,BC$613&amp;" ضد "&amp;$A659))</f>
        <v>0</v>
      </c>
      <c r="BD659" s="4">
        <f>IF($A659=BD$613,"",COUNTIF($E$4:$E$609,$A659&amp;" ضد "&amp;BD$613)+COUNTIF($E$4:$E$609,BD$613&amp;" ضد "&amp;$A659))</f>
        <v>0</v>
      </c>
      <c r="BE659" s="4">
        <f>IF($A659=BE$613,"",COUNTIF($E$4:$E$609,$A659&amp;" ضد "&amp;BE$613)+COUNTIF($E$4:$E$609,BE$613&amp;" ضد "&amp;$A659))</f>
        <v>0</v>
      </c>
      <c r="BF659" s="4">
        <f>IF($A659=BF$613,"",COUNTIF($E$4:$E$609,$A659&amp;" ضد "&amp;BF$613)+COUNTIF($E$4:$E$609,BF$613&amp;" ضد "&amp;$A659))</f>
        <v>0</v>
      </c>
      <c r="BG659" s="4">
        <f>IF($A659=BG$613,"",COUNTIF($E$4:$E$609,$A659&amp;" ضد "&amp;BG$613)+COUNTIF($E$4:$E$609,BG$613&amp;" ضد "&amp;$A659))</f>
        <v>0</v>
      </c>
      <c r="BH659" s="4">
        <f>IF($A659=BH$613,"",COUNTIF($E$4:$E$609,$A659&amp;" ضد "&amp;BH$613)+COUNTIF($E$4:$E$609,BH$613&amp;" ضد "&amp;$A659))</f>
        <v>0</v>
      </c>
      <c r="BI659" s="4">
        <f>IF($A659=BI$613,"",COUNTIF($E$4:$E$609,$A659&amp;" ضد "&amp;BI$613)+COUNTIF($E$4:$E$609,BI$613&amp;" ضد "&amp;$A659))</f>
        <v>0</v>
      </c>
      <c r="BJ659" s="4">
        <f>IF($A659=BJ$613,"",COUNTIF($E$4:$E$609,$A659&amp;" ضد "&amp;BJ$613)+COUNTIF($E$4:$E$609,BJ$613&amp;" ضد "&amp;$A659))</f>
        <v>0</v>
      </c>
      <c r="BK659" s="4">
        <f>IF($A659=BK$613,"",COUNTIF($E$4:$E$609,$A659&amp;" ضد "&amp;BK$613)+COUNTIF($E$4:$E$609,BK$613&amp;" ضد "&amp;$A659))</f>
        <v>0</v>
      </c>
      <c r="BL659" s="4">
        <f>IF($A659=BL$613,"",COUNTIF($E$4:$E$609,$A659&amp;" ضد "&amp;BL$613)+COUNTIF($E$4:$E$609,BL$613&amp;" ضد "&amp;$A659))</f>
        <v>0</v>
      </c>
      <c r="BM659" s="4">
        <f>IF($A659=BM$613,"",COUNTIF($E$4:$E$609,$A659&amp;" ضد "&amp;BM$613)+COUNTIF($E$4:$E$609,BM$613&amp;" ضد "&amp;$A659))</f>
        <v>0</v>
      </c>
      <c r="BN659" s="4">
        <f>IF($A659=BN$613,"",COUNTIF($E$4:$E$609,$A659&amp;" ضد "&amp;BN$613)+COUNTIF($E$4:$E$609,BN$613&amp;" ضد "&amp;$A659))</f>
        <v>0</v>
      </c>
      <c r="BO659" s="4">
        <f>IF($A659=BO$613,"",COUNTIF($E$4:$E$609,$A659&amp;" ضد "&amp;BO$613)+COUNTIF($E$4:$E$609,BO$613&amp;" ضد "&amp;$A659))</f>
        <v>0</v>
      </c>
      <c r="BP659" s="4">
        <f>IF($A659=BP$613,"",COUNTIF($E$4:$E$609,$A659&amp;" ضد "&amp;BP$613)+COUNTIF($E$4:$E$609,BP$613&amp;" ضد "&amp;$A659))</f>
        <v>0</v>
      </c>
    </row>
    <row r="660" spans="1:68" ht="14.5">
      <c r="A660" s="14">
        <v>47</v>
      </c>
      <c r="B660" s="4">
        <f>IF($A660=B$613,"",COUNTIF($E$4:$E$609,$A660&amp;" ضد "&amp;B$613)+COUNTIF($E$4:$E$609,B$613&amp;" ضد "&amp;$A660))</f>
        <v>0</v>
      </c>
      <c r="C660" s="4">
        <f>IF($A660=C$613,"",COUNTIF($E$4:$E$609,$A660&amp;" ضد "&amp;C$613)+COUNTIF($E$4:$E$609,C$613&amp;" ضد "&amp;$A660))</f>
        <v>0</v>
      </c>
      <c r="D660" s="4">
        <f>IF($A660=D$613,"",COUNTIF($E$4:$E$609,$A660&amp;" ضد "&amp;D$613)+COUNTIF($E$4:$E$609,D$613&amp;" ضد "&amp;$A660))</f>
        <v>0</v>
      </c>
      <c r="E660" s="4">
        <f>IF($A660=E$613,"",COUNTIF($E$4:$E$609,$A660&amp;" ضد "&amp;E$613)+COUNTIF($E$4:$E$609,E$613&amp;" ضد "&amp;$A660))</f>
        <v>0</v>
      </c>
      <c r="F660" s="4">
        <f>IF($A660=F$613,"",COUNTIF($E$4:$E$609,$A660&amp;" ضد "&amp;F$613)+COUNTIF($E$4:$E$609,F$613&amp;" ضد "&amp;$A660))</f>
        <v>0</v>
      </c>
      <c r="G660" s="4">
        <f>IF($A660=G$613,"",COUNTIF($E$4:$E$609,$A660&amp;" ضد "&amp;G$613)+COUNTIF($E$4:$E$609,G$613&amp;" ضد "&amp;$A660))</f>
        <v>0</v>
      </c>
      <c r="H660" s="4">
        <f>IF($A660=H$613,"",COUNTIF($E$4:$E$609,$A660&amp;" ضد "&amp;H$613)+COUNTIF($E$4:$E$609,H$613&amp;" ضد "&amp;$A660))</f>
        <v>0</v>
      </c>
      <c r="I660" s="4">
        <f>IF($A660=I$613,"",COUNTIF($E$4:$E$609,$A660&amp;" ضد "&amp;I$613)+COUNTIF($E$4:$E$609,I$613&amp;" ضد "&amp;$A660))</f>
        <v>0</v>
      </c>
      <c r="J660" s="4">
        <f>IF($A660=J$613,"",COUNTIF($E$4:$E$609,$A660&amp;" ضد "&amp;J$613)+COUNTIF($E$4:$E$609,J$613&amp;" ضد "&amp;$A660))</f>
        <v>0</v>
      </c>
      <c r="K660" s="4">
        <f>IF($A660=K$613,"",COUNTIF($E$4:$E$609,$A660&amp;" ضد "&amp;K$613)+COUNTIF($E$4:$E$609,K$613&amp;" ضد "&amp;$A660))</f>
        <v>0</v>
      </c>
      <c r="L660" s="4">
        <f>IF($A660=L$613,"",COUNTIF($E$4:$E$609,$A660&amp;" ضد "&amp;L$613)+COUNTIF($E$4:$E$609,L$613&amp;" ضد "&amp;$A660))</f>
        <v>0</v>
      </c>
      <c r="M660" s="4">
        <f>IF($A660=M$613,"",COUNTIF($E$4:$E$609,$A660&amp;" ضد "&amp;M$613)+COUNTIF($E$4:$E$609,M$613&amp;" ضد "&amp;$A660))</f>
        <v>0</v>
      </c>
      <c r="N660" s="4">
        <f>IF($A660=N$613,"",COUNTIF($E$4:$E$609,$A660&amp;" ضد "&amp;N$613)+COUNTIF($E$4:$E$609,N$613&amp;" ضد "&amp;$A660))</f>
        <v>0</v>
      </c>
      <c r="O660" s="4">
        <f>IF($A660=O$613,"",COUNTIF($E$4:$E$609,$A660&amp;" ضد "&amp;O$613)+COUNTIF($E$4:$E$609,O$613&amp;" ضد "&amp;$A660))</f>
        <v>0</v>
      </c>
      <c r="P660" s="4">
        <f>IF($A660=P$613,"",COUNTIF($E$4:$E$609,$A660&amp;" ضد "&amp;P$613)+COUNTIF($E$4:$E$609,P$613&amp;" ضد "&amp;$A660))</f>
        <v>0</v>
      </c>
      <c r="Q660" s="4">
        <f>IF($A660=Q$613,"",COUNTIF($E$4:$E$609,$A660&amp;" ضد "&amp;Q$613)+COUNTIF($E$4:$E$609,Q$613&amp;" ضد "&amp;$A660))</f>
        <v>0</v>
      </c>
      <c r="R660" s="4">
        <f>IF($A660=R$613,"",COUNTIF($E$4:$E$609,$A660&amp;" ضد "&amp;R$613)+COUNTIF($E$4:$E$609,R$613&amp;" ضد "&amp;$A660))</f>
        <v>0</v>
      </c>
      <c r="S660" s="4">
        <f>IF($A660=S$613,"",COUNTIF($E$4:$E$609,$A660&amp;" ضد "&amp;S$613)+COUNTIF($E$4:$E$609,S$613&amp;" ضد "&amp;$A660))</f>
        <v>0</v>
      </c>
      <c r="T660" s="4">
        <f>IF($A660=T$613,"",COUNTIF($E$4:$E$609,$A660&amp;" ضد "&amp;T$613)+COUNTIF($E$4:$E$609,T$613&amp;" ضد "&amp;$A660))</f>
        <v>0</v>
      </c>
      <c r="U660" s="4">
        <f>IF($A660=U$613,"",COUNTIF($E$4:$E$609,$A660&amp;" ضد "&amp;U$613)+COUNTIF($E$4:$E$609,U$613&amp;" ضد "&amp;$A660))</f>
        <v>0</v>
      </c>
      <c r="V660" s="4">
        <f>IF($A660=V$613,"",COUNTIF($E$4:$E$609,$A660&amp;" ضد "&amp;V$613)+COUNTIF($E$4:$E$609,V$613&amp;" ضد "&amp;$A660))</f>
        <v>0</v>
      </c>
      <c r="W660" s="4">
        <f>IF($A660=W$613,"",COUNTIF($E$4:$E$609,$A660&amp;" ضد "&amp;W$613)+COUNTIF($E$4:$E$609,W$613&amp;" ضد "&amp;$A660))</f>
        <v>0</v>
      </c>
      <c r="X660" s="4">
        <f>IF($A660=X$613,"",COUNTIF($E$4:$E$609,$A660&amp;" ضد "&amp;X$613)+COUNTIF($E$4:$E$609,X$613&amp;" ضد "&amp;$A660))</f>
        <v>0</v>
      </c>
      <c r="Y660" s="4">
        <f>IF($A660=Y$613,"",COUNTIF($E$4:$E$609,$A660&amp;" ضد "&amp;Y$613)+COUNTIF($E$4:$E$609,Y$613&amp;" ضد "&amp;$A660))</f>
        <v>0</v>
      </c>
      <c r="Z660" s="4">
        <f>IF($A660=Z$613,"",COUNTIF($E$4:$E$609,$A660&amp;" ضد "&amp;Z$613)+COUNTIF($E$4:$E$609,Z$613&amp;" ضد "&amp;$A660))</f>
        <v>0</v>
      </c>
      <c r="AA660" s="4">
        <f>IF($A660=AA$613,"",COUNTIF($E$4:$E$609,$A660&amp;" ضد "&amp;AA$613)+COUNTIF($E$4:$E$609,AA$613&amp;" ضد "&amp;$A660))</f>
        <v>0</v>
      </c>
      <c r="AB660" s="4">
        <f>IF($A660=AB$613,"",COUNTIF($E$4:$E$609,$A660&amp;" ضد "&amp;AB$613)+COUNTIF($E$4:$E$609,AB$613&amp;" ضد "&amp;$A660))</f>
        <v>0</v>
      </c>
      <c r="AC660" s="4">
        <f>IF($A660=AC$613,"",COUNTIF($E$4:$E$609,$A660&amp;" ضد "&amp;AC$613)+COUNTIF($E$4:$E$609,AC$613&amp;" ضد "&amp;$A660))</f>
        <v>0</v>
      </c>
      <c r="AD660" s="4">
        <f>IF($A660=AD$613,"",COUNTIF($E$4:$E$609,$A660&amp;" ضد "&amp;AD$613)+COUNTIF($E$4:$E$609,AD$613&amp;" ضد "&amp;$A660))</f>
        <v>0</v>
      </c>
      <c r="AE660" s="4">
        <f>IF($A660=AE$613,"",COUNTIF($E$4:$E$609,$A660&amp;" ضد "&amp;AE$613)+COUNTIF($E$4:$E$609,AE$613&amp;" ضد "&amp;$A660))</f>
        <v>0</v>
      </c>
      <c r="AF660" s="4">
        <f>IF($A660=AF$613,"",COUNTIF($E$4:$E$609,$A660&amp;" ضد "&amp;AF$613)+COUNTIF($E$4:$E$609,AF$613&amp;" ضد "&amp;$A660))</f>
        <v>0</v>
      </c>
      <c r="AG660" s="4">
        <f>IF($A660=AG$613,"",COUNTIF($E$4:$E$609,$A660&amp;" ضد "&amp;AG$613)+COUNTIF($E$4:$E$609,AG$613&amp;" ضد "&amp;$A660))</f>
        <v>0</v>
      </c>
      <c r="AH660" s="4">
        <f>IF($A660=AH$613,"",COUNTIF($E$4:$E$609,$A660&amp;" ضد "&amp;AH$613)+COUNTIF($E$4:$E$609,AH$613&amp;" ضد "&amp;$A660))</f>
        <v>0</v>
      </c>
      <c r="AI660" s="4">
        <f>IF($A660=AI$613,"",COUNTIF($E$4:$E$609,$A660&amp;" ضد "&amp;AI$613)+COUNTIF($E$4:$E$609,AI$613&amp;" ضد "&amp;$A660))</f>
        <v>0</v>
      </c>
      <c r="AJ660" s="4">
        <f>IF($A660=AJ$613,"",COUNTIF($E$4:$E$609,$A660&amp;" ضد "&amp;AJ$613)+COUNTIF($E$4:$E$609,AJ$613&amp;" ضد "&amp;$A660))</f>
        <v>1</v>
      </c>
      <c r="AK660" s="4">
        <f>IF($A660=AK$613,"",COUNTIF($E$4:$E$609,$A660&amp;" ضد "&amp;AK$613)+COUNTIF($E$4:$E$609,AK$613&amp;" ضد "&amp;$A660))</f>
        <v>1</v>
      </c>
      <c r="AL660" s="4">
        <f>IF($A660=AL$613,"",COUNTIF($E$4:$E$609,$A660&amp;" ضد "&amp;AL$613)+COUNTIF($E$4:$E$609,AL$613&amp;" ضد "&amp;$A660))</f>
        <v>1</v>
      </c>
      <c r="AM660" s="4">
        <f>IF($A660=AM$613,"",COUNTIF($E$4:$E$609,$A660&amp;" ضد "&amp;AM$613)+COUNTIF($E$4:$E$609,AM$613&amp;" ضد "&amp;$A660))</f>
        <v>1</v>
      </c>
      <c r="AN660" s="4">
        <f>IF($A660=AN$613,"",COUNTIF($E$4:$E$609,$A660&amp;" ضد "&amp;AN$613)+COUNTIF($E$4:$E$609,AN$613&amp;" ضد "&amp;$A660))</f>
        <v>1</v>
      </c>
      <c r="AO660" s="4">
        <f>IF($A660=AO$613,"",COUNTIF($E$4:$E$609,$A660&amp;" ضد "&amp;AO$613)+COUNTIF($E$4:$E$609,AO$613&amp;" ضد "&amp;$A660))</f>
        <v>1</v>
      </c>
      <c r="AP660" s="4">
        <f>IF($A660=AP$613,"",COUNTIF($E$4:$E$609,$A660&amp;" ضد "&amp;AP$613)+COUNTIF($E$4:$E$609,AP$613&amp;" ضد "&amp;$A660))</f>
        <v>1</v>
      </c>
      <c r="AQ660" s="4">
        <f>IF($A660=AQ$613,"",COUNTIF($E$4:$E$609,$A660&amp;" ضد "&amp;AQ$613)+COUNTIF($E$4:$E$609,AQ$613&amp;" ضد "&amp;$A660))</f>
        <v>1</v>
      </c>
      <c r="AR660" s="4">
        <f>IF($A660=AR$613,"",COUNTIF($E$4:$E$609,$A660&amp;" ضد "&amp;AR$613)+COUNTIF($E$4:$E$609,AR$613&amp;" ضد "&amp;$A660))</f>
        <v>1</v>
      </c>
      <c r="AS660" s="4">
        <f>IF($A660=AS$613,"",COUNTIF($E$4:$E$609,$A660&amp;" ضد "&amp;AS$613)+COUNTIF($E$4:$E$609,AS$613&amp;" ضد "&amp;$A660))</f>
        <v>1</v>
      </c>
      <c r="AT660" s="4">
        <f>IF($A660=AT$613,"",COUNTIF($E$4:$E$609,$A660&amp;" ضد "&amp;AT$613)+COUNTIF($E$4:$E$609,AT$613&amp;" ضد "&amp;$A660))</f>
        <v>1</v>
      </c>
      <c r="AU660" s="4">
        <f>IF($A660=AU$613,"",COUNTIF($E$4:$E$609,$A660&amp;" ضد "&amp;AU$613)+COUNTIF($E$4:$E$609,AU$613&amp;" ضد "&amp;$A660))</f>
        <v>2</v>
      </c>
      <c r="AV660" s="4" t="str">
        <f>IF($A660=AV$613,"",COUNTIF($E$4:$E$609,$A660&amp;" ضد "&amp;AV$613)+COUNTIF($E$4:$E$609,AV$613&amp;" ضد "&amp;$A660))</f>
        <v/>
      </c>
      <c r="AW660" s="4">
        <f>IF($A660=AW$613,"",COUNTIF($E$4:$E$609,$A660&amp;" ضد "&amp;AW$613)+COUNTIF($E$4:$E$609,AW$613&amp;" ضد "&amp;$A660))</f>
        <v>2</v>
      </c>
      <c r="AX660" s="4">
        <f>IF($A660=AX$613,"",COUNTIF($E$4:$E$609,$A660&amp;" ضد "&amp;AX$613)+COUNTIF($E$4:$E$609,AX$613&amp;" ضد "&amp;$A660))</f>
        <v>1</v>
      </c>
      <c r="AY660" s="4">
        <f>IF($A660=AY$613,"",COUNTIF($E$4:$E$609,$A660&amp;" ضد "&amp;AY$613)+COUNTIF($E$4:$E$609,AY$613&amp;" ضد "&amp;$A660))</f>
        <v>1</v>
      </c>
      <c r="AZ660" s="4">
        <f>IF($A660=AZ$613,"",COUNTIF($E$4:$E$609,$A660&amp;" ضد "&amp;AZ$613)+COUNTIF($E$4:$E$609,AZ$613&amp;" ضد "&amp;$A660))</f>
        <v>1</v>
      </c>
      <c r="BA660" s="4">
        <f>IF($A660=BA$613,"",COUNTIF($E$4:$E$609,$A660&amp;" ضد "&amp;BA$613)+COUNTIF($E$4:$E$609,BA$613&amp;" ضد "&amp;$A660))</f>
        <v>0</v>
      </c>
      <c r="BB660" s="4">
        <f>IF($A660=BB$613,"",COUNTIF($E$4:$E$609,$A660&amp;" ضد "&amp;BB$613)+COUNTIF($E$4:$E$609,BB$613&amp;" ضد "&amp;$A660))</f>
        <v>0</v>
      </c>
      <c r="BC660" s="4">
        <f>IF($A660=BC$613,"",COUNTIF($E$4:$E$609,$A660&amp;" ضد "&amp;BC$613)+COUNTIF($E$4:$E$609,BC$613&amp;" ضد "&amp;$A660))</f>
        <v>0</v>
      </c>
      <c r="BD660" s="4">
        <f>IF($A660=BD$613,"",COUNTIF($E$4:$E$609,$A660&amp;" ضد "&amp;BD$613)+COUNTIF($E$4:$E$609,BD$613&amp;" ضد "&amp;$A660))</f>
        <v>0</v>
      </c>
      <c r="BE660" s="4">
        <f>IF($A660=BE$613,"",COUNTIF($E$4:$E$609,$A660&amp;" ضد "&amp;BE$613)+COUNTIF($E$4:$E$609,BE$613&amp;" ضد "&amp;$A660))</f>
        <v>0</v>
      </c>
      <c r="BF660" s="4">
        <f>IF($A660=BF$613,"",COUNTIF($E$4:$E$609,$A660&amp;" ضد "&amp;BF$613)+COUNTIF($E$4:$E$609,BF$613&amp;" ضد "&amp;$A660))</f>
        <v>0</v>
      </c>
      <c r="BG660" s="4">
        <f>IF($A660=BG$613,"",COUNTIF($E$4:$E$609,$A660&amp;" ضد "&amp;BG$613)+COUNTIF($E$4:$E$609,BG$613&amp;" ضد "&amp;$A660))</f>
        <v>0</v>
      </c>
      <c r="BH660" s="4">
        <f>IF($A660=BH$613,"",COUNTIF($E$4:$E$609,$A660&amp;" ضد "&amp;BH$613)+COUNTIF($E$4:$E$609,BH$613&amp;" ضد "&amp;$A660))</f>
        <v>0</v>
      </c>
      <c r="BI660" s="4">
        <f>IF($A660=BI$613,"",COUNTIF($E$4:$E$609,$A660&amp;" ضد "&amp;BI$613)+COUNTIF($E$4:$E$609,BI$613&amp;" ضد "&amp;$A660))</f>
        <v>0</v>
      </c>
      <c r="BJ660" s="4">
        <f>IF($A660=BJ$613,"",COUNTIF($E$4:$E$609,$A660&amp;" ضد "&amp;BJ$613)+COUNTIF($E$4:$E$609,BJ$613&amp;" ضد "&amp;$A660))</f>
        <v>0</v>
      </c>
      <c r="BK660" s="4">
        <f>IF($A660=BK$613,"",COUNTIF($E$4:$E$609,$A660&amp;" ضد "&amp;BK$613)+COUNTIF($E$4:$E$609,BK$613&amp;" ضد "&amp;$A660))</f>
        <v>0</v>
      </c>
      <c r="BL660" s="4">
        <f>IF($A660=BL$613,"",COUNTIF($E$4:$E$609,$A660&amp;" ضد "&amp;BL$613)+COUNTIF($E$4:$E$609,BL$613&amp;" ضد "&amp;$A660))</f>
        <v>0</v>
      </c>
      <c r="BM660" s="4">
        <f>IF($A660=BM$613,"",COUNTIF($E$4:$E$609,$A660&amp;" ضد "&amp;BM$613)+COUNTIF($E$4:$E$609,BM$613&amp;" ضد "&amp;$A660))</f>
        <v>0</v>
      </c>
      <c r="BN660" s="4">
        <f>IF($A660=BN$613,"",COUNTIF($E$4:$E$609,$A660&amp;" ضد "&amp;BN$613)+COUNTIF($E$4:$E$609,BN$613&amp;" ضد "&amp;$A660))</f>
        <v>0</v>
      </c>
      <c r="BO660" s="4">
        <f>IF($A660=BO$613,"",COUNTIF($E$4:$E$609,$A660&amp;" ضد "&amp;BO$613)+COUNTIF($E$4:$E$609,BO$613&amp;" ضد "&amp;$A660))</f>
        <v>0</v>
      </c>
      <c r="BP660" s="4">
        <f>IF($A660=BP$613,"",COUNTIF($E$4:$E$609,$A660&amp;" ضد "&amp;BP$613)+COUNTIF($E$4:$E$609,BP$613&amp;" ضد "&amp;$A660))</f>
        <v>0</v>
      </c>
    </row>
    <row r="661" spans="1:68" ht="14.5">
      <c r="A661" s="14">
        <v>48</v>
      </c>
      <c r="B661" s="4">
        <f>IF($A661=B$613,"",COUNTIF($E$4:$E$609,$A661&amp;" ضد "&amp;B$613)+COUNTIF($E$4:$E$609,B$613&amp;" ضد "&amp;$A661))</f>
        <v>0</v>
      </c>
      <c r="C661" s="4">
        <f>IF($A661=C$613,"",COUNTIF($E$4:$E$609,$A661&amp;" ضد "&amp;C$613)+COUNTIF($E$4:$E$609,C$613&amp;" ضد "&amp;$A661))</f>
        <v>0</v>
      </c>
      <c r="D661" s="4">
        <f>IF($A661=D$613,"",COUNTIF($E$4:$E$609,$A661&amp;" ضد "&amp;D$613)+COUNTIF($E$4:$E$609,D$613&amp;" ضد "&amp;$A661))</f>
        <v>0</v>
      </c>
      <c r="E661" s="4">
        <f>IF($A661=E$613,"",COUNTIF($E$4:$E$609,$A661&amp;" ضد "&amp;E$613)+COUNTIF($E$4:$E$609,E$613&amp;" ضد "&amp;$A661))</f>
        <v>0</v>
      </c>
      <c r="F661" s="4">
        <f>IF($A661=F$613,"",COUNTIF($E$4:$E$609,$A661&amp;" ضد "&amp;F$613)+COUNTIF($E$4:$E$609,F$613&amp;" ضد "&amp;$A661))</f>
        <v>0</v>
      </c>
      <c r="G661" s="4">
        <f>IF($A661=G$613,"",COUNTIF($E$4:$E$609,$A661&amp;" ضد "&amp;G$613)+COUNTIF($E$4:$E$609,G$613&amp;" ضد "&amp;$A661))</f>
        <v>0</v>
      </c>
      <c r="H661" s="4">
        <f>IF($A661=H$613,"",COUNTIF($E$4:$E$609,$A661&amp;" ضد "&amp;H$613)+COUNTIF($E$4:$E$609,H$613&amp;" ضد "&amp;$A661))</f>
        <v>0</v>
      </c>
      <c r="I661" s="4">
        <f>IF($A661=I$613,"",COUNTIF($E$4:$E$609,$A661&amp;" ضد "&amp;I$613)+COUNTIF($E$4:$E$609,I$613&amp;" ضد "&amp;$A661))</f>
        <v>0</v>
      </c>
      <c r="J661" s="4">
        <f>IF($A661=J$613,"",COUNTIF($E$4:$E$609,$A661&amp;" ضد "&amp;J$613)+COUNTIF($E$4:$E$609,J$613&amp;" ضد "&amp;$A661))</f>
        <v>0</v>
      </c>
      <c r="K661" s="4">
        <f>IF($A661=K$613,"",COUNTIF($E$4:$E$609,$A661&amp;" ضد "&amp;K$613)+COUNTIF($E$4:$E$609,K$613&amp;" ضد "&amp;$A661))</f>
        <v>0</v>
      </c>
      <c r="L661" s="4">
        <f>IF($A661=L$613,"",COUNTIF($E$4:$E$609,$A661&amp;" ضد "&amp;L$613)+COUNTIF($E$4:$E$609,L$613&amp;" ضد "&amp;$A661))</f>
        <v>0</v>
      </c>
      <c r="M661" s="4">
        <f>IF($A661=M$613,"",COUNTIF($E$4:$E$609,$A661&amp;" ضد "&amp;M$613)+COUNTIF($E$4:$E$609,M$613&amp;" ضد "&amp;$A661))</f>
        <v>0</v>
      </c>
      <c r="N661" s="4">
        <f>IF($A661=N$613,"",COUNTIF($E$4:$E$609,$A661&amp;" ضد "&amp;N$613)+COUNTIF($E$4:$E$609,N$613&amp;" ضد "&amp;$A661))</f>
        <v>0</v>
      </c>
      <c r="O661" s="4">
        <f>IF($A661=O$613,"",COUNTIF($E$4:$E$609,$A661&amp;" ضد "&amp;O$613)+COUNTIF($E$4:$E$609,O$613&amp;" ضد "&amp;$A661))</f>
        <v>0</v>
      </c>
      <c r="P661" s="4">
        <f>IF($A661=P$613,"",COUNTIF($E$4:$E$609,$A661&amp;" ضد "&amp;P$613)+COUNTIF($E$4:$E$609,P$613&amp;" ضد "&amp;$A661))</f>
        <v>0</v>
      </c>
      <c r="Q661" s="4">
        <f>IF($A661=Q$613,"",COUNTIF($E$4:$E$609,$A661&amp;" ضد "&amp;Q$613)+COUNTIF($E$4:$E$609,Q$613&amp;" ضد "&amp;$A661))</f>
        <v>0</v>
      </c>
      <c r="R661" s="4">
        <f>IF($A661=R$613,"",COUNTIF($E$4:$E$609,$A661&amp;" ضد "&amp;R$613)+COUNTIF($E$4:$E$609,R$613&amp;" ضد "&amp;$A661))</f>
        <v>0</v>
      </c>
      <c r="S661" s="4">
        <f>IF($A661=S$613,"",COUNTIF($E$4:$E$609,$A661&amp;" ضد "&amp;S$613)+COUNTIF($E$4:$E$609,S$613&amp;" ضد "&amp;$A661))</f>
        <v>0</v>
      </c>
      <c r="T661" s="4">
        <f>IF($A661=T$613,"",COUNTIF($E$4:$E$609,$A661&amp;" ضد "&amp;T$613)+COUNTIF($E$4:$E$609,T$613&amp;" ضد "&amp;$A661))</f>
        <v>0</v>
      </c>
      <c r="U661" s="4">
        <f>IF($A661=U$613,"",COUNTIF($E$4:$E$609,$A661&amp;" ضد "&amp;U$613)+COUNTIF($E$4:$E$609,U$613&amp;" ضد "&amp;$A661))</f>
        <v>0</v>
      </c>
      <c r="V661" s="4">
        <f>IF($A661=V$613,"",COUNTIF($E$4:$E$609,$A661&amp;" ضد "&amp;V$613)+COUNTIF($E$4:$E$609,V$613&amp;" ضد "&amp;$A661))</f>
        <v>0</v>
      </c>
      <c r="W661" s="4">
        <f>IF($A661=W$613,"",COUNTIF($E$4:$E$609,$A661&amp;" ضد "&amp;W$613)+COUNTIF($E$4:$E$609,W$613&amp;" ضد "&amp;$A661))</f>
        <v>0</v>
      </c>
      <c r="X661" s="4">
        <f>IF($A661=X$613,"",COUNTIF($E$4:$E$609,$A661&amp;" ضد "&amp;X$613)+COUNTIF($E$4:$E$609,X$613&amp;" ضد "&amp;$A661))</f>
        <v>0</v>
      </c>
      <c r="Y661" s="4">
        <f>IF($A661=Y$613,"",COUNTIF($E$4:$E$609,$A661&amp;" ضد "&amp;Y$613)+COUNTIF($E$4:$E$609,Y$613&amp;" ضد "&amp;$A661))</f>
        <v>0</v>
      </c>
      <c r="Z661" s="4">
        <f>IF($A661=Z$613,"",COUNTIF($E$4:$E$609,$A661&amp;" ضد "&amp;Z$613)+COUNTIF($E$4:$E$609,Z$613&amp;" ضد "&amp;$A661))</f>
        <v>0</v>
      </c>
      <c r="AA661" s="4">
        <f>IF($A661=AA$613,"",COUNTIF($E$4:$E$609,$A661&amp;" ضد "&amp;AA$613)+COUNTIF($E$4:$E$609,AA$613&amp;" ضد "&amp;$A661))</f>
        <v>0</v>
      </c>
      <c r="AB661" s="4">
        <f>IF($A661=AB$613,"",COUNTIF($E$4:$E$609,$A661&amp;" ضد "&amp;AB$613)+COUNTIF($E$4:$E$609,AB$613&amp;" ضد "&amp;$A661))</f>
        <v>0</v>
      </c>
      <c r="AC661" s="4">
        <f>IF($A661=AC$613,"",COUNTIF($E$4:$E$609,$A661&amp;" ضد "&amp;AC$613)+COUNTIF($E$4:$E$609,AC$613&amp;" ضد "&amp;$A661))</f>
        <v>0</v>
      </c>
      <c r="AD661" s="4">
        <f>IF($A661=AD$613,"",COUNTIF($E$4:$E$609,$A661&amp;" ضد "&amp;AD$613)+COUNTIF($E$4:$E$609,AD$613&amp;" ضد "&amp;$A661))</f>
        <v>0</v>
      </c>
      <c r="AE661" s="4">
        <f>IF($A661=AE$613,"",COUNTIF($E$4:$E$609,$A661&amp;" ضد "&amp;AE$613)+COUNTIF($E$4:$E$609,AE$613&amp;" ضد "&amp;$A661))</f>
        <v>0</v>
      </c>
      <c r="AF661" s="4">
        <f>IF($A661=AF$613,"",COUNTIF($E$4:$E$609,$A661&amp;" ضد "&amp;AF$613)+COUNTIF($E$4:$E$609,AF$613&amp;" ضد "&amp;$A661))</f>
        <v>0</v>
      </c>
      <c r="AG661" s="4">
        <f>IF($A661=AG$613,"",COUNTIF($E$4:$E$609,$A661&amp;" ضد "&amp;AG$613)+COUNTIF($E$4:$E$609,AG$613&amp;" ضد "&amp;$A661))</f>
        <v>0</v>
      </c>
      <c r="AH661" s="4">
        <f>IF($A661=AH$613,"",COUNTIF($E$4:$E$609,$A661&amp;" ضد "&amp;AH$613)+COUNTIF($E$4:$E$609,AH$613&amp;" ضد "&amp;$A661))</f>
        <v>0</v>
      </c>
      <c r="AI661" s="4">
        <f>IF($A661=AI$613,"",COUNTIF($E$4:$E$609,$A661&amp;" ضد "&amp;AI$613)+COUNTIF($E$4:$E$609,AI$613&amp;" ضد "&amp;$A661))</f>
        <v>0</v>
      </c>
      <c r="AJ661" s="4">
        <f>IF($A661=AJ$613,"",COUNTIF($E$4:$E$609,$A661&amp;" ضد "&amp;AJ$613)+COUNTIF($E$4:$E$609,AJ$613&amp;" ضد "&amp;$A661))</f>
        <v>1</v>
      </c>
      <c r="AK661" s="4">
        <f>IF($A661=AK$613,"",COUNTIF($E$4:$E$609,$A661&amp;" ضد "&amp;AK$613)+COUNTIF($E$4:$E$609,AK$613&amp;" ضد "&amp;$A661))</f>
        <v>1</v>
      </c>
      <c r="AL661" s="4">
        <f>IF($A661=AL$613,"",COUNTIF($E$4:$E$609,$A661&amp;" ضد "&amp;AL$613)+COUNTIF($E$4:$E$609,AL$613&amp;" ضد "&amp;$A661))</f>
        <v>1</v>
      </c>
      <c r="AM661" s="4">
        <f>IF($A661=AM$613,"",COUNTIF($E$4:$E$609,$A661&amp;" ضد "&amp;AM$613)+COUNTIF($E$4:$E$609,AM$613&amp;" ضد "&amp;$A661))</f>
        <v>1</v>
      </c>
      <c r="AN661" s="4">
        <f>IF($A661=AN$613,"",COUNTIF($E$4:$E$609,$A661&amp;" ضد "&amp;AN$613)+COUNTIF($E$4:$E$609,AN$613&amp;" ضد "&amp;$A661))</f>
        <v>1</v>
      </c>
      <c r="AO661" s="4">
        <f>IF($A661=AO$613,"",COUNTIF($E$4:$E$609,$A661&amp;" ضد "&amp;AO$613)+COUNTIF($E$4:$E$609,AO$613&amp;" ضد "&amp;$A661))</f>
        <v>1</v>
      </c>
      <c r="AP661" s="4">
        <f>IF($A661=AP$613,"",COUNTIF($E$4:$E$609,$A661&amp;" ضد "&amp;AP$613)+COUNTIF($E$4:$E$609,AP$613&amp;" ضد "&amp;$A661))</f>
        <v>1</v>
      </c>
      <c r="AQ661" s="4">
        <f>IF($A661=AQ$613,"",COUNTIF($E$4:$E$609,$A661&amp;" ضد "&amp;AQ$613)+COUNTIF($E$4:$E$609,AQ$613&amp;" ضد "&amp;$A661))</f>
        <v>1</v>
      </c>
      <c r="AR661" s="4">
        <f>IF($A661=AR$613,"",COUNTIF($E$4:$E$609,$A661&amp;" ضد "&amp;AR$613)+COUNTIF($E$4:$E$609,AR$613&amp;" ضد "&amp;$A661))</f>
        <v>1</v>
      </c>
      <c r="AS661" s="4">
        <f>IF($A661=AS$613,"",COUNTIF($E$4:$E$609,$A661&amp;" ضد "&amp;AS$613)+COUNTIF($E$4:$E$609,AS$613&amp;" ضد "&amp;$A661))</f>
        <v>1</v>
      </c>
      <c r="AT661" s="4">
        <f>IF($A661=AT$613,"",COUNTIF($E$4:$E$609,$A661&amp;" ضد "&amp;AT$613)+COUNTIF($E$4:$E$609,AT$613&amp;" ضد "&amp;$A661))</f>
        <v>1</v>
      </c>
      <c r="AU661" s="4">
        <f>IF($A661=AU$613,"",COUNTIF($E$4:$E$609,$A661&amp;" ضد "&amp;AU$613)+COUNTIF($E$4:$E$609,AU$613&amp;" ضد "&amp;$A661))</f>
        <v>1</v>
      </c>
      <c r="AV661" s="4">
        <f>IF($A661=AV$613,"",COUNTIF($E$4:$E$609,$A661&amp;" ضد "&amp;AV$613)+COUNTIF($E$4:$E$609,AV$613&amp;" ضد "&amp;$A661))</f>
        <v>2</v>
      </c>
      <c r="AW661" s="4" t="str">
        <f>IF($A661=AW$613,"",COUNTIF($E$4:$E$609,$A661&amp;" ضد "&amp;AW$613)+COUNTIF($E$4:$E$609,AW$613&amp;" ضد "&amp;$A661))</f>
        <v/>
      </c>
      <c r="AX661" s="4">
        <f>IF($A661=AX$613,"",COUNTIF($E$4:$E$609,$A661&amp;" ضد "&amp;AX$613)+COUNTIF($E$4:$E$609,AX$613&amp;" ضد "&amp;$A661))</f>
        <v>2</v>
      </c>
      <c r="AY661" s="4">
        <f>IF($A661=AY$613,"",COUNTIF($E$4:$E$609,$A661&amp;" ضد "&amp;AY$613)+COUNTIF($E$4:$E$609,AY$613&amp;" ضد "&amp;$A661))</f>
        <v>1</v>
      </c>
      <c r="AZ661" s="4">
        <f>IF($A661=AZ$613,"",COUNTIF($E$4:$E$609,$A661&amp;" ضد "&amp;AZ$613)+COUNTIF($E$4:$E$609,AZ$613&amp;" ضد "&amp;$A661))</f>
        <v>1</v>
      </c>
      <c r="BA661" s="4">
        <f>IF($A661=BA$613,"",COUNTIF($E$4:$E$609,$A661&amp;" ضد "&amp;BA$613)+COUNTIF($E$4:$E$609,BA$613&amp;" ضد "&amp;$A661))</f>
        <v>0</v>
      </c>
      <c r="BB661" s="4">
        <f>IF($A661=BB$613,"",COUNTIF($E$4:$E$609,$A661&amp;" ضد "&amp;BB$613)+COUNTIF($E$4:$E$609,BB$613&amp;" ضد "&amp;$A661))</f>
        <v>0</v>
      </c>
      <c r="BC661" s="4">
        <f>IF($A661=BC$613,"",COUNTIF($E$4:$E$609,$A661&amp;" ضد "&amp;BC$613)+COUNTIF($E$4:$E$609,BC$613&amp;" ضد "&amp;$A661))</f>
        <v>0</v>
      </c>
      <c r="BD661" s="4">
        <f>IF($A661=BD$613,"",COUNTIF($E$4:$E$609,$A661&amp;" ضد "&amp;BD$613)+COUNTIF($E$4:$E$609,BD$613&amp;" ضد "&amp;$A661))</f>
        <v>0</v>
      </c>
      <c r="BE661" s="4">
        <f>IF($A661=BE$613,"",COUNTIF($E$4:$E$609,$A661&amp;" ضد "&amp;BE$613)+COUNTIF($E$4:$E$609,BE$613&amp;" ضد "&amp;$A661))</f>
        <v>0</v>
      </c>
      <c r="BF661" s="4">
        <f>IF($A661=BF$613,"",COUNTIF($E$4:$E$609,$A661&amp;" ضد "&amp;BF$613)+COUNTIF($E$4:$E$609,BF$613&amp;" ضد "&amp;$A661))</f>
        <v>0</v>
      </c>
      <c r="BG661" s="4">
        <f>IF($A661=BG$613,"",COUNTIF($E$4:$E$609,$A661&amp;" ضد "&amp;BG$613)+COUNTIF($E$4:$E$609,BG$613&amp;" ضد "&amp;$A661))</f>
        <v>0</v>
      </c>
      <c r="BH661" s="4">
        <f>IF($A661=BH$613,"",COUNTIF($E$4:$E$609,$A661&amp;" ضد "&amp;BH$613)+COUNTIF($E$4:$E$609,BH$613&amp;" ضد "&amp;$A661))</f>
        <v>0</v>
      </c>
      <c r="BI661" s="4">
        <f>IF($A661=BI$613,"",COUNTIF($E$4:$E$609,$A661&amp;" ضد "&amp;BI$613)+COUNTIF($E$4:$E$609,BI$613&amp;" ضد "&amp;$A661))</f>
        <v>0</v>
      </c>
      <c r="BJ661" s="4">
        <f>IF($A661=BJ$613,"",COUNTIF($E$4:$E$609,$A661&amp;" ضد "&amp;BJ$613)+COUNTIF($E$4:$E$609,BJ$613&amp;" ضد "&amp;$A661))</f>
        <v>0</v>
      </c>
      <c r="BK661" s="4">
        <f>IF($A661=BK$613,"",COUNTIF($E$4:$E$609,$A661&amp;" ضد "&amp;BK$613)+COUNTIF($E$4:$E$609,BK$613&amp;" ضد "&amp;$A661))</f>
        <v>0</v>
      </c>
      <c r="BL661" s="4">
        <f>IF($A661=BL$613,"",COUNTIF($E$4:$E$609,$A661&amp;" ضد "&amp;BL$613)+COUNTIF($E$4:$E$609,BL$613&amp;" ضد "&amp;$A661))</f>
        <v>0</v>
      </c>
      <c r="BM661" s="4">
        <f>IF($A661=BM$613,"",COUNTIF($E$4:$E$609,$A661&amp;" ضد "&amp;BM$613)+COUNTIF($E$4:$E$609,BM$613&amp;" ضد "&amp;$A661))</f>
        <v>0</v>
      </c>
      <c r="BN661" s="4">
        <f>IF($A661=BN$613,"",COUNTIF($E$4:$E$609,$A661&amp;" ضد "&amp;BN$613)+COUNTIF($E$4:$E$609,BN$613&amp;" ضد "&amp;$A661))</f>
        <v>0</v>
      </c>
      <c r="BO661" s="4">
        <f>IF($A661=BO$613,"",COUNTIF($E$4:$E$609,$A661&amp;" ضد "&amp;BO$613)+COUNTIF($E$4:$E$609,BO$613&amp;" ضد "&amp;$A661))</f>
        <v>0</v>
      </c>
      <c r="BP661" s="4">
        <f>IF($A661=BP$613,"",COUNTIF($E$4:$E$609,$A661&amp;" ضد "&amp;BP$613)+COUNTIF($E$4:$E$609,BP$613&amp;" ضد "&amp;$A661))</f>
        <v>0</v>
      </c>
    </row>
    <row r="662" spans="1:68" ht="14.5">
      <c r="A662" s="14">
        <v>49</v>
      </c>
      <c r="B662" s="4">
        <f>IF($A662=B$613,"",COUNTIF($E$4:$E$609,$A662&amp;" ضد "&amp;B$613)+COUNTIF($E$4:$E$609,B$613&amp;" ضد "&amp;$A662))</f>
        <v>0</v>
      </c>
      <c r="C662" s="4">
        <f>IF($A662=C$613,"",COUNTIF($E$4:$E$609,$A662&amp;" ضد "&amp;C$613)+COUNTIF($E$4:$E$609,C$613&amp;" ضد "&amp;$A662))</f>
        <v>0</v>
      </c>
      <c r="D662" s="4">
        <f>IF($A662=D$613,"",COUNTIF($E$4:$E$609,$A662&amp;" ضد "&amp;D$613)+COUNTIF($E$4:$E$609,D$613&amp;" ضد "&amp;$A662))</f>
        <v>0</v>
      </c>
      <c r="E662" s="4">
        <f>IF($A662=E$613,"",COUNTIF($E$4:$E$609,$A662&amp;" ضد "&amp;E$613)+COUNTIF($E$4:$E$609,E$613&amp;" ضد "&amp;$A662))</f>
        <v>0</v>
      </c>
      <c r="F662" s="4">
        <f>IF($A662=F$613,"",COUNTIF($E$4:$E$609,$A662&amp;" ضد "&amp;F$613)+COUNTIF($E$4:$E$609,F$613&amp;" ضد "&amp;$A662))</f>
        <v>0</v>
      </c>
      <c r="G662" s="4">
        <f>IF($A662=G$613,"",COUNTIF($E$4:$E$609,$A662&amp;" ضد "&amp;G$613)+COUNTIF($E$4:$E$609,G$613&amp;" ضد "&amp;$A662))</f>
        <v>0</v>
      </c>
      <c r="H662" s="4">
        <f>IF($A662=H$613,"",COUNTIF($E$4:$E$609,$A662&amp;" ضد "&amp;H$613)+COUNTIF($E$4:$E$609,H$613&amp;" ضد "&amp;$A662))</f>
        <v>0</v>
      </c>
      <c r="I662" s="4">
        <f>IF($A662=I$613,"",COUNTIF($E$4:$E$609,$A662&amp;" ضد "&amp;I$613)+COUNTIF($E$4:$E$609,I$613&amp;" ضد "&amp;$A662))</f>
        <v>0</v>
      </c>
      <c r="J662" s="4">
        <f>IF($A662=J$613,"",COUNTIF($E$4:$E$609,$A662&amp;" ضد "&amp;J$613)+COUNTIF($E$4:$E$609,J$613&amp;" ضد "&amp;$A662))</f>
        <v>0</v>
      </c>
      <c r="K662" s="4">
        <f>IF($A662=K$613,"",COUNTIF($E$4:$E$609,$A662&amp;" ضد "&amp;K$613)+COUNTIF($E$4:$E$609,K$613&amp;" ضد "&amp;$A662))</f>
        <v>0</v>
      </c>
      <c r="L662" s="4">
        <f>IF($A662=L$613,"",COUNTIF($E$4:$E$609,$A662&amp;" ضد "&amp;L$613)+COUNTIF($E$4:$E$609,L$613&amp;" ضد "&amp;$A662))</f>
        <v>0</v>
      </c>
      <c r="M662" s="4">
        <f>IF($A662=M$613,"",COUNTIF($E$4:$E$609,$A662&amp;" ضد "&amp;M$613)+COUNTIF($E$4:$E$609,M$613&amp;" ضد "&amp;$A662))</f>
        <v>0</v>
      </c>
      <c r="N662" s="4">
        <f>IF($A662=N$613,"",COUNTIF($E$4:$E$609,$A662&amp;" ضد "&amp;N$613)+COUNTIF($E$4:$E$609,N$613&amp;" ضد "&amp;$A662))</f>
        <v>0</v>
      </c>
      <c r="O662" s="4">
        <f>IF($A662=O$613,"",COUNTIF($E$4:$E$609,$A662&amp;" ضد "&amp;O$613)+COUNTIF($E$4:$E$609,O$613&amp;" ضد "&amp;$A662))</f>
        <v>0</v>
      </c>
      <c r="P662" s="4">
        <f>IF($A662=P$613,"",COUNTIF($E$4:$E$609,$A662&amp;" ضد "&amp;P$613)+COUNTIF($E$4:$E$609,P$613&amp;" ضد "&amp;$A662))</f>
        <v>0</v>
      </c>
      <c r="Q662" s="4">
        <f>IF($A662=Q$613,"",COUNTIF($E$4:$E$609,$A662&amp;" ضد "&amp;Q$613)+COUNTIF($E$4:$E$609,Q$613&amp;" ضد "&amp;$A662))</f>
        <v>0</v>
      </c>
      <c r="R662" s="4">
        <f>IF($A662=R$613,"",COUNTIF($E$4:$E$609,$A662&amp;" ضد "&amp;R$613)+COUNTIF($E$4:$E$609,R$613&amp;" ضد "&amp;$A662))</f>
        <v>0</v>
      </c>
      <c r="S662" s="4">
        <f>IF($A662=S$613,"",COUNTIF($E$4:$E$609,$A662&amp;" ضد "&amp;S$613)+COUNTIF($E$4:$E$609,S$613&amp;" ضد "&amp;$A662))</f>
        <v>0</v>
      </c>
      <c r="T662" s="4">
        <f>IF($A662=T$613,"",COUNTIF($E$4:$E$609,$A662&amp;" ضد "&amp;T$613)+COUNTIF($E$4:$E$609,T$613&amp;" ضد "&amp;$A662))</f>
        <v>0</v>
      </c>
      <c r="U662" s="4">
        <f>IF($A662=U$613,"",COUNTIF($E$4:$E$609,$A662&amp;" ضد "&amp;U$613)+COUNTIF($E$4:$E$609,U$613&amp;" ضد "&amp;$A662))</f>
        <v>0</v>
      </c>
      <c r="V662" s="4">
        <f>IF($A662=V$613,"",COUNTIF($E$4:$E$609,$A662&amp;" ضد "&amp;V$613)+COUNTIF($E$4:$E$609,V$613&amp;" ضد "&amp;$A662))</f>
        <v>0</v>
      </c>
      <c r="W662" s="4">
        <f>IF($A662=W$613,"",COUNTIF($E$4:$E$609,$A662&amp;" ضد "&amp;W$613)+COUNTIF($E$4:$E$609,W$613&amp;" ضد "&amp;$A662))</f>
        <v>0</v>
      </c>
      <c r="X662" s="4">
        <f>IF($A662=X$613,"",COUNTIF($E$4:$E$609,$A662&amp;" ضد "&amp;X$613)+COUNTIF($E$4:$E$609,X$613&amp;" ضد "&amp;$A662))</f>
        <v>0</v>
      </c>
      <c r="Y662" s="4">
        <f>IF($A662=Y$613,"",COUNTIF($E$4:$E$609,$A662&amp;" ضد "&amp;Y$613)+COUNTIF($E$4:$E$609,Y$613&amp;" ضد "&amp;$A662))</f>
        <v>0</v>
      </c>
      <c r="Z662" s="4">
        <f>IF($A662=Z$613,"",COUNTIF($E$4:$E$609,$A662&amp;" ضد "&amp;Z$613)+COUNTIF($E$4:$E$609,Z$613&amp;" ضد "&amp;$A662))</f>
        <v>0</v>
      </c>
      <c r="AA662" s="4">
        <f>IF($A662=AA$613,"",COUNTIF($E$4:$E$609,$A662&amp;" ضد "&amp;AA$613)+COUNTIF($E$4:$E$609,AA$613&amp;" ضد "&amp;$A662))</f>
        <v>0</v>
      </c>
      <c r="AB662" s="4">
        <f>IF($A662=AB$613,"",COUNTIF($E$4:$E$609,$A662&amp;" ضد "&amp;AB$613)+COUNTIF($E$4:$E$609,AB$613&amp;" ضد "&amp;$A662))</f>
        <v>0</v>
      </c>
      <c r="AC662" s="4">
        <f>IF($A662=AC$613,"",COUNTIF($E$4:$E$609,$A662&amp;" ضد "&amp;AC$613)+COUNTIF($E$4:$E$609,AC$613&amp;" ضد "&amp;$A662))</f>
        <v>0</v>
      </c>
      <c r="AD662" s="4">
        <f>IF($A662=AD$613,"",COUNTIF($E$4:$E$609,$A662&amp;" ضد "&amp;AD$613)+COUNTIF($E$4:$E$609,AD$613&amp;" ضد "&amp;$A662))</f>
        <v>0</v>
      </c>
      <c r="AE662" s="4">
        <f>IF($A662=AE$613,"",COUNTIF($E$4:$E$609,$A662&amp;" ضد "&amp;AE$613)+COUNTIF($E$4:$E$609,AE$613&amp;" ضد "&amp;$A662))</f>
        <v>0</v>
      </c>
      <c r="AF662" s="4">
        <f>IF($A662=AF$613,"",COUNTIF($E$4:$E$609,$A662&amp;" ضد "&amp;AF$613)+COUNTIF($E$4:$E$609,AF$613&amp;" ضد "&amp;$A662))</f>
        <v>0</v>
      </c>
      <c r="AG662" s="4">
        <f>IF($A662=AG$613,"",COUNTIF($E$4:$E$609,$A662&amp;" ضد "&amp;AG$613)+COUNTIF($E$4:$E$609,AG$613&amp;" ضد "&amp;$A662))</f>
        <v>0</v>
      </c>
      <c r="AH662" s="4">
        <f>IF($A662=AH$613,"",COUNTIF($E$4:$E$609,$A662&amp;" ضد "&amp;AH$613)+COUNTIF($E$4:$E$609,AH$613&amp;" ضد "&amp;$A662))</f>
        <v>0</v>
      </c>
      <c r="AI662" s="4">
        <f>IF($A662=AI$613,"",COUNTIF($E$4:$E$609,$A662&amp;" ضد "&amp;AI$613)+COUNTIF($E$4:$E$609,AI$613&amp;" ضد "&amp;$A662))</f>
        <v>0</v>
      </c>
      <c r="AJ662" s="4">
        <f>IF($A662=AJ$613,"",COUNTIF($E$4:$E$609,$A662&amp;" ضد "&amp;AJ$613)+COUNTIF($E$4:$E$609,AJ$613&amp;" ضد "&amp;$A662))</f>
        <v>1</v>
      </c>
      <c r="AK662" s="4">
        <f>IF($A662=AK$613,"",COUNTIF($E$4:$E$609,$A662&amp;" ضد "&amp;AK$613)+COUNTIF($E$4:$E$609,AK$613&amp;" ضد "&amp;$A662))</f>
        <v>1</v>
      </c>
      <c r="AL662" s="4">
        <f>IF($A662=AL$613,"",COUNTIF($E$4:$E$609,$A662&amp;" ضد "&amp;AL$613)+COUNTIF($E$4:$E$609,AL$613&amp;" ضد "&amp;$A662))</f>
        <v>1</v>
      </c>
      <c r="AM662" s="4">
        <f>IF($A662=AM$613,"",COUNTIF($E$4:$E$609,$A662&amp;" ضد "&amp;AM$613)+COUNTIF($E$4:$E$609,AM$613&amp;" ضد "&amp;$A662))</f>
        <v>1</v>
      </c>
      <c r="AN662" s="4">
        <f>IF($A662=AN$613,"",COUNTIF($E$4:$E$609,$A662&amp;" ضد "&amp;AN$613)+COUNTIF($E$4:$E$609,AN$613&amp;" ضد "&amp;$A662))</f>
        <v>1</v>
      </c>
      <c r="AO662" s="4">
        <f>IF($A662=AO$613,"",COUNTIF($E$4:$E$609,$A662&amp;" ضد "&amp;AO$613)+COUNTIF($E$4:$E$609,AO$613&amp;" ضد "&amp;$A662))</f>
        <v>1</v>
      </c>
      <c r="AP662" s="4">
        <f>IF($A662=AP$613,"",COUNTIF($E$4:$E$609,$A662&amp;" ضد "&amp;AP$613)+COUNTIF($E$4:$E$609,AP$613&amp;" ضد "&amp;$A662))</f>
        <v>1</v>
      </c>
      <c r="AQ662" s="4">
        <f>IF($A662=AQ$613,"",COUNTIF($E$4:$E$609,$A662&amp;" ضد "&amp;AQ$613)+COUNTIF($E$4:$E$609,AQ$613&amp;" ضد "&amp;$A662))</f>
        <v>1</v>
      </c>
      <c r="AR662" s="4">
        <f>IF($A662=AR$613,"",COUNTIF($E$4:$E$609,$A662&amp;" ضد "&amp;AR$613)+COUNTIF($E$4:$E$609,AR$613&amp;" ضد "&amp;$A662))</f>
        <v>1</v>
      </c>
      <c r="AS662" s="4">
        <f>IF($A662=AS$613,"",COUNTIF($E$4:$E$609,$A662&amp;" ضد "&amp;AS$613)+COUNTIF($E$4:$E$609,AS$613&amp;" ضد "&amp;$A662))</f>
        <v>1</v>
      </c>
      <c r="AT662" s="4">
        <f>IF($A662=AT$613,"",COUNTIF($E$4:$E$609,$A662&amp;" ضد "&amp;AT$613)+COUNTIF($E$4:$E$609,AT$613&amp;" ضد "&amp;$A662))</f>
        <v>1</v>
      </c>
      <c r="AU662" s="4">
        <f>IF($A662=AU$613,"",COUNTIF($E$4:$E$609,$A662&amp;" ضد "&amp;AU$613)+COUNTIF($E$4:$E$609,AU$613&amp;" ضد "&amp;$A662))</f>
        <v>1</v>
      </c>
      <c r="AV662" s="4">
        <f>IF($A662=AV$613,"",COUNTIF($E$4:$E$609,$A662&amp;" ضد "&amp;AV$613)+COUNTIF($E$4:$E$609,AV$613&amp;" ضد "&amp;$A662))</f>
        <v>1</v>
      </c>
      <c r="AW662" s="4">
        <f>IF($A662=AW$613,"",COUNTIF($E$4:$E$609,$A662&amp;" ضد "&amp;AW$613)+COUNTIF($E$4:$E$609,AW$613&amp;" ضد "&amp;$A662))</f>
        <v>2</v>
      </c>
      <c r="AX662" s="4" t="str">
        <f>IF($A662=AX$613,"",COUNTIF($E$4:$E$609,$A662&amp;" ضد "&amp;AX$613)+COUNTIF($E$4:$E$609,AX$613&amp;" ضد "&amp;$A662))</f>
        <v/>
      </c>
      <c r="AY662" s="4">
        <f>IF($A662=AY$613,"",COUNTIF($E$4:$E$609,$A662&amp;" ضد "&amp;AY$613)+COUNTIF($E$4:$E$609,AY$613&amp;" ضد "&amp;$A662))</f>
        <v>2</v>
      </c>
      <c r="AZ662" s="4">
        <f>IF($A662=AZ$613,"",COUNTIF($E$4:$E$609,$A662&amp;" ضد "&amp;AZ$613)+COUNTIF($E$4:$E$609,AZ$613&amp;" ضد "&amp;$A662))</f>
        <v>1</v>
      </c>
      <c r="BA662" s="4">
        <f>IF($A662=BA$613,"",COUNTIF($E$4:$E$609,$A662&amp;" ضد "&amp;BA$613)+COUNTIF($E$4:$E$609,BA$613&amp;" ضد "&amp;$A662))</f>
        <v>0</v>
      </c>
      <c r="BB662" s="4">
        <f>IF($A662=BB$613,"",COUNTIF($E$4:$E$609,$A662&amp;" ضد "&amp;BB$613)+COUNTIF($E$4:$E$609,BB$613&amp;" ضد "&amp;$A662))</f>
        <v>0</v>
      </c>
      <c r="BC662" s="4">
        <f>IF($A662=BC$613,"",COUNTIF($E$4:$E$609,$A662&amp;" ضد "&amp;BC$613)+COUNTIF($E$4:$E$609,BC$613&amp;" ضد "&amp;$A662))</f>
        <v>0</v>
      </c>
      <c r="BD662" s="4">
        <f>IF($A662=BD$613,"",COUNTIF($E$4:$E$609,$A662&amp;" ضد "&amp;BD$613)+COUNTIF($E$4:$E$609,BD$613&amp;" ضد "&amp;$A662))</f>
        <v>0</v>
      </c>
      <c r="BE662" s="4">
        <f>IF($A662=BE$613,"",COUNTIF($E$4:$E$609,$A662&amp;" ضد "&amp;BE$613)+COUNTIF($E$4:$E$609,BE$613&amp;" ضد "&amp;$A662))</f>
        <v>0</v>
      </c>
      <c r="BF662" s="4">
        <f>IF($A662=BF$613,"",COUNTIF($E$4:$E$609,$A662&amp;" ضد "&amp;BF$613)+COUNTIF($E$4:$E$609,BF$613&amp;" ضد "&amp;$A662))</f>
        <v>0</v>
      </c>
      <c r="BG662" s="4">
        <f>IF($A662=BG$613,"",COUNTIF($E$4:$E$609,$A662&amp;" ضد "&amp;BG$613)+COUNTIF($E$4:$E$609,BG$613&amp;" ضد "&amp;$A662))</f>
        <v>0</v>
      </c>
      <c r="BH662" s="4">
        <f>IF($A662=BH$613,"",COUNTIF($E$4:$E$609,$A662&amp;" ضد "&amp;BH$613)+COUNTIF($E$4:$E$609,BH$613&amp;" ضد "&amp;$A662))</f>
        <v>0</v>
      </c>
      <c r="BI662" s="4">
        <f>IF($A662=BI$613,"",COUNTIF($E$4:$E$609,$A662&amp;" ضد "&amp;BI$613)+COUNTIF($E$4:$E$609,BI$613&amp;" ضد "&amp;$A662))</f>
        <v>0</v>
      </c>
      <c r="BJ662" s="4">
        <f>IF($A662=BJ$613,"",COUNTIF($E$4:$E$609,$A662&amp;" ضد "&amp;BJ$613)+COUNTIF($E$4:$E$609,BJ$613&amp;" ضد "&amp;$A662))</f>
        <v>0</v>
      </c>
      <c r="BK662" s="4">
        <f>IF($A662=BK$613,"",COUNTIF($E$4:$E$609,$A662&amp;" ضد "&amp;BK$613)+COUNTIF($E$4:$E$609,BK$613&amp;" ضد "&amp;$A662))</f>
        <v>0</v>
      </c>
      <c r="BL662" s="4">
        <f>IF($A662=BL$613,"",COUNTIF($E$4:$E$609,$A662&amp;" ضد "&amp;BL$613)+COUNTIF($E$4:$E$609,BL$613&amp;" ضد "&amp;$A662))</f>
        <v>0</v>
      </c>
      <c r="BM662" s="4">
        <f>IF($A662=BM$613,"",COUNTIF($E$4:$E$609,$A662&amp;" ضد "&amp;BM$613)+COUNTIF($E$4:$E$609,BM$613&amp;" ضد "&amp;$A662))</f>
        <v>0</v>
      </c>
      <c r="BN662" s="4">
        <f>IF($A662=BN$613,"",COUNTIF($E$4:$E$609,$A662&amp;" ضد "&amp;BN$613)+COUNTIF($E$4:$E$609,BN$613&amp;" ضد "&amp;$A662))</f>
        <v>0</v>
      </c>
      <c r="BO662" s="4">
        <f>IF($A662=BO$613,"",COUNTIF($E$4:$E$609,$A662&amp;" ضد "&amp;BO$613)+COUNTIF($E$4:$E$609,BO$613&amp;" ضد "&amp;$A662))</f>
        <v>0</v>
      </c>
      <c r="BP662" s="4">
        <f>IF($A662=BP$613,"",COUNTIF($E$4:$E$609,$A662&amp;" ضد "&amp;BP$613)+COUNTIF($E$4:$E$609,BP$613&amp;" ضد "&amp;$A662))</f>
        <v>0</v>
      </c>
    </row>
    <row r="663" spans="1:68" ht="14.5">
      <c r="A663" s="14">
        <v>50</v>
      </c>
      <c r="B663" s="4">
        <f>IF($A663=B$613,"",COUNTIF($E$4:$E$609,$A663&amp;" ضد "&amp;B$613)+COUNTIF($E$4:$E$609,B$613&amp;" ضد "&amp;$A663))</f>
        <v>0</v>
      </c>
      <c r="C663" s="4">
        <f>IF($A663=C$613,"",COUNTIF($E$4:$E$609,$A663&amp;" ضد "&amp;C$613)+COUNTIF($E$4:$E$609,C$613&amp;" ضد "&amp;$A663))</f>
        <v>0</v>
      </c>
      <c r="D663" s="4">
        <f>IF($A663=D$613,"",COUNTIF($E$4:$E$609,$A663&amp;" ضد "&amp;D$613)+COUNTIF($E$4:$E$609,D$613&amp;" ضد "&amp;$A663))</f>
        <v>0</v>
      </c>
      <c r="E663" s="4">
        <f>IF($A663=E$613,"",COUNTIF($E$4:$E$609,$A663&amp;" ضد "&amp;E$613)+COUNTIF($E$4:$E$609,E$613&amp;" ضد "&amp;$A663))</f>
        <v>0</v>
      </c>
      <c r="F663" s="4">
        <f>IF($A663=F$613,"",COUNTIF($E$4:$E$609,$A663&amp;" ضد "&amp;F$613)+COUNTIF($E$4:$E$609,F$613&amp;" ضد "&amp;$A663))</f>
        <v>0</v>
      </c>
      <c r="G663" s="4">
        <f>IF($A663=G$613,"",COUNTIF($E$4:$E$609,$A663&amp;" ضد "&amp;G$613)+COUNTIF($E$4:$E$609,G$613&amp;" ضد "&amp;$A663))</f>
        <v>0</v>
      </c>
      <c r="H663" s="4">
        <f>IF($A663=H$613,"",COUNTIF($E$4:$E$609,$A663&amp;" ضد "&amp;H$613)+COUNTIF($E$4:$E$609,H$613&amp;" ضد "&amp;$A663))</f>
        <v>0</v>
      </c>
      <c r="I663" s="4">
        <f>IF($A663=I$613,"",COUNTIF($E$4:$E$609,$A663&amp;" ضد "&amp;I$613)+COUNTIF($E$4:$E$609,I$613&amp;" ضد "&amp;$A663))</f>
        <v>0</v>
      </c>
      <c r="J663" s="4">
        <f>IF($A663=J$613,"",COUNTIF($E$4:$E$609,$A663&amp;" ضد "&amp;J$613)+COUNTIF($E$4:$E$609,J$613&amp;" ضد "&amp;$A663))</f>
        <v>0</v>
      </c>
      <c r="K663" s="4">
        <f>IF($A663=K$613,"",COUNTIF($E$4:$E$609,$A663&amp;" ضد "&amp;K$613)+COUNTIF($E$4:$E$609,K$613&amp;" ضد "&amp;$A663))</f>
        <v>0</v>
      </c>
      <c r="L663" s="4">
        <f>IF($A663=L$613,"",COUNTIF($E$4:$E$609,$A663&amp;" ضد "&amp;L$613)+COUNTIF($E$4:$E$609,L$613&amp;" ضد "&amp;$A663))</f>
        <v>0</v>
      </c>
      <c r="M663" s="4">
        <f>IF($A663=M$613,"",COUNTIF($E$4:$E$609,$A663&amp;" ضد "&amp;M$613)+COUNTIF($E$4:$E$609,M$613&amp;" ضد "&amp;$A663))</f>
        <v>0</v>
      </c>
      <c r="N663" s="4">
        <f>IF($A663=N$613,"",COUNTIF($E$4:$E$609,$A663&amp;" ضد "&amp;N$613)+COUNTIF($E$4:$E$609,N$613&amp;" ضد "&amp;$A663))</f>
        <v>0</v>
      </c>
      <c r="O663" s="4">
        <f>IF($A663=O$613,"",COUNTIF($E$4:$E$609,$A663&amp;" ضد "&amp;O$613)+COUNTIF($E$4:$E$609,O$613&amp;" ضد "&amp;$A663))</f>
        <v>0</v>
      </c>
      <c r="P663" s="4">
        <f>IF($A663=P$613,"",COUNTIF($E$4:$E$609,$A663&amp;" ضد "&amp;P$613)+COUNTIF($E$4:$E$609,P$613&amp;" ضد "&amp;$A663))</f>
        <v>0</v>
      </c>
      <c r="Q663" s="4">
        <f>IF($A663=Q$613,"",COUNTIF($E$4:$E$609,$A663&amp;" ضد "&amp;Q$613)+COUNTIF($E$4:$E$609,Q$613&amp;" ضد "&amp;$A663))</f>
        <v>0</v>
      </c>
      <c r="R663" s="4">
        <f>IF($A663=R$613,"",COUNTIF($E$4:$E$609,$A663&amp;" ضد "&amp;R$613)+COUNTIF($E$4:$E$609,R$613&amp;" ضد "&amp;$A663))</f>
        <v>0</v>
      </c>
      <c r="S663" s="4">
        <f>IF($A663=S$613,"",COUNTIF($E$4:$E$609,$A663&amp;" ضد "&amp;S$613)+COUNTIF($E$4:$E$609,S$613&amp;" ضد "&amp;$A663))</f>
        <v>0</v>
      </c>
      <c r="T663" s="4">
        <f>IF($A663=T$613,"",COUNTIF($E$4:$E$609,$A663&amp;" ضد "&amp;T$613)+COUNTIF($E$4:$E$609,T$613&amp;" ضد "&amp;$A663))</f>
        <v>0</v>
      </c>
      <c r="U663" s="4">
        <f>IF($A663=U$613,"",COUNTIF($E$4:$E$609,$A663&amp;" ضد "&amp;U$613)+COUNTIF($E$4:$E$609,U$613&amp;" ضد "&amp;$A663))</f>
        <v>0</v>
      </c>
      <c r="V663" s="4">
        <f>IF($A663=V$613,"",COUNTIF($E$4:$E$609,$A663&amp;" ضد "&amp;V$613)+COUNTIF($E$4:$E$609,V$613&amp;" ضد "&amp;$A663))</f>
        <v>0</v>
      </c>
      <c r="W663" s="4">
        <f>IF($A663=W$613,"",COUNTIF($E$4:$E$609,$A663&amp;" ضد "&amp;W$613)+COUNTIF($E$4:$E$609,W$613&amp;" ضد "&amp;$A663))</f>
        <v>0</v>
      </c>
      <c r="X663" s="4">
        <f>IF($A663=X$613,"",COUNTIF($E$4:$E$609,$A663&amp;" ضد "&amp;X$613)+COUNTIF($E$4:$E$609,X$613&amp;" ضد "&amp;$A663))</f>
        <v>0</v>
      </c>
      <c r="Y663" s="4">
        <f>IF($A663=Y$613,"",COUNTIF($E$4:$E$609,$A663&amp;" ضد "&amp;Y$613)+COUNTIF($E$4:$E$609,Y$613&amp;" ضد "&amp;$A663))</f>
        <v>0</v>
      </c>
      <c r="Z663" s="4">
        <f>IF($A663=Z$613,"",COUNTIF($E$4:$E$609,$A663&amp;" ضد "&amp;Z$613)+COUNTIF($E$4:$E$609,Z$613&amp;" ضد "&amp;$A663))</f>
        <v>0</v>
      </c>
      <c r="AA663" s="4">
        <f>IF($A663=AA$613,"",COUNTIF($E$4:$E$609,$A663&amp;" ضد "&amp;AA$613)+COUNTIF($E$4:$E$609,AA$613&amp;" ضد "&amp;$A663))</f>
        <v>0</v>
      </c>
      <c r="AB663" s="4">
        <f>IF($A663=AB$613,"",COUNTIF($E$4:$E$609,$A663&amp;" ضد "&amp;AB$613)+COUNTIF($E$4:$E$609,AB$613&amp;" ضد "&amp;$A663))</f>
        <v>0</v>
      </c>
      <c r="AC663" s="4">
        <f>IF($A663=AC$613,"",COUNTIF($E$4:$E$609,$A663&amp;" ضد "&amp;AC$613)+COUNTIF($E$4:$E$609,AC$613&amp;" ضد "&amp;$A663))</f>
        <v>0</v>
      </c>
      <c r="AD663" s="4">
        <f>IF($A663=AD$613,"",COUNTIF($E$4:$E$609,$A663&amp;" ضد "&amp;AD$613)+COUNTIF($E$4:$E$609,AD$613&amp;" ضد "&amp;$A663))</f>
        <v>0</v>
      </c>
      <c r="AE663" s="4">
        <f>IF($A663=AE$613,"",COUNTIF($E$4:$E$609,$A663&amp;" ضد "&amp;AE$613)+COUNTIF($E$4:$E$609,AE$613&amp;" ضد "&amp;$A663))</f>
        <v>0</v>
      </c>
      <c r="AF663" s="4">
        <f>IF($A663=AF$613,"",COUNTIF($E$4:$E$609,$A663&amp;" ضد "&amp;AF$613)+COUNTIF($E$4:$E$609,AF$613&amp;" ضد "&amp;$A663))</f>
        <v>0</v>
      </c>
      <c r="AG663" s="4">
        <f>IF($A663=AG$613,"",COUNTIF($E$4:$E$609,$A663&amp;" ضد "&amp;AG$613)+COUNTIF($E$4:$E$609,AG$613&amp;" ضد "&amp;$A663))</f>
        <v>0</v>
      </c>
      <c r="AH663" s="4">
        <f>IF($A663=AH$613,"",COUNTIF($E$4:$E$609,$A663&amp;" ضد "&amp;AH$613)+COUNTIF($E$4:$E$609,AH$613&amp;" ضد "&amp;$A663))</f>
        <v>0</v>
      </c>
      <c r="AI663" s="4">
        <f>IF($A663=AI$613,"",COUNTIF($E$4:$E$609,$A663&amp;" ضد "&amp;AI$613)+COUNTIF($E$4:$E$609,AI$613&amp;" ضد "&amp;$A663))</f>
        <v>0</v>
      </c>
      <c r="AJ663" s="4">
        <f>IF($A663=AJ$613,"",COUNTIF($E$4:$E$609,$A663&amp;" ضد "&amp;AJ$613)+COUNTIF($E$4:$E$609,AJ$613&amp;" ضد "&amp;$A663))</f>
        <v>1</v>
      </c>
      <c r="AK663" s="4">
        <f>IF($A663=AK$613,"",COUNTIF($E$4:$E$609,$A663&amp;" ضد "&amp;AK$613)+COUNTIF($E$4:$E$609,AK$613&amp;" ضد "&amp;$A663))</f>
        <v>1</v>
      </c>
      <c r="AL663" s="4">
        <f>IF($A663=AL$613,"",COUNTIF($E$4:$E$609,$A663&amp;" ضد "&amp;AL$613)+COUNTIF($E$4:$E$609,AL$613&amp;" ضد "&amp;$A663))</f>
        <v>1</v>
      </c>
      <c r="AM663" s="4">
        <f>IF($A663=AM$613,"",COUNTIF($E$4:$E$609,$A663&amp;" ضد "&amp;AM$613)+COUNTIF($E$4:$E$609,AM$613&amp;" ضد "&amp;$A663))</f>
        <v>1</v>
      </c>
      <c r="AN663" s="4">
        <f>IF($A663=AN$613,"",COUNTIF($E$4:$E$609,$A663&amp;" ضد "&amp;AN$613)+COUNTIF($E$4:$E$609,AN$613&amp;" ضد "&amp;$A663))</f>
        <v>1</v>
      </c>
      <c r="AO663" s="4">
        <f>IF($A663=AO$613,"",COUNTIF($E$4:$E$609,$A663&amp;" ضد "&amp;AO$613)+COUNTIF($E$4:$E$609,AO$613&amp;" ضد "&amp;$A663))</f>
        <v>1</v>
      </c>
      <c r="AP663" s="4">
        <f>IF($A663=AP$613,"",COUNTIF($E$4:$E$609,$A663&amp;" ضد "&amp;AP$613)+COUNTIF($E$4:$E$609,AP$613&amp;" ضد "&amp;$A663))</f>
        <v>1</v>
      </c>
      <c r="AQ663" s="4">
        <f>IF($A663=AQ$613,"",COUNTIF($E$4:$E$609,$A663&amp;" ضد "&amp;AQ$613)+COUNTIF($E$4:$E$609,AQ$613&amp;" ضد "&amp;$A663))</f>
        <v>1</v>
      </c>
      <c r="AR663" s="4">
        <f>IF($A663=AR$613,"",COUNTIF($E$4:$E$609,$A663&amp;" ضد "&amp;AR$613)+COUNTIF($E$4:$E$609,AR$613&amp;" ضد "&amp;$A663))</f>
        <v>1</v>
      </c>
      <c r="AS663" s="4">
        <f>IF($A663=AS$613,"",COUNTIF($E$4:$E$609,$A663&amp;" ضد "&amp;AS$613)+COUNTIF($E$4:$E$609,AS$613&amp;" ضد "&amp;$A663))</f>
        <v>1</v>
      </c>
      <c r="AT663" s="4">
        <f>IF($A663=AT$613,"",COUNTIF($E$4:$E$609,$A663&amp;" ضد "&amp;AT$613)+COUNTIF($E$4:$E$609,AT$613&amp;" ضد "&amp;$A663))</f>
        <v>1</v>
      </c>
      <c r="AU663" s="4">
        <f>IF($A663=AU$613,"",COUNTIF($E$4:$E$609,$A663&amp;" ضد "&amp;AU$613)+COUNTIF($E$4:$E$609,AU$613&amp;" ضد "&amp;$A663))</f>
        <v>1</v>
      </c>
      <c r="AV663" s="4">
        <f>IF($A663=AV$613,"",COUNTIF($E$4:$E$609,$A663&amp;" ضد "&amp;AV$613)+COUNTIF($E$4:$E$609,AV$613&amp;" ضد "&amp;$A663))</f>
        <v>1</v>
      </c>
      <c r="AW663" s="4">
        <f>IF($A663=AW$613,"",COUNTIF($E$4:$E$609,$A663&amp;" ضد "&amp;AW$613)+COUNTIF($E$4:$E$609,AW$613&amp;" ضد "&amp;$A663))</f>
        <v>1</v>
      </c>
      <c r="AX663" s="4">
        <f>IF($A663=AX$613,"",COUNTIF($E$4:$E$609,$A663&amp;" ضد "&amp;AX$613)+COUNTIF($E$4:$E$609,AX$613&amp;" ضد "&amp;$A663))</f>
        <v>2</v>
      </c>
      <c r="AY663" s="4" t="str">
        <f>IF($A663=AY$613,"",COUNTIF($E$4:$E$609,$A663&amp;" ضد "&amp;AY$613)+COUNTIF($E$4:$E$609,AY$613&amp;" ضد "&amp;$A663))</f>
        <v/>
      </c>
      <c r="AZ663" s="4">
        <f>IF($A663=AZ$613,"",COUNTIF($E$4:$E$609,$A663&amp;" ضد "&amp;AZ$613)+COUNTIF($E$4:$E$609,AZ$613&amp;" ضد "&amp;$A663))</f>
        <v>2</v>
      </c>
      <c r="BA663" s="4">
        <f>IF($A663=BA$613,"",COUNTIF($E$4:$E$609,$A663&amp;" ضد "&amp;BA$613)+COUNTIF($E$4:$E$609,BA$613&amp;" ضد "&amp;$A663))</f>
        <v>0</v>
      </c>
      <c r="BB663" s="4">
        <f>IF($A663=BB$613,"",COUNTIF($E$4:$E$609,$A663&amp;" ضد "&amp;BB$613)+COUNTIF($E$4:$E$609,BB$613&amp;" ضد "&amp;$A663))</f>
        <v>0</v>
      </c>
      <c r="BC663" s="4">
        <f>IF($A663=BC$613,"",COUNTIF($E$4:$E$609,$A663&amp;" ضد "&amp;BC$613)+COUNTIF($E$4:$E$609,BC$613&amp;" ضد "&amp;$A663))</f>
        <v>0</v>
      </c>
      <c r="BD663" s="4">
        <f>IF($A663=BD$613,"",COUNTIF($E$4:$E$609,$A663&amp;" ضد "&amp;BD$613)+COUNTIF($E$4:$E$609,BD$613&amp;" ضد "&amp;$A663))</f>
        <v>0</v>
      </c>
      <c r="BE663" s="4">
        <f>IF($A663=BE$613,"",COUNTIF($E$4:$E$609,$A663&amp;" ضد "&amp;BE$613)+COUNTIF($E$4:$E$609,BE$613&amp;" ضد "&amp;$A663))</f>
        <v>0</v>
      </c>
      <c r="BF663" s="4">
        <f>IF($A663=BF$613,"",COUNTIF($E$4:$E$609,$A663&amp;" ضد "&amp;BF$613)+COUNTIF($E$4:$E$609,BF$613&amp;" ضد "&amp;$A663))</f>
        <v>0</v>
      </c>
      <c r="BG663" s="4">
        <f>IF($A663=BG$613,"",COUNTIF($E$4:$E$609,$A663&amp;" ضد "&amp;BG$613)+COUNTIF($E$4:$E$609,BG$613&amp;" ضد "&amp;$A663))</f>
        <v>0</v>
      </c>
      <c r="BH663" s="4">
        <f>IF($A663=BH$613,"",COUNTIF($E$4:$E$609,$A663&amp;" ضد "&amp;BH$613)+COUNTIF($E$4:$E$609,BH$613&amp;" ضد "&amp;$A663))</f>
        <v>0</v>
      </c>
      <c r="BI663" s="4">
        <f>IF($A663=BI$613,"",COUNTIF($E$4:$E$609,$A663&amp;" ضد "&amp;BI$613)+COUNTIF($E$4:$E$609,BI$613&amp;" ضد "&amp;$A663))</f>
        <v>0</v>
      </c>
      <c r="BJ663" s="4">
        <f>IF($A663=BJ$613,"",COUNTIF($E$4:$E$609,$A663&amp;" ضد "&amp;BJ$613)+COUNTIF($E$4:$E$609,BJ$613&amp;" ضد "&amp;$A663))</f>
        <v>0</v>
      </c>
      <c r="BK663" s="4">
        <f>IF($A663=BK$613,"",COUNTIF($E$4:$E$609,$A663&amp;" ضد "&amp;BK$613)+COUNTIF($E$4:$E$609,BK$613&amp;" ضد "&amp;$A663))</f>
        <v>0</v>
      </c>
      <c r="BL663" s="4">
        <f>IF($A663=BL$613,"",COUNTIF($E$4:$E$609,$A663&amp;" ضد "&amp;BL$613)+COUNTIF($E$4:$E$609,BL$613&amp;" ضد "&amp;$A663))</f>
        <v>0</v>
      </c>
      <c r="BM663" s="4">
        <f>IF($A663=BM$613,"",COUNTIF($E$4:$E$609,$A663&amp;" ضد "&amp;BM$613)+COUNTIF($E$4:$E$609,BM$613&amp;" ضد "&amp;$A663))</f>
        <v>0</v>
      </c>
      <c r="BN663" s="4">
        <f>IF($A663=BN$613,"",COUNTIF($E$4:$E$609,$A663&amp;" ضد "&amp;BN$613)+COUNTIF($E$4:$E$609,BN$613&amp;" ضد "&amp;$A663))</f>
        <v>0</v>
      </c>
      <c r="BO663" s="4">
        <f>IF($A663=BO$613,"",COUNTIF($E$4:$E$609,$A663&amp;" ضد "&amp;BO$613)+COUNTIF($E$4:$E$609,BO$613&amp;" ضد "&amp;$A663))</f>
        <v>0</v>
      </c>
      <c r="BP663" s="4">
        <f>IF($A663=BP$613,"",COUNTIF($E$4:$E$609,$A663&amp;" ضد "&amp;BP$613)+COUNTIF($E$4:$E$609,BP$613&amp;" ضد "&amp;$A663))</f>
        <v>0</v>
      </c>
    </row>
    <row r="664" spans="1:68" ht="14.5">
      <c r="A664" s="14">
        <v>51</v>
      </c>
      <c r="B664" s="4">
        <f>IF($A664=B$613,"",COUNTIF($E$4:$E$609,$A664&amp;" ضد "&amp;B$613)+COUNTIF($E$4:$E$609,B$613&amp;" ضد "&amp;$A664))</f>
        <v>0</v>
      </c>
      <c r="C664" s="4">
        <f>IF($A664=C$613,"",COUNTIF($E$4:$E$609,$A664&amp;" ضد "&amp;C$613)+COUNTIF($E$4:$E$609,C$613&amp;" ضد "&amp;$A664))</f>
        <v>0</v>
      </c>
      <c r="D664" s="4">
        <f>IF($A664=D$613,"",COUNTIF($E$4:$E$609,$A664&amp;" ضد "&amp;D$613)+COUNTIF($E$4:$E$609,D$613&amp;" ضد "&amp;$A664))</f>
        <v>0</v>
      </c>
      <c r="E664" s="4">
        <f>IF($A664=E$613,"",COUNTIF($E$4:$E$609,$A664&amp;" ضد "&amp;E$613)+COUNTIF($E$4:$E$609,E$613&amp;" ضد "&amp;$A664))</f>
        <v>0</v>
      </c>
      <c r="F664" s="4">
        <f>IF($A664=F$613,"",COUNTIF($E$4:$E$609,$A664&amp;" ضد "&amp;F$613)+COUNTIF($E$4:$E$609,F$613&amp;" ضد "&amp;$A664))</f>
        <v>0</v>
      </c>
      <c r="G664" s="4">
        <f>IF($A664=G$613,"",COUNTIF($E$4:$E$609,$A664&amp;" ضد "&amp;G$613)+COUNTIF($E$4:$E$609,G$613&amp;" ضد "&amp;$A664))</f>
        <v>0</v>
      </c>
      <c r="H664" s="4">
        <f>IF($A664=H$613,"",COUNTIF($E$4:$E$609,$A664&amp;" ضد "&amp;H$613)+COUNTIF($E$4:$E$609,H$613&amp;" ضد "&amp;$A664))</f>
        <v>0</v>
      </c>
      <c r="I664" s="4">
        <f>IF($A664=I$613,"",COUNTIF($E$4:$E$609,$A664&amp;" ضد "&amp;I$613)+COUNTIF($E$4:$E$609,I$613&amp;" ضد "&amp;$A664))</f>
        <v>0</v>
      </c>
      <c r="J664" s="4">
        <f>IF($A664=J$613,"",COUNTIF($E$4:$E$609,$A664&amp;" ضد "&amp;J$613)+COUNTIF($E$4:$E$609,J$613&amp;" ضد "&amp;$A664))</f>
        <v>0</v>
      </c>
      <c r="K664" s="4">
        <f>IF($A664=K$613,"",COUNTIF($E$4:$E$609,$A664&amp;" ضد "&amp;K$613)+COUNTIF($E$4:$E$609,K$613&amp;" ضد "&amp;$A664))</f>
        <v>0</v>
      </c>
      <c r="L664" s="4">
        <f>IF($A664=L$613,"",COUNTIF($E$4:$E$609,$A664&amp;" ضد "&amp;L$613)+COUNTIF($E$4:$E$609,L$613&amp;" ضد "&amp;$A664))</f>
        <v>0</v>
      </c>
      <c r="M664" s="4">
        <f>IF($A664=M$613,"",COUNTIF($E$4:$E$609,$A664&amp;" ضد "&amp;M$613)+COUNTIF($E$4:$E$609,M$613&amp;" ضد "&amp;$A664))</f>
        <v>0</v>
      </c>
      <c r="N664" s="4">
        <f>IF($A664=N$613,"",COUNTIF($E$4:$E$609,$A664&amp;" ضد "&amp;N$613)+COUNTIF($E$4:$E$609,N$613&amp;" ضد "&amp;$A664))</f>
        <v>0</v>
      </c>
      <c r="O664" s="4">
        <f>IF($A664=O$613,"",COUNTIF($E$4:$E$609,$A664&amp;" ضد "&amp;O$613)+COUNTIF($E$4:$E$609,O$613&amp;" ضد "&amp;$A664))</f>
        <v>0</v>
      </c>
      <c r="P664" s="4">
        <f>IF($A664=P$613,"",COUNTIF($E$4:$E$609,$A664&amp;" ضد "&amp;P$613)+COUNTIF($E$4:$E$609,P$613&amp;" ضد "&amp;$A664))</f>
        <v>0</v>
      </c>
      <c r="Q664" s="4">
        <f>IF($A664=Q$613,"",COUNTIF($E$4:$E$609,$A664&amp;" ضد "&amp;Q$613)+COUNTIF($E$4:$E$609,Q$613&amp;" ضد "&amp;$A664))</f>
        <v>0</v>
      </c>
      <c r="R664" s="4">
        <f>IF($A664=R$613,"",COUNTIF($E$4:$E$609,$A664&amp;" ضد "&amp;R$613)+COUNTIF($E$4:$E$609,R$613&amp;" ضد "&amp;$A664))</f>
        <v>0</v>
      </c>
      <c r="S664" s="4">
        <f>IF($A664=S$613,"",COUNTIF($E$4:$E$609,$A664&amp;" ضد "&amp;S$613)+COUNTIF($E$4:$E$609,S$613&amp;" ضد "&amp;$A664))</f>
        <v>0</v>
      </c>
      <c r="T664" s="4">
        <f>IF($A664=T$613,"",COUNTIF($E$4:$E$609,$A664&amp;" ضد "&amp;T$613)+COUNTIF($E$4:$E$609,T$613&amp;" ضد "&amp;$A664))</f>
        <v>0</v>
      </c>
      <c r="U664" s="4">
        <f>IF($A664=U$613,"",COUNTIF($E$4:$E$609,$A664&amp;" ضد "&amp;U$613)+COUNTIF($E$4:$E$609,U$613&amp;" ضد "&amp;$A664))</f>
        <v>0</v>
      </c>
      <c r="V664" s="4">
        <f>IF($A664=V$613,"",COUNTIF($E$4:$E$609,$A664&amp;" ضد "&amp;V$613)+COUNTIF($E$4:$E$609,V$613&amp;" ضد "&amp;$A664))</f>
        <v>0</v>
      </c>
      <c r="W664" s="4">
        <f>IF($A664=W$613,"",COUNTIF($E$4:$E$609,$A664&amp;" ضد "&amp;W$613)+COUNTIF($E$4:$E$609,W$613&amp;" ضد "&amp;$A664))</f>
        <v>0</v>
      </c>
      <c r="X664" s="4">
        <f>IF($A664=X$613,"",COUNTIF($E$4:$E$609,$A664&amp;" ضد "&amp;X$613)+COUNTIF($E$4:$E$609,X$613&amp;" ضد "&amp;$A664))</f>
        <v>0</v>
      </c>
      <c r="Y664" s="4">
        <f>IF($A664=Y$613,"",COUNTIF($E$4:$E$609,$A664&amp;" ضد "&amp;Y$613)+COUNTIF($E$4:$E$609,Y$613&amp;" ضد "&amp;$A664))</f>
        <v>0</v>
      </c>
      <c r="Z664" s="4">
        <f>IF($A664=Z$613,"",COUNTIF($E$4:$E$609,$A664&amp;" ضد "&amp;Z$613)+COUNTIF($E$4:$E$609,Z$613&amp;" ضد "&amp;$A664))</f>
        <v>0</v>
      </c>
      <c r="AA664" s="4">
        <f>IF($A664=AA$613,"",COUNTIF($E$4:$E$609,$A664&amp;" ضد "&amp;AA$613)+COUNTIF($E$4:$E$609,AA$613&amp;" ضد "&amp;$A664))</f>
        <v>0</v>
      </c>
      <c r="AB664" s="4">
        <f>IF($A664=AB$613,"",COUNTIF($E$4:$E$609,$A664&amp;" ضد "&amp;AB$613)+COUNTIF($E$4:$E$609,AB$613&amp;" ضد "&amp;$A664))</f>
        <v>0</v>
      </c>
      <c r="AC664" s="4">
        <f>IF($A664=AC$613,"",COUNTIF($E$4:$E$609,$A664&amp;" ضد "&amp;AC$613)+COUNTIF($E$4:$E$609,AC$613&amp;" ضد "&amp;$A664))</f>
        <v>0</v>
      </c>
      <c r="AD664" s="4">
        <f>IF($A664=AD$613,"",COUNTIF($E$4:$E$609,$A664&amp;" ضد "&amp;AD$613)+COUNTIF($E$4:$E$609,AD$613&amp;" ضد "&amp;$A664))</f>
        <v>0</v>
      </c>
      <c r="AE664" s="4">
        <f>IF($A664=AE$613,"",COUNTIF($E$4:$E$609,$A664&amp;" ضد "&amp;AE$613)+COUNTIF($E$4:$E$609,AE$613&amp;" ضد "&amp;$A664))</f>
        <v>0</v>
      </c>
      <c r="AF664" s="4">
        <f>IF($A664=AF$613,"",COUNTIF($E$4:$E$609,$A664&amp;" ضد "&amp;AF$613)+COUNTIF($E$4:$E$609,AF$613&amp;" ضد "&amp;$A664))</f>
        <v>0</v>
      </c>
      <c r="AG664" s="4">
        <f>IF($A664=AG$613,"",COUNTIF($E$4:$E$609,$A664&amp;" ضد "&amp;AG$613)+COUNTIF($E$4:$E$609,AG$613&amp;" ضد "&amp;$A664))</f>
        <v>0</v>
      </c>
      <c r="AH664" s="4">
        <f>IF($A664=AH$613,"",COUNTIF($E$4:$E$609,$A664&amp;" ضد "&amp;AH$613)+COUNTIF($E$4:$E$609,AH$613&amp;" ضد "&amp;$A664))</f>
        <v>0</v>
      </c>
      <c r="AI664" s="4">
        <f>IF($A664=AI$613,"",COUNTIF($E$4:$E$609,$A664&amp;" ضد "&amp;AI$613)+COUNTIF($E$4:$E$609,AI$613&amp;" ضد "&amp;$A664))</f>
        <v>0</v>
      </c>
      <c r="AJ664" s="4">
        <f>IF($A664=AJ$613,"",COUNTIF($E$4:$E$609,$A664&amp;" ضد "&amp;AJ$613)+COUNTIF($E$4:$E$609,AJ$613&amp;" ضد "&amp;$A664))</f>
        <v>2</v>
      </c>
      <c r="AK664" s="4">
        <f>IF($A664=AK$613,"",COUNTIF($E$4:$E$609,$A664&amp;" ضد "&amp;AK$613)+COUNTIF($E$4:$E$609,AK$613&amp;" ضد "&amp;$A664))</f>
        <v>1</v>
      </c>
      <c r="AL664" s="4">
        <f>IF($A664=AL$613,"",COUNTIF($E$4:$E$609,$A664&amp;" ضد "&amp;AL$613)+COUNTIF($E$4:$E$609,AL$613&amp;" ضد "&amp;$A664))</f>
        <v>1</v>
      </c>
      <c r="AM664" s="4">
        <f>IF($A664=AM$613,"",COUNTIF($E$4:$E$609,$A664&amp;" ضد "&amp;AM$613)+COUNTIF($E$4:$E$609,AM$613&amp;" ضد "&amp;$A664))</f>
        <v>1</v>
      </c>
      <c r="AN664" s="4">
        <f>IF($A664=AN$613,"",COUNTIF($E$4:$E$609,$A664&amp;" ضد "&amp;AN$613)+COUNTIF($E$4:$E$609,AN$613&amp;" ضد "&amp;$A664))</f>
        <v>1</v>
      </c>
      <c r="AO664" s="4">
        <f>IF($A664=AO$613,"",COUNTIF($E$4:$E$609,$A664&amp;" ضد "&amp;AO$613)+COUNTIF($E$4:$E$609,AO$613&amp;" ضد "&amp;$A664))</f>
        <v>1</v>
      </c>
      <c r="AP664" s="4">
        <f>IF($A664=AP$613,"",COUNTIF($E$4:$E$609,$A664&amp;" ضد "&amp;AP$613)+COUNTIF($E$4:$E$609,AP$613&amp;" ضد "&amp;$A664))</f>
        <v>1</v>
      </c>
      <c r="AQ664" s="4">
        <f>IF($A664=AQ$613,"",COUNTIF($E$4:$E$609,$A664&amp;" ضد "&amp;AQ$613)+COUNTIF($E$4:$E$609,AQ$613&amp;" ضد "&amp;$A664))</f>
        <v>1</v>
      </c>
      <c r="AR664" s="4">
        <f>IF($A664=AR$613,"",COUNTIF($E$4:$E$609,$A664&amp;" ضد "&amp;AR$613)+COUNTIF($E$4:$E$609,AR$613&amp;" ضد "&amp;$A664))</f>
        <v>1</v>
      </c>
      <c r="AS664" s="4">
        <f>IF($A664=AS$613,"",COUNTIF($E$4:$E$609,$A664&amp;" ضد "&amp;AS$613)+COUNTIF($E$4:$E$609,AS$613&amp;" ضد "&amp;$A664))</f>
        <v>1</v>
      </c>
      <c r="AT664" s="4">
        <f>IF($A664=AT$613,"",COUNTIF($E$4:$E$609,$A664&amp;" ضد "&amp;AT$613)+COUNTIF($E$4:$E$609,AT$613&amp;" ضد "&amp;$A664))</f>
        <v>1</v>
      </c>
      <c r="AU664" s="4">
        <f>IF($A664=AU$613,"",COUNTIF($E$4:$E$609,$A664&amp;" ضد "&amp;AU$613)+COUNTIF($E$4:$E$609,AU$613&amp;" ضد "&amp;$A664))</f>
        <v>1</v>
      </c>
      <c r="AV664" s="4">
        <f>IF($A664=AV$613,"",COUNTIF($E$4:$E$609,$A664&amp;" ضد "&amp;AV$613)+COUNTIF($E$4:$E$609,AV$613&amp;" ضد "&amp;$A664))</f>
        <v>1</v>
      </c>
      <c r="AW664" s="4">
        <f>IF($A664=AW$613,"",COUNTIF($E$4:$E$609,$A664&amp;" ضد "&amp;AW$613)+COUNTIF($E$4:$E$609,AW$613&amp;" ضد "&amp;$A664))</f>
        <v>1</v>
      </c>
      <c r="AX664" s="4">
        <f>IF($A664=AX$613,"",COUNTIF($E$4:$E$609,$A664&amp;" ضد "&amp;AX$613)+COUNTIF($E$4:$E$609,AX$613&amp;" ضد "&amp;$A664))</f>
        <v>1</v>
      </c>
      <c r="AY664" s="4">
        <f>IF($A664=AY$613,"",COUNTIF($E$4:$E$609,$A664&amp;" ضد "&amp;AY$613)+COUNTIF($E$4:$E$609,AY$613&amp;" ضد "&amp;$A664))</f>
        <v>2</v>
      </c>
      <c r="AZ664" s="4" t="str">
        <f>IF($A664=AZ$613,"",COUNTIF($E$4:$E$609,$A664&amp;" ضد "&amp;AZ$613)+COUNTIF($E$4:$E$609,AZ$613&amp;" ضد "&amp;$A664))</f>
        <v/>
      </c>
      <c r="BA664" s="4">
        <f>IF($A664=BA$613,"",COUNTIF($E$4:$E$609,$A664&amp;" ضد "&amp;BA$613)+COUNTIF($E$4:$E$609,BA$613&amp;" ضد "&amp;$A664))</f>
        <v>0</v>
      </c>
      <c r="BB664" s="4">
        <f>IF($A664=BB$613,"",COUNTIF($E$4:$E$609,$A664&amp;" ضد "&amp;BB$613)+COUNTIF($E$4:$E$609,BB$613&amp;" ضد "&amp;$A664))</f>
        <v>0</v>
      </c>
      <c r="BC664" s="4">
        <f>IF($A664=BC$613,"",COUNTIF($E$4:$E$609,$A664&amp;" ضد "&amp;BC$613)+COUNTIF($E$4:$E$609,BC$613&amp;" ضد "&amp;$A664))</f>
        <v>0</v>
      </c>
      <c r="BD664" s="4">
        <f>IF($A664=BD$613,"",COUNTIF($E$4:$E$609,$A664&amp;" ضد "&amp;BD$613)+COUNTIF($E$4:$E$609,BD$613&amp;" ضد "&amp;$A664))</f>
        <v>0</v>
      </c>
      <c r="BE664" s="4">
        <f>IF($A664=BE$613,"",COUNTIF($E$4:$E$609,$A664&amp;" ضد "&amp;BE$613)+COUNTIF($E$4:$E$609,BE$613&amp;" ضد "&amp;$A664))</f>
        <v>0</v>
      </c>
      <c r="BF664" s="4">
        <f>IF($A664=BF$613,"",COUNTIF($E$4:$E$609,$A664&amp;" ضد "&amp;BF$613)+COUNTIF($E$4:$E$609,BF$613&amp;" ضد "&amp;$A664))</f>
        <v>0</v>
      </c>
      <c r="BG664" s="4">
        <f>IF($A664=BG$613,"",COUNTIF($E$4:$E$609,$A664&amp;" ضد "&amp;BG$613)+COUNTIF($E$4:$E$609,BG$613&amp;" ضد "&amp;$A664))</f>
        <v>0</v>
      </c>
      <c r="BH664" s="4">
        <f>IF($A664=BH$613,"",COUNTIF($E$4:$E$609,$A664&amp;" ضد "&amp;BH$613)+COUNTIF($E$4:$E$609,BH$613&amp;" ضد "&amp;$A664))</f>
        <v>0</v>
      </c>
      <c r="BI664" s="4">
        <f>IF($A664=BI$613,"",COUNTIF($E$4:$E$609,$A664&amp;" ضد "&amp;BI$613)+COUNTIF($E$4:$E$609,BI$613&amp;" ضد "&amp;$A664))</f>
        <v>0</v>
      </c>
      <c r="BJ664" s="4">
        <f>IF($A664=BJ$613,"",COUNTIF($E$4:$E$609,$A664&amp;" ضد "&amp;BJ$613)+COUNTIF($E$4:$E$609,BJ$613&amp;" ضد "&amp;$A664))</f>
        <v>0</v>
      </c>
      <c r="BK664" s="4">
        <f>IF($A664=BK$613,"",COUNTIF($E$4:$E$609,$A664&amp;" ضد "&amp;BK$613)+COUNTIF($E$4:$E$609,BK$613&amp;" ضد "&amp;$A664))</f>
        <v>0</v>
      </c>
      <c r="BL664" s="4">
        <f>IF($A664=BL$613,"",COUNTIF($E$4:$E$609,$A664&amp;" ضد "&amp;BL$613)+COUNTIF($E$4:$E$609,BL$613&amp;" ضد "&amp;$A664))</f>
        <v>0</v>
      </c>
      <c r="BM664" s="4">
        <f>IF($A664=BM$613,"",COUNTIF($E$4:$E$609,$A664&amp;" ضد "&amp;BM$613)+COUNTIF($E$4:$E$609,BM$613&amp;" ضد "&amp;$A664))</f>
        <v>0</v>
      </c>
      <c r="BN664" s="4">
        <f>IF($A664=BN$613,"",COUNTIF($E$4:$E$609,$A664&amp;" ضد "&amp;BN$613)+COUNTIF($E$4:$E$609,BN$613&amp;" ضد "&amp;$A664))</f>
        <v>0</v>
      </c>
      <c r="BO664" s="4">
        <f>IF($A664=BO$613,"",COUNTIF($E$4:$E$609,$A664&amp;" ضد "&amp;BO$613)+COUNTIF($E$4:$E$609,BO$613&amp;" ضد "&amp;$A664))</f>
        <v>0</v>
      </c>
      <c r="BP664" s="4">
        <f>IF($A664=BP$613,"",COUNTIF($E$4:$E$609,$A664&amp;" ضد "&amp;BP$613)+COUNTIF($E$4:$E$609,BP$613&amp;" ضد "&amp;$A664))</f>
        <v>0</v>
      </c>
    </row>
    <row r="665" spans="1:68" ht="14.5">
      <c r="A665" s="14">
        <v>52</v>
      </c>
      <c r="B665" s="4">
        <f>IF($A665=B$613,"",COUNTIF($E$4:$E$609,$A665&amp;" ضد "&amp;B$613)+COUNTIF($E$4:$E$609,B$613&amp;" ضد "&amp;$A665))</f>
        <v>0</v>
      </c>
      <c r="C665" s="4">
        <f>IF($A665=C$613,"",COUNTIF($E$4:$E$609,$A665&amp;" ضد "&amp;C$613)+COUNTIF($E$4:$E$609,C$613&amp;" ضد "&amp;$A665))</f>
        <v>0</v>
      </c>
      <c r="D665" s="4">
        <f>IF($A665=D$613,"",COUNTIF($E$4:$E$609,$A665&amp;" ضد "&amp;D$613)+COUNTIF($E$4:$E$609,D$613&amp;" ضد "&amp;$A665))</f>
        <v>0</v>
      </c>
      <c r="E665" s="4">
        <f>IF($A665=E$613,"",COUNTIF($E$4:$E$609,$A665&amp;" ضد "&amp;E$613)+COUNTIF($E$4:$E$609,E$613&amp;" ضد "&amp;$A665))</f>
        <v>0</v>
      </c>
      <c r="F665" s="4">
        <f>IF($A665=F$613,"",COUNTIF($E$4:$E$609,$A665&amp;" ضد "&amp;F$613)+COUNTIF($E$4:$E$609,F$613&amp;" ضد "&amp;$A665))</f>
        <v>0</v>
      </c>
      <c r="G665" s="4">
        <f>IF($A665=G$613,"",COUNTIF($E$4:$E$609,$A665&amp;" ضد "&amp;G$613)+COUNTIF($E$4:$E$609,G$613&amp;" ضد "&amp;$A665))</f>
        <v>0</v>
      </c>
      <c r="H665" s="4">
        <f>IF($A665=H$613,"",COUNTIF($E$4:$E$609,$A665&amp;" ضد "&amp;H$613)+COUNTIF($E$4:$E$609,H$613&amp;" ضد "&amp;$A665))</f>
        <v>0</v>
      </c>
      <c r="I665" s="4">
        <f>IF($A665=I$613,"",COUNTIF($E$4:$E$609,$A665&amp;" ضد "&amp;I$613)+COUNTIF($E$4:$E$609,I$613&amp;" ضد "&amp;$A665))</f>
        <v>0</v>
      </c>
      <c r="J665" s="4">
        <f>IF($A665=J$613,"",COUNTIF($E$4:$E$609,$A665&amp;" ضد "&amp;J$613)+COUNTIF($E$4:$E$609,J$613&amp;" ضد "&amp;$A665))</f>
        <v>0</v>
      </c>
      <c r="K665" s="4">
        <f>IF($A665=K$613,"",COUNTIF($E$4:$E$609,$A665&amp;" ضد "&amp;K$613)+COUNTIF($E$4:$E$609,K$613&amp;" ضد "&amp;$A665))</f>
        <v>0</v>
      </c>
      <c r="L665" s="4">
        <f>IF($A665=L$613,"",COUNTIF($E$4:$E$609,$A665&amp;" ضد "&amp;L$613)+COUNTIF($E$4:$E$609,L$613&amp;" ضد "&amp;$A665))</f>
        <v>0</v>
      </c>
      <c r="M665" s="4">
        <f>IF($A665=M$613,"",COUNTIF($E$4:$E$609,$A665&amp;" ضد "&amp;M$613)+COUNTIF($E$4:$E$609,M$613&amp;" ضد "&amp;$A665))</f>
        <v>0</v>
      </c>
      <c r="N665" s="4">
        <f>IF($A665=N$613,"",COUNTIF($E$4:$E$609,$A665&amp;" ضد "&amp;N$613)+COUNTIF($E$4:$E$609,N$613&amp;" ضد "&amp;$A665))</f>
        <v>0</v>
      </c>
      <c r="O665" s="4">
        <f>IF($A665=O$613,"",COUNTIF($E$4:$E$609,$A665&amp;" ضد "&amp;O$613)+COUNTIF($E$4:$E$609,O$613&amp;" ضد "&amp;$A665))</f>
        <v>0</v>
      </c>
      <c r="P665" s="4">
        <f>IF($A665=P$613,"",COUNTIF($E$4:$E$609,$A665&amp;" ضد "&amp;P$613)+COUNTIF($E$4:$E$609,P$613&amp;" ضد "&amp;$A665))</f>
        <v>0</v>
      </c>
      <c r="Q665" s="4">
        <f>IF($A665=Q$613,"",COUNTIF($E$4:$E$609,$A665&amp;" ضد "&amp;Q$613)+COUNTIF($E$4:$E$609,Q$613&amp;" ضد "&amp;$A665))</f>
        <v>0</v>
      </c>
      <c r="R665" s="4">
        <f>IF($A665=R$613,"",COUNTIF($E$4:$E$609,$A665&amp;" ضد "&amp;R$613)+COUNTIF($E$4:$E$609,R$613&amp;" ضد "&amp;$A665))</f>
        <v>0</v>
      </c>
      <c r="S665" s="4">
        <f>IF($A665=S$613,"",COUNTIF($E$4:$E$609,$A665&amp;" ضد "&amp;S$613)+COUNTIF($E$4:$E$609,S$613&amp;" ضد "&amp;$A665))</f>
        <v>0</v>
      </c>
      <c r="T665" s="4">
        <f>IF($A665=T$613,"",COUNTIF($E$4:$E$609,$A665&amp;" ضد "&amp;T$613)+COUNTIF($E$4:$E$609,T$613&amp;" ضد "&amp;$A665))</f>
        <v>0</v>
      </c>
      <c r="U665" s="4">
        <f>IF($A665=U$613,"",COUNTIF($E$4:$E$609,$A665&amp;" ضد "&amp;U$613)+COUNTIF($E$4:$E$609,U$613&amp;" ضد "&amp;$A665))</f>
        <v>0</v>
      </c>
      <c r="V665" s="4">
        <f>IF($A665=V$613,"",COUNTIF($E$4:$E$609,$A665&amp;" ضد "&amp;V$613)+COUNTIF($E$4:$E$609,V$613&amp;" ضد "&amp;$A665))</f>
        <v>0</v>
      </c>
      <c r="W665" s="4">
        <f>IF($A665=W$613,"",COUNTIF($E$4:$E$609,$A665&amp;" ضد "&amp;W$613)+COUNTIF($E$4:$E$609,W$613&amp;" ضد "&amp;$A665))</f>
        <v>0</v>
      </c>
      <c r="X665" s="4">
        <f>IF($A665=X$613,"",COUNTIF($E$4:$E$609,$A665&amp;" ضد "&amp;X$613)+COUNTIF($E$4:$E$609,X$613&amp;" ضد "&amp;$A665))</f>
        <v>0</v>
      </c>
      <c r="Y665" s="4">
        <f>IF($A665=Y$613,"",COUNTIF($E$4:$E$609,$A665&amp;" ضد "&amp;Y$613)+COUNTIF($E$4:$E$609,Y$613&amp;" ضد "&amp;$A665))</f>
        <v>0</v>
      </c>
      <c r="Z665" s="4">
        <f>IF($A665=Z$613,"",COUNTIF($E$4:$E$609,$A665&amp;" ضد "&amp;Z$613)+COUNTIF($E$4:$E$609,Z$613&amp;" ضد "&amp;$A665))</f>
        <v>0</v>
      </c>
      <c r="AA665" s="4">
        <f>IF($A665=AA$613,"",COUNTIF($E$4:$E$609,$A665&amp;" ضد "&amp;AA$613)+COUNTIF($E$4:$E$609,AA$613&amp;" ضد "&amp;$A665))</f>
        <v>0</v>
      </c>
      <c r="AB665" s="4">
        <f>IF($A665=AB$613,"",COUNTIF($E$4:$E$609,$A665&amp;" ضد "&amp;AB$613)+COUNTIF($E$4:$E$609,AB$613&amp;" ضد "&amp;$A665))</f>
        <v>0</v>
      </c>
      <c r="AC665" s="4">
        <f>IF($A665=AC$613,"",COUNTIF($E$4:$E$609,$A665&amp;" ضد "&amp;AC$613)+COUNTIF($E$4:$E$609,AC$613&amp;" ضد "&amp;$A665))</f>
        <v>0</v>
      </c>
      <c r="AD665" s="4">
        <f>IF($A665=AD$613,"",COUNTIF($E$4:$E$609,$A665&amp;" ضد "&amp;AD$613)+COUNTIF($E$4:$E$609,AD$613&amp;" ضد "&amp;$A665))</f>
        <v>0</v>
      </c>
      <c r="AE665" s="4">
        <f>IF($A665=AE$613,"",COUNTIF($E$4:$E$609,$A665&amp;" ضد "&amp;AE$613)+COUNTIF($E$4:$E$609,AE$613&amp;" ضد "&amp;$A665))</f>
        <v>0</v>
      </c>
      <c r="AF665" s="4">
        <f>IF($A665=AF$613,"",COUNTIF($E$4:$E$609,$A665&amp;" ضد "&amp;AF$613)+COUNTIF($E$4:$E$609,AF$613&amp;" ضد "&amp;$A665))</f>
        <v>0</v>
      </c>
      <c r="AG665" s="4">
        <f>IF($A665=AG$613,"",COUNTIF($E$4:$E$609,$A665&amp;" ضد "&amp;AG$613)+COUNTIF($E$4:$E$609,AG$613&amp;" ضد "&amp;$A665))</f>
        <v>0</v>
      </c>
      <c r="AH665" s="4">
        <f>IF($A665=AH$613,"",COUNTIF($E$4:$E$609,$A665&amp;" ضد "&amp;AH$613)+COUNTIF($E$4:$E$609,AH$613&amp;" ضد "&amp;$A665))</f>
        <v>0</v>
      </c>
      <c r="AI665" s="4">
        <f>IF($A665=AI$613,"",COUNTIF($E$4:$E$609,$A665&amp;" ضد "&amp;AI$613)+COUNTIF($E$4:$E$609,AI$613&amp;" ضد "&amp;$A665))</f>
        <v>0</v>
      </c>
      <c r="AJ665" s="4">
        <f>IF($A665=AJ$613,"",COUNTIF($E$4:$E$609,$A665&amp;" ضد "&amp;AJ$613)+COUNTIF($E$4:$E$609,AJ$613&amp;" ضد "&amp;$A665))</f>
        <v>0</v>
      </c>
      <c r="AK665" s="4">
        <f>IF($A665=AK$613,"",COUNTIF($E$4:$E$609,$A665&amp;" ضد "&amp;AK$613)+COUNTIF($E$4:$E$609,AK$613&amp;" ضد "&amp;$A665))</f>
        <v>0</v>
      </c>
      <c r="AL665" s="4">
        <f>IF($A665=AL$613,"",COUNTIF($E$4:$E$609,$A665&amp;" ضد "&amp;AL$613)+COUNTIF($E$4:$E$609,AL$613&amp;" ضد "&amp;$A665))</f>
        <v>0</v>
      </c>
      <c r="AM665" s="4">
        <f>IF($A665=AM$613,"",COUNTIF($E$4:$E$609,$A665&amp;" ضد "&amp;AM$613)+COUNTIF($E$4:$E$609,AM$613&amp;" ضد "&amp;$A665))</f>
        <v>0</v>
      </c>
      <c r="AN665" s="4">
        <f>IF($A665=AN$613,"",COUNTIF($E$4:$E$609,$A665&amp;" ضد "&amp;AN$613)+COUNTIF($E$4:$E$609,AN$613&amp;" ضد "&amp;$A665))</f>
        <v>0</v>
      </c>
      <c r="AO665" s="4">
        <f>IF($A665=AO$613,"",COUNTIF($E$4:$E$609,$A665&amp;" ضد "&amp;AO$613)+COUNTIF($E$4:$E$609,AO$613&amp;" ضد "&amp;$A665))</f>
        <v>0</v>
      </c>
      <c r="AP665" s="4">
        <f>IF($A665=AP$613,"",COUNTIF($E$4:$E$609,$A665&amp;" ضد "&amp;AP$613)+COUNTIF($E$4:$E$609,AP$613&amp;" ضد "&amp;$A665))</f>
        <v>0</v>
      </c>
      <c r="AQ665" s="4">
        <f>IF($A665=AQ$613,"",COUNTIF($E$4:$E$609,$A665&amp;" ضد "&amp;AQ$613)+COUNTIF($E$4:$E$609,AQ$613&amp;" ضد "&amp;$A665))</f>
        <v>0</v>
      </c>
      <c r="AR665" s="4">
        <f>IF($A665=AR$613,"",COUNTIF($E$4:$E$609,$A665&amp;" ضد "&amp;AR$613)+COUNTIF($E$4:$E$609,AR$613&amp;" ضد "&amp;$A665))</f>
        <v>0</v>
      </c>
      <c r="AS665" s="4">
        <f>IF($A665=AS$613,"",COUNTIF($E$4:$E$609,$A665&amp;" ضد "&amp;AS$613)+COUNTIF($E$4:$E$609,AS$613&amp;" ضد "&amp;$A665))</f>
        <v>0</v>
      </c>
      <c r="AT665" s="4">
        <f>IF($A665=AT$613,"",COUNTIF($E$4:$E$609,$A665&amp;" ضد "&amp;AT$613)+COUNTIF($E$4:$E$609,AT$613&amp;" ضد "&amp;$A665))</f>
        <v>0</v>
      </c>
      <c r="AU665" s="4">
        <f>IF($A665=AU$613,"",COUNTIF($E$4:$E$609,$A665&amp;" ضد "&amp;AU$613)+COUNTIF($E$4:$E$609,AU$613&amp;" ضد "&amp;$A665))</f>
        <v>0</v>
      </c>
      <c r="AV665" s="4">
        <f>IF($A665=AV$613,"",COUNTIF($E$4:$E$609,$A665&amp;" ضد "&amp;AV$613)+COUNTIF($E$4:$E$609,AV$613&amp;" ضد "&amp;$A665))</f>
        <v>0</v>
      </c>
      <c r="AW665" s="4">
        <f>IF($A665=AW$613,"",COUNTIF($E$4:$E$609,$A665&amp;" ضد "&amp;AW$613)+COUNTIF($E$4:$E$609,AW$613&amp;" ضد "&amp;$A665))</f>
        <v>0</v>
      </c>
      <c r="AX665" s="4">
        <f>IF($A665=AX$613,"",COUNTIF($E$4:$E$609,$A665&amp;" ضد "&amp;AX$613)+COUNTIF($E$4:$E$609,AX$613&amp;" ضد "&amp;$A665))</f>
        <v>0</v>
      </c>
      <c r="AY665" s="4">
        <f>IF($A665=AY$613,"",COUNTIF($E$4:$E$609,$A665&amp;" ضد "&amp;AY$613)+COUNTIF($E$4:$E$609,AY$613&amp;" ضد "&amp;$A665))</f>
        <v>0</v>
      </c>
      <c r="AZ665" s="4">
        <f>IF($A665=AZ$613,"",COUNTIF($E$4:$E$609,$A665&amp;" ضد "&amp;AZ$613)+COUNTIF($E$4:$E$609,AZ$613&amp;" ضد "&amp;$A665))</f>
        <v>0</v>
      </c>
      <c r="BA665" s="4" t="str">
        <f>IF($A665=BA$613,"",COUNTIF($E$4:$E$609,$A665&amp;" ضد "&amp;BA$613)+COUNTIF($E$4:$E$609,BA$613&amp;" ضد "&amp;$A665))</f>
        <v/>
      </c>
      <c r="BB665" s="4">
        <f>IF($A665=BB$613,"",COUNTIF($E$4:$E$609,$A665&amp;" ضد "&amp;BB$613)+COUNTIF($E$4:$E$609,BB$613&amp;" ضد "&amp;$A665))</f>
        <v>1</v>
      </c>
      <c r="BC665" s="4">
        <f>IF($A665=BC$613,"",COUNTIF($E$4:$E$609,$A665&amp;" ضد "&amp;BC$613)+COUNTIF($E$4:$E$609,BC$613&amp;" ضد "&amp;$A665))</f>
        <v>1</v>
      </c>
      <c r="BD665" s="4">
        <f>IF($A665=BD$613,"",COUNTIF($E$4:$E$609,$A665&amp;" ضد "&amp;BD$613)+COUNTIF($E$4:$E$609,BD$613&amp;" ضد "&amp;$A665))</f>
        <v>1</v>
      </c>
      <c r="BE665" s="4">
        <f>IF($A665=BE$613,"",COUNTIF($E$4:$E$609,$A665&amp;" ضد "&amp;BE$613)+COUNTIF($E$4:$E$609,BE$613&amp;" ضد "&amp;$A665))</f>
        <v>1</v>
      </c>
      <c r="BF665" s="4">
        <f>IF($A665=BF$613,"",COUNTIF($E$4:$E$609,$A665&amp;" ضد "&amp;BF$613)+COUNTIF($E$4:$E$609,BF$613&amp;" ضد "&amp;$A665))</f>
        <v>1</v>
      </c>
      <c r="BG665" s="4">
        <f>IF($A665=BG$613,"",COUNTIF($E$4:$E$609,$A665&amp;" ضد "&amp;BG$613)+COUNTIF($E$4:$E$609,BG$613&amp;" ضد "&amp;$A665))</f>
        <v>1</v>
      </c>
      <c r="BH665" s="4">
        <f>IF($A665=BH$613,"",COUNTIF($E$4:$E$609,$A665&amp;" ضد "&amp;BH$613)+COUNTIF($E$4:$E$609,BH$613&amp;" ضد "&amp;$A665))</f>
        <v>1</v>
      </c>
      <c r="BI665" s="4">
        <f>IF($A665=BI$613,"",COUNTIF($E$4:$E$609,$A665&amp;" ضد "&amp;BI$613)+COUNTIF($E$4:$E$609,BI$613&amp;" ضد "&amp;$A665))</f>
        <v>1</v>
      </c>
      <c r="BJ665" s="4">
        <f>IF($A665=BJ$613,"",COUNTIF($E$4:$E$609,$A665&amp;" ضد "&amp;BJ$613)+COUNTIF($E$4:$E$609,BJ$613&amp;" ضد "&amp;$A665))</f>
        <v>1</v>
      </c>
      <c r="BK665" s="4">
        <f>IF($A665=BK$613,"",COUNTIF($E$4:$E$609,$A665&amp;" ضد "&amp;BK$613)+COUNTIF($E$4:$E$609,BK$613&amp;" ضد "&amp;$A665))</f>
        <v>1</v>
      </c>
      <c r="BL665" s="4">
        <f>IF($A665=BL$613,"",COUNTIF($E$4:$E$609,$A665&amp;" ضد "&amp;BL$613)+COUNTIF($E$4:$E$609,BL$613&amp;" ضد "&amp;$A665))</f>
        <v>1</v>
      </c>
      <c r="BM665" s="4">
        <f>IF($A665=BM$613,"",COUNTIF($E$4:$E$609,$A665&amp;" ضد "&amp;BM$613)+COUNTIF($E$4:$E$609,BM$613&amp;" ضد "&amp;$A665))</f>
        <v>1</v>
      </c>
      <c r="BN665" s="4">
        <f>IF($A665=BN$613,"",COUNTIF($E$4:$E$609,$A665&amp;" ضد "&amp;BN$613)+COUNTIF($E$4:$E$609,BN$613&amp;" ضد "&amp;$A665))</f>
        <v>2</v>
      </c>
      <c r="BO665" s="4">
        <f>IF($A665=BO$613,"",COUNTIF($E$4:$E$609,$A665&amp;" ضد "&amp;BO$613)+COUNTIF($E$4:$E$609,BO$613&amp;" ضد "&amp;$A665))</f>
        <v>2</v>
      </c>
      <c r="BP665" s="4">
        <f>IF($A665=BP$613,"",COUNTIF($E$4:$E$609,$A665&amp;" ضد "&amp;BP$613)+COUNTIF($E$4:$E$609,BP$613&amp;" ضد "&amp;$A665))</f>
        <v>2</v>
      </c>
    </row>
    <row r="666" spans="1:68" ht="14.5">
      <c r="A666" s="14">
        <v>53</v>
      </c>
      <c r="B666" s="4">
        <f>IF($A666=B$613,"",COUNTIF($E$4:$E$609,$A666&amp;" ضد "&amp;B$613)+COUNTIF($E$4:$E$609,B$613&amp;" ضد "&amp;$A666))</f>
        <v>0</v>
      </c>
      <c r="C666" s="4">
        <f>IF($A666=C$613,"",COUNTIF($E$4:$E$609,$A666&amp;" ضد "&amp;C$613)+COUNTIF($E$4:$E$609,C$613&amp;" ضد "&amp;$A666))</f>
        <v>0</v>
      </c>
      <c r="D666" s="4">
        <f>IF($A666=D$613,"",COUNTIF($E$4:$E$609,$A666&amp;" ضد "&amp;D$613)+COUNTIF($E$4:$E$609,D$613&amp;" ضد "&amp;$A666))</f>
        <v>0</v>
      </c>
      <c r="E666" s="4">
        <f>IF($A666=E$613,"",COUNTIF($E$4:$E$609,$A666&amp;" ضد "&amp;E$613)+COUNTIF($E$4:$E$609,E$613&amp;" ضد "&amp;$A666))</f>
        <v>0</v>
      </c>
      <c r="F666" s="4">
        <f>IF($A666=F$613,"",COUNTIF($E$4:$E$609,$A666&amp;" ضد "&amp;F$613)+COUNTIF($E$4:$E$609,F$613&amp;" ضد "&amp;$A666))</f>
        <v>0</v>
      </c>
      <c r="G666" s="4">
        <f>IF($A666=G$613,"",COUNTIF($E$4:$E$609,$A666&amp;" ضد "&amp;G$613)+COUNTIF($E$4:$E$609,G$613&amp;" ضد "&amp;$A666))</f>
        <v>0</v>
      </c>
      <c r="H666" s="4">
        <f>IF($A666=H$613,"",COUNTIF($E$4:$E$609,$A666&amp;" ضد "&amp;H$613)+COUNTIF($E$4:$E$609,H$613&amp;" ضد "&amp;$A666))</f>
        <v>0</v>
      </c>
      <c r="I666" s="4">
        <f>IF($A666=I$613,"",COUNTIF($E$4:$E$609,$A666&amp;" ضد "&amp;I$613)+COUNTIF($E$4:$E$609,I$613&amp;" ضد "&amp;$A666))</f>
        <v>0</v>
      </c>
      <c r="J666" s="4">
        <f>IF($A666=J$613,"",COUNTIF($E$4:$E$609,$A666&amp;" ضد "&amp;J$613)+COUNTIF($E$4:$E$609,J$613&amp;" ضد "&amp;$A666))</f>
        <v>0</v>
      </c>
      <c r="K666" s="4">
        <f>IF($A666=K$613,"",COUNTIF($E$4:$E$609,$A666&amp;" ضد "&amp;K$613)+COUNTIF($E$4:$E$609,K$613&amp;" ضد "&amp;$A666))</f>
        <v>0</v>
      </c>
      <c r="L666" s="4">
        <f>IF($A666=L$613,"",COUNTIF($E$4:$E$609,$A666&amp;" ضد "&amp;L$613)+COUNTIF($E$4:$E$609,L$613&amp;" ضد "&amp;$A666))</f>
        <v>0</v>
      </c>
      <c r="M666" s="4">
        <f>IF($A666=M$613,"",COUNTIF($E$4:$E$609,$A666&amp;" ضد "&amp;M$613)+COUNTIF($E$4:$E$609,M$613&amp;" ضد "&amp;$A666))</f>
        <v>0</v>
      </c>
      <c r="N666" s="4">
        <f>IF($A666=N$613,"",COUNTIF($E$4:$E$609,$A666&amp;" ضد "&amp;N$613)+COUNTIF($E$4:$E$609,N$613&amp;" ضد "&amp;$A666))</f>
        <v>0</v>
      </c>
      <c r="O666" s="4">
        <f>IF($A666=O$613,"",COUNTIF($E$4:$E$609,$A666&amp;" ضد "&amp;O$613)+COUNTIF($E$4:$E$609,O$613&amp;" ضد "&amp;$A666))</f>
        <v>0</v>
      </c>
      <c r="P666" s="4">
        <f>IF($A666=P$613,"",COUNTIF($E$4:$E$609,$A666&amp;" ضد "&amp;P$613)+COUNTIF($E$4:$E$609,P$613&amp;" ضد "&amp;$A666))</f>
        <v>0</v>
      </c>
      <c r="Q666" s="4">
        <f>IF($A666=Q$613,"",COUNTIF($E$4:$E$609,$A666&amp;" ضد "&amp;Q$613)+COUNTIF($E$4:$E$609,Q$613&amp;" ضد "&amp;$A666))</f>
        <v>0</v>
      </c>
      <c r="R666" s="4">
        <f>IF($A666=R$613,"",COUNTIF($E$4:$E$609,$A666&amp;" ضد "&amp;R$613)+COUNTIF($E$4:$E$609,R$613&amp;" ضد "&amp;$A666))</f>
        <v>0</v>
      </c>
      <c r="S666" s="4">
        <f>IF($A666=S$613,"",COUNTIF($E$4:$E$609,$A666&amp;" ضد "&amp;S$613)+COUNTIF($E$4:$E$609,S$613&amp;" ضد "&amp;$A666))</f>
        <v>0</v>
      </c>
      <c r="T666" s="4">
        <f>IF($A666=T$613,"",COUNTIF($E$4:$E$609,$A666&amp;" ضد "&amp;T$613)+COUNTIF($E$4:$E$609,T$613&amp;" ضد "&amp;$A666))</f>
        <v>0</v>
      </c>
      <c r="U666" s="4">
        <f>IF($A666=U$613,"",COUNTIF($E$4:$E$609,$A666&amp;" ضد "&amp;U$613)+COUNTIF($E$4:$E$609,U$613&amp;" ضد "&amp;$A666))</f>
        <v>0</v>
      </c>
      <c r="V666" s="4">
        <f>IF($A666=V$613,"",COUNTIF($E$4:$E$609,$A666&amp;" ضد "&amp;V$613)+COUNTIF($E$4:$E$609,V$613&amp;" ضد "&amp;$A666))</f>
        <v>0</v>
      </c>
      <c r="W666" s="4">
        <f>IF($A666=W$613,"",COUNTIF($E$4:$E$609,$A666&amp;" ضد "&amp;W$613)+COUNTIF($E$4:$E$609,W$613&amp;" ضد "&amp;$A666))</f>
        <v>0</v>
      </c>
      <c r="X666" s="4">
        <f>IF($A666=X$613,"",COUNTIF($E$4:$E$609,$A666&amp;" ضد "&amp;X$613)+COUNTIF($E$4:$E$609,X$613&amp;" ضد "&amp;$A666))</f>
        <v>0</v>
      </c>
      <c r="Y666" s="4">
        <f>IF($A666=Y$613,"",COUNTIF($E$4:$E$609,$A666&amp;" ضد "&amp;Y$613)+COUNTIF($E$4:$E$609,Y$613&amp;" ضد "&amp;$A666))</f>
        <v>0</v>
      </c>
      <c r="Z666" s="4">
        <f>IF($A666=Z$613,"",COUNTIF($E$4:$E$609,$A666&amp;" ضد "&amp;Z$613)+COUNTIF($E$4:$E$609,Z$613&amp;" ضد "&amp;$A666))</f>
        <v>0</v>
      </c>
      <c r="AA666" s="4">
        <f>IF($A666=AA$613,"",COUNTIF($E$4:$E$609,$A666&amp;" ضد "&amp;AA$613)+COUNTIF($E$4:$E$609,AA$613&amp;" ضد "&amp;$A666))</f>
        <v>0</v>
      </c>
      <c r="AB666" s="4">
        <f>IF($A666=AB$613,"",COUNTIF($E$4:$E$609,$A666&amp;" ضد "&amp;AB$613)+COUNTIF($E$4:$E$609,AB$613&amp;" ضد "&amp;$A666))</f>
        <v>0</v>
      </c>
      <c r="AC666" s="4">
        <f>IF($A666=AC$613,"",COUNTIF($E$4:$E$609,$A666&amp;" ضد "&amp;AC$613)+COUNTIF($E$4:$E$609,AC$613&amp;" ضد "&amp;$A666))</f>
        <v>0</v>
      </c>
      <c r="AD666" s="4">
        <f>IF($A666=AD$613,"",COUNTIF($E$4:$E$609,$A666&amp;" ضد "&amp;AD$613)+COUNTIF($E$4:$E$609,AD$613&amp;" ضد "&amp;$A666))</f>
        <v>0</v>
      </c>
      <c r="AE666" s="4">
        <f>IF($A666=AE$613,"",COUNTIF($E$4:$E$609,$A666&amp;" ضد "&amp;AE$613)+COUNTIF($E$4:$E$609,AE$613&amp;" ضد "&amp;$A666))</f>
        <v>0</v>
      </c>
      <c r="AF666" s="4">
        <f>IF($A666=AF$613,"",COUNTIF($E$4:$E$609,$A666&amp;" ضد "&amp;AF$613)+COUNTIF($E$4:$E$609,AF$613&amp;" ضد "&amp;$A666))</f>
        <v>0</v>
      </c>
      <c r="AG666" s="4">
        <f>IF($A666=AG$613,"",COUNTIF($E$4:$E$609,$A666&amp;" ضد "&amp;AG$613)+COUNTIF($E$4:$E$609,AG$613&amp;" ضد "&amp;$A666))</f>
        <v>0</v>
      </c>
      <c r="AH666" s="4">
        <f>IF($A666=AH$613,"",COUNTIF($E$4:$E$609,$A666&amp;" ضد "&amp;AH$613)+COUNTIF($E$4:$E$609,AH$613&amp;" ضد "&amp;$A666))</f>
        <v>0</v>
      </c>
      <c r="AI666" s="4">
        <f>IF($A666=AI$613,"",COUNTIF($E$4:$E$609,$A666&amp;" ضد "&amp;AI$613)+COUNTIF($E$4:$E$609,AI$613&amp;" ضد "&amp;$A666))</f>
        <v>0</v>
      </c>
      <c r="AJ666" s="4">
        <f>IF($A666=AJ$613,"",COUNTIF($E$4:$E$609,$A666&amp;" ضد "&amp;AJ$613)+COUNTIF($E$4:$E$609,AJ$613&amp;" ضد "&amp;$A666))</f>
        <v>0</v>
      </c>
      <c r="AK666" s="4">
        <f>IF($A666=AK$613,"",COUNTIF($E$4:$E$609,$A666&amp;" ضد "&amp;AK$613)+COUNTIF($E$4:$E$609,AK$613&amp;" ضد "&amp;$A666))</f>
        <v>0</v>
      </c>
      <c r="AL666" s="4">
        <f>IF($A666=AL$613,"",COUNTIF($E$4:$E$609,$A666&amp;" ضد "&amp;AL$613)+COUNTIF($E$4:$E$609,AL$613&amp;" ضد "&amp;$A666))</f>
        <v>0</v>
      </c>
      <c r="AM666" s="4">
        <f>IF($A666=AM$613,"",COUNTIF($E$4:$E$609,$A666&amp;" ضد "&amp;AM$613)+COUNTIF($E$4:$E$609,AM$613&amp;" ضد "&amp;$A666))</f>
        <v>0</v>
      </c>
      <c r="AN666" s="4">
        <f>IF($A666=AN$613,"",COUNTIF($E$4:$E$609,$A666&amp;" ضد "&amp;AN$613)+COUNTIF($E$4:$E$609,AN$613&amp;" ضد "&amp;$A666))</f>
        <v>0</v>
      </c>
      <c r="AO666" s="4">
        <f>IF($A666=AO$613,"",COUNTIF($E$4:$E$609,$A666&amp;" ضد "&amp;AO$613)+COUNTIF($E$4:$E$609,AO$613&amp;" ضد "&amp;$A666))</f>
        <v>0</v>
      </c>
      <c r="AP666" s="4">
        <f>IF($A666=AP$613,"",COUNTIF($E$4:$E$609,$A666&amp;" ضد "&amp;AP$613)+COUNTIF($E$4:$E$609,AP$613&amp;" ضد "&amp;$A666))</f>
        <v>0</v>
      </c>
      <c r="AQ666" s="4">
        <f>IF($A666=AQ$613,"",COUNTIF($E$4:$E$609,$A666&amp;" ضد "&amp;AQ$613)+COUNTIF($E$4:$E$609,AQ$613&amp;" ضد "&amp;$A666))</f>
        <v>0</v>
      </c>
      <c r="AR666" s="4">
        <f>IF($A666=AR$613,"",COUNTIF($E$4:$E$609,$A666&amp;" ضد "&amp;AR$613)+COUNTIF($E$4:$E$609,AR$613&amp;" ضد "&amp;$A666))</f>
        <v>0</v>
      </c>
      <c r="AS666" s="4">
        <f>IF($A666=AS$613,"",COUNTIF($E$4:$E$609,$A666&amp;" ضد "&amp;AS$613)+COUNTIF($E$4:$E$609,AS$613&amp;" ضد "&amp;$A666))</f>
        <v>0</v>
      </c>
      <c r="AT666" s="4">
        <f>IF($A666=AT$613,"",COUNTIF($E$4:$E$609,$A666&amp;" ضد "&amp;AT$613)+COUNTIF($E$4:$E$609,AT$613&amp;" ضد "&amp;$A666))</f>
        <v>0</v>
      </c>
      <c r="AU666" s="4">
        <f>IF($A666=AU$613,"",COUNTIF($E$4:$E$609,$A666&amp;" ضد "&amp;AU$613)+COUNTIF($E$4:$E$609,AU$613&amp;" ضد "&amp;$A666))</f>
        <v>0</v>
      </c>
      <c r="AV666" s="4">
        <f>IF($A666=AV$613,"",COUNTIF($E$4:$E$609,$A666&amp;" ضد "&amp;AV$613)+COUNTIF($E$4:$E$609,AV$613&amp;" ضد "&amp;$A666))</f>
        <v>0</v>
      </c>
      <c r="AW666" s="4">
        <f>IF($A666=AW$613,"",COUNTIF($E$4:$E$609,$A666&amp;" ضد "&amp;AW$613)+COUNTIF($E$4:$E$609,AW$613&amp;" ضد "&amp;$A666))</f>
        <v>0</v>
      </c>
      <c r="AX666" s="4">
        <f>IF($A666=AX$613,"",COUNTIF($E$4:$E$609,$A666&amp;" ضد "&amp;AX$613)+COUNTIF($E$4:$E$609,AX$613&amp;" ضد "&amp;$A666))</f>
        <v>0</v>
      </c>
      <c r="AY666" s="4">
        <f>IF($A666=AY$613,"",COUNTIF($E$4:$E$609,$A666&amp;" ضد "&amp;AY$613)+COUNTIF($E$4:$E$609,AY$613&amp;" ضد "&amp;$A666))</f>
        <v>0</v>
      </c>
      <c r="AZ666" s="4">
        <f>IF($A666=AZ$613,"",COUNTIF($E$4:$E$609,$A666&amp;" ضد "&amp;AZ$613)+COUNTIF($E$4:$E$609,AZ$613&amp;" ضد "&amp;$A666))</f>
        <v>0</v>
      </c>
      <c r="BA666" s="4">
        <f>IF($A666=BA$613,"",COUNTIF($E$4:$E$609,$A666&amp;" ضد "&amp;BA$613)+COUNTIF($E$4:$E$609,BA$613&amp;" ضد "&amp;$A666))</f>
        <v>1</v>
      </c>
      <c r="BB666" s="4" t="str">
        <f>IF($A666=BB$613,"",COUNTIF($E$4:$E$609,$A666&amp;" ضد "&amp;BB$613)+COUNTIF($E$4:$E$609,BB$613&amp;" ضد "&amp;$A666))</f>
        <v/>
      </c>
      <c r="BC666" s="4">
        <f>IF($A666=BC$613,"",COUNTIF($E$4:$E$609,$A666&amp;" ضد "&amp;BC$613)+COUNTIF($E$4:$E$609,BC$613&amp;" ضد "&amp;$A666))</f>
        <v>1</v>
      </c>
      <c r="BD666" s="4">
        <f>IF($A666=BD$613,"",COUNTIF($E$4:$E$609,$A666&amp;" ضد "&amp;BD$613)+COUNTIF($E$4:$E$609,BD$613&amp;" ضد "&amp;$A666))</f>
        <v>1</v>
      </c>
      <c r="BE666" s="4">
        <f>IF($A666=BE$613,"",COUNTIF($E$4:$E$609,$A666&amp;" ضد "&amp;BE$613)+COUNTIF($E$4:$E$609,BE$613&amp;" ضد "&amp;$A666))</f>
        <v>1</v>
      </c>
      <c r="BF666" s="4">
        <f>IF($A666=BF$613,"",COUNTIF($E$4:$E$609,$A666&amp;" ضد "&amp;BF$613)+COUNTIF($E$4:$E$609,BF$613&amp;" ضد "&amp;$A666))</f>
        <v>1</v>
      </c>
      <c r="BG666" s="4">
        <f>IF($A666=BG$613,"",COUNTIF($E$4:$E$609,$A666&amp;" ضد "&amp;BG$613)+COUNTIF($E$4:$E$609,BG$613&amp;" ضد "&amp;$A666))</f>
        <v>1</v>
      </c>
      <c r="BH666" s="4">
        <f>IF($A666=BH$613,"",COUNTIF($E$4:$E$609,$A666&amp;" ضد "&amp;BH$613)+COUNTIF($E$4:$E$609,BH$613&amp;" ضد "&amp;$A666))</f>
        <v>1</v>
      </c>
      <c r="BI666" s="4">
        <f>IF($A666=BI$613,"",COUNTIF($E$4:$E$609,$A666&amp;" ضد "&amp;BI$613)+COUNTIF($E$4:$E$609,BI$613&amp;" ضد "&amp;$A666))</f>
        <v>1</v>
      </c>
      <c r="BJ666" s="4">
        <f>IF($A666=BJ$613,"",COUNTIF($E$4:$E$609,$A666&amp;" ضد "&amp;BJ$613)+COUNTIF($E$4:$E$609,BJ$613&amp;" ضد "&amp;$A666))</f>
        <v>1</v>
      </c>
      <c r="BK666" s="4">
        <f>IF($A666=BK$613,"",COUNTIF($E$4:$E$609,$A666&amp;" ضد "&amp;BK$613)+COUNTIF($E$4:$E$609,BK$613&amp;" ضد "&amp;$A666))</f>
        <v>2</v>
      </c>
      <c r="BL666" s="4">
        <f>IF($A666=BL$613,"",COUNTIF($E$4:$E$609,$A666&amp;" ضد "&amp;BL$613)+COUNTIF($E$4:$E$609,BL$613&amp;" ضد "&amp;$A666))</f>
        <v>1</v>
      </c>
      <c r="BM666" s="4">
        <f>IF($A666=BM$613,"",COUNTIF($E$4:$E$609,$A666&amp;" ضد "&amp;BM$613)+COUNTIF($E$4:$E$609,BM$613&amp;" ضد "&amp;$A666))</f>
        <v>2</v>
      </c>
      <c r="BN666" s="4">
        <f>IF($A666=BN$613,"",COUNTIF($E$4:$E$609,$A666&amp;" ضد "&amp;BN$613)+COUNTIF($E$4:$E$609,BN$613&amp;" ضد "&amp;$A666))</f>
        <v>1</v>
      </c>
      <c r="BO666" s="4">
        <f>IF($A666=BO$613,"",COUNTIF($E$4:$E$609,$A666&amp;" ضد "&amp;BO$613)+COUNTIF($E$4:$E$609,BO$613&amp;" ضد "&amp;$A666))</f>
        <v>2</v>
      </c>
      <c r="BP666" s="4">
        <f>IF($A666=BP$613,"",COUNTIF($E$4:$E$609,$A666&amp;" ضد "&amp;BP$613)+COUNTIF($E$4:$E$609,BP$613&amp;" ضد "&amp;$A666))</f>
        <v>1</v>
      </c>
    </row>
    <row r="667" spans="1:68" ht="14.5">
      <c r="A667" s="14">
        <v>54</v>
      </c>
      <c r="B667" s="4">
        <f>IF($A667=B$613,"",COUNTIF($E$4:$E$609,$A667&amp;" ضد "&amp;B$613)+COUNTIF($E$4:$E$609,B$613&amp;" ضد "&amp;$A667))</f>
        <v>0</v>
      </c>
      <c r="C667" s="4">
        <f>IF($A667=C$613,"",COUNTIF($E$4:$E$609,$A667&amp;" ضد "&amp;C$613)+COUNTIF($E$4:$E$609,C$613&amp;" ضد "&amp;$A667))</f>
        <v>0</v>
      </c>
      <c r="D667" s="4">
        <f>IF($A667=D$613,"",COUNTIF($E$4:$E$609,$A667&amp;" ضد "&amp;D$613)+COUNTIF($E$4:$E$609,D$613&amp;" ضد "&amp;$A667))</f>
        <v>0</v>
      </c>
      <c r="E667" s="4">
        <f>IF($A667=E$613,"",COUNTIF($E$4:$E$609,$A667&amp;" ضد "&amp;E$613)+COUNTIF($E$4:$E$609,E$613&amp;" ضد "&amp;$A667))</f>
        <v>0</v>
      </c>
      <c r="F667" s="4">
        <f>IF($A667=F$613,"",COUNTIF($E$4:$E$609,$A667&amp;" ضد "&amp;F$613)+COUNTIF($E$4:$E$609,F$613&amp;" ضد "&amp;$A667))</f>
        <v>0</v>
      </c>
      <c r="G667" s="4">
        <f>IF($A667=G$613,"",COUNTIF($E$4:$E$609,$A667&amp;" ضد "&amp;G$613)+COUNTIF($E$4:$E$609,G$613&amp;" ضد "&amp;$A667))</f>
        <v>0</v>
      </c>
      <c r="H667" s="4">
        <f>IF($A667=H$613,"",COUNTIF($E$4:$E$609,$A667&amp;" ضد "&amp;H$613)+COUNTIF($E$4:$E$609,H$613&amp;" ضد "&amp;$A667))</f>
        <v>0</v>
      </c>
      <c r="I667" s="4">
        <f>IF($A667=I$613,"",COUNTIF($E$4:$E$609,$A667&amp;" ضد "&amp;I$613)+COUNTIF($E$4:$E$609,I$613&amp;" ضد "&amp;$A667))</f>
        <v>0</v>
      </c>
      <c r="J667" s="4">
        <f>IF($A667=J$613,"",COUNTIF($E$4:$E$609,$A667&amp;" ضد "&amp;J$613)+COUNTIF($E$4:$E$609,J$613&amp;" ضد "&amp;$A667))</f>
        <v>0</v>
      </c>
      <c r="K667" s="4">
        <f>IF($A667=K$613,"",COUNTIF($E$4:$E$609,$A667&amp;" ضد "&amp;K$613)+COUNTIF($E$4:$E$609,K$613&amp;" ضد "&amp;$A667))</f>
        <v>0</v>
      </c>
      <c r="L667" s="4">
        <f>IF($A667=L$613,"",COUNTIF($E$4:$E$609,$A667&amp;" ضد "&amp;L$613)+COUNTIF($E$4:$E$609,L$613&amp;" ضد "&amp;$A667))</f>
        <v>0</v>
      </c>
      <c r="M667" s="4">
        <f>IF($A667=M$613,"",COUNTIF($E$4:$E$609,$A667&amp;" ضد "&amp;M$613)+COUNTIF($E$4:$E$609,M$613&amp;" ضد "&amp;$A667))</f>
        <v>0</v>
      </c>
      <c r="N667" s="4">
        <f>IF($A667=N$613,"",COUNTIF($E$4:$E$609,$A667&amp;" ضد "&amp;N$613)+COUNTIF($E$4:$E$609,N$613&amp;" ضد "&amp;$A667))</f>
        <v>0</v>
      </c>
      <c r="O667" s="4">
        <f>IF($A667=O$613,"",COUNTIF($E$4:$E$609,$A667&amp;" ضد "&amp;O$613)+COUNTIF($E$4:$E$609,O$613&amp;" ضد "&amp;$A667))</f>
        <v>0</v>
      </c>
      <c r="P667" s="4">
        <f>IF($A667=P$613,"",COUNTIF($E$4:$E$609,$A667&amp;" ضد "&amp;P$613)+COUNTIF($E$4:$E$609,P$613&amp;" ضد "&amp;$A667))</f>
        <v>0</v>
      </c>
      <c r="Q667" s="4">
        <f>IF($A667=Q$613,"",COUNTIF($E$4:$E$609,$A667&amp;" ضد "&amp;Q$613)+COUNTIF($E$4:$E$609,Q$613&amp;" ضد "&amp;$A667))</f>
        <v>0</v>
      </c>
      <c r="R667" s="4">
        <f>IF($A667=R$613,"",COUNTIF($E$4:$E$609,$A667&amp;" ضد "&amp;R$613)+COUNTIF($E$4:$E$609,R$613&amp;" ضد "&amp;$A667))</f>
        <v>0</v>
      </c>
      <c r="S667" s="4">
        <f>IF($A667=S$613,"",COUNTIF($E$4:$E$609,$A667&amp;" ضد "&amp;S$613)+COUNTIF($E$4:$E$609,S$613&amp;" ضد "&amp;$A667))</f>
        <v>0</v>
      </c>
      <c r="T667" s="4">
        <f>IF($A667=T$613,"",COUNTIF($E$4:$E$609,$A667&amp;" ضد "&amp;T$613)+COUNTIF($E$4:$E$609,T$613&amp;" ضد "&amp;$A667))</f>
        <v>0</v>
      </c>
      <c r="U667" s="4">
        <f>IF($A667=U$613,"",COUNTIF($E$4:$E$609,$A667&amp;" ضد "&amp;U$613)+COUNTIF($E$4:$E$609,U$613&amp;" ضد "&amp;$A667))</f>
        <v>0</v>
      </c>
      <c r="V667" s="4">
        <f>IF($A667=V$613,"",COUNTIF($E$4:$E$609,$A667&amp;" ضد "&amp;V$613)+COUNTIF($E$4:$E$609,V$613&amp;" ضد "&amp;$A667))</f>
        <v>0</v>
      </c>
      <c r="W667" s="4">
        <f>IF($A667=W$613,"",COUNTIF($E$4:$E$609,$A667&amp;" ضد "&amp;W$613)+COUNTIF($E$4:$E$609,W$613&amp;" ضد "&amp;$A667))</f>
        <v>0</v>
      </c>
      <c r="X667" s="4">
        <f>IF($A667=X$613,"",COUNTIF($E$4:$E$609,$A667&amp;" ضد "&amp;X$613)+COUNTIF($E$4:$E$609,X$613&amp;" ضد "&amp;$A667))</f>
        <v>0</v>
      </c>
      <c r="Y667" s="4">
        <f>IF($A667=Y$613,"",COUNTIF($E$4:$E$609,$A667&amp;" ضد "&amp;Y$613)+COUNTIF($E$4:$E$609,Y$613&amp;" ضد "&amp;$A667))</f>
        <v>0</v>
      </c>
      <c r="Z667" s="4">
        <f>IF($A667=Z$613,"",COUNTIF($E$4:$E$609,$A667&amp;" ضد "&amp;Z$613)+COUNTIF($E$4:$E$609,Z$613&amp;" ضد "&amp;$A667))</f>
        <v>0</v>
      </c>
      <c r="AA667" s="4">
        <f>IF($A667=AA$613,"",COUNTIF($E$4:$E$609,$A667&amp;" ضد "&amp;AA$613)+COUNTIF($E$4:$E$609,AA$613&amp;" ضد "&amp;$A667))</f>
        <v>0</v>
      </c>
      <c r="AB667" s="4">
        <f>IF($A667=AB$613,"",COUNTIF($E$4:$E$609,$A667&amp;" ضد "&amp;AB$613)+COUNTIF($E$4:$E$609,AB$613&amp;" ضد "&amp;$A667))</f>
        <v>0</v>
      </c>
      <c r="AC667" s="4">
        <f>IF($A667=AC$613,"",COUNTIF($E$4:$E$609,$A667&amp;" ضد "&amp;AC$613)+COUNTIF($E$4:$E$609,AC$613&amp;" ضد "&amp;$A667))</f>
        <v>0</v>
      </c>
      <c r="AD667" s="4">
        <f>IF($A667=AD$613,"",COUNTIF($E$4:$E$609,$A667&amp;" ضد "&amp;AD$613)+COUNTIF($E$4:$E$609,AD$613&amp;" ضد "&amp;$A667))</f>
        <v>0</v>
      </c>
      <c r="AE667" s="4">
        <f>IF($A667=AE$613,"",COUNTIF($E$4:$E$609,$A667&amp;" ضد "&amp;AE$613)+COUNTIF($E$4:$E$609,AE$613&amp;" ضد "&amp;$A667))</f>
        <v>0</v>
      </c>
      <c r="AF667" s="4">
        <f>IF($A667=AF$613,"",COUNTIF($E$4:$E$609,$A667&amp;" ضد "&amp;AF$613)+COUNTIF($E$4:$E$609,AF$613&amp;" ضد "&amp;$A667))</f>
        <v>0</v>
      </c>
      <c r="AG667" s="4">
        <f>IF($A667=AG$613,"",COUNTIF($E$4:$E$609,$A667&amp;" ضد "&amp;AG$613)+COUNTIF($E$4:$E$609,AG$613&amp;" ضد "&amp;$A667))</f>
        <v>0</v>
      </c>
      <c r="AH667" s="4">
        <f>IF($A667=AH$613,"",COUNTIF($E$4:$E$609,$A667&amp;" ضد "&amp;AH$613)+COUNTIF($E$4:$E$609,AH$613&amp;" ضد "&amp;$A667))</f>
        <v>0</v>
      </c>
      <c r="AI667" s="4">
        <f>IF($A667=AI$613,"",COUNTIF($E$4:$E$609,$A667&amp;" ضد "&amp;AI$613)+COUNTIF($E$4:$E$609,AI$613&amp;" ضد "&amp;$A667))</f>
        <v>0</v>
      </c>
      <c r="AJ667" s="4">
        <f>IF($A667=AJ$613,"",COUNTIF($E$4:$E$609,$A667&amp;" ضد "&amp;AJ$613)+COUNTIF($E$4:$E$609,AJ$613&amp;" ضد "&amp;$A667))</f>
        <v>0</v>
      </c>
      <c r="AK667" s="4">
        <f>IF($A667=AK$613,"",COUNTIF($E$4:$E$609,$A667&amp;" ضد "&amp;AK$613)+COUNTIF($E$4:$E$609,AK$613&amp;" ضد "&amp;$A667))</f>
        <v>0</v>
      </c>
      <c r="AL667" s="4">
        <f>IF($A667=AL$613,"",COUNTIF($E$4:$E$609,$A667&amp;" ضد "&amp;AL$613)+COUNTIF($E$4:$E$609,AL$613&amp;" ضد "&amp;$A667))</f>
        <v>0</v>
      </c>
      <c r="AM667" s="4">
        <f>IF($A667=AM$613,"",COUNTIF($E$4:$E$609,$A667&amp;" ضد "&amp;AM$613)+COUNTIF($E$4:$E$609,AM$613&amp;" ضد "&amp;$A667))</f>
        <v>0</v>
      </c>
      <c r="AN667" s="4">
        <f>IF($A667=AN$613,"",COUNTIF($E$4:$E$609,$A667&amp;" ضد "&amp;AN$613)+COUNTIF($E$4:$E$609,AN$613&amp;" ضد "&amp;$A667))</f>
        <v>0</v>
      </c>
      <c r="AO667" s="4">
        <f>IF($A667=AO$613,"",COUNTIF($E$4:$E$609,$A667&amp;" ضد "&amp;AO$613)+COUNTIF($E$4:$E$609,AO$613&amp;" ضد "&amp;$A667))</f>
        <v>0</v>
      </c>
      <c r="AP667" s="4">
        <f>IF($A667=AP$613,"",COUNTIF($E$4:$E$609,$A667&amp;" ضد "&amp;AP$613)+COUNTIF($E$4:$E$609,AP$613&amp;" ضد "&amp;$A667))</f>
        <v>0</v>
      </c>
      <c r="AQ667" s="4">
        <f>IF($A667=AQ$613,"",COUNTIF($E$4:$E$609,$A667&amp;" ضد "&amp;AQ$613)+COUNTIF($E$4:$E$609,AQ$613&amp;" ضد "&amp;$A667))</f>
        <v>0</v>
      </c>
      <c r="AR667" s="4">
        <f>IF($A667=AR$613,"",COUNTIF($E$4:$E$609,$A667&amp;" ضد "&amp;AR$613)+COUNTIF($E$4:$E$609,AR$613&amp;" ضد "&amp;$A667))</f>
        <v>0</v>
      </c>
      <c r="AS667" s="4">
        <f>IF($A667=AS$613,"",COUNTIF($E$4:$E$609,$A667&amp;" ضد "&amp;AS$613)+COUNTIF($E$4:$E$609,AS$613&amp;" ضد "&amp;$A667))</f>
        <v>0</v>
      </c>
      <c r="AT667" s="4">
        <f>IF($A667=AT$613,"",COUNTIF($E$4:$E$609,$A667&amp;" ضد "&amp;AT$613)+COUNTIF($E$4:$E$609,AT$613&amp;" ضد "&amp;$A667))</f>
        <v>0</v>
      </c>
      <c r="AU667" s="4">
        <f>IF($A667=AU$613,"",COUNTIF($E$4:$E$609,$A667&amp;" ضد "&amp;AU$613)+COUNTIF($E$4:$E$609,AU$613&amp;" ضد "&amp;$A667))</f>
        <v>0</v>
      </c>
      <c r="AV667" s="4">
        <f>IF($A667=AV$613,"",COUNTIF($E$4:$E$609,$A667&amp;" ضد "&amp;AV$613)+COUNTIF($E$4:$E$609,AV$613&amp;" ضد "&amp;$A667))</f>
        <v>0</v>
      </c>
      <c r="AW667" s="4">
        <f>IF($A667=AW$613,"",COUNTIF($E$4:$E$609,$A667&amp;" ضد "&amp;AW$613)+COUNTIF($E$4:$E$609,AW$613&amp;" ضد "&amp;$A667))</f>
        <v>0</v>
      </c>
      <c r="AX667" s="4">
        <f>IF($A667=AX$613,"",COUNTIF($E$4:$E$609,$A667&amp;" ضد "&amp;AX$613)+COUNTIF($E$4:$E$609,AX$613&amp;" ضد "&amp;$A667))</f>
        <v>0</v>
      </c>
      <c r="AY667" s="4">
        <f>IF($A667=AY$613,"",COUNTIF($E$4:$E$609,$A667&amp;" ضد "&amp;AY$613)+COUNTIF($E$4:$E$609,AY$613&amp;" ضد "&amp;$A667))</f>
        <v>0</v>
      </c>
      <c r="AZ667" s="4">
        <f>IF($A667=AZ$613,"",COUNTIF($E$4:$E$609,$A667&amp;" ضد "&amp;AZ$613)+COUNTIF($E$4:$E$609,AZ$613&amp;" ضد "&amp;$A667))</f>
        <v>0</v>
      </c>
      <c r="BA667" s="4">
        <f>IF($A667=BA$613,"",COUNTIF($E$4:$E$609,$A667&amp;" ضد "&amp;BA$613)+COUNTIF($E$4:$E$609,BA$613&amp;" ضد "&amp;$A667))</f>
        <v>1</v>
      </c>
      <c r="BB667" s="4">
        <f>IF($A667=BB$613,"",COUNTIF($E$4:$E$609,$A667&amp;" ضد "&amp;BB$613)+COUNTIF($E$4:$E$609,BB$613&amp;" ضد "&amp;$A667))</f>
        <v>1</v>
      </c>
      <c r="BC667" s="4" t="str">
        <f>IF($A667=BC$613,"",COUNTIF($E$4:$E$609,$A667&amp;" ضد "&amp;BC$613)+COUNTIF($E$4:$E$609,BC$613&amp;" ضد "&amp;$A667))</f>
        <v/>
      </c>
      <c r="BD667" s="4">
        <f>IF($A667=BD$613,"",COUNTIF($E$4:$E$609,$A667&amp;" ضد "&amp;BD$613)+COUNTIF($E$4:$E$609,BD$613&amp;" ضد "&amp;$A667))</f>
        <v>1</v>
      </c>
      <c r="BE667" s="4">
        <f>IF($A667=BE$613,"",COUNTIF($E$4:$E$609,$A667&amp;" ضد "&amp;BE$613)+COUNTIF($E$4:$E$609,BE$613&amp;" ضد "&amp;$A667))</f>
        <v>1</v>
      </c>
      <c r="BF667" s="4">
        <f>IF($A667=BF$613,"",COUNTIF($E$4:$E$609,$A667&amp;" ضد "&amp;BF$613)+COUNTIF($E$4:$E$609,BF$613&amp;" ضد "&amp;$A667))</f>
        <v>1</v>
      </c>
      <c r="BG667" s="4">
        <f>IF($A667=BG$613,"",COUNTIF($E$4:$E$609,$A667&amp;" ضد "&amp;BG$613)+COUNTIF($E$4:$E$609,BG$613&amp;" ضد "&amp;$A667))</f>
        <v>1</v>
      </c>
      <c r="BH667" s="4">
        <f>IF($A667=BH$613,"",COUNTIF($E$4:$E$609,$A667&amp;" ضد "&amp;BH$613)+COUNTIF($E$4:$E$609,BH$613&amp;" ضد "&amp;$A667))</f>
        <v>1</v>
      </c>
      <c r="BI667" s="4">
        <f>IF($A667=BI$613,"",COUNTIF($E$4:$E$609,$A667&amp;" ضد "&amp;BI$613)+COUNTIF($E$4:$E$609,BI$613&amp;" ضد "&amp;$A667))</f>
        <v>1</v>
      </c>
      <c r="BJ667" s="4">
        <f>IF($A667=BJ$613,"",COUNTIF($E$4:$E$609,$A667&amp;" ضد "&amp;BJ$613)+COUNTIF($E$4:$E$609,BJ$613&amp;" ضد "&amp;$A667))</f>
        <v>2</v>
      </c>
      <c r="BK667" s="4">
        <f>IF($A667=BK$613,"",COUNTIF($E$4:$E$609,$A667&amp;" ضد "&amp;BK$613)+COUNTIF($E$4:$E$609,BK$613&amp;" ضد "&amp;$A667))</f>
        <v>1</v>
      </c>
      <c r="BL667" s="4">
        <f>IF($A667=BL$613,"",COUNTIF($E$4:$E$609,$A667&amp;" ضد "&amp;BL$613)+COUNTIF($E$4:$E$609,BL$613&amp;" ضد "&amp;$A667))</f>
        <v>2</v>
      </c>
      <c r="BM667" s="4">
        <f>IF($A667=BM$613,"",COUNTIF($E$4:$E$609,$A667&amp;" ضد "&amp;BM$613)+COUNTIF($E$4:$E$609,BM$613&amp;" ضد "&amp;$A667))</f>
        <v>1</v>
      </c>
      <c r="BN667" s="4">
        <f>IF($A667=BN$613,"",COUNTIF($E$4:$E$609,$A667&amp;" ضد "&amp;BN$613)+COUNTIF($E$4:$E$609,BN$613&amp;" ضد "&amp;$A667))</f>
        <v>2</v>
      </c>
      <c r="BO667" s="4">
        <f>IF($A667=BO$613,"",COUNTIF($E$4:$E$609,$A667&amp;" ضد "&amp;BO$613)+COUNTIF($E$4:$E$609,BO$613&amp;" ضد "&amp;$A667))</f>
        <v>1</v>
      </c>
      <c r="BP667" s="4">
        <f>IF($A667=BP$613,"",COUNTIF($E$4:$E$609,$A667&amp;" ضد "&amp;BP$613)+COUNTIF($E$4:$E$609,BP$613&amp;" ضد "&amp;$A667))</f>
        <v>1</v>
      </c>
    </row>
    <row r="668" spans="1:68" ht="14.5">
      <c r="A668" s="14">
        <v>55</v>
      </c>
      <c r="B668" s="4">
        <f>IF($A668=B$613,"",COUNTIF($E$4:$E$609,$A668&amp;" ضد "&amp;B$613)+COUNTIF($E$4:$E$609,B$613&amp;" ضد "&amp;$A668))</f>
        <v>0</v>
      </c>
      <c r="C668" s="4">
        <f>IF($A668=C$613,"",COUNTIF($E$4:$E$609,$A668&amp;" ضد "&amp;C$613)+COUNTIF($E$4:$E$609,C$613&amp;" ضد "&amp;$A668))</f>
        <v>0</v>
      </c>
      <c r="D668" s="4">
        <f>IF($A668=D$613,"",COUNTIF($E$4:$E$609,$A668&amp;" ضد "&amp;D$613)+COUNTIF($E$4:$E$609,D$613&amp;" ضد "&amp;$A668))</f>
        <v>0</v>
      </c>
      <c r="E668" s="4">
        <f>IF($A668=E$613,"",COUNTIF($E$4:$E$609,$A668&amp;" ضد "&amp;E$613)+COUNTIF($E$4:$E$609,E$613&amp;" ضد "&amp;$A668))</f>
        <v>0</v>
      </c>
      <c r="F668" s="4">
        <f>IF($A668=F$613,"",COUNTIF($E$4:$E$609,$A668&amp;" ضد "&amp;F$613)+COUNTIF($E$4:$E$609,F$613&amp;" ضد "&amp;$A668))</f>
        <v>0</v>
      </c>
      <c r="G668" s="4">
        <f>IF($A668=G$613,"",COUNTIF($E$4:$E$609,$A668&amp;" ضد "&amp;G$613)+COUNTIF($E$4:$E$609,G$613&amp;" ضد "&amp;$A668))</f>
        <v>0</v>
      </c>
      <c r="H668" s="4">
        <f>IF($A668=H$613,"",COUNTIF($E$4:$E$609,$A668&amp;" ضد "&amp;H$613)+COUNTIF($E$4:$E$609,H$613&amp;" ضد "&amp;$A668))</f>
        <v>0</v>
      </c>
      <c r="I668" s="4">
        <f>IF($A668=I$613,"",COUNTIF($E$4:$E$609,$A668&amp;" ضد "&amp;I$613)+COUNTIF($E$4:$E$609,I$613&amp;" ضد "&amp;$A668))</f>
        <v>0</v>
      </c>
      <c r="J668" s="4">
        <f>IF($A668=J$613,"",COUNTIF($E$4:$E$609,$A668&amp;" ضد "&amp;J$613)+COUNTIF($E$4:$E$609,J$613&amp;" ضد "&amp;$A668))</f>
        <v>0</v>
      </c>
      <c r="K668" s="4">
        <f>IF($A668=K$613,"",COUNTIF($E$4:$E$609,$A668&amp;" ضد "&amp;K$613)+COUNTIF($E$4:$E$609,K$613&amp;" ضد "&amp;$A668))</f>
        <v>0</v>
      </c>
      <c r="L668" s="4">
        <f>IF($A668=L$613,"",COUNTIF($E$4:$E$609,$A668&amp;" ضد "&amp;L$613)+COUNTIF($E$4:$E$609,L$613&amp;" ضد "&amp;$A668))</f>
        <v>0</v>
      </c>
      <c r="M668" s="4">
        <f>IF($A668=M$613,"",COUNTIF($E$4:$E$609,$A668&amp;" ضد "&amp;M$613)+COUNTIF($E$4:$E$609,M$613&amp;" ضد "&amp;$A668))</f>
        <v>0</v>
      </c>
      <c r="N668" s="4">
        <f>IF($A668=N$613,"",COUNTIF($E$4:$E$609,$A668&amp;" ضد "&amp;N$613)+COUNTIF($E$4:$E$609,N$613&amp;" ضد "&amp;$A668))</f>
        <v>0</v>
      </c>
      <c r="O668" s="4">
        <f>IF($A668=O$613,"",COUNTIF($E$4:$E$609,$A668&amp;" ضد "&amp;O$613)+COUNTIF($E$4:$E$609,O$613&amp;" ضد "&amp;$A668))</f>
        <v>0</v>
      </c>
      <c r="P668" s="4">
        <f>IF($A668=P$613,"",COUNTIF($E$4:$E$609,$A668&amp;" ضد "&amp;P$613)+COUNTIF($E$4:$E$609,P$613&amp;" ضد "&amp;$A668))</f>
        <v>0</v>
      </c>
      <c r="Q668" s="4">
        <f>IF($A668=Q$613,"",COUNTIF($E$4:$E$609,$A668&amp;" ضد "&amp;Q$613)+COUNTIF($E$4:$E$609,Q$613&amp;" ضد "&amp;$A668))</f>
        <v>0</v>
      </c>
      <c r="R668" s="4">
        <f>IF($A668=R$613,"",COUNTIF($E$4:$E$609,$A668&amp;" ضد "&amp;R$613)+COUNTIF($E$4:$E$609,R$613&amp;" ضد "&amp;$A668))</f>
        <v>0</v>
      </c>
      <c r="S668" s="4">
        <f>IF($A668=S$613,"",COUNTIF($E$4:$E$609,$A668&amp;" ضد "&amp;S$613)+COUNTIF($E$4:$E$609,S$613&amp;" ضد "&amp;$A668))</f>
        <v>0</v>
      </c>
      <c r="T668" s="4">
        <f>IF($A668=T$613,"",COUNTIF($E$4:$E$609,$A668&amp;" ضد "&amp;T$613)+COUNTIF($E$4:$E$609,T$613&amp;" ضد "&amp;$A668))</f>
        <v>0</v>
      </c>
      <c r="U668" s="4">
        <f>IF($A668=U$613,"",COUNTIF($E$4:$E$609,$A668&amp;" ضد "&amp;U$613)+COUNTIF($E$4:$E$609,U$613&amp;" ضد "&amp;$A668))</f>
        <v>0</v>
      </c>
      <c r="V668" s="4">
        <f>IF($A668=V$613,"",COUNTIF($E$4:$E$609,$A668&amp;" ضد "&amp;V$613)+COUNTIF($E$4:$E$609,V$613&amp;" ضد "&amp;$A668))</f>
        <v>0</v>
      </c>
      <c r="W668" s="4">
        <f>IF($A668=W$613,"",COUNTIF($E$4:$E$609,$A668&amp;" ضد "&amp;W$613)+COUNTIF($E$4:$E$609,W$613&amp;" ضد "&amp;$A668))</f>
        <v>0</v>
      </c>
      <c r="X668" s="4">
        <f>IF($A668=X$613,"",COUNTIF($E$4:$E$609,$A668&amp;" ضد "&amp;X$613)+COUNTIF($E$4:$E$609,X$613&amp;" ضد "&amp;$A668))</f>
        <v>0</v>
      </c>
      <c r="Y668" s="4">
        <f>IF($A668=Y$613,"",COUNTIF($E$4:$E$609,$A668&amp;" ضد "&amp;Y$613)+COUNTIF($E$4:$E$609,Y$613&amp;" ضد "&amp;$A668))</f>
        <v>0</v>
      </c>
      <c r="Z668" s="4">
        <f>IF($A668=Z$613,"",COUNTIF($E$4:$E$609,$A668&amp;" ضد "&amp;Z$613)+COUNTIF($E$4:$E$609,Z$613&amp;" ضد "&amp;$A668))</f>
        <v>0</v>
      </c>
      <c r="AA668" s="4">
        <f>IF($A668=AA$613,"",COUNTIF($E$4:$E$609,$A668&amp;" ضد "&amp;AA$613)+COUNTIF($E$4:$E$609,AA$613&amp;" ضد "&amp;$A668))</f>
        <v>0</v>
      </c>
      <c r="AB668" s="4">
        <f>IF($A668=AB$613,"",COUNTIF($E$4:$E$609,$A668&amp;" ضد "&amp;AB$613)+COUNTIF($E$4:$E$609,AB$613&amp;" ضد "&amp;$A668))</f>
        <v>0</v>
      </c>
      <c r="AC668" s="4">
        <f>IF($A668=AC$613,"",COUNTIF($E$4:$E$609,$A668&amp;" ضد "&amp;AC$613)+COUNTIF($E$4:$E$609,AC$613&amp;" ضد "&amp;$A668))</f>
        <v>0</v>
      </c>
      <c r="AD668" s="4">
        <f>IF($A668=AD$613,"",COUNTIF($E$4:$E$609,$A668&amp;" ضد "&amp;AD$613)+COUNTIF($E$4:$E$609,AD$613&amp;" ضد "&amp;$A668))</f>
        <v>0</v>
      </c>
      <c r="AE668" s="4">
        <f>IF($A668=AE$613,"",COUNTIF($E$4:$E$609,$A668&amp;" ضد "&amp;AE$613)+COUNTIF($E$4:$E$609,AE$613&amp;" ضد "&amp;$A668))</f>
        <v>0</v>
      </c>
      <c r="AF668" s="4">
        <f>IF($A668=AF$613,"",COUNTIF($E$4:$E$609,$A668&amp;" ضد "&amp;AF$613)+COUNTIF($E$4:$E$609,AF$613&amp;" ضد "&amp;$A668))</f>
        <v>0</v>
      </c>
      <c r="AG668" s="4">
        <f>IF($A668=AG$613,"",COUNTIF($E$4:$E$609,$A668&amp;" ضد "&amp;AG$613)+COUNTIF($E$4:$E$609,AG$613&amp;" ضد "&amp;$A668))</f>
        <v>0</v>
      </c>
      <c r="AH668" s="4">
        <f>IF($A668=AH$613,"",COUNTIF($E$4:$E$609,$A668&amp;" ضد "&amp;AH$613)+COUNTIF($E$4:$E$609,AH$613&amp;" ضد "&amp;$A668))</f>
        <v>0</v>
      </c>
      <c r="AI668" s="4">
        <f>IF($A668=AI$613,"",COUNTIF($E$4:$E$609,$A668&amp;" ضد "&amp;AI$613)+COUNTIF($E$4:$E$609,AI$613&amp;" ضد "&amp;$A668))</f>
        <v>0</v>
      </c>
      <c r="AJ668" s="4">
        <f>IF($A668=AJ$613,"",COUNTIF($E$4:$E$609,$A668&amp;" ضد "&amp;AJ$613)+COUNTIF($E$4:$E$609,AJ$613&amp;" ضد "&amp;$A668))</f>
        <v>0</v>
      </c>
      <c r="AK668" s="4">
        <f>IF($A668=AK$613,"",COUNTIF($E$4:$E$609,$A668&amp;" ضد "&amp;AK$613)+COUNTIF($E$4:$E$609,AK$613&amp;" ضد "&amp;$A668))</f>
        <v>0</v>
      </c>
      <c r="AL668" s="4">
        <f>IF($A668=AL$613,"",COUNTIF($E$4:$E$609,$A668&amp;" ضد "&amp;AL$613)+COUNTIF($E$4:$E$609,AL$613&amp;" ضد "&amp;$A668))</f>
        <v>0</v>
      </c>
      <c r="AM668" s="4">
        <f>IF($A668=AM$613,"",COUNTIF($E$4:$E$609,$A668&amp;" ضد "&amp;AM$613)+COUNTIF($E$4:$E$609,AM$613&amp;" ضد "&amp;$A668))</f>
        <v>0</v>
      </c>
      <c r="AN668" s="4">
        <f>IF($A668=AN$613,"",COUNTIF($E$4:$E$609,$A668&amp;" ضد "&amp;AN$613)+COUNTIF($E$4:$E$609,AN$613&amp;" ضد "&amp;$A668))</f>
        <v>0</v>
      </c>
      <c r="AO668" s="4">
        <f>IF($A668=AO$613,"",COUNTIF($E$4:$E$609,$A668&amp;" ضد "&amp;AO$613)+COUNTIF($E$4:$E$609,AO$613&amp;" ضد "&amp;$A668))</f>
        <v>0</v>
      </c>
      <c r="AP668" s="4">
        <f>IF($A668=AP$613,"",COUNTIF($E$4:$E$609,$A668&amp;" ضد "&amp;AP$613)+COUNTIF($E$4:$E$609,AP$613&amp;" ضد "&amp;$A668))</f>
        <v>0</v>
      </c>
      <c r="AQ668" s="4">
        <f>IF($A668=AQ$613,"",COUNTIF($E$4:$E$609,$A668&amp;" ضد "&amp;AQ$613)+COUNTIF($E$4:$E$609,AQ$613&amp;" ضد "&amp;$A668))</f>
        <v>0</v>
      </c>
      <c r="AR668" s="4">
        <f>IF($A668=AR$613,"",COUNTIF($E$4:$E$609,$A668&amp;" ضد "&amp;AR$613)+COUNTIF($E$4:$E$609,AR$613&amp;" ضد "&amp;$A668))</f>
        <v>0</v>
      </c>
      <c r="AS668" s="4">
        <f>IF($A668=AS$613,"",COUNTIF($E$4:$E$609,$A668&amp;" ضد "&amp;AS$613)+COUNTIF($E$4:$E$609,AS$613&amp;" ضد "&amp;$A668))</f>
        <v>0</v>
      </c>
      <c r="AT668" s="4">
        <f>IF($A668=AT$613,"",COUNTIF($E$4:$E$609,$A668&amp;" ضد "&amp;AT$613)+COUNTIF($E$4:$E$609,AT$613&amp;" ضد "&amp;$A668))</f>
        <v>0</v>
      </c>
      <c r="AU668" s="4">
        <f>IF($A668=AU$613,"",COUNTIF($E$4:$E$609,$A668&amp;" ضد "&amp;AU$613)+COUNTIF($E$4:$E$609,AU$613&amp;" ضد "&amp;$A668))</f>
        <v>0</v>
      </c>
      <c r="AV668" s="4">
        <f>IF($A668=AV$613,"",COUNTIF($E$4:$E$609,$A668&amp;" ضد "&amp;AV$613)+COUNTIF($E$4:$E$609,AV$613&amp;" ضد "&amp;$A668))</f>
        <v>0</v>
      </c>
      <c r="AW668" s="4">
        <f>IF($A668=AW$613,"",COUNTIF($E$4:$E$609,$A668&amp;" ضد "&amp;AW$613)+COUNTIF($E$4:$E$609,AW$613&amp;" ضد "&amp;$A668))</f>
        <v>0</v>
      </c>
      <c r="AX668" s="4">
        <f>IF($A668=AX$613,"",COUNTIF($E$4:$E$609,$A668&amp;" ضد "&amp;AX$613)+COUNTIF($E$4:$E$609,AX$613&amp;" ضد "&amp;$A668))</f>
        <v>0</v>
      </c>
      <c r="AY668" s="4">
        <f>IF($A668=AY$613,"",COUNTIF($E$4:$E$609,$A668&amp;" ضد "&amp;AY$613)+COUNTIF($E$4:$E$609,AY$613&amp;" ضد "&amp;$A668))</f>
        <v>0</v>
      </c>
      <c r="AZ668" s="4">
        <f>IF($A668=AZ$613,"",COUNTIF($E$4:$E$609,$A668&amp;" ضد "&amp;AZ$613)+COUNTIF($E$4:$E$609,AZ$613&amp;" ضد "&amp;$A668))</f>
        <v>0</v>
      </c>
      <c r="BA668" s="4">
        <f>IF($A668=BA$613,"",COUNTIF($E$4:$E$609,$A668&amp;" ضد "&amp;BA$613)+COUNTIF($E$4:$E$609,BA$613&amp;" ضد "&amp;$A668))</f>
        <v>1</v>
      </c>
      <c r="BB668" s="4">
        <f>IF($A668=BB$613,"",COUNTIF($E$4:$E$609,$A668&amp;" ضد "&amp;BB$613)+COUNTIF($E$4:$E$609,BB$613&amp;" ضد "&amp;$A668))</f>
        <v>1</v>
      </c>
      <c r="BC668" s="4">
        <f>IF($A668=BC$613,"",COUNTIF($E$4:$E$609,$A668&amp;" ضد "&amp;BC$613)+COUNTIF($E$4:$E$609,BC$613&amp;" ضد "&amp;$A668))</f>
        <v>1</v>
      </c>
      <c r="BD668" s="4" t="str">
        <f>IF($A668=BD$613,"",COUNTIF($E$4:$E$609,$A668&amp;" ضد "&amp;BD$613)+COUNTIF($E$4:$E$609,BD$613&amp;" ضد "&amp;$A668))</f>
        <v/>
      </c>
      <c r="BE668" s="4">
        <f>IF($A668=BE$613,"",COUNTIF($E$4:$E$609,$A668&amp;" ضد "&amp;BE$613)+COUNTIF($E$4:$E$609,BE$613&amp;" ضد "&amp;$A668))</f>
        <v>1</v>
      </c>
      <c r="BF668" s="4">
        <f>IF($A668=BF$613,"",COUNTIF($E$4:$E$609,$A668&amp;" ضد "&amp;BF$613)+COUNTIF($E$4:$E$609,BF$613&amp;" ضد "&amp;$A668))</f>
        <v>1</v>
      </c>
      <c r="BG668" s="4">
        <f>IF($A668=BG$613,"",COUNTIF($E$4:$E$609,$A668&amp;" ضد "&amp;BG$613)+COUNTIF($E$4:$E$609,BG$613&amp;" ضد "&amp;$A668))</f>
        <v>1</v>
      </c>
      <c r="BH668" s="4">
        <f>IF($A668=BH$613,"",COUNTIF($E$4:$E$609,$A668&amp;" ضد "&amp;BH$613)+COUNTIF($E$4:$E$609,BH$613&amp;" ضد "&amp;$A668))</f>
        <v>1</v>
      </c>
      <c r="BI668" s="4">
        <f>IF($A668=BI$613,"",COUNTIF($E$4:$E$609,$A668&amp;" ضد "&amp;BI$613)+COUNTIF($E$4:$E$609,BI$613&amp;" ضد "&amp;$A668))</f>
        <v>2</v>
      </c>
      <c r="BJ668" s="4">
        <f>IF($A668=BJ$613,"",COUNTIF($E$4:$E$609,$A668&amp;" ضد "&amp;BJ$613)+COUNTIF($E$4:$E$609,BJ$613&amp;" ضد "&amp;$A668))</f>
        <v>1</v>
      </c>
      <c r="BK668" s="4">
        <f>IF($A668=BK$613,"",COUNTIF($E$4:$E$609,$A668&amp;" ضد "&amp;BK$613)+COUNTIF($E$4:$E$609,BK$613&amp;" ضد "&amp;$A668))</f>
        <v>2</v>
      </c>
      <c r="BL668" s="4">
        <f>IF($A668=BL$613,"",COUNTIF($E$4:$E$609,$A668&amp;" ضد "&amp;BL$613)+COUNTIF($E$4:$E$609,BL$613&amp;" ضد "&amp;$A668))</f>
        <v>1</v>
      </c>
      <c r="BM668" s="4">
        <f>IF($A668=BM$613,"",COUNTIF($E$4:$E$609,$A668&amp;" ضد "&amp;BM$613)+COUNTIF($E$4:$E$609,BM$613&amp;" ضد "&amp;$A668))</f>
        <v>2</v>
      </c>
      <c r="BN668" s="4">
        <f>IF($A668=BN$613,"",COUNTIF($E$4:$E$609,$A668&amp;" ضد "&amp;BN$613)+COUNTIF($E$4:$E$609,BN$613&amp;" ضد "&amp;$A668))</f>
        <v>1</v>
      </c>
      <c r="BO668" s="4">
        <f>IF($A668=BO$613,"",COUNTIF($E$4:$E$609,$A668&amp;" ضد "&amp;BO$613)+COUNTIF($E$4:$E$609,BO$613&amp;" ضد "&amp;$A668))</f>
        <v>1</v>
      </c>
      <c r="BP668" s="4">
        <f>IF($A668=BP$613,"",COUNTIF($E$4:$E$609,$A668&amp;" ضد "&amp;BP$613)+COUNTIF($E$4:$E$609,BP$613&amp;" ضد "&amp;$A668))</f>
        <v>1</v>
      </c>
    </row>
    <row r="669" spans="1:68" ht="14.5">
      <c r="A669" s="14">
        <v>56</v>
      </c>
      <c r="B669" s="4">
        <f>IF($A669=B$613,"",COUNTIF($E$4:$E$609,$A669&amp;" ضد "&amp;B$613)+COUNTIF($E$4:$E$609,B$613&amp;" ضد "&amp;$A669))</f>
        <v>0</v>
      </c>
      <c r="C669" s="4">
        <f>IF($A669=C$613,"",COUNTIF($E$4:$E$609,$A669&amp;" ضد "&amp;C$613)+COUNTIF($E$4:$E$609,C$613&amp;" ضد "&amp;$A669))</f>
        <v>0</v>
      </c>
      <c r="D669" s="4">
        <f>IF($A669=D$613,"",COUNTIF($E$4:$E$609,$A669&amp;" ضد "&amp;D$613)+COUNTIF($E$4:$E$609,D$613&amp;" ضد "&amp;$A669))</f>
        <v>0</v>
      </c>
      <c r="E669" s="4">
        <f>IF($A669=E$613,"",COUNTIF($E$4:$E$609,$A669&amp;" ضد "&amp;E$613)+COUNTIF($E$4:$E$609,E$613&amp;" ضد "&amp;$A669))</f>
        <v>0</v>
      </c>
      <c r="F669" s="4">
        <f>IF($A669=F$613,"",COUNTIF($E$4:$E$609,$A669&amp;" ضد "&amp;F$613)+COUNTIF($E$4:$E$609,F$613&amp;" ضد "&amp;$A669))</f>
        <v>0</v>
      </c>
      <c r="G669" s="4">
        <f>IF($A669=G$613,"",COUNTIF($E$4:$E$609,$A669&amp;" ضد "&amp;G$613)+COUNTIF($E$4:$E$609,G$613&amp;" ضد "&amp;$A669))</f>
        <v>0</v>
      </c>
      <c r="H669" s="4">
        <f>IF($A669=H$613,"",COUNTIF($E$4:$E$609,$A669&amp;" ضد "&amp;H$613)+COUNTIF($E$4:$E$609,H$613&amp;" ضد "&amp;$A669))</f>
        <v>0</v>
      </c>
      <c r="I669" s="4">
        <f>IF($A669=I$613,"",COUNTIF($E$4:$E$609,$A669&amp;" ضد "&amp;I$613)+COUNTIF($E$4:$E$609,I$613&amp;" ضد "&amp;$A669))</f>
        <v>0</v>
      </c>
      <c r="J669" s="4">
        <f>IF($A669=J$613,"",COUNTIF($E$4:$E$609,$A669&amp;" ضد "&amp;J$613)+COUNTIF($E$4:$E$609,J$613&amp;" ضد "&amp;$A669))</f>
        <v>0</v>
      </c>
      <c r="K669" s="4">
        <f>IF($A669=K$613,"",COUNTIF($E$4:$E$609,$A669&amp;" ضد "&amp;K$613)+COUNTIF($E$4:$E$609,K$613&amp;" ضد "&amp;$A669))</f>
        <v>0</v>
      </c>
      <c r="L669" s="4">
        <f>IF($A669=L$613,"",COUNTIF($E$4:$E$609,$A669&amp;" ضد "&amp;L$613)+COUNTIF($E$4:$E$609,L$613&amp;" ضد "&amp;$A669))</f>
        <v>0</v>
      </c>
      <c r="M669" s="4">
        <f>IF($A669=M$613,"",COUNTIF($E$4:$E$609,$A669&amp;" ضد "&amp;M$613)+COUNTIF($E$4:$E$609,M$613&amp;" ضد "&amp;$A669))</f>
        <v>0</v>
      </c>
      <c r="N669" s="4">
        <f>IF($A669=N$613,"",COUNTIF($E$4:$E$609,$A669&amp;" ضد "&amp;N$613)+COUNTIF($E$4:$E$609,N$613&amp;" ضد "&amp;$A669))</f>
        <v>0</v>
      </c>
      <c r="O669" s="4">
        <f>IF($A669=O$613,"",COUNTIF($E$4:$E$609,$A669&amp;" ضد "&amp;O$613)+COUNTIF($E$4:$E$609,O$613&amp;" ضد "&amp;$A669))</f>
        <v>0</v>
      </c>
      <c r="P669" s="4">
        <f>IF($A669=P$613,"",COUNTIF($E$4:$E$609,$A669&amp;" ضد "&amp;P$613)+COUNTIF($E$4:$E$609,P$613&amp;" ضد "&amp;$A669))</f>
        <v>0</v>
      </c>
      <c r="Q669" s="4">
        <f>IF($A669=Q$613,"",COUNTIF($E$4:$E$609,$A669&amp;" ضد "&amp;Q$613)+COUNTIF($E$4:$E$609,Q$613&amp;" ضد "&amp;$A669))</f>
        <v>0</v>
      </c>
      <c r="R669" s="4">
        <f>IF($A669=R$613,"",COUNTIF($E$4:$E$609,$A669&amp;" ضد "&amp;R$613)+COUNTIF($E$4:$E$609,R$613&amp;" ضد "&amp;$A669))</f>
        <v>0</v>
      </c>
      <c r="S669" s="4">
        <f>IF($A669=S$613,"",COUNTIF($E$4:$E$609,$A669&amp;" ضد "&amp;S$613)+COUNTIF($E$4:$E$609,S$613&amp;" ضد "&amp;$A669))</f>
        <v>0</v>
      </c>
      <c r="T669" s="4">
        <f>IF($A669=T$613,"",COUNTIF($E$4:$E$609,$A669&amp;" ضد "&amp;T$613)+COUNTIF($E$4:$E$609,T$613&amp;" ضد "&amp;$A669))</f>
        <v>0</v>
      </c>
      <c r="U669" s="4">
        <f>IF($A669=U$613,"",COUNTIF($E$4:$E$609,$A669&amp;" ضد "&amp;U$613)+COUNTIF($E$4:$E$609,U$613&amp;" ضد "&amp;$A669))</f>
        <v>0</v>
      </c>
      <c r="V669" s="4">
        <f>IF($A669=V$613,"",COUNTIF($E$4:$E$609,$A669&amp;" ضد "&amp;V$613)+COUNTIF($E$4:$E$609,V$613&amp;" ضد "&amp;$A669))</f>
        <v>0</v>
      </c>
      <c r="W669" s="4">
        <f>IF($A669=W$613,"",COUNTIF($E$4:$E$609,$A669&amp;" ضد "&amp;W$613)+COUNTIF($E$4:$E$609,W$613&amp;" ضد "&amp;$A669))</f>
        <v>0</v>
      </c>
      <c r="X669" s="4">
        <f>IF($A669=X$613,"",COUNTIF($E$4:$E$609,$A669&amp;" ضد "&amp;X$613)+COUNTIF($E$4:$E$609,X$613&amp;" ضد "&amp;$A669))</f>
        <v>0</v>
      </c>
      <c r="Y669" s="4">
        <f>IF($A669=Y$613,"",COUNTIF($E$4:$E$609,$A669&amp;" ضد "&amp;Y$613)+COUNTIF($E$4:$E$609,Y$613&amp;" ضد "&amp;$A669))</f>
        <v>0</v>
      </c>
      <c r="Z669" s="4">
        <f>IF($A669=Z$613,"",COUNTIF($E$4:$E$609,$A669&amp;" ضد "&amp;Z$613)+COUNTIF($E$4:$E$609,Z$613&amp;" ضد "&amp;$A669))</f>
        <v>0</v>
      </c>
      <c r="AA669" s="4">
        <f>IF($A669=AA$613,"",COUNTIF($E$4:$E$609,$A669&amp;" ضد "&amp;AA$613)+COUNTIF($E$4:$E$609,AA$613&amp;" ضد "&amp;$A669))</f>
        <v>0</v>
      </c>
      <c r="AB669" s="4">
        <f>IF($A669=AB$613,"",COUNTIF($E$4:$E$609,$A669&amp;" ضد "&amp;AB$613)+COUNTIF($E$4:$E$609,AB$613&amp;" ضد "&amp;$A669))</f>
        <v>0</v>
      </c>
      <c r="AC669" s="4">
        <f>IF($A669=AC$613,"",COUNTIF($E$4:$E$609,$A669&amp;" ضد "&amp;AC$613)+COUNTIF($E$4:$E$609,AC$613&amp;" ضد "&amp;$A669))</f>
        <v>0</v>
      </c>
      <c r="AD669" s="4">
        <f>IF($A669=AD$613,"",COUNTIF($E$4:$E$609,$A669&amp;" ضد "&amp;AD$613)+COUNTIF($E$4:$E$609,AD$613&amp;" ضد "&amp;$A669))</f>
        <v>0</v>
      </c>
      <c r="AE669" s="4">
        <f>IF($A669=AE$613,"",COUNTIF($E$4:$E$609,$A669&amp;" ضد "&amp;AE$613)+COUNTIF($E$4:$E$609,AE$613&amp;" ضد "&amp;$A669))</f>
        <v>0</v>
      </c>
      <c r="AF669" s="4">
        <f>IF($A669=AF$613,"",COUNTIF($E$4:$E$609,$A669&amp;" ضد "&amp;AF$613)+COUNTIF($E$4:$E$609,AF$613&amp;" ضد "&amp;$A669))</f>
        <v>0</v>
      </c>
      <c r="AG669" s="4">
        <f>IF($A669=AG$613,"",COUNTIF($E$4:$E$609,$A669&amp;" ضد "&amp;AG$613)+COUNTIF($E$4:$E$609,AG$613&amp;" ضد "&amp;$A669))</f>
        <v>0</v>
      </c>
      <c r="AH669" s="4">
        <f>IF($A669=AH$613,"",COUNTIF($E$4:$E$609,$A669&amp;" ضد "&amp;AH$613)+COUNTIF($E$4:$E$609,AH$613&amp;" ضد "&amp;$A669))</f>
        <v>0</v>
      </c>
      <c r="AI669" s="4">
        <f>IF($A669=AI$613,"",COUNTIF($E$4:$E$609,$A669&amp;" ضد "&amp;AI$613)+COUNTIF($E$4:$E$609,AI$613&amp;" ضد "&amp;$A669))</f>
        <v>0</v>
      </c>
      <c r="AJ669" s="4">
        <f>IF($A669=AJ$613,"",COUNTIF($E$4:$E$609,$A669&amp;" ضد "&amp;AJ$613)+COUNTIF($E$4:$E$609,AJ$613&amp;" ضد "&amp;$A669))</f>
        <v>0</v>
      </c>
      <c r="AK669" s="4">
        <f>IF($A669=AK$613,"",COUNTIF($E$4:$E$609,$A669&amp;" ضد "&amp;AK$613)+COUNTIF($E$4:$E$609,AK$613&amp;" ضد "&amp;$A669))</f>
        <v>0</v>
      </c>
      <c r="AL669" s="4">
        <f>IF($A669=AL$613,"",COUNTIF($E$4:$E$609,$A669&amp;" ضد "&amp;AL$613)+COUNTIF($E$4:$E$609,AL$613&amp;" ضد "&amp;$A669))</f>
        <v>0</v>
      </c>
      <c r="AM669" s="4">
        <f>IF($A669=AM$613,"",COUNTIF($E$4:$E$609,$A669&amp;" ضد "&amp;AM$613)+COUNTIF($E$4:$E$609,AM$613&amp;" ضد "&amp;$A669))</f>
        <v>0</v>
      </c>
      <c r="AN669" s="4">
        <f>IF($A669=AN$613,"",COUNTIF($E$4:$E$609,$A669&amp;" ضد "&amp;AN$613)+COUNTIF($E$4:$E$609,AN$613&amp;" ضد "&amp;$A669))</f>
        <v>0</v>
      </c>
      <c r="AO669" s="4">
        <f>IF($A669=AO$613,"",COUNTIF($E$4:$E$609,$A669&amp;" ضد "&amp;AO$613)+COUNTIF($E$4:$E$609,AO$613&amp;" ضد "&amp;$A669))</f>
        <v>0</v>
      </c>
      <c r="AP669" s="4">
        <f>IF($A669=AP$613,"",COUNTIF($E$4:$E$609,$A669&amp;" ضد "&amp;AP$613)+COUNTIF($E$4:$E$609,AP$613&amp;" ضد "&amp;$A669))</f>
        <v>0</v>
      </c>
      <c r="AQ669" s="4">
        <f>IF($A669=AQ$613,"",COUNTIF($E$4:$E$609,$A669&amp;" ضد "&amp;AQ$613)+COUNTIF($E$4:$E$609,AQ$613&amp;" ضد "&amp;$A669))</f>
        <v>0</v>
      </c>
      <c r="AR669" s="4">
        <f>IF($A669=AR$613,"",COUNTIF($E$4:$E$609,$A669&amp;" ضد "&amp;AR$613)+COUNTIF($E$4:$E$609,AR$613&amp;" ضد "&amp;$A669))</f>
        <v>0</v>
      </c>
      <c r="AS669" s="4">
        <f>IF($A669=AS$613,"",COUNTIF($E$4:$E$609,$A669&amp;" ضد "&amp;AS$613)+COUNTIF($E$4:$E$609,AS$613&amp;" ضد "&amp;$A669))</f>
        <v>0</v>
      </c>
      <c r="AT669" s="4">
        <f>IF($A669=AT$613,"",COUNTIF($E$4:$E$609,$A669&amp;" ضد "&amp;AT$613)+COUNTIF($E$4:$E$609,AT$613&amp;" ضد "&amp;$A669))</f>
        <v>0</v>
      </c>
      <c r="AU669" s="4">
        <f>IF($A669=AU$613,"",COUNTIF($E$4:$E$609,$A669&amp;" ضد "&amp;AU$613)+COUNTIF($E$4:$E$609,AU$613&amp;" ضد "&amp;$A669))</f>
        <v>0</v>
      </c>
      <c r="AV669" s="4">
        <f>IF($A669=AV$613,"",COUNTIF($E$4:$E$609,$A669&amp;" ضد "&amp;AV$613)+COUNTIF($E$4:$E$609,AV$613&amp;" ضد "&amp;$A669))</f>
        <v>0</v>
      </c>
      <c r="AW669" s="4">
        <f>IF($A669=AW$613,"",COUNTIF($E$4:$E$609,$A669&amp;" ضد "&amp;AW$613)+COUNTIF($E$4:$E$609,AW$613&amp;" ضد "&amp;$A669))</f>
        <v>0</v>
      </c>
      <c r="AX669" s="4">
        <f>IF($A669=AX$613,"",COUNTIF($E$4:$E$609,$A669&amp;" ضد "&amp;AX$613)+COUNTIF($E$4:$E$609,AX$613&amp;" ضد "&amp;$A669))</f>
        <v>0</v>
      </c>
      <c r="AY669" s="4">
        <f>IF($A669=AY$613,"",COUNTIF($E$4:$E$609,$A669&amp;" ضد "&amp;AY$613)+COUNTIF($E$4:$E$609,AY$613&amp;" ضد "&amp;$A669))</f>
        <v>0</v>
      </c>
      <c r="AZ669" s="4">
        <f>IF($A669=AZ$613,"",COUNTIF($E$4:$E$609,$A669&amp;" ضد "&amp;AZ$613)+COUNTIF($E$4:$E$609,AZ$613&amp;" ضد "&amp;$A669))</f>
        <v>0</v>
      </c>
      <c r="BA669" s="4">
        <f>IF($A669=BA$613,"",COUNTIF($E$4:$E$609,$A669&amp;" ضد "&amp;BA$613)+COUNTIF($E$4:$E$609,BA$613&amp;" ضد "&amp;$A669))</f>
        <v>1</v>
      </c>
      <c r="BB669" s="4">
        <f>IF($A669=BB$613,"",COUNTIF($E$4:$E$609,$A669&amp;" ضد "&amp;BB$613)+COUNTIF($E$4:$E$609,BB$613&amp;" ضد "&amp;$A669))</f>
        <v>1</v>
      </c>
      <c r="BC669" s="4">
        <f>IF($A669=BC$613,"",COUNTIF($E$4:$E$609,$A669&amp;" ضد "&amp;BC$613)+COUNTIF($E$4:$E$609,BC$613&amp;" ضد "&amp;$A669))</f>
        <v>1</v>
      </c>
      <c r="BD669" s="4">
        <f>IF($A669=BD$613,"",COUNTIF($E$4:$E$609,$A669&amp;" ضد "&amp;BD$613)+COUNTIF($E$4:$E$609,BD$613&amp;" ضد "&amp;$A669))</f>
        <v>1</v>
      </c>
      <c r="BE669" s="4" t="str">
        <f>IF($A669=BE$613,"",COUNTIF($E$4:$E$609,$A669&amp;" ضد "&amp;BE$613)+COUNTIF($E$4:$E$609,BE$613&amp;" ضد "&amp;$A669))</f>
        <v/>
      </c>
      <c r="BF669" s="4">
        <f>IF($A669=BF$613,"",COUNTIF($E$4:$E$609,$A669&amp;" ضد "&amp;BF$613)+COUNTIF($E$4:$E$609,BF$613&amp;" ضد "&amp;$A669))</f>
        <v>1</v>
      </c>
      <c r="BG669" s="4">
        <f>IF($A669=BG$613,"",COUNTIF($E$4:$E$609,$A669&amp;" ضد "&amp;BG$613)+COUNTIF($E$4:$E$609,BG$613&amp;" ضد "&amp;$A669))</f>
        <v>1</v>
      </c>
      <c r="BH669" s="4">
        <f>IF($A669=BH$613,"",COUNTIF($E$4:$E$609,$A669&amp;" ضد "&amp;BH$613)+COUNTIF($E$4:$E$609,BH$613&amp;" ضد "&amp;$A669))</f>
        <v>2</v>
      </c>
      <c r="BI669" s="4">
        <f>IF($A669=BI$613,"",COUNTIF($E$4:$E$609,$A669&amp;" ضد "&amp;BI$613)+COUNTIF($E$4:$E$609,BI$613&amp;" ضد "&amp;$A669))</f>
        <v>1</v>
      </c>
      <c r="BJ669" s="4">
        <f>IF($A669=BJ$613,"",COUNTIF($E$4:$E$609,$A669&amp;" ضد "&amp;BJ$613)+COUNTIF($E$4:$E$609,BJ$613&amp;" ضد "&amp;$A669))</f>
        <v>2</v>
      </c>
      <c r="BK669" s="4">
        <f>IF($A669=BK$613,"",COUNTIF($E$4:$E$609,$A669&amp;" ضد "&amp;BK$613)+COUNTIF($E$4:$E$609,BK$613&amp;" ضد "&amp;$A669))</f>
        <v>1</v>
      </c>
      <c r="BL669" s="4">
        <f>IF($A669=BL$613,"",COUNTIF($E$4:$E$609,$A669&amp;" ضد "&amp;BL$613)+COUNTIF($E$4:$E$609,BL$613&amp;" ضد "&amp;$A669))</f>
        <v>2</v>
      </c>
      <c r="BM669" s="4">
        <f>IF($A669=BM$613,"",COUNTIF($E$4:$E$609,$A669&amp;" ضد "&amp;BM$613)+COUNTIF($E$4:$E$609,BM$613&amp;" ضد "&amp;$A669))</f>
        <v>1</v>
      </c>
      <c r="BN669" s="4">
        <f>IF($A669=BN$613,"",COUNTIF($E$4:$E$609,$A669&amp;" ضد "&amp;BN$613)+COUNTIF($E$4:$E$609,BN$613&amp;" ضد "&amp;$A669))</f>
        <v>1</v>
      </c>
      <c r="BO669" s="4">
        <f>IF($A669=BO$613,"",COUNTIF($E$4:$E$609,$A669&amp;" ضد "&amp;BO$613)+COUNTIF($E$4:$E$609,BO$613&amp;" ضد "&amp;$A669))</f>
        <v>1</v>
      </c>
      <c r="BP669" s="4">
        <f>IF($A669=BP$613,"",COUNTIF($E$4:$E$609,$A669&amp;" ضد "&amp;BP$613)+COUNTIF($E$4:$E$609,BP$613&amp;" ضد "&amp;$A669))</f>
        <v>1</v>
      </c>
    </row>
    <row r="670" spans="1:68" ht="14.5">
      <c r="A670" s="14">
        <v>57</v>
      </c>
      <c r="B670" s="4">
        <f>IF($A670=B$613,"",COUNTIF($E$4:$E$609,$A670&amp;" ضد "&amp;B$613)+COUNTIF($E$4:$E$609,B$613&amp;" ضد "&amp;$A670))</f>
        <v>0</v>
      </c>
      <c r="C670" s="4">
        <f>IF($A670=C$613,"",COUNTIF($E$4:$E$609,$A670&amp;" ضد "&amp;C$613)+COUNTIF($E$4:$E$609,C$613&amp;" ضد "&amp;$A670))</f>
        <v>0</v>
      </c>
      <c r="D670" s="4">
        <f>IF($A670=D$613,"",COUNTIF($E$4:$E$609,$A670&amp;" ضد "&amp;D$613)+COUNTIF($E$4:$E$609,D$613&amp;" ضد "&amp;$A670))</f>
        <v>0</v>
      </c>
      <c r="E670" s="4">
        <f>IF($A670=E$613,"",COUNTIF($E$4:$E$609,$A670&amp;" ضد "&amp;E$613)+COUNTIF($E$4:$E$609,E$613&amp;" ضد "&amp;$A670))</f>
        <v>0</v>
      </c>
      <c r="F670" s="4">
        <f>IF($A670=F$613,"",COUNTIF($E$4:$E$609,$A670&amp;" ضد "&amp;F$613)+COUNTIF($E$4:$E$609,F$613&amp;" ضد "&amp;$A670))</f>
        <v>0</v>
      </c>
      <c r="G670" s="4">
        <f>IF($A670=G$613,"",COUNTIF($E$4:$E$609,$A670&amp;" ضد "&amp;G$613)+COUNTIF($E$4:$E$609,G$613&amp;" ضد "&amp;$A670))</f>
        <v>0</v>
      </c>
      <c r="H670" s="4">
        <f>IF($A670=H$613,"",COUNTIF($E$4:$E$609,$A670&amp;" ضد "&amp;H$613)+COUNTIF($E$4:$E$609,H$613&amp;" ضد "&amp;$A670))</f>
        <v>0</v>
      </c>
      <c r="I670" s="4">
        <f>IF($A670=I$613,"",COUNTIF($E$4:$E$609,$A670&amp;" ضد "&amp;I$613)+COUNTIF($E$4:$E$609,I$613&amp;" ضد "&amp;$A670))</f>
        <v>0</v>
      </c>
      <c r="J670" s="4">
        <f>IF($A670=J$613,"",COUNTIF($E$4:$E$609,$A670&amp;" ضد "&amp;J$613)+COUNTIF($E$4:$E$609,J$613&amp;" ضد "&amp;$A670))</f>
        <v>0</v>
      </c>
      <c r="K670" s="4">
        <f>IF($A670=K$613,"",COUNTIF($E$4:$E$609,$A670&amp;" ضد "&amp;K$613)+COUNTIF($E$4:$E$609,K$613&amp;" ضد "&amp;$A670))</f>
        <v>0</v>
      </c>
      <c r="L670" s="4">
        <f>IF($A670=L$613,"",COUNTIF($E$4:$E$609,$A670&amp;" ضد "&amp;L$613)+COUNTIF($E$4:$E$609,L$613&amp;" ضد "&amp;$A670))</f>
        <v>0</v>
      </c>
      <c r="M670" s="4">
        <f>IF($A670=M$613,"",COUNTIF($E$4:$E$609,$A670&amp;" ضد "&amp;M$613)+COUNTIF($E$4:$E$609,M$613&amp;" ضد "&amp;$A670))</f>
        <v>0</v>
      </c>
      <c r="N670" s="4">
        <f>IF($A670=N$613,"",COUNTIF($E$4:$E$609,$A670&amp;" ضد "&amp;N$613)+COUNTIF($E$4:$E$609,N$613&amp;" ضد "&amp;$A670))</f>
        <v>0</v>
      </c>
      <c r="O670" s="4">
        <f>IF($A670=O$613,"",COUNTIF($E$4:$E$609,$A670&amp;" ضد "&amp;O$613)+COUNTIF($E$4:$E$609,O$613&amp;" ضد "&amp;$A670))</f>
        <v>0</v>
      </c>
      <c r="P670" s="4">
        <f>IF($A670=P$613,"",COUNTIF($E$4:$E$609,$A670&amp;" ضد "&amp;P$613)+COUNTIF($E$4:$E$609,P$613&amp;" ضد "&amp;$A670))</f>
        <v>0</v>
      </c>
      <c r="Q670" s="4">
        <f>IF($A670=Q$613,"",COUNTIF($E$4:$E$609,$A670&amp;" ضد "&amp;Q$613)+COUNTIF($E$4:$E$609,Q$613&amp;" ضد "&amp;$A670))</f>
        <v>0</v>
      </c>
      <c r="R670" s="4">
        <f>IF($A670=R$613,"",COUNTIF($E$4:$E$609,$A670&amp;" ضد "&amp;R$613)+COUNTIF($E$4:$E$609,R$613&amp;" ضد "&amp;$A670))</f>
        <v>0</v>
      </c>
      <c r="S670" s="4">
        <f>IF($A670=S$613,"",COUNTIF($E$4:$E$609,$A670&amp;" ضد "&amp;S$613)+COUNTIF($E$4:$E$609,S$613&amp;" ضد "&amp;$A670))</f>
        <v>0</v>
      </c>
      <c r="T670" s="4">
        <f>IF($A670=T$613,"",COUNTIF($E$4:$E$609,$A670&amp;" ضد "&amp;T$613)+COUNTIF($E$4:$E$609,T$613&amp;" ضد "&amp;$A670))</f>
        <v>0</v>
      </c>
      <c r="U670" s="4">
        <f>IF($A670=U$613,"",COUNTIF($E$4:$E$609,$A670&amp;" ضد "&amp;U$613)+COUNTIF($E$4:$E$609,U$613&amp;" ضد "&amp;$A670))</f>
        <v>0</v>
      </c>
      <c r="V670" s="4">
        <f>IF($A670=V$613,"",COUNTIF($E$4:$E$609,$A670&amp;" ضد "&amp;V$613)+COUNTIF($E$4:$E$609,V$613&amp;" ضد "&amp;$A670))</f>
        <v>0</v>
      </c>
      <c r="W670" s="4">
        <f>IF($A670=W$613,"",COUNTIF($E$4:$E$609,$A670&amp;" ضد "&amp;W$613)+COUNTIF($E$4:$E$609,W$613&amp;" ضد "&amp;$A670))</f>
        <v>0</v>
      </c>
      <c r="X670" s="4">
        <f>IF($A670=X$613,"",COUNTIF($E$4:$E$609,$A670&amp;" ضد "&amp;X$613)+COUNTIF($E$4:$E$609,X$613&amp;" ضد "&amp;$A670))</f>
        <v>0</v>
      </c>
      <c r="Y670" s="4">
        <f>IF($A670=Y$613,"",COUNTIF($E$4:$E$609,$A670&amp;" ضد "&amp;Y$613)+COUNTIF($E$4:$E$609,Y$613&amp;" ضد "&amp;$A670))</f>
        <v>0</v>
      </c>
      <c r="Z670" s="4">
        <f>IF($A670=Z$613,"",COUNTIF($E$4:$E$609,$A670&amp;" ضد "&amp;Z$613)+COUNTIF($E$4:$E$609,Z$613&amp;" ضد "&amp;$A670))</f>
        <v>0</v>
      </c>
      <c r="AA670" s="4">
        <f>IF($A670=AA$613,"",COUNTIF($E$4:$E$609,$A670&amp;" ضد "&amp;AA$613)+COUNTIF($E$4:$E$609,AA$613&amp;" ضد "&amp;$A670))</f>
        <v>0</v>
      </c>
      <c r="AB670" s="4">
        <f>IF($A670=AB$613,"",COUNTIF($E$4:$E$609,$A670&amp;" ضد "&amp;AB$613)+COUNTIF($E$4:$E$609,AB$613&amp;" ضد "&amp;$A670))</f>
        <v>0</v>
      </c>
      <c r="AC670" s="4">
        <f>IF($A670=AC$613,"",COUNTIF($E$4:$E$609,$A670&amp;" ضد "&amp;AC$613)+COUNTIF($E$4:$E$609,AC$613&amp;" ضد "&amp;$A670))</f>
        <v>0</v>
      </c>
      <c r="AD670" s="4">
        <f>IF($A670=AD$613,"",COUNTIF($E$4:$E$609,$A670&amp;" ضد "&amp;AD$613)+COUNTIF($E$4:$E$609,AD$613&amp;" ضد "&amp;$A670))</f>
        <v>0</v>
      </c>
      <c r="AE670" s="4">
        <f>IF($A670=AE$613,"",COUNTIF($E$4:$E$609,$A670&amp;" ضد "&amp;AE$613)+COUNTIF($E$4:$E$609,AE$613&amp;" ضد "&amp;$A670))</f>
        <v>0</v>
      </c>
      <c r="AF670" s="4">
        <f>IF($A670=AF$613,"",COUNTIF($E$4:$E$609,$A670&amp;" ضد "&amp;AF$613)+COUNTIF($E$4:$E$609,AF$613&amp;" ضد "&amp;$A670))</f>
        <v>0</v>
      </c>
      <c r="AG670" s="4">
        <f>IF($A670=AG$613,"",COUNTIF($E$4:$E$609,$A670&amp;" ضد "&amp;AG$613)+COUNTIF($E$4:$E$609,AG$613&amp;" ضد "&amp;$A670))</f>
        <v>0</v>
      </c>
      <c r="AH670" s="4">
        <f>IF($A670=AH$613,"",COUNTIF($E$4:$E$609,$A670&amp;" ضد "&amp;AH$613)+COUNTIF($E$4:$E$609,AH$613&amp;" ضد "&amp;$A670))</f>
        <v>0</v>
      </c>
      <c r="AI670" s="4">
        <f>IF($A670=AI$613,"",COUNTIF($E$4:$E$609,$A670&amp;" ضد "&amp;AI$613)+COUNTIF($E$4:$E$609,AI$613&amp;" ضد "&amp;$A670))</f>
        <v>0</v>
      </c>
      <c r="AJ670" s="4">
        <f>IF($A670=AJ$613,"",COUNTIF($E$4:$E$609,$A670&amp;" ضد "&amp;AJ$613)+COUNTIF($E$4:$E$609,AJ$613&amp;" ضد "&amp;$A670))</f>
        <v>0</v>
      </c>
      <c r="AK670" s="4">
        <f>IF($A670=AK$613,"",COUNTIF($E$4:$E$609,$A670&amp;" ضد "&amp;AK$613)+COUNTIF($E$4:$E$609,AK$613&amp;" ضد "&amp;$A670))</f>
        <v>0</v>
      </c>
      <c r="AL670" s="4">
        <f>IF($A670=AL$613,"",COUNTIF($E$4:$E$609,$A670&amp;" ضد "&amp;AL$613)+COUNTIF($E$4:$E$609,AL$613&amp;" ضد "&amp;$A670))</f>
        <v>0</v>
      </c>
      <c r="AM670" s="4">
        <f>IF($A670=AM$613,"",COUNTIF($E$4:$E$609,$A670&amp;" ضد "&amp;AM$613)+COUNTIF($E$4:$E$609,AM$613&amp;" ضد "&amp;$A670))</f>
        <v>0</v>
      </c>
      <c r="AN670" s="4">
        <f>IF($A670=AN$613,"",COUNTIF($E$4:$E$609,$A670&amp;" ضد "&amp;AN$613)+COUNTIF($E$4:$E$609,AN$613&amp;" ضد "&amp;$A670))</f>
        <v>0</v>
      </c>
      <c r="AO670" s="4">
        <f>IF($A670=AO$613,"",COUNTIF($E$4:$E$609,$A670&amp;" ضد "&amp;AO$613)+COUNTIF($E$4:$E$609,AO$613&amp;" ضد "&amp;$A670))</f>
        <v>0</v>
      </c>
      <c r="AP670" s="4">
        <f>IF($A670=AP$613,"",COUNTIF($E$4:$E$609,$A670&amp;" ضد "&amp;AP$613)+COUNTIF($E$4:$E$609,AP$613&amp;" ضد "&amp;$A670))</f>
        <v>0</v>
      </c>
      <c r="AQ670" s="4">
        <f>IF($A670=AQ$613,"",COUNTIF($E$4:$E$609,$A670&amp;" ضد "&amp;AQ$613)+COUNTIF($E$4:$E$609,AQ$613&amp;" ضد "&amp;$A670))</f>
        <v>0</v>
      </c>
      <c r="AR670" s="4">
        <f>IF($A670=AR$613,"",COUNTIF($E$4:$E$609,$A670&amp;" ضد "&amp;AR$613)+COUNTIF($E$4:$E$609,AR$613&amp;" ضد "&amp;$A670))</f>
        <v>0</v>
      </c>
      <c r="AS670" s="4">
        <f>IF($A670=AS$613,"",COUNTIF($E$4:$E$609,$A670&amp;" ضد "&amp;AS$613)+COUNTIF($E$4:$E$609,AS$613&amp;" ضد "&amp;$A670))</f>
        <v>0</v>
      </c>
      <c r="AT670" s="4">
        <f>IF($A670=AT$613,"",COUNTIF($E$4:$E$609,$A670&amp;" ضد "&amp;AT$613)+COUNTIF($E$4:$E$609,AT$613&amp;" ضد "&amp;$A670))</f>
        <v>0</v>
      </c>
      <c r="AU670" s="4">
        <f>IF($A670=AU$613,"",COUNTIF($E$4:$E$609,$A670&amp;" ضد "&amp;AU$613)+COUNTIF($E$4:$E$609,AU$613&amp;" ضد "&amp;$A670))</f>
        <v>0</v>
      </c>
      <c r="AV670" s="4">
        <f>IF($A670=AV$613,"",COUNTIF($E$4:$E$609,$A670&amp;" ضد "&amp;AV$613)+COUNTIF($E$4:$E$609,AV$613&amp;" ضد "&amp;$A670))</f>
        <v>0</v>
      </c>
      <c r="AW670" s="4">
        <f>IF($A670=AW$613,"",COUNTIF($E$4:$E$609,$A670&amp;" ضد "&amp;AW$613)+COUNTIF($E$4:$E$609,AW$613&amp;" ضد "&amp;$A670))</f>
        <v>0</v>
      </c>
      <c r="AX670" s="4">
        <f>IF($A670=AX$613,"",COUNTIF($E$4:$E$609,$A670&amp;" ضد "&amp;AX$613)+COUNTIF($E$4:$E$609,AX$613&amp;" ضد "&amp;$A670))</f>
        <v>0</v>
      </c>
      <c r="AY670" s="4">
        <f>IF($A670=AY$613,"",COUNTIF($E$4:$E$609,$A670&amp;" ضد "&amp;AY$613)+COUNTIF($E$4:$E$609,AY$613&amp;" ضد "&amp;$A670))</f>
        <v>0</v>
      </c>
      <c r="AZ670" s="4">
        <f>IF($A670=AZ$613,"",COUNTIF($E$4:$E$609,$A670&amp;" ضد "&amp;AZ$613)+COUNTIF($E$4:$E$609,AZ$613&amp;" ضد "&amp;$A670))</f>
        <v>0</v>
      </c>
      <c r="BA670" s="4">
        <f>IF($A670=BA$613,"",COUNTIF($E$4:$E$609,$A670&amp;" ضد "&amp;BA$613)+COUNTIF($E$4:$E$609,BA$613&amp;" ضد "&amp;$A670))</f>
        <v>1</v>
      </c>
      <c r="BB670" s="4">
        <f>IF($A670=BB$613,"",COUNTIF($E$4:$E$609,$A670&amp;" ضد "&amp;BB$613)+COUNTIF($E$4:$E$609,BB$613&amp;" ضد "&amp;$A670))</f>
        <v>1</v>
      </c>
      <c r="BC670" s="4">
        <f>IF($A670=BC$613,"",COUNTIF($E$4:$E$609,$A670&amp;" ضد "&amp;BC$613)+COUNTIF($E$4:$E$609,BC$613&amp;" ضد "&amp;$A670))</f>
        <v>1</v>
      </c>
      <c r="BD670" s="4">
        <f>IF($A670=BD$613,"",COUNTIF($E$4:$E$609,$A670&amp;" ضد "&amp;BD$613)+COUNTIF($E$4:$E$609,BD$613&amp;" ضد "&amp;$A670))</f>
        <v>1</v>
      </c>
      <c r="BE670" s="4">
        <f>IF($A670=BE$613,"",COUNTIF($E$4:$E$609,$A670&amp;" ضد "&amp;BE$613)+COUNTIF($E$4:$E$609,BE$613&amp;" ضد "&amp;$A670))</f>
        <v>1</v>
      </c>
      <c r="BF670" s="4" t="str">
        <f>IF($A670=BF$613,"",COUNTIF($E$4:$E$609,$A670&amp;" ضد "&amp;BF$613)+COUNTIF($E$4:$E$609,BF$613&amp;" ضد "&amp;$A670))</f>
        <v/>
      </c>
      <c r="BG670" s="4">
        <f>IF($A670=BG$613,"",COUNTIF($E$4:$E$609,$A670&amp;" ضد "&amp;BG$613)+COUNTIF($E$4:$E$609,BG$613&amp;" ضد "&amp;$A670))</f>
        <v>2</v>
      </c>
      <c r="BH670" s="4">
        <f>IF($A670=BH$613,"",COUNTIF($E$4:$E$609,$A670&amp;" ضد "&amp;BH$613)+COUNTIF($E$4:$E$609,BH$613&amp;" ضد "&amp;$A670))</f>
        <v>1</v>
      </c>
      <c r="BI670" s="4">
        <f>IF($A670=BI$613,"",COUNTIF($E$4:$E$609,$A670&amp;" ضد "&amp;BI$613)+COUNTIF($E$4:$E$609,BI$613&amp;" ضد "&amp;$A670))</f>
        <v>2</v>
      </c>
      <c r="BJ670" s="4">
        <f>IF($A670=BJ$613,"",COUNTIF($E$4:$E$609,$A670&amp;" ضد "&amp;BJ$613)+COUNTIF($E$4:$E$609,BJ$613&amp;" ضد "&amp;$A670))</f>
        <v>1</v>
      </c>
      <c r="BK670" s="4">
        <f>IF($A670=BK$613,"",COUNTIF($E$4:$E$609,$A670&amp;" ضد "&amp;BK$613)+COUNTIF($E$4:$E$609,BK$613&amp;" ضد "&amp;$A670))</f>
        <v>2</v>
      </c>
      <c r="BL670" s="4">
        <f>IF($A670=BL$613,"",COUNTIF($E$4:$E$609,$A670&amp;" ضد "&amp;BL$613)+COUNTIF($E$4:$E$609,BL$613&amp;" ضد "&amp;$A670))</f>
        <v>1</v>
      </c>
      <c r="BM670" s="4">
        <f>IF($A670=BM$613,"",COUNTIF($E$4:$E$609,$A670&amp;" ضد "&amp;BM$613)+COUNTIF($E$4:$E$609,BM$613&amp;" ضد "&amp;$A670))</f>
        <v>1</v>
      </c>
      <c r="BN670" s="4">
        <f>IF($A670=BN$613,"",COUNTIF($E$4:$E$609,$A670&amp;" ضد "&amp;BN$613)+COUNTIF($E$4:$E$609,BN$613&amp;" ضد "&amp;$A670))</f>
        <v>1</v>
      </c>
      <c r="BO670" s="4">
        <f>IF($A670=BO$613,"",COUNTIF($E$4:$E$609,$A670&amp;" ضد "&amp;BO$613)+COUNTIF($E$4:$E$609,BO$613&amp;" ضد "&amp;$A670))</f>
        <v>1</v>
      </c>
      <c r="BP670" s="4">
        <f>IF($A670=BP$613,"",COUNTIF($E$4:$E$609,$A670&amp;" ضد "&amp;BP$613)+COUNTIF($E$4:$E$609,BP$613&amp;" ضد "&amp;$A670))</f>
        <v>1</v>
      </c>
    </row>
    <row r="671" spans="1:68" ht="14.5">
      <c r="A671" s="14">
        <v>58</v>
      </c>
      <c r="B671" s="4">
        <f>IF($A671=B$613,"",COUNTIF($E$4:$E$609,$A671&amp;" ضد "&amp;B$613)+COUNTIF($E$4:$E$609,B$613&amp;" ضد "&amp;$A671))</f>
        <v>0</v>
      </c>
      <c r="C671" s="4">
        <f>IF($A671=C$613,"",COUNTIF($E$4:$E$609,$A671&amp;" ضد "&amp;C$613)+COUNTIF($E$4:$E$609,C$613&amp;" ضد "&amp;$A671))</f>
        <v>0</v>
      </c>
      <c r="D671" s="4">
        <f>IF($A671=D$613,"",COUNTIF($E$4:$E$609,$A671&amp;" ضد "&amp;D$613)+COUNTIF($E$4:$E$609,D$613&amp;" ضد "&amp;$A671))</f>
        <v>0</v>
      </c>
      <c r="E671" s="4">
        <f>IF($A671=E$613,"",COUNTIF($E$4:$E$609,$A671&amp;" ضد "&amp;E$613)+COUNTIF($E$4:$E$609,E$613&amp;" ضد "&amp;$A671))</f>
        <v>0</v>
      </c>
      <c r="F671" s="4">
        <f>IF($A671=F$613,"",COUNTIF($E$4:$E$609,$A671&amp;" ضد "&amp;F$613)+COUNTIF($E$4:$E$609,F$613&amp;" ضد "&amp;$A671))</f>
        <v>0</v>
      </c>
      <c r="G671" s="4">
        <f>IF($A671=G$613,"",COUNTIF($E$4:$E$609,$A671&amp;" ضد "&amp;G$613)+COUNTIF($E$4:$E$609,G$613&amp;" ضد "&amp;$A671))</f>
        <v>0</v>
      </c>
      <c r="H671" s="4">
        <f>IF($A671=H$613,"",COUNTIF($E$4:$E$609,$A671&amp;" ضد "&amp;H$613)+COUNTIF($E$4:$E$609,H$613&amp;" ضد "&amp;$A671))</f>
        <v>0</v>
      </c>
      <c r="I671" s="4">
        <f>IF($A671=I$613,"",COUNTIF($E$4:$E$609,$A671&amp;" ضد "&amp;I$613)+COUNTIF($E$4:$E$609,I$613&amp;" ضد "&amp;$A671))</f>
        <v>0</v>
      </c>
      <c r="J671" s="4">
        <f>IF($A671=J$613,"",COUNTIF($E$4:$E$609,$A671&amp;" ضد "&amp;J$613)+COUNTIF($E$4:$E$609,J$613&amp;" ضد "&amp;$A671))</f>
        <v>0</v>
      </c>
      <c r="K671" s="4">
        <f>IF($A671=K$613,"",COUNTIF($E$4:$E$609,$A671&amp;" ضد "&amp;K$613)+COUNTIF($E$4:$E$609,K$613&amp;" ضد "&amp;$A671))</f>
        <v>0</v>
      </c>
      <c r="L671" s="4">
        <f>IF($A671=L$613,"",COUNTIF($E$4:$E$609,$A671&amp;" ضد "&amp;L$613)+COUNTIF($E$4:$E$609,L$613&amp;" ضد "&amp;$A671))</f>
        <v>0</v>
      </c>
      <c r="M671" s="4">
        <f>IF($A671=M$613,"",COUNTIF($E$4:$E$609,$A671&amp;" ضد "&amp;M$613)+COUNTIF($E$4:$E$609,M$613&amp;" ضد "&amp;$A671))</f>
        <v>0</v>
      </c>
      <c r="N671" s="4">
        <f>IF($A671=N$613,"",COUNTIF($E$4:$E$609,$A671&amp;" ضد "&amp;N$613)+COUNTIF($E$4:$E$609,N$613&amp;" ضد "&amp;$A671))</f>
        <v>0</v>
      </c>
      <c r="O671" s="4">
        <f>IF($A671=O$613,"",COUNTIF($E$4:$E$609,$A671&amp;" ضد "&amp;O$613)+COUNTIF($E$4:$E$609,O$613&amp;" ضد "&amp;$A671))</f>
        <v>0</v>
      </c>
      <c r="P671" s="4">
        <f>IF($A671=P$613,"",COUNTIF($E$4:$E$609,$A671&amp;" ضد "&amp;P$613)+COUNTIF($E$4:$E$609,P$613&amp;" ضد "&amp;$A671))</f>
        <v>0</v>
      </c>
      <c r="Q671" s="4">
        <f>IF($A671=Q$613,"",COUNTIF($E$4:$E$609,$A671&amp;" ضد "&amp;Q$613)+COUNTIF($E$4:$E$609,Q$613&amp;" ضد "&amp;$A671))</f>
        <v>0</v>
      </c>
      <c r="R671" s="4">
        <f>IF($A671=R$613,"",COUNTIF($E$4:$E$609,$A671&amp;" ضد "&amp;R$613)+COUNTIF($E$4:$E$609,R$613&amp;" ضد "&amp;$A671))</f>
        <v>0</v>
      </c>
      <c r="S671" s="4">
        <f>IF($A671=S$613,"",COUNTIF($E$4:$E$609,$A671&amp;" ضد "&amp;S$613)+COUNTIF($E$4:$E$609,S$613&amp;" ضد "&amp;$A671))</f>
        <v>0</v>
      </c>
      <c r="T671" s="4">
        <f>IF($A671=T$613,"",COUNTIF($E$4:$E$609,$A671&amp;" ضد "&amp;T$613)+COUNTIF($E$4:$E$609,T$613&amp;" ضد "&amp;$A671))</f>
        <v>0</v>
      </c>
      <c r="U671" s="4">
        <f>IF($A671=U$613,"",COUNTIF($E$4:$E$609,$A671&amp;" ضد "&amp;U$613)+COUNTIF($E$4:$E$609,U$613&amp;" ضد "&amp;$A671))</f>
        <v>0</v>
      </c>
      <c r="V671" s="4">
        <f>IF($A671=V$613,"",COUNTIF($E$4:$E$609,$A671&amp;" ضد "&amp;V$613)+COUNTIF($E$4:$E$609,V$613&amp;" ضد "&amp;$A671))</f>
        <v>0</v>
      </c>
      <c r="W671" s="4">
        <f>IF($A671=W$613,"",COUNTIF($E$4:$E$609,$A671&amp;" ضد "&amp;W$613)+COUNTIF($E$4:$E$609,W$613&amp;" ضد "&amp;$A671))</f>
        <v>0</v>
      </c>
      <c r="X671" s="4">
        <f>IF($A671=X$613,"",COUNTIF($E$4:$E$609,$A671&amp;" ضد "&amp;X$613)+COUNTIF($E$4:$E$609,X$613&amp;" ضد "&amp;$A671))</f>
        <v>0</v>
      </c>
      <c r="Y671" s="4">
        <f>IF($A671=Y$613,"",COUNTIF($E$4:$E$609,$A671&amp;" ضد "&amp;Y$613)+COUNTIF($E$4:$E$609,Y$613&amp;" ضد "&amp;$A671))</f>
        <v>0</v>
      </c>
      <c r="Z671" s="4">
        <f>IF($A671=Z$613,"",COUNTIF($E$4:$E$609,$A671&amp;" ضد "&amp;Z$613)+COUNTIF($E$4:$E$609,Z$613&amp;" ضد "&amp;$A671))</f>
        <v>0</v>
      </c>
      <c r="AA671" s="4">
        <f>IF($A671=AA$613,"",COUNTIF($E$4:$E$609,$A671&amp;" ضد "&amp;AA$613)+COUNTIF($E$4:$E$609,AA$613&amp;" ضد "&amp;$A671))</f>
        <v>0</v>
      </c>
      <c r="AB671" s="4">
        <f>IF($A671=AB$613,"",COUNTIF($E$4:$E$609,$A671&amp;" ضد "&amp;AB$613)+COUNTIF($E$4:$E$609,AB$613&amp;" ضد "&amp;$A671))</f>
        <v>0</v>
      </c>
      <c r="AC671" s="4">
        <f>IF($A671=AC$613,"",COUNTIF($E$4:$E$609,$A671&amp;" ضد "&amp;AC$613)+COUNTIF($E$4:$E$609,AC$613&amp;" ضد "&amp;$A671))</f>
        <v>0</v>
      </c>
      <c r="AD671" s="4">
        <f>IF($A671=AD$613,"",COUNTIF($E$4:$E$609,$A671&amp;" ضد "&amp;AD$613)+COUNTIF($E$4:$E$609,AD$613&amp;" ضد "&amp;$A671))</f>
        <v>0</v>
      </c>
      <c r="AE671" s="4">
        <f>IF($A671=AE$613,"",COUNTIF($E$4:$E$609,$A671&amp;" ضد "&amp;AE$613)+COUNTIF($E$4:$E$609,AE$613&amp;" ضد "&amp;$A671))</f>
        <v>0</v>
      </c>
      <c r="AF671" s="4">
        <f>IF($A671=AF$613,"",COUNTIF($E$4:$E$609,$A671&amp;" ضد "&amp;AF$613)+COUNTIF($E$4:$E$609,AF$613&amp;" ضد "&amp;$A671))</f>
        <v>0</v>
      </c>
      <c r="AG671" s="4">
        <f>IF($A671=AG$613,"",COUNTIF($E$4:$E$609,$A671&amp;" ضد "&amp;AG$613)+COUNTIF($E$4:$E$609,AG$613&amp;" ضد "&amp;$A671))</f>
        <v>0</v>
      </c>
      <c r="AH671" s="4">
        <f>IF($A671=AH$613,"",COUNTIF($E$4:$E$609,$A671&amp;" ضد "&amp;AH$613)+COUNTIF($E$4:$E$609,AH$613&amp;" ضد "&amp;$A671))</f>
        <v>0</v>
      </c>
      <c r="AI671" s="4">
        <f>IF($A671=AI$613,"",COUNTIF($E$4:$E$609,$A671&amp;" ضد "&amp;AI$613)+COUNTIF($E$4:$E$609,AI$613&amp;" ضد "&amp;$A671))</f>
        <v>0</v>
      </c>
      <c r="AJ671" s="4">
        <f>IF($A671=AJ$613,"",COUNTIF($E$4:$E$609,$A671&amp;" ضد "&amp;AJ$613)+COUNTIF($E$4:$E$609,AJ$613&amp;" ضد "&amp;$A671))</f>
        <v>0</v>
      </c>
      <c r="AK671" s="4">
        <f>IF($A671=AK$613,"",COUNTIF($E$4:$E$609,$A671&amp;" ضد "&amp;AK$613)+COUNTIF($E$4:$E$609,AK$613&amp;" ضد "&amp;$A671))</f>
        <v>0</v>
      </c>
      <c r="AL671" s="4">
        <f>IF($A671=AL$613,"",COUNTIF($E$4:$E$609,$A671&amp;" ضد "&amp;AL$613)+COUNTIF($E$4:$E$609,AL$613&amp;" ضد "&amp;$A671))</f>
        <v>0</v>
      </c>
      <c r="AM671" s="4">
        <f>IF($A671=AM$613,"",COUNTIF($E$4:$E$609,$A671&amp;" ضد "&amp;AM$613)+COUNTIF($E$4:$E$609,AM$613&amp;" ضد "&amp;$A671))</f>
        <v>0</v>
      </c>
      <c r="AN671" s="4">
        <f>IF($A671=AN$613,"",COUNTIF($E$4:$E$609,$A671&amp;" ضد "&amp;AN$613)+COUNTIF($E$4:$E$609,AN$613&amp;" ضد "&amp;$A671))</f>
        <v>0</v>
      </c>
      <c r="AO671" s="4">
        <f>IF($A671=AO$613,"",COUNTIF($E$4:$E$609,$A671&amp;" ضد "&amp;AO$613)+COUNTIF($E$4:$E$609,AO$613&amp;" ضد "&amp;$A671))</f>
        <v>0</v>
      </c>
      <c r="AP671" s="4">
        <f>IF($A671=AP$613,"",COUNTIF($E$4:$E$609,$A671&amp;" ضد "&amp;AP$613)+COUNTIF($E$4:$E$609,AP$613&amp;" ضد "&amp;$A671))</f>
        <v>0</v>
      </c>
      <c r="AQ671" s="4">
        <f>IF($A671=AQ$613,"",COUNTIF($E$4:$E$609,$A671&amp;" ضد "&amp;AQ$613)+COUNTIF($E$4:$E$609,AQ$613&amp;" ضد "&amp;$A671))</f>
        <v>0</v>
      </c>
      <c r="AR671" s="4">
        <f>IF($A671=AR$613,"",COUNTIF($E$4:$E$609,$A671&amp;" ضد "&amp;AR$613)+COUNTIF($E$4:$E$609,AR$613&amp;" ضد "&amp;$A671))</f>
        <v>0</v>
      </c>
      <c r="AS671" s="4">
        <f>IF($A671=AS$613,"",COUNTIF($E$4:$E$609,$A671&amp;" ضد "&amp;AS$613)+COUNTIF($E$4:$E$609,AS$613&amp;" ضد "&amp;$A671))</f>
        <v>0</v>
      </c>
      <c r="AT671" s="4">
        <f>IF($A671=AT$613,"",COUNTIF($E$4:$E$609,$A671&amp;" ضد "&amp;AT$613)+COUNTIF($E$4:$E$609,AT$613&amp;" ضد "&amp;$A671))</f>
        <v>0</v>
      </c>
      <c r="AU671" s="4">
        <f>IF($A671=AU$613,"",COUNTIF($E$4:$E$609,$A671&amp;" ضد "&amp;AU$613)+COUNTIF($E$4:$E$609,AU$613&amp;" ضد "&amp;$A671))</f>
        <v>0</v>
      </c>
      <c r="AV671" s="4">
        <f>IF($A671=AV$613,"",COUNTIF($E$4:$E$609,$A671&amp;" ضد "&amp;AV$613)+COUNTIF($E$4:$E$609,AV$613&amp;" ضد "&amp;$A671))</f>
        <v>0</v>
      </c>
      <c r="AW671" s="4">
        <f>IF($A671=AW$613,"",COUNTIF($E$4:$E$609,$A671&amp;" ضد "&amp;AW$613)+COUNTIF($E$4:$E$609,AW$613&amp;" ضد "&amp;$A671))</f>
        <v>0</v>
      </c>
      <c r="AX671" s="4">
        <f>IF($A671=AX$613,"",COUNTIF($E$4:$E$609,$A671&amp;" ضد "&amp;AX$613)+COUNTIF($E$4:$E$609,AX$613&amp;" ضد "&amp;$A671))</f>
        <v>0</v>
      </c>
      <c r="AY671" s="4">
        <f>IF($A671=AY$613,"",COUNTIF($E$4:$E$609,$A671&amp;" ضد "&amp;AY$613)+COUNTIF($E$4:$E$609,AY$613&amp;" ضد "&amp;$A671))</f>
        <v>0</v>
      </c>
      <c r="AZ671" s="4">
        <f>IF($A671=AZ$613,"",COUNTIF($E$4:$E$609,$A671&amp;" ضد "&amp;AZ$613)+COUNTIF($E$4:$E$609,AZ$613&amp;" ضد "&amp;$A671))</f>
        <v>0</v>
      </c>
      <c r="BA671" s="4">
        <f>IF($A671=BA$613,"",COUNTIF($E$4:$E$609,$A671&amp;" ضد "&amp;BA$613)+COUNTIF($E$4:$E$609,BA$613&amp;" ضد "&amp;$A671))</f>
        <v>1</v>
      </c>
      <c r="BB671" s="4">
        <f>IF($A671=BB$613,"",COUNTIF($E$4:$E$609,$A671&amp;" ضد "&amp;BB$613)+COUNTIF($E$4:$E$609,BB$613&amp;" ضد "&amp;$A671))</f>
        <v>1</v>
      </c>
      <c r="BC671" s="4">
        <f>IF($A671=BC$613,"",COUNTIF($E$4:$E$609,$A671&amp;" ضد "&amp;BC$613)+COUNTIF($E$4:$E$609,BC$613&amp;" ضد "&amp;$A671))</f>
        <v>1</v>
      </c>
      <c r="BD671" s="4">
        <f>IF($A671=BD$613,"",COUNTIF($E$4:$E$609,$A671&amp;" ضد "&amp;BD$613)+COUNTIF($E$4:$E$609,BD$613&amp;" ضد "&amp;$A671))</f>
        <v>1</v>
      </c>
      <c r="BE671" s="4">
        <f>IF($A671=BE$613,"",COUNTIF($E$4:$E$609,$A671&amp;" ضد "&amp;BE$613)+COUNTIF($E$4:$E$609,BE$613&amp;" ضد "&amp;$A671))</f>
        <v>1</v>
      </c>
      <c r="BF671" s="4">
        <f>IF($A671=BF$613,"",COUNTIF($E$4:$E$609,$A671&amp;" ضد "&amp;BF$613)+COUNTIF($E$4:$E$609,BF$613&amp;" ضد "&amp;$A671))</f>
        <v>2</v>
      </c>
      <c r="BG671" s="4" t="str">
        <f>IF($A671=BG$613,"",COUNTIF($E$4:$E$609,$A671&amp;" ضد "&amp;BG$613)+COUNTIF($E$4:$E$609,BG$613&amp;" ضد "&amp;$A671))</f>
        <v/>
      </c>
      <c r="BH671" s="4">
        <f>IF($A671=BH$613,"",COUNTIF($E$4:$E$609,$A671&amp;" ضد "&amp;BH$613)+COUNTIF($E$4:$E$609,BH$613&amp;" ضد "&amp;$A671))</f>
        <v>2</v>
      </c>
      <c r="BI671" s="4">
        <f>IF($A671=BI$613,"",COUNTIF($E$4:$E$609,$A671&amp;" ضد "&amp;BI$613)+COUNTIF($E$4:$E$609,BI$613&amp;" ضد "&amp;$A671))</f>
        <v>1</v>
      </c>
      <c r="BJ671" s="4">
        <f>IF($A671=BJ$613,"",COUNTIF($E$4:$E$609,$A671&amp;" ضد "&amp;BJ$613)+COUNTIF($E$4:$E$609,BJ$613&amp;" ضد "&amp;$A671))</f>
        <v>2</v>
      </c>
      <c r="BK671" s="4">
        <f>IF($A671=BK$613,"",COUNTIF($E$4:$E$609,$A671&amp;" ضد "&amp;BK$613)+COUNTIF($E$4:$E$609,BK$613&amp;" ضد "&amp;$A671))</f>
        <v>1</v>
      </c>
      <c r="BL671" s="4">
        <f>IF($A671=BL$613,"",COUNTIF($E$4:$E$609,$A671&amp;" ضد "&amp;BL$613)+COUNTIF($E$4:$E$609,BL$613&amp;" ضد "&amp;$A671))</f>
        <v>1</v>
      </c>
      <c r="BM671" s="4">
        <f>IF($A671=BM$613,"",COUNTIF($E$4:$E$609,$A671&amp;" ضد "&amp;BM$613)+COUNTIF($E$4:$E$609,BM$613&amp;" ضد "&amp;$A671))</f>
        <v>1</v>
      </c>
      <c r="BN671" s="4">
        <f>IF($A671=BN$613,"",COUNTIF($E$4:$E$609,$A671&amp;" ضد "&amp;BN$613)+COUNTIF($E$4:$E$609,BN$613&amp;" ضد "&amp;$A671))</f>
        <v>1</v>
      </c>
      <c r="BO671" s="4">
        <f>IF($A671=BO$613,"",COUNTIF($E$4:$E$609,$A671&amp;" ضد "&amp;BO$613)+COUNTIF($E$4:$E$609,BO$613&amp;" ضد "&amp;$A671))</f>
        <v>1</v>
      </c>
      <c r="BP671" s="4">
        <f>IF($A671=BP$613,"",COUNTIF($E$4:$E$609,$A671&amp;" ضد "&amp;BP$613)+COUNTIF($E$4:$E$609,BP$613&amp;" ضد "&amp;$A671))</f>
        <v>1</v>
      </c>
    </row>
    <row r="672" spans="1:68" ht="14.5">
      <c r="A672" s="14">
        <v>59</v>
      </c>
      <c r="B672" s="4">
        <f>IF($A672=B$613,"",COUNTIF($E$4:$E$609,$A672&amp;" ضد "&amp;B$613)+COUNTIF($E$4:$E$609,B$613&amp;" ضد "&amp;$A672))</f>
        <v>0</v>
      </c>
      <c r="C672" s="4">
        <f>IF($A672=C$613,"",COUNTIF($E$4:$E$609,$A672&amp;" ضد "&amp;C$613)+COUNTIF($E$4:$E$609,C$613&amp;" ضد "&amp;$A672))</f>
        <v>0</v>
      </c>
      <c r="D672" s="4">
        <f>IF($A672=D$613,"",COUNTIF($E$4:$E$609,$A672&amp;" ضد "&amp;D$613)+COUNTIF($E$4:$E$609,D$613&amp;" ضد "&amp;$A672))</f>
        <v>0</v>
      </c>
      <c r="E672" s="4">
        <f>IF($A672=E$613,"",COUNTIF($E$4:$E$609,$A672&amp;" ضد "&amp;E$613)+COUNTIF($E$4:$E$609,E$613&amp;" ضد "&amp;$A672))</f>
        <v>0</v>
      </c>
      <c r="F672" s="4">
        <f>IF($A672=F$613,"",COUNTIF($E$4:$E$609,$A672&amp;" ضد "&amp;F$613)+COUNTIF($E$4:$E$609,F$613&amp;" ضد "&amp;$A672))</f>
        <v>0</v>
      </c>
      <c r="G672" s="4">
        <f>IF($A672=G$613,"",COUNTIF($E$4:$E$609,$A672&amp;" ضد "&amp;G$613)+COUNTIF($E$4:$E$609,G$613&amp;" ضد "&amp;$A672))</f>
        <v>0</v>
      </c>
      <c r="H672" s="4">
        <f>IF($A672=H$613,"",COUNTIF($E$4:$E$609,$A672&amp;" ضد "&amp;H$613)+COUNTIF($E$4:$E$609,H$613&amp;" ضد "&amp;$A672))</f>
        <v>0</v>
      </c>
      <c r="I672" s="4">
        <f>IF($A672=I$613,"",COUNTIF($E$4:$E$609,$A672&amp;" ضد "&amp;I$613)+COUNTIF($E$4:$E$609,I$613&amp;" ضد "&amp;$A672))</f>
        <v>0</v>
      </c>
      <c r="J672" s="4">
        <f>IF($A672=J$613,"",COUNTIF($E$4:$E$609,$A672&amp;" ضد "&amp;J$613)+COUNTIF($E$4:$E$609,J$613&amp;" ضد "&amp;$A672))</f>
        <v>0</v>
      </c>
      <c r="K672" s="4">
        <f>IF($A672=K$613,"",COUNTIF($E$4:$E$609,$A672&amp;" ضد "&amp;K$613)+COUNTIF($E$4:$E$609,K$613&amp;" ضد "&amp;$A672))</f>
        <v>0</v>
      </c>
      <c r="L672" s="4">
        <f>IF($A672=L$613,"",COUNTIF($E$4:$E$609,$A672&amp;" ضد "&amp;L$613)+COUNTIF($E$4:$E$609,L$613&amp;" ضد "&amp;$A672))</f>
        <v>0</v>
      </c>
      <c r="M672" s="4">
        <f>IF($A672=M$613,"",COUNTIF($E$4:$E$609,$A672&amp;" ضد "&amp;M$613)+COUNTIF($E$4:$E$609,M$613&amp;" ضد "&amp;$A672))</f>
        <v>0</v>
      </c>
      <c r="N672" s="4">
        <f>IF($A672=N$613,"",COUNTIF($E$4:$E$609,$A672&amp;" ضد "&amp;N$613)+COUNTIF($E$4:$E$609,N$613&amp;" ضد "&amp;$A672))</f>
        <v>0</v>
      </c>
      <c r="O672" s="4">
        <f>IF($A672=O$613,"",COUNTIF($E$4:$E$609,$A672&amp;" ضد "&amp;O$613)+COUNTIF($E$4:$E$609,O$613&amp;" ضد "&amp;$A672))</f>
        <v>0</v>
      </c>
      <c r="P672" s="4">
        <f>IF($A672=P$613,"",COUNTIF($E$4:$E$609,$A672&amp;" ضد "&amp;P$613)+COUNTIF($E$4:$E$609,P$613&amp;" ضد "&amp;$A672))</f>
        <v>0</v>
      </c>
      <c r="Q672" s="4">
        <f>IF($A672=Q$613,"",COUNTIF($E$4:$E$609,$A672&amp;" ضد "&amp;Q$613)+COUNTIF($E$4:$E$609,Q$613&amp;" ضد "&amp;$A672))</f>
        <v>0</v>
      </c>
      <c r="R672" s="4">
        <f>IF($A672=R$613,"",COUNTIF($E$4:$E$609,$A672&amp;" ضد "&amp;R$613)+COUNTIF($E$4:$E$609,R$613&amp;" ضد "&amp;$A672))</f>
        <v>0</v>
      </c>
      <c r="S672" s="4">
        <f>IF($A672=S$613,"",COUNTIF($E$4:$E$609,$A672&amp;" ضد "&amp;S$613)+COUNTIF($E$4:$E$609,S$613&amp;" ضد "&amp;$A672))</f>
        <v>0</v>
      </c>
      <c r="T672" s="4">
        <f>IF($A672=T$613,"",COUNTIF($E$4:$E$609,$A672&amp;" ضد "&amp;T$613)+COUNTIF($E$4:$E$609,T$613&amp;" ضد "&amp;$A672))</f>
        <v>0</v>
      </c>
      <c r="U672" s="4">
        <f>IF($A672=U$613,"",COUNTIF($E$4:$E$609,$A672&amp;" ضد "&amp;U$613)+COUNTIF($E$4:$E$609,U$613&amp;" ضد "&amp;$A672))</f>
        <v>0</v>
      </c>
      <c r="V672" s="4">
        <f>IF($A672=V$613,"",COUNTIF($E$4:$E$609,$A672&amp;" ضد "&amp;V$613)+COUNTIF($E$4:$E$609,V$613&amp;" ضد "&amp;$A672))</f>
        <v>0</v>
      </c>
      <c r="W672" s="4">
        <f>IF($A672=W$613,"",COUNTIF($E$4:$E$609,$A672&amp;" ضد "&amp;W$613)+COUNTIF($E$4:$E$609,W$613&amp;" ضد "&amp;$A672))</f>
        <v>0</v>
      </c>
      <c r="X672" s="4">
        <f>IF($A672=X$613,"",COUNTIF($E$4:$E$609,$A672&amp;" ضد "&amp;X$613)+COUNTIF($E$4:$E$609,X$613&amp;" ضد "&amp;$A672))</f>
        <v>0</v>
      </c>
      <c r="Y672" s="4">
        <f>IF($A672=Y$613,"",COUNTIF($E$4:$E$609,$A672&amp;" ضد "&amp;Y$613)+COUNTIF($E$4:$E$609,Y$613&amp;" ضد "&amp;$A672))</f>
        <v>0</v>
      </c>
      <c r="Z672" s="4">
        <f>IF($A672=Z$613,"",COUNTIF($E$4:$E$609,$A672&amp;" ضد "&amp;Z$613)+COUNTIF($E$4:$E$609,Z$613&amp;" ضد "&amp;$A672))</f>
        <v>0</v>
      </c>
      <c r="AA672" s="4">
        <f>IF($A672=AA$613,"",COUNTIF($E$4:$E$609,$A672&amp;" ضد "&amp;AA$613)+COUNTIF($E$4:$E$609,AA$613&amp;" ضد "&amp;$A672))</f>
        <v>0</v>
      </c>
      <c r="AB672" s="4">
        <f>IF($A672=AB$613,"",COUNTIF($E$4:$E$609,$A672&amp;" ضد "&amp;AB$613)+COUNTIF($E$4:$E$609,AB$613&amp;" ضد "&amp;$A672))</f>
        <v>0</v>
      </c>
      <c r="AC672" s="4">
        <f>IF($A672=AC$613,"",COUNTIF($E$4:$E$609,$A672&amp;" ضد "&amp;AC$613)+COUNTIF($E$4:$E$609,AC$613&amp;" ضد "&amp;$A672))</f>
        <v>0</v>
      </c>
      <c r="AD672" s="4">
        <f>IF($A672=AD$613,"",COUNTIF($E$4:$E$609,$A672&amp;" ضد "&amp;AD$613)+COUNTIF($E$4:$E$609,AD$613&amp;" ضد "&amp;$A672))</f>
        <v>0</v>
      </c>
      <c r="AE672" s="4">
        <f>IF($A672=AE$613,"",COUNTIF($E$4:$E$609,$A672&amp;" ضد "&amp;AE$613)+COUNTIF($E$4:$E$609,AE$613&amp;" ضد "&amp;$A672))</f>
        <v>0</v>
      </c>
      <c r="AF672" s="4">
        <f>IF($A672=AF$613,"",COUNTIF($E$4:$E$609,$A672&amp;" ضد "&amp;AF$613)+COUNTIF($E$4:$E$609,AF$613&amp;" ضد "&amp;$A672))</f>
        <v>0</v>
      </c>
      <c r="AG672" s="4">
        <f>IF($A672=AG$613,"",COUNTIF($E$4:$E$609,$A672&amp;" ضد "&amp;AG$613)+COUNTIF($E$4:$E$609,AG$613&amp;" ضد "&amp;$A672))</f>
        <v>0</v>
      </c>
      <c r="AH672" s="4">
        <f>IF($A672=AH$613,"",COUNTIF($E$4:$E$609,$A672&amp;" ضد "&amp;AH$613)+COUNTIF($E$4:$E$609,AH$613&amp;" ضد "&amp;$A672))</f>
        <v>0</v>
      </c>
      <c r="AI672" s="4">
        <f>IF($A672=AI$613,"",COUNTIF($E$4:$E$609,$A672&amp;" ضد "&amp;AI$613)+COUNTIF($E$4:$E$609,AI$613&amp;" ضد "&amp;$A672))</f>
        <v>0</v>
      </c>
      <c r="AJ672" s="4">
        <f>IF($A672=AJ$613,"",COUNTIF($E$4:$E$609,$A672&amp;" ضد "&amp;AJ$613)+COUNTIF($E$4:$E$609,AJ$613&amp;" ضد "&amp;$A672))</f>
        <v>0</v>
      </c>
      <c r="AK672" s="4">
        <f>IF($A672=AK$613,"",COUNTIF($E$4:$E$609,$A672&amp;" ضد "&amp;AK$613)+COUNTIF($E$4:$E$609,AK$613&amp;" ضد "&amp;$A672))</f>
        <v>0</v>
      </c>
      <c r="AL672" s="4">
        <f>IF($A672=AL$613,"",COUNTIF($E$4:$E$609,$A672&amp;" ضد "&amp;AL$613)+COUNTIF($E$4:$E$609,AL$613&amp;" ضد "&amp;$A672))</f>
        <v>0</v>
      </c>
      <c r="AM672" s="4">
        <f>IF($A672=AM$613,"",COUNTIF($E$4:$E$609,$A672&amp;" ضد "&amp;AM$613)+COUNTIF($E$4:$E$609,AM$613&amp;" ضد "&amp;$A672))</f>
        <v>0</v>
      </c>
      <c r="AN672" s="4">
        <f>IF($A672=AN$613,"",COUNTIF($E$4:$E$609,$A672&amp;" ضد "&amp;AN$613)+COUNTIF($E$4:$E$609,AN$613&amp;" ضد "&amp;$A672))</f>
        <v>0</v>
      </c>
      <c r="AO672" s="4">
        <f>IF($A672=AO$613,"",COUNTIF($E$4:$E$609,$A672&amp;" ضد "&amp;AO$613)+COUNTIF($E$4:$E$609,AO$613&amp;" ضد "&amp;$A672))</f>
        <v>0</v>
      </c>
      <c r="AP672" s="4">
        <f>IF($A672=AP$613,"",COUNTIF($E$4:$E$609,$A672&amp;" ضد "&amp;AP$613)+COUNTIF($E$4:$E$609,AP$613&amp;" ضد "&amp;$A672))</f>
        <v>0</v>
      </c>
      <c r="AQ672" s="4">
        <f>IF($A672=AQ$613,"",COUNTIF($E$4:$E$609,$A672&amp;" ضد "&amp;AQ$613)+COUNTIF($E$4:$E$609,AQ$613&amp;" ضد "&amp;$A672))</f>
        <v>0</v>
      </c>
      <c r="AR672" s="4">
        <f>IF($A672=AR$613,"",COUNTIF($E$4:$E$609,$A672&amp;" ضد "&amp;AR$613)+COUNTIF($E$4:$E$609,AR$613&amp;" ضد "&amp;$A672))</f>
        <v>0</v>
      </c>
      <c r="AS672" s="4">
        <f>IF($A672=AS$613,"",COUNTIF($E$4:$E$609,$A672&amp;" ضد "&amp;AS$613)+COUNTIF($E$4:$E$609,AS$613&amp;" ضد "&amp;$A672))</f>
        <v>0</v>
      </c>
      <c r="AT672" s="4">
        <f>IF($A672=AT$613,"",COUNTIF($E$4:$E$609,$A672&amp;" ضد "&amp;AT$613)+COUNTIF($E$4:$E$609,AT$613&amp;" ضد "&amp;$A672))</f>
        <v>0</v>
      </c>
      <c r="AU672" s="4">
        <f>IF($A672=AU$613,"",COUNTIF($E$4:$E$609,$A672&amp;" ضد "&amp;AU$613)+COUNTIF($E$4:$E$609,AU$613&amp;" ضد "&amp;$A672))</f>
        <v>0</v>
      </c>
      <c r="AV672" s="4">
        <f>IF($A672=AV$613,"",COUNTIF($E$4:$E$609,$A672&amp;" ضد "&amp;AV$613)+COUNTIF($E$4:$E$609,AV$613&amp;" ضد "&amp;$A672))</f>
        <v>0</v>
      </c>
      <c r="AW672" s="4">
        <f>IF($A672=AW$613,"",COUNTIF($E$4:$E$609,$A672&amp;" ضد "&amp;AW$613)+COUNTIF($E$4:$E$609,AW$613&amp;" ضد "&amp;$A672))</f>
        <v>0</v>
      </c>
      <c r="AX672" s="4">
        <f>IF($A672=AX$613,"",COUNTIF($E$4:$E$609,$A672&amp;" ضد "&amp;AX$613)+COUNTIF($E$4:$E$609,AX$613&amp;" ضد "&amp;$A672))</f>
        <v>0</v>
      </c>
      <c r="AY672" s="4">
        <f>IF($A672=AY$613,"",COUNTIF($E$4:$E$609,$A672&amp;" ضد "&amp;AY$613)+COUNTIF($E$4:$E$609,AY$613&amp;" ضد "&amp;$A672))</f>
        <v>0</v>
      </c>
      <c r="AZ672" s="4">
        <f>IF($A672=AZ$613,"",COUNTIF($E$4:$E$609,$A672&amp;" ضد "&amp;AZ$613)+COUNTIF($E$4:$E$609,AZ$613&amp;" ضد "&amp;$A672))</f>
        <v>0</v>
      </c>
      <c r="BA672" s="4">
        <f>IF($A672=BA$613,"",COUNTIF($E$4:$E$609,$A672&amp;" ضد "&amp;BA$613)+COUNTIF($E$4:$E$609,BA$613&amp;" ضد "&amp;$A672))</f>
        <v>1</v>
      </c>
      <c r="BB672" s="4">
        <f>IF($A672=BB$613,"",COUNTIF($E$4:$E$609,$A672&amp;" ضد "&amp;BB$613)+COUNTIF($E$4:$E$609,BB$613&amp;" ضد "&amp;$A672))</f>
        <v>1</v>
      </c>
      <c r="BC672" s="4">
        <f>IF($A672=BC$613,"",COUNTIF($E$4:$E$609,$A672&amp;" ضد "&amp;BC$613)+COUNTIF($E$4:$E$609,BC$613&amp;" ضد "&amp;$A672))</f>
        <v>1</v>
      </c>
      <c r="BD672" s="4">
        <f>IF($A672=BD$613,"",COUNTIF($E$4:$E$609,$A672&amp;" ضد "&amp;BD$613)+COUNTIF($E$4:$E$609,BD$613&amp;" ضد "&amp;$A672))</f>
        <v>1</v>
      </c>
      <c r="BE672" s="4">
        <f>IF($A672=BE$613,"",COUNTIF($E$4:$E$609,$A672&amp;" ضد "&amp;BE$613)+COUNTIF($E$4:$E$609,BE$613&amp;" ضد "&amp;$A672))</f>
        <v>2</v>
      </c>
      <c r="BF672" s="4">
        <f>IF($A672=BF$613,"",COUNTIF($E$4:$E$609,$A672&amp;" ضد "&amp;BF$613)+COUNTIF($E$4:$E$609,BF$613&amp;" ضد "&amp;$A672))</f>
        <v>1</v>
      </c>
      <c r="BG672" s="4">
        <f>IF($A672=BG$613,"",COUNTIF($E$4:$E$609,$A672&amp;" ضد "&amp;BG$613)+COUNTIF($E$4:$E$609,BG$613&amp;" ضد "&amp;$A672))</f>
        <v>2</v>
      </c>
      <c r="BH672" s="4" t="str">
        <f>IF($A672=BH$613,"",COUNTIF($E$4:$E$609,$A672&amp;" ضد "&amp;BH$613)+COUNTIF($E$4:$E$609,BH$613&amp;" ضد "&amp;$A672))</f>
        <v/>
      </c>
      <c r="BI672" s="4">
        <f>IF($A672=BI$613,"",COUNTIF($E$4:$E$609,$A672&amp;" ضد "&amp;BI$613)+COUNTIF($E$4:$E$609,BI$613&amp;" ضد "&amp;$A672))</f>
        <v>2</v>
      </c>
      <c r="BJ672" s="4">
        <f>IF($A672=BJ$613,"",COUNTIF($E$4:$E$609,$A672&amp;" ضد "&amp;BJ$613)+COUNTIF($E$4:$E$609,BJ$613&amp;" ضد "&amp;$A672))</f>
        <v>1</v>
      </c>
      <c r="BK672" s="4">
        <f>IF($A672=BK$613,"",COUNTIF($E$4:$E$609,$A672&amp;" ضد "&amp;BK$613)+COUNTIF($E$4:$E$609,BK$613&amp;" ضد "&amp;$A672))</f>
        <v>1</v>
      </c>
      <c r="BL672" s="4">
        <f>IF($A672=BL$613,"",COUNTIF($E$4:$E$609,$A672&amp;" ضد "&amp;BL$613)+COUNTIF($E$4:$E$609,BL$613&amp;" ضد "&amp;$A672))</f>
        <v>1</v>
      </c>
      <c r="BM672" s="4">
        <f>IF($A672=BM$613,"",COUNTIF($E$4:$E$609,$A672&amp;" ضد "&amp;BM$613)+COUNTIF($E$4:$E$609,BM$613&amp;" ضد "&amp;$A672))</f>
        <v>1</v>
      </c>
      <c r="BN672" s="4">
        <f>IF($A672=BN$613,"",COUNTIF($E$4:$E$609,$A672&amp;" ضد "&amp;BN$613)+COUNTIF($E$4:$E$609,BN$613&amp;" ضد "&amp;$A672))</f>
        <v>1</v>
      </c>
      <c r="BO672" s="4">
        <f>IF($A672=BO$613,"",COUNTIF($E$4:$E$609,$A672&amp;" ضد "&amp;BO$613)+COUNTIF($E$4:$E$609,BO$613&amp;" ضد "&amp;$A672))</f>
        <v>1</v>
      </c>
      <c r="BP672" s="4">
        <f>IF($A672=BP$613,"",COUNTIF($E$4:$E$609,$A672&amp;" ضد "&amp;BP$613)+COUNTIF($E$4:$E$609,BP$613&amp;" ضد "&amp;$A672))</f>
        <v>1</v>
      </c>
    </row>
    <row r="673" spans="1:68" ht="14.5">
      <c r="A673" s="14">
        <v>60</v>
      </c>
      <c r="B673" s="4">
        <f>IF($A673=B$613,"",COUNTIF($E$4:$E$609,$A673&amp;" ضد "&amp;B$613)+COUNTIF($E$4:$E$609,B$613&amp;" ضد "&amp;$A673))</f>
        <v>0</v>
      </c>
      <c r="C673" s="4">
        <f>IF($A673=C$613,"",COUNTIF($E$4:$E$609,$A673&amp;" ضد "&amp;C$613)+COUNTIF($E$4:$E$609,C$613&amp;" ضد "&amp;$A673))</f>
        <v>0</v>
      </c>
      <c r="D673" s="4">
        <f>IF($A673=D$613,"",COUNTIF($E$4:$E$609,$A673&amp;" ضد "&amp;D$613)+COUNTIF($E$4:$E$609,D$613&amp;" ضد "&amp;$A673))</f>
        <v>0</v>
      </c>
      <c r="E673" s="4">
        <f>IF($A673=E$613,"",COUNTIF($E$4:$E$609,$A673&amp;" ضد "&amp;E$613)+COUNTIF($E$4:$E$609,E$613&amp;" ضد "&amp;$A673))</f>
        <v>0</v>
      </c>
      <c r="F673" s="4">
        <f>IF($A673=F$613,"",COUNTIF($E$4:$E$609,$A673&amp;" ضد "&amp;F$613)+COUNTIF($E$4:$E$609,F$613&amp;" ضد "&amp;$A673))</f>
        <v>0</v>
      </c>
      <c r="G673" s="4">
        <f>IF($A673=G$613,"",COUNTIF($E$4:$E$609,$A673&amp;" ضد "&amp;G$613)+COUNTIF($E$4:$E$609,G$613&amp;" ضد "&amp;$A673))</f>
        <v>0</v>
      </c>
      <c r="H673" s="4">
        <f>IF($A673=H$613,"",COUNTIF($E$4:$E$609,$A673&amp;" ضد "&amp;H$613)+COUNTIF($E$4:$E$609,H$613&amp;" ضد "&amp;$A673))</f>
        <v>0</v>
      </c>
      <c r="I673" s="4">
        <f>IF($A673=I$613,"",COUNTIF($E$4:$E$609,$A673&amp;" ضد "&amp;I$613)+COUNTIF($E$4:$E$609,I$613&amp;" ضد "&amp;$A673))</f>
        <v>0</v>
      </c>
      <c r="J673" s="4">
        <f>IF($A673=J$613,"",COUNTIF($E$4:$E$609,$A673&amp;" ضد "&amp;J$613)+COUNTIF($E$4:$E$609,J$613&amp;" ضد "&amp;$A673))</f>
        <v>0</v>
      </c>
      <c r="K673" s="4">
        <f>IF($A673=K$613,"",COUNTIF($E$4:$E$609,$A673&amp;" ضد "&amp;K$613)+COUNTIF($E$4:$E$609,K$613&amp;" ضد "&amp;$A673))</f>
        <v>0</v>
      </c>
      <c r="L673" s="4">
        <f>IF($A673=L$613,"",COUNTIF($E$4:$E$609,$A673&amp;" ضد "&amp;L$613)+COUNTIF($E$4:$E$609,L$613&amp;" ضد "&amp;$A673))</f>
        <v>0</v>
      </c>
      <c r="M673" s="4">
        <f>IF($A673=M$613,"",COUNTIF($E$4:$E$609,$A673&amp;" ضد "&amp;M$613)+COUNTIF($E$4:$E$609,M$613&amp;" ضد "&amp;$A673))</f>
        <v>0</v>
      </c>
      <c r="N673" s="4">
        <f>IF($A673=N$613,"",COUNTIF($E$4:$E$609,$A673&amp;" ضد "&amp;N$613)+COUNTIF($E$4:$E$609,N$613&amp;" ضد "&amp;$A673))</f>
        <v>0</v>
      </c>
      <c r="O673" s="4">
        <f>IF($A673=O$613,"",COUNTIF($E$4:$E$609,$A673&amp;" ضد "&amp;O$613)+COUNTIF($E$4:$E$609,O$613&amp;" ضد "&amp;$A673))</f>
        <v>0</v>
      </c>
      <c r="P673" s="4">
        <f>IF($A673=P$613,"",COUNTIF($E$4:$E$609,$A673&amp;" ضد "&amp;P$613)+COUNTIF($E$4:$E$609,P$613&amp;" ضد "&amp;$A673))</f>
        <v>0</v>
      </c>
      <c r="Q673" s="4">
        <f>IF($A673=Q$613,"",COUNTIF($E$4:$E$609,$A673&amp;" ضد "&amp;Q$613)+COUNTIF($E$4:$E$609,Q$613&amp;" ضد "&amp;$A673))</f>
        <v>0</v>
      </c>
      <c r="R673" s="4">
        <f>IF($A673=R$613,"",COUNTIF($E$4:$E$609,$A673&amp;" ضد "&amp;R$613)+COUNTIF($E$4:$E$609,R$613&amp;" ضد "&amp;$A673))</f>
        <v>0</v>
      </c>
      <c r="S673" s="4">
        <f>IF($A673=S$613,"",COUNTIF($E$4:$E$609,$A673&amp;" ضد "&amp;S$613)+COUNTIF($E$4:$E$609,S$613&amp;" ضد "&amp;$A673))</f>
        <v>0</v>
      </c>
      <c r="T673" s="4">
        <f>IF($A673=T$613,"",COUNTIF($E$4:$E$609,$A673&amp;" ضد "&amp;T$613)+COUNTIF($E$4:$E$609,T$613&amp;" ضد "&amp;$A673))</f>
        <v>0</v>
      </c>
      <c r="U673" s="4">
        <f>IF($A673=U$613,"",COUNTIF($E$4:$E$609,$A673&amp;" ضد "&amp;U$613)+COUNTIF($E$4:$E$609,U$613&amp;" ضد "&amp;$A673))</f>
        <v>0</v>
      </c>
      <c r="V673" s="4">
        <f>IF($A673=V$613,"",COUNTIF($E$4:$E$609,$A673&amp;" ضد "&amp;V$613)+COUNTIF($E$4:$E$609,V$613&amp;" ضد "&amp;$A673))</f>
        <v>0</v>
      </c>
      <c r="W673" s="4">
        <f>IF($A673=W$613,"",COUNTIF($E$4:$E$609,$A673&amp;" ضد "&amp;W$613)+COUNTIF($E$4:$E$609,W$613&amp;" ضد "&amp;$A673))</f>
        <v>0</v>
      </c>
      <c r="X673" s="4">
        <f>IF($A673=X$613,"",COUNTIF($E$4:$E$609,$A673&amp;" ضد "&amp;X$613)+COUNTIF($E$4:$E$609,X$613&amp;" ضد "&amp;$A673))</f>
        <v>0</v>
      </c>
      <c r="Y673" s="4">
        <f>IF($A673=Y$613,"",COUNTIF($E$4:$E$609,$A673&amp;" ضد "&amp;Y$613)+COUNTIF($E$4:$E$609,Y$613&amp;" ضد "&amp;$A673))</f>
        <v>0</v>
      </c>
      <c r="Z673" s="4">
        <f>IF($A673=Z$613,"",COUNTIF($E$4:$E$609,$A673&amp;" ضد "&amp;Z$613)+COUNTIF($E$4:$E$609,Z$613&amp;" ضد "&amp;$A673))</f>
        <v>0</v>
      </c>
      <c r="AA673" s="4">
        <f>IF($A673=AA$613,"",COUNTIF($E$4:$E$609,$A673&amp;" ضد "&amp;AA$613)+COUNTIF($E$4:$E$609,AA$613&amp;" ضد "&amp;$A673))</f>
        <v>0</v>
      </c>
      <c r="AB673" s="4">
        <f>IF($A673=AB$613,"",COUNTIF($E$4:$E$609,$A673&amp;" ضد "&amp;AB$613)+COUNTIF($E$4:$E$609,AB$613&amp;" ضد "&amp;$A673))</f>
        <v>0</v>
      </c>
      <c r="AC673" s="4">
        <f>IF($A673=AC$613,"",COUNTIF($E$4:$E$609,$A673&amp;" ضد "&amp;AC$613)+COUNTIF($E$4:$E$609,AC$613&amp;" ضد "&amp;$A673))</f>
        <v>0</v>
      </c>
      <c r="AD673" s="4">
        <f>IF($A673=AD$613,"",COUNTIF($E$4:$E$609,$A673&amp;" ضد "&amp;AD$613)+COUNTIF($E$4:$E$609,AD$613&amp;" ضد "&amp;$A673))</f>
        <v>0</v>
      </c>
      <c r="AE673" s="4">
        <f>IF($A673=AE$613,"",COUNTIF($E$4:$E$609,$A673&amp;" ضد "&amp;AE$613)+COUNTIF($E$4:$E$609,AE$613&amp;" ضد "&amp;$A673))</f>
        <v>0</v>
      </c>
      <c r="AF673" s="4">
        <f>IF($A673=AF$613,"",COUNTIF($E$4:$E$609,$A673&amp;" ضد "&amp;AF$613)+COUNTIF($E$4:$E$609,AF$613&amp;" ضد "&amp;$A673))</f>
        <v>0</v>
      </c>
      <c r="AG673" s="4">
        <f>IF($A673=AG$613,"",COUNTIF($E$4:$E$609,$A673&amp;" ضد "&amp;AG$613)+COUNTIF($E$4:$E$609,AG$613&amp;" ضد "&amp;$A673))</f>
        <v>0</v>
      </c>
      <c r="AH673" s="4">
        <f>IF($A673=AH$613,"",COUNTIF($E$4:$E$609,$A673&amp;" ضد "&amp;AH$613)+COUNTIF($E$4:$E$609,AH$613&amp;" ضد "&amp;$A673))</f>
        <v>0</v>
      </c>
      <c r="AI673" s="4">
        <f>IF($A673=AI$613,"",COUNTIF($E$4:$E$609,$A673&amp;" ضد "&amp;AI$613)+COUNTIF($E$4:$E$609,AI$613&amp;" ضد "&amp;$A673))</f>
        <v>0</v>
      </c>
      <c r="AJ673" s="4">
        <f>IF($A673=AJ$613,"",COUNTIF($E$4:$E$609,$A673&amp;" ضد "&amp;AJ$613)+COUNTIF($E$4:$E$609,AJ$613&amp;" ضد "&amp;$A673))</f>
        <v>0</v>
      </c>
      <c r="AK673" s="4">
        <f>IF($A673=AK$613,"",COUNTIF($E$4:$E$609,$A673&amp;" ضد "&amp;AK$613)+COUNTIF($E$4:$E$609,AK$613&amp;" ضد "&amp;$A673))</f>
        <v>0</v>
      </c>
      <c r="AL673" s="4">
        <f>IF($A673=AL$613,"",COUNTIF($E$4:$E$609,$A673&amp;" ضد "&amp;AL$613)+COUNTIF($E$4:$E$609,AL$613&amp;" ضد "&amp;$A673))</f>
        <v>0</v>
      </c>
      <c r="AM673" s="4">
        <f>IF($A673=AM$613,"",COUNTIF($E$4:$E$609,$A673&amp;" ضد "&amp;AM$613)+COUNTIF($E$4:$E$609,AM$613&amp;" ضد "&amp;$A673))</f>
        <v>0</v>
      </c>
      <c r="AN673" s="4">
        <f>IF($A673=AN$613,"",COUNTIF($E$4:$E$609,$A673&amp;" ضد "&amp;AN$613)+COUNTIF($E$4:$E$609,AN$613&amp;" ضد "&amp;$A673))</f>
        <v>0</v>
      </c>
      <c r="AO673" s="4">
        <f>IF($A673=AO$613,"",COUNTIF($E$4:$E$609,$A673&amp;" ضد "&amp;AO$613)+COUNTIF($E$4:$E$609,AO$613&amp;" ضد "&amp;$A673))</f>
        <v>0</v>
      </c>
      <c r="AP673" s="4">
        <f>IF($A673=AP$613,"",COUNTIF($E$4:$E$609,$A673&amp;" ضد "&amp;AP$613)+COUNTIF($E$4:$E$609,AP$613&amp;" ضد "&amp;$A673))</f>
        <v>0</v>
      </c>
      <c r="AQ673" s="4">
        <f>IF($A673=AQ$613,"",COUNTIF($E$4:$E$609,$A673&amp;" ضد "&amp;AQ$613)+COUNTIF($E$4:$E$609,AQ$613&amp;" ضد "&amp;$A673))</f>
        <v>0</v>
      </c>
      <c r="AR673" s="4">
        <f>IF($A673=AR$613,"",COUNTIF($E$4:$E$609,$A673&amp;" ضد "&amp;AR$613)+COUNTIF($E$4:$E$609,AR$613&amp;" ضد "&amp;$A673))</f>
        <v>0</v>
      </c>
      <c r="AS673" s="4">
        <f>IF($A673=AS$613,"",COUNTIF($E$4:$E$609,$A673&amp;" ضد "&amp;AS$613)+COUNTIF($E$4:$E$609,AS$613&amp;" ضد "&amp;$A673))</f>
        <v>0</v>
      </c>
      <c r="AT673" s="4">
        <f>IF($A673=AT$613,"",COUNTIF($E$4:$E$609,$A673&amp;" ضد "&amp;AT$613)+COUNTIF($E$4:$E$609,AT$613&amp;" ضد "&amp;$A673))</f>
        <v>0</v>
      </c>
      <c r="AU673" s="4">
        <f>IF($A673=AU$613,"",COUNTIF($E$4:$E$609,$A673&amp;" ضد "&amp;AU$613)+COUNTIF($E$4:$E$609,AU$613&amp;" ضد "&amp;$A673))</f>
        <v>0</v>
      </c>
      <c r="AV673" s="4">
        <f>IF($A673=AV$613,"",COUNTIF($E$4:$E$609,$A673&amp;" ضد "&amp;AV$613)+COUNTIF($E$4:$E$609,AV$613&amp;" ضد "&amp;$A673))</f>
        <v>0</v>
      </c>
      <c r="AW673" s="4">
        <f>IF($A673=AW$613,"",COUNTIF($E$4:$E$609,$A673&amp;" ضد "&amp;AW$613)+COUNTIF($E$4:$E$609,AW$613&amp;" ضد "&amp;$A673))</f>
        <v>0</v>
      </c>
      <c r="AX673" s="4">
        <f>IF($A673=AX$613,"",COUNTIF($E$4:$E$609,$A673&amp;" ضد "&amp;AX$613)+COUNTIF($E$4:$E$609,AX$613&amp;" ضد "&amp;$A673))</f>
        <v>0</v>
      </c>
      <c r="AY673" s="4">
        <f>IF($A673=AY$613,"",COUNTIF($E$4:$E$609,$A673&amp;" ضد "&amp;AY$613)+COUNTIF($E$4:$E$609,AY$613&amp;" ضد "&amp;$A673))</f>
        <v>0</v>
      </c>
      <c r="AZ673" s="4">
        <f>IF($A673=AZ$613,"",COUNTIF($E$4:$E$609,$A673&amp;" ضد "&amp;AZ$613)+COUNTIF($E$4:$E$609,AZ$613&amp;" ضد "&amp;$A673))</f>
        <v>0</v>
      </c>
      <c r="BA673" s="4">
        <f>IF($A673=BA$613,"",COUNTIF($E$4:$E$609,$A673&amp;" ضد "&amp;BA$613)+COUNTIF($E$4:$E$609,BA$613&amp;" ضد "&amp;$A673))</f>
        <v>1</v>
      </c>
      <c r="BB673" s="4">
        <f>IF($A673=BB$613,"",COUNTIF($E$4:$E$609,$A673&amp;" ضد "&amp;BB$613)+COUNTIF($E$4:$E$609,BB$613&amp;" ضد "&amp;$A673))</f>
        <v>1</v>
      </c>
      <c r="BC673" s="4">
        <f>IF($A673=BC$613,"",COUNTIF($E$4:$E$609,$A673&amp;" ضد "&amp;BC$613)+COUNTIF($E$4:$E$609,BC$613&amp;" ضد "&amp;$A673))</f>
        <v>1</v>
      </c>
      <c r="BD673" s="4">
        <f>IF($A673=BD$613,"",COUNTIF($E$4:$E$609,$A673&amp;" ضد "&amp;BD$613)+COUNTIF($E$4:$E$609,BD$613&amp;" ضد "&amp;$A673))</f>
        <v>2</v>
      </c>
      <c r="BE673" s="4">
        <f>IF($A673=BE$613,"",COUNTIF($E$4:$E$609,$A673&amp;" ضد "&amp;BE$613)+COUNTIF($E$4:$E$609,BE$613&amp;" ضد "&amp;$A673))</f>
        <v>1</v>
      </c>
      <c r="BF673" s="4">
        <f>IF($A673=BF$613,"",COUNTIF($E$4:$E$609,$A673&amp;" ضد "&amp;BF$613)+COUNTIF($E$4:$E$609,BF$613&amp;" ضد "&amp;$A673))</f>
        <v>2</v>
      </c>
      <c r="BG673" s="4">
        <f>IF($A673=BG$613,"",COUNTIF($E$4:$E$609,$A673&amp;" ضد "&amp;BG$613)+COUNTIF($E$4:$E$609,BG$613&amp;" ضد "&amp;$A673))</f>
        <v>1</v>
      </c>
      <c r="BH673" s="4">
        <f>IF($A673=BH$613,"",COUNTIF($E$4:$E$609,$A673&amp;" ضد "&amp;BH$613)+COUNTIF($E$4:$E$609,BH$613&amp;" ضد "&amp;$A673))</f>
        <v>2</v>
      </c>
      <c r="BI673" s="4" t="str">
        <f>IF($A673=BI$613,"",COUNTIF($E$4:$E$609,$A673&amp;" ضد "&amp;BI$613)+COUNTIF($E$4:$E$609,BI$613&amp;" ضد "&amp;$A673))</f>
        <v/>
      </c>
      <c r="BJ673" s="4">
        <f>IF($A673=BJ$613,"",COUNTIF($E$4:$E$609,$A673&amp;" ضد "&amp;BJ$613)+COUNTIF($E$4:$E$609,BJ$613&amp;" ضد "&amp;$A673))</f>
        <v>1</v>
      </c>
      <c r="BK673" s="4">
        <f>IF($A673=BK$613,"",COUNTIF($E$4:$E$609,$A673&amp;" ضد "&amp;BK$613)+COUNTIF($E$4:$E$609,BK$613&amp;" ضد "&amp;$A673))</f>
        <v>1</v>
      </c>
      <c r="BL673" s="4">
        <f>IF($A673=BL$613,"",COUNTIF($E$4:$E$609,$A673&amp;" ضد "&amp;BL$613)+COUNTIF($E$4:$E$609,BL$613&amp;" ضد "&amp;$A673))</f>
        <v>1</v>
      </c>
      <c r="BM673" s="4">
        <f>IF($A673=BM$613,"",COUNTIF($E$4:$E$609,$A673&amp;" ضد "&amp;BM$613)+COUNTIF($E$4:$E$609,BM$613&amp;" ضد "&amp;$A673))</f>
        <v>1</v>
      </c>
      <c r="BN673" s="4">
        <f>IF($A673=BN$613,"",COUNTIF($E$4:$E$609,$A673&amp;" ضد "&amp;BN$613)+COUNTIF($E$4:$E$609,BN$613&amp;" ضد "&amp;$A673))</f>
        <v>1</v>
      </c>
      <c r="BO673" s="4">
        <f>IF($A673=BO$613,"",COUNTIF($E$4:$E$609,$A673&amp;" ضد "&amp;BO$613)+COUNTIF($E$4:$E$609,BO$613&amp;" ضد "&amp;$A673))</f>
        <v>1</v>
      </c>
      <c r="BP673" s="4">
        <f>IF($A673=BP$613,"",COUNTIF($E$4:$E$609,$A673&amp;" ضد "&amp;BP$613)+COUNTIF($E$4:$E$609,BP$613&amp;" ضد "&amp;$A673))</f>
        <v>1</v>
      </c>
    </row>
    <row r="674" spans="1:68" ht="14.5">
      <c r="A674" s="14">
        <v>61</v>
      </c>
      <c r="B674" s="4">
        <f>IF($A674=B$613,"",COUNTIF($E$4:$E$609,$A674&amp;" ضد "&amp;B$613)+COUNTIF($E$4:$E$609,B$613&amp;" ضد "&amp;$A674))</f>
        <v>0</v>
      </c>
      <c r="C674" s="4">
        <f>IF($A674=C$613,"",COUNTIF($E$4:$E$609,$A674&amp;" ضد "&amp;C$613)+COUNTIF($E$4:$E$609,C$613&amp;" ضد "&amp;$A674))</f>
        <v>0</v>
      </c>
      <c r="D674" s="4">
        <f>IF($A674=D$613,"",COUNTIF($E$4:$E$609,$A674&amp;" ضد "&amp;D$613)+COUNTIF($E$4:$E$609,D$613&amp;" ضد "&amp;$A674))</f>
        <v>0</v>
      </c>
      <c r="E674" s="4">
        <f>IF($A674=E$613,"",COUNTIF($E$4:$E$609,$A674&amp;" ضد "&amp;E$613)+COUNTIF($E$4:$E$609,E$613&amp;" ضد "&amp;$A674))</f>
        <v>0</v>
      </c>
      <c r="F674" s="4">
        <f>IF($A674=F$613,"",COUNTIF($E$4:$E$609,$A674&amp;" ضد "&amp;F$613)+COUNTIF($E$4:$E$609,F$613&amp;" ضد "&amp;$A674))</f>
        <v>0</v>
      </c>
      <c r="G674" s="4">
        <f>IF($A674=G$613,"",COUNTIF($E$4:$E$609,$A674&amp;" ضد "&amp;G$613)+COUNTIF($E$4:$E$609,G$613&amp;" ضد "&amp;$A674))</f>
        <v>0</v>
      </c>
      <c r="H674" s="4">
        <f>IF($A674=H$613,"",COUNTIF($E$4:$E$609,$A674&amp;" ضد "&amp;H$613)+COUNTIF($E$4:$E$609,H$613&amp;" ضد "&amp;$A674))</f>
        <v>0</v>
      </c>
      <c r="I674" s="4">
        <f>IF($A674=I$613,"",COUNTIF($E$4:$E$609,$A674&amp;" ضد "&amp;I$613)+COUNTIF($E$4:$E$609,I$613&amp;" ضد "&amp;$A674))</f>
        <v>0</v>
      </c>
      <c r="J674" s="4">
        <f>IF($A674=J$613,"",COUNTIF($E$4:$E$609,$A674&amp;" ضد "&amp;J$613)+COUNTIF($E$4:$E$609,J$613&amp;" ضد "&amp;$A674))</f>
        <v>0</v>
      </c>
      <c r="K674" s="4">
        <f>IF($A674=K$613,"",COUNTIF($E$4:$E$609,$A674&amp;" ضد "&amp;K$613)+COUNTIF($E$4:$E$609,K$613&amp;" ضد "&amp;$A674))</f>
        <v>0</v>
      </c>
      <c r="L674" s="4">
        <f>IF($A674=L$613,"",COUNTIF($E$4:$E$609,$A674&amp;" ضد "&amp;L$613)+COUNTIF($E$4:$E$609,L$613&amp;" ضد "&amp;$A674))</f>
        <v>0</v>
      </c>
      <c r="M674" s="4">
        <f>IF($A674=M$613,"",COUNTIF($E$4:$E$609,$A674&amp;" ضد "&amp;M$613)+COUNTIF($E$4:$E$609,M$613&amp;" ضد "&amp;$A674))</f>
        <v>0</v>
      </c>
      <c r="N674" s="4">
        <f>IF($A674=N$613,"",COUNTIF($E$4:$E$609,$A674&amp;" ضد "&amp;N$613)+COUNTIF($E$4:$E$609,N$613&amp;" ضد "&amp;$A674))</f>
        <v>0</v>
      </c>
      <c r="O674" s="4">
        <f>IF($A674=O$613,"",COUNTIF($E$4:$E$609,$A674&amp;" ضد "&amp;O$613)+COUNTIF($E$4:$E$609,O$613&amp;" ضد "&amp;$A674))</f>
        <v>0</v>
      </c>
      <c r="P674" s="4">
        <f>IF($A674=P$613,"",COUNTIF($E$4:$E$609,$A674&amp;" ضد "&amp;P$613)+COUNTIF($E$4:$E$609,P$613&amp;" ضد "&amp;$A674))</f>
        <v>0</v>
      </c>
      <c r="Q674" s="4">
        <f>IF($A674=Q$613,"",COUNTIF($E$4:$E$609,$A674&amp;" ضد "&amp;Q$613)+COUNTIF($E$4:$E$609,Q$613&amp;" ضد "&amp;$A674))</f>
        <v>0</v>
      </c>
      <c r="R674" s="4">
        <f>IF($A674=R$613,"",COUNTIF($E$4:$E$609,$A674&amp;" ضد "&amp;R$613)+COUNTIF($E$4:$E$609,R$613&amp;" ضد "&amp;$A674))</f>
        <v>0</v>
      </c>
      <c r="S674" s="4">
        <f>IF($A674=S$613,"",COUNTIF($E$4:$E$609,$A674&amp;" ضد "&amp;S$613)+COUNTIF($E$4:$E$609,S$613&amp;" ضد "&amp;$A674))</f>
        <v>0</v>
      </c>
      <c r="T674" s="4">
        <f>IF($A674=T$613,"",COUNTIF($E$4:$E$609,$A674&amp;" ضد "&amp;T$613)+COUNTIF($E$4:$E$609,T$613&amp;" ضد "&amp;$A674))</f>
        <v>0</v>
      </c>
      <c r="U674" s="4">
        <f>IF($A674=U$613,"",COUNTIF($E$4:$E$609,$A674&amp;" ضد "&amp;U$613)+COUNTIF($E$4:$E$609,U$613&amp;" ضد "&amp;$A674))</f>
        <v>0</v>
      </c>
      <c r="V674" s="4">
        <f>IF($A674=V$613,"",COUNTIF($E$4:$E$609,$A674&amp;" ضد "&amp;V$613)+COUNTIF($E$4:$E$609,V$613&amp;" ضد "&amp;$A674))</f>
        <v>0</v>
      </c>
      <c r="W674" s="4">
        <f>IF($A674=W$613,"",COUNTIF($E$4:$E$609,$A674&amp;" ضد "&amp;W$613)+COUNTIF($E$4:$E$609,W$613&amp;" ضد "&amp;$A674))</f>
        <v>0</v>
      </c>
      <c r="X674" s="4">
        <f>IF($A674=X$613,"",COUNTIF($E$4:$E$609,$A674&amp;" ضد "&amp;X$613)+COUNTIF($E$4:$E$609,X$613&amp;" ضد "&amp;$A674))</f>
        <v>0</v>
      </c>
      <c r="Y674" s="4">
        <f>IF($A674=Y$613,"",COUNTIF($E$4:$E$609,$A674&amp;" ضد "&amp;Y$613)+COUNTIF($E$4:$E$609,Y$613&amp;" ضد "&amp;$A674))</f>
        <v>0</v>
      </c>
      <c r="Z674" s="4">
        <f>IF($A674=Z$613,"",COUNTIF($E$4:$E$609,$A674&amp;" ضد "&amp;Z$613)+COUNTIF($E$4:$E$609,Z$613&amp;" ضد "&amp;$A674))</f>
        <v>0</v>
      </c>
      <c r="AA674" s="4">
        <f>IF($A674=AA$613,"",COUNTIF($E$4:$E$609,$A674&amp;" ضد "&amp;AA$613)+COUNTIF($E$4:$E$609,AA$613&amp;" ضد "&amp;$A674))</f>
        <v>0</v>
      </c>
      <c r="AB674" s="4">
        <f>IF($A674=AB$613,"",COUNTIF($E$4:$E$609,$A674&amp;" ضد "&amp;AB$613)+COUNTIF($E$4:$E$609,AB$613&amp;" ضد "&amp;$A674))</f>
        <v>0</v>
      </c>
      <c r="AC674" s="4">
        <f>IF($A674=AC$613,"",COUNTIF($E$4:$E$609,$A674&amp;" ضد "&amp;AC$613)+COUNTIF($E$4:$E$609,AC$613&amp;" ضد "&amp;$A674))</f>
        <v>0</v>
      </c>
      <c r="AD674" s="4">
        <f>IF($A674=AD$613,"",COUNTIF($E$4:$E$609,$A674&amp;" ضد "&amp;AD$613)+COUNTIF($E$4:$E$609,AD$613&amp;" ضد "&amp;$A674))</f>
        <v>0</v>
      </c>
      <c r="AE674" s="4">
        <f>IF($A674=AE$613,"",COUNTIF($E$4:$E$609,$A674&amp;" ضد "&amp;AE$613)+COUNTIF($E$4:$E$609,AE$613&amp;" ضد "&amp;$A674))</f>
        <v>0</v>
      </c>
      <c r="AF674" s="4">
        <f>IF($A674=AF$613,"",COUNTIF($E$4:$E$609,$A674&amp;" ضد "&amp;AF$613)+COUNTIF($E$4:$E$609,AF$613&amp;" ضد "&amp;$A674))</f>
        <v>0</v>
      </c>
      <c r="AG674" s="4">
        <f>IF($A674=AG$613,"",COUNTIF($E$4:$E$609,$A674&amp;" ضد "&amp;AG$613)+COUNTIF($E$4:$E$609,AG$613&amp;" ضد "&amp;$A674))</f>
        <v>0</v>
      </c>
      <c r="AH674" s="4">
        <f>IF($A674=AH$613,"",COUNTIF($E$4:$E$609,$A674&amp;" ضد "&amp;AH$613)+COUNTIF($E$4:$E$609,AH$613&amp;" ضد "&amp;$A674))</f>
        <v>0</v>
      </c>
      <c r="AI674" s="4">
        <f>IF($A674=AI$613,"",COUNTIF($E$4:$E$609,$A674&amp;" ضد "&amp;AI$613)+COUNTIF($E$4:$E$609,AI$613&amp;" ضد "&amp;$A674))</f>
        <v>0</v>
      </c>
      <c r="AJ674" s="4">
        <f>IF($A674=AJ$613,"",COUNTIF($E$4:$E$609,$A674&amp;" ضد "&amp;AJ$613)+COUNTIF($E$4:$E$609,AJ$613&amp;" ضد "&amp;$A674))</f>
        <v>0</v>
      </c>
      <c r="AK674" s="4">
        <f>IF($A674=AK$613,"",COUNTIF($E$4:$E$609,$A674&amp;" ضد "&amp;AK$613)+COUNTIF($E$4:$E$609,AK$613&amp;" ضد "&amp;$A674))</f>
        <v>0</v>
      </c>
      <c r="AL674" s="4">
        <f>IF($A674=AL$613,"",COUNTIF($E$4:$E$609,$A674&amp;" ضد "&amp;AL$613)+COUNTIF($E$4:$E$609,AL$613&amp;" ضد "&amp;$A674))</f>
        <v>0</v>
      </c>
      <c r="AM674" s="4">
        <f>IF($A674=AM$613,"",COUNTIF($E$4:$E$609,$A674&amp;" ضد "&amp;AM$613)+COUNTIF($E$4:$E$609,AM$613&amp;" ضد "&amp;$A674))</f>
        <v>0</v>
      </c>
      <c r="AN674" s="4">
        <f>IF($A674=AN$613,"",COUNTIF($E$4:$E$609,$A674&amp;" ضد "&amp;AN$613)+COUNTIF($E$4:$E$609,AN$613&amp;" ضد "&amp;$A674))</f>
        <v>0</v>
      </c>
      <c r="AO674" s="4">
        <f>IF($A674=AO$613,"",COUNTIF($E$4:$E$609,$A674&amp;" ضد "&amp;AO$613)+COUNTIF($E$4:$E$609,AO$613&amp;" ضد "&amp;$A674))</f>
        <v>0</v>
      </c>
      <c r="AP674" s="4">
        <f>IF($A674=AP$613,"",COUNTIF($E$4:$E$609,$A674&amp;" ضد "&amp;AP$613)+COUNTIF($E$4:$E$609,AP$613&amp;" ضد "&amp;$A674))</f>
        <v>0</v>
      </c>
      <c r="AQ674" s="4">
        <f>IF($A674=AQ$613,"",COUNTIF($E$4:$E$609,$A674&amp;" ضد "&amp;AQ$613)+COUNTIF($E$4:$E$609,AQ$613&amp;" ضد "&amp;$A674))</f>
        <v>0</v>
      </c>
      <c r="AR674" s="4">
        <f>IF($A674=AR$613,"",COUNTIF($E$4:$E$609,$A674&amp;" ضد "&amp;AR$613)+COUNTIF($E$4:$E$609,AR$613&amp;" ضد "&amp;$A674))</f>
        <v>0</v>
      </c>
      <c r="AS674" s="4">
        <f>IF($A674=AS$613,"",COUNTIF($E$4:$E$609,$A674&amp;" ضد "&amp;AS$613)+COUNTIF($E$4:$E$609,AS$613&amp;" ضد "&amp;$A674))</f>
        <v>0</v>
      </c>
      <c r="AT674" s="4">
        <f>IF($A674=AT$613,"",COUNTIF($E$4:$E$609,$A674&amp;" ضد "&amp;AT$613)+COUNTIF($E$4:$E$609,AT$613&amp;" ضد "&amp;$A674))</f>
        <v>0</v>
      </c>
      <c r="AU674" s="4">
        <f>IF($A674=AU$613,"",COUNTIF($E$4:$E$609,$A674&amp;" ضد "&amp;AU$613)+COUNTIF($E$4:$E$609,AU$613&amp;" ضد "&amp;$A674))</f>
        <v>0</v>
      </c>
      <c r="AV674" s="4">
        <f>IF($A674=AV$613,"",COUNTIF($E$4:$E$609,$A674&amp;" ضد "&amp;AV$613)+COUNTIF($E$4:$E$609,AV$613&amp;" ضد "&amp;$A674))</f>
        <v>0</v>
      </c>
      <c r="AW674" s="4">
        <f>IF($A674=AW$613,"",COUNTIF($E$4:$E$609,$A674&amp;" ضد "&amp;AW$613)+COUNTIF($E$4:$E$609,AW$613&amp;" ضد "&amp;$A674))</f>
        <v>0</v>
      </c>
      <c r="AX674" s="4">
        <f>IF($A674=AX$613,"",COUNTIF($E$4:$E$609,$A674&amp;" ضد "&amp;AX$613)+COUNTIF($E$4:$E$609,AX$613&amp;" ضد "&amp;$A674))</f>
        <v>0</v>
      </c>
      <c r="AY674" s="4">
        <f>IF($A674=AY$613,"",COUNTIF($E$4:$E$609,$A674&amp;" ضد "&amp;AY$613)+COUNTIF($E$4:$E$609,AY$613&amp;" ضد "&amp;$A674))</f>
        <v>0</v>
      </c>
      <c r="AZ674" s="4">
        <f>IF($A674=AZ$613,"",COUNTIF($E$4:$E$609,$A674&amp;" ضد "&amp;AZ$613)+COUNTIF($E$4:$E$609,AZ$613&amp;" ضد "&amp;$A674))</f>
        <v>0</v>
      </c>
      <c r="BA674" s="4">
        <f>IF($A674=BA$613,"",COUNTIF($E$4:$E$609,$A674&amp;" ضد "&amp;BA$613)+COUNTIF($E$4:$E$609,BA$613&amp;" ضد "&amp;$A674))</f>
        <v>1</v>
      </c>
      <c r="BB674" s="4">
        <f>IF($A674=BB$613,"",COUNTIF($E$4:$E$609,$A674&amp;" ضد "&amp;BB$613)+COUNTIF($E$4:$E$609,BB$613&amp;" ضد "&amp;$A674))</f>
        <v>1</v>
      </c>
      <c r="BC674" s="4">
        <f>IF($A674=BC$613,"",COUNTIF($E$4:$E$609,$A674&amp;" ضد "&amp;BC$613)+COUNTIF($E$4:$E$609,BC$613&amp;" ضد "&amp;$A674))</f>
        <v>2</v>
      </c>
      <c r="BD674" s="4">
        <f>IF($A674=BD$613,"",COUNTIF($E$4:$E$609,$A674&amp;" ضد "&amp;BD$613)+COUNTIF($E$4:$E$609,BD$613&amp;" ضد "&amp;$A674))</f>
        <v>1</v>
      </c>
      <c r="BE674" s="4">
        <f>IF($A674=BE$613,"",COUNTIF($E$4:$E$609,$A674&amp;" ضد "&amp;BE$613)+COUNTIF($E$4:$E$609,BE$613&amp;" ضد "&amp;$A674))</f>
        <v>2</v>
      </c>
      <c r="BF674" s="4">
        <f>IF($A674=BF$613,"",COUNTIF($E$4:$E$609,$A674&amp;" ضد "&amp;BF$613)+COUNTIF($E$4:$E$609,BF$613&amp;" ضد "&amp;$A674))</f>
        <v>1</v>
      </c>
      <c r="BG674" s="4">
        <f>IF($A674=BG$613,"",COUNTIF($E$4:$E$609,$A674&amp;" ضد "&amp;BG$613)+COUNTIF($E$4:$E$609,BG$613&amp;" ضد "&amp;$A674))</f>
        <v>2</v>
      </c>
      <c r="BH674" s="4">
        <f>IF($A674=BH$613,"",COUNTIF($E$4:$E$609,$A674&amp;" ضد "&amp;BH$613)+COUNTIF($E$4:$E$609,BH$613&amp;" ضد "&amp;$A674))</f>
        <v>1</v>
      </c>
      <c r="BI674" s="4">
        <f>IF($A674=BI$613,"",COUNTIF($E$4:$E$609,$A674&amp;" ضد "&amp;BI$613)+COUNTIF($E$4:$E$609,BI$613&amp;" ضد "&amp;$A674))</f>
        <v>1</v>
      </c>
      <c r="BJ674" s="4" t="str">
        <f>IF($A674=BJ$613,"",COUNTIF($E$4:$E$609,$A674&amp;" ضد "&amp;BJ$613)+COUNTIF($E$4:$E$609,BJ$613&amp;" ضد "&amp;$A674))</f>
        <v/>
      </c>
      <c r="BK674" s="4">
        <f>IF($A674=BK$613,"",COUNTIF($E$4:$E$609,$A674&amp;" ضد "&amp;BK$613)+COUNTIF($E$4:$E$609,BK$613&amp;" ضد "&amp;$A674))</f>
        <v>1</v>
      </c>
      <c r="BL674" s="4">
        <f>IF($A674=BL$613,"",COUNTIF($E$4:$E$609,$A674&amp;" ضد "&amp;BL$613)+COUNTIF($E$4:$E$609,BL$613&amp;" ضد "&amp;$A674))</f>
        <v>1</v>
      </c>
      <c r="BM674" s="4">
        <f>IF($A674=BM$613,"",COUNTIF($E$4:$E$609,$A674&amp;" ضد "&amp;BM$613)+COUNTIF($E$4:$E$609,BM$613&amp;" ضد "&amp;$A674))</f>
        <v>1</v>
      </c>
      <c r="BN674" s="4">
        <f>IF($A674=BN$613,"",COUNTIF($E$4:$E$609,$A674&amp;" ضد "&amp;BN$613)+COUNTIF($E$4:$E$609,BN$613&amp;" ضد "&amp;$A674))</f>
        <v>1</v>
      </c>
      <c r="BO674" s="4">
        <f>IF($A674=BO$613,"",COUNTIF($E$4:$E$609,$A674&amp;" ضد "&amp;BO$613)+COUNTIF($E$4:$E$609,BO$613&amp;" ضد "&amp;$A674))</f>
        <v>1</v>
      </c>
      <c r="BP674" s="4">
        <f>IF($A674=BP$613,"",COUNTIF($E$4:$E$609,$A674&amp;" ضد "&amp;BP$613)+COUNTIF($E$4:$E$609,BP$613&amp;" ضد "&amp;$A674))</f>
        <v>1</v>
      </c>
    </row>
    <row r="675" spans="1:68" ht="14.5">
      <c r="A675" s="14">
        <v>62</v>
      </c>
      <c r="B675" s="4">
        <f>IF($A675=B$613,"",COUNTIF($E$4:$E$609,$A675&amp;" ضد "&amp;B$613)+COUNTIF($E$4:$E$609,B$613&amp;" ضد "&amp;$A675))</f>
        <v>0</v>
      </c>
      <c r="C675" s="4">
        <f>IF($A675=C$613,"",COUNTIF($E$4:$E$609,$A675&amp;" ضد "&amp;C$613)+COUNTIF($E$4:$E$609,C$613&amp;" ضد "&amp;$A675))</f>
        <v>0</v>
      </c>
      <c r="D675" s="4">
        <f>IF($A675=D$613,"",COUNTIF($E$4:$E$609,$A675&amp;" ضد "&amp;D$613)+COUNTIF($E$4:$E$609,D$613&amp;" ضد "&amp;$A675))</f>
        <v>0</v>
      </c>
      <c r="E675" s="4">
        <f>IF($A675=E$613,"",COUNTIF($E$4:$E$609,$A675&amp;" ضد "&amp;E$613)+COUNTIF($E$4:$E$609,E$613&amp;" ضد "&amp;$A675))</f>
        <v>0</v>
      </c>
      <c r="F675" s="4">
        <f>IF($A675=F$613,"",COUNTIF($E$4:$E$609,$A675&amp;" ضد "&amp;F$613)+COUNTIF($E$4:$E$609,F$613&amp;" ضد "&amp;$A675))</f>
        <v>0</v>
      </c>
      <c r="G675" s="4">
        <f>IF($A675=G$613,"",COUNTIF($E$4:$E$609,$A675&amp;" ضد "&amp;G$613)+COUNTIF($E$4:$E$609,G$613&amp;" ضد "&amp;$A675))</f>
        <v>0</v>
      </c>
      <c r="H675" s="4">
        <f>IF($A675=H$613,"",COUNTIF($E$4:$E$609,$A675&amp;" ضد "&amp;H$613)+COUNTIF($E$4:$E$609,H$613&amp;" ضد "&amp;$A675))</f>
        <v>0</v>
      </c>
      <c r="I675" s="4">
        <f>IF($A675=I$613,"",COUNTIF($E$4:$E$609,$A675&amp;" ضد "&amp;I$613)+COUNTIF($E$4:$E$609,I$613&amp;" ضد "&amp;$A675))</f>
        <v>0</v>
      </c>
      <c r="J675" s="4">
        <f>IF($A675=J$613,"",COUNTIF($E$4:$E$609,$A675&amp;" ضد "&amp;J$613)+COUNTIF($E$4:$E$609,J$613&amp;" ضد "&amp;$A675))</f>
        <v>0</v>
      </c>
      <c r="K675" s="4">
        <f>IF($A675=K$613,"",COUNTIF($E$4:$E$609,$A675&amp;" ضد "&amp;K$613)+COUNTIF($E$4:$E$609,K$613&amp;" ضد "&amp;$A675))</f>
        <v>0</v>
      </c>
      <c r="L675" s="4">
        <f>IF($A675=L$613,"",COUNTIF($E$4:$E$609,$A675&amp;" ضد "&amp;L$613)+COUNTIF($E$4:$E$609,L$613&amp;" ضد "&amp;$A675))</f>
        <v>0</v>
      </c>
      <c r="M675" s="4">
        <f>IF($A675=M$613,"",COUNTIF($E$4:$E$609,$A675&amp;" ضد "&amp;M$613)+COUNTIF($E$4:$E$609,M$613&amp;" ضد "&amp;$A675))</f>
        <v>0</v>
      </c>
      <c r="N675" s="4">
        <f>IF($A675=N$613,"",COUNTIF($E$4:$E$609,$A675&amp;" ضد "&amp;N$613)+COUNTIF($E$4:$E$609,N$613&amp;" ضد "&amp;$A675))</f>
        <v>0</v>
      </c>
      <c r="O675" s="4">
        <f>IF($A675=O$613,"",COUNTIF($E$4:$E$609,$A675&amp;" ضد "&amp;O$613)+COUNTIF($E$4:$E$609,O$613&amp;" ضد "&amp;$A675))</f>
        <v>0</v>
      </c>
      <c r="P675" s="4">
        <f>IF($A675=P$613,"",COUNTIF($E$4:$E$609,$A675&amp;" ضد "&amp;P$613)+COUNTIF($E$4:$E$609,P$613&amp;" ضد "&amp;$A675))</f>
        <v>0</v>
      </c>
      <c r="Q675" s="4">
        <f>IF($A675=Q$613,"",COUNTIF($E$4:$E$609,$A675&amp;" ضد "&amp;Q$613)+COUNTIF($E$4:$E$609,Q$613&amp;" ضد "&amp;$A675))</f>
        <v>0</v>
      </c>
      <c r="R675" s="4">
        <f>IF($A675=R$613,"",COUNTIF($E$4:$E$609,$A675&amp;" ضد "&amp;R$613)+COUNTIF($E$4:$E$609,R$613&amp;" ضد "&amp;$A675))</f>
        <v>0</v>
      </c>
      <c r="S675" s="4">
        <f>IF($A675=S$613,"",COUNTIF($E$4:$E$609,$A675&amp;" ضد "&amp;S$613)+COUNTIF($E$4:$E$609,S$613&amp;" ضد "&amp;$A675))</f>
        <v>0</v>
      </c>
      <c r="T675" s="4">
        <f>IF($A675=T$613,"",COUNTIF($E$4:$E$609,$A675&amp;" ضد "&amp;T$613)+COUNTIF($E$4:$E$609,T$613&amp;" ضد "&amp;$A675))</f>
        <v>0</v>
      </c>
      <c r="U675" s="4">
        <f>IF($A675=U$613,"",COUNTIF($E$4:$E$609,$A675&amp;" ضد "&amp;U$613)+COUNTIF($E$4:$E$609,U$613&amp;" ضد "&amp;$A675))</f>
        <v>0</v>
      </c>
      <c r="V675" s="4">
        <f>IF($A675=V$613,"",COUNTIF($E$4:$E$609,$A675&amp;" ضد "&amp;V$613)+COUNTIF($E$4:$E$609,V$613&amp;" ضد "&amp;$A675))</f>
        <v>0</v>
      </c>
      <c r="W675" s="4">
        <f>IF($A675=W$613,"",COUNTIF($E$4:$E$609,$A675&amp;" ضد "&amp;W$613)+COUNTIF($E$4:$E$609,W$613&amp;" ضد "&amp;$A675))</f>
        <v>0</v>
      </c>
      <c r="X675" s="4">
        <f>IF($A675=X$613,"",COUNTIF($E$4:$E$609,$A675&amp;" ضد "&amp;X$613)+COUNTIF($E$4:$E$609,X$613&amp;" ضد "&amp;$A675))</f>
        <v>0</v>
      </c>
      <c r="Y675" s="4">
        <f>IF($A675=Y$613,"",COUNTIF($E$4:$E$609,$A675&amp;" ضد "&amp;Y$613)+COUNTIF($E$4:$E$609,Y$613&amp;" ضد "&amp;$A675))</f>
        <v>0</v>
      </c>
      <c r="Z675" s="4">
        <f>IF($A675=Z$613,"",COUNTIF($E$4:$E$609,$A675&amp;" ضد "&amp;Z$613)+COUNTIF($E$4:$E$609,Z$613&amp;" ضد "&amp;$A675))</f>
        <v>0</v>
      </c>
      <c r="AA675" s="4">
        <f>IF($A675=AA$613,"",COUNTIF($E$4:$E$609,$A675&amp;" ضد "&amp;AA$613)+COUNTIF($E$4:$E$609,AA$613&amp;" ضد "&amp;$A675))</f>
        <v>0</v>
      </c>
      <c r="AB675" s="4">
        <f>IF($A675=AB$613,"",COUNTIF($E$4:$E$609,$A675&amp;" ضد "&amp;AB$613)+COUNTIF($E$4:$E$609,AB$613&amp;" ضد "&amp;$A675))</f>
        <v>0</v>
      </c>
      <c r="AC675" s="4">
        <f>IF($A675=AC$613,"",COUNTIF($E$4:$E$609,$A675&amp;" ضد "&amp;AC$613)+COUNTIF($E$4:$E$609,AC$613&amp;" ضد "&amp;$A675))</f>
        <v>0</v>
      </c>
      <c r="AD675" s="4">
        <f>IF($A675=AD$613,"",COUNTIF($E$4:$E$609,$A675&amp;" ضد "&amp;AD$613)+COUNTIF($E$4:$E$609,AD$613&amp;" ضد "&amp;$A675))</f>
        <v>0</v>
      </c>
      <c r="AE675" s="4">
        <f>IF($A675=AE$613,"",COUNTIF($E$4:$E$609,$A675&amp;" ضد "&amp;AE$613)+COUNTIF($E$4:$E$609,AE$613&amp;" ضد "&amp;$A675))</f>
        <v>0</v>
      </c>
      <c r="AF675" s="4">
        <f>IF($A675=AF$613,"",COUNTIF($E$4:$E$609,$A675&amp;" ضد "&amp;AF$613)+COUNTIF($E$4:$E$609,AF$613&amp;" ضد "&amp;$A675))</f>
        <v>0</v>
      </c>
      <c r="AG675" s="4">
        <f>IF($A675=AG$613,"",COUNTIF($E$4:$E$609,$A675&amp;" ضد "&amp;AG$613)+COUNTIF($E$4:$E$609,AG$613&amp;" ضد "&amp;$A675))</f>
        <v>0</v>
      </c>
      <c r="AH675" s="4">
        <f>IF($A675=AH$613,"",COUNTIF($E$4:$E$609,$A675&amp;" ضد "&amp;AH$613)+COUNTIF($E$4:$E$609,AH$613&amp;" ضد "&amp;$A675))</f>
        <v>0</v>
      </c>
      <c r="AI675" s="4">
        <f>IF($A675=AI$613,"",COUNTIF($E$4:$E$609,$A675&amp;" ضد "&amp;AI$613)+COUNTIF($E$4:$E$609,AI$613&amp;" ضد "&amp;$A675))</f>
        <v>0</v>
      </c>
      <c r="AJ675" s="4">
        <f>IF($A675=AJ$613,"",COUNTIF($E$4:$E$609,$A675&amp;" ضد "&amp;AJ$613)+COUNTIF($E$4:$E$609,AJ$613&amp;" ضد "&amp;$A675))</f>
        <v>0</v>
      </c>
      <c r="AK675" s="4">
        <f>IF($A675=AK$613,"",COUNTIF($E$4:$E$609,$A675&amp;" ضد "&amp;AK$613)+COUNTIF($E$4:$E$609,AK$613&amp;" ضد "&amp;$A675))</f>
        <v>0</v>
      </c>
      <c r="AL675" s="4">
        <f>IF($A675=AL$613,"",COUNTIF($E$4:$E$609,$A675&amp;" ضد "&amp;AL$613)+COUNTIF($E$4:$E$609,AL$613&amp;" ضد "&amp;$A675))</f>
        <v>0</v>
      </c>
      <c r="AM675" s="4">
        <f>IF($A675=AM$613,"",COUNTIF($E$4:$E$609,$A675&amp;" ضد "&amp;AM$613)+COUNTIF($E$4:$E$609,AM$613&amp;" ضد "&amp;$A675))</f>
        <v>0</v>
      </c>
      <c r="AN675" s="4">
        <f>IF($A675=AN$613,"",COUNTIF($E$4:$E$609,$A675&amp;" ضد "&amp;AN$613)+COUNTIF($E$4:$E$609,AN$613&amp;" ضد "&amp;$A675))</f>
        <v>0</v>
      </c>
      <c r="AO675" s="4">
        <f>IF($A675=AO$613,"",COUNTIF($E$4:$E$609,$A675&amp;" ضد "&amp;AO$613)+COUNTIF($E$4:$E$609,AO$613&amp;" ضد "&amp;$A675))</f>
        <v>0</v>
      </c>
      <c r="AP675" s="4">
        <f>IF($A675=AP$613,"",COUNTIF($E$4:$E$609,$A675&amp;" ضد "&amp;AP$613)+COUNTIF($E$4:$E$609,AP$613&amp;" ضد "&amp;$A675))</f>
        <v>0</v>
      </c>
      <c r="AQ675" s="4">
        <f>IF($A675=AQ$613,"",COUNTIF($E$4:$E$609,$A675&amp;" ضد "&amp;AQ$613)+COUNTIF($E$4:$E$609,AQ$613&amp;" ضد "&amp;$A675))</f>
        <v>0</v>
      </c>
      <c r="AR675" s="4">
        <f>IF($A675=AR$613,"",COUNTIF($E$4:$E$609,$A675&amp;" ضد "&amp;AR$613)+COUNTIF($E$4:$E$609,AR$613&amp;" ضد "&amp;$A675))</f>
        <v>0</v>
      </c>
      <c r="AS675" s="4">
        <f>IF($A675=AS$613,"",COUNTIF($E$4:$E$609,$A675&amp;" ضد "&amp;AS$613)+COUNTIF($E$4:$E$609,AS$613&amp;" ضد "&amp;$A675))</f>
        <v>0</v>
      </c>
      <c r="AT675" s="4">
        <f>IF($A675=AT$613,"",COUNTIF($E$4:$E$609,$A675&amp;" ضد "&amp;AT$613)+COUNTIF($E$4:$E$609,AT$613&amp;" ضد "&amp;$A675))</f>
        <v>0</v>
      </c>
      <c r="AU675" s="4">
        <f>IF($A675=AU$613,"",COUNTIF($E$4:$E$609,$A675&amp;" ضد "&amp;AU$613)+COUNTIF($E$4:$E$609,AU$613&amp;" ضد "&amp;$A675))</f>
        <v>0</v>
      </c>
      <c r="AV675" s="4">
        <f>IF($A675=AV$613,"",COUNTIF($E$4:$E$609,$A675&amp;" ضد "&amp;AV$613)+COUNTIF($E$4:$E$609,AV$613&amp;" ضد "&amp;$A675))</f>
        <v>0</v>
      </c>
      <c r="AW675" s="4">
        <f>IF($A675=AW$613,"",COUNTIF($E$4:$E$609,$A675&amp;" ضد "&amp;AW$613)+COUNTIF($E$4:$E$609,AW$613&amp;" ضد "&amp;$A675))</f>
        <v>0</v>
      </c>
      <c r="AX675" s="4">
        <f>IF($A675=AX$613,"",COUNTIF($E$4:$E$609,$A675&amp;" ضد "&amp;AX$613)+COUNTIF($E$4:$E$609,AX$613&amp;" ضد "&amp;$A675))</f>
        <v>0</v>
      </c>
      <c r="AY675" s="4">
        <f>IF($A675=AY$613,"",COUNTIF($E$4:$E$609,$A675&amp;" ضد "&amp;AY$613)+COUNTIF($E$4:$E$609,AY$613&amp;" ضد "&amp;$A675))</f>
        <v>0</v>
      </c>
      <c r="AZ675" s="4">
        <f>IF($A675=AZ$613,"",COUNTIF($E$4:$E$609,$A675&amp;" ضد "&amp;AZ$613)+COUNTIF($E$4:$E$609,AZ$613&amp;" ضد "&amp;$A675))</f>
        <v>0</v>
      </c>
      <c r="BA675" s="4">
        <f>IF($A675=BA$613,"",COUNTIF($E$4:$E$609,$A675&amp;" ضد "&amp;BA$613)+COUNTIF($E$4:$E$609,BA$613&amp;" ضد "&amp;$A675))</f>
        <v>1</v>
      </c>
      <c r="BB675" s="4">
        <f>IF($A675=BB$613,"",COUNTIF($E$4:$E$609,$A675&amp;" ضد "&amp;BB$613)+COUNTIF($E$4:$E$609,BB$613&amp;" ضد "&amp;$A675))</f>
        <v>2</v>
      </c>
      <c r="BC675" s="4">
        <f>IF($A675=BC$613,"",COUNTIF($E$4:$E$609,$A675&amp;" ضد "&amp;BC$613)+COUNTIF($E$4:$E$609,BC$613&amp;" ضد "&amp;$A675))</f>
        <v>1</v>
      </c>
      <c r="BD675" s="4">
        <f>IF($A675=BD$613,"",COUNTIF($E$4:$E$609,$A675&amp;" ضد "&amp;BD$613)+COUNTIF($E$4:$E$609,BD$613&amp;" ضد "&amp;$A675))</f>
        <v>2</v>
      </c>
      <c r="BE675" s="4">
        <f>IF($A675=BE$613,"",COUNTIF($E$4:$E$609,$A675&amp;" ضد "&amp;BE$613)+COUNTIF($E$4:$E$609,BE$613&amp;" ضد "&amp;$A675))</f>
        <v>1</v>
      </c>
      <c r="BF675" s="4">
        <f>IF($A675=BF$613,"",COUNTIF($E$4:$E$609,$A675&amp;" ضد "&amp;BF$613)+COUNTIF($E$4:$E$609,BF$613&amp;" ضد "&amp;$A675))</f>
        <v>2</v>
      </c>
      <c r="BG675" s="4">
        <f>IF($A675=BG$613,"",COUNTIF($E$4:$E$609,$A675&amp;" ضد "&amp;BG$613)+COUNTIF($E$4:$E$609,BG$613&amp;" ضد "&amp;$A675))</f>
        <v>1</v>
      </c>
      <c r="BH675" s="4">
        <f>IF($A675=BH$613,"",COUNTIF($E$4:$E$609,$A675&amp;" ضد "&amp;BH$613)+COUNTIF($E$4:$E$609,BH$613&amp;" ضد "&amp;$A675))</f>
        <v>1</v>
      </c>
      <c r="BI675" s="4">
        <f>IF($A675=BI$613,"",COUNTIF($E$4:$E$609,$A675&amp;" ضد "&amp;BI$613)+COUNTIF($E$4:$E$609,BI$613&amp;" ضد "&amp;$A675))</f>
        <v>1</v>
      </c>
      <c r="BJ675" s="4">
        <f>IF($A675=BJ$613,"",COUNTIF($E$4:$E$609,$A675&amp;" ضد "&amp;BJ$613)+COUNTIF($E$4:$E$609,BJ$613&amp;" ضد "&amp;$A675))</f>
        <v>1</v>
      </c>
      <c r="BK675" s="4" t="str">
        <f>IF($A675=BK$613,"",COUNTIF($E$4:$E$609,$A675&amp;" ضد "&amp;BK$613)+COUNTIF($E$4:$E$609,BK$613&amp;" ضد "&amp;$A675))</f>
        <v/>
      </c>
      <c r="BL675" s="4">
        <f>IF($A675=BL$613,"",COUNTIF($E$4:$E$609,$A675&amp;" ضد "&amp;BL$613)+COUNTIF($E$4:$E$609,BL$613&amp;" ضد "&amp;$A675))</f>
        <v>1</v>
      </c>
      <c r="BM675" s="4">
        <f>IF($A675=BM$613,"",COUNTIF($E$4:$E$609,$A675&amp;" ضد "&amp;BM$613)+COUNTIF($E$4:$E$609,BM$613&amp;" ضد "&amp;$A675))</f>
        <v>1</v>
      </c>
      <c r="BN675" s="4">
        <f>IF($A675=BN$613,"",COUNTIF($E$4:$E$609,$A675&amp;" ضد "&amp;BN$613)+COUNTIF($E$4:$E$609,BN$613&amp;" ضد "&amp;$A675))</f>
        <v>1</v>
      </c>
      <c r="BO675" s="4">
        <f>IF($A675=BO$613,"",COUNTIF($E$4:$E$609,$A675&amp;" ضد "&amp;BO$613)+COUNTIF($E$4:$E$609,BO$613&amp;" ضد "&amp;$A675))</f>
        <v>1</v>
      </c>
      <c r="BP675" s="4">
        <f>IF($A675=BP$613,"",COUNTIF($E$4:$E$609,$A675&amp;" ضد "&amp;BP$613)+COUNTIF($E$4:$E$609,BP$613&amp;" ضد "&amp;$A675))</f>
        <v>1</v>
      </c>
    </row>
    <row r="676" spans="1:68" ht="14.5">
      <c r="A676" s="14">
        <v>63</v>
      </c>
      <c r="B676" s="4">
        <f>IF($A676=B$613,"",COUNTIF($E$4:$E$609,$A676&amp;" ضد "&amp;B$613)+COUNTIF($E$4:$E$609,B$613&amp;" ضد "&amp;$A676))</f>
        <v>0</v>
      </c>
      <c r="C676" s="4">
        <f>IF($A676=C$613,"",COUNTIF($E$4:$E$609,$A676&amp;" ضد "&amp;C$613)+COUNTIF($E$4:$E$609,C$613&amp;" ضد "&amp;$A676))</f>
        <v>0</v>
      </c>
      <c r="D676" s="4">
        <f>IF($A676=D$613,"",COUNTIF($E$4:$E$609,$A676&amp;" ضد "&amp;D$613)+COUNTIF($E$4:$E$609,D$613&amp;" ضد "&amp;$A676))</f>
        <v>0</v>
      </c>
      <c r="E676" s="4">
        <f>IF($A676=E$613,"",COUNTIF($E$4:$E$609,$A676&amp;" ضد "&amp;E$613)+COUNTIF($E$4:$E$609,E$613&amp;" ضد "&amp;$A676))</f>
        <v>0</v>
      </c>
      <c r="F676" s="4">
        <f>IF($A676=F$613,"",COUNTIF($E$4:$E$609,$A676&amp;" ضد "&amp;F$613)+COUNTIF($E$4:$E$609,F$613&amp;" ضد "&amp;$A676))</f>
        <v>0</v>
      </c>
      <c r="G676" s="4">
        <f>IF($A676=G$613,"",COUNTIF($E$4:$E$609,$A676&amp;" ضد "&amp;G$613)+COUNTIF($E$4:$E$609,G$613&amp;" ضد "&amp;$A676))</f>
        <v>0</v>
      </c>
      <c r="H676" s="4">
        <f>IF($A676=H$613,"",COUNTIF($E$4:$E$609,$A676&amp;" ضد "&amp;H$613)+COUNTIF($E$4:$E$609,H$613&amp;" ضد "&amp;$A676))</f>
        <v>0</v>
      </c>
      <c r="I676" s="4">
        <f>IF($A676=I$613,"",COUNTIF($E$4:$E$609,$A676&amp;" ضد "&amp;I$613)+COUNTIF($E$4:$E$609,I$613&amp;" ضد "&amp;$A676))</f>
        <v>0</v>
      </c>
      <c r="J676" s="4">
        <f>IF($A676=J$613,"",COUNTIF($E$4:$E$609,$A676&amp;" ضد "&amp;J$613)+COUNTIF($E$4:$E$609,J$613&amp;" ضد "&amp;$A676))</f>
        <v>0</v>
      </c>
      <c r="K676" s="4">
        <f>IF($A676=K$613,"",COUNTIF($E$4:$E$609,$A676&amp;" ضد "&amp;K$613)+COUNTIF($E$4:$E$609,K$613&amp;" ضد "&amp;$A676))</f>
        <v>0</v>
      </c>
      <c r="L676" s="4">
        <f>IF($A676=L$613,"",COUNTIF($E$4:$E$609,$A676&amp;" ضد "&amp;L$613)+COUNTIF($E$4:$E$609,L$613&amp;" ضد "&amp;$A676))</f>
        <v>0</v>
      </c>
      <c r="M676" s="4">
        <f>IF($A676=M$613,"",COUNTIF($E$4:$E$609,$A676&amp;" ضد "&amp;M$613)+COUNTIF($E$4:$E$609,M$613&amp;" ضد "&amp;$A676))</f>
        <v>0</v>
      </c>
      <c r="N676" s="4">
        <f>IF($A676=N$613,"",COUNTIF($E$4:$E$609,$A676&amp;" ضد "&amp;N$613)+COUNTIF($E$4:$E$609,N$613&amp;" ضد "&amp;$A676))</f>
        <v>0</v>
      </c>
      <c r="O676" s="4">
        <f>IF($A676=O$613,"",COUNTIF($E$4:$E$609,$A676&amp;" ضد "&amp;O$613)+COUNTIF($E$4:$E$609,O$613&amp;" ضد "&amp;$A676))</f>
        <v>0</v>
      </c>
      <c r="P676" s="4">
        <f>IF($A676=P$613,"",COUNTIF($E$4:$E$609,$A676&amp;" ضد "&amp;P$613)+COUNTIF($E$4:$E$609,P$613&amp;" ضد "&amp;$A676))</f>
        <v>0</v>
      </c>
      <c r="Q676" s="4">
        <f>IF($A676=Q$613,"",COUNTIF($E$4:$E$609,$A676&amp;" ضد "&amp;Q$613)+COUNTIF($E$4:$E$609,Q$613&amp;" ضد "&amp;$A676))</f>
        <v>0</v>
      </c>
      <c r="R676" s="4">
        <f>IF($A676=R$613,"",COUNTIF($E$4:$E$609,$A676&amp;" ضد "&amp;R$613)+COUNTIF($E$4:$E$609,R$613&amp;" ضد "&amp;$A676))</f>
        <v>0</v>
      </c>
      <c r="S676" s="4">
        <f>IF($A676=S$613,"",COUNTIF($E$4:$E$609,$A676&amp;" ضد "&amp;S$613)+COUNTIF($E$4:$E$609,S$613&amp;" ضد "&amp;$A676))</f>
        <v>0</v>
      </c>
      <c r="T676" s="4">
        <f>IF($A676=T$613,"",COUNTIF($E$4:$E$609,$A676&amp;" ضد "&amp;T$613)+COUNTIF($E$4:$E$609,T$613&amp;" ضد "&amp;$A676))</f>
        <v>0</v>
      </c>
      <c r="U676" s="4">
        <f>IF($A676=U$613,"",COUNTIF($E$4:$E$609,$A676&amp;" ضد "&amp;U$613)+COUNTIF($E$4:$E$609,U$613&amp;" ضد "&amp;$A676))</f>
        <v>0</v>
      </c>
      <c r="V676" s="4">
        <f>IF($A676=V$613,"",COUNTIF($E$4:$E$609,$A676&amp;" ضد "&amp;V$613)+COUNTIF($E$4:$E$609,V$613&amp;" ضد "&amp;$A676))</f>
        <v>0</v>
      </c>
      <c r="W676" s="4">
        <f>IF($A676=W$613,"",COUNTIF($E$4:$E$609,$A676&amp;" ضد "&amp;W$613)+COUNTIF($E$4:$E$609,W$613&amp;" ضد "&amp;$A676))</f>
        <v>0</v>
      </c>
      <c r="X676" s="4">
        <f>IF($A676=X$613,"",COUNTIF($E$4:$E$609,$A676&amp;" ضد "&amp;X$613)+COUNTIF($E$4:$E$609,X$613&amp;" ضد "&amp;$A676))</f>
        <v>0</v>
      </c>
      <c r="Y676" s="4">
        <f>IF($A676=Y$613,"",COUNTIF($E$4:$E$609,$A676&amp;" ضد "&amp;Y$613)+COUNTIF($E$4:$E$609,Y$613&amp;" ضد "&amp;$A676))</f>
        <v>0</v>
      </c>
      <c r="Z676" s="4">
        <f>IF($A676=Z$613,"",COUNTIF($E$4:$E$609,$A676&amp;" ضد "&amp;Z$613)+COUNTIF($E$4:$E$609,Z$613&amp;" ضد "&amp;$A676))</f>
        <v>0</v>
      </c>
      <c r="AA676" s="4">
        <f>IF($A676=AA$613,"",COUNTIF($E$4:$E$609,$A676&amp;" ضد "&amp;AA$613)+COUNTIF($E$4:$E$609,AA$613&amp;" ضد "&amp;$A676))</f>
        <v>0</v>
      </c>
      <c r="AB676" s="4">
        <f>IF($A676=AB$613,"",COUNTIF($E$4:$E$609,$A676&amp;" ضد "&amp;AB$613)+COUNTIF($E$4:$E$609,AB$613&amp;" ضد "&amp;$A676))</f>
        <v>0</v>
      </c>
      <c r="AC676" s="4">
        <f>IF($A676=AC$613,"",COUNTIF($E$4:$E$609,$A676&amp;" ضد "&amp;AC$613)+COUNTIF($E$4:$E$609,AC$613&amp;" ضد "&amp;$A676))</f>
        <v>0</v>
      </c>
      <c r="AD676" s="4">
        <f>IF($A676=AD$613,"",COUNTIF($E$4:$E$609,$A676&amp;" ضد "&amp;AD$613)+COUNTIF($E$4:$E$609,AD$613&amp;" ضد "&amp;$A676))</f>
        <v>0</v>
      </c>
      <c r="AE676" s="4">
        <f>IF($A676=AE$613,"",COUNTIF($E$4:$E$609,$A676&amp;" ضد "&amp;AE$613)+COUNTIF($E$4:$E$609,AE$613&amp;" ضد "&amp;$A676))</f>
        <v>0</v>
      </c>
      <c r="AF676" s="4">
        <f>IF($A676=AF$613,"",COUNTIF($E$4:$E$609,$A676&amp;" ضد "&amp;AF$613)+COUNTIF($E$4:$E$609,AF$613&amp;" ضد "&amp;$A676))</f>
        <v>0</v>
      </c>
      <c r="AG676" s="4">
        <f>IF($A676=AG$613,"",COUNTIF($E$4:$E$609,$A676&amp;" ضد "&amp;AG$613)+COUNTIF($E$4:$E$609,AG$613&amp;" ضد "&amp;$A676))</f>
        <v>0</v>
      </c>
      <c r="AH676" s="4">
        <f>IF($A676=AH$613,"",COUNTIF($E$4:$E$609,$A676&amp;" ضد "&amp;AH$613)+COUNTIF($E$4:$E$609,AH$613&amp;" ضد "&amp;$A676))</f>
        <v>0</v>
      </c>
      <c r="AI676" s="4">
        <f>IF($A676=AI$613,"",COUNTIF($E$4:$E$609,$A676&amp;" ضد "&amp;AI$613)+COUNTIF($E$4:$E$609,AI$613&amp;" ضد "&amp;$A676))</f>
        <v>0</v>
      </c>
      <c r="AJ676" s="4">
        <f>IF($A676=AJ$613,"",COUNTIF($E$4:$E$609,$A676&amp;" ضد "&amp;AJ$613)+COUNTIF($E$4:$E$609,AJ$613&amp;" ضد "&amp;$A676))</f>
        <v>0</v>
      </c>
      <c r="AK676" s="4">
        <f>IF($A676=AK$613,"",COUNTIF($E$4:$E$609,$A676&amp;" ضد "&amp;AK$613)+COUNTIF($E$4:$E$609,AK$613&amp;" ضد "&amp;$A676))</f>
        <v>0</v>
      </c>
      <c r="AL676" s="4">
        <f>IF($A676=AL$613,"",COUNTIF($E$4:$E$609,$A676&amp;" ضد "&amp;AL$613)+COUNTIF($E$4:$E$609,AL$613&amp;" ضد "&amp;$A676))</f>
        <v>0</v>
      </c>
      <c r="AM676" s="4">
        <f>IF($A676=AM$613,"",COUNTIF($E$4:$E$609,$A676&amp;" ضد "&amp;AM$613)+COUNTIF($E$4:$E$609,AM$613&amp;" ضد "&amp;$A676))</f>
        <v>0</v>
      </c>
      <c r="AN676" s="4">
        <f>IF($A676=AN$613,"",COUNTIF($E$4:$E$609,$A676&amp;" ضد "&amp;AN$613)+COUNTIF($E$4:$E$609,AN$613&amp;" ضد "&amp;$A676))</f>
        <v>0</v>
      </c>
      <c r="AO676" s="4">
        <f>IF($A676=AO$613,"",COUNTIF($E$4:$E$609,$A676&amp;" ضد "&amp;AO$613)+COUNTIF($E$4:$E$609,AO$613&amp;" ضد "&amp;$A676))</f>
        <v>0</v>
      </c>
      <c r="AP676" s="4">
        <f>IF($A676=AP$613,"",COUNTIF($E$4:$E$609,$A676&amp;" ضد "&amp;AP$613)+COUNTIF($E$4:$E$609,AP$613&amp;" ضد "&amp;$A676))</f>
        <v>0</v>
      </c>
      <c r="AQ676" s="4">
        <f>IF($A676=AQ$613,"",COUNTIF($E$4:$E$609,$A676&amp;" ضد "&amp;AQ$613)+COUNTIF($E$4:$E$609,AQ$613&amp;" ضد "&amp;$A676))</f>
        <v>0</v>
      </c>
      <c r="AR676" s="4">
        <f>IF($A676=AR$613,"",COUNTIF($E$4:$E$609,$A676&amp;" ضد "&amp;AR$613)+COUNTIF($E$4:$E$609,AR$613&amp;" ضد "&amp;$A676))</f>
        <v>0</v>
      </c>
      <c r="AS676" s="4">
        <f>IF($A676=AS$613,"",COUNTIF($E$4:$E$609,$A676&amp;" ضد "&amp;AS$613)+COUNTIF($E$4:$E$609,AS$613&amp;" ضد "&amp;$A676))</f>
        <v>0</v>
      </c>
      <c r="AT676" s="4">
        <f>IF($A676=AT$613,"",COUNTIF($E$4:$E$609,$A676&amp;" ضد "&amp;AT$613)+COUNTIF($E$4:$E$609,AT$613&amp;" ضد "&amp;$A676))</f>
        <v>0</v>
      </c>
      <c r="AU676" s="4">
        <f>IF($A676=AU$613,"",COUNTIF($E$4:$E$609,$A676&amp;" ضد "&amp;AU$613)+COUNTIF($E$4:$E$609,AU$613&amp;" ضد "&amp;$A676))</f>
        <v>0</v>
      </c>
      <c r="AV676" s="4">
        <f>IF($A676=AV$613,"",COUNTIF($E$4:$E$609,$A676&amp;" ضد "&amp;AV$613)+COUNTIF($E$4:$E$609,AV$613&amp;" ضد "&amp;$A676))</f>
        <v>0</v>
      </c>
      <c r="AW676" s="4">
        <f>IF($A676=AW$613,"",COUNTIF($E$4:$E$609,$A676&amp;" ضد "&amp;AW$613)+COUNTIF($E$4:$E$609,AW$613&amp;" ضد "&amp;$A676))</f>
        <v>0</v>
      </c>
      <c r="AX676" s="4">
        <f>IF($A676=AX$613,"",COUNTIF($E$4:$E$609,$A676&amp;" ضد "&amp;AX$613)+COUNTIF($E$4:$E$609,AX$613&amp;" ضد "&amp;$A676))</f>
        <v>0</v>
      </c>
      <c r="AY676" s="4">
        <f>IF($A676=AY$613,"",COUNTIF($E$4:$E$609,$A676&amp;" ضد "&amp;AY$613)+COUNTIF($E$4:$E$609,AY$613&amp;" ضد "&amp;$A676))</f>
        <v>0</v>
      </c>
      <c r="AZ676" s="4">
        <f>IF($A676=AZ$613,"",COUNTIF($E$4:$E$609,$A676&amp;" ضد "&amp;AZ$613)+COUNTIF($E$4:$E$609,AZ$613&amp;" ضد "&amp;$A676))</f>
        <v>0</v>
      </c>
      <c r="BA676" s="4">
        <f>IF($A676=BA$613,"",COUNTIF($E$4:$E$609,$A676&amp;" ضد "&amp;BA$613)+COUNTIF($E$4:$E$609,BA$613&amp;" ضد "&amp;$A676))</f>
        <v>1</v>
      </c>
      <c r="BB676" s="4">
        <f>IF($A676=BB$613,"",COUNTIF($E$4:$E$609,$A676&amp;" ضد "&amp;BB$613)+COUNTIF($E$4:$E$609,BB$613&amp;" ضد "&amp;$A676))</f>
        <v>1</v>
      </c>
      <c r="BC676" s="4">
        <f>IF($A676=BC$613,"",COUNTIF($E$4:$E$609,$A676&amp;" ضد "&amp;BC$613)+COUNTIF($E$4:$E$609,BC$613&amp;" ضد "&amp;$A676))</f>
        <v>2</v>
      </c>
      <c r="BD676" s="4">
        <f>IF($A676=BD$613,"",COUNTIF($E$4:$E$609,$A676&amp;" ضد "&amp;BD$613)+COUNTIF($E$4:$E$609,BD$613&amp;" ضد "&amp;$A676))</f>
        <v>1</v>
      </c>
      <c r="BE676" s="4">
        <f>IF($A676=BE$613,"",COUNTIF($E$4:$E$609,$A676&amp;" ضد "&amp;BE$613)+COUNTIF($E$4:$E$609,BE$613&amp;" ضد "&amp;$A676))</f>
        <v>2</v>
      </c>
      <c r="BF676" s="4">
        <f>IF($A676=BF$613,"",COUNTIF($E$4:$E$609,$A676&amp;" ضد "&amp;BF$613)+COUNTIF($E$4:$E$609,BF$613&amp;" ضد "&amp;$A676))</f>
        <v>1</v>
      </c>
      <c r="BG676" s="4">
        <f>IF($A676=BG$613,"",COUNTIF($E$4:$E$609,$A676&amp;" ضد "&amp;BG$613)+COUNTIF($E$4:$E$609,BG$613&amp;" ضد "&amp;$A676))</f>
        <v>1</v>
      </c>
      <c r="BH676" s="4">
        <f>IF($A676=BH$613,"",COUNTIF($E$4:$E$609,$A676&amp;" ضد "&amp;BH$613)+COUNTIF($E$4:$E$609,BH$613&amp;" ضد "&amp;$A676))</f>
        <v>1</v>
      </c>
      <c r="BI676" s="4">
        <f>IF($A676=BI$613,"",COUNTIF($E$4:$E$609,$A676&amp;" ضد "&amp;BI$613)+COUNTIF($E$4:$E$609,BI$613&amp;" ضد "&amp;$A676))</f>
        <v>1</v>
      </c>
      <c r="BJ676" s="4">
        <f>IF($A676=BJ$613,"",COUNTIF($E$4:$E$609,$A676&amp;" ضد "&amp;BJ$613)+COUNTIF($E$4:$E$609,BJ$613&amp;" ضد "&amp;$A676))</f>
        <v>1</v>
      </c>
      <c r="BK676" s="4">
        <f>IF($A676=BK$613,"",COUNTIF($E$4:$E$609,$A676&amp;" ضد "&amp;BK$613)+COUNTIF($E$4:$E$609,BK$613&amp;" ضد "&amp;$A676))</f>
        <v>1</v>
      </c>
      <c r="BL676" s="4" t="str">
        <f>IF($A676=BL$613,"",COUNTIF($E$4:$E$609,$A676&amp;" ضد "&amp;BL$613)+COUNTIF($E$4:$E$609,BL$613&amp;" ضد "&amp;$A676))</f>
        <v/>
      </c>
      <c r="BM676" s="4">
        <f>IF($A676=BM$613,"",COUNTIF($E$4:$E$609,$A676&amp;" ضد "&amp;BM$613)+COUNTIF($E$4:$E$609,BM$613&amp;" ضد "&amp;$A676))</f>
        <v>1</v>
      </c>
      <c r="BN676" s="4">
        <f>IF($A676=BN$613,"",COUNTIF($E$4:$E$609,$A676&amp;" ضد "&amp;BN$613)+COUNTIF($E$4:$E$609,BN$613&amp;" ضد "&amp;$A676))</f>
        <v>1</v>
      </c>
      <c r="BO676" s="4">
        <f>IF($A676=BO$613,"",COUNTIF($E$4:$E$609,$A676&amp;" ضد "&amp;BO$613)+COUNTIF($E$4:$E$609,BO$613&amp;" ضد "&amp;$A676))</f>
        <v>1</v>
      </c>
      <c r="BP676" s="4">
        <f>IF($A676=BP$613,"",COUNTIF($E$4:$E$609,$A676&amp;" ضد "&amp;BP$613)+COUNTIF($E$4:$E$609,BP$613&amp;" ضد "&amp;$A676))</f>
        <v>2</v>
      </c>
    </row>
    <row r="677" spans="1:68" ht="14.5">
      <c r="A677" s="14">
        <v>64</v>
      </c>
      <c r="B677" s="4">
        <f>IF($A677=B$613,"",COUNTIF($E$4:$E$609,$A677&amp;" ضد "&amp;B$613)+COUNTIF($E$4:$E$609,B$613&amp;" ضد "&amp;$A677))</f>
        <v>0</v>
      </c>
      <c r="C677" s="4">
        <f>IF($A677=C$613,"",COUNTIF($E$4:$E$609,$A677&amp;" ضد "&amp;C$613)+COUNTIF($E$4:$E$609,C$613&amp;" ضد "&amp;$A677))</f>
        <v>0</v>
      </c>
      <c r="D677" s="4">
        <f>IF($A677=D$613,"",COUNTIF($E$4:$E$609,$A677&amp;" ضد "&amp;D$613)+COUNTIF($E$4:$E$609,D$613&amp;" ضد "&amp;$A677))</f>
        <v>0</v>
      </c>
      <c r="E677" s="4">
        <f>IF($A677=E$613,"",COUNTIF($E$4:$E$609,$A677&amp;" ضد "&amp;E$613)+COUNTIF($E$4:$E$609,E$613&amp;" ضد "&amp;$A677))</f>
        <v>0</v>
      </c>
      <c r="F677" s="4">
        <f>IF($A677=F$613,"",COUNTIF($E$4:$E$609,$A677&amp;" ضد "&amp;F$613)+COUNTIF($E$4:$E$609,F$613&amp;" ضد "&amp;$A677))</f>
        <v>0</v>
      </c>
      <c r="G677" s="4">
        <f>IF($A677=G$613,"",COUNTIF($E$4:$E$609,$A677&amp;" ضد "&amp;G$613)+COUNTIF($E$4:$E$609,G$613&amp;" ضد "&amp;$A677))</f>
        <v>0</v>
      </c>
      <c r="H677" s="4">
        <f>IF($A677=H$613,"",COUNTIF($E$4:$E$609,$A677&amp;" ضد "&amp;H$613)+COUNTIF($E$4:$E$609,H$613&amp;" ضد "&amp;$A677))</f>
        <v>0</v>
      </c>
      <c r="I677" s="4">
        <f>IF($A677=I$613,"",COUNTIF($E$4:$E$609,$A677&amp;" ضد "&amp;I$613)+COUNTIF($E$4:$E$609,I$613&amp;" ضد "&amp;$A677))</f>
        <v>0</v>
      </c>
      <c r="J677" s="4">
        <f>IF($A677=J$613,"",COUNTIF($E$4:$E$609,$A677&amp;" ضد "&amp;J$613)+COUNTIF($E$4:$E$609,J$613&amp;" ضد "&amp;$A677))</f>
        <v>0</v>
      </c>
      <c r="K677" s="4">
        <f>IF($A677=K$613,"",COUNTIF($E$4:$E$609,$A677&amp;" ضد "&amp;K$613)+COUNTIF($E$4:$E$609,K$613&amp;" ضد "&amp;$A677))</f>
        <v>0</v>
      </c>
      <c r="L677" s="4">
        <f>IF($A677=L$613,"",COUNTIF($E$4:$E$609,$A677&amp;" ضد "&amp;L$613)+COUNTIF($E$4:$E$609,L$613&amp;" ضد "&amp;$A677))</f>
        <v>0</v>
      </c>
      <c r="M677" s="4">
        <f>IF($A677=M$613,"",COUNTIF($E$4:$E$609,$A677&amp;" ضد "&amp;M$613)+COUNTIF($E$4:$E$609,M$613&amp;" ضد "&amp;$A677))</f>
        <v>0</v>
      </c>
      <c r="N677" s="4">
        <f>IF($A677=N$613,"",COUNTIF($E$4:$E$609,$A677&amp;" ضد "&amp;N$613)+COUNTIF($E$4:$E$609,N$613&amp;" ضد "&amp;$A677))</f>
        <v>0</v>
      </c>
      <c r="O677" s="4">
        <f>IF($A677=O$613,"",COUNTIF($E$4:$E$609,$A677&amp;" ضد "&amp;O$613)+COUNTIF($E$4:$E$609,O$613&amp;" ضد "&amp;$A677))</f>
        <v>0</v>
      </c>
      <c r="P677" s="4">
        <f>IF($A677=P$613,"",COUNTIF($E$4:$E$609,$A677&amp;" ضد "&amp;P$613)+COUNTIF($E$4:$E$609,P$613&amp;" ضد "&amp;$A677))</f>
        <v>0</v>
      </c>
      <c r="Q677" s="4">
        <f>IF($A677=Q$613,"",COUNTIF($E$4:$E$609,$A677&amp;" ضد "&amp;Q$613)+COUNTIF($E$4:$E$609,Q$613&amp;" ضد "&amp;$A677))</f>
        <v>0</v>
      </c>
      <c r="R677" s="4">
        <f>IF($A677=R$613,"",COUNTIF($E$4:$E$609,$A677&amp;" ضد "&amp;R$613)+COUNTIF($E$4:$E$609,R$613&amp;" ضد "&amp;$A677))</f>
        <v>0</v>
      </c>
      <c r="S677" s="4">
        <f>IF($A677=S$613,"",COUNTIF($E$4:$E$609,$A677&amp;" ضد "&amp;S$613)+COUNTIF($E$4:$E$609,S$613&amp;" ضد "&amp;$A677))</f>
        <v>0</v>
      </c>
      <c r="T677" s="4">
        <f>IF($A677=T$613,"",COUNTIF($E$4:$E$609,$A677&amp;" ضد "&amp;T$613)+COUNTIF($E$4:$E$609,T$613&amp;" ضد "&amp;$A677))</f>
        <v>0</v>
      </c>
      <c r="U677" s="4">
        <f>IF($A677=U$613,"",COUNTIF($E$4:$E$609,$A677&amp;" ضد "&amp;U$613)+COUNTIF($E$4:$E$609,U$613&amp;" ضد "&amp;$A677))</f>
        <v>0</v>
      </c>
      <c r="V677" s="4">
        <f>IF($A677=V$613,"",COUNTIF($E$4:$E$609,$A677&amp;" ضد "&amp;V$613)+COUNTIF($E$4:$E$609,V$613&amp;" ضد "&amp;$A677))</f>
        <v>0</v>
      </c>
      <c r="W677" s="4">
        <f>IF($A677=W$613,"",COUNTIF($E$4:$E$609,$A677&amp;" ضد "&amp;W$613)+COUNTIF($E$4:$E$609,W$613&amp;" ضد "&amp;$A677))</f>
        <v>0</v>
      </c>
      <c r="X677" s="4">
        <f>IF($A677=X$613,"",COUNTIF($E$4:$E$609,$A677&amp;" ضد "&amp;X$613)+COUNTIF($E$4:$E$609,X$613&amp;" ضد "&amp;$A677))</f>
        <v>0</v>
      </c>
      <c r="Y677" s="4">
        <f>IF($A677=Y$613,"",COUNTIF($E$4:$E$609,$A677&amp;" ضد "&amp;Y$613)+COUNTIF($E$4:$E$609,Y$613&amp;" ضد "&amp;$A677))</f>
        <v>0</v>
      </c>
      <c r="Z677" s="4">
        <f>IF($A677=Z$613,"",COUNTIF($E$4:$E$609,$A677&amp;" ضد "&amp;Z$613)+COUNTIF($E$4:$E$609,Z$613&amp;" ضد "&amp;$A677))</f>
        <v>0</v>
      </c>
      <c r="AA677" s="4">
        <f>IF($A677=AA$613,"",COUNTIF($E$4:$E$609,$A677&amp;" ضد "&amp;AA$613)+COUNTIF($E$4:$E$609,AA$613&amp;" ضد "&amp;$A677))</f>
        <v>0</v>
      </c>
      <c r="AB677" s="4">
        <f>IF($A677=AB$613,"",COUNTIF($E$4:$E$609,$A677&amp;" ضد "&amp;AB$613)+COUNTIF($E$4:$E$609,AB$613&amp;" ضد "&amp;$A677))</f>
        <v>0</v>
      </c>
      <c r="AC677" s="4">
        <f>IF($A677=AC$613,"",COUNTIF($E$4:$E$609,$A677&amp;" ضد "&amp;AC$613)+COUNTIF($E$4:$E$609,AC$613&amp;" ضد "&amp;$A677))</f>
        <v>0</v>
      </c>
      <c r="AD677" s="4">
        <f>IF($A677=AD$613,"",COUNTIF($E$4:$E$609,$A677&amp;" ضد "&amp;AD$613)+COUNTIF($E$4:$E$609,AD$613&amp;" ضد "&amp;$A677))</f>
        <v>0</v>
      </c>
      <c r="AE677" s="4">
        <f>IF($A677=AE$613,"",COUNTIF($E$4:$E$609,$A677&amp;" ضد "&amp;AE$613)+COUNTIF($E$4:$E$609,AE$613&amp;" ضد "&amp;$A677))</f>
        <v>0</v>
      </c>
      <c r="AF677" s="4">
        <f>IF($A677=AF$613,"",COUNTIF($E$4:$E$609,$A677&amp;" ضد "&amp;AF$613)+COUNTIF($E$4:$E$609,AF$613&amp;" ضد "&amp;$A677))</f>
        <v>0</v>
      </c>
      <c r="AG677" s="4">
        <f>IF($A677=AG$613,"",COUNTIF($E$4:$E$609,$A677&amp;" ضد "&amp;AG$613)+COUNTIF($E$4:$E$609,AG$613&amp;" ضد "&amp;$A677))</f>
        <v>0</v>
      </c>
      <c r="AH677" s="4">
        <f>IF($A677=AH$613,"",COUNTIF($E$4:$E$609,$A677&amp;" ضد "&amp;AH$613)+COUNTIF($E$4:$E$609,AH$613&amp;" ضد "&amp;$A677))</f>
        <v>0</v>
      </c>
      <c r="AI677" s="4">
        <f>IF($A677=AI$613,"",COUNTIF($E$4:$E$609,$A677&amp;" ضد "&amp;AI$613)+COUNTIF($E$4:$E$609,AI$613&amp;" ضد "&amp;$A677))</f>
        <v>0</v>
      </c>
      <c r="AJ677" s="4">
        <f>IF($A677=AJ$613,"",COUNTIF($E$4:$E$609,$A677&amp;" ضد "&amp;AJ$613)+COUNTIF($E$4:$E$609,AJ$613&amp;" ضد "&amp;$A677))</f>
        <v>0</v>
      </c>
      <c r="AK677" s="4">
        <f>IF($A677=AK$613,"",COUNTIF($E$4:$E$609,$A677&amp;" ضد "&amp;AK$613)+COUNTIF($E$4:$E$609,AK$613&amp;" ضد "&amp;$A677))</f>
        <v>0</v>
      </c>
      <c r="AL677" s="4">
        <f>IF($A677=AL$613,"",COUNTIF($E$4:$E$609,$A677&amp;" ضد "&amp;AL$613)+COUNTIF($E$4:$E$609,AL$613&amp;" ضد "&amp;$A677))</f>
        <v>0</v>
      </c>
      <c r="AM677" s="4">
        <f>IF($A677=AM$613,"",COUNTIF($E$4:$E$609,$A677&amp;" ضد "&amp;AM$613)+COUNTIF($E$4:$E$609,AM$613&amp;" ضد "&amp;$A677))</f>
        <v>0</v>
      </c>
      <c r="AN677" s="4">
        <f>IF($A677=AN$613,"",COUNTIF($E$4:$E$609,$A677&amp;" ضد "&amp;AN$613)+COUNTIF($E$4:$E$609,AN$613&amp;" ضد "&amp;$A677))</f>
        <v>0</v>
      </c>
      <c r="AO677" s="4">
        <f>IF($A677=AO$613,"",COUNTIF($E$4:$E$609,$A677&amp;" ضد "&amp;AO$613)+COUNTIF($E$4:$E$609,AO$613&amp;" ضد "&amp;$A677))</f>
        <v>0</v>
      </c>
      <c r="AP677" s="4">
        <f>IF($A677=AP$613,"",COUNTIF($E$4:$E$609,$A677&amp;" ضد "&amp;AP$613)+COUNTIF($E$4:$E$609,AP$613&amp;" ضد "&amp;$A677))</f>
        <v>0</v>
      </c>
      <c r="AQ677" s="4">
        <f>IF($A677=AQ$613,"",COUNTIF($E$4:$E$609,$A677&amp;" ضد "&amp;AQ$613)+COUNTIF($E$4:$E$609,AQ$613&amp;" ضد "&amp;$A677))</f>
        <v>0</v>
      </c>
      <c r="AR677" s="4">
        <f>IF($A677=AR$613,"",COUNTIF($E$4:$E$609,$A677&amp;" ضد "&amp;AR$613)+COUNTIF($E$4:$E$609,AR$613&amp;" ضد "&amp;$A677))</f>
        <v>0</v>
      </c>
      <c r="AS677" s="4">
        <f>IF($A677=AS$613,"",COUNTIF($E$4:$E$609,$A677&amp;" ضد "&amp;AS$613)+COUNTIF($E$4:$E$609,AS$613&amp;" ضد "&amp;$A677))</f>
        <v>0</v>
      </c>
      <c r="AT677" s="4">
        <f>IF($A677=AT$613,"",COUNTIF($E$4:$E$609,$A677&amp;" ضد "&amp;AT$613)+COUNTIF($E$4:$E$609,AT$613&amp;" ضد "&amp;$A677))</f>
        <v>0</v>
      </c>
      <c r="AU677" s="4">
        <f>IF($A677=AU$613,"",COUNTIF($E$4:$E$609,$A677&amp;" ضد "&amp;AU$613)+COUNTIF($E$4:$E$609,AU$613&amp;" ضد "&amp;$A677))</f>
        <v>0</v>
      </c>
      <c r="AV677" s="4">
        <f>IF($A677=AV$613,"",COUNTIF($E$4:$E$609,$A677&amp;" ضد "&amp;AV$613)+COUNTIF($E$4:$E$609,AV$613&amp;" ضد "&amp;$A677))</f>
        <v>0</v>
      </c>
      <c r="AW677" s="4">
        <f>IF($A677=AW$613,"",COUNTIF($E$4:$E$609,$A677&amp;" ضد "&amp;AW$613)+COUNTIF($E$4:$E$609,AW$613&amp;" ضد "&amp;$A677))</f>
        <v>0</v>
      </c>
      <c r="AX677" s="4">
        <f>IF($A677=AX$613,"",COUNTIF($E$4:$E$609,$A677&amp;" ضد "&amp;AX$613)+COUNTIF($E$4:$E$609,AX$613&amp;" ضد "&amp;$A677))</f>
        <v>0</v>
      </c>
      <c r="AY677" s="4">
        <f>IF($A677=AY$613,"",COUNTIF($E$4:$E$609,$A677&amp;" ضد "&amp;AY$613)+COUNTIF($E$4:$E$609,AY$613&amp;" ضد "&amp;$A677))</f>
        <v>0</v>
      </c>
      <c r="AZ677" s="4">
        <f>IF($A677=AZ$613,"",COUNTIF($E$4:$E$609,$A677&amp;" ضد "&amp;AZ$613)+COUNTIF($E$4:$E$609,AZ$613&amp;" ضد "&amp;$A677))</f>
        <v>0</v>
      </c>
      <c r="BA677" s="4">
        <f>IF($A677=BA$613,"",COUNTIF($E$4:$E$609,$A677&amp;" ضد "&amp;BA$613)+COUNTIF($E$4:$E$609,BA$613&amp;" ضد "&amp;$A677))</f>
        <v>1</v>
      </c>
      <c r="BB677" s="4">
        <f>IF($A677=BB$613,"",COUNTIF($E$4:$E$609,$A677&amp;" ضد "&amp;BB$613)+COUNTIF($E$4:$E$609,BB$613&amp;" ضد "&amp;$A677))</f>
        <v>2</v>
      </c>
      <c r="BC677" s="4">
        <f>IF($A677=BC$613,"",COUNTIF($E$4:$E$609,$A677&amp;" ضد "&amp;BC$613)+COUNTIF($E$4:$E$609,BC$613&amp;" ضد "&amp;$A677))</f>
        <v>1</v>
      </c>
      <c r="BD677" s="4">
        <f>IF($A677=BD$613,"",COUNTIF($E$4:$E$609,$A677&amp;" ضد "&amp;BD$613)+COUNTIF($E$4:$E$609,BD$613&amp;" ضد "&amp;$A677))</f>
        <v>2</v>
      </c>
      <c r="BE677" s="4">
        <f>IF($A677=BE$613,"",COUNTIF($E$4:$E$609,$A677&amp;" ضد "&amp;BE$613)+COUNTIF($E$4:$E$609,BE$613&amp;" ضد "&amp;$A677))</f>
        <v>1</v>
      </c>
      <c r="BF677" s="4">
        <f>IF($A677=BF$613,"",COUNTIF($E$4:$E$609,$A677&amp;" ضد "&amp;BF$613)+COUNTIF($E$4:$E$609,BF$613&amp;" ضد "&amp;$A677))</f>
        <v>1</v>
      </c>
      <c r="BG677" s="4">
        <f>IF($A677=BG$613,"",COUNTIF($E$4:$E$609,$A677&amp;" ضد "&amp;BG$613)+COUNTIF($E$4:$E$609,BG$613&amp;" ضد "&amp;$A677))</f>
        <v>1</v>
      </c>
      <c r="BH677" s="4">
        <f>IF($A677=BH$613,"",COUNTIF($E$4:$E$609,$A677&amp;" ضد "&amp;BH$613)+COUNTIF($E$4:$E$609,BH$613&amp;" ضد "&amp;$A677))</f>
        <v>1</v>
      </c>
      <c r="BI677" s="4">
        <f>IF($A677=BI$613,"",COUNTIF($E$4:$E$609,$A677&amp;" ضد "&amp;BI$613)+COUNTIF($E$4:$E$609,BI$613&amp;" ضد "&amp;$A677))</f>
        <v>1</v>
      </c>
      <c r="BJ677" s="4">
        <f>IF($A677=BJ$613,"",COUNTIF($E$4:$E$609,$A677&amp;" ضد "&amp;BJ$613)+COUNTIF($E$4:$E$609,BJ$613&amp;" ضد "&amp;$A677))</f>
        <v>1</v>
      </c>
      <c r="BK677" s="4">
        <f>IF($A677=BK$613,"",COUNTIF($E$4:$E$609,$A677&amp;" ضد "&amp;BK$613)+COUNTIF($E$4:$E$609,BK$613&amp;" ضد "&amp;$A677))</f>
        <v>1</v>
      </c>
      <c r="BL677" s="4">
        <f>IF($A677=BL$613,"",COUNTIF($E$4:$E$609,$A677&amp;" ضد "&amp;BL$613)+COUNTIF($E$4:$E$609,BL$613&amp;" ضد "&amp;$A677))</f>
        <v>1</v>
      </c>
      <c r="BM677" s="4" t="str">
        <f>IF($A677=BM$613,"",COUNTIF($E$4:$E$609,$A677&amp;" ضد "&amp;BM$613)+COUNTIF($E$4:$E$609,BM$613&amp;" ضد "&amp;$A677))</f>
        <v/>
      </c>
      <c r="BN677" s="4">
        <f>IF($A677=BN$613,"",COUNTIF($E$4:$E$609,$A677&amp;" ضد "&amp;BN$613)+COUNTIF($E$4:$E$609,BN$613&amp;" ضد "&amp;$A677))</f>
        <v>1</v>
      </c>
      <c r="BO677" s="4">
        <f>IF($A677=BO$613,"",COUNTIF($E$4:$E$609,$A677&amp;" ضد "&amp;BO$613)+COUNTIF($E$4:$E$609,BO$613&amp;" ضد "&amp;$A677))</f>
        <v>2</v>
      </c>
      <c r="BP677" s="4">
        <f>IF($A677=BP$613,"",COUNTIF($E$4:$E$609,$A677&amp;" ضد "&amp;BP$613)+COUNTIF($E$4:$E$609,BP$613&amp;" ضد "&amp;$A677))</f>
        <v>1</v>
      </c>
    </row>
    <row r="678" spans="1:68" ht="14.5">
      <c r="A678" s="14">
        <v>65</v>
      </c>
      <c r="B678" s="4">
        <f>IF($A678=B$613,"",COUNTIF($E$4:$E$609,$A678&amp;" ضد "&amp;B$613)+COUNTIF($E$4:$E$609,B$613&amp;" ضد "&amp;$A678))</f>
        <v>0</v>
      </c>
      <c r="C678" s="4">
        <f>IF($A678=C$613,"",COUNTIF($E$4:$E$609,$A678&amp;" ضد "&amp;C$613)+COUNTIF($E$4:$E$609,C$613&amp;" ضد "&amp;$A678))</f>
        <v>0</v>
      </c>
      <c r="D678" s="4">
        <f>IF($A678=D$613,"",COUNTIF($E$4:$E$609,$A678&amp;" ضد "&amp;D$613)+COUNTIF($E$4:$E$609,D$613&amp;" ضد "&amp;$A678))</f>
        <v>0</v>
      </c>
      <c r="E678" s="4">
        <f>IF($A678=E$613,"",COUNTIF($E$4:$E$609,$A678&amp;" ضد "&amp;E$613)+COUNTIF($E$4:$E$609,E$613&amp;" ضد "&amp;$A678))</f>
        <v>0</v>
      </c>
      <c r="F678" s="4">
        <f>IF($A678=F$613,"",COUNTIF($E$4:$E$609,$A678&amp;" ضد "&amp;F$613)+COUNTIF($E$4:$E$609,F$613&amp;" ضد "&amp;$A678))</f>
        <v>0</v>
      </c>
      <c r="G678" s="4">
        <f>IF($A678=G$613,"",COUNTIF($E$4:$E$609,$A678&amp;" ضد "&amp;G$613)+COUNTIF($E$4:$E$609,G$613&amp;" ضد "&amp;$A678))</f>
        <v>0</v>
      </c>
      <c r="H678" s="4">
        <f>IF($A678=H$613,"",COUNTIF($E$4:$E$609,$A678&amp;" ضد "&amp;H$613)+COUNTIF($E$4:$E$609,H$613&amp;" ضد "&amp;$A678))</f>
        <v>0</v>
      </c>
      <c r="I678" s="4">
        <f>IF($A678=I$613,"",COUNTIF($E$4:$E$609,$A678&amp;" ضد "&amp;I$613)+COUNTIF($E$4:$E$609,I$613&amp;" ضد "&amp;$A678))</f>
        <v>0</v>
      </c>
      <c r="J678" s="4">
        <f>IF($A678=J$613,"",COUNTIF($E$4:$E$609,$A678&amp;" ضد "&amp;J$613)+COUNTIF($E$4:$E$609,J$613&amp;" ضد "&amp;$A678))</f>
        <v>0</v>
      </c>
      <c r="K678" s="4">
        <f>IF($A678=K$613,"",COUNTIF($E$4:$E$609,$A678&amp;" ضد "&amp;K$613)+COUNTIF($E$4:$E$609,K$613&amp;" ضد "&amp;$A678))</f>
        <v>0</v>
      </c>
      <c r="L678" s="4">
        <f>IF($A678=L$613,"",COUNTIF($E$4:$E$609,$A678&amp;" ضد "&amp;L$613)+COUNTIF($E$4:$E$609,L$613&amp;" ضد "&amp;$A678))</f>
        <v>0</v>
      </c>
      <c r="M678" s="4">
        <f>IF($A678=M$613,"",COUNTIF($E$4:$E$609,$A678&amp;" ضد "&amp;M$613)+COUNTIF($E$4:$E$609,M$613&amp;" ضد "&amp;$A678))</f>
        <v>0</v>
      </c>
      <c r="N678" s="4">
        <f>IF($A678=N$613,"",COUNTIF($E$4:$E$609,$A678&amp;" ضد "&amp;N$613)+COUNTIF($E$4:$E$609,N$613&amp;" ضد "&amp;$A678))</f>
        <v>0</v>
      </c>
      <c r="O678" s="4">
        <f>IF($A678=O$613,"",COUNTIF($E$4:$E$609,$A678&amp;" ضد "&amp;O$613)+COUNTIF($E$4:$E$609,O$613&amp;" ضد "&amp;$A678))</f>
        <v>0</v>
      </c>
      <c r="P678" s="4">
        <f>IF($A678=P$613,"",COUNTIF($E$4:$E$609,$A678&amp;" ضد "&amp;P$613)+COUNTIF($E$4:$E$609,P$613&amp;" ضد "&amp;$A678))</f>
        <v>0</v>
      </c>
      <c r="Q678" s="4">
        <f>IF($A678=Q$613,"",COUNTIF($E$4:$E$609,$A678&amp;" ضد "&amp;Q$613)+COUNTIF($E$4:$E$609,Q$613&amp;" ضد "&amp;$A678))</f>
        <v>0</v>
      </c>
      <c r="R678" s="4">
        <f>IF($A678=R$613,"",COUNTIF($E$4:$E$609,$A678&amp;" ضد "&amp;R$613)+COUNTIF($E$4:$E$609,R$613&amp;" ضد "&amp;$A678))</f>
        <v>0</v>
      </c>
      <c r="S678" s="4">
        <f>IF($A678=S$613,"",COUNTIF($E$4:$E$609,$A678&amp;" ضد "&amp;S$613)+COUNTIF($E$4:$E$609,S$613&amp;" ضد "&amp;$A678))</f>
        <v>0</v>
      </c>
      <c r="T678" s="4">
        <f>IF($A678=T$613,"",COUNTIF($E$4:$E$609,$A678&amp;" ضد "&amp;T$613)+COUNTIF($E$4:$E$609,T$613&amp;" ضد "&amp;$A678))</f>
        <v>0</v>
      </c>
      <c r="U678" s="4">
        <f>IF($A678=U$613,"",COUNTIF($E$4:$E$609,$A678&amp;" ضد "&amp;U$613)+COUNTIF($E$4:$E$609,U$613&amp;" ضد "&amp;$A678))</f>
        <v>0</v>
      </c>
      <c r="V678" s="4">
        <f>IF($A678=V$613,"",COUNTIF($E$4:$E$609,$A678&amp;" ضد "&amp;V$613)+COUNTIF($E$4:$E$609,V$613&amp;" ضد "&amp;$A678))</f>
        <v>0</v>
      </c>
      <c r="W678" s="4">
        <f>IF($A678=W$613,"",COUNTIF($E$4:$E$609,$A678&amp;" ضد "&amp;W$613)+COUNTIF($E$4:$E$609,W$613&amp;" ضد "&amp;$A678))</f>
        <v>0</v>
      </c>
      <c r="X678" s="4">
        <f>IF($A678=X$613,"",COUNTIF($E$4:$E$609,$A678&amp;" ضد "&amp;X$613)+COUNTIF($E$4:$E$609,X$613&amp;" ضد "&amp;$A678))</f>
        <v>0</v>
      </c>
      <c r="Y678" s="4">
        <f>IF($A678=Y$613,"",COUNTIF($E$4:$E$609,$A678&amp;" ضد "&amp;Y$613)+COUNTIF($E$4:$E$609,Y$613&amp;" ضد "&amp;$A678))</f>
        <v>0</v>
      </c>
      <c r="Z678" s="4">
        <f>IF($A678=Z$613,"",COUNTIF($E$4:$E$609,$A678&amp;" ضد "&amp;Z$613)+COUNTIF($E$4:$E$609,Z$613&amp;" ضد "&amp;$A678))</f>
        <v>0</v>
      </c>
      <c r="AA678" s="4">
        <f>IF($A678=AA$613,"",COUNTIF($E$4:$E$609,$A678&amp;" ضد "&amp;AA$613)+COUNTIF($E$4:$E$609,AA$613&amp;" ضد "&amp;$A678))</f>
        <v>0</v>
      </c>
      <c r="AB678" s="4">
        <f>IF($A678=AB$613,"",COUNTIF($E$4:$E$609,$A678&amp;" ضد "&amp;AB$613)+COUNTIF($E$4:$E$609,AB$613&amp;" ضد "&amp;$A678))</f>
        <v>0</v>
      </c>
      <c r="AC678" s="4">
        <f>IF($A678=AC$613,"",COUNTIF($E$4:$E$609,$A678&amp;" ضد "&amp;AC$613)+COUNTIF($E$4:$E$609,AC$613&amp;" ضد "&amp;$A678))</f>
        <v>0</v>
      </c>
      <c r="AD678" s="4">
        <f>IF($A678=AD$613,"",COUNTIF($E$4:$E$609,$A678&amp;" ضد "&amp;AD$613)+COUNTIF($E$4:$E$609,AD$613&amp;" ضد "&amp;$A678))</f>
        <v>0</v>
      </c>
      <c r="AE678" s="4">
        <f>IF($A678=AE$613,"",COUNTIF($E$4:$E$609,$A678&amp;" ضد "&amp;AE$613)+COUNTIF($E$4:$E$609,AE$613&amp;" ضد "&amp;$A678))</f>
        <v>0</v>
      </c>
      <c r="AF678" s="4">
        <f>IF($A678=AF$613,"",COUNTIF($E$4:$E$609,$A678&amp;" ضد "&amp;AF$613)+COUNTIF($E$4:$E$609,AF$613&amp;" ضد "&amp;$A678))</f>
        <v>0</v>
      </c>
      <c r="AG678" s="4">
        <f>IF($A678=AG$613,"",COUNTIF($E$4:$E$609,$A678&amp;" ضد "&amp;AG$613)+COUNTIF($E$4:$E$609,AG$613&amp;" ضد "&amp;$A678))</f>
        <v>0</v>
      </c>
      <c r="AH678" s="4">
        <f>IF($A678=AH$613,"",COUNTIF($E$4:$E$609,$A678&amp;" ضد "&amp;AH$613)+COUNTIF($E$4:$E$609,AH$613&amp;" ضد "&amp;$A678))</f>
        <v>0</v>
      </c>
      <c r="AI678" s="4">
        <f>IF($A678=AI$613,"",COUNTIF($E$4:$E$609,$A678&amp;" ضد "&amp;AI$613)+COUNTIF($E$4:$E$609,AI$613&amp;" ضد "&amp;$A678))</f>
        <v>0</v>
      </c>
      <c r="AJ678" s="4">
        <f>IF($A678=AJ$613,"",COUNTIF($E$4:$E$609,$A678&amp;" ضد "&amp;AJ$613)+COUNTIF($E$4:$E$609,AJ$613&amp;" ضد "&amp;$A678))</f>
        <v>0</v>
      </c>
      <c r="AK678" s="4">
        <f>IF($A678=AK$613,"",COUNTIF($E$4:$E$609,$A678&amp;" ضد "&amp;AK$613)+COUNTIF($E$4:$E$609,AK$613&amp;" ضد "&amp;$A678))</f>
        <v>0</v>
      </c>
      <c r="AL678" s="4">
        <f>IF($A678=AL$613,"",COUNTIF($E$4:$E$609,$A678&amp;" ضد "&amp;AL$613)+COUNTIF($E$4:$E$609,AL$613&amp;" ضد "&amp;$A678))</f>
        <v>0</v>
      </c>
      <c r="AM678" s="4">
        <f>IF($A678=AM$613,"",COUNTIF($E$4:$E$609,$A678&amp;" ضد "&amp;AM$613)+COUNTIF($E$4:$E$609,AM$613&amp;" ضد "&amp;$A678))</f>
        <v>0</v>
      </c>
      <c r="AN678" s="4">
        <f>IF($A678=AN$613,"",COUNTIF($E$4:$E$609,$A678&amp;" ضد "&amp;AN$613)+COUNTIF($E$4:$E$609,AN$613&amp;" ضد "&amp;$A678))</f>
        <v>0</v>
      </c>
      <c r="AO678" s="4">
        <f>IF($A678=AO$613,"",COUNTIF($E$4:$E$609,$A678&amp;" ضد "&amp;AO$613)+COUNTIF($E$4:$E$609,AO$613&amp;" ضد "&amp;$A678))</f>
        <v>0</v>
      </c>
      <c r="AP678" s="4">
        <f>IF($A678=AP$613,"",COUNTIF($E$4:$E$609,$A678&amp;" ضد "&amp;AP$613)+COUNTIF($E$4:$E$609,AP$613&amp;" ضد "&amp;$A678))</f>
        <v>0</v>
      </c>
      <c r="AQ678" s="4">
        <f>IF($A678=AQ$613,"",COUNTIF($E$4:$E$609,$A678&amp;" ضد "&amp;AQ$613)+COUNTIF($E$4:$E$609,AQ$613&amp;" ضد "&amp;$A678))</f>
        <v>0</v>
      </c>
      <c r="AR678" s="4">
        <f>IF($A678=AR$613,"",COUNTIF($E$4:$E$609,$A678&amp;" ضد "&amp;AR$613)+COUNTIF($E$4:$E$609,AR$613&amp;" ضد "&amp;$A678))</f>
        <v>0</v>
      </c>
      <c r="AS678" s="4">
        <f>IF($A678=AS$613,"",COUNTIF($E$4:$E$609,$A678&amp;" ضد "&amp;AS$613)+COUNTIF($E$4:$E$609,AS$613&amp;" ضد "&amp;$A678))</f>
        <v>0</v>
      </c>
      <c r="AT678" s="4">
        <f>IF($A678=AT$613,"",COUNTIF($E$4:$E$609,$A678&amp;" ضد "&amp;AT$613)+COUNTIF($E$4:$E$609,AT$613&amp;" ضد "&amp;$A678))</f>
        <v>0</v>
      </c>
      <c r="AU678" s="4">
        <f>IF($A678=AU$613,"",COUNTIF($E$4:$E$609,$A678&amp;" ضد "&amp;AU$613)+COUNTIF($E$4:$E$609,AU$613&amp;" ضد "&amp;$A678))</f>
        <v>0</v>
      </c>
      <c r="AV678" s="4">
        <f>IF($A678=AV$613,"",COUNTIF($E$4:$E$609,$A678&amp;" ضد "&amp;AV$613)+COUNTIF($E$4:$E$609,AV$613&amp;" ضد "&amp;$A678))</f>
        <v>0</v>
      </c>
      <c r="AW678" s="4">
        <f>IF($A678=AW$613,"",COUNTIF($E$4:$E$609,$A678&amp;" ضد "&amp;AW$613)+COUNTIF($E$4:$E$609,AW$613&amp;" ضد "&amp;$A678))</f>
        <v>0</v>
      </c>
      <c r="AX678" s="4">
        <f>IF($A678=AX$613,"",COUNTIF($E$4:$E$609,$A678&amp;" ضد "&amp;AX$613)+COUNTIF($E$4:$E$609,AX$613&amp;" ضد "&amp;$A678))</f>
        <v>0</v>
      </c>
      <c r="AY678" s="4">
        <f>IF($A678=AY$613,"",COUNTIF($E$4:$E$609,$A678&amp;" ضد "&amp;AY$613)+COUNTIF($E$4:$E$609,AY$613&amp;" ضد "&amp;$A678))</f>
        <v>0</v>
      </c>
      <c r="AZ678" s="4">
        <f>IF($A678=AZ$613,"",COUNTIF($E$4:$E$609,$A678&amp;" ضد "&amp;AZ$613)+COUNTIF($E$4:$E$609,AZ$613&amp;" ضد "&amp;$A678))</f>
        <v>0</v>
      </c>
      <c r="BA678" s="4">
        <f>IF($A678=BA$613,"",COUNTIF($E$4:$E$609,$A678&amp;" ضد "&amp;BA$613)+COUNTIF($E$4:$E$609,BA$613&amp;" ضد "&amp;$A678))</f>
        <v>2</v>
      </c>
      <c r="BB678" s="4">
        <f>IF($A678=BB$613,"",COUNTIF($E$4:$E$609,$A678&amp;" ضد "&amp;BB$613)+COUNTIF($E$4:$E$609,BB$613&amp;" ضد "&amp;$A678))</f>
        <v>1</v>
      </c>
      <c r="BC678" s="4">
        <f>IF($A678=BC$613,"",COUNTIF($E$4:$E$609,$A678&amp;" ضد "&amp;BC$613)+COUNTIF($E$4:$E$609,BC$613&amp;" ضد "&amp;$A678))</f>
        <v>2</v>
      </c>
      <c r="BD678" s="4">
        <f>IF($A678=BD$613,"",COUNTIF($E$4:$E$609,$A678&amp;" ضد "&amp;BD$613)+COUNTIF($E$4:$E$609,BD$613&amp;" ضد "&amp;$A678))</f>
        <v>1</v>
      </c>
      <c r="BE678" s="4">
        <f>IF($A678=BE$613,"",COUNTIF($E$4:$E$609,$A678&amp;" ضد "&amp;BE$613)+COUNTIF($E$4:$E$609,BE$613&amp;" ضد "&amp;$A678))</f>
        <v>1</v>
      </c>
      <c r="BF678" s="4">
        <f>IF($A678=BF$613,"",COUNTIF($E$4:$E$609,$A678&amp;" ضد "&amp;BF$613)+COUNTIF($E$4:$E$609,BF$613&amp;" ضد "&amp;$A678))</f>
        <v>1</v>
      </c>
      <c r="BG678" s="4">
        <f>IF($A678=BG$613,"",COUNTIF($E$4:$E$609,$A678&amp;" ضد "&amp;BG$613)+COUNTIF($E$4:$E$609,BG$613&amp;" ضد "&amp;$A678))</f>
        <v>1</v>
      </c>
      <c r="BH678" s="4">
        <f>IF($A678=BH$613,"",COUNTIF($E$4:$E$609,$A678&amp;" ضد "&amp;BH$613)+COUNTIF($E$4:$E$609,BH$613&amp;" ضد "&amp;$A678))</f>
        <v>1</v>
      </c>
      <c r="BI678" s="4">
        <f>IF($A678=BI$613,"",COUNTIF($E$4:$E$609,$A678&amp;" ضد "&amp;BI$613)+COUNTIF($E$4:$E$609,BI$613&amp;" ضد "&amp;$A678))</f>
        <v>1</v>
      </c>
      <c r="BJ678" s="4">
        <f>IF($A678=BJ$613,"",COUNTIF($E$4:$E$609,$A678&amp;" ضد "&amp;BJ$613)+COUNTIF($E$4:$E$609,BJ$613&amp;" ضد "&amp;$A678))</f>
        <v>1</v>
      </c>
      <c r="BK678" s="4">
        <f>IF($A678=BK$613,"",COUNTIF($E$4:$E$609,$A678&amp;" ضد "&amp;BK$613)+COUNTIF($E$4:$E$609,BK$613&amp;" ضد "&amp;$A678))</f>
        <v>1</v>
      </c>
      <c r="BL678" s="4">
        <f>IF($A678=BL$613,"",COUNTIF($E$4:$E$609,$A678&amp;" ضد "&amp;BL$613)+COUNTIF($E$4:$E$609,BL$613&amp;" ضد "&amp;$A678))</f>
        <v>1</v>
      </c>
      <c r="BM678" s="4">
        <f>IF($A678=BM$613,"",COUNTIF($E$4:$E$609,$A678&amp;" ضد "&amp;BM$613)+COUNTIF($E$4:$E$609,BM$613&amp;" ضد "&amp;$A678))</f>
        <v>1</v>
      </c>
      <c r="BN678" s="4" t="str">
        <f>IF($A678=BN$613,"",COUNTIF($E$4:$E$609,$A678&amp;" ضد "&amp;BN$613)+COUNTIF($E$4:$E$609,BN$613&amp;" ضد "&amp;$A678))</f>
        <v/>
      </c>
      <c r="BO678" s="4">
        <f>IF($A678=BO$613,"",COUNTIF($E$4:$E$609,$A678&amp;" ضد "&amp;BO$613)+COUNTIF($E$4:$E$609,BO$613&amp;" ضد "&amp;$A678))</f>
        <v>1</v>
      </c>
      <c r="BP678" s="4">
        <f>IF($A678=BP$613,"",COUNTIF($E$4:$E$609,$A678&amp;" ضد "&amp;BP$613)+COUNTIF($E$4:$E$609,BP$613&amp;" ضد "&amp;$A678))</f>
        <v>2</v>
      </c>
    </row>
    <row r="679" spans="1:68" ht="14.5">
      <c r="A679" s="14">
        <v>66</v>
      </c>
      <c r="B679" s="4">
        <f>IF($A679=B$613,"",COUNTIF($E$4:$E$609,$A679&amp;" ضد "&amp;B$613)+COUNTIF($E$4:$E$609,B$613&amp;" ضد "&amp;$A679))</f>
        <v>0</v>
      </c>
      <c r="C679" s="4">
        <f>IF($A679=C$613,"",COUNTIF($E$4:$E$609,$A679&amp;" ضد "&amp;C$613)+COUNTIF($E$4:$E$609,C$613&amp;" ضد "&amp;$A679))</f>
        <v>0</v>
      </c>
      <c r="D679" s="4">
        <f>IF($A679=D$613,"",COUNTIF($E$4:$E$609,$A679&amp;" ضد "&amp;D$613)+COUNTIF($E$4:$E$609,D$613&amp;" ضد "&amp;$A679))</f>
        <v>0</v>
      </c>
      <c r="E679" s="4">
        <f>IF($A679=E$613,"",COUNTIF($E$4:$E$609,$A679&amp;" ضد "&amp;E$613)+COUNTIF($E$4:$E$609,E$613&amp;" ضد "&amp;$A679))</f>
        <v>0</v>
      </c>
      <c r="F679" s="4">
        <f>IF($A679=F$613,"",COUNTIF($E$4:$E$609,$A679&amp;" ضد "&amp;F$613)+COUNTIF($E$4:$E$609,F$613&amp;" ضد "&amp;$A679))</f>
        <v>0</v>
      </c>
      <c r="G679" s="4">
        <f>IF($A679=G$613,"",COUNTIF($E$4:$E$609,$A679&amp;" ضد "&amp;G$613)+COUNTIF($E$4:$E$609,G$613&amp;" ضد "&amp;$A679))</f>
        <v>0</v>
      </c>
      <c r="H679" s="4">
        <f>IF($A679=H$613,"",COUNTIF($E$4:$E$609,$A679&amp;" ضد "&amp;H$613)+COUNTIF($E$4:$E$609,H$613&amp;" ضد "&amp;$A679))</f>
        <v>0</v>
      </c>
      <c r="I679" s="4">
        <f>IF($A679=I$613,"",COUNTIF($E$4:$E$609,$A679&amp;" ضد "&amp;I$613)+COUNTIF($E$4:$E$609,I$613&amp;" ضد "&amp;$A679))</f>
        <v>0</v>
      </c>
      <c r="J679" s="4">
        <f>IF($A679=J$613,"",COUNTIF($E$4:$E$609,$A679&amp;" ضد "&amp;J$613)+COUNTIF($E$4:$E$609,J$613&amp;" ضد "&amp;$A679))</f>
        <v>0</v>
      </c>
      <c r="K679" s="4">
        <f>IF($A679=K$613,"",COUNTIF($E$4:$E$609,$A679&amp;" ضد "&amp;K$613)+COUNTIF($E$4:$E$609,K$613&amp;" ضد "&amp;$A679))</f>
        <v>0</v>
      </c>
      <c r="L679" s="4">
        <f>IF($A679=L$613,"",COUNTIF($E$4:$E$609,$A679&amp;" ضد "&amp;L$613)+COUNTIF($E$4:$E$609,L$613&amp;" ضد "&amp;$A679))</f>
        <v>0</v>
      </c>
      <c r="M679" s="4">
        <f>IF($A679=M$613,"",COUNTIF($E$4:$E$609,$A679&amp;" ضد "&amp;M$613)+COUNTIF($E$4:$E$609,M$613&amp;" ضد "&amp;$A679))</f>
        <v>0</v>
      </c>
      <c r="N679" s="4">
        <f>IF($A679=N$613,"",COUNTIF($E$4:$E$609,$A679&amp;" ضد "&amp;N$613)+COUNTIF($E$4:$E$609,N$613&amp;" ضد "&amp;$A679))</f>
        <v>0</v>
      </c>
      <c r="O679" s="4">
        <f>IF($A679=O$613,"",COUNTIF($E$4:$E$609,$A679&amp;" ضد "&amp;O$613)+COUNTIF($E$4:$E$609,O$613&amp;" ضد "&amp;$A679))</f>
        <v>0</v>
      </c>
      <c r="P679" s="4">
        <f>IF($A679=P$613,"",COUNTIF($E$4:$E$609,$A679&amp;" ضد "&amp;P$613)+COUNTIF($E$4:$E$609,P$613&amp;" ضد "&amp;$A679))</f>
        <v>0</v>
      </c>
      <c r="Q679" s="4">
        <f>IF($A679=Q$613,"",COUNTIF($E$4:$E$609,$A679&amp;" ضد "&amp;Q$613)+COUNTIF($E$4:$E$609,Q$613&amp;" ضد "&amp;$A679))</f>
        <v>0</v>
      </c>
      <c r="R679" s="4">
        <f>IF($A679=R$613,"",COUNTIF($E$4:$E$609,$A679&amp;" ضد "&amp;R$613)+COUNTIF($E$4:$E$609,R$613&amp;" ضد "&amp;$A679))</f>
        <v>0</v>
      </c>
      <c r="S679" s="4">
        <f>IF($A679=S$613,"",COUNTIF($E$4:$E$609,$A679&amp;" ضد "&amp;S$613)+COUNTIF($E$4:$E$609,S$613&amp;" ضد "&amp;$A679))</f>
        <v>0</v>
      </c>
      <c r="T679" s="4">
        <f>IF($A679=T$613,"",COUNTIF($E$4:$E$609,$A679&amp;" ضد "&amp;T$613)+COUNTIF($E$4:$E$609,T$613&amp;" ضد "&amp;$A679))</f>
        <v>0</v>
      </c>
      <c r="U679" s="4">
        <f>IF($A679=U$613,"",COUNTIF($E$4:$E$609,$A679&amp;" ضد "&amp;U$613)+COUNTIF($E$4:$E$609,U$613&amp;" ضد "&amp;$A679))</f>
        <v>0</v>
      </c>
      <c r="V679" s="4">
        <f>IF($A679=V$613,"",COUNTIF($E$4:$E$609,$A679&amp;" ضد "&amp;V$613)+COUNTIF($E$4:$E$609,V$613&amp;" ضد "&amp;$A679))</f>
        <v>0</v>
      </c>
      <c r="W679" s="4">
        <f>IF($A679=W$613,"",COUNTIF($E$4:$E$609,$A679&amp;" ضد "&amp;W$613)+COUNTIF($E$4:$E$609,W$613&amp;" ضد "&amp;$A679))</f>
        <v>0</v>
      </c>
      <c r="X679" s="4">
        <f>IF($A679=X$613,"",COUNTIF($E$4:$E$609,$A679&amp;" ضد "&amp;X$613)+COUNTIF($E$4:$E$609,X$613&amp;" ضد "&amp;$A679))</f>
        <v>0</v>
      </c>
      <c r="Y679" s="4">
        <f>IF($A679=Y$613,"",COUNTIF($E$4:$E$609,$A679&amp;" ضد "&amp;Y$613)+COUNTIF($E$4:$E$609,Y$613&amp;" ضد "&amp;$A679))</f>
        <v>0</v>
      </c>
      <c r="Z679" s="4">
        <f>IF($A679=Z$613,"",COUNTIF($E$4:$E$609,$A679&amp;" ضد "&amp;Z$613)+COUNTIF($E$4:$E$609,Z$613&amp;" ضد "&amp;$A679))</f>
        <v>0</v>
      </c>
      <c r="AA679" s="4">
        <f>IF($A679=AA$613,"",COUNTIF($E$4:$E$609,$A679&amp;" ضد "&amp;AA$613)+COUNTIF($E$4:$E$609,AA$613&amp;" ضد "&amp;$A679))</f>
        <v>0</v>
      </c>
      <c r="AB679" s="4">
        <f>IF($A679=AB$613,"",COUNTIF($E$4:$E$609,$A679&amp;" ضد "&amp;AB$613)+COUNTIF($E$4:$E$609,AB$613&amp;" ضد "&amp;$A679))</f>
        <v>0</v>
      </c>
      <c r="AC679" s="4">
        <f>IF($A679=AC$613,"",COUNTIF($E$4:$E$609,$A679&amp;" ضد "&amp;AC$613)+COUNTIF($E$4:$E$609,AC$613&amp;" ضد "&amp;$A679))</f>
        <v>0</v>
      </c>
      <c r="AD679" s="4">
        <f>IF($A679=AD$613,"",COUNTIF($E$4:$E$609,$A679&amp;" ضد "&amp;AD$613)+COUNTIF($E$4:$E$609,AD$613&amp;" ضد "&amp;$A679))</f>
        <v>0</v>
      </c>
      <c r="AE679" s="4">
        <f>IF($A679=AE$613,"",COUNTIF($E$4:$E$609,$A679&amp;" ضد "&amp;AE$613)+COUNTIF($E$4:$E$609,AE$613&amp;" ضد "&amp;$A679))</f>
        <v>0</v>
      </c>
      <c r="AF679" s="4">
        <f>IF($A679=AF$613,"",COUNTIF($E$4:$E$609,$A679&amp;" ضد "&amp;AF$613)+COUNTIF($E$4:$E$609,AF$613&amp;" ضد "&amp;$A679))</f>
        <v>0</v>
      </c>
      <c r="AG679" s="4">
        <f>IF($A679=AG$613,"",COUNTIF($E$4:$E$609,$A679&amp;" ضد "&amp;AG$613)+COUNTIF($E$4:$E$609,AG$613&amp;" ضد "&amp;$A679))</f>
        <v>0</v>
      </c>
      <c r="AH679" s="4">
        <f>IF($A679=AH$613,"",COUNTIF($E$4:$E$609,$A679&amp;" ضد "&amp;AH$613)+COUNTIF($E$4:$E$609,AH$613&amp;" ضد "&amp;$A679))</f>
        <v>0</v>
      </c>
      <c r="AI679" s="4">
        <f>IF($A679=AI$613,"",COUNTIF($E$4:$E$609,$A679&amp;" ضد "&amp;AI$613)+COUNTIF($E$4:$E$609,AI$613&amp;" ضد "&amp;$A679))</f>
        <v>0</v>
      </c>
      <c r="AJ679" s="4">
        <f>IF($A679=AJ$613,"",COUNTIF($E$4:$E$609,$A679&amp;" ضد "&amp;AJ$613)+COUNTIF($E$4:$E$609,AJ$613&amp;" ضد "&amp;$A679))</f>
        <v>0</v>
      </c>
      <c r="AK679" s="4">
        <f>IF($A679=AK$613,"",COUNTIF($E$4:$E$609,$A679&amp;" ضد "&amp;AK$613)+COUNTIF($E$4:$E$609,AK$613&amp;" ضد "&amp;$A679))</f>
        <v>0</v>
      </c>
      <c r="AL679" s="4">
        <f>IF($A679=AL$613,"",COUNTIF($E$4:$E$609,$A679&amp;" ضد "&amp;AL$613)+COUNTIF($E$4:$E$609,AL$613&amp;" ضد "&amp;$A679))</f>
        <v>0</v>
      </c>
      <c r="AM679" s="4">
        <f>IF($A679=AM$613,"",COUNTIF($E$4:$E$609,$A679&amp;" ضد "&amp;AM$613)+COUNTIF($E$4:$E$609,AM$613&amp;" ضد "&amp;$A679))</f>
        <v>0</v>
      </c>
      <c r="AN679" s="4">
        <f>IF($A679=AN$613,"",COUNTIF($E$4:$E$609,$A679&amp;" ضد "&amp;AN$613)+COUNTIF($E$4:$E$609,AN$613&amp;" ضد "&amp;$A679))</f>
        <v>0</v>
      </c>
      <c r="AO679" s="4">
        <f>IF($A679=AO$613,"",COUNTIF($E$4:$E$609,$A679&amp;" ضد "&amp;AO$613)+COUNTIF($E$4:$E$609,AO$613&amp;" ضد "&amp;$A679))</f>
        <v>0</v>
      </c>
      <c r="AP679" s="4">
        <f>IF($A679=AP$613,"",COUNTIF($E$4:$E$609,$A679&amp;" ضد "&amp;AP$613)+COUNTIF($E$4:$E$609,AP$613&amp;" ضد "&amp;$A679))</f>
        <v>0</v>
      </c>
      <c r="AQ679" s="4">
        <f>IF($A679=AQ$613,"",COUNTIF($E$4:$E$609,$A679&amp;" ضد "&amp;AQ$613)+COUNTIF($E$4:$E$609,AQ$613&amp;" ضد "&amp;$A679))</f>
        <v>0</v>
      </c>
      <c r="AR679" s="4">
        <f>IF($A679=AR$613,"",COUNTIF($E$4:$E$609,$A679&amp;" ضد "&amp;AR$613)+COUNTIF($E$4:$E$609,AR$613&amp;" ضد "&amp;$A679))</f>
        <v>0</v>
      </c>
      <c r="AS679" s="4">
        <f>IF($A679=AS$613,"",COUNTIF($E$4:$E$609,$A679&amp;" ضد "&amp;AS$613)+COUNTIF($E$4:$E$609,AS$613&amp;" ضد "&amp;$A679))</f>
        <v>0</v>
      </c>
      <c r="AT679" s="4">
        <f>IF($A679=AT$613,"",COUNTIF($E$4:$E$609,$A679&amp;" ضد "&amp;AT$613)+COUNTIF($E$4:$E$609,AT$613&amp;" ضد "&amp;$A679))</f>
        <v>0</v>
      </c>
      <c r="AU679" s="4">
        <f>IF($A679=AU$613,"",COUNTIF($E$4:$E$609,$A679&amp;" ضد "&amp;AU$613)+COUNTIF($E$4:$E$609,AU$613&amp;" ضد "&amp;$A679))</f>
        <v>0</v>
      </c>
      <c r="AV679" s="4">
        <f>IF($A679=AV$613,"",COUNTIF($E$4:$E$609,$A679&amp;" ضد "&amp;AV$613)+COUNTIF($E$4:$E$609,AV$613&amp;" ضد "&amp;$A679))</f>
        <v>0</v>
      </c>
      <c r="AW679" s="4">
        <f>IF($A679=AW$613,"",COUNTIF($E$4:$E$609,$A679&amp;" ضد "&amp;AW$613)+COUNTIF($E$4:$E$609,AW$613&amp;" ضد "&amp;$A679))</f>
        <v>0</v>
      </c>
      <c r="AX679" s="4">
        <f>IF($A679=AX$613,"",COUNTIF($E$4:$E$609,$A679&amp;" ضد "&amp;AX$613)+COUNTIF($E$4:$E$609,AX$613&amp;" ضد "&amp;$A679))</f>
        <v>0</v>
      </c>
      <c r="AY679" s="4">
        <f>IF($A679=AY$613,"",COUNTIF($E$4:$E$609,$A679&amp;" ضد "&amp;AY$613)+COUNTIF($E$4:$E$609,AY$613&amp;" ضد "&amp;$A679))</f>
        <v>0</v>
      </c>
      <c r="AZ679" s="4">
        <f>IF($A679=AZ$613,"",COUNTIF($E$4:$E$609,$A679&amp;" ضد "&amp;AZ$613)+COUNTIF($E$4:$E$609,AZ$613&amp;" ضد "&amp;$A679))</f>
        <v>0</v>
      </c>
      <c r="BA679" s="4">
        <f>IF($A679=BA$613,"",COUNTIF($E$4:$E$609,$A679&amp;" ضد "&amp;BA$613)+COUNTIF($E$4:$E$609,BA$613&amp;" ضد "&amp;$A679))</f>
        <v>2</v>
      </c>
      <c r="BB679" s="4">
        <f>IF($A679=BB$613,"",COUNTIF($E$4:$E$609,$A679&amp;" ضد "&amp;BB$613)+COUNTIF($E$4:$E$609,BB$613&amp;" ضد "&amp;$A679))</f>
        <v>2</v>
      </c>
      <c r="BC679" s="4">
        <f>IF($A679=BC$613,"",COUNTIF($E$4:$E$609,$A679&amp;" ضد "&amp;BC$613)+COUNTIF($E$4:$E$609,BC$613&amp;" ضد "&amp;$A679))</f>
        <v>1</v>
      </c>
      <c r="BD679" s="4">
        <f>IF($A679=BD$613,"",COUNTIF($E$4:$E$609,$A679&amp;" ضد "&amp;BD$613)+COUNTIF($E$4:$E$609,BD$613&amp;" ضد "&amp;$A679))</f>
        <v>1</v>
      </c>
      <c r="BE679" s="4">
        <f>IF($A679=BE$613,"",COUNTIF($E$4:$E$609,$A679&amp;" ضد "&amp;BE$613)+COUNTIF($E$4:$E$609,BE$613&amp;" ضد "&amp;$A679))</f>
        <v>1</v>
      </c>
      <c r="BF679" s="4">
        <f>IF($A679=BF$613,"",COUNTIF($E$4:$E$609,$A679&amp;" ضد "&amp;BF$613)+COUNTIF($E$4:$E$609,BF$613&amp;" ضد "&amp;$A679))</f>
        <v>1</v>
      </c>
      <c r="BG679" s="4">
        <f>IF($A679=BG$613,"",COUNTIF($E$4:$E$609,$A679&amp;" ضد "&amp;BG$613)+COUNTIF($E$4:$E$609,BG$613&amp;" ضد "&amp;$A679))</f>
        <v>1</v>
      </c>
      <c r="BH679" s="4">
        <f>IF($A679=BH$613,"",COUNTIF($E$4:$E$609,$A679&amp;" ضد "&amp;BH$613)+COUNTIF($E$4:$E$609,BH$613&amp;" ضد "&amp;$A679))</f>
        <v>1</v>
      </c>
      <c r="BI679" s="4">
        <f>IF($A679=BI$613,"",COUNTIF($E$4:$E$609,$A679&amp;" ضد "&amp;BI$613)+COUNTIF($E$4:$E$609,BI$613&amp;" ضد "&amp;$A679))</f>
        <v>1</v>
      </c>
      <c r="BJ679" s="4">
        <f>IF($A679=BJ$613,"",COUNTIF($E$4:$E$609,$A679&amp;" ضد "&amp;BJ$613)+COUNTIF($E$4:$E$609,BJ$613&amp;" ضد "&amp;$A679))</f>
        <v>1</v>
      </c>
      <c r="BK679" s="4">
        <f>IF($A679=BK$613,"",COUNTIF($E$4:$E$609,$A679&amp;" ضد "&amp;BK$613)+COUNTIF($E$4:$E$609,BK$613&amp;" ضد "&amp;$A679))</f>
        <v>1</v>
      </c>
      <c r="BL679" s="4">
        <f>IF($A679=BL$613,"",COUNTIF($E$4:$E$609,$A679&amp;" ضد "&amp;BL$613)+COUNTIF($E$4:$E$609,BL$613&amp;" ضد "&amp;$A679))</f>
        <v>1</v>
      </c>
      <c r="BM679" s="4">
        <f>IF($A679=BM$613,"",COUNTIF($E$4:$E$609,$A679&amp;" ضد "&amp;BM$613)+COUNTIF($E$4:$E$609,BM$613&amp;" ضد "&amp;$A679))</f>
        <v>2</v>
      </c>
      <c r="BN679" s="4">
        <f>IF($A679=BN$613,"",COUNTIF($E$4:$E$609,$A679&amp;" ضد "&amp;BN$613)+COUNTIF($E$4:$E$609,BN$613&amp;" ضد "&amp;$A679))</f>
        <v>1</v>
      </c>
      <c r="BO679" s="4" t="str">
        <f>IF($A679=BO$613,"",COUNTIF($E$4:$E$609,$A679&amp;" ضد "&amp;BO$613)+COUNTIF($E$4:$E$609,BO$613&amp;" ضد "&amp;$A679))</f>
        <v/>
      </c>
      <c r="BP679" s="4">
        <f>IF($A679=BP$613,"",COUNTIF($E$4:$E$609,$A679&amp;" ضد "&amp;BP$613)+COUNTIF($E$4:$E$609,BP$613&amp;" ضد "&amp;$A679))</f>
        <v>1</v>
      </c>
    </row>
    <row r="680" spans="1:68" ht="14.5">
      <c r="A680" s="14">
        <v>67</v>
      </c>
      <c r="B680" s="4">
        <f>IF($A680=B$613,"",COUNTIF($E$4:$E$609,$A680&amp;" ضد "&amp;B$613)+COUNTIF($E$4:$E$609,B$613&amp;" ضد "&amp;$A680))</f>
        <v>0</v>
      </c>
      <c r="C680" s="4">
        <f>IF($A680=C$613,"",COUNTIF($E$4:$E$609,$A680&amp;" ضد "&amp;C$613)+COUNTIF($E$4:$E$609,C$613&amp;" ضد "&amp;$A680))</f>
        <v>0</v>
      </c>
      <c r="D680" s="4">
        <f>IF($A680=D$613,"",COUNTIF($E$4:$E$609,$A680&amp;" ضد "&amp;D$613)+COUNTIF($E$4:$E$609,D$613&amp;" ضد "&amp;$A680))</f>
        <v>0</v>
      </c>
      <c r="E680" s="4">
        <f>IF($A680=E$613,"",COUNTIF($E$4:$E$609,$A680&amp;" ضد "&amp;E$613)+COUNTIF($E$4:$E$609,E$613&amp;" ضد "&amp;$A680))</f>
        <v>0</v>
      </c>
      <c r="F680" s="4">
        <f>IF($A680=F$613,"",COUNTIF($E$4:$E$609,$A680&amp;" ضد "&amp;F$613)+COUNTIF($E$4:$E$609,F$613&amp;" ضد "&amp;$A680))</f>
        <v>0</v>
      </c>
      <c r="G680" s="4">
        <f>IF($A680=G$613,"",COUNTIF($E$4:$E$609,$A680&amp;" ضد "&amp;G$613)+COUNTIF($E$4:$E$609,G$613&amp;" ضد "&amp;$A680))</f>
        <v>0</v>
      </c>
      <c r="H680" s="4">
        <f>IF($A680=H$613,"",COUNTIF($E$4:$E$609,$A680&amp;" ضد "&amp;H$613)+COUNTIF($E$4:$E$609,H$613&amp;" ضد "&amp;$A680))</f>
        <v>0</v>
      </c>
      <c r="I680" s="4">
        <f>IF($A680=I$613,"",COUNTIF($E$4:$E$609,$A680&amp;" ضد "&amp;I$613)+COUNTIF($E$4:$E$609,I$613&amp;" ضد "&amp;$A680))</f>
        <v>0</v>
      </c>
      <c r="J680" s="4">
        <f>IF($A680=J$613,"",COUNTIF($E$4:$E$609,$A680&amp;" ضد "&amp;J$613)+COUNTIF($E$4:$E$609,J$613&amp;" ضد "&amp;$A680))</f>
        <v>0</v>
      </c>
      <c r="K680" s="4">
        <f>IF($A680=K$613,"",COUNTIF($E$4:$E$609,$A680&amp;" ضد "&amp;K$613)+COUNTIF($E$4:$E$609,K$613&amp;" ضد "&amp;$A680))</f>
        <v>0</v>
      </c>
      <c r="L680" s="4">
        <f>IF($A680=L$613,"",COUNTIF($E$4:$E$609,$A680&amp;" ضد "&amp;L$613)+COUNTIF($E$4:$E$609,L$613&amp;" ضد "&amp;$A680))</f>
        <v>0</v>
      </c>
      <c r="M680" s="4">
        <f>IF($A680=M$613,"",COUNTIF($E$4:$E$609,$A680&amp;" ضد "&amp;M$613)+COUNTIF($E$4:$E$609,M$613&amp;" ضد "&amp;$A680))</f>
        <v>0</v>
      </c>
      <c r="N680" s="4">
        <f>IF($A680=N$613,"",COUNTIF($E$4:$E$609,$A680&amp;" ضد "&amp;N$613)+COUNTIF($E$4:$E$609,N$613&amp;" ضد "&amp;$A680))</f>
        <v>0</v>
      </c>
      <c r="O680" s="4">
        <f>IF($A680=O$613,"",COUNTIF($E$4:$E$609,$A680&amp;" ضد "&amp;O$613)+COUNTIF($E$4:$E$609,O$613&amp;" ضد "&amp;$A680))</f>
        <v>0</v>
      </c>
      <c r="P680" s="4">
        <f>IF($A680=P$613,"",COUNTIF($E$4:$E$609,$A680&amp;" ضد "&amp;P$613)+COUNTIF($E$4:$E$609,P$613&amp;" ضد "&amp;$A680))</f>
        <v>0</v>
      </c>
      <c r="Q680" s="4">
        <f>IF($A680=Q$613,"",COUNTIF($E$4:$E$609,$A680&amp;" ضد "&amp;Q$613)+COUNTIF($E$4:$E$609,Q$613&amp;" ضد "&amp;$A680))</f>
        <v>0</v>
      </c>
      <c r="R680" s="4">
        <f>IF($A680=R$613,"",COUNTIF($E$4:$E$609,$A680&amp;" ضد "&amp;R$613)+COUNTIF($E$4:$E$609,R$613&amp;" ضد "&amp;$A680))</f>
        <v>0</v>
      </c>
      <c r="S680" s="4">
        <f>IF($A680=S$613,"",COUNTIF($E$4:$E$609,$A680&amp;" ضد "&amp;S$613)+COUNTIF($E$4:$E$609,S$613&amp;" ضد "&amp;$A680))</f>
        <v>0</v>
      </c>
      <c r="T680" s="4">
        <f>IF($A680=T$613,"",COUNTIF($E$4:$E$609,$A680&amp;" ضد "&amp;T$613)+COUNTIF($E$4:$E$609,T$613&amp;" ضد "&amp;$A680))</f>
        <v>0</v>
      </c>
      <c r="U680" s="4">
        <f>IF($A680=U$613,"",COUNTIF($E$4:$E$609,$A680&amp;" ضد "&amp;U$613)+COUNTIF($E$4:$E$609,U$613&amp;" ضد "&amp;$A680))</f>
        <v>0</v>
      </c>
      <c r="V680" s="4">
        <f>IF($A680=V$613,"",COUNTIF($E$4:$E$609,$A680&amp;" ضد "&amp;V$613)+COUNTIF($E$4:$E$609,V$613&amp;" ضد "&amp;$A680))</f>
        <v>0</v>
      </c>
      <c r="W680" s="4">
        <f>IF($A680=W$613,"",COUNTIF($E$4:$E$609,$A680&amp;" ضد "&amp;W$613)+COUNTIF($E$4:$E$609,W$613&amp;" ضد "&amp;$A680))</f>
        <v>0</v>
      </c>
      <c r="X680" s="4">
        <f>IF($A680=X$613,"",COUNTIF($E$4:$E$609,$A680&amp;" ضد "&amp;X$613)+COUNTIF($E$4:$E$609,X$613&amp;" ضد "&amp;$A680))</f>
        <v>0</v>
      </c>
      <c r="Y680" s="4">
        <f>IF($A680=Y$613,"",COUNTIF($E$4:$E$609,$A680&amp;" ضد "&amp;Y$613)+COUNTIF($E$4:$E$609,Y$613&amp;" ضد "&amp;$A680))</f>
        <v>0</v>
      </c>
      <c r="Z680" s="4">
        <f>IF($A680=Z$613,"",COUNTIF($E$4:$E$609,$A680&amp;" ضد "&amp;Z$613)+COUNTIF($E$4:$E$609,Z$613&amp;" ضد "&amp;$A680))</f>
        <v>0</v>
      </c>
      <c r="AA680" s="4">
        <f>IF($A680=AA$613,"",COUNTIF($E$4:$E$609,$A680&amp;" ضد "&amp;AA$613)+COUNTIF($E$4:$E$609,AA$613&amp;" ضد "&amp;$A680))</f>
        <v>0</v>
      </c>
      <c r="AB680" s="4">
        <f>IF($A680=AB$613,"",COUNTIF($E$4:$E$609,$A680&amp;" ضد "&amp;AB$613)+COUNTIF($E$4:$E$609,AB$613&amp;" ضد "&amp;$A680))</f>
        <v>0</v>
      </c>
      <c r="AC680" s="4">
        <f>IF($A680=AC$613,"",COUNTIF($E$4:$E$609,$A680&amp;" ضد "&amp;AC$613)+COUNTIF($E$4:$E$609,AC$613&amp;" ضد "&amp;$A680))</f>
        <v>0</v>
      </c>
      <c r="AD680" s="4">
        <f>IF($A680=AD$613,"",COUNTIF($E$4:$E$609,$A680&amp;" ضد "&amp;AD$613)+COUNTIF($E$4:$E$609,AD$613&amp;" ضد "&amp;$A680))</f>
        <v>0</v>
      </c>
      <c r="AE680" s="4">
        <f>IF($A680=AE$613,"",COUNTIF($E$4:$E$609,$A680&amp;" ضد "&amp;AE$613)+COUNTIF($E$4:$E$609,AE$613&amp;" ضد "&amp;$A680))</f>
        <v>0</v>
      </c>
      <c r="AF680" s="4">
        <f>IF($A680=AF$613,"",COUNTIF($E$4:$E$609,$A680&amp;" ضد "&amp;AF$613)+COUNTIF($E$4:$E$609,AF$613&amp;" ضد "&amp;$A680))</f>
        <v>0</v>
      </c>
      <c r="AG680" s="4">
        <f>IF($A680=AG$613,"",COUNTIF($E$4:$E$609,$A680&amp;" ضد "&amp;AG$613)+COUNTIF($E$4:$E$609,AG$613&amp;" ضد "&amp;$A680))</f>
        <v>0</v>
      </c>
      <c r="AH680" s="4">
        <f>IF($A680=AH$613,"",COUNTIF($E$4:$E$609,$A680&amp;" ضد "&amp;AH$613)+COUNTIF($E$4:$E$609,AH$613&amp;" ضد "&amp;$A680))</f>
        <v>0</v>
      </c>
      <c r="AI680" s="4">
        <f>IF($A680=AI$613,"",COUNTIF($E$4:$E$609,$A680&amp;" ضد "&amp;AI$613)+COUNTIF($E$4:$E$609,AI$613&amp;" ضد "&amp;$A680))</f>
        <v>0</v>
      </c>
      <c r="AJ680" s="4">
        <f>IF($A680=AJ$613,"",COUNTIF($E$4:$E$609,$A680&amp;" ضد "&amp;AJ$613)+COUNTIF($E$4:$E$609,AJ$613&amp;" ضد "&amp;$A680))</f>
        <v>0</v>
      </c>
      <c r="AK680" s="4">
        <f>IF($A680=AK$613,"",COUNTIF($E$4:$E$609,$A680&amp;" ضد "&amp;AK$613)+COUNTIF($E$4:$E$609,AK$613&amp;" ضد "&amp;$A680))</f>
        <v>0</v>
      </c>
      <c r="AL680" s="4">
        <f>IF($A680=AL$613,"",COUNTIF($E$4:$E$609,$A680&amp;" ضد "&amp;AL$613)+COUNTIF($E$4:$E$609,AL$613&amp;" ضد "&amp;$A680))</f>
        <v>0</v>
      </c>
      <c r="AM680" s="4">
        <f>IF($A680=AM$613,"",COUNTIF($E$4:$E$609,$A680&amp;" ضد "&amp;AM$613)+COUNTIF($E$4:$E$609,AM$613&amp;" ضد "&amp;$A680))</f>
        <v>0</v>
      </c>
      <c r="AN680" s="4">
        <f>IF($A680=AN$613,"",COUNTIF($E$4:$E$609,$A680&amp;" ضد "&amp;AN$613)+COUNTIF($E$4:$E$609,AN$613&amp;" ضد "&amp;$A680))</f>
        <v>0</v>
      </c>
      <c r="AO680" s="4">
        <f>IF($A680=AO$613,"",COUNTIF($E$4:$E$609,$A680&amp;" ضد "&amp;AO$613)+COUNTIF($E$4:$E$609,AO$613&amp;" ضد "&amp;$A680))</f>
        <v>0</v>
      </c>
      <c r="AP680" s="4">
        <f>IF($A680=AP$613,"",COUNTIF($E$4:$E$609,$A680&amp;" ضد "&amp;AP$613)+COUNTIF($E$4:$E$609,AP$613&amp;" ضد "&amp;$A680))</f>
        <v>0</v>
      </c>
      <c r="AQ680" s="4">
        <f>IF($A680=AQ$613,"",COUNTIF($E$4:$E$609,$A680&amp;" ضد "&amp;AQ$613)+COUNTIF($E$4:$E$609,AQ$613&amp;" ضد "&amp;$A680))</f>
        <v>0</v>
      </c>
      <c r="AR680" s="4">
        <f>IF($A680=AR$613,"",COUNTIF($E$4:$E$609,$A680&amp;" ضد "&amp;AR$613)+COUNTIF($E$4:$E$609,AR$613&amp;" ضد "&amp;$A680))</f>
        <v>0</v>
      </c>
      <c r="AS680" s="4">
        <f>IF($A680=AS$613,"",COUNTIF($E$4:$E$609,$A680&amp;" ضد "&amp;AS$613)+COUNTIF($E$4:$E$609,AS$613&amp;" ضد "&amp;$A680))</f>
        <v>0</v>
      </c>
      <c r="AT680" s="4">
        <f>IF($A680=AT$613,"",COUNTIF($E$4:$E$609,$A680&amp;" ضد "&amp;AT$613)+COUNTIF($E$4:$E$609,AT$613&amp;" ضد "&amp;$A680))</f>
        <v>0</v>
      </c>
      <c r="AU680" s="4">
        <f>IF($A680=AU$613,"",COUNTIF($E$4:$E$609,$A680&amp;" ضد "&amp;AU$613)+COUNTIF($E$4:$E$609,AU$613&amp;" ضد "&amp;$A680))</f>
        <v>0</v>
      </c>
      <c r="AV680" s="4">
        <f>IF($A680=AV$613,"",COUNTIF($E$4:$E$609,$A680&amp;" ضد "&amp;AV$613)+COUNTIF($E$4:$E$609,AV$613&amp;" ضد "&amp;$A680))</f>
        <v>0</v>
      </c>
      <c r="AW680" s="4">
        <f>IF($A680=AW$613,"",COUNTIF($E$4:$E$609,$A680&amp;" ضد "&amp;AW$613)+COUNTIF($E$4:$E$609,AW$613&amp;" ضد "&amp;$A680))</f>
        <v>0</v>
      </c>
      <c r="AX680" s="4">
        <f>IF($A680=AX$613,"",COUNTIF($E$4:$E$609,$A680&amp;" ضد "&amp;AX$613)+COUNTIF($E$4:$E$609,AX$613&amp;" ضد "&amp;$A680))</f>
        <v>0</v>
      </c>
      <c r="AY680" s="4">
        <f>IF($A680=AY$613,"",COUNTIF($E$4:$E$609,$A680&amp;" ضد "&amp;AY$613)+COUNTIF($E$4:$E$609,AY$613&amp;" ضد "&amp;$A680))</f>
        <v>0</v>
      </c>
      <c r="AZ680" s="4">
        <f>IF($A680=AZ$613,"",COUNTIF($E$4:$E$609,$A680&amp;" ضد "&amp;AZ$613)+COUNTIF($E$4:$E$609,AZ$613&amp;" ضد "&amp;$A680))</f>
        <v>0</v>
      </c>
      <c r="BA680" s="4">
        <f>IF($A680=BA$613,"",COUNTIF($E$4:$E$609,$A680&amp;" ضد "&amp;BA$613)+COUNTIF($E$4:$E$609,BA$613&amp;" ضد "&amp;$A680))</f>
        <v>2</v>
      </c>
      <c r="BB680" s="4">
        <f>IF($A680=BB$613,"",COUNTIF($E$4:$E$609,$A680&amp;" ضد "&amp;BB$613)+COUNTIF($E$4:$E$609,BB$613&amp;" ضد "&amp;$A680))</f>
        <v>1</v>
      </c>
      <c r="BC680" s="4">
        <f>IF($A680=BC$613,"",COUNTIF($E$4:$E$609,$A680&amp;" ضد "&amp;BC$613)+COUNTIF($E$4:$E$609,BC$613&amp;" ضد "&amp;$A680))</f>
        <v>1</v>
      </c>
      <c r="BD680" s="4">
        <f>IF($A680=BD$613,"",COUNTIF($E$4:$E$609,$A680&amp;" ضد "&amp;BD$613)+COUNTIF($E$4:$E$609,BD$613&amp;" ضد "&amp;$A680))</f>
        <v>1</v>
      </c>
      <c r="BE680" s="4">
        <f>IF($A680=BE$613,"",COUNTIF($E$4:$E$609,$A680&amp;" ضد "&amp;BE$613)+COUNTIF($E$4:$E$609,BE$613&amp;" ضد "&amp;$A680))</f>
        <v>1</v>
      </c>
      <c r="BF680" s="4">
        <f>IF($A680=BF$613,"",COUNTIF($E$4:$E$609,$A680&amp;" ضد "&amp;BF$613)+COUNTIF($E$4:$E$609,BF$613&amp;" ضد "&amp;$A680))</f>
        <v>1</v>
      </c>
      <c r="BG680" s="4">
        <f>IF($A680=BG$613,"",COUNTIF($E$4:$E$609,$A680&amp;" ضد "&amp;BG$613)+COUNTIF($E$4:$E$609,BG$613&amp;" ضد "&amp;$A680))</f>
        <v>1</v>
      </c>
      <c r="BH680" s="4">
        <f>IF($A680=BH$613,"",COUNTIF($E$4:$E$609,$A680&amp;" ضد "&amp;BH$613)+COUNTIF($E$4:$E$609,BH$613&amp;" ضد "&amp;$A680))</f>
        <v>1</v>
      </c>
      <c r="BI680" s="4">
        <f>IF($A680=BI$613,"",COUNTIF($E$4:$E$609,$A680&amp;" ضد "&amp;BI$613)+COUNTIF($E$4:$E$609,BI$613&amp;" ضد "&amp;$A680))</f>
        <v>1</v>
      </c>
      <c r="BJ680" s="4">
        <f>IF($A680=BJ$613,"",COUNTIF($E$4:$E$609,$A680&amp;" ضد "&amp;BJ$613)+COUNTIF($E$4:$E$609,BJ$613&amp;" ضد "&amp;$A680))</f>
        <v>1</v>
      </c>
      <c r="BK680" s="4">
        <f>IF($A680=BK$613,"",COUNTIF($E$4:$E$609,$A680&amp;" ضد "&amp;BK$613)+COUNTIF($E$4:$E$609,BK$613&amp;" ضد "&amp;$A680))</f>
        <v>1</v>
      </c>
      <c r="BL680" s="4">
        <f>IF($A680=BL$613,"",COUNTIF($E$4:$E$609,$A680&amp;" ضد "&amp;BL$613)+COUNTIF($E$4:$E$609,BL$613&amp;" ضد "&amp;$A680))</f>
        <v>2</v>
      </c>
      <c r="BM680" s="4">
        <f>IF($A680=BM$613,"",COUNTIF($E$4:$E$609,$A680&amp;" ضد "&amp;BM$613)+COUNTIF($E$4:$E$609,BM$613&amp;" ضد "&amp;$A680))</f>
        <v>1</v>
      </c>
      <c r="BN680" s="4">
        <f>IF($A680=BN$613,"",COUNTIF($E$4:$E$609,$A680&amp;" ضد "&amp;BN$613)+COUNTIF($E$4:$E$609,BN$613&amp;" ضد "&amp;$A680))</f>
        <v>2</v>
      </c>
      <c r="BO680" s="4">
        <f>IF($A680=BO$613,"",COUNTIF($E$4:$E$609,$A680&amp;" ضد "&amp;BO$613)+COUNTIF($E$4:$E$609,BO$613&amp;" ضد "&amp;$A680))</f>
        <v>1</v>
      </c>
      <c r="BP680" s="4" t="str">
        <f>IF($A680=BP$613,"",COUNTIF($E$4:$E$609,$A680&amp;" ضد "&amp;BP$613)+COUNTIF($E$4:$E$609,BP$613&amp;" ضد "&amp;$A680))</f>
        <v/>
      </c>
    </row>
    <row r="681" spans="1:68" ht="14.5">
      <c r="A681" s="14" t="s">
        <v>1033</v>
      </c>
      <c r="B681" s="4" cm="1">
        <f t="array" ref="B681">MIN(IF(B614:BP680&gt;0,B614:BP680))</f>
        <v>1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</row>
    <row r="682" spans="1:68" ht="14.5">
      <c r="A682" s="14" t="s">
        <v>830</v>
      </c>
      <c r="B682" s="4">
        <f>MAX(B614:BP680)</f>
        <v>2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</row>
  </sheetData>
  <mergeCells count="2">
    <mergeCell ref="A1:E1"/>
    <mergeCell ref="A612:BP6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7092-9C17-4BF6-BB46-60C78CBA5F91}">
  <dimension ref="A1:ED69"/>
  <sheetViews>
    <sheetView rightToLeft="1" workbookViewId="0">
      <pane ySplit="2" topLeftCell="A3" activePane="bottomLeft" state="frozen"/>
      <selection pane="bottomLeft" sqref="A1:D1"/>
    </sheetView>
  </sheetViews>
  <sheetFormatPr defaultRowHeight="14"/>
  <cols>
    <col min="1" max="1" width="4.6640625" bestFit="1" customWidth="1"/>
    <col min="2" max="2" width="8.1640625" bestFit="1" customWidth="1"/>
    <col min="3" max="3" width="10" bestFit="1" customWidth="1"/>
    <col min="4" max="4" width="8.9140625" bestFit="1" customWidth="1"/>
    <col min="6" max="6" width="4.6640625" bestFit="1" customWidth="1"/>
    <col min="7" max="7" width="8.1640625" bestFit="1" customWidth="1"/>
    <col min="8" max="8" width="10" bestFit="1" customWidth="1"/>
    <col min="9" max="9" width="8.9140625" bestFit="1" customWidth="1"/>
    <col min="11" max="11" width="4.6640625" bestFit="1" customWidth="1"/>
    <col min="12" max="12" width="8.1640625" bestFit="1" customWidth="1"/>
    <col min="13" max="13" width="10" bestFit="1" customWidth="1"/>
    <col min="14" max="14" width="8.9140625" bestFit="1" customWidth="1"/>
    <col min="16" max="16" width="4.6640625" bestFit="1" customWidth="1"/>
    <col min="17" max="17" width="8.1640625" bestFit="1" customWidth="1"/>
    <col min="18" max="18" width="10" bestFit="1" customWidth="1"/>
    <col min="19" max="19" width="8.9140625" bestFit="1" customWidth="1"/>
    <col min="21" max="21" width="4.6640625" bestFit="1" customWidth="1"/>
    <col min="22" max="22" width="8.1640625" bestFit="1" customWidth="1"/>
    <col min="23" max="23" width="10" bestFit="1" customWidth="1"/>
    <col min="24" max="24" width="8.9140625" bestFit="1" customWidth="1"/>
    <col min="26" max="26" width="4.6640625" bestFit="1" customWidth="1"/>
    <col min="27" max="27" width="8.1640625" bestFit="1" customWidth="1"/>
    <col min="28" max="28" width="10" bestFit="1" customWidth="1"/>
    <col min="29" max="29" width="8.9140625" bestFit="1" customWidth="1"/>
    <col min="31" max="31" width="4.6640625" bestFit="1" customWidth="1"/>
    <col min="32" max="32" width="8.1640625" bestFit="1" customWidth="1"/>
    <col min="33" max="33" width="10" bestFit="1" customWidth="1"/>
    <col min="34" max="34" width="8.9140625" bestFit="1" customWidth="1"/>
    <col min="36" max="36" width="4.6640625" bestFit="1" customWidth="1"/>
    <col min="37" max="37" width="8.1640625" bestFit="1" customWidth="1"/>
    <col min="38" max="38" width="10" bestFit="1" customWidth="1"/>
    <col min="39" max="39" width="8.9140625" bestFit="1" customWidth="1"/>
    <col min="41" max="41" width="4.6640625" bestFit="1" customWidth="1"/>
    <col min="42" max="42" width="8.1640625" bestFit="1" customWidth="1"/>
    <col min="43" max="43" width="10" bestFit="1" customWidth="1"/>
    <col min="44" max="44" width="8.9140625" bestFit="1" customWidth="1"/>
    <col min="46" max="46" width="4.6640625" bestFit="1" customWidth="1"/>
    <col min="47" max="47" width="8.1640625" bestFit="1" customWidth="1"/>
    <col min="48" max="48" width="10" bestFit="1" customWidth="1"/>
    <col min="49" max="49" width="8.9140625" bestFit="1" customWidth="1"/>
    <col min="51" max="51" width="4.6640625" bestFit="1" customWidth="1"/>
    <col min="52" max="52" width="8.1640625" bestFit="1" customWidth="1"/>
    <col min="53" max="53" width="10" bestFit="1" customWidth="1"/>
    <col min="54" max="54" width="8.9140625" bestFit="1" customWidth="1"/>
    <col min="56" max="56" width="4.6640625" bestFit="1" customWidth="1"/>
    <col min="57" max="57" width="8.1640625" bestFit="1" customWidth="1"/>
    <col min="58" max="58" width="10" bestFit="1" customWidth="1"/>
    <col min="59" max="59" width="8.9140625" bestFit="1" customWidth="1"/>
    <col min="61" max="61" width="4.6640625" bestFit="1" customWidth="1"/>
    <col min="62" max="62" width="8.1640625" bestFit="1" customWidth="1"/>
    <col min="63" max="63" width="10" bestFit="1" customWidth="1"/>
    <col min="64" max="64" width="8.9140625" bestFit="1" customWidth="1"/>
    <col min="66" max="66" width="4.6640625" bestFit="1" customWidth="1"/>
    <col min="67" max="67" width="8.1640625" bestFit="1" customWidth="1"/>
    <col min="68" max="68" width="10" bestFit="1" customWidth="1"/>
    <col min="69" max="69" width="8.9140625" bestFit="1" customWidth="1"/>
    <col min="71" max="71" width="4.6640625" bestFit="1" customWidth="1"/>
    <col min="72" max="72" width="8.1640625" bestFit="1" customWidth="1"/>
    <col min="73" max="73" width="10" bestFit="1" customWidth="1"/>
    <col min="74" max="74" width="8.9140625" bestFit="1" customWidth="1"/>
    <col min="76" max="76" width="4.6640625" bestFit="1" customWidth="1"/>
    <col min="77" max="77" width="8.1640625" bestFit="1" customWidth="1"/>
    <col min="78" max="78" width="10" bestFit="1" customWidth="1"/>
    <col min="79" max="79" width="8.9140625" bestFit="1" customWidth="1"/>
    <col min="81" max="81" width="4.6640625" bestFit="1" customWidth="1"/>
    <col min="82" max="82" width="8.1640625" bestFit="1" customWidth="1"/>
    <col min="83" max="83" width="10" bestFit="1" customWidth="1"/>
    <col min="84" max="84" width="8.9140625" bestFit="1" customWidth="1"/>
    <col min="86" max="86" width="4.6640625" bestFit="1" customWidth="1"/>
    <col min="87" max="87" width="8.1640625" bestFit="1" customWidth="1"/>
    <col min="88" max="88" width="10" bestFit="1" customWidth="1"/>
    <col min="89" max="89" width="8.9140625" bestFit="1" customWidth="1"/>
    <col min="91" max="91" width="4.6640625" bestFit="1" customWidth="1"/>
    <col min="92" max="92" width="8.1640625" bestFit="1" customWidth="1"/>
    <col min="93" max="93" width="10" bestFit="1" customWidth="1"/>
    <col min="94" max="94" width="8.9140625" bestFit="1" customWidth="1"/>
    <col min="96" max="96" width="4.6640625" bestFit="1" customWidth="1"/>
    <col min="97" max="97" width="8.1640625" bestFit="1" customWidth="1"/>
    <col min="98" max="98" width="10" bestFit="1" customWidth="1"/>
    <col min="99" max="99" width="8.9140625" bestFit="1" customWidth="1"/>
    <col min="101" max="101" width="4.6640625" bestFit="1" customWidth="1"/>
    <col min="102" max="102" width="8.1640625" bestFit="1" customWidth="1"/>
    <col min="103" max="103" width="10" bestFit="1" customWidth="1"/>
    <col min="104" max="104" width="8.9140625" bestFit="1" customWidth="1"/>
    <col min="106" max="106" width="4.6640625" bestFit="1" customWidth="1"/>
    <col min="107" max="107" width="8.1640625" bestFit="1" customWidth="1"/>
    <col min="108" max="108" width="10" bestFit="1" customWidth="1"/>
    <col min="109" max="109" width="8.9140625" bestFit="1" customWidth="1"/>
    <col min="111" max="111" width="4.6640625" bestFit="1" customWidth="1"/>
    <col min="112" max="112" width="8.1640625" bestFit="1" customWidth="1"/>
    <col min="113" max="113" width="10" bestFit="1" customWidth="1"/>
    <col min="114" max="114" width="8.9140625" bestFit="1" customWidth="1"/>
    <col min="116" max="116" width="4.6640625" bestFit="1" customWidth="1"/>
    <col min="117" max="117" width="8.1640625" bestFit="1" customWidth="1"/>
    <col min="118" max="118" width="10" bestFit="1" customWidth="1"/>
    <col min="119" max="119" width="8.9140625" bestFit="1" customWidth="1"/>
    <col min="121" max="121" width="4.6640625" bestFit="1" customWidth="1"/>
    <col min="122" max="122" width="8.1640625" bestFit="1" customWidth="1"/>
    <col min="123" max="123" width="10" bestFit="1" customWidth="1"/>
    <col min="124" max="124" width="8.9140625" bestFit="1" customWidth="1"/>
    <col min="126" max="126" width="4.6640625" bestFit="1" customWidth="1"/>
    <col min="127" max="127" width="8.1640625" bestFit="1" customWidth="1"/>
    <col min="128" max="128" width="10" bestFit="1" customWidth="1"/>
    <col min="129" max="129" width="8.9140625" bestFit="1" customWidth="1"/>
    <col min="131" max="131" width="4.6640625" bestFit="1" customWidth="1"/>
    <col min="132" max="132" width="8.1640625" bestFit="1" customWidth="1"/>
    <col min="133" max="133" width="10" bestFit="1" customWidth="1"/>
    <col min="134" max="134" width="8.9140625" bestFit="1" customWidth="1"/>
  </cols>
  <sheetData>
    <row r="1" spans="1:134" ht="15.5">
      <c r="A1" s="24" t="s">
        <v>1006</v>
      </c>
      <c r="B1" s="24"/>
      <c r="C1" s="24"/>
      <c r="D1" s="24"/>
      <c r="E1" s="22"/>
      <c r="F1" s="24" t="s">
        <v>1007</v>
      </c>
      <c r="G1" s="24"/>
      <c r="H1" s="24"/>
      <c r="I1" s="24"/>
      <c r="J1" s="22"/>
      <c r="K1" s="24" t="s">
        <v>1008</v>
      </c>
      <c r="L1" s="24"/>
      <c r="M1" s="24"/>
      <c r="N1" s="24"/>
      <c r="O1" s="22"/>
      <c r="P1" s="24" t="s">
        <v>1009</v>
      </c>
      <c r="Q1" s="24"/>
      <c r="R1" s="24"/>
      <c r="S1" s="24"/>
      <c r="T1" s="22"/>
      <c r="U1" s="24" t="s">
        <v>1010</v>
      </c>
      <c r="V1" s="24"/>
      <c r="W1" s="24"/>
      <c r="X1" s="24"/>
      <c r="Y1" s="22"/>
      <c r="Z1" s="24" t="s">
        <v>1011</v>
      </c>
      <c r="AA1" s="24"/>
      <c r="AB1" s="24"/>
      <c r="AC1" s="24"/>
      <c r="AD1" s="22"/>
      <c r="AE1" s="24" t="s">
        <v>1012</v>
      </c>
      <c r="AF1" s="24"/>
      <c r="AG1" s="24"/>
      <c r="AH1" s="24"/>
      <c r="AI1" s="22"/>
      <c r="AJ1" s="24" t="s">
        <v>1013</v>
      </c>
      <c r="AK1" s="24"/>
      <c r="AL1" s="24"/>
      <c r="AM1" s="24"/>
      <c r="AN1" s="22"/>
      <c r="AO1" s="24" t="s">
        <v>1014</v>
      </c>
      <c r="AP1" s="24"/>
      <c r="AQ1" s="24"/>
      <c r="AR1" s="24"/>
      <c r="AS1" s="22"/>
      <c r="AT1" s="24" t="s">
        <v>1015</v>
      </c>
      <c r="AU1" s="24"/>
      <c r="AV1" s="24"/>
      <c r="AW1" s="24"/>
      <c r="AX1" s="22"/>
      <c r="AY1" s="24" t="s">
        <v>1016</v>
      </c>
      <c r="AZ1" s="24"/>
      <c r="BA1" s="24"/>
      <c r="BB1" s="24"/>
      <c r="BC1" s="22"/>
      <c r="BD1" s="24" t="s">
        <v>1017</v>
      </c>
      <c r="BE1" s="24"/>
      <c r="BF1" s="24"/>
      <c r="BG1" s="24"/>
      <c r="BH1" s="22"/>
      <c r="BI1" s="24" t="s">
        <v>1018</v>
      </c>
      <c r="BJ1" s="24"/>
      <c r="BK1" s="24"/>
      <c r="BL1" s="24"/>
      <c r="BM1" s="22"/>
      <c r="BN1" s="24" t="s">
        <v>1019</v>
      </c>
      <c r="BO1" s="24"/>
      <c r="BP1" s="24"/>
      <c r="BQ1" s="24"/>
      <c r="BR1" s="22"/>
      <c r="BS1" s="24" t="s">
        <v>1020</v>
      </c>
      <c r="BT1" s="24"/>
      <c r="BU1" s="24"/>
      <c r="BV1" s="24"/>
      <c r="BW1" s="22"/>
      <c r="BX1" s="24" t="s">
        <v>1021</v>
      </c>
      <c r="BY1" s="24"/>
      <c r="BZ1" s="24"/>
      <c r="CA1" s="24"/>
      <c r="CB1" s="22"/>
      <c r="CC1" s="24" t="s">
        <v>1022</v>
      </c>
      <c r="CD1" s="24"/>
      <c r="CE1" s="24"/>
      <c r="CF1" s="24"/>
      <c r="CG1" s="22"/>
      <c r="CH1" s="24" t="s">
        <v>1023</v>
      </c>
      <c r="CI1" s="24"/>
      <c r="CJ1" s="24"/>
      <c r="CK1" s="24"/>
      <c r="CL1" s="22"/>
      <c r="CM1" s="24" t="s">
        <v>1024</v>
      </c>
      <c r="CN1" s="24"/>
      <c r="CO1" s="24"/>
      <c r="CP1" s="24"/>
      <c r="CQ1" s="22"/>
      <c r="CR1" s="24" t="s">
        <v>1025</v>
      </c>
      <c r="CS1" s="24"/>
      <c r="CT1" s="24"/>
      <c r="CU1" s="24"/>
      <c r="CV1" s="22"/>
      <c r="CW1" s="24" t="s">
        <v>1026</v>
      </c>
      <c r="CX1" s="24"/>
      <c r="CY1" s="24"/>
      <c r="CZ1" s="24"/>
      <c r="DA1" s="22"/>
      <c r="DB1" s="24" t="s">
        <v>1027</v>
      </c>
      <c r="DC1" s="24"/>
      <c r="DD1" s="24"/>
      <c r="DE1" s="24"/>
      <c r="DF1" s="22"/>
      <c r="DG1" s="24" t="s">
        <v>1028</v>
      </c>
      <c r="DH1" s="24"/>
      <c r="DI1" s="24"/>
      <c r="DJ1" s="24"/>
      <c r="DK1" s="22"/>
      <c r="DL1" s="24" t="s">
        <v>1029</v>
      </c>
      <c r="DM1" s="24"/>
      <c r="DN1" s="24"/>
      <c r="DO1" s="24"/>
      <c r="DP1" s="22"/>
      <c r="DQ1" s="24" t="s">
        <v>1030</v>
      </c>
      <c r="DR1" s="24"/>
      <c r="DS1" s="24"/>
      <c r="DT1" s="24"/>
      <c r="DU1" s="22"/>
      <c r="DV1" s="24" t="s">
        <v>1031</v>
      </c>
      <c r="DW1" s="24"/>
      <c r="DX1" s="24"/>
      <c r="DY1" s="24"/>
      <c r="DZ1" s="22"/>
      <c r="EA1" s="24" t="s">
        <v>1032</v>
      </c>
      <c r="EB1" s="24"/>
      <c r="EC1" s="24"/>
      <c r="ED1" s="24"/>
    </row>
    <row r="2" spans="1:134" ht="14.5">
      <c r="A2" s="25" t="s">
        <v>87</v>
      </c>
      <c r="B2" s="25" t="s">
        <v>84</v>
      </c>
      <c r="C2" s="25" t="s">
        <v>579</v>
      </c>
      <c r="D2" s="25" t="s">
        <v>88</v>
      </c>
      <c r="E2" s="22"/>
      <c r="F2" s="25" t="s">
        <v>87</v>
      </c>
      <c r="G2" s="25" t="s">
        <v>84</v>
      </c>
      <c r="H2" s="25" t="s">
        <v>579</v>
      </c>
      <c r="I2" s="25" t="s">
        <v>88</v>
      </c>
      <c r="J2" s="22"/>
      <c r="K2" s="25" t="s">
        <v>87</v>
      </c>
      <c r="L2" s="25" t="s">
        <v>84</v>
      </c>
      <c r="M2" s="25" t="s">
        <v>579</v>
      </c>
      <c r="N2" s="25" t="s">
        <v>88</v>
      </c>
      <c r="O2" s="22"/>
      <c r="P2" s="25" t="s">
        <v>87</v>
      </c>
      <c r="Q2" s="25" t="s">
        <v>84</v>
      </c>
      <c r="R2" s="25" t="s">
        <v>579</v>
      </c>
      <c r="S2" s="25" t="s">
        <v>88</v>
      </c>
      <c r="T2" s="22"/>
      <c r="U2" s="25" t="s">
        <v>87</v>
      </c>
      <c r="V2" s="25" t="s">
        <v>84</v>
      </c>
      <c r="W2" s="25" t="s">
        <v>579</v>
      </c>
      <c r="X2" s="25" t="s">
        <v>88</v>
      </c>
      <c r="Y2" s="22"/>
      <c r="Z2" s="25" t="s">
        <v>87</v>
      </c>
      <c r="AA2" s="25" t="s">
        <v>84</v>
      </c>
      <c r="AB2" s="25" t="s">
        <v>579</v>
      </c>
      <c r="AC2" s="25" t="s">
        <v>88</v>
      </c>
      <c r="AD2" s="22"/>
      <c r="AE2" s="25" t="s">
        <v>87</v>
      </c>
      <c r="AF2" s="25" t="s">
        <v>84</v>
      </c>
      <c r="AG2" s="25" t="s">
        <v>579</v>
      </c>
      <c r="AH2" s="25" t="s">
        <v>88</v>
      </c>
      <c r="AI2" s="22"/>
      <c r="AJ2" s="25" t="s">
        <v>87</v>
      </c>
      <c r="AK2" s="25" t="s">
        <v>84</v>
      </c>
      <c r="AL2" s="25" t="s">
        <v>579</v>
      </c>
      <c r="AM2" s="25" t="s">
        <v>88</v>
      </c>
      <c r="AN2" s="22"/>
      <c r="AO2" s="25" t="s">
        <v>87</v>
      </c>
      <c r="AP2" s="25" t="s">
        <v>84</v>
      </c>
      <c r="AQ2" s="25" t="s">
        <v>579</v>
      </c>
      <c r="AR2" s="25" t="s">
        <v>88</v>
      </c>
      <c r="AS2" s="22"/>
      <c r="AT2" s="25" t="s">
        <v>87</v>
      </c>
      <c r="AU2" s="25" t="s">
        <v>84</v>
      </c>
      <c r="AV2" s="25" t="s">
        <v>579</v>
      </c>
      <c r="AW2" s="25" t="s">
        <v>88</v>
      </c>
      <c r="AX2" s="22"/>
      <c r="AY2" s="25" t="s">
        <v>87</v>
      </c>
      <c r="AZ2" s="25" t="s">
        <v>84</v>
      </c>
      <c r="BA2" s="25" t="s">
        <v>579</v>
      </c>
      <c r="BB2" s="25" t="s">
        <v>88</v>
      </c>
      <c r="BC2" s="22"/>
      <c r="BD2" s="25" t="s">
        <v>87</v>
      </c>
      <c r="BE2" s="25" t="s">
        <v>84</v>
      </c>
      <c r="BF2" s="25" t="s">
        <v>579</v>
      </c>
      <c r="BG2" s="25" t="s">
        <v>88</v>
      </c>
      <c r="BH2" s="22"/>
      <c r="BI2" s="25" t="s">
        <v>87</v>
      </c>
      <c r="BJ2" s="25" t="s">
        <v>84</v>
      </c>
      <c r="BK2" s="25" t="s">
        <v>579</v>
      </c>
      <c r="BL2" s="25" t="s">
        <v>88</v>
      </c>
      <c r="BM2" s="22"/>
      <c r="BN2" s="25" t="s">
        <v>87</v>
      </c>
      <c r="BO2" s="25" t="s">
        <v>84</v>
      </c>
      <c r="BP2" s="25" t="s">
        <v>579</v>
      </c>
      <c r="BQ2" s="25" t="s">
        <v>88</v>
      </c>
      <c r="BR2" s="22"/>
      <c r="BS2" s="25" t="s">
        <v>87</v>
      </c>
      <c r="BT2" s="25" t="s">
        <v>84</v>
      </c>
      <c r="BU2" s="25" t="s">
        <v>579</v>
      </c>
      <c r="BV2" s="25" t="s">
        <v>88</v>
      </c>
      <c r="BW2" s="22"/>
      <c r="BX2" s="25" t="s">
        <v>87</v>
      </c>
      <c r="BY2" s="25" t="s">
        <v>84</v>
      </c>
      <c r="BZ2" s="25" t="s">
        <v>579</v>
      </c>
      <c r="CA2" s="25" t="s">
        <v>88</v>
      </c>
      <c r="CB2" s="22"/>
      <c r="CC2" s="25" t="s">
        <v>87</v>
      </c>
      <c r="CD2" s="25" t="s">
        <v>84</v>
      </c>
      <c r="CE2" s="25" t="s">
        <v>579</v>
      </c>
      <c r="CF2" s="25" t="s">
        <v>88</v>
      </c>
      <c r="CG2" s="22"/>
      <c r="CH2" s="25" t="s">
        <v>87</v>
      </c>
      <c r="CI2" s="25" t="s">
        <v>84</v>
      </c>
      <c r="CJ2" s="25" t="s">
        <v>579</v>
      </c>
      <c r="CK2" s="25" t="s">
        <v>88</v>
      </c>
      <c r="CL2" s="22"/>
      <c r="CM2" s="25" t="s">
        <v>87</v>
      </c>
      <c r="CN2" s="25" t="s">
        <v>84</v>
      </c>
      <c r="CO2" s="25" t="s">
        <v>579</v>
      </c>
      <c r="CP2" s="25" t="s">
        <v>88</v>
      </c>
      <c r="CQ2" s="22"/>
      <c r="CR2" s="25" t="s">
        <v>87</v>
      </c>
      <c r="CS2" s="25" t="s">
        <v>84</v>
      </c>
      <c r="CT2" s="25" t="s">
        <v>579</v>
      </c>
      <c r="CU2" s="25" t="s">
        <v>88</v>
      </c>
      <c r="CV2" s="22"/>
      <c r="CW2" s="25" t="s">
        <v>87</v>
      </c>
      <c r="CX2" s="25" t="s">
        <v>84</v>
      </c>
      <c r="CY2" s="25" t="s">
        <v>579</v>
      </c>
      <c r="CZ2" s="25" t="s">
        <v>88</v>
      </c>
      <c r="DA2" s="22"/>
      <c r="DB2" s="25" t="s">
        <v>87</v>
      </c>
      <c r="DC2" s="25" t="s">
        <v>84</v>
      </c>
      <c r="DD2" s="25" t="s">
        <v>579</v>
      </c>
      <c r="DE2" s="25" t="s">
        <v>88</v>
      </c>
      <c r="DF2" s="22"/>
      <c r="DG2" s="25" t="s">
        <v>87</v>
      </c>
      <c r="DH2" s="25" t="s">
        <v>84</v>
      </c>
      <c r="DI2" s="25" t="s">
        <v>579</v>
      </c>
      <c r="DJ2" s="25" t="s">
        <v>88</v>
      </c>
      <c r="DK2" s="22"/>
      <c r="DL2" s="25" t="s">
        <v>87</v>
      </c>
      <c r="DM2" s="25" t="s">
        <v>84</v>
      </c>
      <c r="DN2" s="25" t="s">
        <v>579</v>
      </c>
      <c r="DO2" s="25" t="s">
        <v>88</v>
      </c>
      <c r="DP2" s="22"/>
      <c r="DQ2" s="25" t="s">
        <v>87</v>
      </c>
      <c r="DR2" s="25" t="s">
        <v>84</v>
      </c>
      <c r="DS2" s="25" t="s">
        <v>579</v>
      </c>
      <c r="DT2" s="25" t="s">
        <v>88</v>
      </c>
      <c r="DU2" s="22"/>
      <c r="DV2" s="25" t="s">
        <v>87</v>
      </c>
      <c r="DW2" s="25" t="s">
        <v>84</v>
      </c>
      <c r="DX2" s="25" t="s">
        <v>579</v>
      </c>
      <c r="DY2" s="25" t="s">
        <v>88</v>
      </c>
      <c r="DZ2" s="22"/>
      <c r="EA2" s="25" t="s">
        <v>87</v>
      </c>
      <c r="EB2" s="25" t="s">
        <v>84</v>
      </c>
      <c r="EC2" s="25" t="s">
        <v>579</v>
      </c>
      <c r="ED2" s="25" t="s">
        <v>88</v>
      </c>
    </row>
    <row r="3" spans="1:134" ht="14.5">
      <c r="A3" s="26">
        <v>1</v>
      </c>
      <c r="B3" s="27" t="s">
        <v>593</v>
      </c>
      <c r="C3" s="26">
        <f>COUNTIF('6 فرق'!$D$4:$D$1999,$A3&amp;" ضد *")+COUNTIF('6 فرق'!$D$4:$D$1999,"* ضد "&amp;$A3)</f>
        <v>20</v>
      </c>
      <c r="D3" s="26">
        <f t="shared" ref="D3:D8" si="0">COUNTIF($B$3:$B$8,$B3)-1</f>
        <v>5</v>
      </c>
      <c r="E3" s="22"/>
      <c r="F3" s="26">
        <v>1</v>
      </c>
      <c r="G3" s="27" t="s">
        <v>593</v>
      </c>
      <c r="H3" s="26">
        <f>COUNTIF('7 فرق'!$D$4:$D$1999,$F3&amp;" ضد *")+COUNTIF('7 فرق'!$D$4:$D$1999,"* ضد "&amp;$F3)</f>
        <v>18</v>
      </c>
      <c r="I3" s="26">
        <f t="shared" ref="I3:I9" si="1">COUNTIF($G$3:$G$9,$G3)-1</f>
        <v>6</v>
      </c>
      <c r="J3" s="22"/>
      <c r="K3" s="26">
        <v>1</v>
      </c>
      <c r="L3" s="27" t="s">
        <v>593</v>
      </c>
      <c r="M3" s="26">
        <f>COUNTIF('8 فرق'!$D$4:$D$1999,$K3&amp;" ضد *")+COUNTIF('8 فرق'!$D$4:$D$1999,"* ضد "&amp;$K3)</f>
        <v>21</v>
      </c>
      <c r="N3" s="26">
        <f t="shared" ref="N3:N10" si="2">COUNTIF($L$3:$L$10,$L3)-1</f>
        <v>7</v>
      </c>
      <c r="O3" s="22"/>
      <c r="P3" s="26">
        <v>1</v>
      </c>
      <c r="Q3" s="27" t="s">
        <v>593</v>
      </c>
      <c r="R3" s="26">
        <f>COUNTIF('9 فرق'!$D$4:$D$1999,$P3&amp;" ضد *")+COUNTIF('9 فرق'!$D$4:$D$1999,"* ضد "&amp;$P3)</f>
        <v>18</v>
      </c>
      <c r="S3" s="26">
        <f t="shared" ref="S3:S11" si="3">COUNTIF($Q$3:$Q$11,$Q3)-1</f>
        <v>8</v>
      </c>
      <c r="T3" s="22"/>
      <c r="U3" s="26">
        <v>1</v>
      </c>
      <c r="V3" s="27" t="s">
        <v>593</v>
      </c>
      <c r="W3" s="26">
        <f>COUNTIF('11 فريقًا'!$D$4:$D$1999,$U3&amp;" ضد *")+COUNTIF('11 فريقًا'!$D$4:$D$1999,"* ضد "&amp;$U3)</f>
        <v>20</v>
      </c>
      <c r="X3" s="26">
        <f t="shared" ref="X3:X13" si="4">COUNTIF($V$3:$V$13,$V3)-1</f>
        <v>10</v>
      </c>
      <c r="Y3" s="22"/>
      <c r="Z3" s="26">
        <v>1</v>
      </c>
      <c r="AA3" s="27" t="s">
        <v>593</v>
      </c>
      <c r="AB3" s="26">
        <f>COUNTIF('12 فريقًا'!$D$4:$D$1999,$Z3&amp;" ضد *")+COUNTIF('12 فريقًا'!$D$4:$D$1999,"* ضد "&amp;$Z3)</f>
        <v>22</v>
      </c>
      <c r="AC3" s="26">
        <f t="shared" ref="AC3:AC14" si="5">COUNTIF($AA$3:$AA$14,$AA3)-1</f>
        <v>11</v>
      </c>
      <c r="AD3" s="22"/>
      <c r="AE3" s="26">
        <v>1</v>
      </c>
      <c r="AF3" s="27" t="s">
        <v>593</v>
      </c>
      <c r="AG3" s="26">
        <f>COUNTIF('13 فريقًا'!$E$4:$E$1999,$AE3&amp;" ضد *")+COUNTIF('13 فريقًا'!$E$4:$E$1999,"* ضد "&amp;$AE3)</f>
        <v>18</v>
      </c>
      <c r="AH3" s="26">
        <f t="shared" ref="AH3:AH15" si="6">COUNTIF($AF$3:$AF$15,$AF3)-1</f>
        <v>6</v>
      </c>
      <c r="AI3" s="22"/>
      <c r="AJ3" s="26">
        <v>1</v>
      </c>
      <c r="AK3" s="27" t="s">
        <v>593</v>
      </c>
      <c r="AL3" s="26">
        <f>COUNTIF('14 فريقًا'!$E$4:$E$1999,$AJ3&amp;" ضد *")+COUNTIF('14 فريقًا'!$E$4:$E$1999,"* ضد "&amp;$AJ3)</f>
        <v>18</v>
      </c>
      <c r="AM3" s="26">
        <f t="shared" ref="AM3:AM16" si="7">COUNTIF($AK$3:$AK$16,$AK3)-1</f>
        <v>6</v>
      </c>
      <c r="AN3" s="22"/>
      <c r="AO3" s="26">
        <v>1</v>
      </c>
      <c r="AP3" s="27" t="s">
        <v>593</v>
      </c>
      <c r="AQ3" s="26">
        <f>COUNTIF('15 فريقًا'!$E$4:$E$1999,$AO3&amp;" ضد *")+COUNTIF('15 فريقًا'!$E$4:$E$1999,"* ضد "&amp;$AO3)</f>
        <v>21</v>
      </c>
      <c r="AR3" s="26">
        <f t="shared" ref="AR3:AR17" si="8">COUNTIF($AP$3:$AP$17,$AP3)-1</f>
        <v>7</v>
      </c>
      <c r="AS3" s="22"/>
      <c r="AT3" s="26">
        <v>1</v>
      </c>
      <c r="AU3" s="27" t="s">
        <v>593</v>
      </c>
      <c r="AV3" s="26">
        <f>COUNTIF('16 فريقًا'!$E$4:$E$1999,$AT3&amp;" ضد *")+COUNTIF('16 فريقًا'!$E$4:$E$1999,"* ضد "&amp;$AT3)</f>
        <v>21</v>
      </c>
      <c r="AW3" s="26">
        <f t="shared" ref="AW3:AW18" si="9">COUNTIF($AU$3:$AU$18,$AU3)-1</f>
        <v>7</v>
      </c>
      <c r="AX3" s="22"/>
      <c r="AY3" s="26">
        <v>1</v>
      </c>
      <c r="AZ3" s="27" t="s">
        <v>593</v>
      </c>
      <c r="BA3" s="26">
        <f>COUNTIF('17 فريقًا'!$D$4:$D$1999,$AY3&amp;" ضد *")+COUNTIF('17 فريقًا'!$D$4:$D$1999,"* ضد "&amp;$AY3)</f>
        <v>18</v>
      </c>
      <c r="BB3" s="26">
        <f t="shared" ref="BB3:BB19" si="10">COUNTIF($AZ$3:$AZ$19,$AZ3)-1</f>
        <v>16</v>
      </c>
      <c r="BC3" s="22"/>
      <c r="BD3" s="26">
        <v>1</v>
      </c>
      <c r="BE3" s="27" t="s">
        <v>593</v>
      </c>
      <c r="BF3" s="26">
        <f>COUNTIF('18 فريقًا'!$E$4:$E$1999,$BD3&amp;" ضد *")+COUNTIF('18 فريقًا'!$E$4:$E$1999,"* ضد "&amp;$BD3)</f>
        <v>20</v>
      </c>
      <c r="BG3" s="26">
        <f t="shared" ref="BG3:BG20" si="11">COUNTIF($BE$3:$BE$20,$BE3)-1</f>
        <v>5</v>
      </c>
      <c r="BH3" s="22"/>
      <c r="BI3" s="26">
        <v>1</v>
      </c>
      <c r="BJ3" s="27" t="s">
        <v>593</v>
      </c>
      <c r="BK3" s="26">
        <f>COUNTIF('19 فريقًا'!$D$4:$D$1999,$BI3&amp;" ضد *")+COUNTIF('19 فريقًا'!$D$4:$D$1999,"* ضد "&amp;$BI3)</f>
        <v>18</v>
      </c>
      <c r="BL3" s="26">
        <f t="shared" ref="BL3:BL21" si="12">COUNTIF($BJ$3:$BJ$21,$BJ3)-1</f>
        <v>18</v>
      </c>
      <c r="BM3" s="22"/>
      <c r="BN3" s="26">
        <v>1</v>
      </c>
      <c r="BO3" s="27" t="s">
        <v>593</v>
      </c>
      <c r="BP3" s="26">
        <f>COUNTIF('20 فريقًا'!$D$4:$D$1999,$BN3&amp;" ضد *")+COUNTIF('20 فريقًا'!$D$4:$D$1999,"* ضد "&amp;$BN3)</f>
        <v>19</v>
      </c>
      <c r="BQ3" s="26">
        <f t="shared" ref="BQ3:BQ22" si="13">COUNTIF($BO$3:$BO$22,$BO3)-1</f>
        <v>19</v>
      </c>
      <c r="BR3" s="22"/>
      <c r="BS3" s="26">
        <v>1</v>
      </c>
      <c r="BT3" s="27" t="s">
        <v>593</v>
      </c>
      <c r="BU3" s="26">
        <f>COUNTIF('21 فريقًا'!$D$4:$D$1999,$BS3&amp;" ضد *")+COUNTIF('21 فريقًا'!$D$4:$D$1999,"* ضد "&amp;$BS3)</f>
        <v>20</v>
      </c>
      <c r="BV3" s="26">
        <f t="shared" ref="BV3:BV23" si="14">COUNTIF($BT$3:$BT$23,$BT3)-1</f>
        <v>20</v>
      </c>
      <c r="BW3" s="22"/>
      <c r="BX3" s="26">
        <v>1</v>
      </c>
      <c r="BY3" s="27" t="s">
        <v>593</v>
      </c>
      <c r="BZ3" s="26">
        <f>COUNTIF('22 فريقًا'!$D$4:$D$1999,$BX3&amp;" ضد *")+COUNTIF('22 فريقًا'!$D$4:$D$1999,"* ضد "&amp;$BX3)</f>
        <v>21</v>
      </c>
      <c r="CA3" s="26">
        <f t="shared" ref="CA3:CA24" si="15">COUNTIF($BY$3:$BY$24,$BY3)-1</f>
        <v>21</v>
      </c>
      <c r="CB3" s="22"/>
      <c r="CC3" s="26">
        <v>1</v>
      </c>
      <c r="CD3" s="27" t="s">
        <v>593</v>
      </c>
      <c r="CE3" s="26">
        <f>COUNTIF('23 فريقًا'!$E$4:$E$1999,$CC3&amp;" ضد *")+COUNTIF('23 فريقًا'!$E$4:$E$1999,"* ضد "&amp;$CC3)</f>
        <v>18</v>
      </c>
      <c r="CF3" s="26">
        <f t="shared" ref="CF3:CF25" si="16">COUNTIF($CD$3:$CD$25,$CD3)-1</f>
        <v>11</v>
      </c>
      <c r="CG3" s="22"/>
      <c r="CH3" s="26">
        <v>1</v>
      </c>
      <c r="CI3" s="27" t="s">
        <v>593</v>
      </c>
      <c r="CJ3" s="26">
        <f>COUNTIF('25 فريقًا'!$E$4:$E$1999,$CH3&amp;" ضد *")+COUNTIF('25 فريقًا'!$E$4:$E$1999,"* ضد "&amp;$CH3)</f>
        <v>18</v>
      </c>
      <c r="CK3" s="26">
        <f t="shared" ref="CK3:CK27" si="17">COUNTIF($CI$3:$CI$27,$CI3)-1</f>
        <v>12</v>
      </c>
      <c r="CL3" s="22"/>
      <c r="CM3" s="26">
        <v>1</v>
      </c>
      <c r="CN3" s="27" t="s">
        <v>593</v>
      </c>
      <c r="CO3" s="26">
        <f>COUNTIF('26 فريقًا'!$E$4:$E$1999,$CM3&amp;" ضد *")+COUNTIF('26 فريقًا'!$E$4:$E$1999,"* ضد "&amp;$CM3)</f>
        <v>18</v>
      </c>
      <c r="CP3" s="26">
        <f t="shared" ref="CP3:CP28" si="18">COUNTIF($CN$3:$CN$28,$CN3)-1</f>
        <v>13</v>
      </c>
      <c r="CQ3" s="22"/>
      <c r="CR3" s="26">
        <v>1</v>
      </c>
      <c r="CS3" s="27" t="s">
        <v>593</v>
      </c>
      <c r="CT3" s="26">
        <f>COUNTIF('27 فريقًا'!$E$4:$E$1999,$CR3&amp;" ضد *")+COUNTIF('27 فريقًا'!$E$4:$E$1999,"* ضد "&amp;$CR3)</f>
        <v>18</v>
      </c>
      <c r="CU3" s="26">
        <f t="shared" ref="CU3:CU29" si="19">COUNTIF($CS$3:$CS$29,$CS3)-1</f>
        <v>13</v>
      </c>
      <c r="CV3" s="22"/>
      <c r="CW3" s="26">
        <v>1</v>
      </c>
      <c r="CX3" s="27" t="s">
        <v>593</v>
      </c>
      <c r="CY3" s="26">
        <f>COUNTIF('29 فريقًا'!$E$4:$E$1999,$CW3&amp;" ضد *")+COUNTIF('29 فريقًا'!$E$4:$E$1999,"* ضد "&amp;$CW3)</f>
        <v>18</v>
      </c>
      <c r="CZ3" s="26">
        <f t="shared" ref="CZ3:CZ31" si="20">COUNTIF($CX$3:$CX$31,$CX3)-1</f>
        <v>14</v>
      </c>
      <c r="DA3" s="22"/>
      <c r="DB3" s="26">
        <v>1</v>
      </c>
      <c r="DC3" s="27" t="s">
        <v>593</v>
      </c>
      <c r="DD3" s="26">
        <f>COUNTIF('37 فريقًا'!$E$4:$E$1999,$DB3&amp;" ضد *")+COUNTIF('37 فريقًا'!$E$4:$E$1999,"* ضد "&amp;$DB3)</f>
        <v>18</v>
      </c>
      <c r="DE3" s="26">
        <f t="shared" ref="DE3:DE39" si="21">COUNTIF($DC$3:$DC$39,$DC3)-1</f>
        <v>18</v>
      </c>
      <c r="DF3" s="22"/>
      <c r="DG3" s="26">
        <v>1</v>
      </c>
      <c r="DH3" s="27" t="s">
        <v>593</v>
      </c>
      <c r="DI3" s="26">
        <f>COUNTIF('46 فريقًا'!$E$4:$E$1999,$DG3&amp;" ضد *")+COUNTIF('46 فريقًا'!$E$4:$E$1999,"* ضد "&amp;$DG3)</f>
        <v>18</v>
      </c>
      <c r="DJ3" s="26">
        <f t="shared" ref="DJ3:DJ48" si="22">COUNTIF($DH$3:$DH$48,$DH3)-1</f>
        <v>11</v>
      </c>
      <c r="DK3" s="22"/>
      <c r="DL3" s="26">
        <v>1</v>
      </c>
      <c r="DM3" s="27" t="s">
        <v>593</v>
      </c>
      <c r="DN3" s="26">
        <f>COUNTIF('54 فريقًا'!$E$4:$E$1999,$DL3&amp;" ضد *")+COUNTIF('54 فريقًا'!$E$4:$E$1999,"* ضد "&amp;$DL3)</f>
        <v>18</v>
      </c>
      <c r="DO3" s="26">
        <f t="shared" ref="DO3:DO34" si="23">COUNTIF($DM$3:$DM$56,$DM3)-1</f>
        <v>13</v>
      </c>
      <c r="DP3" s="22"/>
      <c r="DQ3" s="26">
        <v>1</v>
      </c>
      <c r="DR3" s="27" t="s">
        <v>593</v>
      </c>
      <c r="DS3" s="26">
        <f>COUNTIF('58 فريقًا'!$E$4:$E$1999,$DQ3&amp;" ضد *")+COUNTIF('58 فريقًا'!$E$4:$E$1999,"* ضد "&amp;$DQ3)</f>
        <v>19</v>
      </c>
      <c r="DT3" s="26">
        <f t="shared" ref="DT3:DT34" si="24">COUNTIF($DR$3:$DR$60,$DR3)-1</f>
        <v>19</v>
      </c>
      <c r="DU3" s="22"/>
      <c r="DV3" s="26">
        <v>1</v>
      </c>
      <c r="DW3" s="27" t="s">
        <v>593</v>
      </c>
      <c r="DX3" s="26">
        <f>COUNTIF('64 فريقًا'!$E$4:$E$1999,$DV3&amp;" ضد *")+COUNTIF('64 فريقًا'!$E$4:$E$1999,"* ضد "&amp;$DV3)</f>
        <v>18</v>
      </c>
      <c r="DY3" s="26">
        <f t="shared" ref="DY3:DY34" si="25">COUNTIF($DW$3:$DW$66,$DW3)-1</f>
        <v>15</v>
      </c>
      <c r="DZ3" s="22"/>
      <c r="EA3" s="26">
        <v>1</v>
      </c>
      <c r="EB3" s="27" t="s">
        <v>593</v>
      </c>
      <c r="EC3" s="26">
        <f>COUNTIF('67 فريقًا'!$E$4:$E$1999,$EA3&amp;" ضد *")+COUNTIF('67 فريقًا'!$E$4:$E$1999,"* ضد "&amp;$EA3)</f>
        <v>18</v>
      </c>
      <c r="ED3" s="26">
        <f t="shared" ref="ED3:ED34" si="26">COUNTIF($EB$3:$EB$69,$EB3)-1</f>
        <v>16</v>
      </c>
    </row>
    <row r="4" spans="1:134" ht="14.5">
      <c r="A4" s="26">
        <v>2</v>
      </c>
      <c r="B4" s="27" t="s">
        <v>593</v>
      </c>
      <c r="C4" s="26">
        <f>COUNTIF('6 فرق'!$D$4:$D$1999,$A4&amp;" ضد *")+COUNTIF('6 فرق'!$D$4:$D$1999,"* ضد "&amp;$A4)</f>
        <v>20</v>
      </c>
      <c r="D4" s="26">
        <f t="shared" si="0"/>
        <v>5</v>
      </c>
      <c r="E4" s="22"/>
      <c r="F4" s="26">
        <v>2</v>
      </c>
      <c r="G4" s="27" t="s">
        <v>593</v>
      </c>
      <c r="H4" s="26">
        <f>COUNTIF('7 فرق'!$D$4:$D$1999,$F4&amp;" ضد *")+COUNTIF('7 فرق'!$D$4:$D$1999,"* ضد "&amp;$F4)</f>
        <v>18</v>
      </c>
      <c r="I4" s="26">
        <f t="shared" si="1"/>
        <v>6</v>
      </c>
      <c r="J4" s="22"/>
      <c r="K4" s="26">
        <v>2</v>
      </c>
      <c r="L4" s="27" t="s">
        <v>593</v>
      </c>
      <c r="M4" s="26">
        <f>COUNTIF('8 فرق'!$D$4:$D$1999,$K4&amp;" ضد *")+COUNTIF('8 فرق'!$D$4:$D$1999,"* ضد "&amp;$K4)</f>
        <v>21</v>
      </c>
      <c r="N4" s="26">
        <f t="shared" si="2"/>
        <v>7</v>
      </c>
      <c r="O4" s="22"/>
      <c r="P4" s="26">
        <v>2</v>
      </c>
      <c r="Q4" s="27" t="s">
        <v>593</v>
      </c>
      <c r="R4" s="26">
        <f>COUNTIF('9 فرق'!$D$4:$D$1999,$P4&amp;" ضد *")+COUNTIF('9 فرق'!$D$4:$D$1999,"* ضد "&amp;$P4)</f>
        <v>18</v>
      </c>
      <c r="S4" s="26">
        <f t="shared" si="3"/>
        <v>8</v>
      </c>
      <c r="T4" s="22"/>
      <c r="U4" s="26">
        <v>2</v>
      </c>
      <c r="V4" s="27" t="s">
        <v>593</v>
      </c>
      <c r="W4" s="26">
        <f>COUNTIF('11 فريقًا'!$D$4:$D$1999,$U4&amp;" ضد *")+COUNTIF('11 فريقًا'!$D$4:$D$1999,"* ضد "&amp;$U4)</f>
        <v>20</v>
      </c>
      <c r="X4" s="26">
        <f t="shared" si="4"/>
        <v>10</v>
      </c>
      <c r="Y4" s="22"/>
      <c r="Z4" s="26">
        <v>2</v>
      </c>
      <c r="AA4" s="27" t="s">
        <v>593</v>
      </c>
      <c r="AB4" s="26">
        <f>COUNTIF('12 فريقًا'!$D$4:$D$1999,$Z4&amp;" ضد *")+COUNTIF('12 فريقًا'!$D$4:$D$1999,"* ضد "&amp;$Z4)</f>
        <v>22</v>
      </c>
      <c r="AC4" s="26">
        <f t="shared" si="5"/>
        <v>11</v>
      </c>
      <c r="AD4" s="22"/>
      <c r="AE4" s="26">
        <v>2</v>
      </c>
      <c r="AF4" s="27" t="s">
        <v>593</v>
      </c>
      <c r="AG4" s="26">
        <f>COUNTIF('13 فريقًا'!$E$4:$E$1999,$AE4&amp;" ضد *")+COUNTIF('13 فريقًا'!$E$4:$E$1999,"* ضد "&amp;$AE4)</f>
        <v>18</v>
      </c>
      <c r="AH4" s="26">
        <f t="shared" si="6"/>
        <v>6</v>
      </c>
      <c r="AI4" s="22"/>
      <c r="AJ4" s="26">
        <v>2</v>
      </c>
      <c r="AK4" s="27" t="s">
        <v>593</v>
      </c>
      <c r="AL4" s="26">
        <f>COUNTIF('14 فريقًا'!$E$4:$E$1999,$AJ4&amp;" ضد *")+COUNTIF('14 فريقًا'!$E$4:$E$1999,"* ضد "&amp;$AJ4)</f>
        <v>18</v>
      </c>
      <c r="AM4" s="26">
        <f t="shared" si="7"/>
        <v>6</v>
      </c>
      <c r="AN4" s="22"/>
      <c r="AO4" s="26">
        <v>2</v>
      </c>
      <c r="AP4" s="27" t="s">
        <v>593</v>
      </c>
      <c r="AQ4" s="26">
        <f>COUNTIF('15 فريقًا'!$E$4:$E$1999,$AO4&amp;" ضد *")+COUNTIF('15 فريقًا'!$E$4:$E$1999,"* ضد "&amp;$AO4)</f>
        <v>21</v>
      </c>
      <c r="AR4" s="26">
        <f t="shared" si="8"/>
        <v>7</v>
      </c>
      <c r="AS4" s="22"/>
      <c r="AT4" s="26">
        <v>2</v>
      </c>
      <c r="AU4" s="27" t="s">
        <v>593</v>
      </c>
      <c r="AV4" s="26">
        <f>COUNTIF('16 فريقًا'!$E$4:$E$1999,$AT4&amp;" ضد *")+COUNTIF('16 فريقًا'!$E$4:$E$1999,"* ضد "&amp;$AT4)</f>
        <v>21</v>
      </c>
      <c r="AW4" s="26">
        <f t="shared" si="9"/>
        <v>7</v>
      </c>
      <c r="AX4" s="22"/>
      <c r="AY4" s="26">
        <v>2</v>
      </c>
      <c r="AZ4" s="27" t="s">
        <v>593</v>
      </c>
      <c r="BA4" s="26">
        <f>COUNTIF('17 فريقًا'!$D$4:$D$1999,$AY4&amp;" ضد *")+COUNTIF('17 فريقًا'!$D$4:$D$1999,"* ضد "&amp;$AY4)</f>
        <v>18</v>
      </c>
      <c r="BB4" s="26">
        <f t="shared" si="10"/>
        <v>16</v>
      </c>
      <c r="BC4" s="22"/>
      <c r="BD4" s="26">
        <v>2</v>
      </c>
      <c r="BE4" s="27" t="s">
        <v>593</v>
      </c>
      <c r="BF4" s="26">
        <f>COUNTIF('18 فريقًا'!$E$4:$E$1999,$BD4&amp;" ضد *")+COUNTIF('18 فريقًا'!$E$4:$E$1999,"* ضد "&amp;$BD4)</f>
        <v>20</v>
      </c>
      <c r="BG4" s="26">
        <f t="shared" si="11"/>
        <v>5</v>
      </c>
      <c r="BH4" s="22"/>
      <c r="BI4" s="26">
        <v>2</v>
      </c>
      <c r="BJ4" s="27" t="s">
        <v>593</v>
      </c>
      <c r="BK4" s="26">
        <f>COUNTIF('19 فريقًا'!$D$4:$D$1999,$BI4&amp;" ضد *")+COUNTIF('19 فريقًا'!$D$4:$D$1999,"* ضد "&amp;$BI4)</f>
        <v>18</v>
      </c>
      <c r="BL4" s="26">
        <f t="shared" si="12"/>
        <v>18</v>
      </c>
      <c r="BM4" s="22"/>
      <c r="BN4" s="26">
        <v>2</v>
      </c>
      <c r="BO4" s="27" t="s">
        <v>593</v>
      </c>
      <c r="BP4" s="26">
        <f>COUNTIF('20 فريقًا'!$D$4:$D$1999,$BN4&amp;" ضد *")+COUNTIF('20 فريقًا'!$D$4:$D$1999,"* ضد "&amp;$BN4)</f>
        <v>19</v>
      </c>
      <c r="BQ4" s="26">
        <f t="shared" si="13"/>
        <v>19</v>
      </c>
      <c r="BR4" s="22"/>
      <c r="BS4" s="26">
        <v>2</v>
      </c>
      <c r="BT4" s="27" t="s">
        <v>593</v>
      </c>
      <c r="BU4" s="26">
        <f>COUNTIF('21 فريقًا'!$D$4:$D$1999,$BS4&amp;" ضد *")+COUNTIF('21 فريقًا'!$D$4:$D$1999,"* ضد "&amp;$BS4)</f>
        <v>20</v>
      </c>
      <c r="BV4" s="26">
        <f t="shared" si="14"/>
        <v>20</v>
      </c>
      <c r="BW4" s="22"/>
      <c r="BX4" s="26">
        <v>2</v>
      </c>
      <c r="BY4" s="27" t="s">
        <v>593</v>
      </c>
      <c r="BZ4" s="26">
        <f>COUNTIF('22 فريقًا'!$D$4:$D$1999,$BX4&amp;" ضد *")+COUNTIF('22 فريقًا'!$D$4:$D$1999,"* ضد "&amp;$BX4)</f>
        <v>21</v>
      </c>
      <c r="CA4" s="26">
        <f t="shared" si="15"/>
        <v>21</v>
      </c>
      <c r="CB4" s="22"/>
      <c r="CC4" s="26">
        <v>2</v>
      </c>
      <c r="CD4" s="27" t="s">
        <v>593</v>
      </c>
      <c r="CE4" s="26">
        <f>COUNTIF('23 فريقًا'!$E$4:$E$1999,$CC4&amp;" ضد *")+COUNTIF('23 فريقًا'!$E$4:$E$1999,"* ضد "&amp;$CC4)</f>
        <v>18</v>
      </c>
      <c r="CF4" s="26">
        <f t="shared" si="16"/>
        <v>11</v>
      </c>
      <c r="CG4" s="22"/>
      <c r="CH4" s="26">
        <v>2</v>
      </c>
      <c r="CI4" s="27" t="s">
        <v>593</v>
      </c>
      <c r="CJ4" s="26">
        <f>COUNTIF('25 فريقًا'!$E$4:$E$1999,$CH4&amp;" ضد *")+COUNTIF('25 فريقًا'!$E$4:$E$1999,"* ضد "&amp;$CH4)</f>
        <v>18</v>
      </c>
      <c r="CK4" s="26">
        <f t="shared" si="17"/>
        <v>12</v>
      </c>
      <c r="CL4" s="22"/>
      <c r="CM4" s="26">
        <v>2</v>
      </c>
      <c r="CN4" s="27" t="s">
        <v>593</v>
      </c>
      <c r="CO4" s="26">
        <f>COUNTIF('26 فريقًا'!$E$4:$E$1999,$CM4&amp;" ضد *")+COUNTIF('26 فريقًا'!$E$4:$E$1999,"* ضد "&amp;$CM4)</f>
        <v>18</v>
      </c>
      <c r="CP4" s="26">
        <f t="shared" si="18"/>
        <v>13</v>
      </c>
      <c r="CQ4" s="22"/>
      <c r="CR4" s="26">
        <v>2</v>
      </c>
      <c r="CS4" s="27" t="s">
        <v>593</v>
      </c>
      <c r="CT4" s="26">
        <f>COUNTIF('27 فريقًا'!$E$4:$E$1999,$CR4&amp;" ضد *")+COUNTIF('27 فريقًا'!$E$4:$E$1999,"* ضد "&amp;$CR4)</f>
        <v>18</v>
      </c>
      <c r="CU4" s="26">
        <f t="shared" si="19"/>
        <v>13</v>
      </c>
      <c r="CV4" s="22"/>
      <c r="CW4" s="26">
        <v>2</v>
      </c>
      <c r="CX4" s="27" t="s">
        <v>593</v>
      </c>
      <c r="CY4" s="26">
        <f>COUNTIF('29 فريقًا'!$E$4:$E$1999,$CW4&amp;" ضد *")+COUNTIF('29 فريقًا'!$E$4:$E$1999,"* ضد "&amp;$CW4)</f>
        <v>18</v>
      </c>
      <c r="CZ4" s="26">
        <f t="shared" si="20"/>
        <v>14</v>
      </c>
      <c r="DA4" s="22"/>
      <c r="DB4" s="26">
        <v>2</v>
      </c>
      <c r="DC4" s="27" t="s">
        <v>593</v>
      </c>
      <c r="DD4" s="26">
        <f>COUNTIF('37 فريقًا'!$E$4:$E$1999,$DB4&amp;" ضد *")+COUNTIF('37 فريقًا'!$E$4:$E$1999,"* ضد "&amp;$DB4)</f>
        <v>18</v>
      </c>
      <c r="DE4" s="26">
        <f t="shared" si="21"/>
        <v>18</v>
      </c>
      <c r="DF4" s="22"/>
      <c r="DG4" s="26">
        <v>2</v>
      </c>
      <c r="DH4" s="27" t="s">
        <v>593</v>
      </c>
      <c r="DI4" s="26">
        <f>COUNTIF('46 فريقًا'!$E$4:$E$1999,$DG4&amp;" ضد *")+COUNTIF('46 فريقًا'!$E$4:$E$1999,"* ضد "&amp;$DG4)</f>
        <v>18</v>
      </c>
      <c r="DJ4" s="26">
        <f t="shared" si="22"/>
        <v>11</v>
      </c>
      <c r="DK4" s="22"/>
      <c r="DL4" s="26">
        <v>2</v>
      </c>
      <c r="DM4" s="27" t="s">
        <v>593</v>
      </c>
      <c r="DN4" s="26">
        <f>COUNTIF('54 فريقًا'!$E$4:$E$1999,$DL4&amp;" ضد *")+COUNTIF('54 فريقًا'!$E$4:$E$1999,"* ضد "&amp;$DL4)</f>
        <v>18</v>
      </c>
      <c r="DO4" s="26">
        <f t="shared" si="23"/>
        <v>13</v>
      </c>
      <c r="DP4" s="22"/>
      <c r="DQ4" s="26">
        <v>2</v>
      </c>
      <c r="DR4" s="27" t="s">
        <v>593</v>
      </c>
      <c r="DS4" s="26">
        <f>COUNTIF('58 فريقًا'!$E$4:$E$1999,$DQ4&amp;" ضد *")+COUNTIF('58 فريقًا'!$E$4:$E$1999,"* ضد "&amp;$DQ4)</f>
        <v>19</v>
      </c>
      <c r="DT4" s="26">
        <f t="shared" si="24"/>
        <v>19</v>
      </c>
      <c r="DU4" s="22"/>
      <c r="DV4" s="26">
        <v>2</v>
      </c>
      <c r="DW4" s="27" t="s">
        <v>593</v>
      </c>
      <c r="DX4" s="26">
        <f>COUNTIF('64 فريقًا'!$E$4:$E$1999,$DV4&amp;" ضد *")+COUNTIF('64 فريقًا'!$E$4:$E$1999,"* ضد "&amp;$DV4)</f>
        <v>18</v>
      </c>
      <c r="DY4" s="26">
        <f t="shared" si="25"/>
        <v>15</v>
      </c>
      <c r="DZ4" s="22"/>
      <c r="EA4" s="26">
        <v>2</v>
      </c>
      <c r="EB4" s="27" t="s">
        <v>593</v>
      </c>
      <c r="EC4" s="26">
        <f>COUNTIF('67 فريقًا'!$E$4:$E$1999,$EA4&amp;" ضد *")+COUNTIF('67 فريقًا'!$E$4:$E$1999,"* ضد "&amp;$EA4)</f>
        <v>18</v>
      </c>
      <c r="ED4" s="26">
        <f t="shared" si="26"/>
        <v>16</v>
      </c>
    </row>
    <row r="5" spans="1:134" ht="14.5">
      <c r="A5" s="26">
        <v>3</v>
      </c>
      <c r="B5" s="27" t="s">
        <v>593</v>
      </c>
      <c r="C5" s="26">
        <f>COUNTIF('6 فرق'!$D$4:$D$1999,$A5&amp;" ضد *")+COUNTIF('6 فرق'!$D$4:$D$1999,"* ضد "&amp;$A5)</f>
        <v>20</v>
      </c>
      <c r="D5" s="26">
        <f t="shared" si="0"/>
        <v>5</v>
      </c>
      <c r="E5" s="22"/>
      <c r="F5" s="26">
        <v>3</v>
      </c>
      <c r="G5" s="27" t="s">
        <v>593</v>
      </c>
      <c r="H5" s="26">
        <f>COUNTIF('7 فرق'!$D$4:$D$1999,$F5&amp;" ضد *")+COUNTIF('7 فرق'!$D$4:$D$1999,"* ضد "&amp;$F5)</f>
        <v>18</v>
      </c>
      <c r="I5" s="26">
        <f t="shared" si="1"/>
        <v>6</v>
      </c>
      <c r="J5" s="22"/>
      <c r="K5" s="26">
        <v>3</v>
      </c>
      <c r="L5" s="27" t="s">
        <v>593</v>
      </c>
      <c r="M5" s="26">
        <f>COUNTIF('8 فرق'!$D$4:$D$1999,$K5&amp;" ضد *")+COUNTIF('8 فرق'!$D$4:$D$1999,"* ضد "&amp;$K5)</f>
        <v>21</v>
      </c>
      <c r="N5" s="26">
        <f t="shared" si="2"/>
        <v>7</v>
      </c>
      <c r="O5" s="22"/>
      <c r="P5" s="26">
        <v>3</v>
      </c>
      <c r="Q5" s="27" t="s">
        <v>593</v>
      </c>
      <c r="R5" s="26">
        <f>COUNTIF('9 فرق'!$D$4:$D$1999,$P5&amp;" ضد *")+COUNTIF('9 فرق'!$D$4:$D$1999,"* ضد "&amp;$P5)</f>
        <v>18</v>
      </c>
      <c r="S5" s="26">
        <f t="shared" si="3"/>
        <v>8</v>
      </c>
      <c r="T5" s="22"/>
      <c r="U5" s="26">
        <v>3</v>
      </c>
      <c r="V5" s="27" t="s">
        <v>593</v>
      </c>
      <c r="W5" s="26">
        <f>COUNTIF('11 فريقًا'!$D$4:$D$1999,$U5&amp;" ضد *")+COUNTIF('11 فريقًا'!$D$4:$D$1999,"* ضد "&amp;$U5)</f>
        <v>20</v>
      </c>
      <c r="X5" s="26">
        <f t="shared" si="4"/>
        <v>10</v>
      </c>
      <c r="Y5" s="22"/>
      <c r="Z5" s="26">
        <v>3</v>
      </c>
      <c r="AA5" s="27" t="s">
        <v>593</v>
      </c>
      <c r="AB5" s="26">
        <f>COUNTIF('12 فريقًا'!$D$4:$D$1999,$Z5&amp;" ضد *")+COUNTIF('12 فريقًا'!$D$4:$D$1999,"* ضد "&amp;$Z5)</f>
        <v>22</v>
      </c>
      <c r="AC5" s="26">
        <f t="shared" si="5"/>
        <v>11</v>
      </c>
      <c r="AD5" s="22"/>
      <c r="AE5" s="26">
        <v>3</v>
      </c>
      <c r="AF5" s="27" t="s">
        <v>593</v>
      </c>
      <c r="AG5" s="26">
        <f>COUNTIF('13 فريقًا'!$E$4:$E$1999,$AE5&amp;" ضد *")+COUNTIF('13 فريقًا'!$E$4:$E$1999,"* ضد "&amp;$AE5)</f>
        <v>18</v>
      </c>
      <c r="AH5" s="26">
        <f t="shared" si="6"/>
        <v>6</v>
      </c>
      <c r="AI5" s="22"/>
      <c r="AJ5" s="26">
        <v>3</v>
      </c>
      <c r="AK5" s="27" t="s">
        <v>593</v>
      </c>
      <c r="AL5" s="26">
        <f>COUNTIF('14 فريقًا'!$E$4:$E$1999,$AJ5&amp;" ضد *")+COUNTIF('14 فريقًا'!$E$4:$E$1999,"* ضد "&amp;$AJ5)</f>
        <v>18</v>
      </c>
      <c r="AM5" s="26">
        <f t="shared" si="7"/>
        <v>6</v>
      </c>
      <c r="AN5" s="22"/>
      <c r="AO5" s="26">
        <v>3</v>
      </c>
      <c r="AP5" s="27" t="s">
        <v>593</v>
      </c>
      <c r="AQ5" s="26">
        <f>COUNTIF('15 فريقًا'!$E$4:$E$1999,$AO5&amp;" ضد *")+COUNTIF('15 فريقًا'!$E$4:$E$1999,"* ضد "&amp;$AO5)</f>
        <v>21</v>
      </c>
      <c r="AR5" s="26">
        <f t="shared" si="8"/>
        <v>7</v>
      </c>
      <c r="AS5" s="22"/>
      <c r="AT5" s="26">
        <v>3</v>
      </c>
      <c r="AU5" s="27" t="s">
        <v>593</v>
      </c>
      <c r="AV5" s="26">
        <f>COUNTIF('16 فريقًا'!$E$4:$E$1999,$AT5&amp;" ضد *")+COUNTIF('16 فريقًا'!$E$4:$E$1999,"* ضد "&amp;$AT5)</f>
        <v>21</v>
      </c>
      <c r="AW5" s="26">
        <f t="shared" si="9"/>
        <v>7</v>
      </c>
      <c r="AX5" s="22"/>
      <c r="AY5" s="26">
        <v>3</v>
      </c>
      <c r="AZ5" s="27" t="s">
        <v>593</v>
      </c>
      <c r="BA5" s="26">
        <f>COUNTIF('17 فريقًا'!$D$4:$D$1999,$AY5&amp;" ضد *")+COUNTIF('17 فريقًا'!$D$4:$D$1999,"* ضد "&amp;$AY5)</f>
        <v>18</v>
      </c>
      <c r="BB5" s="26">
        <f t="shared" si="10"/>
        <v>16</v>
      </c>
      <c r="BC5" s="22"/>
      <c r="BD5" s="26">
        <v>3</v>
      </c>
      <c r="BE5" s="27" t="s">
        <v>593</v>
      </c>
      <c r="BF5" s="26">
        <f>COUNTIF('18 فريقًا'!$E$4:$E$1999,$BD5&amp;" ضد *")+COUNTIF('18 فريقًا'!$E$4:$E$1999,"* ضد "&amp;$BD5)</f>
        <v>20</v>
      </c>
      <c r="BG5" s="26">
        <f t="shared" si="11"/>
        <v>5</v>
      </c>
      <c r="BH5" s="22"/>
      <c r="BI5" s="26">
        <v>3</v>
      </c>
      <c r="BJ5" s="27" t="s">
        <v>593</v>
      </c>
      <c r="BK5" s="26">
        <f>COUNTIF('19 فريقًا'!$D$4:$D$1999,$BI5&amp;" ضد *")+COUNTIF('19 فريقًا'!$D$4:$D$1999,"* ضد "&amp;$BI5)</f>
        <v>18</v>
      </c>
      <c r="BL5" s="26">
        <f t="shared" si="12"/>
        <v>18</v>
      </c>
      <c r="BM5" s="22"/>
      <c r="BN5" s="26">
        <v>3</v>
      </c>
      <c r="BO5" s="27" t="s">
        <v>593</v>
      </c>
      <c r="BP5" s="26">
        <f>COUNTIF('20 فريقًا'!$D$4:$D$1999,$BN5&amp;" ضد *")+COUNTIF('20 فريقًا'!$D$4:$D$1999,"* ضد "&amp;$BN5)</f>
        <v>19</v>
      </c>
      <c r="BQ5" s="26">
        <f t="shared" si="13"/>
        <v>19</v>
      </c>
      <c r="BR5" s="22"/>
      <c r="BS5" s="26">
        <v>3</v>
      </c>
      <c r="BT5" s="27" t="s">
        <v>593</v>
      </c>
      <c r="BU5" s="26">
        <f>COUNTIF('21 فريقًا'!$D$4:$D$1999,$BS5&amp;" ضد *")+COUNTIF('21 فريقًا'!$D$4:$D$1999,"* ضد "&amp;$BS5)</f>
        <v>20</v>
      </c>
      <c r="BV5" s="26">
        <f t="shared" si="14"/>
        <v>20</v>
      </c>
      <c r="BW5" s="22"/>
      <c r="BX5" s="26">
        <v>3</v>
      </c>
      <c r="BY5" s="27" t="s">
        <v>593</v>
      </c>
      <c r="BZ5" s="26">
        <f>COUNTIF('22 فريقًا'!$D$4:$D$1999,$BX5&amp;" ضد *")+COUNTIF('22 فريقًا'!$D$4:$D$1999,"* ضد "&amp;$BX5)</f>
        <v>21</v>
      </c>
      <c r="CA5" s="26">
        <f t="shared" si="15"/>
        <v>21</v>
      </c>
      <c r="CB5" s="22"/>
      <c r="CC5" s="26">
        <v>3</v>
      </c>
      <c r="CD5" s="27" t="s">
        <v>593</v>
      </c>
      <c r="CE5" s="26">
        <f>COUNTIF('23 فريقًا'!$E$4:$E$1999,$CC5&amp;" ضد *")+COUNTIF('23 فريقًا'!$E$4:$E$1999,"* ضد "&amp;$CC5)</f>
        <v>18</v>
      </c>
      <c r="CF5" s="26">
        <f t="shared" si="16"/>
        <v>11</v>
      </c>
      <c r="CG5" s="22"/>
      <c r="CH5" s="26">
        <v>3</v>
      </c>
      <c r="CI5" s="27" t="s">
        <v>593</v>
      </c>
      <c r="CJ5" s="26">
        <f>COUNTIF('25 فريقًا'!$E$4:$E$1999,$CH5&amp;" ضد *")+COUNTIF('25 فريقًا'!$E$4:$E$1999,"* ضد "&amp;$CH5)</f>
        <v>18</v>
      </c>
      <c r="CK5" s="26">
        <f t="shared" si="17"/>
        <v>12</v>
      </c>
      <c r="CL5" s="22"/>
      <c r="CM5" s="26">
        <v>3</v>
      </c>
      <c r="CN5" s="27" t="s">
        <v>593</v>
      </c>
      <c r="CO5" s="26">
        <f>COUNTIF('26 فريقًا'!$E$4:$E$1999,$CM5&amp;" ضد *")+COUNTIF('26 فريقًا'!$E$4:$E$1999,"* ضد "&amp;$CM5)</f>
        <v>18</v>
      </c>
      <c r="CP5" s="26">
        <f t="shared" si="18"/>
        <v>13</v>
      </c>
      <c r="CQ5" s="22"/>
      <c r="CR5" s="26">
        <v>3</v>
      </c>
      <c r="CS5" s="27" t="s">
        <v>593</v>
      </c>
      <c r="CT5" s="26">
        <f>COUNTIF('27 فريقًا'!$E$4:$E$1999,$CR5&amp;" ضد *")+COUNTIF('27 فريقًا'!$E$4:$E$1999,"* ضد "&amp;$CR5)</f>
        <v>18</v>
      </c>
      <c r="CU5" s="26">
        <f t="shared" si="19"/>
        <v>13</v>
      </c>
      <c r="CV5" s="22"/>
      <c r="CW5" s="26">
        <v>3</v>
      </c>
      <c r="CX5" s="27" t="s">
        <v>593</v>
      </c>
      <c r="CY5" s="26">
        <f>COUNTIF('29 فريقًا'!$E$4:$E$1999,$CW5&amp;" ضد *")+COUNTIF('29 فريقًا'!$E$4:$E$1999,"* ضد "&amp;$CW5)</f>
        <v>18</v>
      </c>
      <c r="CZ5" s="26">
        <f t="shared" si="20"/>
        <v>14</v>
      </c>
      <c r="DA5" s="22"/>
      <c r="DB5" s="26">
        <v>3</v>
      </c>
      <c r="DC5" s="27" t="s">
        <v>593</v>
      </c>
      <c r="DD5" s="26">
        <f>COUNTIF('37 فريقًا'!$E$4:$E$1999,$DB5&amp;" ضد *")+COUNTIF('37 فريقًا'!$E$4:$E$1999,"* ضد "&amp;$DB5)</f>
        <v>18</v>
      </c>
      <c r="DE5" s="26">
        <f t="shared" si="21"/>
        <v>18</v>
      </c>
      <c r="DF5" s="22"/>
      <c r="DG5" s="26">
        <v>3</v>
      </c>
      <c r="DH5" s="27" t="s">
        <v>593</v>
      </c>
      <c r="DI5" s="26">
        <f>COUNTIF('46 فريقًا'!$E$4:$E$1999,$DG5&amp;" ضد *")+COUNTIF('46 فريقًا'!$E$4:$E$1999,"* ضد "&amp;$DG5)</f>
        <v>18</v>
      </c>
      <c r="DJ5" s="26">
        <f t="shared" si="22"/>
        <v>11</v>
      </c>
      <c r="DK5" s="22"/>
      <c r="DL5" s="26">
        <v>3</v>
      </c>
      <c r="DM5" s="27" t="s">
        <v>593</v>
      </c>
      <c r="DN5" s="26">
        <f>COUNTIF('54 فريقًا'!$E$4:$E$1999,$DL5&amp;" ضد *")+COUNTIF('54 فريقًا'!$E$4:$E$1999,"* ضد "&amp;$DL5)</f>
        <v>18</v>
      </c>
      <c r="DO5" s="26">
        <f t="shared" si="23"/>
        <v>13</v>
      </c>
      <c r="DP5" s="22"/>
      <c r="DQ5" s="26">
        <v>3</v>
      </c>
      <c r="DR5" s="27" t="s">
        <v>593</v>
      </c>
      <c r="DS5" s="26">
        <f>COUNTIF('58 فريقًا'!$E$4:$E$1999,$DQ5&amp;" ضد *")+COUNTIF('58 فريقًا'!$E$4:$E$1999,"* ضد "&amp;$DQ5)</f>
        <v>19</v>
      </c>
      <c r="DT5" s="26">
        <f t="shared" si="24"/>
        <v>19</v>
      </c>
      <c r="DU5" s="22"/>
      <c r="DV5" s="26">
        <v>3</v>
      </c>
      <c r="DW5" s="27" t="s">
        <v>593</v>
      </c>
      <c r="DX5" s="26">
        <f>COUNTIF('64 فريقًا'!$E$4:$E$1999,$DV5&amp;" ضد *")+COUNTIF('64 فريقًا'!$E$4:$E$1999,"* ضد "&amp;$DV5)</f>
        <v>18</v>
      </c>
      <c r="DY5" s="26">
        <f t="shared" si="25"/>
        <v>15</v>
      </c>
      <c r="DZ5" s="22"/>
      <c r="EA5" s="26">
        <v>3</v>
      </c>
      <c r="EB5" s="27" t="s">
        <v>593</v>
      </c>
      <c r="EC5" s="26">
        <f>COUNTIF('67 فريقًا'!$E$4:$E$1999,$EA5&amp;" ضد *")+COUNTIF('67 فريقًا'!$E$4:$E$1999,"* ضد "&amp;$EA5)</f>
        <v>18</v>
      </c>
      <c r="ED5" s="26">
        <f t="shared" si="26"/>
        <v>16</v>
      </c>
    </row>
    <row r="6" spans="1:134" ht="14.5">
      <c r="A6" s="26">
        <v>4</v>
      </c>
      <c r="B6" s="27" t="s">
        <v>593</v>
      </c>
      <c r="C6" s="26">
        <f>COUNTIF('6 فرق'!$D$4:$D$1999,$A6&amp;" ضد *")+COUNTIF('6 فرق'!$D$4:$D$1999,"* ضد "&amp;$A6)</f>
        <v>20</v>
      </c>
      <c r="D6" s="26">
        <f t="shared" si="0"/>
        <v>5</v>
      </c>
      <c r="E6" s="22"/>
      <c r="F6" s="26">
        <v>4</v>
      </c>
      <c r="G6" s="27" t="s">
        <v>593</v>
      </c>
      <c r="H6" s="26">
        <f>COUNTIF('7 فرق'!$D$4:$D$1999,$F6&amp;" ضد *")+COUNTIF('7 فرق'!$D$4:$D$1999,"* ضد "&amp;$F6)</f>
        <v>18</v>
      </c>
      <c r="I6" s="26">
        <f t="shared" si="1"/>
        <v>6</v>
      </c>
      <c r="J6" s="22"/>
      <c r="K6" s="26">
        <v>4</v>
      </c>
      <c r="L6" s="27" t="s">
        <v>593</v>
      </c>
      <c r="M6" s="26">
        <f>COUNTIF('8 فرق'!$D$4:$D$1999,$K6&amp;" ضد *")+COUNTIF('8 فرق'!$D$4:$D$1999,"* ضد "&amp;$K6)</f>
        <v>21</v>
      </c>
      <c r="N6" s="26">
        <f t="shared" si="2"/>
        <v>7</v>
      </c>
      <c r="O6" s="22"/>
      <c r="P6" s="26">
        <v>4</v>
      </c>
      <c r="Q6" s="27" t="s">
        <v>593</v>
      </c>
      <c r="R6" s="26">
        <f>COUNTIF('9 فرق'!$D$4:$D$1999,$P6&amp;" ضد *")+COUNTIF('9 فرق'!$D$4:$D$1999,"* ضد "&amp;$P6)</f>
        <v>18</v>
      </c>
      <c r="S6" s="26">
        <f t="shared" si="3"/>
        <v>8</v>
      </c>
      <c r="T6" s="22"/>
      <c r="U6" s="26">
        <v>4</v>
      </c>
      <c r="V6" s="27" t="s">
        <v>593</v>
      </c>
      <c r="W6" s="26">
        <f>COUNTIF('11 فريقًا'!$D$4:$D$1999,$U6&amp;" ضد *")+COUNTIF('11 فريقًا'!$D$4:$D$1999,"* ضد "&amp;$U6)</f>
        <v>20</v>
      </c>
      <c r="X6" s="26">
        <f t="shared" si="4"/>
        <v>10</v>
      </c>
      <c r="Y6" s="22"/>
      <c r="Z6" s="26">
        <v>4</v>
      </c>
      <c r="AA6" s="27" t="s">
        <v>593</v>
      </c>
      <c r="AB6" s="26">
        <f>COUNTIF('12 فريقًا'!$D$4:$D$1999,$Z6&amp;" ضد *")+COUNTIF('12 فريقًا'!$D$4:$D$1999,"* ضد "&amp;$Z6)</f>
        <v>22</v>
      </c>
      <c r="AC6" s="26">
        <f t="shared" si="5"/>
        <v>11</v>
      </c>
      <c r="AD6" s="22"/>
      <c r="AE6" s="26">
        <v>4</v>
      </c>
      <c r="AF6" s="27" t="s">
        <v>593</v>
      </c>
      <c r="AG6" s="26">
        <f>COUNTIF('13 فريقًا'!$E$4:$E$1999,$AE6&amp;" ضد *")+COUNTIF('13 فريقًا'!$E$4:$E$1999,"* ضد "&amp;$AE6)</f>
        <v>18</v>
      </c>
      <c r="AH6" s="26">
        <f t="shared" si="6"/>
        <v>6</v>
      </c>
      <c r="AI6" s="22"/>
      <c r="AJ6" s="26">
        <v>4</v>
      </c>
      <c r="AK6" s="27" t="s">
        <v>593</v>
      </c>
      <c r="AL6" s="26">
        <f>COUNTIF('14 فريقًا'!$E$4:$E$1999,$AJ6&amp;" ضد *")+COUNTIF('14 فريقًا'!$E$4:$E$1999,"* ضد "&amp;$AJ6)</f>
        <v>18</v>
      </c>
      <c r="AM6" s="26">
        <f t="shared" si="7"/>
        <v>6</v>
      </c>
      <c r="AN6" s="22"/>
      <c r="AO6" s="26">
        <v>4</v>
      </c>
      <c r="AP6" s="27" t="s">
        <v>593</v>
      </c>
      <c r="AQ6" s="26">
        <f>COUNTIF('15 فريقًا'!$E$4:$E$1999,$AO6&amp;" ضد *")+COUNTIF('15 فريقًا'!$E$4:$E$1999,"* ضد "&amp;$AO6)</f>
        <v>21</v>
      </c>
      <c r="AR6" s="26">
        <f t="shared" si="8"/>
        <v>7</v>
      </c>
      <c r="AS6" s="22"/>
      <c r="AT6" s="26">
        <v>4</v>
      </c>
      <c r="AU6" s="27" t="s">
        <v>593</v>
      </c>
      <c r="AV6" s="26">
        <f>COUNTIF('16 فريقًا'!$E$4:$E$1999,$AT6&amp;" ضد *")+COUNTIF('16 فريقًا'!$E$4:$E$1999,"* ضد "&amp;$AT6)</f>
        <v>21</v>
      </c>
      <c r="AW6" s="26">
        <f t="shared" si="9"/>
        <v>7</v>
      </c>
      <c r="AX6" s="22"/>
      <c r="AY6" s="26">
        <v>4</v>
      </c>
      <c r="AZ6" s="27" t="s">
        <v>593</v>
      </c>
      <c r="BA6" s="26">
        <f>COUNTIF('17 فريقًا'!$D$4:$D$1999,$AY6&amp;" ضد *")+COUNTIF('17 فريقًا'!$D$4:$D$1999,"* ضد "&amp;$AY6)</f>
        <v>18</v>
      </c>
      <c r="BB6" s="26">
        <f t="shared" si="10"/>
        <v>16</v>
      </c>
      <c r="BC6" s="22"/>
      <c r="BD6" s="26">
        <v>4</v>
      </c>
      <c r="BE6" s="27" t="s">
        <v>593</v>
      </c>
      <c r="BF6" s="26">
        <f>COUNTIF('18 فريقًا'!$E$4:$E$1999,$BD6&amp;" ضد *")+COUNTIF('18 فريقًا'!$E$4:$E$1999,"* ضد "&amp;$BD6)</f>
        <v>20</v>
      </c>
      <c r="BG6" s="26">
        <f t="shared" si="11"/>
        <v>5</v>
      </c>
      <c r="BH6" s="22"/>
      <c r="BI6" s="26">
        <v>4</v>
      </c>
      <c r="BJ6" s="27" t="s">
        <v>593</v>
      </c>
      <c r="BK6" s="26">
        <f>COUNTIF('19 فريقًا'!$D$4:$D$1999,$BI6&amp;" ضد *")+COUNTIF('19 فريقًا'!$D$4:$D$1999,"* ضد "&amp;$BI6)</f>
        <v>18</v>
      </c>
      <c r="BL6" s="26">
        <f t="shared" si="12"/>
        <v>18</v>
      </c>
      <c r="BM6" s="22"/>
      <c r="BN6" s="26">
        <v>4</v>
      </c>
      <c r="BO6" s="27" t="s">
        <v>593</v>
      </c>
      <c r="BP6" s="26">
        <f>COUNTIF('20 فريقًا'!$D$4:$D$1999,$BN6&amp;" ضد *")+COUNTIF('20 فريقًا'!$D$4:$D$1999,"* ضد "&amp;$BN6)</f>
        <v>19</v>
      </c>
      <c r="BQ6" s="26">
        <f t="shared" si="13"/>
        <v>19</v>
      </c>
      <c r="BR6" s="22"/>
      <c r="BS6" s="26">
        <v>4</v>
      </c>
      <c r="BT6" s="27" t="s">
        <v>593</v>
      </c>
      <c r="BU6" s="26">
        <f>COUNTIF('21 فريقًا'!$D$4:$D$1999,$BS6&amp;" ضد *")+COUNTIF('21 فريقًا'!$D$4:$D$1999,"* ضد "&amp;$BS6)</f>
        <v>20</v>
      </c>
      <c r="BV6" s="26">
        <f t="shared" si="14"/>
        <v>20</v>
      </c>
      <c r="BW6" s="22"/>
      <c r="BX6" s="26">
        <v>4</v>
      </c>
      <c r="BY6" s="27" t="s">
        <v>593</v>
      </c>
      <c r="BZ6" s="26">
        <f>COUNTIF('22 فريقًا'!$D$4:$D$1999,$BX6&amp;" ضد *")+COUNTIF('22 فريقًا'!$D$4:$D$1999,"* ضد "&amp;$BX6)</f>
        <v>21</v>
      </c>
      <c r="CA6" s="26">
        <f t="shared" si="15"/>
        <v>21</v>
      </c>
      <c r="CB6" s="22"/>
      <c r="CC6" s="26">
        <v>4</v>
      </c>
      <c r="CD6" s="27" t="s">
        <v>593</v>
      </c>
      <c r="CE6" s="26">
        <f>COUNTIF('23 فريقًا'!$E$4:$E$1999,$CC6&amp;" ضد *")+COUNTIF('23 فريقًا'!$E$4:$E$1999,"* ضد "&amp;$CC6)</f>
        <v>18</v>
      </c>
      <c r="CF6" s="26">
        <f t="shared" si="16"/>
        <v>11</v>
      </c>
      <c r="CG6" s="22"/>
      <c r="CH6" s="26">
        <v>4</v>
      </c>
      <c r="CI6" s="27" t="s">
        <v>593</v>
      </c>
      <c r="CJ6" s="26">
        <f>COUNTIF('25 فريقًا'!$E$4:$E$1999,$CH6&amp;" ضد *")+COUNTIF('25 فريقًا'!$E$4:$E$1999,"* ضد "&amp;$CH6)</f>
        <v>18</v>
      </c>
      <c r="CK6" s="26">
        <f t="shared" si="17"/>
        <v>12</v>
      </c>
      <c r="CL6" s="22"/>
      <c r="CM6" s="26">
        <v>4</v>
      </c>
      <c r="CN6" s="27" t="s">
        <v>593</v>
      </c>
      <c r="CO6" s="26">
        <f>COUNTIF('26 فريقًا'!$E$4:$E$1999,$CM6&amp;" ضد *")+COUNTIF('26 فريقًا'!$E$4:$E$1999,"* ضد "&amp;$CM6)</f>
        <v>18</v>
      </c>
      <c r="CP6" s="26">
        <f t="shared" si="18"/>
        <v>13</v>
      </c>
      <c r="CQ6" s="22"/>
      <c r="CR6" s="26">
        <v>4</v>
      </c>
      <c r="CS6" s="27" t="s">
        <v>593</v>
      </c>
      <c r="CT6" s="26">
        <f>COUNTIF('27 فريقًا'!$E$4:$E$1999,$CR6&amp;" ضد *")+COUNTIF('27 فريقًا'!$E$4:$E$1999,"* ضد "&amp;$CR6)</f>
        <v>18</v>
      </c>
      <c r="CU6" s="26">
        <f t="shared" si="19"/>
        <v>13</v>
      </c>
      <c r="CV6" s="22"/>
      <c r="CW6" s="26">
        <v>4</v>
      </c>
      <c r="CX6" s="27" t="s">
        <v>593</v>
      </c>
      <c r="CY6" s="26">
        <f>COUNTIF('29 فريقًا'!$E$4:$E$1999,$CW6&amp;" ضد *")+COUNTIF('29 فريقًا'!$E$4:$E$1999,"* ضد "&amp;$CW6)</f>
        <v>18</v>
      </c>
      <c r="CZ6" s="26">
        <f t="shared" si="20"/>
        <v>14</v>
      </c>
      <c r="DA6" s="22"/>
      <c r="DB6" s="26">
        <v>4</v>
      </c>
      <c r="DC6" s="27" t="s">
        <v>593</v>
      </c>
      <c r="DD6" s="26">
        <f>COUNTIF('37 فريقًا'!$E$4:$E$1999,$DB6&amp;" ضد *")+COUNTIF('37 فريقًا'!$E$4:$E$1999,"* ضد "&amp;$DB6)</f>
        <v>18</v>
      </c>
      <c r="DE6" s="26">
        <f t="shared" si="21"/>
        <v>18</v>
      </c>
      <c r="DF6" s="22"/>
      <c r="DG6" s="26">
        <v>4</v>
      </c>
      <c r="DH6" s="27" t="s">
        <v>593</v>
      </c>
      <c r="DI6" s="26">
        <f>COUNTIF('46 فريقًا'!$E$4:$E$1999,$DG6&amp;" ضد *")+COUNTIF('46 فريقًا'!$E$4:$E$1999,"* ضد "&amp;$DG6)</f>
        <v>18</v>
      </c>
      <c r="DJ6" s="26">
        <f t="shared" si="22"/>
        <v>11</v>
      </c>
      <c r="DK6" s="22"/>
      <c r="DL6" s="26">
        <v>4</v>
      </c>
      <c r="DM6" s="27" t="s">
        <v>593</v>
      </c>
      <c r="DN6" s="26">
        <f>COUNTIF('54 فريقًا'!$E$4:$E$1999,$DL6&amp;" ضد *")+COUNTIF('54 فريقًا'!$E$4:$E$1999,"* ضد "&amp;$DL6)</f>
        <v>18</v>
      </c>
      <c r="DO6" s="26">
        <f t="shared" si="23"/>
        <v>13</v>
      </c>
      <c r="DP6" s="22"/>
      <c r="DQ6" s="26">
        <v>4</v>
      </c>
      <c r="DR6" s="27" t="s">
        <v>593</v>
      </c>
      <c r="DS6" s="26">
        <f>COUNTIF('58 فريقًا'!$E$4:$E$1999,$DQ6&amp;" ضد *")+COUNTIF('58 فريقًا'!$E$4:$E$1999,"* ضد "&amp;$DQ6)</f>
        <v>19</v>
      </c>
      <c r="DT6" s="26">
        <f t="shared" si="24"/>
        <v>19</v>
      </c>
      <c r="DU6" s="22"/>
      <c r="DV6" s="26">
        <v>4</v>
      </c>
      <c r="DW6" s="27" t="s">
        <v>593</v>
      </c>
      <c r="DX6" s="26">
        <f>COUNTIF('64 فريقًا'!$E$4:$E$1999,$DV6&amp;" ضد *")+COUNTIF('64 فريقًا'!$E$4:$E$1999,"* ضد "&amp;$DV6)</f>
        <v>18</v>
      </c>
      <c r="DY6" s="26">
        <f t="shared" si="25"/>
        <v>15</v>
      </c>
      <c r="DZ6" s="22"/>
      <c r="EA6" s="26">
        <v>4</v>
      </c>
      <c r="EB6" s="27" t="s">
        <v>593</v>
      </c>
      <c r="EC6" s="26">
        <f>COUNTIF('67 فريقًا'!$E$4:$E$1999,$EA6&amp;" ضد *")+COUNTIF('67 فريقًا'!$E$4:$E$1999,"* ضد "&amp;$EA6)</f>
        <v>18</v>
      </c>
      <c r="ED6" s="26">
        <f t="shared" si="26"/>
        <v>16</v>
      </c>
    </row>
    <row r="7" spans="1:134" ht="14.5">
      <c r="A7" s="26">
        <v>5</v>
      </c>
      <c r="B7" s="27" t="s">
        <v>593</v>
      </c>
      <c r="C7" s="26">
        <f>COUNTIF('6 فرق'!$D$4:$D$1999,$A7&amp;" ضد *")+COUNTIF('6 فرق'!$D$4:$D$1999,"* ضد "&amp;$A7)</f>
        <v>20</v>
      </c>
      <c r="D7" s="26">
        <f t="shared" si="0"/>
        <v>5</v>
      </c>
      <c r="E7" s="22"/>
      <c r="F7" s="26">
        <v>5</v>
      </c>
      <c r="G7" s="27" t="s">
        <v>593</v>
      </c>
      <c r="H7" s="26">
        <f>COUNTIF('7 فرق'!$D$4:$D$1999,$F7&amp;" ضد *")+COUNTIF('7 فرق'!$D$4:$D$1999,"* ضد "&amp;$F7)</f>
        <v>18</v>
      </c>
      <c r="I7" s="26">
        <f t="shared" si="1"/>
        <v>6</v>
      </c>
      <c r="J7" s="22"/>
      <c r="K7" s="26">
        <v>5</v>
      </c>
      <c r="L7" s="27" t="s">
        <v>593</v>
      </c>
      <c r="M7" s="26">
        <f>COUNTIF('8 فرق'!$D$4:$D$1999,$K7&amp;" ضد *")+COUNTIF('8 فرق'!$D$4:$D$1999,"* ضد "&amp;$K7)</f>
        <v>21</v>
      </c>
      <c r="N7" s="26">
        <f t="shared" si="2"/>
        <v>7</v>
      </c>
      <c r="O7" s="22"/>
      <c r="P7" s="26">
        <v>5</v>
      </c>
      <c r="Q7" s="27" t="s">
        <v>593</v>
      </c>
      <c r="R7" s="26">
        <f>COUNTIF('9 فرق'!$D$4:$D$1999,$P7&amp;" ضد *")+COUNTIF('9 فرق'!$D$4:$D$1999,"* ضد "&amp;$P7)</f>
        <v>18</v>
      </c>
      <c r="S7" s="26">
        <f t="shared" si="3"/>
        <v>8</v>
      </c>
      <c r="T7" s="22"/>
      <c r="U7" s="26">
        <v>5</v>
      </c>
      <c r="V7" s="27" t="s">
        <v>593</v>
      </c>
      <c r="W7" s="26">
        <f>COUNTIF('11 فريقًا'!$D$4:$D$1999,$U7&amp;" ضد *")+COUNTIF('11 فريقًا'!$D$4:$D$1999,"* ضد "&amp;$U7)</f>
        <v>20</v>
      </c>
      <c r="X7" s="26">
        <f t="shared" si="4"/>
        <v>10</v>
      </c>
      <c r="Y7" s="22"/>
      <c r="Z7" s="26">
        <v>5</v>
      </c>
      <c r="AA7" s="27" t="s">
        <v>593</v>
      </c>
      <c r="AB7" s="26">
        <f>COUNTIF('12 فريقًا'!$D$4:$D$1999,$Z7&amp;" ضد *")+COUNTIF('12 فريقًا'!$D$4:$D$1999,"* ضد "&amp;$Z7)</f>
        <v>22</v>
      </c>
      <c r="AC7" s="26">
        <f t="shared" si="5"/>
        <v>11</v>
      </c>
      <c r="AD7" s="22"/>
      <c r="AE7" s="26">
        <v>5</v>
      </c>
      <c r="AF7" s="27" t="s">
        <v>593</v>
      </c>
      <c r="AG7" s="26">
        <f>COUNTIF('13 فريقًا'!$E$4:$E$1999,$AE7&amp;" ضد *")+COUNTIF('13 فريقًا'!$E$4:$E$1999,"* ضد "&amp;$AE7)</f>
        <v>18</v>
      </c>
      <c r="AH7" s="26">
        <f t="shared" si="6"/>
        <v>6</v>
      </c>
      <c r="AI7" s="22"/>
      <c r="AJ7" s="26">
        <v>5</v>
      </c>
      <c r="AK7" s="27" t="s">
        <v>593</v>
      </c>
      <c r="AL7" s="26">
        <f>COUNTIF('14 فريقًا'!$E$4:$E$1999,$AJ7&amp;" ضد *")+COUNTIF('14 فريقًا'!$E$4:$E$1999,"* ضد "&amp;$AJ7)</f>
        <v>18</v>
      </c>
      <c r="AM7" s="26">
        <f t="shared" si="7"/>
        <v>6</v>
      </c>
      <c r="AN7" s="22"/>
      <c r="AO7" s="26">
        <v>5</v>
      </c>
      <c r="AP7" s="27" t="s">
        <v>593</v>
      </c>
      <c r="AQ7" s="26">
        <f>COUNTIF('15 فريقًا'!$E$4:$E$1999,$AO7&amp;" ضد *")+COUNTIF('15 فريقًا'!$E$4:$E$1999,"* ضد "&amp;$AO7)</f>
        <v>21</v>
      </c>
      <c r="AR7" s="26">
        <f t="shared" si="8"/>
        <v>7</v>
      </c>
      <c r="AS7" s="22"/>
      <c r="AT7" s="26">
        <v>5</v>
      </c>
      <c r="AU7" s="27" t="s">
        <v>593</v>
      </c>
      <c r="AV7" s="26">
        <f>COUNTIF('16 فريقًا'!$E$4:$E$1999,$AT7&amp;" ضد *")+COUNTIF('16 فريقًا'!$E$4:$E$1999,"* ضد "&amp;$AT7)</f>
        <v>21</v>
      </c>
      <c r="AW7" s="26">
        <f t="shared" si="9"/>
        <v>7</v>
      </c>
      <c r="AX7" s="22"/>
      <c r="AY7" s="26">
        <v>5</v>
      </c>
      <c r="AZ7" s="27" t="s">
        <v>593</v>
      </c>
      <c r="BA7" s="26">
        <f>COUNTIF('17 فريقًا'!$D$4:$D$1999,$AY7&amp;" ضد *")+COUNTIF('17 فريقًا'!$D$4:$D$1999,"* ضد "&amp;$AY7)</f>
        <v>18</v>
      </c>
      <c r="BB7" s="26">
        <f t="shared" si="10"/>
        <v>16</v>
      </c>
      <c r="BC7" s="22"/>
      <c r="BD7" s="26">
        <v>5</v>
      </c>
      <c r="BE7" s="27" t="s">
        <v>593</v>
      </c>
      <c r="BF7" s="26">
        <f>COUNTIF('18 فريقًا'!$E$4:$E$1999,$BD7&amp;" ضد *")+COUNTIF('18 فريقًا'!$E$4:$E$1999,"* ضد "&amp;$BD7)</f>
        <v>20</v>
      </c>
      <c r="BG7" s="26">
        <f t="shared" si="11"/>
        <v>5</v>
      </c>
      <c r="BH7" s="22"/>
      <c r="BI7" s="26">
        <v>5</v>
      </c>
      <c r="BJ7" s="27" t="s">
        <v>593</v>
      </c>
      <c r="BK7" s="26">
        <f>COUNTIF('19 فريقًا'!$D$4:$D$1999,$BI7&amp;" ضد *")+COUNTIF('19 فريقًا'!$D$4:$D$1999,"* ضد "&amp;$BI7)</f>
        <v>18</v>
      </c>
      <c r="BL7" s="26">
        <f t="shared" si="12"/>
        <v>18</v>
      </c>
      <c r="BM7" s="22"/>
      <c r="BN7" s="26">
        <v>5</v>
      </c>
      <c r="BO7" s="27" t="s">
        <v>593</v>
      </c>
      <c r="BP7" s="26">
        <f>COUNTIF('20 فريقًا'!$D$4:$D$1999,$BN7&amp;" ضد *")+COUNTIF('20 فريقًا'!$D$4:$D$1999,"* ضد "&amp;$BN7)</f>
        <v>19</v>
      </c>
      <c r="BQ7" s="26">
        <f t="shared" si="13"/>
        <v>19</v>
      </c>
      <c r="BR7" s="22"/>
      <c r="BS7" s="26">
        <v>5</v>
      </c>
      <c r="BT7" s="27" t="s">
        <v>593</v>
      </c>
      <c r="BU7" s="26">
        <f>COUNTIF('21 فريقًا'!$D$4:$D$1999,$BS7&amp;" ضد *")+COUNTIF('21 فريقًا'!$D$4:$D$1999,"* ضد "&amp;$BS7)</f>
        <v>20</v>
      </c>
      <c r="BV7" s="26">
        <f t="shared" si="14"/>
        <v>20</v>
      </c>
      <c r="BW7" s="22"/>
      <c r="BX7" s="26">
        <v>5</v>
      </c>
      <c r="BY7" s="27" t="s">
        <v>593</v>
      </c>
      <c r="BZ7" s="26">
        <f>COUNTIF('22 فريقًا'!$D$4:$D$1999,$BX7&amp;" ضد *")+COUNTIF('22 فريقًا'!$D$4:$D$1999,"* ضد "&amp;$BX7)</f>
        <v>21</v>
      </c>
      <c r="CA7" s="26">
        <f t="shared" si="15"/>
        <v>21</v>
      </c>
      <c r="CB7" s="22"/>
      <c r="CC7" s="26">
        <v>5</v>
      </c>
      <c r="CD7" s="27" t="s">
        <v>593</v>
      </c>
      <c r="CE7" s="26">
        <f>COUNTIF('23 فريقًا'!$E$4:$E$1999,$CC7&amp;" ضد *")+COUNTIF('23 فريقًا'!$E$4:$E$1999,"* ضد "&amp;$CC7)</f>
        <v>18</v>
      </c>
      <c r="CF7" s="26">
        <f t="shared" si="16"/>
        <v>11</v>
      </c>
      <c r="CG7" s="22"/>
      <c r="CH7" s="26">
        <v>5</v>
      </c>
      <c r="CI7" s="27" t="s">
        <v>593</v>
      </c>
      <c r="CJ7" s="26">
        <f>COUNTIF('25 فريقًا'!$E$4:$E$1999,$CH7&amp;" ضد *")+COUNTIF('25 فريقًا'!$E$4:$E$1999,"* ضد "&amp;$CH7)</f>
        <v>18</v>
      </c>
      <c r="CK7" s="26">
        <f t="shared" si="17"/>
        <v>12</v>
      </c>
      <c r="CL7" s="22"/>
      <c r="CM7" s="26">
        <v>5</v>
      </c>
      <c r="CN7" s="27" t="s">
        <v>593</v>
      </c>
      <c r="CO7" s="26">
        <f>COUNTIF('26 فريقًا'!$E$4:$E$1999,$CM7&amp;" ضد *")+COUNTIF('26 فريقًا'!$E$4:$E$1999,"* ضد "&amp;$CM7)</f>
        <v>18</v>
      </c>
      <c r="CP7" s="26">
        <f t="shared" si="18"/>
        <v>13</v>
      </c>
      <c r="CQ7" s="22"/>
      <c r="CR7" s="26">
        <v>5</v>
      </c>
      <c r="CS7" s="27" t="s">
        <v>593</v>
      </c>
      <c r="CT7" s="26">
        <f>COUNTIF('27 فريقًا'!$E$4:$E$1999,$CR7&amp;" ضد *")+COUNTIF('27 فريقًا'!$E$4:$E$1999,"* ضد "&amp;$CR7)</f>
        <v>18</v>
      </c>
      <c r="CU7" s="26">
        <f t="shared" si="19"/>
        <v>13</v>
      </c>
      <c r="CV7" s="22"/>
      <c r="CW7" s="26">
        <v>5</v>
      </c>
      <c r="CX7" s="27" t="s">
        <v>593</v>
      </c>
      <c r="CY7" s="26">
        <f>COUNTIF('29 فريقًا'!$E$4:$E$1999,$CW7&amp;" ضد *")+COUNTIF('29 فريقًا'!$E$4:$E$1999,"* ضد "&amp;$CW7)</f>
        <v>18</v>
      </c>
      <c r="CZ7" s="26">
        <f t="shared" si="20"/>
        <v>14</v>
      </c>
      <c r="DA7" s="22"/>
      <c r="DB7" s="26">
        <v>5</v>
      </c>
      <c r="DC7" s="27" t="s">
        <v>593</v>
      </c>
      <c r="DD7" s="26">
        <f>COUNTIF('37 فريقًا'!$E$4:$E$1999,$DB7&amp;" ضد *")+COUNTIF('37 فريقًا'!$E$4:$E$1999,"* ضد "&amp;$DB7)</f>
        <v>18</v>
      </c>
      <c r="DE7" s="26">
        <f t="shared" si="21"/>
        <v>18</v>
      </c>
      <c r="DF7" s="22"/>
      <c r="DG7" s="26">
        <v>5</v>
      </c>
      <c r="DH7" s="27" t="s">
        <v>593</v>
      </c>
      <c r="DI7" s="26">
        <f>COUNTIF('46 فريقًا'!$E$4:$E$1999,$DG7&amp;" ضد *")+COUNTIF('46 فريقًا'!$E$4:$E$1999,"* ضد "&amp;$DG7)</f>
        <v>18</v>
      </c>
      <c r="DJ7" s="26">
        <f t="shared" si="22"/>
        <v>11</v>
      </c>
      <c r="DK7" s="22"/>
      <c r="DL7" s="26">
        <v>5</v>
      </c>
      <c r="DM7" s="27" t="s">
        <v>593</v>
      </c>
      <c r="DN7" s="26">
        <f>COUNTIF('54 فريقًا'!$E$4:$E$1999,$DL7&amp;" ضد *")+COUNTIF('54 فريقًا'!$E$4:$E$1999,"* ضد "&amp;$DL7)</f>
        <v>18</v>
      </c>
      <c r="DO7" s="26">
        <f t="shared" si="23"/>
        <v>13</v>
      </c>
      <c r="DP7" s="22"/>
      <c r="DQ7" s="26">
        <v>5</v>
      </c>
      <c r="DR7" s="27" t="s">
        <v>593</v>
      </c>
      <c r="DS7" s="26">
        <f>COUNTIF('58 فريقًا'!$E$4:$E$1999,$DQ7&amp;" ضد *")+COUNTIF('58 فريقًا'!$E$4:$E$1999,"* ضد "&amp;$DQ7)</f>
        <v>19</v>
      </c>
      <c r="DT7" s="26">
        <f t="shared" si="24"/>
        <v>19</v>
      </c>
      <c r="DU7" s="22"/>
      <c r="DV7" s="26">
        <v>5</v>
      </c>
      <c r="DW7" s="27" t="s">
        <v>593</v>
      </c>
      <c r="DX7" s="26">
        <f>COUNTIF('64 فريقًا'!$E$4:$E$1999,$DV7&amp;" ضد *")+COUNTIF('64 فريقًا'!$E$4:$E$1999,"* ضد "&amp;$DV7)</f>
        <v>18</v>
      </c>
      <c r="DY7" s="26">
        <f t="shared" si="25"/>
        <v>15</v>
      </c>
      <c r="DZ7" s="22"/>
      <c r="EA7" s="26">
        <v>5</v>
      </c>
      <c r="EB7" s="27" t="s">
        <v>593</v>
      </c>
      <c r="EC7" s="26">
        <f>COUNTIF('67 فريقًا'!$E$4:$E$1999,$EA7&amp;" ضد *")+COUNTIF('67 فريقًا'!$E$4:$E$1999,"* ضد "&amp;$EA7)</f>
        <v>18</v>
      </c>
      <c r="ED7" s="26">
        <f t="shared" si="26"/>
        <v>16</v>
      </c>
    </row>
    <row r="8" spans="1:134" ht="14.5">
      <c r="A8" s="26">
        <v>6</v>
      </c>
      <c r="B8" s="27" t="s">
        <v>593</v>
      </c>
      <c r="C8" s="26">
        <f>COUNTIF('6 فرق'!$D$4:$D$1999,$A8&amp;" ضد *")+COUNTIF('6 فرق'!$D$4:$D$1999,"* ضد "&amp;$A8)</f>
        <v>20</v>
      </c>
      <c r="D8" s="26">
        <f t="shared" si="0"/>
        <v>5</v>
      </c>
      <c r="E8" s="22"/>
      <c r="F8" s="26">
        <v>6</v>
      </c>
      <c r="G8" s="27" t="s">
        <v>593</v>
      </c>
      <c r="H8" s="26">
        <f>COUNTIF('7 فرق'!$D$4:$D$1999,$F8&amp;" ضد *")+COUNTIF('7 فرق'!$D$4:$D$1999,"* ضد "&amp;$F8)</f>
        <v>18</v>
      </c>
      <c r="I8" s="26">
        <f t="shared" si="1"/>
        <v>6</v>
      </c>
      <c r="J8" s="22"/>
      <c r="K8" s="26">
        <v>6</v>
      </c>
      <c r="L8" s="27" t="s">
        <v>593</v>
      </c>
      <c r="M8" s="26">
        <f>COUNTIF('8 فرق'!$D$4:$D$1999,$K8&amp;" ضد *")+COUNTIF('8 فرق'!$D$4:$D$1999,"* ضد "&amp;$K8)</f>
        <v>21</v>
      </c>
      <c r="N8" s="26">
        <f t="shared" si="2"/>
        <v>7</v>
      </c>
      <c r="O8" s="22"/>
      <c r="P8" s="26">
        <v>6</v>
      </c>
      <c r="Q8" s="27" t="s">
        <v>593</v>
      </c>
      <c r="R8" s="26">
        <f>COUNTIF('9 فرق'!$D$4:$D$1999,$P8&amp;" ضد *")+COUNTIF('9 فرق'!$D$4:$D$1999,"* ضد "&amp;$P8)</f>
        <v>18</v>
      </c>
      <c r="S8" s="26">
        <f t="shared" si="3"/>
        <v>8</v>
      </c>
      <c r="T8" s="22"/>
      <c r="U8" s="26">
        <v>6</v>
      </c>
      <c r="V8" s="27" t="s">
        <v>593</v>
      </c>
      <c r="W8" s="26">
        <f>COUNTIF('11 فريقًا'!$D$4:$D$1999,$U8&amp;" ضد *")+COUNTIF('11 فريقًا'!$D$4:$D$1999,"* ضد "&amp;$U8)</f>
        <v>20</v>
      </c>
      <c r="X8" s="26">
        <f t="shared" si="4"/>
        <v>10</v>
      </c>
      <c r="Y8" s="22"/>
      <c r="Z8" s="26">
        <v>6</v>
      </c>
      <c r="AA8" s="27" t="s">
        <v>593</v>
      </c>
      <c r="AB8" s="26">
        <f>COUNTIF('12 فريقًا'!$D$4:$D$1999,$Z8&amp;" ضد *")+COUNTIF('12 فريقًا'!$D$4:$D$1999,"* ضد "&amp;$Z8)</f>
        <v>22</v>
      </c>
      <c r="AC8" s="26">
        <f t="shared" si="5"/>
        <v>11</v>
      </c>
      <c r="AD8" s="22"/>
      <c r="AE8" s="26">
        <v>6</v>
      </c>
      <c r="AF8" s="27" t="s">
        <v>593</v>
      </c>
      <c r="AG8" s="26">
        <f>COUNTIF('13 فريقًا'!$E$4:$E$1999,$AE8&amp;" ضد *")+COUNTIF('13 فريقًا'!$E$4:$E$1999,"* ضد "&amp;$AE8)</f>
        <v>18</v>
      </c>
      <c r="AH8" s="26">
        <f t="shared" si="6"/>
        <v>6</v>
      </c>
      <c r="AI8" s="22"/>
      <c r="AJ8" s="26">
        <v>6</v>
      </c>
      <c r="AK8" s="27" t="s">
        <v>593</v>
      </c>
      <c r="AL8" s="26">
        <f>COUNTIF('14 فريقًا'!$E$4:$E$1999,$AJ8&amp;" ضد *")+COUNTIF('14 فريقًا'!$E$4:$E$1999,"* ضد "&amp;$AJ8)</f>
        <v>18</v>
      </c>
      <c r="AM8" s="26">
        <f t="shared" si="7"/>
        <v>6</v>
      </c>
      <c r="AN8" s="22"/>
      <c r="AO8" s="26">
        <v>6</v>
      </c>
      <c r="AP8" s="27" t="s">
        <v>593</v>
      </c>
      <c r="AQ8" s="26">
        <f>COUNTIF('15 فريقًا'!$E$4:$E$1999,$AO8&amp;" ضد *")+COUNTIF('15 فريقًا'!$E$4:$E$1999,"* ضد "&amp;$AO8)</f>
        <v>21</v>
      </c>
      <c r="AR8" s="26">
        <f t="shared" si="8"/>
        <v>7</v>
      </c>
      <c r="AS8" s="22"/>
      <c r="AT8" s="26">
        <v>6</v>
      </c>
      <c r="AU8" s="27" t="s">
        <v>593</v>
      </c>
      <c r="AV8" s="26">
        <f>COUNTIF('16 فريقًا'!$E$4:$E$1999,$AT8&amp;" ضد *")+COUNTIF('16 فريقًا'!$E$4:$E$1999,"* ضد "&amp;$AT8)</f>
        <v>21</v>
      </c>
      <c r="AW8" s="26">
        <f t="shared" si="9"/>
        <v>7</v>
      </c>
      <c r="AX8" s="22"/>
      <c r="AY8" s="26">
        <v>6</v>
      </c>
      <c r="AZ8" s="27" t="s">
        <v>593</v>
      </c>
      <c r="BA8" s="26">
        <f>COUNTIF('17 فريقًا'!$D$4:$D$1999,$AY8&amp;" ضد *")+COUNTIF('17 فريقًا'!$D$4:$D$1999,"* ضد "&amp;$AY8)</f>
        <v>18</v>
      </c>
      <c r="BB8" s="26">
        <f t="shared" si="10"/>
        <v>16</v>
      </c>
      <c r="BC8" s="22"/>
      <c r="BD8" s="26">
        <v>6</v>
      </c>
      <c r="BE8" s="27" t="s">
        <v>593</v>
      </c>
      <c r="BF8" s="26">
        <f>COUNTIF('18 فريقًا'!$E$4:$E$1999,$BD8&amp;" ضد *")+COUNTIF('18 فريقًا'!$E$4:$E$1999,"* ضد "&amp;$BD8)</f>
        <v>20</v>
      </c>
      <c r="BG8" s="26">
        <f t="shared" si="11"/>
        <v>5</v>
      </c>
      <c r="BH8" s="22"/>
      <c r="BI8" s="26">
        <v>6</v>
      </c>
      <c r="BJ8" s="27" t="s">
        <v>593</v>
      </c>
      <c r="BK8" s="26">
        <f>COUNTIF('19 فريقًا'!$D$4:$D$1999,$BI8&amp;" ضد *")+COUNTIF('19 فريقًا'!$D$4:$D$1999,"* ضد "&amp;$BI8)</f>
        <v>18</v>
      </c>
      <c r="BL8" s="26">
        <f t="shared" si="12"/>
        <v>18</v>
      </c>
      <c r="BM8" s="22"/>
      <c r="BN8" s="26">
        <v>6</v>
      </c>
      <c r="BO8" s="27" t="s">
        <v>593</v>
      </c>
      <c r="BP8" s="26">
        <f>COUNTIF('20 فريقًا'!$D$4:$D$1999,$BN8&amp;" ضد *")+COUNTIF('20 فريقًا'!$D$4:$D$1999,"* ضد "&amp;$BN8)</f>
        <v>19</v>
      </c>
      <c r="BQ8" s="26">
        <f t="shared" si="13"/>
        <v>19</v>
      </c>
      <c r="BR8" s="22"/>
      <c r="BS8" s="26">
        <v>6</v>
      </c>
      <c r="BT8" s="27" t="s">
        <v>593</v>
      </c>
      <c r="BU8" s="26">
        <f>COUNTIF('21 فريقًا'!$D$4:$D$1999,$BS8&amp;" ضد *")+COUNTIF('21 فريقًا'!$D$4:$D$1999,"* ضد "&amp;$BS8)</f>
        <v>20</v>
      </c>
      <c r="BV8" s="26">
        <f t="shared" si="14"/>
        <v>20</v>
      </c>
      <c r="BW8" s="22"/>
      <c r="BX8" s="26">
        <v>6</v>
      </c>
      <c r="BY8" s="27" t="s">
        <v>593</v>
      </c>
      <c r="BZ8" s="26">
        <f>COUNTIF('22 فريقًا'!$D$4:$D$1999,$BX8&amp;" ضد *")+COUNTIF('22 فريقًا'!$D$4:$D$1999,"* ضد "&amp;$BX8)</f>
        <v>21</v>
      </c>
      <c r="CA8" s="26">
        <f t="shared" si="15"/>
        <v>21</v>
      </c>
      <c r="CB8" s="22"/>
      <c r="CC8" s="26">
        <v>6</v>
      </c>
      <c r="CD8" s="27" t="s">
        <v>593</v>
      </c>
      <c r="CE8" s="26">
        <f>COUNTIF('23 فريقًا'!$E$4:$E$1999,$CC8&amp;" ضد *")+COUNTIF('23 فريقًا'!$E$4:$E$1999,"* ضد "&amp;$CC8)</f>
        <v>18</v>
      </c>
      <c r="CF8" s="26">
        <f t="shared" si="16"/>
        <v>11</v>
      </c>
      <c r="CG8" s="22"/>
      <c r="CH8" s="26">
        <v>6</v>
      </c>
      <c r="CI8" s="27" t="s">
        <v>593</v>
      </c>
      <c r="CJ8" s="26">
        <f>COUNTIF('25 فريقًا'!$E$4:$E$1999,$CH8&amp;" ضد *")+COUNTIF('25 فريقًا'!$E$4:$E$1999,"* ضد "&amp;$CH8)</f>
        <v>18</v>
      </c>
      <c r="CK8" s="26">
        <f t="shared" si="17"/>
        <v>12</v>
      </c>
      <c r="CL8" s="22"/>
      <c r="CM8" s="26">
        <v>6</v>
      </c>
      <c r="CN8" s="27" t="s">
        <v>593</v>
      </c>
      <c r="CO8" s="26">
        <f>COUNTIF('26 فريقًا'!$E$4:$E$1999,$CM8&amp;" ضد *")+COUNTIF('26 فريقًا'!$E$4:$E$1999,"* ضد "&amp;$CM8)</f>
        <v>18</v>
      </c>
      <c r="CP8" s="26">
        <f t="shared" si="18"/>
        <v>13</v>
      </c>
      <c r="CQ8" s="22"/>
      <c r="CR8" s="26">
        <v>6</v>
      </c>
      <c r="CS8" s="27" t="s">
        <v>593</v>
      </c>
      <c r="CT8" s="26">
        <f>COUNTIF('27 فريقًا'!$E$4:$E$1999,$CR8&amp;" ضد *")+COUNTIF('27 فريقًا'!$E$4:$E$1999,"* ضد "&amp;$CR8)</f>
        <v>18</v>
      </c>
      <c r="CU8" s="26">
        <f t="shared" si="19"/>
        <v>13</v>
      </c>
      <c r="CV8" s="22"/>
      <c r="CW8" s="26">
        <v>6</v>
      </c>
      <c r="CX8" s="27" t="s">
        <v>593</v>
      </c>
      <c r="CY8" s="26">
        <f>COUNTIF('29 فريقًا'!$E$4:$E$1999,$CW8&amp;" ضد *")+COUNTIF('29 فريقًا'!$E$4:$E$1999,"* ضد "&amp;$CW8)</f>
        <v>18</v>
      </c>
      <c r="CZ8" s="26">
        <f t="shared" si="20"/>
        <v>14</v>
      </c>
      <c r="DA8" s="22"/>
      <c r="DB8" s="26">
        <v>6</v>
      </c>
      <c r="DC8" s="27" t="s">
        <v>593</v>
      </c>
      <c r="DD8" s="26">
        <f>COUNTIF('37 فريقًا'!$E$4:$E$1999,$DB8&amp;" ضد *")+COUNTIF('37 فريقًا'!$E$4:$E$1999,"* ضد "&amp;$DB8)</f>
        <v>18</v>
      </c>
      <c r="DE8" s="26">
        <f t="shared" si="21"/>
        <v>18</v>
      </c>
      <c r="DF8" s="22"/>
      <c r="DG8" s="26">
        <v>6</v>
      </c>
      <c r="DH8" s="27" t="s">
        <v>593</v>
      </c>
      <c r="DI8" s="26">
        <f>COUNTIF('46 فريقًا'!$E$4:$E$1999,$DG8&amp;" ضد *")+COUNTIF('46 فريقًا'!$E$4:$E$1999,"* ضد "&amp;$DG8)</f>
        <v>18</v>
      </c>
      <c r="DJ8" s="26">
        <f t="shared" si="22"/>
        <v>11</v>
      </c>
      <c r="DK8" s="22"/>
      <c r="DL8" s="26">
        <v>6</v>
      </c>
      <c r="DM8" s="27" t="s">
        <v>593</v>
      </c>
      <c r="DN8" s="26">
        <f>COUNTIF('54 فريقًا'!$E$4:$E$1999,$DL8&amp;" ضد *")+COUNTIF('54 فريقًا'!$E$4:$E$1999,"* ضد "&amp;$DL8)</f>
        <v>18</v>
      </c>
      <c r="DO8" s="26">
        <f t="shared" si="23"/>
        <v>13</v>
      </c>
      <c r="DP8" s="22"/>
      <c r="DQ8" s="26">
        <v>6</v>
      </c>
      <c r="DR8" s="27" t="s">
        <v>593</v>
      </c>
      <c r="DS8" s="26">
        <f>COUNTIF('58 فريقًا'!$E$4:$E$1999,$DQ8&amp;" ضد *")+COUNTIF('58 فريقًا'!$E$4:$E$1999,"* ضد "&amp;$DQ8)</f>
        <v>19</v>
      </c>
      <c r="DT8" s="26">
        <f t="shared" si="24"/>
        <v>19</v>
      </c>
      <c r="DU8" s="22"/>
      <c r="DV8" s="26">
        <v>6</v>
      </c>
      <c r="DW8" s="27" t="s">
        <v>593</v>
      </c>
      <c r="DX8" s="26">
        <f>COUNTIF('64 فريقًا'!$E$4:$E$1999,$DV8&amp;" ضد *")+COUNTIF('64 فريقًا'!$E$4:$E$1999,"* ضد "&amp;$DV8)</f>
        <v>18</v>
      </c>
      <c r="DY8" s="26">
        <f t="shared" si="25"/>
        <v>15</v>
      </c>
      <c r="DZ8" s="22"/>
      <c r="EA8" s="26">
        <v>6</v>
      </c>
      <c r="EB8" s="27" t="s">
        <v>593</v>
      </c>
      <c r="EC8" s="26">
        <f>COUNTIF('67 فريقًا'!$E$4:$E$1999,$EA8&amp;" ضد *")+COUNTIF('67 فريقًا'!$E$4:$E$1999,"* ضد "&amp;$EA8)</f>
        <v>18</v>
      </c>
      <c r="ED8" s="26">
        <f t="shared" si="26"/>
        <v>16</v>
      </c>
    </row>
    <row r="9" spans="1:134" ht="14.5">
      <c r="A9" s="26"/>
      <c r="B9" s="27"/>
      <c r="C9" s="26"/>
      <c r="D9" s="26"/>
      <c r="E9" s="22"/>
      <c r="F9" s="26">
        <v>7</v>
      </c>
      <c r="G9" s="27" t="s">
        <v>593</v>
      </c>
      <c r="H9" s="26">
        <f>COUNTIF('7 فرق'!$D$4:$D$1999,$F9&amp;" ضد *")+COUNTIF('7 فرق'!$D$4:$D$1999,"* ضد "&amp;$F9)</f>
        <v>18</v>
      </c>
      <c r="I9" s="26">
        <f t="shared" si="1"/>
        <v>6</v>
      </c>
      <c r="J9" s="22"/>
      <c r="K9" s="26">
        <v>7</v>
      </c>
      <c r="L9" s="27" t="s">
        <v>593</v>
      </c>
      <c r="M9" s="26">
        <f>COUNTIF('8 فرق'!$D$4:$D$1999,$K9&amp;" ضد *")+COUNTIF('8 فرق'!$D$4:$D$1999,"* ضد "&amp;$K9)</f>
        <v>21</v>
      </c>
      <c r="N9" s="26">
        <f t="shared" si="2"/>
        <v>7</v>
      </c>
      <c r="O9" s="22"/>
      <c r="P9" s="26">
        <v>7</v>
      </c>
      <c r="Q9" s="27" t="s">
        <v>593</v>
      </c>
      <c r="R9" s="26">
        <f>COUNTIF('9 فرق'!$D$4:$D$1999,$P9&amp;" ضد *")+COUNTIF('9 فرق'!$D$4:$D$1999,"* ضد "&amp;$P9)</f>
        <v>18</v>
      </c>
      <c r="S9" s="26">
        <f t="shared" si="3"/>
        <v>8</v>
      </c>
      <c r="T9" s="22"/>
      <c r="U9" s="26">
        <v>7</v>
      </c>
      <c r="V9" s="27" t="s">
        <v>593</v>
      </c>
      <c r="W9" s="26">
        <f>COUNTIF('11 فريقًا'!$D$4:$D$1999,$U9&amp;" ضد *")+COUNTIF('11 فريقًا'!$D$4:$D$1999,"* ضد "&amp;$U9)</f>
        <v>20</v>
      </c>
      <c r="X9" s="26">
        <f t="shared" si="4"/>
        <v>10</v>
      </c>
      <c r="Y9" s="22"/>
      <c r="Z9" s="26">
        <v>7</v>
      </c>
      <c r="AA9" s="27" t="s">
        <v>593</v>
      </c>
      <c r="AB9" s="26">
        <f>COUNTIF('12 فريقًا'!$D$4:$D$1999,$Z9&amp;" ضد *")+COUNTIF('12 فريقًا'!$D$4:$D$1999,"* ضد "&amp;$Z9)</f>
        <v>22</v>
      </c>
      <c r="AC9" s="26">
        <f t="shared" si="5"/>
        <v>11</v>
      </c>
      <c r="AD9" s="22"/>
      <c r="AE9" s="26">
        <v>7</v>
      </c>
      <c r="AF9" s="27" t="s">
        <v>593</v>
      </c>
      <c r="AG9" s="26">
        <f>COUNTIF('13 فريقًا'!$E$4:$E$1999,$AE9&amp;" ضد *")+COUNTIF('13 فريقًا'!$E$4:$E$1999,"* ضد "&amp;$AE9)</f>
        <v>18</v>
      </c>
      <c r="AH9" s="26">
        <f t="shared" si="6"/>
        <v>6</v>
      </c>
      <c r="AI9" s="22"/>
      <c r="AJ9" s="26">
        <v>7</v>
      </c>
      <c r="AK9" s="27" t="s">
        <v>593</v>
      </c>
      <c r="AL9" s="26">
        <f>COUNTIF('14 فريقًا'!$E$4:$E$1999,$AJ9&amp;" ضد *")+COUNTIF('14 فريقًا'!$E$4:$E$1999,"* ضد "&amp;$AJ9)</f>
        <v>18</v>
      </c>
      <c r="AM9" s="26">
        <f t="shared" si="7"/>
        <v>6</v>
      </c>
      <c r="AN9" s="22"/>
      <c r="AO9" s="26">
        <v>7</v>
      </c>
      <c r="AP9" s="27" t="s">
        <v>593</v>
      </c>
      <c r="AQ9" s="26">
        <f>COUNTIF('15 فريقًا'!$E$4:$E$1999,$AO9&amp;" ضد *")+COUNTIF('15 فريقًا'!$E$4:$E$1999,"* ضد "&amp;$AO9)</f>
        <v>21</v>
      </c>
      <c r="AR9" s="26">
        <f t="shared" si="8"/>
        <v>7</v>
      </c>
      <c r="AS9" s="22"/>
      <c r="AT9" s="26">
        <v>7</v>
      </c>
      <c r="AU9" s="27" t="s">
        <v>593</v>
      </c>
      <c r="AV9" s="26">
        <f>COUNTIF('16 فريقًا'!$E$4:$E$1999,$AT9&amp;" ضد *")+COUNTIF('16 فريقًا'!$E$4:$E$1999,"* ضد "&amp;$AT9)</f>
        <v>21</v>
      </c>
      <c r="AW9" s="26">
        <f t="shared" si="9"/>
        <v>7</v>
      </c>
      <c r="AX9" s="22"/>
      <c r="AY9" s="26">
        <v>7</v>
      </c>
      <c r="AZ9" s="27" t="s">
        <v>593</v>
      </c>
      <c r="BA9" s="26">
        <f>COUNTIF('17 فريقًا'!$D$4:$D$1999,$AY9&amp;" ضد *")+COUNTIF('17 فريقًا'!$D$4:$D$1999,"* ضد "&amp;$AY9)</f>
        <v>18</v>
      </c>
      <c r="BB9" s="26">
        <f t="shared" si="10"/>
        <v>16</v>
      </c>
      <c r="BC9" s="22"/>
      <c r="BD9" s="26">
        <v>7</v>
      </c>
      <c r="BE9" s="27" t="s">
        <v>594</v>
      </c>
      <c r="BF9" s="26">
        <f>COUNTIF('18 فريقًا'!$E$4:$E$1999,$BD9&amp;" ضد *")+COUNTIF('18 فريقًا'!$E$4:$E$1999,"* ضد "&amp;$BD9)</f>
        <v>20</v>
      </c>
      <c r="BG9" s="26">
        <f t="shared" si="11"/>
        <v>5</v>
      </c>
      <c r="BH9" s="22"/>
      <c r="BI9" s="26">
        <v>7</v>
      </c>
      <c r="BJ9" s="27" t="s">
        <v>593</v>
      </c>
      <c r="BK9" s="26">
        <f>COUNTIF('19 فريقًا'!$D$4:$D$1999,$BI9&amp;" ضد *")+COUNTIF('19 فريقًا'!$D$4:$D$1999,"* ضد "&amp;$BI9)</f>
        <v>18</v>
      </c>
      <c r="BL9" s="26">
        <f t="shared" si="12"/>
        <v>18</v>
      </c>
      <c r="BM9" s="22"/>
      <c r="BN9" s="26">
        <v>7</v>
      </c>
      <c r="BO9" s="27" t="s">
        <v>593</v>
      </c>
      <c r="BP9" s="26">
        <f>COUNTIF('20 فريقًا'!$D$4:$D$1999,$BN9&amp;" ضد *")+COUNTIF('20 فريقًا'!$D$4:$D$1999,"* ضد "&amp;$BN9)</f>
        <v>19</v>
      </c>
      <c r="BQ9" s="26">
        <f t="shared" si="13"/>
        <v>19</v>
      </c>
      <c r="BR9" s="22"/>
      <c r="BS9" s="26">
        <v>7</v>
      </c>
      <c r="BT9" s="27" t="s">
        <v>593</v>
      </c>
      <c r="BU9" s="26">
        <f>COUNTIF('21 فريقًا'!$D$4:$D$1999,$BS9&amp;" ضد *")+COUNTIF('21 فريقًا'!$D$4:$D$1999,"* ضد "&amp;$BS9)</f>
        <v>20</v>
      </c>
      <c r="BV9" s="26">
        <f t="shared" si="14"/>
        <v>20</v>
      </c>
      <c r="BW9" s="22"/>
      <c r="BX9" s="26">
        <v>7</v>
      </c>
      <c r="BY9" s="27" t="s">
        <v>593</v>
      </c>
      <c r="BZ9" s="26">
        <f>COUNTIF('22 فريقًا'!$D$4:$D$1999,$BX9&amp;" ضد *")+COUNTIF('22 فريقًا'!$D$4:$D$1999,"* ضد "&amp;$BX9)</f>
        <v>21</v>
      </c>
      <c r="CA9" s="26">
        <f t="shared" si="15"/>
        <v>21</v>
      </c>
      <c r="CB9" s="22"/>
      <c r="CC9" s="26">
        <v>7</v>
      </c>
      <c r="CD9" s="27" t="s">
        <v>593</v>
      </c>
      <c r="CE9" s="26">
        <f>COUNTIF('23 فريقًا'!$E$4:$E$1999,$CC9&amp;" ضد *")+COUNTIF('23 فريقًا'!$E$4:$E$1999,"* ضد "&amp;$CC9)</f>
        <v>18</v>
      </c>
      <c r="CF9" s="26">
        <f t="shared" si="16"/>
        <v>11</v>
      </c>
      <c r="CG9" s="22"/>
      <c r="CH9" s="26">
        <v>7</v>
      </c>
      <c r="CI9" s="27" t="s">
        <v>593</v>
      </c>
      <c r="CJ9" s="26">
        <f>COUNTIF('25 فريقًا'!$E$4:$E$1999,$CH9&amp;" ضد *")+COUNTIF('25 فريقًا'!$E$4:$E$1999,"* ضد "&amp;$CH9)</f>
        <v>18</v>
      </c>
      <c r="CK9" s="26">
        <f t="shared" si="17"/>
        <v>12</v>
      </c>
      <c r="CL9" s="22"/>
      <c r="CM9" s="26">
        <v>7</v>
      </c>
      <c r="CN9" s="27" t="s">
        <v>593</v>
      </c>
      <c r="CO9" s="26">
        <f>COUNTIF('26 فريقًا'!$E$4:$E$1999,$CM9&amp;" ضد *")+COUNTIF('26 فريقًا'!$E$4:$E$1999,"* ضد "&amp;$CM9)</f>
        <v>18</v>
      </c>
      <c r="CP9" s="26">
        <f t="shared" si="18"/>
        <v>13</v>
      </c>
      <c r="CQ9" s="22"/>
      <c r="CR9" s="26">
        <v>7</v>
      </c>
      <c r="CS9" s="27" t="s">
        <v>593</v>
      </c>
      <c r="CT9" s="26">
        <f>COUNTIF('27 فريقًا'!$E$4:$E$1999,$CR9&amp;" ضد *")+COUNTIF('27 فريقًا'!$E$4:$E$1999,"* ضد "&amp;$CR9)</f>
        <v>18</v>
      </c>
      <c r="CU9" s="26">
        <f t="shared" si="19"/>
        <v>13</v>
      </c>
      <c r="CV9" s="22"/>
      <c r="CW9" s="26">
        <v>7</v>
      </c>
      <c r="CX9" s="27" t="s">
        <v>593</v>
      </c>
      <c r="CY9" s="26">
        <f>COUNTIF('29 فريقًا'!$E$4:$E$1999,$CW9&amp;" ضد *")+COUNTIF('29 فريقًا'!$E$4:$E$1999,"* ضد "&amp;$CW9)</f>
        <v>18</v>
      </c>
      <c r="CZ9" s="26">
        <f t="shared" si="20"/>
        <v>14</v>
      </c>
      <c r="DA9" s="22"/>
      <c r="DB9" s="26">
        <v>7</v>
      </c>
      <c r="DC9" s="27" t="s">
        <v>593</v>
      </c>
      <c r="DD9" s="26">
        <f>COUNTIF('37 فريقًا'!$E$4:$E$1999,$DB9&amp;" ضد *")+COUNTIF('37 فريقًا'!$E$4:$E$1999,"* ضد "&amp;$DB9)</f>
        <v>18</v>
      </c>
      <c r="DE9" s="26">
        <f t="shared" si="21"/>
        <v>18</v>
      </c>
      <c r="DF9" s="22"/>
      <c r="DG9" s="26">
        <v>7</v>
      </c>
      <c r="DH9" s="27" t="s">
        <v>593</v>
      </c>
      <c r="DI9" s="26">
        <f>COUNTIF('46 فريقًا'!$E$4:$E$1999,$DG9&amp;" ضد *")+COUNTIF('46 فريقًا'!$E$4:$E$1999,"* ضد "&amp;$DG9)</f>
        <v>18</v>
      </c>
      <c r="DJ9" s="26">
        <f t="shared" si="22"/>
        <v>11</v>
      </c>
      <c r="DK9" s="22"/>
      <c r="DL9" s="26">
        <v>7</v>
      </c>
      <c r="DM9" s="27" t="s">
        <v>593</v>
      </c>
      <c r="DN9" s="26">
        <f>COUNTIF('54 فريقًا'!$E$4:$E$1999,$DL9&amp;" ضد *")+COUNTIF('54 فريقًا'!$E$4:$E$1999,"* ضد "&amp;$DL9)</f>
        <v>18</v>
      </c>
      <c r="DO9" s="26">
        <f t="shared" si="23"/>
        <v>13</v>
      </c>
      <c r="DP9" s="22"/>
      <c r="DQ9" s="26">
        <v>7</v>
      </c>
      <c r="DR9" s="27" t="s">
        <v>593</v>
      </c>
      <c r="DS9" s="26">
        <f>COUNTIF('58 فريقًا'!$E$4:$E$1999,$DQ9&amp;" ضد *")+COUNTIF('58 فريقًا'!$E$4:$E$1999,"* ضد "&amp;$DQ9)</f>
        <v>19</v>
      </c>
      <c r="DT9" s="26">
        <f t="shared" si="24"/>
        <v>19</v>
      </c>
      <c r="DU9" s="22"/>
      <c r="DV9" s="26">
        <v>7</v>
      </c>
      <c r="DW9" s="27" t="s">
        <v>593</v>
      </c>
      <c r="DX9" s="26">
        <f>COUNTIF('64 فريقًا'!$E$4:$E$1999,$DV9&amp;" ضد *")+COUNTIF('64 فريقًا'!$E$4:$E$1999,"* ضد "&amp;$DV9)</f>
        <v>18</v>
      </c>
      <c r="DY9" s="26">
        <f t="shared" si="25"/>
        <v>15</v>
      </c>
      <c r="DZ9" s="22"/>
      <c r="EA9" s="26">
        <v>7</v>
      </c>
      <c r="EB9" s="27" t="s">
        <v>593</v>
      </c>
      <c r="EC9" s="26">
        <f>COUNTIF('67 فريقًا'!$E$4:$E$1999,$EA9&amp;" ضد *")+COUNTIF('67 فريقًا'!$E$4:$E$1999,"* ضد "&amp;$EA9)</f>
        <v>18</v>
      </c>
      <c r="ED9" s="26">
        <f t="shared" si="26"/>
        <v>16</v>
      </c>
    </row>
    <row r="10" spans="1:134" ht="14.5">
      <c r="A10" s="26"/>
      <c r="B10" s="27"/>
      <c r="C10" s="26"/>
      <c r="D10" s="26"/>
      <c r="E10" s="22"/>
      <c r="F10" s="26"/>
      <c r="G10" s="27"/>
      <c r="H10" s="26"/>
      <c r="I10" s="26"/>
      <c r="J10" s="22"/>
      <c r="K10" s="26">
        <v>8</v>
      </c>
      <c r="L10" s="27" t="s">
        <v>593</v>
      </c>
      <c r="M10" s="26">
        <f>COUNTIF('8 فرق'!$D$4:$D$1999,$K10&amp;" ضد *")+COUNTIF('8 فرق'!$D$4:$D$1999,"* ضد "&amp;$K10)</f>
        <v>21</v>
      </c>
      <c r="N10" s="26">
        <f t="shared" si="2"/>
        <v>7</v>
      </c>
      <c r="O10" s="22"/>
      <c r="P10" s="26">
        <v>8</v>
      </c>
      <c r="Q10" s="27" t="s">
        <v>593</v>
      </c>
      <c r="R10" s="26">
        <f>COUNTIF('9 فرق'!$D$4:$D$1999,$P10&amp;" ضد *")+COUNTIF('9 فرق'!$D$4:$D$1999,"* ضد "&amp;$P10)</f>
        <v>18</v>
      </c>
      <c r="S10" s="26">
        <f t="shared" si="3"/>
        <v>8</v>
      </c>
      <c r="T10" s="22"/>
      <c r="U10" s="26">
        <v>8</v>
      </c>
      <c r="V10" s="27" t="s">
        <v>593</v>
      </c>
      <c r="W10" s="26">
        <f>COUNTIF('11 فريقًا'!$D$4:$D$1999,$U10&amp;" ضد *")+COUNTIF('11 فريقًا'!$D$4:$D$1999,"* ضد "&amp;$U10)</f>
        <v>20</v>
      </c>
      <c r="X10" s="26">
        <f t="shared" si="4"/>
        <v>10</v>
      </c>
      <c r="Y10" s="22"/>
      <c r="Z10" s="26">
        <v>8</v>
      </c>
      <c r="AA10" s="27" t="s">
        <v>593</v>
      </c>
      <c r="AB10" s="26">
        <f>COUNTIF('12 فريقًا'!$D$4:$D$1999,$Z10&amp;" ضد *")+COUNTIF('12 فريقًا'!$D$4:$D$1999,"* ضد "&amp;$Z10)</f>
        <v>22</v>
      </c>
      <c r="AC10" s="26">
        <f t="shared" si="5"/>
        <v>11</v>
      </c>
      <c r="AD10" s="22"/>
      <c r="AE10" s="26">
        <v>8</v>
      </c>
      <c r="AF10" s="27" t="s">
        <v>594</v>
      </c>
      <c r="AG10" s="26">
        <f>COUNTIF('13 فريقًا'!$E$4:$E$1999,$AE10&amp;" ضد *")+COUNTIF('13 فريقًا'!$E$4:$E$1999,"* ضد "&amp;$AE10)</f>
        <v>20</v>
      </c>
      <c r="AH10" s="26">
        <f t="shared" si="6"/>
        <v>5</v>
      </c>
      <c r="AI10" s="22"/>
      <c r="AJ10" s="26">
        <v>8</v>
      </c>
      <c r="AK10" s="27" t="s">
        <v>594</v>
      </c>
      <c r="AL10" s="26">
        <f>COUNTIF('14 فريقًا'!$E$4:$E$1999,$AJ10&amp;" ضد *")+COUNTIF('14 فريقًا'!$E$4:$E$1999,"* ضد "&amp;$AJ10)</f>
        <v>18</v>
      </c>
      <c r="AM10" s="26">
        <f t="shared" si="7"/>
        <v>6</v>
      </c>
      <c r="AN10" s="22"/>
      <c r="AO10" s="26">
        <v>8</v>
      </c>
      <c r="AP10" s="27" t="s">
        <v>593</v>
      </c>
      <c r="AQ10" s="26">
        <f>COUNTIF('15 فريقًا'!$E$4:$E$1999,$AO10&amp;" ضد *")+COUNTIF('15 فريقًا'!$E$4:$E$1999,"* ضد "&amp;$AO10)</f>
        <v>21</v>
      </c>
      <c r="AR10" s="26">
        <f t="shared" si="8"/>
        <v>7</v>
      </c>
      <c r="AS10" s="22"/>
      <c r="AT10" s="26">
        <v>8</v>
      </c>
      <c r="AU10" s="27" t="s">
        <v>593</v>
      </c>
      <c r="AV10" s="26">
        <f>COUNTIF('16 فريقًا'!$E$4:$E$1999,$AT10&amp;" ضد *")+COUNTIF('16 فريقًا'!$E$4:$E$1999,"* ضد "&amp;$AT10)</f>
        <v>21</v>
      </c>
      <c r="AW10" s="26">
        <f t="shared" si="9"/>
        <v>7</v>
      </c>
      <c r="AX10" s="22"/>
      <c r="AY10" s="26">
        <v>8</v>
      </c>
      <c r="AZ10" s="27" t="s">
        <v>593</v>
      </c>
      <c r="BA10" s="26">
        <f>COUNTIF('17 فريقًا'!$D$4:$D$1999,$AY10&amp;" ضد *")+COUNTIF('17 فريقًا'!$D$4:$D$1999,"* ضد "&amp;$AY10)</f>
        <v>18</v>
      </c>
      <c r="BB10" s="26">
        <f t="shared" si="10"/>
        <v>16</v>
      </c>
      <c r="BC10" s="22"/>
      <c r="BD10" s="26">
        <v>8</v>
      </c>
      <c r="BE10" s="27" t="s">
        <v>594</v>
      </c>
      <c r="BF10" s="26">
        <f>COUNTIF('18 فريقًا'!$E$4:$E$1999,$BD10&amp;" ضد *")+COUNTIF('18 فريقًا'!$E$4:$E$1999,"* ضد "&amp;$BD10)</f>
        <v>20</v>
      </c>
      <c r="BG10" s="26">
        <f t="shared" si="11"/>
        <v>5</v>
      </c>
      <c r="BH10" s="22"/>
      <c r="BI10" s="26">
        <v>8</v>
      </c>
      <c r="BJ10" s="27" t="s">
        <v>593</v>
      </c>
      <c r="BK10" s="26">
        <f>COUNTIF('19 فريقًا'!$D$4:$D$1999,$BI10&amp;" ضد *")+COUNTIF('19 فريقًا'!$D$4:$D$1999,"* ضد "&amp;$BI10)</f>
        <v>18</v>
      </c>
      <c r="BL10" s="26">
        <f t="shared" si="12"/>
        <v>18</v>
      </c>
      <c r="BM10" s="22"/>
      <c r="BN10" s="26">
        <v>8</v>
      </c>
      <c r="BO10" s="27" t="s">
        <v>593</v>
      </c>
      <c r="BP10" s="26">
        <f>COUNTIF('20 فريقًا'!$D$4:$D$1999,$BN10&amp;" ضد *")+COUNTIF('20 فريقًا'!$D$4:$D$1999,"* ضد "&amp;$BN10)</f>
        <v>19</v>
      </c>
      <c r="BQ10" s="26">
        <f t="shared" si="13"/>
        <v>19</v>
      </c>
      <c r="BR10" s="22"/>
      <c r="BS10" s="26">
        <v>8</v>
      </c>
      <c r="BT10" s="27" t="s">
        <v>593</v>
      </c>
      <c r="BU10" s="26">
        <f>COUNTIF('21 فريقًا'!$D$4:$D$1999,$BS10&amp;" ضد *")+COUNTIF('21 فريقًا'!$D$4:$D$1999,"* ضد "&amp;$BS10)</f>
        <v>20</v>
      </c>
      <c r="BV10" s="26">
        <f t="shared" si="14"/>
        <v>20</v>
      </c>
      <c r="BW10" s="22"/>
      <c r="BX10" s="26">
        <v>8</v>
      </c>
      <c r="BY10" s="27" t="s">
        <v>593</v>
      </c>
      <c r="BZ10" s="26">
        <f>COUNTIF('22 فريقًا'!$D$4:$D$1999,$BX10&amp;" ضد *")+COUNTIF('22 فريقًا'!$D$4:$D$1999,"* ضد "&amp;$BX10)</f>
        <v>21</v>
      </c>
      <c r="CA10" s="26">
        <f t="shared" si="15"/>
        <v>21</v>
      </c>
      <c r="CB10" s="22"/>
      <c r="CC10" s="26">
        <v>8</v>
      </c>
      <c r="CD10" s="27" t="s">
        <v>593</v>
      </c>
      <c r="CE10" s="26">
        <f>COUNTIF('23 فريقًا'!$E$4:$E$1999,$CC10&amp;" ضد *")+COUNTIF('23 فريقًا'!$E$4:$E$1999,"* ضد "&amp;$CC10)</f>
        <v>18</v>
      </c>
      <c r="CF10" s="26">
        <f t="shared" si="16"/>
        <v>11</v>
      </c>
      <c r="CG10" s="22"/>
      <c r="CH10" s="26">
        <v>8</v>
      </c>
      <c r="CI10" s="27" t="s">
        <v>593</v>
      </c>
      <c r="CJ10" s="26">
        <f>COUNTIF('25 فريقًا'!$E$4:$E$1999,$CH10&amp;" ضد *")+COUNTIF('25 فريقًا'!$E$4:$E$1999,"* ضد "&amp;$CH10)</f>
        <v>18</v>
      </c>
      <c r="CK10" s="26">
        <f t="shared" si="17"/>
        <v>12</v>
      </c>
      <c r="CL10" s="22"/>
      <c r="CM10" s="26">
        <v>8</v>
      </c>
      <c r="CN10" s="27" t="s">
        <v>593</v>
      </c>
      <c r="CO10" s="26">
        <f>COUNTIF('26 فريقًا'!$E$4:$E$1999,$CM10&amp;" ضد *")+COUNTIF('26 فريقًا'!$E$4:$E$1999,"* ضد "&amp;$CM10)</f>
        <v>18</v>
      </c>
      <c r="CP10" s="26">
        <f t="shared" si="18"/>
        <v>13</v>
      </c>
      <c r="CQ10" s="22"/>
      <c r="CR10" s="26">
        <v>8</v>
      </c>
      <c r="CS10" s="27" t="s">
        <v>593</v>
      </c>
      <c r="CT10" s="26">
        <f>COUNTIF('27 فريقًا'!$E$4:$E$1999,$CR10&amp;" ضد *")+COUNTIF('27 فريقًا'!$E$4:$E$1999,"* ضد "&amp;$CR10)</f>
        <v>18</v>
      </c>
      <c r="CU10" s="26">
        <f t="shared" si="19"/>
        <v>13</v>
      </c>
      <c r="CV10" s="22"/>
      <c r="CW10" s="26">
        <v>8</v>
      </c>
      <c r="CX10" s="27" t="s">
        <v>593</v>
      </c>
      <c r="CY10" s="26">
        <f>COUNTIF('29 فريقًا'!$E$4:$E$1999,$CW10&amp;" ضد *")+COUNTIF('29 فريقًا'!$E$4:$E$1999,"* ضد "&amp;$CW10)</f>
        <v>18</v>
      </c>
      <c r="CZ10" s="26">
        <f t="shared" si="20"/>
        <v>14</v>
      </c>
      <c r="DA10" s="22"/>
      <c r="DB10" s="26">
        <v>8</v>
      </c>
      <c r="DC10" s="27" t="s">
        <v>593</v>
      </c>
      <c r="DD10" s="26">
        <f>COUNTIF('37 فريقًا'!$E$4:$E$1999,$DB10&amp;" ضد *")+COUNTIF('37 فريقًا'!$E$4:$E$1999,"* ضد "&amp;$DB10)</f>
        <v>18</v>
      </c>
      <c r="DE10" s="26">
        <f t="shared" si="21"/>
        <v>18</v>
      </c>
      <c r="DF10" s="22"/>
      <c r="DG10" s="26">
        <v>8</v>
      </c>
      <c r="DH10" s="27" t="s">
        <v>593</v>
      </c>
      <c r="DI10" s="26">
        <f>COUNTIF('46 فريقًا'!$E$4:$E$1999,$DG10&amp;" ضد *")+COUNTIF('46 فريقًا'!$E$4:$E$1999,"* ضد "&amp;$DG10)</f>
        <v>18</v>
      </c>
      <c r="DJ10" s="26">
        <f t="shared" si="22"/>
        <v>11</v>
      </c>
      <c r="DK10" s="22"/>
      <c r="DL10" s="26">
        <v>8</v>
      </c>
      <c r="DM10" s="27" t="s">
        <v>593</v>
      </c>
      <c r="DN10" s="26">
        <f>COUNTIF('54 فريقًا'!$E$4:$E$1999,$DL10&amp;" ضد *")+COUNTIF('54 فريقًا'!$E$4:$E$1999,"* ضد "&amp;$DL10)</f>
        <v>18</v>
      </c>
      <c r="DO10" s="26">
        <f t="shared" si="23"/>
        <v>13</v>
      </c>
      <c r="DP10" s="22"/>
      <c r="DQ10" s="26">
        <v>8</v>
      </c>
      <c r="DR10" s="27" t="s">
        <v>593</v>
      </c>
      <c r="DS10" s="26">
        <f>COUNTIF('58 فريقًا'!$E$4:$E$1999,$DQ10&amp;" ضد *")+COUNTIF('58 فريقًا'!$E$4:$E$1999,"* ضد "&amp;$DQ10)</f>
        <v>19</v>
      </c>
      <c r="DT10" s="26">
        <f t="shared" si="24"/>
        <v>19</v>
      </c>
      <c r="DU10" s="22"/>
      <c r="DV10" s="26">
        <v>8</v>
      </c>
      <c r="DW10" s="27" t="s">
        <v>593</v>
      </c>
      <c r="DX10" s="26">
        <f>COUNTIF('64 فريقًا'!$E$4:$E$1999,$DV10&amp;" ضد *")+COUNTIF('64 فريقًا'!$E$4:$E$1999,"* ضد "&amp;$DV10)</f>
        <v>18</v>
      </c>
      <c r="DY10" s="26">
        <f t="shared" si="25"/>
        <v>15</v>
      </c>
      <c r="DZ10" s="22"/>
      <c r="EA10" s="26">
        <v>8</v>
      </c>
      <c r="EB10" s="27" t="s">
        <v>593</v>
      </c>
      <c r="EC10" s="26">
        <f>COUNTIF('67 فريقًا'!$E$4:$E$1999,$EA10&amp;" ضد *")+COUNTIF('67 فريقًا'!$E$4:$E$1999,"* ضد "&amp;$EA10)</f>
        <v>18</v>
      </c>
      <c r="ED10" s="26">
        <f t="shared" si="26"/>
        <v>16</v>
      </c>
    </row>
    <row r="11" spans="1:134" ht="14.5">
      <c r="A11" s="26"/>
      <c r="B11" s="27"/>
      <c r="C11" s="26"/>
      <c r="D11" s="26"/>
      <c r="E11" s="22"/>
      <c r="F11" s="26"/>
      <c r="G11" s="27"/>
      <c r="H11" s="26"/>
      <c r="I11" s="26"/>
      <c r="J11" s="22"/>
      <c r="K11" s="26"/>
      <c r="L11" s="27"/>
      <c r="M11" s="26"/>
      <c r="N11" s="26"/>
      <c r="O11" s="22"/>
      <c r="P11" s="26">
        <v>9</v>
      </c>
      <c r="Q11" s="27" t="s">
        <v>593</v>
      </c>
      <c r="R11" s="26">
        <f>COUNTIF('9 فرق'!$D$4:$D$1999,$P11&amp;" ضد *")+COUNTIF('9 فرق'!$D$4:$D$1999,"* ضد "&amp;$P11)</f>
        <v>18</v>
      </c>
      <c r="S11" s="26">
        <f t="shared" si="3"/>
        <v>8</v>
      </c>
      <c r="T11" s="22"/>
      <c r="U11" s="26">
        <v>9</v>
      </c>
      <c r="V11" s="27" t="s">
        <v>593</v>
      </c>
      <c r="W11" s="26">
        <f>COUNTIF('11 فريقًا'!$D$4:$D$1999,$U11&amp;" ضد *")+COUNTIF('11 فريقًا'!$D$4:$D$1999,"* ضد "&amp;$U11)</f>
        <v>20</v>
      </c>
      <c r="X11" s="26">
        <f t="shared" si="4"/>
        <v>10</v>
      </c>
      <c r="Y11" s="22"/>
      <c r="Z11" s="26">
        <v>9</v>
      </c>
      <c r="AA11" s="27" t="s">
        <v>593</v>
      </c>
      <c r="AB11" s="26">
        <f>COUNTIF('12 فريقًا'!$D$4:$D$1999,$Z11&amp;" ضد *")+COUNTIF('12 فريقًا'!$D$4:$D$1999,"* ضد "&amp;$Z11)</f>
        <v>22</v>
      </c>
      <c r="AC11" s="26">
        <f t="shared" si="5"/>
        <v>11</v>
      </c>
      <c r="AD11" s="22"/>
      <c r="AE11" s="26">
        <v>9</v>
      </c>
      <c r="AF11" s="27" t="s">
        <v>594</v>
      </c>
      <c r="AG11" s="26">
        <f>COUNTIF('13 فريقًا'!$E$4:$E$1999,$AE11&amp;" ضد *")+COUNTIF('13 فريقًا'!$E$4:$E$1999,"* ضد "&amp;$AE11)</f>
        <v>20</v>
      </c>
      <c r="AH11" s="26">
        <f t="shared" si="6"/>
        <v>5</v>
      </c>
      <c r="AI11" s="22"/>
      <c r="AJ11" s="26">
        <v>9</v>
      </c>
      <c r="AK11" s="27" t="s">
        <v>594</v>
      </c>
      <c r="AL11" s="26">
        <f>COUNTIF('14 فريقًا'!$E$4:$E$1999,$AJ11&amp;" ضد *")+COUNTIF('14 فريقًا'!$E$4:$E$1999,"* ضد "&amp;$AJ11)</f>
        <v>18</v>
      </c>
      <c r="AM11" s="26">
        <f t="shared" si="7"/>
        <v>6</v>
      </c>
      <c r="AN11" s="22"/>
      <c r="AO11" s="26">
        <v>9</v>
      </c>
      <c r="AP11" s="27" t="s">
        <v>594</v>
      </c>
      <c r="AQ11" s="26">
        <f>COUNTIF('15 فريقًا'!$E$4:$E$1999,$AO11&amp;" ضد *")+COUNTIF('15 فريقًا'!$E$4:$E$1999,"* ضد "&amp;$AO11)</f>
        <v>18</v>
      </c>
      <c r="AR11" s="26">
        <f t="shared" si="8"/>
        <v>6</v>
      </c>
      <c r="AS11" s="22"/>
      <c r="AT11" s="26">
        <v>9</v>
      </c>
      <c r="AU11" s="27" t="s">
        <v>594</v>
      </c>
      <c r="AV11" s="26">
        <f>COUNTIF('16 فريقًا'!$E$4:$E$1999,$AT11&amp;" ضد *")+COUNTIF('16 فريقًا'!$E$4:$E$1999,"* ضد "&amp;$AT11)</f>
        <v>21</v>
      </c>
      <c r="AW11" s="26">
        <f t="shared" si="9"/>
        <v>7</v>
      </c>
      <c r="AX11" s="22"/>
      <c r="AY11" s="26">
        <v>9</v>
      </c>
      <c r="AZ11" s="27" t="s">
        <v>593</v>
      </c>
      <c r="BA11" s="26">
        <f>COUNTIF('17 فريقًا'!$D$4:$D$1999,$AY11&amp;" ضد *")+COUNTIF('17 فريقًا'!$D$4:$D$1999,"* ضد "&amp;$AY11)</f>
        <v>18</v>
      </c>
      <c r="BB11" s="26">
        <f t="shared" si="10"/>
        <v>16</v>
      </c>
      <c r="BC11" s="22"/>
      <c r="BD11" s="26">
        <v>9</v>
      </c>
      <c r="BE11" s="27" t="s">
        <v>594</v>
      </c>
      <c r="BF11" s="26">
        <f>COUNTIF('18 فريقًا'!$E$4:$E$1999,$BD11&amp;" ضد *")+COUNTIF('18 فريقًا'!$E$4:$E$1999,"* ضد "&amp;$BD11)</f>
        <v>20</v>
      </c>
      <c r="BG11" s="26">
        <f t="shared" si="11"/>
        <v>5</v>
      </c>
      <c r="BH11" s="22"/>
      <c r="BI11" s="26">
        <v>9</v>
      </c>
      <c r="BJ11" s="27" t="s">
        <v>593</v>
      </c>
      <c r="BK11" s="26">
        <f>COUNTIF('19 فريقًا'!$D$4:$D$1999,$BI11&amp;" ضد *")+COUNTIF('19 فريقًا'!$D$4:$D$1999,"* ضد "&amp;$BI11)</f>
        <v>18</v>
      </c>
      <c r="BL11" s="26">
        <f t="shared" si="12"/>
        <v>18</v>
      </c>
      <c r="BM11" s="22"/>
      <c r="BN11" s="26">
        <v>9</v>
      </c>
      <c r="BO11" s="27" t="s">
        <v>593</v>
      </c>
      <c r="BP11" s="26">
        <f>COUNTIF('20 فريقًا'!$D$4:$D$1999,$BN11&amp;" ضد *")+COUNTIF('20 فريقًا'!$D$4:$D$1999,"* ضد "&amp;$BN11)</f>
        <v>19</v>
      </c>
      <c r="BQ11" s="26">
        <f t="shared" si="13"/>
        <v>19</v>
      </c>
      <c r="BR11" s="22"/>
      <c r="BS11" s="26">
        <v>9</v>
      </c>
      <c r="BT11" s="27" t="s">
        <v>593</v>
      </c>
      <c r="BU11" s="26">
        <f>COUNTIF('21 فريقًا'!$D$4:$D$1999,$BS11&amp;" ضد *")+COUNTIF('21 فريقًا'!$D$4:$D$1999,"* ضد "&amp;$BS11)</f>
        <v>20</v>
      </c>
      <c r="BV11" s="26">
        <f t="shared" si="14"/>
        <v>20</v>
      </c>
      <c r="BW11" s="22"/>
      <c r="BX11" s="26">
        <v>9</v>
      </c>
      <c r="BY11" s="27" t="s">
        <v>593</v>
      </c>
      <c r="BZ11" s="26">
        <f>COUNTIF('22 فريقًا'!$D$4:$D$1999,$BX11&amp;" ضد *")+COUNTIF('22 فريقًا'!$D$4:$D$1999,"* ضد "&amp;$BX11)</f>
        <v>21</v>
      </c>
      <c r="CA11" s="26">
        <f t="shared" si="15"/>
        <v>21</v>
      </c>
      <c r="CB11" s="22"/>
      <c r="CC11" s="26">
        <v>9</v>
      </c>
      <c r="CD11" s="27" t="s">
        <v>593</v>
      </c>
      <c r="CE11" s="26">
        <f>COUNTIF('23 فريقًا'!$E$4:$E$1999,$CC11&amp;" ضد *")+COUNTIF('23 فريقًا'!$E$4:$E$1999,"* ضد "&amp;$CC11)</f>
        <v>18</v>
      </c>
      <c r="CF11" s="26">
        <f t="shared" si="16"/>
        <v>11</v>
      </c>
      <c r="CG11" s="22"/>
      <c r="CH11" s="26">
        <v>9</v>
      </c>
      <c r="CI11" s="27" t="s">
        <v>593</v>
      </c>
      <c r="CJ11" s="26">
        <f>COUNTIF('25 فريقًا'!$E$4:$E$1999,$CH11&amp;" ضد *")+COUNTIF('25 فريقًا'!$E$4:$E$1999,"* ضد "&amp;$CH11)</f>
        <v>18</v>
      </c>
      <c r="CK11" s="26">
        <f t="shared" si="17"/>
        <v>12</v>
      </c>
      <c r="CL11" s="22"/>
      <c r="CM11" s="26">
        <v>9</v>
      </c>
      <c r="CN11" s="27" t="s">
        <v>593</v>
      </c>
      <c r="CO11" s="26">
        <f>COUNTIF('26 فريقًا'!$E$4:$E$1999,$CM11&amp;" ضد *")+COUNTIF('26 فريقًا'!$E$4:$E$1999,"* ضد "&amp;$CM11)</f>
        <v>18</v>
      </c>
      <c r="CP11" s="26">
        <f t="shared" si="18"/>
        <v>13</v>
      </c>
      <c r="CQ11" s="22"/>
      <c r="CR11" s="26">
        <v>9</v>
      </c>
      <c r="CS11" s="27" t="s">
        <v>593</v>
      </c>
      <c r="CT11" s="26">
        <f>COUNTIF('27 فريقًا'!$E$4:$E$1999,$CR11&amp;" ضد *")+COUNTIF('27 فريقًا'!$E$4:$E$1999,"* ضد "&amp;$CR11)</f>
        <v>18</v>
      </c>
      <c r="CU11" s="26">
        <f t="shared" si="19"/>
        <v>13</v>
      </c>
      <c r="CV11" s="22"/>
      <c r="CW11" s="26">
        <v>9</v>
      </c>
      <c r="CX11" s="27" t="s">
        <v>593</v>
      </c>
      <c r="CY11" s="26">
        <f>COUNTIF('29 فريقًا'!$E$4:$E$1999,$CW11&amp;" ضد *")+COUNTIF('29 فريقًا'!$E$4:$E$1999,"* ضد "&amp;$CW11)</f>
        <v>18</v>
      </c>
      <c r="CZ11" s="26">
        <f t="shared" si="20"/>
        <v>14</v>
      </c>
      <c r="DA11" s="22"/>
      <c r="DB11" s="26">
        <v>9</v>
      </c>
      <c r="DC11" s="27" t="s">
        <v>593</v>
      </c>
      <c r="DD11" s="26">
        <f>COUNTIF('37 فريقًا'!$E$4:$E$1999,$DB11&amp;" ضد *")+COUNTIF('37 فريقًا'!$E$4:$E$1999,"* ضد "&amp;$DB11)</f>
        <v>18</v>
      </c>
      <c r="DE11" s="26">
        <f t="shared" si="21"/>
        <v>18</v>
      </c>
      <c r="DF11" s="22"/>
      <c r="DG11" s="26">
        <v>9</v>
      </c>
      <c r="DH11" s="27" t="s">
        <v>593</v>
      </c>
      <c r="DI11" s="26">
        <f>COUNTIF('46 فريقًا'!$E$4:$E$1999,$DG11&amp;" ضد *")+COUNTIF('46 فريقًا'!$E$4:$E$1999,"* ضد "&amp;$DG11)</f>
        <v>18</v>
      </c>
      <c r="DJ11" s="26">
        <f t="shared" si="22"/>
        <v>11</v>
      </c>
      <c r="DK11" s="22"/>
      <c r="DL11" s="26">
        <v>9</v>
      </c>
      <c r="DM11" s="27" t="s">
        <v>593</v>
      </c>
      <c r="DN11" s="26">
        <f>COUNTIF('54 فريقًا'!$E$4:$E$1999,$DL11&amp;" ضد *")+COUNTIF('54 فريقًا'!$E$4:$E$1999,"* ضد "&amp;$DL11)</f>
        <v>18</v>
      </c>
      <c r="DO11" s="26">
        <f t="shared" si="23"/>
        <v>13</v>
      </c>
      <c r="DP11" s="22"/>
      <c r="DQ11" s="26">
        <v>9</v>
      </c>
      <c r="DR11" s="27" t="s">
        <v>593</v>
      </c>
      <c r="DS11" s="26">
        <f>COUNTIF('58 فريقًا'!$E$4:$E$1999,$DQ11&amp;" ضد *")+COUNTIF('58 فريقًا'!$E$4:$E$1999,"* ضد "&amp;$DQ11)</f>
        <v>19</v>
      </c>
      <c r="DT11" s="26">
        <f t="shared" si="24"/>
        <v>19</v>
      </c>
      <c r="DU11" s="22"/>
      <c r="DV11" s="26">
        <v>9</v>
      </c>
      <c r="DW11" s="27" t="s">
        <v>593</v>
      </c>
      <c r="DX11" s="26">
        <f>COUNTIF('64 فريقًا'!$E$4:$E$1999,$DV11&amp;" ضد *")+COUNTIF('64 فريقًا'!$E$4:$E$1999,"* ضد "&amp;$DV11)</f>
        <v>18</v>
      </c>
      <c r="DY11" s="26">
        <f t="shared" si="25"/>
        <v>15</v>
      </c>
      <c r="DZ11" s="22"/>
      <c r="EA11" s="26">
        <v>9</v>
      </c>
      <c r="EB11" s="27" t="s">
        <v>593</v>
      </c>
      <c r="EC11" s="26">
        <f>COUNTIF('67 فريقًا'!$E$4:$E$1999,$EA11&amp;" ضد *")+COUNTIF('67 فريقًا'!$E$4:$E$1999,"* ضد "&amp;$EA11)</f>
        <v>18</v>
      </c>
      <c r="ED11" s="26">
        <f t="shared" si="26"/>
        <v>16</v>
      </c>
    </row>
    <row r="12" spans="1:134" ht="14.5">
      <c r="A12" s="26"/>
      <c r="B12" s="27"/>
      <c r="C12" s="26"/>
      <c r="D12" s="26"/>
      <c r="E12" s="22"/>
      <c r="F12" s="26"/>
      <c r="G12" s="27"/>
      <c r="H12" s="26"/>
      <c r="I12" s="26"/>
      <c r="J12" s="22"/>
      <c r="K12" s="26"/>
      <c r="L12" s="27"/>
      <c r="M12" s="26"/>
      <c r="N12" s="26"/>
      <c r="O12" s="22"/>
      <c r="P12" s="26"/>
      <c r="Q12" s="27"/>
      <c r="R12" s="26"/>
      <c r="S12" s="26"/>
      <c r="T12" s="22"/>
      <c r="U12" s="26">
        <v>10</v>
      </c>
      <c r="V12" s="27" t="s">
        <v>593</v>
      </c>
      <c r="W12" s="26">
        <f>COUNTIF('11 فريقًا'!$D$4:$D$1999,$U12&amp;" ضد *")+COUNTIF('11 فريقًا'!$D$4:$D$1999,"* ضد "&amp;$U12)</f>
        <v>20</v>
      </c>
      <c r="X12" s="26">
        <f t="shared" si="4"/>
        <v>10</v>
      </c>
      <c r="Y12" s="22"/>
      <c r="Z12" s="26">
        <v>10</v>
      </c>
      <c r="AA12" s="27" t="s">
        <v>593</v>
      </c>
      <c r="AB12" s="26">
        <f>COUNTIF('12 فريقًا'!$D$4:$D$1999,$Z12&amp;" ضد *")+COUNTIF('12 فريقًا'!$D$4:$D$1999,"* ضد "&amp;$Z12)</f>
        <v>22</v>
      </c>
      <c r="AC12" s="26">
        <f t="shared" si="5"/>
        <v>11</v>
      </c>
      <c r="AD12" s="22"/>
      <c r="AE12" s="26">
        <v>10</v>
      </c>
      <c r="AF12" s="27" t="s">
        <v>594</v>
      </c>
      <c r="AG12" s="26">
        <f>COUNTIF('13 فريقًا'!$E$4:$E$1999,$AE12&amp;" ضد *")+COUNTIF('13 فريقًا'!$E$4:$E$1999,"* ضد "&amp;$AE12)</f>
        <v>20</v>
      </c>
      <c r="AH12" s="26">
        <f t="shared" si="6"/>
        <v>5</v>
      </c>
      <c r="AI12" s="22"/>
      <c r="AJ12" s="26">
        <v>10</v>
      </c>
      <c r="AK12" s="27" t="s">
        <v>594</v>
      </c>
      <c r="AL12" s="26">
        <f>COUNTIF('14 فريقًا'!$E$4:$E$1999,$AJ12&amp;" ضد *")+COUNTIF('14 فريقًا'!$E$4:$E$1999,"* ضد "&amp;$AJ12)</f>
        <v>18</v>
      </c>
      <c r="AM12" s="26">
        <f t="shared" si="7"/>
        <v>6</v>
      </c>
      <c r="AN12" s="22"/>
      <c r="AO12" s="26">
        <v>10</v>
      </c>
      <c r="AP12" s="27" t="s">
        <v>594</v>
      </c>
      <c r="AQ12" s="26">
        <f>COUNTIF('15 فريقًا'!$E$4:$E$1999,$AO12&amp;" ضد *")+COUNTIF('15 فريقًا'!$E$4:$E$1999,"* ضد "&amp;$AO12)</f>
        <v>18</v>
      </c>
      <c r="AR12" s="26">
        <f t="shared" si="8"/>
        <v>6</v>
      </c>
      <c r="AS12" s="22"/>
      <c r="AT12" s="26">
        <v>10</v>
      </c>
      <c r="AU12" s="27" t="s">
        <v>594</v>
      </c>
      <c r="AV12" s="26">
        <f>COUNTIF('16 فريقًا'!$E$4:$E$1999,$AT12&amp;" ضد *")+COUNTIF('16 فريقًا'!$E$4:$E$1999,"* ضد "&amp;$AT12)</f>
        <v>21</v>
      </c>
      <c r="AW12" s="26">
        <f t="shared" si="9"/>
        <v>7</v>
      </c>
      <c r="AX12" s="22"/>
      <c r="AY12" s="26">
        <v>10</v>
      </c>
      <c r="AZ12" s="27" t="s">
        <v>593</v>
      </c>
      <c r="BA12" s="26">
        <f>COUNTIF('17 فريقًا'!$D$4:$D$1999,$AY12&amp;" ضد *")+COUNTIF('17 فريقًا'!$D$4:$D$1999,"* ضد "&amp;$AY12)</f>
        <v>18</v>
      </c>
      <c r="BB12" s="26">
        <f t="shared" si="10"/>
        <v>16</v>
      </c>
      <c r="BC12" s="22"/>
      <c r="BD12" s="26">
        <v>10</v>
      </c>
      <c r="BE12" s="27" t="s">
        <v>594</v>
      </c>
      <c r="BF12" s="26">
        <f>COUNTIF('18 فريقًا'!$E$4:$E$1999,$BD12&amp;" ضد *")+COUNTIF('18 فريقًا'!$E$4:$E$1999,"* ضد "&amp;$BD12)</f>
        <v>20</v>
      </c>
      <c r="BG12" s="26">
        <f t="shared" si="11"/>
        <v>5</v>
      </c>
      <c r="BH12" s="22"/>
      <c r="BI12" s="26">
        <v>10</v>
      </c>
      <c r="BJ12" s="27" t="s">
        <v>593</v>
      </c>
      <c r="BK12" s="26">
        <f>COUNTIF('19 فريقًا'!$D$4:$D$1999,$BI12&amp;" ضد *")+COUNTIF('19 فريقًا'!$D$4:$D$1999,"* ضد "&amp;$BI12)</f>
        <v>18</v>
      </c>
      <c r="BL12" s="26">
        <f t="shared" si="12"/>
        <v>18</v>
      </c>
      <c r="BM12" s="22"/>
      <c r="BN12" s="26">
        <v>10</v>
      </c>
      <c r="BO12" s="27" t="s">
        <v>593</v>
      </c>
      <c r="BP12" s="26">
        <f>COUNTIF('20 فريقًا'!$D$4:$D$1999,$BN12&amp;" ضد *")+COUNTIF('20 فريقًا'!$D$4:$D$1999,"* ضد "&amp;$BN12)</f>
        <v>19</v>
      </c>
      <c r="BQ12" s="26">
        <f t="shared" si="13"/>
        <v>19</v>
      </c>
      <c r="BR12" s="22"/>
      <c r="BS12" s="26">
        <v>10</v>
      </c>
      <c r="BT12" s="27" t="s">
        <v>593</v>
      </c>
      <c r="BU12" s="26">
        <f>COUNTIF('21 فريقًا'!$D$4:$D$1999,$BS12&amp;" ضد *")+COUNTIF('21 فريقًا'!$D$4:$D$1999,"* ضد "&amp;$BS12)</f>
        <v>20</v>
      </c>
      <c r="BV12" s="26">
        <f t="shared" si="14"/>
        <v>20</v>
      </c>
      <c r="BW12" s="22"/>
      <c r="BX12" s="26">
        <v>10</v>
      </c>
      <c r="BY12" s="27" t="s">
        <v>593</v>
      </c>
      <c r="BZ12" s="26">
        <f>COUNTIF('22 فريقًا'!$D$4:$D$1999,$BX12&amp;" ضد *")+COUNTIF('22 فريقًا'!$D$4:$D$1999,"* ضد "&amp;$BX12)</f>
        <v>21</v>
      </c>
      <c r="CA12" s="26">
        <f t="shared" si="15"/>
        <v>21</v>
      </c>
      <c r="CB12" s="22"/>
      <c r="CC12" s="26">
        <v>10</v>
      </c>
      <c r="CD12" s="27" t="s">
        <v>593</v>
      </c>
      <c r="CE12" s="26">
        <f>COUNTIF('23 فريقًا'!$E$4:$E$1999,$CC12&amp;" ضد *")+COUNTIF('23 فريقًا'!$E$4:$E$1999,"* ضد "&amp;$CC12)</f>
        <v>18</v>
      </c>
      <c r="CF12" s="26">
        <f t="shared" si="16"/>
        <v>11</v>
      </c>
      <c r="CG12" s="22"/>
      <c r="CH12" s="26">
        <v>10</v>
      </c>
      <c r="CI12" s="27" t="s">
        <v>593</v>
      </c>
      <c r="CJ12" s="26">
        <f>COUNTIF('25 فريقًا'!$E$4:$E$1999,$CH12&amp;" ضد *")+COUNTIF('25 فريقًا'!$E$4:$E$1999,"* ضد "&amp;$CH12)</f>
        <v>18</v>
      </c>
      <c r="CK12" s="26">
        <f t="shared" si="17"/>
        <v>12</v>
      </c>
      <c r="CL12" s="22"/>
      <c r="CM12" s="26">
        <v>10</v>
      </c>
      <c r="CN12" s="27" t="s">
        <v>593</v>
      </c>
      <c r="CO12" s="26">
        <f>COUNTIF('26 فريقًا'!$E$4:$E$1999,$CM12&amp;" ضد *")+COUNTIF('26 فريقًا'!$E$4:$E$1999,"* ضد "&amp;$CM12)</f>
        <v>18</v>
      </c>
      <c r="CP12" s="26">
        <f t="shared" si="18"/>
        <v>13</v>
      </c>
      <c r="CQ12" s="22"/>
      <c r="CR12" s="26">
        <v>10</v>
      </c>
      <c r="CS12" s="27" t="s">
        <v>593</v>
      </c>
      <c r="CT12" s="26">
        <f>COUNTIF('27 فريقًا'!$E$4:$E$1999,$CR12&amp;" ضد *")+COUNTIF('27 فريقًا'!$E$4:$E$1999,"* ضد "&amp;$CR12)</f>
        <v>18</v>
      </c>
      <c r="CU12" s="26">
        <f t="shared" si="19"/>
        <v>13</v>
      </c>
      <c r="CV12" s="22"/>
      <c r="CW12" s="26">
        <v>10</v>
      </c>
      <c r="CX12" s="27" t="s">
        <v>593</v>
      </c>
      <c r="CY12" s="26">
        <f>COUNTIF('29 فريقًا'!$E$4:$E$1999,$CW12&amp;" ضد *")+COUNTIF('29 فريقًا'!$E$4:$E$1999,"* ضد "&amp;$CW12)</f>
        <v>18</v>
      </c>
      <c r="CZ12" s="26">
        <f t="shared" si="20"/>
        <v>14</v>
      </c>
      <c r="DA12" s="22"/>
      <c r="DB12" s="26">
        <v>10</v>
      </c>
      <c r="DC12" s="27" t="s">
        <v>593</v>
      </c>
      <c r="DD12" s="26">
        <f>COUNTIF('37 فريقًا'!$E$4:$E$1999,$DB12&amp;" ضد *")+COUNTIF('37 فريقًا'!$E$4:$E$1999,"* ضد "&amp;$DB12)</f>
        <v>18</v>
      </c>
      <c r="DE12" s="26">
        <f t="shared" si="21"/>
        <v>18</v>
      </c>
      <c r="DF12" s="22"/>
      <c r="DG12" s="26">
        <v>10</v>
      </c>
      <c r="DH12" s="27" t="s">
        <v>593</v>
      </c>
      <c r="DI12" s="26">
        <f>COUNTIF('46 فريقًا'!$E$4:$E$1999,$DG12&amp;" ضد *")+COUNTIF('46 فريقًا'!$E$4:$E$1999,"* ضد "&amp;$DG12)</f>
        <v>18</v>
      </c>
      <c r="DJ12" s="26">
        <f t="shared" si="22"/>
        <v>11</v>
      </c>
      <c r="DK12" s="22"/>
      <c r="DL12" s="26">
        <v>10</v>
      </c>
      <c r="DM12" s="27" t="s">
        <v>593</v>
      </c>
      <c r="DN12" s="26">
        <f>COUNTIF('54 فريقًا'!$E$4:$E$1999,$DL12&amp;" ضد *")+COUNTIF('54 فريقًا'!$E$4:$E$1999,"* ضد "&amp;$DL12)</f>
        <v>18</v>
      </c>
      <c r="DO12" s="26">
        <f t="shared" si="23"/>
        <v>13</v>
      </c>
      <c r="DP12" s="22"/>
      <c r="DQ12" s="26">
        <v>10</v>
      </c>
      <c r="DR12" s="27" t="s">
        <v>593</v>
      </c>
      <c r="DS12" s="26">
        <f>COUNTIF('58 فريقًا'!$E$4:$E$1999,$DQ12&amp;" ضد *")+COUNTIF('58 فريقًا'!$E$4:$E$1999,"* ضد "&amp;$DQ12)</f>
        <v>19</v>
      </c>
      <c r="DT12" s="26">
        <f t="shared" si="24"/>
        <v>19</v>
      </c>
      <c r="DU12" s="22"/>
      <c r="DV12" s="26">
        <v>10</v>
      </c>
      <c r="DW12" s="27" t="s">
        <v>593</v>
      </c>
      <c r="DX12" s="26">
        <f>COUNTIF('64 فريقًا'!$E$4:$E$1999,$DV12&amp;" ضد *")+COUNTIF('64 فريقًا'!$E$4:$E$1999,"* ضد "&amp;$DV12)</f>
        <v>18</v>
      </c>
      <c r="DY12" s="26">
        <f t="shared" si="25"/>
        <v>15</v>
      </c>
      <c r="DZ12" s="22"/>
      <c r="EA12" s="26">
        <v>10</v>
      </c>
      <c r="EB12" s="27" t="s">
        <v>593</v>
      </c>
      <c r="EC12" s="26">
        <f>COUNTIF('67 فريقًا'!$E$4:$E$1999,$EA12&amp;" ضد *")+COUNTIF('67 فريقًا'!$E$4:$E$1999,"* ضد "&amp;$EA12)</f>
        <v>18</v>
      </c>
      <c r="ED12" s="26">
        <f t="shared" si="26"/>
        <v>16</v>
      </c>
    </row>
    <row r="13" spans="1:134" ht="14.5">
      <c r="A13" s="26"/>
      <c r="B13" s="27"/>
      <c r="C13" s="26"/>
      <c r="D13" s="26"/>
      <c r="E13" s="22"/>
      <c r="F13" s="26"/>
      <c r="G13" s="27"/>
      <c r="H13" s="26"/>
      <c r="I13" s="26"/>
      <c r="J13" s="22"/>
      <c r="K13" s="26"/>
      <c r="L13" s="27"/>
      <c r="M13" s="26"/>
      <c r="N13" s="26"/>
      <c r="O13" s="22"/>
      <c r="P13" s="26"/>
      <c r="Q13" s="27"/>
      <c r="R13" s="26"/>
      <c r="S13" s="26"/>
      <c r="T13" s="22"/>
      <c r="U13" s="26">
        <v>11</v>
      </c>
      <c r="V13" s="27" t="s">
        <v>593</v>
      </c>
      <c r="W13" s="26">
        <f>COUNTIF('11 فريقًا'!$D$4:$D$1999,$U13&amp;" ضد *")+COUNTIF('11 فريقًا'!$D$4:$D$1999,"* ضد "&amp;$U13)</f>
        <v>20</v>
      </c>
      <c r="X13" s="26">
        <f t="shared" si="4"/>
        <v>10</v>
      </c>
      <c r="Y13" s="22"/>
      <c r="Z13" s="26">
        <v>11</v>
      </c>
      <c r="AA13" s="27" t="s">
        <v>593</v>
      </c>
      <c r="AB13" s="26">
        <f>COUNTIF('12 فريقًا'!$D$4:$D$1999,$Z13&amp;" ضد *")+COUNTIF('12 فريقًا'!$D$4:$D$1999,"* ضد "&amp;$Z13)</f>
        <v>22</v>
      </c>
      <c r="AC13" s="26">
        <f t="shared" si="5"/>
        <v>11</v>
      </c>
      <c r="AD13" s="22"/>
      <c r="AE13" s="26">
        <v>11</v>
      </c>
      <c r="AF13" s="27" t="s">
        <v>594</v>
      </c>
      <c r="AG13" s="26">
        <f>COUNTIF('13 فريقًا'!$E$4:$E$1999,$AE13&amp;" ضد *")+COUNTIF('13 فريقًا'!$E$4:$E$1999,"* ضد "&amp;$AE13)</f>
        <v>20</v>
      </c>
      <c r="AH13" s="26">
        <f t="shared" si="6"/>
        <v>5</v>
      </c>
      <c r="AI13" s="22"/>
      <c r="AJ13" s="26">
        <v>11</v>
      </c>
      <c r="AK13" s="27" t="s">
        <v>594</v>
      </c>
      <c r="AL13" s="26">
        <f>COUNTIF('14 فريقًا'!$E$4:$E$1999,$AJ13&amp;" ضد *")+COUNTIF('14 فريقًا'!$E$4:$E$1999,"* ضد "&amp;$AJ13)</f>
        <v>18</v>
      </c>
      <c r="AM13" s="26">
        <f t="shared" si="7"/>
        <v>6</v>
      </c>
      <c r="AN13" s="22"/>
      <c r="AO13" s="26">
        <v>11</v>
      </c>
      <c r="AP13" s="27" t="s">
        <v>594</v>
      </c>
      <c r="AQ13" s="26">
        <f>COUNTIF('15 فريقًا'!$E$4:$E$1999,$AO13&amp;" ضد *")+COUNTIF('15 فريقًا'!$E$4:$E$1999,"* ضد "&amp;$AO13)</f>
        <v>18</v>
      </c>
      <c r="AR13" s="26">
        <f t="shared" si="8"/>
        <v>6</v>
      </c>
      <c r="AS13" s="22"/>
      <c r="AT13" s="26">
        <v>11</v>
      </c>
      <c r="AU13" s="27" t="s">
        <v>594</v>
      </c>
      <c r="AV13" s="26">
        <f>COUNTIF('16 فريقًا'!$E$4:$E$1999,$AT13&amp;" ضد *")+COUNTIF('16 فريقًا'!$E$4:$E$1999,"* ضد "&amp;$AT13)</f>
        <v>21</v>
      </c>
      <c r="AW13" s="26">
        <f t="shared" si="9"/>
        <v>7</v>
      </c>
      <c r="AX13" s="22"/>
      <c r="AY13" s="26">
        <v>11</v>
      </c>
      <c r="AZ13" s="27" t="s">
        <v>593</v>
      </c>
      <c r="BA13" s="26">
        <f>COUNTIF('17 فريقًا'!$D$4:$D$1999,$AY13&amp;" ضد *")+COUNTIF('17 فريقًا'!$D$4:$D$1999,"* ضد "&amp;$AY13)</f>
        <v>18</v>
      </c>
      <c r="BB13" s="26">
        <f t="shared" si="10"/>
        <v>16</v>
      </c>
      <c r="BC13" s="22"/>
      <c r="BD13" s="26">
        <v>11</v>
      </c>
      <c r="BE13" s="27" t="s">
        <v>594</v>
      </c>
      <c r="BF13" s="26">
        <f>COUNTIF('18 فريقًا'!$E$4:$E$1999,$BD13&amp;" ضد *")+COUNTIF('18 فريقًا'!$E$4:$E$1999,"* ضد "&amp;$BD13)</f>
        <v>20</v>
      </c>
      <c r="BG13" s="26">
        <f t="shared" si="11"/>
        <v>5</v>
      </c>
      <c r="BH13" s="22"/>
      <c r="BI13" s="26">
        <v>11</v>
      </c>
      <c r="BJ13" s="27" t="s">
        <v>593</v>
      </c>
      <c r="BK13" s="26">
        <f>COUNTIF('19 فريقًا'!$D$4:$D$1999,$BI13&amp;" ضد *")+COUNTIF('19 فريقًا'!$D$4:$D$1999,"* ضد "&amp;$BI13)</f>
        <v>18</v>
      </c>
      <c r="BL13" s="26">
        <f t="shared" si="12"/>
        <v>18</v>
      </c>
      <c r="BM13" s="22"/>
      <c r="BN13" s="26">
        <v>11</v>
      </c>
      <c r="BO13" s="27" t="s">
        <v>593</v>
      </c>
      <c r="BP13" s="26">
        <f>COUNTIF('20 فريقًا'!$D$4:$D$1999,$BN13&amp;" ضد *")+COUNTIF('20 فريقًا'!$D$4:$D$1999,"* ضد "&amp;$BN13)</f>
        <v>19</v>
      </c>
      <c r="BQ13" s="26">
        <f t="shared" si="13"/>
        <v>19</v>
      </c>
      <c r="BR13" s="22"/>
      <c r="BS13" s="26">
        <v>11</v>
      </c>
      <c r="BT13" s="27" t="s">
        <v>593</v>
      </c>
      <c r="BU13" s="26">
        <f>COUNTIF('21 فريقًا'!$D$4:$D$1999,$BS13&amp;" ضد *")+COUNTIF('21 فريقًا'!$D$4:$D$1999,"* ضد "&amp;$BS13)</f>
        <v>20</v>
      </c>
      <c r="BV13" s="26">
        <f t="shared" si="14"/>
        <v>20</v>
      </c>
      <c r="BW13" s="22"/>
      <c r="BX13" s="26">
        <v>11</v>
      </c>
      <c r="BY13" s="27" t="s">
        <v>593</v>
      </c>
      <c r="BZ13" s="26">
        <f>COUNTIF('22 فريقًا'!$D$4:$D$1999,$BX13&amp;" ضد *")+COUNTIF('22 فريقًا'!$D$4:$D$1999,"* ضد "&amp;$BX13)</f>
        <v>21</v>
      </c>
      <c r="CA13" s="26">
        <f t="shared" si="15"/>
        <v>21</v>
      </c>
      <c r="CB13" s="22"/>
      <c r="CC13" s="26">
        <v>11</v>
      </c>
      <c r="CD13" s="27" t="s">
        <v>593</v>
      </c>
      <c r="CE13" s="26">
        <f>COUNTIF('23 فريقًا'!$E$4:$E$1999,$CC13&amp;" ضد *")+COUNTIF('23 فريقًا'!$E$4:$E$1999,"* ضد "&amp;$CC13)</f>
        <v>18</v>
      </c>
      <c r="CF13" s="26">
        <f t="shared" si="16"/>
        <v>11</v>
      </c>
      <c r="CG13" s="22"/>
      <c r="CH13" s="26">
        <v>11</v>
      </c>
      <c r="CI13" s="27" t="s">
        <v>593</v>
      </c>
      <c r="CJ13" s="26">
        <f>COUNTIF('25 فريقًا'!$E$4:$E$1999,$CH13&amp;" ضد *")+COUNTIF('25 فريقًا'!$E$4:$E$1999,"* ضد "&amp;$CH13)</f>
        <v>18</v>
      </c>
      <c r="CK13" s="26">
        <f t="shared" si="17"/>
        <v>12</v>
      </c>
      <c r="CL13" s="22"/>
      <c r="CM13" s="26">
        <v>11</v>
      </c>
      <c r="CN13" s="27" t="s">
        <v>593</v>
      </c>
      <c r="CO13" s="26">
        <f>COUNTIF('26 فريقًا'!$E$4:$E$1999,$CM13&amp;" ضد *")+COUNTIF('26 فريقًا'!$E$4:$E$1999,"* ضد "&amp;$CM13)</f>
        <v>18</v>
      </c>
      <c r="CP13" s="26">
        <f t="shared" si="18"/>
        <v>13</v>
      </c>
      <c r="CQ13" s="22"/>
      <c r="CR13" s="26">
        <v>11</v>
      </c>
      <c r="CS13" s="27" t="s">
        <v>593</v>
      </c>
      <c r="CT13" s="26">
        <f>COUNTIF('27 فريقًا'!$E$4:$E$1999,$CR13&amp;" ضد *")+COUNTIF('27 فريقًا'!$E$4:$E$1999,"* ضد "&amp;$CR13)</f>
        <v>18</v>
      </c>
      <c r="CU13" s="26">
        <f t="shared" si="19"/>
        <v>13</v>
      </c>
      <c r="CV13" s="22"/>
      <c r="CW13" s="26">
        <v>11</v>
      </c>
      <c r="CX13" s="27" t="s">
        <v>593</v>
      </c>
      <c r="CY13" s="26">
        <f>COUNTIF('29 فريقًا'!$E$4:$E$1999,$CW13&amp;" ضد *")+COUNTIF('29 فريقًا'!$E$4:$E$1999,"* ضد "&amp;$CW13)</f>
        <v>18</v>
      </c>
      <c r="CZ13" s="26">
        <f t="shared" si="20"/>
        <v>14</v>
      </c>
      <c r="DA13" s="22"/>
      <c r="DB13" s="26">
        <v>11</v>
      </c>
      <c r="DC13" s="27" t="s">
        <v>593</v>
      </c>
      <c r="DD13" s="26">
        <f>COUNTIF('37 فريقًا'!$E$4:$E$1999,$DB13&amp;" ضد *")+COUNTIF('37 فريقًا'!$E$4:$E$1999,"* ضد "&amp;$DB13)</f>
        <v>18</v>
      </c>
      <c r="DE13" s="26">
        <f t="shared" si="21"/>
        <v>18</v>
      </c>
      <c r="DF13" s="22"/>
      <c r="DG13" s="26">
        <v>11</v>
      </c>
      <c r="DH13" s="27" t="s">
        <v>593</v>
      </c>
      <c r="DI13" s="26">
        <f>COUNTIF('46 فريقًا'!$E$4:$E$1999,$DG13&amp;" ضد *")+COUNTIF('46 فريقًا'!$E$4:$E$1999,"* ضد "&amp;$DG13)</f>
        <v>18</v>
      </c>
      <c r="DJ13" s="26">
        <f t="shared" si="22"/>
        <v>11</v>
      </c>
      <c r="DK13" s="22"/>
      <c r="DL13" s="26">
        <v>11</v>
      </c>
      <c r="DM13" s="27" t="s">
        <v>593</v>
      </c>
      <c r="DN13" s="26">
        <f>COUNTIF('54 فريقًا'!$E$4:$E$1999,$DL13&amp;" ضد *")+COUNTIF('54 فريقًا'!$E$4:$E$1999,"* ضد "&amp;$DL13)</f>
        <v>18</v>
      </c>
      <c r="DO13" s="26">
        <f t="shared" si="23"/>
        <v>13</v>
      </c>
      <c r="DP13" s="22"/>
      <c r="DQ13" s="26">
        <v>11</v>
      </c>
      <c r="DR13" s="27" t="s">
        <v>593</v>
      </c>
      <c r="DS13" s="26">
        <f>COUNTIF('58 فريقًا'!$E$4:$E$1999,$DQ13&amp;" ضد *")+COUNTIF('58 فريقًا'!$E$4:$E$1999,"* ضد "&amp;$DQ13)</f>
        <v>19</v>
      </c>
      <c r="DT13" s="26">
        <f t="shared" si="24"/>
        <v>19</v>
      </c>
      <c r="DU13" s="22"/>
      <c r="DV13" s="26">
        <v>11</v>
      </c>
      <c r="DW13" s="27" t="s">
        <v>593</v>
      </c>
      <c r="DX13" s="26">
        <f>COUNTIF('64 فريقًا'!$E$4:$E$1999,$DV13&amp;" ضد *")+COUNTIF('64 فريقًا'!$E$4:$E$1999,"* ضد "&amp;$DV13)</f>
        <v>18</v>
      </c>
      <c r="DY13" s="26">
        <f t="shared" si="25"/>
        <v>15</v>
      </c>
      <c r="DZ13" s="22"/>
      <c r="EA13" s="26">
        <v>11</v>
      </c>
      <c r="EB13" s="27" t="s">
        <v>593</v>
      </c>
      <c r="EC13" s="26">
        <f>COUNTIF('67 فريقًا'!$E$4:$E$1999,$EA13&amp;" ضد *")+COUNTIF('67 فريقًا'!$E$4:$E$1999,"* ضد "&amp;$EA13)</f>
        <v>18</v>
      </c>
      <c r="ED13" s="26">
        <f t="shared" si="26"/>
        <v>16</v>
      </c>
    </row>
    <row r="14" spans="1:134" ht="14.5">
      <c r="A14" s="26"/>
      <c r="B14" s="27"/>
      <c r="C14" s="26"/>
      <c r="D14" s="26"/>
      <c r="E14" s="22"/>
      <c r="F14" s="26"/>
      <c r="G14" s="27"/>
      <c r="H14" s="26"/>
      <c r="I14" s="26"/>
      <c r="J14" s="22"/>
      <c r="K14" s="26"/>
      <c r="L14" s="27"/>
      <c r="M14" s="26"/>
      <c r="N14" s="26"/>
      <c r="O14" s="22"/>
      <c r="P14" s="26"/>
      <c r="Q14" s="27"/>
      <c r="R14" s="26"/>
      <c r="S14" s="26"/>
      <c r="T14" s="22"/>
      <c r="U14" s="26"/>
      <c r="V14" s="27"/>
      <c r="W14" s="26"/>
      <c r="X14" s="26"/>
      <c r="Y14" s="22"/>
      <c r="Z14" s="26">
        <v>12</v>
      </c>
      <c r="AA14" s="27" t="s">
        <v>593</v>
      </c>
      <c r="AB14" s="26">
        <f>COUNTIF('12 فريقًا'!$D$4:$D$1999,$Z14&amp;" ضد *")+COUNTIF('12 فريقًا'!$D$4:$D$1999,"* ضد "&amp;$Z14)</f>
        <v>22</v>
      </c>
      <c r="AC14" s="26">
        <f t="shared" si="5"/>
        <v>11</v>
      </c>
      <c r="AD14" s="22"/>
      <c r="AE14" s="26">
        <v>12</v>
      </c>
      <c r="AF14" s="27" t="s">
        <v>594</v>
      </c>
      <c r="AG14" s="26">
        <f>COUNTIF('13 فريقًا'!$E$4:$E$1999,$AE14&amp;" ضد *")+COUNTIF('13 فريقًا'!$E$4:$E$1999,"* ضد "&amp;$AE14)</f>
        <v>20</v>
      </c>
      <c r="AH14" s="26">
        <f t="shared" si="6"/>
        <v>5</v>
      </c>
      <c r="AI14" s="22"/>
      <c r="AJ14" s="26">
        <v>12</v>
      </c>
      <c r="AK14" s="27" t="s">
        <v>594</v>
      </c>
      <c r="AL14" s="26">
        <f>COUNTIF('14 فريقًا'!$E$4:$E$1999,$AJ14&amp;" ضد *")+COUNTIF('14 فريقًا'!$E$4:$E$1999,"* ضد "&amp;$AJ14)</f>
        <v>18</v>
      </c>
      <c r="AM14" s="26">
        <f t="shared" si="7"/>
        <v>6</v>
      </c>
      <c r="AN14" s="22"/>
      <c r="AO14" s="26">
        <v>12</v>
      </c>
      <c r="AP14" s="27" t="s">
        <v>594</v>
      </c>
      <c r="AQ14" s="26">
        <f>COUNTIF('15 فريقًا'!$E$4:$E$1999,$AO14&amp;" ضد *")+COUNTIF('15 فريقًا'!$E$4:$E$1999,"* ضد "&amp;$AO14)</f>
        <v>18</v>
      </c>
      <c r="AR14" s="26">
        <f t="shared" si="8"/>
        <v>6</v>
      </c>
      <c r="AS14" s="22"/>
      <c r="AT14" s="26">
        <v>12</v>
      </c>
      <c r="AU14" s="27" t="s">
        <v>594</v>
      </c>
      <c r="AV14" s="26">
        <f>COUNTIF('16 فريقًا'!$E$4:$E$1999,$AT14&amp;" ضد *")+COUNTIF('16 فريقًا'!$E$4:$E$1999,"* ضد "&amp;$AT14)</f>
        <v>21</v>
      </c>
      <c r="AW14" s="26">
        <f t="shared" si="9"/>
        <v>7</v>
      </c>
      <c r="AX14" s="22"/>
      <c r="AY14" s="26">
        <v>12</v>
      </c>
      <c r="AZ14" s="27" t="s">
        <v>593</v>
      </c>
      <c r="BA14" s="26">
        <f>COUNTIF('17 فريقًا'!$D$4:$D$1999,$AY14&amp;" ضد *")+COUNTIF('17 فريقًا'!$D$4:$D$1999,"* ضد "&amp;$AY14)</f>
        <v>18</v>
      </c>
      <c r="BB14" s="26">
        <f t="shared" si="10"/>
        <v>16</v>
      </c>
      <c r="BC14" s="22"/>
      <c r="BD14" s="26">
        <v>12</v>
      </c>
      <c r="BE14" s="27" t="s">
        <v>594</v>
      </c>
      <c r="BF14" s="26">
        <f>COUNTIF('18 فريقًا'!$E$4:$E$1999,$BD14&amp;" ضد *")+COUNTIF('18 فريقًا'!$E$4:$E$1999,"* ضد "&amp;$BD14)</f>
        <v>20</v>
      </c>
      <c r="BG14" s="26">
        <f t="shared" si="11"/>
        <v>5</v>
      </c>
      <c r="BH14" s="22"/>
      <c r="BI14" s="26">
        <v>12</v>
      </c>
      <c r="BJ14" s="27" t="s">
        <v>593</v>
      </c>
      <c r="BK14" s="26">
        <f>COUNTIF('19 فريقًا'!$D$4:$D$1999,$BI14&amp;" ضد *")+COUNTIF('19 فريقًا'!$D$4:$D$1999,"* ضد "&amp;$BI14)</f>
        <v>18</v>
      </c>
      <c r="BL14" s="26">
        <f t="shared" si="12"/>
        <v>18</v>
      </c>
      <c r="BM14" s="22"/>
      <c r="BN14" s="26">
        <v>12</v>
      </c>
      <c r="BO14" s="27" t="s">
        <v>593</v>
      </c>
      <c r="BP14" s="26">
        <f>COUNTIF('20 فريقًا'!$D$4:$D$1999,$BN14&amp;" ضد *")+COUNTIF('20 فريقًا'!$D$4:$D$1999,"* ضد "&amp;$BN14)</f>
        <v>19</v>
      </c>
      <c r="BQ14" s="26">
        <f t="shared" si="13"/>
        <v>19</v>
      </c>
      <c r="BR14" s="22"/>
      <c r="BS14" s="26">
        <v>12</v>
      </c>
      <c r="BT14" s="27" t="s">
        <v>593</v>
      </c>
      <c r="BU14" s="26">
        <f>COUNTIF('21 فريقًا'!$D$4:$D$1999,$BS14&amp;" ضد *")+COUNTIF('21 فريقًا'!$D$4:$D$1999,"* ضد "&amp;$BS14)</f>
        <v>20</v>
      </c>
      <c r="BV14" s="26">
        <f t="shared" si="14"/>
        <v>20</v>
      </c>
      <c r="BW14" s="22"/>
      <c r="BX14" s="26">
        <v>12</v>
      </c>
      <c r="BY14" s="27" t="s">
        <v>593</v>
      </c>
      <c r="BZ14" s="26">
        <f>COUNTIF('22 فريقًا'!$D$4:$D$1999,$BX14&amp;" ضد *")+COUNTIF('22 فريقًا'!$D$4:$D$1999,"* ضد "&amp;$BX14)</f>
        <v>21</v>
      </c>
      <c r="CA14" s="26">
        <f t="shared" si="15"/>
        <v>21</v>
      </c>
      <c r="CB14" s="22"/>
      <c r="CC14" s="26">
        <v>12</v>
      </c>
      <c r="CD14" s="27" t="s">
        <v>593</v>
      </c>
      <c r="CE14" s="26">
        <f>COUNTIF('23 فريقًا'!$E$4:$E$1999,$CC14&amp;" ضد *")+COUNTIF('23 فريقًا'!$E$4:$E$1999,"* ضد "&amp;$CC14)</f>
        <v>18</v>
      </c>
      <c r="CF14" s="26">
        <f t="shared" si="16"/>
        <v>11</v>
      </c>
      <c r="CG14" s="22"/>
      <c r="CH14" s="26">
        <v>12</v>
      </c>
      <c r="CI14" s="27" t="s">
        <v>593</v>
      </c>
      <c r="CJ14" s="26">
        <f>COUNTIF('25 فريقًا'!$E$4:$E$1999,$CH14&amp;" ضد *")+COUNTIF('25 فريقًا'!$E$4:$E$1999,"* ضد "&amp;$CH14)</f>
        <v>18</v>
      </c>
      <c r="CK14" s="26">
        <f t="shared" si="17"/>
        <v>12</v>
      </c>
      <c r="CL14" s="22"/>
      <c r="CM14" s="26">
        <v>12</v>
      </c>
      <c r="CN14" s="27" t="s">
        <v>593</v>
      </c>
      <c r="CO14" s="26">
        <f>COUNTIF('26 فريقًا'!$E$4:$E$1999,$CM14&amp;" ضد *")+COUNTIF('26 فريقًا'!$E$4:$E$1999,"* ضد "&amp;$CM14)</f>
        <v>18</v>
      </c>
      <c r="CP14" s="26">
        <f t="shared" si="18"/>
        <v>13</v>
      </c>
      <c r="CQ14" s="22"/>
      <c r="CR14" s="26">
        <v>12</v>
      </c>
      <c r="CS14" s="27" t="s">
        <v>593</v>
      </c>
      <c r="CT14" s="26">
        <f>COUNTIF('27 فريقًا'!$E$4:$E$1999,$CR14&amp;" ضد *")+COUNTIF('27 فريقًا'!$E$4:$E$1999,"* ضد "&amp;$CR14)</f>
        <v>18</v>
      </c>
      <c r="CU14" s="26">
        <f t="shared" si="19"/>
        <v>13</v>
      </c>
      <c r="CV14" s="22"/>
      <c r="CW14" s="26">
        <v>12</v>
      </c>
      <c r="CX14" s="27" t="s">
        <v>593</v>
      </c>
      <c r="CY14" s="26">
        <f>COUNTIF('29 فريقًا'!$E$4:$E$1999,$CW14&amp;" ضد *")+COUNTIF('29 فريقًا'!$E$4:$E$1999,"* ضد "&amp;$CW14)</f>
        <v>18</v>
      </c>
      <c r="CZ14" s="26">
        <f t="shared" si="20"/>
        <v>14</v>
      </c>
      <c r="DA14" s="22"/>
      <c r="DB14" s="26">
        <v>12</v>
      </c>
      <c r="DC14" s="27" t="s">
        <v>593</v>
      </c>
      <c r="DD14" s="26">
        <f>COUNTIF('37 فريقًا'!$E$4:$E$1999,$DB14&amp;" ضد *")+COUNTIF('37 فريقًا'!$E$4:$E$1999,"* ضد "&amp;$DB14)</f>
        <v>18</v>
      </c>
      <c r="DE14" s="26">
        <f t="shared" si="21"/>
        <v>18</v>
      </c>
      <c r="DF14" s="22"/>
      <c r="DG14" s="26">
        <v>12</v>
      </c>
      <c r="DH14" s="27" t="s">
        <v>593</v>
      </c>
      <c r="DI14" s="26">
        <f>COUNTIF('46 فريقًا'!$E$4:$E$1999,$DG14&amp;" ضد *")+COUNTIF('46 فريقًا'!$E$4:$E$1999,"* ضد "&amp;$DG14)</f>
        <v>18</v>
      </c>
      <c r="DJ14" s="26">
        <f t="shared" si="22"/>
        <v>11</v>
      </c>
      <c r="DK14" s="22"/>
      <c r="DL14" s="26">
        <v>12</v>
      </c>
      <c r="DM14" s="27" t="s">
        <v>593</v>
      </c>
      <c r="DN14" s="26">
        <f>COUNTIF('54 فريقًا'!$E$4:$E$1999,$DL14&amp;" ضد *")+COUNTIF('54 فريقًا'!$E$4:$E$1999,"* ضد "&amp;$DL14)</f>
        <v>18</v>
      </c>
      <c r="DO14" s="26">
        <f t="shared" si="23"/>
        <v>13</v>
      </c>
      <c r="DP14" s="22"/>
      <c r="DQ14" s="26">
        <v>12</v>
      </c>
      <c r="DR14" s="27" t="s">
        <v>593</v>
      </c>
      <c r="DS14" s="26">
        <f>COUNTIF('58 فريقًا'!$E$4:$E$1999,$DQ14&amp;" ضد *")+COUNTIF('58 فريقًا'!$E$4:$E$1999,"* ضد "&amp;$DQ14)</f>
        <v>19</v>
      </c>
      <c r="DT14" s="26">
        <f t="shared" si="24"/>
        <v>19</v>
      </c>
      <c r="DU14" s="22"/>
      <c r="DV14" s="26">
        <v>12</v>
      </c>
      <c r="DW14" s="27" t="s">
        <v>593</v>
      </c>
      <c r="DX14" s="26">
        <f>COUNTIF('64 فريقًا'!$E$4:$E$1999,$DV14&amp;" ضد *")+COUNTIF('64 فريقًا'!$E$4:$E$1999,"* ضد "&amp;$DV14)</f>
        <v>18</v>
      </c>
      <c r="DY14" s="26">
        <f t="shared" si="25"/>
        <v>15</v>
      </c>
      <c r="DZ14" s="22"/>
      <c r="EA14" s="26">
        <v>12</v>
      </c>
      <c r="EB14" s="27" t="s">
        <v>593</v>
      </c>
      <c r="EC14" s="26">
        <f>COUNTIF('67 فريقًا'!$E$4:$E$1999,$EA14&amp;" ضد *")+COUNTIF('67 فريقًا'!$E$4:$E$1999,"* ضد "&amp;$EA14)</f>
        <v>18</v>
      </c>
      <c r="ED14" s="26">
        <f t="shared" si="26"/>
        <v>16</v>
      </c>
    </row>
    <row r="15" spans="1:134" ht="14.5">
      <c r="A15" s="26"/>
      <c r="B15" s="27"/>
      <c r="C15" s="26"/>
      <c r="D15" s="26"/>
      <c r="E15" s="22"/>
      <c r="F15" s="26"/>
      <c r="G15" s="27"/>
      <c r="H15" s="26"/>
      <c r="I15" s="26"/>
      <c r="J15" s="22"/>
      <c r="K15" s="26"/>
      <c r="L15" s="27"/>
      <c r="M15" s="26"/>
      <c r="N15" s="26"/>
      <c r="O15" s="22"/>
      <c r="P15" s="26"/>
      <c r="Q15" s="27"/>
      <c r="R15" s="26"/>
      <c r="S15" s="26"/>
      <c r="T15" s="22"/>
      <c r="U15" s="26"/>
      <c r="V15" s="27"/>
      <c r="W15" s="26"/>
      <c r="X15" s="26"/>
      <c r="Y15" s="22"/>
      <c r="Z15" s="26"/>
      <c r="AA15" s="27"/>
      <c r="AB15" s="26"/>
      <c r="AC15" s="26"/>
      <c r="AD15" s="22"/>
      <c r="AE15" s="26">
        <v>13</v>
      </c>
      <c r="AF15" s="27" t="s">
        <v>594</v>
      </c>
      <c r="AG15" s="26">
        <f>COUNTIF('13 فريقًا'!$E$4:$E$1999,$AE15&amp;" ضد *")+COUNTIF('13 فريقًا'!$E$4:$E$1999,"* ضد "&amp;$AE15)</f>
        <v>20</v>
      </c>
      <c r="AH15" s="26">
        <f t="shared" si="6"/>
        <v>5</v>
      </c>
      <c r="AI15" s="22"/>
      <c r="AJ15" s="26">
        <v>13</v>
      </c>
      <c r="AK15" s="27" t="s">
        <v>594</v>
      </c>
      <c r="AL15" s="26">
        <f>COUNTIF('14 فريقًا'!$E$4:$E$1999,$AJ15&amp;" ضد *")+COUNTIF('14 فريقًا'!$E$4:$E$1999,"* ضد "&amp;$AJ15)</f>
        <v>18</v>
      </c>
      <c r="AM15" s="26">
        <f t="shared" si="7"/>
        <v>6</v>
      </c>
      <c r="AN15" s="22"/>
      <c r="AO15" s="26">
        <v>13</v>
      </c>
      <c r="AP15" s="27" t="s">
        <v>594</v>
      </c>
      <c r="AQ15" s="26">
        <f>COUNTIF('15 فريقًا'!$E$4:$E$1999,$AO15&amp;" ضد *")+COUNTIF('15 فريقًا'!$E$4:$E$1999,"* ضد "&amp;$AO15)</f>
        <v>18</v>
      </c>
      <c r="AR15" s="26">
        <f t="shared" si="8"/>
        <v>6</v>
      </c>
      <c r="AS15" s="22"/>
      <c r="AT15" s="26">
        <v>13</v>
      </c>
      <c r="AU15" s="27" t="s">
        <v>594</v>
      </c>
      <c r="AV15" s="26">
        <f>COUNTIF('16 فريقًا'!$E$4:$E$1999,$AT15&amp;" ضد *")+COUNTIF('16 فريقًا'!$E$4:$E$1999,"* ضد "&amp;$AT15)</f>
        <v>21</v>
      </c>
      <c r="AW15" s="26">
        <f t="shared" si="9"/>
        <v>7</v>
      </c>
      <c r="AX15" s="22"/>
      <c r="AY15" s="26">
        <v>13</v>
      </c>
      <c r="AZ15" s="27" t="s">
        <v>593</v>
      </c>
      <c r="BA15" s="26">
        <f>COUNTIF('17 فريقًا'!$D$4:$D$1999,$AY15&amp;" ضد *")+COUNTIF('17 فريقًا'!$D$4:$D$1999,"* ضد "&amp;$AY15)</f>
        <v>18</v>
      </c>
      <c r="BB15" s="26">
        <f t="shared" si="10"/>
        <v>16</v>
      </c>
      <c r="BC15" s="22"/>
      <c r="BD15" s="26">
        <v>13</v>
      </c>
      <c r="BE15" s="27" t="s">
        <v>595</v>
      </c>
      <c r="BF15" s="26">
        <f>COUNTIF('18 فريقًا'!$E$4:$E$1999,$BD15&amp;" ضد *")+COUNTIF('18 فريقًا'!$E$4:$E$1999,"* ضد "&amp;$BD15)</f>
        <v>20</v>
      </c>
      <c r="BG15" s="26">
        <f t="shared" si="11"/>
        <v>5</v>
      </c>
      <c r="BH15" s="22"/>
      <c r="BI15" s="26">
        <v>13</v>
      </c>
      <c r="BJ15" s="27" t="s">
        <v>593</v>
      </c>
      <c r="BK15" s="26">
        <f>COUNTIF('19 فريقًا'!$D$4:$D$1999,$BI15&amp;" ضد *")+COUNTIF('19 فريقًا'!$D$4:$D$1999,"* ضد "&amp;$BI15)</f>
        <v>18</v>
      </c>
      <c r="BL15" s="26">
        <f t="shared" si="12"/>
        <v>18</v>
      </c>
      <c r="BM15" s="22"/>
      <c r="BN15" s="26">
        <v>13</v>
      </c>
      <c r="BO15" s="27" t="s">
        <v>593</v>
      </c>
      <c r="BP15" s="26">
        <f>COUNTIF('20 فريقًا'!$D$4:$D$1999,$BN15&amp;" ضد *")+COUNTIF('20 فريقًا'!$D$4:$D$1999,"* ضد "&amp;$BN15)</f>
        <v>19</v>
      </c>
      <c r="BQ15" s="26">
        <f t="shared" si="13"/>
        <v>19</v>
      </c>
      <c r="BR15" s="22"/>
      <c r="BS15" s="26">
        <v>13</v>
      </c>
      <c r="BT15" s="27" t="s">
        <v>593</v>
      </c>
      <c r="BU15" s="26">
        <f>COUNTIF('21 فريقًا'!$D$4:$D$1999,$BS15&amp;" ضد *")+COUNTIF('21 فريقًا'!$D$4:$D$1999,"* ضد "&amp;$BS15)</f>
        <v>20</v>
      </c>
      <c r="BV15" s="26">
        <f t="shared" si="14"/>
        <v>20</v>
      </c>
      <c r="BW15" s="22"/>
      <c r="BX15" s="26">
        <v>13</v>
      </c>
      <c r="BY15" s="27" t="s">
        <v>593</v>
      </c>
      <c r="BZ15" s="26">
        <f>COUNTIF('22 فريقًا'!$D$4:$D$1999,$BX15&amp;" ضد *")+COUNTIF('22 فريقًا'!$D$4:$D$1999,"* ضد "&amp;$BX15)</f>
        <v>21</v>
      </c>
      <c r="CA15" s="26">
        <f t="shared" si="15"/>
        <v>21</v>
      </c>
      <c r="CB15" s="22"/>
      <c r="CC15" s="26">
        <v>13</v>
      </c>
      <c r="CD15" s="27" t="s">
        <v>594</v>
      </c>
      <c r="CE15" s="26">
        <f>COUNTIF('23 فريقًا'!$E$4:$E$1999,$CC15&amp;" ضد *")+COUNTIF('23 فريقًا'!$E$4:$E$1999,"* ضد "&amp;$CC15)</f>
        <v>18</v>
      </c>
      <c r="CF15" s="26">
        <f t="shared" si="16"/>
        <v>10</v>
      </c>
      <c r="CG15" s="22"/>
      <c r="CH15" s="26">
        <v>13</v>
      </c>
      <c r="CI15" s="27" t="s">
        <v>593</v>
      </c>
      <c r="CJ15" s="26">
        <f>COUNTIF('25 فريقًا'!$E$4:$E$1999,$CH15&amp;" ضد *")+COUNTIF('25 فريقًا'!$E$4:$E$1999,"* ضد "&amp;$CH15)</f>
        <v>18</v>
      </c>
      <c r="CK15" s="26">
        <f t="shared" si="17"/>
        <v>12</v>
      </c>
      <c r="CL15" s="22"/>
      <c r="CM15" s="26">
        <v>13</v>
      </c>
      <c r="CN15" s="27" t="s">
        <v>593</v>
      </c>
      <c r="CO15" s="26">
        <f>COUNTIF('26 فريقًا'!$E$4:$E$1999,$CM15&amp;" ضد *")+COUNTIF('26 فريقًا'!$E$4:$E$1999,"* ضد "&amp;$CM15)</f>
        <v>18</v>
      </c>
      <c r="CP15" s="26">
        <f t="shared" si="18"/>
        <v>13</v>
      </c>
      <c r="CQ15" s="22"/>
      <c r="CR15" s="26">
        <v>13</v>
      </c>
      <c r="CS15" s="27" t="s">
        <v>593</v>
      </c>
      <c r="CT15" s="26">
        <f>COUNTIF('27 فريقًا'!$E$4:$E$1999,$CR15&amp;" ضد *")+COUNTIF('27 فريقًا'!$E$4:$E$1999,"* ضد "&amp;$CR15)</f>
        <v>18</v>
      </c>
      <c r="CU15" s="26">
        <f t="shared" si="19"/>
        <v>13</v>
      </c>
      <c r="CV15" s="22"/>
      <c r="CW15" s="26">
        <v>13</v>
      </c>
      <c r="CX15" s="27" t="s">
        <v>593</v>
      </c>
      <c r="CY15" s="26">
        <f>COUNTIF('29 فريقًا'!$E$4:$E$1999,$CW15&amp;" ضد *")+COUNTIF('29 فريقًا'!$E$4:$E$1999,"* ضد "&amp;$CW15)</f>
        <v>18</v>
      </c>
      <c r="CZ15" s="26">
        <f t="shared" si="20"/>
        <v>14</v>
      </c>
      <c r="DA15" s="22"/>
      <c r="DB15" s="26">
        <v>13</v>
      </c>
      <c r="DC15" s="27" t="s">
        <v>593</v>
      </c>
      <c r="DD15" s="26">
        <f>COUNTIF('37 فريقًا'!$E$4:$E$1999,$DB15&amp;" ضد *")+COUNTIF('37 فريقًا'!$E$4:$E$1999,"* ضد "&amp;$DB15)</f>
        <v>18</v>
      </c>
      <c r="DE15" s="26">
        <f t="shared" si="21"/>
        <v>18</v>
      </c>
      <c r="DF15" s="22"/>
      <c r="DG15" s="26">
        <v>13</v>
      </c>
      <c r="DH15" s="27" t="s">
        <v>594</v>
      </c>
      <c r="DI15" s="26">
        <f>COUNTIF('46 فريقًا'!$E$4:$E$1999,$DG15&amp;" ضد *")+COUNTIF('46 فريقًا'!$E$4:$E$1999,"* ضد "&amp;$DG15)</f>
        <v>18</v>
      </c>
      <c r="DJ15" s="26">
        <f t="shared" si="22"/>
        <v>11</v>
      </c>
      <c r="DK15" s="22"/>
      <c r="DL15" s="26">
        <v>13</v>
      </c>
      <c r="DM15" s="27" t="s">
        <v>593</v>
      </c>
      <c r="DN15" s="26">
        <f>COUNTIF('54 فريقًا'!$E$4:$E$1999,$DL15&amp;" ضد *")+COUNTIF('54 فريقًا'!$E$4:$E$1999,"* ضد "&amp;$DL15)</f>
        <v>18</v>
      </c>
      <c r="DO15" s="26">
        <f t="shared" si="23"/>
        <v>13</v>
      </c>
      <c r="DP15" s="22"/>
      <c r="DQ15" s="26">
        <v>13</v>
      </c>
      <c r="DR15" s="27" t="s">
        <v>593</v>
      </c>
      <c r="DS15" s="26">
        <f>COUNTIF('58 فريقًا'!$E$4:$E$1999,$DQ15&amp;" ضد *")+COUNTIF('58 فريقًا'!$E$4:$E$1999,"* ضد "&amp;$DQ15)</f>
        <v>19</v>
      </c>
      <c r="DT15" s="26">
        <f t="shared" si="24"/>
        <v>19</v>
      </c>
      <c r="DU15" s="22"/>
      <c r="DV15" s="26">
        <v>13</v>
      </c>
      <c r="DW15" s="27" t="s">
        <v>593</v>
      </c>
      <c r="DX15" s="26">
        <f>COUNTIF('64 فريقًا'!$E$4:$E$1999,$DV15&amp;" ضد *")+COUNTIF('64 فريقًا'!$E$4:$E$1999,"* ضد "&amp;$DV15)</f>
        <v>18</v>
      </c>
      <c r="DY15" s="26">
        <f t="shared" si="25"/>
        <v>15</v>
      </c>
      <c r="DZ15" s="22"/>
      <c r="EA15" s="26">
        <v>13</v>
      </c>
      <c r="EB15" s="27" t="s">
        <v>593</v>
      </c>
      <c r="EC15" s="26">
        <f>COUNTIF('67 فريقًا'!$E$4:$E$1999,$EA15&amp;" ضد *")+COUNTIF('67 فريقًا'!$E$4:$E$1999,"* ضد "&amp;$EA15)</f>
        <v>18</v>
      </c>
      <c r="ED15" s="26">
        <f t="shared" si="26"/>
        <v>16</v>
      </c>
    </row>
    <row r="16" spans="1:134" ht="14.5">
      <c r="A16" s="26"/>
      <c r="B16" s="27"/>
      <c r="C16" s="26"/>
      <c r="D16" s="26"/>
      <c r="E16" s="22"/>
      <c r="F16" s="26"/>
      <c r="G16" s="27"/>
      <c r="H16" s="26"/>
      <c r="I16" s="26"/>
      <c r="J16" s="22"/>
      <c r="K16" s="26"/>
      <c r="L16" s="27"/>
      <c r="M16" s="26"/>
      <c r="N16" s="26"/>
      <c r="O16" s="22"/>
      <c r="P16" s="26"/>
      <c r="Q16" s="27"/>
      <c r="R16" s="26"/>
      <c r="S16" s="26"/>
      <c r="T16" s="22"/>
      <c r="U16" s="26"/>
      <c r="V16" s="27"/>
      <c r="W16" s="26"/>
      <c r="X16" s="26"/>
      <c r="Y16" s="22"/>
      <c r="Z16" s="26"/>
      <c r="AA16" s="27"/>
      <c r="AB16" s="26"/>
      <c r="AC16" s="26"/>
      <c r="AD16" s="22"/>
      <c r="AE16" s="26"/>
      <c r="AF16" s="27"/>
      <c r="AG16" s="26"/>
      <c r="AH16" s="26"/>
      <c r="AI16" s="22"/>
      <c r="AJ16" s="26">
        <v>14</v>
      </c>
      <c r="AK16" s="27" t="s">
        <v>594</v>
      </c>
      <c r="AL16" s="26">
        <f>COUNTIF('14 فريقًا'!$E$4:$E$1999,$AJ16&amp;" ضد *")+COUNTIF('14 فريقًا'!$E$4:$E$1999,"* ضد "&amp;$AJ16)</f>
        <v>18</v>
      </c>
      <c r="AM16" s="26">
        <f t="shared" si="7"/>
        <v>6</v>
      </c>
      <c r="AN16" s="22"/>
      <c r="AO16" s="26">
        <v>14</v>
      </c>
      <c r="AP16" s="27" t="s">
        <v>594</v>
      </c>
      <c r="AQ16" s="26">
        <f>COUNTIF('15 فريقًا'!$E$4:$E$1999,$AO16&amp;" ضد *")+COUNTIF('15 فريقًا'!$E$4:$E$1999,"* ضد "&amp;$AO16)</f>
        <v>18</v>
      </c>
      <c r="AR16" s="26">
        <f t="shared" si="8"/>
        <v>6</v>
      </c>
      <c r="AS16" s="22"/>
      <c r="AT16" s="26">
        <v>14</v>
      </c>
      <c r="AU16" s="27" t="s">
        <v>594</v>
      </c>
      <c r="AV16" s="26">
        <f>COUNTIF('16 فريقًا'!$E$4:$E$1999,$AT16&amp;" ضد *")+COUNTIF('16 فريقًا'!$E$4:$E$1999,"* ضد "&amp;$AT16)</f>
        <v>21</v>
      </c>
      <c r="AW16" s="26">
        <f t="shared" si="9"/>
        <v>7</v>
      </c>
      <c r="AX16" s="22"/>
      <c r="AY16" s="26">
        <v>14</v>
      </c>
      <c r="AZ16" s="27" t="s">
        <v>593</v>
      </c>
      <c r="BA16" s="26">
        <f>COUNTIF('17 فريقًا'!$D$4:$D$1999,$AY16&amp;" ضد *")+COUNTIF('17 فريقًا'!$D$4:$D$1999,"* ضد "&amp;$AY16)</f>
        <v>18</v>
      </c>
      <c r="BB16" s="26">
        <f t="shared" si="10"/>
        <v>16</v>
      </c>
      <c r="BC16" s="22"/>
      <c r="BD16" s="26">
        <v>14</v>
      </c>
      <c r="BE16" s="27" t="s">
        <v>595</v>
      </c>
      <c r="BF16" s="26">
        <f>COUNTIF('18 فريقًا'!$E$4:$E$1999,$BD16&amp;" ضد *")+COUNTIF('18 فريقًا'!$E$4:$E$1999,"* ضد "&amp;$BD16)</f>
        <v>20</v>
      </c>
      <c r="BG16" s="26">
        <f t="shared" si="11"/>
        <v>5</v>
      </c>
      <c r="BH16" s="22"/>
      <c r="BI16" s="26">
        <v>14</v>
      </c>
      <c r="BJ16" s="27" t="s">
        <v>593</v>
      </c>
      <c r="BK16" s="26">
        <f>COUNTIF('19 فريقًا'!$D$4:$D$1999,$BI16&amp;" ضد *")+COUNTIF('19 فريقًا'!$D$4:$D$1999,"* ضد "&amp;$BI16)</f>
        <v>18</v>
      </c>
      <c r="BL16" s="26">
        <f t="shared" si="12"/>
        <v>18</v>
      </c>
      <c r="BM16" s="22"/>
      <c r="BN16" s="26">
        <v>14</v>
      </c>
      <c r="BO16" s="27" t="s">
        <v>593</v>
      </c>
      <c r="BP16" s="26">
        <f>COUNTIF('20 فريقًا'!$D$4:$D$1999,$BN16&amp;" ضد *")+COUNTIF('20 فريقًا'!$D$4:$D$1999,"* ضد "&amp;$BN16)</f>
        <v>19</v>
      </c>
      <c r="BQ16" s="26">
        <f t="shared" si="13"/>
        <v>19</v>
      </c>
      <c r="BR16" s="22"/>
      <c r="BS16" s="26">
        <v>14</v>
      </c>
      <c r="BT16" s="27" t="s">
        <v>593</v>
      </c>
      <c r="BU16" s="26">
        <f>COUNTIF('21 فريقًا'!$D$4:$D$1999,$BS16&amp;" ضد *")+COUNTIF('21 فريقًا'!$D$4:$D$1999,"* ضد "&amp;$BS16)</f>
        <v>20</v>
      </c>
      <c r="BV16" s="26">
        <f t="shared" si="14"/>
        <v>20</v>
      </c>
      <c r="BW16" s="22"/>
      <c r="BX16" s="26">
        <v>14</v>
      </c>
      <c r="BY16" s="27" t="s">
        <v>593</v>
      </c>
      <c r="BZ16" s="26">
        <f>COUNTIF('22 فريقًا'!$D$4:$D$1999,$BX16&amp;" ضد *")+COUNTIF('22 فريقًا'!$D$4:$D$1999,"* ضد "&amp;$BX16)</f>
        <v>21</v>
      </c>
      <c r="CA16" s="26">
        <f t="shared" si="15"/>
        <v>21</v>
      </c>
      <c r="CB16" s="22"/>
      <c r="CC16" s="26">
        <v>14</v>
      </c>
      <c r="CD16" s="27" t="s">
        <v>594</v>
      </c>
      <c r="CE16" s="26">
        <f>COUNTIF('23 فريقًا'!$E$4:$E$1999,$CC16&amp;" ضد *")+COUNTIF('23 فريقًا'!$E$4:$E$1999,"* ضد "&amp;$CC16)</f>
        <v>18</v>
      </c>
      <c r="CF16" s="26">
        <f t="shared" si="16"/>
        <v>10</v>
      </c>
      <c r="CG16" s="22"/>
      <c r="CH16" s="26">
        <v>14</v>
      </c>
      <c r="CI16" s="27" t="s">
        <v>594</v>
      </c>
      <c r="CJ16" s="26">
        <f>COUNTIF('25 فريقًا'!$E$4:$E$1999,$CH16&amp;" ضد *")+COUNTIF('25 فريقًا'!$E$4:$E$1999,"* ضد "&amp;$CH16)</f>
        <v>18</v>
      </c>
      <c r="CK16" s="26">
        <f t="shared" si="17"/>
        <v>11</v>
      </c>
      <c r="CL16" s="22"/>
      <c r="CM16" s="26">
        <v>14</v>
      </c>
      <c r="CN16" s="27" t="s">
        <v>593</v>
      </c>
      <c r="CO16" s="26">
        <f>COUNTIF('26 فريقًا'!$E$4:$E$1999,$CM16&amp;" ضد *")+COUNTIF('26 فريقًا'!$E$4:$E$1999,"* ضد "&amp;$CM16)</f>
        <v>18</v>
      </c>
      <c r="CP16" s="26">
        <f t="shared" si="18"/>
        <v>13</v>
      </c>
      <c r="CQ16" s="22"/>
      <c r="CR16" s="26">
        <v>14</v>
      </c>
      <c r="CS16" s="27" t="s">
        <v>593</v>
      </c>
      <c r="CT16" s="26">
        <f>COUNTIF('27 فريقًا'!$E$4:$E$1999,$CR16&amp;" ضد *")+COUNTIF('27 فريقًا'!$E$4:$E$1999,"* ضد "&amp;$CR16)</f>
        <v>18</v>
      </c>
      <c r="CU16" s="26">
        <f t="shared" si="19"/>
        <v>13</v>
      </c>
      <c r="CV16" s="22"/>
      <c r="CW16" s="26">
        <v>14</v>
      </c>
      <c r="CX16" s="27" t="s">
        <v>593</v>
      </c>
      <c r="CY16" s="26">
        <f>COUNTIF('29 فريقًا'!$E$4:$E$1999,$CW16&amp;" ضد *")+COUNTIF('29 فريقًا'!$E$4:$E$1999,"* ضد "&amp;$CW16)</f>
        <v>18</v>
      </c>
      <c r="CZ16" s="26">
        <f t="shared" si="20"/>
        <v>14</v>
      </c>
      <c r="DA16" s="22"/>
      <c r="DB16" s="26">
        <v>14</v>
      </c>
      <c r="DC16" s="27" t="s">
        <v>593</v>
      </c>
      <c r="DD16" s="26">
        <f>COUNTIF('37 فريقًا'!$E$4:$E$1999,$DB16&amp;" ضد *")+COUNTIF('37 فريقًا'!$E$4:$E$1999,"* ضد "&amp;$DB16)</f>
        <v>18</v>
      </c>
      <c r="DE16" s="26">
        <f t="shared" si="21"/>
        <v>18</v>
      </c>
      <c r="DF16" s="22"/>
      <c r="DG16" s="26">
        <v>14</v>
      </c>
      <c r="DH16" s="27" t="s">
        <v>594</v>
      </c>
      <c r="DI16" s="26">
        <f>COUNTIF('46 فريقًا'!$E$4:$E$1999,$DG16&amp;" ضد *")+COUNTIF('46 فريقًا'!$E$4:$E$1999,"* ضد "&amp;$DG16)</f>
        <v>18</v>
      </c>
      <c r="DJ16" s="26">
        <f t="shared" si="22"/>
        <v>11</v>
      </c>
      <c r="DK16" s="22"/>
      <c r="DL16" s="26">
        <v>14</v>
      </c>
      <c r="DM16" s="27" t="s">
        <v>593</v>
      </c>
      <c r="DN16" s="26">
        <f>COUNTIF('54 فريقًا'!$E$4:$E$1999,$DL16&amp;" ضد *")+COUNTIF('54 فريقًا'!$E$4:$E$1999,"* ضد "&amp;$DL16)</f>
        <v>18</v>
      </c>
      <c r="DO16" s="26">
        <f t="shared" si="23"/>
        <v>13</v>
      </c>
      <c r="DP16" s="22"/>
      <c r="DQ16" s="26">
        <v>14</v>
      </c>
      <c r="DR16" s="27" t="s">
        <v>593</v>
      </c>
      <c r="DS16" s="26">
        <f>COUNTIF('58 فريقًا'!$E$4:$E$1999,$DQ16&amp;" ضد *")+COUNTIF('58 فريقًا'!$E$4:$E$1999,"* ضد "&amp;$DQ16)</f>
        <v>19</v>
      </c>
      <c r="DT16" s="26">
        <f t="shared" si="24"/>
        <v>19</v>
      </c>
      <c r="DU16" s="22"/>
      <c r="DV16" s="26">
        <v>14</v>
      </c>
      <c r="DW16" s="27" t="s">
        <v>593</v>
      </c>
      <c r="DX16" s="26">
        <f>COUNTIF('64 فريقًا'!$E$4:$E$1999,$DV16&amp;" ضد *")+COUNTIF('64 فريقًا'!$E$4:$E$1999,"* ضد "&amp;$DV16)</f>
        <v>18</v>
      </c>
      <c r="DY16" s="26">
        <f t="shared" si="25"/>
        <v>15</v>
      </c>
      <c r="DZ16" s="22"/>
      <c r="EA16" s="26">
        <v>14</v>
      </c>
      <c r="EB16" s="27" t="s">
        <v>593</v>
      </c>
      <c r="EC16" s="26">
        <f>COUNTIF('67 فريقًا'!$E$4:$E$1999,$EA16&amp;" ضد *")+COUNTIF('67 فريقًا'!$E$4:$E$1999,"* ضد "&amp;$EA16)</f>
        <v>18</v>
      </c>
      <c r="ED16" s="26">
        <f t="shared" si="26"/>
        <v>16</v>
      </c>
    </row>
    <row r="17" spans="1:134" ht="14.5">
      <c r="A17" s="26"/>
      <c r="B17" s="27"/>
      <c r="C17" s="26"/>
      <c r="D17" s="26"/>
      <c r="E17" s="22"/>
      <c r="F17" s="26"/>
      <c r="G17" s="27"/>
      <c r="H17" s="26"/>
      <c r="I17" s="26"/>
      <c r="J17" s="22"/>
      <c r="K17" s="26"/>
      <c r="L17" s="27"/>
      <c r="M17" s="26"/>
      <c r="N17" s="26"/>
      <c r="O17" s="22"/>
      <c r="P17" s="26"/>
      <c r="Q17" s="27"/>
      <c r="R17" s="26"/>
      <c r="S17" s="26"/>
      <c r="T17" s="22"/>
      <c r="U17" s="26"/>
      <c r="V17" s="27"/>
      <c r="W17" s="26"/>
      <c r="X17" s="26"/>
      <c r="Y17" s="22"/>
      <c r="Z17" s="26"/>
      <c r="AA17" s="27"/>
      <c r="AB17" s="26"/>
      <c r="AC17" s="26"/>
      <c r="AD17" s="22"/>
      <c r="AE17" s="26"/>
      <c r="AF17" s="27"/>
      <c r="AG17" s="26"/>
      <c r="AH17" s="26"/>
      <c r="AI17" s="22"/>
      <c r="AJ17" s="26"/>
      <c r="AK17" s="27"/>
      <c r="AL17" s="26"/>
      <c r="AM17" s="26"/>
      <c r="AN17" s="22"/>
      <c r="AO17" s="26">
        <v>15</v>
      </c>
      <c r="AP17" s="27" t="s">
        <v>594</v>
      </c>
      <c r="AQ17" s="26">
        <f>COUNTIF('15 فريقًا'!$E$4:$E$1999,$AO17&amp;" ضد *")+COUNTIF('15 فريقًا'!$E$4:$E$1999,"* ضد "&amp;$AO17)</f>
        <v>18</v>
      </c>
      <c r="AR17" s="26">
        <f t="shared" si="8"/>
        <v>6</v>
      </c>
      <c r="AS17" s="22"/>
      <c r="AT17" s="26">
        <v>15</v>
      </c>
      <c r="AU17" s="27" t="s">
        <v>594</v>
      </c>
      <c r="AV17" s="26">
        <f>COUNTIF('16 فريقًا'!$E$4:$E$1999,$AT17&amp;" ضد *")+COUNTIF('16 فريقًا'!$E$4:$E$1999,"* ضد "&amp;$AT17)</f>
        <v>21</v>
      </c>
      <c r="AW17" s="26">
        <f t="shared" si="9"/>
        <v>7</v>
      </c>
      <c r="AX17" s="22"/>
      <c r="AY17" s="26">
        <v>15</v>
      </c>
      <c r="AZ17" s="27" t="s">
        <v>593</v>
      </c>
      <c r="BA17" s="26">
        <f>COUNTIF('17 فريقًا'!$D$4:$D$1999,$AY17&amp;" ضد *")+COUNTIF('17 فريقًا'!$D$4:$D$1999,"* ضد "&amp;$AY17)</f>
        <v>18</v>
      </c>
      <c r="BB17" s="26">
        <f t="shared" si="10"/>
        <v>16</v>
      </c>
      <c r="BC17" s="22"/>
      <c r="BD17" s="26">
        <v>15</v>
      </c>
      <c r="BE17" s="27" t="s">
        <v>595</v>
      </c>
      <c r="BF17" s="26">
        <f>COUNTIF('18 فريقًا'!$E$4:$E$1999,$BD17&amp;" ضد *")+COUNTIF('18 فريقًا'!$E$4:$E$1999,"* ضد "&amp;$BD17)</f>
        <v>20</v>
      </c>
      <c r="BG17" s="26">
        <f t="shared" si="11"/>
        <v>5</v>
      </c>
      <c r="BH17" s="22"/>
      <c r="BI17" s="26">
        <v>15</v>
      </c>
      <c r="BJ17" s="27" t="s">
        <v>593</v>
      </c>
      <c r="BK17" s="26">
        <f>COUNTIF('19 فريقًا'!$D$4:$D$1999,$BI17&amp;" ضد *")+COUNTIF('19 فريقًا'!$D$4:$D$1999,"* ضد "&amp;$BI17)</f>
        <v>18</v>
      </c>
      <c r="BL17" s="26">
        <f t="shared" si="12"/>
        <v>18</v>
      </c>
      <c r="BM17" s="22"/>
      <c r="BN17" s="26">
        <v>15</v>
      </c>
      <c r="BO17" s="27" t="s">
        <v>593</v>
      </c>
      <c r="BP17" s="26">
        <f>COUNTIF('20 فريقًا'!$D$4:$D$1999,$BN17&amp;" ضد *")+COUNTIF('20 فريقًا'!$D$4:$D$1999,"* ضد "&amp;$BN17)</f>
        <v>19</v>
      </c>
      <c r="BQ17" s="26">
        <f t="shared" si="13"/>
        <v>19</v>
      </c>
      <c r="BR17" s="22"/>
      <c r="BS17" s="26">
        <v>15</v>
      </c>
      <c r="BT17" s="27" t="s">
        <v>593</v>
      </c>
      <c r="BU17" s="26">
        <f>COUNTIF('21 فريقًا'!$D$4:$D$1999,$BS17&amp;" ضد *")+COUNTIF('21 فريقًا'!$D$4:$D$1999,"* ضد "&amp;$BS17)</f>
        <v>20</v>
      </c>
      <c r="BV17" s="26">
        <f t="shared" si="14"/>
        <v>20</v>
      </c>
      <c r="BW17" s="22"/>
      <c r="BX17" s="26">
        <v>15</v>
      </c>
      <c r="BY17" s="27" t="s">
        <v>593</v>
      </c>
      <c r="BZ17" s="26">
        <f>COUNTIF('22 فريقًا'!$D$4:$D$1999,$BX17&amp;" ضد *")+COUNTIF('22 فريقًا'!$D$4:$D$1999,"* ضد "&amp;$BX17)</f>
        <v>21</v>
      </c>
      <c r="CA17" s="26">
        <f t="shared" si="15"/>
        <v>21</v>
      </c>
      <c r="CB17" s="22"/>
      <c r="CC17" s="26">
        <v>15</v>
      </c>
      <c r="CD17" s="27" t="s">
        <v>594</v>
      </c>
      <c r="CE17" s="26">
        <f>COUNTIF('23 فريقًا'!$E$4:$E$1999,$CC17&amp;" ضد *")+COUNTIF('23 فريقًا'!$E$4:$E$1999,"* ضد "&amp;$CC17)</f>
        <v>18</v>
      </c>
      <c r="CF17" s="26">
        <f t="shared" si="16"/>
        <v>10</v>
      </c>
      <c r="CG17" s="22"/>
      <c r="CH17" s="26">
        <v>15</v>
      </c>
      <c r="CI17" s="27" t="s">
        <v>594</v>
      </c>
      <c r="CJ17" s="26">
        <f>COUNTIF('25 فريقًا'!$E$4:$E$1999,$CH17&amp;" ضد *")+COUNTIF('25 فريقًا'!$E$4:$E$1999,"* ضد "&amp;$CH17)</f>
        <v>18</v>
      </c>
      <c r="CK17" s="26">
        <f t="shared" si="17"/>
        <v>11</v>
      </c>
      <c r="CL17" s="22"/>
      <c r="CM17" s="26">
        <v>15</v>
      </c>
      <c r="CN17" s="27" t="s">
        <v>594</v>
      </c>
      <c r="CO17" s="26">
        <f>COUNTIF('26 فريقًا'!$E$4:$E$1999,$CM17&amp;" ضد *")+COUNTIF('26 فريقًا'!$E$4:$E$1999,"* ضد "&amp;$CM17)</f>
        <v>18</v>
      </c>
      <c r="CP17" s="26">
        <f t="shared" si="18"/>
        <v>11</v>
      </c>
      <c r="CQ17" s="22"/>
      <c r="CR17" s="26">
        <v>15</v>
      </c>
      <c r="CS17" s="27" t="s">
        <v>594</v>
      </c>
      <c r="CT17" s="26">
        <f>COUNTIF('27 فريقًا'!$E$4:$E$1999,$CR17&amp;" ضد *")+COUNTIF('27 فريقًا'!$E$4:$E$1999,"* ضد "&amp;$CR17)</f>
        <v>18</v>
      </c>
      <c r="CU17" s="26">
        <f t="shared" si="19"/>
        <v>12</v>
      </c>
      <c r="CV17" s="22"/>
      <c r="CW17" s="26">
        <v>15</v>
      </c>
      <c r="CX17" s="27" t="s">
        <v>593</v>
      </c>
      <c r="CY17" s="26">
        <f>COUNTIF('29 فريقًا'!$E$4:$E$1999,$CW17&amp;" ضد *")+COUNTIF('29 فريقًا'!$E$4:$E$1999,"* ضد "&amp;$CW17)</f>
        <v>18</v>
      </c>
      <c r="CZ17" s="26">
        <f t="shared" si="20"/>
        <v>14</v>
      </c>
      <c r="DA17" s="22"/>
      <c r="DB17" s="26">
        <v>15</v>
      </c>
      <c r="DC17" s="27" t="s">
        <v>593</v>
      </c>
      <c r="DD17" s="26">
        <f>COUNTIF('37 فريقًا'!$E$4:$E$1999,$DB17&amp;" ضد *")+COUNTIF('37 فريقًا'!$E$4:$E$1999,"* ضد "&amp;$DB17)</f>
        <v>18</v>
      </c>
      <c r="DE17" s="26">
        <f t="shared" si="21"/>
        <v>18</v>
      </c>
      <c r="DF17" s="22"/>
      <c r="DG17" s="26">
        <v>15</v>
      </c>
      <c r="DH17" s="27" t="s">
        <v>594</v>
      </c>
      <c r="DI17" s="26">
        <f>COUNTIF('46 فريقًا'!$E$4:$E$1999,$DG17&amp;" ضد *")+COUNTIF('46 فريقًا'!$E$4:$E$1999,"* ضد "&amp;$DG17)</f>
        <v>18</v>
      </c>
      <c r="DJ17" s="26">
        <f t="shared" si="22"/>
        <v>11</v>
      </c>
      <c r="DK17" s="22"/>
      <c r="DL17" s="26">
        <v>15</v>
      </c>
      <c r="DM17" s="27" t="s">
        <v>594</v>
      </c>
      <c r="DN17" s="26">
        <f>COUNTIF('54 فريقًا'!$E$4:$E$1999,$DL17&amp;" ضد *")+COUNTIF('54 فريقًا'!$E$4:$E$1999,"* ضد "&amp;$DL17)</f>
        <v>18</v>
      </c>
      <c r="DO17" s="26">
        <f t="shared" si="23"/>
        <v>13</v>
      </c>
      <c r="DP17" s="22"/>
      <c r="DQ17" s="26">
        <v>15</v>
      </c>
      <c r="DR17" s="27" t="s">
        <v>593</v>
      </c>
      <c r="DS17" s="26">
        <f>COUNTIF('58 فريقًا'!$E$4:$E$1999,$DQ17&amp;" ضد *")+COUNTIF('58 فريقًا'!$E$4:$E$1999,"* ضد "&amp;$DQ17)</f>
        <v>19</v>
      </c>
      <c r="DT17" s="26">
        <f t="shared" si="24"/>
        <v>19</v>
      </c>
      <c r="DU17" s="22"/>
      <c r="DV17" s="26">
        <v>15</v>
      </c>
      <c r="DW17" s="27" t="s">
        <v>593</v>
      </c>
      <c r="DX17" s="26">
        <f>COUNTIF('64 فريقًا'!$E$4:$E$1999,$DV17&amp;" ضد *")+COUNTIF('64 فريقًا'!$E$4:$E$1999,"* ضد "&amp;$DV17)</f>
        <v>18</v>
      </c>
      <c r="DY17" s="26">
        <f t="shared" si="25"/>
        <v>15</v>
      </c>
      <c r="DZ17" s="22"/>
      <c r="EA17" s="26">
        <v>15</v>
      </c>
      <c r="EB17" s="27" t="s">
        <v>593</v>
      </c>
      <c r="EC17" s="26">
        <f>COUNTIF('67 فريقًا'!$E$4:$E$1999,$EA17&amp;" ضد *")+COUNTIF('67 فريقًا'!$E$4:$E$1999,"* ضد "&amp;$EA17)</f>
        <v>18</v>
      </c>
      <c r="ED17" s="26">
        <f t="shared" si="26"/>
        <v>16</v>
      </c>
    </row>
    <row r="18" spans="1:134" ht="14.5">
      <c r="A18" s="26"/>
      <c r="B18" s="27"/>
      <c r="C18" s="26"/>
      <c r="D18" s="26"/>
      <c r="E18" s="22"/>
      <c r="F18" s="26"/>
      <c r="G18" s="27"/>
      <c r="H18" s="26"/>
      <c r="I18" s="26"/>
      <c r="J18" s="22"/>
      <c r="K18" s="26"/>
      <c r="L18" s="27"/>
      <c r="M18" s="26"/>
      <c r="N18" s="26"/>
      <c r="O18" s="22"/>
      <c r="P18" s="26"/>
      <c r="Q18" s="27"/>
      <c r="R18" s="26"/>
      <c r="S18" s="26"/>
      <c r="T18" s="22"/>
      <c r="U18" s="26"/>
      <c r="V18" s="27"/>
      <c r="W18" s="26"/>
      <c r="X18" s="26"/>
      <c r="Y18" s="22"/>
      <c r="Z18" s="26"/>
      <c r="AA18" s="27"/>
      <c r="AB18" s="26"/>
      <c r="AC18" s="26"/>
      <c r="AD18" s="22"/>
      <c r="AE18" s="26"/>
      <c r="AF18" s="27"/>
      <c r="AG18" s="26"/>
      <c r="AH18" s="26"/>
      <c r="AI18" s="22"/>
      <c r="AJ18" s="26"/>
      <c r="AK18" s="27"/>
      <c r="AL18" s="26"/>
      <c r="AM18" s="26"/>
      <c r="AN18" s="22"/>
      <c r="AO18" s="26"/>
      <c r="AP18" s="27"/>
      <c r="AQ18" s="26"/>
      <c r="AR18" s="26"/>
      <c r="AS18" s="22"/>
      <c r="AT18" s="26">
        <v>16</v>
      </c>
      <c r="AU18" s="27" t="s">
        <v>594</v>
      </c>
      <c r="AV18" s="26">
        <f>COUNTIF('16 فريقًا'!$E$4:$E$1999,$AT18&amp;" ضد *")+COUNTIF('16 فريقًا'!$E$4:$E$1999,"* ضد "&amp;$AT18)</f>
        <v>21</v>
      </c>
      <c r="AW18" s="26">
        <f t="shared" si="9"/>
        <v>7</v>
      </c>
      <c r="AX18" s="22"/>
      <c r="AY18" s="26">
        <v>16</v>
      </c>
      <c r="AZ18" s="27" t="s">
        <v>593</v>
      </c>
      <c r="BA18" s="26">
        <f>COUNTIF('17 فريقًا'!$D$4:$D$1999,$AY18&amp;" ضد *")+COUNTIF('17 فريقًا'!$D$4:$D$1999,"* ضد "&amp;$AY18)</f>
        <v>18</v>
      </c>
      <c r="BB18" s="26">
        <f t="shared" si="10"/>
        <v>16</v>
      </c>
      <c r="BC18" s="22"/>
      <c r="BD18" s="26">
        <v>16</v>
      </c>
      <c r="BE18" s="27" t="s">
        <v>595</v>
      </c>
      <c r="BF18" s="26">
        <f>COUNTIF('18 فريقًا'!$E$4:$E$1999,$BD18&amp;" ضد *")+COUNTIF('18 فريقًا'!$E$4:$E$1999,"* ضد "&amp;$BD18)</f>
        <v>20</v>
      </c>
      <c r="BG18" s="26">
        <f t="shared" si="11"/>
        <v>5</v>
      </c>
      <c r="BH18" s="22"/>
      <c r="BI18" s="26">
        <v>16</v>
      </c>
      <c r="BJ18" s="27" t="s">
        <v>593</v>
      </c>
      <c r="BK18" s="26">
        <f>COUNTIF('19 فريقًا'!$D$4:$D$1999,$BI18&amp;" ضد *")+COUNTIF('19 فريقًا'!$D$4:$D$1999,"* ضد "&amp;$BI18)</f>
        <v>18</v>
      </c>
      <c r="BL18" s="26">
        <f t="shared" si="12"/>
        <v>18</v>
      </c>
      <c r="BM18" s="22"/>
      <c r="BN18" s="26">
        <v>16</v>
      </c>
      <c r="BO18" s="27" t="s">
        <v>593</v>
      </c>
      <c r="BP18" s="26">
        <f>COUNTIF('20 فريقًا'!$D$4:$D$1999,$BN18&amp;" ضد *")+COUNTIF('20 فريقًا'!$D$4:$D$1999,"* ضد "&amp;$BN18)</f>
        <v>19</v>
      </c>
      <c r="BQ18" s="26">
        <f t="shared" si="13"/>
        <v>19</v>
      </c>
      <c r="BR18" s="22"/>
      <c r="BS18" s="26">
        <v>16</v>
      </c>
      <c r="BT18" s="27" t="s">
        <v>593</v>
      </c>
      <c r="BU18" s="26">
        <f>COUNTIF('21 فريقًا'!$D$4:$D$1999,$BS18&amp;" ضد *")+COUNTIF('21 فريقًا'!$D$4:$D$1999,"* ضد "&amp;$BS18)</f>
        <v>20</v>
      </c>
      <c r="BV18" s="26">
        <f t="shared" si="14"/>
        <v>20</v>
      </c>
      <c r="BW18" s="22"/>
      <c r="BX18" s="26">
        <v>16</v>
      </c>
      <c r="BY18" s="27" t="s">
        <v>593</v>
      </c>
      <c r="BZ18" s="26">
        <f>COUNTIF('22 فريقًا'!$D$4:$D$1999,$BX18&amp;" ضد *")+COUNTIF('22 فريقًا'!$D$4:$D$1999,"* ضد "&amp;$BX18)</f>
        <v>21</v>
      </c>
      <c r="CA18" s="26">
        <f t="shared" si="15"/>
        <v>21</v>
      </c>
      <c r="CB18" s="22"/>
      <c r="CC18" s="26">
        <v>16</v>
      </c>
      <c r="CD18" s="27" t="s">
        <v>594</v>
      </c>
      <c r="CE18" s="26">
        <f>COUNTIF('23 فريقًا'!$E$4:$E$1999,$CC18&amp;" ضد *")+COUNTIF('23 فريقًا'!$E$4:$E$1999,"* ضد "&amp;$CC18)</f>
        <v>18</v>
      </c>
      <c r="CF18" s="26">
        <f t="shared" si="16"/>
        <v>10</v>
      </c>
      <c r="CG18" s="22"/>
      <c r="CH18" s="26">
        <v>16</v>
      </c>
      <c r="CI18" s="27" t="s">
        <v>594</v>
      </c>
      <c r="CJ18" s="26">
        <f>COUNTIF('25 فريقًا'!$E$4:$E$1999,$CH18&amp;" ضد *")+COUNTIF('25 فريقًا'!$E$4:$E$1999,"* ضد "&amp;$CH18)</f>
        <v>18</v>
      </c>
      <c r="CK18" s="26">
        <f t="shared" si="17"/>
        <v>11</v>
      </c>
      <c r="CL18" s="22"/>
      <c r="CM18" s="26">
        <v>16</v>
      </c>
      <c r="CN18" s="27" t="s">
        <v>594</v>
      </c>
      <c r="CO18" s="26">
        <f>COUNTIF('26 فريقًا'!$E$4:$E$1999,$CM18&amp;" ضد *")+COUNTIF('26 فريقًا'!$E$4:$E$1999,"* ضد "&amp;$CM18)</f>
        <v>18</v>
      </c>
      <c r="CP18" s="26">
        <f t="shared" si="18"/>
        <v>11</v>
      </c>
      <c r="CQ18" s="22"/>
      <c r="CR18" s="26">
        <v>16</v>
      </c>
      <c r="CS18" s="27" t="s">
        <v>594</v>
      </c>
      <c r="CT18" s="26">
        <f>COUNTIF('27 فريقًا'!$E$4:$E$1999,$CR18&amp;" ضد *")+COUNTIF('27 فريقًا'!$E$4:$E$1999,"* ضد "&amp;$CR18)</f>
        <v>18</v>
      </c>
      <c r="CU18" s="26">
        <f t="shared" si="19"/>
        <v>12</v>
      </c>
      <c r="CV18" s="22"/>
      <c r="CW18" s="26">
        <v>16</v>
      </c>
      <c r="CX18" s="27" t="s">
        <v>594</v>
      </c>
      <c r="CY18" s="26">
        <f>COUNTIF('29 فريقًا'!$E$4:$E$1999,$CW18&amp;" ضد *")+COUNTIF('29 فريقًا'!$E$4:$E$1999,"* ضد "&amp;$CW18)</f>
        <v>18</v>
      </c>
      <c r="CZ18" s="26">
        <f t="shared" si="20"/>
        <v>13</v>
      </c>
      <c r="DA18" s="22"/>
      <c r="DB18" s="26">
        <v>16</v>
      </c>
      <c r="DC18" s="27" t="s">
        <v>593</v>
      </c>
      <c r="DD18" s="26">
        <f>COUNTIF('37 فريقًا'!$E$4:$E$1999,$DB18&amp;" ضد *")+COUNTIF('37 فريقًا'!$E$4:$E$1999,"* ضد "&amp;$DB18)</f>
        <v>18</v>
      </c>
      <c r="DE18" s="26">
        <f t="shared" si="21"/>
        <v>18</v>
      </c>
      <c r="DF18" s="22"/>
      <c r="DG18" s="26">
        <v>16</v>
      </c>
      <c r="DH18" s="27" t="s">
        <v>594</v>
      </c>
      <c r="DI18" s="26">
        <f>COUNTIF('46 فريقًا'!$E$4:$E$1999,$DG18&amp;" ضد *")+COUNTIF('46 فريقًا'!$E$4:$E$1999,"* ضد "&amp;$DG18)</f>
        <v>18</v>
      </c>
      <c r="DJ18" s="26">
        <f t="shared" si="22"/>
        <v>11</v>
      </c>
      <c r="DK18" s="22"/>
      <c r="DL18" s="26">
        <v>16</v>
      </c>
      <c r="DM18" s="27" t="s">
        <v>594</v>
      </c>
      <c r="DN18" s="26">
        <f>COUNTIF('54 فريقًا'!$E$4:$E$1999,$DL18&amp;" ضد *")+COUNTIF('54 فريقًا'!$E$4:$E$1999,"* ضد "&amp;$DL18)</f>
        <v>18</v>
      </c>
      <c r="DO18" s="26">
        <f t="shared" si="23"/>
        <v>13</v>
      </c>
      <c r="DP18" s="22"/>
      <c r="DQ18" s="26">
        <v>16</v>
      </c>
      <c r="DR18" s="27" t="s">
        <v>593</v>
      </c>
      <c r="DS18" s="26">
        <f>COUNTIF('58 فريقًا'!$E$4:$E$1999,$DQ18&amp;" ضد *")+COUNTIF('58 فريقًا'!$E$4:$E$1999,"* ضد "&amp;$DQ18)</f>
        <v>19</v>
      </c>
      <c r="DT18" s="26">
        <f t="shared" si="24"/>
        <v>19</v>
      </c>
      <c r="DU18" s="22"/>
      <c r="DV18" s="26">
        <v>16</v>
      </c>
      <c r="DW18" s="27" t="s">
        <v>593</v>
      </c>
      <c r="DX18" s="26">
        <f>COUNTIF('64 فريقًا'!$E$4:$E$1999,$DV18&amp;" ضد *")+COUNTIF('64 فريقًا'!$E$4:$E$1999,"* ضد "&amp;$DV18)</f>
        <v>18</v>
      </c>
      <c r="DY18" s="26">
        <f t="shared" si="25"/>
        <v>15</v>
      </c>
      <c r="DZ18" s="22"/>
      <c r="EA18" s="26">
        <v>16</v>
      </c>
      <c r="EB18" s="27" t="s">
        <v>593</v>
      </c>
      <c r="EC18" s="26">
        <f>COUNTIF('67 فريقًا'!$E$4:$E$1999,$EA18&amp;" ضد *")+COUNTIF('67 فريقًا'!$E$4:$E$1999,"* ضد "&amp;$EA18)</f>
        <v>18</v>
      </c>
      <c r="ED18" s="26">
        <f t="shared" si="26"/>
        <v>16</v>
      </c>
    </row>
    <row r="19" spans="1:134" ht="14.5">
      <c r="A19" s="26"/>
      <c r="B19" s="27"/>
      <c r="C19" s="26"/>
      <c r="D19" s="26"/>
      <c r="E19" s="22"/>
      <c r="F19" s="26"/>
      <c r="G19" s="27"/>
      <c r="H19" s="26"/>
      <c r="I19" s="26"/>
      <c r="J19" s="22"/>
      <c r="K19" s="26"/>
      <c r="L19" s="27"/>
      <c r="M19" s="26"/>
      <c r="N19" s="26"/>
      <c r="O19" s="22"/>
      <c r="P19" s="26"/>
      <c r="Q19" s="27"/>
      <c r="R19" s="26"/>
      <c r="S19" s="26"/>
      <c r="T19" s="22"/>
      <c r="U19" s="26"/>
      <c r="V19" s="27"/>
      <c r="W19" s="26"/>
      <c r="X19" s="26"/>
      <c r="Y19" s="22"/>
      <c r="Z19" s="26"/>
      <c r="AA19" s="27"/>
      <c r="AB19" s="26"/>
      <c r="AC19" s="26"/>
      <c r="AD19" s="22"/>
      <c r="AE19" s="26"/>
      <c r="AF19" s="27"/>
      <c r="AG19" s="26"/>
      <c r="AH19" s="26"/>
      <c r="AI19" s="22"/>
      <c r="AJ19" s="26"/>
      <c r="AK19" s="27"/>
      <c r="AL19" s="26"/>
      <c r="AM19" s="26"/>
      <c r="AN19" s="22"/>
      <c r="AO19" s="26"/>
      <c r="AP19" s="27"/>
      <c r="AQ19" s="26"/>
      <c r="AR19" s="26"/>
      <c r="AS19" s="22"/>
      <c r="AT19" s="26"/>
      <c r="AU19" s="27"/>
      <c r="AV19" s="26"/>
      <c r="AW19" s="26"/>
      <c r="AX19" s="22"/>
      <c r="AY19" s="26">
        <v>17</v>
      </c>
      <c r="AZ19" s="27" t="s">
        <v>593</v>
      </c>
      <c r="BA19" s="26">
        <f>COUNTIF('17 فريقًا'!$D$4:$D$1999,$AY19&amp;" ضد *")+COUNTIF('17 فريقًا'!$D$4:$D$1999,"* ضد "&amp;$AY19)</f>
        <v>18</v>
      </c>
      <c r="BB19" s="26">
        <f t="shared" si="10"/>
        <v>16</v>
      </c>
      <c r="BC19" s="22"/>
      <c r="BD19" s="26">
        <v>17</v>
      </c>
      <c r="BE19" s="27" t="s">
        <v>595</v>
      </c>
      <c r="BF19" s="26">
        <f>COUNTIF('18 فريقًا'!$E$4:$E$1999,$BD19&amp;" ضد *")+COUNTIF('18 فريقًا'!$E$4:$E$1999,"* ضد "&amp;$BD19)</f>
        <v>20</v>
      </c>
      <c r="BG19" s="26">
        <f t="shared" si="11"/>
        <v>5</v>
      </c>
      <c r="BH19" s="22"/>
      <c r="BI19" s="26">
        <v>17</v>
      </c>
      <c r="BJ19" s="27" t="s">
        <v>593</v>
      </c>
      <c r="BK19" s="26">
        <f>COUNTIF('19 فريقًا'!$D$4:$D$1999,$BI19&amp;" ضد *")+COUNTIF('19 فريقًا'!$D$4:$D$1999,"* ضد "&amp;$BI19)</f>
        <v>18</v>
      </c>
      <c r="BL19" s="26">
        <f t="shared" si="12"/>
        <v>18</v>
      </c>
      <c r="BM19" s="22"/>
      <c r="BN19" s="26">
        <v>17</v>
      </c>
      <c r="BO19" s="27" t="s">
        <v>593</v>
      </c>
      <c r="BP19" s="26">
        <f>COUNTIF('20 فريقًا'!$D$4:$D$1999,$BN19&amp;" ضد *")+COUNTIF('20 فريقًا'!$D$4:$D$1999,"* ضد "&amp;$BN19)</f>
        <v>19</v>
      </c>
      <c r="BQ19" s="26">
        <f t="shared" si="13"/>
        <v>19</v>
      </c>
      <c r="BR19" s="22"/>
      <c r="BS19" s="26">
        <v>17</v>
      </c>
      <c r="BT19" s="27" t="s">
        <v>593</v>
      </c>
      <c r="BU19" s="26">
        <f>COUNTIF('21 فريقًا'!$D$4:$D$1999,$BS19&amp;" ضد *")+COUNTIF('21 فريقًا'!$D$4:$D$1999,"* ضد "&amp;$BS19)</f>
        <v>20</v>
      </c>
      <c r="BV19" s="26">
        <f t="shared" si="14"/>
        <v>20</v>
      </c>
      <c r="BW19" s="22"/>
      <c r="BX19" s="26">
        <v>17</v>
      </c>
      <c r="BY19" s="27" t="s">
        <v>593</v>
      </c>
      <c r="BZ19" s="26">
        <f>COUNTIF('22 فريقًا'!$D$4:$D$1999,$BX19&amp;" ضد *")+COUNTIF('22 فريقًا'!$D$4:$D$1999,"* ضد "&amp;$BX19)</f>
        <v>21</v>
      </c>
      <c r="CA19" s="26">
        <f t="shared" si="15"/>
        <v>21</v>
      </c>
      <c r="CB19" s="22"/>
      <c r="CC19" s="26">
        <v>17</v>
      </c>
      <c r="CD19" s="27" t="s">
        <v>594</v>
      </c>
      <c r="CE19" s="26">
        <f>COUNTIF('23 فريقًا'!$E$4:$E$1999,$CC19&amp;" ضد *")+COUNTIF('23 فريقًا'!$E$4:$E$1999,"* ضد "&amp;$CC19)</f>
        <v>18</v>
      </c>
      <c r="CF19" s="26">
        <f t="shared" si="16"/>
        <v>10</v>
      </c>
      <c r="CG19" s="22"/>
      <c r="CH19" s="26">
        <v>17</v>
      </c>
      <c r="CI19" s="27" t="s">
        <v>594</v>
      </c>
      <c r="CJ19" s="26">
        <f>COUNTIF('25 فريقًا'!$E$4:$E$1999,$CH19&amp;" ضد *")+COUNTIF('25 فريقًا'!$E$4:$E$1999,"* ضد "&amp;$CH19)</f>
        <v>18</v>
      </c>
      <c r="CK19" s="26">
        <f t="shared" si="17"/>
        <v>11</v>
      </c>
      <c r="CL19" s="22"/>
      <c r="CM19" s="26">
        <v>17</v>
      </c>
      <c r="CN19" s="27" t="s">
        <v>594</v>
      </c>
      <c r="CO19" s="26">
        <f>COUNTIF('26 فريقًا'!$E$4:$E$1999,$CM19&amp;" ضد *")+COUNTIF('26 فريقًا'!$E$4:$E$1999,"* ضد "&amp;$CM19)</f>
        <v>18</v>
      </c>
      <c r="CP19" s="26">
        <f t="shared" si="18"/>
        <v>11</v>
      </c>
      <c r="CQ19" s="22"/>
      <c r="CR19" s="26">
        <v>17</v>
      </c>
      <c r="CS19" s="27" t="s">
        <v>594</v>
      </c>
      <c r="CT19" s="26">
        <f>COUNTIF('27 فريقًا'!$E$4:$E$1999,$CR19&amp;" ضد *")+COUNTIF('27 فريقًا'!$E$4:$E$1999,"* ضد "&amp;$CR19)</f>
        <v>18</v>
      </c>
      <c r="CU19" s="26">
        <f t="shared" si="19"/>
        <v>12</v>
      </c>
      <c r="CV19" s="22"/>
      <c r="CW19" s="26">
        <v>17</v>
      </c>
      <c r="CX19" s="27" t="s">
        <v>594</v>
      </c>
      <c r="CY19" s="26">
        <f>COUNTIF('29 فريقًا'!$E$4:$E$1999,$CW19&amp;" ضد *")+COUNTIF('29 فريقًا'!$E$4:$E$1999,"* ضد "&amp;$CW19)</f>
        <v>18</v>
      </c>
      <c r="CZ19" s="26">
        <f t="shared" si="20"/>
        <v>13</v>
      </c>
      <c r="DA19" s="22"/>
      <c r="DB19" s="26">
        <v>17</v>
      </c>
      <c r="DC19" s="27" t="s">
        <v>593</v>
      </c>
      <c r="DD19" s="26">
        <f>COUNTIF('37 فريقًا'!$E$4:$E$1999,$DB19&amp;" ضد *")+COUNTIF('37 فريقًا'!$E$4:$E$1999,"* ضد "&amp;$DB19)</f>
        <v>18</v>
      </c>
      <c r="DE19" s="26">
        <f t="shared" si="21"/>
        <v>18</v>
      </c>
      <c r="DF19" s="22"/>
      <c r="DG19" s="26">
        <v>17</v>
      </c>
      <c r="DH19" s="27" t="s">
        <v>594</v>
      </c>
      <c r="DI19" s="26">
        <f>COUNTIF('46 فريقًا'!$E$4:$E$1999,$DG19&amp;" ضد *")+COUNTIF('46 فريقًا'!$E$4:$E$1999,"* ضد "&amp;$DG19)</f>
        <v>18</v>
      </c>
      <c r="DJ19" s="26">
        <f t="shared" si="22"/>
        <v>11</v>
      </c>
      <c r="DK19" s="22"/>
      <c r="DL19" s="26">
        <v>17</v>
      </c>
      <c r="DM19" s="27" t="s">
        <v>594</v>
      </c>
      <c r="DN19" s="26">
        <f>COUNTIF('54 فريقًا'!$E$4:$E$1999,$DL19&amp;" ضد *")+COUNTIF('54 فريقًا'!$E$4:$E$1999,"* ضد "&amp;$DL19)</f>
        <v>18</v>
      </c>
      <c r="DO19" s="26">
        <f t="shared" si="23"/>
        <v>13</v>
      </c>
      <c r="DP19" s="22"/>
      <c r="DQ19" s="26">
        <v>17</v>
      </c>
      <c r="DR19" s="27" t="s">
        <v>593</v>
      </c>
      <c r="DS19" s="26">
        <f>COUNTIF('58 فريقًا'!$E$4:$E$1999,$DQ19&amp;" ضد *")+COUNTIF('58 فريقًا'!$E$4:$E$1999,"* ضد "&amp;$DQ19)</f>
        <v>19</v>
      </c>
      <c r="DT19" s="26">
        <f t="shared" si="24"/>
        <v>19</v>
      </c>
      <c r="DU19" s="22"/>
      <c r="DV19" s="26">
        <v>17</v>
      </c>
      <c r="DW19" s="27" t="s">
        <v>594</v>
      </c>
      <c r="DX19" s="26">
        <f>COUNTIF('64 فريقًا'!$E$4:$E$1999,$DV19&amp;" ضد *")+COUNTIF('64 فريقًا'!$E$4:$E$1999,"* ضد "&amp;$DV19)</f>
        <v>18</v>
      </c>
      <c r="DY19" s="26">
        <f t="shared" si="25"/>
        <v>15</v>
      </c>
      <c r="DZ19" s="22"/>
      <c r="EA19" s="26">
        <v>17</v>
      </c>
      <c r="EB19" s="27" t="s">
        <v>593</v>
      </c>
      <c r="EC19" s="26">
        <f>COUNTIF('67 فريقًا'!$E$4:$E$1999,$EA19&amp;" ضد *")+COUNTIF('67 فريقًا'!$E$4:$E$1999,"* ضد "&amp;$EA19)</f>
        <v>18</v>
      </c>
      <c r="ED19" s="26">
        <f t="shared" si="26"/>
        <v>16</v>
      </c>
    </row>
    <row r="20" spans="1:134" ht="14.5">
      <c r="A20" s="26"/>
      <c r="B20" s="27"/>
      <c r="C20" s="26"/>
      <c r="D20" s="26"/>
      <c r="E20" s="22"/>
      <c r="F20" s="26"/>
      <c r="G20" s="27"/>
      <c r="H20" s="26"/>
      <c r="I20" s="26"/>
      <c r="J20" s="22"/>
      <c r="K20" s="26"/>
      <c r="L20" s="27"/>
      <c r="M20" s="26"/>
      <c r="N20" s="26"/>
      <c r="O20" s="22"/>
      <c r="P20" s="26"/>
      <c r="Q20" s="27"/>
      <c r="R20" s="26"/>
      <c r="S20" s="26"/>
      <c r="T20" s="22"/>
      <c r="U20" s="26"/>
      <c r="V20" s="27"/>
      <c r="W20" s="26"/>
      <c r="X20" s="26"/>
      <c r="Y20" s="22"/>
      <c r="Z20" s="26"/>
      <c r="AA20" s="27"/>
      <c r="AB20" s="26"/>
      <c r="AC20" s="26"/>
      <c r="AD20" s="22"/>
      <c r="AE20" s="26"/>
      <c r="AF20" s="27"/>
      <c r="AG20" s="26"/>
      <c r="AH20" s="26"/>
      <c r="AI20" s="22"/>
      <c r="AJ20" s="26"/>
      <c r="AK20" s="27"/>
      <c r="AL20" s="26"/>
      <c r="AM20" s="26"/>
      <c r="AN20" s="22"/>
      <c r="AO20" s="26"/>
      <c r="AP20" s="27"/>
      <c r="AQ20" s="26"/>
      <c r="AR20" s="26"/>
      <c r="AS20" s="22"/>
      <c r="AT20" s="26"/>
      <c r="AU20" s="27"/>
      <c r="AV20" s="26"/>
      <c r="AW20" s="26"/>
      <c r="AX20" s="22"/>
      <c r="AY20" s="26"/>
      <c r="AZ20" s="27"/>
      <c r="BA20" s="26"/>
      <c r="BB20" s="26"/>
      <c r="BC20" s="22"/>
      <c r="BD20" s="26">
        <v>18</v>
      </c>
      <c r="BE20" s="27" t="s">
        <v>595</v>
      </c>
      <c r="BF20" s="26">
        <f>COUNTIF('18 فريقًا'!$E$4:$E$1999,$BD20&amp;" ضد *")+COUNTIF('18 فريقًا'!$E$4:$E$1999,"* ضد "&amp;$BD20)</f>
        <v>20</v>
      </c>
      <c r="BG20" s="26">
        <f t="shared" si="11"/>
        <v>5</v>
      </c>
      <c r="BH20" s="22"/>
      <c r="BI20" s="26">
        <v>18</v>
      </c>
      <c r="BJ20" s="27" t="s">
        <v>593</v>
      </c>
      <c r="BK20" s="26">
        <f>COUNTIF('19 فريقًا'!$D$4:$D$1999,$BI20&amp;" ضد *")+COUNTIF('19 فريقًا'!$D$4:$D$1999,"* ضد "&amp;$BI20)</f>
        <v>18</v>
      </c>
      <c r="BL20" s="26">
        <f t="shared" si="12"/>
        <v>18</v>
      </c>
      <c r="BM20" s="22"/>
      <c r="BN20" s="26">
        <v>18</v>
      </c>
      <c r="BO20" s="27" t="s">
        <v>593</v>
      </c>
      <c r="BP20" s="26">
        <f>COUNTIF('20 فريقًا'!$D$4:$D$1999,$BN20&amp;" ضد *")+COUNTIF('20 فريقًا'!$D$4:$D$1999,"* ضد "&amp;$BN20)</f>
        <v>19</v>
      </c>
      <c r="BQ20" s="26">
        <f t="shared" si="13"/>
        <v>19</v>
      </c>
      <c r="BR20" s="22"/>
      <c r="BS20" s="26">
        <v>18</v>
      </c>
      <c r="BT20" s="27" t="s">
        <v>593</v>
      </c>
      <c r="BU20" s="26">
        <f>COUNTIF('21 فريقًا'!$D$4:$D$1999,$BS20&amp;" ضد *")+COUNTIF('21 فريقًا'!$D$4:$D$1999,"* ضد "&amp;$BS20)</f>
        <v>20</v>
      </c>
      <c r="BV20" s="26">
        <f t="shared" si="14"/>
        <v>20</v>
      </c>
      <c r="BW20" s="22"/>
      <c r="BX20" s="26">
        <v>18</v>
      </c>
      <c r="BY20" s="27" t="s">
        <v>593</v>
      </c>
      <c r="BZ20" s="26">
        <f>COUNTIF('22 فريقًا'!$D$4:$D$1999,$BX20&amp;" ضد *")+COUNTIF('22 فريقًا'!$D$4:$D$1999,"* ضد "&amp;$BX20)</f>
        <v>21</v>
      </c>
      <c r="CA20" s="26">
        <f t="shared" si="15"/>
        <v>21</v>
      </c>
      <c r="CB20" s="22"/>
      <c r="CC20" s="26">
        <v>18</v>
      </c>
      <c r="CD20" s="27" t="s">
        <v>594</v>
      </c>
      <c r="CE20" s="26">
        <f>COUNTIF('23 فريقًا'!$E$4:$E$1999,$CC20&amp;" ضد *")+COUNTIF('23 فريقًا'!$E$4:$E$1999,"* ضد "&amp;$CC20)</f>
        <v>18</v>
      </c>
      <c r="CF20" s="26">
        <f t="shared" si="16"/>
        <v>10</v>
      </c>
      <c r="CG20" s="22"/>
      <c r="CH20" s="26">
        <v>18</v>
      </c>
      <c r="CI20" s="27" t="s">
        <v>594</v>
      </c>
      <c r="CJ20" s="26">
        <f>COUNTIF('25 فريقًا'!$E$4:$E$1999,$CH20&amp;" ضد *")+COUNTIF('25 فريقًا'!$E$4:$E$1999,"* ضد "&amp;$CH20)</f>
        <v>18</v>
      </c>
      <c r="CK20" s="26">
        <f t="shared" si="17"/>
        <v>11</v>
      </c>
      <c r="CL20" s="22"/>
      <c r="CM20" s="26">
        <v>18</v>
      </c>
      <c r="CN20" s="27" t="s">
        <v>594</v>
      </c>
      <c r="CO20" s="26">
        <f>COUNTIF('26 فريقًا'!$E$4:$E$1999,$CM20&amp;" ضد *")+COUNTIF('26 فريقًا'!$E$4:$E$1999,"* ضد "&amp;$CM20)</f>
        <v>18</v>
      </c>
      <c r="CP20" s="26">
        <f t="shared" si="18"/>
        <v>11</v>
      </c>
      <c r="CQ20" s="22"/>
      <c r="CR20" s="26">
        <v>18</v>
      </c>
      <c r="CS20" s="27" t="s">
        <v>594</v>
      </c>
      <c r="CT20" s="26">
        <f>COUNTIF('27 فريقًا'!$E$4:$E$1999,$CR20&amp;" ضد *")+COUNTIF('27 فريقًا'!$E$4:$E$1999,"* ضد "&amp;$CR20)</f>
        <v>18</v>
      </c>
      <c r="CU20" s="26">
        <f t="shared" si="19"/>
        <v>12</v>
      </c>
      <c r="CV20" s="22"/>
      <c r="CW20" s="26">
        <v>18</v>
      </c>
      <c r="CX20" s="27" t="s">
        <v>594</v>
      </c>
      <c r="CY20" s="26">
        <f>COUNTIF('29 فريقًا'!$E$4:$E$1999,$CW20&amp;" ضد *")+COUNTIF('29 فريقًا'!$E$4:$E$1999,"* ضد "&amp;$CW20)</f>
        <v>18</v>
      </c>
      <c r="CZ20" s="26">
        <f t="shared" si="20"/>
        <v>13</v>
      </c>
      <c r="DA20" s="22"/>
      <c r="DB20" s="26">
        <v>18</v>
      </c>
      <c r="DC20" s="27" t="s">
        <v>593</v>
      </c>
      <c r="DD20" s="26">
        <f>COUNTIF('37 فريقًا'!$E$4:$E$1999,$DB20&amp;" ضد *")+COUNTIF('37 فريقًا'!$E$4:$E$1999,"* ضد "&amp;$DB20)</f>
        <v>18</v>
      </c>
      <c r="DE20" s="26">
        <f t="shared" si="21"/>
        <v>18</v>
      </c>
      <c r="DF20" s="22"/>
      <c r="DG20" s="26">
        <v>18</v>
      </c>
      <c r="DH20" s="27" t="s">
        <v>594</v>
      </c>
      <c r="DI20" s="26">
        <f>COUNTIF('46 فريقًا'!$E$4:$E$1999,$DG20&amp;" ضد *")+COUNTIF('46 فريقًا'!$E$4:$E$1999,"* ضد "&amp;$DG20)</f>
        <v>18</v>
      </c>
      <c r="DJ20" s="26">
        <f t="shared" si="22"/>
        <v>11</v>
      </c>
      <c r="DK20" s="22"/>
      <c r="DL20" s="26">
        <v>18</v>
      </c>
      <c r="DM20" s="27" t="s">
        <v>594</v>
      </c>
      <c r="DN20" s="26">
        <f>COUNTIF('54 فريقًا'!$E$4:$E$1999,$DL20&amp;" ضد *")+COUNTIF('54 فريقًا'!$E$4:$E$1999,"* ضد "&amp;$DL20)</f>
        <v>18</v>
      </c>
      <c r="DO20" s="26">
        <f t="shared" si="23"/>
        <v>13</v>
      </c>
      <c r="DP20" s="22"/>
      <c r="DQ20" s="26">
        <v>18</v>
      </c>
      <c r="DR20" s="27" t="s">
        <v>593</v>
      </c>
      <c r="DS20" s="26">
        <f>COUNTIF('58 فريقًا'!$E$4:$E$1999,$DQ20&amp;" ضد *")+COUNTIF('58 فريقًا'!$E$4:$E$1999,"* ضد "&amp;$DQ20)</f>
        <v>19</v>
      </c>
      <c r="DT20" s="26">
        <f t="shared" si="24"/>
        <v>19</v>
      </c>
      <c r="DU20" s="22"/>
      <c r="DV20" s="26">
        <v>18</v>
      </c>
      <c r="DW20" s="27" t="s">
        <v>594</v>
      </c>
      <c r="DX20" s="26">
        <f>COUNTIF('64 فريقًا'!$E$4:$E$1999,$DV20&amp;" ضد *")+COUNTIF('64 فريقًا'!$E$4:$E$1999,"* ضد "&amp;$DV20)</f>
        <v>18</v>
      </c>
      <c r="DY20" s="26">
        <f t="shared" si="25"/>
        <v>15</v>
      </c>
      <c r="DZ20" s="22"/>
      <c r="EA20" s="26">
        <v>18</v>
      </c>
      <c r="EB20" s="27" t="s">
        <v>594</v>
      </c>
      <c r="EC20" s="26">
        <f>COUNTIF('67 فريقًا'!$E$4:$E$1999,$EA20&amp;" ضد *")+COUNTIF('67 فريقًا'!$E$4:$E$1999,"* ضد "&amp;$EA20)</f>
        <v>18</v>
      </c>
      <c r="ED20" s="26">
        <f t="shared" si="26"/>
        <v>16</v>
      </c>
    </row>
    <row r="21" spans="1:134" ht="14.5">
      <c r="A21" s="26"/>
      <c r="B21" s="27"/>
      <c r="C21" s="26"/>
      <c r="D21" s="26"/>
      <c r="E21" s="22"/>
      <c r="F21" s="26"/>
      <c r="G21" s="27"/>
      <c r="H21" s="26"/>
      <c r="I21" s="26"/>
      <c r="J21" s="22"/>
      <c r="K21" s="26"/>
      <c r="L21" s="27"/>
      <c r="M21" s="26"/>
      <c r="N21" s="26"/>
      <c r="O21" s="22"/>
      <c r="P21" s="26"/>
      <c r="Q21" s="27"/>
      <c r="R21" s="26"/>
      <c r="S21" s="26"/>
      <c r="T21" s="22"/>
      <c r="U21" s="26"/>
      <c r="V21" s="27"/>
      <c r="W21" s="26"/>
      <c r="X21" s="26"/>
      <c r="Y21" s="22"/>
      <c r="Z21" s="26"/>
      <c r="AA21" s="27"/>
      <c r="AB21" s="26"/>
      <c r="AC21" s="26"/>
      <c r="AD21" s="22"/>
      <c r="AE21" s="26"/>
      <c r="AF21" s="27"/>
      <c r="AG21" s="26"/>
      <c r="AH21" s="26"/>
      <c r="AI21" s="22"/>
      <c r="AJ21" s="26"/>
      <c r="AK21" s="27"/>
      <c r="AL21" s="26"/>
      <c r="AM21" s="26"/>
      <c r="AN21" s="22"/>
      <c r="AO21" s="26"/>
      <c r="AP21" s="27"/>
      <c r="AQ21" s="26"/>
      <c r="AR21" s="26"/>
      <c r="AS21" s="22"/>
      <c r="AT21" s="26"/>
      <c r="AU21" s="27"/>
      <c r="AV21" s="26"/>
      <c r="AW21" s="26"/>
      <c r="AX21" s="22"/>
      <c r="AY21" s="26"/>
      <c r="AZ21" s="27"/>
      <c r="BA21" s="26"/>
      <c r="BB21" s="26"/>
      <c r="BC21" s="22"/>
      <c r="BD21" s="26"/>
      <c r="BE21" s="27"/>
      <c r="BF21" s="26"/>
      <c r="BG21" s="26"/>
      <c r="BH21" s="22"/>
      <c r="BI21" s="26">
        <v>19</v>
      </c>
      <c r="BJ21" s="27" t="s">
        <v>593</v>
      </c>
      <c r="BK21" s="26">
        <f>COUNTIF('19 فريقًا'!$D$4:$D$1999,$BI21&amp;" ضد *")+COUNTIF('19 فريقًا'!$D$4:$D$1999,"* ضد "&amp;$BI21)</f>
        <v>18</v>
      </c>
      <c r="BL21" s="26">
        <f t="shared" si="12"/>
        <v>18</v>
      </c>
      <c r="BM21" s="22"/>
      <c r="BN21" s="26">
        <v>19</v>
      </c>
      <c r="BO21" s="27" t="s">
        <v>593</v>
      </c>
      <c r="BP21" s="26">
        <f>COUNTIF('20 فريقًا'!$D$4:$D$1999,$BN21&amp;" ضد *")+COUNTIF('20 فريقًا'!$D$4:$D$1999,"* ضد "&amp;$BN21)</f>
        <v>19</v>
      </c>
      <c r="BQ21" s="26">
        <f t="shared" si="13"/>
        <v>19</v>
      </c>
      <c r="BR21" s="22"/>
      <c r="BS21" s="26">
        <v>19</v>
      </c>
      <c r="BT21" s="27" t="s">
        <v>593</v>
      </c>
      <c r="BU21" s="26">
        <f>COUNTIF('21 فريقًا'!$D$4:$D$1999,$BS21&amp;" ضد *")+COUNTIF('21 فريقًا'!$D$4:$D$1999,"* ضد "&amp;$BS21)</f>
        <v>20</v>
      </c>
      <c r="BV21" s="26">
        <f t="shared" si="14"/>
        <v>20</v>
      </c>
      <c r="BW21" s="22"/>
      <c r="BX21" s="26">
        <v>19</v>
      </c>
      <c r="BY21" s="27" t="s">
        <v>593</v>
      </c>
      <c r="BZ21" s="26">
        <f>COUNTIF('22 فريقًا'!$D$4:$D$1999,$BX21&amp;" ضد *")+COUNTIF('22 فريقًا'!$D$4:$D$1999,"* ضد "&amp;$BX21)</f>
        <v>21</v>
      </c>
      <c r="CA21" s="26">
        <f t="shared" si="15"/>
        <v>21</v>
      </c>
      <c r="CB21" s="22"/>
      <c r="CC21" s="26">
        <v>19</v>
      </c>
      <c r="CD21" s="27" t="s">
        <v>594</v>
      </c>
      <c r="CE21" s="26">
        <f>COUNTIF('23 فريقًا'!$E$4:$E$1999,$CC21&amp;" ضد *")+COUNTIF('23 فريقًا'!$E$4:$E$1999,"* ضد "&amp;$CC21)</f>
        <v>18</v>
      </c>
      <c r="CF21" s="26">
        <f t="shared" si="16"/>
        <v>10</v>
      </c>
      <c r="CG21" s="22"/>
      <c r="CH21" s="26">
        <v>19</v>
      </c>
      <c r="CI21" s="27" t="s">
        <v>594</v>
      </c>
      <c r="CJ21" s="26">
        <f>COUNTIF('25 فريقًا'!$E$4:$E$1999,$CH21&amp;" ضد *")+COUNTIF('25 فريقًا'!$E$4:$E$1999,"* ضد "&amp;$CH21)</f>
        <v>18</v>
      </c>
      <c r="CK21" s="26">
        <f t="shared" si="17"/>
        <v>11</v>
      </c>
      <c r="CL21" s="22"/>
      <c r="CM21" s="26">
        <v>19</v>
      </c>
      <c r="CN21" s="27" t="s">
        <v>594</v>
      </c>
      <c r="CO21" s="26">
        <f>COUNTIF('26 فريقًا'!$E$4:$E$1999,$CM21&amp;" ضد *")+COUNTIF('26 فريقًا'!$E$4:$E$1999,"* ضد "&amp;$CM21)</f>
        <v>18</v>
      </c>
      <c r="CP21" s="26">
        <f t="shared" si="18"/>
        <v>11</v>
      </c>
      <c r="CQ21" s="22"/>
      <c r="CR21" s="26">
        <v>19</v>
      </c>
      <c r="CS21" s="27" t="s">
        <v>594</v>
      </c>
      <c r="CT21" s="26">
        <f>COUNTIF('27 فريقًا'!$E$4:$E$1999,$CR21&amp;" ضد *")+COUNTIF('27 فريقًا'!$E$4:$E$1999,"* ضد "&amp;$CR21)</f>
        <v>18</v>
      </c>
      <c r="CU21" s="26">
        <f t="shared" si="19"/>
        <v>12</v>
      </c>
      <c r="CV21" s="22"/>
      <c r="CW21" s="26">
        <v>19</v>
      </c>
      <c r="CX21" s="27" t="s">
        <v>594</v>
      </c>
      <c r="CY21" s="26">
        <f>COUNTIF('29 فريقًا'!$E$4:$E$1999,$CW21&amp;" ضد *")+COUNTIF('29 فريقًا'!$E$4:$E$1999,"* ضد "&amp;$CW21)</f>
        <v>18</v>
      </c>
      <c r="CZ21" s="26">
        <f t="shared" si="20"/>
        <v>13</v>
      </c>
      <c r="DA21" s="22"/>
      <c r="DB21" s="26">
        <v>19</v>
      </c>
      <c r="DC21" s="27" t="s">
        <v>593</v>
      </c>
      <c r="DD21" s="26">
        <f>COUNTIF('37 فريقًا'!$E$4:$E$1999,$DB21&amp;" ضد *")+COUNTIF('37 فريقًا'!$E$4:$E$1999,"* ضد "&amp;$DB21)</f>
        <v>18</v>
      </c>
      <c r="DE21" s="26">
        <f t="shared" si="21"/>
        <v>18</v>
      </c>
      <c r="DF21" s="22"/>
      <c r="DG21" s="26">
        <v>19</v>
      </c>
      <c r="DH21" s="27" t="s">
        <v>594</v>
      </c>
      <c r="DI21" s="26">
        <f>COUNTIF('46 فريقًا'!$E$4:$E$1999,$DG21&amp;" ضد *")+COUNTIF('46 فريقًا'!$E$4:$E$1999,"* ضد "&amp;$DG21)</f>
        <v>18</v>
      </c>
      <c r="DJ21" s="26">
        <f t="shared" si="22"/>
        <v>11</v>
      </c>
      <c r="DK21" s="22"/>
      <c r="DL21" s="26">
        <v>19</v>
      </c>
      <c r="DM21" s="27" t="s">
        <v>594</v>
      </c>
      <c r="DN21" s="26">
        <f>COUNTIF('54 فريقًا'!$E$4:$E$1999,$DL21&amp;" ضد *")+COUNTIF('54 فريقًا'!$E$4:$E$1999,"* ضد "&amp;$DL21)</f>
        <v>18</v>
      </c>
      <c r="DO21" s="26">
        <f t="shared" si="23"/>
        <v>13</v>
      </c>
      <c r="DP21" s="22"/>
      <c r="DQ21" s="26">
        <v>19</v>
      </c>
      <c r="DR21" s="27" t="s">
        <v>593</v>
      </c>
      <c r="DS21" s="26">
        <f>COUNTIF('58 فريقًا'!$E$4:$E$1999,$DQ21&amp;" ضد *")+COUNTIF('58 فريقًا'!$E$4:$E$1999,"* ضد "&amp;$DQ21)</f>
        <v>19</v>
      </c>
      <c r="DT21" s="26">
        <f t="shared" si="24"/>
        <v>19</v>
      </c>
      <c r="DU21" s="22"/>
      <c r="DV21" s="26">
        <v>19</v>
      </c>
      <c r="DW21" s="27" t="s">
        <v>594</v>
      </c>
      <c r="DX21" s="26">
        <f>COUNTIF('64 فريقًا'!$E$4:$E$1999,$DV21&amp;" ضد *")+COUNTIF('64 فريقًا'!$E$4:$E$1999,"* ضد "&amp;$DV21)</f>
        <v>18</v>
      </c>
      <c r="DY21" s="26">
        <f t="shared" si="25"/>
        <v>15</v>
      </c>
      <c r="DZ21" s="22"/>
      <c r="EA21" s="26">
        <v>19</v>
      </c>
      <c r="EB21" s="27" t="s">
        <v>594</v>
      </c>
      <c r="EC21" s="26">
        <f>COUNTIF('67 فريقًا'!$E$4:$E$1999,$EA21&amp;" ضد *")+COUNTIF('67 فريقًا'!$E$4:$E$1999,"* ضد "&amp;$EA21)</f>
        <v>18</v>
      </c>
      <c r="ED21" s="26">
        <f t="shared" si="26"/>
        <v>16</v>
      </c>
    </row>
    <row r="22" spans="1:134" ht="14.5">
      <c r="A22" s="26"/>
      <c r="B22" s="27"/>
      <c r="C22" s="26"/>
      <c r="D22" s="26"/>
      <c r="E22" s="22"/>
      <c r="F22" s="26"/>
      <c r="G22" s="27"/>
      <c r="H22" s="26"/>
      <c r="I22" s="26"/>
      <c r="J22" s="22"/>
      <c r="K22" s="26"/>
      <c r="L22" s="27"/>
      <c r="M22" s="26"/>
      <c r="N22" s="26"/>
      <c r="O22" s="22"/>
      <c r="P22" s="26"/>
      <c r="Q22" s="27"/>
      <c r="R22" s="26"/>
      <c r="S22" s="26"/>
      <c r="T22" s="22"/>
      <c r="U22" s="26"/>
      <c r="V22" s="27"/>
      <c r="W22" s="26"/>
      <c r="X22" s="26"/>
      <c r="Y22" s="22"/>
      <c r="Z22" s="26"/>
      <c r="AA22" s="27"/>
      <c r="AB22" s="26"/>
      <c r="AC22" s="26"/>
      <c r="AD22" s="22"/>
      <c r="AE22" s="26"/>
      <c r="AF22" s="27"/>
      <c r="AG22" s="26"/>
      <c r="AH22" s="26"/>
      <c r="AI22" s="22"/>
      <c r="AJ22" s="26"/>
      <c r="AK22" s="27"/>
      <c r="AL22" s="26"/>
      <c r="AM22" s="26"/>
      <c r="AN22" s="22"/>
      <c r="AO22" s="26"/>
      <c r="AP22" s="27"/>
      <c r="AQ22" s="26"/>
      <c r="AR22" s="26"/>
      <c r="AS22" s="22"/>
      <c r="AT22" s="26"/>
      <c r="AU22" s="27"/>
      <c r="AV22" s="26"/>
      <c r="AW22" s="26"/>
      <c r="AX22" s="22"/>
      <c r="AY22" s="26"/>
      <c r="AZ22" s="27"/>
      <c r="BA22" s="26"/>
      <c r="BB22" s="26"/>
      <c r="BC22" s="22"/>
      <c r="BD22" s="26"/>
      <c r="BE22" s="27"/>
      <c r="BF22" s="26"/>
      <c r="BG22" s="26"/>
      <c r="BH22" s="22"/>
      <c r="BI22" s="26"/>
      <c r="BJ22" s="27"/>
      <c r="BK22" s="26"/>
      <c r="BL22" s="26"/>
      <c r="BM22" s="22"/>
      <c r="BN22" s="26">
        <v>20</v>
      </c>
      <c r="BO22" s="27" t="s">
        <v>593</v>
      </c>
      <c r="BP22" s="26">
        <f>COUNTIF('20 فريقًا'!$D$4:$D$1999,$BN22&amp;" ضد *")+COUNTIF('20 فريقًا'!$D$4:$D$1999,"* ضد "&amp;$BN22)</f>
        <v>19</v>
      </c>
      <c r="BQ22" s="26">
        <f t="shared" si="13"/>
        <v>19</v>
      </c>
      <c r="BR22" s="22"/>
      <c r="BS22" s="26">
        <v>20</v>
      </c>
      <c r="BT22" s="27" t="s">
        <v>593</v>
      </c>
      <c r="BU22" s="26">
        <f>COUNTIF('21 فريقًا'!$D$4:$D$1999,$BS22&amp;" ضد *")+COUNTIF('21 فريقًا'!$D$4:$D$1999,"* ضد "&amp;$BS22)</f>
        <v>20</v>
      </c>
      <c r="BV22" s="26">
        <f t="shared" si="14"/>
        <v>20</v>
      </c>
      <c r="BW22" s="22"/>
      <c r="BX22" s="26">
        <v>20</v>
      </c>
      <c r="BY22" s="27" t="s">
        <v>593</v>
      </c>
      <c r="BZ22" s="26">
        <f>COUNTIF('22 فريقًا'!$D$4:$D$1999,$BX22&amp;" ضد *")+COUNTIF('22 فريقًا'!$D$4:$D$1999,"* ضد "&amp;$BX22)</f>
        <v>21</v>
      </c>
      <c r="CA22" s="26">
        <f t="shared" si="15"/>
        <v>21</v>
      </c>
      <c r="CB22" s="22"/>
      <c r="CC22" s="26">
        <v>20</v>
      </c>
      <c r="CD22" s="27" t="s">
        <v>594</v>
      </c>
      <c r="CE22" s="26">
        <f>COUNTIF('23 فريقًا'!$E$4:$E$1999,$CC22&amp;" ضد *")+COUNTIF('23 فريقًا'!$E$4:$E$1999,"* ضد "&amp;$CC22)</f>
        <v>18</v>
      </c>
      <c r="CF22" s="26">
        <f t="shared" si="16"/>
        <v>10</v>
      </c>
      <c r="CG22" s="22"/>
      <c r="CH22" s="26">
        <v>20</v>
      </c>
      <c r="CI22" s="27" t="s">
        <v>594</v>
      </c>
      <c r="CJ22" s="26">
        <f>COUNTIF('25 فريقًا'!$E$4:$E$1999,$CH22&amp;" ضد *")+COUNTIF('25 فريقًا'!$E$4:$E$1999,"* ضد "&amp;$CH22)</f>
        <v>18</v>
      </c>
      <c r="CK22" s="26">
        <f t="shared" si="17"/>
        <v>11</v>
      </c>
      <c r="CL22" s="22"/>
      <c r="CM22" s="26">
        <v>20</v>
      </c>
      <c r="CN22" s="27" t="s">
        <v>594</v>
      </c>
      <c r="CO22" s="26">
        <f>COUNTIF('26 فريقًا'!$E$4:$E$1999,$CM22&amp;" ضد *")+COUNTIF('26 فريقًا'!$E$4:$E$1999,"* ضد "&amp;$CM22)</f>
        <v>18</v>
      </c>
      <c r="CP22" s="26">
        <f t="shared" si="18"/>
        <v>11</v>
      </c>
      <c r="CQ22" s="22"/>
      <c r="CR22" s="26">
        <v>20</v>
      </c>
      <c r="CS22" s="27" t="s">
        <v>594</v>
      </c>
      <c r="CT22" s="26">
        <f>COUNTIF('27 فريقًا'!$E$4:$E$1999,$CR22&amp;" ضد *")+COUNTIF('27 فريقًا'!$E$4:$E$1999,"* ضد "&amp;$CR22)</f>
        <v>18</v>
      </c>
      <c r="CU22" s="26">
        <f t="shared" si="19"/>
        <v>12</v>
      </c>
      <c r="CV22" s="22"/>
      <c r="CW22" s="26">
        <v>20</v>
      </c>
      <c r="CX22" s="27" t="s">
        <v>594</v>
      </c>
      <c r="CY22" s="26">
        <f>COUNTIF('29 فريقًا'!$E$4:$E$1999,$CW22&amp;" ضد *")+COUNTIF('29 فريقًا'!$E$4:$E$1999,"* ضد "&amp;$CW22)</f>
        <v>18</v>
      </c>
      <c r="CZ22" s="26">
        <f t="shared" si="20"/>
        <v>13</v>
      </c>
      <c r="DA22" s="22"/>
      <c r="DB22" s="26">
        <v>20</v>
      </c>
      <c r="DC22" s="27" t="s">
        <v>594</v>
      </c>
      <c r="DD22" s="26">
        <f>COUNTIF('37 فريقًا'!$E$4:$E$1999,$DB22&amp;" ضد *")+COUNTIF('37 فريقًا'!$E$4:$E$1999,"* ضد "&amp;$DB22)</f>
        <v>18</v>
      </c>
      <c r="DE22" s="26">
        <f t="shared" si="21"/>
        <v>17</v>
      </c>
      <c r="DF22" s="22"/>
      <c r="DG22" s="26">
        <v>20</v>
      </c>
      <c r="DH22" s="27" t="s">
        <v>594</v>
      </c>
      <c r="DI22" s="26">
        <f>COUNTIF('46 فريقًا'!$E$4:$E$1999,$DG22&amp;" ضد *")+COUNTIF('46 فريقًا'!$E$4:$E$1999,"* ضد "&amp;$DG22)</f>
        <v>18</v>
      </c>
      <c r="DJ22" s="26">
        <f t="shared" si="22"/>
        <v>11</v>
      </c>
      <c r="DK22" s="22"/>
      <c r="DL22" s="26">
        <v>20</v>
      </c>
      <c r="DM22" s="27" t="s">
        <v>594</v>
      </c>
      <c r="DN22" s="26">
        <f>COUNTIF('54 فريقًا'!$E$4:$E$1999,$DL22&amp;" ضد *")+COUNTIF('54 فريقًا'!$E$4:$E$1999,"* ضد "&amp;$DL22)</f>
        <v>18</v>
      </c>
      <c r="DO22" s="26">
        <f t="shared" si="23"/>
        <v>13</v>
      </c>
      <c r="DP22" s="22"/>
      <c r="DQ22" s="26">
        <v>20</v>
      </c>
      <c r="DR22" s="27" t="s">
        <v>593</v>
      </c>
      <c r="DS22" s="26">
        <f>COUNTIF('58 فريقًا'!$E$4:$E$1999,$DQ22&amp;" ضد *")+COUNTIF('58 فريقًا'!$E$4:$E$1999,"* ضد "&amp;$DQ22)</f>
        <v>19</v>
      </c>
      <c r="DT22" s="26">
        <f t="shared" si="24"/>
        <v>19</v>
      </c>
      <c r="DU22" s="22"/>
      <c r="DV22" s="26">
        <v>20</v>
      </c>
      <c r="DW22" s="27" t="s">
        <v>594</v>
      </c>
      <c r="DX22" s="26">
        <f>COUNTIF('64 فريقًا'!$E$4:$E$1999,$DV22&amp;" ضد *")+COUNTIF('64 فريقًا'!$E$4:$E$1999,"* ضد "&amp;$DV22)</f>
        <v>18</v>
      </c>
      <c r="DY22" s="26">
        <f t="shared" si="25"/>
        <v>15</v>
      </c>
      <c r="DZ22" s="22"/>
      <c r="EA22" s="26">
        <v>20</v>
      </c>
      <c r="EB22" s="27" t="s">
        <v>594</v>
      </c>
      <c r="EC22" s="26">
        <f>COUNTIF('67 فريقًا'!$E$4:$E$1999,$EA22&amp;" ضد *")+COUNTIF('67 فريقًا'!$E$4:$E$1999,"* ضد "&amp;$EA22)</f>
        <v>18</v>
      </c>
      <c r="ED22" s="26">
        <f t="shared" si="26"/>
        <v>16</v>
      </c>
    </row>
    <row r="23" spans="1:134" ht="14.5">
      <c r="A23" s="26"/>
      <c r="B23" s="27"/>
      <c r="C23" s="26"/>
      <c r="D23" s="26"/>
      <c r="E23" s="22"/>
      <c r="F23" s="26"/>
      <c r="G23" s="27"/>
      <c r="H23" s="26"/>
      <c r="I23" s="26"/>
      <c r="J23" s="22"/>
      <c r="K23" s="26"/>
      <c r="L23" s="27"/>
      <c r="M23" s="26"/>
      <c r="N23" s="26"/>
      <c r="O23" s="22"/>
      <c r="P23" s="26"/>
      <c r="Q23" s="27"/>
      <c r="R23" s="26"/>
      <c r="S23" s="26"/>
      <c r="T23" s="22"/>
      <c r="U23" s="26"/>
      <c r="V23" s="27"/>
      <c r="W23" s="26"/>
      <c r="X23" s="26"/>
      <c r="Y23" s="22"/>
      <c r="Z23" s="26"/>
      <c r="AA23" s="27"/>
      <c r="AB23" s="26"/>
      <c r="AC23" s="26"/>
      <c r="AD23" s="22"/>
      <c r="AE23" s="26"/>
      <c r="AF23" s="27"/>
      <c r="AG23" s="26"/>
      <c r="AH23" s="26"/>
      <c r="AI23" s="22"/>
      <c r="AJ23" s="26"/>
      <c r="AK23" s="27"/>
      <c r="AL23" s="26"/>
      <c r="AM23" s="26"/>
      <c r="AN23" s="22"/>
      <c r="AO23" s="26"/>
      <c r="AP23" s="27"/>
      <c r="AQ23" s="26"/>
      <c r="AR23" s="26"/>
      <c r="AS23" s="22"/>
      <c r="AT23" s="26"/>
      <c r="AU23" s="27"/>
      <c r="AV23" s="26"/>
      <c r="AW23" s="26"/>
      <c r="AX23" s="22"/>
      <c r="AY23" s="26"/>
      <c r="AZ23" s="27"/>
      <c r="BA23" s="26"/>
      <c r="BB23" s="26"/>
      <c r="BC23" s="22"/>
      <c r="BD23" s="26"/>
      <c r="BE23" s="27"/>
      <c r="BF23" s="26"/>
      <c r="BG23" s="26"/>
      <c r="BH23" s="22"/>
      <c r="BI23" s="26"/>
      <c r="BJ23" s="27"/>
      <c r="BK23" s="26"/>
      <c r="BL23" s="26"/>
      <c r="BM23" s="22"/>
      <c r="BN23" s="26"/>
      <c r="BO23" s="27"/>
      <c r="BP23" s="26"/>
      <c r="BQ23" s="26"/>
      <c r="BR23" s="22"/>
      <c r="BS23" s="26">
        <v>21</v>
      </c>
      <c r="BT23" s="27" t="s">
        <v>593</v>
      </c>
      <c r="BU23" s="26">
        <f>COUNTIF('21 فريقًا'!$D$4:$D$1999,$BS23&amp;" ضد *")+COUNTIF('21 فريقًا'!$D$4:$D$1999,"* ضد "&amp;$BS23)</f>
        <v>20</v>
      </c>
      <c r="BV23" s="26">
        <f t="shared" si="14"/>
        <v>20</v>
      </c>
      <c r="BW23" s="22"/>
      <c r="BX23" s="26">
        <v>21</v>
      </c>
      <c r="BY23" s="27" t="s">
        <v>593</v>
      </c>
      <c r="BZ23" s="26">
        <f>COUNTIF('22 فريقًا'!$D$4:$D$1999,$BX23&amp;" ضد *")+COUNTIF('22 فريقًا'!$D$4:$D$1999,"* ضد "&amp;$BX23)</f>
        <v>21</v>
      </c>
      <c r="CA23" s="26">
        <f t="shared" si="15"/>
        <v>21</v>
      </c>
      <c r="CB23" s="22"/>
      <c r="CC23" s="26">
        <v>21</v>
      </c>
      <c r="CD23" s="27" t="s">
        <v>594</v>
      </c>
      <c r="CE23" s="26">
        <f>COUNTIF('23 فريقًا'!$E$4:$E$1999,$CC23&amp;" ضد *")+COUNTIF('23 فريقًا'!$E$4:$E$1999,"* ضد "&amp;$CC23)</f>
        <v>18</v>
      </c>
      <c r="CF23" s="26">
        <f t="shared" si="16"/>
        <v>10</v>
      </c>
      <c r="CG23" s="22"/>
      <c r="CH23" s="26">
        <v>21</v>
      </c>
      <c r="CI23" s="27" t="s">
        <v>594</v>
      </c>
      <c r="CJ23" s="26">
        <f>COUNTIF('25 فريقًا'!$E$4:$E$1999,$CH23&amp;" ضد *")+COUNTIF('25 فريقًا'!$E$4:$E$1999,"* ضد "&amp;$CH23)</f>
        <v>18</v>
      </c>
      <c r="CK23" s="26">
        <f t="shared" si="17"/>
        <v>11</v>
      </c>
      <c r="CL23" s="22"/>
      <c r="CM23" s="26">
        <v>21</v>
      </c>
      <c r="CN23" s="27" t="s">
        <v>594</v>
      </c>
      <c r="CO23" s="26">
        <f>COUNTIF('26 فريقًا'!$E$4:$E$1999,$CM23&amp;" ضد *")+COUNTIF('26 فريقًا'!$E$4:$E$1999,"* ضد "&amp;$CM23)</f>
        <v>18</v>
      </c>
      <c r="CP23" s="26">
        <f t="shared" si="18"/>
        <v>11</v>
      </c>
      <c r="CQ23" s="22"/>
      <c r="CR23" s="26">
        <v>21</v>
      </c>
      <c r="CS23" s="27" t="s">
        <v>594</v>
      </c>
      <c r="CT23" s="26">
        <f>COUNTIF('27 فريقًا'!$E$4:$E$1999,$CR23&amp;" ضد *")+COUNTIF('27 فريقًا'!$E$4:$E$1999,"* ضد "&amp;$CR23)</f>
        <v>18</v>
      </c>
      <c r="CU23" s="26">
        <f t="shared" si="19"/>
        <v>12</v>
      </c>
      <c r="CV23" s="22"/>
      <c r="CW23" s="26">
        <v>21</v>
      </c>
      <c r="CX23" s="27" t="s">
        <v>594</v>
      </c>
      <c r="CY23" s="26">
        <f>COUNTIF('29 فريقًا'!$E$4:$E$1999,$CW23&amp;" ضد *")+COUNTIF('29 فريقًا'!$E$4:$E$1999,"* ضد "&amp;$CW23)</f>
        <v>18</v>
      </c>
      <c r="CZ23" s="26">
        <f t="shared" si="20"/>
        <v>13</v>
      </c>
      <c r="DA23" s="22"/>
      <c r="DB23" s="26">
        <v>21</v>
      </c>
      <c r="DC23" s="27" t="s">
        <v>594</v>
      </c>
      <c r="DD23" s="26">
        <f>COUNTIF('37 فريقًا'!$E$4:$E$1999,$DB23&amp;" ضد *")+COUNTIF('37 فريقًا'!$E$4:$E$1999,"* ضد "&amp;$DB23)</f>
        <v>18</v>
      </c>
      <c r="DE23" s="26">
        <f t="shared" si="21"/>
        <v>17</v>
      </c>
      <c r="DF23" s="22"/>
      <c r="DG23" s="26">
        <v>21</v>
      </c>
      <c r="DH23" s="27" t="s">
        <v>594</v>
      </c>
      <c r="DI23" s="26">
        <f>COUNTIF('46 فريقًا'!$E$4:$E$1999,$DG23&amp;" ضد *")+COUNTIF('46 فريقًا'!$E$4:$E$1999,"* ضد "&amp;$DG23)</f>
        <v>18</v>
      </c>
      <c r="DJ23" s="26">
        <f t="shared" si="22"/>
        <v>11</v>
      </c>
      <c r="DK23" s="22"/>
      <c r="DL23" s="26">
        <v>21</v>
      </c>
      <c r="DM23" s="27" t="s">
        <v>594</v>
      </c>
      <c r="DN23" s="26">
        <f>COUNTIF('54 فريقًا'!$E$4:$E$1999,$DL23&amp;" ضد *")+COUNTIF('54 فريقًا'!$E$4:$E$1999,"* ضد "&amp;$DL23)</f>
        <v>18</v>
      </c>
      <c r="DO23" s="26">
        <f t="shared" si="23"/>
        <v>13</v>
      </c>
      <c r="DP23" s="22"/>
      <c r="DQ23" s="26">
        <v>21</v>
      </c>
      <c r="DR23" s="27" t="s">
        <v>594</v>
      </c>
      <c r="DS23" s="26">
        <f>COUNTIF('58 فريقًا'!$E$4:$E$1999,$DQ23&amp;" ضد *")+COUNTIF('58 فريقًا'!$E$4:$E$1999,"* ضد "&amp;$DQ23)</f>
        <v>18</v>
      </c>
      <c r="DT23" s="26">
        <f t="shared" si="24"/>
        <v>18</v>
      </c>
      <c r="DU23" s="22"/>
      <c r="DV23" s="26">
        <v>21</v>
      </c>
      <c r="DW23" s="27" t="s">
        <v>594</v>
      </c>
      <c r="DX23" s="26">
        <f>COUNTIF('64 فريقًا'!$E$4:$E$1999,$DV23&amp;" ضد *")+COUNTIF('64 فريقًا'!$E$4:$E$1999,"* ضد "&amp;$DV23)</f>
        <v>18</v>
      </c>
      <c r="DY23" s="26">
        <f t="shared" si="25"/>
        <v>15</v>
      </c>
      <c r="DZ23" s="22"/>
      <c r="EA23" s="26">
        <v>21</v>
      </c>
      <c r="EB23" s="27" t="s">
        <v>594</v>
      </c>
      <c r="EC23" s="26">
        <f>COUNTIF('67 فريقًا'!$E$4:$E$1999,$EA23&amp;" ضد *")+COUNTIF('67 فريقًا'!$E$4:$E$1999,"* ضد "&amp;$EA23)</f>
        <v>18</v>
      </c>
      <c r="ED23" s="26">
        <f t="shared" si="26"/>
        <v>16</v>
      </c>
    </row>
    <row r="24" spans="1:134" ht="14.5">
      <c r="A24" s="26"/>
      <c r="B24" s="27"/>
      <c r="C24" s="26"/>
      <c r="D24" s="26"/>
      <c r="E24" s="22"/>
      <c r="F24" s="26"/>
      <c r="G24" s="27"/>
      <c r="H24" s="26"/>
      <c r="I24" s="26"/>
      <c r="J24" s="22"/>
      <c r="K24" s="26"/>
      <c r="L24" s="27"/>
      <c r="M24" s="26"/>
      <c r="N24" s="26"/>
      <c r="O24" s="22"/>
      <c r="P24" s="26"/>
      <c r="Q24" s="27"/>
      <c r="R24" s="26"/>
      <c r="S24" s="26"/>
      <c r="T24" s="22"/>
      <c r="U24" s="26"/>
      <c r="V24" s="27"/>
      <c r="W24" s="26"/>
      <c r="X24" s="26"/>
      <c r="Y24" s="22"/>
      <c r="Z24" s="26"/>
      <c r="AA24" s="27"/>
      <c r="AB24" s="26"/>
      <c r="AC24" s="26"/>
      <c r="AD24" s="22"/>
      <c r="AE24" s="26"/>
      <c r="AF24" s="27"/>
      <c r="AG24" s="26"/>
      <c r="AH24" s="26"/>
      <c r="AI24" s="22"/>
      <c r="AJ24" s="26"/>
      <c r="AK24" s="27"/>
      <c r="AL24" s="26"/>
      <c r="AM24" s="26"/>
      <c r="AN24" s="22"/>
      <c r="AO24" s="26"/>
      <c r="AP24" s="27"/>
      <c r="AQ24" s="26"/>
      <c r="AR24" s="26"/>
      <c r="AS24" s="22"/>
      <c r="AT24" s="26"/>
      <c r="AU24" s="27"/>
      <c r="AV24" s="26"/>
      <c r="AW24" s="26"/>
      <c r="AX24" s="22"/>
      <c r="AY24" s="26"/>
      <c r="AZ24" s="27"/>
      <c r="BA24" s="26"/>
      <c r="BB24" s="26"/>
      <c r="BC24" s="22"/>
      <c r="BD24" s="26"/>
      <c r="BE24" s="27"/>
      <c r="BF24" s="26"/>
      <c r="BG24" s="26"/>
      <c r="BH24" s="22"/>
      <c r="BI24" s="26"/>
      <c r="BJ24" s="27"/>
      <c r="BK24" s="26"/>
      <c r="BL24" s="26"/>
      <c r="BM24" s="22"/>
      <c r="BN24" s="26"/>
      <c r="BO24" s="27"/>
      <c r="BP24" s="26"/>
      <c r="BQ24" s="26"/>
      <c r="BR24" s="22"/>
      <c r="BS24" s="26"/>
      <c r="BT24" s="27"/>
      <c r="BU24" s="26"/>
      <c r="BV24" s="26"/>
      <c r="BW24" s="22"/>
      <c r="BX24" s="26">
        <v>22</v>
      </c>
      <c r="BY24" s="27" t="s">
        <v>593</v>
      </c>
      <c r="BZ24" s="26">
        <f>COUNTIF('22 فريقًا'!$D$4:$D$1999,$BX24&amp;" ضد *")+COUNTIF('22 فريقًا'!$D$4:$D$1999,"* ضد "&amp;$BX24)</f>
        <v>21</v>
      </c>
      <c r="CA24" s="26">
        <f t="shared" si="15"/>
        <v>21</v>
      </c>
      <c r="CB24" s="22"/>
      <c r="CC24" s="26">
        <v>22</v>
      </c>
      <c r="CD24" s="27" t="s">
        <v>594</v>
      </c>
      <c r="CE24" s="26">
        <f>COUNTIF('23 فريقًا'!$E$4:$E$1999,$CC24&amp;" ضد *")+COUNTIF('23 فريقًا'!$E$4:$E$1999,"* ضد "&amp;$CC24)</f>
        <v>18</v>
      </c>
      <c r="CF24" s="26">
        <f t="shared" si="16"/>
        <v>10</v>
      </c>
      <c r="CG24" s="22"/>
      <c r="CH24" s="26">
        <v>22</v>
      </c>
      <c r="CI24" s="27" t="s">
        <v>594</v>
      </c>
      <c r="CJ24" s="26">
        <f>COUNTIF('25 فريقًا'!$E$4:$E$1999,$CH24&amp;" ضد *")+COUNTIF('25 فريقًا'!$E$4:$E$1999,"* ضد "&amp;$CH24)</f>
        <v>18</v>
      </c>
      <c r="CK24" s="26">
        <f t="shared" si="17"/>
        <v>11</v>
      </c>
      <c r="CL24" s="22"/>
      <c r="CM24" s="26">
        <v>22</v>
      </c>
      <c r="CN24" s="27" t="s">
        <v>594</v>
      </c>
      <c r="CO24" s="26">
        <f>COUNTIF('26 فريقًا'!$E$4:$E$1999,$CM24&amp;" ضد *")+COUNTIF('26 فريقًا'!$E$4:$E$1999,"* ضد "&amp;$CM24)</f>
        <v>18</v>
      </c>
      <c r="CP24" s="26">
        <f t="shared" si="18"/>
        <v>11</v>
      </c>
      <c r="CQ24" s="22"/>
      <c r="CR24" s="26">
        <v>22</v>
      </c>
      <c r="CS24" s="27" t="s">
        <v>594</v>
      </c>
      <c r="CT24" s="26">
        <f>COUNTIF('27 فريقًا'!$E$4:$E$1999,$CR24&amp;" ضد *")+COUNTIF('27 فريقًا'!$E$4:$E$1999,"* ضد "&amp;$CR24)</f>
        <v>18</v>
      </c>
      <c r="CU24" s="26">
        <f t="shared" si="19"/>
        <v>12</v>
      </c>
      <c r="CV24" s="22"/>
      <c r="CW24" s="26">
        <v>22</v>
      </c>
      <c r="CX24" s="27" t="s">
        <v>594</v>
      </c>
      <c r="CY24" s="26">
        <f>COUNTIF('29 فريقًا'!$E$4:$E$1999,$CW24&amp;" ضد *")+COUNTIF('29 فريقًا'!$E$4:$E$1999,"* ضد "&amp;$CW24)</f>
        <v>18</v>
      </c>
      <c r="CZ24" s="26">
        <f t="shared" si="20"/>
        <v>13</v>
      </c>
      <c r="DA24" s="22"/>
      <c r="DB24" s="26">
        <v>22</v>
      </c>
      <c r="DC24" s="27" t="s">
        <v>594</v>
      </c>
      <c r="DD24" s="26">
        <f>COUNTIF('37 فريقًا'!$E$4:$E$1999,$DB24&amp;" ضد *")+COUNTIF('37 فريقًا'!$E$4:$E$1999,"* ضد "&amp;$DB24)</f>
        <v>18</v>
      </c>
      <c r="DE24" s="26">
        <f t="shared" si="21"/>
        <v>17</v>
      </c>
      <c r="DF24" s="22"/>
      <c r="DG24" s="26">
        <v>22</v>
      </c>
      <c r="DH24" s="27" t="s">
        <v>594</v>
      </c>
      <c r="DI24" s="26">
        <f>COUNTIF('46 فريقًا'!$E$4:$E$1999,$DG24&amp;" ضد *")+COUNTIF('46 فريقًا'!$E$4:$E$1999,"* ضد "&amp;$DG24)</f>
        <v>18</v>
      </c>
      <c r="DJ24" s="26">
        <f t="shared" si="22"/>
        <v>11</v>
      </c>
      <c r="DK24" s="22"/>
      <c r="DL24" s="26">
        <v>22</v>
      </c>
      <c r="DM24" s="27" t="s">
        <v>594</v>
      </c>
      <c r="DN24" s="26">
        <f>COUNTIF('54 فريقًا'!$E$4:$E$1999,$DL24&amp;" ضد *")+COUNTIF('54 فريقًا'!$E$4:$E$1999,"* ضد "&amp;$DL24)</f>
        <v>18</v>
      </c>
      <c r="DO24" s="26">
        <f t="shared" si="23"/>
        <v>13</v>
      </c>
      <c r="DP24" s="22"/>
      <c r="DQ24" s="26">
        <v>22</v>
      </c>
      <c r="DR24" s="27" t="s">
        <v>594</v>
      </c>
      <c r="DS24" s="26">
        <f>COUNTIF('58 فريقًا'!$E$4:$E$1999,$DQ24&amp;" ضد *")+COUNTIF('58 فريقًا'!$E$4:$E$1999,"* ضد "&amp;$DQ24)</f>
        <v>18</v>
      </c>
      <c r="DT24" s="26">
        <f t="shared" si="24"/>
        <v>18</v>
      </c>
      <c r="DU24" s="22"/>
      <c r="DV24" s="26">
        <v>22</v>
      </c>
      <c r="DW24" s="27" t="s">
        <v>594</v>
      </c>
      <c r="DX24" s="26">
        <f>COUNTIF('64 فريقًا'!$E$4:$E$1999,$DV24&amp;" ضد *")+COUNTIF('64 فريقًا'!$E$4:$E$1999,"* ضد "&amp;$DV24)</f>
        <v>18</v>
      </c>
      <c r="DY24" s="26">
        <f t="shared" si="25"/>
        <v>15</v>
      </c>
      <c r="DZ24" s="22"/>
      <c r="EA24" s="26">
        <v>22</v>
      </c>
      <c r="EB24" s="27" t="s">
        <v>594</v>
      </c>
      <c r="EC24" s="26">
        <f>COUNTIF('67 فريقًا'!$E$4:$E$1999,$EA24&amp;" ضد *")+COUNTIF('67 فريقًا'!$E$4:$E$1999,"* ضد "&amp;$EA24)</f>
        <v>18</v>
      </c>
      <c r="ED24" s="26">
        <f t="shared" si="26"/>
        <v>16</v>
      </c>
    </row>
    <row r="25" spans="1:134" ht="14.5">
      <c r="A25" s="26"/>
      <c r="B25" s="27"/>
      <c r="C25" s="26"/>
      <c r="D25" s="26"/>
      <c r="E25" s="22"/>
      <c r="F25" s="26"/>
      <c r="G25" s="27"/>
      <c r="H25" s="26"/>
      <c r="I25" s="26"/>
      <c r="J25" s="22"/>
      <c r="K25" s="26"/>
      <c r="L25" s="27"/>
      <c r="M25" s="26"/>
      <c r="N25" s="26"/>
      <c r="O25" s="22"/>
      <c r="P25" s="26"/>
      <c r="Q25" s="27"/>
      <c r="R25" s="26"/>
      <c r="S25" s="26"/>
      <c r="T25" s="22"/>
      <c r="U25" s="26"/>
      <c r="V25" s="27"/>
      <c r="W25" s="26"/>
      <c r="X25" s="26"/>
      <c r="Y25" s="22"/>
      <c r="Z25" s="26"/>
      <c r="AA25" s="27"/>
      <c r="AB25" s="26"/>
      <c r="AC25" s="26"/>
      <c r="AD25" s="22"/>
      <c r="AE25" s="26"/>
      <c r="AF25" s="27"/>
      <c r="AG25" s="26"/>
      <c r="AH25" s="26"/>
      <c r="AI25" s="22"/>
      <c r="AJ25" s="26"/>
      <c r="AK25" s="27"/>
      <c r="AL25" s="26"/>
      <c r="AM25" s="26"/>
      <c r="AN25" s="22"/>
      <c r="AO25" s="26"/>
      <c r="AP25" s="27"/>
      <c r="AQ25" s="26"/>
      <c r="AR25" s="26"/>
      <c r="AS25" s="22"/>
      <c r="AT25" s="26"/>
      <c r="AU25" s="27"/>
      <c r="AV25" s="26"/>
      <c r="AW25" s="26"/>
      <c r="AX25" s="22"/>
      <c r="AY25" s="26"/>
      <c r="AZ25" s="27"/>
      <c r="BA25" s="26"/>
      <c r="BB25" s="26"/>
      <c r="BC25" s="22"/>
      <c r="BD25" s="26"/>
      <c r="BE25" s="27"/>
      <c r="BF25" s="26"/>
      <c r="BG25" s="26"/>
      <c r="BH25" s="22"/>
      <c r="BI25" s="26"/>
      <c r="BJ25" s="27"/>
      <c r="BK25" s="26"/>
      <c r="BL25" s="26"/>
      <c r="BM25" s="22"/>
      <c r="BN25" s="26"/>
      <c r="BO25" s="27"/>
      <c r="BP25" s="26"/>
      <c r="BQ25" s="26"/>
      <c r="BR25" s="22"/>
      <c r="BS25" s="26"/>
      <c r="BT25" s="27"/>
      <c r="BU25" s="26"/>
      <c r="BV25" s="26"/>
      <c r="BW25" s="22"/>
      <c r="BX25" s="26"/>
      <c r="BY25" s="27"/>
      <c r="BZ25" s="26"/>
      <c r="CA25" s="26"/>
      <c r="CB25" s="22"/>
      <c r="CC25" s="26">
        <v>23</v>
      </c>
      <c r="CD25" s="27" t="s">
        <v>594</v>
      </c>
      <c r="CE25" s="26">
        <f>COUNTIF('23 فريقًا'!$E$4:$E$1999,$CC25&amp;" ضد *")+COUNTIF('23 فريقًا'!$E$4:$E$1999,"* ضد "&amp;$CC25)</f>
        <v>18</v>
      </c>
      <c r="CF25" s="26">
        <f t="shared" si="16"/>
        <v>10</v>
      </c>
      <c r="CG25" s="22"/>
      <c r="CH25" s="26">
        <v>23</v>
      </c>
      <c r="CI25" s="27" t="s">
        <v>594</v>
      </c>
      <c r="CJ25" s="26">
        <f>COUNTIF('25 فريقًا'!$E$4:$E$1999,$CH25&amp;" ضد *")+COUNTIF('25 فريقًا'!$E$4:$E$1999,"* ضد "&amp;$CH25)</f>
        <v>18</v>
      </c>
      <c r="CK25" s="26">
        <f t="shared" si="17"/>
        <v>11</v>
      </c>
      <c r="CL25" s="22"/>
      <c r="CM25" s="26">
        <v>23</v>
      </c>
      <c r="CN25" s="27" t="s">
        <v>594</v>
      </c>
      <c r="CO25" s="26">
        <f>COUNTIF('26 فريقًا'!$E$4:$E$1999,$CM25&amp;" ضد *")+COUNTIF('26 فريقًا'!$E$4:$E$1999,"* ضد "&amp;$CM25)</f>
        <v>18</v>
      </c>
      <c r="CP25" s="26">
        <f t="shared" si="18"/>
        <v>11</v>
      </c>
      <c r="CQ25" s="22"/>
      <c r="CR25" s="26">
        <v>23</v>
      </c>
      <c r="CS25" s="27" t="s">
        <v>594</v>
      </c>
      <c r="CT25" s="26">
        <f>COUNTIF('27 فريقًا'!$E$4:$E$1999,$CR25&amp;" ضد *")+COUNTIF('27 فريقًا'!$E$4:$E$1999,"* ضد "&amp;$CR25)</f>
        <v>18</v>
      </c>
      <c r="CU25" s="26">
        <f t="shared" si="19"/>
        <v>12</v>
      </c>
      <c r="CV25" s="22"/>
      <c r="CW25" s="26">
        <v>23</v>
      </c>
      <c r="CX25" s="27" t="s">
        <v>594</v>
      </c>
      <c r="CY25" s="26">
        <f>COUNTIF('29 فريقًا'!$E$4:$E$1999,$CW25&amp;" ضد *")+COUNTIF('29 فريقًا'!$E$4:$E$1999,"* ضد "&amp;$CW25)</f>
        <v>18</v>
      </c>
      <c r="CZ25" s="26">
        <f t="shared" si="20"/>
        <v>13</v>
      </c>
      <c r="DA25" s="22"/>
      <c r="DB25" s="26">
        <v>23</v>
      </c>
      <c r="DC25" s="27" t="s">
        <v>594</v>
      </c>
      <c r="DD25" s="26">
        <f>COUNTIF('37 فريقًا'!$E$4:$E$1999,$DB25&amp;" ضد *")+COUNTIF('37 فريقًا'!$E$4:$E$1999,"* ضد "&amp;$DB25)</f>
        <v>18</v>
      </c>
      <c r="DE25" s="26">
        <f t="shared" si="21"/>
        <v>17</v>
      </c>
      <c r="DF25" s="22"/>
      <c r="DG25" s="26">
        <v>23</v>
      </c>
      <c r="DH25" s="27" t="s">
        <v>594</v>
      </c>
      <c r="DI25" s="26">
        <f>COUNTIF('46 فريقًا'!$E$4:$E$1999,$DG25&amp;" ضد *")+COUNTIF('46 فريقًا'!$E$4:$E$1999,"* ضد "&amp;$DG25)</f>
        <v>18</v>
      </c>
      <c r="DJ25" s="26">
        <f t="shared" si="22"/>
        <v>11</v>
      </c>
      <c r="DK25" s="22"/>
      <c r="DL25" s="26">
        <v>23</v>
      </c>
      <c r="DM25" s="27" t="s">
        <v>594</v>
      </c>
      <c r="DN25" s="26">
        <f>COUNTIF('54 فريقًا'!$E$4:$E$1999,$DL25&amp;" ضد *")+COUNTIF('54 فريقًا'!$E$4:$E$1999,"* ضد "&amp;$DL25)</f>
        <v>18</v>
      </c>
      <c r="DO25" s="26">
        <f t="shared" si="23"/>
        <v>13</v>
      </c>
      <c r="DP25" s="22"/>
      <c r="DQ25" s="26">
        <v>23</v>
      </c>
      <c r="DR25" s="27" t="s">
        <v>594</v>
      </c>
      <c r="DS25" s="26">
        <f>COUNTIF('58 فريقًا'!$E$4:$E$1999,$DQ25&amp;" ضد *")+COUNTIF('58 فريقًا'!$E$4:$E$1999,"* ضد "&amp;$DQ25)</f>
        <v>18</v>
      </c>
      <c r="DT25" s="26">
        <f t="shared" si="24"/>
        <v>18</v>
      </c>
      <c r="DU25" s="22"/>
      <c r="DV25" s="26">
        <v>23</v>
      </c>
      <c r="DW25" s="27" t="s">
        <v>594</v>
      </c>
      <c r="DX25" s="26">
        <f>COUNTIF('64 فريقًا'!$E$4:$E$1999,$DV25&amp;" ضد *")+COUNTIF('64 فريقًا'!$E$4:$E$1999,"* ضد "&amp;$DV25)</f>
        <v>18</v>
      </c>
      <c r="DY25" s="26">
        <f t="shared" si="25"/>
        <v>15</v>
      </c>
      <c r="DZ25" s="22"/>
      <c r="EA25" s="26">
        <v>23</v>
      </c>
      <c r="EB25" s="27" t="s">
        <v>594</v>
      </c>
      <c r="EC25" s="26">
        <f>COUNTIF('67 فريقًا'!$E$4:$E$1999,$EA25&amp;" ضد *")+COUNTIF('67 فريقًا'!$E$4:$E$1999,"* ضد "&amp;$EA25)</f>
        <v>18</v>
      </c>
      <c r="ED25" s="26">
        <f t="shared" si="26"/>
        <v>16</v>
      </c>
    </row>
    <row r="26" spans="1:134" ht="14.5">
      <c r="A26" s="26"/>
      <c r="B26" s="27"/>
      <c r="C26" s="26"/>
      <c r="D26" s="26"/>
      <c r="E26" s="22"/>
      <c r="F26" s="26"/>
      <c r="G26" s="27"/>
      <c r="H26" s="26"/>
      <c r="I26" s="26"/>
      <c r="J26" s="22"/>
      <c r="K26" s="26"/>
      <c r="L26" s="27"/>
      <c r="M26" s="26"/>
      <c r="N26" s="26"/>
      <c r="O26" s="22"/>
      <c r="P26" s="26"/>
      <c r="Q26" s="27"/>
      <c r="R26" s="26"/>
      <c r="S26" s="26"/>
      <c r="T26" s="22"/>
      <c r="U26" s="26"/>
      <c r="V26" s="27"/>
      <c r="W26" s="26"/>
      <c r="X26" s="26"/>
      <c r="Y26" s="22"/>
      <c r="Z26" s="26"/>
      <c r="AA26" s="27"/>
      <c r="AB26" s="26"/>
      <c r="AC26" s="26"/>
      <c r="AD26" s="22"/>
      <c r="AE26" s="26"/>
      <c r="AF26" s="27"/>
      <c r="AG26" s="26"/>
      <c r="AH26" s="26"/>
      <c r="AI26" s="22"/>
      <c r="AJ26" s="26"/>
      <c r="AK26" s="27"/>
      <c r="AL26" s="26"/>
      <c r="AM26" s="26"/>
      <c r="AN26" s="22"/>
      <c r="AO26" s="26"/>
      <c r="AP26" s="27"/>
      <c r="AQ26" s="26"/>
      <c r="AR26" s="26"/>
      <c r="AS26" s="22"/>
      <c r="AT26" s="26"/>
      <c r="AU26" s="27"/>
      <c r="AV26" s="26"/>
      <c r="AW26" s="26"/>
      <c r="AX26" s="22"/>
      <c r="AY26" s="26"/>
      <c r="AZ26" s="27"/>
      <c r="BA26" s="26"/>
      <c r="BB26" s="26"/>
      <c r="BC26" s="22"/>
      <c r="BD26" s="26"/>
      <c r="BE26" s="27"/>
      <c r="BF26" s="26"/>
      <c r="BG26" s="26"/>
      <c r="BH26" s="22"/>
      <c r="BI26" s="26"/>
      <c r="BJ26" s="27"/>
      <c r="BK26" s="26"/>
      <c r="BL26" s="26"/>
      <c r="BM26" s="22"/>
      <c r="BN26" s="26"/>
      <c r="BO26" s="27"/>
      <c r="BP26" s="26"/>
      <c r="BQ26" s="26"/>
      <c r="BR26" s="22"/>
      <c r="BS26" s="26"/>
      <c r="BT26" s="27"/>
      <c r="BU26" s="26"/>
      <c r="BV26" s="26"/>
      <c r="BW26" s="22"/>
      <c r="BX26" s="26"/>
      <c r="BY26" s="27"/>
      <c r="BZ26" s="26"/>
      <c r="CA26" s="26"/>
      <c r="CB26" s="22"/>
      <c r="CC26" s="26"/>
      <c r="CD26" s="27"/>
      <c r="CE26" s="26"/>
      <c r="CF26" s="26"/>
      <c r="CG26" s="22"/>
      <c r="CH26" s="26">
        <v>24</v>
      </c>
      <c r="CI26" s="27" t="s">
        <v>594</v>
      </c>
      <c r="CJ26" s="26">
        <f>COUNTIF('25 فريقًا'!$E$4:$E$1999,$CH26&amp;" ضد *")+COUNTIF('25 فريقًا'!$E$4:$E$1999,"* ضد "&amp;$CH26)</f>
        <v>18</v>
      </c>
      <c r="CK26" s="26">
        <f t="shared" si="17"/>
        <v>11</v>
      </c>
      <c r="CL26" s="22"/>
      <c r="CM26" s="26">
        <v>24</v>
      </c>
      <c r="CN26" s="27" t="s">
        <v>594</v>
      </c>
      <c r="CO26" s="26">
        <f>COUNTIF('26 فريقًا'!$E$4:$E$1999,$CM26&amp;" ضد *")+COUNTIF('26 فريقًا'!$E$4:$E$1999,"* ضد "&amp;$CM26)</f>
        <v>18</v>
      </c>
      <c r="CP26" s="26">
        <f t="shared" si="18"/>
        <v>11</v>
      </c>
      <c r="CQ26" s="22"/>
      <c r="CR26" s="26">
        <v>24</v>
      </c>
      <c r="CS26" s="27" t="s">
        <v>594</v>
      </c>
      <c r="CT26" s="26">
        <f>COUNTIF('27 فريقًا'!$E$4:$E$1999,$CR26&amp;" ضد *")+COUNTIF('27 فريقًا'!$E$4:$E$1999,"* ضد "&amp;$CR26)</f>
        <v>18</v>
      </c>
      <c r="CU26" s="26">
        <f t="shared" si="19"/>
        <v>12</v>
      </c>
      <c r="CV26" s="22"/>
      <c r="CW26" s="26">
        <v>24</v>
      </c>
      <c r="CX26" s="27" t="s">
        <v>594</v>
      </c>
      <c r="CY26" s="26">
        <f>COUNTIF('29 فريقًا'!$E$4:$E$1999,$CW26&amp;" ضد *")+COUNTIF('29 فريقًا'!$E$4:$E$1999,"* ضد "&amp;$CW26)</f>
        <v>18</v>
      </c>
      <c r="CZ26" s="26">
        <f t="shared" si="20"/>
        <v>13</v>
      </c>
      <c r="DA26" s="22"/>
      <c r="DB26" s="26">
        <v>24</v>
      </c>
      <c r="DC26" s="27" t="s">
        <v>594</v>
      </c>
      <c r="DD26" s="26">
        <f>COUNTIF('37 فريقًا'!$E$4:$E$1999,$DB26&amp;" ضد *")+COUNTIF('37 فريقًا'!$E$4:$E$1999,"* ضد "&amp;$DB26)</f>
        <v>18</v>
      </c>
      <c r="DE26" s="26">
        <f t="shared" si="21"/>
        <v>17</v>
      </c>
      <c r="DF26" s="22"/>
      <c r="DG26" s="26">
        <v>24</v>
      </c>
      <c r="DH26" s="27" t="s">
        <v>594</v>
      </c>
      <c r="DI26" s="26">
        <f>COUNTIF('46 فريقًا'!$E$4:$E$1999,$DG26&amp;" ضد *")+COUNTIF('46 فريقًا'!$E$4:$E$1999,"* ضد "&amp;$DG26)</f>
        <v>18</v>
      </c>
      <c r="DJ26" s="26">
        <f t="shared" si="22"/>
        <v>11</v>
      </c>
      <c r="DK26" s="22"/>
      <c r="DL26" s="26">
        <v>24</v>
      </c>
      <c r="DM26" s="27" t="s">
        <v>594</v>
      </c>
      <c r="DN26" s="26">
        <f>COUNTIF('54 فريقًا'!$E$4:$E$1999,$DL26&amp;" ضد *")+COUNTIF('54 فريقًا'!$E$4:$E$1999,"* ضد "&amp;$DL26)</f>
        <v>18</v>
      </c>
      <c r="DO26" s="26">
        <f t="shared" si="23"/>
        <v>13</v>
      </c>
      <c r="DP26" s="22"/>
      <c r="DQ26" s="26">
        <v>24</v>
      </c>
      <c r="DR26" s="27" t="s">
        <v>594</v>
      </c>
      <c r="DS26" s="26">
        <f>COUNTIF('58 فريقًا'!$E$4:$E$1999,$DQ26&amp;" ضد *")+COUNTIF('58 فريقًا'!$E$4:$E$1999,"* ضد "&amp;$DQ26)</f>
        <v>18</v>
      </c>
      <c r="DT26" s="26">
        <f t="shared" si="24"/>
        <v>18</v>
      </c>
      <c r="DU26" s="22"/>
      <c r="DV26" s="26">
        <v>24</v>
      </c>
      <c r="DW26" s="27" t="s">
        <v>594</v>
      </c>
      <c r="DX26" s="26">
        <f>COUNTIF('64 فريقًا'!$E$4:$E$1999,$DV26&amp;" ضد *")+COUNTIF('64 فريقًا'!$E$4:$E$1999,"* ضد "&amp;$DV26)</f>
        <v>18</v>
      </c>
      <c r="DY26" s="26">
        <f t="shared" si="25"/>
        <v>15</v>
      </c>
      <c r="DZ26" s="22"/>
      <c r="EA26" s="26">
        <v>24</v>
      </c>
      <c r="EB26" s="27" t="s">
        <v>594</v>
      </c>
      <c r="EC26" s="26">
        <f>COUNTIF('67 فريقًا'!$E$4:$E$1999,$EA26&amp;" ضد *")+COUNTIF('67 فريقًا'!$E$4:$E$1999,"* ضد "&amp;$EA26)</f>
        <v>18</v>
      </c>
      <c r="ED26" s="26">
        <f t="shared" si="26"/>
        <v>16</v>
      </c>
    </row>
    <row r="27" spans="1:134" ht="14.5">
      <c r="A27" s="26"/>
      <c r="B27" s="27"/>
      <c r="C27" s="26"/>
      <c r="D27" s="26"/>
      <c r="E27" s="22"/>
      <c r="F27" s="26"/>
      <c r="G27" s="27"/>
      <c r="H27" s="26"/>
      <c r="I27" s="26"/>
      <c r="J27" s="22"/>
      <c r="K27" s="26"/>
      <c r="L27" s="27"/>
      <c r="M27" s="26"/>
      <c r="N27" s="26"/>
      <c r="O27" s="22"/>
      <c r="P27" s="26"/>
      <c r="Q27" s="27"/>
      <c r="R27" s="26"/>
      <c r="S27" s="26"/>
      <c r="T27" s="22"/>
      <c r="U27" s="26"/>
      <c r="V27" s="27"/>
      <c r="W27" s="26"/>
      <c r="X27" s="26"/>
      <c r="Y27" s="22"/>
      <c r="Z27" s="26"/>
      <c r="AA27" s="27"/>
      <c r="AB27" s="26"/>
      <c r="AC27" s="26"/>
      <c r="AD27" s="22"/>
      <c r="AE27" s="26"/>
      <c r="AF27" s="27"/>
      <c r="AG27" s="26"/>
      <c r="AH27" s="26"/>
      <c r="AI27" s="22"/>
      <c r="AJ27" s="26"/>
      <c r="AK27" s="27"/>
      <c r="AL27" s="26"/>
      <c r="AM27" s="26"/>
      <c r="AN27" s="22"/>
      <c r="AO27" s="26"/>
      <c r="AP27" s="27"/>
      <c r="AQ27" s="26"/>
      <c r="AR27" s="26"/>
      <c r="AS27" s="22"/>
      <c r="AT27" s="26"/>
      <c r="AU27" s="27"/>
      <c r="AV27" s="26"/>
      <c r="AW27" s="26"/>
      <c r="AX27" s="22"/>
      <c r="AY27" s="26"/>
      <c r="AZ27" s="27"/>
      <c r="BA27" s="26"/>
      <c r="BB27" s="26"/>
      <c r="BC27" s="22"/>
      <c r="BD27" s="26"/>
      <c r="BE27" s="27"/>
      <c r="BF27" s="26"/>
      <c r="BG27" s="26"/>
      <c r="BH27" s="22"/>
      <c r="BI27" s="26"/>
      <c r="BJ27" s="27"/>
      <c r="BK27" s="26"/>
      <c r="BL27" s="26"/>
      <c r="BM27" s="22"/>
      <c r="BN27" s="26"/>
      <c r="BO27" s="27"/>
      <c r="BP27" s="26"/>
      <c r="BQ27" s="26"/>
      <c r="BR27" s="22"/>
      <c r="BS27" s="26"/>
      <c r="BT27" s="27"/>
      <c r="BU27" s="26"/>
      <c r="BV27" s="26"/>
      <c r="BW27" s="22"/>
      <c r="BX27" s="26"/>
      <c r="BY27" s="27"/>
      <c r="BZ27" s="26"/>
      <c r="CA27" s="26"/>
      <c r="CB27" s="22"/>
      <c r="CC27" s="26"/>
      <c r="CD27" s="27"/>
      <c r="CE27" s="26"/>
      <c r="CF27" s="26"/>
      <c r="CG27" s="22"/>
      <c r="CH27" s="26">
        <v>25</v>
      </c>
      <c r="CI27" s="27" t="s">
        <v>594</v>
      </c>
      <c r="CJ27" s="26">
        <f>COUNTIF('25 فريقًا'!$E$4:$E$1999,$CH27&amp;" ضد *")+COUNTIF('25 فريقًا'!$E$4:$E$1999,"* ضد "&amp;$CH27)</f>
        <v>18</v>
      </c>
      <c r="CK27" s="26">
        <f t="shared" si="17"/>
        <v>11</v>
      </c>
      <c r="CL27" s="22"/>
      <c r="CM27" s="26">
        <v>25</v>
      </c>
      <c r="CN27" s="27" t="s">
        <v>594</v>
      </c>
      <c r="CO27" s="26">
        <f>COUNTIF('26 فريقًا'!$E$4:$E$1999,$CM27&amp;" ضد *")+COUNTIF('26 فريقًا'!$E$4:$E$1999,"* ضد "&amp;$CM27)</f>
        <v>18</v>
      </c>
      <c r="CP27" s="26">
        <f t="shared" si="18"/>
        <v>11</v>
      </c>
      <c r="CQ27" s="22"/>
      <c r="CR27" s="26">
        <v>25</v>
      </c>
      <c r="CS27" s="27" t="s">
        <v>594</v>
      </c>
      <c r="CT27" s="26">
        <f>COUNTIF('27 فريقًا'!$E$4:$E$1999,$CR27&amp;" ضد *")+COUNTIF('27 فريقًا'!$E$4:$E$1999,"* ضد "&amp;$CR27)</f>
        <v>18</v>
      </c>
      <c r="CU27" s="26">
        <f t="shared" si="19"/>
        <v>12</v>
      </c>
      <c r="CV27" s="22"/>
      <c r="CW27" s="26">
        <v>25</v>
      </c>
      <c r="CX27" s="27" t="s">
        <v>594</v>
      </c>
      <c r="CY27" s="26">
        <f>COUNTIF('29 فريقًا'!$E$4:$E$1999,$CW27&amp;" ضد *")+COUNTIF('29 فريقًا'!$E$4:$E$1999,"* ضد "&amp;$CW27)</f>
        <v>18</v>
      </c>
      <c r="CZ27" s="26">
        <f t="shared" si="20"/>
        <v>13</v>
      </c>
      <c r="DA27" s="22"/>
      <c r="DB27" s="26">
        <v>25</v>
      </c>
      <c r="DC27" s="27" t="s">
        <v>594</v>
      </c>
      <c r="DD27" s="26">
        <f>COUNTIF('37 فريقًا'!$E$4:$E$1999,$DB27&amp;" ضد *")+COUNTIF('37 فريقًا'!$E$4:$E$1999,"* ضد "&amp;$DB27)</f>
        <v>18</v>
      </c>
      <c r="DE27" s="26">
        <f t="shared" si="21"/>
        <v>17</v>
      </c>
      <c r="DF27" s="22"/>
      <c r="DG27" s="26">
        <v>25</v>
      </c>
      <c r="DH27" s="27" t="s">
        <v>595</v>
      </c>
      <c r="DI27" s="26">
        <f>COUNTIF('46 فريقًا'!$E$4:$E$1999,$DG27&amp;" ضد *")+COUNTIF('46 فريقًا'!$E$4:$E$1999,"* ضد "&amp;$DG27)</f>
        <v>18</v>
      </c>
      <c r="DJ27" s="26">
        <f t="shared" si="22"/>
        <v>11</v>
      </c>
      <c r="DK27" s="22"/>
      <c r="DL27" s="26">
        <v>25</v>
      </c>
      <c r="DM27" s="27" t="s">
        <v>594</v>
      </c>
      <c r="DN27" s="26">
        <f>COUNTIF('54 فريقًا'!$E$4:$E$1999,$DL27&amp;" ضد *")+COUNTIF('54 فريقًا'!$E$4:$E$1999,"* ضد "&amp;$DL27)</f>
        <v>18</v>
      </c>
      <c r="DO27" s="26">
        <f t="shared" si="23"/>
        <v>13</v>
      </c>
      <c r="DP27" s="22"/>
      <c r="DQ27" s="26">
        <v>25</v>
      </c>
      <c r="DR27" s="27" t="s">
        <v>594</v>
      </c>
      <c r="DS27" s="26">
        <f>COUNTIF('58 فريقًا'!$E$4:$E$1999,$DQ27&amp;" ضد *")+COUNTIF('58 فريقًا'!$E$4:$E$1999,"* ضد "&amp;$DQ27)</f>
        <v>18</v>
      </c>
      <c r="DT27" s="26">
        <f t="shared" si="24"/>
        <v>18</v>
      </c>
      <c r="DU27" s="22"/>
      <c r="DV27" s="26">
        <v>25</v>
      </c>
      <c r="DW27" s="27" t="s">
        <v>594</v>
      </c>
      <c r="DX27" s="26">
        <f>COUNTIF('64 فريقًا'!$E$4:$E$1999,$DV27&amp;" ضد *")+COUNTIF('64 فريقًا'!$E$4:$E$1999,"* ضد "&amp;$DV27)</f>
        <v>18</v>
      </c>
      <c r="DY27" s="26">
        <f t="shared" si="25"/>
        <v>15</v>
      </c>
      <c r="DZ27" s="22"/>
      <c r="EA27" s="26">
        <v>25</v>
      </c>
      <c r="EB27" s="27" t="s">
        <v>594</v>
      </c>
      <c r="EC27" s="26">
        <f>COUNTIF('67 فريقًا'!$E$4:$E$1999,$EA27&amp;" ضد *")+COUNTIF('67 فريقًا'!$E$4:$E$1999,"* ضد "&amp;$EA27)</f>
        <v>18</v>
      </c>
      <c r="ED27" s="26">
        <f t="shared" si="26"/>
        <v>16</v>
      </c>
    </row>
    <row r="28" spans="1:134" ht="14.5">
      <c r="A28" s="26"/>
      <c r="B28" s="27"/>
      <c r="C28" s="26"/>
      <c r="D28" s="26"/>
      <c r="E28" s="22"/>
      <c r="F28" s="26"/>
      <c r="G28" s="27"/>
      <c r="H28" s="26"/>
      <c r="I28" s="26"/>
      <c r="J28" s="22"/>
      <c r="K28" s="26"/>
      <c r="L28" s="27"/>
      <c r="M28" s="26"/>
      <c r="N28" s="26"/>
      <c r="O28" s="22"/>
      <c r="P28" s="26"/>
      <c r="Q28" s="27"/>
      <c r="R28" s="26"/>
      <c r="S28" s="26"/>
      <c r="T28" s="22"/>
      <c r="U28" s="26"/>
      <c r="V28" s="27"/>
      <c r="W28" s="26"/>
      <c r="X28" s="26"/>
      <c r="Y28" s="22"/>
      <c r="Z28" s="26"/>
      <c r="AA28" s="27"/>
      <c r="AB28" s="26"/>
      <c r="AC28" s="26"/>
      <c r="AD28" s="22"/>
      <c r="AE28" s="26"/>
      <c r="AF28" s="27"/>
      <c r="AG28" s="26"/>
      <c r="AH28" s="26"/>
      <c r="AI28" s="22"/>
      <c r="AJ28" s="26"/>
      <c r="AK28" s="27"/>
      <c r="AL28" s="26"/>
      <c r="AM28" s="26"/>
      <c r="AN28" s="22"/>
      <c r="AO28" s="26"/>
      <c r="AP28" s="27"/>
      <c r="AQ28" s="26"/>
      <c r="AR28" s="26"/>
      <c r="AS28" s="22"/>
      <c r="AT28" s="26"/>
      <c r="AU28" s="27"/>
      <c r="AV28" s="26"/>
      <c r="AW28" s="26"/>
      <c r="AX28" s="22"/>
      <c r="AY28" s="26"/>
      <c r="AZ28" s="27"/>
      <c r="BA28" s="26"/>
      <c r="BB28" s="26"/>
      <c r="BC28" s="22"/>
      <c r="BD28" s="26"/>
      <c r="BE28" s="27"/>
      <c r="BF28" s="26"/>
      <c r="BG28" s="26"/>
      <c r="BH28" s="22"/>
      <c r="BI28" s="26"/>
      <c r="BJ28" s="27"/>
      <c r="BK28" s="26"/>
      <c r="BL28" s="26"/>
      <c r="BM28" s="22"/>
      <c r="BN28" s="26"/>
      <c r="BO28" s="27"/>
      <c r="BP28" s="26"/>
      <c r="BQ28" s="26"/>
      <c r="BR28" s="22"/>
      <c r="BS28" s="26"/>
      <c r="BT28" s="27"/>
      <c r="BU28" s="26"/>
      <c r="BV28" s="26"/>
      <c r="BW28" s="22"/>
      <c r="BX28" s="26"/>
      <c r="BY28" s="27"/>
      <c r="BZ28" s="26"/>
      <c r="CA28" s="26"/>
      <c r="CB28" s="22"/>
      <c r="CC28" s="26"/>
      <c r="CD28" s="27"/>
      <c r="CE28" s="26"/>
      <c r="CF28" s="26"/>
      <c r="CG28" s="22"/>
      <c r="CH28" s="26"/>
      <c r="CI28" s="27"/>
      <c r="CJ28" s="26"/>
      <c r="CK28" s="26"/>
      <c r="CL28" s="22"/>
      <c r="CM28" s="26">
        <v>26</v>
      </c>
      <c r="CN28" s="27" t="s">
        <v>594</v>
      </c>
      <c r="CO28" s="26">
        <f>COUNTIF('26 فريقًا'!$E$4:$E$1999,$CM28&amp;" ضد *")+COUNTIF('26 فريقًا'!$E$4:$E$1999,"* ضد "&amp;$CM28)</f>
        <v>18</v>
      </c>
      <c r="CP28" s="26">
        <f t="shared" si="18"/>
        <v>11</v>
      </c>
      <c r="CQ28" s="22"/>
      <c r="CR28" s="26">
        <v>26</v>
      </c>
      <c r="CS28" s="27" t="s">
        <v>594</v>
      </c>
      <c r="CT28" s="26">
        <f>COUNTIF('27 فريقًا'!$E$4:$E$1999,$CR28&amp;" ضد *")+COUNTIF('27 فريقًا'!$E$4:$E$1999,"* ضد "&amp;$CR28)</f>
        <v>18</v>
      </c>
      <c r="CU28" s="26">
        <f t="shared" si="19"/>
        <v>12</v>
      </c>
      <c r="CV28" s="22"/>
      <c r="CW28" s="26">
        <v>26</v>
      </c>
      <c r="CX28" s="27" t="s">
        <v>594</v>
      </c>
      <c r="CY28" s="26">
        <f>COUNTIF('29 فريقًا'!$E$4:$E$1999,$CW28&amp;" ضد *")+COUNTIF('29 فريقًا'!$E$4:$E$1999,"* ضد "&amp;$CW28)</f>
        <v>18</v>
      </c>
      <c r="CZ28" s="26">
        <f t="shared" si="20"/>
        <v>13</v>
      </c>
      <c r="DA28" s="22"/>
      <c r="DB28" s="26">
        <v>26</v>
      </c>
      <c r="DC28" s="27" t="s">
        <v>594</v>
      </c>
      <c r="DD28" s="26">
        <f>COUNTIF('37 فريقًا'!$E$4:$E$1999,$DB28&amp;" ضد *")+COUNTIF('37 فريقًا'!$E$4:$E$1999,"* ضد "&amp;$DB28)</f>
        <v>18</v>
      </c>
      <c r="DE28" s="26">
        <f t="shared" si="21"/>
        <v>17</v>
      </c>
      <c r="DF28" s="22"/>
      <c r="DG28" s="26">
        <v>26</v>
      </c>
      <c r="DH28" s="27" t="s">
        <v>595</v>
      </c>
      <c r="DI28" s="26">
        <f>COUNTIF('46 فريقًا'!$E$4:$E$1999,$DG28&amp;" ضد *")+COUNTIF('46 فريقًا'!$E$4:$E$1999,"* ضد "&amp;$DG28)</f>
        <v>18</v>
      </c>
      <c r="DJ28" s="26">
        <f t="shared" si="22"/>
        <v>11</v>
      </c>
      <c r="DK28" s="22"/>
      <c r="DL28" s="26">
        <v>26</v>
      </c>
      <c r="DM28" s="27" t="s">
        <v>594</v>
      </c>
      <c r="DN28" s="26">
        <f>COUNTIF('54 فريقًا'!$E$4:$E$1999,$DL28&amp;" ضد *")+COUNTIF('54 فريقًا'!$E$4:$E$1999,"* ضد "&amp;$DL28)</f>
        <v>18</v>
      </c>
      <c r="DO28" s="26">
        <f t="shared" si="23"/>
        <v>13</v>
      </c>
      <c r="DP28" s="22"/>
      <c r="DQ28" s="26">
        <v>26</v>
      </c>
      <c r="DR28" s="27" t="s">
        <v>594</v>
      </c>
      <c r="DS28" s="26">
        <f>COUNTIF('58 فريقًا'!$E$4:$E$1999,$DQ28&amp;" ضد *")+COUNTIF('58 فريقًا'!$E$4:$E$1999,"* ضد "&amp;$DQ28)</f>
        <v>18</v>
      </c>
      <c r="DT28" s="26">
        <f t="shared" si="24"/>
        <v>18</v>
      </c>
      <c r="DU28" s="22"/>
      <c r="DV28" s="26">
        <v>26</v>
      </c>
      <c r="DW28" s="27" t="s">
        <v>594</v>
      </c>
      <c r="DX28" s="26">
        <f>COUNTIF('64 فريقًا'!$E$4:$E$1999,$DV28&amp;" ضد *")+COUNTIF('64 فريقًا'!$E$4:$E$1999,"* ضد "&amp;$DV28)</f>
        <v>18</v>
      </c>
      <c r="DY28" s="26">
        <f t="shared" si="25"/>
        <v>15</v>
      </c>
      <c r="DZ28" s="22"/>
      <c r="EA28" s="26">
        <v>26</v>
      </c>
      <c r="EB28" s="27" t="s">
        <v>594</v>
      </c>
      <c r="EC28" s="26">
        <f>COUNTIF('67 فريقًا'!$E$4:$E$1999,$EA28&amp;" ضد *")+COUNTIF('67 فريقًا'!$E$4:$E$1999,"* ضد "&amp;$EA28)</f>
        <v>18</v>
      </c>
      <c r="ED28" s="26">
        <f t="shared" si="26"/>
        <v>16</v>
      </c>
    </row>
    <row r="29" spans="1:134" ht="14.5">
      <c r="A29" s="26"/>
      <c r="B29" s="27"/>
      <c r="C29" s="26"/>
      <c r="D29" s="26"/>
      <c r="E29" s="22"/>
      <c r="F29" s="26"/>
      <c r="G29" s="27"/>
      <c r="H29" s="26"/>
      <c r="I29" s="26"/>
      <c r="J29" s="22"/>
      <c r="K29" s="26"/>
      <c r="L29" s="27"/>
      <c r="M29" s="26"/>
      <c r="N29" s="26"/>
      <c r="O29" s="22"/>
      <c r="P29" s="26"/>
      <c r="Q29" s="27"/>
      <c r="R29" s="26"/>
      <c r="S29" s="26"/>
      <c r="T29" s="22"/>
      <c r="U29" s="26"/>
      <c r="V29" s="27"/>
      <c r="W29" s="26"/>
      <c r="X29" s="26"/>
      <c r="Y29" s="22"/>
      <c r="Z29" s="26"/>
      <c r="AA29" s="27"/>
      <c r="AB29" s="26"/>
      <c r="AC29" s="26"/>
      <c r="AD29" s="22"/>
      <c r="AE29" s="26"/>
      <c r="AF29" s="27"/>
      <c r="AG29" s="26"/>
      <c r="AH29" s="26"/>
      <c r="AI29" s="22"/>
      <c r="AJ29" s="26"/>
      <c r="AK29" s="27"/>
      <c r="AL29" s="26"/>
      <c r="AM29" s="26"/>
      <c r="AN29" s="22"/>
      <c r="AO29" s="26"/>
      <c r="AP29" s="27"/>
      <c r="AQ29" s="26"/>
      <c r="AR29" s="26"/>
      <c r="AS29" s="22"/>
      <c r="AT29" s="26"/>
      <c r="AU29" s="27"/>
      <c r="AV29" s="26"/>
      <c r="AW29" s="26"/>
      <c r="AX29" s="22"/>
      <c r="AY29" s="26"/>
      <c r="AZ29" s="27"/>
      <c r="BA29" s="26"/>
      <c r="BB29" s="26"/>
      <c r="BC29" s="22"/>
      <c r="BD29" s="26"/>
      <c r="BE29" s="27"/>
      <c r="BF29" s="26"/>
      <c r="BG29" s="26"/>
      <c r="BH29" s="22"/>
      <c r="BI29" s="26"/>
      <c r="BJ29" s="27"/>
      <c r="BK29" s="26"/>
      <c r="BL29" s="26"/>
      <c r="BM29" s="22"/>
      <c r="BN29" s="26"/>
      <c r="BO29" s="27"/>
      <c r="BP29" s="26"/>
      <c r="BQ29" s="26"/>
      <c r="BR29" s="22"/>
      <c r="BS29" s="26"/>
      <c r="BT29" s="27"/>
      <c r="BU29" s="26"/>
      <c r="BV29" s="26"/>
      <c r="BW29" s="22"/>
      <c r="BX29" s="26"/>
      <c r="BY29" s="27"/>
      <c r="BZ29" s="26"/>
      <c r="CA29" s="26"/>
      <c r="CB29" s="22"/>
      <c r="CC29" s="26"/>
      <c r="CD29" s="27"/>
      <c r="CE29" s="26"/>
      <c r="CF29" s="26"/>
      <c r="CG29" s="22"/>
      <c r="CH29" s="26"/>
      <c r="CI29" s="27"/>
      <c r="CJ29" s="26"/>
      <c r="CK29" s="26"/>
      <c r="CL29" s="22"/>
      <c r="CM29" s="26"/>
      <c r="CN29" s="27"/>
      <c r="CO29" s="26"/>
      <c r="CP29" s="26"/>
      <c r="CQ29" s="22"/>
      <c r="CR29" s="26">
        <v>27</v>
      </c>
      <c r="CS29" s="27" t="s">
        <v>594</v>
      </c>
      <c r="CT29" s="26">
        <f>COUNTIF('27 فريقًا'!$E$4:$E$1999,$CR29&amp;" ضد *")+COUNTIF('27 فريقًا'!$E$4:$E$1999,"* ضد "&amp;$CR29)</f>
        <v>18</v>
      </c>
      <c r="CU29" s="26">
        <f t="shared" si="19"/>
        <v>12</v>
      </c>
      <c r="CV29" s="22"/>
      <c r="CW29" s="26">
        <v>27</v>
      </c>
      <c r="CX29" s="27" t="s">
        <v>594</v>
      </c>
      <c r="CY29" s="26">
        <f>COUNTIF('29 فريقًا'!$E$4:$E$1999,$CW29&amp;" ضد *")+COUNTIF('29 فريقًا'!$E$4:$E$1999,"* ضد "&amp;$CW29)</f>
        <v>18</v>
      </c>
      <c r="CZ29" s="26">
        <f t="shared" si="20"/>
        <v>13</v>
      </c>
      <c r="DA29" s="22"/>
      <c r="DB29" s="26">
        <v>27</v>
      </c>
      <c r="DC29" s="27" t="s">
        <v>594</v>
      </c>
      <c r="DD29" s="26">
        <f>COUNTIF('37 فريقًا'!$E$4:$E$1999,$DB29&amp;" ضد *")+COUNTIF('37 فريقًا'!$E$4:$E$1999,"* ضد "&amp;$DB29)</f>
        <v>18</v>
      </c>
      <c r="DE29" s="26">
        <f t="shared" si="21"/>
        <v>17</v>
      </c>
      <c r="DF29" s="22"/>
      <c r="DG29" s="26">
        <v>27</v>
      </c>
      <c r="DH29" s="27" t="s">
        <v>595</v>
      </c>
      <c r="DI29" s="26">
        <f>COUNTIF('46 فريقًا'!$E$4:$E$1999,$DG29&amp;" ضد *")+COUNTIF('46 فريقًا'!$E$4:$E$1999,"* ضد "&amp;$DG29)</f>
        <v>18</v>
      </c>
      <c r="DJ29" s="26">
        <f t="shared" si="22"/>
        <v>11</v>
      </c>
      <c r="DK29" s="22"/>
      <c r="DL29" s="26">
        <v>27</v>
      </c>
      <c r="DM29" s="27" t="s">
        <v>594</v>
      </c>
      <c r="DN29" s="26">
        <f>COUNTIF('54 فريقًا'!$E$4:$E$1999,$DL29&amp;" ضد *")+COUNTIF('54 فريقًا'!$E$4:$E$1999,"* ضد "&amp;$DL29)</f>
        <v>18</v>
      </c>
      <c r="DO29" s="26">
        <f t="shared" si="23"/>
        <v>13</v>
      </c>
      <c r="DP29" s="22"/>
      <c r="DQ29" s="26">
        <v>27</v>
      </c>
      <c r="DR29" s="27" t="s">
        <v>594</v>
      </c>
      <c r="DS29" s="26">
        <f>COUNTIF('58 فريقًا'!$E$4:$E$1999,$DQ29&amp;" ضد *")+COUNTIF('58 فريقًا'!$E$4:$E$1999,"* ضد "&amp;$DQ29)</f>
        <v>18</v>
      </c>
      <c r="DT29" s="26">
        <f t="shared" si="24"/>
        <v>18</v>
      </c>
      <c r="DU29" s="22"/>
      <c r="DV29" s="26">
        <v>27</v>
      </c>
      <c r="DW29" s="27" t="s">
        <v>594</v>
      </c>
      <c r="DX29" s="26">
        <f>COUNTIF('64 فريقًا'!$E$4:$E$1999,$DV29&amp;" ضد *")+COUNTIF('64 فريقًا'!$E$4:$E$1999,"* ضد "&amp;$DV29)</f>
        <v>18</v>
      </c>
      <c r="DY29" s="26">
        <f t="shared" si="25"/>
        <v>15</v>
      </c>
      <c r="DZ29" s="22"/>
      <c r="EA29" s="26">
        <v>27</v>
      </c>
      <c r="EB29" s="27" t="s">
        <v>594</v>
      </c>
      <c r="EC29" s="26">
        <f>COUNTIF('67 فريقًا'!$E$4:$E$1999,$EA29&amp;" ضد *")+COUNTIF('67 فريقًا'!$E$4:$E$1999,"* ضد "&amp;$EA29)</f>
        <v>18</v>
      </c>
      <c r="ED29" s="26">
        <f t="shared" si="26"/>
        <v>16</v>
      </c>
    </row>
    <row r="30" spans="1:134" ht="14.5">
      <c r="A30" s="26"/>
      <c r="B30" s="27"/>
      <c r="C30" s="26"/>
      <c r="D30" s="26"/>
      <c r="E30" s="22"/>
      <c r="F30" s="26"/>
      <c r="G30" s="27"/>
      <c r="H30" s="26"/>
      <c r="I30" s="26"/>
      <c r="J30" s="22"/>
      <c r="K30" s="26"/>
      <c r="L30" s="27"/>
      <c r="M30" s="26"/>
      <c r="N30" s="26"/>
      <c r="O30" s="22"/>
      <c r="P30" s="26"/>
      <c r="Q30" s="27"/>
      <c r="R30" s="26"/>
      <c r="S30" s="26"/>
      <c r="T30" s="22"/>
      <c r="U30" s="26"/>
      <c r="V30" s="27"/>
      <c r="W30" s="26"/>
      <c r="X30" s="26"/>
      <c r="Y30" s="22"/>
      <c r="Z30" s="26"/>
      <c r="AA30" s="27"/>
      <c r="AB30" s="26"/>
      <c r="AC30" s="26"/>
      <c r="AD30" s="22"/>
      <c r="AE30" s="26"/>
      <c r="AF30" s="27"/>
      <c r="AG30" s="26"/>
      <c r="AH30" s="26"/>
      <c r="AI30" s="22"/>
      <c r="AJ30" s="26"/>
      <c r="AK30" s="27"/>
      <c r="AL30" s="26"/>
      <c r="AM30" s="26"/>
      <c r="AN30" s="22"/>
      <c r="AO30" s="26"/>
      <c r="AP30" s="27"/>
      <c r="AQ30" s="26"/>
      <c r="AR30" s="26"/>
      <c r="AS30" s="22"/>
      <c r="AT30" s="26"/>
      <c r="AU30" s="27"/>
      <c r="AV30" s="26"/>
      <c r="AW30" s="26"/>
      <c r="AX30" s="22"/>
      <c r="AY30" s="26"/>
      <c r="AZ30" s="27"/>
      <c r="BA30" s="26"/>
      <c r="BB30" s="26"/>
      <c r="BC30" s="22"/>
      <c r="BD30" s="26"/>
      <c r="BE30" s="27"/>
      <c r="BF30" s="26"/>
      <c r="BG30" s="26"/>
      <c r="BH30" s="22"/>
      <c r="BI30" s="26"/>
      <c r="BJ30" s="27"/>
      <c r="BK30" s="26"/>
      <c r="BL30" s="26"/>
      <c r="BM30" s="22"/>
      <c r="BN30" s="26"/>
      <c r="BO30" s="27"/>
      <c r="BP30" s="26"/>
      <c r="BQ30" s="26"/>
      <c r="BR30" s="22"/>
      <c r="BS30" s="26"/>
      <c r="BT30" s="27"/>
      <c r="BU30" s="26"/>
      <c r="BV30" s="26"/>
      <c r="BW30" s="22"/>
      <c r="BX30" s="26"/>
      <c r="BY30" s="27"/>
      <c r="BZ30" s="26"/>
      <c r="CA30" s="26"/>
      <c r="CB30" s="22"/>
      <c r="CC30" s="26"/>
      <c r="CD30" s="27"/>
      <c r="CE30" s="26"/>
      <c r="CF30" s="26"/>
      <c r="CG30" s="22"/>
      <c r="CH30" s="26"/>
      <c r="CI30" s="27"/>
      <c r="CJ30" s="26"/>
      <c r="CK30" s="26"/>
      <c r="CL30" s="22"/>
      <c r="CM30" s="26"/>
      <c r="CN30" s="27"/>
      <c r="CO30" s="26"/>
      <c r="CP30" s="26"/>
      <c r="CQ30" s="22"/>
      <c r="CR30" s="26"/>
      <c r="CS30" s="27"/>
      <c r="CT30" s="26"/>
      <c r="CU30" s="26"/>
      <c r="CV30" s="22"/>
      <c r="CW30" s="26">
        <v>28</v>
      </c>
      <c r="CX30" s="27" t="s">
        <v>594</v>
      </c>
      <c r="CY30" s="26">
        <f>COUNTIF('29 فريقًا'!$E$4:$E$1999,$CW30&amp;" ضد *")+COUNTIF('29 فريقًا'!$E$4:$E$1999,"* ضد "&amp;$CW30)</f>
        <v>18</v>
      </c>
      <c r="CZ30" s="26">
        <f t="shared" si="20"/>
        <v>13</v>
      </c>
      <c r="DA30" s="22"/>
      <c r="DB30" s="26">
        <v>28</v>
      </c>
      <c r="DC30" s="27" t="s">
        <v>594</v>
      </c>
      <c r="DD30" s="26">
        <f>COUNTIF('37 فريقًا'!$E$4:$E$1999,$DB30&amp;" ضد *")+COUNTIF('37 فريقًا'!$E$4:$E$1999,"* ضد "&amp;$DB30)</f>
        <v>18</v>
      </c>
      <c r="DE30" s="26">
        <f t="shared" si="21"/>
        <v>17</v>
      </c>
      <c r="DF30" s="22"/>
      <c r="DG30" s="26">
        <v>28</v>
      </c>
      <c r="DH30" s="27" t="s">
        <v>595</v>
      </c>
      <c r="DI30" s="26">
        <f>COUNTIF('46 فريقًا'!$E$4:$E$1999,$DG30&amp;" ضد *")+COUNTIF('46 فريقًا'!$E$4:$E$1999,"* ضد "&amp;$DG30)</f>
        <v>18</v>
      </c>
      <c r="DJ30" s="26">
        <f t="shared" si="22"/>
        <v>11</v>
      </c>
      <c r="DK30" s="22"/>
      <c r="DL30" s="26">
        <v>28</v>
      </c>
      <c r="DM30" s="27" t="s">
        <v>594</v>
      </c>
      <c r="DN30" s="26">
        <f>COUNTIF('54 فريقًا'!$E$4:$E$1999,$DL30&amp;" ضد *")+COUNTIF('54 فريقًا'!$E$4:$E$1999,"* ضد "&amp;$DL30)</f>
        <v>18</v>
      </c>
      <c r="DO30" s="26">
        <f t="shared" si="23"/>
        <v>13</v>
      </c>
      <c r="DP30" s="22"/>
      <c r="DQ30" s="26">
        <v>28</v>
      </c>
      <c r="DR30" s="27" t="s">
        <v>594</v>
      </c>
      <c r="DS30" s="26">
        <f>COUNTIF('58 فريقًا'!$E$4:$E$1999,$DQ30&amp;" ضد *")+COUNTIF('58 فريقًا'!$E$4:$E$1999,"* ضد "&amp;$DQ30)</f>
        <v>18</v>
      </c>
      <c r="DT30" s="26">
        <f t="shared" si="24"/>
        <v>18</v>
      </c>
      <c r="DU30" s="22"/>
      <c r="DV30" s="26">
        <v>28</v>
      </c>
      <c r="DW30" s="27" t="s">
        <v>594</v>
      </c>
      <c r="DX30" s="26">
        <f>COUNTIF('64 فريقًا'!$E$4:$E$1999,$DV30&amp;" ضد *")+COUNTIF('64 فريقًا'!$E$4:$E$1999,"* ضد "&amp;$DV30)</f>
        <v>18</v>
      </c>
      <c r="DY30" s="26">
        <f t="shared" si="25"/>
        <v>15</v>
      </c>
      <c r="DZ30" s="22"/>
      <c r="EA30" s="26">
        <v>28</v>
      </c>
      <c r="EB30" s="27" t="s">
        <v>594</v>
      </c>
      <c r="EC30" s="26">
        <f>COUNTIF('67 فريقًا'!$E$4:$E$1999,$EA30&amp;" ضد *")+COUNTIF('67 فريقًا'!$E$4:$E$1999,"* ضد "&amp;$EA30)</f>
        <v>18</v>
      </c>
      <c r="ED30" s="26">
        <f t="shared" si="26"/>
        <v>16</v>
      </c>
    </row>
    <row r="31" spans="1:134" ht="14.5">
      <c r="A31" s="26"/>
      <c r="B31" s="27"/>
      <c r="C31" s="26"/>
      <c r="D31" s="26"/>
      <c r="E31" s="22"/>
      <c r="F31" s="26"/>
      <c r="G31" s="27"/>
      <c r="H31" s="26"/>
      <c r="I31" s="26"/>
      <c r="J31" s="22"/>
      <c r="K31" s="26"/>
      <c r="L31" s="27"/>
      <c r="M31" s="26"/>
      <c r="N31" s="26"/>
      <c r="O31" s="22"/>
      <c r="P31" s="26"/>
      <c r="Q31" s="27"/>
      <c r="R31" s="26"/>
      <c r="S31" s="26"/>
      <c r="T31" s="22"/>
      <c r="U31" s="26"/>
      <c r="V31" s="27"/>
      <c r="W31" s="26"/>
      <c r="X31" s="26"/>
      <c r="Y31" s="22"/>
      <c r="Z31" s="26"/>
      <c r="AA31" s="27"/>
      <c r="AB31" s="26"/>
      <c r="AC31" s="26"/>
      <c r="AD31" s="22"/>
      <c r="AE31" s="26"/>
      <c r="AF31" s="27"/>
      <c r="AG31" s="26"/>
      <c r="AH31" s="26"/>
      <c r="AI31" s="22"/>
      <c r="AJ31" s="26"/>
      <c r="AK31" s="27"/>
      <c r="AL31" s="26"/>
      <c r="AM31" s="26"/>
      <c r="AN31" s="22"/>
      <c r="AO31" s="26"/>
      <c r="AP31" s="27"/>
      <c r="AQ31" s="26"/>
      <c r="AR31" s="26"/>
      <c r="AS31" s="22"/>
      <c r="AT31" s="26"/>
      <c r="AU31" s="27"/>
      <c r="AV31" s="26"/>
      <c r="AW31" s="26"/>
      <c r="AX31" s="22"/>
      <c r="AY31" s="26"/>
      <c r="AZ31" s="27"/>
      <c r="BA31" s="26"/>
      <c r="BB31" s="26"/>
      <c r="BC31" s="22"/>
      <c r="BD31" s="26"/>
      <c r="BE31" s="27"/>
      <c r="BF31" s="26"/>
      <c r="BG31" s="26"/>
      <c r="BH31" s="22"/>
      <c r="BI31" s="26"/>
      <c r="BJ31" s="27"/>
      <c r="BK31" s="26"/>
      <c r="BL31" s="26"/>
      <c r="BM31" s="22"/>
      <c r="BN31" s="26"/>
      <c r="BO31" s="27"/>
      <c r="BP31" s="26"/>
      <c r="BQ31" s="26"/>
      <c r="BR31" s="22"/>
      <c r="BS31" s="26"/>
      <c r="BT31" s="27"/>
      <c r="BU31" s="26"/>
      <c r="BV31" s="26"/>
      <c r="BW31" s="22"/>
      <c r="BX31" s="26"/>
      <c r="BY31" s="27"/>
      <c r="BZ31" s="26"/>
      <c r="CA31" s="26"/>
      <c r="CB31" s="22"/>
      <c r="CC31" s="26"/>
      <c r="CD31" s="27"/>
      <c r="CE31" s="26"/>
      <c r="CF31" s="26"/>
      <c r="CG31" s="22"/>
      <c r="CH31" s="26"/>
      <c r="CI31" s="27"/>
      <c r="CJ31" s="26"/>
      <c r="CK31" s="26"/>
      <c r="CL31" s="22"/>
      <c r="CM31" s="26"/>
      <c r="CN31" s="27"/>
      <c r="CO31" s="26"/>
      <c r="CP31" s="26"/>
      <c r="CQ31" s="22"/>
      <c r="CR31" s="26"/>
      <c r="CS31" s="27"/>
      <c r="CT31" s="26"/>
      <c r="CU31" s="26"/>
      <c r="CV31" s="22"/>
      <c r="CW31" s="26">
        <v>29</v>
      </c>
      <c r="CX31" s="27" t="s">
        <v>594</v>
      </c>
      <c r="CY31" s="26">
        <f>COUNTIF('29 فريقًا'!$E$4:$E$1999,$CW31&amp;" ضد *")+COUNTIF('29 فريقًا'!$E$4:$E$1999,"* ضد "&amp;$CW31)</f>
        <v>18</v>
      </c>
      <c r="CZ31" s="26">
        <f t="shared" si="20"/>
        <v>13</v>
      </c>
      <c r="DA31" s="22"/>
      <c r="DB31" s="26">
        <v>29</v>
      </c>
      <c r="DC31" s="27" t="s">
        <v>594</v>
      </c>
      <c r="DD31" s="26">
        <f>COUNTIF('37 فريقًا'!$E$4:$E$1999,$DB31&amp;" ضد *")+COUNTIF('37 فريقًا'!$E$4:$E$1999,"* ضد "&amp;$DB31)</f>
        <v>18</v>
      </c>
      <c r="DE31" s="26">
        <f t="shared" si="21"/>
        <v>17</v>
      </c>
      <c r="DF31" s="22"/>
      <c r="DG31" s="26">
        <v>29</v>
      </c>
      <c r="DH31" s="27" t="s">
        <v>595</v>
      </c>
      <c r="DI31" s="26">
        <f>COUNTIF('46 فريقًا'!$E$4:$E$1999,$DG31&amp;" ضد *")+COUNTIF('46 فريقًا'!$E$4:$E$1999,"* ضد "&amp;$DG31)</f>
        <v>18</v>
      </c>
      <c r="DJ31" s="26">
        <f t="shared" si="22"/>
        <v>11</v>
      </c>
      <c r="DK31" s="22"/>
      <c r="DL31" s="26">
        <v>29</v>
      </c>
      <c r="DM31" s="27" t="s">
        <v>595</v>
      </c>
      <c r="DN31" s="26">
        <f>COUNTIF('54 فريقًا'!$E$4:$E$1999,$DL31&amp;" ضد *")+COUNTIF('54 فريقًا'!$E$4:$E$1999,"* ضد "&amp;$DL31)</f>
        <v>18</v>
      </c>
      <c r="DO31" s="26">
        <f t="shared" si="23"/>
        <v>13</v>
      </c>
      <c r="DP31" s="22"/>
      <c r="DQ31" s="26">
        <v>29</v>
      </c>
      <c r="DR31" s="27" t="s">
        <v>594</v>
      </c>
      <c r="DS31" s="26">
        <f>COUNTIF('58 فريقًا'!$E$4:$E$1999,$DQ31&amp;" ضد *")+COUNTIF('58 فريقًا'!$E$4:$E$1999,"* ضد "&amp;$DQ31)</f>
        <v>18</v>
      </c>
      <c r="DT31" s="26">
        <f t="shared" si="24"/>
        <v>18</v>
      </c>
      <c r="DU31" s="22"/>
      <c r="DV31" s="26">
        <v>29</v>
      </c>
      <c r="DW31" s="27" t="s">
        <v>594</v>
      </c>
      <c r="DX31" s="26">
        <f>COUNTIF('64 فريقًا'!$E$4:$E$1999,$DV31&amp;" ضد *")+COUNTIF('64 فريقًا'!$E$4:$E$1999,"* ضد "&amp;$DV31)</f>
        <v>18</v>
      </c>
      <c r="DY31" s="26">
        <f t="shared" si="25"/>
        <v>15</v>
      </c>
      <c r="DZ31" s="22"/>
      <c r="EA31" s="26">
        <v>29</v>
      </c>
      <c r="EB31" s="27" t="s">
        <v>594</v>
      </c>
      <c r="EC31" s="26">
        <f>COUNTIF('67 فريقًا'!$E$4:$E$1999,$EA31&amp;" ضد *")+COUNTIF('67 فريقًا'!$E$4:$E$1999,"* ضد "&amp;$EA31)</f>
        <v>18</v>
      </c>
      <c r="ED31" s="26">
        <f t="shared" si="26"/>
        <v>16</v>
      </c>
    </row>
    <row r="32" spans="1:134" ht="14.5">
      <c r="A32" s="26"/>
      <c r="B32" s="27"/>
      <c r="C32" s="26"/>
      <c r="D32" s="26"/>
      <c r="E32" s="22"/>
      <c r="F32" s="26"/>
      <c r="G32" s="27"/>
      <c r="H32" s="26"/>
      <c r="I32" s="26"/>
      <c r="J32" s="22"/>
      <c r="K32" s="26"/>
      <c r="L32" s="27"/>
      <c r="M32" s="26"/>
      <c r="N32" s="26"/>
      <c r="O32" s="22"/>
      <c r="P32" s="26"/>
      <c r="Q32" s="27"/>
      <c r="R32" s="26"/>
      <c r="S32" s="26"/>
      <c r="T32" s="22"/>
      <c r="U32" s="26"/>
      <c r="V32" s="27"/>
      <c r="W32" s="26"/>
      <c r="X32" s="26"/>
      <c r="Y32" s="22"/>
      <c r="Z32" s="26"/>
      <c r="AA32" s="27"/>
      <c r="AB32" s="26"/>
      <c r="AC32" s="26"/>
      <c r="AD32" s="22"/>
      <c r="AE32" s="26"/>
      <c r="AF32" s="27"/>
      <c r="AG32" s="26"/>
      <c r="AH32" s="26"/>
      <c r="AI32" s="22"/>
      <c r="AJ32" s="26"/>
      <c r="AK32" s="27"/>
      <c r="AL32" s="26"/>
      <c r="AM32" s="26"/>
      <c r="AN32" s="22"/>
      <c r="AO32" s="26"/>
      <c r="AP32" s="27"/>
      <c r="AQ32" s="26"/>
      <c r="AR32" s="26"/>
      <c r="AS32" s="22"/>
      <c r="AT32" s="26"/>
      <c r="AU32" s="27"/>
      <c r="AV32" s="26"/>
      <c r="AW32" s="26"/>
      <c r="AX32" s="22"/>
      <c r="AY32" s="26"/>
      <c r="AZ32" s="27"/>
      <c r="BA32" s="26"/>
      <c r="BB32" s="26"/>
      <c r="BC32" s="22"/>
      <c r="BD32" s="26"/>
      <c r="BE32" s="27"/>
      <c r="BF32" s="26"/>
      <c r="BG32" s="26"/>
      <c r="BH32" s="22"/>
      <c r="BI32" s="26"/>
      <c r="BJ32" s="27"/>
      <c r="BK32" s="26"/>
      <c r="BL32" s="26"/>
      <c r="BM32" s="22"/>
      <c r="BN32" s="26"/>
      <c r="BO32" s="27"/>
      <c r="BP32" s="26"/>
      <c r="BQ32" s="26"/>
      <c r="BR32" s="22"/>
      <c r="BS32" s="26"/>
      <c r="BT32" s="27"/>
      <c r="BU32" s="26"/>
      <c r="BV32" s="26"/>
      <c r="BW32" s="22"/>
      <c r="BX32" s="26"/>
      <c r="BY32" s="27"/>
      <c r="BZ32" s="26"/>
      <c r="CA32" s="26"/>
      <c r="CB32" s="22"/>
      <c r="CC32" s="26"/>
      <c r="CD32" s="27"/>
      <c r="CE32" s="26"/>
      <c r="CF32" s="26"/>
      <c r="CG32" s="22"/>
      <c r="CH32" s="26"/>
      <c r="CI32" s="27"/>
      <c r="CJ32" s="26"/>
      <c r="CK32" s="26"/>
      <c r="CL32" s="22"/>
      <c r="CM32" s="26"/>
      <c r="CN32" s="27"/>
      <c r="CO32" s="26"/>
      <c r="CP32" s="26"/>
      <c r="CQ32" s="22"/>
      <c r="CR32" s="26"/>
      <c r="CS32" s="27"/>
      <c r="CT32" s="26"/>
      <c r="CU32" s="26"/>
      <c r="CV32" s="22"/>
      <c r="CW32" s="26"/>
      <c r="CX32" s="27"/>
      <c r="CY32" s="26"/>
      <c r="CZ32" s="26"/>
      <c r="DA32" s="22"/>
      <c r="DB32" s="26">
        <v>30</v>
      </c>
      <c r="DC32" s="27" t="s">
        <v>594</v>
      </c>
      <c r="DD32" s="26">
        <f>COUNTIF('37 فريقًا'!$E$4:$E$1999,$DB32&amp;" ضد *")+COUNTIF('37 فريقًا'!$E$4:$E$1999,"* ضد "&amp;$DB32)</f>
        <v>18</v>
      </c>
      <c r="DE32" s="26">
        <f t="shared" si="21"/>
        <v>17</v>
      </c>
      <c r="DF32" s="22"/>
      <c r="DG32" s="26">
        <v>30</v>
      </c>
      <c r="DH32" s="27" t="s">
        <v>595</v>
      </c>
      <c r="DI32" s="26">
        <f>COUNTIF('46 فريقًا'!$E$4:$E$1999,$DG32&amp;" ضد *")+COUNTIF('46 فريقًا'!$E$4:$E$1999,"* ضد "&amp;$DG32)</f>
        <v>18</v>
      </c>
      <c r="DJ32" s="26">
        <f t="shared" si="22"/>
        <v>11</v>
      </c>
      <c r="DK32" s="22"/>
      <c r="DL32" s="26">
        <v>30</v>
      </c>
      <c r="DM32" s="27" t="s">
        <v>595</v>
      </c>
      <c r="DN32" s="26">
        <f>COUNTIF('54 فريقًا'!$E$4:$E$1999,$DL32&amp;" ضد *")+COUNTIF('54 فريقًا'!$E$4:$E$1999,"* ضد "&amp;$DL32)</f>
        <v>18</v>
      </c>
      <c r="DO32" s="26">
        <f t="shared" si="23"/>
        <v>13</v>
      </c>
      <c r="DP32" s="22"/>
      <c r="DQ32" s="26">
        <v>30</v>
      </c>
      <c r="DR32" s="27" t="s">
        <v>594</v>
      </c>
      <c r="DS32" s="26">
        <f>COUNTIF('58 فريقًا'!$E$4:$E$1999,$DQ32&amp;" ضد *")+COUNTIF('58 فريقًا'!$E$4:$E$1999,"* ضد "&amp;$DQ32)</f>
        <v>18</v>
      </c>
      <c r="DT32" s="26">
        <f t="shared" si="24"/>
        <v>18</v>
      </c>
      <c r="DU32" s="22"/>
      <c r="DV32" s="26">
        <v>30</v>
      </c>
      <c r="DW32" s="27" t="s">
        <v>594</v>
      </c>
      <c r="DX32" s="26">
        <f>COUNTIF('64 فريقًا'!$E$4:$E$1999,$DV32&amp;" ضد *")+COUNTIF('64 فريقًا'!$E$4:$E$1999,"* ضد "&amp;$DV32)</f>
        <v>18</v>
      </c>
      <c r="DY32" s="26">
        <f t="shared" si="25"/>
        <v>15</v>
      </c>
      <c r="DZ32" s="22"/>
      <c r="EA32" s="26">
        <v>30</v>
      </c>
      <c r="EB32" s="27" t="s">
        <v>594</v>
      </c>
      <c r="EC32" s="26">
        <f>COUNTIF('67 فريقًا'!$E$4:$E$1999,$EA32&amp;" ضد *")+COUNTIF('67 فريقًا'!$E$4:$E$1999,"* ضد "&amp;$EA32)</f>
        <v>18</v>
      </c>
      <c r="ED32" s="26">
        <f t="shared" si="26"/>
        <v>16</v>
      </c>
    </row>
    <row r="33" spans="1:134" ht="14.5">
      <c r="A33" s="26"/>
      <c r="B33" s="27"/>
      <c r="C33" s="26"/>
      <c r="D33" s="26"/>
      <c r="E33" s="22"/>
      <c r="F33" s="26"/>
      <c r="G33" s="27"/>
      <c r="H33" s="26"/>
      <c r="I33" s="26"/>
      <c r="J33" s="22"/>
      <c r="K33" s="26"/>
      <c r="L33" s="27"/>
      <c r="M33" s="26"/>
      <c r="N33" s="26"/>
      <c r="O33" s="22"/>
      <c r="P33" s="26"/>
      <c r="Q33" s="27"/>
      <c r="R33" s="26"/>
      <c r="S33" s="26"/>
      <c r="T33" s="22"/>
      <c r="U33" s="26"/>
      <c r="V33" s="27"/>
      <c r="W33" s="26"/>
      <c r="X33" s="26"/>
      <c r="Y33" s="22"/>
      <c r="Z33" s="26"/>
      <c r="AA33" s="27"/>
      <c r="AB33" s="26"/>
      <c r="AC33" s="26"/>
      <c r="AD33" s="22"/>
      <c r="AE33" s="26"/>
      <c r="AF33" s="27"/>
      <c r="AG33" s="26"/>
      <c r="AH33" s="26"/>
      <c r="AI33" s="22"/>
      <c r="AJ33" s="26"/>
      <c r="AK33" s="27"/>
      <c r="AL33" s="26"/>
      <c r="AM33" s="26"/>
      <c r="AN33" s="22"/>
      <c r="AO33" s="26"/>
      <c r="AP33" s="27"/>
      <c r="AQ33" s="26"/>
      <c r="AR33" s="26"/>
      <c r="AS33" s="22"/>
      <c r="AT33" s="26"/>
      <c r="AU33" s="27"/>
      <c r="AV33" s="26"/>
      <c r="AW33" s="26"/>
      <c r="AX33" s="22"/>
      <c r="AY33" s="26"/>
      <c r="AZ33" s="27"/>
      <c r="BA33" s="26"/>
      <c r="BB33" s="26"/>
      <c r="BC33" s="22"/>
      <c r="BD33" s="26"/>
      <c r="BE33" s="27"/>
      <c r="BF33" s="26"/>
      <c r="BG33" s="26"/>
      <c r="BH33" s="22"/>
      <c r="BI33" s="26"/>
      <c r="BJ33" s="27"/>
      <c r="BK33" s="26"/>
      <c r="BL33" s="26"/>
      <c r="BM33" s="22"/>
      <c r="BN33" s="26"/>
      <c r="BO33" s="27"/>
      <c r="BP33" s="26"/>
      <c r="BQ33" s="26"/>
      <c r="BR33" s="22"/>
      <c r="BS33" s="26"/>
      <c r="BT33" s="27"/>
      <c r="BU33" s="26"/>
      <c r="BV33" s="26"/>
      <c r="BW33" s="22"/>
      <c r="BX33" s="26"/>
      <c r="BY33" s="27"/>
      <c r="BZ33" s="26"/>
      <c r="CA33" s="26"/>
      <c r="CB33" s="22"/>
      <c r="CC33" s="26"/>
      <c r="CD33" s="27"/>
      <c r="CE33" s="26"/>
      <c r="CF33" s="26"/>
      <c r="CG33" s="22"/>
      <c r="CH33" s="26"/>
      <c r="CI33" s="27"/>
      <c r="CJ33" s="26"/>
      <c r="CK33" s="26"/>
      <c r="CL33" s="22"/>
      <c r="CM33" s="26"/>
      <c r="CN33" s="27"/>
      <c r="CO33" s="26"/>
      <c r="CP33" s="26"/>
      <c r="CQ33" s="22"/>
      <c r="CR33" s="26"/>
      <c r="CS33" s="27"/>
      <c r="CT33" s="26"/>
      <c r="CU33" s="26"/>
      <c r="CV33" s="22"/>
      <c r="CW33" s="26"/>
      <c r="CX33" s="27"/>
      <c r="CY33" s="26"/>
      <c r="CZ33" s="26"/>
      <c r="DA33" s="22"/>
      <c r="DB33" s="26">
        <v>31</v>
      </c>
      <c r="DC33" s="27" t="s">
        <v>594</v>
      </c>
      <c r="DD33" s="26">
        <f>COUNTIF('37 فريقًا'!$E$4:$E$1999,$DB33&amp;" ضد *")+COUNTIF('37 فريقًا'!$E$4:$E$1999,"* ضد "&amp;$DB33)</f>
        <v>18</v>
      </c>
      <c r="DE33" s="26">
        <f t="shared" si="21"/>
        <v>17</v>
      </c>
      <c r="DF33" s="22"/>
      <c r="DG33" s="26">
        <v>31</v>
      </c>
      <c r="DH33" s="27" t="s">
        <v>595</v>
      </c>
      <c r="DI33" s="26">
        <f>COUNTIF('46 فريقًا'!$E$4:$E$1999,$DG33&amp;" ضد *")+COUNTIF('46 فريقًا'!$E$4:$E$1999,"* ضد "&amp;$DG33)</f>
        <v>18</v>
      </c>
      <c r="DJ33" s="26">
        <f t="shared" si="22"/>
        <v>11</v>
      </c>
      <c r="DK33" s="22"/>
      <c r="DL33" s="26">
        <v>31</v>
      </c>
      <c r="DM33" s="27" t="s">
        <v>595</v>
      </c>
      <c r="DN33" s="26">
        <f>COUNTIF('54 فريقًا'!$E$4:$E$1999,$DL33&amp;" ضد *")+COUNTIF('54 فريقًا'!$E$4:$E$1999,"* ضد "&amp;$DL33)</f>
        <v>18</v>
      </c>
      <c r="DO33" s="26">
        <f t="shared" si="23"/>
        <v>13</v>
      </c>
      <c r="DP33" s="22"/>
      <c r="DQ33" s="26">
        <v>31</v>
      </c>
      <c r="DR33" s="27" t="s">
        <v>594</v>
      </c>
      <c r="DS33" s="26">
        <f>COUNTIF('58 فريقًا'!$E$4:$E$1999,$DQ33&amp;" ضد *")+COUNTIF('58 فريقًا'!$E$4:$E$1999,"* ضد "&amp;$DQ33)</f>
        <v>18</v>
      </c>
      <c r="DT33" s="26">
        <f t="shared" si="24"/>
        <v>18</v>
      </c>
      <c r="DU33" s="22"/>
      <c r="DV33" s="26">
        <v>31</v>
      </c>
      <c r="DW33" s="27" t="s">
        <v>594</v>
      </c>
      <c r="DX33" s="26">
        <f>COUNTIF('64 فريقًا'!$E$4:$E$1999,$DV33&amp;" ضد *")+COUNTIF('64 فريقًا'!$E$4:$E$1999,"* ضد "&amp;$DV33)</f>
        <v>18</v>
      </c>
      <c r="DY33" s="26">
        <f t="shared" si="25"/>
        <v>15</v>
      </c>
      <c r="DZ33" s="22"/>
      <c r="EA33" s="26">
        <v>31</v>
      </c>
      <c r="EB33" s="27" t="s">
        <v>594</v>
      </c>
      <c r="EC33" s="26">
        <f>COUNTIF('67 فريقًا'!$E$4:$E$1999,$EA33&amp;" ضد *")+COUNTIF('67 فريقًا'!$E$4:$E$1999,"* ضد "&amp;$EA33)</f>
        <v>18</v>
      </c>
      <c r="ED33" s="26">
        <f t="shared" si="26"/>
        <v>16</v>
      </c>
    </row>
    <row r="34" spans="1:134" ht="14.5">
      <c r="A34" s="26"/>
      <c r="B34" s="27"/>
      <c r="C34" s="26"/>
      <c r="D34" s="26"/>
      <c r="E34" s="22"/>
      <c r="F34" s="26"/>
      <c r="G34" s="27"/>
      <c r="H34" s="26"/>
      <c r="I34" s="26"/>
      <c r="J34" s="22"/>
      <c r="K34" s="26"/>
      <c r="L34" s="27"/>
      <c r="M34" s="26"/>
      <c r="N34" s="26"/>
      <c r="O34" s="22"/>
      <c r="P34" s="26"/>
      <c r="Q34" s="27"/>
      <c r="R34" s="26"/>
      <c r="S34" s="26"/>
      <c r="T34" s="22"/>
      <c r="U34" s="26"/>
      <c r="V34" s="27"/>
      <c r="W34" s="26"/>
      <c r="X34" s="26"/>
      <c r="Y34" s="22"/>
      <c r="Z34" s="26"/>
      <c r="AA34" s="27"/>
      <c r="AB34" s="26"/>
      <c r="AC34" s="26"/>
      <c r="AD34" s="22"/>
      <c r="AE34" s="26"/>
      <c r="AF34" s="27"/>
      <c r="AG34" s="26"/>
      <c r="AH34" s="26"/>
      <c r="AI34" s="22"/>
      <c r="AJ34" s="26"/>
      <c r="AK34" s="27"/>
      <c r="AL34" s="26"/>
      <c r="AM34" s="26"/>
      <c r="AN34" s="22"/>
      <c r="AO34" s="26"/>
      <c r="AP34" s="27"/>
      <c r="AQ34" s="26"/>
      <c r="AR34" s="26"/>
      <c r="AS34" s="22"/>
      <c r="AT34" s="26"/>
      <c r="AU34" s="27"/>
      <c r="AV34" s="26"/>
      <c r="AW34" s="26"/>
      <c r="AX34" s="22"/>
      <c r="AY34" s="26"/>
      <c r="AZ34" s="27"/>
      <c r="BA34" s="26"/>
      <c r="BB34" s="26"/>
      <c r="BC34" s="22"/>
      <c r="BD34" s="26"/>
      <c r="BE34" s="27"/>
      <c r="BF34" s="26"/>
      <c r="BG34" s="26"/>
      <c r="BH34" s="22"/>
      <c r="BI34" s="26"/>
      <c r="BJ34" s="27"/>
      <c r="BK34" s="26"/>
      <c r="BL34" s="26"/>
      <c r="BM34" s="22"/>
      <c r="BN34" s="26"/>
      <c r="BO34" s="27"/>
      <c r="BP34" s="26"/>
      <c r="BQ34" s="26"/>
      <c r="BR34" s="22"/>
      <c r="BS34" s="26"/>
      <c r="BT34" s="27"/>
      <c r="BU34" s="26"/>
      <c r="BV34" s="26"/>
      <c r="BW34" s="22"/>
      <c r="BX34" s="26"/>
      <c r="BY34" s="27"/>
      <c r="BZ34" s="26"/>
      <c r="CA34" s="26"/>
      <c r="CB34" s="22"/>
      <c r="CC34" s="26"/>
      <c r="CD34" s="27"/>
      <c r="CE34" s="26"/>
      <c r="CF34" s="26"/>
      <c r="CG34" s="22"/>
      <c r="CH34" s="26"/>
      <c r="CI34" s="27"/>
      <c r="CJ34" s="26"/>
      <c r="CK34" s="26"/>
      <c r="CL34" s="22"/>
      <c r="CM34" s="26"/>
      <c r="CN34" s="27"/>
      <c r="CO34" s="26"/>
      <c r="CP34" s="26"/>
      <c r="CQ34" s="22"/>
      <c r="CR34" s="26"/>
      <c r="CS34" s="27"/>
      <c r="CT34" s="26"/>
      <c r="CU34" s="26"/>
      <c r="CV34" s="22"/>
      <c r="CW34" s="26"/>
      <c r="CX34" s="27"/>
      <c r="CY34" s="26"/>
      <c r="CZ34" s="26"/>
      <c r="DA34" s="22"/>
      <c r="DB34" s="26">
        <v>32</v>
      </c>
      <c r="DC34" s="27" t="s">
        <v>594</v>
      </c>
      <c r="DD34" s="26">
        <f>COUNTIF('37 فريقًا'!$E$4:$E$1999,$DB34&amp;" ضد *")+COUNTIF('37 فريقًا'!$E$4:$E$1999,"* ضد "&amp;$DB34)</f>
        <v>18</v>
      </c>
      <c r="DE34" s="26">
        <f t="shared" si="21"/>
        <v>17</v>
      </c>
      <c r="DF34" s="22"/>
      <c r="DG34" s="26">
        <v>32</v>
      </c>
      <c r="DH34" s="27" t="s">
        <v>595</v>
      </c>
      <c r="DI34" s="26">
        <f>COUNTIF('46 فريقًا'!$E$4:$E$1999,$DG34&amp;" ضد *")+COUNTIF('46 فريقًا'!$E$4:$E$1999,"* ضد "&amp;$DG34)</f>
        <v>18</v>
      </c>
      <c r="DJ34" s="26">
        <f t="shared" si="22"/>
        <v>11</v>
      </c>
      <c r="DK34" s="22"/>
      <c r="DL34" s="26">
        <v>32</v>
      </c>
      <c r="DM34" s="27" t="s">
        <v>595</v>
      </c>
      <c r="DN34" s="26">
        <f>COUNTIF('54 فريقًا'!$E$4:$E$1999,$DL34&amp;" ضد *")+COUNTIF('54 فريقًا'!$E$4:$E$1999,"* ضد "&amp;$DL34)</f>
        <v>18</v>
      </c>
      <c r="DO34" s="26">
        <f t="shared" si="23"/>
        <v>13</v>
      </c>
      <c r="DP34" s="22"/>
      <c r="DQ34" s="26">
        <v>32</v>
      </c>
      <c r="DR34" s="27" t="s">
        <v>594</v>
      </c>
      <c r="DS34" s="26">
        <f>COUNTIF('58 فريقًا'!$E$4:$E$1999,$DQ34&amp;" ضد *")+COUNTIF('58 فريقًا'!$E$4:$E$1999,"* ضد "&amp;$DQ34)</f>
        <v>18</v>
      </c>
      <c r="DT34" s="26">
        <f t="shared" si="24"/>
        <v>18</v>
      </c>
      <c r="DU34" s="22"/>
      <c r="DV34" s="26">
        <v>32</v>
      </c>
      <c r="DW34" s="27" t="s">
        <v>594</v>
      </c>
      <c r="DX34" s="26">
        <f>COUNTIF('64 فريقًا'!$E$4:$E$1999,$DV34&amp;" ضد *")+COUNTIF('64 فريقًا'!$E$4:$E$1999,"* ضد "&amp;$DV34)</f>
        <v>18</v>
      </c>
      <c r="DY34" s="26">
        <f t="shared" si="25"/>
        <v>15</v>
      </c>
      <c r="DZ34" s="22"/>
      <c r="EA34" s="26">
        <v>32</v>
      </c>
      <c r="EB34" s="27" t="s">
        <v>594</v>
      </c>
      <c r="EC34" s="26">
        <f>COUNTIF('67 فريقًا'!$E$4:$E$1999,$EA34&amp;" ضد *")+COUNTIF('67 فريقًا'!$E$4:$E$1999,"* ضد "&amp;$EA34)</f>
        <v>18</v>
      </c>
      <c r="ED34" s="26">
        <f t="shared" si="26"/>
        <v>16</v>
      </c>
    </row>
    <row r="35" spans="1:134" ht="14.5">
      <c r="A35" s="26"/>
      <c r="B35" s="27"/>
      <c r="C35" s="26"/>
      <c r="D35" s="26"/>
      <c r="E35" s="22"/>
      <c r="F35" s="26"/>
      <c r="G35" s="27"/>
      <c r="H35" s="26"/>
      <c r="I35" s="26"/>
      <c r="J35" s="22"/>
      <c r="K35" s="26"/>
      <c r="L35" s="27"/>
      <c r="M35" s="26"/>
      <c r="N35" s="26"/>
      <c r="O35" s="22"/>
      <c r="P35" s="26"/>
      <c r="Q35" s="27"/>
      <c r="R35" s="26"/>
      <c r="S35" s="26"/>
      <c r="T35" s="22"/>
      <c r="U35" s="26"/>
      <c r="V35" s="27"/>
      <c r="W35" s="26"/>
      <c r="X35" s="26"/>
      <c r="Y35" s="22"/>
      <c r="Z35" s="26"/>
      <c r="AA35" s="27"/>
      <c r="AB35" s="26"/>
      <c r="AC35" s="26"/>
      <c r="AD35" s="22"/>
      <c r="AE35" s="26"/>
      <c r="AF35" s="27"/>
      <c r="AG35" s="26"/>
      <c r="AH35" s="26"/>
      <c r="AI35" s="22"/>
      <c r="AJ35" s="26"/>
      <c r="AK35" s="27"/>
      <c r="AL35" s="26"/>
      <c r="AM35" s="26"/>
      <c r="AN35" s="22"/>
      <c r="AO35" s="26"/>
      <c r="AP35" s="27"/>
      <c r="AQ35" s="26"/>
      <c r="AR35" s="26"/>
      <c r="AS35" s="22"/>
      <c r="AT35" s="26"/>
      <c r="AU35" s="27"/>
      <c r="AV35" s="26"/>
      <c r="AW35" s="26"/>
      <c r="AX35" s="22"/>
      <c r="AY35" s="26"/>
      <c r="AZ35" s="27"/>
      <c r="BA35" s="26"/>
      <c r="BB35" s="26"/>
      <c r="BC35" s="22"/>
      <c r="BD35" s="26"/>
      <c r="BE35" s="27"/>
      <c r="BF35" s="26"/>
      <c r="BG35" s="26"/>
      <c r="BH35" s="22"/>
      <c r="BI35" s="26"/>
      <c r="BJ35" s="27"/>
      <c r="BK35" s="26"/>
      <c r="BL35" s="26"/>
      <c r="BM35" s="22"/>
      <c r="BN35" s="26"/>
      <c r="BO35" s="27"/>
      <c r="BP35" s="26"/>
      <c r="BQ35" s="26"/>
      <c r="BR35" s="22"/>
      <c r="BS35" s="26"/>
      <c r="BT35" s="27"/>
      <c r="BU35" s="26"/>
      <c r="BV35" s="26"/>
      <c r="BW35" s="22"/>
      <c r="BX35" s="26"/>
      <c r="BY35" s="27"/>
      <c r="BZ35" s="26"/>
      <c r="CA35" s="26"/>
      <c r="CB35" s="22"/>
      <c r="CC35" s="26"/>
      <c r="CD35" s="27"/>
      <c r="CE35" s="26"/>
      <c r="CF35" s="26"/>
      <c r="CG35" s="22"/>
      <c r="CH35" s="26"/>
      <c r="CI35" s="27"/>
      <c r="CJ35" s="26"/>
      <c r="CK35" s="26"/>
      <c r="CL35" s="22"/>
      <c r="CM35" s="26"/>
      <c r="CN35" s="27"/>
      <c r="CO35" s="26"/>
      <c r="CP35" s="26"/>
      <c r="CQ35" s="22"/>
      <c r="CR35" s="26"/>
      <c r="CS35" s="27"/>
      <c r="CT35" s="26"/>
      <c r="CU35" s="26"/>
      <c r="CV35" s="22"/>
      <c r="CW35" s="26"/>
      <c r="CX35" s="27"/>
      <c r="CY35" s="26"/>
      <c r="CZ35" s="26"/>
      <c r="DA35" s="22"/>
      <c r="DB35" s="26">
        <v>33</v>
      </c>
      <c r="DC35" s="27" t="s">
        <v>594</v>
      </c>
      <c r="DD35" s="26">
        <f>COUNTIF('37 فريقًا'!$E$4:$E$1999,$DB35&amp;" ضد *")+COUNTIF('37 فريقًا'!$E$4:$E$1999,"* ضد "&amp;$DB35)</f>
        <v>18</v>
      </c>
      <c r="DE35" s="26">
        <f t="shared" si="21"/>
        <v>17</v>
      </c>
      <c r="DF35" s="22"/>
      <c r="DG35" s="26">
        <v>33</v>
      </c>
      <c r="DH35" s="27" t="s">
        <v>595</v>
      </c>
      <c r="DI35" s="26">
        <f>COUNTIF('46 فريقًا'!$E$4:$E$1999,$DG35&amp;" ضد *")+COUNTIF('46 فريقًا'!$E$4:$E$1999,"* ضد "&amp;$DG35)</f>
        <v>18</v>
      </c>
      <c r="DJ35" s="26">
        <f t="shared" si="22"/>
        <v>11</v>
      </c>
      <c r="DK35" s="22"/>
      <c r="DL35" s="26">
        <v>33</v>
      </c>
      <c r="DM35" s="27" t="s">
        <v>595</v>
      </c>
      <c r="DN35" s="26">
        <f>COUNTIF('54 فريقًا'!$E$4:$E$1999,$DL35&amp;" ضد *")+COUNTIF('54 فريقًا'!$E$4:$E$1999,"* ضد "&amp;$DL35)</f>
        <v>18</v>
      </c>
      <c r="DO35" s="26">
        <f t="shared" ref="DO35:DO56" si="27">COUNTIF($DM$3:$DM$56,$DM35)-1</f>
        <v>13</v>
      </c>
      <c r="DP35" s="22"/>
      <c r="DQ35" s="26">
        <v>33</v>
      </c>
      <c r="DR35" s="27" t="s">
        <v>594</v>
      </c>
      <c r="DS35" s="26">
        <f>COUNTIF('58 فريقًا'!$E$4:$E$1999,$DQ35&amp;" ضد *")+COUNTIF('58 فريقًا'!$E$4:$E$1999,"* ضد "&amp;$DQ35)</f>
        <v>18</v>
      </c>
      <c r="DT35" s="26">
        <f t="shared" ref="DT35:DT60" si="28">COUNTIF($DR$3:$DR$60,$DR35)-1</f>
        <v>18</v>
      </c>
      <c r="DU35" s="22"/>
      <c r="DV35" s="26">
        <v>33</v>
      </c>
      <c r="DW35" s="27" t="s">
        <v>595</v>
      </c>
      <c r="DX35" s="26">
        <f>COUNTIF('64 فريقًا'!$E$4:$E$1999,$DV35&amp;" ضد *")+COUNTIF('64 فريقًا'!$E$4:$E$1999,"* ضد "&amp;$DV35)</f>
        <v>18</v>
      </c>
      <c r="DY35" s="26">
        <f t="shared" ref="DY35:DY66" si="29">COUNTIF($DW$3:$DW$66,$DW35)-1</f>
        <v>15</v>
      </c>
      <c r="DZ35" s="22"/>
      <c r="EA35" s="26">
        <v>33</v>
      </c>
      <c r="EB35" s="27" t="s">
        <v>594</v>
      </c>
      <c r="EC35" s="26">
        <f>COUNTIF('67 فريقًا'!$E$4:$E$1999,$EA35&amp;" ضد *")+COUNTIF('67 فريقًا'!$E$4:$E$1999,"* ضد "&amp;$EA35)</f>
        <v>18</v>
      </c>
      <c r="ED35" s="26">
        <f t="shared" ref="ED35:ED69" si="30">COUNTIF($EB$3:$EB$69,$EB35)-1</f>
        <v>16</v>
      </c>
    </row>
    <row r="36" spans="1:134" ht="14.5">
      <c r="A36" s="26"/>
      <c r="B36" s="27"/>
      <c r="C36" s="26"/>
      <c r="D36" s="26"/>
      <c r="E36" s="22"/>
      <c r="F36" s="26"/>
      <c r="G36" s="27"/>
      <c r="H36" s="26"/>
      <c r="I36" s="26"/>
      <c r="J36" s="22"/>
      <c r="K36" s="26"/>
      <c r="L36" s="27"/>
      <c r="M36" s="26"/>
      <c r="N36" s="26"/>
      <c r="O36" s="22"/>
      <c r="P36" s="26"/>
      <c r="Q36" s="27"/>
      <c r="R36" s="26"/>
      <c r="S36" s="26"/>
      <c r="T36" s="22"/>
      <c r="U36" s="26"/>
      <c r="V36" s="27"/>
      <c r="W36" s="26"/>
      <c r="X36" s="26"/>
      <c r="Y36" s="22"/>
      <c r="Z36" s="26"/>
      <c r="AA36" s="27"/>
      <c r="AB36" s="26"/>
      <c r="AC36" s="26"/>
      <c r="AD36" s="22"/>
      <c r="AE36" s="26"/>
      <c r="AF36" s="27"/>
      <c r="AG36" s="26"/>
      <c r="AH36" s="26"/>
      <c r="AI36" s="22"/>
      <c r="AJ36" s="26"/>
      <c r="AK36" s="27"/>
      <c r="AL36" s="26"/>
      <c r="AM36" s="26"/>
      <c r="AN36" s="22"/>
      <c r="AO36" s="26"/>
      <c r="AP36" s="27"/>
      <c r="AQ36" s="26"/>
      <c r="AR36" s="26"/>
      <c r="AS36" s="22"/>
      <c r="AT36" s="26"/>
      <c r="AU36" s="27"/>
      <c r="AV36" s="26"/>
      <c r="AW36" s="26"/>
      <c r="AX36" s="22"/>
      <c r="AY36" s="26"/>
      <c r="AZ36" s="27"/>
      <c r="BA36" s="26"/>
      <c r="BB36" s="26"/>
      <c r="BC36" s="22"/>
      <c r="BD36" s="26"/>
      <c r="BE36" s="27"/>
      <c r="BF36" s="26"/>
      <c r="BG36" s="26"/>
      <c r="BH36" s="22"/>
      <c r="BI36" s="26"/>
      <c r="BJ36" s="27"/>
      <c r="BK36" s="26"/>
      <c r="BL36" s="26"/>
      <c r="BM36" s="22"/>
      <c r="BN36" s="26"/>
      <c r="BO36" s="27"/>
      <c r="BP36" s="26"/>
      <c r="BQ36" s="26"/>
      <c r="BR36" s="22"/>
      <c r="BS36" s="26"/>
      <c r="BT36" s="27"/>
      <c r="BU36" s="26"/>
      <c r="BV36" s="26"/>
      <c r="BW36" s="22"/>
      <c r="BX36" s="26"/>
      <c r="BY36" s="27"/>
      <c r="BZ36" s="26"/>
      <c r="CA36" s="26"/>
      <c r="CB36" s="22"/>
      <c r="CC36" s="26"/>
      <c r="CD36" s="27"/>
      <c r="CE36" s="26"/>
      <c r="CF36" s="26"/>
      <c r="CG36" s="22"/>
      <c r="CH36" s="26"/>
      <c r="CI36" s="27"/>
      <c r="CJ36" s="26"/>
      <c r="CK36" s="26"/>
      <c r="CL36" s="22"/>
      <c r="CM36" s="26"/>
      <c r="CN36" s="27"/>
      <c r="CO36" s="26"/>
      <c r="CP36" s="26"/>
      <c r="CQ36" s="22"/>
      <c r="CR36" s="26"/>
      <c r="CS36" s="27"/>
      <c r="CT36" s="26"/>
      <c r="CU36" s="26"/>
      <c r="CV36" s="22"/>
      <c r="CW36" s="26"/>
      <c r="CX36" s="27"/>
      <c r="CY36" s="26"/>
      <c r="CZ36" s="26"/>
      <c r="DA36" s="22"/>
      <c r="DB36" s="26">
        <v>34</v>
      </c>
      <c r="DC36" s="27" t="s">
        <v>594</v>
      </c>
      <c r="DD36" s="26">
        <f>COUNTIF('37 فريقًا'!$E$4:$E$1999,$DB36&amp;" ضد *")+COUNTIF('37 فريقًا'!$E$4:$E$1999,"* ضد "&amp;$DB36)</f>
        <v>18</v>
      </c>
      <c r="DE36" s="26">
        <f t="shared" si="21"/>
        <v>17</v>
      </c>
      <c r="DF36" s="22"/>
      <c r="DG36" s="26">
        <v>34</v>
      </c>
      <c r="DH36" s="27" t="s">
        <v>595</v>
      </c>
      <c r="DI36" s="26">
        <f>COUNTIF('46 فريقًا'!$E$4:$E$1999,$DG36&amp;" ضد *")+COUNTIF('46 فريقًا'!$E$4:$E$1999,"* ضد "&amp;$DG36)</f>
        <v>18</v>
      </c>
      <c r="DJ36" s="26">
        <f t="shared" si="22"/>
        <v>11</v>
      </c>
      <c r="DK36" s="22"/>
      <c r="DL36" s="26">
        <v>34</v>
      </c>
      <c r="DM36" s="27" t="s">
        <v>595</v>
      </c>
      <c r="DN36" s="26">
        <f>COUNTIF('54 فريقًا'!$E$4:$E$1999,$DL36&amp;" ضد *")+COUNTIF('54 فريقًا'!$E$4:$E$1999,"* ضد "&amp;$DL36)</f>
        <v>18</v>
      </c>
      <c r="DO36" s="26">
        <f t="shared" si="27"/>
        <v>13</v>
      </c>
      <c r="DP36" s="22"/>
      <c r="DQ36" s="26">
        <v>34</v>
      </c>
      <c r="DR36" s="27" t="s">
        <v>594</v>
      </c>
      <c r="DS36" s="26">
        <f>COUNTIF('58 فريقًا'!$E$4:$E$1999,$DQ36&amp;" ضد *")+COUNTIF('58 فريقًا'!$E$4:$E$1999,"* ضد "&amp;$DQ36)</f>
        <v>18</v>
      </c>
      <c r="DT36" s="26">
        <f t="shared" si="28"/>
        <v>18</v>
      </c>
      <c r="DU36" s="22"/>
      <c r="DV36" s="26">
        <v>34</v>
      </c>
      <c r="DW36" s="27" t="s">
        <v>595</v>
      </c>
      <c r="DX36" s="26">
        <f>COUNTIF('64 فريقًا'!$E$4:$E$1999,$DV36&amp;" ضد *")+COUNTIF('64 فريقًا'!$E$4:$E$1999,"* ضد "&amp;$DV36)</f>
        <v>18</v>
      </c>
      <c r="DY36" s="26">
        <f t="shared" si="29"/>
        <v>15</v>
      </c>
      <c r="DZ36" s="22"/>
      <c r="EA36" s="26">
        <v>34</v>
      </c>
      <c r="EB36" s="27" t="s">
        <v>594</v>
      </c>
      <c r="EC36" s="26">
        <f>COUNTIF('67 فريقًا'!$E$4:$E$1999,$EA36&amp;" ضد *")+COUNTIF('67 فريقًا'!$E$4:$E$1999,"* ضد "&amp;$EA36)</f>
        <v>18</v>
      </c>
      <c r="ED36" s="26">
        <f t="shared" si="30"/>
        <v>16</v>
      </c>
    </row>
    <row r="37" spans="1:134" ht="14.5">
      <c r="A37" s="26"/>
      <c r="B37" s="27"/>
      <c r="C37" s="26"/>
      <c r="D37" s="26"/>
      <c r="E37" s="22"/>
      <c r="F37" s="26"/>
      <c r="G37" s="27"/>
      <c r="H37" s="26"/>
      <c r="I37" s="26"/>
      <c r="J37" s="22"/>
      <c r="K37" s="26"/>
      <c r="L37" s="27"/>
      <c r="M37" s="26"/>
      <c r="N37" s="26"/>
      <c r="O37" s="22"/>
      <c r="P37" s="26"/>
      <c r="Q37" s="27"/>
      <c r="R37" s="26"/>
      <c r="S37" s="26"/>
      <c r="T37" s="22"/>
      <c r="U37" s="26"/>
      <c r="V37" s="27"/>
      <c r="W37" s="26"/>
      <c r="X37" s="26"/>
      <c r="Y37" s="22"/>
      <c r="Z37" s="26"/>
      <c r="AA37" s="27"/>
      <c r="AB37" s="26"/>
      <c r="AC37" s="26"/>
      <c r="AD37" s="22"/>
      <c r="AE37" s="26"/>
      <c r="AF37" s="27"/>
      <c r="AG37" s="26"/>
      <c r="AH37" s="26"/>
      <c r="AI37" s="22"/>
      <c r="AJ37" s="26"/>
      <c r="AK37" s="27"/>
      <c r="AL37" s="26"/>
      <c r="AM37" s="26"/>
      <c r="AN37" s="22"/>
      <c r="AO37" s="26"/>
      <c r="AP37" s="27"/>
      <c r="AQ37" s="26"/>
      <c r="AR37" s="26"/>
      <c r="AS37" s="22"/>
      <c r="AT37" s="26"/>
      <c r="AU37" s="27"/>
      <c r="AV37" s="26"/>
      <c r="AW37" s="26"/>
      <c r="AX37" s="22"/>
      <c r="AY37" s="26"/>
      <c r="AZ37" s="27"/>
      <c r="BA37" s="26"/>
      <c r="BB37" s="26"/>
      <c r="BC37" s="22"/>
      <c r="BD37" s="26"/>
      <c r="BE37" s="27"/>
      <c r="BF37" s="26"/>
      <c r="BG37" s="26"/>
      <c r="BH37" s="22"/>
      <c r="BI37" s="26"/>
      <c r="BJ37" s="27"/>
      <c r="BK37" s="26"/>
      <c r="BL37" s="26"/>
      <c r="BM37" s="22"/>
      <c r="BN37" s="26"/>
      <c r="BO37" s="27"/>
      <c r="BP37" s="26"/>
      <c r="BQ37" s="26"/>
      <c r="BR37" s="22"/>
      <c r="BS37" s="26"/>
      <c r="BT37" s="27"/>
      <c r="BU37" s="26"/>
      <c r="BV37" s="26"/>
      <c r="BW37" s="22"/>
      <c r="BX37" s="26"/>
      <c r="BY37" s="27"/>
      <c r="BZ37" s="26"/>
      <c r="CA37" s="26"/>
      <c r="CB37" s="22"/>
      <c r="CC37" s="26"/>
      <c r="CD37" s="27"/>
      <c r="CE37" s="26"/>
      <c r="CF37" s="26"/>
      <c r="CG37" s="22"/>
      <c r="CH37" s="26"/>
      <c r="CI37" s="27"/>
      <c r="CJ37" s="26"/>
      <c r="CK37" s="26"/>
      <c r="CL37" s="22"/>
      <c r="CM37" s="26"/>
      <c r="CN37" s="27"/>
      <c r="CO37" s="26"/>
      <c r="CP37" s="26"/>
      <c r="CQ37" s="22"/>
      <c r="CR37" s="26"/>
      <c r="CS37" s="27"/>
      <c r="CT37" s="26"/>
      <c r="CU37" s="26"/>
      <c r="CV37" s="22"/>
      <c r="CW37" s="26"/>
      <c r="CX37" s="27"/>
      <c r="CY37" s="26"/>
      <c r="CZ37" s="26"/>
      <c r="DA37" s="22"/>
      <c r="DB37" s="26">
        <v>35</v>
      </c>
      <c r="DC37" s="27" t="s">
        <v>594</v>
      </c>
      <c r="DD37" s="26">
        <f>COUNTIF('37 فريقًا'!$E$4:$E$1999,$DB37&amp;" ضد *")+COUNTIF('37 فريقًا'!$E$4:$E$1999,"* ضد "&amp;$DB37)</f>
        <v>18</v>
      </c>
      <c r="DE37" s="26">
        <f t="shared" si="21"/>
        <v>17</v>
      </c>
      <c r="DF37" s="22"/>
      <c r="DG37" s="26">
        <v>35</v>
      </c>
      <c r="DH37" s="27" t="s">
        <v>595</v>
      </c>
      <c r="DI37" s="26">
        <f>COUNTIF('46 فريقًا'!$E$4:$E$1999,$DG37&amp;" ضد *")+COUNTIF('46 فريقًا'!$E$4:$E$1999,"* ضد "&amp;$DG37)</f>
        <v>18</v>
      </c>
      <c r="DJ37" s="26">
        <f t="shared" si="22"/>
        <v>11</v>
      </c>
      <c r="DK37" s="22"/>
      <c r="DL37" s="26">
        <v>35</v>
      </c>
      <c r="DM37" s="27" t="s">
        <v>595</v>
      </c>
      <c r="DN37" s="26">
        <f>COUNTIF('54 فريقًا'!$E$4:$E$1999,$DL37&amp;" ضد *")+COUNTIF('54 فريقًا'!$E$4:$E$1999,"* ضد "&amp;$DL37)</f>
        <v>18</v>
      </c>
      <c r="DO37" s="26">
        <f t="shared" si="27"/>
        <v>13</v>
      </c>
      <c r="DP37" s="22"/>
      <c r="DQ37" s="26">
        <v>35</v>
      </c>
      <c r="DR37" s="27" t="s">
        <v>594</v>
      </c>
      <c r="DS37" s="26">
        <f>COUNTIF('58 فريقًا'!$E$4:$E$1999,$DQ37&amp;" ضد *")+COUNTIF('58 فريقًا'!$E$4:$E$1999,"* ضد "&amp;$DQ37)</f>
        <v>18</v>
      </c>
      <c r="DT37" s="26">
        <f t="shared" si="28"/>
        <v>18</v>
      </c>
      <c r="DU37" s="22"/>
      <c r="DV37" s="26">
        <v>35</v>
      </c>
      <c r="DW37" s="27" t="s">
        <v>595</v>
      </c>
      <c r="DX37" s="26">
        <f>COUNTIF('64 فريقًا'!$E$4:$E$1999,$DV37&amp;" ضد *")+COUNTIF('64 فريقًا'!$E$4:$E$1999,"* ضد "&amp;$DV37)</f>
        <v>18</v>
      </c>
      <c r="DY37" s="26">
        <f t="shared" si="29"/>
        <v>15</v>
      </c>
      <c r="DZ37" s="22"/>
      <c r="EA37" s="26">
        <v>35</v>
      </c>
      <c r="EB37" s="27" t="s">
        <v>595</v>
      </c>
      <c r="EC37" s="26">
        <f>COUNTIF('67 فريقًا'!$E$4:$E$1999,$EA37&amp;" ضد *")+COUNTIF('67 فريقًا'!$E$4:$E$1999,"* ضد "&amp;$EA37)</f>
        <v>18</v>
      </c>
      <c r="ED37" s="26">
        <f t="shared" si="30"/>
        <v>16</v>
      </c>
    </row>
    <row r="38" spans="1:134" ht="14.5">
      <c r="A38" s="26"/>
      <c r="B38" s="27"/>
      <c r="C38" s="26"/>
      <c r="D38" s="26"/>
      <c r="E38" s="22"/>
      <c r="F38" s="26"/>
      <c r="G38" s="27"/>
      <c r="H38" s="26"/>
      <c r="I38" s="26"/>
      <c r="J38" s="22"/>
      <c r="K38" s="26"/>
      <c r="L38" s="27"/>
      <c r="M38" s="26"/>
      <c r="N38" s="26"/>
      <c r="O38" s="22"/>
      <c r="P38" s="26"/>
      <c r="Q38" s="27"/>
      <c r="R38" s="26"/>
      <c r="S38" s="26"/>
      <c r="T38" s="22"/>
      <c r="U38" s="26"/>
      <c r="V38" s="27"/>
      <c r="W38" s="26"/>
      <c r="X38" s="26"/>
      <c r="Y38" s="22"/>
      <c r="Z38" s="26"/>
      <c r="AA38" s="27"/>
      <c r="AB38" s="26"/>
      <c r="AC38" s="26"/>
      <c r="AD38" s="22"/>
      <c r="AE38" s="26"/>
      <c r="AF38" s="27"/>
      <c r="AG38" s="26"/>
      <c r="AH38" s="26"/>
      <c r="AI38" s="22"/>
      <c r="AJ38" s="26"/>
      <c r="AK38" s="27"/>
      <c r="AL38" s="26"/>
      <c r="AM38" s="26"/>
      <c r="AN38" s="22"/>
      <c r="AO38" s="26"/>
      <c r="AP38" s="27"/>
      <c r="AQ38" s="26"/>
      <c r="AR38" s="26"/>
      <c r="AS38" s="22"/>
      <c r="AT38" s="26"/>
      <c r="AU38" s="27"/>
      <c r="AV38" s="26"/>
      <c r="AW38" s="26"/>
      <c r="AX38" s="22"/>
      <c r="AY38" s="26"/>
      <c r="AZ38" s="27"/>
      <c r="BA38" s="26"/>
      <c r="BB38" s="26"/>
      <c r="BC38" s="22"/>
      <c r="BD38" s="26"/>
      <c r="BE38" s="27"/>
      <c r="BF38" s="26"/>
      <c r="BG38" s="26"/>
      <c r="BH38" s="22"/>
      <c r="BI38" s="26"/>
      <c r="BJ38" s="27"/>
      <c r="BK38" s="26"/>
      <c r="BL38" s="26"/>
      <c r="BM38" s="22"/>
      <c r="BN38" s="26"/>
      <c r="BO38" s="27"/>
      <c r="BP38" s="26"/>
      <c r="BQ38" s="26"/>
      <c r="BR38" s="22"/>
      <c r="BS38" s="26"/>
      <c r="BT38" s="27"/>
      <c r="BU38" s="26"/>
      <c r="BV38" s="26"/>
      <c r="BW38" s="22"/>
      <c r="BX38" s="26"/>
      <c r="BY38" s="27"/>
      <c r="BZ38" s="26"/>
      <c r="CA38" s="26"/>
      <c r="CB38" s="22"/>
      <c r="CC38" s="26"/>
      <c r="CD38" s="27"/>
      <c r="CE38" s="26"/>
      <c r="CF38" s="26"/>
      <c r="CG38" s="22"/>
      <c r="CH38" s="26"/>
      <c r="CI38" s="27"/>
      <c r="CJ38" s="26"/>
      <c r="CK38" s="26"/>
      <c r="CL38" s="22"/>
      <c r="CM38" s="26"/>
      <c r="CN38" s="27"/>
      <c r="CO38" s="26"/>
      <c r="CP38" s="26"/>
      <c r="CQ38" s="22"/>
      <c r="CR38" s="26"/>
      <c r="CS38" s="27"/>
      <c r="CT38" s="26"/>
      <c r="CU38" s="26"/>
      <c r="CV38" s="22"/>
      <c r="CW38" s="26"/>
      <c r="CX38" s="27"/>
      <c r="CY38" s="26"/>
      <c r="CZ38" s="26"/>
      <c r="DA38" s="22"/>
      <c r="DB38" s="26">
        <v>36</v>
      </c>
      <c r="DC38" s="27" t="s">
        <v>594</v>
      </c>
      <c r="DD38" s="26">
        <f>COUNTIF('37 فريقًا'!$E$4:$E$1999,$DB38&amp;" ضد *")+COUNTIF('37 فريقًا'!$E$4:$E$1999,"* ضد "&amp;$DB38)</f>
        <v>18</v>
      </c>
      <c r="DE38" s="26">
        <f t="shared" si="21"/>
        <v>17</v>
      </c>
      <c r="DF38" s="22"/>
      <c r="DG38" s="26">
        <v>36</v>
      </c>
      <c r="DH38" s="27" t="s">
        <v>595</v>
      </c>
      <c r="DI38" s="26">
        <f>COUNTIF('46 فريقًا'!$E$4:$E$1999,$DG38&amp;" ضد *")+COUNTIF('46 فريقًا'!$E$4:$E$1999,"* ضد "&amp;$DG38)</f>
        <v>18</v>
      </c>
      <c r="DJ38" s="26">
        <f t="shared" si="22"/>
        <v>11</v>
      </c>
      <c r="DK38" s="22"/>
      <c r="DL38" s="26">
        <v>36</v>
      </c>
      <c r="DM38" s="27" t="s">
        <v>595</v>
      </c>
      <c r="DN38" s="26">
        <f>COUNTIF('54 فريقًا'!$E$4:$E$1999,$DL38&amp;" ضد *")+COUNTIF('54 فريقًا'!$E$4:$E$1999,"* ضد "&amp;$DL38)</f>
        <v>18</v>
      </c>
      <c r="DO38" s="26">
        <f t="shared" si="27"/>
        <v>13</v>
      </c>
      <c r="DP38" s="22"/>
      <c r="DQ38" s="26">
        <v>36</v>
      </c>
      <c r="DR38" s="27" t="s">
        <v>594</v>
      </c>
      <c r="DS38" s="26">
        <f>COUNTIF('58 فريقًا'!$E$4:$E$1999,$DQ38&amp;" ضد *")+COUNTIF('58 فريقًا'!$E$4:$E$1999,"* ضد "&amp;$DQ38)</f>
        <v>18</v>
      </c>
      <c r="DT38" s="26">
        <f t="shared" si="28"/>
        <v>18</v>
      </c>
      <c r="DU38" s="22"/>
      <c r="DV38" s="26">
        <v>36</v>
      </c>
      <c r="DW38" s="27" t="s">
        <v>595</v>
      </c>
      <c r="DX38" s="26">
        <f>COUNTIF('64 فريقًا'!$E$4:$E$1999,$DV38&amp;" ضد *")+COUNTIF('64 فريقًا'!$E$4:$E$1999,"* ضد "&amp;$DV38)</f>
        <v>18</v>
      </c>
      <c r="DY38" s="26">
        <f t="shared" si="29"/>
        <v>15</v>
      </c>
      <c r="DZ38" s="22"/>
      <c r="EA38" s="26">
        <v>36</v>
      </c>
      <c r="EB38" s="27" t="s">
        <v>595</v>
      </c>
      <c r="EC38" s="26">
        <f>COUNTIF('67 فريقًا'!$E$4:$E$1999,$EA38&amp;" ضد *")+COUNTIF('67 فريقًا'!$E$4:$E$1999,"* ضد "&amp;$EA38)</f>
        <v>18</v>
      </c>
      <c r="ED38" s="26">
        <f t="shared" si="30"/>
        <v>16</v>
      </c>
    </row>
    <row r="39" spans="1:134" ht="14.5">
      <c r="A39" s="26"/>
      <c r="B39" s="27"/>
      <c r="C39" s="26"/>
      <c r="D39" s="26"/>
      <c r="E39" s="22"/>
      <c r="F39" s="26"/>
      <c r="G39" s="27"/>
      <c r="H39" s="26"/>
      <c r="I39" s="26"/>
      <c r="J39" s="22"/>
      <c r="K39" s="26"/>
      <c r="L39" s="27"/>
      <c r="M39" s="26"/>
      <c r="N39" s="26"/>
      <c r="O39" s="22"/>
      <c r="P39" s="26"/>
      <c r="Q39" s="27"/>
      <c r="R39" s="26"/>
      <c r="S39" s="26"/>
      <c r="T39" s="22"/>
      <c r="U39" s="26"/>
      <c r="V39" s="27"/>
      <c r="W39" s="26"/>
      <c r="X39" s="26"/>
      <c r="Y39" s="22"/>
      <c r="Z39" s="26"/>
      <c r="AA39" s="27"/>
      <c r="AB39" s="26"/>
      <c r="AC39" s="26"/>
      <c r="AD39" s="22"/>
      <c r="AE39" s="26"/>
      <c r="AF39" s="27"/>
      <c r="AG39" s="26"/>
      <c r="AH39" s="26"/>
      <c r="AI39" s="22"/>
      <c r="AJ39" s="26"/>
      <c r="AK39" s="27"/>
      <c r="AL39" s="26"/>
      <c r="AM39" s="26"/>
      <c r="AN39" s="22"/>
      <c r="AO39" s="26"/>
      <c r="AP39" s="27"/>
      <c r="AQ39" s="26"/>
      <c r="AR39" s="26"/>
      <c r="AS39" s="22"/>
      <c r="AT39" s="26"/>
      <c r="AU39" s="27"/>
      <c r="AV39" s="26"/>
      <c r="AW39" s="26"/>
      <c r="AX39" s="22"/>
      <c r="AY39" s="26"/>
      <c r="AZ39" s="27"/>
      <c r="BA39" s="26"/>
      <c r="BB39" s="26"/>
      <c r="BC39" s="22"/>
      <c r="BD39" s="26"/>
      <c r="BE39" s="27"/>
      <c r="BF39" s="26"/>
      <c r="BG39" s="26"/>
      <c r="BH39" s="22"/>
      <c r="BI39" s="26"/>
      <c r="BJ39" s="27"/>
      <c r="BK39" s="26"/>
      <c r="BL39" s="26"/>
      <c r="BM39" s="22"/>
      <c r="BN39" s="26"/>
      <c r="BO39" s="27"/>
      <c r="BP39" s="26"/>
      <c r="BQ39" s="26"/>
      <c r="BR39" s="22"/>
      <c r="BS39" s="26"/>
      <c r="BT39" s="27"/>
      <c r="BU39" s="26"/>
      <c r="BV39" s="26"/>
      <c r="BW39" s="22"/>
      <c r="BX39" s="26"/>
      <c r="BY39" s="27"/>
      <c r="BZ39" s="26"/>
      <c r="CA39" s="26"/>
      <c r="CB39" s="22"/>
      <c r="CC39" s="26"/>
      <c r="CD39" s="27"/>
      <c r="CE39" s="26"/>
      <c r="CF39" s="26"/>
      <c r="CG39" s="22"/>
      <c r="CH39" s="26"/>
      <c r="CI39" s="27"/>
      <c r="CJ39" s="26"/>
      <c r="CK39" s="26"/>
      <c r="CL39" s="22"/>
      <c r="CM39" s="26"/>
      <c r="CN39" s="27"/>
      <c r="CO39" s="26"/>
      <c r="CP39" s="26"/>
      <c r="CQ39" s="22"/>
      <c r="CR39" s="26"/>
      <c r="CS39" s="27"/>
      <c r="CT39" s="26"/>
      <c r="CU39" s="26"/>
      <c r="CV39" s="22"/>
      <c r="CW39" s="26"/>
      <c r="CX39" s="27"/>
      <c r="CY39" s="26"/>
      <c r="CZ39" s="26"/>
      <c r="DA39" s="22"/>
      <c r="DB39" s="26">
        <v>37</v>
      </c>
      <c r="DC39" s="27" t="s">
        <v>594</v>
      </c>
      <c r="DD39" s="26">
        <f>COUNTIF('37 فريقًا'!$E$4:$E$1999,$DB39&amp;" ضد *")+COUNTIF('37 فريقًا'!$E$4:$E$1999,"* ضد "&amp;$DB39)</f>
        <v>18</v>
      </c>
      <c r="DE39" s="26">
        <f t="shared" si="21"/>
        <v>17</v>
      </c>
      <c r="DF39" s="22"/>
      <c r="DG39" s="26">
        <v>37</v>
      </c>
      <c r="DH39" s="27" t="s">
        <v>596</v>
      </c>
      <c r="DI39" s="26">
        <f>COUNTIF('46 فريقًا'!$E$4:$E$1999,$DG39&amp;" ضد *")+COUNTIF('46 فريقًا'!$E$4:$E$1999,"* ضد "&amp;$DG39)</f>
        <v>18</v>
      </c>
      <c r="DJ39" s="26">
        <f t="shared" si="22"/>
        <v>9</v>
      </c>
      <c r="DK39" s="22"/>
      <c r="DL39" s="26">
        <v>37</v>
      </c>
      <c r="DM39" s="27" t="s">
        <v>595</v>
      </c>
      <c r="DN39" s="26">
        <f>COUNTIF('54 فريقًا'!$E$4:$E$1999,$DL39&amp;" ضد *")+COUNTIF('54 فريقًا'!$E$4:$E$1999,"* ضد "&amp;$DL39)</f>
        <v>18</v>
      </c>
      <c r="DO39" s="26">
        <f t="shared" si="27"/>
        <v>13</v>
      </c>
      <c r="DP39" s="22"/>
      <c r="DQ39" s="26">
        <v>37</v>
      </c>
      <c r="DR39" s="27" t="s">
        <v>594</v>
      </c>
      <c r="DS39" s="26">
        <f>COUNTIF('58 فريقًا'!$E$4:$E$1999,$DQ39&amp;" ضد *")+COUNTIF('58 فريقًا'!$E$4:$E$1999,"* ضد "&amp;$DQ39)</f>
        <v>18</v>
      </c>
      <c r="DT39" s="26">
        <f t="shared" si="28"/>
        <v>18</v>
      </c>
      <c r="DU39" s="22"/>
      <c r="DV39" s="26">
        <v>37</v>
      </c>
      <c r="DW39" s="27" t="s">
        <v>595</v>
      </c>
      <c r="DX39" s="26">
        <f>COUNTIF('64 فريقًا'!$E$4:$E$1999,$DV39&amp;" ضد *")+COUNTIF('64 فريقًا'!$E$4:$E$1999,"* ضد "&amp;$DV39)</f>
        <v>18</v>
      </c>
      <c r="DY39" s="26">
        <f t="shared" si="29"/>
        <v>15</v>
      </c>
      <c r="DZ39" s="22"/>
      <c r="EA39" s="26">
        <v>37</v>
      </c>
      <c r="EB39" s="27" t="s">
        <v>595</v>
      </c>
      <c r="EC39" s="26">
        <f>COUNTIF('67 فريقًا'!$E$4:$E$1999,$EA39&amp;" ضد *")+COUNTIF('67 فريقًا'!$E$4:$E$1999,"* ضد "&amp;$EA39)</f>
        <v>18</v>
      </c>
      <c r="ED39" s="26">
        <f t="shared" si="30"/>
        <v>16</v>
      </c>
    </row>
    <row r="40" spans="1:134" ht="14.5">
      <c r="A40" s="26"/>
      <c r="B40" s="27"/>
      <c r="C40" s="26"/>
      <c r="D40" s="26"/>
      <c r="E40" s="22"/>
      <c r="F40" s="26"/>
      <c r="G40" s="27"/>
      <c r="H40" s="26"/>
      <c r="I40" s="26"/>
      <c r="J40" s="22"/>
      <c r="K40" s="26"/>
      <c r="L40" s="27"/>
      <c r="M40" s="26"/>
      <c r="N40" s="26"/>
      <c r="O40" s="22"/>
      <c r="P40" s="26"/>
      <c r="Q40" s="27"/>
      <c r="R40" s="26"/>
      <c r="S40" s="26"/>
      <c r="T40" s="22"/>
      <c r="U40" s="26"/>
      <c r="V40" s="27"/>
      <c r="W40" s="26"/>
      <c r="X40" s="26"/>
      <c r="Y40" s="22"/>
      <c r="Z40" s="26"/>
      <c r="AA40" s="27"/>
      <c r="AB40" s="26"/>
      <c r="AC40" s="26"/>
      <c r="AD40" s="22"/>
      <c r="AE40" s="26"/>
      <c r="AF40" s="27"/>
      <c r="AG40" s="26"/>
      <c r="AH40" s="26"/>
      <c r="AI40" s="22"/>
      <c r="AJ40" s="26"/>
      <c r="AK40" s="27"/>
      <c r="AL40" s="26"/>
      <c r="AM40" s="26"/>
      <c r="AN40" s="22"/>
      <c r="AO40" s="26"/>
      <c r="AP40" s="27"/>
      <c r="AQ40" s="26"/>
      <c r="AR40" s="26"/>
      <c r="AS40" s="22"/>
      <c r="AT40" s="26"/>
      <c r="AU40" s="27"/>
      <c r="AV40" s="26"/>
      <c r="AW40" s="26"/>
      <c r="AX40" s="22"/>
      <c r="AY40" s="26"/>
      <c r="AZ40" s="27"/>
      <c r="BA40" s="26"/>
      <c r="BB40" s="26"/>
      <c r="BC40" s="22"/>
      <c r="BD40" s="26"/>
      <c r="BE40" s="27"/>
      <c r="BF40" s="26"/>
      <c r="BG40" s="26"/>
      <c r="BH40" s="22"/>
      <c r="BI40" s="26"/>
      <c r="BJ40" s="27"/>
      <c r="BK40" s="26"/>
      <c r="BL40" s="26"/>
      <c r="BM40" s="22"/>
      <c r="BN40" s="26"/>
      <c r="BO40" s="27"/>
      <c r="BP40" s="26"/>
      <c r="BQ40" s="26"/>
      <c r="BR40" s="22"/>
      <c r="BS40" s="26"/>
      <c r="BT40" s="27"/>
      <c r="BU40" s="26"/>
      <c r="BV40" s="26"/>
      <c r="BW40" s="22"/>
      <c r="BX40" s="26"/>
      <c r="BY40" s="27"/>
      <c r="BZ40" s="26"/>
      <c r="CA40" s="26"/>
      <c r="CB40" s="22"/>
      <c r="CC40" s="26"/>
      <c r="CD40" s="27"/>
      <c r="CE40" s="26"/>
      <c r="CF40" s="26"/>
      <c r="CG40" s="22"/>
      <c r="CH40" s="26"/>
      <c r="CI40" s="27"/>
      <c r="CJ40" s="26"/>
      <c r="CK40" s="26"/>
      <c r="CL40" s="22"/>
      <c r="CM40" s="26"/>
      <c r="CN40" s="27"/>
      <c r="CO40" s="26"/>
      <c r="CP40" s="26"/>
      <c r="CQ40" s="22"/>
      <c r="CR40" s="26"/>
      <c r="CS40" s="27"/>
      <c r="CT40" s="26"/>
      <c r="CU40" s="26"/>
      <c r="CV40" s="22"/>
      <c r="CW40" s="26"/>
      <c r="CX40" s="27"/>
      <c r="CY40" s="26"/>
      <c r="CZ40" s="26"/>
      <c r="DA40" s="22"/>
      <c r="DB40" s="26"/>
      <c r="DC40" s="27"/>
      <c r="DD40" s="26"/>
      <c r="DE40" s="26"/>
      <c r="DF40" s="22"/>
      <c r="DG40" s="26">
        <v>38</v>
      </c>
      <c r="DH40" s="27" t="s">
        <v>596</v>
      </c>
      <c r="DI40" s="26">
        <f>COUNTIF('46 فريقًا'!$E$4:$E$1999,$DG40&amp;" ضد *")+COUNTIF('46 فريقًا'!$E$4:$E$1999,"* ضد "&amp;$DG40)</f>
        <v>18</v>
      </c>
      <c r="DJ40" s="26">
        <f t="shared" si="22"/>
        <v>9</v>
      </c>
      <c r="DK40" s="22"/>
      <c r="DL40" s="26">
        <v>38</v>
      </c>
      <c r="DM40" s="27" t="s">
        <v>595</v>
      </c>
      <c r="DN40" s="26">
        <f>COUNTIF('54 فريقًا'!$E$4:$E$1999,$DL40&amp;" ضد *")+COUNTIF('54 فريقًا'!$E$4:$E$1999,"* ضد "&amp;$DL40)</f>
        <v>18</v>
      </c>
      <c r="DO40" s="26">
        <f t="shared" si="27"/>
        <v>13</v>
      </c>
      <c r="DP40" s="22"/>
      <c r="DQ40" s="26">
        <v>38</v>
      </c>
      <c r="DR40" s="27" t="s">
        <v>594</v>
      </c>
      <c r="DS40" s="26">
        <f>COUNTIF('58 فريقًا'!$E$4:$E$1999,$DQ40&amp;" ضد *")+COUNTIF('58 فريقًا'!$E$4:$E$1999,"* ضد "&amp;$DQ40)</f>
        <v>18</v>
      </c>
      <c r="DT40" s="26">
        <f t="shared" si="28"/>
        <v>18</v>
      </c>
      <c r="DU40" s="22"/>
      <c r="DV40" s="26">
        <v>38</v>
      </c>
      <c r="DW40" s="27" t="s">
        <v>595</v>
      </c>
      <c r="DX40" s="26">
        <f>COUNTIF('64 فريقًا'!$E$4:$E$1999,$DV40&amp;" ضد *")+COUNTIF('64 فريقًا'!$E$4:$E$1999,"* ضد "&amp;$DV40)</f>
        <v>18</v>
      </c>
      <c r="DY40" s="26">
        <f t="shared" si="29"/>
        <v>15</v>
      </c>
      <c r="DZ40" s="22"/>
      <c r="EA40" s="26">
        <v>38</v>
      </c>
      <c r="EB40" s="27" t="s">
        <v>595</v>
      </c>
      <c r="EC40" s="26">
        <f>COUNTIF('67 فريقًا'!$E$4:$E$1999,$EA40&amp;" ضد *")+COUNTIF('67 فريقًا'!$E$4:$E$1999,"* ضد "&amp;$EA40)</f>
        <v>18</v>
      </c>
      <c r="ED40" s="26">
        <f t="shared" si="30"/>
        <v>16</v>
      </c>
    </row>
    <row r="41" spans="1:134" ht="14.5">
      <c r="A41" s="26"/>
      <c r="B41" s="27"/>
      <c r="C41" s="26"/>
      <c r="D41" s="26"/>
      <c r="E41" s="22"/>
      <c r="F41" s="26"/>
      <c r="G41" s="27"/>
      <c r="H41" s="26"/>
      <c r="I41" s="26"/>
      <c r="J41" s="22"/>
      <c r="K41" s="26"/>
      <c r="L41" s="27"/>
      <c r="M41" s="26"/>
      <c r="N41" s="26"/>
      <c r="O41" s="22"/>
      <c r="P41" s="26"/>
      <c r="Q41" s="27"/>
      <c r="R41" s="26"/>
      <c r="S41" s="26"/>
      <c r="T41" s="22"/>
      <c r="U41" s="26"/>
      <c r="V41" s="27"/>
      <c r="W41" s="26"/>
      <c r="X41" s="26"/>
      <c r="Y41" s="22"/>
      <c r="Z41" s="26"/>
      <c r="AA41" s="27"/>
      <c r="AB41" s="26"/>
      <c r="AC41" s="26"/>
      <c r="AD41" s="22"/>
      <c r="AE41" s="26"/>
      <c r="AF41" s="27"/>
      <c r="AG41" s="26"/>
      <c r="AH41" s="26"/>
      <c r="AI41" s="22"/>
      <c r="AJ41" s="26"/>
      <c r="AK41" s="27"/>
      <c r="AL41" s="26"/>
      <c r="AM41" s="26"/>
      <c r="AN41" s="22"/>
      <c r="AO41" s="26"/>
      <c r="AP41" s="27"/>
      <c r="AQ41" s="26"/>
      <c r="AR41" s="26"/>
      <c r="AS41" s="22"/>
      <c r="AT41" s="26"/>
      <c r="AU41" s="27"/>
      <c r="AV41" s="26"/>
      <c r="AW41" s="26"/>
      <c r="AX41" s="22"/>
      <c r="AY41" s="26"/>
      <c r="AZ41" s="27"/>
      <c r="BA41" s="26"/>
      <c r="BB41" s="26"/>
      <c r="BC41" s="22"/>
      <c r="BD41" s="26"/>
      <c r="BE41" s="27"/>
      <c r="BF41" s="26"/>
      <c r="BG41" s="26"/>
      <c r="BH41" s="22"/>
      <c r="BI41" s="26"/>
      <c r="BJ41" s="27"/>
      <c r="BK41" s="26"/>
      <c r="BL41" s="26"/>
      <c r="BM41" s="22"/>
      <c r="BN41" s="26"/>
      <c r="BO41" s="27"/>
      <c r="BP41" s="26"/>
      <c r="BQ41" s="26"/>
      <c r="BR41" s="22"/>
      <c r="BS41" s="26"/>
      <c r="BT41" s="27"/>
      <c r="BU41" s="26"/>
      <c r="BV41" s="26"/>
      <c r="BW41" s="22"/>
      <c r="BX41" s="26"/>
      <c r="BY41" s="27"/>
      <c r="BZ41" s="26"/>
      <c r="CA41" s="26"/>
      <c r="CB41" s="22"/>
      <c r="CC41" s="26"/>
      <c r="CD41" s="27"/>
      <c r="CE41" s="26"/>
      <c r="CF41" s="26"/>
      <c r="CG41" s="22"/>
      <c r="CH41" s="26"/>
      <c r="CI41" s="27"/>
      <c r="CJ41" s="26"/>
      <c r="CK41" s="26"/>
      <c r="CL41" s="22"/>
      <c r="CM41" s="26"/>
      <c r="CN41" s="27"/>
      <c r="CO41" s="26"/>
      <c r="CP41" s="26"/>
      <c r="CQ41" s="22"/>
      <c r="CR41" s="26"/>
      <c r="CS41" s="27"/>
      <c r="CT41" s="26"/>
      <c r="CU41" s="26"/>
      <c r="CV41" s="22"/>
      <c r="CW41" s="26"/>
      <c r="CX41" s="27"/>
      <c r="CY41" s="26"/>
      <c r="CZ41" s="26"/>
      <c r="DA41" s="22"/>
      <c r="DB41" s="26"/>
      <c r="DC41" s="27"/>
      <c r="DD41" s="26"/>
      <c r="DE41" s="26"/>
      <c r="DF41" s="22"/>
      <c r="DG41" s="26">
        <v>39</v>
      </c>
      <c r="DH41" s="27" t="s">
        <v>596</v>
      </c>
      <c r="DI41" s="26">
        <f>COUNTIF('46 فريقًا'!$E$4:$E$1999,$DG41&amp;" ضد *")+COUNTIF('46 فريقًا'!$E$4:$E$1999,"* ضد "&amp;$DG41)</f>
        <v>18</v>
      </c>
      <c r="DJ41" s="26">
        <f t="shared" si="22"/>
        <v>9</v>
      </c>
      <c r="DK41" s="22"/>
      <c r="DL41" s="26">
        <v>39</v>
      </c>
      <c r="DM41" s="27" t="s">
        <v>595</v>
      </c>
      <c r="DN41" s="26">
        <f>COUNTIF('54 فريقًا'!$E$4:$E$1999,$DL41&amp;" ضد *")+COUNTIF('54 فريقًا'!$E$4:$E$1999,"* ضد "&amp;$DL41)</f>
        <v>18</v>
      </c>
      <c r="DO41" s="26">
        <f t="shared" si="27"/>
        <v>13</v>
      </c>
      <c r="DP41" s="22"/>
      <c r="DQ41" s="26">
        <v>39</v>
      </c>
      <c r="DR41" s="27" t="s">
        <v>594</v>
      </c>
      <c r="DS41" s="26">
        <f>COUNTIF('58 فريقًا'!$E$4:$E$1999,$DQ41&amp;" ضد *")+COUNTIF('58 فريقًا'!$E$4:$E$1999,"* ضد "&amp;$DQ41)</f>
        <v>18</v>
      </c>
      <c r="DT41" s="26">
        <f t="shared" si="28"/>
        <v>18</v>
      </c>
      <c r="DU41" s="22"/>
      <c r="DV41" s="26">
        <v>39</v>
      </c>
      <c r="DW41" s="27" t="s">
        <v>595</v>
      </c>
      <c r="DX41" s="26">
        <f>COUNTIF('64 فريقًا'!$E$4:$E$1999,$DV41&amp;" ضد *")+COUNTIF('64 فريقًا'!$E$4:$E$1999,"* ضد "&amp;$DV41)</f>
        <v>18</v>
      </c>
      <c r="DY41" s="26">
        <f t="shared" si="29"/>
        <v>15</v>
      </c>
      <c r="DZ41" s="22"/>
      <c r="EA41" s="26">
        <v>39</v>
      </c>
      <c r="EB41" s="27" t="s">
        <v>595</v>
      </c>
      <c r="EC41" s="26">
        <f>COUNTIF('67 فريقًا'!$E$4:$E$1999,$EA41&amp;" ضد *")+COUNTIF('67 فريقًا'!$E$4:$E$1999,"* ضد "&amp;$EA41)</f>
        <v>18</v>
      </c>
      <c r="ED41" s="26">
        <f t="shared" si="30"/>
        <v>16</v>
      </c>
    </row>
    <row r="42" spans="1:134" ht="14.5">
      <c r="A42" s="26"/>
      <c r="B42" s="27"/>
      <c r="C42" s="26"/>
      <c r="D42" s="26"/>
      <c r="E42" s="22"/>
      <c r="F42" s="26"/>
      <c r="G42" s="27"/>
      <c r="H42" s="26"/>
      <c r="I42" s="26"/>
      <c r="J42" s="22"/>
      <c r="K42" s="26"/>
      <c r="L42" s="27"/>
      <c r="M42" s="26"/>
      <c r="N42" s="26"/>
      <c r="O42" s="22"/>
      <c r="P42" s="26"/>
      <c r="Q42" s="27"/>
      <c r="R42" s="26"/>
      <c r="S42" s="26"/>
      <c r="T42" s="22"/>
      <c r="U42" s="26"/>
      <c r="V42" s="27"/>
      <c r="W42" s="26"/>
      <c r="X42" s="26"/>
      <c r="Y42" s="22"/>
      <c r="Z42" s="26"/>
      <c r="AA42" s="27"/>
      <c r="AB42" s="26"/>
      <c r="AC42" s="26"/>
      <c r="AD42" s="22"/>
      <c r="AE42" s="26"/>
      <c r="AF42" s="27"/>
      <c r="AG42" s="26"/>
      <c r="AH42" s="26"/>
      <c r="AI42" s="22"/>
      <c r="AJ42" s="26"/>
      <c r="AK42" s="27"/>
      <c r="AL42" s="26"/>
      <c r="AM42" s="26"/>
      <c r="AN42" s="22"/>
      <c r="AO42" s="26"/>
      <c r="AP42" s="27"/>
      <c r="AQ42" s="26"/>
      <c r="AR42" s="26"/>
      <c r="AS42" s="22"/>
      <c r="AT42" s="26"/>
      <c r="AU42" s="27"/>
      <c r="AV42" s="26"/>
      <c r="AW42" s="26"/>
      <c r="AX42" s="22"/>
      <c r="AY42" s="26"/>
      <c r="AZ42" s="27"/>
      <c r="BA42" s="26"/>
      <c r="BB42" s="26"/>
      <c r="BC42" s="22"/>
      <c r="BD42" s="26"/>
      <c r="BE42" s="27"/>
      <c r="BF42" s="26"/>
      <c r="BG42" s="26"/>
      <c r="BH42" s="22"/>
      <c r="BI42" s="26"/>
      <c r="BJ42" s="27"/>
      <c r="BK42" s="26"/>
      <c r="BL42" s="26"/>
      <c r="BM42" s="22"/>
      <c r="BN42" s="26"/>
      <c r="BO42" s="27"/>
      <c r="BP42" s="26"/>
      <c r="BQ42" s="26"/>
      <c r="BR42" s="22"/>
      <c r="BS42" s="26"/>
      <c r="BT42" s="27"/>
      <c r="BU42" s="26"/>
      <c r="BV42" s="26"/>
      <c r="BW42" s="22"/>
      <c r="BX42" s="26"/>
      <c r="BY42" s="27"/>
      <c r="BZ42" s="26"/>
      <c r="CA42" s="26"/>
      <c r="CB42" s="22"/>
      <c r="CC42" s="26"/>
      <c r="CD42" s="27"/>
      <c r="CE42" s="26"/>
      <c r="CF42" s="26"/>
      <c r="CG42" s="22"/>
      <c r="CH42" s="26"/>
      <c r="CI42" s="27"/>
      <c r="CJ42" s="26"/>
      <c r="CK42" s="26"/>
      <c r="CL42" s="22"/>
      <c r="CM42" s="26"/>
      <c r="CN42" s="27"/>
      <c r="CO42" s="26"/>
      <c r="CP42" s="26"/>
      <c r="CQ42" s="22"/>
      <c r="CR42" s="26"/>
      <c r="CS42" s="27"/>
      <c r="CT42" s="26"/>
      <c r="CU42" s="26"/>
      <c r="CV42" s="22"/>
      <c r="CW42" s="26"/>
      <c r="CX42" s="27"/>
      <c r="CY42" s="26"/>
      <c r="CZ42" s="26"/>
      <c r="DA42" s="22"/>
      <c r="DB42" s="26"/>
      <c r="DC42" s="27"/>
      <c r="DD42" s="26"/>
      <c r="DE42" s="26"/>
      <c r="DF42" s="22"/>
      <c r="DG42" s="26">
        <v>40</v>
      </c>
      <c r="DH42" s="27" t="s">
        <v>596</v>
      </c>
      <c r="DI42" s="26">
        <f>COUNTIF('46 فريقًا'!$E$4:$E$1999,$DG42&amp;" ضد *")+COUNTIF('46 فريقًا'!$E$4:$E$1999,"* ضد "&amp;$DG42)</f>
        <v>18</v>
      </c>
      <c r="DJ42" s="26">
        <f t="shared" si="22"/>
        <v>9</v>
      </c>
      <c r="DK42" s="22"/>
      <c r="DL42" s="26">
        <v>40</v>
      </c>
      <c r="DM42" s="27" t="s">
        <v>595</v>
      </c>
      <c r="DN42" s="26">
        <f>COUNTIF('54 فريقًا'!$E$4:$E$1999,$DL42&amp;" ضد *")+COUNTIF('54 فريقًا'!$E$4:$E$1999,"* ضد "&amp;$DL42)</f>
        <v>18</v>
      </c>
      <c r="DO42" s="26">
        <f t="shared" si="27"/>
        <v>13</v>
      </c>
      <c r="DP42" s="22"/>
      <c r="DQ42" s="26">
        <v>40</v>
      </c>
      <c r="DR42" s="27" t="s">
        <v>595</v>
      </c>
      <c r="DS42" s="26">
        <f>COUNTIF('58 فريقًا'!$E$4:$E$1999,$DQ42&amp;" ضد *")+COUNTIF('58 فريقًا'!$E$4:$E$1999,"* ضد "&amp;$DQ42)</f>
        <v>18</v>
      </c>
      <c r="DT42" s="26">
        <f t="shared" si="28"/>
        <v>18</v>
      </c>
      <c r="DU42" s="22"/>
      <c r="DV42" s="26">
        <v>40</v>
      </c>
      <c r="DW42" s="27" t="s">
        <v>595</v>
      </c>
      <c r="DX42" s="26">
        <f>COUNTIF('64 فريقًا'!$E$4:$E$1999,$DV42&amp;" ضد *")+COUNTIF('64 فريقًا'!$E$4:$E$1999,"* ضد "&amp;$DV42)</f>
        <v>18</v>
      </c>
      <c r="DY42" s="26">
        <f t="shared" si="29"/>
        <v>15</v>
      </c>
      <c r="DZ42" s="22"/>
      <c r="EA42" s="26">
        <v>40</v>
      </c>
      <c r="EB42" s="27" t="s">
        <v>595</v>
      </c>
      <c r="EC42" s="26">
        <f>COUNTIF('67 فريقًا'!$E$4:$E$1999,$EA42&amp;" ضد *")+COUNTIF('67 فريقًا'!$E$4:$E$1999,"* ضد "&amp;$EA42)</f>
        <v>18</v>
      </c>
      <c r="ED42" s="26">
        <f t="shared" si="30"/>
        <v>16</v>
      </c>
    </row>
    <row r="43" spans="1:134" ht="14.5">
      <c r="A43" s="26"/>
      <c r="B43" s="27"/>
      <c r="C43" s="26"/>
      <c r="D43" s="26"/>
      <c r="E43" s="22"/>
      <c r="F43" s="26"/>
      <c r="G43" s="27"/>
      <c r="H43" s="26"/>
      <c r="I43" s="26"/>
      <c r="J43" s="22"/>
      <c r="K43" s="26"/>
      <c r="L43" s="27"/>
      <c r="M43" s="26"/>
      <c r="N43" s="26"/>
      <c r="O43" s="22"/>
      <c r="P43" s="26"/>
      <c r="Q43" s="27"/>
      <c r="R43" s="26"/>
      <c r="S43" s="26"/>
      <c r="T43" s="22"/>
      <c r="U43" s="26"/>
      <c r="V43" s="27"/>
      <c r="W43" s="26"/>
      <c r="X43" s="26"/>
      <c r="Y43" s="22"/>
      <c r="Z43" s="26"/>
      <c r="AA43" s="27"/>
      <c r="AB43" s="26"/>
      <c r="AC43" s="26"/>
      <c r="AD43" s="22"/>
      <c r="AE43" s="26"/>
      <c r="AF43" s="27"/>
      <c r="AG43" s="26"/>
      <c r="AH43" s="26"/>
      <c r="AI43" s="22"/>
      <c r="AJ43" s="26"/>
      <c r="AK43" s="27"/>
      <c r="AL43" s="26"/>
      <c r="AM43" s="26"/>
      <c r="AN43" s="22"/>
      <c r="AO43" s="26"/>
      <c r="AP43" s="27"/>
      <c r="AQ43" s="26"/>
      <c r="AR43" s="26"/>
      <c r="AS43" s="22"/>
      <c r="AT43" s="26"/>
      <c r="AU43" s="27"/>
      <c r="AV43" s="26"/>
      <c r="AW43" s="26"/>
      <c r="AX43" s="22"/>
      <c r="AY43" s="26"/>
      <c r="AZ43" s="27"/>
      <c r="BA43" s="26"/>
      <c r="BB43" s="26"/>
      <c r="BC43" s="22"/>
      <c r="BD43" s="26"/>
      <c r="BE43" s="27"/>
      <c r="BF43" s="26"/>
      <c r="BG43" s="26"/>
      <c r="BH43" s="22"/>
      <c r="BI43" s="26"/>
      <c r="BJ43" s="27"/>
      <c r="BK43" s="26"/>
      <c r="BL43" s="26"/>
      <c r="BM43" s="22"/>
      <c r="BN43" s="26"/>
      <c r="BO43" s="27"/>
      <c r="BP43" s="26"/>
      <c r="BQ43" s="26"/>
      <c r="BR43" s="22"/>
      <c r="BS43" s="26"/>
      <c r="BT43" s="27"/>
      <c r="BU43" s="26"/>
      <c r="BV43" s="26"/>
      <c r="BW43" s="22"/>
      <c r="BX43" s="26"/>
      <c r="BY43" s="27"/>
      <c r="BZ43" s="26"/>
      <c r="CA43" s="26"/>
      <c r="CB43" s="22"/>
      <c r="CC43" s="26"/>
      <c r="CD43" s="27"/>
      <c r="CE43" s="26"/>
      <c r="CF43" s="26"/>
      <c r="CG43" s="22"/>
      <c r="CH43" s="26"/>
      <c r="CI43" s="27"/>
      <c r="CJ43" s="26"/>
      <c r="CK43" s="26"/>
      <c r="CL43" s="22"/>
      <c r="CM43" s="26"/>
      <c r="CN43" s="27"/>
      <c r="CO43" s="26"/>
      <c r="CP43" s="26"/>
      <c r="CQ43" s="22"/>
      <c r="CR43" s="26"/>
      <c r="CS43" s="27"/>
      <c r="CT43" s="26"/>
      <c r="CU43" s="26"/>
      <c r="CV43" s="22"/>
      <c r="CW43" s="26"/>
      <c r="CX43" s="27"/>
      <c r="CY43" s="26"/>
      <c r="CZ43" s="26"/>
      <c r="DA43" s="22"/>
      <c r="DB43" s="26"/>
      <c r="DC43" s="27"/>
      <c r="DD43" s="26"/>
      <c r="DE43" s="26"/>
      <c r="DF43" s="22"/>
      <c r="DG43" s="26">
        <v>41</v>
      </c>
      <c r="DH43" s="27" t="s">
        <v>596</v>
      </c>
      <c r="DI43" s="26">
        <f>COUNTIF('46 فريقًا'!$E$4:$E$1999,$DG43&amp;" ضد *")+COUNTIF('46 فريقًا'!$E$4:$E$1999,"* ضد "&amp;$DG43)</f>
        <v>18</v>
      </c>
      <c r="DJ43" s="26">
        <f t="shared" si="22"/>
        <v>9</v>
      </c>
      <c r="DK43" s="22"/>
      <c r="DL43" s="26">
        <v>41</v>
      </c>
      <c r="DM43" s="27" t="s">
        <v>595</v>
      </c>
      <c r="DN43" s="26">
        <f>COUNTIF('54 فريقًا'!$E$4:$E$1999,$DL43&amp;" ضد *")+COUNTIF('54 فريقًا'!$E$4:$E$1999,"* ضد "&amp;$DL43)</f>
        <v>18</v>
      </c>
      <c r="DO43" s="26">
        <f t="shared" si="27"/>
        <v>13</v>
      </c>
      <c r="DP43" s="22"/>
      <c r="DQ43" s="26">
        <v>41</v>
      </c>
      <c r="DR43" s="27" t="s">
        <v>595</v>
      </c>
      <c r="DS43" s="26">
        <f>COUNTIF('58 فريقًا'!$E$4:$E$1999,$DQ43&amp;" ضد *")+COUNTIF('58 فريقًا'!$E$4:$E$1999,"* ضد "&amp;$DQ43)</f>
        <v>18</v>
      </c>
      <c r="DT43" s="26">
        <f t="shared" si="28"/>
        <v>18</v>
      </c>
      <c r="DU43" s="22"/>
      <c r="DV43" s="26">
        <v>41</v>
      </c>
      <c r="DW43" s="27" t="s">
        <v>595</v>
      </c>
      <c r="DX43" s="26">
        <f>COUNTIF('64 فريقًا'!$E$4:$E$1999,$DV43&amp;" ضد *")+COUNTIF('64 فريقًا'!$E$4:$E$1999,"* ضد "&amp;$DV43)</f>
        <v>18</v>
      </c>
      <c r="DY43" s="26">
        <f t="shared" si="29"/>
        <v>15</v>
      </c>
      <c r="DZ43" s="22"/>
      <c r="EA43" s="26">
        <v>41</v>
      </c>
      <c r="EB43" s="27" t="s">
        <v>595</v>
      </c>
      <c r="EC43" s="26">
        <f>COUNTIF('67 فريقًا'!$E$4:$E$1999,$EA43&amp;" ضد *")+COUNTIF('67 فريقًا'!$E$4:$E$1999,"* ضد "&amp;$EA43)</f>
        <v>18</v>
      </c>
      <c r="ED43" s="26">
        <f t="shared" si="30"/>
        <v>16</v>
      </c>
    </row>
    <row r="44" spans="1:134" ht="14.5">
      <c r="A44" s="26"/>
      <c r="B44" s="27"/>
      <c r="C44" s="26"/>
      <c r="D44" s="26"/>
      <c r="E44" s="22"/>
      <c r="F44" s="26"/>
      <c r="G44" s="27"/>
      <c r="H44" s="26"/>
      <c r="I44" s="26"/>
      <c r="J44" s="22"/>
      <c r="K44" s="26"/>
      <c r="L44" s="27"/>
      <c r="M44" s="26"/>
      <c r="N44" s="26"/>
      <c r="O44" s="22"/>
      <c r="P44" s="26"/>
      <c r="Q44" s="27"/>
      <c r="R44" s="26"/>
      <c r="S44" s="26"/>
      <c r="T44" s="22"/>
      <c r="U44" s="26"/>
      <c r="V44" s="27"/>
      <c r="W44" s="26"/>
      <c r="X44" s="26"/>
      <c r="Y44" s="22"/>
      <c r="Z44" s="26"/>
      <c r="AA44" s="27"/>
      <c r="AB44" s="26"/>
      <c r="AC44" s="26"/>
      <c r="AD44" s="22"/>
      <c r="AE44" s="26"/>
      <c r="AF44" s="27"/>
      <c r="AG44" s="26"/>
      <c r="AH44" s="26"/>
      <c r="AI44" s="22"/>
      <c r="AJ44" s="26"/>
      <c r="AK44" s="27"/>
      <c r="AL44" s="26"/>
      <c r="AM44" s="26"/>
      <c r="AN44" s="22"/>
      <c r="AO44" s="26"/>
      <c r="AP44" s="27"/>
      <c r="AQ44" s="26"/>
      <c r="AR44" s="26"/>
      <c r="AS44" s="22"/>
      <c r="AT44" s="26"/>
      <c r="AU44" s="27"/>
      <c r="AV44" s="26"/>
      <c r="AW44" s="26"/>
      <c r="AX44" s="22"/>
      <c r="AY44" s="26"/>
      <c r="AZ44" s="27"/>
      <c r="BA44" s="26"/>
      <c r="BB44" s="26"/>
      <c r="BC44" s="22"/>
      <c r="BD44" s="26"/>
      <c r="BE44" s="27"/>
      <c r="BF44" s="26"/>
      <c r="BG44" s="26"/>
      <c r="BH44" s="22"/>
      <c r="BI44" s="26"/>
      <c r="BJ44" s="27"/>
      <c r="BK44" s="26"/>
      <c r="BL44" s="26"/>
      <c r="BM44" s="22"/>
      <c r="BN44" s="26"/>
      <c r="BO44" s="27"/>
      <c r="BP44" s="26"/>
      <c r="BQ44" s="26"/>
      <c r="BR44" s="22"/>
      <c r="BS44" s="26"/>
      <c r="BT44" s="27"/>
      <c r="BU44" s="26"/>
      <c r="BV44" s="26"/>
      <c r="BW44" s="22"/>
      <c r="BX44" s="26"/>
      <c r="BY44" s="27"/>
      <c r="BZ44" s="26"/>
      <c r="CA44" s="26"/>
      <c r="CB44" s="22"/>
      <c r="CC44" s="26"/>
      <c r="CD44" s="27"/>
      <c r="CE44" s="26"/>
      <c r="CF44" s="26"/>
      <c r="CG44" s="22"/>
      <c r="CH44" s="26"/>
      <c r="CI44" s="27"/>
      <c r="CJ44" s="26"/>
      <c r="CK44" s="26"/>
      <c r="CL44" s="22"/>
      <c r="CM44" s="26"/>
      <c r="CN44" s="27"/>
      <c r="CO44" s="26"/>
      <c r="CP44" s="26"/>
      <c r="CQ44" s="22"/>
      <c r="CR44" s="26"/>
      <c r="CS44" s="27"/>
      <c r="CT44" s="26"/>
      <c r="CU44" s="26"/>
      <c r="CV44" s="22"/>
      <c r="CW44" s="26"/>
      <c r="CX44" s="27"/>
      <c r="CY44" s="26"/>
      <c r="CZ44" s="26"/>
      <c r="DA44" s="22"/>
      <c r="DB44" s="26"/>
      <c r="DC44" s="27"/>
      <c r="DD44" s="26"/>
      <c r="DE44" s="26"/>
      <c r="DF44" s="22"/>
      <c r="DG44" s="26">
        <v>42</v>
      </c>
      <c r="DH44" s="27" t="s">
        <v>596</v>
      </c>
      <c r="DI44" s="26">
        <f>COUNTIF('46 فريقًا'!$E$4:$E$1999,$DG44&amp;" ضد *")+COUNTIF('46 فريقًا'!$E$4:$E$1999,"* ضد "&amp;$DG44)</f>
        <v>18</v>
      </c>
      <c r="DJ44" s="26">
        <f t="shared" si="22"/>
        <v>9</v>
      </c>
      <c r="DK44" s="22"/>
      <c r="DL44" s="26">
        <v>42</v>
      </c>
      <c r="DM44" s="27" t="s">
        <v>595</v>
      </c>
      <c r="DN44" s="26">
        <f>COUNTIF('54 فريقًا'!$E$4:$E$1999,$DL44&amp;" ضد *")+COUNTIF('54 فريقًا'!$E$4:$E$1999,"* ضد "&amp;$DL44)</f>
        <v>18</v>
      </c>
      <c r="DO44" s="26">
        <f t="shared" si="27"/>
        <v>13</v>
      </c>
      <c r="DP44" s="22"/>
      <c r="DQ44" s="26">
        <v>42</v>
      </c>
      <c r="DR44" s="27" t="s">
        <v>595</v>
      </c>
      <c r="DS44" s="26">
        <f>COUNTIF('58 فريقًا'!$E$4:$E$1999,$DQ44&amp;" ضد *")+COUNTIF('58 فريقًا'!$E$4:$E$1999,"* ضد "&amp;$DQ44)</f>
        <v>18</v>
      </c>
      <c r="DT44" s="26">
        <f t="shared" si="28"/>
        <v>18</v>
      </c>
      <c r="DU44" s="22"/>
      <c r="DV44" s="26">
        <v>42</v>
      </c>
      <c r="DW44" s="27" t="s">
        <v>595</v>
      </c>
      <c r="DX44" s="26">
        <f>COUNTIF('64 فريقًا'!$E$4:$E$1999,$DV44&amp;" ضد *")+COUNTIF('64 فريقًا'!$E$4:$E$1999,"* ضد "&amp;$DV44)</f>
        <v>18</v>
      </c>
      <c r="DY44" s="26">
        <f t="shared" si="29"/>
        <v>15</v>
      </c>
      <c r="DZ44" s="22"/>
      <c r="EA44" s="26">
        <v>42</v>
      </c>
      <c r="EB44" s="27" t="s">
        <v>595</v>
      </c>
      <c r="EC44" s="26">
        <f>COUNTIF('67 فريقًا'!$E$4:$E$1999,$EA44&amp;" ضد *")+COUNTIF('67 فريقًا'!$E$4:$E$1999,"* ضد "&amp;$EA44)</f>
        <v>18</v>
      </c>
      <c r="ED44" s="26">
        <f t="shared" si="30"/>
        <v>16</v>
      </c>
    </row>
    <row r="45" spans="1:134" ht="14.5">
      <c r="A45" s="26"/>
      <c r="B45" s="27"/>
      <c r="C45" s="26"/>
      <c r="D45" s="26"/>
      <c r="E45" s="22"/>
      <c r="F45" s="26"/>
      <c r="G45" s="27"/>
      <c r="H45" s="26"/>
      <c r="I45" s="26"/>
      <c r="J45" s="22"/>
      <c r="K45" s="26"/>
      <c r="L45" s="27"/>
      <c r="M45" s="26"/>
      <c r="N45" s="26"/>
      <c r="O45" s="22"/>
      <c r="P45" s="26"/>
      <c r="Q45" s="27"/>
      <c r="R45" s="26"/>
      <c r="S45" s="26"/>
      <c r="T45" s="22"/>
      <c r="U45" s="26"/>
      <c r="V45" s="27"/>
      <c r="W45" s="26"/>
      <c r="X45" s="26"/>
      <c r="Y45" s="22"/>
      <c r="Z45" s="26"/>
      <c r="AA45" s="27"/>
      <c r="AB45" s="26"/>
      <c r="AC45" s="26"/>
      <c r="AD45" s="22"/>
      <c r="AE45" s="26"/>
      <c r="AF45" s="27"/>
      <c r="AG45" s="26"/>
      <c r="AH45" s="26"/>
      <c r="AI45" s="22"/>
      <c r="AJ45" s="26"/>
      <c r="AK45" s="27"/>
      <c r="AL45" s="26"/>
      <c r="AM45" s="26"/>
      <c r="AN45" s="22"/>
      <c r="AO45" s="26"/>
      <c r="AP45" s="27"/>
      <c r="AQ45" s="26"/>
      <c r="AR45" s="26"/>
      <c r="AS45" s="22"/>
      <c r="AT45" s="26"/>
      <c r="AU45" s="27"/>
      <c r="AV45" s="26"/>
      <c r="AW45" s="26"/>
      <c r="AX45" s="22"/>
      <c r="AY45" s="26"/>
      <c r="AZ45" s="27"/>
      <c r="BA45" s="26"/>
      <c r="BB45" s="26"/>
      <c r="BC45" s="22"/>
      <c r="BD45" s="26"/>
      <c r="BE45" s="27"/>
      <c r="BF45" s="26"/>
      <c r="BG45" s="26"/>
      <c r="BH45" s="22"/>
      <c r="BI45" s="26"/>
      <c r="BJ45" s="27"/>
      <c r="BK45" s="26"/>
      <c r="BL45" s="26"/>
      <c r="BM45" s="22"/>
      <c r="BN45" s="26"/>
      <c r="BO45" s="27"/>
      <c r="BP45" s="26"/>
      <c r="BQ45" s="26"/>
      <c r="BR45" s="22"/>
      <c r="BS45" s="26"/>
      <c r="BT45" s="27"/>
      <c r="BU45" s="26"/>
      <c r="BV45" s="26"/>
      <c r="BW45" s="22"/>
      <c r="BX45" s="26"/>
      <c r="BY45" s="27"/>
      <c r="BZ45" s="26"/>
      <c r="CA45" s="26"/>
      <c r="CB45" s="22"/>
      <c r="CC45" s="26"/>
      <c r="CD45" s="27"/>
      <c r="CE45" s="26"/>
      <c r="CF45" s="26"/>
      <c r="CG45" s="22"/>
      <c r="CH45" s="26"/>
      <c r="CI45" s="27"/>
      <c r="CJ45" s="26"/>
      <c r="CK45" s="26"/>
      <c r="CL45" s="22"/>
      <c r="CM45" s="26"/>
      <c r="CN45" s="27"/>
      <c r="CO45" s="26"/>
      <c r="CP45" s="26"/>
      <c r="CQ45" s="22"/>
      <c r="CR45" s="26"/>
      <c r="CS45" s="27"/>
      <c r="CT45" s="26"/>
      <c r="CU45" s="26"/>
      <c r="CV45" s="22"/>
      <c r="CW45" s="26"/>
      <c r="CX45" s="27"/>
      <c r="CY45" s="26"/>
      <c r="CZ45" s="26"/>
      <c r="DA45" s="22"/>
      <c r="DB45" s="26"/>
      <c r="DC45" s="27"/>
      <c r="DD45" s="26"/>
      <c r="DE45" s="26"/>
      <c r="DF45" s="22"/>
      <c r="DG45" s="26">
        <v>43</v>
      </c>
      <c r="DH45" s="27" t="s">
        <v>596</v>
      </c>
      <c r="DI45" s="26">
        <f>COUNTIF('46 فريقًا'!$E$4:$E$1999,$DG45&amp;" ضد *")+COUNTIF('46 فريقًا'!$E$4:$E$1999,"* ضد "&amp;$DG45)</f>
        <v>18</v>
      </c>
      <c r="DJ45" s="26">
        <f t="shared" si="22"/>
        <v>9</v>
      </c>
      <c r="DK45" s="22"/>
      <c r="DL45" s="26">
        <v>43</v>
      </c>
      <c r="DM45" s="27" t="s">
        <v>596</v>
      </c>
      <c r="DN45" s="26">
        <f>COUNTIF('54 فريقًا'!$E$4:$E$1999,$DL45&amp;" ضد *")+COUNTIF('54 فريقًا'!$E$4:$E$1999,"* ضد "&amp;$DL45)</f>
        <v>18</v>
      </c>
      <c r="DO45" s="26">
        <f t="shared" si="27"/>
        <v>11</v>
      </c>
      <c r="DP45" s="22"/>
      <c r="DQ45" s="26">
        <v>43</v>
      </c>
      <c r="DR45" s="27" t="s">
        <v>595</v>
      </c>
      <c r="DS45" s="26">
        <f>COUNTIF('58 فريقًا'!$E$4:$E$1999,$DQ45&amp;" ضد *")+COUNTIF('58 فريقًا'!$E$4:$E$1999,"* ضد "&amp;$DQ45)</f>
        <v>18</v>
      </c>
      <c r="DT45" s="26">
        <f t="shared" si="28"/>
        <v>18</v>
      </c>
      <c r="DU45" s="22"/>
      <c r="DV45" s="26">
        <v>43</v>
      </c>
      <c r="DW45" s="27" t="s">
        <v>595</v>
      </c>
      <c r="DX45" s="26">
        <f>COUNTIF('64 فريقًا'!$E$4:$E$1999,$DV45&amp;" ضد *")+COUNTIF('64 فريقًا'!$E$4:$E$1999,"* ضد "&amp;$DV45)</f>
        <v>18</v>
      </c>
      <c r="DY45" s="26">
        <f t="shared" si="29"/>
        <v>15</v>
      </c>
      <c r="DZ45" s="22"/>
      <c r="EA45" s="26">
        <v>43</v>
      </c>
      <c r="EB45" s="27" t="s">
        <v>595</v>
      </c>
      <c r="EC45" s="26">
        <f>COUNTIF('67 فريقًا'!$E$4:$E$1999,$EA45&amp;" ضد *")+COUNTIF('67 فريقًا'!$E$4:$E$1999,"* ضد "&amp;$EA45)</f>
        <v>18</v>
      </c>
      <c r="ED45" s="26">
        <f t="shared" si="30"/>
        <v>16</v>
      </c>
    </row>
    <row r="46" spans="1:134" ht="14.5">
      <c r="A46" s="26"/>
      <c r="B46" s="27"/>
      <c r="C46" s="26"/>
      <c r="D46" s="26"/>
      <c r="E46" s="22"/>
      <c r="F46" s="26"/>
      <c r="G46" s="27"/>
      <c r="H46" s="26"/>
      <c r="I46" s="26"/>
      <c r="J46" s="22"/>
      <c r="K46" s="26"/>
      <c r="L46" s="27"/>
      <c r="M46" s="26"/>
      <c r="N46" s="26"/>
      <c r="O46" s="22"/>
      <c r="P46" s="26"/>
      <c r="Q46" s="27"/>
      <c r="R46" s="26"/>
      <c r="S46" s="26"/>
      <c r="T46" s="22"/>
      <c r="U46" s="26"/>
      <c r="V46" s="27"/>
      <c r="W46" s="26"/>
      <c r="X46" s="26"/>
      <c r="Y46" s="22"/>
      <c r="Z46" s="26"/>
      <c r="AA46" s="27"/>
      <c r="AB46" s="26"/>
      <c r="AC46" s="26"/>
      <c r="AD46" s="22"/>
      <c r="AE46" s="26"/>
      <c r="AF46" s="27"/>
      <c r="AG46" s="26"/>
      <c r="AH46" s="26"/>
      <c r="AI46" s="22"/>
      <c r="AJ46" s="26"/>
      <c r="AK46" s="27"/>
      <c r="AL46" s="26"/>
      <c r="AM46" s="26"/>
      <c r="AN46" s="22"/>
      <c r="AO46" s="26"/>
      <c r="AP46" s="27"/>
      <c r="AQ46" s="26"/>
      <c r="AR46" s="26"/>
      <c r="AS46" s="22"/>
      <c r="AT46" s="26"/>
      <c r="AU46" s="27"/>
      <c r="AV46" s="26"/>
      <c r="AW46" s="26"/>
      <c r="AX46" s="22"/>
      <c r="AY46" s="26"/>
      <c r="AZ46" s="27"/>
      <c r="BA46" s="26"/>
      <c r="BB46" s="26"/>
      <c r="BC46" s="22"/>
      <c r="BD46" s="26"/>
      <c r="BE46" s="27"/>
      <c r="BF46" s="26"/>
      <c r="BG46" s="26"/>
      <c r="BH46" s="22"/>
      <c r="BI46" s="26"/>
      <c r="BJ46" s="27"/>
      <c r="BK46" s="26"/>
      <c r="BL46" s="26"/>
      <c r="BM46" s="22"/>
      <c r="BN46" s="26"/>
      <c r="BO46" s="27"/>
      <c r="BP46" s="26"/>
      <c r="BQ46" s="26"/>
      <c r="BR46" s="22"/>
      <c r="BS46" s="26"/>
      <c r="BT46" s="27"/>
      <c r="BU46" s="26"/>
      <c r="BV46" s="26"/>
      <c r="BW46" s="22"/>
      <c r="BX46" s="26"/>
      <c r="BY46" s="27"/>
      <c r="BZ46" s="26"/>
      <c r="CA46" s="26"/>
      <c r="CB46" s="22"/>
      <c r="CC46" s="26"/>
      <c r="CD46" s="27"/>
      <c r="CE46" s="26"/>
      <c r="CF46" s="26"/>
      <c r="CG46" s="22"/>
      <c r="CH46" s="26"/>
      <c r="CI46" s="27"/>
      <c r="CJ46" s="26"/>
      <c r="CK46" s="26"/>
      <c r="CL46" s="22"/>
      <c r="CM46" s="26"/>
      <c r="CN46" s="27"/>
      <c r="CO46" s="26"/>
      <c r="CP46" s="26"/>
      <c r="CQ46" s="22"/>
      <c r="CR46" s="26"/>
      <c r="CS46" s="27"/>
      <c r="CT46" s="26"/>
      <c r="CU46" s="26"/>
      <c r="CV46" s="22"/>
      <c r="CW46" s="26"/>
      <c r="CX46" s="27"/>
      <c r="CY46" s="26"/>
      <c r="CZ46" s="26"/>
      <c r="DA46" s="22"/>
      <c r="DB46" s="26"/>
      <c r="DC46" s="27"/>
      <c r="DD46" s="26"/>
      <c r="DE46" s="26"/>
      <c r="DF46" s="22"/>
      <c r="DG46" s="26">
        <v>44</v>
      </c>
      <c r="DH46" s="27" t="s">
        <v>596</v>
      </c>
      <c r="DI46" s="26">
        <f>COUNTIF('46 فريقًا'!$E$4:$E$1999,$DG46&amp;" ضد *")+COUNTIF('46 فريقًا'!$E$4:$E$1999,"* ضد "&amp;$DG46)</f>
        <v>18</v>
      </c>
      <c r="DJ46" s="26">
        <f t="shared" si="22"/>
        <v>9</v>
      </c>
      <c r="DK46" s="22"/>
      <c r="DL46" s="26">
        <v>44</v>
      </c>
      <c r="DM46" s="27" t="s">
        <v>596</v>
      </c>
      <c r="DN46" s="26">
        <f>COUNTIF('54 فريقًا'!$E$4:$E$1999,$DL46&amp;" ضد *")+COUNTIF('54 فريقًا'!$E$4:$E$1999,"* ضد "&amp;$DL46)</f>
        <v>18</v>
      </c>
      <c r="DO46" s="26">
        <f t="shared" si="27"/>
        <v>11</v>
      </c>
      <c r="DP46" s="22"/>
      <c r="DQ46" s="26">
        <v>44</v>
      </c>
      <c r="DR46" s="27" t="s">
        <v>595</v>
      </c>
      <c r="DS46" s="26">
        <f>COUNTIF('58 فريقًا'!$E$4:$E$1999,$DQ46&amp;" ضد *")+COUNTIF('58 فريقًا'!$E$4:$E$1999,"* ضد "&amp;$DQ46)</f>
        <v>18</v>
      </c>
      <c r="DT46" s="26">
        <f t="shared" si="28"/>
        <v>18</v>
      </c>
      <c r="DU46" s="22"/>
      <c r="DV46" s="26">
        <v>44</v>
      </c>
      <c r="DW46" s="27" t="s">
        <v>595</v>
      </c>
      <c r="DX46" s="26">
        <f>COUNTIF('64 فريقًا'!$E$4:$E$1999,$DV46&amp;" ضد *")+COUNTIF('64 فريقًا'!$E$4:$E$1999,"* ضد "&amp;$DV46)</f>
        <v>18</v>
      </c>
      <c r="DY46" s="26">
        <f t="shared" si="29"/>
        <v>15</v>
      </c>
      <c r="DZ46" s="22"/>
      <c r="EA46" s="26">
        <v>44</v>
      </c>
      <c r="EB46" s="27" t="s">
        <v>595</v>
      </c>
      <c r="EC46" s="26">
        <f>COUNTIF('67 فريقًا'!$E$4:$E$1999,$EA46&amp;" ضد *")+COUNTIF('67 فريقًا'!$E$4:$E$1999,"* ضد "&amp;$EA46)</f>
        <v>18</v>
      </c>
      <c r="ED46" s="26">
        <f t="shared" si="30"/>
        <v>16</v>
      </c>
    </row>
    <row r="47" spans="1:134" ht="14.5">
      <c r="A47" s="26"/>
      <c r="B47" s="27"/>
      <c r="C47" s="26"/>
      <c r="D47" s="26"/>
      <c r="E47" s="22"/>
      <c r="F47" s="26"/>
      <c r="G47" s="27"/>
      <c r="H47" s="26"/>
      <c r="I47" s="26"/>
      <c r="J47" s="22"/>
      <c r="K47" s="26"/>
      <c r="L47" s="27"/>
      <c r="M47" s="26"/>
      <c r="N47" s="26"/>
      <c r="O47" s="22"/>
      <c r="P47" s="26"/>
      <c r="Q47" s="27"/>
      <c r="R47" s="26"/>
      <c r="S47" s="26"/>
      <c r="T47" s="22"/>
      <c r="U47" s="26"/>
      <c r="V47" s="27"/>
      <c r="W47" s="26"/>
      <c r="X47" s="26"/>
      <c r="Y47" s="22"/>
      <c r="Z47" s="26"/>
      <c r="AA47" s="27"/>
      <c r="AB47" s="26"/>
      <c r="AC47" s="26"/>
      <c r="AD47" s="22"/>
      <c r="AE47" s="26"/>
      <c r="AF47" s="27"/>
      <c r="AG47" s="26"/>
      <c r="AH47" s="26"/>
      <c r="AI47" s="22"/>
      <c r="AJ47" s="26"/>
      <c r="AK47" s="27"/>
      <c r="AL47" s="26"/>
      <c r="AM47" s="26"/>
      <c r="AN47" s="22"/>
      <c r="AO47" s="26"/>
      <c r="AP47" s="27"/>
      <c r="AQ47" s="26"/>
      <c r="AR47" s="26"/>
      <c r="AS47" s="22"/>
      <c r="AT47" s="26"/>
      <c r="AU47" s="27"/>
      <c r="AV47" s="26"/>
      <c r="AW47" s="26"/>
      <c r="AX47" s="22"/>
      <c r="AY47" s="26"/>
      <c r="AZ47" s="27"/>
      <c r="BA47" s="26"/>
      <c r="BB47" s="26"/>
      <c r="BC47" s="22"/>
      <c r="BD47" s="26"/>
      <c r="BE47" s="27"/>
      <c r="BF47" s="26"/>
      <c r="BG47" s="26"/>
      <c r="BH47" s="22"/>
      <c r="BI47" s="26"/>
      <c r="BJ47" s="27"/>
      <c r="BK47" s="26"/>
      <c r="BL47" s="26"/>
      <c r="BM47" s="22"/>
      <c r="BN47" s="26"/>
      <c r="BO47" s="27"/>
      <c r="BP47" s="26"/>
      <c r="BQ47" s="26"/>
      <c r="BR47" s="22"/>
      <c r="BS47" s="26"/>
      <c r="BT47" s="27"/>
      <c r="BU47" s="26"/>
      <c r="BV47" s="26"/>
      <c r="BW47" s="22"/>
      <c r="BX47" s="26"/>
      <c r="BY47" s="27"/>
      <c r="BZ47" s="26"/>
      <c r="CA47" s="26"/>
      <c r="CB47" s="22"/>
      <c r="CC47" s="26"/>
      <c r="CD47" s="27"/>
      <c r="CE47" s="26"/>
      <c r="CF47" s="26"/>
      <c r="CG47" s="22"/>
      <c r="CH47" s="26"/>
      <c r="CI47" s="27"/>
      <c r="CJ47" s="26"/>
      <c r="CK47" s="26"/>
      <c r="CL47" s="22"/>
      <c r="CM47" s="26"/>
      <c r="CN47" s="27"/>
      <c r="CO47" s="26"/>
      <c r="CP47" s="26"/>
      <c r="CQ47" s="22"/>
      <c r="CR47" s="26"/>
      <c r="CS47" s="27"/>
      <c r="CT47" s="26"/>
      <c r="CU47" s="26"/>
      <c r="CV47" s="22"/>
      <c r="CW47" s="26"/>
      <c r="CX47" s="27"/>
      <c r="CY47" s="26"/>
      <c r="CZ47" s="26"/>
      <c r="DA47" s="22"/>
      <c r="DB47" s="26"/>
      <c r="DC47" s="27"/>
      <c r="DD47" s="26"/>
      <c r="DE47" s="26"/>
      <c r="DF47" s="22"/>
      <c r="DG47" s="26">
        <v>45</v>
      </c>
      <c r="DH47" s="27" t="s">
        <v>596</v>
      </c>
      <c r="DI47" s="26">
        <f>COUNTIF('46 فريقًا'!$E$4:$E$1999,$DG47&amp;" ضد *")+COUNTIF('46 فريقًا'!$E$4:$E$1999,"* ضد "&amp;$DG47)</f>
        <v>18</v>
      </c>
      <c r="DJ47" s="26">
        <f t="shared" si="22"/>
        <v>9</v>
      </c>
      <c r="DK47" s="22"/>
      <c r="DL47" s="26">
        <v>45</v>
      </c>
      <c r="DM47" s="27" t="s">
        <v>596</v>
      </c>
      <c r="DN47" s="26">
        <f>COUNTIF('54 فريقًا'!$E$4:$E$1999,$DL47&amp;" ضد *")+COUNTIF('54 فريقًا'!$E$4:$E$1999,"* ضد "&amp;$DL47)</f>
        <v>18</v>
      </c>
      <c r="DO47" s="26">
        <f t="shared" si="27"/>
        <v>11</v>
      </c>
      <c r="DP47" s="22"/>
      <c r="DQ47" s="26">
        <v>45</v>
      </c>
      <c r="DR47" s="27" t="s">
        <v>595</v>
      </c>
      <c r="DS47" s="26">
        <f>COUNTIF('58 فريقًا'!$E$4:$E$1999,$DQ47&amp;" ضد *")+COUNTIF('58 فريقًا'!$E$4:$E$1999,"* ضد "&amp;$DQ47)</f>
        <v>18</v>
      </c>
      <c r="DT47" s="26">
        <f t="shared" si="28"/>
        <v>18</v>
      </c>
      <c r="DU47" s="22"/>
      <c r="DV47" s="26">
        <v>45</v>
      </c>
      <c r="DW47" s="27" t="s">
        <v>595</v>
      </c>
      <c r="DX47" s="26">
        <f>COUNTIF('64 فريقًا'!$E$4:$E$1999,$DV47&amp;" ضد *")+COUNTIF('64 فريقًا'!$E$4:$E$1999,"* ضد "&amp;$DV47)</f>
        <v>18</v>
      </c>
      <c r="DY47" s="26">
        <f t="shared" si="29"/>
        <v>15</v>
      </c>
      <c r="DZ47" s="22"/>
      <c r="EA47" s="26">
        <v>45</v>
      </c>
      <c r="EB47" s="27" t="s">
        <v>595</v>
      </c>
      <c r="EC47" s="26">
        <f>COUNTIF('67 فريقًا'!$E$4:$E$1999,$EA47&amp;" ضد *")+COUNTIF('67 فريقًا'!$E$4:$E$1999,"* ضد "&amp;$EA47)</f>
        <v>18</v>
      </c>
      <c r="ED47" s="26">
        <f t="shared" si="30"/>
        <v>16</v>
      </c>
    </row>
    <row r="48" spans="1:134" ht="14.5">
      <c r="A48" s="26"/>
      <c r="B48" s="27"/>
      <c r="C48" s="26"/>
      <c r="D48" s="26"/>
      <c r="E48" s="22"/>
      <c r="F48" s="26"/>
      <c r="G48" s="27"/>
      <c r="H48" s="26"/>
      <c r="I48" s="26"/>
      <c r="J48" s="22"/>
      <c r="K48" s="26"/>
      <c r="L48" s="27"/>
      <c r="M48" s="26"/>
      <c r="N48" s="26"/>
      <c r="O48" s="22"/>
      <c r="P48" s="26"/>
      <c r="Q48" s="27"/>
      <c r="R48" s="26"/>
      <c r="S48" s="26"/>
      <c r="T48" s="22"/>
      <c r="U48" s="26"/>
      <c r="V48" s="27"/>
      <c r="W48" s="26"/>
      <c r="X48" s="26"/>
      <c r="Y48" s="22"/>
      <c r="Z48" s="26"/>
      <c r="AA48" s="27"/>
      <c r="AB48" s="26"/>
      <c r="AC48" s="26"/>
      <c r="AD48" s="22"/>
      <c r="AE48" s="26"/>
      <c r="AF48" s="27"/>
      <c r="AG48" s="26"/>
      <c r="AH48" s="26"/>
      <c r="AI48" s="22"/>
      <c r="AJ48" s="26"/>
      <c r="AK48" s="27"/>
      <c r="AL48" s="26"/>
      <c r="AM48" s="26"/>
      <c r="AN48" s="22"/>
      <c r="AO48" s="26"/>
      <c r="AP48" s="27"/>
      <c r="AQ48" s="26"/>
      <c r="AR48" s="26"/>
      <c r="AS48" s="22"/>
      <c r="AT48" s="26"/>
      <c r="AU48" s="27"/>
      <c r="AV48" s="26"/>
      <c r="AW48" s="26"/>
      <c r="AX48" s="22"/>
      <c r="AY48" s="26"/>
      <c r="AZ48" s="27"/>
      <c r="BA48" s="26"/>
      <c r="BB48" s="26"/>
      <c r="BC48" s="22"/>
      <c r="BD48" s="26"/>
      <c r="BE48" s="27"/>
      <c r="BF48" s="26"/>
      <c r="BG48" s="26"/>
      <c r="BH48" s="22"/>
      <c r="BI48" s="26"/>
      <c r="BJ48" s="27"/>
      <c r="BK48" s="26"/>
      <c r="BL48" s="26"/>
      <c r="BM48" s="22"/>
      <c r="BN48" s="26"/>
      <c r="BO48" s="27"/>
      <c r="BP48" s="26"/>
      <c r="BQ48" s="26"/>
      <c r="BR48" s="22"/>
      <c r="BS48" s="26"/>
      <c r="BT48" s="27"/>
      <c r="BU48" s="26"/>
      <c r="BV48" s="26"/>
      <c r="BW48" s="22"/>
      <c r="BX48" s="26"/>
      <c r="BY48" s="27"/>
      <c r="BZ48" s="26"/>
      <c r="CA48" s="26"/>
      <c r="CB48" s="22"/>
      <c r="CC48" s="26"/>
      <c r="CD48" s="27"/>
      <c r="CE48" s="26"/>
      <c r="CF48" s="26"/>
      <c r="CG48" s="22"/>
      <c r="CH48" s="26"/>
      <c r="CI48" s="27"/>
      <c r="CJ48" s="26"/>
      <c r="CK48" s="26"/>
      <c r="CL48" s="22"/>
      <c r="CM48" s="26"/>
      <c r="CN48" s="27"/>
      <c r="CO48" s="26"/>
      <c r="CP48" s="26"/>
      <c r="CQ48" s="22"/>
      <c r="CR48" s="26"/>
      <c r="CS48" s="27"/>
      <c r="CT48" s="26"/>
      <c r="CU48" s="26"/>
      <c r="CV48" s="22"/>
      <c r="CW48" s="26"/>
      <c r="CX48" s="27"/>
      <c r="CY48" s="26"/>
      <c r="CZ48" s="26"/>
      <c r="DA48" s="22"/>
      <c r="DB48" s="26"/>
      <c r="DC48" s="27"/>
      <c r="DD48" s="26"/>
      <c r="DE48" s="26"/>
      <c r="DF48" s="22"/>
      <c r="DG48" s="26">
        <v>46</v>
      </c>
      <c r="DH48" s="27" t="s">
        <v>596</v>
      </c>
      <c r="DI48" s="26">
        <f>COUNTIF('46 فريقًا'!$E$4:$E$1999,$DG48&amp;" ضد *")+COUNTIF('46 فريقًا'!$E$4:$E$1999,"* ضد "&amp;$DG48)</f>
        <v>18</v>
      </c>
      <c r="DJ48" s="26">
        <f t="shared" si="22"/>
        <v>9</v>
      </c>
      <c r="DK48" s="22"/>
      <c r="DL48" s="26">
        <v>46</v>
      </c>
      <c r="DM48" s="27" t="s">
        <v>596</v>
      </c>
      <c r="DN48" s="26">
        <f>COUNTIF('54 فريقًا'!$E$4:$E$1999,$DL48&amp;" ضد *")+COUNTIF('54 فريقًا'!$E$4:$E$1999,"* ضد "&amp;$DL48)</f>
        <v>18</v>
      </c>
      <c r="DO48" s="26">
        <f t="shared" si="27"/>
        <v>11</v>
      </c>
      <c r="DP48" s="22"/>
      <c r="DQ48" s="26">
        <v>46</v>
      </c>
      <c r="DR48" s="27" t="s">
        <v>595</v>
      </c>
      <c r="DS48" s="26">
        <f>COUNTIF('58 فريقًا'!$E$4:$E$1999,$DQ48&amp;" ضد *")+COUNTIF('58 فريقًا'!$E$4:$E$1999,"* ضد "&amp;$DQ48)</f>
        <v>18</v>
      </c>
      <c r="DT48" s="26">
        <f t="shared" si="28"/>
        <v>18</v>
      </c>
      <c r="DU48" s="22"/>
      <c r="DV48" s="26">
        <v>46</v>
      </c>
      <c r="DW48" s="27" t="s">
        <v>595</v>
      </c>
      <c r="DX48" s="26">
        <f>COUNTIF('64 فريقًا'!$E$4:$E$1999,$DV48&amp;" ضد *")+COUNTIF('64 فريقًا'!$E$4:$E$1999,"* ضد "&amp;$DV48)</f>
        <v>18</v>
      </c>
      <c r="DY48" s="26">
        <f t="shared" si="29"/>
        <v>15</v>
      </c>
      <c r="DZ48" s="22"/>
      <c r="EA48" s="26">
        <v>46</v>
      </c>
      <c r="EB48" s="27" t="s">
        <v>595</v>
      </c>
      <c r="EC48" s="26">
        <f>COUNTIF('67 فريقًا'!$E$4:$E$1999,$EA48&amp;" ضد *")+COUNTIF('67 فريقًا'!$E$4:$E$1999,"* ضد "&amp;$EA48)</f>
        <v>18</v>
      </c>
      <c r="ED48" s="26">
        <f t="shared" si="30"/>
        <v>16</v>
      </c>
    </row>
    <row r="49" spans="1:134" ht="14.5">
      <c r="A49" s="26"/>
      <c r="B49" s="27"/>
      <c r="C49" s="26"/>
      <c r="D49" s="26"/>
      <c r="E49" s="22"/>
      <c r="F49" s="26"/>
      <c r="G49" s="27"/>
      <c r="H49" s="26"/>
      <c r="I49" s="26"/>
      <c r="J49" s="22"/>
      <c r="K49" s="26"/>
      <c r="L49" s="27"/>
      <c r="M49" s="26"/>
      <c r="N49" s="26"/>
      <c r="O49" s="22"/>
      <c r="P49" s="26"/>
      <c r="Q49" s="27"/>
      <c r="R49" s="26"/>
      <c r="S49" s="26"/>
      <c r="T49" s="22"/>
      <c r="U49" s="26"/>
      <c r="V49" s="27"/>
      <c r="W49" s="26"/>
      <c r="X49" s="26"/>
      <c r="Y49" s="22"/>
      <c r="Z49" s="26"/>
      <c r="AA49" s="27"/>
      <c r="AB49" s="26"/>
      <c r="AC49" s="26"/>
      <c r="AD49" s="22"/>
      <c r="AE49" s="26"/>
      <c r="AF49" s="27"/>
      <c r="AG49" s="26"/>
      <c r="AH49" s="26"/>
      <c r="AI49" s="22"/>
      <c r="AJ49" s="26"/>
      <c r="AK49" s="27"/>
      <c r="AL49" s="26"/>
      <c r="AM49" s="26"/>
      <c r="AN49" s="22"/>
      <c r="AO49" s="26"/>
      <c r="AP49" s="27"/>
      <c r="AQ49" s="26"/>
      <c r="AR49" s="26"/>
      <c r="AS49" s="22"/>
      <c r="AT49" s="26"/>
      <c r="AU49" s="27"/>
      <c r="AV49" s="26"/>
      <c r="AW49" s="26"/>
      <c r="AX49" s="22"/>
      <c r="AY49" s="26"/>
      <c r="AZ49" s="27"/>
      <c r="BA49" s="26"/>
      <c r="BB49" s="26"/>
      <c r="BC49" s="22"/>
      <c r="BD49" s="26"/>
      <c r="BE49" s="27"/>
      <c r="BF49" s="26"/>
      <c r="BG49" s="26"/>
      <c r="BH49" s="22"/>
      <c r="BI49" s="26"/>
      <c r="BJ49" s="27"/>
      <c r="BK49" s="26"/>
      <c r="BL49" s="26"/>
      <c r="BM49" s="22"/>
      <c r="BN49" s="26"/>
      <c r="BO49" s="27"/>
      <c r="BP49" s="26"/>
      <c r="BQ49" s="26"/>
      <c r="BR49" s="22"/>
      <c r="BS49" s="26"/>
      <c r="BT49" s="27"/>
      <c r="BU49" s="26"/>
      <c r="BV49" s="26"/>
      <c r="BW49" s="22"/>
      <c r="BX49" s="26"/>
      <c r="BY49" s="27"/>
      <c r="BZ49" s="26"/>
      <c r="CA49" s="26"/>
      <c r="CB49" s="22"/>
      <c r="CC49" s="26"/>
      <c r="CD49" s="27"/>
      <c r="CE49" s="26"/>
      <c r="CF49" s="26"/>
      <c r="CG49" s="22"/>
      <c r="CH49" s="26"/>
      <c r="CI49" s="27"/>
      <c r="CJ49" s="26"/>
      <c r="CK49" s="26"/>
      <c r="CL49" s="22"/>
      <c r="CM49" s="26"/>
      <c r="CN49" s="27"/>
      <c r="CO49" s="26"/>
      <c r="CP49" s="26"/>
      <c r="CQ49" s="22"/>
      <c r="CR49" s="26"/>
      <c r="CS49" s="27"/>
      <c r="CT49" s="26"/>
      <c r="CU49" s="26"/>
      <c r="CV49" s="22"/>
      <c r="CW49" s="26"/>
      <c r="CX49" s="27"/>
      <c r="CY49" s="26"/>
      <c r="CZ49" s="26"/>
      <c r="DA49" s="22"/>
      <c r="DB49" s="26"/>
      <c r="DC49" s="27"/>
      <c r="DD49" s="26"/>
      <c r="DE49" s="26"/>
      <c r="DF49" s="22"/>
      <c r="DG49" s="26"/>
      <c r="DH49" s="27"/>
      <c r="DI49" s="26"/>
      <c r="DJ49" s="26"/>
      <c r="DK49" s="22"/>
      <c r="DL49" s="26">
        <v>47</v>
      </c>
      <c r="DM49" s="27" t="s">
        <v>596</v>
      </c>
      <c r="DN49" s="26">
        <f>COUNTIF('54 فريقًا'!$E$4:$E$1999,$DL49&amp;" ضد *")+COUNTIF('54 فريقًا'!$E$4:$E$1999,"* ضد "&amp;$DL49)</f>
        <v>18</v>
      </c>
      <c r="DO49" s="26">
        <f t="shared" si="27"/>
        <v>11</v>
      </c>
      <c r="DP49" s="22"/>
      <c r="DQ49" s="26">
        <v>47</v>
      </c>
      <c r="DR49" s="27" t="s">
        <v>595</v>
      </c>
      <c r="DS49" s="26">
        <f>COUNTIF('58 فريقًا'!$E$4:$E$1999,$DQ49&amp;" ضد *")+COUNTIF('58 فريقًا'!$E$4:$E$1999,"* ضد "&amp;$DQ49)</f>
        <v>18</v>
      </c>
      <c r="DT49" s="26">
        <f t="shared" si="28"/>
        <v>18</v>
      </c>
      <c r="DU49" s="22"/>
      <c r="DV49" s="26">
        <v>47</v>
      </c>
      <c r="DW49" s="27" t="s">
        <v>595</v>
      </c>
      <c r="DX49" s="26">
        <f>COUNTIF('64 فريقًا'!$E$4:$E$1999,$DV49&amp;" ضد *")+COUNTIF('64 فريقًا'!$E$4:$E$1999,"* ضد "&amp;$DV49)</f>
        <v>18</v>
      </c>
      <c r="DY49" s="26">
        <f t="shared" si="29"/>
        <v>15</v>
      </c>
      <c r="DZ49" s="22"/>
      <c r="EA49" s="26">
        <v>47</v>
      </c>
      <c r="EB49" s="27" t="s">
        <v>595</v>
      </c>
      <c r="EC49" s="26">
        <f>COUNTIF('67 فريقًا'!$E$4:$E$1999,$EA49&amp;" ضد *")+COUNTIF('67 فريقًا'!$E$4:$E$1999,"* ضد "&amp;$EA49)</f>
        <v>18</v>
      </c>
      <c r="ED49" s="26">
        <f t="shared" si="30"/>
        <v>16</v>
      </c>
    </row>
    <row r="50" spans="1:134" ht="14.5">
      <c r="A50" s="26"/>
      <c r="B50" s="27"/>
      <c r="C50" s="26"/>
      <c r="D50" s="26"/>
      <c r="E50" s="22"/>
      <c r="F50" s="26"/>
      <c r="G50" s="27"/>
      <c r="H50" s="26"/>
      <c r="I50" s="26"/>
      <c r="J50" s="22"/>
      <c r="K50" s="26"/>
      <c r="L50" s="27"/>
      <c r="M50" s="26"/>
      <c r="N50" s="26"/>
      <c r="O50" s="22"/>
      <c r="P50" s="26"/>
      <c r="Q50" s="27"/>
      <c r="R50" s="26"/>
      <c r="S50" s="26"/>
      <c r="T50" s="22"/>
      <c r="U50" s="26"/>
      <c r="V50" s="27"/>
      <c r="W50" s="26"/>
      <c r="X50" s="26"/>
      <c r="Y50" s="22"/>
      <c r="Z50" s="26"/>
      <c r="AA50" s="27"/>
      <c r="AB50" s="26"/>
      <c r="AC50" s="26"/>
      <c r="AD50" s="22"/>
      <c r="AE50" s="26"/>
      <c r="AF50" s="27"/>
      <c r="AG50" s="26"/>
      <c r="AH50" s="26"/>
      <c r="AI50" s="22"/>
      <c r="AJ50" s="26"/>
      <c r="AK50" s="27"/>
      <c r="AL50" s="26"/>
      <c r="AM50" s="26"/>
      <c r="AN50" s="22"/>
      <c r="AO50" s="26"/>
      <c r="AP50" s="27"/>
      <c r="AQ50" s="26"/>
      <c r="AR50" s="26"/>
      <c r="AS50" s="22"/>
      <c r="AT50" s="26"/>
      <c r="AU50" s="27"/>
      <c r="AV50" s="26"/>
      <c r="AW50" s="26"/>
      <c r="AX50" s="22"/>
      <c r="AY50" s="26"/>
      <c r="AZ50" s="27"/>
      <c r="BA50" s="26"/>
      <c r="BB50" s="26"/>
      <c r="BC50" s="22"/>
      <c r="BD50" s="26"/>
      <c r="BE50" s="27"/>
      <c r="BF50" s="26"/>
      <c r="BG50" s="26"/>
      <c r="BH50" s="22"/>
      <c r="BI50" s="26"/>
      <c r="BJ50" s="27"/>
      <c r="BK50" s="26"/>
      <c r="BL50" s="26"/>
      <c r="BM50" s="22"/>
      <c r="BN50" s="26"/>
      <c r="BO50" s="27"/>
      <c r="BP50" s="26"/>
      <c r="BQ50" s="26"/>
      <c r="BR50" s="22"/>
      <c r="BS50" s="26"/>
      <c r="BT50" s="27"/>
      <c r="BU50" s="26"/>
      <c r="BV50" s="26"/>
      <c r="BW50" s="22"/>
      <c r="BX50" s="26"/>
      <c r="BY50" s="27"/>
      <c r="BZ50" s="26"/>
      <c r="CA50" s="26"/>
      <c r="CB50" s="22"/>
      <c r="CC50" s="26"/>
      <c r="CD50" s="27"/>
      <c r="CE50" s="26"/>
      <c r="CF50" s="26"/>
      <c r="CG50" s="22"/>
      <c r="CH50" s="26"/>
      <c r="CI50" s="27"/>
      <c r="CJ50" s="26"/>
      <c r="CK50" s="26"/>
      <c r="CL50" s="22"/>
      <c r="CM50" s="26"/>
      <c r="CN50" s="27"/>
      <c r="CO50" s="26"/>
      <c r="CP50" s="26"/>
      <c r="CQ50" s="22"/>
      <c r="CR50" s="26"/>
      <c r="CS50" s="27"/>
      <c r="CT50" s="26"/>
      <c r="CU50" s="26"/>
      <c r="CV50" s="22"/>
      <c r="CW50" s="26"/>
      <c r="CX50" s="27"/>
      <c r="CY50" s="26"/>
      <c r="CZ50" s="26"/>
      <c r="DA50" s="22"/>
      <c r="DB50" s="26"/>
      <c r="DC50" s="27"/>
      <c r="DD50" s="26"/>
      <c r="DE50" s="26"/>
      <c r="DF50" s="22"/>
      <c r="DG50" s="26"/>
      <c r="DH50" s="27"/>
      <c r="DI50" s="26"/>
      <c r="DJ50" s="26"/>
      <c r="DK50" s="22"/>
      <c r="DL50" s="26">
        <v>48</v>
      </c>
      <c r="DM50" s="27" t="s">
        <v>596</v>
      </c>
      <c r="DN50" s="26">
        <f>COUNTIF('54 فريقًا'!$E$4:$E$1999,$DL50&amp;" ضد *")+COUNTIF('54 فريقًا'!$E$4:$E$1999,"* ضد "&amp;$DL50)</f>
        <v>18</v>
      </c>
      <c r="DO50" s="26">
        <f t="shared" si="27"/>
        <v>11</v>
      </c>
      <c r="DP50" s="22"/>
      <c r="DQ50" s="26">
        <v>48</v>
      </c>
      <c r="DR50" s="27" t="s">
        <v>595</v>
      </c>
      <c r="DS50" s="26">
        <f>COUNTIF('58 فريقًا'!$E$4:$E$1999,$DQ50&amp;" ضد *")+COUNTIF('58 فريقًا'!$E$4:$E$1999,"* ضد "&amp;$DQ50)</f>
        <v>18</v>
      </c>
      <c r="DT50" s="26">
        <f t="shared" si="28"/>
        <v>18</v>
      </c>
      <c r="DU50" s="22"/>
      <c r="DV50" s="26">
        <v>48</v>
      </c>
      <c r="DW50" s="27" t="s">
        <v>595</v>
      </c>
      <c r="DX50" s="26">
        <f>COUNTIF('64 فريقًا'!$E$4:$E$1999,$DV50&amp;" ضد *")+COUNTIF('64 فريقًا'!$E$4:$E$1999,"* ضد "&amp;$DV50)</f>
        <v>18</v>
      </c>
      <c r="DY50" s="26">
        <f t="shared" si="29"/>
        <v>15</v>
      </c>
      <c r="DZ50" s="22"/>
      <c r="EA50" s="26">
        <v>48</v>
      </c>
      <c r="EB50" s="27" t="s">
        <v>595</v>
      </c>
      <c r="EC50" s="26">
        <f>COUNTIF('67 فريقًا'!$E$4:$E$1999,$EA50&amp;" ضد *")+COUNTIF('67 فريقًا'!$E$4:$E$1999,"* ضد "&amp;$EA50)</f>
        <v>18</v>
      </c>
      <c r="ED50" s="26">
        <f t="shared" si="30"/>
        <v>16</v>
      </c>
    </row>
    <row r="51" spans="1:134" ht="14.5">
      <c r="A51" s="26"/>
      <c r="B51" s="27"/>
      <c r="C51" s="26"/>
      <c r="D51" s="26"/>
      <c r="E51" s="22"/>
      <c r="F51" s="26"/>
      <c r="G51" s="27"/>
      <c r="H51" s="26"/>
      <c r="I51" s="26"/>
      <c r="J51" s="22"/>
      <c r="K51" s="26"/>
      <c r="L51" s="27"/>
      <c r="M51" s="26"/>
      <c r="N51" s="26"/>
      <c r="O51" s="22"/>
      <c r="P51" s="26"/>
      <c r="Q51" s="27"/>
      <c r="R51" s="26"/>
      <c r="S51" s="26"/>
      <c r="T51" s="22"/>
      <c r="U51" s="26"/>
      <c r="V51" s="27"/>
      <c r="W51" s="26"/>
      <c r="X51" s="26"/>
      <c r="Y51" s="22"/>
      <c r="Z51" s="26"/>
      <c r="AA51" s="27"/>
      <c r="AB51" s="26"/>
      <c r="AC51" s="26"/>
      <c r="AD51" s="22"/>
      <c r="AE51" s="26"/>
      <c r="AF51" s="27"/>
      <c r="AG51" s="26"/>
      <c r="AH51" s="26"/>
      <c r="AI51" s="22"/>
      <c r="AJ51" s="26"/>
      <c r="AK51" s="27"/>
      <c r="AL51" s="26"/>
      <c r="AM51" s="26"/>
      <c r="AN51" s="22"/>
      <c r="AO51" s="26"/>
      <c r="AP51" s="27"/>
      <c r="AQ51" s="26"/>
      <c r="AR51" s="26"/>
      <c r="AS51" s="22"/>
      <c r="AT51" s="26"/>
      <c r="AU51" s="27"/>
      <c r="AV51" s="26"/>
      <c r="AW51" s="26"/>
      <c r="AX51" s="22"/>
      <c r="AY51" s="26"/>
      <c r="AZ51" s="27"/>
      <c r="BA51" s="26"/>
      <c r="BB51" s="26"/>
      <c r="BC51" s="22"/>
      <c r="BD51" s="26"/>
      <c r="BE51" s="27"/>
      <c r="BF51" s="26"/>
      <c r="BG51" s="26"/>
      <c r="BH51" s="22"/>
      <c r="BI51" s="26"/>
      <c r="BJ51" s="27"/>
      <c r="BK51" s="26"/>
      <c r="BL51" s="26"/>
      <c r="BM51" s="22"/>
      <c r="BN51" s="26"/>
      <c r="BO51" s="27"/>
      <c r="BP51" s="26"/>
      <c r="BQ51" s="26"/>
      <c r="BR51" s="22"/>
      <c r="BS51" s="26"/>
      <c r="BT51" s="27"/>
      <c r="BU51" s="26"/>
      <c r="BV51" s="26"/>
      <c r="BW51" s="22"/>
      <c r="BX51" s="26"/>
      <c r="BY51" s="27"/>
      <c r="BZ51" s="26"/>
      <c r="CA51" s="26"/>
      <c r="CB51" s="22"/>
      <c r="CC51" s="26"/>
      <c r="CD51" s="27"/>
      <c r="CE51" s="26"/>
      <c r="CF51" s="26"/>
      <c r="CG51" s="22"/>
      <c r="CH51" s="26"/>
      <c r="CI51" s="27"/>
      <c r="CJ51" s="26"/>
      <c r="CK51" s="26"/>
      <c r="CL51" s="22"/>
      <c r="CM51" s="26"/>
      <c r="CN51" s="27"/>
      <c r="CO51" s="26"/>
      <c r="CP51" s="26"/>
      <c r="CQ51" s="22"/>
      <c r="CR51" s="26"/>
      <c r="CS51" s="27"/>
      <c r="CT51" s="26"/>
      <c r="CU51" s="26"/>
      <c r="CV51" s="22"/>
      <c r="CW51" s="26"/>
      <c r="CX51" s="27"/>
      <c r="CY51" s="26"/>
      <c r="CZ51" s="26"/>
      <c r="DA51" s="22"/>
      <c r="DB51" s="26"/>
      <c r="DC51" s="27"/>
      <c r="DD51" s="26"/>
      <c r="DE51" s="26"/>
      <c r="DF51" s="22"/>
      <c r="DG51" s="26"/>
      <c r="DH51" s="27"/>
      <c r="DI51" s="26"/>
      <c r="DJ51" s="26"/>
      <c r="DK51" s="22"/>
      <c r="DL51" s="26">
        <v>49</v>
      </c>
      <c r="DM51" s="27" t="s">
        <v>596</v>
      </c>
      <c r="DN51" s="26">
        <f>COUNTIF('54 فريقًا'!$E$4:$E$1999,$DL51&amp;" ضد *")+COUNTIF('54 فريقًا'!$E$4:$E$1999,"* ضد "&amp;$DL51)</f>
        <v>18</v>
      </c>
      <c r="DO51" s="26">
        <f t="shared" si="27"/>
        <v>11</v>
      </c>
      <c r="DP51" s="22"/>
      <c r="DQ51" s="26">
        <v>49</v>
      </c>
      <c r="DR51" s="27" t="s">
        <v>595</v>
      </c>
      <c r="DS51" s="26">
        <f>COUNTIF('58 فريقًا'!$E$4:$E$1999,$DQ51&amp;" ضد *")+COUNTIF('58 فريقًا'!$E$4:$E$1999,"* ضد "&amp;$DQ51)</f>
        <v>18</v>
      </c>
      <c r="DT51" s="26">
        <f t="shared" si="28"/>
        <v>18</v>
      </c>
      <c r="DU51" s="22"/>
      <c r="DV51" s="26">
        <v>49</v>
      </c>
      <c r="DW51" s="27" t="s">
        <v>596</v>
      </c>
      <c r="DX51" s="26">
        <f>COUNTIF('64 فريقًا'!$E$4:$E$1999,$DV51&amp;" ضد *")+COUNTIF('64 فريقًا'!$E$4:$E$1999,"* ضد "&amp;$DV51)</f>
        <v>18</v>
      </c>
      <c r="DY51" s="26">
        <f t="shared" si="29"/>
        <v>15</v>
      </c>
      <c r="DZ51" s="22"/>
      <c r="EA51" s="26">
        <v>49</v>
      </c>
      <c r="EB51" s="27" t="s">
        <v>595</v>
      </c>
      <c r="EC51" s="26">
        <f>COUNTIF('67 فريقًا'!$E$4:$E$1999,$EA51&amp;" ضد *")+COUNTIF('67 فريقًا'!$E$4:$E$1999,"* ضد "&amp;$EA51)</f>
        <v>18</v>
      </c>
      <c r="ED51" s="26">
        <f t="shared" si="30"/>
        <v>16</v>
      </c>
    </row>
    <row r="52" spans="1:134" ht="14.5">
      <c r="A52" s="26"/>
      <c r="B52" s="27"/>
      <c r="C52" s="26"/>
      <c r="D52" s="26"/>
      <c r="E52" s="22"/>
      <c r="F52" s="26"/>
      <c r="G52" s="27"/>
      <c r="H52" s="26"/>
      <c r="I52" s="26"/>
      <c r="J52" s="22"/>
      <c r="K52" s="26"/>
      <c r="L52" s="27"/>
      <c r="M52" s="26"/>
      <c r="N52" s="26"/>
      <c r="O52" s="22"/>
      <c r="P52" s="26"/>
      <c r="Q52" s="27"/>
      <c r="R52" s="26"/>
      <c r="S52" s="26"/>
      <c r="T52" s="22"/>
      <c r="U52" s="26"/>
      <c r="V52" s="27"/>
      <c r="W52" s="26"/>
      <c r="X52" s="26"/>
      <c r="Y52" s="22"/>
      <c r="Z52" s="26"/>
      <c r="AA52" s="27"/>
      <c r="AB52" s="26"/>
      <c r="AC52" s="26"/>
      <c r="AD52" s="22"/>
      <c r="AE52" s="26"/>
      <c r="AF52" s="27"/>
      <c r="AG52" s="26"/>
      <c r="AH52" s="26"/>
      <c r="AI52" s="22"/>
      <c r="AJ52" s="26"/>
      <c r="AK52" s="27"/>
      <c r="AL52" s="26"/>
      <c r="AM52" s="26"/>
      <c r="AN52" s="22"/>
      <c r="AO52" s="26"/>
      <c r="AP52" s="27"/>
      <c r="AQ52" s="26"/>
      <c r="AR52" s="26"/>
      <c r="AS52" s="22"/>
      <c r="AT52" s="26"/>
      <c r="AU52" s="27"/>
      <c r="AV52" s="26"/>
      <c r="AW52" s="26"/>
      <c r="AX52" s="22"/>
      <c r="AY52" s="26"/>
      <c r="AZ52" s="27"/>
      <c r="BA52" s="26"/>
      <c r="BB52" s="26"/>
      <c r="BC52" s="22"/>
      <c r="BD52" s="26"/>
      <c r="BE52" s="27"/>
      <c r="BF52" s="26"/>
      <c r="BG52" s="26"/>
      <c r="BH52" s="22"/>
      <c r="BI52" s="26"/>
      <c r="BJ52" s="27"/>
      <c r="BK52" s="26"/>
      <c r="BL52" s="26"/>
      <c r="BM52" s="22"/>
      <c r="BN52" s="26"/>
      <c r="BO52" s="27"/>
      <c r="BP52" s="26"/>
      <c r="BQ52" s="26"/>
      <c r="BR52" s="22"/>
      <c r="BS52" s="26"/>
      <c r="BT52" s="27"/>
      <c r="BU52" s="26"/>
      <c r="BV52" s="26"/>
      <c r="BW52" s="22"/>
      <c r="BX52" s="26"/>
      <c r="BY52" s="27"/>
      <c r="BZ52" s="26"/>
      <c r="CA52" s="26"/>
      <c r="CB52" s="22"/>
      <c r="CC52" s="26"/>
      <c r="CD52" s="27"/>
      <c r="CE52" s="26"/>
      <c r="CF52" s="26"/>
      <c r="CG52" s="22"/>
      <c r="CH52" s="26"/>
      <c r="CI52" s="27"/>
      <c r="CJ52" s="26"/>
      <c r="CK52" s="26"/>
      <c r="CL52" s="22"/>
      <c r="CM52" s="26"/>
      <c r="CN52" s="27"/>
      <c r="CO52" s="26"/>
      <c r="CP52" s="26"/>
      <c r="CQ52" s="22"/>
      <c r="CR52" s="26"/>
      <c r="CS52" s="27"/>
      <c r="CT52" s="26"/>
      <c r="CU52" s="26"/>
      <c r="CV52" s="22"/>
      <c r="CW52" s="26"/>
      <c r="CX52" s="27"/>
      <c r="CY52" s="26"/>
      <c r="CZ52" s="26"/>
      <c r="DA52" s="22"/>
      <c r="DB52" s="26"/>
      <c r="DC52" s="27"/>
      <c r="DD52" s="26"/>
      <c r="DE52" s="26"/>
      <c r="DF52" s="22"/>
      <c r="DG52" s="26"/>
      <c r="DH52" s="27"/>
      <c r="DI52" s="26"/>
      <c r="DJ52" s="26"/>
      <c r="DK52" s="22"/>
      <c r="DL52" s="26">
        <v>50</v>
      </c>
      <c r="DM52" s="27" t="s">
        <v>596</v>
      </c>
      <c r="DN52" s="26">
        <f>COUNTIF('54 فريقًا'!$E$4:$E$1999,$DL52&amp;" ضد *")+COUNTIF('54 فريقًا'!$E$4:$E$1999,"* ضد "&amp;$DL52)</f>
        <v>18</v>
      </c>
      <c r="DO52" s="26">
        <f t="shared" si="27"/>
        <v>11</v>
      </c>
      <c r="DP52" s="22"/>
      <c r="DQ52" s="26">
        <v>50</v>
      </c>
      <c r="DR52" s="27" t="s">
        <v>595</v>
      </c>
      <c r="DS52" s="26">
        <f>COUNTIF('58 فريقًا'!$E$4:$E$1999,$DQ52&amp;" ضد *")+COUNTIF('58 فريقًا'!$E$4:$E$1999,"* ضد "&amp;$DQ52)</f>
        <v>18</v>
      </c>
      <c r="DT52" s="26">
        <f t="shared" si="28"/>
        <v>18</v>
      </c>
      <c r="DU52" s="22"/>
      <c r="DV52" s="26">
        <v>50</v>
      </c>
      <c r="DW52" s="27" t="s">
        <v>596</v>
      </c>
      <c r="DX52" s="26">
        <f>COUNTIF('64 فريقًا'!$E$4:$E$1999,$DV52&amp;" ضد *")+COUNTIF('64 فريقًا'!$E$4:$E$1999,"* ضد "&amp;$DV52)</f>
        <v>18</v>
      </c>
      <c r="DY52" s="26">
        <f t="shared" si="29"/>
        <v>15</v>
      </c>
      <c r="DZ52" s="22"/>
      <c r="EA52" s="26">
        <v>50</v>
      </c>
      <c r="EB52" s="27" t="s">
        <v>595</v>
      </c>
      <c r="EC52" s="26">
        <f>COUNTIF('67 فريقًا'!$E$4:$E$1999,$EA52&amp;" ضد *")+COUNTIF('67 فريقًا'!$E$4:$E$1999,"* ضد "&amp;$EA52)</f>
        <v>18</v>
      </c>
      <c r="ED52" s="26">
        <f t="shared" si="30"/>
        <v>16</v>
      </c>
    </row>
    <row r="53" spans="1:134" ht="14.5">
      <c r="A53" s="26"/>
      <c r="B53" s="27"/>
      <c r="C53" s="26"/>
      <c r="D53" s="26"/>
      <c r="E53" s="22"/>
      <c r="F53" s="26"/>
      <c r="G53" s="27"/>
      <c r="H53" s="26"/>
      <c r="I53" s="26"/>
      <c r="J53" s="22"/>
      <c r="K53" s="26"/>
      <c r="L53" s="27"/>
      <c r="M53" s="26"/>
      <c r="N53" s="26"/>
      <c r="O53" s="22"/>
      <c r="P53" s="26"/>
      <c r="Q53" s="27"/>
      <c r="R53" s="26"/>
      <c r="S53" s="26"/>
      <c r="T53" s="22"/>
      <c r="U53" s="26"/>
      <c r="V53" s="27"/>
      <c r="W53" s="26"/>
      <c r="X53" s="26"/>
      <c r="Y53" s="22"/>
      <c r="Z53" s="26"/>
      <c r="AA53" s="27"/>
      <c r="AB53" s="26"/>
      <c r="AC53" s="26"/>
      <c r="AD53" s="22"/>
      <c r="AE53" s="26"/>
      <c r="AF53" s="27"/>
      <c r="AG53" s="26"/>
      <c r="AH53" s="26"/>
      <c r="AI53" s="22"/>
      <c r="AJ53" s="26"/>
      <c r="AK53" s="27"/>
      <c r="AL53" s="26"/>
      <c r="AM53" s="26"/>
      <c r="AN53" s="22"/>
      <c r="AO53" s="26"/>
      <c r="AP53" s="27"/>
      <c r="AQ53" s="26"/>
      <c r="AR53" s="26"/>
      <c r="AS53" s="22"/>
      <c r="AT53" s="26"/>
      <c r="AU53" s="27"/>
      <c r="AV53" s="26"/>
      <c r="AW53" s="26"/>
      <c r="AX53" s="22"/>
      <c r="AY53" s="26"/>
      <c r="AZ53" s="27"/>
      <c r="BA53" s="26"/>
      <c r="BB53" s="26"/>
      <c r="BC53" s="22"/>
      <c r="BD53" s="26"/>
      <c r="BE53" s="27"/>
      <c r="BF53" s="26"/>
      <c r="BG53" s="26"/>
      <c r="BH53" s="22"/>
      <c r="BI53" s="26"/>
      <c r="BJ53" s="27"/>
      <c r="BK53" s="26"/>
      <c r="BL53" s="26"/>
      <c r="BM53" s="22"/>
      <c r="BN53" s="26"/>
      <c r="BO53" s="27"/>
      <c r="BP53" s="26"/>
      <c r="BQ53" s="26"/>
      <c r="BR53" s="22"/>
      <c r="BS53" s="26"/>
      <c r="BT53" s="27"/>
      <c r="BU53" s="26"/>
      <c r="BV53" s="26"/>
      <c r="BW53" s="22"/>
      <c r="BX53" s="26"/>
      <c r="BY53" s="27"/>
      <c r="BZ53" s="26"/>
      <c r="CA53" s="26"/>
      <c r="CB53" s="22"/>
      <c r="CC53" s="26"/>
      <c r="CD53" s="27"/>
      <c r="CE53" s="26"/>
      <c r="CF53" s="26"/>
      <c r="CG53" s="22"/>
      <c r="CH53" s="26"/>
      <c r="CI53" s="27"/>
      <c r="CJ53" s="26"/>
      <c r="CK53" s="26"/>
      <c r="CL53" s="22"/>
      <c r="CM53" s="26"/>
      <c r="CN53" s="27"/>
      <c r="CO53" s="26"/>
      <c r="CP53" s="26"/>
      <c r="CQ53" s="22"/>
      <c r="CR53" s="26"/>
      <c r="CS53" s="27"/>
      <c r="CT53" s="26"/>
      <c r="CU53" s="26"/>
      <c r="CV53" s="22"/>
      <c r="CW53" s="26"/>
      <c r="CX53" s="27"/>
      <c r="CY53" s="26"/>
      <c r="CZ53" s="26"/>
      <c r="DA53" s="22"/>
      <c r="DB53" s="26"/>
      <c r="DC53" s="27"/>
      <c r="DD53" s="26"/>
      <c r="DE53" s="26"/>
      <c r="DF53" s="22"/>
      <c r="DG53" s="26"/>
      <c r="DH53" s="27"/>
      <c r="DI53" s="26"/>
      <c r="DJ53" s="26"/>
      <c r="DK53" s="22"/>
      <c r="DL53" s="26">
        <v>51</v>
      </c>
      <c r="DM53" s="27" t="s">
        <v>596</v>
      </c>
      <c r="DN53" s="26">
        <f>COUNTIF('54 فريقًا'!$E$4:$E$1999,$DL53&amp;" ضد *")+COUNTIF('54 فريقًا'!$E$4:$E$1999,"* ضد "&amp;$DL53)</f>
        <v>18</v>
      </c>
      <c r="DO53" s="26">
        <f t="shared" si="27"/>
        <v>11</v>
      </c>
      <c r="DP53" s="22"/>
      <c r="DQ53" s="26">
        <v>51</v>
      </c>
      <c r="DR53" s="27" t="s">
        <v>595</v>
      </c>
      <c r="DS53" s="26">
        <f>COUNTIF('58 فريقًا'!$E$4:$E$1999,$DQ53&amp;" ضد *")+COUNTIF('58 فريقًا'!$E$4:$E$1999,"* ضد "&amp;$DQ53)</f>
        <v>18</v>
      </c>
      <c r="DT53" s="26">
        <f t="shared" si="28"/>
        <v>18</v>
      </c>
      <c r="DU53" s="22"/>
      <c r="DV53" s="26">
        <v>51</v>
      </c>
      <c r="DW53" s="27" t="s">
        <v>596</v>
      </c>
      <c r="DX53" s="26">
        <f>COUNTIF('64 فريقًا'!$E$4:$E$1999,$DV53&amp;" ضد *")+COUNTIF('64 فريقًا'!$E$4:$E$1999,"* ضد "&amp;$DV53)</f>
        <v>18</v>
      </c>
      <c r="DY53" s="26">
        <f t="shared" si="29"/>
        <v>15</v>
      </c>
      <c r="DZ53" s="22"/>
      <c r="EA53" s="26">
        <v>51</v>
      </c>
      <c r="EB53" s="27" t="s">
        <v>595</v>
      </c>
      <c r="EC53" s="26">
        <f>COUNTIF('67 فريقًا'!$E$4:$E$1999,$EA53&amp;" ضد *")+COUNTIF('67 فريقًا'!$E$4:$E$1999,"* ضد "&amp;$EA53)</f>
        <v>18</v>
      </c>
      <c r="ED53" s="26">
        <f t="shared" si="30"/>
        <v>16</v>
      </c>
    </row>
    <row r="54" spans="1:134" ht="14.5">
      <c r="A54" s="26"/>
      <c r="B54" s="27"/>
      <c r="C54" s="26"/>
      <c r="D54" s="26"/>
      <c r="E54" s="22"/>
      <c r="F54" s="26"/>
      <c r="G54" s="27"/>
      <c r="H54" s="26"/>
      <c r="I54" s="26"/>
      <c r="J54" s="22"/>
      <c r="K54" s="26"/>
      <c r="L54" s="27"/>
      <c r="M54" s="26"/>
      <c r="N54" s="26"/>
      <c r="O54" s="22"/>
      <c r="P54" s="26"/>
      <c r="Q54" s="27"/>
      <c r="R54" s="26"/>
      <c r="S54" s="26"/>
      <c r="T54" s="22"/>
      <c r="U54" s="26"/>
      <c r="V54" s="27"/>
      <c r="W54" s="26"/>
      <c r="X54" s="26"/>
      <c r="Y54" s="22"/>
      <c r="Z54" s="26"/>
      <c r="AA54" s="27"/>
      <c r="AB54" s="26"/>
      <c r="AC54" s="26"/>
      <c r="AD54" s="22"/>
      <c r="AE54" s="26"/>
      <c r="AF54" s="27"/>
      <c r="AG54" s="26"/>
      <c r="AH54" s="26"/>
      <c r="AI54" s="22"/>
      <c r="AJ54" s="26"/>
      <c r="AK54" s="27"/>
      <c r="AL54" s="26"/>
      <c r="AM54" s="26"/>
      <c r="AN54" s="22"/>
      <c r="AO54" s="26"/>
      <c r="AP54" s="27"/>
      <c r="AQ54" s="26"/>
      <c r="AR54" s="26"/>
      <c r="AS54" s="22"/>
      <c r="AT54" s="26"/>
      <c r="AU54" s="27"/>
      <c r="AV54" s="26"/>
      <c r="AW54" s="26"/>
      <c r="AX54" s="22"/>
      <c r="AY54" s="26"/>
      <c r="AZ54" s="27"/>
      <c r="BA54" s="26"/>
      <c r="BB54" s="26"/>
      <c r="BC54" s="22"/>
      <c r="BD54" s="26"/>
      <c r="BE54" s="27"/>
      <c r="BF54" s="26"/>
      <c r="BG54" s="26"/>
      <c r="BH54" s="22"/>
      <c r="BI54" s="26"/>
      <c r="BJ54" s="27"/>
      <c r="BK54" s="26"/>
      <c r="BL54" s="26"/>
      <c r="BM54" s="22"/>
      <c r="BN54" s="26"/>
      <c r="BO54" s="27"/>
      <c r="BP54" s="26"/>
      <c r="BQ54" s="26"/>
      <c r="BR54" s="22"/>
      <c r="BS54" s="26"/>
      <c r="BT54" s="27"/>
      <c r="BU54" s="26"/>
      <c r="BV54" s="26"/>
      <c r="BW54" s="22"/>
      <c r="BX54" s="26"/>
      <c r="BY54" s="27"/>
      <c r="BZ54" s="26"/>
      <c r="CA54" s="26"/>
      <c r="CB54" s="22"/>
      <c r="CC54" s="26"/>
      <c r="CD54" s="27"/>
      <c r="CE54" s="26"/>
      <c r="CF54" s="26"/>
      <c r="CG54" s="22"/>
      <c r="CH54" s="26"/>
      <c r="CI54" s="27"/>
      <c r="CJ54" s="26"/>
      <c r="CK54" s="26"/>
      <c r="CL54" s="22"/>
      <c r="CM54" s="26"/>
      <c r="CN54" s="27"/>
      <c r="CO54" s="26"/>
      <c r="CP54" s="26"/>
      <c r="CQ54" s="22"/>
      <c r="CR54" s="26"/>
      <c r="CS54" s="27"/>
      <c r="CT54" s="26"/>
      <c r="CU54" s="26"/>
      <c r="CV54" s="22"/>
      <c r="CW54" s="26"/>
      <c r="CX54" s="27"/>
      <c r="CY54" s="26"/>
      <c r="CZ54" s="26"/>
      <c r="DA54" s="22"/>
      <c r="DB54" s="26"/>
      <c r="DC54" s="27"/>
      <c r="DD54" s="26"/>
      <c r="DE54" s="26"/>
      <c r="DF54" s="22"/>
      <c r="DG54" s="26"/>
      <c r="DH54" s="27"/>
      <c r="DI54" s="26"/>
      <c r="DJ54" s="26"/>
      <c r="DK54" s="22"/>
      <c r="DL54" s="26">
        <v>52</v>
      </c>
      <c r="DM54" s="27" t="s">
        <v>596</v>
      </c>
      <c r="DN54" s="26">
        <f>COUNTIF('54 فريقًا'!$E$4:$E$1999,$DL54&amp;" ضد *")+COUNTIF('54 فريقًا'!$E$4:$E$1999,"* ضد "&amp;$DL54)</f>
        <v>18</v>
      </c>
      <c r="DO54" s="26">
        <f t="shared" si="27"/>
        <v>11</v>
      </c>
      <c r="DP54" s="22"/>
      <c r="DQ54" s="26">
        <v>52</v>
      </c>
      <c r="DR54" s="27" t="s">
        <v>595</v>
      </c>
      <c r="DS54" s="26">
        <f>COUNTIF('58 فريقًا'!$E$4:$E$1999,$DQ54&amp;" ضد *")+COUNTIF('58 فريقًا'!$E$4:$E$1999,"* ضد "&amp;$DQ54)</f>
        <v>18</v>
      </c>
      <c r="DT54" s="26">
        <f t="shared" si="28"/>
        <v>18</v>
      </c>
      <c r="DU54" s="22"/>
      <c r="DV54" s="26">
        <v>52</v>
      </c>
      <c r="DW54" s="27" t="s">
        <v>596</v>
      </c>
      <c r="DX54" s="26">
        <f>COUNTIF('64 فريقًا'!$E$4:$E$1999,$DV54&amp;" ضد *")+COUNTIF('64 فريقًا'!$E$4:$E$1999,"* ضد "&amp;$DV54)</f>
        <v>18</v>
      </c>
      <c r="DY54" s="26">
        <f t="shared" si="29"/>
        <v>15</v>
      </c>
      <c r="DZ54" s="22"/>
      <c r="EA54" s="26">
        <v>52</v>
      </c>
      <c r="EB54" s="27" t="s">
        <v>596</v>
      </c>
      <c r="EC54" s="26">
        <f>COUNTIF('67 فريقًا'!$E$4:$E$1999,$EA54&amp;" ضد *")+COUNTIF('67 فريقًا'!$E$4:$E$1999,"* ضد "&amp;$EA54)</f>
        <v>18</v>
      </c>
      <c r="ED54" s="26">
        <f t="shared" si="30"/>
        <v>15</v>
      </c>
    </row>
    <row r="55" spans="1:134" ht="14.5">
      <c r="A55" s="26"/>
      <c r="B55" s="27"/>
      <c r="C55" s="26"/>
      <c r="D55" s="26"/>
      <c r="E55" s="22"/>
      <c r="F55" s="26"/>
      <c r="G55" s="27"/>
      <c r="H55" s="26"/>
      <c r="I55" s="26"/>
      <c r="J55" s="22"/>
      <c r="K55" s="26"/>
      <c r="L55" s="27"/>
      <c r="M55" s="26"/>
      <c r="N55" s="26"/>
      <c r="O55" s="22"/>
      <c r="P55" s="26"/>
      <c r="Q55" s="27"/>
      <c r="R55" s="26"/>
      <c r="S55" s="26"/>
      <c r="T55" s="22"/>
      <c r="U55" s="26"/>
      <c r="V55" s="27"/>
      <c r="W55" s="26"/>
      <c r="X55" s="26"/>
      <c r="Y55" s="22"/>
      <c r="Z55" s="26"/>
      <c r="AA55" s="27"/>
      <c r="AB55" s="26"/>
      <c r="AC55" s="26"/>
      <c r="AD55" s="22"/>
      <c r="AE55" s="26"/>
      <c r="AF55" s="27"/>
      <c r="AG55" s="26"/>
      <c r="AH55" s="26"/>
      <c r="AI55" s="22"/>
      <c r="AJ55" s="26"/>
      <c r="AK55" s="27"/>
      <c r="AL55" s="26"/>
      <c r="AM55" s="26"/>
      <c r="AN55" s="22"/>
      <c r="AO55" s="26"/>
      <c r="AP55" s="27"/>
      <c r="AQ55" s="26"/>
      <c r="AR55" s="26"/>
      <c r="AS55" s="22"/>
      <c r="AT55" s="26"/>
      <c r="AU55" s="27"/>
      <c r="AV55" s="26"/>
      <c r="AW55" s="26"/>
      <c r="AX55" s="22"/>
      <c r="AY55" s="26"/>
      <c r="AZ55" s="27"/>
      <c r="BA55" s="26"/>
      <c r="BB55" s="26"/>
      <c r="BC55" s="22"/>
      <c r="BD55" s="26"/>
      <c r="BE55" s="27"/>
      <c r="BF55" s="26"/>
      <c r="BG55" s="26"/>
      <c r="BH55" s="22"/>
      <c r="BI55" s="26"/>
      <c r="BJ55" s="27"/>
      <c r="BK55" s="26"/>
      <c r="BL55" s="26"/>
      <c r="BM55" s="22"/>
      <c r="BN55" s="26"/>
      <c r="BO55" s="27"/>
      <c r="BP55" s="26"/>
      <c r="BQ55" s="26"/>
      <c r="BR55" s="22"/>
      <c r="BS55" s="26"/>
      <c r="BT55" s="27"/>
      <c r="BU55" s="26"/>
      <c r="BV55" s="26"/>
      <c r="BW55" s="22"/>
      <c r="BX55" s="26"/>
      <c r="BY55" s="27"/>
      <c r="BZ55" s="26"/>
      <c r="CA55" s="26"/>
      <c r="CB55" s="22"/>
      <c r="CC55" s="26"/>
      <c r="CD55" s="27"/>
      <c r="CE55" s="26"/>
      <c r="CF55" s="26"/>
      <c r="CG55" s="22"/>
      <c r="CH55" s="26"/>
      <c r="CI55" s="27"/>
      <c r="CJ55" s="26"/>
      <c r="CK55" s="26"/>
      <c r="CL55" s="22"/>
      <c r="CM55" s="26"/>
      <c r="CN55" s="27"/>
      <c r="CO55" s="26"/>
      <c r="CP55" s="26"/>
      <c r="CQ55" s="22"/>
      <c r="CR55" s="26"/>
      <c r="CS55" s="27"/>
      <c r="CT55" s="26"/>
      <c r="CU55" s="26"/>
      <c r="CV55" s="22"/>
      <c r="CW55" s="26"/>
      <c r="CX55" s="27"/>
      <c r="CY55" s="26"/>
      <c r="CZ55" s="26"/>
      <c r="DA55" s="22"/>
      <c r="DB55" s="26"/>
      <c r="DC55" s="27"/>
      <c r="DD55" s="26"/>
      <c r="DE55" s="26"/>
      <c r="DF55" s="22"/>
      <c r="DG55" s="26"/>
      <c r="DH55" s="27"/>
      <c r="DI55" s="26"/>
      <c r="DJ55" s="26"/>
      <c r="DK55" s="22"/>
      <c r="DL55" s="26">
        <v>53</v>
      </c>
      <c r="DM55" s="27" t="s">
        <v>596</v>
      </c>
      <c r="DN55" s="26">
        <f>COUNTIF('54 فريقًا'!$E$4:$E$1999,$DL55&amp;" ضد *")+COUNTIF('54 فريقًا'!$E$4:$E$1999,"* ضد "&amp;$DL55)</f>
        <v>18</v>
      </c>
      <c r="DO55" s="26">
        <f t="shared" si="27"/>
        <v>11</v>
      </c>
      <c r="DP55" s="22"/>
      <c r="DQ55" s="26">
        <v>53</v>
      </c>
      <c r="DR55" s="27" t="s">
        <v>595</v>
      </c>
      <c r="DS55" s="26">
        <f>COUNTIF('58 فريقًا'!$E$4:$E$1999,$DQ55&amp;" ضد *")+COUNTIF('58 فريقًا'!$E$4:$E$1999,"* ضد "&amp;$DQ55)</f>
        <v>18</v>
      </c>
      <c r="DT55" s="26">
        <f t="shared" si="28"/>
        <v>18</v>
      </c>
      <c r="DU55" s="22"/>
      <c r="DV55" s="26">
        <v>53</v>
      </c>
      <c r="DW55" s="27" t="s">
        <v>596</v>
      </c>
      <c r="DX55" s="26">
        <f>COUNTIF('64 فريقًا'!$E$4:$E$1999,$DV55&amp;" ضد *")+COUNTIF('64 فريقًا'!$E$4:$E$1999,"* ضد "&amp;$DV55)</f>
        <v>18</v>
      </c>
      <c r="DY55" s="26">
        <f t="shared" si="29"/>
        <v>15</v>
      </c>
      <c r="DZ55" s="22"/>
      <c r="EA55" s="26">
        <v>53</v>
      </c>
      <c r="EB55" s="27" t="s">
        <v>596</v>
      </c>
      <c r="EC55" s="26">
        <f>COUNTIF('67 فريقًا'!$E$4:$E$1999,$EA55&amp;" ضد *")+COUNTIF('67 فريقًا'!$E$4:$E$1999,"* ضد "&amp;$EA55)</f>
        <v>18</v>
      </c>
      <c r="ED55" s="26">
        <f t="shared" si="30"/>
        <v>15</v>
      </c>
    </row>
    <row r="56" spans="1:134" ht="14.5">
      <c r="A56" s="26"/>
      <c r="B56" s="27"/>
      <c r="C56" s="26"/>
      <c r="D56" s="26"/>
      <c r="E56" s="22"/>
      <c r="F56" s="26"/>
      <c r="G56" s="27"/>
      <c r="H56" s="26"/>
      <c r="I56" s="26"/>
      <c r="J56" s="22"/>
      <c r="K56" s="26"/>
      <c r="L56" s="27"/>
      <c r="M56" s="26"/>
      <c r="N56" s="26"/>
      <c r="O56" s="22"/>
      <c r="P56" s="26"/>
      <c r="Q56" s="27"/>
      <c r="R56" s="26"/>
      <c r="S56" s="26"/>
      <c r="T56" s="22"/>
      <c r="U56" s="26"/>
      <c r="V56" s="27"/>
      <c r="W56" s="26"/>
      <c r="X56" s="26"/>
      <c r="Y56" s="22"/>
      <c r="Z56" s="26"/>
      <c r="AA56" s="27"/>
      <c r="AB56" s="26"/>
      <c r="AC56" s="26"/>
      <c r="AD56" s="22"/>
      <c r="AE56" s="26"/>
      <c r="AF56" s="27"/>
      <c r="AG56" s="26"/>
      <c r="AH56" s="26"/>
      <c r="AI56" s="22"/>
      <c r="AJ56" s="26"/>
      <c r="AK56" s="27"/>
      <c r="AL56" s="26"/>
      <c r="AM56" s="26"/>
      <c r="AN56" s="22"/>
      <c r="AO56" s="26"/>
      <c r="AP56" s="27"/>
      <c r="AQ56" s="26"/>
      <c r="AR56" s="26"/>
      <c r="AS56" s="22"/>
      <c r="AT56" s="26"/>
      <c r="AU56" s="27"/>
      <c r="AV56" s="26"/>
      <c r="AW56" s="26"/>
      <c r="AX56" s="22"/>
      <c r="AY56" s="26"/>
      <c r="AZ56" s="27"/>
      <c r="BA56" s="26"/>
      <c r="BB56" s="26"/>
      <c r="BC56" s="22"/>
      <c r="BD56" s="26"/>
      <c r="BE56" s="27"/>
      <c r="BF56" s="26"/>
      <c r="BG56" s="26"/>
      <c r="BH56" s="22"/>
      <c r="BI56" s="26"/>
      <c r="BJ56" s="27"/>
      <c r="BK56" s="26"/>
      <c r="BL56" s="26"/>
      <c r="BM56" s="22"/>
      <c r="BN56" s="26"/>
      <c r="BO56" s="27"/>
      <c r="BP56" s="26"/>
      <c r="BQ56" s="26"/>
      <c r="BR56" s="22"/>
      <c r="BS56" s="26"/>
      <c r="BT56" s="27"/>
      <c r="BU56" s="26"/>
      <c r="BV56" s="26"/>
      <c r="BW56" s="22"/>
      <c r="BX56" s="26"/>
      <c r="BY56" s="27"/>
      <c r="BZ56" s="26"/>
      <c r="CA56" s="26"/>
      <c r="CB56" s="22"/>
      <c r="CC56" s="26"/>
      <c r="CD56" s="27"/>
      <c r="CE56" s="26"/>
      <c r="CF56" s="26"/>
      <c r="CG56" s="22"/>
      <c r="CH56" s="26"/>
      <c r="CI56" s="27"/>
      <c r="CJ56" s="26"/>
      <c r="CK56" s="26"/>
      <c r="CL56" s="22"/>
      <c r="CM56" s="26"/>
      <c r="CN56" s="27"/>
      <c r="CO56" s="26"/>
      <c r="CP56" s="26"/>
      <c r="CQ56" s="22"/>
      <c r="CR56" s="26"/>
      <c r="CS56" s="27"/>
      <c r="CT56" s="26"/>
      <c r="CU56" s="26"/>
      <c r="CV56" s="22"/>
      <c r="CW56" s="26"/>
      <c r="CX56" s="27"/>
      <c r="CY56" s="26"/>
      <c r="CZ56" s="26"/>
      <c r="DA56" s="22"/>
      <c r="DB56" s="26"/>
      <c r="DC56" s="27"/>
      <c r="DD56" s="26"/>
      <c r="DE56" s="26"/>
      <c r="DF56" s="22"/>
      <c r="DG56" s="26"/>
      <c r="DH56" s="27"/>
      <c r="DI56" s="26"/>
      <c r="DJ56" s="26"/>
      <c r="DK56" s="22"/>
      <c r="DL56" s="26">
        <v>54</v>
      </c>
      <c r="DM56" s="27" t="s">
        <v>596</v>
      </c>
      <c r="DN56" s="26">
        <f>COUNTIF('54 فريقًا'!$E$4:$E$1999,$DL56&amp;" ضد *")+COUNTIF('54 فريقًا'!$E$4:$E$1999,"* ضد "&amp;$DL56)</f>
        <v>18</v>
      </c>
      <c r="DO56" s="26">
        <f t="shared" si="27"/>
        <v>11</v>
      </c>
      <c r="DP56" s="22"/>
      <c r="DQ56" s="26">
        <v>54</v>
      </c>
      <c r="DR56" s="27" t="s">
        <v>595</v>
      </c>
      <c r="DS56" s="26">
        <f>COUNTIF('58 فريقًا'!$E$4:$E$1999,$DQ56&amp;" ضد *")+COUNTIF('58 فريقًا'!$E$4:$E$1999,"* ضد "&amp;$DQ56)</f>
        <v>18</v>
      </c>
      <c r="DT56" s="26">
        <f t="shared" si="28"/>
        <v>18</v>
      </c>
      <c r="DU56" s="22"/>
      <c r="DV56" s="26">
        <v>54</v>
      </c>
      <c r="DW56" s="27" t="s">
        <v>596</v>
      </c>
      <c r="DX56" s="26">
        <f>COUNTIF('64 فريقًا'!$E$4:$E$1999,$DV56&amp;" ضد *")+COUNTIF('64 فريقًا'!$E$4:$E$1999,"* ضد "&amp;$DV56)</f>
        <v>18</v>
      </c>
      <c r="DY56" s="26">
        <f t="shared" si="29"/>
        <v>15</v>
      </c>
      <c r="DZ56" s="22"/>
      <c r="EA56" s="26">
        <v>54</v>
      </c>
      <c r="EB56" s="27" t="s">
        <v>596</v>
      </c>
      <c r="EC56" s="26">
        <f>COUNTIF('67 فريقًا'!$E$4:$E$1999,$EA56&amp;" ضد *")+COUNTIF('67 فريقًا'!$E$4:$E$1999,"* ضد "&amp;$EA56)</f>
        <v>18</v>
      </c>
      <c r="ED56" s="26">
        <f t="shared" si="30"/>
        <v>15</v>
      </c>
    </row>
    <row r="57" spans="1:134" ht="14.5">
      <c r="A57" s="26"/>
      <c r="B57" s="27"/>
      <c r="C57" s="26"/>
      <c r="D57" s="26"/>
      <c r="E57" s="22"/>
      <c r="F57" s="26"/>
      <c r="G57" s="27"/>
      <c r="H57" s="26"/>
      <c r="I57" s="26"/>
      <c r="J57" s="22"/>
      <c r="K57" s="26"/>
      <c r="L57" s="27"/>
      <c r="M57" s="26"/>
      <c r="N57" s="26"/>
      <c r="O57" s="22"/>
      <c r="P57" s="26"/>
      <c r="Q57" s="27"/>
      <c r="R57" s="26"/>
      <c r="S57" s="26"/>
      <c r="T57" s="22"/>
      <c r="U57" s="26"/>
      <c r="V57" s="27"/>
      <c r="W57" s="26"/>
      <c r="X57" s="26"/>
      <c r="Y57" s="22"/>
      <c r="Z57" s="26"/>
      <c r="AA57" s="27"/>
      <c r="AB57" s="26"/>
      <c r="AC57" s="26"/>
      <c r="AD57" s="22"/>
      <c r="AE57" s="26"/>
      <c r="AF57" s="27"/>
      <c r="AG57" s="26"/>
      <c r="AH57" s="26"/>
      <c r="AI57" s="22"/>
      <c r="AJ57" s="26"/>
      <c r="AK57" s="27"/>
      <c r="AL57" s="26"/>
      <c r="AM57" s="26"/>
      <c r="AN57" s="22"/>
      <c r="AO57" s="26"/>
      <c r="AP57" s="27"/>
      <c r="AQ57" s="26"/>
      <c r="AR57" s="26"/>
      <c r="AS57" s="22"/>
      <c r="AT57" s="26"/>
      <c r="AU57" s="27"/>
      <c r="AV57" s="26"/>
      <c r="AW57" s="26"/>
      <c r="AX57" s="22"/>
      <c r="AY57" s="26"/>
      <c r="AZ57" s="27"/>
      <c r="BA57" s="26"/>
      <c r="BB57" s="26"/>
      <c r="BC57" s="22"/>
      <c r="BD57" s="26"/>
      <c r="BE57" s="27"/>
      <c r="BF57" s="26"/>
      <c r="BG57" s="26"/>
      <c r="BH57" s="22"/>
      <c r="BI57" s="26"/>
      <c r="BJ57" s="27"/>
      <c r="BK57" s="26"/>
      <c r="BL57" s="26"/>
      <c r="BM57" s="22"/>
      <c r="BN57" s="26"/>
      <c r="BO57" s="27"/>
      <c r="BP57" s="26"/>
      <c r="BQ57" s="26"/>
      <c r="BR57" s="22"/>
      <c r="BS57" s="26"/>
      <c r="BT57" s="27"/>
      <c r="BU57" s="26"/>
      <c r="BV57" s="26"/>
      <c r="BW57" s="22"/>
      <c r="BX57" s="26"/>
      <c r="BY57" s="27"/>
      <c r="BZ57" s="26"/>
      <c r="CA57" s="26"/>
      <c r="CB57" s="22"/>
      <c r="CC57" s="26"/>
      <c r="CD57" s="27"/>
      <c r="CE57" s="26"/>
      <c r="CF57" s="26"/>
      <c r="CG57" s="22"/>
      <c r="CH57" s="26"/>
      <c r="CI57" s="27"/>
      <c r="CJ57" s="26"/>
      <c r="CK57" s="26"/>
      <c r="CL57" s="22"/>
      <c r="CM57" s="26"/>
      <c r="CN57" s="27"/>
      <c r="CO57" s="26"/>
      <c r="CP57" s="26"/>
      <c r="CQ57" s="22"/>
      <c r="CR57" s="26"/>
      <c r="CS57" s="27"/>
      <c r="CT57" s="26"/>
      <c r="CU57" s="26"/>
      <c r="CV57" s="22"/>
      <c r="CW57" s="26"/>
      <c r="CX57" s="27"/>
      <c r="CY57" s="26"/>
      <c r="CZ57" s="26"/>
      <c r="DA57" s="22"/>
      <c r="DB57" s="26"/>
      <c r="DC57" s="27"/>
      <c r="DD57" s="26"/>
      <c r="DE57" s="26"/>
      <c r="DF57" s="22"/>
      <c r="DG57" s="26"/>
      <c r="DH57" s="27"/>
      <c r="DI57" s="26"/>
      <c r="DJ57" s="26"/>
      <c r="DK57" s="22"/>
      <c r="DL57" s="26"/>
      <c r="DM57" s="27"/>
      <c r="DN57" s="26"/>
      <c r="DO57" s="26"/>
      <c r="DP57" s="22"/>
      <c r="DQ57" s="26">
        <v>55</v>
      </c>
      <c r="DR57" s="27" t="s">
        <v>595</v>
      </c>
      <c r="DS57" s="26">
        <f>COUNTIF('58 فريقًا'!$E$4:$E$1999,$DQ57&amp;" ضد *")+COUNTIF('58 فريقًا'!$E$4:$E$1999,"* ضد "&amp;$DQ57)</f>
        <v>18</v>
      </c>
      <c r="DT57" s="26">
        <f t="shared" si="28"/>
        <v>18</v>
      </c>
      <c r="DU57" s="22"/>
      <c r="DV57" s="26">
        <v>55</v>
      </c>
      <c r="DW57" s="27" t="s">
        <v>596</v>
      </c>
      <c r="DX57" s="26">
        <f>COUNTIF('64 فريقًا'!$E$4:$E$1999,$DV57&amp;" ضد *")+COUNTIF('64 فريقًا'!$E$4:$E$1999,"* ضد "&amp;$DV57)</f>
        <v>18</v>
      </c>
      <c r="DY57" s="26">
        <f t="shared" si="29"/>
        <v>15</v>
      </c>
      <c r="DZ57" s="22"/>
      <c r="EA57" s="26">
        <v>55</v>
      </c>
      <c r="EB57" s="27" t="s">
        <v>596</v>
      </c>
      <c r="EC57" s="26">
        <f>COUNTIF('67 فريقًا'!$E$4:$E$1999,$EA57&amp;" ضد *")+COUNTIF('67 فريقًا'!$E$4:$E$1999,"* ضد "&amp;$EA57)</f>
        <v>18</v>
      </c>
      <c r="ED57" s="26">
        <f t="shared" si="30"/>
        <v>15</v>
      </c>
    </row>
    <row r="58" spans="1:134" ht="14.5">
      <c r="A58" s="26"/>
      <c r="B58" s="27"/>
      <c r="C58" s="26"/>
      <c r="D58" s="26"/>
      <c r="E58" s="22"/>
      <c r="F58" s="26"/>
      <c r="G58" s="27"/>
      <c r="H58" s="26"/>
      <c r="I58" s="26"/>
      <c r="J58" s="22"/>
      <c r="K58" s="26"/>
      <c r="L58" s="27"/>
      <c r="M58" s="26"/>
      <c r="N58" s="26"/>
      <c r="O58" s="22"/>
      <c r="P58" s="26"/>
      <c r="Q58" s="27"/>
      <c r="R58" s="26"/>
      <c r="S58" s="26"/>
      <c r="T58" s="22"/>
      <c r="U58" s="26"/>
      <c r="V58" s="27"/>
      <c r="W58" s="26"/>
      <c r="X58" s="26"/>
      <c r="Y58" s="22"/>
      <c r="Z58" s="26"/>
      <c r="AA58" s="27"/>
      <c r="AB58" s="26"/>
      <c r="AC58" s="26"/>
      <c r="AD58" s="22"/>
      <c r="AE58" s="26"/>
      <c r="AF58" s="27"/>
      <c r="AG58" s="26"/>
      <c r="AH58" s="26"/>
      <c r="AI58" s="22"/>
      <c r="AJ58" s="26"/>
      <c r="AK58" s="27"/>
      <c r="AL58" s="26"/>
      <c r="AM58" s="26"/>
      <c r="AN58" s="22"/>
      <c r="AO58" s="26"/>
      <c r="AP58" s="27"/>
      <c r="AQ58" s="26"/>
      <c r="AR58" s="26"/>
      <c r="AS58" s="22"/>
      <c r="AT58" s="26"/>
      <c r="AU58" s="27"/>
      <c r="AV58" s="26"/>
      <c r="AW58" s="26"/>
      <c r="AX58" s="22"/>
      <c r="AY58" s="26"/>
      <c r="AZ58" s="27"/>
      <c r="BA58" s="26"/>
      <c r="BB58" s="26"/>
      <c r="BC58" s="22"/>
      <c r="BD58" s="26"/>
      <c r="BE58" s="27"/>
      <c r="BF58" s="26"/>
      <c r="BG58" s="26"/>
      <c r="BH58" s="22"/>
      <c r="BI58" s="26"/>
      <c r="BJ58" s="27"/>
      <c r="BK58" s="26"/>
      <c r="BL58" s="26"/>
      <c r="BM58" s="22"/>
      <c r="BN58" s="26"/>
      <c r="BO58" s="27"/>
      <c r="BP58" s="26"/>
      <c r="BQ58" s="26"/>
      <c r="BR58" s="22"/>
      <c r="BS58" s="26"/>
      <c r="BT58" s="27"/>
      <c r="BU58" s="26"/>
      <c r="BV58" s="26"/>
      <c r="BW58" s="22"/>
      <c r="BX58" s="26"/>
      <c r="BY58" s="27"/>
      <c r="BZ58" s="26"/>
      <c r="CA58" s="26"/>
      <c r="CB58" s="22"/>
      <c r="CC58" s="26"/>
      <c r="CD58" s="27"/>
      <c r="CE58" s="26"/>
      <c r="CF58" s="26"/>
      <c r="CG58" s="22"/>
      <c r="CH58" s="26"/>
      <c r="CI58" s="27"/>
      <c r="CJ58" s="26"/>
      <c r="CK58" s="26"/>
      <c r="CL58" s="22"/>
      <c r="CM58" s="26"/>
      <c r="CN58" s="27"/>
      <c r="CO58" s="26"/>
      <c r="CP58" s="26"/>
      <c r="CQ58" s="22"/>
      <c r="CR58" s="26"/>
      <c r="CS58" s="27"/>
      <c r="CT58" s="26"/>
      <c r="CU58" s="26"/>
      <c r="CV58" s="22"/>
      <c r="CW58" s="26"/>
      <c r="CX58" s="27"/>
      <c r="CY58" s="26"/>
      <c r="CZ58" s="26"/>
      <c r="DA58" s="22"/>
      <c r="DB58" s="26"/>
      <c r="DC58" s="27"/>
      <c r="DD58" s="26"/>
      <c r="DE58" s="26"/>
      <c r="DF58" s="22"/>
      <c r="DG58" s="26"/>
      <c r="DH58" s="27"/>
      <c r="DI58" s="26"/>
      <c r="DJ58" s="26"/>
      <c r="DK58" s="22"/>
      <c r="DL58" s="26"/>
      <c r="DM58" s="27"/>
      <c r="DN58" s="26"/>
      <c r="DO58" s="26"/>
      <c r="DP58" s="22"/>
      <c r="DQ58" s="26">
        <v>56</v>
      </c>
      <c r="DR58" s="27" t="s">
        <v>595</v>
      </c>
      <c r="DS58" s="26">
        <f>COUNTIF('58 فريقًا'!$E$4:$E$1999,$DQ58&amp;" ضد *")+COUNTIF('58 فريقًا'!$E$4:$E$1999,"* ضد "&amp;$DQ58)</f>
        <v>18</v>
      </c>
      <c r="DT58" s="26">
        <f t="shared" si="28"/>
        <v>18</v>
      </c>
      <c r="DU58" s="22"/>
      <c r="DV58" s="26">
        <v>56</v>
      </c>
      <c r="DW58" s="27" t="s">
        <v>596</v>
      </c>
      <c r="DX58" s="26">
        <f>COUNTIF('64 فريقًا'!$E$4:$E$1999,$DV58&amp;" ضد *")+COUNTIF('64 فريقًا'!$E$4:$E$1999,"* ضد "&amp;$DV58)</f>
        <v>18</v>
      </c>
      <c r="DY58" s="26">
        <f t="shared" si="29"/>
        <v>15</v>
      </c>
      <c r="DZ58" s="22"/>
      <c r="EA58" s="26">
        <v>56</v>
      </c>
      <c r="EB58" s="27" t="s">
        <v>596</v>
      </c>
      <c r="EC58" s="26">
        <f>COUNTIF('67 فريقًا'!$E$4:$E$1999,$EA58&amp;" ضد *")+COUNTIF('67 فريقًا'!$E$4:$E$1999,"* ضد "&amp;$EA58)</f>
        <v>18</v>
      </c>
      <c r="ED58" s="26">
        <f t="shared" si="30"/>
        <v>15</v>
      </c>
    </row>
    <row r="59" spans="1:134" ht="14.5">
      <c r="A59" s="26"/>
      <c r="B59" s="27"/>
      <c r="C59" s="26"/>
      <c r="D59" s="26"/>
      <c r="E59" s="22"/>
      <c r="F59" s="26"/>
      <c r="G59" s="27"/>
      <c r="H59" s="26"/>
      <c r="I59" s="26"/>
      <c r="J59" s="22"/>
      <c r="K59" s="26"/>
      <c r="L59" s="27"/>
      <c r="M59" s="26"/>
      <c r="N59" s="26"/>
      <c r="O59" s="22"/>
      <c r="P59" s="26"/>
      <c r="Q59" s="27"/>
      <c r="R59" s="26"/>
      <c r="S59" s="26"/>
      <c r="T59" s="22"/>
      <c r="U59" s="26"/>
      <c r="V59" s="27"/>
      <c r="W59" s="26"/>
      <c r="X59" s="26"/>
      <c r="Y59" s="22"/>
      <c r="Z59" s="26"/>
      <c r="AA59" s="27"/>
      <c r="AB59" s="26"/>
      <c r="AC59" s="26"/>
      <c r="AD59" s="22"/>
      <c r="AE59" s="26"/>
      <c r="AF59" s="27"/>
      <c r="AG59" s="26"/>
      <c r="AH59" s="26"/>
      <c r="AI59" s="22"/>
      <c r="AJ59" s="26"/>
      <c r="AK59" s="27"/>
      <c r="AL59" s="26"/>
      <c r="AM59" s="26"/>
      <c r="AN59" s="22"/>
      <c r="AO59" s="26"/>
      <c r="AP59" s="27"/>
      <c r="AQ59" s="26"/>
      <c r="AR59" s="26"/>
      <c r="AS59" s="22"/>
      <c r="AT59" s="26"/>
      <c r="AU59" s="27"/>
      <c r="AV59" s="26"/>
      <c r="AW59" s="26"/>
      <c r="AX59" s="22"/>
      <c r="AY59" s="26"/>
      <c r="AZ59" s="27"/>
      <c r="BA59" s="26"/>
      <c r="BB59" s="26"/>
      <c r="BC59" s="22"/>
      <c r="BD59" s="26"/>
      <c r="BE59" s="27"/>
      <c r="BF59" s="26"/>
      <c r="BG59" s="26"/>
      <c r="BH59" s="22"/>
      <c r="BI59" s="26"/>
      <c r="BJ59" s="27"/>
      <c r="BK59" s="26"/>
      <c r="BL59" s="26"/>
      <c r="BM59" s="22"/>
      <c r="BN59" s="26"/>
      <c r="BO59" s="27"/>
      <c r="BP59" s="26"/>
      <c r="BQ59" s="26"/>
      <c r="BR59" s="22"/>
      <c r="BS59" s="26"/>
      <c r="BT59" s="27"/>
      <c r="BU59" s="26"/>
      <c r="BV59" s="26"/>
      <c r="BW59" s="22"/>
      <c r="BX59" s="26"/>
      <c r="BY59" s="27"/>
      <c r="BZ59" s="26"/>
      <c r="CA59" s="26"/>
      <c r="CB59" s="22"/>
      <c r="CC59" s="26"/>
      <c r="CD59" s="27"/>
      <c r="CE59" s="26"/>
      <c r="CF59" s="26"/>
      <c r="CG59" s="22"/>
      <c r="CH59" s="26"/>
      <c r="CI59" s="27"/>
      <c r="CJ59" s="26"/>
      <c r="CK59" s="26"/>
      <c r="CL59" s="22"/>
      <c r="CM59" s="26"/>
      <c r="CN59" s="27"/>
      <c r="CO59" s="26"/>
      <c r="CP59" s="26"/>
      <c r="CQ59" s="22"/>
      <c r="CR59" s="26"/>
      <c r="CS59" s="27"/>
      <c r="CT59" s="26"/>
      <c r="CU59" s="26"/>
      <c r="CV59" s="22"/>
      <c r="CW59" s="26"/>
      <c r="CX59" s="27"/>
      <c r="CY59" s="26"/>
      <c r="CZ59" s="26"/>
      <c r="DA59" s="22"/>
      <c r="DB59" s="26"/>
      <c r="DC59" s="27"/>
      <c r="DD59" s="26"/>
      <c r="DE59" s="26"/>
      <c r="DF59" s="22"/>
      <c r="DG59" s="26"/>
      <c r="DH59" s="27"/>
      <c r="DI59" s="26"/>
      <c r="DJ59" s="26"/>
      <c r="DK59" s="22"/>
      <c r="DL59" s="26"/>
      <c r="DM59" s="27"/>
      <c r="DN59" s="26"/>
      <c r="DO59" s="26"/>
      <c r="DP59" s="22"/>
      <c r="DQ59" s="26">
        <v>57</v>
      </c>
      <c r="DR59" s="27" t="s">
        <v>595</v>
      </c>
      <c r="DS59" s="26">
        <f>COUNTIF('58 فريقًا'!$E$4:$E$1999,$DQ59&amp;" ضد *")+COUNTIF('58 فريقًا'!$E$4:$E$1999,"* ضد "&amp;$DQ59)</f>
        <v>18</v>
      </c>
      <c r="DT59" s="26">
        <f t="shared" si="28"/>
        <v>18</v>
      </c>
      <c r="DU59" s="22"/>
      <c r="DV59" s="26">
        <v>57</v>
      </c>
      <c r="DW59" s="27" t="s">
        <v>596</v>
      </c>
      <c r="DX59" s="26">
        <f>COUNTIF('64 فريقًا'!$E$4:$E$1999,$DV59&amp;" ضد *")+COUNTIF('64 فريقًا'!$E$4:$E$1999,"* ضد "&amp;$DV59)</f>
        <v>18</v>
      </c>
      <c r="DY59" s="26">
        <f t="shared" si="29"/>
        <v>15</v>
      </c>
      <c r="DZ59" s="22"/>
      <c r="EA59" s="26">
        <v>57</v>
      </c>
      <c r="EB59" s="27" t="s">
        <v>596</v>
      </c>
      <c r="EC59" s="26">
        <f>COUNTIF('67 فريقًا'!$E$4:$E$1999,$EA59&amp;" ضد *")+COUNTIF('67 فريقًا'!$E$4:$E$1999,"* ضد "&amp;$EA59)</f>
        <v>18</v>
      </c>
      <c r="ED59" s="26">
        <f t="shared" si="30"/>
        <v>15</v>
      </c>
    </row>
    <row r="60" spans="1:134" ht="14.5">
      <c r="A60" s="26"/>
      <c r="B60" s="27"/>
      <c r="C60" s="26"/>
      <c r="D60" s="26"/>
      <c r="E60" s="22"/>
      <c r="F60" s="26"/>
      <c r="G60" s="27"/>
      <c r="H60" s="26"/>
      <c r="I60" s="26"/>
      <c r="J60" s="22"/>
      <c r="K60" s="26"/>
      <c r="L60" s="27"/>
      <c r="M60" s="26"/>
      <c r="N60" s="26"/>
      <c r="O60" s="22"/>
      <c r="P60" s="26"/>
      <c r="Q60" s="27"/>
      <c r="R60" s="26"/>
      <c r="S60" s="26"/>
      <c r="T60" s="22"/>
      <c r="U60" s="26"/>
      <c r="V60" s="27"/>
      <c r="W60" s="26"/>
      <c r="X60" s="26"/>
      <c r="Y60" s="22"/>
      <c r="Z60" s="26"/>
      <c r="AA60" s="27"/>
      <c r="AB60" s="26"/>
      <c r="AC60" s="26"/>
      <c r="AD60" s="22"/>
      <c r="AE60" s="26"/>
      <c r="AF60" s="27"/>
      <c r="AG60" s="26"/>
      <c r="AH60" s="26"/>
      <c r="AI60" s="22"/>
      <c r="AJ60" s="26"/>
      <c r="AK60" s="27"/>
      <c r="AL60" s="26"/>
      <c r="AM60" s="26"/>
      <c r="AN60" s="22"/>
      <c r="AO60" s="26"/>
      <c r="AP60" s="27"/>
      <c r="AQ60" s="26"/>
      <c r="AR60" s="26"/>
      <c r="AS60" s="22"/>
      <c r="AT60" s="26"/>
      <c r="AU60" s="27"/>
      <c r="AV60" s="26"/>
      <c r="AW60" s="26"/>
      <c r="AX60" s="22"/>
      <c r="AY60" s="26"/>
      <c r="AZ60" s="27"/>
      <c r="BA60" s="26"/>
      <c r="BB60" s="26"/>
      <c r="BC60" s="22"/>
      <c r="BD60" s="26"/>
      <c r="BE60" s="27"/>
      <c r="BF60" s="26"/>
      <c r="BG60" s="26"/>
      <c r="BH60" s="22"/>
      <c r="BI60" s="26"/>
      <c r="BJ60" s="27"/>
      <c r="BK60" s="26"/>
      <c r="BL60" s="26"/>
      <c r="BM60" s="22"/>
      <c r="BN60" s="26"/>
      <c r="BO60" s="27"/>
      <c r="BP60" s="26"/>
      <c r="BQ60" s="26"/>
      <c r="BR60" s="22"/>
      <c r="BS60" s="26"/>
      <c r="BT60" s="27"/>
      <c r="BU60" s="26"/>
      <c r="BV60" s="26"/>
      <c r="BW60" s="22"/>
      <c r="BX60" s="26"/>
      <c r="BY60" s="27"/>
      <c r="BZ60" s="26"/>
      <c r="CA60" s="26"/>
      <c r="CB60" s="22"/>
      <c r="CC60" s="26"/>
      <c r="CD60" s="27"/>
      <c r="CE60" s="26"/>
      <c r="CF60" s="26"/>
      <c r="CG60" s="22"/>
      <c r="CH60" s="26"/>
      <c r="CI60" s="27"/>
      <c r="CJ60" s="26"/>
      <c r="CK60" s="26"/>
      <c r="CL60" s="22"/>
      <c r="CM60" s="26"/>
      <c r="CN60" s="27"/>
      <c r="CO60" s="26"/>
      <c r="CP60" s="26"/>
      <c r="CQ60" s="22"/>
      <c r="CR60" s="26"/>
      <c r="CS60" s="27"/>
      <c r="CT60" s="26"/>
      <c r="CU60" s="26"/>
      <c r="CV60" s="22"/>
      <c r="CW60" s="26"/>
      <c r="CX60" s="27"/>
      <c r="CY60" s="26"/>
      <c r="CZ60" s="26"/>
      <c r="DA60" s="22"/>
      <c r="DB60" s="26"/>
      <c r="DC60" s="27"/>
      <c r="DD60" s="26"/>
      <c r="DE60" s="26"/>
      <c r="DF60" s="22"/>
      <c r="DG60" s="26"/>
      <c r="DH60" s="27"/>
      <c r="DI60" s="26"/>
      <c r="DJ60" s="26"/>
      <c r="DK60" s="22"/>
      <c r="DL60" s="26"/>
      <c r="DM60" s="27"/>
      <c r="DN60" s="26"/>
      <c r="DO60" s="26"/>
      <c r="DP60" s="22"/>
      <c r="DQ60" s="26">
        <v>58</v>
      </c>
      <c r="DR60" s="27" t="s">
        <v>595</v>
      </c>
      <c r="DS60" s="26">
        <f>COUNTIF('58 فريقًا'!$E$4:$E$1999,$DQ60&amp;" ضد *")+COUNTIF('58 فريقًا'!$E$4:$E$1999,"* ضد "&amp;$DQ60)</f>
        <v>18</v>
      </c>
      <c r="DT60" s="26">
        <f t="shared" si="28"/>
        <v>18</v>
      </c>
      <c r="DU60" s="22"/>
      <c r="DV60" s="26">
        <v>58</v>
      </c>
      <c r="DW60" s="27" t="s">
        <v>596</v>
      </c>
      <c r="DX60" s="26">
        <f>COUNTIF('64 فريقًا'!$E$4:$E$1999,$DV60&amp;" ضد *")+COUNTIF('64 فريقًا'!$E$4:$E$1999,"* ضد "&amp;$DV60)</f>
        <v>18</v>
      </c>
      <c r="DY60" s="26">
        <f t="shared" si="29"/>
        <v>15</v>
      </c>
      <c r="DZ60" s="22"/>
      <c r="EA60" s="26">
        <v>58</v>
      </c>
      <c r="EB60" s="27" t="s">
        <v>596</v>
      </c>
      <c r="EC60" s="26">
        <f>COUNTIF('67 فريقًا'!$E$4:$E$1999,$EA60&amp;" ضد *")+COUNTIF('67 فريقًا'!$E$4:$E$1999,"* ضد "&amp;$EA60)</f>
        <v>18</v>
      </c>
      <c r="ED60" s="26">
        <f t="shared" si="30"/>
        <v>15</v>
      </c>
    </row>
    <row r="61" spans="1:134" ht="14.5">
      <c r="A61" s="26"/>
      <c r="B61" s="27"/>
      <c r="C61" s="26"/>
      <c r="D61" s="26"/>
      <c r="E61" s="22"/>
      <c r="F61" s="26"/>
      <c r="G61" s="27"/>
      <c r="H61" s="26"/>
      <c r="I61" s="26"/>
      <c r="J61" s="22"/>
      <c r="K61" s="26"/>
      <c r="L61" s="27"/>
      <c r="M61" s="26"/>
      <c r="N61" s="26"/>
      <c r="O61" s="22"/>
      <c r="P61" s="26"/>
      <c r="Q61" s="27"/>
      <c r="R61" s="26"/>
      <c r="S61" s="26"/>
      <c r="T61" s="22"/>
      <c r="U61" s="26"/>
      <c r="V61" s="27"/>
      <c r="W61" s="26"/>
      <c r="X61" s="26"/>
      <c r="Y61" s="22"/>
      <c r="Z61" s="26"/>
      <c r="AA61" s="27"/>
      <c r="AB61" s="26"/>
      <c r="AC61" s="26"/>
      <c r="AD61" s="22"/>
      <c r="AE61" s="26"/>
      <c r="AF61" s="27"/>
      <c r="AG61" s="26"/>
      <c r="AH61" s="26"/>
      <c r="AI61" s="22"/>
      <c r="AJ61" s="26"/>
      <c r="AK61" s="27"/>
      <c r="AL61" s="26"/>
      <c r="AM61" s="26"/>
      <c r="AN61" s="22"/>
      <c r="AO61" s="26"/>
      <c r="AP61" s="27"/>
      <c r="AQ61" s="26"/>
      <c r="AR61" s="26"/>
      <c r="AS61" s="22"/>
      <c r="AT61" s="26"/>
      <c r="AU61" s="27"/>
      <c r="AV61" s="26"/>
      <c r="AW61" s="26"/>
      <c r="AX61" s="22"/>
      <c r="AY61" s="26"/>
      <c r="AZ61" s="27"/>
      <c r="BA61" s="26"/>
      <c r="BB61" s="26"/>
      <c r="BC61" s="22"/>
      <c r="BD61" s="26"/>
      <c r="BE61" s="27"/>
      <c r="BF61" s="26"/>
      <c r="BG61" s="26"/>
      <c r="BH61" s="22"/>
      <c r="BI61" s="26"/>
      <c r="BJ61" s="27"/>
      <c r="BK61" s="26"/>
      <c r="BL61" s="26"/>
      <c r="BM61" s="22"/>
      <c r="BN61" s="26"/>
      <c r="BO61" s="27"/>
      <c r="BP61" s="26"/>
      <c r="BQ61" s="26"/>
      <c r="BR61" s="22"/>
      <c r="BS61" s="26"/>
      <c r="BT61" s="27"/>
      <c r="BU61" s="26"/>
      <c r="BV61" s="26"/>
      <c r="BW61" s="22"/>
      <c r="BX61" s="26"/>
      <c r="BY61" s="27"/>
      <c r="BZ61" s="26"/>
      <c r="CA61" s="26"/>
      <c r="CB61" s="22"/>
      <c r="CC61" s="26"/>
      <c r="CD61" s="27"/>
      <c r="CE61" s="26"/>
      <c r="CF61" s="26"/>
      <c r="CG61" s="22"/>
      <c r="CH61" s="26"/>
      <c r="CI61" s="27"/>
      <c r="CJ61" s="26"/>
      <c r="CK61" s="26"/>
      <c r="CL61" s="22"/>
      <c r="CM61" s="26"/>
      <c r="CN61" s="27"/>
      <c r="CO61" s="26"/>
      <c r="CP61" s="26"/>
      <c r="CQ61" s="22"/>
      <c r="CR61" s="26"/>
      <c r="CS61" s="27"/>
      <c r="CT61" s="26"/>
      <c r="CU61" s="26"/>
      <c r="CV61" s="22"/>
      <c r="CW61" s="26"/>
      <c r="CX61" s="27"/>
      <c r="CY61" s="26"/>
      <c r="CZ61" s="26"/>
      <c r="DA61" s="22"/>
      <c r="DB61" s="26"/>
      <c r="DC61" s="27"/>
      <c r="DD61" s="26"/>
      <c r="DE61" s="26"/>
      <c r="DF61" s="22"/>
      <c r="DG61" s="26"/>
      <c r="DH61" s="27"/>
      <c r="DI61" s="26"/>
      <c r="DJ61" s="26"/>
      <c r="DK61" s="22"/>
      <c r="DL61" s="26"/>
      <c r="DM61" s="27"/>
      <c r="DN61" s="26"/>
      <c r="DO61" s="26"/>
      <c r="DP61" s="22"/>
      <c r="DQ61" s="26"/>
      <c r="DR61" s="27"/>
      <c r="DS61" s="26"/>
      <c r="DT61" s="26"/>
      <c r="DU61" s="22"/>
      <c r="DV61" s="26">
        <v>59</v>
      </c>
      <c r="DW61" s="27" t="s">
        <v>596</v>
      </c>
      <c r="DX61" s="26">
        <f>COUNTIF('64 فريقًا'!$E$4:$E$1999,$DV61&amp;" ضد *")+COUNTIF('64 فريقًا'!$E$4:$E$1999,"* ضد "&amp;$DV61)</f>
        <v>18</v>
      </c>
      <c r="DY61" s="26">
        <f t="shared" si="29"/>
        <v>15</v>
      </c>
      <c r="DZ61" s="22"/>
      <c r="EA61" s="26">
        <v>59</v>
      </c>
      <c r="EB61" s="27" t="s">
        <v>596</v>
      </c>
      <c r="EC61" s="26">
        <f>COUNTIF('67 فريقًا'!$E$4:$E$1999,$EA61&amp;" ضد *")+COUNTIF('67 فريقًا'!$E$4:$E$1999,"* ضد "&amp;$EA61)</f>
        <v>18</v>
      </c>
      <c r="ED61" s="26">
        <f t="shared" si="30"/>
        <v>15</v>
      </c>
    </row>
    <row r="62" spans="1:134" ht="14.5">
      <c r="A62" s="26"/>
      <c r="B62" s="27"/>
      <c r="C62" s="26"/>
      <c r="D62" s="26"/>
      <c r="E62" s="22"/>
      <c r="F62" s="26"/>
      <c r="G62" s="27"/>
      <c r="H62" s="26"/>
      <c r="I62" s="26"/>
      <c r="J62" s="22"/>
      <c r="K62" s="26"/>
      <c r="L62" s="27"/>
      <c r="M62" s="26"/>
      <c r="N62" s="26"/>
      <c r="O62" s="22"/>
      <c r="P62" s="26"/>
      <c r="Q62" s="27"/>
      <c r="R62" s="26"/>
      <c r="S62" s="26"/>
      <c r="T62" s="22"/>
      <c r="U62" s="26"/>
      <c r="V62" s="27"/>
      <c r="W62" s="26"/>
      <c r="X62" s="26"/>
      <c r="Y62" s="22"/>
      <c r="Z62" s="26"/>
      <c r="AA62" s="27"/>
      <c r="AB62" s="26"/>
      <c r="AC62" s="26"/>
      <c r="AD62" s="22"/>
      <c r="AE62" s="26"/>
      <c r="AF62" s="27"/>
      <c r="AG62" s="26"/>
      <c r="AH62" s="26"/>
      <c r="AI62" s="22"/>
      <c r="AJ62" s="26"/>
      <c r="AK62" s="27"/>
      <c r="AL62" s="26"/>
      <c r="AM62" s="26"/>
      <c r="AN62" s="22"/>
      <c r="AO62" s="26"/>
      <c r="AP62" s="27"/>
      <c r="AQ62" s="26"/>
      <c r="AR62" s="26"/>
      <c r="AS62" s="22"/>
      <c r="AT62" s="26"/>
      <c r="AU62" s="27"/>
      <c r="AV62" s="26"/>
      <c r="AW62" s="26"/>
      <c r="AX62" s="22"/>
      <c r="AY62" s="26"/>
      <c r="AZ62" s="27"/>
      <c r="BA62" s="26"/>
      <c r="BB62" s="26"/>
      <c r="BC62" s="22"/>
      <c r="BD62" s="26"/>
      <c r="BE62" s="27"/>
      <c r="BF62" s="26"/>
      <c r="BG62" s="26"/>
      <c r="BH62" s="22"/>
      <c r="BI62" s="26"/>
      <c r="BJ62" s="27"/>
      <c r="BK62" s="26"/>
      <c r="BL62" s="26"/>
      <c r="BM62" s="22"/>
      <c r="BN62" s="26"/>
      <c r="BO62" s="27"/>
      <c r="BP62" s="26"/>
      <c r="BQ62" s="26"/>
      <c r="BR62" s="22"/>
      <c r="BS62" s="26"/>
      <c r="BT62" s="27"/>
      <c r="BU62" s="26"/>
      <c r="BV62" s="26"/>
      <c r="BW62" s="22"/>
      <c r="BX62" s="26"/>
      <c r="BY62" s="27"/>
      <c r="BZ62" s="26"/>
      <c r="CA62" s="26"/>
      <c r="CB62" s="22"/>
      <c r="CC62" s="26"/>
      <c r="CD62" s="27"/>
      <c r="CE62" s="26"/>
      <c r="CF62" s="26"/>
      <c r="CG62" s="22"/>
      <c r="CH62" s="26"/>
      <c r="CI62" s="27"/>
      <c r="CJ62" s="26"/>
      <c r="CK62" s="26"/>
      <c r="CL62" s="22"/>
      <c r="CM62" s="26"/>
      <c r="CN62" s="27"/>
      <c r="CO62" s="26"/>
      <c r="CP62" s="26"/>
      <c r="CQ62" s="22"/>
      <c r="CR62" s="26"/>
      <c r="CS62" s="27"/>
      <c r="CT62" s="26"/>
      <c r="CU62" s="26"/>
      <c r="CV62" s="22"/>
      <c r="CW62" s="26"/>
      <c r="CX62" s="27"/>
      <c r="CY62" s="26"/>
      <c r="CZ62" s="26"/>
      <c r="DA62" s="22"/>
      <c r="DB62" s="26"/>
      <c r="DC62" s="27"/>
      <c r="DD62" s="26"/>
      <c r="DE62" s="26"/>
      <c r="DF62" s="22"/>
      <c r="DG62" s="26"/>
      <c r="DH62" s="27"/>
      <c r="DI62" s="26"/>
      <c r="DJ62" s="26"/>
      <c r="DK62" s="22"/>
      <c r="DL62" s="26"/>
      <c r="DM62" s="27"/>
      <c r="DN62" s="26"/>
      <c r="DO62" s="26"/>
      <c r="DP62" s="22"/>
      <c r="DQ62" s="26"/>
      <c r="DR62" s="27"/>
      <c r="DS62" s="26"/>
      <c r="DT62" s="26"/>
      <c r="DU62" s="22"/>
      <c r="DV62" s="26">
        <v>60</v>
      </c>
      <c r="DW62" s="27" t="s">
        <v>596</v>
      </c>
      <c r="DX62" s="26">
        <f>COUNTIF('64 فريقًا'!$E$4:$E$1999,$DV62&amp;" ضد *")+COUNTIF('64 فريقًا'!$E$4:$E$1999,"* ضد "&amp;$DV62)</f>
        <v>18</v>
      </c>
      <c r="DY62" s="26">
        <f t="shared" si="29"/>
        <v>15</v>
      </c>
      <c r="DZ62" s="22"/>
      <c r="EA62" s="26">
        <v>60</v>
      </c>
      <c r="EB62" s="27" t="s">
        <v>596</v>
      </c>
      <c r="EC62" s="26">
        <f>COUNTIF('67 فريقًا'!$E$4:$E$1999,$EA62&amp;" ضد *")+COUNTIF('67 فريقًا'!$E$4:$E$1999,"* ضد "&amp;$EA62)</f>
        <v>18</v>
      </c>
      <c r="ED62" s="26">
        <f t="shared" si="30"/>
        <v>15</v>
      </c>
    </row>
    <row r="63" spans="1:134" ht="14.5">
      <c r="A63" s="26"/>
      <c r="B63" s="27"/>
      <c r="C63" s="26"/>
      <c r="D63" s="26"/>
      <c r="E63" s="22"/>
      <c r="F63" s="26"/>
      <c r="G63" s="27"/>
      <c r="H63" s="26"/>
      <c r="I63" s="26"/>
      <c r="J63" s="22"/>
      <c r="K63" s="26"/>
      <c r="L63" s="27"/>
      <c r="M63" s="26"/>
      <c r="N63" s="26"/>
      <c r="O63" s="22"/>
      <c r="P63" s="26"/>
      <c r="Q63" s="27"/>
      <c r="R63" s="26"/>
      <c r="S63" s="26"/>
      <c r="T63" s="22"/>
      <c r="U63" s="26"/>
      <c r="V63" s="27"/>
      <c r="W63" s="26"/>
      <c r="X63" s="26"/>
      <c r="Y63" s="22"/>
      <c r="Z63" s="26"/>
      <c r="AA63" s="27"/>
      <c r="AB63" s="26"/>
      <c r="AC63" s="26"/>
      <c r="AD63" s="22"/>
      <c r="AE63" s="26"/>
      <c r="AF63" s="27"/>
      <c r="AG63" s="26"/>
      <c r="AH63" s="26"/>
      <c r="AI63" s="22"/>
      <c r="AJ63" s="26"/>
      <c r="AK63" s="27"/>
      <c r="AL63" s="26"/>
      <c r="AM63" s="26"/>
      <c r="AN63" s="22"/>
      <c r="AO63" s="26"/>
      <c r="AP63" s="27"/>
      <c r="AQ63" s="26"/>
      <c r="AR63" s="26"/>
      <c r="AS63" s="22"/>
      <c r="AT63" s="26"/>
      <c r="AU63" s="27"/>
      <c r="AV63" s="26"/>
      <c r="AW63" s="26"/>
      <c r="AX63" s="22"/>
      <c r="AY63" s="26"/>
      <c r="AZ63" s="27"/>
      <c r="BA63" s="26"/>
      <c r="BB63" s="26"/>
      <c r="BC63" s="22"/>
      <c r="BD63" s="26"/>
      <c r="BE63" s="27"/>
      <c r="BF63" s="26"/>
      <c r="BG63" s="26"/>
      <c r="BH63" s="22"/>
      <c r="BI63" s="26"/>
      <c r="BJ63" s="27"/>
      <c r="BK63" s="26"/>
      <c r="BL63" s="26"/>
      <c r="BM63" s="22"/>
      <c r="BN63" s="26"/>
      <c r="BO63" s="27"/>
      <c r="BP63" s="26"/>
      <c r="BQ63" s="26"/>
      <c r="BR63" s="22"/>
      <c r="BS63" s="26"/>
      <c r="BT63" s="27"/>
      <c r="BU63" s="26"/>
      <c r="BV63" s="26"/>
      <c r="BW63" s="22"/>
      <c r="BX63" s="26"/>
      <c r="BY63" s="27"/>
      <c r="BZ63" s="26"/>
      <c r="CA63" s="26"/>
      <c r="CB63" s="22"/>
      <c r="CC63" s="26"/>
      <c r="CD63" s="27"/>
      <c r="CE63" s="26"/>
      <c r="CF63" s="26"/>
      <c r="CG63" s="22"/>
      <c r="CH63" s="26"/>
      <c r="CI63" s="27"/>
      <c r="CJ63" s="26"/>
      <c r="CK63" s="26"/>
      <c r="CL63" s="22"/>
      <c r="CM63" s="26"/>
      <c r="CN63" s="27"/>
      <c r="CO63" s="26"/>
      <c r="CP63" s="26"/>
      <c r="CQ63" s="22"/>
      <c r="CR63" s="26"/>
      <c r="CS63" s="27"/>
      <c r="CT63" s="26"/>
      <c r="CU63" s="26"/>
      <c r="CV63" s="22"/>
      <c r="CW63" s="26"/>
      <c r="CX63" s="27"/>
      <c r="CY63" s="26"/>
      <c r="CZ63" s="26"/>
      <c r="DA63" s="22"/>
      <c r="DB63" s="26"/>
      <c r="DC63" s="27"/>
      <c r="DD63" s="26"/>
      <c r="DE63" s="26"/>
      <c r="DF63" s="22"/>
      <c r="DG63" s="26"/>
      <c r="DH63" s="27"/>
      <c r="DI63" s="26"/>
      <c r="DJ63" s="26"/>
      <c r="DK63" s="22"/>
      <c r="DL63" s="26"/>
      <c r="DM63" s="27"/>
      <c r="DN63" s="26"/>
      <c r="DO63" s="26"/>
      <c r="DP63" s="22"/>
      <c r="DQ63" s="26"/>
      <c r="DR63" s="27"/>
      <c r="DS63" s="26"/>
      <c r="DT63" s="26"/>
      <c r="DU63" s="22"/>
      <c r="DV63" s="26">
        <v>61</v>
      </c>
      <c r="DW63" s="27" t="s">
        <v>596</v>
      </c>
      <c r="DX63" s="26">
        <f>COUNTIF('64 فريقًا'!$E$4:$E$1999,$DV63&amp;" ضد *")+COUNTIF('64 فريقًا'!$E$4:$E$1999,"* ضد "&amp;$DV63)</f>
        <v>18</v>
      </c>
      <c r="DY63" s="26">
        <f t="shared" si="29"/>
        <v>15</v>
      </c>
      <c r="DZ63" s="22"/>
      <c r="EA63" s="26">
        <v>61</v>
      </c>
      <c r="EB63" s="27" t="s">
        <v>596</v>
      </c>
      <c r="EC63" s="26">
        <f>COUNTIF('67 فريقًا'!$E$4:$E$1999,$EA63&amp;" ضد *")+COUNTIF('67 فريقًا'!$E$4:$E$1999,"* ضد "&amp;$EA63)</f>
        <v>18</v>
      </c>
      <c r="ED63" s="26">
        <f t="shared" si="30"/>
        <v>15</v>
      </c>
    </row>
    <row r="64" spans="1:134" ht="14.5">
      <c r="A64" s="26"/>
      <c r="B64" s="27"/>
      <c r="C64" s="26"/>
      <c r="D64" s="26"/>
      <c r="E64" s="22"/>
      <c r="F64" s="26"/>
      <c r="G64" s="27"/>
      <c r="H64" s="26"/>
      <c r="I64" s="26"/>
      <c r="J64" s="22"/>
      <c r="K64" s="26"/>
      <c r="L64" s="27"/>
      <c r="M64" s="26"/>
      <c r="N64" s="26"/>
      <c r="O64" s="22"/>
      <c r="P64" s="26"/>
      <c r="Q64" s="27"/>
      <c r="R64" s="26"/>
      <c r="S64" s="26"/>
      <c r="T64" s="22"/>
      <c r="U64" s="26"/>
      <c r="V64" s="27"/>
      <c r="W64" s="26"/>
      <c r="X64" s="26"/>
      <c r="Y64" s="22"/>
      <c r="Z64" s="26"/>
      <c r="AA64" s="27"/>
      <c r="AB64" s="26"/>
      <c r="AC64" s="26"/>
      <c r="AD64" s="22"/>
      <c r="AE64" s="26"/>
      <c r="AF64" s="27"/>
      <c r="AG64" s="26"/>
      <c r="AH64" s="26"/>
      <c r="AI64" s="22"/>
      <c r="AJ64" s="26"/>
      <c r="AK64" s="27"/>
      <c r="AL64" s="26"/>
      <c r="AM64" s="26"/>
      <c r="AN64" s="22"/>
      <c r="AO64" s="26"/>
      <c r="AP64" s="27"/>
      <c r="AQ64" s="26"/>
      <c r="AR64" s="26"/>
      <c r="AS64" s="22"/>
      <c r="AT64" s="26"/>
      <c r="AU64" s="27"/>
      <c r="AV64" s="26"/>
      <c r="AW64" s="26"/>
      <c r="AX64" s="22"/>
      <c r="AY64" s="26"/>
      <c r="AZ64" s="27"/>
      <c r="BA64" s="26"/>
      <c r="BB64" s="26"/>
      <c r="BC64" s="22"/>
      <c r="BD64" s="26"/>
      <c r="BE64" s="27"/>
      <c r="BF64" s="26"/>
      <c r="BG64" s="26"/>
      <c r="BH64" s="22"/>
      <c r="BI64" s="26"/>
      <c r="BJ64" s="27"/>
      <c r="BK64" s="26"/>
      <c r="BL64" s="26"/>
      <c r="BM64" s="22"/>
      <c r="BN64" s="26"/>
      <c r="BO64" s="27"/>
      <c r="BP64" s="26"/>
      <c r="BQ64" s="26"/>
      <c r="BR64" s="22"/>
      <c r="BS64" s="26"/>
      <c r="BT64" s="27"/>
      <c r="BU64" s="26"/>
      <c r="BV64" s="26"/>
      <c r="BW64" s="22"/>
      <c r="BX64" s="26"/>
      <c r="BY64" s="27"/>
      <c r="BZ64" s="26"/>
      <c r="CA64" s="26"/>
      <c r="CB64" s="22"/>
      <c r="CC64" s="26"/>
      <c r="CD64" s="27"/>
      <c r="CE64" s="26"/>
      <c r="CF64" s="26"/>
      <c r="CG64" s="22"/>
      <c r="CH64" s="26"/>
      <c r="CI64" s="27"/>
      <c r="CJ64" s="26"/>
      <c r="CK64" s="26"/>
      <c r="CL64" s="22"/>
      <c r="CM64" s="26"/>
      <c r="CN64" s="27"/>
      <c r="CO64" s="26"/>
      <c r="CP64" s="26"/>
      <c r="CQ64" s="22"/>
      <c r="CR64" s="26"/>
      <c r="CS64" s="27"/>
      <c r="CT64" s="26"/>
      <c r="CU64" s="26"/>
      <c r="CV64" s="22"/>
      <c r="CW64" s="26"/>
      <c r="CX64" s="27"/>
      <c r="CY64" s="26"/>
      <c r="CZ64" s="26"/>
      <c r="DA64" s="22"/>
      <c r="DB64" s="26"/>
      <c r="DC64" s="27"/>
      <c r="DD64" s="26"/>
      <c r="DE64" s="26"/>
      <c r="DF64" s="22"/>
      <c r="DG64" s="26"/>
      <c r="DH64" s="27"/>
      <c r="DI64" s="26"/>
      <c r="DJ64" s="26"/>
      <c r="DK64" s="22"/>
      <c r="DL64" s="26"/>
      <c r="DM64" s="27"/>
      <c r="DN64" s="26"/>
      <c r="DO64" s="26"/>
      <c r="DP64" s="22"/>
      <c r="DQ64" s="26"/>
      <c r="DR64" s="27"/>
      <c r="DS64" s="26"/>
      <c r="DT64" s="26"/>
      <c r="DU64" s="22"/>
      <c r="DV64" s="26">
        <v>62</v>
      </c>
      <c r="DW64" s="27" t="s">
        <v>596</v>
      </c>
      <c r="DX64" s="26">
        <f>COUNTIF('64 فريقًا'!$E$4:$E$1999,$DV64&amp;" ضد *")+COUNTIF('64 فريقًا'!$E$4:$E$1999,"* ضد "&amp;$DV64)</f>
        <v>18</v>
      </c>
      <c r="DY64" s="26">
        <f t="shared" si="29"/>
        <v>15</v>
      </c>
      <c r="DZ64" s="22"/>
      <c r="EA64" s="26">
        <v>62</v>
      </c>
      <c r="EB64" s="27" t="s">
        <v>596</v>
      </c>
      <c r="EC64" s="26">
        <f>COUNTIF('67 فريقًا'!$E$4:$E$1999,$EA64&amp;" ضد *")+COUNTIF('67 فريقًا'!$E$4:$E$1999,"* ضد "&amp;$EA64)</f>
        <v>18</v>
      </c>
      <c r="ED64" s="26">
        <f t="shared" si="30"/>
        <v>15</v>
      </c>
    </row>
    <row r="65" spans="1:134" ht="14.5">
      <c r="A65" s="26"/>
      <c r="B65" s="27"/>
      <c r="C65" s="26"/>
      <c r="D65" s="26"/>
      <c r="E65" s="22"/>
      <c r="F65" s="26"/>
      <c r="G65" s="27"/>
      <c r="H65" s="26"/>
      <c r="I65" s="26"/>
      <c r="J65" s="22"/>
      <c r="K65" s="26"/>
      <c r="L65" s="27"/>
      <c r="M65" s="26"/>
      <c r="N65" s="26"/>
      <c r="O65" s="22"/>
      <c r="P65" s="26"/>
      <c r="Q65" s="27"/>
      <c r="R65" s="26"/>
      <c r="S65" s="26"/>
      <c r="T65" s="22"/>
      <c r="U65" s="26"/>
      <c r="V65" s="27"/>
      <c r="W65" s="26"/>
      <c r="X65" s="26"/>
      <c r="Y65" s="22"/>
      <c r="Z65" s="26"/>
      <c r="AA65" s="27"/>
      <c r="AB65" s="26"/>
      <c r="AC65" s="26"/>
      <c r="AD65" s="22"/>
      <c r="AE65" s="26"/>
      <c r="AF65" s="27"/>
      <c r="AG65" s="26"/>
      <c r="AH65" s="26"/>
      <c r="AI65" s="22"/>
      <c r="AJ65" s="26"/>
      <c r="AK65" s="27"/>
      <c r="AL65" s="26"/>
      <c r="AM65" s="26"/>
      <c r="AN65" s="22"/>
      <c r="AO65" s="26"/>
      <c r="AP65" s="27"/>
      <c r="AQ65" s="26"/>
      <c r="AR65" s="26"/>
      <c r="AS65" s="22"/>
      <c r="AT65" s="26"/>
      <c r="AU65" s="27"/>
      <c r="AV65" s="26"/>
      <c r="AW65" s="26"/>
      <c r="AX65" s="22"/>
      <c r="AY65" s="26"/>
      <c r="AZ65" s="27"/>
      <c r="BA65" s="26"/>
      <c r="BB65" s="26"/>
      <c r="BC65" s="22"/>
      <c r="BD65" s="26"/>
      <c r="BE65" s="27"/>
      <c r="BF65" s="26"/>
      <c r="BG65" s="26"/>
      <c r="BH65" s="22"/>
      <c r="BI65" s="26"/>
      <c r="BJ65" s="27"/>
      <c r="BK65" s="26"/>
      <c r="BL65" s="26"/>
      <c r="BM65" s="22"/>
      <c r="BN65" s="26"/>
      <c r="BO65" s="27"/>
      <c r="BP65" s="26"/>
      <c r="BQ65" s="26"/>
      <c r="BR65" s="22"/>
      <c r="BS65" s="26"/>
      <c r="BT65" s="27"/>
      <c r="BU65" s="26"/>
      <c r="BV65" s="26"/>
      <c r="BW65" s="22"/>
      <c r="BX65" s="26"/>
      <c r="BY65" s="27"/>
      <c r="BZ65" s="26"/>
      <c r="CA65" s="26"/>
      <c r="CB65" s="22"/>
      <c r="CC65" s="26"/>
      <c r="CD65" s="27"/>
      <c r="CE65" s="26"/>
      <c r="CF65" s="26"/>
      <c r="CG65" s="22"/>
      <c r="CH65" s="26"/>
      <c r="CI65" s="27"/>
      <c r="CJ65" s="26"/>
      <c r="CK65" s="26"/>
      <c r="CL65" s="22"/>
      <c r="CM65" s="26"/>
      <c r="CN65" s="27"/>
      <c r="CO65" s="26"/>
      <c r="CP65" s="26"/>
      <c r="CQ65" s="22"/>
      <c r="CR65" s="26"/>
      <c r="CS65" s="27"/>
      <c r="CT65" s="26"/>
      <c r="CU65" s="26"/>
      <c r="CV65" s="22"/>
      <c r="CW65" s="26"/>
      <c r="CX65" s="27"/>
      <c r="CY65" s="26"/>
      <c r="CZ65" s="26"/>
      <c r="DA65" s="22"/>
      <c r="DB65" s="26"/>
      <c r="DC65" s="27"/>
      <c r="DD65" s="26"/>
      <c r="DE65" s="26"/>
      <c r="DF65" s="22"/>
      <c r="DG65" s="26"/>
      <c r="DH65" s="27"/>
      <c r="DI65" s="26"/>
      <c r="DJ65" s="26"/>
      <c r="DK65" s="22"/>
      <c r="DL65" s="26"/>
      <c r="DM65" s="27"/>
      <c r="DN65" s="26"/>
      <c r="DO65" s="26"/>
      <c r="DP65" s="22"/>
      <c r="DQ65" s="26"/>
      <c r="DR65" s="27"/>
      <c r="DS65" s="26"/>
      <c r="DT65" s="26"/>
      <c r="DU65" s="22"/>
      <c r="DV65" s="26">
        <v>63</v>
      </c>
      <c r="DW65" s="27" t="s">
        <v>596</v>
      </c>
      <c r="DX65" s="26">
        <f>COUNTIF('64 فريقًا'!$E$4:$E$1999,$DV65&amp;" ضد *")+COUNTIF('64 فريقًا'!$E$4:$E$1999,"* ضد "&amp;$DV65)</f>
        <v>18</v>
      </c>
      <c r="DY65" s="26">
        <f t="shared" si="29"/>
        <v>15</v>
      </c>
      <c r="DZ65" s="22"/>
      <c r="EA65" s="26">
        <v>63</v>
      </c>
      <c r="EB65" s="27" t="s">
        <v>596</v>
      </c>
      <c r="EC65" s="26">
        <f>COUNTIF('67 فريقًا'!$E$4:$E$1999,$EA65&amp;" ضد *")+COUNTIF('67 فريقًا'!$E$4:$E$1999,"* ضد "&amp;$EA65)</f>
        <v>18</v>
      </c>
      <c r="ED65" s="26">
        <f t="shared" si="30"/>
        <v>15</v>
      </c>
    </row>
    <row r="66" spans="1:134" ht="14.5">
      <c r="A66" s="26"/>
      <c r="B66" s="27"/>
      <c r="C66" s="26"/>
      <c r="D66" s="26"/>
      <c r="E66" s="22"/>
      <c r="F66" s="26"/>
      <c r="G66" s="27"/>
      <c r="H66" s="26"/>
      <c r="I66" s="26"/>
      <c r="J66" s="22"/>
      <c r="K66" s="26"/>
      <c r="L66" s="27"/>
      <c r="M66" s="26"/>
      <c r="N66" s="26"/>
      <c r="O66" s="22"/>
      <c r="P66" s="26"/>
      <c r="Q66" s="27"/>
      <c r="R66" s="26"/>
      <c r="S66" s="26"/>
      <c r="T66" s="22"/>
      <c r="U66" s="26"/>
      <c r="V66" s="27"/>
      <c r="W66" s="26"/>
      <c r="X66" s="26"/>
      <c r="Y66" s="22"/>
      <c r="Z66" s="26"/>
      <c r="AA66" s="27"/>
      <c r="AB66" s="26"/>
      <c r="AC66" s="26"/>
      <c r="AD66" s="22"/>
      <c r="AE66" s="26"/>
      <c r="AF66" s="27"/>
      <c r="AG66" s="26"/>
      <c r="AH66" s="26"/>
      <c r="AI66" s="22"/>
      <c r="AJ66" s="26"/>
      <c r="AK66" s="27"/>
      <c r="AL66" s="26"/>
      <c r="AM66" s="26"/>
      <c r="AN66" s="22"/>
      <c r="AO66" s="26"/>
      <c r="AP66" s="27"/>
      <c r="AQ66" s="26"/>
      <c r="AR66" s="26"/>
      <c r="AS66" s="22"/>
      <c r="AT66" s="26"/>
      <c r="AU66" s="27"/>
      <c r="AV66" s="26"/>
      <c r="AW66" s="26"/>
      <c r="AX66" s="22"/>
      <c r="AY66" s="26"/>
      <c r="AZ66" s="27"/>
      <c r="BA66" s="26"/>
      <c r="BB66" s="26"/>
      <c r="BC66" s="22"/>
      <c r="BD66" s="26"/>
      <c r="BE66" s="27"/>
      <c r="BF66" s="26"/>
      <c r="BG66" s="26"/>
      <c r="BH66" s="22"/>
      <c r="BI66" s="26"/>
      <c r="BJ66" s="27"/>
      <c r="BK66" s="26"/>
      <c r="BL66" s="26"/>
      <c r="BM66" s="22"/>
      <c r="BN66" s="26"/>
      <c r="BO66" s="27"/>
      <c r="BP66" s="26"/>
      <c r="BQ66" s="26"/>
      <c r="BR66" s="22"/>
      <c r="BS66" s="26"/>
      <c r="BT66" s="27"/>
      <c r="BU66" s="26"/>
      <c r="BV66" s="26"/>
      <c r="BW66" s="22"/>
      <c r="BX66" s="26"/>
      <c r="BY66" s="27"/>
      <c r="BZ66" s="26"/>
      <c r="CA66" s="26"/>
      <c r="CB66" s="22"/>
      <c r="CC66" s="26"/>
      <c r="CD66" s="27"/>
      <c r="CE66" s="26"/>
      <c r="CF66" s="26"/>
      <c r="CG66" s="22"/>
      <c r="CH66" s="26"/>
      <c r="CI66" s="27"/>
      <c r="CJ66" s="26"/>
      <c r="CK66" s="26"/>
      <c r="CL66" s="22"/>
      <c r="CM66" s="26"/>
      <c r="CN66" s="27"/>
      <c r="CO66" s="26"/>
      <c r="CP66" s="26"/>
      <c r="CQ66" s="22"/>
      <c r="CR66" s="26"/>
      <c r="CS66" s="27"/>
      <c r="CT66" s="26"/>
      <c r="CU66" s="26"/>
      <c r="CV66" s="22"/>
      <c r="CW66" s="26"/>
      <c r="CX66" s="27"/>
      <c r="CY66" s="26"/>
      <c r="CZ66" s="26"/>
      <c r="DA66" s="22"/>
      <c r="DB66" s="26"/>
      <c r="DC66" s="27"/>
      <c r="DD66" s="26"/>
      <c r="DE66" s="26"/>
      <c r="DF66" s="22"/>
      <c r="DG66" s="26"/>
      <c r="DH66" s="27"/>
      <c r="DI66" s="26"/>
      <c r="DJ66" s="26"/>
      <c r="DK66" s="22"/>
      <c r="DL66" s="26"/>
      <c r="DM66" s="27"/>
      <c r="DN66" s="26"/>
      <c r="DO66" s="26"/>
      <c r="DP66" s="22"/>
      <c r="DQ66" s="26"/>
      <c r="DR66" s="27"/>
      <c r="DS66" s="26"/>
      <c r="DT66" s="26"/>
      <c r="DU66" s="22"/>
      <c r="DV66" s="26">
        <v>64</v>
      </c>
      <c r="DW66" s="27" t="s">
        <v>596</v>
      </c>
      <c r="DX66" s="26">
        <f>COUNTIF('64 فريقًا'!$E$4:$E$1999,$DV66&amp;" ضد *")+COUNTIF('64 فريقًا'!$E$4:$E$1999,"* ضد "&amp;$DV66)</f>
        <v>18</v>
      </c>
      <c r="DY66" s="26">
        <f t="shared" si="29"/>
        <v>15</v>
      </c>
      <c r="DZ66" s="22"/>
      <c r="EA66" s="26">
        <v>64</v>
      </c>
      <c r="EB66" s="27" t="s">
        <v>596</v>
      </c>
      <c r="EC66" s="26">
        <f>COUNTIF('67 فريقًا'!$E$4:$E$1999,$EA66&amp;" ضد *")+COUNTIF('67 فريقًا'!$E$4:$E$1999,"* ضد "&amp;$EA66)</f>
        <v>18</v>
      </c>
      <c r="ED66" s="26">
        <f t="shared" si="30"/>
        <v>15</v>
      </c>
    </row>
    <row r="67" spans="1:134" ht="14.5">
      <c r="A67" s="26"/>
      <c r="B67" s="27"/>
      <c r="C67" s="26"/>
      <c r="D67" s="26"/>
      <c r="E67" s="22"/>
      <c r="F67" s="26"/>
      <c r="G67" s="27"/>
      <c r="H67" s="26"/>
      <c r="I67" s="26"/>
      <c r="J67" s="22"/>
      <c r="K67" s="26"/>
      <c r="L67" s="27"/>
      <c r="M67" s="26"/>
      <c r="N67" s="26"/>
      <c r="O67" s="22"/>
      <c r="P67" s="26"/>
      <c r="Q67" s="27"/>
      <c r="R67" s="26"/>
      <c r="S67" s="26"/>
      <c r="T67" s="22"/>
      <c r="U67" s="26"/>
      <c r="V67" s="27"/>
      <c r="W67" s="26"/>
      <c r="X67" s="26"/>
      <c r="Y67" s="22"/>
      <c r="Z67" s="26"/>
      <c r="AA67" s="27"/>
      <c r="AB67" s="26"/>
      <c r="AC67" s="26"/>
      <c r="AD67" s="22"/>
      <c r="AE67" s="26"/>
      <c r="AF67" s="27"/>
      <c r="AG67" s="26"/>
      <c r="AH67" s="26"/>
      <c r="AI67" s="22"/>
      <c r="AJ67" s="26"/>
      <c r="AK67" s="27"/>
      <c r="AL67" s="26"/>
      <c r="AM67" s="26"/>
      <c r="AN67" s="22"/>
      <c r="AO67" s="26"/>
      <c r="AP67" s="27"/>
      <c r="AQ67" s="26"/>
      <c r="AR67" s="26"/>
      <c r="AS67" s="22"/>
      <c r="AT67" s="26"/>
      <c r="AU67" s="27"/>
      <c r="AV67" s="26"/>
      <c r="AW67" s="26"/>
      <c r="AX67" s="22"/>
      <c r="AY67" s="26"/>
      <c r="AZ67" s="27"/>
      <c r="BA67" s="26"/>
      <c r="BB67" s="26"/>
      <c r="BC67" s="22"/>
      <c r="BD67" s="26"/>
      <c r="BE67" s="27"/>
      <c r="BF67" s="26"/>
      <c r="BG67" s="26"/>
      <c r="BH67" s="22"/>
      <c r="BI67" s="26"/>
      <c r="BJ67" s="27"/>
      <c r="BK67" s="26"/>
      <c r="BL67" s="26"/>
      <c r="BM67" s="22"/>
      <c r="BN67" s="26"/>
      <c r="BO67" s="27"/>
      <c r="BP67" s="26"/>
      <c r="BQ67" s="26"/>
      <c r="BR67" s="22"/>
      <c r="BS67" s="26"/>
      <c r="BT67" s="27"/>
      <c r="BU67" s="26"/>
      <c r="BV67" s="26"/>
      <c r="BW67" s="22"/>
      <c r="BX67" s="26"/>
      <c r="BY67" s="27"/>
      <c r="BZ67" s="26"/>
      <c r="CA67" s="26"/>
      <c r="CB67" s="22"/>
      <c r="CC67" s="26"/>
      <c r="CD67" s="27"/>
      <c r="CE67" s="26"/>
      <c r="CF67" s="26"/>
      <c r="CG67" s="22"/>
      <c r="CH67" s="26"/>
      <c r="CI67" s="27"/>
      <c r="CJ67" s="26"/>
      <c r="CK67" s="26"/>
      <c r="CL67" s="22"/>
      <c r="CM67" s="26"/>
      <c r="CN67" s="27"/>
      <c r="CO67" s="26"/>
      <c r="CP67" s="26"/>
      <c r="CQ67" s="22"/>
      <c r="CR67" s="26"/>
      <c r="CS67" s="27"/>
      <c r="CT67" s="26"/>
      <c r="CU67" s="26"/>
      <c r="CV67" s="22"/>
      <c r="CW67" s="26"/>
      <c r="CX67" s="27"/>
      <c r="CY67" s="26"/>
      <c r="CZ67" s="26"/>
      <c r="DA67" s="22"/>
      <c r="DB67" s="26"/>
      <c r="DC67" s="27"/>
      <c r="DD67" s="26"/>
      <c r="DE67" s="26"/>
      <c r="DF67" s="22"/>
      <c r="DG67" s="26"/>
      <c r="DH67" s="27"/>
      <c r="DI67" s="26"/>
      <c r="DJ67" s="26"/>
      <c r="DK67" s="22"/>
      <c r="DL67" s="26"/>
      <c r="DM67" s="27"/>
      <c r="DN67" s="26"/>
      <c r="DO67" s="26"/>
      <c r="DP67" s="22"/>
      <c r="DQ67" s="26"/>
      <c r="DR67" s="27"/>
      <c r="DS67" s="26"/>
      <c r="DT67" s="26"/>
      <c r="DU67" s="22"/>
      <c r="DV67" s="26"/>
      <c r="DW67" s="27"/>
      <c r="DX67" s="26"/>
      <c r="DY67" s="26"/>
      <c r="DZ67" s="22"/>
      <c r="EA67" s="26">
        <v>65</v>
      </c>
      <c r="EB67" s="27" t="s">
        <v>596</v>
      </c>
      <c r="EC67" s="26">
        <f>COUNTIF('67 فريقًا'!$E$4:$E$1999,$EA67&amp;" ضد *")+COUNTIF('67 فريقًا'!$E$4:$E$1999,"* ضد "&amp;$EA67)</f>
        <v>18</v>
      </c>
      <c r="ED67" s="26">
        <f t="shared" si="30"/>
        <v>15</v>
      </c>
    </row>
    <row r="68" spans="1:134" ht="14.5">
      <c r="A68" s="26"/>
      <c r="B68" s="27"/>
      <c r="C68" s="26"/>
      <c r="D68" s="26"/>
      <c r="E68" s="22"/>
      <c r="F68" s="26"/>
      <c r="G68" s="27"/>
      <c r="H68" s="26"/>
      <c r="I68" s="26"/>
      <c r="J68" s="22"/>
      <c r="K68" s="26"/>
      <c r="L68" s="27"/>
      <c r="M68" s="26"/>
      <c r="N68" s="26"/>
      <c r="O68" s="22"/>
      <c r="P68" s="26"/>
      <c r="Q68" s="27"/>
      <c r="R68" s="26"/>
      <c r="S68" s="26"/>
      <c r="T68" s="22"/>
      <c r="U68" s="26"/>
      <c r="V68" s="27"/>
      <c r="W68" s="26"/>
      <c r="X68" s="26"/>
      <c r="Y68" s="22"/>
      <c r="Z68" s="26"/>
      <c r="AA68" s="27"/>
      <c r="AB68" s="26"/>
      <c r="AC68" s="26"/>
      <c r="AD68" s="22"/>
      <c r="AE68" s="26"/>
      <c r="AF68" s="27"/>
      <c r="AG68" s="26"/>
      <c r="AH68" s="26"/>
      <c r="AI68" s="22"/>
      <c r="AJ68" s="26"/>
      <c r="AK68" s="27"/>
      <c r="AL68" s="26"/>
      <c r="AM68" s="26"/>
      <c r="AN68" s="22"/>
      <c r="AO68" s="26"/>
      <c r="AP68" s="27"/>
      <c r="AQ68" s="26"/>
      <c r="AR68" s="26"/>
      <c r="AS68" s="22"/>
      <c r="AT68" s="26"/>
      <c r="AU68" s="27"/>
      <c r="AV68" s="26"/>
      <c r="AW68" s="26"/>
      <c r="AX68" s="22"/>
      <c r="AY68" s="26"/>
      <c r="AZ68" s="27"/>
      <c r="BA68" s="26"/>
      <c r="BB68" s="26"/>
      <c r="BC68" s="22"/>
      <c r="BD68" s="26"/>
      <c r="BE68" s="27"/>
      <c r="BF68" s="26"/>
      <c r="BG68" s="26"/>
      <c r="BH68" s="22"/>
      <c r="BI68" s="26"/>
      <c r="BJ68" s="27"/>
      <c r="BK68" s="26"/>
      <c r="BL68" s="26"/>
      <c r="BM68" s="22"/>
      <c r="BN68" s="26"/>
      <c r="BO68" s="27"/>
      <c r="BP68" s="26"/>
      <c r="BQ68" s="26"/>
      <c r="BR68" s="22"/>
      <c r="BS68" s="26"/>
      <c r="BT68" s="27"/>
      <c r="BU68" s="26"/>
      <c r="BV68" s="26"/>
      <c r="BW68" s="22"/>
      <c r="BX68" s="26"/>
      <c r="BY68" s="27"/>
      <c r="BZ68" s="26"/>
      <c r="CA68" s="26"/>
      <c r="CB68" s="22"/>
      <c r="CC68" s="26"/>
      <c r="CD68" s="27"/>
      <c r="CE68" s="26"/>
      <c r="CF68" s="26"/>
      <c r="CG68" s="22"/>
      <c r="CH68" s="26"/>
      <c r="CI68" s="27"/>
      <c r="CJ68" s="26"/>
      <c r="CK68" s="26"/>
      <c r="CL68" s="22"/>
      <c r="CM68" s="26"/>
      <c r="CN68" s="27"/>
      <c r="CO68" s="26"/>
      <c r="CP68" s="26"/>
      <c r="CQ68" s="22"/>
      <c r="CR68" s="26"/>
      <c r="CS68" s="27"/>
      <c r="CT68" s="26"/>
      <c r="CU68" s="26"/>
      <c r="CV68" s="22"/>
      <c r="CW68" s="26"/>
      <c r="CX68" s="27"/>
      <c r="CY68" s="26"/>
      <c r="CZ68" s="26"/>
      <c r="DA68" s="22"/>
      <c r="DB68" s="26"/>
      <c r="DC68" s="27"/>
      <c r="DD68" s="26"/>
      <c r="DE68" s="26"/>
      <c r="DF68" s="22"/>
      <c r="DG68" s="26"/>
      <c r="DH68" s="27"/>
      <c r="DI68" s="26"/>
      <c r="DJ68" s="26"/>
      <c r="DK68" s="22"/>
      <c r="DL68" s="26"/>
      <c r="DM68" s="27"/>
      <c r="DN68" s="26"/>
      <c r="DO68" s="26"/>
      <c r="DP68" s="22"/>
      <c r="DQ68" s="26"/>
      <c r="DR68" s="27"/>
      <c r="DS68" s="26"/>
      <c r="DT68" s="26"/>
      <c r="DU68" s="22"/>
      <c r="DV68" s="26"/>
      <c r="DW68" s="27"/>
      <c r="DX68" s="26"/>
      <c r="DY68" s="26"/>
      <c r="DZ68" s="22"/>
      <c r="EA68" s="26">
        <v>66</v>
      </c>
      <c r="EB68" s="27" t="s">
        <v>596</v>
      </c>
      <c r="EC68" s="26">
        <f>COUNTIF('67 فريقًا'!$E$4:$E$1999,$EA68&amp;" ضد *")+COUNTIF('67 فريقًا'!$E$4:$E$1999,"* ضد "&amp;$EA68)</f>
        <v>18</v>
      </c>
      <c r="ED68" s="26">
        <f t="shared" si="30"/>
        <v>15</v>
      </c>
    </row>
    <row r="69" spans="1:134" ht="14.5">
      <c r="A69" s="26"/>
      <c r="B69" s="27"/>
      <c r="C69" s="26"/>
      <c r="D69" s="26"/>
      <c r="E69" s="22"/>
      <c r="F69" s="26"/>
      <c r="G69" s="27"/>
      <c r="H69" s="26"/>
      <c r="I69" s="26"/>
      <c r="J69" s="22"/>
      <c r="K69" s="26"/>
      <c r="L69" s="27"/>
      <c r="M69" s="26"/>
      <c r="N69" s="26"/>
      <c r="O69" s="22"/>
      <c r="P69" s="26"/>
      <c r="Q69" s="27"/>
      <c r="R69" s="26"/>
      <c r="S69" s="26"/>
      <c r="T69" s="22"/>
      <c r="U69" s="26"/>
      <c r="V69" s="27"/>
      <c r="W69" s="26"/>
      <c r="X69" s="26"/>
      <c r="Y69" s="22"/>
      <c r="Z69" s="26"/>
      <c r="AA69" s="27"/>
      <c r="AB69" s="26"/>
      <c r="AC69" s="26"/>
      <c r="AD69" s="22"/>
      <c r="AE69" s="26"/>
      <c r="AF69" s="27"/>
      <c r="AG69" s="26"/>
      <c r="AH69" s="26"/>
      <c r="AI69" s="22"/>
      <c r="AJ69" s="26"/>
      <c r="AK69" s="27"/>
      <c r="AL69" s="26"/>
      <c r="AM69" s="26"/>
      <c r="AN69" s="22"/>
      <c r="AO69" s="26"/>
      <c r="AP69" s="27"/>
      <c r="AQ69" s="26"/>
      <c r="AR69" s="26"/>
      <c r="AS69" s="22"/>
      <c r="AT69" s="26"/>
      <c r="AU69" s="27"/>
      <c r="AV69" s="26"/>
      <c r="AW69" s="26"/>
      <c r="AX69" s="22"/>
      <c r="AY69" s="26"/>
      <c r="AZ69" s="27"/>
      <c r="BA69" s="26"/>
      <c r="BB69" s="26"/>
      <c r="BC69" s="22"/>
      <c r="BD69" s="26"/>
      <c r="BE69" s="27"/>
      <c r="BF69" s="26"/>
      <c r="BG69" s="26"/>
      <c r="BH69" s="22"/>
      <c r="BI69" s="26"/>
      <c r="BJ69" s="27"/>
      <c r="BK69" s="26"/>
      <c r="BL69" s="26"/>
      <c r="BM69" s="22"/>
      <c r="BN69" s="26"/>
      <c r="BO69" s="27"/>
      <c r="BP69" s="26"/>
      <c r="BQ69" s="26"/>
      <c r="BR69" s="22"/>
      <c r="BS69" s="26"/>
      <c r="BT69" s="27"/>
      <c r="BU69" s="26"/>
      <c r="BV69" s="26"/>
      <c r="BW69" s="22"/>
      <c r="BX69" s="26"/>
      <c r="BY69" s="27"/>
      <c r="BZ69" s="26"/>
      <c r="CA69" s="26"/>
      <c r="CB69" s="22"/>
      <c r="CC69" s="26"/>
      <c r="CD69" s="27"/>
      <c r="CE69" s="26"/>
      <c r="CF69" s="26"/>
      <c r="CG69" s="22"/>
      <c r="CH69" s="26"/>
      <c r="CI69" s="27"/>
      <c r="CJ69" s="26"/>
      <c r="CK69" s="26"/>
      <c r="CL69" s="22"/>
      <c r="CM69" s="26"/>
      <c r="CN69" s="27"/>
      <c r="CO69" s="26"/>
      <c r="CP69" s="26"/>
      <c r="CQ69" s="22"/>
      <c r="CR69" s="26"/>
      <c r="CS69" s="27"/>
      <c r="CT69" s="26"/>
      <c r="CU69" s="26"/>
      <c r="CV69" s="22"/>
      <c r="CW69" s="26"/>
      <c r="CX69" s="27"/>
      <c r="CY69" s="26"/>
      <c r="CZ69" s="26"/>
      <c r="DA69" s="22"/>
      <c r="DB69" s="26"/>
      <c r="DC69" s="27"/>
      <c r="DD69" s="26"/>
      <c r="DE69" s="26"/>
      <c r="DF69" s="22"/>
      <c r="DG69" s="26"/>
      <c r="DH69" s="27"/>
      <c r="DI69" s="26"/>
      <c r="DJ69" s="26"/>
      <c r="DK69" s="22"/>
      <c r="DL69" s="26"/>
      <c r="DM69" s="27"/>
      <c r="DN69" s="26"/>
      <c r="DO69" s="26"/>
      <c r="DP69" s="22"/>
      <c r="DQ69" s="26"/>
      <c r="DR69" s="27"/>
      <c r="DS69" s="26"/>
      <c r="DT69" s="26"/>
      <c r="DU69" s="22"/>
      <c r="DV69" s="26"/>
      <c r="DW69" s="27"/>
      <c r="DX69" s="26"/>
      <c r="DY69" s="26"/>
      <c r="DZ69" s="22"/>
      <c r="EA69" s="26">
        <v>67</v>
      </c>
      <c r="EB69" s="27" t="s">
        <v>596</v>
      </c>
      <c r="EC69" s="26">
        <f>COUNTIF('67 فريقًا'!$E$4:$E$1999,$EA69&amp;" ضد *")+COUNTIF('67 فريقًا'!$E$4:$E$1999,"* ضد "&amp;$EA69)</f>
        <v>18</v>
      </c>
      <c r="ED69" s="26">
        <f t="shared" si="30"/>
        <v>15</v>
      </c>
    </row>
  </sheetData>
  <mergeCells count="27">
    <mergeCell ref="DQ1:DT1"/>
    <mergeCell ref="DV1:DY1"/>
    <mergeCell ref="EA1:ED1"/>
    <mergeCell ref="CM1:CP1"/>
    <mergeCell ref="CR1:CU1"/>
    <mergeCell ref="CW1:CZ1"/>
    <mergeCell ref="DB1:DE1"/>
    <mergeCell ref="DG1:DJ1"/>
    <mergeCell ref="DL1:DO1"/>
    <mergeCell ref="BI1:BL1"/>
    <mergeCell ref="BN1:BQ1"/>
    <mergeCell ref="BS1:BV1"/>
    <mergeCell ref="BX1:CA1"/>
    <mergeCell ref="CC1:CF1"/>
    <mergeCell ref="CH1:CK1"/>
    <mergeCell ref="AE1:AH1"/>
    <mergeCell ref="AJ1:AM1"/>
    <mergeCell ref="AO1:AR1"/>
    <mergeCell ref="AT1:AW1"/>
    <mergeCell ref="AY1:BB1"/>
    <mergeCell ref="BD1:BG1"/>
    <mergeCell ref="A1:D1"/>
    <mergeCell ref="F1:I1"/>
    <mergeCell ref="K1:N1"/>
    <mergeCell ref="P1:S1"/>
    <mergeCell ref="U1:X1"/>
    <mergeCell ref="Z1:A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22ECD-0E4D-414E-A45D-A46CD99FF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2B2209-BE81-4C80-839B-8D9B91D17E0C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3.xml><?xml version="1.0" encoding="utf-8"?>
<ds:datastoreItem xmlns:ds="http://schemas.openxmlformats.org/officeDocument/2006/customXml" ds:itemID="{A199A14B-3C47-4B91-82ED-634AB6189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المدخلات</vt:lpstr>
      <vt:lpstr>الملخص</vt:lpstr>
      <vt:lpstr>6 فرق</vt:lpstr>
      <vt:lpstr>7 فرق</vt:lpstr>
      <vt:lpstr>8 فرق</vt:lpstr>
      <vt:lpstr>9 فرق</vt:lpstr>
      <vt:lpstr>11 فريقًا</vt:lpstr>
      <vt:lpstr>12 فريقًا</vt:lpstr>
      <vt:lpstr>13 فريقًا</vt:lpstr>
      <vt:lpstr>14 فريقًا</vt:lpstr>
      <vt:lpstr>15 فريقًا</vt:lpstr>
      <vt:lpstr>16 فريقًا</vt:lpstr>
      <vt:lpstr>17 فريقًا</vt:lpstr>
      <vt:lpstr>18 فريقًا</vt:lpstr>
      <vt:lpstr>19 فريقًا</vt:lpstr>
      <vt:lpstr>20 فريقًا</vt:lpstr>
      <vt:lpstr>21 فريقًا</vt:lpstr>
      <vt:lpstr>22 فريقًا</vt:lpstr>
      <vt:lpstr>23 فريقًا</vt:lpstr>
      <vt:lpstr>25 فريقًا</vt:lpstr>
      <vt:lpstr>26 فريقًا</vt:lpstr>
      <vt:lpstr>27 فريقًا</vt:lpstr>
      <vt:lpstr>29 فريقًا</vt:lpstr>
      <vt:lpstr>37 فريقًا</vt:lpstr>
      <vt:lpstr>46 فريقًا</vt:lpstr>
      <vt:lpstr>54 فريقًا</vt:lpstr>
      <vt:lpstr>58 فريقًا</vt:lpstr>
      <vt:lpstr>64 فريقًا</vt:lpstr>
      <vt:lpstr>67 فريقًا</vt:lpstr>
      <vt:lpstr>بيانات الفرق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Alnajjar</cp:lastModifiedBy>
  <dcterms:created xsi:type="dcterms:W3CDTF">2026-09-10T06:18:38Z</dcterms:created>
  <dcterms:modified xsi:type="dcterms:W3CDTF">2026-09-12T21:16:25Z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