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reativeartistsagencygbr.sharepoint.com/sites/NFSIMPLEMENTATIONSAFF/Shared Documents/04 Deliverables WIP/SAFF 2025 Plan/Competitions restructure/Analysis/Schedule Analysis/"/>
    </mc:Choice>
  </mc:AlternateContent>
  <xr:revisionPtr revIDLastSave="836" documentId="8_{424DDBB3-633A-47D0-8370-E711FD386E5A}" xr6:coauthVersionLast="47" xr6:coauthVersionMax="47" xr10:uidLastSave="{1E617F0A-55EB-431B-9B7E-C8BCDA0A0191}"/>
  <bookViews>
    <workbookView xWindow="-110" yWindow="-110" windowWidth="19420" windowHeight="11500" tabRatio="887" activeTab="2" xr2:uid="{00000000-000D-0000-FFFF-FFFF00000000}"/>
  </bookViews>
  <sheets>
    <sheet name="المدخلات" sheetId="16" r:id="rId1"/>
    <sheet name="المبادئ" sheetId="50" r:id="rId2"/>
    <sheet name="ملخص البطولات" sheetId="15" r:id="rId3"/>
    <sheet name="6 فرق" sheetId="2" r:id="rId4"/>
    <sheet name="7 فرق" sheetId="67" r:id="rId5"/>
    <sheet name="8 فرق" sheetId="6" r:id="rId6"/>
    <sheet name="9 فرق" sheetId="68" r:id="rId7"/>
    <sheet name="12 فريقًا" sheetId="60" r:id="rId8"/>
    <sheet name="13 فريقًا" sheetId="71" r:id="rId9"/>
    <sheet name="17 فريقًا" sheetId="69" r:id="rId10"/>
    <sheet name="18 فريقًا" sheetId="58" r:id="rId11"/>
    <sheet name="19 فريقًا" sheetId="62" r:id="rId12"/>
    <sheet name="22 فريقًا" sheetId="61" r:id="rId13"/>
    <sheet name="30 فريقًا" sheetId="72"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15" l="1"/>
  <c r="E28" i="15"/>
  <c r="E27" i="15"/>
  <c r="E26" i="15"/>
  <c r="E25" i="15"/>
  <c r="E24" i="15"/>
  <c r="E23" i="15"/>
  <c r="E22" i="15"/>
  <c r="E21" i="15"/>
  <c r="E20" i="15"/>
  <c r="E19" i="15"/>
  <c r="F25" i="15" l="1"/>
  <c r="F22" i="15"/>
  <c r="F23" i="15"/>
  <c r="F24" i="15"/>
  <c r="F27" i="15"/>
  <c r="F26" i="15"/>
  <c r="F28" i="15"/>
  <c r="F19" i="15"/>
  <c r="F20" i="15"/>
  <c r="F29" i="15"/>
  <c r="F21" i="15"/>
  <c r="J14" i="15" l="1"/>
  <c r="K14" i="15" s="1"/>
  <c r="J9" i="15"/>
  <c r="K9" i="15" s="1"/>
  <c r="B71" i="72"/>
  <c r="C71" i="72"/>
  <c r="D71" i="72"/>
  <c r="E71" i="72"/>
  <c r="F71" i="72"/>
  <c r="G71" i="72"/>
  <c r="H71" i="72"/>
  <c r="I71" i="72"/>
  <c r="J71" i="72"/>
  <c r="K71" i="72"/>
  <c r="L71" i="72"/>
  <c r="M71" i="72"/>
  <c r="N71" i="72"/>
  <c r="O71" i="72"/>
  <c r="P71" i="72"/>
  <c r="Q71" i="72"/>
  <c r="R71" i="72"/>
  <c r="S71" i="72"/>
  <c r="T71" i="72"/>
  <c r="U71" i="72"/>
  <c r="V71" i="72"/>
  <c r="W71" i="72"/>
  <c r="X71" i="72"/>
  <c r="Y71" i="72"/>
  <c r="Z71" i="72"/>
  <c r="AA71" i="72"/>
  <c r="AB71" i="72"/>
  <c r="AC71" i="72"/>
  <c r="AD71" i="72"/>
  <c r="AE71" i="72"/>
  <c r="B72" i="72"/>
  <c r="C72" i="72"/>
  <c r="D72" i="72"/>
  <c r="E72" i="72"/>
  <c r="F72" i="72"/>
  <c r="G72" i="72"/>
  <c r="H72" i="72"/>
  <c r="I72" i="72"/>
  <c r="J72" i="72"/>
  <c r="K72" i="72"/>
  <c r="L72" i="72"/>
  <c r="M72" i="72"/>
  <c r="N72" i="72"/>
  <c r="O72" i="72"/>
  <c r="P72" i="72"/>
  <c r="Q72" i="72"/>
  <c r="R72" i="72"/>
  <c r="S72" i="72"/>
  <c r="T72" i="72"/>
  <c r="U72" i="72"/>
  <c r="V72" i="72"/>
  <c r="W72" i="72"/>
  <c r="X72" i="72"/>
  <c r="Y72" i="72"/>
  <c r="Z72" i="72"/>
  <c r="AA72" i="72"/>
  <c r="AB72" i="72"/>
  <c r="AC72" i="72"/>
  <c r="AD72" i="72"/>
  <c r="AE72" i="72"/>
  <c r="B73" i="72"/>
  <c r="C73" i="72"/>
  <c r="D73" i="72"/>
  <c r="E73" i="72"/>
  <c r="F73" i="72"/>
  <c r="G73" i="72"/>
  <c r="H73" i="72"/>
  <c r="I73" i="72"/>
  <c r="J73" i="72"/>
  <c r="K73" i="72"/>
  <c r="L73" i="72"/>
  <c r="M73" i="72"/>
  <c r="N73" i="72"/>
  <c r="O73" i="72"/>
  <c r="P73" i="72"/>
  <c r="Q73" i="72"/>
  <c r="R73" i="72"/>
  <c r="S73" i="72"/>
  <c r="T73" i="72"/>
  <c r="U73" i="72"/>
  <c r="V73" i="72"/>
  <c r="W73" i="72"/>
  <c r="X73" i="72"/>
  <c r="Y73" i="72"/>
  <c r="Z73" i="72"/>
  <c r="AA73" i="72"/>
  <c r="AB73" i="72"/>
  <c r="AC73" i="72"/>
  <c r="AD73" i="72"/>
  <c r="AE73" i="72"/>
  <c r="B74" i="72"/>
  <c r="C74" i="72"/>
  <c r="D74" i="72"/>
  <c r="E74" i="72"/>
  <c r="F74" i="72"/>
  <c r="G74" i="72"/>
  <c r="H74" i="72"/>
  <c r="I74" i="72"/>
  <c r="J74" i="72"/>
  <c r="K74" i="72"/>
  <c r="L74" i="72"/>
  <c r="M74" i="72"/>
  <c r="N74" i="72"/>
  <c r="O74" i="72"/>
  <c r="P74" i="72"/>
  <c r="Q74" i="72"/>
  <c r="R74" i="72"/>
  <c r="S74" i="72"/>
  <c r="T74" i="72"/>
  <c r="U74" i="72"/>
  <c r="V74" i="72"/>
  <c r="W74" i="72"/>
  <c r="X74" i="72"/>
  <c r="Y74" i="72"/>
  <c r="Z74" i="72"/>
  <c r="AA74" i="72"/>
  <c r="AB74" i="72"/>
  <c r="AC74" i="72"/>
  <c r="AD74" i="72"/>
  <c r="AE74" i="72"/>
  <c r="B75" i="72"/>
  <c r="C75" i="72"/>
  <c r="D75" i="72"/>
  <c r="E75" i="72"/>
  <c r="F75" i="72"/>
  <c r="G75" i="72"/>
  <c r="H75" i="72"/>
  <c r="I75" i="72"/>
  <c r="J75" i="72"/>
  <c r="K75" i="72"/>
  <c r="L75" i="72"/>
  <c r="M75" i="72"/>
  <c r="N75" i="72"/>
  <c r="O75" i="72"/>
  <c r="P75" i="72"/>
  <c r="Q75" i="72"/>
  <c r="R75" i="72"/>
  <c r="S75" i="72"/>
  <c r="T75" i="72"/>
  <c r="U75" i="72"/>
  <c r="V75" i="72"/>
  <c r="W75" i="72"/>
  <c r="X75" i="72"/>
  <c r="Y75" i="72"/>
  <c r="Z75" i="72"/>
  <c r="AA75" i="72"/>
  <c r="AB75" i="72"/>
  <c r="AC75" i="72"/>
  <c r="AD75" i="72"/>
  <c r="AE75" i="72"/>
  <c r="B76" i="72"/>
  <c r="C76" i="72"/>
  <c r="D76" i="72"/>
  <c r="E76" i="72"/>
  <c r="F76" i="72"/>
  <c r="G76" i="72"/>
  <c r="H76" i="72"/>
  <c r="I76" i="72"/>
  <c r="J76" i="72"/>
  <c r="K76" i="72"/>
  <c r="L76" i="72"/>
  <c r="M76" i="72"/>
  <c r="N76" i="72"/>
  <c r="O76" i="72"/>
  <c r="P76" i="72"/>
  <c r="Q76" i="72"/>
  <c r="R76" i="72"/>
  <c r="S76" i="72"/>
  <c r="T76" i="72"/>
  <c r="U76" i="72"/>
  <c r="V76" i="72"/>
  <c r="W76" i="72"/>
  <c r="X76" i="72"/>
  <c r="Y76" i="72"/>
  <c r="Z76" i="72"/>
  <c r="AA76" i="72"/>
  <c r="AB76" i="72"/>
  <c r="AC76" i="72"/>
  <c r="AD76" i="72"/>
  <c r="AE76" i="72"/>
  <c r="B77" i="72"/>
  <c r="C77" i="72"/>
  <c r="D77" i="72"/>
  <c r="E77" i="72"/>
  <c r="F77" i="72"/>
  <c r="G77" i="72"/>
  <c r="H77" i="72"/>
  <c r="I77" i="72"/>
  <c r="J77" i="72"/>
  <c r="K77" i="72"/>
  <c r="L77" i="72"/>
  <c r="M77" i="72"/>
  <c r="N77" i="72"/>
  <c r="O77" i="72"/>
  <c r="P77" i="72"/>
  <c r="Q77" i="72"/>
  <c r="R77" i="72"/>
  <c r="S77" i="72"/>
  <c r="T77" i="72"/>
  <c r="U77" i="72"/>
  <c r="V77" i="72"/>
  <c r="W77" i="72"/>
  <c r="X77" i="72"/>
  <c r="Y77" i="72"/>
  <c r="Z77" i="72"/>
  <c r="AA77" i="72"/>
  <c r="AB77" i="72"/>
  <c r="AC77" i="72"/>
  <c r="AD77" i="72"/>
  <c r="AE77" i="72"/>
  <c r="B78" i="72"/>
  <c r="C78" i="72"/>
  <c r="D78" i="72"/>
  <c r="E78" i="72"/>
  <c r="F78" i="72"/>
  <c r="G78" i="72"/>
  <c r="H78" i="72"/>
  <c r="I78" i="72"/>
  <c r="J78" i="72"/>
  <c r="K78" i="72"/>
  <c r="L78" i="72"/>
  <c r="M78" i="72"/>
  <c r="N78" i="72"/>
  <c r="O78" i="72"/>
  <c r="P78" i="72"/>
  <c r="Q78" i="72"/>
  <c r="R78" i="72"/>
  <c r="S78" i="72"/>
  <c r="T78" i="72"/>
  <c r="U78" i="72"/>
  <c r="V78" i="72"/>
  <c r="W78" i="72"/>
  <c r="X78" i="72"/>
  <c r="Y78" i="72"/>
  <c r="Z78" i="72"/>
  <c r="AA78" i="72"/>
  <c r="AB78" i="72"/>
  <c r="AC78" i="72"/>
  <c r="AD78" i="72"/>
  <c r="AE78" i="72"/>
  <c r="B79" i="72"/>
  <c r="C79" i="72"/>
  <c r="D79" i="72"/>
  <c r="E79" i="72"/>
  <c r="F79" i="72"/>
  <c r="G79" i="72"/>
  <c r="H79" i="72"/>
  <c r="I79" i="72"/>
  <c r="J79" i="72"/>
  <c r="K79" i="72"/>
  <c r="L79" i="72"/>
  <c r="M79" i="72"/>
  <c r="N79" i="72"/>
  <c r="O79" i="72"/>
  <c r="P79" i="72"/>
  <c r="Q79" i="72"/>
  <c r="R79" i="72"/>
  <c r="S79" i="72"/>
  <c r="T79" i="72"/>
  <c r="U79" i="72"/>
  <c r="V79" i="72"/>
  <c r="W79" i="72"/>
  <c r="X79" i="72"/>
  <c r="Y79" i="72"/>
  <c r="Z79" i="72"/>
  <c r="AA79" i="72"/>
  <c r="AB79" i="72"/>
  <c r="AC79" i="72"/>
  <c r="AD79" i="72"/>
  <c r="AE79" i="72"/>
  <c r="B80" i="72"/>
  <c r="C80" i="72"/>
  <c r="D80" i="72"/>
  <c r="E80" i="72"/>
  <c r="F80" i="72"/>
  <c r="G80" i="72"/>
  <c r="H80" i="72"/>
  <c r="I80" i="72"/>
  <c r="J80" i="72"/>
  <c r="K80" i="72"/>
  <c r="L80" i="72"/>
  <c r="M80" i="72"/>
  <c r="N80" i="72"/>
  <c r="O80" i="72"/>
  <c r="P80" i="72"/>
  <c r="Q80" i="72"/>
  <c r="R80" i="72"/>
  <c r="S80" i="72"/>
  <c r="T80" i="72"/>
  <c r="U80" i="72"/>
  <c r="V80" i="72"/>
  <c r="W80" i="72"/>
  <c r="X80" i="72"/>
  <c r="Y80" i="72"/>
  <c r="Z80" i="72"/>
  <c r="AA80" i="72"/>
  <c r="AB80" i="72"/>
  <c r="AC80" i="72"/>
  <c r="AD80" i="72"/>
  <c r="AE80" i="72"/>
  <c r="B81" i="72"/>
  <c r="C81" i="72"/>
  <c r="D81" i="72"/>
  <c r="E81" i="72"/>
  <c r="F81" i="72"/>
  <c r="G81" i="72"/>
  <c r="H81" i="72"/>
  <c r="I81" i="72"/>
  <c r="J81" i="72"/>
  <c r="K81" i="72"/>
  <c r="L81" i="72"/>
  <c r="M81" i="72"/>
  <c r="N81" i="72"/>
  <c r="O81" i="72"/>
  <c r="P81" i="72"/>
  <c r="Q81" i="72"/>
  <c r="R81" i="72"/>
  <c r="S81" i="72"/>
  <c r="T81" i="72"/>
  <c r="U81" i="72"/>
  <c r="V81" i="72"/>
  <c r="W81" i="72"/>
  <c r="X81" i="72"/>
  <c r="Y81" i="72"/>
  <c r="Z81" i="72"/>
  <c r="AA81" i="72"/>
  <c r="AB81" i="72"/>
  <c r="AC81" i="72"/>
  <c r="AD81" i="72"/>
  <c r="AE81" i="72"/>
  <c r="B82" i="72"/>
  <c r="C82" i="72"/>
  <c r="D82" i="72"/>
  <c r="E82" i="72"/>
  <c r="F82" i="72"/>
  <c r="G82" i="72"/>
  <c r="H82" i="72"/>
  <c r="I82" i="72"/>
  <c r="J82" i="72"/>
  <c r="K82" i="72"/>
  <c r="L82" i="72"/>
  <c r="M82" i="72"/>
  <c r="N82" i="72"/>
  <c r="O82" i="72"/>
  <c r="P82" i="72"/>
  <c r="Q82" i="72"/>
  <c r="R82" i="72"/>
  <c r="S82" i="72"/>
  <c r="T82" i="72"/>
  <c r="U82" i="72"/>
  <c r="V82" i="72"/>
  <c r="W82" i="72"/>
  <c r="X82" i="72"/>
  <c r="Y82" i="72"/>
  <c r="Z82" i="72"/>
  <c r="AA82" i="72"/>
  <c r="AB82" i="72"/>
  <c r="AC82" i="72"/>
  <c r="AD82" i="72"/>
  <c r="AE82" i="72"/>
  <c r="B83" i="72"/>
  <c r="C83" i="72"/>
  <c r="D83" i="72"/>
  <c r="E83" i="72"/>
  <c r="F83" i="72"/>
  <c r="G83" i="72"/>
  <c r="H83" i="72"/>
  <c r="I83" i="72"/>
  <c r="J83" i="72"/>
  <c r="K83" i="72"/>
  <c r="L83" i="72"/>
  <c r="M83" i="72"/>
  <c r="N83" i="72"/>
  <c r="O83" i="72"/>
  <c r="P83" i="72"/>
  <c r="Q83" i="72"/>
  <c r="R83" i="72"/>
  <c r="S83" i="72"/>
  <c r="T83" i="72"/>
  <c r="U83" i="72"/>
  <c r="V83" i="72"/>
  <c r="W83" i="72"/>
  <c r="X83" i="72"/>
  <c r="Y83" i="72"/>
  <c r="Z83" i="72"/>
  <c r="AA83" i="72"/>
  <c r="AB83" i="72"/>
  <c r="AC83" i="72"/>
  <c r="AD83" i="72"/>
  <c r="AE83" i="72"/>
  <c r="B84" i="72"/>
  <c r="C84" i="72"/>
  <c r="D84" i="72"/>
  <c r="E84" i="72"/>
  <c r="F84" i="72"/>
  <c r="G84" i="72"/>
  <c r="H84" i="72"/>
  <c r="I84" i="72"/>
  <c r="J84" i="72"/>
  <c r="K84" i="72"/>
  <c r="L84" i="72"/>
  <c r="M84" i="72"/>
  <c r="N84" i="72"/>
  <c r="O84" i="72"/>
  <c r="P84" i="72"/>
  <c r="Q84" i="72"/>
  <c r="R84" i="72"/>
  <c r="S84" i="72"/>
  <c r="T84" i="72"/>
  <c r="U84" i="72"/>
  <c r="V84" i="72"/>
  <c r="W84" i="72"/>
  <c r="X84" i="72"/>
  <c r="Y84" i="72"/>
  <c r="Z84" i="72"/>
  <c r="AA84" i="72"/>
  <c r="AB84" i="72"/>
  <c r="AC84" i="72"/>
  <c r="AD84" i="72"/>
  <c r="AE84" i="72"/>
  <c r="B85" i="72"/>
  <c r="C85" i="72"/>
  <c r="D85" i="72"/>
  <c r="E85" i="72"/>
  <c r="F85" i="72"/>
  <c r="G85" i="72"/>
  <c r="H85" i="72"/>
  <c r="I85" i="72"/>
  <c r="J85" i="72"/>
  <c r="K85" i="72"/>
  <c r="L85" i="72"/>
  <c r="M85" i="72"/>
  <c r="N85" i="72"/>
  <c r="O85" i="72"/>
  <c r="P85" i="72"/>
  <c r="Q85" i="72"/>
  <c r="R85" i="72"/>
  <c r="S85" i="72"/>
  <c r="T85" i="72"/>
  <c r="U85" i="72"/>
  <c r="V85" i="72"/>
  <c r="W85" i="72"/>
  <c r="X85" i="72"/>
  <c r="Y85" i="72"/>
  <c r="Z85" i="72"/>
  <c r="AA85" i="72"/>
  <c r="AB85" i="72"/>
  <c r="AC85" i="72"/>
  <c r="AD85" i="72"/>
  <c r="AE85" i="72"/>
  <c r="B86" i="72"/>
  <c r="C86" i="72"/>
  <c r="D86" i="72"/>
  <c r="E86" i="72"/>
  <c r="F86" i="72"/>
  <c r="G86" i="72"/>
  <c r="H86" i="72"/>
  <c r="I86" i="72"/>
  <c r="J86" i="72"/>
  <c r="K86" i="72"/>
  <c r="L86" i="72"/>
  <c r="M86" i="72"/>
  <c r="N86" i="72"/>
  <c r="O86" i="72"/>
  <c r="P86" i="72"/>
  <c r="Q86" i="72"/>
  <c r="R86" i="72"/>
  <c r="S86" i="72"/>
  <c r="T86" i="72"/>
  <c r="U86" i="72"/>
  <c r="V86" i="72"/>
  <c r="W86" i="72"/>
  <c r="X86" i="72"/>
  <c r="Y86" i="72"/>
  <c r="Z86" i="72"/>
  <c r="AA86" i="72"/>
  <c r="AB86" i="72"/>
  <c r="AC86" i="72"/>
  <c r="AD86" i="72"/>
  <c r="AE86" i="72"/>
  <c r="B87" i="72"/>
  <c r="C87" i="72"/>
  <c r="D87" i="72"/>
  <c r="E87" i="72"/>
  <c r="F87" i="72"/>
  <c r="G87" i="72"/>
  <c r="H87" i="72"/>
  <c r="I87" i="72"/>
  <c r="J87" i="72"/>
  <c r="K87" i="72"/>
  <c r="L87" i="72"/>
  <c r="M87" i="72"/>
  <c r="N87" i="72"/>
  <c r="O87" i="72"/>
  <c r="P87" i="72"/>
  <c r="Q87" i="72"/>
  <c r="R87" i="72"/>
  <c r="S87" i="72"/>
  <c r="T87" i="72"/>
  <c r="U87" i="72"/>
  <c r="V87" i="72"/>
  <c r="W87" i="72"/>
  <c r="X87" i="72"/>
  <c r="Y87" i="72"/>
  <c r="Z87" i="72"/>
  <c r="AA87" i="72"/>
  <c r="AB87" i="72"/>
  <c r="AC87" i="72"/>
  <c r="AD87" i="72"/>
  <c r="AE87" i="72"/>
  <c r="B88" i="72"/>
  <c r="C88" i="72"/>
  <c r="D88" i="72"/>
  <c r="E88" i="72"/>
  <c r="F88" i="72"/>
  <c r="G88" i="72"/>
  <c r="H88" i="72"/>
  <c r="I88" i="72"/>
  <c r="J88" i="72"/>
  <c r="K88" i="72"/>
  <c r="L88" i="72"/>
  <c r="M88" i="72"/>
  <c r="N88" i="72"/>
  <c r="O88" i="72"/>
  <c r="P88" i="72"/>
  <c r="Q88" i="72"/>
  <c r="R88" i="72"/>
  <c r="S88" i="72"/>
  <c r="T88" i="72"/>
  <c r="U88" i="72"/>
  <c r="V88" i="72"/>
  <c r="W88" i="72"/>
  <c r="X88" i="72"/>
  <c r="Y88" i="72"/>
  <c r="Z88" i="72"/>
  <c r="AA88" i="72"/>
  <c r="AB88" i="72"/>
  <c r="AC88" i="72"/>
  <c r="AD88" i="72"/>
  <c r="AE88" i="72"/>
  <c r="B89" i="72"/>
  <c r="C89" i="72"/>
  <c r="D89" i="72"/>
  <c r="E89" i="72"/>
  <c r="F89" i="72"/>
  <c r="G89" i="72"/>
  <c r="H89" i="72"/>
  <c r="I89" i="72"/>
  <c r="J89" i="72"/>
  <c r="K89" i="72"/>
  <c r="L89" i="72"/>
  <c r="M89" i="72"/>
  <c r="N89" i="72"/>
  <c r="O89" i="72"/>
  <c r="P89" i="72"/>
  <c r="Q89" i="72"/>
  <c r="R89" i="72"/>
  <c r="S89" i="72"/>
  <c r="T89" i="72"/>
  <c r="U89" i="72"/>
  <c r="V89" i="72"/>
  <c r="W89" i="72"/>
  <c r="X89" i="72"/>
  <c r="Y89" i="72"/>
  <c r="Z89" i="72"/>
  <c r="AA89" i="72"/>
  <c r="AB89" i="72"/>
  <c r="AC89" i="72"/>
  <c r="AD89" i="72"/>
  <c r="AE89" i="72"/>
  <c r="B90" i="72"/>
  <c r="C90" i="72"/>
  <c r="D90" i="72"/>
  <c r="E90" i="72"/>
  <c r="F90" i="72"/>
  <c r="G90" i="72"/>
  <c r="H90" i="72"/>
  <c r="I90" i="72"/>
  <c r="J90" i="72"/>
  <c r="K90" i="72"/>
  <c r="L90" i="72"/>
  <c r="M90" i="72"/>
  <c r="N90" i="72"/>
  <c r="O90" i="72"/>
  <c r="P90" i="72"/>
  <c r="Q90" i="72"/>
  <c r="R90" i="72"/>
  <c r="S90" i="72"/>
  <c r="T90" i="72"/>
  <c r="U90" i="72"/>
  <c r="V90" i="72"/>
  <c r="W90" i="72"/>
  <c r="X90" i="72"/>
  <c r="Y90" i="72"/>
  <c r="Z90" i="72"/>
  <c r="AA90" i="72"/>
  <c r="AB90" i="72"/>
  <c r="AC90" i="72"/>
  <c r="AD90" i="72"/>
  <c r="AE90" i="72"/>
  <c r="B91" i="72"/>
  <c r="C91" i="72"/>
  <c r="D91" i="72"/>
  <c r="E91" i="72"/>
  <c r="F91" i="72"/>
  <c r="G91" i="72"/>
  <c r="H91" i="72"/>
  <c r="I91" i="72"/>
  <c r="J91" i="72"/>
  <c r="K91" i="72"/>
  <c r="L91" i="72"/>
  <c r="M91" i="72"/>
  <c r="N91" i="72"/>
  <c r="O91" i="72"/>
  <c r="P91" i="72"/>
  <c r="Q91" i="72"/>
  <c r="R91" i="72"/>
  <c r="S91" i="72"/>
  <c r="T91" i="72"/>
  <c r="U91" i="72"/>
  <c r="V91" i="72"/>
  <c r="W91" i="72"/>
  <c r="X91" i="72"/>
  <c r="Y91" i="72"/>
  <c r="Z91" i="72"/>
  <c r="AA91" i="72"/>
  <c r="AB91" i="72"/>
  <c r="AC91" i="72"/>
  <c r="AD91" i="72"/>
  <c r="AE91" i="72"/>
  <c r="B92" i="72"/>
  <c r="C92" i="72"/>
  <c r="D92" i="72"/>
  <c r="E92" i="72"/>
  <c r="F92" i="72"/>
  <c r="G92" i="72"/>
  <c r="H92" i="72"/>
  <c r="I92" i="72"/>
  <c r="J92" i="72"/>
  <c r="K92" i="72"/>
  <c r="L92" i="72"/>
  <c r="M92" i="72"/>
  <c r="N92" i="72"/>
  <c r="O92" i="72"/>
  <c r="P92" i="72"/>
  <c r="Q92" i="72"/>
  <c r="R92" i="72"/>
  <c r="S92" i="72"/>
  <c r="T92" i="72"/>
  <c r="U92" i="72"/>
  <c r="V92" i="72"/>
  <c r="W92" i="72"/>
  <c r="X92" i="72"/>
  <c r="Y92" i="72"/>
  <c r="Z92" i="72"/>
  <c r="AA92" i="72"/>
  <c r="AB92" i="72"/>
  <c r="AC92" i="72"/>
  <c r="AD92" i="72"/>
  <c r="AE92" i="72"/>
  <c r="B93" i="72"/>
  <c r="C93" i="72"/>
  <c r="D93" i="72"/>
  <c r="E93" i="72"/>
  <c r="F93" i="72"/>
  <c r="G93" i="72"/>
  <c r="H93" i="72"/>
  <c r="I93" i="72"/>
  <c r="J93" i="72"/>
  <c r="K93" i="72"/>
  <c r="L93" i="72"/>
  <c r="M93" i="72"/>
  <c r="N93" i="72"/>
  <c r="O93" i="72"/>
  <c r="P93" i="72"/>
  <c r="Q93" i="72"/>
  <c r="R93" i="72"/>
  <c r="S93" i="72"/>
  <c r="T93" i="72"/>
  <c r="U93" i="72"/>
  <c r="V93" i="72"/>
  <c r="W93" i="72"/>
  <c r="X93" i="72"/>
  <c r="Y93" i="72"/>
  <c r="Z93" i="72"/>
  <c r="AA93" i="72"/>
  <c r="AB93" i="72"/>
  <c r="AC93" i="72"/>
  <c r="AD93" i="72"/>
  <c r="AE93" i="72"/>
  <c r="B94" i="72"/>
  <c r="C94" i="72"/>
  <c r="D94" i="72"/>
  <c r="E94" i="72"/>
  <c r="F94" i="72"/>
  <c r="G94" i="72"/>
  <c r="H94" i="72"/>
  <c r="I94" i="72"/>
  <c r="J94" i="72"/>
  <c r="K94" i="72"/>
  <c r="L94" i="72"/>
  <c r="M94" i="72"/>
  <c r="N94" i="72"/>
  <c r="O94" i="72"/>
  <c r="P94" i="72"/>
  <c r="Q94" i="72"/>
  <c r="R94" i="72"/>
  <c r="S94" i="72"/>
  <c r="T94" i="72"/>
  <c r="U94" i="72"/>
  <c r="V94" i="72"/>
  <c r="W94" i="72"/>
  <c r="X94" i="72"/>
  <c r="Y94" i="72"/>
  <c r="Z94" i="72"/>
  <c r="AA94" i="72"/>
  <c r="AB94" i="72"/>
  <c r="AC94" i="72"/>
  <c r="AD94" i="72"/>
  <c r="AE94" i="72"/>
  <c r="B95" i="72"/>
  <c r="C95" i="72"/>
  <c r="D95" i="72"/>
  <c r="E95" i="72"/>
  <c r="F95" i="72"/>
  <c r="G95" i="72"/>
  <c r="H95" i="72"/>
  <c r="I95" i="72"/>
  <c r="J95" i="72"/>
  <c r="K95" i="72"/>
  <c r="L95" i="72"/>
  <c r="M95" i="72"/>
  <c r="N95" i="72"/>
  <c r="O95" i="72"/>
  <c r="P95" i="72"/>
  <c r="Q95" i="72"/>
  <c r="R95" i="72"/>
  <c r="S95" i="72"/>
  <c r="T95" i="72"/>
  <c r="U95" i="72"/>
  <c r="V95" i="72"/>
  <c r="W95" i="72"/>
  <c r="X95" i="72"/>
  <c r="Y95" i="72"/>
  <c r="Z95" i="72"/>
  <c r="AA95" i="72"/>
  <c r="AB95" i="72"/>
  <c r="AC95" i="72"/>
  <c r="AD95" i="72"/>
  <c r="AE95" i="72"/>
  <c r="B96" i="72"/>
  <c r="C96" i="72"/>
  <c r="D96" i="72"/>
  <c r="E96" i="72"/>
  <c r="F96" i="72"/>
  <c r="G96" i="72"/>
  <c r="H96" i="72"/>
  <c r="I96" i="72"/>
  <c r="J96" i="72"/>
  <c r="K96" i="72"/>
  <c r="L96" i="72"/>
  <c r="M96" i="72"/>
  <c r="N96" i="72"/>
  <c r="O96" i="72"/>
  <c r="P96" i="72"/>
  <c r="Q96" i="72"/>
  <c r="R96" i="72"/>
  <c r="S96" i="72"/>
  <c r="T96" i="72"/>
  <c r="U96" i="72"/>
  <c r="V96" i="72"/>
  <c r="W96" i="72"/>
  <c r="X96" i="72"/>
  <c r="Y96" i="72"/>
  <c r="Z96" i="72"/>
  <c r="AA96" i="72"/>
  <c r="AB96" i="72"/>
  <c r="AC96" i="72"/>
  <c r="AD96" i="72"/>
  <c r="AE96" i="72"/>
  <c r="B97" i="72"/>
  <c r="C97" i="72"/>
  <c r="D97" i="72"/>
  <c r="E97" i="72"/>
  <c r="F97" i="72"/>
  <c r="G97" i="72"/>
  <c r="H97" i="72"/>
  <c r="I97" i="72"/>
  <c r="J97" i="72"/>
  <c r="K97" i="72"/>
  <c r="L97" i="72"/>
  <c r="M97" i="72"/>
  <c r="N97" i="72"/>
  <c r="O97" i="72"/>
  <c r="P97" i="72"/>
  <c r="Q97" i="72"/>
  <c r="R97" i="72"/>
  <c r="S97" i="72"/>
  <c r="T97" i="72"/>
  <c r="U97" i="72"/>
  <c r="V97" i="72"/>
  <c r="W97" i="72"/>
  <c r="X97" i="72"/>
  <c r="Y97" i="72"/>
  <c r="Z97" i="72"/>
  <c r="AA97" i="72"/>
  <c r="AB97" i="72"/>
  <c r="AC97" i="72"/>
  <c r="AD97" i="72"/>
  <c r="AE97" i="72"/>
  <c r="B98" i="72"/>
  <c r="C98" i="72"/>
  <c r="D98" i="72"/>
  <c r="E98" i="72"/>
  <c r="F98" i="72"/>
  <c r="G98" i="72"/>
  <c r="H98" i="72"/>
  <c r="I98" i="72"/>
  <c r="J98" i="72"/>
  <c r="K98" i="72"/>
  <c r="L98" i="72"/>
  <c r="M98" i="72"/>
  <c r="N98" i="72"/>
  <c r="O98" i="72"/>
  <c r="P98" i="72"/>
  <c r="Q98" i="72"/>
  <c r="R98" i="72"/>
  <c r="S98" i="72"/>
  <c r="T98" i="72"/>
  <c r="U98" i="72"/>
  <c r="V98" i="72"/>
  <c r="W98" i="72"/>
  <c r="X98" i="72"/>
  <c r="Y98" i="72"/>
  <c r="Z98" i="72"/>
  <c r="AA98" i="72"/>
  <c r="AB98" i="72"/>
  <c r="AC98" i="72"/>
  <c r="AD98" i="72"/>
  <c r="AE98" i="72"/>
  <c r="B99" i="72"/>
  <c r="C99" i="72"/>
  <c r="D99" i="72"/>
  <c r="E99" i="72"/>
  <c r="F99" i="72"/>
  <c r="G99" i="72"/>
  <c r="H99" i="72"/>
  <c r="I99" i="72"/>
  <c r="J99" i="72"/>
  <c r="K99" i="72"/>
  <c r="L99" i="72"/>
  <c r="M99" i="72"/>
  <c r="N99" i="72"/>
  <c r="O99" i="72"/>
  <c r="P99" i="72"/>
  <c r="Q99" i="72"/>
  <c r="R99" i="72"/>
  <c r="S99" i="72"/>
  <c r="T99" i="72"/>
  <c r="U99" i="72"/>
  <c r="V99" i="72"/>
  <c r="W99" i="72"/>
  <c r="X99" i="72"/>
  <c r="Y99" i="72"/>
  <c r="Z99" i="72"/>
  <c r="AA99" i="72"/>
  <c r="AB99" i="72"/>
  <c r="AC99" i="72"/>
  <c r="AD99" i="72"/>
  <c r="AE99" i="72"/>
  <c r="B100" i="72"/>
  <c r="C100" i="72"/>
  <c r="D100" i="72"/>
  <c r="E100" i="72"/>
  <c r="F100" i="72"/>
  <c r="G100" i="72"/>
  <c r="H100" i="72"/>
  <c r="I100" i="72"/>
  <c r="J100" i="72"/>
  <c r="K100" i="72"/>
  <c r="L100" i="72"/>
  <c r="M100" i="72"/>
  <c r="N100" i="72"/>
  <c r="O100" i="72"/>
  <c r="P100" i="72"/>
  <c r="Q100" i="72"/>
  <c r="R100" i="72"/>
  <c r="S100" i="72"/>
  <c r="T100" i="72"/>
  <c r="U100" i="72"/>
  <c r="V100" i="72"/>
  <c r="W100" i="72"/>
  <c r="X100" i="72"/>
  <c r="Y100" i="72"/>
  <c r="Z100" i="72"/>
  <c r="AA100" i="72"/>
  <c r="AB100" i="72"/>
  <c r="AC100" i="72"/>
  <c r="AD100" i="72"/>
  <c r="AE100" i="72"/>
  <c r="O58" i="72"/>
  <c r="P58" i="72" s="1"/>
  <c r="B58" i="72"/>
  <c r="B59" i="72"/>
  <c r="B60" i="72"/>
  <c r="B61" i="72"/>
  <c r="B62" i="72"/>
  <c r="B63" i="72"/>
  <c r="B64" i="72"/>
  <c r="B65" i="72"/>
  <c r="B66" i="72"/>
  <c r="O49" i="72"/>
  <c r="P49" i="72" s="1"/>
  <c r="B49" i="72"/>
  <c r="B50" i="72"/>
  <c r="B51" i="72"/>
  <c r="B52" i="72"/>
  <c r="B53" i="72"/>
  <c r="B54" i="72"/>
  <c r="B55" i="72"/>
  <c r="B56" i="72"/>
  <c r="B57" i="72"/>
  <c r="O40" i="72"/>
  <c r="P40" i="72" s="1"/>
  <c r="B40" i="72"/>
  <c r="B41" i="72"/>
  <c r="B42" i="72"/>
  <c r="B43" i="72"/>
  <c r="B44" i="72"/>
  <c r="B45" i="72"/>
  <c r="B46" i="72"/>
  <c r="B47" i="72"/>
  <c r="B48" i="72"/>
  <c r="O31" i="72"/>
  <c r="P31" i="72" s="1"/>
  <c r="B31" i="72"/>
  <c r="B32" i="72"/>
  <c r="B33" i="72"/>
  <c r="B34" i="72"/>
  <c r="B35" i="72"/>
  <c r="B36" i="72"/>
  <c r="B37" i="72"/>
  <c r="B38" i="72"/>
  <c r="B39" i="72"/>
  <c r="O22" i="72"/>
  <c r="P22" i="72" s="1"/>
  <c r="B22" i="72"/>
  <c r="B23" i="72"/>
  <c r="B24" i="72"/>
  <c r="B25" i="72"/>
  <c r="B26" i="72"/>
  <c r="B27" i="72"/>
  <c r="B28" i="72"/>
  <c r="B29" i="72"/>
  <c r="B30" i="72"/>
  <c r="O13" i="72"/>
  <c r="P13" i="72" s="1"/>
  <c r="B13" i="72"/>
  <c r="B14" i="72"/>
  <c r="B15" i="72"/>
  <c r="B16" i="72"/>
  <c r="B17" i="72"/>
  <c r="B18" i="72"/>
  <c r="B19" i="72"/>
  <c r="B20" i="72"/>
  <c r="B21" i="72"/>
  <c r="O4" i="72"/>
  <c r="B4" i="72"/>
  <c r="B5" i="72"/>
  <c r="B6" i="72"/>
  <c r="B7" i="72"/>
  <c r="B8" i="72"/>
  <c r="B9" i="72"/>
  <c r="B10" i="72"/>
  <c r="B11" i="72"/>
  <c r="B12" i="72"/>
  <c r="B71" i="71"/>
  <c r="C71" i="71"/>
  <c r="D71" i="71"/>
  <c r="E71" i="71"/>
  <c r="F71" i="71"/>
  <c r="G71" i="71"/>
  <c r="H71" i="71"/>
  <c r="I71" i="71"/>
  <c r="J71" i="71"/>
  <c r="K71" i="71"/>
  <c r="L71" i="71"/>
  <c r="M71" i="71"/>
  <c r="N71" i="71"/>
  <c r="B72" i="71"/>
  <c r="C72" i="71"/>
  <c r="D72" i="71"/>
  <c r="E72" i="71"/>
  <c r="F72" i="71"/>
  <c r="G72" i="71"/>
  <c r="H72" i="71"/>
  <c r="I72" i="71"/>
  <c r="J72" i="71"/>
  <c r="K72" i="71"/>
  <c r="L72" i="71"/>
  <c r="M72" i="71"/>
  <c r="N72" i="71"/>
  <c r="B73" i="71"/>
  <c r="C73" i="71"/>
  <c r="D73" i="71"/>
  <c r="E73" i="71"/>
  <c r="F73" i="71"/>
  <c r="G73" i="71"/>
  <c r="H73" i="71"/>
  <c r="I73" i="71"/>
  <c r="J73" i="71"/>
  <c r="K73" i="71"/>
  <c r="L73" i="71"/>
  <c r="M73" i="71"/>
  <c r="N73" i="71"/>
  <c r="B74" i="71"/>
  <c r="C74" i="71"/>
  <c r="D74" i="71"/>
  <c r="E74" i="71"/>
  <c r="F74" i="71"/>
  <c r="G74" i="71"/>
  <c r="H74" i="71"/>
  <c r="I74" i="71"/>
  <c r="J74" i="71"/>
  <c r="K74" i="71"/>
  <c r="L74" i="71"/>
  <c r="M74" i="71"/>
  <c r="N74" i="71"/>
  <c r="B75" i="71"/>
  <c r="C75" i="71"/>
  <c r="D75" i="71"/>
  <c r="E75" i="71"/>
  <c r="F75" i="71"/>
  <c r="G75" i="71"/>
  <c r="H75" i="71"/>
  <c r="I75" i="71"/>
  <c r="J75" i="71"/>
  <c r="K75" i="71"/>
  <c r="L75" i="71"/>
  <c r="M75" i="71"/>
  <c r="N75" i="71"/>
  <c r="B76" i="71"/>
  <c r="C76" i="71"/>
  <c r="D76" i="71"/>
  <c r="E76" i="71"/>
  <c r="F76" i="71"/>
  <c r="G76" i="71"/>
  <c r="H76" i="71"/>
  <c r="I76" i="71"/>
  <c r="J76" i="71"/>
  <c r="K76" i="71"/>
  <c r="L76" i="71"/>
  <c r="M76" i="71"/>
  <c r="N76" i="71"/>
  <c r="B77" i="71"/>
  <c r="C77" i="71"/>
  <c r="D77" i="71"/>
  <c r="E77" i="71"/>
  <c r="F77" i="71"/>
  <c r="G77" i="71"/>
  <c r="H77" i="71"/>
  <c r="I77" i="71"/>
  <c r="J77" i="71"/>
  <c r="K77" i="71"/>
  <c r="L77" i="71"/>
  <c r="M77" i="71"/>
  <c r="N77" i="71"/>
  <c r="B78" i="71"/>
  <c r="C78" i="71"/>
  <c r="D78" i="71"/>
  <c r="E78" i="71"/>
  <c r="F78" i="71"/>
  <c r="G78" i="71"/>
  <c r="H78" i="71"/>
  <c r="I78" i="71"/>
  <c r="J78" i="71"/>
  <c r="K78" i="71"/>
  <c r="L78" i="71"/>
  <c r="M78" i="71"/>
  <c r="N78" i="71"/>
  <c r="B79" i="71"/>
  <c r="C79" i="71"/>
  <c r="D79" i="71"/>
  <c r="E79" i="71"/>
  <c r="F79" i="71"/>
  <c r="G79" i="71"/>
  <c r="H79" i="71"/>
  <c r="I79" i="71"/>
  <c r="J79" i="71"/>
  <c r="K79" i="71"/>
  <c r="L79" i="71"/>
  <c r="M79" i="71"/>
  <c r="N79" i="71"/>
  <c r="B80" i="71"/>
  <c r="C80" i="71"/>
  <c r="D80" i="71"/>
  <c r="E80" i="71"/>
  <c r="F80" i="71"/>
  <c r="G80" i="71"/>
  <c r="H80" i="71"/>
  <c r="I80" i="71"/>
  <c r="J80" i="71"/>
  <c r="K80" i="71"/>
  <c r="L80" i="71"/>
  <c r="M80" i="71"/>
  <c r="N80" i="71"/>
  <c r="B81" i="71"/>
  <c r="C81" i="71"/>
  <c r="D81" i="71"/>
  <c r="E81" i="71"/>
  <c r="F81" i="71"/>
  <c r="G81" i="71"/>
  <c r="H81" i="71"/>
  <c r="I81" i="71"/>
  <c r="J81" i="71"/>
  <c r="K81" i="71"/>
  <c r="L81" i="71"/>
  <c r="M81" i="71"/>
  <c r="N81" i="71"/>
  <c r="B82" i="71"/>
  <c r="C82" i="71"/>
  <c r="D82" i="71"/>
  <c r="E82" i="71"/>
  <c r="F82" i="71"/>
  <c r="G82" i="71"/>
  <c r="H82" i="71"/>
  <c r="I82" i="71"/>
  <c r="J82" i="71"/>
  <c r="K82" i="71"/>
  <c r="L82" i="71"/>
  <c r="M82" i="71"/>
  <c r="N82" i="71"/>
  <c r="B83" i="71"/>
  <c r="C83" i="71"/>
  <c r="D83" i="71"/>
  <c r="E83" i="71"/>
  <c r="F83" i="71"/>
  <c r="G83" i="71"/>
  <c r="H83" i="71"/>
  <c r="I83" i="71"/>
  <c r="J83" i="71"/>
  <c r="K83" i="71"/>
  <c r="L83" i="71"/>
  <c r="M83" i="71"/>
  <c r="N83" i="71"/>
  <c r="G58" i="71"/>
  <c r="H58" i="71" s="1"/>
  <c r="B58" i="71"/>
  <c r="B59" i="71"/>
  <c r="B60" i="71"/>
  <c r="B61" i="71"/>
  <c r="B62" i="71"/>
  <c r="B63" i="71"/>
  <c r="B64" i="71"/>
  <c r="B65" i="71"/>
  <c r="B66" i="71"/>
  <c r="G49" i="71"/>
  <c r="H49" i="71" s="1"/>
  <c r="B49" i="71"/>
  <c r="B50" i="71"/>
  <c r="B51" i="71"/>
  <c r="B52" i="71"/>
  <c r="B53" i="71"/>
  <c r="B54" i="71"/>
  <c r="B55" i="71"/>
  <c r="B56" i="71"/>
  <c r="B57" i="71"/>
  <c r="G40" i="71"/>
  <c r="H40" i="71" s="1"/>
  <c r="B40" i="71"/>
  <c r="B41" i="71"/>
  <c r="B42" i="71"/>
  <c r="B43" i="71"/>
  <c r="B44" i="71"/>
  <c r="B45" i="71"/>
  <c r="B46" i="71"/>
  <c r="B47" i="71"/>
  <c r="B48" i="71"/>
  <c r="G31" i="71"/>
  <c r="H31" i="71" s="1"/>
  <c r="B31" i="71"/>
  <c r="B32" i="71"/>
  <c r="B33" i="71"/>
  <c r="B34" i="71"/>
  <c r="B35" i="71"/>
  <c r="B36" i="71"/>
  <c r="B37" i="71"/>
  <c r="B38" i="71"/>
  <c r="B39" i="71"/>
  <c r="G22" i="71"/>
  <c r="H22" i="71" s="1"/>
  <c r="B22" i="71"/>
  <c r="B23" i="71"/>
  <c r="B24" i="71"/>
  <c r="B25" i="71"/>
  <c r="B26" i="71"/>
  <c r="B27" i="71"/>
  <c r="B28" i="71"/>
  <c r="B29" i="71"/>
  <c r="B30" i="71"/>
  <c r="G13" i="71"/>
  <c r="H13" i="71" s="1"/>
  <c r="B13" i="71"/>
  <c r="B14" i="71"/>
  <c r="B15" i="71"/>
  <c r="B16" i="71"/>
  <c r="B17" i="71"/>
  <c r="B18" i="71"/>
  <c r="B19" i="71"/>
  <c r="B20" i="71"/>
  <c r="B21" i="71"/>
  <c r="G4" i="71"/>
  <c r="H4" i="71" s="1"/>
  <c r="B4" i="71"/>
  <c r="B5" i="71"/>
  <c r="B6" i="71"/>
  <c r="B7" i="71"/>
  <c r="B8" i="71"/>
  <c r="B9" i="71"/>
  <c r="B10" i="71"/>
  <c r="B11" i="71"/>
  <c r="B12" i="71"/>
  <c r="J10" i="15"/>
  <c r="K10" i="15" s="1"/>
  <c r="J7" i="15"/>
  <c r="K7" i="15" s="1"/>
  <c r="J5" i="15"/>
  <c r="K5" i="15" s="1"/>
  <c r="B71" i="69"/>
  <c r="C71" i="69"/>
  <c r="D71" i="69"/>
  <c r="E71" i="69"/>
  <c r="F71" i="69"/>
  <c r="G71" i="69"/>
  <c r="H71" i="69"/>
  <c r="I71" i="69"/>
  <c r="J71" i="69"/>
  <c r="K71" i="69"/>
  <c r="L71" i="69"/>
  <c r="M71" i="69"/>
  <c r="N71" i="69"/>
  <c r="O71" i="69"/>
  <c r="P71" i="69"/>
  <c r="Q71" i="69"/>
  <c r="R71" i="69"/>
  <c r="B72" i="69"/>
  <c r="C72" i="69"/>
  <c r="D72" i="69"/>
  <c r="E72" i="69"/>
  <c r="F72" i="69"/>
  <c r="G72" i="69"/>
  <c r="H72" i="69"/>
  <c r="I72" i="69"/>
  <c r="J72" i="69"/>
  <c r="K72" i="69"/>
  <c r="L72" i="69"/>
  <c r="M72" i="69"/>
  <c r="N72" i="69"/>
  <c r="O72" i="69"/>
  <c r="P72" i="69"/>
  <c r="Q72" i="69"/>
  <c r="R72" i="69"/>
  <c r="B73" i="69"/>
  <c r="C73" i="69"/>
  <c r="D73" i="69"/>
  <c r="E73" i="69"/>
  <c r="F73" i="69"/>
  <c r="G73" i="69"/>
  <c r="H73" i="69"/>
  <c r="I73" i="69"/>
  <c r="J73" i="69"/>
  <c r="K73" i="69"/>
  <c r="L73" i="69"/>
  <c r="M73" i="69"/>
  <c r="N73" i="69"/>
  <c r="O73" i="69"/>
  <c r="P73" i="69"/>
  <c r="Q73" i="69"/>
  <c r="R73" i="69"/>
  <c r="B74" i="69"/>
  <c r="C74" i="69"/>
  <c r="D74" i="69"/>
  <c r="E74" i="69"/>
  <c r="F74" i="69"/>
  <c r="G74" i="69"/>
  <c r="H74" i="69"/>
  <c r="I74" i="69"/>
  <c r="J74" i="69"/>
  <c r="K74" i="69"/>
  <c r="L74" i="69"/>
  <c r="M74" i="69"/>
  <c r="N74" i="69"/>
  <c r="O74" i="69"/>
  <c r="P74" i="69"/>
  <c r="Q74" i="69"/>
  <c r="R74" i="69"/>
  <c r="B75" i="69"/>
  <c r="C75" i="69"/>
  <c r="D75" i="69"/>
  <c r="E75" i="69"/>
  <c r="F75" i="69"/>
  <c r="G75" i="69"/>
  <c r="H75" i="69"/>
  <c r="I75" i="69"/>
  <c r="J75" i="69"/>
  <c r="K75" i="69"/>
  <c r="L75" i="69"/>
  <c r="M75" i="69"/>
  <c r="N75" i="69"/>
  <c r="O75" i="69"/>
  <c r="P75" i="69"/>
  <c r="Q75" i="69"/>
  <c r="R75" i="69"/>
  <c r="B76" i="69"/>
  <c r="C76" i="69"/>
  <c r="D76" i="69"/>
  <c r="E76" i="69"/>
  <c r="F76" i="69"/>
  <c r="G76" i="69"/>
  <c r="H76" i="69"/>
  <c r="I76" i="69"/>
  <c r="J76" i="69"/>
  <c r="K76" i="69"/>
  <c r="L76" i="69"/>
  <c r="M76" i="69"/>
  <c r="N76" i="69"/>
  <c r="O76" i="69"/>
  <c r="P76" i="69"/>
  <c r="Q76" i="69"/>
  <c r="R76" i="69"/>
  <c r="B77" i="69"/>
  <c r="C77" i="69"/>
  <c r="D77" i="69"/>
  <c r="E77" i="69"/>
  <c r="F77" i="69"/>
  <c r="G77" i="69"/>
  <c r="H77" i="69"/>
  <c r="I77" i="69"/>
  <c r="J77" i="69"/>
  <c r="K77" i="69"/>
  <c r="L77" i="69"/>
  <c r="M77" i="69"/>
  <c r="N77" i="69"/>
  <c r="O77" i="69"/>
  <c r="P77" i="69"/>
  <c r="Q77" i="69"/>
  <c r="R77" i="69"/>
  <c r="B78" i="69"/>
  <c r="C78" i="69"/>
  <c r="D78" i="69"/>
  <c r="E78" i="69"/>
  <c r="F78" i="69"/>
  <c r="G78" i="69"/>
  <c r="H78" i="69"/>
  <c r="I78" i="69"/>
  <c r="J78" i="69"/>
  <c r="K78" i="69"/>
  <c r="L78" i="69"/>
  <c r="M78" i="69"/>
  <c r="N78" i="69"/>
  <c r="O78" i="69"/>
  <c r="P78" i="69"/>
  <c r="Q78" i="69"/>
  <c r="R78" i="69"/>
  <c r="B79" i="69"/>
  <c r="C79" i="69"/>
  <c r="D79" i="69"/>
  <c r="E79" i="69"/>
  <c r="F79" i="69"/>
  <c r="G79" i="69"/>
  <c r="H79" i="69"/>
  <c r="I79" i="69"/>
  <c r="J79" i="69"/>
  <c r="K79" i="69"/>
  <c r="L79" i="69"/>
  <c r="M79" i="69"/>
  <c r="N79" i="69"/>
  <c r="O79" i="69"/>
  <c r="P79" i="69"/>
  <c r="Q79" i="69"/>
  <c r="R79" i="69"/>
  <c r="B80" i="69"/>
  <c r="C80" i="69"/>
  <c r="D80" i="69"/>
  <c r="E80" i="69"/>
  <c r="F80" i="69"/>
  <c r="G80" i="69"/>
  <c r="H80" i="69"/>
  <c r="I80" i="69"/>
  <c r="J80" i="69"/>
  <c r="K80" i="69"/>
  <c r="L80" i="69"/>
  <c r="M80" i="69"/>
  <c r="N80" i="69"/>
  <c r="O80" i="69"/>
  <c r="P80" i="69"/>
  <c r="Q80" i="69"/>
  <c r="R80" i="69"/>
  <c r="B81" i="69"/>
  <c r="C81" i="69"/>
  <c r="D81" i="69"/>
  <c r="E81" i="69"/>
  <c r="F81" i="69"/>
  <c r="G81" i="69"/>
  <c r="H81" i="69"/>
  <c r="I81" i="69"/>
  <c r="J81" i="69"/>
  <c r="K81" i="69"/>
  <c r="L81" i="69"/>
  <c r="M81" i="69"/>
  <c r="N81" i="69"/>
  <c r="O81" i="69"/>
  <c r="P81" i="69"/>
  <c r="Q81" i="69"/>
  <c r="R81" i="69"/>
  <c r="B82" i="69"/>
  <c r="C82" i="69"/>
  <c r="D82" i="69"/>
  <c r="E82" i="69"/>
  <c r="F82" i="69"/>
  <c r="G82" i="69"/>
  <c r="H82" i="69"/>
  <c r="I82" i="69"/>
  <c r="J82" i="69"/>
  <c r="K82" i="69"/>
  <c r="L82" i="69"/>
  <c r="M82" i="69"/>
  <c r="N82" i="69"/>
  <c r="O82" i="69"/>
  <c r="P82" i="69"/>
  <c r="Q82" i="69"/>
  <c r="R82" i="69"/>
  <c r="B83" i="69"/>
  <c r="C83" i="69"/>
  <c r="D83" i="69"/>
  <c r="E83" i="69"/>
  <c r="F83" i="69"/>
  <c r="G83" i="69"/>
  <c r="H83" i="69"/>
  <c r="I83" i="69"/>
  <c r="J83" i="69"/>
  <c r="K83" i="69"/>
  <c r="L83" i="69"/>
  <c r="M83" i="69"/>
  <c r="N83" i="69"/>
  <c r="O83" i="69"/>
  <c r="P83" i="69"/>
  <c r="Q83" i="69"/>
  <c r="R83" i="69"/>
  <c r="B84" i="69"/>
  <c r="C84" i="69"/>
  <c r="D84" i="69"/>
  <c r="E84" i="69"/>
  <c r="F84" i="69"/>
  <c r="G84" i="69"/>
  <c r="H84" i="69"/>
  <c r="I84" i="69"/>
  <c r="J84" i="69"/>
  <c r="K84" i="69"/>
  <c r="L84" i="69"/>
  <c r="M84" i="69"/>
  <c r="N84" i="69"/>
  <c r="O84" i="69"/>
  <c r="P84" i="69"/>
  <c r="Q84" i="69"/>
  <c r="R84" i="69"/>
  <c r="B85" i="69"/>
  <c r="C85" i="69"/>
  <c r="D85" i="69"/>
  <c r="E85" i="69"/>
  <c r="F85" i="69"/>
  <c r="G85" i="69"/>
  <c r="H85" i="69"/>
  <c r="I85" i="69"/>
  <c r="J85" i="69"/>
  <c r="K85" i="69"/>
  <c r="L85" i="69"/>
  <c r="M85" i="69"/>
  <c r="N85" i="69"/>
  <c r="O85" i="69"/>
  <c r="P85" i="69"/>
  <c r="Q85" i="69"/>
  <c r="R85" i="69"/>
  <c r="B86" i="69"/>
  <c r="C86" i="69"/>
  <c r="D86" i="69"/>
  <c r="E86" i="69"/>
  <c r="F86" i="69"/>
  <c r="G86" i="69"/>
  <c r="H86" i="69"/>
  <c r="I86" i="69"/>
  <c r="J86" i="69"/>
  <c r="K86" i="69"/>
  <c r="L86" i="69"/>
  <c r="M86" i="69"/>
  <c r="N86" i="69"/>
  <c r="O86" i="69"/>
  <c r="P86" i="69"/>
  <c r="Q86" i="69"/>
  <c r="R86" i="69"/>
  <c r="B87" i="69"/>
  <c r="C87" i="69"/>
  <c r="D87" i="69"/>
  <c r="E87" i="69"/>
  <c r="F87" i="69"/>
  <c r="G87" i="69"/>
  <c r="H87" i="69"/>
  <c r="I87" i="69"/>
  <c r="J87" i="69"/>
  <c r="K87" i="69"/>
  <c r="L87" i="69"/>
  <c r="M87" i="69"/>
  <c r="N87" i="69"/>
  <c r="O87" i="69"/>
  <c r="P87" i="69"/>
  <c r="Q87" i="69"/>
  <c r="R87" i="69"/>
  <c r="K58" i="69"/>
  <c r="L58" i="69" s="1"/>
  <c r="B58" i="69"/>
  <c r="B59" i="69"/>
  <c r="B60" i="69"/>
  <c r="B61" i="69"/>
  <c r="B62" i="69"/>
  <c r="B63" i="69"/>
  <c r="B64" i="69"/>
  <c r="B65" i="69"/>
  <c r="B66" i="69"/>
  <c r="K49" i="69"/>
  <c r="L49" i="69" s="1"/>
  <c r="B49" i="69"/>
  <c r="B50" i="69"/>
  <c r="B51" i="69"/>
  <c r="B52" i="69"/>
  <c r="B53" i="69"/>
  <c r="B54" i="69"/>
  <c r="B55" i="69"/>
  <c r="B56" i="69"/>
  <c r="B57" i="69"/>
  <c r="K40" i="69"/>
  <c r="L40" i="69" s="1"/>
  <c r="B40" i="69"/>
  <c r="B41" i="69"/>
  <c r="B42" i="69"/>
  <c r="B43" i="69"/>
  <c r="B44" i="69"/>
  <c r="B45" i="69"/>
  <c r="B46" i="69"/>
  <c r="B47" i="69"/>
  <c r="B48" i="69"/>
  <c r="K31" i="69"/>
  <c r="L31" i="69" s="1"/>
  <c r="B31" i="69"/>
  <c r="B32" i="69"/>
  <c r="B33" i="69"/>
  <c r="B34" i="69"/>
  <c r="B35" i="69"/>
  <c r="B36" i="69"/>
  <c r="B37" i="69"/>
  <c r="B38" i="69"/>
  <c r="B39" i="69"/>
  <c r="K22" i="69"/>
  <c r="L22" i="69" s="1"/>
  <c r="B22" i="69"/>
  <c r="B23" i="69"/>
  <c r="B24" i="69"/>
  <c r="B25" i="69"/>
  <c r="B26" i="69"/>
  <c r="B27" i="69"/>
  <c r="B28" i="69"/>
  <c r="B29" i="69"/>
  <c r="B30" i="69"/>
  <c r="K13" i="69"/>
  <c r="L13" i="69" s="1"/>
  <c r="B13" i="69"/>
  <c r="B14" i="69"/>
  <c r="B15" i="69"/>
  <c r="B16" i="69"/>
  <c r="B17" i="69"/>
  <c r="B18" i="69"/>
  <c r="B19" i="69"/>
  <c r="B20" i="69"/>
  <c r="B21" i="69"/>
  <c r="K4" i="69"/>
  <c r="L4" i="69" s="1"/>
  <c r="B4" i="69"/>
  <c r="B5" i="69"/>
  <c r="B6" i="69"/>
  <c r="B7" i="69"/>
  <c r="B8" i="69"/>
  <c r="B9" i="69"/>
  <c r="B10" i="69"/>
  <c r="B11" i="69"/>
  <c r="B12" i="69"/>
  <c r="B71" i="68"/>
  <c r="C71" i="68"/>
  <c r="D71" i="68"/>
  <c r="E71" i="68"/>
  <c r="F71" i="68"/>
  <c r="G71" i="68"/>
  <c r="H71" i="68"/>
  <c r="I71" i="68"/>
  <c r="J71" i="68"/>
  <c r="B72" i="68"/>
  <c r="C72" i="68"/>
  <c r="D72" i="68"/>
  <c r="E72" i="68"/>
  <c r="F72" i="68"/>
  <c r="G72" i="68"/>
  <c r="H72" i="68"/>
  <c r="I72" i="68"/>
  <c r="J72" i="68"/>
  <c r="B73" i="68"/>
  <c r="C73" i="68"/>
  <c r="D73" i="68"/>
  <c r="E73" i="68"/>
  <c r="F73" i="68"/>
  <c r="G73" i="68"/>
  <c r="H73" i="68"/>
  <c r="I73" i="68"/>
  <c r="J73" i="68"/>
  <c r="B74" i="68"/>
  <c r="C74" i="68"/>
  <c r="D74" i="68"/>
  <c r="E74" i="68"/>
  <c r="F74" i="68"/>
  <c r="G74" i="68"/>
  <c r="H74" i="68"/>
  <c r="I74" i="68"/>
  <c r="J74" i="68"/>
  <c r="B75" i="68"/>
  <c r="C75" i="68"/>
  <c r="D75" i="68"/>
  <c r="E75" i="68"/>
  <c r="F75" i="68"/>
  <c r="G75" i="68"/>
  <c r="H75" i="68"/>
  <c r="I75" i="68"/>
  <c r="J75" i="68"/>
  <c r="B76" i="68"/>
  <c r="C76" i="68"/>
  <c r="D76" i="68"/>
  <c r="E76" i="68"/>
  <c r="F76" i="68"/>
  <c r="G76" i="68"/>
  <c r="H76" i="68"/>
  <c r="I76" i="68"/>
  <c r="J76" i="68"/>
  <c r="B77" i="68"/>
  <c r="C77" i="68"/>
  <c r="D77" i="68"/>
  <c r="E77" i="68"/>
  <c r="F77" i="68"/>
  <c r="G77" i="68"/>
  <c r="H77" i="68"/>
  <c r="I77" i="68"/>
  <c r="J77" i="68"/>
  <c r="B78" i="68"/>
  <c r="C78" i="68"/>
  <c r="D78" i="68"/>
  <c r="E78" i="68"/>
  <c r="F78" i="68"/>
  <c r="G78" i="68"/>
  <c r="H78" i="68"/>
  <c r="I78" i="68"/>
  <c r="J78" i="68"/>
  <c r="B79" i="68"/>
  <c r="C79" i="68"/>
  <c r="D79" i="68"/>
  <c r="E79" i="68"/>
  <c r="F79" i="68"/>
  <c r="G79" i="68"/>
  <c r="H79" i="68"/>
  <c r="I79" i="68"/>
  <c r="J79" i="68"/>
  <c r="G58" i="68"/>
  <c r="H58" i="68" s="1"/>
  <c r="B58" i="68"/>
  <c r="B59" i="68"/>
  <c r="B60" i="68"/>
  <c r="B61" i="68"/>
  <c r="B62" i="68"/>
  <c r="B63" i="68"/>
  <c r="B64" i="68"/>
  <c r="B65" i="68"/>
  <c r="B66" i="68"/>
  <c r="G49" i="68"/>
  <c r="H49" i="68" s="1"/>
  <c r="B49" i="68"/>
  <c r="B50" i="68"/>
  <c r="B51" i="68"/>
  <c r="B52" i="68"/>
  <c r="B53" i="68"/>
  <c r="B54" i="68"/>
  <c r="B55" i="68"/>
  <c r="B56" i="68"/>
  <c r="B57" i="68"/>
  <c r="G40" i="68"/>
  <c r="H40" i="68" s="1"/>
  <c r="B40" i="68"/>
  <c r="B41" i="68"/>
  <c r="B42" i="68"/>
  <c r="B43" i="68"/>
  <c r="B44" i="68"/>
  <c r="B45" i="68"/>
  <c r="B46" i="68"/>
  <c r="B47" i="68"/>
  <c r="B48" i="68"/>
  <c r="G31" i="68"/>
  <c r="H31" i="68" s="1"/>
  <c r="B31" i="68"/>
  <c r="B32" i="68"/>
  <c r="B33" i="68"/>
  <c r="B34" i="68"/>
  <c r="B35" i="68"/>
  <c r="B36" i="68"/>
  <c r="B37" i="68"/>
  <c r="B38" i="68"/>
  <c r="B39" i="68"/>
  <c r="G22" i="68"/>
  <c r="H22" i="68" s="1"/>
  <c r="B22" i="68"/>
  <c r="B23" i="68"/>
  <c r="B24" i="68"/>
  <c r="B25" i="68"/>
  <c r="B26" i="68"/>
  <c r="B27" i="68"/>
  <c r="B28" i="68"/>
  <c r="B29" i="68"/>
  <c r="B30" i="68"/>
  <c r="G13" i="68"/>
  <c r="H13" i="68" s="1"/>
  <c r="B13" i="68"/>
  <c r="B14" i="68"/>
  <c r="B15" i="68"/>
  <c r="B16" i="68"/>
  <c r="B17" i="68"/>
  <c r="B18" i="68"/>
  <c r="B19" i="68"/>
  <c r="B20" i="68"/>
  <c r="B21" i="68"/>
  <c r="G4" i="68"/>
  <c r="H4" i="68" s="1"/>
  <c r="B4" i="68"/>
  <c r="B5" i="68"/>
  <c r="B6" i="68"/>
  <c r="B7" i="68"/>
  <c r="B8" i="68"/>
  <c r="B9" i="68"/>
  <c r="B10" i="68"/>
  <c r="B11" i="68"/>
  <c r="B12" i="68"/>
  <c r="B71" i="67"/>
  <c r="C71" i="67"/>
  <c r="D71" i="67"/>
  <c r="E71" i="67"/>
  <c r="F71" i="67"/>
  <c r="G71" i="67"/>
  <c r="H71" i="67"/>
  <c r="B72" i="67"/>
  <c r="C72" i="67"/>
  <c r="D72" i="67"/>
  <c r="E72" i="67"/>
  <c r="F72" i="67"/>
  <c r="G72" i="67"/>
  <c r="H72" i="67"/>
  <c r="B73" i="67"/>
  <c r="C73" i="67"/>
  <c r="D73" i="67"/>
  <c r="E73" i="67"/>
  <c r="F73" i="67"/>
  <c r="G73" i="67"/>
  <c r="H73" i="67"/>
  <c r="B74" i="67"/>
  <c r="C74" i="67"/>
  <c r="D74" i="67"/>
  <c r="E74" i="67"/>
  <c r="F74" i="67"/>
  <c r="G74" i="67"/>
  <c r="H74" i="67"/>
  <c r="B75" i="67"/>
  <c r="C75" i="67"/>
  <c r="D75" i="67"/>
  <c r="E75" i="67"/>
  <c r="F75" i="67"/>
  <c r="G75" i="67"/>
  <c r="H75" i="67"/>
  <c r="B76" i="67"/>
  <c r="C76" i="67"/>
  <c r="D76" i="67"/>
  <c r="E76" i="67"/>
  <c r="F76" i="67"/>
  <c r="G76" i="67"/>
  <c r="H76" i="67"/>
  <c r="B77" i="67"/>
  <c r="C77" i="67"/>
  <c r="D77" i="67"/>
  <c r="E77" i="67"/>
  <c r="F77" i="67"/>
  <c r="G77" i="67"/>
  <c r="H77" i="67"/>
  <c r="F58" i="67"/>
  <c r="G58" i="67" s="1"/>
  <c r="B58" i="67"/>
  <c r="B59" i="67"/>
  <c r="B60" i="67"/>
  <c r="B61" i="67"/>
  <c r="B62" i="67"/>
  <c r="B63" i="67"/>
  <c r="B64" i="67"/>
  <c r="B65" i="67"/>
  <c r="B66" i="67"/>
  <c r="F49" i="67"/>
  <c r="G49" i="67" s="1"/>
  <c r="B49" i="67"/>
  <c r="B50" i="67"/>
  <c r="B51" i="67"/>
  <c r="B52" i="67"/>
  <c r="B53" i="67"/>
  <c r="B54" i="67"/>
  <c r="B55" i="67"/>
  <c r="B56" i="67"/>
  <c r="B57" i="67"/>
  <c r="F40" i="67"/>
  <c r="G40" i="67" s="1"/>
  <c r="B40" i="67"/>
  <c r="B41" i="67"/>
  <c r="B42" i="67"/>
  <c r="B43" i="67"/>
  <c r="B44" i="67"/>
  <c r="B45" i="67"/>
  <c r="B46" i="67"/>
  <c r="B47" i="67"/>
  <c r="B48" i="67"/>
  <c r="F31" i="67"/>
  <c r="G31" i="67" s="1"/>
  <c r="B31" i="67"/>
  <c r="B32" i="67"/>
  <c r="B33" i="67"/>
  <c r="B34" i="67"/>
  <c r="B35" i="67"/>
  <c r="B36" i="67"/>
  <c r="B37" i="67"/>
  <c r="B38" i="67"/>
  <c r="B39" i="67"/>
  <c r="F22" i="67"/>
  <c r="G22" i="67" s="1"/>
  <c r="B22" i="67"/>
  <c r="B23" i="67"/>
  <c r="B24" i="67"/>
  <c r="B25" i="67"/>
  <c r="B26" i="67"/>
  <c r="B27" i="67"/>
  <c r="B28" i="67"/>
  <c r="B29" i="67"/>
  <c r="B30" i="67"/>
  <c r="F13" i="67"/>
  <c r="G13" i="67" s="1"/>
  <c r="B13" i="67"/>
  <c r="B14" i="67"/>
  <c r="B15" i="67"/>
  <c r="B16" i="67"/>
  <c r="B17" i="67"/>
  <c r="B18" i="67"/>
  <c r="B19" i="67"/>
  <c r="B20" i="67"/>
  <c r="B21" i="67"/>
  <c r="F4" i="67"/>
  <c r="G4" i="67" s="1"/>
  <c r="B4" i="67"/>
  <c r="B5" i="67"/>
  <c r="B6" i="67"/>
  <c r="B7" i="67"/>
  <c r="B8" i="67"/>
  <c r="B9" i="67"/>
  <c r="B10" i="67"/>
  <c r="B11" i="67"/>
  <c r="B12" i="67"/>
  <c r="G14" i="15"/>
  <c r="G10" i="15"/>
  <c r="J12" i="15"/>
  <c r="K12" i="15" s="1"/>
  <c r="B78" i="62"/>
  <c r="C78" i="62"/>
  <c r="D78" i="62"/>
  <c r="E78" i="62"/>
  <c r="F78" i="62"/>
  <c r="G78" i="62"/>
  <c r="H78" i="62"/>
  <c r="I78" i="62"/>
  <c r="J78" i="62"/>
  <c r="K78" i="62"/>
  <c r="L78" i="62"/>
  <c r="M78" i="62"/>
  <c r="N78" i="62"/>
  <c r="O78" i="62"/>
  <c r="P78" i="62"/>
  <c r="Q78" i="62"/>
  <c r="R78" i="62"/>
  <c r="S78" i="62"/>
  <c r="T78" i="62"/>
  <c r="B79" i="62"/>
  <c r="C79" i="62"/>
  <c r="D79" i="62"/>
  <c r="E79" i="62"/>
  <c r="F79" i="62"/>
  <c r="G79" i="62"/>
  <c r="H79" i="62"/>
  <c r="I79" i="62"/>
  <c r="J79" i="62"/>
  <c r="K79" i="62"/>
  <c r="L79" i="62"/>
  <c r="M79" i="62"/>
  <c r="N79" i="62"/>
  <c r="O79" i="62"/>
  <c r="P79" i="62"/>
  <c r="Q79" i="62"/>
  <c r="R79" i="62"/>
  <c r="S79" i="62"/>
  <c r="T79" i="62"/>
  <c r="B80" i="62"/>
  <c r="C80" i="62"/>
  <c r="D80" i="62"/>
  <c r="E80" i="62"/>
  <c r="F80" i="62"/>
  <c r="G80" i="62"/>
  <c r="H80" i="62"/>
  <c r="I80" i="62"/>
  <c r="J80" i="62"/>
  <c r="K80" i="62"/>
  <c r="L80" i="62"/>
  <c r="M80" i="62"/>
  <c r="N80" i="62"/>
  <c r="O80" i="62"/>
  <c r="P80" i="62"/>
  <c r="Q80" i="62"/>
  <c r="R80" i="62"/>
  <c r="S80" i="62"/>
  <c r="T80" i="62"/>
  <c r="B81" i="62"/>
  <c r="C81" i="62"/>
  <c r="D81" i="62"/>
  <c r="E81" i="62"/>
  <c r="F81" i="62"/>
  <c r="G81" i="62"/>
  <c r="H81" i="62"/>
  <c r="I81" i="62"/>
  <c r="J81" i="62"/>
  <c r="K81" i="62"/>
  <c r="L81" i="62"/>
  <c r="M81" i="62"/>
  <c r="N81" i="62"/>
  <c r="O81" i="62"/>
  <c r="P81" i="62"/>
  <c r="Q81" i="62"/>
  <c r="R81" i="62"/>
  <c r="S81" i="62"/>
  <c r="T81" i="62"/>
  <c r="B82" i="62"/>
  <c r="C82" i="62"/>
  <c r="D82" i="62"/>
  <c r="E82" i="62"/>
  <c r="F82" i="62"/>
  <c r="G82" i="62"/>
  <c r="H82" i="62"/>
  <c r="I82" i="62"/>
  <c r="J82" i="62"/>
  <c r="K82" i="62"/>
  <c r="L82" i="62"/>
  <c r="M82" i="62"/>
  <c r="N82" i="62"/>
  <c r="O82" i="62"/>
  <c r="P82" i="62"/>
  <c r="Q82" i="62"/>
  <c r="R82" i="62"/>
  <c r="S82" i="62"/>
  <c r="T82" i="62"/>
  <c r="B83" i="62"/>
  <c r="C83" i="62"/>
  <c r="D83" i="62"/>
  <c r="E83" i="62"/>
  <c r="F83" i="62"/>
  <c r="G83" i="62"/>
  <c r="H83" i="62"/>
  <c r="I83" i="62"/>
  <c r="J83" i="62"/>
  <c r="K83" i="62"/>
  <c r="L83" i="62"/>
  <c r="M83" i="62"/>
  <c r="N83" i="62"/>
  <c r="O83" i="62"/>
  <c r="P83" i="62"/>
  <c r="Q83" i="62"/>
  <c r="R83" i="62"/>
  <c r="S83" i="62"/>
  <c r="T83" i="62"/>
  <c r="B84" i="62"/>
  <c r="C84" i="62"/>
  <c r="D84" i="62"/>
  <c r="E84" i="62"/>
  <c r="F84" i="62"/>
  <c r="G84" i="62"/>
  <c r="H84" i="62"/>
  <c r="I84" i="62"/>
  <c r="J84" i="62"/>
  <c r="K84" i="62"/>
  <c r="L84" i="62"/>
  <c r="M84" i="62"/>
  <c r="N84" i="62"/>
  <c r="O84" i="62"/>
  <c r="P84" i="62"/>
  <c r="Q84" i="62"/>
  <c r="R84" i="62"/>
  <c r="S84" i="62"/>
  <c r="T84" i="62"/>
  <c r="B85" i="62"/>
  <c r="C85" i="62"/>
  <c r="D85" i="62"/>
  <c r="E85" i="62"/>
  <c r="F85" i="62"/>
  <c r="G85" i="62"/>
  <c r="H85" i="62"/>
  <c r="I85" i="62"/>
  <c r="J85" i="62"/>
  <c r="K85" i="62"/>
  <c r="L85" i="62"/>
  <c r="M85" i="62"/>
  <c r="N85" i="62"/>
  <c r="O85" i="62"/>
  <c r="P85" i="62"/>
  <c r="Q85" i="62"/>
  <c r="R85" i="62"/>
  <c r="S85" i="62"/>
  <c r="T85" i="62"/>
  <c r="B86" i="62"/>
  <c r="C86" i="62"/>
  <c r="D86" i="62"/>
  <c r="E86" i="62"/>
  <c r="F86" i="62"/>
  <c r="G86" i="62"/>
  <c r="H86" i="62"/>
  <c r="I86" i="62"/>
  <c r="J86" i="62"/>
  <c r="K86" i="62"/>
  <c r="L86" i="62"/>
  <c r="M86" i="62"/>
  <c r="N86" i="62"/>
  <c r="O86" i="62"/>
  <c r="P86" i="62"/>
  <c r="Q86" i="62"/>
  <c r="R86" i="62"/>
  <c r="S86" i="62"/>
  <c r="T86" i="62"/>
  <c r="B87" i="62"/>
  <c r="C87" i="62"/>
  <c r="D87" i="62"/>
  <c r="E87" i="62"/>
  <c r="F87" i="62"/>
  <c r="G87" i="62"/>
  <c r="H87" i="62"/>
  <c r="I87" i="62"/>
  <c r="J87" i="62"/>
  <c r="K87" i="62"/>
  <c r="L87" i="62"/>
  <c r="M87" i="62"/>
  <c r="N87" i="62"/>
  <c r="O87" i="62"/>
  <c r="P87" i="62"/>
  <c r="Q87" i="62"/>
  <c r="R87" i="62"/>
  <c r="S87" i="62"/>
  <c r="T87" i="62"/>
  <c r="B88" i="62"/>
  <c r="C88" i="62"/>
  <c r="D88" i="62"/>
  <c r="E88" i="62"/>
  <c r="F88" i="62"/>
  <c r="G88" i="62"/>
  <c r="H88" i="62"/>
  <c r="I88" i="62"/>
  <c r="J88" i="62"/>
  <c r="K88" i="62"/>
  <c r="L88" i="62"/>
  <c r="M88" i="62"/>
  <c r="N88" i="62"/>
  <c r="O88" i="62"/>
  <c r="P88" i="62"/>
  <c r="Q88" i="62"/>
  <c r="R88" i="62"/>
  <c r="S88" i="62"/>
  <c r="T88" i="62"/>
  <c r="B89" i="62"/>
  <c r="C89" i="62"/>
  <c r="D89" i="62"/>
  <c r="E89" i="62"/>
  <c r="F89" i="62"/>
  <c r="G89" i="62"/>
  <c r="H89" i="62"/>
  <c r="I89" i="62"/>
  <c r="J89" i="62"/>
  <c r="K89" i="62"/>
  <c r="L89" i="62"/>
  <c r="M89" i="62"/>
  <c r="N89" i="62"/>
  <c r="O89" i="62"/>
  <c r="P89" i="62"/>
  <c r="Q89" i="62"/>
  <c r="R89" i="62"/>
  <c r="S89" i="62"/>
  <c r="T89" i="62"/>
  <c r="B90" i="62"/>
  <c r="C90" i="62"/>
  <c r="D90" i="62"/>
  <c r="E90" i="62"/>
  <c r="F90" i="62"/>
  <c r="G90" i="62"/>
  <c r="H90" i="62"/>
  <c r="I90" i="62"/>
  <c r="J90" i="62"/>
  <c r="K90" i="62"/>
  <c r="L90" i="62"/>
  <c r="M90" i="62"/>
  <c r="N90" i="62"/>
  <c r="O90" i="62"/>
  <c r="P90" i="62"/>
  <c r="Q90" i="62"/>
  <c r="R90" i="62"/>
  <c r="S90" i="62"/>
  <c r="T90" i="62"/>
  <c r="B91" i="62"/>
  <c r="C91" i="62"/>
  <c r="D91" i="62"/>
  <c r="E91" i="62"/>
  <c r="F91" i="62"/>
  <c r="G91" i="62"/>
  <c r="H91" i="62"/>
  <c r="I91" i="62"/>
  <c r="J91" i="62"/>
  <c r="K91" i="62"/>
  <c r="L91" i="62"/>
  <c r="M91" i="62"/>
  <c r="N91" i="62"/>
  <c r="O91" i="62"/>
  <c r="P91" i="62"/>
  <c r="Q91" i="62"/>
  <c r="R91" i="62"/>
  <c r="S91" i="62"/>
  <c r="T91" i="62"/>
  <c r="B92" i="62"/>
  <c r="C92" i="62"/>
  <c r="D92" i="62"/>
  <c r="E92" i="62"/>
  <c r="F92" i="62"/>
  <c r="G92" i="62"/>
  <c r="H92" i="62"/>
  <c r="I92" i="62"/>
  <c r="J92" i="62"/>
  <c r="K92" i="62"/>
  <c r="L92" i="62"/>
  <c r="M92" i="62"/>
  <c r="N92" i="62"/>
  <c r="O92" i="62"/>
  <c r="P92" i="62"/>
  <c r="Q92" i="62"/>
  <c r="R92" i="62"/>
  <c r="S92" i="62"/>
  <c r="T92" i="62"/>
  <c r="B93" i="62"/>
  <c r="C93" i="62"/>
  <c r="D93" i="62"/>
  <c r="E93" i="62"/>
  <c r="F93" i="62"/>
  <c r="G93" i="62"/>
  <c r="H93" i="62"/>
  <c r="I93" i="62"/>
  <c r="J93" i="62"/>
  <c r="K93" i="62"/>
  <c r="L93" i="62"/>
  <c r="M93" i="62"/>
  <c r="N93" i="62"/>
  <c r="O93" i="62"/>
  <c r="P93" i="62"/>
  <c r="Q93" i="62"/>
  <c r="R93" i="62"/>
  <c r="S93" i="62"/>
  <c r="T93" i="62"/>
  <c r="B94" i="62"/>
  <c r="C94" i="62"/>
  <c r="D94" i="62"/>
  <c r="E94" i="62"/>
  <c r="F94" i="62"/>
  <c r="G94" i="62"/>
  <c r="H94" i="62"/>
  <c r="I94" i="62"/>
  <c r="J94" i="62"/>
  <c r="K94" i="62"/>
  <c r="L94" i="62"/>
  <c r="M94" i="62"/>
  <c r="N94" i="62"/>
  <c r="O94" i="62"/>
  <c r="P94" i="62"/>
  <c r="Q94" i="62"/>
  <c r="R94" i="62"/>
  <c r="S94" i="62"/>
  <c r="T94" i="62"/>
  <c r="B95" i="62"/>
  <c r="C95" i="62"/>
  <c r="D95" i="62"/>
  <c r="E95" i="62"/>
  <c r="F95" i="62"/>
  <c r="G95" i="62"/>
  <c r="H95" i="62"/>
  <c r="I95" i="62"/>
  <c r="J95" i="62"/>
  <c r="K95" i="62"/>
  <c r="L95" i="62"/>
  <c r="M95" i="62"/>
  <c r="N95" i="62"/>
  <c r="O95" i="62"/>
  <c r="P95" i="62"/>
  <c r="Q95" i="62"/>
  <c r="R95" i="62"/>
  <c r="S95" i="62"/>
  <c r="T95" i="62"/>
  <c r="B96" i="62"/>
  <c r="C96" i="62"/>
  <c r="D96" i="62"/>
  <c r="E96" i="62"/>
  <c r="F96" i="62"/>
  <c r="G96" i="62"/>
  <c r="H96" i="62"/>
  <c r="I96" i="62"/>
  <c r="J96" i="62"/>
  <c r="K96" i="62"/>
  <c r="L96" i="62"/>
  <c r="M96" i="62"/>
  <c r="N96" i="62"/>
  <c r="O96" i="62"/>
  <c r="P96" i="62"/>
  <c r="Q96" i="62"/>
  <c r="R96" i="62"/>
  <c r="S96" i="62"/>
  <c r="T96" i="62"/>
  <c r="I64" i="62"/>
  <c r="J64" i="62" s="1"/>
  <c r="B64" i="62"/>
  <c r="B65" i="62"/>
  <c r="B66" i="62"/>
  <c r="B67" i="62"/>
  <c r="B68" i="62"/>
  <c r="B69" i="62"/>
  <c r="B70" i="62"/>
  <c r="B71" i="62"/>
  <c r="B72" i="62"/>
  <c r="B73" i="62"/>
  <c r="I54" i="62"/>
  <c r="J54" i="62" s="1"/>
  <c r="B54" i="62"/>
  <c r="B55" i="62"/>
  <c r="B56" i="62"/>
  <c r="B57" i="62"/>
  <c r="B58" i="62"/>
  <c r="B59" i="62"/>
  <c r="B60" i="62"/>
  <c r="B61" i="62"/>
  <c r="B62" i="62"/>
  <c r="B63" i="62"/>
  <c r="I44" i="62"/>
  <c r="J44" i="62" s="1"/>
  <c r="B44" i="62"/>
  <c r="B45" i="62"/>
  <c r="B46" i="62"/>
  <c r="B47" i="62"/>
  <c r="B48" i="62"/>
  <c r="B49" i="62"/>
  <c r="B50" i="62"/>
  <c r="B51" i="62"/>
  <c r="B52" i="62"/>
  <c r="B53" i="62"/>
  <c r="I34" i="62"/>
  <c r="J34" i="62" s="1"/>
  <c r="B34" i="62"/>
  <c r="B35" i="62"/>
  <c r="B36" i="62"/>
  <c r="B37" i="62"/>
  <c r="B38" i="62"/>
  <c r="B39" i="62"/>
  <c r="B40" i="62"/>
  <c r="B41" i="62"/>
  <c r="B42" i="62"/>
  <c r="B43" i="62"/>
  <c r="I24" i="62"/>
  <c r="J24" i="62" s="1"/>
  <c r="B24" i="62"/>
  <c r="B25" i="62"/>
  <c r="B26" i="62"/>
  <c r="B27" i="62"/>
  <c r="B28" i="62"/>
  <c r="B29" i="62"/>
  <c r="B30" i="62"/>
  <c r="B31" i="62"/>
  <c r="B32" i="62"/>
  <c r="B33" i="62"/>
  <c r="I14" i="62"/>
  <c r="B14" i="62"/>
  <c r="B15" i="62"/>
  <c r="B16" i="62"/>
  <c r="B17" i="62"/>
  <c r="B18" i="62"/>
  <c r="B19" i="62"/>
  <c r="B20" i="62"/>
  <c r="B21" i="62"/>
  <c r="B22" i="62"/>
  <c r="B23" i="62"/>
  <c r="I4" i="62"/>
  <c r="J4" i="62" s="1"/>
  <c r="B4" i="62"/>
  <c r="B5" i="62"/>
  <c r="B6" i="62"/>
  <c r="B7" i="62"/>
  <c r="B8" i="62"/>
  <c r="B9" i="62"/>
  <c r="B10" i="62"/>
  <c r="B11" i="62"/>
  <c r="B12" i="62"/>
  <c r="B13" i="62"/>
  <c r="J13" i="15"/>
  <c r="K13" i="15" s="1"/>
  <c r="B71" i="61"/>
  <c r="C71" i="61"/>
  <c r="D71" i="61"/>
  <c r="E71" i="61"/>
  <c r="F71" i="61"/>
  <c r="G71" i="61"/>
  <c r="H71" i="61"/>
  <c r="I71" i="61"/>
  <c r="J71" i="61"/>
  <c r="K71" i="61"/>
  <c r="L71" i="61"/>
  <c r="M71" i="61"/>
  <c r="N71" i="61"/>
  <c r="O71" i="61"/>
  <c r="P71" i="61"/>
  <c r="Q71" i="61"/>
  <c r="R71" i="61"/>
  <c r="S71" i="61"/>
  <c r="T71" i="61"/>
  <c r="U71" i="61"/>
  <c r="V71" i="61"/>
  <c r="W71" i="61"/>
  <c r="B72" i="61"/>
  <c r="C72" i="61"/>
  <c r="D72" i="61"/>
  <c r="E72" i="61"/>
  <c r="F72" i="61"/>
  <c r="G72" i="61"/>
  <c r="H72" i="61"/>
  <c r="I72" i="61"/>
  <c r="J72" i="61"/>
  <c r="K72" i="61"/>
  <c r="L72" i="61"/>
  <c r="M72" i="61"/>
  <c r="N72" i="61"/>
  <c r="O72" i="61"/>
  <c r="P72" i="61"/>
  <c r="Q72" i="61"/>
  <c r="R72" i="61"/>
  <c r="S72" i="61"/>
  <c r="T72" i="61"/>
  <c r="U72" i="61"/>
  <c r="V72" i="61"/>
  <c r="W72" i="61"/>
  <c r="B73" i="61"/>
  <c r="C73" i="61"/>
  <c r="D73" i="61"/>
  <c r="E73" i="61"/>
  <c r="F73" i="61"/>
  <c r="G73" i="61"/>
  <c r="H73" i="61"/>
  <c r="I73" i="61"/>
  <c r="J73" i="61"/>
  <c r="K73" i="61"/>
  <c r="L73" i="61"/>
  <c r="M73" i="61"/>
  <c r="N73" i="61"/>
  <c r="O73" i="61"/>
  <c r="P73" i="61"/>
  <c r="Q73" i="61"/>
  <c r="R73" i="61"/>
  <c r="S73" i="61"/>
  <c r="T73" i="61"/>
  <c r="U73" i="61"/>
  <c r="V73" i="61"/>
  <c r="W73" i="61"/>
  <c r="B74" i="61"/>
  <c r="C74" i="61"/>
  <c r="D74" i="61"/>
  <c r="E74" i="61"/>
  <c r="F74" i="61"/>
  <c r="G74" i="61"/>
  <c r="H74" i="61"/>
  <c r="I74" i="61"/>
  <c r="J74" i="61"/>
  <c r="K74" i="61"/>
  <c r="L74" i="61"/>
  <c r="M74" i="61"/>
  <c r="N74" i="61"/>
  <c r="O74" i="61"/>
  <c r="P74" i="61"/>
  <c r="Q74" i="61"/>
  <c r="R74" i="61"/>
  <c r="S74" i="61"/>
  <c r="T74" i="61"/>
  <c r="U74" i="61"/>
  <c r="V74" i="61"/>
  <c r="W74" i="61"/>
  <c r="B75" i="61"/>
  <c r="C75" i="61"/>
  <c r="D75" i="61"/>
  <c r="E75" i="61"/>
  <c r="F75" i="61"/>
  <c r="G75" i="61"/>
  <c r="H75" i="61"/>
  <c r="I75" i="61"/>
  <c r="J75" i="61"/>
  <c r="K75" i="61"/>
  <c r="L75" i="61"/>
  <c r="M75" i="61"/>
  <c r="N75" i="61"/>
  <c r="O75" i="61"/>
  <c r="P75" i="61"/>
  <c r="Q75" i="61"/>
  <c r="R75" i="61"/>
  <c r="S75" i="61"/>
  <c r="T75" i="61"/>
  <c r="U75" i="61"/>
  <c r="V75" i="61"/>
  <c r="W75" i="61"/>
  <c r="B76" i="61"/>
  <c r="C76" i="61"/>
  <c r="D76" i="61"/>
  <c r="E76" i="61"/>
  <c r="F76" i="61"/>
  <c r="G76" i="61"/>
  <c r="H76" i="61"/>
  <c r="I76" i="61"/>
  <c r="J76" i="61"/>
  <c r="K76" i="61"/>
  <c r="L76" i="61"/>
  <c r="M76" i="61"/>
  <c r="N76" i="61"/>
  <c r="O76" i="61"/>
  <c r="P76" i="61"/>
  <c r="Q76" i="61"/>
  <c r="R76" i="61"/>
  <c r="S76" i="61"/>
  <c r="T76" i="61"/>
  <c r="U76" i="61"/>
  <c r="V76" i="61"/>
  <c r="W76" i="61"/>
  <c r="B77" i="61"/>
  <c r="C77" i="61"/>
  <c r="D77" i="61"/>
  <c r="E77" i="61"/>
  <c r="F77" i="61"/>
  <c r="G77" i="61"/>
  <c r="H77" i="61"/>
  <c r="I77" i="61"/>
  <c r="J77" i="61"/>
  <c r="K77" i="61"/>
  <c r="L77" i="61"/>
  <c r="M77" i="61"/>
  <c r="N77" i="61"/>
  <c r="O77" i="61"/>
  <c r="P77" i="61"/>
  <c r="Q77" i="61"/>
  <c r="R77" i="61"/>
  <c r="S77" i="61"/>
  <c r="T77" i="61"/>
  <c r="U77" i="61"/>
  <c r="V77" i="61"/>
  <c r="W77" i="61"/>
  <c r="B78" i="61"/>
  <c r="C78" i="61"/>
  <c r="D78" i="61"/>
  <c r="E78" i="61"/>
  <c r="F78" i="61"/>
  <c r="G78" i="61"/>
  <c r="H78" i="61"/>
  <c r="I78" i="61"/>
  <c r="J78" i="61"/>
  <c r="K78" i="61"/>
  <c r="L78" i="61"/>
  <c r="M78" i="61"/>
  <c r="N78" i="61"/>
  <c r="O78" i="61"/>
  <c r="P78" i="61"/>
  <c r="Q78" i="61"/>
  <c r="R78" i="61"/>
  <c r="S78" i="61"/>
  <c r="T78" i="61"/>
  <c r="U78" i="61"/>
  <c r="V78" i="61"/>
  <c r="W78" i="61"/>
  <c r="B79" i="61"/>
  <c r="C79" i="61"/>
  <c r="D79" i="61"/>
  <c r="E79" i="61"/>
  <c r="F79" i="61"/>
  <c r="G79" i="61"/>
  <c r="H79" i="61"/>
  <c r="I79" i="61"/>
  <c r="J79" i="61"/>
  <c r="K79" i="61"/>
  <c r="L79" i="61"/>
  <c r="M79" i="61"/>
  <c r="N79" i="61"/>
  <c r="O79" i="61"/>
  <c r="P79" i="61"/>
  <c r="Q79" i="61"/>
  <c r="R79" i="61"/>
  <c r="S79" i="61"/>
  <c r="T79" i="61"/>
  <c r="U79" i="61"/>
  <c r="V79" i="61"/>
  <c r="W79" i="61"/>
  <c r="B80" i="61"/>
  <c r="C80" i="61"/>
  <c r="D80" i="61"/>
  <c r="E80" i="61"/>
  <c r="F80" i="61"/>
  <c r="G80" i="61"/>
  <c r="H80" i="61"/>
  <c r="I80" i="61"/>
  <c r="J80" i="61"/>
  <c r="K80" i="61"/>
  <c r="L80" i="61"/>
  <c r="M80" i="61"/>
  <c r="N80" i="61"/>
  <c r="O80" i="61"/>
  <c r="P80" i="61"/>
  <c r="Q80" i="61"/>
  <c r="R80" i="61"/>
  <c r="S80" i="61"/>
  <c r="T80" i="61"/>
  <c r="U80" i="61"/>
  <c r="V80" i="61"/>
  <c r="W80" i="61"/>
  <c r="B81" i="61"/>
  <c r="C81" i="61"/>
  <c r="D81" i="61"/>
  <c r="E81" i="61"/>
  <c r="F81" i="61"/>
  <c r="G81" i="61"/>
  <c r="H81" i="61"/>
  <c r="I81" i="61"/>
  <c r="J81" i="61"/>
  <c r="K81" i="61"/>
  <c r="L81" i="61"/>
  <c r="M81" i="61"/>
  <c r="N81" i="61"/>
  <c r="O81" i="61"/>
  <c r="P81" i="61"/>
  <c r="Q81" i="61"/>
  <c r="R81" i="61"/>
  <c r="S81" i="61"/>
  <c r="T81" i="61"/>
  <c r="U81" i="61"/>
  <c r="V81" i="61"/>
  <c r="W81" i="61"/>
  <c r="B82" i="61"/>
  <c r="C82" i="61"/>
  <c r="D82" i="61"/>
  <c r="E82" i="61"/>
  <c r="F82" i="61"/>
  <c r="G82" i="61"/>
  <c r="H82" i="61"/>
  <c r="I82" i="61"/>
  <c r="J82" i="61"/>
  <c r="K82" i="61"/>
  <c r="L82" i="61"/>
  <c r="M82" i="61"/>
  <c r="N82" i="61"/>
  <c r="O82" i="61"/>
  <c r="P82" i="61"/>
  <c r="Q82" i="61"/>
  <c r="R82" i="61"/>
  <c r="S82" i="61"/>
  <c r="T82" i="61"/>
  <c r="U82" i="61"/>
  <c r="V82" i="61"/>
  <c r="W82" i="61"/>
  <c r="B83" i="61"/>
  <c r="C83" i="61"/>
  <c r="D83" i="61"/>
  <c r="E83" i="61"/>
  <c r="F83" i="61"/>
  <c r="G83" i="61"/>
  <c r="H83" i="61"/>
  <c r="I83" i="61"/>
  <c r="J83" i="61"/>
  <c r="K83" i="61"/>
  <c r="L83" i="61"/>
  <c r="M83" i="61"/>
  <c r="N83" i="61"/>
  <c r="O83" i="61"/>
  <c r="P83" i="61"/>
  <c r="Q83" i="61"/>
  <c r="R83" i="61"/>
  <c r="S83" i="61"/>
  <c r="T83" i="61"/>
  <c r="U83" i="61"/>
  <c r="V83" i="61"/>
  <c r="W83" i="61"/>
  <c r="B84" i="61"/>
  <c r="C84" i="61"/>
  <c r="D84" i="61"/>
  <c r="E84" i="61"/>
  <c r="F84" i="61"/>
  <c r="G84" i="61"/>
  <c r="H84" i="61"/>
  <c r="I84" i="61"/>
  <c r="J84" i="61"/>
  <c r="K84" i="61"/>
  <c r="L84" i="61"/>
  <c r="M84" i="61"/>
  <c r="N84" i="61"/>
  <c r="O84" i="61"/>
  <c r="P84" i="61"/>
  <c r="Q84" i="61"/>
  <c r="R84" i="61"/>
  <c r="S84" i="61"/>
  <c r="T84" i="61"/>
  <c r="U84" i="61"/>
  <c r="V84" i="61"/>
  <c r="W84" i="61"/>
  <c r="B85" i="61"/>
  <c r="C85" i="61"/>
  <c r="D85" i="61"/>
  <c r="E85" i="61"/>
  <c r="F85" i="61"/>
  <c r="G85" i="61"/>
  <c r="H85" i="61"/>
  <c r="I85" i="61"/>
  <c r="J85" i="61"/>
  <c r="K85" i="61"/>
  <c r="L85" i="61"/>
  <c r="M85" i="61"/>
  <c r="N85" i="61"/>
  <c r="O85" i="61"/>
  <c r="P85" i="61"/>
  <c r="Q85" i="61"/>
  <c r="R85" i="61"/>
  <c r="S85" i="61"/>
  <c r="T85" i="61"/>
  <c r="U85" i="61"/>
  <c r="V85" i="61"/>
  <c r="W85" i="61"/>
  <c r="B86" i="61"/>
  <c r="C86" i="61"/>
  <c r="D86" i="61"/>
  <c r="E86" i="61"/>
  <c r="F86" i="61"/>
  <c r="G86" i="61"/>
  <c r="H86" i="61"/>
  <c r="I86" i="61"/>
  <c r="J86" i="61"/>
  <c r="K86" i="61"/>
  <c r="L86" i="61"/>
  <c r="M86" i="61"/>
  <c r="N86" i="61"/>
  <c r="O86" i="61"/>
  <c r="P86" i="61"/>
  <c r="Q86" i="61"/>
  <c r="R86" i="61"/>
  <c r="S86" i="61"/>
  <c r="T86" i="61"/>
  <c r="U86" i="61"/>
  <c r="V86" i="61"/>
  <c r="W86" i="61"/>
  <c r="B87" i="61"/>
  <c r="C87" i="61"/>
  <c r="D87" i="61"/>
  <c r="E87" i="61"/>
  <c r="F87" i="61"/>
  <c r="G87" i="61"/>
  <c r="H87" i="61"/>
  <c r="I87" i="61"/>
  <c r="J87" i="61"/>
  <c r="K87" i="61"/>
  <c r="L87" i="61"/>
  <c r="M87" i="61"/>
  <c r="N87" i="61"/>
  <c r="O87" i="61"/>
  <c r="P87" i="61"/>
  <c r="Q87" i="61"/>
  <c r="R87" i="61"/>
  <c r="S87" i="61"/>
  <c r="T87" i="61"/>
  <c r="U87" i="61"/>
  <c r="V87" i="61"/>
  <c r="W87" i="61"/>
  <c r="B88" i="61"/>
  <c r="C88" i="61"/>
  <c r="D88" i="61"/>
  <c r="E88" i="61"/>
  <c r="F88" i="61"/>
  <c r="G88" i="61"/>
  <c r="H88" i="61"/>
  <c r="I88" i="61"/>
  <c r="J88" i="61"/>
  <c r="K88" i="61"/>
  <c r="L88" i="61"/>
  <c r="M88" i="61"/>
  <c r="N88" i="61"/>
  <c r="O88" i="61"/>
  <c r="P88" i="61"/>
  <c r="Q88" i="61"/>
  <c r="R88" i="61"/>
  <c r="S88" i="61"/>
  <c r="T88" i="61"/>
  <c r="U88" i="61"/>
  <c r="V88" i="61"/>
  <c r="W88" i="61"/>
  <c r="B89" i="61"/>
  <c r="C89" i="61"/>
  <c r="D89" i="61"/>
  <c r="E89" i="61"/>
  <c r="F89" i="61"/>
  <c r="G89" i="61"/>
  <c r="H89" i="61"/>
  <c r="I89" i="61"/>
  <c r="J89" i="61"/>
  <c r="K89" i="61"/>
  <c r="L89" i="61"/>
  <c r="M89" i="61"/>
  <c r="N89" i="61"/>
  <c r="O89" i="61"/>
  <c r="P89" i="61"/>
  <c r="Q89" i="61"/>
  <c r="R89" i="61"/>
  <c r="S89" i="61"/>
  <c r="T89" i="61"/>
  <c r="U89" i="61"/>
  <c r="V89" i="61"/>
  <c r="W89" i="61"/>
  <c r="B90" i="61"/>
  <c r="C90" i="61"/>
  <c r="D90" i="61"/>
  <c r="E90" i="61"/>
  <c r="F90" i="61"/>
  <c r="G90" i="61"/>
  <c r="H90" i="61"/>
  <c r="I90" i="61"/>
  <c r="J90" i="61"/>
  <c r="K90" i="61"/>
  <c r="L90" i="61"/>
  <c r="M90" i="61"/>
  <c r="N90" i="61"/>
  <c r="O90" i="61"/>
  <c r="P90" i="61"/>
  <c r="Q90" i="61"/>
  <c r="R90" i="61"/>
  <c r="S90" i="61"/>
  <c r="T90" i="61"/>
  <c r="U90" i="61"/>
  <c r="V90" i="61"/>
  <c r="W90" i="61"/>
  <c r="B91" i="61"/>
  <c r="C91" i="61"/>
  <c r="D91" i="61"/>
  <c r="E91" i="61"/>
  <c r="F91" i="61"/>
  <c r="G91" i="61"/>
  <c r="H91" i="61"/>
  <c r="I91" i="61"/>
  <c r="J91" i="61"/>
  <c r="K91" i="61"/>
  <c r="L91" i="61"/>
  <c r="M91" i="61"/>
  <c r="N91" i="61"/>
  <c r="O91" i="61"/>
  <c r="P91" i="61"/>
  <c r="Q91" i="61"/>
  <c r="R91" i="61"/>
  <c r="S91" i="61"/>
  <c r="T91" i="61"/>
  <c r="U91" i="61"/>
  <c r="V91" i="61"/>
  <c r="W91" i="61"/>
  <c r="B92" i="61"/>
  <c r="C92" i="61"/>
  <c r="D92" i="61"/>
  <c r="E92" i="61"/>
  <c r="F92" i="61"/>
  <c r="G92" i="61"/>
  <c r="H92" i="61"/>
  <c r="I92" i="61"/>
  <c r="J92" i="61"/>
  <c r="K92" i="61"/>
  <c r="L92" i="61"/>
  <c r="M92" i="61"/>
  <c r="N92" i="61"/>
  <c r="O92" i="61"/>
  <c r="P92" i="61"/>
  <c r="Q92" i="61"/>
  <c r="R92" i="61"/>
  <c r="S92" i="61"/>
  <c r="T92" i="61"/>
  <c r="U92" i="61"/>
  <c r="V92" i="61"/>
  <c r="W92" i="61"/>
  <c r="K58" i="61"/>
  <c r="L58" i="61" s="1"/>
  <c r="B58" i="61"/>
  <c r="B59" i="61"/>
  <c r="B60" i="61"/>
  <c r="B61" i="61"/>
  <c r="B62" i="61"/>
  <c r="B63" i="61"/>
  <c r="B64" i="61"/>
  <c r="B65" i="61"/>
  <c r="B66" i="61"/>
  <c r="K49" i="61"/>
  <c r="L49" i="61" s="1"/>
  <c r="B49" i="61"/>
  <c r="B50" i="61"/>
  <c r="B51" i="61"/>
  <c r="B52" i="61"/>
  <c r="B53" i="61"/>
  <c r="B54" i="61"/>
  <c r="B55" i="61"/>
  <c r="B56" i="61"/>
  <c r="B57" i="61"/>
  <c r="K40" i="61"/>
  <c r="L40" i="61" s="1"/>
  <c r="B40" i="61"/>
  <c r="B41" i="61"/>
  <c r="B42" i="61"/>
  <c r="B43" i="61"/>
  <c r="B44" i="61"/>
  <c r="B45" i="61"/>
  <c r="B46" i="61"/>
  <c r="B47" i="61"/>
  <c r="B48" i="61"/>
  <c r="K31" i="61"/>
  <c r="L31" i="61" s="1"/>
  <c r="B31" i="61"/>
  <c r="B32" i="61"/>
  <c r="B33" i="61"/>
  <c r="B34" i="61"/>
  <c r="B35" i="61"/>
  <c r="B36" i="61"/>
  <c r="B37" i="61"/>
  <c r="B38" i="61"/>
  <c r="B39" i="61"/>
  <c r="K22" i="61"/>
  <c r="L22" i="61" s="1"/>
  <c r="B22" i="61"/>
  <c r="B23" i="61"/>
  <c r="B24" i="61"/>
  <c r="B25" i="61"/>
  <c r="B26" i="61"/>
  <c r="B27" i="61"/>
  <c r="B28" i="61"/>
  <c r="B29" i="61"/>
  <c r="B30" i="61"/>
  <c r="K13" i="61"/>
  <c r="L13" i="61" s="1"/>
  <c r="B13" i="61"/>
  <c r="B14" i="61"/>
  <c r="B15" i="61"/>
  <c r="B16" i="61"/>
  <c r="B17" i="61"/>
  <c r="B18" i="61"/>
  <c r="B19" i="61"/>
  <c r="B20" i="61"/>
  <c r="B21" i="61"/>
  <c r="K4" i="61"/>
  <c r="B4" i="61"/>
  <c r="B5" i="61"/>
  <c r="B6" i="61"/>
  <c r="B7" i="61"/>
  <c r="B8" i="61"/>
  <c r="B9" i="61"/>
  <c r="B10" i="61"/>
  <c r="B11" i="61"/>
  <c r="B12" i="61"/>
  <c r="J8" i="15"/>
  <c r="K8" i="15" s="1"/>
  <c r="B85" i="60"/>
  <c r="C85" i="60"/>
  <c r="D85" i="60"/>
  <c r="E85" i="60"/>
  <c r="F85" i="60"/>
  <c r="G85" i="60"/>
  <c r="H85" i="60"/>
  <c r="I85" i="60"/>
  <c r="J85" i="60"/>
  <c r="K85" i="60"/>
  <c r="L85" i="60"/>
  <c r="M85" i="60"/>
  <c r="B86" i="60"/>
  <c r="C86" i="60"/>
  <c r="D86" i="60"/>
  <c r="E86" i="60"/>
  <c r="F86" i="60"/>
  <c r="G86" i="60"/>
  <c r="H86" i="60"/>
  <c r="I86" i="60"/>
  <c r="J86" i="60"/>
  <c r="K86" i="60"/>
  <c r="L86" i="60"/>
  <c r="M86" i="60"/>
  <c r="B87" i="60"/>
  <c r="C87" i="60"/>
  <c r="D87" i="60"/>
  <c r="E87" i="60"/>
  <c r="F87" i="60"/>
  <c r="G87" i="60"/>
  <c r="H87" i="60"/>
  <c r="I87" i="60"/>
  <c r="J87" i="60"/>
  <c r="K87" i="60"/>
  <c r="L87" i="60"/>
  <c r="M87" i="60"/>
  <c r="B88" i="60"/>
  <c r="C88" i="60"/>
  <c r="D88" i="60"/>
  <c r="E88" i="60"/>
  <c r="F88" i="60"/>
  <c r="G88" i="60"/>
  <c r="H88" i="60"/>
  <c r="I88" i="60"/>
  <c r="J88" i="60"/>
  <c r="K88" i="60"/>
  <c r="L88" i="60"/>
  <c r="M88" i="60"/>
  <c r="B89" i="60"/>
  <c r="C89" i="60"/>
  <c r="D89" i="60"/>
  <c r="E89" i="60"/>
  <c r="F89" i="60"/>
  <c r="G89" i="60"/>
  <c r="H89" i="60"/>
  <c r="I89" i="60"/>
  <c r="J89" i="60"/>
  <c r="K89" i="60"/>
  <c r="L89" i="60"/>
  <c r="M89" i="60"/>
  <c r="B90" i="60"/>
  <c r="C90" i="60"/>
  <c r="D90" i="60"/>
  <c r="E90" i="60"/>
  <c r="F90" i="60"/>
  <c r="G90" i="60"/>
  <c r="H90" i="60"/>
  <c r="I90" i="60"/>
  <c r="J90" i="60"/>
  <c r="K90" i="60"/>
  <c r="L90" i="60"/>
  <c r="M90" i="60"/>
  <c r="B91" i="60"/>
  <c r="C91" i="60"/>
  <c r="D91" i="60"/>
  <c r="E91" i="60"/>
  <c r="F91" i="60"/>
  <c r="G91" i="60"/>
  <c r="H91" i="60"/>
  <c r="I91" i="60"/>
  <c r="J91" i="60"/>
  <c r="K91" i="60"/>
  <c r="L91" i="60"/>
  <c r="M91" i="60"/>
  <c r="B92" i="60"/>
  <c r="C92" i="60"/>
  <c r="D92" i="60"/>
  <c r="E92" i="60"/>
  <c r="F92" i="60"/>
  <c r="G92" i="60"/>
  <c r="H92" i="60"/>
  <c r="I92" i="60"/>
  <c r="J92" i="60"/>
  <c r="K92" i="60"/>
  <c r="L92" i="60"/>
  <c r="M92" i="60"/>
  <c r="B93" i="60"/>
  <c r="C93" i="60"/>
  <c r="D93" i="60"/>
  <c r="E93" i="60"/>
  <c r="F93" i="60"/>
  <c r="G93" i="60"/>
  <c r="H93" i="60"/>
  <c r="I93" i="60"/>
  <c r="J93" i="60"/>
  <c r="K93" i="60"/>
  <c r="L93" i="60"/>
  <c r="M93" i="60"/>
  <c r="B94" i="60"/>
  <c r="C94" i="60"/>
  <c r="D94" i="60"/>
  <c r="E94" i="60"/>
  <c r="F94" i="60"/>
  <c r="G94" i="60"/>
  <c r="H94" i="60"/>
  <c r="I94" i="60"/>
  <c r="J94" i="60"/>
  <c r="K94" i="60"/>
  <c r="L94" i="60"/>
  <c r="M94" i="60"/>
  <c r="B95" i="60"/>
  <c r="C95" i="60"/>
  <c r="D95" i="60"/>
  <c r="E95" i="60"/>
  <c r="F95" i="60"/>
  <c r="G95" i="60"/>
  <c r="H95" i="60"/>
  <c r="I95" i="60"/>
  <c r="J95" i="60"/>
  <c r="K95" i="60"/>
  <c r="L95" i="60"/>
  <c r="M95" i="60"/>
  <c r="B96" i="60"/>
  <c r="C96" i="60"/>
  <c r="D96" i="60"/>
  <c r="E96" i="60"/>
  <c r="F96" i="60"/>
  <c r="G96" i="60"/>
  <c r="H96" i="60"/>
  <c r="I96" i="60"/>
  <c r="J96" i="60"/>
  <c r="K96" i="60"/>
  <c r="L96" i="60"/>
  <c r="M96" i="60"/>
  <c r="F70" i="60"/>
  <c r="G70" i="60" s="1"/>
  <c r="B70" i="60"/>
  <c r="B71" i="60"/>
  <c r="B72" i="60"/>
  <c r="B73" i="60"/>
  <c r="B74" i="60"/>
  <c r="B75" i="60"/>
  <c r="B76" i="60"/>
  <c r="B77" i="60"/>
  <c r="B78" i="60"/>
  <c r="B79" i="60"/>
  <c r="B80" i="60"/>
  <c r="F59" i="60"/>
  <c r="G59" i="60" s="1"/>
  <c r="B59" i="60"/>
  <c r="B60" i="60"/>
  <c r="B61" i="60"/>
  <c r="B62" i="60"/>
  <c r="B63" i="60"/>
  <c r="B64" i="60"/>
  <c r="B65" i="60"/>
  <c r="B66" i="60"/>
  <c r="B67" i="60"/>
  <c r="B68" i="60"/>
  <c r="B69" i="60"/>
  <c r="F48" i="60"/>
  <c r="G48" i="60" s="1"/>
  <c r="B48" i="60"/>
  <c r="B49" i="60"/>
  <c r="B50" i="60"/>
  <c r="B51" i="60"/>
  <c r="B52" i="60"/>
  <c r="B53" i="60"/>
  <c r="B54" i="60"/>
  <c r="B55" i="60"/>
  <c r="B56" i="60"/>
  <c r="B57" i="60"/>
  <c r="B58" i="60"/>
  <c r="F37" i="60"/>
  <c r="G37" i="60" s="1"/>
  <c r="B37" i="60"/>
  <c r="B38" i="60"/>
  <c r="B39" i="60"/>
  <c r="B40" i="60"/>
  <c r="B41" i="60"/>
  <c r="B42" i="60"/>
  <c r="B43" i="60"/>
  <c r="B44" i="60"/>
  <c r="B45" i="60"/>
  <c r="B46" i="60"/>
  <c r="B47" i="60"/>
  <c r="F26" i="60"/>
  <c r="G26" i="60" s="1"/>
  <c r="B26" i="60"/>
  <c r="B27" i="60"/>
  <c r="B28" i="60"/>
  <c r="B29" i="60"/>
  <c r="B30" i="60"/>
  <c r="B31" i="60"/>
  <c r="B32" i="60"/>
  <c r="B33" i="60"/>
  <c r="B34" i="60"/>
  <c r="B35" i="60"/>
  <c r="B36" i="60"/>
  <c r="F15" i="60"/>
  <c r="G15" i="60" s="1"/>
  <c r="B15" i="60"/>
  <c r="B16" i="60"/>
  <c r="B17" i="60"/>
  <c r="B18" i="60"/>
  <c r="B19" i="60"/>
  <c r="B20" i="60"/>
  <c r="B21" i="60"/>
  <c r="B22" i="60"/>
  <c r="B23" i="60"/>
  <c r="B24" i="60"/>
  <c r="B25" i="60"/>
  <c r="F4" i="60"/>
  <c r="G4" i="60" s="1"/>
  <c r="B4" i="60"/>
  <c r="B5" i="60"/>
  <c r="B6" i="60"/>
  <c r="B7" i="60"/>
  <c r="B8" i="60"/>
  <c r="B9" i="60"/>
  <c r="B10" i="60"/>
  <c r="B11" i="60"/>
  <c r="B12" i="60"/>
  <c r="B13" i="60"/>
  <c r="B14" i="60"/>
  <c r="J11" i="15"/>
  <c r="K11" i="15" s="1"/>
  <c r="B85" i="58"/>
  <c r="C85" i="58"/>
  <c r="D85" i="58"/>
  <c r="E85" i="58"/>
  <c r="F85" i="58"/>
  <c r="G85" i="58"/>
  <c r="H85" i="58"/>
  <c r="I85" i="58"/>
  <c r="J85" i="58"/>
  <c r="K85" i="58"/>
  <c r="L85" i="58"/>
  <c r="M85" i="58"/>
  <c r="N85" i="58"/>
  <c r="O85" i="58"/>
  <c r="P85" i="58"/>
  <c r="Q85" i="58"/>
  <c r="R85" i="58"/>
  <c r="S85" i="58"/>
  <c r="B86" i="58"/>
  <c r="C86" i="58"/>
  <c r="D86" i="58"/>
  <c r="E86" i="58"/>
  <c r="F86" i="58"/>
  <c r="G86" i="58"/>
  <c r="H86" i="58"/>
  <c r="I86" i="58"/>
  <c r="J86" i="58"/>
  <c r="K86" i="58"/>
  <c r="L86" i="58"/>
  <c r="M86" i="58"/>
  <c r="N86" i="58"/>
  <c r="O86" i="58"/>
  <c r="P86" i="58"/>
  <c r="Q86" i="58"/>
  <c r="R86" i="58"/>
  <c r="S86" i="58"/>
  <c r="B87" i="58"/>
  <c r="C87" i="58"/>
  <c r="D87" i="58"/>
  <c r="E87" i="58"/>
  <c r="F87" i="58"/>
  <c r="G87" i="58"/>
  <c r="H87" i="58"/>
  <c r="I87" i="58"/>
  <c r="J87" i="58"/>
  <c r="K87" i="58"/>
  <c r="L87" i="58"/>
  <c r="M87" i="58"/>
  <c r="N87" i="58"/>
  <c r="O87" i="58"/>
  <c r="P87" i="58"/>
  <c r="Q87" i="58"/>
  <c r="R87" i="58"/>
  <c r="S87" i="58"/>
  <c r="B88" i="58"/>
  <c r="C88" i="58"/>
  <c r="D88" i="58"/>
  <c r="E88" i="58"/>
  <c r="F88" i="58"/>
  <c r="G88" i="58"/>
  <c r="H88" i="58"/>
  <c r="I88" i="58"/>
  <c r="J88" i="58"/>
  <c r="K88" i="58"/>
  <c r="L88" i="58"/>
  <c r="M88" i="58"/>
  <c r="N88" i="58"/>
  <c r="O88" i="58"/>
  <c r="P88" i="58"/>
  <c r="Q88" i="58"/>
  <c r="R88" i="58"/>
  <c r="S88" i="58"/>
  <c r="B89" i="58"/>
  <c r="C89" i="58"/>
  <c r="D89" i="58"/>
  <c r="E89" i="58"/>
  <c r="F89" i="58"/>
  <c r="G89" i="58"/>
  <c r="H89" i="58"/>
  <c r="I89" i="58"/>
  <c r="J89" i="58"/>
  <c r="K89" i="58"/>
  <c r="L89" i="58"/>
  <c r="M89" i="58"/>
  <c r="N89" i="58"/>
  <c r="O89" i="58"/>
  <c r="P89" i="58"/>
  <c r="Q89" i="58"/>
  <c r="R89" i="58"/>
  <c r="S89" i="58"/>
  <c r="B90" i="58"/>
  <c r="C90" i="58"/>
  <c r="D90" i="58"/>
  <c r="E90" i="58"/>
  <c r="F90" i="58"/>
  <c r="G90" i="58"/>
  <c r="H90" i="58"/>
  <c r="I90" i="58"/>
  <c r="J90" i="58"/>
  <c r="K90" i="58"/>
  <c r="L90" i="58"/>
  <c r="M90" i="58"/>
  <c r="N90" i="58"/>
  <c r="O90" i="58"/>
  <c r="P90" i="58"/>
  <c r="Q90" i="58"/>
  <c r="R90" i="58"/>
  <c r="S90" i="58"/>
  <c r="B91" i="58"/>
  <c r="C91" i="58"/>
  <c r="D91" i="58"/>
  <c r="E91" i="58"/>
  <c r="F91" i="58"/>
  <c r="G91" i="58"/>
  <c r="H91" i="58"/>
  <c r="I91" i="58"/>
  <c r="J91" i="58"/>
  <c r="K91" i="58"/>
  <c r="L91" i="58"/>
  <c r="M91" i="58"/>
  <c r="N91" i="58"/>
  <c r="O91" i="58"/>
  <c r="P91" i="58"/>
  <c r="Q91" i="58"/>
  <c r="R91" i="58"/>
  <c r="S91" i="58"/>
  <c r="B92" i="58"/>
  <c r="C92" i="58"/>
  <c r="D92" i="58"/>
  <c r="E92" i="58"/>
  <c r="F92" i="58"/>
  <c r="G92" i="58"/>
  <c r="H92" i="58"/>
  <c r="I92" i="58"/>
  <c r="J92" i="58"/>
  <c r="K92" i="58"/>
  <c r="L92" i="58"/>
  <c r="M92" i="58"/>
  <c r="N92" i="58"/>
  <c r="O92" i="58"/>
  <c r="P92" i="58"/>
  <c r="Q92" i="58"/>
  <c r="R92" i="58"/>
  <c r="S92" i="58"/>
  <c r="B93" i="58"/>
  <c r="C93" i="58"/>
  <c r="D93" i="58"/>
  <c r="E93" i="58"/>
  <c r="F93" i="58"/>
  <c r="G93" i="58"/>
  <c r="H93" i="58"/>
  <c r="I93" i="58"/>
  <c r="J93" i="58"/>
  <c r="K93" i="58"/>
  <c r="L93" i="58"/>
  <c r="M93" i="58"/>
  <c r="N93" i="58"/>
  <c r="O93" i="58"/>
  <c r="P93" i="58"/>
  <c r="Q93" i="58"/>
  <c r="R93" i="58"/>
  <c r="S93" i="58"/>
  <c r="B94" i="58"/>
  <c r="C94" i="58"/>
  <c r="D94" i="58"/>
  <c r="E94" i="58"/>
  <c r="F94" i="58"/>
  <c r="G94" i="58"/>
  <c r="H94" i="58"/>
  <c r="I94" i="58"/>
  <c r="J94" i="58"/>
  <c r="K94" i="58"/>
  <c r="L94" i="58"/>
  <c r="M94" i="58"/>
  <c r="N94" i="58"/>
  <c r="O94" i="58"/>
  <c r="P94" i="58"/>
  <c r="Q94" i="58"/>
  <c r="R94" i="58"/>
  <c r="S94" i="58"/>
  <c r="B95" i="58"/>
  <c r="C95" i="58"/>
  <c r="D95" i="58"/>
  <c r="E95" i="58"/>
  <c r="F95" i="58"/>
  <c r="G95" i="58"/>
  <c r="H95" i="58"/>
  <c r="I95" i="58"/>
  <c r="J95" i="58"/>
  <c r="K95" i="58"/>
  <c r="L95" i="58"/>
  <c r="M95" i="58"/>
  <c r="N95" i="58"/>
  <c r="O95" i="58"/>
  <c r="P95" i="58"/>
  <c r="Q95" i="58"/>
  <c r="R95" i="58"/>
  <c r="S95" i="58"/>
  <c r="B96" i="58"/>
  <c r="C96" i="58"/>
  <c r="D96" i="58"/>
  <c r="E96" i="58"/>
  <c r="F96" i="58"/>
  <c r="G96" i="58"/>
  <c r="H96" i="58"/>
  <c r="I96" i="58"/>
  <c r="J96" i="58"/>
  <c r="K96" i="58"/>
  <c r="L96" i="58"/>
  <c r="M96" i="58"/>
  <c r="N96" i="58"/>
  <c r="O96" i="58"/>
  <c r="P96" i="58"/>
  <c r="Q96" i="58"/>
  <c r="R96" i="58"/>
  <c r="S96" i="58"/>
  <c r="B97" i="58"/>
  <c r="C97" i="58"/>
  <c r="D97" i="58"/>
  <c r="E97" i="58"/>
  <c r="F97" i="58"/>
  <c r="G97" i="58"/>
  <c r="H97" i="58"/>
  <c r="I97" i="58"/>
  <c r="J97" i="58"/>
  <c r="K97" i="58"/>
  <c r="L97" i="58"/>
  <c r="M97" i="58"/>
  <c r="N97" i="58"/>
  <c r="O97" i="58"/>
  <c r="P97" i="58"/>
  <c r="Q97" i="58"/>
  <c r="R97" i="58"/>
  <c r="S97" i="58"/>
  <c r="B98" i="58"/>
  <c r="C98" i="58"/>
  <c r="D98" i="58"/>
  <c r="E98" i="58"/>
  <c r="F98" i="58"/>
  <c r="G98" i="58"/>
  <c r="H98" i="58"/>
  <c r="I98" i="58"/>
  <c r="J98" i="58"/>
  <c r="K98" i="58"/>
  <c r="L98" i="58"/>
  <c r="M98" i="58"/>
  <c r="N98" i="58"/>
  <c r="O98" i="58"/>
  <c r="P98" i="58"/>
  <c r="Q98" i="58"/>
  <c r="R98" i="58"/>
  <c r="S98" i="58"/>
  <c r="B99" i="58"/>
  <c r="C99" i="58"/>
  <c r="D99" i="58"/>
  <c r="E99" i="58"/>
  <c r="F99" i="58"/>
  <c r="G99" i="58"/>
  <c r="H99" i="58"/>
  <c r="I99" i="58"/>
  <c r="J99" i="58"/>
  <c r="K99" i="58"/>
  <c r="L99" i="58"/>
  <c r="M99" i="58"/>
  <c r="N99" i="58"/>
  <c r="O99" i="58"/>
  <c r="P99" i="58"/>
  <c r="Q99" i="58"/>
  <c r="R99" i="58"/>
  <c r="S99" i="58"/>
  <c r="B100" i="58"/>
  <c r="C100" i="58"/>
  <c r="D100" i="58"/>
  <c r="E100" i="58"/>
  <c r="F100" i="58"/>
  <c r="G100" i="58"/>
  <c r="H100" i="58"/>
  <c r="I100" i="58"/>
  <c r="J100" i="58"/>
  <c r="K100" i="58"/>
  <c r="L100" i="58"/>
  <c r="M100" i="58"/>
  <c r="N100" i="58"/>
  <c r="O100" i="58"/>
  <c r="P100" i="58"/>
  <c r="Q100" i="58"/>
  <c r="R100" i="58"/>
  <c r="S100" i="58"/>
  <c r="B101" i="58"/>
  <c r="C101" i="58"/>
  <c r="D101" i="58"/>
  <c r="E101" i="58"/>
  <c r="F101" i="58"/>
  <c r="G101" i="58"/>
  <c r="H101" i="58"/>
  <c r="I101" i="58"/>
  <c r="J101" i="58"/>
  <c r="K101" i="58"/>
  <c r="L101" i="58"/>
  <c r="M101" i="58"/>
  <c r="N101" i="58"/>
  <c r="O101" i="58"/>
  <c r="P101" i="58"/>
  <c r="Q101" i="58"/>
  <c r="R101" i="58"/>
  <c r="S101" i="58"/>
  <c r="B102" i="58"/>
  <c r="C102" i="58"/>
  <c r="D102" i="58"/>
  <c r="E102" i="58"/>
  <c r="F102" i="58"/>
  <c r="G102" i="58"/>
  <c r="H102" i="58"/>
  <c r="I102" i="58"/>
  <c r="J102" i="58"/>
  <c r="K102" i="58"/>
  <c r="L102" i="58"/>
  <c r="M102" i="58"/>
  <c r="N102" i="58"/>
  <c r="O102" i="58"/>
  <c r="P102" i="58"/>
  <c r="Q102" i="58"/>
  <c r="R102" i="58"/>
  <c r="S102" i="58"/>
  <c r="G70" i="58"/>
  <c r="H70" i="58" s="1"/>
  <c r="B70" i="58"/>
  <c r="B71" i="58"/>
  <c r="B72" i="58"/>
  <c r="B73" i="58"/>
  <c r="B74" i="58"/>
  <c r="B75" i="58"/>
  <c r="B76" i="58"/>
  <c r="B77" i="58"/>
  <c r="B78" i="58"/>
  <c r="B79" i="58"/>
  <c r="B80" i="58"/>
  <c r="G59" i="58"/>
  <c r="H59" i="58" s="1"/>
  <c r="B59" i="58"/>
  <c r="B60" i="58"/>
  <c r="B61" i="58"/>
  <c r="B62" i="58"/>
  <c r="B63" i="58"/>
  <c r="B64" i="58"/>
  <c r="B65" i="58"/>
  <c r="B66" i="58"/>
  <c r="B67" i="58"/>
  <c r="B68" i="58"/>
  <c r="B69" i="58"/>
  <c r="G48" i="58"/>
  <c r="H48" i="58" s="1"/>
  <c r="B48" i="58"/>
  <c r="B49" i="58"/>
  <c r="B50" i="58"/>
  <c r="B51" i="58"/>
  <c r="B52" i="58"/>
  <c r="B53" i="58"/>
  <c r="B54" i="58"/>
  <c r="B55" i="58"/>
  <c r="B56" i="58"/>
  <c r="B57" i="58"/>
  <c r="B58" i="58"/>
  <c r="G37" i="58"/>
  <c r="H37" i="58" s="1"/>
  <c r="B37" i="58"/>
  <c r="B38" i="58"/>
  <c r="B39" i="58"/>
  <c r="B40" i="58"/>
  <c r="B41" i="58"/>
  <c r="B42" i="58"/>
  <c r="B43" i="58"/>
  <c r="B44" i="58"/>
  <c r="B45" i="58"/>
  <c r="B46" i="58"/>
  <c r="B47" i="58"/>
  <c r="G26" i="58"/>
  <c r="H26" i="58" s="1"/>
  <c r="B26" i="58"/>
  <c r="B27" i="58"/>
  <c r="B28" i="58"/>
  <c r="B29" i="58"/>
  <c r="B30" i="58"/>
  <c r="B31" i="58"/>
  <c r="B32" i="58"/>
  <c r="B33" i="58"/>
  <c r="B34" i="58"/>
  <c r="B35" i="58"/>
  <c r="B36" i="58"/>
  <c r="G15" i="58"/>
  <c r="H15" i="58" s="1"/>
  <c r="B15" i="58"/>
  <c r="B16" i="58"/>
  <c r="B17" i="58"/>
  <c r="B18" i="58"/>
  <c r="B19" i="58"/>
  <c r="B20" i="58"/>
  <c r="B21" i="58"/>
  <c r="B22" i="58"/>
  <c r="B23" i="58"/>
  <c r="B24" i="58"/>
  <c r="B25" i="58"/>
  <c r="G4" i="58"/>
  <c r="B4" i="58"/>
  <c r="B5" i="58"/>
  <c r="B6" i="58"/>
  <c r="B7" i="58"/>
  <c r="B8" i="58"/>
  <c r="B9" i="58"/>
  <c r="B10" i="58"/>
  <c r="B11" i="58"/>
  <c r="B12" i="58"/>
  <c r="B13" i="58"/>
  <c r="B14" i="58"/>
  <c r="G13" i="15"/>
  <c r="G12" i="15"/>
  <c r="G11" i="15"/>
  <c r="G9" i="15"/>
  <c r="G8" i="15"/>
  <c r="G7" i="15"/>
  <c r="G5" i="15"/>
  <c r="I57" i="6"/>
  <c r="I58" i="6"/>
  <c r="I59" i="6"/>
  <c r="I60" i="6"/>
  <c r="I61" i="6"/>
  <c r="I62" i="6"/>
  <c r="I63" i="6"/>
  <c r="I64" i="6"/>
  <c r="B57" i="6"/>
  <c r="C57" i="6"/>
  <c r="D57" i="6"/>
  <c r="E57" i="6"/>
  <c r="F57" i="6"/>
  <c r="G57" i="6"/>
  <c r="H57" i="6"/>
  <c r="B58" i="6"/>
  <c r="C58" i="6"/>
  <c r="D58" i="6"/>
  <c r="E58" i="6"/>
  <c r="F58" i="6"/>
  <c r="G58" i="6"/>
  <c r="H58" i="6"/>
  <c r="B59" i="6"/>
  <c r="C59" i="6"/>
  <c r="D59" i="6"/>
  <c r="E59" i="6"/>
  <c r="F59" i="6"/>
  <c r="G59" i="6"/>
  <c r="H59" i="6"/>
  <c r="B60" i="6"/>
  <c r="C60" i="6"/>
  <c r="D60" i="6"/>
  <c r="E60" i="6"/>
  <c r="F60" i="6"/>
  <c r="G60" i="6"/>
  <c r="H60" i="6"/>
  <c r="B61" i="6"/>
  <c r="C61" i="6"/>
  <c r="D61" i="6"/>
  <c r="E61" i="6"/>
  <c r="F61" i="6"/>
  <c r="G61" i="6"/>
  <c r="H61" i="6"/>
  <c r="B62" i="6"/>
  <c r="C62" i="6"/>
  <c r="D62" i="6"/>
  <c r="E62" i="6"/>
  <c r="F62" i="6"/>
  <c r="G62" i="6"/>
  <c r="H62" i="6"/>
  <c r="B63" i="6"/>
  <c r="C63" i="6"/>
  <c r="D63" i="6"/>
  <c r="E63" i="6"/>
  <c r="F63" i="6"/>
  <c r="G63" i="6"/>
  <c r="H63" i="6"/>
  <c r="B64" i="6"/>
  <c r="C64" i="6"/>
  <c r="D64" i="6"/>
  <c r="E64" i="6"/>
  <c r="F64" i="6"/>
  <c r="G64" i="6"/>
  <c r="H64" i="6"/>
  <c r="B57" i="2"/>
  <c r="C57" i="2"/>
  <c r="D57" i="2"/>
  <c r="E57" i="2"/>
  <c r="F57" i="2"/>
  <c r="G57" i="2"/>
  <c r="B58" i="2"/>
  <c r="C58" i="2"/>
  <c r="D58" i="2"/>
  <c r="E58" i="2"/>
  <c r="F58" i="2"/>
  <c r="G58" i="2"/>
  <c r="B59" i="2"/>
  <c r="C59" i="2"/>
  <c r="D59" i="2"/>
  <c r="E59" i="2"/>
  <c r="F59" i="2"/>
  <c r="G59" i="2"/>
  <c r="B60" i="2"/>
  <c r="C60" i="2"/>
  <c r="D60" i="2"/>
  <c r="E60" i="2"/>
  <c r="F60" i="2"/>
  <c r="G60" i="2"/>
  <c r="B61" i="2"/>
  <c r="C61" i="2"/>
  <c r="D61" i="2"/>
  <c r="E61" i="2"/>
  <c r="F61" i="2"/>
  <c r="G61" i="2"/>
  <c r="B62" i="2"/>
  <c r="C62" i="2"/>
  <c r="D62" i="2"/>
  <c r="E62" i="2"/>
  <c r="F62" i="2"/>
  <c r="G62" i="2"/>
  <c r="J6" i="15"/>
  <c r="K6" i="15" s="1"/>
  <c r="G6" i="15"/>
  <c r="J4" i="15"/>
  <c r="K4" i="15" s="1"/>
  <c r="G4" i="15"/>
  <c r="B97" i="62" l="1"/>
  <c r="B98" i="62"/>
  <c r="B89" i="69"/>
  <c r="B103" i="72"/>
  <c r="B101" i="72"/>
  <c r="B102" i="72"/>
  <c r="B88" i="69"/>
  <c r="E5" i="15"/>
  <c r="B104" i="58"/>
  <c r="I7" i="15"/>
  <c r="H7" i="15" s="1"/>
  <c r="I13" i="15"/>
  <c r="H13" i="15" s="1"/>
  <c r="B81" i="68"/>
  <c r="E11" i="15"/>
  <c r="B98" i="60"/>
  <c r="I5" i="15"/>
  <c r="H5" i="15" s="1"/>
  <c r="H4" i="58"/>
  <c r="I10" i="15"/>
  <c r="H10" i="15" s="1"/>
  <c r="B79" i="67"/>
  <c r="B78" i="67"/>
  <c r="B93" i="61"/>
  <c r="B97" i="60"/>
  <c r="E8" i="15"/>
  <c r="I12" i="15"/>
  <c r="H12" i="15" s="1"/>
  <c r="E12" i="15"/>
  <c r="J14" i="62"/>
  <c r="I14" i="15"/>
  <c r="H14" i="15" s="1"/>
  <c r="I11" i="15"/>
  <c r="H11" i="15" s="1"/>
  <c r="B103" i="58"/>
  <c r="B94" i="61"/>
  <c r="B66" i="6"/>
  <c r="I8" i="15"/>
  <c r="H8" i="15" s="1"/>
  <c r="L4" i="61"/>
  <c r="E13" i="15"/>
  <c r="I9" i="15"/>
  <c r="H9" i="15" s="1"/>
  <c r="E7" i="15"/>
  <c r="E10" i="15"/>
  <c r="F10" i="15" s="1"/>
  <c r="G25" i="15" s="1"/>
  <c r="H25" i="15" s="1"/>
  <c r="P4" i="72"/>
  <c r="E14" i="15"/>
  <c r="F14" i="15" s="1"/>
  <c r="G29" i="15" s="1"/>
  <c r="H29" i="15" s="1"/>
  <c r="B80" i="68"/>
  <c r="B84" i="71"/>
  <c r="B85" i="71"/>
  <c r="E9" i="15"/>
  <c r="B65" i="6"/>
  <c r="B64" i="2"/>
  <c r="B63" i="2"/>
  <c r="D10" i="15" l="1"/>
  <c r="D5" i="15"/>
  <c r="D12" i="15"/>
  <c r="D9" i="15"/>
  <c r="D14" i="15"/>
  <c r="D13" i="15"/>
  <c r="D4" i="15"/>
  <c r="D8" i="15"/>
  <c r="D6" i="15"/>
  <c r="D7" i="15"/>
  <c r="D11" i="15"/>
  <c r="F13" i="15"/>
  <c r="G28" i="15" s="1"/>
  <c r="H28" i="15" s="1"/>
  <c r="F12" i="15"/>
  <c r="G27" i="15" s="1"/>
  <c r="H27" i="15" s="1"/>
  <c r="F8" i="15"/>
  <c r="G23" i="15" s="1"/>
  <c r="H23" i="15" s="1"/>
  <c r="F9" i="15" l="1"/>
  <c r="G24" i="15" s="1"/>
  <c r="H24" i="15" s="1"/>
  <c r="F7" i="15"/>
  <c r="G22" i="15" s="1"/>
  <c r="H22" i="15" s="1"/>
  <c r="F5" i="15"/>
  <c r="G20" i="15" s="1"/>
  <c r="H20" i="15" s="1"/>
  <c r="F11" i="15" l="1"/>
  <c r="G26" i="15" s="1"/>
  <c r="H26" i="15" s="1"/>
  <c r="B52" i="6" l="1"/>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I4" i="15" l="1"/>
  <c r="H4" i="15" s="1"/>
  <c r="I6" i="15"/>
  <c r="H6" i="15" s="1"/>
  <c r="G4" i="6"/>
  <c r="G11" i="6"/>
  <c r="H11" i="6" s="1"/>
  <c r="G18" i="6"/>
  <c r="H18" i="6" s="1"/>
  <c r="G25" i="6"/>
  <c r="H25" i="6" s="1"/>
  <c r="G32" i="6"/>
  <c r="H32" i="6" s="1"/>
  <c r="G39" i="6"/>
  <c r="H39" i="6" s="1"/>
  <c r="G46" i="6"/>
  <c r="H46" i="6" s="1"/>
  <c r="F4" i="2"/>
  <c r="F11" i="2"/>
  <c r="G11" i="2" s="1"/>
  <c r="F18" i="2"/>
  <c r="G18" i="2" s="1"/>
  <c r="F25" i="2"/>
  <c r="G25" i="2" s="1"/>
  <c r="F32" i="2"/>
  <c r="G32" i="2" s="1"/>
  <c r="F39" i="2"/>
  <c r="G39" i="2" s="1"/>
  <c r="F46" i="2"/>
  <c r="G46" i="2" s="1"/>
  <c r="E4" i="15" l="1"/>
  <c r="F4" i="15" s="1"/>
  <c r="G19" i="15" s="1"/>
  <c r="H19" i="15" s="1"/>
  <c r="G4" i="2"/>
  <c r="E6" i="15"/>
  <c r="F6" i="15" s="1"/>
  <c r="G21" i="15" s="1"/>
  <c r="H21" i="15" s="1"/>
  <c r="H4" i="6"/>
</calcChain>
</file>

<file path=xl/sharedStrings.xml><?xml version="1.0" encoding="utf-8"?>
<sst xmlns="http://schemas.openxmlformats.org/spreadsheetml/2006/main" count="2601" uniqueCount="363">
  <si>
    <t>اليوم</t>
  </si>
  <si>
    <t>الوقت</t>
  </si>
  <si>
    <t>ملعب 1</t>
  </si>
  <si>
    <t>ملعب 2</t>
  </si>
  <si>
    <t>ملعب 3</t>
  </si>
  <si>
    <t>اليوم 1</t>
  </si>
  <si>
    <t>اليوم 2</t>
  </si>
  <si>
    <t>اليوم 3</t>
  </si>
  <si>
    <t>اليوم 4</t>
  </si>
  <si>
    <t>اليوم 5</t>
  </si>
  <si>
    <t>اليوم 6</t>
  </si>
  <si>
    <t>اليوم 7</t>
  </si>
  <si>
    <t>ملعب 4</t>
  </si>
  <si>
    <t>عدد الفرق</t>
  </si>
  <si>
    <t>البند</t>
  </si>
  <si>
    <t>القيمة</t>
  </si>
  <si>
    <t>وقت بداية اليوم</t>
  </si>
  <si>
    <t>وقت البداية</t>
  </si>
  <si>
    <t>وقت النهاية</t>
  </si>
  <si>
    <t>مدة اليوم</t>
  </si>
  <si>
    <t>1 ضد 3</t>
  </si>
  <si>
    <t>11 ضد 12</t>
  </si>
  <si>
    <t>2 ضد 8</t>
  </si>
  <si>
    <t>6 ضد 9</t>
  </si>
  <si>
    <t>4 ضد 10</t>
  </si>
  <si>
    <t>5 ضد 7</t>
  </si>
  <si>
    <t>2 ضد 12</t>
  </si>
  <si>
    <t>3 ضد 9</t>
  </si>
  <si>
    <t>1 ضد 11</t>
  </si>
  <si>
    <t>8 ضد 10</t>
  </si>
  <si>
    <t>4 ضد 6</t>
  </si>
  <si>
    <t>9 ضد 12</t>
  </si>
  <si>
    <t>1 ضد 2</t>
  </si>
  <si>
    <t>10 ضد 11</t>
  </si>
  <si>
    <t>5 ضد 8</t>
  </si>
  <si>
    <t>6 ضد 7</t>
  </si>
  <si>
    <t>4 ضد 9</t>
  </si>
  <si>
    <t>3 ضد 12</t>
  </si>
  <si>
    <t>7 ضد 12</t>
  </si>
  <si>
    <t>5 ضد 11</t>
  </si>
  <si>
    <t>2 ضد 3</t>
  </si>
  <si>
    <t>1 ضد 6</t>
  </si>
  <si>
    <t>4 ضد 8</t>
  </si>
  <si>
    <t>2 ضد 9</t>
  </si>
  <si>
    <t>1 ضد 5</t>
  </si>
  <si>
    <t>6 ضد 10</t>
  </si>
  <si>
    <t>8 ضد 12</t>
  </si>
  <si>
    <t>3 ضد 11</t>
  </si>
  <si>
    <t>4 ضد 7</t>
  </si>
  <si>
    <t>2 ضد 5</t>
  </si>
  <si>
    <t>1 ضد 10</t>
  </si>
  <si>
    <t>7 ضد 8</t>
  </si>
  <si>
    <t>4 ضد 5</t>
  </si>
  <si>
    <t>1 ضد 7</t>
  </si>
  <si>
    <t>6 ضد 12</t>
  </si>
  <si>
    <t>9 ضد 10</t>
  </si>
  <si>
    <t>8 ضد 11</t>
  </si>
  <si>
    <t>3 ضد 4</t>
  </si>
  <si>
    <t>7 ضد 9</t>
  </si>
  <si>
    <t>4 ضد 12</t>
  </si>
  <si>
    <t>2 ضد 6</t>
  </si>
  <si>
    <t>5 ضد 10</t>
  </si>
  <si>
    <t>9 ضد 11</t>
  </si>
  <si>
    <t>3 ضد 10</t>
  </si>
  <si>
    <t>2 ضد 11</t>
  </si>
  <si>
    <t>5 ضد 6</t>
  </si>
  <si>
    <t>3 ضد 7</t>
  </si>
  <si>
    <t>1 ضد 12</t>
  </si>
  <si>
    <t>3 ضد 8</t>
  </si>
  <si>
    <t>5 ضد 9</t>
  </si>
  <si>
    <t>6 ضد 8</t>
  </si>
  <si>
    <t>7 ضد 10</t>
  </si>
  <si>
    <t>2 ضد 7</t>
  </si>
  <si>
    <t>1 ضد 9</t>
  </si>
  <si>
    <t>5 ضد 12</t>
  </si>
  <si>
    <t>3 ضد 6</t>
  </si>
  <si>
    <t>4 ضد 11</t>
  </si>
  <si>
    <t>2 ضد 10</t>
  </si>
  <si>
    <t>1 ضد 4</t>
  </si>
  <si>
    <t>10 ضد 12</t>
  </si>
  <si>
    <t>7 ضد 11</t>
  </si>
  <si>
    <t>3 ضد 5</t>
  </si>
  <si>
    <t>8 ضد 9</t>
  </si>
  <si>
    <t>6 ضد 11</t>
  </si>
  <si>
    <t>1 ضد 8</t>
  </si>
  <si>
    <t>2 ضد 4</t>
  </si>
  <si>
    <t>8 ضد 13</t>
  </si>
  <si>
    <t>7 ضد 13</t>
  </si>
  <si>
    <t>12 ضد 13</t>
  </si>
  <si>
    <t>6 ضد 13</t>
  </si>
  <si>
    <t>11 ضد 13</t>
  </si>
  <si>
    <t>10 ضد 13</t>
  </si>
  <si>
    <t>9 ضد 13</t>
  </si>
  <si>
    <t>1 ضد 13</t>
  </si>
  <si>
    <t>5 ضد 13</t>
  </si>
  <si>
    <t>2 ضد 13</t>
  </si>
  <si>
    <t>4 ضد 13</t>
  </si>
  <si>
    <t>8 ضد 14</t>
  </si>
  <si>
    <t>10 ضد 14</t>
  </si>
  <si>
    <t>12 ضد 14</t>
  </si>
  <si>
    <t>11 ضد 14</t>
  </si>
  <si>
    <t>13 ضد 14</t>
  </si>
  <si>
    <t>6 ضد 14</t>
  </si>
  <si>
    <t>3 ضد 14</t>
  </si>
  <si>
    <t>1 ضد 14</t>
  </si>
  <si>
    <t>مباريات كل فريق في اليوم</t>
  </si>
  <si>
    <t>مدة المباراة (دقيقة) — ثابت</t>
  </si>
  <si>
    <t>#</t>
  </si>
  <si>
    <t>المبدأ</t>
  </si>
  <si>
    <t>الشرح</t>
  </si>
  <si>
    <t>عدالة المواجهات</t>
  </si>
  <si>
    <t>عدالة عدد المباريات</t>
  </si>
  <si>
    <t>المدخلات</t>
  </si>
  <si>
    <t>لا يلعب الفريق مباراتين ورا بعض</t>
  </si>
  <si>
    <t>كل الفرق تلعب العدد نفسه في اليوم الواحد وفي البطولة ككل — لا فريق يلعب أكثر من آخر.</t>
  </si>
  <si>
    <t>ملعب 5</t>
  </si>
  <si>
    <t>1 ضد 15</t>
  </si>
  <si>
    <t>9 ضد 17</t>
  </si>
  <si>
    <t>14 ضد 17</t>
  </si>
  <si>
    <t>16 ضد 17</t>
  </si>
  <si>
    <t>13 ضد 15</t>
  </si>
  <si>
    <t>1 ضد 17</t>
  </si>
  <si>
    <t>13 ضد 16</t>
  </si>
  <si>
    <t>6 ضد 15</t>
  </si>
  <si>
    <t>15 ضد 17</t>
  </si>
  <si>
    <t>12 ضد 17</t>
  </si>
  <si>
    <t>14 ضد 15</t>
  </si>
  <si>
    <t>10 ضد 17</t>
  </si>
  <si>
    <t>13 ضد 17</t>
  </si>
  <si>
    <t>8 ضد 15</t>
  </si>
  <si>
    <t>12 ضد 16</t>
  </si>
  <si>
    <t>10 ضد 16</t>
  </si>
  <si>
    <t>7 ضد 17</t>
  </si>
  <si>
    <t>5 ضد 16</t>
  </si>
  <si>
    <t>3 ضد 15</t>
  </si>
  <si>
    <t>2 ضد 17</t>
  </si>
  <si>
    <t>15 ضد 16</t>
  </si>
  <si>
    <t>9 ضد 18</t>
  </si>
  <si>
    <t>11 ضد 17</t>
  </si>
  <si>
    <t>4 ضد 15</t>
  </si>
  <si>
    <t>15 ضد 18</t>
  </si>
  <si>
    <t>12 ضد 15</t>
  </si>
  <si>
    <t>7 ضد 15</t>
  </si>
  <si>
    <t>10 ضد 15</t>
  </si>
  <si>
    <t>11 ضد 18</t>
  </si>
  <si>
    <t>5 ضد 18</t>
  </si>
  <si>
    <t>12 ضد 18</t>
  </si>
  <si>
    <t>5 ضد 17</t>
  </si>
  <si>
    <t>14 ضد 16</t>
  </si>
  <si>
    <t>16 ضد 18</t>
  </si>
  <si>
    <t>2 ضد 18</t>
  </si>
  <si>
    <t>17 ضد 18</t>
  </si>
  <si>
    <t>11 ضد 16</t>
  </si>
  <si>
    <t>4 ضد 18</t>
  </si>
  <si>
    <t>2 ضد 19</t>
  </si>
  <si>
    <t>17 ضد 19</t>
  </si>
  <si>
    <t>16 ضد 19</t>
  </si>
  <si>
    <t>4 ضد 17</t>
  </si>
  <si>
    <t>13 ضد 19</t>
  </si>
  <si>
    <t>5 ضد 19</t>
  </si>
  <si>
    <t>3 ضد 18</t>
  </si>
  <si>
    <t>13 ضد 18</t>
  </si>
  <si>
    <t>11 ضد 15</t>
  </si>
  <si>
    <t>14 ضد 18</t>
  </si>
  <si>
    <t>12 ضد 19</t>
  </si>
  <si>
    <t>15 ضد 19</t>
  </si>
  <si>
    <t>6 ضد 19</t>
  </si>
  <si>
    <t>6 ضد 18</t>
  </si>
  <si>
    <t>1 ضد 22</t>
  </si>
  <si>
    <t>19 ضد 22</t>
  </si>
  <si>
    <t>13 ضد 22</t>
  </si>
  <si>
    <t>16 ضد 21</t>
  </si>
  <si>
    <t>6 ضد 20</t>
  </si>
  <si>
    <t>4 ضد 22</t>
  </si>
  <si>
    <t>3 ضد 21</t>
  </si>
  <si>
    <t>7 ضد 22</t>
  </si>
  <si>
    <t>18 ضد 22</t>
  </si>
  <si>
    <t>14 ضد 20</t>
  </si>
  <si>
    <t>18 ضد 19</t>
  </si>
  <si>
    <t>8 ضد 21</t>
  </si>
  <si>
    <t>17 ضد 21</t>
  </si>
  <si>
    <t>8 ضد 20</t>
  </si>
  <si>
    <t>5 ضد 20</t>
  </si>
  <si>
    <t>20 ضد 22</t>
  </si>
  <si>
    <t>2 ضد 21</t>
  </si>
  <si>
    <t>11 ضد 22</t>
  </si>
  <si>
    <t>8 ضد 19</t>
  </si>
  <si>
    <t>7 ضد 18</t>
  </si>
  <si>
    <t>15 ضد 22</t>
  </si>
  <si>
    <t>11 ضد 21</t>
  </si>
  <si>
    <t>9 ضد 19</t>
  </si>
  <si>
    <t>17 ضد 20</t>
  </si>
  <si>
    <t>9 ضد 21</t>
  </si>
  <si>
    <t>15 ضد 20</t>
  </si>
  <si>
    <t>19 ضد 21</t>
  </si>
  <si>
    <t>17 ضد 22</t>
  </si>
  <si>
    <t>13 ضد 21</t>
  </si>
  <si>
    <t>ملعب 6</t>
  </si>
  <si>
    <t>ملعب 7</t>
  </si>
  <si>
    <t>ملعب 8</t>
  </si>
  <si>
    <t>26 ضد 30</t>
  </si>
  <si>
    <t>20 ضد 21</t>
  </si>
  <si>
    <t>26 ضد 29</t>
  </si>
  <si>
    <t>27 ضد 28</t>
  </si>
  <si>
    <t>23 ضد 30</t>
  </si>
  <si>
    <t>29 ضد 30</t>
  </si>
  <si>
    <t>24 ضد 26</t>
  </si>
  <si>
    <t>27 ضد 30</t>
  </si>
  <si>
    <t>18 ضد 20</t>
  </si>
  <si>
    <t>26 ضد 28</t>
  </si>
  <si>
    <t>14 ضد 22</t>
  </si>
  <si>
    <t>18 ضد 21</t>
  </si>
  <si>
    <t>25 ضد 30</t>
  </si>
  <si>
    <t>23 ضد 24</t>
  </si>
  <si>
    <t>23 ضد 28</t>
  </si>
  <si>
    <t>6 ضد 21</t>
  </si>
  <si>
    <t>14 ضد 21</t>
  </si>
  <si>
    <t>14 ضد 19</t>
  </si>
  <si>
    <t>10 ضد 21</t>
  </si>
  <si>
    <t>19 ضد 20</t>
  </si>
  <si>
    <t>27 ضد 29</t>
  </si>
  <si>
    <t>11 ضد 19</t>
  </si>
  <si>
    <t>12 ضد 20</t>
  </si>
  <si>
    <t>15 ضد 21</t>
  </si>
  <si>
    <t>4 ضد 21</t>
  </si>
  <si>
    <t>12 ضد 21</t>
  </si>
  <si>
    <t>16 ضد 20</t>
  </si>
  <si>
    <t>16 ضد 22</t>
  </si>
  <si>
    <t>8 ضد 22</t>
  </si>
  <si>
    <t>القاعدة الأهم في التصميم: يحصل كل فريق على فترة راحة كاملة (15 دقيقة) بين مباراتيه على الأقل. ويُحقّق ذلك إما بحجز فترات استراحة كاملة (في الأعداد الصغيرة مثل 6 و‏7 و‏8 و‏9) أو بتوزيع الفرق على فترات أكثر (في الأعداد الكبيرة).</t>
  </si>
  <si>
    <t>لا يوجد تتابع إطلاقاً</t>
  </si>
  <si>
    <t>عدد المهرجانات في الموسم — ثابت</t>
  </si>
  <si>
    <t>مباريات كل فريق في الموسم</t>
  </si>
  <si>
    <t>مباريات كل فريق في المهرجان</t>
  </si>
  <si>
    <t>25 ضد 29</t>
  </si>
  <si>
    <t>24 ضد 30</t>
  </si>
  <si>
    <t>28 ضد 30</t>
  </si>
  <si>
    <t>26 ضد 27</t>
  </si>
  <si>
    <t>24 ضد 27</t>
  </si>
  <si>
    <t>25 ضد 27</t>
  </si>
  <si>
    <t>21 ضد 22</t>
  </si>
  <si>
    <t>24 ضد 28</t>
  </si>
  <si>
    <t>23 ضد 29</t>
  </si>
  <si>
    <t>25 ضد 26</t>
  </si>
  <si>
    <t>23 ضد 27</t>
  </si>
  <si>
    <t>25 ضد 28</t>
  </si>
  <si>
    <t>24 ضد 29</t>
  </si>
  <si>
    <t>23 ضد 26</t>
  </si>
  <si>
    <t>24 ضد 25</t>
  </si>
  <si>
    <t>23 ضد 25</t>
  </si>
  <si>
    <t>28 ضد 29</t>
  </si>
  <si>
    <t>ملعب 1 (أ)</t>
  </si>
  <si>
    <t>ملعب 2 (أ)</t>
  </si>
  <si>
    <t>ملعب 3 (أ)</t>
  </si>
  <si>
    <t>ملعب 4 (أ)</t>
  </si>
  <si>
    <t>ملعب 5 (ب)</t>
  </si>
  <si>
    <t>ملعب 6 (ب)</t>
  </si>
  <si>
    <t>ملعب 7 (ب)</t>
  </si>
  <si>
    <t>ملعب 8 (ب)</t>
  </si>
  <si>
    <t>ملخص جداول المجموعات</t>
  </si>
  <si>
    <t>مبادئ بناء جداول المجموعات (من 6 إلى 30 فريقاً)</t>
  </si>
  <si>
    <t>تقسيم المجموعات عند الأعداد الكبيرة</t>
  </si>
  <si>
    <t>جدول مباريات المجموعات التي فيها 6 فرق</t>
  </si>
  <si>
    <t>مجموع مباريات اليوم</t>
  </si>
  <si>
    <t>استراحة (لا توجد مباريات)</t>
  </si>
  <si>
    <t>جدول مباريات المجموعات التي فيها 7 فرق</t>
  </si>
  <si>
    <t>جدول مباريات المجموعات التي فيها 8 فرق</t>
  </si>
  <si>
    <t>جدول مباريات المجموعات التي فيها 9 فرق</t>
  </si>
  <si>
    <t>جدول مباريات المجموعات التي فيها 12 فريقًا</t>
  </si>
  <si>
    <t>جدول مباريات المجموعات التي فيها 13 فريقًا</t>
  </si>
  <si>
    <t>جدول مباريات المجموعات التي فيها 22 فريقًا</t>
  </si>
  <si>
    <t>جدول تكرار لقاء الأزواج — كم مرة يلتقي كل فريقين خلال الموسم</t>
  </si>
  <si>
    <t>فريق \ فريق</t>
  </si>
  <si>
    <t>أقل تكرار</t>
  </si>
  <si>
    <t>أعلى تكرار</t>
  </si>
  <si>
    <t>7 ضد 21</t>
  </si>
  <si>
    <t>1 ضد 21</t>
  </si>
  <si>
    <t>2 ضد 20</t>
  </si>
  <si>
    <t>9 ضد 20</t>
  </si>
  <si>
    <t>عدد الملاعب (5 ضد 5)</t>
  </si>
  <si>
    <t>ملاعب مصغّرة داخل الملعب القانوني — ثابت</t>
  </si>
  <si>
    <t>عدد الملاعب القانونية</t>
  </si>
  <si>
    <t>جدول مباريات المجموعات التي فيها 18 فريقًا — مجموعتان × 9 (أ: 1-9 على الملعبين 1-2 | ب: 10-18 على الملعبين 3-4)</t>
  </si>
  <si>
    <t>ملعب 3 (ب)</t>
  </si>
  <si>
    <t>ملعب 4 (ب)</t>
  </si>
  <si>
    <t>أقل تكرار داخل المجموعة</t>
  </si>
  <si>
    <t>أعلى تكرار داخل المجموعة</t>
  </si>
  <si>
    <t>4 ضد 20</t>
  </si>
  <si>
    <t>جدول مباريات المجموعات التي فيها 19 فريقًا — مجموعتان (أ: 1-13 على الملاعب 1-3 | ب: 14-19 على الملاعب 4-6)</t>
  </si>
  <si>
    <t>تكرار المجموعة أ (1-13)</t>
  </si>
  <si>
    <t>تكرار المجموعة ب (14-19)</t>
  </si>
  <si>
    <t>جدول مباريات المجموعات التي فيها 17 فريقًا — مجموعتان (أ: 1-9 على الملاعب 1-4 | ب: 10-17 على الملاعب 5-8)</t>
  </si>
  <si>
    <t>تكرار المجموعة أ (1-9)</t>
  </si>
  <si>
    <t>تكرار المجموعة ب (10-17)</t>
  </si>
  <si>
    <t>جدول مباريات المجموعات التي فيها 30 فريقًا — ثلاث مجموعات (أ: 1-13 ملاعب 1-4 | ب: 14-22 ملاعب 5-8 | ج: 23-30 ملاعب 9-12)</t>
  </si>
  <si>
    <t>ملعب 9 (ج)</t>
  </si>
  <si>
    <t>ملعب 10 (ج)</t>
  </si>
  <si>
    <t>ملعب 11 (ج)</t>
  </si>
  <si>
    <t>ملعب 12 (ج)</t>
  </si>
  <si>
    <t>تكرار المجموعة ب (14-22)</t>
  </si>
  <si>
    <t>تكرار المجموعة ج (23-30)</t>
  </si>
  <si>
    <t>توزيع فترات الراحة بين مباراتي الفريق في المهرجان الواحد</t>
  </si>
  <si>
    <t>راحة 15 دقيقة</t>
  </si>
  <si>
    <t>راحة 30 دقيقة</t>
  </si>
  <si>
    <t>إجمالي فترات الراحة</t>
  </si>
  <si>
    <t>نسبة الراحة القصيرة</t>
  </si>
  <si>
    <t>عدد المجموعات</t>
  </si>
  <si>
    <t>توزيع الفرق في المجموعات</t>
  </si>
  <si>
    <t>لقاءات كل خصم</t>
  </si>
  <si>
    <t>3 ضد 13</t>
  </si>
  <si>
    <t>راحة 45 دقيقة</t>
  </si>
  <si>
    <t>التتابع صفر في جميع البطولات بلا استثناء، وتحقق ذلك بإطالة اليوم بحسب الحاجة: 7 فترات (6 و‏8 فرق)، و‏9 فترات (7 و‏9 و‏13 و‏17 و‏22 و‏30)، و‏10 فترات (19)، و‏11 فترة (12 و‏18). القاعدة: إذا ضاقت الفترات عن عدد المباريات المطلوبة، يُطال اليوم ولا يُضحّى براحة اللاعبين.</t>
  </si>
  <si>
    <t>إذا كبر عدد الفرق حتى لم تكفِ مباريات الموسم للقاء الجميع بعدل، يُقسم العدد إلى مجموعات تلعب كل منها على ملاعبها الخاصة في نفس الوقت. مثال: 30 فريقًا في مجموعة واحدة = 0.97 دورة (بعض الفرق لا تتقابل أبدًا)، أما التقسيم المعتمد هنا (13 + 9 + 8 على 12 ملعبًا مصغّرًا) فيُعطي داخل كل مجموعة توزيعًا عادلًا في الحد الأمثل: 2–3 لقاءات للزوج في أ (13 فريقًا)، و‏3–4 في ب (9)، و‏4 في ج (8). ومثله في 17 فريقًا (9 + 8) و‏18 (9 + 9) و‏19 (13 + 6).</t>
  </si>
  <si>
    <t>9‎ + ‎8</t>
  </si>
  <si>
    <t>9‎ + ‎9</t>
  </si>
  <si>
    <t>13‎ + ‎6</t>
  </si>
  <si>
    <t>13‎ + ‎9‎ + ‎8</t>
  </si>
  <si>
    <t>إجمالي متوقع (تحقق)</t>
  </si>
  <si>
    <t>المطابقة</t>
  </si>
  <si>
    <t>6 ضد 17</t>
  </si>
  <si>
    <t>4 ضد 19</t>
  </si>
  <si>
    <t>3 ضد 20</t>
  </si>
  <si>
    <t>7 ضد 16</t>
  </si>
  <si>
    <t>9 ضد 14</t>
  </si>
  <si>
    <t>8 ضد 17</t>
  </si>
  <si>
    <t>2 ضد 22</t>
  </si>
  <si>
    <t>9 ضد 16</t>
  </si>
  <si>
    <t>3 ضد 22</t>
  </si>
  <si>
    <t>7 ضد 20</t>
  </si>
  <si>
    <t>10 ضد 19</t>
  </si>
  <si>
    <t>11 ضد 20</t>
  </si>
  <si>
    <t>5 ضد 22</t>
  </si>
  <si>
    <t>13 ضد 20</t>
  </si>
  <si>
    <t>6 ضد 22</t>
  </si>
  <si>
    <t>2 ضد 14</t>
  </si>
  <si>
    <t>9 ضد 22</t>
  </si>
  <si>
    <t>2 ضد 16</t>
  </si>
  <si>
    <t>4 ضد 14</t>
  </si>
  <si>
    <t>10 ضد 22</t>
  </si>
  <si>
    <t>3 ضد 17</t>
  </si>
  <si>
    <t>5 ضد 15</t>
  </si>
  <si>
    <t>1 ضد 19</t>
  </si>
  <si>
    <t>4 ضد 16</t>
  </si>
  <si>
    <t>3 ضد 19</t>
  </si>
  <si>
    <t>6 ضد 16</t>
  </si>
  <si>
    <t>12 ضد 22</t>
  </si>
  <si>
    <t>9 ضد 15</t>
  </si>
  <si>
    <t>8 ضد 16</t>
  </si>
  <si>
    <t>7 ضد 19</t>
  </si>
  <si>
    <t>8 ضد 18</t>
  </si>
  <si>
    <t>5 ضد 21</t>
  </si>
  <si>
    <t>10 ضد 18</t>
  </si>
  <si>
    <t>10 ضد 20</t>
  </si>
  <si>
    <t>1 ضد 16</t>
  </si>
  <si>
    <t>2 ضد 15</t>
  </si>
  <si>
    <t>3 ضد 16</t>
  </si>
  <si>
    <t>5 ضد 14</t>
  </si>
  <si>
    <t>1 ضد 18</t>
  </si>
  <si>
    <t>1 ضد 20</t>
  </si>
  <si>
    <t>7 ضد 14</t>
  </si>
  <si>
    <t>المقصود أن تُوزّع فرص اللقاء على الجميع لا أن تتكرر بين فرق معيّنة. يُقسم إجمالي المباريات على عدد الأزواج الممكنة، والناتج غالباً ليس عدداً صحيحاً، فيُسمح بمستويين فقط وفرقهما مباراة واحدة. مثال: في 6 فرق الأزواج الممكنة 15 زوجاً والمباريات 84، أي 5.6 لقاء للزوج ← بعض الأزواج يلتقي 5 مرات وبعضها 6، ولا يجوز أن يلتقي زوج 8 مرات وآخر مرتين. وكلما زاد عدد الفرق قلّ التكرار الطبيعي (في 13 فريقاً: 2–3 لقاءات للزوج)، وتبقى القاعدة نفسها. ملاحظة: العدالة محسوبة على مستوى الموسم ككل، ولا يتكرر لقاء الزوج نفسه داخل المهرجان الواحد إطلاقاً.</t>
  </si>
  <si>
    <t>اكتمال الدورة قبل التكرار</t>
  </si>
  <si>
    <t>يلتقي كل فريق بجميع خصومه في مجموعته مرة واحدة قبل أن يتكرر أي لقاء. الترتيب مبني على دورات كاملة متتالية: تُستوفى كل أزواج المجموعة، ثم تبدأ الدورة التالية. مثال: في 9 فرق تكتمل الدورة الأولى (36 لقاءً) بنهاية المهرجان الثاني، وأول تكرار في المهرجان الثالث. وفي 22 فريقاً تكتمل الدورة (231 لقاءً) بنهاية المهرجان السادس. والدورة الأخيرة قد تكون جزئية، فينتج الفارق المسموح (لقاء واحد) بين الأزواج. استثناء: في 7 فرق تُقدَّم راحة اللاعبين على هذا الشرط، فتكتمل الدورة داخل المهرجان الثاني نفسه لكن قد يبدأ التكرار في وقت أبكر من اليوم — لأن الالتزام الصارم بالترتيب كان سيفرض فترات انتظار 45 دقيقة.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</si>
</sst>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1]h:mm\ AM/PM"/>
  </numFmts>
  <fonts count="14">
    <font>
      <sz val="11"/>
      <color theme="1"/>
      <name val="Calibri"/>
      <family val="2"/>
      <scheme val="minor"/>
    </font>
    <font>
      <b/>
      <sz val="11"/>
      <color theme="1"/>
      <name val="Calibri"/>
      <family val="2"/>
      <scheme val="minor"/>
    </font>
    <font>
      <b/>
      <sz val="16"/>
      <color rgb="FFFFFFFF"/>
      <name val="Calibri"/>
      <family val="2"/>
      <scheme val="minor"/>
    </font>
    <font>
      <b/>
      <sz val="11"/>
      <color rgb="FF0000FF"/>
      <name val="Calibri"/>
      <family val="2"/>
      <scheme val="minor"/>
    </font>
    <font>
      <b/>
      <sz val="11"/>
      <color rgb="FF000000"/>
      <name val="Calibri"/>
      <family val="2"/>
      <scheme val="minor"/>
    </font>
    <font>
      <i/>
      <sz val="11"/>
      <color rgb="FF808080"/>
      <name val="Calibri"/>
      <family val="2"/>
      <scheme val="minor"/>
    </font>
    <font>
      <sz val="11"/>
      <color rgb="FF1F4E79"/>
      <name val="Calibri"/>
      <family val="2"/>
      <scheme val="minor"/>
    </font>
    <font>
      <sz val="9"/>
      <color rgb="FF808080"/>
      <name val="Calibri"/>
      <family val="2"/>
      <scheme val="minor"/>
    </font>
    <font>
      <b/>
      <sz val="11"/>
      <color rgb="FFFFFFFF"/>
      <name val="Calibri"/>
      <family val="2"/>
      <scheme val="minor"/>
    </font>
    <font>
      <b/>
      <sz val="14"/>
      <color rgb="FFFFFFFF"/>
      <name val="Calibri"/>
      <family val="2"/>
      <scheme val="minor"/>
    </font>
    <font>
      <b/>
      <sz val="9"/>
      <color rgb="FF808080"/>
      <name val="Calibri"/>
      <family val="2"/>
      <scheme val="minor"/>
    </font>
    <font>
      <b/>
      <sz val="12"/>
      <color rgb="FFFFFFFF"/>
      <name val="Calibri"/>
      <family val="2"/>
      <scheme val="minor"/>
    </font>
    <font>
      <sz val="11"/>
      <color rgb="FF000000"/>
      <name val="Calibri"/>
      <scheme val="minor"/>
    </font>
    <font>
      <b/>
      <sz val="11"/>
      <color rgb="FF000000"/>
      <name val="Calibri"/>
      <scheme val="minor"/>
    </font>
  </fonts>
  <fills count="10">
    <fill>
      <patternFill patternType="none"/>
    </fill>
    <fill>
      <patternFill patternType="gray125"/>
    </fill>
    <fill>
      <patternFill patternType="solid">
        <fgColor rgb="FF1F4E79"/>
        <bgColor indexed="64"/>
      </patternFill>
    </fill>
    <fill>
      <patternFill patternType="solid">
        <fgColor rgb="FFD9E1F2"/>
        <bgColor indexed="64"/>
      </patternFill>
    </fill>
    <fill>
      <patternFill patternType="solid">
        <fgColor rgb="FFFFF2CC"/>
        <bgColor indexed="64"/>
      </patternFill>
    </fill>
    <fill>
      <patternFill patternType="solid">
        <fgColor rgb="FFEDEDED"/>
        <bgColor indexed="64"/>
      </patternFill>
    </fill>
    <fill>
      <patternFill patternType="solid">
        <fgColor rgb="FFF7F9FC"/>
        <bgColor indexed="64"/>
      </patternFill>
    </fill>
    <fill>
      <patternFill patternType="solid">
        <fgColor rgb="FFFFF8E7"/>
        <bgColor indexed="64"/>
      </patternFill>
    </fill>
    <fill>
      <patternFill patternType="solid">
        <fgColor rgb="FFEAF4FF"/>
        <bgColor indexed="64"/>
      </patternFill>
    </fill>
    <fill>
      <patternFill patternType="solid">
        <fgColor rgb="FFEFF7E8"/>
        <bgColor indexed="64"/>
      </patternFill>
    </fill>
  </fills>
  <borders count="10">
    <border>
      <left/>
      <right/>
      <top/>
      <bottom/>
      <diagonal/>
    </border>
    <border>
      <left style="thin">
        <color rgb="FF8EA9DB"/>
      </left>
      <right style="thin">
        <color rgb="FF8EA9DB"/>
      </right>
      <top style="thin">
        <color rgb="FF8EA9DB"/>
      </top>
      <bottom style="thin">
        <color rgb="FF8EA9DB"/>
      </bottom>
      <diagonal/>
    </border>
    <border>
      <left style="thin">
        <color auto="1"/>
      </left>
      <right style="thin">
        <color auto="1"/>
      </right>
      <top style="thin">
        <color auto="1"/>
      </top>
      <bottom style="thin">
        <color auto="1"/>
      </bottom>
      <diagonal/>
    </border>
    <border>
      <left style="thin">
        <color rgb="FF8EA9DB"/>
      </left>
      <right style="thin">
        <color rgb="FF8EA9DB"/>
      </right>
      <top style="thin">
        <color rgb="FF8EA9DB"/>
      </top>
      <bottom/>
      <diagonal/>
    </border>
    <border>
      <left style="thin">
        <color rgb="FF8EA9DB"/>
      </left>
      <right style="thin">
        <color rgb="FF8EA9DB"/>
      </right>
      <top/>
      <bottom style="thin">
        <color rgb="FF8EA9DB"/>
      </bottom>
      <diagonal/>
    </border>
    <border>
      <left/>
      <right/>
      <top/>
      <bottom style="thin">
        <color rgb="FF8EA9DB"/>
      </bottom>
      <diagonal/>
    </border>
    <border>
      <left style="thin">
        <color rgb="FF8EA9DB"/>
      </left>
      <right style="thin">
        <color rgb="FF8EA9DB"/>
      </right>
      <top/>
      <bottom/>
      <diagonal/>
    </border>
    <border>
      <left/>
      <right style="thin">
        <color rgb="FF8EA9DB"/>
      </right>
      <top style="thin">
        <color rgb="FF8EA9DB"/>
      </top>
      <bottom style="thin">
        <color rgb="FF8EA9DB"/>
      </bottom>
      <diagonal/>
    </border>
    <border>
      <left/>
      <right style="thin">
        <color rgb="FF8EA9DB"/>
      </right>
      <top/>
      <bottom style="thin">
        <color rgb="FF8EA9DB"/>
      </bottom>
      <diagonal/>
    </border>
    <border>
      <left/>
      <right style="thin">
        <color rgb="FF8EA9DB"/>
      </right>
      <top/>
      <bottom/>
      <diagonal/>
    </border>
  </borders>
  <cellStyleXfs count="1">
    <xf numFmtId="0" fontId="0" fillId="0" borderId="0"/>
  </cellStyleXfs>
  <cellXfs count="104">
    <xf numFmtId="0" fontId="0" fillId="0" borderId="0" xfId="0"/>
    <xf numFmtId="1" fontId="0" fillId="0" borderId="1" xfId="0" applyNumberFormat="1" applyBorder="1" applyAlignment="1">
      <alignment horizontal="center" vertical="center" readingOrder="2"/>
    </xf>
    <xf numFmtId="0" fontId="7" fillId="0" borderId="0" xfId="0" applyFont="1" applyAlignment="1">
      <alignment horizontal="center"/>
    </xf>
    <xf numFmtId="0" fontId="7" fillId="0" borderId="0" xfId="0" applyFont="1" applyAlignment="1">
      <alignment horizontal="right"/>
    </xf>
    <xf numFmtId="0" fontId="0" fillId="0" borderId="0" xfId="0" applyAlignment="1">
      <alignment horizontal="right"/>
    </xf>
    <xf numFmtId="0" fontId="0" fillId="0" borderId="0" xfId="0" applyAlignment="1">
      <alignment vertical="center"/>
    </xf>
    <xf numFmtId="0" fontId="1" fillId="0" borderId="1" xfId="0" applyFont="1" applyBorder="1" applyAlignment="1">
      <alignment horizontal="right" vertical="center" readingOrder="2"/>
    </xf>
    <xf numFmtId="1" fontId="4" fillId="5" borderId="1" xfId="0" applyNumberFormat="1" applyFont="1" applyFill="1" applyBorder="1" applyAlignment="1">
      <alignment horizontal="center" vertical="center" readingOrder="2"/>
    </xf>
    <xf numFmtId="0" fontId="0" fillId="0" borderId="0" xfId="0" applyAlignment="1">
      <alignment vertical="center" readingOrder="2"/>
    </xf>
    <xf numFmtId="0" fontId="0" fillId="0" borderId="1" xfId="0" applyBorder="1" applyAlignment="1">
      <alignment horizontal="center" vertical="center" readingOrder="2"/>
    </xf>
    <xf numFmtId="0" fontId="1" fillId="3" borderId="2" xfId="0" applyFont="1" applyFill="1" applyBorder="1" applyAlignment="1">
      <alignment horizontal="center" vertical="center" readingOrder="2"/>
    </xf>
    <xf numFmtId="0" fontId="0" fillId="0" borderId="2" xfId="0" applyBorder="1" applyAlignment="1">
      <alignment horizontal="center" vertical="center" readingOrder="2"/>
    </xf>
    <xf numFmtId="0" fontId="7" fillId="0" borderId="0" xfId="0" applyFont="1" applyAlignment="1">
      <alignment horizontal="right" vertical="center" readingOrder="2"/>
    </xf>
    <xf numFmtId="0" fontId="7" fillId="0" borderId="0" xfId="0" applyFont="1" applyAlignment="1">
      <alignment horizontal="center" vertical="center" readingOrder="2"/>
    </xf>
    <xf numFmtId="0" fontId="6" fillId="6" borderId="1" xfId="0" applyFont="1" applyFill="1" applyBorder="1" applyAlignment="1">
      <alignment horizontal="center" vertical="center" readingOrder="2"/>
    </xf>
    <xf numFmtId="0" fontId="0" fillId="6" borderId="1" xfId="0" applyFill="1" applyBorder="1" applyAlignment="1">
      <alignment horizontal="center" vertical="center" readingOrder="2"/>
    </xf>
    <xf numFmtId="0" fontId="6" fillId="0" borderId="2" xfId="0" applyFont="1" applyBorder="1" applyAlignment="1">
      <alignment horizontal="center" vertical="center" readingOrder="2"/>
    </xf>
    <xf numFmtId="0" fontId="6" fillId="6" borderId="2" xfId="0" applyFont="1" applyFill="1" applyBorder="1" applyAlignment="1">
      <alignment horizontal="center" vertical="center" readingOrder="2"/>
    </xf>
    <xf numFmtId="0" fontId="0" fillId="6" borderId="2" xfId="0" applyFill="1" applyBorder="1" applyAlignment="1">
      <alignment horizontal="center" vertical="center" readingOrder="2"/>
    </xf>
    <xf numFmtId="0" fontId="0" fillId="7" borderId="2" xfId="0" applyFill="1" applyBorder="1" applyAlignment="1">
      <alignment horizontal="center" vertical="center" readingOrder="2"/>
    </xf>
    <xf numFmtId="0" fontId="0" fillId="8" borderId="2" xfId="0" applyFill="1" applyBorder="1" applyAlignment="1">
      <alignment horizontal="center" vertical="center" readingOrder="2"/>
    </xf>
    <xf numFmtId="0" fontId="1" fillId="0" borderId="0" xfId="0" applyFont="1" applyAlignment="1">
      <alignment vertical="center" readingOrder="2"/>
    </xf>
    <xf numFmtId="0" fontId="1" fillId="0" borderId="0" xfId="0" applyFont="1" applyAlignment="1">
      <alignment horizontal="right" vertical="center" readingOrder="2"/>
    </xf>
    <xf numFmtId="0" fontId="10" fillId="3" borderId="2" xfId="0" applyFont="1" applyFill="1" applyBorder="1" applyAlignment="1">
      <alignment horizontal="center" vertical="center" readingOrder="2"/>
    </xf>
    <xf numFmtId="0" fontId="7" fillId="0" borderId="2" xfId="0" applyFont="1" applyBorder="1" applyAlignment="1">
      <alignment horizontal="center" vertical="center" readingOrder="2"/>
    </xf>
    <xf numFmtId="0" fontId="1" fillId="3" borderId="2" xfId="0" applyFont="1" applyFill="1" applyBorder="1" applyAlignment="1">
      <alignment horizontal="center" vertical="center" wrapText="1" readingOrder="2"/>
    </xf>
    <xf numFmtId="0" fontId="0" fillId="0" borderId="0" xfId="0" applyAlignment="1">
      <alignment horizontal="right" vertical="center" readingOrder="2"/>
    </xf>
    <xf numFmtId="0" fontId="4" fillId="0" borderId="1" xfId="0" applyFont="1" applyBorder="1" applyAlignment="1">
      <alignment horizontal="right" vertical="center" readingOrder="2"/>
    </xf>
    <xf numFmtId="0" fontId="4" fillId="3" borderId="1" xfId="0" applyFont="1" applyFill="1" applyBorder="1" applyAlignment="1">
      <alignment horizontal="center" vertical="center" wrapText="1" readingOrder="2"/>
    </xf>
    <xf numFmtId="0" fontId="6" fillId="0" borderId="1" xfId="0" applyFont="1" applyBorder="1" applyAlignment="1">
      <alignment horizontal="center" vertical="center" readingOrder="2"/>
    </xf>
    <xf numFmtId="0" fontId="0" fillId="0" borderId="1" xfId="0" applyBorder="1" applyAlignment="1">
      <alignment horizontal="right" vertical="center" wrapText="1" readingOrder="2"/>
    </xf>
    <xf numFmtId="20" fontId="0" fillId="0" borderId="1" xfId="0" applyNumberFormat="1" applyBorder="1" applyAlignment="1">
      <alignment horizontal="center" vertical="center" readingOrder="2"/>
    </xf>
    <xf numFmtId="1" fontId="12" fillId="0" borderId="1" xfId="0" applyNumberFormat="1" applyFont="1" applyBorder="1" applyAlignment="1">
      <alignment horizontal="center" vertical="center" readingOrder="2"/>
    </xf>
    <xf numFmtId="1" fontId="13" fillId="3" borderId="1" xfId="0" applyNumberFormat="1" applyFont="1" applyFill="1" applyBorder="1" applyAlignment="1">
      <alignment horizontal="center" vertical="center" readingOrder="2"/>
    </xf>
    <xf numFmtId="0" fontId="13" fillId="3" borderId="1" xfId="0" applyFont="1" applyFill="1" applyBorder="1" applyAlignment="1">
      <alignment horizontal="center" vertical="center" readingOrder="2"/>
    </xf>
    <xf numFmtId="1" fontId="13" fillId="0" borderId="0" xfId="0" applyNumberFormat="1" applyFont="1" applyAlignment="1">
      <alignment horizontal="center" vertical="center" readingOrder="2"/>
    </xf>
    <xf numFmtId="0" fontId="13" fillId="0" borderId="0" xfId="0" applyFont="1" applyAlignment="1">
      <alignment horizontal="right" vertical="center" readingOrder="2"/>
    </xf>
    <xf numFmtId="0" fontId="10" fillId="3" borderId="2" xfId="0" applyFont="1" applyFill="1" applyBorder="1" applyAlignment="1">
      <alignment horizontal="center" vertical="center" wrapText="1" readingOrder="2"/>
    </xf>
    <xf numFmtId="0" fontId="0" fillId="9" borderId="2" xfId="0" applyFill="1" applyBorder="1" applyAlignment="1">
      <alignment horizontal="center" vertical="center" readingOrder="2"/>
    </xf>
    <xf numFmtId="9" fontId="0" fillId="0" borderId="1" xfId="0" applyNumberFormat="1" applyBorder="1" applyAlignment="1">
      <alignment horizontal="center" vertical="center" readingOrder="2"/>
    </xf>
    <xf numFmtId="0" fontId="6" fillId="0" borderId="4" xfId="0" applyFont="1" applyBorder="1" applyAlignment="1">
      <alignment horizontal="center" vertical="center" readingOrder="2"/>
    </xf>
    <xf numFmtId="0" fontId="5" fillId="0" borderId="4" xfId="0" applyFont="1" applyBorder="1" applyAlignment="1">
      <alignment horizontal="center" vertical="center" readingOrder="2"/>
    </xf>
    <xf numFmtId="0" fontId="1" fillId="0" borderId="0" xfId="0" applyFont="1" applyAlignment="1">
      <alignment vertical="center"/>
    </xf>
    <xf numFmtId="0" fontId="1" fillId="0" borderId="0" xfId="0" applyFont="1" applyAlignment="1">
      <alignment horizontal="right" vertical="center"/>
    </xf>
    <xf numFmtId="0" fontId="1" fillId="3" borderId="4" xfId="0" applyFont="1" applyFill="1" applyBorder="1" applyAlignment="1">
      <alignment horizontal="center" vertical="center" wrapText="1" readingOrder="2"/>
    </xf>
    <xf numFmtId="164" fontId="0" fillId="0" borderId="1" xfId="0" applyNumberFormat="1" applyBorder="1" applyAlignment="1">
      <alignment horizontal="center" vertical="center" readingOrder="2"/>
    </xf>
    <xf numFmtId="0" fontId="0" fillId="0" borderId="4" xfId="0" applyBorder="1" applyAlignment="1">
      <alignment horizontal="center" vertical="center" readingOrder="2"/>
    </xf>
    <xf numFmtId="0" fontId="4" fillId="3" borderId="6" xfId="0" applyFont="1" applyFill="1" applyBorder="1" applyAlignment="1">
      <alignment horizontal="center" vertical="center" wrapText="1" readingOrder="2"/>
    </xf>
    <xf numFmtId="0" fontId="4" fillId="3" borderId="6" xfId="0" applyFont="1" applyFill="1" applyBorder="1" applyAlignment="1">
      <alignment horizontal="center" vertical="center" readingOrder="2"/>
    </xf>
    <xf numFmtId="0" fontId="1" fillId="0" borderId="4" xfId="0" applyFont="1" applyBorder="1" applyAlignment="1">
      <alignment horizontal="right" vertical="center" readingOrder="2"/>
    </xf>
    <xf numFmtId="0" fontId="0" fillId="0" borderId="4" xfId="0" applyBorder="1" applyAlignment="1">
      <alignment horizontal="right" vertical="center" wrapText="1" readingOrder="2"/>
    </xf>
    <xf numFmtId="0" fontId="4" fillId="0" borderId="4" xfId="0" applyFont="1" applyBorder="1" applyAlignment="1">
      <alignment horizontal="right" vertical="center" readingOrder="2"/>
    </xf>
    <xf numFmtId="1" fontId="4" fillId="5" borderId="4" xfId="0" applyNumberFormat="1" applyFont="1" applyFill="1" applyBorder="1" applyAlignment="1">
      <alignment horizontal="center" vertical="center" readingOrder="2"/>
    </xf>
    <xf numFmtId="0" fontId="0" fillId="0" borderId="7" xfId="0" applyBorder="1" applyAlignment="1">
      <alignment horizontal="center" vertical="center" readingOrder="2"/>
    </xf>
    <xf numFmtId="0" fontId="6" fillId="6" borderId="4" xfId="0" applyFont="1" applyFill="1" applyBorder="1" applyAlignment="1">
      <alignment horizontal="center" vertical="center" readingOrder="2"/>
    </xf>
    <xf numFmtId="0" fontId="0" fillId="6" borderId="4" xfId="0" applyFill="1" applyBorder="1" applyAlignment="1">
      <alignment horizontal="center" vertical="center" readingOrder="2"/>
    </xf>
    <xf numFmtId="0" fontId="6" fillId="0" borderId="6" xfId="0" applyFont="1" applyBorder="1" applyAlignment="1">
      <alignment horizontal="center" vertical="center" readingOrder="2"/>
    </xf>
    <xf numFmtId="0" fontId="0" fillId="0" borderId="6" xfId="0" applyBorder="1" applyAlignment="1">
      <alignment horizontal="center" vertical="center" readingOrder="2"/>
    </xf>
    <xf numFmtId="0" fontId="1" fillId="0" borderId="6" xfId="0" applyFont="1" applyBorder="1" applyAlignment="1">
      <alignment horizontal="right" vertical="center" readingOrder="2"/>
    </xf>
    <xf numFmtId="0" fontId="0" fillId="0" borderId="6" xfId="0" applyBorder="1" applyAlignment="1">
      <alignment horizontal="right" vertical="center" wrapText="1" readingOrder="2"/>
    </xf>
    <xf numFmtId="0" fontId="4" fillId="0" borderId="6" xfId="0" applyFont="1" applyBorder="1" applyAlignment="1">
      <alignment horizontal="right" vertical="center" readingOrder="2"/>
    </xf>
    <xf numFmtId="164" fontId="3" fillId="4" borderId="6" xfId="0" applyNumberFormat="1" applyFont="1" applyFill="1" applyBorder="1" applyAlignment="1">
      <alignment horizontal="center" vertical="center" readingOrder="2"/>
    </xf>
    <xf numFmtId="0" fontId="0" fillId="6" borderId="7" xfId="0" applyFill="1" applyBorder="1" applyAlignment="1">
      <alignment horizontal="center" vertical="center" readingOrder="2"/>
    </xf>
    <xf numFmtId="0" fontId="4" fillId="3" borderId="9" xfId="0" applyFont="1" applyFill="1" applyBorder="1" applyAlignment="1">
      <alignment horizontal="center" vertical="center" wrapText="1" readingOrder="2"/>
    </xf>
    <xf numFmtId="0" fontId="0" fillId="0" borderId="9" xfId="0" applyBorder="1" applyAlignment="1">
      <alignment horizontal="center" vertical="center" readingOrder="2"/>
    </xf>
    <xf numFmtId="0" fontId="0" fillId="0" borderId="8" xfId="0" applyBorder="1" applyAlignment="1">
      <alignment horizontal="center" vertical="center" readingOrder="2"/>
    </xf>
    <xf numFmtId="164" fontId="0" fillId="0" borderId="4" xfId="0" applyNumberFormat="1" applyBorder="1" applyAlignment="1">
      <alignment horizontal="center" vertical="center" readingOrder="2"/>
    </xf>
    <xf numFmtId="20" fontId="0" fillId="0" borderId="4" xfId="0" applyNumberFormat="1" applyBorder="1" applyAlignment="1">
      <alignment horizontal="center" vertical="center" readingOrder="2"/>
    </xf>
    <xf numFmtId="1" fontId="0" fillId="0" borderId="4" xfId="0" applyNumberFormat="1" applyBorder="1" applyAlignment="1">
      <alignment horizontal="center" vertical="center" readingOrder="2"/>
    </xf>
    <xf numFmtId="9" fontId="0" fillId="0" borderId="4" xfId="0" applyNumberFormat="1" applyBorder="1" applyAlignment="1">
      <alignment horizontal="center" vertical="center" readingOrder="2"/>
    </xf>
    <xf numFmtId="0" fontId="6" fillId="6" borderId="3" xfId="0" applyFont="1" applyFill="1" applyBorder="1" applyAlignment="1">
      <alignment horizontal="center" vertical="center" readingOrder="2"/>
    </xf>
    <xf numFmtId="0" fontId="0" fillId="6" borderId="3" xfId="0" applyFill="1" applyBorder="1" applyAlignment="1">
      <alignment horizontal="center" vertical="center" readingOrder="2"/>
    </xf>
    <xf numFmtId="1" fontId="0" fillId="0" borderId="3" xfId="0" applyNumberFormat="1" applyBorder="1" applyAlignment="1">
      <alignment horizontal="center" vertical="center" readingOrder="2"/>
    </xf>
    <xf numFmtId="9" fontId="0" fillId="0" borderId="3" xfId="0" applyNumberFormat="1" applyBorder="1" applyAlignment="1">
      <alignment horizontal="center" vertical="center" readingOrder="2"/>
    </xf>
    <xf numFmtId="0" fontId="11" fillId="2" borderId="0" xfId="0" applyFont="1" applyFill="1" applyAlignment="1">
      <alignment horizontal="right" vertical="center" readingOrder="2"/>
    </xf>
    <xf numFmtId="0" fontId="5" fillId="6" borderId="1" xfId="0" applyFont="1" applyFill="1" applyBorder="1" applyAlignment="1">
      <alignment horizontal="center" vertical="center" readingOrder="2"/>
    </xf>
    <xf numFmtId="0" fontId="1" fillId="5" borderId="1" xfId="0" applyFont="1" applyFill="1" applyBorder="1" applyAlignment="1">
      <alignment horizontal="center" vertical="center" readingOrder="2"/>
    </xf>
    <xf numFmtId="0" fontId="1" fillId="0" borderId="1" xfId="0" applyFont="1" applyBorder="1" applyAlignment="1">
      <alignment horizontal="center" vertical="center" readingOrder="2"/>
    </xf>
    <xf numFmtId="0" fontId="0" fillId="0" borderId="1" xfId="0" applyBorder="1" applyAlignment="1">
      <alignment horizontal="center" vertical="center" readingOrder="2"/>
    </xf>
    <xf numFmtId="0" fontId="5" fillId="0" borderId="1" xfId="0" applyFont="1" applyBorder="1" applyAlignment="1">
      <alignment horizontal="center" vertical="center" readingOrder="2"/>
    </xf>
    <xf numFmtId="0" fontId="1" fillId="5" borderId="4" xfId="0" applyFont="1" applyFill="1" applyBorder="1" applyAlignment="1">
      <alignment horizontal="center" vertical="center" readingOrder="2"/>
    </xf>
    <xf numFmtId="0" fontId="1" fillId="5" borderId="3" xfId="0" applyFont="1" applyFill="1" applyBorder="1" applyAlignment="1">
      <alignment horizontal="center" vertical="center" readingOrder="2"/>
    </xf>
    <xf numFmtId="0" fontId="5" fillId="6" borderId="3" xfId="0" applyFont="1" applyFill="1" applyBorder="1" applyAlignment="1">
      <alignment horizontal="center" vertical="center" readingOrder="2"/>
    </xf>
    <xf numFmtId="0" fontId="9" fillId="2" borderId="0" xfId="0" applyFont="1" applyFill="1" applyAlignment="1">
      <alignment horizontal="right" vertical="center" readingOrder="2"/>
    </xf>
    <xf numFmtId="0" fontId="1" fillId="5" borderId="6" xfId="0" applyFont="1" applyFill="1" applyBorder="1" applyAlignment="1">
      <alignment horizontal="center" vertical="center" readingOrder="2"/>
    </xf>
    <xf numFmtId="0" fontId="5" fillId="0" borderId="4" xfId="0" applyFont="1" applyBorder="1" applyAlignment="1">
      <alignment horizontal="center" vertical="center" readingOrder="2"/>
    </xf>
    <xf numFmtId="0" fontId="5" fillId="0" borderId="8" xfId="0" applyFont="1" applyBorder="1" applyAlignment="1">
      <alignment horizontal="center" vertical="center" readingOrder="2"/>
    </xf>
    <xf numFmtId="0" fontId="1" fillId="6" borderId="1" xfId="0" applyFont="1" applyFill="1" applyBorder="1" applyAlignment="1">
      <alignment horizontal="center" vertical="center" readingOrder="2"/>
    </xf>
    <xf numFmtId="0" fontId="0" fillId="6" borderId="1" xfId="0" applyFill="1" applyBorder="1" applyAlignment="1">
      <alignment horizontal="center" vertical="center" readingOrder="2"/>
    </xf>
    <xf numFmtId="0" fontId="5" fillId="6" borderId="4" xfId="0" applyFont="1" applyFill="1" applyBorder="1" applyAlignment="1">
      <alignment horizontal="center" vertical="center" readingOrder="2"/>
    </xf>
    <xf numFmtId="0" fontId="0" fillId="6" borderId="4" xfId="0" applyFill="1" applyBorder="1" applyAlignment="1">
      <alignment horizontal="center" vertical="center" readingOrder="2"/>
    </xf>
    <xf numFmtId="0" fontId="0" fillId="6" borderId="3" xfId="0" applyFill="1" applyBorder="1" applyAlignment="1">
      <alignment horizontal="center" vertical="center" readingOrder="2"/>
    </xf>
    <xf numFmtId="0" fontId="0" fillId="0" borderId="6" xfId="0" applyBorder="1" applyAlignment="1">
      <alignment horizontal="center" vertical="center" readingOrder="2"/>
    </xf>
    <xf numFmtId="0" fontId="0" fillId="0" borderId="4" xfId="0" applyBorder="1" applyAlignment="1">
      <alignment horizontal="center" vertical="center" readingOrder="2"/>
    </xf>
    <xf numFmtId="0" fontId="5" fillId="0" borderId="7" xfId="0" applyFont="1" applyBorder="1" applyAlignment="1">
      <alignment horizontal="center" vertical="center" readingOrder="2"/>
    </xf>
    <xf numFmtId="0" fontId="1" fillId="0" borderId="6" xfId="0" applyFont="1" applyBorder="1" applyAlignment="1">
      <alignment horizontal="center" vertical="center" readingOrder="2"/>
    </xf>
    <xf numFmtId="0" fontId="2" fillId="2" borderId="0" xfId="0" applyFont="1" applyFill="1" applyAlignment="1">
      <alignment horizontal="right" vertical="center" readingOrder="2"/>
    </xf>
    <xf numFmtId="0" fontId="11" fillId="2" borderId="5" xfId="0" applyFont="1" applyFill="1" applyBorder="1" applyAlignment="1">
      <alignment horizontal="right" vertical="center" readingOrder="2"/>
    </xf>
    <xf numFmtId="0" fontId="0" fillId="0" borderId="5" xfId="0" applyBorder="1" applyAlignment="1">
      <alignment vertical="center" readingOrder="2"/>
    </xf>
    <xf numFmtId="0" fontId="0" fillId="0" borderId="0" xfId="0" applyAlignment="1">
      <alignment vertical="center" readingOrder="2"/>
    </xf>
    <xf numFmtId="0" fontId="0" fillId="6" borderId="2" xfId="0" applyFill="1" applyBorder="1" applyAlignment="1">
      <alignment horizontal="center" vertical="center" readingOrder="2"/>
    </xf>
    <xf numFmtId="0" fontId="1" fillId="5" borderId="2" xfId="0" applyFont="1" applyFill="1" applyBorder="1" applyAlignment="1">
      <alignment horizontal="center" vertical="center" readingOrder="2"/>
    </xf>
    <xf numFmtId="0" fontId="0" fillId="0" borderId="2" xfId="0" applyBorder="1" applyAlignment="1">
      <alignment horizontal="center" vertical="center" readingOrder="2"/>
    </xf>
    <xf numFmtId="0" fontId="8" fillId="2" borderId="0" xfId="0" applyFont="1" applyFill="1" applyAlignment="1">
      <alignment horizontal="right" vertical="center" readingOrder="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8025A7E-D0D1-42E7-8D7A-EE334EDF4F17}">
  <we:reference id="WA200009404" version="1.0.0.8" store="Omex" storeType="OMEX"/>
  <we:alternateReferences>
    <we:reference id="WA200009404" version="1.0.0.8" store="WA200009404" storeType="OMEX"/>
  </we:alternateReferences>
  <we:properties>
    <we:property name="claude.fileId" value="&quot;8cb26cc9-53fa-47d2-b20e-388639a1f141&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50F5F-C0EC-44ED-9404-D752A483FC8E}">
  <dimension ref="A1:B7"/>
  <sheetViews>
    <sheetView showGridLines="0" rightToLeft="1" workbookViewId="0">
      <pane ySplit="3" topLeftCell="A4" activePane="bottomLeft" state="frozen"/>
      <selection activeCell="M9" sqref="M9"/>
      <selection pane="bottomLeft" activeCell="M9" sqref="M9"/>
    </sheetView>
  </sheetViews>
  <sheetFormatPr defaultRowHeight="14.5"/>
  <cols>
    <col min="1" max="1" width="45.453125" customWidth="1"/>
    <col min="2" max="2" width="18.1796875" customWidth="1"/>
  </cols>
  <sheetData>
    <row r="1" spans="1:2" ht="26" customHeight="1">
      <c r="A1" s="83" t="s">
        <v>112</v>
      </c>
      <c r="B1" s="83"/>
    </row>
    <row r="2" spans="1:2" ht="8" customHeight="1">
      <c r="A2" s="8"/>
      <c r="B2" s="8"/>
    </row>
    <row r="3" spans="1:2" s="5" customFormat="1" ht="24" customHeight="1">
      <c r="A3" s="48" t="s">
        <v>14</v>
      </c>
      <c r="B3" s="48" t="s">
        <v>15</v>
      </c>
    </row>
    <row r="4" spans="1:2">
      <c r="A4" s="60" t="s">
        <v>16</v>
      </c>
      <c r="B4" s="61">
        <v>0.70833333333333304</v>
      </c>
    </row>
    <row r="5" spans="1:2">
      <c r="A5" s="51" t="s">
        <v>106</v>
      </c>
      <c r="B5" s="52">
        <v>15</v>
      </c>
    </row>
    <row r="6" spans="1:2">
      <c r="A6" s="27" t="s">
        <v>231</v>
      </c>
      <c r="B6" s="7">
        <v>7</v>
      </c>
    </row>
    <row r="7" spans="1:2">
      <c r="A7" s="27" t="s">
        <v>280</v>
      </c>
      <c r="B7" s="7">
        <v>4</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6A63C-8763-4BF6-9266-2FA4F4F6BA25}">
  <dimension ref="A1:O199"/>
  <sheetViews>
    <sheetView showGridLines="0" rightToLeft="1" zoomScale="48" workbookViewId="0">
      <pane ySplit="3" topLeftCell="A4" activePane="bottomLeft" state="frozen"/>
      <selection activeCell="M9" sqref="M9"/>
      <selection pane="bottomLeft" activeCell="M9" sqref="M9"/>
    </sheetView>
  </sheetViews>
  <sheetFormatPr defaultRowHeight="14.5"/>
  <cols>
    <col min="1" max="1" width="7.26953125" customWidth="1"/>
    <col min="2" max="2" width="27.26953125" customWidth="1"/>
    <col min="3" max="3" width="87.26953125" customWidth="1"/>
    <col min="4" max="5" width="15.6328125" customWidth="1"/>
    <col min="6" max="6" width="16" customWidth="1"/>
    <col min="7" max="7" width="25.453125" customWidth="1"/>
    <col min="8" max="8" width="27.26953125" customWidth="1"/>
    <col min="9" max="16" width="5.453125" customWidth="1"/>
  </cols>
  <sheetData>
    <row r="1" spans="1:15" ht="26" customHeight="1">
      <c r="A1" s="83" t="s">
        <v>260</v>
      </c>
      <c r="B1" s="83"/>
      <c r="C1" s="83"/>
      <c r="O1" s="2"/>
    </row>
    <row r="2" spans="1:15" ht="8" customHeight="1">
      <c r="A2" s="8"/>
      <c r="B2" s="8"/>
      <c r="C2" s="8"/>
      <c r="O2" s="2"/>
    </row>
    <row r="3" spans="1:15" ht="24" customHeight="1">
      <c r="A3" s="48" t="s">
        <v>107</v>
      </c>
      <c r="B3" s="48" t="s">
        <v>108</v>
      </c>
      <c r="C3" s="48" t="s">
        <v>109</v>
      </c>
      <c r="O3" s="2"/>
    </row>
    <row r="4" spans="1:15" ht="29">
      <c r="A4" s="57">
        <v>1</v>
      </c>
      <c r="B4" s="58" t="s">
        <v>113</v>
      </c>
      <c r="C4" s="59" t="s">
        <v>229</v>
      </c>
      <c r="O4" s="2"/>
    </row>
    <row r="5" spans="1:15" ht="43.5">
      <c r="A5" s="46">
        <v>2</v>
      </c>
      <c r="B5" s="49" t="s">
        <v>230</v>
      </c>
      <c r="C5" s="50" t="s">
        <v>311</v>
      </c>
      <c r="O5" s="2"/>
    </row>
    <row r="6" spans="1:15">
      <c r="A6" s="9">
        <v>3</v>
      </c>
      <c r="B6" s="6" t="s">
        <v>111</v>
      </c>
      <c r="C6" s="30" t="s">
        <v>114</v>
      </c>
      <c r="O6" s="2"/>
    </row>
    <row r="7" spans="1:15" ht="72.5">
      <c r="A7" s="9">
        <v>4</v>
      </c>
      <c r="B7" s="6" t="s">
        <v>110</v>
      </c>
      <c r="C7" s="30" t="s">
        <v>360</v>
      </c>
      <c r="O7" s="2"/>
    </row>
    <row r="8" spans="1:15" ht="58">
      <c r="A8" s="9">
        <v>5</v>
      </c>
      <c r="B8" s="6" t="s">
        <v>261</v>
      </c>
      <c r="C8" s="30" t="s">
        <v>312</v>
      </c>
      <c r="O8" s="2"/>
    </row>
    <row r="9" spans="1:15" ht="72.5">
      <c r="A9" s="9">
        <v>6</v>
      </c>
      <c r="B9" s="6" t="s">
        <v>361</v>
      </c>
      <c r="C9" s="30" t="s">
        <v>362</v>
      </c>
      <c r="O9" s="2"/>
    </row>
    <row r="10" spans="1:15">
      <c r="O10" s="2"/>
    </row>
    <row r="11" spans="1:15" ht="14.5" customHeight="1">
      <c r="O11" s="2"/>
    </row>
    <row r="12" spans="1:15">
      <c r="O12" s="2"/>
    </row>
    <row r="13" spans="1:15">
      <c r="O13" s="2"/>
    </row>
    <row r="14" spans="1:15">
      <c r="O14" s="2"/>
    </row>
    <row r="15" spans="1:15">
      <c r="O15" s="2"/>
    </row>
    <row r="16" spans="1:15">
      <c r="O16" s="2"/>
    </row>
    <row r="17" spans="15:15">
      <c r="O17" s="2"/>
    </row>
    <row r="18" spans="15:15" ht="14.5" customHeight="1">
      <c r="O18" s="2"/>
    </row>
    <row r="19" spans="15:15">
      <c r="O19" s="2"/>
    </row>
    <row r="20" spans="15:15">
      <c r="O20" s="2"/>
    </row>
    <row r="21" spans="15:15">
      <c r="O21" s="2"/>
    </row>
    <row r="22" spans="15:15">
      <c r="O22" s="2"/>
    </row>
    <row r="23" spans="15:15">
      <c r="O23" s="2"/>
    </row>
    <row r="24" spans="15:15">
      <c r="O24" s="2"/>
    </row>
    <row r="25" spans="15:15" ht="14.5" customHeight="1">
      <c r="O25" s="2"/>
    </row>
    <row r="26" spans="15:15">
      <c r="O26" s="2"/>
    </row>
    <row r="27" spans="15:15">
      <c r="O27" s="2"/>
    </row>
    <row r="28" spans="15:15">
      <c r="O28" s="2"/>
    </row>
    <row r="29" spans="15:15">
      <c r="O29" s="2"/>
    </row>
    <row r="30" spans="15:15">
      <c r="O30" s="2"/>
    </row>
    <row r="31" spans="15:15">
      <c r="O31" s="2"/>
    </row>
    <row r="32" spans="15:15" ht="14.5" customHeight="1">
      <c r="O32" s="2"/>
    </row>
    <row r="33" spans="15:15">
      <c r="O33" s="2"/>
    </row>
    <row r="34" spans="15:15">
      <c r="O34" s="2"/>
    </row>
    <row r="35" spans="15:15">
      <c r="O35" s="2"/>
    </row>
    <row r="36" spans="15:15">
      <c r="O36" s="2"/>
    </row>
    <row r="37" spans="15:15" ht="14.5" customHeight="1">
      <c r="O37" s="2"/>
    </row>
    <row r="38" spans="15:15">
      <c r="O38" s="2"/>
    </row>
    <row r="39" spans="15:15" ht="14.5" customHeight="1">
      <c r="O39" s="2"/>
    </row>
    <row r="40" spans="15:15">
      <c r="O40" s="2"/>
    </row>
    <row r="41" spans="15:15">
      <c r="O41" s="2"/>
    </row>
    <row r="42" spans="15:15" ht="14.5" customHeight="1">
      <c r="O42" s="2"/>
    </row>
    <row r="43" spans="15:15">
      <c r="O43" s="2"/>
    </row>
    <row r="44" spans="15:15">
      <c r="O44" s="2"/>
    </row>
    <row r="45" spans="15:15">
      <c r="O45" s="2"/>
    </row>
    <row r="46" spans="15:15" ht="14.5" customHeight="1">
      <c r="O46" s="2"/>
    </row>
    <row r="47" spans="15:15">
      <c r="O47" s="2"/>
    </row>
    <row r="48" spans="15:15">
      <c r="O48" s="2"/>
    </row>
    <row r="49" spans="15:15">
      <c r="O49" s="2"/>
    </row>
    <row r="50" spans="15:15">
      <c r="O50" s="2"/>
    </row>
    <row r="51" spans="15:15">
      <c r="O51" s="2"/>
    </row>
    <row r="52" spans="15:15">
      <c r="O52" s="2"/>
    </row>
    <row r="53" spans="15:15">
      <c r="O53" s="2"/>
    </row>
    <row r="54" spans="15:15">
      <c r="O54" s="2"/>
    </row>
    <row r="55" spans="15:15">
      <c r="O55" s="2"/>
    </row>
    <row r="56" spans="15:15">
      <c r="O56" s="2"/>
    </row>
    <row r="57" spans="15:15">
      <c r="O57" s="2"/>
    </row>
    <row r="58" spans="15:15">
      <c r="O58" s="2"/>
    </row>
    <row r="59" spans="15:15">
      <c r="O59" s="2"/>
    </row>
    <row r="60" spans="15:15">
      <c r="O60" s="2"/>
    </row>
    <row r="61" spans="15:15">
      <c r="O61" s="2"/>
    </row>
    <row r="62" spans="15:15">
      <c r="O62" s="2"/>
    </row>
    <row r="63" spans="15:15">
      <c r="O63" s="2"/>
    </row>
    <row r="64" spans="15:15">
      <c r="O64" s="2"/>
    </row>
    <row r="65" spans="8:15">
      <c r="O65" s="2"/>
    </row>
    <row r="66" spans="8:15">
      <c r="O66" s="2"/>
    </row>
    <row r="67" spans="8:15">
      <c r="O67" s="2"/>
    </row>
    <row r="68" spans="8:15">
      <c r="O68" s="2"/>
    </row>
    <row r="69" spans="8:15">
      <c r="O69" s="2"/>
    </row>
    <row r="70" spans="8:15">
      <c r="O70" s="2"/>
    </row>
    <row r="71" spans="8:15">
      <c r="O71" s="2"/>
    </row>
    <row r="72" spans="8:15">
      <c r="O72" s="2"/>
    </row>
    <row r="73" spans="8:15">
      <c r="O73" s="2"/>
    </row>
    <row r="74" spans="8:15">
      <c r="O74" s="2"/>
    </row>
    <row r="75" spans="8:15">
      <c r="O75" s="2"/>
    </row>
    <row r="76" spans="8:15">
      <c r="O76" s="2"/>
    </row>
    <row r="77" spans="8:15">
      <c r="H77" s="3"/>
      <c r="I77" s="2"/>
      <c r="J77" s="2"/>
      <c r="K77" s="2"/>
      <c r="L77" s="2"/>
      <c r="M77" s="2"/>
      <c r="N77" s="2"/>
      <c r="O77" s="2"/>
    </row>
    <row r="78" spans="8:15">
      <c r="H78" s="4"/>
    </row>
    <row r="79" spans="8:15">
      <c r="H79" s="4"/>
    </row>
    <row r="80" spans="8:15">
      <c r="H80" s="4"/>
    </row>
    <row r="81" spans="8:8">
      <c r="H81" s="4"/>
    </row>
    <row r="82" spans="8:8">
      <c r="H82" s="4"/>
    </row>
    <row r="83" spans="8:8">
      <c r="H83" s="4"/>
    </row>
    <row r="84" spans="8:8">
      <c r="H84" s="4"/>
    </row>
    <row r="85" spans="8:8">
      <c r="H85" s="4"/>
    </row>
    <row r="86" spans="8:8">
      <c r="H86" s="4"/>
    </row>
    <row r="87" spans="8:8">
      <c r="H87" s="4"/>
    </row>
    <row r="88" spans="8:8">
      <c r="H88" s="4"/>
    </row>
    <row r="89" spans="8:8">
      <c r="H89" s="4"/>
    </row>
    <row r="90" spans="8:8">
      <c r="H90" s="4"/>
    </row>
    <row r="91" spans="8:8">
      <c r="H91" s="4"/>
    </row>
    <row r="92" spans="8:8">
      <c r="H92" s="4"/>
    </row>
    <row r="93" spans="8:8">
      <c r="H93" s="4"/>
    </row>
    <row r="94" spans="8:8">
      <c r="H94" s="4"/>
    </row>
    <row r="95" spans="8:8">
      <c r="H95" s="4"/>
    </row>
    <row r="96" spans="8:8">
      <c r="H96" s="4"/>
    </row>
    <row r="97" spans="8:8">
      <c r="H97" s="4"/>
    </row>
    <row r="98" spans="8:8">
      <c r="H98" s="4"/>
    </row>
    <row r="99" spans="8:8">
      <c r="H99" s="4"/>
    </row>
    <row r="100" spans="8:8">
      <c r="H100" s="4"/>
    </row>
    <row r="101" spans="8:8">
      <c r="H101" s="4"/>
    </row>
    <row r="102" spans="8:8">
      <c r="H102" s="4"/>
    </row>
    <row r="103" spans="8:8">
      <c r="H103" s="4"/>
    </row>
    <row r="104" spans="8:8">
      <c r="H104" s="4"/>
    </row>
    <row r="105" spans="8:8">
      <c r="H105" s="4"/>
    </row>
    <row r="106" spans="8:8">
      <c r="H106" s="4"/>
    </row>
    <row r="107" spans="8:8">
      <c r="H107" s="4"/>
    </row>
    <row r="108" spans="8:8">
      <c r="H108" s="4"/>
    </row>
    <row r="109" spans="8:8">
      <c r="H109" s="4"/>
    </row>
    <row r="110" spans="8:8">
      <c r="H110" s="4"/>
    </row>
    <row r="111" spans="8:8">
      <c r="H111" s="4"/>
    </row>
    <row r="112" spans="8:8">
      <c r="H112" s="4"/>
    </row>
    <row r="113" spans="8:8">
      <c r="H113" s="4"/>
    </row>
    <row r="114" spans="8:8">
      <c r="H114" s="4"/>
    </row>
    <row r="115" spans="8:8">
      <c r="H115" s="4"/>
    </row>
    <row r="116" spans="8:8">
      <c r="H116" s="4"/>
    </row>
    <row r="117" spans="8:8">
      <c r="H117" s="4"/>
    </row>
    <row r="118" spans="8:8">
      <c r="H118" s="4"/>
    </row>
    <row r="119" spans="8:8">
      <c r="H119" s="4"/>
    </row>
    <row r="120" spans="8:8">
      <c r="H120" s="4"/>
    </row>
    <row r="121" spans="8:8">
      <c r="H121" s="4"/>
    </row>
    <row r="122" spans="8:8">
      <c r="H122" s="4"/>
    </row>
    <row r="123" spans="8:8">
      <c r="H123" s="4"/>
    </row>
    <row r="124" spans="8:8">
      <c r="H124" s="4"/>
    </row>
    <row r="125" spans="8:8">
      <c r="H125" s="4"/>
    </row>
    <row r="126" spans="8:8">
      <c r="H126" s="4"/>
    </row>
    <row r="127" spans="8:8">
      <c r="H127" s="4"/>
    </row>
    <row r="128" spans="8:8">
      <c r="H128" s="4"/>
    </row>
    <row r="129" spans="8:8">
      <c r="H129" s="4"/>
    </row>
    <row r="130" spans="8:8">
      <c r="H130" s="4"/>
    </row>
    <row r="131" spans="8:8">
      <c r="H131" s="4"/>
    </row>
    <row r="132" spans="8:8">
      <c r="H132" s="4"/>
    </row>
    <row r="133" spans="8:8">
      <c r="H133" s="4"/>
    </row>
    <row r="134" spans="8:8">
      <c r="H134" s="4"/>
    </row>
    <row r="135" spans="8:8">
      <c r="H135" s="4"/>
    </row>
    <row r="136" spans="8:8">
      <c r="H136" s="4"/>
    </row>
    <row r="137" spans="8:8">
      <c r="H137" s="4"/>
    </row>
    <row r="138" spans="8:8">
      <c r="H138" s="4"/>
    </row>
    <row r="139" spans="8:8">
      <c r="H139" s="4"/>
    </row>
    <row r="140" spans="8:8">
      <c r="H140" s="4"/>
    </row>
    <row r="141" spans="8:8">
      <c r="H141" s="4"/>
    </row>
    <row r="142" spans="8:8">
      <c r="H142" s="4"/>
    </row>
    <row r="143" spans="8:8">
      <c r="H143" s="4"/>
    </row>
    <row r="144" spans="8:8">
      <c r="H144" s="4"/>
    </row>
    <row r="145" spans="8:8">
      <c r="H145" s="4"/>
    </row>
    <row r="146" spans="8:8">
      <c r="H146" s="4"/>
    </row>
    <row r="147" spans="8:8">
      <c r="H147" s="4"/>
    </row>
    <row r="148" spans="8:8">
      <c r="H148" s="4"/>
    </row>
    <row r="149" spans="8:8">
      <c r="H149" s="4"/>
    </row>
    <row r="150" spans="8:8">
      <c r="H150" s="4"/>
    </row>
    <row r="151" spans="8:8">
      <c r="H151" s="4"/>
    </row>
    <row r="152" spans="8:8">
      <c r="H152" s="4"/>
    </row>
    <row r="153" spans="8:8">
      <c r="H153" s="4"/>
    </row>
    <row r="154" spans="8:8">
      <c r="H154" s="4"/>
    </row>
    <row r="155" spans="8:8">
      <c r="H155" s="4"/>
    </row>
    <row r="156" spans="8:8">
      <c r="H156" s="4"/>
    </row>
    <row r="157" spans="8:8">
      <c r="H157" s="4"/>
    </row>
    <row r="158" spans="8:8">
      <c r="H158" s="4"/>
    </row>
    <row r="159" spans="8:8">
      <c r="H159" s="4"/>
    </row>
    <row r="160" spans="8:8">
      <c r="H160" s="4"/>
    </row>
    <row r="161" spans="8:8">
      <c r="H161" s="4"/>
    </row>
    <row r="162" spans="8:8">
      <c r="H162" s="4"/>
    </row>
    <row r="163" spans="8:8">
      <c r="H163" s="4"/>
    </row>
    <row r="164" spans="8:8">
      <c r="H164" s="4"/>
    </row>
    <row r="165" spans="8:8">
      <c r="H165" s="4"/>
    </row>
    <row r="166" spans="8:8">
      <c r="H166" s="4"/>
    </row>
    <row r="167" spans="8:8">
      <c r="H167" s="4"/>
    </row>
    <row r="168" spans="8:8">
      <c r="H168" s="4"/>
    </row>
    <row r="169" spans="8:8">
      <c r="H169" s="4"/>
    </row>
    <row r="170" spans="8:8">
      <c r="H170" s="4"/>
    </row>
    <row r="171" spans="8:8">
      <c r="H171" s="4"/>
    </row>
    <row r="172" spans="8:8">
      <c r="H172" s="4"/>
    </row>
    <row r="173" spans="8:8">
      <c r="H173" s="4"/>
    </row>
    <row r="174" spans="8:8">
      <c r="H174" s="4"/>
    </row>
    <row r="175" spans="8:8">
      <c r="H175" s="4"/>
    </row>
    <row r="176" spans="8:8">
      <c r="H176" s="4"/>
    </row>
    <row r="177" spans="8:8">
      <c r="H177" s="4"/>
    </row>
    <row r="178" spans="8:8">
      <c r="H178" s="4"/>
    </row>
    <row r="179" spans="8:8">
      <c r="H179" s="4"/>
    </row>
    <row r="180" spans="8:8">
      <c r="H180" s="4"/>
    </row>
    <row r="181" spans="8:8">
      <c r="H181" s="4"/>
    </row>
    <row r="182" spans="8:8">
      <c r="H182" s="4"/>
    </row>
    <row r="183" spans="8:8">
      <c r="H183" s="4"/>
    </row>
    <row r="184" spans="8:8">
      <c r="H184" s="4"/>
    </row>
    <row r="185" spans="8:8">
      <c r="H185" s="4"/>
    </row>
    <row r="186" spans="8:8">
      <c r="H186" s="4"/>
    </row>
    <row r="187" spans="8:8">
      <c r="H187" s="4"/>
    </row>
    <row r="188" spans="8:8">
      <c r="H188" s="4"/>
    </row>
    <row r="189" spans="8:8">
      <c r="H189" s="4"/>
    </row>
    <row r="190" spans="8:8">
      <c r="H190" s="4"/>
    </row>
    <row r="191" spans="8:8">
      <c r="H191" s="4"/>
    </row>
    <row r="192" spans="8:8">
      <c r="H192" s="4"/>
    </row>
    <row r="193" spans="8:8">
      <c r="H193" s="4"/>
    </row>
    <row r="194" spans="8:8">
      <c r="H194" s="4"/>
    </row>
    <row r="195" spans="8:8">
      <c r="H195" s="4"/>
    </row>
    <row r="196" spans="8:8">
      <c r="H196" s="4"/>
    </row>
    <row r="197" spans="8:8">
      <c r="H197" s="4"/>
    </row>
    <row r="198" spans="8:8">
      <c r="H198" s="4"/>
    </row>
    <row r="199" spans="8:8">
      <c r="H199" s="4"/>
    </row>
  </sheetData>
  <mergeCells count="1">
    <mergeCell ref="A1: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FCF21-793A-4B82-A098-F01E85203569}">
  <dimension ref="A1:M29"/>
  <sheetViews>
    <sheetView showGridLines="0" rightToLeft="1" tabSelected="1" zoomScale="69" zoomScaleNormal="70" workbookViewId="0">
      <pane xSplit="2" ySplit="3" topLeftCell="C4" activePane="bottomRight" state="frozen"/>
      <selection activeCell="M9" sqref="M9"/>
      <selection pane="topRight" activeCell="M9" sqref="M9"/>
      <selection pane="bottomLeft" activeCell="M9" sqref="M9"/>
      <selection pane="bottomRight" activeCell="M9" sqref="M9"/>
    </sheetView>
  </sheetViews>
  <sheetFormatPr defaultRowHeight="14.5"/>
  <cols>
    <col min="1" max="1" width="7.7265625" bestFit="1" customWidth="1"/>
    <col min="2" max="2" width="12.7265625" customWidth="1"/>
    <col min="3" max="3" width="20" customWidth="1"/>
    <col min="4" max="4" width="16.36328125" bestFit="1" customWidth="1"/>
    <col min="5" max="6" width="14.26953125" bestFit="1" customWidth="1"/>
    <col min="7" max="8" width="18.1796875" customWidth="1"/>
    <col min="9" max="9" width="7.08984375" bestFit="1" customWidth="1"/>
    <col min="10" max="10" width="17.1796875" bestFit="1" customWidth="1"/>
    <col min="11" max="11" width="10.36328125" bestFit="1" customWidth="1"/>
    <col min="12" max="12" width="14.54296875" customWidth="1"/>
    <col min="13" max="13" width="16.36328125" customWidth="1"/>
  </cols>
  <sheetData>
    <row r="1" spans="1:13" ht="26" customHeight="1">
      <c r="A1" s="83" t="s">
        <v>259</v>
      </c>
      <c r="B1" s="83"/>
      <c r="C1" s="83"/>
      <c r="D1" s="83"/>
      <c r="E1" s="83"/>
      <c r="F1" s="83"/>
      <c r="G1" s="83"/>
      <c r="H1" s="83"/>
      <c r="I1" s="83"/>
      <c r="J1" s="83"/>
      <c r="K1" s="83"/>
      <c r="L1" s="96"/>
      <c r="M1" s="96"/>
    </row>
    <row r="2" spans="1:13" ht="8" customHeight="1">
      <c r="A2" s="8"/>
      <c r="B2" s="8"/>
      <c r="C2" s="8"/>
      <c r="D2" s="8"/>
      <c r="E2" s="8"/>
      <c r="F2" s="8"/>
      <c r="G2" s="8"/>
      <c r="H2" s="8"/>
      <c r="I2" s="8"/>
      <c r="J2" s="8"/>
      <c r="K2" s="8"/>
      <c r="L2" s="8"/>
      <c r="M2" s="8"/>
    </row>
    <row r="3" spans="1:13" ht="34" customHeight="1">
      <c r="A3" s="47" t="s">
        <v>13</v>
      </c>
      <c r="B3" s="47" t="s">
        <v>306</v>
      </c>
      <c r="C3" s="47" t="s">
        <v>307</v>
      </c>
      <c r="D3" s="63" t="s">
        <v>308</v>
      </c>
      <c r="E3" s="47" t="s">
        <v>232</v>
      </c>
      <c r="F3" s="47" t="s">
        <v>233</v>
      </c>
      <c r="G3" s="47" t="s">
        <v>17</v>
      </c>
      <c r="H3" s="47" t="s">
        <v>18</v>
      </c>
      <c r="I3" s="47" t="s">
        <v>19</v>
      </c>
      <c r="J3" s="47" t="s">
        <v>279</v>
      </c>
      <c r="K3" s="47" t="s">
        <v>281</v>
      </c>
      <c r="L3" s="8"/>
      <c r="M3" s="8"/>
    </row>
    <row r="4" spans="1:13">
      <c r="A4" s="57">
        <v>6</v>
      </c>
      <c r="B4" s="57">
        <v>1</v>
      </c>
      <c r="C4" s="57">
        <v>6</v>
      </c>
      <c r="D4" s="65" t="str">
        <f>IF('6 فرق'!$B$63='6 فرق'!$B$64,'6 فرق'!$B$63&amp;"",'6 فرق'!$B$63&amp;_xlfn.UNICHAR(8206)&amp;"–"&amp;_xlfn.UNICHAR(8206)&amp;'6 فرق'!$B$64)</f>
        <v>5‎–‎6</v>
      </c>
      <c r="E4" s="46">
        <f>SUM('6 فرق'!F4:F52)*2/A4</f>
        <v>28</v>
      </c>
      <c r="F4" s="46">
        <f>E4/المدخلات!$B$6</f>
        <v>4</v>
      </c>
      <c r="G4" s="66">
        <f>المدخلات!$B$4</f>
        <v>0.70833333333333304</v>
      </c>
      <c r="H4" s="66">
        <f t="shared" ref="H4:H14" si="0">G4+I4</f>
        <v>0.78124999999999967</v>
      </c>
      <c r="I4" s="67">
        <f>COUNTA('6 فرق'!B4:'6 فرق'!B10)*المدخلات!$B$5/1440</f>
        <v>7.2916666666666671E-2</v>
      </c>
      <c r="J4" s="46">
        <f>COUNTIF('6 فرق'!C3:H3,"ملعب *")</f>
        <v>3</v>
      </c>
      <c r="K4" s="46">
        <f>ROUNDUP(J4/المدخلات!$B$7,0)</f>
        <v>1</v>
      </c>
      <c r="L4" s="8"/>
      <c r="M4" s="8"/>
    </row>
    <row r="5" spans="1:13">
      <c r="A5" s="46">
        <v>7</v>
      </c>
      <c r="B5" s="46">
        <v>1</v>
      </c>
      <c r="C5" s="46">
        <v>7</v>
      </c>
      <c r="D5" s="53" t="str">
        <f>IF('7 فرق'!$B$78='7 فرق'!$B$79,'7 فرق'!$B$78&amp;"",'7 فرق'!$B$78&amp;_xlfn.UNICHAR(8206)&amp;"–"&amp;_xlfn.UNICHAR(8206)&amp;'7 فرق'!$B$79)</f>
        <v>4‎–‎5</v>
      </c>
      <c r="E5" s="9">
        <f>SUM('7 فرق'!F4:'7 فرق'!F66)*2/A5</f>
        <v>28</v>
      </c>
      <c r="F5" s="9">
        <f>E5/المدخلات!$B$6</f>
        <v>4</v>
      </c>
      <c r="G5" s="45">
        <f>المدخلات!$B$4</f>
        <v>0.70833333333333304</v>
      </c>
      <c r="H5" s="45">
        <f t="shared" si="0"/>
        <v>0.80208333333333304</v>
      </c>
      <c r="I5" s="31">
        <f>COUNTA('7 فرق'!B4:'7 فرق'!B12)*المدخلات!$B$5/1440</f>
        <v>9.375E-2</v>
      </c>
      <c r="J5" s="9">
        <f>COUNTIF('7 فرق'!C3:E3,"ملعب *")</f>
        <v>3</v>
      </c>
      <c r="K5" s="9">
        <f>ROUNDUP(J5/المدخلات!$B$7,0)</f>
        <v>1</v>
      </c>
      <c r="L5" s="8"/>
      <c r="M5" s="8"/>
    </row>
    <row r="6" spans="1:13">
      <c r="A6" s="9">
        <v>8</v>
      </c>
      <c r="B6" s="9">
        <v>1</v>
      </c>
      <c r="C6" s="9">
        <v>8</v>
      </c>
      <c r="D6" s="53" t="str">
        <f>IF('8 فرق'!$B$65='8 فرق'!$B$66,'8 فرق'!$B$65&amp;"",'8 فرق'!$B$65&amp;_xlfn.UNICHAR(8206)&amp;"–"&amp;_xlfn.UNICHAR(8206)&amp;'8 فرق'!$B$66)</f>
        <v>4</v>
      </c>
      <c r="E6" s="9">
        <f>SUM('8 فرق'!G4:G52)*2/A6</f>
        <v>28</v>
      </c>
      <c r="F6" s="9">
        <f>E6/المدخلات!$B$6</f>
        <v>4</v>
      </c>
      <c r="G6" s="45">
        <f>المدخلات!$B$4</f>
        <v>0.70833333333333304</v>
      </c>
      <c r="H6" s="45">
        <f t="shared" si="0"/>
        <v>0.78124999999999967</v>
      </c>
      <c r="I6" s="31">
        <f>COUNTA('8 فرق'!B4:'8 فرق'!B10)*المدخلات!$B$5/1440</f>
        <v>7.2916666666666671E-2</v>
      </c>
      <c r="J6" s="9">
        <f>COUNTIF('8 فرق'!C3:H3,"ملعب *")</f>
        <v>4</v>
      </c>
      <c r="K6" s="9">
        <f>ROUNDUP(J6/المدخلات!$B$7,0)</f>
        <v>1</v>
      </c>
      <c r="L6" s="8"/>
      <c r="M6" s="8"/>
    </row>
    <row r="7" spans="1:13">
      <c r="A7" s="9">
        <v>9</v>
      </c>
      <c r="B7" s="9">
        <v>1</v>
      </c>
      <c r="C7" s="9">
        <v>9</v>
      </c>
      <c r="D7" s="53" t="str">
        <f>IF('9 فرق'!$B$80='9 فرق'!$B$81,'9 فرق'!$B$80&amp;"",'9 فرق'!$B$80&amp;_xlfn.UNICHAR(8206)&amp;"–"&amp;_xlfn.UNICHAR(8206)&amp;'9 فرق'!$B$81)</f>
        <v>3‎–‎4</v>
      </c>
      <c r="E7" s="9">
        <f>SUM('9 فرق'!G4:'9 فرق'!G66)*2/A7</f>
        <v>28</v>
      </c>
      <c r="F7" s="9">
        <f>E7/المدخلات!$B$6</f>
        <v>4</v>
      </c>
      <c r="G7" s="45">
        <f>المدخلات!$B$4</f>
        <v>0.70833333333333304</v>
      </c>
      <c r="H7" s="45">
        <f t="shared" si="0"/>
        <v>0.80208333333333304</v>
      </c>
      <c r="I7" s="31">
        <f>COUNTA('9 فرق'!B4:'9 فرق'!B12)*المدخلات!$B$5/1440</f>
        <v>9.375E-2</v>
      </c>
      <c r="J7" s="9">
        <f>COUNTIF('9 فرق'!C3:F3,"ملعب *")</f>
        <v>4</v>
      </c>
      <c r="K7" s="9">
        <f>ROUNDUP(J7/المدخلات!$B$7,0)</f>
        <v>1</v>
      </c>
      <c r="L7" s="8"/>
      <c r="M7" s="8"/>
    </row>
    <row r="8" spans="1:13">
      <c r="A8" s="9">
        <v>12</v>
      </c>
      <c r="B8" s="9">
        <v>1</v>
      </c>
      <c r="C8" s="9">
        <v>12</v>
      </c>
      <c r="D8" s="53" t="str">
        <f>IF('12 فريقًا'!$B$97='12 فريقًا'!$B$98,'12 فريقًا'!$B$97&amp;"",'12 فريقًا'!$B$97&amp;_xlfn.UNICHAR(8206)&amp;"–"&amp;_xlfn.UNICHAR(8206)&amp;'12 فريقًا'!$B$98)</f>
        <v>2‎–‎3</v>
      </c>
      <c r="E8" s="9">
        <f>SUM('12 فريقًا'!F4:'12 فريقًا'!F80)*2/A8</f>
        <v>28</v>
      </c>
      <c r="F8" s="9">
        <f>E8/المدخلات!$B$6</f>
        <v>4</v>
      </c>
      <c r="G8" s="45">
        <f>المدخلات!$B$4</f>
        <v>0.70833333333333304</v>
      </c>
      <c r="H8" s="45">
        <f t="shared" si="0"/>
        <v>0.82291666666666641</v>
      </c>
      <c r="I8" s="31">
        <f>COUNTA('12 فريقًا'!B4:'12 فريقًا'!B14)*المدخلات!$B$5/1440</f>
        <v>0.11458333333333333</v>
      </c>
      <c r="J8" s="9">
        <f>COUNTIF('12 فريقًا'!C3:E3,"ملعب *")</f>
        <v>3</v>
      </c>
      <c r="K8" s="9">
        <f>ROUNDUP(J8/المدخلات!$B$7,0)</f>
        <v>1</v>
      </c>
      <c r="L8" s="8"/>
      <c r="M8" s="8"/>
    </row>
    <row r="9" spans="1:13">
      <c r="A9" s="9">
        <v>13</v>
      </c>
      <c r="B9" s="9">
        <v>1</v>
      </c>
      <c r="C9" s="9">
        <v>13</v>
      </c>
      <c r="D9" s="53" t="str">
        <f>IF('13 فريقًا'!$B$84='13 فريقًا'!$B$85,'13 فريقًا'!$B$84&amp;"",'13 فريقًا'!$B$84&amp;_xlfn.UNICHAR(8206)&amp;"–"&amp;_xlfn.UNICHAR(8206)&amp;'13 فريقًا'!$B$85)</f>
        <v>2‎–‎3</v>
      </c>
      <c r="E9" s="9">
        <f>SUM('13 فريقًا'!G4:'13 فريقًا'!G66)*2/A9</f>
        <v>28</v>
      </c>
      <c r="F9" s="9">
        <f>E9/المدخلات!$B$6</f>
        <v>4</v>
      </c>
      <c r="G9" s="45">
        <f>المدخلات!$B$4</f>
        <v>0.70833333333333304</v>
      </c>
      <c r="H9" s="45">
        <f t="shared" si="0"/>
        <v>0.80208333333333304</v>
      </c>
      <c r="I9" s="31">
        <f>COUNTA('13 فريقًا'!B4:'13 فريقًا'!B12)*المدخلات!$B$5/1440</f>
        <v>9.375E-2</v>
      </c>
      <c r="J9" s="9">
        <f>COUNTIF('13 فريقًا'!C3:F3,"ملعب *")</f>
        <v>4</v>
      </c>
      <c r="K9" s="9">
        <f>ROUNDUP(J9/المدخلات!$B$7,0)</f>
        <v>1</v>
      </c>
      <c r="L9" s="8"/>
      <c r="M9" s="8"/>
    </row>
    <row r="10" spans="1:13">
      <c r="A10" s="9">
        <v>17</v>
      </c>
      <c r="B10" s="9">
        <v>2</v>
      </c>
      <c r="C10" s="9" t="s">
        <v>313</v>
      </c>
      <c r="D10" s="53" t="str">
        <f>'17 فريقًا'!$B$88&amp;_xlfn.UNICHAR(8206)&amp;" + "&amp;_xlfn.UNICHAR(8206)&amp;'17 فريقًا'!$B$89</f>
        <v>3‎–‎4‎ + ‎4</v>
      </c>
      <c r="E10" s="9">
        <f>SUM('17 فريقًا'!K4:'17 فريقًا'!K66)*2/A10</f>
        <v>28</v>
      </c>
      <c r="F10" s="9">
        <f>E10/المدخلات!$B$6</f>
        <v>4</v>
      </c>
      <c r="G10" s="45">
        <f>المدخلات!$B$4</f>
        <v>0.70833333333333304</v>
      </c>
      <c r="H10" s="45">
        <f t="shared" si="0"/>
        <v>0.80208333333333304</v>
      </c>
      <c r="I10" s="31">
        <f>COUNTA('17 فريقًا'!B4:'17 فريقًا'!B12)*المدخلات!$B$5/1440</f>
        <v>9.375E-2</v>
      </c>
      <c r="J10" s="9">
        <f>COUNTIF('17 فريقًا'!C3:J3,"ملعب *")</f>
        <v>8</v>
      </c>
      <c r="K10" s="9">
        <f>ROUNDUP(J10/المدخلات!$B$7,0)</f>
        <v>2</v>
      </c>
      <c r="L10" s="8"/>
      <c r="M10" s="8"/>
    </row>
    <row r="11" spans="1:13">
      <c r="A11" s="46">
        <v>18</v>
      </c>
      <c r="B11" s="46">
        <v>2</v>
      </c>
      <c r="C11" s="46" t="s">
        <v>314</v>
      </c>
      <c r="D11" s="53" t="str">
        <f>IF('18 فريقًا'!$B$103='18 فريقًا'!$B$104,'18 فريقًا'!$B$103&amp;"",'18 فريقًا'!$B$103&amp;_xlfn.UNICHAR(8206)&amp;"–"&amp;_xlfn.UNICHAR(8206)&amp;'18 فريقًا'!$B$104)</f>
        <v>3‎–‎4</v>
      </c>
      <c r="E11" s="9">
        <f>SUM('18 فريقًا'!G4:'18 فريقًا'!G80)*2/A11</f>
        <v>28</v>
      </c>
      <c r="F11" s="9">
        <f>E11/المدخلات!$B$6</f>
        <v>4</v>
      </c>
      <c r="G11" s="45">
        <f>المدخلات!$B$4</f>
        <v>0.70833333333333304</v>
      </c>
      <c r="H11" s="45">
        <f t="shared" si="0"/>
        <v>0.82291666666666641</v>
      </c>
      <c r="I11" s="31">
        <f>COUNTA('18 فريقًا'!B4:'18 فريقًا'!B14)*المدخلات!$B$5/1440</f>
        <v>0.11458333333333333</v>
      </c>
      <c r="J11" s="9">
        <f>COUNTIF('18 فريقًا'!C3:F3,"ملعب *")</f>
        <v>4</v>
      </c>
      <c r="K11" s="9">
        <f>ROUNDUP(J11/المدخلات!$B$7,0)</f>
        <v>1</v>
      </c>
      <c r="L11" s="8"/>
      <c r="M11" s="8"/>
    </row>
    <row r="12" spans="1:13">
      <c r="A12" s="46">
        <v>19</v>
      </c>
      <c r="B12" s="46">
        <v>2</v>
      </c>
      <c r="C12" s="46" t="s">
        <v>315</v>
      </c>
      <c r="D12" s="9" t="str">
        <f>'19 فريقًا'!$B$97&amp;_xlfn.UNICHAR(8206)&amp;" + "&amp;_xlfn.UNICHAR(8206)&amp;'19 فريقًا'!$B$98</f>
        <v>2‎–‎3‎ + ‎5‎–‎6</v>
      </c>
      <c r="E12" s="9">
        <f>SUM('19 فريقًا'!I4:'19 فريقًا'!I73)*2/A12</f>
        <v>28</v>
      </c>
      <c r="F12" s="9">
        <f>E12/المدخلات!$B$6</f>
        <v>4</v>
      </c>
      <c r="G12" s="45">
        <f>المدخلات!$B$4</f>
        <v>0.70833333333333304</v>
      </c>
      <c r="H12" s="45">
        <f t="shared" si="0"/>
        <v>0.81249999999999967</v>
      </c>
      <c r="I12" s="31">
        <f>COUNTA('19 فريقًا'!B4:'19 فريقًا'!B13)*المدخلات!$B$5/1440</f>
        <v>0.10416666666666667</v>
      </c>
      <c r="J12" s="9">
        <f>COUNTIF('19 فريقًا'!C3:H3,"ملعب *")</f>
        <v>6</v>
      </c>
      <c r="K12" s="9">
        <f>ROUNDUP(J12/المدخلات!$B$7,0)</f>
        <v>2</v>
      </c>
      <c r="L12" s="8"/>
      <c r="M12" s="8"/>
    </row>
    <row r="13" spans="1:13">
      <c r="A13" s="9">
        <v>22</v>
      </c>
      <c r="B13" s="9">
        <v>1</v>
      </c>
      <c r="C13" s="9">
        <v>22</v>
      </c>
      <c r="D13" s="9" t="str">
        <f>IF('22 فريقًا'!$B$93='22 فريقًا'!$B$94,'22 فريقًا'!$B$93&amp;"",'22 فريقًا'!$B$93&amp;_xlfn.UNICHAR(8206)&amp;"–"&amp;_xlfn.UNICHAR(8206)&amp;'22 فريقًا'!$B$94)</f>
        <v>1‎–‎2</v>
      </c>
      <c r="E13" s="9">
        <f>SUM('22 فريقًا'!K4:'22 فريقًا'!K66)*2/A13</f>
        <v>28</v>
      </c>
      <c r="F13" s="9">
        <f>E13/المدخلات!$B$6</f>
        <v>4</v>
      </c>
      <c r="G13" s="45">
        <f>المدخلات!$B$4</f>
        <v>0.70833333333333304</v>
      </c>
      <c r="H13" s="45">
        <f t="shared" si="0"/>
        <v>0.80208333333333304</v>
      </c>
      <c r="I13" s="31">
        <f>COUNTA('22 فريقًا'!B4:'22 فريقًا'!B12)*المدخلات!$B$5/1440</f>
        <v>9.375E-2</v>
      </c>
      <c r="J13" s="9">
        <f>COUNTIF('22 فريقًا'!C3:J3,"ملعب *")</f>
        <v>8</v>
      </c>
      <c r="K13" s="9">
        <f>ROUNDUP(J13/المدخلات!$B$7,0)</f>
        <v>2</v>
      </c>
      <c r="L13" s="8"/>
      <c r="M13" s="8"/>
    </row>
    <row r="14" spans="1:13">
      <c r="A14" s="9">
        <v>30</v>
      </c>
      <c r="B14" s="9">
        <v>3</v>
      </c>
      <c r="C14" s="9" t="s">
        <v>316</v>
      </c>
      <c r="D14" s="9" t="str">
        <f>'30 فريقًا'!$B$101&amp;_xlfn.UNICHAR(8206)&amp;" + "&amp;_xlfn.UNICHAR(8206)&amp;'30 فريقًا'!$B$102&amp;_xlfn.UNICHAR(8206)&amp;" + "&amp;_xlfn.UNICHAR(8206)&amp;'30 فريقًا'!$B$103</f>
        <v>2‎–‎3‎ + ‎3‎–‎4‎ + ‎4</v>
      </c>
      <c r="E14" s="9">
        <f>SUM('30 فريقًا'!O4:'30 فريقًا'!O66)*2/A14</f>
        <v>28</v>
      </c>
      <c r="F14" s="9">
        <f>E14/المدخلات!$B$6</f>
        <v>4</v>
      </c>
      <c r="G14" s="45">
        <f>المدخلات!$B$4</f>
        <v>0.70833333333333304</v>
      </c>
      <c r="H14" s="45">
        <f t="shared" si="0"/>
        <v>0.80208333333333304</v>
      </c>
      <c r="I14" s="31">
        <f>COUNTA('30 فريقًا'!B4:'30 فريقًا'!B12)*المدخلات!$B$5/1440</f>
        <v>9.375E-2</v>
      </c>
      <c r="J14" s="9">
        <f>COUNTIF('30 فريقًا'!C3:N3,"ملعب *")</f>
        <v>12</v>
      </c>
      <c r="K14" s="9">
        <f>ROUNDUP(J14/المدخلات!$B$7,0)</f>
        <v>3</v>
      </c>
      <c r="L14" s="8"/>
      <c r="M14" s="8"/>
    </row>
    <row r="15" spans="1:13">
      <c r="A15" s="8"/>
      <c r="B15" s="8"/>
      <c r="C15" s="8"/>
      <c r="D15" s="8"/>
      <c r="E15" s="8"/>
      <c r="F15" s="8"/>
      <c r="G15" s="8"/>
      <c r="H15" s="8"/>
      <c r="I15" s="8"/>
      <c r="J15" s="8"/>
      <c r="K15" s="8"/>
      <c r="L15" s="8"/>
      <c r="M15" s="8"/>
    </row>
    <row r="16" spans="1:13">
      <c r="A16" s="8"/>
      <c r="B16" s="8"/>
      <c r="C16" s="8"/>
      <c r="D16" s="8"/>
      <c r="E16" s="8"/>
      <c r="F16" s="8"/>
      <c r="G16" s="8"/>
      <c r="H16" s="8"/>
      <c r="I16" s="8"/>
      <c r="J16" s="8"/>
      <c r="K16" s="8"/>
      <c r="L16" s="8"/>
      <c r="M16" s="8"/>
    </row>
    <row r="17" spans="1:13" ht="22" customHeight="1">
      <c r="A17" s="97" t="s">
        <v>301</v>
      </c>
      <c r="B17" s="97"/>
      <c r="C17" s="97"/>
      <c r="D17" s="98"/>
      <c r="E17" s="98"/>
      <c r="F17" s="98"/>
      <c r="G17" s="99"/>
      <c r="H17" s="8"/>
      <c r="I17" s="8"/>
      <c r="J17" s="8"/>
      <c r="K17" s="8"/>
      <c r="L17" s="8"/>
      <c r="M17" s="8"/>
    </row>
    <row r="18" spans="1:13" ht="32" customHeight="1">
      <c r="A18" s="44" t="s">
        <v>13</v>
      </c>
      <c r="B18" s="44" t="s">
        <v>302</v>
      </c>
      <c r="C18" s="44" t="s">
        <v>303</v>
      </c>
      <c r="D18" s="44" t="s">
        <v>310</v>
      </c>
      <c r="E18" s="44" t="s">
        <v>304</v>
      </c>
      <c r="F18" s="44" t="s">
        <v>305</v>
      </c>
      <c r="G18" s="44" t="s">
        <v>317</v>
      </c>
      <c r="H18" s="44" t="s">
        <v>318</v>
      </c>
      <c r="I18" s="8"/>
      <c r="J18" s="8"/>
      <c r="K18" s="8"/>
      <c r="L18" s="8"/>
      <c r="M18" s="8"/>
    </row>
    <row r="19" spans="1:13">
      <c r="A19" s="1">
        <v>6</v>
      </c>
      <c r="B19" s="1">
        <v>126</v>
      </c>
      <c r="C19" s="1">
        <v>0</v>
      </c>
      <c r="D19" s="1">
        <v>0</v>
      </c>
      <c r="E19" s="1">
        <f t="shared" ref="E19:E29" si="1">B19+C19+D19</f>
        <v>126</v>
      </c>
      <c r="F19" s="39">
        <f t="shared" ref="F19:F29" si="2">B19/E19</f>
        <v>1</v>
      </c>
      <c r="G19" s="1">
        <f>A19*(F4-1)*المدخلات!$B$6</f>
        <v>126</v>
      </c>
      <c r="H19" s="1" t="str">
        <f t="shared" ref="H19:H29" si="3">IF(E19=G19,"مطابق","غير مطابق")</f>
        <v>مطابق</v>
      </c>
      <c r="I19" s="8"/>
      <c r="J19" s="8"/>
      <c r="K19" s="8"/>
      <c r="L19" s="8"/>
      <c r="M19" s="8"/>
    </row>
    <row r="20" spans="1:13">
      <c r="A20" s="1">
        <v>7</v>
      </c>
      <c r="B20" s="1">
        <v>105</v>
      </c>
      <c r="C20" s="1">
        <v>42</v>
      </c>
      <c r="D20" s="1">
        <v>0</v>
      </c>
      <c r="E20" s="1">
        <f t="shared" si="1"/>
        <v>147</v>
      </c>
      <c r="F20" s="39">
        <f t="shared" si="2"/>
        <v>0.7142857142857143</v>
      </c>
      <c r="G20" s="1">
        <f>A20*(F5-1)*المدخلات!$B$6</f>
        <v>147</v>
      </c>
      <c r="H20" s="1" t="str">
        <f t="shared" si="3"/>
        <v>مطابق</v>
      </c>
      <c r="I20" s="8"/>
      <c r="J20" s="8"/>
      <c r="K20" s="8"/>
      <c r="L20" s="8"/>
      <c r="M20" s="8"/>
    </row>
    <row r="21" spans="1:13">
      <c r="A21" s="1">
        <v>8</v>
      </c>
      <c r="B21" s="1">
        <v>168</v>
      </c>
      <c r="C21" s="1">
        <v>0</v>
      </c>
      <c r="D21" s="1">
        <v>0</v>
      </c>
      <c r="E21" s="1">
        <f t="shared" si="1"/>
        <v>168</v>
      </c>
      <c r="F21" s="39">
        <f t="shared" si="2"/>
        <v>1</v>
      </c>
      <c r="G21" s="1">
        <f>A21*(F6-1)*المدخلات!$B$6</f>
        <v>168</v>
      </c>
      <c r="H21" s="1" t="str">
        <f t="shared" si="3"/>
        <v>مطابق</v>
      </c>
      <c r="I21" s="8"/>
      <c r="J21" s="8"/>
      <c r="K21" s="8"/>
      <c r="L21" s="8"/>
      <c r="M21" s="8"/>
    </row>
    <row r="22" spans="1:13">
      <c r="A22" s="1">
        <v>9</v>
      </c>
      <c r="B22" s="1">
        <v>141</v>
      </c>
      <c r="C22" s="1">
        <v>48</v>
      </c>
      <c r="D22" s="1">
        <v>0</v>
      </c>
      <c r="E22" s="1">
        <f t="shared" si="1"/>
        <v>189</v>
      </c>
      <c r="F22" s="39">
        <f t="shared" si="2"/>
        <v>0.74603174603174605</v>
      </c>
      <c r="G22" s="1">
        <f>A22*(F7-1)*المدخلات!$B$6</f>
        <v>189</v>
      </c>
      <c r="H22" s="1" t="str">
        <f t="shared" si="3"/>
        <v>مطابق</v>
      </c>
      <c r="I22" s="8"/>
      <c r="J22" s="8"/>
      <c r="K22" s="8"/>
      <c r="L22" s="8"/>
      <c r="M22" s="8"/>
    </row>
    <row r="23" spans="1:13">
      <c r="A23" s="1">
        <v>12</v>
      </c>
      <c r="B23" s="1">
        <v>168</v>
      </c>
      <c r="C23" s="1">
        <v>84</v>
      </c>
      <c r="D23" s="1">
        <v>0</v>
      </c>
      <c r="E23" s="1">
        <f t="shared" si="1"/>
        <v>252</v>
      </c>
      <c r="F23" s="39">
        <f t="shared" si="2"/>
        <v>0.66666666666666663</v>
      </c>
      <c r="G23" s="1">
        <f>A23*(F8-1)*المدخلات!$B$6</f>
        <v>252</v>
      </c>
      <c r="H23" s="1" t="str">
        <f t="shared" si="3"/>
        <v>مطابق</v>
      </c>
      <c r="I23" s="8"/>
      <c r="J23" s="8"/>
      <c r="K23" s="8"/>
      <c r="L23" s="8"/>
      <c r="M23" s="8"/>
    </row>
    <row r="24" spans="1:13">
      <c r="A24" s="1">
        <v>13</v>
      </c>
      <c r="B24" s="1">
        <v>183</v>
      </c>
      <c r="C24" s="1">
        <v>90</v>
      </c>
      <c r="D24" s="1">
        <v>0</v>
      </c>
      <c r="E24" s="1">
        <f t="shared" si="1"/>
        <v>273</v>
      </c>
      <c r="F24" s="39">
        <f t="shared" si="2"/>
        <v>0.67032967032967028</v>
      </c>
      <c r="G24" s="1">
        <f>A24*(F9-1)*المدخلات!$B$6</f>
        <v>273</v>
      </c>
      <c r="H24" s="1" t="str">
        <f t="shared" si="3"/>
        <v>مطابق</v>
      </c>
      <c r="I24" s="8"/>
      <c r="J24" s="8"/>
      <c r="K24" s="8"/>
      <c r="L24" s="8"/>
      <c r="M24" s="8"/>
    </row>
    <row r="25" spans="1:13">
      <c r="A25" s="1">
        <v>17</v>
      </c>
      <c r="B25" s="1">
        <v>309</v>
      </c>
      <c r="C25" s="1">
        <v>48</v>
      </c>
      <c r="D25" s="1">
        <v>0</v>
      </c>
      <c r="E25" s="1">
        <f t="shared" si="1"/>
        <v>357</v>
      </c>
      <c r="F25" s="39">
        <f t="shared" si="2"/>
        <v>0.86554621848739499</v>
      </c>
      <c r="G25" s="1">
        <f>A25*(F10-1)*المدخلات!$B$6</f>
        <v>357</v>
      </c>
      <c r="H25" s="1" t="str">
        <f t="shared" si="3"/>
        <v>مطابق</v>
      </c>
      <c r="I25" s="8"/>
      <c r="J25" s="8"/>
      <c r="K25" s="8"/>
      <c r="L25" s="8"/>
      <c r="M25" s="8"/>
    </row>
    <row r="26" spans="1:13">
      <c r="A26" s="1">
        <v>18</v>
      </c>
      <c r="B26" s="1">
        <v>272</v>
      </c>
      <c r="C26" s="1">
        <v>106</v>
      </c>
      <c r="D26" s="1">
        <v>0</v>
      </c>
      <c r="E26" s="1">
        <f t="shared" si="1"/>
        <v>378</v>
      </c>
      <c r="F26" s="39">
        <f t="shared" si="2"/>
        <v>0.71957671957671954</v>
      </c>
      <c r="G26" s="1">
        <f>A26*(F11-1)*المدخلات!$B$6</f>
        <v>378</v>
      </c>
      <c r="H26" s="1" t="str">
        <f t="shared" si="3"/>
        <v>مطابق</v>
      </c>
      <c r="I26" s="8"/>
      <c r="J26" s="8"/>
      <c r="K26" s="8"/>
      <c r="L26" s="8"/>
      <c r="M26" s="8"/>
    </row>
    <row r="27" spans="1:13">
      <c r="A27" s="68">
        <v>19</v>
      </c>
      <c r="B27" s="68">
        <v>323</v>
      </c>
      <c r="C27" s="68">
        <v>76</v>
      </c>
      <c r="D27" s="68">
        <v>0</v>
      </c>
      <c r="E27" s="68">
        <f t="shared" si="1"/>
        <v>399</v>
      </c>
      <c r="F27" s="69">
        <f t="shared" si="2"/>
        <v>0.80952380952380953</v>
      </c>
      <c r="G27" s="68">
        <f>A27*(F12-1)*المدخلات!$B$6</f>
        <v>399</v>
      </c>
      <c r="H27" s="68" t="str">
        <f t="shared" si="3"/>
        <v>مطابق</v>
      </c>
      <c r="I27" s="8"/>
      <c r="J27" s="8"/>
      <c r="K27" s="8"/>
      <c r="L27" s="8"/>
      <c r="M27" s="8"/>
    </row>
    <row r="28" spans="1:13">
      <c r="A28" s="1">
        <v>22</v>
      </c>
      <c r="B28" s="1">
        <v>420</v>
      </c>
      <c r="C28" s="1">
        <v>42</v>
      </c>
      <c r="D28" s="1">
        <v>0</v>
      </c>
      <c r="E28" s="1">
        <f t="shared" si="1"/>
        <v>462</v>
      </c>
      <c r="F28" s="39">
        <f t="shared" si="2"/>
        <v>0.90909090909090906</v>
      </c>
      <c r="G28" s="1">
        <f>A28*(F13-1)*المدخلات!$B$6</f>
        <v>462</v>
      </c>
      <c r="H28" s="1" t="str">
        <f t="shared" si="3"/>
        <v>مطابق</v>
      </c>
      <c r="I28" s="8"/>
      <c r="J28" s="8"/>
      <c r="K28" s="8"/>
      <c r="L28" s="8"/>
      <c r="M28" s="8"/>
    </row>
    <row r="29" spans="1:13">
      <c r="A29" s="72">
        <v>30</v>
      </c>
      <c r="B29" s="72">
        <v>492</v>
      </c>
      <c r="C29" s="72">
        <v>138</v>
      </c>
      <c r="D29" s="72">
        <v>0</v>
      </c>
      <c r="E29" s="72">
        <f t="shared" si="1"/>
        <v>630</v>
      </c>
      <c r="F29" s="73">
        <f t="shared" si="2"/>
        <v>0.78095238095238095</v>
      </c>
      <c r="G29" s="72">
        <f>A29*(F14-1)*المدخلات!$B$6</f>
        <v>630</v>
      </c>
      <c r="H29" s="72" t="str">
        <f t="shared" si="3"/>
        <v>مطابق</v>
      </c>
      <c r="I29" s="8"/>
      <c r="J29" s="8"/>
      <c r="K29" s="8"/>
      <c r="L29" s="8"/>
      <c r="M29" s="8"/>
    </row>
  </sheetData>
  <mergeCells count="2">
    <mergeCell ref="A1:M1"/>
    <mergeCell ref="A17:G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99"/>
  <sheetViews>
    <sheetView showGridLines="0" rightToLeft="1" zoomScale="48" workbookViewId="0">
      <pane ySplit="3" topLeftCell="A4" activePane="bottomLeft" state="frozen"/>
      <selection activeCell="M9" sqref="M9"/>
      <selection pane="bottomLeft" sqref="A1:G1"/>
    </sheetView>
  </sheetViews>
  <sheetFormatPr defaultRowHeight="14.5"/>
  <cols>
    <col min="1" max="1" width="10.90625" customWidth="1"/>
    <col min="2" max="2" width="17.26953125" customWidth="1"/>
    <col min="3" max="5" width="14.54296875" customWidth="1"/>
    <col min="6" max="7" width="15.453125" customWidth="1"/>
    <col min="8" max="8" width="27.26953125" customWidth="1"/>
    <col min="9" max="16" width="5.453125" customWidth="1"/>
  </cols>
  <sheetData>
    <row r="1" spans="1:15" ht="26" customHeight="1">
      <c r="A1" s="83" t="s">
        <v>262</v>
      </c>
      <c r="B1" s="83"/>
      <c r="C1" s="83"/>
      <c r="D1" s="83"/>
      <c r="E1" s="83"/>
      <c r="F1" s="83"/>
      <c r="G1" s="83"/>
      <c r="O1" s="2"/>
    </row>
    <row r="2" spans="1:15" ht="8" customHeight="1">
      <c r="A2" s="8"/>
      <c r="B2" s="8"/>
      <c r="C2" s="8"/>
      <c r="D2" s="8"/>
      <c r="E2" s="8"/>
      <c r="F2" s="8"/>
      <c r="G2" s="8"/>
      <c r="O2" s="2"/>
    </row>
    <row r="3" spans="1:15" ht="32" customHeight="1">
      <c r="A3" s="47" t="s">
        <v>0</v>
      </c>
      <c r="B3" s="47" t="s">
        <v>1</v>
      </c>
      <c r="C3" s="47" t="s">
        <v>2</v>
      </c>
      <c r="D3" s="63" t="s">
        <v>3</v>
      </c>
      <c r="E3" s="47" t="s">
        <v>4</v>
      </c>
      <c r="F3" s="47" t="s">
        <v>263</v>
      </c>
      <c r="G3" s="47" t="s">
        <v>105</v>
      </c>
      <c r="O3" s="2"/>
    </row>
    <row r="4" spans="1:15" ht="14.5" customHeight="1">
      <c r="A4" s="84" t="s">
        <v>5</v>
      </c>
      <c r="B4" s="5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 s="57" t="s">
        <v>41</v>
      </c>
      <c r="D4" s="64" t="s">
        <v>49</v>
      </c>
      <c r="E4" s="57" t="s">
        <v>57</v>
      </c>
      <c r="F4" s="95">
        <f>COUNTIF(C4:E10,"* ضد *")</f>
        <v>12</v>
      </c>
      <c r="G4" s="92">
        <f>F4*2/'ملخص البطولات'!$A$4</f>
        <v>4</v>
      </c>
      <c r="O4" s="2"/>
    </row>
    <row r="5" spans="1:15">
      <c r="A5" s="80"/>
      <c r="B5" s="40"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 s="85" t="s">
        <v>264</v>
      </c>
      <c r="D5" s="86"/>
      <c r="E5" s="85"/>
      <c r="F5" s="93"/>
      <c r="G5" s="93"/>
      <c r="O5" s="2"/>
    </row>
    <row r="6" spans="1:15">
      <c r="A6" s="76"/>
      <c r="B6" s="29"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 s="9" t="s">
        <v>60</v>
      </c>
      <c r="D6" s="53" t="s">
        <v>20</v>
      </c>
      <c r="E6" s="9" t="s">
        <v>52</v>
      </c>
      <c r="F6" s="78"/>
      <c r="G6" s="78"/>
      <c r="O6" s="2"/>
    </row>
    <row r="7" spans="1:15">
      <c r="A7" s="76"/>
      <c r="B7" s="29"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7" s="79" t="s">
        <v>264</v>
      </c>
      <c r="D7" s="94"/>
      <c r="E7" s="79"/>
      <c r="F7" s="78"/>
      <c r="G7" s="78"/>
      <c r="O7" s="2"/>
    </row>
    <row r="8" spans="1:15">
      <c r="A8" s="76"/>
      <c r="B8" s="29"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8" s="9" t="s">
        <v>75</v>
      </c>
      <c r="D8" s="53" t="s">
        <v>85</v>
      </c>
      <c r="E8" s="9" t="s">
        <v>44</v>
      </c>
      <c r="F8" s="78"/>
      <c r="G8" s="78"/>
      <c r="O8" s="2"/>
    </row>
    <row r="9" spans="1:15">
      <c r="A9" s="76"/>
      <c r="B9" s="29"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9" s="79" t="s">
        <v>264</v>
      </c>
      <c r="D9" s="94"/>
      <c r="E9" s="79"/>
      <c r="F9" s="78"/>
      <c r="G9" s="78"/>
      <c r="O9" s="2"/>
    </row>
    <row r="10" spans="1:15">
      <c r="A10" s="76"/>
      <c r="B10" s="29"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0" s="9" t="s">
        <v>30</v>
      </c>
      <c r="D10" s="53" t="s">
        <v>81</v>
      </c>
      <c r="E10" s="9" t="s">
        <v>32</v>
      </c>
      <c r="F10" s="78"/>
      <c r="G10" s="78"/>
      <c r="O10" s="2"/>
    </row>
    <row r="11" spans="1:15" ht="14.5" customHeight="1">
      <c r="A11" s="80" t="s">
        <v>6</v>
      </c>
      <c r="B11" s="54"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11" s="55" t="s">
        <v>65</v>
      </c>
      <c r="D11" s="62" t="s">
        <v>78</v>
      </c>
      <c r="E11" s="15" t="s">
        <v>40</v>
      </c>
      <c r="F11" s="87">
        <f>COUNTIF(C11:E17,"* ضد *")</f>
        <v>12</v>
      </c>
      <c r="G11" s="88">
        <f>F11*2/'ملخص البطولات'!$A$4</f>
        <v>4</v>
      </c>
      <c r="O11" s="2"/>
    </row>
    <row r="12" spans="1:15">
      <c r="A12" s="80"/>
      <c r="B12" s="54"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12" s="89" t="s">
        <v>264</v>
      </c>
      <c r="D12" s="75"/>
      <c r="E12" s="75"/>
      <c r="F12" s="88"/>
      <c r="G12" s="88"/>
      <c r="O12" s="2"/>
    </row>
    <row r="13" spans="1:15">
      <c r="A13" s="76"/>
      <c r="B13" s="14"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13" s="15" t="s">
        <v>41</v>
      </c>
      <c r="D13" s="15" t="s">
        <v>49</v>
      </c>
      <c r="E13" s="15" t="s">
        <v>57</v>
      </c>
      <c r="F13" s="88"/>
      <c r="G13" s="88"/>
      <c r="O13" s="2"/>
    </row>
    <row r="14" spans="1:15">
      <c r="A14" s="76"/>
      <c r="B14" s="14"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14" s="75" t="s">
        <v>264</v>
      </c>
      <c r="D14" s="75"/>
      <c r="E14" s="75"/>
      <c r="F14" s="88"/>
      <c r="G14" s="88"/>
      <c r="O14" s="2"/>
    </row>
    <row r="15" spans="1:15">
      <c r="A15" s="76"/>
      <c r="B15" s="14"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15" s="15" t="s">
        <v>60</v>
      </c>
      <c r="D15" s="15" t="s">
        <v>20</v>
      </c>
      <c r="E15" s="15" t="s">
        <v>52</v>
      </c>
      <c r="F15" s="88"/>
      <c r="G15" s="88"/>
      <c r="O15" s="2"/>
    </row>
    <row r="16" spans="1:15">
      <c r="A16" s="76"/>
      <c r="B16" s="14"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16" s="75" t="s">
        <v>264</v>
      </c>
      <c r="D16" s="75"/>
      <c r="E16" s="75"/>
      <c r="F16" s="88"/>
      <c r="G16" s="88"/>
      <c r="O16" s="2"/>
    </row>
    <row r="17" spans="1:15">
      <c r="A17" s="76"/>
      <c r="B17" s="14"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7" s="15" t="s">
        <v>75</v>
      </c>
      <c r="D17" s="15" t="s">
        <v>85</v>
      </c>
      <c r="E17" s="15" t="s">
        <v>44</v>
      </c>
      <c r="F17" s="88"/>
      <c r="G17" s="88"/>
      <c r="O17" s="2"/>
    </row>
    <row r="18" spans="1:15" ht="14.5" customHeight="1">
      <c r="A18" s="76" t="s">
        <v>7</v>
      </c>
      <c r="B18" s="29"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18" s="9" t="s">
        <v>30</v>
      </c>
      <c r="D18" s="9" t="s">
        <v>81</v>
      </c>
      <c r="E18" s="9" t="s">
        <v>32</v>
      </c>
      <c r="F18" s="77">
        <f>COUNTIF(C18:E24,"* ضد *")</f>
        <v>12</v>
      </c>
      <c r="G18" s="78">
        <f>F18*2/'ملخص البطولات'!$A$4</f>
        <v>4</v>
      </c>
      <c r="O18" s="2"/>
    </row>
    <row r="19" spans="1:15">
      <c r="A19" s="76"/>
      <c r="B19" s="29"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19" s="79" t="s">
        <v>264</v>
      </c>
      <c r="D19" s="79"/>
      <c r="E19" s="79"/>
      <c r="F19" s="78"/>
      <c r="G19" s="78"/>
      <c r="O19" s="2"/>
    </row>
    <row r="20" spans="1:15">
      <c r="A20" s="76"/>
      <c r="B20" s="29"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20" s="9" t="s">
        <v>65</v>
      </c>
      <c r="D20" s="9" t="s">
        <v>78</v>
      </c>
      <c r="E20" s="9" t="s">
        <v>40</v>
      </c>
      <c r="F20" s="78"/>
      <c r="G20" s="78"/>
      <c r="O20" s="2"/>
    </row>
    <row r="21" spans="1:15">
      <c r="A21" s="76"/>
      <c r="B21" s="29"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21" s="79" t="s">
        <v>264</v>
      </c>
      <c r="D21" s="79"/>
      <c r="E21" s="79"/>
      <c r="F21" s="78"/>
      <c r="G21" s="78"/>
      <c r="O21" s="2"/>
    </row>
    <row r="22" spans="1:15">
      <c r="A22" s="76"/>
      <c r="B22" s="29"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22" s="9" t="s">
        <v>41</v>
      </c>
      <c r="D22" s="9" t="s">
        <v>49</v>
      </c>
      <c r="E22" s="9" t="s">
        <v>57</v>
      </c>
      <c r="F22" s="78"/>
      <c r="G22" s="78"/>
      <c r="O22" s="2"/>
    </row>
    <row r="23" spans="1:15">
      <c r="A23" s="76"/>
      <c r="B23" s="29"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23" s="79" t="s">
        <v>264</v>
      </c>
      <c r="D23" s="79"/>
      <c r="E23" s="79"/>
      <c r="F23" s="78"/>
      <c r="G23" s="78"/>
      <c r="O23" s="2"/>
    </row>
    <row r="24" spans="1:15">
      <c r="A24" s="76"/>
      <c r="B24" s="29"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24" s="9" t="s">
        <v>60</v>
      </c>
      <c r="D24" s="9" t="s">
        <v>20</v>
      </c>
      <c r="E24" s="9" t="s">
        <v>52</v>
      </c>
      <c r="F24" s="78"/>
      <c r="G24" s="78"/>
      <c r="O24" s="2"/>
    </row>
    <row r="25" spans="1:15" ht="14.5" customHeight="1">
      <c r="A25" s="76" t="s">
        <v>8</v>
      </c>
      <c r="B25" s="14"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25" s="15" t="s">
        <v>75</v>
      </c>
      <c r="D25" s="15" t="s">
        <v>85</v>
      </c>
      <c r="E25" s="15" t="s">
        <v>44</v>
      </c>
      <c r="F25" s="87">
        <f>COUNTIF(C25:E31,"* ضد *")</f>
        <v>12</v>
      </c>
      <c r="G25" s="88">
        <f>F25*2/'ملخص البطولات'!$A$4</f>
        <v>4</v>
      </c>
      <c r="O25" s="2"/>
    </row>
    <row r="26" spans="1:15">
      <c r="A26" s="76"/>
      <c r="B26" s="14"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26" s="75" t="s">
        <v>264</v>
      </c>
      <c r="D26" s="75"/>
      <c r="E26" s="75"/>
      <c r="F26" s="88"/>
      <c r="G26" s="88"/>
      <c r="O26" s="2"/>
    </row>
    <row r="27" spans="1:15">
      <c r="A27" s="80"/>
      <c r="B27" s="54"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27" s="55" t="s">
        <v>30</v>
      </c>
      <c r="D27" s="55" t="s">
        <v>81</v>
      </c>
      <c r="E27" s="55" t="s">
        <v>32</v>
      </c>
      <c r="F27" s="90"/>
      <c r="G27" s="90"/>
      <c r="O27" s="2"/>
    </row>
    <row r="28" spans="1:15">
      <c r="A28" s="76"/>
      <c r="B28" s="14"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28" s="75" t="s">
        <v>264</v>
      </c>
      <c r="D28" s="75"/>
      <c r="E28" s="75"/>
      <c r="F28" s="88"/>
      <c r="G28" s="88"/>
      <c r="O28" s="2"/>
    </row>
    <row r="29" spans="1:15">
      <c r="A29" s="81"/>
      <c r="B29" s="70"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29" s="71" t="s">
        <v>65</v>
      </c>
      <c r="D29" s="71" t="s">
        <v>78</v>
      </c>
      <c r="E29" s="71" t="s">
        <v>40</v>
      </c>
      <c r="F29" s="91"/>
      <c r="G29" s="91"/>
      <c r="O29" s="2"/>
    </row>
    <row r="30" spans="1:15">
      <c r="A30" s="81"/>
      <c r="B30" s="70"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30" s="82" t="s">
        <v>264</v>
      </c>
      <c r="D30" s="82"/>
      <c r="E30" s="82"/>
      <c r="F30" s="91"/>
      <c r="G30" s="91"/>
      <c r="O30" s="2"/>
    </row>
    <row r="31" spans="1:15">
      <c r="A31" s="80"/>
      <c r="B31" s="54"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31" s="55" t="s">
        <v>41</v>
      </c>
      <c r="D31" s="55" t="s">
        <v>49</v>
      </c>
      <c r="E31" s="55" t="s">
        <v>57</v>
      </c>
      <c r="F31" s="90"/>
      <c r="G31" s="90"/>
      <c r="O31" s="2"/>
    </row>
    <row r="32" spans="1:15" ht="14.5" customHeight="1">
      <c r="A32" s="76" t="s">
        <v>9</v>
      </c>
      <c r="B32" s="29"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32" s="9" t="s">
        <v>60</v>
      </c>
      <c r="D32" s="9" t="s">
        <v>20</v>
      </c>
      <c r="E32" s="9" t="s">
        <v>52</v>
      </c>
      <c r="F32" s="77">
        <f>COUNTIF(C32:E38,"* ضد *")</f>
        <v>12</v>
      </c>
      <c r="G32" s="78">
        <f>F32*2/'ملخص البطولات'!$A$4</f>
        <v>4</v>
      </c>
      <c r="O32" s="2"/>
    </row>
    <row r="33" spans="1:15">
      <c r="A33" s="76"/>
      <c r="B33" s="29"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33" s="79" t="s">
        <v>264</v>
      </c>
      <c r="D33" s="79"/>
      <c r="E33" s="79"/>
      <c r="F33" s="78"/>
      <c r="G33" s="78"/>
      <c r="O33" s="2"/>
    </row>
    <row r="34" spans="1:15">
      <c r="A34" s="76"/>
      <c r="B34" s="29"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34" s="9" t="s">
        <v>75</v>
      </c>
      <c r="D34" s="9" t="s">
        <v>85</v>
      </c>
      <c r="E34" s="9" t="s">
        <v>44</v>
      </c>
      <c r="F34" s="78"/>
      <c r="G34" s="78"/>
      <c r="O34" s="2"/>
    </row>
    <row r="35" spans="1:15">
      <c r="A35" s="76"/>
      <c r="B35" s="29"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35" s="79" t="s">
        <v>264</v>
      </c>
      <c r="D35" s="79"/>
      <c r="E35" s="79"/>
      <c r="F35" s="78"/>
      <c r="G35" s="78"/>
      <c r="O35" s="2"/>
    </row>
    <row r="36" spans="1:15">
      <c r="A36" s="76"/>
      <c r="B36" s="29"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36" s="9" t="s">
        <v>30</v>
      </c>
      <c r="D36" s="9" t="s">
        <v>81</v>
      </c>
      <c r="E36" s="9" t="s">
        <v>32</v>
      </c>
      <c r="F36" s="78"/>
      <c r="G36" s="78"/>
      <c r="O36" s="2"/>
    </row>
    <row r="37" spans="1:15" ht="14.5" customHeight="1">
      <c r="A37" s="76"/>
      <c r="B37" s="29"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37" s="79" t="s">
        <v>264</v>
      </c>
      <c r="D37" s="79"/>
      <c r="E37" s="79"/>
      <c r="F37" s="78"/>
      <c r="G37" s="78"/>
      <c r="O37" s="2"/>
    </row>
    <row r="38" spans="1:15">
      <c r="A38" s="76"/>
      <c r="B38" s="29"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38" s="9" t="s">
        <v>65</v>
      </c>
      <c r="D38" s="9" t="s">
        <v>78</v>
      </c>
      <c r="E38" s="9" t="s">
        <v>40</v>
      </c>
      <c r="F38" s="78"/>
      <c r="G38" s="78"/>
      <c r="O38" s="2"/>
    </row>
    <row r="39" spans="1:15" ht="14.5" customHeight="1">
      <c r="A39" s="76" t="s">
        <v>10</v>
      </c>
      <c r="B39" s="14"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39" s="15" t="s">
        <v>41</v>
      </c>
      <c r="D39" s="15" t="s">
        <v>49</v>
      </c>
      <c r="E39" s="15" t="s">
        <v>57</v>
      </c>
      <c r="F39" s="87">
        <f>COUNTIF(C39:E45,"* ضد *")</f>
        <v>12</v>
      </c>
      <c r="G39" s="88">
        <f>F39*2/'ملخص البطولات'!$A$4</f>
        <v>4</v>
      </c>
      <c r="O39" s="2"/>
    </row>
    <row r="40" spans="1:15">
      <c r="A40" s="76"/>
      <c r="B40" s="14"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40" s="75" t="s">
        <v>264</v>
      </c>
      <c r="D40" s="75"/>
      <c r="E40" s="75"/>
      <c r="F40" s="88"/>
      <c r="G40" s="88"/>
      <c r="O40" s="2"/>
    </row>
    <row r="41" spans="1:15">
      <c r="A41" s="76"/>
      <c r="B41" s="14"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41" s="15" t="s">
        <v>60</v>
      </c>
      <c r="D41" s="15" t="s">
        <v>20</v>
      </c>
      <c r="E41" s="15" t="s">
        <v>52</v>
      </c>
      <c r="F41" s="88"/>
      <c r="G41" s="88"/>
      <c r="O41" s="2"/>
    </row>
    <row r="42" spans="1:15" ht="14.5" customHeight="1">
      <c r="A42" s="76"/>
      <c r="B42" s="14"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42" s="75" t="s">
        <v>264</v>
      </c>
      <c r="D42" s="75"/>
      <c r="E42" s="75"/>
      <c r="F42" s="88"/>
      <c r="G42" s="88"/>
      <c r="O42" s="2"/>
    </row>
    <row r="43" spans="1:15">
      <c r="A43" s="76"/>
      <c r="B43" s="14"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43" s="15" t="s">
        <v>75</v>
      </c>
      <c r="D43" s="15" t="s">
        <v>85</v>
      </c>
      <c r="E43" s="15" t="s">
        <v>44</v>
      </c>
      <c r="F43" s="88"/>
      <c r="G43" s="88"/>
      <c r="O43" s="2"/>
    </row>
    <row r="44" spans="1:15">
      <c r="A44" s="76"/>
      <c r="B44" s="14"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44" s="75" t="s">
        <v>264</v>
      </c>
      <c r="D44" s="75"/>
      <c r="E44" s="75"/>
      <c r="F44" s="88"/>
      <c r="G44" s="88"/>
      <c r="O44" s="2"/>
    </row>
    <row r="45" spans="1:15">
      <c r="A45" s="76"/>
      <c r="B45" s="14"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45" s="15" t="s">
        <v>30</v>
      </c>
      <c r="D45" s="15" t="s">
        <v>81</v>
      </c>
      <c r="E45" s="15" t="s">
        <v>32</v>
      </c>
      <c r="F45" s="88"/>
      <c r="G45" s="88"/>
      <c r="O45" s="2"/>
    </row>
    <row r="46" spans="1:15" ht="14.5" customHeight="1">
      <c r="A46" s="76" t="s">
        <v>11</v>
      </c>
      <c r="B46" s="29"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6" s="9" t="s">
        <v>65</v>
      </c>
      <c r="D46" s="9" t="s">
        <v>78</v>
      </c>
      <c r="E46" s="9" t="s">
        <v>40</v>
      </c>
      <c r="F46" s="77">
        <f>COUNTIF(C46:E52,"* ضد *")</f>
        <v>12</v>
      </c>
      <c r="G46" s="78">
        <f>F46*2/'ملخص البطولات'!$A$4</f>
        <v>4</v>
      </c>
      <c r="O46" s="2"/>
    </row>
    <row r="47" spans="1:15">
      <c r="A47" s="76"/>
      <c r="B47" s="29"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47" s="79" t="s">
        <v>264</v>
      </c>
      <c r="D47" s="79"/>
      <c r="E47" s="79"/>
      <c r="F47" s="78"/>
      <c r="G47" s="78"/>
      <c r="O47" s="2"/>
    </row>
    <row r="48" spans="1:15">
      <c r="A48" s="76"/>
      <c r="B48" s="29"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48" s="9" t="s">
        <v>41</v>
      </c>
      <c r="D48" s="9" t="s">
        <v>49</v>
      </c>
      <c r="E48" s="9" t="s">
        <v>57</v>
      </c>
      <c r="F48" s="78"/>
      <c r="G48" s="78"/>
      <c r="O48" s="2"/>
    </row>
    <row r="49" spans="1:15">
      <c r="A49" s="76"/>
      <c r="B49" s="29"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49" s="79" t="s">
        <v>264</v>
      </c>
      <c r="D49" s="79"/>
      <c r="E49" s="79"/>
      <c r="F49" s="78"/>
      <c r="G49" s="78"/>
      <c r="O49" s="2"/>
    </row>
    <row r="50" spans="1:15">
      <c r="A50" s="76"/>
      <c r="B50" s="29"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50" s="9" t="s">
        <v>60</v>
      </c>
      <c r="D50" s="9" t="s">
        <v>20</v>
      </c>
      <c r="E50" s="9" t="s">
        <v>52</v>
      </c>
      <c r="F50" s="78"/>
      <c r="G50" s="78"/>
      <c r="O50" s="2"/>
    </row>
    <row r="51" spans="1:15">
      <c r="A51" s="76"/>
      <c r="B51" s="29"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51" s="79" t="s">
        <v>264</v>
      </c>
      <c r="D51" s="79"/>
      <c r="E51" s="79"/>
      <c r="F51" s="78"/>
      <c r="G51" s="78"/>
      <c r="O51" s="2"/>
    </row>
    <row r="52" spans="1:15">
      <c r="A52" s="76"/>
      <c r="B52" s="29"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52" s="9" t="s">
        <v>75</v>
      </c>
      <c r="D52" s="9" t="s">
        <v>85</v>
      </c>
      <c r="E52" s="9" t="s">
        <v>44</v>
      </c>
      <c r="F52" s="78"/>
      <c r="G52" s="78"/>
      <c r="O52" s="2"/>
    </row>
    <row r="53" spans="1:15">
      <c r="A53" s="8"/>
      <c r="B53" s="8"/>
      <c r="C53" s="8"/>
      <c r="D53" s="8"/>
      <c r="E53" s="8"/>
      <c r="F53" s="8"/>
      <c r="G53" s="8"/>
      <c r="O53" s="2"/>
    </row>
    <row r="54" spans="1:15">
      <c r="A54" s="8"/>
      <c r="B54" s="8"/>
      <c r="C54" s="8"/>
      <c r="D54" s="8"/>
      <c r="E54" s="8"/>
      <c r="F54" s="8"/>
      <c r="G54" s="8"/>
      <c r="O54" s="2"/>
    </row>
    <row r="55" spans="1:15" ht="22" customHeight="1">
      <c r="A55" s="74" t="s">
        <v>271</v>
      </c>
      <c r="B55" s="74"/>
      <c r="C55" s="74"/>
      <c r="D55" s="74"/>
      <c r="E55" s="74"/>
      <c r="F55" s="74"/>
      <c r="G55" s="74"/>
      <c r="O55" s="2"/>
    </row>
    <row r="56" spans="1:15">
      <c r="A56" s="34" t="s">
        <v>272</v>
      </c>
      <c r="B56" s="33">
        <v>1</v>
      </c>
      <c r="C56" s="33">
        <v>2</v>
      </c>
      <c r="D56" s="33">
        <v>3</v>
      </c>
      <c r="E56" s="33">
        <v>4</v>
      </c>
      <c r="F56" s="33">
        <v>5</v>
      </c>
      <c r="G56" s="33">
        <v>6</v>
      </c>
      <c r="O56" s="2"/>
    </row>
    <row r="57" spans="1:15">
      <c r="A57" s="33">
        <v>1</v>
      </c>
      <c r="B57" s="32" t="str">
        <f t="shared" ref="B57:G62" si="0">IF($A57=B$56,"",COUNTIF($C$4:$E$52,$A57&amp;" ضد "&amp;B$56)+COUNTIF($C$4:$E$52,B$56&amp;" ضد "&amp;$A57))</f>
        <v/>
      </c>
      <c r="C57" s="32">
        <f t="shared" si="0"/>
        <v>5</v>
      </c>
      <c r="D57" s="32">
        <f t="shared" si="0"/>
        <v>6</v>
      </c>
      <c r="E57" s="32">
        <f t="shared" si="0"/>
        <v>5</v>
      </c>
      <c r="F57" s="32">
        <f t="shared" si="0"/>
        <v>6</v>
      </c>
      <c r="G57" s="32">
        <f t="shared" si="0"/>
        <v>6</v>
      </c>
      <c r="O57" s="2"/>
    </row>
    <row r="58" spans="1:15">
      <c r="A58" s="33">
        <v>2</v>
      </c>
      <c r="B58" s="32">
        <f t="shared" si="0"/>
        <v>5</v>
      </c>
      <c r="C58" s="32" t="str">
        <f t="shared" si="0"/>
        <v/>
      </c>
      <c r="D58" s="32">
        <f t="shared" si="0"/>
        <v>5</v>
      </c>
      <c r="E58" s="32">
        <f t="shared" si="0"/>
        <v>6</v>
      </c>
      <c r="F58" s="32">
        <f t="shared" si="0"/>
        <v>6</v>
      </c>
      <c r="G58" s="32">
        <f t="shared" si="0"/>
        <v>6</v>
      </c>
      <c r="O58" s="2"/>
    </row>
    <row r="59" spans="1:15">
      <c r="A59" s="33">
        <v>3</v>
      </c>
      <c r="B59" s="32">
        <f t="shared" si="0"/>
        <v>6</v>
      </c>
      <c r="C59" s="32">
        <f t="shared" si="0"/>
        <v>5</v>
      </c>
      <c r="D59" s="32" t="str">
        <f t="shared" si="0"/>
        <v/>
      </c>
      <c r="E59" s="32">
        <f t="shared" si="0"/>
        <v>6</v>
      </c>
      <c r="F59" s="32">
        <f t="shared" si="0"/>
        <v>5</v>
      </c>
      <c r="G59" s="32">
        <f t="shared" si="0"/>
        <v>6</v>
      </c>
      <c r="O59" s="2"/>
    </row>
    <row r="60" spans="1:15">
      <c r="A60" s="33">
        <v>4</v>
      </c>
      <c r="B60" s="32">
        <f t="shared" si="0"/>
        <v>5</v>
      </c>
      <c r="C60" s="32">
        <f t="shared" si="0"/>
        <v>6</v>
      </c>
      <c r="D60" s="32">
        <f t="shared" si="0"/>
        <v>6</v>
      </c>
      <c r="E60" s="32" t="str">
        <f t="shared" si="0"/>
        <v/>
      </c>
      <c r="F60" s="32">
        <f t="shared" si="0"/>
        <v>6</v>
      </c>
      <c r="G60" s="32">
        <f t="shared" si="0"/>
        <v>5</v>
      </c>
      <c r="O60" s="2"/>
    </row>
    <row r="61" spans="1:15">
      <c r="A61" s="33">
        <v>5</v>
      </c>
      <c r="B61" s="32">
        <f t="shared" si="0"/>
        <v>6</v>
      </c>
      <c r="C61" s="32">
        <f t="shared" si="0"/>
        <v>6</v>
      </c>
      <c r="D61" s="32">
        <f t="shared" si="0"/>
        <v>5</v>
      </c>
      <c r="E61" s="32">
        <f t="shared" si="0"/>
        <v>6</v>
      </c>
      <c r="F61" s="32" t="str">
        <f t="shared" si="0"/>
        <v/>
      </c>
      <c r="G61" s="32">
        <f t="shared" si="0"/>
        <v>5</v>
      </c>
      <c r="O61" s="2"/>
    </row>
    <row r="62" spans="1:15">
      <c r="A62" s="33">
        <v>6</v>
      </c>
      <c r="B62" s="32">
        <f t="shared" si="0"/>
        <v>6</v>
      </c>
      <c r="C62" s="32">
        <f t="shared" si="0"/>
        <v>6</v>
      </c>
      <c r="D62" s="32">
        <f t="shared" si="0"/>
        <v>6</v>
      </c>
      <c r="E62" s="32">
        <f t="shared" si="0"/>
        <v>5</v>
      </c>
      <c r="F62" s="32">
        <f t="shared" si="0"/>
        <v>5</v>
      </c>
      <c r="G62" s="32" t="str">
        <f t="shared" si="0"/>
        <v/>
      </c>
      <c r="O62" s="2"/>
    </row>
    <row r="63" spans="1:15">
      <c r="A63" s="36" t="s">
        <v>273</v>
      </c>
      <c r="B63" s="35">
        <f>MIN(B57:G62)</f>
        <v>5</v>
      </c>
      <c r="C63" s="8"/>
      <c r="D63" s="8"/>
      <c r="E63" s="8"/>
      <c r="F63" s="8"/>
      <c r="G63" s="8"/>
      <c r="O63" s="2"/>
    </row>
    <row r="64" spans="1:15">
      <c r="A64" s="36" t="s">
        <v>274</v>
      </c>
      <c r="B64" s="35">
        <f>MAX(B57:G62)</f>
        <v>6</v>
      </c>
      <c r="C64" s="8"/>
      <c r="D64" s="8"/>
      <c r="E64" s="8"/>
      <c r="F64" s="8"/>
      <c r="G64" s="8"/>
      <c r="O64" s="2"/>
    </row>
    <row r="65" spans="1:15">
      <c r="A65" s="8"/>
      <c r="B65" s="8"/>
      <c r="C65" s="8"/>
      <c r="D65" s="8"/>
      <c r="E65" s="8"/>
      <c r="F65" s="8"/>
      <c r="G65" s="8"/>
      <c r="O65" s="2"/>
    </row>
    <row r="66" spans="1:15">
      <c r="A66" s="8"/>
      <c r="B66" s="8"/>
      <c r="C66" s="8"/>
      <c r="D66" s="8"/>
      <c r="E66" s="8"/>
      <c r="F66" s="8"/>
      <c r="G66" s="8"/>
      <c r="O66" s="2"/>
    </row>
    <row r="67" spans="1:15">
      <c r="A67" s="8"/>
      <c r="B67" s="8"/>
      <c r="C67" s="8"/>
      <c r="D67" s="8"/>
      <c r="E67" s="8"/>
      <c r="F67" s="8"/>
      <c r="G67" s="8"/>
      <c r="O67" s="2"/>
    </row>
    <row r="68" spans="1:15">
      <c r="A68" s="8"/>
      <c r="B68" s="8"/>
      <c r="C68" s="8"/>
      <c r="D68" s="8"/>
      <c r="E68" s="8"/>
      <c r="F68" s="8"/>
      <c r="G68" s="8"/>
      <c r="O68" s="2"/>
    </row>
    <row r="69" spans="1:15">
      <c r="A69" s="8"/>
      <c r="B69" s="8"/>
      <c r="C69" s="8"/>
      <c r="D69" s="8"/>
      <c r="E69" s="8"/>
      <c r="F69" s="8"/>
      <c r="G69" s="8"/>
      <c r="O69" s="2"/>
    </row>
    <row r="70" spans="1:15">
      <c r="A70" s="8"/>
      <c r="B70" s="8"/>
      <c r="C70" s="8"/>
      <c r="D70" s="8"/>
      <c r="E70" s="8"/>
      <c r="F70" s="8"/>
      <c r="G70" s="8"/>
      <c r="O70" s="2"/>
    </row>
    <row r="71" spans="1:15">
      <c r="A71" s="8"/>
      <c r="B71" s="8"/>
      <c r="C71" s="8"/>
      <c r="D71" s="8"/>
      <c r="E71" s="8"/>
      <c r="F71" s="8"/>
      <c r="G71" s="8"/>
      <c r="O71" s="2"/>
    </row>
    <row r="72" spans="1:15">
      <c r="A72" s="8"/>
      <c r="B72" s="8"/>
      <c r="C72" s="8"/>
      <c r="D72" s="8"/>
      <c r="E72" s="8"/>
      <c r="F72" s="8"/>
      <c r="G72" s="8"/>
      <c r="O72" s="2"/>
    </row>
    <row r="73" spans="1:15">
      <c r="A73" s="8"/>
      <c r="B73" s="8"/>
      <c r="C73" s="8"/>
      <c r="D73" s="8"/>
      <c r="E73" s="8"/>
      <c r="F73" s="8"/>
      <c r="G73" s="8"/>
      <c r="O73" s="2"/>
    </row>
    <row r="74" spans="1:15">
      <c r="A74" s="8"/>
      <c r="B74" s="8"/>
      <c r="C74" s="8"/>
      <c r="D74" s="8"/>
      <c r="E74" s="8"/>
      <c r="F74" s="8"/>
      <c r="G74" s="8"/>
      <c r="O74" s="2"/>
    </row>
    <row r="75" spans="1:15">
      <c r="A75" s="8"/>
      <c r="B75" s="8"/>
      <c r="C75" s="8"/>
      <c r="D75" s="8"/>
      <c r="E75" s="8"/>
      <c r="F75" s="8"/>
      <c r="G75" s="8"/>
      <c r="O75" s="2"/>
    </row>
    <row r="76" spans="1:15">
      <c r="A76" s="8"/>
      <c r="B76" s="8"/>
      <c r="C76" s="8"/>
      <c r="D76" s="8"/>
      <c r="E76" s="8"/>
      <c r="F76" s="8"/>
      <c r="G76" s="8"/>
      <c r="O76" s="2"/>
    </row>
    <row r="77" spans="1:15">
      <c r="H77" s="3"/>
      <c r="I77" s="2"/>
      <c r="J77" s="2"/>
      <c r="K77" s="2"/>
      <c r="L77" s="2"/>
      <c r="M77" s="2"/>
      <c r="N77" s="2"/>
      <c r="O77" s="2"/>
    </row>
    <row r="78" spans="1:15">
      <c r="H78" s="4"/>
    </row>
    <row r="79" spans="1:15">
      <c r="H79" s="4"/>
    </row>
    <row r="80" spans="1:15">
      <c r="H80" s="4"/>
    </row>
    <row r="81" spans="8:8">
      <c r="H81" s="4"/>
    </row>
    <row r="82" spans="8:8">
      <c r="H82" s="4"/>
    </row>
    <row r="83" spans="8:8">
      <c r="H83" s="4"/>
    </row>
    <row r="84" spans="8:8">
      <c r="H84" s="4"/>
    </row>
    <row r="85" spans="8:8">
      <c r="H85" s="4"/>
    </row>
    <row r="86" spans="8:8">
      <c r="H86" s="4"/>
    </row>
    <row r="87" spans="8:8">
      <c r="H87" s="4"/>
    </row>
    <row r="88" spans="8:8">
      <c r="H88" s="4"/>
    </row>
    <row r="89" spans="8:8">
      <c r="H89" s="4"/>
    </row>
    <row r="90" spans="8:8">
      <c r="H90" s="4"/>
    </row>
    <row r="91" spans="8:8">
      <c r="H91" s="4"/>
    </row>
    <row r="92" spans="8:8">
      <c r="H92" s="4"/>
    </row>
    <row r="93" spans="8:8">
      <c r="H93" s="4"/>
    </row>
    <row r="94" spans="8:8">
      <c r="H94" s="4"/>
    </row>
    <row r="95" spans="8:8">
      <c r="H95" s="4"/>
    </row>
    <row r="96" spans="8:8">
      <c r="H96" s="4"/>
    </row>
    <row r="97" spans="8:8">
      <c r="H97" s="4"/>
    </row>
    <row r="98" spans="8:8">
      <c r="H98" s="4"/>
    </row>
    <row r="99" spans="8:8">
      <c r="H99" s="4"/>
    </row>
    <row r="100" spans="8:8">
      <c r="H100" s="4"/>
    </row>
    <row r="101" spans="8:8">
      <c r="H101" s="4"/>
    </row>
    <row r="102" spans="8:8">
      <c r="H102" s="4"/>
    </row>
    <row r="103" spans="8:8">
      <c r="H103" s="4"/>
    </row>
    <row r="104" spans="8:8">
      <c r="H104" s="4"/>
    </row>
    <row r="105" spans="8:8">
      <c r="H105" s="4"/>
    </row>
    <row r="106" spans="8:8">
      <c r="H106" s="4"/>
    </row>
    <row r="107" spans="8:8">
      <c r="H107" s="4"/>
    </row>
    <row r="108" spans="8:8">
      <c r="H108" s="4"/>
    </row>
    <row r="109" spans="8:8">
      <c r="H109" s="4"/>
    </row>
    <row r="110" spans="8:8">
      <c r="H110" s="4"/>
    </row>
    <row r="111" spans="8:8">
      <c r="H111" s="4"/>
    </row>
    <row r="112" spans="8:8">
      <c r="H112" s="4"/>
    </row>
    <row r="113" spans="8:8">
      <c r="H113" s="4"/>
    </row>
    <row r="114" spans="8:8">
      <c r="H114" s="4"/>
    </row>
    <row r="115" spans="8:8">
      <c r="H115" s="4"/>
    </row>
    <row r="116" spans="8:8">
      <c r="H116" s="4"/>
    </row>
    <row r="117" spans="8:8">
      <c r="H117" s="4"/>
    </row>
    <row r="118" spans="8:8">
      <c r="H118" s="4"/>
    </row>
    <row r="119" spans="8:8">
      <c r="H119" s="4"/>
    </row>
    <row r="120" spans="8:8">
      <c r="H120" s="4"/>
    </row>
    <row r="121" spans="8:8">
      <c r="H121" s="4"/>
    </row>
    <row r="122" spans="8:8">
      <c r="H122" s="4"/>
    </row>
    <row r="123" spans="8:8">
      <c r="H123" s="4"/>
    </row>
    <row r="124" spans="8:8">
      <c r="H124" s="4"/>
    </row>
    <row r="125" spans="8:8">
      <c r="H125" s="4"/>
    </row>
    <row r="126" spans="8:8">
      <c r="H126" s="4"/>
    </row>
    <row r="127" spans="8:8">
      <c r="H127" s="4"/>
    </row>
    <row r="128" spans="8:8">
      <c r="H128" s="4"/>
    </row>
    <row r="129" spans="8:8">
      <c r="H129" s="4"/>
    </row>
    <row r="130" spans="8:8">
      <c r="H130" s="4"/>
    </row>
    <row r="131" spans="8:8">
      <c r="H131" s="4"/>
    </row>
    <row r="132" spans="8:8">
      <c r="H132" s="4"/>
    </row>
    <row r="133" spans="8:8">
      <c r="H133" s="4"/>
    </row>
    <row r="134" spans="8:8">
      <c r="H134" s="4"/>
    </row>
    <row r="135" spans="8:8">
      <c r="H135" s="4"/>
    </row>
    <row r="136" spans="8:8">
      <c r="H136" s="4"/>
    </row>
    <row r="137" spans="8:8">
      <c r="H137" s="4"/>
    </row>
    <row r="138" spans="8:8">
      <c r="H138" s="4"/>
    </row>
    <row r="139" spans="8:8">
      <c r="H139" s="4"/>
    </row>
    <row r="140" spans="8:8">
      <c r="H140" s="4"/>
    </row>
    <row r="141" spans="8:8">
      <c r="H141" s="4"/>
    </row>
    <row r="142" spans="8:8">
      <c r="H142" s="4"/>
    </row>
    <row r="143" spans="8:8">
      <c r="H143" s="4"/>
    </row>
    <row r="144" spans="8:8">
      <c r="H144" s="4"/>
    </row>
    <row r="145" spans="8:8">
      <c r="H145" s="4"/>
    </row>
    <row r="146" spans="8:8">
      <c r="H146" s="4"/>
    </row>
    <row r="147" spans="8:8">
      <c r="H147" s="4"/>
    </row>
    <row r="148" spans="8:8">
      <c r="H148" s="4"/>
    </row>
    <row r="149" spans="8:8">
      <c r="H149" s="4"/>
    </row>
    <row r="150" spans="8:8">
      <c r="H150" s="4"/>
    </row>
    <row r="151" spans="8:8">
      <c r="H151" s="4"/>
    </row>
    <row r="152" spans="8:8">
      <c r="H152" s="4"/>
    </row>
    <row r="153" spans="8:8">
      <c r="H153" s="4"/>
    </row>
    <row r="154" spans="8:8">
      <c r="H154" s="4"/>
    </row>
    <row r="155" spans="8:8">
      <c r="H155" s="4"/>
    </row>
    <row r="156" spans="8:8">
      <c r="H156" s="4"/>
    </row>
    <row r="157" spans="8:8">
      <c r="H157" s="4"/>
    </row>
    <row r="158" spans="8:8">
      <c r="H158" s="4"/>
    </row>
    <row r="159" spans="8:8">
      <c r="H159" s="4"/>
    </row>
    <row r="160" spans="8:8">
      <c r="H160" s="4"/>
    </row>
    <row r="161" spans="8:8">
      <c r="H161" s="4"/>
    </row>
    <row r="162" spans="8:8">
      <c r="H162" s="4"/>
    </row>
    <row r="163" spans="8:8">
      <c r="H163" s="4"/>
    </row>
    <row r="164" spans="8:8">
      <c r="H164" s="4"/>
    </row>
    <row r="165" spans="8:8">
      <c r="H165" s="4"/>
    </row>
    <row r="166" spans="8:8">
      <c r="H166" s="4"/>
    </row>
    <row r="167" spans="8:8">
      <c r="H167" s="4"/>
    </row>
    <row r="168" spans="8:8">
      <c r="H168" s="4"/>
    </row>
    <row r="169" spans="8:8">
      <c r="H169" s="4"/>
    </row>
    <row r="170" spans="8:8">
      <c r="H170" s="4"/>
    </row>
    <row r="171" spans="8:8">
      <c r="H171" s="4"/>
    </row>
    <row r="172" spans="8:8">
      <c r="H172" s="4"/>
    </row>
    <row r="173" spans="8:8">
      <c r="H173" s="4"/>
    </row>
    <row r="174" spans="8:8">
      <c r="H174" s="4"/>
    </row>
    <row r="175" spans="8:8">
      <c r="H175" s="4"/>
    </row>
    <row r="176" spans="8:8">
      <c r="H176" s="4"/>
    </row>
    <row r="177" spans="8:8">
      <c r="H177" s="4"/>
    </row>
    <row r="178" spans="8:8">
      <c r="H178" s="4"/>
    </row>
    <row r="179" spans="8:8">
      <c r="H179" s="4"/>
    </row>
    <row r="180" spans="8:8">
      <c r="H180" s="4"/>
    </row>
    <row r="181" spans="8:8">
      <c r="H181" s="4"/>
    </row>
    <row r="182" spans="8:8">
      <c r="H182" s="4"/>
    </row>
    <row r="183" spans="8:8">
      <c r="H183" s="4"/>
    </row>
    <row r="184" spans="8:8">
      <c r="H184" s="4"/>
    </row>
    <row r="185" spans="8:8">
      <c r="H185" s="4"/>
    </row>
    <row r="186" spans="8:8">
      <c r="H186" s="4"/>
    </row>
    <row r="187" spans="8:8">
      <c r="H187" s="4"/>
    </row>
    <row r="188" spans="8:8">
      <c r="H188" s="4"/>
    </row>
    <row r="189" spans="8:8">
      <c r="H189" s="4"/>
    </row>
    <row r="190" spans="8:8">
      <c r="H190" s="4"/>
    </row>
    <row r="191" spans="8:8">
      <c r="H191" s="4"/>
    </row>
    <row r="192" spans="8:8">
      <c r="H192" s="4"/>
    </row>
    <row r="193" spans="8:8">
      <c r="H193" s="4"/>
    </row>
    <row r="194" spans="8:8">
      <c r="H194" s="4"/>
    </row>
    <row r="195" spans="8:8">
      <c r="H195" s="4"/>
    </row>
    <row r="196" spans="8:8">
      <c r="H196" s="4"/>
    </row>
    <row r="197" spans="8:8">
      <c r="H197" s="4"/>
    </row>
    <row r="198" spans="8:8">
      <c r="H198" s="4"/>
    </row>
    <row r="199" spans="8:8">
      <c r="H199" s="4"/>
    </row>
  </sheetData>
  <mergeCells count="44">
    <mergeCell ref="G4:G10"/>
    <mergeCell ref="G11:G17"/>
    <mergeCell ref="G18:G24"/>
    <mergeCell ref="G25:G31"/>
    <mergeCell ref="C47:E47"/>
    <mergeCell ref="C7:E7"/>
    <mergeCell ref="C9:E9"/>
    <mergeCell ref="C14:E14"/>
    <mergeCell ref="C16:E16"/>
    <mergeCell ref="F4:F10"/>
    <mergeCell ref="F39:F45"/>
    <mergeCell ref="C40:E40"/>
    <mergeCell ref="C35:E35"/>
    <mergeCell ref="A1:G1"/>
    <mergeCell ref="C37:E37"/>
    <mergeCell ref="C42:E42"/>
    <mergeCell ref="A4:A10"/>
    <mergeCell ref="A11:A17"/>
    <mergeCell ref="A18:A24"/>
    <mergeCell ref="C5:E5"/>
    <mergeCell ref="F11:F17"/>
    <mergeCell ref="F18:F24"/>
    <mergeCell ref="C19:E19"/>
    <mergeCell ref="C21:E21"/>
    <mergeCell ref="C23:E23"/>
    <mergeCell ref="C12:E12"/>
    <mergeCell ref="G39:G45"/>
    <mergeCell ref="F25:F31"/>
    <mergeCell ref="A39:A45"/>
    <mergeCell ref="A25:A31"/>
    <mergeCell ref="C26:E26"/>
    <mergeCell ref="C28:E28"/>
    <mergeCell ref="C30:E30"/>
    <mergeCell ref="C33:E33"/>
    <mergeCell ref="A55:G55"/>
    <mergeCell ref="C44:E44"/>
    <mergeCell ref="A32:A38"/>
    <mergeCell ref="F32:F38"/>
    <mergeCell ref="G32:G38"/>
    <mergeCell ref="A46:A52"/>
    <mergeCell ref="F46:F52"/>
    <mergeCell ref="G46:G52"/>
    <mergeCell ref="C49:E49"/>
    <mergeCell ref="C51:E5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49EBD-6EAF-467E-B9D1-67C405C111A1}">
  <dimension ref="A1:O199"/>
  <sheetViews>
    <sheetView showGridLines="0" rightToLeft="1" zoomScale="87" workbookViewId="0">
      <pane ySplit="3" topLeftCell="A64" activePane="bottomLeft" state="frozen"/>
      <selection pane="bottomLeft" activeCell="H13" sqref="H13"/>
    </sheetView>
  </sheetViews>
  <sheetFormatPr defaultRowHeight="14.5"/>
  <cols>
    <col min="1" max="1" width="10.54296875" customWidth="1"/>
    <col min="2" max="2" width="17.26953125" customWidth="1"/>
    <col min="3" max="5" width="14.54296875" customWidth="1"/>
    <col min="6" max="7" width="15.453125" customWidth="1"/>
    <col min="8" max="8" width="27.26953125" customWidth="1"/>
    <col min="9" max="16" width="5.453125" customWidth="1"/>
  </cols>
  <sheetData>
    <row r="1" spans="1:15" ht="26" customHeight="1">
      <c r="A1" s="83" t="s">
        <v>265</v>
      </c>
      <c r="B1" s="83"/>
      <c r="C1" s="83"/>
      <c r="D1" s="83"/>
      <c r="E1" s="83"/>
      <c r="F1" s="83"/>
      <c r="G1" s="83"/>
      <c r="H1" s="8"/>
      <c r="O1" s="2"/>
    </row>
    <row r="2" spans="1:15" ht="8" customHeight="1">
      <c r="A2" s="8"/>
      <c r="B2" s="8"/>
      <c r="C2" s="8"/>
      <c r="D2" s="8"/>
      <c r="E2" s="8"/>
      <c r="F2" s="8"/>
      <c r="G2" s="8"/>
      <c r="H2" s="8"/>
      <c r="O2" s="2"/>
    </row>
    <row r="3" spans="1:15" ht="32" customHeight="1">
      <c r="A3" s="25" t="s">
        <v>0</v>
      </c>
      <c r="B3" s="25" t="s">
        <v>1</v>
      </c>
      <c r="C3" s="25" t="s">
        <v>2</v>
      </c>
      <c r="D3" s="25" t="s">
        <v>3</v>
      </c>
      <c r="E3" s="25" t="s">
        <v>4</v>
      </c>
      <c r="F3" s="25" t="s">
        <v>263</v>
      </c>
      <c r="G3" s="25" t="s">
        <v>105</v>
      </c>
      <c r="H3" s="8"/>
      <c r="O3" s="2"/>
    </row>
    <row r="4" spans="1:15" ht="14.5" customHeight="1">
      <c r="A4" s="101" t="s">
        <v>5</v>
      </c>
      <c r="B4"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 s="11" t="s">
        <v>65</v>
      </c>
      <c r="D4" s="11" t="s">
        <v>20</v>
      </c>
      <c r="E4" s="11"/>
      <c r="F4" s="102">
        <f>COUNTIF(C4:E12,"* ضد *")</f>
        <v>14</v>
      </c>
      <c r="G4" s="102">
        <f>F4*2/'ملخص البطولات'!$A$5</f>
        <v>4</v>
      </c>
      <c r="H4" s="8"/>
      <c r="O4" s="2"/>
    </row>
    <row r="5" spans="1:15">
      <c r="A5" s="101"/>
      <c r="B5"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 s="11" t="s">
        <v>85</v>
      </c>
      <c r="D5" s="11"/>
      <c r="E5" s="11"/>
      <c r="F5" s="102"/>
      <c r="G5" s="102"/>
      <c r="H5" s="8"/>
      <c r="O5" s="2"/>
    </row>
    <row r="6" spans="1:15">
      <c r="A6" s="101"/>
      <c r="B6"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 s="11" t="s">
        <v>53</v>
      </c>
      <c r="D6" s="11" t="s">
        <v>81</v>
      </c>
      <c r="E6" s="11"/>
      <c r="F6" s="102"/>
      <c r="G6" s="102"/>
      <c r="H6" s="8"/>
      <c r="O6" s="2"/>
    </row>
    <row r="7" spans="1:15">
      <c r="A7" s="101"/>
      <c r="B7"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7" s="11" t="s">
        <v>30</v>
      </c>
      <c r="D7" s="11"/>
      <c r="E7" s="11"/>
      <c r="F7" s="102"/>
      <c r="G7" s="102"/>
      <c r="H7" s="8"/>
      <c r="O7" s="2"/>
    </row>
    <row r="8" spans="1:15">
      <c r="A8" s="101"/>
      <c r="B8"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8" s="11" t="s">
        <v>32</v>
      </c>
      <c r="D8" s="11" t="s">
        <v>25</v>
      </c>
      <c r="E8" s="11"/>
      <c r="F8" s="102"/>
      <c r="G8" s="102"/>
      <c r="H8" s="8"/>
      <c r="O8" s="2"/>
    </row>
    <row r="9" spans="1:15">
      <c r="A9" s="101"/>
      <c r="B9"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9" s="11" t="s">
        <v>57</v>
      </c>
      <c r="D9" s="11"/>
      <c r="E9" s="11"/>
      <c r="F9" s="102"/>
      <c r="G9" s="102"/>
      <c r="H9" s="8"/>
      <c r="O9" s="2"/>
    </row>
    <row r="10" spans="1:15">
      <c r="A10" s="101"/>
      <c r="B10"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0" s="11" t="s">
        <v>72</v>
      </c>
      <c r="D10" s="11" t="s">
        <v>41</v>
      </c>
      <c r="E10" s="11"/>
      <c r="F10" s="102"/>
      <c r="G10" s="102"/>
      <c r="H10" s="8"/>
      <c r="O10" s="2"/>
    </row>
    <row r="11" spans="1:15" ht="14.5" customHeight="1">
      <c r="A11" s="101"/>
      <c r="B11"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11" s="11" t="s">
        <v>52</v>
      </c>
      <c r="D11" s="11"/>
      <c r="E11" s="11"/>
      <c r="F11" s="102"/>
      <c r="G11" s="102"/>
      <c r="H11" s="8"/>
      <c r="O11" s="2"/>
    </row>
    <row r="12" spans="1:15">
      <c r="A12" s="101"/>
      <c r="B12"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12" s="11" t="s">
        <v>40</v>
      </c>
      <c r="D12" s="11" t="s">
        <v>35</v>
      </c>
      <c r="E12" s="11"/>
      <c r="F12" s="102"/>
      <c r="G12" s="102"/>
      <c r="H12" s="8"/>
      <c r="O12" s="2"/>
    </row>
    <row r="13" spans="1:15">
      <c r="A13" s="101" t="s">
        <v>6</v>
      </c>
      <c r="B13"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13" s="11" t="s">
        <v>78</v>
      </c>
      <c r="D13" s="11" t="s">
        <v>60</v>
      </c>
      <c r="E13" s="11"/>
      <c r="F13" s="100">
        <f>COUNTIF(C13:E21,"* ضد *")</f>
        <v>14</v>
      </c>
      <c r="G13" s="100">
        <f>F13*2/'ملخص البطولات'!$A$5</f>
        <v>4</v>
      </c>
      <c r="H13" s="8"/>
      <c r="O13" s="2"/>
    </row>
    <row r="14" spans="1:15">
      <c r="A14" s="101"/>
      <c r="B14"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14" s="11" t="s">
        <v>66</v>
      </c>
      <c r="D14" s="11"/>
      <c r="E14" s="11"/>
      <c r="F14" s="100"/>
      <c r="G14" s="100"/>
      <c r="H14" s="8"/>
      <c r="O14" s="2"/>
    </row>
    <row r="15" spans="1:15">
      <c r="A15" s="101"/>
      <c r="B15"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15" s="11" t="s">
        <v>32</v>
      </c>
      <c r="D15" s="11" t="s">
        <v>52</v>
      </c>
      <c r="E15" s="11"/>
      <c r="F15" s="100"/>
      <c r="G15" s="100"/>
      <c r="H15" s="8"/>
      <c r="O15" s="2"/>
    </row>
    <row r="16" spans="1:15">
      <c r="A16" s="101"/>
      <c r="B16"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16" s="11" t="s">
        <v>35</v>
      </c>
      <c r="D16" s="11"/>
      <c r="E16" s="11"/>
      <c r="F16" s="100"/>
      <c r="G16" s="100"/>
      <c r="H16" s="8"/>
      <c r="O16" s="2"/>
    </row>
    <row r="17" spans="1:15">
      <c r="A17" s="101"/>
      <c r="B17"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17" s="11" t="s">
        <v>49</v>
      </c>
      <c r="D17" s="11" t="s">
        <v>57</v>
      </c>
      <c r="E17" s="11"/>
      <c r="F17" s="100"/>
      <c r="G17" s="100"/>
      <c r="H17" s="8"/>
      <c r="O17" s="2"/>
    </row>
    <row r="18" spans="1:15" ht="14.5" customHeight="1">
      <c r="A18" s="101"/>
      <c r="B18"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18" s="11" t="s">
        <v>53</v>
      </c>
      <c r="D18" s="11"/>
      <c r="E18" s="11"/>
      <c r="F18" s="100"/>
      <c r="G18" s="100"/>
      <c r="H18" s="8"/>
      <c r="O18" s="2"/>
    </row>
    <row r="19" spans="1:15">
      <c r="A19" s="101"/>
      <c r="B19"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9" s="11" t="s">
        <v>65</v>
      </c>
      <c r="D19" s="11" t="s">
        <v>40</v>
      </c>
      <c r="E19" s="11"/>
      <c r="F19" s="100"/>
      <c r="G19" s="100"/>
      <c r="H19" s="8"/>
      <c r="O19" s="2"/>
    </row>
    <row r="20" spans="1:15">
      <c r="A20" s="101"/>
      <c r="B20"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20" s="11" t="s">
        <v>48</v>
      </c>
      <c r="D20" s="11"/>
      <c r="E20" s="11"/>
      <c r="F20" s="100"/>
      <c r="G20" s="100"/>
      <c r="H20" s="8"/>
      <c r="O20" s="2"/>
    </row>
    <row r="21" spans="1:15">
      <c r="A21" s="101"/>
      <c r="B21"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21" s="11" t="s">
        <v>44</v>
      </c>
      <c r="D21" s="11" t="s">
        <v>75</v>
      </c>
      <c r="E21" s="11"/>
      <c r="F21" s="100"/>
      <c r="G21" s="100"/>
      <c r="H21" s="8"/>
      <c r="O21" s="2"/>
    </row>
    <row r="22" spans="1:15">
      <c r="A22" s="101" t="s">
        <v>7</v>
      </c>
      <c r="B22"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22" s="11" t="s">
        <v>60</v>
      </c>
      <c r="D22" s="11" t="s">
        <v>81</v>
      </c>
      <c r="E22" s="11"/>
      <c r="F22" s="102">
        <f>COUNTIF(C22:E30,"* ضد *")</f>
        <v>14</v>
      </c>
      <c r="G22" s="102">
        <f>F22*2/'ملخص البطولات'!$A$5</f>
        <v>4</v>
      </c>
      <c r="H22" s="8"/>
      <c r="O22" s="2"/>
    </row>
    <row r="23" spans="1:15">
      <c r="A23" s="101"/>
      <c r="B23"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23" s="11" t="s">
        <v>78</v>
      </c>
      <c r="D23" s="11"/>
      <c r="E23" s="11"/>
      <c r="F23" s="102"/>
      <c r="G23" s="102"/>
      <c r="H23" s="8"/>
      <c r="O23" s="2"/>
    </row>
    <row r="24" spans="1:15">
      <c r="A24" s="101"/>
      <c r="B24"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24" s="11" t="s">
        <v>72</v>
      </c>
      <c r="D24" s="11" t="s">
        <v>75</v>
      </c>
      <c r="E24" s="11"/>
      <c r="F24" s="102"/>
      <c r="G24" s="102"/>
      <c r="H24" s="8"/>
      <c r="O24" s="2"/>
    </row>
    <row r="25" spans="1:15" ht="14.5" customHeight="1">
      <c r="A25" s="101"/>
      <c r="B25"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25" s="11" t="s">
        <v>44</v>
      </c>
      <c r="D25" s="11"/>
      <c r="E25" s="11"/>
      <c r="F25" s="102"/>
      <c r="G25" s="102"/>
      <c r="H25" s="8"/>
      <c r="O25" s="2"/>
    </row>
    <row r="26" spans="1:15">
      <c r="A26" s="101"/>
      <c r="B26"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26" s="11" t="s">
        <v>85</v>
      </c>
      <c r="D26" s="11" t="s">
        <v>66</v>
      </c>
      <c r="E26" s="11"/>
      <c r="F26" s="102"/>
      <c r="G26" s="102"/>
      <c r="H26" s="8"/>
      <c r="O26" s="2"/>
    </row>
    <row r="27" spans="1:15">
      <c r="A27" s="101"/>
      <c r="B27"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27" s="11" t="s">
        <v>41</v>
      </c>
      <c r="D27" s="11"/>
      <c r="E27" s="11"/>
      <c r="F27" s="102"/>
      <c r="G27" s="102"/>
      <c r="H27" s="8"/>
      <c r="O27" s="2"/>
    </row>
    <row r="28" spans="1:15">
      <c r="A28" s="101"/>
      <c r="B28"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28" s="11" t="s">
        <v>48</v>
      </c>
      <c r="D28" s="11" t="s">
        <v>49</v>
      </c>
      <c r="E28" s="11"/>
      <c r="F28" s="102"/>
      <c r="G28" s="102"/>
      <c r="H28" s="8"/>
      <c r="O28" s="2"/>
    </row>
    <row r="29" spans="1:15">
      <c r="A29" s="101"/>
      <c r="B29"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29" s="11" t="s">
        <v>20</v>
      </c>
      <c r="D29" s="11"/>
      <c r="E29" s="11"/>
      <c r="F29" s="102"/>
      <c r="G29" s="102"/>
      <c r="H29" s="8"/>
      <c r="O29" s="2"/>
    </row>
    <row r="30" spans="1:15">
      <c r="A30" s="101"/>
      <c r="B30"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30" s="11" t="s">
        <v>25</v>
      </c>
      <c r="D30" s="11" t="s">
        <v>30</v>
      </c>
      <c r="E30" s="11"/>
      <c r="F30" s="102"/>
      <c r="G30" s="102"/>
      <c r="H30" s="8"/>
      <c r="O30" s="2"/>
    </row>
    <row r="31" spans="1:15">
      <c r="A31" s="101" t="s">
        <v>8</v>
      </c>
      <c r="B31"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31" s="11" t="s">
        <v>52</v>
      </c>
      <c r="D31" s="11" t="s">
        <v>53</v>
      </c>
      <c r="E31" s="11"/>
      <c r="F31" s="100">
        <f>COUNTIF(C31:E39,"* ضد *")</f>
        <v>14</v>
      </c>
      <c r="G31" s="100">
        <f>F31*2/'ملخص البطولات'!$A$5</f>
        <v>4</v>
      </c>
      <c r="H31" s="8"/>
      <c r="O31" s="2"/>
    </row>
    <row r="32" spans="1:15" ht="14.5" customHeight="1">
      <c r="A32" s="101"/>
      <c r="B32"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32" s="11" t="s">
        <v>40</v>
      </c>
      <c r="D32" s="11"/>
      <c r="E32" s="11"/>
      <c r="F32" s="100"/>
      <c r="G32" s="100"/>
      <c r="H32" s="8"/>
      <c r="O32" s="2"/>
    </row>
    <row r="33" spans="1:15">
      <c r="A33" s="101"/>
      <c r="B33"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33" s="11" t="s">
        <v>25</v>
      </c>
      <c r="D33" s="11" t="s">
        <v>30</v>
      </c>
      <c r="E33" s="11"/>
      <c r="F33" s="100"/>
      <c r="G33" s="100"/>
      <c r="H33" s="8"/>
      <c r="O33" s="2"/>
    </row>
    <row r="34" spans="1:15">
      <c r="A34" s="101"/>
      <c r="B34"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34" s="11" t="s">
        <v>20</v>
      </c>
      <c r="D34" s="11"/>
      <c r="E34" s="11"/>
      <c r="F34" s="100"/>
      <c r="G34" s="100"/>
      <c r="H34" s="8"/>
      <c r="O34" s="2"/>
    </row>
    <row r="35" spans="1:15">
      <c r="A35" s="101"/>
      <c r="B35"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35" s="11" t="s">
        <v>35</v>
      </c>
      <c r="D35" s="11" t="s">
        <v>85</v>
      </c>
      <c r="E35" s="11"/>
      <c r="F35" s="100"/>
      <c r="G35" s="100"/>
      <c r="H35" s="8"/>
      <c r="O35" s="2"/>
    </row>
    <row r="36" spans="1:15">
      <c r="A36" s="101"/>
      <c r="B36"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36" s="11" t="s">
        <v>81</v>
      </c>
      <c r="D36" s="11"/>
      <c r="E36" s="11"/>
      <c r="F36" s="100"/>
      <c r="G36" s="100"/>
      <c r="H36" s="8"/>
      <c r="O36" s="2"/>
    </row>
    <row r="37" spans="1:15" ht="14.5" customHeight="1">
      <c r="A37" s="101"/>
      <c r="B37"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37" s="11" t="s">
        <v>41</v>
      </c>
      <c r="D37" s="11" t="s">
        <v>72</v>
      </c>
      <c r="E37" s="11"/>
      <c r="F37" s="100"/>
      <c r="G37" s="100"/>
      <c r="H37" s="8"/>
      <c r="O37" s="2"/>
    </row>
    <row r="38" spans="1:15">
      <c r="A38" s="101"/>
      <c r="B38"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38" s="11" t="s">
        <v>57</v>
      </c>
      <c r="D38" s="11"/>
      <c r="E38" s="11"/>
      <c r="F38" s="100"/>
      <c r="G38" s="100"/>
      <c r="H38" s="8"/>
      <c r="O38" s="2"/>
    </row>
    <row r="39" spans="1:15" ht="14.5" customHeight="1">
      <c r="A39" s="101"/>
      <c r="B39"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39" s="11" t="s">
        <v>32</v>
      </c>
      <c r="D39" s="11" t="s">
        <v>65</v>
      </c>
      <c r="E39" s="11"/>
      <c r="F39" s="100"/>
      <c r="G39" s="100"/>
      <c r="H39" s="8"/>
      <c r="O39" s="2"/>
    </row>
    <row r="40" spans="1:15">
      <c r="A40" s="101" t="s">
        <v>9</v>
      </c>
      <c r="B40"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0" s="11" t="s">
        <v>40</v>
      </c>
      <c r="D40" s="11" t="s">
        <v>48</v>
      </c>
      <c r="E40" s="11"/>
      <c r="F40" s="102">
        <f>COUNTIF(C40:E48,"* ضد *")</f>
        <v>14</v>
      </c>
      <c r="G40" s="102">
        <f>F40*2/'ملخص البطولات'!$A$5</f>
        <v>4</v>
      </c>
      <c r="H40" s="8"/>
      <c r="O40" s="2"/>
    </row>
    <row r="41" spans="1:15">
      <c r="A41" s="101"/>
      <c r="B41"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41" s="11" t="s">
        <v>65</v>
      </c>
      <c r="D41" s="11"/>
      <c r="E41" s="11"/>
      <c r="F41" s="102"/>
      <c r="G41" s="102"/>
      <c r="H41" s="8"/>
      <c r="O41" s="2"/>
    </row>
    <row r="42" spans="1:15" ht="14.5" customHeight="1">
      <c r="A42" s="101"/>
      <c r="B42"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42" s="11" t="s">
        <v>66</v>
      </c>
      <c r="D42" s="11" t="s">
        <v>78</v>
      </c>
      <c r="E42" s="11"/>
      <c r="F42" s="102"/>
      <c r="G42" s="102"/>
      <c r="H42" s="8"/>
      <c r="O42" s="2"/>
    </row>
    <row r="43" spans="1:15">
      <c r="A43" s="101"/>
      <c r="B43"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43" s="11" t="s">
        <v>49</v>
      </c>
      <c r="D43" s="11"/>
      <c r="E43" s="11"/>
      <c r="F43" s="102"/>
      <c r="G43" s="102"/>
      <c r="H43" s="8"/>
      <c r="O43" s="2"/>
    </row>
    <row r="44" spans="1:15">
      <c r="A44" s="101"/>
      <c r="B44"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44" s="11" t="s">
        <v>53</v>
      </c>
      <c r="D44" s="11" t="s">
        <v>75</v>
      </c>
      <c r="E44" s="11"/>
      <c r="F44" s="102"/>
      <c r="G44" s="102"/>
      <c r="H44" s="8"/>
      <c r="O44" s="2"/>
    </row>
    <row r="45" spans="1:15">
      <c r="A45" s="101"/>
      <c r="B45"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45" s="11" t="s">
        <v>52</v>
      </c>
      <c r="D45" s="11"/>
      <c r="E45" s="11"/>
      <c r="F45" s="102"/>
      <c r="G45" s="102"/>
      <c r="H45" s="8"/>
      <c r="O45" s="2"/>
    </row>
    <row r="46" spans="1:15" ht="14.5" customHeight="1">
      <c r="A46" s="101"/>
      <c r="B46"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46" s="11" t="s">
        <v>32</v>
      </c>
      <c r="D46" s="11" t="s">
        <v>35</v>
      </c>
      <c r="E46" s="11"/>
      <c r="F46" s="102"/>
      <c r="G46" s="102"/>
      <c r="H46" s="8"/>
      <c r="O46" s="2"/>
    </row>
    <row r="47" spans="1:15">
      <c r="A47" s="101"/>
      <c r="B47"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47" s="11" t="s">
        <v>57</v>
      </c>
      <c r="D47" s="11"/>
      <c r="E47" s="11"/>
      <c r="F47" s="102"/>
      <c r="G47" s="102"/>
      <c r="H47" s="8"/>
      <c r="O47" s="2"/>
    </row>
    <row r="48" spans="1:15">
      <c r="A48" s="101"/>
      <c r="B48"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48" s="11" t="s">
        <v>44</v>
      </c>
      <c r="D48" s="11" t="s">
        <v>60</v>
      </c>
      <c r="E48" s="11"/>
      <c r="F48" s="102"/>
      <c r="G48" s="102"/>
      <c r="H48" s="8"/>
      <c r="O48" s="2"/>
    </row>
    <row r="49" spans="1:15">
      <c r="A49" s="101" t="s">
        <v>10</v>
      </c>
      <c r="B49"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9" s="11" t="s">
        <v>49</v>
      </c>
      <c r="D49" s="11" t="s">
        <v>30</v>
      </c>
      <c r="E49" s="11"/>
      <c r="F49" s="100">
        <f>COUNTIF(C49:E57,"* ضد *")</f>
        <v>14</v>
      </c>
      <c r="G49" s="100">
        <f>F49*2/'ملخص البطولات'!$A$5</f>
        <v>4</v>
      </c>
      <c r="H49" s="8"/>
      <c r="O49" s="2"/>
    </row>
    <row r="50" spans="1:15">
      <c r="A50" s="101"/>
      <c r="B50"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0" s="11" t="s">
        <v>66</v>
      </c>
      <c r="D50" s="11"/>
      <c r="E50" s="11"/>
      <c r="F50" s="100"/>
      <c r="G50" s="100"/>
      <c r="H50" s="8"/>
      <c r="O50" s="2"/>
    </row>
    <row r="51" spans="1:15">
      <c r="A51" s="101"/>
      <c r="B51"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51" s="11" t="s">
        <v>60</v>
      </c>
      <c r="D51" s="11" t="s">
        <v>44</v>
      </c>
      <c r="E51" s="11"/>
      <c r="F51" s="100"/>
      <c r="G51" s="100"/>
      <c r="H51" s="8"/>
      <c r="O51" s="2"/>
    </row>
    <row r="52" spans="1:15">
      <c r="A52" s="101"/>
      <c r="B52"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52" s="11" t="s">
        <v>48</v>
      </c>
      <c r="D52" s="11"/>
      <c r="E52" s="11"/>
      <c r="F52" s="100"/>
      <c r="G52" s="100"/>
      <c r="H52" s="8"/>
      <c r="O52" s="2"/>
    </row>
    <row r="53" spans="1:15">
      <c r="A53" s="101"/>
      <c r="B53"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53" s="11" t="s">
        <v>41</v>
      </c>
      <c r="D53" s="11" t="s">
        <v>81</v>
      </c>
      <c r="E53" s="11"/>
      <c r="F53" s="100"/>
      <c r="G53" s="100"/>
      <c r="H53" s="8"/>
      <c r="O53" s="2"/>
    </row>
    <row r="54" spans="1:15">
      <c r="A54" s="101"/>
      <c r="B54"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54" s="11" t="s">
        <v>72</v>
      </c>
      <c r="D54" s="11"/>
      <c r="E54" s="11"/>
      <c r="F54" s="100"/>
      <c r="G54" s="100"/>
      <c r="H54" s="8"/>
      <c r="O54" s="2"/>
    </row>
    <row r="55" spans="1:15" ht="22" customHeight="1">
      <c r="A55" s="101"/>
      <c r="B55"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55" s="11" t="s">
        <v>75</v>
      </c>
      <c r="D55" s="11" t="s">
        <v>78</v>
      </c>
      <c r="E55" s="11"/>
      <c r="F55" s="100"/>
      <c r="G55" s="100"/>
      <c r="H55" s="8"/>
      <c r="O55" s="2"/>
    </row>
    <row r="56" spans="1:15">
      <c r="A56" s="101"/>
      <c r="B56"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56" s="11" t="s">
        <v>25</v>
      </c>
      <c r="D56" s="11"/>
      <c r="E56" s="11"/>
      <c r="F56" s="100"/>
      <c r="G56" s="100"/>
      <c r="H56" s="8"/>
      <c r="O56" s="2"/>
    </row>
    <row r="57" spans="1:15">
      <c r="A57" s="101"/>
      <c r="B57"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57" s="11" t="s">
        <v>20</v>
      </c>
      <c r="D57" s="11" t="s">
        <v>85</v>
      </c>
      <c r="E57" s="11"/>
      <c r="F57" s="100"/>
      <c r="G57" s="100"/>
      <c r="H57" s="8"/>
      <c r="O57" s="2"/>
    </row>
    <row r="58" spans="1:15">
      <c r="A58" s="101" t="s">
        <v>11</v>
      </c>
      <c r="B58"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58" s="11" t="s">
        <v>32</v>
      </c>
      <c r="D58" s="11" t="s">
        <v>35</v>
      </c>
      <c r="E58" s="11"/>
      <c r="F58" s="102">
        <f>COUNTIF(C58:E66,"* ضد *")</f>
        <v>14</v>
      </c>
      <c r="G58" s="102">
        <f>F58*2/'ملخص البطولات'!$A$5</f>
        <v>4</v>
      </c>
      <c r="H58" s="8"/>
      <c r="O58" s="2"/>
    </row>
    <row r="59" spans="1:15">
      <c r="A59" s="101"/>
      <c r="B59"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9" s="11" t="s">
        <v>52</v>
      </c>
      <c r="D59" s="11"/>
      <c r="E59" s="11"/>
      <c r="F59" s="102"/>
      <c r="G59" s="102"/>
      <c r="H59" s="8"/>
      <c r="O59" s="2"/>
    </row>
    <row r="60" spans="1:15">
      <c r="A60" s="101"/>
      <c r="B60"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0" s="11" t="s">
        <v>41</v>
      </c>
      <c r="D60" s="11" t="s">
        <v>40</v>
      </c>
      <c r="E60" s="11"/>
      <c r="F60" s="102"/>
      <c r="G60" s="102"/>
      <c r="H60" s="8"/>
      <c r="O60" s="2"/>
    </row>
    <row r="61" spans="1:15">
      <c r="A61" s="101"/>
      <c r="B61"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61" s="11" t="s">
        <v>25</v>
      </c>
      <c r="D61" s="11"/>
      <c r="E61" s="11"/>
      <c r="F61" s="102"/>
      <c r="G61" s="102"/>
      <c r="H61" s="8"/>
      <c r="O61" s="2"/>
    </row>
    <row r="62" spans="1:15">
      <c r="A62" s="101"/>
      <c r="B62"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62" s="11" t="s">
        <v>30</v>
      </c>
      <c r="D62" s="11" t="s">
        <v>20</v>
      </c>
      <c r="E62" s="11"/>
      <c r="F62" s="102"/>
      <c r="G62" s="102"/>
      <c r="H62" s="8"/>
      <c r="O62" s="2"/>
    </row>
    <row r="63" spans="1:15">
      <c r="A63" s="101"/>
      <c r="B63"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63" s="11" t="s">
        <v>72</v>
      </c>
      <c r="D63" s="11"/>
      <c r="E63" s="11"/>
      <c r="F63" s="102"/>
      <c r="G63" s="102"/>
      <c r="H63" s="8"/>
      <c r="O63" s="2"/>
    </row>
    <row r="64" spans="1:15">
      <c r="A64" s="101"/>
      <c r="B64"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64" s="11" t="s">
        <v>65</v>
      </c>
      <c r="D64" s="11" t="s">
        <v>57</v>
      </c>
      <c r="E64" s="11"/>
      <c r="F64" s="102"/>
      <c r="G64" s="102"/>
      <c r="H64" s="8"/>
      <c r="O64" s="2"/>
    </row>
    <row r="65" spans="1:15">
      <c r="A65" s="101"/>
      <c r="B65"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65" s="11" t="s">
        <v>53</v>
      </c>
      <c r="D65" s="11"/>
      <c r="E65" s="11"/>
      <c r="F65" s="102"/>
      <c r="G65" s="102"/>
      <c r="H65" s="8"/>
      <c r="O65" s="2"/>
    </row>
    <row r="66" spans="1:15">
      <c r="A66" s="101"/>
      <c r="B66"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66" s="11" t="s">
        <v>81</v>
      </c>
      <c r="D66" s="11" t="s">
        <v>85</v>
      </c>
      <c r="E66" s="11"/>
      <c r="F66" s="102"/>
      <c r="G66" s="102"/>
      <c r="H66" s="8"/>
      <c r="O66" s="2"/>
    </row>
    <row r="67" spans="1:15">
      <c r="A67" s="8"/>
      <c r="B67" s="8"/>
      <c r="C67" s="8"/>
      <c r="D67" s="8"/>
      <c r="E67" s="8"/>
      <c r="F67" s="8"/>
      <c r="G67" s="8"/>
      <c r="H67" s="8"/>
      <c r="O67" s="2"/>
    </row>
    <row r="68" spans="1:15">
      <c r="A68" s="8"/>
      <c r="B68" s="8"/>
      <c r="C68" s="8"/>
      <c r="D68" s="8"/>
      <c r="E68" s="8"/>
      <c r="F68" s="8"/>
      <c r="G68" s="8"/>
      <c r="H68" s="8"/>
      <c r="O68" s="2"/>
    </row>
    <row r="69" spans="1:15">
      <c r="A69" s="103" t="s">
        <v>271</v>
      </c>
      <c r="B69" s="99"/>
      <c r="C69" s="99"/>
      <c r="D69" s="99"/>
      <c r="E69" s="99"/>
      <c r="F69" s="99"/>
      <c r="G69" s="99"/>
      <c r="H69" s="99"/>
      <c r="O69" s="2"/>
    </row>
    <row r="70" spans="1:15">
      <c r="A70" s="10" t="s">
        <v>272</v>
      </c>
      <c r="B70" s="10">
        <v>1</v>
      </c>
      <c r="C70" s="10">
        <v>2</v>
      </c>
      <c r="D70" s="10">
        <v>3</v>
      </c>
      <c r="E70" s="10">
        <v>4</v>
      </c>
      <c r="F70" s="10">
        <v>5</v>
      </c>
      <c r="G70" s="10">
        <v>6</v>
      </c>
      <c r="H70" s="10">
        <v>7</v>
      </c>
      <c r="O70" s="2"/>
    </row>
    <row r="71" spans="1:15">
      <c r="A71" s="10">
        <v>1</v>
      </c>
      <c r="B71" s="11" t="str">
        <f t="shared" ref="B71:H77" si="0">IF($A71=B$70,"",COUNTIF($C$4:$E$66,$A71&amp;" ضد "&amp;B$70)+COUNTIF($C$4:$E$66,B$70&amp;" ضد "&amp;$A71))</f>
        <v/>
      </c>
      <c r="C71" s="11">
        <f t="shared" si="0"/>
        <v>5</v>
      </c>
      <c r="D71" s="11">
        <f t="shared" si="0"/>
        <v>5</v>
      </c>
      <c r="E71" s="11">
        <f t="shared" si="0"/>
        <v>4</v>
      </c>
      <c r="F71" s="11">
        <f t="shared" si="0"/>
        <v>4</v>
      </c>
      <c r="G71" s="11">
        <f t="shared" si="0"/>
        <v>5</v>
      </c>
      <c r="H71" s="11">
        <f t="shared" si="0"/>
        <v>5</v>
      </c>
      <c r="O71" s="2"/>
    </row>
    <row r="72" spans="1:15">
      <c r="A72" s="10">
        <v>2</v>
      </c>
      <c r="B72" s="11">
        <f t="shared" si="0"/>
        <v>5</v>
      </c>
      <c r="C72" s="11" t="str">
        <f t="shared" si="0"/>
        <v/>
      </c>
      <c r="D72" s="11">
        <f t="shared" si="0"/>
        <v>5</v>
      </c>
      <c r="E72" s="11">
        <f t="shared" si="0"/>
        <v>5</v>
      </c>
      <c r="F72" s="11">
        <f t="shared" si="0"/>
        <v>4</v>
      </c>
      <c r="G72" s="11">
        <f t="shared" si="0"/>
        <v>4</v>
      </c>
      <c r="H72" s="11">
        <f t="shared" si="0"/>
        <v>5</v>
      </c>
      <c r="O72" s="2"/>
    </row>
    <row r="73" spans="1:15">
      <c r="A73" s="10">
        <v>3</v>
      </c>
      <c r="B73" s="11">
        <f t="shared" si="0"/>
        <v>5</v>
      </c>
      <c r="C73" s="11">
        <f t="shared" si="0"/>
        <v>5</v>
      </c>
      <c r="D73" s="11" t="str">
        <f t="shared" si="0"/>
        <v/>
      </c>
      <c r="E73" s="11">
        <f t="shared" si="0"/>
        <v>5</v>
      </c>
      <c r="F73" s="11">
        <f t="shared" si="0"/>
        <v>5</v>
      </c>
      <c r="G73" s="11">
        <f t="shared" si="0"/>
        <v>4</v>
      </c>
      <c r="H73" s="11">
        <f t="shared" si="0"/>
        <v>4</v>
      </c>
      <c r="O73" s="2"/>
    </row>
    <row r="74" spans="1:15">
      <c r="A74" s="10">
        <v>4</v>
      </c>
      <c r="B74" s="11">
        <f t="shared" si="0"/>
        <v>4</v>
      </c>
      <c r="C74" s="11">
        <f t="shared" si="0"/>
        <v>5</v>
      </c>
      <c r="D74" s="11">
        <f t="shared" si="0"/>
        <v>5</v>
      </c>
      <c r="E74" s="11" t="str">
        <f t="shared" si="0"/>
        <v/>
      </c>
      <c r="F74" s="11">
        <f t="shared" si="0"/>
        <v>5</v>
      </c>
      <c r="G74" s="11">
        <f t="shared" si="0"/>
        <v>5</v>
      </c>
      <c r="H74" s="11">
        <f t="shared" si="0"/>
        <v>4</v>
      </c>
      <c r="O74" s="2"/>
    </row>
    <row r="75" spans="1:15">
      <c r="A75" s="10">
        <v>5</v>
      </c>
      <c r="B75" s="11">
        <f t="shared" si="0"/>
        <v>4</v>
      </c>
      <c r="C75" s="11">
        <f t="shared" si="0"/>
        <v>4</v>
      </c>
      <c r="D75" s="11">
        <f t="shared" si="0"/>
        <v>5</v>
      </c>
      <c r="E75" s="11">
        <f t="shared" si="0"/>
        <v>5</v>
      </c>
      <c r="F75" s="11" t="str">
        <f t="shared" si="0"/>
        <v/>
      </c>
      <c r="G75" s="11">
        <f t="shared" si="0"/>
        <v>5</v>
      </c>
      <c r="H75" s="11">
        <f t="shared" si="0"/>
        <v>5</v>
      </c>
      <c r="O75" s="2"/>
    </row>
    <row r="76" spans="1:15">
      <c r="A76" s="10">
        <v>6</v>
      </c>
      <c r="B76" s="11">
        <f t="shared" si="0"/>
        <v>5</v>
      </c>
      <c r="C76" s="11">
        <f t="shared" si="0"/>
        <v>4</v>
      </c>
      <c r="D76" s="11">
        <f t="shared" si="0"/>
        <v>4</v>
      </c>
      <c r="E76" s="11">
        <f t="shared" si="0"/>
        <v>5</v>
      </c>
      <c r="F76" s="11">
        <f t="shared" si="0"/>
        <v>5</v>
      </c>
      <c r="G76" s="11" t="str">
        <f t="shared" si="0"/>
        <v/>
      </c>
      <c r="H76" s="11">
        <f t="shared" si="0"/>
        <v>5</v>
      </c>
      <c r="O76" s="2"/>
    </row>
    <row r="77" spans="1:15">
      <c r="A77" s="10">
        <v>7</v>
      </c>
      <c r="B77" s="11">
        <f t="shared" si="0"/>
        <v>5</v>
      </c>
      <c r="C77" s="11">
        <f t="shared" si="0"/>
        <v>5</v>
      </c>
      <c r="D77" s="11">
        <f t="shared" si="0"/>
        <v>4</v>
      </c>
      <c r="E77" s="11">
        <f t="shared" si="0"/>
        <v>4</v>
      </c>
      <c r="F77" s="11">
        <f t="shared" si="0"/>
        <v>5</v>
      </c>
      <c r="G77" s="11">
        <f t="shared" si="0"/>
        <v>5</v>
      </c>
      <c r="H77" s="24" t="str">
        <f t="shared" si="0"/>
        <v/>
      </c>
      <c r="I77" s="2"/>
      <c r="J77" s="2"/>
      <c r="K77" s="2"/>
      <c r="L77" s="2"/>
      <c r="M77" s="2"/>
      <c r="N77" s="2"/>
      <c r="O77" s="2"/>
    </row>
    <row r="78" spans="1:15">
      <c r="A78" s="22" t="s">
        <v>273</v>
      </c>
      <c r="B78" s="21">
        <f>MIN(B71:H77)</f>
        <v>4</v>
      </c>
      <c r="C78" s="8"/>
      <c r="D78" s="8"/>
      <c r="E78" s="8"/>
      <c r="F78" s="8"/>
      <c r="G78" s="8"/>
      <c r="H78" s="26"/>
    </row>
    <row r="79" spans="1:15">
      <c r="A79" s="22" t="s">
        <v>274</v>
      </c>
      <c r="B79" s="21">
        <f>MAX(B71:H77)</f>
        <v>5</v>
      </c>
      <c r="C79" s="8"/>
      <c r="D79" s="8"/>
      <c r="E79" s="8"/>
      <c r="F79" s="8"/>
      <c r="G79" s="8"/>
      <c r="H79" s="26"/>
    </row>
    <row r="80" spans="1:15">
      <c r="H80" s="4"/>
    </row>
    <row r="81" spans="8:8">
      <c r="H81" s="4"/>
    </row>
    <row r="82" spans="8:8">
      <c r="H82" s="4"/>
    </row>
    <row r="83" spans="8:8">
      <c r="H83" s="4"/>
    </row>
    <row r="84" spans="8:8">
      <c r="H84" s="4"/>
    </row>
    <row r="85" spans="8:8">
      <c r="H85" s="4"/>
    </row>
    <row r="86" spans="8:8">
      <c r="H86" s="4"/>
    </row>
    <row r="87" spans="8:8">
      <c r="H87" s="4"/>
    </row>
    <row r="88" spans="8:8">
      <c r="H88" s="4"/>
    </row>
    <row r="89" spans="8:8">
      <c r="H89" s="4"/>
    </row>
    <row r="90" spans="8:8">
      <c r="H90" s="4"/>
    </row>
    <row r="91" spans="8:8">
      <c r="H91" s="4"/>
    </row>
    <row r="92" spans="8:8">
      <c r="H92" s="4"/>
    </row>
    <row r="93" spans="8:8">
      <c r="H93" s="4"/>
    </row>
    <row r="94" spans="8:8">
      <c r="H94" s="4"/>
    </row>
    <row r="95" spans="8:8">
      <c r="H95" s="4"/>
    </row>
    <row r="96" spans="8:8">
      <c r="H96" s="4"/>
    </row>
    <row r="97" spans="8:8">
      <c r="H97" s="4"/>
    </row>
    <row r="98" spans="8:8">
      <c r="H98" s="4"/>
    </row>
    <row r="99" spans="8:8">
      <c r="H99" s="4"/>
    </row>
    <row r="100" spans="8:8">
      <c r="H100" s="4"/>
    </row>
    <row r="101" spans="8:8">
      <c r="H101" s="4"/>
    </row>
    <row r="102" spans="8:8">
      <c r="H102" s="4"/>
    </row>
    <row r="103" spans="8:8">
      <c r="H103" s="4"/>
    </row>
    <row r="104" spans="8:8">
      <c r="H104" s="4"/>
    </row>
    <row r="105" spans="8:8">
      <c r="H105" s="4"/>
    </row>
    <row r="106" spans="8:8">
      <c r="H106" s="4"/>
    </row>
    <row r="107" spans="8:8">
      <c r="H107" s="4"/>
    </row>
    <row r="108" spans="8:8">
      <c r="H108" s="4"/>
    </row>
    <row r="109" spans="8:8">
      <c r="H109" s="4"/>
    </row>
    <row r="110" spans="8:8">
      <c r="H110" s="4"/>
    </row>
    <row r="111" spans="8:8">
      <c r="H111" s="4"/>
    </row>
    <row r="112" spans="8:8">
      <c r="H112" s="4"/>
    </row>
    <row r="113" spans="8:8">
      <c r="H113" s="4"/>
    </row>
    <row r="114" spans="8:8">
      <c r="H114" s="4"/>
    </row>
    <row r="115" spans="8:8">
      <c r="H115" s="4"/>
    </row>
    <row r="116" spans="8:8">
      <c r="H116" s="4"/>
    </row>
    <row r="117" spans="8:8">
      <c r="H117" s="4"/>
    </row>
    <row r="118" spans="8:8">
      <c r="H118" s="4"/>
    </row>
    <row r="119" spans="8:8">
      <c r="H119" s="4"/>
    </row>
    <row r="120" spans="8:8">
      <c r="H120" s="4"/>
    </row>
    <row r="121" spans="8:8">
      <c r="H121" s="4"/>
    </row>
    <row r="122" spans="8:8">
      <c r="H122" s="4"/>
    </row>
    <row r="123" spans="8:8">
      <c r="H123" s="4"/>
    </row>
    <row r="124" spans="8:8">
      <c r="H124" s="4"/>
    </row>
    <row r="125" spans="8:8">
      <c r="H125" s="4"/>
    </row>
    <row r="126" spans="8:8">
      <c r="H126" s="4"/>
    </row>
    <row r="127" spans="8:8">
      <c r="H127" s="4"/>
    </row>
    <row r="128" spans="8:8">
      <c r="H128" s="4"/>
    </row>
    <row r="129" spans="8:8">
      <c r="H129" s="4"/>
    </row>
    <row r="130" spans="8:8">
      <c r="H130" s="4"/>
    </row>
    <row r="131" spans="8:8">
      <c r="H131" s="4"/>
    </row>
    <row r="132" spans="8:8">
      <c r="H132" s="4"/>
    </row>
    <row r="133" spans="8:8">
      <c r="H133" s="4"/>
    </row>
    <row r="134" spans="8:8">
      <c r="H134" s="4"/>
    </row>
    <row r="135" spans="8:8">
      <c r="H135" s="4"/>
    </row>
    <row r="136" spans="8:8">
      <c r="H136" s="4"/>
    </row>
    <row r="137" spans="8:8">
      <c r="H137" s="4"/>
    </row>
    <row r="138" spans="8:8">
      <c r="H138" s="4"/>
    </row>
    <row r="139" spans="8:8">
      <c r="H139" s="4"/>
    </row>
    <row r="140" spans="8:8">
      <c r="H140" s="4"/>
    </row>
    <row r="141" spans="8:8">
      <c r="H141" s="4"/>
    </row>
    <row r="142" spans="8:8">
      <c r="H142" s="4"/>
    </row>
    <row r="143" spans="8:8">
      <c r="H143" s="4"/>
    </row>
    <row r="144" spans="8:8">
      <c r="H144" s="4"/>
    </row>
    <row r="145" spans="8:8">
      <c r="H145" s="4"/>
    </row>
    <row r="146" spans="8:8">
      <c r="H146" s="4"/>
    </row>
    <row r="147" spans="8:8">
      <c r="H147" s="4"/>
    </row>
    <row r="148" spans="8:8">
      <c r="H148" s="4"/>
    </row>
    <row r="149" spans="8:8">
      <c r="H149" s="4"/>
    </row>
    <row r="150" spans="8:8">
      <c r="H150" s="4"/>
    </row>
    <row r="151" spans="8:8">
      <c r="H151" s="4"/>
    </row>
    <row r="152" spans="8:8">
      <c r="H152" s="4"/>
    </row>
    <row r="153" spans="8:8">
      <c r="H153" s="4"/>
    </row>
    <row r="154" spans="8:8">
      <c r="H154" s="4"/>
    </row>
    <row r="155" spans="8:8">
      <c r="H155" s="4"/>
    </row>
    <row r="156" spans="8:8">
      <c r="H156" s="4"/>
    </row>
    <row r="157" spans="8:8">
      <c r="H157" s="4"/>
    </row>
    <row r="158" spans="8:8">
      <c r="H158" s="4"/>
    </row>
    <row r="159" spans="8:8">
      <c r="H159" s="4"/>
    </row>
    <row r="160" spans="8:8">
      <c r="H160" s="4"/>
    </row>
    <row r="161" spans="8:8">
      <c r="H161" s="4"/>
    </row>
    <row r="162" spans="8:8">
      <c r="H162" s="4"/>
    </row>
    <row r="163" spans="8:8">
      <c r="H163" s="4"/>
    </row>
    <row r="164" spans="8:8">
      <c r="H164" s="4"/>
    </row>
    <row r="165" spans="8:8">
      <c r="H165" s="4"/>
    </row>
    <row r="166" spans="8:8">
      <c r="H166" s="4"/>
    </row>
    <row r="167" spans="8:8">
      <c r="H167" s="4"/>
    </row>
    <row r="168" spans="8:8">
      <c r="H168" s="4"/>
    </row>
    <row r="169" spans="8:8">
      <c r="H169" s="4"/>
    </row>
    <row r="170" spans="8:8">
      <c r="H170" s="4"/>
    </row>
    <row r="171" spans="8:8">
      <c r="H171" s="4"/>
    </row>
    <row r="172" spans="8:8">
      <c r="H172" s="4"/>
    </row>
    <row r="173" spans="8:8">
      <c r="H173" s="4"/>
    </row>
    <row r="174" spans="8:8">
      <c r="H174" s="4"/>
    </row>
    <row r="175" spans="8:8">
      <c r="H175" s="4"/>
    </row>
    <row r="176" spans="8:8">
      <c r="H176" s="4"/>
    </row>
    <row r="177" spans="8:8">
      <c r="H177" s="4"/>
    </row>
    <row r="178" spans="8:8">
      <c r="H178" s="4"/>
    </row>
    <row r="179" spans="8:8">
      <c r="H179" s="4"/>
    </row>
    <row r="180" spans="8:8">
      <c r="H180" s="4"/>
    </row>
    <row r="181" spans="8:8">
      <c r="H181" s="4"/>
    </row>
    <row r="182" spans="8:8">
      <c r="H182" s="4"/>
    </row>
    <row r="183" spans="8:8">
      <c r="H183" s="4"/>
    </row>
    <row r="184" spans="8:8">
      <c r="H184" s="4"/>
    </row>
    <row r="185" spans="8:8">
      <c r="H185" s="4"/>
    </row>
    <row r="186" spans="8:8">
      <c r="H186" s="4"/>
    </row>
    <row r="187" spans="8:8">
      <c r="H187" s="4"/>
    </row>
    <row r="188" spans="8:8">
      <c r="H188" s="4"/>
    </row>
    <row r="189" spans="8:8">
      <c r="H189" s="4"/>
    </row>
    <row r="190" spans="8:8">
      <c r="H190" s="4"/>
    </row>
    <row r="191" spans="8:8">
      <c r="H191" s="4"/>
    </row>
    <row r="192" spans="8:8">
      <c r="H192" s="4"/>
    </row>
    <row r="193" spans="8:8">
      <c r="H193" s="4"/>
    </row>
    <row r="194" spans="8:8">
      <c r="H194" s="4"/>
    </row>
    <row r="195" spans="8:8">
      <c r="H195" s="4"/>
    </row>
    <row r="196" spans="8:8">
      <c r="H196" s="4"/>
    </row>
    <row r="197" spans="8:8">
      <c r="H197" s="4"/>
    </row>
    <row r="198" spans="8:8">
      <c r="H198" s="4"/>
    </row>
    <row r="199" spans="8:8">
      <c r="H199" s="4"/>
    </row>
  </sheetData>
  <mergeCells count="23">
    <mergeCell ref="A1:G1"/>
    <mergeCell ref="A69:H69"/>
    <mergeCell ref="A4:A12"/>
    <mergeCell ref="F4:F12"/>
    <mergeCell ref="G4:G12"/>
    <mergeCell ref="A13:A21"/>
    <mergeCell ref="F13:F21"/>
    <mergeCell ref="G13:G21"/>
    <mergeCell ref="A22:A30"/>
    <mergeCell ref="F22:F30"/>
    <mergeCell ref="G22:G30"/>
    <mergeCell ref="A40:A48"/>
    <mergeCell ref="F40:F48"/>
    <mergeCell ref="G40:G48"/>
    <mergeCell ref="A49:A57"/>
    <mergeCell ref="A31:A39"/>
    <mergeCell ref="F31:F39"/>
    <mergeCell ref="F49:F57"/>
    <mergeCell ref="G49:G57"/>
    <mergeCell ref="A58:A66"/>
    <mergeCell ref="F58:F66"/>
    <mergeCell ref="G58:G66"/>
    <mergeCell ref="G31:G3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99"/>
  <sheetViews>
    <sheetView showGridLines="0" rightToLeft="1" zoomScale="45" workbookViewId="0">
      <pane ySplit="3" topLeftCell="A4" activePane="bottomLeft" state="frozen"/>
      <selection activeCell="E15" sqref="E15"/>
      <selection pane="bottomLeft" activeCell="I57" sqref="I57"/>
    </sheetView>
  </sheetViews>
  <sheetFormatPr defaultRowHeight="14.5"/>
  <cols>
    <col min="1" max="1" width="10.90625" customWidth="1"/>
    <col min="2" max="2" width="17.26953125" customWidth="1"/>
    <col min="3" max="6" width="14.54296875" customWidth="1"/>
    <col min="7" max="8" width="15.453125" customWidth="1"/>
    <col min="9" max="9" width="7.6328125" customWidth="1"/>
    <col min="10" max="19" width="5.453125" customWidth="1"/>
  </cols>
  <sheetData>
    <row r="1" spans="1:18" ht="26" customHeight="1">
      <c r="A1" s="83" t="s">
        <v>266</v>
      </c>
      <c r="B1" s="83"/>
      <c r="C1" s="83"/>
      <c r="D1" s="83"/>
      <c r="E1" s="83"/>
      <c r="F1" s="83"/>
      <c r="G1" s="83"/>
      <c r="H1" s="83"/>
      <c r="I1" s="8"/>
      <c r="R1" s="2"/>
    </row>
    <row r="2" spans="1:18" ht="8" customHeight="1">
      <c r="A2" s="8"/>
      <c r="B2" s="8"/>
      <c r="C2" s="8"/>
      <c r="D2" s="8"/>
      <c r="E2" s="8"/>
      <c r="F2" s="8"/>
      <c r="G2" s="8"/>
      <c r="H2" s="8"/>
      <c r="I2" s="8"/>
      <c r="R2" s="2"/>
    </row>
    <row r="3" spans="1:18" ht="32" customHeight="1">
      <c r="A3" s="28" t="s">
        <v>0</v>
      </c>
      <c r="B3" s="28" t="s">
        <v>1</v>
      </c>
      <c r="C3" s="28" t="s">
        <v>2</v>
      </c>
      <c r="D3" s="28" t="s">
        <v>3</v>
      </c>
      <c r="E3" s="28" t="s">
        <v>4</v>
      </c>
      <c r="F3" s="28" t="s">
        <v>12</v>
      </c>
      <c r="G3" s="28" t="s">
        <v>263</v>
      </c>
      <c r="H3" s="28" t="s">
        <v>105</v>
      </c>
      <c r="I3" s="8"/>
      <c r="R3" s="2"/>
    </row>
    <row r="4" spans="1:18" ht="14.5" customHeight="1">
      <c r="A4" s="76" t="s">
        <v>5</v>
      </c>
      <c r="B4" s="29"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 s="9" t="s">
        <v>84</v>
      </c>
      <c r="D4" s="9" t="s">
        <v>72</v>
      </c>
      <c r="E4" s="9" t="s">
        <v>75</v>
      </c>
      <c r="F4" s="9" t="s">
        <v>52</v>
      </c>
      <c r="G4" s="77">
        <f>COUNTIF(C4:F10,"* ضد *")</f>
        <v>16</v>
      </c>
      <c r="H4" s="78">
        <f>G4*2/'ملخص البطولات'!$A$6</f>
        <v>4</v>
      </c>
      <c r="I4" s="8"/>
      <c r="R4" s="2"/>
    </row>
    <row r="5" spans="1:18">
      <c r="A5" s="76"/>
      <c r="B5" s="29"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 s="79" t="s">
        <v>264</v>
      </c>
      <c r="D5" s="79"/>
      <c r="E5" s="79"/>
      <c r="F5" s="79"/>
      <c r="G5" s="78"/>
      <c r="H5" s="78"/>
      <c r="I5" s="8"/>
      <c r="R5" s="2"/>
    </row>
    <row r="6" spans="1:18">
      <c r="A6" s="76"/>
      <c r="B6" s="29"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 s="9" t="s">
        <v>22</v>
      </c>
      <c r="D6" s="9" t="s">
        <v>20</v>
      </c>
      <c r="E6" s="9" t="s">
        <v>48</v>
      </c>
      <c r="F6" s="9" t="s">
        <v>65</v>
      </c>
      <c r="G6" s="78"/>
      <c r="H6" s="78"/>
      <c r="I6" s="8"/>
      <c r="R6" s="2"/>
    </row>
    <row r="7" spans="1:18">
      <c r="A7" s="76"/>
      <c r="B7" s="29"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7" s="79" t="s">
        <v>264</v>
      </c>
      <c r="D7" s="79"/>
      <c r="E7" s="79"/>
      <c r="F7" s="79"/>
      <c r="G7" s="78"/>
      <c r="H7" s="78"/>
      <c r="I7" s="8"/>
      <c r="R7" s="2"/>
    </row>
    <row r="8" spans="1:18">
      <c r="A8" s="76"/>
      <c r="B8" s="29"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8" s="9" t="s">
        <v>68</v>
      </c>
      <c r="D8" s="9" t="s">
        <v>85</v>
      </c>
      <c r="E8" s="9" t="s">
        <v>44</v>
      </c>
      <c r="F8" s="9" t="s">
        <v>35</v>
      </c>
      <c r="G8" s="78"/>
      <c r="H8" s="78"/>
      <c r="I8" s="8"/>
      <c r="R8" s="2"/>
    </row>
    <row r="9" spans="1:18">
      <c r="A9" s="76"/>
      <c r="B9" s="29"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9" s="79" t="s">
        <v>264</v>
      </c>
      <c r="D9" s="79"/>
      <c r="E9" s="79"/>
      <c r="F9" s="79"/>
      <c r="G9" s="78"/>
      <c r="H9" s="78"/>
      <c r="I9" s="8"/>
      <c r="R9" s="2"/>
    </row>
    <row r="10" spans="1:18">
      <c r="A10" s="76"/>
      <c r="B10" s="29"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0" s="9" t="s">
        <v>42</v>
      </c>
      <c r="D10" s="9" t="s">
        <v>81</v>
      </c>
      <c r="E10" s="9" t="s">
        <v>60</v>
      </c>
      <c r="F10" s="9" t="s">
        <v>53</v>
      </c>
      <c r="G10" s="78"/>
      <c r="H10" s="78"/>
      <c r="I10" s="8"/>
      <c r="R10" s="2"/>
    </row>
    <row r="11" spans="1:18" ht="14.5" customHeight="1">
      <c r="A11" s="76" t="s">
        <v>6</v>
      </c>
      <c r="B11" s="14"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11" s="15" t="s">
        <v>34</v>
      </c>
      <c r="D11" s="15" t="s">
        <v>30</v>
      </c>
      <c r="E11" s="15" t="s">
        <v>66</v>
      </c>
      <c r="F11" s="15" t="s">
        <v>32</v>
      </c>
      <c r="G11" s="87">
        <f>COUNTIF(C11:F17,"* ضد *")</f>
        <v>16</v>
      </c>
      <c r="H11" s="88">
        <f>G11*2/'ملخص البطولات'!$A$6</f>
        <v>4</v>
      </c>
      <c r="I11" s="8"/>
      <c r="R11" s="2"/>
    </row>
    <row r="12" spans="1:18">
      <c r="A12" s="76"/>
      <c r="B12" s="14"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12" s="75" t="s">
        <v>264</v>
      </c>
      <c r="D12" s="75"/>
      <c r="E12" s="75"/>
      <c r="F12" s="75"/>
      <c r="G12" s="88"/>
      <c r="H12" s="88"/>
      <c r="I12" s="8"/>
      <c r="R12" s="2"/>
    </row>
    <row r="13" spans="1:18" ht="14.5" customHeight="1">
      <c r="A13" s="76"/>
      <c r="B13" s="14"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13" s="15" t="s">
        <v>70</v>
      </c>
      <c r="D13" s="15" t="s">
        <v>25</v>
      </c>
      <c r="E13" s="15" t="s">
        <v>78</v>
      </c>
      <c r="F13" s="15" t="s">
        <v>40</v>
      </c>
      <c r="G13" s="88"/>
      <c r="H13" s="88"/>
      <c r="I13" s="8"/>
      <c r="R13" s="2"/>
    </row>
    <row r="14" spans="1:18">
      <c r="A14" s="76"/>
      <c r="B14" s="14"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14" s="75" t="s">
        <v>264</v>
      </c>
      <c r="D14" s="75"/>
      <c r="E14" s="75"/>
      <c r="F14" s="75"/>
      <c r="G14" s="88"/>
      <c r="H14" s="88"/>
      <c r="I14" s="8"/>
      <c r="R14" s="2"/>
    </row>
    <row r="15" spans="1:18">
      <c r="A15" s="76"/>
      <c r="B15" s="14"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15" s="15" t="s">
        <v>51</v>
      </c>
      <c r="D15" s="15" t="s">
        <v>41</v>
      </c>
      <c r="E15" s="15" t="s">
        <v>49</v>
      </c>
      <c r="F15" s="15" t="s">
        <v>57</v>
      </c>
      <c r="G15" s="88"/>
      <c r="H15" s="88"/>
      <c r="I15" s="8"/>
      <c r="R15" s="2"/>
    </row>
    <row r="16" spans="1:18">
      <c r="A16" s="76"/>
      <c r="B16" s="14"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16" s="75" t="s">
        <v>264</v>
      </c>
      <c r="D16" s="75"/>
      <c r="E16" s="75"/>
      <c r="F16" s="75"/>
      <c r="G16" s="88"/>
      <c r="H16" s="88"/>
      <c r="I16" s="8"/>
      <c r="R16" s="2"/>
    </row>
    <row r="17" spans="1:18">
      <c r="A17" s="76"/>
      <c r="B17" s="14"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7" s="15" t="s">
        <v>84</v>
      </c>
      <c r="D17" s="15" t="s">
        <v>72</v>
      </c>
      <c r="E17" s="15" t="s">
        <v>75</v>
      </c>
      <c r="F17" s="15" t="s">
        <v>52</v>
      </c>
      <c r="G17" s="88"/>
      <c r="H17" s="88"/>
      <c r="I17" s="8"/>
      <c r="R17" s="2"/>
    </row>
    <row r="18" spans="1:18" ht="14.5" customHeight="1">
      <c r="A18" s="76" t="s">
        <v>7</v>
      </c>
      <c r="B18" s="29"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18" s="9" t="s">
        <v>22</v>
      </c>
      <c r="D18" s="9" t="s">
        <v>20</v>
      </c>
      <c r="E18" s="9" t="s">
        <v>48</v>
      </c>
      <c r="F18" s="9" t="s">
        <v>65</v>
      </c>
      <c r="G18" s="77">
        <f>COUNTIF(C18:F24,"* ضد *")</f>
        <v>16</v>
      </c>
      <c r="H18" s="78">
        <f>G18*2/'ملخص البطولات'!$A$6</f>
        <v>4</v>
      </c>
      <c r="I18" s="8"/>
      <c r="R18" s="2"/>
    </row>
    <row r="19" spans="1:18">
      <c r="A19" s="76"/>
      <c r="B19" s="29"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19" s="79" t="s">
        <v>264</v>
      </c>
      <c r="D19" s="79"/>
      <c r="E19" s="79"/>
      <c r="F19" s="79"/>
      <c r="G19" s="78"/>
      <c r="H19" s="78"/>
      <c r="I19" s="8"/>
      <c r="R19" s="2"/>
    </row>
    <row r="20" spans="1:18">
      <c r="A20" s="76"/>
      <c r="B20" s="29"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20" s="9" t="s">
        <v>68</v>
      </c>
      <c r="D20" s="9" t="s">
        <v>85</v>
      </c>
      <c r="E20" s="9" t="s">
        <v>44</v>
      </c>
      <c r="F20" s="9" t="s">
        <v>35</v>
      </c>
      <c r="G20" s="78"/>
      <c r="H20" s="78"/>
      <c r="I20" s="8"/>
      <c r="R20" s="2"/>
    </row>
    <row r="21" spans="1:18">
      <c r="A21" s="76"/>
      <c r="B21" s="29"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21" s="79" t="s">
        <v>264</v>
      </c>
      <c r="D21" s="79"/>
      <c r="E21" s="79"/>
      <c r="F21" s="79"/>
      <c r="G21" s="78"/>
      <c r="H21" s="78"/>
      <c r="I21" s="8"/>
      <c r="R21" s="2"/>
    </row>
    <row r="22" spans="1:18" ht="14.5" customHeight="1">
      <c r="A22" s="76"/>
      <c r="B22" s="29"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22" s="9" t="s">
        <v>42</v>
      </c>
      <c r="D22" s="9" t="s">
        <v>81</v>
      </c>
      <c r="E22" s="9" t="s">
        <v>60</v>
      </c>
      <c r="F22" s="9" t="s">
        <v>53</v>
      </c>
      <c r="G22" s="78"/>
      <c r="H22" s="78"/>
      <c r="I22" s="8"/>
      <c r="R22" s="2"/>
    </row>
    <row r="23" spans="1:18">
      <c r="A23" s="76"/>
      <c r="B23" s="29"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23" s="79" t="s">
        <v>264</v>
      </c>
      <c r="D23" s="79"/>
      <c r="E23" s="79"/>
      <c r="F23" s="79"/>
      <c r="G23" s="78"/>
      <c r="H23" s="78"/>
      <c r="I23" s="8"/>
      <c r="R23" s="2"/>
    </row>
    <row r="24" spans="1:18">
      <c r="A24" s="76"/>
      <c r="B24" s="29"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24" s="9" t="s">
        <v>34</v>
      </c>
      <c r="D24" s="9" t="s">
        <v>30</v>
      </c>
      <c r="E24" s="9" t="s">
        <v>66</v>
      </c>
      <c r="F24" s="9" t="s">
        <v>32</v>
      </c>
      <c r="G24" s="78"/>
      <c r="H24" s="78"/>
      <c r="I24" s="8"/>
      <c r="R24" s="2"/>
    </row>
    <row r="25" spans="1:18" ht="14.5" customHeight="1">
      <c r="A25" s="76" t="s">
        <v>8</v>
      </c>
      <c r="B25" s="14"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25" s="15" t="s">
        <v>70</v>
      </c>
      <c r="D25" s="15" t="s">
        <v>25</v>
      </c>
      <c r="E25" s="15" t="s">
        <v>78</v>
      </c>
      <c r="F25" s="15" t="s">
        <v>40</v>
      </c>
      <c r="G25" s="87">
        <f>COUNTIF(C25:F31,"* ضد *")</f>
        <v>16</v>
      </c>
      <c r="H25" s="88">
        <f>G25*2/'ملخص البطولات'!$A$6</f>
        <v>4</v>
      </c>
      <c r="I25" s="8"/>
      <c r="R25" s="2"/>
    </row>
    <row r="26" spans="1:18">
      <c r="A26" s="76"/>
      <c r="B26" s="14"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26" s="75" t="s">
        <v>264</v>
      </c>
      <c r="D26" s="75"/>
      <c r="E26" s="75"/>
      <c r="F26" s="75"/>
      <c r="G26" s="88"/>
      <c r="H26" s="88"/>
      <c r="I26" s="8"/>
      <c r="R26" s="2"/>
    </row>
    <row r="27" spans="1:18">
      <c r="A27" s="76"/>
      <c r="B27" s="14"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27" s="15" t="s">
        <v>51</v>
      </c>
      <c r="D27" s="15" t="s">
        <v>41</v>
      </c>
      <c r="E27" s="15" t="s">
        <v>49</v>
      </c>
      <c r="F27" s="15" t="s">
        <v>57</v>
      </c>
      <c r="G27" s="88"/>
      <c r="H27" s="88"/>
      <c r="I27" s="8"/>
      <c r="R27" s="2"/>
    </row>
    <row r="28" spans="1:18">
      <c r="A28" s="76"/>
      <c r="B28" s="14"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28" s="75" t="s">
        <v>264</v>
      </c>
      <c r="D28" s="75"/>
      <c r="E28" s="75"/>
      <c r="F28" s="75"/>
      <c r="G28" s="88"/>
      <c r="H28" s="88"/>
      <c r="I28" s="8"/>
      <c r="R28" s="2"/>
    </row>
    <row r="29" spans="1:18" ht="14.5" customHeight="1">
      <c r="A29" s="76"/>
      <c r="B29" s="14"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29" s="15" t="s">
        <v>84</v>
      </c>
      <c r="D29" s="15" t="s">
        <v>72</v>
      </c>
      <c r="E29" s="15" t="s">
        <v>75</v>
      </c>
      <c r="F29" s="15" t="s">
        <v>52</v>
      </c>
      <c r="G29" s="88"/>
      <c r="H29" s="88"/>
      <c r="I29" s="8"/>
      <c r="R29" s="2"/>
    </row>
    <row r="30" spans="1:18">
      <c r="A30" s="76"/>
      <c r="B30" s="14"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30" s="75" t="s">
        <v>264</v>
      </c>
      <c r="D30" s="75"/>
      <c r="E30" s="75"/>
      <c r="F30" s="75"/>
      <c r="G30" s="88"/>
      <c r="H30" s="88"/>
      <c r="I30" s="8"/>
      <c r="R30" s="2"/>
    </row>
    <row r="31" spans="1:18">
      <c r="A31" s="76"/>
      <c r="B31" s="14"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31" s="15" t="s">
        <v>22</v>
      </c>
      <c r="D31" s="15" t="s">
        <v>20</v>
      </c>
      <c r="E31" s="15" t="s">
        <v>48</v>
      </c>
      <c r="F31" s="15" t="s">
        <v>65</v>
      </c>
      <c r="G31" s="88"/>
      <c r="H31" s="88"/>
      <c r="I31" s="8"/>
      <c r="R31" s="2"/>
    </row>
    <row r="32" spans="1:18" ht="14.5" customHeight="1">
      <c r="A32" s="76" t="s">
        <v>9</v>
      </c>
      <c r="B32" s="29"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32" s="9" t="s">
        <v>68</v>
      </c>
      <c r="D32" s="9" t="s">
        <v>85</v>
      </c>
      <c r="E32" s="9" t="s">
        <v>44</v>
      </c>
      <c r="F32" s="9" t="s">
        <v>35</v>
      </c>
      <c r="G32" s="77">
        <f>COUNTIF(C32:F38,"* ضد *")</f>
        <v>16</v>
      </c>
      <c r="H32" s="78">
        <f>G32*2/'ملخص البطولات'!$A$6</f>
        <v>4</v>
      </c>
      <c r="I32" s="8"/>
      <c r="R32" s="2"/>
    </row>
    <row r="33" spans="1:18">
      <c r="A33" s="76"/>
      <c r="B33" s="29"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33" s="79" t="s">
        <v>264</v>
      </c>
      <c r="D33" s="79"/>
      <c r="E33" s="79"/>
      <c r="F33" s="79"/>
      <c r="G33" s="78"/>
      <c r="H33" s="78"/>
      <c r="I33" s="8"/>
      <c r="R33" s="2"/>
    </row>
    <row r="34" spans="1:18">
      <c r="A34" s="76"/>
      <c r="B34" s="29"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34" s="9" t="s">
        <v>42</v>
      </c>
      <c r="D34" s="9" t="s">
        <v>81</v>
      </c>
      <c r="E34" s="9" t="s">
        <v>60</v>
      </c>
      <c r="F34" s="9" t="s">
        <v>53</v>
      </c>
      <c r="G34" s="78"/>
      <c r="H34" s="78"/>
      <c r="I34" s="8"/>
      <c r="R34" s="2"/>
    </row>
    <row r="35" spans="1:18">
      <c r="A35" s="76"/>
      <c r="B35" s="29"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35" s="79" t="s">
        <v>264</v>
      </c>
      <c r="D35" s="79"/>
      <c r="E35" s="79"/>
      <c r="F35" s="79"/>
      <c r="G35" s="78"/>
      <c r="H35" s="78"/>
      <c r="I35" s="8"/>
      <c r="R35" s="2"/>
    </row>
    <row r="36" spans="1:18">
      <c r="A36" s="76"/>
      <c r="B36" s="29"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36" s="9" t="s">
        <v>34</v>
      </c>
      <c r="D36" s="9" t="s">
        <v>30</v>
      </c>
      <c r="E36" s="9" t="s">
        <v>66</v>
      </c>
      <c r="F36" s="9" t="s">
        <v>32</v>
      </c>
      <c r="G36" s="78"/>
      <c r="H36" s="78"/>
      <c r="I36" s="8"/>
      <c r="R36" s="2"/>
    </row>
    <row r="37" spans="1:18">
      <c r="A37" s="76"/>
      <c r="B37" s="29"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37" s="79" t="s">
        <v>264</v>
      </c>
      <c r="D37" s="79"/>
      <c r="E37" s="79"/>
      <c r="F37" s="79"/>
      <c r="G37" s="78"/>
      <c r="H37" s="78"/>
      <c r="I37" s="8"/>
      <c r="R37" s="2"/>
    </row>
    <row r="38" spans="1:18" ht="14.5" customHeight="1">
      <c r="A38" s="76"/>
      <c r="B38" s="29"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38" s="9" t="s">
        <v>70</v>
      </c>
      <c r="D38" s="9" t="s">
        <v>25</v>
      </c>
      <c r="E38" s="9" t="s">
        <v>78</v>
      </c>
      <c r="F38" s="9" t="s">
        <v>40</v>
      </c>
      <c r="G38" s="78"/>
      <c r="H38" s="78"/>
      <c r="I38" s="8"/>
      <c r="R38" s="2"/>
    </row>
    <row r="39" spans="1:18" ht="14.5" customHeight="1">
      <c r="A39" s="76" t="s">
        <v>10</v>
      </c>
      <c r="B39" s="14"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39" s="15" t="s">
        <v>51</v>
      </c>
      <c r="D39" s="15" t="s">
        <v>41</v>
      </c>
      <c r="E39" s="15" t="s">
        <v>49</v>
      </c>
      <c r="F39" s="15" t="s">
        <v>57</v>
      </c>
      <c r="G39" s="87">
        <f>COUNTIF(C39:F45,"* ضد *")</f>
        <v>16</v>
      </c>
      <c r="H39" s="88">
        <f>G39*2/'ملخص البطولات'!$A$6</f>
        <v>4</v>
      </c>
      <c r="I39" s="8"/>
      <c r="R39" s="2"/>
    </row>
    <row r="40" spans="1:18">
      <c r="A40" s="76"/>
      <c r="B40" s="14"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40" s="75" t="s">
        <v>264</v>
      </c>
      <c r="D40" s="75"/>
      <c r="E40" s="75"/>
      <c r="F40" s="75"/>
      <c r="G40" s="88"/>
      <c r="H40" s="88"/>
      <c r="I40" s="8"/>
      <c r="R40" s="2"/>
    </row>
    <row r="41" spans="1:18">
      <c r="A41" s="76"/>
      <c r="B41" s="14"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41" s="15" t="s">
        <v>84</v>
      </c>
      <c r="D41" s="15" t="s">
        <v>72</v>
      </c>
      <c r="E41" s="15" t="s">
        <v>75</v>
      </c>
      <c r="F41" s="15" t="s">
        <v>52</v>
      </c>
      <c r="G41" s="88"/>
      <c r="H41" s="88"/>
      <c r="I41" s="8"/>
      <c r="R41" s="2"/>
    </row>
    <row r="42" spans="1:18">
      <c r="A42" s="76"/>
      <c r="B42" s="14"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42" s="75" t="s">
        <v>264</v>
      </c>
      <c r="D42" s="75"/>
      <c r="E42" s="75"/>
      <c r="F42" s="75"/>
      <c r="G42" s="88"/>
      <c r="H42" s="88"/>
      <c r="I42" s="8"/>
      <c r="R42" s="2"/>
    </row>
    <row r="43" spans="1:18">
      <c r="A43" s="76"/>
      <c r="B43" s="14"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43" s="15" t="s">
        <v>22</v>
      </c>
      <c r="D43" s="15" t="s">
        <v>20</v>
      </c>
      <c r="E43" s="15" t="s">
        <v>48</v>
      </c>
      <c r="F43" s="15" t="s">
        <v>65</v>
      </c>
      <c r="G43" s="88"/>
      <c r="H43" s="88"/>
      <c r="I43" s="8"/>
      <c r="R43" s="2"/>
    </row>
    <row r="44" spans="1:18">
      <c r="A44" s="76"/>
      <c r="B44" s="14"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44" s="75" t="s">
        <v>264</v>
      </c>
      <c r="D44" s="75"/>
      <c r="E44" s="75"/>
      <c r="F44" s="75"/>
      <c r="G44" s="88"/>
      <c r="H44" s="88"/>
      <c r="I44" s="8"/>
      <c r="R44" s="2"/>
    </row>
    <row r="45" spans="1:18">
      <c r="A45" s="76"/>
      <c r="B45" s="14"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45" s="15" t="s">
        <v>68</v>
      </c>
      <c r="D45" s="15" t="s">
        <v>85</v>
      </c>
      <c r="E45" s="15" t="s">
        <v>44</v>
      </c>
      <c r="F45" s="15" t="s">
        <v>35</v>
      </c>
      <c r="G45" s="88"/>
      <c r="H45" s="88"/>
      <c r="I45" s="8"/>
      <c r="R45" s="2"/>
    </row>
    <row r="46" spans="1:18" ht="14.5" customHeight="1">
      <c r="A46" s="76" t="s">
        <v>11</v>
      </c>
      <c r="B46" s="29"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6" s="9" t="s">
        <v>42</v>
      </c>
      <c r="D46" s="9" t="s">
        <v>81</v>
      </c>
      <c r="E46" s="9" t="s">
        <v>60</v>
      </c>
      <c r="F46" s="9" t="s">
        <v>53</v>
      </c>
      <c r="G46" s="77">
        <f>COUNTIF(C46:F52,"* ضد *")</f>
        <v>16</v>
      </c>
      <c r="H46" s="78">
        <f>G46*2/'ملخص البطولات'!$A$6</f>
        <v>4</v>
      </c>
      <c r="I46" s="8"/>
      <c r="R46" s="2"/>
    </row>
    <row r="47" spans="1:18" ht="14.5" customHeight="1">
      <c r="A47" s="76"/>
      <c r="B47" s="29"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47" s="79" t="s">
        <v>264</v>
      </c>
      <c r="D47" s="79"/>
      <c r="E47" s="79"/>
      <c r="F47" s="79"/>
      <c r="G47" s="78"/>
      <c r="H47" s="78"/>
      <c r="I47" s="8"/>
      <c r="R47" s="2"/>
    </row>
    <row r="48" spans="1:18">
      <c r="A48" s="76"/>
      <c r="B48" s="29"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48" s="9" t="s">
        <v>34</v>
      </c>
      <c r="D48" s="9" t="s">
        <v>30</v>
      </c>
      <c r="E48" s="9" t="s">
        <v>66</v>
      </c>
      <c r="F48" s="9" t="s">
        <v>32</v>
      </c>
      <c r="G48" s="78"/>
      <c r="H48" s="78"/>
      <c r="I48" s="8"/>
      <c r="R48" s="2"/>
    </row>
    <row r="49" spans="1:18">
      <c r="A49" s="76"/>
      <c r="B49" s="29"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49" s="79" t="s">
        <v>264</v>
      </c>
      <c r="D49" s="79"/>
      <c r="E49" s="79"/>
      <c r="F49" s="79"/>
      <c r="G49" s="78"/>
      <c r="H49" s="78"/>
      <c r="I49" s="8"/>
      <c r="R49" s="2"/>
    </row>
    <row r="50" spans="1:18">
      <c r="A50" s="76"/>
      <c r="B50" s="29"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50" s="9" t="s">
        <v>70</v>
      </c>
      <c r="D50" s="9" t="s">
        <v>25</v>
      </c>
      <c r="E50" s="9" t="s">
        <v>78</v>
      </c>
      <c r="F50" s="9" t="s">
        <v>40</v>
      </c>
      <c r="G50" s="78"/>
      <c r="H50" s="78"/>
      <c r="I50" s="8"/>
      <c r="R50" s="2"/>
    </row>
    <row r="51" spans="1:18">
      <c r="A51" s="76"/>
      <c r="B51" s="29"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51" s="79" t="s">
        <v>264</v>
      </c>
      <c r="D51" s="79"/>
      <c r="E51" s="79"/>
      <c r="F51" s="79"/>
      <c r="G51" s="78"/>
      <c r="H51" s="78"/>
      <c r="I51" s="8"/>
      <c r="R51" s="2"/>
    </row>
    <row r="52" spans="1:18">
      <c r="A52" s="76"/>
      <c r="B52" s="29"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52" s="9" t="s">
        <v>51</v>
      </c>
      <c r="D52" s="9" t="s">
        <v>41</v>
      </c>
      <c r="E52" s="9" t="s">
        <v>49</v>
      </c>
      <c r="F52" s="9" t="s">
        <v>57</v>
      </c>
      <c r="G52" s="78"/>
      <c r="H52" s="78"/>
      <c r="I52" s="8"/>
      <c r="R52" s="2"/>
    </row>
    <row r="53" spans="1:18">
      <c r="A53" s="8"/>
      <c r="B53" s="8"/>
      <c r="C53" s="8"/>
      <c r="D53" s="8"/>
      <c r="E53" s="8"/>
      <c r="F53" s="8"/>
      <c r="G53" s="8"/>
      <c r="H53" s="8"/>
      <c r="I53" s="8"/>
      <c r="R53" s="2"/>
    </row>
    <row r="54" spans="1:18">
      <c r="A54" s="8"/>
      <c r="B54" s="8"/>
      <c r="C54" s="8"/>
      <c r="D54" s="8"/>
      <c r="E54" s="8"/>
      <c r="F54" s="8"/>
      <c r="G54" s="8"/>
      <c r="H54" s="8"/>
      <c r="I54" s="8"/>
      <c r="R54" s="2"/>
    </row>
    <row r="55" spans="1:18" ht="22" customHeight="1">
      <c r="A55" s="74" t="s">
        <v>271</v>
      </c>
      <c r="B55" s="74"/>
      <c r="C55" s="74"/>
      <c r="D55" s="74"/>
      <c r="E55" s="74"/>
      <c r="F55" s="74"/>
      <c r="G55" s="74"/>
      <c r="H55" s="74"/>
      <c r="I55" s="74"/>
      <c r="R55" s="2"/>
    </row>
    <row r="56" spans="1:18" ht="14.5" customHeight="1">
      <c r="A56" s="34" t="s">
        <v>272</v>
      </c>
      <c r="B56" s="33">
        <v>1</v>
      </c>
      <c r="C56" s="33">
        <v>2</v>
      </c>
      <c r="D56" s="33">
        <v>3</v>
      </c>
      <c r="E56" s="33">
        <v>4</v>
      </c>
      <c r="F56" s="33">
        <v>5</v>
      </c>
      <c r="G56" s="33">
        <v>6</v>
      </c>
      <c r="H56" s="33">
        <v>7</v>
      </c>
      <c r="I56" s="33">
        <v>8</v>
      </c>
      <c r="R56" s="2"/>
    </row>
    <row r="57" spans="1:18">
      <c r="A57" s="33">
        <v>1</v>
      </c>
      <c r="B57" s="32" t="str">
        <f t="shared" ref="B57:I64" si="0">IF($A57=B$56,"",COUNTIF($C$4:$F$52,$A57&amp;" ضد "&amp;B$56)+COUNTIF($C$4:$F$52,B$56&amp;" ضد "&amp;$A57))</f>
        <v/>
      </c>
      <c r="C57" s="32">
        <f t="shared" si="0"/>
        <v>4</v>
      </c>
      <c r="D57" s="32">
        <f t="shared" si="0"/>
        <v>4</v>
      </c>
      <c r="E57" s="32">
        <f t="shared" si="0"/>
        <v>4</v>
      </c>
      <c r="F57" s="32">
        <f t="shared" si="0"/>
        <v>4</v>
      </c>
      <c r="G57" s="32">
        <f t="shared" si="0"/>
        <v>4</v>
      </c>
      <c r="H57" s="32">
        <f t="shared" si="0"/>
        <v>4</v>
      </c>
      <c r="I57" s="32">
        <f t="shared" si="0"/>
        <v>4</v>
      </c>
      <c r="R57" s="2"/>
    </row>
    <row r="58" spans="1:18">
      <c r="A58" s="33">
        <v>2</v>
      </c>
      <c r="B58" s="32">
        <f t="shared" si="0"/>
        <v>4</v>
      </c>
      <c r="C58" s="32" t="str">
        <f t="shared" si="0"/>
        <v/>
      </c>
      <c r="D58" s="32">
        <f t="shared" si="0"/>
        <v>4</v>
      </c>
      <c r="E58" s="32">
        <f t="shared" si="0"/>
        <v>4</v>
      </c>
      <c r="F58" s="32">
        <f t="shared" si="0"/>
        <v>4</v>
      </c>
      <c r="G58" s="32">
        <f t="shared" si="0"/>
        <v>4</v>
      </c>
      <c r="H58" s="32">
        <f t="shared" si="0"/>
        <v>4</v>
      </c>
      <c r="I58" s="32">
        <f t="shared" si="0"/>
        <v>4</v>
      </c>
      <c r="R58" s="2"/>
    </row>
    <row r="59" spans="1:18">
      <c r="A59" s="33">
        <v>3</v>
      </c>
      <c r="B59" s="32">
        <f t="shared" si="0"/>
        <v>4</v>
      </c>
      <c r="C59" s="32">
        <f t="shared" si="0"/>
        <v>4</v>
      </c>
      <c r="D59" s="32" t="str">
        <f t="shared" si="0"/>
        <v/>
      </c>
      <c r="E59" s="32">
        <f t="shared" si="0"/>
        <v>4</v>
      </c>
      <c r="F59" s="32">
        <f t="shared" si="0"/>
        <v>4</v>
      </c>
      <c r="G59" s="32">
        <f t="shared" si="0"/>
        <v>4</v>
      </c>
      <c r="H59" s="32">
        <f t="shared" si="0"/>
        <v>4</v>
      </c>
      <c r="I59" s="32">
        <f t="shared" si="0"/>
        <v>4</v>
      </c>
      <c r="R59" s="2"/>
    </row>
    <row r="60" spans="1:18">
      <c r="A60" s="33">
        <v>4</v>
      </c>
      <c r="B60" s="32">
        <f t="shared" si="0"/>
        <v>4</v>
      </c>
      <c r="C60" s="32">
        <f t="shared" si="0"/>
        <v>4</v>
      </c>
      <c r="D60" s="32">
        <f t="shared" si="0"/>
        <v>4</v>
      </c>
      <c r="E60" s="32" t="str">
        <f t="shared" si="0"/>
        <v/>
      </c>
      <c r="F60" s="32">
        <f t="shared" si="0"/>
        <v>4</v>
      </c>
      <c r="G60" s="32">
        <f t="shared" si="0"/>
        <v>4</v>
      </c>
      <c r="H60" s="32">
        <f t="shared" si="0"/>
        <v>4</v>
      </c>
      <c r="I60" s="32">
        <f t="shared" si="0"/>
        <v>4</v>
      </c>
      <c r="R60" s="2"/>
    </row>
    <row r="61" spans="1:18">
      <c r="A61" s="33">
        <v>5</v>
      </c>
      <c r="B61" s="32">
        <f t="shared" si="0"/>
        <v>4</v>
      </c>
      <c r="C61" s="32">
        <f t="shared" si="0"/>
        <v>4</v>
      </c>
      <c r="D61" s="32">
        <f t="shared" si="0"/>
        <v>4</v>
      </c>
      <c r="E61" s="32">
        <f t="shared" si="0"/>
        <v>4</v>
      </c>
      <c r="F61" s="32" t="str">
        <f t="shared" si="0"/>
        <v/>
      </c>
      <c r="G61" s="32">
        <f t="shared" si="0"/>
        <v>4</v>
      </c>
      <c r="H61" s="32">
        <f t="shared" si="0"/>
        <v>4</v>
      </c>
      <c r="I61" s="32">
        <f t="shared" si="0"/>
        <v>4</v>
      </c>
      <c r="R61" s="2"/>
    </row>
    <row r="62" spans="1:18">
      <c r="A62" s="33">
        <v>6</v>
      </c>
      <c r="B62" s="32">
        <f t="shared" si="0"/>
        <v>4</v>
      </c>
      <c r="C62" s="32">
        <f t="shared" si="0"/>
        <v>4</v>
      </c>
      <c r="D62" s="32">
        <f t="shared" si="0"/>
        <v>4</v>
      </c>
      <c r="E62" s="32">
        <f t="shared" si="0"/>
        <v>4</v>
      </c>
      <c r="F62" s="32">
        <f t="shared" si="0"/>
        <v>4</v>
      </c>
      <c r="G62" s="32" t="str">
        <f t="shared" si="0"/>
        <v/>
      </c>
      <c r="H62" s="32">
        <f t="shared" si="0"/>
        <v>4</v>
      </c>
      <c r="I62" s="32">
        <f t="shared" si="0"/>
        <v>4</v>
      </c>
      <c r="R62" s="2"/>
    </row>
    <row r="63" spans="1:18">
      <c r="A63" s="33">
        <v>7</v>
      </c>
      <c r="B63" s="32">
        <f t="shared" si="0"/>
        <v>4</v>
      </c>
      <c r="C63" s="32">
        <f t="shared" si="0"/>
        <v>4</v>
      </c>
      <c r="D63" s="32">
        <f t="shared" si="0"/>
        <v>4</v>
      </c>
      <c r="E63" s="32">
        <f t="shared" si="0"/>
        <v>4</v>
      </c>
      <c r="F63" s="32">
        <f t="shared" si="0"/>
        <v>4</v>
      </c>
      <c r="G63" s="32">
        <f t="shared" si="0"/>
        <v>4</v>
      </c>
      <c r="H63" s="32" t="str">
        <f t="shared" si="0"/>
        <v/>
      </c>
      <c r="I63" s="32">
        <f t="shared" si="0"/>
        <v>4</v>
      </c>
      <c r="R63" s="2"/>
    </row>
    <row r="64" spans="1:18">
      <c r="A64" s="33">
        <v>8</v>
      </c>
      <c r="B64" s="32">
        <f t="shared" si="0"/>
        <v>4</v>
      </c>
      <c r="C64" s="32">
        <f t="shared" si="0"/>
        <v>4</v>
      </c>
      <c r="D64" s="32">
        <f t="shared" si="0"/>
        <v>4</v>
      </c>
      <c r="E64" s="32">
        <f t="shared" si="0"/>
        <v>4</v>
      </c>
      <c r="F64" s="32">
        <f t="shared" si="0"/>
        <v>4</v>
      </c>
      <c r="G64" s="32">
        <f t="shared" si="0"/>
        <v>4</v>
      </c>
      <c r="H64" s="32">
        <f t="shared" si="0"/>
        <v>4</v>
      </c>
      <c r="I64" s="32" t="str">
        <f t="shared" si="0"/>
        <v/>
      </c>
      <c r="R64" s="2"/>
    </row>
    <row r="65" spans="1:18">
      <c r="A65" s="36" t="s">
        <v>273</v>
      </c>
      <c r="B65" s="35">
        <f>MIN(B57:I64)</f>
        <v>4</v>
      </c>
      <c r="C65" s="8"/>
      <c r="D65" s="8"/>
      <c r="E65" s="8"/>
      <c r="F65" s="8"/>
      <c r="G65" s="8"/>
      <c r="H65" s="8"/>
      <c r="I65" s="8"/>
      <c r="R65" s="2"/>
    </row>
    <row r="66" spans="1:18">
      <c r="A66" s="36" t="s">
        <v>274</v>
      </c>
      <c r="B66" s="35">
        <f>MAX(B57:I64)</f>
        <v>4</v>
      </c>
      <c r="C66" s="8"/>
      <c r="D66" s="8"/>
      <c r="E66" s="8"/>
      <c r="F66" s="8"/>
      <c r="G66" s="8"/>
      <c r="H66" s="8"/>
      <c r="I66" s="8"/>
      <c r="R66" s="2"/>
    </row>
    <row r="67" spans="1:18">
      <c r="A67" s="8"/>
      <c r="B67" s="8"/>
      <c r="C67" s="8"/>
      <c r="D67" s="8"/>
      <c r="E67" s="8"/>
      <c r="F67" s="8"/>
      <c r="G67" s="8"/>
      <c r="H67" s="8"/>
      <c r="R67" s="2"/>
    </row>
    <row r="68" spans="1:18">
      <c r="A68" s="8"/>
      <c r="B68" s="8"/>
      <c r="C68" s="8"/>
      <c r="D68" s="8"/>
      <c r="E68" s="8"/>
      <c r="F68" s="8"/>
      <c r="G68" s="8"/>
      <c r="H68" s="8"/>
      <c r="R68" s="2"/>
    </row>
    <row r="69" spans="1:18">
      <c r="A69" s="8"/>
      <c r="B69" s="8"/>
      <c r="C69" s="8"/>
      <c r="D69" s="8"/>
      <c r="E69" s="8"/>
      <c r="F69" s="8"/>
      <c r="G69" s="8"/>
      <c r="H69" s="8"/>
      <c r="R69" s="2"/>
    </row>
    <row r="70" spans="1:18">
      <c r="A70" s="8"/>
      <c r="B70" s="8"/>
      <c r="C70" s="8"/>
      <c r="D70" s="8"/>
      <c r="E70" s="8"/>
      <c r="F70" s="8"/>
      <c r="G70" s="8"/>
      <c r="H70" s="8"/>
      <c r="R70" s="2"/>
    </row>
    <row r="71" spans="1:18">
      <c r="A71" s="8"/>
      <c r="B71" s="8"/>
      <c r="C71" s="8"/>
      <c r="D71" s="8"/>
      <c r="E71" s="8"/>
      <c r="F71" s="8"/>
      <c r="G71" s="8"/>
      <c r="H71" s="8"/>
      <c r="R71" s="2"/>
    </row>
    <row r="72" spans="1:18">
      <c r="A72" s="8"/>
      <c r="B72" s="8"/>
      <c r="C72" s="8"/>
      <c r="D72" s="8"/>
      <c r="E72" s="8"/>
      <c r="F72" s="8"/>
      <c r="G72" s="8"/>
      <c r="H72" s="8"/>
      <c r="R72" s="2"/>
    </row>
    <row r="73" spans="1:18">
      <c r="A73" s="8"/>
      <c r="B73" s="8"/>
      <c r="C73" s="8"/>
      <c r="D73" s="8"/>
      <c r="E73" s="8"/>
      <c r="F73" s="8"/>
      <c r="G73" s="8"/>
      <c r="H73" s="8"/>
      <c r="R73" s="2"/>
    </row>
    <row r="74" spans="1:18">
      <c r="A74" s="8"/>
      <c r="B74" s="8"/>
      <c r="C74" s="8"/>
      <c r="D74" s="8"/>
      <c r="E74" s="8"/>
      <c r="F74" s="8"/>
      <c r="G74" s="8"/>
      <c r="H74" s="8"/>
      <c r="R74" s="2"/>
    </row>
    <row r="75" spans="1:18">
      <c r="A75" s="8"/>
      <c r="B75" s="8"/>
      <c r="C75" s="8"/>
      <c r="D75" s="8"/>
      <c r="E75" s="8"/>
      <c r="F75" s="8"/>
      <c r="G75" s="8"/>
      <c r="H75" s="8"/>
      <c r="R75" s="2"/>
    </row>
    <row r="76" spans="1:18">
      <c r="A76" s="8"/>
      <c r="B76" s="8"/>
      <c r="C76" s="8"/>
      <c r="D76" s="8"/>
      <c r="E76" s="8"/>
      <c r="F76" s="8"/>
      <c r="G76" s="8"/>
      <c r="H76" s="8"/>
      <c r="R76" s="2"/>
    </row>
    <row r="77" spans="1:18">
      <c r="A77" s="8"/>
      <c r="B77" s="8"/>
      <c r="C77" s="8"/>
      <c r="D77" s="8"/>
      <c r="E77" s="8"/>
      <c r="F77" s="8"/>
      <c r="G77" s="8"/>
      <c r="H77" s="8"/>
      <c r="R77" s="2"/>
    </row>
    <row r="78" spans="1:18">
      <c r="A78" s="8"/>
      <c r="B78" s="8"/>
      <c r="C78" s="8"/>
      <c r="D78" s="8"/>
      <c r="E78" s="8"/>
      <c r="F78" s="8"/>
      <c r="G78" s="8"/>
      <c r="H78" s="8"/>
      <c r="R78" s="2"/>
    </row>
    <row r="79" spans="1:18">
      <c r="I79" s="3"/>
      <c r="J79" s="2"/>
      <c r="K79" s="2"/>
      <c r="L79" s="2"/>
      <c r="M79" s="2"/>
      <c r="N79" s="2"/>
      <c r="O79" s="2"/>
      <c r="P79" s="2"/>
      <c r="Q79" s="2"/>
      <c r="R79" s="2"/>
    </row>
    <row r="80" spans="1:18">
      <c r="I80" s="4"/>
    </row>
    <row r="81" spans="9:9">
      <c r="I81" s="4"/>
    </row>
    <row r="82" spans="9:9">
      <c r="I82" s="4"/>
    </row>
    <row r="83" spans="9:9">
      <c r="I83" s="4"/>
    </row>
    <row r="84" spans="9:9">
      <c r="I84" s="4"/>
    </row>
    <row r="85" spans="9:9">
      <c r="I85" s="4"/>
    </row>
    <row r="86" spans="9:9">
      <c r="I86" s="4"/>
    </row>
    <row r="87" spans="9:9">
      <c r="I87" s="4"/>
    </row>
    <row r="88" spans="9:9">
      <c r="I88" s="4"/>
    </row>
    <row r="89" spans="9:9">
      <c r="I89" s="4"/>
    </row>
    <row r="90" spans="9:9">
      <c r="I90" s="4"/>
    </row>
    <row r="91" spans="9:9">
      <c r="I91" s="4"/>
    </row>
    <row r="92" spans="9:9">
      <c r="I92" s="4"/>
    </row>
    <row r="93" spans="9:9">
      <c r="I93" s="4"/>
    </row>
    <row r="94" spans="9:9">
      <c r="I94" s="4"/>
    </row>
    <row r="95" spans="9:9">
      <c r="I95" s="4"/>
    </row>
    <row r="96" spans="9:9">
      <c r="I96" s="4"/>
    </row>
    <row r="97" spans="9:9">
      <c r="I97" s="4"/>
    </row>
    <row r="98" spans="9:9">
      <c r="I98" s="4"/>
    </row>
    <row r="99" spans="9:9">
      <c r="I99" s="4"/>
    </row>
    <row r="100" spans="9:9">
      <c r="I100" s="4"/>
    </row>
    <row r="101" spans="9:9">
      <c r="I101" s="4"/>
    </row>
    <row r="102" spans="9:9">
      <c r="I102" s="4"/>
    </row>
    <row r="103" spans="9:9">
      <c r="I103" s="4"/>
    </row>
    <row r="104" spans="9:9">
      <c r="I104" s="4"/>
    </row>
    <row r="105" spans="9:9">
      <c r="I105" s="4"/>
    </row>
    <row r="106" spans="9:9">
      <c r="I106" s="4"/>
    </row>
    <row r="107" spans="9:9">
      <c r="I107" s="4"/>
    </row>
    <row r="108" spans="9:9">
      <c r="I108" s="4"/>
    </row>
    <row r="109" spans="9:9">
      <c r="I109" s="4"/>
    </row>
    <row r="110" spans="9:9">
      <c r="I110" s="4"/>
    </row>
    <row r="111" spans="9:9">
      <c r="I111" s="4"/>
    </row>
    <row r="112" spans="9:9">
      <c r="I112" s="4"/>
    </row>
    <row r="113" spans="9:9">
      <c r="I113" s="4"/>
    </row>
    <row r="114" spans="9:9">
      <c r="I114" s="4"/>
    </row>
    <row r="115" spans="9:9">
      <c r="I115" s="4"/>
    </row>
    <row r="116" spans="9:9">
      <c r="I116" s="4"/>
    </row>
    <row r="117" spans="9:9">
      <c r="I117" s="4"/>
    </row>
    <row r="118" spans="9:9">
      <c r="I118" s="4"/>
    </row>
    <row r="119" spans="9:9">
      <c r="I119" s="4"/>
    </row>
    <row r="120" spans="9:9">
      <c r="I120" s="4"/>
    </row>
    <row r="121" spans="9:9">
      <c r="I121" s="4"/>
    </row>
    <row r="122" spans="9:9">
      <c r="I122" s="4"/>
    </row>
    <row r="123" spans="9:9">
      <c r="I123" s="4"/>
    </row>
    <row r="124" spans="9:9">
      <c r="I124" s="4"/>
    </row>
    <row r="125" spans="9:9">
      <c r="I125" s="4"/>
    </row>
    <row r="126" spans="9:9">
      <c r="I126" s="4"/>
    </row>
    <row r="127" spans="9:9">
      <c r="I127" s="4"/>
    </row>
    <row r="128" spans="9:9">
      <c r="I128" s="4"/>
    </row>
    <row r="129" spans="9:9">
      <c r="I129" s="4"/>
    </row>
    <row r="130" spans="9:9">
      <c r="I130" s="4"/>
    </row>
    <row r="131" spans="9:9">
      <c r="I131" s="4"/>
    </row>
    <row r="132" spans="9:9">
      <c r="I132" s="4"/>
    </row>
    <row r="133" spans="9:9">
      <c r="I133" s="4"/>
    </row>
    <row r="134" spans="9:9">
      <c r="I134" s="4"/>
    </row>
    <row r="135" spans="9:9">
      <c r="I135" s="4"/>
    </row>
    <row r="136" spans="9:9">
      <c r="I136" s="4"/>
    </row>
    <row r="137" spans="9:9">
      <c r="I137" s="4"/>
    </row>
    <row r="138" spans="9:9">
      <c r="I138" s="4"/>
    </row>
    <row r="139" spans="9:9">
      <c r="I139" s="4"/>
    </row>
    <row r="140" spans="9:9">
      <c r="I140" s="4"/>
    </row>
    <row r="141" spans="9:9">
      <c r="I141" s="4"/>
    </row>
    <row r="142" spans="9:9">
      <c r="I142" s="4"/>
    </row>
    <row r="143" spans="9:9">
      <c r="I143" s="4"/>
    </row>
    <row r="144" spans="9:9">
      <c r="I144" s="4"/>
    </row>
    <row r="145" spans="9:9">
      <c r="I145" s="4"/>
    </row>
    <row r="146" spans="9:9">
      <c r="I146" s="4"/>
    </row>
    <row r="147" spans="9:9">
      <c r="I147" s="4"/>
    </row>
    <row r="148" spans="9:9">
      <c r="I148" s="4"/>
    </row>
    <row r="149" spans="9:9">
      <c r="I149" s="4"/>
    </row>
    <row r="150" spans="9:9">
      <c r="I150" s="4"/>
    </row>
    <row r="151" spans="9:9">
      <c r="I151" s="4"/>
    </row>
    <row r="152" spans="9:9">
      <c r="I152" s="4"/>
    </row>
    <row r="153" spans="9:9">
      <c r="I153" s="4"/>
    </row>
    <row r="154" spans="9:9">
      <c r="I154" s="4"/>
    </row>
    <row r="155" spans="9:9">
      <c r="I155" s="4"/>
    </row>
    <row r="156" spans="9:9">
      <c r="I156" s="4"/>
    </row>
    <row r="157" spans="9:9">
      <c r="I157" s="4"/>
    </row>
    <row r="158" spans="9:9">
      <c r="I158" s="4"/>
    </row>
    <row r="159" spans="9:9">
      <c r="I159" s="4"/>
    </row>
    <row r="160" spans="9:9">
      <c r="I160" s="4"/>
    </row>
    <row r="161" spans="9:9">
      <c r="I161" s="4"/>
    </row>
    <row r="162" spans="9:9">
      <c r="I162" s="4"/>
    </row>
    <row r="163" spans="9:9">
      <c r="I163" s="4"/>
    </row>
    <row r="164" spans="9:9">
      <c r="I164" s="4"/>
    </row>
    <row r="165" spans="9:9">
      <c r="I165" s="4"/>
    </row>
    <row r="166" spans="9:9">
      <c r="I166" s="4"/>
    </row>
    <row r="167" spans="9:9">
      <c r="I167" s="4"/>
    </row>
    <row r="168" spans="9:9">
      <c r="I168" s="4"/>
    </row>
    <row r="169" spans="9:9">
      <c r="I169" s="4"/>
    </row>
    <row r="170" spans="9:9">
      <c r="I170" s="4"/>
    </row>
    <row r="171" spans="9:9">
      <c r="I171" s="4"/>
    </row>
    <row r="172" spans="9:9">
      <c r="I172" s="4"/>
    </row>
    <row r="173" spans="9:9">
      <c r="I173" s="4"/>
    </row>
    <row r="174" spans="9:9">
      <c r="I174" s="4"/>
    </row>
    <row r="175" spans="9:9">
      <c r="I175" s="4"/>
    </row>
    <row r="176" spans="9:9">
      <c r="I176" s="4"/>
    </row>
    <row r="177" spans="9:9">
      <c r="I177" s="4"/>
    </row>
    <row r="178" spans="9:9">
      <c r="I178" s="4"/>
    </row>
    <row r="179" spans="9:9">
      <c r="I179" s="4"/>
    </row>
    <row r="180" spans="9:9">
      <c r="I180" s="4"/>
    </row>
    <row r="181" spans="9:9">
      <c r="I181" s="4"/>
    </row>
    <row r="182" spans="9:9">
      <c r="I182" s="4"/>
    </row>
    <row r="183" spans="9:9">
      <c r="I183" s="4"/>
    </row>
    <row r="184" spans="9:9">
      <c r="I184" s="4"/>
    </row>
    <row r="185" spans="9:9">
      <c r="I185" s="4"/>
    </row>
    <row r="186" spans="9:9">
      <c r="I186" s="4"/>
    </row>
    <row r="187" spans="9:9">
      <c r="I187" s="4"/>
    </row>
    <row r="188" spans="9:9">
      <c r="I188" s="4"/>
    </row>
    <row r="189" spans="9:9">
      <c r="I189" s="4"/>
    </row>
    <row r="190" spans="9:9">
      <c r="I190" s="4"/>
    </row>
    <row r="191" spans="9:9">
      <c r="I191" s="4"/>
    </row>
    <row r="192" spans="9:9">
      <c r="I192" s="4"/>
    </row>
    <row r="193" spans="9:9">
      <c r="I193" s="4"/>
    </row>
    <row r="194" spans="9:9">
      <c r="I194" s="4"/>
    </row>
    <row r="195" spans="9:9">
      <c r="I195" s="4"/>
    </row>
    <row r="196" spans="9:9">
      <c r="I196" s="4"/>
    </row>
    <row r="197" spans="9:9">
      <c r="I197" s="4"/>
    </row>
    <row r="198" spans="9:9">
      <c r="I198" s="4"/>
    </row>
    <row r="199" spans="9:9">
      <c r="I199" s="4"/>
    </row>
  </sheetData>
  <mergeCells count="44">
    <mergeCell ref="A39:A45"/>
    <mergeCell ref="G39:G45"/>
    <mergeCell ref="H39:H45"/>
    <mergeCell ref="C40:F40"/>
    <mergeCell ref="C42:F42"/>
    <mergeCell ref="C44:F44"/>
    <mergeCell ref="A32:A38"/>
    <mergeCell ref="G32:G38"/>
    <mergeCell ref="H32:H38"/>
    <mergeCell ref="C33:F33"/>
    <mergeCell ref="C35:F35"/>
    <mergeCell ref="C37:F37"/>
    <mergeCell ref="A18:A24"/>
    <mergeCell ref="G18:G24"/>
    <mergeCell ref="H18:H24"/>
    <mergeCell ref="C19:F19"/>
    <mergeCell ref="C21:F21"/>
    <mergeCell ref="A11:A17"/>
    <mergeCell ref="G11:G17"/>
    <mergeCell ref="H11:H17"/>
    <mergeCell ref="C12:F12"/>
    <mergeCell ref="C16:F16"/>
    <mergeCell ref="A4:A10"/>
    <mergeCell ref="G4:G10"/>
    <mergeCell ref="H4:H10"/>
    <mergeCell ref="C5:F5"/>
    <mergeCell ref="C7:F7"/>
    <mergeCell ref="C9:F9"/>
    <mergeCell ref="A1:H1"/>
    <mergeCell ref="C14:F14"/>
    <mergeCell ref="C23:F23"/>
    <mergeCell ref="A55:I55"/>
    <mergeCell ref="C30:F30"/>
    <mergeCell ref="A25:A31"/>
    <mergeCell ref="G25:G31"/>
    <mergeCell ref="H25:H31"/>
    <mergeCell ref="C26:F26"/>
    <mergeCell ref="C28:F28"/>
    <mergeCell ref="A46:A52"/>
    <mergeCell ref="G46:G52"/>
    <mergeCell ref="H46:H52"/>
    <mergeCell ref="C47:F47"/>
    <mergeCell ref="C49:F49"/>
    <mergeCell ref="C51:F5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EDFAA-11A6-45F8-A504-9C630A46C3A7}">
  <dimension ref="A1:O199"/>
  <sheetViews>
    <sheetView showGridLines="0" rightToLeft="1" zoomScale="42" workbookViewId="0">
      <pane ySplit="3" topLeftCell="A45" activePane="bottomLeft" state="frozen"/>
      <selection pane="bottomLeft" activeCell="A4" sqref="A4:A12"/>
    </sheetView>
  </sheetViews>
  <sheetFormatPr defaultRowHeight="14.5"/>
  <cols>
    <col min="1" max="1" width="10.54296875" customWidth="1"/>
    <col min="2" max="2" width="17.26953125" customWidth="1"/>
    <col min="3" max="6" width="14.54296875" customWidth="1"/>
    <col min="7" max="8" width="15.453125" customWidth="1"/>
    <col min="9" max="16" width="5.453125" customWidth="1"/>
  </cols>
  <sheetData>
    <row r="1" spans="1:15" ht="26" customHeight="1">
      <c r="A1" s="83" t="s">
        <v>267</v>
      </c>
      <c r="B1" s="83"/>
      <c r="C1" s="83"/>
      <c r="D1" s="83"/>
      <c r="E1" s="83"/>
      <c r="F1" s="83"/>
      <c r="G1" s="83"/>
      <c r="H1" s="83"/>
      <c r="I1" s="8"/>
      <c r="J1" s="8"/>
      <c r="O1" s="2"/>
    </row>
    <row r="2" spans="1:15" ht="8" customHeight="1">
      <c r="A2" s="8"/>
      <c r="B2" s="8"/>
      <c r="C2" s="8"/>
      <c r="D2" s="8"/>
      <c r="E2" s="8"/>
      <c r="F2" s="8"/>
      <c r="G2" s="8"/>
      <c r="H2" s="8"/>
      <c r="I2" s="8"/>
      <c r="J2" s="8"/>
      <c r="O2" s="2"/>
    </row>
    <row r="3" spans="1:15" ht="32" customHeight="1">
      <c r="A3" s="25" t="s">
        <v>0</v>
      </c>
      <c r="B3" s="25" t="s">
        <v>1</v>
      </c>
      <c r="C3" s="25" t="s">
        <v>2</v>
      </c>
      <c r="D3" s="25" t="s">
        <v>3</v>
      </c>
      <c r="E3" s="25" t="s">
        <v>4</v>
      </c>
      <c r="F3" s="25" t="s">
        <v>12</v>
      </c>
      <c r="G3" s="25" t="s">
        <v>263</v>
      </c>
      <c r="H3" s="25" t="s">
        <v>105</v>
      </c>
      <c r="I3" s="8"/>
      <c r="J3" s="8"/>
      <c r="O3" s="2"/>
    </row>
    <row r="4" spans="1:15" ht="14.5" customHeight="1">
      <c r="A4" s="101" t="s">
        <v>5</v>
      </c>
      <c r="B4"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 s="11" t="s">
        <v>72</v>
      </c>
      <c r="D4" s="11" t="s">
        <v>27</v>
      </c>
      <c r="E4" s="11"/>
      <c r="F4" s="11"/>
      <c r="G4" s="102">
        <f>COUNTIF(C4:F12,"* ضد *")</f>
        <v>18</v>
      </c>
      <c r="H4" s="102">
        <f>G4*2/'ملخص البطولات'!$A$7</f>
        <v>4</v>
      </c>
      <c r="I4" s="8"/>
      <c r="J4" s="8"/>
      <c r="O4" s="2"/>
    </row>
    <row r="5" spans="1:15">
      <c r="A5" s="101"/>
      <c r="B5"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 s="11" t="s">
        <v>41</v>
      </c>
      <c r="D5" s="11"/>
      <c r="E5" s="11"/>
      <c r="F5" s="11"/>
      <c r="G5" s="102"/>
      <c r="H5" s="102"/>
      <c r="I5" s="8"/>
      <c r="J5" s="8"/>
      <c r="O5" s="2"/>
    </row>
    <row r="6" spans="1:15">
      <c r="A6" s="101"/>
      <c r="B6"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 s="11" t="s">
        <v>48</v>
      </c>
      <c r="D6" s="11" t="s">
        <v>69</v>
      </c>
      <c r="E6" s="11" t="s">
        <v>22</v>
      </c>
      <c r="F6" s="11"/>
      <c r="G6" s="102"/>
      <c r="H6" s="102"/>
      <c r="I6" s="8"/>
      <c r="J6" s="8"/>
      <c r="O6" s="2"/>
    </row>
    <row r="7" spans="1:15">
      <c r="A7" s="101"/>
      <c r="B7"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7" s="11" t="s">
        <v>75</v>
      </c>
      <c r="D7" s="11"/>
      <c r="E7" s="11"/>
      <c r="F7" s="11"/>
      <c r="G7" s="102"/>
      <c r="H7" s="102"/>
      <c r="I7" s="8"/>
      <c r="J7" s="8"/>
      <c r="O7" s="2"/>
    </row>
    <row r="8" spans="1:15">
      <c r="A8" s="101"/>
      <c r="B8"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8" s="11" t="s">
        <v>36</v>
      </c>
      <c r="D8" s="11" t="s">
        <v>53</v>
      </c>
      <c r="E8" s="11" t="s">
        <v>34</v>
      </c>
      <c r="F8" s="11"/>
      <c r="G8" s="102"/>
      <c r="H8" s="102"/>
      <c r="I8" s="8"/>
      <c r="J8" s="8"/>
      <c r="O8" s="2"/>
    </row>
    <row r="9" spans="1:15">
      <c r="A9" s="101"/>
      <c r="B9"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9" s="11" t="s">
        <v>60</v>
      </c>
      <c r="D9" s="11"/>
      <c r="E9" s="11"/>
      <c r="F9" s="11"/>
      <c r="G9" s="102"/>
      <c r="H9" s="102"/>
      <c r="I9" s="8"/>
      <c r="J9" s="8"/>
      <c r="O9" s="2"/>
    </row>
    <row r="10" spans="1:15">
      <c r="A10" s="101"/>
      <c r="B10"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0" s="11" t="s">
        <v>42</v>
      </c>
      <c r="D10" s="11" t="s">
        <v>66</v>
      </c>
      <c r="E10" s="11" t="s">
        <v>44</v>
      </c>
      <c r="F10" s="11"/>
      <c r="G10" s="102"/>
      <c r="H10" s="102"/>
      <c r="I10" s="8"/>
      <c r="J10" s="8"/>
      <c r="O10" s="2"/>
    </row>
    <row r="11" spans="1:15" ht="14.5" customHeight="1">
      <c r="A11" s="101"/>
      <c r="B11"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11" s="11" t="s">
        <v>23</v>
      </c>
      <c r="D11" s="11"/>
      <c r="E11" s="11"/>
      <c r="F11" s="11"/>
      <c r="G11" s="102"/>
      <c r="H11" s="102"/>
      <c r="I11" s="8"/>
      <c r="J11" s="8"/>
      <c r="O11" s="2"/>
    </row>
    <row r="12" spans="1:15">
      <c r="A12" s="101"/>
      <c r="B12"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12" s="11" t="s">
        <v>68</v>
      </c>
      <c r="D12" s="11" t="s">
        <v>49</v>
      </c>
      <c r="E12" s="11" t="s">
        <v>78</v>
      </c>
      <c r="F12" s="11"/>
      <c r="G12" s="102"/>
      <c r="H12" s="102"/>
      <c r="I12" s="8"/>
      <c r="J12" s="8"/>
      <c r="O12" s="2"/>
    </row>
    <row r="13" spans="1:15">
      <c r="A13" s="101" t="s">
        <v>6</v>
      </c>
      <c r="B13"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13" s="18" t="s">
        <v>52</v>
      </c>
      <c r="D13" s="18" t="s">
        <v>43</v>
      </c>
      <c r="E13" s="18" t="s">
        <v>35</v>
      </c>
      <c r="F13" s="18"/>
      <c r="G13" s="100">
        <f>COUNTIF(C13:F21,"* ضد *")</f>
        <v>18</v>
      </c>
      <c r="H13" s="100">
        <f>G13*2/'ملخص البطولات'!$A$7</f>
        <v>4</v>
      </c>
      <c r="I13" s="8"/>
      <c r="J13" s="8"/>
      <c r="O13" s="2"/>
    </row>
    <row r="14" spans="1:15">
      <c r="A14" s="101"/>
      <c r="B14"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14" s="18" t="s">
        <v>84</v>
      </c>
      <c r="D14" s="18"/>
      <c r="E14" s="18"/>
      <c r="F14" s="18"/>
      <c r="G14" s="100"/>
      <c r="H14" s="100"/>
      <c r="I14" s="8"/>
      <c r="J14" s="8"/>
      <c r="O14" s="2"/>
    </row>
    <row r="15" spans="1:15">
      <c r="A15" s="101"/>
      <c r="B15"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15" s="18" t="s">
        <v>25</v>
      </c>
      <c r="D15" s="18" t="s">
        <v>30</v>
      </c>
      <c r="E15" s="18" t="s">
        <v>40</v>
      </c>
      <c r="F15" s="18"/>
      <c r="G15" s="100"/>
      <c r="H15" s="100"/>
      <c r="I15" s="8"/>
      <c r="J15" s="8"/>
      <c r="O15" s="2"/>
    </row>
    <row r="16" spans="1:15">
      <c r="A16" s="101"/>
      <c r="B16"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16" s="18" t="s">
        <v>82</v>
      </c>
      <c r="D16" s="18"/>
      <c r="E16" s="18"/>
      <c r="F16" s="18"/>
      <c r="G16" s="100"/>
      <c r="H16" s="100"/>
      <c r="I16" s="8"/>
      <c r="J16" s="8"/>
      <c r="O16" s="2"/>
    </row>
    <row r="17" spans="1:15">
      <c r="A17" s="101"/>
      <c r="B17"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17" s="18" t="s">
        <v>32</v>
      </c>
      <c r="D17" s="18" t="s">
        <v>65</v>
      </c>
      <c r="E17" s="18" t="s">
        <v>57</v>
      </c>
      <c r="F17" s="18"/>
      <c r="G17" s="100"/>
      <c r="H17" s="100"/>
      <c r="I17" s="8"/>
      <c r="J17" s="8"/>
      <c r="O17" s="2"/>
    </row>
    <row r="18" spans="1:15" ht="14.5" customHeight="1">
      <c r="A18" s="101"/>
      <c r="B18"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18" s="18" t="s">
        <v>51</v>
      </c>
      <c r="D18" s="18"/>
      <c r="E18" s="18"/>
      <c r="F18" s="18"/>
      <c r="G18" s="100"/>
      <c r="H18" s="100"/>
      <c r="I18" s="8"/>
      <c r="J18" s="8"/>
      <c r="O18" s="2"/>
    </row>
    <row r="19" spans="1:15">
      <c r="A19" s="101"/>
      <c r="B19"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9" s="18" t="s">
        <v>81</v>
      </c>
      <c r="D19" s="18" t="s">
        <v>73</v>
      </c>
      <c r="E19" s="18"/>
      <c r="F19" s="18"/>
      <c r="G19" s="100"/>
      <c r="H19" s="100"/>
      <c r="I19" s="8"/>
      <c r="J19" s="8"/>
      <c r="O19" s="2"/>
    </row>
    <row r="20" spans="1:15">
      <c r="A20" s="101"/>
      <c r="B20"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20" s="18" t="s">
        <v>85</v>
      </c>
      <c r="D20" s="18" t="s">
        <v>70</v>
      </c>
      <c r="E20" s="18"/>
      <c r="F20" s="18"/>
      <c r="G20" s="100"/>
      <c r="H20" s="100"/>
      <c r="I20" s="8"/>
      <c r="J20" s="8"/>
      <c r="O20" s="2"/>
    </row>
    <row r="21" spans="1:15">
      <c r="A21" s="101"/>
      <c r="B21"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21" s="18" t="s">
        <v>20</v>
      </c>
      <c r="D21" s="18" t="s">
        <v>58</v>
      </c>
      <c r="E21" s="18"/>
      <c r="F21" s="18"/>
      <c r="G21" s="100"/>
      <c r="H21" s="100"/>
      <c r="I21" s="8"/>
      <c r="J21" s="8"/>
      <c r="O21" s="2"/>
    </row>
    <row r="22" spans="1:15">
      <c r="A22" s="101" t="s">
        <v>7</v>
      </c>
      <c r="B22"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22" s="11" t="s">
        <v>34</v>
      </c>
      <c r="D22" s="11" t="s">
        <v>41</v>
      </c>
      <c r="E22" s="11"/>
      <c r="F22" s="11"/>
      <c r="G22" s="102">
        <f>COUNTIF(C22:F30,"* ضد *")</f>
        <v>18</v>
      </c>
      <c r="H22" s="102">
        <f>G22*2/'ملخص البطولات'!$A$7</f>
        <v>4</v>
      </c>
      <c r="I22" s="8"/>
      <c r="J22" s="8"/>
      <c r="O22" s="2"/>
    </row>
    <row r="23" spans="1:15">
      <c r="A23" s="101"/>
      <c r="B23"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23" s="11" t="s">
        <v>72</v>
      </c>
      <c r="D23" s="11"/>
      <c r="E23" s="11"/>
      <c r="F23" s="11"/>
      <c r="G23" s="102"/>
      <c r="H23" s="102"/>
      <c r="I23" s="8"/>
      <c r="J23" s="8"/>
      <c r="O23" s="2"/>
    </row>
    <row r="24" spans="1:15">
      <c r="A24" s="101"/>
      <c r="B24"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24" s="11" t="s">
        <v>44</v>
      </c>
      <c r="D24" s="11" t="s">
        <v>36</v>
      </c>
      <c r="E24" s="11" t="s">
        <v>75</v>
      </c>
      <c r="F24" s="11"/>
      <c r="G24" s="102"/>
      <c r="H24" s="102"/>
      <c r="I24" s="8"/>
      <c r="J24" s="8"/>
      <c r="O24" s="2"/>
    </row>
    <row r="25" spans="1:15" ht="14.5" customHeight="1">
      <c r="A25" s="101"/>
      <c r="B25"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25" s="11" t="s">
        <v>22</v>
      </c>
      <c r="D25" s="11"/>
      <c r="E25" s="11"/>
      <c r="F25" s="11"/>
      <c r="G25" s="102"/>
      <c r="H25" s="102"/>
      <c r="I25" s="8"/>
      <c r="J25" s="8"/>
      <c r="O25" s="2"/>
    </row>
    <row r="26" spans="1:15">
      <c r="A26" s="101"/>
      <c r="B26"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26" s="11" t="s">
        <v>78</v>
      </c>
      <c r="D26" s="11" t="s">
        <v>66</v>
      </c>
      <c r="E26" s="11" t="s">
        <v>23</v>
      </c>
      <c r="F26" s="11"/>
      <c r="G26" s="102"/>
      <c r="H26" s="102"/>
      <c r="I26" s="8"/>
      <c r="J26" s="8"/>
      <c r="O26" s="2"/>
    </row>
    <row r="27" spans="1:15">
      <c r="A27" s="101"/>
      <c r="B27"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27" s="11" t="s">
        <v>49</v>
      </c>
      <c r="D27" s="11"/>
      <c r="E27" s="11"/>
      <c r="F27" s="11"/>
      <c r="G27" s="102"/>
      <c r="H27" s="102"/>
      <c r="I27" s="8"/>
      <c r="J27" s="8"/>
      <c r="O27" s="2"/>
    </row>
    <row r="28" spans="1:15">
      <c r="A28" s="101"/>
      <c r="B28"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28" s="11" t="s">
        <v>42</v>
      </c>
      <c r="D28" s="11" t="s">
        <v>53</v>
      </c>
      <c r="E28" s="11" t="s">
        <v>27</v>
      </c>
      <c r="F28" s="11"/>
      <c r="G28" s="102"/>
      <c r="H28" s="102"/>
      <c r="I28" s="8"/>
      <c r="J28" s="8"/>
      <c r="O28" s="2"/>
    </row>
    <row r="29" spans="1:15">
      <c r="A29" s="101"/>
      <c r="B29"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29" s="11" t="s">
        <v>60</v>
      </c>
      <c r="D29" s="11"/>
      <c r="E29" s="11"/>
      <c r="F29" s="11"/>
      <c r="G29" s="102"/>
      <c r="H29" s="102"/>
      <c r="I29" s="8"/>
      <c r="J29" s="8"/>
      <c r="O29" s="2"/>
    </row>
    <row r="30" spans="1:15">
      <c r="A30" s="101"/>
      <c r="B30"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30" s="11" t="s">
        <v>68</v>
      </c>
      <c r="D30" s="11" t="s">
        <v>48</v>
      </c>
      <c r="E30" s="11" t="s">
        <v>69</v>
      </c>
      <c r="F30" s="11"/>
      <c r="G30" s="102"/>
      <c r="H30" s="102"/>
      <c r="I30" s="8"/>
      <c r="J30" s="8"/>
      <c r="O30" s="2"/>
    </row>
    <row r="31" spans="1:15">
      <c r="A31" s="101" t="s">
        <v>8</v>
      </c>
      <c r="B31"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31" s="18" t="s">
        <v>25</v>
      </c>
      <c r="D31" s="18" t="s">
        <v>70</v>
      </c>
      <c r="E31" s="18"/>
      <c r="F31" s="18"/>
      <c r="G31" s="100">
        <f>COUNTIF(C31:F39,"* ضد *")</f>
        <v>18</v>
      </c>
      <c r="H31" s="100">
        <f>G31*2/'ملخص البطولات'!$A$7</f>
        <v>4</v>
      </c>
      <c r="I31" s="8"/>
      <c r="J31" s="8"/>
      <c r="O31" s="2"/>
    </row>
    <row r="32" spans="1:15" ht="14.5" customHeight="1">
      <c r="A32" s="101"/>
      <c r="B32"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32" s="18" t="s">
        <v>20</v>
      </c>
      <c r="D32" s="18" t="s">
        <v>85</v>
      </c>
      <c r="E32" s="18"/>
      <c r="F32" s="18"/>
      <c r="G32" s="100"/>
      <c r="H32" s="100"/>
      <c r="I32" s="8"/>
      <c r="J32" s="8"/>
      <c r="O32" s="2"/>
    </row>
    <row r="33" spans="1:15">
      <c r="A33" s="101"/>
      <c r="B33"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33" s="18" t="s">
        <v>65</v>
      </c>
      <c r="D33" s="18" t="s">
        <v>58</v>
      </c>
      <c r="E33" s="18"/>
      <c r="F33" s="18"/>
      <c r="G33" s="100"/>
      <c r="H33" s="100"/>
      <c r="I33" s="8"/>
      <c r="J33" s="8"/>
      <c r="O33" s="2"/>
    </row>
    <row r="34" spans="1:15">
      <c r="A34" s="101"/>
      <c r="B34"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34" s="18" t="s">
        <v>84</v>
      </c>
      <c r="D34" s="18" t="s">
        <v>57</v>
      </c>
      <c r="E34" s="18"/>
      <c r="F34" s="18"/>
      <c r="G34" s="100"/>
      <c r="H34" s="100"/>
      <c r="I34" s="8"/>
      <c r="J34" s="8"/>
      <c r="O34" s="2"/>
    </row>
    <row r="35" spans="1:15">
      <c r="A35" s="101"/>
      <c r="B35"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35" s="18" t="s">
        <v>43</v>
      </c>
      <c r="D35" s="18" t="s">
        <v>35</v>
      </c>
      <c r="E35" s="18"/>
      <c r="F35" s="18"/>
      <c r="G35" s="100"/>
      <c r="H35" s="100"/>
      <c r="I35" s="8"/>
      <c r="J35" s="8"/>
      <c r="O35" s="2"/>
    </row>
    <row r="36" spans="1:15">
      <c r="A36" s="101"/>
      <c r="B36"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36" s="18" t="s">
        <v>52</v>
      </c>
      <c r="D36" s="18"/>
      <c r="E36" s="18"/>
      <c r="F36" s="18"/>
      <c r="G36" s="100"/>
      <c r="H36" s="100"/>
      <c r="I36" s="8"/>
      <c r="J36" s="8"/>
      <c r="O36" s="2"/>
    </row>
    <row r="37" spans="1:15" ht="14.5" customHeight="1">
      <c r="A37" s="101"/>
      <c r="B37"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37" s="18" t="s">
        <v>40</v>
      </c>
      <c r="D37" s="18" t="s">
        <v>51</v>
      </c>
      <c r="E37" s="18" t="s">
        <v>73</v>
      </c>
      <c r="F37" s="18"/>
      <c r="G37" s="100"/>
      <c r="H37" s="100"/>
      <c r="I37" s="8"/>
      <c r="J37" s="8"/>
      <c r="O37" s="2"/>
    </row>
    <row r="38" spans="1:15">
      <c r="A38" s="101"/>
      <c r="B38"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38" s="18" t="s">
        <v>30</v>
      </c>
      <c r="D38" s="18"/>
      <c r="E38" s="18"/>
      <c r="F38" s="18"/>
      <c r="G38" s="100"/>
      <c r="H38" s="100"/>
      <c r="I38" s="8"/>
      <c r="J38" s="8"/>
      <c r="O38" s="2"/>
    </row>
    <row r="39" spans="1:15" ht="14.5" customHeight="1">
      <c r="A39" s="101"/>
      <c r="B39"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39" s="18" t="s">
        <v>81</v>
      </c>
      <c r="D39" s="18" t="s">
        <v>32</v>
      </c>
      <c r="E39" s="18" t="s">
        <v>82</v>
      </c>
      <c r="F39" s="18"/>
      <c r="G39" s="100"/>
      <c r="H39" s="100"/>
      <c r="I39" s="8"/>
      <c r="J39" s="8"/>
      <c r="O39" s="2"/>
    </row>
    <row r="40" spans="1:15">
      <c r="A40" s="101" t="s">
        <v>9</v>
      </c>
      <c r="B40"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0" s="11" t="s">
        <v>66</v>
      </c>
      <c r="D40" s="11" t="s">
        <v>44</v>
      </c>
      <c r="E40" s="11" t="s">
        <v>36</v>
      </c>
      <c r="F40" s="11"/>
      <c r="G40" s="102">
        <f>COUNTIF(C40:F48,"* ضد *")</f>
        <v>18</v>
      </c>
      <c r="H40" s="102">
        <f>G40*2/'ملخص البطولات'!$A$7</f>
        <v>4</v>
      </c>
      <c r="I40" s="8"/>
      <c r="J40" s="8"/>
      <c r="O40" s="2"/>
    </row>
    <row r="41" spans="1:15">
      <c r="A41" s="101"/>
      <c r="B41"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41" s="11" t="s">
        <v>22</v>
      </c>
      <c r="D41" s="11"/>
      <c r="E41" s="11"/>
      <c r="F41" s="11"/>
      <c r="G41" s="102"/>
      <c r="H41" s="102"/>
      <c r="I41" s="8"/>
      <c r="J41" s="8"/>
      <c r="O41" s="2"/>
    </row>
    <row r="42" spans="1:15" ht="14.5" customHeight="1">
      <c r="A42" s="101"/>
      <c r="B42"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42" s="11" t="s">
        <v>78</v>
      </c>
      <c r="D42" s="11" t="s">
        <v>75</v>
      </c>
      <c r="E42" s="11" t="s">
        <v>69</v>
      </c>
      <c r="F42" s="11"/>
      <c r="G42" s="102"/>
      <c r="H42" s="102"/>
      <c r="I42" s="8"/>
      <c r="J42" s="8"/>
      <c r="O42" s="2"/>
    </row>
    <row r="43" spans="1:15">
      <c r="A43" s="101"/>
      <c r="B43"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43" s="11" t="s">
        <v>72</v>
      </c>
      <c r="D43" s="11"/>
      <c r="E43" s="11"/>
      <c r="F43" s="11"/>
      <c r="G43" s="102"/>
      <c r="H43" s="102"/>
      <c r="I43" s="8"/>
      <c r="J43" s="8"/>
      <c r="O43" s="2"/>
    </row>
    <row r="44" spans="1:15">
      <c r="A44" s="101"/>
      <c r="B44"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44" s="11" t="s">
        <v>41</v>
      </c>
      <c r="D44" s="11" t="s">
        <v>34</v>
      </c>
      <c r="E44" s="11" t="s">
        <v>27</v>
      </c>
      <c r="F44" s="11"/>
      <c r="G44" s="102"/>
      <c r="H44" s="102"/>
      <c r="I44" s="8"/>
      <c r="J44" s="8"/>
      <c r="O44" s="2"/>
    </row>
    <row r="45" spans="1:15">
      <c r="A45" s="101"/>
      <c r="B45"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45" s="11" t="s">
        <v>48</v>
      </c>
      <c r="D45" s="11"/>
      <c r="E45" s="11"/>
      <c r="F45" s="11"/>
      <c r="G45" s="102"/>
      <c r="H45" s="102"/>
      <c r="I45" s="8"/>
      <c r="J45" s="8"/>
      <c r="O45" s="2"/>
    </row>
    <row r="46" spans="1:15" ht="14.5" customHeight="1">
      <c r="A46" s="101"/>
      <c r="B46"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46" s="11" t="s">
        <v>68</v>
      </c>
      <c r="D46" s="11" t="s">
        <v>49</v>
      </c>
      <c r="E46" s="11" t="s">
        <v>23</v>
      </c>
      <c r="F46" s="11"/>
      <c r="G46" s="102"/>
      <c r="H46" s="102"/>
      <c r="I46" s="8"/>
      <c r="J46" s="8"/>
      <c r="O46" s="2"/>
    </row>
    <row r="47" spans="1:15">
      <c r="A47" s="101"/>
      <c r="B47"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47" s="11" t="s">
        <v>53</v>
      </c>
      <c r="D47" s="11"/>
      <c r="E47" s="11"/>
      <c r="F47" s="11"/>
      <c r="G47" s="102"/>
      <c r="H47" s="102"/>
      <c r="I47" s="8"/>
      <c r="J47" s="8"/>
      <c r="O47" s="2"/>
    </row>
    <row r="48" spans="1:15">
      <c r="A48" s="101"/>
      <c r="B48"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48" s="11" t="s">
        <v>42</v>
      </c>
      <c r="D48" s="11" t="s">
        <v>60</v>
      </c>
      <c r="E48" s="11"/>
      <c r="F48" s="11"/>
      <c r="G48" s="102"/>
      <c r="H48" s="102"/>
      <c r="I48" s="8"/>
      <c r="J48" s="8"/>
      <c r="O48" s="2"/>
    </row>
    <row r="49" spans="1:15">
      <c r="A49" s="101" t="s">
        <v>10</v>
      </c>
      <c r="B49"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9" s="18" t="s">
        <v>30</v>
      </c>
      <c r="D49" s="18" t="s">
        <v>32</v>
      </c>
      <c r="E49" s="18" t="s">
        <v>82</v>
      </c>
      <c r="F49" s="18"/>
      <c r="G49" s="100">
        <f>COUNTIF(C49:F57,"* ضد *")</f>
        <v>18</v>
      </c>
      <c r="H49" s="100">
        <f>G49*2/'ملخص البطولات'!$A$7</f>
        <v>4</v>
      </c>
      <c r="I49" s="8"/>
      <c r="J49" s="8"/>
      <c r="O49" s="2"/>
    </row>
    <row r="50" spans="1:15">
      <c r="A50" s="101"/>
      <c r="B50"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0" s="18" t="s">
        <v>25</v>
      </c>
      <c r="D50" s="18"/>
      <c r="E50" s="18"/>
      <c r="F50" s="18"/>
      <c r="G50" s="100"/>
      <c r="H50" s="100"/>
      <c r="I50" s="8"/>
      <c r="J50" s="8"/>
      <c r="O50" s="2"/>
    </row>
    <row r="51" spans="1:15">
      <c r="A51" s="101"/>
      <c r="B51"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51" s="18" t="s">
        <v>84</v>
      </c>
      <c r="D51" s="18" t="s">
        <v>57</v>
      </c>
      <c r="E51" s="18" t="s">
        <v>43</v>
      </c>
      <c r="F51" s="18"/>
      <c r="G51" s="100"/>
      <c r="H51" s="100"/>
      <c r="I51" s="8"/>
      <c r="J51" s="8"/>
      <c r="O51" s="2"/>
    </row>
    <row r="52" spans="1:15">
      <c r="A52" s="101"/>
      <c r="B52"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52" s="18" t="s">
        <v>35</v>
      </c>
      <c r="D52" s="18"/>
      <c r="E52" s="18"/>
      <c r="F52" s="18"/>
      <c r="G52" s="100"/>
      <c r="H52" s="100"/>
      <c r="I52" s="8"/>
      <c r="J52" s="8"/>
      <c r="O52" s="2"/>
    </row>
    <row r="53" spans="1:15">
      <c r="A53" s="101"/>
      <c r="B53"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53" s="18" t="s">
        <v>40</v>
      </c>
      <c r="D53" s="18" t="s">
        <v>52</v>
      </c>
      <c r="E53" s="18" t="s">
        <v>73</v>
      </c>
      <c r="F53" s="18"/>
      <c r="G53" s="100"/>
      <c r="H53" s="100"/>
      <c r="I53" s="8"/>
      <c r="J53" s="8"/>
      <c r="O53" s="2"/>
    </row>
    <row r="54" spans="1:15">
      <c r="A54" s="101"/>
      <c r="B54"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54" s="18" t="s">
        <v>51</v>
      </c>
      <c r="D54" s="18"/>
      <c r="E54" s="18"/>
      <c r="F54" s="18"/>
      <c r="G54" s="100"/>
      <c r="H54" s="100"/>
      <c r="I54" s="8"/>
      <c r="J54" s="8"/>
      <c r="O54" s="2"/>
    </row>
    <row r="55" spans="1:15" ht="22" customHeight="1">
      <c r="A55" s="101"/>
      <c r="B55"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55" s="18" t="s">
        <v>20</v>
      </c>
      <c r="D55" s="18" t="s">
        <v>65</v>
      </c>
      <c r="E55" s="18"/>
      <c r="F55" s="18"/>
      <c r="G55" s="100"/>
      <c r="H55" s="100"/>
      <c r="I55" s="8"/>
      <c r="J55" s="8"/>
      <c r="O55" s="2"/>
    </row>
    <row r="56" spans="1:15">
      <c r="A56" s="101"/>
      <c r="B56"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56" s="18" t="s">
        <v>85</v>
      </c>
      <c r="D56" s="18" t="s">
        <v>58</v>
      </c>
      <c r="E56" s="18"/>
      <c r="F56" s="18"/>
      <c r="G56" s="100"/>
      <c r="H56" s="100"/>
      <c r="I56" s="8"/>
      <c r="J56" s="8"/>
      <c r="O56" s="2"/>
    </row>
    <row r="57" spans="1:15">
      <c r="A57" s="101"/>
      <c r="B57"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57" s="18" t="s">
        <v>70</v>
      </c>
      <c r="D57" s="18" t="s">
        <v>81</v>
      </c>
      <c r="E57" s="18"/>
      <c r="F57" s="18"/>
      <c r="G57" s="100"/>
      <c r="H57" s="100"/>
      <c r="I57" s="8"/>
      <c r="J57" s="8"/>
      <c r="O57" s="2"/>
    </row>
    <row r="58" spans="1:15">
      <c r="A58" s="101" t="s">
        <v>11</v>
      </c>
      <c r="B58"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58" s="11" t="s">
        <v>68</v>
      </c>
      <c r="D58" s="11" t="s">
        <v>69</v>
      </c>
      <c r="E58" s="11" t="s">
        <v>41</v>
      </c>
      <c r="F58" s="11"/>
      <c r="G58" s="102">
        <f>COUNTIF(C58:F66,"* ضد *")</f>
        <v>18</v>
      </c>
      <c r="H58" s="102">
        <f>G58*2/'ملخص البطولات'!$A$7</f>
        <v>4</v>
      </c>
      <c r="I58" s="8"/>
      <c r="J58" s="8"/>
      <c r="O58" s="2"/>
    </row>
    <row r="59" spans="1:15">
      <c r="A59" s="101"/>
      <c r="B59"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9" s="11" t="s">
        <v>72</v>
      </c>
      <c r="D59" s="11"/>
      <c r="E59" s="11"/>
      <c r="F59" s="11"/>
      <c r="G59" s="102"/>
      <c r="H59" s="102"/>
      <c r="I59" s="8"/>
      <c r="J59" s="8"/>
      <c r="O59" s="2"/>
    </row>
    <row r="60" spans="1:15">
      <c r="A60" s="101"/>
      <c r="B60"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0" s="11" t="s">
        <v>44</v>
      </c>
      <c r="D60" s="11" t="s">
        <v>75</v>
      </c>
      <c r="E60" s="11" t="s">
        <v>36</v>
      </c>
      <c r="F60" s="11"/>
      <c r="G60" s="102"/>
      <c r="H60" s="102"/>
      <c r="I60" s="8"/>
      <c r="J60" s="8"/>
      <c r="O60" s="2"/>
    </row>
    <row r="61" spans="1:15">
      <c r="A61" s="101"/>
      <c r="B61"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61" s="11" t="s">
        <v>22</v>
      </c>
      <c r="D61" s="11"/>
      <c r="E61" s="11"/>
      <c r="F61" s="11"/>
      <c r="G61" s="102"/>
      <c r="H61" s="102"/>
      <c r="I61" s="8"/>
      <c r="J61" s="8"/>
      <c r="O61" s="2"/>
    </row>
    <row r="62" spans="1:15">
      <c r="A62" s="101"/>
      <c r="B62"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62" s="11" t="s">
        <v>66</v>
      </c>
      <c r="D62" s="11" t="s">
        <v>78</v>
      </c>
      <c r="E62" s="11" t="s">
        <v>23</v>
      </c>
      <c r="F62" s="11"/>
      <c r="G62" s="102"/>
      <c r="H62" s="102"/>
      <c r="I62" s="8"/>
      <c r="J62" s="8"/>
      <c r="O62" s="2"/>
    </row>
    <row r="63" spans="1:15">
      <c r="A63" s="101"/>
      <c r="B63"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63" s="11" t="s">
        <v>49</v>
      </c>
      <c r="D63" s="11"/>
      <c r="E63" s="11"/>
      <c r="F63" s="11"/>
      <c r="G63" s="102"/>
      <c r="H63" s="102"/>
      <c r="I63" s="8"/>
      <c r="J63" s="8"/>
      <c r="O63" s="2"/>
    </row>
    <row r="64" spans="1:15">
      <c r="A64" s="101"/>
      <c r="B64"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64" s="11" t="s">
        <v>53</v>
      </c>
      <c r="D64" s="11" t="s">
        <v>42</v>
      </c>
      <c r="E64" s="11" t="s">
        <v>27</v>
      </c>
      <c r="F64" s="11"/>
      <c r="G64" s="102"/>
      <c r="H64" s="102"/>
      <c r="I64" s="8"/>
      <c r="J64" s="8"/>
      <c r="O64" s="2"/>
    </row>
    <row r="65" spans="1:15">
      <c r="A65" s="101"/>
      <c r="B65"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65" s="11" t="s">
        <v>60</v>
      </c>
      <c r="D65" s="11"/>
      <c r="E65" s="11"/>
      <c r="F65" s="11"/>
      <c r="G65" s="102"/>
      <c r="H65" s="102"/>
      <c r="I65" s="8"/>
      <c r="J65" s="8"/>
      <c r="O65" s="2"/>
    </row>
    <row r="66" spans="1:15">
      <c r="A66" s="101"/>
      <c r="B66"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66" s="11" t="s">
        <v>34</v>
      </c>
      <c r="D66" s="11" t="s">
        <v>48</v>
      </c>
      <c r="E66" s="11"/>
      <c r="F66" s="11"/>
      <c r="G66" s="102"/>
      <c r="H66" s="102"/>
      <c r="I66" s="8"/>
      <c r="J66" s="8"/>
      <c r="O66" s="2"/>
    </row>
    <row r="67" spans="1:15">
      <c r="A67" s="8"/>
      <c r="B67" s="8"/>
      <c r="C67" s="8"/>
      <c r="D67" s="8"/>
      <c r="E67" s="8"/>
      <c r="F67" s="8"/>
      <c r="G67" s="8"/>
      <c r="H67" s="8"/>
      <c r="I67" s="8"/>
      <c r="J67" s="8"/>
      <c r="O67" s="2"/>
    </row>
    <row r="68" spans="1:15">
      <c r="A68" s="8"/>
      <c r="B68" s="8"/>
      <c r="C68" s="8"/>
      <c r="D68" s="8"/>
      <c r="E68" s="8"/>
      <c r="F68" s="8"/>
      <c r="G68" s="8"/>
      <c r="H68" s="8"/>
      <c r="I68" s="8"/>
      <c r="J68" s="8"/>
      <c r="O68" s="2"/>
    </row>
    <row r="69" spans="1:15">
      <c r="A69" s="103" t="s">
        <v>271</v>
      </c>
      <c r="B69" s="99"/>
      <c r="C69" s="99"/>
      <c r="D69" s="99"/>
      <c r="E69" s="99"/>
      <c r="F69" s="99"/>
      <c r="G69" s="99"/>
      <c r="H69" s="99"/>
      <c r="I69" s="99"/>
      <c r="J69" s="99"/>
      <c r="O69" s="2"/>
    </row>
    <row r="70" spans="1:15">
      <c r="A70" s="10" t="s">
        <v>272</v>
      </c>
      <c r="B70" s="10">
        <v>1</v>
      </c>
      <c r="C70" s="10">
        <v>2</v>
      </c>
      <c r="D70" s="10">
        <v>3</v>
      </c>
      <c r="E70" s="10">
        <v>4</v>
      </c>
      <c r="F70" s="10">
        <v>5</v>
      </c>
      <c r="G70" s="10">
        <v>6</v>
      </c>
      <c r="H70" s="10">
        <v>7</v>
      </c>
      <c r="I70" s="10">
        <v>8</v>
      </c>
      <c r="J70" s="10">
        <v>9</v>
      </c>
      <c r="O70" s="2"/>
    </row>
    <row r="71" spans="1:15">
      <c r="A71" s="10">
        <v>1</v>
      </c>
      <c r="B71" s="11" t="str">
        <f t="shared" ref="B71:J79" si="0">IF($A71=B$70,"",COUNTIF($C$4:$F$66,$A71&amp;" ضد "&amp;B$70)+COUNTIF($C$4:$F$66,B$70&amp;" ضد "&amp;$A71))</f>
        <v/>
      </c>
      <c r="C71" s="11">
        <f t="shared" si="0"/>
        <v>3</v>
      </c>
      <c r="D71" s="11">
        <f t="shared" si="0"/>
        <v>3</v>
      </c>
      <c r="E71" s="11">
        <f t="shared" si="0"/>
        <v>4</v>
      </c>
      <c r="F71" s="11">
        <f t="shared" si="0"/>
        <v>4</v>
      </c>
      <c r="G71" s="11">
        <f t="shared" si="0"/>
        <v>4</v>
      </c>
      <c r="H71" s="11">
        <f t="shared" si="0"/>
        <v>4</v>
      </c>
      <c r="I71" s="11">
        <f t="shared" si="0"/>
        <v>3</v>
      </c>
      <c r="J71" s="11">
        <f t="shared" si="0"/>
        <v>3</v>
      </c>
      <c r="O71" s="2"/>
    </row>
    <row r="72" spans="1:15">
      <c r="A72" s="10">
        <v>2</v>
      </c>
      <c r="B72" s="11">
        <f t="shared" si="0"/>
        <v>3</v>
      </c>
      <c r="C72" s="11" t="str">
        <f t="shared" si="0"/>
        <v/>
      </c>
      <c r="D72" s="11">
        <f t="shared" si="0"/>
        <v>3</v>
      </c>
      <c r="E72" s="11">
        <f t="shared" si="0"/>
        <v>3</v>
      </c>
      <c r="F72" s="11">
        <f t="shared" si="0"/>
        <v>4</v>
      </c>
      <c r="G72" s="11">
        <f t="shared" si="0"/>
        <v>4</v>
      </c>
      <c r="H72" s="11">
        <f t="shared" si="0"/>
        <v>4</v>
      </c>
      <c r="I72" s="11">
        <f t="shared" si="0"/>
        <v>4</v>
      </c>
      <c r="J72" s="11">
        <f t="shared" si="0"/>
        <v>3</v>
      </c>
      <c r="O72" s="2"/>
    </row>
    <row r="73" spans="1:15">
      <c r="A73" s="10">
        <v>3</v>
      </c>
      <c r="B73" s="11">
        <f t="shared" si="0"/>
        <v>3</v>
      </c>
      <c r="C73" s="11">
        <f t="shared" si="0"/>
        <v>3</v>
      </c>
      <c r="D73" s="11" t="str">
        <f t="shared" si="0"/>
        <v/>
      </c>
      <c r="E73" s="11">
        <f t="shared" si="0"/>
        <v>3</v>
      </c>
      <c r="F73" s="11">
        <f t="shared" si="0"/>
        <v>3</v>
      </c>
      <c r="G73" s="11">
        <f t="shared" si="0"/>
        <v>4</v>
      </c>
      <c r="H73" s="11">
        <f t="shared" si="0"/>
        <v>4</v>
      </c>
      <c r="I73" s="11">
        <f t="shared" si="0"/>
        <v>4</v>
      </c>
      <c r="J73" s="11">
        <f t="shared" si="0"/>
        <v>4</v>
      </c>
      <c r="O73" s="2"/>
    </row>
    <row r="74" spans="1:15">
      <c r="A74" s="10">
        <v>4</v>
      </c>
      <c r="B74" s="11">
        <f t="shared" si="0"/>
        <v>4</v>
      </c>
      <c r="C74" s="11">
        <f t="shared" si="0"/>
        <v>3</v>
      </c>
      <c r="D74" s="11">
        <f t="shared" si="0"/>
        <v>3</v>
      </c>
      <c r="E74" s="11" t="str">
        <f t="shared" si="0"/>
        <v/>
      </c>
      <c r="F74" s="11">
        <f t="shared" si="0"/>
        <v>3</v>
      </c>
      <c r="G74" s="11">
        <f t="shared" si="0"/>
        <v>3</v>
      </c>
      <c r="H74" s="11">
        <f t="shared" si="0"/>
        <v>4</v>
      </c>
      <c r="I74" s="11">
        <f t="shared" si="0"/>
        <v>4</v>
      </c>
      <c r="J74" s="11">
        <f t="shared" si="0"/>
        <v>4</v>
      </c>
      <c r="O74" s="2"/>
    </row>
    <row r="75" spans="1:15">
      <c r="A75" s="10">
        <v>5</v>
      </c>
      <c r="B75" s="11">
        <f t="shared" si="0"/>
        <v>4</v>
      </c>
      <c r="C75" s="11">
        <f t="shared" si="0"/>
        <v>4</v>
      </c>
      <c r="D75" s="11">
        <f t="shared" si="0"/>
        <v>3</v>
      </c>
      <c r="E75" s="11">
        <f t="shared" si="0"/>
        <v>3</v>
      </c>
      <c r="F75" s="11" t="str">
        <f t="shared" si="0"/>
        <v/>
      </c>
      <c r="G75" s="11">
        <f t="shared" si="0"/>
        <v>3</v>
      </c>
      <c r="H75" s="11">
        <f t="shared" si="0"/>
        <v>3</v>
      </c>
      <c r="I75" s="11">
        <f t="shared" si="0"/>
        <v>4</v>
      </c>
      <c r="J75" s="11">
        <f t="shared" si="0"/>
        <v>4</v>
      </c>
      <c r="O75" s="2"/>
    </row>
    <row r="76" spans="1:15">
      <c r="A76" s="10">
        <v>6</v>
      </c>
      <c r="B76" s="11">
        <f t="shared" si="0"/>
        <v>4</v>
      </c>
      <c r="C76" s="11">
        <f t="shared" si="0"/>
        <v>4</v>
      </c>
      <c r="D76" s="11">
        <f t="shared" si="0"/>
        <v>4</v>
      </c>
      <c r="E76" s="11">
        <f t="shared" si="0"/>
        <v>3</v>
      </c>
      <c r="F76" s="11">
        <f t="shared" si="0"/>
        <v>3</v>
      </c>
      <c r="G76" s="11" t="str">
        <f t="shared" si="0"/>
        <v/>
      </c>
      <c r="H76" s="11">
        <f t="shared" si="0"/>
        <v>3</v>
      </c>
      <c r="I76" s="11">
        <f t="shared" si="0"/>
        <v>3</v>
      </c>
      <c r="J76" s="11">
        <f t="shared" si="0"/>
        <v>4</v>
      </c>
      <c r="O76" s="2"/>
    </row>
    <row r="77" spans="1:15">
      <c r="A77" s="10">
        <v>7</v>
      </c>
      <c r="B77" s="11">
        <f t="shared" si="0"/>
        <v>4</v>
      </c>
      <c r="C77" s="11">
        <f t="shared" si="0"/>
        <v>4</v>
      </c>
      <c r="D77" s="11">
        <f t="shared" si="0"/>
        <v>4</v>
      </c>
      <c r="E77" s="11">
        <f t="shared" si="0"/>
        <v>4</v>
      </c>
      <c r="F77" s="11">
        <f t="shared" si="0"/>
        <v>3</v>
      </c>
      <c r="G77" s="11">
        <f t="shared" si="0"/>
        <v>3</v>
      </c>
      <c r="H77" s="24" t="str">
        <f t="shared" si="0"/>
        <v/>
      </c>
      <c r="I77" s="24">
        <f t="shared" si="0"/>
        <v>3</v>
      </c>
      <c r="J77" s="24">
        <f t="shared" si="0"/>
        <v>3</v>
      </c>
      <c r="K77" s="2"/>
      <c r="L77" s="2"/>
      <c r="M77" s="2"/>
      <c r="N77" s="2"/>
      <c r="O77" s="2"/>
    </row>
    <row r="78" spans="1:15">
      <c r="A78" s="10">
        <v>8</v>
      </c>
      <c r="B78" s="11">
        <f t="shared" si="0"/>
        <v>3</v>
      </c>
      <c r="C78" s="11">
        <f t="shared" si="0"/>
        <v>4</v>
      </c>
      <c r="D78" s="11">
        <f t="shared" si="0"/>
        <v>4</v>
      </c>
      <c r="E78" s="11">
        <f t="shared" si="0"/>
        <v>4</v>
      </c>
      <c r="F78" s="11">
        <f t="shared" si="0"/>
        <v>4</v>
      </c>
      <c r="G78" s="11">
        <f t="shared" si="0"/>
        <v>3</v>
      </c>
      <c r="H78" s="11">
        <f t="shared" si="0"/>
        <v>3</v>
      </c>
      <c r="I78" s="11" t="str">
        <f t="shared" si="0"/>
        <v/>
      </c>
      <c r="J78" s="11">
        <f t="shared" si="0"/>
        <v>3</v>
      </c>
    </row>
    <row r="79" spans="1:15">
      <c r="A79" s="10">
        <v>9</v>
      </c>
      <c r="B79" s="11">
        <f t="shared" si="0"/>
        <v>3</v>
      </c>
      <c r="C79" s="11">
        <f t="shared" si="0"/>
        <v>3</v>
      </c>
      <c r="D79" s="11">
        <f t="shared" si="0"/>
        <v>4</v>
      </c>
      <c r="E79" s="11">
        <f t="shared" si="0"/>
        <v>4</v>
      </c>
      <c r="F79" s="11">
        <f t="shared" si="0"/>
        <v>4</v>
      </c>
      <c r="G79" s="11">
        <f t="shared" si="0"/>
        <v>4</v>
      </c>
      <c r="H79" s="11">
        <f t="shared" si="0"/>
        <v>3</v>
      </c>
      <c r="I79" s="11">
        <f t="shared" si="0"/>
        <v>3</v>
      </c>
      <c r="J79" s="11" t="str">
        <f t="shared" si="0"/>
        <v/>
      </c>
    </row>
    <row r="80" spans="1:15">
      <c r="A80" s="22" t="s">
        <v>273</v>
      </c>
      <c r="B80" s="21">
        <f>MIN(B71:J79)</f>
        <v>3</v>
      </c>
      <c r="C80" s="8"/>
      <c r="D80" s="8"/>
      <c r="E80" s="8"/>
      <c r="F80" s="8"/>
      <c r="G80" s="8"/>
      <c r="H80" s="26"/>
      <c r="I80" s="8"/>
      <c r="J80" s="8"/>
    </row>
    <row r="81" spans="1:10">
      <c r="A81" s="22" t="s">
        <v>274</v>
      </c>
      <c r="B81" s="21">
        <f>MAX(B71:J79)</f>
        <v>4</v>
      </c>
      <c r="C81" s="8"/>
      <c r="D81" s="8"/>
      <c r="E81" s="8"/>
      <c r="F81" s="8"/>
      <c r="G81" s="8"/>
      <c r="H81" s="26"/>
      <c r="I81" s="8"/>
      <c r="J81" s="8"/>
    </row>
    <row r="82" spans="1:10">
      <c r="H82" s="4"/>
    </row>
    <row r="83" spans="1:10">
      <c r="H83" s="4"/>
    </row>
    <row r="84" spans="1:10">
      <c r="H84" s="4"/>
    </row>
    <row r="85" spans="1:10">
      <c r="H85" s="4"/>
    </row>
    <row r="86" spans="1:10">
      <c r="H86" s="4"/>
    </row>
    <row r="87" spans="1:10">
      <c r="H87" s="4"/>
    </row>
    <row r="88" spans="1:10">
      <c r="H88" s="4"/>
    </row>
    <row r="89" spans="1:10">
      <c r="H89" s="4"/>
    </row>
    <row r="90" spans="1:10">
      <c r="H90" s="4"/>
    </row>
    <row r="91" spans="1:10">
      <c r="H91" s="4"/>
    </row>
    <row r="92" spans="1:10">
      <c r="H92" s="4"/>
    </row>
    <row r="93" spans="1:10">
      <c r="H93" s="4"/>
    </row>
    <row r="94" spans="1:10">
      <c r="H94" s="4"/>
    </row>
    <row r="95" spans="1:10">
      <c r="H95" s="4"/>
    </row>
    <row r="96" spans="1:10">
      <c r="H96" s="4"/>
    </row>
    <row r="97" spans="8:8">
      <c r="H97" s="4"/>
    </row>
    <row r="98" spans="8:8">
      <c r="H98" s="4"/>
    </row>
    <row r="99" spans="8:8">
      <c r="H99" s="4"/>
    </row>
    <row r="100" spans="8:8">
      <c r="H100" s="4"/>
    </row>
    <row r="101" spans="8:8">
      <c r="H101" s="4"/>
    </row>
    <row r="102" spans="8:8">
      <c r="H102" s="4"/>
    </row>
    <row r="103" spans="8:8">
      <c r="H103" s="4"/>
    </row>
    <row r="104" spans="8:8">
      <c r="H104" s="4"/>
    </row>
    <row r="105" spans="8:8">
      <c r="H105" s="4"/>
    </row>
    <row r="106" spans="8:8">
      <c r="H106" s="4"/>
    </row>
    <row r="107" spans="8:8">
      <c r="H107" s="4"/>
    </row>
    <row r="108" spans="8:8">
      <c r="H108" s="4"/>
    </row>
    <row r="109" spans="8:8">
      <c r="H109" s="4"/>
    </row>
    <row r="110" spans="8:8">
      <c r="H110" s="4"/>
    </row>
    <row r="111" spans="8:8">
      <c r="H111" s="4"/>
    </row>
    <row r="112" spans="8:8">
      <c r="H112" s="4"/>
    </row>
    <row r="113" spans="8:8">
      <c r="H113" s="4"/>
    </row>
    <row r="114" spans="8:8">
      <c r="H114" s="4"/>
    </row>
    <row r="115" spans="8:8">
      <c r="H115" s="4"/>
    </row>
    <row r="116" spans="8:8">
      <c r="H116" s="4"/>
    </row>
    <row r="117" spans="8:8">
      <c r="H117" s="4"/>
    </row>
    <row r="118" spans="8:8">
      <c r="H118" s="4"/>
    </row>
    <row r="119" spans="8:8">
      <c r="H119" s="4"/>
    </row>
    <row r="120" spans="8:8">
      <c r="H120" s="4"/>
    </row>
    <row r="121" spans="8:8">
      <c r="H121" s="4"/>
    </row>
    <row r="122" spans="8:8">
      <c r="H122" s="4"/>
    </row>
    <row r="123" spans="8:8">
      <c r="H123" s="4"/>
    </row>
    <row r="124" spans="8:8">
      <c r="H124" s="4"/>
    </row>
    <row r="125" spans="8:8">
      <c r="H125" s="4"/>
    </row>
    <row r="126" spans="8:8">
      <c r="H126" s="4"/>
    </row>
    <row r="127" spans="8:8">
      <c r="H127" s="4"/>
    </row>
    <row r="128" spans="8:8">
      <c r="H128" s="4"/>
    </row>
    <row r="129" spans="8:8">
      <c r="H129" s="4"/>
    </row>
    <row r="130" spans="8:8">
      <c r="H130" s="4"/>
    </row>
    <row r="131" spans="8:8">
      <c r="H131" s="4"/>
    </row>
    <row r="132" spans="8:8">
      <c r="H132" s="4"/>
    </row>
    <row r="133" spans="8:8">
      <c r="H133" s="4"/>
    </row>
    <row r="134" spans="8:8">
      <c r="H134" s="4"/>
    </row>
    <row r="135" spans="8:8">
      <c r="H135" s="4"/>
    </row>
    <row r="136" spans="8:8">
      <c r="H136" s="4"/>
    </row>
    <row r="137" spans="8:8">
      <c r="H137" s="4"/>
    </row>
    <row r="138" spans="8:8">
      <c r="H138" s="4"/>
    </row>
    <row r="139" spans="8:8">
      <c r="H139" s="4"/>
    </row>
    <row r="140" spans="8:8">
      <c r="H140" s="4"/>
    </row>
    <row r="141" spans="8:8">
      <c r="H141" s="4"/>
    </row>
    <row r="142" spans="8:8">
      <c r="H142" s="4"/>
    </row>
    <row r="143" spans="8:8">
      <c r="H143" s="4"/>
    </row>
    <row r="144" spans="8:8">
      <c r="H144" s="4"/>
    </row>
    <row r="145" spans="8:8">
      <c r="H145" s="4"/>
    </row>
    <row r="146" spans="8:8">
      <c r="H146" s="4"/>
    </row>
    <row r="147" spans="8:8">
      <c r="H147" s="4"/>
    </row>
    <row r="148" spans="8:8">
      <c r="H148" s="4"/>
    </row>
    <row r="149" spans="8:8">
      <c r="H149" s="4"/>
    </row>
    <row r="150" spans="8:8">
      <c r="H150" s="4"/>
    </row>
    <row r="151" spans="8:8">
      <c r="H151" s="4"/>
    </row>
    <row r="152" spans="8:8">
      <c r="H152" s="4"/>
    </row>
    <row r="153" spans="8:8">
      <c r="H153" s="4"/>
    </row>
    <row r="154" spans="8:8">
      <c r="H154" s="4"/>
    </row>
    <row r="155" spans="8:8">
      <c r="H155" s="4"/>
    </row>
    <row r="156" spans="8:8">
      <c r="H156" s="4"/>
    </row>
    <row r="157" spans="8:8">
      <c r="H157" s="4"/>
    </row>
    <row r="158" spans="8:8">
      <c r="H158" s="4"/>
    </row>
    <row r="159" spans="8:8">
      <c r="H159" s="4"/>
    </row>
    <row r="160" spans="8:8">
      <c r="H160" s="4"/>
    </row>
    <row r="161" spans="8:8">
      <c r="H161" s="4"/>
    </row>
    <row r="162" spans="8:8">
      <c r="H162" s="4"/>
    </row>
    <row r="163" spans="8:8">
      <c r="H163" s="4"/>
    </row>
    <row r="164" spans="8:8">
      <c r="H164" s="4"/>
    </row>
    <row r="165" spans="8:8">
      <c r="H165" s="4"/>
    </row>
    <row r="166" spans="8:8">
      <c r="H166" s="4"/>
    </row>
    <row r="167" spans="8:8">
      <c r="H167" s="4"/>
    </row>
    <row r="168" spans="8:8">
      <c r="H168" s="4"/>
    </row>
    <row r="169" spans="8:8">
      <c r="H169" s="4"/>
    </row>
    <row r="170" spans="8:8">
      <c r="H170" s="4"/>
    </row>
    <row r="171" spans="8:8">
      <c r="H171" s="4"/>
    </row>
    <row r="172" spans="8:8">
      <c r="H172" s="4"/>
    </row>
    <row r="173" spans="8:8">
      <c r="H173" s="4"/>
    </row>
    <row r="174" spans="8:8">
      <c r="H174" s="4"/>
    </row>
    <row r="175" spans="8:8">
      <c r="H175" s="4"/>
    </row>
    <row r="176" spans="8:8">
      <c r="H176" s="4"/>
    </row>
    <row r="177" spans="8:8">
      <c r="H177" s="4"/>
    </row>
    <row r="178" spans="8:8">
      <c r="H178" s="4"/>
    </row>
    <row r="179" spans="8:8">
      <c r="H179" s="4"/>
    </row>
    <row r="180" spans="8:8">
      <c r="H180" s="4"/>
    </row>
    <row r="181" spans="8:8">
      <c r="H181" s="4"/>
    </row>
    <row r="182" spans="8:8">
      <c r="H182" s="4"/>
    </row>
    <row r="183" spans="8:8">
      <c r="H183" s="4"/>
    </row>
    <row r="184" spans="8:8">
      <c r="H184" s="4"/>
    </row>
    <row r="185" spans="8:8">
      <c r="H185" s="4"/>
    </row>
    <row r="186" spans="8:8">
      <c r="H186" s="4"/>
    </row>
    <row r="187" spans="8:8">
      <c r="H187" s="4"/>
    </row>
    <row r="188" spans="8:8">
      <c r="H188" s="4"/>
    </row>
    <row r="189" spans="8:8">
      <c r="H189" s="4"/>
    </row>
    <row r="190" spans="8:8">
      <c r="H190" s="4"/>
    </row>
    <row r="191" spans="8:8">
      <c r="H191" s="4"/>
    </row>
    <row r="192" spans="8:8">
      <c r="H192" s="4"/>
    </row>
    <row r="193" spans="8:8">
      <c r="H193" s="4"/>
    </row>
    <row r="194" spans="8:8">
      <c r="H194" s="4"/>
    </row>
    <row r="195" spans="8:8">
      <c r="H195" s="4"/>
    </row>
    <row r="196" spans="8:8">
      <c r="H196" s="4"/>
    </row>
    <row r="197" spans="8:8">
      <c r="H197" s="4"/>
    </row>
    <row r="198" spans="8:8">
      <c r="H198" s="4"/>
    </row>
    <row r="199" spans="8:8">
      <c r="H199" s="4"/>
    </row>
  </sheetData>
  <mergeCells count="23">
    <mergeCell ref="A31:A39"/>
    <mergeCell ref="G31:G39"/>
    <mergeCell ref="G13:G21"/>
    <mergeCell ref="H13:H21"/>
    <mergeCell ref="A22:A30"/>
    <mergeCell ref="G22:G30"/>
    <mergeCell ref="H22:H30"/>
    <mergeCell ref="A58:A66"/>
    <mergeCell ref="G58:G66"/>
    <mergeCell ref="H58:H66"/>
    <mergeCell ref="A1:H1"/>
    <mergeCell ref="A69:J69"/>
    <mergeCell ref="H31:H39"/>
    <mergeCell ref="A40:A48"/>
    <mergeCell ref="G40:G48"/>
    <mergeCell ref="H40:H48"/>
    <mergeCell ref="A49:A57"/>
    <mergeCell ref="G49:G57"/>
    <mergeCell ref="H49:H57"/>
    <mergeCell ref="A4:A12"/>
    <mergeCell ref="G4:G12"/>
    <mergeCell ref="H4:H12"/>
    <mergeCell ref="A13:A2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392B4-340E-4301-82B7-B284BEF4694E}">
  <dimension ref="A1:O199"/>
  <sheetViews>
    <sheetView showGridLines="0" rightToLeft="1" zoomScale="48" workbookViewId="0">
      <pane ySplit="3" topLeftCell="A4" activePane="bottomLeft" state="frozen"/>
      <selection activeCell="B1" sqref="B1"/>
      <selection pane="bottomLeft" activeCell="B72" sqref="B72"/>
    </sheetView>
  </sheetViews>
  <sheetFormatPr defaultRowHeight="14.5"/>
  <cols>
    <col min="1" max="1" width="10.54296875" customWidth="1"/>
    <col min="2" max="2" width="17.26953125" customWidth="1"/>
    <col min="3" max="5" width="14.54296875" customWidth="1"/>
    <col min="6" max="7" width="15.453125" customWidth="1"/>
    <col min="8" max="8" width="27.26953125" customWidth="1"/>
    <col min="9" max="16" width="5.453125" customWidth="1"/>
  </cols>
  <sheetData>
    <row r="1" spans="1:15" ht="26" customHeight="1">
      <c r="A1" s="83" t="s">
        <v>268</v>
      </c>
      <c r="B1" s="83"/>
      <c r="C1" s="83"/>
      <c r="D1" s="83"/>
      <c r="E1" s="83"/>
      <c r="F1" s="83"/>
      <c r="G1" s="83"/>
      <c r="H1" s="8"/>
      <c r="I1" s="8"/>
      <c r="J1" s="8"/>
      <c r="K1" s="8"/>
      <c r="L1" s="8"/>
      <c r="M1" s="8"/>
      <c r="O1" s="2"/>
    </row>
    <row r="2" spans="1:15" ht="8" customHeight="1">
      <c r="A2" s="8"/>
      <c r="B2" s="8"/>
      <c r="C2" s="8"/>
      <c r="D2" s="8"/>
      <c r="E2" s="8"/>
      <c r="F2" s="8"/>
      <c r="G2" s="8"/>
      <c r="H2" s="8"/>
      <c r="I2" s="8"/>
      <c r="J2" s="8"/>
      <c r="K2" s="8"/>
      <c r="L2" s="8"/>
      <c r="M2" s="8"/>
      <c r="O2" s="2"/>
    </row>
    <row r="3" spans="1:15" ht="32" customHeight="1">
      <c r="A3" s="25" t="s">
        <v>0</v>
      </c>
      <c r="B3" s="25" t="s">
        <v>1</v>
      </c>
      <c r="C3" s="25" t="s">
        <v>2</v>
      </c>
      <c r="D3" s="25" t="s">
        <v>3</v>
      </c>
      <c r="E3" s="25" t="s">
        <v>4</v>
      </c>
      <c r="F3" s="25" t="s">
        <v>263</v>
      </c>
      <c r="G3" s="25" t="s">
        <v>105</v>
      </c>
      <c r="H3" s="8"/>
      <c r="I3" s="8"/>
      <c r="J3" s="8"/>
      <c r="K3" s="8"/>
      <c r="L3" s="8"/>
      <c r="M3" s="8"/>
      <c r="O3" s="2"/>
    </row>
    <row r="4" spans="1:15" ht="14.5" customHeight="1">
      <c r="A4" s="101" t="s">
        <v>5</v>
      </c>
      <c r="B4"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 s="11" t="s">
        <v>64</v>
      </c>
      <c r="D4" s="11" t="s">
        <v>36</v>
      </c>
      <c r="E4" s="11" t="s">
        <v>67</v>
      </c>
      <c r="F4" s="102">
        <f>COUNTIF(C4:E14,"* ضد *")</f>
        <v>24</v>
      </c>
      <c r="G4" s="102">
        <f>F4*2/'ملخص البطولات'!$A$8</f>
        <v>4</v>
      </c>
      <c r="H4" s="8"/>
      <c r="I4" s="8"/>
      <c r="J4" s="8"/>
      <c r="K4" s="8"/>
      <c r="L4" s="8"/>
      <c r="M4" s="8"/>
      <c r="O4" s="2"/>
    </row>
    <row r="5" spans="1:15">
      <c r="A5" s="101"/>
      <c r="B5"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 s="11" t="s">
        <v>35</v>
      </c>
      <c r="D5" s="11" t="s">
        <v>34</v>
      </c>
      <c r="E5" s="11" t="s">
        <v>63</v>
      </c>
      <c r="F5" s="102"/>
      <c r="G5" s="102"/>
      <c r="H5" s="8"/>
      <c r="I5" s="8"/>
      <c r="J5" s="8"/>
      <c r="K5" s="8"/>
      <c r="L5" s="8"/>
      <c r="M5" s="8"/>
      <c r="O5" s="2"/>
    </row>
    <row r="6" spans="1:15">
      <c r="A6" s="101"/>
      <c r="B6"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 s="11" t="s">
        <v>26</v>
      </c>
      <c r="D6" s="11" t="s">
        <v>76</v>
      </c>
      <c r="E6" s="11"/>
      <c r="F6" s="102"/>
      <c r="G6" s="102"/>
      <c r="H6" s="8"/>
      <c r="I6" s="8"/>
      <c r="J6" s="8"/>
      <c r="K6" s="8"/>
      <c r="L6" s="8"/>
      <c r="M6" s="8"/>
      <c r="O6" s="2"/>
    </row>
    <row r="7" spans="1:15">
      <c r="A7" s="101"/>
      <c r="B7"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7" s="11" t="s">
        <v>51</v>
      </c>
      <c r="D7" s="11" t="s">
        <v>23</v>
      </c>
      <c r="E7" s="11" t="s">
        <v>20</v>
      </c>
      <c r="F7" s="102"/>
      <c r="G7" s="102"/>
      <c r="H7" s="8"/>
      <c r="I7" s="8"/>
      <c r="J7" s="8"/>
      <c r="K7" s="8"/>
      <c r="L7" s="8"/>
      <c r="M7" s="8"/>
      <c r="O7" s="2"/>
    </row>
    <row r="8" spans="1:15">
      <c r="A8" s="101"/>
      <c r="B8"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8" s="11" t="s">
        <v>61</v>
      </c>
      <c r="D8" s="11" t="s">
        <v>85</v>
      </c>
      <c r="E8" s="11"/>
      <c r="F8" s="102"/>
      <c r="G8" s="102"/>
      <c r="H8" s="8"/>
      <c r="I8" s="8"/>
      <c r="J8" s="8"/>
      <c r="K8" s="8"/>
      <c r="L8" s="8"/>
      <c r="M8" s="8"/>
      <c r="O8" s="2"/>
    </row>
    <row r="9" spans="1:15">
      <c r="A9" s="101"/>
      <c r="B9"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9" s="11" t="s">
        <v>82</v>
      </c>
      <c r="D9" s="11" t="s">
        <v>83</v>
      </c>
      <c r="E9" s="11" t="s">
        <v>37</v>
      </c>
      <c r="F9" s="102"/>
      <c r="G9" s="102"/>
      <c r="H9" s="8"/>
      <c r="I9" s="8"/>
      <c r="J9" s="8"/>
      <c r="K9" s="8"/>
      <c r="L9" s="8"/>
      <c r="M9" s="8"/>
      <c r="O9" s="2"/>
    </row>
    <row r="10" spans="1:15">
      <c r="A10" s="101"/>
      <c r="B10"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0" s="11" t="s">
        <v>44</v>
      </c>
      <c r="D10" s="11" t="s">
        <v>71</v>
      </c>
      <c r="E10" s="11"/>
      <c r="F10" s="102"/>
      <c r="G10" s="102"/>
      <c r="H10" s="8"/>
      <c r="I10" s="8"/>
      <c r="J10" s="8"/>
      <c r="K10" s="8"/>
      <c r="L10" s="8"/>
      <c r="M10" s="8"/>
      <c r="O10" s="2"/>
    </row>
    <row r="11" spans="1:15" ht="14.5" customHeight="1">
      <c r="A11" s="101"/>
      <c r="B11"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11" s="11" t="s">
        <v>59</v>
      </c>
      <c r="D11" s="11" t="s">
        <v>60</v>
      </c>
      <c r="E11" s="11" t="s">
        <v>56</v>
      </c>
      <c r="F11" s="102"/>
      <c r="G11" s="102"/>
      <c r="H11" s="8"/>
      <c r="I11" s="8"/>
      <c r="J11" s="8"/>
      <c r="K11" s="8"/>
      <c r="L11" s="8"/>
      <c r="M11" s="8"/>
      <c r="O11" s="2"/>
    </row>
    <row r="12" spans="1:15">
      <c r="A12" s="101"/>
      <c r="B12"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12" s="11" t="s">
        <v>81</v>
      </c>
      <c r="D12" s="11" t="s">
        <v>53</v>
      </c>
      <c r="E12" s="11" t="s">
        <v>55</v>
      </c>
      <c r="F12" s="102"/>
      <c r="G12" s="102"/>
      <c r="H12" s="8"/>
      <c r="I12" s="8"/>
      <c r="J12" s="8"/>
      <c r="K12" s="8"/>
      <c r="L12" s="8"/>
      <c r="M12" s="8"/>
      <c r="O12" s="2"/>
    </row>
    <row r="13" spans="1:15">
      <c r="A13" s="101"/>
      <c r="B13" s="1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13" s="41" t="s">
        <v>264</v>
      </c>
      <c r="D13" s="85"/>
      <c r="E13" s="85"/>
      <c r="F13" s="102"/>
      <c r="G13" s="102"/>
      <c r="H13" s="8"/>
      <c r="I13" s="8"/>
      <c r="J13" s="8"/>
      <c r="K13" s="8"/>
      <c r="L13" s="8"/>
      <c r="M13" s="8"/>
      <c r="O13" s="2"/>
    </row>
    <row r="14" spans="1:15">
      <c r="A14" s="101"/>
      <c r="B14" s="16" t="str">
        <f>MOD(HOUR((المدخلات!$B$4+10*المدخلات!$B$5/1440))-1,12)+1&amp;":"&amp;TEXT(MINUTE((المدخلات!$B$4+10*المدخلات!$B$5/1440)),"00")&amp;"–"&amp;MOD(HOUR((المدخلات!$B$4+10*المدخلات!$B$5/1440+المدخلات!$B$5/1440))-1,12)+1&amp;":"&amp;TEXT(MINUTE((المدخلات!$B$4+10*المدخلات!$B$5/1440+المدخلات!$B$5/1440)),"00")&amp;IF(HOUR((المدخلات!$B$4+10*المدخلات!$B$5/1440))&lt;12," ص"," م")</f>
        <v>7:30–7:45 م</v>
      </c>
      <c r="C14" s="41" t="s">
        <v>264</v>
      </c>
      <c r="D14" s="85"/>
      <c r="E14" s="85"/>
      <c r="F14" s="102"/>
      <c r="G14" s="102"/>
      <c r="H14" s="8"/>
      <c r="I14" s="8"/>
      <c r="J14" s="8"/>
      <c r="K14" s="8"/>
      <c r="L14" s="8"/>
      <c r="M14" s="8"/>
      <c r="O14" s="2"/>
    </row>
    <row r="15" spans="1:15">
      <c r="A15" s="101" t="s">
        <v>6</v>
      </c>
      <c r="B15"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15" s="18" t="s">
        <v>22</v>
      </c>
      <c r="D15" s="18" t="s">
        <v>30</v>
      </c>
      <c r="E15" s="18" t="s">
        <v>33</v>
      </c>
      <c r="F15" s="100">
        <f>COUNTIF(C15:E25,"* ضد *")</f>
        <v>24</v>
      </c>
      <c r="G15" s="100">
        <f>F15*2/'ملخص البطولات'!$A$8</f>
        <v>4</v>
      </c>
      <c r="H15" s="8"/>
      <c r="I15" s="8"/>
      <c r="J15" s="8"/>
      <c r="K15" s="8"/>
      <c r="L15" s="8"/>
      <c r="M15" s="8"/>
      <c r="O15" s="2"/>
    </row>
    <row r="16" spans="1:15">
      <c r="A16" s="101"/>
      <c r="B16"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16" s="18" t="s">
        <v>73</v>
      </c>
      <c r="D16" s="18" t="s">
        <v>74</v>
      </c>
      <c r="E16" s="18" t="s">
        <v>66</v>
      </c>
      <c r="F16" s="100"/>
      <c r="G16" s="100"/>
      <c r="H16" s="8"/>
      <c r="I16" s="8"/>
      <c r="J16" s="8"/>
      <c r="K16" s="8"/>
      <c r="L16" s="8"/>
      <c r="M16" s="8"/>
      <c r="O16" s="2"/>
    </row>
    <row r="17" spans="1:15">
      <c r="A17" s="101"/>
      <c r="B17"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17" s="18" t="s">
        <v>77</v>
      </c>
      <c r="D17" s="18" t="s">
        <v>42</v>
      </c>
      <c r="E17" s="18"/>
      <c r="F17" s="100"/>
      <c r="G17" s="100"/>
      <c r="H17" s="8"/>
      <c r="I17" s="8"/>
      <c r="J17" s="8"/>
      <c r="K17" s="8"/>
      <c r="L17" s="8"/>
      <c r="M17" s="8"/>
      <c r="O17" s="2"/>
    </row>
    <row r="18" spans="1:15" ht="14.5" customHeight="1">
      <c r="A18" s="101"/>
      <c r="B18"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18" s="18" t="s">
        <v>54</v>
      </c>
      <c r="D18" s="18" t="s">
        <v>25</v>
      </c>
      <c r="E18" s="18" t="s">
        <v>28</v>
      </c>
      <c r="F18" s="100"/>
      <c r="G18" s="100"/>
      <c r="H18" s="8"/>
      <c r="I18" s="8"/>
      <c r="J18" s="8"/>
      <c r="K18" s="8"/>
      <c r="L18" s="8"/>
      <c r="M18" s="8"/>
      <c r="O18" s="2"/>
    </row>
    <row r="19" spans="1:15">
      <c r="A19" s="101"/>
      <c r="B19"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19" s="18" t="s">
        <v>27</v>
      </c>
      <c r="D19" s="18" t="s">
        <v>24</v>
      </c>
      <c r="E19" s="18"/>
      <c r="F19" s="100"/>
      <c r="G19" s="100"/>
      <c r="H19" s="8"/>
      <c r="I19" s="8"/>
      <c r="J19" s="8"/>
      <c r="K19" s="8"/>
      <c r="L19" s="8"/>
      <c r="M19" s="8"/>
      <c r="O19" s="2"/>
    </row>
    <row r="20" spans="1:15">
      <c r="A20" s="101"/>
      <c r="B20"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20" s="18" t="s">
        <v>70</v>
      </c>
      <c r="D20" s="18" t="s">
        <v>32</v>
      </c>
      <c r="E20" s="18" t="s">
        <v>38</v>
      </c>
      <c r="F20" s="100"/>
      <c r="G20" s="100"/>
      <c r="H20" s="8"/>
      <c r="I20" s="8"/>
      <c r="J20" s="8"/>
      <c r="K20" s="8"/>
      <c r="L20" s="8"/>
      <c r="M20" s="8"/>
      <c r="O20" s="2"/>
    </row>
    <row r="21" spans="1:15">
      <c r="A21" s="101"/>
      <c r="B21"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21" s="18" t="s">
        <v>47</v>
      </c>
      <c r="D21" s="18" t="s">
        <v>69</v>
      </c>
      <c r="E21" s="18"/>
      <c r="F21" s="100"/>
      <c r="G21" s="100"/>
      <c r="H21" s="8"/>
      <c r="I21" s="8"/>
      <c r="J21" s="8"/>
      <c r="K21" s="8"/>
      <c r="L21" s="8"/>
      <c r="M21" s="8"/>
      <c r="O21" s="2"/>
    </row>
    <row r="22" spans="1:15">
      <c r="A22" s="101"/>
      <c r="B22"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22" s="18" t="s">
        <v>46</v>
      </c>
      <c r="D22" s="18" t="s">
        <v>45</v>
      </c>
      <c r="E22" s="18" t="s">
        <v>78</v>
      </c>
      <c r="F22" s="100"/>
      <c r="G22" s="100"/>
      <c r="H22" s="8"/>
      <c r="I22" s="8"/>
      <c r="J22" s="8"/>
      <c r="K22" s="8"/>
      <c r="L22" s="8"/>
      <c r="M22" s="8"/>
      <c r="O22" s="2"/>
    </row>
    <row r="23" spans="1:15">
      <c r="A23" s="101"/>
      <c r="B23"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23" s="18" t="s">
        <v>40</v>
      </c>
      <c r="D23" s="18" t="s">
        <v>58</v>
      </c>
      <c r="E23" s="18" t="s">
        <v>39</v>
      </c>
      <c r="F23" s="100"/>
      <c r="G23" s="100"/>
      <c r="H23" s="8"/>
      <c r="I23" s="8"/>
      <c r="J23" s="8"/>
      <c r="K23" s="8"/>
      <c r="L23" s="8"/>
      <c r="M23" s="8"/>
      <c r="O23" s="2"/>
    </row>
    <row r="24" spans="1:15">
      <c r="A24" s="101"/>
      <c r="B24" s="17"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24" s="41" t="s">
        <v>264</v>
      </c>
      <c r="D24" s="85"/>
      <c r="E24" s="85"/>
      <c r="F24" s="100"/>
      <c r="G24" s="100"/>
      <c r="H24" s="8"/>
      <c r="I24" s="8"/>
      <c r="J24" s="8"/>
      <c r="K24" s="8"/>
      <c r="L24" s="8"/>
      <c r="M24" s="8"/>
      <c r="O24" s="2"/>
    </row>
    <row r="25" spans="1:15" ht="14.5" customHeight="1">
      <c r="A25" s="101"/>
      <c r="B25" s="17" t="str">
        <f>MOD(HOUR((المدخلات!$B$4+10*المدخلات!$B$5/1440))-1,12)+1&amp;":"&amp;TEXT(MINUTE((المدخلات!$B$4+10*المدخلات!$B$5/1440)),"00")&amp;"–"&amp;MOD(HOUR((المدخلات!$B$4+10*المدخلات!$B$5/1440+المدخلات!$B$5/1440))-1,12)+1&amp;":"&amp;TEXT(MINUTE((المدخلات!$B$4+10*المدخلات!$B$5/1440+المدخلات!$B$5/1440)),"00")&amp;IF(HOUR((المدخلات!$B$4+10*المدخلات!$B$5/1440))&lt;12," ص"," م")</f>
        <v>7:30–7:45 م</v>
      </c>
      <c r="C25" s="41" t="s">
        <v>264</v>
      </c>
      <c r="D25" s="85"/>
      <c r="E25" s="85"/>
      <c r="F25" s="100"/>
      <c r="G25" s="100"/>
      <c r="H25" s="8"/>
      <c r="I25" s="8"/>
      <c r="J25" s="8"/>
      <c r="K25" s="8"/>
      <c r="L25" s="8"/>
      <c r="M25" s="8"/>
      <c r="O25" s="2"/>
    </row>
    <row r="26" spans="1:15">
      <c r="A26" s="101" t="s">
        <v>7</v>
      </c>
      <c r="B26"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26" s="11" t="s">
        <v>31</v>
      </c>
      <c r="D26" s="11" t="s">
        <v>49</v>
      </c>
      <c r="E26" s="11" t="s">
        <v>80</v>
      </c>
      <c r="F26" s="102">
        <f>COUNTIF(C26:E36,"* ضد *")</f>
        <v>24</v>
      </c>
      <c r="G26" s="102">
        <f>F26*2/'ملخص البطولات'!$A$8</f>
        <v>4</v>
      </c>
      <c r="H26" s="8"/>
      <c r="I26" s="8"/>
      <c r="J26" s="8"/>
      <c r="K26" s="8"/>
      <c r="L26" s="8"/>
      <c r="M26" s="8"/>
      <c r="O26" s="2"/>
    </row>
    <row r="27" spans="1:15">
      <c r="A27" s="101"/>
      <c r="B27"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27" s="11" t="s">
        <v>41</v>
      </c>
      <c r="D27" s="11" t="s">
        <v>57</v>
      </c>
      <c r="E27" s="11" t="s">
        <v>29</v>
      </c>
      <c r="F27" s="102"/>
      <c r="G27" s="102"/>
      <c r="H27" s="8"/>
      <c r="I27" s="8"/>
      <c r="J27" s="8"/>
      <c r="K27" s="8"/>
      <c r="L27" s="8"/>
      <c r="M27" s="8"/>
      <c r="O27" s="2"/>
    </row>
    <row r="28" spans="1:15">
      <c r="A28" s="101"/>
      <c r="B28"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28" s="11" t="s">
        <v>72</v>
      </c>
      <c r="D28" s="11" t="s">
        <v>62</v>
      </c>
      <c r="E28" s="11"/>
      <c r="F28" s="102"/>
      <c r="G28" s="102"/>
      <c r="H28" s="8"/>
      <c r="I28" s="8"/>
      <c r="J28" s="8"/>
      <c r="K28" s="8"/>
      <c r="L28" s="8"/>
      <c r="M28" s="8"/>
      <c r="O28" s="2"/>
    </row>
    <row r="29" spans="1:15">
      <c r="A29" s="101"/>
      <c r="B29"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29" s="11" t="s">
        <v>79</v>
      </c>
      <c r="D29" s="11" t="s">
        <v>52</v>
      </c>
      <c r="E29" s="11" t="s">
        <v>75</v>
      </c>
      <c r="F29" s="102"/>
      <c r="G29" s="102"/>
      <c r="H29" s="8"/>
      <c r="I29" s="8"/>
      <c r="J29" s="8"/>
      <c r="K29" s="8"/>
      <c r="L29" s="8"/>
      <c r="M29" s="8"/>
      <c r="O29" s="2"/>
    </row>
    <row r="30" spans="1:15">
      <c r="A30" s="101"/>
      <c r="B30"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30" s="11" t="s">
        <v>84</v>
      </c>
      <c r="D30" s="11" t="s">
        <v>43</v>
      </c>
      <c r="E30" s="11"/>
      <c r="F30" s="102"/>
      <c r="G30" s="102"/>
      <c r="H30" s="8"/>
      <c r="I30" s="8"/>
      <c r="J30" s="8"/>
      <c r="K30" s="8"/>
      <c r="L30" s="8"/>
      <c r="M30" s="8"/>
      <c r="O30" s="2"/>
    </row>
    <row r="31" spans="1:15">
      <c r="A31" s="101"/>
      <c r="B31"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31" s="11" t="s">
        <v>21</v>
      </c>
      <c r="D31" s="11" t="s">
        <v>48</v>
      </c>
      <c r="E31" s="11" t="s">
        <v>65</v>
      </c>
      <c r="F31" s="102"/>
      <c r="G31" s="102"/>
      <c r="H31" s="8"/>
      <c r="I31" s="8"/>
      <c r="J31" s="8"/>
      <c r="K31" s="8"/>
      <c r="L31" s="8"/>
      <c r="M31" s="8"/>
      <c r="O31" s="2"/>
    </row>
    <row r="32" spans="1:15" ht="14.5" customHeight="1">
      <c r="A32" s="101"/>
      <c r="B32"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32" s="11" t="s">
        <v>50</v>
      </c>
      <c r="D32" s="11" t="s">
        <v>68</v>
      </c>
      <c r="E32" s="11"/>
      <c r="F32" s="102"/>
      <c r="G32" s="102"/>
      <c r="H32" s="8"/>
      <c r="I32" s="8"/>
      <c r="J32" s="8"/>
      <c r="K32" s="8"/>
      <c r="L32" s="8"/>
      <c r="M32" s="8"/>
      <c r="O32" s="2"/>
    </row>
    <row r="33" spans="1:15">
      <c r="A33" s="101"/>
      <c r="B33"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33" s="11" t="s">
        <v>64</v>
      </c>
      <c r="D33" s="11" t="s">
        <v>35</v>
      </c>
      <c r="E33" s="11" t="s">
        <v>36</v>
      </c>
      <c r="F33" s="102"/>
      <c r="G33" s="102"/>
      <c r="H33" s="8"/>
      <c r="I33" s="8"/>
      <c r="J33" s="8"/>
      <c r="K33" s="8"/>
      <c r="L33" s="8"/>
      <c r="M33" s="8"/>
      <c r="O33" s="2"/>
    </row>
    <row r="34" spans="1:15">
      <c r="A34" s="101"/>
      <c r="B34"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34" s="11" t="s">
        <v>67</v>
      </c>
      <c r="D34" s="11" t="s">
        <v>34</v>
      </c>
      <c r="E34" s="11" t="s">
        <v>63</v>
      </c>
      <c r="F34" s="102"/>
      <c r="G34" s="102"/>
      <c r="H34" s="8"/>
      <c r="I34" s="8"/>
      <c r="J34" s="8"/>
      <c r="K34" s="8"/>
      <c r="L34" s="8"/>
      <c r="M34" s="8"/>
      <c r="O34" s="2"/>
    </row>
    <row r="35" spans="1:15">
      <c r="A35" s="101"/>
      <c r="B35" s="1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35" s="41" t="s">
        <v>264</v>
      </c>
      <c r="D35" s="85"/>
      <c r="E35" s="85"/>
      <c r="F35" s="102"/>
      <c r="G35" s="102"/>
      <c r="H35" s="8"/>
      <c r="I35" s="8"/>
      <c r="J35" s="8"/>
      <c r="K35" s="8"/>
      <c r="L35" s="8"/>
      <c r="M35" s="8"/>
      <c r="O35" s="2"/>
    </row>
    <row r="36" spans="1:15">
      <c r="A36" s="101"/>
      <c r="B36" s="16" t="str">
        <f>MOD(HOUR((المدخلات!$B$4+10*المدخلات!$B$5/1440))-1,12)+1&amp;":"&amp;TEXT(MINUTE((المدخلات!$B$4+10*المدخلات!$B$5/1440)),"00")&amp;"–"&amp;MOD(HOUR((المدخلات!$B$4+10*المدخلات!$B$5/1440+المدخلات!$B$5/1440))-1,12)+1&amp;":"&amp;TEXT(MINUTE((المدخلات!$B$4+10*المدخلات!$B$5/1440+المدخلات!$B$5/1440)),"00")&amp;IF(HOUR((المدخلات!$B$4+10*المدخلات!$B$5/1440))&lt;12," ص"," م")</f>
        <v>7:30–7:45 م</v>
      </c>
      <c r="C36" s="41" t="s">
        <v>264</v>
      </c>
      <c r="D36" s="85"/>
      <c r="E36" s="85"/>
      <c r="F36" s="102"/>
      <c r="G36" s="102"/>
      <c r="H36" s="8"/>
      <c r="I36" s="8"/>
      <c r="J36" s="8"/>
      <c r="K36" s="8"/>
      <c r="L36" s="8"/>
      <c r="M36" s="8"/>
      <c r="O36" s="2"/>
    </row>
    <row r="37" spans="1:15" ht="14.5" customHeight="1">
      <c r="A37" s="101" t="s">
        <v>8</v>
      </c>
      <c r="B37"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37" s="18" t="s">
        <v>73</v>
      </c>
      <c r="D37" s="18" t="s">
        <v>33</v>
      </c>
      <c r="E37" s="18" t="s">
        <v>22</v>
      </c>
      <c r="F37" s="100">
        <f>COUNTIF(C37:E47,"* ضد *")</f>
        <v>24</v>
      </c>
      <c r="G37" s="100">
        <f>F37*2/'ملخص البطولات'!$A$8</f>
        <v>4</v>
      </c>
      <c r="H37" s="8"/>
      <c r="I37" s="8"/>
      <c r="J37" s="8"/>
      <c r="K37" s="8"/>
      <c r="L37" s="8"/>
      <c r="M37" s="8"/>
      <c r="O37" s="2"/>
    </row>
    <row r="38" spans="1:15">
      <c r="A38" s="101"/>
      <c r="B38"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38" s="18" t="s">
        <v>66</v>
      </c>
      <c r="D38" s="18" t="s">
        <v>30</v>
      </c>
      <c r="E38" s="18" t="s">
        <v>74</v>
      </c>
      <c r="F38" s="100"/>
      <c r="G38" s="100"/>
      <c r="H38" s="8"/>
      <c r="I38" s="8"/>
      <c r="J38" s="8"/>
      <c r="K38" s="8"/>
      <c r="L38" s="8"/>
      <c r="M38" s="8"/>
      <c r="O38" s="2"/>
    </row>
    <row r="39" spans="1:15" ht="14.5" customHeight="1">
      <c r="A39" s="101"/>
      <c r="B39"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39" s="18" t="s">
        <v>56</v>
      </c>
      <c r="D39" s="18" t="s">
        <v>55</v>
      </c>
      <c r="E39" s="18"/>
      <c r="F39" s="100"/>
      <c r="G39" s="100"/>
      <c r="H39" s="8"/>
      <c r="I39" s="8"/>
      <c r="J39" s="8"/>
      <c r="K39" s="8"/>
      <c r="L39" s="8"/>
      <c r="M39" s="8"/>
      <c r="O39" s="2"/>
    </row>
    <row r="40" spans="1:15">
      <c r="A40" s="101"/>
      <c r="B40"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40" s="18" t="s">
        <v>53</v>
      </c>
      <c r="D40" s="18" t="s">
        <v>60</v>
      </c>
      <c r="E40" s="18" t="s">
        <v>59</v>
      </c>
      <c r="F40" s="100"/>
      <c r="G40" s="100"/>
      <c r="H40" s="8"/>
      <c r="I40" s="8"/>
      <c r="J40" s="8"/>
      <c r="K40" s="8"/>
      <c r="L40" s="8"/>
      <c r="M40" s="8"/>
      <c r="O40" s="2"/>
    </row>
    <row r="41" spans="1:15">
      <c r="A41" s="101"/>
      <c r="B41"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41" s="18" t="s">
        <v>82</v>
      </c>
      <c r="D41" s="18" t="s">
        <v>81</v>
      </c>
      <c r="E41" s="18"/>
      <c r="F41" s="100"/>
      <c r="G41" s="100"/>
      <c r="H41" s="8"/>
      <c r="I41" s="8"/>
      <c r="J41" s="8"/>
      <c r="K41" s="8"/>
      <c r="L41" s="8"/>
      <c r="M41" s="8"/>
      <c r="O41" s="2"/>
    </row>
    <row r="42" spans="1:15" ht="14.5" customHeight="1">
      <c r="A42" s="101"/>
      <c r="B42"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42" s="18" t="s">
        <v>83</v>
      </c>
      <c r="D42" s="18" t="s">
        <v>85</v>
      </c>
      <c r="E42" s="18" t="s">
        <v>71</v>
      </c>
      <c r="F42" s="100"/>
      <c r="G42" s="100"/>
      <c r="H42" s="8"/>
      <c r="I42" s="8"/>
      <c r="J42" s="8"/>
      <c r="K42" s="8"/>
      <c r="L42" s="8"/>
      <c r="M42" s="8"/>
      <c r="O42" s="2"/>
    </row>
    <row r="43" spans="1:15">
      <c r="A43" s="101"/>
      <c r="B43"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43" s="18" t="s">
        <v>37</v>
      </c>
      <c r="D43" s="18" t="s">
        <v>44</v>
      </c>
      <c r="E43" s="18"/>
      <c r="F43" s="100"/>
      <c r="G43" s="100"/>
      <c r="H43" s="8"/>
      <c r="I43" s="8"/>
      <c r="J43" s="8"/>
      <c r="K43" s="8"/>
      <c r="L43" s="8"/>
      <c r="M43" s="8"/>
      <c r="O43" s="2"/>
    </row>
    <row r="44" spans="1:15">
      <c r="A44" s="101"/>
      <c r="B44"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44" s="18" t="s">
        <v>76</v>
      </c>
      <c r="D44" s="18" t="s">
        <v>23</v>
      </c>
      <c r="E44" s="18" t="s">
        <v>51</v>
      </c>
      <c r="F44" s="100"/>
      <c r="G44" s="100"/>
      <c r="H44" s="8"/>
      <c r="I44" s="8"/>
      <c r="J44" s="8"/>
      <c r="K44" s="8"/>
      <c r="L44" s="8"/>
      <c r="M44" s="8"/>
      <c r="O44" s="2"/>
    </row>
    <row r="45" spans="1:15">
      <c r="A45" s="101"/>
      <c r="B45"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45" s="18" t="s">
        <v>61</v>
      </c>
      <c r="D45" s="18" t="s">
        <v>26</v>
      </c>
      <c r="E45" s="18" t="s">
        <v>20</v>
      </c>
      <c r="F45" s="100"/>
      <c r="G45" s="100"/>
      <c r="H45" s="8"/>
      <c r="I45" s="8"/>
      <c r="J45" s="8"/>
      <c r="K45" s="8"/>
      <c r="L45" s="8"/>
      <c r="M45" s="8"/>
      <c r="O45" s="2"/>
    </row>
    <row r="46" spans="1:15" ht="14.5" customHeight="1">
      <c r="A46" s="101"/>
      <c r="B46" s="17"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46" s="41" t="s">
        <v>264</v>
      </c>
      <c r="D46" s="85"/>
      <c r="E46" s="85"/>
      <c r="F46" s="100"/>
      <c r="G46" s="100"/>
      <c r="H46" s="8"/>
      <c r="I46" s="8"/>
      <c r="J46" s="8"/>
      <c r="K46" s="8"/>
      <c r="L46" s="8"/>
      <c r="M46" s="8"/>
      <c r="O46" s="2"/>
    </row>
    <row r="47" spans="1:15">
      <c r="A47" s="101"/>
      <c r="B47" s="17" t="str">
        <f>MOD(HOUR((المدخلات!$B$4+10*المدخلات!$B$5/1440))-1,12)+1&amp;":"&amp;TEXT(MINUTE((المدخلات!$B$4+10*المدخلات!$B$5/1440)),"00")&amp;"–"&amp;MOD(HOUR((المدخلات!$B$4+10*المدخلات!$B$5/1440+المدخلات!$B$5/1440))-1,12)+1&amp;":"&amp;TEXT(MINUTE((المدخلات!$B$4+10*المدخلات!$B$5/1440+المدخلات!$B$5/1440)),"00")&amp;IF(HOUR((المدخلات!$B$4+10*المدخلات!$B$5/1440))&lt;12," ص"," م")</f>
        <v>7:30–7:45 م</v>
      </c>
      <c r="C47" s="41" t="s">
        <v>264</v>
      </c>
      <c r="D47" s="85"/>
      <c r="E47" s="85"/>
      <c r="F47" s="100"/>
      <c r="G47" s="100"/>
      <c r="H47" s="8"/>
      <c r="I47" s="8"/>
      <c r="J47" s="8"/>
      <c r="K47" s="8"/>
      <c r="L47" s="8"/>
      <c r="M47" s="8"/>
      <c r="O47" s="2"/>
    </row>
    <row r="48" spans="1:15">
      <c r="A48" s="101" t="s">
        <v>9</v>
      </c>
      <c r="B48"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8" s="11" t="s">
        <v>25</v>
      </c>
      <c r="D48" s="11" t="s">
        <v>27</v>
      </c>
      <c r="E48" s="11" t="s">
        <v>54</v>
      </c>
      <c r="F48" s="102">
        <f>COUNTIF(C48:E58,"* ضد *")</f>
        <v>24</v>
      </c>
      <c r="G48" s="102">
        <f>F48*2/'ملخص البطولات'!$A$8</f>
        <v>4</v>
      </c>
      <c r="H48" s="8"/>
      <c r="I48" s="8"/>
      <c r="J48" s="8"/>
      <c r="K48" s="8"/>
      <c r="L48" s="8"/>
      <c r="M48" s="8"/>
      <c r="O48" s="2"/>
    </row>
    <row r="49" spans="1:15">
      <c r="A49" s="101"/>
      <c r="B49"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49" s="11" t="s">
        <v>42</v>
      </c>
      <c r="D49" s="11" t="s">
        <v>77</v>
      </c>
      <c r="E49" s="11" t="s">
        <v>28</v>
      </c>
      <c r="F49" s="102"/>
      <c r="G49" s="102"/>
      <c r="H49" s="8"/>
      <c r="I49" s="8"/>
      <c r="J49" s="8"/>
      <c r="K49" s="8"/>
      <c r="L49" s="8"/>
      <c r="M49" s="8"/>
      <c r="O49" s="2"/>
    </row>
    <row r="50" spans="1:15">
      <c r="A50" s="101"/>
      <c r="B50"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50" s="11" t="s">
        <v>38</v>
      </c>
      <c r="D50" s="11" t="s">
        <v>69</v>
      </c>
      <c r="E50" s="11"/>
      <c r="F50" s="102"/>
      <c r="G50" s="102"/>
      <c r="H50" s="8"/>
      <c r="I50" s="8"/>
      <c r="J50" s="8"/>
      <c r="K50" s="8"/>
      <c r="L50" s="8"/>
      <c r="M50" s="8"/>
      <c r="O50" s="2"/>
    </row>
    <row r="51" spans="1:15">
      <c r="A51" s="101"/>
      <c r="B51"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51" s="11" t="s">
        <v>47</v>
      </c>
      <c r="D51" s="11" t="s">
        <v>24</v>
      </c>
      <c r="E51" s="11" t="s">
        <v>70</v>
      </c>
      <c r="F51" s="102"/>
      <c r="G51" s="102"/>
      <c r="H51" s="8"/>
      <c r="I51" s="8"/>
      <c r="J51" s="8"/>
      <c r="K51" s="8"/>
      <c r="L51" s="8"/>
      <c r="M51" s="8"/>
      <c r="O51" s="2"/>
    </row>
    <row r="52" spans="1:15">
      <c r="A52" s="101"/>
      <c r="B52"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52" s="11" t="s">
        <v>32</v>
      </c>
      <c r="D52" s="11" t="s">
        <v>58</v>
      </c>
      <c r="E52" s="11"/>
      <c r="F52" s="102"/>
      <c r="G52" s="102"/>
      <c r="H52" s="8"/>
      <c r="I52" s="8"/>
      <c r="J52" s="8"/>
      <c r="K52" s="8"/>
      <c r="L52" s="8"/>
      <c r="M52" s="8"/>
      <c r="O52" s="2"/>
    </row>
    <row r="53" spans="1:15">
      <c r="A53" s="101"/>
      <c r="B53"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53" s="11" t="s">
        <v>46</v>
      </c>
      <c r="D53" s="11" t="s">
        <v>39</v>
      </c>
      <c r="E53" s="11" t="s">
        <v>45</v>
      </c>
      <c r="F53" s="102"/>
      <c r="G53" s="102"/>
      <c r="H53" s="8"/>
      <c r="I53" s="8"/>
      <c r="J53" s="8"/>
      <c r="K53" s="8"/>
      <c r="L53" s="8"/>
      <c r="M53" s="8"/>
      <c r="O53" s="2"/>
    </row>
    <row r="54" spans="1:15">
      <c r="A54" s="101"/>
      <c r="B54"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54" s="11" t="s">
        <v>78</v>
      </c>
      <c r="D54" s="11" t="s">
        <v>40</v>
      </c>
      <c r="E54" s="11"/>
      <c r="F54" s="102"/>
      <c r="G54" s="102"/>
      <c r="H54" s="8"/>
      <c r="I54" s="8"/>
      <c r="J54" s="8"/>
      <c r="K54" s="8"/>
      <c r="L54" s="8"/>
      <c r="M54" s="8"/>
      <c r="O54" s="2"/>
    </row>
    <row r="55" spans="1:15" ht="22" customHeight="1">
      <c r="A55" s="101"/>
      <c r="B55"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55" s="11" t="s">
        <v>31</v>
      </c>
      <c r="D55" s="11" t="s">
        <v>29</v>
      </c>
      <c r="E55" s="11" t="s">
        <v>80</v>
      </c>
      <c r="F55" s="102"/>
      <c r="G55" s="102"/>
      <c r="H55" s="8"/>
      <c r="I55" s="8"/>
      <c r="J55" s="8"/>
      <c r="K55" s="8"/>
      <c r="L55" s="8"/>
      <c r="M55" s="8"/>
      <c r="O55" s="2"/>
    </row>
    <row r="56" spans="1:15">
      <c r="A56" s="101"/>
      <c r="B56"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56" s="11" t="s">
        <v>41</v>
      </c>
      <c r="D56" s="11" t="s">
        <v>57</v>
      </c>
      <c r="E56" s="11" t="s">
        <v>49</v>
      </c>
      <c r="F56" s="102"/>
      <c r="G56" s="102"/>
      <c r="H56" s="8"/>
      <c r="I56" s="8"/>
      <c r="J56" s="8"/>
      <c r="K56" s="8"/>
      <c r="L56" s="8"/>
      <c r="M56" s="8"/>
      <c r="O56" s="2"/>
    </row>
    <row r="57" spans="1:15">
      <c r="A57" s="101"/>
      <c r="B57" s="1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57" s="41" t="s">
        <v>264</v>
      </c>
      <c r="D57" s="85"/>
      <c r="E57" s="85"/>
      <c r="F57" s="102"/>
      <c r="G57" s="102"/>
      <c r="H57" s="8"/>
      <c r="I57" s="8"/>
      <c r="J57" s="8"/>
      <c r="K57" s="8"/>
      <c r="L57" s="8"/>
      <c r="M57" s="8"/>
      <c r="O57" s="2"/>
    </row>
    <row r="58" spans="1:15">
      <c r="A58" s="101"/>
      <c r="B58" s="16" t="str">
        <f>MOD(HOUR((المدخلات!$B$4+10*المدخلات!$B$5/1440))-1,12)+1&amp;":"&amp;TEXT(MINUTE((المدخلات!$B$4+10*المدخلات!$B$5/1440)),"00")&amp;"–"&amp;MOD(HOUR((المدخلات!$B$4+10*المدخلات!$B$5/1440+المدخلات!$B$5/1440))-1,12)+1&amp;":"&amp;TEXT(MINUTE((المدخلات!$B$4+10*المدخلات!$B$5/1440+المدخلات!$B$5/1440)),"00")&amp;IF(HOUR((المدخلات!$B$4+10*المدخلات!$B$5/1440))&lt;12," ص"," م")</f>
        <v>7:30–7:45 م</v>
      </c>
      <c r="C58" s="41" t="s">
        <v>264</v>
      </c>
      <c r="D58" s="85"/>
      <c r="E58" s="85"/>
      <c r="F58" s="102"/>
      <c r="G58" s="102"/>
      <c r="H58" s="8"/>
      <c r="I58" s="8"/>
      <c r="J58" s="8"/>
      <c r="K58" s="8"/>
      <c r="L58" s="8"/>
      <c r="M58" s="8"/>
      <c r="O58" s="2"/>
    </row>
    <row r="59" spans="1:15">
      <c r="A59" s="101" t="s">
        <v>10</v>
      </c>
      <c r="B59"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59" s="18" t="s">
        <v>51</v>
      </c>
      <c r="D59" s="18" t="s">
        <v>61</v>
      </c>
      <c r="E59" s="18" t="s">
        <v>20</v>
      </c>
      <c r="F59" s="100">
        <f>COUNTIF(C59:E69,"* ضد *")</f>
        <v>24</v>
      </c>
      <c r="G59" s="100">
        <f>F59*2/'ملخص البطولات'!$A$8</f>
        <v>4</v>
      </c>
      <c r="H59" s="8"/>
      <c r="I59" s="8"/>
      <c r="J59" s="8"/>
      <c r="K59" s="8"/>
      <c r="L59" s="8"/>
      <c r="M59" s="8"/>
      <c r="O59" s="2"/>
    </row>
    <row r="60" spans="1:15">
      <c r="A60" s="101"/>
      <c r="B60"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60" s="18" t="s">
        <v>23</v>
      </c>
      <c r="D60" s="18" t="s">
        <v>26</v>
      </c>
      <c r="E60" s="18" t="s">
        <v>76</v>
      </c>
      <c r="F60" s="100"/>
      <c r="G60" s="100"/>
      <c r="H60" s="8"/>
      <c r="I60" s="8"/>
      <c r="J60" s="8"/>
      <c r="K60" s="8"/>
      <c r="L60" s="8"/>
      <c r="M60" s="8"/>
      <c r="O60" s="2"/>
    </row>
    <row r="61" spans="1:15">
      <c r="A61" s="101"/>
      <c r="B61"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1" s="18" t="s">
        <v>34</v>
      </c>
      <c r="D61" s="18" t="s">
        <v>63</v>
      </c>
      <c r="E61" s="18"/>
      <c r="F61" s="100"/>
      <c r="G61" s="100"/>
      <c r="H61" s="8"/>
      <c r="I61" s="8"/>
      <c r="J61" s="8"/>
      <c r="K61" s="8"/>
      <c r="L61" s="8"/>
      <c r="M61" s="8"/>
      <c r="O61" s="2"/>
    </row>
    <row r="62" spans="1:15">
      <c r="A62" s="101"/>
      <c r="B62"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62" s="18" t="s">
        <v>67</v>
      </c>
      <c r="D62" s="18" t="s">
        <v>36</v>
      </c>
      <c r="E62" s="18" t="s">
        <v>35</v>
      </c>
      <c r="F62" s="100"/>
      <c r="G62" s="100"/>
      <c r="H62" s="8"/>
      <c r="I62" s="8"/>
      <c r="J62" s="8"/>
      <c r="K62" s="8"/>
      <c r="L62" s="8"/>
      <c r="M62" s="8"/>
      <c r="O62" s="2"/>
    </row>
    <row r="63" spans="1:15">
      <c r="A63" s="101"/>
      <c r="B63"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63" s="18" t="s">
        <v>68</v>
      </c>
      <c r="D63" s="18" t="s">
        <v>64</v>
      </c>
      <c r="E63" s="18"/>
      <c r="F63" s="100"/>
      <c r="G63" s="100"/>
      <c r="H63" s="8"/>
      <c r="I63" s="8"/>
      <c r="J63" s="8"/>
      <c r="K63" s="8"/>
      <c r="L63" s="8"/>
      <c r="M63" s="8"/>
      <c r="O63" s="2"/>
    </row>
    <row r="64" spans="1:15">
      <c r="A64" s="101"/>
      <c r="B64"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64" s="18" t="s">
        <v>48</v>
      </c>
      <c r="D64" s="18" t="s">
        <v>50</v>
      </c>
      <c r="E64" s="18" t="s">
        <v>65</v>
      </c>
      <c r="F64" s="100"/>
      <c r="G64" s="100"/>
      <c r="H64" s="8"/>
      <c r="I64" s="8"/>
      <c r="J64" s="8"/>
      <c r="K64" s="8"/>
      <c r="L64" s="8"/>
      <c r="M64" s="8"/>
      <c r="O64" s="2"/>
    </row>
    <row r="65" spans="1:15">
      <c r="A65" s="101"/>
      <c r="B65"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65" s="18" t="s">
        <v>21</v>
      </c>
      <c r="D65" s="18" t="s">
        <v>43</v>
      </c>
      <c r="E65" s="18"/>
      <c r="F65" s="100"/>
      <c r="G65" s="100"/>
      <c r="H65" s="8"/>
      <c r="I65" s="8"/>
      <c r="J65" s="8"/>
      <c r="K65" s="8"/>
      <c r="L65" s="8"/>
      <c r="M65" s="8"/>
      <c r="O65" s="2"/>
    </row>
    <row r="66" spans="1:15">
      <c r="A66" s="101"/>
      <c r="B66"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66" s="18" t="s">
        <v>84</v>
      </c>
      <c r="D66" s="18" t="s">
        <v>52</v>
      </c>
      <c r="E66" s="18" t="s">
        <v>75</v>
      </c>
      <c r="F66" s="100"/>
      <c r="G66" s="100"/>
      <c r="H66" s="8"/>
      <c r="I66" s="8"/>
      <c r="J66" s="8"/>
      <c r="K66" s="8"/>
      <c r="L66" s="8"/>
      <c r="M66" s="8"/>
      <c r="O66" s="2"/>
    </row>
    <row r="67" spans="1:15">
      <c r="A67" s="101"/>
      <c r="B67"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67" s="18" t="s">
        <v>79</v>
      </c>
      <c r="D67" s="18" t="s">
        <v>62</v>
      </c>
      <c r="E67" s="18" t="s">
        <v>72</v>
      </c>
      <c r="F67" s="100"/>
      <c r="G67" s="100"/>
      <c r="H67" s="8"/>
      <c r="I67" s="8"/>
      <c r="J67" s="8"/>
      <c r="K67" s="8"/>
      <c r="L67" s="8"/>
      <c r="M67" s="8"/>
      <c r="O67" s="2"/>
    </row>
    <row r="68" spans="1:15">
      <c r="A68" s="101"/>
      <c r="B68" s="17"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68" s="41" t="s">
        <v>264</v>
      </c>
      <c r="D68" s="85"/>
      <c r="E68" s="85"/>
      <c r="F68" s="100"/>
      <c r="G68" s="100"/>
      <c r="H68" s="8"/>
      <c r="I68" s="8"/>
      <c r="J68" s="8"/>
      <c r="K68" s="8"/>
      <c r="L68" s="8"/>
      <c r="M68" s="8"/>
      <c r="O68" s="2"/>
    </row>
    <row r="69" spans="1:15">
      <c r="A69" s="101"/>
      <c r="B69" s="17" t="str">
        <f>MOD(HOUR((المدخلات!$B$4+10*المدخلات!$B$5/1440))-1,12)+1&amp;":"&amp;TEXT(MINUTE((المدخلات!$B$4+10*المدخلات!$B$5/1440)),"00")&amp;"–"&amp;MOD(HOUR((المدخلات!$B$4+10*المدخلات!$B$5/1440+المدخلات!$B$5/1440))-1,12)+1&amp;":"&amp;TEXT(MINUTE((المدخلات!$B$4+10*المدخلات!$B$5/1440+المدخلات!$B$5/1440)),"00")&amp;IF(HOUR((المدخلات!$B$4+10*المدخلات!$B$5/1440))&lt;12," ص"," م")</f>
        <v>7:30–7:45 م</v>
      </c>
      <c r="C69" s="41" t="s">
        <v>264</v>
      </c>
      <c r="D69" s="85"/>
      <c r="E69" s="85"/>
      <c r="F69" s="100"/>
      <c r="G69" s="100"/>
      <c r="H69" s="8"/>
      <c r="I69" s="8"/>
      <c r="J69" s="8"/>
      <c r="K69" s="8"/>
      <c r="L69" s="8"/>
      <c r="M69" s="8"/>
      <c r="O69" s="2"/>
    </row>
    <row r="70" spans="1:15">
      <c r="A70" s="101" t="s">
        <v>11</v>
      </c>
      <c r="B70"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70" s="11" t="s">
        <v>44</v>
      </c>
      <c r="D70" s="11" t="s">
        <v>37</v>
      </c>
      <c r="E70" s="11" t="s">
        <v>71</v>
      </c>
      <c r="F70" s="102">
        <f>COUNTIF(C70:E80,"* ضد *")</f>
        <v>24</v>
      </c>
      <c r="G70" s="102">
        <f>F70*2/'ملخص البطولات'!$A$8</f>
        <v>4</v>
      </c>
      <c r="H70" s="8"/>
      <c r="I70" s="8"/>
      <c r="J70" s="8"/>
      <c r="K70" s="8"/>
      <c r="L70" s="8"/>
      <c r="M70" s="8"/>
      <c r="O70" s="2"/>
    </row>
    <row r="71" spans="1:15">
      <c r="A71" s="101"/>
      <c r="B71"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71" s="11" t="s">
        <v>85</v>
      </c>
      <c r="D71" s="11" t="s">
        <v>83</v>
      </c>
      <c r="E71" s="11" t="s">
        <v>82</v>
      </c>
      <c r="F71" s="102"/>
      <c r="G71" s="102"/>
      <c r="H71" s="8"/>
      <c r="I71" s="8"/>
      <c r="J71" s="8"/>
      <c r="K71" s="8"/>
      <c r="L71" s="8"/>
      <c r="M71" s="8"/>
      <c r="O71" s="2"/>
    </row>
    <row r="72" spans="1:15">
      <c r="A72" s="101"/>
      <c r="B72"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72" s="11" t="s">
        <v>81</v>
      </c>
      <c r="D72" s="11" t="s">
        <v>53</v>
      </c>
      <c r="E72" s="11"/>
      <c r="F72" s="102"/>
      <c r="G72" s="102"/>
      <c r="H72" s="8"/>
      <c r="I72" s="8"/>
      <c r="J72" s="8"/>
      <c r="K72" s="8"/>
      <c r="L72" s="8"/>
      <c r="M72" s="8"/>
      <c r="O72" s="2"/>
    </row>
    <row r="73" spans="1:15">
      <c r="A73" s="101"/>
      <c r="B73"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73" s="11" t="s">
        <v>59</v>
      </c>
      <c r="D73" s="11" t="s">
        <v>60</v>
      </c>
      <c r="E73" s="11" t="s">
        <v>55</v>
      </c>
      <c r="F73" s="102"/>
      <c r="G73" s="102"/>
      <c r="H73" s="8"/>
      <c r="I73" s="8"/>
      <c r="J73" s="8"/>
      <c r="K73" s="8"/>
      <c r="L73" s="8"/>
      <c r="M73" s="8"/>
      <c r="O73" s="2"/>
    </row>
    <row r="74" spans="1:15">
      <c r="A74" s="101"/>
      <c r="B74"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74" s="11" t="s">
        <v>56</v>
      </c>
      <c r="D74" s="11" t="s">
        <v>66</v>
      </c>
      <c r="E74" s="11"/>
      <c r="F74" s="102"/>
      <c r="G74" s="102"/>
      <c r="H74" s="8"/>
      <c r="I74" s="8"/>
      <c r="J74" s="8"/>
      <c r="K74" s="8"/>
      <c r="L74" s="8"/>
      <c r="M74" s="8"/>
      <c r="O74" s="2"/>
    </row>
    <row r="75" spans="1:15">
      <c r="A75" s="101"/>
      <c r="B75"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75" s="11" t="s">
        <v>74</v>
      </c>
      <c r="D75" s="11" t="s">
        <v>30</v>
      </c>
      <c r="E75" s="11" t="s">
        <v>73</v>
      </c>
      <c r="F75" s="102"/>
      <c r="G75" s="102"/>
      <c r="H75" s="8"/>
      <c r="I75" s="8"/>
      <c r="J75" s="8"/>
      <c r="K75" s="8"/>
      <c r="L75" s="8"/>
      <c r="M75" s="8"/>
      <c r="O75" s="2"/>
    </row>
    <row r="76" spans="1:15">
      <c r="A76" s="101"/>
      <c r="B76"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76" s="11" t="s">
        <v>33</v>
      </c>
      <c r="D76" s="11" t="s">
        <v>22</v>
      </c>
      <c r="E76" s="11"/>
      <c r="F76" s="102"/>
      <c r="G76" s="102"/>
      <c r="H76" s="8"/>
      <c r="I76" s="8"/>
      <c r="J76" s="8"/>
      <c r="K76" s="8"/>
      <c r="L76" s="8"/>
      <c r="M76" s="8"/>
      <c r="O76" s="2"/>
    </row>
    <row r="77" spans="1:15">
      <c r="A77" s="101"/>
      <c r="B77"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77" s="11" t="s">
        <v>25</v>
      </c>
      <c r="D77" s="11" t="s">
        <v>54</v>
      </c>
      <c r="E77" s="11" t="s">
        <v>27</v>
      </c>
      <c r="F77" s="102"/>
      <c r="G77" s="102"/>
      <c r="H77" s="12"/>
      <c r="I77" s="13"/>
      <c r="J77" s="13"/>
      <c r="K77" s="13"/>
      <c r="L77" s="13"/>
      <c r="M77" s="13"/>
      <c r="N77" s="2"/>
      <c r="O77" s="2"/>
    </row>
    <row r="78" spans="1:15">
      <c r="A78" s="101"/>
      <c r="B78"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78" s="11" t="s">
        <v>28</v>
      </c>
      <c r="D78" s="11" t="s">
        <v>77</v>
      </c>
      <c r="E78" s="11" t="s">
        <v>42</v>
      </c>
      <c r="F78" s="102"/>
      <c r="G78" s="102"/>
      <c r="H78" s="26"/>
      <c r="I78" s="8"/>
      <c r="J78" s="8"/>
      <c r="K78" s="8"/>
      <c r="L78" s="8"/>
      <c r="M78" s="8"/>
    </row>
    <row r="79" spans="1:15">
      <c r="A79" s="101"/>
      <c r="B79" s="1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79" s="41" t="s">
        <v>264</v>
      </c>
      <c r="D79" s="85"/>
      <c r="E79" s="85"/>
      <c r="F79" s="102"/>
      <c r="G79" s="102"/>
      <c r="H79" s="26"/>
      <c r="I79" s="8"/>
      <c r="J79" s="8"/>
      <c r="K79" s="8"/>
      <c r="L79" s="8"/>
      <c r="M79" s="8"/>
    </row>
    <row r="80" spans="1:15">
      <c r="A80" s="101"/>
      <c r="B80" s="16" t="str">
        <f>MOD(HOUR((المدخلات!$B$4+10*المدخلات!$B$5/1440))-1,12)+1&amp;":"&amp;TEXT(MINUTE((المدخلات!$B$4+10*المدخلات!$B$5/1440)),"00")&amp;"–"&amp;MOD(HOUR((المدخلات!$B$4+10*المدخلات!$B$5/1440+المدخلات!$B$5/1440))-1,12)+1&amp;":"&amp;TEXT(MINUTE((المدخلات!$B$4+10*المدخلات!$B$5/1440+المدخلات!$B$5/1440)),"00")&amp;IF(HOUR((المدخلات!$B$4+10*المدخلات!$B$5/1440))&lt;12," ص"," م")</f>
        <v>7:30–7:45 م</v>
      </c>
      <c r="C80" s="41" t="s">
        <v>264</v>
      </c>
      <c r="D80" s="85"/>
      <c r="E80" s="85"/>
      <c r="F80" s="102"/>
      <c r="G80" s="102"/>
      <c r="H80" s="26"/>
      <c r="I80" s="8"/>
      <c r="J80" s="8"/>
      <c r="K80" s="8"/>
      <c r="L80" s="8"/>
      <c r="M80" s="8"/>
    </row>
    <row r="81" spans="1:13">
      <c r="A81" s="8"/>
      <c r="B81" s="8"/>
      <c r="C81" s="8"/>
      <c r="D81" s="8"/>
      <c r="E81" s="8"/>
      <c r="F81" s="8"/>
      <c r="G81" s="8"/>
      <c r="H81" s="26"/>
      <c r="I81" s="8"/>
      <c r="J81" s="8"/>
      <c r="K81" s="8"/>
      <c r="L81" s="8"/>
      <c r="M81" s="8"/>
    </row>
    <row r="82" spans="1:13">
      <c r="A82" s="8"/>
      <c r="B82" s="8"/>
      <c r="C82" s="8"/>
      <c r="D82" s="8"/>
      <c r="E82" s="8"/>
      <c r="F82" s="8"/>
      <c r="G82" s="8"/>
      <c r="H82" s="26"/>
      <c r="I82" s="8"/>
      <c r="J82" s="8"/>
      <c r="K82" s="8"/>
      <c r="L82" s="8"/>
      <c r="M82" s="8"/>
    </row>
    <row r="83" spans="1:13">
      <c r="A83" s="103" t="s">
        <v>271</v>
      </c>
      <c r="B83" s="99"/>
      <c r="C83" s="99"/>
      <c r="D83" s="99"/>
      <c r="E83" s="99"/>
      <c r="F83" s="99"/>
      <c r="G83" s="99"/>
      <c r="H83" s="99"/>
      <c r="I83" s="99"/>
      <c r="J83" s="99"/>
      <c r="K83" s="99"/>
      <c r="L83" s="99"/>
      <c r="M83" s="99"/>
    </row>
    <row r="84" spans="1:13">
      <c r="A84" s="10" t="s">
        <v>272</v>
      </c>
      <c r="B84" s="10">
        <v>1</v>
      </c>
      <c r="C84" s="10">
        <v>2</v>
      </c>
      <c r="D84" s="10">
        <v>3</v>
      </c>
      <c r="E84" s="10">
        <v>4</v>
      </c>
      <c r="F84" s="10">
        <v>5</v>
      </c>
      <c r="G84" s="10">
        <v>6</v>
      </c>
      <c r="H84" s="10">
        <v>7</v>
      </c>
      <c r="I84" s="10">
        <v>8</v>
      </c>
      <c r="J84" s="10">
        <v>9</v>
      </c>
      <c r="K84" s="10">
        <v>10</v>
      </c>
      <c r="L84" s="10">
        <v>11</v>
      </c>
      <c r="M84" s="10">
        <v>12</v>
      </c>
    </row>
    <row r="85" spans="1:13">
      <c r="A85" s="10">
        <v>1</v>
      </c>
      <c r="B85" s="11" t="str">
        <f t="shared" ref="B85:M96" si="0">IF($A85=B$84,"",COUNTIF($C$4:$E$80,$A85&amp;" ضد "&amp;B$84)+COUNTIF($C$4:$E$80,B$84&amp;" ضد "&amp;$A85))</f>
        <v/>
      </c>
      <c r="C85" s="11">
        <f t="shared" si="0"/>
        <v>2</v>
      </c>
      <c r="D85" s="11">
        <f t="shared" si="0"/>
        <v>3</v>
      </c>
      <c r="E85" s="11">
        <f t="shared" si="0"/>
        <v>2</v>
      </c>
      <c r="F85" s="11">
        <f t="shared" si="0"/>
        <v>3</v>
      </c>
      <c r="G85" s="11">
        <f t="shared" si="0"/>
        <v>2</v>
      </c>
      <c r="H85" s="11">
        <f t="shared" si="0"/>
        <v>3</v>
      </c>
      <c r="I85" s="11">
        <f t="shared" si="0"/>
        <v>2</v>
      </c>
      <c r="J85" s="11">
        <f t="shared" si="0"/>
        <v>3</v>
      </c>
      <c r="K85" s="11">
        <f t="shared" si="0"/>
        <v>2</v>
      </c>
      <c r="L85" s="11">
        <f t="shared" si="0"/>
        <v>3</v>
      </c>
      <c r="M85" s="11">
        <f t="shared" si="0"/>
        <v>3</v>
      </c>
    </row>
    <row r="86" spans="1:13">
      <c r="A86" s="10">
        <v>2</v>
      </c>
      <c r="B86" s="11">
        <f t="shared" si="0"/>
        <v>2</v>
      </c>
      <c r="C86" s="11" t="str">
        <f t="shared" si="0"/>
        <v/>
      </c>
      <c r="D86" s="11">
        <f t="shared" si="0"/>
        <v>2</v>
      </c>
      <c r="E86" s="11">
        <f t="shared" si="0"/>
        <v>3</v>
      </c>
      <c r="F86" s="11">
        <f t="shared" si="0"/>
        <v>2</v>
      </c>
      <c r="G86" s="11">
        <f t="shared" si="0"/>
        <v>3</v>
      </c>
      <c r="H86" s="11">
        <f t="shared" si="0"/>
        <v>2</v>
      </c>
      <c r="I86" s="11">
        <f t="shared" si="0"/>
        <v>3</v>
      </c>
      <c r="J86" s="11">
        <f t="shared" si="0"/>
        <v>2</v>
      </c>
      <c r="K86" s="11">
        <f t="shared" si="0"/>
        <v>3</v>
      </c>
      <c r="L86" s="11">
        <f t="shared" si="0"/>
        <v>3</v>
      </c>
      <c r="M86" s="11">
        <f t="shared" si="0"/>
        <v>3</v>
      </c>
    </row>
    <row r="87" spans="1:13">
      <c r="A87" s="10">
        <v>3</v>
      </c>
      <c r="B87" s="11">
        <f t="shared" si="0"/>
        <v>3</v>
      </c>
      <c r="C87" s="11">
        <f t="shared" si="0"/>
        <v>2</v>
      </c>
      <c r="D87" s="11" t="str">
        <f t="shared" si="0"/>
        <v/>
      </c>
      <c r="E87" s="11">
        <f t="shared" si="0"/>
        <v>2</v>
      </c>
      <c r="F87" s="11">
        <f t="shared" si="0"/>
        <v>3</v>
      </c>
      <c r="G87" s="11">
        <f t="shared" si="0"/>
        <v>2</v>
      </c>
      <c r="H87" s="11">
        <f t="shared" si="0"/>
        <v>3</v>
      </c>
      <c r="I87" s="11">
        <f t="shared" si="0"/>
        <v>2</v>
      </c>
      <c r="J87" s="11">
        <f t="shared" si="0"/>
        <v>3</v>
      </c>
      <c r="K87" s="11">
        <f t="shared" si="0"/>
        <v>3</v>
      </c>
      <c r="L87" s="11">
        <f t="shared" si="0"/>
        <v>2</v>
      </c>
      <c r="M87" s="11">
        <f t="shared" si="0"/>
        <v>3</v>
      </c>
    </row>
    <row r="88" spans="1:13">
      <c r="A88" s="10">
        <v>4</v>
      </c>
      <c r="B88" s="11">
        <f t="shared" si="0"/>
        <v>2</v>
      </c>
      <c r="C88" s="11">
        <f t="shared" si="0"/>
        <v>3</v>
      </c>
      <c r="D88" s="11">
        <f t="shared" si="0"/>
        <v>2</v>
      </c>
      <c r="E88" s="11" t="str">
        <f t="shared" si="0"/>
        <v/>
      </c>
      <c r="F88" s="11">
        <f t="shared" si="0"/>
        <v>2</v>
      </c>
      <c r="G88" s="11">
        <f t="shared" si="0"/>
        <v>3</v>
      </c>
      <c r="H88" s="11">
        <f t="shared" si="0"/>
        <v>2</v>
      </c>
      <c r="I88" s="11">
        <f t="shared" si="0"/>
        <v>3</v>
      </c>
      <c r="J88" s="11">
        <f t="shared" si="0"/>
        <v>3</v>
      </c>
      <c r="K88" s="11">
        <f t="shared" si="0"/>
        <v>2</v>
      </c>
      <c r="L88" s="11">
        <f t="shared" si="0"/>
        <v>3</v>
      </c>
      <c r="M88" s="11">
        <f t="shared" si="0"/>
        <v>3</v>
      </c>
    </row>
    <row r="89" spans="1:13">
      <c r="A89" s="10">
        <v>5</v>
      </c>
      <c r="B89" s="11">
        <f t="shared" si="0"/>
        <v>3</v>
      </c>
      <c r="C89" s="11">
        <f t="shared" si="0"/>
        <v>2</v>
      </c>
      <c r="D89" s="11">
        <f t="shared" si="0"/>
        <v>3</v>
      </c>
      <c r="E89" s="11">
        <f t="shared" si="0"/>
        <v>2</v>
      </c>
      <c r="F89" s="11" t="str">
        <f t="shared" si="0"/>
        <v/>
      </c>
      <c r="G89" s="11">
        <f t="shared" si="0"/>
        <v>2</v>
      </c>
      <c r="H89" s="11">
        <f t="shared" si="0"/>
        <v>3</v>
      </c>
      <c r="I89" s="11">
        <f t="shared" si="0"/>
        <v>3</v>
      </c>
      <c r="J89" s="11">
        <f t="shared" si="0"/>
        <v>2</v>
      </c>
      <c r="K89" s="11">
        <f t="shared" si="0"/>
        <v>3</v>
      </c>
      <c r="L89" s="11">
        <f t="shared" si="0"/>
        <v>2</v>
      </c>
      <c r="M89" s="11">
        <f t="shared" si="0"/>
        <v>3</v>
      </c>
    </row>
    <row r="90" spans="1:13">
      <c r="A90" s="10">
        <v>6</v>
      </c>
      <c r="B90" s="11">
        <f t="shared" si="0"/>
        <v>2</v>
      </c>
      <c r="C90" s="11">
        <f t="shared" si="0"/>
        <v>3</v>
      </c>
      <c r="D90" s="11">
        <f t="shared" si="0"/>
        <v>2</v>
      </c>
      <c r="E90" s="11">
        <f t="shared" si="0"/>
        <v>3</v>
      </c>
      <c r="F90" s="11">
        <f t="shared" si="0"/>
        <v>2</v>
      </c>
      <c r="G90" s="11" t="str">
        <f t="shared" si="0"/>
        <v/>
      </c>
      <c r="H90" s="11">
        <f t="shared" si="0"/>
        <v>3</v>
      </c>
      <c r="I90" s="11">
        <f t="shared" si="0"/>
        <v>2</v>
      </c>
      <c r="J90" s="11">
        <f t="shared" si="0"/>
        <v>3</v>
      </c>
      <c r="K90" s="11">
        <f t="shared" si="0"/>
        <v>2</v>
      </c>
      <c r="L90" s="11">
        <f t="shared" si="0"/>
        <v>3</v>
      </c>
      <c r="M90" s="11">
        <f t="shared" si="0"/>
        <v>3</v>
      </c>
    </row>
    <row r="91" spans="1:13">
      <c r="A91" s="10">
        <v>7</v>
      </c>
      <c r="B91" s="11">
        <f t="shared" si="0"/>
        <v>3</v>
      </c>
      <c r="C91" s="11">
        <f t="shared" si="0"/>
        <v>2</v>
      </c>
      <c r="D91" s="11">
        <f t="shared" si="0"/>
        <v>3</v>
      </c>
      <c r="E91" s="11">
        <f t="shared" si="0"/>
        <v>2</v>
      </c>
      <c r="F91" s="11">
        <f t="shared" si="0"/>
        <v>3</v>
      </c>
      <c r="G91" s="11">
        <f t="shared" si="0"/>
        <v>3</v>
      </c>
      <c r="H91" s="11" t="str">
        <f t="shared" si="0"/>
        <v/>
      </c>
      <c r="I91" s="11">
        <f t="shared" si="0"/>
        <v>3</v>
      </c>
      <c r="J91" s="11">
        <f t="shared" si="0"/>
        <v>2</v>
      </c>
      <c r="K91" s="11">
        <f t="shared" si="0"/>
        <v>3</v>
      </c>
      <c r="L91" s="11">
        <f t="shared" si="0"/>
        <v>2</v>
      </c>
      <c r="M91" s="11">
        <f t="shared" si="0"/>
        <v>2</v>
      </c>
    </row>
    <row r="92" spans="1:13">
      <c r="A92" s="10">
        <v>8</v>
      </c>
      <c r="B92" s="11">
        <f t="shared" si="0"/>
        <v>2</v>
      </c>
      <c r="C92" s="11">
        <f t="shared" si="0"/>
        <v>3</v>
      </c>
      <c r="D92" s="11">
        <f t="shared" si="0"/>
        <v>2</v>
      </c>
      <c r="E92" s="11">
        <f t="shared" si="0"/>
        <v>3</v>
      </c>
      <c r="F92" s="11">
        <f t="shared" si="0"/>
        <v>3</v>
      </c>
      <c r="G92" s="11">
        <f t="shared" si="0"/>
        <v>2</v>
      </c>
      <c r="H92" s="11">
        <f t="shared" si="0"/>
        <v>3</v>
      </c>
      <c r="I92" s="11" t="str">
        <f t="shared" si="0"/>
        <v/>
      </c>
      <c r="J92" s="11">
        <f t="shared" si="0"/>
        <v>3</v>
      </c>
      <c r="K92" s="11">
        <f t="shared" si="0"/>
        <v>2</v>
      </c>
      <c r="L92" s="11">
        <f t="shared" si="0"/>
        <v>3</v>
      </c>
      <c r="M92" s="11">
        <f t="shared" si="0"/>
        <v>2</v>
      </c>
    </row>
    <row r="93" spans="1:13">
      <c r="A93" s="10">
        <v>9</v>
      </c>
      <c r="B93" s="11">
        <f t="shared" si="0"/>
        <v>3</v>
      </c>
      <c r="C93" s="11">
        <f t="shared" si="0"/>
        <v>2</v>
      </c>
      <c r="D93" s="11">
        <f t="shared" si="0"/>
        <v>3</v>
      </c>
      <c r="E93" s="11">
        <f t="shared" si="0"/>
        <v>3</v>
      </c>
      <c r="F93" s="11">
        <f t="shared" si="0"/>
        <v>2</v>
      </c>
      <c r="G93" s="11">
        <f t="shared" si="0"/>
        <v>3</v>
      </c>
      <c r="H93" s="11">
        <f t="shared" si="0"/>
        <v>2</v>
      </c>
      <c r="I93" s="11">
        <f t="shared" si="0"/>
        <v>3</v>
      </c>
      <c r="J93" s="11" t="str">
        <f t="shared" si="0"/>
        <v/>
      </c>
      <c r="K93" s="11">
        <f t="shared" si="0"/>
        <v>3</v>
      </c>
      <c r="L93" s="11">
        <f t="shared" si="0"/>
        <v>2</v>
      </c>
      <c r="M93" s="11">
        <f t="shared" si="0"/>
        <v>2</v>
      </c>
    </row>
    <row r="94" spans="1:13">
      <c r="A94" s="10">
        <v>10</v>
      </c>
      <c r="B94" s="11">
        <f t="shared" si="0"/>
        <v>2</v>
      </c>
      <c r="C94" s="11">
        <f t="shared" si="0"/>
        <v>3</v>
      </c>
      <c r="D94" s="11">
        <f t="shared" si="0"/>
        <v>3</v>
      </c>
      <c r="E94" s="11">
        <f t="shared" si="0"/>
        <v>2</v>
      </c>
      <c r="F94" s="11">
        <f t="shared" si="0"/>
        <v>3</v>
      </c>
      <c r="G94" s="11">
        <f t="shared" si="0"/>
        <v>2</v>
      </c>
      <c r="H94" s="11">
        <f t="shared" si="0"/>
        <v>3</v>
      </c>
      <c r="I94" s="11">
        <f t="shared" si="0"/>
        <v>2</v>
      </c>
      <c r="J94" s="11">
        <f t="shared" si="0"/>
        <v>3</v>
      </c>
      <c r="K94" s="11" t="str">
        <f t="shared" si="0"/>
        <v/>
      </c>
      <c r="L94" s="11">
        <f t="shared" si="0"/>
        <v>3</v>
      </c>
      <c r="M94" s="11">
        <f t="shared" si="0"/>
        <v>2</v>
      </c>
    </row>
    <row r="95" spans="1:13">
      <c r="A95" s="10">
        <v>11</v>
      </c>
      <c r="B95" s="11">
        <f t="shared" si="0"/>
        <v>3</v>
      </c>
      <c r="C95" s="11">
        <f t="shared" si="0"/>
        <v>3</v>
      </c>
      <c r="D95" s="11">
        <f t="shared" si="0"/>
        <v>2</v>
      </c>
      <c r="E95" s="11">
        <f t="shared" si="0"/>
        <v>3</v>
      </c>
      <c r="F95" s="11">
        <f t="shared" si="0"/>
        <v>2</v>
      </c>
      <c r="G95" s="11">
        <f t="shared" si="0"/>
        <v>3</v>
      </c>
      <c r="H95" s="11">
        <f t="shared" si="0"/>
        <v>2</v>
      </c>
      <c r="I95" s="11">
        <f t="shared" si="0"/>
        <v>3</v>
      </c>
      <c r="J95" s="11">
        <f t="shared" si="0"/>
        <v>2</v>
      </c>
      <c r="K95" s="11">
        <f t="shared" si="0"/>
        <v>3</v>
      </c>
      <c r="L95" s="11" t="str">
        <f t="shared" si="0"/>
        <v/>
      </c>
      <c r="M95" s="11">
        <f t="shared" si="0"/>
        <v>2</v>
      </c>
    </row>
    <row r="96" spans="1:13">
      <c r="A96" s="10">
        <v>12</v>
      </c>
      <c r="B96" s="11">
        <f t="shared" si="0"/>
        <v>3</v>
      </c>
      <c r="C96" s="11">
        <f t="shared" si="0"/>
        <v>3</v>
      </c>
      <c r="D96" s="11">
        <f t="shared" si="0"/>
        <v>3</v>
      </c>
      <c r="E96" s="11">
        <f t="shared" si="0"/>
        <v>3</v>
      </c>
      <c r="F96" s="11">
        <f t="shared" si="0"/>
        <v>3</v>
      </c>
      <c r="G96" s="11">
        <f t="shared" si="0"/>
        <v>3</v>
      </c>
      <c r="H96" s="11">
        <f t="shared" si="0"/>
        <v>2</v>
      </c>
      <c r="I96" s="11">
        <f t="shared" si="0"/>
        <v>2</v>
      </c>
      <c r="J96" s="11">
        <f t="shared" si="0"/>
        <v>2</v>
      </c>
      <c r="K96" s="11">
        <f t="shared" si="0"/>
        <v>2</v>
      </c>
      <c r="L96" s="11">
        <f t="shared" si="0"/>
        <v>2</v>
      </c>
      <c r="M96" s="11" t="str">
        <f t="shared" si="0"/>
        <v/>
      </c>
    </row>
    <row r="97" spans="1:13">
      <c r="A97" s="22" t="s">
        <v>273</v>
      </c>
      <c r="B97" s="21">
        <f>MIN(B85:M96)</f>
        <v>2</v>
      </c>
      <c r="C97" s="8"/>
      <c r="D97" s="8"/>
      <c r="E97" s="8"/>
      <c r="F97" s="8"/>
      <c r="G97" s="8"/>
      <c r="H97" s="26"/>
      <c r="I97" s="8"/>
      <c r="J97" s="8"/>
      <c r="K97" s="8"/>
      <c r="L97" s="8"/>
      <c r="M97" s="8"/>
    </row>
    <row r="98" spans="1:13">
      <c r="A98" s="22" t="s">
        <v>274</v>
      </c>
      <c r="B98" s="21">
        <f>MAX(B85:M96)</f>
        <v>3</v>
      </c>
      <c r="C98" s="8"/>
      <c r="D98" s="8"/>
      <c r="E98" s="8"/>
      <c r="F98" s="8"/>
      <c r="G98" s="8"/>
      <c r="H98" s="26"/>
      <c r="I98" s="8"/>
      <c r="J98" s="8"/>
      <c r="K98" s="8"/>
      <c r="L98" s="8"/>
      <c r="M98" s="8"/>
    </row>
    <row r="99" spans="1:13">
      <c r="H99" s="4"/>
    </row>
    <row r="100" spans="1:13">
      <c r="H100" s="4"/>
    </row>
    <row r="101" spans="1:13">
      <c r="H101" s="4"/>
    </row>
    <row r="102" spans="1:13">
      <c r="H102" s="4"/>
    </row>
    <row r="103" spans="1:13">
      <c r="H103" s="4"/>
    </row>
    <row r="104" spans="1:13">
      <c r="H104" s="4"/>
    </row>
    <row r="105" spans="1:13">
      <c r="H105" s="4"/>
    </row>
    <row r="106" spans="1:13">
      <c r="H106" s="4"/>
    </row>
    <row r="107" spans="1:13">
      <c r="H107" s="4"/>
    </row>
    <row r="108" spans="1:13">
      <c r="H108" s="4"/>
    </row>
    <row r="109" spans="1:13">
      <c r="H109" s="4"/>
    </row>
    <row r="110" spans="1:13">
      <c r="H110" s="4"/>
    </row>
    <row r="111" spans="1:13">
      <c r="H111" s="4"/>
    </row>
    <row r="112" spans="1:13">
      <c r="H112" s="4"/>
    </row>
    <row r="113" spans="8:8">
      <c r="H113" s="4"/>
    </row>
    <row r="114" spans="8:8">
      <c r="H114" s="4"/>
    </row>
    <row r="115" spans="8:8">
      <c r="H115" s="4"/>
    </row>
    <row r="116" spans="8:8">
      <c r="H116" s="4"/>
    </row>
    <row r="117" spans="8:8">
      <c r="H117" s="4"/>
    </row>
    <row r="118" spans="8:8">
      <c r="H118" s="4"/>
    </row>
    <row r="119" spans="8:8">
      <c r="H119" s="4"/>
    </row>
    <row r="120" spans="8:8">
      <c r="H120" s="4"/>
    </row>
    <row r="121" spans="8:8">
      <c r="H121" s="4"/>
    </row>
    <row r="122" spans="8:8">
      <c r="H122" s="4"/>
    </row>
    <row r="123" spans="8:8">
      <c r="H123" s="4"/>
    </row>
    <row r="124" spans="8:8">
      <c r="H124" s="4"/>
    </row>
    <row r="125" spans="8:8">
      <c r="H125" s="4"/>
    </row>
    <row r="126" spans="8:8">
      <c r="H126" s="4"/>
    </row>
    <row r="127" spans="8:8">
      <c r="H127" s="4"/>
    </row>
    <row r="128" spans="8:8">
      <c r="H128" s="4"/>
    </row>
    <row r="129" spans="8:8">
      <c r="H129" s="4"/>
    </row>
    <row r="130" spans="8:8">
      <c r="H130" s="4"/>
    </row>
    <row r="131" spans="8:8">
      <c r="H131" s="4"/>
    </row>
    <row r="132" spans="8:8">
      <c r="H132" s="4"/>
    </row>
    <row r="133" spans="8:8">
      <c r="H133" s="4"/>
    </row>
    <row r="134" spans="8:8">
      <c r="H134" s="4"/>
    </row>
    <row r="135" spans="8:8">
      <c r="H135" s="4"/>
    </row>
    <row r="136" spans="8:8">
      <c r="H136" s="4"/>
    </row>
    <row r="137" spans="8:8">
      <c r="H137" s="4"/>
    </row>
    <row r="138" spans="8:8">
      <c r="H138" s="4"/>
    </row>
    <row r="139" spans="8:8">
      <c r="H139" s="4"/>
    </row>
    <row r="140" spans="8:8">
      <c r="H140" s="4"/>
    </row>
    <row r="141" spans="8:8">
      <c r="H141" s="4"/>
    </row>
    <row r="142" spans="8:8">
      <c r="H142" s="4"/>
    </row>
    <row r="143" spans="8:8">
      <c r="H143" s="4"/>
    </row>
    <row r="144" spans="8:8">
      <c r="H144" s="4"/>
    </row>
    <row r="145" spans="8:8">
      <c r="H145" s="4"/>
    </row>
    <row r="146" spans="8:8">
      <c r="H146" s="4"/>
    </row>
    <row r="147" spans="8:8">
      <c r="H147" s="4"/>
    </row>
    <row r="148" spans="8:8">
      <c r="H148" s="4"/>
    </row>
    <row r="149" spans="8:8">
      <c r="H149" s="4"/>
    </row>
    <row r="150" spans="8:8">
      <c r="H150" s="4"/>
    </row>
    <row r="151" spans="8:8">
      <c r="H151" s="4"/>
    </row>
    <row r="152" spans="8:8">
      <c r="H152" s="4"/>
    </row>
    <row r="153" spans="8:8">
      <c r="H153" s="4"/>
    </row>
    <row r="154" spans="8:8">
      <c r="H154" s="4"/>
    </row>
    <row r="155" spans="8:8">
      <c r="H155" s="4"/>
    </row>
    <row r="156" spans="8:8">
      <c r="H156" s="4"/>
    </row>
    <row r="157" spans="8:8">
      <c r="H157" s="4"/>
    </row>
    <row r="158" spans="8:8">
      <c r="H158" s="4"/>
    </row>
    <row r="159" spans="8:8">
      <c r="H159" s="4"/>
    </row>
    <row r="160" spans="8:8">
      <c r="H160" s="4"/>
    </row>
    <row r="161" spans="8:8">
      <c r="H161" s="4"/>
    </row>
    <row r="162" spans="8:8">
      <c r="H162" s="4"/>
    </row>
    <row r="163" spans="8:8">
      <c r="H163" s="4"/>
    </row>
    <row r="164" spans="8:8">
      <c r="H164" s="4"/>
    </row>
    <row r="165" spans="8:8">
      <c r="H165" s="4"/>
    </row>
    <row r="166" spans="8:8">
      <c r="H166" s="4"/>
    </row>
    <row r="167" spans="8:8">
      <c r="H167" s="4"/>
    </row>
    <row r="168" spans="8:8">
      <c r="H168" s="4"/>
    </row>
    <row r="169" spans="8:8">
      <c r="H169" s="4"/>
    </row>
    <row r="170" spans="8:8">
      <c r="H170" s="4"/>
    </row>
    <row r="171" spans="8:8">
      <c r="H171" s="4"/>
    </row>
    <row r="172" spans="8:8">
      <c r="H172" s="4"/>
    </row>
    <row r="173" spans="8:8">
      <c r="H173" s="4"/>
    </row>
    <row r="174" spans="8:8">
      <c r="H174" s="4"/>
    </row>
    <row r="175" spans="8:8">
      <c r="H175" s="4"/>
    </row>
    <row r="176" spans="8:8">
      <c r="H176" s="4"/>
    </row>
    <row r="177" spans="8:8">
      <c r="H177" s="4"/>
    </row>
    <row r="178" spans="8:8">
      <c r="H178" s="4"/>
    </row>
    <row r="179" spans="8:8">
      <c r="H179" s="4"/>
    </row>
    <row r="180" spans="8:8">
      <c r="H180" s="4"/>
    </row>
    <row r="181" spans="8:8">
      <c r="H181" s="4"/>
    </row>
    <row r="182" spans="8:8">
      <c r="H182" s="4"/>
    </row>
    <row r="183" spans="8:8">
      <c r="H183" s="4"/>
    </row>
    <row r="184" spans="8:8">
      <c r="H184" s="4"/>
    </row>
    <row r="185" spans="8:8">
      <c r="H185" s="4"/>
    </row>
    <row r="186" spans="8:8">
      <c r="H186" s="4"/>
    </row>
    <row r="187" spans="8:8">
      <c r="H187" s="4"/>
    </row>
    <row r="188" spans="8:8">
      <c r="H188" s="4"/>
    </row>
    <row r="189" spans="8:8">
      <c r="H189" s="4"/>
    </row>
    <row r="190" spans="8:8">
      <c r="H190" s="4"/>
    </row>
    <row r="191" spans="8:8">
      <c r="H191" s="4"/>
    </row>
    <row r="192" spans="8:8">
      <c r="H192" s="4"/>
    </row>
    <row r="193" spans="8:8">
      <c r="H193" s="4"/>
    </row>
    <row r="194" spans="8:8">
      <c r="H194" s="4"/>
    </row>
    <row r="195" spans="8:8">
      <c r="H195" s="4"/>
    </row>
    <row r="196" spans="8:8">
      <c r="H196" s="4"/>
    </row>
    <row r="197" spans="8:8">
      <c r="H197" s="4"/>
    </row>
    <row r="198" spans="8:8">
      <c r="H198" s="4"/>
    </row>
    <row r="199" spans="8:8">
      <c r="H199" s="4"/>
    </row>
  </sheetData>
  <mergeCells count="37">
    <mergeCell ref="A1:G1"/>
    <mergeCell ref="A26:A36"/>
    <mergeCell ref="F26:F36"/>
    <mergeCell ref="G26:G36"/>
    <mergeCell ref="D80:E80"/>
    <mergeCell ref="D47:E47"/>
    <mergeCell ref="D57:E57"/>
    <mergeCell ref="D58:E58"/>
    <mergeCell ref="D35:E35"/>
    <mergeCell ref="D36:E36"/>
    <mergeCell ref="D46:E46"/>
    <mergeCell ref="A37:A47"/>
    <mergeCell ref="F37:F47"/>
    <mergeCell ref="G37:G47"/>
    <mergeCell ref="A4:A14"/>
    <mergeCell ref="F4:F14"/>
    <mergeCell ref="G4:G14"/>
    <mergeCell ref="A15:A25"/>
    <mergeCell ref="F15:F25"/>
    <mergeCell ref="G15:G25"/>
    <mergeCell ref="D13:E13"/>
    <mergeCell ref="D14:E14"/>
    <mergeCell ref="D24:E24"/>
    <mergeCell ref="D25:E25"/>
    <mergeCell ref="A83:M83"/>
    <mergeCell ref="F48:F58"/>
    <mergeCell ref="G48:G58"/>
    <mergeCell ref="A59:A69"/>
    <mergeCell ref="F59:F69"/>
    <mergeCell ref="G59:G69"/>
    <mergeCell ref="A70:A80"/>
    <mergeCell ref="F70:F80"/>
    <mergeCell ref="G70:G80"/>
    <mergeCell ref="A48:A58"/>
    <mergeCell ref="D68:E68"/>
    <mergeCell ref="D69:E69"/>
    <mergeCell ref="D79:E7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F5A11-AF0E-48F0-9988-7764548FBC71}">
  <dimension ref="A1:O199"/>
  <sheetViews>
    <sheetView showGridLines="0" rightToLeft="1" zoomScale="48" workbookViewId="0">
      <pane ySplit="3" topLeftCell="A4" activePane="bottomLeft" state="frozen"/>
      <selection pane="bottomLeft" activeCell="B72" sqref="B72"/>
    </sheetView>
  </sheetViews>
  <sheetFormatPr defaultRowHeight="14.5"/>
  <cols>
    <col min="1" max="1" width="10.54296875" customWidth="1"/>
    <col min="2" max="2" width="17.26953125" customWidth="1"/>
    <col min="3" max="6" width="14.54296875" customWidth="1"/>
    <col min="7" max="8" width="15.453125" customWidth="1"/>
    <col min="9" max="16" width="5.453125" customWidth="1"/>
  </cols>
  <sheetData>
    <row r="1" spans="1:15" ht="26" customHeight="1">
      <c r="A1" s="83" t="s">
        <v>269</v>
      </c>
      <c r="B1" s="83"/>
      <c r="C1" s="83"/>
      <c r="D1" s="83"/>
      <c r="E1" s="83"/>
      <c r="F1" s="83"/>
      <c r="G1" s="83"/>
      <c r="H1" s="83"/>
      <c r="I1" s="8"/>
      <c r="J1" s="8"/>
      <c r="K1" s="8"/>
      <c r="L1" s="8"/>
      <c r="M1" s="8"/>
      <c r="N1" s="8"/>
      <c r="O1" s="2"/>
    </row>
    <row r="2" spans="1:15" ht="8" customHeight="1">
      <c r="A2" s="8"/>
      <c r="B2" s="8"/>
      <c r="C2" s="8"/>
      <c r="D2" s="8"/>
      <c r="E2" s="8"/>
      <c r="F2" s="8"/>
      <c r="G2" s="8"/>
      <c r="H2" s="8"/>
      <c r="I2" s="8"/>
      <c r="J2" s="8"/>
      <c r="K2" s="8"/>
      <c r="L2" s="8"/>
      <c r="M2" s="8"/>
      <c r="N2" s="8"/>
      <c r="O2" s="2"/>
    </row>
    <row r="3" spans="1:15" ht="32" customHeight="1">
      <c r="A3" s="25" t="s">
        <v>0</v>
      </c>
      <c r="B3" s="25" t="s">
        <v>1</v>
      </c>
      <c r="C3" s="25" t="s">
        <v>2</v>
      </c>
      <c r="D3" s="25" t="s">
        <v>3</v>
      </c>
      <c r="E3" s="25" t="s">
        <v>4</v>
      </c>
      <c r="F3" s="25" t="s">
        <v>12</v>
      </c>
      <c r="G3" s="25" t="s">
        <v>263</v>
      </c>
      <c r="H3" s="25" t="s">
        <v>105</v>
      </c>
      <c r="I3" s="8"/>
      <c r="J3" s="8"/>
      <c r="K3" s="8"/>
      <c r="L3" s="8"/>
      <c r="M3" s="8"/>
      <c r="N3" s="8"/>
      <c r="O3" s="2"/>
    </row>
    <row r="4" spans="1:15" ht="14.5" customHeight="1">
      <c r="A4" s="101" t="s">
        <v>5</v>
      </c>
      <c r="B4"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 s="11" t="s">
        <v>57</v>
      </c>
      <c r="D4" s="11" t="s">
        <v>65</v>
      </c>
      <c r="E4" s="11" t="s">
        <v>29</v>
      </c>
      <c r="F4" s="11" t="s">
        <v>21</v>
      </c>
      <c r="G4" s="102">
        <f>COUNTIF(C4:F12,"* ضد *")</f>
        <v>26</v>
      </c>
      <c r="H4" s="102">
        <f>G4*2/'ملخص البطولات'!$A$9</f>
        <v>4</v>
      </c>
      <c r="I4" s="8"/>
      <c r="J4" s="8"/>
      <c r="K4" s="8"/>
      <c r="L4" s="8"/>
      <c r="M4" s="8"/>
      <c r="N4" s="8"/>
      <c r="O4" s="2"/>
    </row>
    <row r="5" spans="1:15">
      <c r="A5" s="101"/>
      <c r="B5"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 s="11" t="s">
        <v>32</v>
      </c>
      <c r="D5" s="11" t="s">
        <v>58</v>
      </c>
      <c r="E5" s="11"/>
      <c r="F5" s="11"/>
      <c r="G5" s="102"/>
      <c r="H5" s="102"/>
      <c r="I5" s="8"/>
      <c r="J5" s="8"/>
      <c r="K5" s="8"/>
      <c r="L5" s="8"/>
      <c r="M5" s="8"/>
      <c r="N5" s="8"/>
      <c r="O5" s="2"/>
    </row>
    <row r="6" spans="1:15">
      <c r="A6" s="101"/>
      <c r="B6"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 s="11" t="s">
        <v>81</v>
      </c>
      <c r="D6" s="11" t="s">
        <v>70</v>
      </c>
      <c r="E6" s="11" t="s">
        <v>33</v>
      </c>
      <c r="F6" s="11" t="s">
        <v>88</v>
      </c>
      <c r="G6" s="102"/>
      <c r="H6" s="102"/>
      <c r="I6" s="8"/>
      <c r="J6" s="8"/>
      <c r="K6" s="8"/>
      <c r="L6" s="8"/>
      <c r="M6" s="8"/>
      <c r="N6" s="8"/>
      <c r="O6" s="2"/>
    </row>
    <row r="7" spans="1:15">
      <c r="A7" s="101"/>
      <c r="B7"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7" s="11" t="s">
        <v>85</v>
      </c>
      <c r="D7" s="11"/>
      <c r="E7" s="11"/>
      <c r="F7" s="11"/>
      <c r="G7" s="102"/>
      <c r="H7" s="102"/>
      <c r="I7" s="8"/>
      <c r="J7" s="8"/>
      <c r="K7" s="8"/>
      <c r="L7" s="8"/>
      <c r="M7" s="8"/>
      <c r="N7" s="8"/>
      <c r="O7" s="2"/>
    </row>
    <row r="8" spans="1:15">
      <c r="A8" s="101"/>
      <c r="B8"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8" s="11" t="s">
        <v>20</v>
      </c>
      <c r="D8" s="11" t="s">
        <v>35</v>
      </c>
      <c r="E8" s="11" t="s">
        <v>82</v>
      </c>
      <c r="F8" s="11" t="s">
        <v>90</v>
      </c>
      <c r="G8" s="102"/>
      <c r="H8" s="102"/>
      <c r="I8" s="8"/>
      <c r="J8" s="8"/>
      <c r="K8" s="8"/>
      <c r="L8" s="8"/>
      <c r="M8" s="8"/>
      <c r="N8" s="8"/>
      <c r="O8" s="2"/>
    </row>
    <row r="9" spans="1:15">
      <c r="A9" s="101"/>
      <c r="B9"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9" s="11" t="s">
        <v>52</v>
      </c>
      <c r="D9" s="11" t="s">
        <v>79</v>
      </c>
      <c r="E9" s="11"/>
      <c r="F9" s="11"/>
      <c r="G9" s="102"/>
      <c r="H9" s="102"/>
      <c r="I9" s="8"/>
      <c r="J9" s="8"/>
      <c r="K9" s="8"/>
      <c r="L9" s="8"/>
      <c r="M9" s="8"/>
      <c r="N9" s="8"/>
      <c r="O9" s="2"/>
    </row>
    <row r="10" spans="1:15">
      <c r="A10" s="101"/>
      <c r="B10"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0" s="11" t="s">
        <v>93</v>
      </c>
      <c r="D10" s="11" t="s">
        <v>40</v>
      </c>
      <c r="E10" s="11" t="s">
        <v>51</v>
      </c>
      <c r="F10" s="11" t="s">
        <v>62</v>
      </c>
      <c r="G10" s="102"/>
      <c r="H10" s="102"/>
      <c r="I10" s="8"/>
      <c r="J10" s="8"/>
      <c r="K10" s="8"/>
      <c r="L10" s="8"/>
      <c r="M10" s="8"/>
      <c r="N10" s="8"/>
      <c r="O10" s="2"/>
    </row>
    <row r="11" spans="1:15" ht="14.5" customHeight="1">
      <c r="A11" s="101"/>
      <c r="B11"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11" s="11" t="s">
        <v>30</v>
      </c>
      <c r="D11" s="11"/>
      <c r="E11" s="11"/>
      <c r="F11" s="11"/>
      <c r="G11" s="102"/>
      <c r="H11" s="102"/>
      <c r="I11" s="8"/>
      <c r="J11" s="8"/>
      <c r="K11" s="8"/>
      <c r="L11" s="8"/>
      <c r="M11" s="8"/>
      <c r="N11" s="8"/>
      <c r="O11" s="2"/>
    </row>
    <row r="12" spans="1:15">
      <c r="A12" s="101"/>
      <c r="B12"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12" s="11" t="s">
        <v>67</v>
      </c>
      <c r="D12" s="11" t="s">
        <v>95</v>
      </c>
      <c r="E12" s="11" t="s">
        <v>25</v>
      </c>
      <c r="F12" s="11" t="s">
        <v>55</v>
      </c>
      <c r="G12" s="102"/>
      <c r="H12" s="102"/>
      <c r="I12" s="8"/>
      <c r="J12" s="8"/>
      <c r="K12" s="8"/>
      <c r="L12" s="8"/>
      <c r="M12" s="8"/>
      <c r="N12" s="8"/>
      <c r="O12" s="2"/>
    </row>
    <row r="13" spans="1:15">
      <c r="A13" s="101" t="s">
        <v>6</v>
      </c>
      <c r="B13"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13" s="18" t="s">
        <v>26</v>
      </c>
      <c r="D13" s="18" t="s">
        <v>75</v>
      </c>
      <c r="E13" s="18" t="s">
        <v>69</v>
      </c>
      <c r="F13" s="18" t="s">
        <v>56</v>
      </c>
      <c r="G13" s="100">
        <f>COUNTIF(C13:F21,"* ضد *")</f>
        <v>26</v>
      </c>
      <c r="H13" s="100">
        <f>G13*2/'ملخص البطولات'!$A$9</f>
        <v>4</v>
      </c>
      <c r="I13" s="8"/>
      <c r="J13" s="8"/>
      <c r="K13" s="8"/>
      <c r="L13" s="8"/>
      <c r="M13" s="8"/>
      <c r="N13" s="8"/>
      <c r="O13" s="2"/>
    </row>
    <row r="14" spans="1:15">
      <c r="A14" s="101"/>
      <c r="B14"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14" s="18" t="s">
        <v>78</v>
      </c>
      <c r="D14" s="18" t="s">
        <v>71</v>
      </c>
      <c r="E14" s="18"/>
      <c r="F14" s="18"/>
      <c r="G14" s="100"/>
      <c r="H14" s="100"/>
      <c r="I14" s="8"/>
      <c r="J14" s="8"/>
      <c r="K14" s="8"/>
      <c r="L14" s="8"/>
      <c r="M14" s="8"/>
      <c r="N14" s="8"/>
      <c r="O14" s="2"/>
    </row>
    <row r="15" spans="1:15">
      <c r="A15" s="101"/>
      <c r="B15"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15" s="18" t="s">
        <v>37</v>
      </c>
      <c r="D15" s="18" t="s">
        <v>34</v>
      </c>
      <c r="E15" s="18" t="s">
        <v>92</v>
      </c>
      <c r="F15" s="18"/>
      <c r="G15" s="100"/>
      <c r="H15" s="100"/>
      <c r="I15" s="8"/>
      <c r="J15" s="8"/>
      <c r="K15" s="8"/>
      <c r="L15" s="8"/>
      <c r="M15" s="8"/>
      <c r="N15" s="8"/>
      <c r="O15" s="2"/>
    </row>
    <row r="16" spans="1:15">
      <c r="A16" s="101"/>
      <c r="B16"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16" s="18" t="s">
        <v>50</v>
      </c>
      <c r="D16" s="18" t="s">
        <v>60</v>
      </c>
      <c r="E16" s="18" t="s">
        <v>80</v>
      </c>
      <c r="F16" s="18"/>
      <c r="G16" s="100"/>
      <c r="H16" s="100"/>
      <c r="I16" s="8"/>
      <c r="J16" s="8"/>
      <c r="K16" s="8"/>
      <c r="L16" s="8"/>
      <c r="M16" s="8"/>
      <c r="N16" s="8"/>
      <c r="O16" s="2"/>
    </row>
    <row r="17" spans="1:15">
      <c r="A17" s="101"/>
      <c r="B17"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17" s="18" t="s">
        <v>309</v>
      </c>
      <c r="D17" s="18" t="s">
        <v>42</v>
      </c>
      <c r="E17" s="18"/>
      <c r="F17" s="18"/>
      <c r="G17" s="100"/>
      <c r="H17" s="100"/>
      <c r="I17" s="8"/>
      <c r="J17" s="8"/>
      <c r="K17" s="8"/>
      <c r="L17" s="8"/>
      <c r="M17" s="8"/>
      <c r="N17" s="8"/>
      <c r="O17" s="2"/>
    </row>
    <row r="18" spans="1:15" ht="14.5" customHeight="1">
      <c r="A18" s="101"/>
      <c r="B18"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18" s="18" t="s">
        <v>28</v>
      </c>
      <c r="D18" s="18" t="s">
        <v>49</v>
      </c>
      <c r="E18" s="18" t="s">
        <v>31</v>
      </c>
      <c r="F18" s="18"/>
      <c r="G18" s="100"/>
      <c r="H18" s="100"/>
      <c r="I18" s="8"/>
      <c r="J18" s="8"/>
      <c r="K18" s="8"/>
      <c r="L18" s="8"/>
      <c r="M18" s="8"/>
      <c r="N18" s="8"/>
      <c r="O18" s="2"/>
    </row>
    <row r="19" spans="1:15">
      <c r="A19" s="101"/>
      <c r="B19"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9" s="18" t="s">
        <v>66</v>
      </c>
      <c r="D19" s="18" t="s">
        <v>96</v>
      </c>
      <c r="E19" s="18" t="s">
        <v>45</v>
      </c>
      <c r="F19" s="18"/>
      <c r="G19" s="100"/>
      <c r="H19" s="100"/>
      <c r="I19" s="8"/>
      <c r="J19" s="8"/>
      <c r="K19" s="8"/>
      <c r="L19" s="8"/>
      <c r="M19" s="8"/>
      <c r="N19" s="8"/>
      <c r="O19" s="2"/>
    </row>
    <row r="20" spans="1:15">
      <c r="A20" s="101"/>
      <c r="B20"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20" s="18" t="s">
        <v>44</v>
      </c>
      <c r="D20" s="18" t="s">
        <v>46</v>
      </c>
      <c r="E20" s="18"/>
      <c r="F20" s="18"/>
      <c r="G20" s="100"/>
      <c r="H20" s="100"/>
      <c r="I20" s="8"/>
      <c r="J20" s="8"/>
      <c r="K20" s="8"/>
      <c r="L20" s="8"/>
      <c r="M20" s="8"/>
      <c r="N20" s="8"/>
      <c r="O20" s="2"/>
    </row>
    <row r="21" spans="1:15">
      <c r="A21" s="101"/>
      <c r="B21"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21" s="18" t="s">
        <v>64</v>
      </c>
      <c r="D21" s="18" t="s">
        <v>48</v>
      </c>
      <c r="E21" s="18" t="s">
        <v>23</v>
      </c>
      <c r="F21" s="18" t="s">
        <v>91</v>
      </c>
      <c r="G21" s="100"/>
      <c r="H21" s="100"/>
      <c r="I21" s="8"/>
      <c r="J21" s="8"/>
      <c r="K21" s="8"/>
      <c r="L21" s="8"/>
      <c r="M21" s="8"/>
      <c r="N21" s="8"/>
      <c r="O21" s="2"/>
    </row>
    <row r="22" spans="1:15">
      <c r="A22" s="101" t="s">
        <v>7</v>
      </c>
      <c r="B22"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22" s="11" t="s">
        <v>41</v>
      </c>
      <c r="D22" s="11" t="s">
        <v>77</v>
      </c>
      <c r="E22" s="11" t="s">
        <v>36</v>
      </c>
      <c r="F22" s="11" t="s">
        <v>86</v>
      </c>
      <c r="G22" s="102">
        <f>COUNTIF(C22:F30,"* ضد *")</f>
        <v>26</v>
      </c>
      <c r="H22" s="102">
        <f>G22*2/'ملخص البطولات'!$A$9</f>
        <v>4</v>
      </c>
      <c r="I22" s="8"/>
      <c r="J22" s="8"/>
      <c r="K22" s="8"/>
      <c r="L22" s="8"/>
      <c r="M22" s="8"/>
      <c r="N22" s="8"/>
      <c r="O22" s="2"/>
    </row>
    <row r="23" spans="1:15">
      <c r="A23" s="101"/>
      <c r="B23"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23" s="11" t="s">
        <v>47</v>
      </c>
      <c r="D23" s="11" t="s">
        <v>74</v>
      </c>
      <c r="E23" s="11"/>
      <c r="F23" s="11"/>
      <c r="G23" s="102"/>
      <c r="H23" s="102"/>
      <c r="I23" s="8"/>
      <c r="J23" s="8"/>
      <c r="K23" s="8"/>
      <c r="L23" s="8"/>
      <c r="M23" s="8"/>
      <c r="N23" s="8"/>
      <c r="O23" s="2"/>
    </row>
    <row r="24" spans="1:15">
      <c r="A24" s="101"/>
      <c r="B24"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24" s="11" t="s">
        <v>53</v>
      </c>
      <c r="D24" s="11" t="s">
        <v>43</v>
      </c>
      <c r="E24" s="11" t="s">
        <v>24</v>
      </c>
      <c r="F24" s="11" t="s">
        <v>89</v>
      </c>
      <c r="G24" s="102"/>
      <c r="H24" s="102"/>
      <c r="I24" s="8"/>
      <c r="J24" s="8"/>
      <c r="K24" s="8"/>
      <c r="L24" s="8"/>
      <c r="M24" s="8"/>
      <c r="N24" s="8"/>
      <c r="O24" s="2"/>
    </row>
    <row r="25" spans="1:15" ht="14.5" customHeight="1">
      <c r="A25" s="101"/>
      <c r="B25"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25" s="11" t="s">
        <v>68</v>
      </c>
      <c r="D25" s="11" t="s">
        <v>39</v>
      </c>
      <c r="E25" s="11"/>
      <c r="F25" s="11"/>
      <c r="G25" s="102"/>
      <c r="H25" s="102"/>
      <c r="I25" s="8"/>
      <c r="J25" s="8"/>
      <c r="K25" s="8"/>
      <c r="L25" s="8"/>
      <c r="M25" s="8"/>
      <c r="N25" s="8"/>
      <c r="O25" s="2"/>
    </row>
    <row r="26" spans="1:15">
      <c r="A26" s="101"/>
      <c r="B26"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26" s="11" t="s">
        <v>73</v>
      </c>
      <c r="D26" s="11" t="s">
        <v>54</v>
      </c>
      <c r="E26" s="11" t="s">
        <v>87</v>
      </c>
      <c r="F26" s="11"/>
      <c r="G26" s="102"/>
      <c r="H26" s="102"/>
      <c r="I26" s="8"/>
      <c r="J26" s="8"/>
      <c r="K26" s="8"/>
      <c r="L26" s="8"/>
      <c r="M26" s="8"/>
      <c r="N26" s="8"/>
      <c r="O26" s="2"/>
    </row>
    <row r="27" spans="1:15">
      <c r="A27" s="101"/>
      <c r="B27"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27" s="11" t="s">
        <v>22</v>
      </c>
      <c r="D27" s="11" t="s">
        <v>63</v>
      </c>
      <c r="E27" s="11" t="s">
        <v>76</v>
      </c>
      <c r="F27" s="11"/>
      <c r="G27" s="102"/>
      <c r="H27" s="102"/>
      <c r="I27" s="8"/>
      <c r="J27" s="8"/>
      <c r="K27" s="8"/>
      <c r="L27" s="8"/>
      <c r="M27" s="8"/>
      <c r="N27" s="8"/>
      <c r="O27" s="2"/>
    </row>
    <row r="28" spans="1:15">
      <c r="A28" s="101"/>
      <c r="B28"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28" s="11" t="s">
        <v>94</v>
      </c>
      <c r="D28" s="11" t="s">
        <v>38</v>
      </c>
      <c r="E28" s="11"/>
      <c r="F28" s="11"/>
      <c r="G28" s="102"/>
      <c r="H28" s="102"/>
      <c r="I28" s="8"/>
      <c r="J28" s="8"/>
      <c r="K28" s="8"/>
      <c r="L28" s="8"/>
      <c r="M28" s="8"/>
      <c r="N28" s="8"/>
      <c r="O28" s="2"/>
    </row>
    <row r="29" spans="1:15">
      <c r="A29" s="101"/>
      <c r="B29"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29" s="11" t="s">
        <v>84</v>
      </c>
      <c r="D29" s="11" t="s">
        <v>27</v>
      </c>
      <c r="E29" s="11" t="s">
        <v>83</v>
      </c>
      <c r="F29" s="11"/>
      <c r="G29" s="102"/>
      <c r="H29" s="102"/>
      <c r="I29" s="8"/>
      <c r="J29" s="8"/>
      <c r="K29" s="8"/>
      <c r="L29" s="8"/>
      <c r="M29" s="8"/>
      <c r="N29" s="8"/>
      <c r="O29" s="2"/>
    </row>
    <row r="30" spans="1:15">
      <c r="A30" s="101"/>
      <c r="B30"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30" s="11" t="s">
        <v>72</v>
      </c>
      <c r="D30" s="11" t="s">
        <v>59</v>
      </c>
      <c r="E30" s="11" t="s">
        <v>61</v>
      </c>
      <c r="F30" s="11"/>
      <c r="G30" s="102"/>
      <c r="H30" s="102"/>
      <c r="I30" s="8"/>
      <c r="J30" s="8"/>
      <c r="K30" s="8"/>
      <c r="L30" s="8"/>
      <c r="M30" s="8"/>
      <c r="N30" s="8"/>
      <c r="O30" s="2"/>
    </row>
    <row r="31" spans="1:15">
      <c r="A31" s="101" t="s">
        <v>8</v>
      </c>
      <c r="B31"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31" s="18" t="s">
        <v>93</v>
      </c>
      <c r="D31" s="18" t="s">
        <v>40</v>
      </c>
      <c r="E31" s="18" t="s">
        <v>51</v>
      </c>
      <c r="F31" s="18" t="s">
        <v>21</v>
      </c>
      <c r="G31" s="100">
        <f>COUNTIF(C31:F39,"* ضد *")</f>
        <v>26</v>
      </c>
      <c r="H31" s="100">
        <f>G31*2/'ملخص البطولات'!$A$9</f>
        <v>4</v>
      </c>
      <c r="I31" s="8"/>
      <c r="J31" s="8"/>
      <c r="K31" s="8"/>
      <c r="L31" s="8"/>
      <c r="M31" s="8"/>
      <c r="N31" s="8"/>
      <c r="O31" s="2"/>
    </row>
    <row r="32" spans="1:15" ht="14.5" customHeight="1">
      <c r="A32" s="101"/>
      <c r="B32"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32" s="18" t="s">
        <v>30</v>
      </c>
      <c r="D32" s="18" t="s">
        <v>55</v>
      </c>
      <c r="E32" s="18"/>
      <c r="F32" s="18"/>
      <c r="G32" s="100"/>
      <c r="H32" s="100"/>
      <c r="I32" s="8"/>
      <c r="J32" s="8"/>
      <c r="K32" s="8"/>
      <c r="L32" s="8"/>
      <c r="M32" s="8"/>
      <c r="N32" s="8"/>
      <c r="O32" s="2"/>
    </row>
    <row r="33" spans="1:15">
      <c r="A33" s="101"/>
      <c r="B33"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33" s="18" t="s">
        <v>20</v>
      </c>
      <c r="D33" s="18" t="s">
        <v>25</v>
      </c>
      <c r="E33" s="18" t="s">
        <v>88</v>
      </c>
      <c r="F33" s="18"/>
      <c r="G33" s="100"/>
      <c r="H33" s="100"/>
      <c r="I33" s="8"/>
      <c r="J33" s="8"/>
      <c r="K33" s="8"/>
      <c r="L33" s="8"/>
      <c r="M33" s="8"/>
      <c r="N33" s="8"/>
      <c r="O33" s="2"/>
    </row>
    <row r="34" spans="1:15">
      <c r="A34" s="101"/>
      <c r="B34"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34" s="18" t="s">
        <v>85</v>
      </c>
      <c r="D34" s="18" t="s">
        <v>70</v>
      </c>
      <c r="E34" s="18" t="s">
        <v>62</v>
      </c>
      <c r="F34" s="18"/>
      <c r="G34" s="100"/>
      <c r="H34" s="100"/>
      <c r="I34" s="8"/>
      <c r="J34" s="8"/>
      <c r="K34" s="8"/>
      <c r="L34" s="8"/>
      <c r="M34" s="8"/>
      <c r="N34" s="8"/>
      <c r="O34" s="2"/>
    </row>
    <row r="35" spans="1:15">
      <c r="A35" s="101"/>
      <c r="B35"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35" s="18" t="s">
        <v>81</v>
      </c>
      <c r="D35" s="18" t="s">
        <v>79</v>
      </c>
      <c r="E35" s="18"/>
      <c r="F35" s="18"/>
      <c r="G35" s="100"/>
      <c r="H35" s="100"/>
      <c r="I35" s="8"/>
      <c r="J35" s="8"/>
      <c r="K35" s="8"/>
      <c r="L35" s="8"/>
      <c r="M35" s="8"/>
      <c r="N35" s="8"/>
      <c r="O35" s="2"/>
    </row>
    <row r="36" spans="1:15">
      <c r="A36" s="101"/>
      <c r="B36"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36" s="18" t="s">
        <v>32</v>
      </c>
      <c r="D36" s="18" t="s">
        <v>58</v>
      </c>
      <c r="E36" s="18" t="s">
        <v>90</v>
      </c>
      <c r="F36" s="18"/>
      <c r="G36" s="100"/>
      <c r="H36" s="100"/>
      <c r="I36" s="8"/>
      <c r="J36" s="8"/>
      <c r="K36" s="8"/>
      <c r="L36" s="8"/>
      <c r="M36" s="8"/>
      <c r="N36" s="8"/>
      <c r="O36" s="2"/>
    </row>
    <row r="37" spans="1:15" ht="14.5" customHeight="1">
      <c r="A37" s="101"/>
      <c r="B37"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37" s="18" t="s">
        <v>57</v>
      </c>
      <c r="D37" s="18" t="s">
        <v>65</v>
      </c>
      <c r="E37" s="18" t="s">
        <v>29</v>
      </c>
      <c r="F37" s="18"/>
      <c r="G37" s="100"/>
      <c r="H37" s="100"/>
      <c r="I37" s="8"/>
      <c r="J37" s="8"/>
      <c r="K37" s="8"/>
      <c r="L37" s="8"/>
      <c r="M37" s="8"/>
      <c r="N37" s="8"/>
      <c r="O37" s="2"/>
    </row>
    <row r="38" spans="1:15">
      <c r="A38" s="101"/>
      <c r="B38"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38" s="18" t="s">
        <v>67</v>
      </c>
      <c r="D38" s="18" t="s">
        <v>95</v>
      </c>
      <c r="E38" s="18"/>
      <c r="F38" s="18"/>
      <c r="G38" s="100"/>
      <c r="H38" s="100"/>
      <c r="I38" s="8"/>
      <c r="J38" s="8"/>
      <c r="K38" s="8"/>
      <c r="L38" s="8"/>
      <c r="M38" s="8"/>
      <c r="N38" s="8"/>
      <c r="O38" s="2"/>
    </row>
    <row r="39" spans="1:15" ht="14.5" customHeight="1">
      <c r="A39" s="101"/>
      <c r="B39"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39" s="18" t="s">
        <v>52</v>
      </c>
      <c r="D39" s="18" t="s">
        <v>35</v>
      </c>
      <c r="E39" s="18" t="s">
        <v>82</v>
      </c>
      <c r="F39" s="18" t="s">
        <v>33</v>
      </c>
      <c r="G39" s="100"/>
      <c r="H39" s="100"/>
      <c r="I39" s="8"/>
      <c r="J39" s="8"/>
      <c r="K39" s="8"/>
      <c r="L39" s="8"/>
      <c r="M39" s="8"/>
      <c r="N39" s="8"/>
      <c r="O39" s="2"/>
    </row>
    <row r="40" spans="1:15">
      <c r="A40" s="101" t="s">
        <v>9</v>
      </c>
      <c r="B40"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0" s="11" t="s">
        <v>50</v>
      </c>
      <c r="D40" s="11" t="s">
        <v>49</v>
      </c>
      <c r="E40" s="11" t="s">
        <v>37</v>
      </c>
      <c r="F40" s="11" t="s">
        <v>42</v>
      </c>
      <c r="G40" s="102">
        <f>COUNTIF(C40:F48,"* ضد *")</f>
        <v>26</v>
      </c>
      <c r="H40" s="102">
        <f>G40*2/'ملخص البطولات'!$A$9</f>
        <v>4</v>
      </c>
      <c r="I40" s="8"/>
      <c r="J40" s="8"/>
      <c r="K40" s="8"/>
      <c r="L40" s="8"/>
      <c r="M40" s="8"/>
      <c r="N40" s="8"/>
      <c r="O40" s="2"/>
    </row>
    <row r="41" spans="1:15">
      <c r="A41" s="101"/>
      <c r="B41"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41" s="11" t="s">
        <v>23</v>
      </c>
      <c r="D41" s="11"/>
      <c r="E41" s="11"/>
      <c r="F41" s="11"/>
      <c r="G41" s="102"/>
      <c r="H41" s="102"/>
      <c r="I41" s="8"/>
      <c r="J41" s="8"/>
      <c r="K41" s="8"/>
      <c r="L41" s="8"/>
      <c r="M41" s="8"/>
      <c r="N41" s="8"/>
      <c r="O41" s="2"/>
    </row>
    <row r="42" spans="1:15" ht="14.5" customHeight="1">
      <c r="A42" s="101"/>
      <c r="B42"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42" s="11" t="s">
        <v>44</v>
      </c>
      <c r="D42" s="11" t="s">
        <v>64</v>
      </c>
      <c r="E42" s="11" t="s">
        <v>66</v>
      </c>
      <c r="F42" s="11" t="s">
        <v>96</v>
      </c>
      <c r="G42" s="102"/>
      <c r="H42" s="102"/>
      <c r="I42" s="8"/>
      <c r="J42" s="8"/>
      <c r="K42" s="8"/>
      <c r="L42" s="8"/>
      <c r="M42" s="8"/>
      <c r="N42" s="8"/>
      <c r="O42" s="2"/>
    </row>
    <row r="43" spans="1:15">
      <c r="A43" s="101"/>
      <c r="B43"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43" s="11" t="s">
        <v>45</v>
      </c>
      <c r="D43" s="11" t="s">
        <v>46</v>
      </c>
      <c r="E43" s="11"/>
      <c r="F43" s="11"/>
      <c r="G43" s="102"/>
      <c r="H43" s="102"/>
      <c r="I43" s="8"/>
      <c r="J43" s="8"/>
      <c r="K43" s="8"/>
      <c r="L43" s="8"/>
      <c r="M43" s="8"/>
      <c r="N43" s="8"/>
      <c r="O43" s="2"/>
    </row>
    <row r="44" spans="1:15">
      <c r="A44" s="101"/>
      <c r="B44"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44" s="11" t="s">
        <v>28</v>
      </c>
      <c r="D44" s="11" t="s">
        <v>309</v>
      </c>
      <c r="E44" s="11" t="s">
        <v>48</v>
      </c>
      <c r="F44" s="11" t="s">
        <v>69</v>
      </c>
      <c r="G44" s="102"/>
      <c r="H44" s="102"/>
      <c r="I44" s="8"/>
      <c r="J44" s="8"/>
      <c r="K44" s="8"/>
      <c r="L44" s="8"/>
      <c r="M44" s="8"/>
      <c r="N44" s="8"/>
      <c r="O44" s="2"/>
    </row>
    <row r="45" spans="1:15">
      <c r="A45" s="101"/>
      <c r="B45"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45" s="11" t="s">
        <v>60</v>
      </c>
      <c r="D45" s="11"/>
      <c r="E45" s="11"/>
      <c r="F45" s="11"/>
      <c r="G45" s="102"/>
      <c r="H45" s="102"/>
      <c r="I45" s="8"/>
      <c r="J45" s="8"/>
      <c r="K45" s="8"/>
      <c r="L45" s="8"/>
      <c r="M45" s="8"/>
      <c r="N45" s="8"/>
      <c r="O45" s="2"/>
    </row>
    <row r="46" spans="1:15" ht="14.5" customHeight="1">
      <c r="A46" s="101"/>
      <c r="B46"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46" s="11" t="s">
        <v>34</v>
      </c>
      <c r="D46" s="11" t="s">
        <v>80</v>
      </c>
      <c r="E46" s="11" t="s">
        <v>31</v>
      </c>
      <c r="F46" s="11" t="s">
        <v>91</v>
      </c>
      <c r="G46" s="102"/>
      <c r="H46" s="102"/>
      <c r="I46" s="8"/>
      <c r="J46" s="8"/>
      <c r="K46" s="8"/>
      <c r="L46" s="8"/>
      <c r="M46" s="8"/>
      <c r="N46" s="8"/>
      <c r="O46" s="2"/>
    </row>
    <row r="47" spans="1:15">
      <c r="A47" s="101"/>
      <c r="B47"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47" s="11" t="s">
        <v>78</v>
      </c>
      <c r="D47" s="11" t="s">
        <v>75</v>
      </c>
      <c r="E47" s="11"/>
      <c r="F47" s="11"/>
      <c r="G47" s="102"/>
      <c r="H47" s="102"/>
      <c r="I47" s="8"/>
      <c r="J47" s="8"/>
      <c r="K47" s="8"/>
      <c r="L47" s="8"/>
      <c r="M47" s="8"/>
      <c r="N47" s="8"/>
      <c r="O47" s="2"/>
    </row>
    <row r="48" spans="1:15">
      <c r="A48" s="101"/>
      <c r="B48"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48" s="11" t="s">
        <v>26</v>
      </c>
      <c r="D48" s="11" t="s">
        <v>71</v>
      </c>
      <c r="E48" s="11" t="s">
        <v>56</v>
      </c>
      <c r="F48" s="11" t="s">
        <v>92</v>
      </c>
      <c r="G48" s="102"/>
      <c r="H48" s="102"/>
      <c r="I48" s="8"/>
      <c r="J48" s="8"/>
      <c r="K48" s="8"/>
      <c r="L48" s="8"/>
      <c r="M48" s="8"/>
      <c r="N48" s="8"/>
      <c r="O48" s="2"/>
    </row>
    <row r="49" spans="1:15">
      <c r="A49" s="101" t="s">
        <v>10</v>
      </c>
      <c r="B49"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9" s="18" t="s">
        <v>43</v>
      </c>
      <c r="D49" s="18" t="s">
        <v>61</v>
      </c>
      <c r="E49" s="18" t="s">
        <v>83</v>
      </c>
      <c r="F49" s="18" t="s">
        <v>87</v>
      </c>
      <c r="G49" s="100">
        <f>COUNTIF(C49:F57,"* ضد *")</f>
        <v>26</v>
      </c>
      <c r="H49" s="100">
        <f>G49*2/'ملخص البطولات'!$A$9</f>
        <v>4</v>
      </c>
      <c r="I49" s="8"/>
      <c r="J49" s="8"/>
      <c r="K49" s="8"/>
      <c r="L49" s="8"/>
      <c r="M49" s="8"/>
      <c r="N49" s="8"/>
      <c r="O49" s="2"/>
    </row>
    <row r="50" spans="1:15">
      <c r="A50" s="101"/>
      <c r="B50"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0" s="18" t="s">
        <v>59</v>
      </c>
      <c r="D50" s="18"/>
      <c r="E50" s="18"/>
      <c r="F50" s="18"/>
      <c r="G50" s="100"/>
      <c r="H50" s="100"/>
      <c r="I50" s="8"/>
      <c r="J50" s="8"/>
      <c r="K50" s="8"/>
      <c r="L50" s="8"/>
      <c r="M50" s="8"/>
      <c r="N50" s="8"/>
      <c r="O50" s="2"/>
    </row>
    <row r="51" spans="1:15">
      <c r="A51" s="101"/>
      <c r="B51"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51" s="18" t="s">
        <v>73</v>
      </c>
      <c r="D51" s="18" t="s">
        <v>68</v>
      </c>
      <c r="E51" s="18" t="s">
        <v>39</v>
      </c>
      <c r="F51" s="18" t="s">
        <v>89</v>
      </c>
      <c r="G51" s="100"/>
      <c r="H51" s="100"/>
      <c r="I51" s="8"/>
      <c r="J51" s="8"/>
      <c r="K51" s="8"/>
      <c r="L51" s="8"/>
      <c r="M51" s="8"/>
      <c r="N51" s="8"/>
      <c r="O51" s="2"/>
    </row>
    <row r="52" spans="1:15">
      <c r="A52" s="101"/>
      <c r="B52"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52" s="18" t="s">
        <v>72</v>
      </c>
      <c r="D52" s="18" t="s">
        <v>24</v>
      </c>
      <c r="E52" s="18"/>
      <c r="F52" s="18"/>
      <c r="G52" s="100"/>
      <c r="H52" s="100"/>
      <c r="I52" s="8"/>
      <c r="J52" s="8"/>
      <c r="K52" s="8"/>
      <c r="L52" s="8"/>
      <c r="M52" s="8"/>
      <c r="N52" s="8"/>
      <c r="O52" s="2"/>
    </row>
    <row r="53" spans="1:15">
      <c r="A53" s="101"/>
      <c r="B53"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53" s="18" t="s">
        <v>41</v>
      </c>
      <c r="D53" s="18" t="s">
        <v>27</v>
      </c>
      <c r="E53" s="18" t="s">
        <v>74</v>
      </c>
      <c r="F53" s="18" t="s">
        <v>86</v>
      </c>
      <c r="G53" s="100"/>
      <c r="H53" s="100"/>
      <c r="I53" s="8"/>
      <c r="J53" s="8"/>
      <c r="K53" s="8"/>
      <c r="L53" s="8"/>
      <c r="M53" s="8"/>
      <c r="N53" s="8"/>
      <c r="O53" s="2"/>
    </row>
    <row r="54" spans="1:15">
      <c r="A54" s="101"/>
      <c r="B54"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54" s="18" t="s">
        <v>76</v>
      </c>
      <c r="D54" s="18"/>
      <c r="E54" s="18"/>
      <c r="F54" s="18"/>
      <c r="G54" s="100"/>
      <c r="H54" s="100"/>
      <c r="I54" s="8"/>
      <c r="J54" s="8"/>
      <c r="K54" s="8"/>
      <c r="L54" s="8"/>
      <c r="M54" s="8"/>
      <c r="N54" s="8"/>
      <c r="O54" s="2"/>
    </row>
    <row r="55" spans="1:15" ht="22" customHeight="1">
      <c r="A55" s="101"/>
      <c r="B55"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55" s="18" t="s">
        <v>53</v>
      </c>
      <c r="D55" s="18" t="s">
        <v>22</v>
      </c>
      <c r="E55" s="18" t="s">
        <v>63</v>
      </c>
      <c r="F55" s="18" t="s">
        <v>54</v>
      </c>
      <c r="G55" s="100"/>
      <c r="H55" s="100"/>
      <c r="I55" s="8"/>
      <c r="J55" s="8"/>
      <c r="K55" s="8"/>
      <c r="L55" s="8"/>
      <c r="M55" s="8"/>
      <c r="N55" s="8"/>
      <c r="O55" s="2"/>
    </row>
    <row r="56" spans="1:15">
      <c r="A56" s="101"/>
      <c r="B56"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56" s="18" t="s">
        <v>36</v>
      </c>
      <c r="D56" s="18" t="s">
        <v>94</v>
      </c>
      <c r="E56" s="18"/>
      <c r="F56" s="18"/>
      <c r="G56" s="100"/>
      <c r="H56" s="100"/>
      <c r="I56" s="8"/>
      <c r="J56" s="8"/>
      <c r="K56" s="8"/>
      <c r="L56" s="8"/>
      <c r="M56" s="8"/>
      <c r="N56" s="8"/>
      <c r="O56" s="2"/>
    </row>
    <row r="57" spans="1:15">
      <c r="A57" s="101"/>
      <c r="B57"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57" s="18" t="s">
        <v>84</v>
      </c>
      <c r="D57" s="18" t="s">
        <v>77</v>
      </c>
      <c r="E57" s="18" t="s">
        <v>47</v>
      </c>
      <c r="F57" s="18" t="s">
        <v>38</v>
      </c>
      <c r="G57" s="100"/>
      <c r="H57" s="100"/>
      <c r="I57" s="8"/>
      <c r="J57" s="8"/>
      <c r="K57" s="8"/>
      <c r="L57" s="8"/>
      <c r="M57" s="8"/>
      <c r="N57" s="8"/>
      <c r="O57" s="2"/>
    </row>
    <row r="58" spans="1:15">
      <c r="A58" s="101" t="s">
        <v>11</v>
      </c>
      <c r="B58"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58" s="11" t="s">
        <v>57</v>
      </c>
      <c r="D58" s="11" t="s">
        <v>58</v>
      </c>
      <c r="E58" s="11" t="s">
        <v>33</v>
      </c>
      <c r="F58" s="11" t="s">
        <v>88</v>
      </c>
      <c r="G58" s="102">
        <f>COUNTIF(C58:F66,"* ضد *")</f>
        <v>26</v>
      </c>
      <c r="H58" s="102">
        <f>G58*2/'ملخص البطولات'!$A$9</f>
        <v>4</v>
      </c>
      <c r="I58" s="8"/>
      <c r="J58" s="8"/>
      <c r="K58" s="8"/>
      <c r="L58" s="8"/>
      <c r="M58" s="8"/>
      <c r="N58" s="8"/>
      <c r="O58" s="2"/>
    </row>
    <row r="59" spans="1:15">
      <c r="A59" s="101"/>
      <c r="B59"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9" s="11" t="s">
        <v>32</v>
      </c>
      <c r="D59" s="11" t="s">
        <v>70</v>
      </c>
      <c r="E59" s="11"/>
      <c r="F59" s="11"/>
      <c r="G59" s="102"/>
      <c r="H59" s="102"/>
      <c r="I59" s="8"/>
      <c r="J59" s="8"/>
      <c r="K59" s="8"/>
      <c r="L59" s="8"/>
      <c r="M59" s="8"/>
      <c r="N59" s="8"/>
      <c r="O59" s="2"/>
    </row>
    <row r="60" spans="1:15">
      <c r="A60" s="101"/>
      <c r="B60"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0" s="11" t="s">
        <v>52</v>
      </c>
      <c r="D60" s="11" t="s">
        <v>55</v>
      </c>
      <c r="E60" s="11" t="s">
        <v>90</v>
      </c>
      <c r="F60" s="11"/>
      <c r="G60" s="102"/>
      <c r="H60" s="102"/>
      <c r="I60" s="8"/>
      <c r="J60" s="8"/>
      <c r="K60" s="8"/>
      <c r="L60" s="8"/>
      <c r="M60" s="8"/>
      <c r="N60" s="8"/>
      <c r="O60" s="2"/>
    </row>
    <row r="61" spans="1:15">
      <c r="A61" s="101"/>
      <c r="B61"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61" s="11" t="s">
        <v>67</v>
      </c>
      <c r="D61" s="11" t="s">
        <v>40</v>
      </c>
      <c r="E61" s="11" t="s">
        <v>51</v>
      </c>
      <c r="F61" s="11"/>
      <c r="G61" s="102"/>
      <c r="H61" s="102"/>
      <c r="I61" s="8"/>
      <c r="J61" s="8"/>
      <c r="K61" s="8"/>
      <c r="L61" s="8"/>
      <c r="M61" s="8"/>
      <c r="N61" s="8"/>
      <c r="O61" s="2"/>
    </row>
    <row r="62" spans="1:15">
      <c r="A62" s="101"/>
      <c r="B62"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62" s="11" t="s">
        <v>65</v>
      </c>
      <c r="D62" s="11" t="s">
        <v>62</v>
      </c>
      <c r="E62" s="11"/>
      <c r="F62" s="11"/>
      <c r="G62" s="102"/>
      <c r="H62" s="102"/>
      <c r="I62" s="8"/>
      <c r="J62" s="8"/>
      <c r="K62" s="8"/>
      <c r="L62" s="8"/>
      <c r="M62" s="8"/>
      <c r="N62" s="8"/>
      <c r="O62" s="2"/>
    </row>
    <row r="63" spans="1:15">
      <c r="A63" s="101"/>
      <c r="B63"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63" s="11" t="s">
        <v>93</v>
      </c>
      <c r="D63" s="11" t="s">
        <v>85</v>
      </c>
      <c r="E63" s="11" t="s">
        <v>79</v>
      </c>
      <c r="F63" s="11"/>
      <c r="G63" s="102"/>
      <c r="H63" s="102"/>
      <c r="I63" s="8"/>
      <c r="J63" s="8"/>
      <c r="K63" s="8"/>
      <c r="L63" s="8"/>
      <c r="M63" s="8"/>
      <c r="N63" s="8"/>
      <c r="O63" s="2"/>
    </row>
    <row r="64" spans="1:15">
      <c r="A64" s="101"/>
      <c r="B64"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64" s="11" t="s">
        <v>81</v>
      </c>
      <c r="D64" s="11" t="s">
        <v>35</v>
      </c>
      <c r="E64" s="11" t="s">
        <v>82</v>
      </c>
      <c r="F64" s="11"/>
      <c r="G64" s="102"/>
      <c r="H64" s="102"/>
      <c r="I64" s="8"/>
      <c r="J64" s="8"/>
      <c r="K64" s="8"/>
      <c r="L64" s="8"/>
      <c r="M64" s="8"/>
      <c r="N64" s="8"/>
      <c r="O64" s="2"/>
    </row>
    <row r="65" spans="1:15">
      <c r="A65" s="101"/>
      <c r="B65"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65" s="11" t="s">
        <v>95</v>
      </c>
      <c r="D65" s="11" t="s">
        <v>21</v>
      </c>
      <c r="E65" s="11"/>
      <c r="F65" s="11"/>
      <c r="G65" s="102"/>
      <c r="H65" s="102"/>
      <c r="I65" s="8"/>
      <c r="J65" s="8"/>
      <c r="K65" s="8"/>
      <c r="L65" s="8"/>
      <c r="M65" s="8"/>
      <c r="N65" s="8"/>
      <c r="O65" s="2"/>
    </row>
    <row r="66" spans="1:15">
      <c r="A66" s="101"/>
      <c r="B66"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66" s="11" t="s">
        <v>20</v>
      </c>
      <c r="D66" s="11" t="s">
        <v>30</v>
      </c>
      <c r="E66" s="11" t="s">
        <v>25</v>
      </c>
      <c r="F66" s="11" t="s">
        <v>29</v>
      </c>
      <c r="G66" s="102"/>
      <c r="H66" s="102"/>
      <c r="I66" s="8"/>
      <c r="J66" s="8"/>
      <c r="K66" s="8"/>
      <c r="L66" s="8"/>
      <c r="M66" s="8"/>
      <c r="N66" s="8"/>
      <c r="O66" s="2"/>
    </row>
    <row r="67" spans="1:15">
      <c r="A67" s="8"/>
      <c r="B67" s="8"/>
      <c r="C67" s="8"/>
      <c r="D67" s="8"/>
      <c r="E67" s="8"/>
      <c r="F67" s="8"/>
      <c r="G67" s="8"/>
      <c r="H67" s="8"/>
      <c r="I67" s="8"/>
      <c r="J67" s="8"/>
      <c r="K67" s="8"/>
      <c r="L67" s="8"/>
      <c r="M67" s="8"/>
      <c r="N67" s="8"/>
      <c r="O67" s="2"/>
    </row>
    <row r="68" spans="1:15">
      <c r="A68" s="8"/>
      <c r="B68" s="8"/>
      <c r="C68" s="8"/>
      <c r="D68" s="8"/>
      <c r="E68" s="8"/>
      <c r="F68" s="8"/>
      <c r="G68" s="8"/>
      <c r="H68" s="8"/>
      <c r="I68" s="8"/>
      <c r="J68" s="8"/>
      <c r="K68" s="8"/>
      <c r="L68" s="8"/>
      <c r="M68" s="8"/>
      <c r="N68" s="8"/>
      <c r="O68" s="2"/>
    </row>
    <row r="69" spans="1:15">
      <c r="A69" s="103" t="s">
        <v>271</v>
      </c>
      <c r="B69" s="99"/>
      <c r="C69" s="99"/>
      <c r="D69" s="99"/>
      <c r="E69" s="99"/>
      <c r="F69" s="99"/>
      <c r="G69" s="99"/>
      <c r="H69" s="99"/>
      <c r="I69" s="99"/>
      <c r="J69" s="99"/>
      <c r="K69" s="99"/>
      <c r="L69" s="99"/>
      <c r="M69" s="99"/>
      <c r="N69" s="99"/>
      <c r="O69" s="2"/>
    </row>
    <row r="70" spans="1:15">
      <c r="A70" s="10" t="s">
        <v>272</v>
      </c>
      <c r="B70" s="10">
        <v>1</v>
      </c>
      <c r="C70" s="10">
        <v>2</v>
      </c>
      <c r="D70" s="10">
        <v>3</v>
      </c>
      <c r="E70" s="10">
        <v>4</v>
      </c>
      <c r="F70" s="10">
        <v>5</v>
      </c>
      <c r="G70" s="10">
        <v>6</v>
      </c>
      <c r="H70" s="10">
        <v>7</v>
      </c>
      <c r="I70" s="10">
        <v>8</v>
      </c>
      <c r="J70" s="10">
        <v>9</v>
      </c>
      <c r="K70" s="10">
        <v>10</v>
      </c>
      <c r="L70" s="10">
        <v>11</v>
      </c>
      <c r="M70" s="10">
        <v>12</v>
      </c>
      <c r="N70" s="10">
        <v>13</v>
      </c>
      <c r="O70" s="2"/>
    </row>
    <row r="71" spans="1:15">
      <c r="A71" s="10">
        <v>1</v>
      </c>
      <c r="B71" s="11" t="str">
        <f t="shared" ref="B71:N83" si="0">IF($A71=B$70,"",COUNTIF($C$4:$F$66,$A71&amp;" ضد "&amp;B$70)+COUNTIF($C$4:$F$66,B$70&amp;" ضد "&amp;$A71))</f>
        <v/>
      </c>
      <c r="C71" s="11">
        <f t="shared" si="0"/>
        <v>3</v>
      </c>
      <c r="D71" s="11">
        <f t="shared" si="0"/>
        <v>3</v>
      </c>
      <c r="E71" s="11">
        <f t="shared" si="0"/>
        <v>2</v>
      </c>
      <c r="F71" s="11">
        <f t="shared" si="0"/>
        <v>2</v>
      </c>
      <c r="G71" s="11">
        <f t="shared" si="0"/>
        <v>2</v>
      </c>
      <c r="H71" s="11">
        <f t="shared" si="0"/>
        <v>2</v>
      </c>
      <c r="I71" s="11">
        <f t="shared" si="0"/>
        <v>2</v>
      </c>
      <c r="J71" s="11">
        <f t="shared" si="0"/>
        <v>2</v>
      </c>
      <c r="K71" s="11">
        <f t="shared" si="0"/>
        <v>2</v>
      </c>
      <c r="L71" s="11">
        <f t="shared" si="0"/>
        <v>2</v>
      </c>
      <c r="M71" s="11">
        <f t="shared" si="0"/>
        <v>3</v>
      </c>
      <c r="N71" s="11">
        <f t="shared" si="0"/>
        <v>3</v>
      </c>
      <c r="O71" s="2"/>
    </row>
    <row r="72" spans="1:15">
      <c r="A72" s="10">
        <v>2</v>
      </c>
      <c r="B72" s="11">
        <f t="shared" si="0"/>
        <v>3</v>
      </c>
      <c r="C72" s="11" t="str">
        <f t="shared" si="0"/>
        <v/>
      </c>
      <c r="D72" s="11">
        <f t="shared" si="0"/>
        <v>3</v>
      </c>
      <c r="E72" s="11">
        <f t="shared" si="0"/>
        <v>3</v>
      </c>
      <c r="F72" s="11">
        <f t="shared" si="0"/>
        <v>2</v>
      </c>
      <c r="G72" s="11">
        <f t="shared" si="0"/>
        <v>2</v>
      </c>
      <c r="H72" s="11">
        <f t="shared" si="0"/>
        <v>2</v>
      </c>
      <c r="I72" s="11">
        <f t="shared" si="0"/>
        <v>2</v>
      </c>
      <c r="J72" s="11">
        <f t="shared" si="0"/>
        <v>2</v>
      </c>
      <c r="K72" s="11">
        <f t="shared" si="0"/>
        <v>2</v>
      </c>
      <c r="L72" s="11">
        <f t="shared" si="0"/>
        <v>2</v>
      </c>
      <c r="M72" s="11">
        <f t="shared" si="0"/>
        <v>2</v>
      </c>
      <c r="N72" s="11">
        <f t="shared" si="0"/>
        <v>3</v>
      </c>
      <c r="O72" s="2"/>
    </row>
    <row r="73" spans="1:15">
      <c r="A73" s="10">
        <v>3</v>
      </c>
      <c r="B73" s="11">
        <f t="shared" si="0"/>
        <v>3</v>
      </c>
      <c r="C73" s="11">
        <f t="shared" si="0"/>
        <v>3</v>
      </c>
      <c r="D73" s="11" t="str">
        <f t="shared" si="0"/>
        <v/>
      </c>
      <c r="E73" s="11">
        <f t="shared" si="0"/>
        <v>3</v>
      </c>
      <c r="F73" s="11">
        <f t="shared" si="0"/>
        <v>3</v>
      </c>
      <c r="G73" s="11">
        <f t="shared" si="0"/>
        <v>2</v>
      </c>
      <c r="H73" s="11">
        <f t="shared" si="0"/>
        <v>2</v>
      </c>
      <c r="I73" s="11">
        <f t="shared" si="0"/>
        <v>2</v>
      </c>
      <c r="J73" s="11">
        <f t="shared" si="0"/>
        <v>2</v>
      </c>
      <c r="K73" s="11">
        <f t="shared" si="0"/>
        <v>2</v>
      </c>
      <c r="L73" s="11">
        <f t="shared" si="0"/>
        <v>2</v>
      </c>
      <c r="M73" s="11">
        <f t="shared" si="0"/>
        <v>2</v>
      </c>
      <c r="N73" s="11">
        <f t="shared" si="0"/>
        <v>2</v>
      </c>
      <c r="O73" s="2"/>
    </row>
    <row r="74" spans="1:15">
      <c r="A74" s="10">
        <v>4</v>
      </c>
      <c r="B74" s="11">
        <f t="shared" si="0"/>
        <v>2</v>
      </c>
      <c r="C74" s="11">
        <f t="shared" si="0"/>
        <v>3</v>
      </c>
      <c r="D74" s="11">
        <f t="shared" si="0"/>
        <v>3</v>
      </c>
      <c r="E74" s="11" t="str">
        <f t="shared" si="0"/>
        <v/>
      </c>
      <c r="F74" s="11">
        <f t="shared" si="0"/>
        <v>3</v>
      </c>
      <c r="G74" s="11">
        <f t="shared" si="0"/>
        <v>3</v>
      </c>
      <c r="H74" s="11">
        <f t="shared" si="0"/>
        <v>2</v>
      </c>
      <c r="I74" s="11">
        <f t="shared" si="0"/>
        <v>2</v>
      </c>
      <c r="J74" s="11">
        <f t="shared" si="0"/>
        <v>2</v>
      </c>
      <c r="K74" s="11">
        <f t="shared" si="0"/>
        <v>2</v>
      </c>
      <c r="L74" s="11">
        <f t="shared" si="0"/>
        <v>2</v>
      </c>
      <c r="M74" s="11">
        <f t="shared" si="0"/>
        <v>2</v>
      </c>
      <c r="N74" s="11">
        <f t="shared" si="0"/>
        <v>2</v>
      </c>
      <c r="O74" s="2"/>
    </row>
    <row r="75" spans="1:15">
      <c r="A75" s="10">
        <v>5</v>
      </c>
      <c r="B75" s="11">
        <f t="shared" si="0"/>
        <v>2</v>
      </c>
      <c r="C75" s="11">
        <f t="shared" si="0"/>
        <v>2</v>
      </c>
      <c r="D75" s="11">
        <f t="shared" si="0"/>
        <v>3</v>
      </c>
      <c r="E75" s="11">
        <f t="shared" si="0"/>
        <v>3</v>
      </c>
      <c r="F75" s="11" t="str">
        <f t="shared" si="0"/>
        <v/>
      </c>
      <c r="G75" s="11">
        <f t="shared" si="0"/>
        <v>3</v>
      </c>
      <c r="H75" s="11">
        <f t="shared" si="0"/>
        <v>3</v>
      </c>
      <c r="I75" s="11">
        <f t="shared" si="0"/>
        <v>2</v>
      </c>
      <c r="J75" s="11">
        <f t="shared" si="0"/>
        <v>2</v>
      </c>
      <c r="K75" s="11">
        <f t="shared" si="0"/>
        <v>2</v>
      </c>
      <c r="L75" s="11">
        <f t="shared" si="0"/>
        <v>2</v>
      </c>
      <c r="M75" s="11">
        <f t="shared" si="0"/>
        <v>2</v>
      </c>
      <c r="N75" s="11">
        <f t="shared" si="0"/>
        <v>2</v>
      </c>
      <c r="O75" s="2"/>
    </row>
    <row r="76" spans="1:15">
      <c r="A76" s="10">
        <v>6</v>
      </c>
      <c r="B76" s="11">
        <f t="shared" si="0"/>
        <v>2</v>
      </c>
      <c r="C76" s="11">
        <f t="shared" si="0"/>
        <v>2</v>
      </c>
      <c r="D76" s="11">
        <f t="shared" si="0"/>
        <v>2</v>
      </c>
      <c r="E76" s="11">
        <f t="shared" si="0"/>
        <v>3</v>
      </c>
      <c r="F76" s="11">
        <f t="shared" si="0"/>
        <v>3</v>
      </c>
      <c r="G76" s="11" t="str">
        <f t="shared" si="0"/>
        <v/>
      </c>
      <c r="H76" s="11">
        <f t="shared" si="0"/>
        <v>3</v>
      </c>
      <c r="I76" s="11">
        <f t="shared" si="0"/>
        <v>3</v>
      </c>
      <c r="J76" s="11">
        <f t="shared" si="0"/>
        <v>2</v>
      </c>
      <c r="K76" s="11">
        <f t="shared" si="0"/>
        <v>2</v>
      </c>
      <c r="L76" s="11">
        <f t="shared" si="0"/>
        <v>2</v>
      </c>
      <c r="M76" s="11">
        <f t="shared" si="0"/>
        <v>2</v>
      </c>
      <c r="N76" s="11">
        <f t="shared" si="0"/>
        <v>2</v>
      </c>
      <c r="O76" s="2"/>
    </row>
    <row r="77" spans="1:15">
      <c r="A77" s="10">
        <v>7</v>
      </c>
      <c r="B77" s="11">
        <f t="shared" si="0"/>
        <v>2</v>
      </c>
      <c r="C77" s="11">
        <f t="shared" si="0"/>
        <v>2</v>
      </c>
      <c r="D77" s="11">
        <f t="shared" si="0"/>
        <v>2</v>
      </c>
      <c r="E77" s="11">
        <f t="shared" si="0"/>
        <v>2</v>
      </c>
      <c r="F77" s="11">
        <f t="shared" si="0"/>
        <v>3</v>
      </c>
      <c r="G77" s="11">
        <f t="shared" si="0"/>
        <v>3</v>
      </c>
      <c r="H77" s="24" t="str">
        <f t="shared" si="0"/>
        <v/>
      </c>
      <c r="I77" s="24">
        <f t="shared" si="0"/>
        <v>3</v>
      </c>
      <c r="J77" s="24">
        <f t="shared" si="0"/>
        <v>3</v>
      </c>
      <c r="K77" s="24">
        <f t="shared" si="0"/>
        <v>2</v>
      </c>
      <c r="L77" s="24">
        <f t="shared" si="0"/>
        <v>2</v>
      </c>
      <c r="M77" s="24">
        <f t="shared" si="0"/>
        <v>2</v>
      </c>
      <c r="N77" s="24">
        <f t="shared" si="0"/>
        <v>2</v>
      </c>
      <c r="O77" s="2"/>
    </row>
    <row r="78" spans="1:15">
      <c r="A78" s="10">
        <v>8</v>
      </c>
      <c r="B78" s="11">
        <f t="shared" si="0"/>
        <v>2</v>
      </c>
      <c r="C78" s="11">
        <f t="shared" si="0"/>
        <v>2</v>
      </c>
      <c r="D78" s="11">
        <f t="shared" si="0"/>
        <v>2</v>
      </c>
      <c r="E78" s="11">
        <f t="shared" si="0"/>
        <v>2</v>
      </c>
      <c r="F78" s="11">
        <f t="shared" si="0"/>
        <v>2</v>
      </c>
      <c r="G78" s="11">
        <f t="shared" si="0"/>
        <v>3</v>
      </c>
      <c r="H78" s="11">
        <f t="shared" si="0"/>
        <v>3</v>
      </c>
      <c r="I78" s="11" t="str">
        <f t="shared" si="0"/>
        <v/>
      </c>
      <c r="J78" s="11">
        <f t="shared" si="0"/>
        <v>3</v>
      </c>
      <c r="K78" s="11">
        <f t="shared" si="0"/>
        <v>3</v>
      </c>
      <c r="L78" s="11">
        <f t="shared" si="0"/>
        <v>2</v>
      </c>
      <c r="M78" s="11">
        <f t="shared" si="0"/>
        <v>2</v>
      </c>
      <c r="N78" s="11">
        <f t="shared" si="0"/>
        <v>2</v>
      </c>
    </row>
    <row r="79" spans="1:15">
      <c r="A79" s="10">
        <v>9</v>
      </c>
      <c r="B79" s="11">
        <f t="shared" si="0"/>
        <v>2</v>
      </c>
      <c r="C79" s="11">
        <f t="shared" si="0"/>
        <v>2</v>
      </c>
      <c r="D79" s="11">
        <f t="shared" si="0"/>
        <v>2</v>
      </c>
      <c r="E79" s="11">
        <f t="shared" si="0"/>
        <v>2</v>
      </c>
      <c r="F79" s="11">
        <f t="shared" si="0"/>
        <v>2</v>
      </c>
      <c r="G79" s="11">
        <f t="shared" si="0"/>
        <v>2</v>
      </c>
      <c r="H79" s="11">
        <f t="shared" si="0"/>
        <v>3</v>
      </c>
      <c r="I79" s="11">
        <f t="shared" si="0"/>
        <v>3</v>
      </c>
      <c r="J79" s="11" t="str">
        <f t="shared" si="0"/>
        <v/>
      </c>
      <c r="K79" s="11">
        <f t="shared" si="0"/>
        <v>3</v>
      </c>
      <c r="L79" s="11">
        <f t="shared" si="0"/>
        <v>3</v>
      </c>
      <c r="M79" s="11">
        <f t="shared" si="0"/>
        <v>2</v>
      </c>
      <c r="N79" s="11">
        <f t="shared" si="0"/>
        <v>2</v>
      </c>
    </row>
    <row r="80" spans="1:15">
      <c r="A80" s="10">
        <v>10</v>
      </c>
      <c r="B80" s="11">
        <f t="shared" si="0"/>
        <v>2</v>
      </c>
      <c r="C80" s="11">
        <f t="shared" si="0"/>
        <v>2</v>
      </c>
      <c r="D80" s="11">
        <f t="shared" si="0"/>
        <v>2</v>
      </c>
      <c r="E80" s="11">
        <f t="shared" si="0"/>
        <v>2</v>
      </c>
      <c r="F80" s="11">
        <f t="shared" si="0"/>
        <v>2</v>
      </c>
      <c r="G80" s="11">
        <f t="shared" si="0"/>
        <v>2</v>
      </c>
      <c r="H80" s="11">
        <f t="shared" si="0"/>
        <v>2</v>
      </c>
      <c r="I80" s="11">
        <f t="shared" si="0"/>
        <v>3</v>
      </c>
      <c r="J80" s="11">
        <f t="shared" si="0"/>
        <v>3</v>
      </c>
      <c r="K80" s="11" t="str">
        <f t="shared" si="0"/>
        <v/>
      </c>
      <c r="L80" s="11">
        <f t="shared" si="0"/>
        <v>3</v>
      </c>
      <c r="M80" s="11">
        <f t="shared" si="0"/>
        <v>3</v>
      </c>
      <c r="N80" s="11">
        <f t="shared" si="0"/>
        <v>2</v>
      </c>
    </row>
    <row r="81" spans="1:14">
      <c r="A81" s="10">
        <v>11</v>
      </c>
      <c r="B81" s="11">
        <f t="shared" si="0"/>
        <v>2</v>
      </c>
      <c r="C81" s="11">
        <f t="shared" si="0"/>
        <v>2</v>
      </c>
      <c r="D81" s="11">
        <f t="shared" si="0"/>
        <v>2</v>
      </c>
      <c r="E81" s="11">
        <f t="shared" si="0"/>
        <v>2</v>
      </c>
      <c r="F81" s="11">
        <f t="shared" si="0"/>
        <v>2</v>
      </c>
      <c r="G81" s="11">
        <f t="shared" si="0"/>
        <v>2</v>
      </c>
      <c r="H81" s="11">
        <f t="shared" si="0"/>
        <v>2</v>
      </c>
      <c r="I81" s="11">
        <f t="shared" si="0"/>
        <v>2</v>
      </c>
      <c r="J81" s="11">
        <f t="shared" si="0"/>
        <v>3</v>
      </c>
      <c r="K81" s="11">
        <f t="shared" si="0"/>
        <v>3</v>
      </c>
      <c r="L81" s="11" t="str">
        <f t="shared" si="0"/>
        <v/>
      </c>
      <c r="M81" s="11">
        <f t="shared" si="0"/>
        <v>3</v>
      </c>
      <c r="N81" s="11">
        <f t="shared" si="0"/>
        <v>3</v>
      </c>
    </row>
    <row r="82" spans="1:14">
      <c r="A82" s="10">
        <v>12</v>
      </c>
      <c r="B82" s="11">
        <f t="shared" si="0"/>
        <v>3</v>
      </c>
      <c r="C82" s="11">
        <f t="shared" si="0"/>
        <v>2</v>
      </c>
      <c r="D82" s="11">
        <f t="shared" si="0"/>
        <v>2</v>
      </c>
      <c r="E82" s="11">
        <f t="shared" si="0"/>
        <v>2</v>
      </c>
      <c r="F82" s="11">
        <f t="shared" si="0"/>
        <v>2</v>
      </c>
      <c r="G82" s="11">
        <f t="shared" si="0"/>
        <v>2</v>
      </c>
      <c r="H82" s="11">
        <f t="shared" si="0"/>
        <v>2</v>
      </c>
      <c r="I82" s="11">
        <f t="shared" si="0"/>
        <v>2</v>
      </c>
      <c r="J82" s="11">
        <f t="shared" si="0"/>
        <v>2</v>
      </c>
      <c r="K82" s="11">
        <f t="shared" si="0"/>
        <v>3</v>
      </c>
      <c r="L82" s="11">
        <f t="shared" si="0"/>
        <v>3</v>
      </c>
      <c r="M82" s="11" t="str">
        <f t="shared" si="0"/>
        <v/>
      </c>
      <c r="N82" s="11">
        <f t="shared" si="0"/>
        <v>3</v>
      </c>
    </row>
    <row r="83" spans="1:14">
      <c r="A83" s="10">
        <v>13</v>
      </c>
      <c r="B83" s="11">
        <f t="shared" si="0"/>
        <v>3</v>
      </c>
      <c r="C83" s="11">
        <f t="shared" si="0"/>
        <v>3</v>
      </c>
      <c r="D83" s="11">
        <f t="shared" si="0"/>
        <v>2</v>
      </c>
      <c r="E83" s="11">
        <f t="shared" si="0"/>
        <v>2</v>
      </c>
      <c r="F83" s="11">
        <f t="shared" si="0"/>
        <v>2</v>
      </c>
      <c r="G83" s="11">
        <f t="shared" si="0"/>
        <v>2</v>
      </c>
      <c r="H83" s="11">
        <f t="shared" si="0"/>
        <v>2</v>
      </c>
      <c r="I83" s="11">
        <f t="shared" si="0"/>
        <v>2</v>
      </c>
      <c r="J83" s="11">
        <f t="shared" si="0"/>
        <v>2</v>
      </c>
      <c r="K83" s="11">
        <f t="shared" si="0"/>
        <v>2</v>
      </c>
      <c r="L83" s="11">
        <f t="shared" si="0"/>
        <v>3</v>
      </c>
      <c r="M83" s="11">
        <f t="shared" si="0"/>
        <v>3</v>
      </c>
      <c r="N83" s="11" t="str">
        <f t="shared" si="0"/>
        <v/>
      </c>
    </row>
    <row r="84" spans="1:14">
      <c r="A84" s="22" t="s">
        <v>273</v>
      </c>
      <c r="B84" s="21">
        <f>MIN(B71:N83)</f>
        <v>2</v>
      </c>
      <c r="C84" s="8"/>
      <c r="D84" s="8"/>
      <c r="E84" s="8"/>
      <c r="F84" s="8"/>
      <c r="G84" s="8"/>
      <c r="H84" s="26"/>
      <c r="I84" s="8"/>
      <c r="J84" s="8"/>
      <c r="K84" s="8"/>
      <c r="L84" s="8"/>
      <c r="M84" s="8"/>
      <c r="N84" s="8"/>
    </row>
    <row r="85" spans="1:14">
      <c r="A85" s="22" t="s">
        <v>274</v>
      </c>
      <c r="B85" s="21">
        <f>MAX(B71:N83)</f>
        <v>3</v>
      </c>
      <c r="C85" s="8"/>
      <c r="D85" s="8"/>
      <c r="E85" s="8"/>
      <c r="F85" s="8"/>
      <c r="G85" s="8"/>
      <c r="H85" s="26"/>
      <c r="I85" s="8"/>
      <c r="J85" s="8"/>
      <c r="K85" s="8"/>
      <c r="L85" s="8"/>
      <c r="M85" s="8"/>
      <c r="N85" s="8"/>
    </row>
    <row r="86" spans="1:14">
      <c r="H86" s="4"/>
    </row>
    <row r="87" spans="1:14">
      <c r="H87" s="4"/>
    </row>
    <row r="88" spans="1:14">
      <c r="H88" s="4"/>
    </row>
    <row r="89" spans="1:14">
      <c r="H89" s="4"/>
    </row>
    <row r="90" spans="1:14">
      <c r="H90" s="4"/>
    </row>
    <row r="91" spans="1:14">
      <c r="H91" s="4"/>
    </row>
    <row r="92" spans="1:14">
      <c r="H92" s="4"/>
    </row>
    <row r="93" spans="1:14">
      <c r="H93" s="4"/>
    </row>
    <row r="94" spans="1:14">
      <c r="H94" s="4"/>
    </row>
    <row r="95" spans="1:14">
      <c r="H95" s="4"/>
    </row>
    <row r="96" spans="1:14">
      <c r="H96" s="4"/>
    </row>
    <row r="97" spans="8:8">
      <c r="H97" s="4"/>
    </row>
    <row r="98" spans="8:8">
      <c r="H98" s="4"/>
    </row>
    <row r="99" spans="8:8">
      <c r="H99" s="4"/>
    </row>
    <row r="100" spans="8:8">
      <c r="H100" s="4"/>
    </row>
    <row r="101" spans="8:8">
      <c r="H101" s="4"/>
    </row>
    <row r="102" spans="8:8">
      <c r="H102" s="4"/>
    </row>
    <row r="103" spans="8:8">
      <c r="H103" s="4"/>
    </row>
    <row r="104" spans="8:8">
      <c r="H104" s="4"/>
    </row>
    <row r="105" spans="8:8">
      <c r="H105" s="4"/>
    </row>
    <row r="106" spans="8:8">
      <c r="H106" s="4"/>
    </row>
    <row r="107" spans="8:8">
      <c r="H107" s="4"/>
    </row>
    <row r="108" spans="8:8">
      <c r="H108" s="4"/>
    </row>
    <row r="109" spans="8:8">
      <c r="H109" s="4"/>
    </row>
    <row r="110" spans="8:8">
      <c r="H110" s="4"/>
    </row>
    <row r="111" spans="8:8">
      <c r="H111" s="4"/>
    </row>
    <row r="112" spans="8:8">
      <c r="H112" s="4"/>
    </row>
    <row r="113" spans="8:8">
      <c r="H113" s="4"/>
    </row>
    <row r="114" spans="8:8">
      <c r="H114" s="4"/>
    </row>
    <row r="115" spans="8:8">
      <c r="H115" s="4"/>
    </row>
    <row r="116" spans="8:8">
      <c r="H116" s="4"/>
    </row>
    <row r="117" spans="8:8">
      <c r="H117" s="4"/>
    </row>
    <row r="118" spans="8:8">
      <c r="H118" s="4"/>
    </row>
    <row r="119" spans="8:8">
      <c r="H119" s="4"/>
    </row>
    <row r="120" spans="8:8">
      <c r="H120" s="4"/>
    </row>
    <row r="121" spans="8:8">
      <c r="H121" s="4"/>
    </row>
    <row r="122" spans="8:8">
      <c r="H122" s="4"/>
    </row>
    <row r="123" spans="8:8">
      <c r="H123" s="4"/>
    </row>
    <row r="124" spans="8:8">
      <c r="H124" s="4"/>
    </row>
    <row r="125" spans="8:8">
      <c r="H125" s="4"/>
    </row>
    <row r="126" spans="8:8">
      <c r="H126" s="4"/>
    </row>
    <row r="127" spans="8:8">
      <c r="H127" s="4"/>
    </row>
    <row r="128" spans="8:8">
      <c r="H128" s="4"/>
    </row>
    <row r="129" spans="8:8">
      <c r="H129" s="4"/>
    </row>
    <row r="130" spans="8:8">
      <c r="H130" s="4"/>
    </row>
    <row r="131" spans="8:8">
      <c r="H131" s="4"/>
    </row>
    <row r="132" spans="8:8">
      <c r="H132" s="4"/>
    </row>
    <row r="133" spans="8:8">
      <c r="H133" s="4"/>
    </row>
    <row r="134" spans="8:8">
      <c r="H134" s="4"/>
    </row>
    <row r="135" spans="8:8">
      <c r="H135" s="4"/>
    </row>
    <row r="136" spans="8:8">
      <c r="H136" s="4"/>
    </row>
    <row r="137" spans="8:8">
      <c r="H137" s="4"/>
    </row>
    <row r="138" spans="8:8">
      <c r="H138" s="4"/>
    </row>
    <row r="139" spans="8:8">
      <c r="H139" s="4"/>
    </row>
    <row r="140" spans="8:8">
      <c r="H140" s="4"/>
    </row>
    <row r="141" spans="8:8">
      <c r="H141" s="4"/>
    </row>
    <row r="142" spans="8:8">
      <c r="H142" s="4"/>
    </row>
    <row r="143" spans="8:8">
      <c r="H143" s="4"/>
    </row>
    <row r="144" spans="8:8">
      <c r="H144" s="4"/>
    </row>
    <row r="145" spans="8:8">
      <c r="H145" s="4"/>
    </row>
    <row r="146" spans="8:8">
      <c r="H146" s="4"/>
    </row>
    <row r="147" spans="8:8">
      <c r="H147" s="4"/>
    </row>
    <row r="148" spans="8:8">
      <c r="H148" s="4"/>
    </row>
    <row r="149" spans="8:8">
      <c r="H149" s="4"/>
    </row>
    <row r="150" spans="8:8">
      <c r="H150" s="4"/>
    </row>
    <row r="151" spans="8:8">
      <c r="H151" s="4"/>
    </row>
    <row r="152" spans="8:8">
      <c r="H152" s="4"/>
    </row>
    <row r="153" spans="8:8">
      <c r="H153" s="4"/>
    </row>
    <row r="154" spans="8:8">
      <c r="H154" s="4"/>
    </row>
    <row r="155" spans="8:8">
      <c r="H155" s="4"/>
    </row>
    <row r="156" spans="8:8">
      <c r="H156" s="4"/>
    </row>
    <row r="157" spans="8:8">
      <c r="H157" s="4"/>
    </row>
    <row r="158" spans="8:8">
      <c r="H158" s="4"/>
    </row>
    <row r="159" spans="8:8">
      <c r="H159" s="4"/>
    </row>
    <row r="160" spans="8:8">
      <c r="H160" s="4"/>
    </row>
    <row r="161" spans="8:8">
      <c r="H161" s="4"/>
    </row>
    <row r="162" spans="8:8">
      <c r="H162" s="4"/>
    </row>
    <row r="163" spans="8:8">
      <c r="H163" s="4"/>
    </row>
    <row r="164" spans="8:8">
      <c r="H164" s="4"/>
    </row>
    <row r="165" spans="8:8">
      <c r="H165" s="4"/>
    </row>
    <row r="166" spans="8:8">
      <c r="H166" s="4"/>
    </row>
    <row r="167" spans="8:8">
      <c r="H167" s="4"/>
    </row>
    <row r="168" spans="8:8">
      <c r="H168" s="4"/>
    </row>
    <row r="169" spans="8:8">
      <c r="H169" s="4"/>
    </row>
    <row r="170" spans="8:8">
      <c r="H170" s="4"/>
    </row>
    <row r="171" spans="8:8">
      <c r="H171" s="4"/>
    </row>
    <row r="172" spans="8:8">
      <c r="H172" s="4"/>
    </row>
    <row r="173" spans="8:8">
      <c r="H173" s="4"/>
    </row>
    <row r="174" spans="8:8">
      <c r="H174" s="4"/>
    </row>
    <row r="175" spans="8:8">
      <c r="H175" s="4"/>
    </row>
    <row r="176" spans="8:8">
      <c r="H176" s="4"/>
    </row>
    <row r="177" spans="8:8">
      <c r="H177" s="4"/>
    </row>
    <row r="178" spans="8:8">
      <c r="H178" s="4"/>
    </row>
    <row r="179" spans="8:8">
      <c r="H179" s="4"/>
    </row>
    <row r="180" spans="8:8">
      <c r="H180" s="4"/>
    </row>
    <row r="181" spans="8:8">
      <c r="H181" s="4"/>
    </row>
    <row r="182" spans="8:8">
      <c r="H182" s="4"/>
    </row>
    <row r="183" spans="8:8">
      <c r="H183" s="4"/>
    </row>
    <row r="184" spans="8:8">
      <c r="H184" s="4"/>
    </row>
    <row r="185" spans="8:8">
      <c r="H185" s="4"/>
    </row>
    <row r="186" spans="8:8">
      <c r="H186" s="4"/>
    </row>
    <row r="187" spans="8:8">
      <c r="H187" s="4"/>
    </row>
    <row r="188" spans="8:8">
      <c r="H188" s="4"/>
    </row>
    <row r="189" spans="8:8">
      <c r="H189" s="4"/>
    </row>
    <row r="190" spans="8:8">
      <c r="H190" s="4"/>
    </row>
    <row r="191" spans="8:8">
      <c r="H191" s="4"/>
    </row>
    <row r="192" spans="8:8">
      <c r="H192" s="4"/>
    </row>
    <row r="193" spans="8:8">
      <c r="H193" s="4"/>
    </row>
    <row r="194" spans="8:8">
      <c r="H194" s="4"/>
    </row>
    <row r="195" spans="8:8">
      <c r="H195" s="4"/>
    </row>
    <row r="196" spans="8:8">
      <c r="H196" s="4"/>
    </row>
    <row r="197" spans="8:8">
      <c r="H197" s="4"/>
    </row>
    <row r="198" spans="8:8">
      <c r="H198" s="4"/>
    </row>
    <row r="199" spans="8:8">
      <c r="H199" s="4"/>
    </row>
  </sheetData>
  <mergeCells count="23">
    <mergeCell ref="A31:A39"/>
    <mergeCell ref="G31:G39"/>
    <mergeCell ref="G13:G21"/>
    <mergeCell ref="H13:H21"/>
    <mergeCell ref="A22:A30"/>
    <mergeCell ref="G22:G30"/>
    <mergeCell ref="H22:H30"/>
    <mergeCell ref="A58:A66"/>
    <mergeCell ref="G58:G66"/>
    <mergeCell ref="H58:H66"/>
    <mergeCell ref="A1:H1"/>
    <mergeCell ref="A69:N69"/>
    <mergeCell ref="H31:H39"/>
    <mergeCell ref="A40:A48"/>
    <mergeCell ref="G40:G48"/>
    <mergeCell ref="H40:H48"/>
    <mergeCell ref="A49:A57"/>
    <mergeCell ref="G49:G57"/>
    <mergeCell ref="H49:H57"/>
    <mergeCell ref="A4:A12"/>
    <mergeCell ref="G4:G12"/>
    <mergeCell ref="H4:H12"/>
    <mergeCell ref="A13:A2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BF82D-FB68-4F78-9DE7-B5E1CCB23017}">
  <dimension ref="A1:R199"/>
  <sheetViews>
    <sheetView showGridLines="0" rightToLeft="1" zoomScale="48" workbookViewId="0">
      <pane ySplit="3" topLeftCell="A58" activePane="bottomLeft" state="frozen"/>
      <selection pane="bottomLeft" activeCell="B72" sqref="B72"/>
    </sheetView>
  </sheetViews>
  <sheetFormatPr defaultRowHeight="14.5"/>
  <cols>
    <col min="1" max="1" width="10.54296875" customWidth="1"/>
    <col min="2" max="2" width="17.26953125" customWidth="1"/>
    <col min="3" max="10" width="14.54296875" customWidth="1"/>
    <col min="11" max="12" width="15.453125" customWidth="1"/>
    <col min="13" max="16" width="5.453125" customWidth="1"/>
  </cols>
  <sheetData>
    <row r="1" spans="1:18" ht="26" customHeight="1">
      <c r="A1" s="83" t="s">
        <v>291</v>
      </c>
      <c r="B1" s="83"/>
      <c r="C1" s="83"/>
      <c r="D1" s="83"/>
      <c r="E1" s="83"/>
      <c r="F1" s="83"/>
      <c r="G1" s="83"/>
      <c r="H1" s="83"/>
      <c r="I1" s="83"/>
      <c r="J1" s="83"/>
      <c r="K1" s="83"/>
      <c r="L1" s="83"/>
      <c r="M1" s="8"/>
      <c r="N1" s="8"/>
      <c r="O1" s="13"/>
      <c r="P1" s="8"/>
      <c r="Q1" s="8"/>
      <c r="R1" s="8"/>
    </row>
    <row r="2" spans="1:18" ht="8" customHeight="1">
      <c r="A2" s="8"/>
      <c r="B2" s="8"/>
      <c r="C2" s="8"/>
      <c r="D2" s="8"/>
      <c r="E2" s="8"/>
      <c r="F2" s="8"/>
      <c r="G2" s="8"/>
      <c r="H2" s="8"/>
      <c r="I2" s="8"/>
      <c r="J2" s="8"/>
      <c r="K2" s="8"/>
      <c r="L2" s="8"/>
      <c r="M2" s="8"/>
      <c r="N2" s="8"/>
      <c r="O2" s="13"/>
      <c r="P2" s="8"/>
      <c r="Q2" s="8"/>
      <c r="R2" s="8"/>
    </row>
    <row r="3" spans="1:18" ht="32" customHeight="1">
      <c r="A3" s="25" t="s">
        <v>0</v>
      </c>
      <c r="B3" s="25" t="s">
        <v>1</v>
      </c>
      <c r="C3" s="25" t="s">
        <v>251</v>
      </c>
      <c r="D3" s="25" t="s">
        <v>252</v>
      </c>
      <c r="E3" s="25" t="s">
        <v>253</v>
      </c>
      <c r="F3" s="25" t="s">
        <v>254</v>
      </c>
      <c r="G3" s="25" t="s">
        <v>255</v>
      </c>
      <c r="H3" s="25" t="s">
        <v>256</v>
      </c>
      <c r="I3" s="25" t="s">
        <v>257</v>
      </c>
      <c r="J3" s="25" t="s">
        <v>258</v>
      </c>
      <c r="K3" s="25" t="s">
        <v>263</v>
      </c>
      <c r="L3" s="25" t="s">
        <v>105</v>
      </c>
      <c r="M3" s="8"/>
      <c r="N3" s="8"/>
      <c r="O3" s="13"/>
      <c r="P3" s="8"/>
      <c r="Q3" s="8"/>
      <c r="R3" s="8"/>
    </row>
    <row r="4" spans="1:18" ht="14.5" customHeight="1">
      <c r="A4" s="101" t="s">
        <v>5</v>
      </c>
      <c r="B4"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 s="19" t="s">
        <v>72</v>
      </c>
      <c r="D4" s="19" t="s">
        <v>27</v>
      </c>
      <c r="E4" s="19"/>
      <c r="F4" s="19"/>
      <c r="G4" s="20" t="s">
        <v>127</v>
      </c>
      <c r="H4" s="20" t="s">
        <v>152</v>
      </c>
      <c r="I4" s="20" t="s">
        <v>141</v>
      </c>
      <c r="J4" s="20" t="s">
        <v>101</v>
      </c>
      <c r="K4" s="102">
        <f>COUNTIF(C4:J12,"* ضد *")</f>
        <v>34</v>
      </c>
      <c r="L4" s="102">
        <f>K4*2/'ملخص البطولات'!$A$10</f>
        <v>4</v>
      </c>
      <c r="M4" s="8"/>
      <c r="N4" s="8"/>
      <c r="O4" s="13"/>
      <c r="P4" s="8"/>
      <c r="Q4" s="8"/>
      <c r="R4" s="8"/>
    </row>
    <row r="5" spans="1:18">
      <c r="A5" s="101"/>
      <c r="B5"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 s="19" t="s">
        <v>41</v>
      </c>
      <c r="D5" s="19"/>
      <c r="E5" s="19"/>
      <c r="F5" s="19"/>
      <c r="G5" s="20"/>
      <c r="H5" s="20"/>
      <c r="I5" s="20"/>
      <c r="J5" s="20"/>
      <c r="K5" s="102"/>
      <c r="L5" s="102"/>
      <c r="M5" s="8"/>
      <c r="N5" s="8"/>
      <c r="O5" s="13"/>
      <c r="P5" s="8"/>
      <c r="Q5" s="8"/>
      <c r="R5" s="8"/>
    </row>
    <row r="6" spans="1:18">
      <c r="A6" s="101"/>
      <c r="B6"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 s="19" t="s">
        <v>48</v>
      </c>
      <c r="D6" s="19" t="s">
        <v>69</v>
      </c>
      <c r="E6" s="19" t="s">
        <v>22</v>
      </c>
      <c r="F6" s="19"/>
      <c r="G6" s="20" t="s">
        <v>138</v>
      </c>
      <c r="H6" s="20" t="s">
        <v>79</v>
      </c>
      <c r="I6" s="20" t="s">
        <v>122</v>
      </c>
      <c r="J6" s="20" t="s">
        <v>126</v>
      </c>
      <c r="K6" s="102"/>
      <c r="L6" s="102"/>
      <c r="M6" s="8"/>
      <c r="N6" s="8"/>
      <c r="O6" s="13"/>
      <c r="P6" s="8"/>
      <c r="Q6" s="8"/>
      <c r="R6" s="8"/>
    </row>
    <row r="7" spans="1:18">
      <c r="A7" s="101"/>
      <c r="B7"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7" s="19" t="s">
        <v>75</v>
      </c>
      <c r="D7" s="19"/>
      <c r="E7" s="19"/>
      <c r="F7" s="19"/>
      <c r="G7" s="20"/>
      <c r="H7" s="20"/>
      <c r="I7" s="20"/>
      <c r="J7" s="20"/>
      <c r="K7" s="102"/>
      <c r="L7" s="102"/>
      <c r="M7" s="8"/>
      <c r="N7" s="8"/>
      <c r="O7" s="13"/>
      <c r="P7" s="8"/>
      <c r="Q7" s="8"/>
      <c r="R7" s="8"/>
    </row>
    <row r="8" spans="1:18">
      <c r="A8" s="101"/>
      <c r="B8"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8" s="19" t="s">
        <v>36</v>
      </c>
      <c r="D8" s="19" t="s">
        <v>53</v>
      </c>
      <c r="E8" s="19" t="s">
        <v>34</v>
      </c>
      <c r="F8" s="19"/>
      <c r="G8" s="20" t="s">
        <v>125</v>
      </c>
      <c r="H8" s="20" t="s">
        <v>90</v>
      </c>
      <c r="I8" s="20" t="s">
        <v>98</v>
      </c>
      <c r="J8" s="20" t="s">
        <v>136</v>
      </c>
      <c r="K8" s="102"/>
      <c r="L8" s="102"/>
      <c r="M8" s="8"/>
      <c r="N8" s="8"/>
      <c r="O8" s="13"/>
      <c r="P8" s="8"/>
      <c r="Q8" s="8"/>
      <c r="R8" s="8"/>
    </row>
    <row r="9" spans="1:18">
      <c r="A9" s="101"/>
      <c r="B9"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9" s="19" t="s">
        <v>60</v>
      </c>
      <c r="D9" s="19"/>
      <c r="E9" s="19"/>
      <c r="F9" s="19"/>
      <c r="G9" s="20"/>
      <c r="H9" s="20"/>
      <c r="I9" s="20"/>
      <c r="J9" s="20"/>
      <c r="K9" s="102"/>
      <c r="L9" s="102"/>
      <c r="M9" s="8"/>
      <c r="N9" s="8"/>
      <c r="O9" s="13"/>
      <c r="P9" s="8"/>
      <c r="Q9" s="8"/>
      <c r="R9" s="8"/>
    </row>
    <row r="10" spans="1:18">
      <c r="A10" s="101"/>
      <c r="B10"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0" s="19" t="s">
        <v>42</v>
      </c>
      <c r="D10" s="19" t="s">
        <v>66</v>
      </c>
      <c r="E10" s="19" t="s">
        <v>44</v>
      </c>
      <c r="F10" s="19"/>
      <c r="G10" s="20" t="s">
        <v>128</v>
      </c>
      <c r="H10" s="20" t="s">
        <v>99</v>
      </c>
      <c r="I10" s="20" t="s">
        <v>162</v>
      </c>
      <c r="J10" s="20" t="s">
        <v>131</v>
      </c>
      <c r="K10" s="102"/>
      <c r="L10" s="102"/>
      <c r="M10" s="8"/>
      <c r="N10" s="8"/>
      <c r="O10" s="13"/>
      <c r="P10" s="8"/>
      <c r="Q10" s="8"/>
      <c r="R10" s="8"/>
    </row>
    <row r="11" spans="1:18" ht="14.5" customHeight="1">
      <c r="A11" s="101"/>
      <c r="B11"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11" s="19" t="s">
        <v>23</v>
      </c>
      <c r="D11" s="19"/>
      <c r="E11" s="19"/>
      <c r="F11" s="19"/>
      <c r="G11" s="20"/>
      <c r="H11" s="20"/>
      <c r="I11" s="20"/>
      <c r="J11" s="20"/>
      <c r="K11" s="102"/>
      <c r="L11" s="102"/>
      <c r="M11" s="8"/>
      <c r="N11" s="8"/>
      <c r="O11" s="13"/>
      <c r="P11" s="8"/>
      <c r="Q11" s="8"/>
      <c r="R11" s="8"/>
    </row>
    <row r="12" spans="1:18">
      <c r="A12" s="101"/>
      <c r="B12"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12" s="19" t="s">
        <v>68</v>
      </c>
      <c r="D12" s="19" t="s">
        <v>49</v>
      </c>
      <c r="E12" s="19" t="s">
        <v>78</v>
      </c>
      <c r="F12" s="19"/>
      <c r="G12" s="20"/>
      <c r="H12" s="20"/>
      <c r="I12" s="20"/>
      <c r="J12" s="20"/>
      <c r="K12" s="102"/>
      <c r="L12" s="102"/>
      <c r="M12" s="8"/>
      <c r="N12" s="8"/>
      <c r="O12" s="13"/>
      <c r="P12" s="8"/>
      <c r="Q12" s="8"/>
      <c r="R12" s="8"/>
    </row>
    <row r="13" spans="1:18">
      <c r="A13" s="101" t="s">
        <v>6</v>
      </c>
      <c r="B13"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13" s="19" t="s">
        <v>52</v>
      </c>
      <c r="D13" s="19" t="s">
        <v>43</v>
      </c>
      <c r="E13" s="19" t="s">
        <v>35</v>
      </c>
      <c r="F13" s="19"/>
      <c r="G13" s="20" t="s">
        <v>118</v>
      </c>
      <c r="H13" s="20" t="s">
        <v>120</v>
      </c>
      <c r="I13" s="20" t="s">
        <v>130</v>
      </c>
      <c r="J13" s="20" t="s">
        <v>33</v>
      </c>
      <c r="K13" s="100">
        <f>COUNTIF(C13:J21,"* ضد *")</f>
        <v>34</v>
      </c>
      <c r="L13" s="100">
        <f>K13*2/'ملخص البطولات'!$A$10</f>
        <v>4</v>
      </c>
      <c r="M13" s="8"/>
      <c r="N13" s="8"/>
      <c r="O13" s="13"/>
      <c r="P13" s="8"/>
      <c r="Q13" s="8"/>
      <c r="R13" s="8"/>
    </row>
    <row r="14" spans="1:18">
      <c r="A14" s="101"/>
      <c r="B14"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14" s="19" t="s">
        <v>84</v>
      </c>
      <c r="D14" s="19"/>
      <c r="E14" s="19"/>
      <c r="F14" s="19"/>
      <c r="G14" s="20"/>
      <c r="H14" s="20"/>
      <c r="I14" s="20"/>
      <c r="J14" s="20"/>
      <c r="K14" s="100"/>
      <c r="L14" s="100"/>
      <c r="M14" s="8"/>
      <c r="N14" s="8"/>
      <c r="O14" s="13"/>
      <c r="P14" s="8"/>
      <c r="Q14" s="8"/>
      <c r="R14" s="8"/>
    </row>
    <row r="15" spans="1:18">
      <c r="A15" s="101"/>
      <c r="B15"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15" s="19" t="s">
        <v>25</v>
      </c>
      <c r="D15" s="19" t="s">
        <v>30</v>
      </c>
      <c r="E15" s="19" t="s">
        <v>40</v>
      </c>
      <c r="F15" s="19"/>
      <c r="G15" s="20" t="s">
        <v>124</v>
      </c>
      <c r="H15" s="20" t="s">
        <v>148</v>
      </c>
      <c r="I15" s="20" t="s">
        <v>91</v>
      </c>
      <c r="J15" s="20" t="s">
        <v>21</v>
      </c>
      <c r="K15" s="100"/>
      <c r="L15" s="100"/>
      <c r="M15" s="8"/>
      <c r="N15" s="8"/>
      <c r="O15" s="13"/>
      <c r="P15" s="8"/>
      <c r="Q15" s="8"/>
      <c r="R15" s="8"/>
    </row>
    <row r="16" spans="1:18">
      <c r="A16" s="101"/>
      <c r="B16"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16" s="19" t="s">
        <v>82</v>
      </c>
      <c r="D16" s="19"/>
      <c r="E16" s="19"/>
      <c r="F16" s="19"/>
      <c r="G16" s="20"/>
      <c r="H16" s="20"/>
      <c r="I16" s="20"/>
      <c r="J16" s="20"/>
      <c r="K16" s="100"/>
      <c r="L16" s="100"/>
      <c r="M16" s="8"/>
      <c r="N16" s="8"/>
      <c r="O16" s="13"/>
      <c r="P16" s="8"/>
      <c r="Q16" s="8"/>
      <c r="R16" s="8"/>
    </row>
    <row r="17" spans="1:18">
      <c r="A17" s="101"/>
      <c r="B17"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17" s="19" t="s">
        <v>32</v>
      </c>
      <c r="D17" s="19" t="s">
        <v>65</v>
      </c>
      <c r="E17" s="19" t="s">
        <v>57</v>
      </c>
      <c r="F17" s="19"/>
      <c r="G17" s="20" t="s">
        <v>119</v>
      </c>
      <c r="H17" s="20" t="s">
        <v>143</v>
      </c>
      <c r="I17" s="20" t="s">
        <v>100</v>
      </c>
      <c r="J17" s="20" t="s">
        <v>88</v>
      </c>
      <c r="K17" s="100"/>
      <c r="L17" s="100"/>
      <c r="M17" s="8"/>
      <c r="N17" s="8"/>
      <c r="O17" s="13"/>
      <c r="P17" s="8"/>
      <c r="Q17" s="8"/>
      <c r="R17" s="8"/>
    </row>
    <row r="18" spans="1:18" ht="14.5" customHeight="1">
      <c r="A18" s="101"/>
      <c r="B18"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18" s="19" t="s">
        <v>51</v>
      </c>
      <c r="D18" s="19"/>
      <c r="E18" s="19"/>
      <c r="F18" s="19"/>
      <c r="G18" s="20"/>
      <c r="H18" s="20"/>
      <c r="I18" s="20"/>
      <c r="J18" s="20"/>
      <c r="K18" s="100"/>
      <c r="L18" s="100"/>
      <c r="M18" s="8"/>
      <c r="N18" s="8"/>
      <c r="O18" s="13"/>
      <c r="P18" s="8"/>
      <c r="Q18" s="8"/>
      <c r="R18" s="8"/>
    </row>
    <row r="19" spans="1:18">
      <c r="A19" s="101"/>
      <c r="B19"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9" s="19" t="s">
        <v>81</v>
      </c>
      <c r="D19" s="19" t="s">
        <v>73</v>
      </c>
      <c r="E19" s="19"/>
      <c r="F19" s="19"/>
      <c r="G19" s="20" t="s">
        <v>127</v>
      </c>
      <c r="H19" s="20" t="s">
        <v>152</v>
      </c>
      <c r="I19" s="20" t="s">
        <v>141</v>
      </c>
      <c r="J19" s="20" t="s">
        <v>101</v>
      </c>
      <c r="K19" s="100"/>
      <c r="L19" s="100"/>
      <c r="M19" s="8"/>
      <c r="N19" s="8"/>
      <c r="O19" s="13"/>
      <c r="P19" s="8"/>
      <c r="Q19" s="8"/>
      <c r="R19" s="8"/>
    </row>
    <row r="20" spans="1:18">
      <c r="A20" s="101"/>
      <c r="B20"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20" s="19" t="s">
        <v>85</v>
      </c>
      <c r="D20" s="19" t="s">
        <v>70</v>
      </c>
      <c r="E20" s="19"/>
      <c r="F20" s="19"/>
      <c r="G20" s="20"/>
      <c r="H20" s="20"/>
      <c r="I20" s="20"/>
      <c r="J20" s="20"/>
      <c r="K20" s="100"/>
      <c r="L20" s="100"/>
      <c r="M20" s="8"/>
      <c r="N20" s="8"/>
      <c r="O20" s="13"/>
      <c r="P20" s="8"/>
      <c r="Q20" s="8"/>
      <c r="R20" s="8"/>
    </row>
    <row r="21" spans="1:18">
      <c r="A21" s="101"/>
      <c r="B21"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21" s="19" t="s">
        <v>20</v>
      </c>
      <c r="D21" s="19" t="s">
        <v>58</v>
      </c>
      <c r="E21" s="19"/>
      <c r="F21" s="19"/>
      <c r="G21" s="20"/>
      <c r="H21" s="20"/>
      <c r="I21" s="20"/>
      <c r="J21" s="20"/>
      <c r="K21" s="100"/>
      <c r="L21" s="100"/>
      <c r="M21" s="8"/>
      <c r="N21" s="8"/>
      <c r="O21" s="13"/>
      <c r="P21" s="8"/>
      <c r="Q21" s="8"/>
      <c r="R21" s="8"/>
    </row>
    <row r="22" spans="1:18">
      <c r="A22" s="101" t="s">
        <v>7</v>
      </c>
      <c r="B22"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22" s="19" t="s">
        <v>34</v>
      </c>
      <c r="D22" s="19" t="s">
        <v>41</v>
      </c>
      <c r="E22" s="19"/>
      <c r="F22" s="19"/>
      <c r="G22" s="20" t="s">
        <v>138</v>
      </c>
      <c r="H22" s="20" t="s">
        <v>79</v>
      </c>
      <c r="I22" s="20" t="s">
        <v>122</v>
      </c>
      <c r="J22" s="20" t="s">
        <v>126</v>
      </c>
      <c r="K22" s="102">
        <f>COUNTIF(C22:J30,"* ضد *")</f>
        <v>34</v>
      </c>
      <c r="L22" s="102">
        <f>K22*2/'ملخص البطولات'!$A$10</f>
        <v>4</v>
      </c>
      <c r="M22" s="8"/>
      <c r="N22" s="8"/>
      <c r="O22" s="13"/>
      <c r="P22" s="8"/>
      <c r="Q22" s="8"/>
      <c r="R22" s="8"/>
    </row>
    <row r="23" spans="1:18">
      <c r="A23" s="101"/>
      <c r="B23"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23" s="19" t="s">
        <v>72</v>
      </c>
      <c r="D23" s="19"/>
      <c r="E23" s="19"/>
      <c r="F23" s="19"/>
      <c r="G23" s="20"/>
      <c r="H23" s="20"/>
      <c r="I23" s="20"/>
      <c r="J23" s="20"/>
      <c r="K23" s="102"/>
      <c r="L23" s="102"/>
      <c r="M23" s="8"/>
      <c r="N23" s="8"/>
      <c r="O23" s="13"/>
      <c r="P23" s="8"/>
      <c r="Q23" s="8"/>
      <c r="R23" s="8"/>
    </row>
    <row r="24" spans="1:18">
      <c r="A24" s="101"/>
      <c r="B24"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24" s="19" t="s">
        <v>44</v>
      </c>
      <c r="D24" s="19" t="s">
        <v>36</v>
      </c>
      <c r="E24" s="19" t="s">
        <v>75</v>
      </c>
      <c r="F24" s="19"/>
      <c r="G24" s="20" t="s">
        <v>125</v>
      </c>
      <c r="H24" s="20" t="s">
        <v>90</v>
      </c>
      <c r="I24" s="20" t="s">
        <v>98</v>
      </c>
      <c r="J24" s="20" t="s">
        <v>136</v>
      </c>
      <c r="K24" s="102"/>
      <c r="L24" s="102"/>
      <c r="M24" s="8"/>
      <c r="N24" s="8"/>
      <c r="O24" s="13"/>
      <c r="P24" s="8"/>
      <c r="Q24" s="8"/>
      <c r="R24" s="8"/>
    </row>
    <row r="25" spans="1:18" ht="14.5" customHeight="1">
      <c r="A25" s="101"/>
      <c r="B25"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25" s="19" t="s">
        <v>22</v>
      </c>
      <c r="D25" s="19"/>
      <c r="E25" s="19"/>
      <c r="F25" s="19"/>
      <c r="G25" s="20"/>
      <c r="H25" s="20"/>
      <c r="I25" s="20"/>
      <c r="J25" s="20"/>
      <c r="K25" s="102"/>
      <c r="L25" s="102"/>
      <c r="M25" s="8"/>
      <c r="N25" s="8"/>
      <c r="O25" s="13"/>
      <c r="P25" s="8"/>
      <c r="Q25" s="8"/>
      <c r="R25" s="8"/>
    </row>
    <row r="26" spans="1:18">
      <c r="A26" s="101"/>
      <c r="B26"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26" s="19" t="s">
        <v>78</v>
      </c>
      <c r="D26" s="19" t="s">
        <v>66</v>
      </c>
      <c r="E26" s="19" t="s">
        <v>23</v>
      </c>
      <c r="F26" s="19"/>
      <c r="G26" s="20" t="s">
        <v>128</v>
      </c>
      <c r="H26" s="20" t="s">
        <v>99</v>
      </c>
      <c r="I26" s="20" t="s">
        <v>162</v>
      </c>
      <c r="J26" s="20" t="s">
        <v>131</v>
      </c>
      <c r="K26" s="102"/>
      <c r="L26" s="102"/>
      <c r="M26" s="8"/>
      <c r="N26" s="8"/>
      <c r="O26" s="13"/>
      <c r="P26" s="8"/>
      <c r="Q26" s="8"/>
      <c r="R26" s="8"/>
    </row>
    <row r="27" spans="1:18">
      <c r="A27" s="101"/>
      <c r="B27"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27" s="19" t="s">
        <v>49</v>
      </c>
      <c r="D27" s="19"/>
      <c r="E27" s="19"/>
      <c r="F27" s="19"/>
      <c r="G27" s="20"/>
      <c r="H27" s="20"/>
      <c r="I27" s="20"/>
      <c r="J27" s="20"/>
      <c r="K27" s="102"/>
      <c r="L27" s="102"/>
      <c r="M27" s="8"/>
      <c r="N27" s="8"/>
      <c r="O27" s="13"/>
      <c r="P27" s="8"/>
      <c r="Q27" s="8"/>
      <c r="R27" s="8"/>
    </row>
    <row r="28" spans="1:18">
      <c r="A28" s="101"/>
      <c r="B28"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28" s="19" t="s">
        <v>42</v>
      </c>
      <c r="D28" s="19" t="s">
        <v>53</v>
      </c>
      <c r="E28" s="19" t="s">
        <v>27</v>
      </c>
      <c r="F28" s="19"/>
      <c r="G28" s="20" t="s">
        <v>118</v>
      </c>
      <c r="H28" s="20" t="s">
        <v>120</v>
      </c>
      <c r="I28" s="20" t="s">
        <v>130</v>
      </c>
      <c r="J28" s="20" t="s">
        <v>33</v>
      </c>
      <c r="K28" s="102"/>
      <c r="L28" s="102"/>
      <c r="M28" s="8"/>
      <c r="N28" s="8"/>
      <c r="O28" s="13"/>
      <c r="P28" s="8"/>
      <c r="Q28" s="8"/>
      <c r="R28" s="8"/>
    </row>
    <row r="29" spans="1:18">
      <c r="A29" s="101"/>
      <c r="B29"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29" s="19" t="s">
        <v>60</v>
      </c>
      <c r="D29" s="19"/>
      <c r="E29" s="19"/>
      <c r="F29" s="19"/>
      <c r="G29" s="20"/>
      <c r="H29" s="20"/>
      <c r="I29" s="20"/>
      <c r="J29" s="20"/>
      <c r="K29" s="102"/>
      <c r="L29" s="102"/>
      <c r="M29" s="8"/>
      <c r="N29" s="8"/>
      <c r="O29" s="13"/>
      <c r="P29" s="8"/>
      <c r="Q29" s="8"/>
      <c r="R29" s="8"/>
    </row>
    <row r="30" spans="1:18">
      <c r="A30" s="101"/>
      <c r="B30"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30" s="19" t="s">
        <v>68</v>
      </c>
      <c r="D30" s="19" t="s">
        <v>48</v>
      </c>
      <c r="E30" s="19" t="s">
        <v>69</v>
      </c>
      <c r="F30" s="19"/>
      <c r="G30" s="20"/>
      <c r="H30" s="20"/>
      <c r="I30" s="20"/>
      <c r="J30" s="20"/>
      <c r="K30" s="102"/>
      <c r="L30" s="102"/>
      <c r="M30" s="8"/>
      <c r="N30" s="8"/>
      <c r="O30" s="13"/>
      <c r="P30" s="8"/>
      <c r="Q30" s="8"/>
      <c r="R30" s="8"/>
    </row>
    <row r="31" spans="1:18">
      <c r="A31" s="101" t="s">
        <v>8</v>
      </c>
      <c r="B31"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31" s="19" t="s">
        <v>25</v>
      </c>
      <c r="D31" s="19" t="s">
        <v>70</v>
      </c>
      <c r="E31" s="19"/>
      <c r="F31" s="19"/>
      <c r="G31" s="20" t="s">
        <v>124</v>
      </c>
      <c r="H31" s="20" t="s">
        <v>148</v>
      </c>
      <c r="I31" s="20" t="s">
        <v>91</v>
      </c>
      <c r="J31" s="20" t="s">
        <v>21</v>
      </c>
      <c r="K31" s="100">
        <f>COUNTIF(C31:J39,"* ضد *")</f>
        <v>34</v>
      </c>
      <c r="L31" s="100">
        <f>K31*2/'ملخص البطولات'!$A$10</f>
        <v>4</v>
      </c>
      <c r="M31" s="8"/>
      <c r="N31" s="8"/>
      <c r="O31" s="13"/>
      <c r="P31" s="8"/>
      <c r="Q31" s="8"/>
      <c r="R31" s="8"/>
    </row>
    <row r="32" spans="1:18" ht="14.5" customHeight="1">
      <c r="A32" s="101"/>
      <c r="B32"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32" s="19" t="s">
        <v>20</v>
      </c>
      <c r="D32" s="19" t="s">
        <v>85</v>
      </c>
      <c r="E32" s="19"/>
      <c r="F32" s="19"/>
      <c r="G32" s="20"/>
      <c r="H32" s="20"/>
      <c r="I32" s="20"/>
      <c r="J32" s="20"/>
      <c r="K32" s="100"/>
      <c r="L32" s="100"/>
      <c r="M32" s="8"/>
      <c r="N32" s="8"/>
      <c r="O32" s="13"/>
      <c r="P32" s="8"/>
      <c r="Q32" s="8"/>
      <c r="R32" s="8"/>
    </row>
    <row r="33" spans="1:18">
      <c r="A33" s="101"/>
      <c r="B33"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33" s="19" t="s">
        <v>65</v>
      </c>
      <c r="D33" s="19" t="s">
        <v>58</v>
      </c>
      <c r="E33" s="19"/>
      <c r="F33" s="19"/>
      <c r="G33" s="20" t="s">
        <v>119</v>
      </c>
      <c r="H33" s="20" t="s">
        <v>143</v>
      </c>
      <c r="I33" s="20" t="s">
        <v>100</v>
      </c>
      <c r="J33" s="20" t="s">
        <v>88</v>
      </c>
      <c r="K33" s="100"/>
      <c r="L33" s="100"/>
      <c r="M33" s="8"/>
      <c r="N33" s="8"/>
      <c r="O33" s="13"/>
      <c r="P33" s="8"/>
      <c r="Q33" s="8"/>
      <c r="R33" s="8"/>
    </row>
    <row r="34" spans="1:18">
      <c r="A34" s="101"/>
      <c r="B34"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34" s="19" t="s">
        <v>84</v>
      </c>
      <c r="D34" s="19" t="s">
        <v>57</v>
      </c>
      <c r="E34" s="19"/>
      <c r="F34" s="19"/>
      <c r="G34" s="20"/>
      <c r="H34" s="20"/>
      <c r="I34" s="20"/>
      <c r="J34" s="20"/>
      <c r="K34" s="100"/>
      <c r="L34" s="100"/>
      <c r="M34" s="8"/>
      <c r="N34" s="8"/>
      <c r="O34" s="13"/>
      <c r="P34" s="8"/>
      <c r="Q34" s="8"/>
      <c r="R34" s="8"/>
    </row>
    <row r="35" spans="1:18">
      <c r="A35" s="101"/>
      <c r="B35"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35" s="19" t="s">
        <v>43</v>
      </c>
      <c r="D35" s="19" t="s">
        <v>35</v>
      </c>
      <c r="E35" s="19"/>
      <c r="F35" s="19"/>
      <c r="G35" s="20" t="s">
        <v>127</v>
      </c>
      <c r="H35" s="20" t="s">
        <v>152</v>
      </c>
      <c r="I35" s="20" t="s">
        <v>141</v>
      </c>
      <c r="J35" s="20" t="s">
        <v>101</v>
      </c>
      <c r="K35" s="100"/>
      <c r="L35" s="100"/>
      <c r="M35" s="8"/>
      <c r="N35" s="8"/>
      <c r="O35" s="13"/>
      <c r="P35" s="8"/>
      <c r="Q35" s="8"/>
      <c r="R35" s="8"/>
    </row>
    <row r="36" spans="1:18">
      <c r="A36" s="101"/>
      <c r="B36"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36" s="19" t="s">
        <v>52</v>
      </c>
      <c r="D36" s="19"/>
      <c r="E36" s="19"/>
      <c r="F36" s="19"/>
      <c r="G36" s="20"/>
      <c r="H36" s="20"/>
      <c r="I36" s="20"/>
      <c r="J36" s="20"/>
      <c r="K36" s="100"/>
      <c r="L36" s="100"/>
      <c r="M36" s="8"/>
      <c r="N36" s="8"/>
      <c r="O36" s="13"/>
      <c r="P36" s="8"/>
      <c r="Q36" s="8"/>
      <c r="R36" s="8"/>
    </row>
    <row r="37" spans="1:18" ht="14.5" customHeight="1">
      <c r="A37" s="101"/>
      <c r="B37"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37" s="19" t="s">
        <v>40</v>
      </c>
      <c r="D37" s="19" t="s">
        <v>51</v>
      </c>
      <c r="E37" s="19" t="s">
        <v>73</v>
      </c>
      <c r="F37" s="19"/>
      <c r="G37" s="20" t="s">
        <v>138</v>
      </c>
      <c r="H37" s="20" t="s">
        <v>79</v>
      </c>
      <c r="I37" s="20" t="s">
        <v>122</v>
      </c>
      <c r="J37" s="20" t="s">
        <v>126</v>
      </c>
      <c r="K37" s="100"/>
      <c r="L37" s="100"/>
      <c r="M37" s="8"/>
      <c r="N37" s="8"/>
      <c r="O37" s="13"/>
      <c r="P37" s="8"/>
      <c r="Q37" s="8"/>
      <c r="R37" s="8"/>
    </row>
    <row r="38" spans="1:18">
      <c r="A38" s="101"/>
      <c r="B38"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38" s="19" t="s">
        <v>30</v>
      </c>
      <c r="D38" s="19"/>
      <c r="E38" s="19"/>
      <c r="F38" s="19"/>
      <c r="G38" s="20"/>
      <c r="H38" s="20"/>
      <c r="I38" s="20"/>
      <c r="J38" s="20"/>
      <c r="K38" s="100"/>
      <c r="L38" s="100"/>
      <c r="M38" s="8"/>
      <c r="N38" s="8"/>
      <c r="O38" s="13"/>
      <c r="P38" s="8"/>
      <c r="Q38" s="8"/>
      <c r="R38" s="8"/>
    </row>
    <row r="39" spans="1:18" ht="14.5" customHeight="1">
      <c r="A39" s="101"/>
      <c r="B39"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39" s="19" t="s">
        <v>81</v>
      </c>
      <c r="D39" s="19" t="s">
        <v>32</v>
      </c>
      <c r="E39" s="19" t="s">
        <v>82</v>
      </c>
      <c r="F39" s="19"/>
      <c r="G39" s="20"/>
      <c r="H39" s="20"/>
      <c r="I39" s="20"/>
      <c r="J39" s="20"/>
      <c r="K39" s="100"/>
      <c r="L39" s="100"/>
      <c r="M39" s="8"/>
      <c r="N39" s="8"/>
      <c r="O39" s="13"/>
      <c r="P39" s="8"/>
      <c r="Q39" s="8"/>
      <c r="R39" s="8"/>
    </row>
    <row r="40" spans="1:18">
      <c r="A40" s="101" t="s">
        <v>9</v>
      </c>
      <c r="B40"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0" s="19" t="s">
        <v>66</v>
      </c>
      <c r="D40" s="19" t="s">
        <v>44</v>
      </c>
      <c r="E40" s="19" t="s">
        <v>36</v>
      </c>
      <c r="F40" s="19"/>
      <c r="G40" s="20" t="s">
        <v>125</v>
      </c>
      <c r="H40" s="20" t="s">
        <v>90</v>
      </c>
      <c r="I40" s="20" t="s">
        <v>98</v>
      </c>
      <c r="J40" s="20" t="s">
        <v>136</v>
      </c>
      <c r="K40" s="102">
        <f>COUNTIF(C40:J48,"* ضد *")</f>
        <v>34</v>
      </c>
      <c r="L40" s="102">
        <f>K40*2/'ملخص البطولات'!$A$10</f>
        <v>4</v>
      </c>
      <c r="M40" s="8"/>
      <c r="N40" s="8"/>
      <c r="O40" s="13"/>
      <c r="P40" s="8"/>
      <c r="Q40" s="8"/>
      <c r="R40" s="8"/>
    </row>
    <row r="41" spans="1:18">
      <c r="A41" s="101"/>
      <c r="B41"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41" s="19" t="s">
        <v>22</v>
      </c>
      <c r="D41" s="19"/>
      <c r="E41" s="19"/>
      <c r="F41" s="19"/>
      <c r="G41" s="20"/>
      <c r="H41" s="20"/>
      <c r="I41" s="20"/>
      <c r="J41" s="20"/>
      <c r="K41" s="102"/>
      <c r="L41" s="102"/>
      <c r="M41" s="8"/>
      <c r="N41" s="8"/>
      <c r="O41" s="13"/>
      <c r="P41" s="8"/>
      <c r="Q41" s="8"/>
      <c r="R41" s="8"/>
    </row>
    <row r="42" spans="1:18" ht="14.5" customHeight="1">
      <c r="A42" s="101"/>
      <c r="B42"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42" s="19" t="s">
        <v>78</v>
      </c>
      <c r="D42" s="19" t="s">
        <v>75</v>
      </c>
      <c r="E42" s="19" t="s">
        <v>69</v>
      </c>
      <c r="F42" s="19"/>
      <c r="G42" s="20" t="s">
        <v>128</v>
      </c>
      <c r="H42" s="20" t="s">
        <v>99</v>
      </c>
      <c r="I42" s="20" t="s">
        <v>162</v>
      </c>
      <c r="J42" s="20" t="s">
        <v>131</v>
      </c>
      <c r="K42" s="102"/>
      <c r="L42" s="102"/>
      <c r="M42" s="8"/>
      <c r="N42" s="8"/>
      <c r="O42" s="13"/>
      <c r="P42" s="8"/>
      <c r="Q42" s="8"/>
      <c r="R42" s="8"/>
    </row>
    <row r="43" spans="1:18">
      <c r="A43" s="101"/>
      <c r="B43"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43" s="19" t="s">
        <v>72</v>
      </c>
      <c r="D43" s="19"/>
      <c r="E43" s="19"/>
      <c r="F43" s="19"/>
      <c r="G43" s="20"/>
      <c r="H43" s="20"/>
      <c r="I43" s="20"/>
      <c r="J43" s="20"/>
      <c r="K43" s="102"/>
      <c r="L43" s="102"/>
      <c r="M43" s="8"/>
      <c r="N43" s="8"/>
      <c r="O43" s="13"/>
      <c r="P43" s="8"/>
      <c r="Q43" s="8"/>
      <c r="R43" s="8"/>
    </row>
    <row r="44" spans="1:18">
      <c r="A44" s="101"/>
      <c r="B44"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44" s="19" t="s">
        <v>41</v>
      </c>
      <c r="D44" s="19" t="s">
        <v>34</v>
      </c>
      <c r="E44" s="19" t="s">
        <v>27</v>
      </c>
      <c r="F44" s="19"/>
      <c r="G44" s="20" t="s">
        <v>118</v>
      </c>
      <c r="H44" s="20" t="s">
        <v>120</v>
      </c>
      <c r="I44" s="20" t="s">
        <v>130</v>
      </c>
      <c r="J44" s="20" t="s">
        <v>33</v>
      </c>
      <c r="K44" s="102"/>
      <c r="L44" s="102"/>
      <c r="M44" s="8"/>
      <c r="N44" s="8"/>
      <c r="O44" s="13"/>
      <c r="P44" s="8"/>
      <c r="Q44" s="8"/>
      <c r="R44" s="8"/>
    </row>
    <row r="45" spans="1:18">
      <c r="A45" s="101"/>
      <c r="B45"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45" s="19" t="s">
        <v>48</v>
      </c>
      <c r="D45" s="19"/>
      <c r="E45" s="19"/>
      <c r="F45" s="19"/>
      <c r="G45" s="20"/>
      <c r="H45" s="20"/>
      <c r="I45" s="20"/>
      <c r="J45" s="20"/>
      <c r="K45" s="102"/>
      <c r="L45" s="102"/>
      <c r="M45" s="8"/>
      <c r="N45" s="8"/>
      <c r="O45" s="13"/>
      <c r="P45" s="8"/>
      <c r="Q45" s="8"/>
      <c r="R45" s="8"/>
    </row>
    <row r="46" spans="1:18" ht="14.5" customHeight="1">
      <c r="A46" s="101"/>
      <c r="B46"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46" s="19" t="s">
        <v>68</v>
      </c>
      <c r="D46" s="19" t="s">
        <v>49</v>
      </c>
      <c r="E46" s="19" t="s">
        <v>23</v>
      </c>
      <c r="F46" s="19"/>
      <c r="G46" s="20" t="s">
        <v>124</v>
      </c>
      <c r="H46" s="20" t="s">
        <v>148</v>
      </c>
      <c r="I46" s="20" t="s">
        <v>91</v>
      </c>
      <c r="J46" s="20" t="s">
        <v>21</v>
      </c>
      <c r="K46" s="102"/>
      <c r="L46" s="102"/>
      <c r="M46" s="8"/>
      <c r="N46" s="8"/>
      <c r="O46" s="13"/>
      <c r="P46" s="8"/>
      <c r="Q46" s="8"/>
      <c r="R46" s="8"/>
    </row>
    <row r="47" spans="1:18">
      <c r="A47" s="101"/>
      <c r="B47"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47" s="19" t="s">
        <v>53</v>
      </c>
      <c r="D47" s="19"/>
      <c r="E47" s="19"/>
      <c r="F47" s="19"/>
      <c r="G47" s="20"/>
      <c r="H47" s="20"/>
      <c r="I47" s="20"/>
      <c r="J47" s="20"/>
      <c r="K47" s="102"/>
      <c r="L47" s="102"/>
      <c r="M47" s="8"/>
      <c r="N47" s="8"/>
      <c r="O47" s="13"/>
      <c r="P47" s="8"/>
      <c r="Q47" s="8"/>
      <c r="R47" s="8"/>
    </row>
    <row r="48" spans="1:18">
      <c r="A48" s="101"/>
      <c r="B48"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48" s="19" t="s">
        <v>42</v>
      </c>
      <c r="D48" s="19" t="s">
        <v>60</v>
      </c>
      <c r="E48" s="19"/>
      <c r="F48" s="19"/>
      <c r="G48" s="20"/>
      <c r="H48" s="20"/>
      <c r="I48" s="20"/>
      <c r="J48" s="20"/>
      <c r="K48" s="102"/>
      <c r="L48" s="102"/>
      <c r="M48" s="8"/>
      <c r="N48" s="8"/>
      <c r="O48" s="13"/>
      <c r="P48" s="8"/>
      <c r="Q48" s="8"/>
      <c r="R48" s="8"/>
    </row>
    <row r="49" spans="1:18">
      <c r="A49" s="101" t="s">
        <v>10</v>
      </c>
      <c r="B49"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9" s="19" t="s">
        <v>30</v>
      </c>
      <c r="D49" s="19" t="s">
        <v>32</v>
      </c>
      <c r="E49" s="19" t="s">
        <v>82</v>
      </c>
      <c r="F49" s="19"/>
      <c r="G49" s="20" t="s">
        <v>119</v>
      </c>
      <c r="H49" s="20" t="s">
        <v>143</v>
      </c>
      <c r="I49" s="20" t="s">
        <v>100</v>
      </c>
      <c r="J49" s="20" t="s">
        <v>88</v>
      </c>
      <c r="K49" s="100">
        <f>COUNTIF(C49:J57,"* ضد *")</f>
        <v>34</v>
      </c>
      <c r="L49" s="100">
        <f>K49*2/'ملخص البطولات'!$A$10</f>
        <v>4</v>
      </c>
      <c r="M49" s="8"/>
      <c r="N49" s="8"/>
      <c r="O49" s="13"/>
      <c r="P49" s="8"/>
      <c r="Q49" s="8"/>
      <c r="R49" s="8"/>
    </row>
    <row r="50" spans="1:18">
      <c r="A50" s="101"/>
      <c r="B50"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0" s="19" t="s">
        <v>25</v>
      </c>
      <c r="D50" s="19"/>
      <c r="E50" s="19"/>
      <c r="F50" s="19"/>
      <c r="G50" s="20"/>
      <c r="H50" s="20"/>
      <c r="I50" s="20"/>
      <c r="J50" s="20"/>
      <c r="K50" s="100"/>
      <c r="L50" s="100"/>
      <c r="M50" s="8"/>
      <c r="N50" s="8"/>
      <c r="O50" s="13"/>
      <c r="P50" s="8"/>
      <c r="Q50" s="8"/>
      <c r="R50" s="8"/>
    </row>
    <row r="51" spans="1:18">
      <c r="A51" s="101"/>
      <c r="B51"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51" s="19" t="s">
        <v>84</v>
      </c>
      <c r="D51" s="19" t="s">
        <v>57</v>
      </c>
      <c r="E51" s="19" t="s">
        <v>43</v>
      </c>
      <c r="F51" s="19"/>
      <c r="G51" s="20" t="s">
        <v>127</v>
      </c>
      <c r="H51" s="20" t="s">
        <v>152</v>
      </c>
      <c r="I51" s="20" t="s">
        <v>141</v>
      </c>
      <c r="J51" s="20" t="s">
        <v>101</v>
      </c>
      <c r="K51" s="100"/>
      <c r="L51" s="100"/>
      <c r="M51" s="8"/>
      <c r="N51" s="8"/>
      <c r="O51" s="13"/>
      <c r="P51" s="8"/>
      <c r="Q51" s="8"/>
      <c r="R51" s="8"/>
    </row>
    <row r="52" spans="1:18">
      <c r="A52" s="101"/>
      <c r="B52"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52" s="19" t="s">
        <v>35</v>
      </c>
      <c r="D52" s="19"/>
      <c r="E52" s="19"/>
      <c r="F52" s="19"/>
      <c r="G52" s="20"/>
      <c r="H52" s="20"/>
      <c r="I52" s="20"/>
      <c r="J52" s="20"/>
      <c r="K52" s="100"/>
      <c r="L52" s="100"/>
      <c r="M52" s="8"/>
      <c r="N52" s="8"/>
      <c r="O52" s="13"/>
      <c r="P52" s="8"/>
      <c r="Q52" s="8"/>
      <c r="R52" s="8"/>
    </row>
    <row r="53" spans="1:18">
      <c r="A53" s="101"/>
      <c r="B53"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53" s="19" t="s">
        <v>40</v>
      </c>
      <c r="D53" s="19" t="s">
        <v>52</v>
      </c>
      <c r="E53" s="19" t="s">
        <v>73</v>
      </c>
      <c r="F53" s="19"/>
      <c r="G53" s="20" t="s">
        <v>138</v>
      </c>
      <c r="H53" s="20" t="s">
        <v>79</v>
      </c>
      <c r="I53" s="20" t="s">
        <v>122</v>
      </c>
      <c r="J53" s="20" t="s">
        <v>126</v>
      </c>
      <c r="K53" s="100"/>
      <c r="L53" s="100"/>
      <c r="M53" s="8"/>
      <c r="N53" s="8"/>
      <c r="O53" s="13"/>
      <c r="P53" s="8"/>
      <c r="Q53" s="8"/>
      <c r="R53" s="8"/>
    </row>
    <row r="54" spans="1:18">
      <c r="A54" s="101"/>
      <c r="B54"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54" s="19" t="s">
        <v>51</v>
      </c>
      <c r="D54" s="19"/>
      <c r="E54" s="19"/>
      <c r="F54" s="19"/>
      <c r="G54" s="20"/>
      <c r="H54" s="20"/>
      <c r="I54" s="20"/>
      <c r="J54" s="20"/>
      <c r="K54" s="100"/>
      <c r="L54" s="100"/>
      <c r="M54" s="8"/>
      <c r="N54" s="8"/>
      <c r="O54" s="13"/>
      <c r="P54" s="8"/>
      <c r="Q54" s="8"/>
      <c r="R54" s="8"/>
    </row>
    <row r="55" spans="1:18" ht="22" customHeight="1">
      <c r="A55" s="101"/>
      <c r="B55"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55" s="19" t="s">
        <v>20</v>
      </c>
      <c r="D55" s="19" t="s">
        <v>65</v>
      </c>
      <c r="E55" s="19"/>
      <c r="F55" s="19"/>
      <c r="G55" s="20" t="s">
        <v>125</v>
      </c>
      <c r="H55" s="20" t="s">
        <v>90</v>
      </c>
      <c r="I55" s="20" t="s">
        <v>98</v>
      </c>
      <c r="J55" s="20" t="s">
        <v>136</v>
      </c>
      <c r="K55" s="100"/>
      <c r="L55" s="100"/>
      <c r="M55" s="8"/>
      <c r="N55" s="8"/>
      <c r="O55" s="13"/>
      <c r="P55" s="8"/>
      <c r="Q55" s="8"/>
      <c r="R55" s="8"/>
    </row>
    <row r="56" spans="1:18">
      <c r="A56" s="101"/>
      <c r="B56"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56" s="19" t="s">
        <v>85</v>
      </c>
      <c r="D56" s="19" t="s">
        <v>58</v>
      </c>
      <c r="E56" s="19"/>
      <c r="F56" s="19"/>
      <c r="G56" s="20"/>
      <c r="H56" s="20"/>
      <c r="I56" s="20"/>
      <c r="J56" s="20"/>
      <c r="K56" s="100"/>
      <c r="L56" s="100"/>
      <c r="M56" s="8"/>
      <c r="N56" s="8"/>
      <c r="O56" s="13"/>
      <c r="P56" s="8"/>
      <c r="Q56" s="8"/>
      <c r="R56" s="8"/>
    </row>
    <row r="57" spans="1:18">
      <c r="A57" s="101"/>
      <c r="B57"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57" s="19" t="s">
        <v>70</v>
      </c>
      <c r="D57" s="19" t="s">
        <v>81</v>
      </c>
      <c r="E57" s="19"/>
      <c r="F57" s="19"/>
      <c r="G57" s="20"/>
      <c r="H57" s="20"/>
      <c r="I57" s="20"/>
      <c r="J57" s="20"/>
      <c r="K57" s="100"/>
      <c r="L57" s="100"/>
      <c r="M57" s="8"/>
      <c r="N57" s="8"/>
      <c r="O57" s="13"/>
      <c r="P57" s="8"/>
      <c r="Q57" s="8"/>
      <c r="R57" s="8"/>
    </row>
    <row r="58" spans="1:18">
      <c r="A58" s="101" t="s">
        <v>11</v>
      </c>
      <c r="B58"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58" s="19" t="s">
        <v>68</v>
      </c>
      <c r="D58" s="19" t="s">
        <v>69</v>
      </c>
      <c r="E58" s="19" t="s">
        <v>41</v>
      </c>
      <c r="F58" s="19"/>
      <c r="G58" s="20" t="s">
        <v>128</v>
      </c>
      <c r="H58" s="20" t="s">
        <v>99</v>
      </c>
      <c r="I58" s="20" t="s">
        <v>162</v>
      </c>
      <c r="J58" s="20" t="s">
        <v>131</v>
      </c>
      <c r="K58" s="102">
        <f>COUNTIF(C58:J66,"* ضد *")</f>
        <v>34</v>
      </c>
      <c r="L58" s="102">
        <f>K58*2/'ملخص البطولات'!$A$10</f>
        <v>4</v>
      </c>
      <c r="M58" s="8"/>
      <c r="N58" s="8"/>
      <c r="O58" s="13"/>
      <c r="P58" s="8"/>
      <c r="Q58" s="8"/>
      <c r="R58" s="8"/>
    </row>
    <row r="59" spans="1:18">
      <c r="A59" s="101"/>
      <c r="B59"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9" s="19" t="s">
        <v>72</v>
      </c>
      <c r="D59" s="19"/>
      <c r="E59" s="19"/>
      <c r="F59" s="19"/>
      <c r="G59" s="20"/>
      <c r="H59" s="20"/>
      <c r="I59" s="20"/>
      <c r="J59" s="20"/>
      <c r="K59" s="102"/>
      <c r="L59" s="102"/>
      <c r="M59" s="8"/>
      <c r="N59" s="8"/>
      <c r="O59" s="13"/>
      <c r="P59" s="8"/>
      <c r="Q59" s="8"/>
      <c r="R59" s="8"/>
    </row>
    <row r="60" spans="1:18">
      <c r="A60" s="101"/>
      <c r="B60"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0" s="19" t="s">
        <v>44</v>
      </c>
      <c r="D60" s="19" t="s">
        <v>75</v>
      </c>
      <c r="E60" s="19" t="s">
        <v>36</v>
      </c>
      <c r="F60" s="19"/>
      <c r="G60" s="20" t="s">
        <v>118</v>
      </c>
      <c r="H60" s="20" t="s">
        <v>120</v>
      </c>
      <c r="I60" s="20" t="s">
        <v>130</v>
      </c>
      <c r="J60" s="20" t="s">
        <v>33</v>
      </c>
      <c r="K60" s="102"/>
      <c r="L60" s="102"/>
      <c r="M60" s="8"/>
      <c r="N60" s="8"/>
      <c r="O60" s="13"/>
      <c r="P60" s="8"/>
      <c r="Q60" s="8"/>
      <c r="R60" s="8"/>
    </row>
    <row r="61" spans="1:18">
      <c r="A61" s="101"/>
      <c r="B61"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61" s="19" t="s">
        <v>22</v>
      </c>
      <c r="D61" s="19"/>
      <c r="E61" s="19"/>
      <c r="F61" s="19"/>
      <c r="G61" s="20"/>
      <c r="H61" s="20"/>
      <c r="I61" s="20"/>
      <c r="J61" s="20"/>
      <c r="K61" s="102"/>
      <c r="L61" s="102"/>
      <c r="M61" s="8"/>
      <c r="N61" s="8"/>
      <c r="O61" s="13"/>
      <c r="P61" s="8"/>
      <c r="Q61" s="8"/>
      <c r="R61" s="8"/>
    </row>
    <row r="62" spans="1:18">
      <c r="A62" s="101"/>
      <c r="B62"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62" s="19" t="s">
        <v>66</v>
      </c>
      <c r="D62" s="19" t="s">
        <v>78</v>
      </c>
      <c r="E62" s="19" t="s">
        <v>23</v>
      </c>
      <c r="F62" s="19"/>
      <c r="G62" s="20" t="s">
        <v>124</v>
      </c>
      <c r="H62" s="20" t="s">
        <v>148</v>
      </c>
      <c r="I62" s="20" t="s">
        <v>91</v>
      </c>
      <c r="J62" s="20" t="s">
        <v>21</v>
      </c>
      <c r="K62" s="102"/>
      <c r="L62" s="102"/>
      <c r="M62" s="8"/>
      <c r="N62" s="8"/>
      <c r="O62" s="13"/>
      <c r="P62" s="8"/>
      <c r="Q62" s="8"/>
      <c r="R62" s="8"/>
    </row>
    <row r="63" spans="1:18">
      <c r="A63" s="101"/>
      <c r="B63"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63" s="19" t="s">
        <v>49</v>
      </c>
      <c r="D63" s="19"/>
      <c r="E63" s="19"/>
      <c r="F63" s="19"/>
      <c r="G63" s="20"/>
      <c r="H63" s="20"/>
      <c r="I63" s="20"/>
      <c r="J63" s="20"/>
      <c r="K63" s="102"/>
      <c r="L63" s="102"/>
      <c r="M63" s="8"/>
      <c r="N63" s="8"/>
      <c r="O63" s="13"/>
      <c r="P63" s="8"/>
      <c r="Q63" s="8"/>
      <c r="R63" s="8"/>
    </row>
    <row r="64" spans="1:18">
      <c r="A64" s="101"/>
      <c r="B64"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64" s="19" t="s">
        <v>53</v>
      </c>
      <c r="D64" s="19" t="s">
        <v>42</v>
      </c>
      <c r="E64" s="19" t="s">
        <v>27</v>
      </c>
      <c r="F64" s="19"/>
      <c r="G64" s="20" t="s">
        <v>119</v>
      </c>
      <c r="H64" s="20" t="s">
        <v>143</v>
      </c>
      <c r="I64" s="20" t="s">
        <v>100</v>
      </c>
      <c r="J64" s="20" t="s">
        <v>88</v>
      </c>
      <c r="K64" s="102"/>
      <c r="L64" s="102"/>
      <c r="M64" s="8"/>
      <c r="N64" s="8"/>
      <c r="O64" s="13"/>
      <c r="P64" s="8"/>
      <c r="Q64" s="8"/>
      <c r="R64" s="8"/>
    </row>
    <row r="65" spans="1:18">
      <c r="A65" s="101"/>
      <c r="B65"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65" s="19" t="s">
        <v>60</v>
      </c>
      <c r="D65" s="19"/>
      <c r="E65" s="19"/>
      <c r="F65" s="19"/>
      <c r="G65" s="20"/>
      <c r="H65" s="20"/>
      <c r="I65" s="20"/>
      <c r="J65" s="20"/>
      <c r="K65" s="102"/>
      <c r="L65" s="102"/>
      <c r="M65" s="8"/>
      <c r="N65" s="8"/>
      <c r="O65" s="13"/>
      <c r="P65" s="8"/>
      <c r="Q65" s="8"/>
      <c r="R65" s="8"/>
    </row>
    <row r="66" spans="1:18">
      <c r="A66" s="101"/>
      <c r="B66"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66" s="19" t="s">
        <v>34</v>
      </c>
      <c r="D66" s="19" t="s">
        <v>48</v>
      </c>
      <c r="E66" s="19"/>
      <c r="F66" s="19"/>
      <c r="G66" s="20"/>
      <c r="H66" s="20"/>
      <c r="I66" s="20"/>
      <c r="J66" s="20"/>
      <c r="K66" s="102"/>
      <c r="L66" s="102"/>
      <c r="M66" s="8"/>
      <c r="N66" s="8"/>
      <c r="O66" s="13"/>
      <c r="P66" s="8"/>
      <c r="Q66" s="8"/>
      <c r="R66" s="8"/>
    </row>
    <row r="67" spans="1:18">
      <c r="A67" s="8"/>
      <c r="B67" s="8"/>
      <c r="C67" s="8"/>
      <c r="D67" s="8"/>
      <c r="E67" s="8"/>
      <c r="F67" s="8"/>
      <c r="G67" s="8"/>
      <c r="H67" s="8"/>
      <c r="I67" s="8"/>
      <c r="J67" s="8"/>
      <c r="K67" s="8"/>
      <c r="L67" s="8"/>
      <c r="M67" s="8"/>
      <c r="N67" s="8"/>
      <c r="O67" s="13"/>
      <c r="P67" s="8"/>
      <c r="Q67" s="8"/>
      <c r="R67" s="8"/>
    </row>
    <row r="68" spans="1:18">
      <c r="A68" s="8"/>
      <c r="B68" s="8"/>
      <c r="C68" s="8"/>
      <c r="D68" s="8"/>
      <c r="E68" s="8"/>
      <c r="F68" s="8"/>
      <c r="G68" s="8"/>
      <c r="H68" s="8"/>
      <c r="I68" s="8"/>
      <c r="J68" s="8"/>
      <c r="K68" s="8"/>
      <c r="L68" s="8"/>
      <c r="M68" s="8"/>
      <c r="N68" s="8"/>
      <c r="O68" s="13"/>
      <c r="P68" s="8"/>
      <c r="Q68" s="8"/>
      <c r="R68" s="8"/>
    </row>
    <row r="69" spans="1:18">
      <c r="A69" s="103" t="s">
        <v>271</v>
      </c>
      <c r="B69" s="99"/>
      <c r="C69" s="99"/>
      <c r="D69" s="99"/>
      <c r="E69" s="99"/>
      <c r="F69" s="99"/>
      <c r="G69" s="99"/>
      <c r="H69" s="99"/>
      <c r="I69" s="99"/>
      <c r="J69" s="99"/>
      <c r="K69" s="99"/>
      <c r="L69" s="99"/>
      <c r="M69" s="99"/>
      <c r="N69" s="99"/>
      <c r="O69" s="99"/>
      <c r="P69" s="99"/>
      <c r="Q69" s="99"/>
      <c r="R69" s="99"/>
    </row>
    <row r="70" spans="1:18">
      <c r="A70" s="10" t="s">
        <v>272</v>
      </c>
      <c r="B70" s="10">
        <v>1</v>
      </c>
      <c r="C70" s="10">
        <v>2</v>
      </c>
      <c r="D70" s="10">
        <v>3</v>
      </c>
      <c r="E70" s="10">
        <v>4</v>
      </c>
      <c r="F70" s="10">
        <v>5</v>
      </c>
      <c r="G70" s="10">
        <v>6</v>
      </c>
      <c r="H70" s="10">
        <v>7</v>
      </c>
      <c r="I70" s="10">
        <v>8</v>
      </c>
      <c r="J70" s="10">
        <v>9</v>
      </c>
      <c r="K70" s="10">
        <v>10</v>
      </c>
      <c r="L70" s="10">
        <v>11</v>
      </c>
      <c r="M70" s="10">
        <v>12</v>
      </c>
      <c r="N70" s="10">
        <v>13</v>
      </c>
      <c r="O70" s="23">
        <v>14</v>
      </c>
      <c r="P70" s="10">
        <v>15</v>
      </c>
      <c r="Q70" s="10">
        <v>16</v>
      </c>
      <c r="R70" s="10">
        <v>17</v>
      </c>
    </row>
    <row r="71" spans="1:18">
      <c r="A71" s="10">
        <v>1</v>
      </c>
      <c r="B71" s="11" t="str">
        <f t="shared" ref="B71:K80" si="0">IF($A71=B$70,"",COUNTIF($C$4:$J$66,$A71&amp;" ضد "&amp;B$70)+COUNTIF($C$4:$J$66,B$70&amp;" ضد "&amp;$A71))</f>
        <v/>
      </c>
      <c r="C71" s="11">
        <f t="shared" si="0"/>
        <v>3</v>
      </c>
      <c r="D71" s="11">
        <f t="shared" si="0"/>
        <v>3</v>
      </c>
      <c r="E71" s="11">
        <f t="shared" si="0"/>
        <v>4</v>
      </c>
      <c r="F71" s="11">
        <f t="shared" si="0"/>
        <v>4</v>
      </c>
      <c r="G71" s="11">
        <f t="shared" si="0"/>
        <v>4</v>
      </c>
      <c r="H71" s="11">
        <f t="shared" si="0"/>
        <v>4</v>
      </c>
      <c r="I71" s="11">
        <f t="shared" si="0"/>
        <v>3</v>
      </c>
      <c r="J71" s="11">
        <f t="shared" si="0"/>
        <v>3</v>
      </c>
      <c r="K71" s="11">
        <f t="shared" si="0"/>
        <v>0</v>
      </c>
      <c r="L71" s="11">
        <f t="shared" ref="L71:R80" si="1">IF($A71=L$70,"",COUNTIF($C$4:$J$66,$A71&amp;" ضد "&amp;L$70)+COUNTIF($C$4:$J$66,L$70&amp;" ضد "&amp;$A71))</f>
        <v>0</v>
      </c>
      <c r="M71" s="11">
        <f t="shared" si="1"/>
        <v>0</v>
      </c>
      <c r="N71" s="11">
        <f t="shared" si="1"/>
        <v>0</v>
      </c>
      <c r="O71" s="24">
        <f t="shared" si="1"/>
        <v>0</v>
      </c>
      <c r="P71" s="11">
        <f t="shared" si="1"/>
        <v>0</v>
      </c>
      <c r="Q71" s="11">
        <f t="shared" si="1"/>
        <v>0</v>
      </c>
      <c r="R71" s="11">
        <f t="shared" si="1"/>
        <v>0</v>
      </c>
    </row>
    <row r="72" spans="1:18">
      <c r="A72" s="10">
        <v>2</v>
      </c>
      <c r="B72" s="11">
        <f t="shared" si="0"/>
        <v>3</v>
      </c>
      <c r="C72" s="11" t="str">
        <f t="shared" si="0"/>
        <v/>
      </c>
      <c r="D72" s="11">
        <f t="shared" si="0"/>
        <v>3</v>
      </c>
      <c r="E72" s="11">
        <f t="shared" si="0"/>
        <v>3</v>
      </c>
      <c r="F72" s="11">
        <f t="shared" si="0"/>
        <v>4</v>
      </c>
      <c r="G72" s="11">
        <f t="shared" si="0"/>
        <v>4</v>
      </c>
      <c r="H72" s="11">
        <f t="shared" si="0"/>
        <v>4</v>
      </c>
      <c r="I72" s="11">
        <f t="shared" si="0"/>
        <v>4</v>
      </c>
      <c r="J72" s="11">
        <f t="shared" si="0"/>
        <v>3</v>
      </c>
      <c r="K72" s="11">
        <f t="shared" si="0"/>
        <v>0</v>
      </c>
      <c r="L72" s="11">
        <f t="shared" si="1"/>
        <v>0</v>
      </c>
      <c r="M72" s="11">
        <f t="shared" si="1"/>
        <v>0</v>
      </c>
      <c r="N72" s="11">
        <f t="shared" si="1"/>
        <v>0</v>
      </c>
      <c r="O72" s="24">
        <f t="shared" si="1"/>
        <v>0</v>
      </c>
      <c r="P72" s="11">
        <f t="shared" si="1"/>
        <v>0</v>
      </c>
      <c r="Q72" s="11">
        <f t="shared" si="1"/>
        <v>0</v>
      </c>
      <c r="R72" s="11">
        <f t="shared" si="1"/>
        <v>0</v>
      </c>
    </row>
    <row r="73" spans="1:18">
      <c r="A73" s="10">
        <v>3</v>
      </c>
      <c r="B73" s="11">
        <f t="shared" si="0"/>
        <v>3</v>
      </c>
      <c r="C73" s="11">
        <f t="shared" si="0"/>
        <v>3</v>
      </c>
      <c r="D73" s="11" t="str">
        <f t="shared" si="0"/>
        <v/>
      </c>
      <c r="E73" s="11">
        <f t="shared" si="0"/>
        <v>3</v>
      </c>
      <c r="F73" s="11">
        <f t="shared" si="0"/>
        <v>3</v>
      </c>
      <c r="G73" s="11">
        <f t="shared" si="0"/>
        <v>4</v>
      </c>
      <c r="H73" s="11">
        <f t="shared" si="0"/>
        <v>4</v>
      </c>
      <c r="I73" s="11">
        <f t="shared" si="0"/>
        <v>4</v>
      </c>
      <c r="J73" s="11">
        <f t="shared" si="0"/>
        <v>4</v>
      </c>
      <c r="K73" s="11">
        <f t="shared" si="0"/>
        <v>0</v>
      </c>
      <c r="L73" s="11">
        <f t="shared" si="1"/>
        <v>0</v>
      </c>
      <c r="M73" s="11">
        <f t="shared" si="1"/>
        <v>0</v>
      </c>
      <c r="N73" s="11">
        <f t="shared" si="1"/>
        <v>0</v>
      </c>
      <c r="O73" s="24">
        <f t="shared" si="1"/>
        <v>0</v>
      </c>
      <c r="P73" s="11">
        <f t="shared" si="1"/>
        <v>0</v>
      </c>
      <c r="Q73" s="11">
        <f t="shared" si="1"/>
        <v>0</v>
      </c>
      <c r="R73" s="11">
        <f t="shared" si="1"/>
        <v>0</v>
      </c>
    </row>
    <row r="74" spans="1:18">
      <c r="A74" s="10">
        <v>4</v>
      </c>
      <c r="B74" s="11">
        <f t="shared" si="0"/>
        <v>4</v>
      </c>
      <c r="C74" s="11">
        <f t="shared" si="0"/>
        <v>3</v>
      </c>
      <c r="D74" s="11">
        <f t="shared" si="0"/>
        <v>3</v>
      </c>
      <c r="E74" s="11" t="str">
        <f t="shared" si="0"/>
        <v/>
      </c>
      <c r="F74" s="11">
        <f t="shared" si="0"/>
        <v>3</v>
      </c>
      <c r="G74" s="11">
        <f t="shared" si="0"/>
        <v>3</v>
      </c>
      <c r="H74" s="11">
        <f t="shared" si="0"/>
        <v>4</v>
      </c>
      <c r="I74" s="11">
        <f t="shared" si="0"/>
        <v>4</v>
      </c>
      <c r="J74" s="11">
        <f t="shared" si="0"/>
        <v>4</v>
      </c>
      <c r="K74" s="11">
        <f t="shared" si="0"/>
        <v>0</v>
      </c>
      <c r="L74" s="11">
        <f t="shared" si="1"/>
        <v>0</v>
      </c>
      <c r="M74" s="11">
        <f t="shared" si="1"/>
        <v>0</v>
      </c>
      <c r="N74" s="11">
        <f t="shared" si="1"/>
        <v>0</v>
      </c>
      <c r="O74" s="24">
        <f t="shared" si="1"/>
        <v>0</v>
      </c>
      <c r="P74" s="11">
        <f t="shared" si="1"/>
        <v>0</v>
      </c>
      <c r="Q74" s="11">
        <f t="shared" si="1"/>
        <v>0</v>
      </c>
      <c r="R74" s="11">
        <f t="shared" si="1"/>
        <v>0</v>
      </c>
    </row>
    <row r="75" spans="1:18">
      <c r="A75" s="10">
        <v>5</v>
      </c>
      <c r="B75" s="11">
        <f t="shared" si="0"/>
        <v>4</v>
      </c>
      <c r="C75" s="11">
        <f t="shared" si="0"/>
        <v>4</v>
      </c>
      <c r="D75" s="11">
        <f t="shared" si="0"/>
        <v>3</v>
      </c>
      <c r="E75" s="11">
        <f t="shared" si="0"/>
        <v>3</v>
      </c>
      <c r="F75" s="11" t="str">
        <f t="shared" si="0"/>
        <v/>
      </c>
      <c r="G75" s="11">
        <f t="shared" si="0"/>
        <v>3</v>
      </c>
      <c r="H75" s="11">
        <f t="shared" si="0"/>
        <v>3</v>
      </c>
      <c r="I75" s="11">
        <f t="shared" si="0"/>
        <v>4</v>
      </c>
      <c r="J75" s="11">
        <f t="shared" si="0"/>
        <v>4</v>
      </c>
      <c r="K75" s="11">
        <f t="shared" si="0"/>
        <v>0</v>
      </c>
      <c r="L75" s="11">
        <f t="shared" si="1"/>
        <v>0</v>
      </c>
      <c r="M75" s="11">
        <f t="shared" si="1"/>
        <v>0</v>
      </c>
      <c r="N75" s="11">
        <f t="shared" si="1"/>
        <v>0</v>
      </c>
      <c r="O75" s="24">
        <f t="shared" si="1"/>
        <v>0</v>
      </c>
      <c r="P75" s="11">
        <f t="shared" si="1"/>
        <v>0</v>
      </c>
      <c r="Q75" s="11">
        <f t="shared" si="1"/>
        <v>0</v>
      </c>
      <c r="R75" s="11">
        <f t="shared" si="1"/>
        <v>0</v>
      </c>
    </row>
    <row r="76" spans="1:18">
      <c r="A76" s="10">
        <v>6</v>
      </c>
      <c r="B76" s="11">
        <f t="shared" si="0"/>
        <v>4</v>
      </c>
      <c r="C76" s="11">
        <f t="shared" si="0"/>
        <v>4</v>
      </c>
      <c r="D76" s="11">
        <f t="shared" si="0"/>
        <v>4</v>
      </c>
      <c r="E76" s="11">
        <f t="shared" si="0"/>
        <v>3</v>
      </c>
      <c r="F76" s="11">
        <f t="shared" si="0"/>
        <v>3</v>
      </c>
      <c r="G76" s="11" t="str">
        <f t="shared" si="0"/>
        <v/>
      </c>
      <c r="H76" s="11">
        <f t="shared" si="0"/>
        <v>3</v>
      </c>
      <c r="I76" s="11">
        <f t="shared" si="0"/>
        <v>3</v>
      </c>
      <c r="J76" s="11">
        <f t="shared" si="0"/>
        <v>4</v>
      </c>
      <c r="K76" s="11">
        <f t="shared" si="0"/>
        <v>0</v>
      </c>
      <c r="L76" s="11">
        <f t="shared" si="1"/>
        <v>0</v>
      </c>
      <c r="M76" s="11">
        <f t="shared" si="1"/>
        <v>0</v>
      </c>
      <c r="N76" s="11">
        <f t="shared" si="1"/>
        <v>0</v>
      </c>
      <c r="O76" s="24">
        <f t="shared" si="1"/>
        <v>0</v>
      </c>
      <c r="P76" s="11">
        <f t="shared" si="1"/>
        <v>0</v>
      </c>
      <c r="Q76" s="11">
        <f t="shared" si="1"/>
        <v>0</v>
      </c>
      <c r="R76" s="11">
        <f t="shared" si="1"/>
        <v>0</v>
      </c>
    </row>
    <row r="77" spans="1:18">
      <c r="A77" s="10">
        <v>7</v>
      </c>
      <c r="B77" s="11">
        <f t="shared" si="0"/>
        <v>4</v>
      </c>
      <c r="C77" s="11">
        <f t="shared" si="0"/>
        <v>4</v>
      </c>
      <c r="D77" s="11">
        <f t="shared" si="0"/>
        <v>4</v>
      </c>
      <c r="E77" s="11">
        <f t="shared" si="0"/>
        <v>4</v>
      </c>
      <c r="F77" s="11">
        <f t="shared" si="0"/>
        <v>3</v>
      </c>
      <c r="G77" s="11">
        <f t="shared" si="0"/>
        <v>3</v>
      </c>
      <c r="H77" s="24" t="str">
        <f t="shared" si="0"/>
        <v/>
      </c>
      <c r="I77" s="24">
        <f t="shared" si="0"/>
        <v>3</v>
      </c>
      <c r="J77" s="24">
        <f t="shared" si="0"/>
        <v>3</v>
      </c>
      <c r="K77" s="24">
        <f t="shared" si="0"/>
        <v>0</v>
      </c>
      <c r="L77" s="24">
        <f t="shared" si="1"/>
        <v>0</v>
      </c>
      <c r="M77" s="24">
        <f t="shared" si="1"/>
        <v>0</v>
      </c>
      <c r="N77" s="24">
        <f t="shared" si="1"/>
        <v>0</v>
      </c>
      <c r="O77" s="24">
        <f t="shared" si="1"/>
        <v>0</v>
      </c>
      <c r="P77" s="11">
        <f t="shared" si="1"/>
        <v>0</v>
      </c>
      <c r="Q77" s="11">
        <f t="shared" si="1"/>
        <v>0</v>
      </c>
      <c r="R77" s="11">
        <f t="shared" si="1"/>
        <v>0</v>
      </c>
    </row>
    <row r="78" spans="1:18">
      <c r="A78" s="10">
        <v>8</v>
      </c>
      <c r="B78" s="11">
        <f t="shared" si="0"/>
        <v>3</v>
      </c>
      <c r="C78" s="11">
        <f t="shared" si="0"/>
        <v>4</v>
      </c>
      <c r="D78" s="11">
        <f t="shared" si="0"/>
        <v>4</v>
      </c>
      <c r="E78" s="11">
        <f t="shared" si="0"/>
        <v>4</v>
      </c>
      <c r="F78" s="11">
        <f t="shared" si="0"/>
        <v>4</v>
      </c>
      <c r="G78" s="11">
        <f t="shared" si="0"/>
        <v>3</v>
      </c>
      <c r="H78" s="11">
        <f t="shared" si="0"/>
        <v>3</v>
      </c>
      <c r="I78" s="11" t="str">
        <f t="shared" si="0"/>
        <v/>
      </c>
      <c r="J78" s="11">
        <f t="shared" si="0"/>
        <v>3</v>
      </c>
      <c r="K78" s="11">
        <f t="shared" si="0"/>
        <v>0</v>
      </c>
      <c r="L78" s="11">
        <f t="shared" si="1"/>
        <v>0</v>
      </c>
      <c r="M78" s="11">
        <f t="shared" si="1"/>
        <v>0</v>
      </c>
      <c r="N78" s="11">
        <f t="shared" si="1"/>
        <v>0</v>
      </c>
      <c r="O78" s="11">
        <f t="shared" si="1"/>
        <v>0</v>
      </c>
      <c r="P78" s="11">
        <f t="shared" si="1"/>
        <v>0</v>
      </c>
      <c r="Q78" s="11">
        <f t="shared" si="1"/>
        <v>0</v>
      </c>
      <c r="R78" s="11">
        <f t="shared" si="1"/>
        <v>0</v>
      </c>
    </row>
    <row r="79" spans="1:18">
      <c r="A79" s="10">
        <v>9</v>
      </c>
      <c r="B79" s="11">
        <f t="shared" si="0"/>
        <v>3</v>
      </c>
      <c r="C79" s="11">
        <f t="shared" si="0"/>
        <v>3</v>
      </c>
      <c r="D79" s="11">
        <f t="shared" si="0"/>
        <v>4</v>
      </c>
      <c r="E79" s="11">
        <f t="shared" si="0"/>
        <v>4</v>
      </c>
      <c r="F79" s="11">
        <f t="shared" si="0"/>
        <v>4</v>
      </c>
      <c r="G79" s="11">
        <f t="shared" si="0"/>
        <v>4</v>
      </c>
      <c r="H79" s="11">
        <f t="shared" si="0"/>
        <v>3</v>
      </c>
      <c r="I79" s="11">
        <f t="shared" si="0"/>
        <v>3</v>
      </c>
      <c r="J79" s="11" t="str">
        <f t="shared" si="0"/>
        <v/>
      </c>
      <c r="K79" s="11">
        <f t="shared" si="0"/>
        <v>0</v>
      </c>
      <c r="L79" s="11">
        <f t="shared" si="1"/>
        <v>0</v>
      </c>
      <c r="M79" s="11">
        <f t="shared" si="1"/>
        <v>0</v>
      </c>
      <c r="N79" s="11">
        <f t="shared" si="1"/>
        <v>0</v>
      </c>
      <c r="O79" s="11">
        <f t="shared" si="1"/>
        <v>0</v>
      </c>
      <c r="P79" s="11">
        <f t="shared" si="1"/>
        <v>0</v>
      </c>
      <c r="Q79" s="11">
        <f t="shared" si="1"/>
        <v>0</v>
      </c>
      <c r="R79" s="11">
        <f t="shared" si="1"/>
        <v>0</v>
      </c>
    </row>
    <row r="80" spans="1:18">
      <c r="A80" s="10">
        <v>10</v>
      </c>
      <c r="B80" s="11">
        <f t="shared" si="0"/>
        <v>0</v>
      </c>
      <c r="C80" s="11">
        <f t="shared" si="0"/>
        <v>0</v>
      </c>
      <c r="D80" s="11">
        <f t="shared" si="0"/>
        <v>0</v>
      </c>
      <c r="E80" s="11">
        <f t="shared" si="0"/>
        <v>0</v>
      </c>
      <c r="F80" s="11">
        <f t="shared" si="0"/>
        <v>0</v>
      </c>
      <c r="G80" s="11">
        <f t="shared" si="0"/>
        <v>0</v>
      </c>
      <c r="H80" s="11">
        <f t="shared" si="0"/>
        <v>0</v>
      </c>
      <c r="I80" s="11">
        <f t="shared" si="0"/>
        <v>0</v>
      </c>
      <c r="J80" s="11">
        <f t="shared" si="0"/>
        <v>0</v>
      </c>
      <c r="K80" s="11" t="str">
        <f t="shared" si="0"/>
        <v/>
      </c>
      <c r="L80" s="11">
        <f t="shared" si="1"/>
        <v>4</v>
      </c>
      <c r="M80" s="11">
        <f t="shared" si="1"/>
        <v>4</v>
      </c>
      <c r="N80" s="11">
        <f t="shared" si="1"/>
        <v>4</v>
      </c>
      <c r="O80" s="11">
        <f t="shared" si="1"/>
        <v>4</v>
      </c>
      <c r="P80" s="11">
        <f t="shared" si="1"/>
        <v>4</v>
      </c>
      <c r="Q80" s="11">
        <f t="shared" si="1"/>
        <v>4</v>
      </c>
      <c r="R80" s="11">
        <f t="shared" si="1"/>
        <v>4</v>
      </c>
    </row>
    <row r="81" spans="1:18">
      <c r="A81" s="10">
        <v>11</v>
      </c>
      <c r="B81" s="11">
        <f t="shared" ref="B81:K87" si="2">IF($A81=B$70,"",COUNTIF($C$4:$J$66,$A81&amp;" ضد "&amp;B$70)+COUNTIF($C$4:$J$66,B$70&amp;" ضد "&amp;$A81))</f>
        <v>0</v>
      </c>
      <c r="C81" s="11">
        <f t="shared" si="2"/>
        <v>0</v>
      </c>
      <c r="D81" s="11">
        <f t="shared" si="2"/>
        <v>0</v>
      </c>
      <c r="E81" s="11">
        <f t="shared" si="2"/>
        <v>0</v>
      </c>
      <c r="F81" s="11">
        <f t="shared" si="2"/>
        <v>0</v>
      </c>
      <c r="G81" s="11">
        <f t="shared" si="2"/>
        <v>0</v>
      </c>
      <c r="H81" s="11">
        <f t="shared" si="2"/>
        <v>0</v>
      </c>
      <c r="I81" s="11">
        <f t="shared" si="2"/>
        <v>0</v>
      </c>
      <c r="J81" s="11">
        <f t="shared" si="2"/>
        <v>0</v>
      </c>
      <c r="K81" s="11">
        <f t="shared" si="2"/>
        <v>4</v>
      </c>
      <c r="L81" s="11" t="str">
        <f t="shared" ref="L81:R87" si="3">IF($A81=L$70,"",COUNTIF($C$4:$J$66,$A81&amp;" ضد "&amp;L$70)+COUNTIF($C$4:$J$66,L$70&amp;" ضد "&amp;$A81))</f>
        <v/>
      </c>
      <c r="M81" s="11">
        <f t="shared" si="3"/>
        <v>4</v>
      </c>
      <c r="N81" s="11">
        <f t="shared" si="3"/>
        <v>4</v>
      </c>
      <c r="O81" s="11">
        <f t="shared" si="3"/>
        <v>4</v>
      </c>
      <c r="P81" s="11">
        <f t="shared" si="3"/>
        <v>4</v>
      </c>
      <c r="Q81" s="11">
        <f t="shared" si="3"/>
        <v>4</v>
      </c>
      <c r="R81" s="11">
        <f t="shared" si="3"/>
        <v>4</v>
      </c>
    </row>
    <row r="82" spans="1:18">
      <c r="A82" s="10">
        <v>12</v>
      </c>
      <c r="B82" s="11">
        <f t="shared" si="2"/>
        <v>0</v>
      </c>
      <c r="C82" s="11">
        <f t="shared" si="2"/>
        <v>0</v>
      </c>
      <c r="D82" s="11">
        <f t="shared" si="2"/>
        <v>0</v>
      </c>
      <c r="E82" s="11">
        <f t="shared" si="2"/>
        <v>0</v>
      </c>
      <c r="F82" s="11">
        <f t="shared" si="2"/>
        <v>0</v>
      </c>
      <c r="G82" s="11">
        <f t="shared" si="2"/>
        <v>0</v>
      </c>
      <c r="H82" s="11">
        <f t="shared" si="2"/>
        <v>0</v>
      </c>
      <c r="I82" s="11">
        <f t="shared" si="2"/>
        <v>0</v>
      </c>
      <c r="J82" s="11">
        <f t="shared" si="2"/>
        <v>0</v>
      </c>
      <c r="K82" s="11">
        <f t="shared" si="2"/>
        <v>4</v>
      </c>
      <c r="L82" s="11">
        <f t="shared" si="3"/>
        <v>4</v>
      </c>
      <c r="M82" s="11" t="str">
        <f t="shared" si="3"/>
        <v/>
      </c>
      <c r="N82" s="11">
        <f t="shared" si="3"/>
        <v>4</v>
      </c>
      <c r="O82" s="11">
        <f t="shared" si="3"/>
        <v>4</v>
      </c>
      <c r="P82" s="11">
        <f t="shared" si="3"/>
        <v>4</v>
      </c>
      <c r="Q82" s="11">
        <f t="shared" si="3"/>
        <v>4</v>
      </c>
      <c r="R82" s="11">
        <f t="shared" si="3"/>
        <v>4</v>
      </c>
    </row>
    <row r="83" spans="1:18">
      <c r="A83" s="10">
        <v>13</v>
      </c>
      <c r="B83" s="11">
        <f t="shared" si="2"/>
        <v>0</v>
      </c>
      <c r="C83" s="11">
        <f t="shared" si="2"/>
        <v>0</v>
      </c>
      <c r="D83" s="11">
        <f t="shared" si="2"/>
        <v>0</v>
      </c>
      <c r="E83" s="11">
        <f t="shared" si="2"/>
        <v>0</v>
      </c>
      <c r="F83" s="11">
        <f t="shared" si="2"/>
        <v>0</v>
      </c>
      <c r="G83" s="11">
        <f t="shared" si="2"/>
        <v>0</v>
      </c>
      <c r="H83" s="11">
        <f t="shared" si="2"/>
        <v>0</v>
      </c>
      <c r="I83" s="11">
        <f t="shared" si="2"/>
        <v>0</v>
      </c>
      <c r="J83" s="11">
        <f t="shared" si="2"/>
        <v>0</v>
      </c>
      <c r="K83" s="11">
        <f t="shared" si="2"/>
        <v>4</v>
      </c>
      <c r="L83" s="11">
        <f t="shared" si="3"/>
        <v>4</v>
      </c>
      <c r="M83" s="11">
        <f t="shared" si="3"/>
        <v>4</v>
      </c>
      <c r="N83" s="11" t="str">
        <f t="shared" si="3"/>
        <v/>
      </c>
      <c r="O83" s="11">
        <f t="shared" si="3"/>
        <v>4</v>
      </c>
      <c r="P83" s="11">
        <f t="shared" si="3"/>
        <v>4</v>
      </c>
      <c r="Q83" s="11">
        <f t="shared" si="3"/>
        <v>4</v>
      </c>
      <c r="R83" s="11">
        <f t="shared" si="3"/>
        <v>4</v>
      </c>
    </row>
    <row r="84" spans="1:18">
      <c r="A84" s="10">
        <v>14</v>
      </c>
      <c r="B84" s="11">
        <f t="shared" si="2"/>
        <v>0</v>
      </c>
      <c r="C84" s="11">
        <f t="shared" si="2"/>
        <v>0</v>
      </c>
      <c r="D84" s="11">
        <f t="shared" si="2"/>
        <v>0</v>
      </c>
      <c r="E84" s="11">
        <f t="shared" si="2"/>
        <v>0</v>
      </c>
      <c r="F84" s="11">
        <f t="shared" si="2"/>
        <v>0</v>
      </c>
      <c r="G84" s="11">
        <f t="shared" si="2"/>
        <v>0</v>
      </c>
      <c r="H84" s="11">
        <f t="shared" si="2"/>
        <v>0</v>
      </c>
      <c r="I84" s="11">
        <f t="shared" si="2"/>
        <v>0</v>
      </c>
      <c r="J84" s="11">
        <f t="shared" si="2"/>
        <v>0</v>
      </c>
      <c r="K84" s="11">
        <f t="shared" si="2"/>
        <v>4</v>
      </c>
      <c r="L84" s="11">
        <f t="shared" si="3"/>
        <v>4</v>
      </c>
      <c r="M84" s="11">
        <f t="shared" si="3"/>
        <v>4</v>
      </c>
      <c r="N84" s="11">
        <f t="shared" si="3"/>
        <v>4</v>
      </c>
      <c r="O84" s="11" t="str">
        <f t="shared" si="3"/>
        <v/>
      </c>
      <c r="P84" s="11">
        <f t="shared" si="3"/>
        <v>4</v>
      </c>
      <c r="Q84" s="11">
        <f t="shared" si="3"/>
        <v>4</v>
      </c>
      <c r="R84" s="11">
        <f t="shared" si="3"/>
        <v>4</v>
      </c>
    </row>
    <row r="85" spans="1:18">
      <c r="A85" s="10">
        <v>15</v>
      </c>
      <c r="B85" s="11">
        <f t="shared" si="2"/>
        <v>0</v>
      </c>
      <c r="C85" s="11">
        <f t="shared" si="2"/>
        <v>0</v>
      </c>
      <c r="D85" s="11">
        <f t="shared" si="2"/>
        <v>0</v>
      </c>
      <c r="E85" s="11">
        <f t="shared" si="2"/>
        <v>0</v>
      </c>
      <c r="F85" s="11">
        <f t="shared" si="2"/>
        <v>0</v>
      </c>
      <c r="G85" s="11">
        <f t="shared" si="2"/>
        <v>0</v>
      </c>
      <c r="H85" s="11">
        <f t="shared" si="2"/>
        <v>0</v>
      </c>
      <c r="I85" s="11">
        <f t="shared" si="2"/>
        <v>0</v>
      </c>
      <c r="J85" s="11">
        <f t="shared" si="2"/>
        <v>0</v>
      </c>
      <c r="K85" s="11">
        <f t="shared" si="2"/>
        <v>4</v>
      </c>
      <c r="L85" s="11">
        <f t="shared" si="3"/>
        <v>4</v>
      </c>
      <c r="M85" s="11">
        <f t="shared" si="3"/>
        <v>4</v>
      </c>
      <c r="N85" s="11">
        <f t="shared" si="3"/>
        <v>4</v>
      </c>
      <c r="O85" s="11">
        <f t="shared" si="3"/>
        <v>4</v>
      </c>
      <c r="P85" s="11" t="str">
        <f t="shared" si="3"/>
        <v/>
      </c>
      <c r="Q85" s="11">
        <f t="shared" si="3"/>
        <v>4</v>
      </c>
      <c r="R85" s="11">
        <f t="shared" si="3"/>
        <v>4</v>
      </c>
    </row>
    <row r="86" spans="1:18">
      <c r="A86" s="10">
        <v>16</v>
      </c>
      <c r="B86" s="11">
        <f t="shared" si="2"/>
        <v>0</v>
      </c>
      <c r="C86" s="11">
        <f t="shared" si="2"/>
        <v>0</v>
      </c>
      <c r="D86" s="11">
        <f t="shared" si="2"/>
        <v>0</v>
      </c>
      <c r="E86" s="11">
        <f t="shared" si="2"/>
        <v>0</v>
      </c>
      <c r="F86" s="11">
        <f t="shared" si="2"/>
        <v>0</v>
      </c>
      <c r="G86" s="11">
        <f t="shared" si="2"/>
        <v>0</v>
      </c>
      <c r="H86" s="11">
        <f t="shared" si="2"/>
        <v>0</v>
      </c>
      <c r="I86" s="11">
        <f t="shared" si="2"/>
        <v>0</v>
      </c>
      <c r="J86" s="11">
        <f t="shared" si="2"/>
        <v>0</v>
      </c>
      <c r="K86" s="11">
        <f t="shared" si="2"/>
        <v>4</v>
      </c>
      <c r="L86" s="11">
        <f t="shared" si="3"/>
        <v>4</v>
      </c>
      <c r="M86" s="11">
        <f t="shared" si="3"/>
        <v>4</v>
      </c>
      <c r="N86" s="11">
        <f t="shared" si="3"/>
        <v>4</v>
      </c>
      <c r="O86" s="11">
        <f t="shared" si="3"/>
        <v>4</v>
      </c>
      <c r="P86" s="11">
        <f t="shared" si="3"/>
        <v>4</v>
      </c>
      <c r="Q86" s="11" t="str">
        <f t="shared" si="3"/>
        <v/>
      </c>
      <c r="R86" s="11">
        <f t="shared" si="3"/>
        <v>4</v>
      </c>
    </row>
    <row r="87" spans="1:18">
      <c r="A87" s="10">
        <v>17</v>
      </c>
      <c r="B87" s="11">
        <f t="shared" si="2"/>
        <v>0</v>
      </c>
      <c r="C87" s="11">
        <f t="shared" si="2"/>
        <v>0</v>
      </c>
      <c r="D87" s="11">
        <f t="shared" si="2"/>
        <v>0</v>
      </c>
      <c r="E87" s="11">
        <f t="shared" si="2"/>
        <v>0</v>
      </c>
      <c r="F87" s="11">
        <f t="shared" si="2"/>
        <v>0</v>
      </c>
      <c r="G87" s="11">
        <f t="shared" si="2"/>
        <v>0</v>
      </c>
      <c r="H87" s="11">
        <f t="shared" si="2"/>
        <v>0</v>
      </c>
      <c r="I87" s="11">
        <f t="shared" si="2"/>
        <v>0</v>
      </c>
      <c r="J87" s="11">
        <f t="shared" si="2"/>
        <v>0</v>
      </c>
      <c r="K87" s="11">
        <f t="shared" si="2"/>
        <v>4</v>
      </c>
      <c r="L87" s="11">
        <f t="shared" si="3"/>
        <v>4</v>
      </c>
      <c r="M87" s="11">
        <f t="shared" si="3"/>
        <v>4</v>
      </c>
      <c r="N87" s="11">
        <f t="shared" si="3"/>
        <v>4</v>
      </c>
      <c r="O87" s="11">
        <f t="shared" si="3"/>
        <v>4</v>
      </c>
      <c r="P87" s="11">
        <f t="shared" si="3"/>
        <v>4</v>
      </c>
      <c r="Q87" s="11">
        <f t="shared" si="3"/>
        <v>4</v>
      </c>
      <c r="R87" s="11" t="str">
        <f t="shared" si="3"/>
        <v/>
      </c>
    </row>
    <row r="88" spans="1:18">
      <c r="A88" s="22" t="s">
        <v>292</v>
      </c>
      <c r="B88" s="21" t="str">
        <f>IF(_xlfn.MINIFS(B71:J79,B71:J79,"&gt;0")=MAX(B71:J79),MAX(B71:J79)&amp;"",_xlfn.MINIFS(B71:J79,B71:J79,"&gt;0")&amp;_xlfn.UNICHAR(8206)&amp;"–"&amp;_xlfn.UNICHAR(8206)&amp;MAX(B71:J79))</f>
        <v>3‎–‎4</v>
      </c>
      <c r="C88" s="8"/>
      <c r="D88" s="8"/>
      <c r="E88" s="8"/>
      <c r="F88" s="8"/>
      <c r="G88" s="8"/>
      <c r="H88" s="26"/>
      <c r="I88" s="8"/>
      <c r="J88" s="8"/>
      <c r="K88" s="8"/>
      <c r="L88" s="8"/>
      <c r="M88" s="8"/>
      <c r="N88" s="8"/>
      <c r="O88" s="8"/>
      <c r="P88" s="8"/>
      <c r="Q88" s="8"/>
      <c r="R88" s="8"/>
    </row>
    <row r="89" spans="1:18">
      <c r="A89" s="22" t="s">
        <v>293</v>
      </c>
      <c r="B89" s="21" t="str">
        <f>IF(_xlfn.MINIFS(K80:R87,K80:R87,"&gt;0")=MAX(K80:R87),MAX(K80:R87)&amp;"",_xlfn.MINIFS(K80:R87,K80:R87,"&gt;0")&amp;_xlfn.UNICHAR(8206)&amp;"–"&amp;_xlfn.UNICHAR(8206)&amp;MAX(K80:R87))</f>
        <v>4</v>
      </c>
      <c r="C89" s="8"/>
      <c r="D89" s="8"/>
      <c r="E89" s="8"/>
      <c r="F89" s="8"/>
      <c r="G89" s="8"/>
      <c r="H89" s="26"/>
      <c r="I89" s="8"/>
      <c r="J89" s="8"/>
      <c r="K89" s="8"/>
      <c r="L89" s="8"/>
      <c r="M89" s="8"/>
      <c r="N89" s="8"/>
      <c r="O89" s="8"/>
      <c r="P89" s="8"/>
      <c r="Q89" s="8"/>
      <c r="R89" s="8"/>
    </row>
    <row r="90" spans="1:18">
      <c r="H90" s="4"/>
    </row>
    <row r="91" spans="1:18">
      <c r="H91" s="4"/>
    </row>
    <row r="92" spans="1:18">
      <c r="H92" s="4"/>
    </row>
    <row r="93" spans="1:18">
      <c r="H93" s="4"/>
    </row>
    <row r="94" spans="1:18">
      <c r="H94" s="4"/>
    </row>
    <row r="95" spans="1:18">
      <c r="H95" s="4"/>
    </row>
    <row r="96" spans="1:18">
      <c r="H96" s="4"/>
    </row>
    <row r="97" spans="8:8">
      <c r="H97" s="4"/>
    </row>
    <row r="98" spans="8:8">
      <c r="H98" s="4"/>
    </row>
    <row r="99" spans="8:8">
      <c r="H99" s="4"/>
    </row>
    <row r="100" spans="8:8">
      <c r="H100" s="4"/>
    </row>
    <row r="101" spans="8:8">
      <c r="H101" s="4"/>
    </row>
    <row r="102" spans="8:8">
      <c r="H102" s="4"/>
    </row>
    <row r="103" spans="8:8">
      <c r="H103" s="4"/>
    </row>
    <row r="104" spans="8:8">
      <c r="H104" s="4"/>
    </row>
    <row r="105" spans="8:8">
      <c r="H105" s="4"/>
    </row>
    <row r="106" spans="8:8">
      <c r="H106" s="4"/>
    </row>
    <row r="107" spans="8:8">
      <c r="H107" s="4"/>
    </row>
    <row r="108" spans="8:8">
      <c r="H108" s="4"/>
    </row>
    <row r="109" spans="8:8">
      <c r="H109" s="4"/>
    </row>
    <row r="110" spans="8:8">
      <c r="H110" s="4"/>
    </row>
    <row r="111" spans="8:8">
      <c r="H111" s="4"/>
    </row>
    <row r="112" spans="8:8">
      <c r="H112" s="4"/>
    </row>
    <row r="113" spans="8:8">
      <c r="H113" s="4"/>
    </row>
    <row r="114" spans="8:8">
      <c r="H114" s="4"/>
    </row>
    <row r="115" spans="8:8">
      <c r="H115" s="4"/>
    </row>
    <row r="116" spans="8:8">
      <c r="H116" s="4"/>
    </row>
    <row r="117" spans="8:8">
      <c r="H117" s="4"/>
    </row>
    <row r="118" spans="8:8">
      <c r="H118" s="4"/>
    </row>
    <row r="119" spans="8:8">
      <c r="H119" s="4"/>
    </row>
    <row r="120" spans="8:8">
      <c r="H120" s="4"/>
    </row>
    <row r="121" spans="8:8">
      <c r="H121" s="4"/>
    </row>
    <row r="122" spans="8:8">
      <c r="H122" s="4"/>
    </row>
    <row r="123" spans="8:8">
      <c r="H123" s="4"/>
    </row>
    <row r="124" spans="8:8">
      <c r="H124" s="4"/>
    </row>
    <row r="125" spans="8:8">
      <c r="H125" s="4"/>
    </row>
    <row r="126" spans="8:8">
      <c r="H126" s="4"/>
    </row>
    <row r="127" spans="8:8">
      <c r="H127" s="4"/>
    </row>
    <row r="128" spans="8:8">
      <c r="H128" s="4"/>
    </row>
    <row r="129" spans="8:8">
      <c r="H129" s="4"/>
    </row>
    <row r="130" spans="8:8">
      <c r="H130" s="4"/>
    </row>
    <row r="131" spans="8:8">
      <c r="H131" s="4"/>
    </row>
    <row r="132" spans="8:8">
      <c r="H132" s="4"/>
    </row>
    <row r="133" spans="8:8">
      <c r="H133" s="4"/>
    </row>
    <row r="134" spans="8:8">
      <c r="H134" s="4"/>
    </row>
    <row r="135" spans="8:8">
      <c r="H135" s="4"/>
    </row>
    <row r="136" spans="8:8">
      <c r="H136" s="4"/>
    </row>
    <row r="137" spans="8:8">
      <c r="H137" s="4"/>
    </row>
    <row r="138" spans="8:8">
      <c r="H138" s="4"/>
    </row>
    <row r="139" spans="8:8">
      <c r="H139" s="4"/>
    </row>
    <row r="140" spans="8:8">
      <c r="H140" s="4"/>
    </row>
    <row r="141" spans="8:8">
      <c r="H141" s="4"/>
    </row>
    <row r="142" spans="8:8">
      <c r="H142" s="4"/>
    </row>
    <row r="143" spans="8:8">
      <c r="H143" s="4"/>
    </row>
    <row r="144" spans="8:8">
      <c r="H144" s="4"/>
    </row>
    <row r="145" spans="8:8">
      <c r="H145" s="4"/>
    </row>
    <row r="146" spans="8:8">
      <c r="H146" s="4"/>
    </row>
    <row r="147" spans="8:8">
      <c r="H147" s="4"/>
    </row>
    <row r="148" spans="8:8">
      <c r="H148" s="4"/>
    </row>
    <row r="149" spans="8:8">
      <c r="H149" s="4"/>
    </row>
    <row r="150" spans="8:8">
      <c r="H150" s="4"/>
    </row>
    <row r="151" spans="8:8">
      <c r="H151" s="4"/>
    </row>
    <row r="152" spans="8:8">
      <c r="H152" s="4"/>
    </row>
    <row r="153" spans="8:8">
      <c r="H153" s="4"/>
    </row>
    <row r="154" spans="8:8">
      <c r="H154" s="4"/>
    </row>
    <row r="155" spans="8:8">
      <c r="H155" s="4"/>
    </row>
    <row r="156" spans="8:8">
      <c r="H156" s="4"/>
    </row>
    <row r="157" spans="8:8">
      <c r="H157" s="4"/>
    </row>
    <row r="158" spans="8:8">
      <c r="H158" s="4"/>
    </row>
    <row r="159" spans="8:8">
      <c r="H159" s="4"/>
    </row>
    <row r="160" spans="8:8">
      <c r="H160" s="4"/>
    </row>
    <row r="161" spans="8:8">
      <c r="H161" s="4"/>
    </row>
    <row r="162" spans="8:8">
      <c r="H162" s="4"/>
    </row>
    <row r="163" spans="8:8">
      <c r="H163" s="4"/>
    </row>
    <row r="164" spans="8:8">
      <c r="H164" s="4"/>
    </row>
    <row r="165" spans="8:8">
      <c r="H165" s="4"/>
    </row>
    <row r="166" spans="8:8">
      <c r="H166" s="4"/>
    </row>
    <row r="167" spans="8:8">
      <c r="H167" s="4"/>
    </row>
    <row r="168" spans="8:8">
      <c r="H168" s="4"/>
    </row>
    <row r="169" spans="8:8">
      <c r="H169" s="4"/>
    </row>
    <row r="170" spans="8:8">
      <c r="H170" s="4"/>
    </row>
    <row r="171" spans="8:8">
      <c r="H171" s="4"/>
    </row>
    <row r="172" spans="8:8">
      <c r="H172" s="4"/>
    </row>
    <row r="173" spans="8:8">
      <c r="H173" s="4"/>
    </row>
    <row r="174" spans="8:8">
      <c r="H174" s="4"/>
    </row>
    <row r="175" spans="8:8">
      <c r="H175" s="4"/>
    </row>
    <row r="176" spans="8:8">
      <c r="H176" s="4"/>
    </row>
    <row r="177" spans="8:8">
      <c r="H177" s="4"/>
    </row>
    <row r="178" spans="8:8">
      <c r="H178" s="4"/>
    </row>
    <row r="179" spans="8:8">
      <c r="H179" s="4"/>
    </row>
    <row r="180" spans="8:8">
      <c r="H180" s="4"/>
    </row>
    <row r="181" spans="8:8">
      <c r="H181" s="4"/>
    </row>
    <row r="182" spans="8:8">
      <c r="H182" s="4"/>
    </row>
    <row r="183" spans="8:8">
      <c r="H183" s="4"/>
    </row>
    <row r="184" spans="8:8">
      <c r="H184" s="4"/>
    </row>
    <row r="185" spans="8:8">
      <c r="H185" s="4"/>
    </row>
    <row r="186" spans="8:8">
      <c r="H186" s="4"/>
    </row>
    <row r="187" spans="8:8">
      <c r="H187" s="4"/>
    </row>
    <row r="188" spans="8:8">
      <c r="H188" s="4"/>
    </row>
    <row r="189" spans="8:8">
      <c r="H189" s="4"/>
    </row>
    <row r="190" spans="8:8">
      <c r="H190" s="4"/>
    </row>
    <row r="191" spans="8:8">
      <c r="H191" s="4"/>
    </row>
    <row r="192" spans="8:8">
      <c r="H192" s="4"/>
    </row>
    <row r="193" spans="8:8">
      <c r="H193" s="4"/>
    </row>
    <row r="194" spans="8:8">
      <c r="H194" s="4"/>
    </row>
    <row r="195" spans="8:8">
      <c r="H195" s="4"/>
    </row>
    <row r="196" spans="8:8">
      <c r="H196" s="4"/>
    </row>
    <row r="197" spans="8:8">
      <c r="H197" s="4"/>
    </row>
    <row r="198" spans="8:8">
      <c r="H198" s="4"/>
    </row>
    <row r="199" spans="8:8">
      <c r="H199" s="4"/>
    </row>
  </sheetData>
  <mergeCells count="23">
    <mergeCell ref="A31:A39"/>
    <mergeCell ref="A13:A21"/>
    <mergeCell ref="K13:K21"/>
    <mergeCell ref="L13:L21"/>
    <mergeCell ref="A22:A30"/>
    <mergeCell ref="K22:K30"/>
    <mergeCell ref="L22:L30"/>
    <mergeCell ref="A58:A66"/>
    <mergeCell ref="K58:K66"/>
    <mergeCell ref="L58:L66"/>
    <mergeCell ref="A1:L1"/>
    <mergeCell ref="A69:R69"/>
    <mergeCell ref="K31:K39"/>
    <mergeCell ref="L31:L39"/>
    <mergeCell ref="A40:A48"/>
    <mergeCell ref="K40:K48"/>
    <mergeCell ref="L40:L48"/>
    <mergeCell ref="A49:A57"/>
    <mergeCell ref="K49:K57"/>
    <mergeCell ref="L49:L57"/>
    <mergeCell ref="A4:A12"/>
    <mergeCell ref="K4:K12"/>
    <mergeCell ref="L4:L1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795F1-1AB1-4F9D-BCB1-8ED94F6C08A6}">
  <dimension ref="A1:S199"/>
  <sheetViews>
    <sheetView showGridLines="0" rightToLeft="1" zoomScale="48" workbookViewId="0">
      <pane ySplit="3" topLeftCell="A70" activePane="bottomLeft" state="frozen"/>
      <selection pane="bottomLeft" activeCell="B72" sqref="B72"/>
    </sheetView>
  </sheetViews>
  <sheetFormatPr defaultRowHeight="14.5"/>
  <cols>
    <col min="1" max="1" width="10.54296875" customWidth="1"/>
    <col min="2" max="2" width="17.26953125" customWidth="1"/>
    <col min="3" max="6" width="14.54296875" customWidth="1"/>
    <col min="7" max="8" width="15.453125" customWidth="1"/>
    <col min="9" max="16" width="5.453125" customWidth="1"/>
  </cols>
  <sheetData>
    <row r="1" spans="1:19" ht="26" customHeight="1">
      <c r="A1" s="83" t="s">
        <v>282</v>
      </c>
      <c r="B1" s="83"/>
      <c r="C1" s="83"/>
      <c r="D1" s="83"/>
      <c r="E1" s="83"/>
      <c r="F1" s="83"/>
      <c r="G1" s="83"/>
      <c r="H1" s="83"/>
      <c r="I1" s="8"/>
      <c r="J1" s="8"/>
      <c r="K1" s="8"/>
      <c r="L1" s="8"/>
      <c r="M1" s="8"/>
      <c r="N1" s="8"/>
      <c r="O1" s="13"/>
      <c r="P1" s="8"/>
      <c r="Q1" s="8"/>
      <c r="R1" s="8"/>
      <c r="S1" s="8"/>
    </row>
    <row r="2" spans="1:19" ht="8" customHeight="1">
      <c r="A2" s="8"/>
      <c r="B2" s="8"/>
      <c r="C2" s="8"/>
      <c r="D2" s="8"/>
      <c r="E2" s="8"/>
      <c r="F2" s="8"/>
      <c r="G2" s="8"/>
      <c r="H2" s="8"/>
      <c r="I2" s="8"/>
      <c r="J2" s="8"/>
      <c r="K2" s="8"/>
      <c r="L2" s="8"/>
      <c r="M2" s="8"/>
      <c r="N2" s="8"/>
      <c r="O2" s="13"/>
      <c r="P2" s="8"/>
      <c r="Q2" s="8"/>
      <c r="R2" s="8"/>
      <c r="S2" s="8"/>
    </row>
    <row r="3" spans="1:19" ht="32" customHeight="1">
      <c r="A3" s="25" t="s">
        <v>0</v>
      </c>
      <c r="B3" s="25" t="s">
        <v>1</v>
      </c>
      <c r="C3" s="25" t="s">
        <v>251</v>
      </c>
      <c r="D3" s="25" t="s">
        <v>252</v>
      </c>
      <c r="E3" s="25" t="s">
        <v>283</v>
      </c>
      <c r="F3" s="25" t="s">
        <v>284</v>
      </c>
      <c r="G3" s="25" t="s">
        <v>263</v>
      </c>
      <c r="H3" s="25" t="s">
        <v>105</v>
      </c>
      <c r="I3" s="8"/>
      <c r="J3" s="8"/>
      <c r="K3" s="8"/>
      <c r="L3" s="8"/>
      <c r="M3" s="8"/>
      <c r="N3" s="8"/>
      <c r="O3" s="13"/>
      <c r="P3" s="8"/>
      <c r="Q3" s="8"/>
      <c r="R3" s="8"/>
      <c r="S3" s="8"/>
    </row>
    <row r="4" spans="1:19" ht="14.5" customHeight="1">
      <c r="A4" s="101" t="s">
        <v>5</v>
      </c>
      <c r="B4"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 s="19" t="s">
        <v>35</v>
      </c>
      <c r="D4" s="19" t="s">
        <v>81</v>
      </c>
      <c r="E4" s="20" t="s">
        <v>136</v>
      </c>
      <c r="F4" s="20" t="s">
        <v>99</v>
      </c>
      <c r="G4" s="102">
        <f>COUNTIF(C4:F14,"* ضد *")</f>
        <v>36</v>
      </c>
      <c r="H4" s="102">
        <f>G4*2/'ملخص البطولات'!$A$11</f>
        <v>4</v>
      </c>
      <c r="I4" s="8"/>
      <c r="J4" s="8"/>
      <c r="K4" s="8"/>
      <c r="L4" s="8"/>
      <c r="M4" s="8"/>
      <c r="N4" s="8"/>
      <c r="O4" s="13"/>
      <c r="P4" s="8"/>
      <c r="Q4" s="8"/>
      <c r="R4" s="8"/>
      <c r="S4" s="8"/>
    </row>
    <row r="5" spans="1:19">
      <c r="A5" s="101"/>
      <c r="B5"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 s="19" t="s">
        <v>84</v>
      </c>
      <c r="D5" s="19" t="s">
        <v>43</v>
      </c>
      <c r="E5" s="20" t="s">
        <v>127</v>
      </c>
      <c r="F5" s="20" t="s">
        <v>144</v>
      </c>
      <c r="G5" s="102"/>
      <c r="H5" s="102"/>
      <c r="I5" s="8"/>
      <c r="J5" s="8"/>
      <c r="K5" s="8"/>
      <c r="L5" s="8"/>
      <c r="M5" s="8"/>
      <c r="N5" s="8"/>
      <c r="O5" s="13"/>
      <c r="P5" s="8"/>
      <c r="Q5" s="8"/>
      <c r="R5" s="8"/>
      <c r="S5" s="8"/>
    </row>
    <row r="6" spans="1:19">
      <c r="A6" s="101"/>
      <c r="B6"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 s="19" t="s">
        <v>65</v>
      </c>
      <c r="D6" s="19" t="s">
        <v>57</v>
      </c>
      <c r="E6" s="20" t="s">
        <v>126</v>
      </c>
      <c r="F6" s="20" t="s">
        <v>88</v>
      </c>
      <c r="G6" s="102"/>
      <c r="H6" s="102"/>
      <c r="I6" s="8"/>
      <c r="J6" s="8"/>
      <c r="K6" s="8"/>
      <c r="L6" s="8"/>
      <c r="M6" s="8"/>
      <c r="N6" s="8"/>
      <c r="O6" s="13"/>
      <c r="P6" s="8"/>
      <c r="Q6" s="8"/>
      <c r="R6" s="8"/>
      <c r="S6" s="8"/>
    </row>
    <row r="7" spans="1:19">
      <c r="A7" s="101"/>
      <c r="B7"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7" s="19" t="s">
        <v>51</v>
      </c>
      <c r="D7" s="19" t="s">
        <v>73</v>
      </c>
      <c r="E7" s="20" t="s">
        <v>119</v>
      </c>
      <c r="F7" s="20" t="s">
        <v>351</v>
      </c>
      <c r="G7" s="102"/>
      <c r="H7" s="102"/>
      <c r="I7" s="8"/>
      <c r="J7" s="8"/>
      <c r="K7" s="8"/>
      <c r="L7" s="8"/>
      <c r="M7" s="8"/>
      <c r="N7" s="8"/>
      <c r="O7" s="13"/>
      <c r="P7" s="8"/>
      <c r="Q7" s="8"/>
      <c r="R7" s="8"/>
      <c r="S7" s="8"/>
    </row>
    <row r="8" spans="1:19">
      <c r="A8" s="101"/>
      <c r="B8"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8" s="19" t="s">
        <v>30</v>
      </c>
      <c r="D8" s="19" t="s">
        <v>40</v>
      </c>
      <c r="E8" s="20" t="s">
        <v>120</v>
      </c>
      <c r="F8" s="20" t="s">
        <v>21</v>
      </c>
      <c r="G8" s="102"/>
      <c r="H8" s="102"/>
      <c r="I8" s="8"/>
      <c r="J8" s="8"/>
      <c r="K8" s="8"/>
      <c r="L8" s="8"/>
      <c r="M8" s="8"/>
      <c r="N8" s="8"/>
      <c r="O8" s="13"/>
      <c r="P8" s="8"/>
      <c r="Q8" s="8"/>
      <c r="R8" s="8"/>
      <c r="S8" s="8"/>
    </row>
    <row r="9" spans="1:19">
      <c r="A9" s="101"/>
      <c r="B9"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9" s="19" t="s">
        <v>82</v>
      </c>
      <c r="D9" s="19" t="s">
        <v>25</v>
      </c>
      <c r="E9" s="20" t="s">
        <v>151</v>
      </c>
      <c r="F9" s="20" t="s">
        <v>148</v>
      </c>
      <c r="G9" s="102"/>
      <c r="H9" s="102"/>
      <c r="I9" s="8"/>
      <c r="J9" s="8"/>
      <c r="K9" s="8"/>
      <c r="L9" s="8"/>
      <c r="M9" s="8"/>
      <c r="N9" s="8"/>
      <c r="O9" s="13"/>
      <c r="P9" s="8"/>
      <c r="Q9" s="8"/>
      <c r="R9" s="8"/>
      <c r="S9" s="8"/>
    </row>
    <row r="10" spans="1:19">
      <c r="A10" s="101"/>
      <c r="B10"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0" s="19" t="s">
        <v>85</v>
      </c>
      <c r="D10" s="19" t="s">
        <v>20</v>
      </c>
      <c r="E10" s="20" t="s">
        <v>90</v>
      </c>
      <c r="F10" s="20" t="s">
        <v>79</v>
      </c>
      <c r="G10" s="102"/>
      <c r="H10" s="102"/>
      <c r="I10" s="8"/>
      <c r="J10" s="8"/>
      <c r="K10" s="8"/>
      <c r="L10" s="8"/>
      <c r="M10" s="8"/>
      <c r="N10" s="8"/>
      <c r="O10" s="13"/>
      <c r="P10" s="8"/>
      <c r="Q10" s="8"/>
      <c r="R10" s="8"/>
      <c r="S10" s="8"/>
    </row>
    <row r="11" spans="1:19" ht="14.5" customHeight="1">
      <c r="A11" s="101"/>
      <c r="B11"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11" s="19" t="s">
        <v>70</v>
      </c>
      <c r="D11" s="19" t="s">
        <v>58</v>
      </c>
      <c r="E11" s="20" t="s">
        <v>124</v>
      </c>
      <c r="F11" s="20" t="s">
        <v>149</v>
      </c>
      <c r="G11" s="102"/>
      <c r="H11" s="102"/>
      <c r="I11" s="8"/>
      <c r="J11" s="8"/>
      <c r="K11" s="8"/>
      <c r="L11" s="8"/>
      <c r="M11" s="8"/>
      <c r="N11" s="8"/>
      <c r="O11" s="13"/>
      <c r="P11" s="8"/>
      <c r="Q11" s="8"/>
      <c r="R11" s="8"/>
      <c r="S11" s="8"/>
    </row>
    <row r="12" spans="1:19">
      <c r="A12" s="101"/>
      <c r="B12"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12" s="19" t="s">
        <v>32</v>
      </c>
      <c r="D12" s="19" t="s">
        <v>52</v>
      </c>
      <c r="E12" s="20" t="s">
        <v>33</v>
      </c>
      <c r="F12" s="20" t="s">
        <v>101</v>
      </c>
      <c r="G12" s="102"/>
      <c r="H12" s="102"/>
      <c r="I12" s="8"/>
      <c r="J12" s="8"/>
      <c r="K12" s="8"/>
      <c r="L12" s="8"/>
      <c r="M12" s="8"/>
      <c r="N12" s="8"/>
      <c r="O12" s="13"/>
      <c r="P12" s="8"/>
      <c r="Q12" s="8"/>
      <c r="R12" s="8"/>
      <c r="S12" s="8"/>
    </row>
    <row r="13" spans="1:19">
      <c r="A13" s="101"/>
      <c r="B13" s="1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13" s="19"/>
      <c r="D13" s="19"/>
      <c r="E13" s="20"/>
      <c r="F13" s="20"/>
      <c r="G13" s="102"/>
      <c r="H13" s="102"/>
      <c r="I13" s="8"/>
      <c r="J13" s="8"/>
      <c r="K13" s="8"/>
      <c r="L13" s="8"/>
      <c r="M13" s="8"/>
      <c r="N13" s="8"/>
      <c r="O13" s="13"/>
      <c r="P13" s="8"/>
      <c r="Q13" s="8"/>
      <c r="R13" s="8"/>
      <c r="S13" s="8"/>
    </row>
    <row r="14" spans="1:19">
      <c r="A14" s="101"/>
      <c r="B14" s="16" t="str">
        <f>MOD(HOUR((المدخلات!$B$4+10*المدخلات!$B$5/1440))-1,12)+1&amp;":"&amp;TEXT(MINUTE((المدخلات!$B$4+10*المدخلات!$B$5/1440)),"00")&amp;"–"&amp;MOD(HOUR((المدخلات!$B$4+10*المدخلات!$B$5/1440+المدخلات!$B$5/1440))-1,12)+1&amp;":"&amp;TEXT(MINUTE((المدخلات!$B$4+10*المدخلات!$B$5/1440+المدخلات!$B$5/1440)),"00")&amp;IF(HOUR((المدخلات!$B$4+10*المدخلات!$B$5/1440))&lt;12," ص"," م")</f>
        <v>7:30–7:45 م</v>
      </c>
      <c r="C14" s="19"/>
      <c r="D14" s="19"/>
      <c r="E14" s="20"/>
      <c r="F14" s="20"/>
      <c r="G14" s="102"/>
      <c r="H14" s="102"/>
      <c r="I14" s="8"/>
      <c r="J14" s="8"/>
      <c r="K14" s="8"/>
      <c r="L14" s="8"/>
      <c r="M14" s="8"/>
      <c r="N14" s="8"/>
      <c r="O14" s="13"/>
      <c r="P14" s="8"/>
      <c r="Q14" s="8"/>
      <c r="R14" s="8"/>
      <c r="S14" s="8"/>
    </row>
    <row r="15" spans="1:19">
      <c r="A15" s="101" t="s">
        <v>6</v>
      </c>
      <c r="B15"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15" s="19" t="s">
        <v>78</v>
      </c>
      <c r="D15" s="19"/>
      <c r="E15" s="20" t="s">
        <v>91</v>
      </c>
      <c r="F15" s="20"/>
      <c r="G15" s="100">
        <f>COUNTIF(C15:F25,"* ضد *")</f>
        <v>36</v>
      </c>
      <c r="H15" s="100">
        <f>G15*2/'ملخص البطولات'!$A$11</f>
        <v>4</v>
      </c>
      <c r="I15" s="8"/>
      <c r="J15" s="8"/>
      <c r="K15" s="8"/>
      <c r="L15" s="8"/>
      <c r="M15" s="8"/>
      <c r="N15" s="8"/>
      <c r="O15" s="13"/>
      <c r="P15" s="8"/>
      <c r="Q15" s="8"/>
      <c r="R15" s="8"/>
      <c r="S15" s="8"/>
    </row>
    <row r="16" spans="1:19">
      <c r="A16" s="101"/>
      <c r="B16"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16" s="19" t="s">
        <v>68</v>
      </c>
      <c r="D16" s="19" t="s">
        <v>60</v>
      </c>
      <c r="E16" s="20" t="s">
        <v>125</v>
      </c>
      <c r="F16" s="20" t="s">
        <v>162</v>
      </c>
      <c r="G16" s="100"/>
      <c r="H16" s="100"/>
      <c r="I16" s="8"/>
      <c r="J16" s="8"/>
      <c r="K16" s="8"/>
      <c r="L16" s="8"/>
      <c r="M16" s="8"/>
      <c r="N16" s="8"/>
      <c r="O16" s="13"/>
      <c r="P16" s="8"/>
      <c r="Q16" s="8"/>
      <c r="R16" s="8"/>
      <c r="S16" s="8"/>
    </row>
    <row r="17" spans="1:19">
      <c r="A17" s="101"/>
      <c r="B17"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17" s="19" t="s">
        <v>53</v>
      </c>
      <c r="D17" s="19"/>
      <c r="E17" s="20" t="s">
        <v>131</v>
      </c>
      <c r="F17" s="20"/>
      <c r="G17" s="100"/>
      <c r="H17" s="100"/>
      <c r="I17" s="8"/>
      <c r="J17" s="8"/>
      <c r="K17" s="8"/>
      <c r="L17" s="8"/>
      <c r="M17" s="8"/>
      <c r="N17" s="8"/>
      <c r="O17" s="13"/>
      <c r="P17" s="8"/>
      <c r="Q17" s="8"/>
      <c r="R17" s="8"/>
      <c r="S17" s="8"/>
    </row>
    <row r="18" spans="1:19" ht="14.5" customHeight="1">
      <c r="A18" s="101"/>
      <c r="B18"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18" s="19" t="s">
        <v>42</v>
      </c>
      <c r="D18" s="19" t="s">
        <v>49</v>
      </c>
      <c r="E18" s="20" t="s">
        <v>128</v>
      </c>
      <c r="F18" s="20" t="s">
        <v>100</v>
      </c>
      <c r="G18" s="100"/>
      <c r="H18" s="100"/>
      <c r="I18" s="8"/>
      <c r="J18" s="8"/>
      <c r="K18" s="8"/>
      <c r="L18" s="8"/>
      <c r="M18" s="8"/>
      <c r="N18" s="8"/>
      <c r="O18" s="13"/>
      <c r="P18" s="8"/>
      <c r="Q18" s="8"/>
      <c r="R18" s="8"/>
      <c r="S18" s="8"/>
    </row>
    <row r="19" spans="1:19">
      <c r="A19" s="101"/>
      <c r="B19"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19" s="19" t="s">
        <v>23</v>
      </c>
      <c r="D19" s="19" t="s">
        <v>66</v>
      </c>
      <c r="E19" s="20" t="s">
        <v>140</v>
      </c>
      <c r="F19" s="20" t="s">
        <v>130</v>
      </c>
      <c r="G19" s="100"/>
      <c r="H19" s="100"/>
      <c r="I19" s="8"/>
      <c r="J19" s="8"/>
      <c r="K19" s="8"/>
      <c r="L19" s="8"/>
      <c r="M19" s="8"/>
      <c r="N19" s="8"/>
      <c r="O19" s="13"/>
      <c r="P19" s="8"/>
      <c r="Q19" s="8"/>
      <c r="R19" s="8"/>
      <c r="S19" s="8"/>
    </row>
    <row r="20" spans="1:19">
      <c r="A20" s="101"/>
      <c r="B20"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20" s="19" t="s">
        <v>22</v>
      </c>
      <c r="D20" s="19" t="s">
        <v>44</v>
      </c>
      <c r="E20" s="20" t="s">
        <v>138</v>
      </c>
      <c r="F20" s="20" t="s">
        <v>98</v>
      </c>
      <c r="G20" s="100"/>
      <c r="H20" s="100"/>
      <c r="I20" s="8"/>
      <c r="J20" s="8"/>
      <c r="K20" s="8"/>
      <c r="L20" s="8"/>
      <c r="M20" s="8"/>
      <c r="N20" s="8"/>
      <c r="O20" s="13"/>
      <c r="P20" s="8"/>
      <c r="Q20" s="8"/>
      <c r="R20" s="8"/>
      <c r="S20" s="8"/>
    </row>
    <row r="21" spans="1:19">
      <c r="A21" s="101"/>
      <c r="B21"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21" s="19" t="s">
        <v>27</v>
      </c>
      <c r="D21" s="19" t="s">
        <v>48</v>
      </c>
      <c r="E21" s="20" t="s">
        <v>146</v>
      </c>
      <c r="F21" s="20" t="s">
        <v>122</v>
      </c>
      <c r="G21" s="100"/>
      <c r="H21" s="100"/>
      <c r="I21" s="8"/>
      <c r="J21" s="8"/>
      <c r="K21" s="8"/>
      <c r="L21" s="8"/>
      <c r="M21" s="8"/>
      <c r="N21" s="8"/>
      <c r="O21" s="13"/>
      <c r="P21" s="8"/>
      <c r="Q21" s="8"/>
      <c r="R21" s="8"/>
      <c r="S21" s="8"/>
    </row>
    <row r="22" spans="1:19">
      <c r="A22" s="101"/>
      <c r="B22"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22" s="19" t="s">
        <v>34</v>
      </c>
      <c r="D22" s="19" t="s">
        <v>41</v>
      </c>
      <c r="E22" s="20" t="s">
        <v>118</v>
      </c>
      <c r="F22" s="20" t="s">
        <v>143</v>
      </c>
      <c r="G22" s="100"/>
      <c r="H22" s="100"/>
      <c r="I22" s="8"/>
      <c r="J22" s="8"/>
      <c r="K22" s="8"/>
      <c r="L22" s="8"/>
      <c r="M22" s="8"/>
      <c r="N22" s="8"/>
      <c r="O22" s="13"/>
      <c r="P22" s="8"/>
      <c r="Q22" s="8"/>
      <c r="R22" s="8"/>
      <c r="S22" s="8"/>
    </row>
    <row r="23" spans="1:19">
      <c r="A23" s="101"/>
      <c r="B23"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23" s="19" t="s">
        <v>36</v>
      </c>
      <c r="D23" s="19" t="s">
        <v>72</v>
      </c>
      <c r="E23" s="20" t="s">
        <v>161</v>
      </c>
      <c r="F23" s="20" t="s">
        <v>152</v>
      </c>
      <c r="G23" s="100"/>
      <c r="H23" s="100"/>
      <c r="I23" s="8"/>
      <c r="J23" s="8"/>
      <c r="K23" s="8"/>
      <c r="L23" s="8"/>
      <c r="M23" s="8"/>
      <c r="N23" s="8"/>
      <c r="O23" s="13"/>
      <c r="P23" s="8"/>
      <c r="Q23" s="8"/>
      <c r="R23" s="8"/>
      <c r="S23" s="8"/>
    </row>
    <row r="24" spans="1:19">
      <c r="A24" s="101"/>
      <c r="B24" s="17"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24" s="19" t="s">
        <v>75</v>
      </c>
      <c r="D24" s="19"/>
      <c r="E24" s="20" t="s">
        <v>141</v>
      </c>
      <c r="F24" s="20"/>
      <c r="G24" s="100"/>
      <c r="H24" s="100"/>
      <c r="I24" s="8"/>
      <c r="J24" s="8"/>
      <c r="K24" s="8"/>
      <c r="L24" s="8"/>
      <c r="M24" s="8"/>
      <c r="N24" s="8"/>
      <c r="O24" s="13"/>
      <c r="P24" s="8"/>
      <c r="Q24" s="8"/>
      <c r="R24" s="8"/>
      <c r="S24" s="8"/>
    </row>
    <row r="25" spans="1:19" ht="14.5" customHeight="1">
      <c r="A25" s="101"/>
      <c r="B25" s="17" t="str">
        <f>MOD(HOUR((المدخلات!$B$4+10*المدخلات!$B$5/1440))-1,12)+1&amp;":"&amp;TEXT(MINUTE((المدخلات!$B$4+10*المدخلات!$B$5/1440)),"00")&amp;"–"&amp;MOD(HOUR((المدخلات!$B$4+10*المدخلات!$B$5/1440+المدخلات!$B$5/1440))-1,12)+1&amp;":"&amp;TEXT(MINUTE((المدخلات!$B$4+10*المدخلات!$B$5/1440+المدخلات!$B$5/1440)),"00")&amp;IF(HOUR((المدخلات!$B$4+10*المدخلات!$B$5/1440))&lt;12," ص"," م")</f>
        <v>7:30–7:45 م</v>
      </c>
      <c r="C25" s="19" t="s">
        <v>69</v>
      </c>
      <c r="D25" s="19"/>
      <c r="E25" s="20" t="s">
        <v>163</v>
      </c>
      <c r="F25" s="20"/>
      <c r="G25" s="100"/>
      <c r="H25" s="100"/>
      <c r="I25" s="8"/>
      <c r="J25" s="8"/>
      <c r="K25" s="8"/>
      <c r="L25" s="8"/>
      <c r="M25" s="8"/>
      <c r="N25" s="8"/>
      <c r="O25" s="13"/>
      <c r="P25" s="8"/>
      <c r="Q25" s="8"/>
      <c r="R25" s="8"/>
      <c r="S25" s="8"/>
    </row>
    <row r="26" spans="1:19">
      <c r="A26" s="101" t="s">
        <v>7</v>
      </c>
      <c r="B26"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26" s="19"/>
      <c r="D26" s="19"/>
      <c r="E26" s="20"/>
      <c r="F26" s="20"/>
      <c r="G26" s="102">
        <f>COUNTIF(C26:F36,"* ضد *")</f>
        <v>36</v>
      </c>
      <c r="H26" s="102">
        <f>G26*2/'ملخص البطولات'!$A$11</f>
        <v>4</v>
      </c>
      <c r="I26" s="8"/>
      <c r="J26" s="8"/>
      <c r="K26" s="8"/>
      <c r="L26" s="8"/>
      <c r="M26" s="8"/>
      <c r="N26" s="8"/>
      <c r="O26" s="13"/>
      <c r="P26" s="8"/>
      <c r="Q26" s="8"/>
      <c r="R26" s="8"/>
      <c r="S26" s="8"/>
    </row>
    <row r="27" spans="1:19">
      <c r="A27" s="101"/>
      <c r="B27"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27" s="19" t="s">
        <v>82</v>
      </c>
      <c r="D27" s="19" t="s">
        <v>32</v>
      </c>
      <c r="E27" s="20" t="s">
        <v>151</v>
      </c>
      <c r="F27" s="20" t="s">
        <v>33</v>
      </c>
      <c r="G27" s="102"/>
      <c r="H27" s="102"/>
      <c r="I27" s="8"/>
      <c r="J27" s="8"/>
      <c r="K27" s="8"/>
      <c r="L27" s="8"/>
      <c r="M27" s="8"/>
      <c r="N27" s="8"/>
      <c r="O27" s="13"/>
      <c r="P27" s="8"/>
      <c r="Q27" s="8"/>
      <c r="R27" s="8"/>
      <c r="S27" s="8"/>
    </row>
    <row r="28" spans="1:19">
      <c r="A28" s="101"/>
      <c r="B28"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28" s="19" t="s">
        <v>81</v>
      </c>
      <c r="D28" s="19" t="s">
        <v>35</v>
      </c>
      <c r="E28" s="20" t="s">
        <v>99</v>
      </c>
      <c r="F28" s="20" t="s">
        <v>136</v>
      </c>
      <c r="G28" s="102"/>
      <c r="H28" s="102"/>
      <c r="I28" s="8"/>
      <c r="J28" s="8"/>
      <c r="K28" s="8"/>
      <c r="L28" s="8"/>
      <c r="M28" s="8"/>
      <c r="N28" s="8"/>
      <c r="O28" s="13"/>
      <c r="P28" s="8"/>
      <c r="Q28" s="8"/>
      <c r="R28" s="8"/>
      <c r="S28" s="8"/>
    </row>
    <row r="29" spans="1:19">
      <c r="A29" s="101"/>
      <c r="B29"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29" s="19" t="s">
        <v>84</v>
      </c>
      <c r="D29" s="19" t="s">
        <v>43</v>
      </c>
      <c r="E29" s="20" t="s">
        <v>127</v>
      </c>
      <c r="F29" s="20" t="s">
        <v>144</v>
      </c>
      <c r="G29" s="102"/>
      <c r="H29" s="102"/>
      <c r="I29" s="8"/>
      <c r="J29" s="8"/>
      <c r="K29" s="8"/>
      <c r="L29" s="8"/>
      <c r="M29" s="8"/>
      <c r="N29" s="8"/>
      <c r="O29" s="13"/>
      <c r="P29" s="8"/>
      <c r="Q29" s="8"/>
      <c r="R29" s="8"/>
      <c r="S29" s="8"/>
    </row>
    <row r="30" spans="1:19">
      <c r="A30" s="101"/>
      <c r="B30"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30" s="19" t="s">
        <v>57</v>
      </c>
      <c r="D30" s="19" t="s">
        <v>65</v>
      </c>
      <c r="E30" s="20" t="s">
        <v>88</v>
      </c>
      <c r="F30" s="20" t="s">
        <v>126</v>
      </c>
      <c r="G30" s="102"/>
      <c r="H30" s="102"/>
      <c r="I30" s="8"/>
      <c r="J30" s="8"/>
      <c r="K30" s="8"/>
      <c r="L30" s="8"/>
      <c r="M30" s="8"/>
      <c r="N30" s="8"/>
      <c r="O30" s="13"/>
      <c r="P30" s="8"/>
      <c r="Q30" s="8"/>
      <c r="R30" s="8"/>
      <c r="S30" s="8"/>
    </row>
    <row r="31" spans="1:19">
      <c r="A31" s="101"/>
      <c r="B31"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31" s="19" t="s">
        <v>73</v>
      </c>
      <c r="D31" s="19" t="s">
        <v>51</v>
      </c>
      <c r="E31" s="20" t="s">
        <v>351</v>
      </c>
      <c r="F31" s="20" t="s">
        <v>119</v>
      </c>
      <c r="G31" s="102"/>
      <c r="H31" s="102"/>
      <c r="I31" s="8"/>
      <c r="J31" s="8"/>
      <c r="K31" s="8"/>
      <c r="L31" s="8"/>
      <c r="M31" s="8"/>
      <c r="N31" s="8"/>
      <c r="O31" s="13"/>
      <c r="P31" s="8"/>
      <c r="Q31" s="8"/>
      <c r="R31" s="8"/>
      <c r="S31" s="8"/>
    </row>
    <row r="32" spans="1:19" ht="14.5" customHeight="1">
      <c r="A32" s="101"/>
      <c r="B32"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32" s="19" t="s">
        <v>40</v>
      </c>
      <c r="D32" s="19" t="s">
        <v>52</v>
      </c>
      <c r="E32" s="20" t="s">
        <v>21</v>
      </c>
      <c r="F32" s="20" t="s">
        <v>101</v>
      </c>
      <c r="G32" s="102"/>
      <c r="H32" s="102"/>
      <c r="I32" s="8"/>
      <c r="J32" s="8"/>
      <c r="K32" s="8"/>
      <c r="L32" s="8"/>
      <c r="M32" s="8"/>
      <c r="N32" s="8"/>
      <c r="O32" s="13"/>
      <c r="P32" s="8"/>
      <c r="Q32" s="8"/>
      <c r="R32" s="8"/>
      <c r="S32" s="8"/>
    </row>
    <row r="33" spans="1:19">
      <c r="A33" s="101"/>
      <c r="B33"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33" s="19" t="s">
        <v>58</v>
      </c>
      <c r="D33" s="19" t="s">
        <v>70</v>
      </c>
      <c r="E33" s="20" t="s">
        <v>149</v>
      </c>
      <c r="F33" s="20" t="s">
        <v>124</v>
      </c>
      <c r="G33" s="102"/>
      <c r="H33" s="102"/>
      <c r="I33" s="8"/>
      <c r="J33" s="8"/>
      <c r="K33" s="8"/>
      <c r="L33" s="8"/>
      <c r="M33" s="8"/>
      <c r="N33" s="8"/>
      <c r="O33" s="13"/>
      <c r="P33" s="8"/>
      <c r="Q33" s="8"/>
      <c r="R33" s="8"/>
      <c r="S33" s="8"/>
    </row>
    <row r="34" spans="1:19">
      <c r="A34" s="101"/>
      <c r="B34"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34" s="19" t="s">
        <v>85</v>
      </c>
      <c r="D34" s="19" t="s">
        <v>20</v>
      </c>
      <c r="E34" s="20" t="s">
        <v>90</v>
      </c>
      <c r="F34" s="20" t="s">
        <v>79</v>
      </c>
      <c r="G34" s="102"/>
      <c r="H34" s="102"/>
      <c r="I34" s="8"/>
      <c r="J34" s="8"/>
      <c r="K34" s="8"/>
      <c r="L34" s="8"/>
      <c r="M34" s="8"/>
      <c r="N34" s="8"/>
      <c r="O34" s="13"/>
      <c r="P34" s="8"/>
      <c r="Q34" s="8"/>
      <c r="R34" s="8"/>
      <c r="S34" s="8"/>
    </row>
    <row r="35" spans="1:19">
      <c r="A35" s="101"/>
      <c r="B35" s="1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35" s="19" t="s">
        <v>25</v>
      </c>
      <c r="D35" s="19"/>
      <c r="E35" s="20" t="s">
        <v>148</v>
      </c>
      <c r="F35" s="20"/>
      <c r="G35" s="102"/>
      <c r="H35" s="102"/>
      <c r="I35" s="8"/>
      <c r="J35" s="8"/>
      <c r="K35" s="8"/>
      <c r="L35" s="8"/>
      <c r="M35" s="8"/>
      <c r="N35" s="8"/>
      <c r="O35" s="13"/>
      <c r="P35" s="8"/>
      <c r="Q35" s="8"/>
      <c r="R35" s="8"/>
      <c r="S35" s="8"/>
    </row>
    <row r="36" spans="1:19">
      <c r="A36" s="101"/>
      <c r="B36" s="16" t="str">
        <f>MOD(HOUR((المدخلات!$B$4+10*المدخلات!$B$5/1440))-1,12)+1&amp;":"&amp;TEXT(MINUTE((المدخلات!$B$4+10*المدخلات!$B$5/1440)),"00")&amp;"–"&amp;MOD(HOUR((المدخلات!$B$4+10*المدخلات!$B$5/1440+المدخلات!$B$5/1440))-1,12)+1&amp;":"&amp;TEXT(MINUTE((المدخلات!$B$4+10*المدخلات!$B$5/1440+المدخلات!$B$5/1440)),"00")&amp;IF(HOUR((المدخلات!$B$4+10*المدخلات!$B$5/1440))&lt;12," ص"," م")</f>
        <v>7:30–7:45 م</v>
      </c>
      <c r="C36" s="19" t="s">
        <v>30</v>
      </c>
      <c r="D36" s="19"/>
      <c r="E36" s="20" t="s">
        <v>120</v>
      </c>
      <c r="F36" s="20"/>
      <c r="G36" s="102"/>
      <c r="H36" s="102"/>
      <c r="I36" s="8"/>
      <c r="J36" s="8"/>
      <c r="K36" s="8"/>
      <c r="L36" s="8"/>
      <c r="M36" s="8"/>
      <c r="N36" s="8"/>
      <c r="O36" s="13"/>
      <c r="P36" s="8"/>
      <c r="Q36" s="8"/>
      <c r="R36" s="8"/>
      <c r="S36" s="8"/>
    </row>
    <row r="37" spans="1:19" ht="14.5" customHeight="1">
      <c r="A37" s="101" t="s">
        <v>8</v>
      </c>
      <c r="B37"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37" s="19"/>
      <c r="D37" s="19"/>
      <c r="E37" s="20"/>
      <c r="F37" s="20"/>
      <c r="G37" s="100">
        <f>COUNTIF(C37:F47,"* ضد *")</f>
        <v>36</v>
      </c>
      <c r="H37" s="100">
        <f>G37*2/'ملخص البطولات'!$A$11</f>
        <v>4</v>
      </c>
      <c r="I37" s="8"/>
      <c r="J37" s="8"/>
      <c r="K37" s="8"/>
      <c r="L37" s="8"/>
      <c r="M37" s="8"/>
      <c r="N37" s="8"/>
      <c r="O37" s="13"/>
      <c r="P37" s="8"/>
      <c r="Q37" s="8"/>
      <c r="R37" s="8"/>
      <c r="S37" s="8"/>
    </row>
    <row r="38" spans="1:19">
      <c r="A38" s="101"/>
      <c r="B38"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38" s="19" t="s">
        <v>42</v>
      </c>
      <c r="D38" s="19" t="s">
        <v>69</v>
      </c>
      <c r="E38" s="20" t="s">
        <v>128</v>
      </c>
      <c r="F38" s="20" t="s">
        <v>163</v>
      </c>
      <c r="G38" s="100"/>
      <c r="H38" s="100"/>
      <c r="I38" s="8"/>
      <c r="J38" s="8"/>
      <c r="K38" s="8"/>
      <c r="L38" s="8"/>
      <c r="M38" s="8"/>
      <c r="N38" s="8"/>
      <c r="O38" s="13"/>
      <c r="P38" s="8"/>
      <c r="Q38" s="8"/>
      <c r="R38" s="8"/>
      <c r="S38" s="8"/>
    </row>
    <row r="39" spans="1:19" ht="14.5" customHeight="1">
      <c r="A39" s="101"/>
      <c r="B39"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39" s="19" t="s">
        <v>75</v>
      </c>
      <c r="D39" s="19"/>
      <c r="E39" s="20" t="s">
        <v>141</v>
      </c>
      <c r="F39" s="20"/>
      <c r="G39" s="100"/>
      <c r="H39" s="100"/>
      <c r="I39" s="8"/>
      <c r="J39" s="8"/>
      <c r="K39" s="8"/>
      <c r="L39" s="8"/>
      <c r="M39" s="8"/>
      <c r="N39" s="8"/>
      <c r="O39" s="13"/>
      <c r="P39" s="8"/>
      <c r="Q39" s="8"/>
      <c r="R39" s="8"/>
      <c r="S39" s="8"/>
    </row>
    <row r="40" spans="1:19">
      <c r="A40" s="101"/>
      <c r="B40"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40" s="19" t="s">
        <v>36</v>
      </c>
      <c r="D40" s="19" t="s">
        <v>53</v>
      </c>
      <c r="E40" s="20" t="s">
        <v>161</v>
      </c>
      <c r="F40" s="20" t="s">
        <v>131</v>
      </c>
      <c r="G40" s="100"/>
      <c r="H40" s="100"/>
      <c r="I40" s="8"/>
      <c r="J40" s="8"/>
      <c r="K40" s="8"/>
      <c r="L40" s="8"/>
      <c r="M40" s="8"/>
      <c r="N40" s="8"/>
      <c r="O40" s="13"/>
      <c r="P40" s="8"/>
      <c r="Q40" s="8"/>
      <c r="R40" s="8"/>
      <c r="S40" s="8"/>
    </row>
    <row r="41" spans="1:19">
      <c r="A41" s="101"/>
      <c r="B41"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41" s="19" t="s">
        <v>34</v>
      </c>
      <c r="D41" s="19" t="s">
        <v>60</v>
      </c>
      <c r="E41" s="20" t="s">
        <v>118</v>
      </c>
      <c r="F41" s="20" t="s">
        <v>162</v>
      </c>
      <c r="G41" s="100"/>
      <c r="H41" s="100"/>
      <c r="I41" s="8"/>
      <c r="J41" s="8"/>
      <c r="K41" s="8"/>
      <c r="L41" s="8"/>
      <c r="M41" s="8"/>
      <c r="N41" s="8"/>
      <c r="O41" s="13"/>
      <c r="P41" s="8"/>
      <c r="Q41" s="8"/>
      <c r="R41" s="8"/>
      <c r="S41" s="8"/>
    </row>
    <row r="42" spans="1:19" ht="14.5" customHeight="1">
      <c r="A42" s="101"/>
      <c r="B42"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42" s="19" t="s">
        <v>48</v>
      </c>
      <c r="D42" s="19" t="s">
        <v>27</v>
      </c>
      <c r="E42" s="20" t="s">
        <v>122</v>
      </c>
      <c r="F42" s="20" t="s">
        <v>146</v>
      </c>
      <c r="G42" s="100"/>
      <c r="H42" s="100"/>
      <c r="I42" s="8"/>
      <c r="J42" s="8"/>
      <c r="K42" s="8"/>
      <c r="L42" s="8"/>
      <c r="M42" s="8"/>
      <c r="N42" s="8"/>
      <c r="O42" s="13"/>
      <c r="P42" s="8"/>
      <c r="Q42" s="8"/>
      <c r="R42" s="8"/>
      <c r="S42" s="8"/>
    </row>
    <row r="43" spans="1:19">
      <c r="A43" s="101"/>
      <c r="B43"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43" s="19" t="s">
        <v>44</v>
      </c>
      <c r="D43" s="19" t="s">
        <v>22</v>
      </c>
      <c r="E43" s="20" t="s">
        <v>98</v>
      </c>
      <c r="F43" s="20" t="s">
        <v>138</v>
      </c>
      <c r="G43" s="100"/>
      <c r="H43" s="100"/>
      <c r="I43" s="8"/>
      <c r="J43" s="8"/>
      <c r="K43" s="8"/>
      <c r="L43" s="8"/>
      <c r="M43" s="8"/>
      <c r="N43" s="8"/>
      <c r="O43" s="13"/>
      <c r="P43" s="8"/>
      <c r="Q43" s="8"/>
      <c r="R43" s="8"/>
      <c r="S43" s="8"/>
    </row>
    <row r="44" spans="1:19">
      <c r="A44" s="101"/>
      <c r="B44"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44" s="19" t="s">
        <v>23</v>
      </c>
      <c r="D44" s="19" t="s">
        <v>66</v>
      </c>
      <c r="E44" s="20" t="s">
        <v>140</v>
      </c>
      <c r="F44" s="20" t="s">
        <v>130</v>
      </c>
      <c r="G44" s="100"/>
      <c r="H44" s="100"/>
      <c r="I44" s="8"/>
      <c r="J44" s="8"/>
      <c r="K44" s="8"/>
      <c r="L44" s="8"/>
      <c r="M44" s="8"/>
      <c r="N44" s="8"/>
      <c r="O44" s="13"/>
      <c r="P44" s="8"/>
      <c r="Q44" s="8"/>
      <c r="R44" s="8"/>
      <c r="S44" s="8"/>
    </row>
    <row r="45" spans="1:19">
      <c r="A45" s="101"/>
      <c r="B45"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45" s="19" t="s">
        <v>78</v>
      </c>
      <c r="D45" s="19" t="s">
        <v>49</v>
      </c>
      <c r="E45" s="20" t="s">
        <v>91</v>
      </c>
      <c r="F45" s="20" t="s">
        <v>100</v>
      </c>
      <c r="G45" s="100"/>
      <c r="H45" s="100"/>
      <c r="I45" s="8"/>
      <c r="J45" s="8"/>
      <c r="K45" s="8"/>
      <c r="L45" s="8"/>
      <c r="M45" s="8"/>
      <c r="N45" s="8"/>
      <c r="O45" s="13"/>
      <c r="P45" s="8"/>
      <c r="Q45" s="8"/>
      <c r="R45" s="8"/>
      <c r="S45" s="8"/>
    </row>
    <row r="46" spans="1:19" ht="14.5" customHeight="1">
      <c r="A46" s="101"/>
      <c r="B46" s="17"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46" s="19" t="s">
        <v>68</v>
      </c>
      <c r="D46" s="19"/>
      <c r="E46" s="20" t="s">
        <v>125</v>
      </c>
      <c r="F46" s="20"/>
      <c r="G46" s="100"/>
      <c r="H46" s="100"/>
      <c r="I46" s="8"/>
      <c r="J46" s="8"/>
      <c r="K46" s="8"/>
      <c r="L46" s="8"/>
      <c r="M46" s="8"/>
      <c r="N46" s="8"/>
      <c r="O46" s="13"/>
      <c r="P46" s="8"/>
      <c r="Q46" s="8"/>
      <c r="R46" s="8"/>
      <c r="S46" s="8"/>
    </row>
    <row r="47" spans="1:19">
      <c r="A47" s="101"/>
      <c r="B47" s="17" t="str">
        <f>MOD(HOUR((المدخلات!$B$4+10*المدخلات!$B$5/1440))-1,12)+1&amp;":"&amp;TEXT(MINUTE((المدخلات!$B$4+10*المدخلات!$B$5/1440)),"00")&amp;"–"&amp;MOD(HOUR((المدخلات!$B$4+10*المدخلات!$B$5/1440+المدخلات!$B$5/1440))-1,12)+1&amp;":"&amp;TEXT(MINUTE((المدخلات!$B$4+10*المدخلات!$B$5/1440+المدخلات!$B$5/1440)),"00")&amp;IF(HOUR((المدخلات!$B$4+10*المدخلات!$B$5/1440))&lt;12," ص"," م")</f>
        <v>7:30–7:45 م</v>
      </c>
      <c r="C47" s="19" t="s">
        <v>41</v>
      </c>
      <c r="D47" s="19" t="s">
        <v>72</v>
      </c>
      <c r="E47" s="20" t="s">
        <v>143</v>
      </c>
      <c r="F47" s="20" t="s">
        <v>152</v>
      </c>
      <c r="G47" s="100"/>
      <c r="H47" s="100"/>
      <c r="I47" s="8"/>
      <c r="J47" s="8"/>
      <c r="K47" s="8"/>
      <c r="L47" s="8"/>
      <c r="M47" s="8"/>
      <c r="N47" s="8"/>
      <c r="O47" s="13"/>
      <c r="P47" s="8"/>
      <c r="Q47" s="8"/>
      <c r="R47" s="8"/>
      <c r="S47" s="8"/>
    </row>
    <row r="48" spans="1:19">
      <c r="A48" s="101" t="s">
        <v>9</v>
      </c>
      <c r="B48"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8" s="19" t="s">
        <v>70</v>
      </c>
      <c r="D48" s="19" t="s">
        <v>32</v>
      </c>
      <c r="E48" s="20" t="s">
        <v>124</v>
      </c>
      <c r="F48" s="20" t="s">
        <v>33</v>
      </c>
      <c r="G48" s="102">
        <f>COUNTIF(C48:F58,"* ضد *")</f>
        <v>36</v>
      </c>
      <c r="H48" s="102">
        <f>G48*2/'ملخص البطولات'!$A$11</f>
        <v>4</v>
      </c>
      <c r="I48" s="8"/>
      <c r="J48" s="8"/>
      <c r="K48" s="8"/>
      <c r="L48" s="8"/>
      <c r="M48" s="8"/>
      <c r="N48" s="8"/>
      <c r="O48" s="13"/>
      <c r="P48" s="8"/>
      <c r="Q48" s="8"/>
      <c r="R48" s="8"/>
      <c r="S48" s="8"/>
    </row>
    <row r="49" spans="1:19">
      <c r="A49" s="101"/>
      <c r="B49"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49" s="19" t="s">
        <v>58</v>
      </c>
      <c r="D49" s="19"/>
      <c r="E49" s="20" t="s">
        <v>149</v>
      </c>
      <c r="F49" s="20"/>
      <c r="G49" s="102"/>
      <c r="H49" s="102"/>
      <c r="I49" s="8"/>
      <c r="J49" s="8"/>
      <c r="K49" s="8"/>
      <c r="L49" s="8"/>
      <c r="M49" s="8"/>
      <c r="N49" s="8"/>
      <c r="O49" s="13"/>
      <c r="P49" s="8"/>
      <c r="Q49" s="8"/>
      <c r="R49" s="8"/>
      <c r="S49" s="8"/>
    </row>
    <row r="50" spans="1:19">
      <c r="A50" s="101"/>
      <c r="B50"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50" s="19" t="s">
        <v>30</v>
      </c>
      <c r="D50" s="19" t="s">
        <v>40</v>
      </c>
      <c r="E50" s="20" t="s">
        <v>120</v>
      </c>
      <c r="F50" s="20" t="s">
        <v>21</v>
      </c>
      <c r="G50" s="102"/>
      <c r="H50" s="102"/>
      <c r="I50" s="8"/>
      <c r="J50" s="8"/>
      <c r="K50" s="8"/>
      <c r="L50" s="8"/>
      <c r="M50" s="8"/>
      <c r="N50" s="8"/>
      <c r="O50" s="13"/>
      <c r="P50" s="8"/>
      <c r="Q50" s="8"/>
      <c r="R50" s="8"/>
      <c r="S50" s="8"/>
    </row>
    <row r="51" spans="1:19">
      <c r="A51" s="101"/>
      <c r="B51"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51" s="19" t="s">
        <v>73</v>
      </c>
      <c r="D51" s="19" t="s">
        <v>51</v>
      </c>
      <c r="E51" s="20" t="s">
        <v>351</v>
      </c>
      <c r="F51" s="20" t="s">
        <v>119</v>
      </c>
      <c r="G51" s="102"/>
      <c r="H51" s="102"/>
      <c r="I51" s="8"/>
      <c r="J51" s="8"/>
      <c r="K51" s="8"/>
      <c r="L51" s="8"/>
      <c r="M51" s="8"/>
      <c r="N51" s="8"/>
      <c r="O51" s="13"/>
      <c r="P51" s="8"/>
      <c r="Q51" s="8"/>
      <c r="R51" s="8"/>
      <c r="S51" s="8"/>
    </row>
    <row r="52" spans="1:19">
      <c r="A52" s="101"/>
      <c r="B52"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52" s="19" t="s">
        <v>65</v>
      </c>
      <c r="D52" s="19" t="s">
        <v>57</v>
      </c>
      <c r="E52" s="20" t="s">
        <v>126</v>
      </c>
      <c r="F52" s="20" t="s">
        <v>88</v>
      </c>
      <c r="G52" s="102"/>
      <c r="H52" s="102"/>
      <c r="I52" s="8"/>
      <c r="J52" s="8"/>
      <c r="K52" s="8"/>
      <c r="L52" s="8"/>
      <c r="M52" s="8"/>
      <c r="N52" s="8"/>
      <c r="O52" s="13"/>
      <c r="P52" s="8"/>
      <c r="Q52" s="8"/>
      <c r="R52" s="8"/>
      <c r="S52" s="8"/>
    </row>
    <row r="53" spans="1:19">
      <c r="A53" s="101"/>
      <c r="B53"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53" s="19" t="s">
        <v>84</v>
      </c>
      <c r="D53" s="19" t="s">
        <v>43</v>
      </c>
      <c r="E53" s="20" t="s">
        <v>127</v>
      </c>
      <c r="F53" s="20" t="s">
        <v>144</v>
      </c>
      <c r="G53" s="102"/>
      <c r="H53" s="102"/>
      <c r="I53" s="8"/>
      <c r="J53" s="8"/>
      <c r="K53" s="8"/>
      <c r="L53" s="8"/>
      <c r="M53" s="8"/>
      <c r="N53" s="8"/>
      <c r="O53" s="13"/>
      <c r="P53" s="8"/>
      <c r="Q53" s="8"/>
      <c r="R53" s="8"/>
      <c r="S53" s="8"/>
    </row>
    <row r="54" spans="1:19">
      <c r="A54" s="101"/>
      <c r="B54"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54" s="19" t="s">
        <v>81</v>
      </c>
      <c r="D54" s="19" t="s">
        <v>35</v>
      </c>
      <c r="E54" s="20" t="s">
        <v>99</v>
      </c>
      <c r="F54" s="20" t="s">
        <v>136</v>
      </c>
      <c r="G54" s="102"/>
      <c r="H54" s="102"/>
      <c r="I54" s="8"/>
      <c r="J54" s="8"/>
      <c r="K54" s="8"/>
      <c r="L54" s="8"/>
      <c r="M54" s="8"/>
      <c r="N54" s="8"/>
      <c r="O54" s="13"/>
      <c r="P54" s="8"/>
      <c r="Q54" s="8"/>
      <c r="R54" s="8"/>
      <c r="S54" s="8"/>
    </row>
    <row r="55" spans="1:19" ht="22" customHeight="1">
      <c r="A55" s="101"/>
      <c r="B55"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55" s="19" t="s">
        <v>85</v>
      </c>
      <c r="D55" s="19" t="s">
        <v>82</v>
      </c>
      <c r="E55" s="20" t="s">
        <v>90</v>
      </c>
      <c r="F55" s="20" t="s">
        <v>151</v>
      </c>
      <c r="G55" s="102"/>
      <c r="H55" s="102"/>
      <c r="I55" s="8"/>
      <c r="J55" s="8"/>
      <c r="K55" s="8"/>
      <c r="L55" s="8"/>
      <c r="M55" s="8"/>
      <c r="N55" s="8"/>
      <c r="O55" s="13"/>
      <c r="P55" s="8"/>
      <c r="Q55" s="8"/>
      <c r="R55" s="8"/>
      <c r="S55" s="8"/>
    </row>
    <row r="56" spans="1:19">
      <c r="A56" s="101"/>
      <c r="B56"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56" s="19" t="s">
        <v>25</v>
      </c>
      <c r="D56" s="19" t="s">
        <v>20</v>
      </c>
      <c r="E56" s="20" t="s">
        <v>148</v>
      </c>
      <c r="F56" s="20" t="s">
        <v>79</v>
      </c>
      <c r="G56" s="102"/>
      <c r="H56" s="102"/>
      <c r="I56" s="8"/>
      <c r="J56" s="8"/>
      <c r="K56" s="8"/>
      <c r="L56" s="8"/>
      <c r="M56" s="8"/>
      <c r="N56" s="8"/>
      <c r="O56" s="13"/>
      <c r="P56" s="8"/>
      <c r="Q56" s="8"/>
      <c r="R56" s="8"/>
      <c r="S56" s="8"/>
    </row>
    <row r="57" spans="1:19">
      <c r="A57" s="101"/>
      <c r="B57" s="1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57" s="19"/>
      <c r="D57" s="19"/>
      <c r="E57" s="20"/>
      <c r="F57" s="20"/>
      <c r="G57" s="102"/>
      <c r="H57" s="102"/>
      <c r="I57" s="8"/>
      <c r="J57" s="8"/>
      <c r="K57" s="8"/>
      <c r="L57" s="8"/>
      <c r="M57" s="8"/>
      <c r="N57" s="8"/>
      <c r="O57" s="13"/>
      <c r="P57" s="8"/>
      <c r="Q57" s="8"/>
      <c r="R57" s="8"/>
      <c r="S57" s="8"/>
    </row>
    <row r="58" spans="1:19">
      <c r="A58" s="101"/>
      <c r="B58" s="16" t="str">
        <f>MOD(HOUR((المدخلات!$B$4+10*المدخلات!$B$5/1440))-1,12)+1&amp;":"&amp;TEXT(MINUTE((المدخلات!$B$4+10*المدخلات!$B$5/1440)),"00")&amp;"–"&amp;MOD(HOUR((المدخلات!$B$4+10*المدخلات!$B$5/1440+المدخلات!$B$5/1440))-1,12)+1&amp;":"&amp;TEXT(MINUTE((المدخلات!$B$4+10*المدخلات!$B$5/1440+المدخلات!$B$5/1440)),"00")&amp;IF(HOUR((المدخلات!$B$4+10*المدخلات!$B$5/1440))&lt;12," ص"," م")</f>
        <v>7:30–7:45 م</v>
      </c>
      <c r="C58" s="19" t="s">
        <v>52</v>
      </c>
      <c r="D58" s="19"/>
      <c r="E58" s="20" t="s">
        <v>101</v>
      </c>
      <c r="F58" s="20"/>
      <c r="G58" s="102"/>
      <c r="H58" s="102"/>
      <c r="I58" s="8"/>
      <c r="J58" s="8"/>
      <c r="K58" s="8"/>
      <c r="L58" s="8"/>
      <c r="M58" s="8"/>
      <c r="N58" s="8"/>
      <c r="O58" s="13"/>
      <c r="P58" s="8"/>
      <c r="Q58" s="8"/>
      <c r="R58" s="8"/>
      <c r="S58" s="8"/>
    </row>
    <row r="59" spans="1:19">
      <c r="A59" s="101" t="s">
        <v>10</v>
      </c>
      <c r="B59"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59" s="19"/>
      <c r="D59" s="19"/>
      <c r="E59" s="20"/>
      <c r="F59" s="20"/>
      <c r="G59" s="100">
        <f>COUNTIF(C59:F69,"* ضد *")</f>
        <v>36</v>
      </c>
      <c r="H59" s="100">
        <f>G59*2/'ملخص البطولات'!$A$11</f>
        <v>4</v>
      </c>
      <c r="I59" s="8"/>
      <c r="J59" s="8"/>
      <c r="K59" s="8"/>
      <c r="L59" s="8"/>
      <c r="M59" s="8"/>
      <c r="N59" s="8"/>
      <c r="O59" s="13"/>
      <c r="P59" s="8"/>
      <c r="Q59" s="8"/>
      <c r="R59" s="8"/>
      <c r="S59" s="8"/>
    </row>
    <row r="60" spans="1:19">
      <c r="A60" s="101"/>
      <c r="B60"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60" s="19" t="s">
        <v>66</v>
      </c>
      <c r="D60" s="19" t="s">
        <v>34</v>
      </c>
      <c r="E60" s="20" t="s">
        <v>130</v>
      </c>
      <c r="F60" s="20" t="s">
        <v>118</v>
      </c>
      <c r="G60" s="100"/>
      <c r="H60" s="100"/>
      <c r="I60" s="8"/>
      <c r="J60" s="8"/>
      <c r="K60" s="8"/>
      <c r="L60" s="8"/>
      <c r="M60" s="8"/>
      <c r="N60" s="8"/>
      <c r="O60" s="13"/>
      <c r="P60" s="8"/>
      <c r="Q60" s="8"/>
      <c r="R60" s="8"/>
      <c r="S60" s="8"/>
    </row>
    <row r="61" spans="1:19">
      <c r="A61" s="101"/>
      <c r="B61"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1" s="19" t="s">
        <v>36</v>
      </c>
      <c r="D61" s="19" t="s">
        <v>41</v>
      </c>
      <c r="E61" s="20" t="s">
        <v>161</v>
      </c>
      <c r="F61" s="20" t="s">
        <v>143</v>
      </c>
      <c r="G61" s="100"/>
      <c r="H61" s="100"/>
      <c r="I61" s="8"/>
      <c r="J61" s="8"/>
      <c r="K61" s="8"/>
      <c r="L61" s="8"/>
      <c r="M61" s="8"/>
      <c r="N61" s="8"/>
      <c r="O61" s="13"/>
      <c r="P61" s="8"/>
      <c r="Q61" s="8"/>
      <c r="R61" s="8"/>
      <c r="S61" s="8"/>
    </row>
    <row r="62" spans="1:19">
      <c r="A62" s="101"/>
      <c r="B62"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62" s="19" t="s">
        <v>68</v>
      </c>
      <c r="D62" s="19" t="s">
        <v>72</v>
      </c>
      <c r="E62" s="20" t="s">
        <v>125</v>
      </c>
      <c r="F62" s="20" t="s">
        <v>152</v>
      </c>
      <c r="G62" s="100"/>
      <c r="H62" s="100"/>
      <c r="I62" s="8"/>
      <c r="J62" s="8"/>
      <c r="K62" s="8"/>
      <c r="L62" s="8"/>
      <c r="M62" s="8"/>
      <c r="N62" s="8"/>
      <c r="O62" s="13"/>
      <c r="P62" s="8"/>
      <c r="Q62" s="8"/>
      <c r="R62" s="8"/>
      <c r="S62" s="8"/>
    </row>
    <row r="63" spans="1:19">
      <c r="A63" s="101"/>
      <c r="B63"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63" s="19" t="s">
        <v>78</v>
      </c>
      <c r="D63" s="19" t="s">
        <v>69</v>
      </c>
      <c r="E63" s="20" t="s">
        <v>91</v>
      </c>
      <c r="F63" s="20" t="s">
        <v>163</v>
      </c>
      <c r="G63" s="100"/>
      <c r="H63" s="100"/>
      <c r="I63" s="8"/>
      <c r="J63" s="8"/>
      <c r="K63" s="8"/>
      <c r="L63" s="8"/>
      <c r="M63" s="8"/>
      <c r="N63" s="8"/>
      <c r="O63" s="13"/>
      <c r="P63" s="8"/>
      <c r="Q63" s="8"/>
      <c r="R63" s="8"/>
      <c r="S63" s="8"/>
    </row>
    <row r="64" spans="1:19">
      <c r="A64" s="101"/>
      <c r="B64"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64" s="19" t="s">
        <v>75</v>
      </c>
      <c r="D64" s="19" t="s">
        <v>22</v>
      </c>
      <c r="E64" s="20" t="s">
        <v>141</v>
      </c>
      <c r="F64" s="20" t="s">
        <v>138</v>
      </c>
      <c r="G64" s="100"/>
      <c r="H64" s="100"/>
      <c r="I64" s="8"/>
      <c r="J64" s="8"/>
      <c r="K64" s="8"/>
      <c r="L64" s="8"/>
      <c r="M64" s="8"/>
      <c r="N64" s="8"/>
      <c r="O64" s="13"/>
      <c r="P64" s="8"/>
      <c r="Q64" s="8"/>
      <c r="R64" s="8"/>
      <c r="S64" s="8"/>
    </row>
    <row r="65" spans="1:19">
      <c r="A65" s="101"/>
      <c r="B65"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65" s="19" t="s">
        <v>44</v>
      </c>
      <c r="D65" s="19" t="s">
        <v>48</v>
      </c>
      <c r="E65" s="20" t="s">
        <v>98</v>
      </c>
      <c r="F65" s="20" t="s">
        <v>122</v>
      </c>
      <c r="G65" s="100"/>
      <c r="H65" s="100"/>
      <c r="I65" s="8"/>
      <c r="J65" s="8"/>
      <c r="K65" s="8"/>
      <c r="L65" s="8"/>
      <c r="M65" s="8"/>
      <c r="N65" s="8"/>
      <c r="O65" s="13"/>
      <c r="P65" s="8"/>
      <c r="Q65" s="8"/>
      <c r="R65" s="8"/>
      <c r="S65" s="8"/>
    </row>
    <row r="66" spans="1:19">
      <c r="A66" s="101"/>
      <c r="B66"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66" s="19" t="s">
        <v>60</v>
      </c>
      <c r="D66" s="19" t="s">
        <v>27</v>
      </c>
      <c r="E66" s="20" t="s">
        <v>162</v>
      </c>
      <c r="F66" s="20" t="s">
        <v>146</v>
      </c>
      <c r="G66" s="100"/>
      <c r="H66" s="100"/>
      <c r="I66" s="8"/>
      <c r="J66" s="8"/>
      <c r="K66" s="8"/>
      <c r="L66" s="8"/>
      <c r="M66" s="8"/>
      <c r="N66" s="8"/>
      <c r="O66" s="13"/>
      <c r="P66" s="8"/>
      <c r="Q66" s="8"/>
      <c r="R66" s="8"/>
      <c r="S66" s="8"/>
    </row>
    <row r="67" spans="1:19">
      <c r="A67" s="101"/>
      <c r="B67"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67" s="19" t="s">
        <v>53</v>
      </c>
      <c r="D67" s="19" t="s">
        <v>42</v>
      </c>
      <c r="E67" s="20" t="s">
        <v>131</v>
      </c>
      <c r="F67" s="20" t="s">
        <v>128</v>
      </c>
      <c r="G67" s="100"/>
      <c r="H67" s="100"/>
      <c r="I67" s="8"/>
      <c r="J67" s="8"/>
      <c r="K67" s="8"/>
      <c r="L67" s="8"/>
      <c r="M67" s="8"/>
      <c r="N67" s="8"/>
      <c r="O67" s="13"/>
      <c r="P67" s="8"/>
      <c r="Q67" s="8"/>
      <c r="R67" s="8"/>
      <c r="S67" s="8"/>
    </row>
    <row r="68" spans="1:19">
      <c r="A68" s="101"/>
      <c r="B68" s="17"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68" s="19" t="s">
        <v>49</v>
      </c>
      <c r="D68" s="19" t="s">
        <v>23</v>
      </c>
      <c r="E68" s="20" t="s">
        <v>100</v>
      </c>
      <c r="F68" s="20" t="s">
        <v>140</v>
      </c>
      <c r="G68" s="100"/>
      <c r="H68" s="100"/>
      <c r="I68" s="8"/>
      <c r="J68" s="8"/>
      <c r="K68" s="8"/>
      <c r="L68" s="8"/>
      <c r="M68" s="8"/>
      <c r="N68" s="8"/>
      <c r="O68" s="13"/>
      <c r="P68" s="8"/>
      <c r="Q68" s="8"/>
      <c r="R68" s="8"/>
      <c r="S68" s="8"/>
    </row>
    <row r="69" spans="1:19">
      <c r="A69" s="101"/>
      <c r="B69" s="17" t="str">
        <f>MOD(HOUR((المدخلات!$B$4+10*المدخلات!$B$5/1440))-1,12)+1&amp;":"&amp;TEXT(MINUTE((المدخلات!$B$4+10*المدخلات!$B$5/1440)),"00")&amp;"–"&amp;MOD(HOUR((المدخلات!$B$4+10*المدخلات!$B$5/1440+المدخلات!$B$5/1440))-1,12)+1&amp;":"&amp;TEXT(MINUTE((المدخلات!$B$4+10*المدخلات!$B$5/1440+المدخلات!$B$5/1440)),"00")&amp;IF(HOUR((المدخلات!$B$4+10*المدخلات!$B$5/1440))&lt;12," ص"," م")</f>
        <v>7:30–7:45 م</v>
      </c>
      <c r="C69" s="19"/>
      <c r="D69" s="19"/>
      <c r="E69" s="20"/>
      <c r="F69" s="20"/>
      <c r="G69" s="100"/>
      <c r="H69" s="100"/>
      <c r="I69" s="8"/>
      <c r="J69" s="8"/>
      <c r="K69" s="8"/>
      <c r="L69" s="8"/>
      <c r="M69" s="8"/>
      <c r="N69" s="8"/>
      <c r="O69" s="13"/>
      <c r="P69" s="8"/>
      <c r="Q69" s="8"/>
      <c r="R69" s="8"/>
      <c r="S69" s="8"/>
    </row>
    <row r="70" spans="1:19">
      <c r="A70" s="101" t="s">
        <v>11</v>
      </c>
      <c r="B70"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70" s="19" t="s">
        <v>65</v>
      </c>
      <c r="D70" s="19" t="s">
        <v>40</v>
      </c>
      <c r="E70" s="20" t="s">
        <v>126</v>
      </c>
      <c r="F70" s="20" t="s">
        <v>21</v>
      </c>
      <c r="G70" s="102">
        <f>COUNTIF(C70:F80,"* ضد *")</f>
        <v>36</v>
      </c>
      <c r="H70" s="102">
        <f>G70*2/'ملخص البطولات'!$A$11</f>
        <v>4</v>
      </c>
      <c r="I70" s="8"/>
      <c r="J70" s="8"/>
      <c r="K70" s="8"/>
      <c r="L70" s="8"/>
      <c r="M70" s="8"/>
      <c r="N70" s="8"/>
      <c r="O70" s="13"/>
      <c r="P70" s="8"/>
      <c r="Q70" s="8"/>
      <c r="R70" s="8"/>
      <c r="S70" s="8"/>
    </row>
    <row r="71" spans="1:19">
      <c r="A71" s="101"/>
      <c r="B71"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71" s="19"/>
      <c r="D71" s="19"/>
      <c r="E71" s="20"/>
      <c r="F71" s="20"/>
      <c r="G71" s="102"/>
      <c r="H71" s="102"/>
      <c r="I71" s="8"/>
      <c r="J71" s="8"/>
      <c r="K71" s="8"/>
      <c r="L71" s="8"/>
      <c r="M71" s="8"/>
      <c r="N71" s="8"/>
      <c r="O71" s="13"/>
      <c r="P71" s="8"/>
      <c r="Q71" s="8"/>
      <c r="R71" s="8"/>
      <c r="S71" s="8"/>
    </row>
    <row r="72" spans="1:19">
      <c r="A72" s="101"/>
      <c r="B72"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72" s="19" t="s">
        <v>81</v>
      </c>
      <c r="D72" s="19" t="s">
        <v>30</v>
      </c>
      <c r="E72" s="20" t="s">
        <v>99</v>
      </c>
      <c r="F72" s="20" t="s">
        <v>120</v>
      </c>
      <c r="G72" s="102"/>
      <c r="H72" s="102"/>
      <c r="I72" s="8"/>
      <c r="J72" s="8"/>
      <c r="K72" s="8"/>
      <c r="L72" s="8"/>
      <c r="M72" s="8"/>
      <c r="N72" s="8"/>
      <c r="O72" s="13"/>
      <c r="P72" s="8"/>
      <c r="Q72" s="8"/>
      <c r="R72" s="8"/>
      <c r="S72" s="8"/>
    </row>
    <row r="73" spans="1:19">
      <c r="A73" s="101"/>
      <c r="B73"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73" s="19" t="s">
        <v>51</v>
      </c>
      <c r="D73" s="19" t="s">
        <v>43</v>
      </c>
      <c r="E73" s="20" t="s">
        <v>119</v>
      </c>
      <c r="F73" s="20" t="s">
        <v>144</v>
      </c>
      <c r="G73" s="102"/>
      <c r="H73" s="102"/>
      <c r="I73" s="8"/>
      <c r="J73" s="8"/>
      <c r="K73" s="8"/>
      <c r="L73" s="8"/>
      <c r="M73" s="8"/>
      <c r="N73" s="8"/>
      <c r="O73" s="13"/>
      <c r="P73" s="8"/>
      <c r="Q73" s="8"/>
      <c r="R73" s="8"/>
      <c r="S73" s="8"/>
    </row>
    <row r="74" spans="1:19">
      <c r="A74" s="101"/>
      <c r="B74"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74" s="19" t="s">
        <v>52</v>
      </c>
      <c r="D74" s="19" t="s">
        <v>20</v>
      </c>
      <c r="E74" s="20" t="s">
        <v>101</v>
      </c>
      <c r="F74" s="20" t="s">
        <v>79</v>
      </c>
      <c r="G74" s="102"/>
      <c r="H74" s="102"/>
      <c r="I74" s="8"/>
      <c r="J74" s="8"/>
      <c r="K74" s="8"/>
      <c r="L74" s="8"/>
      <c r="M74" s="8"/>
      <c r="N74" s="8"/>
      <c r="O74" s="13"/>
      <c r="P74" s="8"/>
      <c r="Q74" s="8"/>
      <c r="R74" s="8"/>
      <c r="S74" s="8"/>
    </row>
    <row r="75" spans="1:19">
      <c r="A75" s="101"/>
      <c r="B75"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75" s="19" t="s">
        <v>35</v>
      </c>
      <c r="D75" s="19" t="s">
        <v>82</v>
      </c>
      <c r="E75" s="20" t="s">
        <v>136</v>
      </c>
      <c r="F75" s="20" t="s">
        <v>151</v>
      </c>
      <c r="G75" s="102"/>
      <c r="H75" s="102"/>
      <c r="I75" s="8"/>
      <c r="J75" s="8"/>
      <c r="K75" s="8"/>
      <c r="L75" s="8"/>
      <c r="M75" s="8"/>
      <c r="N75" s="8"/>
      <c r="O75" s="13"/>
      <c r="P75" s="8"/>
      <c r="Q75" s="8"/>
      <c r="R75" s="8"/>
      <c r="S75" s="8"/>
    </row>
    <row r="76" spans="1:19">
      <c r="A76" s="101"/>
      <c r="B76"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76" s="19" t="s">
        <v>57</v>
      </c>
      <c r="D76" s="19" t="s">
        <v>32</v>
      </c>
      <c r="E76" s="20" t="s">
        <v>88</v>
      </c>
      <c r="F76" s="20" t="s">
        <v>33</v>
      </c>
      <c r="G76" s="102"/>
      <c r="H76" s="102"/>
      <c r="I76" s="8"/>
      <c r="J76" s="8"/>
      <c r="K76" s="8"/>
      <c r="L76" s="8"/>
      <c r="M76" s="8"/>
      <c r="N76" s="8"/>
      <c r="O76" s="13"/>
      <c r="P76" s="8"/>
      <c r="Q76" s="8"/>
      <c r="R76" s="8"/>
      <c r="S76" s="8"/>
    </row>
    <row r="77" spans="1:19">
      <c r="A77" s="101"/>
      <c r="B77"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77" s="19" t="s">
        <v>25</v>
      </c>
      <c r="D77" s="19"/>
      <c r="E77" s="20" t="s">
        <v>148</v>
      </c>
      <c r="F77" s="20"/>
      <c r="G77" s="102"/>
      <c r="H77" s="102"/>
      <c r="I77" s="13"/>
      <c r="J77" s="13"/>
      <c r="K77" s="13"/>
      <c r="L77" s="13"/>
      <c r="M77" s="13"/>
      <c r="N77" s="13"/>
      <c r="O77" s="13"/>
      <c r="P77" s="8"/>
      <c r="Q77" s="8"/>
      <c r="R77" s="8"/>
      <c r="S77" s="8"/>
    </row>
    <row r="78" spans="1:19">
      <c r="A78" s="101"/>
      <c r="B78"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78" s="19" t="s">
        <v>73</v>
      </c>
      <c r="D78" s="19" t="s">
        <v>70</v>
      </c>
      <c r="E78" s="20" t="s">
        <v>351</v>
      </c>
      <c r="F78" s="20" t="s">
        <v>124</v>
      </c>
      <c r="G78" s="102"/>
      <c r="H78" s="102"/>
      <c r="I78" s="8"/>
      <c r="J78" s="8"/>
      <c r="K78" s="8"/>
      <c r="L78" s="8"/>
      <c r="M78" s="8"/>
      <c r="N78" s="8"/>
      <c r="O78" s="8"/>
      <c r="P78" s="8"/>
      <c r="Q78" s="8"/>
      <c r="R78" s="8"/>
      <c r="S78" s="8"/>
    </row>
    <row r="79" spans="1:19">
      <c r="A79" s="101"/>
      <c r="B79" s="1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79" s="19" t="s">
        <v>85</v>
      </c>
      <c r="D79" s="19"/>
      <c r="E79" s="20" t="s">
        <v>90</v>
      </c>
      <c r="F79" s="20"/>
      <c r="G79" s="102"/>
      <c r="H79" s="102"/>
      <c r="I79" s="8"/>
      <c r="J79" s="8"/>
      <c r="K79" s="8"/>
      <c r="L79" s="8"/>
      <c r="M79" s="8"/>
      <c r="N79" s="8"/>
      <c r="O79" s="8"/>
      <c r="P79" s="8"/>
      <c r="Q79" s="8"/>
      <c r="R79" s="8"/>
      <c r="S79" s="8"/>
    </row>
    <row r="80" spans="1:19">
      <c r="A80" s="101"/>
      <c r="B80" s="16" t="str">
        <f>MOD(HOUR((المدخلات!$B$4+10*المدخلات!$B$5/1440))-1,12)+1&amp;":"&amp;TEXT(MINUTE((المدخلات!$B$4+10*المدخلات!$B$5/1440)),"00")&amp;"–"&amp;MOD(HOUR((المدخلات!$B$4+10*المدخلات!$B$5/1440+المدخلات!$B$5/1440))-1,12)+1&amp;":"&amp;TEXT(MINUTE((المدخلات!$B$4+10*المدخلات!$B$5/1440+المدخلات!$B$5/1440)),"00")&amp;IF(HOUR((المدخلات!$B$4+10*المدخلات!$B$5/1440))&lt;12," ص"," م")</f>
        <v>7:30–7:45 م</v>
      </c>
      <c r="C80" s="19" t="s">
        <v>84</v>
      </c>
      <c r="D80" s="19" t="s">
        <v>58</v>
      </c>
      <c r="E80" s="20" t="s">
        <v>127</v>
      </c>
      <c r="F80" s="20" t="s">
        <v>149</v>
      </c>
      <c r="G80" s="102"/>
      <c r="H80" s="102"/>
      <c r="I80" s="8"/>
      <c r="J80" s="8"/>
      <c r="K80" s="8"/>
      <c r="L80" s="8"/>
      <c r="M80" s="8"/>
      <c r="N80" s="8"/>
      <c r="O80" s="8"/>
      <c r="P80" s="8"/>
      <c r="Q80" s="8"/>
      <c r="R80" s="8"/>
      <c r="S80" s="8"/>
    </row>
    <row r="81" spans="1:19">
      <c r="A81" s="8"/>
      <c r="B81" s="8"/>
      <c r="C81" s="8"/>
      <c r="D81" s="8"/>
      <c r="E81" s="8"/>
      <c r="F81" s="8"/>
      <c r="G81" s="8"/>
      <c r="H81" s="26"/>
      <c r="I81" s="8"/>
      <c r="J81" s="8"/>
      <c r="K81" s="8"/>
      <c r="L81" s="8"/>
      <c r="M81" s="8"/>
      <c r="N81" s="8"/>
      <c r="O81" s="8"/>
      <c r="P81" s="8"/>
      <c r="Q81" s="8"/>
      <c r="R81" s="8"/>
      <c r="S81" s="8"/>
    </row>
    <row r="82" spans="1:19">
      <c r="A82" s="8"/>
      <c r="B82" s="8"/>
      <c r="C82" s="8"/>
      <c r="D82" s="8"/>
      <c r="E82" s="8"/>
      <c r="F82" s="8"/>
      <c r="G82" s="8"/>
      <c r="H82" s="26"/>
      <c r="I82" s="8"/>
      <c r="J82" s="8"/>
      <c r="K82" s="8"/>
      <c r="L82" s="8"/>
      <c r="M82" s="8"/>
      <c r="N82" s="8"/>
      <c r="O82" s="8"/>
      <c r="P82" s="8"/>
      <c r="Q82" s="8"/>
      <c r="R82" s="8"/>
      <c r="S82" s="8"/>
    </row>
    <row r="83" spans="1:19">
      <c r="A83" s="103" t="s">
        <v>271</v>
      </c>
      <c r="B83" s="99"/>
      <c r="C83" s="99"/>
      <c r="D83" s="99"/>
      <c r="E83" s="99"/>
      <c r="F83" s="99"/>
      <c r="G83" s="99"/>
      <c r="H83" s="99"/>
      <c r="I83" s="99"/>
      <c r="J83" s="99"/>
      <c r="K83" s="99"/>
      <c r="L83" s="99"/>
      <c r="M83" s="99"/>
      <c r="N83" s="99"/>
      <c r="O83" s="99"/>
      <c r="P83" s="99"/>
      <c r="Q83" s="99"/>
      <c r="R83" s="99"/>
      <c r="S83" s="99"/>
    </row>
    <row r="84" spans="1:19">
      <c r="A84" s="10" t="s">
        <v>272</v>
      </c>
      <c r="B84" s="10">
        <v>1</v>
      </c>
      <c r="C84" s="10">
        <v>2</v>
      </c>
      <c r="D84" s="10">
        <v>3</v>
      </c>
      <c r="E84" s="10">
        <v>4</v>
      </c>
      <c r="F84" s="10">
        <v>5</v>
      </c>
      <c r="G84" s="10">
        <v>6</v>
      </c>
      <c r="H84" s="10">
        <v>7</v>
      </c>
      <c r="I84" s="10">
        <v>8</v>
      </c>
      <c r="J84" s="10">
        <v>9</v>
      </c>
      <c r="K84" s="10">
        <v>10</v>
      </c>
      <c r="L84" s="10">
        <v>11</v>
      </c>
      <c r="M84" s="10">
        <v>12</v>
      </c>
      <c r="N84" s="10">
        <v>13</v>
      </c>
      <c r="O84" s="10">
        <v>14</v>
      </c>
      <c r="P84" s="10">
        <v>15</v>
      </c>
      <c r="Q84" s="10">
        <v>16</v>
      </c>
      <c r="R84" s="10">
        <v>17</v>
      </c>
      <c r="S84" s="10">
        <v>18</v>
      </c>
    </row>
    <row r="85" spans="1:19">
      <c r="A85" s="10">
        <v>1</v>
      </c>
      <c r="B85" s="11" t="str">
        <f t="shared" ref="B85:K94" si="0">IF($A85=B$84,"",COUNTIF($C$4:$F$80,$A85&amp;" ضد "&amp;B$84)+COUNTIF($C$4:$F$80,B$84&amp;" ضد "&amp;$A85))</f>
        <v/>
      </c>
      <c r="C85" s="11">
        <f t="shared" si="0"/>
        <v>4</v>
      </c>
      <c r="D85" s="11">
        <f t="shared" si="0"/>
        <v>4</v>
      </c>
      <c r="E85" s="11">
        <f t="shared" si="0"/>
        <v>3</v>
      </c>
      <c r="F85" s="11">
        <f t="shared" si="0"/>
        <v>3</v>
      </c>
      <c r="G85" s="11">
        <f t="shared" si="0"/>
        <v>3</v>
      </c>
      <c r="H85" s="11">
        <f t="shared" si="0"/>
        <v>3</v>
      </c>
      <c r="I85" s="11">
        <f t="shared" si="0"/>
        <v>4</v>
      </c>
      <c r="J85" s="11">
        <f t="shared" si="0"/>
        <v>4</v>
      </c>
      <c r="K85" s="11">
        <f t="shared" si="0"/>
        <v>0</v>
      </c>
      <c r="L85" s="11">
        <f t="shared" ref="L85:S94" si="1">IF($A85=L$84,"",COUNTIF($C$4:$F$80,$A85&amp;" ضد "&amp;L$84)+COUNTIF($C$4:$F$80,L$84&amp;" ضد "&amp;$A85))</f>
        <v>0</v>
      </c>
      <c r="M85" s="11">
        <f t="shared" si="1"/>
        <v>0</v>
      </c>
      <c r="N85" s="11">
        <f t="shared" si="1"/>
        <v>0</v>
      </c>
      <c r="O85" s="11">
        <f t="shared" si="1"/>
        <v>0</v>
      </c>
      <c r="P85" s="11">
        <f t="shared" si="1"/>
        <v>0</v>
      </c>
      <c r="Q85" s="11">
        <f t="shared" si="1"/>
        <v>0</v>
      </c>
      <c r="R85" s="11">
        <f t="shared" si="1"/>
        <v>0</v>
      </c>
      <c r="S85" s="11">
        <f t="shared" si="1"/>
        <v>0</v>
      </c>
    </row>
    <row r="86" spans="1:19">
      <c r="A86" s="10">
        <v>2</v>
      </c>
      <c r="B86" s="11">
        <f t="shared" si="0"/>
        <v>4</v>
      </c>
      <c r="C86" s="11" t="str">
        <f t="shared" si="0"/>
        <v/>
      </c>
      <c r="D86" s="11">
        <f t="shared" si="0"/>
        <v>4</v>
      </c>
      <c r="E86" s="11">
        <f t="shared" si="0"/>
        <v>4</v>
      </c>
      <c r="F86" s="11">
        <f t="shared" si="0"/>
        <v>3</v>
      </c>
      <c r="G86" s="11">
        <f t="shared" si="0"/>
        <v>3</v>
      </c>
      <c r="H86" s="11">
        <f t="shared" si="0"/>
        <v>3</v>
      </c>
      <c r="I86" s="11">
        <f t="shared" si="0"/>
        <v>3</v>
      </c>
      <c r="J86" s="11">
        <f t="shared" si="0"/>
        <v>4</v>
      </c>
      <c r="K86" s="11">
        <f t="shared" si="0"/>
        <v>0</v>
      </c>
      <c r="L86" s="11">
        <f t="shared" si="1"/>
        <v>0</v>
      </c>
      <c r="M86" s="11">
        <f t="shared" si="1"/>
        <v>0</v>
      </c>
      <c r="N86" s="11">
        <f t="shared" si="1"/>
        <v>0</v>
      </c>
      <c r="O86" s="11">
        <f t="shared" si="1"/>
        <v>0</v>
      </c>
      <c r="P86" s="11">
        <f t="shared" si="1"/>
        <v>0</v>
      </c>
      <c r="Q86" s="11">
        <f t="shared" si="1"/>
        <v>0</v>
      </c>
      <c r="R86" s="11">
        <f t="shared" si="1"/>
        <v>0</v>
      </c>
      <c r="S86" s="11">
        <f t="shared" si="1"/>
        <v>0</v>
      </c>
    </row>
    <row r="87" spans="1:19">
      <c r="A87" s="10">
        <v>3</v>
      </c>
      <c r="B87" s="11">
        <f t="shared" si="0"/>
        <v>4</v>
      </c>
      <c r="C87" s="11">
        <f t="shared" si="0"/>
        <v>4</v>
      </c>
      <c r="D87" s="11" t="str">
        <f t="shared" si="0"/>
        <v/>
      </c>
      <c r="E87" s="11">
        <f t="shared" si="0"/>
        <v>4</v>
      </c>
      <c r="F87" s="11">
        <f t="shared" si="0"/>
        <v>4</v>
      </c>
      <c r="G87" s="11">
        <f t="shared" si="0"/>
        <v>3</v>
      </c>
      <c r="H87" s="11">
        <f t="shared" si="0"/>
        <v>3</v>
      </c>
      <c r="I87" s="11">
        <f t="shared" si="0"/>
        <v>3</v>
      </c>
      <c r="J87" s="11">
        <f t="shared" si="0"/>
        <v>3</v>
      </c>
      <c r="K87" s="11">
        <f t="shared" si="0"/>
        <v>0</v>
      </c>
      <c r="L87" s="11">
        <f t="shared" si="1"/>
        <v>0</v>
      </c>
      <c r="M87" s="11">
        <f t="shared" si="1"/>
        <v>0</v>
      </c>
      <c r="N87" s="11">
        <f t="shared" si="1"/>
        <v>0</v>
      </c>
      <c r="O87" s="11">
        <f t="shared" si="1"/>
        <v>0</v>
      </c>
      <c r="P87" s="11">
        <f t="shared" si="1"/>
        <v>0</v>
      </c>
      <c r="Q87" s="11">
        <f t="shared" si="1"/>
        <v>0</v>
      </c>
      <c r="R87" s="11">
        <f t="shared" si="1"/>
        <v>0</v>
      </c>
      <c r="S87" s="11">
        <f t="shared" si="1"/>
        <v>0</v>
      </c>
    </row>
    <row r="88" spans="1:19">
      <c r="A88" s="10">
        <v>4</v>
      </c>
      <c r="B88" s="11">
        <f t="shared" si="0"/>
        <v>3</v>
      </c>
      <c r="C88" s="11">
        <f t="shared" si="0"/>
        <v>4</v>
      </c>
      <c r="D88" s="11">
        <f t="shared" si="0"/>
        <v>4</v>
      </c>
      <c r="E88" s="11" t="str">
        <f t="shared" si="0"/>
        <v/>
      </c>
      <c r="F88" s="11">
        <f t="shared" si="0"/>
        <v>4</v>
      </c>
      <c r="G88" s="11">
        <f t="shared" si="0"/>
        <v>4</v>
      </c>
      <c r="H88" s="11">
        <f t="shared" si="0"/>
        <v>3</v>
      </c>
      <c r="I88" s="11">
        <f t="shared" si="0"/>
        <v>3</v>
      </c>
      <c r="J88" s="11">
        <f t="shared" si="0"/>
        <v>3</v>
      </c>
      <c r="K88" s="11">
        <f t="shared" si="0"/>
        <v>0</v>
      </c>
      <c r="L88" s="11">
        <f t="shared" si="1"/>
        <v>0</v>
      </c>
      <c r="M88" s="11">
        <f t="shared" si="1"/>
        <v>0</v>
      </c>
      <c r="N88" s="11">
        <f t="shared" si="1"/>
        <v>0</v>
      </c>
      <c r="O88" s="11">
        <f t="shared" si="1"/>
        <v>0</v>
      </c>
      <c r="P88" s="11">
        <f t="shared" si="1"/>
        <v>0</v>
      </c>
      <c r="Q88" s="11">
        <f t="shared" si="1"/>
        <v>0</v>
      </c>
      <c r="R88" s="11">
        <f t="shared" si="1"/>
        <v>0</v>
      </c>
      <c r="S88" s="11">
        <f t="shared" si="1"/>
        <v>0</v>
      </c>
    </row>
    <row r="89" spans="1:19">
      <c r="A89" s="10">
        <v>5</v>
      </c>
      <c r="B89" s="11">
        <f t="shared" si="0"/>
        <v>3</v>
      </c>
      <c r="C89" s="11">
        <f t="shared" si="0"/>
        <v>3</v>
      </c>
      <c r="D89" s="11">
        <f t="shared" si="0"/>
        <v>4</v>
      </c>
      <c r="E89" s="11">
        <f t="shared" si="0"/>
        <v>4</v>
      </c>
      <c r="F89" s="11" t="str">
        <f t="shared" si="0"/>
        <v/>
      </c>
      <c r="G89" s="11">
        <f t="shared" si="0"/>
        <v>4</v>
      </c>
      <c r="H89" s="11">
        <f t="shared" si="0"/>
        <v>4</v>
      </c>
      <c r="I89" s="11">
        <f t="shared" si="0"/>
        <v>3</v>
      </c>
      <c r="J89" s="11">
        <f t="shared" si="0"/>
        <v>3</v>
      </c>
      <c r="K89" s="11">
        <f t="shared" si="0"/>
        <v>0</v>
      </c>
      <c r="L89" s="11">
        <f t="shared" si="1"/>
        <v>0</v>
      </c>
      <c r="M89" s="11">
        <f t="shared" si="1"/>
        <v>0</v>
      </c>
      <c r="N89" s="11">
        <f t="shared" si="1"/>
        <v>0</v>
      </c>
      <c r="O89" s="11">
        <f t="shared" si="1"/>
        <v>0</v>
      </c>
      <c r="P89" s="11">
        <f t="shared" si="1"/>
        <v>0</v>
      </c>
      <c r="Q89" s="11">
        <f t="shared" si="1"/>
        <v>0</v>
      </c>
      <c r="R89" s="11">
        <f t="shared" si="1"/>
        <v>0</v>
      </c>
      <c r="S89" s="11">
        <f t="shared" si="1"/>
        <v>0</v>
      </c>
    </row>
    <row r="90" spans="1:19">
      <c r="A90" s="10">
        <v>6</v>
      </c>
      <c r="B90" s="11">
        <f t="shared" si="0"/>
        <v>3</v>
      </c>
      <c r="C90" s="11">
        <f t="shared" si="0"/>
        <v>3</v>
      </c>
      <c r="D90" s="11">
        <f t="shared" si="0"/>
        <v>3</v>
      </c>
      <c r="E90" s="11">
        <f t="shared" si="0"/>
        <v>4</v>
      </c>
      <c r="F90" s="11">
        <f t="shared" si="0"/>
        <v>4</v>
      </c>
      <c r="G90" s="11" t="str">
        <f t="shared" si="0"/>
        <v/>
      </c>
      <c r="H90" s="11">
        <f t="shared" si="0"/>
        <v>4</v>
      </c>
      <c r="I90" s="11">
        <f t="shared" si="0"/>
        <v>4</v>
      </c>
      <c r="J90" s="11">
        <f t="shared" si="0"/>
        <v>3</v>
      </c>
      <c r="K90" s="11">
        <f t="shared" si="0"/>
        <v>0</v>
      </c>
      <c r="L90" s="11">
        <f t="shared" si="1"/>
        <v>0</v>
      </c>
      <c r="M90" s="11">
        <f t="shared" si="1"/>
        <v>0</v>
      </c>
      <c r="N90" s="11">
        <f t="shared" si="1"/>
        <v>0</v>
      </c>
      <c r="O90" s="11">
        <f t="shared" si="1"/>
        <v>0</v>
      </c>
      <c r="P90" s="11">
        <f t="shared" si="1"/>
        <v>0</v>
      </c>
      <c r="Q90" s="11">
        <f t="shared" si="1"/>
        <v>0</v>
      </c>
      <c r="R90" s="11">
        <f t="shared" si="1"/>
        <v>0</v>
      </c>
      <c r="S90" s="11">
        <f t="shared" si="1"/>
        <v>0</v>
      </c>
    </row>
    <row r="91" spans="1:19">
      <c r="A91" s="10">
        <v>7</v>
      </c>
      <c r="B91" s="11">
        <f t="shared" si="0"/>
        <v>3</v>
      </c>
      <c r="C91" s="11">
        <f t="shared" si="0"/>
        <v>3</v>
      </c>
      <c r="D91" s="11">
        <f t="shared" si="0"/>
        <v>3</v>
      </c>
      <c r="E91" s="11">
        <f t="shared" si="0"/>
        <v>3</v>
      </c>
      <c r="F91" s="11">
        <f t="shared" si="0"/>
        <v>4</v>
      </c>
      <c r="G91" s="11">
        <f t="shared" si="0"/>
        <v>4</v>
      </c>
      <c r="H91" s="11" t="str">
        <f t="shared" si="0"/>
        <v/>
      </c>
      <c r="I91" s="11">
        <f t="shared" si="0"/>
        <v>4</v>
      </c>
      <c r="J91" s="11">
        <f t="shared" si="0"/>
        <v>4</v>
      </c>
      <c r="K91" s="11">
        <f t="shared" si="0"/>
        <v>0</v>
      </c>
      <c r="L91" s="11">
        <f t="shared" si="1"/>
        <v>0</v>
      </c>
      <c r="M91" s="11">
        <f t="shared" si="1"/>
        <v>0</v>
      </c>
      <c r="N91" s="11">
        <f t="shared" si="1"/>
        <v>0</v>
      </c>
      <c r="O91" s="11">
        <f t="shared" si="1"/>
        <v>0</v>
      </c>
      <c r="P91" s="11">
        <f t="shared" si="1"/>
        <v>0</v>
      </c>
      <c r="Q91" s="11">
        <f t="shared" si="1"/>
        <v>0</v>
      </c>
      <c r="R91" s="11">
        <f t="shared" si="1"/>
        <v>0</v>
      </c>
      <c r="S91" s="11">
        <f t="shared" si="1"/>
        <v>0</v>
      </c>
    </row>
    <row r="92" spans="1:19">
      <c r="A92" s="10">
        <v>8</v>
      </c>
      <c r="B92" s="11">
        <f t="shared" si="0"/>
        <v>4</v>
      </c>
      <c r="C92" s="11">
        <f t="shared" si="0"/>
        <v>3</v>
      </c>
      <c r="D92" s="11">
        <f t="shared" si="0"/>
        <v>3</v>
      </c>
      <c r="E92" s="11">
        <f t="shared" si="0"/>
        <v>3</v>
      </c>
      <c r="F92" s="11">
        <f t="shared" si="0"/>
        <v>3</v>
      </c>
      <c r="G92" s="11">
        <f t="shared" si="0"/>
        <v>4</v>
      </c>
      <c r="H92" s="11">
        <f t="shared" si="0"/>
        <v>4</v>
      </c>
      <c r="I92" s="11" t="str">
        <f t="shared" si="0"/>
        <v/>
      </c>
      <c r="J92" s="11">
        <f t="shared" si="0"/>
        <v>4</v>
      </c>
      <c r="K92" s="11">
        <f t="shared" si="0"/>
        <v>0</v>
      </c>
      <c r="L92" s="11">
        <f t="shared" si="1"/>
        <v>0</v>
      </c>
      <c r="M92" s="11">
        <f t="shared" si="1"/>
        <v>0</v>
      </c>
      <c r="N92" s="11">
        <f t="shared" si="1"/>
        <v>0</v>
      </c>
      <c r="O92" s="11">
        <f t="shared" si="1"/>
        <v>0</v>
      </c>
      <c r="P92" s="11">
        <f t="shared" si="1"/>
        <v>0</v>
      </c>
      <c r="Q92" s="11">
        <f t="shared" si="1"/>
        <v>0</v>
      </c>
      <c r="R92" s="11">
        <f t="shared" si="1"/>
        <v>0</v>
      </c>
      <c r="S92" s="11">
        <f t="shared" si="1"/>
        <v>0</v>
      </c>
    </row>
    <row r="93" spans="1:19">
      <c r="A93" s="10">
        <v>9</v>
      </c>
      <c r="B93" s="11">
        <f t="shared" si="0"/>
        <v>4</v>
      </c>
      <c r="C93" s="11">
        <f t="shared" si="0"/>
        <v>4</v>
      </c>
      <c r="D93" s="11">
        <f t="shared" si="0"/>
        <v>3</v>
      </c>
      <c r="E93" s="11">
        <f t="shared" si="0"/>
        <v>3</v>
      </c>
      <c r="F93" s="11">
        <f t="shared" si="0"/>
        <v>3</v>
      </c>
      <c r="G93" s="11">
        <f t="shared" si="0"/>
        <v>3</v>
      </c>
      <c r="H93" s="11">
        <f t="shared" si="0"/>
        <v>4</v>
      </c>
      <c r="I93" s="11">
        <f t="shared" si="0"/>
        <v>4</v>
      </c>
      <c r="J93" s="11" t="str">
        <f t="shared" si="0"/>
        <v/>
      </c>
      <c r="K93" s="11">
        <f t="shared" si="0"/>
        <v>0</v>
      </c>
      <c r="L93" s="11">
        <f t="shared" si="1"/>
        <v>0</v>
      </c>
      <c r="M93" s="11">
        <f t="shared" si="1"/>
        <v>0</v>
      </c>
      <c r="N93" s="11">
        <f t="shared" si="1"/>
        <v>0</v>
      </c>
      <c r="O93" s="11">
        <f t="shared" si="1"/>
        <v>0</v>
      </c>
      <c r="P93" s="11">
        <f t="shared" si="1"/>
        <v>0</v>
      </c>
      <c r="Q93" s="11">
        <f t="shared" si="1"/>
        <v>0</v>
      </c>
      <c r="R93" s="11">
        <f t="shared" si="1"/>
        <v>0</v>
      </c>
      <c r="S93" s="11">
        <f t="shared" si="1"/>
        <v>0</v>
      </c>
    </row>
    <row r="94" spans="1:19">
      <c r="A94" s="10">
        <v>10</v>
      </c>
      <c r="B94" s="11">
        <f t="shared" si="0"/>
        <v>0</v>
      </c>
      <c r="C94" s="11">
        <f t="shared" si="0"/>
        <v>0</v>
      </c>
      <c r="D94" s="11">
        <f t="shared" si="0"/>
        <v>0</v>
      </c>
      <c r="E94" s="11">
        <f t="shared" si="0"/>
        <v>0</v>
      </c>
      <c r="F94" s="11">
        <f t="shared" si="0"/>
        <v>0</v>
      </c>
      <c r="G94" s="11">
        <f t="shared" si="0"/>
        <v>0</v>
      </c>
      <c r="H94" s="11">
        <f t="shared" si="0"/>
        <v>0</v>
      </c>
      <c r="I94" s="11">
        <f t="shared" si="0"/>
        <v>0</v>
      </c>
      <c r="J94" s="11">
        <f t="shared" si="0"/>
        <v>0</v>
      </c>
      <c r="K94" s="11" t="str">
        <f t="shared" si="0"/>
        <v/>
      </c>
      <c r="L94" s="11">
        <f t="shared" si="1"/>
        <v>4</v>
      </c>
      <c r="M94" s="11">
        <f t="shared" si="1"/>
        <v>4</v>
      </c>
      <c r="N94" s="11">
        <f t="shared" si="1"/>
        <v>3</v>
      </c>
      <c r="O94" s="11">
        <f t="shared" si="1"/>
        <v>3</v>
      </c>
      <c r="P94" s="11">
        <f t="shared" si="1"/>
        <v>3</v>
      </c>
      <c r="Q94" s="11">
        <f t="shared" si="1"/>
        <v>3</v>
      </c>
      <c r="R94" s="11">
        <f t="shared" si="1"/>
        <v>4</v>
      </c>
      <c r="S94" s="11">
        <f t="shared" si="1"/>
        <v>4</v>
      </c>
    </row>
    <row r="95" spans="1:19">
      <c r="A95" s="10">
        <v>11</v>
      </c>
      <c r="B95" s="11">
        <f t="shared" ref="B95:K102" si="2">IF($A95=B$84,"",COUNTIF($C$4:$F$80,$A95&amp;" ضد "&amp;B$84)+COUNTIF($C$4:$F$80,B$84&amp;" ضد "&amp;$A95))</f>
        <v>0</v>
      </c>
      <c r="C95" s="11">
        <f t="shared" si="2"/>
        <v>0</v>
      </c>
      <c r="D95" s="11">
        <f t="shared" si="2"/>
        <v>0</v>
      </c>
      <c r="E95" s="11">
        <f t="shared" si="2"/>
        <v>0</v>
      </c>
      <c r="F95" s="11">
        <f t="shared" si="2"/>
        <v>0</v>
      </c>
      <c r="G95" s="11">
        <f t="shared" si="2"/>
        <v>0</v>
      </c>
      <c r="H95" s="11">
        <f t="shared" si="2"/>
        <v>0</v>
      </c>
      <c r="I95" s="11">
        <f t="shared" si="2"/>
        <v>0</v>
      </c>
      <c r="J95" s="11">
        <f t="shared" si="2"/>
        <v>0</v>
      </c>
      <c r="K95" s="11">
        <f t="shared" si="2"/>
        <v>4</v>
      </c>
      <c r="L95" s="11" t="str">
        <f t="shared" ref="L95:S102" si="3">IF($A95=L$84,"",COUNTIF($C$4:$F$80,$A95&amp;" ضد "&amp;L$84)+COUNTIF($C$4:$F$80,L$84&amp;" ضد "&amp;$A95))</f>
        <v/>
      </c>
      <c r="M95" s="11">
        <f t="shared" si="3"/>
        <v>4</v>
      </c>
      <c r="N95" s="11">
        <f t="shared" si="3"/>
        <v>4</v>
      </c>
      <c r="O95" s="11">
        <f t="shared" si="3"/>
        <v>3</v>
      </c>
      <c r="P95" s="11">
        <f t="shared" si="3"/>
        <v>3</v>
      </c>
      <c r="Q95" s="11">
        <f t="shared" si="3"/>
        <v>3</v>
      </c>
      <c r="R95" s="11">
        <f t="shared" si="3"/>
        <v>3</v>
      </c>
      <c r="S95" s="11">
        <f t="shared" si="3"/>
        <v>4</v>
      </c>
    </row>
    <row r="96" spans="1:19">
      <c r="A96" s="10">
        <v>12</v>
      </c>
      <c r="B96" s="11">
        <f t="shared" si="2"/>
        <v>0</v>
      </c>
      <c r="C96" s="11">
        <f t="shared" si="2"/>
        <v>0</v>
      </c>
      <c r="D96" s="11">
        <f t="shared" si="2"/>
        <v>0</v>
      </c>
      <c r="E96" s="11">
        <f t="shared" si="2"/>
        <v>0</v>
      </c>
      <c r="F96" s="11">
        <f t="shared" si="2"/>
        <v>0</v>
      </c>
      <c r="G96" s="11">
        <f t="shared" si="2"/>
        <v>0</v>
      </c>
      <c r="H96" s="11">
        <f t="shared" si="2"/>
        <v>0</v>
      </c>
      <c r="I96" s="11">
        <f t="shared" si="2"/>
        <v>0</v>
      </c>
      <c r="J96" s="11">
        <f t="shared" si="2"/>
        <v>0</v>
      </c>
      <c r="K96" s="11">
        <f t="shared" si="2"/>
        <v>4</v>
      </c>
      <c r="L96" s="11">
        <f t="shared" si="3"/>
        <v>4</v>
      </c>
      <c r="M96" s="11" t="str">
        <f t="shared" si="3"/>
        <v/>
      </c>
      <c r="N96" s="11">
        <f t="shared" si="3"/>
        <v>4</v>
      </c>
      <c r="O96" s="11">
        <f t="shared" si="3"/>
        <v>4</v>
      </c>
      <c r="P96" s="11">
        <f t="shared" si="3"/>
        <v>3</v>
      </c>
      <c r="Q96" s="11">
        <f t="shared" si="3"/>
        <v>3</v>
      </c>
      <c r="R96" s="11">
        <f t="shared" si="3"/>
        <v>3</v>
      </c>
      <c r="S96" s="11">
        <f t="shared" si="3"/>
        <v>3</v>
      </c>
    </row>
    <row r="97" spans="1:19">
      <c r="A97" s="10">
        <v>13</v>
      </c>
      <c r="B97" s="11">
        <f t="shared" si="2"/>
        <v>0</v>
      </c>
      <c r="C97" s="11">
        <f t="shared" si="2"/>
        <v>0</v>
      </c>
      <c r="D97" s="11">
        <f t="shared" si="2"/>
        <v>0</v>
      </c>
      <c r="E97" s="11">
        <f t="shared" si="2"/>
        <v>0</v>
      </c>
      <c r="F97" s="11">
        <f t="shared" si="2"/>
        <v>0</v>
      </c>
      <c r="G97" s="11">
        <f t="shared" si="2"/>
        <v>0</v>
      </c>
      <c r="H97" s="11">
        <f t="shared" si="2"/>
        <v>0</v>
      </c>
      <c r="I97" s="11">
        <f t="shared" si="2"/>
        <v>0</v>
      </c>
      <c r="J97" s="11">
        <f t="shared" si="2"/>
        <v>0</v>
      </c>
      <c r="K97" s="11">
        <f t="shared" si="2"/>
        <v>3</v>
      </c>
      <c r="L97" s="11">
        <f t="shared" si="3"/>
        <v>4</v>
      </c>
      <c r="M97" s="11">
        <f t="shared" si="3"/>
        <v>4</v>
      </c>
      <c r="N97" s="11" t="str">
        <f t="shared" si="3"/>
        <v/>
      </c>
      <c r="O97" s="11">
        <f t="shared" si="3"/>
        <v>4</v>
      </c>
      <c r="P97" s="11">
        <f t="shared" si="3"/>
        <v>4</v>
      </c>
      <c r="Q97" s="11">
        <f t="shared" si="3"/>
        <v>3</v>
      </c>
      <c r="R97" s="11">
        <f t="shared" si="3"/>
        <v>3</v>
      </c>
      <c r="S97" s="11">
        <f t="shared" si="3"/>
        <v>3</v>
      </c>
    </row>
    <row r="98" spans="1:19">
      <c r="A98" s="10">
        <v>14</v>
      </c>
      <c r="B98" s="11">
        <f t="shared" si="2"/>
        <v>0</v>
      </c>
      <c r="C98" s="11">
        <f t="shared" si="2"/>
        <v>0</v>
      </c>
      <c r="D98" s="11">
        <f t="shared" si="2"/>
        <v>0</v>
      </c>
      <c r="E98" s="11">
        <f t="shared" si="2"/>
        <v>0</v>
      </c>
      <c r="F98" s="11">
        <f t="shared" si="2"/>
        <v>0</v>
      </c>
      <c r="G98" s="11">
        <f t="shared" si="2"/>
        <v>0</v>
      </c>
      <c r="H98" s="11">
        <f t="shared" si="2"/>
        <v>0</v>
      </c>
      <c r="I98" s="11">
        <f t="shared" si="2"/>
        <v>0</v>
      </c>
      <c r="J98" s="11">
        <f t="shared" si="2"/>
        <v>0</v>
      </c>
      <c r="K98" s="11">
        <f t="shared" si="2"/>
        <v>3</v>
      </c>
      <c r="L98" s="11">
        <f t="shared" si="3"/>
        <v>3</v>
      </c>
      <c r="M98" s="11">
        <f t="shared" si="3"/>
        <v>4</v>
      </c>
      <c r="N98" s="11">
        <f t="shared" si="3"/>
        <v>4</v>
      </c>
      <c r="O98" s="11" t="str">
        <f t="shared" si="3"/>
        <v/>
      </c>
      <c r="P98" s="11">
        <f t="shared" si="3"/>
        <v>4</v>
      </c>
      <c r="Q98" s="11">
        <f t="shared" si="3"/>
        <v>4</v>
      </c>
      <c r="R98" s="11">
        <f t="shared" si="3"/>
        <v>3</v>
      </c>
      <c r="S98" s="11">
        <f t="shared" si="3"/>
        <v>3</v>
      </c>
    </row>
    <row r="99" spans="1:19">
      <c r="A99" s="10">
        <v>15</v>
      </c>
      <c r="B99" s="11">
        <f t="shared" si="2"/>
        <v>0</v>
      </c>
      <c r="C99" s="11">
        <f t="shared" si="2"/>
        <v>0</v>
      </c>
      <c r="D99" s="11">
        <f t="shared" si="2"/>
        <v>0</v>
      </c>
      <c r="E99" s="11">
        <f t="shared" si="2"/>
        <v>0</v>
      </c>
      <c r="F99" s="11">
        <f t="shared" si="2"/>
        <v>0</v>
      </c>
      <c r="G99" s="11">
        <f t="shared" si="2"/>
        <v>0</v>
      </c>
      <c r="H99" s="11">
        <f t="shared" si="2"/>
        <v>0</v>
      </c>
      <c r="I99" s="11">
        <f t="shared" si="2"/>
        <v>0</v>
      </c>
      <c r="J99" s="11">
        <f t="shared" si="2"/>
        <v>0</v>
      </c>
      <c r="K99" s="11">
        <f t="shared" si="2"/>
        <v>3</v>
      </c>
      <c r="L99" s="11">
        <f t="shared" si="3"/>
        <v>3</v>
      </c>
      <c r="M99" s="11">
        <f t="shared" si="3"/>
        <v>3</v>
      </c>
      <c r="N99" s="11">
        <f t="shared" si="3"/>
        <v>4</v>
      </c>
      <c r="O99" s="11">
        <f t="shared" si="3"/>
        <v>4</v>
      </c>
      <c r="P99" s="11" t="str">
        <f t="shared" si="3"/>
        <v/>
      </c>
      <c r="Q99" s="11">
        <f t="shared" si="3"/>
        <v>4</v>
      </c>
      <c r="R99" s="11">
        <f t="shared" si="3"/>
        <v>4</v>
      </c>
      <c r="S99" s="11">
        <f t="shared" si="3"/>
        <v>3</v>
      </c>
    </row>
    <row r="100" spans="1:19">
      <c r="A100" s="10">
        <v>16</v>
      </c>
      <c r="B100" s="11">
        <f t="shared" si="2"/>
        <v>0</v>
      </c>
      <c r="C100" s="11">
        <f t="shared" si="2"/>
        <v>0</v>
      </c>
      <c r="D100" s="11">
        <f t="shared" si="2"/>
        <v>0</v>
      </c>
      <c r="E100" s="11">
        <f t="shared" si="2"/>
        <v>0</v>
      </c>
      <c r="F100" s="11">
        <f t="shared" si="2"/>
        <v>0</v>
      </c>
      <c r="G100" s="11">
        <f t="shared" si="2"/>
        <v>0</v>
      </c>
      <c r="H100" s="11">
        <f t="shared" si="2"/>
        <v>0</v>
      </c>
      <c r="I100" s="11">
        <f t="shared" si="2"/>
        <v>0</v>
      </c>
      <c r="J100" s="11">
        <f t="shared" si="2"/>
        <v>0</v>
      </c>
      <c r="K100" s="11">
        <f t="shared" si="2"/>
        <v>3</v>
      </c>
      <c r="L100" s="11">
        <f t="shared" si="3"/>
        <v>3</v>
      </c>
      <c r="M100" s="11">
        <f t="shared" si="3"/>
        <v>3</v>
      </c>
      <c r="N100" s="11">
        <f t="shared" si="3"/>
        <v>3</v>
      </c>
      <c r="O100" s="11">
        <f t="shared" si="3"/>
        <v>4</v>
      </c>
      <c r="P100" s="11">
        <f t="shared" si="3"/>
        <v>4</v>
      </c>
      <c r="Q100" s="11" t="str">
        <f t="shared" si="3"/>
        <v/>
      </c>
      <c r="R100" s="11">
        <f t="shared" si="3"/>
        <v>4</v>
      </c>
      <c r="S100" s="11">
        <f t="shared" si="3"/>
        <v>4</v>
      </c>
    </row>
    <row r="101" spans="1:19">
      <c r="A101" s="10">
        <v>17</v>
      </c>
      <c r="B101" s="11">
        <f t="shared" si="2"/>
        <v>0</v>
      </c>
      <c r="C101" s="11">
        <f t="shared" si="2"/>
        <v>0</v>
      </c>
      <c r="D101" s="11">
        <f t="shared" si="2"/>
        <v>0</v>
      </c>
      <c r="E101" s="11">
        <f t="shared" si="2"/>
        <v>0</v>
      </c>
      <c r="F101" s="11">
        <f t="shared" si="2"/>
        <v>0</v>
      </c>
      <c r="G101" s="11">
        <f t="shared" si="2"/>
        <v>0</v>
      </c>
      <c r="H101" s="11">
        <f t="shared" si="2"/>
        <v>0</v>
      </c>
      <c r="I101" s="11">
        <f t="shared" si="2"/>
        <v>0</v>
      </c>
      <c r="J101" s="11">
        <f t="shared" si="2"/>
        <v>0</v>
      </c>
      <c r="K101" s="11">
        <f t="shared" si="2"/>
        <v>4</v>
      </c>
      <c r="L101" s="11">
        <f t="shared" si="3"/>
        <v>3</v>
      </c>
      <c r="M101" s="11">
        <f t="shared" si="3"/>
        <v>3</v>
      </c>
      <c r="N101" s="11">
        <f t="shared" si="3"/>
        <v>3</v>
      </c>
      <c r="O101" s="11">
        <f t="shared" si="3"/>
        <v>3</v>
      </c>
      <c r="P101" s="11">
        <f t="shared" si="3"/>
        <v>4</v>
      </c>
      <c r="Q101" s="11">
        <f t="shared" si="3"/>
        <v>4</v>
      </c>
      <c r="R101" s="11" t="str">
        <f t="shared" si="3"/>
        <v/>
      </c>
      <c r="S101" s="11">
        <f t="shared" si="3"/>
        <v>4</v>
      </c>
    </row>
    <row r="102" spans="1:19">
      <c r="A102" s="10">
        <v>18</v>
      </c>
      <c r="B102" s="11">
        <f t="shared" si="2"/>
        <v>0</v>
      </c>
      <c r="C102" s="11">
        <f t="shared" si="2"/>
        <v>0</v>
      </c>
      <c r="D102" s="11">
        <f t="shared" si="2"/>
        <v>0</v>
      </c>
      <c r="E102" s="11">
        <f t="shared" si="2"/>
        <v>0</v>
      </c>
      <c r="F102" s="11">
        <f t="shared" si="2"/>
        <v>0</v>
      </c>
      <c r="G102" s="11">
        <f t="shared" si="2"/>
        <v>0</v>
      </c>
      <c r="H102" s="11">
        <f t="shared" si="2"/>
        <v>0</v>
      </c>
      <c r="I102" s="11">
        <f t="shared" si="2"/>
        <v>0</v>
      </c>
      <c r="J102" s="11">
        <f t="shared" si="2"/>
        <v>0</v>
      </c>
      <c r="K102" s="11">
        <f t="shared" si="2"/>
        <v>4</v>
      </c>
      <c r="L102" s="11">
        <f t="shared" si="3"/>
        <v>4</v>
      </c>
      <c r="M102" s="11">
        <f t="shared" si="3"/>
        <v>3</v>
      </c>
      <c r="N102" s="11">
        <f t="shared" si="3"/>
        <v>3</v>
      </c>
      <c r="O102" s="11">
        <f t="shared" si="3"/>
        <v>3</v>
      </c>
      <c r="P102" s="11">
        <f t="shared" si="3"/>
        <v>3</v>
      </c>
      <c r="Q102" s="11">
        <f t="shared" si="3"/>
        <v>4</v>
      </c>
      <c r="R102" s="11">
        <f t="shared" si="3"/>
        <v>4</v>
      </c>
      <c r="S102" s="11" t="str">
        <f t="shared" si="3"/>
        <v/>
      </c>
    </row>
    <row r="103" spans="1:19">
      <c r="A103" s="22" t="s">
        <v>285</v>
      </c>
      <c r="B103" s="21">
        <f>_xlfn.MINIFS(B85:S102,B85:S102,"&gt;0")</f>
        <v>3</v>
      </c>
      <c r="C103" s="8"/>
      <c r="D103" s="8"/>
      <c r="E103" s="8"/>
      <c r="F103" s="8"/>
      <c r="G103" s="8"/>
      <c r="H103" s="26"/>
      <c r="I103" s="8"/>
      <c r="J103" s="8"/>
      <c r="K103" s="8"/>
      <c r="L103" s="8"/>
      <c r="M103" s="8"/>
      <c r="N103" s="8"/>
      <c r="O103" s="8"/>
      <c r="P103" s="8"/>
      <c r="Q103" s="8"/>
      <c r="R103" s="8"/>
      <c r="S103" s="8"/>
    </row>
    <row r="104" spans="1:19">
      <c r="A104" s="22" t="s">
        <v>286</v>
      </c>
      <c r="B104" s="21">
        <f>MAX(B85:S102)</f>
        <v>4</v>
      </c>
      <c r="C104" s="8"/>
      <c r="D104" s="8"/>
      <c r="E104" s="8"/>
      <c r="F104" s="8"/>
      <c r="G104" s="8"/>
      <c r="H104" s="26"/>
      <c r="I104" s="8"/>
      <c r="J104" s="8"/>
      <c r="K104" s="8"/>
      <c r="L104" s="8"/>
      <c r="M104" s="8"/>
      <c r="N104" s="8"/>
      <c r="O104" s="8"/>
      <c r="P104" s="8"/>
      <c r="Q104" s="8"/>
      <c r="R104" s="8"/>
      <c r="S104" s="8"/>
    </row>
    <row r="105" spans="1:19">
      <c r="H105" s="4"/>
    </row>
    <row r="106" spans="1:19">
      <c r="H106" s="4"/>
    </row>
    <row r="107" spans="1:19">
      <c r="H107" s="4"/>
    </row>
    <row r="108" spans="1:19">
      <c r="H108" s="4"/>
    </row>
    <row r="109" spans="1:19">
      <c r="H109" s="4"/>
    </row>
    <row r="110" spans="1:19">
      <c r="H110" s="4"/>
    </row>
    <row r="111" spans="1:19">
      <c r="H111" s="4"/>
    </row>
    <row r="112" spans="1:19">
      <c r="H112" s="4"/>
    </row>
    <row r="113" spans="8:8">
      <c r="H113" s="4"/>
    </row>
    <row r="114" spans="8:8">
      <c r="H114" s="4"/>
    </row>
    <row r="115" spans="8:8">
      <c r="H115" s="4"/>
    </row>
    <row r="116" spans="8:8">
      <c r="H116" s="4"/>
    </row>
    <row r="117" spans="8:8">
      <c r="H117" s="4"/>
    </row>
    <row r="118" spans="8:8">
      <c r="H118" s="4"/>
    </row>
    <row r="119" spans="8:8">
      <c r="H119" s="4"/>
    </row>
    <row r="120" spans="8:8">
      <c r="H120" s="4"/>
    </row>
    <row r="121" spans="8:8">
      <c r="H121" s="4"/>
    </row>
    <row r="122" spans="8:8">
      <c r="H122" s="4"/>
    </row>
    <row r="123" spans="8:8">
      <c r="H123" s="4"/>
    </row>
    <row r="124" spans="8:8">
      <c r="H124" s="4"/>
    </row>
    <row r="125" spans="8:8">
      <c r="H125" s="4"/>
    </row>
    <row r="126" spans="8:8">
      <c r="H126" s="4"/>
    </row>
    <row r="127" spans="8:8">
      <c r="H127" s="4"/>
    </row>
    <row r="128" spans="8:8">
      <c r="H128" s="4"/>
    </row>
    <row r="129" spans="8:8">
      <c r="H129" s="4"/>
    </row>
    <row r="130" spans="8:8">
      <c r="H130" s="4"/>
    </row>
    <row r="131" spans="8:8">
      <c r="H131" s="4"/>
    </row>
    <row r="132" spans="8:8">
      <c r="H132" s="4"/>
    </row>
    <row r="133" spans="8:8">
      <c r="H133" s="4"/>
    </row>
    <row r="134" spans="8:8">
      <c r="H134" s="4"/>
    </row>
    <row r="135" spans="8:8">
      <c r="H135" s="4"/>
    </row>
    <row r="136" spans="8:8">
      <c r="H136" s="4"/>
    </row>
    <row r="137" spans="8:8">
      <c r="H137" s="4"/>
    </row>
    <row r="138" spans="8:8">
      <c r="H138" s="4"/>
    </row>
    <row r="139" spans="8:8">
      <c r="H139" s="4"/>
    </row>
    <row r="140" spans="8:8">
      <c r="H140" s="4"/>
    </row>
    <row r="141" spans="8:8">
      <c r="H141" s="4"/>
    </row>
    <row r="142" spans="8:8">
      <c r="H142" s="4"/>
    </row>
    <row r="143" spans="8:8">
      <c r="H143" s="4"/>
    </row>
    <row r="144" spans="8:8">
      <c r="H144" s="4"/>
    </row>
    <row r="145" spans="8:8">
      <c r="H145" s="4"/>
    </row>
    <row r="146" spans="8:8">
      <c r="H146" s="4"/>
    </row>
    <row r="147" spans="8:8">
      <c r="H147" s="4"/>
    </row>
    <row r="148" spans="8:8">
      <c r="H148" s="4"/>
    </row>
    <row r="149" spans="8:8">
      <c r="H149" s="4"/>
    </row>
    <row r="150" spans="8:8">
      <c r="H150" s="4"/>
    </row>
    <row r="151" spans="8:8">
      <c r="H151" s="4"/>
    </row>
    <row r="152" spans="8:8">
      <c r="H152" s="4"/>
    </row>
    <row r="153" spans="8:8">
      <c r="H153" s="4"/>
    </row>
    <row r="154" spans="8:8">
      <c r="H154" s="4"/>
    </row>
    <row r="155" spans="8:8">
      <c r="H155" s="4"/>
    </row>
    <row r="156" spans="8:8">
      <c r="H156" s="4"/>
    </row>
    <row r="157" spans="8:8">
      <c r="H157" s="4"/>
    </row>
    <row r="158" spans="8:8">
      <c r="H158" s="4"/>
    </row>
    <row r="159" spans="8:8">
      <c r="H159" s="4"/>
    </row>
    <row r="160" spans="8:8">
      <c r="H160" s="4"/>
    </row>
    <row r="161" spans="8:8">
      <c r="H161" s="4"/>
    </row>
    <row r="162" spans="8:8">
      <c r="H162" s="4"/>
    </row>
    <row r="163" spans="8:8">
      <c r="H163" s="4"/>
    </row>
    <row r="164" spans="8:8">
      <c r="H164" s="4"/>
    </row>
    <row r="165" spans="8:8">
      <c r="H165" s="4"/>
    </row>
    <row r="166" spans="8:8">
      <c r="H166" s="4"/>
    </row>
    <row r="167" spans="8:8">
      <c r="H167" s="4"/>
    </row>
    <row r="168" spans="8:8">
      <c r="H168" s="4"/>
    </row>
    <row r="169" spans="8:8">
      <c r="H169" s="4"/>
    </row>
    <row r="170" spans="8:8">
      <c r="H170" s="4"/>
    </row>
    <row r="171" spans="8:8">
      <c r="H171" s="4"/>
    </row>
    <row r="172" spans="8:8">
      <c r="H172" s="4"/>
    </row>
    <row r="173" spans="8:8">
      <c r="H173" s="4"/>
    </row>
    <row r="174" spans="8:8">
      <c r="H174" s="4"/>
    </row>
    <row r="175" spans="8:8">
      <c r="H175" s="4"/>
    </row>
    <row r="176" spans="8:8">
      <c r="H176" s="4"/>
    </row>
    <row r="177" spans="8:8">
      <c r="H177" s="4"/>
    </row>
    <row r="178" spans="8:8">
      <c r="H178" s="4"/>
    </row>
    <row r="179" spans="8:8">
      <c r="H179" s="4"/>
    </row>
    <row r="180" spans="8:8">
      <c r="H180" s="4"/>
    </row>
    <row r="181" spans="8:8">
      <c r="H181" s="4"/>
    </row>
    <row r="182" spans="8:8">
      <c r="H182" s="4"/>
    </row>
    <row r="183" spans="8:8">
      <c r="H183" s="4"/>
    </row>
    <row r="184" spans="8:8">
      <c r="H184" s="4"/>
    </row>
    <row r="185" spans="8:8">
      <c r="H185" s="4"/>
    </row>
    <row r="186" spans="8:8">
      <c r="H186" s="4"/>
    </row>
    <row r="187" spans="8:8">
      <c r="H187" s="4"/>
    </row>
    <row r="188" spans="8:8">
      <c r="H188" s="4"/>
    </row>
    <row r="189" spans="8:8">
      <c r="H189" s="4"/>
    </row>
    <row r="190" spans="8:8">
      <c r="H190" s="4"/>
    </row>
    <row r="191" spans="8:8">
      <c r="H191" s="4"/>
    </row>
    <row r="192" spans="8:8">
      <c r="H192" s="4"/>
    </row>
    <row r="193" spans="8:8">
      <c r="H193" s="4"/>
    </row>
    <row r="194" spans="8:8">
      <c r="H194" s="4"/>
    </row>
    <row r="195" spans="8:8">
      <c r="H195" s="4"/>
    </row>
    <row r="196" spans="8:8">
      <c r="H196" s="4"/>
    </row>
    <row r="197" spans="8:8">
      <c r="H197" s="4"/>
    </row>
    <row r="198" spans="8:8">
      <c r="H198" s="4"/>
    </row>
    <row r="199" spans="8:8">
      <c r="H199" s="4"/>
    </row>
  </sheetData>
  <mergeCells count="23">
    <mergeCell ref="A37:A47"/>
    <mergeCell ref="G37:G47"/>
    <mergeCell ref="G15:G25"/>
    <mergeCell ref="H15:H25"/>
    <mergeCell ref="A26:A36"/>
    <mergeCell ref="G26:G36"/>
    <mergeCell ref="H26:H36"/>
    <mergeCell ref="A70:A80"/>
    <mergeCell ref="G70:G80"/>
    <mergeCell ref="H70:H80"/>
    <mergeCell ref="A1:H1"/>
    <mergeCell ref="A83:S83"/>
    <mergeCell ref="H37:H47"/>
    <mergeCell ref="A48:A58"/>
    <mergeCell ref="G48:G58"/>
    <mergeCell ref="H48:H58"/>
    <mergeCell ref="A59:A69"/>
    <mergeCell ref="G59:G69"/>
    <mergeCell ref="H59:H69"/>
    <mergeCell ref="A4:A14"/>
    <mergeCell ref="G4:G14"/>
    <mergeCell ref="H4:H14"/>
    <mergeCell ref="A15:A2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EC84F-F72D-405B-861D-8DFFE3D6CF60}">
  <dimension ref="A1:T199"/>
  <sheetViews>
    <sheetView showGridLines="0" rightToLeft="1" zoomScale="48" workbookViewId="0">
      <pane ySplit="3" topLeftCell="A57" activePane="bottomLeft" state="frozen"/>
      <selection pane="bottomLeft" activeCell="B72" sqref="B72"/>
    </sheetView>
  </sheetViews>
  <sheetFormatPr defaultRowHeight="14.5"/>
  <cols>
    <col min="1" max="1" width="10.54296875" customWidth="1"/>
    <col min="2" max="2" width="17.26953125" customWidth="1"/>
    <col min="3" max="8" width="14.54296875" customWidth="1"/>
    <col min="9" max="10" width="15.453125" customWidth="1"/>
    <col min="11" max="16" width="5.453125" customWidth="1"/>
  </cols>
  <sheetData>
    <row r="1" spans="1:20" ht="26" customHeight="1">
      <c r="A1" s="83" t="s">
        <v>288</v>
      </c>
      <c r="B1" s="83"/>
      <c r="C1" s="83"/>
      <c r="D1" s="83"/>
      <c r="E1" s="83"/>
      <c r="F1" s="83"/>
      <c r="G1" s="83"/>
      <c r="H1" s="83"/>
      <c r="I1" s="83"/>
      <c r="J1" s="83"/>
      <c r="K1" s="8"/>
      <c r="L1" s="8"/>
      <c r="M1" s="8"/>
      <c r="N1" s="8"/>
      <c r="O1" s="13"/>
      <c r="P1" s="8"/>
      <c r="Q1" s="8"/>
      <c r="R1" s="8"/>
      <c r="S1" s="8"/>
      <c r="T1" s="8"/>
    </row>
    <row r="2" spans="1:20" ht="8" customHeight="1">
      <c r="A2" s="8"/>
      <c r="B2" s="8"/>
      <c r="C2" s="8"/>
      <c r="D2" s="8"/>
      <c r="E2" s="8"/>
      <c r="F2" s="8"/>
      <c r="G2" s="8"/>
      <c r="H2" s="8"/>
      <c r="I2" s="8"/>
      <c r="J2" s="8"/>
      <c r="K2" s="8"/>
      <c r="L2" s="8"/>
      <c r="M2" s="8"/>
      <c r="N2" s="8"/>
      <c r="O2" s="13"/>
      <c r="P2" s="8"/>
      <c r="Q2" s="8"/>
      <c r="R2" s="8"/>
      <c r="S2" s="8"/>
      <c r="T2" s="8"/>
    </row>
    <row r="3" spans="1:20" ht="32" customHeight="1">
      <c r="A3" s="25" t="s">
        <v>0</v>
      </c>
      <c r="B3" s="25" t="s">
        <v>1</v>
      </c>
      <c r="C3" s="25" t="s">
        <v>251</v>
      </c>
      <c r="D3" s="25" t="s">
        <v>252</v>
      </c>
      <c r="E3" s="25" t="s">
        <v>253</v>
      </c>
      <c r="F3" s="25" t="s">
        <v>284</v>
      </c>
      <c r="G3" s="25" t="s">
        <v>255</v>
      </c>
      <c r="H3" s="25" t="s">
        <v>256</v>
      </c>
      <c r="I3" s="25" t="s">
        <v>263</v>
      </c>
      <c r="J3" s="25" t="s">
        <v>105</v>
      </c>
      <c r="K3" s="8"/>
      <c r="L3" s="8"/>
      <c r="M3" s="8"/>
      <c r="N3" s="8"/>
      <c r="O3" s="13"/>
      <c r="P3" s="8"/>
      <c r="Q3" s="8"/>
      <c r="R3" s="8"/>
      <c r="S3" s="8"/>
      <c r="T3" s="8"/>
    </row>
    <row r="4" spans="1:20" ht="14.5" customHeight="1">
      <c r="A4" s="101" t="s">
        <v>5</v>
      </c>
      <c r="B4"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 s="19" t="s">
        <v>93</v>
      </c>
      <c r="D4" s="19" t="s">
        <v>40</v>
      </c>
      <c r="E4" s="19" t="s">
        <v>52</v>
      </c>
      <c r="F4" s="20" t="s">
        <v>217</v>
      </c>
      <c r="G4" s="20" t="s">
        <v>140</v>
      </c>
      <c r="H4" s="20" t="s">
        <v>119</v>
      </c>
      <c r="I4" s="102">
        <f>COUNTIF(C4:H13,"* ضد *")</f>
        <v>38</v>
      </c>
      <c r="J4" s="102">
        <f>I4*2/'ملخص البطولات'!$A$12</f>
        <v>4</v>
      </c>
      <c r="K4" s="8"/>
      <c r="L4" s="8"/>
      <c r="M4" s="8"/>
      <c r="N4" s="8"/>
      <c r="O4" s="13"/>
      <c r="P4" s="8"/>
      <c r="Q4" s="8"/>
      <c r="R4" s="8"/>
      <c r="S4" s="8"/>
      <c r="T4" s="8"/>
    </row>
    <row r="5" spans="1:20">
      <c r="A5" s="101"/>
      <c r="B5"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 s="19" t="s">
        <v>55</v>
      </c>
      <c r="D5" s="19" t="s">
        <v>21</v>
      </c>
      <c r="E5" s="19" t="s">
        <v>51</v>
      </c>
      <c r="F5" s="20"/>
      <c r="G5" s="20"/>
      <c r="H5" s="20"/>
      <c r="I5" s="102"/>
      <c r="J5" s="102"/>
      <c r="K5" s="8"/>
      <c r="L5" s="8"/>
      <c r="M5" s="8"/>
      <c r="N5" s="8"/>
      <c r="O5" s="13"/>
      <c r="P5" s="8"/>
      <c r="Q5" s="8"/>
      <c r="R5" s="8"/>
      <c r="S5" s="8"/>
      <c r="T5" s="8"/>
    </row>
    <row r="6" spans="1:20">
      <c r="A6" s="101"/>
      <c r="B6"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 s="19" t="s">
        <v>32</v>
      </c>
      <c r="D6" s="19" t="s">
        <v>57</v>
      </c>
      <c r="E6" s="19" t="s">
        <v>65</v>
      </c>
      <c r="F6" s="20" t="s">
        <v>165</v>
      </c>
      <c r="G6" s="20" t="s">
        <v>148</v>
      </c>
      <c r="H6" s="20" t="s">
        <v>151</v>
      </c>
      <c r="I6" s="102"/>
      <c r="J6" s="102"/>
      <c r="K6" s="8"/>
      <c r="L6" s="8"/>
      <c r="M6" s="8"/>
      <c r="N6" s="8"/>
      <c r="O6" s="13"/>
      <c r="P6" s="8"/>
      <c r="Q6" s="8"/>
      <c r="R6" s="8"/>
      <c r="S6" s="8"/>
      <c r="T6" s="8"/>
    </row>
    <row r="7" spans="1:20">
      <c r="A7" s="101"/>
      <c r="B7"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7" s="19" t="s">
        <v>33</v>
      </c>
      <c r="D7" s="19" t="s">
        <v>82</v>
      </c>
      <c r="E7" s="19" t="s">
        <v>88</v>
      </c>
      <c r="F7" s="20"/>
      <c r="G7" s="20"/>
      <c r="H7" s="20"/>
      <c r="I7" s="102"/>
      <c r="J7" s="102"/>
      <c r="K7" s="8"/>
      <c r="L7" s="8"/>
      <c r="M7" s="8"/>
      <c r="N7" s="8"/>
      <c r="O7" s="13"/>
      <c r="P7" s="8"/>
      <c r="Q7" s="8"/>
      <c r="R7" s="8"/>
      <c r="S7" s="8"/>
      <c r="T7" s="8"/>
    </row>
    <row r="8" spans="1:20">
      <c r="A8" s="101"/>
      <c r="B8"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8" s="19" t="s">
        <v>35</v>
      </c>
      <c r="D8" s="19" t="s">
        <v>85</v>
      </c>
      <c r="E8" s="19" t="s">
        <v>81</v>
      </c>
      <c r="F8" s="20" t="s">
        <v>156</v>
      </c>
      <c r="G8" s="20" t="s">
        <v>124</v>
      </c>
      <c r="H8" s="20" t="s">
        <v>163</v>
      </c>
      <c r="I8" s="102"/>
      <c r="J8" s="102"/>
      <c r="K8" s="8"/>
      <c r="L8" s="8"/>
      <c r="M8" s="8"/>
      <c r="N8" s="8"/>
      <c r="O8" s="13"/>
      <c r="P8" s="8"/>
      <c r="Q8" s="8"/>
      <c r="R8" s="8"/>
      <c r="S8" s="8"/>
      <c r="T8" s="8"/>
    </row>
    <row r="9" spans="1:20">
      <c r="A9" s="101"/>
      <c r="B9"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9" s="19" t="s">
        <v>67</v>
      </c>
      <c r="D9" s="19" t="s">
        <v>29</v>
      </c>
      <c r="E9" s="19" t="s">
        <v>62</v>
      </c>
      <c r="F9" s="20"/>
      <c r="G9" s="20"/>
      <c r="H9" s="20"/>
      <c r="I9" s="102"/>
      <c r="J9" s="102"/>
      <c r="K9" s="8"/>
      <c r="L9" s="8"/>
      <c r="M9" s="8"/>
      <c r="N9" s="8"/>
      <c r="O9" s="13"/>
      <c r="P9" s="8"/>
      <c r="Q9" s="8"/>
      <c r="R9" s="8"/>
      <c r="S9" s="8"/>
      <c r="T9" s="8"/>
    </row>
    <row r="10" spans="1:20">
      <c r="A10" s="101"/>
      <c r="B10"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0" s="19" t="s">
        <v>30</v>
      </c>
      <c r="D10" s="19" t="s">
        <v>25</v>
      </c>
      <c r="E10" s="19" t="s">
        <v>95</v>
      </c>
      <c r="F10" s="20" t="s">
        <v>155</v>
      </c>
      <c r="G10" s="20" t="s">
        <v>149</v>
      </c>
      <c r="H10" s="20" t="s">
        <v>126</v>
      </c>
      <c r="I10" s="102"/>
      <c r="J10" s="102"/>
      <c r="K10" s="8"/>
      <c r="L10" s="8"/>
      <c r="M10" s="8"/>
      <c r="N10" s="8"/>
      <c r="O10" s="13"/>
      <c r="P10" s="8"/>
      <c r="Q10" s="8"/>
      <c r="R10" s="8"/>
      <c r="S10" s="8"/>
      <c r="T10" s="8"/>
    </row>
    <row r="11" spans="1:20" ht="14.5" customHeight="1">
      <c r="A11" s="101"/>
      <c r="B11"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11" s="19" t="s">
        <v>20</v>
      </c>
      <c r="D11" s="19" t="s">
        <v>79</v>
      </c>
      <c r="E11" s="19"/>
      <c r="F11" s="20"/>
      <c r="G11" s="20"/>
      <c r="H11" s="20"/>
      <c r="I11" s="102"/>
      <c r="J11" s="102"/>
      <c r="K11" s="8"/>
      <c r="L11" s="8"/>
      <c r="M11" s="8"/>
      <c r="N11" s="8"/>
      <c r="O11" s="13"/>
      <c r="P11" s="8"/>
      <c r="Q11" s="8"/>
      <c r="R11" s="8"/>
      <c r="S11" s="8"/>
      <c r="T11" s="8"/>
    </row>
    <row r="12" spans="1:20">
      <c r="A12" s="101"/>
      <c r="B12"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12" s="19" t="s">
        <v>70</v>
      </c>
      <c r="D12" s="19" t="s">
        <v>90</v>
      </c>
      <c r="E12" s="19" t="s">
        <v>58</v>
      </c>
      <c r="F12" s="20"/>
      <c r="G12" s="20"/>
      <c r="H12" s="20"/>
      <c r="I12" s="102"/>
      <c r="J12" s="102"/>
      <c r="K12" s="8"/>
      <c r="L12" s="8"/>
      <c r="M12" s="8"/>
      <c r="N12" s="8"/>
      <c r="O12" s="13"/>
      <c r="P12" s="8"/>
      <c r="Q12" s="8"/>
      <c r="R12" s="8"/>
      <c r="S12" s="8"/>
      <c r="T12" s="8"/>
    </row>
    <row r="13" spans="1:20">
      <c r="A13" s="101"/>
      <c r="B13" s="1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13" s="19"/>
      <c r="D13" s="19"/>
      <c r="E13" s="19"/>
      <c r="F13" s="20"/>
      <c r="G13" s="20"/>
      <c r="H13" s="20"/>
      <c r="I13" s="102"/>
      <c r="J13" s="102"/>
      <c r="K13" s="8"/>
      <c r="L13" s="8"/>
      <c r="M13" s="8"/>
      <c r="N13" s="8"/>
      <c r="O13" s="13"/>
      <c r="P13" s="8"/>
      <c r="Q13" s="8"/>
      <c r="R13" s="8"/>
      <c r="S13" s="8"/>
      <c r="T13" s="8"/>
    </row>
    <row r="14" spans="1:20">
      <c r="A14" s="101" t="s">
        <v>6</v>
      </c>
      <c r="B14"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14" s="19" t="s">
        <v>44</v>
      </c>
      <c r="D14" s="19"/>
      <c r="E14" s="19"/>
      <c r="F14" s="20" t="s">
        <v>178</v>
      </c>
      <c r="G14" s="20" t="s">
        <v>118</v>
      </c>
      <c r="H14" s="20" t="s">
        <v>136</v>
      </c>
      <c r="I14" s="100">
        <f>COUNTIF(C14:H23,"* ضد *")</f>
        <v>38</v>
      </c>
      <c r="J14" s="100">
        <f>I14*2/'ملخص البطولات'!$A$12</f>
        <v>4</v>
      </c>
      <c r="K14" s="8"/>
      <c r="L14" s="8"/>
      <c r="M14" s="8"/>
      <c r="N14" s="8"/>
      <c r="O14" s="13"/>
      <c r="P14" s="8"/>
      <c r="Q14" s="8"/>
      <c r="R14" s="8"/>
      <c r="S14" s="8"/>
      <c r="T14" s="8"/>
    </row>
    <row r="15" spans="1:20">
      <c r="A15" s="101"/>
      <c r="B15"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15" s="19" t="s">
        <v>42</v>
      </c>
      <c r="D15" s="19" t="s">
        <v>37</v>
      </c>
      <c r="E15" s="19" t="s">
        <v>92</v>
      </c>
      <c r="F15" s="20"/>
      <c r="G15" s="20"/>
      <c r="H15" s="20"/>
      <c r="I15" s="100"/>
      <c r="J15" s="100"/>
      <c r="K15" s="8"/>
      <c r="L15" s="8"/>
      <c r="M15" s="8"/>
      <c r="N15" s="8"/>
      <c r="O15" s="13"/>
      <c r="P15" s="8"/>
      <c r="Q15" s="8"/>
      <c r="R15" s="8"/>
      <c r="S15" s="8"/>
      <c r="T15" s="8"/>
    </row>
    <row r="16" spans="1:20">
      <c r="A16" s="101"/>
      <c r="B16"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16" s="19" t="s">
        <v>80</v>
      </c>
      <c r="D16" s="19" t="s">
        <v>50</v>
      </c>
      <c r="E16" s="19" t="s">
        <v>60</v>
      </c>
      <c r="F16" s="20" t="s">
        <v>217</v>
      </c>
      <c r="G16" s="20" t="s">
        <v>140</v>
      </c>
      <c r="H16" s="20" t="s">
        <v>119</v>
      </c>
      <c r="I16" s="100"/>
      <c r="J16" s="100"/>
      <c r="K16" s="8"/>
      <c r="L16" s="8"/>
      <c r="M16" s="8"/>
      <c r="N16" s="8"/>
      <c r="O16" s="13"/>
      <c r="P16" s="8"/>
      <c r="Q16" s="8"/>
      <c r="R16" s="8"/>
      <c r="S16" s="8"/>
      <c r="T16" s="8"/>
    </row>
    <row r="17" spans="1:20">
      <c r="A17" s="101"/>
      <c r="B17"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17" s="19" t="s">
        <v>46</v>
      </c>
      <c r="D17" s="19" t="s">
        <v>96</v>
      </c>
      <c r="E17" s="19" t="s">
        <v>69</v>
      </c>
      <c r="F17" s="20"/>
      <c r="G17" s="20"/>
      <c r="H17" s="20"/>
      <c r="I17" s="100"/>
      <c r="J17" s="100"/>
      <c r="K17" s="8"/>
      <c r="L17" s="8"/>
      <c r="M17" s="8"/>
      <c r="N17" s="8"/>
      <c r="O17" s="13"/>
      <c r="P17" s="8"/>
      <c r="Q17" s="8"/>
      <c r="R17" s="8"/>
      <c r="S17" s="8"/>
      <c r="T17" s="8"/>
    </row>
    <row r="18" spans="1:20" ht="14.5" customHeight="1">
      <c r="A18" s="101"/>
      <c r="B18"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18" s="19" t="s">
        <v>66</v>
      </c>
      <c r="D18" s="19" t="s">
        <v>45</v>
      </c>
      <c r="E18" s="19"/>
      <c r="F18" s="20" t="s">
        <v>165</v>
      </c>
      <c r="G18" s="20" t="s">
        <v>148</v>
      </c>
      <c r="H18" s="20" t="s">
        <v>151</v>
      </c>
      <c r="I18" s="100"/>
      <c r="J18" s="100"/>
      <c r="K18" s="8"/>
      <c r="L18" s="8"/>
      <c r="M18" s="8"/>
      <c r="N18" s="8"/>
      <c r="O18" s="13"/>
      <c r="P18" s="8"/>
      <c r="Q18" s="8"/>
      <c r="R18" s="8"/>
      <c r="S18" s="8"/>
      <c r="T18" s="8"/>
    </row>
    <row r="19" spans="1:20">
      <c r="A19" s="101"/>
      <c r="B19"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19" s="19" t="s">
        <v>78</v>
      </c>
      <c r="D19" s="19" t="s">
        <v>31</v>
      </c>
      <c r="E19" s="19" t="s">
        <v>64</v>
      </c>
      <c r="F19" s="20"/>
      <c r="G19" s="20"/>
      <c r="H19" s="20"/>
      <c r="I19" s="100"/>
      <c r="J19" s="100"/>
      <c r="K19" s="8"/>
      <c r="L19" s="8"/>
      <c r="M19" s="8"/>
      <c r="N19" s="8"/>
      <c r="O19" s="13"/>
      <c r="P19" s="8"/>
      <c r="Q19" s="8"/>
      <c r="R19" s="8"/>
      <c r="S19" s="8"/>
      <c r="T19" s="8"/>
    </row>
    <row r="20" spans="1:20">
      <c r="A20" s="101"/>
      <c r="B20"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20" s="19" t="s">
        <v>75</v>
      </c>
      <c r="D20" s="19" t="s">
        <v>91</v>
      </c>
      <c r="E20" s="19" t="s">
        <v>34</v>
      </c>
      <c r="F20" s="20" t="s">
        <v>156</v>
      </c>
      <c r="G20" s="20" t="s">
        <v>124</v>
      </c>
      <c r="H20" s="20" t="s">
        <v>163</v>
      </c>
      <c r="I20" s="100"/>
      <c r="J20" s="100"/>
      <c r="K20" s="8"/>
      <c r="L20" s="8"/>
      <c r="M20" s="8"/>
      <c r="N20" s="8"/>
      <c r="O20" s="13"/>
      <c r="P20" s="8"/>
      <c r="Q20" s="8"/>
      <c r="R20" s="8"/>
      <c r="S20" s="8"/>
      <c r="T20" s="8"/>
    </row>
    <row r="21" spans="1:20">
      <c r="A21" s="101"/>
      <c r="B21"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21" s="19" t="s">
        <v>48</v>
      </c>
      <c r="D21" s="19" t="s">
        <v>26</v>
      </c>
      <c r="E21" s="19" t="s">
        <v>28</v>
      </c>
      <c r="F21" s="20"/>
      <c r="G21" s="20"/>
      <c r="H21" s="20"/>
      <c r="I21" s="100"/>
      <c r="J21" s="100"/>
      <c r="K21" s="8"/>
      <c r="L21" s="8"/>
      <c r="M21" s="8"/>
      <c r="N21" s="8"/>
      <c r="O21" s="13"/>
      <c r="P21" s="8"/>
      <c r="Q21" s="8"/>
      <c r="R21" s="8"/>
      <c r="S21" s="8"/>
      <c r="T21" s="8"/>
    </row>
    <row r="22" spans="1:20">
      <c r="A22" s="101"/>
      <c r="B22"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22" s="19" t="s">
        <v>309</v>
      </c>
      <c r="D22" s="19" t="s">
        <v>23</v>
      </c>
      <c r="E22" s="19"/>
      <c r="F22" s="20"/>
      <c r="G22" s="20"/>
      <c r="H22" s="20"/>
      <c r="I22" s="100"/>
      <c r="J22" s="100"/>
      <c r="K22" s="8"/>
      <c r="L22" s="8"/>
      <c r="M22" s="8"/>
      <c r="N22" s="8"/>
      <c r="O22" s="13"/>
      <c r="P22" s="8"/>
      <c r="Q22" s="8"/>
      <c r="R22" s="8"/>
      <c r="S22" s="8"/>
      <c r="T22" s="8"/>
    </row>
    <row r="23" spans="1:20">
      <c r="A23" s="101"/>
      <c r="B23" s="17"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23" s="19" t="s">
        <v>49</v>
      </c>
      <c r="D23" s="19" t="s">
        <v>56</v>
      </c>
      <c r="E23" s="19" t="s">
        <v>71</v>
      </c>
      <c r="F23" s="20"/>
      <c r="G23" s="20"/>
      <c r="H23" s="20"/>
      <c r="I23" s="100"/>
      <c r="J23" s="100"/>
      <c r="K23" s="8"/>
      <c r="L23" s="8"/>
      <c r="M23" s="8"/>
      <c r="N23" s="8"/>
      <c r="O23" s="13"/>
      <c r="P23" s="8"/>
      <c r="Q23" s="8"/>
      <c r="R23" s="8"/>
      <c r="S23" s="8"/>
      <c r="T23" s="8"/>
    </row>
    <row r="24" spans="1:20">
      <c r="A24" s="101" t="s">
        <v>7</v>
      </c>
      <c r="B24"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24" s="19" t="s">
        <v>24</v>
      </c>
      <c r="D24" s="19"/>
      <c r="E24" s="19"/>
      <c r="F24" s="20" t="s">
        <v>155</v>
      </c>
      <c r="G24" s="20" t="s">
        <v>149</v>
      </c>
      <c r="H24" s="20" t="s">
        <v>126</v>
      </c>
      <c r="I24" s="102">
        <f>COUNTIF(C24:H33,"* ضد *")</f>
        <v>38</v>
      </c>
      <c r="J24" s="102">
        <f>I24*2/'ملخص البطولات'!$A$12</f>
        <v>4</v>
      </c>
      <c r="K24" s="8"/>
      <c r="L24" s="8"/>
      <c r="M24" s="8"/>
      <c r="N24" s="8"/>
      <c r="O24" s="13"/>
      <c r="P24" s="8"/>
      <c r="Q24" s="8"/>
      <c r="R24" s="8"/>
      <c r="S24" s="8"/>
      <c r="T24" s="8"/>
    </row>
    <row r="25" spans="1:20" ht="14.5" customHeight="1">
      <c r="A25" s="101"/>
      <c r="B25"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25" s="19" t="s">
        <v>54</v>
      </c>
      <c r="D25" s="19" t="s">
        <v>87</v>
      </c>
      <c r="E25" s="19" t="s">
        <v>39</v>
      </c>
      <c r="F25" s="20"/>
      <c r="G25" s="20"/>
      <c r="H25" s="20"/>
      <c r="I25" s="102"/>
      <c r="J25" s="102"/>
      <c r="K25" s="8"/>
      <c r="L25" s="8"/>
      <c r="M25" s="8"/>
      <c r="N25" s="8"/>
      <c r="O25" s="13"/>
      <c r="P25" s="8"/>
      <c r="Q25" s="8"/>
      <c r="R25" s="8"/>
      <c r="S25" s="8"/>
      <c r="T25" s="8"/>
    </row>
    <row r="26" spans="1:20">
      <c r="A26" s="101"/>
      <c r="B26"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26" s="19" t="s">
        <v>63</v>
      </c>
      <c r="D26" s="19" t="s">
        <v>43</v>
      </c>
      <c r="E26" s="19" t="s">
        <v>84</v>
      </c>
      <c r="F26" s="20" t="s">
        <v>178</v>
      </c>
      <c r="G26" s="20" t="s">
        <v>118</v>
      </c>
      <c r="H26" s="20" t="s">
        <v>136</v>
      </c>
      <c r="I26" s="102"/>
      <c r="J26" s="102"/>
      <c r="K26" s="8"/>
      <c r="L26" s="8"/>
      <c r="M26" s="8"/>
      <c r="N26" s="8"/>
      <c r="O26" s="13"/>
      <c r="P26" s="8"/>
      <c r="Q26" s="8"/>
      <c r="R26" s="8"/>
      <c r="S26" s="8"/>
      <c r="T26" s="8"/>
    </row>
    <row r="27" spans="1:20">
      <c r="A27" s="101"/>
      <c r="B27"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27" s="19" t="s">
        <v>74</v>
      </c>
      <c r="D27" s="19" t="s">
        <v>89</v>
      </c>
      <c r="E27" s="19" t="s">
        <v>76</v>
      </c>
      <c r="F27" s="20"/>
      <c r="G27" s="20"/>
      <c r="H27" s="20"/>
      <c r="I27" s="102"/>
      <c r="J27" s="102"/>
      <c r="K27" s="8"/>
      <c r="L27" s="8"/>
      <c r="M27" s="8"/>
      <c r="N27" s="8"/>
      <c r="O27" s="13"/>
      <c r="P27" s="8"/>
      <c r="Q27" s="8"/>
      <c r="R27" s="8"/>
      <c r="S27" s="8"/>
      <c r="T27" s="8"/>
    </row>
    <row r="28" spans="1:20">
      <c r="A28" s="101"/>
      <c r="B28"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28" s="19" t="s">
        <v>22</v>
      </c>
      <c r="D28" s="19" t="s">
        <v>27</v>
      </c>
      <c r="E28" s="19" t="s">
        <v>53</v>
      </c>
      <c r="F28" s="20" t="s">
        <v>217</v>
      </c>
      <c r="G28" s="20" t="s">
        <v>140</v>
      </c>
      <c r="H28" s="20" t="s">
        <v>119</v>
      </c>
      <c r="I28" s="102"/>
      <c r="J28" s="102"/>
      <c r="K28" s="8"/>
      <c r="L28" s="8"/>
      <c r="M28" s="8"/>
      <c r="N28" s="8"/>
      <c r="O28" s="13"/>
      <c r="P28" s="8"/>
      <c r="Q28" s="8"/>
      <c r="R28" s="8"/>
      <c r="S28" s="8"/>
      <c r="T28" s="8"/>
    </row>
    <row r="29" spans="1:20">
      <c r="A29" s="101"/>
      <c r="B29"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29" s="19" t="s">
        <v>61</v>
      </c>
      <c r="D29" s="19" t="s">
        <v>83</v>
      </c>
      <c r="E29" s="19"/>
      <c r="F29" s="20"/>
      <c r="G29" s="20"/>
      <c r="H29" s="20"/>
      <c r="I29" s="102"/>
      <c r="J29" s="102"/>
      <c r="K29" s="8"/>
      <c r="L29" s="8"/>
      <c r="M29" s="8"/>
      <c r="N29" s="8"/>
      <c r="O29" s="13"/>
      <c r="P29" s="8"/>
      <c r="Q29" s="8"/>
      <c r="R29" s="8"/>
      <c r="S29" s="8"/>
      <c r="T29" s="8"/>
    </row>
    <row r="30" spans="1:20">
      <c r="A30" s="101"/>
      <c r="B30"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30" s="19" t="s">
        <v>86</v>
      </c>
      <c r="D30" s="19" t="s">
        <v>36</v>
      </c>
      <c r="E30" s="19" t="s">
        <v>38</v>
      </c>
      <c r="F30" s="20" t="s">
        <v>165</v>
      </c>
      <c r="G30" s="20" t="s">
        <v>148</v>
      </c>
      <c r="H30" s="20" t="s">
        <v>151</v>
      </c>
      <c r="I30" s="102"/>
      <c r="J30" s="102"/>
      <c r="K30" s="8"/>
      <c r="L30" s="8"/>
      <c r="M30" s="8"/>
      <c r="N30" s="8"/>
      <c r="O30" s="13"/>
      <c r="P30" s="8"/>
      <c r="Q30" s="8"/>
      <c r="R30" s="8"/>
      <c r="S30" s="8"/>
      <c r="T30" s="8"/>
    </row>
    <row r="31" spans="1:20">
      <c r="A31" s="101"/>
      <c r="B31"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31" s="19" t="s">
        <v>47</v>
      </c>
      <c r="D31" s="19" t="s">
        <v>77</v>
      </c>
      <c r="E31" s="19" t="s">
        <v>41</v>
      </c>
      <c r="F31" s="20"/>
      <c r="G31" s="20"/>
      <c r="H31" s="20"/>
      <c r="I31" s="102"/>
      <c r="J31" s="102"/>
      <c r="K31" s="8"/>
      <c r="L31" s="8"/>
      <c r="M31" s="8"/>
      <c r="N31" s="8"/>
      <c r="O31" s="13"/>
      <c r="P31" s="8"/>
      <c r="Q31" s="8"/>
      <c r="R31" s="8"/>
      <c r="S31" s="8"/>
      <c r="T31" s="8"/>
    </row>
    <row r="32" spans="1:20" ht="14.5" customHeight="1">
      <c r="A32" s="101"/>
      <c r="B32"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32" s="19" t="s">
        <v>94</v>
      </c>
      <c r="D32" s="19" t="s">
        <v>59</v>
      </c>
      <c r="E32" s="19"/>
      <c r="F32" s="20"/>
      <c r="G32" s="20"/>
      <c r="H32" s="20"/>
      <c r="I32" s="102"/>
      <c r="J32" s="102"/>
      <c r="K32" s="8"/>
      <c r="L32" s="8"/>
      <c r="M32" s="8"/>
      <c r="N32" s="8"/>
      <c r="O32" s="13"/>
      <c r="P32" s="8"/>
      <c r="Q32" s="8"/>
      <c r="R32" s="8"/>
      <c r="S32" s="8"/>
      <c r="T32" s="8"/>
    </row>
    <row r="33" spans="1:20">
      <c r="A33" s="101"/>
      <c r="B33" s="1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33" s="19" t="s">
        <v>68</v>
      </c>
      <c r="D33" s="19" t="s">
        <v>73</v>
      </c>
      <c r="E33" s="19" t="s">
        <v>72</v>
      </c>
      <c r="F33" s="20"/>
      <c r="G33" s="20"/>
      <c r="H33" s="20"/>
      <c r="I33" s="102"/>
      <c r="J33" s="102"/>
      <c r="K33" s="8"/>
      <c r="L33" s="8"/>
      <c r="M33" s="8"/>
      <c r="N33" s="8"/>
      <c r="O33" s="13"/>
      <c r="P33" s="8"/>
      <c r="Q33" s="8"/>
      <c r="R33" s="8"/>
      <c r="S33" s="8"/>
      <c r="T33" s="8"/>
    </row>
    <row r="34" spans="1:20">
      <c r="A34" s="101" t="s">
        <v>8</v>
      </c>
      <c r="B34"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34" s="19" t="s">
        <v>35</v>
      </c>
      <c r="D34" s="19" t="s">
        <v>82</v>
      </c>
      <c r="E34" s="19" t="s">
        <v>33</v>
      </c>
      <c r="F34" s="20" t="s">
        <v>156</v>
      </c>
      <c r="G34" s="20" t="s">
        <v>124</v>
      </c>
      <c r="H34" s="20" t="s">
        <v>163</v>
      </c>
      <c r="I34" s="100">
        <f>COUNTIF(C34:H43,"* ضد *")</f>
        <v>38</v>
      </c>
      <c r="J34" s="100">
        <f>I34*2/'ملخص البطولات'!$A$12</f>
        <v>4</v>
      </c>
      <c r="K34" s="8"/>
      <c r="L34" s="8"/>
      <c r="M34" s="8"/>
      <c r="N34" s="8"/>
      <c r="O34" s="13"/>
      <c r="P34" s="8"/>
      <c r="Q34" s="8"/>
      <c r="R34" s="8"/>
      <c r="S34" s="8"/>
      <c r="T34" s="8"/>
    </row>
    <row r="35" spans="1:20">
      <c r="A35" s="101"/>
      <c r="B35"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35" s="19" t="s">
        <v>52</v>
      </c>
      <c r="D35" s="19" t="s">
        <v>40</v>
      </c>
      <c r="E35" s="19" t="s">
        <v>93</v>
      </c>
      <c r="F35" s="20"/>
      <c r="G35" s="20"/>
      <c r="H35" s="20"/>
      <c r="I35" s="100"/>
      <c r="J35" s="100"/>
      <c r="K35" s="8"/>
      <c r="L35" s="8"/>
      <c r="M35" s="8"/>
      <c r="N35" s="8"/>
      <c r="O35" s="13"/>
      <c r="P35" s="8"/>
      <c r="Q35" s="8"/>
      <c r="R35" s="8"/>
      <c r="S35" s="8"/>
      <c r="T35" s="8"/>
    </row>
    <row r="36" spans="1:20">
      <c r="A36" s="101"/>
      <c r="B36"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36" s="19" t="s">
        <v>51</v>
      </c>
      <c r="D36" s="19" t="s">
        <v>21</v>
      </c>
      <c r="E36" s="19" t="s">
        <v>55</v>
      </c>
      <c r="F36" s="20" t="s">
        <v>155</v>
      </c>
      <c r="G36" s="20" t="s">
        <v>149</v>
      </c>
      <c r="H36" s="20" t="s">
        <v>126</v>
      </c>
      <c r="I36" s="100"/>
      <c r="J36" s="100"/>
      <c r="K36" s="8"/>
      <c r="L36" s="8"/>
      <c r="M36" s="8"/>
      <c r="N36" s="8"/>
      <c r="O36" s="13"/>
      <c r="P36" s="8"/>
      <c r="Q36" s="8"/>
      <c r="R36" s="8"/>
      <c r="S36" s="8"/>
      <c r="T36" s="8"/>
    </row>
    <row r="37" spans="1:20" ht="14.5" customHeight="1">
      <c r="A37" s="101"/>
      <c r="B37"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37" s="19" t="s">
        <v>57</v>
      </c>
      <c r="D37" s="19" t="s">
        <v>32</v>
      </c>
      <c r="E37" s="19" t="s">
        <v>65</v>
      </c>
      <c r="F37" s="20"/>
      <c r="G37" s="20"/>
      <c r="H37" s="20"/>
      <c r="I37" s="100"/>
      <c r="J37" s="100"/>
      <c r="K37" s="8"/>
      <c r="L37" s="8"/>
      <c r="M37" s="8"/>
      <c r="N37" s="8"/>
      <c r="O37" s="13"/>
      <c r="P37" s="8"/>
      <c r="Q37" s="8"/>
      <c r="R37" s="8"/>
      <c r="S37" s="8"/>
      <c r="T37" s="8"/>
    </row>
    <row r="38" spans="1:20">
      <c r="A38" s="101"/>
      <c r="B38"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38" s="19" t="s">
        <v>88</v>
      </c>
      <c r="D38" s="19" t="s">
        <v>62</v>
      </c>
      <c r="E38" s="19" t="s">
        <v>29</v>
      </c>
      <c r="F38" s="20" t="s">
        <v>178</v>
      </c>
      <c r="G38" s="20" t="s">
        <v>118</v>
      </c>
      <c r="H38" s="20" t="s">
        <v>136</v>
      </c>
      <c r="I38" s="100"/>
      <c r="J38" s="100"/>
      <c r="K38" s="8"/>
      <c r="L38" s="8"/>
      <c r="M38" s="8"/>
      <c r="N38" s="8"/>
      <c r="O38" s="13"/>
      <c r="P38" s="8"/>
      <c r="Q38" s="8"/>
      <c r="R38" s="8"/>
      <c r="S38" s="8"/>
      <c r="T38" s="8"/>
    </row>
    <row r="39" spans="1:20" ht="14.5" customHeight="1">
      <c r="A39" s="101"/>
      <c r="B39"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39" s="19" t="s">
        <v>25</v>
      </c>
      <c r="D39" s="19" t="s">
        <v>20</v>
      </c>
      <c r="E39" s="19" t="s">
        <v>85</v>
      </c>
      <c r="F39" s="20"/>
      <c r="G39" s="20"/>
      <c r="H39" s="20"/>
      <c r="I39" s="100"/>
      <c r="J39" s="100"/>
      <c r="K39" s="8"/>
      <c r="L39" s="8"/>
      <c r="M39" s="8"/>
      <c r="N39" s="8"/>
      <c r="O39" s="13"/>
      <c r="P39" s="8"/>
      <c r="Q39" s="8"/>
      <c r="R39" s="8"/>
      <c r="S39" s="8"/>
      <c r="T39" s="8"/>
    </row>
    <row r="40" spans="1:20">
      <c r="A40" s="101"/>
      <c r="B40"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40" s="19" t="s">
        <v>90</v>
      </c>
      <c r="D40" s="19" t="s">
        <v>79</v>
      </c>
      <c r="E40" s="19" t="s">
        <v>70</v>
      </c>
      <c r="F40" s="20" t="s">
        <v>217</v>
      </c>
      <c r="G40" s="20" t="s">
        <v>140</v>
      </c>
      <c r="H40" s="20" t="s">
        <v>119</v>
      </c>
      <c r="I40" s="100"/>
      <c r="J40" s="100"/>
      <c r="K40" s="8"/>
      <c r="L40" s="8"/>
      <c r="M40" s="8"/>
      <c r="N40" s="8"/>
      <c r="O40" s="13"/>
      <c r="P40" s="8"/>
      <c r="Q40" s="8"/>
      <c r="R40" s="8"/>
      <c r="S40" s="8"/>
      <c r="T40" s="8"/>
    </row>
    <row r="41" spans="1:20">
      <c r="A41" s="101"/>
      <c r="B41"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41" s="19" t="s">
        <v>58</v>
      </c>
      <c r="D41" s="19" t="s">
        <v>81</v>
      </c>
      <c r="E41" s="19"/>
      <c r="F41" s="20"/>
      <c r="G41" s="20"/>
      <c r="H41" s="20"/>
      <c r="I41" s="100"/>
      <c r="J41" s="100"/>
      <c r="K41" s="8"/>
      <c r="L41" s="8"/>
      <c r="M41" s="8"/>
      <c r="N41" s="8"/>
      <c r="O41" s="13"/>
      <c r="P41" s="8"/>
      <c r="Q41" s="8"/>
      <c r="R41" s="8"/>
      <c r="S41" s="8"/>
      <c r="T41" s="8"/>
    </row>
    <row r="42" spans="1:20" ht="14.5" customHeight="1">
      <c r="A42" s="101"/>
      <c r="B42"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42" s="19" t="s">
        <v>67</v>
      </c>
      <c r="D42" s="19" t="s">
        <v>30</v>
      </c>
      <c r="E42" s="19" t="s">
        <v>95</v>
      </c>
      <c r="F42" s="20"/>
      <c r="G42" s="20"/>
      <c r="H42" s="20"/>
      <c r="I42" s="100"/>
      <c r="J42" s="100"/>
      <c r="K42" s="8"/>
      <c r="L42" s="8"/>
      <c r="M42" s="8"/>
      <c r="N42" s="8"/>
      <c r="O42" s="13"/>
      <c r="P42" s="8"/>
      <c r="Q42" s="8"/>
      <c r="R42" s="8"/>
      <c r="S42" s="8"/>
      <c r="T42" s="8"/>
    </row>
    <row r="43" spans="1:20">
      <c r="A43" s="101"/>
      <c r="B43" s="17"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43" s="19"/>
      <c r="D43" s="19"/>
      <c r="E43" s="19"/>
      <c r="F43" s="20"/>
      <c r="G43" s="20"/>
      <c r="H43" s="20"/>
      <c r="I43" s="100"/>
      <c r="J43" s="100"/>
      <c r="K43" s="8"/>
      <c r="L43" s="8"/>
      <c r="M43" s="8"/>
      <c r="N43" s="8"/>
      <c r="O43" s="13"/>
      <c r="P43" s="8"/>
      <c r="Q43" s="8"/>
      <c r="R43" s="8"/>
      <c r="S43" s="8"/>
      <c r="T43" s="8"/>
    </row>
    <row r="44" spans="1:20">
      <c r="A44" s="101" t="s">
        <v>9</v>
      </c>
      <c r="B44"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4" s="19" t="s">
        <v>60</v>
      </c>
      <c r="D44" s="19"/>
      <c r="E44" s="19"/>
      <c r="F44" s="20" t="s">
        <v>165</v>
      </c>
      <c r="G44" s="20" t="s">
        <v>148</v>
      </c>
      <c r="H44" s="20" t="s">
        <v>151</v>
      </c>
      <c r="I44" s="102">
        <f>COUNTIF(C44:H53,"* ضد *")</f>
        <v>38</v>
      </c>
      <c r="J44" s="102">
        <f>I44*2/'ملخص البطولات'!$A$12</f>
        <v>4</v>
      </c>
      <c r="K44" s="8"/>
      <c r="L44" s="8"/>
      <c r="M44" s="8"/>
      <c r="N44" s="8"/>
      <c r="O44" s="13"/>
      <c r="P44" s="8"/>
      <c r="Q44" s="8"/>
      <c r="R44" s="8"/>
      <c r="S44" s="8"/>
      <c r="T44" s="8"/>
    </row>
    <row r="45" spans="1:20">
      <c r="A45" s="101"/>
      <c r="B45"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45" s="19" t="s">
        <v>42</v>
      </c>
      <c r="D45" s="19" t="s">
        <v>37</v>
      </c>
      <c r="E45" s="19" t="s">
        <v>80</v>
      </c>
      <c r="F45" s="20"/>
      <c r="G45" s="20"/>
      <c r="H45" s="20"/>
      <c r="I45" s="102"/>
      <c r="J45" s="102"/>
      <c r="K45" s="8"/>
      <c r="L45" s="8"/>
      <c r="M45" s="8"/>
      <c r="N45" s="8"/>
      <c r="O45" s="13"/>
      <c r="P45" s="8"/>
      <c r="Q45" s="8"/>
      <c r="R45" s="8"/>
      <c r="S45" s="8"/>
      <c r="T45" s="8"/>
    </row>
    <row r="46" spans="1:20" ht="14.5" customHeight="1">
      <c r="A46" s="101"/>
      <c r="B46"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46" s="19" t="s">
        <v>45</v>
      </c>
      <c r="D46" s="19" t="s">
        <v>92</v>
      </c>
      <c r="E46" s="19" t="s">
        <v>44</v>
      </c>
      <c r="F46" s="20" t="s">
        <v>156</v>
      </c>
      <c r="G46" s="20" t="s">
        <v>124</v>
      </c>
      <c r="H46" s="20" t="s">
        <v>163</v>
      </c>
      <c r="I46" s="102"/>
      <c r="J46" s="102"/>
      <c r="K46" s="8"/>
      <c r="L46" s="8"/>
      <c r="M46" s="8"/>
      <c r="N46" s="8"/>
      <c r="O46" s="13"/>
      <c r="P46" s="8"/>
      <c r="Q46" s="8"/>
      <c r="R46" s="8"/>
      <c r="S46" s="8"/>
      <c r="T46" s="8"/>
    </row>
    <row r="47" spans="1:20">
      <c r="A47" s="101"/>
      <c r="B47"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47" s="19" t="s">
        <v>64</v>
      </c>
      <c r="D47" s="19" t="s">
        <v>46</v>
      </c>
      <c r="E47" s="19" t="s">
        <v>66</v>
      </c>
      <c r="F47" s="20"/>
      <c r="G47" s="20"/>
      <c r="H47" s="20"/>
      <c r="I47" s="102"/>
      <c r="J47" s="102"/>
      <c r="K47" s="8"/>
      <c r="L47" s="8"/>
      <c r="M47" s="8"/>
      <c r="N47" s="8"/>
      <c r="O47" s="13"/>
      <c r="P47" s="8"/>
      <c r="Q47" s="8"/>
      <c r="R47" s="8"/>
      <c r="S47" s="8"/>
      <c r="T47" s="8"/>
    </row>
    <row r="48" spans="1:20">
      <c r="A48" s="101"/>
      <c r="B48"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48" s="19" t="s">
        <v>96</v>
      </c>
      <c r="D48" s="19" t="s">
        <v>50</v>
      </c>
      <c r="E48" s="19"/>
      <c r="F48" s="20" t="s">
        <v>155</v>
      </c>
      <c r="G48" s="20" t="s">
        <v>149</v>
      </c>
      <c r="H48" s="20" t="s">
        <v>126</v>
      </c>
      <c r="I48" s="102"/>
      <c r="J48" s="102"/>
      <c r="K48" s="8"/>
      <c r="L48" s="8"/>
      <c r="M48" s="8"/>
      <c r="N48" s="8"/>
      <c r="O48" s="13"/>
      <c r="P48" s="8"/>
      <c r="Q48" s="8"/>
      <c r="R48" s="8"/>
      <c r="S48" s="8"/>
      <c r="T48" s="8"/>
    </row>
    <row r="49" spans="1:20">
      <c r="A49" s="101"/>
      <c r="B49"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49" s="19" t="s">
        <v>75</v>
      </c>
      <c r="D49" s="19" t="s">
        <v>56</v>
      </c>
      <c r="E49" s="19" t="s">
        <v>69</v>
      </c>
      <c r="F49" s="20"/>
      <c r="G49" s="20"/>
      <c r="H49" s="20"/>
      <c r="I49" s="102"/>
      <c r="J49" s="102"/>
      <c r="K49" s="8"/>
      <c r="L49" s="8"/>
      <c r="M49" s="8"/>
      <c r="N49" s="8"/>
      <c r="O49" s="13"/>
      <c r="P49" s="8"/>
      <c r="Q49" s="8"/>
      <c r="R49" s="8"/>
      <c r="S49" s="8"/>
      <c r="T49" s="8"/>
    </row>
    <row r="50" spans="1:20">
      <c r="A50" s="101"/>
      <c r="B50"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50" s="19" t="s">
        <v>71</v>
      </c>
      <c r="D50" s="19" t="s">
        <v>26</v>
      </c>
      <c r="E50" s="19" t="s">
        <v>78</v>
      </c>
      <c r="F50" s="20" t="s">
        <v>178</v>
      </c>
      <c r="G50" s="20" t="s">
        <v>118</v>
      </c>
      <c r="H50" s="20" t="s">
        <v>136</v>
      </c>
      <c r="I50" s="102"/>
      <c r="J50" s="102"/>
      <c r="K50" s="8"/>
      <c r="L50" s="8"/>
      <c r="M50" s="8"/>
      <c r="N50" s="8"/>
      <c r="O50" s="13"/>
      <c r="P50" s="8"/>
      <c r="Q50" s="8"/>
      <c r="R50" s="8"/>
      <c r="S50" s="8"/>
      <c r="T50" s="8"/>
    </row>
    <row r="51" spans="1:20">
      <c r="A51" s="101"/>
      <c r="B51"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51" s="19" t="s">
        <v>34</v>
      </c>
      <c r="D51" s="19" t="s">
        <v>309</v>
      </c>
      <c r="E51" s="19" t="s">
        <v>23</v>
      </c>
      <c r="F51" s="20"/>
      <c r="G51" s="20"/>
      <c r="H51" s="20"/>
      <c r="I51" s="102"/>
      <c r="J51" s="102"/>
      <c r="K51" s="8"/>
      <c r="L51" s="8"/>
      <c r="M51" s="8"/>
      <c r="N51" s="8"/>
      <c r="O51" s="13"/>
      <c r="P51" s="8"/>
      <c r="Q51" s="8"/>
      <c r="R51" s="8"/>
      <c r="S51" s="8"/>
      <c r="T51" s="8"/>
    </row>
    <row r="52" spans="1:20">
      <c r="A52" s="101"/>
      <c r="B52"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52" s="19" t="s">
        <v>48</v>
      </c>
      <c r="D52" s="19" t="s">
        <v>28</v>
      </c>
      <c r="E52" s="19"/>
      <c r="F52" s="20"/>
      <c r="G52" s="20"/>
      <c r="H52" s="20"/>
      <c r="I52" s="102"/>
      <c r="J52" s="102"/>
      <c r="K52" s="8"/>
      <c r="L52" s="8"/>
      <c r="M52" s="8"/>
      <c r="N52" s="8"/>
      <c r="O52" s="13"/>
      <c r="P52" s="8"/>
      <c r="Q52" s="8"/>
      <c r="R52" s="8"/>
      <c r="S52" s="8"/>
      <c r="T52" s="8"/>
    </row>
    <row r="53" spans="1:20">
      <c r="A53" s="101"/>
      <c r="B53" s="1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53" s="19" t="s">
        <v>91</v>
      </c>
      <c r="D53" s="19" t="s">
        <v>49</v>
      </c>
      <c r="E53" s="19" t="s">
        <v>31</v>
      </c>
      <c r="F53" s="20"/>
      <c r="G53" s="20"/>
      <c r="H53" s="20"/>
      <c r="I53" s="102"/>
      <c r="J53" s="102"/>
      <c r="K53" s="8"/>
      <c r="L53" s="8"/>
      <c r="M53" s="8"/>
      <c r="N53" s="8"/>
      <c r="O53" s="13"/>
      <c r="P53" s="8"/>
      <c r="Q53" s="8"/>
      <c r="R53" s="8"/>
      <c r="S53" s="8"/>
      <c r="T53" s="8"/>
    </row>
    <row r="54" spans="1:20">
      <c r="A54" s="101" t="s">
        <v>10</v>
      </c>
      <c r="B54"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54" s="19" t="s">
        <v>27</v>
      </c>
      <c r="D54" s="19"/>
      <c r="E54" s="19"/>
      <c r="F54" s="20" t="s">
        <v>217</v>
      </c>
      <c r="G54" s="20" t="s">
        <v>140</v>
      </c>
      <c r="H54" s="20" t="s">
        <v>119</v>
      </c>
      <c r="I54" s="100">
        <f>COUNTIF(C54:H63,"* ضد *")</f>
        <v>38</v>
      </c>
      <c r="J54" s="100">
        <f>I54*2/'ملخص البطولات'!$A$12</f>
        <v>4</v>
      </c>
      <c r="K54" s="8"/>
      <c r="L54" s="8"/>
      <c r="M54" s="8"/>
      <c r="N54" s="8"/>
      <c r="O54" s="13"/>
      <c r="P54" s="8"/>
      <c r="Q54" s="8"/>
      <c r="R54" s="8"/>
      <c r="S54" s="8"/>
      <c r="T54" s="8"/>
    </row>
    <row r="55" spans="1:20" ht="22" customHeight="1">
      <c r="A55" s="101"/>
      <c r="B55"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5" s="19" t="s">
        <v>24</v>
      </c>
      <c r="D55" s="19" t="s">
        <v>39</v>
      </c>
      <c r="E55" s="19" t="s">
        <v>54</v>
      </c>
      <c r="F55" s="20"/>
      <c r="G55" s="20"/>
      <c r="H55" s="20"/>
      <c r="I55" s="100"/>
      <c r="J55" s="100"/>
      <c r="K55" s="8"/>
      <c r="L55" s="8"/>
      <c r="M55" s="8"/>
      <c r="N55" s="8"/>
      <c r="O55" s="13"/>
      <c r="P55" s="8"/>
      <c r="Q55" s="8"/>
      <c r="R55" s="8"/>
      <c r="S55" s="8"/>
      <c r="T55" s="8"/>
    </row>
    <row r="56" spans="1:20">
      <c r="A56" s="101"/>
      <c r="B56"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56" s="19" t="s">
        <v>43</v>
      </c>
      <c r="D56" s="19" t="s">
        <v>84</v>
      </c>
      <c r="E56" s="19" t="s">
        <v>87</v>
      </c>
      <c r="F56" s="20" t="s">
        <v>165</v>
      </c>
      <c r="G56" s="20" t="s">
        <v>148</v>
      </c>
      <c r="H56" s="20" t="s">
        <v>151</v>
      </c>
      <c r="I56" s="100"/>
      <c r="J56" s="100"/>
      <c r="K56" s="8"/>
      <c r="L56" s="8"/>
      <c r="M56" s="8"/>
      <c r="N56" s="8"/>
      <c r="O56" s="13"/>
      <c r="P56" s="8"/>
      <c r="Q56" s="8"/>
      <c r="R56" s="8"/>
      <c r="S56" s="8"/>
      <c r="T56" s="8"/>
    </row>
    <row r="57" spans="1:20">
      <c r="A57" s="101"/>
      <c r="B57"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57" s="19" t="s">
        <v>63</v>
      </c>
      <c r="D57" s="19" t="s">
        <v>74</v>
      </c>
      <c r="E57" s="19" t="s">
        <v>76</v>
      </c>
      <c r="F57" s="20"/>
      <c r="G57" s="20"/>
      <c r="H57" s="20"/>
      <c r="I57" s="100"/>
      <c r="J57" s="100"/>
      <c r="K57" s="8"/>
      <c r="L57" s="8"/>
      <c r="M57" s="8"/>
      <c r="N57" s="8"/>
      <c r="O57" s="13"/>
      <c r="P57" s="8"/>
      <c r="Q57" s="8"/>
      <c r="R57" s="8"/>
      <c r="S57" s="8"/>
      <c r="T57" s="8"/>
    </row>
    <row r="58" spans="1:20">
      <c r="A58" s="101"/>
      <c r="B58"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58" s="19" t="s">
        <v>22</v>
      </c>
      <c r="D58" s="19" t="s">
        <v>53</v>
      </c>
      <c r="E58" s="19" t="s">
        <v>89</v>
      </c>
      <c r="F58" s="20" t="s">
        <v>156</v>
      </c>
      <c r="G58" s="20" t="s">
        <v>124</v>
      </c>
      <c r="H58" s="20" t="s">
        <v>163</v>
      </c>
      <c r="I58" s="100"/>
      <c r="J58" s="100"/>
      <c r="K58" s="8"/>
      <c r="L58" s="8"/>
      <c r="M58" s="8"/>
      <c r="N58" s="8"/>
      <c r="O58" s="13"/>
      <c r="P58" s="8"/>
      <c r="Q58" s="8"/>
      <c r="R58" s="8"/>
      <c r="S58" s="8"/>
      <c r="T58" s="8"/>
    </row>
    <row r="59" spans="1:20">
      <c r="A59" s="101"/>
      <c r="B59"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59" s="19" t="s">
        <v>61</v>
      </c>
      <c r="D59" s="19" t="s">
        <v>36</v>
      </c>
      <c r="E59" s="19"/>
      <c r="F59" s="20"/>
      <c r="G59" s="20"/>
      <c r="H59" s="20"/>
      <c r="I59" s="100"/>
      <c r="J59" s="100"/>
      <c r="K59" s="8"/>
      <c r="L59" s="8"/>
      <c r="M59" s="8"/>
      <c r="N59" s="8"/>
      <c r="O59" s="13"/>
      <c r="P59" s="8"/>
      <c r="Q59" s="8"/>
      <c r="R59" s="8"/>
      <c r="S59" s="8"/>
      <c r="T59" s="8"/>
    </row>
    <row r="60" spans="1:20">
      <c r="A60" s="101"/>
      <c r="B60"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60" s="19" t="s">
        <v>68</v>
      </c>
      <c r="D60" s="19" t="s">
        <v>38</v>
      </c>
      <c r="E60" s="19" t="s">
        <v>83</v>
      </c>
      <c r="F60" s="20" t="s">
        <v>155</v>
      </c>
      <c r="G60" s="20" t="s">
        <v>149</v>
      </c>
      <c r="H60" s="20" t="s">
        <v>126</v>
      </c>
      <c r="I60" s="100"/>
      <c r="J60" s="100"/>
      <c r="K60" s="8"/>
      <c r="L60" s="8"/>
      <c r="M60" s="8"/>
      <c r="N60" s="8"/>
      <c r="O60" s="13"/>
      <c r="P60" s="8"/>
      <c r="Q60" s="8"/>
      <c r="R60" s="8"/>
      <c r="S60" s="8"/>
      <c r="T60" s="8"/>
    </row>
    <row r="61" spans="1:20">
      <c r="A61" s="101"/>
      <c r="B61"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61" s="19" t="s">
        <v>73</v>
      </c>
      <c r="D61" s="19" t="s">
        <v>77</v>
      </c>
      <c r="E61" s="19" t="s">
        <v>94</v>
      </c>
      <c r="F61" s="20"/>
      <c r="G61" s="20"/>
      <c r="H61" s="20"/>
      <c r="I61" s="100"/>
      <c r="J61" s="100"/>
      <c r="K61" s="8"/>
      <c r="L61" s="8"/>
      <c r="M61" s="8"/>
      <c r="N61" s="8"/>
      <c r="O61" s="13"/>
      <c r="P61" s="8"/>
      <c r="Q61" s="8"/>
      <c r="R61" s="8"/>
      <c r="S61" s="8"/>
      <c r="T61" s="8"/>
    </row>
    <row r="62" spans="1:20">
      <c r="A62" s="101"/>
      <c r="B62"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62" s="19" t="s">
        <v>47</v>
      </c>
      <c r="D62" s="19" t="s">
        <v>59</v>
      </c>
      <c r="E62" s="19"/>
      <c r="F62" s="20"/>
      <c r="G62" s="20"/>
      <c r="H62" s="20"/>
      <c r="I62" s="100"/>
      <c r="J62" s="100"/>
      <c r="K62" s="8"/>
      <c r="L62" s="8"/>
      <c r="M62" s="8"/>
      <c r="N62" s="8"/>
      <c r="O62" s="13"/>
      <c r="P62" s="8"/>
      <c r="Q62" s="8"/>
      <c r="R62" s="8"/>
      <c r="S62" s="8"/>
      <c r="T62" s="8"/>
    </row>
    <row r="63" spans="1:20">
      <c r="A63" s="101"/>
      <c r="B63" s="17"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63" s="19" t="s">
        <v>72</v>
      </c>
      <c r="D63" s="19" t="s">
        <v>41</v>
      </c>
      <c r="E63" s="19" t="s">
        <v>86</v>
      </c>
      <c r="F63" s="20"/>
      <c r="G63" s="20"/>
      <c r="H63" s="20"/>
      <c r="I63" s="100"/>
      <c r="J63" s="100"/>
      <c r="K63" s="8"/>
      <c r="L63" s="8"/>
      <c r="M63" s="8"/>
      <c r="N63" s="8"/>
      <c r="O63" s="13"/>
      <c r="P63" s="8"/>
      <c r="Q63" s="8"/>
      <c r="R63" s="8"/>
      <c r="S63" s="8"/>
      <c r="T63" s="8"/>
    </row>
    <row r="64" spans="1:20">
      <c r="A64" s="101" t="s">
        <v>11</v>
      </c>
      <c r="B64"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64" s="19" t="s">
        <v>88</v>
      </c>
      <c r="D64" s="19" t="s">
        <v>33</v>
      </c>
      <c r="E64" s="19" t="s">
        <v>32</v>
      </c>
      <c r="F64" s="20" t="s">
        <v>178</v>
      </c>
      <c r="G64" s="20" t="s">
        <v>118</v>
      </c>
      <c r="H64" s="20" t="s">
        <v>136</v>
      </c>
      <c r="I64" s="102">
        <f>COUNTIF(C64:H73,"* ضد *")</f>
        <v>38</v>
      </c>
      <c r="J64" s="102">
        <f>I64*2/'ملخص البطولات'!$A$12</f>
        <v>4</v>
      </c>
      <c r="K64" s="8"/>
      <c r="L64" s="8"/>
      <c r="M64" s="8"/>
      <c r="N64" s="8"/>
      <c r="O64" s="13"/>
      <c r="P64" s="8"/>
      <c r="Q64" s="8"/>
      <c r="R64" s="8"/>
      <c r="S64" s="8"/>
      <c r="T64" s="8"/>
    </row>
    <row r="65" spans="1:20">
      <c r="A65" s="101"/>
      <c r="B65"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65" s="19" t="s">
        <v>35</v>
      </c>
      <c r="D65" s="19" t="s">
        <v>52</v>
      </c>
      <c r="E65" s="19" t="s">
        <v>82</v>
      </c>
      <c r="F65" s="20"/>
      <c r="G65" s="20"/>
      <c r="H65" s="20"/>
      <c r="I65" s="102"/>
      <c r="J65" s="102"/>
      <c r="K65" s="8"/>
      <c r="L65" s="8"/>
      <c r="M65" s="8"/>
      <c r="N65" s="8"/>
      <c r="O65" s="13"/>
      <c r="P65" s="8"/>
      <c r="Q65" s="8"/>
      <c r="R65" s="8"/>
      <c r="S65" s="8"/>
      <c r="T65" s="8"/>
    </row>
    <row r="66" spans="1:20">
      <c r="A66" s="101"/>
      <c r="B66"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6" s="19" t="s">
        <v>21</v>
      </c>
      <c r="D66" s="19" t="s">
        <v>93</v>
      </c>
      <c r="E66" s="19" t="s">
        <v>40</v>
      </c>
      <c r="F66" s="20" t="s">
        <v>217</v>
      </c>
      <c r="G66" s="20" t="s">
        <v>140</v>
      </c>
      <c r="H66" s="20" t="s">
        <v>119</v>
      </c>
      <c r="I66" s="102"/>
      <c r="J66" s="102"/>
      <c r="K66" s="8"/>
      <c r="L66" s="8"/>
      <c r="M66" s="8"/>
      <c r="N66" s="8"/>
      <c r="O66" s="13"/>
      <c r="P66" s="8"/>
      <c r="Q66" s="8"/>
      <c r="R66" s="8"/>
      <c r="S66" s="8"/>
      <c r="T66" s="8"/>
    </row>
    <row r="67" spans="1:20">
      <c r="A67" s="101"/>
      <c r="B67"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67" s="19" t="s">
        <v>51</v>
      </c>
      <c r="D67" s="19" t="s">
        <v>65</v>
      </c>
      <c r="E67" s="19" t="s">
        <v>55</v>
      </c>
      <c r="F67" s="20"/>
      <c r="G67" s="20"/>
      <c r="H67" s="20"/>
      <c r="I67" s="102"/>
      <c r="J67" s="102"/>
      <c r="K67" s="8"/>
      <c r="L67" s="8"/>
      <c r="M67" s="8"/>
      <c r="N67" s="8"/>
      <c r="O67" s="13"/>
      <c r="P67" s="8"/>
      <c r="Q67" s="8"/>
      <c r="R67" s="8"/>
      <c r="S67" s="8"/>
      <c r="T67" s="8"/>
    </row>
    <row r="68" spans="1:20">
      <c r="A68" s="101"/>
      <c r="B68"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68" s="19" t="s">
        <v>57</v>
      </c>
      <c r="D68" s="19" t="s">
        <v>95</v>
      </c>
      <c r="E68" s="19" t="s">
        <v>67</v>
      </c>
      <c r="F68" s="20" t="s">
        <v>165</v>
      </c>
      <c r="G68" s="20" t="s">
        <v>148</v>
      </c>
      <c r="H68" s="20" t="s">
        <v>151</v>
      </c>
      <c r="I68" s="102"/>
      <c r="J68" s="102"/>
      <c r="K68" s="8"/>
      <c r="L68" s="8"/>
      <c r="M68" s="8"/>
      <c r="N68" s="8"/>
      <c r="O68" s="13"/>
      <c r="P68" s="8"/>
      <c r="Q68" s="8"/>
      <c r="R68" s="8"/>
      <c r="S68" s="8"/>
      <c r="T68" s="8"/>
    </row>
    <row r="69" spans="1:20">
      <c r="A69" s="101"/>
      <c r="B69"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69" s="19" t="s">
        <v>62</v>
      </c>
      <c r="D69" s="19" t="s">
        <v>25</v>
      </c>
      <c r="E69" s="19" t="s">
        <v>70</v>
      </c>
      <c r="F69" s="20"/>
      <c r="G69" s="20"/>
      <c r="H69" s="20"/>
      <c r="I69" s="102"/>
      <c r="J69" s="102"/>
      <c r="K69" s="8"/>
      <c r="L69" s="8"/>
      <c r="M69" s="8"/>
      <c r="N69" s="8"/>
      <c r="O69" s="13"/>
      <c r="P69" s="8"/>
      <c r="Q69" s="8"/>
      <c r="R69" s="8"/>
      <c r="S69" s="8"/>
      <c r="T69" s="8"/>
    </row>
    <row r="70" spans="1:20">
      <c r="A70" s="101"/>
      <c r="B70"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70" s="19" t="s">
        <v>85</v>
      </c>
      <c r="D70" s="19" t="s">
        <v>20</v>
      </c>
      <c r="E70" s="19" t="s">
        <v>79</v>
      </c>
      <c r="F70" s="20" t="s">
        <v>156</v>
      </c>
      <c r="G70" s="20" t="s">
        <v>124</v>
      </c>
      <c r="H70" s="20" t="s">
        <v>163</v>
      </c>
      <c r="I70" s="102"/>
      <c r="J70" s="102"/>
      <c r="K70" s="8"/>
      <c r="L70" s="8"/>
      <c r="M70" s="8"/>
      <c r="N70" s="8"/>
      <c r="O70" s="13"/>
      <c r="P70" s="8"/>
      <c r="Q70" s="8"/>
      <c r="R70" s="8"/>
      <c r="S70" s="8"/>
      <c r="T70" s="8"/>
    </row>
    <row r="71" spans="1:20">
      <c r="A71" s="101"/>
      <c r="B71"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71" s="19" t="s">
        <v>90</v>
      </c>
      <c r="D71" s="19" t="s">
        <v>58</v>
      </c>
      <c r="E71" s="19"/>
      <c r="F71" s="20"/>
      <c r="G71" s="20"/>
      <c r="H71" s="20"/>
      <c r="I71" s="102"/>
      <c r="J71" s="102"/>
      <c r="K71" s="8"/>
      <c r="L71" s="8"/>
      <c r="M71" s="8"/>
      <c r="N71" s="8"/>
      <c r="O71" s="13"/>
      <c r="P71" s="8"/>
      <c r="Q71" s="8"/>
      <c r="R71" s="8"/>
      <c r="S71" s="8"/>
      <c r="T71" s="8"/>
    </row>
    <row r="72" spans="1:20">
      <c r="A72" s="101"/>
      <c r="B72"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72" s="19" t="s">
        <v>30</v>
      </c>
      <c r="D72" s="19" t="s">
        <v>29</v>
      </c>
      <c r="E72" s="19" t="s">
        <v>81</v>
      </c>
      <c r="F72" s="20"/>
      <c r="G72" s="20"/>
      <c r="H72" s="20"/>
      <c r="I72" s="102"/>
      <c r="J72" s="102"/>
      <c r="K72" s="8"/>
      <c r="L72" s="8"/>
      <c r="M72" s="8"/>
      <c r="N72" s="8"/>
      <c r="O72" s="13"/>
      <c r="P72" s="8"/>
      <c r="Q72" s="8"/>
      <c r="R72" s="8"/>
      <c r="S72" s="8"/>
      <c r="T72" s="8"/>
    </row>
    <row r="73" spans="1:20">
      <c r="A73" s="101"/>
      <c r="B73" s="16" t="str">
        <f>MOD(HOUR((المدخلات!$B$4+9*المدخلات!$B$5/1440))-1,12)+1&amp;":"&amp;TEXT(MINUTE((المدخلات!$B$4+9*المدخلات!$B$5/1440)),"00")&amp;"–"&amp;MOD(HOUR((المدخلات!$B$4+9*المدخلات!$B$5/1440+المدخلات!$B$5/1440))-1,12)+1&amp;":"&amp;TEXT(MINUTE((المدخلات!$B$4+9*المدخلات!$B$5/1440+المدخلات!$B$5/1440)),"00")&amp;IF(HOUR((المدخلات!$B$4+9*المدخلات!$B$5/1440))&lt;12," ص"," م")</f>
        <v>7:15–7:30 م</v>
      </c>
      <c r="C73" s="19"/>
      <c r="D73" s="19"/>
      <c r="E73" s="19"/>
      <c r="F73" s="20"/>
      <c r="G73" s="20"/>
      <c r="H73" s="20"/>
      <c r="I73" s="102"/>
      <c r="J73" s="102"/>
      <c r="K73" s="8"/>
      <c r="L73" s="8"/>
      <c r="M73" s="8"/>
      <c r="N73" s="8"/>
      <c r="O73" s="13"/>
      <c r="P73" s="8"/>
      <c r="Q73" s="8"/>
      <c r="R73" s="8"/>
      <c r="S73" s="8"/>
      <c r="T73" s="8"/>
    </row>
    <row r="74" spans="1:20">
      <c r="A74" s="8"/>
      <c r="B74" s="8"/>
      <c r="C74" s="8"/>
      <c r="D74" s="8"/>
      <c r="E74" s="8"/>
      <c r="F74" s="8"/>
      <c r="G74" s="8"/>
      <c r="H74" s="8"/>
      <c r="I74" s="8"/>
      <c r="J74" s="8"/>
      <c r="K74" s="8"/>
      <c r="L74" s="8"/>
      <c r="M74" s="8"/>
      <c r="N74" s="8"/>
      <c r="O74" s="13"/>
      <c r="P74" s="8"/>
      <c r="Q74" s="8"/>
      <c r="R74" s="8"/>
      <c r="S74" s="8"/>
      <c r="T74" s="8"/>
    </row>
    <row r="75" spans="1:20">
      <c r="A75" s="8"/>
      <c r="B75" s="8"/>
      <c r="C75" s="8"/>
      <c r="D75" s="8"/>
      <c r="E75" s="8"/>
      <c r="F75" s="8"/>
      <c r="G75" s="8"/>
      <c r="H75" s="8"/>
      <c r="I75" s="8"/>
      <c r="J75" s="8"/>
      <c r="K75" s="8"/>
      <c r="L75" s="8"/>
      <c r="M75" s="8"/>
      <c r="N75" s="8"/>
      <c r="O75" s="13"/>
      <c r="P75" s="8"/>
      <c r="Q75" s="8"/>
      <c r="R75" s="8"/>
      <c r="S75" s="8"/>
      <c r="T75" s="8"/>
    </row>
    <row r="76" spans="1:20">
      <c r="A76" s="103" t="s">
        <v>271</v>
      </c>
      <c r="B76" s="99"/>
      <c r="C76" s="99"/>
      <c r="D76" s="99"/>
      <c r="E76" s="99"/>
      <c r="F76" s="99"/>
      <c r="G76" s="99"/>
      <c r="H76" s="99"/>
      <c r="I76" s="99"/>
      <c r="J76" s="99"/>
      <c r="K76" s="99"/>
      <c r="L76" s="99"/>
      <c r="M76" s="99"/>
      <c r="N76" s="99"/>
      <c r="O76" s="99"/>
      <c r="P76" s="99"/>
      <c r="Q76" s="99"/>
      <c r="R76" s="99"/>
      <c r="S76" s="99"/>
      <c r="T76" s="99"/>
    </row>
    <row r="77" spans="1:20">
      <c r="A77" s="10" t="s">
        <v>272</v>
      </c>
      <c r="B77" s="10">
        <v>1</v>
      </c>
      <c r="C77" s="10">
        <v>2</v>
      </c>
      <c r="D77" s="10">
        <v>3</v>
      </c>
      <c r="E77" s="10">
        <v>4</v>
      </c>
      <c r="F77" s="10">
        <v>5</v>
      </c>
      <c r="G77" s="10">
        <v>6</v>
      </c>
      <c r="H77" s="23">
        <v>7</v>
      </c>
      <c r="I77" s="23">
        <v>8</v>
      </c>
      <c r="J77" s="23">
        <v>9</v>
      </c>
      <c r="K77" s="23">
        <v>10</v>
      </c>
      <c r="L77" s="23">
        <v>11</v>
      </c>
      <c r="M77" s="23">
        <v>12</v>
      </c>
      <c r="N77" s="23">
        <v>13</v>
      </c>
      <c r="O77" s="23">
        <v>14</v>
      </c>
      <c r="P77" s="10">
        <v>15</v>
      </c>
      <c r="Q77" s="10">
        <v>16</v>
      </c>
      <c r="R77" s="10">
        <v>17</v>
      </c>
      <c r="S77" s="10">
        <v>18</v>
      </c>
      <c r="T77" s="10">
        <v>19</v>
      </c>
    </row>
    <row r="78" spans="1:20">
      <c r="A78" s="10">
        <v>1</v>
      </c>
      <c r="B78" s="11" t="str">
        <f t="shared" ref="B78:K87" si="0">IF($A78=B$77,"",COUNTIF($C$4:$H$73,$A78&amp;" ضد "&amp;B$77)+COUNTIF($C$4:$H$73,B$77&amp;" ضد "&amp;$A78))</f>
        <v/>
      </c>
      <c r="C78" s="11">
        <f t="shared" si="0"/>
        <v>3</v>
      </c>
      <c r="D78" s="11">
        <f t="shared" si="0"/>
        <v>3</v>
      </c>
      <c r="E78" s="11">
        <f t="shared" si="0"/>
        <v>2</v>
      </c>
      <c r="F78" s="11">
        <f t="shared" si="0"/>
        <v>2</v>
      </c>
      <c r="G78" s="11">
        <f t="shared" si="0"/>
        <v>2</v>
      </c>
      <c r="H78" s="11">
        <f t="shared" si="0"/>
        <v>2</v>
      </c>
      <c r="I78" s="11">
        <f t="shared" si="0"/>
        <v>2</v>
      </c>
      <c r="J78" s="11">
        <f t="shared" si="0"/>
        <v>2</v>
      </c>
      <c r="K78" s="11">
        <f t="shared" si="0"/>
        <v>2</v>
      </c>
      <c r="L78" s="11">
        <f t="shared" ref="L78:T87" si="1">IF($A78=L$77,"",COUNTIF($C$4:$H$73,$A78&amp;" ضد "&amp;L$77)+COUNTIF($C$4:$H$73,L$77&amp;" ضد "&amp;$A78))</f>
        <v>2</v>
      </c>
      <c r="M78" s="11">
        <f t="shared" si="1"/>
        <v>3</v>
      </c>
      <c r="N78" s="11">
        <f t="shared" si="1"/>
        <v>3</v>
      </c>
      <c r="O78" s="11">
        <f t="shared" si="1"/>
        <v>0</v>
      </c>
      <c r="P78" s="11">
        <f t="shared" si="1"/>
        <v>0</v>
      </c>
      <c r="Q78" s="11">
        <f t="shared" si="1"/>
        <v>0</v>
      </c>
      <c r="R78" s="11">
        <f t="shared" si="1"/>
        <v>0</v>
      </c>
      <c r="S78" s="11">
        <f t="shared" si="1"/>
        <v>0</v>
      </c>
      <c r="T78" s="11">
        <f t="shared" si="1"/>
        <v>0</v>
      </c>
    </row>
    <row r="79" spans="1:20">
      <c r="A79" s="10">
        <v>2</v>
      </c>
      <c r="B79" s="11">
        <f t="shared" si="0"/>
        <v>3</v>
      </c>
      <c r="C79" s="11" t="str">
        <f t="shared" si="0"/>
        <v/>
      </c>
      <c r="D79" s="11">
        <f t="shared" si="0"/>
        <v>3</v>
      </c>
      <c r="E79" s="11">
        <f t="shared" si="0"/>
        <v>3</v>
      </c>
      <c r="F79" s="11">
        <f t="shared" si="0"/>
        <v>2</v>
      </c>
      <c r="G79" s="11">
        <f t="shared" si="0"/>
        <v>2</v>
      </c>
      <c r="H79" s="11">
        <f t="shared" si="0"/>
        <v>2</v>
      </c>
      <c r="I79" s="11">
        <f t="shared" si="0"/>
        <v>2</v>
      </c>
      <c r="J79" s="11">
        <f t="shared" si="0"/>
        <v>2</v>
      </c>
      <c r="K79" s="11">
        <f t="shared" si="0"/>
        <v>2</v>
      </c>
      <c r="L79" s="11">
        <f t="shared" si="1"/>
        <v>2</v>
      </c>
      <c r="M79" s="11">
        <f t="shared" si="1"/>
        <v>2</v>
      </c>
      <c r="N79" s="11">
        <f t="shared" si="1"/>
        <v>3</v>
      </c>
      <c r="O79" s="11">
        <f t="shared" si="1"/>
        <v>0</v>
      </c>
      <c r="P79" s="11">
        <f t="shared" si="1"/>
        <v>0</v>
      </c>
      <c r="Q79" s="11">
        <f t="shared" si="1"/>
        <v>0</v>
      </c>
      <c r="R79" s="11">
        <f t="shared" si="1"/>
        <v>0</v>
      </c>
      <c r="S79" s="11">
        <f t="shared" si="1"/>
        <v>0</v>
      </c>
      <c r="T79" s="11">
        <f t="shared" si="1"/>
        <v>0</v>
      </c>
    </row>
    <row r="80" spans="1:20">
      <c r="A80" s="10">
        <v>3</v>
      </c>
      <c r="B80" s="11">
        <f t="shared" si="0"/>
        <v>3</v>
      </c>
      <c r="C80" s="11">
        <f t="shared" si="0"/>
        <v>3</v>
      </c>
      <c r="D80" s="11" t="str">
        <f t="shared" si="0"/>
        <v/>
      </c>
      <c r="E80" s="11">
        <f t="shared" si="0"/>
        <v>3</v>
      </c>
      <c r="F80" s="11">
        <f t="shared" si="0"/>
        <v>3</v>
      </c>
      <c r="G80" s="11">
        <f t="shared" si="0"/>
        <v>2</v>
      </c>
      <c r="H80" s="11">
        <f t="shared" si="0"/>
        <v>2</v>
      </c>
      <c r="I80" s="11">
        <f t="shared" si="0"/>
        <v>2</v>
      </c>
      <c r="J80" s="11">
        <f t="shared" si="0"/>
        <v>2</v>
      </c>
      <c r="K80" s="11">
        <f t="shared" si="0"/>
        <v>2</v>
      </c>
      <c r="L80" s="11">
        <f t="shared" si="1"/>
        <v>2</v>
      </c>
      <c r="M80" s="11">
        <f t="shared" si="1"/>
        <v>2</v>
      </c>
      <c r="N80" s="11">
        <f t="shared" si="1"/>
        <v>2</v>
      </c>
      <c r="O80" s="11">
        <f t="shared" si="1"/>
        <v>0</v>
      </c>
      <c r="P80" s="11">
        <f t="shared" si="1"/>
        <v>0</v>
      </c>
      <c r="Q80" s="11">
        <f t="shared" si="1"/>
        <v>0</v>
      </c>
      <c r="R80" s="11">
        <f t="shared" si="1"/>
        <v>0</v>
      </c>
      <c r="S80" s="11">
        <f t="shared" si="1"/>
        <v>0</v>
      </c>
      <c r="T80" s="11">
        <f t="shared" si="1"/>
        <v>0</v>
      </c>
    </row>
    <row r="81" spans="1:20">
      <c r="A81" s="10">
        <v>4</v>
      </c>
      <c r="B81" s="11">
        <f t="shared" si="0"/>
        <v>2</v>
      </c>
      <c r="C81" s="11">
        <f t="shared" si="0"/>
        <v>3</v>
      </c>
      <c r="D81" s="11">
        <f t="shared" si="0"/>
        <v>3</v>
      </c>
      <c r="E81" s="11" t="str">
        <f t="shared" si="0"/>
        <v/>
      </c>
      <c r="F81" s="11">
        <f t="shared" si="0"/>
        <v>3</v>
      </c>
      <c r="G81" s="11">
        <f t="shared" si="0"/>
        <v>3</v>
      </c>
      <c r="H81" s="11">
        <f t="shared" si="0"/>
        <v>2</v>
      </c>
      <c r="I81" s="11">
        <f t="shared" si="0"/>
        <v>2</v>
      </c>
      <c r="J81" s="11">
        <f t="shared" si="0"/>
        <v>2</v>
      </c>
      <c r="K81" s="11">
        <f t="shared" si="0"/>
        <v>2</v>
      </c>
      <c r="L81" s="11">
        <f t="shared" si="1"/>
        <v>2</v>
      </c>
      <c r="M81" s="11">
        <f t="shared" si="1"/>
        <v>2</v>
      </c>
      <c r="N81" s="11">
        <f t="shared" si="1"/>
        <v>2</v>
      </c>
      <c r="O81" s="11">
        <f t="shared" si="1"/>
        <v>0</v>
      </c>
      <c r="P81" s="11">
        <f t="shared" si="1"/>
        <v>0</v>
      </c>
      <c r="Q81" s="11">
        <f t="shared" si="1"/>
        <v>0</v>
      </c>
      <c r="R81" s="11">
        <f t="shared" si="1"/>
        <v>0</v>
      </c>
      <c r="S81" s="11">
        <f t="shared" si="1"/>
        <v>0</v>
      </c>
      <c r="T81" s="11">
        <f t="shared" si="1"/>
        <v>0</v>
      </c>
    </row>
    <row r="82" spans="1:20">
      <c r="A82" s="10">
        <v>5</v>
      </c>
      <c r="B82" s="11">
        <f t="shared" si="0"/>
        <v>2</v>
      </c>
      <c r="C82" s="11">
        <f t="shared" si="0"/>
        <v>2</v>
      </c>
      <c r="D82" s="11">
        <f t="shared" si="0"/>
        <v>3</v>
      </c>
      <c r="E82" s="11">
        <f t="shared" si="0"/>
        <v>3</v>
      </c>
      <c r="F82" s="11" t="str">
        <f t="shared" si="0"/>
        <v/>
      </c>
      <c r="G82" s="11">
        <f t="shared" si="0"/>
        <v>3</v>
      </c>
      <c r="H82" s="11">
        <f t="shared" si="0"/>
        <v>3</v>
      </c>
      <c r="I82" s="11">
        <f t="shared" si="0"/>
        <v>2</v>
      </c>
      <c r="J82" s="11">
        <f t="shared" si="0"/>
        <v>2</v>
      </c>
      <c r="K82" s="11">
        <f t="shared" si="0"/>
        <v>2</v>
      </c>
      <c r="L82" s="11">
        <f t="shared" si="1"/>
        <v>2</v>
      </c>
      <c r="M82" s="11">
        <f t="shared" si="1"/>
        <v>2</v>
      </c>
      <c r="N82" s="11">
        <f t="shared" si="1"/>
        <v>2</v>
      </c>
      <c r="O82" s="11">
        <f t="shared" si="1"/>
        <v>0</v>
      </c>
      <c r="P82" s="11">
        <f t="shared" si="1"/>
        <v>0</v>
      </c>
      <c r="Q82" s="11">
        <f t="shared" si="1"/>
        <v>0</v>
      </c>
      <c r="R82" s="11">
        <f t="shared" si="1"/>
        <v>0</v>
      </c>
      <c r="S82" s="11">
        <f t="shared" si="1"/>
        <v>0</v>
      </c>
      <c r="T82" s="11">
        <f t="shared" si="1"/>
        <v>0</v>
      </c>
    </row>
    <row r="83" spans="1:20">
      <c r="A83" s="10">
        <v>6</v>
      </c>
      <c r="B83" s="11">
        <f t="shared" si="0"/>
        <v>2</v>
      </c>
      <c r="C83" s="11">
        <f t="shared" si="0"/>
        <v>2</v>
      </c>
      <c r="D83" s="11">
        <f t="shared" si="0"/>
        <v>2</v>
      </c>
      <c r="E83" s="11">
        <f t="shared" si="0"/>
        <v>3</v>
      </c>
      <c r="F83" s="11">
        <f t="shared" si="0"/>
        <v>3</v>
      </c>
      <c r="G83" s="11" t="str">
        <f t="shared" si="0"/>
        <v/>
      </c>
      <c r="H83" s="11">
        <f t="shared" si="0"/>
        <v>3</v>
      </c>
      <c r="I83" s="11">
        <f t="shared" si="0"/>
        <v>3</v>
      </c>
      <c r="J83" s="11">
        <f t="shared" si="0"/>
        <v>2</v>
      </c>
      <c r="K83" s="11">
        <f t="shared" si="0"/>
        <v>2</v>
      </c>
      <c r="L83" s="11">
        <f t="shared" si="1"/>
        <v>2</v>
      </c>
      <c r="M83" s="11">
        <f t="shared" si="1"/>
        <v>2</v>
      </c>
      <c r="N83" s="11">
        <f t="shared" si="1"/>
        <v>2</v>
      </c>
      <c r="O83" s="11">
        <f t="shared" si="1"/>
        <v>0</v>
      </c>
      <c r="P83" s="11">
        <f t="shared" si="1"/>
        <v>0</v>
      </c>
      <c r="Q83" s="11">
        <f t="shared" si="1"/>
        <v>0</v>
      </c>
      <c r="R83" s="11">
        <f t="shared" si="1"/>
        <v>0</v>
      </c>
      <c r="S83" s="11">
        <f t="shared" si="1"/>
        <v>0</v>
      </c>
      <c r="T83" s="11">
        <f t="shared" si="1"/>
        <v>0</v>
      </c>
    </row>
    <row r="84" spans="1:20">
      <c r="A84" s="10">
        <v>7</v>
      </c>
      <c r="B84" s="11">
        <f t="shared" si="0"/>
        <v>2</v>
      </c>
      <c r="C84" s="11">
        <f t="shared" si="0"/>
        <v>2</v>
      </c>
      <c r="D84" s="11">
        <f t="shared" si="0"/>
        <v>2</v>
      </c>
      <c r="E84" s="11">
        <f t="shared" si="0"/>
        <v>2</v>
      </c>
      <c r="F84" s="11">
        <f t="shared" si="0"/>
        <v>3</v>
      </c>
      <c r="G84" s="11">
        <f t="shared" si="0"/>
        <v>3</v>
      </c>
      <c r="H84" s="11" t="str">
        <f t="shared" si="0"/>
        <v/>
      </c>
      <c r="I84" s="11">
        <f t="shared" si="0"/>
        <v>3</v>
      </c>
      <c r="J84" s="11">
        <f t="shared" si="0"/>
        <v>3</v>
      </c>
      <c r="K84" s="11">
        <f t="shared" si="0"/>
        <v>2</v>
      </c>
      <c r="L84" s="11">
        <f t="shared" si="1"/>
        <v>2</v>
      </c>
      <c r="M84" s="11">
        <f t="shared" si="1"/>
        <v>2</v>
      </c>
      <c r="N84" s="11">
        <f t="shared" si="1"/>
        <v>2</v>
      </c>
      <c r="O84" s="11">
        <f t="shared" si="1"/>
        <v>0</v>
      </c>
      <c r="P84" s="11">
        <f t="shared" si="1"/>
        <v>0</v>
      </c>
      <c r="Q84" s="11">
        <f t="shared" si="1"/>
        <v>0</v>
      </c>
      <c r="R84" s="11">
        <f t="shared" si="1"/>
        <v>0</v>
      </c>
      <c r="S84" s="11">
        <f t="shared" si="1"/>
        <v>0</v>
      </c>
      <c r="T84" s="11">
        <f t="shared" si="1"/>
        <v>0</v>
      </c>
    </row>
    <row r="85" spans="1:20">
      <c r="A85" s="10">
        <v>8</v>
      </c>
      <c r="B85" s="11">
        <f t="shared" si="0"/>
        <v>2</v>
      </c>
      <c r="C85" s="11">
        <f t="shared" si="0"/>
        <v>2</v>
      </c>
      <c r="D85" s="11">
        <f t="shared" si="0"/>
        <v>2</v>
      </c>
      <c r="E85" s="11">
        <f t="shared" si="0"/>
        <v>2</v>
      </c>
      <c r="F85" s="11">
        <f t="shared" si="0"/>
        <v>2</v>
      </c>
      <c r="G85" s="11">
        <f t="shared" si="0"/>
        <v>3</v>
      </c>
      <c r="H85" s="11">
        <f t="shared" si="0"/>
        <v>3</v>
      </c>
      <c r="I85" s="11" t="str">
        <f t="shared" si="0"/>
        <v/>
      </c>
      <c r="J85" s="11">
        <f t="shared" si="0"/>
        <v>3</v>
      </c>
      <c r="K85" s="11">
        <f t="shared" si="0"/>
        <v>3</v>
      </c>
      <c r="L85" s="11">
        <f t="shared" si="1"/>
        <v>2</v>
      </c>
      <c r="M85" s="11">
        <f t="shared" si="1"/>
        <v>2</v>
      </c>
      <c r="N85" s="11">
        <f t="shared" si="1"/>
        <v>2</v>
      </c>
      <c r="O85" s="11">
        <f t="shared" si="1"/>
        <v>0</v>
      </c>
      <c r="P85" s="11">
        <f t="shared" si="1"/>
        <v>0</v>
      </c>
      <c r="Q85" s="11">
        <f t="shared" si="1"/>
        <v>0</v>
      </c>
      <c r="R85" s="11">
        <f t="shared" si="1"/>
        <v>0</v>
      </c>
      <c r="S85" s="11">
        <f t="shared" si="1"/>
        <v>0</v>
      </c>
      <c r="T85" s="11">
        <f t="shared" si="1"/>
        <v>0</v>
      </c>
    </row>
    <row r="86" spans="1:20">
      <c r="A86" s="10">
        <v>9</v>
      </c>
      <c r="B86" s="11">
        <f t="shared" si="0"/>
        <v>2</v>
      </c>
      <c r="C86" s="11">
        <f t="shared" si="0"/>
        <v>2</v>
      </c>
      <c r="D86" s="11">
        <f t="shared" si="0"/>
        <v>2</v>
      </c>
      <c r="E86" s="11">
        <f t="shared" si="0"/>
        <v>2</v>
      </c>
      <c r="F86" s="11">
        <f t="shared" si="0"/>
        <v>2</v>
      </c>
      <c r="G86" s="11">
        <f t="shared" si="0"/>
        <v>2</v>
      </c>
      <c r="H86" s="11">
        <f t="shared" si="0"/>
        <v>3</v>
      </c>
      <c r="I86" s="11">
        <f t="shared" si="0"/>
        <v>3</v>
      </c>
      <c r="J86" s="11" t="str">
        <f t="shared" si="0"/>
        <v/>
      </c>
      <c r="K86" s="11">
        <f t="shared" si="0"/>
        <v>3</v>
      </c>
      <c r="L86" s="11">
        <f t="shared" si="1"/>
        <v>3</v>
      </c>
      <c r="M86" s="11">
        <f t="shared" si="1"/>
        <v>2</v>
      </c>
      <c r="N86" s="11">
        <f t="shared" si="1"/>
        <v>2</v>
      </c>
      <c r="O86" s="11">
        <f t="shared" si="1"/>
        <v>0</v>
      </c>
      <c r="P86" s="11">
        <f t="shared" si="1"/>
        <v>0</v>
      </c>
      <c r="Q86" s="11">
        <f t="shared" si="1"/>
        <v>0</v>
      </c>
      <c r="R86" s="11">
        <f t="shared" si="1"/>
        <v>0</v>
      </c>
      <c r="S86" s="11">
        <f t="shared" si="1"/>
        <v>0</v>
      </c>
      <c r="T86" s="11">
        <f t="shared" si="1"/>
        <v>0</v>
      </c>
    </row>
    <row r="87" spans="1:20">
      <c r="A87" s="10">
        <v>10</v>
      </c>
      <c r="B87" s="11">
        <f t="shared" si="0"/>
        <v>2</v>
      </c>
      <c r="C87" s="11">
        <f t="shared" si="0"/>
        <v>2</v>
      </c>
      <c r="D87" s="11">
        <f t="shared" si="0"/>
        <v>2</v>
      </c>
      <c r="E87" s="11">
        <f t="shared" si="0"/>
        <v>2</v>
      </c>
      <c r="F87" s="11">
        <f t="shared" si="0"/>
        <v>2</v>
      </c>
      <c r="G87" s="11">
        <f t="shared" si="0"/>
        <v>2</v>
      </c>
      <c r="H87" s="11">
        <f t="shared" si="0"/>
        <v>2</v>
      </c>
      <c r="I87" s="11">
        <f t="shared" si="0"/>
        <v>3</v>
      </c>
      <c r="J87" s="11">
        <f t="shared" si="0"/>
        <v>3</v>
      </c>
      <c r="K87" s="11" t="str">
        <f t="shared" si="0"/>
        <v/>
      </c>
      <c r="L87" s="11">
        <f t="shared" si="1"/>
        <v>3</v>
      </c>
      <c r="M87" s="11">
        <f t="shared" si="1"/>
        <v>3</v>
      </c>
      <c r="N87" s="11">
        <f t="shared" si="1"/>
        <v>2</v>
      </c>
      <c r="O87" s="11">
        <f t="shared" si="1"/>
        <v>0</v>
      </c>
      <c r="P87" s="11">
        <f t="shared" si="1"/>
        <v>0</v>
      </c>
      <c r="Q87" s="11">
        <f t="shared" si="1"/>
        <v>0</v>
      </c>
      <c r="R87" s="11">
        <f t="shared" si="1"/>
        <v>0</v>
      </c>
      <c r="S87" s="11">
        <f t="shared" si="1"/>
        <v>0</v>
      </c>
      <c r="T87" s="11">
        <f t="shared" si="1"/>
        <v>0</v>
      </c>
    </row>
    <row r="88" spans="1:20">
      <c r="A88" s="10">
        <v>11</v>
      </c>
      <c r="B88" s="11">
        <f t="shared" ref="B88:K96" si="2">IF($A88=B$77,"",COUNTIF($C$4:$H$73,$A88&amp;" ضد "&amp;B$77)+COUNTIF($C$4:$H$73,B$77&amp;" ضد "&amp;$A88))</f>
        <v>2</v>
      </c>
      <c r="C88" s="11">
        <f t="shared" si="2"/>
        <v>2</v>
      </c>
      <c r="D88" s="11">
        <f t="shared" si="2"/>
        <v>2</v>
      </c>
      <c r="E88" s="11">
        <f t="shared" si="2"/>
        <v>2</v>
      </c>
      <c r="F88" s="11">
        <f t="shared" si="2"/>
        <v>2</v>
      </c>
      <c r="G88" s="11">
        <f t="shared" si="2"/>
        <v>2</v>
      </c>
      <c r="H88" s="11">
        <f t="shared" si="2"/>
        <v>2</v>
      </c>
      <c r="I88" s="11">
        <f t="shared" si="2"/>
        <v>2</v>
      </c>
      <c r="J88" s="11">
        <f t="shared" si="2"/>
        <v>3</v>
      </c>
      <c r="K88" s="11">
        <f t="shared" si="2"/>
        <v>3</v>
      </c>
      <c r="L88" s="11" t="str">
        <f t="shared" ref="L88:T96" si="3">IF($A88=L$77,"",COUNTIF($C$4:$H$73,$A88&amp;" ضد "&amp;L$77)+COUNTIF($C$4:$H$73,L$77&amp;" ضد "&amp;$A88))</f>
        <v/>
      </c>
      <c r="M88" s="11">
        <f t="shared" si="3"/>
        <v>3</v>
      </c>
      <c r="N88" s="11">
        <f t="shared" si="3"/>
        <v>3</v>
      </c>
      <c r="O88" s="11">
        <f t="shared" si="3"/>
        <v>0</v>
      </c>
      <c r="P88" s="11">
        <f t="shared" si="3"/>
        <v>0</v>
      </c>
      <c r="Q88" s="11">
        <f t="shared" si="3"/>
        <v>0</v>
      </c>
      <c r="R88" s="11">
        <f t="shared" si="3"/>
        <v>0</v>
      </c>
      <c r="S88" s="11">
        <f t="shared" si="3"/>
        <v>0</v>
      </c>
      <c r="T88" s="11">
        <f t="shared" si="3"/>
        <v>0</v>
      </c>
    </row>
    <row r="89" spans="1:20">
      <c r="A89" s="10">
        <v>12</v>
      </c>
      <c r="B89" s="11">
        <f t="shared" si="2"/>
        <v>3</v>
      </c>
      <c r="C89" s="11">
        <f t="shared" si="2"/>
        <v>2</v>
      </c>
      <c r="D89" s="11">
        <f t="shared" si="2"/>
        <v>2</v>
      </c>
      <c r="E89" s="11">
        <f t="shared" si="2"/>
        <v>2</v>
      </c>
      <c r="F89" s="11">
        <f t="shared" si="2"/>
        <v>2</v>
      </c>
      <c r="G89" s="11">
        <f t="shared" si="2"/>
        <v>2</v>
      </c>
      <c r="H89" s="11">
        <f t="shared" si="2"/>
        <v>2</v>
      </c>
      <c r="I89" s="11">
        <f t="shared" si="2"/>
        <v>2</v>
      </c>
      <c r="J89" s="11">
        <f t="shared" si="2"/>
        <v>2</v>
      </c>
      <c r="K89" s="11">
        <f t="shared" si="2"/>
        <v>3</v>
      </c>
      <c r="L89" s="11">
        <f t="shared" si="3"/>
        <v>3</v>
      </c>
      <c r="M89" s="11" t="str">
        <f t="shared" si="3"/>
        <v/>
      </c>
      <c r="N89" s="11">
        <f t="shared" si="3"/>
        <v>3</v>
      </c>
      <c r="O89" s="11">
        <f t="shared" si="3"/>
        <v>0</v>
      </c>
      <c r="P89" s="11">
        <f t="shared" si="3"/>
        <v>0</v>
      </c>
      <c r="Q89" s="11">
        <f t="shared" si="3"/>
        <v>0</v>
      </c>
      <c r="R89" s="11">
        <f t="shared" si="3"/>
        <v>0</v>
      </c>
      <c r="S89" s="11">
        <f t="shared" si="3"/>
        <v>0</v>
      </c>
      <c r="T89" s="11">
        <f t="shared" si="3"/>
        <v>0</v>
      </c>
    </row>
    <row r="90" spans="1:20">
      <c r="A90" s="10">
        <v>13</v>
      </c>
      <c r="B90" s="11">
        <f t="shared" si="2"/>
        <v>3</v>
      </c>
      <c r="C90" s="11">
        <f t="shared" si="2"/>
        <v>3</v>
      </c>
      <c r="D90" s="11">
        <f t="shared" si="2"/>
        <v>2</v>
      </c>
      <c r="E90" s="11">
        <f t="shared" si="2"/>
        <v>2</v>
      </c>
      <c r="F90" s="11">
        <f t="shared" si="2"/>
        <v>2</v>
      </c>
      <c r="G90" s="11">
        <f t="shared" si="2"/>
        <v>2</v>
      </c>
      <c r="H90" s="11">
        <f t="shared" si="2"/>
        <v>2</v>
      </c>
      <c r="I90" s="11">
        <f t="shared" si="2"/>
        <v>2</v>
      </c>
      <c r="J90" s="11">
        <f t="shared" si="2"/>
        <v>2</v>
      </c>
      <c r="K90" s="11">
        <f t="shared" si="2"/>
        <v>2</v>
      </c>
      <c r="L90" s="11">
        <f t="shared" si="3"/>
        <v>3</v>
      </c>
      <c r="M90" s="11">
        <f t="shared" si="3"/>
        <v>3</v>
      </c>
      <c r="N90" s="11" t="str">
        <f t="shared" si="3"/>
        <v/>
      </c>
      <c r="O90" s="11">
        <f t="shared" si="3"/>
        <v>0</v>
      </c>
      <c r="P90" s="11">
        <f t="shared" si="3"/>
        <v>0</v>
      </c>
      <c r="Q90" s="11">
        <f t="shared" si="3"/>
        <v>0</v>
      </c>
      <c r="R90" s="11">
        <f t="shared" si="3"/>
        <v>0</v>
      </c>
      <c r="S90" s="11">
        <f t="shared" si="3"/>
        <v>0</v>
      </c>
      <c r="T90" s="11">
        <f t="shared" si="3"/>
        <v>0</v>
      </c>
    </row>
    <row r="91" spans="1:20">
      <c r="A91" s="10">
        <v>14</v>
      </c>
      <c r="B91" s="11">
        <f t="shared" si="2"/>
        <v>0</v>
      </c>
      <c r="C91" s="11">
        <f t="shared" si="2"/>
        <v>0</v>
      </c>
      <c r="D91" s="11">
        <f t="shared" si="2"/>
        <v>0</v>
      </c>
      <c r="E91" s="11">
        <f t="shared" si="2"/>
        <v>0</v>
      </c>
      <c r="F91" s="11">
        <f t="shared" si="2"/>
        <v>0</v>
      </c>
      <c r="G91" s="11">
        <f t="shared" si="2"/>
        <v>0</v>
      </c>
      <c r="H91" s="11">
        <f t="shared" si="2"/>
        <v>0</v>
      </c>
      <c r="I91" s="11">
        <f t="shared" si="2"/>
        <v>0</v>
      </c>
      <c r="J91" s="11">
        <f t="shared" si="2"/>
        <v>0</v>
      </c>
      <c r="K91" s="11">
        <f t="shared" si="2"/>
        <v>0</v>
      </c>
      <c r="L91" s="11">
        <f t="shared" si="3"/>
        <v>0</v>
      </c>
      <c r="M91" s="11">
        <f t="shared" si="3"/>
        <v>0</v>
      </c>
      <c r="N91" s="11">
        <f t="shared" si="3"/>
        <v>0</v>
      </c>
      <c r="O91" s="11" t="str">
        <f t="shared" si="3"/>
        <v/>
      </c>
      <c r="P91" s="11">
        <f t="shared" si="3"/>
        <v>5</v>
      </c>
      <c r="Q91" s="11">
        <f t="shared" si="3"/>
        <v>6</v>
      </c>
      <c r="R91" s="11">
        <f t="shared" si="3"/>
        <v>5</v>
      </c>
      <c r="S91" s="11">
        <f t="shared" si="3"/>
        <v>6</v>
      </c>
      <c r="T91" s="11">
        <f t="shared" si="3"/>
        <v>6</v>
      </c>
    </row>
    <row r="92" spans="1:20">
      <c r="A92" s="10">
        <v>15</v>
      </c>
      <c r="B92" s="11">
        <f t="shared" si="2"/>
        <v>0</v>
      </c>
      <c r="C92" s="11">
        <f t="shared" si="2"/>
        <v>0</v>
      </c>
      <c r="D92" s="11">
        <f t="shared" si="2"/>
        <v>0</v>
      </c>
      <c r="E92" s="11">
        <f t="shared" si="2"/>
        <v>0</v>
      </c>
      <c r="F92" s="11">
        <f t="shared" si="2"/>
        <v>0</v>
      </c>
      <c r="G92" s="11">
        <f t="shared" si="2"/>
        <v>0</v>
      </c>
      <c r="H92" s="11">
        <f t="shared" si="2"/>
        <v>0</v>
      </c>
      <c r="I92" s="11">
        <f t="shared" si="2"/>
        <v>0</v>
      </c>
      <c r="J92" s="11">
        <f t="shared" si="2"/>
        <v>0</v>
      </c>
      <c r="K92" s="11">
        <f t="shared" si="2"/>
        <v>0</v>
      </c>
      <c r="L92" s="11">
        <f t="shared" si="3"/>
        <v>0</v>
      </c>
      <c r="M92" s="11">
        <f t="shared" si="3"/>
        <v>0</v>
      </c>
      <c r="N92" s="11">
        <f t="shared" si="3"/>
        <v>0</v>
      </c>
      <c r="O92" s="11">
        <f t="shared" si="3"/>
        <v>5</v>
      </c>
      <c r="P92" s="11" t="str">
        <f t="shared" si="3"/>
        <v/>
      </c>
      <c r="Q92" s="11">
        <f t="shared" si="3"/>
        <v>5</v>
      </c>
      <c r="R92" s="11">
        <f t="shared" si="3"/>
        <v>6</v>
      </c>
      <c r="S92" s="11">
        <f t="shared" si="3"/>
        <v>6</v>
      </c>
      <c r="T92" s="11">
        <f t="shared" si="3"/>
        <v>6</v>
      </c>
    </row>
    <row r="93" spans="1:20">
      <c r="A93" s="10">
        <v>16</v>
      </c>
      <c r="B93" s="11">
        <f t="shared" si="2"/>
        <v>0</v>
      </c>
      <c r="C93" s="11">
        <f t="shared" si="2"/>
        <v>0</v>
      </c>
      <c r="D93" s="11">
        <f t="shared" si="2"/>
        <v>0</v>
      </c>
      <c r="E93" s="11">
        <f t="shared" si="2"/>
        <v>0</v>
      </c>
      <c r="F93" s="11">
        <f t="shared" si="2"/>
        <v>0</v>
      </c>
      <c r="G93" s="11">
        <f t="shared" si="2"/>
        <v>0</v>
      </c>
      <c r="H93" s="11">
        <f t="shared" si="2"/>
        <v>0</v>
      </c>
      <c r="I93" s="11">
        <f t="shared" si="2"/>
        <v>0</v>
      </c>
      <c r="J93" s="11">
        <f t="shared" si="2"/>
        <v>0</v>
      </c>
      <c r="K93" s="11">
        <f t="shared" si="2"/>
        <v>0</v>
      </c>
      <c r="L93" s="11">
        <f t="shared" si="3"/>
        <v>0</v>
      </c>
      <c r="M93" s="11">
        <f t="shared" si="3"/>
        <v>0</v>
      </c>
      <c r="N93" s="11">
        <f t="shared" si="3"/>
        <v>0</v>
      </c>
      <c r="O93" s="11">
        <f t="shared" si="3"/>
        <v>6</v>
      </c>
      <c r="P93" s="11">
        <f t="shared" si="3"/>
        <v>5</v>
      </c>
      <c r="Q93" s="11" t="str">
        <f t="shared" si="3"/>
        <v/>
      </c>
      <c r="R93" s="11">
        <f t="shared" si="3"/>
        <v>6</v>
      </c>
      <c r="S93" s="11">
        <f t="shared" si="3"/>
        <v>5</v>
      </c>
      <c r="T93" s="11">
        <f t="shared" si="3"/>
        <v>6</v>
      </c>
    </row>
    <row r="94" spans="1:20">
      <c r="A94" s="10">
        <v>17</v>
      </c>
      <c r="B94" s="11">
        <f t="shared" si="2"/>
        <v>0</v>
      </c>
      <c r="C94" s="11">
        <f t="shared" si="2"/>
        <v>0</v>
      </c>
      <c r="D94" s="11">
        <f t="shared" si="2"/>
        <v>0</v>
      </c>
      <c r="E94" s="11">
        <f t="shared" si="2"/>
        <v>0</v>
      </c>
      <c r="F94" s="11">
        <f t="shared" si="2"/>
        <v>0</v>
      </c>
      <c r="G94" s="11">
        <f t="shared" si="2"/>
        <v>0</v>
      </c>
      <c r="H94" s="11">
        <f t="shared" si="2"/>
        <v>0</v>
      </c>
      <c r="I94" s="11">
        <f t="shared" si="2"/>
        <v>0</v>
      </c>
      <c r="J94" s="11">
        <f t="shared" si="2"/>
        <v>0</v>
      </c>
      <c r="K94" s="11">
        <f t="shared" si="2"/>
        <v>0</v>
      </c>
      <c r="L94" s="11">
        <f t="shared" si="3"/>
        <v>0</v>
      </c>
      <c r="M94" s="11">
        <f t="shared" si="3"/>
        <v>0</v>
      </c>
      <c r="N94" s="11">
        <f t="shared" si="3"/>
        <v>0</v>
      </c>
      <c r="O94" s="11">
        <f t="shared" si="3"/>
        <v>5</v>
      </c>
      <c r="P94" s="11">
        <f t="shared" si="3"/>
        <v>6</v>
      </c>
      <c r="Q94" s="11">
        <f t="shared" si="3"/>
        <v>6</v>
      </c>
      <c r="R94" s="11" t="str">
        <f t="shared" si="3"/>
        <v/>
      </c>
      <c r="S94" s="11">
        <f t="shared" si="3"/>
        <v>6</v>
      </c>
      <c r="T94" s="11">
        <f t="shared" si="3"/>
        <v>5</v>
      </c>
    </row>
    <row r="95" spans="1:20">
      <c r="A95" s="10">
        <v>18</v>
      </c>
      <c r="B95" s="11">
        <f t="shared" si="2"/>
        <v>0</v>
      </c>
      <c r="C95" s="11">
        <f t="shared" si="2"/>
        <v>0</v>
      </c>
      <c r="D95" s="11">
        <f t="shared" si="2"/>
        <v>0</v>
      </c>
      <c r="E95" s="11">
        <f t="shared" si="2"/>
        <v>0</v>
      </c>
      <c r="F95" s="11">
        <f t="shared" si="2"/>
        <v>0</v>
      </c>
      <c r="G95" s="11">
        <f t="shared" si="2"/>
        <v>0</v>
      </c>
      <c r="H95" s="11">
        <f t="shared" si="2"/>
        <v>0</v>
      </c>
      <c r="I95" s="11">
        <f t="shared" si="2"/>
        <v>0</v>
      </c>
      <c r="J95" s="11">
        <f t="shared" si="2"/>
        <v>0</v>
      </c>
      <c r="K95" s="11">
        <f t="shared" si="2"/>
        <v>0</v>
      </c>
      <c r="L95" s="11">
        <f t="shared" si="3"/>
        <v>0</v>
      </c>
      <c r="M95" s="11">
        <f t="shared" si="3"/>
        <v>0</v>
      </c>
      <c r="N95" s="11">
        <f t="shared" si="3"/>
        <v>0</v>
      </c>
      <c r="O95" s="11">
        <f t="shared" si="3"/>
        <v>6</v>
      </c>
      <c r="P95" s="11">
        <f t="shared" si="3"/>
        <v>6</v>
      </c>
      <c r="Q95" s="11">
        <f t="shared" si="3"/>
        <v>5</v>
      </c>
      <c r="R95" s="11">
        <f t="shared" si="3"/>
        <v>6</v>
      </c>
      <c r="S95" s="11" t="str">
        <f t="shared" si="3"/>
        <v/>
      </c>
      <c r="T95" s="11">
        <f t="shared" si="3"/>
        <v>5</v>
      </c>
    </row>
    <row r="96" spans="1:20">
      <c r="A96" s="10">
        <v>19</v>
      </c>
      <c r="B96" s="11">
        <f t="shared" si="2"/>
        <v>0</v>
      </c>
      <c r="C96" s="11">
        <f t="shared" si="2"/>
        <v>0</v>
      </c>
      <c r="D96" s="11">
        <f t="shared" si="2"/>
        <v>0</v>
      </c>
      <c r="E96" s="11">
        <f t="shared" si="2"/>
        <v>0</v>
      </c>
      <c r="F96" s="11">
        <f t="shared" si="2"/>
        <v>0</v>
      </c>
      <c r="G96" s="11">
        <f t="shared" si="2"/>
        <v>0</v>
      </c>
      <c r="H96" s="11">
        <f t="shared" si="2"/>
        <v>0</v>
      </c>
      <c r="I96" s="11">
        <f t="shared" si="2"/>
        <v>0</v>
      </c>
      <c r="J96" s="11">
        <f t="shared" si="2"/>
        <v>0</v>
      </c>
      <c r="K96" s="11">
        <f t="shared" si="2"/>
        <v>0</v>
      </c>
      <c r="L96" s="11">
        <f t="shared" si="3"/>
        <v>0</v>
      </c>
      <c r="M96" s="11">
        <f t="shared" si="3"/>
        <v>0</v>
      </c>
      <c r="N96" s="11">
        <f t="shared" si="3"/>
        <v>0</v>
      </c>
      <c r="O96" s="11">
        <f t="shared" si="3"/>
        <v>6</v>
      </c>
      <c r="P96" s="11">
        <f t="shared" si="3"/>
        <v>6</v>
      </c>
      <c r="Q96" s="11">
        <f t="shared" si="3"/>
        <v>6</v>
      </c>
      <c r="R96" s="11">
        <f t="shared" si="3"/>
        <v>5</v>
      </c>
      <c r="S96" s="11">
        <f t="shared" si="3"/>
        <v>5</v>
      </c>
      <c r="T96" s="11" t="str">
        <f t="shared" si="3"/>
        <v/>
      </c>
    </row>
    <row r="97" spans="1:20">
      <c r="A97" s="22" t="s">
        <v>289</v>
      </c>
      <c r="B97" s="21" t="str">
        <f>IF(_xlfn.MINIFS(B78:N90,B78:N90,"&gt;0")=MAX(B78:N90),MAX(B78:N90)&amp;"",_xlfn.MINIFS(B78:N90,B78:N90,"&gt;0")&amp;_xlfn.UNICHAR(8206)&amp;"–"&amp;_xlfn.UNICHAR(8206)&amp;MAX(B78:N90))</f>
        <v>2‎–‎3</v>
      </c>
      <c r="C97" s="8"/>
      <c r="D97" s="8"/>
      <c r="E97" s="8"/>
      <c r="F97" s="8"/>
      <c r="G97" s="8"/>
      <c r="H97" s="26"/>
      <c r="I97" s="8"/>
      <c r="J97" s="8"/>
      <c r="K97" s="8"/>
      <c r="L97" s="8"/>
      <c r="M97" s="8"/>
      <c r="N97" s="8"/>
      <c r="O97" s="8"/>
      <c r="P97" s="8"/>
      <c r="Q97" s="8"/>
      <c r="R97" s="8"/>
      <c r="S97" s="8"/>
      <c r="T97" s="8"/>
    </row>
    <row r="98" spans="1:20">
      <c r="A98" s="22" t="s">
        <v>290</v>
      </c>
      <c r="B98" s="21" t="str">
        <f>IF(_xlfn.MINIFS(O91:T96,O91:T96,"&gt;0")=MAX(O91:T96),MAX(O91:T96)&amp;"",_xlfn.MINIFS(O91:T96,O91:T96,"&gt;0")&amp;_xlfn.UNICHAR(8206)&amp;"–"&amp;_xlfn.UNICHAR(8206)&amp;MAX(O91:T96))</f>
        <v>5‎–‎6</v>
      </c>
      <c r="C98" s="8"/>
      <c r="D98" s="8"/>
      <c r="E98" s="8"/>
      <c r="F98" s="8"/>
      <c r="G98" s="8"/>
      <c r="H98" s="26"/>
      <c r="I98" s="8"/>
      <c r="J98" s="8"/>
      <c r="K98" s="8"/>
      <c r="L98" s="8"/>
      <c r="M98" s="8"/>
      <c r="N98" s="8"/>
      <c r="O98" s="8"/>
      <c r="P98" s="8"/>
      <c r="Q98" s="8"/>
      <c r="R98" s="8"/>
      <c r="S98" s="8"/>
      <c r="T98" s="8"/>
    </row>
    <row r="99" spans="1:20">
      <c r="H99" s="4"/>
    </row>
    <row r="100" spans="1:20">
      <c r="H100" s="4"/>
    </row>
    <row r="101" spans="1:20">
      <c r="H101" s="4"/>
    </row>
    <row r="102" spans="1:20">
      <c r="H102" s="4"/>
    </row>
    <row r="103" spans="1:20">
      <c r="H103" s="4"/>
    </row>
    <row r="104" spans="1:20">
      <c r="H104" s="4"/>
    </row>
    <row r="105" spans="1:20">
      <c r="H105" s="4"/>
    </row>
    <row r="106" spans="1:20">
      <c r="H106" s="4"/>
    </row>
    <row r="107" spans="1:20">
      <c r="H107" s="4"/>
    </row>
    <row r="108" spans="1:20">
      <c r="H108" s="4"/>
    </row>
    <row r="109" spans="1:20">
      <c r="H109" s="4"/>
    </row>
    <row r="110" spans="1:20">
      <c r="H110" s="4"/>
    </row>
    <row r="111" spans="1:20">
      <c r="H111" s="4"/>
    </row>
    <row r="112" spans="1:20">
      <c r="H112" s="4"/>
    </row>
    <row r="113" spans="8:8">
      <c r="H113" s="4"/>
    </row>
    <row r="114" spans="8:8">
      <c r="H114" s="4"/>
    </row>
    <row r="115" spans="8:8">
      <c r="H115" s="4"/>
    </row>
    <row r="116" spans="8:8">
      <c r="H116" s="4"/>
    </row>
    <row r="117" spans="8:8">
      <c r="H117" s="4"/>
    </row>
    <row r="118" spans="8:8">
      <c r="H118" s="4"/>
    </row>
    <row r="119" spans="8:8">
      <c r="H119" s="4"/>
    </row>
    <row r="120" spans="8:8">
      <c r="H120" s="4"/>
    </row>
    <row r="121" spans="8:8">
      <c r="H121" s="4"/>
    </row>
    <row r="122" spans="8:8">
      <c r="H122" s="4"/>
    </row>
    <row r="123" spans="8:8">
      <c r="H123" s="4"/>
    </row>
    <row r="124" spans="8:8">
      <c r="H124" s="4"/>
    </row>
    <row r="125" spans="8:8">
      <c r="H125" s="4"/>
    </row>
    <row r="126" spans="8:8">
      <c r="H126" s="4"/>
    </row>
    <row r="127" spans="8:8">
      <c r="H127" s="4"/>
    </row>
    <row r="128" spans="8:8">
      <c r="H128" s="4"/>
    </row>
    <row r="129" spans="8:8">
      <c r="H129" s="4"/>
    </row>
    <row r="130" spans="8:8">
      <c r="H130" s="4"/>
    </row>
    <row r="131" spans="8:8">
      <c r="H131" s="4"/>
    </row>
    <row r="132" spans="8:8">
      <c r="H132" s="4"/>
    </row>
    <row r="133" spans="8:8">
      <c r="H133" s="4"/>
    </row>
    <row r="134" spans="8:8">
      <c r="H134" s="4"/>
    </row>
    <row r="135" spans="8:8">
      <c r="H135" s="4"/>
    </row>
    <row r="136" spans="8:8">
      <c r="H136" s="4"/>
    </row>
    <row r="137" spans="8:8">
      <c r="H137" s="4"/>
    </row>
    <row r="138" spans="8:8">
      <c r="H138" s="4"/>
    </row>
    <row r="139" spans="8:8">
      <c r="H139" s="4"/>
    </row>
    <row r="140" spans="8:8">
      <c r="H140" s="4"/>
    </row>
    <row r="141" spans="8:8">
      <c r="H141" s="4"/>
    </row>
    <row r="142" spans="8:8">
      <c r="H142" s="4"/>
    </row>
    <row r="143" spans="8:8">
      <c r="H143" s="4"/>
    </row>
    <row r="144" spans="8:8">
      <c r="H144" s="4"/>
    </row>
    <row r="145" spans="8:8">
      <c r="H145" s="4"/>
    </row>
    <row r="146" spans="8:8">
      <c r="H146" s="4"/>
    </row>
    <row r="147" spans="8:8">
      <c r="H147" s="4"/>
    </row>
    <row r="148" spans="8:8">
      <c r="H148" s="4"/>
    </row>
    <row r="149" spans="8:8">
      <c r="H149" s="4"/>
    </row>
    <row r="150" spans="8:8">
      <c r="H150" s="4"/>
    </row>
    <row r="151" spans="8:8">
      <c r="H151" s="4"/>
    </row>
    <row r="152" spans="8:8">
      <c r="H152" s="4"/>
    </row>
    <row r="153" spans="8:8">
      <c r="H153" s="4"/>
    </row>
    <row r="154" spans="8:8">
      <c r="H154" s="4"/>
    </row>
    <row r="155" spans="8:8">
      <c r="H155" s="4"/>
    </row>
    <row r="156" spans="8:8">
      <c r="H156" s="4"/>
    </row>
    <row r="157" spans="8:8">
      <c r="H157" s="4"/>
    </row>
    <row r="158" spans="8:8">
      <c r="H158" s="4"/>
    </row>
    <row r="159" spans="8:8">
      <c r="H159" s="4"/>
    </row>
    <row r="160" spans="8:8">
      <c r="H160" s="4"/>
    </row>
    <row r="161" spans="8:8">
      <c r="H161" s="4"/>
    </row>
    <row r="162" spans="8:8">
      <c r="H162" s="4"/>
    </row>
    <row r="163" spans="8:8">
      <c r="H163" s="4"/>
    </row>
    <row r="164" spans="8:8">
      <c r="H164" s="4"/>
    </row>
    <row r="165" spans="8:8">
      <c r="H165" s="4"/>
    </row>
    <row r="166" spans="8:8">
      <c r="H166" s="4"/>
    </row>
    <row r="167" spans="8:8">
      <c r="H167" s="4"/>
    </row>
    <row r="168" spans="8:8">
      <c r="H168" s="4"/>
    </row>
    <row r="169" spans="8:8">
      <c r="H169" s="4"/>
    </row>
    <row r="170" spans="8:8">
      <c r="H170" s="4"/>
    </row>
    <row r="171" spans="8:8">
      <c r="H171" s="4"/>
    </row>
    <row r="172" spans="8:8">
      <c r="H172" s="4"/>
    </row>
    <row r="173" spans="8:8">
      <c r="H173" s="4"/>
    </row>
    <row r="174" spans="8:8">
      <c r="H174" s="4"/>
    </row>
    <row r="175" spans="8:8">
      <c r="H175" s="4"/>
    </row>
    <row r="176" spans="8:8">
      <c r="H176" s="4"/>
    </row>
    <row r="177" spans="8:8">
      <c r="H177" s="4"/>
    </row>
    <row r="178" spans="8:8">
      <c r="H178" s="4"/>
    </row>
    <row r="179" spans="8:8">
      <c r="H179" s="4"/>
    </row>
    <row r="180" spans="8:8">
      <c r="H180" s="4"/>
    </row>
    <row r="181" spans="8:8">
      <c r="H181" s="4"/>
    </row>
    <row r="182" spans="8:8">
      <c r="H182" s="4"/>
    </row>
    <row r="183" spans="8:8">
      <c r="H183" s="4"/>
    </row>
    <row r="184" spans="8:8">
      <c r="H184" s="4"/>
    </row>
    <row r="185" spans="8:8">
      <c r="H185" s="4"/>
    </row>
    <row r="186" spans="8:8">
      <c r="H186" s="4"/>
    </row>
    <row r="187" spans="8:8">
      <c r="H187" s="4"/>
    </row>
    <row r="188" spans="8:8">
      <c r="H188" s="4"/>
    </row>
    <row r="189" spans="8:8">
      <c r="H189" s="4"/>
    </row>
    <row r="190" spans="8:8">
      <c r="H190" s="4"/>
    </row>
    <row r="191" spans="8:8">
      <c r="H191" s="4"/>
    </row>
    <row r="192" spans="8:8">
      <c r="H192" s="4"/>
    </row>
    <row r="193" spans="8:8">
      <c r="H193" s="4"/>
    </row>
    <row r="194" spans="8:8">
      <c r="H194" s="4"/>
    </row>
    <row r="195" spans="8:8">
      <c r="H195" s="4"/>
    </row>
    <row r="196" spans="8:8">
      <c r="H196" s="4"/>
    </row>
    <row r="197" spans="8:8">
      <c r="H197" s="4"/>
    </row>
    <row r="198" spans="8:8">
      <c r="H198" s="4"/>
    </row>
    <row r="199" spans="8:8">
      <c r="H199" s="4"/>
    </row>
  </sheetData>
  <mergeCells count="23">
    <mergeCell ref="A34:A43"/>
    <mergeCell ref="A14:A23"/>
    <mergeCell ref="I14:I23"/>
    <mergeCell ref="J14:J23"/>
    <mergeCell ref="A24:A33"/>
    <mergeCell ref="I24:I33"/>
    <mergeCell ref="J24:J33"/>
    <mergeCell ref="A64:A73"/>
    <mergeCell ref="I64:I73"/>
    <mergeCell ref="J64:J73"/>
    <mergeCell ref="A1:J1"/>
    <mergeCell ref="A76:T76"/>
    <mergeCell ref="I34:I43"/>
    <mergeCell ref="J34:J43"/>
    <mergeCell ref="A44:A53"/>
    <mergeCell ref="I44:I53"/>
    <mergeCell ref="J44:J53"/>
    <mergeCell ref="A54:A63"/>
    <mergeCell ref="I54:I63"/>
    <mergeCell ref="J54:J63"/>
    <mergeCell ref="A4:A13"/>
    <mergeCell ref="I4:I13"/>
    <mergeCell ref="J4:J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431B6-FFA2-4606-A921-839AF823A642}">
  <dimension ref="A1:W199"/>
  <sheetViews>
    <sheetView showGridLines="0" rightToLeft="1" zoomScale="48" workbookViewId="0">
      <pane ySplit="3" topLeftCell="A57" activePane="bottomLeft" state="frozen"/>
      <selection pane="bottomLeft" activeCell="B72" sqref="B72"/>
    </sheetView>
  </sheetViews>
  <sheetFormatPr defaultRowHeight="14.5"/>
  <cols>
    <col min="1" max="1" width="10.54296875" customWidth="1"/>
    <col min="2" max="2" width="17.26953125" customWidth="1"/>
    <col min="3" max="10" width="14.54296875" customWidth="1"/>
    <col min="11" max="12" width="15.453125" customWidth="1"/>
    <col min="13" max="16" width="5.453125" customWidth="1"/>
  </cols>
  <sheetData>
    <row r="1" spans="1:23" ht="26" customHeight="1">
      <c r="A1" s="83" t="s">
        <v>270</v>
      </c>
      <c r="B1" s="83"/>
      <c r="C1" s="83"/>
      <c r="D1" s="83"/>
      <c r="E1" s="83"/>
      <c r="F1" s="83"/>
      <c r="G1" s="83"/>
      <c r="H1" s="83"/>
      <c r="I1" s="83"/>
      <c r="J1" s="83"/>
      <c r="K1" s="83"/>
      <c r="L1" s="83"/>
      <c r="M1" s="8"/>
      <c r="N1" s="8"/>
      <c r="O1" s="13"/>
      <c r="P1" s="8"/>
      <c r="Q1" s="8"/>
      <c r="R1" s="8"/>
      <c r="S1" s="8"/>
      <c r="T1" s="8"/>
      <c r="U1" s="8"/>
      <c r="V1" s="8"/>
      <c r="W1" s="8"/>
    </row>
    <row r="2" spans="1:23" ht="8" customHeight="1">
      <c r="A2" s="8"/>
      <c r="B2" s="8"/>
      <c r="C2" s="8"/>
      <c r="D2" s="8"/>
      <c r="E2" s="8"/>
      <c r="F2" s="8"/>
      <c r="G2" s="8"/>
      <c r="H2" s="8"/>
      <c r="I2" s="8"/>
      <c r="J2" s="8"/>
      <c r="K2" s="8"/>
      <c r="L2" s="8"/>
      <c r="M2" s="8"/>
      <c r="N2" s="8"/>
      <c r="O2" s="13"/>
      <c r="P2" s="8"/>
      <c r="Q2" s="8"/>
      <c r="R2" s="8"/>
      <c r="S2" s="8"/>
      <c r="T2" s="8"/>
      <c r="U2" s="8"/>
      <c r="V2" s="8"/>
      <c r="W2" s="8"/>
    </row>
    <row r="3" spans="1:23" ht="32" customHeight="1">
      <c r="A3" s="25" t="s">
        <v>0</v>
      </c>
      <c r="B3" s="25" t="s">
        <v>1</v>
      </c>
      <c r="C3" s="25" t="s">
        <v>2</v>
      </c>
      <c r="D3" s="25" t="s">
        <v>3</v>
      </c>
      <c r="E3" s="25" t="s">
        <v>4</v>
      </c>
      <c r="F3" s="25" t="s">
        <v>12</v>
      </c>
      <c r="G3" s="25" t="s">
        <v>115</v>
      </c>
      <c r="H3" s="25" t="s">
        <v>197</v>
      </c>
      <c r="I3" s="25" t="s">
        <v>198</v>
      </c>
      <c r="J3" s="25" t="s">
        <v>199</v>
      </c>
      <c r="K3" s="25" t="s">
        <v>263</v>
      </c>
      <c r="L3" s="25" t="s">
        <v>105</v>
      </c>
      <c r="M3" s="8"/>
      <c r="N3" s="8"/>
      <c r="O3" s="13"/>
      <c r="P3" s="8"/>
      <c r="Q3" s="8"/>
      <c r="R3" s="8"/>
      <c r="S3" s="8"/>
      <c r="T3" s="8"/>
      <c r="U3" s="8"/>
      <c r="V3" s="8"/>
      <c r="W3" s="8"/>
    </row>
    <row r="4" spans="1:23" ht="14.5" customHeight="1">
      <c r="A4" s="101" t="s">
        <v>5</v>
      </c>
      <c r="B4"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 s="11" t="s">
        <v>91</v>
      </c>
      <c r="D4" s="11" t="s">
        <v>129</v>
      </c>
      <c r="E4" s="11" t="s">
        <v>168</v>
      </c>
      <c r="F4" s="11" t="s">
        <v>319</v>
      </c>
      <c r="G4" s="11" t="s">
        <v>320</v>
      </c>
      <c r="H4" s="11" t="s">
        <v>184</v>
      </c>
      <c r="I4" s="11" t="s">
        <v>321</v>
      </c>
      <c r="J4" s="11" t="s">
        <v>21</v>
      </c>
      <c r="K4" s="102">
        <f>COUNTIF(C4:J12,"* ضد *")</f>
        <v>44</v>
      </c>
      <c r="L4" s="102">
        <f>K4*2/'ملخص البطولات'!$A$13</f>
        <v>4</v>
      </c>
      <c r="M4" s="8"/>
      <c r="N4" s="8"/>
      <c r="O4" s="13"/>
      <c r="P4" s="8"/>
      <c r="Q4" s="8"/>
      <c r="R4" s="8"/>
      <c r="S4" s="8"/>
      <c r="T4" s="8"/>
      <c r="U4" s="8"/>
      <c r="V4" s="8"/>
      <c r="W4" s="8"/>
    </row>
    <row r="5" spans="1:23">
      <c r="A5" s="101"/>
      <c r="B5"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 s="11" t="s">
        <v>322</v>
      </c>
      <c r="D5" s="11" t="s">
        <v>145</v>
      </c>
      <c r="E5" s="11" t="s">
        <v>323</v>
      </c>
      <c r="F5" s="11"/>
      <c r="G5" s="11"/>
      <c r="H5" s="11"/>
      <c r="I5" s="11"/>
      <c r="J5" s="11"/>
      <c r="K5" s="102"/>
      <c r="L5" s="102"/>
      <c r="M5" s="8"/>
      <c r="N5" s="8"/>
      <c r="O5" s="13"/>
      <c r="P5" s="8"/>
      <c r="Q5" s="8"/>
      <c r="R5" s="8"/>
      <c r="S5" s="8"/>
      <c r="T5" s="8"/>
      <c r="U5" s="8"/>
      <c r="V5" s="8"/>
      <c r="W5" s="8"/>
    </row>
    <row r="6" spans="1:23">
      <c r="A6" s="101"/>
      <c r="B6"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 s="11" t="s">
        <v>224</v>
      </c>
      <c r="D6" s="11" t="s">
        <v>88</v>
      </c>
      <c r="E6" s="11" t="s">
        <v>20</v>
      </c>
      <c r="F6" s="11" t="s">
        <v>166</v>
      </c>
      <c r="G6" s="11" t="s">
        <v>324</v>
      </c>
      <c r="H6" s="11" t="s">
        <v>143</v>
      </c>
      <c r="I6" s="11" t="s">
        <v>325</v>
      </c>
      <c r="J6" s="11"/>
      <c r="K6" s="102"/>
      <c r="L6" s="102"/>
      <c r="M6" s="8"/>
      <c r="N6" s="8"/>
      <c r="O6" s="13"/>
      <c r="P6" s="8"/>
      <c r="Q6" s="8"/>
      <c r="R6" s="8"/>
      <c r="S6" s="8"/>
      <c r="T6" s="8"/>
      <c r="U6" s="8"/>
      <c r="V6" s="8"/>
      <c r="W6" s="8"/>
    </row>
    <row r="7" spans="1:23">
      <c r="A7" s="101"/>
      <c r="B7"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7" s="11" t="s">
        <v>187</v>
      </c>
      <c r="D7" s="11" t="s">
        <v>100</v>
      </c>
      <c r="E7" s="11" t="s">
        <v>182</v>
      </c>
      <c r="F7" s="11" t="s">
        <v>326</v>
      </c>
      <c r="G7" s="11"/>
      <c r="H7" s="11"/>
      <c r="I7" s="11"/>
      <c r="J7" s="11"/>
      <c r="K7" s="102"/>
      <c r="L7" s="102"/>
      <c r="M7" s="8"/>
      <c r="N7" s="8"/>
      <c r="O7" s="13"/>
      <c r="P7" s="8"/>
      <c r="Q7" s="8"/>
      <c r="R7" s="8"/>
      <c r="S7" s="8"/>
      <c r="T7" s="8"/>
      <c r="U7" s="8"/>
      <c r="V7" s="8"/>
      <c r="W7" s="8"/>
    </row>
    <row r="8" spans="1:23">
      <c r="A8" s="101"/>
      <c r="B8"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8" s="11" t="s">
        <v>127</v>
      </c>
      <c r="D8" s="11" t="s">
        <v>85</v>
      </c>
      <c r="E8" s="11" t="s">
        <v>186</v>
      </c>
      <c r="F8" s="11" t="s">
        <v>141</v>
      </c>
      <c r="G8" s="11" t="s">
        <v>215</v>
      </c>
      <c r="H8" s="11" t="s">
        <v>327</v>
      </c>
      <c r="I8" s="11"/>
      <c r="J8" s="11"/>
      <c r="K8" s="102"/>
      <c r="L8" s="102"/>
      <c r="M8" s="8"/>
      <c r="N8" s="8"/>
      <c r="O8" s="13"/>
      <c r="P8" s="8"/>
      <c r="Q8" s="8"/>
      <c r="R8" s="8"/>
      <c r="S8" s="8"/>
      <c r="T8" s="8"/>
      <c r="U8" s="8"/>
      <c r="V8" s="8"/>
      <c r="W8" s="8"/>
    </row>
    <row r="9" spans="1:23">
      <c r="A9" s="101"/>
      <c r="B9"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9" s="11" t="s">
        <v>101</v>
      </c>
      <c r="D9" s="11" t="s">
        <v>137</v>
      </c>
      <c r="E9" s="11" t="s">
        <v>152</v>
      </c>
      <c r="F9" s="11" t="s">
        <v>328</v>
      </c>
      <c r="G9" s="11" t="s">
        <v>44</v>
      </c>
      <c r="H9" s="11"/>
      <c r="I9" s="11"/>
      <c r="J9" s="11"/>
      <c r="K9" s="102"/>
      <c r="L9" s="102"/>
      <c r="M9" s="8"/>
      <c r="N9" s="8"/>
      <c r="O9" s="13"/>
      <c r="P9" s="8"/>
      <c r="Q9" s="8"/>
      <c r="R9" s="8"/>
      <c r="S9" s="8"/>
      <c r="T9" s="8"/>
      <c r="U9" s="8"/>
      <c r="V9" s="8"/>
      <c r="W9" s="8"/>
    </row>
    <row r="10" spans="1:23">
      <c r="A10" s="101"/>
      <c r="B10"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0" s="11" t="s">
        <v>329</v>
      </c>
      <c r="D10" s="11" t="s">
        <v>60</v>
      </c>
      <c r="E10" s="11" t="s">
        <v>173</v>
      </c>
      <c r="F10" s="11" t="s">
        <v>179</v>
      </c>
      <c r="G10" s="11" t="s">
        <v>125</v>
      </c>
      <c r="H10" s="11"/>
      <c r="I10" s="11"/>
      <c r="J10" s="11"/>
      <c r="K10" s="102"/>
      <c r="L10" s="102"/>
      <c r="M10" s="8"/>
      <c r="N10" s="8"/>
      <c r="O10" s="13"/>
      <c r="P10" s="8"/>
      <c r="Q10" s="8"/>
      <c r="R10" s="8"/>
      <c r="S10" s="8"/>
      <c r="T10" s="8"/>
      <c r="U10" s="8"/>
      <c r="V10" s="8"/>
      <c r="W10" s="8"/>
    </row>
    <row r="11" spans="1:23" ht="14.5" customHeight="1">
      <c r="A11" s="101"/>
      <c r="B11"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11" s="11" t="s">
        <v>122</v>
      </c>
      <c r="D11" s="11" t="s">
        <v>278</v>
      </c>
      <c r="E11" s="11" t="s">
        <v>81</v>
      </c>
      <c r="F11" s="11" t="s">
        <v>126</v>
      </c>
      <c r="G11" s="11" t="s">
        <v>53</v>
      </c>
      <c r="H11" s="11" t="s">
        <v>144</v>
      </c>
      <c r="I11" s="11"/>
      <c r="J11" s="11"/>
      <c r="K11" s="102"/>
      <c r="L11" s="102"/>
      <c r="M11" s="8"/>
      <c r="N11" s="8"/>
      <c r="O11" s="13"/>
      <c r="P11" s="8"/>
      <c r="Q11" s="8"/>
      <c r="R11" s="8"/>
      <c r="S11" s="8"/>
      <c r="T11" s="8"/>
      <c r="U11" s="8"/>
      <c r="V11" s="8"/>
      <c r="W11" s="8"/>
    </row>
    <row r="12" spans="1:23">
      <c r="A12" s="101"/>
      <c r="B12"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12" s="41" t="s">
        <v>264</v>
      </c>
      <c r="D12" s="41"/>
      <c r="E12" s="41"/>
      <c r="F12" s="41"/>
      <c r="G12" s="41"/>
      <c r="H12" s="41"/>
      <c r="I12" s="85"/>
      <c r="J12" s="85"/>
      <c r="K12" s="102"/>
      <c r="L12" s="102"/>
      <c r="M12" s="8"/>
      <c r="N12" s="8"/>
      <c r="O12" s="13"/>
      <c r="P12" s="8"/>
      <c r="Q12" s="8"/>
      <c r="R12" s="8"/>
      <c r="S12" s="8"/>
      <c r="T12" s="8"/>
      <c r="U12" s="8"/>
      <c r="V12" s="8"/>
      <c r="W12" s="8"/>
    </row>
    <row r="13" spans="1:23">
      <c r="A13" s="101" t="s">
        <v>6</v>
      </c>
      <c r="B13"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13" s="18" t="s">
        <v>59</v>
      </c>
      <c r="D13" s="18" t="s">
        <v>39</v>
      </c>
      <c r="E13" s="18" t="s">
        <v>58</v>
      </c>
      <c r="F13" s="18" t="s">
        <v>228</v>
      </c>
      <c r="G13" s="18" t="s">
        <v>45</v>
      </c>
      <c r="H13" s="18" t="s">
        <v>334</v>
      </c>
      <c r="I13" s="18"/>
      <c r="J13" s="18"/>
      <c r="K13" s="100">
        <f>COUNTIF(C13:J21,"* ضد *")</f>
        <v>44</v>
      </c>
      <c r="L13" s="100">
        <f>K13*2/'ملخص البطولات'!$A$13</f>
        <v>4</v>
      </c>
      <c r="M13" s="8"/>
      <c r="N13" s="8"/>
      <c r="O13" s="13"/>
      <c r="P13" s="8"/>
      <c r="Q13" s="8"/>
      <c r="R13" s="8"/>
      <c r="S13" s="8"/>
      <c r="T13" s="8"/>
      <c r="U13" s="8"/>
      <c r="V13" s="8"/>
      <c r="W13" s="8"/>
    </row>
    <row r="14" spans="1:23">
      <c r="A14" s="101"/>
      <c r="B14"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14" s="18" t="s">
        <v>171</v>
      </c>
      <c r="D14" s="18" t="s">
        <v>116</v>
      </c>
      <c r="E14" s="18" t="s">
        <v>178</v>
      </c>
      <c r="F14" s="18" t="s">
        <v>191</v>
      </c>
      <c r="G14" s="18" t="s">
        <v>309</v>
      </c>
      <c r="H14" s="18"/>
      <c r="I14" s="18"/>
      <c r="J14" s="18"/>
      <c r="K14" s="100"/>
      <c r="L14" s="100"/>
      <c r="M14" s="8"/>
      <c r="N14" s="8"/>
      <c r="O14" s="13"/>
      <c r="P14" s="8"/>
      <c r="Q14" s="8"/>
      <c r="R14" s="8"/>
      <c r="S14" s="8"/>
      <c r="T14" s="8"/>
      <c r="U14" s="8"/>
      <c r="V14" s="8"/>
      <c r="W14" s="8"/>
    </row>
    <row r="15" spans="1:23">
      <c r="A15" s="101"/>
      <c r="B15"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15" s="18" t="s">
        <v>26</v>
      </c>
      <c r="D15" s="18" t="s">
        <v>175</v>
      </c>
      <c r="E15" s="18" t="s">
        <v>24</v>
      </c>
      <c r="F15" s="18" t="s">
        <v>70</v>
      </c>
      <c r="G15" s="18" t="s">
        <v>69</v>
      </c>
      <c r="H15" s="18"/>
      <c r="I15" s="18"/>
      <c r="J15" s="18"/>
      <c r="K15" s="100"/>
      <c r="L15" s="100"/>
      <c r="M15" s="8"/>
      <c r="N15" s="8"/>
      <c r="O15" s="13"/>
      <c r="P15" s="8"/>
      <c r="Q15" s="8"/>
      <c r="R15" s="8"/>
      <c r="S15" s="8"/>
      <c r="T15" s="8"/>
      <c r="U15" s="8"/>
      <c r="V15" s="8"/>
      <c r="W15" s="8"/>
    </row>
    <row r="16" spans="1:23">
      <c r="A16" s="101"/>
      <c r="B16"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16" s="18" t="s">
        <v>93</v>
      </c>
      <c r="D16" s="18" t="s">
        <v>193</v>
      </c>
      <c r="E16" s="18" t="s">
        <v>216</v>
      </c>
      <c r="F16" s="18" t="s">
        <v>47</v>
      </c>
      <c r="G16" s="18" t="s">
        <v>156</v>
      </c>
      <c r="H16" s="18" t="s">
        <v>151</v>
      </c>
      <c r="I16" s="18"/>
      <c r="J16" s="18"/>
      <c r="K16" s="100"/>
      <c r="L16" s="100"/>
      <c r="M16" s="8"/>
      <c r="N16" s="8"/>
      <c r="O16" s="13"/>
      <c r="P16" s="8"/>
      <c r="Q16" s="8"/>
      <c r="R16" s="8"/>
      <c r="S16" s="8"/>
      <c r="T16" s="8"/>
      <c r="U16" s="8"/>
      <c r="V16" s="8"/>
      <c r="W16" s="8"/>
    </row>
    <row r="17" spans="1:23">
      <c r="A17" s="101"/>
      <c r="B17"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17" s="18" t="s">
        <v>333</v>
      </c>
      <c r="D17" s="18" t="s">
        <v>77</v>
      </c>
      <c r="E17" s="18" t="s">
        <v>42</v>
      </c>
      <c r="F17" s="18" t="s">
        <v>25</v>
      </c>
      <c r="G17" s="18"/>
      <c r="H17" s="18"/>
      <c r="I17" s="18"/>
      <c r="J17" s="18"/>
      <c r="K17" s="100"/>
      <c r="L17" s="100"/>
      <c r="M17" s="8"/>
      <c r="N17" s="8"/>
      <c r="O17" s="13"/>
      <c r="P17" s="8"/>
      <c r="Q17" s="8"/>
      <c r="R17" s="8"/>
      <c r="S17" s="8"/>
      <c r="T17" s="8"/>
      <c r="U17" s="8"/>
      <c r="V17" s="8"/>
      <c r="W17" s="8"/>
    </row>
    <row r="18" spans="1:23" ht="14.5" customHeight="1">
      <c r="A18" s="101"/>
      <c r="B18"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18" s="18" t="s">
        <v>217</v>
      </c>
      <c r="D18" s="18" t="s">
        <v>28</v>
      </c>
      <c r="E18" s="18" t="s">
        <v>332</v>
      </c>
      <c r="F18" s="18" t="s">
        <v>140</v>
      </c>
      <c r="G18" s="18" t="s">
        <v>27</v>
      </c>
      <c r="H18" s="18" t="s">
        <v>119</v>
      </c>
      <c r="I18" s="18" t="s">
        <v>225</v>
      </c>
      <c r="J18" s="18"/>
      <c r="K18" s="100"/>
      <c r="L18" s="100"/>
      <c r="M18" s="8"/>
      <c r="N18" s="8"/>
      <c r="O18" s="13"/>
      <c r="P18" s="8"/>
      <c r="Q18" s="8"/>
      <c r="R18" s="8"/>
      <c r="S18" s="8"/>
      <c r="T18" s="8"/>
      <c r="U18" s="8"/>
      <c r="V18" s="8"/>
      <c r="W18" s="8"/>
    </row>
    <row r="19" spans="1:23">
      <c r="A19" s="101"/>
      <c r="B19"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9" s="18" t="s">
        <v>331</v>
      </c>
      <c r="D19" s="18" t="s">
        <v>22</v>
      </c>
      <c r="E19" s="18" t="s">
        <v>30</v>
      </c>
      <c r="F19" s="18"/>
      <c r="G19" s="18"/>
      <c r="H19" s="18"/>
      <c r="I19" s="18"/>
      <c r="J19" s="18"/>
      <c r="K19" s="100"/>
      <c r="L19" s="100"/>
      <c r="M19" s="8"/>
      <c r="N19" s="8"/>
      <c r="O19" s="13"/>
      <c r="P19" s="8"/>
      <c r="Q19" s="8"/>
      <c r="R19" s="8"/>
      <c r="S19" s="8"/>
      <c r="T19" s="8"/>
      <c r="U19" s="8"/>
      <c r="V19" s="8"/>
      <c r="W19" s="8"/>
    </row>
    <row r="20" spans="1:23">
      <c r="A20" s="101"/>
      <c r="B20"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20" s="18" t="s">
        <v>66</v>
      </c>
      <c r="D20" s="18" t="s">
        <v>161</v>
      </c>
      <c r="E20" s="18" t="s">
        <v>73</v>
      </c>
      <c r="F20" s="18" t="s">
        <v>164</v>
      </c>
      <c r="G20" s="18" t="s">
        <v>136</v>
      </c>
      <c r="H20" s="18" t="s">
        <v>330</v>
      </c>
      <c r="I20" s="18" t="s">
        <v>218</v>
      </c>
      <c r="J20" s="18" t="s">
        <v>118</v>
      </c>
      <c r="K20" s="100"/>
      <c r="L20" s="100"/>
      <c r="M20" s="8"/>
      <c r="N20" s="8"/>
      <c r="O20" s="13"/>
      <c r="P20" s="8"/>
      <c r="Q20" s="8"/>
      <c r="R20" s="8"/>
      <c r="S20" s="8"/>
      <c r="T20" s="8"/>
      <c r="U20" s="8"/>
      <c r="V20" s="8"/>
      <c r="W20" s="8"/>
    </row>
    <row r="21" spans="1:23">
      <c r="A21" s="101"/>
      <c r="B21"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21" s="41" t="s">
        <v>264</v>
      </c>
      <c r="D21" s="41"/>
      <c r="E21" s="41"/>
      <c r="F21" s="41"/>
      <c r="G21" s="41"/>
      <c r="H21" s="41"/>
      <c r="I21" s="85"/>
      <c r="J21" s="85"/>
      <c r="K21" s="100"/>
      <c r="L21" s="100"/>
      <c r="M21" s="8"/>
      <c r="N21" s="8"/>
      <c r="O21" s="13"/>
      <c r="P21" s="8"/>
      <c r="Q21" s="8"/>
      <c r="R21" s="8"/>
      <c r="S21" s="8"/>
      <c r="T21" s="8"/>
      <c r="U21" s="8"/>
      <c r="V21" s="8"/>
      <c r="W21" s="8"/>
    </row>
    <row r="22" spans="1:23">
      <c r="A22" s="101" t="s">
        <v>7</v>
      </c>
      <c r="B22"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22" s="11" t="s">
        <v>54</v>
      </c>
      <c r="D22" s="11" t="s">
        <v>29</v>
      </c>
      <c r="E22" s="11" t="s">
        <v>121</v>
      </c>
      <c r="F22" s="11" t="s">
        <v>219</v>
      </c>
      <c r="G22" s="11" t="s">
        <v>80</v>
      </c>
      <c r="H22" s="11" t="s">
        <v>134</v>
      </c>
      <c r="I22" s="11" t="s">
        <v>335</v>
      </c>
      <c r="J22" s="11" t="s">
        <v>94</v>
      </c>
      <c r="K22" s="102">
        <f>COUNTIF(C22:J30,"* ضد *")</f>
        <v>44</v>
      </c>
      <c r="L22" s="102">
        <f>K22*2/'ملخص البطولات'!$A$13</f>
        <v>4</v>
      </c>
      <c r="M22" s="8"/>
      <c r="N22" s="8"/>
      <c r="O22" s="13"/>
      <c r="P22" s="8"/>
      <c r="Q22" s="8"/>
      <c r="R22" s="8"/>
      <c r="S22" s="8"/>
      <c r="T22" s="8"/>
      <c r="U22" s="8"/>
      <c r="V22" s="8"/>
      <c r="W22" s="8"/>
    </row>
    <row r="23" spans="1:23">
      <c r="A23" s="101"/>
      <c r="B23"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23" s="11" t="s">
        <v>336</v>
      </c>
      <c r="D23" s="11" t="s">
        <v>211</v>
      </c>
      <c r="E23" s="11" t="s">
        <v>337</v>
      </c>
      <c r="F23" s="11"/>
      <c r="G23" s="11"/>
      <c r="H23" s="11"/>
      <c r="I23" s="11"/>
      <c r="J23" s="11"/>
      <c r="K23" s="102"/>
      <c r="L23" s="102"/>
      <c r="M23" s="8"/>
      <c r="N23" s="8"/>
      <c r="O23" s="13"/>
      <c r="P23" s="8"/>
      <c r="Q23" s="8"/>
      <c r="R23" s="8"/>
      <c r="S23" s="8"/>
      <c r="T23" s="8"/>
      <c r="U23" s="8"/>
      <c r="V23" s="8"/>
      <c r="W23" s="8"/>
    </row>
    <row r="24" spans="1:23">
      <c r="A24" s="101"/>
      <c r="B24"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24" s="11" t="s">
        <v>87</v>
      </c>
      <c r="D24" s="11" t="s">
        <v>338</v>
      </c>
      <c r="E24" s="11" t="s">
        <v>339</v>
      </c>
      <c r="F24" s="11" t="s">
        <v>340</v>
      </c>
      <c r="G24" s="11" t="s">
        <v>341</v>
      </c>
      <c r="H24" s="11" t="s">
        <v>46</v>
      </c>
      <c r="I24" s="11" t="s">
        <v>62</v>
      </c>
      <c r="J24" s="11"/>
      <c r="K24" s="102"/>
      <c r="L24" s="102"/>
      <c r="M24" s="8"/>
      <c r="N24" s="8"/>
      <c r="O24" s="13"/>
      <c r="P24" s="8"/>
      <c r="Q24" s="8"/>
      <c r="R24" s="8"/>
      <c r="S24" s="8"/>
      <c r="T24" s="8"/>
      <c r="U24" s="8"/>
      <c r="V24" s="8"/>
      <c r="W24" s="8"/>
    </row>
    <row r="25" spans="1:23" ht="14.5" customHeight="1">
      <c r="A25" s="101"/>
      <c r="B25"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25" s="11" t="s">
        <v>102</v>
      </c>
      <c r="D25" s="11" t="s">
        <v>150</v>
      </c>
      <c r="E25" s="11" t="s">
        <v>201</v>
      </c>
      <c r="F25" s="11" t="s">
        <v>342</v>
      </c>
      <c r="G25" s="11"/>
      <c r="H25" s="11"/>
      <c r="I25" s="11"/>
      <c r="J25" s="11"/>
      <c r="K25" s="102"/>
      <c r="L25" s="102"/>
      <c r="M25" s="8"/>
      <c r="N25" s="8"/>
      <c r="O25" s="13"/>
      <c r="P25" s="8"/>
      <c r="Q25" s="8"/>
      <c r="R25" s="8"/>
      <c r="S25" s="8"/>
      <c r="T25" s="8"/>
      <c r="U25" s="8"/>
      <c r="V25" s="8"/>
      <c r="W25" s="8"/>
    </row>
    <row r="26" spans="1:23">
      <c r="A26" s="101"/>
      <c r="B26"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26" s="11" t="s">
        <v>343</v>
      </c>
      <c r="D26" s="11" t="s">
        <v>92</v>
      </c>
      <c r="E26" s="11" t="s">
        <v>79</v>
      </c>
      <c r="F26" s="11" t="s">
        <v>147</v>
      </c>
      <c r="G26" s="11" t="s">
        <v>185</v>
      </c>
      <c r="H26" s="11" t="s">
        <v>142</v>
      </c>
      <c r="I26" s="11"/>
      <c r="J26" s="11"/>
      <c r="K26" s="102"/>
      <c r="L26" s="102"/>
      <c r="M26" s="8"/>
      <c r="N26" s="8"/>
      <c r="O26" s="13"/>
      <c r="P26" s="8"/>
      <c r="Q26" s="8"/>
      <c r="R26" s="8"/>
      <c r="S26" s="8"/>
      <c r="T26" s="8"/>
      <c r="U26" s="8"/>
      <c r="V26" s="8"/>
      <c r="W26" s="8"/>
    </row>
    <row r="27" spans="1:23">
      <c r="A27" s="101"/>
      <c r="B27"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27" s="11" t="s">
        <v>97</v>
      </c>
      <c r="D27" s="11" t="s">
        <v>277</v>
      </c>
      <c r="E27" s="11" t="s">
        <v>276</v>
      </c>
      <c r="F27" s="11" t="s">
        <v>344</v>
      </c>
      <c r="G27" s="11" t="s">
        <v>153</v>
      </c>
      <c r="H27" s="11"/>
      <c r="I27" s="11"/>
      <c r="J27" s="11"/>
      <c r="K27" s="102"/>
      <c r="L27" s="102"/>
      <c r="M27" s="8"/>
      <c r="N27" s="8"/>
      <c r="O27" s="13"/>
      <c r="P27" s="8"/>
      <c r="Q27" s="8"/>
      <c r="R27" s="8"/>
      <c r="S27" s="8"/>
      <c r="T27" s="8"/>
      <c r="U27" s="8"/>
      <c r="V27" s="8"/>
      <c r="W27" s="8"/>
    </row>
    <row r="28" spans="1:23">
      <c r="A28" s="101"/>
      <c r="B28"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28" s="11" t="s">
        <v>345</v>
      </c>
      <c r="D28" s="11" t="s">
        <v>346</v>
      </c>
      <c r="E28" s="11" t="s">
        <v>159</v>
      </c>
      <c r="F28" s="11" t="s">
        <v>132</v>
      </c>
      <c r="G28" s="11" t="s">
        <v>90</v>
      </c>
      <c r="H28" s="11"/>
      <c r="I28" s="11"/>
      <c r="J28" s="11"/>
      <c r="K28" s="102"/>
      <c r="L28" s="102"/>
      <c r="M28" s="8"/>
      <c r="N28" s="8"/>
      <c r="O28" s="13"/>
      <c r="P28" s="8"/>
      <c r="Q28" s="8"/>
      <c r="R28" s="8"/>
      <c r="S28" s="8"/>
      <c r="T28" s="8"/>
      <c r="U28" s="8"/>
      <c r="V28" s="8"/>
      <c r="W28" s="8"/>
    </row>
    <row r="29" spans="1:23">
      <c r="A29" s="101"/>
      <c r="B29"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29" s="11" t="s">
        <v>287</v>
      </c>
      <c r="D29" s="11" t="s">
        <v>98</v>
      </c>
      <c r="E29" s="11" t="s">
        <v>167</v>
      </c>
      <c r="F29" s="11" t="s">
        <v>174</v>
      </c>
      <c r="G29" s="11" t="s">
        <v>347</v>
      </c>
      <c r="H29" s="11" t="s">
        <v>32</v>
      </c>
      <c r="I29" s="11"/>
      <c r="J29" s="11"/>
      <c r="K29" s="102"/>
      <c r="L29" s="102"/>
      <c r="M29" s="8"/>
      <c r="N29" s="8"/>
      <c r="O29" s="13"/>
      <c r="P29" s="8"/>
      <c r="Q29" s="8"/>
      <c r="R29" s="8"/>
      <c r="S29" s="8"/>
      <c r="T29" s="8"/>
      <c r="U29" s="8"/>
      <c r="V29" s="8"/>
      <c r="W29" s="8"/>
    </row>
    <row r="30" spans="1:23">
      <c r="A30" s="101"/>
      <c r="B30"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30" s="41" t="s">
        <v>264</v>
      </c>
      <c r="D30" s="41"/>
      <c r="E30" s="41"/>
      <c r="F30" s="41"/>
      <c r="G30" s="41"/>
      <c r="H30" s="41"/>
      <c r="I30" s="85"/>
      <c r="J30" s="85"/>
      <c r="K30" s="102"/>
      <c r="L30" s="102"/>
      <c r="M30" s="8"/>
      <c r="N30" s="8"/>
      <c r="O30" s="13"/>
      <c r="P30" s="8"/>
      <c r="Q30" s="8"/>
      <c r="R30" s="8"/>
      <c r="S30" s="8"/>
      <c r="T30" s="8"/>
      <c r="U30" s="8"/>
      <c r="V30" s="8"/>
      <c r="W30" s="8"/>
    </row>
    <row r="31" spans="1:23">
      <c r="A31" s="101" t="s">
        <v>8</v>
      </c>
      <c r="B31"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31" s="18" t="s">
        <v>124</v>
      </c>
      <c r="D31" s="18" t="s">
        <v>222</v>
      </c>
      <c r="E31" s="18" t="s">
        <v>163</v>
      </c>
      <c r="F31" s="18" t="s">
        <v>158</v>
      </c>
      <c r="G31" s="18" t="s">
        <v>189</v>
      </c>
      <c r="H31" s="18" t="s">
        <v>227</v>
      </c>
      <c r="I31" s="18"/>
      <c r="J31" s="18"/>
      <c r="K31" s="100">
        <f>COUNTIF(C31:J39,"* ضد *")</f>
        <v>44</v>
      </c>
      <c r="L31" s="100">
        <f>K31*2/'ملخص البطولات'!$A$13</f>
        <v>4</v>
      </c>
      <c r="M31" s="8"/>
      <c r="N31" s="8"/>
      <c r="O31" s="13"/>
      <c r="P31" s="8"/>
      <c r="Q31" s="8"/>
      <c r="R31" s="8"/>
      <c r="S31" s="8"/>
      <c r="T31" s="8"/>
      <c r="U31" s="8"/>
      <c r="V31" s="8"/>
      <c r="W31" s="8"/>
    </row>
    <row r="32" spans="1:23" ht="14.5" customHeight="1">
      <c r="A32" s="101"/>
      <c r="B32"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32" s="18" t="s">
        <v>43</v>
      </c>
      <c r="D32" s="18" t="s">
        <v>68</v>
      </c>
      <c r="E32" s="18" t="s">
        <v>48</v>
      </c>
      <c r="F32" s="18" t="s">
        <v>50</v>
      </c>
      <c r="G32" s="18" t="s">
        <v>65</v>
      </c>
      <c r="H32" s="18"/>
      <c r="I32" s="18"/>
      <c r="J32" s="18"/>
      <c r="K32" s="100"/>
      <c r="L32" s="100"/>
      <c r="M32" s="8"/>
      <c r="N32" s="8"/>
      <c r="O32" s="13"/>
      <c r="P32" s="8"/>
      <c r="Q32" s="8"/>
      <c r="R32" s="8"/>
      <c r="S32" s="8"/>
      <c r="T32" s="8"/>
      <c r="U32" s="8"/>
      <c r="V32" s="8"/>
      <c r="W32" s="8"/>
    </row>
    <row r="33" spans="1:23">
      <c r="A33" s="101"/>
      <c r="B33"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33" s="18" t="s">
        <v>148</v>
      </c>
      <c r="D33" s="18" t="s">
        <v>221</v>
      </c>
      <c r="E33" s="18" t="s">
        <v>128</v>
      </c>
      <c r="F33" s="18" t="s">
        <v>188</v>
      </c>
      <c r="G33" s="18" t="s">
        <v>146</v>
      </c>
      <c r="H33" s="18"/>
      <c r="I33" s="18"/>
      <c r="J33" s="18"/>
      <c r="K33" s="100"/>
      <c r="L33" s="100"/>
      <c r="M33" s="8"/>
      <c r="N33" s="8"/>
      <c r="O33" s="13"/>
      <c r="P33" s="8"/>
      <c r="Q33" s="8"/>
      <c r="R33" s="8"/>
      <c r="S33" s="8"/>
      <c r="T33" s="8"/>
      <c r="U33" s="8"/>
      <c r="V33" s="8"/>
      <c r="W33" s="8"/>
    </row>
    <row r="34" spans="1:23">
      <c r="A34" s="101"/>
      <c r="B34"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34" s="18" t="s">
        <v>84</v>
      </c>
      <c r="D34" s="18" t="s">
        <v>72</v>
      </c>
      <c r="E34" s="18" t="s">
        <v>352</v>
      </c>
      <c r="F34" s="18" t="s">
        <v>192</v>
      </c>
      <c r="G34" s="18" t="s">
        <v>75</v>
      </c>
      <c r="H34" s="18" t="s">
        <v>52</v>
      </c>
      <c r="I34" s="18"/>
      <c r="J34" s="18"/>
      <c r="K34" s="100"/>
      <c r="L34" s="100"/>
      <c r="M34" s="8"/>
      <c r="N34" s="8"/>
      <c r="O34" s="13"/>
      <c r="P34" s="8"/>
      <c r="Q34" s="8"/>
      <c r="R34" s="8"/>
      <c r="S34" s="8"/>
      <c r="T34" s="8"/>
      <c r="U34" s="8"/>
      <c r="V34" s="8"/>
      <c r="W34" s="8"/>
    </row>
    <row r="35" spans="1:23">
      <c r="A35" s="101"/>
      <c r="B35"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35" s="18" t="s">
        <v>210</v>
      </c>
      <c r="D35" s="18" t="s">
        <v>120</v>
      </c>
      <c r="E35" s="18" t="s">
        <v>138</v>
      </c>
      <c r="F35" s="18" t="s">
        <v>130</v>
      </c>
      <c r="G35" s="18"/>
      <c r="H35" s="18"/>
      <c r="I35" s="18"/>
      <c r="J35" s="18"/>
      <c r="K35" s="100"/>
      <c r="L35" s="100"/>
      <c r="M35" s="8"/>
      <c r="N35" s="8"/>
      <c r="O35" s="13"/>
      <c r="P35" s="8"/>
      <c r="Q35" s="8"/>
      <c r="R35" s="8"/>
      <c r="S35" s="8"/>
      <c r="T35" s="8"/>
      <c r="U35" s="8"/>
      <c r="V35" s="8"/>
      <c r="W35" s="8"/>
    </row>
    <row r="36" spans="1:23">
      <c r="A36" s="101"/>
      <c r="B36"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36" s="18" t="s">
        <v>181</v>
      </c>
      <c r="D36" s="18" t="s">
        <v>275</v>
      </c>
      <c r="E36" s="18" t="s">
        <v>49</v>
      </c>
      <c r="F36" s="18" t="s">
        <v>41</v>
      </c>
      <c r="G36" s="18" t="s">
        <v>190</v>
      </c>
      <c r="H36" s="18" t="s">
        <v>57</v>
      </c>
      <c r="I36" s="18" t="s">
        <v>351</v>
      </c>
      <c r="J36" s="18"/>
      <c r="K36" s="100"/>
      <c r="L36" s="100"/>
      <c r="M36" s="8"/>
      <c r="N36" s="8"/>
      <c r="O36" s="13"/>
      <c r="P36" s="8"/>
      <c r="Q36" s="8"/>
      <c r="R36" s="8"/>
      <c r="S36" s="8"/>
      <c r="T36" s="8"/>
      <c r="U36" s="8"/>
      <c r="V36" s="8"/>
      <c r="W36" s="8"/>
    </row>
    <row r="37" spans="1:23" ht="14.5" customHeight="1">
      <c r="A37" s="101"/>
      <c r="B37"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37" s="18" t="s">
        <v>162</v>
      </c>
      <c r="D37" s="18" t="s">
        <v>170</v>
      </c>
      <c r="E37" s="18" t="s">
        <v>99</v>
      </c>
      <c r="F37" s="18"/>
      <c r="G37" s="18"/>
      <c r="H37" s="18"/>
      <c r="I37" s="18"/>
      <c r="J37" s="18"/>
      <c r="K37" s="100"/>
      <c r="L37" s="100"/>
      <c r="M37" s="8"/>
      <c r="N37" s="8"/>
      <c r="O37" s="13"/>
      <c r="P37" s="8"/>
      <c r="Q37" s="8"/>
      <c r="R37" s="8"/>
      <c r="S37" s="8"/>
      <c r="T37" s="8"/>
      <c r="U37" s="8"/>
      <c r="V37" s="8"/>
      <c r="W37" s="8"/>
    </row>
    <row r="38" spans="1:23">
      <c r="A38" s="101"/>
      <c r="B38"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38" s="18" t="s">
        <v>78</v>
      </c>
      <c r="D38" s="18" t="s">
        <v>348</v>
      </c>
      <c r="E38" s="18" t="s">
        <v>172</v>
      </c>
      <c r="F38" s="18" t="s">
        <v>349</v>
      </c>
      <c r="G38" s="18" t="s">
        <v>40</v>
      </c>
      <c r="H38" s="18" t="s">
        <v>131</v>
      </c>
      <c r="I38" s="18" t="s">
        <v>117</v>
      </c>
      <c r="J38" s="18" t="s">
        <v>350</v>
      </c>
      <c r="K38" s="100"/>
      <c r="L38" s="100"/>
      <c r="M38" s="8"/>
      <c r="N38" s="8"/>
      <c r="O38" s="13"/>
      <c r="P38" s="8"/>
      <c r="Q38" s="8"/>
      <c r="R38" s="8"/>
      <c r="S38" s="8"/>
      <c r="T38" s="8"/>
      <c r="U38" s="8"/>
      <c r="V38" s="8"/>
      <c r="W38" s="8"/>
    </row>
    <row r="39" spans="1:23" ht="14.5" customHeight="1">
      <c r="A39" s="101"/>
      <c r="B39"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39" s="41" t="s">
        <v>264</v>
      </c>
      <c r="D39" s="41"/>
      <c r="E39" s="41"/>
      <c r="F39" s="41"/>
      <c r="G39" s="41"/>
      <c r="H39" s="41"/>
      <c r="I39" s="85"/>
      <c r="J39" s="85"/>
      <c r="K39" s="100"/>
      <c r="L39" s="100"/>
      <c r="M39" s="8"/>
      <c r="N39" s="8"/>
      <c r="O39" s="13"/>
      <c r="P39" s="8"/>
      <c r="Q39" s="8"/>
      <c r="R39" s="8"/>
      <c r="S39" s="8"/>
      <c r="T39" s="8"/>
      <c r="U39" s="8"/>
      <c r="V39" s="8"/>
      <c r="W39" s="8"/>
    </row>
    <row r="40" spans="1:23">
      <c r="A40" s="101" t="s">
        <v>9</v>
      </c>
      <c r="B40"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0" s="11" t="s">
        <v>36</v>
      </c>
      <c r="D40" s="11" t="s">
        <v>64</v>
      </c>
      <c r="E40" s="11" t="s">
        <v>35</v>
      </c>
      <c r="F40" s="11" t="s">
        <v>34</v>
      </c>
      <c r="G40" s="11" t="s">
        <v>177</v>
      </c>
      <c r="H40" s="11" t="s">
        <v>149</v>
      </c>
      <c r="I40" s="11" t="s">
        <v>67</v>
      </c>
      <c r="J40" s="11" t="s">
        <v>63</v>
      </c>
      <c r="K40" s="102">
        <f>COUNTIF(C40:J48,"* ضد *")</f>
        <v>44</v>
      </c>
      <c r="L40" s="102">
        <f>K40*2/'ملخص البطولات'!$A$13</f>
        <v>4</v>
      </c>
      <c r="M40" s="8"/>
      <c r="N40" s="8"/>
      <c r="O40" s="13"/>
      <c r="P40" s="8"/>
      <c r="Q40" s="8"/>
      <c r="R40" s="8"/>
      <c r="S40" s="8"/>
      <c r="T40" s="8"/>
      <c r="U40" s="8"/>
      <c r="V40" s="8"/>
      <c r="W40" s="8"/>
    </row>
    <row r="41" spans="1:23">
      <c r="A41" s="101"/>
      <c r="B41"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41" s="11" t="s">
        <v>195</v>
      </c>
      <c r="D41" s="11" t="s">
        <v>196</v>
      </c>
      <c r="E41" s="11" t="s">
        <v>165</v>
      </c>
      <c r="F41" s="11"/>
      <c r="G41" s="11"/>
      <c r="H41" s="11"/>
      <c r="I41" s="11"/>
      <c r="J41" s="11"/>
      <c r="K41" s="102"/>
      <c r="L41" s="102"/>
      <c r="M41" s="8"/>
      <c r="N41" s="8"/>
      <c r="O41" s="13"/>
      <c r="P41" s="8"/>
      <c r="Q41" s="8"/>
      <c r="R41" s="8"/>
      <c r="S41" s="8"/>
      <c r="T41" s="8"/>
      <c r="U41" s="8"/>
      <c r="V41" s="8"/>
      <c r="W41" s="8"/>
    </row>
    <row r="42" spans="1:23" ht="14.5" customHeight="1">
      <c r="A42" s="101"/>
      <c r="B42"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42" s="11" t="s">
        <v>104</v>
      </c>
      <c r="D42" s="11" t="s">
        <v>76</v>
      </c>
      <c r="E42" s="11" t="s">
        <v>23</v>
      </c>
      <c r="F42" s="11" t="s">
        <v>37</v>
      </c>
      <c r="G42" s="11" t="s">
        <v>61</v>
      </c>
      <c r="H42" s="11" t="s">
        <v>51</v>
      </c>
      <c r="I42" s="11" t="s">
        <v>226</v>
      </c>
      <c r="J42" s="11"/>
      <c r="K42" s="102"/>
      <c r="L42" s="102"/>
      <c r="M42" s="8"/>
      <c r="N42" s="8"/>
      <c r="O42" s="13"/>
      <c r="P42" s="8"/>
      <c r="Q42" s="8"/>
      <c r="R42" s="8"/>
      <c r="S42" s="8"/>
      <c r="T42" s="8"/>
      <c r="U42" s="8"/>
      <c r="V42" s="8"/>
      <c r="W42" s="8"/>
    </row>
    <row r="43" spans="1:23">
      <c r="A43" s="101"/>
      <c r="B43"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43" s="11" t="s">
        <v>95</v>
      </c>
      <c r="D43" s="11" t="s">
        <v>176</v>
      </c>
      <c r="E43" s="11" t="s">
        <v>155</v>
      </c>
      <c r="F43" s="11" t="s">
        <v>223</v>
      </c>
      <c r="G43" s="11"/>
      <c r="H43" s="11"/>
      <c r="I43" s="11"/>
      <c r="J43" s="11"/>
      <c r="K43" s="102"/>
      <c r="L43" s="102"/>
      <c r="M43" s="8"/>
      <c r="N43" s="8"/>
      <c r="O43" s="13"/>
      <c r="P43" s="8"/>
      <c r="Q43" s="8"/>
      <c r="R43" s="8"/>
      <c r="S43" s="8"/>
      <c r="T43" s="8"/>
      <c r="U43" s="8"/>
      <c r="V43" s="8"/>
      <c r="W43" s="8"/>
    </row>
    <row r="44" spans="1:23">
      <c r="A44" s="101"/>
      <c r="B44"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44" s="11" t="s">
        <v>83</v>
      </c>
      <c r="D44" s="11" t="s">
        <v>353</v>
      </c>
      <c r="E44" s="11" t="s">
        <v>74</v>
      </c>
      <c r="F44" s="11" t="s">
        <v>103</v>
      </c>
      <c r="G44" s="11" t="s">
        <v>82</v>
      </c>
      <c r="H44" s="11" t="s">
        <v>71</v>
      </c>
      <c r="I44" s="11"/>
      <c r="J44" s="11"/>
      <c r="K44" s="102"/>
      <c r="L44" s="102"/>
      <c r="M44" s="8"/>
      <c r="N44" s="8"/>
      <c r="O44" s="13"/>
      <c r="P44" s="8"/>
      <c r="Q44" s="8"/>
      <c r="R44" s="8"/>
      <c r="S44" s="8"/>
      <c r="T44" s="8"/>
      <c r="U44" s="8"/>
      <c r="V44" s="8"/>
      <c r="W44" s="8"/>
    </row>
    <row r="45" spans="1:23">
      <c r="A45" s="101"/>
      <c r="B45"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45" s="11" t="s">
        <v>208</v>
      </c>
      <c r="D45" s="11" t="s">
        <v>180</v>
      </c>
      <c r="E45" s="11" t="s">
        <v>169</v>
      </c>
      <c r="F45" s="11" t="s">
        <v>354</v>
      </c>
      <c r="G45" s="11" t="s">
        <v>96</v>
      </c>
      <c r="H45" s="11"/>
      <c r="I45" s="11"/>
      <c r="J45" s="11"/>
      <c r="K45" s="102"/>
      <c r="L45" s="102"/>
      <c r="M45" s="8"/>
      <c r="N45" s="8"/>
      <c r="O45" s="13"/>
      <c r="P45" s="8"/>
      <c r="Q45" s="8"/>
      <c r="R45" s="8"/>
      <c r="S45" s="8"/>
      <c r="T45" s="8"/>
      <c r="U45" s="8"/>
      <c r="V45" s="8"/>
      <c r="W45" s="8"/>
    </row>
    <row r="46" spans="1:23" ht="14.5" customHeight="1">
      <c r="A46" s="101"/>
      <c r="B46"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46" s="11" t="s">
        <v>355</v>
      </c>
      <c r="D46" s="11" t="s">
        <v>55</v>
      </c>
      <c r="E46" s="11" t="s">
        <v>356</v>
      </c>
      <c r="F46" s="11" t="s">
        <v>38</v>
      </c>
      <c r="G46" s="11" t="s">
        <v>56</v>
      </c>
      <c r="H46" s="11"/>
      <c r="I46" s="11"/>
      <c r="J46" s="11"/>
      <c r="K46" s="102"/>
      <c r="L46" s="102"/>
      <c r="M46" s="8"/>
      <c r="N46" s="8"/>
      <c r="O46" s="13"/>
      <c r="P46" s="8"/>
      <c r="Q46" s="8"/>
      <c r="R46" s="8"/>
      <c r="S46" s="8"/>
      <c r="T46" s="8"/>
      <c r="U46" s="8"/>
      <c r="V46" s="8"/>
      <c r="W46" s="8"/>
    </row>
    <row r="47" spans="1:23">
      <c r="A47" s="101"/>
      <c r="B47"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47" s="11" t="s">
        <v>357</v>
      </c>
      <c r="D47" s="11" t="s">
        <v>183</v>
      </c>
      <c r="E47" s="11" t="s">
        <v>139</v>
      </c>
      <c r="F47" s="11" t="s">
        <v>89</v>
      </c>
      <c r="G47" s="11" t="s">
        <v>135</v>
      </c>
      <c r="H47" s="11" t="s">
        <v>194</v>
      </c>
      <c r="I47" s="11"/>
      <c r="J47" s="11"/>
      <c r="K47" s="102"/>
      <c r="L47" s="102"/>
      <c r="M47" s="8"/>
      <c r="N47" s="8"/>
      <c r="O47" s="13"/>
      <c r="P47" s="8"/>
      <c r="Q47" s="8"/>
      <c r="R47" s="8"/>
      <c r="S47" s="8"/>
      <c r="T47" s="8"/>
      <c r="U47" s="8"/>
      <c r="V47" s="8"/>
      <c r="W47" s="8"/>
    </row>
    <row r="48" spans="1:23">
      <c r="A48" s="101"/>
      <c r="B48"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48" s="41" t="s">
        <v>264</v>
      </c>
      <c r="D48" s="41"/>
      <c r="E48" s="41"/>
      <c r="F48" s="41"/>
      <c r="G48" s="41"/>
      <c r="H48" s="41"/>
      <c r="I48" s="85"/>
      <c r="J48" s="85"/>
      <c r="K48" s="102"/>
      <c r="L48" s="102"/>
      <c r="M48" s="8"/>
      <c r="N48" s="8"/>
      <c r="O48" s="13"/>
      <c r="P48" s="8"/>
      <c r="Q48" s="8"/>
      <c r="R48" s="8"/>
      <c r="S48" s="8"/>
      <c r="T48" s="8"/>
      <c r="U48" s="8"/>
      <c r="V48" s="8"/>
      <c r="W48" s="8"/>
    </row>
    <row r="49" spans="1:23">
      <c r="A49" s="101" t="s">
        <v>10</v>
      </c>
      <c r="B49"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9" s="18" t="s">
        <v>123</v>
      </c>
      <c r="D49" s="18" t="s">
        <v>157</v>
      </c>
      <c r="E49" s="18" t="s">
        <v>160</v>
      </c>
      <c r="F49" s="18" t="s">
        <v>240</v>
      </c>
      <c r="G49" s="18" t="s">
        <v>133</v>
      </c>
      <c r="H49" s="18" t="s">
        <v>358</v>
      </c>
      <c r="I49" s="18" t="s">
        <v>86</v>
      </c>
      <c r="J49" s="18" t="s">
        <v>154</v>
      </c>
      <c r="K49" s="100">
        <f>COUNTIF(C49:J57,"* ضد *")</f>
        <v>44</v>
      </c>
      <c r="L49" s="100">
        <f>K49*2/'ملخص البطولات'!$A$13</f>
        <v>4</v>
      </c>
      <c r="M49" s="8"/>
      <c r="N49" s="8"/>
      <c r="O49" s="13"/>
      <c r="P49" s="8"/>
      <c r="Q49" s="8"/>
      <c r="R49" s="8"/>
      <c r="S49" s="8"/>
      <c r="T49" s="8"/>
      <c r="U49" s="8"/>
      <c r="V49" s="8"/>
      <c r="W49" s="8"/>
    </row>
    <row r="50" spans="1:23">
      <c r="A50" s="101"/>
      <c r="B50"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0" s="18" t="s">
        <v>31</v>
      </c>
      <c r="D50" s="18" t="s">
        <v>359</v>
      </c>
      <c r="E50" s="18" t="s">
        <v>33</v>
      </c>
      <c r="F50" s="18"/>
      <c r="G50" s="18"/>
      <c r="H50" s="18"/>
      <c r="I50" s="18"/>
      <c r="J50" s="18"/>
      <c r="K50" s="100"/>
      <c r="L50" s="100"/>
      <c r="M50" s="8"/>
      <c r="N50" s="8"/>
      <c r="O50" s="13"/>
      <c r="P50" s="8"/>
      <c r="Q50" s="8"/>
      <c r="R50" s="8"/>
      <c r="S50" s="8"/>
      <c r="T50" s="8"/>
      <c r="U50" s="8"/>
      <c r="V50" s="8"/>
      <c r="W50" s="8"/>
    </row>
    <row r="51" spans="1:23">
      <c r="A51" s="101"/>
      <c r="B51"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51" s="18" t="s">
        <v>320</v>
      </c>
      <c r="D51" s="18" t="s">
        <v>319</v>
      </c>
      <c r="E51" s="18" t="s">
        <v>129</v>
      </c>
      <c r="F51" s="18" t="s">
        <v>145</v>
      </c>
      <c r="G51" s="18" t="s">
        <v>184</v>
      </c>
      <c r="H51" s="18" t="s">
        <v>321</v>
      </c>
      <c r="I51" s="18" t="s">
        <v>168</v>
      </c>
      <c r="J51" s="18"/>
      <c r="K51" s="100"/>
      <c r="L51" s="100"/>
      <c r="M51" s="8"/>
      <c r="N51" s="8"/>
      <c r="O51" s="13"/>
      <c r="P51" s="8"/>
      <c r="Q51" s="8"/>
      <c r="R51" s="8"/>
      <c r="S51" s="8"/>
      <c r="T51" s="8"/>
      <c r="U51" s="8"/>
      <c r="V51" s="8"/>
      <c r="W51" s="8"/>
    </row>
    <row r="52" spans="1:23">
      <c r="A52" s="101"/>
      <c r="B52"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52" s="18" t="s">
        <v>91</v>
      </c>
      <c r="D52" s="18" t="s">
        <v>21</v>
      </c>
      <c r="E52" s="18" t="s">
        <v>323</v>
      </c>
      <c r="F52" s="18" t="s">
        <v>322</v>
      </c>
      <c r="G52" s="18"/>
      <c r="H52" s="18"/>
      <c r="I52" s="18"/>
      <c r="J52" s="18"/>
      <c r="K52" s="100"/>
      <c r="L52" s="100"/>
      <c r="M52" s="8"/>
      <c r="N52" s="8"/>
      <c r="O52" s="13"/>
      <c r="P52" s="8"/>
      <c r="Q52" s="8"/>
      <c r="R52" s="8"/>
      <c r="S52" s="8"/>
      <c r="T52" s="8"/>
      <c r="U52" s="8"/>
      <c r="V52" s="8"/>
      <c r="W52" s="8"/>
    </row>
    <row r="53" spans="1:23">
      <c r="A53" s="101"/>
      <c r="B53"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53" s="18" t="s">
        <v>20</v>
      </c>
      <c r="D53" s="18" t="s">
        <v>182</v>
      </c>
      <c r="E53" s="18" t="s">
        <v>166</v>
      </c>
      <c r="F53" s="18" t="s">
        <v>224</v>
      </c>
      <c r="G53" s="18" t="s">
        <v>324</v>
      </c>
      <c r="H53" s="18" t="s">
        <v>325</v>
      </c>
      <c r="I53" s="18"/>
      <c r="J53" s="18"/>
      <c r="K53" s="100"/>
      <c r="L53" s="100"/>
      <c r="M53" s="8"/>
      <c r="N53" s="8"/>
      <c r="O53" s="13"/>
      <c r="P53" s="8"/>
      <c r="Q53" s="8"/>
      <c r="R53" s="8"/>
      <c r="S53" s="8"/>
      <c r="T53" s="8"/>
      <c r="U53" s="8"/>
      <c r="V53" s="8"/>
      <c r="W53" s="8"/>
    </row>
    <row r="54" spans="1:23">
      <c r="A54" s="101"/>
      <c r="B54"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54" s="18" t="s">
        <v>143</v>
      </c>
      <c r="D54" s="18" t="s">
        <v>88</v>
      </c>
      <c r="E54" s="18" t="s">
        <v>326</v>
      </c>
      <c r="F54" s="18" t="s">
        <v>100</v>
      </c>
      <c r="G54" s="18" t="s">
        <v>187</v>
      </c>
      <c r="H54" s="18"/>
      <c r="I54" s="18"/>
      <c r="J54" s="18"/>
      <c r="K54" s="100"/>
      <c r="L54" s="100"/>
      <c r="M54" s="8"/>
      <c r="N54" s="8"/>
      <c r="O54" s="13"/>
      <c r="P54" s="8"/>
      <c r="Q54" s="8"/>
      <c r="R54" s="8"/>
      <c r="S54" s="8"/>
      <c r="T54" s="8"/>
      <c r="U54" s="8"/>
      <c r="V54" s="8"/>
      <c r="W54" s="8"/>
    </row>
    <row r="55" spans="1:23" ht="22" customHeight="1">
      <c r="A55" s="101"/>
      <c r="B55"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55" s="18" t="s">
        <v>85</v>
      </c>
      <c r="D55" s="18" t="s">
        <v>44</v>
      </c>
      <c r="E55" s="18" t="s">
        <v>186</v>
      </c>
      <c r="F55" s="18" t="s">
        <v>215</v>
      </c>
      <c r="G55" s="18" t="s">
        <v>327</v>
      </c>
      <c r="H55" s="18"/>
      <c r="I55" s="18"/>
      <c r="J55" s="18"/>
      <c r="K55" s="100"/>
      <c r="L55" s="100"/>
      <c r="M55" s="8"/>
      <c r="N55" s="8"/>
      <c r="O55" s="13"/>
      <c r="P55" s="8"/>
      <c r="Q55" s="8"/>
      <c r="R55" s="8"/>
      <c r="S55" s="8"/>
      <c r="T55" s="8"/>
      <c r="U55" s="8"/>
      <c r="V55" s="8"/>
      <c r="W55" s="8"/>
    </row>
    <row r="56" spans="1:23">
      <c r="A56" s="101"/>
      <c r="B56"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56" s="18" t="s">
        <v>152</v>
      </c>
      <c r="D56" s="18" t="s">
        <v>328</v>
      </c>
      <c r="E56" s="18" t="s">
        <v>101</v>
      </c>
      <c r="F56" s="18" t="s">
        <v>141</v>
      </c>
      <c r="G56" s="18" t="s">
        <v>127</v>
      </c>
      <c r="H56" s="18" t="s">
        <v>137</v>
      </c>
      <c r="I56" s="18"/>
      <c r="J56" s="18"/>
      <c r="K56" s="100"/>
      <c r="L56" s="100"/>
      <c r="M56" s="8"/>
      <c r="N56" s="8"/>
      <c r="O56" s="13"/>
      <c r="P56" s="8"/>
      <c r="Q56" s="8"/>
      <c r="R56" s="8"/>
      <c r="S56" s="8"/>
      <c r="T56" s="8"/>
      <c r="U56" s="8"/>
      <c r="V56" s="8"/>
      <c r="W56" s="8"/>
    </row>
    <row r="57" spans="1:23">
      <c r="A57" s="101"/>
      <c r="B57"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57" s="41" t="s">
        <v>264</v>
      </c>
      <c r="D57" s="41"/>
      <c r="E57" s="41"/>
      <c r="F57" s="41"/>
      <c r="G57" s="41"/>
      <c r="H57" s="41"/>
      <c r="I57" s="85"/>
      <c r="J57" s="85"/>
      <c r="K57" s="100"/>
      <c r="L57" s="100"/>
      <c r="M57" s="8"/>
      <c r="N57" s="8"/>
      <c r="O57" s="13"/>
      <c r="P57" s="8"/>
      <c r="Q57" s="8"/>
      <c r="R57" s="8"/>
      <c r="S57" s="8"/>
      <c r="T57" s="8"/>
      <c r="U57" s="8"/>
      <c r="V57" s="8"/>
      <c r="W57" s="8"/>
    </row>
    <row r="58" spans="1:23">
      <c r="A58" s="101" t="s">
        <v>11</v>
      </c>
      <c r="B58"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58" s="11" t="s">
        <v>193</v>
      </c>
      <c r="D58" s="11" t="s">
        <v>47</v>
      </c>
      <c r="E58" s="11" t="s">
        <v>216</v>
      </c>
      <c r="F58" s="11" t="s">
        <v>151</v>
      </c>
      <c r="G58" s="11" t="s">
        <v>156</v>
      </c>
      <c r="H58" s="11" t="s">
        <v>93</v>
      </c>
      <c r="I58" s="11"/>
      <c r="J58" s="11"/>
      <c r="K58" s="102">
        <f>COUNTIF(C58:J66,"* ضد *")</f>
        <v>44</v>
      </c>
      <c r="L58" s="102">
        <f>K58*2/'ملخص البطولات'!$A$13</f>
        <v>4</v>
      </c>
      <c r="M58" s="8"/>
      <c r="N58" s="8"/>
      <c r="O58" s="13"/>
      <c r="P58" s="8"/>
      <c r="Q58" s="8"/>
      <c r="R58" s="8"/>
      <c r="S58" s="8"/>
      <c r="T58" s="8"/>
      <c r="U58" s="8"/>
      <c r="V58" s="8"/>
      <c r="W58" s="8"/>
    </row>
    <row r="59" spans="1:23">
      <c r="A59" s="101"/>
      <c r="B59"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9" s="11" t="s">
        <v>69</v>
      </c>
      <c r="D59" s="11" t="s">
        <v>70</v>
      </c>
      <c r="E59" s="11" t="s">
        <v>24</v>
      </c>
      <c r="F59" s="11" t="s">
        <v>26</v>
      </c>
      <c r="G59" s="11" t="s">
        <v>175</v>
      </c>
      <c r="H59" s="11"/>
      <c r="I59" s="11"/>
      <c r="J59" s="11"/>
      <c r="K59" s="102"/>
      <c r="L59" s="102"/>
      <c r="M59" s="8"/>
      <c r="N59" s="8"/>
      <c r="O59" s="13"/>
      <c r="P59" s="8"/>
      <c r="Q59" s="8"/>
      <c r="R59" s="8"/>
      <c r="S59" s="8"/>
      <c r="T59" s="8"/>
      <c r="U59" s="8"/>
      <c r="V59" s="8"/>
      <c r="W59" s="8"/>
    </row>
    <row r="60" spans="1:23">
      <c r="A60" s="101"/>
      <c r="B60"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0" s="11" t="s">
        <v>332</v>
      </c>
      <c r="D60" s="11" t="s">
        <v>217</v>
      </c>
      <c r="E60" s="11" t="s">
        <v>28</v>
      </c>
      <c r="F60" s="11" t="s">
        <v>119</v>
      </c>
      <c r="G60" s="11" t="s">
        <v>140</v>
      </c>
      <c r="H60" s="11"/>
      <c r="I60" s="11"/>
      <c r="J60" s="11"/>
      <c r="K60" s="102"/>
      <c r="L60" s="102"/>
      <c r="M60" s="8"/>
      <c r="N60" s="8"/>
      <c r="O60" s="13"/>
      <c r="P60" s="8"/>
      <c r="Q60" s="8"/>
      <c r="R60" s="8"/>
      <c r="S60" s="8"/>
      <c r="T60" s="8"/>
      <c r="U60" s="8"/>
      <c r="V60" s="8"/>
      <c r="W60" s="8"/>
    </row>
    <row r="61" spans="1:23">
      <c r="A61" s="101"/>
      <c r="B61"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61" s="11" t="s">
        <v>25</v>
      </c>
      <c r="D61" s="11" t="s">
        <v>77</v>
      </c>
      <c r="E61" s="11" t="s">
        <v>27</v>
      </c>
      <c r="F61" s="11" t="s">
        <v>42</v>
      </c>
      <c r="G61" s="11" t="s">
        <v>225</v>
      </c>
      <c r="H61" s="11" t="s">
        <v>333</v>
      </c>
      <c r="I61" s="11"/>
      <c r="J61" s="11"/>
      <c r="K61" s="102"/>
      <c r="L61" s="102"/>
      <c r="M61" s="8"/>
      <c r="N61" s="8"/>
      <c r="O61" s="13"/>
      <c r="P61" s="8"/>
      <c r="Q61" s="8"/>
      <c r="R61" s="8"/>
      <c r="S61" s="8"/>
      <c r="T61" s="8"/>
      <c r="U61" s="8"/>
      <c r="V61" s="8"/>
      <c r="W61" s="8"/>
    </row>
    <row r="62" spans="1:23">
      <c r="A62" s="101"/>
      <c r="B62"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62" s="11" t="s">
        <v>330</v>
      </c>
      <c r="D62" s="11" t="s">
        <v>118</v>
      </c>
      <c r="E62" s="11" t="s">
        <v>136</v>
      </c>
      <c r="F62" s="11" t="s">
        <v>161</v>
      </c>
      <c r="G62" s="11"/>
      <c r="H62" s="11"/>
      <c r="I62" s="11"/>
      <c r="J62" s="11"/>
      <c r="K62" s="102"/>
      <c r="L62" s="102"/>
      <c r="M62" s="8"/>
      <c r="N62" s="8"/>
      <c r="O62" s="13"/>
      <c r="P62" s="8"/>
      <c r="Q62" s="8"/>
      <c r="R62" s="8"/>
      <c r="S62" s="8"/>
      <c r="T62" s="8"/>
      <c r="U62" s="8"/>
      <c r="V62" s="8"/>
      <c r="W62" s="8"/>
    </row>
    <row r="63" spans="1:23">
      <c r="A63" s="101"/>
      <c r="B63"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63" s="11" t="s">
        <v>73</v>
      </c>
      <c r="D63" s="11" t="s">
        <v>66</v>
      </c>
      <c r="E63" s="11" t="s">
        <v>30</v>
      </c>
      <c r="F63" s="11" t="s">
        <v>22</v>
      </c>
      <c r="G63" s="11" t="s">
        <v>164</v>
      </c>
      <c r="H63" s="11" t="s">
        <v>331</v>
      </c>
      <c r="I63" s="11" t="s">
        <v>218</v>
      </c>
      <c r="J63" s="11"/>
      <c r="K63" s="102"/>
      <c r="L63" s="102"/>
      <c r="M63" s="8"/>
      <c r="N63" s="8"/>
      <c r="O63" s="13"/>
      <c r="P63" s="8"/>
      <c r="Q63" s="8"/>
      <c r="R63" s="8"/>
      <c r="S63" s="8"/>
      <c r="T63" s="8"/>
      <c r="U63" s="8"/>
      <c r="V63" s="8"/>
      <c r="W63" s="8"/>
    </row>
    <row r="64" spans="1:23">
      <c r="A64" s="101"/>
      <c r="B64"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64" s="11" t="s">
        <v>126</v>
      </c>
      <c r="D64" s="11" t="s">
        <v>122</v>
      </c>
      <c r="E64" s="11" t="s">
        <v>144</v>
      </c>
      <c r="F64" s="11"/>
      <c r="G64" s="11"/>
      <c r="H64" s="11"/>
      <c r="I64" s="11"/>
      <c r="J64" s="11"/>
      <c r="K64" s="102"/>
      <c r="L64" s="102"/>
      <c r="M64" s="8"/>
      <c r="N64" s="8"/>
      <c r="O64" s="13"/>
      <c r="P64" s="8"/>
      <c r="Q64" s="8"/>
      <c r="R64" s="8"/>
      <c r="S64" s="8"/>
      <c r="T64" s="8"/>
      <c r="U64" s="8"/>
      <c r="V64" s="8"/>
      <c r="W64" s="8"/>
    </row>
    <row r="65" spans="1:23">
      <c r="A65" s="101"/>
      <c r="B65"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65" s="11" t="s">
        <v>179</v>
      </c>
      <c r="D65" s="11" t="s">
        <v>329</v>
      </c>
      <c r="E65" s="11" t="s">
        <v>60</v>
      </c>
      <c r="F65" s="11" t="s">
        <v>125</v>
      </c>
      <c r="G65" s="11" t="s">
        <v>278</v>
      </c>
      <c r="H65" s="11" t="s">
        <v>173</v>
      </c>
      <c r="I65" s="11" t="s">
        <v>81</v>
      </c>
      <c r="J65" s="11" t="s">
        <v>53</v>
      </c>
      <c r="K65" s="102"/>
      <c r="L65" s="102"/>
      <c r="M65" s="8"/>
      <c r="N65" s="8"/>
      <c r="O65" s="13"/>
      <c r="P65" s="8"/>
      <c r="Q65" s="8"/>
      <c r="R65" s="8"/>
      <c r="S65" s="8"/>
      <c r="T65" s="8"/>
      <c r="U65" s="8"/>
      <c r="V65" s="8"/>
      <c r="W65" s="8"/>
    </row>
    <row r="66" spans="1:23">
      <c r="A66" s="101"/>
      <c r="B66"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66" s="41" t="s">
        <v>264</v>
      </c>
      <c r="D66" s="41"/>
      <c r="E66" s="41"/>
      <c r="F66" s="41"/>
      <c r="G66" s="41"/>
      <c r="H66" s="41"/>
      <c r="I66" s="85"/>
      <c r="J66" s="85"/>
      <c r="K66" s="102"/>
      <c r="L66" s="102"/>
      <c r="M66" s="8"/>
      <c r="N66" s="8"/>
      <c r="O66" s="13"/>
      <c r="P66" s="8"/>
      <c r="Q66" s="8"/>
      <c r="R66" s="8"/>
      <c r="S66" s="8"/>
      <c r="T66" s="8"/>
      <c r="U66" s="8"/>
      <c r="V66" s="8"/>
      <c r="W66" s="8"/>
    </row>
    <row r="67" spans="1:23">
      <c r="A67" s="8"/>
      <c r="B67" s="8"/>
      <c r="C67" s="8"/>
      <c r="D67" s="8"/>
      <c r="E67" s="8"/>
      <c r="F67" s="8"/>
      <c r="G67" s="8"/>
      <c r="H67" s="8"/>
      <c r="I67" s="8"/>
      <c r="J67" s="8"/>
      <c r="K67" s="8"/>
      <c r="L67" s="8"/>
      <c r="M67" s="8"/>
      <c r="N67" s="8"/>
      <c r="O67" s="13"/>
      <c r="P67" s="8"/>
      <c r="Q67" s="8"/>
      <c r="R67" s="8"/>
      <c r="S67" s="8"/>
      <c r="T67" s="8"/>
      <c r="U67" s="8"/>
      <c r="V67" s="8"/>
      <c r="W67" s="8"/>
    </row>
    <row r="68" spans="1:23">
      <c r="A68" s="8"/>
      <c r="B68" s="8"/>
      <c r="C68" s="8"/>
      <c r="D68" s="8"/>
      <c r="E68" s="8"/>
      <c r="F68" s="8"/>
      <c r="G68" s="8"/>
      <c r="H68" s="8"/>
      <c r="I68" s="8"/>
      <c r="J68" s="8"/>
      <c r="K68" s="8"/>
      <c r="L68" s="8"/>
      <c r="M68" s="8"/>
      <c r="N68" s="8"/>
      <c r="O68" s="13"/>
      <c r="P68" s="8"/>
      <c r="Q68" s="8"/>
      <c r="R68" s="8"/>
      <c r="S68" s="8"/>
      <c r="T68" s="8"/>
      <c r="U68" s="8"/>
      <c r="V68" s="8"/>
      <c r="W68" s="8"/>
    </row>
    <row r="69" spans="1:23">
      <c r="A69" s="103" t="s">
        <v>271</v>
      </c>
      <c r="B69" s="99"/>
      <c r="C69" s="99"/>
      <c r="D69" s="99"/>
      <c r="E69" s="99"/>
      <c r="F69" s="99"/>
      <c r="G69" s="99"/>
      <c r="H69" s="99"/>
      <c r="I69" s="99"/>
      <c r="J69" s="99"/>
      <c r="K69" s="99"/>
      <c r="L69" s="99"/>
      <c r="M69" s="99"/>
      <c r="N69" s="99"/>
      <c r="O69" s="99"/>
      <c r="P69" s="99"/>
      <c r="Q69" s="99"/>
      <c r="R69" s="99"/>
      <c r="S69" s="99"/>
      <c r="T69" s="99"/>
      <c r="U69" s="99"/>
      <c r="V69" s="99"/>
      <c r="W69" s="99"/>
    </row>
    <row r="70" spans="1:23">
      <c r="A70" s="10" t="s">
        <v>272</v>
      </c>
      <c r="B70" s="10">
        <v>1</v>
      </c>
      <c r="C70" s="10">
        <v>2</v>
      </c>
      <c r="D70" s="10">
        <v>3</v>
      </c>
      <c r="E70" s="10">
        <v>4</v>
      </c>
      <c r="F70" s="10">
        <v>5</v>
      </c>
      <c r="G70" s="10">
        <v>6</v>
      </c>
      <c r="H70" s="10">
        <v>7</v>
      </c>
      <c r="I70" s="10">
        <v>8</v>
      </c>
      <c r="J70" s="10">
        <v>9</v>
      </c>
      <c r="K70" s="10">
        <v>10</v>
      </c>
      <c r="L70" s="10">
        <v>11</v>
      </c>
      <c r="M70" s="10">
        <v>12</v>
      </c>
      <c r="N70" s="10">
        <v>13</v>
      </c>
      <c r="O70" s="23">
        <v>14</v>
      </c>
      <c r="P70" s="10">
        <v>15</v>
      </c>
      <c r="Q70" s="10">
        <v>16</v>
      </c>
      <c r="R70" s="10">
        <v>17</v>
      </c>
      <c r="S70" s="10">
        <v>18</v>
      </c>
      <c r="T70" s="10">
        <v>19</v>
      </c>
      <c r="U70" s="10">
        <v>20</v>
      </c>
      <c r="V70" s="10">
        <v>21</v>
      </c>
      <c r="W70" s="10">
        <v>22</v>
      </c>
    </row>
    <row r="71" spans="1:23">
      <c r="A71" s="10">
        <v>1</v>
      </c>
      <c r="B71" s="11" t="str">
        <f t="shared" ref="B71:K80" si="0">IF($A71=B$70,"",COUNTIF($C$4:$J$66,$A71&amp;" ضد "&amp;B$70)+COUNTIF($C$4:$J$66,B$70&amp;" ضد "&amp;$A71))</f>
        <v/>
      </c>
      <c r="C71" s="11">
        <f t="shared" si="0"/>
        <v>1</v>
      </c>
      <c r="D71" s="11">
        <f t="shared" si="0"/>
        <v>2</v>
      </c>
      <c r="E71" s="11">
        <f t="shared" si="0"/>
        <v>1</v>
      </c>
      <c r="F71" s="11">
        <f t="shared" si="0"/>
        <v>2</v>
      </c>
      <c r="G71" s="11">
        <f t="shared" si="0"/>
        <v>1</v>
      </c>
      <c r="H71" s="11">
        <f t="shared" si="0"/>
        <v>2</v>
      </c>
      <c r="I71" s="11">
        <f t="shared" si="0"/>
        <v>1</v>
      </c>
      <c r="J71" s="11">
        <f t="shared" si="0"/>
        <v>2</v>
      </c>
      <c r="K71" s="11">
        <f t="shared" si="0"/>
        <v>1</v>
      </c>
      <c r="L71" s="11">
        <f t="shared" ref="L71:W80" si="1">IF($A71=L$70,"",COUNTIF($C$4:$J$66,$A71&amp;" ضد "&amp;L$70)+COUNTIF($C$4:$J$66,L$70&amp;" ضد "&amp;$A71))</f>
        <v>2</v>
      </c>
      <c r="M71" s="11">
        <f t="shared" si="1"/>
        <v>1</v>
      </c>
      <c r="N71" s="11">
        <f t="shared" si="1"/>
        <v>2</v>
      </c>
      <c r="O71" s="24">
        <f t="shared" si="1"/>
        <v>1</v>
      </c>
      <c r="P71" s="11">
        <f t="shared" si="1"/>
        <v>1</v>
      </c>
      <c r="Q71" s="11">
        <f t="shared" si="1"/>
        <v>1</v>
      </c>
      <c r="R71" s="11">
        <f t="shared" si="1"/>
        <v>1</v>
      </c>
      <c r="S71" s="11">
        <f t="shared" si="1"/>
        <v>1</v>
      </c>
      <c r="T71" s="11">
        <f t="shared" si="1"/>
        <v>1</v>
      </c>
      <c r="U71" s="11">
        <f t="shared" si="1"/>
        <v>1</v>
      </c>
      <c r="V71" s="11">
        <f t="shared" si="1"/>
        <v>1</v>
      </c>
      <c r="W71" s="11">
        <f t="shared" si="1"/>
        <v>2</v>
      </c>
    </row>
    <row r="72" spans="1:23">
      <c r="A72" s="10">
        <v>2</v>
      </c>
      <c r="B72" s="11">
        <f t="shared" si="0"/>
        <v>1</v>
      </c>
      <c r="C72" s="11" t="str">
        <f t="shared" si="0"/>
        <v/>
      </c>
      <c r="D72" s="11">
        <f t="shared" si="0"/>
        <v>1</v>
      </c>
      <c r="E72" s="11">
        <f t="shared" si="0"/>
        <v>2</v>
      </c>
      <c r="F72" s="11">
        <f t="shared" si="0"/>
        <v>1</v>
      </c>
      <c r="G72" s="11">
        <f t="shared" si="0"/>
        <v>2</v>
      </c>
      <c r="H72" s="11">
        <f t="shared" si="0"/>
        <v>1</v>
      </c>
      <c r="I72" s="11">
        <f t="shared" si="0"/>
        <v>2</v>
      </c>
      <c r="J72" s="11">
        <f t="shared" si="0"/>
        <v>1</v>
      </c>
      <c r="K72" s="11">
        <f t="shared" si="0"/>
        <v>2</v>
      </c>
      <c r="L72" s="11">
        <f t="shared" si="1"/>
        <v>1</v>
      </c>
      <c r="M72" s="11">
        <f t="shared" si="1"/>
        <v>2</v>
      </c>
      <c r="N72" s="11">
        <f t="shared" si="1"/>
        <v>1</v>
      </c>
      <c r="O72" s="24">
        <f t="shared" si="1"/>
        <v>1</v>
      </c>
      <c r="P72" s="11">
        <f t="shared" si="1"/>
        <v>1</v>
      </c>
      <c r="Q72" s="11">
        <f t="shared" si="1"/>
        <v>1</v>
      </c>
      <c r="R72" s="11">
        <f t="shared" si="1"/>
        <v>1</v>
      </c>
      <c r="S72" s="11">
        <f t="shared" si="1"/>
        <v>1</v>
      </c>
      <c r="T72" s="11">
        <f t="shared" si="1"/>
        <v>1</v>
      </c>
      <c r="U72" s="11">
        <f t="shared" si="1"/>
        <v>1</v>
      </c>
      <c r="V72" s="11">
        <f t="shared" si="1"/>
        <v>2</v>
      </c>
      <c r="W72" s="11">
        <f t="shared" si="1"/>
        <v>2</v>
      </c>
    </row>
    <row r="73" spans="1:23">
      <c r="A73" s="10">
        <v>3</v>
      </c>
      <c r="B73" s="11">
        <f t="shared" si="0"/>
        <v>2</v>
      </c>
      <c r="C73" s="11">
        <f t="shared" si="0"/>
        <v>1</v>
      </c>
      <c r="D73" s="11" t="str">
        <f t="shared" si="0"/>
        <v/>
      </c>
      <c r="E73" s="11">
        <f t="shared" si="0"/>
        <v>1</v>
      </c>
      <c r="F73" s="11">
        <f t="shared" si="0"/>
        <v>2</v>
      </c>
      <c r="G73" s="11">
        <f t="shared" si="0"/>
        <v>1</v>
      </c>
      <c r="H73" s="11">
        <f t="shared" si="0"/>
        <v>2</v>
      </c>
      <c r="I73" s="11">
        <f t="shared" si="0"/>
        <v>1</v>
      </c>
      <c r="J73" s="11">
        <f t="shared" si="0"/>
        <v>2</v>
      </c>
      <c r="K73" s="11">
        <f t="shared" si="0"/>
        <v>1</v>
      </c>
      <c r="L73" s="11">
        <f t="shared" si="1"/>
        <v>2</v>
      </c>
      <c r="M73" s="11">
        <f t="shared" si="1"/>
        <v>1</v>
      </c>
      <c r="N73" s="11">
        <f t="shared" si="1"/>
        <v>1</v>
      </c>
      <c r="O73" s="24">
        <f t="shared" si="1"/>
        <v>1</v>
      </c>
      <c r="P73" s="11">
        <f t="shared" si="1"/>
        <v>1</v>
      </c>
      <c r="Q73" s="11">
        <f t="shared" si="1"/>
        <v>1</v>
      </c>
      <c r="R73" s="11">
        <f t="shared" si="1"/>
        <v>1</v>
      </c>
      <c r="S73" s="11">
        <f t="shared" si="1"/>
        <v>1</v>
      </c>
      <c r="T73" s="11">
        <f t="shared" si="1"/>
        <v>1</v>
      </c>
      <c r="U73" s="11">
        <f t="shared" si="1"/>
        <v>2</v>
      </c>
      <c r="V73" s="11">
        <f t="shared" si="1"/>
        <v>1</v>
      </c>
      <c r="W73" s="11">
        <f t="shared" si="1"/>
        <v>2</v>
      </c>
    </row>
    <row r="74" spans="1:23">
      <c r="A74" s="10">
        <v>4</v>
      </c>
      <c r="B74" s="11">
        <f t="shared" si="0"/>
        <v>1</v>
      </c>
      <c r="C74" s="11">
        <f t="shared" si="0"/>
        <v>2</v>
      </c>
      <c r="D74" s="11">
        <f t="shared" si="0"/>
        <v>1</v>
      </c>
      <c r="E74" s="11" t="str">
        <f t="shared" si="0"/>
        <v/>
      </c>
      <c r="F74" s="11">
        <f t="shared" si="0"/>
        <v>1</v>
      </c>
      <c r="G74" s="11">
        <f t="shared" si="0"/>
        <v>2</v>
      </c>
      <c r="H74" s="11">
        <f t="shared" si="0"/>
        <v>1</v>
      </c>
      <c r="I74" s="11">
        <f t="shared" si="0"/>
        <v>2</v>
      </c>
      <c r="J74" s="11">
        <f t="shared" si="0"/>
        <v>1</v>
      </c>
      <c r="K74" s="11">
        <f t="shared" si="0"/>
        <v>2</v>
      </c>
      <c r="L74" s="11">
        <f t="shared" si="1"/>
        <v>1</v>
      </c>
      <c r="M74" s="11">
        <f t="shared" si="1"/>
        <v>1</v>
      </c>
      <c r="N74" s="11">
        <f t="shared" si="1"/>
        <v>1</v>
      </c>
      <c r="O74" s="24">
        <f t="shared" si="1"/>
        <v>1</v>
      </c>
      <c r="P74" s="11">
        <f t="shared" si="1"/>
        <v>1</v>
      </c>
      <c r="Q74" s="11">
        <f t="shared" si="1"/>
        <v>1</v>
      </c>
      <c r="R74" s="11">
        <f t="shared" si="1"/>
        <v>1</v>
      </c>
      <c r="S74" s="11">
        <f t="shared" si="1"/>
        <v>1</v>
      </c>
      <c r="T74" s="11">
        <f t="shared" si="1"/>
        <v>2</v>
      </c>
      <c r="U74" s="11">
        <f t="shared" si="1"/>
        <v>1</v>
      </c>
      <c r="V74" s="11">
        <f t="shared" si="1"/>
        <v>2</v>
      </c>
      <c r="W74" s="11">
        <f t="shared" si="1"/>
        <v>2</v>
      </c>
    </row>
    <row r="75" spans="1:23">
      <c r="A75" s="10">
        <v>5</v>
      </c>
      <c r="B75" s="11">
        <f t="shared" si="0"/>
        <v>2</v>
      </c>
      <c r="C75" s="11">
        <f t="shared" si="0"/>
        <v>1</v>
      </c>
      <c r="D75" s="11">
        <f t="shared" si="0"/>
        <v>2</v>
      </c>
      <c r="E75" s="11">
        <f t="shared" si="0"/>
        <v>1</v>
      </c>
      <c r="F75" s="11" t="str">
        <f t="shared" si="0"/>
        <v/>
      </c>
      <c r="G75" s="11">
        <f t="shared" si="0"/>
        <v>1</v>
      </c>
      <c r="H75" s="11">
        <f t="shared" si="0"/>
        <v>2</v>
      </c>
      <c r="I75" s="11">
        <f t="shared" si="0"/>
        <v>1</v>
      </c>
      <c r="J75" s="11">
        <f t="shared" si="0"/>
        <v>2</v>
      </c>
      <c r="K75" s="11">
        <f t="shared" si="0"/>
        <v>1</v>
      </c>
      <c r="L75" s="11">
        <f t="shared" si="1"/>
        <v>1</v>
      </c>
      <c r="M75" s="11">
        <f t="shared" si="1"/>
        <v>1</v>
      </c>
      <c r="N75" s="11">
        <f t="shared" si="1"/>
        <v>1</v>
      </c>
      <c r="O75" s="24">
        <f t="shared" si="1"/>
        <v>1</v>
      </c>
      <c r="P75" s="11">
        <f t="shared" si="1"/>
        <v>1</v>
      </c>
      <c r="Q75" s="11">
        <f t="shared" si="1"/>
        <v>1</v>
      </c>
      <c r="R75" s="11">
        <f t="shared" si="1"/>
        <v>1</v>
      </c>
      <c r="S75" s="11">
        <f t="shared" si="1"/>
        <v>2</v>
      </c>
      <c r="T75" s="11">
        <f t="shared" si="1"/>
        <v>1</v>
      </c>
      <c r="U75" s="11">
        <f t="shared" si="1"/>
        <v>2</v>
      </c>
      <c r="V75" s="11">
        <f t="shared" si="1"/>
        <v>1</v>
      </c>
      <c r="W75" s="11">
        <f t="shared" si="1"/>
        <v>2</v>
      </c>
    </row>
    <row r="76" spans="1:23">
      <c r="A76" s="10">
        <v>6</v>
      </c>
      <c r="B76" s="11">
        <f t="shared" si="0"/>
        <v>1</v>
      </c>
      <c r="C76" s="11">
        <f t="shared" si="0"/>
        <v>2</v>
      </c>
      <c r="D76" s="11">
        <f t="shared" si="0"/>
        <v>1</v>
      </c>
      <c r="E76" s="11">
        <f t="shared" si="0"/>
        <v>2</v>
      </c>
      <c r="F76" s="11">
        <f t="shared" si="0"/>
        <v>1</v>
      </c>
      <c r="G76" s="11" t="str">
        <f t="shared" si="0"/>
        <v/>
      </c>
      <c r="H76" s="11">
        <f t="shared" si="0"/>
        <v>1</v>
      </c>
      <c r="I76" s="11">
        <f t="shared" si="0"/>
        <v>2</v>
      </c>
      <c r="J76" s="11">
        <f t="shared" si="0"/>
        <v>1</v>
      </c>
      <c r="K76" s="11">
        <f t="shared" si="0"/>
        <v>1</v>
      </c>
      <c r="L76" s="11">
        <f t="shared" si="1"/>
        <v>1</v>
      </c>
      <c r="M76" s="11">
        <f t="shared" si="1"/>
        <v>1</v>
      </c>
      <c r="N76" s="11">
        <f t="shared" si="1"/>
        <v>1</v>
      </c>
      <c r="O76" s="24">
        <f t="shared" si="1"/>
        <v>1</v>
      </c>
      <c r="P76" s="11">
        <f t="shared" si="1"/>
        <v>1</v>
      </c>
      <c r="Q76" s="11">
        <f t="shared" si="1"/>
        <v>1</v>
      </c>
      <c r="R76" s="11">
        <f t="shared" si="1"/>
        <v>2</v>
      </c>
      <c r="S76" s="11">
        <f t="shared" si="1"/>
        <v>1</v>
      </c>
      <c r="T76" s="11">
        <f t="shared" si="1"/>
        <v>2</v>
      </c>
      <c r="U76" s="11">
        <f t="shared" si="1"/>
        <v>1</v>
      </c>
      <c r="V76" s="11">
        <f t="shared" si="1"/>
        <v>2</v>
      </c>
      <c r="W76" s="11">
        <f t="shared" si="1"/>
        <v>2</v>
      </c>
    </row>
    <row r="77" spans="1:23">
      <c r="A77" s="10">
        <v>7</v>
      </c>
      <c r="B77" s="11">
        <f t="shared" si="0"/>
        <v>2</v>
      </c>
      <c r="C77" s="11">
        <f t="shared" si="0"/>
        <v>1</v>
      </c>
      <c r="D77" s="11">
        <f t="shared" si="0"/>
        <v>2</v>
      </c>
      <c r="E77" s="11">
        <f t="shared" si="0"/>
        <v>1</v>
      </c>
      <c r="F77" s="11">
        <f t="shared" si="0"/>
        <v>2</v>
      </c>
      <c r="G77" s="11">
        <f t="shared" si="0"/>
        <v>1</v>
      </c>
      <c r="H77" s="24" t="str">
        <f t="shared" si="0"/>
        <v/>
      </c>
      <c r="I77" s="24">
        <f t="shared" si="0"/>
        <v>1</v>
      </c>
      <c r="J77" s="24">
        <f t="shared" si="0"/>
        <v>1</v>
      </c>
      <c r="K77" s="24">
        <f t="shared" si="0"/>
        <v>1</v>
      </c>
      <c r="L77" s="24">
        <f t="shared" si="1"/>
        <v>1</v>
      </c>
      <c r="M77" s="24">
        <f t="shared" si="1"/>
        <v>1</v>
      </c>
      <c r="N77" s="24">
        <f t="shared" si="1"/>
        <v>1</v>
      </c>
      <c r="O77" s="24">
        <f t="shared" si="1"/>
        <v>1</v>
      </c>
      <c r="P77" s="11">
        <f t="shared" si="1"/>
        <v>1</v>
      </c>
      <c r="Q77" s="11">
        <f t="shared" si="1"/>
        <v>2</v>
      </c>
      <c r="R77" s="11">
        <f t="shared" si="1"/>
        <v>1</v>
      </c>
      <c r="S77" s="11">
        <f t="shared" si="1"/>
        <v>2</v>
      </c>
      <c r="T77" s="11">
        <f t="shared" si="1"/>
        <v>1</v>
      </c>
      <c r="U77" s="11">
        <f t="shared" si="1"/>
        <v>2</v>
      </c>
      <c r="V77" s="11">
        <f t="shared" si="1"/>
        <v>1</v>
      </c>
      <c r="W77" s="11">
        <f t="shared" si="1"/>
        <v>2</v>
      </c>
    </row>
    <row r="78" spans="1:23">
      <c r="A78" s="10">
        <v>8</v>
      </c>
      <c r="B78" s="11">
        <f t="shared" si="0"/>
        <v>1</v>
      </c>
      <c r="C78" s="11">
        <f t="shared" si="0"/>
        <v>2</v>
      </c>
      <c r="D78" s="11">
        <f t="shared" si="0"/>
        <v>1</v>
      </c>
      <c r="E78" s="11">
        <f t="shared" si="0"/>
        <v>2</v>
      </c>
      <c r="F78" s="11">
        <f t="shared" si="0"/>
        <v>1</v>
      </c>
      <c r="G78" s="11">
        <f t="shared" si="0"/>
        <v>2</v>
      </c>
      <c r="H78" s="11">
        <f t="shared" si="0"/>
        <v>1</v>
      </c>
      <c r="I78" s="11" t="str">
        <f t="shared" si="0"/>
        <v/>
      </c>
      <c r="J78" s="11">
        <f t="shared" si="0"/>
        <v>1</v>
      </c>
      <c r="K78" s="11">
        <f t="shared" si="0"/>
        <v>1</v>
      </c>
      <c r="L78" s="11">
        <f t="shared" si="1"/>
        <v>1</v>
      </c>
      <c r="M78" s="11">
        <f t="shared" si="1"/>
        <v>1</v>
      </c>
      <c r="N78" s="11">
        <f t="shared" si="1"/>
        <v>1</v>
      </c>
      <c r="O78" s="11">
        <f t="shared" si="1"/>
        <v>1</v>
      </c>
      <c r="P78" s="11">
        <f t="shared" si="1"/>
        <v>2</v>
      </c>
      <c r="Q78" s="11">
        <f t="shared" si="1"/>
        <v>1</v>
      </c>
      <c r="R78" s="11">
        <f t="shared" si="1"/>
        <v>2</v>
      </c>
      <c r="S78" s="11">
        <f t="shared" si="1"/>
        <v>1</v>
      </c>
      <c r="T78" s="11">
        <f t="shared" si="1"/>
        <v>2</v>
      </c>
      <c r="U78" s="11">
        <f t="shared" si="1"/>
        <v>1</v>
      </c>
      <c r="V78" s="11">
        <f t="shared" si="1"/>
        <v>2</v>
      </c>
      <c r="W78" s="11">
        <f t="shared" si="1"/>
        <v>1</v>
      </c>
    </row>
    <row r="79" spans="1:23">
      <c r="A79" s="10">
        <v>9</v>
      </c>
      <c r="B79" s="11">
        <f t="shared" si="0"/>
        <v>2</v>
      </c>
      <c r="C79" s="11">
        <f t="shared" si="0"/>
        <v>1</v>
      </c>
      <c r="D79" s="11">
        <f t="shared" si="0"/>
        <v>2</v>
      </c>
      <c r="E79" s="11">
        <f t="shared" si="0"/>
        <v>1</v>
      </c>
      <c r="F79" s="11">
        <f t="shared" si="0"/>
        <v>2</v>
      </c>
      <c r="G79" s="11">
        <f t="shared" si="0"/>
        <v>1</v>
      </c>
      <c r="H79" s="11">
        <f t="shared" si="0"/>
        <v>1</v>
      </c>
      <c r="I79" s="11">
        <f t="shared" si="0"/>
        <v>1</v>
      </c>
      <c r="J79" s="11" t="str">
        <f t="shared" si="0"/>
        <v/>
      </c>
      <c r="K79" s="11">
        <f t="shared" si="0"/>
        <v>1</v>
      </c>
      <c r="L79" s="11">
        <f t="shared" si="1"/>
        <v>1</v>
      </c>
      <c r="M79" s="11">
        <f t="shared" si="1"/>
        <v>1</v>
      </c>
      <c r="N79" s="11">
        <f t="shared" si="1"/>
        <v>1</v>
      </c>
      <c r="O79" s="11">
        <f t="shared" si="1"/>
        <v>2</v>
      </c>
      <c r="P79" s="11">
        <f t="shared" si="1"/>
        <v>1</v>
      </c>
      <c r="Q79" s="11">
        <f t="shared" si="1"/>
        <v>2</v>
      </c>
      <c r="R79" s="11">
        <f t="shared" si="1"/>
        <v>1</v>
      </c>
      <c r="S79" s="11">
        <f t="shared" si="1"/>
        <v>2</v>
      </c>
      <c r="T79" s="11">
        <f t="shared" si="1"/>
        <v>1</v>
      </c>
      <c r="U79" s="11">
        <f t="shared" si="1"/>
        <v>2</v>
      </c>
      <c r="V79" s="11">
        <f t="shared" si="1"/>
        <v>1</v>
      </c>
      <c r="W79" s="11">
        <f t="shared" si="1"/>
        <v>1</v>
      </c>
    </row>
    <row r="80" spans="1:23">
      <c r="A80" s="10">
        <v>10</v>
      </c>
      <c r="B80" s="11">
        <f t="shared" si="0"/>
        <v>1</v>
      </c>
      <c r="C80" s="11">
        <f t="shared" si="0"/>
        <v>2</v>
      </c>
      <c r="D80" s="11">
        <f t="shared" si="0"/>
        <v>1</v>
      </c>
      <c r="E80" s="11">
        <f t="shared" si="0"/>
        <v>2</v>
      </c>
      <c r="F80" s="11">
        <f t="shared" si="0"/>
        <v>1</v>
      </c>
      <c r="G80" s="11">
        <f t="shared" si="0"/>
        <v>1</v>
      </c>
      <c r="H80" s="11">
        <f t="shared" si="0"/>
        <v>1</v>
      </c>
      <c r="I80" s="11">
        <f t="shared" si="0"/>
        <v>1</v>
      </c>
      <c r="J80" s="11">
        <f t="shared" si="0"/>
        <v>1</v>
      </c>
      <c r="K80" s="11" t="str">
        <f t="shared" si="0"/>
        <v/>
      </c>
      <c r="L80" s="11">
        <f t="shared" si="1"/>
        <v>1</v>
      </c>
      <c r="M80" s="11">
        <f t="shared" si="1"/>
        <v>1</v>
      </c>
      <c r="N80" s="11">
        <f t="shared" si="1"/>
        <v>2</v>
      </c>
      <c r="O80" s="11">
        <f t="shared" si="1"/>
        <v>1</v>
      </c>
      <c r="P80" s="11">
        <f t="shared" si="1"/>
        <v>2</v>
      </c>
      <c r="Q80" s="11">
        <f t="shared" si="1"/>
        <v>1</v>
      </c>
      <c r="R80" s="11">
        <f t="shared" si="1"/>
        <v>2</v>
      </c>
      <c r="S80" s="11">
        <f t="shared" si="1"/>
        <v>1</v>
      </c>
      <c r="T80" s="11">
        <f t="shared" si="1"/>
        <v>2</v>
      </c>
      <c r="U80" s="11">
        <f t="shared" si="1"/>
        <v>1</v>
      </c>
      <c r="V80" s="11">
        <f t="shared" si="1"/>
        <v>2</v>
      </c>
      <c r="W80" s="11">
        <f t="shared" si="1"/>
        <v>1</v>
      </c>
    </row>
    <row r="81" spans="1:23">
      <c r="A81" s="10">
        <v>11</v>
      </c>
      <c r="B81" s="11">
        <f t="shared" ref="B81:K92" si="2">IF($A81=B$70,"",COUNTIF($C$4:$J$66,$A81&amp;" ضد "&amp;B$70)+COUNTIF($C$4:$J$66,B$70&amp;" ضد "&amp;$A81))</f>
        <v>2</v>
      </c>
      <c r="C81" s="11">
        <f t="shared" si="2"/>
        <v>1</v>
      </c>
      <c r="D81" s="11">
        <f t="shared" si="2"/>
        <v>2</v>
      </c>
      <c r="E81" s="11">
        <f t="shared" si="2"/>
        <v>1</v>
      </c>
      <c r="F81" s="11">
        <f t="shared" si="2"/>
        <v>1</v>
      </c>
      <c r="G81" s="11">
        <f t="shared" si="2"/>
        <v>1</v>
      </c>
      <c r="H81" s="11">
        <f t="shared" si="2"/>
        <v>1</v>
      </c>
      <c r="I81" s="11">
        <f t="shared" si="2"/>
        <v>1</v>
      </c>
      <c r="J81" s="11">
        <f t="shared" si="2"/>
        <v>1</v>
      </c>
      <c r="K81" s="11">
        <f t="shared" si="2"/>
        <v>1</v>
      </c>
      <c r="L81" s="11" t="str">
        <f t="shared" ref="L81:W92" si="3">IF($A81=L$70,"",COUNTIF($C$4:$J$66,$A81&amp;" ضد "&amp;L$70)+COUNTIF($C$4:$J$66,L$70&amp;" ضد "&amp;$A81))</f>
        <v/>
      </c>
      <c r="M81" s="11">
        <f t="shared" si="3"/>
        <v>2</v>
      </c>
      <c r="N81" s="11">
        <f t="shared" si="3"/>
        <v>1</v>
      </c>
      <c r="O81" s="11">
        <f t="shared" si="3"/>
        <v>2</v>
      </c>
      <c r="P81" s="11">
        <f t="shared" si="3"/>
        <v>1</v>
      </c>
      <c r="Q81" s="11">
        <f t="shared" si="3"/>
        <v>2</v>
      </c>
      <c r="R81" s="11">
        <f t="shared" si="3"/>
        <v>1</v>
      </c>
      <c r="S81" s="11">
        <f t="shared" si="3"/>
        <v>2</v>
      </c>
      <c r="T81" s="11">
        <f t="shared" si="3"/>
        <v>1</v>
      </c>
      <c r="U81" s="11">
        <f t="shared" si="3"/>
        <v>2</v>
      </c>
      <c r="V81" s="11">
        <f t="shared" si="3"/>
        <v>1</v>
      </c>
      <c r="W81" s="11">
        <f t="shared" si="3"/>
        <v>1</v>
      </c>
    </row>
    <row r="82" spans="1:23">
      <c r="A82" s="10">
        <v>12</v>
      </c>
      <c r="B82" s="11">
        <f t="shared" si="2"/>
        <v>1</v>
      </c>
      <c r="C82" s="11">
        <f t="shared" si="2"/>
        <v>2</v>
      </c>
      <c r="D82" s="11">
        <f t="shared" si="2"/>
        <v>1</v>
      </c>
      <c r="E82" s="11">
        <f t="shared" si="2"/>
        <v>1</v>
      </c>
      <c r="F82" s="11">
        <f t="shared" si="2"/>
        <v>1</v>
      </c>
      <c r="G82" s="11">
        <f t="shared" si="2"/>
        <v>1</v>
      </c>
      <c r="H82" s="11">
        <f t="shared" si="2"/>
        <v>1</v>
      </c>
      <c r="I82" s="11">
        <f t="shared" si="2"/>
        <v>1</v>
      </c>
      <c r="J82" s="11">
        <f t="shared" si="2"/>
        <v>1</v>
      </c>
      <c r="K82" s="11">
        <f t="shared" si="2"/>
        <v>1</v>
      </c>
      <c r="L82" s="11">
        <f t="shared" si="3"/>
        <v>2</v>
      </c>
      <c r="M82" s="11" t="str">
        <f t="shared" si="3"/>
        <v/>
      </c>
      <c r="N82" s="11">
        <f t="shared" si="3"/>
        <v>2</v>
      </c>
      <c r="O82" s="11">
        <f t="shared" si="3"/>
        <v>1</v>
      </c>
      <c r="P82" s="11">
        <f t="shared" si="3"/>
        <v>2</v>
      </c>
      <c r="Q82" s="11">
        <f t="shared" si="3"/>
        <v>1</v>
      </c>
      <c r="R82" s="11">
        <f t="shared" si="3"/>
        <v>2</v>
      </c>
      <c r="S82" s="11">
        <f t="shared" si="3"/>
        <v>1</v>
      </c>
      <c r="T82" s="11">
        <f t="shared" si="3"/>
        <v>2</v>
      </c>
      <c r="U82" s="11">
        <f t="shared" si="3"/>
        <v>1</v>
      </c>
      <c r="V82" s="11">
        <f t="shared" si="3"/>
        <v>2</v>
      </c>
      <c r="W82" s="11">
        <f t="shared" si="3"/>
        <v>1</v>
      </c>
    </row>
    <row r="83" spans="1:23">
      <c r="A83" s="10">
        <v>13</v>
      </c>
      <c r="B83" s="11">
        <f t="shared" si="2"/>
        <v>2</v>
      </c>
      <c r="C83" s="11">
        <f t="shared" si="2"/>
        <v>1</v>
      </c>
      <c r="D83" s="11">
        <f t="shared" si="2"/>
        <v>1</v>
      </c>
      <c r="E83" s="11">
        <f t="shared" si="2"/>
        <v>1</v>
      </c>
      <c r="F83" s="11">
        <f t="shared" si="2"/>
        <v>1</v>
      </c>
      <c r="G83" s="11">
        <f t="shared" si="2"/>
        <v>1</v>
      </c>
      <c r="H83" s="11">
        <f t="shared" si="2"/>
        <v>1</v>
      </c>
      <c r="I83" s="11">
        <f t="shared" si="2"/>
        <v>1</v>
      </c>
      <c r="J83" s="11">
        <f t="shared" si="2"/>
        <v>1</v>
      </c>
      <c r="K83" s="11">
        <f t="shared" si="2"/>
        <v>2</v>
      </c>
      <c r="L83" s="11">
        <f t="shared" si="3"/>
        <v>1</v>
      </c>
      <c r="M83" s="11">
        <f t="shared" si="3"/>
        <v>2</v>
      </c>
      <c r="N83" s="11" t="str">
        <f t="shared" si="3"/>
        <v/>
      </c>
      <c r="O83" s="11">
        <f t="shared" si="3"/>
        <v>2</v>
      </c>
      <c r="P83" s="11">
        <f t="shared" si="3"/>
        <v>1</v>
      </c>
      <c r="Q83" s="11">
        <f t="shared" si="3"/>
        <v>2</v>
      </c>
      <c r="R83" s="11">
        <f t="shared" si="3"/>
        <v>1</v>
      </c>
      <c r="S83" s="11">
        <f t="shared" si="3"/>
        <v>2</v>
      </c>
      <c r="T83" s="11">
        <f t="shared" si="3"/>
        <v>1</v>
      </c>
      <c r="U83" s="11">
        <f t="shared" si="3"/>
        <v>2</v>
      </c>
      <c r="V83" s="11">
        <f t="shared" si="3"/>
        <v>1</v>
      </c>
      <c r="W83" s="11">
        <f t="shared" si="3"/>
        <v>1</v>
      </c>
    </row>
    <row r="84" spans="1:23">
      <c r="A84" s="10">
        <v>14</v>
      </c>
      <c r="B84" s="11">
        <f t="shared" si="2"/>
        <v>1</v>
      </c>
      <c r="C84" s="11">
        <f t="shared" si="2"/>
        <v>1</v>
      </c>
      <c r="D84" s="11">
        <f t="shared" si="2"/>
        <v>1</v>
      </c>
      <c r="E84" s="11">
        <f t="shared" si="2"/>
        <v>1</v>
      </c>
      <c r="F84" s="11">
        <f t="shared" si="2"/>
        <v>1</v>
      </c>
      <c r="G84" s="11">
        <f t="shared" si="2"/>
        <v>1</v>
      </c>
      <c r="H84" s="11">
        <f t="shared" si="2"/>
        <v>1</v>
      </c>
      <c r="I84" s="11">
        <f t="shared" si="2"/>
        <v>1</v>
      </c>
      <c r="J84" s="11">
        <f t="shared" si="2"/>
        <v>2</v>
      </c>
      <c r="K84" s="11">
        <f t="shared" si="2"/>
        <v>1</v>
      </c>
      <c r="L84" s="11">
        <f t="shared" si="3"/>
        <v>2</v>
      </c>
      <c r="M84" s="11">
        <f t="shared" si="3"/>
        <v>1</v>
      </c>
      <c r="N84" s="11">
        <f t="shared" si="3"/>
        <v>2</v>
      </c>
      <c r="O84" s="11" t="str">
        <f t="shared" si="3"/>
        <v/>
      </c>
      <c r="P84" s="11">
        <f t="shared" si="3"/>
        <v>2</v>
      </c>
      <c r="Q84" s="11">
        <f t="shared" si="3"/>
        <v>1</v>
      </c>
      <c r="R84" s="11">
        <f t="shared" si="3"/>
        <v>2</v>
      </c>
      <c r="S84" s="11">
        <f t="shared" si="3"/>
        <v>1</v>
      </c>
      <c r="T84" s="11">
        <f t="shared" si="3"/>
        <v>2</v>
      </c>
      <c r="U84" s="11">
        <f t="shared" si="3"/>
        <v>1</v>
      </c>
      <c r="V84" s="11">
        <f t="shared" si="3"/>
        <v>2</v>
      </c>
      <c r="W84" s="11">
        <f t="shared" si="3"/>
        <v>1</v>
      </c>
    </row>
    <row r="85" spans="1:23">
      <c r="A85" s="10">
        <v>15</v>
      </c>
      <c r="B85" s="11">
        <f t="shared" si="2"/>
        <v>1</v>
      </c>
      <c r="C85" s="11">
        <f t="shared" si="2"/>
        <v>1</v>
      </c>
      <c r="D85" s="11">
        <f t="shared" si="2"/>
        <v>1</v>
      </c>
      <c r="E85" s="11">
        <f t="shared" si="2"/>
        <v>1</v>
      </c>
      <c r="F85" s="11">
        <f t="shared" si="2"/>
        <v>1</v>
      </c>
      <c r="G85" s="11">
        <f t="shared" si="2"/>
        <v>1</v>
      </c>
      <c r="H85" s="11">
        <f t="shared" si="2"/>
        <v>1</v>
      </c>
      <c r="I85" s="11">
        <f t="shared" si="2"/>
        <v>2</v>
      </c>
      <c r="J85" s="11">
        <f t="shared" si="2"/>
        <v>1</v>
      </c>
      <c r="K85" s="11">
        <f t="shared" si="2"/>
        <v>2</v>
      </c>
      <c r="L85" s="11">
        <f t="shared" si="3"/>
        <v>1</v>
      </c>
      <c r="M85" s="11">
        <f t="shared" si="3"/>
        <v>2</v>
      </c>
      <c r="N85" s="11">
        <f t="shared" si="3"/>
        <v>1</v>
      </c>
      <c r="O85" s="11">
        <f t="shared" si="3"/>
        <v>2</v>
      </c>
      <c r="P85" s="11" t="str">
        <f t="shared" si="3"/>
        <v/>
      </c>
      <c r="Q85" s="11">
        <f t="shared" si="3"/>
        <v>2</v>
      </c>
      <c r="R85" s="11">
        <f t="shared" si="3"/>
        <v>1</v>
      </c>
      <c r="S85" s="11">
        <f t="shared" si="3"/>
        <v>2</v>
      </c>
      <c r="T85" s="11">
        <f t="shared" si="3"/>
        <v>1</v>
      </c>
      <c r="U85" s="11">
        <f t="shared" si="3"/>
        <v>2</v>
      </c>
      <c r="V85" s="11">
        <f t="shared" si="3"/>
        <v>1</v>
      </c>
      <c r="W85" s="11">
        <f t="shared" si="3"/>
        <v>1</v>
      </c>
    </row>
    <row r="86" spans="1:23">
      <c r="A86" s="10">
        <v>16</v>
      </c>
      <c r="B86" s="11">
        <f t="shared" si="2"/>
        <v>1</v>
      </c>
      <c r="C86" s="11">
        <f t="shared" si="2"/>
        <v>1</v>
      </c>
      <c r="D86" s="11">
        <f t="shared" si="2"/>
        <v>1</v>
      </c>
      <c r="E86" s="11">
        <f t="shared" si="2"/>
        <v>1</v>
      </c>
      <c r="F86" s="11">
        <f t="shared" si="2"/>
        <v>1</v>
      </c>
      <c r="G86" s="11">
        <f t="shared" si="2"/>
        <v>1</v>
      </c>
      <c r="H86" s="11">
        <f t="shared" si="2"/>
        <v>2</v>
      </c>
      <c r="I86" s="11">
        <f t="shared" si="2"/>
        <v>1</v>
      </c>
      <c r="J86" s="11">
        <f t="shared" si="2"/>
        <v>2</v>
      </c>
      <c r="K86" s="11">
        <f t="shared" si="2"/>
        <v>1</v>
      </c>
      <c r="L86" s="11">
        <f t="shared" si="3"/>
        <v>2</v>
      </c>
      <c r="M86" s="11">
        <f t="shared" si="3"/>
        <v>1</v>
      </c>
      <c r="N86" s="11">
        <f t="shared" si="3"/>
        <v>2</v>
      </c>
      <c r="O86" s="11">
        <f t="shared" si="3"/>
        <v>1</v>
      </c>
      <c r="P86" s="11">
        <f t="shared" si="3"/>
        <v>2</v>
      </c>
      <c r="Q86" s="11" t="str">
        <f t="shared" si="3"/>
        <v/>
      </c>
      <c r="R86" s="11">
        <f t="shared" si="3"/>
        <v>2</v>
      </c>
      <c r="S86" s="11">
        <f t="shared" si="3"/>
        <v>1</v>
      </c>
      <c r="T86" s="11">
        <f t="shared" si="3"/>
        <v>2</v>
      </c>
      <c r="U86" s="11">
        <f t="shared" si="3"/>
        <v>1</v>
      </c>
      <c r="V86" s="11">
        <f t="shared" si="3"/>
        <v>1</v>
      </c>
      <c r="W86" s="11">
        <f t="shared" si="3"/>
        <v>1</v>
      </c>
    </row>
    <row r="87" spans="1:23">
      <c r="A87" s="10">
        <v>17</v>
      </c>
      <c r="B87" s="11">
        <f t="shared" si="2"/>
        <v>1</v>
      </c>
      <c r="C87" s="11">
        <f t="shared" si="2"/>
        <v>1</v>
      </c>
      <c r="D87" s="11">
        <f t="shared" si="2"/>
        <v>1</v>
      </c>
      <c r="E87" s="11">
        <f t="shared" si="2"/>
        <v>1</v>
      </c>
      <c r="F87" s="11">
        <f t="shared" si="2"/>
        <v>1</v>
      </c>
      <c r="G87" s="11">
        <f t="shared" si="2"/>
        <v>2</v>
      </c>
      <c r="H87" s="11">
        <f t="shared" si="2"/>
        <v>1</v>
      </c>
      <c r="I87" s="11">
        <f t="shared" si="2"/>
        <v>2</v>
      </c>
      <c r="J87" s="11">
        <f t="shared" si="2"/>
        <v>1</v>
      </c>
      <c r="K87" s="11">
        <f t="shared" si="2"/>
        <v>2</v>
      </c>
      <c r="L87" s="11">
        <f t="shared" si="3"/>
        <v>1</v>
      </c>
      <c r="M87" s="11">
        <f t="shared" si="3"/>
        <v>2</v>
      </c>
      <c r="N87" s="11">
        <f t="shared" si="3"/>
        <v>1</v>
      </c>
      <c r="O87" s="11">
        <f t="shared" si="3"/>
        <v>2</v>
      </c>
      <c r="P87" s="11">
        <f t="shared" si="3"/>
        <v>1</v>
      </c>
      <c r="Q87" s="11">
        <f t="shared" si="3"/>
        <v>2</v>
      </c>
      <c r="R87" s="11" t="str">
        <f t="shared" si="3"/>
        <v/>
      </c>
      <c r="S87" s="11">
        <f t="shared" si="3"/>
        <v>2</v>
      </c>
      <c r="T87" s="11">
        <f t="shared" si="3"/>
        <v>1</v>
      </c>
      <c r="U87" s="11">
        <f t="shared" si="3"/>
        <v>1</v>
      </c>
      <c r="V87" s="11">
        <f t="shared" si="3"/>
        <v>1</v>
      </c>
      <c r="W87" s="11">
        <f t="shared" si="3"/>
        <v>1</v>
      </c>
    </row>
    <row r="88" spans="1:23">
      <c r="A88" s="10">
        <v>18</v>
      </c>
      <c r="B88" s="11">
        <f t="shared" si="2"/>
        <v>1</v>
      </c>
      <c r="C88" s="11">
        <f t="shared" si="2"/>
        <v>1</v>
      </c>
      <c r="D88" s="11">
        <f t="shared" si="2"/>
        <v>1</v>
      </c>
      <c r="E88" s="11">
        <f t="shared" si="2"/>
        <v>1</v>
      </c>
      <c r="F88" s="11">
        <f t="shared" si="2"/>
        <v>2</v>
      </c>
      <c r="G88" s="11">
        <f t="shared" si="2"/>
        <v>1</v>
      </c>
      <c r="H88" s="11">
        <f t="shared" si="2"/>
        <v>2</v>
      </c>
      <c r="I88" s="11">
        <f t="shared" si="2"/>
        <v>1</v>
      </c>
      <c r="J88" s="11">
        <f t="shared" si="2"/>
        <v>2</v>
      </c>
      <c r="K88" s="11">
        <f t="shared" si="2"/>
        <v>1</v>
      </c>
      <c r="L88" s="11">
        <f t="shared" si="3"/>
        <v>2</v>
      </c>
      <c r="M88" s="11">
        <f t="shared" si="3"/>
        <v>1</v>
      </c>
      <c r="N88" s="11">
        <f t="shared" si="3"/>
        <v>2</v>
      </c>
      <c r="O88" s="11">
        <f t="shared" si="3"/>
        <v>1</v>
      </c>
      <c r="P88" s="11">
        <f t="shared" si="3"/>
        <v>2</v>
      </c>
      <c r="Q88" s="11">
        <f t="shared" si="3"/>
        <v>1</v>
      </c>
      <c r="R88" s="11">
        <f t="shared" si="3"/>
        <v>2</v>
      </c>
      <c r="S88" s="11" t="str">
        <f t="shared" si="3"/>
        <v/>
      </c>
      <c r="T88" s="11">
        <f t="shared" si="3"/>
        <v>1</v>
      </c>
      <c r="U88" s="11">
        <f t="shared" si="3"/>
        <v>1</v>
      </c>
      <c r="V88" s="11">
        <f t="shared" si="3"/>
        <v>1</v>
      </c>
      <c r="W88" s="11">
        <f t="shared" si="3"/>
        <v>1</v>
      </c>
    </row>
    <row r="89" spans="1:23">
      <c r="A89" s="10">
        <v>19</v>
      </c>
      <c r="B89" s="11">
        <f t="shared" si="2"/>
        <v>1</v>
      </c>
      <c r="C89" s="11">
        <f t="shared" si="2"/>
        <v>1</v>
      </c>
      <c r="D89" s="11">
        <f t="shared" si="2"/>
        <v>1</v>
      </c>
      <c r="E89" s="11">
        <f t="shared" si="2"/>
        <v>2</v>
      </c>
      <c r="F89" s="11">
        <f t="shared" si="2"/>
        <v>1</v>
      </c>
      <c r="G89" s="11">
        <f t="shared" si="2"/>
        <v>2</v>
      </c>
      <c r="H89" s="11">
        <f t="shared" si="2"/>
        <v>1</v>
      </c>
      <c r="I89" s="11">
        <f t="shared" si="2"/>
        <v>2</v>
      </c>
      <c r="J89" s="11">
        <f t="shared" si="2"/>
        <v>1</v>
      </c>
      <c r="K89" s="11">
        <f t="shared" si="2"/>
        <v>2</v>
      </c>
      <c r="L89" s="11">
        <f t="shared" si="3"/>
        <v>1</v>
      </c>
      <c r="M89" s="11">
        <f t="shared" si="3"/>
        <v>2</v>
      </c>
      <c r="N89" s="11">
        <f t="shared" si="3"/>
        <v>1</v>
      </c>
      <c r="O89" s="11">
        <f t="shared" si="3"/>
        <v>2</v>
      </c>
      <c r="P89" s="11">
        <f t="shared" si="3"/>
        <v>1</v>
      </c>
      <c r="Q89" s="11">
        <f t="shared" si="3"/>
        <v>2</v>
      </c>
      <c r="R89" s="11">
        <f t="shared" si="3"/>
        <v>1</v>
      </c>
      <c r="S89" s="11">
        <f t="shared" si="3"/>
        <v>1</v>
      </c>
      <c r="T89" s="11" t="str">
        <f t="shared" si="3"/>
        <v/>
      </c>
      <c r="U89" s="11">
        <f t="shared" si="3"/>
        <v>1</v>
      </c>
      <c r="V89" s="11">
        <f t="shared" si="3"/>
        <v>1</v>
      </c>
      <c r="W89" s="11">
        <f t="shared" si="3"/>
        <v>1</v>
      </c>
    </row>
    <row r="90" spans="1:23">
      <c r="A90" s="10">
        <v>20</v>
      </c>
      <c r="B90" s="11">
        <f t="shared" si="2"/>
        <v>1</v>
      </c>
      <c r="C90" s="11">
        <f t="shared" si="2"/>
        <v>1</v>
      </c>
      <c r="D90" s="11">
        <f t="shared" si="2"/>
        <v>2</v>
      </c>
      <c r="E90" s="11">
        <f t="shared" si="2"/>
        <v>1</v>
      </c>
      <c r="F90" s="11">
        <f t="shared" si="2"/>
        <v>2</v>
      </c>
      <c r="G90" s="11">
        <f t="shared" si="2"/>
        <v>1</v>
      </c>
      <c r="H90" s="11">
        <f t="shared" si="2"/>
        <v>2</v>
      </c>
      <c r="I90" s="11">
        <f t="shared" si="2"/>
        <v>1</v>
      </c>
      <c r="J90" s="11">
        <f t="shared" si="2"/>
        <v>2</v>
      </c>
      <c r="K90" s="11">
        <f t="shared" si="2"/>
        <v>1</v>
      </c>
      <c r="L90" s="11">
        <f t="shared" si="3"/>
        <v>2</v>
      </c>
      <c r="M90" s="11">
        <f t="shared" si="3"/>
        <v>1</v>
      </c>
      <c r="N90" s="11">
        <f t="shared" si="3"/>
        <v>2</v>
      </c>
      <c r="O90" s="11">
        <f t="shared" si="3"/>
        <v>1</v>
      </c>
      <c r="P90" s="11">
        <f t="shared" si="3"/>
        <v>2</v>
      </c>
      <c r="Q90" s="11">
        <f t="shared" si="3"/>
        <v>1</v>
      </c>
      <c r="R90" s="11">
        <f t="shared" si="3"/>
        <v>1</v>
      </c>
      <c r="S90" s="11">
        <f t="shared" si="3"/>
        <v>1</v>
      </c>
      <c r="T90" s="11">
        <f t="shared" si="3"/>
        <v>1</v>
      </c>
      <c r="U90" s="11" t="str">
        <f t="shared" si="3"/>
        <v/>
      </c>
      <c r="V90" s="11">
        <f t="shared" si="3"/>
        <v>1</v>
      </c>
      <c r="W90" s="11">
        <f t="shared" si="3"/>
        <v>1</v>
      </c>
    </row>
    <row r="91" spans="1:23">
      <c r="A91" s="10">
        <v>21</v>
      </c>
      <c r="B91" s="11">
        <f t="shared" si="2"/>
        <v>1</v>
      </c>
      <c r="C91" s="11">
        <f t="shared" si="2"/>
        <v>2</v>
      </c>
      <c r="D91" s="11">
        <f t="shared" si="2"/>
        <v>1</v>
      </c>
      <c r="E91" s="11">
        <f t="shared" si="2"/>
        <v>2</v>
      </c>
      <c r="F91" s="11">
        <f t="shared" si="2"/>
        <v>1</v>
      </c>
      <c r="G91" s="11">
        <f t="shared" si="2"/>
        <v>2</v>
      </c>
      <c r="H91" s="11">
        <f t="shared" si="2"/>
        <v>1</v>
      </c>
      <c r="I91" s="11">
        <f t="shared" si="2"/>
        <v>2</v>
      </c>
      <c r="J91" s="11">
        <f t="shared" si="2"/>
        <v>1</v>
      </c>
      <c r="K91" s="11">
        <f t="shared" si="2"/>
        <v>2</v>
      </c>
      <c r="L91" s="11">
        <f t="shared" si="3"/>
        <v>1</v>
      </c>
      <c r="M91" s="11">
        <f t="shared" si="3"/>
        <v>2</v>
      </c>
      <c r="N91" s="11">
        <f t="shared" si="3"/>
        <v>1</v>
      </c>
      <c r="O91" s="11">
        <f t="shared" si="3"/>
        <v>2</v>
      </c>
      <c r="P91" s="11">
        <f t="shared" si="3"/>
        <v>1</v>
      </c>
      <c r="Q91" s="11">
        <f t="shared" si="3"/>
        <v>1</v>
      </c>
      <c r="R91" s="11">
        <f t="shared" si="3"/>
        <v>1</v>
      </c>
      <c r="S91" s="11">
        <f t="shared" si="3"/>
        <v>1</v>
      </c>
      <c r="T91" s="11">
        <f t="shared" si="3"/>
        <v>1</v>
      </c>
      <c r="U91" s="11">
        <f t="shared" si="3"/>
        <v>1</v>
      </c>
      <c r="V91" s="11" t="str">
        <f t="shared" si="3"/>
        <v/>
      </c>
      <c r="W91" s="11">
        <f t="shared" si="3"/>
        <v>1</v>
      </c>
    </row>
    <row r="92" spans="1:23">
      <c r="A92" s="10">
        <v>22</v>
      </c>
      <c r="B92" s="11">
        <f t="shared" si="2"/>
        <v>2</v>
      </c>
      <c r="C92" s="11">
        <f t="shared" si="2"/>
        <v>2</v>
      </c>
      <c r="D92" s="11">
        <f t="shared" si="2"/>
        <v>2</v>
      </c>
      <c r="E92" s="11">
        <f t="shared" si="2"/>
        <v>2</v>
      </c>
      <c r="F92" s="11">
        <f t="shared" si="2"/>
        <v>2</v>
      </c>
      <c r="G92" s="11">
        <f t="shared" si="2"/>
        <v>2</v>
      </c>
      <c r="H92" s="11">
        <f t="shared" si="2"/>
        <v>2</v>
      </c>
      <c r="I92" s="11">
        <f t="shared" si="2"/>
        <v>1</v>
      </c>
      <c r="J92" s="11">
        <f t="shared" si="2"/>
        <v>1</v>
      </c>
      <c r="K92" s="11">
        <f t="shared" si="2"/>
        <v>1</v>
      </c>
      <c r="L92" s="11">
        <f t="shared" si="3"/>
        <v>1</v>
      </c>
      <c r="M92" s="11">
        <f t="shared" si="3"/>
        <v>1</v>
      </c>
      <c r="N92" s="11">
        <f t="shared" si="3"/>
        <v>1</v>
      </c>
      <c r="O92" s="11">
        <f t="shared" si="3"/>
        <v>1</v>
      </c>
      <c r="P92" s="11">
        <f t="shared" si="3"/>
        <v>1</v>
      </c>
      <c r="Q92" s="11">
        <f t="shared" si="3"/>
        <v>1</v>
      </c>
      <c r="R92" s="11">
        <f t="shared" si="3"/>
        <v>1</v>
      </c>
      <c r="S92" s="11">
        <f t="shared" si="3"/>
        <v>1</v>
      </c>
      <c r="T92" s="11">
        <f t="shared" si="3"/>
        <v>1</v>
      </c>
      <c r="U92" s="11">
        <f t="shared" si="3"/>
        <v>1</v>
      </c>
      <c r="V92" s="11">
        <f t="shared" si="3"/>
        <v>1</v>
      </c>
      <c r="W92" s="11" t="str">
        <f t="shared" si="3"/>
        <v/>
      </c>
    </row>
    <row r="93" spans="1:23">
      <c r="A93" s="22" t="s">
        <v>273</v>
      </c>
      <c r="B93" s="21">
        <f>MIN(B71:W92)</f>
        <v>1</v>
      </c>
      <c r="C93" s="8"/>
      <c r="D93" s="8"/>
      <c r="E93" s="8"/>
      <c r="F93" s="8"/>
      <c r="G93" s="8"/>
      <c r="H93" s="26"/>
      <c r="I93" s="8"/>
      <c r="J93" s="8"/>
      <c r="K93" s="8"/>
      <c r="L93" s="8"/>
      <c r="M93" s="8"/>
      <c r="N93" s="8"/>
      <c r="O93" s="8"/>
      <c r="P93" s="8"/>
      <c r="Q93" s="8"/>
      <c r="R93" s="8"/>
      <c r="S93" s="8"/>
      <c r="T93" s="8"/>
      <c r="U93" s="8"/>
      <c r="V93" s="8"/>
      <c r="W93" s="8"/>
    </row>
    <row r="94" spans="1:23">
      <c r="A94" s="22" t="s">
        <v>274</v>
      </c>
      <c r="B94" s="21">
        <f>MAX(B71:W92)</f>
        <v>2</v>
      </c>
      <c r="C94" s="8"/>
      <c r="D94" s="8"/>
      <c r="E94" s="8"/>
      <c r="F94" s="8"/>
      <c r="G94" s="8"/>
      <c r="H94" s="26"/>
      <c r="I94" s="8"/>
      <c r="J94" s="8"/>
      <c r="K94" s="8"/>
      <c r="L94" s="8"/>
      <c r="M94" s="8"/>
      <c r="N94" s="8"/>
      <c r="O94" s="8"/>
      <c r="P94" s="8"/>
      <c r="Q94" s="8"/>
      <c r="R94" s="8"/>
      <c r="S94" s="8"/>
      <c r="T94" s="8"/>
      <c r="U94" s="8"/>
      <c r="V94" s="8"/>
      <c r="W94" s="8"/>
    </row>
    <row r="95" spans="1:23">
      <c r="H95" s="4"/>
    </row>
    <row r="96" spans="1:23">
      <c r="H96" s="4"/>
    </row>
    <row r="97" spans="8:8">
      <c r="H97" s="4"/>
    </row>
    <row r="98" spans="8:8">
      <c r="H98" s="4"/>
    </row>
    <row r="99" spans="8:8">
      <c r="H99" s="4"/>
    </row>
    <row r="100" spans="8:8">
      <c r="H100" s="4"/>
    </row>
    <row r="101" spans="8:8">
      <c r="H101" s="4"/>
    </row>
    <row r="102" spans="8:8">
      <c r="H102" s="4"/>
    </row>
    <row r="103" spans="8:8">
      <c r="H103" s="4"/>
    </row>
    <row r="104" spans="8:8">
      <c r="H104" s="4"/>
    </row>
    <row r="105" spans="8:8">
      <c r="H105" s="4"/>
    </row>
    <row r="106" spans="8:8">
      <c r="H106" s="4"/>
    </row>
    <row r="107" spans="8:8">
      <c r="H107" s="4"/>
    </row>
    <row r="108" spans="8:8">
      <c r="H108" s="4"/>
    </row>
    <row r="109" spans="8:8">
      <c r="H109" s="4"/>
    </row>
    <row r="110" spans="8:8">
      <c r="H110" s="4"/>
    </row>
    <row r="111" spans="8:8">
      <c r="H111" s="4"/>
    </row>
    <row r="112" spans="8:8">
      <c r="H112" s="4"/>
    </row>
    <row r="113" spans="8:8">
      <c r="H113" s="4"/>
    </row>
    <row r="114" spans="8:8">
      <c r="H114" s="4"/>
    </row>
    <row r="115" spans="8:8">
      <c r="H115" s="4"/>
    </row>
    <row r="116" spans="8:8">
      <c r="H116" s="4"/>
    </row>
    <row r="117" spans="8:8">
      <c r="H117" s="4"/>
    </row>
    <row r="118" spans="8:8">
      <c r="H118" s="4"/>
    </row>
    <row r="119" spans="8:8">
      <c r="H119" s="4"/>
    </row>
    <row r="120" spans="8:8">
      <c r="H120" s="4"/>
    </row>
    <row r="121" spans="8:8">
      <c r="H121" s="4"/>
    </row>
    <row r="122" spans="8:8">
      <c r="H122" s="4"/>
    </row>
    <row r="123" spans="8:8">
      <c r="H123" s="4"/>
    </row>
    <row r="124" spans="8:8">
      <c r="H124" s="4"/>
    </row>
    <row r="125" spans="8:8">
      <c r="H125" s="4"/>
    </row>
    <row r="126" spans="8:8">
      <c r="H126" s="4"/>
    </row>
    <row r="127" spans="8:8">
      <c r="H127" s="4"/>
    </row>
    <row r="128" spans="8:8">
      <c r="H128" s="4"/>
    </row>
    <row r="129" spans="8:8">
      <c r="H129" s="4"/>
    </row>
    <row r="130" spans="8:8">
      <c r="H130" s="4"/>
    </row>
    <row r="131" spans="8:8">
      <c r="H131" s="4"/>
    </row>
    <row r="132" spans="8:8">
      <c r="H132" s="4"/>
    </row>
    <row r="133" spans="8:8">
      <c r="H133" s="4"/>
    </row>
    <row r="134" spans="8:8">
      <c r="H134" s="4"/>
    </row>
    <row r="135" spans="8:8">
      <c r="H135" s="4"/>
    </row>
    <row r="136" spans="8:8">
      <c r="H136" s="4"/>
    </row>
    <row r="137" spans="8:8">
      <c r="H137" s="4"/>
    </row>
    <row r="138" spans="8:8">
      <c r="H138" s="4"/>
    </row>
    <row r="139" spans="8:8">
      <c r="H139" s="4"/>
    </row>
    <row r="140" spans="8:8">
      <c r="H140" s="4"/>
    </row>
    <row r="141" spans="8:8">
      <c r="H141" s="4"/>
    </row>
    <row r="142" spans="8:8">
      <c r="H142" s="4"/>
    </row>
    <row r="143" spans="8:8">
      <c r="H143" s="4"/>
    </row>
    <row r="144" spans="8:8">
      <c r="H144" s="4"/>
    </row>
    <row r="145" spans="8:8">
      <c r="H145" s="4"/>
    </row>
    <row r="146" spans="8:8">
      <c r="H146" s="4"/>
    </row>
    <row r="147" spans="8:8">
      <c r="H147" s="4"/>
    </row>
    <row r="148" spans="8:8">
      <c r="H148" s="4"/>
    </row>
    <row r="149" spans="8:8">
      <c r="H149" s="4"/>
    </row>
    <row r="150" spans="8:8">
      <c r="H150" s="4"/>
    </row>
    <row r="151" spans="8:8">
      <c r="H151" s="4"/>
    </row>
    <row r="152" spans="8:8">
      <c r="H152" s="4"/>
    </row>
    <row r="153" spans="8:8">
      <c r="H153" s="4"/>
    </row>
    <row r="154" spans="8:8">
      <c r="H154" s="4"/>
    </row>
    <row r="155" spans="8:8">
      <c r="H155" s="4"/>
    </row>
    <row r="156" spans="8:8">
      <c r="H156" s="4"/>
    </row>
    <row r="157" spans="8:8">
      <c r="H157" s="4"/>
    </row>
    <row r="158" spans="8:8">
      <c r="H158" s="4"/>
    </row>
    <row r="159" spans="8:8">
      <c r="H159" s="4"/>
    </row>
    <row r="160" spans="8:8">
      <c r="H160" s="4"/>
    </row>
    <row r="161" spans="8:8">
      <c r="H161" s="4"/>
    </row>
    <row r="162" spans="8:8">
      <c r="H162" s="4"/>
    </row>
    <row r="163" spans="8:8">
      <c r="H163" s="4"/>
    </row>
    <row r="164" spans="8:8">
      <c r="H164" s="4"/>
    </row>
    <row r="165" spans="8:8">
      <c r="H165" s="4"/>
    </row>
    <row r="166" spans="8:8">
      <c r="H166" s="4"/>
    </row>
    <row r="167" spans="8:8">
      <c r="H167" s="4"/>
    </row>
    <row r="168" spans="8:8">
      <c r="H168" s="4"/>
    </row>
    <row r="169" spans="8:8">
      <c r="H169" s="4"/>
    </row>
    <row r="170" spans="8:8">
      <c r="H170" s="4"/>
    </row>
    <row r="171" spans="8:8">
      <c r="H171" s="4"/>
    </row>
    <row r="172" spans="8:8">
      <c r="H172" s="4"/>
    </row>
    <row r="173" spans="8:8">
      <c r="H173" s="4"/>
    </row>
    <row r="174" spans="8:8">
      <c r="H174" s="4"/>
    </row>
    <row r="175" spans="8:8">
      <c r="H175" s="4"/>
    </row>
    <row r="176" spans="8:8">
      <c r="H176" s="4"/>
    </row>
    <row r="177" spans="8:8">
      <c r="H177" s="4"/>
    </row>
    <row r="178" spans="8:8">
      <c r="H178" s="4"/>
    </row>
    <row r="179" spans="8:8">
      <c r="H179" s="4"/>
    </row>
    <row r="180" spans="8:8">
      <c r="H180" s="4"/>
    </row>
    <row r="181" spans="8:8">
      <c r="H181" s="4"/>
    </row>
    <row r="182" spans="8:8">
      <c r="H182" s="4"/>
    </row>
    <row r="183" spans="8:8">
      <c r="H183" s="4"/>
    </row>
    <row r="184" spans="8:8">
      <c r="H184" s="4"/>
    </row>
    <row r="185" spans="8:8">
      <c r="H185" s="4"/>
    </row>
    <row r="186" spans="8:8">
      <c r="H186" s="4"/>
    </row>
    <row r="187" spans="8:8">
      <c r="H187" s="4"/>
    </row>
    <row r="188" spans="8:8">
      <c r="H188" s="4"/>
    </row>
    <row r="189" spans="8:8">
      <c r="H189" s="4"/>
    </row>
    <row r="190" spans="8:8">
      <c r="H190" s="4"/>
    </row>
    <row r="191" spans="8:8">
      <c r="H191" s="4"/>
    </row>
    <row r="192" spans="8:8">
      <c r="H192" s="4"/>
    </row>
    <row r="193" spans="8:8">
      <c r="H193" s="4"/>
    </row>
    <row r="194" spans="8:8">
      <c r="H194" s="4"/>
    </row>
    <row r="195" spans="8:8">
      <c r="H195" s="4"/>
    </row>
    <row r="196" spans="8:8">
      <c r="H196" s="4"/>
    </row>
    <row r="197" spans="8:8">
      <c r="H197" s="4"/>
    </row>
    <row r="198" spans="8:8">
      <c r="H198" s="4"/>
    </row>
    <row r="199" spans="8:8">
      <c r="H199" s="4"/>
    </row>
  </sheetData>
  <mergeCells count="30">
    <mergeCell ref="I66:J66"/>
    <mergeCell ref="I57:J57"/>
    <mergeCell ref="I48:J48"/>
    <mergeCell ref="I39:J39"/>
    <mergeCell ref="I30:J30"/>
    <mergeCell ref="I12:J12"/>
    <mergeCell ref="A31:A39"/>
    <mergeCell ref="A13:A21"/>
    <mergeCell ref="K13:K21"/>
    <mergeCell ref="L13:L21"/>
    <mergeCell ref="A22:A30"/>
    <mergeCell ref="K22:K30"/>
    <mergeCell ref="L22:L30"/>
    <mergeCell ref="I21:J21"/>
    <mergeCell ref="A58:A66"/>
    <mergeCell ref="K58:K66"/>
    <mergeCell ref="L58:L66"/>
    <mergeCell ref="A1:L1"/>
    <mergeCell ref="A69:W69"/>
    <mergeCell ref="K31:K39"/>
    <mergeCell ref="L31:L39"/>
    <mergeCell ref="A40:A48"/>
    <mergeCell ref="K40:K48"/>
    <mergeCell ref="L40:L48"/>
    <mergeCell ref="A49:A57"/>
    <mergeCell ref="K49:K57"/>
    <mergeCell ref="L49:L57"/>
    <mergeCell ref="A4:A12"/>
    <mergeCell ref="K4:K12"/>
    <mergeCell ref="L4:L1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ECFB9-4AEE-4719-8164-CC855FF87859}">
  <dimension ref="A1:AE199"/>
  <sheetViews>
    <sheetView showGridLines="0" rightToLeft="1" zoomScale="48" workbookViewId="0">
      <pane ySplit="3" topLeftCell="A36" activePane="bottomLeft" state="frozen"/>
      <selection pane="bottomLeft" activeCell="B72" sqref="B72"/>
    </sheetView>
  </sheetViews>
  <sheetFormatPr defaultRowHeight="14.5"/>
  <cols>
    <col min="1" max="1" width="10.54296875" customWidth="1"/>
    <col min="2" max="2" width="17.26953125" customWidth="1"/>
    <col min="3" max="14" width="14.54296875" customWidth="1"/>
    <col min="15" max="16" width="15.453125" customWidth="1"/>
  </cols>
  <sheetData>
    <row r="1" spans="1:31" ht="26" customHeight="1">
      <c r="A1" s="83" t="s">
        <v>294</v>
      </c>
      <c r="B1" s="83"/>
      <c r="C1" s="83"/>
      <c r="D1" s="83"/>
      <c r="E1" s="83"/>
      <c r="F1" s="83"/>
      <c r="G1" s="83"/>
      <c r="H1" s="83"/>
      <c r="I1" s="83"/>
      <c r="J1" s="83"/>
      <c r="K1" s="83"/>
      <c r="L1" s="83"/>
      <c r="M1" s="83"/>
      <c r="N1" s="83"/>
      <c r="O1" s="83"/>
      <c r="P1" s="83"/>
      <c r="Q1" s="8"/>
      <c r="R1" s="8"/>
      <c r="S1" s="8"/>
      <c r="T1" s="8"/>
      <c r="U1" s="8"/>
      <c r="V1" s="8"/>
      <c r="W1" s="8"/>
      <c r="X1" s="8"/>
      <c r="Y1" s="8"/>
      <c r="Z1" s="8"/>
      <c r="AA1" s="8"/>
      <c r="AB1" s="8"/>
      <c r="AC1" s="8"/>
      <c r="AD1" s="8"/>
      <c r="AE1" s="8"/>
    </row>
    <row r="2" spans="1:31" ht="8" customHeight="1">
      <c r="A2" s="8"/>
      <c r="B2" s="8"/>
      <c r="C2" s="8"/>
      <c r="D2" s="8"/>
      <c r="E2" s="8"/>
      <c r="F2" s="8"/>
      <c r="G2" s="8"/>
      <c r="H2" s="8"/>
      <c r="I2" s="8"/>
      <c r="J2" s="8"/>
      <c r="K2" s="8"/>
      <c r="L2" s="8"/>
      <c r="M2" s="8"/>
      <c r="N2" s="8"/>
      <c r="O2" s="13"/>
      <c r="P2" s="8"/>
      <c r="Q2" s="8"/>
      <c r="R2" s="8"/>
      <c r="S2" s="8"/>
      <c r="T2" s="8"/>
      <c r="U2" s="8"/>
      <c r="V2" s="8"/>
      <c r="W2" s="8"/>
      <c r="X2" s="8"/>
      <c r="Y2" s="8"/>
      <c r="Z2" s="8"/>
      <c r="AA2" s="8"/>
      <c r="AB2" s="8"/>
      <c r="AC2" s="8"/>
      <c r="AD2" s="8"/>
      <c r="AE2" s="8"/>
    </row>
    <row r="3" spans="1:31" ht="32" customHeight="1">
      <c r="A3" s="25" t="s">
        <v>0</v>
      </c>
      <c r="B3" s="25" t="s">
        <v>1</v>
      </c>
      <c r="C3" s="25" t="s">
        <v>251</v>
      </c>
      <c r="D3" s="25" t="s">
        <v>252</v>
      </c>
      <c r="E3" s="25" t="s">
        <v>253</v>
      </c>
      <c r="F3" s="25" t="s">
        <v>254</v>
      </c>
      <c r="G3" s="25" t="s">
        <v>255</v>
      </c>
      <c r="H3" s="25" t="s">
        <v>256</v>
      </c>
      <c r="I3" s="25" t="s">
        <v>257</v>
      </c>
      <c r="J3" s="25" t="s">
        <v>258</v>
      </c>
      <c r="K3" s="25" t="s">
        <v>295</v>
      </c>
      <c r="L3" s="25" t="s">
        <v>296</v>
      </c>
      <c r="M3" s="25" t="s">
        <v>297</v>
      </c>
      <c r="N3" s="25" t="s">
        <v>298</v>
      </c>
      <c r="O3" s="37" t="s">
        <v>263</v>
      </c>
      <c r="P3" s="25" t="s">
        <v>105</v>
      </c>
      <c r="Q3" s="8"/>
      <c r="R3" s="8"/>
      <c r="S3" s="8"/>
      <c r="T3" s="8"/>
      <c r="U3" s="8"/>
      <c r="V3" s="8"/>
      <c r="W3" s="8"/>
      <c r="X3" s="8"/>
      <c r="Y3" s="8"/>
      <c r="Z3" s="8"/>
      <c r="AA3" s="8"/>
      <c r="AB3" s="8"/>
      <c r="AC3" s="8"/>
      <c r="AD3" s="8"/>
      <c r="AE3" s="8"/>
    </row>
    <row r="4" spans="1:31" ht="14.5" customHeight="1">
      <c r="A4" s="101" t="s">
        <v>5</v>
      </c>
      <c r="B4"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 s="19" t="s">
        <v>57</v>
      </c>
      <c r="D4" s="19" t="s">
        <v>65</v>
      </c>
      <c r="E4" s="19" t="s">
        <v>29</v>
      </c>
      <c r="F4" s="19" t="s">
        <v>21</v>
      </c>
      <c r="G4" s="20" t="s">
        <v>193</v>
      </c>
      <c r="H4" s="20" t="s">
        <v>227</v>
      </c>
      <c r="I4" s="20"/>
      <c r="J4" s="20"/>
      <c r="K4" s="38" t="s">
        <v>204</v>
      </c>
      <c r="L4" s="38" t="s">
        <v>246</v>
      </c>
      <c r="M4" s="38" t="s">
        <v>245</v>
      </c>
      <c r="N4" s="38" t="s">
        <v>237</v>
      </c>
      <c r="O4" s="102">
        <f>COUNTIF(C4:N12,"* ضد *")</f>
        <v>60</v>
      </c>
      <c r="P4" s="102">
        <f>O4*2/'ملخص البطولات'!$A$14</f>
        <v>4</v>
      </c>
      <c r="Q4" s="8"/>
      <c r="R4" s="8"/>
      <c r="S4" s="8"/>
      <c r="T4" s="8"/>
      <c r="U4" s="8"/>
      <c r="V4" s="8"/>
      <c r="W4" s="8"/>
      <c r="X4" s="8"/>
      <c r="Y4" s="8"/>
      <c r="Z4" s="8"/>
      <c r="AA4" s="8"/>
      <c r="AB4" s="8"/>
      <c r="AC4" s="8"/>
      <c r="AD4" s="8"/>
      <c r="AE4" s="8"/>
    </row>
    <row r="5" spans="1:31">
      <c r="A5" s="101"/>
      <c r="B5"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 s="19" t="s">
        <v>32</v>
      </c>
      <c r="D5" s="19" t="s">
        <v>58</v>
      </c>
      <c r="E5" s="19"/>
      <c r="F5" s="19"/>
      <c r="G5" s="20" t="s">
        <v>217</v>
      </c>
      <c r="H5" s="20"/>
      <c r="I5" s="20"/>
      <c r="J5" s="20"/>
      <c r="K5" s="38"/>
      <c r="L5" s="38"/>
      <c r="M5" s="38"/>
      <c r="N5" s="38"/>
      <c r="O5" s="102"/>
      <c r="P5" s="102"/>
      <c r="Q5" s="8"/>
      <c r="R5" s="8"/>
      <c r="S5" s="8"/>
      <c r="T5" s="8"/>
      <c r="U5" s="8"/>
      <c r="V5" s="8"/>
      <c r="W5" s="8"/>
      <c r="X5" s="8"/>
      <c r="Y5" s="8"/>
      <c r="Z5" s="8"/>
      <c r="AA5" s="8"/>
      <c r="AB5" s="8"/>
      <c r="AC5" s="8"/>
      <c r="AD5" s="8"/>
      <c r="AE5" s="8"/>
    </row>
    <row r="6" spans="1:31">
      <c r="A6" s="101"/>
      <c r="B6"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 s="19" t="s">
        <v>81</v>
      </c>
      <c r="D6" s="19" t="s">
        <v>70</v>
      </c>
      <c r="E6" s="19" t="s">
        <v>33</v>
      </c>
      <c r="F6" s="19" t="s">
        <v>88</v>
      </c>
      <c r="G6" s="20" t="s">
        <v>191</v>
      </c>
      <c r="H6" s="20" t="s">
        <v>176</v>
      </c>
      <c r="I6" s="20" t="s">
        <v>223</v>
      </c>
      <c r="J6" s="20"/>
      <c r="K6" s="38" t="s">
        <v>235</v>
      </c>
      <c r="L6" s="38" t="s">
        <v>249</v>
      </c>
      <c r="M6" s="38" t="s">
        <v>202</v>
      </c>
      <c r="N6" s="38" t="s">
        <v>203</v>
      </c>
      <c r="O6" s="102"/>
      <c r="P6" s="102"/>
      <c r="Q6" s="8"/>
      <c r="R6" s="8"/>
      <c r="S6" s="8"/>
      <c r="T6" s="8"/>
      <c r="U6" s="8"/>
      <c r="V6" s="8"/>
      <c r="W6" s="8"/>
      <c r="X6" s="8"/>
      <c r="Y6" s="8"/>
      <c r="Z6" s="8"/>
      <c r="AA6" s="8"/>
      <c r="AB6" s="8"/>
      <c r="AC6" s="8"/>
      <c r="AD6" s="8"/>
      <c r="AE6" s="8"/>
    </row>
    <row r="7" spans="1:31">
      <c r="A7" s="101"/>
      <c r="B7"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7" s="19" t="s">
        <v>85</v>
      </c>
      <c r="D7" s="19"/>
      <c r="E7" s="19"/>
      <c r="F7" s="19"/>
      <c r="G7" s="20" t="s">
        <v>156</v>
      </c>
      <c r="H7" s="20"/>
      <c r="I7" s="20"/>
      <c r="J7" s="20"/>
      <c r="K7" s="38"/>
      <c r="L7" s="38"/>
      <c r="M7" s="38"/>
      <c r="N7" s="38"/>
      <c r="O7" s="102"/>
      <c r="P7" s="102"/>
      <c r="Q7" s="8"/>
      <c r="R7" s="8"/>
      <c r="S7" s="8"/>
      <c r="T7" s="8"/>
      <c r="U7" s="8"/>
      <c r="V7" s="8"/>
      <c r="W7" s="8"/>
      <c r="X7" s="8"/>
      <c r="Y7" s="8"/>
      <c r="Z7" s="8"/>
      <c r="AA7" s="8"/>
      <c r="AB7" s="8"/>
      <c r="AC7" s="8"/>
      <c r="AD7" s="8"/>
      <c r="AE7" s="8"/>
    </row>
    <row r="8" spans="1:31">
      <c r="A8" s="101"/>
      <c r="B8"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8" s="19" t="s">
        <v>20</v>
      </c>
      <c r="D8" s="19" t="s">
        <v>35</v>
      </c>
      <c r="E8" s="19" t="s">
        <v>82</v>
      </c>
      <c r="F8" s="19" t="s">
        <v>90</v>
      </c>
      <c r="G8" s="20" t="s">
        <v>195</v>
      </c>
      <c r="H8" s="20" t="s">
        <v>177</v>
      </c>
      <c r="I8" s="20" t="s">
        <v>211</v>
      </c>
      <c r="J8" s="20"/>
      <c r="K8" s="38" t="s">
        <v>212</v>
      </c>
      <c r="L8" s="38" t="s">
        <v>206</v>
      </c>
      <c r="M8" s="38" t="s">
        <v>244</v>
      </c>
      <c r="N8" s="38" t="s">
        <v>250</v>
      </c>
      <c r="O8" s="102"/>
      <c r="P8" s="102"/>
      <c r="Q8" s="8"/>
      <c r="R8" s="8"/>
      <c r="S8" s="8"/>
      <c r="T8" s="8"/>
      <c r="U8" s="8"/>
      <c r="V8" s="8"/>
      <c r="W8" s="8"/>
      <c r="X8" s="8"/>
      <c r="Y8" s="8"/>
      <c r="Z8" s="8"/>
      <c r="AA8" s="8"/>
      <c r="AB8" s="8"/>
      <c r="AC8" s="8"/>
      <c r="AD8" s="8"/>
      <c r="AE8" s="8"/>
    </row>
    <row r="9" spans="1:31">
      <c r="A9" s="101"/>
      <c r="B9"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9" s="19" t="s">
        <v>52</v>
      </c>
      <c r="D9" s="19" t="s">
        <v>79</v>
      </c>
      <c r="E9" s="19"/>
      <c r="F9" s="19"/>
      <c r="G9" s="20" t="s">
        <v>165</v>
      </c>
      <c r="H9" s="20"/>
      <c r="I9" s="20"/>
      <c r="J9" s="20"/>
      <c r="K9" s="38"/>
      <c r="L9" s="38"/>
      <c r="M9" s="38"/>
      <c r="N9" s="38"/>
      <c r="O9" s="102"/>
      <c r="P9" s="102"/>
      <c r="Q9" s="8"/>
      <c r="R9" s="8"/>
      <c r="S9" s="8"/>
      <c r="T9" s="8"/>
      <c r="U9" s="8"/>
      <c r="V9" s="8"/>
      <c r="W9" s="8"/>
      <c r="X9" s="8"/>
      <c r="Y9" s="8"/>
      <c r="Z9" s="8"/>
      <c r="AA9" s="8"/>
      <c r="AB9" s="8"/>
      <c r="AC9" s="8"/>
      <c r="AD9" s="8"/>
      <c r="AE9" s="8"/>
    </row>
    <row r="10" spans="1:31">
      <c r="A10" s="101"/>
      <c r="B10"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0" s="19" t="s">
        <v>93</v>
      </c>
      <c r="D10" s="19" t="s">
        <v>40</v>
      </c>
      <c r="E10" s="19" t="s">
        <v>51</v>
      </c>
      <c r="F10" s="19" t="s">
        <v>62</v>
      </c>
      <c r="G10" s="20" t="s">
        <v>180</v>
      </c>
      <c r="H10" s="20" t="s">
        <v>226</v>
      </c>
      <c r="I10" s="20" t="s">
        <v>163</v>
      </c>
      <c r="J10" s="20"/>
      <c r="K10" s="38" t="s">
        <v>200</v>
      </c>
      <c r="L10" s="38" t="s">
        <v>239</v>
      </c>
      <c r="M10" s="38" t="s">
        <v>241</v>
      </c>
      <c r="N10" s="38" t="s">
        <v>242</v>
      </c>
      <c r="O10" s="102"/>
      <c r="P10" s="102"/>
      <c r="Q10" s="8"/>
      <c r="R10" s="8"/>
      <c r="S10" s="8"/>
      <c r="T10" s="8"/>
      <c r="U10" s="8"/>
      <c r="V10" s="8"/>
      <c r="W10" s="8"/>
      <c r="X10" s="8"/>
      <c r="Y10" s="8"/>
      <c r="Z10" s="8"/>
      <c r="AA10" s="8"/>
      <c r="AB10" s="8"/>
      <c r="AC10" s="8"/>
      <c r="AD10" s="8"/>
      <c r="AE10" s="8"/>
    </row>
    <row r="11" spans="1:31" ht="14.5" customHeight="1">
      <c r="A11" s="101"/>
      <c r="B11"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11" s="19" t="s">
        <v>30</v>
      </c>
      <c r="D11" s="19"/>
      <c r="E11" s="19"/>
      <c r="F11" s="19"/>
      <c r="G11" s="20" t="s">
        <v>169</v>
      </c>
      <c r="H11" s="20"/>
      <c r="I11" s="20"/>
      <c r="J11" s="20"/>
      <c r="K11" s="38"/>
      <c r="L11" s="38"/>
      <c r="M11" s="38"/>
      <c r="N11" s="38"/>
      <c r="O11" s="102"/>
      <c r="P11" s="102"/>
      <c r="Q11" s="8"/>
      <c r="R11" s="8"/>
      <c r="S11" s="8"/>
      <c r="T11" s="8"/>
      <c r="U11" s="8"/>
      <c r="V11" s="8"/>
      <c r="W11" s="8"/>
      <c r="X11" s="8"/>
      <c r="Y11" s="8"/>
      <c r="Z11" s="8"/>
      <c r="AA11" s="8"/>
      <c r="AB11" s="8"/>
      <c r="AC11" s="8"/>
      <c r="AD11" s="8"/>
      <c r="AE11" s="8"/>
    </row>
    <row r="12" spans="1:31">
      <c r="A12" s="101"/>
      <c r="B12"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12" s="19" t="s">
        <v>67</v>
      </c>
      <c r="D12" s="19" t="s">
        <v>95</v>
      </c>
      <c r="E12" s="19" t="s">
        <v>25</v>
      </c>
      <c r="F12" s="19" t="s">
        <v>55</v>
      </c>
      <c r="G12" s="20" t="s">
        <v>171</v>
      </c>
      <c r="H12" s="20" t="s">
        <v>140</v>
      </c>
      <c r="I12" s="20" t="s">
        <v>118</v>
      </c>
      <c r="J12" s="20"/>
      <c r="K12" s="38"/>
      <c r="L12" s="38"/>
      <c r="M12" s="38"/>
      <c r="N12" s="38"/>
      <c r="O12" s="102"/>
      <c r="P12" s="102"/>
      <c r="Q12" s="8"/>
      <c r="R12" s="8"/>
      <c r="S12" s="8"/>
      <c r="T12" s="8"/>
      <c r="U12" s="8"/>
      <c r="V12" s="8"/>
      <c r="W12" s="8"/>
      <c r="X12" s="8"/>
      <c r="Y12" s="8"/>
      <c r="Z12" s="8"/>
      <c r="AA12" s="8"/>
      <c r="AB12" s="8"/>
      <c r="AC12" s="8"/>
      <c r="AD12" s="8"/>
      <c r="AE12" s="8"/>
    </row>
    <row r="13" spans="1:31">
      <c r="A13" s="101" t="s">
        <v>6</v>
      </c>
      <c r="B13"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13" s="19" t="s">
        <v>26</v>
      </c>
      <c r="D13" s="19" t="s">
        <v>75</v>
      </c>
      <c r="E13" s="19" t="s">
        <v>69</v>
      </c>
      <c r="F13" s="19" t="s">
        <v>56</v>
      </c>
      <c r="G13" s="20" t="s">
        <v>151</v>
      </c>
      <c r="H13" s="20" t="s">
        <v>188</v>
      </c>
      <c r="I13" s="20" t="s">
        <v>219</v>
      </c>
      <c r="J13" s="20"/>
      <c r="K13" s="38" t="s">
        <v>207</v>
      </c>
      <c r="L13" s="38" t="s">
        <v>209</v>
      </c>
      <c r="M13" s="38" t="s">
        <v>234</v>
      </c>
      <c r="N13" s="38" t="s">
        <v>213</v>
      </c>
      <c r="O13" s="100">
        <f>COUNTIF(C13:N21,"* ضد *")</f>
        <v>60</v>
      </c>
      <c r="P13" s="100">
        <f>O13*2/'ملخص البطولات'!$A$14</f>
        <v>4</v>
      </c>
      <c r="Q13" s="8"/>
      <c r="R13" s="8"/>
      <c r="S13" s="8"/>
      <c r="T13" s="8"/>
      <c r="U13" s="8"/>
      <c r="V13" s="8"/>
      <c r="W13" s="8"/>
      <c r="X13" s="8"/>
      <c r="Y13" s="8"/>
      <c r="Z13" s="8"/>
      <c r="AA13" s="8"/>
      <c r="AB13" s="8"/>
      <c r="AC13" s="8"/>
      <c r="AD13" s="8"/>
      <c r="AE13" s="8"/>
    </row>
    <row r="14" spans="1:31">
      <c r="A14" s="101"/>
      <c r="B14"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14" s="19" t="s">
        <v>78</v>
      </c>
      <c r="D14" s="19" t="s">
        <v>71</v>
      </c>
      <c r="E14" s="19"/>
      <c r="F14" s="19"/>
      <c r="G14" s="20" t="s">
        <v>216</v>
      </c>
      <c r="H14" s="20"/>
      <c r="I14" s="20"/>
      <c r="J14" s="20"/>
      <c r="K14" s="38"/>
      <c r="L14" s="38"/>
      <c r="M14" s="38"/>
      <c r="N14" s="38"/>
      <c r="O14" s="100"/>
      <c r="P14" s="100"/>
      <c r="Q14" s="8"/>
      <c r="R14" s="8"/>
      <c r="S14" s="8"/>
      <c r="T14" s="8"/>
      <c r="U14" s="8"/>
      <c r="V14" s="8"/>
      <c r="W14" s="8"/>
      <c r="X14" s="8"/>
      <c r="Y14" s="8"/>
      <c r="Z14" s="8"/>
      <c r="AA14" s="8"/>
      <c r="AB14" s="8"/>
      <c r="AC14" s="8"/>
      <c r="AD14" s="8"/>
      <c r="AE14" s="8"/>
    </row>
    <row r="15" spans="1:31">
      <c r="A15" s="101"/>
      <c r="B15"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15" s="19" t="s">
        <v>37</v>
      </c>
      <c r="D15" s="19" t="s">
        <v>34</v>
      </c>
      <c r="E15" s="19" t="s">
        <v>92</v>
      </c>
      <c r="F15" s="19"/>
      <c r="G15" s="20" t="s">
        <v>208</v>
      </c>
      <c r="H15" s="20" t="s">
        <v>155</v>
      </c>
      <c r="I15" s="20" t="s">
        <v>136</v>
      </c>
      <c r="J15" s="20"/>
      <c r="K15" s="38" t="s">
        <v>236</v>
      </c>
      <c r="L15" s="38" t="s">
        <v>220</v>
      </c>
      <c r="M15" s="38" t="s">
        <v>247</v>
      </c>
      <c r="N15" s="38" t="s">
        <v>248</v>
      </c>
      <c r="O15" s="100"/>
      <c r="P15" s="100"/>
      <c r="Q15" s="8"/>
      <c r="R15" s="8"/>
      <c r="S15" s="8"/>
      <c r="T15" s="8"/>
      <c r="U15" s="8"/>
      <c r="V15" s="8"/>
      <c r="W15" s="8"/>
      <c r="X15" s="8"/>
      <c r="Y15" s="8"/>
      <c r="Z15" s="8"/>
      <c r="AA15" s="8"/>
      <c r="AB15" s="8"/>
      <c r="AC15" s="8"/>
      <c r="AD15" s="8"/>
      <c r="AE15" s="8"/>
    </row>
    <row r="16" spans="1:31">
      <c r="A16" s="101"/>
      <c r="B16"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16" s="19" t="s">
        <v>50</v>
      </c>
      <c r="D16" s="19" t="s">
        <v>60</v>
      </c>
      <c r="E16" s="19" t="s">
        <v>80</v>
      </c>
      <c r="F16" s="19"/>
      <c r="G16" s="20" t="s">
        <v>240</v>
      </c>
      <c r="H16" s="20"/>
      <c r="I16" s="20"/>
      <c r="J16" s="20"/>
      <c r="K16" s="38"/>
      <c r="L16" s="38"/>
      <c r="M16" s="38"/>
      <c r="N16" s="38"/>
      <c r="O16" s="100"/>
      <c r="P16" s="100"/>
      <c r="Q16" s="8"/>
      <c r="R16" s="8"/>
      <c r="S16" s="8"/>
      <c r="T16" s="8"/>
      <c r="U16" s="8"/>
      <c r="V16" s="8"/>
      <c r="W16" s="8"/>
      <c r="X16" s="8"/>
      <c r="Y16" s="8"/>
      <c r="Z16" s="8"/>
      <c r="AA16" s="8"/>
      <c r="AB16" s="8"/>
      <c r="AC16" s="8"/>
      <c r="AD16" s="8"/>
      <c r="AE16" s="8"/>
    </row>
    <row r="17" spans="1:31">
      <c r="A17" s="101"/>
      <c r="B17"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17" s="19" t="s">
        <v>309</v>
      </c>
      <c r="D17" s="19" t="s">
        <v>42</v>
      </c>
      <c r="E17" s="19"/>
      <c r="F17" s="19"/>
      <c r="G17" s="20" t="s">
        <v>126</v>
      </c>
      <c r="H17" s="20" t="s">
        <v>178</v>
      </c>
      <c r="I17" s="20" t="s">
        <v>119</v>
      </c>
      <c r="J17" s="20"/>
      <c r="K17" s="38" t="s">
        <v>205</v>
      </c>
      <c r="L17" s="38" t="s">
        <v>214</v>
      </c>
      <c r="M17" s="38" t="s">
        <v>238</v>
      </c>
      <c r="N17" s="38" t="s">
        <v>243</v>
      </c>
      <c r="O17" s="100"/>
      <c r="P17" s="100"/>
      <c r="Q17" s="8"/>
      <c r="R17" s="8"/>
      <c r="S17" s="8"/>
      <c r="T17" s="8"/>
      <c r="U17" s="8"/>
      <c r="V17" s="8"/>
      <c r="W17" s="8"/>
      <c r="X17" s="8"/>
      <c r="Y17" s="8"/>
      <c r="Z17" s="8"/>
      <c r="AA17" s="8"/>
      <c r="AB17" s="8"/>
      <c r="AC17" s="8"/>
      <c r="AD17" s="8"/>
      <c r="AE17" s="8"/>
    </row>
    <row r="18" spans="1:31" ht="14.5" customHeight="1">
      <c r="A18" s="101"/>
      <c r="B18"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18" s="19" t="s">
        <v>28</v>
      </c>
      <c r="D18" s="19" t="s">
        <v>49</v>
      </c>
      <c r="E18" s="19" t="s">
        <v>31</v>
      </c>
      <c r="F18" s="19"/>
      <c r="G18" s="20" t="s">
        <v>201</v>
      </c>
      <c r="H18" s="20"/>
      <c r="I18" s="20"/>
      <c r="J18" s="20"/>
      <c r="K18" s="38"/>
      <c r="L18" s="38"/>
      <c r="M18" s="38"/>
      <c r="N18" s="38"/>
      <c r="O18" s="100"/>
      <c r="P18" s="100"/>
      <c r="Q18" s="8"/>
      <c r="R18" s="8"/>
      <c r="S18" s="8"/>
      <c r="T18" s="8"/>
      <c r="U18" s="8"/>
      <c r="V18" s="8"/>
      <c r="W18" s="8"/>
      <c r="X18" s="8"/>
      <c r="Y18" s="8"/>
      <c r="Z18" s="8"/>
      <c r="AA18" s="8"/>
      <c r="AB18" s="8"/>
      <c r="AC18" s="8"/>
      <c r="AD18" s="8"/>
      <c r="AE18" s="8"/>
    </row>
    <row r="19" spans="1:31">
      <c r="A19" s="101"/>
      <c r="B19"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19" s="19" t="s">
        <v>66</v>
      </c>
      <c r="D19" s="19" t="s">
        <v>96</v>
      </c>
      <c r="E19" s="19" t="s">
        <v>45</v>
      </c>
      <c r="F19" s="19"/>
      <c r="G19" s="20" t="s">
        <v>149</v>
      </c>
      <c r="H19" s="20" t="s">
        <v>210</v>
      </c>
      <c r="I19" s="20"/>
      <c r="J19" s="20"/>
      <c r="K19" s="38" t="s">
        <v>204</v>
      </c>
      <c r="L19" s="38" t="s">
        <v>246</v>
      </c>
      <c r="M19" s="38" t="s">
        <v>245</v>
      </c>
      <c r="N19" s="38" t="s">
        <v>237</v>
      </c>
      <c r="O19" s="100"/>
      <c r="P19" s="100"/>
      <c r="Q19" s="8"/>
      <c r="R19" s="8"/>
      <c r="S19" s="8"/>
      <c r="T19" s="8"/>
      <c r="U19" s="8"/>
      <c r="V19" s="8"/>
      <c r="W19" s="8"/>
      <c r="X19" s="8"/>
      <c r="Y19" s="8"/>
      <c r="Z19" s="8"/>
      <c r="AA19" s="8"/>
      <c r="AB19" s="8"/>
      <c r="AC19" s="8"/>
      <c r="AD19" s="8"/>
      <c r="AE19" s="8"/>
    </row>
    <row r="20" spans="1:31">
      <c r="A20" s="101"/>
      <c r="B20"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20" s="19" t="s">
        <v>44</v>
      </c>
      <c r="D20" s="19" t="s">
        <v>46</v>
      </c>
      <c r="E20" s="19"/>
      <c r="F20" s="19"/>
      <c r="G20" s="20" t="s">
        <v>124</v>
      </c>
      <c r="H20" s="20" t="s">
        <v>194</v>
      </c>
      <c r="I20" s="20"/>
      <c r="J20" s="20"/>
      <c r="K20" s="38"/>
      <c r="L20" s="38"/>
      <c r="M20" s="38"/>
      <c r="N20" s="38"/>
      <c r="O20" s="100"/>
      <c r="P20" s="100"/>
      <c r="Q20" s="8"/>
      <c r="R20" s="8"/>
      <c r="S20" s="8"/>
      <c r="T20" s="8"/>
      <c r="U20" s="8"/>
      <c r="V20" s="8"/>
      <c r="W20" s="8"/>
      <c r="X20" s="8"/>
      <c r="Y20" s="8"/>
      <c r="Z20" s="8"/>
      <c r="AA20" s="8"/>
      <c r="AB20" s="8"/>
      <c r="AC20" s="8"/>
      <c r="AD20" s="8"/>
      <c r="AE20" s="8"/>
    </row>
    <row r="21" spans="1:31">
      <c r="A21" s="101"/>
      <c r="B21"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21" s="19" t="s">
        <v>64</v>
      </c>
      <c r="D21" s="19" t="s">
        <v>48</v>
      </c>
      <c r="E21" s="19" t="s">
        <v>23</v>
      </c>
      <c r="F21" s="19" t="s">
        <v>91</v>
      </c>
      <c r="G21" s="20" t="s">
        <v>148</v>
      </c>
      <c r="H21" s="20" t="s">
        <v>183</v>
      </c>
      <c r="I21" s="20"/>
      <c r="J21" s="20"/>
      <c r="K21" s="38"/>
      <c r="L21" s="38"/>
      <c r="M21" s="38"/>
      <c r="N21" s="38"/>
      <c r="O21" s="100"/>
      <c r="P21" s="100"/>
      <c r="Q21" s="8"/>
      <c r="R21" s="8"/>
      <c r="S21" s="8"/>
      <c r="T21" s="8"/>
      <c r="U21" s="8"/>
      <c r="V21" s="8"/>
      <c r="W21" s="8"/>
      <c r="X21" s="8"/>
      <c r="Y21" s="8"/>
      <c r="Z21" s="8"/>
      <c r="AA21" s="8"/>
      <c r="AB21" s="8"/>
      <c r="AC21" s="8"/>
      <c r="AD21" s="8"/>
      <c r="AE21" s="8"/>
    </row>
    <row r="22" spans="1:31">
      <c r="A22" s="101" t="s">
        <v>7</v>
      </c>
      <c r="B22"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22" s="19" t="s">
        <v>41</v>
      </c>
      <c r="D22" s="19" t="s">
        <v>77</v>
      </c>
      <c r="E22" s="19" t="s">
        <v>36</v>
      </c>
      <c r="F22" s="19" t="s">
        <v>86</v>
      </c>
      <c r="G22" s="20" t="s">
        <v>211</v>
      </c>
      <c r="H22" s="20" t="s">
        <v>217</v>
      </c>
      <c r="I22" s="20"/>
      <c r="J22" s="20"/>
      <c r="K22" s="38" t="s">
        <v>235</v>
      </c>
      <c r="L22" s="38" t="s">
        <v>249</v>
      </c>
      <c r="M22" s="38" t="s">
        <v>202</v>
      </c>
      <c r="N22" s="38" t="s">
        <v>203</v>
      </c>
      <c r="O22" s="102">
        <f>COUNTIF(C22:N30,"* ضد *")</f>
        <v>60</v>
      </c>
      <c r="P22" s="102">
        <f>O22*2/'ملخص البطولات'!$A$14</f>
        <v>4</v>
      </c>
      <c r="Q22" s="8"/>
      <c r="R22" s="8"/>
      <c r="S22" s="8"/>
      <c r="T22" s="8"/>
      <c r="U22" s="8"/>
      <c r="V22" s="8"/>
      <c r="W22" s="8"/>
      <c r="X22" s="8"/>
      <c r="Y22" s="8"/>
      <c r="Z22" s="8"/>
      <c r="AA22" s="8"/>
      <c r="AB22" s="8"/>
      <c r="AC22" s="8"/>
      <c r="AD22" s="8"/>
      <c r="AE22" s="8"/>
    </row>
    <row r="23" spans="1:31">
      <c r="A23" s="101"/>
      <c r="B23"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23" s="19" t="s">
        <v>47</v>
      </c>
      <c r="D23" s="19" t="s">
        <v>74</v>
      </c>
      <c r="E23" s="19"/>
      <c r="F23" s="19"/>
      <c r="G23" s="20" t="s">
        <v>193</v>
      </c>
      <c r="H23" s="20"/>
      <c r="I23" s="20"/>
      <c r="J23" s="20"/>
      <c r="K23" s="38"/>
      <c r="L23" s="38"/>
      <c r="M23" s="38"/>
      <c r="N23" s="38"/>
      <c r="O23" s="102"/>
      <c r="P23" s="102"/>
      <c r="Q23" s="8"/>
      <c r="R23" s="8"/>
      <c r="S23" s="8"/>
      <c r="T23" s="8"/>
      <c r="U23" s="8"/>
      <c r="V23" s="8"/>
      <c r="W23" s="8"/>
      <c r="X23" s="8"/>
      <c r="Y23" s="8"/>
      <c r="Z23" s="8"/>
      <c r="AA23" s="8"/>
      <c r="AB23" s="8"/>
      <c r="AC23" s="8"/>
      <c r="AD23" s="8"/>
      <c r="AE23" s="8"/>
    </row>
    <row r="24" spans="1:31">
      <c r="A24" s="101"/>
      <c r="B24"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24" s="19" t="s">
        <v>53</v>
      </c>
      <c r="D24" s="19" t="s">
        <v>43</v>
      </c>
      <c r="E24" s="19" t="s">
        <v>24</v>
      </c>
      <c r="F24" s="19" t="s">
        <v>89</v>
      </c>
      <c r="G24" s="20" t="s">
        <v>163</v>
      </c>
      <c r="H24" s="20" t="s">
        <v>195</v>
      </c>
      <c r="I24" s="20" t="s">
        <v>156</v>
      </c>
      <c r="J24" s="20"/>
      <c r="K24" s="38" t="s">
        <v>212</v>
      </c>
      <c r="L24" s="38" t="s">
        <v>206</v>
      </c>
      <c r="M24" s="38" t="s">
        <v>244</v>
      </c>
      <c r="N24" s="38" t="s">
        <v>250</v>
      </c>
      <c r="O24" s="102"/>
      <c r="P24" s="102"/>
      <c r="Q24" s="8"/>
      <c r="R24" s="8"/>
      <c r="S24" s="8"/>
      <c r="T24" s="8"/>
      <c r="U24" s="8"/>
      <c r="V24" s="8"/>
      <c r="W24" s="8"/>
      <c r="X24" s="8"/>
      <c r="Y24" s="8"/>
      <c r="Z24" s="8"/>
      <c r="AA24" s="8"/>
      <c r="AB24" s="8"/>
      <c r="AC24" s="8"/>
      <c r="AD24" s="8"/>
      <c r="AE24" s="8"/>
    </row>
    <row r="25" spans="1:31" ht="14.5" customHeight="1">
      <c r="A25" s="101"/>
      <c r="B25"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25" s="19" t="s">
        <v>68</v>
      </c>
      <c r="D25" s="19" t="s">
        <v>39</v>
      </c>
      <c r="E25" s="19"/>
      <c r="F25" s="19"/>
      <c r="G25" s="20" t="s">
        <v>223</v>
      </c>
      <c r="H25" s="20"/>
      <c r="I25" s="20"/>
      <c r="J25" s="20"/>
      <c r="K25" s="38"/>
      <c r="L25" s="38"/>
      <c r="M25" s="38"/>
      <c r="N25" s="38"/>
      <c r="O25" s="102"/>
      <c r="P25" s="102"/>
      <c r="Q25" s="8"/>
      <c r="R25" s="8"/>
      <c r="S25" s="8"/>
      <c r="T25" s="8"/>
      <c r="U25" s="8"/>
      <c r="V25" s="8"/>
      <c r="W25" s="8"/>
      <c r="X25" s="8"/>
      <c r="Y25" s="8"/>
      <c r="Z25" s="8"/>
      <c r="AA25" s="8"/>
      <c r="AB25" s="8"/>
      <c r="AC25" s="8"/>
      <c r="AD25" s="8"/>
      <c r="AE25" s="8"/>
    </row>
    <row r="26" spans="1:31">
      <c r="A26" s="101"/>
      <c r="B26"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26" s="19" t="s">
        <v>73</v>
      </c>
      <c r="D26" s="19" t="s">
        <v>54</v>
      </c>
      <c r="E26" s="19" t="s">
        <v>87</v>
      </c>
      <c r="F26" s="19"/>
      <c r="G26" s="20" t="s">
        <v>118</v>
      </c>
      <c r="H26" s="20" t="s">
        <v>226</v>
      </c>
      <c r="I26" s="20" t="s">
        <v>169</v>
      </c>
      <c r="J26" s="20"/>
      <c r="K26" s="38" t="s">
        <v>200</v>
      </c>
      <c r="L26" s="38" t="s">
        <v>239</v>
      </c>
      <c r="M26" s="38" t="s">
        <v>241</v>
      </c>
      <c r="N26" s="38" t="s">
        <v>242</v>
      </c>
      <c r="O26" s="102"/>
      <c r="P26" s="102"/>
      <c r="Q26" s="8"/>
      <c r="R26" s="8"/>
      <c r="S26" s="8"/>
      <c r="T26" s="8"/>
      <c r="U26" s="8"/>
      <c r="V26" s="8"/>
      <c r="W26" s="8"/>
      <c r="X26" s="8"/>
      <c r="Y26" s="8"/>
      <c r="Z26" s="8"/>
      <c r="AA26" s="8"/>
      <c r="AB26" s="8"/>
      <c r="AC26" s="8"/>
      <c r="AD26" s="8"/>
      <c r="AE26" s="8"/>
    </row>
    <row r="27" spans="1:31">
      <c r="A27" s="101"/>
      <c r="B27"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27" s="19" t="s">
        <v>22</v>
      </c>
      <c r="D27" s="19" t="s">
        <v>63</v>
      </c>
      <c r="E27" s="19" t="s">
        <v>76</v>
      </c>
      <c r="F27" s="19"/>
      <c r="G27" s="20" t="s">
        <v>140</v>
      </c>
      <c r="H27" s="20"/>
      <c r="I27" s="20"/>
      <c r="J27" s="20"/>
      <c r="K27" s="38"/>
      <c r="L27" s="38"/>
      <c r="M27" s="38"/>
      <c r="N27" s="38"/>
      <c r="O27" s="102"/>
      <c r="P27" s="102"/>
      <c r="Q27" s="8"/>
      <c r="R27" s="8"/>
      <c r="S27" s="8"/>
      <c r="T27" s="8"/>
      <c r="U27" s="8"/>
      <c r="V27" s="8"/>
      <c r="W27" s="8"/>
      <c r="X27" s="8"/>
      <c r="Y27" s="8"/>
      <c r="Z27" s="8"/>
      <c r="AA27" s="8"/>
      <c r="AB27" s="8"/>
      <c r="AC27" s="8"/>
      <c r="AD27" s="8"/>
      <c r="AE27" s="8"/>
    </row>
    <row r="28" spans="1:31">
      <c r="A28" s="101"/>
      <c r="B28"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28" s="19" t="s">
        <v>94</v>
      </c>
      <c r="D28" s="19" t="s">
        <v>38</v>
      </c>
      <c r="E28" s="19"/>
      <c r="F28" s="19"/>
      <c r="G28" s="20" t="s">
        <v>180</v>
      </c>
      <c r="H28" s="20" t="s">
        <v>177</v>
      </c>
      <c r="I28" s="20" t="s">
        <v>227</v>
      </c>
      <c r="J28" s="20"/>
      <c r="K28" s="38" t="s">
        <v>207</v>
      </c>
      <c r="L28" s="38" t="s">
        <v>209</v>
      </c>
      <c r="M28" s="38" t="s">
        <v>234</v>
      </c>
      <c r="N28" s="38" t="s">
        <v>213</v>
      </c>
      <c r="O28" s="102"/>
      <c r="P28" s="102"/>
      <c r="Q28" s="8"/>
      <c r="R28" s="8"/>
      <c r="S28" s="8"/>
      <c r="T28" s="8"/>
      <c r="U28" s="8"/>
      <c r="V28" s="8"/>
      <c r="W28" s="8"/>
      <c r="X28" s="8"/>
      <c r="Y28" s="8"/>
      <c r="Z28" s="8"/>
      <c r="AA28" s="8"/>
      <c r="AB28" s="8"/>
      <c r="AC28" s="8"/>
      <c r="AD28" s="8"/>
      <c r="AE28" s="8"/>
    </row>
    <row r="29" spans="1:31">
      <c r="A29" s="101"/>
      <c r="B29"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29" s="19" t="s">
        <v>84</v>
      </c>
      <c r="D29" s="19" t="s">
        <v>27</v>
      </c>
      <c r="E29" s="19" t="s">
        <v>83</v>
      </c>
      <c r="F29" s="19"/>
      <c r="G29" s="20" t="s">
        <v>165</v>
      </c>
      <c r="H29" s="20"/>
      <c r="I29" s="20"/>
      <c r="J29" s="20"/>
      <c r="K29" s="38"/>
      <c r="L29" s="38"/>
      <c r="M29" s="38"/>
      <c r="N29" s="38"/>
      <c r="O29" s="102"/>
      <c r="P29" s="102"/>
      <c r="Q29" s="8"/>
      <c r="R29" s="8"/>
      <c r="S29" s="8"/>
      <c r="T29" s="8"/>
      <c r="U29" s="8"/>
      <c r="V29" s="8"/>
      <c r="W29" s="8"/>
      <c r="X29" s="8"/>
      <c r="Y29" s="8"/>
      <c r="Z29" s="8"/>
      <c r="AA29" s="8"/>
      <c r="AB29" s="8"/>
      <c r="AC29" s="8"/>
      <c r="AD29" s="8"/>
      <c r="AE29" s="8"/>
    </row>
    <row r="30" spans="1:31">
      <c r="A30" s="101"/>
      <c r="B30"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30" s="19" t="s">
        <v>72</v>
      </c>
      <c r="D30" s="19" t="s">
        <v>59</v>
      </c>
      <c r="E30" s="19" t="s">
        <v>61</v>
      </c>
      <c r="F30" s="19"/>
      <c r="G30" s="20" t="s">
        <v>171</v>
      </c>
      <c r="H30" s="20" t="s">
        <v>191</v>
      </c>
      <c r="I30" s="20" t="s">
        <v>176</v>
      </c>
      <c r="J30" s="20"/>
      <c r="K30" s="38"/>
      <c r="L30" s="38"/>
      <c r="M30" s="38"/>
      <c r="N30" s="38"/>
      <c r="O30" s="102"/>
      <c r="P30" s="102"/>
      <c r="Q30" s="8"/>
      <c r="R30" s="8"/>
      <c r="S30" s="8"/>
      <c r="T30" s="8"/>
      <c r="U30" s="8"/>
      <c r="V30" s="8"/>
      <c r="W30" s="8"/>
      <c r="X30" s="8"/>
      <c r="Y30" s="8"/>
      <c r="Z30" s="8"/>
      <c r="AA30" s="8"/>
      <c r="AB30" s="8"/>
      <c r="AC30" s="8"/>
      <c r="AD30" s="8"/>
      <c r="AE30" s="8"/>
    </row>
    <row r="31" spans="1:31">
      <c r="A31" s="101" t="s">
        <v>8</v>
      </c>
      <c r="B31"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31" s="19" t="s">
        <v>93</v>
      </c>
      <c r="D31" s="19" t="s">
        <v>40</v>
      </c>
      <c r="E31" s="19" t="s">
        <v>51</v>
      </c>
      <c r="F31" s="19" t="s">
        <v>21</v>
      </c>
      <c r="G31" s="20" t="s">
        <v>208</v>
      </c>
      <c r="H31" s="20" t="s">
        <v>194</v>
      </c>
      <c r="I31" s="20"/>
      <c r="J31" s="20"/>
      <c r="K31" s="38" t="s">
        <v>236</v>
      </c>
      <c r="L31" s="38" t="s">
        <v>220</v>
      </c>
      <c r="M31" s="38" t="s">
        <v>247</v>
      </c>
      <c r="N31" s="38" t="s">
        <v>248</v>
      </c>
      <c r="O31" s="100">
        <f>COUNTIF(C31:N39,"* ضد *")</f>
        <v>60</v>
      </c>
      <c r="P31" s="100">
        <f>O31*2/'ملخص البطولات'!$A$14</f>
        <v>4</v>
      </c>
      <c r="Q31" s="8"/>
      <c r="R31" s="8"/>
      <c r="S31" s="8"/>
      <c r="T31" s="8"/>
      <c r="U31" s="8"/>
      <c r="V31" s="8"/>
      <c r="W31" s="8"/>
      <c r="X31" s="8"/>
      <c r="Y31" s="8"/>
      <c r="Z31" s="8"/>
      <c r="AA31" s="8"/>
      <c r="AB31" s="8"/>
      <c r="AC31" s="8"/>
      <c r="AD31" s="8"/>
      <c r="AE31" s="8"/>
    </row>
    <row r="32" spans="1:31" ht="14.5" customHeight="1">
      <c r="A32" s="101"/>
      <c r="B32"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32" s="19" t="s">
        <v>30</v>
      </c>
      <c r="D32" s="19" t="s">
        <v>55</v>
      </c>
      <c r="E32" s="19"/>
      <c r="F32" s="19"/>
      <c r="G32" s="20" t="s">
        <v>148</v>
      </c>
      <c r="H32" s="20" t="s">
        <v>124</v>
      </c>
      <c r="I32" s="20"/>
      <c r="J32" s="20"/>
      <c r="K32" s="38"/>
      <c r="L32" s="38"/>
      <c r="M32" s="38"/>
      <c r="N32" s="38"/>
      <c r="O32" s="100"/>
      <c r="P32" s="100"/>
      <c r="Q32" s="8"/>
      <c r="R32" s="8"/>
      <c r="S32" s="8"/>
      <c r="T32" s="8"/>
      <c r="U32" s="8"/>
      <c r="V32" s="8"/>
      <c r="W32" s="8"/>
      <c r="X32" s="8"/>
      <c r="Y32" s="8"/>
      <c r="Z32" s="8"/>
      <c r="AA32" s="8"/>
      <c r="AB32" s="8"/>
      <c r="AC32" s="8"/>
      <c r="AD32" s="8"/>
      <c r="AE32" s="8"/>
    </row>
    <row r="33" spans="1:31">
      <c r="A33" s="101"/>
      <c r="B33"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33" s="19" t="s">
        <v>20</v>
      </c>
      <c r="D33" s="19" t="s">
        <v>25</v>
      </c>
      <c r="E33" s="19" t="s">
        <v>88</v>
      </c>
      <c r="F33" s="19"/>
      <c r="G33" s="20" t="s">
        <v>178</v>
      </c>
      <c r="H33" s="20" t="s">
        <v>183</v>
      </c>
      <c r="I33" s="20"/>
      <c r="J33" s="20"/>
      <c r="K33" s="38" t="s">
        <v>205</v>
      </c>
      <c r="L33" s="38" t="s">
        <v>214</v>
      </c>
      <c r="M33" s="38" t="s">
        <v>238</v>
      </c>
      <c r="N33" s="38" t="s">
        <v>243</v>
      </c>
      <c r="O33" s="100"/>
      <c r="P33" s="100"/>
      <c r="Q33" s="8"/>
      <c r="R33" s="8"/>
      <c r="S33" s="8"/>
      <c r="T33" s="8"/>
      <c r="U33" s="8"/>
      <c r="V33" s="8"/>
      <c r="W33" s="8"/>
      <c r="X33" s="8"/>
      <c r="Y33" s="8"/>
      <c r="Z33" s="8"/>
      <c r="AA33" s="8"/>
      <c r="AB33" s="8"/>
      <c r="AC33" s="8"/>
      <c r="AD33" s="8"/>
      <c r="AE33" s="8"/>
    </row>
    <row r="34" spans="1:31">
      <c r="A34" s="101"/>
      <c r="B34"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34" s="19" t="s">
        <v>85</v>
      </c>
      <c r="D34" s="19" t="s">
        <v>70</v>
      </c>
      <c r="E34" s="19" t="s">
        <v>62</v>
      </c>
      <c r="F34" s="19"/>
      <c r="G34" s="20" t="s">
        <v>216</v>
      </c>
      <c r="H34" s="20" t="s">
        <v>119</v>
      </c>
      <c r="I34" s="20"/>
      <c r="J34" s="20"/>
      <c r="K34" s="38"/>
      <c r="L34" s="38"/>
      <c r="M34" s="38"/>
      <c r="N34" s="38"/>
      <c r="O34" s="100"/>
      <c r="P34" s="100"/>
      <c r="Q34" s="8"/>
      <c r="R34" s="8"/>
      <c r="S34" s="8"/>
      <c r="T34" s="8"/>
      <c r="U34" s="8"/>
      <c r="V34" s="8"/>
      <c r="W34" s="8"/>
      <c r="X34" s="8"/>
      <c r="Y34" s="8"/>
      <c r="Z34" s="8"/>
      <c r="AA34" s="8"/>
      <c r="AB34" s="8"/>
      <c r="AC34" s="8"/>
      <c r="AD34" s="8"/>
      <c r="AE34" s="8"/>
    </row>
    <row r="35" spans="1:31">
      <c r="A35" s="101"/>
      <c r="B35"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35" s="19" t="s">
        <v>81</v>
      </c>
      <c r="D35" s="19" t="s">
        <v>79</v>
      </c>
      <c r="E35" s="19"/>
      <c r="F35" s="19"/>
      <c r="G35" s="20" t="s">
        <v>188</v>
      </c>
      <c r="H35" s="20" t="s">
        <v>219</v>
      </c>
      <c r="I35" s="20"/>
      <c r="J35" s="20"/>
      <c r="K35" s="38" t="s">
        <v>204</v>
      </c>
      <c r="L35" s="38" t="s">
        <v>246</v>
      </c>
      <c r="M35" s="38" t="s">
        <v>245</v>
      </c>
      <c r="N35" s="38" t="s">
        <v>237</v>
      </c>
      <c r="O35" s="100"/>
      <c r="P35" s="100"/>
      <c r="Q35" s="8"/>
      <c r="R35" s="8"/>
      <c r="S35" s="8"/>
      <c r="T35" s="8"/>
      <c r="U35" s="8"/>
      <c r="V35" s="8"/>
      <c r="W35" s="8"/>
      <c r="X35" s="8"/>
      <c r="Y35" s="8"/>
      <c r="Z35" s="8"/>
      <c r="AA35" s="8"/>
      <c r="AB35" s="8"/>
      <c r="AC35" s="8"/>
      <c r="AD35" s="8"/>
      <c r="AE35" s="8"/>
    </row>
    <row r="36" spans="1:31">
      <c r="A36" s="101"/>
      <c r="B36"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36" s="19" t="s">
        <v>32</v>
      </c>
      <c r="D36" s="19" t="s">
        <v>58</v>
      </c>
      <c r="E36" s="19" t="s">
        <v>90</v>
      </c>
      <c r="F36" s="19"/>
      <c r="G36" s="20" t="s">
        <v>151</v>
      </c>
      <c r="H36" s="20"/>
      <c r="I36" s="20"/>
      <c r="J36" s="20"/>
      <c r="K36" s="38"/>
      <c r="L36" s="38"/>
      <c r="M36" s="38"/>
      <c r="N36" s="38"/>
      <c r="O36" s="100"/>
      <c r="P36" s="100"/>
      <c r="Q36" s="8"/>
      <c r="R36" s="8"/>
      <c r="S36" s="8"/>
      <c r="T36" s="8"/>
      <c r="U36" s="8"/>
      <c r="V36" s="8"/>
      <c r="W36" s="8"/>
      <c r="X36" s="8"/>
      <c r="Y36" s="8"/>
      <c r="Z36" s="8"/>
      <c r="AA36" s="8"/>
      <c r="AB36" s="8"/>
      <c r="AC36" s="8"/>
      <c r="AD36" s="8"/>
      <c r="AE36" s="8"/>
    </row>
    <row r="37" spans="1:31" ht="14.5" customHeight="1">
      <c r="A37" s="101"/>
      <c r="B37"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37" s="19" t="s">
        <v>57</v>
      </c>
      <c r="D37" s="19" t="s">
        <v>65</v>
      </c>
      <c r="E37" s="19" t="s">
        <v>29</v>
      </c>
      <c r="F37" s="19"/>
      <c r="G37" s="20" t="s">
        <v>136</v>
      </c>
      <c r="H37" s="20" t="s">
        <v>201</v>
      </c>
      <c r="I37" s="20" t="s">
        <v>210</v>
      </c>
      <c r="J37" s="20"/>
      <c r="K37" s="38" t="s">
        <v>235</v>
      </c>
      <c r="L37" s="38" t="s">
        <v>249</v>
      </c>
      <c r="M37" s="38" t="s">
        <v>202</v>
      </c>
      <c r="N37" s="38" t="s">
        <v>203</v>
      </c>
      <c r="O37" s="100"/>
      <c r="P37" s="100"/>
      <c r="Q37" s="8"/>
      <c r="R37" s="8"/>
      <c r="S37" s="8"/>
      <c r="T37" s="8"/>
      <c r="U37" s="8"/>
      <c r="V37" s="8"/>
      <c r="W37" s="8"/>
      <c r="X37" s="8"/>
      <c r="Y37" s="8"/>
      <c r="Z37" s="8"/>
      <c r="AA37" s="8"/>
      <c r="AB37" s="8"/>
      <c r="AC37" s="8"/>
      <c r="AD37" s="8"/>
      <c r="AE37" s="8"/>
    </row>
    <row r="38" spans="1:31">
      <c r="A38" s="101"/>
      <c r="B38"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38" s="19" t="s">
        <v>67</v>
      </c>
      <c r="D38" s="19" t="s">
        <v>95</v>
      </c>
      <c r="E38" s="19"/>
      <c r="F38" s="19"/>
      <c r="G38" s="20" t="s">
        <v>155</v>
      </c>
      <c r="H38" s="20"/>
      <c r="I38" s="20"/>
      <c r="J38" s="20"/>
      <c r="K38" s="38"/>
      <c r="L38" s="38"/>
      <c r="M38" s="38"/>
      <c r="N38" s="38"/>
      <c r="O38" s="100"/>
      <c r="P38" s="100"/>
      <c r="Q38" s="8"/>
      <c r="R38" s="8"/>
      <c r="S38" s="8"/>
      <c r="T38" s="8"/>
      <c r="U38" s="8"/>
      <c r="V38" s="8"/>
      <c r="W38" s="8"/>
      <c r="X38" s="8"/>
      <c r="Y38" s="8"/>
      <c r="Z38" s="8"/>
      <c r="AA38" s="8"/>
      <c r="AB38" s="8"/>
      <c r="AC38" s="8"/>
      <c r="AD38" s="8"/>
      <c r="AE38" s="8"/>
    </row>
    <row r="39" spans="1:31" ht="14.5" customHeight="1">
      <c r="A39" s="101"/>
      <c r="B39"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39" s="19" t="s">
        <v>52</v>
      </c>
      <c r="D39" s="19" t="s">
        <v>35</v>
      </c>
      <c r="E39" s="19" t="s">
        <v>82</v>
      </c>
      <c r="F39" s="19" t="s">
        <v>33</v>
      </c>
      <c r="G39" s="20" t="s">
        <v>149</v>
      </c>
      <c r="H39" s="20" t="s">
        <v>126</v>
      </c>
      <c r="I39" s="20" t="s">
        <v>240</v>
      </c>
      <c r="J39" s="20"/>
      <c r="K39" s="38"/>
      <c r="L39" s="38"/>
      <c r="M39" s="38"/>
      <c r="N39" s="38"/>
      <c r="O39" s="100"/>
      <c r="P39" s="100"/>
      <c r="Q39" s="8"/>
      <c r="R39" s="8"/>
      <c r="S39" s="8"/>
      <c r="T39" s="8"/>
      <c r="U39" s="8"/>
      <c r="V39" s="8"/>
      <c r="W39" s="8"/>
      <c r="X39" s="8"/>
      <c r="Y39" s="8"/>
      <c r="Z39" s="8"/>
      <c r="AA39" s="8"/>
      <c r="AB39" s="8"/>
      <c r="AC39" s="8"/>
      <c r="AD39" s="8"/>
      <c r="AE39" s="8"/>
    </row>
    <row r="40" spans="1:31">
      <c r="A40" s="101" t="s">
        <v>9</v>
      </c>
      <c r="B40"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0" s="19" t="s">
        <v>50</v>
      </c>
      <c r="D40" s="19" t="s">
        <v>49</v>
      </c>
      <c r="E40" s="19" t="s">
        <v>37</v>
      </c>
      <c r="F40" s="19" t="s">
        <v>42</v>
      </c>
      <c r="G40" s="20" t="s">
        <v>226</v>
      </c>
      <c r="H40" s="20" t="s">
        <v>163</v>
      </c>
      <c r="I40" s="20" t="s">
        <v>195</v>
      </c>
      <c r="J40" s="20"/>
      <c r="K40" s="38" t="s">
        <v>212</v>
      </c>
      <c r="L40" s="38" t="s">
        <v>206</v>
      </c>
      <c r="M40" s="38" t="s">
        <v>244</v>
      </c>
      <c r="N40" s="38" t="s">
        <v>250</v>
      </c>
      <c r="O40" s="102">
        <f>COUNTIF(C40:N48,"* ضد *")</f>
        <v>60</v>
      </c>
      <c r="P40" s="102">
        <f>O40*2/'ملخص البطولات'!$A$14</f>
        <v>4</v>
      </c>
      <c r="Q40" s="8"/>
      <c r="R40" s="8"/>
      <c r="S40" s="8"/>
      <c r="T40" s="8"/>
      <c r="U40" s="8"/>
      <c r="V40" s="8"/>
      <c r="W40" s="8"/>
      <c r="X40" s="8"/>
      <c r="Y40" s="8"/>
      <c r="Z40" s="8"/>
      <c r="AA40" s="8"/>
      <c r="AB40" s="8"/>
      <c r="AC40" s="8"/>
      <c r="AD40" s="8"/>
      <c r="AE40" s="8"/>
    </row>
    <row r="41" spans="1:31">
      <c r="A41" s="101"/>
      <c r="B41"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41" s="19" t="s">
        <v>23</v>
      </c>
      <c r="D41" s="19"/>
      <c r="E41" s="19"/>
      <c r="F41" s="19"/>
      <c r="G41" s="20" t="s">
        <v>223</v>
      </c>
      <c r="H41" s="20"/>
      <c r="I41" s="20"/>
      <c r="J41" s="20"/>
      <c r="K41" s="38"/>
      <c r="L41" s="38"/>
      <c r="M41" s="38"/>
      <c r="N41" s="38"/>
      <c r="O41" s="102"/>
      <c r="P41" s="102"/>
      <c r="Q41" s="8"/>
      <c r="R41" s="8"/>
      <c r="S41" s="8"/>
      <c r="T41" s="8"/>
      <c r="U41" s="8"/>
      <c r="V41" s="8"/>
      <c r="W41" s="8"/>
      <c r="X41" s="8"/>
      <c r="Y41" s="8"/>
      <c r="Z41" s="8"/>
      <c r="AA41" s="8"/>
      <c r="AB41" s="8"/>
      <c r="AC41" s="8"/>
      <c r="AD41" s="8"/>
      <c r="AE41" s="8"/>
    </row>
    <row r="42" spans="1:31" ht="14.5" customHeight="1">
      <c r="A42" s="101"/>
      <c r="B42"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42" s="19" t="s">
        <v>44</v>
      </c>
      <c r="D42" s="19" t="s">
        <v>64</v>
      </c>
      <c r="E42" s="19" t="s">
        <v>66</v>
      </c>
      <c r="F42" s="19" t="s">
        <v>96</v>
      </c>
      <c r="G42" s="20" t="s">
        <v>118</v>
      </c>
      <c r="H42" s="20" t="s">
        <v>156</v>
      </c>
      <c r="I42" s="20" t="s">
        <v>176</v>
      </c>
      <c r="J42" s="20"/>
      <c r="K42" s="38" t="s">
        <v>200</v>
      </c>
      <c r="L42" s="38" t="s">
        <v>239</v>
      </c>
      <c r="M42" s="38" t="s">
        <v>241</v>
      </c>
      <c r="N42" s="38" t="s">
        <v>242</v>
      </c>
      <c r="O42" s="102"/>
      <c r="P42" s="102"/>
      <c r="Q42" s="8"/>
      <c r="R42" s="8"/>
      <c r="S42" s="8"/>
      <c r="T42" s="8"/>
      <c r="U42" s="8"/>
      <c r="V42" s="8"/>
      <c r="W42" s="8"/>
      <c r="X42" s="8"/>
      <c r="Y42" s="8"/>
      <c r="Z42" s="8"/>
      <c r="AA42" s="8"/>
      <c r="AB42" s="8"/>
      <c r="AC42" s="8"/>
      <c r="AD42" s="8"/>
      <c r="AE42" s="8"/>
    </row>
    <row r="43" spans="1:31">
      <c r="A43" s="101"/>
      <c r="B43"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43" s="19" t="s">
        <v>45</v>
      </c>
      <c r="D43" s="19" t="s">
        <v>46</v>
      </c>
      <c r="E43" s="19"/>
      <c r="F43" s="19"/>
      <c r="G43" s="20" t="s">
        <v>193</v>
      </c>
      <c r="H43" s="20"/>
      <c r="I43" s="20"/>
      <c r="J43" s="20"/>
      <c r="K43" s="38"/>
      <c r="L43" s="38"/>
      <c r="M43" s="38"/>
      <c r="N43" s="38"/>
      <c r="O43" s="102"/>
      <c r="P43" s="102"/>
      <c r="Q43" s="8"/>
      <c r="R43" s="8"/>
      <c r="S43" s="8"/>
      <c r="T43" s="8"/>
      <c r="U43" s="8"/>
      <c r="V43" s="8"/>
      <c r="W43" s="8"/>
      <c r="X43" s="8"/>
      <c r="Y43" s="8"/>
      <c r="Z43" s="8"/>
      <c r="AA43" s="8"/>
      <c r="AB43" s="8"/>
      <c r="AC43" s="8"/>
      <c r="AD43" s="8"/>
      <c r="AE43" s="8"/>
    </row>
    <row r="44" spans="1:31">
      <c r="A44" s="101"/>
      <c r="B44"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44" s="19" t="s">
        <v>28</v>
      </c>
      <c r="D44" s="19" t="s">
        <v>309</v>
      </c>
      <c r="E44" s="19" t="s">
        <v>48</v>
      </c>
      <c r="F44" s="19" t="s">
        <v>69</v>
      </c>
      <c r="G44" s="20" t="s">
        <v>217</v>
      </c>
      <c r="H44" s="20" t="s">
        <v>211</v>
      </c>
      <c r="I44" s="20" t="s">
        <v>227</v>
      </c>
      <c r="J44" s="20"/>
      <c r="K44" s="38" t="s">
        <v>207</v>
      </c>
      <c r="L44" s="38" t="s">
        <v>209</v>
      </c>
      <c r="M44" s="38" t="s">
        <v>234</v>
      </c>
      <c r="N44" s="38" t="s">
        <v>213</v>
      </c>
      <c r="O44" s="102"/>
      <c r="P44" s="102"/>
      <c r="Q44" s="8"/>
      <c r="R44" s="8"/>
      <c r="S44" s="8"/>
      <c r="T44" s="8"/>
      <c r="U44" s="8"/>
      <c r="V44" s="8"/>
      <c r="W44" s="8"/>
      <c r="X44" s="8"/>
      <c r="Y44" s="8"/>
      <c r="Z44" s="8"/>
      <c r="AA44" s="8"/>
      <c r="AB44" s="8"/>
      <c r="AC44" s="8"/>
      <c r="AD44" s="8"/>
      <c r="AE44" s="8"/>
    </row>
    <row r="45" spans="1:31">
      <c r="A45" s="101"/>
      <c r="B45"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45" s="19" t="s">
        <v>60</v>
      </c>
      <c r="D45" s="19"/>
      <c r="E45" s="19"/>
      <c r="F45" s="19"/>
      <c r="G45" s="20" t="s">
        <v>191</v>
      </c>
      <c r="H45" s="20"/>
      <c r="I45" s="20"/>
      <c r="J45" s="20"/>
      <c r="K45" s="38"/>
      <c r="L45" s="38"/>
      <c r="M45" s="38"/>
      <c r="N45" s="38"/>
      <c r="O45" s="102"/>
      <c r="P45" s="102"/>
      <c r="Q45" s="8"/>
      <c r="R45" s="8"/>
      <c r="S45" s="8"/>
      <c r="T45" s="8"/>
      <c r="U45" s="8"/>
      <c r="V45" s="8"/>
      <c r="W45" s="8"/>
      <c r="X45" s="8"/>
      <c r="Y45" s="8"/>
      <c r="Z45" s="8"/>
      <c r="AA45" s="8"/>
      <c r="AB45" s="8"/>
      <c r="AC45" s="8"/>
      <c r="AD45" s="8"/>
      <c r="AE45" s="8"/>
    </row>
    <row r="46" spans="1:31" ht="14.5" customHeight="1">
      <c r="A46" s="101"/>
      <c r="B46"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46" s="19" t="s">
        <v>34</v>
      </c>
      <c r="D46" s="19" t="s">
        <v>80</v>
      </c>
      <c r="E46" s="19" t="s">
        <v>31</v>
      </c>
      <c r="F46" s="19" t="s">
        <v>91</v>
      </c>
      <c r="G46" s="20" t="s">
        <v>171</v>
      </c>
      <c r="H46" s="20" t="s">
        <v>140</v>
      </c>
      <c r="I46" s="20" t="s">
        <v>169</v>
      </c>
      <c r="J46" s="20"/>
      <c r="K46" s="38" t="s">
        <v>236</v>
      </c>
      <c r="L46" s="38" t="s">
        <v>220</v>
      </c>
      <c r="M46" s="38" t="s">
        <v>247</v>
      </c>
      <c r="N46" s="38" t="s">
        <v>248</v>
      </c>
      <c r="O46" s="102"/>
      <c r="P46" s="102"/>
      <c r="Q46" s="8"/>
      <c r="R46" s="8"/>
      <c r="S46" s="8"/>
      <c r="T46" s="8"/>
      <c r="U46" s="8"/>
      <c r="V46" s="8"/>
      <c r="W46" s="8"/>
      <c r="X46" s="8"/>
      <c r="Y46" s="8"/>
      <c r="Z46" s="8"/>
      <c r="AA46" s="8"/>
      <c r="AB46" s="8"/>
      <c r="AC46" s="8"/>
      <c r="AD46" s="8"/>
      <c r="AE46" s="8"/>
    </row>
    <row r="47" spans="1:31">
      <c r="A47" s="101"/>
      <c r="B47"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47" s="19" t="s">
        <v>78</v>
      </c>
      <c r="D47" s="19" t="s">
        <v>75</v>
      </c>
      <c r="E47" s="19"/>
      <c r="F47" s="19"/>
      <c r="G47" s="20" t="s">
        <v>177</v>
      </c>
      <c r="H47" s="20"/>
      <c r="I47" s="20"/>
      <c r="J47" s="20"/>
      <c r="K47" s="38"/>
      <c r="L47" s="38"/>
      <c r="M47" s="38"/>
      <c r="N47" s="38"/>
      <c r="O47" s="102"/>
      <c r="P47" s="102"/>
      <c r="Q47" s="8"/>
      <c r="R47" s="8"/>
      <c r="S47" s="8"/>
      <c r="T47" s="8"/>
      <c r="U47" s="8"/>
      <c r="V47" s="8"/>
      <c r="W47" s="8"/>
      <c r="X47" s="8"/>
      <c r="Y47" s="8"/>
      <c r="Z47" s="8"/>
      <c r="AA47" s="8"/>
      <c r="AB47" s="8"/>
      <c r="AC47" s="8"/>
      <c r="AD47" s="8"/>
      <c r="AE47" s="8"/>
    </row>
    <row r="48" spans="1:31">
      <c r="A48" s="101"/>
      <c r="B48"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48" s="19" t="s">
        <v>26</v>
      </c>
      <c r="D48" s="19" t="s">
        <v>71</v>
      </c>
      <c r="E48" s="19" t="s">
        <v>56</v>
      </c>
      <c r="F48" s="19" t="s">
        <v>92</v>
      </c>
      <c r="G48" s="20" t="s">
        <v>180</v>
      </c>
      <c r="H48" s="20" t="s">
        <v>165</v>
      </c>
      <c r="I48" s="20"/>
      <c r="J48" s="20"/>
      <c r="K48" s="38"/>
      <c r="L48" s="38"/>
      <c r="M48" s="38"/>
      <c r="N48" s="38"/>
      <c r="O48" s="102"/>
      <c r="P48" s="102"/>
      <c r="Q48" s="8"/>
      <c r="R48" s="8"/>
      <c r="S48" s="8"/>
      <c r="T48" s="8"/>
      <c r="U48" s="8"/>
      <c r="V48" s="8"/>
      <c r="W48" s="8"/>
      <c r="X48" s="8"/>
      <c r="Y48" s="8"/>
      <c r="Z48" s="8"/>
      <c r="AA48" s="8"/>
      <c r="AB48" s="8"/>
      <c r="AC48" s="8"/>
      <c r="AD48" s="8"/>
      <c r="AE48" s="8"/>
    </row>
    <row r="49" spans="1:31">
      <c r="A49" s="101" t="s">
        <v>10</v>
      </c>
      <c r="B49" s="17"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49" s="19" t="s">
        <v>43</v>
      </c>
      <c r="D49" s="19" t="s">
        <v>61</v>
      </c>
      <c r="E49" s="19" t="s">
        <v>83</v>
      </c>
      <c r="F49" s="19" t="s">
        <v>87</v>
      </c>
      <c r="G49" s="20" t="s">
        <v>155</v>
      </c>
      <c r="H49" s="20" t="s">
        <v>126</v>
      </c>
      <c r="I49" s="20" t="s">
        <v>240</v>
      </c>
      <c r="J49" s="20"/>
      <c r="K49" s="38" t="s">
        <v>205</v>
      </c>
      <c r="L49" s="38" t="s">
        <v>214</v>
      </c>
      <c r="M49" s="38" t="s">
        <v>238</v>
      </c>
      <c r="N49" s="38" t="s">
        <v>243</v>
      </c>
      <c r="O49" s="100">
        <f>COUNTIF(C49:N57,"* ضد *")</f>
        <v>60</v>
      </c>
      <c r="P49" s="100">
        <f>O49*2/'ملخص البطولات'!$A$14</f>
        <v>4</v>
      </c>
      <c r="Q49" s="8"/>
      <c r="R49" s="8"/>
      <c r="S49" s="8"/>
      <c r="T49" s="8"/>
      <c r="U49" s="8"/>
      <c r="V49" s="8"/>
      <c r="W49" s="8"/>
      <c r="X49" s="8"/>
      <c r="Y49" s="8"/>
      <c r="Z49" s="8"/>
      <c r="AA49" s="8"/>
      <c r="AB49" s="8"/>
      <c r="AC49" s="8"/>
      <c r="AD49" s="8"/>
      <c r="AE49" s="8"/>
    </row>
    <row r="50" spans="1:31">
      <c r="A50" s="101"/>
      <c r="B50" s="17"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0" s="19" t="s">
        <v>59</v>
      </c>
      <c r="D50" s="19"/>
      <c r="E50" s="19"/>
      <c r="F50" s="19"/>
      <c r="G50" s="20" t="s">
        <v>208</v>
      </c>
      <c r="H50" s="20"/>
      <c r="I50" s="20"/>
      <c r="J50" s="20"/>
      <c r="K50" s="38"/>
      <c r="L50" s="38"/>
      <c r="M50" s="38"/>
      <c r="N50" s="38"/>
      <c r="O50" s="100"/>
      <c r="P50" s="100"/>
      <c r="Q50" s="8"/>
      <c r="R50" s="8"/>
      <c r="S50" s="8"/>
      <c r="T50" s="8"/>
      <c r="U50" s="8"/>
      <c r="V50" s="8"/>
      <c r="W50" s="8"/>
      <c r="X50" s="8"/>
      <c r="Y50" s="8"/>
      <c r="Z50" s="8"/>
      <c r="AA50" s="8"/>
      <c r="AB50" s="8"/>
      <c r="AC50" s="8"/>
      <c r="AD50" s="8"/>
      <c r="AE50" s="8"/>
    </row>
    <row r="51" spans="1:31">
      <c r="A51" s="101"/>
      <c r="B51" s="17"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51" s="19" t="s">
        <v>73</v>
      </c>
      <c r="D51" s="19" t="s">
        <v>68</v>
      </c>
      <c r="E51" s="19" t="s">
        <v>39</v>
      </c>
      <c r="F51" s="19" t="s">
        <v>89</v>
      </c>
      <c r="G51" s="20" t="s">
        <v>216</v>
      </c>
      <c r="H51" s="20" t="s">
        <v>119</v>
      </c>
      <c r="I51" s="20" t="s">
        <v>188</v>
      </c>
      <c r="J51" s="20"/>
      <c r="K51" s="38" t="s">
        <v>204</v>
      </c>
      <c r="L51" s="38" t="s">
        <v>246</v>
      </c>
      <c r="M51" s="38" t="s">
        <v>245</v>
      </c>
      <c r="N51" s="38" t="s">
        <v>237</v>
      </c>
      <c r="O51" s="100"/>
      <c r="P51" s="100"/>
      <c r="Q51" s="8"/>
      <c r="R51" s="8"/>
      <c r="S51" s="8"/>
      <c r="T51" s="8"/>
      <c r="U51" s="8"/>
      <c r="V51" s="8"/>
      <c r="W51" s="8"/>
      <c r="X51" s="8"/>
      <c r="Y51" s="8"/>
      <c r="Z51" s="8"/>
      <c r="AA51" s="8"/>
      <c r="AB51" s="8"/>
      <c r="AC51" s="8"/>
      <c r="AD51" s="8"/>
      <c r="AE51" s="8"/>
    </row>
    <row r="52" spans="1:31">
      <c r="A52" s="101"/>
      <c r="B52" s="17"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52" s="19" t="s">
        <v>72</v>
      </c>
      <c r="D52" s="19" t="s">
        <v>24</v>
      </c>
      <c r="E52" s="19"/>
      <c r="F52" s="19"/>
      <c r="G52" s="20" t="s">
        <v>219</v>
      </c>
      <c r="H52" s="20"/>
      <c r="I52" s="20"/>
      <c r="J52" s="20"/>
      <c r="K52" s="38"/>
      <c r="L52" s="38"/>
      <c r="M52" s="38"/>
      <c r="N52" s="38"/>
      <c r="O52" s="100"/>
      <c r="P52" s="100"/>
      <c r="Q52" s="8"/>
      <c r="R52" s="8"/>
      <c r="S52" s="8"/>
      <c r="T52" s="8"/>
      <c r="U52" s="8"/>
      <c r="V52" s="8"/>
      <c r="W52" s="8"/>
      <c r="X52" s="8"/>
      <c r="Y52" s="8"/>
      <c r="Z52" s="8"/>
      <c r="AA52" s="8"/>
      <c r="AB52" s="8"/>
      <c r="AC52" s="8"/>
      <c r="AD52" s="8"/>
      <c r="AE52" s="8"/>
    </row>
    <row r="53" spans="1:31">
      <c r="A53" s="101"/>
      <c r="B53" s="17"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53" s="19" t="s">
        <v>41</v>
      </c>
      <c r="D53" s="19" t="s">
        <v>27</v>
      </c>
      <c r="E53" s="19" t="s">
        <v>74</v>
      </c>
      <c r="F53" s="19" t="s">
        <v>86</v>
      </c>
      <c r="G53" s="20" t="s">
        <v>136</v>
      </c>
      <c r="H53" s="20" t="s">
        <v>151</v>
      </c>
      <c r="I53" s="20" t="s">
        <v>210</v>
      </c>
      <c r="J53" s="20"/>
      <c r="K53" s="38" t="s">
        <v>235</v>
      </c>
      <c r="L53" s="38" t="s">
        <v>249</v>
      </c>
      <c r="M53" s="38" t="s">
        <v>202</v>
      </c>
      <c r="N53" s="38" t="s">
        <v>203</v>
      </c>
      <c r="O53" s="100"/>
      <c r="P53" s="100"/>
      <c r="Q53" s="8"/>
      <c r="R53" s="8"/>
      <c r="S53" s="8"/>
      <c r="T53" s="8"/>
      <c r="U53" s="8"/>
      <c r="V53" s="8"/>
      <c r="W53" s="8"/>
      <c r="X53" s="8"/>
      <c r="Y53" s="8"/>
      <c r="Z53" s="8"/>
      <c r="AA53" s="8"/>
      <c r="AB53" s="8"/>
      <c r="AC53" s="8"/>
      <c r="AD53" s="8"/>
      <c r="AE53" s="8"/>
    </row>
    <row r="54" spans="1:31">
      <c r="A54" s="101"/>
      <c r="B54" s="17"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54" s="19" t="s">
        <v>76</v>
      </c>
      <c r="D54" s="19"/>
      <c r="E54" s="19"/>
      <c r="F54" s="19"/>
      <c r="G54" s="20" t="s">
        <v>201</v>
      </c>
      <c r="H54" s="20"/>
      <c r="I54" s="20"/>
      <c r="J54" s="20"/>
      <c r="K54" s="38"/>
      <c r="L54" s="38"/>
      <c r="M54" s="38"/>
      <c r="N54" s="38"/>
      <c r="O54" s="100"/>
      <c r="P54" s="100"/>
      <c r="Q54" s="8"/>
      <c r="R54" s="8"/>
      <c r="S54" s="8"/>
      <c r="T54" s="8"/>
      <c r="U54" s="8"/>
      <c r="V54" s="8"/>
      <c r="W54" s="8"/>
      <c r="X54" s="8"/>
      <c r="Y54" s="8"/>
      <c r="Z54" s="8"/>
      <c r="AA54" s="8"/>
      <c r="AB54" s="8"/>
      <c r="AC54" s="8"/>
      <c r="AD54" s="8"/>
      <c r="AE54" s="8"/>
    </row>
    <row r="55" spans="1:31" ht="22" customHeight="1">
      <c r="A55" s="101"/>
      <c r="B55" s="17"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55" s="19" t="s">
        <v>53</v>
      </c>
      <c r="D55" s="19" t="s">
        <v>22</v>
      </c>
      <c r="E55" s="19" t="s">
        <v>63</v>
      </c>
      <c r="F55" s="19" t="s">
        <v>54</v>
      </c>
      <c r="G55" s="20" t="s">
        <v>148</v>
      </c>
      <c r="H55" s="20" t="s">
        <v>178</v>
      </c>
      <c r="I55" s="20"/>
      <c r="J55" s="20"/>
      <c r="K55" s="38" t="s">
        <v>212</v>
      </c>
      <c r="L55" s="38" t="s">
        <v>206</v>
      </c>
      <c r="M55" s="38" t="s">
        <v>244</v>
      </c>
      <c r="N55" s="38" t="s">
        <v>250</v>
      </c>
      <c r="O55" s="100"/>
      <c r="P55" s="100"/>
      <c r="Q55" s="8"/>
      <c r="R55" s="8"/>
      <c r="S55" s="8"/>
      <c r="T55" s="8"/>
      <c r="U55" s="8"/>
      <c r="V55" s="8"/>
      <c r="W55" s="8"/>
      <c r="X55" s="8"/>
      <c r="Y55" s="8"/>
      <c r="Z55" s="8"/>
      <c r="AA55" s="8"/>
      <c r="AB55" s="8"/>
      <c r="AC55" s="8"/>
      <c r="AD55" s="8"/>
      <c r="AE55" s="8"/>
    </row>
    <row r="56" spans="1:31">
      <c r="A56" s="101"/>
      <c r="B56" s="17"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56" s="19" t="s">
        <v>36</v>
      </c>
      <c r="D56" s="19" t="s">
        <v>94</v>
      </c>
      <c r="E56" s="19"/>
      <c r="F56" s="19"/>
      <c r="G56" s="20" t="s">
        <v>124</v>
      </c>
      <c r="H56" s="20" t="s">
        <v>183</v>
      </c>
      <c r="I56" s="20"/>
      <c r="J56" s="20"/>
      <c r="K56" s="38"/>
      <c r="L56" s="38"/>
      <c r="M56" s="38"/>
      <c r="N56" s="38"/>
      <c r="O56" s="100"/>
      <c r="P56" s="100"/>
      <c r="Q56" s="8"/>
      <c r="R56" s="8"/>
      <c r="S56" s="8"/>
      <c r="T56" s="8"/>
      <c r="U56" s="8"/>
      <c r="V56" s="8"/>
      <c r="W56" s="8"/>
      <c r="X56" s="8"/>
      <c r="Y56" s="8"/>
      <c r="Z56" s="8"/>
      <c r="AA56" s="8"/>
      <c r="AB56" s="8"/>
      <c r="AC56" s="8"/>
      <c r="AD56" s="8"/>
      <c r="AE56" s="8"/>
    </row>
    <row r="57" spans="1:31">
      <c r="A57" s="101"/>
      <c r="B57" s="17"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57" s="19" t="s">
        <v>84</v>
      </c>
      <c r="D57" s="19" t="s">
        <v>77</v>
      </c>
      <c r="E57" s="19" t="s">
        <v>47</v>
      </c>
      <c r="F57" s="19" t="s">
        <v>38</v>
      </c>
      <c r="G57" s="20" t="s">
        <v>194</v>
      </c>
      <c r="H57" s="20" t="s">
        <v>149</v>
      </c>
      <c r="I57" s="20"/>
      <c r="J57" s="20"/>
      <c r="K57" s="38"/>
      <c r="L57" s="38"/>
      <c r="M57" s="38"/>
      <c r="N57" s="38"/>
      <c r="O57" s="100"/>
      <c r="P57" s="100"/>
      <c r="Q57" s="8"/>
      <c r="R57" s="8"/>
      <c r="S57" s="8"/>
      <c r="T57" s="8"/>
      <c r="U57" s="8"/>
      <c r="V57" s="8"/>
      <c r="W57" s="8"/>
      <c r="X57" s="8"/>
      <c r="Y57" s="8"/>
      <c r="Z57" s="8"/>
      <c r="AA57" s="8"/>
      <c r="AB57" s="8"/>
      <c r="AC57" s="8"/>
      <c r="AD57" s="8"/>
      <c r="AE57" s="8"/>
    </row>
    <row r="58" spans="1:31">
      <c r="A58" s="101" t="s">
        <v>11</v>
      </c>
      <c r="B58" s="16" t="str">
        <f>MOD(HOUR((المدخلات!$B$4+0*المدخلات!$B$5/1440))-1,12)+1&amp;":"&amp;TEXT(MINUTE((المدخلات!$B$4+0*المدخلات!$B$5/1440)),"00")&amp;"–"&amp;MOD(HOUR((المدخلات!$B$4+0*المدخلات!$B$5/1440+المدخلات!$B$5/1440))-1,12)+1&amp;":"&amp;TEXT(MINUTE((المدخلات!$B$4+0*المدخلات!$B$5/1440+المدخلات!$B$5/1440)),"00")&amp;IF(HOUR((المدخلات!$B$4+0*المدخلات!$B$5/1440))&lt;12," ص"," م")</f>
        <v>5:00–5:15 م</v>
      </c>
      <c r="C58" s="19" t="s">
        <v>57</v>
      </c>
      <c r="D58" s="19" t="s">
        <v>58</v>
      </c>
      <c r="E58" s="19" t="s">
        <v>33</v>
      </c>
      <c r="F58" s="19" t="s">
        <v>88</v>
      </c>
      <c r="G58" s="20" t="s">
        <v>171</v>
      </c>
      <c r="H58" s="20" t="s">
        <v>176</v>
      </c>
      <c r="I58" s="20" t="s">
        <v>217</v>
      </c>
      <c r="J58" s="20"/>
      <c r="K58" s="38" t="s">
        <v>200</v>
      </c>
      <c r="L58" s="38" t="s">
        <v>239</v>
      </c>
      <c r="M58" s="38" t="s">
        <v>241</v>
      </c>
      <c r="N58" s="38" t="s">
        <v>242</v>
      </c>
      <c r="O58" s="102">
        <f>COUNTIF(C58:N66,"* ضد *")</f>
        <v>60</v>
      </c>
      <c r="P58" s="102">
        <f>O58*2/'ملخص البطولات'!$A$14</f>
        <v>4</v>
      </c>
      <c r="Q58" s="8"/>
      <c r="R58" s="8"/>
      <c r="S58" s="8"/>
      <c r="T58" s="8"/>
      <c r="U58" s="8"/>
      <c r="V58" s="8"/>
      <c r="W58" s="8"/>
      <c r="X58" s="8"/>
      <c r="Y58" s="8"/>
      <c r="Z58" s="8"/>
      <c r="AA58" s="8"/>
      <c r="AB58" s="8"/>
      <c r="AC58" s="8"/>
      <c r="AD58" s="8"/>
      <c r="AE58" s="8"/>
    </row>
    <row r="59" spans="1:31">
      <c r="A59" s="101"/>
      <c r="B59" s="16" t="str">
        <f>MOD(HOUR((المدخلات!$B$4+1*المدخلات!$B$5/1440))-1,12)+1&amp;":"&amp;TEXT(MINUTE((المدخلات!$B$4+1*المدخلات!$B$5/1440)),"00")&amp;"–"&amp;MOD(HOUR((المدخلات!$B$4+1*المدخلات!$B$5/1440+المدخلات!$B$5/1440))-1,12)+1&amp;":"&amp;TEXT(MINUTE((المدخلات!$B$4+1*المدخلات!$B$5/1440+المدخلات!$B$5/1440)),"00")&amp;IF(HOUR((المدخلات!$B$4+1*المدخلات!$B$5/1440))&lt;12," ص"," م")</f>
        <v>5:15–5:30 م</v>
      </c>
      <c r="C59" s="19" t="s">
        <v>32</v>
      </c>
      <c r="D59" s="19" t="s">
        <v>70</v>
      </c>
      <c r="E59" s="19"/>
      <c r="F59" s="19"/>
      <c r="G59" s="20" t="s">
        <v>193</v>
      </c>
      <c r="H59" s="20"/>
      <c r="I59" s="20"/>
      <c r="J59" s="20"/>
      <c r="K59" s="38"/>
      <c r="L59" s="38"/>
      <c r="M59" s="38"/>
      <c r="N59" s="38"/>
      <c r="O59" s="102"/>
      <c r="P59" s="102"/>
      <c r="Q59" s="8"/>
      <c r="R59" s="8"/>
      <c r="S59" s="8"/>
      <c r="T59" s="8"/>
      <c r="U59" s="8"/>
      <c r="V59" s="8"/>
      <c r="W59" s="8"/>
      <c r="X59" s="8"/>
      <c r="Y59" s="8"/>
      <c r="Z59" s="8"/>
      <c r="AA59" s="8"/>
      <c r="AB59" s="8"/>
      <c r="AC59" s="8"/>
      <c r="AD59" s="8"/>
      <c r="AE59" s="8"/>
    </row>
    <row r="60" spans="1:31">
      <c r="A60" s="101"/>
      <c r="B60" s="16" t="str">
        <f>MOD(HOUR((المدخلات!$B$4+2*المدخلات!$B$5/1440))-1,12)+1&amp;":"&amp;TEXT(MINUTE((المدخلات!$B$4+2*المدخلات!$B$5/1440)),"00")&amp;"–"&amp;MOD(HOUR((المدخلات!$B$4+2*المدخلات!$B$5/1440+المدخلات!$B$5/1440))-1,12)+1&amp;":"&amp;TEXT(MINUTE((المدخلات!$B$4+2*المدخلات!$B$5/1440+المدخلات!$B$5/1440)),"00")&amp;IF(HOUR((المدخلات!$B$4+2*المدخلات!$B$5/1440))&lt;12," ص"," م")</f>
        <v>5:30–5:45 م</v>
      </c>
      <c r="C60" s="19" t="s">
        <v>52</v>
      </c>
      <c r="D60" s="19" t="s">
        <v>55</v>
      </c>
      <c r="E60" s="19" t="s">
        <v>90</v>
      </c>
      <c r="F60" s="19"/>
      <c r="G60" s="20" t="s">
        <v>163</v>
      </c>
      <c r="H60" s="20" t="s">
        <v>156</v>
      </c>
      <c r="I60" s="20" t="s">
        <v>195</v>
      </c>
      <c r="J60" s="20"/>
      <c r="K60" s="38" t="s">
        <v>207</v>
      </c>
      <c r="L60" s="38" t="s">
        <v>209</v>
      </c>
      <c r="M60" s="38" t="s">
        <v>234</v>
      </c>
      <c r="N60" s="38" t="s">
        <v>213</v>
      </c>
      <c r="O60" s="102"/>
      <c r="P60" s="102"/>
      <c r="Q60" s="8"/>
      <c r="R60" s="8"/>
      <c r="S60" s="8"/>
      <c r="T60" s="8"/>
      <c r="U60" s="8"/>
      <c r="V60" s="8"/>
      <c r="W60" s="8"/>
      <c r="X60" s="8"/>
      <c r="Y60" s="8"/>
      <c r="Z60" s="8"/>
      <c r="AA60" s="8"/>
      <c r="AB60" s="8"/>
      <c r="AC60" s="8"/>
      <c r="AD60" s="8"/>
      <c r="AE60" s="8"/>
    </row>
    <row r="61" spans="1:31">
      <c r="A61" s="101"/>
      <c r="B61" s="16" t="str">
        <f>MOD(HOUR((المدخلات!$B$4+3*المدخلات!$B$5/1440))-1,12)+1&amp;":"&amp;TEXT(MINUTE((المدخلات!$B$4+3*المدخلات!$B$5/1440)),"00")&amp;"–"&amp;MOD(HOUR((المدخلات!$B$4+3*المدخلات!$B$5/1440+المدخلات!$B$5/1440))-1,12)+1&amp;":"&amp;TEXT(MINUTE((المدخلات!$B$4+3*المدخلات!$B$5/1440+المدخلات!$B$5/1440)),"00")&amp;IF(HOUR((المدخلات!$B$4+3*المدخلات!$B$5/1440))&lt;12," ص"," م")</f>
        <v>5:45–6:00 م</v>
      </c>
      <c r="C61" s="19" t="s">
        <v>67</v>
      </c>
      <c r="D61" s="19" t="s">
        <v>40</v>
      </c>
      <c r="E61" s="19" t="s">
        <v>51</v>
      </c>
      <c r="F61" s="19"/>
      <c r="G61" s="20" t="s">
        <v>223</v>
      </c>
      <c r="H61" s="20"/>
      <c r="I61" s="20"/>
      <c r="J61" s="20"/>
      <c r="K61" s="38"/>
      <c r="L61" s="38"/>
      <c r="M61" s="38"/>
      <c r="N61" s="38"/>
      <c r="O61" s="102"/>
      <c r="P61" s="102"/>
      <c r="Q61" s="8"/>
      <c r="R61" s="8"/>
      <c r="S61" s="8"/>
      <c r="T61" s="8"/>
      <c r="U61" s="8"/>
      <c r="V61" s="8"/>
      <c r="W61" s="8"/>
      <c r="X61" s="8"/>
      <c r="Y61" s="8"/>
      <c r="Z61" s="8"/>
      <c r="AA61" s="8"/>
      <c r="AB61" s="8"/>
      <c r="AC61" s="8"/>
      <c r="AD61" s="8"/>
      <c r="AE61" s="8"/>
    </row>
    <row r="62" spans="1:31">
      <c r="A62" s="101"/>
      <c r="B62" s="16" t="str">
        <f>MOD(HOUR((المدخلات!$B$4+4*المدخلات!$B$5/1440))-1,12)+1&amp;":"&amp;TEXT(MINUTE((المدخلات!$B$4+4*المدخلات!$B$5/1440)),"00")&amp;"–"&amp;MOD(HOUR((المدخلات!$B$4+4*المدخلات!$B$5/1440+المدخلات!$B$5/1440))-1,12)+1&amp;":"&amp;TEXT(MINUTE((المدخلات!$B$4+4*المدخلات!$B$5/1440+المدخلات!$B$5/1440)),"00")&amp;IF(HOUR((المدخلات!$B$4+4*المدخلات!$B$5/1440))&lt;12," ص"," م")</f>
        <v>6:00–6:15 م</v>
      </c>
      <c r="C62" s="19" t="s">
        <v>65</v>
      </c>
      <c r="D62" s="19" t="s">
        <v>62</v>
      </c>
      <c r="E62" s="19"/>
      <c r="F62" s="19"/>
      <c r="G62" s="20" t="s">
        <v>226</v>
      </c>
      <c r="H62" s="20" t="s">
        <v>118</v>
      </c>
      <c r="I62" s="20" t="s">
        <v>169</v>
      </c>
      <c r="J62" s="20"/>
      <c r="K62" s="38" t="s">
        <v>236</v>
      </c>
      <c r="L62" s="38" t="s">
        <v>220</v>
      </c>
      <c r="M62" s="38" t="s">
        <v>247</v>
      </c>
      <c r="N62" s="38" t="s">
        <v>248</v>
      </c>
      <c r="O62" s="102"/>
      <c r="P62" s="102"/>
      <c r="Q62" s="8"/>
      <c r="R62" s="8"/>
      <c r="S62" s="8"/>
      <c r="T62" s="8"/>
      <c r="U62" s="8"/>
      <c r="V62" s="8"/>
      <c r="W62" s="8"/>
      <c r="X62" s="8"/>
      <c r="Y62" s="8"/>
      <c r="Z62" s="8"/>
      <c r="AA62" s="8"/>
      <c r="AB62" s="8"/>
      <c r="AC62" s="8"/>
      <c r="AD62" s="8"/>
      <c r="AE62" s="8"/>
    </row>
    <row r="63" spans="1:31">
      <c r="A63" s="101"/>
      <c r="B63" s="16" t="str">
        <f>MOD(HOUR((المدخلات!$B$4+5*المدخلات!$B$5/1440))-1,12)+1&amp;":"&amp;TEXT(MINUTE((المدخلات!$B$4+5*المدخلات!$B$5/1440)),"00")&amp;"–"&amp;MOD(HOUR((المدخلات!$B$4+5*المدخلات!$B$5/1440+المدخلات!$B$5/1440))-1,12)+1&amp;":"&amp;TEXT(MINUTE((المدخلات!$B$4+5*المدخلات!$B$5/1440+المدخلات!$B$5/1440)),"00")&amp;IF(HOUR((المدخلات!$B$4+5*المدخلات!$B$5/1440))&lt;12," ص"," م")</f>
        <v>6:15–6:30 م</v>
      </c>
      <c r="C63" s="19" t="s">
        <v>93</v>
      </c>
      <c r="D63" s="19" t="s">
        <v>85</v>
      </c>
      <c r="E63" s="19" t="s">
        <v>79</v>
      </c>
      <c r="F63" s="19"/>
      <c r="G63" s="20" t="s">
        <v>140</v>
      </c>
      <c r="H63" s="20"/>
      <c r="I63" s="20"/>
      <c r="J63" s="20"/>
      <c r="K63" s="38"/>
      <c r="L63" s="38"/>
      <c r="M63" s="38"/>
      <c r="N63" s="38"/>
      <c r="O63" s="102"/>
      <c r="P63" s="102"/>
      <c r="Q63" s="8"/>
      <c r="R63" s="8"/>
      <c r="S63" s="8"/>
      <c r="T63" s="8"/>
      <c r="U63" s="8"/>
      <c r="V63" s="8"/>
      <c r="W63" s="8"/>
      <c r="X63" s="8"/>
      <c r="Y63" s="8"/>
      <c r="Z63" s="8"/>
      <c r="AA63" s="8"/>
      <c r="AB63" s="8"/>
      <c r="AC63" s="8"/>
      <c r="AD63" s="8"/>
      <c r="AE63" s="8"/>
    </row>
    <row r="64" spans="1:31">
      <c r="A64" s="101"/>
      <c r="B64" s="16" t="str">
        <f>MOD(HOUR((المدخلات!$B$4+6*المدخلات!$B$5/1440))-1,12)+1&amp;":"&amp;TEXT(MINUTE((المدخلات!$B$4+6*المدخلات!$B$5/1440)),"00")&amp;"–"&amp;MOD(HOUR((المدخلات!$B$4+6*المدخلات!$B$5/1440+المدخلات!$B$5/1440))-1,12)+1&amp;":"&amp;TEXT(MINUTE((المدخلات!$B$4+6*المدخلات!$B$5/1440+المدخلات!$B$5/1440)),"00")&amp;IF(HOUR((المدخلات!$B$4+6*المدخلات!$B$5/1440))&lt;12," ص"," م")</f>
        <v>6:30–6:45 م</v>
      </c>
      <c r="C64" s="19" t="s">
        <v>81</v>
      </c>
      <c r="D64" s="19" t="s">
        <v>35</v>
      </c>
      <c r="E64" s="19" t="s">
        <v>82</v>
      </c>
      <c r="F64" s="19"/>
      <c r="G64" s="20" t="s">
        <v>177</v>
      </c>
      <c r="H64" s="20" t="s">
        <v>180</v>
      </c>
      <c r="I64" s="20" t="s">
        <v>227</v>
      </c>
      <c r="J64" s="20"/>
      <c r="K64" s="38" t="s">
        <v>205</v>
      </c>
      <c r="L64" s="38" t="s">
        <v>214</v>
      </c>
      <c r="M64" s="38" t="s">
        <v>238</v>
      </c>
      <c r="N64" s="38" t="s">
        <v>243</v>
      </c>
      <c r="O64" s="102"/>
      <c r="P64" s="102"/>
      <c r="Q64" s="8"/>
      <c r="R64" s="8"/>
      <c r="S64" s="8"/>
      <c r="T64" s="8"/>
      <c r="U64" s="8"/>
      <c r="V64" s="8"/>
      <c r="W64" s="8"/>
      <c r="X64" s="8"/>
      <c r="Y64" s="8"/>
      <c r="Z64" s="8"/>
      <c r="AA64" s="8"/>
      <c r="AB64" s="8"/>
      <c r="AC64" s="8"/>
      <c r="AD64" s="8"/>
      <c r="AE64" s="8"/>
    </row>
    <row r="65" spans="1:31">
      <c r="A65" s="101"/>
      <c r="B65" s="16" t="str">
        <f>MOD(HOUR((المدخلات!$B$4+7*المدخلات!$B$5/1440))-1,12)+1&amp;":"&amp;TEXT(MINUTE((المدخلات!$B$4+7*المدخلات!$B$5/1440)),"00")&amp;"–"&amp;MOD(HOUR((المدخلات!$B$4+7*المدخلات!$B$5/1440+المدخلات!$B$5/1440))-1,12)+1&amp;":"&amp;TEXT(MINUTE((المدخلات!$B$4+7*المدخلات!$B$5/1440+المدخلات!$B$5/1440)),"00")&amp;IF(HOUR((المدخلات!$B$4+7*المدخلات!$B$5/1440))&lt;12," ص"," م")</f>
        <v>6:45–7:00 م</v>
      </c>
      <c r="C65" s="19" t="s">
        <v>95</v>
      </c>
      <c r="D65" s="19" t="s">
        <v>21</v>
      </c>
      <c r="E65" s="19"/>
      <c r="F65" s="19"/>
      <c r="G65" s="20" t="s">
        <v>165</v>
      </c>
      <c r="H65" s="20"/>
      <c r="I65" s="20"/>
      <c r="J65" s="20"/>
      <c r="K65" s="38"/>
      <c r="L65" s="38"/>
      <c r="M65" s="38"/>
      <c r="N65" s="38"/>
      <c r="O65" s="102"/>
      <c r="P65" s="102"/>
      <c r="Q65" s="8"/>
      <c r="R65" s="8"/>
      <c r="S65" s="8"/>
      <c r="T65" s="8"/>
      <c r="U65" s="8"/>
      <c r="V65" s="8"/>
      <c r="W65" s="8"/>
      <c r="X65" s="8"/>
      <c r="Y65" s="8"/>
      <c r="Z65" s="8"/>
      <c r="AA65" s="8"/>
      <c r="AB65" s="8"/>
      <c r="AC65" s="8"/>
      <c r="AD65" s="8"/>
      <c r="AE65" s="8"/>
    </row>
    <row r="66" spans="1:31">
      <c r="A66" s="101"/>
      <c r="B66" s="16" t="str">
        <f>MOD(HOUR((المدخلات!$B$4+8*المدخلات!$B$5/1440))-1,12)+1&amp;":"&amp;TEXT(MINUTE((المدخلات!$B$4+8*المدخلات!$B$5/1440)),"00")&amp;"–"&amp;MOD(HOUR((المدخلات!$B$4+8*المدخلات!$B$5/1440+المدخلات!$B$5/1440))-1,12)+1&amp;":"&amp;TEXT(MINUTE((المدخلات!$B$4+8*المدخلات!$B$5/1440+المدخلات!$B$5/1440)),"00")&amp;IF(HOUR((المدخلات!$B$4+8*المدخلات!$B$5/1440))&lt;12," ص"," م")</f>
        <v>7:00–7:15 م</v>
      </c>
      <c r="C66" s="19" t="s">
        <v>20</v>
      </c>
      <c r="D66" s="19" t="s">
        <v>30</v>
      </c>
      <c r="E66" s="19" t="s">
        <v>25</v>
      </c>
      <c r="F66" s="19" t="s">
        <v>29</v>
      </c>
      <c r="G66" s="20" t="s">
        <v>211</v>
      </c>
      <c r="H66" s="20" t="s">
        <v>191</v>
      </c>
      <c r="I66" s="20"/>
      <c r="J66" s="20"/>
      <c r="K66" s="38"/>
      <c r="L66" s="38"/>
      <c r="M66" s="38"/>
      <c r="N66" s="38"/>
      <c r="O66" s="102"/>
      <c r="P66" s="102"/>
      <c r="Q66" s="8"/>
      <c r="R66" s="8"/>
      <c r="S66" s="8"/>
      <c r="T66" s="8"/>
      <c r="U66" s="8"/>
      <c r="V66" s="8"/>
      <c r="W66" s="8"/>
      <c r="X66" s="8"/>
      <c r="Y66" s="8"/>
      <c r="Z66" s="8"/>
      <c r="AA66" s="8"/>
      <c r="AB66" s="8"/>
      <c r="AC66" s="8"/>
      <c r="AD66" s="8"/>
      <c r="AE66" s="8"/>
    </row>
    <row r="67" spans="1:31">
      <c r="A67" s="8"/>
      <c r="B67" s="8"/>
      <c r="C67" s="8"/>
      <c r="D67" s="8"/>
      <c r="E67" s="8"/>
      <c r="F67" s="8"/>
      <c r="G67" s="8"/>
      <c r="H67" s="8"/>
      <c r="I67" s="8"/>
      <c r="J67" s="8"/>
      <c r="K67" s="8"/>
      <c r="L67" s="8"/>
      <c r="M67" s="8"/>
      <c r="N67" s="8"/>
      <c r="O67" s="13"/>
      <c r="P67" s="8"/>
      <c r="Q67" s="8"/>
      <c r="R67" s="8"/>
      <c r="S67" s="8"/>
      <c r="T67" s="8"/>
      <c r="U67" s="8"/>
      <c r="V67" s="8"/>
      <c r="W67" s="8"/>
      <c r="X67" s="8"/>
      <c r="Y67" s="8"/>
      <c r="Z67" s="8"/>
      <c r="AA67" s="8"/>
      <c r="AB67" s="8"/>
      <c r="AC67" s="8"/>
      <c r="AD67" s="8"/>
      <c r="AE67" s="8"/>
    </row>
    <row r="68" spans="1:31">
      <c r="A68" s="8"/>
      <c r="B68" s="8"/>
      <c r="C68" s="8"/>
      <c r="D68" s="8"/>
      <c r="E68" s="8"/>
      <c r="F68" s="8"/>
      <c r="G68" s="8"/>
      <c r="H68" s="8"/>
      <c r="I68" s="8"/>
      <c r="J68" s="8"/>
      <c r="K68" s="8"/>
      <c r="L68" s="8"/>
      <c r="M68" s="8"/>
      <c r="N68" s="8"/>
      <c r="O68" s="13"/>
      <c r="P68" s="8"/>
      <c r="Q68" s="8"/>
      <c r="R68" s="8"/>
      <c r="S68" s="8"/>
      <c r="T68" s="8"/>
      <c r="U68" s="8"/>
      <c r="V68" s="8"/>
      <c r="W68" s="8"/>
      <c r="X68" s="8"/>
      <c r="Y68" s="8"/>
      <c r="Z68" s="8"/>
      <c r="AA68" s="8"/>
      <c r="AB68" s="8"/>
      <c r="AC68" s="8"/>
      <c r="AD68" s="8"/>
      <c r="AE68" s="8"/>
    </row>
    <row r="69" spans="1:31">
      <c r="A69" s="103" t="s">
        <v>271</v>
      </c>
      <c r="B69" s="99"/>
      <c r="C69" s="99"/>
      <c r="D69" s="99"/>
      <c r="E69" s="99"/>
      <c r="F69" s="99"/>
      <c r="G69" s="99"/>
      <c r="H69" s="99"/>
      <c r="I69" s="99"/>
      <c r="J69" s="99"/>
      <c r="K69" s="99"/>
      <c r="L69" s="99"/>
      <c r="M69" s="99"/>
      <c r="N69" s="99"/>
      <c r="O69" s="99"/>
      <c r="P69" s="99"/>
      <c r="Q69" s="99"/>
      <c r="R69" s="99"/>
      <c r="S69" s="99"/>
      <c r="T69" s="99"/>
      <c r="U69" s="99"/>
      <c r="V69" s="99"/>
      <c r="W69" s="99"/>
      <c r="X69" s="99"/>
      <c r="Y69" s="99"/>
      <c r="Z69" s="99"/>
      <c r="AA69" s="99"/>
      <c r="AB69" s="99"/>
      <c r="AC69" s="99"/>
      <c r="AD69" s="99"/>
      <c r="AE69" s="99"/>
    </row>
    <row r="70" spans="1:31">
      <c r="A70" s="10" t="s">
        <v>272</v>
      </c>
      <c r="B70" s="10">
        <v>1</v>
      </c>
      <c r="C70" s="10">
        <v>2</v>
      </c>
      <c r="D70" s="10">
        <v>3</v>
      </c>
      <c r="E70" s="10">
        <v>4</v>
      </c>
      <c r="F70" s="10">
        <v>5</v>
      </c>
      <c r="G70" s="10">
        <v>6</v>
      </c>
      <c r="H70" s="10">
        <v>7</v>
      </c>
      <c r="I70" s="10">
        <v>8</v>
      </c>
      <c r="J70" s="10">
        <v>9</v>
      </c>
      <c r="K70" s="10">
        <v>10</v>
      </c>
      <c r="L70" s="10">
        <v>11</v>
      </c>
      <c r="M70" s="10">
        <v>12</v>
      </c>
      <c r="N70" s="10">
        <v>13</v>
      </c>
      <c r="O70" s="23">
        <v>14</v>
      </c>
      <c r="P70" s="10">
        <v>15</v>
      </c>
      <c r="Q70" s="10">
        <v>16</v>
      </c>
      <c r="R70" s="10">
        <v>17</v>
      </c>
      <c r="S70" s="10">
        <v>18</v>
      </c>
      <c r="T70" s="10">
        <v>19</v>
      </c>
      <c r="U70" s="10">
        <v>20</v>
      </c>
      <c r="V70" s="10">
        <v>21</v>
      </c>
      <c r="W70" s="10">
        <v>22</v>
      </c>
      <c r="X70" s="10">
        <v>23</v>
      </c>
      <c r="Y70" s="10">
        <v>24</v>
      </c>
      <c r="Z70" s="10">
        <v>25</v>
      </c>
      <c r="AA70" s="10">
        <v>26</v>
      </c>
      <c r="AB70" s="10">
        <v>27</v>
      </c>
      <c r="AC70" s="10">
        <v>28</v>
      </c>
      <c r="AD70" s="10">
        <v>29</v>
      </c>
      <c r="AE70" s="10">
        <v>30</v>
      </c>
    </row>
    <row r="71" spans="1:31">
      <c r="A71" s="10">
        <v>1</v>
      </c>
      <c r="B71" s="11" t="str">
        <f t="shared" ref="B71:K80" si="0">IF($A71=B$70,"",COUNTIF($C$4:$N$66,$A71&amp;" ضد "&amp;B$70)+COUNTIF($C$4:$N$66,B$70&amp;" ضد "&amp;$A71))</f>
        <v/>
      </c>
      <c r="C71" s="11">
        <f t="shared" si="0"/>
        <v>3</v>
      </c>
      <c r="D71" s="11">
        <f t="shared" si="0"/>
        <v>3</v>
      </c>
      <c r="E71" s="11">
        <f t="shared" si="0"/>
        <v>2</v>
      </c>
      <c r="F71" s="11">
        <f t="shared" si="0"/>
        <v>2</v>
      </c>
      <c r="G71" s="11">
        <f t="shared" si="0"/>
        <v>2</v>
      </c>
      <c r="H71" s="11">
        <f t="shared" si="0"/>
        <v>2</v>
      </c>
      <c r="I71" s="11">
        <f t="shared" si="0"/>
        <v>2</v>
      </c>
      <c r="J71" s="11">
        <f t="shared" si="0"/>
        <v>2</v>
      </c>
      <c r="K71" s="11">
        <f t="shared" si="0"/>
        <v>2</v>
      </c>
      <c r="L71" s="11">
        <f t="shared" ref="L71:U80" si="1">IF($A71=L$70,"",COUNTIF($C$4:$N$66,$A71&amp;" ضد "&amp;L$70)+COUNTIF($C$4:$N$66,L$70&amp;" ضد "&amp;$A71))</f>
        <v>2</v>
      </c>
      <c r="M71" s="11">
        <f t="shared" si="1"/>
        <v>3</v>
      </c>
      <c r="N71" s="11">
        <f t="shared" si="1"/>
        <v>3</v>
      </c>
      <c r="O71" s="24">
        <f t="shared" si="1"/>
        <v>0</v>
      </c>
      <c r="P71" s="11">
        <f t="shared" si="1"/>
        <v>0</v>
      </c>
      <c r="Q71" s="11">
        <f t="shared" si="1"/>
        <v>0</v>
      </c>
      <c r="R71" s="11">
        <f t="shared" si="1"/>
        <v>0</v>
      </c>
      <c r="S71" s="11">
        <f t="shared" si="1"/>
        <v>0</v>
      </c>
      <c r="T71" s="11">
        <f t="shared" si="1"/>
        <v>0</v>
      </c>
      <c r="U71" s="11">
        <f t="shared" si="1"/>
        <v>0</v>
      </c>
      <c r="V71" s="11">
        <f t="shared" ref="V71:AE80" si="2">IF($A71=V$70,"",COUNTIF($C$4:$N$66,$A71&amp;" ضد "&amp;V$70)+COUNTIF($C$4:$N$66,V$70&amp;" ضد "&amp;$A71))</f>
        <v>0</v>
      </c>
      <c r="W71" s="11">
        <f t="shared" si="2"/>
        <v>0</v>
      </c>
      <c r="X71" s="11">
        <f t="shared" si="2"/>
        <v>0</v>
      </c>
      <c r="Y71" s="11">
        <f t="shared" si="2"/>
        <v>0</v>
      </c>
      <c r="Z71" s="11">
        <f t="shared" si="2"/>
        <v>0</v>
      </c>
      <c r="AA71" s="11">
        <f t="shared" si="2"/>
        <v>0</v>
      </c>
      <c r="AB71" s="11">
        <f t="shared" si="2"/>
        <v>0</v>
      </c>
      <c r="AC71" s="11">
        <f t="shared" si="2"/>
        <v>0</v>
      </c>
      <c r="AD71" s="11">
        <f t="shared" si="2"/>
        <v>0</v>
      </c>
      <c r="AE71" s="11">
        <f t="shared" si="2"/>
        <v>0</v>
      </c>
    </row>
    <row r="72" spans="1:31">
      <c r="A72" s="10">
        <v>2</v>
      </c>
      <c r="B72" s="11">
        <f t="shared" si="0"/>
        <v>3</v>
      </c>
      <c r="C72" s="11" t="str">
        <f t="shared" si="0"/>
        <v/>
      </c>
      <c r="D72" s="11">
        <f t="shared" si="0"/>
        <v>3</v>
      </c>
      <c r="E72" s="11">
        <f t="shared" si="0"/>
        <v>3</v>
      </c>
      <c r="F72" s="11">
        <f t="shared" si="0"/>
        <v>2</v>
      </c>
      <c r="G72" s="11">
        <f t="shared" si="0"/>
        <v>2</v>
      </c>
      <c r="H72" s="11">
        <f t="shared" si="0"/>
        <v>2</v>
      </c>
      <c r="I72" s="11">
        <f t="shared" si="0"/>
        <v>2</v>
      </c>
      <c r="J72" s="11">
        <f t="shared" si="0"/>
        <v>2</v>
      </c>
      <c r="K72" s="11">
        <f t="shared" si="0"/>
        <v>2</v>
      </c>
      <c r="L72" s="11">
        <f t="shared" si="1"/>
        <v>2</v>
      </c>
      <c r="M72" s="11">
        <f t="shared" si="1"/>
        <v>2</v>
      </c>
      <c r="N72" s="11">
        <f t="shared" si="1"/>
        <v>3</v>
      </c>
      <c r="O72" s="24">
        <f t="shared" si="1"/>
        <v>0</v>
      </c>
      <c r="P72" s="11">
        <f t="shared" si="1"/>
        <v>0</v>
      </c>
      <c r="Q72" s="11">
        <f t="shared" si="1"/>
        <v>0</v>
      </c>
      <c r="R72" s="11">
        <f t="shared" si="1"/>
        <v>0</v>
      </c>
      <c r="S72" s="11">
        <f t="shared" si="1"/>
        <v>0</v>
      </c>
      <c r="T72" s="11">
        <f t="shared" si="1"/>
        <v>0</v>
      </c>
      <c r="U72" s="11">
        <f t="shared" si="1"/>
        <v>0</v>
      </c>
      <c r="V72" s="11">
        <f t="shared" si="2"/>
        <v>0</v>
      </c>
      <c r="W72" s="11">
        <f t="shared" si="2"/>
        <v>0</v>
      </c>
      <c r="X72" s="11">
        <f t="shared" si="2"/>
        <v>0</v>
      </c>
      <c r="Y72" s="11">
        <f t="shared" si="2"/>
        <v>0</v>
      </c>
      <c r="Z72" s="11">
        <f t="shared" si="2"/>
        <v>0</v>
      </c>
      <c r="AA72" s="11">
        <f t="shared" si="2"/>
        <v>0</v>
      </c>
      <c r="AB72" s="11">
        <f t="shared" si="2"/>
        <v>0</v>
      </c>
      <c r="AC72" s="11">
        <f t="shared" si="2"/>
        <v>0</v>
      </c>
      <c r="AD72" s="11">
        <f t="shared" si="2"/>
        <v>0</v>
      </c>
      <c r="AE72" s="11">
        <f t="shared" si="2"/>
        <v>0</v>
      </c>
    </row>
    <row r="73" spans="1:31">
      <c r="A73" s="10">
        <v>3</v>
      </c>
      <c r="B73" s="11">
        <f t="shared" si="0"/>
        <v>3</v>
      </c>
      <c r="C73" s="11">
        <f t="shared" si="0"/>
        <v>3</v>
      </c>
      <c r="D73" s="11" t="str">
        <f t="shared" si="0"/>
        <v/>
      </c>
      <c r="E73" s="11">
        <f t="shared" si="0"/>
        <v>3</v>
      </c>
      <c r="F73" s="11">
        <f t="shared" si="0"/>
        <v>3</v>
      </c>
      <c r="G73" s="11">
        <f t="shared" si="0"/>
        <v>2</v>
      </c>
      <c r="H73" s="11">
        <f t="shared" si="0"/>
        <v>2</v>
      </c>
      <c r="I73" s="11">
        <f t="shared" si="0"/>
        <v>2</v>
      </c>
      <c r="J73" s="11">
        <f t="shared" si="0"/>
        <v>2</v>
      </c>
      <c r="K73" s="11">
        <f t="shared" si="0"/>
        <v>2</v>
      </c>
      <c r="L73" s="11">
        <f t="shared" si="1"/>
        <v>2</v>
      </c>
      <c r="M73" s="11">
        <f t="shared" si="1"/>
        <v>2</v>
      </c>
      <c r="N73" s="11">
        <f t="shared" si="1"/>
        <v>2</v>
      </c>
      <c r="O73" s="24">
        <f t="shared" si="1"/>
        <v>0</v>
      </c>
      <c r="P73" s="11">
        <f t="shared" si="1"/>
        <v>0</v>
      </c>
      <c r="Q73" s="11">
        <f t="shared" si="1"/>
        <v>0</v>
      </c>
      <c r="R73" s="11">
        <f t="shared" si="1"/>
        <v>0</v>
      </c>
      <c r="S73" s="11">
        <f t="shared" si="1"/>
        <v>0</v>
      </c>
      <c r="T73" s="11">
        <f t="shared" si="1"/>
        <v>0</v>
      </c>
      <c r="U73" s="11">
        <f t="shared" si="1"/>
        <v>0</v>
      </c>
      <c r="V73" s="11">
        <f t="shared" si="2"/>
        <v>0</v>
      </c>
      <c r="W73" s="11">
        <f t="shared" si="2"/>
        <v>0</v>
      </c>
      <c r="X73" s="11">
        <f t="shared" si="2"/>
        <v>0</v>
      </c>
      <c r="Y73" s="11">
        <f t="shared" si="2"/>
        <v>0</v>
      </c>
      <c r="Z73" s="11">
        <f t="shared" si="2"/>
        <v>0</v>
      </c>
      <c r="AA73" s="11">
        <f t="shared" si="2"/>
        <v>0</v>
      </c>
      <c r="AB73" s="11">
        <f t="shared" si="2"/>
        <v>0</v>
      </c>
      <c r="AC73" s="11">
        <f t="shared" si="2"/>
        <v>0</v>
      </c>
      <c r="AD73" s="11">
        <f t="shared" si="2"/>
        <v>0</v>
      </c>
      <c r="AE73" s="11">
        <f t="shared" si="2"/>
        <v>0</v>
      </c>
    </row>
    <row r="74" spans="1:31">
      <c r="A74" s="10">
        <v>4</v>
      </c>
      <c r="B74" s="11">
        <f t="shared" si="0"/>
        <v>2</v>
      </c>
      <c r="C74" s="11">
        <f t="shared" si="0"/>
        <v>3</v>
      </c>
      <c r="D74" s="11">
        <f t="shared" si="0"/>
        <v>3</v>
      </c>
      <c r="E74" s="11" t="str">
        <f t="shared" si="0"/>
        <v/>
      </c>
      <c r="F74" s="11">
        <f t="shared" si="0"/>
        <v>3</v>
      </c>
      <c r="G74" s="11">
        <f t="shared" si="0"/>
        <v>3</v>
      </c>
      <c r="H74" s="11">
        <f t="shared" si="0"/>
        <v>2</v>
      </c>
      <c r="I74" s="11">
        <f t="shared" si="0"/>
        <v>2</v>
      </c>
      <c r="J74" s="11">
        <f t="shared" si="0"/>
        <v>2</v>
      </c>
      <c r="K74" s="11">
        <f t="shared" si="0"/>
        <v>2</v>
      </c>
      <c r="L74" s="11">
        <f t="shared" si="1"/>
        <v>2</v>
      </c>
      <c r="M74" s="11">
        <f t="shared" si="1"/>
        <v>2</v>
      </c>
      <c r="N74" s="11">
        <f t="shared" si="1"/>
        <v>2</v>
      </c>
      <c r="O74" s="24">
        <f t="shared" si="1"/>
        <v>0</v>
      </c>
      <c r="P74" s="11">
        <f t="shared" si="1"/>
        <v>0</v>
      </c>
      <c r="Q74" s="11">
        <f t="shared" si="1"/>
        <v>0</v>
      </c>
      <c r="R74" s="11">
        <f t="shared" si="1"/>
        <v>0</v>
      </c>
      <c r="S74" s="11">
        <f t="shared" si="1"/>
        <v>0</v>
      </c>
      <c r="T74" s="11">
        <f t="shared" si="1"/>
        <v>0</v>
      </c>
      <c r="U74" s="11">
        <f t="shared" si="1"/>
        <v>0</v>
      </c>
      <c r="V74" s="11">
        <f t="shared" si="2"/>
        <v>0</v>
      </c>
      <c r="W74" s="11">
        <f t="shared" si="2"/>
        <v>0</v>
      </c>
      <c r="X74" s="11">
        <f t="shared" si="2"/>
        <v>0</v>
      </c>
      <c r="Y74" s="11">
        <f t="shared" si="2"/>
        <v>0</v>
      </c>
      <c r="Z74" s="11">
        <f t="shared" si="2"/>
        <v>0</v>
      </c>
      <c r="AA74" s="11">
        <f t="shared" si="2"/>
        <v>0</v>
      </c>
      <c r="AB74" s="11">
        <f t="shared" si="2"/>
        <v>0</v>
      </c>
      <c r="AC74" s="11">
        <f t="shared" si="2"/>
        <v>0</v>
      </c>
      <c r="AD74" s="11">
        <f t="shared" si="2"/>
        <v>0</v>
      </c>
      <c r="AE74" s="11">
        <f t="shared" si="2"/>
        <v>0</v>
      </c>
    </row>
    <row r="75" spans="1:31">
      <c r="A75" s="10">
        <v>5</v>
      </c>
      <c r="B75" s="11">
        <f t="shared" si="0"/>
        <v>2</v>
      </c>
      <c r="C75" s="11">
        <f t="shared" si="0"/>
        <v>2</v>
      </c>
      <c r="D75" s="11">
        <f t="shared" si="0"/>
        <v>3</v>
      </c>
      <c r="E75" s="11">
        <f t="shared" si="0"/>
        <v>3</v>
      </c>
      <c r="F75" s="11" t="str">
        <f t="shared" si="0"/>
        <v/>
      </c>
      <c r="G75" s="11">
        <f t="shared" si="0"/>
        <v>3</v>
      </c>
      <c r="H75" s="11">
        <f t="shared" si="0"/>
        <v>3</v>
      </c>
      <c r="I75" s="11">
        <f t="shared" si="0"/>
        <v>2</v>
      </c>
      <c r="J75" s="11">
        <f t="shared" si="0"/>
        <v>2</v>
      </c>
      <c r="K75" s="11">
        <f t="shared" si="0"/>
        <v>2</v>
      </c>
      <c r="L75" s="11">
        <f t="shared" si="1"/>
        <v>2</v>
      </c>
      <c r="M75" s="11">
        <f t="shared" si="1"/>
        <v>2</v>
      </c>
      <c r="N75" s="11">
        <f t="shared" si="1"/>
        <v>2</v>
      </c>
      <c r="O75" s="24">
        <f t="shared" si="1"/>
        <v>0</v>
      </c>
      <c r="P75" s="11">
        <f t="shared" si="1"/>
        <v>0</v>
      </c>
      <c r="Q75" s="11">
        <f t="shared" si="1"/>
        <v>0</v>
      </c>
      <c r="R75" s="11">
        <f t="shared" si="1"/>
        <v>0</v>
      </c>
      <c r="S75" s="11">
        <f t="shared" si="1"/>
        <v>0</v>
      </c>
      <c r="T75" s="11">
        <f t="shared" si="1"/>
        <v>0</v>
      </c>
      <c r="U75" s="11">
        <f t="shared" si="1"/>
        <v>0</v>
      </c>
      <c r="V75" s="11">
        <f t="shared" si="2"/>
        <v>0</v>
      </c>
      <c r="W75" s="11">
        <f t="shared" si="2"/>
        <v>0</v>
      </c>
      <c r="X75" s="11">
        <f t="shared" si="2"/>
        <v>0</v>
      </c>
      <c r="Y75" s="11">
        <f t="shared" si="2"/>
        <v>0</v>
      </c>
      <c r="Z75" s="11">
        <f t="shared" si="2"/>
        <v>0</v>
      </c>
      <c r="AA75" s="11">
        <f t="shared" si="2"/>
        <v>0</v>
      </c>
      <c r="AB75" s="11">
        <f t="shared" si="2"/>
        <v>0</v>
      </c>
      <c r="AC75" s="11">
        <f t="shared" si="2"/>
        <v>0</v>
      </c>
      <c r="AD75" s="11">
        <f t="shared" si="2"/>
        <v>0</v>
      </c>
      <c r="AE75" s="11">
        <f t="shared" si="2"/>
        <v>0</v>
      </c>
    </row>
    <row r="76" spans="1:31">
      <c r="A76" s="10">
        <v>6</v>
      </c>
      <c r="B76" s="11">
        <f t="shared" si="0"/>
        <v>2</v>
      </c>
      <c r="C76" s="11">
        <f t="shared" si="0"/>
        <v>2</v>
      </c>
      <c r="D76" s="11">
        <f t="shared" si="0"/>
        <v>2</v>
      </c>
      <c r="E76" s="11">
        <f t="shared" si="0"/>
        <v>3</v>
      </c>
      <c r="F76" s="11">
        <f t="shared" si="0"/>
        <v>3</v>
      </c>
      <c r="G76" s="11" t="str">
        <f t="shared" si="0"/>
        <v/>
      </c>
      <c r="H76" s="11">
        <f t="shared" si="0"/>
        <v>3</v>
      </c>
      <c r="I76" s="11">
        <f t="shared" si="0"/>
        <v>3</v>
      </c>
      <c r="J76" s="11">
        <f t="shared" si="0"/>
        <v>2</v>
      </c>
      <c r="K76" s="11">
        <f t="shared" si="0"/>
        <v>2</v>
      </c>
      <c r="L76" s="11">
        <f t="shared" si="1"/>
        <v>2</v>
      </c>
      <c r="M76" s="11">
        <f t="shared" si="1"/>
        <v>2</v>
      </c>
      <c r="N76" s="11">
        <f t="shared" si="1"/>
        <v>2</v>
      </c>
      <c r="O76" s="24">
        <f t="shared" si="1"/>
        <v>0</v>
      </c>
      <c r="P76" s="11">
        <f t="shared" si="1"/>
        <v>0</v>
      </c>
      <c r="Q76" s="11">
        <f t="shared" si="1"/>
        <v>0</v>
      </c>
      <c r="R76" s="11">
        <f t="shared" si="1"/>
        <v>0</v>
      </c>
      <c r="S76" s="11">
        <f t="shared" si="1"/>
        <v>0</v>
      </c>
      <c r="T76" s="11">
        <f t="shared" si="1"/>
        <v>0</v>
      </c>
      <c r="U76" s="11">
        <f t="shared" si="1"/>
        <v>0</v>
      </c>
      <c r="V76" s="11">
        <f t="shared" si="2"/>
        <v>0</v>
      </c>
      <c r="W76" s="11">
        <f t="shared" si="2"/>
        <v>0</v>
      </c>
      <c r="X76" s="11">
        <f t="shared" si="2"/>
        <v>0</v>
      </c>
      <c r="Y76" s="11">
        <f t="shared" si="2"/>
        <v>0</v>
      </c>
      <c r="Z76" s="11">
        <f t="shared" si="2"/>
        <v>0</v>
      </c>
      <c r="AA76" s="11">
        <f t="shared" si="2"/>
        <v>0</v>
      </c>
      <c r="AB76" s="11">
        <f t="shared" si="2"/>
        <v>0</v>
      </c>
      <c r="AC76" s="11">
        <f t="shared" si="2"/>
        <v>0</v>
      </c>
      <c r="AD76" s="11">
        <f t="shared" si="2"/>
        <v>0</v>
      </c>
      <c r="AE76" s="11">
        <f t="shared" si="2"/>
        <v>0</v>
      </c>
    </row>
    <row r="77" spans="1:31">
      <c r="A77" s="10">
        <v>7</v>
      </c>
      <c r="B77" s="11">
        <f t="shared" si="0"/>
        <v>2</v>
      </c>
      <c r="C77" s="11">
        <f t="shared" si="0"/>
        <v>2</v>
      </c>
      <c r="D77" s="11">
        <f t="shared" si="0"/>
        <v>2</v>
      </c>
      <c r="E77" s="11">
        <f t="shared" si="0"/>
        <v>2</v>
      </c>
      <c r="F77" s="11">
        <f t="shared" si="0"/>
        <v>3</v>
      </c>
      <c r="G77" s="11">
        <f t="shared" si="0"/>
        <v>3</v>
      </c>
      <c r="H77" s="24" t="str">
        <f t="shared" si="0"/>
        <v/>
      </c>
      <c r="I77" s="24">
        <f t="shared" si="0"/>
        <v>3</v>
      </c>
      <c r="J77" s="24">
        <f t="shared" si="0"/>
        <v>3</v>
      </c>
      <c r="K77" s="24">
        <f t="shared" si="0"/>
        <v>2</v>
      </c>
      <c r="L77" s="24">
        <f t="shared" si="1"/>
        <v>2</v>
      </c>
      <c r="M77" s="24">
        <f t="shared" si="1"/>
        <v>2</v>
      </c>
      <c r="N77" s="24">
        <f t="shared" si="1"/>
        <v>2</v>
      </c>
      <c r="O77" s="24">
        <f t="shared" si="1"/>
        <v>0</v>
      </c>
      <c r="P77" s="11">
        <f t="shared" si="1"/>
        <v>0</v>
      </c>
      <c r="Q77" s="11">
        <f t="shared" si="1"/>
        <v>0</v>
      </c>
      <c r="R77" s="11">
        <f t="shared" si="1"/>
        <v>0</v>
      </c>
      <c r="S77" s="11">
        <f t="shared" si="1"/>
        <v>0</v>
      </c>
      <c r="T77" s="11">
        <f t="shared" si="1"/>
        <v>0</v>
      </c>
      <c r="U77" s="11">
        <f t="shared" si="1"/>
        <v>0</v>
      </c>
      <c r="V77" s="11">
        <f t="shared" si="2"/>
        <v>0</v>
      </c>
      <c r="W77" s="11">
        <f t="shared" si="2"/>
        <v>0</v>
      </c>
      <c r="X77" s="11">
        <f t="shared" si="2"/>
        <v>0</v>
      </c>
      <c r="Y77" s="11">
        <f t="shared" si="2"/>
        <v>0</v>
      </c>
      <c r="Z77" s="11">
        <f t="shared" si="2"/>
        <v>0</v>
      </c>
      <c r="AA77" s="11">
        <f t="shared" si="2"/>
        <v>0</v>
      </c>
      <c r="AB77" s="11">
        <f t="shared" si="2"/>
        <v>0</v>
      </c>
      <c r="AC77" s="11">
        <f t="shared" si="2"/>
        <v>0</v>
      </c>
      <c r="AD77" s="11">
        <f t="shared" si="2"/>
        <v>0</v>
      </c>
      <c r="AE77" s="11">
        <f t="shared" si="2"/>
        <v>0</v>
      </c>
    </row>
    <row r="78" spans="1:31">
      <c r="A78" s="10">
        <v>8</v>
      </c>
      <c r="B78" s="11">
        <f t="shared" si="0"/>
        <v>2</v>
      </c>
      <c r="C78" s="11">
        <f t="shared" si="0"/>
        <v>2</v>
      </c>
      <c r="D78" s="11">
        <f t="shared" si="0"/>
        <v>2</v>
      </c>
      <c r="E78" s="11">
        <f t="shared" si="0"/>
        <v>2</v>
      </c>
      <c r="F78" s="11">
        <f t="shared" si="0"/>
        <v>2</v>
      </c>
      <c r="G78" s="11">
        <f t="shared" si="0"/>
        <v>3</v>
      </c>
      <c r="H78" s="11">
        <f t="shared" si="0"/>
        <v>3</v>
      </c>
      <c r="I78" s="11" t="str">
        <f t="shared" si="0"/>
        <v/>
      </c>
      <c r="J78" s="11">
        <f t="shared" si="0"/>
        <v>3</v>
      </c>
      <c r="K78" s="11">
        <f t="shared" si="0"/>
        <v>3</v>
      </c>
      <c r="L78" s="11">
        <f t="shared" si="1"/>
        <v>2</v>
      </c>
      <c r="M78" s="11">
        <f t="shared" si="1"/>
        <v>2</v>
      </c>
      <c r="N78" s="11">
        <f t="shared" si="1"/>
        <v>2</v>
      </c>
      <c r="O78" s="11">
        <f t="shared" si="1"/>
        <v>0</v>
      </c>
      <c r="P78" s="11">
        <f t="shared" si="1"/>
        <v>0</v>
      </c>
      <c r="Q78" s="11">
        <f t="shared" si="1"/>
        <v>0</v>
      </c>
      <c r="R78" s="11">
        <f t="shared" si="1"/>
        <v>0</v>
      </c>
      <c r="S78" s="11">
        <f t="shared" si="1"/>
        <v>0</v>
      </c>
      <c r="T78" s="11">
        <f t="shared" si="1"/>
        <v>0</v>
      </c>
      <c r="U78" s="11">
        <f t="shared" si="1"/>
        <v>0</v>
      </c>
      <c r="V78" s="11">
        <f t="shared" si="2"/>
        <v>0</v>
      </c>
      <c r="W78" s="11">
        <f t="shared" si="2"/>
        <v>0</v>
      </c>
      <c r="X78" s="11">
        <f t="shared" si="2"/>
        <v>0</v>
      </c>
      <c r="Y78" s="11">
        <f t="shared" si="2"/>
        <v>0</v>
      </c>
      <c r="Z78" s="11">
        <f t="shared" si="2"/>
        <v>0</v>
      </c>
      <c r="AA78" s="11">
        <f t="shared" si="2"/>
        <v>0</v>
      </c>
      <c r="AB78" s="11">
        <f t="shared" si="2"/>
        <v>0</v>
      </c>
      <c r="AC78" s="11">
        <f t="shared" si="2"/>
        <v>0</v>
      </c>
      <c r="AD78" s="11">
        <f t="shared" si="2"/>
        <v>0</v>
      </c>
      <c r="AE78" s="11">
        <f t="shared" si="2"/>
        <v>0</v>
      </c>
    </row>
    <row r="79" spans="1:31">
      <c r="A79" s="10">
        <v>9</v>
      </c>
      <c r="B79" s="11">
        <f t="shared" si="0"/>
        <v>2</v>
      </c>
      <c r="C79" s="11">
        <f t="shared" si="0"/>
        <v>2</v>
      </c>
      <c r="D79" s="11">
        <f t="shared" si="0"/>
        <v>2</v>
      </c>
      <c r="E79" s="11">
        <f t="shared" si="0"/>
        <v>2</v>
      </c>
      <c r="F79" s="11">
        <f t="shared" si="0"/>
        <v>2</v>
      </c>
      <c r="G79" s="11">
        <f t="shared" si="0"/>
        <v>2</v>
      </c>
      <c r="H79" s="11">
        <f t="shared" si="0"/>
        <v>3</v>
      </c>
      <c r="I79" s="11">
        <f t="shared" si="0"/>
        <v>3</v>
      </c>
      <c r="J79" s="11" t="str">
        <f t="shared" si="0"/>
        <v/>
      </c>
      <c r="K79" s="11">
        <f t="shared" si="0"/>
        <v>3</v>
      </c>
      <c r="L79" s="11">
        <f t="shared" si="1"/>
        <v>3</v>
      </c>
      <c r="M79" s="11">
        <f t="shared" si="1"/>
        <v>2</v>
      </c>
      <c r="N79" s="11">
        <f t="shared" si="1"/>
        <v>2</v>
      </c>
      <c r="O79" s="11">
        <f t="shared" si="1"/>
        <v>0</v>
      </c>
      <c r="P79" s="11">
        <f t="shared" si="1"/>
        <v>0</v>
      </c>
      <c r="Q79" s="11">
        <f t="shared" si="1"/>
        <v>0</v>
      </c>
      <c r="R79" s="11">
        <f t="shared" si="1"/>
        <v>0</v>
      </c>
      <c r="S79" s="11">
        <f t="shared" si="1"/>
        <v>0</v>
      </c>
      <c r="T79" s="11">
        <f t="shared" si="1"/>
        <v>0</v>
      </c>
      <c r="U79" s="11">
        <f t="shared" si="1"/>
        <v>0</v>
      </c>
      <c r="V79" s="11">
        <f t="shared" si="2"/>
        <v>0</v>
      </c>
      <c r="W79" s="11">
        <f t="shared" si="2"/>
        <v>0</v>
      </c>
      <c r="X79" s="11">
        <f t="shared" si="2"/>
        <v>0</v>
      </c>
      <c r="Y79" s="11">
        <f t="shared" si="2"/>
        <v>0</v>
      </c>
      <c r="Z79" s="11">
        <f t="shared" si="2"/>
        <v>0</v>
      </c>
      <c r="AA79" s="11">
        <f t="shared" si="2"/>
        <v>0</v>
      </c>
      <c r="AB79" s="11">
        <f t="shared" si="2"/>
        <v>0</v>
      </c>
      <c r="AC79" s="11">
        <f t="shared" si="2"/>
        <v>0</v>
      </c>
      <c r="AD79" s="11">
        <f t="shared" si="2"/>
        <v>0</v>
      </c>
      <c r="AE79" s="11">
        <f t="shared" si="2"/>
        <v>0</v>
      </c>
    </row>
    <row r="80" spans="1:31">
      <c r="A80" s="10">
        <v>10</v>
      </c>
      <c r="B80" s="11">
        <f t="shared" si="0"/>
        <v>2</v>
      </c>
      <c r="C80" s="11">
        <f t="shared" si="0"/>
        <v>2</v>
      </c>
      <c r="D80" s="11">
        <f t="shared" si="0"/>
        <v>2</v>
      </c>
      <c r="E80" s="11">
        <f t="shared" si="0"/>
        <v>2</v>
      </c>
      <c r="F80" s="11">
        <f t="shared" si="0"/>
        <v>2</v>
      </c>
      <c r="G80" s="11">
        <f t="shared" si="0"/>
        <v>2</v>
      </c>
      <c r="H80" s="11">
        <f t="shared" si="0"/>
        <v>2</v>
      </c>
      <c r="I80" s="11">
        <f t="shared" si="0"/>
        <v>3</v>
      </c>
      <c r="J80" s="11">
        <f t="shared" si="0"/>
        <v>3</v>
      </c>
      <c r="K80" s="11" t="str">
        <f t="shared" si="0"/>
        <v/>
      </c>
      <c r="L80" s="11">
        <f t="shared" si="1"/>
        <v>3</v>
      </c>
      <c r="M80" s="11">
        <f t="shared" si="1"/>
        <v>3</v>
      </c>
      <c r="N80" s="11">
        <f t="shared" si="1"/>
        <v>2</v>
      </c>
      <c r="O80" s="11">
        <f t="shared" si="1"/>
        <v>0</v>
      </c>
      <c r="P80" s="11">
        <f t="shared" si="1"/>
        <v>0</v>
      </c>
      <c r="Q80" s="11">
        <f t="shared" si="1"/>
        <v>0</v>
      </c>
      <c r="R80" s="11">
        <f t="shared" si="1"/>
        <v>0</v>
      </c>
      <c r="S80" s="11">
        <f t="shared" si="1"/>
        <v>0</v>
      </c>
      <c r="T80" s="11">
        <f t="shared" si="1"/>
        <v>0</v>
      </c>
      <c r="U80" s="11">
        <f t="shared" si="1"/>
        <v>0</v>
      </c>
      <c r="V80" s="11">
        <f t="shared" si="2"/>
        <v>0</v>
      </c>
      <c r="W80" s="11">
        <f t="shared" si="2"/>
        <v>0</v>
      </c>
      <c r="X80" s="11">
        <f t="shared" si="2"/>
        <v>0</v>
      </c>
      <c r="Y80" s="11">
        <f t="shared" si="2"/>
        <v>0</v>
      </c>
      <c r="Z80" s="11">
        <f t="shared" si="2"/>
        <v>0</v>
      </c>
      <c r="AA80" s="11">
        <f t="shared" si="2"/>
        <v>0</v>
      </c>
      <c r="AB80" s="11">
        <f t="shared" si="2"/>
        <v>0</v>
      </c>
      <c r="AC80" s="11">
        <f t="shared" si="2"/>
        <v>0</v>
      </c>
      <c r="AD80" s="11">
        <f t="shared" si="2"/>
        <v>0</v>
      </c>
      <c r="AE80" s="11">
        <f t="shared" si="2"/>
        <v>0</v>
      </c>
    </row>
    <row r="81" spans="1:31">
      <c r="A81" s="10">
        <v>11</v>
      </c>
      <c r="B81" s="11">
        <f t="shared" ref="B81:K90" si="3">IF($A81=B$70,"",COUNTIF($C$4:$N$66,$A81&amp;" ضد "&amp;B$70)+COUNTIF($C$4:$N$66,B$70&amp;" ضد "&amp;$A81))</f>
        <v>2</v>
      </c>
      <c r="C81" s="11">
        <f t="shared" si="3"/>
        <v>2</v>
      </c>
      <c r="D81" s="11">
        <f t="shared" si="3"/>
        <v>2</v>
      </c>
      <c r="E81" s="11">
        <f t="shared" si="3"/>
        <v>2</v>
      </c>
      <c r="F81" s="11">
        <f t="shared" si="3"/>
        <v>2</v>
      </c>
      <c r="G81" s="11">
        <f t="shared" si="3"/>
        <v>2</v>
      </c>
      <c r="H81" s="11">
        <f t="shared" si="3"/>
        <v>2</v>
      </c>
      <c r="I81" s="11">
        <f t="shared" si="3"/>
        <v>2</v>
      </c>
      <c r="J81" s="11">
        <f t="shared" si="3"/>
        <v>3</v>
      </c>
      <c r="K81" s="11">
        <f t="shared" si="3"/>
        <v>3</v>
      </c>
      <c r="L81" s="11" t="str">
        <f t="shared" ref="L81:U90" si="4">IF($A81=L$70,"",COUNTIF($C$4:$N$66,$A81&amp;" ضد "&amp;L$70)+COUNTIF($C$4:$N$66,L$70&amp;" ضد "&amp;$A81))</f>
        <v/>
      </c>
      <c r="M81" s="11">
        <f t="shared" si="4"/>
        <v>3</v>
      </c>
      <c r="N81" s="11">
        <f t="shared" si="4"/>
        <v>3</v>
      </c>
      <c r="O81" s="11">
        <f t="shared" si="4"/>
        <v>0</v>
      </c>
      <c r="P81" s="11">
        <f t="shared" si="4"/>
        <v>0</v>
      </c>
      <c r="Q81" s="11">
        <f t="shared" si="4"/>
        <v>0</v>
      </c>
      <c r="R81" s="11">
        <f t="shared" si="4"/>
        <v>0</v>
      </c>
      <c r="S81" s="11">
        <f t="shared" si="4"/>
        <v>0</v>
      </c>
      <c r="T81" s="11">
        <f t="shared" si="4"/>
        <v>0</v>
      </c>
      <c r="U81" s="11">
        <f t="shared" si="4"/>
        <v>0</v>
      </c>
      <c r="V81" s="11">
        <f t="shared" ref="V81:AE90" si="5">IF($A81=V$70,"",COUNTIF($C$4:$N$66,$A81&amp;" ضد "&amp;V$70)+COUNTIF($C$4:$N$66,V$70&amp;" ضد "&amp;$A81))</f>
        <v>0</v>
      </c>
      <c r="W81" s="11">
        <f t="shared" si="5"/>
        <v>0</v>
      </c>
      <c r="X81" s="11">
        <f t="shared" si="5"/>
        <v>0</v>
      </c>
      <c r="Y81" s="11">
        <f t="shared" si="5"/>
        <v>0</v>
      </c>
      <c r="Z81" s="11">
        <f t="shared" si="5"/>
        <v>0</v>
      </c>
      <c r="AA81" s="11">
        <f t="shared" si="5"/>
        <v>0</v>
      </c>
      <c r="AB81" s="11">
        <f t="shared" si="5"/>
        <v>0</v>
      </c>
      <c r="AC81" s="11">
        <f t="shared" si="5"/>
        <v>0</v>
      </c>
      <c r="AD81" s="11">
        <f t="shared" si="5"/>
        <v>0</v>
      </c>
      <c r="AE81" s="11">
        <f t="shared" si="5"/>
        <v>0</v>
      </c>
    </row>
    <row r="82" spans="1:31">
      <c r="A82" s="10">
        <v>12</v>
      </c>
      <c r="B82" s="11">
        <f t="shared" si="3"/>
        <v>3</v>
      </c>
      <c r="C82" s="11">
        <f t="shared" si="3"/>
        <v>2</v>
      </c>
      <c r="D82" s="11">
        <f t="shared" si="3"/>
        <v>2</v>
      </c>
      <c r="E82" s="11">
        <f t="shared" si="3"/>
        <v>2</v>
      </c>
      <c r="F82" s="11">
        <f t="shared" si="3"/>
        <v>2</v>
      </c>
      <c r="G82" s="11">
        <f t="shared" si="3"/>
        <v>2</v>
      </c>
      <c r="H82" s="11">
        <f t="shared" si="3"/>
        <v>2</v>
      </c>
      <c r="I82" s="11">
        <f t="shared" si="3"/>
        <v>2</v>
      </c>
      <c r="J82" s="11">
        <f t="shared" si="3"/>
        <v>2</v>
      </c>
      <c r="K82" s="11">
        <f t="shared" si="3"/>
        <v>3</v>
      </c>
      <c r="L82" s="11">
        <f t="shared" si="4"/>
        <v>3</v>
      </c>
      <c r="M82" s="11" t="str">
        <f t="shared" si="4"/>
        <v/>
      </c>
      <c r="N82" s="11">
        <f t="shared" si="4"/>
        <v>3</v>
      </c>
      <c r="O82" s="11">
        <f t="shared" si="4"/>
        <v>0</v>
      </c>
      <c r="P82" s="11">
        <f t="shared" si="4"/>
        <v>0</v>
      </c>
      <c r="Q82" s="11">
        <f t="shared" si="4"/>
        <v>0</v>
      </c>
      <c r="R82" s="11">
        <f t="shared" si="4"/>
        <v>0</v>
      </c>
      <c r="S82" s="11">
        <f t="shared" si="4"/>
        <v>0</v>
      </c>
      <c r="T82" s="11">
        <f t="shared" si="4"/>
        <v>0</v>
      </c>
      <c r="U82" s="11">
        <f t="shared" si="4"/>
        <v>0</v>
      </c>
      <c r="V82" s="11">
        <f t="shared" si="5"/>
        <v>0</v>
      </c>
      <c r="W82" s="11">
        <f t="shared" si="5"/>
        <v>0</v>
      </c>
      <c r="X82" s="11">
        <f t="shared" si="5"/>
        <v>0</v>
      </c>
      <c r="Y82" s="11">
        <f t="shared" si="5"/>
        <v>0</v>
      </c>
      <c r="Z82" s="11">
        <f t="shared" si="5"/>
        <v>0</v>
      </c>
      <c r="AA82" s="11">
        <f t="shared" si="5"/>
        <v>0</v>
      </c>
      <c r="AB82" s="11">
        <f t="shared" si="5"/>
        <v>0</v>
      </c>
      <c r="AC82" s="11">
        <f t="shared" si="5"/>
        <v>0</v>
      </c>
      <c r="AD82" s="11">
        <f t="shared" si="5"/>
        <v>0</v>
      </c>
      <c r="AE82" s="11">
        <f t="shared" si="5"/>
        <v>0</v>
      </c>
    </row>
    <row r="83" spans="1:31">
      <c r="A83" s="10">
        <v>13</v>
      </c>
      <c r="B83" s="11">
        <f t="shared" si="3"/>
        <v>3</v>
      </c>
      <c r="C83" s="11">
        <f t="shared" si="3"/>
        <v>3</v>
      </c>
      <c r="D83" s="11">
        <f t="shared" si="3"/>
        <v>2</v>
      </c>
      <c r="E83" s="11">
        <f t="shared" si="3"/>
        <v>2</v>
      </c>
      <c r="F83" s="11">
        <f t="shared" si="3"/>
        <v>2</v>
      </c>
      <c r="G83" s="11">
        <f t="shared" si="3"/>
        <v>2</v>
      </c>
      <c r="H83" s="11">
        <f t="shared" si="3"/>
        <v>2</v>
      </c>
      <c r="I83" s="11">
        <f t="shared" si="3"/>
        <v>2</v>
      </c>
      <c r="J83" s="11">
        <f t="shared" si="3"/>
        <v>2</v>
      </c>
      <c r="K83" s="11">
        <f t="shared" si="3"/>
        <v>2</v>
      </c>
      <c r="L83" s="11">
        <f t="shared" si="4"/>
        <v>3</v>
      </c>
      <c r="M83" s="11">
        <f t="shared" si="4"/>
        <v>3</v>
      </c>
      <c r="N83" s="11" t="str">
        <f t="shared" si="4"/>
        <v/>
      </c>
      <c r="O83" s="11">
        <f t="shared" si="4"/>
        <v>0</v>
      </c>
      <c r="P83" s="11">
        <f t="shared" si="4"/>
        <v>0</v>
      </c>
      <c r="Q83" s="11">
        <f t="shared" si="4"/>
        <v>0</v>
      </c>
      <c r="R83" s="11">
        <f t="shared" si="4"/>
        <v>0</v>
      </c>
      <c r="S83" s="11">
        <f t="shared" si="4"/>
        <v>0</v>
      </c>
      <c r="T83" s="11">
        <f t="shared" si="4"/>
        <v>0</v>
      </c>
      <c r="U83" s="11">
        <f t="shared" si="4"/>
        <v>0</v>
      </c>
      <c r="V83" s="11">
        <f t="shared" si="5"/>
        <v>0</v>
      </c>
      <c r="W83" s="11">
        <f t="shared" si="5"/>
        <v>0</v>
      </c>
      <c r="X83" s="11">
        <f t="shared" si="5"/>
        <v>0</v>
      </c>
      <c r="Y83" s="11">
        <f t="shared" si="5"/>
        <v>0</v>
      </c>
      <c r="Z83" s="11">
        <f t="shared" si="5"/>
        <v>0</v>
      </c>
      <c r="AA83" s="11">
        <f t="shared" si="5"/>
        <v>0</v>
      </c>
      <c r="AB83" s="11">
        <f t="shared" si="5"/>
        <v>0</v>
      </c>
      <c r="AC83" s="11">
        <f t="shared" si="5"/>
        <v>0</v>
      </c>
      <c r="AD83" s="11">
        <f t="shared" si="5"/>
        <v>0</v>
      </c>
      <c r="AE83" s="11">
        <f t="shared" si="5"/>
        <v>0</v>
      </c>
    </row>
    <row r="84" spans="1:31">
      <c r="A84" s="10">
        <v>14</v>
      </c>
      <c r="B84" s="11">
        <f t="shared" si="3"/>
        <v>0</v>
      </c>
      <c r="C84" s="11">
        <f t="shared" si="3"/>
        <v>0</v>
      </c>
      <c r="D84" s="11">
        <f t="shared" si="3"/>
        <v>0</v>
      </c>
      <c r="E84" s="11">
        <f t="shared" si="3"/>
        <v>0</v>
      </c>
      <c r="F84" s="11">
        <f t="shared" si="3"/>
        <v>0</v>
      </c>
      <c r="G84" s="11">
        <f t="shared" si="3"/>
        <v>0</v>
      </c>
      <c r="H84" s="11">
        <f t="shared" si="3"/>
        <v>0</v>
      </c>
      <c r="I84" s="11">
        <f t="shared" si="3"/>
        <v>0</v>
      </c>
      <c r="J84" s="11">
        <f t="shared" si="3"/>
        <v>0</v>
      </c>
      <c r="K84" s="11">
        <f t="shared" si="3"/>
        <v>0</v>
      </c>
      <c r="L84" s="11">
        <f t="shared" si="4"/>
        <v>0</v>
      </c>
      <c r="M84" s="11">
        <f t="shared" si="4"/>
        <v>0</v>
      </c>
      <c r="N84" s="11">
        <f t="shared" si="4"/>
        <v>0</v>
      </c>
      <c r="O84" s="11" t="str">
        <f t="shared" si="4"/>
        <v/>
      </c>
      <c r="P84" s="11">
        <f t="shared" si="4"/>
        <v>3</v>
      </c>
      <c r="Q84" s="11">
        <f t="shared" si="4"/>
        <v>3</v>
      </c>
      <c r="R84" s="11">
        <f t="shared" si="4"/>
        <v>4</v>
      </c>
      <c r="S84" s="11">
        <f t="shared" si="4"/>
        <v>4</v>
      </c>
      <c r="T84" s="11">
        <f t="shared" si="4"/>
        <v>4</v>
      </c>
      <c r="U84" s="11">
        <f t="shared" si="4"/>
        <v>4</v>
      </c>
      <c r="V84" s="11">
        <f t="shared" si="5"/>
        <v>3</v>
      </c>
      <c r="W84" s="11">
        <f t="shared" si="5"/>
        <v>3</v>
      </c>
      <c r="X84" s="11">
        <f t="shared" si="5"/>
        <v>0</v>
      </c>
      <c r="Y84" s="11">
        <f t="shared" si="5"/>
        <v>0</v>
      </c>
      <c r="Z84" s="11">
        <f t="shared" si="5"/>
        <v>0</v>
      </c>
      <c r="AA84" s="11">
        <f t="shared" si="5"/>
        <v>0</v>
      </c>
      <c r="AB84" s="11">
        <f t="shared" si="5"/>
        <v>0</v>
      </c>
      <c r="AC84" s="11">
        <f t="shared" si="5"/>
        <v>0</v>
      </c>
      <c r="AD84" s="11">
        <f t="shared" si="5"/>
        <v>0</v>
      </c>
      <c r="AE84" s="11">
        <f t="shared" si="5"/>
        <v>0</v>
      </c>
    </row>
    <row r="85" spans="1:31">
      <c r="A85" s="10">
        <v>15</v>
      </c>
      <c r="B85" s="11">
        <f t="shared" si="3"/>
        <v>0</v>
      </c>
      <c r="C85" s="11">
        <f t="shared" si="3"/>
        <v>0</v>
      </c>
      <c r="D85" s="11">
        <f t="shared" si="3"/>
        <v>0</v>
      </c>
      <c r="E85" s="11">
        <f t="shared" si="3"/>
        <v>0</v>
      </c>
      <c r="F85" s="11">
        <f t="shared" si="3"/>
        <v>0</v>
      </c>
      <c r="G85" s="11">
        <f t="shared" si="3"/>
        <v>0</v>
      </c>
      <c r="H85" s="11">
        <f t="shared" si="3"/>
        <v>0</v>
      </c>
      <c r="I85" s="11">
        <f t="shared" si="3"/>
        <v>0</v>
      </c>
      <c r="J85" s="11">
        <f t="shared" si="3"/>
        <v>0</v>
      </c>
      <c r="K85" s="11">
        <f t="shared" si="3"/>
        <v>0</v>
      </c>
      <c r="L85" s="11">
        <f t="shared" si="4"/>
        <v>0</v>
      </c>
      <c r="M85" s="11">
        <f t="shared" si="4"/>
        <v>0</v>
      </c>
      <c r="N85" s="11">
        <f t="shared" si="4"/>
        <v>0</v>
      </c>
      <c r="O85" s="11">
        <f t="shared" si="4"/>
        <v>3</v>
      </c>
      <c r="P85" s="11" t="str">
        <f t="shared" si="4"/>
        <v/>
      </c>
      <c r="Q85" s="11">
        <f t="shared" si="4"/>
        <v>3</v>
      </c>
      <c r="R85" s="11">
        <f t="shared" si="4"/>
        <v>3</v>
      </c>
      <c r="S85" s="11">
        <f t="shared" si="4"/>
        <v>4</v>
      </c>
      <c r="T85" s="11">
        <f t="shared" si="4"/>
        <v>4</v>
      </c>
      <c r="U85" s="11">
        <f t="shared" si="4"/>
        <v>4</v>
      </c>
      <c r="V85" s="11">
        <f t="shared" si="5"/>
        <v>4</v>
      </c>
      <c r="W85" s="11">
        <f t="shared" si="5"/>
        <v>3</v>
      </c>
      <c r="X85" s="11">
        <f t="shared" si="5"/>
        <v>0</v>
      </c>
      <c r="Y85" s="11">
        <f t="shared" si="5"/>
        <v>0</v>
      </c>
      <c r="Z85" s="11">
        <f t="shared" si="5"/>
        <v>0</v>
      </c>
      <c r="AA85" s="11">
        <f t="shared" si="5"/>
        <v>0</v>
      </c>
      <c r="AB85" s="11">
        <f t="shared" si="5"/>
        <v>0</v>
      </c>
      <c r="AC85" s="11">
        <f t="shared" si="5"/>
        <v>0</v>
      </c>
      <c r="AD85" s="11">
        <f t="shared" si="5"/>
        <v>0</v>
      </c>
      <c r="AE85" s="11">
        <f t="shared" si="5"/>
        <v>0</v>
      </c>
    </row>
    <row r="86" spans="1:31">
      <c r="A86" s="10">
        <v>16</v>
      </c>
      <c r="B86" s="11">
        <f t="shared" si="3"/>
        <v>0</v>
      </c>
      <c r="C86" s="11">
        <f t="shared" si="3"/>
        <v>0</v>
      </c>
      <c r="D86" s="11">
        <f t="shared" si="3"/>
        <v>0</v>
      </c>
      <c r="E86" s="11">
        <f t="shared" si="3"/>
        <v>0</v>
      </c>
      <c r="F86" s="11">
        <f t="shared" si="3"/>
        <v>0</v>
      </c>
      <c r="G86" s="11">
        <f t="shared" si="3"/>
        <v>0</v>
      </c>
      <c r="H86" s="11">
        <f t="shared" si="3"/>
        <v>0</v>
      </c>
      <c r="I86" s="11">
        <f t="shared" si="3"/>
        <v>0</v>
      </c>
      <c r="J86" s="11">
        <f t="shared" si="3"/>
        <v>0</v>
      </c>
      <c r="K86" s="11">
        <f t="shared" si="3"/>
        <v>0</v>
      </c>
      <c r="L86" s="11">
        <f t="shared" si="4"/>
        <v>0</v>
      </c>
      <c r="M86" s="11">
        <f t="shared" si="4"/>
        <v>0</v>
      </c>
      <c r="N86" s="11">
        <f t="shared" si="4"/>
        <v>0</v>
      </c>
      <c r="O86" s="11">
        <f t="shared" si="4"/>
        <v>3</v>
      </c>
      <c r="P86" s="11">
        <f t="shared" si="4"/>
        <v>3</v>
      </c>
      <c r="Q86" s="11" t="str">
        <f t="shared" si="4"/>
        <v/>
      </c>
      <c r="R86" s="11">
        <f t="shared" si="4"/>
        <v>3</v>
      </c>
      <c r="S86" s="11">
        <f t="shared" si="4"/>
        <v>3</v>
      </c>
      <c r="T86" s="11">
        <f t="shared" si="4"/>
        <v>4</v>
      </c>
      <c r="U86" s="11">
        <f t="shared" si="4"/>
        <v>4</v>
      </c>
      <c r="V86" s="11">
        <f t="shared" si="5"/>
        <v>4</v>
      </c>
      <c r="W86" s="11">
        <f t="shared" si="5"/>
        <v>4</v>
      </c>
      <c r="X86" s="11">
        <f t="shared" si="5"/>
        <v>0</v>
      </c>
      <c r="Y86" s="11">
        <f t="shared" si="5"/>
        <v>0</v>
      </c>
      <c r="Z86" s="11">
        <f t="shared" si="5"/>
        <v>0</v>
      </c>
      <c r="AA86" s="11">
        <f t="shared" si="5"/>
        <v>0</v>
      </c>
      <c r="AB86" s="11">
        <f t="shared" si="5"/>
        <v>0</v>
      </c>
      <c r="AC86" s="11">
        <f t="shared" si="5"/>
        <v>0</v>
      </c>
      <c r="AD86" s="11">
        <f t="shared" si="5"/>
        <v>0</v>
      </c>
      <c r="AE86" s="11">
        <f t="shared" si="5"/>
        <v>0</v>
      </c>
    </row>
    <row r="87" spans="1:31">
      <c r="A87" s="10">
        <v>17</v>
      </c>
      <c r="B87" s="11">
        <f t="shared" si="3"/>
        <v>0</v>
      </c>
      <c r="C87" s="11">
        <f t="shared" si="3"/>
        <v>0</v>
      </c>
      <c r="D87" s="11">
        <f t="shared" si="3"/>
        <v>0</v>
      </c>
      <c r="E87" s="11">
        <f t="shared" si="3"/>
        <v>0</v>
      </c>
      <c r="F87" s="11">
        <f t="shared" si="3"/>
        <v>0</v>
      </c>
      <c r="G87" s="11">
        <f t="shared" si="3"/>
        <v>0</v>
      </c>
      <c r="H87" s="11">
        <f t="shared" si="3"/>
        <v>0</v>
      </c>
      <c r="I87" s="11">
        <f t="shared" si="3"/>
        <v>0</v>
      </c>
      <c r="J87" s="11">
        <f t="shared" si="3"/>
        <v>0</v>
      </c>
      <c r="K87" s="11">
        <f t="shared" si="3"/>
        <v>0</v>
      </c>
      <c r="L87" s="11">
        <f t="shared" si="4"/>
        <v>0</v>
      </c>
      <c r="M87" s="11">
        <f t="shared" si="4"/>
        <v>0</v>
      </c>
      <c r="N87" s="11">
        <f t="shared" si="4"/>
        <v>0</v>
      </c>
      <c r="O87" s="11">
        <f t="shared" si="4"/>
        <v>4</v>
      </c>
      <c r="P87" s="11">
        <f t="shared" si="4"/>
        <v>3</v>
      </c>
      <c r="Q87" s="11">
        <f t="shared" si="4"/>
        <v>3</v>
      </c>
      <c r="R87" s="11" t="str">
        <f t="shared" si="4"/>
        <v/>
      </c>
      <c r="S87" s="11">
        <f t="shared" si="4"/>
        <v>3</v>
      </c>
      <c r="T87" s="11">
        <f t="shared" si="4"/>
        <v>3</v>
      </c>
      <c r="U87" s="11">
        <f t="shared" si="4"/>
        <v>4</v>
      </c>
      <c r="V87" s="11">
        <f t="shared" si="5"/>
        <v>4</v>
      </c>
      <c r="W87" s="11">
        <f t="shared" si="5"/>
        <v>4</v>
      </c>
      <c r="X87" s="11">
        <f t="shared" si="5"/>
        <v>0</v>
      </c>
      <c r="Y87" s="11">
        <f t="shared" si="5"/>
        <v>0</v>
      </c>
      <c r="Z87" s="11">
        <f t="shared" si="5"/>
        <v>0</v>
      </c>
      <c r="AA87" s="11">
        <f t="shared" si="5"/>
        <v>0</v>
      </c>
      <c r="AB87" s="11">
        <f t="shared" si="5"/>
        <v>0</v>
      </c>
      <c r="AC87" s="11">
        <f t="shared" si="5"/>
        <v>0</v>
      </c>
      <c r="AD87" s="11">
        <f t="shared" si="5"/>
        <v>0</v>
      </c>
      <c r="AE87" s="11">
        <f t="shared" si="5"/>
        <v>0</v>
      </c>
    </row>
    <row r="88" spans="1:31">
      <c r="A88" s="10">
        <v>18</v>
      </c>
      <c r="B88" s="11">
        <f t="shared" si="3"/>
        <v>0</v>
      </c>
      <c r="C88" s="11">
        <f t="shared" si="3"/>
        <v>0</v>
      </c>
      <c r="D88" s="11">
        <f t="shared" si="3"/>
        <v>0</v>
      </c>
      <c r="E88" s="11">
        <f t="shared" si="3"/>
        <v>0</v>
      </c>
      <c r="F88" s="11">
        <f t="shared" si="3"/>
        <v>0</v>
      </c>
      <c r="G88" s="11">
        <f t="shared" si="3"/>
        <v>0</v>
      </c>
      <c r="H88" s="11">
        <f t="shared" si="3"/>
        <v>0</v>
      </c>
      <c r="I88" s="11">
        <f t="shared" si="3"/>
        <v>0</v>
      </c>
      <c r="J88" s="11">
        <f t="shared" si="3"/>
        <v>0</v>
      </c>
      <c r="K88" s="11">
        <f t="shared" si="3"/>
        <v>0</v>
      </c>
      <c r="L88" s="11">
        <f t="shared" si="4"/>
        <v>0</v>
      </c>
      <c r="M88" s="11">
        <f t="shared" si="4"/>
        <v>0</v>
      </c>
      <c r="N88" s="11">
        <f t="shared" si="4"/>
        <v>0</v>
      </c>
      <c r="O88" s="11">
        <f t="shared" si="4"/>
        <v>4</v>
      </c>
      <c r="P88" s="11">
        <f t="shared" si="4"/>
        <v>4</v>
      </c>
      <c r="Q88" s="11">
        <f t="shared" si="4"/>
        <v>3</v>
      </c>
      <c r="R88" s="11">
        <f t="shared" si="4"/>
        <v>3</v>
      </c>
      <c r="S88" s="11" t="str">
        <f t="shared" si="4"/>
        <v/>
      </c>
      <c r="T88" s="11">
        <f t="shared" si="4"/>
        <v>3</v>
      </c>
      <c r="U88" s="11">
        <f t="shared" si="4"/>
        <v>3</v>
      </c>
      <c r="V88" s="11">
        <f t="shared" si="5"/>
        <v>4</v>
      </c>
      <c r="W88" s="11">
        <f t="shared" si="5"/>
        <v>4</v>
      </c>
      <c r="X88" s="11">
        <f t="shared" si="5"/>
        <v>0</v>
      </c>
      <c r="Y88" s="11">
        <f t="shared" si="5"/>
        <v>0</v>
      </c>
      <c r="Z88" s="11">
        <f t="shared" si="5"/>
        <v>0</v>
      </c>
      <c r="AA88" s="11">
        <f t="shared" si="5"/>
        <v>0</v>
      </c>
      <c r="AB88" s="11">
        <f t="shared" si="5"/>
        <v>0</v>
      </c>
      <c r="AC88" s="11">
        <f t="shared" si="5"/>
        <v>0</v>
      </c>
      <c r="AD88" s="11">
        <f t="shared" si="5"/>
        <v>0</v>
      </c>
      <c r="AE88" s="11">
        <f t="shared" si="5"/>
        <v>0</v>
      </c>
    </row>
    <row r="89" spans="1:31">
      <c r="A89" s="10">
        <v>19</v>
      </c>
      <c r="B89" s="11">
        <f t="shared" si="3"/>
        <v>0</v>
      </c>
      <c r="C89" s="11">
        <f t="shared" si="3"/>
        <v>0</v>
      </c>
      <c r="D89" s="11">
        <f t="shared" si="3"/>
        <v>0</v>
      </c>
      <c r="E89" s="11">
        <f t="shared" si="3"/>
        <v>0</v>
      </c>
      <c r="F89" s="11">
        <f t="shared" si="3"/>
        <v>0</v>
      </c>
      <c r="G89" s="11">
        <f t="shared" si="3"/>
        <v>0</v>
      </c>
      <c r="H89" s="11">
        <f t="shared" si="3"/>
        <v>0</v>
      </c>
      <c r="I89" s="11">
        <f t="shared" si="3"/>
        <v>0</v>
      </c>
      <c r="J89" s="11">
        <f t="shared" si="3"/>
        <v>0</v>
      </c>
      <c r="K89" s="11">
        <f t="shared" si="3"/>
        <v>0</v>
      </c>
      <c r="L89" s="11">
        <f t="shared" si="4"/>
        <v>0</v>
      </c>
      <c r="M89" s="11">
        <f t="shared" si="4"/>
        <v>0</v>
      </c>
      <c r="N89" s="11">
        <f t="shared" si="4"/>
        <v>0</v>
      </c>
      <c r="O89" s="11">
        <f t="shared" si="4"/>
        <v>4</v>
      </c>
      <c r="P89" s="11">
        <f t="shared" si="4"/>
        <v>4</v>
      </c>
      <c r="Q89" s="11">
        <f t="shared" si="4"/>
        <v>4</v>
      </c>
      <c r="R89" s="11">
        <f t="shared" si="4"/>
        <v>3</v>
      </c>
      <c r="S89" s="11">
        <f t="shared" si="4"/>
        <v>3</v>
      </c>
      <c r="T89" s="11" t="str">
        <f t="shared" si="4"/>
        <v/>
      </c>
      <c r="U89" s="11">
        <f t="shared" si="4"/>
        <v>3</v>
      </c>
      <c r="V89" s="11">
        <f t="shared" si="5"/>
        <v>3</v>
      </c>
      <c r="W89" s="11">
        <f t="shared" si="5"/>
        <v>4</v>
      </c>
      <c r="X89" s="11">
        <f t="shared" si="5"/>
        <v>0</v>
      </c>
      <c r="Y89" s="11">
        <f t="shared" si="5"/>
        <v>0</v>
      </c>
      <c r="Z89" s="11">
        <f t="shared" si="5"/>
        <v>0</v>
      </c>
      <c r="AA89" s="11">
        <f t="shared" si="5"/>
        <v>0</v>
      </c>
      <c r="AB89" s="11">
        <f t="shared" si="5"/>
        <v>0</v>
      </c>
      <c r="AC89" s="11">
        <f t="shared" si="5"/>
        <v>0</v>
      </c>
      <c r="AD89" s="11">
        <f t="shared" si="5"/>
        <v>0</v>
      </c>
      <c r="AE89" s="11">
        <f t="shared" si="5"/>
        <v>0</v>
      </c>
    </row>
    <row r="90" spans="1:31">
      <c r="A90" s="10">
        <v>20</v>
      </c>
      <c r="B90" s="11">
        <f t="shared" si="3"/>
        <v>0</v>
      </c>
      <c r="C90" s="11">
        <f t="shared" si="3"/>
        <v>0</v>
      </c>
      <c r="D90" s="11">
        <f t="shared" si="3"/>
        <v>0</v>
      </c>
      <c r="E90" s="11">
        <f t="shared" si="3"/>
        <v>0</v>
      </c>
      <c r="F90" s="11">
        <f t="shared" si="3"/>
        <v>0</v>
      </c>
      <c r="G90" s="11">
        <f t="shared" si="3"/>
        <v>0</v>
      </c>
      <c r="H90" s="11">
        <f t="shared" si="3"/>
        <v>0</v>
      </c>
      <c r="I90" s="11">
        <f t="shared" si="3"/>
        <v>0</v>
      </c>
      <c r="J90" s="11">
        <f t="shared" si="3"/>
        <v>0</v>
      </c>
      <c r="K90" s="11">
        <f t="shared" si="3"/>
        <v>0</v>
      </c>
      <c r="L90" s="11">
        <f t="shared" si="4"/>
        <v>0</v>
      </c>
      <c r="M90" s="11">
        <f t="shared" si="4"/>
        <v>0</v>
      </c>
      <c r="N90" s="11">
        <f t="shared" si="4"/>
        <v>0</v>
      </c>
      <c r="O90" s="11">
        <f t="shared" si="4"/>
        <v>4</v>
      </c>
      <c r="P90" s="11">
        <f t="shared" si="4"/>
        <v>4</v>
      </c>
      <c r="Q90" s="11">
        <f t="shared" si="4"/>
        <v>4</v>
      </c>
      <c r="R90" s="11">
        <f t="shared" si="4"/>
        <v>4</v>
      </c>
      <c r="S90" s="11">
        <f t="shared" si="4"/>
        <v>3</v>
      </c>
      <c r="T90" s="11">
        <f t="shared" si="4"/>
        <v>3</v>
      </c>
      <c r="U90" s="11" t="str">
        <f t="shared" si="4"/>
        <v/>
      </c>
      <c r="V90" s="11">
        <f t="shared" si="5"/>
        <v>3</v>
      </c>
      <c r="W90" s="11">
        <f t="shared" si="5"/>
        <v>3</v>
      </c>
      <c r="X90" s="11">
        <f t="shared" si="5"/>
        <v>0</v>
      </c>
      <c r="Y90" s="11">
        <f t="shared" si="5"/>
        <v>0</v>
      </c>
      <c r="Z90" s="11">
        <f t="shared" si="5"/>
        <v>0</v>
      </c>
      <c r="AA90" s="11">
        <f t="shared" si="5"/>
        <v>0</v>
      </c>
      <c r="AB90" s="11">
        <f t="shared" si="5"/>
        <v>0</v>
      </c>
      <c r="AC90" s="11">
        <f t="shared" si="5"/>
        <v>0</v>
      </c>
      <c r="AD90" s="11">
        <f t="shared" si="5"/>
        <v>0</v>
      </c>
      <c r="AE90" s="11">
        <f t="shared" si="5"/>
        <v>0</v>
      </c>
    </row>
    <row r="91" spans="1:31">
      <c r="A91" s="10">
        <v>21</v>
      </c>
      <c r="B91" s="11">
        <f t="shared" ref="B91:K100" si="6">IF($A91=B$70,"",COUNTIF($C$4:$N$66,$A91&amp;" ضد "&amp;B$70)+COUNTIF($C$4:$N$66,B$70&amp;" ضد "&amp;$A91))</f>
        <v>0</v>
      </c>
      <c r="C91" s="11">
        <f t="shared" si="6"/>
        <v>0</v>
      </c>
      <c r="D91" s="11">
        <f t="shared" si="6"/>
        <v>0</v>
      </c>
      <c r="E91" s="11">
        <f t="shared" si="6"/>
        <v>0</v>
      </c>
      <c r="F91" s="11">
        <f t="shared" si="6"/>
        <v>0</v>
      </c>
      <c r="G91" s="11">
        <f t="shared" si="6"/>
        <v>0</v>
      </c>
      <c r="H91" s="11">
        <f t="shared" si="6"/>
        <v>0</v>
      </c>
      <c r="I91" s="11">
        <f t="shared" si="6"/>
        <v>0</v>
      </c>
      <c r="J91" s="11">
        <f t="shared" si="6"/>
        <v>0</v>
      </c>
      <c r="K91" s="11">
        <f t="shared" si="6"/>
        <v>0</v>
      </c>
      <c r="L91" s="11">
        <f t="shared" ref="L91:U100" si="7">IF($A91=L$70,"",COUNTIF($C$4:$N$66,$A91&amp;" ضد "&amp;L$70)+COUNTIF($C$4:$N$66,L$70&amp;" ضد "&amp;$A91))</f>
        <v>0</v>
      </c>
      <c r="M91" s="11">
        <f t="shared" si="7"/>
        <v>0</v>
      </c>
      <c r="N91" s="11">
        <f t="shared" si="7"/>
        <v>0</v>
      </c>
      <c r="O91" s="11">
        <f t="shared" si="7"/>
        <v>3</v>
      </c>
      <c r="P91" s="11">
        <f t="shared" si="7"/>
        <v>4</v>
      </c>
      <c r="Q91" s="11">
        <f t="shared" si="7"/>
        <v>4</v>
      </c>
      <c r="R91" s="11">
        <f t="shared" si="7"/>
        <v>4</v>
      </c>
      <c r="S91" s="11">
        <f t="shared" si="7"/>
        <v>4</v>
      </c>
      <c r="T91" s="11">
        <f t="shared" si="7"/>
        <v>3</v>
      </c>
      <c r="U91" s="11">
        <f t="shared" si="7"/>
        <v>3</v>
      </c>
      <c r="V91" s="11" t="str">
        <f t="shared" ref="V91:AE100" si="8">IF($A91=V$70,"",COUNTIF($C$4:$N$66,$A91&amp;" ضد "&amp;V$70)+COUNTIF($C$4:$N$66,V$70&amp;" ضد "&amp;$A91))</f>
        <v/>
      </c>
      <c r="W91" s="11">
        <f t="shared" si="8"/>
        <v>3</v>
      </c>
      <c r="X91" s="11">
        <f t="shared" si="8"/>
        <v>0</v>
      </c>
      <c r="Y91" s="11">
        <f t="shared" si="8"/>
        <v>0</v>
      </c>
      <c r="Z91" s="11">
        <f t="shared" si="8"/>
        <v>0</v>
      </c>
      <c r="AA91" s="11">
        <f t="shared" si="8"/>
        <v>0</v>
      </c>
      <c r="AB91" s="11">
        <f t="shared" si="8"/>
        <v>0</v>
      </c>
      <c r="AC91" s="11">
        <f t="shared" si="8"/>
        <v>0</v>
      </c>
      <c r="AD91" s="11">
        <f t="shared" si="8"/>
        <v>0</v>
      </c>
      <c r="AE91" s="11">
        <f t="shared" si="8"/>
        <v>0</v>
      </c>
    </row>
    <row r="92" spans="1:31">
      <c r="A92" s="10">
        <v>22</v>
      </c>
      <c r="B92" s="11">
        <f t="shared" si="6"/>
        <v>0</v>
      </c>
      <c r="C92" s="11">
        <f t="shared" si="6"/>
        <v>0</v>
      </c>
      <c r="D92" s="11">
        <f t="shared" si="6"/>
        <v>0</v>
      </c>
      <c r="E92" s="11">
        <f t="shared" si="6"/>
        <v>0</v>
      </c>
      <c r="F92" s="11">
        <f t="shared" si="6"/>
        <v>0</v>
      </c>
      <c r="G92" s="11">
        <f t="shared" si="6"/>
        <v>0</v>
      </c>
      <c r="H92" s="11">
        <f t="shared" si="6"/>
        <v>0</v>
      </c>
      <c r="I92" s="11">
        <f t="shared" si="6"/>
        <v>0</v>
      </c>
      <c r="J92" s="11">
        <f t="shared" si="6"/>
        <v>0</v>
      </c>
      <c r="K92" s="11">
        <f t="shared" si="6"/>
        <v>0</v>
      </c>
      <c r="L92" s="11">
        <f t="shared" si="7"/>
        <v>0</v>
      </c>
      <c r="M92" s="11">
        <f t="shared" si="7"/>
        <v>0</v>
      </c>
      <c r="N92" s="11">
        <f t="shared" si="7"/>
        <v>0</v>
      </c>
      <c r="O92" s="11">
        <f t="shared" si="7"/>
        <v>3</v>
      </c>
      <c r="P92" s="11">
        <f t="shared" si="7"/>
        <v>3</v>
      </c>
      <c r="Q92" s="11">
        <f t="shared" si="7"/>
        <v>4</v>
      </c>
      <c r="R92" s="11">
        <f t="shared" si="7"/>
        <v>4</v>
      </c>
      <c r="S92" s="11">
        <f t="shared" si="7"/>
        <v>4</v>
      </c>
      <c r="T92" s="11">
        <f t="shared" si="7"/>
        <v>4</v>
      </c>
      <c r="U92" s="11">
        <f t="shared" si="7"/>
        <v>3</v>
      </c>
      <c r="V92" s="11">
        <f t="shared" si="8"/>
        <v>3</v>
      </c>
      <c r="W92" s="11" t="str">
        <f t="shared" si="8"/>
        <v/>
      </c>
      <c r="X92" s="11">
        <f t="shared" si="8"/>
        <v>0</v>
      </c>
      <c r="Y92" s="11">
        <f t="shared" si="8"/>
        <v>0</v>
      </c>
      <c r="Z92" s="11">
        <f t="shared" si="8"/>
        <v>0</v>
      </c>
      <c r="AA92" s="11">
        <f t="shared" si="8"/>
        <v>0</v>
      </c>
      <c r="AB92" s="11">
        <f t="shared" si="8"/>
        <v>0</v>
      </c>
      <c r="AC92" s="11">
        <f t="shared" si="8"/>
        <v>0</v>
      </c>
      <c r="AD92" s="11">
        <f t="shared" si="8"/>
        <v>0</v>
      </c>
      <c r="AE92" s="11">
        <f t="shared" si="8"/>
        <v>0</v>
      </c>
    </row>
    <row r="93" spans="1:31">
      <c r="A93" s="10">
        <v>23</v>
      </c>
      <c r="B93" s="11">
        <f t="shared" si="6"/>
        <v>0</v>
      </c>
      <c r="C93" s="11">
        <f t="shared" si="6"/>
        <v>0</v>
      </c>
      <c r="D93" s="11">
        <f t="shared" si="6"/>
        <v>0</v>
      </c>
      <c r="E93" s="11">
        <f t="shared" si="6"/>
        <v>0</v>
      </c>
      <c r="F93" s="11">
        <f t="shared" si="6"/>
        <v>0</v>
      </c>
      <c r="G93" s="11">
        <f t="shared" si="6"/>
        <v>0</v>
      </c>
      <c r="H93" s="11">
        <f t="shared" si="6"/>
        <v>0</v>
      </c>
      <c r="I93" s="11">
        <f t="shared" si="6"/>
        <v>0</v>
      </c>
      <c r="J93" s="11">
        <f t="shared" si="6"/>
        <v>0</v>
      </c>
      <c r="K93" s="11">
        <f t="shared" si="6"/>
        <v>0</v>
      </c>
      <c r="L93" s="11">
        <f t="shared" si="7"/>
        <v>0</v>
      </c>
      <c r="M93" s="11">
        <f t="shared" si="7"/>
        <v>0</v>
      </c>
      <c r="N93" s="11">
        <f t="shared" si="7"/>
        <v>0</v>
      </c>
      <c r="O93" s="11">
        <f t="shared" si="7"/>
        <v>0</v>
      </c>
      <c r="P93" s="11">
        <f t="shared" si="7"/>
        <v>0</v>
      </c>
      <c r="Q93" s="11">
        <f t="shared" si="7"/>
        <v>0</v>
      </c>
      <c r="R93" s="11">
        <f t="shared" si="7"/>
        <v>0</v>
      </c>
      <c r="S93" s="11">
        <f t="shared" si="7"/>
        <v>0</v>
      </c>
      <c r="T93" s="11">
        <f t="shared" si="7"/>
        <v>0</v>
      </c>
      <c r="U93" s="11">
        <f t="shared" si="7"/>
        <v>0</v>
      </c>
      <c r="V93" s="11">
        <f t="shared" si="8"/>
        <v>0</v>
      </c>
      <c r="W93" s="11">
        <f t="shared" si="8"/>
        <v>0</v>
      </c>
      <c r="X93" s="11" t="str">
        <f t="shared" si="8"/>
        <v/>
      </c>
      <c r="Y93" s="11">
        <f t="shared" si="8"/>
        <v>4</v>
      </c>
      <c r="Z93" s="11">
        <f t="shared" si="8"/>
        <v>4</v>
      </c>
      <c r="AA93" s="11">
        <f t="shared" si="8"/>
        <v>4</v>
      </c>
      <c r="AB93" s="11">
        <f t="shared" si="8"/>
        <v>4</v>
      </c>
      <c r="AC93" s="11">
        <f t="shared" si="8"/>
        <v>4</v>
      </c>
      <c r="AD93" s="11">
        <f t="shared" si="8"/>
        <v>4</v>
      </c>
      <c r="AE93" s="11">
        <f t="shared" si="8"/>
        <v>4</v>
      </c>
    </row>
    <row r="94" spans="1:31">
      <c r="A94" s="10">
        <v>24</v>
      </c>
      <c r="B94" s="11">
        <f t="shared" si="6"/>
        <v>0</v>
      </c>
      <c r="C94" s="11">
        <f t="shared" si="6"/>
        <v>0</v>
      </c>
      <c r="D94" s="11">
        <f t="shared" si="6"/>
        <v>0</v>
      </c>
      <c r="E94" s="11">
        <f t="shared" si="6"/>
        <v>0</v>
      </c>
      <c r="F94" s="11">
        <f t="shared" si="6"/>
        <v>0</v>
      </c>
      <c r="G94" s="11">
        <f t="shared" si="6"/>
        <v>0</v>
      </c>
      <c r="H94" s="11">
        <f t="shared" si="6"/>
        <v>0</v>
      </c>
      <c r="I94" s="11">
        <f t="shared" si="6"/>
        <v>0</v>
      </c>
      <c r="J94" s="11">
        <f t="shared" si="6"/>
        <v>0</v>
      </c>
      <c r="K94" s="11">
        <f t="shared" si="6"/>
        <v>0</v>
      </c>
      <c r="L94" s="11">
        <f t="shared" si="7"/>
        <v>0</v>
      </c>
      <c r="M94" s="11">
        <f t="shared" si="7"/>
        <v>0</v>
      </c>
      <c r="N94" s="11">
        <f t="shared" si="7"/>
        <v>0</v>
      </c>
      <c r="O94" s="11">
        <f t="shared" si="7"/>
        <v>0</v>
      </c>
      <c r="P94" s="11">
        <f t="shared" si="7"/>
        <v>0</v>
      </c>
      <c r="Q94" s="11">
        <f t="shared" si="7"/>
        <v>0</v>
      </c>
      <c r="R94" s="11">
        <f t="shared" si="7"/>
        <v>0</v>
      </c>
      <c r="S94" s="11">
        <f t="shared" si="7"/>
        <v>0</v>
      </c>
      <c r="T94" s="11">
        <f t="shared" si="7"/>
        <v>0</v>
      </c>
      <c r="U94" s="11">
        <f t="shared" si="7"/>
        <v>0</v>
      </c>
      <c r="V94" s="11">
        <f t="shared" si="8"/>
        <v>0</v>
      </c>
      <c r="W94" s="11">
        <f t="shared" si="8"/>
        <v>0</v>
      </c>
      <c r="X94" s="11">
        <f t="shared" si="8"/>
        <v>4</v>
      </c>
      <c r="Y94" s="11" t="str">
        <f t="shared" si="8"/>
        <v/>
      </c>
      <c r="Z94" s="11">
        <f t="shared" si="8"/>
        <v>4</v>
      </c>
      <c r="AA94" s="11">
        <f t="shared" si="8"/>
        <v>4</v>
      </c>
      <c r="AB94" s="11">
        <f t="shared" si="8"/>
        <v>4</v>
      </c>
      <c r="AC94" s="11">
        <f t="shared" si="8"/>
        <v>4</v>
      </c>
      <c r="AD94" s="11">
        <f t="shared" si="8"/>
        <v>4</v>
      </c>
      <c r="AE94" s="11">
        <f t="shared" si="8"/>
        <v>4</v>
      </c>
    </row>
    <row r="95" spans="1:31">
      <c r="A95" s="10">
        <v>25</v>
      </c>
      <c r="B95" s="11">
        <f t="shared" si="6"/>
        <v>0</v>
      </c>
      <c r="C95" s="11">
        <f t="shared" si="6"/>
        <v>0</v>
      </c>
      <c r="D95" s="11">
        <f t="shared" si="6"/>
        <v>0</v>
      </c>
      <c r="E95" s="11">
        <f t="shared" si="6"/>
        <v>0</v>
      </c>
      <c r="F95" s="11">
        <f t="shared" si="6"/>
        <v>0</v>
      </c>
      <c r="G95" s="11">
        <f t="shared" si="6"/>
        <v>0</v>
      </c>
      <c r="H95" s="11">
        <f t="shared" si="6"/>
        <v>0</v>
      </c>
      <c r="I95" s="11">
        <f t="shared" si="6"/>
        <v>0</v>
      </c>
      <c r="J95" s="11">
        <f t="shared" si="6"/>
        <v>0</v>
      </c>
      <c r="K95" s="11">
        <f t="shared" si="6"/>
        <v>0</v>
      </c>
      <c r="L95" s="11">
        <f t="shared" si="7"/>
        <v>0</v>
      </c>
      <c r="M95" s="11">
        <f t="shared" si="7"/>
        <v>0</v>
      </c>
      <c r="N95" s="11">
        <f t="shared" si="7"/>
        <v>0</v>
      </c>
      <c r="O95" s="11">
        <f t="shared" si="7"/>
        <v>0</v>
      </c>
      <c r="P95" s="11">
        <f t="shared" si="7"/>
        <v>0</v>
      </c>
      <c r="Q95" s="11">
        <f t="shared" si="7"/>
        <v>0</v>
      </c>
      <c r="R95" s="11">
        <f t="shared" si="7"/>
        <v>0</v>
      </c>
      <c r="S95" s="11">
        <f t="shared" si="7"/>
        <v>0</v>
      </c>
      <c r="T95" s="11">
        <f t="shared" si="7"/>
        <v>0</v>
      </c>
      <c r="U95" s="11">
        <f t="shared" si="7"/>
        <v>0</v>
      </c>
      <c r="V95" s="11">
        <f t="shared" si="8"/>
        <v>0</v>
      </c>
      <c r="W95" s="11">
        <f t="shared" si="8"/>
        <v>0</v>
      </c>
      <c r="X95" s="11">
        <f t="shared" si="8"/>
        <v>4</v>
      </c>
      <c r="Y95" s="11">
        <f t="shared" si="8"/>
        <v>4</v>
      </c>
      <c r="Z95" s="11" t="str">
        <f t="shared" si="8"/>
        <v/>
      </c>
      <c r="AA95" s="11">
        <f t="shared" si="8"/>
        <v>4</v>
      </c>
      <c r="AB95" s="11">
        <f t="shared" si="8"/>
        <v>4</v>
      </c>
      <c r="AC95" s="11">
        <f t="shared" si="8"/>
        <v>4</v>
      </c>
      <c r="AD95" s="11">
        <f t="shared" si="8"/>
        <v>4</v>
      </c>
      <c r="AE95" s="11">
        <f t="shared" si="8"/>
        <v>4</v>
      </c>
    </row>
    <row r="96" spans="1:31">
      <c r="A96" s="10">
        <v>26</v>
      </c>
      <c r="B96" s="11">
        <f t="shared" si="6"/>
        <v>0</v>
      </c>
      <c r="C96" s="11">
        <f t="shared" si="6"/>
        <v>0</v>
      </c>
      <c r="D96" s="11">
        <f t="shared" si="6"/>
        <v>0</v>
      </c>
      <c r="E96" s="11">
        <f t="shared" si="6"/>
        <v>0</v>
      </c>
      <c r="F96" s="11">
        <f t="shared" si="6"/>
        <v>0</v>
      </c>
      <c r="G96" s="11">
        <f t="shared" si="6"/>
        <v>0</v>
      </c>
      <c r="H96" s="11">
        <f t="shared" si="6"/>
        <v>0</v>
      </c>
      <c r="I96" s="11">
        <f t="shared" si="6"/>
        <v>0</v>
      </c>
      <c r="J96" s="11">
        <f t="shared" si="6"/>
        <v>0</v>
      </c>
      <c r="K96" s="11">
        <f t="shared" si="6"/>
        <v>0</v>
      </c>
      <c r="L96" s="11">
        <f t="shared" si="7"/>
        <v>0</v>
      </c>
      <c r="M96" s="11">
        <f t="shared" si="7"/>
        <v>0</v>
      </c>
      <c r="N96" s="11">
        <f t="shared" si="7"/>
        <v>0</v>
      </c>
      <c r="O96" s="11">
        <f t="shared" si="7"/>
        <v>0</v>
      </c>
      <c r="P96" s="11">
        <f t="shared" si="7"/>
        <v>0</v>
      </c>
      <c r="Q96" s="11">
        <f t="shared" si="7"/>
        <v>0</v>
      </c>
      <c r="R96" s="11">
        <f t="shared" si="7"/>
        <v>0</v>
      </c>
      <c r="S96" s="11">
        <f t="shared" si="7"/>
        <v>0</v>
      </c>
      <c r="T96" s="11">
        <f t="shared" si="7"/>
        <v>0</v>
      </c>
      <c r="U96" s="11">
        <f t="shared" si="7"/>
        <v>0</v>
      </c>
      <c r="V96" s="11">
        <f t="shared" si="8"/>
        <v>0</v>
      </c>
      <c r="W96" s="11">
        <f t="shared" si="8"/>
        <v>0</v>
      </c>
      <c r="X96" s="11">
        <f t="shared" si="8"/>
        <v>4</v>
      </c>
      <c r="Y96" s="11">
        <f t="shared" si="8"/>
        <v>4</v>
      </c>
      <c r="Z96" s="11">
        <f t="shared" si="8"/>
        <v>4</v>
      </c>
      <c r="AA96" s="11" t="str">
        <f t="shared" si="8"/>
        <v/>
      </c>
      <c r="AB96" s="11">
        <f t="shared" si="8"/>
        <v>4</v>
      </c>
      <c r="AC96" s="11">
        <f t="shared" si="8"/>
        <v>4</v>
      </c>
      <c r="AD96" s="11">
        <f t="shared" si="8"/>
        <v>4</v>
      </c>
      <c r="AE96" s="11">
        <f t="shared" si="8"/>
        <v>4</v>
      </c>
    </row>
    <row r="97" spans="1:31">
      <c r="A97" s="10">
        <v>27</v>
      </c>
      <c r="B97" s="11">
        <f t="shared" si="6"/>
        <v>0</v>
      </c>
      <c r="C97" s="11">
        <f t="shared" si="6"/>
        <v>0</v>
      </c>
      <c r="D97" s="11">
        <f t="shared" si="6"/>
        <v>0</v>
      </c>
      <c r="E97" s="11">
        <f t="shared" si="6"/>
        <v>0</v>
      </c>
      <c r="F97" s="11">
        <f t="shared" si="6"/>
        <v>0</v>
      </c>
      <c r="G97" s="11">
        <f t="shared" si="6"/>
        <v>0</v>
      </c>
      <c r="H97" s="11">
        <f t="shared" si="6"/>
        <v>0</v>
      </c>
      <c r="I97" s="11">
        <f t="shared" si="6"/>
        <v>0</v>
      </c>
      <c r="J97" s="11">
        <f t="shared" si="6"/>
        <v>0</v>
      </c>
      <c r="K97" s="11">
        <f t="shared" si="6"/>
        <v>0</v>
      </c>
      <c r="L97" s="11">
        <f t="shared" si="7"/>
        <v>0</v>
      </c>
      <c r="M97" s="11">
        <f t="shared" si="7"/>
        <v>0</v>
      </c>
      <c r="N97" s="11">
        <f t="shared" si="7"/>
        <v>0</v>
      </c>
      <c r="O97" s="11">
        <f t="shared" si="7"/>
        <v>0</v>
      </c>
      <c r="P97" s="11">
        <f t="shared" si="7"/>
        <v>0</v>
      </c>
      <c r="Q97" s="11">
        <f t="shared" si="7"/>
        <v>0</v>
      </c>
      <c r="R97" s="11">
        <f t="shared" si="7"/>
        <v>0</v>
      </c>
      <c r="S97" s="11">
        <f t="shared" si="7"/>
        <v>0</v>
      </c>
      <c r="T97" s="11">
        <f t="shared" si="7"/>
        <v>0</v>
      </c>
      <c r="U97" s="11">
        <f t="shared" si="7"/>
        <v>0</v>
      </c>
      <c r="V97" s="11">
        <f t="shared" si="8"/>
        <v>0</v>
      </c>
      <c r="W97" s="11">
        <f t="shared" si="8"/>
        <v>0</v>
      </c>
      <c r="X97" s="11">
        <f t="shared" si="8"/>
        <v>4</v>
      </c>
      <c r="Y97" s="11">
        <f t="shared" si="8"/>
        <v>4</v>
      </c>
      <c r="Z97" s="11">
        <f t="shared" si="8"/>
        <v>4</v>
      </c>
      <c r="AA97" s="11">
        <f t="shared" si="8"/>
        <v>4</v>
      </c>
      <c r="AB97" s="11" t="str">
        <f t="shared" si="8"/>
        <v/>
      </c>
      <c r="AC97" s="11">
        <f t="shared" si="8"/>
        <v>4</v>
      </c>
      <c r="AD97" s="11">
        <f t="shared" si="8"/>
        <v>4</v>
      </c>
      <c r="AE97" s="11">
        <f t="shared" si="8"/>
        <v>4</v>
      </c>
    </row>
    <row r="98" spans="1:31">
      <c r="A98" s="10">
        <v>28</v>
      </c>
      <c r="B98" s="11">
        <f t="shared" si="6"/>
        <v>0</v>
      </c>
      <c r="C98" s="11">
        <f t="shared" si="6"/>
        <v>0</v>
      </c>
      <c r="D98" s="11">
        <f t="shared" si="6"/>
        <v>0</v>
      </c>
      <c r="E98" s="11">
        <f t="shared" si="6"/>
        <v>0</v>
      </c>
      <c r="F98" s="11">
        <f t="shared" si="6"/>
        <v>0</v>
      </c>
      <c r="G98" s="11">
        <f t="shared" si="6"/>
        <v>0</v>
      </c>
      <c r="H98" s="11">
        <f t="shared" si="6"/>
        <v>0</v>
      </c>
      <c r="I98" s="11">
        <f t="shared" si="6"/>
        <v>0</v>
      </c>
      <c r="J98" s="11">
        <f t="shared" si="6"/>
        <v>0</v>
      </c>
      <c r="K98" s="11">
        <f t="shared" si="6"/>
        <v>0</v>
      </c>
      <c r="L98" s="11">
        <f t="shared" si="7"/>
        <v>0</v>
      </c>
      <c r="M98" s="11">
        <f t="shared" si="7"/>
        <v>0</v>
      </c>
      <c r="N98" s="11">
        <f t="shared" si="7"/>
        <v>0</v>
      </c>
      <c r="O98" s="11">
        <f t="shared" si="7"/>
        <v>0</v>
      </c>
      <c r="P98" s="11">
        <f t="shared" si="7"/>
        <v>0</v>
      </c>
      <c r="Q98" s="11">
        <f t="shared" si="7"/>
        <v>0</v>
      </c>
      <c r="R98" s="11">
        <f t="shared" si="7"/>
        <v>0</v>
      </c>
      <c r="S98" s="11">
        <f t="shared" si="7"/>
        <v>0</v>
      </c>
      <c r="T98" s="11">
        <f t="shared" si="7"/>
        <v>0</v>
      </c>
      <c r="U98" s="11">
        <f t="shared" si="7"/>
        <v>0</v>
      </c>
      <c r="V98" s="11">
        <f t="shared" si="8"/>
        <v>0</v>
      </c>
      <c r="W98" s="11">
        <f t="shared" si="8"/>
        <v>0</v>
      </c>
      <c r="X98" s="11">
        <f t="shared" si="8"/>
        <v>4</v>
      </c>
      <c r="Y98" s="11">
        <f t="shared" si="8"/>
        <v>4</v>
      </c>
      <c r="Z98" s="11">
        <f t="shared" si="8"/>
        <v>4</v>
      </c>
      <c r="AA98" s="11">
        <f t="shared" si="8"/>
        <v>4</v>
      </c>
      <c r="AB98" s="11">
        <f t="shared" si="8"/>
        <v>4</v>
      </c>
      <c r="AC98" s="11" t="str">
        <f t="shared" si="8"/>
        <v/>
      </c>
      <c r="AD98" s="11">
        <f t="shared" si="8"/>
        <v>4</v>
      </c>
      <c r="AE98" s="11">
        <f t="shared" si="8"/>
        <v>4</v>
      </c>
    </row>
    <row r="99" spans="1:31">
      <c r="A99" s="10">
        <v>29</v>
      </c>
      <c r="B99" s="11">
        <f t="shared" si="6"/>
        <v>0</v>
      </c>
      <c r="C99" s="11">
        <f t="shared" si="6"/>
        <v>0</v>
      </c>
      <c r="D99" s="11">
        <f t="shared" si="6"/>
        <v>0</v>
      </c>
      <c r="E99" s="11">
        <f t="shared" si="6"/>
        <v>0</v>
      </c>
      <c r="F99" s="11">
        <f t="shared" si="6"/>
        <v>0</v>
      </c>
      <c r="G99" s="11">
        <f t="shared" si="6"/>
        <v>0</v>
      </c>
      <c r="H99" s="11">
        <f t="shared" si="6"/>
        <v>0</v>
      </c>
      <c r="I99" s="11">
        <f t="shared" si="6"/>
        <v>0</v>
      </c>
      <c r="J99" s="11">
        <f t="shared" si="6"/>
        <v>0</v>
      </c>
      <c r="K99" s="11">
        <f t="shared" si="6"/>
        <v>0</v>
      </c>
      <c r="L99" s="11">
        <f t="shared" si="7"/>
        <v>0</v>
      </c>
      <c r="M99" s="11">
        <f t="shared" si="7"/>
        <v>0</v>
      </c>
      <c r="N99" s="11">
        <f t="shared" si="7"/>
        <v>0</v>
      </c>
      <c r="O99" s="11">
        <f t="shared" si="7"/>
        <v>0</v>
      </c>
      <c r="P99" s="11">
        <f t="shared" si="7"/>
        <v>0</v>
      </c>
      <c r="Q99" s="11">
        <f t="shared" si="7"/>
        <v>0</v>
      </c>
      <c r="R99" s="11">
        <f t="shared" si="7"/>
        <v>0</v>
      </c>
      <c r="S99" s="11">
        <f t="shared" si="7"/>
        <v>0</v>
      </c>
      <c r="T99" s="11">
        <f t="shared" si="7"/>
        <v>0</v>
      </c>
      <c r="U99" s="11">
        <f t="shared" si="7"/>
        <v>0</v>
      </c>
      <c r="V99" s="11">
        <f t="shared" si="8"/>
        <v>0</v>
      </c>
      <c r="W99" s="11">
        <f t="shared" si="8"/>
        <v>0</v>
      </c>
      <c r="X99" s="11">
        <f t="shared" si="8"/>
        <v>4</v>
      </c>
      <c r="Y99" s="11">
        <f t="shared" si="8"/>
        <v>4</v>
      </c>
      <c r="Z99" s="11">
        <f t="shared" si="8"/>
        <v>4</v>
      </c>
      <c r="AA99" s="11">
        <f t="shared" si="8"/>
        <v>4</v>
      </c>
      <c r="AB99" s="11">
        <f t="shared" si="8"/>
        <v>4</v>
      </c>
      <c r="AC99" s="11">
        <f t="shared" si="8"/>
        <v>4</v>
      </c>
      <c r="AD99" s="11" t="str">
        <f t="shared" si="8"/>
        <v/>
      </c>
      <c r="AE99" s="11">
        <f t="shared" si="8"/>
        <v>4</v>
      </c>
    </row>
    <row r="100" spans="1:31">
      <c r="A100" s="10">
        <v>30</v>
      </c>
      <c r="B100" s="11">
        <f t="shared" si="6"/>
        <v>0</v>
      </c>
      <c r="C100" s="11">
        <f t="shared" si="6"/>
        <v>0</v>
      </c>
      <c r="D100" s="11">
        <f t="shared" si="6"/>
        <v>0</v>
      </c>
      <c r="E100" s="11">
        <f t="shared" si="6"/>
        <v>0</v>
      </c>
      <c r="F100" s="11">
        <f t="shared" si="6"/>
        <v>0</v>
      </c>
      <c r="G100" s="11">
        <f t="shared" si="6"/>
        <v>0</v>
      </c>
      <c r="H100" s="11">
        <f t="shared" si="6"/>
        <v>0</v>
      </c>
      <c r="I100" s="11">
        <f t="shared" si="6"/>
        <v>0</v>
      </c>
      <c r="J100" s="11">
        <f t="shared" si="6"/>
        <v>0</v>
      </c>
      <c r="K100" s="11">
        <f t="shared" si="6"/>
        <v>0</v>
      </c>
      <c r="L100" s="11">
        <f t="shared" si="7"/>
        <v>0</v>
      </c>
      <c r="M100" s="11">
        <f t="shared" si="7"/>
        <v>0</v>
      </c>
      <c r="N100" s="11">
        <f t="shared" si="7"/>
        <v>0</v>
      </c>
      <c r="O100" s="11">
        <f t="shared" si="7"/>
        <v>0</v>
      </c>
      <c r="P100" s="11">
        <f t="shared" si="7"/>
        <v>0</v>
      </c>
      <c r="Q100" s="11">
        <f t="shared" si="7"/>
        <v>0</v>
      </c>
      <c r="R100" s="11">
        <f t="shared" si="7"/>
        <v>0</v>
      </c>
      <c r="S100" s="11">
        <f t="shared" si="7"/>
        <v>0</v>
      </c>
      <c r="T100" s="11">
        <f t="shared" si="7"/>
        <v>0</v>
      </c>
      <c r="U100" s="11">
        <f t="shared" si="7"/>
        <v>0</v>
      </c>
      <c r="V100" s="11">
        <f t="shared" si="8"/>
        <v>0</v>
      </c>
      <c r="W100" s="11">
        <f t="shared" si="8"/>
        <v>0</v>
      </c>
      <c r="X100" s="11">
        <f t="shared" si="8"/>
        <v>4</v>
      </c>
      <c r="Y100" s="11">
        <f t="shared" si="8"/>
        <v>4</v>
      </c>
      <c r="Z100" s="11">
        <f t="shared" si="8"/>
        <v>4</v>
      </c>
      <c r="AA100" s="11">
        <f t="shared" si="8"/>
        <v>4</v>
      </c>
      <c r="AB100" s="11">
        <f t="shared" si="8"/>
        <v>4</v>
      </c>
      <c r="AC100" s="11">
        <f t="shared" si="8"/>
        <v>4</v>
      </c>
      <c r="AD100" s="11">
        <f t="shared" si="8"/>
        <v>4</v>
      </c>
      <c r="AE100" s="11" t="str">
        <f t="shared" si="8"/>
        <v/>
      </c>
    </row>
    <row r="101" spans="1:31">
      <c r="A101" s="22" t="s">
        <v>289</v>
      </c>
      <c r="B101" s="21" t="str">
        <f>IF(_xlfn.MINIFS(B71:N83,B71:N83,"&gt;0")=MAX(B71:N83),MAX(B71:N83)&amp;"",_xlfn.MINIFS(B71:N83,B71:N83,"&gt;0")&amp;_xlfn.UNICHAR(8206)&amp;"–"&amp;_xlfn.UNICHAR(8206)&amp;MAX(B71:N83))</f>
        <v>2‎–‎3</v>
      </c>
      <c r="C101" s="8"/>
      <c r="D101" s="8"/>
      <c r="E101" s="8"/>
      <c r="F101" s="8"/>
      <c r="G101" s="8"/>
      <c r="H101" s="26"/>
      <c r="I101" s="8"/>
      <c r="J101" s="8"/>
      <c r="K101" s="8"/>
      <c r="L101" s="8"/>
      <c r="M101" s="8"/>
      <c r="N101" s="8"/>
      <c r="O101" s="8"/>
      <c r="P101" s="8"/>
      <c r="Q101" s="8"/>
      <c r="R101" s="8"/>
      <c r="S101" s="8"/>
      <c r="T101" s="8"/>
      <c r="U101" s="8"/>
      <c r="V101" s="8"/>
      <c r="W101" s="8"/>
      <c r="X101" s="8"/>
      <c r="Y101" s="8"/>
      <c r="Z101" s="8"/>
      <c r="AA101" s="8"/>
      <c r="AB101" s="8"/>
      <c r="AC101" s="8"/>
      <c r="AD101" s="8"/>
      <c r="AE101" s="8"/>
    </row>
    <row r="102" spans="1:31">
      <c r="A102" s="22" t="s">
        <v>299</v>
      </c>
      <c r="B102" s="21" t="str">
        <f>IF(_xlfn.MINIFS(O84:W92,O84:W92,"&gt;0")=MAX(O84:W92),MAX(O84:W92)&amp;"",_xlfn.MINIFS(O84:W92,O84:W92,"&gt;0")&amp;_xlfn.UNICHAR(8206)&amp;"–"&amp;_xlfn.UNICHAR(8206)&amp;MAX(O84:W92))</f>
        <v>3‎–‎4</v>
      </c>
      <c r="C102" s="8"/>
      <c r="D102" s="8"/>
      <c r="E102" s="8"/>
      <c r="F102" s="8"/>
      <c r="G102" s="8"/>
      <c r="H102" s="26"/>
      <c r="I102" s="8"/>
      <c r="J102" s="8"/>
      <c r="K102" s="8"/>
      <c r="L102" s="8"/>
      <c r="M102" s="8"/>
      <c r="N102" s="8"/>
      <c r="O102" s="8"/>
      <c r="P102" s="8"/>
      <c r="Q102" s="8"/>
      <c r="R102" s="8"/>
      <c r="S102" s="8"/>
      <c r="T102" s="8"/>
      <c r="U102" s="8"/>
      <c r="V102" s="8"/>
      <c r="W102" s="8"/>
      <c r="X102" s="8"/>
      <c r="Y102" s="8"/>
      <c r="Z102" s="8"/>
      <c r="AA102" s="8"/>
      <c r="AB102" s="8"/>
      <c r="AC102" s="8"/>
      <c r="AD102" s="8"/>
      <c r="AE102" s="8"/>
    </row>
    <row r="103" spans="1:31">
      <c r="A103" s="43" t="s">
        <v>300</v>
      </c>
      <c r="B103" s="42" t="str">
        <f>IF(_xlfn.MINIFS(X93:AE100,X93:AE100,"&gt;0")=MAX(X93:AE100),MAX(X93:AE100)&amp;"",_xlfn.MINIFS(X93:AE100,X93:AE100,"&gt;0")&amp;_xlfn.UNICHAR(8206)&amp;"–"&amp;_xlfn.UNICHAR(8206)&amp;MAX(X93:AE100))</f>
        <v>4</v>
      </c>
      <c r="C103" s="5"/>
      <c r="D103" s="5"/>
      <c r="H103" s="4"/>
    </row>
    <row r="104" spans="1:31">
      <c r="H104" s="4"/>
    </row>
    <row r="105" spans="1:31">
      <c r="H105" s="4"/>
    </row>
    <row r="106" spans="1:31">
      <c r="H106" s="4"/>
    </row>
    <row r="107" spans="1:31">
      <c r="H107" s="4"/>
    </row>
    <row r="108" spans="1:31">
      <c r="H108" s="4"/>
    </row>
    <row r="109" spans="1:31">
      <c r="H109" s="4"/>
    </row>
    <row r="110" spans="1:31">
      <c r="H110" s="4"/>
    </row>
    <row r="111" spans="1:31">
      <c r="H111" s="4"/>
    </row>
    <row r="112" spans="1:31">
      <c r="H112" s="4"/>
    </row>
    <row r="113" spans="8:8">
      <c r="H113" s="4"/>
    </row>
    <row r="114" spans="8:8">
      <c r="H114" s="4"/>
    </row>
    <row r="115" spans="8:8">
      <c r="H115" s="4"/>
    </row>
    <row r="116" spans="8:8">
      <c r="H116" s="4"/>
    </row>
    <row r="117" spans="8:8">
      <c r="H117" s="4"/>
    </row>
    <row r="118" spans="8:8">
      <c r="H118" s="4"/>
    </row>
    <row r="119" spans="8:8">
      <c r="H119" s="4"/>
    </row>
    <row r="120" spans="8:8">
      <c r="H120" s="4"/>
    </row>
    <row r="121" spans="8:8">
      <c r="H121" s="4"/>
    </row>
    <row r="122" spans="8:8">
      <c r="H122" s="4"/>
    </row>
    <row r="123" spans="8:8">
      <c r="H123" s="4"/>
    </row>
    <row r="124" spans="8:8">
      <c r="H124" s="4"/>
    </row>
    <row r="125" spans="8:8">
      <c r="H125" s="4"/>
    </row>
    <row r="126" spans="8:8">
      <c r="H126" s="4"/>
    </row>
    <row r="127" spans="8:8">
      <c r="H127" s="4"/>
    </row>
    <row r="128" spans="8:8">
      <c r="H128" s="4"/>
    </row>
    <row r="129" spans="8:8">
      <c r="H129" s="4"/>
    </row>
    <row r="130" spans="8:8">
      <c r="H130" s="4"/>
    </row>
    <row r="131" spans="8:8">
      <c r="H131" s="4"/>
    </row>
    <row r="132" spans="8:8">
      <c r="H132" s="4"/>
    </row>
    <row r="133" spans="8:8">
      <c r="H133" s="4"/>
    </row>
    <row r="134" spans="8:8">
      <c r="H134" s="4"/>
    </row>
    <row r="135" spans="8:8">
      <c r="H135" s="4"/>
    </row>
    <row r="136" spans="8:8">
      <c r="H136" s="4"/>
    </row>
    <row r="137" spans="8:8">
      <c r="H137" s="4"/>
    </row>
    <row r="138" spans="8:8">
      <c r="H138" s="4"/>
    </row>
    <row r="139" spans="8:8">
      <c r="H139" s="4"/>
    </row>
    <row r="140" spans="8:8">
      <c r="H140" s="4"/>
    </row>
    <row r="141" spans="8:8">
      <c r="H141" s="4"/>
    </row>
    <row r="142" spans="8:8">
      <c r="H142" s="4"/>
    </row>
    <row r="143" spans="8:8">
      <c r="H143" s="4"/>
    </row>
    <row r="144" spans="8:8">
      <c r="H144" s="4"/>
    </row>
    <row r="145" spans="8:8">
      <c r="H145" s="4"/>
    </row>
    <row r="146" spans="8:8">
      <c r="H146" s="4"/>
    </row>
    <row r="147" spans="8:8">
      <c r="H147" s="4"/>
    </row>
    <row r="148" spans="8:8">
      <c r="H148" s="4"/>
    </row>
    <row r="149" spans="8:8">
      <c r="H149" s="4"/>
    </row>
    <row r="150" spans="8:8">
      <c r="H150" s="4"/>
    </row>
    <row r="151" spans="8:8">
      <c r="H151" s="4"/>
    </row>
    <row r="152" spans="8:8">
      <c r="H152" s="4"/>
    </row>
    <row r="153" spans="8:8">
      <c r="H153" s="4"/>
    </row>
    <row r="154" spans="8:8">
      <c r="H154" s="4"/>
    </row>
    <row r="155" spans="8:8">
      <c r="H155" s="4"/>
    </row>
    <row r="156" spans="8:8">
      <c r="H156" s="4"/>
    </row>
    <row r="157" spans="8:8">
      <c r="H157" s="4"/>
    </row>
    <row r="158" spans="8:8">
      <c r="H158" s="4"/>
    </row>
    <row r="159" spans="8:8">
      <c r="H159" s="4"/>
    </row>
    <row r="160" spans="8:8">
      <c r="H160" s="4"/>
    </row>
    <row r="161" spans="8:8">
      <c r="H161" s="4"/>
    </row>
    <row r="162" spans="8:8">
      <c r="H162" s="4"/>
    </row>
    <row r="163" spans="8:8">
      <c r="H163" s="4"/>
    </row>
    <row r="164" spans="8:8">
      <c r="H164" s="4"/>
    </row>
    <row r="165" spans="8:8">
      <c r="H165" s="4"/>
    </row>
    <row r="166" spans="8:8">
      <c r="H166" s="4"/>
    </row>
    <row r="167" spans="8:8">
      <c r="H167" s="4"/>
    </row>
    <row r="168" spans="8:8">
      <c r="H168" s="4"/>
    </row>
    <row r="169" spans="8:8">
      <c r="H169" s="4"/>
    </row>
    <row r="170" spans="8:8">
      <c r="H170" s="4"/>
    </row>
    <row r="171" spans="8:8">
      <c r="H171" s="4"/>
    </row>
    <row r="172" spans="8:8">
      <c r="H172" s="4"/>
    </row>
    <row r="173" spans="8:8">
      <c r="H173" s="4"/>
    </row>
    <row r="174" spans="8:8">
      <c r="H174" s="4"/>
    </row>
    <row r="175" spans="8:8">
      <c r="H175" s="4"/>
    </row>
    <row r="176" spans="8:8">
      <c r="H176" s="4"/>
    </row>
    <row r="177" spans="8:8">
      <c r="H177" s="4"/>
    </row>
    <row r="178" spans="8:8">
      <c r="H178" s="4"/>
    </row>
    <row r="179" spans="8:8">
      <c r="H179" s="4"/>
    </row>
    <row r="180" spans="8:8">
      <c r="H180" s="4"/>
    </row>
    <row r="181" spans="8:8">
      <c r="H181" s="4"/>
    </row>
    <row r="182" spans="8:8">
      <c r="H182" s="4"/>
    </row>
    <row r="183" spans="8:8">
      <c r="H183" s="4"/>
    </row>
    <row r="184" spans="8:8">
      <c r="H184" s="4"/>
    </row>
    <row r="185" spans="8:8">
      <c r="H185" s="4"/>
    </row>
    <row r="186" spans="8:8">
      <c r="H186" s="4"/>
    </row>
    <row r="187" spans="8:8">
      <c r="H187" s="4"/>
    </row>
    <row r="188" spans="8:8">
      <c r="H188" s="4"/>
    </row>
    <row r="189" spans="8:8">
      <c r="H189" s="4"/>
    </row>
    <row r="190" spans="8:8">
      <c r="H190" s="4"/>
    </row>
    <row r="191" spans="8:8">
      <c r="H191" s="4"/>
    </row>
    <row r="192" spans="8:8">
      <c r="H192" s="4"/>
    </row>
    <row r="193" spans="8:8">
      <c r="H193" s="4"/>
    </row>
    <row r="194" spans="8:8">
      <c r="H194" s="4"/>
    </row>
    <row r="195" spans="8:8">
      <c r="H195" s="4"/>
    </row>
    <row r="196" spans="8:8">
      <c r="H196" s="4"/>
    </row>
    <row r="197" spans="8:8">
      <c r="H197" s="4"/>
    </row>
    <row r="198" spans="8:8">
      <c r="H198" s="4"/>
    </row>
    <row r="199" spans="8:8">
      <c r="H199" s="4"/>
    </row>
  </sheetData>
  <mergeCells count="23">
    <mergeCell ref="A31:A39"/>
    <mergeCell ref="A13:A21"/>
    <mergeCell ref="O13:O21"/>
    <mergeCell ref="P13:P21"/>
    <mergeCell ref="A22:A30"/>
    <mergeCell ref="O22:O30"/>
    <mergeCell ref="P22:P30"/>
    <mergeCell ref="A58:A66"/>
    <mergeCell ref="O58:O66"/>
    <mergeCell ref="P58:P66"/>
    <mergeCell ref="A1:P1"/>
    <mergeCell ref="A69:AE69"/>
    <mergeCell ref="O31:O39"/>
    <mergeCell ref="P31:P39"/>
    <mergeCell ref="A40:A48"/>
    <mergeCell ref="O40:O48"/>
    <mergeCell ref="P40:P48"/>
    <mergeCell ref="A49:A57"/>
    <mergeCell ref="O49:O57"/>
    <mergeCell ref="P49:P57"/>
    <mergeCell ref="A4:A12"/>
    <mergeCell ref="O4:O12"/>
    <mergeCell ref="P4:P1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FBC82852503AF4EAB2EF5018DE9DEC7" ma:contentTypeVersion="16" ma:contentTypeDescription="Create a new document." ma:contentTypeScope="" ma:versionID="eab508c9951ee695015998ff06a21af9">
  <xsd:schema xmlns:xsd="http://www.w3.org/2001/XMLSchema" xmlns:xs="http://www.w3.org/2001/XMLSchema" xmlns:p="http://schemas.microsoft.com/office/2006/metadata/properties" xmlns:ns2="892e9dcf-b510-48d2-a32f-1ed59fe9f3eb" xmlns:ns3="16be648b-369d-4545-b3ec-980ea45f5768" targetNamespace="http://schemas.microsoft.com/office/2006/metadata/properties" ma:root="true" ma:fieldsID="73c3eb72b85b8edb3d3b90476ca60681" ns2:_="" ns3:_="">
    <xsd:import namespace="892e9dcf-b510-48d2-a32f-1ed59fe9f3eb"/>
    <xsd:import namespace="16be648b-369d-4545-b3ec-980ea45f57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2e9dcf-b510-48d2-a32f-1ed59fe9f3eb"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SearchProperties" ma:index="7" nillable="true" ma:displayName="MediaServiceSearchProperties" ma:hidden="true" ma:internalName="MediaServiceSearchProperties" ma:readOnly="true">
      <xsd:simpleType>
        <xsd:restriction base="dms:Note"/>
      </xsd:simpleType>
    </xsd:element>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9a84c0e-7c84-4ab2-b13f-ac9038868f2e" ma:termSetId="09814cd3-568e-fe90-9814-8d621ff8fb84" ma:anchorId="fba54fb3-c3e1-fe81-a776-ca4b69148c4d" ma:open="true" ma:isKeyword="false">
      <xsd:complexType>
        <xsd:sequence>
          <xsd:element ref="pc:Terms" minOccurs="0" maxOccurs="1"/>
        </xsd:sequence>
      </xsd:complex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MediaLengthInSeconds" ma:index="1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6be648b-369d-4545-b3ec-980ea45f5768"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17a77de0-3755-4ac5-a23f-87046020bd02}" ma:internalName="TaxCatchAll" ma:showField="CatchAllData" ma:web="16be648b-369d-4545-b3ec-980ea45f57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7"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6be648b-369d-4545-b3ec-980ea45f5768" xsi:nil="true"/>
    <lcf76f155ced4ddcb4097134ff3c332f xmlns="892e9dcf-b510-48d2-a32f-1ed59fe9f3e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AA7DBB3-5CEB-4980-949F-43392DF11DFE}">
  <ds:schemaRefs>
    <ds:schemaRef ds:uri="http://schemas.microsoft.com/sharepoint/v3/contenttype/forms"/>
  </ds:schemaRefs>
</ds:datastoreItem>
</file>

<file path=customXml/itemProps2.xml><?xml version="1.0" encoding="utf-8"?>
<ds:datastoreItem xmlns:ds="http://schemas.openxmlformats.org/officeDocument/2006/customXml" ds:itemID="{718BDCAE-F12F-4F71-AD87-30136D732E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2e9dcf-b510-48d2-a32f-1ed59fe9f3eb"/>
    <ds:schemaRef ds:uri="16be648b-369d-4545-b3ec-980ea45f57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D41F5D-E336-4E39-A843-BEE67140D2E6}">
  <ds:schemaRefs>
    <ds:schemaRef ds:uri="http://schemas.microsoft.com/office/2006/metadata/properties"/>
    <ds:schemaRef ds:uri="http://schemas.microsoft.com/office/infopath/2007/PartnerControls"/>
    <ds:schemaRef ds:uri="16be648b-369d-4545-b3ec-980ea45f5768"/>
    <ds:schemaRef ds:uri="892e9dcf-b510-48d2-a32f-1ed59fe9f3eb"/>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المدخلات</vt:lpstr>
      <vt:lpstr>المبادئ</vt:lpstr>
      <vt:lpstr>ملخص البطولات</vt:lpstr>
      <vt:lpstr>6 فرق</vt:lpstr>
      <vt:lpstr>7 فرق</vt:lpstr>
      <vt:lpstr>8 فرق</vt:lpstr>
      <vt:lpstr>9 فرق</vt:lpstr>
      <vt:lpstr>12 فريقًا</vt:lpstr>
      <vt:lpstr>13 فريقًا</vt:lpstr>
      <vt:lpstr>17 فريقًا</vt:lpstr>
      <vt:lpstr>18 فريقًا</vt:lpstr>
      <vt:lpstr>19 فريقًا</vt:lpstr>
      <vt:lpstr>22 فريقًا</vt:lpstr>
      <vt:lpstr>30 فريقًا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Alnajjar</cp:lastModifiedBy>
  <dcterms:created xsi:type="dcterms:W3CDTF">2026-09-07T08:40:52Z</dcterms:created>
  <dcterms:modified xsi:type="dcterms:W3CDTF">2026-09-13T06:45:37Z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0x010100AFBC82852503AF4EAB2EF5018DE9DEC7</vt:lpwstr>
  </property>
  <property fmtid="{D5CDD505-2E9C-101B-9397-08002B2CF9AE}" pid="3" name="MediaServiceImageTags">
    <vt:lpwstr/>
  </property>
</Properties>
</file>